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COMPETENCES CYCLE 3\mise à jour 17 02 2018\"/>
    </mc:Choice>
  </mc:AlternateContent>
  <bookViews>
    <workbookView xWindow="0" yWindow="0" windowWidth="19200" windowHeight="7110" firstSheet="2" activeTab="7"/>
  </bookViews>
  <sheets>
    <sheet name="Classe (6ème1)" sheetId="19" r:id="rId1"/>
    <sheet name="Elève (6ème1)" sheetId="20" r:id="rId2"/>
    <sheet name="Classe (6ème2)" sheetId="17" r:id="rId3"/>
    <sheet name="Elève (6ème2)" sheetId="18" r:id="rId4"/>
    <sheet name="Classe (6ème3)" sheetId="15" r:id="rId5"/>
    <sheet name="Elève (6ème3)" sheetId="16" r:id="rId6"/>
    <sheet name="Classe (6ème4)" sheetId="13" r:id="rId7"/>
    <sheet name="Elève (6ème4)" sheetId="14" r:id="rId8"/>
    <sheet name="Liste 6ème" sheetId="12" r:id="rId9"/>
    <sheet name="ref" sheetId="3" r:id="rId10"/>
  </sheets>
  <functionGroups builtInGroupCount="18"/>
  <definedNames>
    <definedName name="_xlnm._FilterDatabase" localSheetId="1" hidden="1">'Elève (6ème1)'!$A$2:$TI$22</definedName>
    <definedName name="_xlnm._FilterDatabase" localSheetId="3" hidden="1">'Elève (6ème2)'!$A$2:$TI$22</definedName>
    <definedName name="_xlnm._FilterDatabase" localSheetId="5" hidden="1">'Elève (6ème3)'!$A$2:$TI$22</definedName>
    <definedName name="_xlnm._FilterDatabase" localSheetId="7" hidden="1">'Elève (6ème4)'!$A$2:$TI$22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3" l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F3" i="3" l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G3" i="3"/>
  <c r="TW20" i="20"/>
  <c r="TX20" i="20" s="1"/>
  <c r="TR20" i="20"/>
  <c r="TS20" i="20" s="1"/>
  <c r="TM20" i="20"/>
  <c r="TF20" i="20"/>
  <c r="TG20" i="20" s="1"/>
  <c r="TA20" i="20"/>
  <c r="TB20" i="20" s="1"/>
  <c r="SV20" i="20"/>
  <c r="SO20" i="20"/>
  <c r="SP20" i="20" s="1"/>
  <c r="SJ20" i="20"/>
  <c r="SK20" i="20" s="1"/>
  <c r="SE20" i="20"/>
  <c r="RX20" i="20"/>
  <c r="RY20" i="20" s="1"/>
  <c r="RS20" i="20"/>
  <c r="RT20" i="20" s="1"/>
  <c r="RN20" i="20"/>
  <c r="RG20" i="20"/>
  <c r="RH20" i="20" s="1"/>
  <c r="RB20" i="20"/>
  <c r="RC20" i="20" s="1"/>
  <c r="QW20" i="20"/>
  <c r="QP20" i="20"/>
  <c r="QQ20" i="20" s="1"/>
  <c r="QK20" i="20"/>
  <c r="QL20" i="20" s="1"/>
  <c r="QF20" i="20"/>
  <c r="PY20" i="20"/>
  <c r="PZ20" i="20" s="1"/>
  <c r="PT20" i="20"/>
  <c r="PU20" i="20" s="1"/>
  <c r="PO20" i="20"/>
  <c r="PH20" i="20"/>
  <c r="PI20" i="20" s="1"/>
  <c r="PC20" i="20"/>
  <c r="PD20" i="20" s="1"/>
  <c r="OX20" i="20"/>
  <c r="OQ20" i="20"/>
  <c r="OR20" i="20" s="1"/>
  <c r="OL20" i="20"/>
  <c r="OM20" i="20" s="1"/>
  <c r="OG20" i="20"/>
  <c r="NZ20" i="20"/>
  <c r="OA20" i="20" s="1"/>
  <c r="NU20" i="20"/>
  <c r="NV20" i="20" s="1"/>
  <c r="NP20" i="20"/>
  <c r="NI20" i="20"/>
  <c r="NJ20" i="20" s="1"/>
  <c r="ND20" i="20"/>
  <c r="NE20" i="20" s="1"/>
  <c r="MY20" i="20"/>
  <c r="MR20" i="20"/>
  <c r="MS20" i="20" s="1"/>
  <c r="MM20" i="20"/>
  <c r="MH20" i="20"/>
  <c r="MA20" i="20"/>
  <c r="MB20" i="20" s="1"/>
  <c r="LV20" i="20"/>
  <c r="LW20" i="20" s="1"/>
  <c r="LQ20" i="20"/>
  <c r="LJ20" i="20"/>
  <c r="LK20" i="20" s="1"/>
  <c r="LE20" i="20"/>
  <c r="LF20" i="20" s="1"/>
  <c r="KZ20" i="20"/>
  <c r="KS20" i="20"/>
  <c r="KN20" i="20"/>
  <c r="KO20" i="20" s="1"/>
  <c r="KI20" i="20"/>
  <c r="KB20" i="20"/>
  <c r="KC20" i="20" s="1"/>
  <c r="JW20" i="20"/>
  <c r="JR20" i="20"/>
  <c r="JK20" i="20"/>
  <c r="JL20" i="20" s="1"/>
  <c r="JF20" i="20"/>
  <c r="JG20" i="20" s="1"/>
  <c r="JA20" i="20"/>
  <c r="IT20" i="20"/>
  <c r="IU20" i="20" s="1"/>
  <c r="IO20" i="20"/>
  <c r="IP20" i="20" s="1"/>
  <c r="IJ20" i="20"/>
  <c r="IC20" i="20"/>
  <c r="ID20" i="20" s="1"/>
  <c r="HX20" i="20"/>
  <c r="HY20" i="20" s="1"/>
  <c r="HS20" i="20"/>
  <c r="HT20" i="20" s="1"/>
  <c r="HL20" i="20"/>
  <c r="HM20" i="20" s="1"/>
  <c r="HG20" i="20"/>
  <c r="HH20" i="20" s="1"/>
  <c r="HB20" i="20"/>
  <c r="GU20" i="20"/>
  <c r="GV20" i="20" s="1"/>
  <c r="GP20" i="20"/>
  <c r="GQ20" i="20" s="1"/>
  <c r="GK20" i="20"/>
  <c r="GL20" i="20" s="1"/>
  <c r="GD20" i="20"/>
  <c r="GE20" i="20" s="1"/>
  <c r="FY20" i="20"/>
  <c r="FZ20" i="20" s="1"/>
  <c r="FT20" i="20"/>
  <c r="FM20" i="20"/>
  <c r="FN20" i="20" s="1"/>
  <c r="FH20" i="20"/>
  <c r="FI20" i="20" s="1"/>
  <c r="FC20" i="20"/>
  <c r="EV20" i="20"/>
  <c r="EW20" i="20" s="1"/>
  <c r="EQ20" i="20"/>
  <c r="ER20" i="20" s="1"/>
  <c r="EL20" i="20"/>
  <c r="EE20" i="20"/>
  <c r="EF20" i="20" s="1"/>
  <c r="DZ20" i="20"/>
  <c r="EA20" i="20" s="1"/>
  <c r="DU20" i="20"/>
  <c r="DV20" i="20" s="1"/>
  <c r="DN20" i="20"/>
  <c r="DO20" i="20" s="1"/>
  <c r="DI20" i="20"/>
  <c r="DJ20" i="20" s="1"/>
  <c r="DD20" i="20"/>
  <c r="CW20" i="20"/>
  <c r="CW18" i="20" s="1"/>
  <c r="CR20" i="20"/>
  <c r="CS20" i="20" s="1"/>
  <c r="CM20" i="20"/>
  <c r="CF20" i="20"/>
  <c r="CG20" i="20" s="1"/>
  <c r="CA20" i="20"/>
  <c r="CB20" i="20" s="1"/>
  <c r="BV20" i="20"/>
  <c r="BO20" i="20"/>
  <c r="BP20" i="20" s="1"/>
  <c r="BJ20" i="20"/>
  <c r="BK20" i="20" s="1"/>
  <c r="BE20" i="20"/>
  <c r="BF20" i="20" s="1"/>
  <c r="AX20" i="20"/>
  <c r="AY20" i="20" s="1"/>
  <c r="AS20" i="20"/>
  <c r="AT20" i="20" s="1"/>
  <c r="AN20" i="20"/>
  <c r="AG20" i="20"/>
  <c r="AH20" i="20" s="1"/>
  <c r="AB20" i="20"/>
  <c r="AC20" i="20" s="1"/>
  <c r="W20" i="20"/>
  <c r="P20" i="20"/>
  <c r="Q20" i="20" s="1"/>
  <c r="K20" i="20"/>
  <c r="L20" i="20" s="1"/>
  <c r="F20" i="20"/>
  <c r="TW19" i="20"/>
  <c r="TX19" i="20" s="1"/>
  <c r="TR19" i="20"/>
  <c r="TS19" i="20" s="1"/>
  <c r="TM19" i="20"/>
  <c r="TN19" i="20" s="1"/>
  <c r="TF19" i="20"/>
  <c r="TG19" i="20" s="1"/>
  <c r="TA19" i="20"/>
  <c r="TB19" i="20" s="1"/>
  <c r="SV19" i="20"/>
  <c r="SO19" i="20"/>
  <c r="SP19" i="20" s="1"/>
  <c r="SJ19" i="20"/>
  <c r="SK19" i="20" s="1"/>
  <c r="SE19" i="20"/>
  <c r="SF19" i="20" s="1"/>
  <c r="RX19" i="20"/>
  <c r="RY19" i="20" s="1"/>
  <c r="RS19" i="20"/>
  <c r="RT19" i="20" s="1"/>
  <c r="RN19" i="20"/>
  <c r="RG19" i="20"/>
  <c r="RH19" i="20" s="1"/>
  <c r="RB19" i="20"/>
  <c r="RC19" i="20" s="1"/>
  <c r="QW19" i="20"/>
  <c r="QX19" i="20" s="1"/>
  <c r="QP19" i="20"/>
  <c r="QQ19" i="20" s="1"/>
  <c r="QK19" i="20"/>
  <c r="QL19" i="20" s="1"/>
  <c r="QF19" i="20"/>
  <c r="QF18" i="20" s="1"/>
  <c r="PY19" i="20"/>
  <c r="PZ19" i="20" s="1"/>
  <c r="PT19" i="20"/>
  <c r="PU19" i="20" s="1"/>
  <c r="PO19" i="20"/>
  <c r="PO18" i="20" s="1"/>
  <c r="PP18" i="20" s="1"/>
  <c r="PH19" i="20"/>
  <c r="PI19" i="20" s="1"/>
  <c r="PC19" i="20"/>
  <c r="PD19" i="20" s="1"/>
  <c r="OX19" i="20"/>
  <c r="OX18" i="20" s="1"/>
  <c r="OQ19" i="20"/>
  <c r="OR19" i="20" s="1"/>
  <c r="OL19" i="20"/>
  <c r="OM19" i="20" s="1"/>
  <c r="OG19" i="20"/>
  <c r="OH19" i="20" s="1"/>
  <c r="NZ19" i="20"/>
  <c r="OA19" i="20" s="1"/>
  <c r="NU19" i="20"/>
  <c r="NV19" i="20" s="1"/>
  <c r="NP19" i="20"/>
  <c r="NP18" i="20" s="1"/>
  <c r="NI19" i="20"/>
  <c r="NJ19" i="20" s="1"/>
  <c r="ND19" i="20"/>
  <c r="NE19" i="20" s="1"/>
  <c r="MY19" i="20"/>
  <c r="MY18" i="20" s="1"/>
  <c r="MR19" i="20"/>
  <c r="MS19" i="20" s="1"/>
  <c r="MM19" i="20"/>
  <c r="MN19" i="20" s="1"/>
  <c r="MH19" i="20"/>
  <c r="MA19" i="20"/>
  <c r="MB19" i="20" s="1"/>
  <c r="LV19" i="20"/>
  <c r="LW19" i="20" s="1"/>
  <c r="LQ19" i="20"/>
  <c r="LJ19" i="20"/>
  <c r="LK19" i="20" s="1"/>
  <c r="LE19" i="20"/>
  <c r="LF19" i="20" s="1"/>
  <c r="KZ19" i="20"/>
  <c r="KS19" i="20"/>
  <c r="KT19" i="20" s="1"/>
  <c r="KN19" i="20"/>
  <c r="KO19" i="20" s="1"/>
  <c r="KI19" i="20"/>
  <c r="KB19" i="20"/>
  <c r="KC19" i="20" s="1"/>
  <c r="JW19" i="20"/>
  <c r="JX19" i="20" s="1"/>
  <c r="JR19" i="20"/>
  <c r="JR18" i="20" s="1"/>
  <c r="JS18" i="20" s="1"/>
  <c r="JK19" i="20"/>
  <c r="JL19" i="20" s="1"/>
  <c r="JF19" i="20"/>
  <c r="JG19" i="20" s="1"/>
  <c r="JA19" i="20"/>
  <c r="IT19" i="20"/>
  <c r="IU19" i="20" s="1"/>
  <c r="IO19" i="20"/>
  <c r="IP19" i="20" s="1"/>
  <c r="IJ19" i="20"/>
  <c r="IJ18" i="20" s="1"/>
  <c r="IC19" i="20"/>
  <c r="ID19" i="20" s="1"/>
  <c r="HX19" i="20"/>
  <c r="HY19" i="20" s="1"/>
  <c r="HS19" i="20"/>
  <c r="HT19" i="20" s="1"/>
  <c r="HL19" i="20"/>
  <c r="HM19" i="20" s="1"/>
  <c r="HG19" i="20"/>
  <c r="HH19" i="20" s="1"/>
  <c r="HB19" i="20"/>
  <c r="GU19" i="20"/>
  <c r="GV19" i="20" s="1"/>
  <c r="GP19" i="20"/>
  <c r="GQ19" i="20" s="1"/>
  <c r="GK19" i="20"/>
  <c r="GK18" i="20" s="1"/>
  <c r="GL18" i="20" s="1"/>
  <c r="GD19" i="20"/>
  <c r="GE19" i="20" s="1"/>
  <c r="FY19" i="20"/>
  <c r="FZ19" i="20" s="1"/>
  <c r="FT19" i="20"/>
  <c r="FT18" i="20" s="1"/>
  <c r="FM19" i="20"/>
  <c r="FN19" i="20" s="1"/>
  <c r="FH19" i="20"/>
  <c r="FI19" i="20" s="1"/>
  <c r="FC19" i="20"/>
  <c r="FC18" i="20" s="1"/>
  <c r="EV19" i="20"/>
  <c r="EW19" i="20" s="1"/>
  <c r="EQ19" i="20"/>
  <c r="ER19" i="20" s="1"/>
  <c r="EL19" i="20"/>
  <c r="EE19" i="20"/>
  <c r="EF19" i="20" s="1"/>
  <c r="DZ19" i="20"/>
  <c r="EA19" i="20" s="1"/>
  <c r="DU19" i="20"/>
  <c r="DN19" i="20"/>
  <c r="DO19" i="20" s="1"/>
  <c r="DI19" i="20"/>
  <c r="DJ19" i="20" s="1"/>
  <c r="DD19" i="20"/>
  <c r="DD18" i="20" s="1"/>
  <c r="CW19" i="20"/>
  <c r="CX19" i="20" s="1"/>
  <c r="CR19" i="20"/>
  <c r="CS19" i="20" s="1"/>
  <c r="CM19" i="20"/>
  <c r="CM18" i="20" s="1"/>
  <c r="CF19" i="20"/>
  <c r="CG19" i="20" s="1"/>
  <c r="CA19" i="20"/>
  <c r="CB19" i="20" s="1"/>
  <c r="BV19" i="20"/>
  <c r="BO19" i="20"/>
  <c r="BP19" i="20" s="1"/>
  <c r="BJ19" i="20"/>
  <c r="BK19" i="20" s="1"/>
  <c r="BE19" i="20"/>
  <c r="AX19" i="20"/>
  <c r="AY19" i="20" s="1"/>
  <c r="AS19" i="20"/>
  <c r="AT19" i="20" s="1"/>
  <c r="AN19" i="20"/>
  <c r="AG19" i="20"/>
  <c r="AH19" i="20" s="1"/>
  <c r="AB19" i="20"/>
  <c r="AC19" i="20" s="1"/>
  <c r="W19" i="20"/>
  <c r="W18" i="20" s="1"/>
  <c r="P19" i="20"/>
  <c r="Q19" i="20" s="1"/>
  <c r="K19" i="20"/>
  <c r="L19" i="20" s="1"/>
  <c r="F19" i="20"/>
  <c r="F18" i="20" s="1"/>
  <c r="TW18" i="20"/>
  <c r="TX18" i="20" s="1"/>
  <c r="TA18" i="20"/>
  <c r="SV18" i="20"/>
  <c r="RG18" i="20"/>
  <c r="RH18" i="20" s="1"/>
  <c r="QK18" i="20"/>
  <c r="PH18" i="20"/>
  <c r="PC18" i="20"/>
  <c r="OG18" i="20"/>
  <c r="NU18" i="20"/>
  <c r="MR18" i="20"/>
  <c r="MS18" i="20" s="1"/>
  <c r="MA18" i="20"/>
  <c r="MB18" i="20" s="1"/>
  <c r="LV18" i="20"/>
  <c r="LE18" i="20"/>
  <c r="KB18" i="20"/>
  <c r="KC18" i="20" s="1"/>
  <c r="JK18" i="20"/>
  <c r="JL18" i="20" s="1"/>
  <c r="JF18" i="20"/>
  <c r="IO18" i="20"/>
  <c r="IC18" i="20"/>
  <c r="ID18" i="20" s="1"/>
  <c r="GU18" i="20"/>
  <c r="GV18" i="20" s="1"/>
  <c r="GP18" i="20"/>
  <c r="FY18" i="20"/>
  <c r="FZ18" i="20" s="1"/>
  <c r="EV18" i="20"/>
  <c r="EE18" i="20"/>
  <c r="DI18" i="20"/>
  <c r="DJ18" i="20" s="1"/>
  <c r="BV18" i="20"/>
  <c r="AG18" i="20"/>
  <c r="P18" i="20"/>
  <c r="L18" i="20"/>
  <c r="K18" i="20"/>
  <c r="TW17" i="20"/>
  <c r="TX17" i="20" s="1"/>
  <c r="TR17" i="20"/>
  <c r="TS17" i="20" s="1"/>
  <c r="TM17" i="20"/>
  <c r="TF17" i="20"/>
  <c r="TG17" i="20" s="1"/>
  <c r="TA17" i="20"/>
  <c r="TB17" i="20" s="1"/>
  <c r="SV17" i="20"/>
  <c r="SO17" i="20"/>
  <c r="SP17" i="20" s="1"/>
  <c r="SJ17" i="20"/>
  <c r="SK17" i="20" s="1"/>
  <c r="SE17" i="20"/>
  <c r="RX17" i="20"/>
  <c r="RY17" i="20" s="1"/>
  <c r="RS17" i="20"/>
  <c r="RT17" i="20" s="1"/>
  <c r="RN17" i="20"/>
  <c r="RG17" i="20"/>
  <c r="RH17" i="20" s="1"/>
  <c r="RC17" i="20"/>
  <c r="RB17" i="20"/>
  <c r="QW17" i="20"/>
  <c r="QP17" i="20"/>
  <c r="QQ17" i="20" s="1"/>
  <c r="QK17" i="20"/>
  <c r="QL17" i="20" s="1"/>
  <c r="QF17" i="20"/>
  <c r="PY17" i="20"/>
  <c r="PZ17" i="20" s="1"/>
  <c r="PT17" i="20"/>
  <c r="PU17" i="20" s="1"/>
  <c r="PO17" i="20"/>
  <c r="PH17" i="20"/>
  <c r="PI17" i="20" s="1"/>
  <c r="PC17" i="20"/>
  <c r="PD17" i="20" s="1"/>
  <c r="OX17" i="20"/>
  <c r="OQ17" i="20"/>
  <c r="OR17" i="20" s="1"/>
  <c r="OL17" i="20"/>
  <c r="OM17" i="20" s="1"/>
  <c r="OG17" i="20"/>
  <c r="NZ17" i="20"/>
  <c r="OA17" i="20" s="1"/>
  <c r="NU17" i="20"/>
  <c r="NV17" i="20" s="1"/>
  <c r="NP17" i="20"/>
  <c r="NI17" i="20"/>
  <c r="NJ17" i="20" s="1"/>
  <c r="ND17" i="20"/>
  <c r="NE17" i="20" s="1"/>
  <c r="MY17" i="20"/>
  <c r="MR17" i="20"/>
  <c r="MS17" i="20" s="1"/>
  <c r="MM17" i="20"/>
  <c r="MN17" i="20" s="1"/>
  <c r="MH17" i="20"/>
  <c r="MA17" i="20"/>
  <c r="MB17" i="20" s="1"/>
  <c r="LV17" i="20"/>
  <c r="LW17" i="20" s="1"/>
  <c r="LQ17" i="20"/>
  <c r="LJ17" i="20"/>
  <c r="LK17" i="20" s="1"/>
  <c r="LE17" i="20"/>
  <c r="LF17" i="20" s="1"/>
  <c r="KZ17" i="20"/>
  <c r="KS17" i="20"/>
  <c r="KT17" i="20" s="1"/>
  <c r="KN17" i="20"/>
  <c r="KO17" i="20" s="1"/>
  <c r="KI17" i="20"/>
  <c r="KB17" i="20"/>
  <c r="KC17" i="20" s="1"/>
  <c r="JW17" i="20"/>
  <c r="JX17" i="20" s="1"/>
  <c r="JR17" i="20"/>
  <c r="JK17" i="20"/>
  <c r="JL17" i="20" s="1"/>
  <c r="JF17" i="20"/>
  <c r="JG17" i="20" s="1"/>
  <c r="JA17" i="20"/>
  <c r="IT17" i="20"/>
  <c r="IU17" i="20" s="1"/>
  <c r="IO17" i="20"/>
  <c r="IP17" i="20" s="1"/>
  <c r="IJ17" i="20"/>
  <c r="IC17" i="20"/>
  <c r="ID17" i="20" s="1"/>
  <c r="HX17" i="20"/>
  <c r="HY17" i="20" s="1"/>
  <c r="HS17" i="20"/>
  <c r="HL17" i="20"/>
  <c r="HM17" i="20" s="1"/>
  <c r="HG17" i="20"/>
  <c r="HH17" i="20" s="1"/>
  <c r="HB17" i="20"/>
  <c r="GU17" i="20"/>
  <c r="GV17" i="20" s="1"/>
  <c r="GP17" i="20"/>
  <c r="GQ17" i="20" s="1"/>
  <c r="GK17" i="20"/>
  <c r="GD17" i="20"/>
  <c r="GE17" i="20" s="1"/>
  <c r="FY17" i="20"/>
  <c r="FZ17" i="20" s="1"/>
  <c r="FT17" i="20"/>
  <c r="FM17" i="20"/>
  <c r="FN17" i="20" s="1"/>
  <c r="FH17" i="20"/>
  <c r="FI17" i="20" s="1"/>
  <c r="FC17" i="20"/>
  <c r="EV17" i="20"/>
  <c r="EW17" i="20" s="1"/>
  <c r="EQ17" i="20"/>
  <c r="ER17" i="20" s="1"/>
  <c r="EL17" i="20"/>
  <c r="EE17" i="20"/>
  <c r="EF17" i="20" s="1"/>
  <c r="DZ17" i="20"/>
  <c r="EA17" i="20" s="1"/>
  <c r="DU17" i="20"/>
  <c r="DV17" i="20" s="1"/>
  <c r="DN17" i="20"/>
  <c r="DO17" i="20" s="1"/>
  <c r="DI17" i="20"/>
  <c r="DJ17" i="20" s="1"/>
  <c r="DD17" i="20"/>
  <c r="CW17" i="20"/>
  <c r="CX17" i="20" s="1"/>
  <c r="CR17" i="20"/>
  <c r="CS17" i="20" s="1"/>
  <c r="CM17" i="20"/>
  <c r="CF17" i="20"/>
  <c r="CG17" i="20" s="1"/>
  <c r="CA17" i="20"/>
  <c r="CB17" i="20" s="1"/>
  <c r="BV17" i="20"/>
  <c r="BO17" i="20"/>
  <c r="BP17" i="20" s="1"/>
  <c r="BJ17" i="20"/>
  <c r="BK17" i="20" s="1"/>
  <c r="BE17" i="20"/>
  <c r="BF17" i="20" s="1"/>
  <c r="AX17" i="20"/>
  <c r="AY17" i="20" s="1"/>
  <c r="AS17" i="20"/>
  <c r="AT17" i="20" s="1"/>
  <c r="AN17" i="20"/>
  <c r="AO17" i="20" s="1"/>
  <c r="AG17" i="20"/>
  <c r="AH17" i="20" s="1"/>
  <c r="AB17" i="20"/>
  <c r="AC17" i="20" s="1"/>
  <c r="W17" i="20"/>
  <c r="X17" i="20" s="1"/>
  <c r="P17" i="20"/>
  <c r="Q17" i="20" s="1"/>
  <c r="K17" i="20"/>
  <c r="L17" i="20" s="1"/>
  <c r="F17" i="20"/>
  <c r="G17" i="20" s="1"/>
  <c r="TW16" i="20"/>
  <c r="TX16" i="20" s="1"/>
  <c r="TR16" i="20"/>
  <c r="TS16" i="20" s="1"/>
  <c r="TM16" i="20"/>
  <c r="TN16" i="20" s="1"/>
  <c r="TF16" i="20"/>
  <c r="TG16" i="20" s="1"/>
  <c r="TA16" i="20"/>
  <c r="TB16" i="20" s="1"/>
  <c r="SV16" i="20"/>
  <c r="SW16" i="20" s="1"/>
  <c r="SO16" i="20"/>
  <c r="SP16" i="20" s="1"/>
  <c r="SJ16" i="20"/>
  <c r="SK16" i="20" s="1"/>
  <c r="SE16" i="20"/>
  <c r="SF16" i="20" s="1"/>
  <c r="RX16" i="20"/>
  <c r="RY16" i="20" s="1"/>
  <c r="RS16" i="20"/>
  <c r="RT16" i="20" s="1"/>
  <c r="RN16" i="20"/>
  <c r="RO16" i="20" s="1"/>
  <c r="RG16" i="20"/>
  <c r="RH16" i="20" s="1"/>
  <c r="RB16" i="20"/>
  <c r="RC16" i="20" s="1"/>
  <c r="QW16" i="20"/>
  <c r="QP16" i="20"/>
  <c r="QQ16" i="20" s="1"/>
  <c r="QK16" i="20"/>
  <c r="QL16" i="20" s="1"/>
  <c r="QF16" i="20"/>
  <c r="QG16" i="20" s="1"/>
  <c r="PY16" i="20"/>
  <c r="PZ16" i="20" s="1"/>
  <c r="PT16" i="20"/>
  <c r="PU16" i="20" s="1"/>
  <c r="PO16" i="20"/>
  <c r="PP16" i="20" s="1"/>
  <c r="PH16" i="20"/>
  <c r="PI16" i="20" s="1"/>
  <c r="PC16" i="20"/>
  <c r="PD16" i="20" s="1"/>
  <c r="OX16" i="20"/>
  <c r="OY16" i="20" s="1"/>
  <c r="OQ16" i="20"/>
  <c r="OL16" i="20"/>
  <c r="OM16" i="20" s="1"/>
  <c r="OG16" i="20"/>
  <c r="OH16" i="20" s="1"/>
  <c r="NZ16" i="20"/>
  <c r="OA16" i="20" s="1"/>
  <c r="NU16" i="20"/>
  <c r="NV16" i="20" s="1"/>
  <c r="NP16" i="20"/>
  <c r="NQ16" i="20" s="1"/>
  <c r="NI16" i="20"/>
  <c r="NJ16" i="20" s="1"/>
  <c r="ND16" i="20"/>
  <c r="NE16" i="20" s="1"/>
  <c r="MY16" i="20"/>
  <c r="MZ16" i="20" s="1"/>
  <c r="MR16" i="20"/>
  <c r="MS16" i="20" s="1"/>
  <c r="MM16" i="20"/>
  <c r="MN16" i="20" s="1"/>
  <c r="MH16" i="20"/>
  <c r="MI16" i="20" s="1"/>
  <c r="MA16" i="20"/>
  <c r="MB16" i="20" s="1"/>
  <c r="LV16" i="20"/>
  <c r="LW16" i="20" s="1"/>
  <c r="LQ16" i="20"/>
  <c r="LJ16" i="20"/>
  <c r="LK16" i="20" s="1"/>
  <c r="LE16" i="20"/>
  <c r="LF16" i="20" s="1"/>
  <c r="KZ16" i="20"/>
  <c r="LA16" i="20" s="1"/>
  <c r="KS16" i="20"/>
  <c r="KT16" i="20" s="1"/>
  <c r="KN16" i="20"/>
  <c r="KO16" i="20" s="1"/>
  <c r="KI16" i="20"/>
  <c r="KJ16" i="20" s="1"/>
  <c r="KB16" i="20"/>
  <c r="KC16" i="20" s="1"/>
  <c r="JW16" i="20"/>
  <c r="JX16" i="20" s="1"/>
  <c r="JR16" i="20"/>
  <c r="JS16" i="20" s="1"/>
  <c r="JK16" i="20"/>
  <c r="JF16" i="20"/>
  <c r="JG16" i="20" s="1"/>
  <c r="JA16" i="20"/>
  <c r="JB16" i="20" s="1"/>
  <c r="IT16" i="20"/>
  <c r="IU16" i="20" s="1"/>
  <c r="IO16" i="20"/>
  <c r="IP16" i="20" s="1"/>
  <c r="IJ16" i="20"/>
  <c r="IK16" i="20" s="1"/>
  <c r="IC16" i="20"/>
  <c r="ID16" i="20" s="1"/>
  <c r="HX16" i="20"/>
  <c r="HY16" i="20" s="1"/>
  <c r="HS16" i="20"/>
  <c r="HT16" i="20" s="1"/>
  <c r="HL16" i="20"/>
  <c r="HM16" i="20" s="1"/>
  <c r="HG16" i="20"/>
  <c r="HH16" i="20" s="1"/>
  <c r="HB16" i="20"/>
  <c r="HC16" i="20" s="1"/>
  <c r="GU16" i="20"/>
  <c r="GV16" i="20" s="1"/>
  <c r="GP16" i="20"/>
  <c r="GQ16" i="20" s="1"/>
  <c r="GK16" i="20"/>
  <c r="GD16" i="20"/>
  <c r="GE16" i="20" s="1"/>
  <c r="FY16" i="20"/>
  <c r="FZ16" i="20" s="1"/>
  <c r="FT16" i="20"/>
  <c r="FU16" i="20" s="1"/>
  <c r="FM16" i="20"/>
  <c r="FN16" i="20" s="1"/>
  <c r="FH16" i="20"/>
  <c r="FI16" i="20" s="1"/>
  <c r="FC16" i="20"/>
  <c r="FD16" i="20" s="1"/>
  <c r="EV16" i="20"/>
  <c r="EW16" i="20" s="1"/>
  <c r="EQ16" i="20"/>
  <c r="ER16" i="20" s="1"/>
  <c r="EL16" i="20"/>
  <c r="EM16" i="20" s="1"/>
  <c r="EE16" i="20"/>
  <c r="DZ16" i="20"/>
  <c r="EA16" i="20" s="1"/>
  <c r="DU16" i="20"/>
  <c r="DV16" i="20" s="1"/>
  <c r="DN16" i="20"/>
  <c r="DO16" i="20" s="1"/>
  <c r="DI16" i="20"/>
  <c r="DJ16" i="20" s="1"/>
  <c r="DD16" i="20"/>
  <c r="DE16" i="20" s="1"/>
  <c r="CW16" i="20"/>
  <c r="CX16" i="20" s="1"/>
  <c r="CR16" i="20"/>
  <c r="CS16" i="20" s="1"/>
  <c r="CM16" i="20"/>
  <c r="CN16" i="20" s="1"/>
  <c r="CF16" i="20"/>
  <c r="CG16" i="20" s="1"/>
  <c r="CA16" i="20"/>
  <c r="CB16" i="20" s="1"/>
  <c r="BV16" i="20"/>
  <c r="BW16" i="20" s="1"/>
  <c r="BO16" i="20"/>
  <c r="BP16" i="20" s="1"/>
  <c r="BJ16" i="20"/>
  <c r="BK16" i="20" s="1"/>
  <c r="BE16" i="20"/>
  <c r="AX16" i="20"/>
  <c r="AY16" i="20" s="1"/>
  <c r="AS16" i="20"/>
  <c r="AT16" i="20" s="1"/>
  <c r="AN16" i="20"/>
  <c r="AO16" i="20" s="1"/>
  <c r="AG16" i="20"/>
  <c r="AH16" i="20" s="1"/>
  <c r="AB16" i="20"/>
  <c r="AC16" i="20" s="1"/>
  <c r="W16" i="20"/>
  <c r="X16" i="20" s="1"/>
  <c r="P16" i="20"/>
  <c r="Q16" i="20" s="1"/>
  <c r="K16" i="20"/>
  <c r="L16" i="20" s="1"/>
  <c r="F16" i="20"/>
  <c r="G16" i="20" s="1"/>
  <c r="TW15" i="20"/>
  <c r="TR15" i="20"/>
  <c r="TS15" i="20" s="1"/>
  <c r="TM15" i="20"/>
  <c r="TN15" i="20" s="1"/>
  <c r="TF15" i="20"/>
  <c r="TG15" i="20" s="1"/>
  <c r="TA15" i="20"/>
  <c r="TB15" i="20" s="1"/>
  <c r="SV15" i="20"/>
  <c r="SW15" i="20" s="1"/>
  <c r="SO15" i="20"/>
  <c r="SP15" i="20" s="1"/>
  <c r="SJ15" i="20"/>
  <c r="SK15" i="20" s="1"/>
  <c r="SE15" i="20"/>
  <c r="SF15" i="20" s="1"/>
  <c r="RX15" i="20"/>
  <c r="RY15" i="20" s="1"/>
  <c r="RS15" i="20"/>
  <c r="RT15" i="20" s="1"/>
  <c r="RN15" i="20"/>
  <c r="RO15" i="20" s="1"/>
  <c r="RG15" i="20"/>
  <c r="RH15" i="20" s="1"/>
  <c r="RB15" i="20"/>
  <c r="RC15" i="20" s="1"/>
  <c r="QW15" i="20"/>
  <c r="QP15" i="20"/>
  <c r="QQ15" i="20" s="1"/>
  <c r="QK15" i="20"/>
  <c r="QF15" i="20"/>
  <c r="QG15" i="20" s="1"/>
  <c r="PY15" i="20"/>
  <c r="PT15" i="20"/>
  <c r="PU15" i="20" s="1"/>
  <c r="PO15" i="20"/>
  <c r="PP15" i="20" s="1"/>
  <c r="PH15" i="20"/>
  <c r="PI15" i="20" s="1"/>
  <c r="PC15" i="20"/>
  <c r="PD15" i="20" s="1"/>
  <c r="OX15" i="20"/>
  <c r="OY15" i="20" s="1"/>
  <c r="OQ15" i="20"/>
  <c r="OR15" i="20" s="1"/>
  <c r="OL15" i="20"/>
  <c r="OM15" i="20" s="1"/>
  <c r="OG15" i="20"/>
  <c r="NZ15" i="20"/>
  <c r="OA15" i="20" s="1"/>
  <c r="NU15" i="20"/>
  <c r="NP15" i="20"/>
  <c r="NQ15" i="20" s="1"/>
  <c r="NI15" i="20"/>
  <c r="ND15" i="20"/>
  <c r="NE15" i="20" s="1"/>
  <c r="MY15" i="20"/>
  <c r="MZ15" i="20" s="1"/>
  <c r="MR15" i="20"/>
  <c r="MS15" i="20" s="1"/>
  <c r="MM15" i="20"/>
  <c r="MN15" i="20" s="1"/>
  <c r="MH15" i="20"/>
  <c r="MI15" i="20" s="1"/>
  <c r="MA15" i="20"/>
  <c r="MB15" i="20" s="1"/>
  <c r="LV15" i="20"/>
  <c r="LW15" i="20" s="1"/>
  <c r="LQ15" i="20"/>
  <c r="LJ15" i="20"/>
  <c r="LK15" i="20" s="1"/>
  <c r="LE15" i="20"/>
  <c r="KZ15" i="20"/>
  <c r="LA15" i="20" s="1"/>
  <c r="KS15" i="20"/>
  <c r="KN15" i="20"/>
  <c r="KO15" i="20" s="1"/>
  <c r="KI15" i="20"/>
  <c r="KJ15" i="20" s="1"/>
  <c r="KB15" i="20"/>
  <c r="JW15" i="20"/>
  <c r="JX15" i="20" s="1"/>
  <c r="JR15" i="20"/>
  <c r="JS15" i="20" s="1"/>
  <c r="JK15" i="20"/>
  <c r="JL15" i="20" s="1"/>
  <c r="JF15" i="20"/>
  <c r="JG15" i="20" s="1"/>
  <c r="JA15" i="20"/>
  <c r="IT15" i="20"/>
  <c r="IU15" i="20" s="1"/>
  <c r="IO15" i="20"/>
  <c r="IJ15" i="20"/>
  <c r="IK15" i="20" s="1"/>
  <c r="IC15" i="20"/>
  <c r="HX15" i="20"/>
  <c r="HY15" i="20" s="1"/>
  <c r="HS15" i="20"/>
  <c r="HT15" i="20" s="1"/>
  <c r="HL15" i="20"/>
  <c r="HM15" i="20" s="1"/>
  <c r="HG15" i="20"/>
  <c r="HH15" i="20" s="1"/>
  <c r="HB15" i="20"/>
  <c r="HC15" i="20" s="1"/>
  <c r="GU15" i="20"/>
  <c r="GV15" i="20" s="1"/>
  <c r="GP15" i="20"/>
  <c r="GQ15" i="20" s="1"/>
  <c r="GK15" i="20"/>
  <c r="GD15" i="20"/>
  <c r="GE15" i="20" s="1"/>
  <c r="FY15" i="20"/>
  <c r="FT15" i="20"/>
  <c r="FU15" i="20" s="1"/>
  <c r="FM15" i="20"/>
  <c r="FH15" i="20"/>
  <c r="FI15" i="20" s="1"/>
  <c r="FC15" i="20"/>
  <c r="FD15" i="20" s="1"/>
  <c r="EV15" i="20"/>
  <c r="EW15" i="20" s="1"/>
  <c r="EQ15" i="20"/>
  <c r="ER15" i="20" s="1"/>
  <c r="EL15" i="20"/>
  <c r="EM15" i="20" s="1"/>
  <c r="EE15" i="20"/>
  <c r="EF15" i="20" s="1"/>
  <c r="DZ15" i="20"/>
  <c r="EA15" i="20" s="1"/>
  <c r="DU15" i="20"/>
  <c r="DN15" i="20"/>
  <c r="DO15" i="20" s="1"/>
  <c r="DI15" i="20"/>
  <c r="DD15" i="20"/>
  <c r="DE15" i="20" s="1"/>
  <c r="CW15" i="20"/>
  <c r="CR15" i="20"/>
  <c r="CS15" i="20" s="1"/>
  <c r="CM15" i="20"/>
  <c r="CN15" i="20" s="1"/>
  <c r="CF15" i="20"/>
  <c r="CG15" i="20" s="1"/>
  <c r="CA15" i="20"/>
  <c r="CB15" i="20" s="1"/>
  <c r="BV15" i="20"/>
  <c r="BW15" i="20" s="1"/>
  <c r="BO15" i="20"/>
  <c r="BP15" i="20" s="1"/>
  <c r="BJ15" i="20"/>
  <c r="BK15" i="20" s="1"/>
  <c r="BE15" i="20"/>
  <c r="AX15" i="20"/>
  <c r="AY15" i="20" s="1"/>
  <c r="AS15" i="20"/>
  <c r="AN15" i="20"/>
  <c r="AO15" i="20" s="1"/>
  <c r="AG15" i="20"/>
  <c r="AB15" i="20"/>
  <c r="AC15" i="20" s="1"/>
  <c r="W15" i="20"/>
  <c r="X15" i="20" s="1"/>
  <c r="P15" i="20"/>
  <c r="Q15" i="20" s="1"/>
  <c r="K15" i="20"/>
  <c r="L15" i="20" s="1"/>
  <c r="F15" i="20"/>
  <c r="G15" i="20" s="1"/>
  <c r="TW13" i="20"/>
  <c r="TX13" i="20" s="1"/>
  <c r="TR13" i="20"/>
  <c r="TS13" i="20" s="1"/>
  <c r="TM13" i="20"/>
  <c r="TN13" i="20" s="1"/>
  <c r="TF13" i="20"/>
  <c r="TF12" i="20" s="1"/>
  <c r="TG12" i="20" s="1"/>
  <c r="TA13" i="20"/>
  <c r="TB13" i="20" s="1"/>
  <c r="SV13" i="20"/>
  <c r="SV12" i="20" s="1"/>
  <c r="SW12" i="20" s="1"/>
  <c r="SO13" i="20"/>
  <c r="SP13" i="20" s="1"/>
  <c r="SJ13" i="20"/>
  <c r="SK13" i="20" s="1"/>
  <c r="SE13" i="20"/>
  <c r="RX13" i="20"/>
  <c r="RS13" i="20"/>
  <c r="RT13" i="20" s="1"/>
  <c r="RN13" i="20"/>
  <c r="RO13" i="20" s="1"/>
  <c r="RG13" i="20"/>
  <c r="RH13" i="20" s="1"/>
  <c r="RB13" i="20"/>
  <c r="RC13" i="20" s="1"/>
  <c r="QW13" i="20"/>
  <c r="QX13" i="20" s="1"/>
  <c r="QP13" i="20"/>
  <c r="QP12" i="20" s="1"/>
  <c r="QQ12" i="20" s="1"/>
  <c r="QK13" i="20"/>
  <c r="QL13" i="20" s="1"/>
  <c r="QF13" i="20"/>
  <c r="QF12" i="20" s="1"/>
  <c r="QG12" i="20" s="1"/>
  <c r="PY13" i="20"/>
  <c r="PZ13" i="20" s="1"/>
  <c r="PT13" i="20"/>
  <c r="PU13" i="20" s="1"/>
  <c r="PO13" i="20"/>
  <c r="PH13" i="20"/>
  <c r="PH12" i="20" s="1"/>
  <c r="PI12" i="20" s="1"/>
  <c r="PC13" i="20"/>
  <c r="PD13" i="20" s="1"/>
  <c r="OX13" i="20"/>
  <c r="OY13" i="20" s="1"/>
  <c r="OQ13" i="20"/>
  <c r="OR13" i="20" s="1"/>
  <c r="OL13" i="20"/>
  <c r="OM13" i="20" s="1"/>
  <c r="OG13" i="20"/>
  <c r="OH13" i="20" s="1"/>
  <c r="NZ13" i="20"/>
  <c r="NZ12" i="20" s="1"/>
  <c r="OA12" i="20" s="1"/>
  <c r="NU13" i="20"/>
  <c r="NV13" i="20" s="1"/>
  <c r="NP13" i="20"/>
  <c r="NP12" i="20" s="1"/>
  <c r="NQ12" i="20" s="1"/>
  <c r="NI13" i="20"/>
  <c r="NJ13" i="20" s="1"/>
  <c r="ND13" i="20"/>
  <c r="NE13" i="20" s="1"/>
  <c r="MY13" i="20"/>
  <c r="MR13" i="20"/>
  <c r="MR12" i="20" s="1"/>
  <c r="MS12" i="20" s="1"/>
  <c r="MM13" i="20"/>
  <c r="MN13" i="20" s="1"/>
  <c r="MH13" i="20"/>
  <c r="MI13" i="20" s="1"/>
  <c r="MA13" i="20"/>
  <c r="MB13" i="20" s="1"/>
  <c r="LV13" i="20"/>
  <c r="LW13" i="20" s="1"/>
  <c r="LQ13" i="20"/>
  <c r="LJ13" i="20"/>
  <c r="LJ12" i="20" s="1"/>
  <c r="LK12" i="20" s="1"/>
  <c r="LE13" i="20"/>
  <c r="LF13" i="20" s="1"/>
  <c r="KZ13" i="20"/>
  <c r="KZ12" i="20" s="1"/>
  <c r="LA12" i="20" s="1"/>
  <c r="KS13" i="20"/>
  <c r="KT13" i="20" s="1"/>
  <c r="KN13" i="20"/>
  <c r="KO13" i="20" s="1"/>
  <c r="KI13" i="20"/>
  <c r="KJ13" i="20" s="1"/>
  <c r="KB13" i="20"/>
  <c r="KB12" i="20" s="1"/>
  <c r="KC12" i="20" s="1"/>
  <c r="JW13" i="20"/>
  <c r="JX13" i="20" s="1"/>
  <c r="JR13" i="20"/>
  <c r="JS13" i="20" s="1"/>
  <c r="JK13" i="20"/>
  <c r="JL13" i="20" s="1"/>
  <c r="JF13" i="20"/>
  <c r="JG13" i="20" s="1"/>
  <c r="JA13" i="20"/>
  <c r="JA12" i="20" s="1"/>
  <c r="JB12" i="20" s="1"/>
  <c r="IT13" i="20"/>
  <c r="IO13" i="20"/>
  <c r="IP13" i="20" s="1"/>
  <c r="IJ13" i="20"/>
  <c r="IK13" i="20" s="1"/>
  <c r="IC13" i="20"/>
  <c r="ID13" i="20" s="1"/>
  <c r="HX13" i="20"/>
  <c r="HY13" i="20" s="1"/>
  <c r="HS13" i="20"/>
  <c r="HT13" i="20" s="1"/>
  <c r="HL13" i="20"/>
  <c r="HL12" i="20" s="1"/>
  <c r="HM12" i="20" s="1"/>
  <c r="HG13" i="20"/>
  <c r="HH13" i="20" s="1"/>
  <c r="HB13" i="20"/>
  <c r="HB12" i="20" s="1"/>
  <c r="HC12" i="20" s="1"/>
  <c r="GU13" i="20"/>
  <c r="GV13" i="20" s="1"/>
  <c r="GP13" i="20"/>
  <c r="GQ13" i="20" s="1"/>
  <c r="GK13" i="20"/>
  <c r="GK12" i="20" s="1"/>
  <c r="GL12" i="20" s="1"/>
  <c r="GD13" i="20"/>
  <c r="GD12" i="20" s="1"/>
  <c r="GE12" i="20" s="1"/>
  <c r="FY13" i="20"/>
  <c r="FZ13" i="20" s="1"/>
  <c r="FT13" i="20"/>
  <c r="FT12" i="20" s="1"/>
  <c r="FU12" i="20" s="1"/>
  <c r="FM13" i="20"/>
  <c r="FN13" i="20" s="1"/>
  <c r="FH13" i="20"/>
  <c r="FI13" i="20" s="1"/>
  <c r="FC13" i="20"/>
  <c r="FD13" i="20" s="1"/>
  <c r="EV13" i="20"/>
  <c r="EV12" i="20" s="1"/>
  <c r="EW12" i="20" s="1"/>
  <c r="EQ13" i="20"/>
  <c r="ER13" i="20" s="1"/>
  <c r="EL13" i="20"/>
  <c r="EM13" i="20" s="1"/>
  <c r="EE13" i="20"/>
  <c r="EF13" i="20" s="1"/>
  <c r="DZ13" i="20"/>
  <c r="EA13" i="20" s="1"/>
  <c r="DU13" i="20"/>
  <c r="DU12" i="20" s="1"/>
  <c r="DV12" i="20" s="1"/>
  <c r="DN13" i="20"/>
  <c r="DN12" i="20" s="1"/>
  <c r="DO12" i="20" s="1"/>
  <c r="DI13" i="20"/>
  <c r="DJ13" i="20" s="1"/>
  <c r="DD13" i="20"/>
  <c r="DE13" i="20" s="1"/>
  <c r="CW13" i="20"/>
  <c r="CX13" i="20" s="1"/>
  <c r="CR13" i="20"/>
  <c r="CS13" i="20" s="1"/>
  <c r="CM13" i="20"/>
  <c r="CM12" i="20" s="1"/>
  <c r="CN12" i="20" s="1"/>
  <c r="CF13" i="20"/>
  <c r="CF12" i="20" s="1"/>
  <c r="CG12" i="20" s="1"/>
  <c r="CA13" i="20"/>
  <c r="CB13" i="20" s="1"/>
  <c r="BV13" i="20"/>
  <c r="BW13" i="20" s="1"/>
  <c r="BO13" i="20"/>
  <c r="BP13" i="20" s="1"/>
  <c r="BJ13" i="20"/>
  <c r="BK13" i="20" s="1"/>
  <c r="BE13" i="20"/>
  <c r="BE12" i="20" s="1"/>
  <c r="BF12" i="20" s="1"/>
  <c r="AX13" i="20"/>
  <c r="AX12" i="20" s="1"/>
  <c r="AY12" i="20" s="1"/>
  <c r="AS13" i="20"/>
  <c r="AT13" i="20" s="1"/>
  <c r="AN13" i="20"/>
  <c r="AO13" i="20" s="1"/>
  <c r="AG13" i="20"/>
  <c r="AH13" i="20" s="1"/>
  <c r="AB13" i="20"/>
  <c r="AC13" i="20" s="1"/>
  <c r="W13" i="20"/>
  <c r="X13" i="20" s="1"/>
  <c r="P13" i="20"/>
  <c r="P12" i="20" s="1"/>
  <c r="Q12" i="20" s="1"/>
  <c r="K13" i="20"/>
  <c r="L13" i="20" s="1"/>
  <c r="F13" i="20"/>
  <c r="F12" i="20" s="1"/>
  <c r="G12" i="20" s="1"/>
  <c r="TW12" i="20"/>
  <c r="TX12" i="20" s="1"/>
  <c r="SO12" i="20"/>
  <c r="SP12" i="20" s="1"/>
  <c r="RX12" i="20"/>
  <c r="RY12" i="20" s="1"/>
  <c r="LE12" i="20"/>
  <c r="LF12" i="20" s="1"/>
  <c r="IT12" i="20"/>
  <c r="IU12" i="20" s="1"/>
  <c r="HX12" i="20"/>
  <c r="HY12" i="20" s="1"/>
  <c r="HS12" i="20"/>
  <c r="HT12" i="20" s="1"/>
  <c r="DZ12" i="20"/>
  <c r="EA12" i="20" s="1"/>
  <c r="TW11" i="20"/>
  <c r="TX11" i="20" s="1"/>
  <c r="TR11" i="20"/>
  <c r="TS11" i="20" s="1"/>
  <c r="TM11" i="20"/>
  <c r="TF11" i="20"/>
  <c r="TA11" i="20"/>
  <c r="TB11" i="20" s="1"/>
  <c r="SV11" i="20"/>
  <c r="SW11" i="20" s="1"/>
  <c r="SO11" i="20"/>
  <c r="SP11" i="20" s="1"/>
  <c r="SJ11" i="20"/>
  <c r="SK11" i="20" s="1"/>
  <c r="SE11" i="20"/>
  <c r="SF11" i="20" s="1"/>
  <c r="RX11" i="20"/>
  <c r="RS11" i="20"/>
  <c r="RT11" i="20" s="1"/>
  <c r="RN11" i="20"/>
  <c r="RO11" i="20" s="1"/>
  <c r="RG11" i="20"/>
  <c r="RH11" i="20" s="1"/>
  <c r="RB11" i="20"/>
  <c r="RC11" i="20" s="1"/>
  <c r="QW11" i="20"/>
  <c r="QX11" i="20" s="1"/>
  <c r="QP11" i="20"/>
  <c r="QQ11" i="20" s="1"/>
  <c r="QK11" i="20"/>
  <c r="QL11" i="20" s="1"/>
  <c r="QF11" i="20"/>
  <c r="PY11" i="20"/>
  <c r="PZ11" i="20" s="1"/>
  <c r="PT11" i="20"/>
  <c r="PU11" i="20" s="1"/>
  <c r="PO11" i="20"/>
  <c r="PP11" i="20" s="1"/>
  <c r="PH11" i="20"/>
  <c r="PI11" i="20" s="1"/>
  <c r="PC11" i="20"/>
  <c r="PD11" i="20" s="1"/>
  <c r="OX11" i="20"/>
  <c r="OQ11" i="20"/>
  <c r="OR11" i="20" s="1"/>
  <c r="OL11" i="20"/>
  <c r="OG11" i="20"/>
  <c r="OH11" i="20" s="1"/>
  <c r="NZ11" i="20"/>
  <c r="OA11" i="20" s="1"/>
  <c r="NU11" i="20"/>
  <c r="NV11" i="20" s="1"/>
  <c r="NP11" i="20"/>
  <c r="NI11" i="20"/>
  <c r="NJ11" i="20" s="1"/>
  <c r="ND11" i="20"/>
  <c r="NE11" i="20" s="1"/>
  <c r="MY11" i="20"/>
  <c r="MR11" i="20"/>
  <c r="MS11" i="20" s="1"/>
  <c r="MM11" i="20"/>
  <c r="MN11" i="20" s="1"/>
  <c r="MH11" i="20"/>
  <c r="MA11" i="20"/>
  <c r="MB11" i="20" s="1"/>
  <c r="LV11" i="20"/>
  <c r="LW11" i="20" s="1"/>
  <c r="LQ11" i="20"/>
  <c r="LR11" i="20" s="1"/>
  <c r="LJ11" i="20"/>
  <c r="LK11" i="20" s="1"/>
  <c r="LE11" i="20"/>
  <c r="LF11" i="20" s="1"/>
  <c r="KZ11" i="20"/>
  <c r="KS11" i="20"/>
  <c r="KT11" i="20" s="1"/>
  <c r="KN11" i="20"/>
  <c r="KO11" i="20" s="1"/>
  <c r="KI11" i="20"/>
  <c r="KB11" i="20"/>
  <c r="KC11" i="20" s="1"/>
  <c r="JW11" i="20"/>
  <c r="JX11" i="20" s="1"/>
  <c r="JR11" i="20"/>
  <c r="JK11" i="20"/>
  <c r="JL11" i="20" s="1"/>
  <c r="JF11" i="20"/>
  <c r="JA11" i="20"/>
  <c r="JB11" i="20" s="1"/>
  <c r="IT11" i="20"/>
  <c r="IU11" i="20" s="1"/>
  <c r="IO11" i="20"/>
  <c r="IP11" i="20" s="1"/>
  <c r="IJ11" i="20"/>
  <c r="IC11" i="20"/>
  <c r="ID11" i="20" s="1"/>
  <c r="HX11" i="20"/>
  <c r="HY11" i="20" s="1"/>
  <c r="HS11" i="20"/>
  <c r="HT11" i="20" s="1"/>
  <c r="HL11" i="20"/>
  <c r="HM11" i="20" s="1"/>
  <c r="HG11" i="20"/>
  <c r="HH11" i="20" s="1"/>
  <c r="HB11" i="20"/>
  <c r="GU11" i="20"/>
  <c r="GV11" i="20" s="1"/>
  <c r="GP11" i="20"/>
  <c r="GQ11" i="20" s="1"/>
  <c r="GK11" i="20"/>
  <c r="GL11" i="20" s="1"/>
  <c r="GD11" i="20"/>
  <c r="GE11" i="20" s="1"/>
  <c r="FY11" i="20"/>
  <c r="FZ11" i="20" s="1"/>
  <c r="FT11" i="20"/>
  <c r="FM11" i="20"/>
  <c r="FN11" i="20" s="1"/>
  <c r="FH11" i="20"/>
  <c r="FI11" i="20" s="1"/>
  <c r="FC11" i="20"/>
  <c r="FD11" i="20" s="1"/>
  <c r="EV11" i="20"/>
  <c r="EW11" i="20" s="1"/>
  <c r="EQ11" i="20"/>
  <c r="ER11" i="20" s="1"/>
  <c r="EL11" i="20"/>
  <c r="EE11" i="20"/>
  <c r="EF11" i="20" s="1"/>
  <c r="DZ11" i="20"/>
  <c r="DU11" i="20"/>
  <c r="DV11" i="20" s="1"/>
  <c r="DN11" i="20"/>
  <c r="DO11" i="20" s="1"/>
  <c r="DI11" i="20"/>
  <c r="DJ11" i="20" s="1"/>
  <c r="DD11" i="20"/>
  <c r="CW11" i="20"/>
  <c r="CX11" i="20" s="1"/>
  <c r="CR11" i="20"/>
  <c r="CS11" i="20" s="1"/>
  <c r="CM11" i="20"/>
  <c r="CN11" i="20" s="1"/>
  <c r="CF11" i="20"/>
  <c r="CG11" i="20" s="1"/>
  <c r="CA11" i="20"/>
  <c r="CB11" i="20" s="1"/>
  <c r="BV11" i="20"/>
  <c r="BO11" i="20"/>
  <c r="BP11" i="20" s="1"/>
  <c r="BJ11" i="20"/>
  <c r="BK11" i="20" s="1"/>
  <c r="BF11" i="20"/>
  <c r="BE11" i="20"/>
  <c r="AX11" i="20"/>
  <c r="AY11" i="20" s="1"/>
  <c r="AS11" i="20"/>
  <c r="AT11" i="20" s="1"/>
  <c r="AN11" i="20"/>
  <c r="AG11" i="20"/>
  <c r="AH11" i="20" s="1"/>
  <c r="AB11" i="20"/>
  <c r="AC11" i="20" s="1"/>
  <c r="W11" i="20"/>
  <c r="X11" i="20" s="1"/>
  <c r="P11" i="20"/>
  <c r="Q11" i="20" s="1"/>
  <c r="K11" i="20"/>
  <c r="L11" i="20" s="1"/>
  <c r="F11" i="20"/>
  <c r="TW10" i="20"/>
  <c r="TX10" i="20" s="1"/>
  <c r="TR10" i="20"/>
  <c r="TS10" i="20" s="1"/>
  <c r="TM10" i="20"/>
  <c r="TF10" i="20"/>
  <c r="TG10" i="20" s="1"/>
  <c r="TA10" i="20"/>
  <c r="TB10" i="20" s="1"/>
  <c r="SV10" i="20"/>
  <c r="SO10" i="20"/>
  <c r="SP10" i="20" s="1"/>
  <c r="SJ10" i="20"/>
  <c r="SK10" i="20" s="1"/>
  <c r="SE10" i="20"/>
  <c r="SF10" i="20" s="1"/>
  <c r="RX10" i="20"/>
  <c r="RY10" i="20" s="1"/>
  <c r="RS10" i="20"/>
  <c r="RT10" i="20" s="1"/>
  <c r="RN10" i="20"/>
  <c r="RG10" i="20"/>
  <c r="RH10" i="20" s="1"/>
  <c r="RB10" i="20"/>
  <c r="RC10" i="20" s="1"/>
  <c r="QW10" i="20"/>
  <c r="QX10" i="20" s="1"/>
  <c r="QP10" i="20"/>
  <c r="QQ10" i="20" s="1"/>
  <c r="QK10" i="20"/>
  <c r="QL10" i="20" s="1"/>
  <c r="QF10" i="20"/>
  <c r="PY10" i="20"/>
  <c r="PZ10" i="20" s="1"/>
  <c r="PT10" i="20"/>
  <c r="PU10" i="20" s="1"/>
  <c r="PO10" i="20"/>
  <c r="PH10" i="20"/>
  <c r="PI10" i="20" s="1"/>
  <c r="PC10" i="20"/>
  <c r="PD10" i="20" s="1"/>
  <c r="OX10" i="20"/>
  <c r="OQ10" i="20"/>
  <c r="OR10" i="20" s="1"/>
  <c r="OL10" i="20"/>
  <c r="OM10" i="20" s="1"/>
  <c r="OG10" i="20"/>
  <c r="NZ10" i="20"/>
  <c r="OA10" i="20" s="1"/>
  <c r="NU10" i="20"/>
  <c r="NV10" i="20" s="1"/>
  <c r="NP10" i="20"/>
  <c r="NI10" i="20"/>
  <c r="NJ10" i="20" s="1"/>
  <c r="ND10" i="20"/>
  <c r="NE10" i="20" s="1"/>
  <c r="MY10" i="20"/>
  <c r="MR10" i="20"/>
  <c r="MS10" i="20" s="1"/>
  <c r="MM10" i="20"/>
  <c r="MN10" i="20" s="1"/>
  <c r="MH10" i="20"/>
  <c r="MA10" i="20"/>
  <c r="MB10" i="20" s="1"/>
  <c r="LV10" i="20"/>
  <c r="LW10" i="20" s="1"/>
  <c r="LQ10" i="20"/>
  <c r="LR10" i="20" s="1"/>
  <c r="LJ10" i="20"/>
  <c r="LK10" i="20" s="1"/>
  <c r="LE10" i="20"/>
  <c r="LF10" i="20" s="1"/>
  <c r="KZ10" i="20"/>
  <c r="KS10" i="20"/>
  <c r="KT10" i="20" s="1"/>
  <c r="KN10" i="20"/>
  <c r="KO10" i="20" s="1"/>
  <c r="KI10" i="20"/>
  <c r="KJ10" i="20" s="1"/>
  <c r="KB10" i="20"/>
  <c r="KC10" i="20" s="1"/>
  <c r="JW10" i="20"/>
  <c r="JX10" i="20" s="1"/>
  <c r="JR10" i="20"/>
  <c r="JK10" i="20"/>
  <c r="JL10" i="20" s="1"/>
  <c r="JF10" i="20"/>
  <c r="JG10" i="20" s="1"/>
  <c r="JA10" i="20"/>
  <c r="IT10" i="20"/>
  <c r="IU10" i="20" s="1"/>
  <c r="IO10" i="20"/>
  <c r="IP10" i="20" s="1"/>
  <c r="IJ10" i="20"/>
  <c r="IC10" i="20"/>
  <c r="ID10" i="20" s="1"/>
  <c r="HX10" i="20"/>
  <c r="HY10" i="20" s="1"/>
  <c r="HS10" i="20"/>
  <c r="HL10" i="20"/>
  <c r="HM10" i="20" s="1"/>
  <c r="HG10" i="20"/>
  <c r="HH10" i="20" s="1"/>
  <c r="HB10" i="20"/>
  <c r="GU10" i="20"/>
  <c r="GV10" i="20" s="1"/>
  <c r="GP10" i="20"/>
  <c r="GQ10" i="20" s="1"/>
  <c r="GK10" i="20"/>
  <c r="GL10" i="20" s="1"/>
  <c r="GD10" i="20"/>
  <c r="GE10" i="20" s="1"/>
  <c r="FY10" i="20"/>
  <c r="FZ10" i="20" s="1"/>
  <c r="FT10" i="20"/>
  <c r="FM10" i="20"/>
  <c r="FN10" i="20" s="1"/>
  <c r="FH10" i="20"/>
  <c r="FI10" i="20" s="1"/>
  <c r="FC10" i="20"/>
  <c r="FD10" i="20" s="1"/>
  <c r="EV10" i="20"/>
  <c r="EW10" i="20" s="1"/>
  <c r="EQ10" i="20"/>
  <c r="ER10" i="20" s="1"/>
  <c r="EL10" i="20"/>
  <c r="EE10" i="20"/>
  <c r="EF10" i="20" s="1"/>
  <c r="DZ10" i="20"/>
  <c r="EA10" i="20" s="1"/>
  <c r="DU10" i="20"/>
  <c r="DN10" i="20"/>
  <c r="DO10" i="20" s="1"/>
  <c r="DI10" i="20"/>
  <c r="DJ10" i="20" s="1"/>
  <c r="DD10" i="20"/>
  <c r="CW10" i="20"/>
  <c r="CX10" i="20" s="1"/>
  <c r="CR10" i="20"/>
  <c r="CS10" i="20" s="1"/>
  <c r="CM10" i="20"/>
  <c r="CF10" i="20"/>
  <c r="CG10" i="20" s="1"/>
  <c r="CA10" i="20"/>
  <c r="CB10" i="20" s="1"/>
  <c r="BV10" i="20"/>
  <c r="BP10" i="20"/>
  <c r="BO10" i="20"/>
  <c r="BJ10" i="20"/>
  <c r="BK10" i="20" s="1"/>
  <c r="BE10" i="20"/>
  <c r="AX10" i="20"/>
  <c r="AY10" i="20" s="1"/>
  <c r="AS10" i="20"/>
  <c r="AT10" i="20" s="1"/>
  <c r="AN10" i="20"/>
  <c r="AG10" i="20"/>
  <c r="AH10" i="20" s="1"/>
  <c r="AB10" i="20"/>
  <c r="AC10" i="20" s="1"/>
  <c r="W10" i="20"/>
  <c r="X10" i="20" s="1"/>
  <c r="P10" i="20"/>
  <c r="Q10" i="20" s="1"/>
  <c r="K10" i="20"/>
  <c r="L10" i="20" s="1"/>
  <c r="F10" i="20"/>
  <c r="TW9" i="20"/>
  <c r="TX9" i="20" s="1"/>
  <c r="TR9" i="20"/>
  <c r="TS9" i="20" s="1"/>
  <c r="TM9" i="20"/>
  <c r="TF9" i="20"/>
  <c r="TG9" i="20" s="1"/>
  <c r="TA9" i="20"/>
  <c r="TB9" i="20" s="1"/>
  <c r="SV9" i="20"/>
  <c r="SO9" i="20"/>
  <c r="SP9" i="20" s="1"/>
  <c r="SJ9" i="20"/>
  <c r="SK9" i="20" s="1"/>
  <c r="SE9" i="20"/>
  <c r="RX9" i="20"/>
  <c r="RY9" i="20" s="1"/>
  <c r="RS9" i="20"/>
  <c r="RT9" i="20" s="1"/>
  <c r="RN9" i="20"/>
  <c r="RG9" i="20"/>
  <c r="RH9" i="20" s="1"/>
  <c r="RB9" i="20"/>
  <c r="RC9" i="20" s="1"/>
  <c r="QW9" i="20"/>
  <c r="QP9" i="20"/>
  <c r="QQ9" i="20" s="1"/>
  <c r="QK9" i="20"/>
  <c r="QL9" i="20" s="1"/>
  <c r="QF9" i="20"/>
  <c r="PY9" i="20"/>
  <c r="PZ9" i="20" s="1"/>
  <c r="PT9" i="20"/>
  <c r="PU9" i="20" s="1"/>
  <c r="PO9" i="20"/>
  <c r="PP9" i="20" s="1"/>
  <c r="PH9" i="20"/>
  <c r="PI9" i="20" s="1"/>
  <c r="PC9" i="20"/>
  <c r="PD9" i="20" s="1"/>
  <c r="OX9" i="20"/>
  <c r="OQ9" i="20"/>
  <c r="OR9" i="20" s="1"/>
  <c r="OL9" i="20"/>
  <c r="OM9" i="20" s="1"/>
  <c r="OG9" i="20"/>
  <c r="NZ9" i="20"/>
  <c r="OA9" i="20" s="1"/>
  <c r="NU9" i="20"/>
  <c r="NV9" i="20" s="1"/>
  <c r="NP9" i="20"/>
  <c r="NI9" i="20"/>
  <c r="NJ9" i="20" s="1"/>
  <c r="ND9" i="20"/>
  <c r="NE9" i="20" s="1"/>
  <c r="MY9" i="20"/>
  <c r="MR9" i="20"/>
  <c r="MS9" i="20" s="1"/>
  <c r="MM9" i="20"/>
  <c r="MN9" i="20" s="1"/>
  <c r="MH9" i="20"/>
  <c r="MA9" i="20"/>
  <c r="MB9" i="20" s="1"/>
  <c r="LV9" i="20"/>
  <c r="LW9" i="20" s="1"/>
  <c r="LQ9" i="20"/>
  <c r="LQ7" i="20" s="1"/>
  <c r="LR7" i="20" s="1"/>
  <c r="LJ9" i="20"/>
  <c r="LK9" i="20" s="1"/>
  <c r="LE9" i="20"/>
  <c r="LF9" i="20" s="1"/>
  <c r="KZ9" i="20"/>
  <c r="KS9" i="20"/>
  <c r="KT9" i="20" s="1"/>
  <c r="KN9" i="20"/>
  <c r="KO9" i="20" s="1"/>
  <c r="KI9" i="20"/>
  <c r="KJ9" i="20" s="1"/>
  <c r="KB9" i="20"/>
  <c r="KC9" i="20" s="1"/>
  <c r="JW9" i="20"/>
  <c r="JX9" i="20" s="1"/>
  <c r="JR9" i="20"/>
  <c r="JK9" i="20"/>
  <c r="JL9" i="20" s="1"/>
  <c r="JF9" i="20"/>
  <c r="JG9" i="20" s="1"/>
  <c r="JA9" i="20"/>
  <c r="IT9" i="20"/>
  <c r="IU9" i="20" s="1"/>
  <c r="IO9" i="20"/>
  <c r="IP9" i="20" s="1"/>
  <c r="IJ9" i="20"/>
  <c r="IC9" i="20"/>
  <c r="ID9" i="20" s="1"/>
  <c r="HX9" i="20"/>
  <c r="HY9" i="20" s="1"/>
  <c r="HS9" i="20"/>
  <c r="HL9" i="20"/>
  <c r="HM9" i="20" s="1"/>
  <c r="HG9" i="20"/>
  <c r="HH9" i="20" s="1"/>
  <c r="HB9" i="20"/>
  <c r="GU9" i="20"/>
  <c r="GV9" i="20" s="1"/>
  <c r="GP9" i="20"/>
  <c r="GQ9" i="20" s="1"/>
  <c r="GL9" i="20"/>
  <c r="GK9" i="20"/>
  <c r="GD9" i="20"/>
  <c r="GE9" i="20" s="1"/>
  <c r="FY9" i="20"/>
  <c r="FZ9" i="20" s="1"/>
  <c r="FT9" i="20"/>
  <c r="FM9" i="20"/>
  <c r="FN9" i="20" s="1"/>
  <c r="FH9" i="20"/>
  <c r="FI9" i="20" s="1"/>
  <c r="FC9" i="20"/>
  <c r="FD9" i="20" s="1"/>
  <c r="EV9" i="20"/>
  <c r="EW9" i="20" s="1"/>
  <c r="EQ9" i="20"/>
  <c r="ER9" i="20" s="1"/>
  <c r="EL9" i="20"/>
  <c r="EE9" i="20"/>
  <c r="EF9" i="20" s="1"/>
  <c r="DZ9" i="20"/>
  <c r="EA9" i="20" s="1"/>
  <c r="DU9" i="20"/>
  <c r="DN9" i="20"/>
  <c r="DO9" i="20" s="1"/>
  <c r="DI9" i="20"/>
  <c r="DJ9" i="20" s="1"/>
  <c r="DD9" i="20"/>
  <c r="CW9" i="20"/>
  <c r="CX9" i="20" s="1"/>
  <c r="CR9" i="20"/>
  <c r="CS9" i="20" s="1"/>
  <c r="CM9" i="20"/>
  <c r="CF9" i="20"/>
  <c r="CG9" i="20" s="1"/>
  <c r="CA9" i="20"/>
  <c r="CB9" i="20" s="1"/>
  <c r="BV9" i="20"/>
  <c r="BO9" i="20"/>
  <c r="BP9" i="20" s="1"/>
  <c r="BJ9" i="20"/>
  <c r="BK9" i="20" s="1"/>
  <c r="BE9" i="20"/>
  <c r="AX9" i="20"/>
  <c r="AY9" i="20" s="1"/>
  <c r="AS9" i="20"/>
  <c r="AT9" i="20" s="1"/>
  <c r="AN9" i="20"/>
  <c r="AG9" i="20"/>
  <c r="AH9" i="20" s="1"/>
  <c r="AB9" i="20"/>
  <c r="W9" i="20"/>
  <c r="X9" i="20" s="1"/>
  <c r="P9" i="20"/>
  <c r="Q9" i="20" s="1"/>
  <c r="K9" i="20"/>
  <c r="L9" i="20" s="1"/>
  <c r="F9" i="20"/>
  <c r="TW8" i="20"/>
  <c r="TX8" i="20" s="1"/>
  <c r="TR8" i="20"/>
  <c r="TS8" i="20" s="1"/>
  <c r="TM8" i="20"/>
  <c r="TF8" i="20"/>
  <c r="TA8" i="20"/>
  <c r="TB8" i="20" s="1"/>
  <c r="SV8" i="20"/>
  <c r="SV7" i="20" s="1"/>
  <c r="SW7" i="20" s="1"/>
  <c r="SO8" i="20"/>
  <c r="SP8" i="20" s="1"/>
  <c r="SJ8" i="20"/>
  <c r="SK8" i="20" s="1"/>
  <c r="SE8" i="20"/>
  <c r="SF8" i="20" s="1"/>
  <c r="RX8" i="20"/>
  <c r="RY8" i="20" s="1"/>
  <c r="RS8" i="20"/>
  <c r="RT8" i="20" s="1"/>
  <c r="RN8" i="20"/>
  <c r="RG8" i="20"/>
  <c r="RH8" i="20" s="1"/>
  <c r="RB8" i="20"/>
  <c r="RC8" i="20" s="1"/>
  <c r="QW8" i="20"/>
  <c r="QP8" i="20"/>
  <c r="QQ8" i="20" s="1"/>
  <c r="QK8" i="20"/>
  <c r="QL8" i="20" s="1"/>
  <c r="QF8" i="20"/>
  <c r="PY8" i="20"/>
  <c r="PZ8" i="20" s="1"/>
  <c r="PT8" i="20"/>
  <c r="PU8" i="20" s="1"/>
  <c r="PO8" i="20"/>
  <c r="PH8" i="20"/>
  <c r="PI8" i="20" s="1"/>
  <c r="PC8" i="20"/>
  <c r="PD8" i="20" s="1"/>
  <c r="OX8" i="20"/>
  <c r="OQ8" i="20"/>
  <c r="OR8" i="20" s="1"/>
  <c r="OL8" i="20"/>
  <c r="OG8" i="20"/>
  <c r="NZ8" i="20"/>
  <c r="OA8" i="20" s="1"/>
  <c r="NU8" i="20"/>
  <c r="NV8" i="20" s="1"/>
  <c r="NP8" i="20"/>
  <c r="NI8" i="20"/>
  <c r="NJ8" i="20" s="1"/>
  <c r="ND8" i="20"/>
  <c r="NE8" i="20" s="1"/>
  <c r="MY8" i="20"/>
  <c r="MZ8" i="20" s="1"/>
  <c r="MR8" i="20"/>
  <c r="MS8" i="20" s="1"/>
  <c r="MM8" i="20"/>
  <c r="MN8" i="20" s="1"/>
  <c r="MH8" i="20"/>
  <c r="MA8" i="20"/>
  <c r="MB8" i="20" s="1"/>
  <c r="LV8" i="20"/>
  <c r="LW8" i="20" s="1"/>
  <c r="LQ8" i="20"/>
  <c r="LR8" i="20" s="1"/>
  <c r="LJ8" i="20"/>
  <c r="LK8" i="20" s="1"/>
  <c r="LE8" i="20"/>
  <c r="LF8" i="20" s="1"/>
  <c r="KZ8" i="20"/>
  <c r="KS8" i="20"/>
  <c r="KN8" i="20"/>
  <c r="KI8" i="20"/>
  <c r="KB8" i="20"/>
  <c r="KC8" i="20" s="1"/>
  <c r="JW8" i="20"/>
  <c r="JX8" i="20" s="1"/>
  <c r="JR8" i="20"/>
  <c r="JK8" i="20"/>
  <c r="JL8" i="20" s="1"/>
  <c r="JF8" i="20"/>
  <c r="JG8" i="20" s="1"/>
  <c r="JA8" i="20"/>
  <c r="IT8" i="20"/>
  <c r="IU8" i="20" s="1"/>
  <c r="IO8" i="20"/>
  <c r="IP8" i="20" s="1"/>
  <c r="IJ8" i="20"/>
  <c r="IC8" i="20"/>
  <c r="ID8" i="20" s="1"/>
  <c r="HX8" i="20"/>
  <c r="HY8" i="20" s="1"/>
  <c r="HS8" i="20"/>
  <c r="HL8" i="20"/>
  <c r="HM8" i="20" s="1"/>
  <c r="HG8" i="20"/>
  <c r="HH8" i="20" s="1"/>
  <c r="HB8" i="20"/>
  <c r="GU8" i="20"/>
  <c r="GP8" i="20"/>
  <c r="GQ8" i="20" s="1"/>
  <c r="GK8" i="20"/>
  <c r="GD8" i="20"/>
  <c r="GE8" i="20" s="1"/>
  <c r="FY8" i="20"/>
  <c r="FZ8" i="20" s="1"/>
  <c r="FT8" i="20"/>
  <c r="FM8" i="20"/>
  <c r="FN8" i="20" s="1"/>
  <c r="FH8" i="20"/>
  <c r="FC8" i="20"/>
  <c r="FD8" i="20" s="1"/>
  <c r="EV8" i="20"/>
  <c r="EW8" i="20" s="1"/>
  <c r="EQ8" i="20"/>
  <c r="ER8" i="20" s="1"/>
  <c r="EL8" i="20"/>
  <c r="EE8" i="20"/>
  <c r="EF8" i="20" s="1"/>
  <c r="DZ8" i="20"/>
  <c r="EA8" i="20" s="1"/>
  <c r="DU8" i="20"/>
  <c r="DN8" i="20"/>
  <c r="DO8" i="20" s="1"/>
  <c r="DI8" i="20"/>
  <c r="DJ8" i="20" s="1"/>
  <c r="DD8" i="20"/>
  <c r="CW8" i="20"/>
  <c r="CR8" i="20"/>
  <c r="CS8" i="20" s="1"/>
  <c r="CM8" i="20"/>
  <c r="CF8" i="20"/>
  <c r="CG8" i="20" s="1"/>
  <c r="CA8" i="20"/>
  <c r="CB8" i="20" s="1"/>
  <c r="BV8" i="20"/>
  <c r="BO8" i="20"/>
  <c r="BP8" i="20" s="1"/>
  <c r="BJ8" i="20"/>
  <c r="BK8" i="20" s="1"/>
  <c r="BE8" i="20"/>
  <c r="AX8" i="20"/>
  <c r="AS8" i="20"/>
  <c r="AT8" i="20" s="1"/>
  <c r="AN8" i="20"/>
  <c r="AG8" i="20"/>
  <c r="AB8" i="20"/>
  <c r="AC8" i="20" s="1"/>
  <c r="W8" i="20"/>
  <c r="P8" i="20"/>
  <c r="K8" i="20"/>
  <c r="L8" i="20" s="1"/>
  <c r="F8" i="20"/>
  <c r="NU7" i="20"/>
  <c r="NV7" i="20" s="1"/>
  <c r="TW6" i="20"/>
  <c r="TR6" i="20"/>
  <c r="TS6" i="20" s="1"/>
  <c r="TM6" i="20"/>
  <c r="TN6" i="20" s="1"/>
  <c r="TF6" i="20"/>
  <c r="TG6" i="20" s="1"/>
  <c r="TA6" i="20"/>
  <c r="TB6" i="20" s="1"/>
  <c r="SV6" i="20"/>
  <c r="SW6" i="20" s="1"/>
  <c r="SO6" i="20"/>
  <c r="SP6" i="20" s="1"/>
  <c r="SJ6" i="20"/>
  <c r="SK6" i="20" s="1"/>
  <c r="SE6" i="20"/>
  <c r="SF6" i="20" s="1"/>
  <c r="RX6" i="20"/>
  <c r="RY6" i="20" s="1"/>
  <c r="RS6" i="20"/>
  <c r="RT6" i="20" s="1"/>
  <c r="RN6" i="20"/>
  <c r="RG6" i="20"/>
  <c r="RH6" i="20" s="1"/>
  <c r="RB6" i="20"/>
  <c r="QW6" i="20"/>
  <c r="QX6" i="20" s="1"/>
  <c r="QP6" i="20"/>
  <c r="QQ6" i="20" s="1"/>
  <c r="QK6" i="20"/>
  <c r="QL6" i="20" s="1"/>
  <c r="QF6" i="20"/>
  <c r="PY6" i="20"/>
  <c r="PZ6" i="20" s="1"/>
  <c r="PT6" i="20"/>
  <c r="PO6" i="20"/>
  <c r="PP6" i="20" s="1"/>
  <c r="PH6" i="20"/>
  <c r="PC6" i="20"/>
  <c r="PD6" i="20" s="1"/>
  <c r="OX6" i="20"/>
  <c r="OY6" i="20" s="1"/>
  <c r="OQ6" i="20"/>
  <c r="OL6" i="20"/>
  <c r="OM6" i="20" s="1"/>
  <c r="OG6" i="20"/>
  <c r="OH6" i="20" s="1"/>
  <c r="NZ6" i="20"/>
  <c r="OA6" i="20" s="1"/>
  <c r="NU6" i="20"/>
  <c r="NV6" i="20" s="1"/>
  <c r="NP6" i="20"/>
  <c r="NQ6" i="20" s="1"/>
  <c r="NI6" i="20"/>
  <c r="NJ6" i="20" s="1"/>
  <c r="ND6" i="20"/>
  <c r="NE6" i="20" s="1"/>
  <c r="MY6" i="20"/>
  <c r="MZ6" i="20" s="1"/>
  <c r="MR6" i="20"/>
  <c r="MS6" i="20" s="1"/>
  <c r="MM6" i="20"/>
  <c r="MN6" i="20" s="1"/>
  <c r="MH6" i="20"/>
  <c r="MA6" i="20"/>
  <c r="MB6" i="20" s="1"/>
  <c r="LV6" i="20"/>
  <c r="LW6" i="20" s="1"/>
  <c r="LQ6" i="20"/>
  <c r="LR6" i="20" s="1"/>
  <c r="LJ6" i="20"/>
  <c r="LE6" i="20"/>
  <c r="LF6" i="20" s="1"/>
  <c r="KZ6" i="20"/>
  <c r="KS6" i="20"/>
  <c r="KT6" i="20" s="1"/>
  <c r="KN6" i="20"/>
  <c r="KO6" i="20" s="1"/>
  <c r="KI6" i="20"/>
  <c r="KJ6" i="20" s="1"/>
  <c r="KB6" i="20"/>
  <c r="JW6" i="20"/>
  <c r="JR6" i="20"/>
  <c r="JS6" i="20" s="1"/>
  <c r="JK6" i="20"/>
  <c r="JL6" i="20" s="1"/>
  <c r="JF6" i="20"/>
  <c r="JG6" i="20" s="1"/>
  <c r="JA6" i="20"/>
  <c r="JB6" i="20" s="1"/>
  <c r="IT6" i="20"/>
  <c r="IU6" i="20" s="1"/>
  <c r="IO6" i="20"/>
  <c r="IP6" i="20" s="1"/>
  <c r="IJ6" i="20"/>
  <c r="IK6" i="20" s="1"/>
  <c r="IC6" i="20"/>
  <c r="ID6" i="20" s="1"/>
  <c r="HX6" i="20"/>
  <c r="HY6" i="20" s="1"/>
  <c r="HS6" i="20"/>
  <c r="HT6" i="20" s="1"/>
  <c r="HL6" i="20"/>
  <c r="HM6" i="20" s="1"/>
  <c r="HG6" i="20"/>
  <c r="HH6" i="20" s="1"/>
  <c r="HB6" i="20"/>
  <c r="GU6" i="20"/>
  <c r="GV6" i="20" s="1"/>
  <c r="GP6" i="20"/>
  <c r="GQ6" i="20" s="1"/>
  <c r="GK6" i="20"/>
  <c r="GL6" i="20" s="1"/>
  <c r="GD6" i="20"/>
  <c r="GE6" i="20" s="1"/>
  <c r="FY6" i="20"/>
  <c r="FZ6" i="20" s="1"/>
  <c r="FT6" i="20"/>
  <c r="FU6" i="20" s="1"/>
  <c r="FM6" i="20"/>
  <c r="FN6" i="20" s="1"/>
  <c r="FH6" i="20"/>
  <c r="FI6" i="20" s="1"/>
  <c r="FC6" i="20"/>
  <c r="FD6" i="20" s="1"/>
  <c r="EV6" i="20"/>
  <c r="EW6" i="20" s="1"/>
  <c r="EQ6" i="20"/>
  <c r="ER6" i="20" s="1"/>
  <c r="EL6" i="20"/>
  <c r="EM6" i="20" s="1"/>
  <c r="EE6" i="20"/>
  <c r="EF6" i="20" s="1"/>
  <c r="DZ6" i="20"/>
  <c r="EA6" i="20" s="1"/>
  <c r="DU6" i="20"/>
  <c r="DV6" i="20" s="1"/>
  <c r="DN6" i="20"/>
  <c r="DO6" i="20" s="1"/>
  <c r="DI6" i="20"/>
  <c r="DJ6" i="20" s="1"/>
  <c r="DD6" i="20"/>
  <c r="DE6" i="20" s="1"/>
  <c r="CW6" i="20"/>
  <c r="CX6" i="20" s="1"/>
  <c r="CR6" i="20"/>
  <c r="CS6" i="20" s="1"/>
  <c r="CM6" i="20"/>
  <c r="CN6" i="20" s="1"/>
  <c r="CF6" i="20"/>
  <c r="CG6" i="20" s="1"/>
  <c r="CA6" i="20"/>
  <c r="CB6" i="20" s="1"/>
  <c r="BV6" i="20"/>
  <c r="BO6" i="20"/>
  <c r="BP6" i="20" s="1"/>
  <c r="BJ6" i="20"/>
  <c r="BK6" i="20" s="1"/>
  <c r="BE6" i="20"/>
  <c r="AX6" i="20"/>
  <c r="AY6" i="20" s="1"/>
  <c r="AS6" i="20"/>
  <c r="AT6" i="20" s="1"/>
  <c r="AN6" i="20"/>
  <c r="AO6" i="20" s="1"/>
  <c r="AG6" i="20"/>
  <c r="AH6" i="20" s="1"/>
  <c r="AB6" i="20"/>
  <c r="AC6" i="20" s="1"/>
  <c r="W6" i="20"/>
  <c r="X6" i="20" s="1"/>
  <c r="P6" i="20"/>
  <c r="Q6" i="20" s="1"/>
  <c r="K6" i="20"/>
  <c r="L6" i="20" s="1"/>
  <c r="F6" i="20"/>
  <c r="G6" i="20" s="1"/>
  <c r="TW5" i="20"/>
  <c r="TX5" i="20" s="1"/>
  <c r="TR5" i="20"/>
  <c r="TS5" i="20" s="1"/>
  <c r="TM5" i="20"/>
  <c r="TM4" i="20" s="1"/>
  <c r="TN4" i="20" s="1"/>
  <c r="TF5" i="20"/>
  <c r="TA5" i="20"/>
  <c r="TB5" i="20" s="1"/>
  <c r="SV5" i="20"/>
  <c r="SO5" i="20"/>
  <c r="SP5" i="20" s="1"/>
  <c r="SJ5" i="20"/>
  <c r="SK5" i="20" s="1"/>
  <c r="SE5" i="20"/>
  <c r="SF5" i="20" s="1"/>
  <c r="RX5" i="20"/>
  <c r="RS5" i="20"/>
  <c r="RN5" i="20"/>
  <c r="RO5" i="20" s="1"/>
  <c r="RG5" i="20"/>
  <c r="RH5" i="20" s="1"/>
  <c r="RB5" i="20"/>
  <c r="RC5" i="20" s="1"/>
  <c r="QW5" i="20"/>
  <c r="QX5" i="20" s="1"/>
  <c r="QP5" i="20"/>
  <c r="QQ5" i="20" s="1"/>
  <c r="QK5" i="20"/>
  <c r="QL5" i="20" s="1"/>
  <c r="QF5" i="20"/>
  <c r="QG5" i="20" s="1"/>
  <c r="PY5" i="20"/>
  <c r="PZ5" i="20" s="1"/>
  <c r="PT5" i="20"/>
  <c r="PU5" i="20" s="1"/>
  <c r="PO5" i="20"/>
  <c r="PP5" i="20" s="1"/>
  <c r="PH5" i="20"/>
  <c r="PI5" i="20" s="1"/>
  <c r="PC5" i="20"/>
  <c r="PD5" i="20" s="1"/>
  <c r="OX5" i="20"/>
  <c r="OQ5" i="20"/>
  <c r="OR5" i="20" s="1"/>
  <c r="OL5" i="20"/>
  <c r="OM5" i="20" s="1"/>
  <c r="OG5" i="20"/>
  <c r="OH5" i="20" s="1"/>
  <c r="NZ5" i="20"/>
  <c r="NU5" i="20"/>
  <c r="NV5" i="20" s="1"/>
  <c r="NP5" i="20"/>
  <c r="NI5" i="20"/>
  <c r="NJ5" i="20" s="1"/>
  <c r="ND5" i="20"/>
  <c r="NE5" i="20" s="1"/>
  <c r="MY5" i="20"/>
  <c r="MZ5" i="20" s="1"/>
  <c r="MR5" i="20"/>
  <c r="MM5" i="20"/>
  <c r="MH5" i="20"/>
  <c r="MI5" i="20" s="1"/>
  <c r="MA5" i="20"/>
  <c r="MB5" i="20" s="1"/>
  <c r="LV5" i="20"/>
  <c r="LW5" i="20" s="1"/>
  <c r="LQ5" i="20"/>
  <c r="LR5" i="20" s="1"/>
  <c r="LJ5" i="20"/>
  <c r="LK5" i="20" s="1"/>
  <c r="LE5" i="20"/>
  <c r="LF5" i="20" s="1"/>
  <c r="KZ5" i="20"/>
  <c r="KS5" i="20"/>
  <c r="KT5" i="20" s="1"/>
  <c r="KN5" i="20"/>
  <c r="KO5" i="20" s="1"/>
  <c r="KI5" i="20"/>
  <c r="KJ5" i="20" s="1"/>
  <c r="KB5" i="20"/>
  <c r="KC5" i="20" s="1"/>
  <c r="JW5" i="20"/>
  <c r="JX5" i="20" s="1"/>
  <c r="JR5" i="20"/>
  <c r="JK5" i="20"/>
  <c r="JK4" i="20" s="1"/>
  <c r="JL4" i="20" s="1"/>
  <c r="JF5" i="20"/>
  <c r="JG5" i="20" s="1"/>
  <c r="JA5" i="20"/>
  <c r="JB5" i="20" s="1"/>
  <c r="IT5" i="20"/>
  <c r="IO5" i="20"/>
  <c r="IP5" i="20" s="1"/>
  <c r="IJ5" i="20"/>
  <c r="IC5" i="20"/>
  <c r="ID5" i="20" s="1"/>
  <c r="HX5" i="20"/>
  <c r="HY5" i="20" s="1"/>
  <c r="HS5" i="20"/>
  <c r="HS4" i="20" s="1"/>
  <c r="HT4" i="20" s="1"/>
  <c r="HL5" i="20"/>
  <c r="HG5" i="20"/>
  <c r="HB5" i="20"/>
  <c r="HC5" i="20" s="1"/>
  <c r="GU5" i="20"/>
  <c r="GV5" i="20" s="1"/>
  <c r="GP5" i="20"/>
  <c r="GQ5" i="20" s="1"/>
  <c r="GK5" i="20"/>
  <c r="GL5" i="20" s="1"/>
  <c r="GD5" i="20"/>
  <c r="GE5" i="20" s="1"/>
  <c r="FY5" i="20"/>
  <c r="FZ5" i="20" s="1"/>
  <c r="FT5" i="20"/>
  <c r="FU5" i="20" s="1"/>
  <c r="FM5" i="20"/>
  <c r="FN5" i="20" s="1"/>
  <c r="FH5" i="20"/>
  <c r="FI5" i="20" s="1"/>
  <c r="FC5" i="20"/>
  <c r="FD5" i="20" s="1"/>
  <c r="EV5" i="20"/>
  <c r="EQ5" i="20"/>
  <c r="ER5" i="20" s="1"/>
  <c r="EL5" i="20"/>
  <c r="EM5" i="20" s="1"/>
  <c r="EE5" i="20"/>
  <c r="EF5" i="20" s="1"/>
  <c r="DZ5" i="20"/>
  <c r="EA5" i="20" s="1"/>
  <c r="DU5" i="20"/>
  <c r="DV5" i="20" s="1"/>
  <c r="DN5" i="20"/>
  <c r="DI5" i="20"/>
  <c r="DJ5" i="20" s="1"/>
  <c r="DD5" i="20"/>
  <c r="DE5" i="20" s="1"/>
  <c r="CW5" i="20"/>
  <c r="CX5" i="20" s="1"/>
  <c r="CR5" i="20"/>
  <c r="CS5" i="20" s="1"/>
  <c r="CM5" i="20"/>
  <c r="CN5" i="20" s="1"/>
  <c r="CF5" i="20"/>
  <c r="CG5" i="20" s="1"/>
  <c r="CA5" i="20"/>
  <c r="CB5" i="20" s="1"/>
  <c r="BV5" i="20"/>
  <c r="BW5" i="20" s="1"/>
  <c r="BO5" i="20"/>
  <c r="BJ5" i="20"/>
  <c r="BK5" i="20" s="1"/>
  <c r="BE5" i="20"/>
  <c r="BF5" i="20" s="1"/>
  <c r="AX5" i="20"/>
  <c r="AY5" i="20" s="1"/>
  <c r="AS5" i="20"/>
  <c r="AT5" i="20" s="1"/>
  <c r="AN5" i="20"/>
  <c r="AO5" i="20" s="1"/>
  <c r="AG5" i="20"/>
  <c r="AB5" i="20"/>
  <c r="AC5" i="20" s="1"/>
  <c r="W5" i="20"/>
  <c r="X5" i="20" s="1"/>
  <c r="P5" i="20"/>
  <c r="K5" i="20"/>
  <c r="L5" i="20" s="1"/>
  <c r="F5" i="20"/>
  <c r="G5" i="20" s="1"/>
  <c r="QW4" i="20"/>
  <c r="QX4" i="20" s="1"/>
  <c r="CW4" i="20"/>
  <c r="CX4" i="20" s="1"/>
  <c r="AF3" i="20"/>
  <c r="AW3" i="20" s="1"/>
  <c r="BN3" i="20" s="1"/>
  <c r="CE3" i="20" s="1"/>
  <c r="CV3" i="20" s="1"/>
  <c r="DM3" i="20" s="1"/>
  <c r="ED3" i="20" s="1"/>
  <c r="EU3" i="20" s="1"/>
  <c r="FL3" i="20" s="1"/>
  <c r="GC3" i="20" s="1"/>
  <c r="GT3" i="20" s="1"/>
  <c r="HK3" i="20" s="1"/>
  <c r="IB3" i="20" s="1"/>
  <c r="IS3" i="20" s="1"/>
  <c r="JJ3" i="20" s="1"/>
  <c r="KA3" i="20" s="1"/>
  <c r="KR3" i="20" s="1"/>
  <c r="LI3" i="20" s="1"/>
  <c r="LZ3" i="20" s="1"/>
  <c r="MQ3" i="20" s="1"/>
  <c r="NH3" i="20" s="1"/>
  <c r="NY3" i="20" s="1"/>
  <c r="OP3" i="20" s="1"/>
  <c r="PG3" i="20" s="1"/>
  <c r="PX3" i="20" s="1"/>
  <c r="QO3" i="20" s="1"/>
  <c r="RF3" i="20" s="1"/>
  <c r="RW3" i="20" s="1"/>
  <c r="SN3" i="20" s="1"/>
  <c r="TE3" i="20" s="1"/>
  <c r="TV3" i="20" s="1"/>
  <c r="AE3" i="20"/>
  <c r="AV3" i="20" s="1"/>
  <c r="BM3" i="20" s="1"/>
  <c r="CD3" i="20" s="1"/>
  <c r="CU3" i="20" s="1"/>
  <c r="DL3" i="20" s="1"/>
  <c r="EC3" i="20" s="1"/>
  <c r="ET3" i="20" s="1"/>
  <c r="FK3" i="20" s="1"/>
  <c r="GB3" i="20" s="1"/>
  <c r="GS3" i="20" s="1"/>
  <c r="HJ3" i="20" s="1"/>
  <c r="IA3" i="20" s="1"/>
  <c r="IR3" i="20" s="1"/>
  <c r="JI3" i="20" s="1"/>
  <c r="JZ3" i="20" s="1"/>
  <c r="KQ3" i="20" s="1"/>
  <c r="LH3" i="20" s="1"/>
  <c r="LY3" i="20" s="1"/>
  <c r="MP3" i="20" s="1"/>
  <c r="NG3" i="20" s="1"/>
  <c r="NX3" i="20" s="1"/>
  <c r="OO3" i="20" s="1"/>
  <c r="PF3" i="20" s="1"/>
  <c r="PW3" i="20" s="1"/>
  <c r="QN3" i="20" s="1"/>
  <c r="RE3" i="20" s="1"/>
  <c r="RV3" i="20" s="1"/>
  <c r="SM3" i="20" s="1"/>
  <c r="TD3" i="20" s="1"/>
  <c r="TU3" i="20" s="1"/>
  <c r="AD3" i="20"/>
  <c r="AU3" i="20" s="1"/>
  <c r="BL3" i="20" s="1"/>
  <c r="CC3" i="20" s="1"/>
  <c r="CT3" i="20" s="1"/>
  <c r="DK3" i="20" s="1"/>
  <c r="EB3" i="20" s="1"/>
  <c r="ES3" i="20" s="1"/>
  <c r="FJ3" i="20" s="1"/>
  <c r="GA3" i="20" s="1"/>
  <c r="GR3" i="20" s="1"/>
  <c r="HI3" i="20" s="1"/>
  <c r="HZ3" i="20" s="1"/>
  <c r="IQ3" i="20" s="1"/>
  <c r="JH3" i="20" s="1"/>
  <c r="JY3" i="20" s="1"/>
  <c r="KP3" i="20" s="1"/>
  <c r="LG3" i="20" s="1"/>
  <c r="LX3" i="20" s="1"/>
  <c r="MO3" i="20" s="1"/>
  <c r="NF3" i="20" s="1"/>
  <c r="NW3" i="20" s="1"/>
  <c r="ON3" i="20" s="1"/>
  <c r="PE3" i="20" s="1"/>
  <c r="PV3" i="20" s="1"/>
  <c r="QM3" i="20" s="1"/>
  <c r="RD3" i="20" s="1"/>
  <c r="RU3" i="20" s="1"/>
  <c r="SL3" i="20" s="1"/>
  <c r="TC3" i="20" s="1"/>
  <c r="TT3" i="20" s="1"/>
  <c r="AA3" i="20"/>
  <c r="AR3" i="20" s="1"/>
  <c r="BI3" i="20" s="1"/>
  <c r="BZ3" i="20" s="1"/>
  <c r="CQ3" i="20" s="1"/>
  <c r="DH3" i="20" s="1"/>
  <c r="DY3" i="20" s="1"/>
  <c r="EP3" i="20" s="1"/>
  <c r="FG3" i="20" s="1"/>
  <c r="FX3" i="20" s="1"/>
  <c r="GO3" i="20" s="1"/>
  <c r="HF3" i="20" s="1"/>
  <c r="HW3" i="20" s="1"/>
  <c r="IN3" i="20" s="1"/>
  <c r="JE3" i="20" s="1"/>
  <c r="JV3" i="20" s="1"/>
  <c r="KM3" i="20" s="1"/>
  <c r="LD3" i="20" s="1"/>
  <c r="LU3" i="20" s="1"/>
  <c r="ML3" i="20" s="1"/>
  <c r="NC3" i="20" s="1"/>
  <c r="NT3" i="20" s="1"/>
  <c r="OK3" i="20" s="1"/>
  <c r="PB3" i="20" s="1"/>
  <c r="PS3" i="20" s="1"/>
  <c r="QJ3" i="20" s="1"/>
  <c r="RA3" i="20" s="1"/>
  <c r="RR3" i="20" s="1"/>
  <c r="SI3" i="20" s="1"/>
  <c r="SZ3" i="20" s="1"/>
  <c r="TQ3" i="20" s="1"/>
  <c r="Z3" i="20"/>
  <c r="AQ3" i="20" s="1"/>
  <c r="BH3" i="20" s="1"/>
  <c r="BY3" i="20" s="1"/>
  <c r="CP3" i="20" s="1"/>
  <c r="DG3" i="20" s="1"/>
  <c r="DX3" i="20" s="1"/>
  <c r="EO3" i="20" s="1"/>
  <c r="FF3" i="20" s="1"/>
  <c r="FW3" i="20" s="1"/>
  <c r="GN3" i="20" s="1"/>
  <c r="HE3" i="20" s="1"/>
  <c r="HV3" i="20" s="1"/>
  <c r="IM3" i="20" s="1"/>
  <c r="JD3" i="20" s="1"/>
  <c r="JU3" i="20" s="1"/>
  <c r="KL3" i="20" s="1"/>
  <c r="LC3" i="20" s="1"/>
  <c r="LT3" i="20" s="1"/>
  <c r="MK3" i="20" s="1"/>
  <c r="NB3" i="20" s="1"/>
  <c r="NS3" i="20" s="1"/>
  <c r="OJ3" i="20" s="1"/>
  <c r="PA3" i="20" s="1"/>
  <c r="PR3" i="20" s="1"/>
  <c r="QI3" i="20" s="1"/>
  <c r="QZ3" i="20" s="1"/>
  <c r="RQ3" i="20" s="1"/>
  <c r="SH3" i="20" s="1"/>
  <c r="SY3" i="20" s="1"/>
  <c r="TP3" i="20" s="1"/>
  <c r="Y3" i="20"/>
  <c r="AP3" i="20" s="1"/>
  <c r="BG3" i="20" s="1"/>
  <c r="BX3" i="20" s="1"/>
  <c r="CO3" i="20" s="1"/>
  <c r="DF3" i="20" s="1"/>
  <c r="DW3" i="20" s="1"/>
  <c r="EN3" i="20" s="1"/>
  <c r="FE3" i="20" s="1"/>
  <c r="FV3" i="20" s="1"/>
  <c r="GM3" i="20" s="1"/>
  <c r="HD3" i="20" s="1"/>
  <c r="HU3" i="20" s="1"/>
  <c r="IL3" i="20" s="1"/>
  <c r="JC3" i="20" s="1"/>
  <c r="JT3" i="20" s="1"/>
  <c r="KK3" i="20" s="1"/>
  <c r="LB3" i="20" s="1"/>
  <c r="LS3" i="20" s="1"/>
  <c r="MJ3" i="20" s="1"/>
  <c r="NA3" i="20" s="1"/>
  <c r="NR3" i="20" s="1"/>
  <c r="OI3" i="20" s="1"/>
  <c r="OZ3" i="20" s="1"/>
  <c r="PQ3" i="20" s="1"/>
  <c r="QH3" i="20" s="1"/>
  <c r="QY3" i="20" s="1"/>
  <c r="RP3" i="20" s="1"/>
  <c r="SG3" i="20" s="1"/>
  <c r="SX3" i="20" s="1"/>
  <c r="TO3" i="20" s="1"/>
  <c r="V3" i="20"/>
  <c r="AM3" i="20" s="1"/>
  <c r="BD3" i="20" s="1"/>
  <c r="BU3" i="20" s="1"/>
  <c r="CL3" i="20" s="1"/>
  <c r="DC3" i="20" s="1"/>
  <c r="DT3" i="20" s="1"/>
  <c r="EK3" i="20" s="1"/>
  <c r="FB3" i="20" s="1"/>
  <c r="FS3" i="20" s="1"/>
  <c r="GJ3" i="20" s="1"/>
  <c r="HA3" i="20" s="1"/>
  <c r="HR3" i="20" s="1"/>
  <c r="II3" i="20" s="1"/>
  <c r="IZ3" i="20" s="1"/>
  <c r="JQ3" i="20" s="1"/>
  <c r="KH3" i="20" s="1"/>
  <c r="KY3" i="20" s="1"/>
  <c r="LP3" i="20" s="1"/>
  <c r="MG3" i="20" s="1"/>
  <c r="MX3" i="20" s="1"/>
  <c r="NO3" i="20" s="1"/>
  <c r="OF3" i="20" s="1"/>
  <c r="OW3" i="20" s="1"/>
  <c r="PN3" i="20" s="1"/>
  <c r="QE3" i="20" s="1"/>
  <c r="QV3" i="20" s="1"/>
  <c r="RM3" i="20" s="1"/>
  <c r="SD3" i="20" s="1"/>
  <c r="SU3" i="20" s="1"/>
  <c r="TL3" i="20" s="1"/>
  <c r="U3" i="20"/>
  <c r="AL3" i="20" s="1"/>
  <c r="BC3" i="20" s="1"/>
  <c r="BT3" i="20" s="1"/>
  <c r="CK3" i="20" s="1"/>
  <c r="DB3" i="20" s="1"/>
  <c r="DS3" i="20" s="1"/>
  <c r="EJ3" i="20" s="1"/>
  <c r="FA3" i="20" s="1"/>
  <c r="FR3" i="20" s="1"/>
  <c r="GI3" i="20" s="1"/>
  <c r="GZ3" i="20" s="1"/>
  <c r="HQ3" i="20" s="1"/>
  <c r="IH3" i="20" s="1"/>
  <c r="IY3" i="20" s="1"/>
  <c r="JP3" i="20" s="1"/>
  <c r="KG3" i="20" s="1"/>
  <c r="KX3" i="20" s="1"/>
  <c r="LO3" i="20" s="1"/>
  <c r="MF3" i="20" s="1"/>
  <c r="MW3" i="20" s="1"/>
  <c r="NN3" i="20" s="1"/>
  <c r="OE3" i="20" s="1"/>
  <c r="OV3" i="20" s="1"/>
  <c r="PM3" i="20" s="1"/>
  <c r="QD3" i="20" s="1"/>
  <c r="QU3" i="20" s="1"/>
  <c r="RL3" i="20" s="1"/>
  <c r="SC3" i="20" s="1"/>
  <c r="ST3" i="20" s="1"/>
  <c r="TK3" i="20" s="1"/>
  <c r="T3" i="20"/>
  <c r="AK3" i="20" s="1"/>
  <c r="BB3" i="20" s="1"/>
  <c r="BS3" i="20" s="1"/>
  <c r="CJ3" i="20" s="1"/>
  <c r="DA3" i="20" s="1"/>
  <c r="DR3" i="20" s="1"/>
  <c r="EI3" i="20" s="1"/>
  <c r="EZ3" i="20" s="1"/>
  <c r="FQ3" i="20" s="1"/>
  <c r="GH3" i="20" s="1"/>
  <c r="GY3" i="20" s="1"/>
  <c r="HP3" i="20" s="1"/>
  <c r="IG3" i="20" s="1"/>
  <c r="IX3" i="20" s="1"/>
  <c r="JO3" i="20" s="1"/>
  <c r="KF3" i="20" s="1"/>
  <c r="KW3" i="20" s="1"/>
  <c r="LN3" i="20" s="1"/>
  <c r="ME3" i="20" s="1"/>
  <c r="MV3" i="20" s="1"/>
  <c r="NM3" i="20" s="1"/>
  <c r="OD3" i="20" s="1"/>
  <c r="OU3" i="20" s="1"/>
  <c r="PL3" i="20" s="1"/>
  <c r="QC3" i="20" s="1"/>
  <c r="QT3" i="20" s="1"/>
  <c r="RK3" i="20" s="1"/>
  <c r="SB3" i="20" s="1"/>
  <c r="SS3" i="20" s="1"/>
  <c r="TJ3" i="20" s="1"/>
  <c r="T1" i="20"/>
  <c r="AK1" i="20" s="1"/>
  <c r="TW20" i="18"/>
  <c r="TX20" i="18" s="1"/>
  <c r="TR20" i="18"/>
  <c r="TS20" i="18" s="1"/>
  <c r="TM20" i="18"/>
  <c r="TF20" i="18"/>
  <c r="TG20" i="18" s="1"/>
  <c r="TA20" i="18"/>
  <c r="TB20" i="18" s="1"/>
  <c r="SV20" i="18"/>
  <c r="SO20" i="18"/>
  <c r="SP20" i="18" s="1"/>
  <c r="SJ20" i="18"/>
  <c r="SK20" i="18" s="1"/>
  <c r="SE20" i="18"/>
  <c r="RX20" i="18"/>
  <c r="RY20" i="18" s="1"/>
  <c r="RS20" i="18"/>
  <c r="RT20" i="18" s="1"/>
  <c r="RN20" i="18"/>
  <c r="RG20" i="18"/>
  <c r="RH20" i="18" s="1"/>
  <c r="RB20" i="18"/>
  <c r="RC20" i="18" s="1"/>
  <c r="QW20" i="18"/>
  <c r="QP20" i="18"/>
  <c r="QQ20" i="18" s="1"/>
  <c r="QK20" i="18"/>
  <c r="QL20" i="18" s="1"/>
  <c r="QF20" i="18"/>
  <c r="PY20" i="18"/>
  <c r="PZ20" i="18" s="1"/>
  <c r="PT20" i="18"/>
  <c r="PU20" i="18" s="1"/>
  <c r="PO20" i="18"/>
  <c r="PH20" i="18"/>
  <c r="PC20" i="18"/>
  <c r="PD20" i="18" s="1"/>
  <c r="OX20" i="18"/>
  <c r="OQ20" i="18"/>
  <c r="OR20" i="18" s="1"/>
  <c r="OL20" i="18"/>
  <c r="OG20" i="18"/>
  <c r="NZ20" i="18"/>
  <c r="OA20" i="18" s="1"/>
  <c r="NU20" i="18"/>
  <c r="NV20" i="18" s="1"/>
  <c r="NP20" i="18"/>
  <c r="NI20" i="18"/>
  <c r="NJ20" i="18" s="1"/>
  <c r="ND20" i="18"/>
  <c r="NE20" i="18" s="1"/>
  <c r="MY20" i="18"/>
  <c r="MR20" i="18"/>
  <c r="MM20" i="18"/>
  <c r="MN20" i="18" s="1"/>
  <c r="MH20" i="18"/>
  <c r="MA20" i="18"/>
  <c r="MB20" i="18" s="1"/>
  <c r="LV20" i="18"/>
  <c r="LQ20" i="18"/>
  <c r="LJ20" i="18"/>
  <c r="LK20" i="18" s="1"/>
  <c r="LE20" i="18"/>
  <c r="LF20" i="18" s="1"/>
  <c r="KZ20" i="18"/>
  <c r="KS20" i="18"/>
  <c r="KT20" i="18" s="1"/>
  <c r="KN20" i="18"/>
  <c r="KO20" i="18" s="1"/>
  <c r="KI20" i="18"/>
  <c r="KB20" i="18"/>
  <c r="JW20" i="18"/>
  <c r="JR20" i="18"/>
  <c r="JK20" i="18"/>
  <c r="JL20" i="18" s="1"/>
  <c r="JF20" i="18"/>
  <c r="JA20" i="18"/>
  <c r="IT20" i="18"/>
  <c r="IU20" i="18" s="1"/>
  <c r="IO20" i="18"/>
  <c r="IP20" i="18" s="1"/>
  <c r="IJ20" i="18"/>
  <c r="IC20" i="18"/>
  <c r="ID20" i="18" s="1"/>
  <c r="HX20" i="18"/>
  <c r="HY20" i="18" s="1"/>
  <c r="HS20" i="18"/>
  <c r="HL20" i="18"/>
  <c r="HG20" i="18"/>
  <c r="HH20" i="18" s="1"/>
  <c r="HB20" i="18"/>
  <c r="GU20" i="18"/>
  <c r="GP20" i="18"/>
  <c r="GQ20" i="18" s="1"/>
  <c r="GK20" i="18"/>
  <c r="GD20" i="18"/>
  <c r="GE20" i="18" s="1"/>
  <c r="FY20" i="18"/>
  <c r="FZ20" i="18" s="1"/>
  <c r="FT20" i="18"/>
  <c r="FM20" i="18"/>
  <c r="FN20" i="18" s="1"/>
  <c r="FH20" i="18"/>
  <c r="FI20" i="18" s="1"/>
  <c r="FC20" i="18"/>
  <c r="EV20" i="18"/>
  <c r="EQ20" i="18"/>
  <c r="ER20" i="18" s="1"/>
  <c r="EL20" i="18"/>
  <c r="EE20" i="18"/>
  <c r="EF20" i="18" s="1"/>
  <c r="DZ20" i="18"/>
  <c r="EA20" i="18" s="1"/>
  <c r="DU20" i="18"/>
  <c r="DN20" i="18"/>
  <c r="DO20" i="18" s="1"/>
  <c r="DI20" i="18"/>
  <c r="DJ20" i="18" s="1"/>
  <c r="DD20" i="18"/>
  <c r="CW20" i="18"/>
  <c r="CR20" i="18"/>
  <c r="CS20" i="18" s="1"/>
  <c r="CM20" i="18"/>
  <c r="CF20" i="18"/>
  <c r="CA20" i="18"/>
  <c r="CB20" i="18" s="1"/>
  <c r="BV20" i="18"/>
  <c r="BO20" i="18"/>
  <c r="BP20" i="18" s="1"/>
  <c r="BJ20" i="18"/>
  <c r="BK20" i="18" s="1"/>
  <c r="BE20" i="18"/>
  <c r="AX20" i="18"/>
  <c r="AY20" i="18" s="1"/>
  <c r="AS20" i="18"/>
  <c r="AT20" i="18" s="1"/>
  <c r="AN20" i="18"/>
  <c r="AG20" i="18"/>
  <c r="AB20" i="18"/>
  <c r="AC20" i="18" s="1"/>
  <c r="W20" i="18"/>
  <c r="P20" i="18"/>
  <c r="Q20" i="18" s="1"/>
  <c r="K20" i="18"/>
  <c r="L20" i="18" s="1"/>
  <c r="F20" i="18"/>
  <c r="TW19" i="18"/>
  <c r="TX19" i="18" s="1"/>
  <c r="TR19" i="18"/>
  <c r="TS19" i="18" s="1"/>
  <c r="TM19" i="18"/>
  <c r="TM18" i="18" s="1"/>
  <c r="TF19" i="18"/>
  <c r="TG19" i="18" s="1"/>
  <c r="TA19" i="18"/>
  <c r="TB19" i="18" s="1"/>
  <c r="SV19" i="18"/>
  <c r="SV18" i="18" s="1"/>
  <c r="SO19" i="18"/>
  <c r="SP19" i="18" s="1"/>
  <c r="SJ19" i="18"/>
  <c r="SK19" i="18" s="1"/>
  <c r="SE19" i="18"/>
  <c r="SE18" i="18" s="1"/>
  <c r="RX19" i="18"/>
  <c r="RY19" i="18" s="1"/>
  <c r="RS19" i="18"/>
  <c r="RT19" i="18" s="1"/>
  <c r="RN19" i="18"/>
  <c r="RN18" i="18" s="1"/>
  <c r="RG19" i="18"/>
  <c r="RH19" i="18" s="1"/>
  <c r="RB19" i="18"/>
  <c r="RC19" i="18" s="1"/>
  <c r="QW19" i="18"/>
  <c r="QX19" i="18" s="1"/>
  <c r="QP19" i="18"/>
  <c r="QQ19" i="18" s="1"/>
  <c r="QK19" i="18"/>
  <c r="QL19" i="18" s="1"/>
  <c r="QF19" i="18"/>
  <c r="QG19" i="18" s="1"/>
  <c r="PY19" i="18"/>
  <c r="PZ19" i="18" s="1"/>
  <c r="PT19" i="18"/>
  <c r="PU19" i="18" s="1"/>
  <c r="PO19" i="18"/>
  <c r="PH19" i="18"/>
  <c r="PI19" i="18" s="1"/>
  <c r="PC19" i="18"/>
  <c r="PD19" i="18" s="1"/>
  <c r="OX19" i="18"/>
  <c r="OY19" i="18" s="1"/>
  <c r="OQ19" i="18"/>
  <c r="OR19" i="18" s="1"/>
  <c r="OL19" i="18"/>
  <c r="OM19" i="18" s="1"/>
  <c r="OG19" i="18"/>
  <c r="OH19" i="18" s="1"/>
  <c r="NZ19" i="18"/>
  <c r="OA19" i="18" s="1"/>
  <c r="NU19" i="18"/>
  <c r="NV19" i="18" s="1"/>
  <c r="NP19" i="18"/>
  <c r="NI19" i="18"/>
  <c r="NJ19" i="18" s="1"/>
  <c r="ND19" i="18"/>
  <c r="NE19" i="18" s="1"/>
  <c r="MY19" i="18"/>
  <c r="MR19" i="18"/>
  <c r="MS19" i="18" s="1"/>
  <c r="MM19" i="18"/>
  <c r="MN19" i="18" s="1"/>
  <c r="MH19" i="18"/>
  <c r="MI19" i="18" s="1"/>
  <c r="MA19" i="18"/>
  <c r="MB19" i="18" s="1"/>
  <c r="LV19" i="18"/>
  <c r="LW19" i="18" s="1"/>
  <c r="LQ19" i="18"/>
  <c r="LR19" i="18" s="1"/>
  <c r="LJ19" i="18"/>
  <c r="LK19" i="18" s="1"/>
  <c r="LE19" i="18"/>
  <c r="LF19" i="18" s="1"/>
  <c r="KZ19" i="18"/>
  <c r="KS19" i="18"/>
  <c r="KT19" i="18" s="1"/>
  <c r="KN19" i="18"/>
  <c r="KO19" i="18" s="1"/>
  <c r="KI19" i="18"/>
  <c r="KB19" i="18"/>
  <c r="KC19" i="18" s="1"/>
  <c r="JW19" i="18"/>
  <c r="JX19" i="18" s="1"/>
  <c r="JR19" i="18"/>
  <c r="JS19" i="18" s="1"/>
  <c r="JK19" i="18"/>
  <c r="JL19" i="18" s="1"/>
  <c r="JF19" i="18"/>
  <c r="JG19" i="18" s="1"/>
  <c r="JA19" i="18"/>
  <c r="IT19" i="18"/>
  <c r="IU19" i="18" s="1"/>
  <c r="IO19" i="18"/>
  <c r="IP19" i="18" s="1"/>
  <c r="IJ19" i="18"/>
  <c r="IC19" i="18"/>
  <c r="ID19" i="18" s="1"/>
  <c r="HX19" i="18"/>
  <c r="HY19" i="18" s="1"/>
  <c r="HS19" i="18"/>
  <c r="HL19" i="18"/>
  <c r="HM19" i="18" s="1"/>
  <c r="HG19" i="18"/>
  <c r="HH19" i="18" s="1"/>
  <c r="HB19" i="18"/>
  <c r="GU19" i="18"/>
  <c r="GV19" i="18" s="1"/>
  <c r="GP19" i="18"/>
  <c r="GQ19" i="18" s="1"/>
  <c r="GK19" i="18"/>
  <c r="GL19" i="18" s="1"/>
  <c r="GD19" i="18"/>
  <c r="GE19" i="18" s="1"/>
  <c r="FY19" i="18"/>
  <c r="FZ19" i="18" s="1"/>
  <c r="FT19" i="18"/>
  <c r="FM19" i="18"/>
  <c r="FN19" i="18" s="1"/>
  <c r="FH19" i="18"/>
  <c r="FI19" i="18" s="1"/>
  <c r="FC19" i="18"/>
  <c r="FD19" i="18" s="1"/>
  <c r="EV19" i="18"/>
  <c r="EW19" i="18" s="1"/>
  <c r="EQ19" i="18"/>
  <c r="ER19" i="18" s="1"/>
  <c r="EL19" i="18"/>
  <c r="EM19" i="18" s="1"/>
  <c r="EE19" i="18"/>
  <c r="EF19" i="18" s="1"/>
  <c r="DZ19" i="18"/>
  <c r="EA19" i="18" s="1"/>
  <c r="DU19" i="18"/>
  <c r="DN19" i="18"/>
  <c r="DO19" i="18" s="1"/>
  <c r="DI19" i="18"/>
  <c r="DJ19" i="18" s="1"/>
  <c r="DD19" i="18"/>
  <c r="CW19" i="18"/>
  <c r="CX19" i="18" s="1"/>
  <c r="CR19" i="18"/>
  <c r="CS19" i="18" s="1"/>
  <c r="CM19" i="18"/>
  <c r="CN19" i="18" s="1"/>
  <c r="CF19" i="18"/>
  <c r="CG19" i="18" s="1"/>
  <c r="CA19" i="18"/>
  <c r="CB19" i="18" s="1"/>
  <c r="BV19" i="18"/>
  <c r="BW19" i="18" s="1"/>
  <c r="BO19" i="18"/>
  <c r="BP19" i="18" s="1"/>
  <c r="BJ19" i="18"/>
  <c r="BK19" i="18" s="1"/>
  <c r="BE19" i="18"/>
  <c r="AX19" i="18"/>
  <c r="AY19" i="18" s="1"/>
  <c r="AS19" i="18"/>
  <c r="AT19" i="18" s="1"/>
  <c r="AN19" i="18"/>
  <c r="AG19" i="18"/>
  <c r="AH19" i="18" s="1"/>
  <c r="AB19" i="18"/>
  <c r="AC19" i="18" s="1"/>
  <c r="W19" i="18"/>
  <c r="X19" i="18" s="1"/>
  <c r="P19" i="18"/>
  <c r="Q19" i="18" s="1"/>
  <c r="K19" i="18"/>
  <c r="L19" i="18" s="1"/>
  <c r="F19" i="18"/>
  <c r="G19" i="18" s="1"/>
  <c r="TW18" i="18"/>
  <c r="TR18" i="18"/>
  <c r="RS18" i="18"/>
  <c r="OG18" i="18"/>
  <c r="LQ18" i="18"/>
  <c r="HG18" i="18"/>
  <c r="FY18" i="18"/>
  <c r="AB18" i="18"/>
  <c r="TW17" i="18"/>
  <c r="TX17" i="18" s="1"/>
  <c r="TR17" i="18"/>
  <c r="TM17" i="18"/>
  <c r="TN17" i="18" s="1"/>
  <c r="TF17" i="18"/>
  <c r="TG17" i="18" s="1"/>
  <c r="TA17" i="18"/>
  <c r="TB17" i="18" s="1"/>
  <c r="SV17" i="18"/>
  <c r="SW17" i="18" s="1"/>
  <c r="SO17" i="18"/>
  <c r="SP17" i="18" s="1"/>
  <c r="SJ17" i="18"/>
  <c r="SK17" i="18" s="1"/>
  <c r="SE17" i="18"/>
  <c r="SF17" i="18" s="1"/>
  <c r="RX17" i="18"/>
  <c r="RY17" i="18" s="1"/>
  <c r="RS17" i="18"/>
  <c r="RT17" i="18" s="1"/>
  <c r="RN17" i="18"/>
  <c r="RO17" i="18" s="1"/>
  <c r="RG17" i="18"/>
  <c r="RH17" i="18" s="1"/>
  <c r="RB17" i="18"/>
  <c r="QW17" i="18"/>
  <c r="QX17" i="18" s="1"/>
  <c r="QP17" i="18"/>
  <c r="QQ17" i="18" s="1"/>
  <c r="QK17" i="18"/>
  <c r="QL17" i="18" s="1"/>
  <c r="QF17" i="18"/>
  <c r="QG17" i="18" s="1"/>
  <c r="PY17" i="18"/>
  <c r="PZ17" i="18" s="1"/>
  <c r="PT17" i="18"/>
  <c r="PU17" i="18" s="1"/>
  <c r="PO17" i="18"/>
  <c r="PP17" i="18" s="1"/>
  <c r="PH17" i="18"/>
  <c r="PI17" i="18" s="1"/>
  <c r="PC17" i="18"/>
  <c r="PD17" i="18" s="1"/>
  <c r="OX17" i="18"/>
  <c r="OY17" i="18" s="1"/>
  <c r="OQ17" i="18"/>
  <c r="OR17" i="18" s="1"/>
  <c r="OL17" i="18"/>
  <c r="OM17" i="18" s="1"/>
  <c r="OG17" i="18"/>
  <c r="OH17" i="18" s="1"/>
  <c r="NZ17" i="18"/>
  <c r="OA17" i="18" s="1"/>
  <c r="NU17" i="18"/>
  <c r="NV17" i="18" s="1"/>
  <c r="NP17" i="18"/>
  <c r="NQ17" i="18" s="1"/>
  <c r="NI17" i="18"/>
  <c r="NJ17" i="18" s="1"/>
  <c r="ND17" i="18"/>
  <c r="NE17" i="18" s="1"/>
  <c r="MY17" i="18"/>
  <c r="MZ17" i="18" s="1"/>
  <c r="MR17" i="18"/>
  <c r="MS17" i="18" s="1"/>
  <c r="MM17" i="18"/>
  <c r="MN17" i="18" s="1"/>
  <c r="MH17" i="18"/>
  <c r="MI17" i="18" s="1"/>
  <c r="MA17" i="18"/>
  <c r="MB17" i="18" s="1"/>
  <c r="LV17" i="18"/>
  <c r="LW17" i="18" s="1"/>
  <c r="LQ17" i="18"/>
  <c r="LR17" i="18" s="1"/>
  <c r="LJ17" i="18"/>
  <c r="LK17" i="18" s="1"/>
  <c r="LE17" i="18"/>
  <c r="LF17" i="18" s="1"/>
  <c r="KZ17" i="18"/>
  <c r="LA17" i="18" s="1"/>
  <c r="KS17" i="18"/>
  <c r="KT17" i="18" s="1"/>
  <c r="KN17" i="18"/>
  <c r="KO17" i="18" s="1"/>
  <c r="KI17" i="18"/>
  <c r="KJ17" i="18" s="1"/>
  <c r="KB17" i="18"/>
  <c r="KC17" i="18" s="1"/>
  <c r="JW17" i="18"/>
  <c r="JX17" i="18" s="1"/>
  <c r="JR17" i="18"/>
  <c r="JS17" i="18" s="1"/>
  <c r="JK17" i="18"/>
  <c r="JL17" i="18" s="1"/>
  <c r="JF17" i="18"/>
  <c r="JG17" i="18" s="1"/>
  <c r="JA17" i="18"/>
  <c r="JB17" i="18" s="1"/>
  <c r="IT17" i="18"/>
  <c r="IU17" i="18" s="1"/>
  <c r="IO17" i="18"/>
  <c r="IP17" i="18" s="1"/>
  <c r="IJ17" i="18"/>
  <c r="IK17" i="18" s="1"/>
  <c r="IC17" i="18"/>
  <c r="ID17" i="18" s="1"/>
  <c r="HX17" i="18"/>
  <c r="HY17" i="18" s="1"/>
  <c r="HS17" i="18"/>
  <c r="HT17" i="18" s="1"/>
  <c r="HL17" i="18"/>
  <c r="HM17" i="18" s="1"/>
  <c r="HG17" i="18"/>
  <c r="HH17" i="18" s="1"/>
  <c r="HB17" i="18"/>
  <c r="HC17" i="18" s="1"/>
  <c r="GU17" i="18"/>
  <c r="GV17" i="18" s="1"/>
  <c r="GP17" i="18"/>
  <c r="GQ17" i="18" s="1"/>
  <c r="GK17" i="18"/>
  <c r="GD17" i="18"/>
  <c r="GE17" i="18" s="1"/>
  <c r="FY17" i="18"/>
  <c r="FZ17" i="18" s="1"/>
  <c r="FT17" i="18"/>
  <c r="FU17" i="18" s="1"/>
  <c r="FM17" i="18"/>
  <c r="FN17" i="18" s="1"/>
  <c r="FH17" i="18"/>
  <c r="FI17" i="18" s="1"/>
  <c r="FC17" i="18"/>
  <c r="FD17" i="18" s="1"/>
  <c r="EV17" i="18"/>
  <c r="EQ17" i="18"/>
  <c r="ER17" i="18" s="1"/>
  <c r="EL17" i="18"/>
  <c r="EM17" i="18" s="1"/>
  <c r="EE17" i="18"/>
  <c r="EF17" i="18" s="1"/>
  <c r="DZ17" i="18"/>
  <c r="EA17" i="18" s="1"/>
  <c r="DU17" i="18"/>
  <c r="DN17" i="18"/>
  <c r="DO17" i="18" s="1"/>
  <c r="DI17" i="18"/>
  <c r="DJ17" i="18" s="1"/>
  <c r="DD17" i="18"/>
  <c r="DE17" i="18" s="1"/>
  <c r="CW17" i="18"/>
  <c r="CX17" i="18" s="1"/>
  <c r="CR17" i="18"/>
  <c r="CS17" i="18" s="1"/>
  <c r="CM17" i="18"/>
  <c r="CN17" i="18" s="1"/>
  <c r="CF17" i="18"/>
  <c r="CG17" i="18" s="1"/>
  <c r="CA17" i="18"/>
  <c r="CB17" i="18" s="1"/>
  <c r="BV17" i="18"/>
  <c r="BW17" i="18" s="1"/>
  <c r="BO17" i="18"/>
  <c r="BP17" i="18" s="1"/>
  <c r="BJ17" i="18"/>
  <c r="BK17" i="18" s="1"/>
  <c r="BE17" i="18"/>
  <c r="BF17" i="18" s="1"/>
  <c r="AX17" i="18"/>
  <c r="AY17" i="18" s="1"/>
  <c r="AS17" i="18"/>
  <c r="AT17" i="18" s="1"/>
  <c r="AN17" i="18"/>
  <c r="AO17" i="18" s="1"/>
  <c r="AG17" i="18"/>
  <c r="AH17" i="18" s="1"/>
  <c r="AB17" i="18"/>
  <c r="AC17" i="18" s="1"/>
  <c r="W17" i="18"/>
  <c r="X17" i="18" s="1"/>
  <c r="P17" i="18"/>
  <c r="Q17" i="18" s="1"/>
  <c r="K17" i="18"/>
  <c r="L17" i="18" s="1"/>
  <c r="F17" i="18"/>
  <c r="G17" i="18" s="1"/>
  <c r="TW16" i="18"/>
  <c r="TX16" i="18" s="1"/>
  <c r="TR16" i="18"/>
  <c r="TS16" i="18" s="1"/>
  <c r="TM16" i="18"/>
  <c r="TN16" i="18" s="1"/>
  <c r="TF16" i="18"/>
  <c r="TG16" i="18" s="1"/>
  <c r="TA16" i="18"/>
  <c r="TB16" i="18" s="1"/>
  <c r="SV16" i="18"/>
  <c r="SO16" i="18"/>
  <c r="SP16" i="18" s="1"/>
  <c r="SJ16" i="18"/>
  <c r="SK16" i="18" s="1"/>
  <c r="SE16" i="18"/>
  <c r="SF16" i="18" s="1"/>
  <c r="RX16" i="18"/>
  <c r="RY16" i="18" s="1"/>
  <c r="RS16" i="18"/>
  <c r="RT16" i="18" s="1"/>
  <c r="RN16" i="18"/>
  <c r="RO16" i="18" s="1"/>
  <c r="RG16" i="18"/>
  <c r="RH16" i="18" s="1"/>
  <c r="RB16" i="18"/>
  <c r="RC16" i="18" s="1"/>
  <c r="QW16" i="18"/>
  <c r="QX16" i="18" s="1"/>
  <c r="QP16" i="18"/>
  <c r="QQ16" i="18" s="1"/>
  <c r="QK16" i="18"/>
  <c r="QL16" i="18" s="1"/>
  <c r="QF16" i="18"/>
  <c r="PY16" i="18"/>
  <c r="PZ16" i="18" s="1"/>
  <c r="PT16" i="18"/>
  <c r="PU16" i="18" s="1"/>
  <c r="PO16" i="18"/>
  <c r="PH16" i="18"/>
  <c r="PC16" i="18"/>
  <c r="PD16" i="18" s="1"/>
  <c r="OX16" i="18"/>
  <c r="OY16" i="18" s="1"/>
  <c r="OQ16" i="18"/>
  <c r="OL16" i="18"/>
  <c r="OM16" i="18" s="1"/>
  <c r="OG16" i="18"/>
  <c r="NZ16" i="18"/>
  <c r="OA16" i="18" s="1"/>
  <c r="NU16" i="18"/>
  <c r="NV16" i="18" s="1"/>
  <c r="NP16" i="18"/>
  <c r="NI16" i="18"/>
  <c r="NJ16" i="18" s="1"/>
  <c r="ND16" i="18"/>
  <c r="NE16" i="18" s="1"/>
  <c r="MY16" i="18"/>
  <c r="MR16" i="18"/>
  <c r="MS16" i="18" s="1"/>
  <c r="MM16" i="18"/>
  <c r="MN16" i="18" s="1"/>
  <c r="MH16" i="18"/>
  <c r="MI16" i="18" s="1"/>
  <c r="MA16" i="18"/>
  <c r="MB16" i="18" s="1"/>
  <c r="LV16" i="18"/>
  <c r="LW16" i="18" s="1"/>
  <c r="LQ16" i="18"/>
  <c r="LJ16" i="18"/>
  <c r="LE16" i="18"/>
  <c r="LF16" i="18" s="1"/>
  <c r="KZ16" i="18"/>
  <c r="KS16" i="18"/>
  <c r="KT16" i="18" s="1"/>
  <c r="KN16" i="18"/>
  <c r="KO16" i="18" s="1"/>
  <c r="KI16" i="18"/>
  <c r="KB16" i="18"/>
  <c r="KC16" i="18" s="1"/>
  <c r="JW16" i="18"/>
  <c r="JX16" i="18" s="1"/>
  <c r="JR16" i="18"/>
  <c r="JK16" i="18"/>
  <c r="JF16" i="18"/>
  <c r="JG16" i="18" s="1"/>
  <c r="JA16" i="18"/>
  <c r="IT16" i="18"/>
  <c r="IU16" i="18" s="1"/>
  <c r="IO16" i="18"/>
  <c r="IP16" i="18" s="1"/>
  <c r="IJ16" i="18"/>
  <c r="IC16" i="18"/>
  <c r="ID16" i="18" s="1"/>
  <c r="HX16" i="18"/>
  <c r="HY16" i="18" s="1"/>
  <c r="HS16" i="18"/>
  <c r="HL16" i="18"/>
  <c r="HM16" i="18" s="1"/>
  <c r="HG16" i="18"/>
  <c r="HH16" i="18" s="1"/>
  <c r="HB16" i="18"/>
  <c r="HC16" i="18" s="1"/>
  <c r="GU16" i="18"/>
  <c r="GV16" i="18" s="1"/>
  <c r="GP16" i="18"/>
  <c r="GQ16" i="18" s="1"/>
  <c r="GK16" i="18"/>
  <c r="GD16" i="18"/>
  <c r="GE16" i="18" s="1"/>
  <c r="FY16" i="18"/>
  <c r="FZ16" i="18" s="1"/>
  <c r="FT16" i="18"/>
  <c r="FM16" i="18"/>
  <c r="FN16" i="18" s="1"/>
  <c r="FH16" i="18"/>
  <c r="FI16" i="18" s="1"/>
  <c r="FC16" i="18"/>
  <c r="EV16" i="18"/>
  <c r="EW16" i="18" s="1"/>
  <c r="EQ16" i="18"/>
  <c r="ER16" i="18" s="1"/>
  <c r="EL16" i="18"/>
  <c r="EE16" i="18"/>
  <c r="EF16" i="18" s="1"/>
  <c r="DZ16" i="18"/>
  <c r="EA16" i="18" s="1"/>
  <c r="DU16" i="18"/>
  <c r="DN16" i="18"/>
  <c r="DO16" i="18" s="1"/>
  <c r="DI16" i="18"/>
  <c r="DJ16" i="18" s="1"/>
  <c r="DD16" i="18"/>
  <c r="CW16" i="18"/>
  <c r="CX16" i="18" s="1"/>
  <c r="CR16" i="18"/>
  <c r="CS16" i="18" s="1"/>
  <c r="CM16" i="18"/>
  <c r="CF16" i="18"/>
  <c r="CG16" i="18" s="1"/>
  <c r="CA16" i="18"/>
  <c r="CB16" i="18" s="1"/>
  <c r="BV16" i="18"/>
  <c r="BO16" i="18"/>
  <c r="BP16" i="18" s="1"/>
  <c r="BJ16" i="18"/>
  <c r="BK16" i="18" s="1"/>
  <c r="BE16" i="18"/>
  <c r="AX16" i="18"/>
  <c r="AY16" i="18" s="1"/>
  <c r="AS16" i="18"/>
  <c r="AN16" i="18"/>
  <c r="AO16" i="18" s="1"/>
  <c r="AG16" i="18"/>
  <c r="AH16" i="18" s="1"/>
  <c r="AB16" i="18"/>
  <c r="AC16" i="18" s="1"/>
  <c r="W16" i="18"/>
  <c r="P16" i="18"/>
  <c r="Q16" i="18" s="1"/>
  <c r="K16" i="18"/>
  <c r="L16" i="18" s="1"/>
  <c r="F16" i="18"/>
  <c r="TW15" i="18"/>
  <c r="TX15" i="18" s="1"/>
  <c r="TR15" i="18"/>
  <c r="TS15" i="18" s="1"/>
  <c r="TM15" i="18"/>
  <c r="TF15" i="18"/>
  <c r="TG15" i="18" s="1"/>
  <c r="TA15" i="18"/>
  <c r="SV15" i="18"/>
  <c r="SW15" i="18" s="1"/>
  <c r="SO15" i="18"/>
  <c r="SJ15" i="18"/>
  <c r="SK15" i="18" s="1"/>
  <c r="SE15" i="18"/>
  <c r="RX15" i="18"/>
  <c r="RY15" i="18" s="1"/>
  <c r="RS15" i="18"/>
  <c r="RT15" i="18" s="1"/>
  <c r="RN15" i="18"/>
  <c r="RG15" i="18"/>
  <c r="RH15" i="18" s="1"/>
  <c r="RB15" i="18"/>
  <c r="RC15" i="18" s="1"/>
  <c r="QW15" i="18"/>
  <c r="QP15" i="18"/>
  <c r="QQ15" i="18" s="1"/>
  <c r="QK15" i="18"/>
  <c r="QL15" i="18" s="1"/>
  <c r="QF15" i="18"/>
  <c r="QF14" i="18" s="1"/>
  <c r="QG14" i="18" s="1"/>
  <c r="PY15" i="18"/>
  <c r="PZ15" i="18" s="1"/>
  <c r="PT15" i="18"/>
  <c r="PU15" i="18" s="1"/>
  <c r="PO15" i="18"/>
  <c r="PO14" i="18" s="1"/>
  <c r="PP14" i="18" s="1"/>
  <c r="PH15" i="18"/>
  <c r="PI15" i="18" s="1"/>
  <c r="PC15" i="18"/>
  <c r="PD15" i="18" s="1"/>
  <c r="OX15" i="18"/>
  <c r="OQ15" i="18"/>
  <c r="OR15" i="18" s="1"/>
  <c r="OL15" i="18"/>
  <c r="OG15" i="18"/>
  <c r="NZ15" i="18"/>
  <c r="NU15" i="18"/>
  <c r="NP15" i="18"/>
  <c r="NI15" i="18"/>
  <c r="NJ15" i="18" s="1"/>
  <c r="ND15" i="18"/>
  <c r="NE15" i="18" s="1"/>
  <c r="MY15" i="18"/>
  <c r="MR15" i="18"/>
  <c r="MS15" i="18" s="1"/>
  <c r="MM15" i="18"/>
  <c r="MN15" i="18" s="1"/>
  <c r="MH15" i="18"/>
  <c r="MA15" i="18"/>
  <c r="MB15" i="18" s="1"/>
  <c r="LV15" i="18"/>
  <c r="LQ15" i="18"/>
  <c r="LJ15" i="18"/>
  <c r="LK15" i="18" s="1"/>
  <c r="LE15" i="18"/>
  <c r="LF15" i="18" s="1"/>
  <c r="KZ15" i="18"/>
  <c r="KS15" i="18"/>
  <c r="KT15" i="18" s="1"/>
  <c r="KN15" i="18"/>
  <c r="KO15" i="18" s="1"/>
  <c r="KI15" i="18"/>
  <c r="KI14" i="18" s="1"/>
  <c r="KJ14" i="18" s="1"/>
  <c r="KB15" i="18"/>
  <c r="KC15" i="18" s="1"/>
  <c r="JW15" i="18"/>
  <c r="JX15" i="18" s="1"/>
  <c r="JR15" i="18"/>
  <c r="JK15" i="18"/>
  <c r="JL15" i="18" s="1"/>
  <c r="JF15" i="18"/>
  <c r="JA15" i="18"/>
  <c r="IT15" i="18"/>
  <c r="IO15" i="18"/>
  <c r="IP15" i="18" s="1"/>
  <c r="IJ15" i="18"/>
  <c r="IC15" i="18"/>
  <c r="ID15" i="18" s="1"/>
  <c r="HX15" i="18"/>
  <c r="HY15" i="18" s="1"/>
  <c r="HS15" i="18"/>
  <c r="HL15" i="18"/>
  <c r="HG15" i="18"/>
  <c r="HH15" i="18" s="1"/>
  <c r="HB15" i="18"/>
  <c r="GU15" i="18"/>
  <c r="GV15" i="18" s="1"/>
  <c r="GP15" i="18"/>
  <c r="GK15" i="18"/>
  <c r="GD15" i="18"/>
  <c r="GE15" i="18" s="1"/>
  <c r="FY15" i="18"/>
  <c r="FZ15" i="18" s="1"/>
  <c r="FT15" i="18"/>
  <c r="FM15" i="18"/>
  <c r="FN15" i="18" s="1"/>
  <c r="FH15" i="18"/>
  <c r="FI15" i="18" s="1"/>
  <c r="FC15" i="18"/>
  <c r="EV15" i="18"/>
  <c r="EW15" i="18" s="1"/>
  <c r="EQ15" i="18"/>
  <c r="ER15" i="18" s="1"/>
  <c r="EL15" i="18"/>
  <c r="EE15" i="18"/>
  <c r="EF15" i="18" s="1"/>
  <c r="DZ15" i="18"/>
  <c r="DU15" i="18"/>
  <c r="DN15" i="18"/>
  <c r="DO15" i="18" s="1"/>
  <c r="DI15" i="18"/>
  <c r="DD15" i="18"/>
  <c r="CW15" i="18"/>
  <c r="CX15" i="18" s="1"/>
  <c r="CR15" i="18"/>
  <c r="CS15" i="18" s="1"/>
  <c r="CM15" i="18"/>
  <c r="CF15" i="18"/>
  <c r="CG15" i="18" s="1"/>
  <c r="CA15" i="18"/>
  <c r="CB15" i="18" s="1"/>
  <c r="BV15" i="18"/>
  <c r="BW15" i="18" s="1"/>
  <c r="BO15" i="18"/>
  <c r="BP15" i="18" s="1"/>
  <c r="BJ15" i="18"/>
  <c r="BK15" i="18" s="1"/>
  <c r="BE15" i="18"/>
  <c r="BF15" i="18" s="1"/>
  <c r="AX15" i="18"/>
  <c r="AY15" i="18" s="1"/>
  <c r="AS15" i="18"/>
  <c r="AT15" i="18" s="1"/>
  <c r="AN15" i="18"/>
  <c r="AO15" i="18" s="1"/>
  <c r="AG15" i="18"/>
  <c r="AB15" i="18"/>
  <c r="W15" i="18"/>
  <c r="X15" i="18" s="1"/>
  <c r="P15" i="18"/>
  <c r="Q15" i="18" s="1"/>
  <c r="K15" i="18"/>
  <c r="L15" i="18" s="1"/>
  <c r="F15" i="18"/>
  <c r="W14" i="18"/>
  <c r="X14" i="18" s="1"/>
  <c r="TW13" i="18"/>
  <c r="TX13" i="18" s="1"/>
  <c r="TR13" i="18"/>
  <c r="TS13" i="18" s="1"/>
  <c r="TM13" i="18"/>
  <c r="TN13" i="18" s="1"/>
  <c r="TF13" i="18"/>
  <c r="TG13" i="18" s="1"/>
  <c r="TA13" i="18"/>
  <c r="TB13" i="18" s="1"/>
  <c r="SV13" i="18"/>
  <c r="SW13" i="18" s="1"/>
  <c r="SO13" i="18"/>
  <c r="SP13" i="18" s="1"/>
  <c r="SJ13" i="18"/>
  <c r="SK13" i="18" s="1"/>
  <c r="SE13" i="18"/>
  <c r="SF13" i="18" s="1"/>
  <c r="RX13" i="18"/>
  <c r="RY13" i="18" s="1"/>
  <c r="RS13" i="18"/>
  <c r="RT13" i="18" s="1"/>
  <c r="RN13" i="18"/>
  <c r="RO13" i="18" s="1"/>
  <c r="RG13" i="18"/>
  <c r="RH13" i="18" s="1"/>
  <c r="RB13" i="18"/>
  <c r="RB12" i="18" s="1"/>
  <c r="RC12" i="18" s="1"/>
  <c r="QW13" i="18"/>
  <c r="QX13" i="18" s="1"/>
  <c r="QP13" i="18"/>
  <c r="QQ13" i="18" s="1"/>
  <c r="QK13" i="18"/>
  <c r="QL13" i="18" s="1"/>
  <c r="QF13" i="18"/>
  <c r="QF12" i="18" s="1"/>
  <c r="QG12" i="18" s="1"/>
  <c r="PY13" i="18"/>
  <c r="PZ13" i="18" s="1"/>
  <c r="PT13" i="18"/>
  <c r="PU13" i="18" s="1"/>
  <c r="PO13" i="18"/>
  <c r="PP13" i="18" s="1"/>
  <c r="PH13" i="18"/>
  <c r="PI13" i="18" s="1"/>
  <c r="PC13" i="18"/>
  <c r="PD13" i="18" s="1"/>
  <c r="OX13" i="18"/>
  <c r="OY13" i="18" s="1"/>
  <c r="OQ13" i="18"/>
  <c r="OR13" i="18" s="1"/>
  <c r="OL13" i="18"/>
  <c r="OM13" i="18" s="1"/>
  <c r="OG13" i="18"/>
  <c r="OH13" i="18" s="1"/>
  <c r="NZ13" i="18"/>
  <c r="OA13" i="18" s="1"/>
  <c r="NU13" i="18"/>
  <c r="NV13" i="18" s="1"/>
  <c r="NP13" i="18"/>
  <c r="NQ13" i="18" s="1"/>
  <c r="NI13" i="18"/>
  <c r="NJ13" i="18" s="1"/>
  <c r="ND13" i="18"/>
  <c r="NE13" i="18" s="1"/>
  <c r="MY13" i="18"/>
  <c r="MZ13" i="18" s="1"/>
  <c r="MR13" i="18"/>
  <c r="MS13" i="18" s="1"/>
  <c r="MM13" i="18"/>
  <c r="MN13" i="18" s="1"/>
  <c r="MH13" i="18"/>
  <c r="MI13" i="18" s="1"/>
  <c r="MA13" i="18"/>
  <c r="MB13" i="18" s="1"/>
  <c r="LV13" i="18"/>
  <c r="LV12" i="18" s="1"/>
  <c r="LW12" i="18" s="1"/>
  <c r="LQ13" i="18"/>
  <c r="LR13" i="18" s="1"/>
  <c r="LJ13" i="18"/>
  <c r="LK13" i="18" s="1"/>
  <c r="LE13" i="18"/>
  <c r="LF13" i="18" s="1"/>
  <c r="KZ13" i="18"/>
  <c r="KZ12" i="18" s="1"/>
  <c r="LA12" i="18" s="1"/>
  <c r="KS13" i="18"/>
  <c r="KT13" i="18" s="1"/>
  <c r="KN13" i="18"/>
  <c r="KO13" i="18" s="1"/>
  <c r="KI13" i="18"/>
  <c r="KJ13" i="18" s="1"/>
  <c r="KB13" i="18"/>
  <c r="KC13" i="18" s="1"/>
  <c r="JW13" i="18"/>
  <c r="JX13" i="18" s="1"/>
  <c r="JR13" i="18"/>
  <c r="JS13" i="18" s="1"/>
  <c r="JK13" i="18"/>
  <c r="JL13" i="18" s="1"/>
  <c r="JF13" i="18"/>
  <c r="JG13" i="18" s="1"/>
  <c r="JA13" i="18"/>
  <c r="JB13" i="18" s="1"/>
  <c r="IT13" i="18"/>
  <c r="IU13" i="18" s="1"/>
  <c r="IO13" i="18"/>
  <c r="IP13" i="18" s="1"/>
  <c r="IJ13" i="18"/>
  <c r="IK13" i="18" s="1"/>
  <c r="IC13" i="18"/>
  <c r="ID13" i="18" s="1"/>
  <c r="HX13" i="18"/>
  <c r="HY13" i="18" s="1"/>
  <c r="HS13" i="18"/>
  <c r="HT13" i="18" s="1"/>
  <c r="HL13" i="18"/>
  <c r="HM13" i="18" s="1"/>
  <c r="HG13" i="18"/>
  <c r="HH13" i="18" s="1"/>
  <c r="HB13" i="18"/>
  <c r="HC13" i="18" s="1"/>
  <c r="GU13" i="18"/>
  <c r="GV13" i="18" s="1"/>
  <c r="GP13" i="18"/>
  <c r="GP12" i="18" s="1"/>
  <c r="GQ12" i="18" s="1"/>
  <c r="GK13" i="18"/>
  <c r="GL13" i="18" s="1"/>
  <c r="GD13" i="18"/>
  <c r="GE13" i="18" s="1"/>
  <c r="FY13" i="18"/>
  <c r="FZ13" i="18" s="1"/>
  <c r="FT13" i="18"/>
  <c r="FM13" i="18"/>
  <c r="FN13" i="18" s="1"/>
  <c r="FH13" i="18"/>
  <c r="FI13" i="18" s="1"/>
  <c r="FC13" i="18"/>
  <c r="FD13" i="18" s="1"/>
  <c r="EV13" i="18"/>
  <c r="EW13" i="18" s="1"/>
  <c r="EQ13" i="18"/>
  <c r="ER13" i="18" s="1"/>
  <c r="EL13" i="18"/>
  <c r="EM13" i="18" s="1"/>
  <c r="EE13" i="18"/>
  <c r="EF13" i="18" s="1"/>
  <c r="DZ13" i="18"/>
  <c r="EA13" i="18" s="1"/>
  <c r="DU13" i="18"/>
  <c r="DV13" i="18" s="1"/>
  <c r="DN13" i="18"/>
  <c r="DO13" i="18" s="1"/>
  <c r="DI13" i="18"/>
  <c r="DJ13" i="18" s="1"/>
  <c r="DD13" i="18"/>
  <c r="DE13" i="18" s="1"/>
  <c r="CW13" i="18"/>
  <c r="CX13" i="18" s="1"/>
  <c r="CR13" i="18"/>
  <c r="CR12" i="18" s="1"/>
  <c r="CS12" i="18" s="1"/>
  <c r="CM13" i="18"/>
  <c r="CN13" i="18" s="1"/>
  <c r="CF13" i="18"/>
  <c r="CG13" i="18" s="1"/>
  <c r="CA13" i="18"/>
  <c r="CB13" i="18" s="1"/>
  <c r="BV13" i="18"/>
  <c r="BW13" i="18" s="1"/>
  <c r="BO13" i="18"/>
  <c r="BP13" i="18" s="1"/>
  <c r="BJ13" i="18"/>
  <c r="BJ12" i="18" s="1"/>
  <c r="BK12" i="18" s="1"/>
  <c r="BE13" i="18"/>
  <c r="BF13" i="18" s="1"/>
  <c r="AX13" i="18"/>
  <c r="AY13" i="18" s="1"/>
  <c r="AS13" i="18"/>
  <c r="AT13" i="18" s="1"/>
  <c r="AN13" i="18"/>
  <c r="AN12" i="18" s="1"/>
  <c r="AO12" i="18" s="1"/>
  <c r="AG13" i="18"/>
  <c r="AH13" i="18" s="1"/>
  <c r="AB13" i="18"/>
  <c r="AB12" i="18" s="1"/>
  <c r="AC12" i="18" s="1"/>
  <c r="W13" i="18"/>
  <c r="X13" i="18" s="1"/>
  <c r="P13" i="18"/>
  <c r="Q13" i="18" s="1"/>
  <c r="K13" i="18"/>
  <c r="L13" i="18" s="1"/>
  <c r="F13" i="18"/>
  <c r="G13" i="18" s="1"/>
  <c r="TS12" i="18"/>
  <c r="TR12" i="18"/>
  <c r="SV12" i="18"/>
  <c r="SW12" i="18" s="1"/>
  <c r="FT12" i="18"/>
  <c r="FU12" i="18" s="1"/>
  <c r="FC12" i="18"/>
  <c r="FD12" i="18" s="1"/>
  <c r="W12" i="18"/>
  <c r="X12" i="18" s="1"/>
  <c r="TW11" i="18"/>
  <c r="TX11" i="18" s="1"/>
  <c r="TR11" i="18"/>
  <c r="TS11" i="18" s="1"/>
  <c r="TM11" i="18"/>
  <c r="TN11" i="18" s="1"/>
  <c r="TF11" i="18"/>
  <c r="TG11" i="18" s="1"/>
  <c r="TA11" i="18"/>
  <c r="TB11" i="18" s="1"/>
  <c r="SV11" i="18"/>
  <c r="SW11" i="18" s="1"/>
  <c r="SO11" i="18"/>
  <c r="SP11" i="18" s="1"/>
  <c r="SJ11" i="18"/>
  <c r="SK11" i="18" s="1"/>
  <c r="SE11" i="18"/>
  <c r="SF11" i="18" s="1"/>
  <c r="RX11" i="18"/>
  <c r="RY11" i="18" s="1"/>
  <c r="RS11" i="18"/>
  <c r="RT11" i="18" s="1"/>
  <c r="RN11" i="18"/>
  <c r="RO11" i="18" s="1"/>
  <c r="RG11" i="18"/>
  <c r="RB11" i="18"/>
  <c r="RC11" i="18" s="1"/>
  <c r="QW11" i="18"/>
  <c r="QX11" i="18" s="1"/>
  <c r="QP11" i="18"/>
  <c r="QQ11" i="18" s="1"/>
  <c r="QK11" i="18"/>
  <c r="QL11" i="18" s="1"/>
  <c r="QF11" i="18"/>
  <c r="PY11" i="18"/>
  <c r="PZ11" i="18" s="1"/>
  <c r="PT11" i="18"/>
  <c r="PU11" i="18" s="1"/>
  <c r="PO11" i="18"/>
  <c r="PP11" i="18" s="1"/>
  <c r="PH11" i="18"/>
  <c r="PI11" i="18" s="1"/>
  <c r="PC11" i="18"/>
  <c r="PD11" i="18" s="1"/>
  <c r="OX11" i="18"/>
  <c r="OY11" i="18" s="1"/>
  <c r="OQ11" i="18"/>
  <c r="OR11" i="18" s="1"/>
  <c r="OL11" i="18"/>
  <c r="OM11" i="18" s="1"/>
  <c r="OG11" i="18"/>
  <c r="OH11" i="18" s="1"/>
  <c r="NZ11" i="18"/>
  <c r="OA11" i="18" s="1"/>
  <c r="NU11" i="18"/>
  <c r="NV11" i="18" s="1"/>
  <c r="NP11" i="18"/>
  <c r="NQ11" i="18" s="1"/>
  <c r="NI11" i="18"/>
  <c r="NJ11" i="18" s="1"/>
  <c r="ND11" i="18"/>
  <c r="NE11" i="18" s="1"/>
  <c r="MY11" i="18"/>
  <c r="MZ11" i="18" s="1"/>
  <c r="MR11" i="18"/>
  <c r="MS11" i="18" s="1"/>
  <c r="MM11" i="18"/>
  <c r="MN11" i="18" s="1"/>
  <c r="MH11" i="18"/>
  <c r="MI11" i="18" s="1"/>
  <c r="MA11" i="18"/>
  <c r="LV11" i="18"/>
  <c r="LW11" i="18" s="1"/>
  <c r="LQ11" i="18"/>
  <c r="LR11" i="18" s="1"/>
  <c r="LJ11" i="18"/>
  <c r="LK11" i="18" s="1"/>
  <c r="LE11" i="18"/>
  <c r="LF11" i="18" s="1"/>
  <c r="KZ11" i="18"/>
  <c r="KS11" i="18"/>
  <c r="KT11" i="18" s="1"/>
  <c r="KN11" i="18"/>
  <c r="KO11" i="18" s="1"/>
  <c r="KI11" i="18"/>
  <c r="KJ11" i="18" s="1"/>
  <c r="KB11" i="18"/>
  <c r="KC11" i="18" s="1"/>
  <c r="JW11" i="18"/>
  <c r="JX11" i="18" s="1"/>
  <c r="JR11" i="18"/>
  <c r="JS11" i="18" s="1"/>
  <c r="JK11" i="18"/>
  <c r="JL11" i="18" s="1"/>
  <c r="JF11" i="18"/>
  <c r="JG11" i="18" s="1"/>
  <c r="JA11" i="18"/>
  <c r="JB11" i="18" s="1"/>
  <c r="IT11" i="18"/>
  <c r="IU11" i="18" s="1"/>
  <c r="IO11" i="18"/>
  <c r="IP11" i="18" s="1"/>
  <c r="IJ11" i="18"/>
  <c r="IK11" i="18" s="1"/>
  <c r="IC11" i="18"/>
  <c r="ID11" i="18" s="1"/>
  <c r="HX11" i="18"/>
  <c r="HY11" i="18" s="1"/>
  <c r="HS11" i="18"/>
  <c r="HT11" i="18" s="1"/>
  <c r="HL11" i="18"/>
  <c r="HM11" i="18" s="1"/>
  <c r="HG11" i="18"/>
  <c r="HH11" i="18" s="1"/>
  <c r="HB11" i="18"/>
  <c r="HC11" i="18" s="1"/>
  <c r="GU11" i="18"/>
  <c r="GP11" i="18"/>
  <c r="GQ11" i="18" s="1"/>
  <c r="GK11" i="18"/>
  <c r="GL11" i="18" s="1"/>
  <c r="GD11" i="18"/>
  <c r="GE11" i="18" s="1"/>
  <c r="FY11" i="18"/>
  <c r="FZ11" i="18" s="1"/>
  <c r="FT11" i="18"/>
  <c r="FM11" i="18"/>
  <c r="FN11" i="18" s="1"/>
  <c r="FH11" i="18"/>
  <c r="FI11" i="18" s="1"/>
  <c r="FC11" i="18"/>
  <c r="FD11" i="18" s="1"/>
  <c r="EV11" i="18"/>
  <c r="EW11" i="18" s="1"/>
  <c r="EQ11" i="18"/>
  <c r="ER11" i="18" s="1"/>
  <c r="EL11" i="18"/>
  <c r="EM11" i="18" s="1"/>
  <c r="EE11" i="18"/>
  <c r="EF11" i="18" s="1"/>
  <c r="DZ11" i="18"/>
  <c r="EA11" i="18" s="1"/>
  <c r="DU11" i="18"/>
  <c r="DV11" i="18" s="1"/>
  <c r="DN11" i="18"/>
  <c r="DO11" i="18" s="1"/>
  <c r="DI11" i="18"/>
  <c r="DJ11" i="18" s="1"/>
  <c r="DD11" i="18"/>
  <c r="DE11" i="18" s="1"/>
  <c r="CW11" i="18"/>
  <c r="CX11" i="18" s="1"/>
  <c r="CR11" i="18"/>
  <c r="CS11" i="18" s="1"/>
  <c r="CM11" i="18"/>
  <c r="CN11" i="18" s="1"/>
  <c r="CF11" i="18"/>
  <c r="CG11" i="18" s="1"/>
  <c r="CA11" i="18"/>
  <c r="CB11" i="18" s="1"/>
  <c r="BV11" i="18"/>
  <c r="BW11" i="18" s="1"/>
  <c r="BO11" i="18"/>
  <c r="BJ11" i="18"/>
  <c r="BK11" i="18" s="1"/>
  <c r="BE11" i="18"/>
  <c r="BF11" i="18" s="1"/>
  <c r="AX11" i="18"/>
  <c r="AY11" i="18" s="1"/>
  <c r="AS11" i="18"/>
  <c r="AT11" i="18" s="1"/>
  <c r="AN11" i="18"/>
  <c r="AG11" i="18"/>
  <c r="AH11" i="18" s="1"/>
  <c r="AC11" i="18"/>
  <c r="AB11" i="18"/>
  <c r="W11" i="18"/>
  <c r="X11" i="18" s="1"/>
  <c r="P11" i="18"/>
  <c r="Q11" i="18" s="1"/>
  <c r="K11" i="18"/>
  <c r="F11" i="18"/>
  <c r="G11" i="18" s="1"/>
  <c r="TW10" i="18"/>
  <c r="TX10" i="18" s="1"/>
  <c r="TR10" i="18"/>
  <c r="TS10" i="18" s="1"/>
  <c r="TN10" i="18"/>
  <c r="TM10" i="18"/>
  <c r="TY10" i="18" s="1"/>
  <c r="TZ10" i="18" s="1"/>
  <c r="TF10" i="18"/>
  <c r="TG10" i="18" s="1"/>
  <c r="TA10" i="18"/>
  <c r="SW10" i="18"/>
  <c r="SV10" i="18"/>
  <c r="SO10" i="18"/>
  <c r="SP10" i="18" s="1"/>
  <c r="SJ10" i="18"/>
  <c r="SK10" i="18" s="1"/>
  <c r="SE10" i="18"/>
  <c r="RX10" i="18"/>
  <c r="RY10" i="18" s="1"/>
  <c r="RS10" i="18"/>
  <c r="RN10" i="18"/>
  <c r="RO10" i="18" s="1"/>
  <c r="RG10" i="18"/>
  <c r="RH10" i="18" s="1"/>
  <c r="RB10" i="18"/>
  <c r="RC10" i="18" s="1"/>
  <c r="QW10" i="18"/>
  <c r="QP10" i="18"/>
  <c r="QQ10" i="18" s="1"/>
  <c r="QK10" i="18"/>
  <c r="QF10" i="18"/>
  <c r="QG10" i="18" s="1"/>
  <c r="PY10" i="18"/>
  <c r="PZ10" i="18" s="1"/>
  <c r="PT10" i="18"/>
  <c r="PU10" i="18" s="1"/>
  <c r="PO10" i="18"/>
  <c r="PP10" i="18" s="1"/>
  <c r="PH10" i="18"/>
  <c r="PI10" i="18" s="1"/>
  <c r="PC10" i="18"/>
  <c r="OX10" i="18"/>
  <c r="OY10" i="18" s="1"/>
  <c r="OQ10" i="18"/>
  <c r="OR10" i="18" s="1"/>
  <c r="OL10" i="18"/>
  <c r="OM10" i="18" s="1"/>
  <c r="OG10" i="18"/>
  <c r="NZ10" i="18"/>
  <c r="OA10" i="18" s="1"/>
  <c r="NU10" i="18"/>
  <c r="NP10" i="18"/>
  <c r="NQ10" i="18" s="1"/>
  <c r="NI10" i="18"/>
  <c r="NJ10" i="18" s="1"/>
  <c r="ND10" i="18"/>
  <c r="NE10" i="18" s="1"/>
  <c r="MY10" i="18"/>
  <c r="MR10" i="18"/>
  <c r="MS10" i="18" s="1"/>
  <c r="MM10" i="18"/>
  <c r="MH10" i="18"/>
  <c r="MI10" i="18" s="1"/>
  <c r="MA10" i="18"/>
  <c r="MB10" i="18" s="1"/>
  <c r="LV10" i="18"/>
  <c r="LW10" i="18" s="1"/>
  <c r="LQ10" i="18"/>
  <c r="LJ10" i="18"/>
  <c r="LK10" i="18" s="1"/>
  <c r="LE10" i="18"/>
  <c r="KZ10" i="18"/>
  <c r="LA10" i="18" s="1"/>
  <c r="KS10" i="18"/>
  <c r="KT10" i="18" s="1"/>
  <c r="KN10" i="18"/>
  <c r="KO10" i="18" s="1"/>
  <c r="KI10" i="18"/>
  <c r="KJ10" i="18" s="1"/>
  <c r="KB10" i="18"/>
  <c r="KC10" i="18" s="1"/>
  <c r="JW10" i="18"/>
  <c r="JR10" i="18"/>
  <c r="JS10" i="18" s="1"/>
  <c r="JK10" i="18"/>
  <c r="JL10" i="18" s="1"/>
  <c r="JF10" i="18"/>
  <c r="JG10" i="18" s="1"/>
  <c r="JA10" i="18"/>
  <c r="IT10" i="18"/>
  <c r="IU10" i="18" s="1"/>
  <c r="IO10" i="18"/>
  <c r="IJ10" i="18"/>
  <c r="IK10" i="18" s="1"/>
  <c r="IC10" i="18"/>
  <c r="ID10" i="18" s="1"/>
  <c r="HX10" i="18"/>
  <c r="HY10" i="18" s="1"/>
  <c r="HS10" i="18"/>
  <c r="HL10" i="18"/>
  <c r="HM10" i="18" s="1"/>
  <c r="HG10" i="18"/>
  <c r="HB10" i="18"/>
  <c r="HC10" i="18" s="1"/>
  <c r="GU10" i="18"/>
  <c r="GV10" i="18" s="1"/>
  <c r="GP10" i="18"/>
  <c r="GQ10" i="18" s="1"/>
  <c r="GK10" i="18"/>
  <c r="GL10" i="18" s="1"/>
  <c r="GD10" i="18"/>
  <c r="GE10" i="18" s="1"/>
  <c r="FY10" i="18"/>
  <c r="FT10" i="18"/>
  <c r="FU10" i="18" s="1"/>
  <c r="FM10" i="18"/>
  <c r="FN10" i="18" s="1"/>
  <c r="FH10" i="18"/>
  <c r="FI10" i="18" s="1"/>
  <c r="FC10" i="18"/>
  <c r="FD10" i="18" s="1"/>
  <c r="EV10" i="18"/>
  <c r="EW10" i="18" s="1"/>
  <c r="EQ10" i="18"/>
  <c r="EL10" i="18"/>
  <c r="EM10" i="18" s="1"/>
  <c r="EE10" i="18"/>
  <c r="EF10" i="18" s="1"/>
  <c r="DZ10" i="18"/>
  <c r="EA10" i="18" s="1"/>
  <c r="DU10" i="18"/>
  <c r="DV10" i="18" s="1"/>
  <c r="DN10" i="18"/>
  <c r="DO10" i="18" s="1"/>
  <c r="DI10" i="18"/>
  <c r="DD10" i="18"/>
  <c r="DE10" i="18" s="1"/>
  <c r="CW10" i="18"/>
  <c r="CX10" i="18" s="1"/>
  <c r="CR10" i="18"/>
  <c r="CS10" i="18" s="1"/>
  <c r="CM10" i="18"/>
  <c r="CF10" i="18"/>
  <c r="CG10" i="18" s="1"/>
  <c r="CA10" i="18"/>
  <c r="BV10" i="18"/>
  <c r="BW10" i="18" s="1"/>
  <c r="BO10" i="18"/>
  <c r="BP10" i="18" s="1"/>
  <c r="BJ10" i="18"/>
  <c r="BK10" i="18" s="1"/>
  <c r="BE10" i="18"/>
  <c r="AX10" i="18"/>
  <c r="AY10" i="18" s="1"/>
  <c r="AS10" i="18"/>
  <c r="AN10" i="18"/>
  <c r="AO10" i="18" s="1"/>
  <c r="AG10" i="18"/>
  <c r="AH10" i="18" s="1"/>
  <c r="AB10" i="18"/>
  <c r="AC10" i="18" s="1"/>
  <c r="W10" i="18"/>
  <c r="P10" i="18"/>
  <c r="Q10" i="18" s="1"/>
  <c r="K10" i="18"/>
  <c r="G10" i="18"/>
  <c r="F10" i="18"/>
  <c r="TW9" i="18"/>
  <c r="TX9" i="18" s="1"/>
  <c r="TR9" i="18"/>
  <c r="TS9" i="18" s="1"/>
  <c r="TM9" i="18"/>
  <c r="TF9" i="18"/>
  <c r="TG9" i="18" s="1"/>
  <c r="TA9" i="18"/>
  <c r="SV9" i="18"/>
  <c r="SW9" i="18" s="1"/>
  <c r="SO9" i="18"/>
  <c r="SP9" i="18" s="1"/>
  <c r="SJ9" i="18"/>
  <c r="SK9" i="18" s="1"/>
  <c r="SE9" i="18"/>
  <c r="RX9" i="18"/>
  <c r="RY9" i="18" s="1"/>
  <c r="RS9" i="18"/>
  <c r="RN9" i="18"/>
  <c r="RO9" i="18" s="1"/>
  <c r="RG9" i="18"/>
  <c r="RH9" i="18" s="1"/>
  <c r="RB9" i="18"/>
  <c r="RC9" i="18" s="1"/>
  <c r="QW9" i="18"/>
  <c r="QP9" i="18"/>
  <c r="QQ9" i="18" s="1"/>
  <c r="QK9" i="18"/>
  <c r="QF9" i="18"/>
  <c r="QG9" i="18" s="1"/>
  <c r="PY9" i="18"/>
  <c r="PZ9" i="18" s="1"/>
  <c r="PT9" i="18"/>
  <c r="PU9" i="18" s="1"/>
  <c r="PO9" i="18"/>
  <c r="PH9" i="18"/>
  <c r="PI9" i="18" s="1"/>
  <c r="PC9" i="18"/>
  <c r="OX9" i="18"/>
  <c r="OY9" i="18" s="1"/>
  <c r="OQ9" i="18"/>
  <c r="OR9" i="18" s="1"/>
  <c r="OL9" i="18"/>
  <c r="OM9" i="18" s="1"/>
  <c r="OG9" i="18"/>
  <c r="NZ9" i="18"/>
  <c r="OA9" i="18" s="1"/>
  <c r="NU9" i="18"/>
  <c r="NP9" i="18"/>
  <c r="NI9" i="18"/>
  <c r="NJ9" i="18" s="1"/>
  <c r="ND9" i="18"/>
  <c r="NE9" i="18" s="1"/>
  <c r="MY9" i="18"/>
  <c r="MR9" i="18"/>
  <c r="MS9" i="18" s="1"/>
  <c r="MM9" i="18"/>
  <c r="MH9" i="18"/>
  <c r="MI9" i="18" s="1"/>
  <c r="MA9" i="18"/>
  <c r="MB9" i="18" s="1"/>
  <c r="LV9" i="18"/>
  <c r="LW9" i="18" s="1"/>
  <c r="LQ9" i="18"/>
  <c r="LJ9" i="18"/>
  <c r="LK9" i="18" s="1"/>
  <c r="LE9" i="18"/>
  <c r="KZ9" i="18"/>
  <c r="LA9" i="18" s="1"/>
  <c r="KS9" i="18"/>
  <c r="KT9" i="18" s="1"/>
  <c r="KN9" i="18"/>
  <c r="KO9" i="18" s="1"/>
  <c r="KI9" i="18"/>
  <c r="KB9" i="18"/>
  <c r="KC9" i="18" s="1"/>
  <c r="JW9" i="18"/>
  <c r="JX9" i="18" s="1"/>
  <c r="JR9" i="18"/>
  <c r="JK9" i="18"/>
  <c r="JL9" i="18" s="1"/>
  <c r="JF9" i="18"/>
  <c r="JG9" i="18" s="1"/>
  <c r="JA9" i="18"/>
  <c r="JB9" i="18" s="1"/>
  <c r="IT9" i="18"/>
  <c r="IU9" i="18" s="1"/>
  <c r="IO9" i="18"/>
  <c r="IP9" i="18" s="1"/>
  <c r="IJ9" i="18"/>
  <c r="IC9" i="18"/>
  <c r="ID9" i="18" s="1"/>
  <c r="HX9" i="18"/>
  <c r="HY9" i="18" s="1"/>
  <c r="HS9" i="18"/>
  <c r="HL9" i="18"/>
  <c r="HM9" i="18" s="1"/>
  <c r="HG9" i="18"/>
  <c r="HH9" i="18" s="1"/>
  <c r="HB9" i="18"/>
  <c r="GU9" i="18"/>
  <c r="GV9" i="18" s="1"/>
  <c r="GP9" i="18"/>
  <c r="GQ9" i="18" s="1"/>
  <c r="GK9" i="18"/>
  <c r="GD9" i="18"/>
  <c r="GE9" i="18" s="1"/>
  <c r="FY9" i="18"/>
  <c r="FZ9" i="18" s="1"/>
  <c r="FT9" i="18"/>
  <c r="FM9" i="18"/>
  <c r="FN9" i="18" s="1"/>
  <c r="FH9" i="18"/>
  <c r="FI9" i="18" s="1"/>
  <c r="FC9" i="18"/>
  <c r="EV9" i="18"/>
  <c r="EW9" i="18" s="1"/>
  <c r="EQ9" i="18"/>
  <c r="ER9" i="18" s="1"/>
  <c r="EL9" i="18"/>
  <c r="EE9" i="18"/>
  <c r="EF9" i="18" s="1"/>
  <c r="DZ9" i="18"/>
  <c r="EA9" i="18" s="1"/>
  <c r="DU9" i="18"/>
  <c r="DN9" i="18"/>
  <c r="DO9" i="18" s="1"/>
  <c r="DI9" i="18"/>
  <c r="DJ9" i="18" s="1"/>
  <c r="DD9" i="18"/>
  <c r="DD7" i="18" s="1"/>
  <c r="DE7" i="18" s="1"/>
  <c r="CW9" i="18"/>
  <c r="CX9" i="18" s="1"/>
  <c r="CR9" i="18"/>
  <c r="CS9" i="18" s="1"/>
  <c r="CM9" i="18"/>
  <c r="CF9" i="18"/>
  <c r="CG9" i="18" s="1"/>
  <c r="CA9" i="18"/>
  <c r="CB9" i="18" s="1"/>
  <c r="BV9" i="18"/>
  <c r="BO9" i="18"/>
  <c r="BP9" i="18" s="1"/>
  <c r="BJ9" i="18"/>
  <c r="BK9" i="18" s="1"/>
  <c r="BE9" i="18"/>
  <c r="AX9" i="18"/>
  <c r="AY9" i="18" s="1"/>
  <c r="AS9" i="18"/>
  <c r="AT9" i="18" s="1"/>
  <c r="AN9" i="18"/>
  <c r="AG9" i="18"/>
  <c r="AH9" i="18" s="1"/>
  <c r="AB9" i="18"/>
  <c r="AC9" i="18" s="1"/>
  <c r="W9" i="18"/>
  <c r="P9" i="18"/>
  <c r="Q9" i="18" s="1"/>
  <c r="K9" i="18"/>
  <c r="L9" i="18" s="1"/>
  <c r="F9" i="18"/>
  <c r="TW8" i="18"/>
  <c r="TX8" i="18" s="1"/>
  <c r="TR8" i="18"/>
  <c r="TS8" i="18" s="1"/>
  <c r="TM8" i="18"/>
  <c r="TN8" i="18" s="1"/>
  <c r="TF8" i="18"/>
  <c r="TG8" i="18" s="1"/>
  <c r="TA8" i="18"/>
  <c r="TB8" i="18" s="1"/>
  <c r="SV8" i="18"/>
  <c r="SO8" i="18"/>
  <c r="SP8" i="18" s="1"/>
  <c r="SJ8" i="18"/>
  <c r="SK8" i="18" s="1"/>
  <c r="SE8" i="18"/>
  <c r="RX8" i="18"/>
  <c r="RY8" i="18" s="1"/>
  <c r="RS8" i="18"/>
  <c r="RN8" i="18"/>
  <c r="RG8" i="18"/>
  <c r="RH8" i="18" s="1"/>
  <c r="RB8" i="18"/>
  <c r="RC8" i="18" s="1"/>
  <c r="QW8" i="18"/>
  <c r="QP8" i="18"/>
  <c r="QK8" i="18"/>
  <c r="QL8" i="18" s="1"/>
  <c r="QF8" i="18"/>
  <c r="PY8" i="18"/>
  <c r="PZ8" i="18" s="1"/>
  <c r="PT8" i="18"/>
  <c r="PU8" i="18" s="1"/>
  <c r="PO8" i="18"/>
  <c r="PH8" i="18"/>
  <c r="PI8" i="18" s="1"/>
  <c r="PC8" i="18"/>
  <c r="PD8" i="18" s="1"/>
  <c r="OX8" i="18"/>
  <c r="OQ8" i="18"/>
  <c r="OL8" i="18"/>
  <c r="OM8" i="18" s="1"/>
  <c r="OG8" i="18"/>
  <c r="NZ8" i="18"/>
  <c r="OA8" i="18" s="1"/>
  <c r="NU8" i="18"/>
  <c r="NV8" i="18" s="1"/>
  <c r="NP8" i="18"/>
  <c r="NI8" i="18"/>
  <c r="NJ8" i="18" s="1"/>
  <c r="ND8" i="18"/>
  <c r="NE8" i="18" s="1"/>
  <c r="MY8" i="18"/>
  <c r="MR8" i="18"/>
  <c r="MS8" i="18" s="1"/>
  <c r="MM8" i="18"/>
  <c r="MH8" i="18"/>
  <c r="MA8" i="18"/>
  <c r="MB8" i="18" s="1"/>
  <c r="LV8" i="18"/>
  <c r="LW8" i="18" s="1"/>
  <c r="LQ8" i="18"/>
  <c r="LJ8" i="18"/>
  <c r="LE8" i="18"/>
  <c r="LF8" i="18" s="1"/>
  <c r="KZ8" i="18"/>
  <c r="KS8" i="18"/>
  <c r="KT8" i="18" s="1"/>
  <c r="KN8" i="18"/>
  <c r="KO8" i="18" s="1"/>
  <c r="KI8" i="18"/>
  <c r="KB8" i="18"/>
  <c r="KC8" i="18" s="1"/>
  <c r="JW8" i="18"/>
  <c r="JX8" i="18" s="1"/>
  <c r="JR8" i="18"/>
  <c r="JK8" i="18"/>
  <c r="JL8" i="18" s="1"/>
  <c r="JF8" i="18"/>
  <c r="JG8" i="18" s="1"/>
  <c r="JA8" i="18"/>
  <c r="JB8" i="18" s="1"/>
  <c r="IT8" i="18"/>
  <c r="IU8" i="18" s="1"/>
  <c r="IO8" i="18"/>
  <c r="IP8" i="18" s="1"/>
  <c r="IJ8" i="18"/>
  <c r="IC8" i="18"/>
  <c r="ID8" i="18" s="1"/>
  <c r="HX8" i="18"/>
  <c r="HY8" i="18" s="1"/>
  <c r="HS8" i="18"/>
  <c r="HL8" i="18"/>
  <c r="HM8" i="18" s="1"/>
  <c r="HG8" i="18"/>
  <c r="HB8" i="18"/>
  <c r="GU8" i="18"/>
  <c r="GV8" i="18" s="1"/>
  <c r="GP8" i="18"/>
  <c r="GQ8" i="18" s="1"/>
  <c r="GK8" i="18"/>
  <c r="GD8" i="18"/>
  <c r="FY8" i="18"/>
  <c r="FZ8" i="18" s="1"/>
  <c r="FT8" i="18"/>
  <c r="FM8" i="18"/>
  <c r="FN8" i="18" s="1"/>
  <c r="FH8" i="18"/>
  <c r="FI8" i="18" s="1"/>
  <c r="FC8" i="18"/>
  <c r="EV8" i="18"/>
  <c r="EW8" i="18" s="1"/>
  <c r="EQ8" i="18"/>
  <c r="ER8" i="18" s="1"/>
  <c r="EL8" i="18"/>
  <c r="EE8" i="18"/>
  <c r="DZ8" i="18"/>
  <c r="EA8" i="18" s="1"/>
  <c r="DU8" i="18"/>
  <c r="DN8" i="18"/>
  <c r="DO8" i="18" s="1"/>
  <c r="DI8" i="18"/>
  <c r="DJ8" i="18" s="1"/>
  <c r="DD8" i="18"/>
  <c r="CW8" i="18"/>
  <c r="CX8" i="18" s="1"/>
  <c r="CR8" i="18"/>
  <c r="CS8" i="18" s="1"/>
  <c r="CM8" i="18"/>
  <c r="CF8" i="18"/>
  <c r="CG8" i="18" s="1"/>
  <c r="CA8" i="18"/>
  <c r="BV8" i="18"/>
  <c r="BO8" i="18"/>
  <c r="BP8" i="18" s="1"/>
  <c r="BJ8" i="18"/>
  <c r="BK8" i="18" s="1"/>
  <c r="BE8" i="18"/>
  <c r="AX8" i="18"/>
  <c r="AS8" i="18"/>
  <c r="AT8" i="18" s="1"/>
  <c r="AN8" i="18"/>
  <c r="AG8" i="18"/>
  <c r="AH8" i="18" s="1"/>
  <c r="AB8" i="18"/>
  <c r="AC8" i="18" s="1"/>
  <c r="W8" i="18"/>
  <c r="P8" i="18"/>
  <c r="Q8" i="18" s="1"/>
  <c r="K8" i="18"/>
  <c r="L8" i="18" s="1"/>
  <c r="F8" i="18"/>
  <c r="TW6" i="18"/>
  <c r="TX6" i="18" s="1"/>
  <c r="TR6" i="18"/>
  <c r="TS6" i="18" s="1"/>
  <c r="TM6" i="18"/>
  <c r="TF6" i="18"/>
  <c r="TG6" i="18" s="1"/>
  <c r="TA6" i="18"/>
  <c r="TB6" i="18" s="1"/>
  <c r="SV6" i="18"/>
  <c r="SV4" i="18" s="1"/>
  <c r="SW4" i="18" s="1"/>
  <c r="SO6" i="18"/>
  <c r="SO4" i="18" s="1"/>
  <c r="SP4" i="18" s="1"/>
  <c r="SJ6" i="18"/>
  <c r="SK6" i="18" s="1"/>
  <c r="SE6" i="18"/>
  <c r="RX6" i="18"/>
  <c r="RY6" i="18" s="1"/>
  <c r="RS6" i="18"/>
  <c r="RN6" i="18"/>
  <c r="RG6" i="18"/>
  <c r="RH6" i="18" s="1"/>
  <c r="RB6" i="18"/>
  <c r="RC6" i="18" s="1"/>
  <c r="QW6" i="18"/>
  <c r="QP6" i="18"/>
  <c r="QQ6" i="18" s="1"/>
  <c r="QK6" i="18"/>
  <c r="QL6" i="18" s="1"/>
  <c r="QF6" i="18"/>
  <c r="PY6" i="18"/>
  <c r="PZ6" i="18" s="1"/>
  <c r="PT6" i="18"/>
  <c r="PU6" i="18" s="1"/>
  <c r="PO6" i="18"/>
  <c r="PH6" i="18"/>
  <c r="PI6" i="18" s="1"/>
  <c r="PC6" i="18"/>
  <c r="PD6" i="18" s="1"/>
  <c r="OX6" i="18"/>
  <c r="OQ6" i="18"/>
  <c r="OR6" i="18" s="1"/>
  <c r="OL6" i="18"/>
  <c r="OM6" i="18" s="1"/>
  <c r="OG6" i="18"/>
  <c r="OH6" i="18" s="1"/>
  <c r="NZ6" i="18"/>
  <c r="OA6" i="18" s="1"/>
  <c r="NU6" i="18"/>
  <c r="NV6" i="18" s="1"/>
  <c r="NP6" i="18"/>
  <c r="NI6" i="18"/>
  <c r="NJ6" i="18" s="1"/>
  <c r="ND6" i="18"/>
  <c r="NE6" i="18" s="1"/>
  <c r="MY6" i="18"/>
  <c r="MR6" i="18"/>
  <c r="MS6" i="18" s="1"/>
  <c r="MM6" i="18"/>
  <c r="MH6" i="18"/>
  <c r="MA6" i="18"/>
  <c r="MB6" i="18" s="1"/>
  <c r="LV6" i="18"/>
  <c r="LW6" i="18" s="1"/>
  <c r="LQ6" i="18"/>
  <c r="LJ6" i="18"/>
  <c r="LK6" i="18" s="1"/>
  <c r="LE6" i="18"/>
  <c r="LF6" i="18" s="1"/>
  <c r="KZ6" i="18"/>
  <c r="KS6" i="18"/>
  <c r="KT6" i="18" s="1"/>
  <c r="KN6" i="18"/>
  <c r="KO6" i="18" s="1"/>
  <c r="KI6" i="18"/>
  <c r="KB6" i="18"/>
  <c r="KC6" i="18" s="1"/>
  <c r="JW6" i="18"/>
  <c r="JX6" i="18" s="1"/>
  <c r="JR6" i="18"/>
  <c r="JK6" i="18"/>
  <c r="JL6" i="18" s="1"/>
  <c r="JF6" i="18"/>
  <c r="JG6" i="18" s="1"/>
  <c r="JA6" i="18"/>
  <c r="IT6" i="18"/>
  <c r="IU6" i="18" s="1"/>
  <c r="IO6" i="18"/>
  <c r="IP6" i="18" s="1"/>
  <c r="IJ6" i="18"/>
  <c r="IC6" i="18"/>
  <c r="HX6" i="18"/>
  <c r="HY6" i="18" s="1"/>
  <c r="HS6" i="18"/>
  <c r="HL6" i="18"/>
  <c r="HM6" i="18" s="1"/>
  <c r="HG6" i="18"/>
  <c r="HB6" i="18"/>
  <c r="GU6" i="18"/>
  <c r="GV6" i="18" s="1"/>
  <c r="GP6" i="18"/>
  <c r="GQ6" i="18" s="1"/>
  <c r="GK6" i="18"/>
  <c r="GD6" i="18"/>
  <c r="GE6" i="18" s="1"/>
  <c r="FY6" i="18"/>
  <c r="FZ6" i="18" s="1"/>
  <c r="FT6" i="18"/>
  <c r="FM6" i="18"/>
  <c r="FN6" i="18" s="1"/>
  <c r="FH6" i="18"/>
  <c r="FI6" i="18" s="1"/>
  <c r="FC6" i="18"/>
  <c r="EV6" i="18"/>
  <c r="EW6" i="18" s="1"/>
  <c r="EQ6" i="18"/>
  <c r="ER6" i="18" s="1"/>
  <c r="EL6" i="18"/>
  <c r="EE6" i="18"/>
  <c r="EF6" i="18" s="1"/>
  <c r="DZ6" i="18"/>
  <c r="EA6" i="18" s="1"/>
  <c r="DU6" i="18"/>
  <c r="DV6" i="18" s="1"/>
  <c r="DN6" i="18"/>
  <c r="DO6" i="18" s="1"/>
  <c r="DI6" i="18"/>
  <c r="DJ6" i="18" s="1"/>
  <c r="DD6" i="18"/>
  <c r="CW6" i="18"/>
  <c r="CX6" i="18" s="1"/>
  <c r="CR6" i="18"/>
  <c r="CS6" i="18" s="1"/>
  <c r="CM6" i="18"/>
  <c r="CF6" i="18"/>
  <c r="CG6" i="18" s="1"/>
  <c r="CA6" i="18"/>
  <c r="CB6" i="18" s="1"/>
  <c r="BV6" i="18"/>
  <c r="BO6" i="18"/>
  <c r="BP6" i="18" s="1"/>
  <c r="BJ6" i="18"/>
  <c r="BK6" i="18" s="1"/>
  <c r="BE6" i="18"/>
  <c r="AX6" i="18"/>
  <c r="AY6" i="18" s="1"/>
  <c r="AS6" i="18"/>
  <c r="AT6" i="18" s="1"/>
  <c r="AN6" i="18"/>
  <c r="AG6" i="18"/>
  <c r="AH6" i="18" s="1"/>
  <c r="AB6" i="18"/>
  <c r="AC6" i="18" s="1"/>
  <c r="W6" i="18"/>
  <c r="P6" i="18"/>
  <c r="Q6" i="18" s="1"/>
  <c r="K6" i="18"/>
  <c r="L6" i="18" s="1"/>
  <c r="F6" i="18"/>
  <c r="TW5" i="18"/>
  <c r="TX5" i="18" s="1"/>
  <c r="TR5" i="18"/>
  <c r="TS5" i="18" s="1"/>
  <c r="TM5" i="18"/>
  <c r="TF5" i="18"/>
  <c r="TG5" i="18" s="1"/>
  <c r="TA5" i="18"/>
  <c r="TB5" i="18" s="1"/>
  <c r="SV5" i="18"/>
  <c r="SO5" i="18"/>
  <c r="SP5" i="18" s="1"/>
  <c r="SJ5" i="18"/>
  <c r="SK5" i="18" s="1"/>
  <c r="SE5" i="18"/>
  <c r="RX5" i="18"/>
  <c r="RY5" i="18" s="1"/>
  <c r="RS5" i="18"/>
  <c r="RT5" i="18" s="1"/>
  <c r="RN5" i="18"/>
  <c r="RG5" i="18"/>
  <c r="RG4" i="18" s="1"/>
  <c r="RH4" i="18" s="1"/>
  <c r="RB5" i="18"/>
  <c r="RC5" i="18" s="1"/>
  <c r="QW5" i="18"/>
  <c r="QP5" i="18"/>
  <c r="QQ5" i="18" s="1"/>
  <c r="QK5" i="18"/>
  <c r="QL5" i="18" s="1"/>
  <c r="QF5" i="18"/>
  <c r="PY5" i="18"/>
  <c r="PT5" i="18"/>
  <c r="PU5" i="18" s="1"/>
  <c r="PO5" i="18"/>
  <c r="PO4" i="18" s="1"/>
  <c r="PP4" i="18" s="1"/>
  <c r="PH5" i="18"/>
  <c r="PI5" i="18" s="1"/>
  <c r="PC5" i="18"/>
  <c r="PD5" i="18" s="1"/>
  <c r="OX5" i="18"/>
  <c r="OQ5" i="18"/>
  <c r="OR5" i="18" s="1"/>
  <c r="OL5" i="18"/>
  <c r="OM5" i="18" s="1"/>
  <c r="OG5" i="18"/>
  <c r="NZ5" i="18"/>
  <c r="OA5" i="18" s="1"/>
  <c r="NU5" i="18"/>
  <c r="NV5" i="18" s="1"/>
  <c r="NP5" i="18"/>
  <c r="NI5" i="18"/>
  <c r="NJ5" i="18" s="1"/>
  <c r="ND5" i="18"/>
  <c r="NE5" i="18" s="1"/>
  <c r="MY5" i="18"/>
  <c r="MR5" i="18"/>
  <c r="MS5" i="18" s="1"/>
  <c r="MM5" i="18"/>
  <c r="MN5" i="18" s="1"/>
  <c r="MH5" i="18"/>
  <c r="MH4" i="18" s="1"/>
  <c r="MI4" i="18" s="1"/>
  <c r="MA5" i="18"/>
  <c r="MB5" i="18" s="1"/>
  <c r="LV5" i="18"/>
  <c r="LW5" i="18" s="1"/>
  <c r="LQ5" i="18"/>
  <c r="LJ5" i="18"/>
  <c r="LK5" i="18" s="1"/>
  <c r="LE5" i="18"/>
  <c r="LF5" i="18" s="1"/>
  <c r="KZ5" i="18"/>
  <c r="KS5" i="18"/>
  <c r="KN5" i="18"/>
  <c r="KO5" i="18" s="1"/>
  <c r="KI5" i="18"/>
  <c r="KB5" i="18"/>
  <c r="KC5" i="18" s="1"/>
  <c r="JW5" i="18"/>
  <c r="JX5" i="18" s="1"/>
  <c r="JR5" i="18"/>
  <c r="JK5" i="18"/>
  <c r="JL5" i="18" s="1"/>
  <c r="JF5" i="18"/>
  <c r="JG5" i="18" s="1"/>
  <c r="JA5" i="18"/>
  <c r="IT5" i="18"/>
  <c r="IU5" i="18" s="1"/>
  <c r="IO5" i="18"/>
  <c r="IP5" i="18" s="1"/>
  <c r="IJ5" i="18"/>
  <c r="IC5" i="18"/>
  <c r="ID5" i="18" s="1"/>
  <c r="HX5" i="18"/>
  <c r="HY5" i="18" s="1"/>
  <c r="HS5" i="18"/>
  <c r="HL5" i="18"/>
  <c r="HM5" i="18" s="1"/>
  <c r="HG5" i="18"/>
  <c r="HH5" i="18" s="1"/>
  <c r="HB5" i="18"/>
  <c r="GU5" i="18"/>
  <c r="GV5" i="18" s="1"/>
  <c r="GP5" i="18"/>
  <c r="GQ5" i="18" s="1"/>
  <c r="GK5" i="18"/>
  <c r="GK4" i="18" s="1"/>
  <c r="GL4" i="18" s="1"/>
  <c r="GD5" i="18"/>
  <c r="GE5" i="18" s="1"/>
  <c r="FY5" i="18"/>
  <c r="FZ5" i="18" s="1"/>
  <c r="FT5" i="18"/>
  <c r="FM5" i="18"/>
  <c r="FM4" i="18" s="1"/>
  <c r="FN4" i="18" s="1"/>
  <c r="FH5" i="18"/>
  <c r="FI5" i="18" s="1"/>
  <c r="FC5" i="18"/>
  <c r="FC4" i="18" s="1"/>
  <c r="FD4" i="18" s="1"/>
  <c r="EV5" i="18"/>
  <c r="EW5" i="18" s="1"/>
  <c r="EQ5" i="18"/>
  <c r="ER5" i="18" s="1"/>
  <c r="EL5" i="18"/>
  <c r="EE5" i="18"/>
  <c r="EF5" i="18" s="1"/>
  <c r="DZ5" i="18"/>
  <c r="EA5" i="18" s="1"/>
  <c r="DU5" i="18"/>
  <c r="DN5" i="18"/>
  <c r="DO5" i="18" s="1"/>
  <c r="DI5" i="18"/>
  <c r="DJ5" i="18" s="1"/>
  <c r="DD5" i="18"/>
  <c r="CW5" i="18"/>
  <c r="CX5" i="18" s="1"/>
  <c r="CR5" i="18"/>
  <c r="CS5" i="18" s="1"/>
  <c r="CM5" i="18"/>
  <c r="CM4" i="18" s="1"/>
  <c r="CN4" i="18" s="1"/>
  <c r="CF5" i="18"/>
  <c r="CG5" i="18" s="1"/>
  <c r="CA5" i="18"/>
  <c r="CB5" i="18" s="1"/>
  <c r="BV5" i="18"/>
  <c r="BO5" i="18"/>
  <c r="BO4" i="18" s="1"/>
  <c r="BP4" i="18" s="1"/>
  <c r="BJ5" i="18"/>
  <c r="BK5" i="18" s="1"/>
  <c r="BE5" i="18"/>
  <c r="BE4" i="18" s="1"/>
  <c r="BF4" i="18" s="1"/>
  <c r="AX5" i="18"/>
  <c r="AY5" i="18" s="1"/>
  <c r="AS5" i="18"/>
  <c r="AT5" i="18" s="1"/>
  <c r="AN5" i="18"/>
  <c r="AG5" i="18"/>
  <c r="AH5" i="18" s="1"/>
  <c r="AB5" i="18"/>
  <c r="AC5" i="18" s="1"/>
  <c r="W5" i="18"/>
  <c r="W4" i="18" s="1"/>
  <c r="X4" i="18" s="1"/>
  <c r="P5" i="18"/>
  <c r="Q5" i="18" s="1"/>
  <c r="K5" i="18"/>
  <c r="L5" i="18" s="1"/>
  <c r="F5" i="18"/>
  <c r="SJ4" i="18"/>
  <c r="SK4" i="18" s="1"/>
  <c r="QF4" i="18"/>
  <c r="QG4" i="18" s="1"/>
  <c r="AF3" i="18"/>
  <c r="AW3" i="18" s="1"/>
  <c r="BN3" i="18" s="1"/>
  <c r="CE3" i="18" s="1"/>
  <c r="CV3" i="18" s="1"/>
  <c r="DM3" i="18" s="1"/>
  <c r="ED3" i="18" s="1"/>
  <c r="EU3" i="18" s="1"/>
  <c r="FL3" i="18" s="1"/>
  <c r="GC3" i="18" s="1"/>
  <c r="GT3" i="18" s="1"/>
  <c r="HK3" i="18" s="1"/>
  <c r="IB3" i="18" s="1"/>
  <c r="IS3" i="18" s="1"/>
  <c r="JJ3" i="18" s="1"/>
  <c r="KA3" i="18" s="1"/>
  <c r="KR3" i="18" s="1"/>
  <c r="LI3" i="18" s="1"/>
  <c r="LZ3" i="18" s="1"/>
  <c r="MQ3" i="18" s="1"/>
  <c r="NH3" i="18" s="1"/>
  <c r="NY3" i="18" s="1"/>
  <c r="OP3" i="18" s="1"/>
  <c r="PG3" i="18" s="1"/>
  <c r="PX3" i="18" s="1"/>
  <c r="QO3" i="18" s="1"/>
  <c r="RF3" i="18" s="1"/>
  <c r="RW3" i="18" s="1"/>
  <c r="SN3" i="18" s="1"/>
  <c r="TE3" i="18" s="1"/>
  <c r="TV3" i="18" s="1"/>
  <c r="AE3" i="18"/>
  <c r="AV3" i="18" s="1"/>
  <c r="BM3" i="18" s="1"/>
  <c r="CD3" i="18" s="1"/>
  <c r="CU3" i="18" s="1"/>
  <c r="DL3" i="18" s="1"/>
  <c r="EC3" i="18" s="1"/>
  <c r="ET3" i="18" s="1"/>
  <c r="FK3" i="18" s="1"/>
  <c r="GB3" i="18" s="1"/>
  <c r="GS3" i="18" s="1"/>
  <c r="HJ3" i="18" s="1"/>
  <c r="IA3" i="18" s="1"/>
  <c r="IR3" i="18" s="1"/>
  <c r="JI3" i="18" s="1"/>
  <c r="JZ3" i="18" s="1"/>
  <c r="KQ3" i="18" s="1"/>
  <c r="LH3" i="18" s="1"/>
  <c r="LY3" i="18" s="1"/>
  <c r="MP3" i="18" s="1"/>
  <c r="NG3" i="18" s="1"/>
  <c r="NX3" i="18" s="1"/>
  <c r="OO3" i="18" s="1"/>
  <c r="PF3" i="18" s="1"/>
  <c r="PW3" i="18" s="1"/>
  <c r="QN3" i="18" s="1"/>
  <c r="RE3" i="18" s="1"/>
  <c r="RV3" i="18" s="1"/>
  <c r="SM3" i="18" s="1"/>
  <c r="TD3" i="18" s="1"/>
  <c r="TU3" i="18" s="1"/>
  <c r="AD3" i="18"/>
  <c r="AU3" i="18" s="1"/>
  <c r="BL3" i="18" s="1"/>
  <c r="CC3" i="18" s="1"/>
  <c r="CT3" i="18" s="1"/>
  <c r="DK3" i="18" s="1"/>
  <c r="EB3" i="18" s="1"/>
  <c r="ES3" i="18" s="1"/>
  <c r="FJ3" i="18" s="1"/>
  <c r="GA3" i="18" s="1"/>
  <c r="GR3" i="18" s="1"/>
  <c r="HI3" i="18" s="1"/>
  <c r="HZ3" i="18" s="1"/>
  <c r="IQ3" i="18" s="1"/>
  <c r="JH3" i="18" s="1"/>
  <c r="JY3" i="18" s="1"/>
  <c r="KP3" i="18" s="1"/>
  <c r="LG3" i="18" s="1"/>
  <c r="LX3" i="18" s="1"/>
  <c r="MO3" i="18" s="1"/>
  <c r="NF3" i="18" s="1"/>
  <c r="NW3" i="18" s="1"/>
  <c r="ON3" i="18" s="1"/>
  <c r="PE3" i="18" s="1"/>
  <c r="PV3" i="18" s="1"/>
  <c r="QM3" i="18" s="1"/>
  <c r="RD3" i="18" s="1"/>
  <c r="RU3" i="18" s="1"/>
  <c r="SL3" i="18" s="1"/>
  <c r="TC3" i="18" s="1"/>
  <c r="TT3" i="18" s="1"/>
  <c r="AA3" i="18"/>
  <c r="AR3" i="18" s="1"/>
  <c r="BI3" i="18" s="1"/>
  <c r="BZ3" i="18" s="1"/>
  <c r="CQ3" i="18" s="1"/>
  <c r="DH3" i="18" s="1"/>
  <c r="DY3" i="18" s="1"/>
  <c r="EP3" i="18" s="1"/>
  <c r="FG3" i="18" s="1"/>
  <c r="FX3" i="18" s="1"/>
  <c r="GO3" i="18" s="1"/>
  <c r="HF3" i="18" s="1"/>
  <c r="HW3" i="18" s="1"/>
  <c r="IN3" i="18" s="1"/>
  <c r="JE3" i="18" s="1"/>
  <c r="JV3" i="18" s="1"/>
  <c r="KM3" i="18" s="1"/>
  <c r="LD3" i="18" s="1"/>
  <c r="LU3" i="18" s="1"/>
  <c r="ML3" i="18" s="1"/>
  <c r="NC3" i="18" s="1"/>
  <c r="NT3" i="18" s="1"/>
  <c r="OK3" i="18" s="1"/>
  <c r="PB3" i="18" s="1"/>
  <c r="PS3" i="18" s="1"/>
  <c r="QJ3" i="18" s="1"/>
  <c r="RA3" i="18" s="1"/>
  <c r="RR3" i="18" s="1"/>
  <c r="SI3" i="18" s="1"/>
  <c r="SZ3" i="18" s="1"/>
  <c r="TQ3" i="18" s="1"/>
  <c r="Z3" i="18"/>
  <c r="AQ3" i="18" s="1"/>
  <c r="BH3" i="18" s="1"/>
  <c r="BY3" i="18" s="1"/>
  <c r="CP3" i="18" s="1"/>
  <c r="DG3" i="18" s="1"/>
  <c r="DX3" i="18" s="1"/>
  <c r="EO3" i="18" s="1"/>
  <c r="FF3" i="18" s="1"/>
  <c r="FW3" i="18" s="1"/>
  <c r="GN3" i="18" s="1"/>
  <c r="HE3" i="18" s="1"/>
  <c r="HV3" i="18" s="1"/>
  <c r="IM3" i="18" s="1"/>
  <c r="JD3" i="18" s="1"/>
  <c r="JU3" i="18" s="1"/>
  <c r="KL3" i="18" s="1"/>
  <c r="LC3" i="18" s="1"/>
  <c r="LT3" i="18" s="1"/>
  <c r="MK3" i="18" s="1"/>
  <c r="NB3" i="18" s="1"/>
  <c r="NS3" i="18" s="1"/>
  <c r="OJ3" i="18" s="1"/>
  <c r="PA3" i="18" s="1"/>
  <c r="PR3" i="18" s="1"/>
  <c r="QI3" i="18" s="1"/>
  <c r="QZ3" i="18" s="1"/>
  <c r="RQ3" i="18" s="1"/>
  <c r="SH3" i="18" s="1"/>
  <c r="SY3" i="18" s="1"/>
  <c r="TP3" i="18" s="1"/>
  <c r="Y3" i="18"/>
  <c r="AP3" i="18" s="1"/>
  <c r="BG3" i="18" s="1"/>
  <c r="BX3" i="18" s="1"/>
  <c r="CO3" i="18" s="1"/>
  <c r="DF3" i="18" s="1"/>
  <c r="DW3" i="18" s="1"/>
  <c r="EN3" i="18" s="1"/>
  <c r="FE3" i="18" s="1"/>
  <c r="FV3" i="18" s="1"/>
  <c r="GM3" i="18" s="1"/>
  <c r="HD3" i="18" s="1"/>
  <c r="HU3" i="18" s="1"/>
  <c r="IL3" i="18" s="1"/>
  <c r="JC3" i="18" s="1"/>
  <c r="JT3" i="18" s="1"/>
  <c r="KK3" i="18" s="1"/>
  <c r="LB3" i="18" s="1"/>
  <c r="LS3" i="18" s="1"/>
  <c r="MJ3" i="18" s="1"/>
  <c r="NA3" i="18" s="1"/>
  <c r="NR3" i="18" s="1"/>
  <c r="OI3" i="18" s="1"/>
  <c r="OZ3" i="18" s="1"/>
  <c r="PQ3" i="18" s="1"/>
  <c r="QH3" i="18" s="1"/>
  <c r="QY3" i="18" s="1"/>
  <c r="RP3" i="18" s="1"/>
  <c r="SG3" i="18" s="1"/>
  <c r="SX3" i="18" s="1"/>
  <c r="TO3" i="18" s="1"/>
  <c r="V3" i="18"/>
  <c r="AM3" i="18" s="1"/>
  <c r="BD3" i="18" s="1"/>
  <c r="BU3" i="18" s="1"/>
  <c r="CL3" i="18" s="1"/>
  <c r="DC3" i="18" s="1"/>
  <c r="DT3" i="18" s="1"/>
  <c r="EK3" i="18" s="1"/>
  <c r="FB3" i="18" s="1"/>
  <c r="FS3" i="18" s="1"/>
  <c r="GJ3" i="18" s="1"/>
  <c r="HA3" i="18" s="1"/>
  <c r="HR3" i="18" s="1"/>
  <c r="II3" i="18" s="1"/>
  <c r="IZ3" i="18" s="1"/>
  <c r="JQ3" i="18" s="1"/>
  <c r="KH3" i="18" s="1"/>
  <c r="KY3" i="18" s="1"/>
  <c r="LP3" i="18" s="1"/>
  <c r="MG3" i="18" s="1"/>
  <c r="MX3" i="18" s="1"/>
  <c r="NO3" i="18" s="1"/>
  <c r="OF3" i="18" s="1"/>
  <c r="OW3" i="18" s="1"/>
  <c r="PN3" i="18" s="1"/>
  <c r="QE3" i="18" s="1"/>
  <c r="QV3" i="18" s="1"/>
  <c r="RM3" i="18" s="1"/>
  <c r="SD3" i="18" s="1"/>
  <c r="SU3" i="18" s="1"/>
  <c r="TL3" i="18" s="1"/>
  <c r="U3" i="18"/>
  <c r="AL3" i="18" s="1"/>
  <c r="BC3" i="18" s="1"/>
  <c r="BT3" i="18" s="1"/>
  <c r="CK3" i="18" s="1"/>
  <c r="DB3" i="18" s="1"/>
  <c r="DS3" i="18" s="1"/>
  <c r="EJ3" i="18" s="1"/>
  <c r="FA3" i="18" s="1"/>
  <c r="FR3" i="18" s="1"/>
  <c r="GI3" i="18" s="1"/>
  <c r="GZ3" i="18" s="1"/>
  <c r="HQ3" i="18" s="1"/>
  <c r="IH3" i="18" s="1"/>
  <c r="IY3" i="18" s="1"/>
  <c r="JP3" i="18" s="1"/>
  <c r="KG3" i="18" s="1"/>
  <c r="KX3" i="18" s="1"/>
  <c r="LO3" i="18" s="1"/>
  <c r="MF3" i="18" s="1"/>
  <c r="MW3" i="18" s="1"/>
  <c r="NN3" i="18" s="1"/>
  <c r="OE3" i="18" s="1"/>
  <c r="OV3" i="18" s="1"/>
  <c r="PM3" i="18" s="1"/>
  <c r="QD3" i="18" s="1"/>
  <c r="QU3" i="18" s="1"/>
  <c r="RL3" i="18" s="1"/>
  <c r="SC3" i="18" s="1"/>
  <c r="ST3" i="18" s="1"/>
  <c r="TK3" i="18" s="1"/>
  <c r="T3" i="18"/>
  <c r="AK3" i="18" s="1"/>
  <c r="BB3" i="18" s="1"/>
  <c r="BS3" i="18" s="1"/>
  <c r="CJ3" i="18" s="1"/>
  <c r="DA3" i="18" s="1"/>
  <c r="DR3" i="18" s="1"/>
  <c r="EI3" i="18" s="1"/>
  <c r="EZ3" i="18" s="1"/>
  <c r="FQ3" i="18" s="1"/>
  <c r="GH3" i="18" s="1"/>
  <c r="GY3" i="18" s="1"/>
  <c r="HP3" i="18" s="1"/>
  <c r="IG3" i="18" s="1"/>
  <c r="IX3" i="18" s="1"/>
  <c r="JO3" i="18" s="1"/>
  <c r="KF3" i="18" s="1"/>
  <c r="KW3" i="18" s="1"/>
  <c r="LN3" i="18" s="1"/>
  <c r="ME3" i="18" s="1"/>
  <c r="MV3" i="18" s="1"/>
  <c r="NM3" i="18" s="1"/>
  <c r="OD3" i="18" s="1"/>
  <c r="OU3" i="18" s="1"/>
  <c r="PL3" i="18" s="1"/>
  <c r="QC3" i="18" s="1"/>
  <c r="QT3" i="18" s="1"/>
  <c r="RK3" i="18" s="1"/>
  <c r="SB3" i="18" s="1"/>
  <c r="SS3" i="18" s="1"/>
  <c r="TJ3" i="18" s="1"/>
  <c r="T1" i="18"/>
  <c r="AK1" i="18" s="1"/>
  <c r="BB1" i="18" s="1"/>
  <c r="BS1" i="18" s="1"/>
  <c r="TW20" i="16"/>
  <c r="TR20" i="16"/>
  <c r="TS20" i="16" s="1"/>
  <c r="TM20" i="16"/>
  <c r="TF20" i="16"/>
  <c r="TG20" i="16" s="1"/>
  <c r="TA20" i="16"/>
  <c r="SV20" i="16"/>
  <c r="SW20" i="16" s="1"/>
  <c r="SO20" i="16"/>
  <c r="SP20" i="16" s="1"/>
  <c r="SJ20" i="16"/>
  <c r="SE20" i="16"/>
  <c r="RX20" i="16"/>
  <c r="RY20" i="16" s="1"/>
  <c r="RS20" i="16"/>
  <c r="RN20" i="16"/>
  <c r="RO20" i="16" s="1"/>
  <c r="RG20" i="16"/>
  <c r="RB20" i="16"/>
  <c r="RC20" i="16" s="1"/>
  <c r="QW20" i="16"/>
  <c r="QP20" i="16"/>
  <c r="QQ20" i="16" s="1"/>
  <c r="QK20" i="16"/>
  <c r="QL20" i="16" s="1"/>
  <c r="QF20" i="16"/>
  <c r="QG20" i="16" s="1"/>
  <c r="PY20" i="16"/>
  <c r="PZ20" i="16" s="1"/>
  <c r="PT20" i="16"/>
  <c r="PU20" i="16" s="1"/>
  <c r="PO20" i="16"/>
  <c r="PH20" i="16"/>
  <c r="PI20" i="16" s="1"/>
  <c r="PC20" i="16"/>
  <c r="PD20" i="16" s="1"/>
  <c r="OX20" i="16"/>
  <c r="OY20" i="16" s="1"/>
  <c r="OQ20" i="16"/>
  <c r="OR20" i="16" s="1"/>
  <c r="OL20" i="16"/>
  <c r="OM20" i="16" s="1"/>
  <c r="OG20" i="16"/>
  <c r="NZ20" i="16"/>
  <c r="OA20" i="16" s="1"/>
  <c r="NU20" i="16"/>
  <c r="NV20" i="16" s="1"/>
  <c r="NP20" i="16"/>
  <c r="NQ20" i="16" s="1"/>
  <c r="NI20" i="16"/>
  <c r="NJ20" i="16" s="1"/>
  <c r="ND20" i="16"/>
  <c r="NE20" i="16" s="1"/>
  <c r="MY20" i="16"/>
  <c r="MR20" i="16"/>
  <c r="MM20" i="16"/>
  <c r="MM18" i="16" s="1"/>
  <c r="MH20" i="16"/>
  <c r="MI20" i="16" s="1"/>
  <c r="MA20" i="16"/>
  <c r="LV20" i="16"/>
  <c r="LW20" i="16" s="1"/>
  <c r="LQ20" i="16"/>
  <c r="LJ20" i="16"/>
  <c r="LK20" i="16" s="1"/>
  <c r="LE20" i="16"/>
  <c r="LF20" i="16" s="1"/>
  <c r="KZ20" i="16"/>
  <c r="LA20" i="16" s="1"/>
  <c r="KS20" i="16"/>
  <c r="KT20" i="16" s="1"/>
  <c r="KN20" i="16"/>
  <c r="KO20" i="16" s="1"/>
  <c r="KI20" i="16"/>
  <c r="KB20" i="16"/>
  <c r="KC20" i="16" s="1"/>
  <c r="JW20" i="16"/>
  <c r="JX20" i="16" s="1"/>
  <c r="JR20" i="16"/>
  <c r="JS20" i="16" s="1"/>
  <c r="JK20" i="16"/>
  <c r="JL20" i="16" s="1"/>
  <c r="JF20" i="16"/>
  <c r="JG20" i="16" s="1"/>
  <c r="JA20" i="16"/>
  <c r="IT20" i="16"/>
  <c r="IO20" i="16"/>
  <c r="IP20" i="16" s="1"/>
  <c r="IJ20" i="16"/>
  <c r="IK20" i="16" s="1"/>
  <c r="IC20" i="16"/>
  <c r="IC18" i="16" s="1"/>
  <c r="ID18" i="16" s="1"/>
  <c r="HX20" i="16"/>
  <c r="HY20" i="16" s="1"/>
  <c r="HS20" i="16"/>
  <c r="HL20" i="16"/>
  <c r="HG20" i="16"/>
  <c r="HH20" i="16" s="1"/>
  <c r="HB20" i="16"/>
  <c r="GU20" i="16"/>
  <c r="GP20" i="16"/>
  <c r="GQ20" i="16" s="1"/>
  <c r="GK20" i="16"/>
  <c r="GD20" i="16"/>
  <c r="GE20" i="16" s="1"/>
  <c r="FY20" i="16"/>
  <c r="FT20" i="16"/>
  <c r="FM20" i="16"/>
  <c r="FN20" i="16" s="1"/>
  <c r="FH20" i="16"/>
  <c r="FC20" i="16"/>
  <c r="EV20" i="16"/>
  <c r="EW20" i="16" s="1"/>
  <c r="EQ20" i="16"/>
  <c r="EL20" i="16"/>
  <c r="EE20" i="16"/>
  <c r="EF20" i="16" s="1"/>
  <c r="DZ20" i="16"/>
  <c r="EA20" i="16" s="1"/>
  <c r="DU20" i="16"/>
  <c r="DN20" i="16"/>
  <c r="DO20" i="16" s="1"/>
  <c r="DI20" i="16"/>
  <c r="DD20" i="16"/>
  <c r="CW20" i="16"/>
  <c r="CW18" i="16" s="1"/>
  <c r="CR20" i="16"/>
  <c r="CS20" i="16" s="1"/>
  <c r="CM20" i="16"/>
  <c r="CF20" i="16"/>
  <c r="CA20" i="16"/>
  <c r="BV20" i="16"/>
  <c r="BO20" i="16"/>
  <c r="BP20" i="16" s="1"/>
  <c r="BJ20" i="16"/>
  <c r="BE20" i="16"/>
  <c r="AX20" i="16"/>
  <c r="AY20" i="16" s="1"/>
  <c r="AS20" i="16"/>
  <c r="AN20" i="16"/>
  <c r="AG20" i="16"/>
  <c r="AH20" i="16" s="1"/>
  <c r="AB20" i="16"/>
  <c r="AC20" i="16" s="1"/>
  <c r="W20" i="16"/>
  <c r="P20" i="16"/>
  <c r="Q20" i="16" s="1"/>
  <c r="K20" i="16"/>
  <c r="F20" i="16"/>
  <c r="TW19" i="16"/>
  <c r="TX19" i="16" s="1"/>
  <c r="TR19" i="16"/>
  <c r="TS19" i="16" s="1"/>
  <c r="TM19" i="16"/>
  <c r="TF19" i="16"/>
  <c r="TG19" i="16" s="1"/>
  <c r="TA19" i="16"/>
  <c r="TB19" i="16" s="1"/>
  <c r="SV19" i="16"/>
  <c r="SV18" i="16" s="1"/>
  <c r="SO19" i="16"/>
  <c r="SP19" i="16" s="1"/>
  <c r="SJ19" i="16"/>
  <c r="SK19" i="16" s="1"/>
  <c r="SE19" i="16"/>
  <c r="RX19" i="16"/>
  <c r="RY19" i="16" s="1"/>
  <c r="RS19" i="16"/>
  <c r="RT19" i="16" s="1"/>
  <c r="RN19" i="16"/>
  <c r="RN18" i="16" s="1"/>
  <c r="RO18" i="16" s="1"/>
  <c r="RG19" i="16"/>
  <c r="RH19" i="16" s="1"/>
  <c r="RB19" i="16"/>
  <c r="RC19" i="16" s="1"/>
  <c r="QW19" i="16"/>
  <c r="QP19" i="16"/>
  <c r="QQ19" i="16" s="1"/>
  <c r="QK19" i="16"/>
  <c r="QL19" i="16" s="1"/>
  <c r="QF19" i="16"/>
  <c r="QF18" i="16" s="1"/>
  <c r="PY19" i="16"/>
  <c r="PZ19" i="16" s="1"/>
  <c r="PT19" i="16"/>
  <c r="PU19" i="16" s="1"/>
  <c r="PO19" i="16"/>
  <c r="PO18" i="16" s="1"/>
  <c r="PH19" i="16"/>
  <c r="PI19" i="16" s="1"/>
  <c r="PC19" i="16"/>
  <c r="PD19" i="16" s="1"/>
  <c r="OX19" i="16"/>
  <c r="OQ19" i="16"/>
  <c r="OR19" i="16" s="1"/>
  <c r="OL19" i="16"/>
  <c r="OM19" i="16" s="1"/>
  <c r="OG19" i="16"/>
  <c r="NZ19" i="16"/>
  <c r="OA19" i="16" s="1"/>
  <c r="NU19" i="16"/>
  <c r="NV19" i="16" s="1"/>
  <c r="NP19" i="16"/>
  <c r="NI19" i="16"/>
  <c r="NJ19" i="16" s="1"/>
  <c r="ND19" i="16"/>
  <c r="NE19" i="16" s="1"/>
  <c r="MY19" i="16"/>
  <c r="MR19" i="16"/>
  <c r="MS19" i="16" s="1"/>
  <c r="MM19" i="16"/>
  <c r="MN19" i="16" s="1"/>
  <c r="MH19" i="16"/>
  <c r="MA19" i="16"/>
  <c r="MB19" i="16" s="1"/>
  <c r="LV19" i="16"/>
  <c r="LW19" i="16" s="1"/>
  <c r="LQ19" i="16"/>
  <c r="LJ19" i="16"/>
  <c r="LK19" i="16" s="1"/>
  <c r="LE19" i="16"/>
  <c r="LF19" i="16" s="1"/>
  <c r="KZ19" i="16"/>
  <c r="KS19" i="16"/>
  <c r="KT19" i="16" s="1"/>
  <c r="KN19" i="16"/>
  <c r="KO19" i="16" s="1"/>
  <c r="KI19" i="16"/>
  <c r="KI18" i="16" s="1"/>
  <c r="KB19" i="16"/>
  <c r="KC19" i="16" s="1"/>
  <c r="JW19" i="16"/>
  <c r="JX19" i="16" s="1"/>
  <c r="JR19" i="16"/>
  <c r="JK19" i="16"/>
  <c r="JL19" i="16" s="1"/>
  <c r="JF19" i="16"/>
  <c r="JG19" i="16" s="1"/>
  <c r="JA19" i="16"/>
  <c r="IT19" i="16"/>
  <c r="IU19" i="16" s="1"/>
  <c r="IO19" i="16"/>
  <c r="IP19" i="16" s="1"/>
  <c r="IJ19" i="16"/>
  <c r="IJ18" i="16" s="1"/>
  <c r="IC19" i="16"/>
  <c r="ID19" i="16" s="1"/>
  <c r="HX19" i="16"/>
  <c r="HY19" i="16" s="1"/>
  <c r="HS19" i="16"/>
  <c r="HS18" i="16" s="1"/>
  <c r="HL19" i="16"/>
  <c r="HM19" i="16" s="1"/>
  <c r="HG19" i="16"/>
  <c r="HH19" i="16" s="1"/>
  <c r="HB19" i="16"/>
  <c r="HB18" i="16" s="1"/>
  <c r="GU19" i="16"/>
  <c r="GV19" i="16" s="1"/>
  <c r="GP19" i="16"/>
  <c r="GQ19" i="16" s="1"/>
  <c r="GK19" i="16"/>
  <c r="GD19" i="16"/>
  <c r="GE19" i="16" s="1"/>
  <c r="FY19" i="16"/>
  <c r="FZ19" i="16" s="1"/>
  <c r="FT19" i="16"/>
  <c r="FT18" i="16" s="1"/>
  <c r="FM19" i="16"/>
  <c r="FN19" i="16" s="1"/>
  <c r="FH19" i="16"/>
  <c r="FI19" i="16" s="1"/>
  <c r="FC19" i="16"/>
  <c r="FC18" i="16" s="1"/>
  <c r="FD18" i="16" s="1"/>
  <c r="EV19" i="16"/>
  <c r="EW19" i="16" s="1"/>
  <c r="EQ19" i="16"/>
  <c r="ER19" i="16" s="1"/>
  <c r="EL19" i="16"/>
  <c r="EE19" i="16"/>
  <c r="EF19" i="16" s="1"/>
  <c r="DZ19" i="16"/>
  <c r="EA19" i="16" s="1"/>
  <c r="DU19" i="16"/>
  <c r="DN19" i="16"/>
  <c r="DO19" i="16" s="1"/>
  <c r="DI19" i="16"/>
  <c r="DJ19" i="16" s="1"/>
  <c r="DD19" i="16"/>
  <c r="CW19" i="16"/>
  <c r="CX19" i="16" s="1"/>
  <c r="CR19" i="16"/>
  <c r="CS19" i="16" s="1"/>
  <c r="CM19" i="16"/>
  <c r="CF19" i="16"/>
  <c r="CG19" i="16" s="1"/>
  <c r="CA19" i="16"/>
  <c r="CB19" i="16" s="1"/>
  <c r="BV19" i="16"/>
  <c r="BV18" i="16" s="1"/>
  <c r="BO19" i="16"/>
  <c r="BP19" i="16" s="1"/>
  <c r="BJ19" i="16"/>
  <c r="BK19" i="16" s="1"/>
  <c r="BE19" i="16"/>
  <c r="AX19" i="16"/>
  <c r="AY19" i="16" s="1"/>
  <c r="AS19" i="16"/>
  <c r="AT19" i="16" s="1"/>
  <c r="AN19" i="16"/>
  <c r="AG19" i="16"/>
  <c r="AH19" i="16" s="1"/>
  <c r="AB19" i="16"/>
  <c r="AC19" i="16" s="1"/>
  <c r="W19" i="16"/>
  <c r="P19" i="16"/>
  <c r="K19" i="16"/>
  <c r="F19" i="16"/>
  <c r="F18" i="16" s="1"/>
  <c r="RS18" i="16"/>
  <c r="QK18" i="16"/>
  <c r="OQ18" i="16"/>
  <c r="OR18" i="16" s="1"/>
  <c r="OL18" i="16"/>
  <c r="NU18" i="16"/>
  <c r="LE18" i="16"/>
  <c r="JK18" i="16"/>
  <c r="JL18" i="16" s="1"/>
  <c r="GD18" i="16"/>
  <c r="EE18" i="16"/>
  <c r="AG18" i="16"/>
  <c r="AB18" i="16"/>
  <c r="AC18" i="16" s="1"/>
  <c r="W18" i="16"/>
  <c r="TW17" i="16"/>
  <c r="TX17" i="16" s="1"/>
  <c r="TR17" i="16"/>
  <c r="TS17" i="16" s="1"/>
  <c r="TM17" i="16"/>
  <c r="TF17" i="16"/>
  <c r="TG17" i="16" s="1"/>
  <c r="TA17" i="16"/>
  <c r="TB17" i="16" s="1"/>
  <c r="SV17" i="16"/>
  <c r="SO17" i="16"/>
  <c r="SP17" i="16" s="1"/>
  <c r="SJ17" i="16"/>
  <c r="SK17" i="16" s="1"/>
  <c r="SE17" i="16"/>
  <c r="RX17" i="16"/>
  <c r="RY17" i="16" s="1"/>
  <c r="RS17" i="16"/>
  <c r="RT17" i="16" s="1"/>
  <c r="RN17" i="16"/>
  <c r="RG17" i="16"/>
  <c r="RH17" i="16" s="1"/>
  <c r="RB17" i="16"/>
  <c r="RC17" i="16" s="1"/>
  <c r="QW17" i="16"/>
  <c r="QP17" i="16"/>
  <c r="QQ17" i="16" s="1"/>
  <c r="QK17" i="16"/>
  <c r="QL17" i="16" s="1"/>
  <c r="QF17" i="16"/>
  <c r="PY17" i="16"/>
  <c r="PZ17" i="16" s="1"/>
  <c r="PT17" i="16"/>
  <c r="PU17" i="16" s="1"/>
  <c r="PO17" i="16"/>
  <c r="PH17" i="16"/>
  <c r="PI17" i="16" s="1"/>
  <c r="PC17" i="16"/>
  <c r="PD17" i="16" s="1"/>
  <c r="OX17" i="16"/>
  <c r="OQ17" i="16"/>
  <c r="OR17" i="16" s="1"/>
  <c r="OL17" i="16"/>
  <c r="OM17" i="16" s="1"/>
  <c r="OG17" i="16"/>
  <c r="NZ17" i="16"/>
  <c r="OA17" i="16" s="1"/>
  <c r="NU17" i="16"/>
  <c r="NV17" i="16" s="1"/>
  <c r="NP17" i="16"/>
  <c r="NI17" i="16"/>
  <c r="NJ17" i="16" s="1"/>
  <c r="ND17" i="16"/>
  <c r="NE17" i="16" s="1"/>
  <c r="MY17" i="16"/>
  <c r="MZ17" i="16" s="1"/>
  <c r="MR17" i="16"/>
  <c r="MS17" i="16" s="1"/>
  <c r="MM17" i="16"/>
  <c r="MN17" i="16" s="1"/>
  <c r="MH17" i="16"/>
  <c r="MA17" i="16"/>
  <c r="MB17" i="16" s="1"/>
  <c r="LV17" i="16"/>
  <c r="LW17" i="16" s="1"/>
  <c r="LQ17" i="16"/>
  <c r="LJ17" i="16"/>
  <c r="LK17" i="16" s="1"/>
  <c r="LE17" i="16"/>
  <c r="LF17" i="16" s="1"/>
  <c r="KZ17" i="16"/>
  <c r="KS17" i="16"/>
  <c r="KT17" i="16" s="1"/>
  <c r="KN17" i="16"/>
  <c r="KO17" i="16" s="1"/>
  <c r="KI17" i="16"/>
  <c r="KJ17" i="16" s="1"/>
  <c r="KB17" i="16"/>
  <c r="KC17" i="16" s="1"/>
  <c r="JW17" i="16"/>
  <c r="JX17" i="16" s="1"/>
  <c r="JR17" i="16"/>
  <c r="JK17" i="16"/>
  <c r="JL17" i="16" s="1"/>
  <c r="JF17" i="16"/>
  <c r="JG17" i="16" s="1"/>
  <c r="JA17" i="16"/>
  <c r="IT17" i="16"/>
  <c r="IU17" i="16" s="1"/>
  <c r="IO17" i="16"/>
  <c r="IP17" i="16" s="1"/>
  <c r="IJ17" i="16"/>
  <c r="IC17" i="16"/>
  <c r="ID17" i="16" s="1"/>
  <c r="HX17" i="16"/>
  <c r="HY17" i="16" s="1"/>
  <c r="HS17" i="16"/>
  <c r="HT17" i="16" s="1"/>
  <c r="HL17" i="16"/>
  <c r="HM17" i="16" s="1"/>
  <c r="HG17" i="16"/>
  <c r="HH17" i="16" s="1"/>
  <c r="HB17" i="16"/>
  <c r="GU17" i="16"/>
  <c r="GV17" i="16" s="1"/>
  <c r="GP17" i="16"/>
  <c r="GQ17" i="16" s="1"/>
  <c r="GK17" i="16"/>
  <c r="GD17" i="16"/>
  <c r="GE17" i="16" s="1"/>
  <c r="FY17" i="16"/>
  <c r="FZ17" i="16" s="1"/>
  <c r="FT17" i="16"/>
  <c r="FM17" i="16"/>
  <c r="FN17" i="16" s="1"/>
  <c r="FH17" i="16"/>
  <c r="FI17" i="16" s="1"/>
  <c r="FC17" i="16"/>
  <c r="FD17" i="16" s="1"/>
  <c r="EV17" i="16"/>
  <c r="EW17" i="16" s="1"/>
  <c r="EQ17" i="16"/>
  <c r="ER17" i="16" s="1"/>
  <c r="EL17" i="16"/>
  <c r="EE17" i="16"/>
  <c r="EF17" i="16" s="1"/>
  <c r="DZ17" i="16"/>
  <c r="EA17" i="16" s="1"/>
  <c r="DU17" i="16"/>
  <c r="DN17" i="16"/>
  <c r="DO17" i="16" s="1"/>
  <c r="DI17" i="16"/>
  <c r="DJ17" i="16" s="1"/>
  <c r="DD17" i="16"/>
  <c r="CW17" i="16"/>
  <c r="CX17" i="16" s="1"/>
  <c r="CR17" i="16"/>
  <c r="CS17" i="16" s="1"/>
  <c r="CM17" i="16"/>
  <c r="CF17" i="16"/>
  <c r="CG17" i="16" s="1"/>
  <c r="CA17" i="16"/>
  <c r="CB17" i="16" s="1"/>
  <c r="BV17" i="16"/>
  <c r="BO17" i="16"/>
  <c r="BP17" i="16" s="1"/>
  <c r="BJ17" i="16"/>
  <c r="BK17" i="16" s="1"/>
  <c r="BE17" i="16"/>
  <c r="AX17" i="16"/>
  <c r="AY17" i="16" s="1"/>
  <c r="AS17" i="16"/>
  <c r="AN17" i="16"/>
  <c r="AG17" i="16"/>
  <c r="AH17" i="16" s="1"/>
  <c r="AB17" i="16"/>
  <c r="AC17" i="16" s="1"/>
  <c r="W17" i="16"/>
  <c r="P17" i="16"/>
  <c r="Q17" i="16" s="1"/>
  <c r="K17" i="16"/>
  <c r="L17" i="16" s="1"/>
  <c r="F17" i="16"/>
  <c r="TW16" i="16"/>
  <c r="TX16" i="16" s="1"/>
  <c r="TR16" i="16"/>
  <c r="TM16" i="16"/>
  <c r="TF16" i="16"/>
  <c r="TG16" i="16" s="1"/>
  <c r="TA16" i="16"/>
  <c r="TB16" i="16" s="1"/>
  <c r="SV16" i="16"/>
  <c r="SO16" i="16"/>
  <c r="SP16" i="16" s="1"/>
  <c r="SJ16" i="16"/>
  <c r="SK16" i="16" s="1"/>
  <c r="SE16" i="16"/>
  <c r="RX16" i="16"/>
  <c r="RS16" i="16"/>
  <c r="RT16" i="16" s="1"/>
  <c r="RN16" i="16"/>
  <c r="RG16" i="16"/>
  <c r="RH16" i="16" s="1"/>
  <c r="RB16" i="16"/>
  <c r="RC16" i="16" s="1"/>
  <c r="QW16" i="16"/>
  <c r="QP16" i="16"/>
  <c r="QQ16" i="16" s="1"/>
  <c r="QK16" i="16"/>
  <c r="QL16" i="16" s="1"/>
  <c r="QF16" i="16"/>
  <c r="PY16" i="16"/>
  <c r="PZ16" i="16" s="1"/>
  <c r="PT16" i="16"/>
  <c r="PU16" i="16" s="1"/>
  <c r="PO16" i="16"/>
  <c r="PH16" i="16"/>
  <c r="PI16" i="16" s="1"/>
  <c r="PC16" i="16"/>
  <c r="PD16" i="16" s="1"/>
  <c r="OX16" i="16"/>
  <c r="OQ16" i="16"/>
  <c r="OR16" i="16" s="1"/>
  <c r="OL16" i="16"/>
  <c r="OM16" i="16" s="1"/>
  <c r="OG16" i="16"/>
  <c r="NZ16" i="16"/>
  <c r="OA16" i="16" s="1"/>
  <c r="NU16" i="16"/>
  <c r="NV16" i="16" s="1"/>
  <c r="NP16" i="16"/>
  <c r="NI16" i="16"/>
  <c r="NJ16" i="16" s="1"/>
  <c r="ND16" i="16"/>
  <c r="NE16" i="16" s="1"/>
  <c r="MY16" i="16"/>
  <c r="MR16" i="16"/>
  <c r="MS16" i="16" s="1"/>
  <c r="MM16" i="16"/>
  <c r="MN16" i="16" s="1"/>
  <c r="MH16" i="16"/>
  <c r="MA16" i="16"/>
  <c r="MB16" i="16" s="1"/>
  <c r="LV16" i="16"/>
  <c r="LW16" i="16" s="1"/>
  <c r="LQ16" i="16"/>
  <c r="LR16" i="16" s="1"/>
  <c r="LJ16" i="16"/>
  <c r="LK16" i="16" s="1"/>
  <c r="LE16" i="16"/>
  <c r="LF16" i="16" s="1"/>
  <c r="KZ16" i="16"/>
  <c r="KS16" i="16"/>
  <c r="KT16" i="16" s="1"/>
  <c r="KN16" i="16"/>
  <c r="KO16" i="16" s="1"/>
  <c r="KI16" i="16"/>
  <c r="KJ16" i="16" s="1"/>
  <c r="KB16" i="16"/>
  <c r="KC16" i="16" s="1"/>
  <c r="JW16" i="16"/>
  <c r="JX16" i="16" s="1"/>
  <c r="JR16" i="16"/>
  <c r="JS16" i="16" s="1"/>
  <c r="JK16" i="16"/>
  <c r="JL16" i="16" s="1"/>
  <c r="JF16" i="16"/>
  <c r="JG16" i="16" s="1"/>
  <c r="JA16" i="16"/>
  <c r="JB16" i="16" s="1"/>
  <c r="IT16" i="16"/>
  <c r="IO16" i="16"/>
  <c r="IP16" i="16" s="1"/>
  <c r="IJ16" i="16"/>
  <c r="IK16" i="16" s="1"/>
  <c r="IC16" i="16"/>
  <c r="ID16" i="16" s="1"/>
  <c r="HX16" i="16"/>
  <c r="HY16" i="16" s="1"/>
  <c r="HS16" i="16"/>
  <c r="HT16" i="16" s="1"/>
  <c r="HL16" i="16"/>
  <c r="HM16" i="16" s="1"/>
  <c r="HG16" i="16"/>
  <c r="HH16" i="16" s="1"/>
  <c r="HB16" i="16"/>
  <c r="HC16" i="16" s="1"/>
  <c r="GU16" i="16"/>
  <c r="GV16" i="16" s="1"/>
  <c r="GP16" i="16"/>
  <c r="GQ16" i="16" s="1"/>
  <c r="GK16" i="16"/>
  <c r="GL16" i="16" s="1"/>
  <c r="GD16" i="16"/>
  <c r="GE16" i="16" s="1"/>
  <c r="FY16" i="16"/>
  <c r="FZ16" i="16" s="1"/>
  <c r="FT16" i="16"/>
  <c r="FM16" i="16"/>
  <c r="FN16" i="16" s="1"/>
  <c r="FH16" i="16"/>
  <c r="FI16" i="16" s="1"/>
  <c r="FC16" i="16"/>
  <c r="FD16" i="16" s="1"/>
  <c r="EV16" i="16"/>
  <c r="EW16" i="16" s="1"/>
  <c r="EQ16" i="16"/>
  <c r="ER16" i="16" s="1"/>
  <c r="EL16" i="16"/>
  <c r="EM16" i="16" s="1"/>
  <c r="EE16" i="16"/>
  <c r="EF16" i="16" s="1"/>
  <c r="DZ16" i="16"/>
  <c r="EA16" i="16" s="1"/>
  <c r="DU16" i="16"/>
  <c r="DV16" i="16" s="1"/>
  <c r="DN16" i="16"/>
  <c r="DI16" i="16"/>
  <c r="DJ16" i="16" s="1"/>
  <c r="DD16" i="16"/>
  <c r="DE16" i="16" s="1"/>
  <c r="CW16" i="16"/>
  <c r="CX16" i="16" s="1"/>
  <c r="CR16" i="16"/>
  <c r="CS16" i="16" s="1"/>
  <c r="CM16" i="16"/>
  <c r="CN16" i="16" s="1"/>
  <c r="CF16" i="16"/>
  <c r="CG16" i="16" s="1"/>
  <c r="CA16" i="16"/>
  <c r="CB16" i="16" s="1"/>
  <c r="BV16" i="16"/>
  <c r="BW16" i="16" s="1"/>
  <c r="BO16" i="16"/>
  <c r="BP16" i="16" s="1"/>
  <c r="BJ16" i="16"/>
  <c r="BK16" i="16" s="1"/>
  <c r="BE16" i="16"/>
  <c r="BF16" i="16" s="1"/>
  <c r="AX16" i="16"/>
  <c r="AY16" i="16" s="1"/>
  <c r="AS16" i="16"/>
  <c r="AT16" i="16" s="1"/>
  <c r="AN16" i="16"/>
  <c r="AG16" i="16"/>
  <c r="AH16" i="16" s="1"/>
  <c r="AB16" i="16"/>
  <c r="W16" i="16"/>
  <c r="X16" i="16" s="1"/>
  <c r="P16" i="16"/>
  <c r="K16" i="16"/>
  <c r="L16" i="16" s="1"/>
  <c r="F16" i="16"/>
  <c r="G16" i="16" s="1"/>
  <c r="TW15" i="16"/>
  <c r="TR15" i="16"/>
  <c r="TS15" i="16" s="1"/>
  <c r="TM15" i="16"/>
  <c r="TN15" i="16" s="1"/>
  <c r="TF15" i="16"/>
  <c r="TG15" i="16" s="1"/>
  <c r="TA15" i="16"/>
  <c r="TB15" i="16" s="1"/>
  <c r="SV15" i="16"/>
  <c r="SO15" i="16"/>
  <c r="SP15" i="16" s="1"/>
  <c r="SJ15" i="16"/>
  <c r="SE15" i="16"/>
  <c r="SF15" i="16" s="1"/>
  <c r="RX15" i="16"/>
  <c r="RS15" i="16"/>
  <c r="RT15" i="16" s="1"/>
  <c r="RN15" i="16"/>
  <c r="RO15" i="16" s="1"/>
  <c r="RG15" i="16"/>
  <c r="RB15" i="16"/>
  <c r="RC15" i="16" s="1"/>
  <c r="QW15" i="16"/>
  <c r="QX15" i="16" s="1"/>
  <c r="QP15" i="16"/>
  <c r="QQ15" i="16" s="1"/>
  <c r="QK15" i="16"/>
  <c r="QL15" i="16" s="1"/>
  <c r="QF15" i="16"/>
  <c r="PY15" i="16"/>
  <c r="PZ15" i="16" s="1"/>
  <c r="PT15" i="16"/>
  <c r="PO15" i="16"/>
  <c r="PP15" i="16" s="1"/>
  <c r="PH15" i="16"/>
  <c r="PC15" i="16"/>
  <c r="PD15" i="16" s="1"/>
  <c r="OX15" i="16"/>
  <c r="OY15" i="16" s="1"/>
  <c r="OQ15" i="16"/>
  <c r="OL15" i="16"/>
  <c r="OM15" i="16" s="1"/>
  <c r="OG15" i="16"/>
  <c r="OH15" i="16" s="1"/>
  <c r="NZ15" i="16"/>
  <c r="OA15" i="16" s="1"/>
  <c r="NU15" i="16"/>
  <c r="NV15" i="16" s="1"/>
  <c r="NP15" i="16"/>
  <c r="NI15" i="16"/>
  <c r="NJ15" i="16" s="1"/>
  <c r="ND15" i="16"/>
  <c r="MY15" i="16"/>
  <c r="MZ15" i="16" s="1"/>
  <c r="MR15" i="16"/>
  <c r="MM15" i="16"/>
  <c r="MN15" i="16" s="1"/>
  <c r="MH15" i="16"/>
  <c r="MI15" i="16" s="1"/>
  <c r="MA15" i="16"/>
  <c r="LV15" i="16"/>
  <c r="LW15" i="16" s="1"/>
  <c r="LQ15" i="16"/>
  <c r="LR15" i="16" s="1"/>
  <c r="LJ15" i="16"/>
  <c r="LK15" i="16" s="1"/>
  <c r="LE15" i="16"/>
  <c r="LF15" i="16" s="1"/>
  <c r="KZ15" i="16"/>
  <c r="KS15" i="16"/>
  <c r="KT15" i="16" s="1"/>
  <c r="KN15" i="16"/>
  <c r="KI15" i="16"/>
  <c r="KJ15" i="16" s="1"/>
  <c r="KB15" i="16"/>
  <c r="JW15" i="16"/>
  <c r="JX15" i="16" s="1"/>
  <c r="JR15" i="16"/>
  <c r="JS15" i="16" s="1"/>
  <c r="JK15" i="16"/>
  <c r="JF15" i="16"/>
  <c r="JG15" i="16" s="1"/>
  <c r="JA15" i="16"/>
  <c r="JB15" i="16" s="1"/>
  <c r="IT15" i="16"/>
  <c r="IU15" i="16" s="1"/>
  <c r="IO15" i="16"/>
  <c r="IP15" i="16" s="1"/>
  <c r="IJ15" i="16"/>
  <c r="IC15" i="16"/>
  <c r="ID15" i="16" s="1"/>
  <c r="HX15" i="16"/>
  <c r="HS15" i="16"/>
  <c r="HT15" i="16" s="1"/>
  <c r="HL15" i="16"/>
  <c r="HL14" i="16" s="1"/>
  <c r="HM14" i="16" s="1"/>
  <c r="HG15" i="16"/>
  <c r="HH15" i="16" s="1"/>
  <c r="HB15" i="16"/>
  <c r="HC15" i="16" s="1"/>
  <c r="GU15" i="16"/>
  <c r="GP15" i="16"/>
  <c r="GQ15" i="16" s="1"/>
  <c r="GK15" i="16"/>
  <c r="GL15" i="16" s="1"/>
  <c r="GD15" i="16"/>
  <c r="GE15" i="16" s="1"/>
  <c r="FY15" i="16"/>
  <c r="FZ15" i="16" s="1"/>
  <c r="FT15" i="16"/>
  <c r="FM15" i="16"/>
  <c r="FN15" i="16" s="1"/>
  <c r="FH15" i="16"/>
  <c r="FC15" i="16"/>
  <c r="FD15" i="16" s="1"/>
  <c r="EV15" i="16"/>
  <c r="EW15" i="16" s="1"/>
  <c r="EQ15" i="16"/>
  <c r="ER15" i="16" s="1"/>
  <c r="EL15" i="16"/>
  <c r="EM15" i="16" s="1"/>
  <c r="EE15" i="16"/>
  <c r="EF15" i="16" s="1"/>
  <c r="DZ15" i="16"/>
  <c r="EA15" i="16" s="1"/>
  <c r="DU15" i="16"/>
  <c r="DV15" i="16" s="1"/>
  <c r="DN15" i="16"/>
  <c r="DO15" i="16" s="1"/>
  <c r="DI15" i="16"/>
  <c r="DJ15" i="16" s="1"/>
  <c r="DD15" i="16"/>
  <c r="DD14" i="16" s="1"/>
  <c r="DE14" i="16" s="1"/>
  <c r="CW15" i="16"/>
  <c r="CX15" i="16" s="1"/>
  <c r="CR15" i="16"/>
  <c r="CS15" i="16" s="1"/>
  <c r="CM15" i="16"/>
  <c r="CF15" i="16"/>
  <c r="CG15" i="16" s="1"/>
  <c r="CA15" i="16"/>
  <c r="CB15" i="16" s="1"/>
  <c r="BV15" i="16"/>
  <c r="BV14" i="16" s="1"/>
  <c r="BW14" i="16" s="1"/>
  <c r="BO15" i="16"/>
  <c r="BP15" i="16" s="1"/>
  <c r="BJ15" i="16"/>
  <c r="BK15" i="16" s="1"/>
  <c r="BE15" i="16"/>
  <c r="AX15" i="16"/>
  <c r="AY15" i="16" s="1"/>
  <c r="AS15" i="16"/>
  <c r="AT15" i="16" s="1"/>
  <c r="AN15" i="16"/>
  <c r="AG15" i="16"/>
  <c r="AH15" i="16" s="1"/>
  <c r="AB15" i="16"/>
  <c r="AC15" i="16" s="1"/>
  <c r="W15" i="16"/>
  <c r="X15" i="16" s="1"/>
  <c r="P15" i="16"/>
  <c r="Q15" i="16" s="1"/>
  <c r="K15" i="16"/>
  <c r="L15" i="16" s="1"/>
  <c r="F15" i="16"/>
  <c r="F14" i="16" s="1"/>
  <c r="G14" i="16" s="1"/>
  <c r="TF14" i="16"/>
  <c r="TG14" i="16" s="1"/>
  <c r="SE14" i="16"/>
  <c r="SF14" i="16" s="1"/>
  <c r="W14" i="16"/>
  <c r="X14" i="16" s="1"/>
  <c r="TW13" i="16"/>
  <c r="TX13" i="16" s="1"/>
  <c r="TR13" i="16"/>
  <c r="TS13" i="16" s="1"/>
  <c r="TM13" i="16"/>
  <c r="TN13" i="16" s="1"/>
  <c r="TF13" i="16"/>
  <c r="TG13" i="16" s="1"/>
  <c r="TA13" i="16"/>
  <c r="TB13" i="16" s="1"/>
  <c r="SV13" i="16"/>
  <c r="SV12" i="16" s="1"/>
  <c r="SW12" i="16" s="1"/>
  <c r="SO13" i="16"/>
  <c r="SP13" i="16" s="1"/>
  <c r="SJ13" i="16"/>
  <c r="SK13" i="16" s="1"/>
  <c r="SE13" i="16"/>
  <c r="SF13" i="16" s="1"/>
  <c r="RX13" i="16"/>
  <c r="RY13" i="16" s="1"/>
  <c r="RS13" i="16"/>
  <c r="RT13" i="16" s="1"/>
  <c r="RN13" i="16"/>
  <c r="RN12" i="16" s="1"/>
  <c r="RO12" i="16" s="1"/>
  <c r="RG13" i="16"/>
  <c r="RH13" i="16" s="1"/>
  <c r="RB13" i="16"/>
  <c r="QW13" i="16"/>
  <c r="QX13" i="16" s="1"/>
  <c r="QP13" i="16"/>
  <c r="QQ13" i="16" s="1"/>
  <c r="QK13" i="16"/>
  <c r="QL13" i="16" s="1"/>
  <c r="QF13" i="16"/>
  <c r="QF12" i="16" s="1"/>
  <c r="QG12" i="16" s="1"/>
  <c r="PY13" i="16"/>
  <c r="PZ13" i="16" s="1"/>
  <c r="PT13" i="16"/>
  <c r="PU13" i="16" s="1"/>
  <c r="PO13" i="16"/>
  <c r="PP13" i="16" s="1"/>
  <c r="PH13" i="16"/>
  <c r="PI13" i="16" s="1"/>
  <c r="PC13" i="16"/>
  <c r="PD13" i="16" s="1"/>
  <c r="OX13" i="16"/>
  <c r="OX12" i="16" s="1"/>
  <c r="OY12" i="16" s="1"/>
  <c r="OQ13" i="16"/>
  <c r="OR13" i="16" s="1"/>
  <c r="OL13" i="16"/>
  <c r="OM13" i="16" s="1"/>
  <c r="OG13" i="16"/>
  <c r="NZ13" i="16"/>
  <c r="OA13" i="16" s="1"/>
  <c r="NU13" i="16"/>
  <c r="NV13" i="16" s="1"/>
  <c r="NP13" i="16"/>
  <c r="NP12" i="16" s="1"/>
  <c r="NQ12" i="16" s="1"/>
  <c r="NI13" i="16"/>
  <c r="NJ13" i="16" s="1"/>
  <c r="ND13" i="16"/>
  <c r="NE13" i="16" s="1"/>
  <c r="MY13" i="16"/>
  <c r="MZ13" i="16" s="1"/>
  <c r="MR13" i="16"/>
  <c r="MS13" i="16" s="1"/>
  <c r="MM13" i="16"/>
  <c r="MN13" i="16" s="1"/>
  <c r="MH13" i="16"/>
  <c r="MH12" i="16" s="1"/>
  <c r="MI12" i="16" s="1"/>
  <c r="MA13" i="16"/>
  <c r="MB13" i="16" s="1"/>
  <c r="LV13" i="16"/>
  <c r="LV12" i="16" s="1"/>
  <c r="LW12" i="16" s="1"/>
  <c r="LQ13" i="16"/>
  <c r="LR13" i="16" s="1"/>
  <c r="LJ13" i="16"/>
  <c r="LK13" i="16" s="1"/>
  <c r="LE13" i="16"/>
  <c r="LF13" i="16" s="1"/>
  <c r="KZ13" i="16"/>
  <c r="KZ12" i="16" s="1"/>
  <c r="LA12" i="16" s="1"/>
  <c r="KS13" i="16"/>
  <c r="KT13" i="16" s="1"/>
  <c r="KN13" i="16"/>
  <c r="KO13" i="16" s="1"/>
  <c r="KI13" i="16"/>
  <c r="KI12" i="16" s="1"/>
  <c r="KJ12" i="16" s="1"/>
  <c r="KB13" i="16"/>
  <c r="KC13" i="16" s="1"/>
  <c r="JW13" i="16"/>
  <c r="JX13" i="16" s="1"/>
  <c r="JR13" i="16"/>
  <c r="JR12" i="16" s="1"/>
  <c r="JS12" i="16" s="1"/>
  <c r="JK13" i="16"/>
  <c r="JL13" i="16" s="1"/>
  <c r="JF13" i="16"/>
  <c r="JG13" i="16" s="1"/>
  <c r="JA13" i="16"/>
  <c r="JA12" i="16" s="1"/>
  <c r="JB12" i="16" s="1"/>
  <c r="IT13" i="16"/>
  <c r="IU13" i="16" s="1"/>
  <c r="IO13" i="16"/>
  <c r="IP13" i="16" s="1"/>
  <c r="IJ13" i="16"/>
  <c r="IJ12" i="16" s="1"/>
  <c r="IK12" i="16" s="1"/>
  <c r="IC13" i="16"/>
  <c r="ID13" i="16" s="1"/>
  <c r="HX13" i="16"/>
  <c r="HY13" i="16" s="1"/>
  <c r="HS13" i="16"/>
  <c r="HT13" i="16" s="1"/>
  <c r="HL13" i="16"/>
  <c r="HM13" i="16" s="1"/>
  <c r="HG13" i="16"/>
  <c r="HH13" i="16" s="1"/>
  <c r="HB13" i="16"/>
  <c r="HB12" i="16" s="1"/>
  <c r="HC12" i="16" s="1"/>
  <c r="GU13" i="16"/>
  <c r="GV13" i="16" s="1"/>
  <c r="GP13" i="16"/>
  <c r="GP12" i="16" s="1"/>
  <c r="GQ12" i="16" s="1"/>
  <c r="GK13" i="16"/>
  <c r="GK12" i="16" s="1"/>
  <c r="GL12" i="16" s="1"/>
  <c r="GD13" i="16"/>
  <c r="GE13" i="16" s="1"/>
  <c r="FY13" i="16"/>
  <c r="FZ13" i="16" s="1"/>
  <c r="FT13" i="16"/>
  <c r="FT12" i="16" s="1"/>
  <c r="FU12" i="16" s="1"/>
  <c r="FM13" i="16"/>
  <c r="FN13" i="16" s="1"/>
  <c r="FH13" i="16"/>
  <c r="FI13" i="16" s="1"/>
  <c r="FC13" i="16"/>
  <c r="FD13" i="16" s="1"/>
  <c r="EV13" i="16"/>
  <c r="EV12" i="16" s="1"/>
  <c r="EW12" i="16" s="1"/>
  <c r="EQ13" i="16"/>
  <c r="ER13" i="16" s="1"/>
  <c r="EL13" i="16"/>
  <c r="EL12" i="16" s="1"/>
  <c r="EM12" i="16" s="1"/>
  <c r="EE13" i="16"/>
  <c r="EF13" i="16" s="1"/>
  <c r="DZ13" i="16"/>
  <c r="EA13" i="16" s="1"/>
  <c r="DU13" i="16"/>
  <c r="DV13" i="16" s="1"/>
  <c r="DN13" i="16"/>
  <c r="DO13" i="16" s="1"/>
  <c r="DI13" i="16"/>
  <c r="DJ13" i="16" s="1"/>
  <c r="DD13" i="16"/>
  <c r="DD12" i="16" s="1"/>
  <c r="DE12" i="16" s="1"/>
  <c r="CW13" i="16"/>
  <c r="CX13" i="16" s="1"/>
  <c r="CR13" i="16"/>
  <c r="CS13" i="16" s="1"/>
  <c r="CM13" i="16"/>
  <c r="CN13" i="16" s="1"/>
  <c r="CF13" i="16"/>
  <c r="CG13" i="16" s="1"/>
  <c r="CA13" i="16"/>
  <c r="CB13" i="16" s="1"/>
  <c r="BV13" i="16"/>
  <c r="BV12" i="16" s="1"/>
  <c r="BW12" i="16" s="1"/>
  <c r="BO13" i="16"/>
  <c r="BP13" i="16" s="1"/>
  <c r="BJ13" i="16"/>
  <c r="BJ12" i="16" s="1"/>
  <c r="BK12" i="16" s="1"/>
  <c r="BE13" i="16"/>
  <c r="BE12" i="16" s="1"/>
  <c r="BF12" i="16" s="1"/>
  <c r="AX13" i="16"/>
  <c r="AY13" i="16" s="1"/>
  <c r="AS13" i="16"/>
  <c r="AT13" i="16" s="1"/>
  <c r="AN13" i="16"/>
  <c r="AN12" i="16" s="1"/>
  <c r="AO12" i="16" s="1"/>
  <c r="AG13" i="16"/>
  <c r="AH13" i="16" s="1"/>
  <c r="AB13" i="16"/>
  <c r="AC13" i="16" s="1"/>
  <c r="W13" i="16"/>
  <c r="X13" i="16" s="1"/>
  <c r="P13" i="16"/>
  <c r="P12" i="16" s="1"/>
  <c r="Q12" i="16" s="1"/>
  <c r="K13" i="16"/>
  <c r="F13" i="16"/>
  <c r="F12" i="16" s="1"/>
  <c r="G12" i="16" s="1"/>
  <c r="TA12" i="16"/>
  <c r="TB12" i="16" s="1"/>
  <c r="SO12" i="16"/>
  <c r="SP12" i="16" s="1"/>
  <c r="SE12" i="16"/>
  <c r="SF12" i="16" s="1"/>
  <c r="RG12" i="16"/>
  <c r="RH12" i="16" s="1"/>
  <c r="RB12" i="16"/>
  <c r="RC12" i="16" s="1"/>
  <c r="HG12" i="16"/>
  <c r="HH12" i="16" s="1"/>
  <c r="TW11" i="16"/>
  <c r="TX11" i="16" s="1"/>
  <c r="TR11" i="16"/>
  <c r="TS11" i="16" s="1"/>
  <c r="TM11" i="16"/>
  <c r="TF11" i="16"/>
  <c r="TG11" i="16" s="1"/>
  <c r="TA11" i="16"/>
  <c r="TB11" i="16" s="1"/>
  <c r="SV11" i="16"/>
  <c r="SV7" i="16" s="1"/>
  <c r="SW7" i="16" s="1"/>
  <c r="SO11" i="16"/>
  <c r="SP11" i="16" s="1"/>
  <c r="SJ11" i="16"/>
  <c r="SK11" i="16" s="1"/>
  <c r="SE11" i="16"/>
  <c r="SF11" i="16" s="1"/>
  <c r="RX11" i="16"/>
  <c r="RY11" i="16" s="1"/>
  <c r="RS11" i="16"/>
  <c r="RT11" i="16" s="1"/>
  <c r="RN11" i="16"/>
  <c r="RG11" i="16"/>
  <c r="RH11" i="16" s="1"/>
  <c r="RB11" i="16"/>
  <c r="QW11" i="16"/>
  <c r="QX11" i="16" s="1"/>
  <c r="QP11" i="16"/>
  <c r="QQ11" i="16" s="1"/>
  <c r="QK11" i="16"/>
  <c r="QL11" i="16" s="1"/>
  <c r="QF11" i="16"/>
  <c r="PY11" i="16"/>
  <c r="PZ11" i="16" s="1"/>
  <c r="PT11" i="16"/>
  <c r="PU11" i="16" s="1"/>
  <c r="PO11" i="16"/>
  <c r="PP11" i="16" s="1"/>
  <c r="PH11" i="16"/>
  <c r="PI11" i="16" s="1"/>
  <c r="PC11" i="16"/>
  <c r="PD11" i="16" s="1"/>
  <c r="OX11" i="16"/>
  <c r="OQ11" i="16"/>
  <c r="OR11" i="16" s="1"/>
  <c r="OL11" i="16"/>
  <c r="OM11" i="16" s="1"/>
  <c r="OG11" i="16"/>
  <c r="NZ11" i="16"/>
  <c r="OA11" i="16" s="1"/>
  <c r="NU11" i="16"/>
  <c r="NV11" i="16" s="1"/>
  <c r="NP11" i="16"/>
  <c r="NI11" i="16"/>
  <c r="NJ11" i="16" s="1"/>
  <c r="ND11" i="16"/>
  <c r="NE11" i="16" s="1"/>
  <c r="MY11" i="16"/>
  <c r="MZ11" i="16" s="1"/>
  <c r="MR11" i="16"/>
  <c r="MS11" i="16" s="1"/>
  <c r="MM11" i="16"/>
  <c r="MN11" i="16" s="1"/>
  <c r="MH11" i="16"/>
  <c r="MA11" i="16"/>
  <c r="MB11" i="16" s="1"/>
  <c r="LV11" i="16"/>
  <c r="LQ11" i="16"/>
  <c r="LR11" i="16" s="1"/>
  <c r="LJ11" i="16"/>
  <c r="LK11" i="16" s="1"/>
  <c r="LE11" i="16"/>
  <c r="LF11" i="16" s="1"/>
  <c r="KZ11" i="16"/>
  <c r="KS11" i="16"/>
  <c r="KT11" i="16" s="1"/>
  <c r="KN11" i="16"/>
  <c r="KO11" i="16" s="1"/>
  <c r="KI11" i="16"/>
  <c r="KJ11" i="16" s="1"/>
  <c r="KB11" i="16"/>
  <c r="KC11" i="16" s="1"/>
  <c r="JW11" i="16"/>
  <c r="JX11" i="16" s="1"/>
  <c r="JR11" i="16"/>
  <c r="JK11" i="16"/>
  <c r="JL11" i="16" s="1"/>
  <c r="JF11" i="16"/>
  <c r="JG11" i="16" s="1"/>
  <c r="JA11" i="16"/>
  <c r="IT11" i="16"/>
  <c r="IU11" i="16" s="1"/>
  <c r="IO11" i="16"/>
  <c r="IP11" i="16" s="1"/>
  <c r="IJ11" i="16"/>
  <c r="IC11" i="16"/>
  <c r="ID11" i="16" s="1"/>
  <c r="HX11" i="16"/>
  <c r="HY11" i="16" s="1"/>
  <c r="HS11" i="16"/>
  <c r="HT11" i="16" s="1"/>
  <c r="HL11" i="16"/>
  <c r="HM11" i="16" s="1"/>
  <c r="HG11" i="16"/>
  <c r="HH11" i="16" s="1"/>
  <c r="HB11" i="16"/>
  <c r="GU11" i="16"/>
  <c r="GV11" i="16" s="1"/>
  <c r="GP11" i="16"/>
  <c r="GK11" i="16"/>
  <c r="GL11" i="16" s="1"/>
  <c r="GD11" i="16"/>
  <c r="GE11" i="16" s="1"/>
  <c r="FY11" i="16"/>
  <c r="FZ11" i="16" s="1"/>
  <c r="FT11" i="16"/>
  <c r="FM11" i="16"/>
  <c r="FN11" i="16" s="1"/>
  <c r="FH11" i="16"/>
  <c r="FI11" i="16" s="1"/>
  <c r="FC11" i="16"/>
  <c r="FD11" i="16" s="1"/>
  <c r="EV11" i="16"/>
  <c r="EW11" i="16" s="1"/>
  <c r="EQ11" i="16"/>
  <c r="ER11" i="16" s="1"/>
  <c r="EL11" i="16"/>
  <c r="EE11" i="16"/>
  <c r="EF11" i="16" s="1"/>
  <c r="DZ11" i="16"/>
  <c r="EA11" i="16" s="1"/>
  <c r="DU11" i="16"/>
  <c r="DN11" i="16"/>
  <c r="DO11" i="16" s="1"/>
  <c r="DI11" i="16"/>
  <c r="DJ11" i="16" s="1"/>
  <c r="DD11" i="16"/>
  <c r="CW11" i="16"/>
  <c r="CX11" i="16" s="1"/>
  <c r="CR11" i="16"/>
  <c r="CS11" i="16" s="1"/>
  <c r="CM11" i="16"/>
  <c r="CN11" i="16" s="1"/>
  <c r="CF11" i="16"/>
  <c r="CG11" i="16" s="1"/>
  <c r="CA11" i="16"/>
  <c r="CB11" i="16" s="1"/>
  <c r="BV11" i="16"/>
  <c r="BO11" i="16"/>
  <c r="BP11" i="16" s="1"/>
  <c r="BJ11" i="16"/>
  <c r="BE11" i="16"/>
  <c r="BF11" i="16" s="1"/>
  <c r="AX11" i="16"/>
  <c r="AY11" i="16" s="1"/>
  <c r="AS11" i="16"/>
  <c r="AT11" i="16" s="1"/>
  <c r="AN11" i="16"/>
  <c r="AG11" i="16"/>
  <c r="AH11" i="16" s="1"/>
  <c r="AB11" i="16"/>
  <c r="AC11" i="16" s="1"/>
  <c r="W11" i="16"/>
  <c r="X11" i="16" s="1"/>
  <c r="P11" i="16"/>
  <c r="Q11" i="16" s="1"/>
  <c r="K11" i="16"/>
  <c r="L11" i="16" s="1"/>
  <c r="F11" i="16"/>
  <c r="TW10" i="16"/>
  <c r="TX10" i="16" s="1"/>
  <c r="TR10" i="16"/>
  <c r="TS10" i="16" s="1"/>
  <c r="TM10" i="16"/>
  <c r="TF10" i="16"/>
  <c r="TG10" i="16" s="1"/>
  <c r="TA10" i="16"/>
  <c r="TB10" i="16" s="1"/>
  <c r="SV10" i="16"/>
  <c r="SO10" i="16"/>
  <c r="SP10" i="16" s="1"/>
  <c r="SJ10" i="16"/>
  <c r="SK10" i="16" s="1"/>
  <c r="SE10" i="16"/>
  <c r="SF10" i="16" s="1"/>
  <c r="RX10" i="16"/>
  <c r="RY10" i="16" s="1"/>
  <c r="RS10" i="16"/>
  <c r="RT10" i="16" s="1"/>
  <c r="RN10" i="16"/>
  <c r="RG10" i="16"/>
  <c r="RH10" i="16" s="1"/>
  <c r="RB10" i="16"/>
  <c r="QW10" i="16"/>
  <c r="QX10" i="16" s="1"/>
  <c r="QP10" i="16"/>
  <c r="QQ10" i="16" s="1"/>
  <c r="QK10" i="16"/>
  <c r="QL10" i="16" s="1"/>
  <c r="QF10" i="16"/>
  <c r="PY10" i="16"/>
  <c r="PZ10" i="16" s="1"/>
  <c r="PT10" i="16"/>
  <c r="PU10" i="16" s="1"/>
  <c r="PO10" i="16"/>
  <c r="PH10" i="16"/>
  <c r="PI10" i="16" s="1"/>
  <c r="PC10" i="16"/>
  <c r="PD10" i="16" s="1"/>
  <c r="OX10" i="16"/>
  <c r="OQ10" i="16"/>
  <c r="OR10" i="16" s="1"/>
  <c r="OL10" i="16"/>
  <c r="OM10" i="16" s="1"/>
  <c r="OG10" i="16"/>
  <c r="NZ10" i="16"/>
  <c r="OA10" i="16" s="1"/>
  <c r="NU10" i="16"/>
  <c r="NV10" i="16" s="1"/>
  <c r="NP10" i="16"/>
  <c r="NQ10" i="16" s="1"/>
  <c r="NI10" i="16"/>
  <c r="NJ10" i="16" s="1"/>
  <c r="ND10" i="16"/>
  <c r="NE10" i="16" s="1"/>
  <c r="MY10" i="16"/>
  <c r="MR10" i="16"/>
  <c r="MS10" i="16" s="1"/>
  <c r="MM10" i="16"/>
  <c r="MN10" i="16" s="1"/>
  <c r="MH10" i="16"/>
  <c r="MA10" i="16"/>
  <c r="MB10" i="16" s="1"/>
  <c r="LV10" i="16"/>
  <c r="LW10" i="16" s="1"/>
  <c r="LQ10" i="16"/>
  <c r="LJ10" i="16"/>
  <c r="LK10" i="16" s="1"/>
  <c r="LE10" i="16"/>
  <c r="LF10" i="16" s="1"/>
  <c r="KZ10" i="16"/>
  <c r="KS10" i="16"/>
  <c r="KT10" i="16" s="1"/>
  <c r="KN10" i="16"/>
  <c r="KO10" i="16" s="1"/>
  <c r="KI10" i="16"/>
  <c r="KB10" i="16"/>
  <c r="KC10" i="16" s="1"/>
  <c r="JW10" i="16"/>
  <c r="JX10" i="16" s="1"/>
  <c r="JR10" i="16"/>
  <c r="JK10" i="16"/>
  <c r="JL10" i="16" s="1"/>
  <c r="JF10" i="16"/>
  <c r="JG10" i="16" s="1"/>
  <c r="JA10" i="16"/>
  <c r="IT10" i="16"/>
  <c r="IU10" i="16" s="1"/>
  <c r="IO10" i="16"/>
  <c r="IP10" i="16" s="1"/>
  <c r="IJ10" i="16"/>
  <c r="IK10" i="16" s="1"/>
  <c r="IC10" i="16"/>
  <c r="ID10" i="16" s="1"/>
  <c r="HX10" i="16"/>
  <c r="HY10" i="16" s="1"/>
  <c r="HS10" i="16"/>
  <c r="HL10" i="16"/>
  <c r="HM10" i="16" s="1"/>
  <c r="HG10" i="16"/>
  <c r="HH10" i="16" s="1"/>
  <c r="HB10" i="16"/>
  <c r="GU10" i="16"/>
  <c r="GV10" i="16" s="1"/>
  <c r="GP10" i="16"/>
  <c r="GQ10" i="16" s="1"/>
  <c r="GK10" i="16"/>
  <c r="GD10" i="16"/>
  <c r="GE10" i="16" s="1"/>
  <c r="FY10" i="16"/>
  <c r="FZ10" i="16" s="1"/>
  <c r="FT10" i="16"/>
  <c r="FM10" i="16"/>
  <c r="FN10" i="16" s="1"/>
  <c r="FH10" i="16"/>
  <c r="FI10" i="16" s="1"/>
  <c r="FC10" i="16"/>
  <c r="EV10" i="16"/>
  <c r="EW10" i="16" s="1"/>
  <c r="EQ10" i="16"/>
  <c r="ER10" i="16" s="1"/>
  <c r="EL10" i="16"/>
  <c r="EE10" i="16"/>
  <c r="EF10" i="16" s="1"/>
  <c r="DZ10" i="16"/>
  <c r="EA10" i="16" s="1"/>
  <c r="DU10" i="16"/>
  <c r="DN10" i="16"/>
  <c r="DO10" i="16" s="1"/>
  <c r="DI10" i="16"/>
  <c r="DJ10" i="16" s="1"/>
  <c r="DD10" i="16"/>
  <c r="DE10" i="16" s="1"/>
  <c r="CW10" i="16"/>
  <c r="CX10" i="16" s="1"/>
  <c r="CR10" i="16"/>
  <c r="CS10" i="16" s="1"/>
  <c r="CM10" i="16"/>
  <c r="CF10" i="16"/>
  <c r="CG10" i="16" s="1"/>
  <c r="CA10" i="16"/>
  <c r="CB10" i="16" s="1"/>
  <c r="BV10" i="16"/>
  <c r="BO10" i="16"/>
  <c r="BP10" i="16" s="1"/>
  <c r="BJ10" i="16"/>
  <c r="BK10" i="16" s="1"/>
  <c r="BE10" i="16"/>
  <c r="AX10" i="16"/>
  <c r="AY10" i="16" s="1"/>
  <c r="AS10" i="16"/>
  <c r="AT10" i="16" s="1"/>
  <c r="AN10" i="16"/>
  <c r="AG10" i="16"/>
  <c r="AH10" i="16" s="1"/>
  <c r="AB10" i="16"/>
  <c r="AC10" i="16" s="1"/>
  <c r="W10" i="16"/>
  <c r="P10" i="16"/>
  <c r="Q10" i="16" s="1"/>
  <c r="K10" i="16"/>
  <c r="L10" i="16" s="1"/>
  <c r="F10" i="16"/>
  <c r="TW9" i="16"/>
  <c r="TX9" i="16" s="1"/>
  <c r="TR9" i="16"/>
  <c r="TS9" i="16" s="1"/>
  <c r="TM9" i="16"/>
  <c r="TF9" i="16"/>
  <c r="TG9" i="16" s="1"/>
  <c r="TA9" i="16"/>
  <c r="TB9" i="16" s="1"/>
  <c r="SV9" i="16"/>
  <c r="SO9" i="16"/>
  <c r="SP9" i="16" s="1"/>
  <c r="SJ9" i="16"/>
  <c r="SK9" i="16" s="1"/>
  <c r="SE9" i="16"/>
  <c r="RX9" i="16"/>
  <c r="RY9" i="16" s="1"/>
  <c r="RS9" i="16"/>
  <c r="RT9" i="16" s="1"/>
  <c r="RN9" i="16"/>
  <c r="RG9" i="16"/>
  <c r="RH9" i="16" s="1"/>
  <c r="RB9" i="16"/>
  <c r="RC9" i="16" s="1"/>
  <c r="QW9" i="16"/>
  <c r="QP9" i="16"/>
  <c r="QQ9" i="16" s="1"/>
  <c r="QK9" i="16"/>
  <c r="QL9" i="16" s="1"/>
  <c r="QF9" i="16"/>
  <c r="PY9" i="16"/>
  <c r="PZ9" i="16" s="1"/>
  <c r="PT9" i="16"/>
  <c r="PU9" i="16" s="1"/>
  <c r="PO9" i="16"/>
  <c r="PH9" i="16"/>
  <c r="PI9" i="16" s="1"/>
  <c r="PC9" i="16"/>
  <c r="PD9" i="16" s="1"/>
  <c r="OX9" i="16"/>
  <c r="OQ9" i="16"/>
  <c r="OR9" i="16" s="1"/>
  <c r="OL9" i="16"/>
  <c r="OM9" i="16" s="1"/>
  <c r="OG9" i="16"/>
  <c r="NZ9" i="16"/>
  <c r="OA9" i="16" s="1"/>
  <c r="NU9" i="16"/>
  <c r="NV9" i="16" s="1"/>
  <c r="NP9" i="16"/>
  <c r="NQ9" i="16" s="1"/>
  <c r="NI9" i="16"/>
  <c r="NJ9" i="16" s="1"/>
  <c r="ND9" i="16"/>
  <c r="NE9" i="16" s="1"/>
  <c r="MY9" i="16"/>
  <c r="MR9" i="16"/>
  <c r="MS9" i="16" s="1"/>
  <c r="MM9" i="16"/>
  <c r="MN9" i="16" s="1"/>
  <c r="MH9" i="16"/>
  <c r="MA9" i="16"/>
  <c r="MB9" i="16" s="1"/>
  <c r="LV9" i="16"/>
  <c r="LW9" i="16" s="1"/>
  <c r="LQ9" i="16"/>
  <c r="LJ9" i="16"/>
  <c r="LK9" i="16" s="1"/>
  <c r="LE9" i="16"/>
  <c r="LF9" i="16" s="1"/>
  <c r="KZ9" i="16"/>
  <c r="KS9" i="16"/>
  <c r="KT9" i="16" s="1"/>
  <c r="KN9" i="16"/>
  <c r="KO9" i="16" s="1"/>
  <c r="KI9" i="16"/>
  <c r="KB9" i="16"/>
  <c r="KC9" i="16" s="1"/>
  <c r="JW9" i="16"/>
  <c r="JX9" i="16" s="1"/>
  <c r="JR9" i="16"/>
  <c r="JK9" i="16"/>
  <c r="JL9" i="16" s="1"/>
  <c r="JF9" i="16"/>
  <c r="JG9" i="16" s="1"/>
  <c r="JA9" i="16"/>
  <c r="IT9" i="16"/>
  <c r="IU9" i="16" s="1"/>
  <c r="IO9" i="16"/>
  <c r="IP9" i="16" s="1"/>
  <c r="IJ9" i="16"/>
  <c r="IK9" i="16" s="1"/>
  <c r="IC9" i="16"/>
  <c r="ID9" i="16" s="1"/>
  <c r="HX9" i="16"/>
  <c r="HY9" i="16" s="1"/>
  <c r="HS9" i="16"/>
  <c r="HL9" i="16"/>
  <c r="HM9" i="16" s="1"/>
  <c r="HG9" i="16"/>
  <c r="HH9" i="16" s="1"/>
  <c r="HB9" i="16"/>
  <c r="GU9" i="16"/>
  <c r="GV9" i="16" s="1"/>
  <c r="GP9" i="16"/>
  <c r="GQ9" i="16" s="1"/>
  <c r="GK9" i="16"/>
  <c r="GD9" i="16"/>
  <c r="GE9" i="16" s="1"/>
  <c r="FY9" i="16"/>
  <c r="FZ9" i="16" s="1"/>
  <c r="FT9" i="16"/>
  <c r="FM9" i="16"/>
  <c r="FN9" i="16" s="1"/>
  <c r="FH9" i="16"/>
  <c r="FI9" i="16" s="1"/>
  <c r="FC9" i="16"/>
  <c r="EV9" i="16"/>
  <c r="EW9" i="16" s="1"/>
  <c r="EQ9" i="16"/>
  <c r="ER9" i="16" s="1"/>
  <c r="EL9" i="16"/>
  <c r="EE9" i="16"/>
  <c r="EF9" i="16" s="1"/>
  <c r="DZ9" i="16"/>
  <c r="EA9" i="16" s="1"/>
  <c r="DU9" i="16"/>
  <c r="DN9" i="16"/>
  <c r="DO9" i="16" s="1"/>
  <c r="DI9" i="16"/>
  <c r="DJ9" i="16" s="1"/>
  <c r="DD9" i="16"/>
  <c r="CW9" i="16"/>
  <c r="CX9" i="16" s="1"/>
  <c r="CR9" i="16"/>
  <c r="CS9" i="16" s="1"/>
  <c r="CM9" i="16"/>
  <c r="CF9" i="16"/>
  <c r="CG9" i="16" s="1"/>
  <c r="CA9" i="16"/>
  <c r="CB9" i="16" s="1"/>
  <c r="BV9" i="16"/>
  <c r="BO9" i="16"/>
  <c r="BP9" i="16" s="1"/>
  <c r="BJ9" i="16"/>
  <c r="BK9" i="16" s="1"/>
  <c r="BE9" i="16"/>
  <c r="AX9" i="16"/>
  <c r="AY9" i="16" s="1"/>
  <c r="AS9" i="16"/>
  <c r="AT9" i="16" s="1"/>
  <c r="AN9" i="16"/>
  <c r="AG9" i="16"/>
  <c r="AH9" i="16" s="1"/>
  <c r="AB9" i="16"/>
  <c r="AC9" i="16" s="1"/>
  <c r="W9" i="16"/>
  <c r="P9" i="16"/>
  <c r="Q9" i="16" s="1"/>
  <c r="K9" i="16"/>
  <c r="L9" i="16" s="1"/>
  <c r="F9" i="16"/>
  <c r="TW8" i="16"/>
  <c r="TX8" i="16" s="1"/>
  <c r="TR8" i="16"/>
  <c r="TS8" i="16" s="1"/>
  <c r="TM8" i="16"/>
  <c r="TF8" i="16"/>
  <c r="TG8" i="16" s="1"/>
  <c r="TA8" i="16"/>
  <c r="TB8" i="16" s="1"/>
  <c r="SV8" i="16"/>
  <c r="SW8" i="16" s="1"/>
  <c r="SO8" i="16"/>
  <c r="SP8" i="16" s="1"/>
  <c r="SJ8" i="16"/>
  <c r="SK8" i="16" s="1"/>
  <c r="SE8" i="16"/>
  <c r="RX8" i="16"/>
  <c r="RY8" i="16" s="1"/>
  <c r="RS8" i="16"/>
  <c r="RT8" i="16" s="1"/>
  <c r="RN8" i="16"/>
  <c r="RN7" i="16" s="1"/>
  <c r="RO7" i="16" s="1"/>
  <c r="RG8" i="16"/>
  <c r="RH8" i="16" s="1"/>
  <c r="RB8" i="16"/>
  <c r="RC8" i="16" s="1"/>
  <c r="QW8" i="16"/>
  <c r="QP8" i="16"/>
  <c r="QQ8" i="16" s="1"/>
  <c r="QK8" i="16"/>
  <c r="QL8" i="16" s="1"/>
  <c r="QF8" i="16"/>
  <c r="PY8" i="16"/>
  <c r="PZ8" i="16" s="1"/>
  <c r="PT8" i="16"/>
  <c r="PU8" i="16" s="1"/>
  <c r="PO8" i="16"/>
  <c r="PH8" i="16"/>
  <c r="PI8" i="16" s="1"/>
  <c r="PC8" i="16"/>
  <c r="PD8" i="16" s="1"/>
  <c r="OX8" i="16"/>
  <c r="OQ8" i="16"/>
  <c r="OR8" i="16" s="1"/>
  <c r="OL8" i="16"/>
  <c r="OM8" i="16" s="1"/>
  <c r="OG8" i="16"/>
  <c r="NZ8" i="16"/>
  <c r="OA8" i="16" s="1"/>
  <c r="NU8" i="16"/>
  <c r="NV8" i="16" s="1"/>
  <c r="NP8" i="16"/>
  <c r="NI8" i="16"/>
  <c r="NJ8" i="16" s="1"/>
  <c r="ND8" i="16"/>
  <c r="NE8" i="16" s="1"/>
  <c r="MY8" i="16"/>
  <c r="MR8" i="16"/>
  <c r="MS8" i="16" s="1"/>
  <c r="MM8" i="16"/>
  <c r="MH8" i="16"/>
  <c r="MI8" i="16" s="1"/>
  <c r="MA8" i="16"/>
  <c r="MB8" i="16" s="1"/>
  <c r="LV8" i="16"/>
  <c r="LW8" i="16" s="1"/>
  <c r="LQ8" i="16"/>
  <c r="LJ8" i="16"/>
  <c r="LK8" i="16" s="1"/>
  <c r="LE8" i="16"/>
  <c r="LF8" i="16" s="1"/>
  <c r="KZ8" i="16"/>
  <c r="KS8" i="16"/>
  <c r="KT8" i="16" s="1"/>
  <c r="KN8" i="16"/>
  <c r="KO8" i="16" s="1"/>
  <c r="KI8" i="16"/>
  <c r="KB8" i="16"/>
  <c r="KC8" i="16" s="1"/>
  <c r="JW8" i="16"/>
  <c r="JX8" i="16" s="1"/>
  <c r="JR8" i="16"/>
  <c r="JK8" i="16"/>
  <c r="JL8" i="16" s="1"/>
  <c r="JF8" i="16"/>
  <c r="JG8" i="16" s="1"/>
  <c r="JA8" i="16"/>
  <c r="IT8" i="16"/>
  <c r="IU8" i="16" s="1"/>
  <c r="IO8" i="16"/>
  <c r="IP8" i="16" s="1"/>
  <c r="IJ8" i="16"/>
  <c r="IK8" i="16" s="1"/>
  <c r="IC8" i="16"/>
  <c r="ID8" i="16" s="1"/>
  <c r="HX8" i="16"/>
  <c r="HY8" i="16" s="1"/>
  <c r="HS8" i="16"/>
  <c r="HL8" i="16"/>
  <c r="HM8" i="16" s="1"/>
  <c r="HG8" i="16"/>
  <c r="HB8" i="16"/>
  <c r="HC8" i="16" s="1"/>
  <c r="GU8" i="16"/>
  <c r="GV8" i="16" s="1"/>
  <c r="GP8" i="16"/>
  <c r="GQ8" i="16" s="1"/>
  <c r="GK8" i="16"/>
  <c r="GD8" i="16"/>
  <c r="GE8" i="16" s="1"/>
  <c r="FY8" i="16"/>
  <c r="FZ8" i="16" s="1"/>
  <c r="FT8" i="16"/>
  <c r="FM8" i="16"/>
  <c r="FN8" i="16" s="1"/>
  <c r="FH8" i="16"/>
  <c r="FI8" i="16" s="1"/>
  <c r="FC8" i="16"/>
  <c r="EV8" i="16"/>
  <c r="EW8" i="16" s="1"/>
  <c r="EQ8" i="16"/>
  <c r="ER8" i="16" s="1"/>
  <c r="EL8" i="16"/>
  <c r="EE8" i="16"/>
  <c r="EF8" i="16" s="1"/>
  <c r="DZ8" i="16"/>
  <c r="EA8" i="16" s="1"/>
  <c r="DU8" i="16"/>
  <c r="DN8" i="16"/>
  <c r="DO8" i="16" s="1"/>
  <c r="DI8" i="16"/>
  <c r="DJ8" i="16" s="1"/>
  <c r="DD8" i="16"/>
  <c r="CW8" i="16"/>
  <c r="CX8" i="16" s="1"/>
  <c r="CR8" i="16"/>
  <c r="CM8" i="16"/>
  <c r="CF8" i="16"/>
  <c r="CG8" i="16" s="1"/>
  <c r="CA8" i="16"/>
  <c r="CB8" i="16" s="1"/>
  <c r="BV8" i="16"/>
  <c r="BV7" i="16" s="1"/>
  <c r="BW7" i="16" s="1"/>
  <c r="BO8" i="16"/>
  <c r="BP8" i="16" s="1"/>
  <c r="BJ8" i="16"/>
  <c r="BK8" i="16" s="1"/>
  <c r="BE8" i="16"/>
  <c r="AX8" i="16"/>
  <c r="AY8" i="16" s="1"/>
  <c r="AS8" i="16"/>
  <c r="AT8" i="16" s="1"/>
  <c r="AN8" i="16"/>
  <c r="AG8" i="16"/>
  <c r="AH8" i="16" s="1"/>
  <c r="AB8" i="16"/>
  <c r="AC8" i="16" s="1"/>
  <c r="W8" i="16"/>
  <c r="P8" i="16"/>
  <c r="Q8" i="16" s="1"/>
  <c r="K8" i="16"/>
  <c r="L8" i="16" s="1"/>
  <c r="F8" i="16"/>
  <c r="SO7" i="16"/>
  <c r="SP7" i="16" s="1"/>
  <c r="QW7" i="16"/>
  <c r="QX7" i="16" s="1"/>
  <c r="TW6" i="16"/>
  <c r="TX6" i="16" s="1"/>
  <c r="TS6" i="16"/>
  <c r="TR6" i="16"/>
  <c r="TM6" i="16"/>
  <c r="TF6" i="16"/>
  <c r="TA6" i="16"/>
  <c r="TB6" i="16" s="1"/>
  <c r="SV6" i="16"/>
  <c r="SO6" i="16"/>
  <c r="SP6" i="16" s="1"/>
  <c r="SJ6" i="16"/>
  <c r="SK6" i="16" s="1"/>
  <c r="SE6" i="16"/>
  <c r="SF6" i="16" s="1"/>
  <c r="RX6" i="16"/>
  <c r="RY6" i="16" s="1"/>
  <c r="RS6" i="16"/>
  <c r="RT6" i="16" s="1"/>
  <c r="RN6" i="16"/>
  <c r="RG6" i="16"/>
  <c r="RH6" i="16" s="1"/>
  <c r="RB6" i="16"/>
  <c r="RC6" i="16" s="1"/>
  <c r="QW6" i="16"/>
  <c r="QX6" i="16" s="1"/>
  <c r="QP6" i="16"/>
  <c r="QK6" i="16"/>
  <c r="QL6" i="16" s="1"/>
  <c r="QF6" i="16"/>
  <c r="PY6" i="16"/>
  <c r="PZ6" i="16" s="1"/>
  <c r="PT6" i="16"/>
  <c r="PO6" i="16"/>
  <c r="PH6" i="16"/>
  <c r="PI6" i="16" s="1"/>
  <c r="PC6" i="16"/>
  <c r="PD6" i="16" s="1"/>
  <c r="OX6" i="16"/>
  <c r="OQ6" i="16"/>
  <c r="OR6" i="16" s="1"/>
  <c r="OL6" i="16"/>
  <c r="OG6" i="16"/>
  <c r="NZ6" i="16"/>
  <c r="NU6" i="16"/>
  <c r="NV6" i="16" s="1"/>
  <c r="NP6" i="16"/>
  <c r="NI6" i="16"/>
  <c r="NJ6" i="16" s="1"/>
  <c r="ND6" i="16"/>
  <c r="NE6" i="16" s="1"/>
  <c r="MY6" i="16"/>
  <c r="MZ6" i="16" s="1"/>
  <c r="MR6" i="16"/>
  <c r="MS6" i="16" s="1"/>
  <c r="MM6" i="16"/>
  <c r="MH6" i="16"/>
  <c r="MA6" i="16"/>
  <c r="MB6" i="16" s="1"/>
  <c r="LV6" i="16"/>
  <c r="LW6" i="16" s="1"/>
  <c r="LQ6" i="16"/>
  <c r="LR6" i="16" s="1"/>
  <c r="LJ6" i="16"/>
  <c r="LE6" i="16"/>
  <c r="KZ6" i="16"/>
  <c r="KS6" i="16"/>
  <c r="KT6" i="16" s="1"/>
  <c r="KN6" i="16"/>
  <c r="KO6" i="16" s="1"/>
  <c r="KI6" i="16"/>
  <c r="KB6" i="16"/>
  <c r="KC6" i="16" s="1"/>
  <c r="JW6" i="16"/>
  <c r="JX6" i="16" s="1"/>
  <c r="JR6" i="16"/>
  <c r="JK6" i="16"/>
  <c r="JL6" i="16" s="1"/>
  <c r="JF6" i="16"/>
  <c r="JG6" i="16" s="1"/>
  <c r="JA6" i="16"/>
  <c r="IT6" i="16"/>
  <c r="IO6" i="16"/>
  <c r="IP6" i="16" s="1"/>
  <c r="IJ6" i="16"/>
  <c r="IC6" i="16"/>
  <c r="ID6" i="16" s="1"/>
  <c r="HX6" i="16"/>
  <c r="HY6" i="16" s="1"/>
  <c r="HS6" i="16"/>
  <c r="HT6" i="16" s="1"/>
  <c r="HL6" i="16"/>
  <c r="HM6" i="16" s="1"/>
  <c r="HG6" i="16"/>
  <c r="HH6" i="16" s="1"/>
  <c r="HB6" i="16"/>
  <c r="GU6" i="16"/>
  <c r="GV6" i="16" s="1"/>
  <c r="GP6" i="16"/>
  <c r="GQ6" i="16" s="1"/>
  <c r="GK6" i="16"/>
  <c r="GL6" i="16" s="1"/>
  <c r="GD6" i="16"/>
  <c r="FY6" i="16"/>
  <c r="FZ6" i="16" s="1"/>
  <c r="FT6" i="16"/>
  <c r="FM6" i="16"/>
  <c r="FN6" i="16" s="1"/>
  <c r="FH6" i="16"/>
  <c r="FI6" i="16" s="1"/>
  <c r="FC6" i="16"/>
  <c r="EV6" i="16"/>
  <c r="EW6" i="16" s="1"/>
  <c r="EQ6" i="16"/>
  <c r="ER6" i="16" s="1"/>
  <c r="EL6" i="16"/>
  <c r="EE6" i="16"/>
  <c r="EF6" i="16" s="1"/>
  <c r="DZ6" i="16"/>
  <c r="EA6" i="16" s="1"/>
  <c r="DU6" i="16"/>
  <c r="DN6" i="16"/>
  <c r="DI6" i="16"/>
  <c r="DJ6" i="16" s="1"/>
  <c r="DD6" i="16"/>
  <c r="CW6" i="16"/>
  <c r="CX6" i="16" s="1"/>
  <c r="CR6" i="16"/>
  <c r="CS6" i="16" s="1"/>
  <c r="CM6" i="16"/>
  <c r="CN6" i="16" s="1"/>
  <c r="CF6" i="16"/>
  <c r="CG6" i="16" s="1"/>
  <c r="CA6" i="16"/>
  <c r="CB6" i="16" s="1"/>
  <c r="BV6" i="16"/>
  <c r="BO6" i="16"/>
  <c r="BP6" i="16" s="1"/>
  <c r="BJ6" i="16"/>
  <c r="BK6" i="16" s="1"/>
  <c r="BE6" i="16"/>
  <c r="BF6" i="16" s="1"/>
  <c r="AX6" i="16"/>
  <c r="AS6" i="16"/>
  <c r="AT6" i="16" s="1"/>
  <c r="AN6" i="16"/>
  <c r="AG6" i="16"/>
  <c r="AH6" i="16" s="1"/>
  <c r="AB6" i="16"/>
  <c r="AC6" i="16" s="1"/>
  <c r="W6" i="16"/>
  <c r="P6" i="16"/>
  <c r="Q6" i="16" s="1"/>
  <c r="K6" i="16"/>
  <c r="L6" i="16" s="1"/>
  <c r="F6" i="16"/>
  <c r="TW5" i="16"/>
  <c r="TX5" i="16" s="1"/>
  <c r="TR5" i="16"/>
  <c r="TS5" i="16" s="1"/>
  <c r="TM5" i="16"/>
  <c r="TF5" i="16"/>
  <c r="TG5" i="16" s="1"/>
  <c r="TA5" i="16"/>
  <c r="SV5" i="16"/>
  <c r="SW5" i="16" s="1"/>
  <c r="SO5" i="16"/>
  <c r="SP5" i="16" s="1"/>
  <c r="SJ5" i="16"/>
  <c r="SK5" i="16" s="1"/>
  <c r="SE5" i="16"/>
  <c r="SF5" i="16" s="1"/>
  <c r="RX5" i="16"/>
  <c r="RY5" i="16" s="1"/>
  <c r="RS5" i="16"/>
  <c r="RN5" i="16"/>
  <c r="RO5" i="16" s="1"/>
  <c r="RG5" i="16"/>
  <c r="RH5" i="16" s="1"/>
  <c r="RB5" i="16"/>
  <c r="RB4" i="16" s="1"/>
  <c r="RC4" i="16" s="1"/>
  <c r="QW5" i="16"/>
  <c r="QX5" i="16" s="1"/>
  <c r="QP5" i="16"/>
  <c r="QQ5" i="16" s="1"/>
  <c r="QK5" i="16"/>
  <c r="QL5" i="16" s="1"/>
  <c r="QF5" i="16"/>
  <c r="QG5" i="16" s="1"/>
  <c r="PY5" i="16"/>
  <c r="PZ5" i="16" s="1"/>
  <c r="PT5" i="16"/>
  <c r="PU5" i="16" s="1"/>
  <c r="PO5" i="16"/>
  <c r="PP5" i="16" s="1"/>
  <c r="PH5" i="16"/>
  <c r="PI5" i="16" s="1"/>
  <c r="PC5" i="16"/>
  <c r="PD5" i="16" s="1"/>
  <c r="OX5" i="16"/>
  <c r="OY5" i="16" s="1"/>
  <c r="OQ5" i="16"/>
  <c r="OR5" i="16" s="1"/>
  <c r="OL5" i="16"/>
  <c r="OM5" i="16" s="1"/>
  <c r="OG5" i="16"/>
  <c r="OH5" i="16" s="1"/>
  <c r="NZ5" i="16"/>
  <c r="OA5" i="16" s="1"/>
  <c r="NU5" i="16"/>
  <c r="NV5" i="16" s="1"/>
  <c r="NP5" i="16"/>
  <c r="NQ5" i="16" s="1"/>
  <c r="NI5" i="16"/>
  <c r="ND5" i="16"/>
  <c r="NE5" i="16" s="1"/>
  <c r="MY5" i="16"/>
  <c r="MR5" i="16"/>
  <c r="MS5" i="16" s="1"/>
  <c r="MM5" i="16"/>
  <c r="MN5" i="16" s="1"/>
  <c r="MH5" i="16"/>
  <c r="MA5" i="16"/>
  <c r="MA4" i="16" s="1"/>
  <c r="MB4" i="16" s="1"/>
  <c r="LV5" i="16"/>
  <c r="LW5" i="16" s="1"/>
  <c r="LQ5" i="16"/>
  <c r="LR5" i="16" s="1"/>
  <c r="LJ5" i="16"/>
  <c r="LK5" i="16" s="1"/>
  <c r="LE5" i="16"/>
  <c r="LF5" i="16" s="1"/>
  <c r="KZ5" i="16"/>
  <c r="LA5" i="16" s="1"/>
  <c r="KS5" i="16"/>
  <c r="KT5" i="16" s="1"/>
  <c r="KN5" i="16"/>
  <c r="KO5" i="16" s="1"/>
  <c r="KI5" i="16"/>
  <c r="KJ5" i="16" s="1"/>
  <c r="KB5" i="16"/>
  <c r="KC5" i="16" s="1"/>
  <c r="JW5" i="16"/>
  <c r="JX5" i="16" s="1"/>
  <c r="JR5" i="16"/>
  <c r="JK5" i="16"/>
  <c r="JL5" i="16" s="1"/>
  <c r="JF5" i="16"/>
  <c r="JG5" i="16" s="1"/>
  <c r="JA5" i="16"/>
  <c r="JA4" i="16" s="1"/>
  <c r="JB4" i="16" s="1"/>
  <c r="IT5" i="16"/>
  <c r="IU5" i="16" s="1"/>
  <c r="IO5" i="16"/>
  <c r="IP5" i="16" s="1"/>
  <c r="IJ5" i="16"/>
  <c r="IK5" i="16" s="1"/>
  <c r="IC5" i="16"/>
  <c r="ID5" i="16" s="1"/>
  <c r="HX5" i="16"/>
  <c r="HY5" i="16" s="1"/>
  <c r="HS5" i="16"/>
  <c r="HL5" i="16"/>
  <c r="HM5" i="16" s="1"/>
  <c r="HG5" i="16"/>
  <c r="HH5" i="16" s="1"/>
  <c r="HB5" i="16"/>
  <c r="HC5" i="16" s="1"/>
  <c r="GU5" i="16"/>
  <c r="GV5" i="16" s="1"/>
  <c r="GP5" i="16"/>
  <c r="GQ5" i="16" s="1"/>
  <c r="GK5" i="16"/>
  <c r="GD5" i="16"/>
  <c r="GE5" i="16" s="1"/>
  <c r="FY5" i="16"/>
  <c r="FZ5" i="16" s="1"/>
  <c r="FT5" i="16"/>
  <c r="FM5" i="16"/>
  <c r="FN5" i="16" s="1"/>
  <c r="FH5" i="16"/>
  <c r="FI5" i="16" s="1"/>
  <c r="FC5" i="16"/>
  <c r="EV5" i="16"/>
  <c r="EW5" i="16" s="1"/>
  <c r="EQ5" i="16"/>
  <c r="ER5" i="16" s="1"/>
  <c r="EL5" i="16"/>
  <c r="EE5" i="16"/>
  <c r="DZ5" i="16"/>
  <c r="EA5" i="16" s="1"/>
  <c r="DU5" i="16"/>
  <c r="DV5" i="16" s="1"/>
  <c r="DN5" i="16"/>
  <c r="DO5" i="16" s="1"/>
  <c r="DI5" i="16"/>
  <c r="DJ5" i="16" s="1"/>
  <c r="DD5" i="16"/>
  <c r="CW5" i="16"/>
  <c r="CX5" i="16" s="1"/>
  <c r="CR5" i="16"/>
  <c r="CS5" i="16" s="1"/>
  <c r="CM5" i="16"/>
  <c r="CF5" i="16"/>
  <c r="CA5" i="16"/>
  <c r="CB5" i="16" s="1"/>
  <c r="BV5" i="16"/>
  <c r="BO5" i="16"/>
  <c r="BP5" i="16" s="1"/>
  <c r="BJ5" i="16"/>
  <c r="BK5" i="16" s="1"/>
  <c r="BE5" i="16"/>
  <c r="AX5" i="16"/>
  <c r="AY5" i="16" s="1"/>
  <c r="AS5" i="16"/>
  <c r="AT5" i="16" s="1"/>
  <c r="AN5" i="16"/>
  <c r="AG5" i="16"/>
  <c r="AH5" i="16" s="1"/>
  <c r="AB5" i="16"/>
  <c r="AC5" i="16" s="1"/>
  <c r="W5" i="16"/>
  <c r="P5" i="16"/>
  <c r="Q5" i="16" s="1"/>
  <c r="K5" i="16"/>
  <c r="L5" i="16" s="1"/>
  <c r="F5" i="16"/>
  <c r="TR4" i="16"/>
  <c r="TS4" i="16" s="1"/>
  <c r="RX4" i="16"/>
  <c r="RY4" i="16" s="1"/>
  <c r="RS4" i="16"/>
  <c r="RT4" i="16" s="1"/>
  <c r="AF3" i="16"/>
  <c r="AW3" i="16" s="1"/>
  <c r="BN3" i="16" s="1"/>
  <c r="CE3" i="16" s="1"/>
  <c r="CV3" i="16" s="1"/>
  <c r="DM3" i="16" s="1"/>
  <c r="ED3" i="16" s="1"/>
  <c r="EU3" i="16" s="1"/>
  <c r="FL3" i="16" s="1"/>
  <c r="GC3" i="16" s="1"/>
  <c r="GT3" i="16" s="1"/>
  <c r="HK3" i="16" s="1"/>
  <c r="IB3" i="16" s="1"/>
  <c r="IS3" i="16" s="1"/>
  <c r="JJ3" i="16" s="1"/>
  <c r="KA3" i="16" s="1"/>
  <c r="KR3" i="16" s="1"/>
  <c r="LI3" i="16" s="1"/>
  <c r="LZ3" i="16" s="1"/>
  <c r="MQ3" i="16" s="1"/>
  <c r="NH3" i="16" s="1"/>
  <c r="NY3" i="16" s="1"/>
  <c r="OP3" i="16" s="1"/>
  <c r="PG3" i="16" s="1"/>
  <c r="PX3" i="16" s="1"/>
  <c r="QO3" i="16" s="1"/>
  <c r="RF3" i="16" s="1"/>
  <c r="RW3" i="16" s="1"/>
  <c r="SN3" i="16" s="1"/>
  <c r="TE3" i="16" s="1"/>
  <c r="TV3" i="16" s="1"/>
  <c r="AE3" i="16"/>
  <c r="AV3" i="16" s="1"/>
  <c r="BM3" i="16" s="1"/>
  <c r="CD3" i="16" s="1"/>
  <c r="CU3" i="16" s="1"/>
  <c r="DL3" i="16" s="1"/>
  <c r="EC3" i="16" s="1"/>
  <c r="ET3" i="16" s="1"/>
  <c r="FK3" i="16" s="1"/>
  <c r="GB3" i="16" s="1"/>
  <c r="GS3" i="16" s="1"/>
  <c r="HJ3" i="16" s="1"/>
  <c r="IA3" i="16" s="1"/>
  <c r="IR3" i="16" s="1"/>
  <c r="JI3" i="16" s="1"/>
  <c r="JZ3" i="16" s="1"/>
  <c r="KQ3" i="16" s="1"/>
  <c r="LH3" i="16" s="1"/>
  <c r="LY3" i="16" s="1"/>
  <c r="MP3" i="16" s="1"/>
  <c r="NG3" i="16" s="1"/>
  <c r="NX3" i="16" s="1"/>
  <c r="OO3" i="16" s="1"/>
  <c r="PF3" i="16" s="1"/>
  <c r="PW3" i="16" s="1"/>
  <c r="QN3" i="16" s="1"/>
  <c r="RE3" i="16" s="1"/>
  <c r="RV3" i="16" s="1"/>
  <c r="SM3" i="16" s="1"/>
  <c r="TD3" i="16" s="1"/>
  <c r="TU3" i="16" s="1"/>
  <c r="AD3" i="16"/>
  <c r="AU3" i="16" s="1"/>
  <c r="BL3" i="16" s="1"/>
  <c r="CC3" i="16" s="1"/>
  <c r="CT3" i="16" s="1"/>
  <c r="DK3" i="16" s="1"/>
  <c r="EB3" i="16" s="1"/>
  <c r="ES3" i="16" s="1"/>
  <c r="FJ3" i="16" s="1"/>
  <c r="GA3" i="16" s="1"/>
  <c r="GR3" i="16" s="1"/>
  <c r="HI3" i="16" s="1"/>
  <c r="HZ3" i="16" s="1"/>
  <c r="IQ3" i="16" s="1"/>
  <c r="JH3" i="16" s="1"/>
  <c r="JY3" i="16" s="1"/>
  <c r="KP3" i="16" s="1"/>
  <c r="LG3" i="16" s="1"/>
  <c r="LX3" i="16" s="1"/>
  <c r="MO3" i="16" s="1"/>
  <c r="NF3" i="16" s="1"/>
  <c r="NW3" i="16" s="1"/>
  <c r="ON3" i="16" s="1"/>
  <c r="PE3" i="16" s="1"/>
  <c r="PV3" i="16" s="1"/>
  <c r="QM3" i="16" s="1"/>
  <c r="RD3" i="16" s="1"/>
  <c r="RU3" i="16" s="1"/>
  <c r="SL3" i="16" s="1"/>
  <c r="TC3" i="16" s="1"/>
  <c r="TT3" i="16" s="1"/>
  <c r="AA3" i="16"/>
  <c r="AR3" i="16" s="1"/>
  <c r="BI3" i="16" s="1"/>
  <c r="BZ3" i="16" s="1"/>
  <c r="CQ3" i="16" s="1"/>
  <c r="DH3" i="16" s="1"/>
  <c r="DY3" i="16" s="1"/>
  <c r="EP3" i="16" s="1"/>
  <c r="FG3" i="16" s="1"/>
  <c r="FX3" i="16" s="1"/>
  <c r="GO3" i="16" s="1"/>
  <c r="HF3" i="16" s="1"/>
  <c r="HW3" i="16" s="1"/>
  <c r="IN3" i="16" s="1"/>
  <c r="JE3" i="16" s="1"/>
  <c r="JV3" i="16" s="1"/>
  <c r="KM3" i="16" s="1"/>
  <c r="LD3" i="16" s="1"/>
  <c r="LU3" i="16" s="1"/>
  <c r="ML3" i="16" s="1"/>
  <c r="NC3" i="16" s="1"/>
  <c r="NT3" i="16" s="1"/>
  <c r="OK3" i="16" s="1"/>
  <c r="PB3" i="16" s="1"/>
  <c r="PS3" i="16" s="1"/>
  <c r="QJ3" i="16" s="1"/>
  <c r="RA3" i="16" s="1"/>
  <c r="RR3" i="16" s="1"/>
  <c r="SI3" i="16" s="1"/>
  <c r="SZ3" i="16" s="1"/>
  <c r="TQ3" i="16" s="1"/>
  <c r="Z3" i="16"/>
  <c r="AQ3" i="16" s="1"/>
  <c r="BH3" i="16" s="1"/>
  <c r="BY3" i="16" s="1"/>
  <c r="CP3" i="16" s="1"/>
  <c r="DG3" i="16" s="1"/>
  <c r="DX3" i="16" s="1"/>
  <c r="EO3" i="16" s="1"/>
  <c r="FF3" i="16" s="1"/>
  <c r="FW3" i="16" s="1"/>
  <c r="GN3" i="16" s="1"/>
  <c r="HE3" i="16" s="1"/>
  <c r="HV3" i="16" s="1"/>
  <c r="IM3" i="16" s="1"/>
  <c r="JD3" i="16" s="1"/>
  <c r="JU3" i="16" s="1"/>
  <c r="KL3" i="16" s="1"/>
  <c r="LC3" i="16" s="1"/>
  <c r="LT3" i="16" s="1"/>
  <c r="MK3" i="16" s="1"/>
  <c r="NB3" i="16" s="1"/>
  <c r="NS3" i="16" s="1"/>
  <c r="OJ3" i="16" s="1"/>
  <c r="PA3" i="16" s="1"/>
  <c r="PR3" i="16" s="1"/>
  <c r="QI3" i="16" s="1"/>
  <c r="QZ3" i="16" s="1"/>
  <c r="RQ3" i="16" s="1"/>
  <c r="SH3" i="16" s="1"/>
  <c r="SY3" i="16" s="1"/>
  <c r="TP3" i="16" s="1"/>
  <c r="Y3" i="16"/>
  <c r="AP3" i="16" s="1"/>
  <c r="BG3" i="16" s="1"/>
  <c r="BX3" i="16" s="1"/>
  <c r="CO3" i="16" s="1"/>
  <c r="DF3" i="16" s="1"/>
  <c r="DW3" i="16" s="1"/>
  <c r="EN3" i="16" s="1"/>
  <c r="FE3" i="16" s="1"/>
  <c r="FV3" i="16" s="1"/>
  <c r="GM3" i="16" s="1"/>
  <c r="HD3" i="16" s="1"/>
  <c r="HU3" i="16" s="1"/>
  <c r="IL3" i="16" s="1"/>
  <c r="JC3" i="16" s="1"/>
  <c r="JT3" i="16" s="1"/>
  <c r="KK3" i="16" s="1"/>
  <c r="LB3" i="16" s="1"/>
  <c r="LS3" i="16" s="1"/>
  <c r="MJ3" i="16" s="1"/>
  <c r="NA3" i="16" s="1"/>
  <c r="NR3" i="16" s="1"/>
  <c r="OI3" i="16" s="1"/>
  <c r="OZ3" i="16" s="1"/>
  <c r="PQ3" i="16" s="1"/>
  <c r="QH3" i="16" s="1"/>
  <c r="QY3" i="16" s="1"/>
  <c r="RP3" i="16" s="1"/>
  <c r="SG3" i="16" s="1"/>
  <c r="SX3" i="16" s="1"/>
  <c r="TO3" i="16" s="1"/>
  <c r="V3" i="16"/>
  <c r="AM3" i="16" s="1"/>
  <c r="BD3" i="16" s="1"/>
  <c r="BU3" i="16" s="1"/>
  <c r="CL3" i="16" s="1"/>
  <c r="DC3" i="16" s="1"/>
  <c r="DT3" i="16" s="1"/>
  <c r="EK3" i="16" s="1"/>
  <c r="FB3" i="16" s="1"/>
  <c r="FS3" i="16" s="1"/>
  <c r="GJ3" i="16" s="1"/>
  <c r="HA3" i="16" s="1"/>
  <c r="HR3" i="16" s="1"/>
  <c r="II3" i="16" s="1"/>
  <c r="IZ3" i="16" s="1"/>
  <c r="JQ3" i="16" s="1"/>
  <c r="KH3" i="16" s="1"/>
  <c r="KY3" i="16" s="1"/>
  <c r="LP3" i="16" s="1"/>
  <c r="MG3" i="16" s="1"/>
  <c r="MX3" i="16" s="1"/>
  <c r="NO3" i="16" s="1"/>
  <c r="OF3" i="16" s="1"/>
  <c r="OW3" i="16" s="1"/>
  <c r="PN3" i="16" s="1"/>
  <c r="QE3" i="16" s="1"/>
  <c r="QV3" i="16" s="1"/>
  <c r="RM3" i="16" s="1"/>
  <c r="SD3" i="16" s="1"/>
  <c r="SU3" i="16" s="1"/>
  <c r="TL3" i="16" s="1"/>
  <c r="U3" i="16"/>
  <c r="AL3" i="16" s="1"/>
  <c r="BC3" i="16" s="1"/>
  <c r="BT3" i="16" s="1"/>
  <c r="CK3" i="16" s="1"/>
  <c r="DB3" i="16" s="1"/>
  <c r="DS3" i="16" s="1"/>
  <c r="EJ3" i="16" s="1"/>
  <c r="FA3" i="16" s="1"/>
  <c r="FR3" i="16" s="1"/>
  <c r="GI3" i="16" s="1"/>
  <c r="GZ3" i="16" s="1"/>
  <c r="HQ3" i="16" s="1"/>
  <c r="IH3" i="16" s="1"/>
  <c r="IY3" i="16" s="1"/>
  <c r="JP3" i="16" s="1"/>
  <c r="KG3" i="16" s="1"/>
  <c r="KX3" i="16" s="1"/>
  <c r="LO3" i="16" s="1"/>
  <c r="MF3" i="16" s="1"/>
  <c r="MW3" i="16" s="1"/>
  <c r="NN3" i="16" s="1"/>
  <c r="OE3" i="16" s="1"/>
  <c r="OV3" i="16" s="1"/>
  <c r="PM3" i="16" s="1"/>
  <c r="QD3" i="16" s="1"/>
  <c r="QU3" i="16" s="1"/>
  <c r="RL3" i="16" s="1"/>
  <c r="SC3" i="16" s="1"/>
  <c r="ST3" i="16" s="1"/>
  <c r="TK3" i="16" s="1"/>
  <c r="T3" i="16"/>
  <c r="AK3" i="16" s="1"/>
  <c r="BB3" i="16" s="1"/>
  <c r="BS3" i="16" s="1"/>
  <c r="CJ3" i="16" s="1"/>
  <c r="DA3" i="16" s="1"/>
  <c r="DR3" i="16" s="1"/>
  <c r="EI3" i="16" s="1"/>
  <c r="EZ3" i="16" s="1"/>
  <c r="FQ3" i="16" s="1"/>
  <c r="GH3" i="16" s="1"/>
  <c r="GY3" i="16" s="1"/>
  <c r="HP3" i="16" s="1"/>
  <c r="IG3" i="16" s="1"/>
  <c r="IX3" i="16" s="1"/>
  <c r="JO3" i="16" s="1"/>
  <c r="KF3" i="16" s="1"/>
  <c r="KW3" i="16" s="1"/>
  <c r="LN3" i="16" s="1"/>
  <c r="ME3" i="16" s="1"/>
  <c r="MV3" i="16" s="1"/>
  <c r="NM3" i="16" s="1"/>
  <c r="OD3" i="16" s="1"/>
  <c r="OU3" i="16" s="1"/>
  <c r="PL3" i="16" s="1"/>
  <c r="QC3" i="16" s="1"/>
  <c r="QT3" i="16" s="1"/>
  <c r="RK3" i="16" s="1"/>
  <c r="SB3" i="16" s="1"/>
  <c r="SS3" i="16" s="1"/>
  <c r="TJ3" i="16" s="1"/>
  <c r="T1" i="16"/>
  <c r="AK1" i="16" s="1"/>
  <c r="TW20" i="14"/>
  <c r="TX20" i="14" s="1"/>
  <c r="TR20" i="14"/>
  <c r="TS20" i="14" s="1"/>
  <c r="TM20" i="14"/>
  <c r="TN20" i="14" s="1"/>
  <c r="TF20" i="14"/>
  <c r="TG20" i="14" s="1"/>
  <c r="TA20" i="14"/>
  <c r="TB20" i="14" s="1"/>
  <c r="SV20" i="14"/>
  <c r="SW20" i="14" s="1"/>
  <c r="SO20" i="14"/>
  <c r="SP20" i="14" s="1"/>
  <c r="SJ20" i="14"/>
  <c r="SK20" i="14" s="1"/>
  <c r="SE20" i="14"/>
  <c r="SF20" i="14" s="1"/>
  <c r="RX20" i="14"/>
  <c r="RY20" i="14" s="1"/>
  <c r="RS20" i="14"/>
  <c r="RT20" i="14" s="1"/>
  <c r="RN20" i="14"/>
  <c r="RG20" i="14"/>
  <c r="RH20" i="14" s="1"/>
  <c r="RB20" i="14"/>
  <c r="RC20" i="14" s="1"/>
  <c r="QW20" i="14"/>
  <c r="QP20" i="14"/>
  <c r="QQ20" i="14" s="1"/>
  <c r="QK20" i="14"/>
  <c r="QL20" i="14" s="1"/>
  <c r="QF20" i="14"/>
  <c r="PY20" i="14"/>
  <c r="PZ20" i="14" s="1"/>
  <c r="PT20" i="14"/>
  <c r="PU20" i="14" s="1"/>
  <c r="PO20" i="14"/>
  <c r="PH20" i="14"/>
  <c r="PI20" i="14" s="1"/>
  <c r="PC20" i="14"/>
  <c r="PD20" i="14" s="1"/>
  <c r="OX20" i="14"/>
  <c r="OQ20" i="14"/>
  <c r="OR20" i="14" s="1"/>
  <c r="OL20" i="14"/>
  <c r="OM20" i="14" s="1"/>
  <c r="OG20" i="14"/>
  <c r="NZ20" i="14"/>
  <c r="OA20" i="14" s="1"/>
  <c r="NU20" i="14"/>
  <c r="NV20" i="14" s="1"/>
  <c r="NP20" i="14"/>
  <c r="NI20" i="14"/>
  <c r="NJ20" i="14" s="1"/>
  <c r="ND20" i="14"/>
  <c r="NE20" i="14" s="1"/>
  <c r="MY20" i="14"/>
  <c r="MR20" i="14"/>
  <c r="MS20" i="14" s="1"/>
  <c r="MM20" i="14"/>
  <c r="MN20" i="14" s="1"/>
  <c r="MH20" i="14"/>
  <c r="MA20" i="14"/>
  <c r="MB20" i="14" s="1"/>
  <c r="LV20" i="14"/>
  <c r="LW20" i="14" s="1"/>
  <c r="LQ20" i="14"/>
  <c r="LJ20" i="14"/>
  <c r="LK20" i="14" s="1"/>
  <c r="LE20" i="14"/>
  <c r="LF20" i="14" s="1"/>
  <c r="KZ20" i="14"/>
  <c r="KS20" i="14"/>
  <c r="KT20" i="14" s="1"/>
  <c r="KN20" i="14"/>
  <c r="KO20" i="14" s="1"/>
  <c r="KI20" i="14"/>
  <c r="KB20" i="14"/>
  <c r="KC20" i="14" s="1"/>
  <c r="JW20" i="14"/>
  <c r="JX20" i="14" s="1"/>
  <c r="JR20" i="14"/>
  <c r="JK20" i="14"/>
  <c r="JL20" i="14" s="1"/>
  <c r="JF20" i="14"/>
  <c r="JG20" i="14" s="1"/>
  <c r="JA20" i="14"/>
  <c r="IT20" i="14"/>
  <c r="IU20" i="14" s="1"/>
  <c r="IO20" i="14"/>
  <c r="IP20" i="14" s="1"/>
  <c r="IJ20" i="14"/>
  <c r="IC20" i="14"/>
  <c r="ID20" i="14" s="1"/>
  <c r="HX20" i="14"/>
  <c r="HX18" i="14" s="1"/>
  <c r="HS20" i="14"/>
  <c r="HT20" i="14" s="1"/>
  <c r="HL20" i="14"/>
  <c r="HM20" i="14" s="1"/>
  <c r="HG20" i="14"/>
  <c r="HH20" i="14" s="1"/>
  <c r="HB20" i="14"/>
  <c r="HC20" i="14" s="1"/>
  <c r="GU20" i="14"/>
  <c r="GV20" i="14" s="1"/>
  <c r="GP20" i="14"/>
  <c r="GQ20" i="14" s="1"/>
  <c r="GK20" i="14"/>
  <c r="GL20" i="14" s="1"/>
  <c r="GD20" i="14"/>
  <c r="GE20" i="14" s="1"/>
  <c r="FY20" i="14"/>
  <c r="FZ20" i="14" s="1"/>
  <c r="FT20" i="14"/>
  <c r="FU20" i="14" s="1"/>
  <c r="FM20" i="14"/>
  <c r="FN20" i="14" s="1"/>
  <c r="FH20" i="14"/>
  <c r="FI20" i="14" s="1"/>
  <c r="FC20" i="14"/>
  <c r="FD20" i="14" s="1"/>
  <c r="EV20" i="14"/>
  <c r="EW20" i="14" s="1"/>
  <c r="EQ20" i="14"/>
  <c r="ER20" i="14" s="1"/>
  <c r="EL20" i="14"/>
  <c r="EM20" i="14" s="1"/>
  <c r="EE20" i="14"/>
  <c r="EF20" i="14" s="1"/>
  <c r="DZ20" i="14"/>
  <c r="EA20" i="14" s="1"/>
  <c r="DU20" i="14"/>
  <c r="DV20" i="14" s="1"/>
  <c r="DN20" i="14"/>
  <c r="DO20" i="14" s="1"/>
  <c r="DI20" i="14"/>
  <c r="DJ20" i="14" s="1"/>
  <c r="DD20" i="14"/>
  <c r="DE20" i="14" s="1"/>
  <c r="CW20" i="14"/>
  <c r="CX20" i="14" s="1"/>
  <c r="CR20" i="14"/>
  <c r="CS20" i="14" s="1"/>
  <c r="CM20" i="14"/>
  <c r="CN20" i="14" s="1"/>
  <c r="CF20" i="14"/>
  <c r="CG20" i="14" s="1"/>
  <c r="CA20" i="14"/>
  <c r="CB20" i="14" s="1"/>
  <c r="BV20" i="14"/>
  <c r="BW20" i="14" s="1"/>
  <c r="BO20" i="14"/>
  <c r="BP20" i="14" s="1"/>
  <c r="BJ20" i="14"/>
  <c r="BK20" i="14" s="1"/>
  <c r="BE20" i="14"/>
  <c r="BF20" i="14" s="1"/>
  <c r="AX20" i="14"/>
  <c r="AY20" i="14" s="1"/>
  <c r="AS20" i="14"/>
  <c r="AT20" i="14" s="1"/>
  <c r="AN20" i="14"/>
  <c r="AO20" i="14" s="1"/>
  <c r="AG20" i="14"/>
  <c r="AH20" i="14" s="1"/>
  <c r="AB20" i="14"/>
  <c r="AC20" i="14" s="1"/>
  <c r="W20" i="14"/>
  <c r="X20" i="14" s="1"/>
  <c r="P20" i="14"/>
  <c r="Q20" i="14" s="1"/>
  <c r="K20" i="14"/>
  <c r="L20" i="14" s="1"/>
  <c r="F20" i="14"/>
  <c r="G20" i="14" s="1"/>
  <c r="TW19" i="14"/>
  <c r="TX19" i="14" s="1"/>
  <c r="TR19" i="14"/>
  <c r="TS19" i="14" s="1"/>
  <c r="TM19" i="14"/>
  <c r="TN19" i="14" s="1"/>
  <c r="TF19" i="14"/>
  <c r="TG19" i="14" s="1"/>
  <c r="TA19" i="14"/>
  <c r="TB19" i="14" s="1"/>
  <c r="SV19" i="14"/>
  <c r="SW19" i="14" s="1"/>
  <c r="SO19" i="14"/>
  <c r="SP19" i="14" s="1"/>
  <c r="SJ19" i="14"/>
  <c r="SK19" i="14" s="1"/>
  <c r="SE19" i="14"/>
  <c r="SF19" i="14" s="1"/>
  <c r="RX19" i="14"/>
  <c r="RY19" i="14" s="1"/>
  <c r="RS19" i="14"/>
  <c r="RT19" i="14" s="1"/>
  <c r="RN19" i="14"/>
  <c r="RO19" i="14" s="1"/>
  <c r="RG19" i="14"/>
  <c r="RH19" i="14" s="1"/>
  <c r="RB19" i="14"/>
  <c r="RC19" i="14" s="1"/>
  <c r="QW19" i="14"/>
  <c r="QX19" i="14" s="1"/>
  <c r="QP19" i="14"/>
  <c r="QQ19" i="14" s="1"/>
  <c r="QK19" i="14"/>
  <c r="QL19" i="14" s="1"/>
  <c r="QF19" i="14"/>
  <c r="QG19" i="14" s="1"/>
  <c r="PY19" i="14"/>
  <c r="PZ19" i="14" s="1"/>
  <c r="PT19" i="14"/>
  <c r="PU19" i="14" s="1"/>
  <c r="PO19" i="14"/>
  <c r="PP19" i="14" s="1"/>
  <c r="PH19" i="14"/>
  <c r="PI19" i="14" s="1"/>
  <c r="PC19" i="14"/>
  <c r="PD19" i="14" s="1"/>
  <c r="OX19" i="14"/>
  <c r="OY19" i="14" s="1"/>
  <c r="OQ19" i="14"/>
  <c r="OR19" i="14" s="1"/>
  <c r="OL19" i="14"/>
  <c r="OM19" i="14" s="1"/>
  <c r="OG19" i="14"/>
  <c r="OH19" i="14" s="1"/>
  <c r="NZ19" i="14"/>
  <c r="OA19" i="14" s="1"/>
  <c r="NU19" i="14"/>
  <c r="NV19" i="14" s="1"/>
  <c r="NP19" i="14"/>
  <c r="NQ19" i="14" s="1"/>
  <c r="NI19" i="14"/>
  <c r="NJ19" i="14" s="1"/>
  <c r="ND19" i="14"/>
  <c r="NE19" i="14" s="1"/>
  <c r="MY19" i="14"/>
  <c r="MZ19" i="14" s="1"/>
  <c r="MR19" i="14"/>
  <c r="MS19" i="14" s="1"/>
  <c r="MM19" i="14"/>
  <c r="MN19" i="14" s="1"/>
  <c r="MH19" i="14"/>
  <c r="MI19" i="14" s="1"/>
  <c r="MA19" i="14"/>
  <c r="MB19" i="14" s="1"/>
  <c r="LV19" i="14"/>
  <c r="LW19" i="14" s="1"/>
  <c r="LQ19" i="14"/>
  <c r="LR19" i="14" s="1"/>
  <c r="LJ19" i="14"/>
  <c r="LK19" i="14" s="1"/>
  <c r="LE19" i="14"/>
  <c r="LF19" i="14" s="1"/>
  <c r="KZ19" i="14"/>
  <c r="LA19" i="14" s="1"/>
  <c r="KS19" i="14"/>
  <c r="KT19" i="14" s="1"/>
  <c r="KN19" i="14"/>
  <c r="KI19" i="14"/>
  <c r="KJ19" i="14" s="1"/>
  <c r="KB19" i="14"/>
  <c r="KC19" i="14" s="1"/>
  <c r="JW19" i="14"/>
  <c r="JX19" i="14" s="1"/>
  <c r="JR19" i="14"/>
  <c r="JS19" i="14" s="1"/>
  <c r="JK19" i="14"/>
  <c r="JL19" i="14" s="1"/>
  <c r="JF19" i="14"/>
  <c r="JG19" i="14" s="1"/>
  <c r="JA19" i="14"/>
  <c r="JB19" i="14" s="1"/>
  <c r="IT19" i="14"/>
  <c r="IU19" i="14" s="1"/>
  <c r="IO19" i="14"/>
  <c r="IJ19" i="14"/>
  <c r="IK19" i="14" s="1"/>
  <c r="IC19" i="14"/>
  <c r="ID19" i="14" s="1"/>
  <c r="HX19" i="14"/>
  <c r="HY19" i="14" s="1"/>
  <c r="HS19" i="14"/>
  <c r="HT19" i="14" s="1"/>
  <c r="HL19" i="14"/>
  <c r="HM19" i="14" s="1"/>
  <c r="HG19" i="14"/>
  <c r="HH19" i="14" s="1"/>
  <c r="HB19" i="14"/>
  <c r="HC19" i="14" s="1"/>
  <c r="GU19" i="14"/>
  <c r="GV19" i="14" s="1"/>
  <c r="GP19" i="14"/>
  <c r="GQ19" i="14" s="1"/>
  <c r="GK19" i="14"/>
  <c r="GL19" i="14" s="1"/>
  <c r="GD19" i="14"/>
  <c r="GE19" i="14" s="1"/>
  <c r="FY19" i="14"/>
  <c r="FZ19" i="14" s="1"/>
  <c r="FT19" i="14"/>
  <c r="FU19" i="14" s="1"/>
  <c r="FM19" i="14"/>
  <c r="FN19" i="14" s="1"/>
  <c r="FH19" i="14"/>
  <c r="FI19" i="14" s="1"/>
  <c r="FC19" i="14"/>
  <c r="FD19" i="14" s="1"/>
  <c r="EV19" i="14"/>
  <c r="EW19" i="14" s="1"/>
  <c r="EQ19" i="14"/>
  <c r="ER19" i="14" s="1"/>
  <c r="EL19" i="14"/>
  <c r="EM19" i="14" s="1"/>
  <c r="EE19" i="14"/>
  <c r="EF19" i="14" s="1"/>
  <c r="DZ19" i="14"/>
  <c r="EA19" i="14" s="1"/>
  <c r="DU19" i="14"/>
  <c r="DV19" i="14" s="1"/>
  <c r="DN19" i="14"/>
  <c r="DO19" i="14" s="1"/>
  <c r="DI19" i="14"/>
  <c r="DJ19" i="14" s="1"/>
  <c r="DD19" i="14"/>
  <c r="DE19" i="14" s="1"/>
  <c r="CW19" i="14"/>
  <c r="CX19" i="14" s="1"/>
  <c r="CR19" i="14"/>
  <c r="CS19" i="14" s="1"/>
  <c r="CM19" i="14"/>
  <c r="CN19" i="14" s="1"/>
  <c r="CF19" i="14"/>
  <c r="CG19" i="14" s="1"/>
  <c r="CA19" i="14"/>
  <c r="CB19" i="14" s="1"/>
  <c r="BV19" i="14"/>
  <c r="BW19" i="14" s="1"/>
  <c r="BO19" i="14"/>
  <c r="BP19" i="14" s="1"/>
  <c r="BJ19" i="14"/>
  <c r="BK19" i="14" s="1"/>
  <c r="BE19" i="14"/>
  <c r="BF19" i="14" s="1"/>
  <c r="AX19" i="14"/>
  <c r="AY19" i="14" s="1"/>
  <c r="AS19" i="14"/>
  <c r="AT19" i="14" s="1"/>
  <c r="AN19" i="14"/>
  <c r="AO19" i="14" s="1"/>
  <c r="AG19" i="14"/>
  <c r="AH19" i="14" s="1"/>
  <c r="AB19" i="14"/>
  <c r="AC19" i="14" s="1"/>
  <c r="W19" i="14"/>
  <c r="X19" i="14" s="1"/>
  <c r="P19" i="14"/>
  <c r="Q19" i="14" s="1"/>
  <c r="K19" i="14"/>
  <c r="L19" i="14" s="1"/>
  <c r="F19" i="14"/>
  <c r="G19" i="14" s="1"/>
  <c r="TR18" i="14"/>
  <c r="TM18" i="14"/>
  <c r="TF18" i="14"/>
  <c r="SV18" i="14"/>
  <c r="SO18" i="14"/>
  <c r="RX18" i="14"/>
  <c r="RS18" i="14"/>
  <c r="RB18" i="14"/>
  <c r="QW18" i="14"/>
  <c r="PC18" i="14"/>
  <c r="NZ18" i="14"/>
  <c r="MM18" i="14"/>
  <c r="JW18" i="14"/>
  <c r="IC18" i="14"/>
  <c r="HG18" i="14"/>
  <c r="GP18" i="14"/>
  <c r="FM18" i="14"/>
  <c r="FH18" i="14"/>
  <c r="EQ18" i="14"/>
  <c r="DZ18" i="14"/>
  <c r="CW18" i="14"/>
  <c r="CA18" i="14"/>
  <c r="AG18" i="14"/>
  <c r="P18" i="14"/>
  <c r="K18" i="14"/>
  <c r="TW17" i="14"/>
  <c r="TX17" i="14" s="1"/>
  <c r="TR17" i="14"/>
  <c r="TS17" i="14" s="1"/>
  <c r="TM17" i="14"/>
  <c r="TN17" i="14" s="1"/>
  <c r="TF17" i="14"/>
  <c r="TG17" i="14" s="1"/>
  <c r="TA17" i="14"/>
  <c r="TB17" i="14" s="1"/>
  <c r="SV17" i="14"/>
  <c r="SW17" i="14" s="1"/>
  <c r="SO17" i="14"/>
  <c r="SP17" i="14" s="1"/>
  <c r="SJ17" i="14"/>
  <c r="SK17" i="14" s="1"/>
  <c r="SE17" i="14"/>
  <c r="SF17" i="14" s="1"/>
  <c r="RX17" i="14"/>
  <c r="RY17" i="14" s="1"/>
  <c r="RS17" i="14"/>
  <c r="RT17" i="14" s="1"/>
  <c r="RN17" i="14"/>
  <c r="RO17" i="14" s="1"/>
  <c r="RG17" i="14"/>
  <c r="RH17" i="14" s="1"/>
  <c r="RB17" i="14"/>
  <c r="RC17" i="14" s="1"/>
  <c r="QW17" i="14"/>
  <c r="QX17" i="14" s="1"/>
  <c r="QP17" i="14"/>
  <c r="QQ17" i="14" s="1"/>
  <c r="QK17" i="14"/>
  <c r="QL17" i="14" s="1"/>
  <c r="QF17" i="14"/>
  <c r="QG17" i="14" s="1"/>
  <c r="PY17" i="14"/>
  <c r="PZ17" i="14" s="1"/>
  <c r="PT17" i="14"/>
  <c r="PU17" i="14" s="1"/>
  <c r="PO17" i="14"/>
  <c r="PP17" i="14" s="1"/>
  <c r="PH17" i="14"/>
  <c r="PI17" i="14" s="1"/>
  <c r="PC17" i="14"/>
  <c r="PD17" i="14" s="1"/>
  <c r="OX17" i="14"/>
  <c r="OY17" i="14" s="1"/>
  <c r="OQ17" i="14"/>
  <c r="OR17" i="14" s="1"/>
  <c r="OL17" i="14"/>
  <c r="OM17" i="14" s="1"/>
  <c r="OG17" i="14"/>
  <c r="OH17" i="14" s="1"/>
  <c r="NZ17" i="14"/>
  <c r="OA17" i="14" s="1"/>
  <c r="NU17" i="14"/>
  <c r="NV17" i="14" s="1"/>
  <c r="NP17" i="14"/>
  <c r="NQ17" i="14" s="1"/>
  <c r="NI17" i="14"/>
  <c r="NJ17" i="14" s="1"/>
  <c r="ND17" i="14"/>
  <c r="NE17" i="14" s="1"/>
  <c r="MY17" i="14"/>
  <c r="MZ17" i="14" s="1"/>
  <c r="MR17" i="14"/>
  <c r="MS17" i="14" s="1"/>
  <c r="MM17" i="14"/>
  <c r="MN17" i="14" s="1"/>
  <c r="MH17" i="14"/>
  <c r="MI17" i="14" s="1"/>
  <c r="MA17" i="14"/>
  <c r="MB17" i="14" s="1"/>
  <c r="LV17" i="14"/>
  <c r="LW17" i="14" s="1"/>
  <c r="LQ17" i="14"/>
  <c r="LR17" i="14" s="1"/>
  <c r="LJ17" i="14"/>
  <c r="LK17" i="14" s="1"/>
  <c r="LE17" i="14"/>
  <c r="LF17" i="14" s="1"/>
  <c r="KZ17" i="14"/>
  <c r="LA17" i="14" s="1"/>
  <c r="KS17" i="14"/>
  <c r="KT17" i="14" s="1"/>
  <c r="KN17" i="14"/>
  <c r="KO17" i="14" s="1"/>
  <c r="KI17" i="14"/>
  <c r="KJ17" i="14" s="1"/>
  <c r="KB17" i="14"/>
  <c r="KC17" i="14" s="1"/>
  <c r="JW17" i="14"/>
  <c r="JX17" i="14" s="1"/>
  <c r="JR17" i="14"/>
  <c r="JS17" i="14" s="1"/>
  <c r="JK17" i="14"/>
  <c r="JL17" i="14" s="1"/>
  <c r="JF17" i="14"/>
  <c r="JG17" i="14" s="1"/>
  <c r="JA17" i="14"/>
  <c r="JB17" i="14" s="1"/>
  <c r="IT17" i="14"/>
  <c r="IU17" i="14" s="1"/>
  <c r="IO17" i="14"/>
  <c r="IP17" i="14" s="1"/>
  <c r="IJ17" i="14"/>
  <c r="IK17" i="14" s="1"/>
  <c r="IC17" i="14"/>
  <c r="ID17" i="14" s="1"/>
  <c r="HX17" i="14"/>
  <c r="HY17" i="14" s="1"/>
  <c r="HS17" i="14"/>
  <c r="HT17" i="14" s="1"/>
  <c r="HL17" i="14"/>
  <c r="HM17" i="14" s="1"/>
  <c r="HG17" i="14"/>
  <c r="HH17" i="14" s="1"/>
  <c r="HB17" i="14"/>
  <c r="HC17" i="14" s="1"/>
  <c r="GU17" i="14"/>
  <c r="GV17" i="14" s="1"/>
  <c r="GP17" i="14"/>
  <c r="GQ17" i="14" s="1"/>
  <c r="GK17" i="14"/>
  <c r="GL17" i="14" s="1"/>
  <c r="GD17" i="14"/>
  <c r="GE17" i="14" s="1"/>
  <c r="FY17" i="14"/>
  <c r="FZ17" i="14" s="1"/>
  <c r="FT17" i="14"/>
  <c r="FU17" i="14" s="1"/>
  <c r="FM17" i="14"/>
  <c r="FN17" i="14" s="1"/>
  <c r="FH17" i="14"/>
  <c r="FI17" i="14" s="1"/>
  <c r="FC17" i="14"/>
  <c r="FD17" i="14" s="1"/>
  <c r="EV17" i="14"/>
  <c r="EW17" i="14" s="1"/>
  <c r="EQ17" i="14"/>
  <c r="ER17" i="14" s="1"/>
  <c r="EL17" i="14"/>
  <c r="EM17" i="14" s="1"/>
  <c r="EE17" i="14"/>
  <c r="EF17" i="14" s="1"/>
  <c r="DZ17" i="14"/>
  <c r="EA17" i="14" s="1"/>
  <c r="DU17" i="14"/>
  <c r="DV17" i="14" s="1"/>
  <c r="DN17" i="14"/>
  <c r="DO17" i="14" s="1"/>
  <c r="DI17" i="14"/>
  <c r="DJ17" i="14" s="1"/>
  <c r="DD17" i="14"/>
  <c r="DE17" i="14" s="1"/>
  <c r="CW17" i="14"/>
  <c r="CX17" i="14" s="1"/>
  <c r="CR17" i="14"/>
  <c r="CS17" i="14" s="1"/>
  <c r="CM17" i="14"/>
  <c r="CN17" i="14" s="1"/>
  <c r="CF17" i="14"/>
  <c r="CG17" i="14" s="1"/>
  <c r="CA17" i="14"/>
  <c r="CB17" i="14" s="1"/>
  <c r="BV17" i="14"/>
  <c r="BW17" i="14" s="1"/>
  <c r="BO17" i="14"/>
  <c r="BP17" i="14" s="1"/>
  <c r="BJ17" i="14"/>
  <c r="BK17" i="14" s="1"/>
  <c r="BE17" i="14"/>
  <c r="AX17" i="14"/>
  <c r="AY17" i="14" s="1"/>
  <c r="AS17" i="14"/>
  <c r="AT17" i="14" s="1"/>
  <c r="AN17" i="14"/>
  <c r="AG17" i="14"/>
  <c r="AH17" i="14" s="1"/>
  <c r="AB17" i="14"/>
  <c r="AC17" i="14" s="1"/>
  <c r="W17" i="14"/>
  <c r="X17" i="14" s="1"/>
  <c r="P17" i="14"/>
  <c r="Q17" i="14" s="1"/>
  <c r="K17" i="14"/>
  <c r="L17" i="14" s="1"/>
  <c r="F17" i="14"/>
  <c r="G17" i="14" s="1"/>
  <c r="TW16" i="14"/>
  <c r="TX16" i="14" s="1"/>
  <c r="TR16" i="14"/>
  <c r="TS16" i="14" s="1"/>
  <c r="TM16" i="14"/>
  <c r="TN16" i="14" s="1"/>
  <c r="TF16" i="14"/>
  <c r="TG16" i="14" s="1"/>
  <c r="TA16" i="14"/>
  <c r="SV16" i="14"/>
  <c r="SW16" i="14" s="1"/>
  <c r="SO16" i="14"/>
  <c r="SP16" i="14" s="1"/>
  <c r="SJ16" i="14"/>
  <c r="SK16" i="14" s="1"/>
  <c r="SE16" i="14"/>
  <c r="RX16" i="14"/>
  <c r="RY16" i="14" s="1"/>
  <c r="RS16" i="14"/>
  <c r="RN16" i="14"/>
  <c r="RO16" i="14" s="1"/>
  <c r="RG16" i="14"/>
  <c r="RH16" i="14" s="1"/>
  <c r="RB16" i="14"/>
  <c r="RC16" i="14" s="1"/>
  <c r="QW16" i="14"/>
  <c r="QP16" i="14"/>
  <c r="QQ16" i="14" s="1"/>
  <c r="QK16" i="14"/>
  <c r="QF16" i="14"/>
  <c r="QG16" i="14" s="1"/>
  <c r="PY16" i="14"/>
  <c r="PZ16" i="14" s="1"/>
  <c r="PT16" i="14"/>
  <c r="PU16" i="14" s="1"/>
  <c r="PO16" i="14"/>
  <c r="PH16" i="14"/>
  <c r="PI16" i="14" s="1"/>
  <c r="PC16" i="14"/>
  <c r="OX16" i="14"/>
  <c r="OY16" i="14" s="1"/>
  <c r="OQ16" i="14"/>
  <c r="OR16" i="14" s="1"/>
  <c r="OL16" i="14"/>
  <c r="OM16" i="14" s="1"/>
  <c r="OG16" i="14"/>
  <c r="NZ16" i="14"/>
  <c r="OA16" i="14" s="1"/>
  <c r="NU16" i="14"/>
  <c r="NP16" i="14"/>
  <c r="NQ16" i="14" s="1"/>
  <c r="NI16" i="14"/>
  <c r="NJ16" i="14" s="1"/>
  <c r="ND16" i="14"/>
  <c r="NE16" i="14" s="1"/>
  <c r="MY16" i="14"/>
  <c r="MR16" i="14"/>
  <c r="MS16" i="14" s="1"/>
  <c r="MM16" i="14"/>
  <c r="MH16" i="14"/>
  <c r="MI16" i="14" s="1"/>
  <c r="MA16" i="14"/>
  <c r="MB16" i="14" s="1"/>
  <c r="LV16" i="14"/>
  <c r="LW16" i="14" s="1"/>
  <c r="LQ16" i="14"/>
  <c r="LJ16" i="14"/>
  <c r="LK16" i="14" s="1"/>
  <c r="LE16" i="14"/>
  <c r="KZ16" i="14"/>
  <c r="LA16" i="14" s="1"/>
  <c r="KS16" i="14"/>
  <c r="KT16" i="14" s="1"/>
  <c r="KN16" i="14"/>
  <c r="KO16" i="14" s="1"/>
  <c r="KI16" i="14"/>
  <c r="KB16" i="14"/>
  <c r="KC16" i="14" s="1"/>
  <c r="JW16" i="14"/>
  <c r="JR16" i="14"/>
  <c r="JS16" i="14" s="1"/>
  <c r="JK16" i="14"/>
  <c r="JL16" i="14" s="1"/>
  <c r="JF16" i="14"/>
  <c r="JG16" i="14" s="1"/>
  <c r="JA16" i="14"/>
  <c r="IT16" i="14"/>
  <c r="IU16" i="14" s="1"/>
  <c r="IO16" i="14"/>
  <c r="IJ16" i="14"/>
  <c r="IK16" i="14" s="1"/>
  <c r="IC16" i="14"/>
  <c r="ID16" i="14" s="1"/>
  <c r="HX16" i="14"/>
  <c r="HY16" i="14" s="1"/>
  <c r="HS16" i="14"/>
  <c r="HL16" i="14"/>
  <c r="HM16" i="14" s="1"/>
  <c r="HG16" i="14"/>
  <c r="HB16" i="14"/>
  <c r="HC16" i="14" s="1"/>
  <c r="GU16" i="14"/>
  <c r="GV16" i="14" s="1"/>
  <c r="GP16" i="14"/>
  <c r="GQ16" i="14" s="1"/>
  <c r="GK16" i="14"/>
  <c r="GD16" i="14"/>
  <c r="GE16" i="14" s="1"/>
  <c r="FY16" i="14"/>
  <c r="FT16" i="14"/>
  <c r="FU16" i="14" s="1"/>
  <c r="FM16" i="14"/>
  <c r="FN16" i="14" s="1"/>
  <c r="FH16" i="14"/>
  <c r="FI16" i="14" s="1"/>
  <c r="FC16" i="14"/>
  <c r="EV16" i="14"/>
  <c r="EW16" i="14" s="1"/>
  <c r="EQ16" i="14"/>
  <c r="ER16" i="14" s="1"/>
  <c r="EL16" i="14"/>
  <c r="EM16" i="14" s="1"/>
  <c r="EE16" i="14"/>
  <c r="EF16" i="14" s="1"/>
  <c r="DZ16" i="14"/>
  <c r="EA16" i="14" s="1"/>
  <c r="DU16" i="14"/>
  <c r="DN16" i="14"/>
  <c r="DO16" i="14" s="1"/>
  <c r="DI16" i="14"/>
  <c r="DJ16" i="14" s="1"/>
  <c r="DD16" i="14"/>
  <c r="DE16" i="14" s="1"/>
  <c r="CW16" i="14"/>
  <c r="CX16" i="14" s="1"/>
  <c r="CR16" i="14"/>
  <c r="CS16" i="14" s="1"/>
  <c r="CM16" i="14"/>
  <c r="CF16" i="14"/>
  <c r="CG16" i="14" s="1"/>
  <c r="CA16" i="14"/>
  <c r="CB16" i="14" s="1"/>
  <c r="BV16" i="14"/>
  <c r="BW16" i="14" s="1"/>
  <c r="BO16" i="14"/>
  <c r="BJ16" i="14"/>
  <c r="BK16" i="14" s="1"/>
  <c r="BE16" i="14"/>
  <c r="AX16" i="14"/>
  <c r="AY16" i="14" s="1"/>
  <c r="AS16" i="14"/>
  <c r="AT16" i="14" s="1"/>
  <c r="AN16" i="14"/>
  <c r="AO16" i="14" s="1"/>
  <c r="AG16" i="14"/>
  <c r="AH16" i="14" s="1"/>
  <c r="AB16" i="14"/>
  <c r="AC16" i="14" s="1"/>
  <c r="W16" i="14"/>
  <c r="P16" i="14"/>
  <c r="Q16" i="14" s="1"/>
  <c r="K16" i="14"/>
  <c r="L16" i="14" s="1"/>
  <c r="F16" i="14"/>
  <c r="G16" i="14" s="1"/>
  <c r="TW15" i="14"/>
  <c r="TW14" i="14" s="1"/>
  <c r="TX14" i="14" s="1"/>
  <c r="TR15" i="14"/>
  <c r="TS15" i="14" s="1"/>
  <c r="TM15" i="14"/>
  <c r="TF15" i="14"/>
  <c r="TG15" i="14" s="1"/>
  <c r="TA15" i="14"/>
  <c r="SW15" i="14"/>
  <c r="SV15" i="14"/>
  <c r="SO15" i="14"/>
  <c r="SJ15" i="14"/>
  <c r="SK15" i="14" s="1"/>
  <c r="SE15" i="14"/>
  <c r="SE14" i="14" s="1"/>
  <c r="SF14" i="14" s="1"/>
  <c r="RX15" i="14"/>
  <c r="RY15" i="14" s="1"/>
  <c r="RS15" i="14"/>
  <c r="RT15" i="14" s="1"/>
  <c r="RN15" i="14"/>
  <c r="RN14" i="14" s="1"/>
  <c r="RO14" i="14" s="1"/>
  <c r="RG15" i="14"/>
  <c r="RH15" i="14" s="1"/>
  <c r="RB15" i="14"/>
  <c r="RC15" i="14" s="1"/>
  <c r="QW15" i="14"/>
  <c r="QP15" i="14"/>
  <c r="QQ15" i="14" s="1"/>
  <c r="QK15" i="14"/>
  <c r="QF15" i="14"/>
  <c r="QG15" i="14" s="1"/>
  <c r="PY15" i="14"/>
  <c r="PT15" i="14"/>
  <c r="PU15" i="14" s="1"/>
  <c r="PO15" i="14"/>
  <c r="PH15" i="14"/>
  <c r="PI15" i="14" s="1"/>
  <c r="PC15" i="14"/>
  <c r="PD15" i="14" s="1"/>
  <c r="OX15" i="14"/>
  <c r="OQ15" i="14"/>
  <c r="OR15" i="14" s="1"/>
  <c r="OL15" i="14"/>
  <c r="OM15" i="14" s="1"/>
  <c r="OG15" i="14"/>
  <c r="NZ15" i="14"/>
  <c r="OA15" i="14" s="1"/>
  <c r="NU15" i="14"/>
  <c r="NV15" i="14" s="1"/>
  <c r="NP15" i="14"/>
  <c r="NQ15" i="14" s="1"/>
  <c r="NI15" i="14"/>
  <c r="NJ15" i="14" s="1"/>
  <c r="NE15" i="14"/>
  <c r="ND15" i="14"/>
  <c r="MY15" i="14"/>
  <c r="MZ15" i="14" s="1"/>
  <c r="MR15" i="14"/>
  <c r="MS15" i="14" s="1"/>
  <c r="MM15" i="14"/>
  <c r="MN15" i="14" s="1"/>
  <c r="MH15" i="14"/>
  <c r="MI15" i="14" s="1"/>
  <c r="MA15" i="14"/>
  <c r="MB15" i="14" s="1"/>
  <c r="LV15" i="14"/>
  <c r="LQ15" i="14"/>
  <c r="LR15" i="14" s="1"/>
  <c r="LJ15" i="14"/>
  <c r="LK15" i="14" s="1"/>
  <c r="LE15" i="14"/>
  <c r="LF15" i="14" s="1"/>
  <c r="KZ15" i="14"/>
  <c r="LA15" i="14" s="1"/>
  <c r="KS15" i="14"/>
  <c r="KT15" i="14" s="1"/>
  <c r="KN15" i="14"/>
  <c r="KO15" i="14" s="1"/>
  <c r="KI15" i="14"/>
  <c r="KJ15" i="14" s="1"/>
  <c r="KB15" i="14"/>
  <c r="KC15" i="14" s="1"/>
  <c r="JW15" i="14"/>
  <c r="JX15" i="14" s="1"/>
  <c r="JR15" i="14"/>
  <c r="JS15" i="14" s="1"/>
  <c r="JK15" i="14"/>
  <c r="JL15" i="14" s="1"/>
  <c r="JF15" i="14"/>
  <c r="JG15" i="14" s="1"/>
  <c r="JA15" i="14"/>
  <c r="JB15" i="14" s="1"/>
  <c r="IT15" i="14"/>
  <c r="IU15" i="14" s="1"/>
  <c r="IO15" i="14"/>
  <c r="IP15" i="14" s="1"/>
  <c r="IJ15" i="14"/>
  <c r="IK15" i="14" s="1"/>
  <c r="IC15" i="14"/>
  <c r="ID15" i="14" s="1"/>
  <c r="HX15" i="14"/>
  <c r="HS15" i="14"/>
  <c r="HT15" i="14" s="1"/>
  <c r="HL15" i="14"/>
  <c r="HM15" i="14" s="1"/>
  <c r="HG15" i="14"/>
  <c r="HH15" i="14" s="1"/>
  <c r="HB15" i="14"/>
  <c r="HC15" i="14" s="1"/>
  <c r="GU15" i="14"/>
  <c r="GV15" i="14" s="1"/>
  <c r="GP15" i="14"/>
  <c r="GQ15" i="14" s="1"/>
  <c r="GK15" i="14"/>
  <c r="GL15" i="14" s="1"/>
  <c r="GD15" i="14"/>
  <c r="GE15" i="14" s="1"/>
  <c r="FY15" i="14"/>
  <c r="FZ15" i="14" s="1"/>
  <c r="FT15" i="14"/>
  <c r="FU15" i="14" s="1"/>
  <c r="FM15" i="14"/>
  <c r="FN15" i="14" s="1"/>
  <c r="FH15" i="14"/>
  <c r="FI15" i="14" s="1"/>
  <c r="FC15" i="14"/>
  <c r="FD15" i="14" s="1"/>
  <c r="EV15" i="14"/>
  <c r="EW15" i="14" s="1"/>
  <c r="EQ15" i="14"/>
  <c r="ER15" i="14" s="1"/>
  <c r="EL15" i="14"/>
  <c r="EM15" i="14" s="1"/>
  <c r="EE15" i="14"/>
  <c r="EF15" i="14" s="1"/>
  <c r="DZ15" i="14"/>
  <c r="EA15" i="14" s="1"/>
  <c r="DU15" i="14"/>
  <c r="DV15" i="14" s="1"/>
  <c r="DN15" i="14"/>
  <c r="DO15" i="14" s="1"/>
  <c r="DI15" i="14"/>
  <c r="DJ15" i="14" s="1"/>
  <c r="DD15" i="14"/>
  <c r="DE15" i="14" s="1"/>
  <c r="CW15" i="14"/>
  <c r="CX15" i="14" s="1"/>
  <c r="CR15" i="14"/>
  <c r="CM15" i="14"/>
  <c r="CN15" i="14" s="1"/>
  <c r="CF15" i="14"/>
  <c r="CG15" i="14" s="1"/>
  <c r="CA15" i="14"/>
  <c r="CB15" i="14" s="1"/>
  <c r="BV15" i="14"/>
  <c r="BW15" i="14" s="1"/>
  <c r="BO15" i="14"/>
  <c r="BP15" i="14" s="1"/>
  <c r="BJ15" i="14"/>
  <c r="BE15" i="14"/>
  <c r="BF15" i="14" s="1"/>
  <c r="AX15" i="14"/>
  <c r="AY15" i="14" s="1"/>
  <c r="AS15" i="14"/>
  <c r="AT15" i="14" s="1"/>
  <c r="AN15" i="14"/>
  <c r="AO15" i="14" s="1"/>
  <c r="AG15" i="14"/>
  <c r="AH15" i="14" s="1"/>
  <c r="AB15" i="14"/>
  <c r="W15" i="14"/>
  <c r="X15" i="14" s="1"/>
  <c r="P15" i="14"/>
  <c r="Q15" i="14" s="1"/>
  <c r="K15" i="14"/>
  <c r="L15" i="14" s="1"/>
  <c r="F15" i="14"/>
  <c r="G15" i="14" s="1"/>
  <c r="TF14" i="14"/>
  <c r="TG14" i="14" s="1"/>
  <c r="SV14" i="14"/>
  <c r="SW14" i="14" s="1"/>
  <c r="RX14" i="14"/>
  <c r="RY14" i="14" s="1"/>
  <c r="QF14" i="14"/>
  <c r="QG14" i="14" s="1"/>
  <c r="TW13" i="14"/>
  <c r="TX13" i="14" s="1"/>
  <c r="TR13" i="14"/>
  <c r="TS13" i="14" s="1"/>
  <c r="TM13" i="14"/>
  <c r="TF13" i="14"/>
  <c r="TG13" i="14" s="1"/>
  <c r="TA13" i="14"/>
  <c r="TB13" i="14" s="1"/>
  <c r="SV13" i="14"/>
  <c r="SV12" i="14" s="1"/>
  <c r="SW12" i="14" s="1"/>
  <c r="SO13" i="14"/>
  <c r="SP13" i="14" s="1"/>
  <c r="SJ13" i="14"/>
  <c r="SJ12" i="14" s="1"/>
  <c r="SK12" i="14" s="1"/>
  <c r="SE13" i="14"/>
  <c r="SE12" i="14" s="1"/>
  <c r="SF12" i="14" s="1"/>
  <c r="RX13" i="14"/>
  <c r="RY13" i="14" s="1"/>
  <c r="RS13" i="14"/>
  <c r="RT13" i="14" s="1"/>
  <c r="RN13" i="14"/>
  <c r="RN12" i="14" s="1"/>
  <c r="RO12" i="14" s="1"/>
  <c r="RG13" i="14"/>
  <c r="RH13" i="14" s="1"/>
  <c r="RB13" i="14"/>
  <c r="RC13" i="14" s="1"/>
  <c r="QW13" i="14"/>
  <c r="QX13" i="14" s="1"/>
  <c r="QP13" i="14"/>
  <c r="QQ13" i="14" s="1"/>
  <c r="QK13" i="14"/>
  <c r="QL13" i="14" s="1"/>
  <c r="QF13" i="14"/>
  <c r="QG13" i="14" s="1"/>
  <c r="PY13" i="14"/>
  <c r="PZ13" i="14" s="1"/>
  <c r="PT13" i="14"/>
  <c r="PU13" i="14" s="1"/>
  <c r="PO13" i="14"/>
  <c r="PP13" i="14" s="1"/>
  <c r="PH13" i="14"/>
  <c r="PI13" i="14" s="1"/>
  <c r="PC13" i="14"/>
  <c r="PD13" i="14" s="1"/>
  <c r="OX13" i="14"/>
  <c r="OY13" i="14" s="1"/>
  <c r="OQ13" i="14"/>
  <c r="OR13" i="14" s="1"/>
  <c r="OL13" i="14"/>
  <c r="OM13" i="14" s="1"/>
  <c r="OG13" i="14"/>
  <c r="OH13" i="14" s="1"/>
  <c r="NZ13" i="14"/>
  <c r="OA13" i="14" s="1"/>
  <c r="NU13" i="14"/>
  <c r="NV13" i="14" s="1"/>
  <c r="NP13" i="14"/>
  <c r="NQ13" i="14" s="1"/>
  <c r="NI13" i="14"/>
  <c r="NJ13" i="14" s="1"/>
  <c r="ND13" i="14"/>
  <c r="NE13" i="14" s="1"/>
  <c r="MY13" i="14"/>
  <c r="MZ13" i="14" s="1"/>
  <c r="MR13" i="14"/>
  <c r="MS13" i="14" s="1"/>
  <c r="MM13" i="14"/>
  <c r="MN13" i="14" s="1"/>
  <c r="MH13" i="14"/>
  <c r="MI13" i="14" s="1"/>
  <c r="MA13" i="14"/>
  <c r="MB13" i="14" s="1"/>
  <c r="LV13" i="14"/>
  <c r="LW13" i="14" s="1"/>
  <c r="LQ13" i="14"/>
  <c r="LR13" i="14" s="1"/>
  <c r="LJ13" i="14"/>
  <c r="LK13" i="14" s="1"/>
  <c r="LE13" i="14"/>
  <c r="LF13" i="14" s="1"/>
  <c r="KZ13" i="14"/>
  <c r="LA13" i="14" s="1"/>
  <c r="KS13" i="14"/>
  <c r="KT13" i="14" s="1"/>
  <c r="KN13" i="14"/>
  <c r="KO13" i="14" s="1"/>
  <c r="KI13" i="14"/>
  <c r="KJ13" i="14" s="1"/>
  <c r="KB13" i="14"/>
  <c r="KC13" i="14" s="1"/>
  <c r="JW13" i="14"/>
  <c r="JX13" i="14" s="1"/>
  <c r="JR13" i="14"/>
  <c r="JS13" i="14" s="1"/>
  <c r="JK13" i="14"/>
  <c r="JL13" i="14" s="1"/>
  <c r="JF13" i="14"/>
  <c r="JG13" i="14" s="1"/>
  <c r="JA13" i="14"/>
  <c r="JB13" i="14" s="1"/>
  <c r="IT13" i="14"/>
  <c r="IU13" i="14" s="1"/>
  <c r="IO13" i="14"/>
  <c r="IP13" i="14" s="1"/>
  <c r="IJ13" i="14"/>
  <c r="IK13" i="14" s="1"/>
  <c r="IC13" i="14"/>
  <c r="ID13" i="14" s="1"/>
  <c r="HX13" i="14"/>
  <c r="HY13" i="14" s="1"/>
  <c r="HS13" i="14"/>
  <c r="HT13" i="14" s="1"/>
  <c r="HL13" i="14"/>
  <c r="HM13" i="14" s="1"/>
  <c r="HG13" i="14"/>
  <c r="HH13" i="14" s="1"/>
  <c r="HB13" i="14"/>
  <c r="HC13" i="14" s="1"/>
  <c r="GU13" i="14"/>
  <c r="GV13" i="14" s="1"/>
  <c r="GP13" i="14"/>
  <c r="GP12" i="14" s="1"/>
  <c r="GQ12" i="14" s="1"/>
  <c r="GK13" i="14"/>
  <c r="GL13" i="14" s="1"/>
  <c r="GD13" i="14"/>
  <c r="GE13" i="14" s="1"/>
  <c r="FY13" i="14"/>
  <c r="FZ13" i="14" s="1"/>
  <c r="FT13" i="14"/>
  <c r="FU13" i="14" s="1"/>
  <c r="FM13" i="14"/>
  <c r="FN13" i="14" s="1"/>
  <c r="FH13" i="14"/>
  <c r="FH12" i="14" s="1"/>
  <c r="FI12" i="14" s="1"/>
  <c r="FC13" i="14"/>
  <c r="FD13" i="14" s="1"/>
  <c r="EV13" i="14"/>
  <c r="EW13" i="14" s="1"/>
  <c r="EQ13" i="14"/>
  <c r="ER13" i="14" s="1"/>
  <c r="EL13" i="14"/>
  <c r="EM13" i="14" s="1"/>
  <c r="EE13" i="14"/>
  <c r="EF13" i="14" s="1"/>
  <c r="DZ13" i="14"/>
  <c r="DZ12" i="14" s="1"/>
  <c r="EA12" i="14" s="1"/>
  <c r="DU13" i="14"/>
  <c r="DV13" i="14" s="1"/>
  <c r="DN13" i="14"/>
  <c r="DO13" i="14" s="1"/>
  <c r="DI13" i="14"/>
  <c r="DJ13" i="14" s="1"/>
  <c r="DD13" i="14"/>
  <c r="DE13" i="14" s="1"/>
  <c r="CW13" i="14"/>
  <c r="CX13" i="14" s="1"/>
  <c r="CR13" i="14"/>
  <c r="CM13" i="14"/>
  <c r="CN13" i="14" s="1"/>
  <c r="CF13" i="14"/>
  <c r="CA13" i="14"/>
  <c r="CB13" i="14" s="1"/>
  <c r="BV13" i="14"/>
  <c r="BW13" i="14" s="1"/>
  <c r="BO13" i="14"/>
  <c r="BP13" i="14" s="1"/>
  <c r="BJ13" i="14"/>
  <c r="BE13" i="14"/>
  <c r="BF13" i="14" s="1"/>
  <c r="AX13" i="14"/>
  <c r="AS13" i="14"/>
  <c r="AT13" i="14" s="1"/>
  <c r="AN13" i="14"/>
  <c r="AO13" i="14" s="1"/>
  <c r="AG13" i="14"/>
  <c r="AH13" i="14" s="1"/>
  <c r="AB13" i="14"/>
  <c r="W13" i="14"/>
  <c r="X13" i="14" s="1"/>
  <c r="P13" i="14"/>
  <c r="K13" i="14"/>
  <c r="L13" i="14" s="1"/>
  <c r="F13" i="14"/>
  <c r="G13" i="14" s="1"/>
  <c r="TW12" i="14"/>
  <c r="TX12" i="14" s="1"/>
  <c r="TR12" i="14"/>
  <c r="TS12" i="14" s="1"/>
  <c r="TM12" i="14"/>
  <c r="TN12" i="14" s="1"/>
  <c r="TF12" i="14"/>
  <c r="TG12" i="14" s="1"/>
  <c r="SO12" i="14"/>
  <c r="SP12" i="14" s="1"/>
  <c r="RX12" i="14"/>
  <c r="RY12" i="14" s="1"/>
  <c r="RS12" i="14"/>
  <c r="RT12" i="14" s="1"/>
  <c r="QW12" i="14"/>
  <c r="QX12" i="14" s="1"/>
  <c r="QK12" i="14"/>
  <c r="QL12" i="14" s="1"/>
  <c r="MM12" i="14"/>
  <c r="MN12" i="14" s="1"/>
  <c r="JF12" i="14"/>
  <c r="JG12" i="14" s="1"/>
  <c r="FT12" i="14"/>
  <c r="FU12" i="14" s="1"/>
  <c r="TW11" i="14"/>
  <c r="TX11" i="14" s="1"/>
  <c r="TR11" i="14"/>
  <c r="TM11" i="14"/>
  <c r="TN11" i="14" s="1"/>
  <c r="TF11" i="14"/>
  <c r="TG11" i="14" s="1"/>
  <c r="TA11" i="14"/>
  <c r="SV11" i="14"/>
  <c r="SW11" i="14" s="1"/>
  <c r="SO11" i="14"/>
  <c r="SP11" i="14" s="1"/>
  <c r="SJ11" i="14"/>
  <c r="SK11" i="14" s="1"/>
  <c r="SE11" i="14"/>
  <c r="RX11" i="14"/>
  <c r="RY11" i="14" s="1"/>
  <c r="RS11" i="14"/>
  <c r="RT11" i="14" s="1"/>
  <c r="RN11" i="14"/>
  <c r="RG11" i="14"/>
  <c r="RH11" i="14" s="1"/>
  <c r="RB11" i="14"/>
  <c r="RC11" i="14" s="1"/>
  <c r="QW11" i="14"/>
  <c r="QX11" i="14" s="1"/>
  <c r="QP11" i="14"/>
  <c r="QQ11" i="14" s="1"/>
  <c r="QK11" i="14"/>
  <c r="QL11" i="14" s="1"/>
  <c r="QF11" i="14"/>
  <c r="PY11" i="14"/>
  <c r="PZ11" i="14" s="1"/>
  <c r="PT11" i="14"/>
  <c r="PU11" i="14" s="1"/>
  <c r="PO11" i="14"/>
  <c r="PH11" i="14"/>
  <c r="PI11" i="14" s="1"/>
  <c r="PC11" i="14"/>
  <c r="PD11" i="14" s="1"/>
  <c r="OX11" i="14"/>
  <c r="OQ11" i="14"/>
  <c r="OR11" i="14" s="1"/>
  <c r="OL11" i="14"/>
  <c r="OM11" i="14" s="1"/>
  <c r="OG11" i="14"/>
  <c r="NZ11" i="14"/>
  <c r="OA11" i="14" s="1"/>
  <c r="NU11" i="14"/>
  <c r="NV11" i="14" s="1"/>
  <c r="NP11" i="14"/>
  <c r="NI11" i="14"/>
  <c r="NJ11" i="14" s="1"/>
  <c r="ND11" i="14"/>
  <c r="NE11" i="14" s="1"/>
  <c r="MY11" i="14"/>
  <c r="MR11" i="14"/>
  <c r="MS11" i="14" s="1"/>
  <c r="MM11" i="14"/>
  <c r="MN11" i="14" s="1"/>
  <c r="MH11" i="14"/>
  <c r="MI11" i="14" s="1"/>
  <c r="MA11" i="14"/>
  <c r="MB11" i="14" s="1"/>
  <c r="LV11" i="14"/>
  <c r="LW11" i="14" s="1"/>
  <c r="LQ11" i="14"/>
  <c r="LR11" i="14" s="1"/>
  <c r="LJ11" i="14"/>
  <c r="LK11" i="14" s="1"/>
  <c r="LE11" i="14"/>
  <c r="LF11" i="14" s="1"/>
  <c r="KZ11" i="14"/>
  <c r="LA11" i="14" s="1"/>
  <c r="KS11" i="14"/>
  <c r="KT11" i="14" s="1"/>
  <c r="KN11" i="14"/>
  <c r="KO11" i="14" s="1"/>
  <c r="KI11" i="14"/>
  <c r="KJ11" i="14" s="1"/>
  <c r="KB11" i="14"/>
  <c r="KC11" i="14" s="1"/>
  <c r="JW11" i="14"/>
  <c r="JX11" i="14" s="1"/>
  <c r="JR11" i="14"/>
  <c r="JS11" i="14" s="1"/>
  <c r="JK11" i="14"/>
  <c r="JL11" i="14" s="1"/>
  <c r="JF11" i="14"/>
  <c r="JG11" i="14" s="1"/>
  <c r="JA11" i="14"/>
  <c r="JB11" i="14" s="1"/>
  <c r="IT11" i="14"/>
  <c r="IU11" i="14" s="1"/>
  <c r="IO11" i="14"/>
  <c r="IP11" i="14" s="1"/>
  <c r="IJ11" i="14"/>
  <c r="IK11" i="14" s="1"/>
  <c r="IC11" i="14"/>
  <c r="ID11" i="14" s="1"/>
  <c r="HX11" i="14"/>
  <c r="HY11" i="14" s="1"/>
  <c r="HS11" i="14"/>
  <c r="HT11" i="14" s="1"/>
  <c r="HL11" i="14"/>
  <c r="HM11" i="14" s="1"/>
  <c r="HG11" i="14"/>
  <c r="HH11" i="14" s="1"/>
  <c r="HB11" i="14"/>
  <c r="HC11" i="14" s="1"/>
  <c r="GU11" i="14"/>
  <c r="GV11" i="14" s="1"/>
  <c r="GP11" i="14"/>
  <c r="GQ11" i="14" s="1"/>
  <c r="GK11" i="14"/>
  <c r="GL11" i="14" s="1"/>
  <c r="GD11" i="14"/>
  <c r="GE11" i="14" s="1"/>
  <c r="FY11" i="14"/>
  <c r="FZ11" i="14" s="1"/>
  <c r="FT11" i="14"/>
  <c r="FU11" i="14" s="1"/>
  <c r="FM11" i="14"/>
  <c r="FN11" i="14" s="1"/>
  <c r="FH11" i="14"/>
  <c r="FI11" i="14" s="1"/>
  <c r="FC11" i="14"/>
  <c r="FD11" i="14" s="1"/>
  <c r="EV11" i="14"/>
  <c r="EW11" i="14" s="1"/>
  <c r="EQ11" i="14"/>
  <c r="ER11" i="14" s="1"/>
  <c r="EL11" i="14"/>
  <c r="EM11" i="14" s="1"/>
  <c r="EE11" i="14"/>
  <c r="EF11" i="14" s="1"/>
  <c r="DZ11" i="14"/>
  <c r="EA11" i="14" s="1"/>
  <c r="DU11" i="14"/>
  <c r="DV11" i="14" s="1"/>
  <c r="DN11" i="14"/>
  <c r="DO11" i="14" s="1"/>
  <c r="DI11" i="14"/>
  <c r="DJ11" i="14" s="1"/>
  <c r="DD11" i="14"/>
  <c r="DE11" i="14" s="1"/>
  <c r="CW11" i="14"/>
  <c r="CX11" i="14" s="1"/>
  <c r="CR11" i="14"/>
  <c r="CS11" i="14" s="1"/>
  <c r="CM11" i="14"/>
  <c r="CN11" i="14" s="1"/>
  <c r="CF11" i="14"/>
  <c r="CG11" i="14" s="1"/>
  <c r="CA11" i="14"/>
  <c r="CB11" i="14" s="1"/>
  <c r="BV11" i="14"/>
  <c r="BW11" i="14" s="1"/>
  <c r="BO11" i="14"/>
  <c r="BP11" i="14" s="1"/>
  <c r="BJ11" i="14"/>
  <c r="BK11" i="14" s="1"/>
  <c r="BE11" i="14"/>
  <c r="BF11" i="14" s="1"/>
  <c r="AX11" i="14"/>
  <c r="AY11" i="14" s="1"/>
  <c r="AS11" i="14"/>
  <c r="AT11" i="14" s="1"/>
  <c r="AN11" i="14"/>
  <c r="AO11" i="14" s="1"/>
  <c r="AG11" i="14"/>
  <c r="AH11" i="14" s="1"/>
  <c r="AB11" i="14"/>
  <c r="AC11" i="14" s="1"/>
  <c r="W11" i="14"/>
  <c r="X11" i="14" s="1"/>
  <c r="P11" i="14"/>
  <c r="Q11" i="14" s="1"/>
  <c r="K11" i="14"/>
  <c r="L11" i="14" s="1"/>
  <c r="F11" i="14"/>
  <c r="G11" i="14" s="1"/>
  <c r="TW10" i="14"/>
  <c r="TX10" i="14" s="1"/>
  <c r="TR10" i="14"/>
  <c r="TS10" i="14" s="1"/>
  <c r="TM10" i="14"/>
  <c r="TN10" i="14" s="1"/>
  <c r="TF10" i="14"/>
  <c r="TG10" i="14" s="1"/>
  <c r="TA10" i="14"/>
  <c r="TB10" i="14" s="1"/>
  <c r="SV10" i="14"/>
  <c r="SW10" i="14" s="1"/>
  <c r="SO10" i="14"/>
  <c r="SP10" i="14" s="1"/>
  <c r="SJ10" i="14"/>
  <c r="SK10" i="14" s="1"/>
  <c r="SE10" i="14"/>
  <c r="SF10" i="14" s="1"/>
  <c r="RX10" i="14"/>
  <c r="RY10" i="14" s="1"/>
  <c r="RS10" i="14"/>
  <c r="RT10" i="14" s="1"/>
  <c r="RN10" i="14"/>
  <c r="RO10" i="14" s="1"/>
  <c r="RG10" i="14"/>
  <c r="RH10" i="14" s="1"/>
  <c r="RB10" i="14"/>
  <c r="RC10" i="14" s="1"/>
  <c r="QW10" i="14"/>
  <c r="QX10" i="14" s="1"/>
  <c r="QP10" i="14"/>
  <c r="QQ10" i="14" s="1"/>
  <c r="QK10" i="14"/>
  <c r="QL10" i="14" s="1"/>
  <c r="QF10" i="14"/>
  <c r="QG10" i="14" s="1"/>
  <c r="PY10" i="14"/>
  <c r="PZ10" i="14" s="1"/>
  <c r="PT10" i="14"/>
  <c r="PU10" i="14" s="1"/>
  <c r="PO10" i="14"/>
  <c r="PP10" i="14" s="1"/>
  <c r="PH10" i="14"/>
  <c r="PI10" i="14" s="1"/>
  <c r="PC10" i="14"/>
  <c r="PD10" i="14" s="1"/>
  <c r="OX10" i="14"/>
  <c r="OY10" i="14" s="1"/>
  <c r="OQ10" i="14"/>
  <c r="OR10" i="14" s="1"/>
  <c r="OL10" i="14"/>
  <c r="OM10" i="14" s="1"/>
  <c r="OG10" i="14"/>
  <c r="OH10" i="14" s="1"/>
  <c r="NZ10" i="14"/>
  <c r="OA10" i="14" s="1"/>
  <c r="NU10" i="14"/>
  <c r="NV10" i="14" s="1"/>
  <c r="NP10" i="14"/>
  <c r="NQ10" i="14" s="1"/>
  <c r="NI10" i="14"/>
  <c r="NJ10" i="14" s="1"/>
  <c r="ND10" i="14"/>
  <c r="NE10" i="14" s="1"/>
  <c r="MY10" i="14"/>
  <c r="MZ10" i="14" s="1"/>
  <c r="MR10" i="14"/>
  <c r="MS10" i="14" s="1"/>
  <c r="MM10" i="14"/>
  <c r="MN10" i="14" s="1"/>
  <c r="MH10" i="14"/>
  <c r="MI10" i="14" s="1"/>
  <c r="MA10" i="14"/>
  <c r="MB10" i="14" s="1"/>
  <c r="LV10" i="14"/>
  <c r="LW10" i="14" s="1"/>
  <c r="LQ10" i="14"/>
  <c r="LR10" i="14" s="1"/>
  <c r="LJ10" i="14"/>
  <c r="LK10" i="14" s="1"/>
  <c r="LE10" i="14"/>
  <c r="LF10" i="14" s="1"/>
  <c r="KZ10" i="14"/>
  <c r="LA10" i="14" s="1"/>
  <c r="KS10" i="14"/>
  <c r="KT10" i="14" s="1"/>
  <c r="KN10" i="14"/>
  <c r="KO10" i="14" s="1"/>
  <c r="KI10" i="14"/>
  <c r="KJ10" i="14" s="1"/>
  <c r="KB10" i="14"/>
  <c r="KC10" i="14" s="1"/>
  <c r="JW10" i="14"/>
  <c r="JX10" i="14" s="1"/>
  <c r="JR10" i="14"/>
  <c r="JS10" i="14" s="1"/>
  <c r="JK10" i="14"/>
  <c r="JL10" i="14" s="1"/>
  <c r="JF10" i="14"/>
  <c r="JG10" i="14" s="1"/>
  <c r="JA10" i="14"/>
  <c r="JB10" i="14" s="1"/>
  <c r="IT10" i="14"/>
  <c r="IU10" i="14" s="1"/>
  <c r="IO10" i="14"/>
  <c r="IP10" i="14" s="1"/>
  <c r="IJ10" i="14"/>
  <c r="IK10" i="14" s="1"/>
  <c r="IC10" i="14"/>
  <c r="ID10" i="14" s="1"/>
  <c r="HX10" i="14"/>
  <c r="HY10" i="14" s="1"/>
  <c r="HS10" i="14"/>
  <c r="HT10" i="14" s="1"/>
  <c r="HL10" i="14"/>
  <c r="HM10" i="14" s="1"/>
  <c r="HG10" i="14"/>
  <c r="HH10" i="14" s="1"/>
  <c r="HB10" i="14"/>
  <c r="HC10" i="14" s="1"/>
  <c r="GU10" i="14"/>
  <c r="GV10" i="14" s="1"/>
  <c r="GP10" i="14"/>
  <c r="GQ10" i="14" s="1"/>
  <c r="GK10" i="14"/>
  <c r="GL10" i="14" s="1"/>
  <c r="GD10" i="14"/>
  <c r="GE10" i="14" s="1"/>
  <c r="FY10" i="14"/>
  <c r="FZ10" i="14" s="1"/>
  <c r="FT10" i="14"/>
  <c r="FU10" i="14" s="1"/>
  <c r="FM10" i="14"/>
  <c r="FN10" i="14" s="1"/>
  <c r="FH10" i="14"/>
  <c r="FI10" i="14" s="1"/>
  <c r="FC10" i="14"/>
  <c r="FD10" i="14" s="1"/>
  <c r="EV10" i="14"/>
  <c r="EW10" i="14" s="1"/>
  <c r="EQ10" i="14"/>
  <c r="ER10" i="14" s="1"/>
  <c r="EL10" i="14"/>
  <c r="EM10" i="14" s="1"/>
  <c r="EE10" i="14"/>
  <c r="EF10" i="14" s="1"/>
  <c r="DZ10" i="14"/>
  <c r="EA10" i="14" s="1"/>
  <c r="DU10" i="14"/>
  <c r="DV10" i="14" s="1"/>
  <c r="DN10" i="14"/>
  <c r="DO10" i="14" s="1"/>
  <c r="DI10" i="14"/>
  <c r="DJ10" i="14" s="1"/>
  <c r="DD10" i="14"/>
  <c r="DE10" i="14" s="1"/>
  <c r="CW10" i="14"/>
  <c r="CX10" i="14" s="1"/>
  <c r="CR10" i="14"/>
  <c r="CS10" i="14" s="1"/>
  <c r="CM10" i="14"/>
  <c r="CN10" i="14" s="1"/>
  <c r="CF10" i="14"/>
  <c r="CG10" i="14" s="1"/>
  <c r="CA10" i="14"/>
  <c r="CB10" i="14" s="1"/>
  <c r="BV10" i="14"/>
  <c r="BW10" i="14" s="1"/>
  <c r="BO10" i="14"/>
  <c r="BP10" i="14" s="1"/>
  <c r="BJ10" i="14"/>
  <c r="BK10" i="14" s="1"/>
  <c r="BE10" i="14"/>
  <c r="BF10" i="14" s="1"/>
  <c r="AX10" i="14"/>
  <c r="AY10" i="14" s="1"/>
  <c r="AS10" i="14"/>
  <c r="AT10" i="14" s="1"/>
  <c r="AN10" i="14"/>
  <c r="AO10" i="14" s="1"/>
  <c r="AG10" i="14"/>
  <c r="AH10" i="14" s="1"/>
  <c r="AB10" i="14"/>
  <c r="AC10" i="14" s="1"/>
  <c r="W10" i="14"/>
  <c r="X10" i="14" s="1"/>
  <c r="P10" i="14"/>
  <c r="Q10" i="14" s="1"/>
  <c r="K10" i="14"/>
  <c r="L10" i="14" s="1"/>
  <c r="F10" i="14"/>
  <c r="G10" i="14" s="1"/>
  <c r="TW9" i="14"/>
  <c r="TX9" i="14" s="1"/>
  <c r="TR9" i="14"/>
  <c r="TS9" i="14" s="1"/>
  <c r="TM9" i="14"/>
  <c r="TN9" i="14" s="1"/>
  <c r="TF9" i="14"/>
  <c r="TG9" i="14" s="1"/>
  <c r="TA9" i="14"/>
  <c r="TB9" i="14" s="1"/>
  <c r="SV9" i="14"/>
  <c r="SW9" i="14" s="1"/>
  <c r="SO9" i="14"/>
  <c r="SP9" i="14" s="1"/>
  <c r="SJ9" i="14"/>
  <c r="SK9" i="14" s="1"/>
  <c r="SE9" i="14"/>
  <c r="SF9" i="14" s="1"/>
  <c r="RX9" i="14"/>
  <c r="RY9" i="14" s="1"/>
  <c r="RS9" i="14"/>
  <c r="RT9" i="14" s="1"/>
  <c r="RN9" i="14"/>
  <c r="RO9" i="14" s="1"/>
  <c r="RG9" i="14"/>
  <c r="RH9" i="14" s="1"/>
  <c r="RB9" i="14"/>
  <c r="RC9" i="14" s="1"/>
  <c r="QW9" i="14"/>
  <c r="QX9" i="14" s="1"/>
  <c r="QP9" i="14"/>
  <c r="QQ9" i="14" s="1"/>
  <c r="QK9" i="14"/>
  <c r="QL9" i="14" s="1"/>
  <c r="QF9" i="14"/>
  <c r="QG9" i="14" s="1"/>
  <c r="PY9" i="14"/>
  <c r="PZ9" i="14" s="1"/>
  <c r="PT9" i="14"/>
  <c r="PU9" i="14" s="1"/>
  <c r="PO9" i="14"/>
  <c r="PP9" i="14" s="1"/>
  <c r="PH9" i="14"/>
  <c r="PI9" i="14" s="1"/>
  <c r="PC9" i="14"/>
  <c r="PD9" i="14" s="1"/>
  <c r="OX9" i="14"/>
  <c r="OY9" i="14" s="1"/>
  <c r="OQ9" i="14"/>
  <c r="OR9" i="14" s="1"/>
  <c r="OL9" i="14"/>
  <c r="OM9" i="14" s="1"/>
  <c r="OG9" i="14"/>
  <c r="OH9" i="14" s="1"/>
  <c r="NZ9" i="14"/>
  <c r="OA9" i="14" s="1"/>
  <c r="NU9" i="14"/>
  <c r="NV9" i="14" s="1"/>
  <c r="NP9" i="14"/>
  <c r="NQ9" i="14" s="1"/>
  <c r="NI9" i="14"/>
  <c r="NJ9" i="14" s="1"/>
  <c r="ND9" i="14"/>
  <c r="NE9" i="14" s="1"/>
  <c r="MY9" i="14"/>
  <c r="MZ9" i="14" s="1"/>
  <c r="MR9" i="14"/>
  <c r="MS9" i="14" s="1"/>
  <c r="MM9" i="14"/>
  <c r="MN9" i="14" s="1"/>
  <c r="MH9" i="14"/>
  <c r="MI9" i="14" s="1"/>
  <c r="MA9" i="14"/>
  <c r="MB9" i="14" s="1"/>
  <c r="LV9" i="14"/>
  <c r="LW9" i="14" s="1"/>
  <c r="LQ9" i="14"/>
  <c r="LR9" i="14" s="1"/>
  <c r="LJ9" i="14"/>
  <c r="LK9" i="14" s="1"/>
  <c r="LE9" i="14"/>
  <c r="LF9" i="14" s="1"/>
  <c r="KZ9" i="14"/>
  <c r="LA9" i="14" s="1"/>
  <c r="KS9" i="14"/>
  <c r="KT9" i="14" s="1"/>
  <c r="KN9" i="14"/>
  <c r="KO9" i="14" s="1"/>
  <c r="KI9" i="14"/>
  <c r="KJ9" i="14" s="1"/>
  <c r="KB9" i="14"/>
  <c r="KC9" i="14" s="1"/>
  <c r="JW9" i="14"/>
  <c r="JX9" i="14" s="1"/>
  <c r="JR9" i="14"/>
  <c r="JS9" i="14" s="1"/>
  <c r="JK9" i="14"/>
  <c r="JL9" i="14" s="1"/>
  <c r="JF9" i="14"/>
  <c r="JG9" i="14" s="1"/>
  <c r="JA9" i="14"/>
  <c r="JB9" i="14" s="1"/>
  <c r="IT9" i="14"/>
  <c r="IU9" i="14" s="1"/>
  <c r="IO9" i="14"/>
  <c r="IP9" i="14" s="1"/>
  <c r="IJ9" i="14"/>
  <c r="IK9" i="14" s="1"/>
  <c r="IC9" i="14"/>
  <c r="ID9" i="14" s="1"/>
  <c r="HX9" i="14"/>
  <c r="HY9" i="14" s="1"/>
  <c r="HS9" i="14"/>
  <c r="HT9" i="14" s="1"/>
  <c r="HL9" i="14"/>
  <c r="HM9" i="14" s="1"/>
  <c r="HG9" i="14"/>
  <c r="HH9" i="14" s="1"/>
  <c r="HB9" i="14"/>
  <c r="HC9" i="14" s="1"/>
  <c r="GU9" i="14"/>
  <c r="GV9" i="14" s="1"/>
  <c r="GP9" i="14"/>
  <c r="GQ9" i="14" s="1"/>
  <c r="GK9" i="14"/>
  <c r="GL9" i="14" s="1"/>
  <c r="GD9" i="14"/>
  <c r="GE9" i="14" s="1"/>
  <c r="FY9" i="14"/>
  <c r="FZ9" i="14" s="1"/>
  <c r="FT9" i="14"/>
  <c r="FU9" i="14" s="1"/>
  <c r="FM9" i="14"/>
  <c r="FN9" i="14" s="1"/>
  <c r="FH9" i="14"/>
  <c r="FI9" i="14" s="1"/>
  <c r="FC9" i="14"/>
  <c r="FD9" i="14" s="1"/>
  <c r="EV9" i="14"/>
  <c r="EW9" i="14" s="1"/>
  <c r="EQ9" i="14"/>
  <c r="ER9" i="14" s="1"/>
  <c r="EL9" i="14"/>
  <c r="EM9" i="14" s="1"/>
  <c r="EE9" i="14"/>
  <c r="EF9" i="14" s="1"/>
  <c r="DZ9" i="14"/>
  <c r="EA9" i="14" s="1"/>
  <c r="DU9" i="14"/>
  <c r="DV9" i="14" s="1"/>
  <c r="DN9" i="14"/>
  <c r="DO9" i="14" s="1"/>
  <c r="DI9" i="14"/>
  <c r="DJ9" i="14" s="1"/>
  <c r="DD9" i="14"/>
  <c r="DE9" i="14" s="1"/>
  <c r="CW9" i="14"/>
  <c r="CX9" i="14" s="1"/>
  <c r="CR9" i="14"/>
  <c r="CS9" i="14" s="1"/>
  <c r="CM9" i="14"/>
  <c r="CN9" i="14" s="1"/>
  <c r="CF9" i="14"/>
  <c r="CG9" i="14" s="1"/>
  <c r="CA9" i="14"/>
  <c r="CB9" i="14" s="1"/>
  <c r="BV9" i="14"/>
  <c r="BW9" i="14" s="1"/>
  <c r="BO9" i="14"/>
  <c r="BP9" i="14" s="1"/>
  <c r="BJ9" i="14"/>
  <c r="BK9" i="14" s="1"/>
  <c r="BE9" i="14"/>
  <c r="BF9" i="14" s="1"/>
  <c r="AX9" i="14"/>
  <c r="AY9" i="14" s="1"/>
  <c r="AS9" i="14"/>
  <c r="AT9" i="14" s="1"/>
  <c r="AN9" i="14"/>
  <c r="AO9" i="14" s="1"/>
  <c r="AG9" i="14"/>
  <c r="AH9" i="14" s="1"/>
  <c r="AB9" i="14"/>
  <c r="AC9" i="14" s="1"/>
  <c r="W9" i="14"/>
  <c r="X9" i="14" s="1"/>
  <c r="P9" i="14"/>
  <c r="Q9" i="14" s="1"/>
  <c r="K9" i="14"/>
  <c r="L9" i="14" s="1"/>
  <c r="F9" i="14"/>
  <c r="G9" i="14" s="1"/>
  <c r="TW8" i="14"/>
  <c r="TX8" i="14" s="1"/>
  <c r="TR8" i="14"/>
  <c r="TS8" i="14" s="1"/>
  <c r="TM8" i="14"/>
  <c r="TN8" i="14" s="1"/>
  <c r="TF8" i="14"/>
  <c r="TG8" i="14" s="1"/>
  <c r="TA8" i="14"/>
  <c r="TB8" i="14" s="1"/>
  <c r="SV8" i="14"/>
  <c r="SW8" i="14" s="1"/>
  <c r="SO8" i="14"/>
  <c r="SP8" i="14" s="1"/>
  <c r="SJ8" i="14"/>
  <c r="SK8" i="14" s="1"/>
  <c r="SE8" i="14"/>
  <c r="SF8" i="14" s="1"/>
  <c r="RX8" i="14"/>
  <c r="RY8" i="14" s="1"/>
  <c r="RS8" i="14"/>
  <c r="RT8" i="14" s="1"/>
  <c r="RN8" i="14"/>
  <c r="RO8" i="14" s="1"/>
  <c r="RG8" i="14"/>
  <c r="RH8" i="14" s="1"/>
  <c r="RB8" i="14"/>
  <c r="RC8" i="14" s="1"/>
  <c r="QW8" i="14"/>
  <c r="QX8" i="14" s="1"/>
  <c r="QP8" i="14"/>
  <c r="QQ8" i="14" s="1"/>
  <c r="QK8" i="14"/>
  <c r="QL8" i="14" s="1"/>
  <c r="QF8" i="14"/>
  <c r="QG8" i="14" s="1"/>
  <c r="PY8" i="14"/>
  <c r="PZ8" i="14" s="1"/>
  <c r="PT8" i="14"/>
  <c r="PU8" i="14" s="1"/>
  <c r="PO8" i="14"/>
  <c r="PP8" i="14" s="1"/>
  <c r="PH8" i="14"/>
  <c r="PI8" i="14" s="1"/>
  <c r="PC8" i="14"/>
  <c r="PD8" i="14" s="1"/>
  <c r="OX8" i="14"/>
  <c r="OY8" i="14" s="1"/>
  <c r="OQ8" i="14"/>
  <c r="OR8" i="14" s="1"/>
  <c r="OL8" i="14"/>
  <c r="OM8" i="14" s="1"/>
  <c r="OG8" i="14"/>
  <c r="OH8" i="14" s="1"/>
  <c r="NZ8" i="14"/>
  <c r="OA8" i="14" s="1"/>
  <c r="NU8" i="14"/>
  <c r="NV8" i="14" s="1"/>
  <c r="NP8" i="14"/>
  <c r="NQ8" i="14" s="1"/>
  <c r="NI8" i="14"/>
  <c r="NJ8" i="14" s="1"/>
  <c r="ND8" i="14"/>
  <c r="NE8" i="14" s="1"/>
  <c r="MY8" i="14"/>
  <c r="MZ8" i="14" s="1"/>
  <c r="MR8" i="14"/>
  <c r="MS8" i="14" s="1"/>
  <c r="MM8" i="14"/>
  <c r="MN8" i="14" s="1"/>
  <c r="MH8" i="14"/>
  <c r="MI8" i="14" s="1"/>
  <c r="MA8" i="14"/>
  <c r="MB8" i="14" s="1"/>
  <c r="LV8" i="14"/>
  <c r="LW8" i="14" s="1"/>
  <c r="LQ8" i="14"/>
  <c r="LR8" i="14" s="1"/>
  <c r="LJ8" i="14"/>
  <c r="LK8" i="14" s="1"/>
  <c r="LE8" i="14"/>
  <c r="LF8" i="14" s="1"/>
  <c r="KZ8" i="14"/>
  <c r="LA8" i="14" s="1"/>
  <c r="KS8" i="14"/>
  <c r="KT8" i="14" s="1"/>
  <c r="KN8" i="14"/>
  <c r="KO8" i="14" s="1"/>
  <c r="KI8" i="14"/>
  <c r="KJ8" i="14" s="1"/>
  <c r="KB8" i="14"/>
  <c r="KC8" i="14" s="1"/>
  <c r="JW8" i="14"/>
  <c r="JX8" i="14" s="1"/>
  <c r="JR8" i="14"/>
  <c r="JS8" i="14" s="1"/>
  <c r="JK8" i="14"/>
  <c r="JL8" i="14" s="1"/>
  <c r="JF8" i="14"/>
  <c r="JG8" i="14" s="1"/>
  <c r="JA8" i="14"/>
  <c r="JB8" i="14" s="1"/>
  <c r="IT8" i="14"/>
  <c r="IU8" i="14" s="1"/>
  <c r="IO8" i="14"/>
  <c r="IP8" i="14" s="1"/>
  <c r="IJ8" i="14"/>
  <c r="IK8" i="14" s="1"/>
  <c r="IC8" i="14"/>
  <c r="ID8" i="14" s="1"/>
  <c r="HX8" i="14"/>
  <c r="HY8" i="14" s="1"/>
  <c r="HS8" i="14"/>
  <c r="HT8" i="14" s="1"/>
  <c r="HL8" i="14"/>
  <c r="HM8" i="14" s="1"/>
  <c r="HG8" i="14"/>
  <c r="HH8" i="14" s="1"/>
  <c r="HB8" i="14"/>
  <c r="HC8" i="14" s="1"/>
  <c r="GU8" i="14"/>
  <c r="GV8" i="14" s="1"/>
  <c r="GP8" i="14"/>
  <c r="GQ8" i="14" s="1"/>
  <c r="GK8" i="14"/>
  <c r="GL8" i="14" s="1"/>
  <c r="GD8" i="14"/>
  <c r="GE8" i="14" s="1"/>
  <c r="FY8" i="14"/>
  <c r="FZ8" i="14" s="1"/>
  <c r="FT8" i="14"/>
  <c r="FU8" i="14" s="1"/>
  <c r="FM8" i="14"/>
  <c r="FN8" i="14" s="1"/>
  <c r="FH8" i="14"/>
  <c r="FI8" i="14" s="1"/>
  <c r="FC8" i="14"/>
  <c r="FD8" i="14" s="1"/>
  <c r="EV8" i="14"/>
  <c r="EW8" i="14" s="1"/>
  <c r="EQ8" i="14"/>
  <c r="EQ7" i="14" s="1"/>
  <c r="ER7" i="14" s="1"/>
  <c r="EL8" i="14"/>
  <c r="EM8" i="14" s="1"/>
  <c r="EE8" i="14"/>
  <c r="EF8" i="14" s="1"/>
  <c r="DZ8" i="14"/>
  <c r="EA8" i="14" s="1"/>
  <c r="DU8" i="14"/>
  <c r="DN8" i="14"/>
  <c r="DO8" i="14" s="1"/>
  <c r="DI8" i="14"/>
  <c r="DI7" i="14" s="1"/>
  <c r="DJ7" i="14" s="1"/>
  <c r="DD8" i="14"/>
  <c r="DE8" i="14" s="1"/>
  <c r="CW8" i="14"/>
  <c r="CX8" i="14" s="1"/>
  <c r="CR8" i="14"/>
  <c r="CS8" i="14" s="1"/>
  <c r="CM8" i="14"/>
  <c r="CN8" i="14" s="1"/>
  <c r="CF8" i="14"/>
  <c r="CG8" i="14" s="1"/>
  <c r="CA8" i="14"/>
  <c r="CA7" i="14" s="1"/>
  <c r="CB7" i="14" s="1"/>
  <c r="BV8" i="14"/>
  <c r="BW8" i="14" s="1"/>
  <c r="BO8" i="14"/>
  <c r="BP8" i="14" s="1"/>
  <c r="BJ8" i="14"/>
  <c r="BK8" i="14" s="1"/>
  <c r="BE8" i="14"/>
  <c r="AX8" i="14"/>
  <c r="AY8" i="14" s="1"/>
  <c r="AS8" i="14"/>
  <c r="AS7" i="14" s="1"/>
  <c r="AT7" i="14" s="1"/>
  <c r="AN8" i="14"/>
  <c r="AO8" i="14" s="1"/>
  <c r="AG8" i="14"/>
  <c r="AH8" i="14" s="1"/>
  <c r="AB8" i="14"/>
  <c r="AC8" i="14" s="1"/>
  <c r="W8" i="14"/>
  <c r="X8" i="14" s="1"/>
  <c r="P8" i="14"/>
  <c r="Q8" i="14" s="1"/>
  <c r="K8" i="14"/>
  <c r="K7" i="14" s="1"/>
  <c r="L7" i="14" s="1"/>
  <c r="F8" i="14"/>
  <c r="G8" i="14" s="1"/>
  <c r="SV7" i="14"/>
  <c r="SW7" i="14" s="1"/>
  <c r="RB7" i="14"/>
  <c r="RC7" i="14" s="1"/>
  <c r="NU7" i="14"/>
  <c r="NV7" i="14" s="1"/>
  <c r="LE7" i="14"/>
  <c r="LF7" i="14" s="1"/>
  <c r="TX6" i="14"/>
  <c r="TW6" i="14"/>
  <c r="TR6" i="14"/>
  <c r="TS6" i="14" s="1"/>
  <c r="TM6" i="14"/>
  <c r="TN6" i="14" s="1"/>
  <c r="TF6" i="14"/>
  <c r="TG6" i="14" s="1"/>
  <c r="TA6" i="14"/>
  <c r="TB6" i="14" s="1"/>
  <c r="SV6" i="14"/>
  <c r="SV4" i="14" s="1"/>
  <c r="SW4" i="14" s="1"/>
  <c r="SP6" i="14"/>
  <c r="SO6" i="14"/>
  <c r="SJ6" i="14"/>
  <c r="SK6" i="14" s="1"/>
  <c r="SF6" i="14"/>
  <c r="SE6" i="14"/>
  <c r="RX6" i="14"/>
  <c r="RY6" i="14" s="1"/>
  <c r="RS6" i="14"/>
  <c r="RT6" i="14" s="1"/>
  <c r="RN6" i="14"/>
  <c r="RG6" i="14"/>
  <c r="RH6" i="14" s="1"/>
  <c r="RB6" i="14"/>
  <c r="RC6" i="14" s="1"/>
  <c r="QW6" i="14"/>
  <c r="QX6" i="14" s="1"/>
  <c r="QP6" i="14"/>
  <c r="QQ6" i="14" s="1"/>
  <c r="QK6" i="14"/>
  <c r="QL6" i="14" s="1"/>
  <c r="QF6" i="14"/>
  <c r="PY6" i="14"/>
  <c r="PZ6" i="14" s="1"/>
  <c r="PT6" i="14"/>
  <c r="PU6" i="14" s="1"/>
  <c r="PO6" i="14"/>
  <c r="PP6" i="14" s="1"/>
  <c r="PH6" i="14"/>
  <c r="PI6" i="14" s="1"/>
  <c r="PC6" i="14"/>
  <c r="PD6" i="14" s="1"/>
  <c r="OX6" i="14"/>
  <c r="OQ6" i="14"/>
  <c r="OR6" i="14" s="1"/>
  <c r="OL6" i="14"/>
  <c r="OM6" i="14" s="1"/>
  <c r="OG6" i="14"/>
  <c r="OH6" i="14" s="1"/>
  <c r="NZ6" i="14"/>
  <c r="OA6" i="14" s="1"/>
  <c r="NU6" i="14"/>
  <c r="NV6" i="14" s="1"/>
  <c r="NP6" i="14"/>
  <c r="NI6" i="14"/>
  <c r="NJ6" i="14" s="1"/>
  <c r="ND6" i="14"/>
  <c r="NE6" i="14" s="1"/>
  <c r="MY6" i="14"/>
  <c r="MR6" i="14"/>
  <c r="MS6" i="14" s="1"/>
  <c r="MM6" i="14"/>
  <c r="MN6" i="14" s="1"/>
  <c r="MH6" i="14"/>
  <c r="MA6" i="14"/>
  <c r="MB6" i="14" s="1"/>
  <c r="LV6" i="14"/>
  <c r="LW6" i="14" s="1"/>
  <c r="LQ6" i="14"/>
  <c r="LR6" i="14" s="1"/>
  <c r="LJ6" i="14"/>
  <c r="LK6" i="14" s="1"/>
  <c r="LE6" i="14"/>
  <c r="LF6" i="14" s="1"/>
  <c r="KZ6" i="14"/>
  <c r="KS6" i="14"/>
  <c r="KT6" i="14" s="1"/>
  <c r="KN6" i="14"/>
  <c r="KO6" i="14" s="1"/>
  <c r="KI6" i="14"/>
  <c r="KJ6" i="14" s="1"/>
  <c r="KB6" i="14"/>
  <c r="KC6" i="14" s="1"/>
  <c r="JW6" i="14"/>
  <c r="JX6" i="14" s="1"/>
  <c r="JR6" i="14"/>
  <c r="JK6" i="14"/>
  <c r="JL6" i="14" s="1"/>
  <c r="JF6" i="14"/>
  <c r="JG6" i="14" s="1"/>
  <c r="JA6" i="14"/>
  <c r="JB6" i="14" s="1"/>
  <c r="IT6" i="14"/>
  <c r="IU6" i="14" s="1"/>
  <c r="IO6" i="14"/>
  <c r="IP6" i="14" s="1"/>
  <c r="IJ6" i="14"/>
  <c r="IC6" i="14"/>
  <c r="ID6" i="14" s="1"/>
  <c r="HX6" i="14"/>
  <c r="HY6" i="14" s="1"/>
  <c r="HS6" i="14"/>
  <c r="HT6" i="14" s="1"/>
  <c r="HL6" i="14"/>
  <c r="HM6" i="14" s="1"/>
  <c r="HG6" i="14"/>
  <c r="HH6" i="14" s="1"/>
  <c r="HB6" i="14"/>
  <c r="GU6" i="14"/>
  <c r="GV6" i="14" s="1"/>
  <c r="GP6" i="14"/>
  <c r="GQ6" i="14" s="1"/>
  <c r="GK6" i="14"/>
  <c r="GL6" i="14" s="1"/>
  <c r="GD6" i="14"/>
  <c r="GE6" i="14" s="1"/>
  <c r="FY6" i="14"/>
  <c r="FZ6" i="14" s="1"/>
  <c r="FT6" i="14"/>
  <c r="FM6" i="14"/>
  <c r="FN6" i="14" s="1"/>
  <c r="FH6" i="14"/>
  <c r="FI6" i="14" s="1"/>
  <c r="FC6" i="14"/>
  <c r="FD6" i="14" s="1"/>
  <c r="EV6" i="14"/>
  <c r="EW6" i="14" s="1"/>
  <c r="ER6" i="14"/>
  <c r="EQ6" i="14"/>
  <c r="EL6" i="14"/>
  <c r="EE6" i="14"/>
  <c r="EF6" i="14" s="1"/>
  <c r="DZ6" i="14"/>
  <c r="EA6" i="14" s="1"/>
  <c r="DU6" i="14"/>
  <c r="DV6" i="14" s="1"/>
  <c r="DN6" i="14"/>
  <c r="DO6" i="14" s="1"/>
  <c r="DJ6" i="14"/>
  <c r="DI6" i="14"/>
  <c r="DD6" i="14"/>
  <c r="CW6" i="14"/>
  <c r="CX6" i="14" s="1"/>
  <c r="CR6" i="14"/>
  <c r="CS6" i="14" s="1"/>
  <c r="CM6" i="14"/>
  <c r="CN6" i="14" s="1"/>
  <c r="CF6" i="14"/>
  <c r="CG6" i="14" s="1"/>
  <c r="CA6" i="14"/>
  <c r="CB6" i="14" s="1"/>
  <c r="BV6" i="14"/>
  <c r="BO6" i="14"/>
  <c r="BP6" i="14" s="1"/>
  <c r="BJ6" i="14"/>
  <c r="BK6" i="14" s="1"/>
  <c r="BE6" i="14"/>
  <c r="BF6" i="14" s="1"/>
  <c r="AX6" i="14"/>
  <c r="AY6" i="14" s="1"/>
  <c r="AS6" i="14"/>
  <c r="AT6" i="14" s="1"/>
  <c r="AN6" i="14"/>
  <c r="AG6" i="14"/>
  <c r="AH6" i="14" s="1"/>
  <c r="AB6" i="14"/>
  <c r="AC6" i="14" s="1"/>
  <c r="W6" i="14"/>
  <c r="P6" i="14"/>
  <c r="Q6" i="14" s="1"/>
  <c r="K6" i="14"/>
  <c r="L6" i="14" s="1"/>
  <c r="F6" i="14"/>
  <c r="TW5" i="14"/>
  <c r="TX5" i="14" s="1"/>
  <c r="TR5" i="14"/>
  <c r="TS5" i="14" s="1"/>
  <c r="TM5" i="14"/>
  <c r="TF5" i="14"/>
  <c r="TG5" i="14" s="1"/>
  <c r="TA5" i="14"/>
  <c r="TB5" i="14" s="1"/>
  <c r="SV5" i="14"/>
  <c r="SO5" i="14"/>
  <c r="SP5" i="14" s="1"/>
  <c r="SJ5" i="14"/>
  <c r="SJ4" i="14" s="1"/>
  <c r="SK4" i="14" s="1"/>
  <c r="SE5" i="14"/>
  <c r="RX5" i="14"/>
  <c r="RY5" i="14" s="1"/>
  <c r="RS5" i="14"/>
  <c r="RN5" i="14"/>
  <c r="RG5" i="14"/>
  <c r="RH5" i="14" s="1"/>
  <c r="RB5" i="14"/>
  <c r="RC5" i="14" s="1"/>
  <c r="QW5" i="14"/>
  <c r="QW4" i="14" s="1"/>
  <c r="QX4" i="14" s="1"/>
  <c r="QP5" i="14"/>
  <c r="QQ5" i="14" s="1"/>
  <c r="QK5" i="14"/>
  <c r="QL5" i="14" s="1"/>
  <c r="QF5" i="14"/>
  <c r="PY5" i="14"/>
  <c r="PZ5" i="14" s="1"/>
  <c r="PT5" i="14"/>
  <c r="PT4" i="14" s="1"/>
  <c r="PU4" i="14" s="1"/>
  <c r="PO5" i="14"/>
  <c r="PH5" i="14"/>
  <c r="PI5" i="14" s="1"/>
  <c r="PC5" i="14"/>
  <c r="PD5" i="14" s="1"/>
  <c r="OX5" i="14"/>
  <c r="OQ5" i="14"/>
  <c r="OR5" i="14" s="1"/>
  <c r="OL5" i="14"/>
  <c r="OM5" i="14" s="1"/>
  <c r="OG5" i="14"/>
  <c r="NZ5" i="14"/>
  <c r="OA5" i="14" s="1"/>
  <c r="NU5" i="14"/>
  <c r="NP5" i="14"/>
  <c r="NP4" i="14" s="1"/>
  <c r="NQ4" i="14" s="1"/>
  <c r="NI5" i="14"/>
  <c r="NJ5" i="14" s="1"/>
  <c r="ND5" i="14"/>
  <c r="NE5" i="14" s="1"/>
  <c r="MY5" i="14"/>
  <c r="MR5" i="14"/>
  <c r="MS5" i="14" s="1"/>
  <c r="MM5" i="14"/>
  <c r="MH5" i="14"/>
  <c r="MA5" i="14"/>
  <c r="MB5" i="14" s="1"/>
  <c r="LV5" i="14"/>
  <c r="LQ5" i="14"/>
  <c r="LJ5" i="14"/>
  <c r="LK5" i="14" s="1"/>
  <c r="LE5" i="14"/>
  <c r="LF5" i="14" s="1"/>
  <c r="KZ5" i="14"/>
  <c r="KS5" i="14"/>
  <c r="KT5" i="14" s="1"/>
  <c r="KN5" i="14"/>
  <c r="KI5" i="14"/>
  <c r="KB5" i="14"/>
  <c r="KC5" i="14" s="1"/>
  <c r="JW5" i="14"/>
  <c r="JX5" i="14" s="1"/>
  <c r="JR5" i="14"/>
  <c r="JK5" i="14"/>
  <c r="JL5" i="14" s="1"/>
  <c r="JF5" i="14"/>
  <c r="JG5" i="14" s="1"/>
  <c r="JA5" i="14"/>
  <c r="IT5" i="14"/>
  <c r="IU5" i="14" s="1"/>
  <c r="IO5" i="14"/>
  <c r="IP5" i="14" s="1"/>
  <c r="IJ5" i="14"/>
  <c r="IJ4" i="14" s="1"/>
  <c r="IK4" i="14" s="1"/>
  <c r="IC5" i="14"/>
  <c r="ID5" i="14" s="1"/>
  <c r="HX5" i="14"/>
  <c r="HY5" i="14" s="1"/>
  <c r="HS5" i="14"/>
  <c r="HL5" i="14"/>
  <c r="HM5" i="14" s="1"/>
  <c r="HG5" i="14"/>
  <c r="HH5" i="14" s="1"/>
  <c r="HB5" i="14"/>
  <c r="GU5" i="14"/>
  <c r="GP5" i="14"/>
  <c r="GQ5" i="14" s="1"/>
  <c r="GK5" i="14"/>
  <c r="GK4" i="14" s="1"/>
  <c r="GL4" i="14" s="1"/>
  <c r="GD5" i="14"/>
  <c r="FY5" i="14"/>
  <c r="FZ5" i="14" s="1"/>
  <c r="FT5" i="14"/>
  <c r="FM5" i="14"/>
  <c r="FN5" i="14" s="1"/>
  <c r="FH5" i="14"/>
  <c r="FI5" i="14" s="1"/>
  <c r="FC5" i="14"/>
  <c r="EV5" i="14"/>
  <c r="EW5" i="14" s="1"/>
  <c r="EQ5" i="14"/>
  <c r="ER5" i="14" s="1"/>
  <c r="EL5" i="14"/>
  <c r="EE5" i="14"/>
  <c r="DZ5" i="14"/>
  <c r="EA5" i="14" s="1"/>
  <c r="DU5" i="14"/>
  <c r="DN5" i="14"/>
  <c r="DI5" i="14"/>
  <c r="DJ5" i="14" s="1"/>
  <c r="DD5" i="14"/>
  <c r="DD4" i="14" s="1"/>
  <c r="DE4" i="14" s="1"/>
  <c r="CW5" i="14"/>
  <c r="CX5" i="14" s="1"/>
  <c r="CR5" i="14"/>
  <c r="CS5" i="14" s="1"/>
  <c r="CM5" i="14"/>
  <c r="CF5" i="14"/>
  <c r="CG5" i="14" s="1"/>
  <c r="CA5" i="14"/>
  <c r="CB5" i="14" s="1"/>
  <c r="BV5" i="14"/>
  <c r="BO5" i="14"/>
  <c r="BJ5" i="14"/>
  <c r="BK5" i="14" s="1"/>
  <c r="BE5" i="14"/>
  <c r="BE4" i="14" s="1"/>
  <c r="BF4" i="14" s="1"/>
  <c r="AX5" i="14"/>
  <c r="AY5" i="14" s="1"/>
  <c r="AS5" i="14"/>
  <c r="AN5" i="14"/>
  <c r="AO5" i="14" s="1"/>
  <c r="AG5" i="14"/>
  <c r="AH5" i="14" s="1"/>
  <c r="AB5" i="14"/>
  <c r="AC5" i="14" s="1"/>
  <c r="W5" i="14"/>
  <c r="X5" i="14" s="1"/>
  <c r="P5" i="14"/>
  <c r="Q5" i="14" s="1"/>
  <c r="K5" i="14"/>
  <c r="L5" i="14" s="1"/>
  <c r="F5" i="14"/>
  <c r="G5" i="14" s="1"/>
  <c r="TW4" i="14"/>
  <c r="TX4" i="14" s="1"/>
  <c r="TR4" i="14"/>
  <c r="TS4" i="14" s="1"/>
  <c r="TA4" i="14"/>
  <c r="TB4" i="14" s="1"/>
  <c r="SO4" i="14"/>
  <c r="SP4" i="14" s="1"/>
  <c r="SE4" i="14"/>
  <c r="SF4" i="14" s="1"/>
  <c r="RX4" i="14"/>
  <c r="RY4" i="14" s="1"/>
  <c r="FY4" i="14"/>
  <c r="FZ4" i="14" s="1"/>
  <c r="CM4" i="14"/>
  <c r="CN4" i="14" s="1"/>
  <c r="AF3" i="14"/>
  <c r="AW3" i="14" s="1"/>
  <c r="BN3" i="14" s="1"/>
  <c r="CE3" i="14" s="1"/>
  <c r="CV3" i="14" s="1"/>
  <c r="DM3" i="14" s="1"/>
  <c r="ED3" i="14" s="1"/>
  <c r="EU3" i="14" s="1"/>
  <c r="FL3" i="14" s="1"/>
  <c r="GC3" i="14" s="1"/>
  <c r="GT3" i="14" s="1"/>
  <c r="HK3" i="14" s="1"/>
  <c r="IB3" i="14" s="1"/>
  <c r="IS3" i="14" s="1"/>
  <c r="JJ3" i="14" s="1"/>
  <c r="KA3" i="14" s="1"/>
  <c r="KR3" i="14" s="1"/>
  <c r="LZ3" i="14" s="1"/>
  <c r="MQ3" i="14" s="1"/>
  <c r="NH3" i="14" s="1"/>
  <c r="NY3" i="14" s="1"/>
  <c r="OP3" i="14" s="1"/>
  <c r="PG3" i="14" s="1"/>
  <c r="PX3" i="14" s="1"/>
  <c r="QO3" i="14" s="1"/>
  <c r="RF3" i="14" s="1"/>
  <c r="RW3" i="14" s="1"/>
  <c r="SN3" i="14" s="1"/>
  <c r="TE3" i="14" s="1"/>
  <c r="TV3" i="14" s="1"/>
  <c r="AE3" i="14"/>
  <c r="AV3" i="14" s="1"/>
  <c r="BM3" i="14" s="1"/>
  <c r="CD3" i="14" s="1"/>
  <c r="CU3" i="14" s="1"/>
  <c r="DL3" i="14" s="1"/>
  <c r="EC3" i="14" s="1"/>
  <c r="ET3" i="14" s="1"/>
  <c r="FK3" i="14" s="1"/>
  <c r="GB3" i="14" s="1"/>
  <c r="GS3" i="14" s="1"/>
  <c r="HJ3" i="14" s="1"/>
  <c r="IA3" i="14" s="1"/>
  <c r="IR3" i="14" s="1"/>
  <c r="JI3" i="14" s="1"/>
  <c r="JZ3" i="14" s="1"/>
  <c r="KQ3" i="14" s="1"/>
  <c r="LH3" i="14" s="1"/>
  <c r="LY3" i="14" s="1"/>
  <c r="MP3" i="14" s="1"/>
  <c r="NG3" i="14" s="1"/>
  <c r="NX3" i="14" s="1"/>
  <c r="OO3" i="14" s="1"/>
  <c r="PF3" i="14" s="1"/>
  <c r="PW3" i="14" s="1"/>
  <c r="QN3" i="14" s="1"/>
  <c r="RE3" i="14" s="1"/>
  <c r="RV3" i="14" s="1"/>
  <c r="SM3" i="14" s="1"/>
  <c r="TD3" i="14" s="1"/>
  <c r="TU3" i="14" s="1"/>
  <c r="AD3" i="14"/>
  <c r="AU3" i="14" s="1"/>
  <c r="BL3" i="14" s="1"/>
  <c r="CC3" i="14" s="1"/>
  <c r="CT3" i="14" s="1"/>
  <c r="DK3" i="14" s="1"/>
  <c r="EB3" i="14" s="1"/>
  <c r="ES3" i="14" s="1"/>
  <c r="FJ3" i="14" s="1"/>
  <c r="GA3" i="14" s="1"/>
  <c r="GR3" i="14" s="1"/>
  <c r="HI3" i="14" s="1"/>
  <c r="HZ3" i="14" s="1"/>
  <c r="IQ3" i="14" s="1"/>
  <c r="JH3" i="14" s="1"/>
  <c r="JY3" i="14" s="1"/>
  <c r="KP3" i="14" s="1"/>
  <c r="LG3" i="14" s="1"/>
  <c r="LX3" i="14" s="1"/>
  <c r="MO3" i="14" s="1"/>
  <c r="NF3" i="14" s="1"/>
  <c r="NW3" i="14" s="1"/>
  <c r="ON3" i="14" s="1"/>
  <c r="PE3" i="14" s="1"/>
  <c r="PV3" i="14" s="1"/>
  <c r="QM3" i="14" s="1"/>
  <c r="RD3" i="14" s="1"/>
  <c r="RU3" i="14" s="1"/>
  <c r="SL3" i="14" s="1"/>
  <c r="TC3" i="14" s="1"/>
  <c r="TT3" i="14" s="1"/>
  <c r="AA3" i="14"/>
  <c r="AR3" i="14" s="1"/>
  <c r="BI3" i="14" s="1"/>
  <c r="BZ3" i="14" s="1"/>
  <c r="CQ3" i="14" s="1"/>
  <c r="DH3" i="14" s="1"/>
  <c r="DY3" i="14" s="1"/>
  <c r="EP3" i="14" s="1"/>
  <c r="FG3" i="14" s="1"/>
  <c r="FX3" i="14" s="1"/>
  <c r="GO3" i="14" s="1"/>
  <c r="HF3" i="14" s="1"/>
  <c r="HW3" i="14" s="1"/>
  <c r="IN3" i="14" s="1"/>
  <c r="JE3" i="14" s="1"/>
  <c r="JV3" i="14" s="1"/>
  <c r="KM3" i="14" s="1"/>
  <c r="LD3" i="14" s="1"/>
  <c r="LU3" i="14" s="1"/>
  <c r="ML3" i="14" s="1"/>
  <c r="NC3" i="14" s="1"/>
  <c r="NT3" i="14" s="1"/>
  <c r="OK3" i="14" s="1"/>
  <c r="PB3" i="14" s="1"/>
  <c r="PS3" i="14" s="1"/>
  <c r="QJ3" i="14" s="1"/>
  <c r="RA3" i="14" s="1"/>
  <c r="RR3" i="14" s="1"/>
  <c r="SI3" i="14" s="1"/>
  <c r="SZ3" i="14" s="1"/>
  <c r="TQ3" i="14" s="1"/>
  <c r="Z3" i="14"/>
  <c r="AQ3" i="14" s="1"/>
  <c r="BH3" i="14" s="1"/>
  <c r="BY3" i="14" s="1"/>
  <c r="CP3" i="14" s="1"/>
  <c r="DG3" i="14" s="1"/>
  <c r="DX3" i="14" s="1"/>
  <c r="EO3" i="14" s="1"/>
  <c r="FF3" i="14" s="1"/>
  <c r="FW3" i="14" s="1"/>
  <c r="GN3" i="14" s="1"/>
  <c r="HE3" i="14" s="1"/>
  <c r="HV3" i="14" s="1"/>
  <c r="IM3" i="14" s="1"/>
  <c r="JD3" i="14" s="1"/>
  <c r="JU3" i="14" s="1"/>
  <c r="KL3" i="14" s="1"/>
  <c r="LC3" i="14" s="1"/>
  <c r="LT3" i="14" s="1"/>
  <c r="MK3" i="14" s="1"/>
  <c r="NB3" i="14" s="1"/>
  <c r="NS3" i="14" s="1"/>
  <c r="OJ3" i="14" s="1"/>
  <c r="PA3" i="14" s="1"/>
  <c r="PR3" i="14" s="1"/>
  <c r="QI3" i="14" s="1"/>
  <c r="QZ3" i="14" s="1"/>
  <c r="RQ3" i="14" s="1"/>
  <c r="SH3" i="14" s="1"/>
  <c r="SY3" i="14" s="1"/>
  <c r="TP3" i="14" s="1"/>
  <c r="Y3" i="14"/>
  <c r="AP3" i="14" s="1"/>
  <c r="BG3" i="14" s="1"/>
  <c r="BX3" i="14" s="1"/>
  <c r="CO3" i="14" s="1"/>
  <c r="DF3" i="14" s="1"/>
  <c r="DW3" i="14" s="1"/>
  <c r="EN3" i="14" s="1"/>
  <c r="FE3" i="14" s="1"/>
  <c r="FV3" i="14" s="1"/>
  <c r="GM3" i="14" s="1"/>
  <c r="HD3" i="14" s="1"/>
  <c r="HU3" i="14" s="1"/>
  <c r="IL3" i="14" s="1"/>
  <c r="JC3" i="14" s="1"/>
  <c r="JT3" i="14" s="1"/>
  <c r="KK3" i="14" s="1"/>
  <c r="LB3" i="14" s="1"/>
  <c r="LS3" i="14" s="1"/>
  <c r="MJ3" i="14" s="1"/>
  <c r="NA3" i="14" s="1"/>
  <c r="NR3" i="14" s="1"/>
  <c r="OI3" i="14" s="1"/>
  <c r="OZ3" i="14" s="1"/>
  <c r="PQ3" i="14" s="1"/>
  <c r="QH3" i="14" s="1"/>
  <c r="QY3" i="14" s="1"/>
  <c r="RP3" i="14" s="1"/>
  <c r="SG3" i="14" s="1"/>
  <c r="SX3" i="14" s="1"/>
  <c r="TO3" i="14" s="1"/>
  <c r="V3" i="14"/>
  <c r="AM3" i="14" s="1"/>
  <c r="BD3" i="14" s="1"/>
  <c r="BU3" i="14" s="1"/>
  <c r="CL3" i="14" s="1"/>
  <c r="DC3" i="14" s="1"/>
  <c r="DT3" i="14" s="1"/>
  <c r="EK3" i="14" s="1"/>
  <c r="FB3" i="14" s="1"/>
  <c r="FS3" i="14" s="1"/>
  <c r="GJ3" i="14" s="1"/>
  <c r="HA3" i="14" s="1"/>
  <c r="HR3" i="14" s="1"/>
  <c r="II3" i="14" s="1"/>
  <c r="IZ3" i="14" s="1"/>
  <c r="JQ3" i="14" s="1"/>
  <c r="KH3" i="14" s="1"/>
  <c r="KY3" i="14" s="1"/>
  <c r="LP3" i="14" s="1"/>
  <c r="MG3" i="14" s="1"/>
  <c r="MX3" i="14" s="1"/>
  <c r="NO3" i="14" s="1"/>
  <c r="OF3" i="14" s="1"/>
  <c r="OW3" i="14" s="1"/>
  <c r="PN3" i="14" s="1"/>
  <c r="QE3" i="14" s="1"/>
  <c r="QV3" i="14" s="1"/>
  <c r="RM3" i="14" s="1"/>
  <c r="SD3" i="14" s="1"/>
  <c r="SU3" i="14" s="1"/>
  <c r="TL3" i="14" s="1"/>
  <c r="U3" i="14"/>
  <c r="AL3" i="14" s="1"/>
  <c r="BC3" i="14" s="1"/>
  <c r="BT3" i="14" s="1"/>
  <c r="CK3" i="14" s="1"/>
  <c r="DB3" i="14" s="1"/>
  <c r="DS3" i="14" s="1"/>
  <c r="EJ3" i="14" s="1"/>
  <c r="FA3" i="14" s="1"/>
  <c r="FR3" i="14" s="1"/>
  <c r="GI3" i="14" s="1"/>
  <c r="GZ3" i="14" s="1"/>
  <c r="HQ3" i="14" s="1"/>
  <c r="IH3" i="14" s="1"/>
  <c r="IY3" i="14" s="1"/>
  <c r="JP3" i="14" s="1"/>
  <c r="KG3" i="14" s="1"/>
  <c r="KX3" i="14" s="1"/>
  <c r="LO3" i="14" s="1"/>
  <c r="MF3" i="14" s="1"/>
  <c r="MW3" i="14" s="1"/>
  <c r="NN3" i="14" s="1"/>
  <c r="OE3" i="14" s="1"/>
  <c r="OV3" i="14" s="1"/>
  <c r="PM3" i="14" s="1"/>
  <c r="QD3" i="14" s="1"/>
  <c r="QU3" i="14" s="1"/>
  <c r="RL3" i="14" s="1"/>
  <c r="SC3" i="14" s="1"/>
  <c r="ST3" i="14" s="1"/>
  <c r="TK3" i="14" s="1"/>
  <c r="T3" i="14"/>
  <c r="AK3" i="14" s="1"/>
  <c r="BB3" i="14" s="1"/>
  <c r="BS3" i="14" s="1"/>
  <c r="CJ3" i="14" s="1"/>
  <c r="DA3" i="14" s="1"/>
  <c r="DR3" i="14" s="1"/>
  <c r="EI3" i="14" s="1"/>
  <c r="EZ3" i="14" s="1"/>
  <c r="FQ3" i="14" s="1"/>
  <c r="GH3" i="14" s="1"/>
  <c r="GY3" i="14" s="1"/>
  <c r="HP3" i="14" s="1"/>
  <c r="IG3" i="14" s="1"/>
  <c r="IX3" i="14" s="1"/>
  <c r="JO3" i="14" s="1"/>
  <c r="KF3" i="14" s="1"/>
  <c r="KW3" i="14" s="1"/>
  <c r="LN3" i="14" s="1"/>
  <c r="ME3" i="14" s="1"/>
  <c r="MV3" i="14" s="1"/>
  <c r="NM3" i="14" s="1"/>
  <c r="OD3" i="14" s="1"/>
  <c r="OU3" i="14" s="1"/>
  <c r="PL3" i="14" s="1"/>
  <c r="QC3" i="14" s="1"/>
  <c r="QT3" i="14" s="1"/>
  <c r="RK3" i="14" s="1"/>
  <c r="SB3" i="14" s="1"/>
  <c r="SS3" i="14" s="1"/>
  <c r="TJ3" i="14" s="1"/>
  <c r="T1" i="14"/>
  <c r="AK1" i="14" s="1"/>
  <c r="TA14" i="18" l="1"/>
  <c r="TB14" i="18" s="1"/>
  <c r="TA12" i="18"/>
  <c r="TB12" i="18" s="1"/>
  <c r="NU12" i="18"/>
  <c r="NV12" i="18" s="1"/>
  <c r="KN4" i="18"/>
  <c r="KO4" i="18" s="1"/>
  <c r="AB14" i="18"/>
  <c r="AC14" i="18" s="1"/>
  <c r="TR12" i="20"/>
  <c r="TS12" i="20" s="1"/>
  <c r="TA14" i="20"/>
  <c r="TB14" i="20" s="1"/>
  <c r="NU12" i="20"/>
  <c r="NV12" i="20" s="1"/>
  <c r="CR12" i="20"/>
  <c r="CS12" i="20" s="1"/>
  <c r="QW7" i="14"/>
  <c r="QX7" i="14" s="1"/>
  <c r="MH12" i="14"/>
  <c r="MI12" i="14" s="1"/>
  <c r="FC12" i="14"/>
  <c r="FD12" i="14" s="1"/>
  <c r="DD7" i="14"/>
  <c r="DE7" i="14" s="1"/>
  <c r="CM14" i="14"/>
  <c r="CN14" i="14" s="1"/>
  <c r="W7" i="14"/>
  <c r="X7" i="14" s="1"/>
  <c r="W4" i="14"/>
  <c r="X4" i="14" s="1"/>
  <c r="JK12" i="16"/>
  <c r="JL12" i="16" s="1"/>
  <c r="GU12" i="16"/>
  <c r="GV12" i="16" s="1"/>
  <c r="BO12" i="16"/>
  <c r="BP12" i="16" s="1"/>
  <c r="NI4" i="16"/>
  <c r="NJ4" i="16" s="1"/>
  <c r="AX18" i="14"/>
  <c r="IT18" i="14"/>
  <c r="ND18" i="14"/>
  <c r="QP18" i="14"/>
  <c r="QP21" i="14" s="1"/>
  <c r="QQ21" i="14" s="1"/>
  <c r="LQ12" i="16"/>
  <c r="LR12" i="16" s="1"/>
  <c r="TR4" i="18"/>
  <c r="TS4" i="18" s="1"/>
  <c r="AN4" i="18"/>
  <c r="AO4" i="18" s="1"/>
  <c r="TA7" i="18"/>
  <c r="TB7" i="18" s="1"/>
  <c r="W7" i="18"/>
  <c r="X7" i="18" s="1"/>
  <c r="EQ12" i="18"/>
  <c r="ER12" i="18" s="1"/>
  <c r="CM18" i="18"/>
  <c r="AX18" i="20"/>
  <c r="AY18" i="20" s="1"/>
  <c r="TM18" i="16"/>
  <c r="JA4" i="14"/>
  <c r="JB4" i="14" s="1"/>
  <c r="DI12" i="14"/>
  <c r="DJ12" i="14" s="1"/>
  <c r="FY12" i="14"/>
  <c r="FZ12" i="14" s="1"/>
  <c r="TM14" i="14"/>
  <c r="TN14" i="14" s="1"/>
  <c r="OG14" i="14"/>
  <c r="OH14" i="14" s="1"/>
  <c r="QW14" i="14"/>
  <c r="QX14" i="14" s="1"/>
  <c r="TX15" i="14"/>
  <c r="AB18" i="14"/>
  <c r="LJ18" i="14"/>
  <c r="SJ18" i="14"/>
  <c r="AX18" i="16"/>
  <c r="AY18" i="16" s="1"/>
  <c r="SO18" i="16"/>
  <c r="SP18" i="16" s="1"/>
  <c r="OS10" i="18"/>
  <c r="OT10" i="18" s="1"/>
  <c r="TW12" i="18"/>
  <c r="TX12" i="18" s="1"/>
  <c r="BK13" i="18"/>
  <c r="JR4" i="20"/>
  <c r="JS4" i="20" s="1"/>
  <c r="JR7" i="20"/>
  <c r="JS7" i="20" s="1"/>
  <c r="MH7" i="20"/>
  <c r="MI7" i="20" s="1"/>
  <c r="RN7" i="20"/>
  <c r="RO7" i="20" s="1"/>
  <c r="CR18" i="20"/>
  <c r="CS18" i="20" s="1"/>
  <c r="EQ12" i="14"/>
  <c r="ER12" i="14" s="1"/>
  <c r="IO12" i="14"/>
  <c r="IP12" i="14" s="1"/>
  <c r="PT12" i="14"/>
  <c r="PU12" i="14" s="1"/>
  <c r="GD18" i="14"/>
  <c r="PT18" i="14"/>
  <c r="RN18" i="14"/>
  <c r="QW4" i="16"/>
  <c r="QX4" i="16" s="1"/>
  <c r="KS12" i="16"/>
  <c r="KT12" i="16" s="1"/>
  <c r="TM12" i="16"/>
  <c r="TN12" i="16" s="1"/>
  <c r="CR18" i="16"/>
  <c r="CS18" i="16" s="1"/>
  <c r="TF18" i="16"/>
  <c r="TG18" i="16" s="1"/>
  <c r="TA4" i="18"/>
  <c r="TB4" i="18" s="1"/>
  <c r="CA12" i="18"/>
  <c r="CB12" i="18" s="1"/>
  <c r="JA12" i="18"/>
  <c r="JB12" i="18" s="1"/>
  <c r="TM12" i="18"/>
  <c r="TN12" i="18" s="1"/>
  <c r="BV14" i="18"/>
  <c r="BW14" i="18" s="1"/>
  <c r="LE18" i="18"/>
  <c r="TA18" i="18"/>
  <c r="DU7" i="20"/>
  <c r="DV7" i="20" s="1"/>
  <c r="SE7" i="20"/>
  <c r="SF7" i="20" s="1"/>
  <c r="SQ13" i="20"/>
  <c r="RG4" i="14"/>
  <c r="RH4" i="14" s="1"/>
  <c r="TF12" i="18"/>
  <c r="TG12" i="18" s="1"/>
  <c r="PY14" i="18"/>
  <c r="PZ14" i="18" s="1"/>
  <c r="PH7" i="18"/>
  <c r="PI7" i="18" s="1"/>
  <c r="KS12" i="18"/>
  <c r="KT12" i="18" s="1"/>
  <c r="IT7" i="18"/>
  <c r="IU7" i="18" s="1"/>
  <c r="FM7" i="18"/>
  <c r="FN7" i="18" s="1"/>
  <c r="P7" i="18"/>
  <c r="Q7" i="18" s="1"/>
  <c r="TY9" i="20"/>
  <c r="TZ9" i="20" s="1"/>
  <c r="RX7" i="20"/>
  <c r="RY7" i="20" s="1"/>
  <c r="OS9" i="20"/>
  <c r="OT9" i="20" s="1"/>
  <c r="MA12" i="14"/>
  <c r="MB12" i="14" s="1"/>
  <c r="RG12" i="14"/>
  <c r="RH12" i="14" s="1"/>
  <c r="RG7" i="14"/>
  <c r="RH7" i="14" s="1"/>
  <c r="KS7" i="14"/>
  <c r="KT7" i="14" s="1"/>
  <c r="JK12" i="14"/>
  <c r="JL12" i="14" s="1"/>
  <c r="F4" i="14"/>
  <c r="G4" i="14" s="1"/>
  <c r="AZ5" i="14"/>
  <c r="BA5" i="14" s="1"/>
  <c r="PO4" i="14"/>
  <c r="PP4" i="14" s="1"/>
  <c r="RN4" i="14"/>
  <c r="RO4" i="14" s="1"/>
  <c r="AN7" i="14"/>
  <c r="AO7" i="14" s="1"/>
  <c r="RX7" i="14"/>
  <c r="RY7" i="14" s="1"/>
  <c r="SQ11" i="14"/>
  <c r="SR11" i="14" s="1"/>
  <c r="TH11" i="14"/>
  <c r="TI11" i="14" s="1"/>
  <c r="IT12" i="14"/>
  <c r="IU12" i="14" s="1"/>
  <c r="NZ12" i="14"/>
  <c r="OA12" i="14" s="1"/>
  <c r="RB12" i="14"/>
  <c r="RC12" i="14" s="1"/>
  <c r="KN14" i="14"/>
  <c r="KO14" i="14" s="1"/>
  <c r="RS14" i="14"/>
  <c r="RT14" i="14" s="1"/>
  <c r="HX14" i="14"/>
  <c r="HY14" i="14" s="1"/>
  <c r="EE18" i="14"/>
  <c r="HS18" i="14"/>
  <c r="QK18" i="14"/>
  <c r="RG18" i="14"/>
  <c r="NP18" i="14"/>
  <c r="QF18" i="14"/>
  <c r="TH5" i="16"/>
  <c r="TF7" i="16"/>
  <c r="TG7" i="16" s="1"/>
  <c r="QA10" i="16"/>
  <c r="QB10" i="16" s="1"/>
  <c r="OG7" i="16"/>
  <c r="OH7" i="16" s="1"/>
  <c r="RX12" i="16"/>
  <c r="RY12" i="16" s="1"/>
  <c r="RB14" i="16"/>
  <c r="RC14" i="16" s="1"/>
  <c r="RB18" i="16"/>
  <c r="NZ4" i="18"/>
  <c r="OA4" i="18" s="1"/>
  <c r="TW4" i="18"/>
  <c r="TX4" i="18" s="1"/>
  <c r="DD4" i="18"/>
  <c r="DE4" i="18" s="1"/>
  <c r="FT4" i="18"/>
  <c r="FU4" i="18" s="1"/>
  <c r="NP4" i="18"/>
  <c r="NQ4" i="18" s="1"/>
  <c r="AS7" i="18"/>
  <c r="AT7" i="18" s="1"/>
  <c r="NZ7" i="18"/>
  <c r="OA7" i="18" s="1"/>
  <c r="TW7" i="18"/>
  <c r="TX7" i="18" s="1"/>
  <c r="EG9" i="18"/>
  <c r="EH9" i="18" s="1"/>
  <c r="EG10" i="18"/>
  <c r="EH10" i="18" s="1"/>
  <c r="FH12" i="18"/>
  <c r="FI12" i="18" s="1"/>
  <c r="HX12" i="18"/>
  <c r="HY12" i="18" s="1"/>
  <c r="ND12" i="18"/>
  <c r="NE12" i="18" s="1"/>
  <c r="AC13" i="18"/>
  <c r="AN14" i="18"/>
  <c r="AO14" i="18" s="1"/>
  <c r="TW14" i="18"/>
  <c r="TX14" i="18" s="1"/>
  <c r="FT14" i="18"/>
  <c r="FU14" i="18" s="1"/>
  <c r="BO18" i="18"/>
  <c r="QK18" i="18"/>
  <c r="QL18" i="18" s="1"/>
  <c r="TF18" i="18"/>
  <c r="FT4" i="20"/>
  <c r="FU4" i="20" s="1"/>
  <c r="LL5" i="20"/>
  <c r="LM5" i="20" s="1"/>
  <c r="W7" i="20"/>
  <c r="X7" i="20" s="1"/>
  <c r="GU7" i="20"/>
  <c r="GV7" i="20" s="1"/>
  <c r="IE8" i="20"/>
  <c r="IF8" i="20" s="1"/>
  <c r="EG9" i="20"/>
  <c r="EH9" i="20" s="1"/>
  <c r="GW9" i="20"/>
  <c r="GX9" i="20" s="1"/>
  <c r="MC10" i="20"/>
  <c r="MD10" i="20" s="1"/>
  <c r="K12" i="20"/>
  <c r="L12" i="20" s="1"/>
  <c r="HG12" i="20"/>
  <c r="HH12" i="20" s="1"/>
  <c r="KS12" i="20"/>
  <c r="KT12" i="20" s="1"/>
  <c r="ND12" i="20"/>
  <c r="NE12" i="20" s="1"/>
  <c r="AI20" i="20"/>
  <c r="AN4" i="14"/>
  <c r="AO4" i="14" s="1"/>
  <c r="ND4" i="14"/>
  <c r="NE4" i="14" s="1"/>
  <c r="TM4" i="14"/>
  <c r="TN4" i="14" s="1"/>
  <c r="RS4" i="14"/>
  <c r="RT4" i="14" s="1"/>
  <c r="IJ7" i="14"/>
  <c r="IK7" i="14" s="1"/>
  <c r="NP7" i="14"/>
  <c r="NQ7" i="14" s="1"/>
  <c r="TR7" i="14"/>
  <c r="TS7" i="14" s="1"/>
  <c r="EL12" i="14"/>
  <c r="EM12" i="14" s="1"/>
  <c r="GK14" i="14"/>
  <c r="GL14" i="14" s="1"/>
  <c r="RB14" i="14"/>
  <c r="RC14" i="14" s="1"/>
  <c r="RO15" i="14"/>
  <c r="DI18" i="14"/>
  <c r="GU18" i="14"/>
  <c r="TM7" i="16"/>
  <c r="TN7" i="16" s="1"/>
  <c r="TR12" i="16"/>
  <c r="TS12" i="16" s="1"/>
  <c r="RX18" i="16"/>
  <c r="TF4" i="18"/>
  <c r="TG4" i="18" s="1"/>
  <c r="AG4" i="18"/>
  <c r="AH4" i="18" s="1"/>
  <c r="JR4" i="18"/>
  <c r="JS4" i="18" s="1"/>
  <c r="SP6" i="18"/>
  <c r="TM4" i="18"/>
  <c r="TN4" i="18" s="1"/>
  <c r="R9" i="18"/>
  <c r="S9" i="18" s="1"/>
  <c r="OH10" i="18"/>
  <c r="F12" i="18"/>
  <c r="G12" i="18" s="1"/>
  <c r="JW12" i="18"/>
  <c r="JX12" i="18" s="1"/>
  <c r="PY12" i="18"/>
  <c r="PZ12" i="18" s="1"/>
  <c r="SV14" i="18"/>
  <c r="SW14" i="18" s="1"/>
  <c r="AC15" i="18"/>
  <c r="HB14" i="18"/>
  <c r="HC14" i="18" s="1"/>
  <c r="MH14" i="18"/>
  <c r="MI14" i="18" s="1"/>
  <c r="CM14" i="18"/>
  <c r="CN14" i="18" s="1"/>
  <c r="CR18" i="18"/>
  <c r="W4" i="20"/>
  <c r="X4" i="20" s="1"/>
  <c r="OQ4" i="20"/>
  <c r="OR4" i="20" s="1"/>
  <c r="PY7" i="20"/>
  <c r="PZ7" i="20" s="1"/>
  <c r="OG7" i="20"/>
  <c r="OH7" i="20" s="1"/>
  <c r="IJ7" i="20"/>
  <c r="IK7" i="20" s="1"/>
  <c r="BQ10" i="20"/>
  <c r="BR10" i="20" s="1"/>
  <c r="AG12" i="20"/>
  <c r="AH12" i="20" s="1"/>
  <c r="CA12" i="20"/>
  <c r="CB12" i="20" s="1"/>
  <c r="EQ12" i="20"/>
  <c r="ER12" i="20" s="1"/>
  <c r="AI17" i="20"/>
  <c r="AJ17" i="20" s="1"/>
  <c r="HB18" i="20"/>
  <c r="MH18" i="20"/>
  <c r="RN18" i="20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JA7" i="14"/>
  <c r="JB7" i="14" s="1"/>
  <c r="RS7" i="14"/>
  <c r="RT7" i="14" s="1"/>
  <c r="KN12" i="14"/>
  <c r="KO12" i="14" s="1"/>
  <c r="ND12" i="14"/>
  <c r="NE12" i="14" s="1"/>
  <c r="HB14" i="14"/>
  <c r="HC14" i="14" s="1"/>
  <c r="SJ14" i="14"/>
  <c r="SK14" i="14" s="1"/>
  <c r="W18" i="14"/>
  <c r="X18" i="14" s="1"/>
  <c r="BE18" i="14"/>
  <c r="IO18" i="14"/>
  <c r="TA18" i="14"/>
  <c r="TW18" i="14"/>
  <c r="TW21" i="14" s="1"/>
  <c r="TX21" i="14" s="1"/>
  <c r="OB6" i="16"/>
  <c r="OC6" i="16" s="1"/>
  <c r="KB7" i="16"/>
  <c r="KC7" i="16" s="1"/>
  <c r="DP9" i="16"/>
  <c r="DQ9" i="16" s="1"/>
  <c r="TH9" i="16"/>
  <c r="TI9" i="16" s="1"/>
  <c r="GP18" i="16"/>
  <c r="GQ18" i="16" s="1"/>
  <c r="PY4" i="18"/>
  <c r="PZ4" i="18" s="1"/>
  <c r="SE4" i="18"/>
  <c r="SF4" i="18" s="1"/>
  <c r="JW7" i="18"/>
  <c r="JX7" i="18" s="1"/>
  <c r="TF7" i="18"/>
  <c r="TG7" i="18" s="1"/>
  <c r="NK10" i="18"/>
  <c r="NL10" i="18" s="1"/>
  <c r="FY12" i="18"/>
  <c r="FZ12" i="18" s="1"/>
  <c r="RG12" i="18"/>
  <c r="RH12" i="18" s="1"/>
  <c r="R16" i="18"/>
  <c r="S16" i="18" s="1"/>
  <c r="F18" i="18"/>
  <c r="IC7" i="20"/>
  <c r="ID7" i="20" s="1"/>
  <c r="BQ9" i="20"/>
  <c r="BR9" i="20" s="1"/>
  <c r="GW10" i="20"/>
  <c r="GX10" i="20" s="1"/>
  <c r="MY7" i="20"/>
  <c r="MZ7" i="20" s="1"/>
  <c r="AS12" i="20"/>
  <c r="AT12" i="20" s="1"/>
  <c r="MA12" i="20"/>
  <c r="MB12" i="20" s="1"/>
  <c r="SE18" i="20"/>
  <c r="KU19" i="20"/>
  <c r="KV19" i="20" s="1"/>
  <c r="JA18" i="20"/>
  <c r="JB18" i="20" s="1"/>
  <c r="PH14" i="16"/>
  <c r="PI14" i="16" s="1"/>
  <c r="CF14" i="16"/>
  <c r="CG14" i="16" s="1"/>
  <c r="EV14" i="20"/>
  <c r="EW14" i="20" s="1"/>
  <c r="AI16" i="20"/>
  <c r="AJ16" i="20" s="1"/>
  <c r="P14" i="20"/>
  <c r="Q14" i="20" s="1"/>
  <c r="RG14" i="14"/>
  <c r="RH14" i="14" s="1"/>
  <c r="KS14" i="14"/>
  <c r="KT14" i="14" s="1"/>
  <c r="KB14" i="14"/>
  <c r="KC14" i="14" s="1"/>
  <c r="AX14" i="14"/>
  <c r="AY14" i="14" s="1"/>
  <c r="AG14" i="14"/>
  <c r="AH14" i="14" s="1"/>
  <c r="TF14" i="18"/>
  <c r="TG14" i="18" s="1"/>
  <c r="SO14" i="18"/>
  <c r="SP14" i="18" s="1"/>
  <c r="SP15" i="18"/>
  <c r="PH14" i="18"/>
  <c r="PI14" i="18" s="1"/>
  <c r="LJ14" i="18"/>
  <c r="LK14" i="18" s="1"/>
  <c r="IC14" i="18"/>
  <c r="ID14" i="18" s="1"/>
  <c r="HL14" i="18"/>
  <c r="HM14" i="18" s="1"/>
  <c r="GF16" i="18"/>
  <c r="GG16" i="18" s="1"/>
  <c r="CF14" i="18"/>
  <c r="CG14" i="18" s="1"/>
  <c r="P14" i="18"/>
  <c r="Q14" i="18" s="1"/>
  <c r="QP4" i="14"/>
  <c r="QQ4" i="14" s="1"/>
  <c r="QF4" i="14"/>
  <c r="QG4" i="14" s="1"/>
  <c r="PO14" i="14"/>
  <c r="PP14" i="14" s="1"/>
  <c r="PO7" i="14"/>
  <c r="PP7" i="14" s="1"/>
  <c r="PY4" i="14"/>
  <c r="PZ4" i="14" s="1"/>
  <c r="PT14" i="14"/>
  <c r="PU14" i="14" s="1"/>
  <c r="OX7" i="14"/>
  <c r="OY7" i="14" s="1"/>
  <c r="PC12" i="14"/>
  <c r="PD12" i="14" s="1"/>
  <c r="PC14" i="14"/>
  <c r="PD14" i="14" s="1"/>
  <c r="PC4" i="14"/>
  <c r="PD4" i="14" s="1"/>
  <c r="OQ18" i="14"/>
  <c r="NP14" i="14"/>
  <c r="NQ14" i="14" s="1"/>
  <c r="NU18" i="14"/>
  <c r="NU21" i="14" s="1"/>
  <c r="NV21" i="14" s="1"/>
  <c r="NI12" i="14"/>
  <c r="NJ12" i="14" s="1"/>
  <c r="MY18" i="14"/>
  <c r="NI18" i="14"/>
  <c r="MY4" i="14"/>
  <c r="MZ4" i="14" s="1"/>
  <c r="ND14" i="14"/>
  <c r="NE14" i="14" s="1"/>
  <c r="MH4" i="14"/>
  <c r="MI4" i="14" s="1"/>
  <c r="MM14" i="14"/>
  <c r="MN14" i="14" s="1"/>
  <c r="LV18" i="14"/>
  <c r="LW18" i="14" s="1"/>
  <c r="MA18" i="14"/>
  <c r="LQ4" i="14"/>
  <c r="LR4" i="14" s="1"/>
  <c r="MA14" i="14"/>
  <c r="MB14" i="14" s="1"/>
  <c r="LV14" i="14"/>
  <c r="LW14" i="14" s="1"/>
  <c r="KZ14" i="14"/>
  <c r="LA14" i="14" s="1"/>
  <c r="LE4" i="14"/>
  <c r="LF4" i="14" s="1"/>
  <c r="KZ4" i="14"/>
  <c r="LA4" i="14" s="1"/>
  <c r="LE18" i="14"/>
  <c r="LF18" i="14" s="1"/>
  <c r="KS18" i="14"/>
  <c r="KI7" i="14"/>
  <c r="KJ7" i="14" s="1"/>
  <c r="KB7" i="14"/>
  <c r="KC7" i="14" s="1"/>
  <c r="KB18" i="14"/>
  <c r="KC18" i="14" s="1"/>
  <c r="KB12" i="14"/>
  <c r="KC12" i="14" s="1"/>
  <c r="JK14" i="14"/>
  <c r="JL14" i="14" s="1"/>
  <c r="JA18" i="14"/>
  <c r="JF7" i="14"/>
  <c r="JG7" i="14" s="1"/>
  <c r="JK18" i="14"/>
  <c r="IO7" i="14"/>
  <c r="IP7" i="14" s="1"/>
  <c r="HS7" i="14"/>
  <c r="HT7" i="14" s="1"/>
  <c r="HS4" i="14"/>
  <c r="HT4" i="14" s="1"/>
  <c r="IC14" i="14"/>
  <c r="ID14" i="14" s="1"/>
  <c r="HL14" i="14"/>
  <c r="HM14" i="14" s="1"/>
  <c r="HL7" i="14"/>
  <c r="HM7" i="14" s="1"/>
  <c r="GK7" i="14"/>
  <c r="GL7" i="14" s="1"/>
  <c r="GP7" i="14"/>
  <c r="GQ7" i="14" s="1"/>
  <c r="FT7" i="14"/>
  <c r="FU7" i="14" s="1"/>
  <c r="GD14" i="14"/>
  <c r="GE14" i="14" s="1"/>
  <c r="FM7" i="14"/>
  <c r="FN7" i="14" s="1"/>
  <c r="FM14" i="14"/>
  <c r="FN14" i="14" s="1"/>
  <c r="DU4" i="14"/>
  <c r="DV4" i="14" s="1"/>
  <c r="DU18" i="14"/>
  <c r="DN18" i="14"/>
  <c r="DO18" i="14" s="1"/>
  <c r="BV7" i="14"/>
  <c r="BW7" i="14" s="1"/>
  <c r="BO14" i="14"/>
  <c r="BP14" i="14" s="1"/>
  <c r="AN14" i="14"/>
  <c r="AO14" i="14" s="1"/>
  <c r="QP18" i="16"/>
  <c r="QQ18" i="16" s="1"/>
  <c r="QP14" i="16"/>
  <c r="QQ14" i="16" s="1"/>
  <c r="PT18" i="16"/>
  <c r="PU18" i="16" s="1"/>
  <c r="OX7" i="16"/>
  <c r="OY7" i="16" s="1"/>
  <c r="NZ12" i="16"/>
  <c r="OA12" i="16" s="1"/>
  <c r="NZ7" i="16"/>
  <c r="OA7" i="16" s="1"/>
  <c r="OB8" i="16"/>
  <c r="MY7" i="16"/>
  <c r="MZ7" i="16" s="1"/>
  <c r="ND18" i="16"/>
  <c r="NE18" i="16" s="1"/>
  <c r="MY12" i="16"/>
  <c r="MZ12" i="16" s="1"/>
  <c r="NI18" i="16"/>
  <c r="NJ18" i="16" s="1"/>
  <c r="MR4" i="16"/>
  <c r="MS4" i="16" s="1"/>
  <c r="MH18" i="16"/>
  <c r="MI18" i="16" s="1"/>
  <c r="LQ7" i="16"/>
  <c r="LR7" i="16" s="1"/>
  <c r="MA12" i="16"/>
  <c r="MB12" i="16" s="1"/>
  <c r="KZ7" i="16"/>
  <c r="LA7" i="16" s="1"/>
  <c r="LE12" i="16"/>
  <c r="LF12" i="16" s="1"/>
  <c r="KS14" i="16"/>
  <c r="KT14" i="16" s="1"/>
  <c r="KN18" i="16"/>
  <c r="KO18" i="16" s="1"/>
  <c r="KN12" i="16"/>
  <c r="KO12" i="16" s="1"/>
  <c r="JW12" i="16"/>
  <c r="JX12" i="16" s="1"/>
  <c r="JA7" i="16"/>
  <c r="JB7" i="16" s="1"/>
  <c r="IT12" i="16"/>
  <c r="IU12" i="16" s="1"/>
  <c r="HS7" i="16"/>
  <c r="HT7" i="16" s="1"/>
  <c r="HX18" i="16"/>
  <c r="HB7" i="16"/>
  <c r="HC7" i="16" s="1"/>
  <c r="FT7" i="16"/>
  <c r="FU7" i="16" s="1"/>
  <c r="FY12" i="16"/>
  <c r="FZ12" i="16" s="1"/>
  <c r="FM18" i="16"/>
  <c r="EE12" i="16"/>
  <c r="EF12" i="16" s="1"/>
  <c r="DN18" i="16"/>
  <c r="CW12" i="16"/>
  <c r="CX12" i="16" s="1"/>
  <c r="CA12" i="16"/>
  <c r="CB12" i="16" s="1"/>
  <c r="AS12" i="16"/>
  <c r="AT12" i="16" s="1"/>
  <c r="SE14" i="18"/>
  <c r="SF14" i="18" s="1"/>
  <c r="SJ12" i="18"/>
  <c r="SK12" i="18" s="1"/>
  <c r="RN12" i="18"/>
  <c r="RO12" i="18" s="1"/>
  <c r="RX18" i="18"/>
  <c r="QW4" i="18"/>
  <c r="QX4" i="18" s="1"/>
  <c r="RH5" i="18"/>
  <c r="RG18" i="18"/>
  <c r="QK7" i="18"/>
  <c r="QL7" i="18" s="1"/>
  <c r="QP12" i="18"/>
  <c r="QQ12" i="18" s="1"/>
  <c r="PO12" i="18"/>
  <c r="PP12" i="18" s="1"/>
  <c r="PY7" i="18"/>
  <c r="PZ7" i="18" s="1"/>
  <c r="PO7" i="18"/>
  <c r="PP7" i="18" s="1"/>
  <c r="OX7" i="18"/>
  <c r="OY7" i="18" s="1"/>
  <c r="PJ6" i="18"/>
  <c r="PK6" i="18" s="1"/>
  <c r="OL7" i="18"/>
  <c r="OM7" i="18" s="1"/>
  <c r="OQ7" i="18"/>
  <c r="OR7" i="18" s="1"/>
  <c r="NU18" i="18"/>
  <c r="NI4" i="18"/>
  <c r="NJ4" i="18" s="1"/>
  <c r="MY14" i="18"/>
  <c r="MZ14" i="18" s="1"/>
  <c r="MA4" i="18"/>
  <c r="MB4" i="18" s="1"/>
  <c r="MC6" i="18"/>
  <c r="MD6" i="18" s="1"/>
  <c r="MA18" i="18"/>
  <c r="MA12" i="18"/>
  <c r="MB12" i="18" s="1"/>
  <c r="KZ14" i="18"/>
  <c r="LA14" i="18" s="1"/>
  <c r="KS7" i="18"/>
  <c r="KT7" i="18" s="1"/>
  <c r="KS4" i="18"/>
  <c r="KT4" i="18" s="1"/>
  <c r="KB12" i="18"/>
  <c r="KC12" i="18" s="1"/>
  <c r="KD9" i="18"/>
  <c r="KE9" i="18" s="1"/>
  <c r="JR18" i="18"/>
  <c r="JR14" i="18"/>
  <c r="JS14" i="18" s="1"/>
  <c r="JM10" i="18"/>
  <c r="JN10" i="18" s="1"/>
  <c r="JK18" i="18"/>
  <c r="IJ7" i="18"/>
  <c r="IK7" i="18" s="1"/>
  <c r="IE10" i="18"/>
  <c r="IF10" i="18" s="1"/>
  <c r="IC4" i="18"/>
  <c r="ID4" i="18" s="1"/>
  <c r="HB18" i="18"/>
  <c r="GP18" i="18"/>
  <c r="FY7" i="18"/>
  <c r="FZ7" i="18" s="1"/>
  <c r="GD12" i="18"/>
  <c r="GE12" i="18" s="1"/>
  <c r="FC14" i="18"/>
  <c r="FD14" i="18" s="1"/>
  <c r="EL7" i="18"/>
  <c r="EM7" i="18" s="1"/>
  <c r="EX16" i="18"/>
  <c r="EY16" i="18" s="1"/>
  <c r="EL18" i="18"/>
  <c r="EM18" i="18" s="1"/>
  <c r="EL12" i="18"/>
  <c r="EM12" i="18" s="1"/>
  <c r="EE7" i="18"/>
  <c r="EF7" i="18" s="1"/>
  <c r="EE12" i="18"/>
  <c r="EF12" i="18" s="1"/>
  <c r="EE18" i="18"/>
  <c r="DN14" i="18"/>
  <c r="DO14" i="18" s="1"/>
  <c r="CS13" i="18"/>
  <c r="CW14" i="18"/>
  <c r="CX14" i="18" s="1"/>
  <c r="BV18" i="18"/>
  <c r="BW18" i="18" s="1"/>
  <c r="BE7" i="18"/>
  <c r="BF7" i="18" s="1"/>
  <c r="AS12" i="18"/>
  <c r="AT12" i="18" s="1"/>
  <c r="AS18" i="18"/>
  <c r="TW7" i="20"/>
  <c r="TX7" i="20" s="1"/>
  <c r="TM12" i="20"/>
  <c r="TN12" i="20" s="1"/>
  <c r="TY8" i="20"/>
  <c r="TZ8" i="20" s="1"/>
  <c r="TR18" i="20"/>
  <c r="TS18" i="20" s="1"/>
  <c r="TH6" i="20"/>
  <c r="TI6" i="20" s="1"/>
  <c r="TA12" i="20"/>
  <c r="TB12" i="20" s="1"/>
  <c r="SO14" i="20"/>
  <c r="SP14" i="20" s="1"/>
  <c r="SE12" i="20"/>
  <c r="SF12" i="20" s="1"/>
  <c r="SE14" i="20"/>
  <c r="SF14" i="20" s="1"/>
  <c r="RX14" i="20"/>
  <c r="RY14" i="20" s="1"/>
  <c r="RX4" i="20"/>
  <c r="RY4" i="20" s="1"/>
  <c r="RS12" i="20"/>
  <c r="RT12" i="20" s="1"/>
  <c r="RX18" i="20"/>
  <c r="RY18" i="20" s="1"/>
  <c r="RG7" i="20"/>
  <c r="RH7" i="20" s="1"/>
  <c r="RB12" i="20"/>
  <c r="RC12" i="20" s="1"/>
  <c r="RI9" i="20"/>
  <c r="RJ9" i="20" s="1"/>
  <c r="QP18" i="20"/>
  <c r="QQ18" i="20" s="1"/>
  <c r="QF14" i="20"/>
  <c r="QG14" i="20" s="1"/>
  <c r="QP7" i="20"/>
  <c r="QQ7" i="20" s="1"/>
  <c r="QF7" i="20"/>
  <c r="QG7" i="20" s="1"/>
  <c r="QR9" i="20"/>
  <c r="QS9" i="20" s="1"/>
  <c r="PY12" i="20"/>
  <c r="PZ12" i="20" s="1"/>
  <c r="PY4" i="20"/>
  <c r="PZ4" i="20" s="1"/>
  <c r="QA8" i="20"/>
  <c r="QB8" i="20" s="1"/>
  <c r="QA13" i="20"/>
  <c r="QB13" i="20" s="1"/>
  <c r="PY18" i="20"/>
  <c r="PZ18" i="20" s="1"/>
  <c r="PH14" i="20"/>
  <c r="PI14" i="20" s="1"/>
  <c r="OX12" i="20"/>
  <c r="OY12" i="20" s="1"/>
  <c r="OL12" i="20"/>
  <c r="OM12" i="20" s="1"/>
  <c r="OQ12" i="20"/>
  <c r="OR12" i="20" s="1"/>
  <c r="NP7" i="20"/>
  <c r="NQ7" i="20" s="1"/>
  <c r="NP14" i="20"/>
  <c r="NQ14" i="20" s="1"/>
  <c r="NZ14" i="20"/>
  <c r="OA14" i="20" s="1"/>
  <c r="MZ11" i="20"/>
  <c r="ND18" i="20"/>
  <c r="NE18" i="20" s="1"/>
  <c r="NK10" i="20"/>
  <c r="NL10" i="20" s="1"/>
  <c r="NK13" i="20"/>
  <c r="NK12" i="20" s="1"/>
  <c r="NL12" i="20" s="1"/>
  <c r="NI12" i="20"/>
  <c r="NJ12" i="20" s="1"/>
  <c r="MM12" i="20"/>
  <c r="MN12" i="20" s="1"/>
  <c r="LQ4" i="20"/>
  <c r="LR4" i="20" s="1"/>
  <c r="MA7" i="20"/>
  <c r="MB7" i="20" s="1"/>
  <c r="LA5" i="20"/>
  <c r="LL9" i="20"/>
  <c r="LM9" i="20" s="1"/>
  <c r="LJ14" i="20"/>
  <c r="LK14" i="20" s="1"/>
  <c r="KI7" i="20"/>
  <c r="KJ7" i="20" s="1"/>
  <c r="KI4" i="20"/>
  <c r="KJ4" i="20" s="1"/>
  <c r="JR12" i="20"/>
  <c r="JS12" i="20" s="1"/>
  <c r="JA4" i="20"/>
  <c r="JB4" i="20" s="1"/>
  <c r="JK7" i="20"/>
  <c r="JL7" i="20" s="1"/>
  <c r="JF12" i="20"/>
  <c r="JG12" i="20" s="1"/>
  <c r="JK12" i="20"/>
  <c r="JL12" i="20" s="1"/>
  <c r="JM10" i="20"/>
  <c r="JN10" i="20" s="1"/>
  <c r="IJ12" i="20"/>
  <c r="IK12" i="20" s="1"/>
  <c r="IT4" i="20"/>
  <c r="IU4" i="20" s="1"/>
  <c r="IO12" i="20"/>
  <c r="IP12" i="20" s="1"/>
  <c r="HT8" i="20"/>
  <c r="IC4" i="20"/>
  <c r="ID4" i="20" s="1"/>
  <c r="IC12" i="20"/>
  <c r="ID12" i="20" s="1"/>
  <c r="HS7" i="20"/>
  <c r="HT7" i="20" s="1"/>
  <c r="HS18" i="20"/>
  <c r="HL14" i="20"/>
  <c r="HM14" i="20" s="1"/>
  <c r="GU12" i="20"/>
  <c r="GV12" i="20" s="1"/>
  <c r="GV8" i="20"/>
  <c r="GK7" i="20"/>
  <c r="GL7" i="20" s="1"/>
  <c r="GD4" i="20"/>
  <c r="GE4" i="20" s="1"/>
  <c r="FY12" i="20"/>
  <c r="FZ12" i="20" s="1"/>
  <c r="GD18" i="20"/>
  <c r="FH14" i="20"/>
  <c r="FI14" i="20" s="1"/>
  <c r="FH18" i="20"/>
  <c r="FI18" i="20" s="1"/>
  <c r="FC7" i="20"/>
  <c r="FD7" i="20" s="1"/>
  <c r="FC12" i="20"/>
  <c r="FD12" i="20" s="1"/>
  <c r="EL18" i="20"/>
  <c r="EL7" i="20"/>
  <c r="EM7" i="20" s="1"/>
  <c r="EL14" i="20"/>
  <c r="EM14" i="20" s="1"/>
  <c r="DU18" i="20"/>
  <c r="DN18" i="20"/>
  <c r="CX20" i="20"/>
  <c r="CM7" i="20"/>
  <c r="CN7" i="20" s="1"/>
  <c r="CY9" i="20"/>
  <c r="CZ9" i="20" s="1"/>
  <c r="CY10" i="20"/>
  <c r="CZ10" i="20" s="1"/>
  <c r="CW12" i="20"/>
  <c r="CX12" i="20" s="1"/>
  <c r="CY20" i="20"/>
  <c r="BV7" i="20"/>
  <c r="BW7" i="20" s="1"/>
  <c r="CH17" i="20"/>
  <c r="CI17" i="20" s="1"/>
  <c r="BE18" i="20"/>
  <c r="BE21" i="20" s="1"/>
  <c r="BF21" i="20" s="1"/>
  <c r="BJ12" i="20"/>
  <c r="BK12" i="20" s="1"/>
  <c r="BE4" i="20"/>
  <c r="BF4" i="20" s="1"/>
  <c r="BO18" i="20"/>
  <c r="AN18" i="20"/>
  <c r="AO18" i="20" s="1"/>
  <c r="AS7" i="20"/>
  <c r="AT7" i="20" s="1"/>
  <c r="QF7" i="14"/>
  <c r="QG7" i="14" s="1"/>
  <c r="QP14" i="14"/>
  <c r="QQ14" i="14" s="1"/>
  <c r="QK7" i="14"/>
  <c r="QL7" i="14" s="1"/>
  <c r="PY7" i="14"/>
  <c r="PZ7" i="14" s="1"/>
  <c r="PY18" i="14"/>
  <c r="OX18" i="14"/>
  <c r="OX4" i="14"/>
  <c r="OY4" i="14" s="1"/>
  <c r="PH14" i="14"/>
  <c r="PI14" i="14" s="1"/>
  <c r="PC7" i="14"/>
  <c r="PD7" i="14" s="1"/>
  <c r="PH18" i="14"/>
  <c r="OG4" i="14"/>
  <c r="OH4" i="14" s="1"/>
  <c r="OL12" i="14"/>
  <c r="OM12" i="14" s="1"/>
  <c r="OL14" i="14"/>
  <c r="OM14" i="14" s="1"/>
  <c r="OG18" i="14"/>
  <c r="OL7" i="14"/>
  <c r="OM7" i="14" s="1"/>
  <c r="OQ12" i="14"/>
  <c r="OR12" i="14" s="1"/>
  <c r="OQ14" i="14"/>
  <c r="OR14" i="14" s="1"/>
  <c r="OL18" i="14"/>
  <c r="NU4" i="14"/>
  <c r="NV4" i="14" s="1"/>
  <c r="NZ14" i="14"/>
  <c r="OA14" i="14" s="1"/>
  <c r="NU14" i="14"/>
  <c r="NV14" i="14" s="1"/>
  <c r="MZ6" i="14"/>
  <c r="MY7" i="14"/>
  <c r="MZ7" i="14" s="1"/>
  <c r="NI14" i="14"/>
  <c r="NJ14" i="14" s="1"/>
  <c r="MR14" i="14"/>
  <c r="MS14" i="14" s="1"/>
  <c r="MM4" i="14"/>
  <c r="MN4" i="14" s="1"/>
  <c r="MR12" i="14"/>
  <c r="MS12" i="14" s="1"/>
  <c r="MH14" i="14"/>
  <c r="MI14" i="14" s="1"/>
  <c r="MR18" i="14"/>
  <c r="LQ7" i="14"/>
  <c r="LR7" i="14" s="1"/>
  <c r="LQ14" i="14"/>
  <c r="LR14" i="14" s="1"/>
  <c r="LW15" i="14"/>
  <c r="LV7" i="14"/>
  <c r="LW7" i="14" s="1"/>
  <c r="LV4" i="14"/>
  <c r="LW4" i="14" s="1"/>
  <c r="LV12" i="14"/>
  <c r="LW12" i="14" s="1"/>
  <c r="LQ18" i="14"/>
  <c r="KZ7" i="14"/>
  <c r="LA7" i="14" s="1"/>
  <c r="LE12" i="14"/>
  <c r="LF12" i="14" s="1"/>
  <c r="LJ14" i="14"/>
  <c r="LK14" i="14" s="1"/>
  <c r="LE14" i="14"/>
  <c r="LF14" i="14" s="1"/>
  <c r="KI4" i="14"/>
  <c r="KJ4" i="14" s="1"/>
  <c r="KI18" i="14"/>
  <c r="KN4" i="14"/>
  <c r="KO4" i="14" s="1"/>
  <c r="KI14" i="14"/>
  <c r="KJ14" i="14" s="1"/>
  <c r="KN18" i="14"/>
  <c r="JR4" i="14"/>
  <c r="JS4" i="14" s="1"/>
  <c r="JR18" i="14"/>
  <c r="JW7" i="14"/>
  <c r="JX7" i="14" s="1"/>
  <c r="JR14" i="14"/>
  <c r="JS14" i="14" s="1"/>
  <c r="JW14" i="14"/>
  <c r="JX14" i="14" s="1"/>
  <c r="JK7" i="14"/>
  <c r="JL7" i="14" s="1"/>
  <c r="JF14" i="14"/>
  <c r="JG14" i="14" s="1"/>
  <c r="JF18" i="14"/>
  <c r="IT14" i="14"/>
  <c r="IU14" i="14" s="1"/>
  <c r="IO14" i="14"/>
  <c r="IP14" i="14" s="1"/>
  <c r="IC7" i="14"/>
  <c r="ID7" i="14" s="1"/>
  <c r="HB18" i="14"/>
  <c r="HG14" i="14"/>
  <c r="HH14" i="14" s="1"/>
  <c r="HG7" i="14"/>
  <c r="HH7" i="14" s="1"/>
  <c r="HL18" i="14"/>
  <c r="GW20" i="14"/>
  <c r="GU7" i="14"/>
  <c r="GV7" i="14" s="1"/>
  <c r="GP14" i="14"/>
  <c r="GQ14" i="14" s="1"/>
  <c r="GU12" i="14"/>
  <c r="GV12" i="14" s="1"/>
  <c r="GU14" i="14"/>
  <c r="GV14" i="14" s="1"/>
  <c r="GK18" i="14"/>
  <c r="FT14" i="14"/>
  <c r="FU14" i="14" s="1"/>
  <c r="FY14" i="14"/>
  <c r="FZ14" i="14" s="1"/>
  <c r="FT4" i="14"/>
  <c r="FU4" i="14" s="1"/>
  <c r="FY7" i="14"/>
  <c r="FZ7" i="14" s="1"/>
  <c r="FY18" i="14"/>
  <c r="FY21" i="14" s="1"/>
  <c r="FZ21" i="14" s="1"/>
  <c r="FH14" i="14"/>
  <c r="FI14" i="14" s="1"/>
  <c r="FC18" i="14"/>
  <c r="FC7" i="14"/>
  <c r="FD7" i="14" s="1"/>
  <c r="FC4" i="14"/>
  <c r="FD4" i="14" s="1"/>
  <c r="EV14" i="14"/>
  <c r="EW14" i="14" s="1"/>
  <c r="EV18" i="14"/>
  <c r="CM12" i="14"/>
  <c r="CN12" i="14" s="1"/>
  <c r="CM7" i="14"/>
  <c r="CN7" i="14" s="1"/>
  <c r="CW14" i="14"/>
  <c r="CX14" i="14" s="1"/>
  <c r="CM18" i="14"/>
  <c r="CR18" i="14"/>
  <c r="CF18" i="14"/>
  <c r="CG18" i="14" s="1"/>
  <c r="BP16" i="14"/>
  <c r="BJ18" i="14"/>
  <c r="BO18" i="14"/>
  <c r="AX4" i="14"/>
  <c r="AY4" i="14" s="1"/>
  <c r="AS18" i="14"/>
  <c r="QF7" i="16"/>
  <c r="QG7" i="16" s="1"/>
  <c r="QK12" i="16"/>
  <c r="QL12" i="16" s="1"/>
  <c r="PO12" i="16"/>
  <c r="PP12" i="16" s="1"/>
  <c r="PC12" i="16"/>
  <c r="PD12" i="16" s="1"/>
  <c r="OX14" i="16"/>
  <c r="PJ19" i="16"/>
  <c r="PK19" i="16" s="1"/>
  <c r="PH18" i="16"/>
  <c r="PI18" i="16" s="1"/>
  <c r="OQ4" i="16"/>
  <c r="OR4" i="16" s="1"/>
  <c r="OL12" i="16"/>
  <c r="OM12" i="16" s="1"/>
  <c r="OG4" i="16"/>
  <c r="OH4" i="16" s="1"/>
  <c r="OQ12" i="16"/>
  <c r="OR12" i="16" s="1"/>
  <c r="OS13" i="16"/>
  <c r="OS12" i="16" s="1"/>
  <c r="OT12" i="16" s="1"/>
  <c r="NQ8" i="16"/>
  <c r="OB9" i="16"/>
  <c r="OC9" i="16" s="1"/>
  <c r="NU12" i="16"/>
  <c r="NV12" i="16" s="1"/>
  <c r="NZ18" i="16"/>
  <c r="NJ5" i="16"/>
  <c r="NI12" i="16"/>
  <c r="NJ12" i="16" s="1"/>
  <c r="NI7" i="16"/>
  <c r="NJ7" i="16" s="1"/>
  <c r="MM12" i="16"/>
  <c r="MN12" i="16" s="1"/>
  <c r="MR7" i="16"/>
  <c r="MS7" i="16" s="1"/>
  <c r="MB5" i="16"/>
  <c r="LV18" i="16"/>
  <c r="LW18" i="16" s="1"/>
  <c r="LL10" i="16"/>
  <c r="LM10" i="16" s="1"/>
  <c r="LL17" i="16"/>
  <c r="LM17" i="16" s="1"/>
  <c r="KZ18" i="16"/>
  <c r="KI4" i="16"/>
  <c r="KJ4" i="16" s="1"/>
  <c r="KS4" i="16"/>
  <c r="KT4" i="16" s="1"/>
  <c r="JR18" i="16"/>
  <c r="KB18" i="16"/>
  <c r="KD9" i="16"/>
  <c r="KE9" i="16" s="1"/>
  <c r="JF18" i="16"/>
  <c r="JG18" i="16" s="1"/>
  <c r="IJ7" i="16"/>
  <c r="IK7" i="16" s="1"/>
  <c r="IO18" i="16"/>
  <c r="IP18" i="16" s="1"/>
  <c r="IO12" i="16"/>
  <c r="IP12" i="16" s="1"/>
  <c r="IC4" i="16"/>
  <c r="ID4" i="16" s="1"/>
  <c r="HS12" i="16"/>
  <c r="HT12" i="16" s="1"/>
  <c r="IC7" i="16"/>
  <c r="ID7" i="16" s="1"/>
  <c r="IC14" i="16"/>
  <c r="ID14" i="16" s="1"/>
  <c r="GU4" i="16"/>
  <c r="GV4" i="16" s="1"/>
  <c r="FM4" i="16"/>
  <c r="FN4" i="16" s="1"/>
  <c r="FC12" i="16"/>
  <c r="FD12" i="16" s="1"/>
  <c r="EV18" i="16"/>
  <c r="EW18" i="16" s="1"/>
  <c r="EV7" i="16"/>
  <c r="EW7" i="16" s="1"/>
  <c r="EE14" i="16"/>
  <c r="EF14" i="16" s="1"/>
  <c r="DE9" i="16"/>
  <c r="DD7" i="16"/>
  <c r="DE7" i="16" s="1"/>
  <c r="DI12" i="16"/>
  <c r="DJ12" i="16" s="1"/>
  <c r="CW4" i="16"/>
  <c r="CX4" i="16" s="1"/>
  <c r="CH10" i="16"/>
  <c r="CI10" i="16" s="1"/>
  <c r="BE7" i="16"/>
  <c r="BF7" i="16" s="1"/>
  <c r="AN18" i="16"/>
  <c r="AO18" i="16" s="1"/>
  <c r="SQ10" i="18"/>
  <c r="SR10" i="18" s="1"/>
  <c r="SJ18" i="18"/>
  <c r="SO12" i="18"/>
  <c r="SP12" i="18" s="1"/>
  <c r="RN4" i="18"/>
  <c r="RO4" i="18" s="1"/>
  <c r="RX7" i="18"/>
  <c r="RY7" i="18" s="1"/>
  <c r="RX14" i="18"/>
  <c r="RY14" i="18" s="1"/>
  <c r="RB18" i="18"/>
  <c r="RB21" i="18" s="1"/>
  <c r="RC21" i="18" s="1"/>
  <c r="RI8" i="18"/>
  <c r="RJ8" i="18" s="1"/>
  <c r="RB7" i="18"/>
  <c r="RC7" i="18" s="1"/>
  <c r="RI10" i="18"/>
  <c r="RJ10" i="18" s="1"/>
  <c r="QW12" i="18"/>
  <c r="QX12" i="18" s="1"/>
  <c r="RC13" i="18"/>
  <c r="RG14" i="18"/>
  <c r="RH14" i="18" s="1"/>
  <c r="QP14" i="18"/>
  <c r="QQ14" i="18" s="1"/>
  <c r="QP18" i="18"/>
  <c r="QQ18" i="18" s="1"/>
  <c r="QR15" i="18"/>
  <c r="QS15" i="18" s="1"/>
  <c r="PZ5" i="18"/>
  <c r="PT7" i="18"/>
  <c r="PU7" i="18" s="1"/>
  <c r="PT18" i="18"/>
  <c r="PU18" i="18" s="1"/>
  <c r="PC12" i="18"/>
  <c r="PD12" i="18" s="1"/>
  <c r="OX14" i="18"/>
  <c r="OY14" i="18" s="1"/>
  <c r="OX18" i="18"/>
  <c r="OY18" i="18" s="1"/>
  <c r="PC7" i="18"/>
  <c r="PD7" i="18" s="1"/>
  <c r="OX12" i="18"/>
  <c r="OY12" i="18" s="1"/>
  <c r="PJ15" i="18"/>
  <c r="OR8" i="18"/>
  <c r="OQ12" i="18"/>
  <c r="OR12" i="18" s="1"/>
  <c r="OS8" i="18"/>
  <c r="OT8" i="18" s="1"/>
  <c r="OG12" i="18"/>
  <c r="OH12" i="18" s="1"/>
  <c r="OQ18" i="18"/>
  <c r="OQ4" i="18"/>
  <c r="OR4" i="18" s="1"/>
  <c r="OL12" i="18"/>
  <c r="OM12" i="18" s="1"/>
  <c r="NZ14" i="18"/>
  <c r="OA14" i="18" s="1"/>
  <c r="NP7" i="18"/>
  <c r="NQ7" i="18" s="1"/>
  <c r="NZ12" i="18"/>
  <c r="OA12" i="18" s="1"/>
  <c r="OB13" i="18"/>
  <c r="OC13" i="18" s="1"/>
  <c r="NU7" i="18"/>
  <c r="NV7" i="18" s="1"/>
  <c r="NQ9" i="18"/>
  <c r="NP12" i="18"/>
  <c r="NQ12" i="18" s="1"/>
  <c r="NZ18" i="18"/>
  <c r="NI12" i="18"/>
  <c r="NJ12" i="18" s="1"/>
  <c r="ND18" i="18"/>
  <c r="MY4" i="18"/>
  <c r="MZ4" i="18" s="1"/>
  <c r="MH18" i="18"/>
  <c r="MR7" i="18"/>
  <c r="MS7" i="18" s="1"/>
  <c r="MM12" i="18"/>
  <c r="MN12" i="18" s="1"/>
  <c r="MC10" i="18"/>
  <c r="MD10" i="18" s="1"/>
  <c r="MA14" i="18"/>
  <c r="MB14" i="18" s="1"/>
  <c r="LW13" i="18"/>
  <c r="MC19" i="18"/>
  <c r="MD19" i="18" s="1"/>
  <c r="LE12" i="18"/>
  <c r="LF12" i="18" s="1"/>
  <c r="LJ12" i="18"/>
  <c r="LK12" i="18" s="1"/>
  <c r="LJ18" i="18"/>
  <c r="LJ4" i="18"/>
  <c r="LK4" i="18" s="1"/>
  <c r="KT5" i="18"/>
  <c r="KI7" i="18"/>
  <c r="KJ7" i="18" s="1"/>
  <c r="KI12" i="18"/>
  <c r="KJ12" i="18" s="1"/>
  <c r="KN12" i="18"/>
  <c r="KO12" i="18" s="1"/>
  <c r="KN18" i="18"/>
  <c r="KO18" i="18" s="1"/>
  <c r="KB7" i="18"/>
  <c r="KC7" i="18" s="1"/>
  <c r="KD8" i="18"/>
  <c r="KE8" i="18" s="1"/>
  <c r="KD16" i="18"/>
  <c r="KE16" i="18" s="1"/>
  <c r="KB14" i="18"/>
  <c r="KC14" i="18" s="1"/>
  <c r="JR7" i="18"/>
  <c r="JS7" i="18" s="1"/>
  <c r="JR12" i="18"/>
  <c r="JS12" i="18" s="1"/>
  <c r="JK7" i="18"/>
  <c r="JL7" i="18" s="1"/>
  <c r="JK12" i="18"/>
  <c r="JL12" i="18" s="1"/>
  <c r="JM6" i="18"/>
  <c r="JN6" i="18" s="1"/>
  <c r="JA7" i="18"/>
  <c r="JB7" i="18" s="1"/>
  <c r="JB10" i="18"/>
  <c r="JF12" i="18"/>
  <c r="JG12" i="18" s="1"/>
  <c r="IO12" i="18"/>
  <c r="IP12" i="18" s="1"/>
  <c r="IT14" i="18"/>
  <c r="IU14" i="18" s="1"/>
  <c r="IV16" i="18"/>
  <c r="IW16" i="18" s="1"/>
  <c r="IT12" i="18"/>
  <c r="IU12" i="18" s="1"/>
  <c r="IO14" i="18"/>
  <c r="IP14" i="18" s="1"/>
  <c r="IO18" i="18"/>
  <c r="IT4" i="18"/>
  <c r="IU4" i="18" s="1"/>
  <c r="IJ4" i="18"/>
  <c r="IK4" i="18" s="1"/>
  <c r="IO7" i="18"/>
  <c r="IP7" i="18" s="1"/>
  <c r="IT18" i="18"/>
  <c r="HS4" i="18"/>
  <c r="HT4" i="18" s="1"/>
  <c r="ID6" i="18"/>
  <c r="HX18" i="18"/>
  <c r="HY18" i="18" s="1"/>
  <c r="HS12" i="18"/>
  <c r="HT12" i="18" s="1"/>
  <c r="HX14" i="18"/>
  <c r="HY14" i="18" s="1"/>
  <c r="HS14" i="18"/>
  <c r="HT14" i="18" s="1"/>
  <c r="HL7" i="18"/>
  <c r="HM7" i="18" s="1"/>
  <c r="HB12" i="18"/>
  <c r="HC12" i="18" s="1"/>
  <c r="HN13" i="18"/>
  <c r="HO13" i="18" s="1"/>
  <c r="HB4" i="18"/>
  <c r="HC4" i="18" s="1"/>
  <c r="HG12" i="18"/>
  <c r="HH12" i="18" s="1"/>
  <c r="GK18" i="18"/>
  <c r="GQ13" i="18"/>
  <c r="GU4" i="18"/>
  <c r="GV4" i="18" s="1"/>
  <c r="GP7" i="18"/>
  <c r="GQ7" i="18" s="1"/>
  <c r="GW8" i="18"/>
  <c r="GX8" i="18" s="1"/>
  <c r="GW10" i="18"/>
  <c r="GX10" i="18" s="1"/>
  <c r="GW9" i="18"/>
  <c r="GX9" i="18" s="1"/>
  <c r="GD18" i="18"/>
  <c r="FM12" i="18"/>
  <c r="FN12" i="18" s="1"/>
  <c r="FN5" i="18"/>
  <c r="FM14" i="18"/>
  <c r="FN14" i="18" s="1"/>
  <c r="FH18" i="18"/>
  <c r="FI18" i="18" s="1"/>
  <c r="EQ14" i="18"/>
  <c r="ER14" i="18" s="1"/>
  <c r="EM16" i="18"/>
  <c r="EQ18" i="18"/>
  <c r="ER18" i="18" s="1"/>
  <c r="EV12" i="18"/>
  <c r="EW12" i="18" s="1"/>
  <c r="EL14" i="18"/>
  <c r="EM14" i="18" s="1"/>
  <c r="EF8" i="18"/>
  <c r="DZ12" i="18"/>
  <c r="EA12" i="18" s="1"/>
  <c r="EE14" i="18"/>
  <c r="EF14" i="18" s="1"/>
  <c r="DZ18" i="18"/>
  <c r="EA18" i="18" s="1"/>
  <c r="DN4" i="18"/>
  <c r="DO4" i="18" s="1"/>
  <c r="DI12" i="18"/>
  <c r="DJ12" i="18" s="1"/>
  <c r="DI18" i="18"/>
  <c r="DN12" i="18"/>
  <c r="DO12" i="18" s="1"/>
  <c r="DN18" i="18"/>
  <c r="DD14" i="18"/>
  <c r="DE14" i="18" s="1"/>
  <c r="CR7" i="18"/>
  <c r="CS7" i="18" s="1"/>
  <c r="CW4" i="18"/>
  <c r="CX4" i="18" s="1"/>
  <c r="BV4" i="18"/>
  <c r="BW4" i="18" s="1"/>
  <c r="CF12" i="18"/>
  <c r="CG12" i="18" s="1"/>
  <c r="CH17" i="18"/>
  <c r="CI17" i="18" s="1"/>
  <c r="CA18" i="18"/>
  <c r="CB18" i="18" s="1"/>
  <c r="BP5" i="18"/>
  <c r="BE14" i="18"/>
  <c r="BF14" i="18" s="1"/>
  <c r="AS14" i="18"/>
  <c r="AT14" i="18" s="1"/>
  <c r="AX18" i="18"/>
  <c r="TN5" i="20"/>
  <c r="TM7" i="20"/>
  <c r="TN7" i="20" s="1"/>
  <c r="TY10" i="20"/>
  <c r="TZ10" i="20" s="1"/>
  <c r="TY11" i="20"/>
  <c r="TZ11" i="20" s="1"/>
  <c r="TN11" i="20"/>
  <c r="TM18" i="20"/>
  <c r="TN18" i="20" s="1"/>
  <c r="TF14" i="20"/>
  <c r="TG14" i="20" s="1"/>
  <c r="TF18" i="20"/>
  <c r="SE4" i="20"/>
  <c r="SF4" i="20" s="1"/>
  <c r="SJ18" i="20"/>
  <c r="SK18" i="20" s="1"/>
  <c r="SO4" i="20"/>
  <c r="SP4" i="20" s="1"/>
  <c r="SQ9" i="20"/>
  <c r="SR9" i="20" s="1"/>
  <c r="SJ12" i="20"/>
  <c r="SK12" i="20" s="1"/>
  <c r="SO18" i="20"/>
  <c r="SP18" i="20" s="1"/>
  <c r="RS7" i="20"/>
  <c r="RT7" i="20" s="1"/>
  <c r="RS14" i="20"/>
  <c r="RT14" i="20" s="1"/>
  <c r="RS18" i="20"/>
  <c r="QW18" i="20"/>
  <c r="QX18" i="20" s="1"/>
  <c r="RG4" i="20"/>
  <c r="RH4" i="20" s="1"/>
  <c r="RG12" i="20"/>
  <c r="RH12" i="20" s="1"/>
  <c r="RB14" i="20"/>
  <c r="RC14" i="20" s="1"/>
  <c r="QX9" i="20"/>
  <c r="QW12" i="20"/>
  <c r="QX12" i="20" s="1"/>
  <c r="RG14" i="20"/>
  <c r="RH14" i="20" s="1"/>
  <c r="RB18" i="20"/>
  <c r="RC18" i="20" s="1"/>
  <c r="QP4" i="20"/>
  <c r="QQ4" i="20" s="1"/>
  <c r="QK12" i="20"/>
  <c r="QL12" i="20" s="1"/>
  <c r="QP14" i="20"/>
  <c r="QQ14" i="20" s="1"/>
  <c r="PO4" i="20"/>
  <c r="PP4" i="20" s="1"/>
  <c r="PP8" i="20"/>
  <c r="PO12" i="20"/>
  <c r="PP12" i="20" s="1"/>
  <c r="PT12" i="20"/>
  <c r="PU12" i="20" s="1"/>
  <c r="QA16" i="20"/>
  <c r="QB16" i="20" s="1"/>
  <c r="PT18" i="20"/>
  <c r="PU18" i="20" s="1"/>
  <c r="OX7" i="20"/>
  <c r="OY7" i="20" s="1"/>
  <c r="PC12" i="20"/>
  <c r="PD12" i="20" s="1"/>
  <c r="PC7" i="20"/>
  <c r="PD7" i="20" s="1"/>
  <c r="OX14" i="20"/>
  <c r="OY14" i="20" s="1"/>
  <c r="OG4" i="20"/>
  <c r="OH4" i="20" s="1"/>
  <c r="OR6" i="20"/>
  <c r="OH8" i="20"/>
  <c r="OS10" i="20"/>
  <c r="OT10" i="20" s="1"/>
  <c r="OL18" i="20"/>
  <c r="OS6" i="20"/>
  <c r="OT6" i="20" s="1"/>
  <c r="OQ18" i="20"/>
  <c r="OR18" i="20" s="1"/>
  <c r="OQ7" i="20"/>
  <c r="OR7" i="20" s="1"/>
  <c r="NZ18" i="20"/>
  <c r="OA18" i="20" s="1"/>
  <c r="MZ13" i="20"/>
  <c r="NK9" i="20"/>
  <c r="NL9" i="20" s="1"/>
  <c r="MZ19" i="20"/>
  <c r="NI7" i="20"/>
  <c r="NJ7" i="20" s="1"/>
  <c r="MY4" i="20"/>
  <c r="MZ4" i="20" s="1"/>
  <c r="NK11" i="20"/>
  <c r="NL11" i="20" s="1"/>
  <c r="MR7" i="20"/>
  <c r="MS7" i="20" s="1"/>
  <c r="MH14" i="20"/>
  <c r="MI14" i="20" s="1"/>
  <c r="MR4" i="20"/>
  <c r="MS4" i="20" s="1"/>
  <c r="MH12" i="20"/>
  <c r="MI12" i="20" s="1"/>
  <c r="LR9" i="20"/>
  <c r="MC9" i="20"/>
  <c r="MD9" i="20" s="1"/>
  <c r="LV12" i="20"/>
  <c r="LW12" i="20" s="1"/>
  <c r="MA14" i="20"/>
  <c r="MB14" i="20" s="1"/>
  <c r="LJ7" i="20"/>
  <c r="LK7" i="20" s="1"/>
  <c r="LJ18" i="20"/>
  <c r="LK18" i="20" s="1"/>
  <c r="LL10" i="20"/>
  <c r="LM10" i="20" s="1"/>
  <c r="KS7" i="20"/>
  <c r="KT7" i="20" s="1"/>
  <c r="KJ11" i="20"/>
  <c r="KS4" i="20"/>
  <c r="KT4" i="20" s="1"/>
  <c r="KN18" i="20"/>
  <c r="KO18" i="20" s="1"/>
  <c r="KN12" i="20"/>
  <c r="KO12" i="20" s="1"/>
  <c r="KI18" i="20"/>
  <c r="KJ18" i="20" s="1"/>
  <c r="KB7" i="20"/>
  <c r="KC7" i="20" s="1"/>
  <c r="KB4" i="20"/>
  <c r="KC4" i="20" s="1"/>
  <c r="JW12" i="20"/>
  <c r="JX12" i="20" s="1"/>
  <c r="JL5" i="20"/>
  <c r="JM9" i="20"/>
  <c r="JN9" i="20" s="1"/>
  <c r="IT7" i="20"/>
  <c r="IU7" i="20" s="1"/>
  <c r="IU5" i="20"/>
  <c r="IO7" i="20"/>
  <c r="IP7" i="20" s="1"/>
  <c r="IT14" i="20"/>
  <c r="IU14" i="20" s="1"/>
  <c r="IT18" i="20"/>
  <c r="IE10" i="20"/>
  <c r="IF10" i="20" s="1"/>
  <c r="IE9" i="20"/>
  <c r="IF9" i="20" s="1"/>
  <c r="HX18" i="20"/>
  <c r="IE11" i="20"/>
  <c r="IF11" i="20" s="1"/>
  <c r="HL7" i="20"/>
  <c r="HM7" i="20" s="1"/>
  <c r="HG18" i="20"/>
  <c r="HL18" i="20"/>
  <c r="HM18" i="20" s="1"/>
  <c r="GU14" i="20"/>
  <c r="GV14" i="20" s="1"/>
  <c r="GK4" i="20"/>
  <c r="GL4" i="20" s="1"/>
  <c r="GU4" i="20"/>
  <c r="GV4" i="20" s="1"/>
  <c r="GW11" i="20"/>
  <c r="GX11" i="20" s="1"/>
  <c r="GP12" i="20"/>
  <c r="GQ12" i="20" s="1"/>
  <c r="FU13" i="20"/>
  <c r="GD7" i="20"/>
  <c r="GE7" i="20" s="1"/>
  <c r="GF9" i="20"/>
  <c r="GG9" i="20" s="1"/>
  <c r="GF10" i="20"/>
  <c r="GG10" i="20" s="1"/>
  <c r="GF17" i="20"/>
  <c r="GG17" i="20" s="1"/>
  <c r="FO16" i="20"/>
  <c r="FP16" i="20" s="1"/>
  <c r="FC4" i="20"/>
  <c r="FD4" i="20" s="1"/>
  <c r="FH12" i="20"/>
  <c r="FI12" i="20" s="1"/>
  <c r="FO20" i="20"/>
  <c r="FO18" i="20" s="1"/>
  <c r="FP18" i="20" s="1"/>
  <c r="FM4" i="20"/>
  <c r="FN4" i="20" s="1"/>
  <c r="FM12" i="20"/>
  <c r="FN12" i="20" s="1"/>
  <c r="FM18" i="20"/>
  <c r="FN18" i="20" s="1"/>
  <c r="FO19" i="20"/>
  <c r="FP19" i="20" s="1"/>
  <c r="EL12" i="20"/>
  <c r="EM12" i="20" s="1"/>
  <c r="EQ18" i="20"/>
  <c r="ER18" i="20" s="1"/>
  <c r="EE7" i="20"/>
  <c r="EF7" i="20" s="1"/>
  <c r="EG10" i="20"/>
  <c r="EH10" i="20" s="1"/>
  <c r="EG17" i="20"/>
  <c r="EH17" i="20" s="1"/>
  <c r="DD4" i="20"/>
  <c r="DE4" i="20" s="1"/>
  <c r="DD7" i="20"/>
  <c r="DE7" i="20" s="1"/>
  <c r="DD12" i="20"/>
  <c r="DE12" i="20" s="1"/>
  <c r="CW7" i="20"/>
  <c r="CX7" i="20" s="1"/>
  <c r="CA18" i="20"/>
  <c r="CB18" i="20" s="1"/>
  <c r="CF14" i="20"/>
  <c r="CG14" i="20" s="1"/>
  <c r="BV4" i="20"/>
  <c r="BW4" i="20" s="1"/>
  <c r="CF7" i="20"/>
  <c r="CG7" i="20" s="1"/>
  <c r="CF18" i="20"/>
  <c r="BO12" i="20"/>
  <c r="BP12" i="20" s="1"/>
  <c r="BF9" i="20"/>
  <c r="BF10" i="20"/>
  <c r="BF6" i="20"/>
  <c r="BO14" i="20"/>
  <c r="BP14" i="20" s="1"/>
  <c r="BO7" i="20"/>
  <c r="BP7" i="20" s="1"/>
  <c r="BE7" i="20"/>
  <c r="BF7" i="20" s="1"/>
  <c r="AX4" i="20"/>
  <c r="AY4" i="20" s="1"/>
  <c r="AS18" i="20"/>
  <c r="AT18" i="20" s="1"/>
  <c r="AZ9" i="20"/>
  <c r="BA9" i="20" s="1"/>
  <c r="AZ10" i="20"/>
  <c r="BA10" i="20" s="1"/>
  <c r="AX14" i="20"/>
  <c r="AY14" i="20" s="1"/>
  <c r="RZ16" i="18"/>
  <c r="SA16" i="18" s="1"/>
  <c r="PJ16" i="18"/>
  <c r="PK16" i="18" s="1"/>
  <c r="OB16" i="18"/>
  <c r="OC16" i="18" s="1"/>
  <c r="LV4" i="18"/>
  <c r="LW4" i="18" s="1"/>
  <c r="LE4" i="18"/>
  <c r="LF4" i="18" s="1"/>
  <c r="IE16" i="18"/>
  <c r="IF16" i="18" s="1"/>
  <c r="HN16" i="18"/>
  <c r="HO16" i="18" s="1"/>
  <c r="GW16" i="18"/>
  <c r="GX16" i="18" s="1"/>
  <c r="FH4" i="18"/>
  <c r="FI4" i="18" s="1"/>
  <c r="DP16" i="18"/>
  <c r="DQ16" i="18" s="1"/>
  <c r="CH16" i="18"/>
  <c r="CI16" i="18" s="1"/>
  <c r="BJ14" i="18"/>
  <c r="BK14" i="18" s="1"/>
  <c r="BJ4" i="18"/>
  <c r="BK4" i="18" s="1"/>
  <c r="RB4" i="14"/>
  <c r="RC4" i="14" s="1"/>
  <c r="OL4" i="14"/>
  <c r="OM4" i="14" s="1"/>
  <c r="JW4" i="14"/>
  <c r="JX4" i="14" s="1"/>
  <c r="JF4" i="14"/>
  <c r="JG4" i="14" s="1"/>
  <c r="HX4" i="14"/>
  <c r="HY4" i="14" s="1"/>
  <c r="HG4" i="14"/>
  <c r="HH4" i="14" s="1"/>
  <c r="EQ14" i="14"/>
  <c r="ER14" i="14" s="1"/>
  <c r="EQ4" i="14"/>
  <c r="ER4" i="14" s="1"/>
  <c r="DZ14" i="14"/>
  <c r="EA14" i="14" s="1"/>
  <c r="DZ4" i="14"/>
  <c r="EA4" i="14" s="1"/>
  <c r="CR14" i="14"/>
  <c r="CS14" i="14" s="1"/>
  <c r="CR4" i="14"/>
  <c r="CS4" i="14" s="1"/>
  <c r="CH16" i="14"/>
  <c r="CI16" i="14" s="1"/>
  <c r="CA4" i="14"/>
  <c r="CB4" i="14" s="1"/>
  <c r="BJ14" i="14"/>
  <c r="BK14" i="14" s="1"/>
  <c r="AS14" i="14"/>
  <c r="AT14" i="14" s="1"/>
  <c r="K14" i="14"/>
  <c r="L14" i="14" s="1"/>
  <c r="OL4" i="16"/>
  <c r="OM4" i="16" s="1"/>
  <c r="TR14" i="20"/>
  <c r="TS14" i="20" s="1"/>
  <c r="SJ14" i="20"/>
  <c r="SK14" i="20" s="1"/>
  <c r="QR5" i="20"/>
  <c r="QS5" i="20" s="1"/>
  <c r="OL14" i="20"/>
  <c r="OM14" i="20" s="1"/>
  <c r="OB5" i="20"/>
  <c r="OC5" i="20" s="1"/>
  <c r="LV14" i="20"/>
  <c r="LW14" i="20" s="1"/>
  <c r="KU16" i="20"/>
  <c r="KV16" i="20" s="1"/>
  <c r="HX14" i="20"/>
  <c r="HY14" i="20" s="1"/>
  <c r="DZ14" i="20"/>
  <c r="EA14" i="20" s="1"/>
  <c r="DZ4" i="20"/>
  <c r="EA4" i="20" s="1"/>
  <c r="CR14" i="20"/>
  <c r="CS14" i="20" s="1"/>
  <c r="AB4" i="20"/>
  <c r="AC4" i="20" s="1"/>
  <c r="TH8" i="16"/>
  <c r="IV9" i="16"/>
  <c r="IW9" i="16" s="1"/>
  <c r="JA18" i="16"/>
  <c r="JB18" i="16" s="1"/>
  <c r="P4" i="16"/>
  <c r="Q4" i="16" s="1"/>
  <c r="JK4" i="16"/>
  <c r="JL4" i="16" s="1"/>
  <c r="SJ4" i="16"/>
  <c r="SK4" i="16" s="1"/>
  <c r="EE4" i="16"/>
  <c r="EF4" i="16" s="1"/>
  <c r="HL7" i="16"/>
  <c r="HM7" i="16" s="1"/>
  <c r="IT7" i="16"/>
  <c r="IU7" i="16" s="1"/>
  <c r="PH7" i="16"/>
  <c r="PI7" i="16" s="1"/>
  <c r="RX7" i="16"/>
  <c r="RY7" i="16" s="1"/>
  <c r="PO7" i="16"/>
  <c r="PP7" i="16" s="1"/>
  <c r="SQ8" i="16"/>
  <c r="FC7" i="16"/>
  <c r="FD7" i="16" s="1"/>
  <c r="IE9" i="16"/>
  <c r="IF9" i="16" s="1"/>
  <c r="SQ9" i="16"/>
  <c r="SR9" i="16" s="1"/>
  <c r="SW9" i="16"/>
  <c r="HX12" i="16"/>
  <c r="HY12" i="16" s="1"/>
  <c r="ND12" i="16"/>
  <c r="NE12" i="16" s="1"/>
  <c r="QP12" i="16"/>
  <c r="QQ12" i="16" s="1"/>
  <c r="FM14" i="16"/>
  <c r="FN14" i="16" s="1"/>
  <c r="TR14" i="16"/>
  <c r="TS14" i="16" s="1"/>
  <c r="FY4" i="16"/>
  <c r="FZ4" i="16" s="1"/>
  <c r="RG4" i="16"/>
  <c r="RH4" i="16" s="1"/>
  <c r="TW4" i="16"/>
  <c r="TX4" i="16" s="1"/>
  <c r="HS4" i="16"/>
  <c r="HT4" i="16" s="1"/>
  <c r="MY4" i="16"/>
  <c r="MZ4" i="16" s="1"/>
  <c r="BO4" i="16"/>
  <c r="BP4" i="16" s="1"/>
  <c r="GP4" i="16"/>
  <c r="GQ4" i="16" s="1"/>
  <c r="NU4" i="16"/>
  <c r="NV4" i="16" s="1"/>
  <c r="PY4" i="16"/>
  <c r="PZ4" i="16" s="1"/>
  <c r="RN4" i="16"/>
  <c r="RO4" i="16" s="1"/>
  <c r="SO4" i="16"/>
  <c r="SP4" i="16" s="1"/>
  <c r="RZ5" i="16"/>
  <c r="EG6" i="16"/>
  <c r="EH6" i="16" s="1"/>
  <c r="TY6" i="16"/>
  <c r="TZ6" i="16" s="1"/>
  <c r="MH7" i="16"/>
  <c r="MI7" i="16" s="1"/>
  <c r="NP7" i="16"/>
  <c r="NQ7" i="16" s="1"/>
  <c r="SE7" i="16"/>
  <c r="SF7" i="16" s="1"/>
  <c r="TW7" i="16"/>
  <c r="TX7" i="16" s="1"/>
  <c r="GK7" i="16"/>
  <c r="GL7" i="16" s="1"/>
  <c r="EL7" i="16"/>
  <c r="EM7" i="16" s="1"/>
  <c r="PJ9" i="16"/>
  <c r="PK9" i="16" s="1"/>
  <c r="IV10" i="16"/>
  <c r="IW10" i="16" s="1"/>
  <c r="PJ10" i="16"/>
  <c r="PK10" i="16" s="1"/>
  <c r="OS11" i="16"/>
  <c r="OT11" i="16" s="1"/>
  <c r="W12" i="16"/>
  <c r="X12" i="16" s="1"/>
  <c r="CM12" i="16"/>
  <c r="CN12" i="16" s="1"/>
  <c r="DU12" i="16"/>
  <c r="DV12" i="16" s="1"/>
  <c r="IC12" i="16"/>
  <c r="ID12" i="16" s="1"/>
  <c r="PT12" i="16"/>
  <c r="PU12" i="16" s="1"/>
  <c r="AX14" i="16"/>
  <c r="AY14" i="16" s="1"/>
  <c r="AS14" i="16"/>
  <c r="AT14" i="16" s="1"/>
  <c r="SQ17" i="16"/>
  <c r="SR17" i="16" s="1"/>
  <c r="KB4" i="16"/>
  <c r="KC4" i="16" s="1"/>
  <c r="TA4" i="16"/>
  <c r="TB4" i="16" s="1"/>
  <c r="F7" i="16"/>
  <c r="G7" i="16" s="1"/>
  <c r="CY9" i="16"/>
  <c r="CZ9" i="16" s="1"/>
  <c r="KI7" i="16"/>
  <c r="KJ7" i="16" s="1"/>
  <c r="NK9" i="16"/>
  <c r="NL9" i="16" s="1"/>
  <c r="CR12" i="16"/>
  <c r="CS12" i="16" s="1"/>
  <c r="LJ12" i="16"/>
  <c r="LK12" i="16" s="1"/>
  <c r="RN14" i="16"/>
  <c r="RO14" i="16" s="1"/>
  <c r="OB17" i="16"/>
  <c r="OC17" i="16" s="1"/>
  <c r="EX19" i="16"/>
  <c r="EY19" i="16" s="1"/>
  <c r="CA4" i="16"/>
  <c r="CB4" i="16" s="1"/>
  <c r="TY5" i="16"/>
  <c r="TM4" i="16"/>
  <c r="TN4" i="16" s="1"/>
  <c r="JF4" i="16"/>
  <c r="JG4" i="16" s="1"/>
  <c r="AG4" i="16"/>
  <c r="AH4" i="16" s="1"/>
  <c r="DU4" i="16"/>
  <c r="DV4" i="16" s="1"/>
  <c r="CF4" i="16"/>
  <c r="CG4" i="16" s="1"/>
  <c r="CG5" i="16"/>
  <c r="CS8" i="16"/>
  <c r="CR7" i="16"/>
  <c r="CS7" i="16" s="1"/>
  <c r="OB10" i="16"/>
  <c r="OC10" i="16" s="1"/>
  <c r="L19" i="16"/>
  <c r="K18" i="16"/>
  <c r="DP6" i="16"/>
  <c r="DQ6" i="16" s="1"/>
  <c r="GF6" i="16"/>
  <c r="GG6" i="16" s="1"/>
  <c r="MM4" i="16"/>
  <c r="MN4" i="16" s="1"/>
  <c r="DZ7" i="16"/>
  <c r="EA7" i="16" s="1"/>
  <c r="MT9" i="16"/>
  <c r="MU9" i="16" s="1"/>
  <c r="RZ9" i="16"/>
  <c r="SA9" i="16" s="1"/>
  <c r="GF10" i="16"/>
  <c r="GG10" i="16" s="1"/>
  <c r="KD10" i="16"/>
  <c r="KE10" i="16" s="1"/>
  <c r="NK10" i="16"/>
  <c r="NL10" i="16" s="1"/>
  <c r="PP10" i="16"/>
  <c r="TY10" i="16"/>
  <c r="TZ10" i="16" s="1"/>
  <c r="TY11" i="16"/>
  <c r="TZ11" i="16" s="1"/>
  <c r="CF12" i="16"/>
  <c r="CG12" i="16" s="1"/>
  <c r="MR12" i="16"/>
  <c r="MS12" i="16" s="1"/>
  <c r="OG12" i="16"/>
  <c r="OH12" i="16" s="1"/>
  <c r="TW12" i="16"/>
  <c r="TX12" i="16" s="1"/>
  <c r="TY13" i="16"/>
  <c r="K14" i="16"/>
  <c r="L14" i="16" s="1"/>
  <c r="CA14" i="16"/>
  <c r="CB14" i="16" s="1"/>
  <c r="GD14" i="16"/>
  <c r="GE14" i="16" s="1"/>
  <c r="JA14" i="16"/>
  <c r="JB14" i="16" s="1"/>
  <c r="LJ14" i="16"/>
  <c r="LK14" i="16" s="1"/>
  <c r="PC14" i="16"/>
  <c r="PD14" i="16" s="1"/>
  <c r="KB14" i="16"/>
  <c r="KC14" i="16" s="1"/>
  <c r="TS16" i="16"/>
  <c r="AT17" i="16"/>
  <c r="BO18" i="16"/>
  <c r="BP18" i="16" s="1"/>
  <c r="DZ18" i="16"/>
  <c r="EA18" i="16" s="1"/>
  <c r="KS18" i="16"/>
  <c r="KT18" i="16" s="1"/>
  <c r="Q19" i="16"/>
  <c r="P18" i="16"/>
  <c r="Q18" i="16" s="1"/>
  <c r="R20" i="16"/>
  <c r="LL20" i="16"/>
  <c r="QR20" i="16"/>
  <c r="QR18" i="16" s="1"/>
  <c r="QS18" i="16" s="1"/>
  <c r="IV6" i="16"/>
  <c r="IW6" i="16" s="1"/>
  <c r="PT4" i="16"/>
  <c r="PU4" i="16" s="1"/>
  <c r="JR7" i="16"/>
  <c r="JS7" i="16" s="1"/>
  <c r="AZ10" i="16"/>
  <c r="BA10" i="16" s="1"/>
  <c r="DP10" i="16"/>
  <c r="DQ10" i="16" s="1"/>
  <c r="EX10" i="16"/>
  <c r="EY10" i="16" s="1"/>
  <c r="IE10" i="16"/>
  <c r="IF10" i="16" s="1"/>
  <c r="MT10" i="16"/>
  <c r="MU10" i="16" s="1"/>
  <c r="EG11" i="16"/>
  <c r="EH11" i="16" s="1"/>
  <c r="HL12" i="16"/>
  <c r="HM12" i="16" s="1"/>
  <c r="QW12" i="16"/>
  <c r="QX12" i="16" s="1"/>
  <c r="SJ12" i="16"/>
  <c r="SK12" i="16" s="1"/>
  <c r="TF12" i="16"/>
  <c r="TG12" i="16" s="1"/>
  <c r="HG14" i="16"/>
  <c r="HH14" i="16" s="1"/>
  <c r="JR14" i="16"/>
  <c r="JS14" i="16" s="1"/>
  <c r="MM14" i="16"/>
  <c r="MN14" i="16" s="1"/>
  <c r="CH16" i="16"/>
  <c r="CI16" i="16" s="1"/>
  <c r="IV17" i="16"/>
  <c r="IW17" i="16" s="1"/>
  <c r="NK17" i="16"/>
  <c r="NL17" i="16" s="1"/>
  <c r="QA17" i="16"/>
  <c r="QB17" i="16" s="1"/>
  <c r="JW18" i="16"/>
  <c r="OX18" i="16"/>
  <c r="OY18" i="16" s="1"/>
  <c r="PY18" i="16"/>
  <c r="PZ18" i="16" s="1"/>
  <c r="TR18" i="16"/>
  <c r="TR21" i="16" s="1"/>
  <c r="TS21" i="16" s="1"/>
  <c r="AI19" i="16"/>
  <c r="AJ19" i="16" s="1"/>
  <c r="CM18" i="16"/>
  <c r="KD19" i="16"/>
  <c r="KE19" i="16" s="1"/>
  <c r="JR4" i="16"/>
  <c r="JS4" i="16" s="1"/>
  <c r="MH4" i="16"/>
  <c r="MI4" i="16" s="1"/>
  <c r="LE4" i="16"/>
  <c r="LF4" i="16" s="1"/>
  <c r="OS6" i="16"/>
  <c r="OT6" i="16" s="1"/>
  <c r="W7" i="16"/>
  <c r="X7" i="16" s="1"/>
  <c r="DI7" i="16"/>
  <c r="DJ7" i="16" s="1"/>
  <c r="IE8" i="16"/>
  <c r="LL9" i="16"/>
  <c r="LM9" i="16" s="1"/>
  <c r="QR9" i="16"/>
  <c r="QS9" i="16" s="1"/>
  <c r="R10" i="16"/>
  <c r="S10" i="16" s="1"/>
  <c r="CY10" i="16"/>
  <c r="CZ10" i="16" s="1"/>
  <c r="HN10" i="16"/>
  <c r="HO10" i="16" s="1"/>
  <c r="JM11" i="16"/>
  <c r="JN11" i="16" s="1"/>
  <c r="RS12" i="16"/>
  <c r="RT12" i="16" s="1"/>
  <c r="L13" i="16"/>
  <c r="K12" i="16"/>
  <c r="JW14" i="16"/>
  <c r="JX14" i="16" s="1"/>
  <c r="NZ14" i="16"/>
  <c r="OA14" i="16" s="1"/>
  <c r="PY14" i="16"/>
  <c r="PZ14" i="16" s="1"/>
  <c r="RS14" i="16"/>
  <c r="RT14" i="16" s="1"/>
  <c r="GF17" i="16"/>
  <c r="GG17" i="16" s="1"/>
  <c r="TY17" i="16"/>
  <c r="TZ17" i="16" s="1"/>
  <c r="LJ18" i="16"/>
  <c r="LK18" i="16" s="1"/>
  <c r="PC18" i="16"/>
  <c r="CX20" i="16"/>
  <c r="EX20" i="16"/>
  <c r="NP18" i="16"/>
  <c r="HG18" i="16"/>
  <c r="HH18" i="16" s="1"/>
  <c r="HG4" i="16"/>
  <c r="HH4" i="16" s="1"/>
  <c r="OL14" i="16"/>
  <c r="OM14" i="16" s="1"/>
  <c r="OM6" i="16"/>
  <c r="QK4" i="16"/>
  <c r="QL4" i="16" s="1"/>
  <c r="PU6" i="16"/>
  <c r="QA6" i="16"/>
  <c r="QB6" i="16" s="1"/>
  <c r="PC4" i="16"/>
  <c r="PD4" i="16" s="1"/>
  <c r="NK8" i="16"/>
  <c r="NL8" i="16" s="1"/>
  <c r="MN6" i="16"/>
  <c r="LV14" i="16"/>
  <c r="LW14" i="16" s="1"/>
  <c r="LF6" i="16"/>
  <c r="LL6" i="16"/>
  <c r="LM6" i="16" s="1"/>
  <c r="KU6" i="16"/>
  <c r="KV6" i="16" s="1"/>
  <c r="KD8" i="16"/>
  <c r="JF14" i="16"/>
  <c r="JG14" i="16" s="1"/>
  <c r="JM6" i="16"/>
  <c r="JN6" i="16" s="1"/>
  <c r="IV8" i="16"/>
  <c r="IW8" i="16" s="1"/>
  <c r="HX4" i="16"/>
  <c r="HY4" i="16" s="1"/>
  <c r="GP14" i="16"/>
  <c r="GQ14" i="16" s="1"/>
  <c r="FH4" i="16"/>
  <c r="FI4" i="16" s="1"/>
  <c r="FO6" i="16"/>
  <c r="FP6" i="16" s="1"/>
  <c r="EQ14" i="16"/>
  <c r="ER14" i="16" s="1"/>
  <c r="EX8" i="16"/>
  <c r="EY8" i="16" s="1"/>
  <c r="EQ4" i="16"/>
  <c r="ER4" i="16" s="1"/>
  <c r="DZ14" i="16"/>
  <c r="DI4" i="16"/>
  <c r="DJ4" i="16" s="1"/>
  <c r="CR14" i="16"/>
  <c r="CS14" i="16" s="1"/>
  <c r="CA7" i="16"/>
  <c r="CB7" i="16" s="1"/>
  <c r="BQ15" i="16"/>
  <c r="BR15" i="16" s="1"/>
  <c r="AS4" i="16"/>
  <c r="AT4" i="16" s="1"/>
  <c r="AZ6" i="16"/>
  <c r="BA6" i="16" s="1"/>
  <c r="AB7" i="16"/>
  <c r="AC7" i="16" s="1"/>
  <c r="AI6" i="16"/>
  <c r="AJ6" i="16" s="1"/>
  <c r="K7" i="16"/>
  <c r="L7" i="16" s="1"/>
  <c r="K4" i="16"/>
  <c r="L4" i="16" s="1"/>
  <c r="SJ14" i="18"/>
  <c r="SK14" i="18" s="1"/>
  <c r="RS14" i="18"/>
  <c r="RT14" i="18" s="1"/>
  <c r="RZ15" i="18"/>
  <c r="QK4" i="18"/>
  <c r="QL4" i="18" s="1"/>
  <c r="PC14" i="18"/>
  <c r="PD14" i="18" s="1"/>
  <c r="PC4" i="18"/>
  <c r="PD4" i="18" s="1"/>
  <c r="OL4" i="18"/>
  <c r="OM4" i="18" s="1"/>
  <c r="ND14" i="18"/>
  <c r="NE14" i="18" s="1"/>
  <c r="ND7" i="18"/>
  <c r="NE7" i="18" s="1"/>
  <c r="LV7" i="18"/>
  <c r="LW7" i="18" s="1"/>
  <c r="JW14" i="18"/>
  <c r="JX14" i="18" s="1"/>
  <c r="JF7" i="18"/>
  <c r="JG7" i="18" s="1"/>
  <c r="JF4" i="18"/>
  <c r="JG4" i="18" s="1"/>
  <c r="HG14" i="18"/>
  <c r="HH14" i="18" s="1"/>
  <c r="FY4" i="18"/>
  <c r="FZ4" i="18" s="1"/>
  <c r="FH7" i="18"/>
  <c r="FI7" i="18" s="1"/>
  <c r="EX6" i="18"/>
  <c r="EY6" i="18" s="1"/>
  <c r="DZ7" i="18"/>
  <c r="EA7" i="18" s="1"/>
  <c r="EG8" i="18"/>
  <c r="EH8" i="18" s="1"/>
  <c r="DI7" i="18"/>
  <c r="DJ7" i="18" s="1"/>
  <c r="CA4" i="18"/>
  <c r="CB4" i="18" s="1"/>
  <c r="AS4" i="18"/>
  <c r="AT4" i="18" s="1"/>
  <c r="R8" i="18"/>
  <c r="S8" i="18" s="1"/>
  <c r="K4" i="18"/>
  <c r="L4" i="18" s="1"/>
  <c r="LL6" i="14"/>
  <c r="LM6" i="14" s="1"/>
  <c r="LA6" i="14"/>
  <c r="AB4" i="14"/>
  <c r="AC4" i="14" s="1"/>
  <c r="AG4" i="14"/>
  <c r="AH4" i="14" s="1"/>
  <c r="IO4" i="14"/>
  <c r="IP4" i="14" s="1"/>
  <c r="QK4" i="14"/>
  <c r="QL4" i="14" s="1"/>
  <c r="TF4" i="14"/>
  <c r="TG4" i="14" s="1"/>
  <c r="AI5" i="14"/>
  <c r="AJ5" i="14" s="1"/>
  <c r="KO5" i="14"/>
  <c r="LW5" i="14"/>
  <c r="MN5" i="14"/>
  <c r="NV5" i="14"/>
  <c r="PU5" i="14"/>
  <c r="RT5" i="14"/>
  <c r="SK5" i="14"/>
  <c r="DP6" i="14"/>
  <c r="DQ6" i="14" s="1"/>
  <c r="DE6" i="14"/>
  <c r="IV6" i="14"/>
  <c r="IW6" i="14" s="1"/>
  <c r="IK6" i="14"/>
  <c r="OB6" i="14"/>
  <c r="OC6" i="14" s="1"/>
  <c r="NQ6" i="14"/>
  <c r="TH6" i="14"/>
  <c r="TI6" i="14" s="1"/>
  <c r="SW6" i="14"/>
  <c r="MH7" i="14"/>
  <c r="MI7" i="14" s="1"/>
  <c r="NI7" i="14"/>
  <c r="NJ7" i="14" s="1"/>
  <c r="OG7" i="14"/>
  <c r="OH7" i="14" s="1"/>
  <c r="SJ7" i="14"/>
  <c r="SK7" i="14" s="1"/>
  <c r="TM7" i="14"/>
  <c r="TN7" i="14" s="1"/>
  <c r="CH6" i="14"/>
  <c r="CI6" i="14" s="1"/>
  <c r="BW6" i="14"/>
  <c r="MT6" i="14"/>
  <c r="MU6" i="14" s="1"/>
  <c r="MI6" i="14"/>
  <c r="EL7" i="14"/>
  <c r="EM7" i="14" s="1"/>
  <c r="ND7" i="14"/>
  <c r="NE7" i="14" s="1"/>
  <c r="NZ7" i="14"/>
  <c r="OA7" i="14" s="1"/>
  <c r="K4" i="14"/>
  <c r="L4" i="14" s="1"/>
  <c r="BJ4" i="14"/>
  <c r="BK4" i="14" s="1"/>
  <c r="DI4" i="14"/>
  <c r="DJ4" i="14" s="1"/>
  <c r="GP4" i="14"/>
  <c r="GQ4" i="14" s="1"/>
  <c r="R5" i="14"/>
  <c r="S5" i="14" s="1"/>
  <c r="P4" i="14"/>
  <c r="Q4" i="14" s="1"/>
  <c r="FH4" i="14"/>
  <c r="FI4" i="14" s="1"/>
  <c r="EX6" i="14"/>
  <c r="EY6" i="14" s="1"/>
  <c r="EM6" i="14"/>
  <c r="KD6" i="14"/>
  <c r="KE6" i="14" s="1"/>
  <c r="JS6" i="14"/>
  <c r="PJ6" i="14"/>
  <c r="PK6" i="14" s="1"/>
  <c r="OY6" i="14"/>
  <c r="F7" i="14"/>
  <c r="G7" i="14" s="1"/>
  <c r="FH7" i="14"/>
  <c r="FI7" i="14" s="1"/>
  <c r="GD7" i="14"/>
  <c r="GE7" i="14" s="1"/>
  <c r="HB7" i="14"/>
  <c r="HC7" i="14" s="1"/>
  <c r="HX7" i="14"/>
  <c r="HY7" i="14" s="1"/>
  <c r="IT7" i="14"/>
  <c r="IU7" i="14" s="1"/>
  <c r="JR7" i="14"/>
  <c r="JS7" i="14" s="1"/>
  <c r="KN7" i="14"/>
  <c r="KO7" i="14" s="1"/>
  <c r="LJ7" i="14"/>
  <c r="LK7" i="14" s="1"/>
  <c r="MM7" i="14"/>
  <c r="MN7" i="14" s="1"/>
  <c r="PT7" i="14"/>
  <c r="PU7" i="14" s="1"/>
  <c r="QP7" i="14"/>
  <c r="QQ7" i="14" s="1"/>
  <c r="RN7" i="14"/>
  <c r="RO7" i="14" s="1"/>
  <c r="SO7" i="14"/>
  <c r="SP7" i="14" s="1"/>
  <c r="QR6" i="14"/>
  <c r="QS6" i="14" s="1"/>
  <c r="QG6" i="14"/>
  <c r="AT5" i="14"/>
  <c r="AS4" i="14"/>
  <c r="AT4" i="14" s="1"/>
  <c r="GF6" i="14"/>
  <c r="GG6" i="14" s="1"/>
  <c r="FU6" i="14"/>
  <c r="BP5" i="14"/>
  <c r="BO4" i="14"/>
  <c r="BP4" i="14" s="1"/>
  <c r="EF5" i="14"/>
  <c r="EE4" i="14"/>
  <c r="EF4" i="14" s="1"/>
  <c r="GV5" i="14"/>
  <c r="GU4" i="14"/>
  <c r="GV4" i="14" s="1"/>
  <c r="HN6" i="14"/>
  <c r="HO6" i="14" s="1"/>
  <c r="HC6" i="14"/>
  <c r="RZ6" i="14"/>
  <c r="SA6" i="14" s="1"/>
  <c r="RO6" i="14"/>
  <c r="TF7" i="14"/>
  <c r="TG7" i="14" s="1"/>
  <c r="BF8" i="14"/>
  <c r="BE7" i="14"/>
  <c r="BF7" i="14" s="1"/>
  <c r="DV8" i="14"/>
  <c r="DU7" i="14"/>
  <c r="DV7" i="14" s="1"/>
  <c r="MR7" i="14"/>
  <c r="MS7" i="14" s="1"/>
  <c r="PH7" i="14"/>
  <c r="PI7" i="14" s="1"/>
  <c r="RZ11" i="14"/>
  <c r="SA11" i="14" s="1"/>
  <c r="TY11" i="14"/>
  <c r="TZ11" i="14" s="1"/>
  <c r="BE12" i="14"/>
  <c r="BF12" i="14" s="1"/>
  <c r="KS12" i="14"/>
  <c r="KT12" i="14" s="1"/>
  <c r="NU12" i="14"/>
  <c r="NV12" i="14" s="1"/>
  <c r="TA12" i="14"/>
  <c r="TB12" i="14" s="1"/>
  <c r="SK13" i="14"/>
  <c r="P14" i="14"/>
  <c r="Q14" i="14" s="1"/>
  <c r="DN14" i="14"/>
  <c r="DO14" i="14" s="1"/>
  <c r="AN18" i="14"/>
  <c r="DD18" i="14"/>
  <c r="FT18" i="14"/>
  <c r="CR4" i="16"/>
  <c r="CS4" i="16" s="1"/>
  <c r="HL4" i="16"/>
  <c r="HM4" i="16" s="1"/>
  <c r="ND4" i="16"/>
  <c r="NE4" i="16" s="1"/>
  <c r="HT5" i="16"/>
  <c r="RC5" i="16"/>
  <c r="R6" i="16"/>
  <c r="S6" i="16" s="1"/>
  <c r="DN4" i="16"/>
  <c r="DO4" i="16" s="1"/>
  <c r="EX6" i="16"/>
  <c r="EY6" i="16" s="1"/>
  <c r="IT4" i="16"/>
  <c r="IU4" i="16" s="1"/>
  <c r="KD6" i="16"/>
  <c r="KE6" i="16" s="1"/>
  <c r="NZ4" i="16"/>
  <c r="OA4" i="16" s="1"/>
  <c r="PJ6" i="16"/>
  <c r="PK6" i="16" s="1"/>
  <c r="TF4" i="16"/>
  <c r="TG4" i="16" s="1"/>
  <c r="PJ8" i="16"/>
  <c r="PK8" i="16" s="1"/>
  <c r="OY8" i="16"/>
  <c r="R9" i="16"/>
  <c r="S9" i="16" s="1"/>
  <c r="G9" i="16"/>
  <c r="EX9" i="16"/>
  <c r="EY9" i="16" s="1"/>
  <c r="EM9" i="16"/>
  <c r="OT13" i="16"/>
  <c r="TY5" i="14"/>
  <c r="R6" i="14"/>
  <c r="S6" i="14" s="1"/>
  <c r="AI6" i="14"/>
  <c r="AJ6" i="14" s="1"/>
  <c r="AZ6" i="14"/>
  <c r="BA6" i="14" s="1"/>
  <c r="BQ6" i="14"/>
  <c r="BR6" i="14" s="1"/>
  <c r="CY6" i="14"/>
  <c r="CZ6" i="14" s="1"/>
  <c r="EG6" i="14"/>
  <c r="EH6" i="14" s="1"/>
  <c r="FO6" i="14"/>
  <c r="FP6" i="14" s="1"/>
  <c r="GW6" i="14"/>
  <c r="GX6" i="14" s="1"/>
  <c r="IE6" i="14"/>
  <c r="IF6" i="14" s="1"/>
  <c r="JM6" i="14"/>
  <c r="JN6" i="14" s="1"/>
  <c r="KU6" i="14"/>
  <c r="KV6" i="14" s="1"/>
  <c r="MC6" i="14"/>
  <c r="MD6" i="14" s="1"/>
  <c r="NK6" i="14"/>
  <c r="NL6" i="14" s="1"/>
  <c r="OS6" i="14"/>
  <c r="OT6" i="14" s="1"/>
  <c r="QA6" i="14"/>
  <c r="QB6" i="14" s="1"/>
  <c r="RI6" i="14"/>
  <c r="RJ6" i="14" s="1"/>
  <c r="SQ6" i="14"/>
  <c r="SR6" i="14" s="1"/>
  <c r="TY6" i="14"/>
  <c r="TZ6" i="14" s="1"/>
  <c r="MA7" i="14"/>
  <c r="MB7" i="14" s="1"/>
  <c r="OQ7" i="14"/>
  <c r="OR7" i="14" s="1"/>
  <c r="SE7" i="14"/>
  <c r="SF7" i="14" s="1"/>
  <c r="TA7" i="14"/>
  <c r="TB7" i="14" s="1"/>
  <c r="TW7" i="14"/>
  <c r="TX7" i="14" s="1"/>
  <c r="RI11" i="14"/>
  <c r="RJ11" i="14" s="1"/>
  <c r="RO11" i="14"/>
  <c r="TS11" i="14"/>
  <c r="DU12" i="14"/>
  <c r="DV12" i="14" s="1"/>
  <c r="GK12" i="14"/>
  <c r="GL12" i="14" s="1"/>
  <c r="HG12" i="14"/>
  <c r="HH12" i="14" s="1"/>
  <c r="JW12" i="14"/>
  <c r="JX12" i="14" s="1"/>
  <c r="KZ12" i="14"/>
  <c r="LA12" i="14" s="1"/>
  <c r="MY12" i="14"/>
  <c r="MZ12" i="14" s="1"/>
  <c r="PH12" i="14"/>
  <c r="PI12" i="14" s="1"/>
  <c r="QP12" i="14"/>
  <c r="QQ12" i="14" s="1"/>
  <c r="CF14" i="14"/>
  <c r="CG14" i="14" s="1"/>
  <c r="TR14" i="14"/>
  <c r="TS14" i="14" s="1"/>
  <c r="AZ16" i="14"/>
  <c r="BA16" i="14" s="1"/>
  <c r="TH6" i="16"/>
  <c r="TI6" i="16" s="1"/>
  <c r="EM8" i="16"/>
  <c r="GF8" i="16"/>
  <c r="GG8" i="16" s="1"/>
  <c r="FU8" i="16"/>
  <c r="JS8" i="16"/>
  <c r="LL8" i="16"/>
  <c r="LM8" i="16" s="1"/>
  <c r="LA8" i="16"/>
  <c r="RZ8" i="16"/>
  <c r="CH9" i="16"/>
  <c r="CI9" i="16" s="1"/>
  <c r="HN9" i="16"/>
  <c r="HO9" i="16" s="1"/>
  <c r="TZ13" i="16"/>
  <c r="TY12" i="16"/>
  <c r="TZ12" i="16" s="1"/>
  <c r="F18" i="14"/>
  <c r="BV18" i="14"/>
  <c r="EL18" i="14"/>
  <c r="EM18" i="14" s="1"/>
  <c r="IJ18" i="14"/>
  <c r="IK18" i="14" s="1"/>
  <c r="KZ18" i="14"/>
  <c r="PO18" i="14"/>
  <c r="SE18" i="14"/>
  <c r="SE21" i="14" s="1"/>
  <c r="SF21" i="14" s="1"/>
  <c r="IV19" i="14"/>
  <c r="IW19" i="14" s="1"/>
  <c r="TH20" i="14"/>
  <c r="TY20" i="14"/>
  <c r="AB4" i="16"/>
  <c r="AC4" i="16" s="1"/>
  <c r="BJ4" i="16"/>
  <c r="BK4" i="16" s="1"/>
  <c r="DZ4" i="16"/>
  <c r="EA4" i="16" s="1"/>
  <c r="EV4" i="16"/>
  <c r="EW4" i="16" s="1"/>
  <c r="IO4" i="16"/>
  <c r="IP4" i="16" s="1"/>
  <c r="JW4" i="16"/>
  <c r="JX4" i="16" s="1"/>
  <c r="KN4" i="16"/>
  <c r="KO4" i="16" s="1"/>
  <c r="LV4" i="16"/>
  <c r="LW4" i="16" s="1"/>
  <c r="PH4" i="16"/>
  <c r="PI4" i="16" s="1"/>
  <c r="SE4" i="16"/>
  <c r="SF4" i="16" s="1"/>
  <c r="R5" i="16"/>
  <c r="AI5" i="16"/>
  <c r="AJ5" i="16" s="1"/>
  <c r="AZ5" i="16"/>
  <c r="BA5" i="16" s="1"/>
  <c r="BQ5" i="16"/>
  <c r="CH5" i="16"/>
  <c r="CY5" i="16"/>
  <c r="DP5" i="16"/>
  <c r="EG5" i="16"/>
  <c r="EF5" i="16"/>
  <c r="OS5" i="16"/>
  <c r="OT5" i="16" s="1"/>
  <c r="RT5" i="16"/>
  <c r="TB5" i="16"/>
  <c r="TN5" i="16"/>
  <c r="X6" i="16"/>
  <c r="AX4" i="16"/>
  <c r="AY4" i="16" s="1"/>
  <c r="CH6" i="16"/>
  <c r="CI6" i="16" s="1"/>
  <c r="DV6" i="16"/>
  <c r="FD6" i="16"/>
  <c r="GD4" i="16"/>
  <c r="GE4" i="16" s="1"/>
  <c r="HN6" i="16"/>
  <c r="HO6" i="16" s="1"/>
  <c r="JB6" i="16"/>
  <c r="KJ6" i="16"/>
  <c r="LJ4" i="16"/>
  <c r="LK4" i="16" s="1"/>
  <c r="MT6" i="16"/>
  <c r="MU6" i="16" s="1"/>
  <c r="OH6" i="16"/>
  <c r="PP6" i="16"/>
  <c r="QP4" i="16"/>
  <c r="QQ4" i="16" s="1"/>
  <c r="RZ6" i="16"/>
  <c r="SA6" i="16" s="1"/>
  <c r="TN6" i="16"/>
  <c r="HH8" i="16"/>
  <c r="HN8" i="16"/>
  <c r="HO8" i="16" s="1"/>
  <c r="MN8" i="16"/>
  <c r="MT8" i="16"/>
  <c r="QR11" i="14"/>
  <c r="QS11" i="14" s="1"/>
  <c r="SF11" i="14"/>
  <c r="TB11" i="14"/>
  <c r="IC12" i="14"/>
  <c r="ID12" i="14" s="1"/>
  <c r="LJ12" i="14"/>
  <c r="LK12" i="14" s="1"/>
  <c r="PY12" i="14"/>
  <c r="PZ12" i="14" s="1"/>
  <c r="CA14" i="14"/>
  <c r="CB14" i="14" s="1"/>
  <c r="EE14" i="14"/>
  <c r="EF14" i="14" s="1"/>
  <c r="KU19" i="14"/>
  <c r="KV19" i="14" s="1"/>
  <c r="EX5" i="16"/>
  <c r="EY5" i="16" s="1"/>
  <c r="FO5" i="16"/>
  <c r="GF5" i="16"/>
  <c r="GW5" i="16"/>
  <c r="RI5" i="16"/>
  <c r="RI4" i="16" s="1"/>
  <c r="RJ4" i="16" s="1"/>
  <c r="SQ5" i="16"/>
  <c r="BQ6" i="16"/>
  <c r="BR6" i="16" s="1"/>
  <c r="CY6" i="16"/>
  <c r="CZ6" i="16" s="1"/>
  <c r="GW6" i="16"/>
  <c r="GX6" i="16" s="1"/>
  <c r="IE6" i="16"/>
  <c r="IF6" i="16" s="1"/>
  <c r="MC6" i="16"/>
  <c r="MD6" i="16" s="1"/>
  <c r="NK6" i="16"/>
  <c r="NL6" i="16" s="1"/>
  <c r="QR6" i="16"/>
  <c r="QS6" i="16" s="1"/>
  <c r="RI6" i="16"/>
  <c r="RJ6" i="16" s="1"/>
  <c r="SQ6" i="16"/>
  <c r="SR6" i="16" s="1"/>
  <c r="AS7" i="16"/>
  <c r="AT7" i="16" s="1"/>
  <c r="QR8" i="16"/>
  <c r="QS8" i="16" s="1"/>
  <c r="AZ9" i="16"/>
  <c r="BA9" i="16" s="1"/>
  <c r="GF9" i="16"/>
  <c r="GG9" i="16" s="1"/>
  <c r="QG8" i="16"/>
  <c r="AO9" i="16"/>
  <c r="FU9" i="16"/>
  <c r="LA9" i="16"/>
  <c r="QG9" i="16"/>
  <c r="AO10" i="16"/>
  <c r="FU10" i="16"/>
  <c r="LA10" i="16"/>
  <c r="TN10" i="16"/>
  <c r="AI11" i="16"/>
  <c r="AJ11" i="16" s="1"/>
  <c r="DV11" i="16"/>
  <c r="FO11" i="16"/>
  <c r="FP11" i="16" s="1"/>
  <c r="JB11" i="16"/>
  <c r="KU11" i="16"/>
  <c r="KV11" i="16" s="1"/>
  <c r="OH11" i="16"/>
  <c r="QA11" i="16"/>
  <c r="QB11" i="16" s="1"/>
  <c r="TN11" i="16"/>
  <c r="L12" i="16"/>
  <c r="AB12" i="16"/>
  <c r="AC12" i="16" s="1"/>
  <c r="AX12" i="16"/>
  <c r="AY12" i="16" s="1"/>
  <c r="EQ12" i="16"/>
  <c r="ER12" i="16" s="1"/>
  <c r="FH12" i="16"/>
  <c r="FI12" i="16" s="1"/>
  <c r="GD12" i="16"/>
  <c r="GE12" i="16" s="1"/>
  <c r="KB12" i="16"/>
  <c r="KC12" i="16" s="1"/>
  <c r="Q13" i="16"/>
  <c r="EG13" i="16"/>
  <c r="EW13" i="16"/>
  <c r="JM13" i="16"/>
  <c r="JN13" i="16" s="1"/>
  <c r="OH13" i="16"/>
  <c r="BJ14" i="16"/>
  <c r="BK14" i="16" s="1"/>
  <c r="CY15" i="16"/>
  <c r="CZ15" i="16" s="1"/>
  <c r="HN16" i="16"/>
  <c r="HO16" i="16" s="1"/>
  <c r="OS17" i="16"/>
  <c r="OT17" i="16" s="1"/>
  <c r="QR17" i="16"/>
  <c r="QS17" i="16" s="1"/>
  <c r="SF17" i="16"/>
  <c r="MS20" i="16"/>
  <c r="MR18" i="16"/>
  <c r="GW8" i="16"/>
  <c r="GX8" i="16" s="1"/>
  <c r="MC8" i="16"/>
  <c r="RI8" i="16"/>
  <c r="RO8" i="16"/>
  <c r="BQ9" i="16"/>
  <c r="BR9" i="16" s="1"/>
  <c r="BW9" i="16"/>
  <c r="GW9" i="16"/>
  <c r="GX9" i="16" s="1"/>
  <c r="HC9" i="16"/>
  <c r="MC9" i="16"/>
  <c r="MD9" i="16" s="1"/>
  <c r="MI9" i="16"/>
  <c r="RI9" i="16"/>
  <c r="RJ9" i="16" s="1"/>
  <c r="RO9" i="16"/>
  <c r="BQ10" i="16"/>
  <c r="BR10" i="16" s="1"/>
  <c r="BW10" i="16"/>
  <c r="GW10" i="16"/>
  <c r="GX10" i="16" s="1"/>
  <c r="HC10" i="16"/>
  <c r="MC10" i="16"/>
  <c r="MD10" i="16" s="1"/>
  <c r="MI10" i="16"/>
  <c r="AG12" i="16"/>
  <c r="AH12" i="16" s="1"/>
  <c r="DN12" i="16"/>
  <c r="DO12" i="16" s="1"/>
  <c r="DZ12" i="16"/>
  <c r="EA12" i="16" s="1"/>
  <c r="FM12" i="16"/>
  <c r="FN12" i="16" s="1"/>
  <c r="JF12" i="16"/>
  <c r="JG12" i="16" s="1"/>
  <c r="PH12" i="16"/>
  <c r="PI12" i="16" s="1"/>
  <c r="PY12" i="16"/>
  <c r="PZ12" i="16" s="1"/>
  <c r="JB13" i="16"/>
  <c r="AG14" i="16"/>
  <c r="AH14" i="16" s="1"/>
  <c r="BO14" i="16"/>
  <c r="BP14" i="16" s="1"/>
  <c r="DI14" i="16"/>
  <c r="DJ14" i="16" s="1"/>
  <c r="FC14" i="16"/>
  <c r="FD14" i="16" s="1"/>
  <c r="HB14" i="16"/>
  <c r="HC14" i="16" s="1"/>
  <c r="IT14" i="16"/>
  <c r="IU14" i="16" s="1"/>
  <c r="RI17" i="16"/>
  <c r="RJ17" i="16" s="1"/>
  <c r="TH17" i="16"/>
  <c r="TI17" i="16" s="1"/>
  <c r="GV20" i="16"/>
  <c r="GU18" i="16"/>
  <c r="EG15" i="16"/>
  <c r="EH15" i="16" s="1"/>
  <c r="BK20" i="16"/>
  <c r="BJ18" i="16"/>
  <c r="BK18" i="16" s="1"/>
  <c r="CG20" i="16"/>
  <c r="CF18" i="16"/>
  <c r="CG18" i="16" s="1"/>
  <c r="FI20" i="16"/>
  <c r="FH18" i="16"/>
  <c r="FI18" i="16" s="1"/>
  <c r="IU20" i="16"/>
  <c r="IT18" i="16"/>
  <c r="IU18" i="16" s="1"/>
  <c r="KD20" i="16"/>
  <c r="LM20" i="16"/>
  <c r="LL18" i="16"/>
  <c r="LM18" i="16" s="1"/>
  <c r="SK20" i="16"/>
  <c r="SJ18" i="16"/>
  <c r="SK18" i="16" s="1"/>
  <c r="TB20" i="16"/>
  <c r="TA18" i="16"/>
  <c r="TX20" i="16"/>
  <c r="TW18" i="16"/>
  <c r="TX18" i="16" s="1"/>
  <c r="JS9" i="16"/>
  <c r="OY9" i="16"/>
  <c r="G10" i="16"/>
  <c r="EM10" i="16"/>
  <c r="JS10" i="16"/>
  <c r="OY10" i="16"/>
  <c r="AI15" i="16"/>
  <c r="AJ15" i="16" s="1"/>
  <c r="FO17" i="16"/>
  <c r="FP17" i="16" s="1"/>
  <c r="GW17" i="16"/>
  <c r="GX17" i="16" s="1"/>
  <c r="IE17" i="16"/>
  <c r="IF17" i="16" s="1"/>
  <c r="JM17" i="16"/>
  <c r="JN17" i="16" s="1"/>
  <c r="KU17" i="16"/>
  <c r="KV17" i="16" s="1"/>
  <c r="MC17" i="16"/>
  <c r="MD17" i="16" s="1"/>
  <c r="PP17" i="16"/>
  <c r="EL18" i="16"/>
  <c r="PJ20" i="16"/>
  <c r="PJ18" i="16" s="1"/>
  <c r="PK18" i="16" s="1"/>
  <c r="DI4" i="18"/>
  <c r="DJ4" i="18" s="1"/>
  <c r="EE4" i="18"/>
  <c r="EF4" i="18" s="1"/>
  <c r="DP6" i="18"/>
  <c r="DQ6" i="18" s="1"/>
  <c r="EG6" i="18"/>
  <c r="EH6" i="18" s="1"/>
  <c r="NK6" i="18"/>
  <c r="NL6" i="18" s="1"/>
  <c r="OB6" i="18"/>
  <c r="OC6" i="18" s="1"/>
  <c r="OS6" i="18"/>
  <c r="OT6" i="18" s="1"/>
  <c r="DU7" i="18"/>
  <c r="DV7" i="18" s="1"/>
  <c r="GK7" i="18"/>
  <c r="GL7" i="18" s="1"/>
  <c r="IE8" i="18"/>
  <c r="IF8" i="18" s="1"/>
  <c r="IV8" i="18"/>
  <c r="IW8" i="18" s="1"/>
  <c r="JM8" i="18"/>
  <c r="JN8" i="18" s="1"/>
  <c r="SQ8" i="18"/>
  <c r="SR8" i="18" s="1"/>
  <c r="TH8" i="18"/>
  <c r="TI8" i="18" s="1"/>
  <c r="TY8" i="18"/>
  <c r="TZ8" i="18" s="1"/>
  <c r="IE9" i="18"/>
  <c r="IF9" i="18" s="1"/>
  <c r="IV9" i="18"/>
  <c r="IW9" i="18" s="1"/>
  <c r="JM9" i="18"/>
  <c r="JN9" i="18" s="1"/>
  <c r="MC9" i="18"/>
  <c r="MD9" i="18" s="1"/>
  <c r="OS9" i="18"/>
  <c r="OT9" i="18" s="1"/>
  <c r="FO10" i="18"/>
  <c r="FP10" i="18" s="1"/>
  <c r="KU10" i="18"/>
  <c r="KV10" i="18" s="1"/>
  <c r="QA10" i="18"/>
  <c r="QB10" i="18" s="1"/>
  <c r="CH11" i="18"/>
  <c r="CI11" i="18" s="1"/>
  <c r="DP11" i="18"/>
  <c r="DQ11" i="18" s="1"/>
  <c r="MT11" i="18"/>
  <c r="MU11" i="18" s="1"/>
  <c r="OB11" i="18"/>
  <c r="OC11" i="18" s="1"/>
  <c r="P12" i="18"/>
  <c r="Q12" i="18" s="1"/>
  <c r="AG12" i="18"/>
  <c r="AH12" i="18" s="1"/>
  <c r="BE12" i="18"/>
  <c r="BF12" i="18" s="1"/>
  <c r="BV12" i="18"/>
  <c r="BW12" i="18" s="1"/>
  <c r="CH13" i="18"/>
  <c r="TH16" i="18"/>
  <c r="TI16" i="18" s="1"/>
  <c r="SW16" i="18"/>
  <c r="R17" i="18"/>
  <c r="S17" i="18" s="1"/>
  <c r="AO19" i="18"/>
  <c r="AN18" i="18"/>
  <c r="AO18" i="18" s="1"/>
  <c r="DE19" i="18"/>
  <c r="DD18" i="18"/>
  <c r="DE18" i="18" s="1"/>
  <c r="FU19" i="18"/>
  <c r="FT18" i="18"/>
  <c r="FU18" i="18" s="1"/>
  <c r="IK19" i="18"/>
  <c r="IJ18" i="18"/>
  <c r="IK18" i="18" s="1"/>
  <c r="LA19" i="18"/>
  <c r="KZ18" i="18"/>
  <c r="LA18" i="18" s="1"/>
  <c r="AH20" i="18"/>
  <c r="AG18" i="18"/>
  <c r="AH18" i="18" s="1"/>
  <c r="CX20" i="18"/>
  <c r="CW18" i="18"/>
  <c r="JX20" i="18"/>
  <c r="JW18" i="18"/>
  <c r="JX18" i="18" s="1"/>
  <c r="AH5" i="20"/>
  <c r="AG4" i="20"/>
  <c r="AH4" i="20" s="1"/>
  <c r="BP5" i="20"/>
  <c r="BO4" i="20"/>
  <c r="BP4" i="20" s="1"/>
  <c r="DO5" i="20"/>
  <c r="DN4" i="20"/>
  <c r="DO4" i="20" s="1"/>
  <c r="EW5" i="20"/>
  <c r="EV4" i="20"/>
  <c r="EW4" i="20" s="1"/>
  <c r="RT5" i="20"/>
  <c r="RZ5" i="20"/>
  <c r="SA5" i="20" s="1"/>
  <c r="TF4" i="20"/>
  <c r="TG4" i="20" s="1"/>
  <c r="TG5" i="20"/>
  <c r="JX6" i="20"/>
  <c r="KD6" i="20"/>
  <c r="KE6" i="20" s="1"/>
  <c r="LJ4" i="20"/>
  <c r="LK4" i="20" s="1"/>
  <c r="LK6" i="20"/>
  <c r="PU6" i="20"/>
  <c r="QA6" i="20"/>
  <c r="QB6" i="20" s="1"/>
  <c r="RC6" i="20"/>
  <c r="RI6" i="20"/>
  <c r="RJ6" i="20" s="1"/>
  <c r="RI8" i="20"/>
  <c r="RJ8" i="20" s="1"/>
  <c r="QX8" i="20"/>
  <c r="QW7" i="20"/>
  <c r="QX7" i="20" s="1"/>
  <c r="TG8" i="20"/>
  <c r="TF7" i="20"/>
  <c r="TG7" i="20" s="1"/>
  <c r="HM15" i="18"/>
  <c r="IU15" i="18"/>
  <c r="OA15" i="18"/>
  <c r="G16" i="18"/>
  <c r="FU16" i="18"/>
  <c r="IK16" i="18"/>
  <c r="LK16" i="18"/>
  <c r="MT16" i="18"/>
  <c r="MU16" i="18" s="1"/>
  <c r="AZ17" i="18"/>
  <c r="BA17" i="18" s="1"/>
  <c r="KS18" i="18"/>
  <c r="NI18" i="18"/>
  <c r="NJ18" i="18" s="1"/>
  <c r="PY18" i="18"/>
  <c r="QW18" i="18"/>
  <c r="NQ19" i="18"/>
  <c r="NP18" i="18"/>
  <c r="NQ18" i="18" s="1"/>
  <c r="CG20" i="18"/>
  <c r="CF18" i="18"/>
  <c r="EW20" i="18"/>
  <c r="EV18" i="18"/>
  <c r="EW18" i="18" s="1"/>
  <c r="HM20" i="18"/>
  <c r="HL18" i="18"/>
  <c r="HM18" i="18" s="1"/>
  <c r="JG20" i="18"/>
  <c r="JF18" i="18"/>
  <c r="KC20" i="18"/>
  <c r="KB18" i="18"/>
  <c r="LW20" i="18"/>
  <c r="LV18" i="18"/>
  <c r="LW18" i="18" s="1"/>
  <c r="MS20" i="18"/>
  <c r="MR18" i="18"/>
  <c r="OM20" i="18"/>
  <c r="OL18" i="18"/>
  <c r="OM18" i="18" s="1"/>
  <c r="PI20" i="18"/>
  <c r="PH18" i="18"/>
  <c r="PI18" i="18" s="1"/>
  <c r="MA4" i="20"/>
  <c r="MB4" i="20" s="1"/>
  <c r="Q5" i="20"/>
  <c r="P4" i="20"/>
  <c r="Q4" i="20" s="1"/>
  <c r="AI5" i="20"/>
  <c r="AJ5" i="20" s="1"/>
  <c r="AZ5" i="20"/>
  <c r="BA5" i="20" s="1"/>
  <c r="BQ5" i="20"/>
  <c r="BR5" i="20" s="1"/>
  <c r="CH5" i="20"/>
  <c r="CY5" i="20"/>
  <c r="CZ5" i="20" s="1"/>
  <c r="DP5" i="20"/>
  <c r="DQ5" i="20" s="1"/>
  <c r="EG5" i="20"/>
  <c r="EH5" i="20" s="1"/>
  <c r="EX5" i="20"/>
  <c r="EY5" i="20" s="1"/>
  <c r="HT5" i="20"/>
  <c r="IV5" i="20"/>
  <c r="IW5" i="20" s="1"/>
  <c r="IK5" i="20"/>
  <c r="IJ4" i="20"/>
  <c r="IK4" i="20" s="1"/>
  <c r="OX4" i="20"/>
  <c r="OY4" i="20" s="1"/>
  <c r="PJ5" i="20"/>
  <c r="PK5" i="20" s="1"/>
  <c r="OY5" i="20"/>
  <c r="PH4" i="20"/>
  <c r="PI4" i="20" s="1"/>
  <c r="PI6" i="20"/>
  <c r="AG7" i="20"/>
  <c r="AH7" i="20" s="1"/>
  <c r="AH8" i="20"/>
  <c r="FI8" i="20"/>
  <c r="FO8" i="20"/>
  <c r="FP8" i="20" s="1"/>
  <c r="FH7" i="20"/>
  <c r="FI7" i="20" s="1"/>
  <c r="JB8" i="20"/>
  <c r="JA7" i="20"/>
  <c r="JB7" i="20" s="1"/>
  <c r="KO8" i="20"/>
  <c r="KN7" i="20"/>
  <c r="KO7" i="20" s="1"/>
  <c r="DP19" i="16"/>
  <c r="DQ19" i="16" s="1"/>
  <c r="IV19" i="16"/>
  <c r="IW19" i="16" s="1"/>
  <c r="OB19" i="16"/>
  <c r="OC19" i="16" s="1"/>
  <c r="TH19" i="16"/>
  <c r="TI19" i="16" s="1"/>
  <c r="DP20" i="16"/>
  <c r="DQ20" i="16" s="1"/>
  <c r="EL4" i="18"/>
  <c r="EM4" i="18" s="1"/>
  <c r="JK4" i="18"/>
  <c r="JL4" i="18" s="1"/>
  <c r="NU4" i="18"/>
  <c r="NV4" i="18" s="1"/>
  <c r="QP4" i="18"/>
  <c r="QQ4" i="18" s="1"/>
  <c r="IE6" i="18"/>
  <c r="IF6" i="18" s="1"/>
  <c r="IV6" i="18"/>
  <c r="IW6" i="18" s="1"/>
  <c r="JB6" i="18"/>
  <c r="SQ6" i="18"/>
  <c r="SR6" i="18" s="1"/>
  <c r="TH6" i="18"/>
  <c r="TI6" i="18" s="1"/>
  <c r="TN6" i="18"/>
  <c r="TY6" i="18"/>
  <c r="TZ6" i="18" s="1"/>
  <c r="AB7" i="18"/>
  <c r="AC7" i="18" s="1"/>
  <c r="EQ7" i="18"/>
  <c r="ER7" i="18" s="1"/>
  <c r="LE7" i="18"/>
  <c r="LF7" i="18" s="1"/>
  <c r="OG7" i="18"/>
  <c r="OH7" i="18" s="1"/>
  <c r="SJ7" i="18"/>
  <c r="SK7" i="18" s="1"/>
  <c r="TR7" i="18"/>
  <c r="TS7" i="18" s="1"/>
  <c r="CY8" i="18"/>
  <c r="CZ8" i="18" s="1"/>
  <c r="DP8" i="18"/>
  <c r="DV8" i="18"/>
  <c r="NK8" i="18"/>
  <c r="NL8" i="18" s="1"/>
  <c r="OB8" i="18"/>
  <c r="OC8" i="18" s="1"/>
  <c r="OH8" i="18"/>
  <c r="CY9" i="18"/>
  <c r="CZ9" i="18" s="1"/>
  <c r="DP9" i="18"/>
  <c r="DQ9" i="18" s="1"/>
  <c r="DV9" i="18"/>
  <c r="HT10" i="18"/>
  <c r="MZ10" i="18"/>
  <c r="SF10" i="18"/>
  <c r="HN11" i="18"/>
  <c r="HO11" i="18" s="1"/>
  <c r="IV11" i="18"/>
  <c r="IW11" i="18" s="1"/>
  <c r="RZ11" i="18"/>
  <c r="SA11" i="18" s="1"/>
  <c r="TH11" i="18"/>
  <c r="TI11" i="18" s="1"/>
  <c r="CW12" i="18"/>
  <c r="CX12" i="18" s="1"/>
  <c r="HL12" i="18"/>
  <c r="HM12" i="18" s="1"/>
  <c r="IC12" i="18"/>
  <c r="ID12" i="18" s="1"/>
  <c r="MR12" i="18"/>
  <c r="MS12" i="18" s="1"/>
  <c r="RS12" i="18"/>
  <c r="RT12" i="18" s="1"/>
  <c r="RZ13" i="18"/>
  <c r="SA13" i="18" s="1"/>
  <c r="TH13" i="18"/>
  <c r="AX14" i="18"/>
  <c r="AY14" i="18" s="1"/>
  <c r="BO14" i="18"/>
  <c r="BP14" i="18" s="1"/>
  <c r="CR14" i="18"/>
  <c r="CS14" i="18" s="1"/>
  <c r="FH14" i="18"/>
  <c r="FI14" i="18" s="1"/>
  <c r="GD14" i="18"/>
  <c r="GE14" i="18" s="1"/>
  <c r="LE14" i="18"/>
  <c r="LF14" i="18" s="1"/>
  <c r="MM14" i="18"/>
  <c r="MN14" i="18" s="1"/>
  <c r="NI14" i="18"/>
  <c r="NJ14" i="18" s="1"/>
  <c r="HN15" i="18"/>
  <c r="IV15" i="18"/>
  <c r="IW15" i="18" s="1"/>
  <c r="NP14" i="18"/>
  <c r="NQ14" i="18" s="1"/>
  <c r="BQ16" i="18"/>
  <c r="BR16" i="18" s="1"/>
  <c r="BW16" i="18"/>
  <c r="JS16" i="18"/>
  <c r="LL16" i="18"/>
  <c r="LM16" i="18" s="1"/>
  <c r="LA16" i="18"/>
  <c r="MC16" i="18"/>
  <c r="MD16" i="18" s="1"/>
  <c r="NK16" i="18"/>
  <c r="NL16" i="18" s="1"/>
  <c r="NQ16" i="18"/>
  <c r="PI16" i="18"/>
  <c r="P18" i="18"/>
  <c r="FM18" i="18"/>
  <c r="IC18" i="18"/>
  <c r="QF18" i="18"/>
  <c r="QG18" i="18" s="1"/>
  <c r="MZ19" i="18"/>
  <c r="MY18" i="18"/>
  <c r="MZ18" i="18" s="1"/>
  <c r="GV20" i="18"/>
  <c r="GU18" i="18"/>
  <c r="IE20" i="18"/>
  <c r="HH5" i="20"/>
  <c r="HN5" i="20"/>
  <c r="HO5" i="20" s="1"/>
  <c r="TH5" i="20"/>
  <c r="CH6" i="20"/>
  <c r="CI6" i="20" s="1"/>
  <c r="BW6" i="20"/>
  <c r="LL6" i="20"/>
  <c r="LM6" i="20" s="1"/>
  <c r="MH4" i="20"/>
  <c r="MI4" i="20" s="1"/>
  <c r="MI6" i="20"/>
  <c r="QF4" i="20"/>
  <c r="QG4" i="20" s="1"/>
  <c r="QR6" i="20"/>
  <c r="QS6" i="20" s="1"/>
  <c r="QG6" i="20"/>
  <c r="RN4" i="20"/>
  <c r="RO4" i="20" s="1"/>
  <c r="RZ6" i="20"/>
  <c r="SA6" i="20" s="1"/>
  <c r="RO6" i="20"/>
  <c r="TW4" i="20"/>
  <c r="TX4" i="20" s="1"/>
  <c r="TX6" i="20"/>
  <c r="GW8" i="20"/>
  <c r="GX8" i="20" s="1"/>
  <c r="HN8" i="20"/>
  <c r="HO8" i="20" s="1"/>
  <c r="HB7" i="20"/>
  <c r="HC7" i="20" s="1"/>
  <c r="DD18" i="16"/>
  <c r="CH19" i="16"/>
  <c r="CI19" i="16" s="1"/>
  <c r="HN19" i="16"/>
  <c r="HO19" i="16" s="1"/>
  <c r="MT19" i="16"/>
  <c r="MU19" i="16" s="1"/>
  <c r="RZ19" i="16"/>
  <c r="SA19" i="16" s="1"/>
  <c r="CH20" i="16"/>
  <c r="CH18" i="16" s="1"/>
  <c r="CI18" i="16" s="1"/>
  <c r="AX4" i="18"/>
  <c r="AY4" i="18" s="1"/>
  <c r="DZ4" i="18"/>
  <c r="EA4" i="18" s="1"/>
  <c r="EV4" i="18"/>
  <c r="EW4" i="18" s="1"/>
  <c r="GP4" i="18"/>
  <c r="GQ4" i="18" s="1"/>
  <c r="IO4" i="18"/>
  <c r="IP4" i="18" s="1"/>
  <c r="OX4" i="18"/>
  <c r="OY4" i="18" s="1"/>
  <c r="RB4" i="18"/>
  <c r="RC4" i="18" s="1"/>
  <c r="RX4" i="18"/>
  <c r="RY4" i="18" s="1"/>
  <c r="JA4" i="18"/>
  <c r="JB4" i="18" s="1"/>
  <c r="GW6" i="18"/>
  <c r="GX6" i="18" s="1"/>
  <c r="KD6" i="18"/>
  <c r="KE6" i="18" s="1"/>
  <c r="RI6" i="18"/>
  <c r="RJ6" i="18" s="1"/>
  <c r="F7" i="18"/>
  <c r="G7" i="18" s="1"/>
  <c r="AG7" i="18"/>
  <c r="AH7" i="18" s="1"/>
  <c r="BJ7" i="18"/>
  <c r="BK7" i="18" s="1"/>
  <c r="DN7" i="18"/>
  <c r="DO7" i="18" s="1"/>
  <c r="EV7" i="18"/>
  <c r="EW7" i="18" s="1"/>
  <c r="HX7" i="18"/>
  <c r="HY7" i="18" s="1"/>
  <c r="KN7" i="18"/>
  <c r="KO7" i="18" s="1"/>
  <c r="LQ7" i="18"/>
  <c r="LR7" i="18" s="1"/>
  <c r="QW7" i="18"/>
  <c r="QX7" i="18" s="1"/>
  <c r="SV7" i="18"/>
  <c r="SW7" i="18" s="1"/>
  <c r="BQ8" i="18"/>
  <c r="BR8" i="18" s="1"/>
  <c r="EX8" i="18"/>
  <c r="EY8" i="18" s="1"/>
  <c r="MC8" i="18"/>
  <c r="MD8" i="18" s="1"/>
  <c r="PJ8" i="18"/>
  <c r="PK8" i="18" s="1"/>
  <c r="BQ9" i="18"/>
  <c r="BR9" i="18" s="1"/>
  <c r="EX9" i="18"/>
  <c r="EY9" i="18" s="1"/>
  <c r="LR10" i="18"/>
  <c r="QX10" i="18"/>
  <c r="AX12" i="18"/>
  <c r="AY12" i="18" s="1"/>
  <c r="BO12" i="18"/>
  <c r="BP12" i="18" s="1"/>
  <c r="PH12" i="18"/>
  <c r="PI12" i="18" s="1"/>
  <c r="QK12" i="18"/>
  <c r="QL12" i="18" s="1"/>
  <c r="RX12" i="18"/>
  <c r="RY12" i="18" s="1"/>
  <c r="K14" i="18"/>
  <c r="L14" i="18" s="1"/>
  <c r="GU14" i="18"/>
  <c r="GV14" i="18" s="1"/>
  <c r="KN14" i="18"/>
  <c r="KO14" i="18" s="1"/>
  <c r="MR14" i="18"/>
  <c r="MS14" i="18" s="1"/>
  <c r="GF15" i="18"/>
  <c r="GG15" i="18" s="1"/>
  <c r="MT15" i="18"/>
  <c r="MU15" i="18" s="1"/>
  <c r="CY16" i="18"/>
  <c r="CZ16" i="18" s="1"/>
  <c r="DE16" i="18"/>
  <c r="QR16" i="18"/>
  <c r="QS16" i="18" s="1"/>
  <c r="QG16" i="18"/>
  <c r="MM18" i="18"/>
  <c r="MN18" i="18" s="1"/>
  <c r="PC18" i="18"/>
  <c r="SO18" i="18"/>
  <c r="BF19" i="18"/>
  <c r="BE18" i="18"/>
  <c r="DV19" i="18"/>
  <c r="DU18" i="18"/>
  <c r="DV18" i="18" s="1"/>
  <c r="JB19" i="18"/>
  <c r="JA18" i="18"/>
  <c r="JB18" i="18" s="1"/>
  <c r="CF4" i="20"/>
  <c r="CG4" i="20" s="1"/>
  <c r="EE4" i="20"/>
  <c r="EF4" i="20" s="1"/>
  <c r="NI4" i="20"/>
  <c r="NJ4" i="20" s="1"/>
  <c r="GF5" i="20"/>
  <c r="GG5" i="20" s="1"/>
  <c r="HL4" i="20"/>
  <c r="HM4" i="20" s="1"/>
  <c r="HM5" i="20"/>
  <c r="JS5" i="20"/>
  <c r="KD5" i="20"/>
  <c r="KE5" i="20" s="1"/>
  <c r="MN5" i="20"/>
  <c r="MT5" i="20"/>
  <c r="MU5" i="20" s="1"/>
  <c r="NZ4" i="20"/>
  <c r="OA4" i="20" s="1"/>
  <c r="OA5" i="20"/>
  <c r="HN6" i="20"/>
  <c r="HO6" i="20" s="1"/>
  <c r="CY8" i="20"/>
  <c r="CZ8" i="20" s="1"/>
  <c r="AC9" i="20"/>
  <c r="AI9" i="20"/>
  <c r="AJ9" i="20" s="1"/>
  <c r="BJ4" i="20"/>
  <c r="BK4" i="20" s="1"/>
  <c r="EL4" i="20"/>
  <c r="EM4" i="20" s="1"/>
  <c r="HB4" i="20"/>
  <c r="HC4" i="20" s="1"/>
  <c r="KZ4" i="20"/>
  <c r="LA4" i="20" s="1"/>
  <c r="NP4" i="20"/>
  <c r="NQ4" i="20" s="1"/>
  <c r="SV4" i="20"/>
  <c r="SW4" i="20" s="1"/>
  <c r="MS5" i="20"/>
  <c r="NQ5" i="20"/>
  <c r="RY5" i="20"/>
  <c r="SW5" i="20"/>
  <c r="HC6" i="20"/>
  <c r="KC6" i="20"/>
  <c r="LA6" i="20"/>
  <c r="FM7" i="20"/>
  <c r="FN7" i="20" s="1"/>
  <c r="SO7" i="20"/>
  <c r="SP7" i="20" s="1"/>
  <c r="X8" i="20"/>
  <c r="AI8" i="20"/>
  <c r="AJ8" i="20" s="1"/>
  <c r="CX8" i="20"/>
  <c r="KT8" i="20"/>
  <c r="OM8" i="20"/>
  <c r="OS8" i="20"/>
  <c r="OT8" i="20" s="1"/>
  <c r="K18" i="18"/>
  <c r="L18" i="18" s="1"/>
  <c r="BJ18" i="18"/>
  <c r="AN4" i="20"/>
  <c r="AO4" i="20" s="1"/>
  <c r="CM4" i="20"/>
  <c r="CN4" i="20" s="1"/>
  <c r="DU4" i="20"/>
  <c r="DV4" i="20" s="1"/>
  <c r="AZ8" i="20"/>
  <c r="BA8" i="20" s="1"/>
  <c r="BF8" i="20"/>
  <c r="CN8" i="20"/>
  <c r="EG8" i="20"/>
  <c r="EH8" i="20" s="1"/>
  <c r="DV8" i="20"/>
  <c r="GF8" i="20"/>
  <c r="GG8" i="20" s="1"/>
  <c r="GL8" i="20"/>
  <c r="KU8" i="20"/>
  <c r="KV8" i="20" s="1"/>
  <c r="KJ8" i="20"/>
  <c r="CY11" i="20"/>
  <c r="CZ11" i="20" s="1"/>
  <c r="RI11" i="20"/>
  <c r="RJ11" i="20" s="1"/>
  <c r="IE20" i="20"/>
  <c r="IF20" i="20" s="1"/>
  <c r="CH9" i="20"/>
  <c r="CI9" i="20" s="1"/>
  <c r="CN9" i="20"/>
  <c r="HN9" i="20"/>
  <c r="HO9" i="20" s="1"/>
  <c r="HT9" i="20"/>
  <c r="MT9" i="20"/>
  <c r="MU9" i="20" s="1"/>
  <c r="MZ9" i="20"/>
  <c r="RZ9" i="20"/>
  <c r="SA9" i="20" s="1"/>
  <c r="SF9" i="20"/>
  <c r="CH10" i="20"/>
  <c r="CI10" i="20" s="1"/>
  <c r="CN10" i="20"/>
  <c r="HN10" i="20"/>
  <c r="HO10" i="20" s="1"/>
  <c r="HT10" i="20"/>
  <c r="MT10" i="20"/>
  <c r="MU10" i="20" s="1"/>
  <c r="MZ10" i="20"/>
  <c r="TN10" i="20"/>
  <c r="MC11" i="20"/>
  <c r="MD11" i="20" s="1"/>
  <c r="QR11" i="20"/>
  <c r="QS11" i="20" s="1"/>
  <c r="SQ11" i="20"/>
  <c r="SR11" i="20" s="1"/>
  <c r="AB12" i="20"/>
  <c r="AC12" i="20" s="1"/>
  <c r="EE12" i="20"/>
  <c r="EF12" i="20" s="1"/>
  <c r="BQ13" i="20"/>
  <c r="BR13" i="20" s="1"/>
  <c r="MC13" i="20"/>
  <c r="MC12" i="20" s="1"/>
  <c r="MD12" i="20" s="1"/>
  <c r="SF13" i="20"/>
  <c r="DN14" i="20"/>
  <c r="DO14" i="20" s="1"/>
  <c r="FU17" i="20"/>
  <c r="CN19" i="20"/>
  <c r="FD19" i="20"/>
  <c r="PP19" i="20"/>
  <c r="CN20" i="20"/>
  <c r="IV20" i="20"/>
  <c r="IV18" i="20" s="1"/>
  <c r="IW18" i="20" s="1"/>
  <c r="TN8" i="20"/>
  <c r="DV9" i="20"/>
  <c r="JB9" i="20"/>
  <c r="OH9" i="20"/>
  <c r="TN9" i="20"/>
  <c r="DV10" i="20"/>
  <c r="JB10" i="20"/>
  <c r="OH10" i="20"/>
  <c r="DI12" i="20"/>
  <c r="DJ12" i="20" s="1"/>
  <c r="BF13" i="20"/>
  <c r="BV14" i="20"/>
  <c r="BW14" i="20" s="1"/>
  <c r="GD14" i="20"/>
  <c r="GE14" i="20" s="1"/>
  <c r="SQ15" i="20"/>
  <c r="SR15" i="20" s="1"/>
  <c r="CY16" i="20"/>
  <c r="CZ16" i="20" s="1"/>
  <c r="IE16" i="20"/>
  <c r="IF16" i="20" s="1"/>
  <c r="NK16" i="20"/>
  <c r="NL16" i="20" s="1"/>
  <c r="SQ16" i="20"/>
  <c r="SR16" i="20" s="1"/>
  <c r="DP17" i="20"/>
  <c r="DQ17" i="20" s="1"/>
  <c r="EX17" i="20"/>
  <c r="EY17" i="20" s="1"/>
  <c r="JM19" i="20"/>
  <c r="JN19" i="20" s="1"/>
  <c r="KJ19" i="20"/>
  <c r="IK20" i="20"/>
  <c r="FO9" i="20"/>
  <c r="FP9" i="20" s="1"/>
  <c r="KU9" i="20"/>
  <c r="KV9" i="20" s="1"/>
  <c r="QA9" i="20"/>
  <c r="QB9" i="20" s="1"/>
  <c r="AI10" i="20"/>
  <c r="AJ10" i="20" s="1"/>
  <c r="FO10" i="20"/>
  <c r="FP10" i="20" s="1"/>
  <c r="KU10" i="20"/>
  <c r="KV10" i="20" s="1"/>
  <c r="PO7" i="20"/>
  <c r="PP7" i="20" s="1"/>
  <c r="RI10" i="20"/>
  <c r="RJ10" i="20" s="1"/>
  <c r="BQ11" i="20"/>
  <c r="BR11" i="20" s="1"/>
  <c r="AB14" i="20"/>
  <c r="AC14" i="20" s="1"/>
  <c r="BQ17" i="20"/>
  <c r="BR17" i="20" s="1"/>
  <c r="MC19" i="20"/>
  <c r="MD19" i="20" s="1"/>
  <c r="NK19" i="20"/>
  <c r="NL19" i="20" s="1"/>
  <c r="X20" i="20"/>
  <c r="FD20" i="20"/>
  <c r="CY19" i="20"/>
  <c r="CZ19" i="20" s="1"/>
  <c r="CR7" i="20"/>
  <c r="CS7" i="20" s="1"/>
  <c r="CR4" i="20"/>
  <c r="CS4" i="20" s="1"/>
  <c r="TR7" i="20"/>
  <c r="TS7" i="20" s="1"/>
  <c r="TY6" i="20"/>
  <c r="TZ6" i="20" s="1"/>
  <c r="TA7" i="20"/>
  <c r="TB7" i="20" s="1"/>
  <c r="SQ19" i="20"/>
  <c r="SR19" i="20" s="1"/>
  <c r="SJ7" i="20"/>
  <c r="SK7" i="20" s="1"/>
  <c r="SQ8" i="20"/>
  <c r="SR8" i="20" s="1"/>
  <c r="SQ6" i="20"/>
  <c r="SR6" i="20" s="1"/>
  <c r="RZ8" i="20"/>
  <c r="SA8" i="20" s="1"/>
  <c r="RB7" i="20"/>
  <c r="RC7" i="20" s="1"/>
  <c r="QR8" i="20"/>
  <c r="QS8" i="20" s="1"/>
  <c r="QK7" i="20"/>
  <c r="QL7" i="20" s="1"/>
  <c r="QA19" i="20"/>
  <c r="QB19" i="20" s="1"/>
  <c r="PT14" i="20"/>
  <c r="PU14" i="20" s="1"/>
  <c r="PT7" i="20"/>
  <c r="PU7" i="20" s="1"/>
  <c r="PJ6" i="20"/>
  <c r="OB6" i="20"/>
  <c r="ND14" i="20"/>
  <c r="NE14" i="20" s="1"/>
  <c r="ND7" i="20"/>
  <c r="NE7" i="20" s="1"/>
  <c r="NK8" i="20"/>
  <c r="NL8" i="20" s="1"/>
  <c r="MM7" i="20"/>
  <c r="MN7" i="20" s="1"/>
  <c r="MT8" i="20"/>
  <c r="MU8" i="20" s="1"/>
  <c r="MT6" i="20"/>
  <c r="LV7" i="20"/>
  <c r="LW7" i="20" s="1"/>
  <c r="MC8" i="20"/>
  <c r="MD8" i="20" s="1"/>
  <c r="LE7" i="20"/>
  <c r="LF7" i="20" s="1"/>
  <c r="LL8" i="20"/>
  <c r="KN14" i="20"/>
  <c r="KO14" i="20" s="1"/>
  <c r="JW7" i="20"/>
  <c r="JX7" i="20" s="1"/>
  <c r="JF14" i="20"/>
  <c r="JG14" i="20" s="1"/>
  <c r="JM8" i="20"/>
  <c r="JN8" i="20" s="1"/>
  <c r="IV6" i="20"/>
  <c r="IE19" i="20"/>
  <c r="IF19" i="20" s="1"/>
  <c r="HX7" i="20"/>
  <c r="HY7" i="20" s="1"/>
  <c r="HG7" i="20"/>
  <c r="HH7" i="20" s="1"/>
  <c r="GW19" i="20"/>
  <c r="GX19" i="20" s="1"/>
  <c r="GP14" i="20"/>
  <c r="GQ14" i="20" s="1"/>
  <c r="GP7" i="20"/>
  <c r="GQ7" i="20" s="1"/>
  <c r="FY7" i="20"/>
  <c r="FZ7" i="20" s="1"/>
  <c r="GF6" i="20"/>
  <c r="EQ7" i="20"/>
  <c r="ER7" i="20" s="1"/>
  <c r="EX6" i="20"/>
  <c r="EG19" i="20"/>
  <c r="EH19" i="20" s="1"/>
  <c r="DI7" i="20"/>
  <c r="DJ7" i="20" s="1"/>
  <c r="DP6" i="20"/>
  <c r="CA7" i="20"/>
  <c r="CB7" i="20" s="1"/>
  <c r="CH8" i="20"/>
  <c r="BJ14" i="20"/>
  <c r="BK14" i="20" s="1"/>
  <c r="BQ8" i="20"/>
  <c r="BR8" i="20" s="1"/>
  <c r="BJ7" i="20"/>
  <c r="BK7" i="20" s="1"/>
  <c r="AZ6" i="20"/>
  <c r="AI19" i="20"/>
  <c r="AJ19" i="20" s="1"/>
  <c r="AB7" i="20"/>
  <c r="AC7" i="20" s="1"/>
  <c r="K7" i="20"/>
  <c r="L7" i="20" s="1"/>
  <c r="R6" i="20"/>
  <c r="S6" i="20" s="1"/>
  <c r="HS12" i="14"/>
  <c r="HT12" i="14" s="1"/>
  <c r="BE14" i="14"/>
  <c r="BF14" i="14" s="1"/>
  <c r="PT12" i="18"/>
  <c r="PU12" i="18" s="1"/>
  <c r="SE12" i="18"/>
  <c r="SF12" i="18" s="1"/>
  <c r="RN14" i="18"/>
  <c r="RO14" i="18" s="1"/>
  <c r="RO15" i="18"/>
  <c r="PT14" i="18"/>
  <c r="PU14" i="18" s="1"/>
  <c r="MY12" i="18"/>
  <c r="MZ12" i="18" s="1"/>
  <c r="MH12" i="18"/>
  <c r="MI12" i="18" s="1"/>
  <c r="MT13" i="18"/>
  <c r="LQ12" i="18"/>
  <c r="LR12" i="18" s="1"/>
  <c r="IJ14" i="18"/>
  <c r="IK14" i="18" s="1"/>
  <c r="IJ12" i="18"/>
  <c r="IK12" i="18" s="1"/>
  <c r="IV13" i="18"/>
  <c r="HC15" i="18"/>
  <c r="GK12" i="18"/>
  <c r="GL12" i="18" s="1"/>
  <c r="EM15" i="18"/>
  <c r="EX15" i="18"/>
  <c r="EY15" i="18" s="1"/>
  <c r="DU12" i="18"/>
  <c r="DV12" i="18" s="1"/>
  <c r="DD12" i="18"/>
  <c r="DE12" i="18" s="1"/>
  <c r="DP13" i="18"/>
  <c r="CM12" i="18"/>
  <c r="CN12" i="18" s="1"/>
  <c r="CH15" i="18"/>
  <c r="AZ15" i="18"/>
  <c r="BA15" i="18" s="1"/>
  <c r="QF12" i="14"/>
  <c r="QG12" i="14" s="1"/>
  <c r="PO12" i="14"/>
  <c r="PP12" i="14" s="1"/>
  <c r="OX12" i="14"/>
  <c r="OY12" i="14" s="1"/>
  <c r="OG12" i="14"/>
  <c r="OH12" i="14" s="1"/>
  <c r="NP12" i="14"/>
  <c r="NQ12" i="14" s="1"/>
  <c r="LQ12" i="14"/>
  <c r="LR12" i="14" s="1"/>
  <c r="KI12" i="14"/>
  <c r="KJ12" i="14" s="1"/>
  <c r="JR12" i="14"/>
  <c r="JS12" i="14" s="1"/>
  <c r="JA14" i="14"/>
  <c r="JB14" i="14" s="1"/>
  <c r="JA12" i="14"/>
  <c r="JB12" i="14" s="1"/>
  <c r="IJ14" i="14"/>
  <c r="IK14" i="14" s="1"/>
  <c r="IJ12" i="14"/>
  <c r="IK12" i="14" s="1"/>
  <c r="HY15" i="14"/>
  <c r="HX12" i="14"/>
  <c r="HY12" i="14" s="1"/>
  <c r="HB12" i="14"/>
  <c r="HC12" i="14" s="1"/>
  <c r="FC14" i="14"/>
  <c r="FD14" i="14" s="1"/>
  <c r="EL14" i="14"/>
  <c r="EM14" i="14" s="1"/>
  <c r="DU14" i="14"/>
  <c r="DV14" i="14" s="1"/>
  <c r="DD14" i="14"/>
  <c r="DE14" i="14" s="1"/>
  <c r="DD12" i="14"/>
  <c r="DE12" i="14" s="1"/>
  <c r="BV14" i="14"/>
  <c r="BW14" i="14" s="1"/>
  <c r="BV12" i="14"/>
  <c r="BW12" i="14" s="1"/>
  <c r="AN12" i="14"/>
  <c r="AO12" i="14" s="1"/>
  <c r="W14" i="14"/>
  <c r="X14" i="14" s="1"/>
  <c r="F14" i="14"/>
  <c r="G14" i="14" s="1"/>
  <c r="F12" i="14"/>
  <c r="G12" i="14" s="1"/>
  <c r="W4" i="16"/>
  <c r="X4" i="16" s="1"/>
  <c r="AI13" i="16"/>
  <c r="BF13" i="16"/>
  <c r="CM4" i="16"/>
  <c r="CN4" i="16" s="1"/>
  <c r="DE5" i="16"/>
  <c r="FO13" i="16"/>
  <c r="GL13" i="16"/>
  <c r="GL5" i="16"/>
  <c r="GK4" i="16"/>
  <c r="GL4" i="16" s="1"/>
  <c r="HB4" i="16"/>
  <c r="HC4" i="16" s="1"/>
  <c r="JB5" i="16"/>
  <c r="KU13" i="16"/>
  <c r="KJ13" i="16"/>
  <c r="PO4" i="16"/>
  <c r="PP4" i="16" s="1"/>
  <c r="QA13" i="16"/>
  <c r="QR5" i="16"/>
  <c r="QR4" i="16" s="1"/>
  <c r="QS4" i="16" s="1"/>
  <c r="TM14" i="20"/>
  <c r="TN14" i="20" s="1"/>
  <c r="TY13" i="20"/>
  <c r="SV14" i="20"/>
  <c r="SW14" i="20" s="1"/>
  <c r="SW13" i="20"/>
  <c r="SR13" i="20"/>
  <c r="SQ12" i="20"/>
  <c r="SR12" i="20" s="1"/>
  <c r="RN14" i="20"/>
  <c r="RO14" i="20" s="1"/>
  <c r="RN12" i="20"/>
  <c r="RO12" i="20" s="1"/>
  <c r="RI13" i="20"/>
  <c r="QG13" i="20"/>
  <c r="PP13" i="20"/>
  <c r="OS13" i="20"/>
  <c r="OG12" i="20"/>
  <c r="OH12" i="20" s="1"/>
  <c r="NQ13" i="20"/>
  <c r="MY12" i="20"/>
  <c r="MZ12" i="20" s="1"/>
  <c r="LR13" i="20"/>
  <c r="LQ12" i="20"/>
  <c r="LR12" i="20" s="1"/>
  <c r="HB14" i="20"/>
  <c r="HC14" i="20" s="1"/>
  <c r="HC13" i="20"/>
  <c r="KZ14" i="20"/>
  <c r="LA14" i="20" s="1"/>
  <c r="LA13" i="20"/>
  <c r="KI12" i="20"/>
  <c r="KJ12" i="20" s="1"/>
  <c r="KU13" i="20"/>
  <c r="JR14" i="20"/>
  <c r="JS14" i="20" s="1"/>
  <c r="JM13" i="20"/>
  <c r="JB13" i="20"/>
  <c r="IJ14" i="20"/>
  <c r="IK14" i="20" s="1"/>
  <c r="IE13" i="20"/>
  <c r="GW13" i="20"/>
  <c r="GL13" i="20"/>
  <c r="FT14" i="20"/>
  <c r="FU14" i="20" s="1"/>
  <c r="FO13" i="20"/>
  <c r="DV13" i="20"/>
  <c r="EG13" i="20"/>
  <c r="DD14" i="20"/>
  <c r="DE14" i="20" s="1"/>
  <c r="CY13" i="20"/>
  <c r="CN13" i="20"/>
  <c r="BV12" i="20"/>
  <c r="BW12" i="20" s="1"/>
  <c r="AN14" i="20"/>
  <c r="AO14" i="20" s="1"/>
  <c r="AN12" i="20"/>
  <c r="AO12" i="20" s="1"/>
  <c r="AI13" i="20"/>
  <c r="W12" i="20"/>
  <c r="X12" i="20" s="1"/>
  <c r="R5" i="20"/>
  <c r="S5" i="20" s="1"/>
  <c r="F4" i="20"/>
  <c r="G4" i="20" s="1"/>
  <c r="G13" i="20"/>
  <c r="F14" i="20"/>
  <c r="G14" i="20" s="1"/>
  <c r="PO14" i="16"/>
  <c r="PP14" i="16" s="1"/>
  <c r="QA5" i="16"/>
  <c r="QB5" i="16" s="1"/>
  <c r="OX4" i="16"/>
  <c r="OY4" i="16" s="1"/>
  <c r="PJ5" i="16"/>
  <c r="MY14" i="16"/>
  <c r="MZ14" i="16" s="1"/>
  <c r="MZ5" i="16"/>
  <c r="MH14" i="16"/>
  <c r="MI14" i="16" s="1"/>
  <c r="MI5" i="16"/>
  <c r="LQ14" i="16"/>
  <c r="LR14" i="16" s="1"/>
  <c r="LQ4" i="16"/>
  <c r="LR4" i="16" s="1"/>
  <c r="KI14" i="16"/>
  <c r="KJ14" i="16" s="1"/>
  <c r="JS5" i="16"/>
  <c r="HS14" i="16"/>
  <c r="HT14" i="16" s="1"/>
  <c r="GK14" i="16"/>
  <c r="GL14" i="16" s="1"/>
  <c r="FU5" i="16"/>
  <c r="FD5" i="16"/>
  <c r="FC4" i="16"/>
  <c r="FD4" i="16" s="1"/>
  <c r="EL14" i="16"/>
  <c r="EM14" i="16" s="1"/>
  <c r="EL4" i="16"/>
  <c r="EM4" i="16" s="1"/>
  <c r="EM5" i="16"/>
  <c r="CM14" i="16"/>
  <c r="CN14" i="16" s="1"/>
  <c r="CN15" i="16"/>
  <c r="CN5" i="16"/>
  <c r="BW5" i="16"/>
  <c r="BV4" i="16"/>
  <c r="BW4" i="16" s="1"/>
  <c r="BF15" i="16"/>
  <c r="BF5" i="16"/>
  <c r="BE4" i="16"/>
  <c r="BF4" i="16" s="1"/>
  <c r="AO5" i="16"/>
  <c r="X5" i="16"/>
  <c r="G5" i="16"/>
  <c r="F4" i="16"/>
  <c r="G4" i="16" s="1"/>
  <c r="P7" i="20"/>
  <c r="Q7" i="20" s="1"/>
  <c r="Q8" i="20"/>
  <c r="CI8" i="20"/>
  <c r="JG11" i="20"/>
  <c r="JM11" i="20"/>
  <c r="JF7" i="20"/>
  <c r="JG7" i="20" s="1"/>
  <c r="TH11" i="20"/>
  <c r="TI11" i="20" s="1"/>
  <c r="TG11" i="20"/>
  <c r="DP13" i="20"/>
  <c r="DO13" i="20"/>
  <c r="IV13" i="20"/>
  <c r="IU13" i="20"/>
  <c r="OB13" i="20"/>
  <c r="OA13" i="20"/>
  <c r="TH13" i="20"/>
  <c r="TG13" i="20"/>
  <c r="CX15" i="20"/>
  <c r="CW14" i="20"/>
  <c r="CX14" i="20" s="1"/>
  <c r="DV15" i="20"/>
  <c r="EG15" i="20"/>
  <c r="DU14" i="20"/>
  <c r="DV14" i="20" s="1"/>
  <c r="OM11" i="20"/>
  <c r="OS11" i="20"/>
  <c r="OL7" i="20"/>
  <c r="OM7" i="20" s="1"/>
  <c r="K4" i="20"/>
  <c r="L4" i="20" s="1"/>
  <c r="AS4" i="20"/>
  <c r="AT4" i="20" s="1"/>
  <c r="CA4" i="20"/>
  <c r="CB4" i="20" s="1"/>
  <c r="DI4" i="20"/>
  <c r="DJ4" i="20" s="1"/>
  <c r="EQ4" i="20"/>
  <c r="ER4" i="20" s="1"/>
  <c r="FH4" i="20"/>
  <c r="FI4" i="20" s="1"/>
  <c r="FY4" i="20"/>
  <c r="FZ4" i="20" s="1"/>
  <c r="GP4" i="20"/>
  <c r="GQ4" i="20" s="1"/>
  <c r="HG4" i="20"/>
  <c r="HH4" i="20" s="1"/>
  <c r="HX4" i="20"/>
  <c r="HY4" i="20" s="1"/>
  <c r="IO4" i="20"/>
  <c r="IP4" i="20" s="1"/>
  <c r="JF4" i="20"/>
  <c r="JG4" i="20" s="1"/>
  <c r="JW4" i="20"/>
  <c r="JX4" i="20" s="1"/>
  <c r="KN4" i="20"/>
  <c r="KO4" i="20" s="1"/>
  <c r="LE4" i="20"/>
  <c r="LF4" i="20" s="1"/>
  <c r="LV4" i="20"/>
  <c r="LW4" i="20" s="1"/>
  <c r="MM4" i="20"/>
  <c r="MN4" i="20" s="1"/>
  <c r="ND4" i="20"/>
  <c r="NE4" i="20" s="1"/>
  <c r="NU4" i="20"/>
  <c r="NV4" i="20" s="1"/>
  <c r="OL4" i="20"/>
  <c r="OM4" i="20" s="1"/>
  <c r="PC4" i="20"/>
  <c r="PD4" i="20" s="1"/>
  <c r="PT4" i="20"/>
  <c r="PU4" i="20" s="1"/>
  <c r="QK4" i="20"/>
  <c r="QL4" i="20" s="1"/>
  <c r="RB4" i="20"/>
  <c r="RC4" i="20" s="1"/>
  <c r="RS4" i="20"/>
  <c r="RT4" i="20" s="1"/>
  <c r="SJ4" i="20"/>
  <c r="SK4" i="20" s="1"/>
  <c r="TA4" i="20"/>
  <c r="TB4" i="20" s="1"/>
  <c r="TR4" i="20"/>
  <c r="TS4" i="20" s="1"/>
  <c r="FO5" i="20"/>
  <c r="GW5" i="20"/>
  <c r="IE5" i="20"/>
  <c r="JM5" i="20"/>
  <c r="KU5" i="20"/>
  <c r="MC5" i="20"/>
  <c r="NK5" i="20"/>
  <c r="OS5" i="20"/>
  <c r="QA5" i="20"/>
  <c r="RI5" i="20"/>
  <c r="SQ5" i="20"/>
  <c r="TY5" i="20"/>
  <c r="AI6" i="20"/>
  <c r="BQ6" i="20"/>
  <c r="CY6" i="20"/>
  <c r="EG6" i="20"/>
  <c r="FO6" i="20"/>
  <c r="FP6" i="20" s="1"/>
  <c r="GW6" i="20"/>
  <c r="GX6" i="20" s="1"/>
  <c r="IE6" i="20"/>
  <c r="IF6" i="20" s="1"/>
  <c r="JM6" i="20"/>
  <c r="JN6" i="20" s="1"/>
  <c r="KU6" i="20"/>
  <c r="KV6" i="20" s="1"/>
  <c r="MC6" i="20"/>
  <c r="MD6" i="20" s="1"/>
  <c r="NK6" i="20"/>
  <c r="NL6" i="20" s="1"/>
  <c r="DN7" i="20"/>
  <c r="DO7" i="20" s="1"/>
  <c r="EV7" i="20"/>
  <c r="EW7" i="20" s="1"/>
  <c r="NZ7" i="20"/>
  <c r="OA7" i="20" s="1"/>
  <c r="PH7" i="20"/>
  <c r="PI7" i="20" s="1"/>
  <c r="AY8" i="20"/>
  <c r="AX7" i="20"/>
  <c r="AY7" i="20" s="1"/>
  <c r="DP8" i="20"/>
  <c r="IV8" i="20"/>
  <c r="OB8" i="20"/>
  <c r="TH8" i="20"/>
  <c r="DP9" i="20"/>
  <c r="DQ9" i="20" s="1"/>
  <c r="IV9" i="20"/>
  <c r="IW9" i="20" s="1"/>
  <c r="OB9" i="20"/>
  <c r="OC9" i="20" s="1"/>
  <c r="TH9" i="20"/>
  <c r="TI9" i="20" s="1"/>
  <c r="DP10" i="20"/>
  <c r="DQ10" i="20" s="1"/>
  <c r="IV10" i="20"/>
  <c r="IW10" i="20" s="1"/>
  <c r="OB10" i="20"/>
  <c r="OC10" i="20" s="1"/>
  <c r="EA11" i="20"/>
  <c r="EG11" i="20"/>
  <c r="EH11" i="20" s="1"/>
  <c r="DZ7" i="20"/>
  <c r="EA7" i="20" s="1"/>
  <c r="LL11" i="20"/>
  <c r="LM11" i="20" s="1"/>
  <c r="LA11" i="20"/>
  <c r="KZ7" i="20"/>
  <c r="LA7" i="20" s="1"/>
  <c r="NJ15" i="20"/>
  <c r="NI14" i="20"/>
  <c r="NJ14" i="20" s="1"/>
  <c r="OH15" i="20"/>
  <c r="OS15" i="20"/>
  <c r="OG14" i="20"/>
  <c r="OH14" i="20" s="1"/>
  <c r="BB1" i="20"/>
  <c r="IO14" i="20"/>
  <c r="IP14" i="20" s="1"/>
  <c r="IP15" i="20"/>
  <c r="R8" i="20"/>
  <c r="EX8" i="20"/>
  <c r="KD8" i="20"/>
  <c r="PJ8" i="20"/>
  <c r="R9" i="20"/>
  <c r="S9" i="20" s="1"/>
  <c r="EX9" i="20"/>
  <c r="EY9" i="20" s="1"/>
  <c r="KD9" i="20"/>
  <c r="KE9" i="20" s="1"/>
  <c r="PJ9" i="20"/>
  <c r="PK9" i="20" s="1"/>
  <c r="R10" i="20"/>
  <c r="S10" i="20" s="1"/>
  <c r="EX10" i="20"/>
  <c r="EY10" i="20" s="1"/>
  <c r="KD10" i="20"/>
  <c r="KE10" i="20" s="1"/>
  <c r="GF11" i="20"/>
  <c r="GG11" i="20" s="1"/>
  <c r="FU11" i="20"/>
  <c r="FT7" i="20"/>
  <c r="FU7" i="20" s="1"/>
  <c r="KC15" i="20"/>
  <c r="KB14" i="20"/>
  <c r="KC14" i="20" s="1"/>
  <c r="JL16" i="20"/>
  <c r="JK14" i="20"/>
  <c r="JL14" i="20" s="1"/>
  <c r="LR16" i="20"/>
  <c r="MC16" i="20"/>
  <c r="MD16" i="20" s="1"/>
  <c r="PJ10" i="20"/>
  <c r="PK10" i="20" s="1"/>
  <c r="OY10" i="20"/>
  <c r="RZ10" i="20"/>
  <c r="SA10" i="20" s="1"/>
  <c r="RO10" i="20"/>
  <c r="R11" i="20"/>
  <c r="S11" i="20" s="1"/>
  <c r="G11" i="20"/>
  <c r="CH11" i="20"/>
  <c r="CI11" i="20" s="1"/>
  <c r="BW11" i="20"/>
  <c r="HN11" i="20"/>
  <c r="HO11" i="20" s="1"/>
  <c r="HC11" i="20"/>
  <c r="MT11" i="20"/>
  <c r="MU11" i="20" s="1"/>
  <c r="MI11" i="20"/>
  <c r="R13" i="20"/>
  <c r="Q13" i="20"/>
  <c r="EX13" i="20"/>
  <c r="EW13" i="20"/>
  <c r="KD13" i="20"/>
  <c r="KC13" i="20"/>
  <c r="PJ13" i="20"/>
  <c r="PI13" i="20"/>
  <c r="AS14" i="20"/>
  <c r="AT14" i="20" s="1"/>
  <c r="AT15" i="20"/>
  <c r="FN15" i="20"/>
  <c r="FM14" i="20"/>
  <c r="FN14" i="20" s="1"/>
  <c r="GL15" i="20"/>
  <c r="GW15" i="20"/>
  <c r="GK14" i="20"/>
  <c r="GL14" i="20" s="1"/>
  <c r="LE14" i="20"/>
  <c r="LF14" i="20" s="1"/>
  <c r="LF15" i="20"/>
  <c r="PZ15" i="20"/>
  <c r="PY14" i="20"/>
  <c r="PZ14" i="20" s="1"/>
  <c r="QX15" i="20"/>
  <c r="RI15" i="20"/>
  <c r="QW14" i="20"/>
  <c r="QX14" i="20" s="1"/>
  <c r="OR16" i="20"/>
  <c r="OQ14" i="20"/>
  <c r="OR14" i="20" s="1"/>
  <c r="QX16" i="20"/>
  <c r="RI16" i="20"/>
  <c r="RJ16" i="20" s="1"/>
  <c r="BW18" i="20"/>
  <c r="CX18" i="20"/>
  <c r="F7" i="20"/>
  <c r="G7" i="20" s="1"/>
  <c r="AN7" i="20"/>
  <c r="AO7" i="20" s="1"/>
  <c r="G8" i="20"/>
  <c r="AO8" i="20"/>
  <c r="BW8" i="20"/>
  <c r="DE8" i="20"/>
  <c r="EM8" i="20"/>
  <c r="FU8" i="20"/>
  <c r="HC8" i="20"/>
  <c r="IK8" i="20"/>
  <c r="JS8" i="20"/>
  <c r="LA8" i="20"/>
  <c r="MI8" i="20"/>
  <c r="NQ8" i="20"/>
  <c r="OY8" i="20"/>
  <c r="QG8" i="20"/>
  <c r="RO8" i="20"/>
  <c r="SW8" i="20"/>
  <c r="G9" i="20"/>
  <c r="AO9" i="20"/>
  <c r="BW9" i="20"/>
  <c r="DE9" i="20"/>
  <c r="EM9" i="20"/>
  <c r="FU9" i="20"/>
  <c r="HC9" i="20"/>
  <c r="IK9" i="20"/>
  <c r="JS9" i="20"/>
  <c r="LA9" i="20"/>
  <c r="MI9" i="20"/>
  <c r="NQ9" i="20"/>
  <c r="OY9" i="20"/>
  <c r="QG9" i="20"/>
  <c r="RO9" i="20"/>
  <c r="SW9" i="20"/>
  <c r="G10" i="20"/>
  <c r="AO10" i="20"/>
  <c r="BW10" i="20"/>
  <c r="DE10" i="20"/>
  <c r="EM10" i="20"/>
  <c r="FU10" i="20"/>
  <c r="HC10" i="20"/>
  <c r="IK10" i="20"/>
  <c r="JS10" i="20"/>
  <c r="LA10" i="20"/>
  <c r="MI10" i="20"/>
  <c r="NQ10" i="20"/>
  <c r="PP10" i="20"/>
  <c r="QA10" i="20"/>
  <c r="SQ10" i="20"/>
  <c r="AI11" i="20"/>
  <c r="DP11" i="20"/>
  <c r="DQ11" i="20" s="1"/>
  <c r="DE11" i="20"/>
  <c r="IV11" i="20"/>
  <c r="IW11" i="20" s="1"/>
  <c r="IK11" i="20"/>
  <c r="OB11" i="20"/>
  <c r="OC11" i="20" s="1"/>
  <c r="NQ11" i="20"/>
  <c r="AZ13" i="20"/>
  <c r="AY13" i="20"/>
  <c r="GF13" i="20"/>
  <c r="GE13" i="20"/>
  <c r="LL13" i="20"/>
  <c r="LK13" i="20"/>
  <c r="QR13" i="20"/>
  <c r="QQ13" i="20"/>
  <c r="DI14" i="20"/>
  <c r="DJ14" i="20" s="1"/>
  <c r="DJ15" i="20"/>
  <c r="ID15" i="20"/>
  <c r="IC14" i="20"/>
  <c r="ID14" i="20" s="1"/>
  <c r="JB15" i="20"/>
  <c r="JM15" i="20"/>
  <c r="JA14" i="20"/>
  <c r="JB14" i="20" s="1"/>
  <c r="NU14" i="20"/>
  <c r="NV14" i="20" s="1"/>
  <c r="NV15" i="20"/>
  <c r="TX15" i="20"/>
  <c r="TW14" i="20"/>
  <c r="TX14" i="20" s="1"/>
  <c r="BF16" i="20"/>
  <c r="BQ16" i="20"/>
  <c r="BR16" i="20" s="1"/>
  <c r="FO17" i="20"/>
  <c r="FP17" i="20" s="1"/>
  <c r="FD17" i="20"/>
  <c r="QR10" i="20"/>
  <c r="QS10" i="20" s="1"/>
  <c r="QG10" i="20"/>
  <c r="TH10" i="20"/>
  <c r="TI10" i="20" s="1"/>
  <c r="SW10" i="20"/>
  <c r="AZ11" i="20"/>
  <c r="BA11" i="20" s="1"/>
  <c r="AO11" i="20"/>
  <c r="EX11" i="20"/>
  <c r="EY11" i="20" s="1"/>
  <c r="EM11" i="20"/>
  <c r="FO11" i="20"/>
  <c r="KD11" i="20"/>
  <c r="KE11" i="20" s="1"/>
  <c r="JS11" i="20"/>
  <c r="KU11" i="20"/>
  <c r="PJ11" i="20"/>
  <c r="PK11" i="20" s="1"/>
  <c r="OY11" i="20"/>
  <c r="QA11" i="20"/>
  <c r="QB11" i="20" s="1"/>
  <c r="RZ11" i="20"/>
  <c r="SA11" i="20" s="1"/>
  <c r="RY11" i="20"/>
  <c r="CH13" i="20"/>
  <c r="CG13" i="20"/>
  <c r="HN13" i="20"/>
  <c r="HM13" i="20"/>
  <c r="MT13" i="20"/>
  <c r="MS13" i="20"/>
  <c r="RZ13" i="20"/>
  <c r="RY13" i="20"/>
  <c r="MR14" i="20"/>
  <c r="MS14" i="20" s="1"/>
  <c r="AH15" i="20"/>
  <c r="AG14" i="20"/>
  <c r="AH14" i="20" s="1"/>
  <c r="BF15" i="20"/>
  <c r="BQ15" i="20"/>
  <c r="BE14" i="20"/>
  <c r="BF14" i="20" s="1"/>
  <c r="FY14" i="20"/>
  <c r="FZ14" i="20" s="1"/>
  <c r="FZ15" i="20"/>
  <c r="KT15" i="20"/>
  <c r="KS14" i="20"/>
  <c r="KT14" i="20" s="1"/>
  <c r="LR15" i="20"/>
  <c r="MC15" i="20"/>
  <c r="LQ14" i="20"/>
  <c r="LR14" i="20" s="1"/>
  <c r="QK14" i="20"/>
  <c r="QL14" i="20" s="1"/>
  <c r="QL15" i="20"/>
  <c r="EF16" i="20"/>
  <c r="EE14" i="20"/>
  <c r="EF14" i="20" s="1"/>
  <c r="GL16" i="20"/>
  <c r="GW16" i="20"/>
  <c r="GX16" i="20" s="1"/>
  <c r="AI15" i="20"/>
  <c r="CY15" i="20"/>
  <c r="FO15" i="20"/>
  <c r="IE15" i="20"/>
  <c r="KU15" i="20"/>
  <c r="NK15" i="20"/>
  <c r="QA15" i="20"/>
  <c r="TY15" i="20"/>
  <c r="EG16" i="20"/>
  <c r="EH16" i="20" s="1"/>
  <c r="JM16" i="20"/>
  <c r="JN16" i="20" s="1"/>
  <c r="OS16" i="20"/>
  <c r="OT16" i="20" s="1"/>
  <c r="TY16" i="20"/>
  <c r="TZ16" i="20" s="1"/>
  <c r="QG11" i="20"/>
  <c r="CY17" i="20"/>
  <c r="CZ17" i="20" s="1"/>
  <c r="CN17" i="20"/>
  <c r="OB17" i="20"/>
  <c r="OC17" i="20" s="1"/>
  <c r="NQ17" i="20"/>
  <c r="K14" i="20"/>
  <c r="L14" i="20" s="1"/>
  <c r="W14" i="20"/>
  <c r="X14" i="20" s="1"/>
  <c r="CA14" i="20"/>
  <c r="CB14" i="20" s="1"/>
  <c r="CM14" i="20"/>
  <c r="CN14" i="20" s="1"/>
  <c r="EQ14" i="20"/>
  <c r="ER14" i="20" s="1"/>
  <c r="FC14" i="20"/>
  <c r="FD14" i="20" s="1"/>
  <c r="HG14" i="20"/>
  <c r="HH14" i="20" s="1"/>
  <c r="HS14" i="20"/>
  <c r="HT14" i="20" s="1"/>
  <c r="JW14" i="20"/>
  <c r="JX14" i="20" s="1"/>
  <c r="KI14" i="20"/>
  <c r="KJ14" i="20" s="1"/>
  <c r="MM14" i="20"/>
  <c r="MN14" i="20" s="1"/>
  <c r="MY14" i="20"/>
  <c r="MZ14" i="20" s="1"/>
  <c r="PC14" i="20"/>
  <c r="PD14" i="20" s="1"/>
  <c r="PO14" i="20"/>
  <c r="PP14" i="20" s="1"/>
  <c r="FD18" i="20"/>
  <c r="GE18" i="20"/>
  <c r="QR17" i="20"/>
  <c r="QS17" i="20" s="1"/>
  <c r="QG17" i="20"/>
  <c r="MZ18" i="20"/>
  <c r="TG18" i="20"/>
  <c r="DE17" i="20"/>
  <c r="IV17" i="20"/>
  <c r="IW17" i="20" s="1"/>
  <c r="IK17" i="20"/>
  <c r="TH17" i="20"/>
  <c r="TI17" i="20" s="1"/>
  <c r="SW17" i="20"/>
  <c r="R15" i="20"/>
  <c r="AZ15" i="20"/>
  <c r="CH15" i="20"/>
  <c r="DP15" i="20"/>
  <c r="EX15" i="20"/>
  <c r="GF15" i="20"/>
  <c r="HN15" i="20"/>
  <c r="IV15" i="20"/>
  <c r="KD15" i="20"/>
  <c r="LL15" i="20"/>
  <c r="MT15" i="20"/>
  <c r="OB15" i="20"/>
  <c r="PJ15" i="20"/>
  <c r="QR15" i="20"/>
  <c r="RZ15" i="20"/>
  <c r="TH15" i="20"/>
  <c r="R16" i="20"/>
  <c r="S16" i="20" s="1"/>
  <c r="AZ16" i="20"/>
  <c r="BA16" i="20" s="1"/>
  <c r="CH16" i="20"/>
  <c r="CI16" i="20" s="1"/>
  <c r="DP16" i="20"/>
  <c r="DQ16" i="20" s="1"/>
  <c r="EX16" i="20"/>
  <c r="EY16" i="20" s="1"/>
  <c r="GF16" i="20"/>
  <c r="GG16" i="20" s="1"/>
  <c r="HN16" i="20"/>
  <c r="HO16" i="20" s="1"/>
  <c r="IV16" i="20"/>
  <c r="IW16" i="20" s="1"/>
  <c r="KD16" i="20"/>
  <c r="KE16" i="20" s="1"/>
  <c r="LL16" i="20"/>
  <c r="LM16" i="20" s="1"/>
  <c r="MT16" i="20"/>
  <c r="MU16" i="20" s="1"/>
  <c r="OB16" i="20"/>
  <c r="OC16" i="20" s="1"/>
  <c r="PJ16" i="20"/>
  <c r="PK16" i="20" s="1"/>
  <c r="QR16" i="20"/>
  <c r="QS16" i="20" s="1"/>
  <c r="RZ16" i="20"/>
  <c r="SA16" i="20" s="1"/>
  <c r="TH16" i="20"/>
  <c r="TI16" i="20" s="1"/>
  <c r="R17" i="20"/>
  <c r="S17" i="20" s="1"/>
  <c r="AZ17" i="20"/>
  <c r="BA17" i="20" s="1"/>
  <c r="LL17" i="20"/>
  <c r="LM17" i="20" s="1"/>
  <c r="LA17" i="20"/>
  <c r="HY18" i="20"/>
  <c r="IP18" i="20"/>
  <c r="OY18" i="20"/>
  <c r="SF18" i="20"/>
  <c r="GW17" i="20"/>
  <c r="GX17" i="20" s="1"/>
  <c r="GL17" i="20"/>
  <c r="JM17" i="20"/>
  <c r="JN17" i="20" s="1"/>
  <c r="JB17" i="20"/>
  <c r="MC17" i="20"/>
  <c r="MD17" i="20" s="1"/>
  <c r="LR17" i="20"/>
  <c r="OS17" i="20"/>
  <c r="OT17" i="20" s="1"/>
  <c r="OH17" i="20"/>
  <c r="RI17" i="20"/>
  <c r="RJ17" i="20" s="1"/>
  <c r="QX17" i="20"/>
  <c r="TY17" i="20"/>
  <c r="TZ17" i="20" s="1"/>
  <c r="TN17" i="20"/>
  <c r="Q18" i="20"/>
  <c r="AH18" i="20"/>
  <c r="CN18" i="20"/>
  <c r="DO18" i="20"/>
  <c r="EF18" i="20"/>
  <c r="FU18" i="20"/>
  <c r="LW18" i="20"/>
  <c r="MI18" i="20"/>
  <c r="OM18" i="20"/>
  <c r="PD18" i="20"/>
  <c r="RO18" i="20"/>
  <c r="AJ20" i="20"/>
  <c r="AI18" i="20"/>
  <c r="AJ18" i="20" s="1"/>
  <c r="BW17" i="20"/>
  <c r="EM17" i="20"/>
  <c r="HN17" i="20"/>
  <c r="HO17" i="20" s="1"/>
  <c r="HC17" i="20"/>
  <c r="KD17" i="20"/>
  <c r="KE17" i="20" s="1"/>
  <c r="JS17" i="20"/>
  <c r="MT17" i="20"/>
  <c r="MU17" i="20" s="1"/>
  <c r="MI17" i="20"/>
  <c r="PJ17" i="20"/>
  <c r="PK17" i="20" s="1"/>
  <c r="OY17" i="20"/>
  <c r="RZ17" i="20"/>
  <c r="SA17" i="20" s="1"/>
  <c r="RO17" i="20"/>
  <c r="G18" i="20"/>
  <c r="BP18" i="20"/>
  <c r="DE18" i="20"/>
  <c r="EW18" i="20"/>
  <c r="LF18" i="20"/>
  <c r="RT18" i="20"/>
  <c r="R19" i="20"/>
  <c r="S19" i="20" s="1"/>
  <c r="G19" i="20"/>
  <c r="X19" i="20"/>
  <c r="IE17" i="20"/>
  <c r="IF17" i="20" s="1"/>
  <c r="HT17" i="20"/>
  <c r="KU17" i="20"/>
  <c r="KV17" i="20" s="1"/>
  <c r="KJ17" i="20"/>
  <c r="NK17" i="20"/>
  <c r="NL17" i="20" s="1"/>
  <c r="MZ17" i="20"/>
  <c r="QA17" i="20"/>
  <c r="QB17" i="20" s="1"/>
  <c r="PP17" i="20"/>
  <c r="SQ17" i="20"/>
  <c r="SR17" i="20" s="1"/>
  <c r="SF17" i="20"/>
  <c r="X18" i="20"/>
  <c r="CG18" i="20"/>
  <c r="DV18" i="20"/>
  <c r="EM18" i="20"/>
  <c r="IK18" i="20"/>
  <c r="BQ19" i="20"/>
  <c r="BR19" i="20" s="1"/>
  <c r="CH19" i="20"/>
  <c r="CI19" i="20" s="1"/>
  <c r="BW19" i="20"/>
  <c r="CZ20" i="20"/>
  <c r="CY18" i="20"/>
  <c r="CZ18" i="20" s="1"/>
  <c r="JB20" i="20"/>
  <c r="JM20" i="20"/>
  <c r="JX20" i="20"/>
  <c r="JW18" i="20"/>
  <c r="KT20" i="20"/>
  <c r="KS18" i="20"/>
  <c r="LR20" i="20"/>
  <c r="MC20" i="20"/>
  <c r="MN20" i="20"/>
  <c r="MM18" i="20"/>
  <c r="GQ18" i="20"/>
  <c r="HC18" i="20"/>
  <c r="JG18" i="20"/>
  <c r="NQ18" i="20"/>
  <c r="QG18" i="20"/>
  <c r="SW18" i="20"/>
  <c r="AZ19" i="20"/>
  <c r="BA19" i="20" s="1"/>
  <c r="AO19" i="20"/>
  <c r="DP19" i="20"/>
  <c r="DQ19" i="20" s="1"/>
  <c r="DE19" i="20"/>
  <c r="GF19" i="20"/>
  <c r="GG19" i="20" s="1"/>
  <c r="FU19" i="20"/>
  <c r="IV19" i="20"/>
  <c r="IW19" i="20" s="1"/>
  <c r="IK19" i="20"/>
  <c r="LL19" i="20"/>
  <c r="LM19" i="20" s="1"/>
  <c r="LA19" i="20"/>
  <c r="OB19" i="20"/>
  <c r="OC19" i="20" s="1"/>
  <c r="NQ19" i="20"/>
  <c r="QR19" i="20"/>
  <c r="QS19" i="20" s="1"/>
  <c r="QG19" i="20"/>
  <c r="TH19" i="20"/>
  <c r="TI19" i="20" s="1"/>
  <c r="SW19" i="20"/>
  <c r="AZ20" i="20"/>
  <c r="AO20" i="20"/>
  <c r="DP20" i="20"/>
  <c r="DE20" i="20"/>
  <c r="GF20" i="20"/>
  <c r="FU20" i="20"/>
  <c r="JR21" i="20"/>
  <c r="JS21" i="20" s="1"/>
  <c r="AB18" i="20"/>
  <c r="BJ18" i="20"/>
  <c r="DZ18" i="20"/>
  <c r="HH18" i="20"/>
  <c r="HT18" i="20"/>
  <c r="IU18" i="20"/>
  <c r="KZ18" i="20"/>
  <c r="LQ18" i="20"/>
  <c r="NV18" i="20"/>
  <c r="OH18" i="20"/>
  <c r="PI18" i="20"/>
  <c r="QL18" i="20"/>
  <c r="TB18" i="20"/>
  <c r="BF19" i="20"/>
  <c r="DV19" i="20"/>
  <c r="GL19" i="20"/>
  <c r="JB19" i="20"/>
  <c r="LR19" i="20"/>
  <c r="OS19" i="20"/>
  <c r="OT19" i="20" s="1"/>
  <c r="RI19" i="20"/>
  <c r="RJ19" i="20" s="1"/>
  <c r="TY19" i="20"/>
  <c r="TZ19" i="20" s="1"/>
  <c r="BQ20" i="20"/>
  <c r="EG20" i="20"/>
  <c r="GW20" i="20"/>
  <c r="EX19" i="20"/>
  <c r="EY19" i="20" s="1"/>
  <c r="EM19" i="20"/>
  <c r="HN19" i="20"/>
  <c r="HO19" i="20" s="1"/>
  <c r="HC19" i="20"/>
  <c r="KD19" i="20"/>
  <c r="KE19" i="20" s="1"/>
  <c r="JS19" i="20"/>
  <c r="MT19" i="20"/>
  <c r="MU19" i="20" s="1"/>
  <c r="MI19" i="20"/>
  <c r="PJ19" i="20"/>
  <c r="PK19" i="20" s="1"/>
  <c r="OY19" i="20"/>
  <c r="RZ19" i="20"/>
  <c r="SA19" i="20" s="1"/>
  <c r="RO19" i="20"/>
  <c r="R20" i="20"/>
  <c r="G20" i="20"/>
  <c r="CH20" i="20"/>
  <c r="BW20" i="20"/>
  <c r="EX20" i="20"/>
  <c r="EM20" i="20"/>
  <c r="HN20" i="20"/>
  <c r="HC20" i="20"/>
  <c r="JS20" i="20"/>
  <c r="KD20" i="20"/>
  <c r="MI20" i="20"/>
  <c r="MT20" i="20"/>
  <c r="OY20" i="20"/>
  <c r="PJ20" i="20"/>
  <c r="RO20" i="20"/>
  <c r="RZ20" i="20"/>
  <c r="OH20" i="20"/>
  <c r="OS20" i="20"/>
  <c r="QX20" i="20"/>
  <c r="RI20" i="20"/>
  <c r="TN20" i="20"/>
  <c r="TY20" i="20"/>
  <c r="NI18" i="20"/>
  <c r="RG21" i="20"/>
  <c r="RH21" i="20" s="1"/>
  <c r="LA20" i="20"/>
  <c r="LL20" i="20"/>
  <c r="NQ20" i="20"/>
  <c r="OB20" i="20"/>
  <c r="QG20" i="20"/>
  <c r="QR20" i="20"/>
  <c r="SW20" i="20"/>
  <c r="TH20" i="20"/>
  <c r="KJ20" i="20"/>
  <c r="KU20" i="20"/>
  <c r="MZ20" i="20"/>
  <c r="NK20" i="20"/>
  <c r="PP20" i="20"/>
  <c r="QA20" i="20"/>
  <c r="SF20" i="20"/>
  <c r="SQ20" i="20"/>
  <c r="AY8" i="18"/>
  <c r="AX7" i="18"/>
  <c r="AY7" i="18" s="1"/>
  <c r="DQ8" i="18"/>
  <c r="HH8" i="18"/>
  <c r="HG7" i="18"/>
  <c r="HH7" i="18" s="1"/>
  <c r="RT8" i="18"/>
  <c r="RS7" i="18"/>
  <c r="RT7" i="18" s="1"/>
  <c r="FO9" i="18"/>
  <c r="FP9" i="18" s="1"/>
  <c r="FD9" i="18"/>
  <c r="NV9" i="18"/>
  <c r="OB9" i="18"/>
  <c r="OC9" i="18" s="1"/>
  <c r="NV15" i="18"/>
  <c r="NU14" i="18"/>
  <c r="NV14" i="18" s="1"/>
  <c r="OM15" i="18"/>
  <c r="OL14" i="18"/>
  <c r="OM14" i="18" s="1"/>
  <c r="CJ1" i="18"/>
  <c r="P4" i="18"/>
  <c r="Q4" i="18" s="1"/>
  <c r="CR4" i="18"/>
  <c r="CS4" i="18" s="1"/>
  <c r="HL4" i="18"/>
  <c r="HM4" i="18" s="1"/>
  <c r="ND4" i="18"/>
  <c r="NE4" i="18" s="1"/>
  <c r="PH4" i="18"/>
  <c r="PI4" i="18" s="1"/>
  <c r="AI5" i="18"/>
  <c r="AZ5" i="18"/>
  <c r="AO5" i="18"/>
  <c r="FO5" i="18"/>
  <c r="GF5" i="18"/>
  <c r="FU5" i="18"/>
  <c r="KU5" i="18"/>
  <c r="LL5" i="18"/>
  <c r="LA5" i="18"/>
  <c r="QA5" i="18"/>
  <c r="QR5" i="18"/>
  <c r="QG5" i="18"/>
  <c r="AI6" i="18"/>
  <c r="AJ6" i="18" s="1"/>
  <c r="AZ6" i="18"/>
  <c r="BA6" i="18" s="1"/>
  <c r="AO6" i="18"/>
  <c r="KU6" i="18"/>
  <c r="KV6" i="18" s="1"/>
  <c r="KJ6" i="18"/>
  <c r="MN6" i="18"/>
  <c r="MM4" i="18"/>
  <c r="MN4" i="18" s="1"/>
  <c r="GV11" i="18"/>
  <c r="GU7" i="18"/>
  <c r="GV7" i="18" s="1"/>
  <c r="LA11" i="18"/>
  <c r="LL11" i="18"/>
  <c r="LM11" i="18" s="1"/>
  <c r="KZ7" i="18"/>
  <c r="LA7" i="18" s="1"/>
  <c r="BQ5" i="18"/>
  <c r="BF5" i="18"/>
  <c r="GW5" i="18"/>
  <c r="GL5" i="18"/>
  <c r="MC5" i="18"/>
  <c r="LR5" i="18"/>
  <c r="RI5" i="18"/>
  <c r="QX5" i="18"/>
  <c r="BQ6" i="18"/>
  <c r="BR6" i="18" s="1"/>
  <c r="BF6" i="18"/>
  <c r="FO8" i="18"/>
  <c r="FD8" i="18"/>
  <c r="LF9" i="18"/>
  <c r="LL9" i="18"/>
  <c r="LM9" i="18" s="1"/>
  <c r="KB4" i="18"/>
  <c r="KC4" i="18" s="1"/>
  <c r="LQ4" i="18"/>
  <c r="LR4" i="18" s="1"/>
  <c r="R5" i="18"/>
  <c r="G5" i="18"/>
  <c r="EG5" i="18"/>
  <c r="DV5" i="18"/>
  <c r="JM5" i="18"/>
  <c r="JB5" i="18"/>
  <c r="OS5" i="18"/>
  <c r="OH5" i="18"/>
  <c r="TY5" i="18"/>
  <c r="TN5" i="18"/>
  <c r="FC7" i="18"/>
  <c r="FD7" i="18" s="1"/>
  <c r="AI8" i="18"/>
  <c r="X8" i="18"/>
  <c r="CB8" i="18"/>
  <c r="CA7" i="18"/>
  <c r="CB7" i="18" s="1"/>
  <c r="GE8" i="18"/>
  <c r="GD7" i="18"/>
  <c r="GE7" i="18" s="1"/>
  <c r="KU8" i="18"/>
  <c r="KJ8" i="18"/>
  <c r="MN8" i="18"/>
  <c r="MM7" i="18"/>
  <c r="MN7" i="18" s="1"/>
  <c r="QQ8" i="18"/>
  <c r="QP7" i="18"/>
  <c r="QQ7" i="18" s="1"/>
  <c r="AI9" i="18"/>
  <c r="AJ9" i="18" s="1"/>
  <c r="X9" i="18"/>
  <c r="KU9" i="18"/>
  <c r="KV9" i="18" s="1"/>
  <c r="KJ9" i="18"/>
  <c r="NK9" i="18"/>
  <c r="NL9" i="18" s="1"/>
  <c r="MZ9" i="18"/>
  <c r="QA9" i="18"/>
  <c r="QB9" i="18" s="1"/>
  <c r="PP9" i="18"/>
  <c r="RI9" i="18"/>
  <c r="QX9" i="18"/>
  <c r="SQ9" i="18"/>
  <c r="SR9" i="18" s="1"/>
  <c r="SF9" i="18"/>
  <c r="TY9" i="18"/>
  <c r="TN9" i="18"/>
  <c r="TM7" i="18"/>
  <c r="TN7" i="18" s="1"/>
  <c r="AI10" i="18"/>
  <c r="AJ10" i="18" s="1"/>
  <c r="X10" i="18"/>
  <c r="BQ10" i="18"/>
  <c r="BR10" i="18" s="1"/>
  <c r="BF10" i="18"/>
  <c r="CY10" i="18"/>
  <c r="CZ10" i="18" s="1"/>
  <c r="CN10" i="18"/>
  <c r="ER10" i="18"/>
  <c r="EX10" i="18"/>
  <c r="EY10" i="18" s="1"/>
  <c r="JX10" i="18"/>
  <c r="KD10" i="18"/>
  <c r="KE10" i="18" s="1"/>
  <c r="PD10" i="18"/>
  <c r="PJ10" i="18"/>
  <c r="PK10" i="18" s="1"/>
  <c r="L11" i="18"/>
  <c r="R11" i="18"/>
  <c r="S11" i="18" s="1"/>
  <c r="K7" i="18"/>
  <c r="L7" i="18" s="1"/>
  <c r="GU12" i="18"/>
  <c r="GV12" i="18" s="1"/>
  <c r="LK8" i="18"/>
  <c r="LJ7" i="18"/>
  <c r="LK7" i="18" s="1"/>
  <c r="QA8" i="18"/>
  <c r="PP8" i="18"/>
  <c r="F4" i="18"/>
  <c r="G4" i="18" s="1"/>
  <c r="AB4" i="18"/>
  <c r="AC4" i="18" s="1"/>
  <c r="CF4" i="18"/>
  <c r="CG4" i="18" s="1"/>
  <c r="DU4" i="18"/>
  <c r="DV4" i="18" s="1"/>
  <c r="GD4" i="18"/>
  <c r="GE4" i="18" s="1"/>
  <c r="HX4" i="18"/>
  <c r="HY4" i="18" s="1"/>
  <c r="KI4" i="18"/>
  <c r="KJ4" i="18" s="1"/>
  <c r="KZ4" i="18"/>
  <c r="LA4" i="18" s="1"/>
  <c r="MR4" i="18"/>
  <c r="MS4" i="18" s="1"/>
  <c r="OG4" i="18"/>
  <c r="OH4" i="18" s="1"/>
  <c r="PT4" i="18"/>
  <c r="PU4" i="18" s="1"/>
  <c r="CY5" i="18"/>
  <c r="DP5" i="18"/>
  <c r="DE5" i="18"/>
  <c r="IE5" i="18"/>
  <c r="IV5" i="18"/>
  <c r="IK5" i="18"/>
  <c r="NK5" i="18"/>
  <c r="OB5" i="18"/>
  <c r="NQ5" i="18"/>
  <c r="SQ5" i="18"/>
  <c r="TH5" i="18"/>
  <c r="SW5" i="18"/>
  <c r="CY6" i="18"/>
  <c r="CZ6" i="18" s="1"/>
  <c r="FO6" i="18"/>
  <c r="FP6" i="18" s="1"/>
  <c r="FD6" i="18"/>
  <c r="HH6" i="18"/>
  <c r="HG4" i="18"/>
  <c r="HH4" i="18" s="1"/>
  <c r="QA6" i="18"/>
  <c r="QB6" i="18" s="1"/>
  <c r="PP6" i="18"/>
  <c r="RT6" i="18"/>
  <c r="RS4" i="18"/>
  <c r="RT4" i="18" s="1"/>
  <c r="K12" i="18"/>
  <c r="L12" i="18" s="1"/>
  <c r="LA13" i="18"/>
  <c r="LL13" i="18"/>
  <c r="KS14" i="18"/>
  <c r="KT14" i="18" s="1"/>
  <c r="IP10" i="18"/>
  <c r="IV10" i="18"/>
  <c r="IW10" i="18" s="1"/>
  <c r="NV10" i="18"/>
  <c r="OB10" i="18"/>
  <c r="OC10" i="18" s="1"/>
  <c r="TB10" i="18"/>
  <c r="TH10" i="18"/>
  <c r="TI10" i="18" s="1"/>
  <c r="BP11" i="18"/>
  <c r="BO7" i="18"/>
  <c r="BP7" i="18" s="1"/>
  <c r="FU11" i="18"/>
  <c r="GF11" i="18"/>
  <c r="GG11" i="18" s="1"/>
  <c r="FT7" i="18"/>
  <c r="FU7" i="18" s="1"/>
  <c r="FU13" i="18"/>
  <c r="GF13" i="18"/>
  <c r="AH15" i="18"/>
  <c r="AG14" i="18"/>
  <c r="AH14" i="18" s="1"/>
  <c r="JL16" i="18"/>
  <c r="JK14" i="18"/>
  <c r="JL14" i="18" s="1"/>
  <c r="OR16" i="18"/>
  <c r="OQ14" i="18"/>
  <c r="OR14" i="18" s="1"/>
  <c r="CH5" i="18"/>
  <c r="BW5" i="18"/>
  <c r="EX5" i="18"/>
  <c r="EM5" i="18"/>
  <c r="HN5" i="18"/>
  <c r="HC5" i="18"/>
  <c r="KD5" i="18"/>
  <c r="JS5" i="18"/>
  <c r="MT5" i="18"/>
  <c r="MI5" i="18"/>
  <c r="PJ5" i="18"/>
  <c r="OY5" i="18"/>
  <c r="RZ5" i="18"/>
  <c r="RO5" i="18"/>
  <c r="R6" i="18"/>
  <c r="S6" i="18" s="1"/>
  <c r="G6" i="18"/>
  <c r="CH6" i="18"/>
  <c r="CI6" i="18" s="1"/>
  <c r="BW6" i="18"/>
  <c r="GF6" i="18"/>
  <c r="GG6" i="18" s="1"/>
  <c r="GL6" i="18"/>
  <c r="LL6" i="18"/>
  <c r="LM6" i="18" s="1"/>
  <c r="LR6" i="18"/>
  <c r="QR6" i="18"/>
  <c r="QS6" i="18" s="1"/>
  <c r="QX6" i="18"/>
  <c r="CF7" i="18"/>
  <c r="CG7" i="18" s="1"/>
  <c r="AZ8" i="18"/>
  <c r="BF8" i="18"/>
  <c r="GF8" i="18"/>
  <c r="GL8" i="18"/>
  <c r="LL8" i="18"/>
  <c r="LR8" i="18"/>
  <c r="QR8" i="18"/>
  <c r="QX8" i="18"/>
  <c r="AZ9" i="18"/>
  <c r="BA9" i="18" s="1"/>
  <c r="BF9" i="18"/>
  <c r="GF9" i="18"/>
  <c r="GG9" i="18" s="1"/>
  <c r="GL9" i="18"/>
  <c r="MN9" i="18"/>
  <c r="MT9" i="18"/>
  <c r="MU9" i="18" s="1"/>
  <c r="PD9" i="18"/>
  <c r="PJ9" i="18"/>
  <c r="PK9" i="18" s="1"/>
  <c r="QL9" i="18"/>
  <c r="QR9" i="18"/>
  <c r="QS9" i="18" s="1"/>
  <c r="RT9" i="18"/>
  <c r="RZ9" i="18"/>
  <c r="SA9" i="18" s="1"/>
  <c r="TB9" i="18"/>
  <c r="TH9" i="18"/>
  <c r="TI9" i="18" s="1"/>
  <c r="L10" i="18"/>
  <c r="R10" i="18"/>
  <c r="S10" i="18" s="1"/>
  <c r="AT10" i="18"/>
  <c r="AZ10" i="18"/>
  <c r="BA10" i="18" s="1"/>
  <c r="CB10" i="18"/>
  <c r="CH10" i="18"/>
  <c r="CI10" i="18" s="1"/>
  <c r="DJ10" i="18"/>
  <c r="DP10" i="18"/>
  <c r="DQ10" i="18" s="1"/>
  <c r="HH10" i="18"/>
  <c r="HN10" i="18"/>
  <c r="HO10" i="18" s="1"/>
  <c r="MN10" i="18"/>
  <c r="MT10" i="18"/>
  <c r="MU10" i="18" s="1"/>
  <c r="RT10" i="18"/>
  <c r="RZ10" i="18"/>
  <c r="SA10" i="18" s="1"/>
  <c r="AO11" i="18"/>
  <c r="AZ11" i="18"/>
  <c r="BA11" i="18" s="1"/>
  <c r="AN7" i="18"/>
  <c r="AO7" i="18" s="1"/>
  <c r="RH11" i="18"/>
  <c r="RG7" i="18"/>
  <c r="RH7" i="18" s="1"/>
  <c r="AO13" i="18"/>
  <c r="AZ13" i="18"/>
  <c r="G15" i="18"/>
  <c r="R15" i="18"/>
  <c r="F14" i="18"/>
  <c r="G14" i="18" s="1"/>
  <c r="DJ15" i="18"/>
  <c r="DI14" i="18"/>
  <c r="DJ14" i="18" s="1"/>
  <c r="EA15" i="18"/>
  <c r="DZ14" i="18"/>
  <c r="EA14" i="18" s="1"/>
  <c r="GW15" i="18"/>
  <c r="GL15" i="18"/>
  <c r="GK14" i="18"/>
  <c r="GL14" i="18" s="1"/>
  <c r="HO15" i="18"/>
  <c r="KD15" i="18"/>
  <c r="JS15" i="18"/>
  <c r="PK15" i="18"/>
  <c r="RI15" i="18"/>
  <c r="QX15" i="18"/>
  <c r="QW14" i="18"/>
  <c r="QX14" i="18" s="1"/>
  <c r="SA15" i="18"/>
  <c r="EQ4" i="18"/>
  <c r="ER4" i="18" s="1"/>
  <c r="JW4" i="18"/>
  <c r="JX4" i="18" s="1"/>
  <c r="X5" i="18"/>
  <c r="CN5" i="18"/>
  <c r="FD5" i="18"/>
  <c r="HT5" i="18"/>
  <c r="KJ5" i="18"/>
  <c r="MZ5" i="18"/>
  <c r="PP5" i="18"/>
  <c r="SF5" i="18"/>
  <c r="X6" i="18"/>
  <c r="CN6" i="18"/>
  <c r="HN6" i="18"/>
  <c r="HO6" i="18" s="1"/>
  <c r="HT6" i="18"/>
  <c r="MT6" i="18"/>
  <c r="MU6" i="18" s="1"/>
  <c r="MZ6" i="18"/>
  <c r="RZ6" i="18"/>
  <c r="SA6" i="18" s="1"/>
  <c r="SF6" i="18"/>
  <c r="CM7" i="18"/>
  <c r="CN7" i="18" s="1"/>
  <c r="HS7" i="18"/>
  <c r="HT7" i="18" s="1"/>
  <c r="MY7" i="18"/>
  <c r="MZ7" i="18" s="1"/>
  <c r="SE7" i="18"/>
  <c r="SF7" i="18" s="1"/>
  <c r="CH8" i="18"/>
  <c r="CN8" i="18"/>
  <c r="HN8" i="18"/>
  <c r="HT8" i="18"/>
  <c r="MT8" i="18"/>
  <c r="MZ8" i="18"/>
  <c r="RZ8" i="18"/>
  <c r="SF8" i="18"/>
  <c r="CH9" i="18"/>
  <c r="CI9" i="18" s="1"/>
  <c r="CN9" i="18"/>
  <c r="HN9" i="18"/>
  <c r="HO9" i="18" s="1"/>
  <c r="HT9" i="18"/>
  <c r="LR9" i="18"/>
  <c r="OH9" i="18"/>
  <c r="FZ10" i="18"/>
  <c r="GF10" i="18"/>
  <c r="GG10" i="18" s="1"/>
  <c r="LF10" i="18"/>
  <c r="LL10" i="18"/>
  <c r="LM10" i="18" s="1"/>
  <c r="QL10" i="18"/>
  <c r="QR10" i="18"/>
  <c r="QS10" i="18" s="1"/>
  <c r="MB11" i="18"/>
  <c r="MA7" i="18"/>
  <c r="MB7" i="18" s="1"/>
  <c r="QG11" i="18"/>
  <c r="QR11" i="18"/>
  <c r="QS11" i="18" s="1"/>
  <c r="QF7" i="18"/>
  <c r="QG7" i="18" s="1"/>
  <c r="QG13" i="18"/>
  <c r="QR13" i="18"/>
  <c r="GQ15" i="18"/>
  <c r="GP14" i="18"/>
  <c r="GQ14" i="18" s="1"/>
  <c r="JM15" i="18"/>
  <c r="JB15" i="18"/>
  <c r="JA14" i="18"/>
  <c r="JB14" i="18" s="1"/>
  <c r="AT16" i="18"/>
  <c r="AZ16" i="18"/>
  <c r="BA16" i="18" s="1"/>
  <c r="EW17" i="18"/>
  <c r="EV14" i="18"/>
  <c r="EW14" i="18" s="1"/>
  <c r="RC17" i="18"/>
  <c r="RB14" i="18"/>
  <c r="RC14" i="18" s="1"/>
  <c r="TS17" i="18"/>
  <c r="TR14" i="18"/>
  <c r="TS14" i="18" s="1"/>
  <c r="BP18" i="18"/>
  <c r="EF18" i="18"/>
  <c r="BV7" i="18"/>
  <c r="BW7" i="18" s="1"/>
  <c r="HB7" i="18"/>
  <c r="HC7" i="18" s="1"/>
  <c r="MH7" i="18"/>
  <c r="MI7" i="18" s="1"/>
  <c r="RN7" i="18"/>
  <c r="RO7" i="18" s="1"/>
  <c r="EX11" i="18"/>
  <c r="EY11" i="18" s="1"/>
  <c r="KD11" i="18"/>
  <c r="KE11" i="18" s="1"/>
  <c r="PJ11" i="18"/>
  <c r="PK11" i="18" s="1"/>
  <c r="R13" i="18"/>
  <c r="EX13" i="18"/>
  <c r="KD13" i="18"/>
  <c r="PJ13" i="18"/>
  <c r="CA14" i="18"/>
  <c r="CB14" i="18" s="1"/>
  <c r="FY14" i="18"/>
  <c r="FZ14" i="18" s="1"/>
  <c r="QK14" i="18"/>
  <c r="QL14" i="18" s="1"/>
  <c r="JG15" i="18"/>
  <c r="JF14" i="18"/>
  <c r="JG14" i="18" s="1"/>
  <c r="LL15" i="18"/>
  <c r="MC15" i="18"/>
  <c r="LR15" i="18"/>
  <c r="LQ14" i="18"/>
  <c r="LR14" i="18" s="1"/>
  <c r="MI15" i="18"/>
  <c r="TY15" i="18"/>
  <c r="TN15" i="18"/>
  <c r="TM14" i="18"/>
  <c r="TN14" i="18" s="1"/>
  <c r="DE6" i="18"/>
  <c r="EM6" i="18"/>
  <c r="FU6" i="18"/>
  <c r="HC6" i="18"/>
  <c r="IK6" i="18"/>
  <c r="JS6" i="18"/>
  <c r="LA6" i="18"/>
  <c r="MI6" i="18"/>
  <c r="NQ6" i="18"/>
  <c r="OY6" i="18"/>
  <c r="QG6" i="18"/>
  <c r="RO6" i="18"/>
  <c r="SW6" i="18"/>
  <c r="CW7" i="18"/>
  <c r="CX7" i="18" s="1"/>
  <c r="IC7" i="18"/>
  <c r="ID7" i="18" s="1"/>
  <c r="NI7" i="18"/>
  <c r="NJ7" i="18" s="1"/>
  <c r="SO7" i="18"/>
  <c r="SP7" i="18" s="1"/>
  <c r="G8" i="18"/>
  <c r="AO8" i="18"/>
  <c r="BW8" i="18"/>
  <c r="DE8" i="18"/>
  <c r="EM8" i="18"/>
  <c r="FU8" i="18"/>
  <c r="HC8" i="18"/>
  <c r="IK8" i="18"/>
  <c r="JS8" i="18"/>
  <c r="LA8" i="18"/>
  <c r="MI8" i="18"/>
  <c r="NQ8" i="18"/>
  <c r="OY8" i="18"/>
  <c r="QG8" i="18"/>
  <c r="RO8" i="18"/>
  <c r="SW8" i="18"/>
  <c r="G9" i="18"/>
  <c r="AO9" i="18"/>
  <c r="BW9" i="18"/>
  <c r="DE9" i="18"/>
  <c r="EM9" i="18"/>
  <c r="FU9" i="18"/>
  <c r="HC9" i="18"/>
  <c r="IK9" i="18"/>
  <c r="JS9" i="18"/>
  <c r="DP15" i="18"/>
  <c r="EG15" i="18"/>
  <c r="DV15" i="18"/>
  <c r="DU14" i="18"/>
  <c r="DV14" i="18" s="1"/>
  <c r="LW15" i="18"/>
  <c r="LV14" i="18"/>
  <c r="LW14" i="18" s="1"/>
  <c r="OB15" i="18"/>
  <c r="OS15" i="18"/>
  <c r="OH15" i="18"/>
  <c r="OG14" i="18"/>
  <c r="OH14" i="18" s="1"/>
  <c r="OY15" i="18"/>
  <c r="TB15" i="18"/>
  <c r="TH15" i="18"/>
  <c r="AI11" i="18"/>
  <c r="AJ11" i="18" s="1"/>
  <c r="BQ11" i="18"/>
  <c r="BR11" i="18" s="1"/>
  <c r="CY11" i="18"/>
  <c r="CZ11" i="18" s="1"/>
  <c r="EG11" i="18"/>
  <c r="EH11" i="18" s="1"/>
  <c r="FO11" i="18"/>
  <c r="FP11" i="18" s="1"/>
  <c r="GW11" i="18"/>
  <c r="IE11" i="18"/>
  <c r="IF11" i="18" s="1"/>
  <c r="JM11" i="18"/>
  <c r="JN11" i="18" s="1"/>
  <c r="KU11" i="18"/>
  <c r="KV11" i="18" s="1"/>
  <c r="MC11" i="18"/>
  <c r="NK11" i="18"/>
  <c r="NL11" i="18" s="1"/>
  <c r="OS11" i="18"/>
  <c r="QA11" i="18"/>
  <c r="QB11" i="18" s="1"/>
  <c r="RI11" i="18"/>
  <c r="RJ11" i="18" s="1"/>
  <c r="SQ11" i="18"/>
  <c r="SR11" i="18" s="1"/>
  <c r="TY11" i="18"/>
  <c r="TZ11" i="18" s="1"/>
  <c r="AI13" i="18"/>
  <c r="BQ13" i="18"/>
  <c r="CY13" i="18"/>
  <c r="EG13" i="18"/>
  <c r="FO13" i="18"/>
  <c r="GW13" i="18"/>
  <c r="IE13" i="18"/>
  <c r="JM13" i="18"/>
  <c r="KU13" i="18"/>
  <c r="MC13" i="18"/>
  <c r="NK13" i="18"/>
  <c r="OS13" i="18"/>
  <c r="QA13" i="18"/>
  <c r="RI13" i="18"/>
  <c r="SQ13" i="18"/>
  <c r="TY13" i="18"/>
  <c r="AI15" i="18"/>
  <c r="BQ15" i="18"/>
  <c r="CY15" i="18"/>
  <c r="CN15" i="18"/>
  <c r="FO15" i="18"/>
  <c r="FD15" i="18"/>
  <c r="IE15" i="18"/>
  <c r="HT15" i="18"/>
  <c r="KU15" i="18"/>
  <c r="KJ15" i="18"/>
  <c r="NK15" i="18"/>
  <c r="MZ15" i="18"/>
  <c r="QA15" i="18"/>
  <c r="PP15" i="18"/>
  <c r="SQ15" i="18"/>
  <c r="SF15" i="18"/>
  <c r="AI16" i="18"/>
  <c r="AJ16" i="18" s="1"/>
  <c r="X16" i="18"/>
  <c r="EG16" i="18"/>
  <c r="EH16" i="18" s="1"/>
  <c r="JM16" i="18"/>
  <c r="JN16" i="18" s="1"/>
  <c r="OS16" i="18"/>
  <c r="OT16" i="18" s="1"/>
  <c r="DV17" i="18"/>
  <c r="EG17" i="18"/>
  <c r="EH17" i="18" s="1"/>
  <c r="RC18" i="18"/>
  <c r="TS18" i="18"/>
  <c r="DE15" i="18"/>
  <c r="FU15" i="18"/>
  <c r="IK15" i="18"/>
  <c r="LA15" i="18"/>
  <c r="NQ15" i="18"/>
  <c r="QG15" i="18"/>
  <c r="FO16" i="18"/>
  <c r="FP16" i="18" s="1"/>
  <c r="KU16" i="18"/>
  <c r="KV16" i="18" s="1"/>
  <c r="QA16" i="18"/>
  <c r="QB16" i="18" s="1"/>
  <c r="CY17" i="18"/>
  <c r="CZ17" i="18" s="1"/>
  <c r="FO17" i="18"/>
  <c r="FP17" i="18" s="1"/>
  <c r="AY18" i="18"/>
  <c r="DO18" i="18"/>
  <c r="TB18" i="18"/>
  <c r="BF16" i="18"/>
  <c r="CN16" i="18"/>
  <c r="DV16" i="18"/>
  <c r="FD16" i="18"/>
  <c r="GL16" i="18"/>
  <c r="HT16" i="18"/>
  <c r="JB16" i="18"/>
  <c r="KJ16" i="18"/>
  <c r="LR16" i="18"/>
  <c r="MZ16" i="18"/>
  <c r="OH16" i="18"/>
  <c r="PP16" i="18"/>
  <c r="RI16" i="18"/>
  <c r="RJ16" i="18" s="1"/>
  <c r="SQ16" i="18"/>
  <c r="SR16" i="18" s="1"/>
  <c r="TY16" i="18"/>
  <c r="TZ16" i="18" s="1"/>
  <c r="AI17" i="18"/>
  <c r="AJ17" i="18" s="1"/>
  <c r="BQ17" i="18"/>
  <c r="BR17" i="18" s="1"/>
  <c r="HN17" i="18"/>
  <c r="HO17" i="18" s="1"/>
  <c r="KD17" i="18"/>
  <c r="KE17" i="18" s="1"/>
  <c r="MT17" i="18"/>
  <c r="MU17" i="18" s="1"/>
  <c r="SK18" i="18"/>
  <c r="HT19" i="18"/>
  <c r="IE19" i="18"/>
  <c r="IF19" i="18" s="1"/>
  <c r="HS18" i="18"/>
  <c r="GL17" i="18"/>
  <c r="GW17" i="18"/>
  <c r="GX17" i="18" s="1"/>
  <c r="CG18" i="18"/>
  <c r="RT18" i="18"/>
  <c r="Q18" i="18"/>
  <c r="LF18" i="18"/>
  <c r="NE18" i="18"/>
  <c r="NV18" i="18"/>
  <c r="PD18" i="18"/>
  <c r="PY21" i="18"/>
  <c r="PZ21" i="18" s="1"/>
  <c r="PZ18" i="18"/>
  <c r="RH18" i="18"/>
  <c r="RY18" i="18"/>
  <c r="TG18" i="18"/>
  <c r="TW21" i="18"/>
  <c r="TX21" i="18" s="1"/>
  <c r="TX18" i="18"/>
  <c r="KJ19" i="18"/>
  <c r="KU19" i="18"/>
  <c r="KV19" i="18" s="1"/>
  <c r="KI18" i="18"/>
  <c r="DP17" i="18"/>
  <c r="DQ17" i="18" s="1"/>
  <c r="EX17" i="18"/>
  <c r="GF17" i="18"/>
  <c r="GG17" i="18" s="1"/>
  <c r="IV17" i="18"/>
  <c r="LL17" i="18"/>
  <c r="LM17" i="18" s="1"/>
  <c r="FZ18" i="18"/>
  <c r="GQ18" i="18"/>
  <c r="HH18" i="18"/>
  <c r="ID18" i="18"/>
  <c r="IO21" i="18"/>
  <c r="IP21" i="18" s="1"/>
  <c r="IP18" i="18"/>
  <c r="JG18" i="18"/>
  <c r="KT18" i="18"/>
  <c r="LK18" i="18"/>
  <c r="MB18" i="18"/>
  <c r="OR18" i="18"/>
  <c r="PP19" i="18"/>
  <c r="QA19" i="18"/>
  <c r="QB19" i="18" s="1"/>
  <c r="PO18" i="18"/>
  <c r="AI20" i="18"/>
  <c r="X20" i="18"/>
  <c r="W18" i="18"/>
  <c r="AC18" i="18"/>
  <c r="AT18" i="18"/>
  <c r="BJ21" i="18"/>
  <c r="BK21" i="18" s="1"/>
  <c r="BK18" i="18"/>
  <c r="CS18" i="18"/>
  <c r="DJ18" i="18"/>
  <c r="GE18" i="18"/>
  <c r="GV18" i="18"/>
  <c r="IU18" i="18"/>
  <c r="JL18" i="18"/>
  <c r="FO20" i="18"/>
  <c r="FD20" i="18"/>
  <c r="FC18" i="18"/>
  <c r="IE17" i="18"/>
  <c r="IF17" i="18" s="1"/>
  <c r="JM17" i="18"/>
  <c r="JN17" i="18" s="1"/>
  <c r="KU17" i="18"/>
  <c r="KV17" i="18" s="1"/>
  <c r="MC17" i="18"/>
  <c r="MD17" i="18" s="1"/>
  <c r="NK17" i="18"/>
  <c r="NL17" i="18" s="1"/>
  <c r="OS17" i="18"/>
  <c r="OT17" i="18" s="1"/>
  <c r="QA17" i="18"/>
  <c r="QB17" i="18" s="1"/>
  <c r="RI17" i="18"/>
  <c r="RJ17" i="18" s="1"/>
  <c r="SQ17" i="18"/>
  <c r="SR17" i="18" s="1"/>
  <c r="TY17" i="18"/>
  <c r="TZ17" i="18" s="1"/>
  <c r="BF18" i="18"/>
  <c r="CN18" i="18"/>
  <c r="GL18" i="18"/>
  <c r="LR18" i="18"/>
  <c r="OH18" i="18"/>
  <c r="QX18" i="18"/>
  <c r="SF18" i="18"/>
  <c r="TN18" i="18"/>
  <c r="AI19" i="18"/>
  <c r="AJ19" i="18" s="1"/>
  <c r="BQ19" i="18"/>
  <c r="BR19" i="18" s="1"/>
  <c r="CY19" i="18"/>
  <c r="CZ19" i="18" s="1"/>
  <c r="EG19" i="18"/>
  <c r="EH19" i="18" s="1"/>
  <c r="FO19" i="18"/>
  <c r="FP19" i="18" s="1"/>
  <c r="GW19" i="18"/>
  <c r="GX19" i="18" s="1"/>
  <c r="JM19" i="18"/>
  <c r="JN19" i="18" s="1"/>
  <c r="NK19" i="18"/>
  <c r="NL19" i="18" s="1"/>
  <c r="RI19" i="18"/>
  <c r="RJ19" i="18" s="1"/>
  <c r="AZ20" i="18"/>
  <c r="AO20" i="18"/>
  <c r="GF20" i="18"/>
  <c r="FU20" i="18"/>
  <c r="OS19" i="18"/>
  <c r="OT19" i="18" s="1"/>
  <c r="SQ19" i="18"/>
  <c r="SR19" i="18" s="1"/>
  <c r="SF19" i="18"/>
  <c r="CY20" i="18"/>
  <c r="CN20" i="18"/>
  <c r="IK20" i="18"/>
  <c r="IV20" i="18"/>
  <c r="LA20" i="18"/>
  <c r="LL20" i="18"/>
  <c r="NQ20" i="18"/>
  <c r="OB20" i="18"/>
  <c r="QG20" i="18"/>
  <c r="QR20" i="18"/>
  <c r="SW20" i="18"/>
  <c r="TH20" i="18"/>
  <c r="OB17" i="18"/>
  <c r="OC17" i="18" s="1"/>
  <c r="PJ17" i="18"/>
  <c r="PK17" i="18" s="1"/>
  <c r="QR17" i="18"/>
  <c r="QS17" i="18" s="1"/>
  <c r="RZ17" i="18"/>
  <c r="SA17" i="18" s="1"/>
  <c r="TH17" i="18"/>
  <c r="TI17" i="18" s="1"/>
  <c r="G18" i="18"/>
  <c r="DD21" i="18"/>
  <c r="DE21" i="18" s="1"/>
  <c r="HC18" i="18"/>
  <c r="JS18" i="18"/>
  <c r="JR21" i="18"/>
  <c r="JS21" i="18" s="1"/>
  <c r="MI18" i="18"/>
  <c r="RO18" i="18"/>
  <c r="SW18" i="18"/>
  <c r="R19" i="18"/>
  <c r="S19" i="18" s="1"/>
  <c r="AZ19" i="18"/>
  <c r="BA19" i="18" s="1"/>
  <c r="CH19" i="18"/>
  <c r="CI19" i="18" s="1"/>
  <c r="DP19" i="18"/>
  <c r="DQ19" i="18" s="1"/>
  <c r="EX19" i="18"/>
  <c r="EY19" i="18" s="1"/>
  <c r="GF19" i="18"/>
  <c r="GG19" i="18" s="1"/>
  <c r="HN19" i="18"/>
  <c r="HO19" i="18" s="1"/>
  <c r="HC19" i="18"/>
  <c r="TH19" i="18"/>
  <c r="TI19" i="18" s="1"/>
  <c r="SW19" i="18"/>
  <c r="DP20" i="18"/>
  <c r="DE20" i="18"/>
  <c r="KJ20" i="18"/>
  <c r="KU20" i="18"/>
  <c r="MZ20" i="18"/>
  <c r="NK20" i="18"/>
  <c r="PP20" i="18"/>
  <c r="QA20" i="18"/>
  <c r="SF20" i="18"/>
  <c r="SQ20" i="18"/>
  <c r="TY19" i="18"/>
  <c r="TZ19" i="18" s="1"/>
  <c r="TN19" i="18"/>
  <c r="BQ20" i="18"/>
  <c r="BF20" i="18"/>
  <c r="EG20" i="18"/>
  <c r="DV20" i="18"/>
  <c r="GW20" i="18"/>
  <c r="GL20" i="18"/>
  <c r="JS20" i="18"/>
  <c r="KD20" i="18"/>
  <c r="MI20" i="18"/>
  <c r="MT20" i="18"/>
  <c r="OY20" i="18"/>
  <c r="PJ20" i="18"/>
  <c r="RO20" i="18"/>
  <c r="RZ20" i="18"/>
  <c r="IV19" i="18"/>
  <c r="IW19" i="18" s="1"/>
  <c r="KD19" i="18"/>
  <c r="KE19" i="18" s="1"/>
  <c r="LL19" i="18"/>
  <c r="LM19" i="18" s="1"/>
  <c r="MT19" i="18"/>
  <c r="MU19" i="18" s="1"/>
  <c r="OB19" i="18"/>
  <c r="OC19" i="18" s="1"/>
  <c r="PJ19" i="18"/>
  <c r="PK19" i="18" s="1"/>
  <c r="QR19" i="18"/>
  <c r="QS19" i="18" s="1"/>
  <c r="RZ19" i="18"/>
  <c r="SA19" i="18" s="1"/>
  <c r="RO19" i="18"/>
  <c r="R20" i="18"/>
  <c r="G20" i="18"/>
  <c r="CH20" i="18"/>
  <c r="BW20" i="18"/>
  <c r="EX20" i="18"/>
  <c r="EM20" i="18"/>
  <c r="HN20" i="18"/>
  <c r="HC20" i="18"/>
  <c r="JB20" i="18"/>
  <c r="JM20" i="18"/>
  <c r="LR20" i="18"/>
  <c r="MC20" i="18"/>
  <c r="OH20" i="18"/>
  <c r="OS20" i="18"/>
  <c r="QX20" i="18"/>
  <c r="RI20" i="18"/>
  <c r="TN20" i="18"/>
  <c r="TY20" i="18"/>
  <c r="HT20" i="18"/>
  <c r="RJ5" i="16"/>
  <c r="BB1" i="16"/>
  <c r="BR5" i="16"/>
  <c r="EH5" i="16"/>
  <c r="EG4" i="16"/>
  <c r="EH4" i="16" s="1"/>
  <c r="PK5" i="16"/>
  <c r="PJ4" i="16"/>
  <c r="PK4" i="16" s="1"/>
  <c r="QS5" i="16"/>
  <c r="SA5" i="16"/>
  <c r="RZ4" i="16"/>
  <c r="SA4" i="16" s="1"/>
  <c r="TI5" i="16"/>
  <c r="TH4" i="16"/>
  <c r="TI4" i="16" s="1"/>
  <c r="CZ5" i="16"/>
  <c r="FP5" i="16"/>
  <c r="SR5" i="16"/>
  <c r="SQ4" i="16"/>
  <c r="SR4" i="16" s="1"/>
  <c r="DQ5" i="16"/>
  <c r="GG5" i="16"/>
  <c r="S5" i="16"/>
  <c r="CI5" i="16"/>
  <c r="HN5" i="16"/>
  <c r="IE5" i="16"/>
  <c r="IV5" i="16"/>
  <c r="JM5" i="16"/>
  <c r="KD5" i="16"/>
  <c r="KU5" i="16"/>
  <c r="LL5" i="16"/>
  <c r="MC5" i="16"/>
  <c r="MT5" i="16"/>
  <c r="NK5" i="16"/>
  <c r="OB5" i="16"/>
  <c r="AO6" i="16"/>
  <c r="AY6" i="16"/>
  <c r="DE6" i="16"/>
  <c r="DO6" i="16"/>
  <c r="FU6" i="16"/>
  <c r="GE6" i="16"/>
  <c r="IK6" i="16"/>
  <c r="IU6" i="16"/>
  <c r="LA6" i="16"/>
  <c r="LK6" i="16"/>
  <c r="NQ6" i="16"/>
  <c r="OA6" i="16"/>
  <c r="QG6" i="16"/>
  <c r="QQ6" i="16"/>
  <c r="SW6" i="16"/>
  <c r="TG6" i="16"/>
  <c r="AG7" i="16"/>
  <c r="AH7" i="16" s="1"/>
  <c r="CF7" i="16"/>
  <c r="CG7" i="16" s="1"/>
  <c r="DN7" i="16"/>
  <c r="DO7" i="16" s="1"/>
  <c r="R8" i="16"/>
  <c r="G8" i="16"/>
  <c r="AI8" i="16"/>
  <c r="X8" i="16"/>
  <c r="AZ8" i="16"/>
  <c r="AO8" i="16"/>
  <c r="BQ8" i="16"/>
  <c r="BF8" i="16"/>
  <c r="CH8" i="16"/>
  <c r="BW8" i="16"/>
  <c r="CY8" i="16"/>
  <c r="CN8" i="16"/>
  <c r="DP8" i="16"/>
  <c r="DE8" i="16"/>
  <c r="EG8" i="16"/>
  <c r="DV8" i="16"/>
  <c r="IF8" i="16"/>
  <c r="OC8" i="16"/>
  <c r="SR8" i="16"/>
  <c r="TI8" i="16"/>
  <c r="RC10" i="16"/>
  <c r="RI10" i="16"/>
  <c r="RJ10" i="16" s="1"/>
  <c r="BK11" i="16"/>
  <c r="BQ11" i="16"/>
  <c r="BR11" i="16" s="1"/>
  <c r="BJ7" i="16"/>
  <c r="BK7" i="16" s="1"/>
  <c r="GQ11" i="16"/>
  <c r="GW11" i="16"/>
  <c r="GX11" i="16" s="1"/>
  <c r="LW11" i="16"/>
  <c r="MC11" i="16"/>
  <c r="MD11" i="16" s="1"/>
  <c r="RC11" i="16"/>
  <c r="RI11" i="16"/>
  <c r="RJ11" i="16" s="1"/>
  <c r="BK13" i="16"/>
  <c r="BQ13" i="16"/>
  <c r="GQ13" i="16"/>
  <c r="GW13" i="16"/>
  <c r="LW13" i="16"/>
  <c r="MC13" i="16"/>
  <c r="RC13" i="16"/>
  <c r="RI13" i="16"/>
  <c r="SK15" i="16"/>
  <c r="SJ14" i="16"/>
  <c r="RJ8" i="16"/>
  <c r="SA8" i="16"/>
  <c r="TX15" i="16"/>
  <c r="TW14" i="16"/>
  <c r="TX14" i="16" s="1"/>
  <c r="P7" i="16"/>
  <c r="Q7" i="16" s="1"/>
  <c r="JM8" i="16"/>
  <c r="KE8" i="16"/>
  <c r="OS8" i="16"/>
  <c r="TY8" i="16"/>
  <c r="EG9" i="16"/>
  <c r="EH9" i="16" s="1"/>
  <c r="JM9" i="16"/>
  <c r="JN9" i="16" s="1"/>
  <c r="OS9" i="16"/>
  <c r="OT9" i="16" s="1"/>
  <c r="TY9" i="16"/>
  <c r="TZ9" i="16" s="1"/>
  <c r="EG10" i="16"/>
  <c r="EH10" i="16" s="1"/>
  <c r="JM10" i="16"/>
  <c r="JN10" i="16" s="1"/>
  <c r="OS10" i="16"/>
  <c r="OT10" i="16" s="1"/>
  <c r="TH10" i="16"/>
  <c r="TI10" i="16" s="1"/>
  <c r="SW10" i="16"/>
  <c r="DP11" i="16"/>
  <c r="DQ11" i="16" s="1"/>
  <c r="DE11" i="16"/>
  <c r="IV11" i="16"/>
  <c r="IW11" i="16" s="1"/>
  <c r="IK11" i="16"/>
  <c r="OB11" i="16"/>
  <c r="OC11" i="16" s="1"/>
  <c r="NQ11" i="16"/>
  <c r="TH11" i="16"/>
  <c r="TI11" i="16" s="1"/>
  <c r="SW11" i="16"/>
  <c r="DP13" i="16"/>
  <c r="DE13" i="16"/>
  <c r="IV13" i="16"/>
  <c r="IK13" i="16"/>
  <c r="OB13" i="16"/>
  <c r="NQ13" i="16"/>
  <c r="TH13" i="16"/>
  <c r="SW13" i="16"/>
  <c r="MS15" i="16"/>
  <c r="MT15" i="16"/>
  <c r="MR14" i="16"/>
  <c r="MS14" i="16" s="1"/>
  <c r="NQ15" i="16"/>
  <c r="OB15" i="16"/>
  <c r="NP14" i="16"/>
  <c r="NQ14" i="16" s="1"/>
  <c r="RI16" i="16"/>
  <c r="RJ16" i="16" s="1"/>
  <c r="QX16" i="16"/>
  <c r="QW14" i="16"/>
  <c r="QX14" i="16" s="1"/>
  <c r="RY16" i="16"/>
  <c r="RX14" i="16"/>
  <c r="RY14" i="16" s="1"/>
  <c r="MD8" i="16"/>
  <c r="MU8" i="16"/>
  <c r="HY15" i="16"/>
  <c r="HX14" i="16"/>
  <c r="HY14" i="16" s="1"/>
  <c r="AN4" i="16"/>
  <c r="AO4" i="16" s="1"/>
  <c r="DD4" i="16"/>
  <c r="DE4" i="16" s="1"/>
  <c r="FT4" i="16"/>
  <c r="FU4" i="16" s="1"/>
  <c r="IJ4" i="16"/>
  <c r="IK4" i="16" s="1"/>
  <c r="KZ4" i="16"/>
  <c r="LA4" i="16" s="1"/>
  <c r="NP4" i="16"/>
  <c r="NQ4" i="16" s="1"/>
  <c r="QF4" i="16"/>
  <c r="QG4" i="16" s="1"/>
  <c r="SV4" i="16"/>
  <c r="SW4" i="16" s="1"/>
  <c r="G6" i="16"/>
  <c r="BW6" i="16"/>
  <c r="EM6" i="16"/>
  <c r="HC6" i="16"/>
  <c r="JS6" i="16"/>
  <c r="MI6" i="16"/>
  <c r="OY6" i="16"/>
  <c r="RO6" i="16"/>
  <c r="AN7" i="16"/>
  <c r="AO7" i="16" s="1"/>
  <c r="AX7" i="16"/>
  <c r="AY7" i="16" s="1"/>
  <c r="BO7" i="16"/>
  <c r="BP7" i="16" s="1"/>
  <c r="CM7" i="16"/>
  <c r="CN7" i="16" s="1"/>
  <c r="CW7" i="16"/>
  <c r="CX7" i="16" s="1"/>
  <c r="DU7" i="16"/>
  <c r="DV7" i="16" s="1"/>
  <c r="EE7" i="16"/>
  <c r="EF7" i="16" s="1"/>
  <c r="FM7" i="16"/>
  <c r="FN7" i="16" s="1"/>
  <c r="GD7" i="16"/>
  <c r="GE7" i="16" s="1"/>
  <c r="GU7" i="16"/>
  <c r="GV7" i="16" s="1"/>
  <c r="JK7" i="16"/>
  <c r="JL7" i="16" s="1"/>
  <c r="KS7" i="16"/>
  <c r="KT7" i="16" s="1"/>
  <c r="LJ7" i="16"/>
  <c r="LK7" i="16" s="1"/>
  <c r="MA7" i="16"/>
  <c r="MB7" i="16" s="1"/>
  <c r="OQ7" i="16"/>
  <c r="OR7" i="16" s="1"/>
  <c r="PY7" i="16"/>
  <c r="PZ7" i="16" s="1"/>
  <c r="QP7" i="16"/>
  <c r="QQ7" i="16" s="1"/>
  <c r="RG7" i="16"/>
  <c r="RH7" i="16" s="1"/>
  <c r="FO8" i="16"/>
  <c r="KU8" i="16"/>
  <c r="QA8" i="16"/>
  <c r="AI9" i="16"/>
  <c r="AJ9" i="16" s="1"/>
  <c r="FO9" i="16"/>
  <c r="FP9" i="16" s="1"/>
  <c r="KU9" i="16"/>
  <c r="KV9" i="16" s="1"/>
  <c r="QA9" i="16"/>
  <c r="QB9" i="16" s="1"/>
  <c r="AI10" i="16"/>
  <c r="AJ10" i="16" s="1"/>
  <c r="FO10" i="16"/>
  <c r="FP10" i="16" s="1"/>
  <c r="KU10" i="16"/>
  <c r="KV10" i="16" s="1"/>
  <c r="JL15" i="16"/>
  <c r="JK14" i="16"/>
  <c r="JL14" i="16" s="1"/>
  <c r="R11" i="16"/>
  <c r="S11" i="16" s="1"/>
  <c r="G11" i="16"/>
  <c r="EX11" i="16"/>
  <c r="EY11" i="16" s="1"/>
  <c r="EM11" i="16"/>
  <c r="KD11" i="16"/>
  <c r="KE11" i="16" s="1"/>
  <c r="JS11" i="16"/>
  <c r="PJ11" i="16"/>
  <c r="PK11" i="16" s="1"/>
  <c r="OY11" i="16"/>
  <c r="R13" i="16"/>
  <c r="G13" i="16"/>
  <c r="EX13" i="16"/>
  <c r="EM13" i="16"/>
  <c r="KD13" i="16"/>
  <c r="JS13" i="16"/>
  <c r="PJ13" i="16"/>
  <c r="OY13" i="16"/>
  <c r="FU15" i="16"/>
  <c r="GF15" i="16"/>
  <c r="FT14" i="16"/>
  <c r="FU14" i="16" s="1"/>
  <c r="KO15" i="16"/>
  <c r="KN14" i="16"/>
  <c r="KO14" i="16" s="1"/>
  <c r="MB15" i="16"/>
  <c r="MA14" i="16"/>
  <c r="MB14" i="16" s="1"/>
  <c r="PI15" i="16"/>
  <c r="PJ15" i="16"/>
  <c r="QG15" i="16"/>
  <c r="QR15" i="16"/>
  <c r="QF14" i="16"/>
  <c r="QG14" i="16" s="1"/>
  <c r="AC16" i="16"/>
  <c r="AB14" i="16"/>
  <c r="AC14" i="16" s="1"/>
  <c r="LA16" i="16"/>
  <c r="LL16" i="16"/>
  <c r="LM16" i="16" s="1"/>
  <c r="BQ17" i="16"/>
  <c r="BR17" i="16" s="1"/>
  <c r="BF17" i="16"/>
  <c r="BE14" i="16"/>
  <c r="BF14" i="16" s="1"/>
  <c r="EQ7" i="16"/>
  <c r="ER7" i="16" s="1"/>
  <c r="FH7" i="16"/>
  <c r="FI7" i="16" s="1"/>
  <c r="FY7" i="16"/>
  <c r="FZ7" i="16" s="1"/>
  <c r="GP7" i="16"/>
  <c r="GQ7" i="16" s="1"/>
  <c r="HG7" i="16"/>
  <c r="HH7" i="16" s="1"/>
  <c r="HX7" i="16"/>
  <c r="HY7" i="16" s="1"/>
  <c r="IO7" i="16"/>
  <c r="IP7" i="16" s="1"/>
  <c r="JF7" i="16"/>
  <c r="JG7" i="16" s="1"/>
  <c r="JW7" i="16"/>
  <c r="JX7" i="16" s="1"/>
  <c r="KN7" i="16"/>
  <c r="KO7" i="16" s="1"/>
  <c r="LE7" i="16"/>
  <c r="LF7" i="16" s="1"/>
  <c r="LV7" i="16"/>
  <c r="LW7" i="16" s="1"/>
  <c r="MM7" i="16"/>
  <c r="MN7" i="16" s="1"/>
  <c r="ND7" i="16"/>
  <c r="NE7" i="16" s="1"/>
  <c r="NU7" i="16"/>
  <c r="NV7" i="16" s="1"/>
  <c r="OL7" i="16"/>
  <c r="OM7" i="16" s="1"/>
  <c r="PC7" i="16"/>
  <c r="PD7" i="16" s="1"/>
  <c r="PT7" i="16"/>
  <c r="PU7" i="16" s="1"/>
  <c r="QK7" i="16"/>
  <c r="QL7" i="16" s="1"/>
  <c r="RB7" i="16"/>
  <c r="RC7" i="16" s="1"/>
  <c r="RS7" i="16"/>
  <c r="RT7" i="16" s="1"/>
  <c r="SJ7" i="16"/>
  <c r="SK7" i="16" s="1"/>
  <c r="TA7" i="16"/>
  <c r="TB7" i="16" s="1"/>
  <c r="TR7" i="16"/>
  <c r="TS7" i="16" s="1"/>
  <c r="FD8" i="16"/>
  <c r="GL8" i="16"/>
  <c r="HT8" i="16"/>
  <c r="JB8" i="16"/>
  <c r="KJ8" i="16"/>
  <c r="LR8" i="16"/>
  <c r="MZ8" i="16"/>
  <c r="OH8" i="16"/>
  <c r="PP8" i="16"/>
  <c r="QX8" i="16"/>
  <c r="SF8" i="16"/>
  <c r="TN8" i="16"/>
  <c r="X9" i="16"/>
  <c r="BF9" i="16"/>
  <c r="CN9" i="16"/>
  <c r="DV9" i="16"/>
  <c r="FD9" i="16"/>
  <c r="GL9" i="16"/>
  <c r="HT9" i="16"/>
  <c r="JB9" i="16"/>
  <c r="KJ9" i="16"/>
  <c r="LR9" i="16"/>
  <c r="MZ9" i="16"/>
  <c r="OH9" i="16"/>
  <c r="PP9" i="16"/>
  <c r="QX9" i="16"/>
  <c r="SF9" i="16"/>
  <c r="TN9" i="16"/>
  <c r="X10" i="16"/>
  <c r="BF10" i="16"/>
  <c r="CN10" i="16"/>
  <c r="DV10" i="16"/>
  <c r="FD10" i="16"/>
  <c r="GL10" i="16"/>
  <c r="HT10" i="16"/>
  <c r="JB10" i="16"/>
  <c r="KJ10" i="16"/>
  <c r="LR10" i="16"/>
  <c r="MZ10" i="16"/>
  <c r="OH10" i="16"/>
  <c r="QR10" i="16"/>
  <c r="QS10" i="16" s="1"/>
  <c r="QG10" i="16"/>
  <c r="AZ11" i="16"/>
  <c r="BA11" i="16" s="1"/>
  <c r="AO11" i="16"/>
  <c r="GF11" i="16"/>
  <c r="GG11" i="16" s="1"/>
  <c r="FU11" i="16"/>
  <c r="LL11" i="16"/>
  <c r="LM11" i="16" s="1"/>
  <c r="LA11" i="16"/>
  <c r="QR11" i="16"/>
  <c r="QS11" i="16" s="1"/>
  <c r="QG11" i="16"/>
  <c r="AZ13" i="16"/>
  <c r="AO13" i="16"/>
  <c r="GF13" i="16"/>
  <c r="FU13" i="16"/>
  <c r="LL13" i="16"/>
  <c r="LA13" i="16"/>
  <c r="QR13" i="16"/>
  <c r="QG13" i="16"/>
  <c r="EV14" i="16"/>
  <c r="EW14" i="16" s="1"/>
  <c r="HM15" i="16"/>
  <c r="HN15" i="16"/>
  <c r="IK15" i="16"/>
  <c r="IV15" i="16"/>
  <c r="IJ14" i="16"/>
  <c r="IK14" i="16" s="1"/>
  <c r="NE15" i="16"/>
  <c r="ND14" i="16"/>
  <c r="OR15" i="16"/>
  <c r="OQ14" i="16"/>
  <c r="OR14" i="16" s="1"/>
  <c r="RY15" i="16"/>
  <c r="RZ15" i="16"/>
  <c r="SW15" i="16"/>
  <c r="TH15" i="16"/>
  <c r="SV14" i="16"/>
  <c r="SW14" i="16" s="1"/>
  <c r="FU16" i="16"/>
  <c r="GF16" i="16"/>
  <c r="GG16" i="16" s="1"/>
  <c r="IU16" i="16"/>
  <c r="IV16" i="16"/>
  <c r="IW16" i="16" s="1"/>
  <c r="JA21" i="16"/>
  <c r="JB21" i="16" s="1"/>
  <c r="LF18" i="16"/>
  <c r="RZ10" i="16"/>
  <c r="SA10" i="16" s="1"/>
  <c r="RO10" i="16"/>
  <c r="SQ10" i="16"/>
  <c r="SR10" i="16" s="1"/>
  <c r="CH11" i="16"/>
  <c r="CI11" i="16" s="1"/>
  <c r="BW11" i="16"/>
  <c r="CY11" i="16"/>
  <c r="CZ11" i="16" s="1"/>
  <c r="HN11" i="16"/>
  <c r="HO11" i="16" s="1"/>
  <c r="HC11" i="16"/>
  <c r="IE11" i="16"/>
  <c r="IF11" i="16" s="1"/>
  <c r="MT11" i="16"/>
  <c r="MU11" i="16" s="1"/>
  <c r="MI11" i="16"/>
  <c r="NK11" i="16"/>
  <c r="NL11" i="16" s="1"/>
  <c r="RZ11" i="16"/>
  <c r="SA11" i="16" s="1"/>
  <c r="RO11" i="16"/>
  <c r="SQ11" i="16"/>
  <c r="SR11" i="16" s="1"/>
  <c r="CH13" i="16"/>
  <c r="BW13" i="16"/>
  <c r="CY13" i="16"/>
  <c r="HN13" i="16"/>
  <c r="HC13" i="16"/>
  <c r="IE13" i="16"/>
  <c r="MT13" i="16"/>
  <c r="MI13" i="16"/>
  <c r="NK13" i="16"/>
  <c r="RZ13" i="16"/>
  <c r="RO13" i="16"/>
  <c r="SQ13" i="16"/>
  <c r="P14" i="16"/>
  <c r="Q14" i="16" s="1"/>
  <c r="DN14" i="16"/>
  <c r="DO14" i="16" s="1"/>
  <c r="R15" i="16"/>
  <c r="AZ15" i="16"/>
  <c r="CH15" i="16"/>
  <c r="DP15" i="16"/>
  <c r="FI15" i="16"/>
  <c r="FH14" i="16"/>
  <c r="FI14" i="16" s="1"/>
  <c r="GV15" i="16"/>
  <c r="GU14" i="16"/>
  <c r="GV14" i="16" s="1"/>
  <c r="KC15" i="16"/>
  <c r="KD15" i="16"/>
  <c r="LA15" i="16"/>
  <c r="LL15" i="16"/>
  <c r="KZ14" i="16"/>
  <c r="LA14" i="16" s="1"/>
  <c r="PU15" i="16"/>
  <c r="PT14" i="16"/>
  <c r="PU14" i="16" s="1"/>
  <c r="RH15" i="16"/>
  <c r="RG14" i="16"/>
  <c r="RH14" i="16" s="1"/>
  <c r="Q16" i="16"/>
  <c r="R16" i="16"/>
  <c r="S16" i="16" s="1"/>
  <c r="AO16" i="16"/>
  <c r="AZ16" i="16"/>
  <c r="BA16" i="16" s="1"/>
  <c r="AN14" i="16"/>
  <c r="DO16" i="16"/>
  <c r="DP16" i="16"/>
  <c r="DQ16" i="16" s="1"/>
  <c r="EA14" i="16"/>
  <c r="EX15" i="16"/>
  <c r="MT16" i="16"/>
  <c r="MU16" i="16" s="1"/>
  <c r="MI16" i="16"/>
  <c r="RZ16" i="16"/>
  <c r="SA16" i="16" s="1"/>
  <c r="RO16" i="16"/>
  <c r="CH17" i="16"/>
  <c r="CI17" i="16" s="1"/>
  <c r="BW17" i="16"/>
  <c r="EF18" i="16"/>
  <c r="HS21" i="16"/>
  <c r="HT21" i="16" s="1"/>
  <c r="HT18" i="16"/>
  <c r="CW14" i="16"/>
  <c r="CX14" i="16" s="1"/>
  <c r="NI14" i="16"/>
  <c r="NJ14" i="16" s="1"/>
  <c r="OY14" i="16"/>
  <c r="SO14" i="16"/>
  <c r="SP14" i="16" s="1"/>
  <c r="G15" i="16"/>
  <c r="AO15" i="16"/>
  <c r="BW15" i="16"/>
  <c r="DE15" i="16"/>
  <c r="EX16" i="16"/>
  <c r="EY16" i="16" s="1"/>
  <c r="KD16" i="16"/>
  <c r="KE16" i="16" s="1"/>
  <c r="OS16" i="16"/>
  <c r="OT16" i="16" s="1"/>
  <c r="OH16" i="16"/>
  <c r="TY16" i="16"/>
  <c r="TZ16" i="16" s="1"/>
  <c r="TN16" i="16"/>
  <c r="EG17" i="16"/>
  <c r="EH17" i="16" s="1"/>
  <c r="DV17" i="16"/>
  <c r="EX17" i="16"/>
  <c r="EY17" i="16" s="1"/>
  <c r="EM17" i="16"/>
  <c r="HN17" i="16"/>
  <c r="HO17" i="16" s="1"/>
  <c r="HC17" i="16"/>
  <c r="KD17" i="16"/>
  <c r="KE17" i="16" s="1"/>
  <c r="JS17" i="16"/>
  <c r="MT17" i="16"/>
  <c r="MU17" i="16" s="1"/>
  <c r="MI17" i="16"/>
  <c r="PJ17" i="16"/>
  <c r="PK17" i="16" s="1"/>
  <c r="OY17" i="16"/>
  <c r="RZ17" i="16"/>
  <c r="SA17" i="16" s="1"/>
  <c r="RO17" i="16"/>
  <c r="F21" i="16"/>
  <c r="G21" i="16" s="1"/>
  <c r="G18" i="16"/>
  <c r="TN18" i="16"/>
  <c r="EG19" i="16"/>
  <c r="EH19" i="16" s="1"/>
  <c r="DV19" i="16"/>
  <c r="DU18" i="16"/>
  <c r="JM19" i="16"/>
  <c r="JN19" i="16" s="1"/>
  <c r="JB19" i="16"/>
  <c r="OS19" i="16"/>
  <c r="OT19" i="16" s="1"/>
  <c r="OH19" i="16"/>
  <c r="TY19" i="16"/>
  <c r="TZ19" i="16" s="1"/>
  <c r="TN19" i="16"/>
  <c r="S20" i="16"/>
  <c r="R18" i="16"/>
  <c r="S18" i="16" s="1"/>
  <c r="AT20" i="16"/>
  <c r="AS18" i="16"/>
  <c r="EG20" i="16"/>
  <c r="DV20" i="16"/>
  <c r="EY20" i="16"/>
  <c r="EX18" i="16"/>
  <c r="EY18" i="16" s="1"/>
  <c r="FZ20" i="16"/>
  <c r="FY18" i="16"/>
  <c r="HM20" i="16"/>
  <c r="HL18" i="16"/>
  <c r="JM20" i="16"/>
  <c r="JB20" i="16"/>
  <c r="DU14" i="16"/>
  <c r="DV14" i="16" s="1"/>
  <c r="FY14" i="16"/>
  <c r="FZ14" i="16" s="1"/>
  <c r="IO14" i="16"/>
  <c r="IP14" i="16" s="1"/>
  <c r="LE14" i="16"/>
  <c r="LF14" i="16" s="1"/>
  <c r="NU14" i="16"/>
  <c r="NV14" i="16" s="1"/>
  <c r="OG14" i="16"/>
  <c r="OH14" i="16" s="1"/>
  <c r="QK14" i="16"/>
  <c r="QL14" i="16" s="1"/>
  <c r="TA14" i="16"/>
  <c r="TB14" i="16" s="1"/>
  <c r="TM14" i="16"/>
  <c r="TN14" i="16" s="1"/>
  <c r="PJ16" i="16"/>
  <c r="PK16" i="16" s="1"/>
  <c r="OY16" i="16"/>
  <c r="R17" i="16"/>
  <c r="S17" i="16" s="1"/>
  <c r="G17" i="16"/>
  <c r="BW18" i="16"/>
  <c r="BV21" i="16"/>
  <c r="BW21" i="16" s="1"/>
  <c r="OG18" i="16"/>
  <c r="QL18" i="16"/>
  <c r="NK16" i="16"/>
  <c r="NL16" i="16" s="1"/>
  <c r="MZ16" i="16"/>
  <c r="QA16" i="16"/>
  <c r="QB16" i="16" s="1"/>
  <c r="PP16" i="16"/>
  <c r="SQ16" i="16"/>
  <c r="SR16" i="16" s="1"/>
  <c r="SF16" i="16"/>
  <c r="AI17" i="16"/>
  <c r="AJ17" i="16" s="1"/>
  <c r="X17" i="16"/>
  <c r="CY17" i="16"/>
  <c r="CZ17" i="16" s="1"/>
  <c r="CN17" i="16"/>
  <c r="HC18" i="16"/>
  <c r="FO15" i="16"/>
  <c r="GW15" i="16"/>
  <c r="IE15" i="16"/>
  <c r="JM15" i="16"/>
  <c r="KU15" i="16"/>
  <c r="MC15" i="16"/>
  <c r="NK15" i="16"/>
  <c r="OS15" i="16"/>
  <c r="QA15" i="16"/>
  <c r="RI15" i="16"/>
  <c r="SQ15" i="16"/>
  <c r="TY15" i="16"/>
  <c r="AI16" i="16"/>
  <c r="BQ16" i="16"/>
  <c r="CY16" i="16"/>
  <c r="EG16" i="16"/>
  <c r="FO16" i="16"/>
  <c r="FP16" i="16" s="1"/>
  <c r="GW16" i="16"/>
  <c r="GX16" i="16" s="1"/>
  <c r="IE16" i="16"/>
  <c r="IF16" i="16" s="1"/>
  <c r="JM16" i="16"/>
  <c r="JN16" i="16" s="1"/>
  <c r="KU16" i="16"/>
  <c r="KV16" i="16" s="1"/>
  <c r="MC16" i="16"/>
  <c r="MD16" i="16" s="1"/>
  <c r="OB16" i="16"/>
  <c r="OC16" i="16" s="1"/>
  <c r="NQ16" i="16"/>
  <c r="QR16" i="16"/>
  <c r="QS16" i="16" s="1"/>
  <c r="QG16" i="16"/>
  <c r="TH16" i="16"/>
  <c r="TI16" i="16" s="1"/>
  <c r="SW16" i="16"/>
  <c r="AZ17" i="16"/>
  <c r="BA17" i="16" s="1"/>
  <c r="AO17" i="16"/>
  <c r="DP17" i="16"/>
  <c r="DQ17" i="16" s="1"/>
  <c r="DE17" i="16"/>
  <c r="CN18" i="16"/>
  <c r="AH18" i="16"/>
  <c r="DE18" i="16"/>
  <c r="FN18" i="16"/>
  <c r="GE18" i="16"/>
  <c r="MN18" i="16"/>
  <c r="PO21" i="16"/>
  <c r="PP21" i="16" s="1"/>
  <c r="RT18" i="16"/>
  <c r="CY19" i="16"/>
  <c r="CZ19" i="16" s="1"/>
  <c r="CN19" i="16"/>
  <c r="IE19" i="16"/>
  <c r="IF19" i="16" s="1"/>
  <c r="HT19" i="16"/>
  <c r="NK19" i="16"/>
  <c r="NL19" i="16" s="1"/>
  <c r="MZ19" i="16"/>
  <c r="SQ19" i="16"/>
  <c r="SR19" i="16" s="1"/>
  <c r="SF19" i="16"/>
  <c r="L20" i="16"/>
  <c r="CY20" i="16"/>
  <c r="CN20" i="16"/>
  <c r="ER20" i="16"/>
  <c r="EQ18" i="16"/>
  <c r="RT20" i="16"/>
  <c r="RZ20" i="16"/>
  <c r="GL17" i="16"/>
  <c r="JB17" i="16"/>
  <c r="LR17" i="16"/>
  <c r="OH17" i="16"/>
  <c r="QX17" i="16"/>
  <c r="TN17" i="16"/>
  <c r="X18" i="16"/>
  <c r="EM18" i="16"/>
  <c r="GV18" i="16"/>
  <c r="KJ18" i="16"/>
  <c r="MS18" i="16"/>
  <c r="NV18" i="16"/>
  <c r="PP18" i="16"/>
  <c r="RX21" i="16"/>
  <c r="RY21" i="16" s="1"/>
  <c r="RY18" i="16"/>
  <c r="TB18" i="16"/>
  <c r="R19" i="16"/>
  <c r="S19" i="16" s="1"/>
  <c r="X19" i="16"/>
  <c r="BQ19" i="16"/>
  <c r="BR19" i="16" s="1"/>
  <c r="BF19" i="16"/>
  <c r="GW19" i="16"/>
  <c r="GX19" i="16" s="1"/>
  <c r="GL19" i="16"/>
  <c r="MC19" i="16"/>
  <c r="MD19" i="16" s="1"/>
  <c r="LR19" i="16"/>
  <c r="RI19" i="16"/>
  <c r="RJ19" i="16" s="1"/>
  <c r="QX19" i="16"/>
  <c r="BQ20" i="16"/>
  <c r="BF20" i="16"/>
  <c r="CI20" i="16"/>
  <c r="DJ20" i="16"/>
  <c r="DI18" i="16"/>
  <c r="GW20" i="16"/>
  <c r="GL20" i="16"/>
  <c r="MN20" i="16"/>
  <c r="MT20" i="16"/>
  <c r="PK20" i="16"/>
  <c r="RG18" i="16"/>
  <c r="RH20" i="16"/>
  <c r="TY20" i="16"/>
  <c r="TN20" i="16"/>
  <c r="FU17" i="16"/>
  <c r="IK17" i="16"/>
  <c r="LA17" i="16"/>
  <c r="NQ17" i="16"/>
  <c r="QG17" i="16"/>
  <c r="SW17" i="16"/>
  <c r="BE18" i="16"/>
  <c r="CX18" i="16"/>
  <c r="DO18" i="16"/>
  <c r="FU18" i="16"/>
  <c r="GK18" i="16"/>
  <c r="JX18" i="16"/>
  <c r="LQ18" i="16"/>
  <c r="MY18" i="16"/>
  <c r="OA18" i="16"/>
  <c r="PD18" i="16"/>
  <c r="QW18" i="16"/>
  <c r="SE18" i="16"/>
  <c r="TF21" i="16"/>
  <c r="TG21" i="16" s="1"/>
  <c r="AZ19" i="16"/>
  <c r="BA19" i="16" s="1"/>
  <c r="FO19" i="16"/>
  <c r="FP19" i="16" s="1"/>
  <c r="FD19" i="16"/>
  <c r="GF19" i="16"/>
  <c r="GG19" i="16" s="1"/>
  <c r="KU19" i="16"/>
  <c r="KV19" i="16" s="1"/>
  <c r="KJ19" i="16"/>
  <c r="LL19" i="16"/>
  <c r="LM19" i="16" s="1"/>
  <c r="QA19" i="16"/>
  <c r="QB19" i="16" s="1"/>
  <c r="PP19" i="16"/>
  <c r="QR19" i="16"/>
  <c r="QS19" i="16" s="1"/>
  <c r="AI20" i="16"/>
  <c r="X20" i="16"/>
  <c r="AZ20" i="16"/>
  <c r="CB20" i="16"/>
  <c r="CA18" i="16"/>
  <c r="FO20" i="16"/>
  <c r="FD20" i="16"/>
  <c r="GF20" i="16"/>
  <c r="KE20" i="16"/>
  <c r="KD18" i="16"/>
  <c r="KE18" i="16" s="1"/>
  <c r="MA18" i="16"/>
  <c r="MB20" i="16"/>
  <c r="OS20" i="16"/>
  <c r="OH20" i="16"/>
  <c r="HN20" i="16"/>
  <c r="KU20" i="16"/>
  <c r="KJ20" i="16"/>
  <c r="QA20" i="16"/>
  <c r="PP20" i="16"/>
  <c r="HY18" i="16"/>
  <c r="OM18" i="16"/>
  <c r="RC18" i="16"/>
  <c r="HC20" i="16"/>
  <c r="IE20" i="16"/>
  <c r="ID20" i="16"/>
  <c r="MC20" i="16"/>
  <c r="LR20" i="16"/>
  <c r="RI20" i="16"/>
  <c r="QX20" i="16"/>
  <c r="BJ21" i="16"/>
  <c r="BK21" i="16" s="1"/>
  <c r="IK18" i="16"/>
  <c r="JS18" i="16"/>
  <c r="LA18" i="16"/>
  <c r="NQ18" i="16"/>
  <c r="QG18" i="16"/>
  <c r="SW18" i="16"/>
  <c r="G19" i="16"/>
  <c r="AO19" i="16"/>
  <c r="BW19" i="16"/>
  <c r="DE19" i="16"/>
  <c r="EM19" i="16"/>
  <c r="FU19" i="16"/>
  <c r="HC19" i="16"/>
  <c r="IK19" i="16"/>
  <c r="JS19" i="16"/>
  <c r="LA19" i="16"/>
  <c r="MI19" i="16"/>
  <c r="NQ19" i="16"/>
  <c r="OY19" i="16"/>
  <c r="QG19" i="16"/>
  <c r="RO19" i="16"/>
  <c r="SW19" i="16"/>
  <c r="G20" i="16"/>
  <c r="AO20" i="16"/>
  <c r="BW20" i="16"/>
  <c r="DE20" i="16"/>
  <c r="EM20" i="16"/>
  <c r="FU20" i="16"/>
  <c r="HT20" i="16"/>
  <c r="IV20" i="16"/>
  <c r="NK20" i="16"/>
  <c r="MZ20" i="16"/>
  <c r="OB20" i="16"/>
  <c r="SQ20" i="16"/>
  <c r="SF20" i="16"/>
  <c r="TH20" i="16"/>
  <c r="CH5" i="14"/>
  <c r="BW5" i="14"/>
  <c r="BV4" i="14"/>
  <c r="BW4" i="14" s="1"/>
  <c r="DO5" i="14"/>
  <c r="DN4" i="14"/>
  <c r="DO4" i="14" s="1"/>
  <c r="EX5" i="14"/>
  <c r="EM5" i="14"/>
  <c r="EL4" i="14"/>
  <c r="EM4" i="14" s="1"/>
  <c r="GE5" i="14"/>
  <c r="GD4" i="14"/>
  <c r="GE4" i="14" s="1"/>
  <c r="HN5" i="14"/>
  <c r="HC5" i="14"/>
  <c r="HB4" i="14"/>
  <c r="HC4" i="14" s="1"/>
  <c r="CF4" i="14"/>
  <c r="CG4" i="14" s="1"/>
  <c r="CW4" i="14"/>
  <c r="CX4" i="14" s="1"/>
  <c r="EV4" i="14"/>
  <c r="EW4" i="14" s="1"/>
  <c r="FM4" i="14"/>
  <c r="FN4" i="14" s="1"/>
  <c r="HL4" i="14"/>
  <c r="HM4" i="14" s="1"/>
  <c r="IC4" i="14"/>
  <c r="ID4" i="14" s="1"/>
  <c r="IT4" i="14"/>
  <c r="IU4" i="14" s="1"/>
  <c r="JK4" i="14"/>
  <c r="JL4" i="14" s="1"/>
  <c r="KB4" i="14"/>
  <c r="KC4" i="14" s="1"/>
  <c r="KS4" i="14"/>
  <c r="KT4" i="14" s="1"/>
  <c r="LJ4" i="14"/>
  <c r="LK4" i="14" s="1"/>
  <c r="MA4" i="14"/>
  <c r="MB4" i="14" s="1"/>
  <c r="MR4" i="14"/>
  <c r="MS4" i="14" s="1"/>
  <c r="NI4" i="14"/>
  <c r="NJ4" i="14" s="1"/>
  <c r="NZ4" i="14"/>
  <c r="OA4" i="14" s="1"/>
  <c r="OQ4" i="14"/>
  <c r="OR4" i="14" s="1"/>
  <c r="PH4" i="14"/>
  <c r="PI4" i="14" s="1"/>
  <c r="CY5" i="14"/>
  <c r="CN5" i="14"/>
  <c r="FO5" i="14"/>
  <c r="FD5" i="14"/>
  <c r="IE5" i="14"/>
  <c r="HT5" i="14"/>
  <c r="BQ5" i="14"/>
  <c r="BF5" i="14"/>
  <c r="EG5" i="14"/>
  <c r="DV5" i="14"/>
  <c r="GW5" i="14"/>
  <c r="GL5" i="14"/>
  <c r="BB1" i="14"/>
  <c r="DP5" i="14"/>
  <c r="DE5" i="14"/>
  <c r="GF5" i="14"/>
  <c r="FU5" i="14"/>
  <c r="IV5" i="14"/>
  <c r="IK5" i="14"/>
  <c r="JM5" i="14"/>
  <c r="JB5" i="14"/>
  <c r="KD5" i="14"/>
  <c r="JS5" i="14"/>
  <c r="KU5" i="14"/>
  <c r="KJ5" i="14"/>
  <c r="LL5" i="14"/>
  <c r="LA5" i="14"/>
  <c r="MC5" i="14"/>
  <c r="LR5" i="14"/>
  <c r="MT5" i="14"/>
  <c r="MI5" i="14"/>
  <c r="NK5" i="14"/>
  <c r="MZ5" i="14"/>
  <c r="OB5" i="14"/>
  <c r="NQ5" i="14"/>
  <c r="OS5" i="14"/>
  <c r="OH5" i="14"/>
  <c r="PJ5" i="14"/>
  <c r="OY5" i="14"/>
  <c r="QA5" i="14"/>
  <c r="PP5" i="14"/>
  <c r="QR5" i="14"/>
  <c r="QG5" i="14"/>
  <c r="RI5" i="14"/>
  <c r="QX5" i="14"/>
  <c r="RZ5" i="14"/>
  <c r="RO5" i="14"/>
  <c r="SQ5" i="14"/>
  <c r="SF5" i="14"/>
  <c r="TH5" i="14"/>
  <c r="SW5" i="14"/>
  <c r="P7" i="14"/>
  <c r="Q7" i="14" s="1"/>
  <c r="AG7" i="14"/>
  <c r="AH7" i="14" s="1"/>
  <c r="AX7" i="14"/>
  <c r="AY7" i="14" s="1"/>
  <c r="BO7" i="14"/>
  <c r="BP7" i="14" s="1"/>
  <c r="CF7" i="14"/>
  <c r="CG7" i="14" s="1"/>
  <c r="CW7" i="14"/>
  <c r="CX7" i="14" s="1"/>
  <c r="DN7" i="14"/>
  <c r="DO7" i="14" s="1"/>
  <c r="EE7" i="14"/>
  <c r="EF7" i="14" s="1"/>
  <c r="EV7" i="14"/>
  <c r="EW7" i="14" s="1"/>
  <c r="L8" i="14"/>
  <c r="AI8" i="14"/>
  <c r="AT8" i="14"/>
  <c r="BQ8" i="14"/>
  <c r="CB8" i="14"/>
  <c r="CY8" i="14"/>
  <c r="DJ8" i="14"/>
  <c r="EG8" i="14"/>
  <c r="ER8" i="14"/>
  <c r="FO8" i="14"/>
  <c r="GW8" i="14"/>
  <c r="IE8" i="14"/>
  <c r="JM8" i="14"/>
  <c r="KU8" i="14"/>
  <c r="MC8" i="14"/>
  <c r="NK8" i="14"/>
  <c r="OS8" i="14"/>
  <c r="QA8" i="14"/>
  <c r="RI8" i="14"/>
  <c r="SQ8" i="14"/>
  <c r="TY8" i="14"/>
  <c r="AI9" i="14"/>
  <c r="AJ9" i="14" s="1"/>
  <c r="BQ9" i="14"/>
  <c r="BR9" i="14" s="1"/>
  <c r="CY9" i="14"/>
  <c r="CZ9" i="14" s="1"/>
  <c r="EG9" i="14"/>
  <c r="EH9" i="14" s="1"/>
  <c r="FO9" i="14"/>
  <c r="FP9" i="14" s="1"/>
  <c r="GW9" i="14"/>
  <c r="GX9" i="14" s="1"/>
  <c r="IE9" i="14"/>
  <c r="IF9" i="14" s="1"/>
  <c r="JM9" i="14"/>
  <c r="JN9" i="14" s="1"/>
  <c r="KU9" i="14"/>
  <c r="KV9" i="14" s="1"/>
  <c r="MC9" i="14"/>
  <c r="MD9" i="14" s="1"/>
  <c r="NK9" i="14"/>
  <c r="NL9" i="14" s="1"/>
  <c r="OS9" i="14"/>
  <c r="OT9" i="14" s="1"/>
  <c r="QA9" i="14"/>
  <c r="QB9" i="14" s="1"/>
  <c r="RI9" i="14"/>
  <c r="RJ9" i="14" s="1"/>
  <c r="SQ9" i="14"/>
  <c r="SR9" i="14" s="1"/>
  <c r="TY9" i="14"/>
  <c r="TZ9" i="14" s="1"/>
  <c r="AI10" i="14"/>
  <c r="AJ10" i="14" s="1"/>
  <c r="BQ10" i="14"/>
  <c r="BR10" i="14" s="1"/>
  <c r="CY10" i="14"/>
  <c r="CZ10" i="14" s="1"/>
  <c r="EG10" i="14"/>
  <c r="EH10" i="14" s="1"/>
  <c r="FO10" i="14"/>
  <c r="FP10" i="14" s="1"/>
  <c r="GW10" i="14"/>
  <c r="GX10" i="14" s="1"/>
  <c r="IE10" i="14"/>
  <c r="IF10" i="14" s="1"/>
  <c r="JM10" i="14"/>
  <c r="JN10" i="14" s="1"/>
  <c r="KU10" i="14"/>
  <c r="KV10" i="14" s="1"/>
  <c r="MC10" i="14"/>
  <c r="MD10" i="14" s="1"/>
  <c r="NK10" i="14"/>
  <c r="NL10" i="14" s="1"/>
  <c r="OS10" i="14"/>
  <c r="OT10" i="14" s="1"/>
  <c r="QA10" i="14"/>
  <c r="QB10" i="14" s="1"/>
  <c r="RI10" i="14"/>
  <c r="RJ10" i="14" s="1"/>
  <c r="SQ10" i="14"/>
  <c r="SR10" i="14" s="1"/>
  <c r="TY10" i="14"/>
  <c r="TZ10" i="14" s="1"/>
  <c r="AI11" i="14"/>
  <c r="AJ11" i="14" s="1"/>
  <c r="BQ11" i="14"/>
  <c r="BR11" i="14" s="1"/>
  <c r="CY11" i="14"/>
  <c r="CZ11" i="14" s="1"/>
  <c r="EG11" i="14"/>
  <c r="EH11" i="14" s="1"/>
  <c r="FO11" i="14"/>
  <c r="FP11" i="14" s="1"/>
  <c r="GW11" i="14"/>
  <c r="GX11" i="14" s="1"/>
  <c r="IE11" i="14"/>
  <c r="IF11" i="14" s="1"/>
  <c r="JM11" i="14"/>
  <c r="JN11" i="14" s="1"/>
  <c r="KU11" i="14"/>
  <c r="KV11" i="14" s="1"/>
  <c r="MC11" i="14"/>
  <c r="MD11" i="14" s="1"/>
  <c r="NK11" i="14"/>
  <c r="NL11" i="14" s="1"/>
  <c r="MZ11" i="14"/>
  <c r="QA11" i="14"/>
  <c r="QB11" i="14" s="1"/>
  <c r="PP11" i="14"/>
  <c r="AB12" i="14"/>
  <c r="AC12" i="14" s="1"/>
  <c r="AC13" i="14"/>
  <c r="CG13" i="14"/>
  <c r="CF12" i="14"/>
  <c r="CG12" i="14" s="1"/>
  <c r="TN5" i="14"/>
  <c r="G6" i="14"/>
  <c r="X6" i="14"/>
  <c r="AO6" i="14"/>
  <c r="OB11" i="14"/>
  <c r="OC11" i="14" s="1"/>
  <c r="NQ11" i="14"/>
  <c r="AY13" i="14"/>
  <c r="AX12" i="14"/>
  <c r="AY12" i="14" s="1"/>
  <c r="AB7" i="14"/>
  <c r="AC7" i="14" s="1"/>
  <c r="BJ7" i="14"/>
  <c r="BK7" i="14" s="1"/>
  <c r="CR7" i="14"/>
  <c r="CS7" i="14" s="1"/>
  <c r="DZ7" i="14"/>
  <c r="EA7" i="14" s="1"/>
  <c r="R8" i="14"/>
  <c r="AZ8" i="14"/>
  <c r="CH8" i="14"/>
  <c r="DP8" i="14"/>
  <c r="EX8" i="14"/>
  <c r="GF8" i="14"/>
  <c r="HN8" i="14"/>
  <c r="IV8" i="14"/>
  <c r="KD8" i="14"/>
  <c r="LL8" i="14"/>
  <c r="MT8" i="14"/>
  <c r="OB8" i="14"/>
  <c r="PJ8" i="14"/>
  <c r="QR8" i="14"/>
  <c r="RZ8" i="14"/>
  <c r="TH8" i="14"/>
  <c r="R9" i="14"/>
  <c r="S9" i="14" s="1"/>
  <c r="AZ9" i="14"/>
  <c r="BA9" i="14" s="1"/>
  <c r="CH9" i="14"/>
  <c r="CI9" i="14" s="1"/>
  <c r="DP9" i="14"/>
  <c r="DQ9" i="14" s="1"/>
  <c r="EX9" i="14"/>
  <c r="EY9" i="14" s="1"/>
  <c r="GF9" i="14"/>
  <c r="GG9" i="14" s="1"/>
  <c r="HN9" i="14"/>
  <c r="HO9" i="14" s="1"/>
  <c r="IV9" i="14"/>
  <c r="IW9" i="14" s="1"/>
  <c r="KD9" i="14"/>
  <c r="KE9" i="14" s="1"/>
  <c r="LL9" i="14"/>
  <c r="LM9" i="14" s="1"/>
  <c r="MT9" i="14"/>
  <c r="MU9" i="14" s="1"/>
  <c r="OB9" i="14"/>
  <c r="OC9" i="14" s="1"/>
  <c r="PJ9" i="14"/>
  <c r="PK9" i="14" s="1"/>
  <c r="QR9" i="14"/>
  <c r="QS9" i="14" s="1"/>
  <c r="RZ9" i="14"/>
  <c r="SA9" i="14" s="1"/>
  <c r="TH9" i="14"/>
  <c r="TI9" i="14" s="1"/>
  <c r="R10" i="14"/>
  <c r="S10" i="14" s="1"/>
  <c r="AZ10" i="14"/>
  <c r="BA10" i="14" s="1"/>
  <c r="CH10" i="14"/>
  <c r="CI10" i="14" s="1"/>
  <c r="DP10" i="14"/>
  <c r="DQ10" i="14" s="1"/>
  <c r="EX10" i="14"/>
  <c r="EY10" i="14" s="1"/>
  <c r="GF10" i="14"/>
  <c r="GG10" i="14" s="1"/>
  <c r="HN10" i="14"/>
  <c r="HO10" i="14" s="1"/>
  <c r="IV10" i="14"/>
  <c r="IW10" i="14" s="1"/>
  <c r="KD10" i="14"/>
  <c r="KE10" i="14" s="1"/>
  <c r="LL10" i="14"/>
  <c r="LM10" i="14" s="1"/>
  <c r="MT10" i="14"/>
  <c r="MU10" i="14" s="1"/>
  <c r="OB10" i="14"/>
  <c r="OC10" i="14" s="1"/>
  <c r="PJ10" i="14"/>
  <c r="PK10" i="14" s="1"/>
  <c r="QR10" i="14"/>
  <c r="QS10" i="14" s="1"/>
  <c r="RZ10" i="14"/>
  <c r="SA10" i="14" s="1"/>
  <c r="TH10" i="14"/>
  <c r="TI10" i="14" s="1"/>
  <c r="R11" i="14"/>
  <c r="S11" i="14" s="1"/>
  <c r="AZ11" i="14"/>
  <c r="BA11" i="14" s="1"/>
  <c r="CH11" i="14"/>
  <c r="CI11" i="14" s="1"/>
  <c r="DP11" i="14"/>
  <c r="DQ11" i="14" s="1"/>
  <c r="EX11" i="14"/>
  <c r="EY11" i="14" s="1"/>
  <c r="GF11" i="14"/>
  <c r="GG11" i="14" s="1"/>
  <c r="HN11" i="14"/>
  <c r="HO11" i="14" s="1"/>
  <c r="IV11" i="14"/>
  <c r="IW11" i="14" s="1"/>
  <c r="KD11" i="14"/>
  <c r="KE11" i="14" s="1"/>
  <c r="LL11" i="14"/>
  <c r="LM11" i="14" s="1"/>
  <c r="MT11" i="14"/>
  <c r="MU11" i="14" s="1"/>
  <c r="OS11" i="14"/>
  <c r="OT11" i="14" s="1"/>
  <c r="OH11" i="14"/>
  <c r="Q13" i="14"/>
  <c r="P12" i="14"/>
  <c r="Q12" i="14" s="1"/>
  <c r="CR12" i="14"/>
  <c r="CS12" i="14" s="1"/>
  <c r="CS13" i="14"/>
  <c r="PJ11" i="14"/>
  <c r="PK11" i="14" s="1"/>
  <c r="OY11" i="14"/>
  <c r="BJ12" i="14"/>
  <c r="BK12" i="14" s="1"/>
  <c r="BK13" i="14"/>
  <c r="TY13" i="14"/>
  <c r="TN13" i="14"/>
  <c r="IE15" i="14"/>
  <c r="NK15" i="14"/>
  <c r="OX14" i="14"/>
  <c r="OY14" i="14" s="1"/>
  <c r="PJ15" i="14"/>
  <c r="OY15" i="14"/>
  <c r="RI15" i="14"/>
  <c r="QX15" i="14"/>
  <c r="W12" i="14"/>
  <c r="X12" i="14" s="1"/>
  <c r="AG12" i="14"/>
  <c r="AH12" i="14" s="1"/>
  <c r="BO12" i="14"/>
  <c r="BP12" i="14" s="1"/>
  <c r="CW12" i="14"/>
  <c r="CX12" i="14" s="1"/>
  <c r="DN12" i="14"/>
  <c r="DO12" i="14" s="1"/>
  <c r="EE12" i="14"/>
  <c r="EF12" i="14" s="1"/>
  <c r="EV12" i="14"/>
  <c r="EW12" i="14" s="1"/>
  <c r="FM12" i="14"/>
  <c r="FN12" i="14" s="1"/>
  <c r="GD12" i="14"/>
  <c r="GE12" i="14" s="1"/>
  <c r="HL12" i="14"/>
  <c r="HM12" i="14" s="1"/>
  <c r="R13" i="14"/>
  <c r="AZ13" i="14"/>
  <c r="CH13" i="14"/>
  <c r="DP13" i="14"/>
  <c r="EA13" i="14"/>
  <c r="EX13" i="14"/>
  <c r="FI13" i="14"/>
  <c r="GF13" i="14"/>
  <c r="GQ13" i="14"/>
  <c r="HN13" i="14"/>
  <c r="IV13" i="14"/>
  <c r="KD13" i="14"/>
  <c r="LL13" i="14"/>
  <c r="MT13" i="14"/>
  <c r="OB13" i="14"/>
  <c r="PJ13" i="14"/>
  <c r="QR13" i="14"/>
  <c r="RZ13" i="14"/>
  <c r="RO13" i="14"/>
  <c r="HS14" i="14"/>
  <c r="HT14" i="14" s="1"/>
  <c r="MY14" i="14"/>
  <c r="MZ14" i="14" s="1"/>
  <c r="AI15" i="14"/>
  <c r="JM15" i="14"/>
  <c r="OS15" i="14"/>
  <c r="OH15" i="14"/>
  <c r="QL15" i="14"/>
  <c r="QR15" i="14"/>
  <c r="QK14" i="14"/>
  <c r="QL14" i="14" s="1"/>
  <c r="TB15" i="14"/>
  <c r="TA14" i="14"/>
  <c r="TB14" i="14" s="1"/>
  <c r="TH15" i="14"/>
  <c r="QG11" i="14"/>
  <c r="SQ13" i="14"/>
  <c r="SF13" i="14"/>
  <c r="BQ15" i="14"/>
  <c r="CY15" i="14"/>
  <c r="EG15" i="14"/>
  <c r="FO15" i="14"/>
  <c r="KU15" i="14"/>
  <c r="PY14" i="14"/>
  <c r="PZ14" i="14" s="1"/>
  <c r="PZ15" i="14"/>
  <c r="SO14" i="14"/>
  <c r="SP14" i="14" s="1"/>
  <c r="SP15" i="14"/>
  <c r="K12" i="14"/>
  <c r="L12" i="14" s="1"/>
  <c r="AS12" i="14"/>
  <c r="AT12" i="14" s="1"/>
  <c r="CA12" i="14"/>
  <c r="CB12" i="14" s="1"/>
  <c r="AI13" i="14"/>
  <c r="BQ13" i="14"/>
  <c r="CY13" i="14"/>
  <c r="EG13" i="14"/>
  <c r="FO13" i="14"/>
  <c r="GW13" i="14"/>
  <c r="IE13" i="14"/>
  <c r="JM13" i="14"/>
  <c r="KU13" i="14"/>
  <c r="MC13" i="14"/>
  <c r="NK13" i="14"/>
  <c r="OS13" i="14"/>
  <c r="QA13" i="14"/>
  <c r="RI13" i="14"/>
  <c r="TH13" i="14"/>
  <c r="SW13" i="14"/>
  <c r="AB14" i="14"/>
  <c r="AC14" i="14" s="1"/>
  <c r="AC15" i="14"/>
  <c r="GW15" i="14"/>
  <c r="MC15" i="14"/>
  <c r="AI16" i="14"/>
  <c r="AJ16" i="14" s="1"/>
  <c r="X16" i="14"/>
  <c r="FO16" i="14"/>
  <c r="FP16" i="14" s="1"/>
  <c r="FD16" i="14"/>
  <c r="GW16" i="14"/>
  <c r="GX16" i="14" s="1"/>
  <c r="GL16" i="14"/>
  <c r="IE16" i="14"/>
  <c r="IF16" i="14" s="1"/>
  <c r="HT16" i="14"/>
  <c r="JM16" i="14"/>
  <c r="JN16" i="14" s="1"/>
  <c r="JB16" i="14"/>
  <c r="KU16" i="14"/>
  <c r="KV16" i="14" s="1"/>
  <c r="KJ16" i="14"/>
  <c r="MC16" i="14"/>
  <c r="MD16" i="14" s="1"/>
  <c r="LR16" i="14"/>
  <c r="NK16" i="14"/>
  <c r="NL16" i="14" s="1"/>
  <c r="MZ16" i="14"/>
  <c r="OS16" i="14"/>
  <c r="OT16" i="14" s="1"/>
  <c r="OH16" i="14"/>
  <c r="QA16" i="14"/>
  <c r="QB16" i="14" s="1"/>
  <c r="PP16" i="14"/>
  <c r="RI16" i="14"/>
  <c r="RJ16" i="14" s="1"/>
  <c r="QX16" i="14"/>
  <c r="SQ16" i="14"/>
  <c r="SR16" i="14" s="1"/>
  <c r="SF16" i="14"/>
  <c r="AH18" i="14"/>
  <c r="CW21" i="14"/>
  <c r="CX21" i="14" s="1"/>
  <c r="CX18" i="14"/>
  <c r="FN18" i="14"/>
  <c r="RZ15" i="14"/>
  <c r="BQ16" i="14"/>
  <c r="BR16" i="14" s="1"/>
  <c r="BF16" i="14"/>
  <c r="Q18" i="14"/>
  <c r="EW18" i="14"/>
  <c r="RH18" i="14"/>
  <c r="R15" i="14"/>
  <c r="AZ15" i="14"/>
  <c r="BK15" i="14"/>
  <c r="CH15" i="14"/>
  <c r="CS15" i="14"/>
  <c r="DP15" i="14"/>
  <c r="EX15" i="14"/>
  <c r="GF15" i="14"/>
  <c r="HN15" i="14"/>
  <c r="IV15" i="14"/>
  <c r="KD15" i="14"/>
  <c r="LL15" i="14"/>
  <c r="MT15" i="14"/>
  <c r="OB15" i="14"/>
  <c r="QA15" i="14"/>
  <c r="PP15" i="14"/>
  <c r="SQ15" i="14"/>
  <c r="SF15" i="14"/>
  <c r="CY16" i="14"/>
  <c r="CZ16" i="14" s="1"/>
  <c r="CN16" i="14"/>
  <c r="DP16" i="14"/>
  <c r="DQ16" i="14" s="1"/>
  <c r="FZ16" i="14"/>
  <c r="GF16" i="14"/>
  <c r="GG16" i="14" s="1"/>
  <c r="HH16" i="14"/>
  <c r="HN16" i="14"/>
  <c r="HO16" i="14" s="1"/>
  <c r="IP16" i="14"/>
  <c r="IV16" i="14"/>
  <c r="IW16" i="14" s="1"/>
  <c r="JX16" i="14"/>
  <c r="KD16" i="14"/>
  <c r="KE16" i="14" s="1"/>
  <c r="LF16" i="14"/>
  <c r="LL16" i="14"/>
  <c r="LM16" i="14" s="1"/>
  <c r="MN16" i="14"/>
  <c r="MT16" i="14"/>
  <c r="MU16" i="14" s="1"/>
  <c r="NV16" i="14"/>
  <c r="OB16" i="14"/>
  <c r="OC16" i="14" s="1"/>
  <c r="PD16" i="14"/>
  <c r="PJ16" i="14"/>
  <c r="PK16" i="14" s="1"/>
  <c r="QL16" i="14"/>
  <c r="QR16" i="14"/>
  <c r="QS16" i="14" s="1"/>
  <c r="RT16" i="14"/>
  <c r="RZ16" i="14"/>
  <c r="SA16" i="14" s="1"/>
  <c r="TB16" i="14"/>
  <c r="TH16" i="14"/>
  <c r="TI16" i="14" s="1"/>
  <c r="BP18" i="14"/>
  <c r="EF18" i="14"/>
  <c r="DI14" i="14"/>
  <c r="DJ14" i="14" s="1"/>
  <c r="TY15" i="14"/>
  <c r="TN15" i="14"/>
  <c r="R16" i="14"/>
  <c r="S16" i="14" s="1"/>
  <c r="EG16" i="14"/>
  <c r="EH16" i="14" s="1"/>
  <c r="DV16" i="14"/>
  <c r="EX16" i="14"/>
  <c r="EY16" i="14" s="1"/>
  <c r="TY16" i="14"/>
  <c r="TZ16" i="14" s="1"/>
  <c r="AY18" i="14"/>
  <c r="ID18" i="14"/>
  <c r="AO17" i="14"/>
  <c r="AZ17" i="14"/>
  <c r="BA17" i="14" s="1"/>
  <c r="JW21" i="14"/>
  <c r="JX21" i="14" s="1"/>
  <c r="JX18" i="14"/>
  <c r="PD18" i="14"/>
  <c r="PZ18" i="14"/>
  <c r="TA21" i="14"/>
  <c r="TB21" i="14" s="1"/>
  <c r="TB18" i="14"/>
  <c r="R17" i="14"/>
  <c r="S17" i="14" s="1"/>
  <c r="AI17" i="14"/>
  <c r="AJ17" i="14" s="1"/>
  <c r="LE21" i="14"/>
  <c r="LF21" i="14" s="1"/>
  <c r="MB18" i="14"/>
  <c r="NV18" i="14"/>
  <c r="BF17" i="14"/>
  <c r="BQ17" i="14"/>
  <c r="BR17" i="14" s="1"/>
  <c r="FZ18" i="14"/>
  <c r="IP18" i="14"/>
  <c r="KT18" i="14"/>
  <c r="MN18" i="14"/>
  <c r="OR18" i="14"/>
  <c r="RS21" i="14"/>
  <c r="RT21" i="14" s="1"/>
  <c r="RT18" i="14"/>
  <c r="L18" i="14"/>
  <c r="AC18" i="14"/>
  <c r="AT18" i="14"/>
  <c r="BK18" i="14"/>
  <c r="CB18" i="14"/>
  <c r="CS18" i="14"/>
  <c r="DJ18" i="14"/>
  <c r="EA18" i="14"/>
  <c r="EQ21" i="14"/>
  <c r="ER21" i="14" s="1"/>
  <c r="ER18" i="14"/>
  <c r="FI18" i="14"/>
  <c r="GV18" i="14"/>
  <c r="HH18" i="14"/>
  <c r="JL18" i="14"/>
  <c r="NJ18" i="14"/>
  <c r="QL18" i="14"/>
  <c r="SO21" i="14"/>
  <c r="SP21" i="14" s="1"/>
  <c r="SP18" i="14"/>
  <c r="MT19" i="14"/>
  <c r="MU19" i="14" s="1"/>
  <c r="CY17" i="14"/>
  <c r="CZ17" i="14" s="1"/>
  <c r="EG17" i="14"/>
  <c r="EH17" i="14" s="1"/>
  <c r="FO17" i="14"/>
  <c r="FP17" i="14" s="1"/>
  <c r="GW17" i="14"/>
  <c r="GX17" i="14" s="1"/>
  <c r="IE17" i="14"/>
  <c r="IF17" i="14" s="1"/>
  <c r="JM17" i="14"/>
  <c r="JN17" i="14" s="1"/>
  <c r="KU17" i="14"/>
  <c r="KV17" i="14" s="1"/>
  <c r="MC17" i="14"/>
  <c r="MD17" i="14" s="1"/>
  <c r="NK17" i="14"/>
  <c r="NL17" i="14" s="1"/>
  <c r="OS17" i="14"/>
  <c r="OT17" i="14" s="1"/>
  <c r="QA17" i="14"/>
  <c r="QB17" i="14" s="1"/>
  <c r="RI17" i="14"/>
  <c r="RJ17" i="14" s="1"/>
  <c r="SQ17" i="14"/>
  <c r="SR17" i="14" s="1"/>
  <c r="TY17" i="14"/>
  <c r="TZ17" i="14" s="1"/>
  <c r="BE21" i="14"/>
  <c r="BF21" i="14" s="1"/>
  <c r="BF18" i="14"/>
  <c r="CN18" i="14"/>
  <c r="DV18" i="14"/>
  <c r="FD18" i="14"/>
  <c r="GL18" i="14"/>
  <c r="HT18" i="14"/>
  <c r="JB18" i="14"/>
  <c r="KJ18" i="14"/>
  <c r="LR18" i="14"/>
  <c r="MZ18" i="14"/>
  <c r="OH18" i="14"/>
  <c r="PP18" i="14"/>
  <c r="QW21" i="14"/>
  <c r="QX21" i="14" s="1"/>
  <c r="QX18" i="14"/>
  <c r="TM21" i="14"/>
  <c r="TN21" i="14" s="1"/>
  <c r="TN18" i="14"/>
  <c r="AI19" i="14"/>
  <c r="AJ19" i="14" s="1"/>
  <c r="BQ19" i="14"/>
  <c r="BR19" i="14" s="1"/>
  <c r="CY19" i="14"/>
  <c r="CZ19" i="14" s="1"/>
  <c r="EG19" i="14"/>
  <c r="EH19" i="14" s="1"/>
  <c r="FO19" i="14"/>
  <c r="FP19" i="14" s="1"/>
  <c r="GW19" i="14"/>
  <c r="GX19" i="14" s="1"/>
  <c r="IE19" i="14"/>
  <c r="IF19" i="14" s="1"/>
  <c r="IP19" i="14"/>
  <c r="GE18" i="14"/>
  <c r="HM18" i="14"/>
  <c r="IU18" i="14"/>
  <c r="LK18" i="14"/>
  <c r="LV21" i="14"/>
  <c r="LW21" i="14" s="1"/>
  <c r="MS18" i="14"/>
  <c r="OA18" i="14"/>
  <c r="OL21" i="14"/>
  <c r="OM21" i="14" s="1"/>
  <c r="PI18" i="14"/>
  <c r="QQ18" i="14"/>
  <c r="RY18" i="14"/>
  <c r="SJ21" i="14"/>
  <c r="SK21" i="14" s="1"/>
  <c r="TF21" i="14"/>
  <c r="TG21" i="14" s="1"/>
  <c r="TG18" i="14"/>
  <c r="JM19" i="14"/>
  <c r="JN19" i="14" s="1"/>
  <c r="KD19" i="14"/>
  <c r="KE19" i="14" s="1"/>
  <c r="LL19" i="14"/>
  <c r="LM19" i="14" s="1"/>
  <c r="CH17" i="14"/>
  <c r="CI17" i="14" s="1"/>
  <c r="DP17" i="14"/>
  <c r="DQ17" i="14" s="1"/>
  <c r="EX17" i="14"/>
  <c r="EY17" i="14" s="1"/>
  <c r="GF17" i="14"/>
  <c r="GG17" i="14" s="1"/>
  <c r="HN17" i="14"/>
  <c r="HO17" i="14" s="1"/>
  <c r="IV17" i="14"/>
  <c r="IW17" i="14" s="1"/>
  <c r="KD17" i="14"/>
  <c r="KE17" i="14" s="1"/>
  <c r="LL17" i="14"/>
  <c r="LM17" i="14" s="1"/>
  <c r="MT17" i="14"/>
  <c r="MU17" i="14" s="1"/>
  <c r="OB17" i="14"/>
  <c r="OC17" i="14" s="1"/>
  <c r="PJ17" i="14"/>
  <c r="PK17" i="14" s="1"/>
  <c r="QR17" i="14"/>
  <c r="QS17" i="14" s="1"/>
  <c r="RZ17" i="14"/>
  <c r="SA17" i="14" s="1"/>
  <c r="TH17" i="14"/>
  <c r="TI17" i="14" s="1"/>
  <c r="G18" i="14"/>
  <c r="AN21" i="14"/>
  <c r="AO21" i="14" s="1"/>
  <c r="AO18" i="14"/>
  <c r="BW18" i="14"/>
  <c r="DE18" i="14"/>
  <c r="FU18" i="14"/>
  <c r="GQ18" i="14"/>
  <c r="HC18" i="14"/>
  <c r="HY18" i="14"/>
  <c r="IJ21" i="14"/>
  <c r="IK21" i="14" s="1"/>
  <c r="KO18" i="14"/>
  <c r="LA18" i="14"/>
  <c r="MH18" i="14"/>
  <c r="NE18" i="14"/>
  <c r="NQ18" i="14"/>
  <c r="OM18" i="14"/>
  <c r="OY18" i="14"/>
  <c r="PU18" i="14"/>
  <c r="QG18" i="14"/>
  <c r="RC18" i="14"/>
  <c r="RN21" i="14"/>
  <c r="RO21" i="14" s="1"/>
  <c r="RO18" i="14"/>
  <c r="SK18" i="14"/>
  <c r="SV21" i="14"/>
  <c r="SW21" i="14" s="1"/>
  <c r="SW18" i="14"/>
  <c r="TS18" i="14"/>
  <c r="R19" i="14"/>
  <c r="S19" i="14" s="1"/>
  <c r="AZ19" i="14"/>
  <c r="BA19" i="14" s="1"/>
  <c r="CH19" i="14"/>
  <c r="CI19" i="14" s="1"/>
  <c r="DP19" i="14"/>
  <c r="DQ19" i="14" s="1"/>
  <c r="EX19" i="14"/>
  <c r="EY19" i="14" s="1"/>
  <c r="GF19" i="14"/>
  <c r="GG19" i="14" s="1"/>
  <c r="HN19" i="14"/>
  <c r="HO19" i="14" s="1"/>
  <c r="KO19" i="14"/>
  <c r="IK20" i="14"/>
  <c r="IV20" i="14"/>
  <c r="LA20" i="14"/>
  <c r="LL20" i="14"/>
  <c r="NQ20" i="14"/>
  <c r="OB20" i="14"/>
  <c r="QG20" i="14"/>
  <c r="QR20" i="14"/>
  <c r="OB19" i="14"/>
  <c r="OC19" i="14" s="1"/>
  <c r="PJ19" i="14"/>
  <c r="PK19" i="14" s="1"/>
  <c r="QR19" i="14"/>
  <c r="QS19" i="14" s="1"/>
  <c r="RZ19" i="14"/>
  <c r="SA19" i="14" s="1"/>
  <c r="KJ20" i="14"/>
  <c r="KU20" i="14"/>
  <c r="MZ20" i="14"/>
  <c r="NK20" i="14"/>
  <c r="PP20" i="14"/>
  <c r="QA20" i="14"/>
  <c r="SQ19" i="14"/>
  <c r="SR19" i="14" s="1"/>
  <c r="TH19" i="14"/>
  <c r="TI19" i="14" s="1"/>
  <c r="TY19" i="14"/>
  <c r="TZ19" i="14" s="1"/>
  <c r="R20" i="14"/>
  <c r="AI20" i="14"/>
  <c r="AZ20" i="14"/>
  <c r="BQ20" i="14"/>
  <c r="CH20" i="14"/>
  <c r="CY20" i="14"/>
  <c r="DP20" i="14"/>
  <c r="EG20" i="14"/>
  <c r="EX20" i="14"/>
  <c r="FO20" i="14"/>
  <c r="HY20" i="14"/>
  <c r="IE20" i="14"/>
  <c r="JS20" i="14"/>
  <c r="KD20" i="14"/>
  <c r="MI20" i="14"/>
  <c r="MT20" i="14"/>
  <c r="OY20" i="14"/>
  <c r="PJ20" i="14"/>
  <c r="RO20" i="14"/>
  <c r="RZ20" i="14"/>
  <c r="MC19" i="14"/>
  <c r="MD19" i="14" s="1"/>
  <c r="NK19" i="14"/>
  <c r="NL19" i="14" s="1"/>
  <c r="OS19" i="14"/>
  <c r="OT19" i="14" s="1"/>
  <c r="QA19" i="14"/>
  <c r="QB19" i="14" s="1"/>
  <c r="RI19" i="14"/>
  <c r="RJ19" i="14" s="1"/>
  <c r="GF20" i="14"/>
  <c r="HN20" i="14"/>
  <c r="JB20" i="14"/>
  <c r="JM20" i="14"/>
  <c r="LR20" i="14"/>
  <c r="MC20" i="14"/>
  <c r="OH20" i="14"/>
  <c r="OS20" i="14"/>
  <c r="QX20" i="14"/>
  <c r="RI20" i="14"/>
  <c r="SQ20" i="14"/>
  <c r="TA21" i="18" l="1"/>
  <c r="TB21" i="18" s="1"/>
  <c r="HN12" i="18"/>
  <c r="HO12" i="18" s="1"/>
  <c r="LV21" i="20"/>
  <c r="LW21" i="20" s="1"/>
  <c r="DP4" i="16"/>
  <c r="DQ4" i="16" s="1"/>
  <c r="OG21" i="14"/>
  <c r="OH21" i="14" s="1"/>
  <c r="KZ21" i="14"/>
  <c r="LA21" i="14" s="1"/>
  <c r="JR21" i="14"/>
  <c r="JS21" i="14" s="1"/>
  <c r="HB21" i="14"/>
  <c r="HC21" i="14" s="1"/>
  <c r="R4" i="14"/>
  <c r="S4" i="14" s="1"/>
  <c r="IC21" i="16"/>
  <c r="ID21" i="16" s="1"/>
  <c r="AG21" i="16"/>
  <c r="AH21" i="16" s="1"/>
  <c r="GF4" i="16"/>
  <c r="GG4" i="16" s="1"/>
  <c r="OX21" i="18"/>
  <c r="OY21" i="18" s="1"/>
  <c r="NP21" i="18"/>
  <c r="NQ21" i="18" s="1"/>
  <c r="AS21" i="18"/>
  <c r="AT21" i="18" s="1"/>
  <c r="QP21" i="18"/>
  <c r="QQ21" i="18" s="1"/>
  <c r="GU21" i="20"/>
  <c r="GV21" i="20" s="1"/>
  <c r="HL21" i="20"/>
  <c r="HM21" i="20" s="1"/>
  <c r="SE21" i="20"/>
  <c r="SF21" i="20" s="1"/>
  <c r="BF18" i="20"/>
  <c r="NL13" i="20"/>
  <c r="JS18" i="14"/>
  <c r="FT21" i="14"/>
  <c r="FU21" i="14" s="1"/>
  <c r="TR21" i="14"/>
  <c r="TS21" i="14" s="1"/>
  <c r="HX21" i="14"/>
  <c r="HY21" i="14" s="1"/>
  <c r="TX18" i="14"/>
  <c r="TW21" i="16"/>
  <c r="TX21" i="16" s="1"/>
  <c r="RX21" i="14"/>
  <c r="RY21" i="14" s="1"/>
  <c r="PT21" i="14"/>
  <c r="PU21" i="14" s="1"/>
  <c r="ND21" i="14"/>
  <c r="NE21" i="14" s="1"/>
  <c r="KN21" i="14"/>
  <c r="KO21" i="14" s="1"/>
  <c r="SF18" i="14"/>
  <c r="TS18" i="16"/>
  <c r="DP18" i="16"/>
  <c r="DQ18" i="16" s="1"/>
  <c r="KI21" i="16"/>
  <c r="KJ21" i="16" s="1"/>
  <c r="DD21" i="16"/>
  <c r="DE21" i="16" s="1"/>
  <c r="AI4" i="16"/>
  <c r="AJ4" i="16" s="1"/>
  <c r="MH21" i="20"/>
  <c r="MI21" i="20" s="1"/>
  <c r="RN21" i="16"/>
  <c r="RO21" i="16" s="1"/>
  <c r="NZ21" i="16"/>
  <c r="OA21" i="16" s="1"/>
  <c r="RB21" i="14"/>
  <c r="RC21" i="14" s="1"/>
  <c r="LQ21" i="14"/>
  <c r="LR21" i="14" s="1"/>
  <c r="IO21" i="14"/>
  <c r="IP21" i="14" s="1"/>
  <c r="PC21" i="14"/>
  <c r="PD21" i="14" s="1"/>
  <c r="RB21" i="16"/>
  <c r="RC21" i="16" s="1"/>
  <c r="KZ21" i="16"/>
  <c r="LA21" i="16" s="1"/>
  <c r="W21" i="16"/>
  <c r="X21" i="16" s="1"/>
  <c r="FO4" i="16"/>
  <c r="FP4" i="16" s="1"/>
  <c r="SV21" i="18"/>
  <c r="SW21" i="18" s="1"/>
  <c r="EL21" i="18"/>
  <c r="EM21" i="18" s="1"/>
  <c r="DZ21" i="18"/>
  <c r="EA21" i="18" s="1"/>
  <c r="AB21" i="18"/>
  <c r="AC21" i="18" s="1"/>
  <c r="FH21" i="18"/>
  <c r="FI21" i="18" s="1"/>
  <c r="JA21" i="20"/>
  <c r="JB21" i="20" s="1"/>
  <c r="BQ12" i="20"/>
  <c r="BR12" i="20" s="1"/>
  <c r="MD13" i="20"/>
  <c r="PC21" i="18"/>
  <c r="PD21" i="18" s="1"/>
  <c r="NI21" i="14"/>
  <c r="NJ21" i="14" s="1"/>
  <c r="AZ4" i="14"/>
  <c r="BA4" i="14" s="1"/>
  <c r="TF21" i="18"/>
  <c r="TG21" i="18" s="1"/>
  <c r="RZ12" i="18"/>
  <c r="SA12" i="18" s="1"/>
  <c r="FM21" i="18"/>
  <c r="FN21" i="18" s="1"/>
  <c r="RZ4" i="20"/>
  <c r="SA4" i="20" s="1"/>
  <c r="QP21" i="20"/>
  <c r="QQ21" i="20" s="1"/>
  <c r="KB21" i="20"/>
  <c r="KC21" i="20" s="1"/>
  <c r="JK21" i="20"/>
  <c r="JL21" i="20" s="1"/>
  <c r="RG21" i="14"/>
  <c r="RH21" i="14" s="1"/>
  <c r="JF21" i="14"/>
  <c r="JG21" i="14" s="1"/>
  <c r="MR21" i="14"/>
  <c r="MS21" i="14" s="1"/>
  <c r="K21" i="14"/>
  <c r="L21" i="14" s="1"/>
  <c r="OQ21" i="14"/>
  <c r="OR21" i="14" s="1"/>
  <c r="PC21" i="16"/>
  <c r="PD21" i="16" s="1"/>
  <c r="F21" i="18"/>
  <c r="G21" i="18" s="1"/>
  <c r="P21" i="20"/>
  <c r="Q21" i="20" s="1"/>
  <c r="AS21" i="14"/>
  <c r="AT21" i="14" s="1"/>
  <c r="KS21" i="16"/>
  <c r="KT21" i="16" s="1"/>
  <c r="RS21" i="16"/>
  <c r="RT21" i="16" s="1"/>
  <c r="CM21" i="16"/>
  <c r="CN21" i="16" s="1"/>
  <c r="AS21" i="20"/>
  <c r="AT21" i="20" s="1"/>
  <c r="LJ21" i="16"/>
  <c r="LK21" i="16" s="1"/>
  <c r="KB21" i="16"/>
  <c r="KC21" i="16" s="1"/>
  <c r="P21" i="16"/>
  <c r="Q21" i="16" s="1"/>
  <c r="RX21" i="20"/>
  <c r="RY21" i="20" s="1"/>
  <c r="PY21" i="14"/>
  <c r="PZ21" i="14" s="1"/>
  <c r="NZ21" i="14"/>
  <c r="OA21" i="14" s="1"/>
  <c r="NZ21" i="18"/>
  <c r="OA21" i="18" s="1"/>
  <c r="IT21" i="18"/>
  <c r="IU21" i="18" s="1"/>
  <c r="PO21" i="14"/>
  <c r="PP21" i="14" s="1"/>
  <c r="JA21" i="14"/>
  <c r="JB21" i="14" s="1"/>
  <c r="JG18" i="14"/>
  <c r="HS21" i="14"/>
  <c r="HT21" i="14" s="1"/>
  <c r="DD21" i="14"/>
  <c r="DE21" i="14" s="1"/>
  <c r="DN21" i="14"/>
  <c r="DO21" i="14" s="1"/>
  <c r="CM21" i="14"/>
  <c r="CN21" i="14" s="1"/>
  <c r="JW21" i="16"/>
  <c r="JX21" i="16" s="1"/>
  <c r="KC18" i="16"/>
  <c r="GU21" i="16"/>
  <c r="GV21" i="16" s="1"/>
  <c r="GW4" i="16"/>
  <c r="GX4" i="16" s="1"/>
  <c r="GW7" i="16"/>
  <c r="GX7" i="16" s="1"/>
  <c r="CF21" i="16"/>
  <c r="CG21" i="16" s="1"/>
  <c r="TW21" i="20"/>
  <c r="TX21" i="20" s="1"/>
  <c r="SO21" i="20"/>
  <c r="SP21" i="20" s="1"/>
  <c r="SJ21" i="20"/>
  <c r="SK21" i="20" s="1"/>
  <c r="QA12" i="20"/>
  <c r="QB12" i="20" s="1"/>
  <c r="NK7" i="20"/>
  <c r="NL7" i="20" s="1"/>
  <c r="LJ21" i="20"/>
  <c r="LK21" i="20" s="1"/>
  <c r="LL4" i="20"/>
  <c r="LM4" i="20" s="1"/>
  <c r="IW20" i="20"/>
  <c r="IT21" i="20"/>
  <c r="IU21" i="20" s="1"/>
  <c r="GD21" i="20"/>
  <c r="GE21" i="20" s="1"/>
  <c r="BQ7" i="20"/>
  <c r="BR7" i="20" s="1"/>
  <c r="BO21" i="20"/>
  <c r="BP21" i="20" s="1"/>
  <c r="MM21" i="14"/>
  <c r="MN21" i="14" s="1"/>
  <c r="MA21" i="14"/>
  <c r="MB21" i="14" s="1"/>
  <c r="LJ21" i="14"/>
  <c r="LK21" i="14" s="1"/>
  <c r="KI21" i="14"/>
  <c r="KJ21" i="14" s="1"/>
  <c r="KS21" i="14"/>
  <c r="KT21" i="14" s="1"/>
  <c r="JK21" i="14"/>
  <c r="JL21" i="14" s="1"/>
  <c r="IT21" i="14"/>
  <c r="IU21" i="14" s="1"/>
  <c r="HL21" i="14"/>
  <c r="HM21" i="14" s="1"/>
  <c r="HG21" i="14"/>
  <c r="HH21" i="14" s="1"/>
  <c r="GU21" i="14"/>
  <c r="GV21" i="14" s="1"/>
  <c r="GP21" i="14"/>
  <c r="GQ21" i="14" s="1"/>
  <c r="GK21" i="14"/>
  <c r="GL21" i="14" s="1"/>
  <c r="GX20" i="14"/>
  <c r="GW18" i="14"/>
  <c r="GX18" i="14" s="1"/>
  <c r="GD21" i="14"/>
  <c r="GE21" i="14" s="1"/>
  <c r="FC21" i="14"/>
  <c r="FD21" i="14" s="1"/>
  <c r="FH21" i="14"/>
  <c r="FI21" i="14" s="1"/>
  <c r="DZ21" i="14"/>
  <c r="EA21" i="14" s="1"/>
  <c r="EE21" i="14"/>
  <c r="EF21" i="14" s="1"/>
  <c r="DU21" i="14"/>
  <c r="DV21" i="14" s="1"/>
  <c r="AX21" i="14"/>
  <c r="AY21" i="14" s="1"/>
  <c r="QS20" i="16"/>
  <c r="PY21" i="16"/>
  <c r="PZ21" i="16" s="1"/>
  <c r="OX21" i="16"/>
  <c r="OY21" i="16" s="1"/>
  <c r="OQ21" i="16"/>
  <c r="OR21" i="16" s="1"/>
  <c r="NI21" i="16"/>
  <c r="NJ21" i="16" s="1"/>
  <c r="MH21" i="16"/>
  <c r="MI21" i="16" s="1"/>
  <c r="JR21" i="16"/>
  <c r="JS21" i="16" s="1"/>
  <c r="JM12" i="16"/>
  <c r="JN12" i="16" s="1"/>
  <c r="JF21" i="16"/>
  <c r="JG21" i="16" s="1"/>
  <c r="IJ21" i="16"/>
  <c r="IK21" i="16" s="1"/>
  <c r="IT21" i="16"/>
  <c r="IU21" i="16" s="1"/>
  <c r="HB21" i="16"/>
  <c r="HC21" i="16" s="1"/>
  <c r="GD21" i="16"/>
  <c r="GE21" i="16" s="1"/>
  <c r="EX4" i="16"/>
  <c r="EY4" i="16" s="1"/>
  <c r="DN21" i="16"/>
  <c r="DO21" i="16" s="1"/>
  <c r="CW21" i="16"/>
  <c r="CX21" i="16" s="1"/>
  <c r="CY4" i="16"/>
  <c r="CZ4" i="16" s="1"/>
  <c r="SO21" i="18"/>
  <c r="SP21" i="18" s="1"/>
  <c r="RX21" i="18"/>
  <c r="RY21" i="18" s="1"/>
  <c r="OB12" i="18"/>
  <c r="OC12" i="18" s="1"/>
  <c r="OA18" i="18"/>
  <c r="MR21" i="18"/>
  <c r="MS21" i="18" s="1"/>
  <c r="KB21" i="18"/>
  <c r="KC21" i="18" s="1"/>
  <c r="IC21" i="18"/>
  <c r="ID21" i="18" s="1"/>
  <c r="IE7" i="18"/>
  <c r="IF7" i="18" s="1"/>
  <c r="HB21" i="18"/>
  <c r="HC21" i="18" s="1"/>
  <c r="FT21" i="18"/>
  <c r="FU21" i="18" s="1"/>
  <c r="FN18" i="18"/>
  <c r="EE21" i="18"/>
  <c r="EF21" i="18" s="1"/>
  <c r="CW21" i="18"/>
  <c r="CX21" i="18" s="1"/>
  <c r="CF21" i="18"/>
  <c r="CG21" i="18" s="1"/>
  <c r="BV21" i="18"/>
  <c r="BW21" i="18" s="1"/>
  <c r="BE21" i="18"/>
  <c r="BF21" i="18" s="1"/>
  <c r="TY7" i="20"/>
  <c r="TZ7" i="20" s="1"/>
  <c r="TF21" i="20"/>
  <c r="TG21" i="20" s="1"/>
  <c r="QW21" i="20"/>
  <c r="QX21" i="20" s="1"/>
  <c r="QR4" i="20"/>
  <c r="QS4" i="20" s="1"/>
  <c r="PH21" i="20"/>
  <c r="PI21" i="20" s="1"/>
  <c r="OQ21" i="20"/>
  <c r="OR21" i="20" s="1"/>
  <c r="OL21" i="20"/>
  <c r="OM21" i="20" s="1"/>
  <c r="NP21" i="20"/>
  <c r="NQ21" i="20" s="1"/>
  <c r="MY21" i="20"/>
  <c r="MZ21" i="20" s="1"/>
  <c r="MA21" i="20"/>
  <c r="MB21" i="20" s="1"/>
  <c r="IE7" i="20"/>
  <c r="IF7" i="20" s="1"/>
  <c r="HS21" i="20"/>
  <c r="HT21" i="20" s="1"/>
  <c r="IC21" i="20"/>
  <c r="ID21" i="20" s="1"/>
  <c r="HB21" i="20"/>
  <c r="HC21" i="20" s="1"/>
  <c r="HN4" i="20"/>
  <c r="HO4" i="20" s="1"/>
  <c r="FP20" i="20"/>
  <c r="CW21" i="20"/>
  <c r="CX21" i="20" s="1"/>
  <c r="BV21" i="20"/>
  <c r="BW21" i="20" s="1"/>
  <c r="CF21" i="20"/>
  <c r="CG21" i="20" s="1"/>
  <c r="JW21" i="18"/>
  <c r="JX21" i="18" s="1"/>
  <c r="QK21" i="14"/>
  <c r="QL21" i="14" s="1"/>
  <c r="DI21" i="14"/>
  <c r="DJ21" i="14" s="1"/>
  <c r="AI4" i="14"/>
  <c r="AJ4" i="14" s="1"/>
  <c r="OS4" i="16"/>
  <c r="OT4" i="16" s="1"/>
  <c r="MM21" i="16"/>
  <c r="MN21" i="16" s="1"/>
  <c r="LV21" i="16"/>
  <c r="LW21" i="16" s="1"/>
  <c r="GX5" i="16"/>
  <c r="CR21" i="16"/>
  <c r="CS21" i="16" s="1"/>
  <c r="RB21" i="20"/>
  <c r="RC21" i="20" s="1"/>
  <c r="KD4" i="20"/>
  <c r="KE4" i="20" s="1"/>
  <c r="CR21" i="20"/>
  <c r="CS21" i="20" s="1"/>
  <c r="TZ5" i="16"/>
  <c r="TY4" i="16"/>
  <c r="TZ4" i="16" s="1"/>
  <c r="HG21" i="16"/>
  <c r="HH21" i="16" s="1"/>
  <c r="KN21" i="16"/>
  <c r="KO21" i="16" s="1"/>
  <c r="FH21" i="16"/>
  <c r="FI21" i="16" s="1"/>
  <c r="CH4" i="16"/>
  <c r="CI4" i="16" s="1"/>
  <c r="BQ4" i="16"/>
  <c r="BR4" i="16" s="1"/>
  <c r="R4" i="16"/>
  <c r="S4" i="16" s="1"/>
  <c r="SJ21" i="18"/>
  <c r="SK21" i="18" s="1"/>
  <c r="QK21" i="18"/>
  <c r="QL21" i="18" s="1"/>
  <c r="PT21" i="18"/>
  <c r="PU21" i="18" s="1"/>
  <c r="KN21" i="18"/>
  <c r="KO21" i="18" s="1"/>
  <c r="HX21" i="18"/>
  <c r="HY21" i="18" s="1"/>
  <c r="GP21" i="18"/>
  <c r="GQ21" i="18" s="1"/>
  <c r="EQ21" i="18"/>
  <c r="ER21" i="18" s="1"/>
  <c r="CF21" i="14"/>
  <c r="CG21" i="14" s="1"/>
  <c r="FT21" i="16"/>
  <c r="FU21" i="16" s="1"/>
  <c r="NU21" i="16"/>
  <c r="NV21" i="16" s="1"/>
  <c r="EE21" i="16"/>
  <c r="EF21" i="16" s="1"/>
  <c r="RN21" i="18"/>
  <c r="RO21" i="18" s="1"/>
  <c r="KZ21" i="18"/>
  <c r="LA21" i="18" s="1"/>
  <c r="IJ21" i="18"/>
  <c r="IK21" i="18" s="1"/>
  <c r="AN21" i="18"/>
  <c r="AO21" i="18" s="1"/>
  <c r="SE21" i="18"/>
  <c r="SF21" i="18" s="1"/>
  <c r="MY21" i="18"/>
  <c r="MZ21" i="18" s="1"/>
  <c r="HL21" i="18"/>
  <c r="HM21" i="18" s="1"/>
  <c r="DI21" i="18"/>
  <c r="DJ21" i="18" s="1"/>
  <c r="PH21" i="18"/>
  <c r="PI21" i="18" s="1"/>
  <c r="ND21" i="18"/>
  <c r="NE21" i="18" s="1"/>
  <c r="K21" i="18"/>
  <c r="L21" i="18" s="1"/>
  <c r="BO21" i="18"/>
  <c r="BP21" i="18" s="1"/>
  <c r="SV21" i="20"/>
  <c r="SW21" i="20" s="1"/>
  <c r="IJ21" i="20"/>
  <c r="IK21" i="20" s="1"/>
  <c r="EL21" i="20"/>
  <c r="EM21" i="20" s="1"/>
  <c r="W21" i="20"/>
  <c r="X21" i="20" s="1"/>
  <c r="DD21" i="20"/>
  <c r="DE21" i="20" s="1"/>
  <c r="OX21" i="20"/>
  <c r="OY21" i="20" s="1"/>
  <c r="FC21" i="20"/>
  <c r="FD21" i="20" s="1"/>
  <c r="MC7" i="20"/>
  <c r="MD7" i="20" s="1"/>
  <c r="RI7" i="20"/>
  <c r="RJ7" i="20" s="1"/>
  <c r="LL7" i="20"/>
  <c r="LM7" i="20" s="1"/>
  <c r="EH13" i="16"/>
  <c r="EG12" i="16"/>
  <c r="EH12" i="16" s="1"/>
  <c r="TZ5" i="14"/>
  <c r="TY4" i="14"/>
  <c r="TZ4" i="14" s="1"/>
  <c r="QF21" i="14"/>
  <c r="QG21" i="14" s="1"/>
  <c r="EL21" i="14"/>
  <c r="EM21" i="14" s="1"/>
  <c r="BV21" i="14"/>
  <c r="BW21" i="14" s="1"/>
  <c r="F21" i="14"/>
  <c r="G21" i="14" s="1"/>
  <c r="CA21" i="14"/>
  <c r="CB21" i="14" s="1"/>
  <c r="EV21" i="14"/>
  <c r="EW21" i="14" s="1"/>
  <c r="P21" i="14"/>
  <c r="Q21" i="14" s="1"/>
  <c r="SO21" i="16"/>
  <c r="SP21" i="16" s="1"/>
  <c r="GP21" i="16"/>
  <c r="GQ21" i="16" s="1"/>
  <c r="PT21" i="16"/>
  <c r="PU21" i="16" s="1"/>
  <c r="QF21" i="16"/>
  <c r="QG21" i="16" s="1"/>
  <c r="BO21" i="16"/>
  <c r="BP21" i="16" s="1"/>
  <c r="MR21" i="16"/>
  <c r="MS21" i="16" s="1"/>
  <c r="IO21" i="16"/>
  <c r="IP21" i="16" s="1"/>
  <c r="FM21" i="16"/>
  <c r="FN21" i="16" s="1"/>
  <c r="AX21" i="16"/>
  <c r="AY21" i="16" s="1"/>
  <c r="EV21" i="16"/>
  <c r="EW21" i="16" s="1"/>
  <c r="PH21" i="16"/>
  <c r="PI21" i="16" s="1"/>
  <c r="QK21" i="16"/>
  <c r="QL21" i="16" s="1"/>
  <c r="DZ21" i="16"/>
  <c r="EA21" i="16" s="1"/>
  <c r="AZ4" i="16"/>
  <c r="BA4" i="16" s="1"/>
  <c r="QA4" i="16"/>
  <c r="QB4" i="16" s="1"/>
  <c r="QF21" i="18"/>
  <c r="QG21" i="18" s="1"/>
  <c r="MH21" i="18"/>
  <c r="MI21" i="18" s="1"/>
  <c r="KC18" i="18"/>
  <c r="GU21" i="18"/>
  <c r="GV21" i="18" s="1"/>
  <c r="OQ21" i="18"/>
  <c r="OR21" i="18" s="1"/>
  <c r="MS18" i="18"/>
  <c r="SP18" i="18"/>
  <c r="LE21" i="18"/>
  <c r="LF21" i="18" s="1"/>
  <c r="P21" i="18"/>
  <c r="Q21" i="18" s="1"/>
  <c r="CX18" i="18"/>
  <c r="DN21" i="18"/>
  <c r="DO21" i="18" s="1"/>
  <c r="MT14" i="18"/>
  <c r="MU14" i="18" s="1"/>
  <c r="NK7" i="18"/>
  <c r="NL7" i="18" s="1"/>
  <c r="DP7" i="18"/>
  <c r="DQ7" i="18" s="1"/>
  <c r="IE18" i="20"/>
  <c r="IF18" i="20" s="1"/>
  <c r="FY21" i="20"/>
  <c r="FZ21" i="20" s="1"/>
  <c r="TM21" i="20"/>
  <c r="TN21" i="20" s="1"/>
  <c r="QF21" i="20"/>
  <c r="QG21" i="20" s="1"/>
  <c r="FM21" i="20"/>
  <c r="FN21" i="20" s="1"/>
  <c r="DU21" i="20"/>
  <c r="DV21" i="20" s="1"/>
  <c r="AN21" i="20"/>
  <c r="AO21" i="20" s="1"/>
  <c r="EV21" i="20"/>
  <c r="EW21" i="20" s="1"/>
  <c r="AG21" i="20"/>
  <c r="AH21" i="20" s="1"/>
  <c r="EG7" i="20"/>
  <c r="EH7" i="20" s="1"/>
  <c r="QR7" i="20"/>
  <c r="QS7" i="20" s="1"/>
  <c r="LM8" i="20"/>
  <c r="GW7" i="20"/>
  <c r="GX7" i="20" s="1"/>
  <c r="IF20" i="18"/>
  <c r="IE18" i="18"/>
  <c r="IF18" i="18" s="1"/>
  <c r="CI5" i="20"/>
  <c r="CH4" i="20"/>
  <c r="CI4" i="20" s="1"/>
  <c r="CI13" i="18"/>
  <c r="CH12" i="18"/>
  <c r="CI12" i="18" s="1"/>
  <c r="TZ20" i="14"/>
  <c r="TY18" i="14"/>
  <c r="TZ18" i="14" s="1"/>
  <c r="NP21" i="14"/>
  <c r="NQ21" i="14" s="1"/>
  <c r="PH21" i="14"/>
  <c r="PI21" i="14" s="1"/>
  <c r="KB21" i="14"/>
  <c r="KC21" i="14" s="1"/>
  <c r="AB21" i="14"/>
  <c r="AC21" i="14" s="1"/>
  <c r="IC21" i="14"/>
  <c r="ID21" i="14" s="1"/>
  <c r="BO21" i="14"/>
  <c r="BP21" i="14" s="1"/>
  <c r="FM21" i="14"/>
  <c r="FN21" i="14" s="1"/>
  <c r="AG21" i="14"/>
  <c r="AH21" i="14" s="1"/>
  <c r="JK21" i="16"/>
  <c r="JL21" i="16" s="1"/>
  <c r="SV21" i="16"/>
  <c r="SW21" i="16" s="1"/>
  <c r="OL21" i="16"/>
  <c r="OM21" i="16" s="1"/>
  <c r="HX21" i="16"/>
  <c r="HY21" i="16" s="1"/>
  <c r="AB21" i="16"/>
  <c r="AC21" i="16" s="1"/>
  <c r="QP21" i="16"/>
  <c r="QQ21" i="16" s="1"/>
  <c r="TA21" i="16"/>
  <c r="TB21" i="16" s="1"/>
  <c r="EL21" i="16"/>
  <c r="EM21" i="16" s="1"/>
  <c r="MC7" i="16"/>
  <c r="MD7" i="16" s="1"/>
  <c r="GD21" i="18"/>
  <c r="GE21" i="18" s="1"/>
  <c r="KS21" i="18"/>
  <c r="KT21" i="18" s="1"/>
  <c r="FY21" i="18"/>
  <c r="FZ21" i="18" s="1"/>
  <c r="NU21" i="18"/>
  <c r="NV21" i="18" s="1"/>
  <c r="MM21" i="18"/>
  <c r="MN21" i="18" s="1"/>
  <c r="AX21" i="18"/>
  <c r="AY21" i="18" s="1"/>
  <c r="TH7" i="18"/>
  <c r="TI7" i="18" s="1"/>
  <c r="PT21" i="20"/>
  <c r="PU21" i="20" s="1"/>
  <c r="AX21" i="20"/>
  <c r="AY21" i="20" s="1"/>
  <c r="LE21" i="20"/>
  <c r="LF21" i="20" s="1"/>
  <c r="DN21" i="20"/>
  <c r="DO21" i="20" s="1"/>
  <c r="CY7" i="20"/>
  <c r="CZ7" i="20" s="1"/>
  <c r="R4" i="20"/>
  <c r="S4" i="20" s="1"/>
  <c r="TI5" i="20"/>
  <c r="TH4" i="20"/>
  <c r="TI4" i="20" s="1"/>
  <c r="TI13" i="18"/>
  <c r="TH12" i="18"/>
  <c r="TI12" i="18" s="1"/>
  <c r="TI20" i="14"/>
  <c r="TH18" i="14"/>
  <c r="TI18" i="14" s="1"/>
  <c r="TR21" i="20"/>
  <c r="TS21" i="20" s="1"/>
  <c r="TA21" i="20"/>
  <c r="TB21" i="20" s="1"/>
  <c r="QK21" i="20"/>
  <c r="QL21" i="20" s="1"/>
  <c r="PK6" i="20"/>
  <c r="PJ4" i="20"/>
  <c r="PK4" i="20" s="1"/>
  <c r="NU21" i="20"/>
  <c r="NV21" i="20" s="1"/>
  <c r="OC6" i="20"/>
  <c r="OB4" i="20"/>
  <c r="OC4" i="20" s="1"/>
  <c r="ND21" i="20"/>
  <c r="NE21" i="20" s="1"/>
  <c r="MU6" i="20"/>
  <c r="MT4" i="20"/>
  <c r="MU4" i="20" s="1"/>
  <c r="KN21" i="20"/>
  <c r="KO21" i="20" s="1"/>
  <c r="JF21" i="20"/>
  <c r="JG21" i="20" s="1"/>
  <c r="IO21" i="20"/>
  <c r="IP21" i="20" s="1"/>
  <c r="IW6" i="20"/>
  <c r="IV4" i="20"/>
  <c r="IW4" i="20" s="1"/>
  <c r="HX21" i="20"/>
  <c r="HY21" i="20" s="1"/>
  <c r="GP21" i="20"/>
  <c r="GQ21" i="20" s="1"/>
  <c r="GG6" i="20"/>
  <c r="GF4" i="20"/>
  <c r="GG4" i="20" s="1"/>
  <c r="FH21" i="20"/>
  <c r="FI21" i="20" s="1"/>
  <c r="EY6" i="20"/>
  <c r="EX4" i="20"/>
  <c r="EY4" i="20" s="1"/>
  <c r="DQ6" i="20"/>
  <c r="DP4" i="20"/>
  <c r="DQ4" i="20" s="1"/>
  <c r="CA21" i="20"/>
  <c r="CB21" i="20" s="1"/>
  <c r="BA6" i="20"/>
  <c r="AZ4" i="20"/>
  <c r="BA4" i="20" s="1"/>
  <c r="BJ21" i="14"/>
  <c r="BK21" i="14" s="1"/>
  <c r="QW21" i="18"/>
  <c r="QX21" i="18" s="1"/>
  <c r="MU13" i="18"/>
  <c r="MT12" i="18"/>
  <c r="MU12" i="18" s="1"/>
  <c r="IW13" i="18"/>
  <c r="IV12" i="18"/>
  <c r="IW12" i="18" s="1"/>
  <c r="DQ13" i="18"/>
  <c r="DP12" i="18"/>
  <c r="DQ12" i="18" s="1"/>
  <c r="CM21" i="18"/>
  <c r="CN21" i="18" s="1"/>
  <c r="CI15" i="18"/>
  <c r="CH14" i="18"/>
  <c r="CI14" i="18" s="1"/>
  <c r="OX21" i="14"/>
  <c r="OY21" i="14" s="1"/>
  <c r="MY21" i="14"/>
  <c r="MZ21" i="14" s="1"/>
  <c r="CR21" i="14"/>
  <c r="CS21" i="14" s="1"/>
  <c r="W21" i="14"/>
  <c r="X21" i="14" s="1"/>
  <c r="AJ13" i="16"/>
  <c r="AI12" i="16"/>
  <c r="AJ12" i="16" s="1"/>
  <c r="FP13" i="16"/>
  <c r="FO12" i="16"/>
  <c r="FP12" i="16" s="1"/>
  <c r="FC21" i="16"/>
  <c r="FD21" i="16" s="1"/>
  <c r="KV13" i="16"/>
  <c r="KU12" i="16"/>
  <c r="KV12" i="16" s="1"/>
  <c r="QB13" i="16"/>
  <c r="QA12" i="16"/>
  <c r="QB12" i="16" s="1"/>
  <c r="TZ13" i="20"/>
  <c r="TY12" i="20"/>
  <c r="TZ12" i="20" s="1"/>
  <c r="RN21" i="20"/>
  <c r="RO21" i="20" s="1"/>
  <c r="RJ13" i="20"/>
  <c r="RI12" i="20"/>
  <c r="RJ12" i="20" s="1"/>
  <c r="PO21" i="20"/>
  <c r="PP21" i="20" s="1"/>
  <c r="OG21" i="20"/>
  <c r="OH21" i="20" s="1"/>
  <c r="OT13" i="20"/>
  <c r="OS12" i="20"/>
  <c r="OT12" i="20" s="1"/>
  <c r="KI21" i="20"/>
  <c r="KJ21" i="20" s="1"/>
  <c r="KV13" i="20"/>
  <c r="KU12" i="20"/>
  <c r="KV12" i="20" s="1"/>
  <c r="JN13" i="20"/>
  <c r="JM12" i="20"/>
  <c r="JN12" i="20" s="1"/>
  <c r="IF13" i="20"/>
  <c r="IE12" i="20"/>
  <c r="IF12" i="20" s="1"/>
  <c r="GX13" i="20"/>
  <c r="GW12" i="20"/>
  <c r="GX12" i="20" s="1"/>
  <c r="FT21" i="20"/>
  <c r="FU21" i="20" s="1"/>
  <c r="FP13" i="20"/>
  <c r="FO12" i="20"/>
  <c r="FP12" i="20" s="1"/>
  <c r="EH13" i="20"/>
  <c r="EG12" i="20"/>
  <c r="EH12" i="20" s="1"/>
  <c r="CM21" i="20"/>
  <c r="CN21" i="20" s="1"/>
  <c r="CZ13" i="20"/>
  <c r="CY12" i="20"/>
  <c r="CZ12" i="20" s="1"/>
  <c r="AJ13" i="20"/>
  <c r="AI12" i="20"/>
  <c r="AJ12" i="20" s="1"/>
  <c r="NP21" i="16"/>
  <c r="NQ21" i="16" s="1"/>
  <c r="MU20" i="20"/>
  <c r="MT18" i="20"/>
  <c r="MU18" i="20" s="1"/>
  <c r="TH14" i="20"/>
  <c r="TI14" i="20" s="1"/>
  <c r="TI15" i="20"/>
  <c r="DQ15" i="20"/>
  <c r="DP14" i="20"/>
  <c r="DQ14" i="20" s="1"/>
  <c r="MU13" i="20"/>
  <c r="MT12" i="20"/>
  <c r="MU12" i="20" s="1"/>
  <c r="BA13" i="20"/>
  <c r="AZ12" i="20"/>
  <c r="BA12" i="20" s="1"/>
  <c r="DQ8" i="20"/>
  <c r="DP7" i="20"/>
  <c r="DQ7" i="20" s="1"/>
  <c r="AJ6" i="20"/>
  <c r="AI4" i="20"/>
  <c r="AJ4" i="20" s="1"/>
  <c r="FP5" i="20"/>
  <c r="FO4" i="20"/>
  <c r="FP4" i="20" s="1"/>
  <c r="OC13" i="20"/>
  <c r="OB12" i="20"/>
  <c r="OC12" i="20" s="1"/>
  <c r="DQ13" i="20"/>
  <c r="DP12" i="20"/>
  <c r="DQ12" i="20" s="1"/>
  <c r="QB20" i="20"/>
  <c r="QA18" i="20"/>
  <c r="QB18" i="20" s="1"/>
  <c r="QS20" i="20"/>
  <c r="QR18" i="20"/>
  <c r="QS18" i="20" s="1"/>
  <c r="RJ20" i="20"/>
  <c r="RI18" i="20"/>
  <c r="RJ18" i="20" s="1"/>
  <c r="MD20" i="20"/>
  <c r="MC18" i="20"/>
  <c r="MD18" i="20" s="1"/>
  <c r="NL15" i="20"/>
  <c r="NK14" i="20"/>
  <c r="NL14" i="20" s="1"/>
  <c r="SR10" i="20"/>
  <c r="SQ7" i="20"/>
  <c r="SR7" i="20" s="1"/>
  <c r="PK13" i="20"/>
  <c r="PJ12" i="20"/>
  <c r="PK12" i="20" s="1"/>
  <c r="KE8" i="20"/>
  <c r="KD7" i="20"/>
  <c r="KE7" i="20" s="1"/>
  <c r="KV5" i="20"/>
  <c r="KU4" i="20"/>
  <c r="KV4" i="20" s="1"/>
  <c r="CH7" i="20"/>
  <c r="CI7" i="20" s="1"/>
  <c r="PY21" i="20"/>
  <c r="PZ21" i="20" s="1"/>
  <c r="HO20" i="20"/>
  <c r="HN18" i="20"/>
  <c r="HO18" i="20" s="1"/>
  <c r="CI20" i="20"/>
  <c r="CH18" i="20"/>
  <c r="CI18" i="20" s="1"/>
  <c r="GX20" i="20"/>
  <c r="GW18" i="20"/>
  <c r="GX18" i="20" s="1"/>
  <c r="KZ21" i="20"/>
  <c r="LA21" i="20" s="1"/>
  <c r="LA18" i="20"/>
  <c r="DI21" i="20"/>
  <c r="DJ21" i="20" s="1"/>
  <c r="AB21" i="20"/>
  <c r="AC21" i="20" s="1"/>
  <c r="AC18" i="20"/>
  <c r="GG20" i="20"/>
  <c r="GF18" i="20"/>
  <c r="GG18" i="20" s="1"/>
  <c r="BA20" i="20"/>
  <c r="AZ18" i="20"/>
  <c r="BA18" i="20" s="1"/>
  <c r="NZ21" i="20"/>
  <c r="OA21" i="20" s="1"/>
  <c r="F21" i="20"/>
  <c r="G21" i="20" s="1"/>
  <c r="PC21" i="20"/>
  <c r="PD21" i="20" s="1"/>
  <c r="RZ14" i="20"/>
  <c r="SA14" i="20" s="1"/>
  <c r="SA15" i="20"/>
  <c r="MT14" i="20"/>
  <c r="MU14" i="20" s="1"/>
  <c r="MU15" i="20"/>
  <c r="HN14" i="20"/>
  <c r="HO14" i="20" s="1"/>
  <c r="HO15" i="20"/>
  <c r="CH14" i="20"/>
  <c r="CI14" i="20" s="1"/>
  <c r="CI15" i="20"/>
  <c r="KV15" i="20"/>
  <c r="KU14" i="20"/>
  <c r="KV14" i="20" s="1"/>
  <c r="AJ15" i="20"/>
  <c r="AI14" i="20"/>
  <c r="AJ14" i="20" s="1"/>
  <c r="MD15" i="20"/>
  <c r="MC14" i="20"/>
  <c r="MD14" i="20" s="1"/>
  <c r="FP11" i="20"/>
  <c r="FO7" i="20"/>
  <c r="FP7" i="20" s="1"/>
  <c r="QB10" i="20"/>
  <c r="QA7" i="20"/>
  <c r="QB7" i="20" s="1"/>
  <c r="GW14" i="20"/>
  <c r="GX14" i="20" s="1"/>
  <c r="GX15" i="20"/>
  <c r="EY8" i="20"/>
  <c r="EX7" i="20"/>
  <c r="EY7" i="20" s="1"/>
  <c r="TI8" i="20"/>
  <c r="TH7" i="20"/>
  <c r="TI7" i="20" s="1"/>
  <c r="AZ7" i="20"/>
  <c r="BA7" i="20" s="1"/>
  <c r="EH6" i="20"/>
  <c r="EG4" i="20"/>
  <c r="EH4" i="20" s="1"/>
  <c r="TZ5" i="20"/>
  <c r="TY4" i="20"/>
  <c r="TZ4" i="20" s="1"/>
  <c r="OT5" i="20"/>
  <c r="OS4" i="20"/>
  <c r="OT4" i="20" s="1"/>
  <c r="JN5" i="20"/>
  <c r="JM4" i="20"/>
  <c r="JN4" i="20" s="1"/>
  <c r="EH15" i="20"/>
  <c r="EG14" i="20"/>
  <c r="EH14" i="20" s="1"/>
  <c r="LQ21" i="20"/>
  <c r="LR21" i="20" s="1"/>
  <c r="LR18" i="20"/>
  <c r="DZ21" i="20"/>
  <c r="EA21" i="20" s="1"/>
  <c r="EA18" i="20"/>
  <c r="IW15" i="20"/>
  <c r="IV14" i="20"/>
  <c r="IW14" i="20" s="1"/>
  <c r="CZ15" i="20"/>
  <c r="CY14" i="20"/>
  <c r="CZ14" i="20" s="1"/>
  <c r="CI13" i="20"/>
  <c r="CH12" i="20"/>
  <c r="CI12" i="20" s="1"/>
  <c r="LM13" i="20"/>
  <c r="LL12" i="20"/>
  <c r="LM12" i="20" s="1"/>
  <c r="JN11" i="20"/>
  <c r="JM7" i="20"/>
  <c r="JN7" i="20" s="1"/>
  <c r="SR20" i="20"/>
  <c r="SQ18" i="20"/>
  <c r="SR18" i="20" s="1"/>
  <c r="NL20" i="20"/>
  <c r="NK18" i="20"/>
  <c r="NL18" i="20" s="1"/>
  <c r="TI20" i="20"/>
  <c r="TH18" i="20"/>
  <c r="TI18" i="20" s="1"/>
  <c r="OC20" i="20"/>
  <c r="OB18" i="20"/>
  <c r="OC18" i="20" s="1"/>
  <c r="TZ20" i="20"/>
  <c r="TY18" i="20"/>
  <c r="TZ18" i="20" s="1"/>
  <c r="OT20" i="20"/>
  <c r="OS18" i="20"/>
  <c r="OT18" i="20" s="1"/>
  <c r="PK20" i="20"/>
  <c r="PJ18" i="20"/>
  <c r="PK18" i="20" s="1"/>
  <c r="KE20" i="20"/>
  <c r="KD18" i="20"/>
  <c r="KE18" i="20" s="1"/>
  <c r="EH20" i="20"/>
  <c r="EG18" i="20"/>
  <c r="EH18" i="20" s="1"/>
  <c r="HG21" i="20"/>
  <c r="HH21" i="20" s="1"/>
  <c r="K21" i="20"/>
  <c r="L21" i="20" s="1"/>
  <c r="MM21" i="20"/>
  <c r="MN21" i="20" s="1"/>
  <c r="MN18" i="20"/>
  <c r="KS21" i="20"/>
  <c r="KT21" i="20" s="1"/>
  <c r="KT18" i="20"/>
  <c r="JN20" i="20"/>
  <c r="JM18" i="20"/>
  <c r="JN18" i="20" s="1"/>
  <c r="RS21" i="20"/>
  <c r="RT21" i="20" s="1"/>
  <c r="QS15" i="20"/>
  <c r="QR14" i="20"/>
  <c r="QS14" i="20" s="1"/>
  <c r="LM15" i="20"/>
  <c r="LL14" i="20"/>
  <c r="LM14" i="20" s="1"/>
  <c r="GG15" i="20"/>
  <c r="GF14" i="20"/>
  <c r="GG14" i="20" s="1"/>
  <c r="BA15" i="20"/>
  <c r="AZ14" i="20"/>
  <c r="BA14" i="20" s="1"/>
  <c r="TZ15" i="20"/>
  <c r="TY14" i="20"/>
  <c r="TZ14" i="20" s="1"/>
  <c r="IF15" i="20"/>
  <c r="IE14" i="20"/>
  <c r="IF14" i="20" s="1"/>
  <c r="SA13" i="20"/>
  <c r="RZ12" i="20"/>
  <c r="SA12" i="20" s="1"/>
  <c r="HO13" i="20"/>
  <c r="HN12" i="20"/>
  <c r="HO12" i="20" s="1"/>
  <c r="KV11" i="20"/>
  <c r="KU7" i="20"/>
  <c r="KV7" i="20" s="1"/>
  <c r="QS13" i="20"/>
  <c r="QR12" i="20"/>
  <c r="QS12" i="20" s="1"/>
  <c r="GG13" i="20"/>
  <c r="GF12" i="20"/>
  <c r="GG12" i="20" s="1"/>
  <c r="RJ15" i="20"/>
  <c r="RI14" i="20"/>
  <c r="RJ14" i="20" s="1"/>
  <c r="KE13" i="20"/>
  <c r="KD12" i="20"/>
  <c r="KE12" i="20" s="1"/>
  <c r="S13" i="20"/>
  <c r="R12" i="20"/>
  <c r="S12" i="20" s="1"/>
  <c r="S8" i="20"/>
  <c r="R7" i="20"/>
  <c r="S7" i="20" s="1"/>
  <c r="GF7" i="20"/>
  <c r="GG7" i="20" s="1"/>
  <c r="BS1" i="20"/>
  <c r="OC8" i="20"/>
  <c r="OB7" i="20"/>
  <c r="OC7" i="20" s="1"/>
  <c r="CZ6" i="20"/>
  <c r="CY4" i="20"/>
  <c r="CZ4" i="20" s="1"/>
  <c r="SR5" i="20"/>
  <c r="SQ4" i="20"/>
  <c r="SR4" i="20" s="1"/>
  <c r="NL5" i="20"/>
  <c r="NK4" i="20"/>
  <c r="NL4" i="20" s="1"/>
  <c r="IF5" i="20"/>
  <c r="IE4" i="20"/>
  <c r="IF4" i="20" s="1"/>
  <c r="OT11" i="20"/>
  <c r="OS7" i="20"/>
  <c r="OT7" i="20" s="1"/>
  <c r="SQ14" i="20"/>
  <c r="SR14" i="20" s="1"/>
  <c r="TI13" i="20"/>
  <c r="TH12" i="20"/>
  <c r="TI12" i="20" s="1"/>
  <c r="IW13" i="20"/>
  <c r="IV12" i="20"/>
  <c r="IW12" i="20" s="1"/>
  <c r="RZ7" i="20"/>
  <c r="SA7" i="20" s="1"/>
  <c r="HN7" i="20"/>
  <c r="HO7" i="20" s="1"/>
  <c r="KV20" i="20"/>
  <c r="KU18" i="20"/>
  <c r="KV18" i="20" s="1"/>
  <c r="LM20" i="20"/>
  <c r="LL18" i="20"/>
  <c r="LM18" i="20" s="1"/>
  <c r="SA20" i="20"/>
  <c r="RZ18" i="20"/>
  <c r="SA18" i="20" s="1"/>
  <c r="JW21" i="20"/>
  <c r="JX21" i="20" s="1"/>
  <c r="JX18" i="20"/>
  <c r="OC15" i="20"/>
  <c r="OB14" i="20"/>
  <c r="OC14" i="20" s="1"/>
  <c r="BR15" i="20"/>
  <c r="BQ14" i="20"/>
  <c r="BR14" i="20" s="1"/>
  <c r="EY13" i="20"/>
  <c r="EX12" i="20"/>
  <c r="EY12" i="20" s="1"/>
  <c r="OT15" i="20"/>
  <c r="OS14" i="20"/>
  <c r="OT14" i="20" s="1"/>
  <c r="QB5" i="20"/>
  <c r="QA4" i="20"/>
  <c r="QB4" i="20" s="1"/>
  <c r="MT7" i="20"/>
  <c r="MU7" i="20" s="1"/>
  <c r="NI21" i="20"/>
  <c r="NJ21" i="20" s="1"/>
  <c r="NJ18" i="20"/>
  <c r="EY20" i="20"/>
  <c r="EX18" i="20"/>
  <c r="EY18" i="20" s="1"/>
  <c r="S20" i="20"/>
  <c r="R18" i="20"/>
  <c r="S18" i="20" s="1"/>
  <c r="BR20" i="20"/>
  <c r="BQ18" i="20"/>
  <c r="BR18" i="20" s="1"/>
  <c r="MR21" i="20"/>
  <c r="MS21" i="20" s="1"/>
  <c r="EQ21" i="20"/>
  <c r="ER21" i="20" s="1"/>
  <c r="BJ21" i="20"/>
  <c r="BK21" i="20" s="1"/>
  <c r="BK18" i="20"/>
  <c r="DQ20" i="20"/>
  <c r="DP18" i="20"/>
  <c r="DQ18" i="20" s="1"/>
  <c r="GK21" i="20"/>
  <c r="GL21" i="20" s="1"/>
  <c r="EE21" i="20"/>
  <c r="EF21" i="20" s="1"/>
  <c r="PJ14" i="20"/>
  <c r="PK14" i="20" s="1"/>
  <c r="PK15" i="20"/>
  <c r="KD14" i="20"/>
  <c r="KE14" i="20" s="1"/>
  <c r="KE15" i="20"/>
  <c r="EX14" i="20"/>
  <c r="EY14" i="20" s="1"/>
  <c r="EY15" i="20"/>
  <c r="R14" i="20"/>
  <c r="S14" i="20" s="1"/>
  <c r="S15" i="20"/>
  <c r="QB15" i="20"/>
  <c r="QA14" i="20"/>
  <c r="QB14" i="20" s="1"/>
  <c r="FP15" i="20"/>
  <c r="FO14" i="20"/>
  <c r="FP14" i="20" s="1"/>
  <c r="JM14" i="20"/>
  <c r="JN14" i="20" s="1"/>
  <c r="JN15" i="20"/>
  <c r="AJ11" i="20"/>
  <c r="AI7" i="20"/>
  <c r="AJ7" i="20" s="1"/>
  <c r="PK8" i="20"/>
  <c r="PJ7" i="20"/>
  <c r="PK7" i="20" s="1"/>
  <c r="IW8" i="20"/>
  <c r="IV7" i="20"/>
  <c r="IW7" i="20" s="1"/>
  <c r="BR6" i="20"/>
  <c r="BQ4" i="20"/>
  <c r="BR4" i="20" s="1"/>
  <c r="RJ5" i="20"/>
  <c r="RI4" i="20"/>
  <c r="RJ4" i="20" s="1"/>
  <c r="MD5" i="20"/>
  <c r="MC4" i="20"/>
  <c r="MD4" i="20" s="1"/>
  <c r="GX5" i="20"/>
  <c r="GW4" i="20"/>
  <c r="GX4" i="20" s="1"/>
  <c r="HS21" i="18"/>
  <c r="HT21" i="18" s="1"/>
  <c r="HT18" i="18"/>
  <c r="QB15" i="18"/>
  <c r="QA14" i="18"/>
  <c r="QB14" i="18" s="1"/>
  <c r="AJ15" i="18"/>
  <c r="AI14" i="18"/>
  <c r="AJ14" i="18" s="1"/>
  <c r="KV13" i="18"/>
  <c r="KU12" i="18"/>
  <c r="KV12" i="18" s="1"/>
  <c r="AJ13" i="18"/>
  <c r="AI12" i="18"/>
  <c r="AJ12" i="18" s="1"/>
  <c r="LM8" i="18"/>
  <c r="LL7" i="18"/>
  <c r="LM7" i="18" s="1"/>
  <c r="LL12" i="18"/>
  <c r="LM12" i="18" s="1"/>
  <c r="LM13" i="18"/>
  <c r="CZ5" i="18"/>
  <c r="CY4" i="18"/>
  <c r="CZ4" i="18" s="1"/>
  <c r="AJ5" i="18"/>
  <c r="AI4" i="18"/>
  <c r="AJ4" i="18" s="1"/>
  <c r="TZ20" i="18"/>
  <c r="TY18" i="18"/>
  <c r="TZ18" i="18" s="1"/>
  <c r="OT20" i="18"/>
  <c r="OS18" i="18"/>
  <c r="OT18" i="18" s="1"/>
  <c r="JN20" i="18"/>
  <c r="JM18" i="18"/>
  <c r="JN18" i="18" s="1"/>
  <c r="GX20" i="18"/>
  <c r="GW18" i="18"/>
  <c r="GX18" i="18" s="1"/>
  <c r="BR20" i="18"/>
  <c r="BQ18" i="18"/>
  <c r="BR18" i="18" s="1"/>
  <c r="SR20" i="18"/>
  <c r="SQ18" i="18"/>
  <c r="SR18" i="18" s="1"/>
  <c r="NL20" i="18"/>
  <c r="NK18" i="18"/>
  <c r="NL18" i="18" s="1"/>
  <c r="TI20" i="18"/>
  <c r="TH18" i="18"/>
  <c r="TI18" i="18" s="1"/>
  <c r="OC20" i="18"/>
  <c r="OB18" i="18"/>
  <c r="OC18" i="18" s="1"/>
  <c r="IW20" i="18"/>
  <c r="IV18" i="18"/>
  <c r="IW18" i="18" s="1"/>
  <c r="OG21" i="18"/>
  <c r="OH21" i="18" s="1"/>
  <c r="LQ21" i="18"/>
  <c r="LR21" i="18" s="1"/>
  <c r="GK21" i="18"/>
  <c r="GL21" i="18" s="1"/>
  <c r="FO18" i="18"/>
  <c r="FP18" i="18" s="1"/>
  <c r="FP20" i="18"/>
  <c r="JK21" i="18"/>
  <c r="JL21" i="18" s="1"/>
  <c r="CA21" i="18"/>
  <c r="CB21" i="18" s="1"/>
  <c r="NI21" i="18"/>
  <c r="NJ21" i="18" s="1"/>
  <c r="MA21" i="18"/>
  <c r="MB21" i="18" s="1"/>
  <c r="JF21" i="18"/>
  <c r="JG21" i="18" s="1"/>
  <c r="EY17" i="18"/>
  <c r="EX14" i="18"/>
  <c r="EY14" i="18" s="1"/>
  <c r="EV21" i="18"/>
  <c r="EW21" i="18" s="1"/>
  <c r="TZ13" i="18"/>
  <c r="TY12" i="18"/>
  <c r="TZ12" i="18" s="1"/>
  <c r="OT13" i="18"/>
  <c r="OS12" i="18"/>
  <c r="OT12" i="18" s="1"/>
  <c r="JN13" i="18"/>
  <c r="JM12" i="18"/>
  <c r="JN12" i="18" s="1"/>
  <c r="EH13" i="18"/>
  <c r="EG12" i="18"/>
  <c r="EH12" i="18" s="1"/>
  <c r="OT11" i="18"/>
  <c r="OS7" i="18"/>
  <c r="OT7" i="18" s="1"/>
  <c r="TI15" i="18"/>
  <c r="TH14" i="18"/>
  <c r="TI14" i="18" s="1"/>
  <c r="DQ15" i="18"/>
  <c r="DP14" i="18"/>
  <c r="DQ14" i="18" s="1"/>
  <c r="PK13" i="18"/>
  <c r="PJ12" i="18"/>
  <c r="PK12" i="18" s="1"/>
  <c r="QR14" i="18"/>
  <c r="QS14" i="18" s="1"/>
  <c r="MU8" i="18"/>
  <c r="MT7" i="18"/>
  <c r="MU7" i="18" s="1"/>
  <c r="CI8" i="18"/>
  <c r="CH7" i="18"/>
  <c r="CI7" i="18" s="1"/>
  <c r="RZ14" i="18"/>
  <c r="SA14" i="18" s="1"/>
  <c r="RJ15" i="18"/>
  <c r="RI14" i="18"/>
  <c r="RJ14" i="18" s="1"/>
  <c r="KE15" i="18"/>
  <c r="KD14" i="18"/>
  <c r="KE14" i="18" s="1"/>
  <c r="SA5" i="18"/>
  <c r="RZ4" i="18"/>
  <c r="SA4" i="18" s="1"/>
  <c r="MU5" i="18"/>
  <c r="MT4" i="18"/>
  <c r="MU4" i="18" s="1"/>
  <c r="HO5" i="18"/>
  <c r="HN4" i="18"/>
  <c r="HO4" i="18" s="1"/>
  <c r="CI5" i="18"/>
  <c r="CH4" i="18"/>
  <c r="CI4" i="18" s="1"/>
  <c r="KD7" i="18"/>
  <c r="KE7" i="18" s="1"/>
  <c r="R7" i="18"/>
  <c r="S7" i="18" s="1"/>
  <c r="OC5" i="18"/>
  <c r="OB4" i="18"/>
  <c r="OC4" i="18" s="1"/>
  <c r="IF5" i="18"/>
  <c r="IE4" i="18"/>
  <c r="IF4" i="18" s="1"/>
  <c r="QB8" i="18"/>
  <c r="QA7" i="18"/>
  <c r="QB7" i="18" s="1"/>
  <c r="KV8" i="18"/>
  <c r="KU7" i="18"/>
  <c r="KV7" i="18" s="1"/>
  <c r="EG7" i="18"/>
  <c r="EH7" i="18" s="1"/>
  <c r="OT5" i="18"/>
  <c r="OS4" i="18"/>
  <c r="OT4" i="18" s="1"/>
  <c r="EH5" i="18"/>
  <c r="EG4" i="18"/>
  <c r="EH4" i="18" s="1"/>
  <c r="FP8" i="18"/>
  <c r="FO7" i="18"/>
  <c r="FP7" i="18" s="1"/>
  <c r="RJ5" i="18"/>
  <c r="RI4" i="18"/>
  <c r="RJ4" i="18" s="1"/>
  <c r="GX5" i="18"/>
  <c r="GW4" i="18"/>
  <c r="GX4" i="18" s="1"/>
  <c r="JM7" i="18"/>
  <c r="JN7" i="18" s="1"/>
  <c r="LM5" i="18"/>
  <c r="LL4" i="18"/>
  <c r="LM4" i="18" s="1"/>
  <c r="FP5" i="18"/>
  <c r="FO4" i="18"/>
  <c r="FP4" i="18" s="1"/>
  <c r="MU20" i="18"/>
  <c r="MT18" i="18"/>
  <c r="MU18" i="18" s="1"/>
  <c r="CZ20" i="18"/>
  <c r="CY18" i="18"/>
  <c r="CZ18" i="18" s="1"/>
  <c r="AZ18" i="18"/>
  <c r="BA18" i="18" s="1"/>
  <c r="BA20" i="18"/>
  <c r="W21" i="18"/>
  <c r="X21" i="18" s="1"/>
  <c r="X18" i="18"/>
  <c r="KV15" i="18"/>
  <c r="KU14" i="18"/>
  <c r="KV14" i="18" s="1"/>
  <c r="QB13" i="18"/>
  <c r="QA12" i="18"/>
  <c r="QB12" i="18" s="1"/>
  <c r="FP13" i="18"/>
  <c r="FO12" i="18"/>
  <c r="FP12" i="18" s="1"/>
  <c r="EH15" i="18"/>
  <c r="EG14" i="18"/>
  <c r="EH14" i="18" s="1"/>
  <c r="S13" i="18"/>
  <c r="R12" i="18"/>
  <c r="S12" i="18" s="1"/>
  <c r="R14" i="18"/>
  <c r="S14" i="18" s="1"/>
  <c r="S15" i="18"/>
  <c r="BA8" i="18"/>
  <c r="AZ7" i="18"/>
  <c r="BA7" i="18" s="1"/>
  <c r="IW5" i="18"/>
  <c r="IV4" i="18"/>
  <c r="IW4" i="18" s="1"/>
  <c r="GG5" i="18"/>
  <c r="GF4" i="18"/>
  <c r="GG4" i="18" s="1"/>
  <c r="EY20" i="18"/>
  <c r="EX18" i="18"/>
  <c r="EY18" i="18" s="1"/>
  <c r="S20" i="18"/>
  <c r="R18" i="18"/>
  <c r="S18" i="18" s="1"/>
  <c r="PK20" i="18"/>
  <c r="PJ18" i="18"/>
  <c r="PK18" i="18" s="1"/>
  <c r="KE20" i="18"/>
  <c r="KD18" i="18"/>
  <c r="KE18" i="18" s="1"/>
  <c r="DQ20" i="18"/>
  <c r="DP18" i="18"/>
  <c r="DQ18" i="18" s="1"/>
  <c r="GF18" i="18"/>
  <c r="GG18" i="18" s="1"/>
  <c r="GG20" i="18"/>
  <c r="AI18" i="18"/>
  <c r="AJ18" i="18" s="1"/>
  <c r="AJ20" i="18"/>
  <c r="AG21" i="18"/>
  <c r="AH21" i="18" s="1"/>
  <c r="SR15" i="18"/>
  <c r="SQ14" i="18"/>
  <c r="SR14" i="18" s="1"/>
  <c r="NL15" i="18"/>
  <c r="NK14" i="18"/>
  <c r="NL14" i="18" s="1"/>
  <c r="IF15" i="18"/>
  <c r="IE14" i="18"/>
  <c r="IF14" i="18" s="1"/>
  <c r="CZ15" i="18"/>
  <c r="CY14" i="18"/>
  <c r="CZ14" i="18" s="1"/>
  <c r="SR13" i="18"/>
  <c r="SQ12" i="18"/>
  <c r="SR12" i="18" s="1"/>
  <c r="NL13" i="18"/>
  <c r="NK12" i="18"/>
  <c r="NL12" i="18" s="1"/>
  <c r="IF13" i="18"/>
  <c r="IE12" i="18"/>
  <c r="IF12" i="18" s="1"/>
  <c r="CZ13" i="18"/>
  <c r="CY12" i="18"/>
  <c r="CZ12" i="18" s="1"/>
  <c r="OT15" i="18"/>
  <c r="OS14" i="18"/>
  <c r="OT14" i="18" s="1"/>
  <c r="TZ15" i="18"/>
  <c r="TY14" i="18"/>
  <c r="TZ14" i="18" s="1"/>
  <c r="MD15" i="18"/>
  <c r="MC14" i="18"/>
  <c r="MD14" i="18" s="1"/>
  <c r="KE13" i="18"/>
  <c r="KD12" i="18"/>
  <c r="KE12" i="18" s="1"/>
  <c r="JN15" i="18"/>
  <c r="JM14" i="18"/>
  <c r="JN14" i="18" s="1"/>
  <c r="GF14" i="18"/>
  <c r="GG14" i="18" s="1"/>
  <c r="PJ14" i="18"/>
  <c r="PK14" i="18" s="1"/>
  <c r="HN14" i="18"/>
  <c r="HO14" i="18" s="1"/>
  <c r="GX15" i="18"/>
  <c r="GW14" i="18"/>
  <c r="GX14" i="18" s="1"/>
  <c r="AZ12" i="18"/>
  <c r="BA12" i="18" s="1"/>
  <c r="BA13" i="18"/>
  <c r="QS8" i="18"/>
  <c r="QR7" i="18"/>
  <c r="QS7" i="18" s="1"/>
  <c r="GG8" i="18"/>
  <c r="GF7" i="18"/>
  <c r="GG7" i="18" s="1"/>
  <c r="GF12" i="18"/>
  <c r="GG12" i="18" s="1"/>
  <c r="GG13" i="18"/>
  <c r="TI5" i="18"/>
  <c r="TH4" i="18"/>
  <c r="TI4" i="18" s="1"/>
  <c r="NL5" i="18"/>
  <c r="NK4" i="18"/>
  <c r="NL4" i="18" s="1"/>
  <c r="OB7" i="18"/>
  <c r="OC7" i="18" s="1"/>
  <c r="CY7" i="18"/>
  <c r="CZ7" i="18" s="1"/>
  <c r="SQ7" i="18"/>
  <c r="SR7" i="18" s="1"/>
  <c r="IV7" i="18"/>
  <c r="IW7" i="18" s="1"/>
  <c r="QS5" i="18"/>
  <c r="QR4" i="18"/>
  <c r="QS4" i="18" s="1"/>
  <c r="KV5" i="18"/>
  <c r="KU4" i="18"/>
  <c r="KV4" i="18" s="1"/>
  <c r="HO20" i="18"/>
  <c r="HN18" i="18"/>
  <c r="HO18" i="18" s="1"/>
  <c r="CI20" i="18"/>
  <c r="CH18" i="18"/>
  <c r="CI18" i="18" s="1"/>
  <c r="SA20" i="18"/>
  <c r="RZ18" i="18"/>
  <c r="SA18" i="18" s="1"/>
  <c r="FP15" i="18"/>
  <c r="FO14" i="18"/>
  <c r="FP14" i="18" s="1"/>
  <c r="RJ20" i="18"/>
  <c r="RI18" i="18"/>
  <c r="RJ18" i="18" s="1"/>
  <c r="MD20" i="18"/>
  <c r="MC18" i="18"/>
  <c r="MD18" i="18" s="1"/>
  <c r="EH20" i="18"/>
  <c r="EG18" i="18"/>
  <c r="EH18" i="18" s="1"/>
  <c r="QB20" i="18"/>
  <c r="QA18" i="18"/>
  <c r="QB18" i="18" s="1"/>
  <c r="KV20" i="18"/>
  <c r="KU18" i="18"/>
  <c r="KV18" i="18" s="1"/>
  <c r="QS20" i="18"/>
  <c r="QR18" i="18"/>
  <c r="QS18" i="18" s="1"/>
  <c r="LM20" i="18"/>
  <c r="LL18" i="18"/>
  <c r="LM18" i="18" s="1"/>
  <c r="TM21" i="18"/>
  <c r="TN21" i="18" s="1"/>
  <c r="JA21" i="18"/>
  <c r="JB21" i="18" s="1"/>
  <c r="DU21" i="18"/>
  <c r="DV21" i="18" s="1"/>
  <c r="FC21" i="18"/>
  <c r="FD21" i="18" s="1"/>
  <c r="FD18" i="18"/>
  <c r="CR21" i="18"/>
  <c r="CS21" i="18" s="1"/>
  <c r="PO21" i="18"/>
  <c r="PP21" i="18" s="1"/>
  <c r="PP18" i="18"/>
  <c r="LJ21" i="18"/>
  <c r="LK21" i="18" s="1"/>
  <c r="HG21" i="18"/>
  <c r="HH21" i="18" s="1"/>
  <c r="IW17" i="18"/>
  <c r="IV14" i="18"/>
  <c r="IW14" i="18" s="1"/>
  <c r="KI21" i="18"/>
  <c r="KJ21" i="18" s="1"/>
  <c r="KJ18" i="18"/>
  <c r="RG21" i="18"/>
  <c r="RH21" i="18" s="1"/>
  <c r="OL21" i="18"/>
  <c r="OM21" i="18" s="1"/>
  <c r="LV21" i="18"/>
  <c r="LW21" i="18" s="1"/>
  <c r="RS21" i="18"/>
  <c r="RT21" i="18" s="1"/>
  <c r="TR21" i="18"/>
  <c r="TS21" i="18" s="1"/>
  <c r="BR15" i="18"/>
  <c r="BQ14" i="18"/>
  <c r="BR14" i="18" s="1"/>
  <c r="RJ13" i="18"/>
  <c r="RI12" i="18"/>
  <c r="RJ12" i="18" s="1"/>
  <c r="MD13" i="18"/>
  <c r="MC12" i="18"/>
  <c r="MD12" i="18" s="1"/>
  <c r="GX13" i="18"/>
  <c r="GW12" i="18"/>
  <c r="GX12" i="18" s="1"/>
  <c r="BR13" i="18"/>
  <c r="BQ12" i="18"/>
  <c r="BR12" i="18" s="1"/>
  <c r="MD11" i="18"/>
  <c r="MC7" i="18"/>
  <c r="MD7" i="18" s="1"/>
  <c r="GX11" i="18"/>
  <c r="GW7" i="18"/>
  <c r="GX7" i="18" s="1"/>
  <c r="OC15" i="18"/>
  <c r="OB14" i="18"/>
  <c r="OC14" i="18" s="1"/>
  <c r="LM15" i="18"/>
  <c r="LL14" i="18"/>
  <c r="LM14" i="18" s="1"/>
  <c r="EY13" i="18"/>
  <c r="EX12" i="18"/>
  <c r="EY12" i="18" s="1"/>
  <c r="QR12" i="18"/>
  <c r="QS12" i="18" s="1"/>
  <c r="QS13" i="18"/>
  <c r="SA8" i="18"/>
  <c r="RZ7" i="18"/>
  <c r="SA7" i="18" s="1"/>
  <c r="HO8" i="18"/>
  <c r="HN7" i="18"/>
  <c r="HO7" i="18" s="1"/>
  <c r="PK5" i="18"/>
  <c r="PJ4" i="18"/>
  <c r="PK4" i="18" s="1"/>
  <c r="KE5" i="18"/>
  <c r="KD4" i="18"/>
  <c r="KE4" i="18" s="1"/>
  <c r="EY5" i="18"/>
  <c r="EX4" i="18"/>
  <c r="EY4" i="18" s="1"/>
  <c r="AZ14" i="18"/>
  <c r="BA14" i="18" s="1"/>
  <c r="PJ7" i="18"/>
  <c r="PK7" i="18" s="1"/>
  <c r="EX7" i="18"/>
  <c r="EY7" i="18" s="1"/>
  <c r="BQ7" i="18"/>
  <c r="BR7" i="18" s="1"/>
  <c r="SR5" i="18"/>
  <c r="SQ4" i="18"/>
  <c r="SR4" i="18" s="1"/>
  <c r="DQ5" i="18"/>
  <c r="DP4" i="18"/>
  <c r="DQ4" i="18" s="1"/>
  <c r="TZ9" i="18"/>
  <c r="TY7" i="18"/>
  <c r="TZ7" i="18" s="1"/>
  <c r="RJ9" i="18"/>
  <c r="RI7" i="18"/>
  <c r="RJ7" i="18" s="1"/>
  <c r="AJ8" i="18"/>
  <c r="AI7" i="18"/>
  <c r="AJ7" i="18" s="1"/>
  <c r="TZ5" i="18"/>
  <c r="TY4" i="18"/>
  <c r="TZ4" i="18" s="1"/>
  <c r="JN5" i="18"/>
  <c r="JM4" i="18"/>
  <c r="JN4" i="18" s="1"/>
  <c r="S5" i="18"/>
  <c r="R4" i="18"/>
  <c r="S4" i="18" s="1"/>
  <c r="MD5" i="18"/>
  <c r="MC4" i="18"/>
  <c r="MD4" i="18" s="1"/>
  <c r="BR5" i="18"/>
  <c r="BQ4" i="18"/>
  <c r="BR4" i="18" s="1"/>
  <c r="QB5" i="18"/>
  <c r="QA4" i="18"/>
  <c r="QB4" i="18" s="1"/>
  <c r="BA5" i="18"/>
  <c r="AZ4" i="18"/>
  <c r="BA4" i="18" s="1"/>
  <c r="DA1" i="18"/>
  <c r="NL20" i="16"/>
  <c r="NK18" i="16"/>
  <c r="NL18" i="16" s="1"/>
  <c r="RJ20" i="16"/>
  <c r="RI18" i="16"/>
  <c r="RJ18" i="16" s="1"/>
  <c r="IF20" i="16"/>
  <c r="IE18" i="16"/>
  <c r="IF18" i="16" s="1"/>
  <c r="MA21" i="16"/>
  <c r="MB21" i="16" s="1"/>
  <c r="MB18" i="16"/>
  <c r="GG20" i="16"/>
  <c r="GF18" i="16"/>
  <c r="GG18" i="16" s="1"/>
  <c r="SE21" i="16"/>
  <c r="SF21" i="16" s="1"/>
  <c r="SF18" i="16"/>
  <c r="GL18" i="16"/>
  <c r="GK21" i="16"/>
  <c r="GL21" i="16" s="1"/>
  <c r="BE21" i="16"/>
  <c r="BF21" i="16" s="1"/>
  <c r="BF18" i="16"/>
  <c r="TZ20" i="16"/>
  <c r="TY18" i="16"/>
  <c r="TZ18" i="16" s="1"/>
  <c r="GX20" i="16"/>
  <c r="GW18" i="16"/>
  <c r="GX18" i="16" s="1"/>
  <c r="EQ21" i="16"/>
  <c r="ER21" i="16" s="1"/>
  <c r="ER18" i="16"/>
  <c r="EH16" i="16"/>
  <c r="EG14" i="16"/>
  <c r="EH14" i="16" s="1"/>
  <c r="TZ15" i="16"/>
  <c r="TY14" i="16"/>
  <c r="TZ14" i="16" s="1"/>
  <c r="OT15" i="16"/>
  <c r="OS14" i="16"/>
  <c r="OT14" i="16" s="1"/>
  <c r="JN15" i="16"/>
  <c r="JM14" i="16"/>
  <c r="JN14" i="16" s="1"/>
  <c r="HM18" i="16"/>
  <c r="HL21" i="16"/>
  <c r="HM21" i="16" s="1"/>
  <c r="AS21" i="16"/>
  <c r="AT21" i="16" s="1"/>
  <c r="AT18" i="16"/>
  <c r="CI15" i="16"/>
  <c r="CH14" i="16"/>
  <c r="CI14" i="16" s="1"/>
  <c r="NL13" i="16"/>
  <c r="NK12" i="16"/>
  <c r="NL12" i="16" s="1"/>
  <c r="CI13" i="16"/>
  <c r="CH12" i="16"/>
  <c r="CI12" i="16" s="1"/>
  <c r="HO15" i="16"/>
  <c r="HN14" i="16"/>
  <c r="HO14" i="16" s="1"/>
  <c r="QS13" i="16"/>
  <c r="QR12" i="16"/>
  <c r="QS12" i="16" s="1"/>
  <c r="GG13" i="16"/>
  <c r="GF12" i="16"/>
  <c r="GG12" i="16" s="1"/>
  <c r="LL7" i="16"/>
  <c r="LM7" i="16" s="1"/>
  <c r="OB14" i="16"/>
  <c r="OC14" i="16" s="1"/>
  <c r="OC15" i="16"/>
  <c r="OC13" i="16"/>
  <c r="OB12" i="16"/>
  <c r="OC12" i="16" s="1"/>
  <c r="DQ13" i="16"/>
  <c r="DP12" i="16"/>
  <c r="DQ12" i="16" s="1"/>
  <c r="JN8" i="16"/>
  <c r="JM7" i="16"/>
  <c r="JN7" i="16" s="1"/>
  <c r="TH7" i="16"/>
  <c r="TI7" i="16" s="1"/>
  <c r="OB7" i="16"/>
  <c r="OC7" i="16" s="1"/>
  <c r="IV7" i="16"/>
  <c r="IW7" i="16" s="1"/>
  <c r="NL5" i="16"/>
  <c r="NK4" i="16"/>
  <c r="NL4" i="16" s="1"/>
  <c r="KV5" i="16"/>
  <c r="KU4" i="16"/>
  <c r="KV4" i="16" s="1"/>
  <c r="IF5" i="16"/>
  <c r="IE4" i="16"/>
  <c r="IF4" i="16" s="1"/>
  <c r="SR20" i="16"/>
  <c r="SQ18" i="16"/>
  <c r="SR18" i="16" s="1"/>
  <c r="IW20" i="16"/>
  <c r="IV18" i="16"/>
  <c r="IW18" i="16" s="1"/>
  <c r="KV20" i="16"/>
  <c r="KU18" i="16"/>
  <c r="KV18" i="16" s="1"/>
  <c r="BA20" i="16"/>
  <c r="AZ18" i="16"/>
  <c r="BA18" i="16" s="1"/>
  <c r="QW21" i="16"/>
  <c r="QX21" i="16" s="1"/>
  <c r="QX18" i="16"/>
  <c r="MU20" i="16"/>
  <c r="MT18" i="16"/>
  <c r="MU18" i="16" s="1"/>
  <c r="DI21" i="16"/>
  <c r="DJ21" i="16" s="1"/>
  <c r="DJ18" i="16"/>
  <c r="CZ20" i="16"/>
  <c r="CY18" i="16"/>
  <c r="CZ18" i="16" s="1"/>
  <c r="CZ16" i="16"/>
  <c r="CY14" i="16"/>
  <c r="CZ14" i="16" s="1"/>
  <c r="SR15" i="16"/>
  <c r="SQ14" i="16"/>
  <c r="SR14" i="16" s="1"/>
  <c r="NL15" i="16"/>
  <c r="NK14" i="16"/>
  <c r="NL14" i="16" s="1"/>
  <c r="IF15" i="16"/>
  <c r="IE14" i="16"/>
  <c r="IF14" i="16" s="1"/>
  <c r="AN21" i="16"/>
  <c r="AO21" i="16" s="1"/>
  <c r="AO14" i="16"/>
  <c r="KE15" i="16"/>
  <c r="KD14" i="16"/>
  <c r="KE14" i="16" s="1"/>
  <c r="BA15" i="16"/>
  <c r="AZ14" i="16"/>
  <c r="BA14" i="16" s="1"/>
  <c r="SR13" i="16"/>
  <c r="SQ12" i="16"/>
  <c r="SR12" i="16" s="1"/>
  <c r="HO13" i="16"/>
  <c r="HN12" i="16"/>
  <c r="HO12" i="16" s="1"/>
  <c r="LE21" i="16"/>
  <c r="LF21" i="16" s="1"/>
  <c r="TH14" i="16"/>
  <c r="TI14" i="16" s="1"/>
  <c r="TI15" i="16"/>
  <c r="QR14" i="16"/>
  <c r="QS14" i="16" s="1"/>
  <c r="QS15" i="16"/>
  <c r="PK13" i="16"/>
  <c r="PJ12" i="16"/>
  <c r="PK12" i="16" s="1"/>
  <c r="EY13" i="16"/>
  <c r="EX12" i="16"/>
  <c r="EY12" i="16" s="1"/>
  <c r="QR7" i="16"/>
  <c r="QS7" i="16" s="1"/>
  <c r="FP8" i="16"/>
  <c r="FO7" i="16"/>
  <c r="FP7" i="16" s="1"/>
  <c r="OT8" i="16"/>
  <c r="OS7" i="16"/>
  <c r="OT7" i="16" s="1"/>
  <c r="EX7" i="16"/>
  <c r="EY7" i="16" s="1"/>
  <c r="RI7" i="16"/>
  <c r="RJ7" i="16" s="1"/>
  <c r="RJ13" i="16"/>
  <c r="RI12" i="16"/>
  <c r="RJ12" i="16" s="1"/>
  <c r="GX13" i="16"/>
  <c r="GW12" i="16"/>
  <c r="GX12" i="16" s="1"/>
  <c r="EH8" i="16"/>
  <c r="EG7" i="16"/>
  <c r="EH7" i="16" s="1"/>
  <c r="CZ8" i="16"/>
  <c r="CY7" i="16"/>
  <c r="CZ7" i="16" s="1"/>
  <c r="BR8" i="16"/>
  <c r="BQ7" i="16"/>
  <c r="BR7" i="16" s="1"/>
  <c r="AJ8" i="16"/>
  <c r="AI7" i="16"/>
  <c r="AJ7" i="16" s="1"/>
  <c r="MU5" i="16"/>
  <c r="MT4" i="16"/>
  <c r="MU4" i="16" s="1"/>
  <c r="KE5" i="16"/>
  <c r="KD4" i="16"/>
  <c r="KE4" i="16" s="1"/>
  <c r="HO5" i="16"/>
  <c r="HN4" i="16"/>
  <c r="HO4" i="16" s="1"/>
  <c r="OC20" i="16"/>
  <c r="OB18" i="16"/>
  <c r="OC18" i="16" s="1"/>
  <c r="MD20" i="16"/>
  <c r="MC18" i="16"/>
  <c r="MD18" i="16" s="1"/>
  <c r="HO20" i="16"/>
  <c r="HN18" i="16"/>
  <c r="HO18" i="16" s="1"/>
  <c r="OT20" i="16"/>
  <c r="OS18" i="16"/>
  <c r="OT18" i="16" s="1"/>
  <c r="FP20" i="16"/>
  <c r="FO18" i="16"/>
  <c r="FP18" i="16" s="1"/>
  <c r="MY21" i="16"/>
  <c r="MZ21" i="16" s="1"/>
  <c r="MZ18" i="16"/>
  <c r="RG21" i="16"/>
  <c r="RH21" i="16" s="1"/>
  <c r="RH18" i="16"/>
  <c r="BR20" i="16"/>
  <c r="BQ18" i="16"/>
  <c r="BR18" i="16" s="1"/>
  <c r="SA20" i="16"/>
  <c r="RZ18" i="16"/>
  <c r="SA18" i="16" s="1"/>
  <c r="K21" i="16"/>
  <c r="L21" i="16" s="1"/>
  <c r="L18" i="16"/>
  <c r="BR16" i="16"/>
  <c r="BQ14" i="16"/>
  <c r="BR14" i="16" s="1"/>
  <c r="RJ15" i="16"/>
  <c r="RI14" i="16"/>
  <c r="RJ14" i="16" s="1"/>
  <c r="MD15" i="16"/>
  <c r="MC14" i="16"/>
  <c r="MD14" i="16" s="1"/>
  <c r="GX15" i="16"/>
  <c r="GW14" i="16"/>
  <c r="GX14" i="16" s="1"/>
  <c r="OG21" i="16"/>
  <c r="OH21" i="16" s="1"/>
  <c r="OH18" i="16"/>
  <c r="FY21" i="16"/>
  <c r="FZ21" i="16" s="1"/>
  <c r="FZ18" i="16"/>
  <c r="DU21" i="16"/>
  <c r="DV21" i="16" s="1"/>
  <c r="DV18" i="16"/>
  <c r="TM21" i="16"/>
  <c r="TN21" i="16" s="1"/>
  <c r="S15" i="16"/>
  <c r="R14" i="16"/>
  <c r="S14" i="16" s="1"/>
  <c r="MU13" i="16"/>
  <c r="MT12" i="16"/>
  <c r="MU12" i="16" s="1"/>
  <c r="CZ13" i="16"/>
  <c r="CY12" i="16"/>
  <c r="CZ12" i="16" s="1"/>
  <c r="IV14" i="16"/>
  <c r="IW14" i="16" s="1"/>
  <c r="IW15" i="16"/>
  <c r="LM13" i="16"/>
  <c r="LL12" i="16"/>
  <c r="LM12" i="16" s="1"/>
  <c r="BA13" i="16"/>
  <c r="AZ12" i="16"/>
  <c r="BA12" i="16" s="1"/>
  <c r="GF14" i="16"/>
  <c r="GG14" i="16" s="1"/>
  <c r="GG15" i="16"/>
  <c r="KV8" i="16"/>
  <c r="KU7" i="16"/>
  <c r="KV7" i="16" s="1"/>
  <c r="MT7" i="16"/>
  <c r="MU7" i="16" s="1"/>
  <c r="TI13" i="16"/>
  <c r="TH12" i="16"/>
  <c r="TI12" i="16" s="1"/>
  <c r="IW13" i="16"/>
  <c r="IV12" i="16"/>
  <c r="IW12" i="16" s="1"/>
  <c r="TZ8" i="16"/>
  <c r="TY7" i="16"/>
  <c r="TZ7" i="16" s="1"/>
  <c r="KD7" i="16"/>
  <c r="KE7" i="16" s="1"/>
  <c r="SQ7" i="16"/>
  <c r="SR7" i="16" s="1"/>
  <c r="NK7" i="16"/>
  <c r="NL7" i="16" s="1"/>
  <c r="IE7" i="16"/>
  <c r="IF7" i="16" s="1"/>
  <c r="MD5" i="16"/>
  <c r="MC4" i="16"/>
  <c r="MD4" i="16" s="1"/>
  <c r="JN5" i="16"/>
  <c r="JM4" i="16"/>
  <c r="JN4" i="16" s="1"/>
  <c r="TI20" i="16"/>
  <c r="TH18" i="16"/>
  <c r="TI18" i="16" s="1"/>
  <c r="QB20" i="16"/>
  <c r="QA18" i="16"/>
  <c r="QB18" i="16" s="1"/>
  <c r="CA21" i="16"/>
  <c r="CB21" i="16" s="1"/>
  <c r="CB18" i="16"/>
  <c r="AJ20" i="16"/>
  <c r="AI18" i="16"/>
  <c r="AJ18" i="16" s="1"/>
  <c r="LQ21" i="16"/>
  <c r="LR21" i="16" s="1"/>
  <c r="LR18" i="16"/>
  <c r="AJ16" i="16"/>
  <c r="AI14" i="16"/>
  <c r="AJ14" i="16" s="1"/>
  <c r="QB15" i="16"/>
  <c r="QA14" i="16"/>
  <c r="QB14" i="16" s="1"/>
  <c r="KV15" i="16"/>
  <c r="KU14" i="16"/>
  <c r="KV14" i="16" s="1"/>
  <c r="FP15" i="16"/>
  <c r="FO14" i="16"/>
  <c r="FP14" i="16" s="1"/>
  <c r="JN20" i="16"/>
  <c r="JM18" i="16"/>
  <c r="JN18" i="16" s="1"/>
  <c r="EH20" i="16"/>
  <c r="EG18" i="16"/>
  <c r="EH18" i="16" s="1"/>
  <c r="EY15" i="16"/>
  <c r="EX14" i="16"/>
  <c r="EY14" i="16" s="1"/>
  <c r="LL14" i="16"/>
  <c r="LM14" i="16" s="1"/>
  <c r="LM15" i="16"/>
  <c r="DQ15" i="16"/>
  <c r="DP14" i="16"/>
  <c r="DQ14" i="16" s="1"/>
  <c r="SA13" i="16"/>
  <c r="RZ12" i="16"/>
  <c r="SA12" i="16" s="1"/>
  <c r="IF13" i="16"/>
  <c r="IE12" i="16"/>
  <c r="IF12" i="16" s="1"/>
  <c r="SA15" i="16"/>
  <c r="RZ14" i="16"/>
  <c r="SA14" i="16" s="1"/>
  <c r="ND21" i="16"/>
  <c r="NE21" i="16" s="1"/>
  <c r="NE14" i="16"/>
  <c r="PK15" i="16"/>
  <c r="PJ14" i="16"/>
  <c r="PK14" i="16" s="1"/>
  <c r="KE13" i="16"/>
  <c r="KD12" i="16"/>
  <c r="KE12" i="16" s="1"/>
  <c r="S13" i="16"/>
  <c r="R12" i="16"/>
  <c r="S12" i="16" s="1"/>
  <c r="QB8" i="16"/>
  <c r="QA7" i="16"/>
  <c r="QB7" i="16" s="1"/>
  <c r="GF7" i="16"/>
  <c r="GG7" i="16" s="1"/>
  <c r="MU15" i="16"/>
  <c r="MT14" i="16"/>
  <c r="MU14" i="16" s="1"/>
  <c r="PJ7" i="16"/>
  <c r="PK7" i="16" s="1"/>
  <c r="RZ7" i="16"/>
  <c r="SA7" i="16" s="1"/>
  <c r="HN7" i="16"/>
  <c r="HO7" i="16" s="1"/>
  <c r="SJ21" i="16"/>
  <c r="SK21" i="16" s="1"/>
  <c r="SK14" i="16"/>
  <c r="MD13" i="16"/>
  <c r="MC12" i="16"/>
  <c r="MD12" i="16" s="1"/>
  <c r="BR13" i="16"/>
  <c r="BQ12" i="16"/>
  <c r="BR12" i="16" s="1"/>
  <c r="DQ8" i="16"/>
  <c r="DP7" i="16"/>
  <c r="DQ7" i="16" s="1"/>
  <c r="CI8" i="16"/>
  <c r="CH7" i="16"/>
  <c r="CI7" i="16" s="1"/>
  <c r="BA8" i="16"/>
  <c r="AZ7" i="16"/>
  <c r="BA7" i="16" s="1"/>
  <c r="S8" i="16"/>
  <c r="R7" i="16"/>
  <c r="S7" i="16" s="1"/>
  <c r="OC5" i="16"/>
  <c r="OB4" i="16"/>
  <c r="OC4" i="16" s="1"/>
  <c r="LM5" i="16"/>
  <c r="LL4" i="16"/>
  <c r="LM4" i="16" s="1"/>
  <c r="IW5" i="16"/>
  <c r="IV4" i="16"/>
  <c r="IW4" i="16" s="1"/>
  <c r="BS1" i="16"/>
  <c r="OT20" i="14"/>
  <c r="OS18" i="14"/>
  <c r="OT18" i="14" s="1"/>
  <c r="JN20" i="14"/>
  <c r="JM18" i="14"/>
  <c r="JN18" i="14" s="1"/>
  <c r="EY20" i="14"/>
  <c r="EX18" i="14"/>
  <c r="EY18" i="14" s="1"/>
  <c r="CI20" i="14"/>
  <c r="CH18" i="14"/>
  <c r="CI18" i="14" s="1"/>
  <c r="S20" i="14"/>
  <c r="R18" i="14"/>
  <c r="S18" i="14" s="1"/>
  <c r="QB20" i="14"/>
  <c r="QA18" i="14"/>
  <c r="QB18" i="14" s="1"/>
  <c r="KV20" i="14"/>
  <c r="KU18" i="14"/>
  <c r="KV18" i="14" s="1"/>
  <c r="OC20" i="14"/>
  <c r="OB18" i="14"/>
  <c r="OC18" i="14" s="1"/>
  <c r="IW20" i="14"/>
  <c r="IV18" i="14"/>
  <c r="IW18" i="14" s="1"/>
  <c r="LM15" i="14"/>
  <c r="LL14" i="14"/>
  <c r="LM14" i="14" s="1"/>
  <c r="GG15" i="14"/>
  <c r="GF14" i="14"/>
  <c r="GG14" i="14" s="1"/>
  <c r="CI15" i="14"/>
  <c r="CH14" i="14"/>
  <c r="CI14" i="14" s="1"/>
  <c r="QA12" i="14"/>
  <c r="QB12" i="14" s="1"/>
  <c r="QB13" i="14"/>
  <c r="KU12" i="14"/>
  <c r="KV12" i="14" s="1"/>
  <c r="KV13" i="14"/>
  <c r="FO12" i="14"/>
  <c r="FP12" i="14" s="1"/>
  <c r="FP13" i="14"/>
  <c r="AI12" i="14"/>
  <c r="AJ12" i="14" s="1"/>
  <c r="AJ13" i="14"/>
  <c r="KV15" i="14"/>
  <c r="KU14" i="14"/>
  <c r="KV14" i="14" s="1"/>
  <c r="BQ14" i="14"/>
  <c r="BR14" i="14" s="1"/>
  <c r="BR15" i="14"/>
  <c r="TI15" i="14"/>
  <c r="TH14" i="14"/>
  <c r="TI14" i="14" s="1"/>
  <c r="QS15" i="14"/>
  <c r="QR14" i="14"/>
  <c r="QS14" i="14" s="1"/>
  <c r="JN15" i="14"/>
  <c r="JM14" i="14"/>
  <c r="JN14" i="14" s="1"/>
  <c r="OC13" i="14"/>
  <c r="OB12" i="14"/>
  <c r="OC12" i="14" s="1"/>
  <c r="IW13" i="14"/>
  <c r="IV12" i="14"/>
  <c r="IW12" i="14" s="1"/>
  <c r="CH12" i="14"/>
  <c r="CI12" i="14" s="1"/>
  <c r="CI13" i="14"/>
  <c r="PK15" i="14"/>
  <c r="PJ14" i="14"/>
  <c r="PK14" i="14" s="1"/>
  <c r="SA8" i="14"/>
  <c r="RZ7" i="14"/>
  <c r="SA7" i="14" s="1"/>
  <c r="MU8" i="14"/>
  <c r="MT7" i="14"/>
  <c r="MU7" i="14" s="1"/>
  <c r="HO8" i="14"/>
  <c r="HN7" i="14"/>
  <c r="HO7" i="14" s="1"/>
  <c r="CI8" i="14"/>
  <c r="CH7" i="14"/>
  <c r="CI7" i="14" s="1"/>
  <c r="QB8" i="14"/>
  <c r="QA7" i="14"/>
  <c r="QB7" i="14" s="1"/>
  <c r="KV8" i="14"/>
  <c r="KU7" i="14"/>
  <c r="KV7" i="14" s="1"/>
  <c r="FP8" i="14"/>
  <c r="FO7" i="14"/>
  <c r="FP7" i="14" s="1"/>
  <c r="CY7" i="14"/>
  <c r="CZ7" i="14" s="1"/>
  <c r="CZ8" i="14"/>
  <c r="AI7" i="14"/>
  <c r="AJ7" i="14" s="1"/>
  <c r="AJ8" i="14"/>
  <c r="TI5" i="14"/>
  <c r="TH4" i="14"/>
  <c r="TI4" i="14" s="1"/>
  <c r="SA5" i="14"/>
  <c r="RZ4" i="14"/>
  <c r="SA4" i="14" s="1"/>
  <c r="QS5" i="14"/>
  <c r="QR4" i="14"/>
  <c r="QS4" i="14" s="1"/>
  <c r="PK5" i="14"/>
  <c r="PJ4" i="14"/>
  <c r="PK4" i="14" s="1"/>
  <c r="OC5" i="14"/>
  <c r="OB4" i="14"/>
  <c r="OC4" i="14" s="1"/>
  <c r="MU5" i="14"/>
  <c r="MT4" i="14"/>
  <c r="MU4" i="14" s="1"/>
  <c r="LM5" i="14"/>
  <c r="LL4" i="14"/>
  <c r="LM4" i="14" s="1"/>
  <c r="KE5" i="14"/>
  <c r="KD4" i="14"/>
  <c r="KE4" i="14" s="1"/>
  <c r="IW5" i="14"/>
  <c r="IV4" i="14"/>
  <c r="IW4" i="14" s="1"/>
  <c r="DQ5" i="14"/>
  <c r="DP4" i="14"/>
  <c r="DQ4" i="14" s="1"/>
  <c r="FP5" i="14"/>
  <c r="FO4" i="14"/>
  <c r="FP4" i="14" s="1"/>
  <c r="SR20" i="14"/>
  <c r="SQ18" i="14"/>
  <c r="SR18" i="14" s="1"/>
  <c r="SA20" i="14"/>
  <c r="RZ18" i="14"/>
  <c r="SA18" i="14" s="1"/>
  <c r="MU20" i="14"/>
  <c r="MT18" i="14"/>
  <c r="MU18" i="14" s="1"/>
  <c r="IF20" i="14"/>
  <c r="IE18" i="14"/>
  <c r="IF18" i="14" s="1"/>
  <c r="EH20" i="14"/>
  <c r="EG18" i="14"/>
  <c r="EH18" i="14" s="1"/>
  <c r="BR20" i="14"/>
  <c r="BQ18" i="14"/>
  <c r="BR18" i="14" s="1"/>
  <c r="QB15" i="14"/>
  <c r="QA14" i="14"/>
  <c r="QB14" i="14" s="1"/>
  <c r="KE15" i="14"/>
  <c r="KD14" i="14"/>
  <c r="KE14" i="14" s="1"/>
  <c r="EY15" i="14"/>
  <c r="EX14" i="14"/>
  <c r="EY14" i="14" s="1"/>
  <c r="MD15" i="14"/>
  <c r="MC14" i="14"/>
  <c r="MD14" i="14" s="1"/>
  <c r="OS12" i="14"/>
  <c r="OT12" i="14" s="1"/>
  <c r="OT13" i="14"/>
  <c r="JM12" i="14"/>
  <c r="JN12" i="14" s="1"/>
  <c r="JN13" i="14"/>
  <c r="EG12" i="14"/>
  <c r="EH12" i="14" s="1"/>
  <c r="EH13" i="14"/>
  <c r="FO14" i="14"/>
  <c r="FP14" i="14" s="1"/>
  <c r="FP15" i="14"/>
  <c r="AI14" i="14"/>
  <c r="AJ14" i="14" s="1"/>
  <c r="AJ15" i="14"/>
  <c r="SA13" i="14"/>
  <c r="RZ12" i="14"/>
  <c r="SA12" i="14" s="1"/>
  <c r="MU13" i="14"/>
  <c r="MT12" i="14"/>
  <c r="MU12" i="14" s="1"/>
  <c r="HN12" i="14"/>
  <c r="HO12" i="14" s="1"/>
  <c r="HO13" i="14"/>
  <c r="EX12" i="14"/>
  <c r="EY12" i="14" s="1"/>
  <c r="EY13" i="14"/>
  <c r="AZ12" i="14"/>
  <c r="BA12" i="14" s="1"/>
  <c r="BA13" i="14"/>
  <c r="TY12" i="14"/>
  <c r="TZ12" i="14" s="1"/>
  <c r="TZ13" i="14"/>
  <c r="QS8" i="14"/>
  <c r="QR7" i="14"/>
  <c r="QS7" i="14" s="1"/>
  <c r="LM8" i="14"/>
  <c r="LL7" i="14"/>
  <c r="LM7" i="14" s="1"/>
  <c r="GG8" i="14"/>
  <c r="GF7" i="14"/>
  <c r="GG7" i="14" s="1"/>
  <c r="BA8" i="14"/>
  <c r="AZ7" i="14"/>
  <c r="BA7" i="14" s="1"/>
  <c r="TZ8" i="14"/>
  <c r="TY7" i="14"/>
  <c r="TZ7" i="14" s="1"/>
  <c r="OT8" i="14"/>
  <c r="OS7" i="14"/>
  <c r="OT7" i="14" s="1"/>
  <c r="JN8" i="14"/>
  <c r="JM7" i="14"/>
  <c r="JN7" i="14" s="1"/>
  <c r="BS1" i="14"/>
  <c r="EH5" i="14"/>
  <c r="EG4" i="14"/>
  <c r="EH4" i="14" s="1"/>
  <c r="HO5" i="14"/>
  <c r="HN4" i="14"/>
  <c r="HO4" i="14" s="1"/>
  <c r="RJ20" i="14"/>
  <c r="RI18" i="14"/>
  <c r="RJ18" i="14" s="1"/>
  <c r="MD20" i="14"/>
  <c r="MC18" i="14"/>
  <c r="MD18" i="14" s="1"/>
  <c r="HO20" i="14"/>
  <c r="HN18" i="14"/>
  <c r="HO18" i="14" s="1"/>
  <c r="DQ20" i="14"/>
  <c r="DP18" i="14"/>
  <c r="DQ18" i="14" s="1"/>
  <c r="BA20" i="14"/>
  <c r="AZ18" i="14"/>
  <c r="BA18" i="14" s="1"/>
  <c r="NL20" i="14"/>
  <c r="NK18" i="14"/>
  <c r="NL18" i="14" s="1"/>
  <c r="QS20" i="14"/>
  <c r="QR18" i="14"/>
  <c r="QS18" i="14" s="1"/>
  <c r="LM20" i="14"/>
  <c r="LL18" i="14"/>
  <c r="LM18" i="14" s="1"/>
  <c r="MH21" i="14"/>
  <c r="MI21" i="14" s="1"/>
  <c r="MI18" i="14"/>
  <c r="OC15" i="14"/>
  <c r="OB14" i="14"/>
  <c r="OC14" i="14" s="1"/>
  <c r="IW15" i="14"/>
  <c r="IV14" i="14"/>
  <c r="IW14" i="14" s="1"/>
  <c r="DQ15" i="14"/>
  <c r="DP14" i="14"/>
  <c r="DQ14" i="14" s="1"/>
  <c r="BA15" i="14"/>
  <c r="AZ14" i="14"/>
  <c r="BA14" i="14" s="1"/>
  <c r="SA15" i="14"/>
  <c r="RZ14" i="14"/>
  <c r="SA14" i="14" s="1"/>
  <c r="GW14" i="14"/>
  <c r="GX14" i="14" s="1"/>
  <c r="GX15" i="14"/>
  <c r="TI13" i="14"/>
  <c r="TH12" i="14"/>
  <c r="TI12" i="14" s="1"/>
  <c r="NK12" i="14"/>
  <c r="NL12" i="14" s="1"/>
  <c r="NL13" i="14"/>
  <c r="IE12" i="14"/>
  <c r="IF12" i="14" s="1"/>
  <c r="IF13" i="14"/>
  <c r="CY12" i="14"/>
  <c r="CZ12" i="14" s="1"/>
  <c r="CZ13" i="14"/>
  <c r="EG14" i="14"/>
  <c r="EH14" i="14" s="1"/>
  <c r="EH15" i="14"/>
  <c r="SQ12" i="14"/>
  <c r="SR12" i="14" s="1"/>
  <c r="SR13" i="14"/>
  <c r="QS13" i="14"/>
  <c r="QR12" i="14"/>
  <c r="QS12" i="14" s="1"/>
  <c r="LM13" i="14"/>
  <c r="LL12" i="14"/>
  <c r="LM12" i="14" s="1"/>
  <c r="R12" i="14"/>
  <c r="S12" i="14" s="1"/>
  <c r="S13" i="14"/>
  <c r="RJ15" i="14"/>
  <c r="RI14" i="14"/>
  <c r="RJ14" i="14" s="1"/>
  <c r="NL15" i="14"/>
  <c r="NK14" i="14"/>
  <c r="NL14" i="14" s="1"/>
  <c r="PK8" i="14"/>
  <c r="PJ7" i="14"/>
  <c r="PK7" i="14" s="1"/>
  <c r="KE8" i="14"/>
  <c r="KD7" i="14"/>
  <c r="KE7" i="14" s="1"/>
  <c r="EY8" i="14"/>
  <c r="EX7" i="14"/>
  <c r="EY7" i="14" s="1"/>
  <c r="S8" i="14"/>
  <c r="R7" i="14"/>
  <c r="S7" i="14" s="1"/>
  <c r="SR8" i="14"/>
  <c r="SQ7" i="14"/>
  <c r="SR7" i="14" s="1"/>
  <c r="NL8" i="14"/>
  <c r="NK7" i="14"/>
  <c r="NL7" i="14" s="1"/>
  <c r="IF8" i="14"/>
  <c r="IE7" i="14"/>
  <c r="IF7" i="14" s="1"/>
  <c r="EG7" i="14"/>
  <c r="EH7" i="14" s="1"/>
  <c r="EH8" i="14"/>
  <c r="BQ7" i="14"/>
  <c r="BR7" i="14" s="1"/>
  <c r="BR8" i="14"/>
  <c r="SR5" i="14"/>
  <c r="SQ4" i="14"/>
  <c r="SR4" i="14" s="1"/>
  <c r="RJ5" i="14"/>
  <c r="RI4" i="14"/>
  <c r="RJ4" i="14" s="1"/>
  <c r="QB5" i="14"/>
  <c r="QA4" i="14"/>
  <c r="QB4" i="14" s="1"/>
  <c r="OT5" i="14"/>
  <c r="OS4" i="14"/>
  <c r="OT4" i="14" s="1"/>
  <c r="NL5" i="14"/>
  <c r="NK4" i="14"/>
  <c r="NL4" i="14" s="1"/>
  <c r="MD5" i="14"/>
  <c r="MC4" i="14"/>
  <c r="MD4" i="14" s="1"/>
  <c r="KV5" i="14"/>
  <c r="KU4" i="14"/>
  <c r="KV4" i="14" s="1"/>
  <c r="JN5" i="14"/>
  <c r="JM4" i="14"/>
  <c r="JN4" i="14" s="1"/>
  <c r="GG5" i="14"/>
  <c r="GF4" i="14"/>
  <c r="GG4" i="14" s="1"/>
  <c r="IF5" i="14"/>
  <c r="IE4" i="14"/>
  <c r="IF4" i="14" s="1"/>
  <c r="CZ5" i="14"/>
  <c r="CY4" i="14"/>
  <c r="CZ4" i="14" s="1"/>
  <c r="EY5" i="14"/>
  <c r="EX4" i="14"/>
  <c r="EY4" i="14" s="1"/>
  <c r="GG20" i="14"/>
  <c r="GF18" i="14"/>
  <c r="GG18" i="14" s="1"/>
  <c r="PK20" i="14"/>
  <c r="PJ18" i="14"/>
  <c r="PK18" i="14" s="1"/>
  <c r="KE20" i="14"/>
  <c r="KD18" i="14"/>
  <c r="KE18" i="14" s="1"/>
  <c r="FP20" i="14"/>
  <c r="FO18" i="14"/>
  <c r="FP18" i="14" s="1"/>
  <c r="CZ20" i="14"/>
  <c r="CY18" i="14"/>
  <c r="CZ18" i="14" s="1"/>
  <c r="AJ20" i="14"/>
  <c r="AI18" i="14"/>
  <c r="AJ18" i="14" s="1"/>
  <c r="TZ15" i="14"/>
  <c r="TY14" i="14"/>
  <c r="TZ14" i="14" s="1"/>
  <c r="SR15" i="14"/>
  <c r="SQ14" i="14"/>
  <c r="SR14" i="14" s="1"/>
  <c r="MU15" i="14"/>
  <c r="MT14" i="14"/>
  <c r="MU14" i="14" s="1"/>
  <c r="HO15" i="14"/>
  <c r="HN14" i="14"/>
  <c r="HO14" i="14" s="1"/>
  <c r="S15" i="14"/>
  <c r="R14" i="14"/>
  <c r="S14" i="14" s="1"/>
  <c r="RI12" i="14"/>
  <c r="RJ12" i="14" s="1"/>
  <c r="RJ13" i="14"/>
  <c r="MC12" i="14"/>
  <c r="MD12" i="14" s="1"/>
  <c r="MD13" i="14"/>
  <c r="GW12" i="14"/>
  <c r="GX12" i="14" s="1"/>
  <c r="GX13" i="14"/>
  <c r="BQ12" i="14"/>
  <c r="BR12" i="14" s="1"/>
  <c r="BR13" i="14"/>
  <c r="CY14" i="14"/>
  <c r="CZ14" i="14" s="1"/>
  <c r="CZ15" i="14"/>
  <c r="OT15" i="14"/>
  <c r="OS14" i="14"/>
  <c r="OT14" i="14" s="1"/>
  <c r="PK13" i="14"/>
  <c r="PJ12" i="14"/>
  <c r="PK12" i="14" s="1"/>
  <c r="KE13" i="14"/>
  <c r="KD12" i="14"/>
  <c r="KE12" i="14" s="1"/>
  <c r="GF12" i="14"/>
  <c r="GG12" i="14" s="1"/>
  <c r="GG13" i="14"/>
  <c r="DP12" i="14"/>
  <c r="DQ12" i="14" s="1"/>
  <c r="DQ13" i="14"/>
  <c r="IF15" i="14"/>
  <c r="IE14" i="14"/>
  <c r="IF14" i="14" s="1"/>
  <c r="TI8" i="14"/>
  <c r="TH7" i="14"/>
  <c r="TI7" i="14" s="1"/>
  <c r="OC8" i="14"/>
  <c r="OB7" i="14"/>
  <c r="OC7" i="14" s="1"/>
  <c r="IW8" i="14"/>
  <c r="IV7" i="14"/>
  <c r="IW7" i="14" s="1"/>
  <c r="DQ8" i="14"/>
  <c r="DP7" i="14"/>
  <c r="DQ7" i="14" s="1"/>
  <c r="RJ8" i="14"/>
  <c r="RI7" i="14"/>
  <c r="RJ7" i="14" s="1"/>
  <c r="MD8" i="14"/>
  <c r="MC7" i="14"/>
  <c r="MD7" i="14" s="1"/>
  <c r="GX8" i="14"/>
  <c r="GW7" i="14"/>
  <c r="GX7" i="14" s="1"/>
  <c r="GX5" i="14"/>
  <c r="GW4" i="14"/>
  <c r="GX4" i="14" s="1"/>
  <c r="BR5" i="14"/>
  <c r="BQ4" i="14"/>
  <c r="BR4" i="14" s="1"/>
  <c r="CI5" i="14"/>
  <c r="CH4" i="14"/>
  <c r="CI4" i="14" s="1"/>
  <c r="CJ1" i="20" l="1"/>
  <c r="DR1" i="18"/>
  <c r="CJ1" i="16"/>
  <c r="CJ1" i="14"/>
  <c r="DA1" i="20" l="1"/>
  <c r="EI1" i="18"/>
  <c r="DA1" i="16"/>
  <c r="DA1" i="14"/>
  <c r="DR1" i="20" l="1"/>
  <c r="EZ1" i="18"/>
  <c r="DR1" i="16"/>
  <c r="DR1" i="14"/>
  <c r="EI1" i="20" l="1"/>
  <c r="FQ1" i="18"/>
  <c r="EI1" i="16"/>
  <c r="EI1" i="14"/>
  <c r="EZ1" i="20" l="1"/>
  <c r="GH1" i="18"/>
  <c r="EZ1" i="16"/>
  <c r="EZ1" i="14"/>
  <c r="FQ1" i="20" l="1"/>
  <c r="GY1" i="18"/>
  <c r="FQ1" i="16"/>
  <c r="FQ1" i="14"/>
  <c r="GH1" i="20" l="1"/>
  <c r="HP1" i="18"/>
  <c r="GH1" i="16"/>
  <c r="GH1" i="14"/>
  <c r="GY1" i="20" l="1"/>
  <c r="IG1" i="18"/>
  <c r="GY1" i="16"/>
  <c r="GY1" i="14"/>
  <c r="HP1" i="20" l="1"/>
  <c r="IX1" i="18"/>
  <c r="HP1" i="16"/>
  <c r="HP1" i="14"/>
  <c r="IG1" i="20" l="1"/>
  <c r="JO1" i="18"/>
  <c r="IG1" i="16"/>
  <c r="IG1" i="14"/>
  <c r="IX1" i="20" l="1"/>
  <c r="KF1" i="18"/>
  <c r="IX1" i="16"/>
  <c r="IX1" i="14"/>
  <c r="JO1" i="20" l="1"/>
  <c r="KW1" i="18"/>
  <c r="JO1" i="16"/>
  <c r="JO1" i="14"/>
  <c r="KF1" i="20" l="1"/>
  <c r="LN1" i="18"/>
  <c r="KF1" i="16"/>
  <c r="KF1" i="14"/>
  <c r="KW1" i="20" l="1"/>
  <c r="ME1" i="18"/>
  <c r="KW1" i="16"/>
  <c r="KW1" i="14"/>
  <c r="LN1" i="20" l="1"/>
  <c r="MV1" i="18"/>
  <c r="LN1" i="16"/>
  <c r="LN1" i="14"/>
  <c r="ME1" i="20" l="1"/>
  <c r="NM1" i="18"/>
  <c r="ME1" i="16"/>
  <c r="ME1" i="14"/>
  <c r="MV1" i="20" l="1"/>
  <c r="OD1" i="18"/>
  <c r="MV1" i="16"/>
  <c r="MV1" i="14"/>
  <c r="NM1" i="20" l="1"/>
  <c r="OU1" i="18"/>
  <c r="NM1" i="16"/>
  <c r="NM1" i="14"/>
  <c r="OD1" i="20" l="1"/>
  <c r="PL1" i="18"/>
  <c r="OD1" i="16"/>
  <c r="OD1" i="14"/>
  <c r="OU1" i="20" l="1"/>
  <c r="QC1" i="18"/>
  <c r="OU1" i="16"/>
  <c r="OU1" i="14"/>
  <c r="PL1" i="20" l="1"/>
  <c r="QT1" i="18"/>
  <c r="PL1" i="16"/>
  <c r="PL1" i="14"/>
  <c r="QC1" i="20" l="1"/>
  <c r="RK1" i="18"/>
  <c r="QC1" i="16"/>
  <c r="QC1" i="14"/>
  <c r="QT1" i="20" l="1"/>
  <c r="SB1" i="18"/>
  <c r="QT1" i="16"/>
  <c r="QT1" i="14"/>
  <c r="RK1" i="20" l="1"/>
  <c r="SS1" i="18"/>
  <c r="RK1" i="16"/>
  <c r="RK1" i="14"/>
  <c r="O12" i="19"/>
  <c r="J6" i="19"/>
  <c r="I24" i="17"/>
  <c r="N20" i="19"/>
  <c r="P12" i="19"/>
  <c r="K23" i="19"/>
  <c r="L26" i="19"/>
  <c r="Q30" i="15"/>
  <c r="C7" i="15"/>
  <c r="T29" i="13"/>
  <c r="A21" i="13"/>
  <c r="D14" i="15"/>
  <c r="O5" i="13"/>
  <c r="N22" i="19"/>
  <c r="H4" i="17"/>
  <c r="D30" i="13"/>
  <c r="U17" i="19"/>
  <c r="J11" i="19"/>
  <c r="N11" i="15"/>
  <c r="U34" i="19"/>
  <c r="M15" i="17"/>
  <c r="J32" i="19"/>
  <c r="Q15" i="13"/>
  <c r="S28" i="13"/>
  <c r="K31" i="17"/>
  <c r="G34" i="19"/>
  <c r="E33" i="17"/>
  <c r="J27" i="19"/>
  <c r="E20" i="13"/>
  <c r="S12" i="17"/>
  <c r="Q5" i="13"/>
  <c r="C26" i="13"/>
  <c r="A17" i="13"/>
  <c r="E19" i="15"/>
  <c r="T14" i="15"/>
  <c r="E4" i="17"/>
  <c r="A17" i="19"/>
  <c r="J19" i="15"/>
  <c r="R23" i="17"/>
  <c r="X23" i="13"/>
  <c r="K24" i="17"/>
  <c r="P19" i="15"/>
  <c r="S27" i="19"/>
  <c r="N25" i="13"/>
  <c r="X9" i="19"/>
  <c r="Y11" i="15"/>
  <c r="Y30" i="13"/>
  <c r="V21" i="19"/>
  <c r="T7" i="19"/>
  <c r="S6" i="13"/>
  <c r="I10" i="17"/>
  <c r="V26" i="15"/>
  <c r="H26" i="17"/>
  <c r="U30" i="17"/>
  <c r="Q7" i="19"/>
  <c r="Y29" i="17"/>
  <c r="K12" i="13"/>
  <c r="O30" i="19"/>
  <c r="R25" i="17"/>
  <c r="T34" i="19"/>
  <c r="R27" i="15"/>
  <c r="T27" i="19"/>
  <c r="P31" i="19"/>
  <c r="P17" i="15"/>
  <c r="V11" i="13"/>
  <c r="A28" i="17"/>
  <c r="X13" i="19"/>
  <c r="A6" i="17"/>
  <c r="V7" i="17"/>
  <c r="K25" i="19"/>
  <c r="A28" i="13"/>
  <c r="W22" i="19"/>
  <c r="S16" i="13"/>
  <c r="W33" i="19"/>
  <c r="V5" i="19"/>
  <c r="Y23" i="17"/>
  <c r="G29" i="17"/>
  <c r="B16" i="19"/>
  <c r="M33" i="17"/>
  <c r="V26" i="17"/>
  <c r="J20" i="15"/>
  <c r="Q10" i="13"/>
  <c r="O9" i="19"/>
  <c r="U14" i="17"/>
  <c r="Y31" i="17"/>
  <c r="A24" i="15"/>
  <c r="O32" i="17"/>
  <c r="E28" i="19"/>
  <c r="P21" i="15"/>
  <c r="D32" i="19"/>
  <c r="B17" i="17"/>
  <c r="X18" i="13"/>
  <c r="S18" i="19"/>
  <c r="N31" i="19"/>
  <c r="D19" i="19"/>
  <c r="G33" i="17"/>
  <c r="D14" i="19"/>
  <c r="S30" i="13"/>
  <c r="H21" i="15"/>
  <c r="B18" i="13"/>
  <c r="M6" i="17"/>
  <c r="J14" i="19"/>
  <c r="W5" i="13"/>
  <c r="F27" i="17"/>
  <c r="B34" i="19"/>
  <c r="C10" i="13"/>
  <c r="A9" i="13"/>
  <c r="F31" i="19"/>
  <c r="S6" i="15"/>
  <c r="H33" i="17"/>
  <c r="O18" i="17"/>
  <c r="S10" i="19"/>
  <c r="R30" i="15"/>
  <c r="T5" i="17"/>
  <c r="Q9" i="13"/>
  <c r="E17" i="19"/>
  <c r="F11" i="19"/>
  <c r="K17" i="17"/>
  <c r="L10" i="17"/>
  <c r="U17" i="13"/>
  <c r="J24" i="13"/>
  <c r="X32" i="17"/>
  <c r="X17" i="13"/>
  <c r="J29" i="19"/>
  <c r="K8" i="19"/>
  <c r="W16" i="13"/>
  <c r="B20" i="17"/>
  <c r="D34" i="19"/>
  <c r="J29" i="13"/>
  <c r="S35" i="19"/>
  <c r="S20" i="19"/>
  <c r="M29" i="19"/>
  <c r="Q16" i="15"/>
  <c r="A20" i="17"/>
  <c r="R24" i="17"/>
  <c r="N17" i="17"/>
  <c r="A34" i="19"/>
  <c r="O4" i="15"/>
  <c r="B5" i="19"/>
  <c r="M34" i="19"/>
  <c r="Q31" i="17"/>
  <c r="A11" i="13"/>
  <c r="E8" i="19"/>
  <c r="W24" i="17"/>
  <c r="N21" i="15"/>
  <c r="F23" i="19"/>
  <c r="R21" i="13"/>
  <c r="U6" i="15"/>
  <c r="W17" i="15"/>
  <c r="I10" i="13"/>
  <c r="K10" i="17"/>
  <c r="Q19" i="13"/>
  <c r="M23" i="15"/>
  <c r="I28" i="19"/>
  <c r="R22" i="19"/>
  <c r="H11" i="19"/>
  <c r="K29" i="15"/>
  <c r="T16" i="19"/>
  <c r="C23" i="15"/>
  <c r="Q24" i="17"/>
  <c r="T25" i="17"/>
  <c r="G27" i="19"/>
  <c r="A13" i="15"/>
  <c r="X30" i="17"/>
  <c r="A33" i="17"/>
  <c r="V11" i="19"/>
  <c r="W16" i="19"/>
  <c r="J27" i="17"/>
  <c r="N29" i="19"/>
  <c r="F18" i="13"/>
  <c r="T5" i="19"/>
  <c r="S12" i="19"/>
  <c r="F12" i="19"/>
  <c r="W18" i="15"/>
  <c r="S5" i="19"/>
  <c r="W27" i="19"/>
  <c r="O17" i="19"/>
  <c r="Y27" i="19"/>
  <c r="W18" i="17"/>
  <c r="O5" i="19"/>
  <c r="H16" i="17"/>
  <c r="T31" i="19"/>
  <c r="R30" i="13"/>
  <c r="I5" i="17"/>
  <c r="H5" i="15"/>
  <c r="B11" i="13"/>
  <c r="S10" i="17"/>
  <c r="Q18" i="17"/>
  <c r="B5" i="17"/>
  <c r="P19" i="17"/>
  <c r="H5" i="19"/>
  <c r="F11" i="17"/>
  <c r="F34" i="19"/>
  <c r="P16" i="19"/>
  <c r="P17" i="13"/>
  <c r="F17" i="13"/>
  <c r="X18" i="19"/>
  <c r="L4" i="19"/>
  <c r="K18" i="13"/>
  <c r="K5" i="19"/>
  <c r="A24" i="13"/>
  <c r="M23" i="13"/>
  <c r="H35" i="19"/>
  <c r="K20" i="15"/>
  <c r="X6" i="17"/>
  <c r="Q11" i="19"/>
  <c r="H34" i="19"/>
  <c r="H23" i="17"/>
  <c r="E34" i="19"/>
  <c r="C23" i="13"/>
  <c r="B25" i="19"/>
  <c r="M22" i="19"/>
  <c r="O25" i="19"/>
  <c r="Y29" i="15"/>
  <c r="I24" i="19"/>
  <c r="P6" i="13"/>
  <c r="H8" i="13"/>
  <c r="B25" i="13"/>
  <c r="M12" i="19"/>
  <c r="E23" i="13"/>
  <c r="W20" i="13"/>
  <c r="R28" i="13"/>
  <c r="R28" i="17"/>
  <c r="K7" i="19"/>
  <c r="R19" i="17"/>
  <c r="W28" i="19"/>
  <c r="H25" i="15"/>
  <c r="W21" i="17"/>
  <c r="W19" i="17"/>
  <c r="F9" i="13"/>
  <c r="D21" i="19"/>
  <c r="N20" i="17"/>
  <c r="Q13" i="15"/>
  <c r="V25" i="17"/>
  <c r="Q17" i="19"/>
  <c r="X15" i="19"/>
  <c r="D13" i="13"/>
  <c r="U8" i="15"/>
  <c r="A27" i="19"/>
  <c r="W29" i="13"/>
  <c r="Q4" i="19"/>
  <c r="B12" i="13"/>
  <c r="N18" i="15"/>
  <c r="O21" i="13"/>
  <c r="J16" i="13"/>
  <c r="X9" i="15"/>
  <c r="S17" i="19"/>
  <c r="M8" i="15"/>
  <c r="I12" i="15"/>
  <c r="T7" i="17"/>
  <c r="A22" i="13"/>
  <c r="O16" i="15"/>
  <c r="I26" i="13"/>
  <c r="C11" i="19"/>
  <c r="C30" i="19"/>
  <c r="S24" i="19"/>
  <c r="G18" i="17"/>
  <c r="F35" i="19"/>
  <c r="D18" i="19"/>
  <c r="C28" i="19"/>
  <c r="O20" i="17"/>
  <c r="R16" i="15"/>
  <c r="Y27" i="13"/>
  <c r="V24" i="19"/>
  <c r="P14" i="17"/>
  <c r="I34" i="19"/>
  <c r="U32" i="19"/>
  <c r="I4" i="15"/>
  <c r="D29" i="17"/>
  <c r="M29" i="13"/>
  <c r="Q14" i="13"/>
  <c r="C17" i="19"/>
  <c r="H14" i="17"/>
  <c r="B27" i="19"/>
  <c r="W8" i="17"/>
  <c r="B7" i="19"/>
  <c r="A15" i="15"/>
  <c r="D20" i="13"/>
  <c r="M17" i="15"/>
  <c r="T14" i="13"/>
  <c r="I30" i="19"/>
  <c r="A31" i="17"/>
  <c r="I26" i="19"/>
  <c r="I22" i="19"/>
  <c r="J8" i="19"/>
  <c r="D25" i="13"/>
  <c r="G9" i="19"/>
  <c r="Y32" i="17"/>
  <c r="X31" i="17"/>
  <c r="A7" i="13"/>
  <c r="N11" i="19"/>
  <c r="X33" i="19"/>
  <c r="O7" i="19"/>
  <c r="F10" i="17"/>
  <c r="S20" i="15"/>
  <c r="O16" i="19"/>
  <c r="E19" i="19"/>
  <c r="V16" i="19"/>
  <c r="B10" i="17"/>
  <c r="W7" i="15"/>
  <c r="F20" i="17"/>
  <c r="P19" i="19"/>
  <c r="U27" i="15"/>
  <c r="I12" i="17"/>
  <c r="B9" i="19"/>
  <c r="D4" i="17"/>
  <c r="Y25" i="15"/>
  <c r="O25" i="17"/>
  <c r="H31" i="17"/>
  <c r="R26" i="15"/>
  <c r="E14" i="19"/>
  <c r="I35" i="19"/>
  <c r="N10" i="19"/>
  <c r="E19" i="17"/>
  <c r="A30" i="13"/>
  <c r="L24" i="15"/>
  <c r="P30" i="15"/>
  <c r="Q32" i="19"/>
  <c r="T28" i="19"/>
  <c r="A27" i="17"/>
  <c r="M14" i="19"/>
  <c r="L13" i="17"/>
  <c r="S28" i="19"/>
  <c r="I9" i="17"/>
  <c r="R24" i="19"/>
  <c r="S22" i="19"/>
  <c r="O14" i="19"/>
  <c r="L15" i="15"/>
  <c r="D22" i="17"/>
  <c r="K24" i="15"/>
  <c r="A31" i="19"/>
  <c r="X12" i="19"/>
  <c r="V6" i="17"/>
  <c r="H18" i="15"/>
  <c r="W10" i="17"/>
  <c r="P21" i="13"/>
  <c r="L6" i="13"/>
  <c r="C29" i="19"/>
  <c r="K13" i="17"/>
  <c r="U5" i="17"/>
  <c r="M5" i="13"/>
  <c r="T35" i="19"/>
  <c r="K5" i="17"/>
  <c r="S23" i="19"/>
  <c r="U21" i="13"/>
  <c r="Q24" i="19"/>
  <c r="M13" i="17"/>
  <c r="H9" i="17"/>
  <c r="F8" i="19"/>
  <c r="S28" i="17"/>
  <c r="G24" i="17"/>
  <c r="K21" i="13"/>
  <c r="P14" i="15"/>
  <c r="F24" i="13"/>
  <c r="N28" i="17"/>
  <c r="C12" i="19"/>
  <c r="S31" i="17"/>
  <c r="V22" i="17"/>
  <c r="P26" i="15"/>
  <c r="R10" i="13"/>
  <c r="M19" i="19"/>
  <c r="I30" i="17"/>
  <c r="M14" i="17"/>
  <c r="H8" i="19"/>
  <c r="J11" i="17"/>
  <c r="N33" i="17"/>
  <c r="Y29" i="19"/>
  <c r="O15" i="17"/>
  <c r="N7" i="19"/>
  <c r="Q21" i="13"/>
  <c r="F22" i="17"/>
  <c r="J4" i="17"/>
  <c r="Y5" i="15"/>
  <c r="W14" i="13"/>
  <c r="A16" i="19"/>
  <c r="I27" i="15"/>
  <c r="A9" i="19"/>
  <c r="Y30" i="19"/>
  <c r="A23" i="15"/>
  <c r="E29" i="15"/>
  <c r="G16" i="17"/>
  <c r="X17" i="19"/>
  <c r="U19" i="19"/>
  <c r="L33" i="19"/>
  <c r="I16" i="17"/>
  <c r="K24" i="19"/>
  <c r="V10" i="15"/>
  <c r="P11" i="19"/>
  <c r="R33" i="17"/>
  <c r="G28" i="17"/>
  <c r="V33" i="19"/>
  <c r="P35" i="19"/>
  <c r="Q15" i="17"/>
  <c r="W20" i="15"/>
  <c r="K9" i="19"/>
  <c r="N23" i="13"/>
  <c r="T18" i="19"/>
  <c r="T27" i="17"/>
  <c r="G29" i="19"/>
  <c r="Q15" i="19"/>
  <c r="C12" i="17"/>
  <c r="N19" i="19"/>
  <c r="V5" i="15"/>
  <c r="M14" i="15"/>
  <c r="W11" i="13"/>
  <c r="X34" i="19"/>
  <c r="R19" i="19"/>
  <c r="Q33" i="19"/>
  <c r="O33" i="19"/>
  <c r="P25" i="19"/>
  <c r="Q17" i="15"/>
  <c r="M22" i="17"/>
  <c r="Q29" i="15"/>
  <c r="P23" i="13"/>
  <c r="N30" i="15"/>
  <c r="O18" i="15"/>
  <c r="X8" i="19"/>
  <c r="X7" i="19"/>
  <c r="X7" i="17"/>
  <c r="O30" i="17"/>
  <c r="E25" i="15"/>
  <c r="D20" i="17"/>
  <c r="S5" i="17"/>
  <c r="B33" i="17"/>
  <c r="N15" i="19"/>
  <c r="V24" i="15"/>
  <c r="T22" i="17"/>
  <c r="L20" i="15"/>
  <c r="I19" i="19"/>
  <c r="C9" i="19"/>
  <c r="K11" i="19"/>
  <c r="F31" i="17"/>
  <c r="M24" i="15"/>
  <c r="Y6" i="15"/>
  <c r="Y4" i="15"/>
  <c r="B13" i="13"/>
  <c r="E9" i="17"/>
  <c r="Y16" i="13"/>
  <c r="U19" i="13"/>
  <c r="O31" i="19"/>
  <c r="L13" i="13"/>
  <c r="J8" i="15"/>
  <c r="K5" i="15"/>
  <c r="S24" i="13"/>
  <c r="V16" i="13"/>
  <c r="U6" i="19"/>
  <c r="G14" i="19"/>
  <c r="K27" i="17"/>
  <c r="N16" i="13"/>
  <c r="W21" i="13"/>
  <c r="N14" i="13"/>
  <c r="M31" i="19"/>
  <c r="A8" i="13"/>
  <c r="S18" i="13"/>
  <c r="C15" i="13"/>
  <c r="X24" i="17"/>
  <c r="P10" i="13"/>
  <c r="D7" i="19"/>
  <c r="Y16" i="15"/>
  <c r="B18" i="19"/>
  <c r="R20" i="17"/>
  <c r="E16" i="15"/>
  <c r="B26" i="19"/>
  <c r="Y23" i="13"/>
  <c r="W4" i="19"/>
  <c r="P9" i="19"/>
  <c r="Y28" i="17"/>
  <c r="M7" i="15"/>
  <c r="H30" i="17"/>
  <c r="M21" i="19"/>
  <c r="N30" i="17"/>
  <c r="N27" i="13"/>
  <c r="N18" i="17"/>
  <c r="I21" i="15"/>
  <c r="T19" i="15"/>
  <c r="H4" i="19"/>
  <c r="Y9" i="15"/>
  <c r="E9" i="15"/>
  <c r="K8" i="15"/>
  <c r="P18" i="17"/>
  <c r="M13" i="13"/>
  <c r="R14" i="17"/>
  <c r="Y15" i="13"/>
  <c r="H17" i="19"/>
  <c r="E35" i="19"/>
  <c r="G25" i="15"/>
  <c r="S11" i="19"/>
  <c r="A10" i="17"/>
  <c r="Y19" i="13"/>
  <c r="H28" i="17"/>
  <c r="T16" i="15"/>
  <c r="X5" i="17"/>
  <c r="U24" i="17"/>
  <c r="U7" i="15"/>
  <c r="H32" i="17"/>
  <c r="J24" i="15"/>
  <c r="J16" i="17"/>
  <c r="L19" i="19"/>
  <c r="U6" i="13"/>
  <c r="S26" i="17"/>
  <c r="P5" i="13"/>
  <c r="A33" i="19"/>
  <c r="N31" i="17"/>
  <c r="X24" i="19"/>
  <c r="Q5" i="15"/>
  <c r="M28" i="19"/>
  <c r="X6" i="19"/>
  <c r="Y32" i="19"/>
  <c r="V20" i="15"/>
  <c r="H13" i="15"/>
  <c r="V15" i="15"/>
  <c r="S32" i="17"/>
  <c r="W23" i="17"/>
  <c r="H30" i="15"/>
  <c r="Y9" i="19"/>
  <c r="B8" i="19"/>
  <c r="M9" i="17"/>
  <c r="N35" i="19"/>
  <c r="Q16" i="19"/>
  <c r="K15" i="13"/>
  <c r="H13" i="17"/>
  <c r="J13" i="17"/>
  <c r="L10" i="19"/>
  <c r="I33" i="19"/>
  <c r="K19" i="13"/>
  <c r="P30" i="19"/>
  <c r="E18" i="17"/>
  <c r="T8" i="19"/>
  <c r="T15" i="13"/>
  <c r="E13" i="13"/>
  <c r="G16" i="19"/>
  <c r="F32" i="19"/>
  <c r="T26" i="19"/>
  <c r="E20" i="15"/>
  <c r="O15" i="15"/>
  <c r="W17" i="17"/>
  <c r="O32" i="19"/>
  <c r="E25" i="17"/>
  <c r="A26" i="13"/>
  <c r="K33" i="17"/>
  <c r="H13" i="19"/>
  <c r="S10" i="15"/>
  <c r="V33" i="17"/>
  <c r="C4" i="15"/>
  <c r="N26" i="19"/>
  <c r="B8" i="17"/>
  <c r="I19" i="17"/>
  <c r="S13" i="19"/>
  <c r="H11" i="17"/>
  <c r="L12" i="15"/>
  <c r="C34" i="19"/>
  <c r="H21" i="13"/>
  <c r="V22" i="15"/>
  <c r="W18" i="13"/>
  <c r="W9" i="19"/>
  <c r="U31" i="17"/>
  <c r="O20" i="15"/>
  <c r="D22" i="15"/>
  <c r="Q6" i="15"/>
  <c r="D30" i="17"/>
  <c r="N19" i="15"/>
  <c r="X19" i="19"/>
  <c r="W20" i="19"/>
  <c r="W28" i="15"/>
  <c r="H31" i="19"/>
  <c r="F26" i="13"/>
  <c r="N19" i="17"/>
  <c r="E29" i="13"/>
  <c r="X19" i="13"/>
  <c r="M17" i="17"/>
  <c r="H20" i="19"/>
  <c r="I21" i="19"/>
  <c r="H29" i="13"/>
  <c r="L14" i="13"/>
  <c r="W28" i="13"/>
  <c r="J16" i="15"/>
  <c r="V27" i="17"/>
  <c r="K12" i="17"/>
  <c r="R12" i="13"/>
  <c r="N29" i="13"/>
  <c r="Y8" i="17"/>
  <c r="K10" i="19"/>
  <c r="O10" i="13"/>
  <c r="D5" i="15"/>
  <c r="P15" i="13"/>
  <c r="N4" i="17"/>
  <c r="U7" i="13"/>
  <c r="A29" i="17"/>
  <c r="R29" i="13"/>
  <c r="D27" i="19"/>
  <c r="P9" i="15"/>
  <c r="C5" i="13"/>
  <c r="P26" i="13"/>
  <c r="X13" i="17"/>
  <c r="M18" i="13"/>
  <c r="F6" i="17"/>
  <c r="Q8" i="17"/>
  <c r="H10" i="19"/>
  <c r="S20" i="17"/>
  <c r="O16" i="13"/>
  <c r="J6" i="17"/>
  <c r="U12" i="19"/>
  <c r="D21" i="13"/>
  <c r="R22" i="15"/>
  <c r="S26" i="13"/>
  <c r="Y33" i="17"/>
  <c r="I23" i="13"/>
  <c r="I31" i="17"/>
  <c r="O8" i="19"/>
  <c r="C4" i="19"/>
  <c r="A20" i="19"/>
  <c r="V24" i="17"/>
  <c r="T23" i="19"/>
  <c r="L25" i="15"/>
  <c r="A18" i="17"/>
  <c r="L9" i="13"/>
  <c r="D18" i="15"/>
  <c r="Y12" i="17"/>
  <c r="X20" i="19"/>
  <c r="R12" i="19"/>
  <c r="DA2" i="18"/>
  <c r="P7" i="13"/>
  <c r="L25" i="17"/>
  <c r="U24" i="19"/>
  <c r="O13" i="19"/>
  <c r="P24" i="19"/>
  <c r="G24" i="15"/>
  <c r="P31" i="17"/>
  <c r="I21" i="17"/>
  <c r="Y4" i="19"/>
  <c r="G28" i="15"/>
  <c r="M11" i="15"/>
  <c r="G22" i="19"/>
  <c r="U14" i="19"/>
  <c r="N9" i="13"/>
  <c r="O15" i="19"/>
  <c r="S19" i="19"/>
  <c r="S9" i="13"/>
  <c r="R14" i="19"/>
  <c r="A5" i="19"/>
  <c r="P32" i="19"/>
  <c r="D33" i="19"/>
  <c r="Y26" i="13"/>
  <c r="J22" i="17"/>
  <c r="B35" i="19"/>
  <c r="U26" i="17"/>
  <c r="O17" i="17"/>
  <c r="G13" i="19"/>
  <c r="S10" i="13"/>
  <c r="F12" i="17"/>
  <c r="R7" i="19"/>
  <c r="E16" i="19"/>
  <c r="A14" i="15"/>
  <c r="W5" i="19"/>
  <c r="S30" i="19"/>
  <c r="N21" i="19"/>
  <c r="S8" i="13"/>
  <c r="M8" i="13"/>
  <c r="A19" i="19"/>
  <c r="C5" i="17"/>
  <c r="Y8" i="19"/>
  <c r="W20" i="17"/>
  <c r="F33" i="17"/>
  <c r="P7" i="19"/>
  <c r="A32" i="19"/>
  <c r="C5" i="19"/>
  <c r="E5" i="15"/>
  <c r="I11" i="17"/>
  <c r="O22" i="19"/>
  <c r="C26" i="19"/>
  <c r="W34" i="19"/>
  <c r="Y17" i="13"/>
  <c r="V30" i="17"/>
  <c r="O10" i="19"/>
  <c r="Q28" i="15"/>
  <c r="B6" i="17"/>
  <c r="J15" i="17"/>
  <c r="B10" i="19"/>
  <c r="A25" i="13"/>
  <c r="A24" i="19"/>
  <c r="E4" i="15"/>
  <c r="J9" i="17"/>
  <c r="Y16" i="19"/>
  <c r="C28" i="17"/>
  <c r="F30" i="19"/>
  <c r="H22" i="17"/>
  <c r="D25" i="15"/>
  <c r="T15" i="17"/>
  <c r="P5" i="17"/>
  <c r="Y25" i="17"/>
  <c r="A13" i="17"/>
  <c r="J28" i="13"/>
  <c r="T9" i="19"/>
  <c r="Q9" i="15"/>
  <c r="Q15" i="15"/>
  <c r="D17" i="13"/>
  <c r="I6" i="15"/>
  <c r="P16" i="17"/>
  <c r="L27" i="13"/>
  <c r="Q28" i="19"/>
  <c r="D31" i="19"/>
  <c r="R15" i="13"/>
  <c r="T21" i="15"/>
  <c r="J6" i="13"/>
  <c r="J12" i="19"/>
  <c r="V18" i="17"/>
  <c r="L22" i="17"/>
  <c r="V8" i="19"/>
  <c r="X5" i="13"/>
  <c r="Q19" i="15"/>
  <c r="V15" i="17"/>
  <c r="X31" i="19"/>
  <c r="C27" i="17"/>
  <c r="D28" i="19"/>
  <c r="M11" i="17"/>
  <c r="R26" i="13"/>
  <c r="R10" i="19"/>
  <c r="P11" i="13"/>
  <c r="I15" i="17"/>
  <c r="M27" i="13"/>
  <c r="P18" i="13"/>
  <c r="J25" i="15"/>
  <c r="P24" i="17"/>
  <c r="P29" i="19"/>
  <c r="Q33" i="17"/>
  <c r="K18" i="19"/>
  <c r="J21" i="19"/>
  <c r="M4" i="17"/>
  <c r="F28" i="17"/>
  <c r="W10" i="19"/>
  <c r="G12" i="13"/>
  <c r="X14" i="17"/>
  <c r="I26" i="17"/>
  <c r="G19" i="13"/>
  <c r="Q28" i="13"/>
  <c r="M5" i="19"/>
  <c r="E33" i="19"/>
  <c r="S33" i="17"/>
  <c r="F9" i="17"/>
  <c r="G31" i="17"/>
  <c r="O10" i="17"/>
  <c r="E6" i="17"/>
  <c r="X22" i="17"/>
  <c r="J20" i="19"/>
  <c r="A32" i="17"/>
  <c r="O5" i="17"/>
  <c r="C25" i="15"/>
  <c r="W19" i="15"/>
  <c r="J7" i="17"/>
  <c r="H23" i="19"/>
  <c r="X13" i="15"/>
  <c r="L5" i="13"/>
  <c r="K9" i="15"/>
  <c r="I27" i="17"/>
  <c r="T11" i="19"/>
  <c r="G7" i="19"/>
  <c r="P26" i="19"/>
  <c r="O16" i="17"/>
  <c r="H24" i="17"/>
  <c r="B25" i="17"/>
  <c r="W9" i="17"/>
  <c r="V13" i="19"/>
  <c r="F29" i="17"/>
  <c r="T4" i="19"/>
  <c r="Y5" i="19"/>
  <c r="I9" i="19"/>
  <c r="X35" i="19"/>
  <c r="G32" i="17"/>
  <c r="N6" i="17"/>
  <c r="O12" i="17"/>
  <c r="F18" i="17"/>
  <c r="K6" i="15"/>
  <c r="G26" i="19"/>
  <c r="I20" i="17"/>
  <c r="L7" i="19"/>
  <c r="O28" i="19"/>
  <c r="J15" i="19"/>
  <c r="N6" i="15"/>
  <c r="U16" i="17"/>
  <c r="F23" i="13"/>
  <c r="H12" i="19"/>
  <c r="P14" i="13"/>
  <c r="K15" i="19"/>
  <c r="G14" i="17"/>
  <c r="U13" i="19"/>
  <c r="S27" i="17"/>
  <c r="K28" i="19"/>
  <c r="F20" i="19"/>
  <c r="J19" i="17"/>
  <c r="H4" i="15"/>
  <c r="C18" i="17"/>
  <c r="H33" i="19"/>
  <c r="M26" i="17"/>
  <c r="E24" i="19"/>
  <c r="Y33" i="19"/>
  <c r="P7" i="17"/>
  <c r="G9" i="13"/>
  <c r="O20" i="13"/>
  <c r="F14" i="17"/>
  <c r="R20" i="15"/>
  <c r="A7" i="17"/>
  <c r="N20" i="15"/>
  <c r="O27" i="17"/>
  <c r="A16" i="15"/>
  <c r="V7" i="13"/>
  <c r="H10" i="17"/>
  <c r="O23" i="19"/>
  <c r="Q13" i="19"/>
  <c r="C7" i="17"/>
  <c r="Q4" i="15"/>
  <c r="D10" i="15"/>
  <c r="Y14" i="19"/>
  <c r="M23" i="19"/>
  <c r="K19" i="15"/>
  <c r="D18" i="13"/>
  <c r="C19" i="13"/>
  <c r="R11" i="17"/>
  <c r="S9" i="17"/>
  <c r="H16" i="15"/>
  <c r="R33" i="19"/>
  <c r="C23" i="19"/>
  <c r="W15" i="13"/>
  <c r="V31" i="17"/>
  <c r="T24" i="13"/>
  <c r="W23" i="13"/>
  <c r="L7" i="17"/>
  <c r="Y18" i="17"/>
  <c r="R5" i="13"/>
  <c r="A14" i="19"/>
  <c r="H8" i="15"/>
  <c r="L15" i="19"/>
  <c r="L22" i="19"/>
  <c r="E10" i="13"/>
  <c r="AK2" i="18"/>
  <c r="V26" i="13"/>
  <c r="G15" i="19"/>
  <c r="D10" i="19"/>
  <c r="B32" i="19"/>
  <c r="T19" i="13"/>
  <c r="M15" i="13"/>
  <c r="C17" i="13"/>
  <c r="K4" i="15"/>
  <c r="X15" i="13"/>
  <c r="Y12" i="13"/>
  <c r="M7" i="13"/>
  <c r="E5" i="17"/>
  <c r="B13" i="17"/>
  <c r="Y22" i="15"/>
  <c r="X17" i="15"/>
  <c r="I16" i="15"/>
  <c r="C18" i="15"/>
  <c r="S16" i="17"/>
  <c r="X32" i="19"/>
  <c r="P33" i="17"/>
  <c r="U26" i="19"/>
  <c r="M11" i="19"/>
  <c r="M4" i="19"/>
  <c r="I5" i="15"/>
  <c r="U5" i="19"/>
  <c r="D7" i="15"/>
  <c r="Y8" i="15"/>
  <c r="S21" i="13"/>
  <c r="J20" i="17"/>
  <c r="C6" i="13"/>
  <c r="C31" i="17"/>
  <c r="C17" i="17"/>
  <c r="F13" i="17"/>
  <c r="Q10" i="19"/>
  <c r="F29" i="15"/>
  <c r="A13" i="19"/>
  <c r="J5" i="13"/>
  <c r="J5" i="15"/>
  <c r="O29" i="17"/>
  <c r="A23" i="13"/>
  <c r="C30" i="13"/>
  <c r="V30" i="15"/>
  <c r="P9" i="13"/>
  <c r="D5" i="17"/>
  <c r="D13" i="19"/>
  <c r="R11" i="13"/>
  <c r="N13" i="17"/>
  <c r="N16" i="17"/>
  <c r="S21" i="17"/>
  <c r="I33" i="17"/>
  <c r="Y18" i="13"/>
  <c r="I7" i="17"/>
  <c r="E9" i="13"/>
  <c r="U18" i="17"/>
  <c r="V6" i="19"/>
  <c r="H11" i="13"/>
  <c r="N32" i="17"/>
  <c r="O7" i="13"/>
  <c r="D5" i="19"/>
  <c r="S31" i="19"/>
  <c r="A20" i="15"/>
  <c r="JO2" i="16" s="1"/>
  <c r="C7" i="19"/>
  <c r="E5" i="19"/>
  <c r="L24" i="17"/>
  <c r="P15" i="17"/>
  <c r="U18" i="19"/>
  <c r="J15" i="13"/>
  <c r="U7" i="17"/>
  <c r="G29" i="15"/>
  <c r="J5" i="19"/>
  <c r="B29" i="17"/>
  <c r="B10" i="15"/>
  <c r="X15" i="15"/>
  <c r="Q17" i="17"/>
  <c r="A28" i="19"/>
  <c r="M26" i="19"/>
  <c r="N8" i="19"/>
  <c r="U8" i="19"/>
  <c r="V10" i="17"/>
  <c r="U19" i="15"/>
  <c r="D17" i="17"/>
  <c r="R29" i="15"/>
  <c r="R16" i="13"/>
  <c r="S29" i="15"/>
  <c r="Q25" i="17"/>
  <c r="R23" i="13"/>
  <c r="T24" i="19"/>
  <c r="C35" i="19"/>
  <c r="L6" i="17"/>
  <c r="G12" i="17"/>
  <c r="C6" i="15"/>
  <c r="S12" i="13"/>
  <c r="P28" i="19"/>
  <c r="M13" i="19"/>
  <c r="L34" i="19"/>
  <c r="H4" i="13"/>
  <c r="H17" i="15"/>
  <c r="C30" i="15"/>
  <c r="R21" i="17"/>
  <c r="Y20" i="13"/>
  <c r="I18" i="17"/>
  <c r="K30" i="13"/>
  <c r="R22" i="17"/>
  <c r="A7" i="15"/>
  <c r="W14" i="19"/>
  <c r="M9" i="15"/>
  <c r="U22" i="17"/>
  <c r="P27" i="17"/>
  <c r="J22" i="19"/>
  <c r="U23" i="13"/>
  <c r="S25" i="17"/>
  <c r="G13" i="17"/>
  <c r="X26" i="19"/>
  <c r="T20" i="19"/>
  <c r="S12" i="15"/>
  <c r="P13" i="13"/>
  <c r="P4" i="19"/>
  <c r="M35" i="19"/>
  <c r="N16" i="15"/>
  <c r="O13" i="17"/>
  <c r="V29" i="17"/>
  <c r="R32" i="19"/>
  <c r="B23" i="17"/>
  <c r="P29" i="17"/>
  <c r="T11" i="13"/>
  <c r="F13" i="19"/>
  <c r="F18" i="15"/>
  <c r="L5" i="17"/>
  <c r="F21" i="17"/>
  <c r="J13" i="13"/>
  <c r="A14" i="13"/>
  <c r="B8" i="13"/>
  <c r="A10" i="13"/>
  <c r="R22" i="13"/>
  <c r="M17" i="19"/>
  <c r="U23" i="19"/>
  <c r="A29" i="15"/>
  <c r="V6" i="13"/>
  <c r="N26" i="17"/>
  <c r="K20" i="13"/>
  <c r="X33" i="17"/>
  <c r="S25" i="13"/>
  <c r="E8" i="17"/>
  <c r="W13" i="19"/>
  <c r="N21" i="17"/>
  <c r="Q23" i="15"/>
  <c r="G21" i="17"/>
  <c r="O34" i="19"/>
  <c r="E28" i="15"/>
  <c r="V27" i="19"/>
  <c r="R21" i="19"/>
  <c r="U15" i="15"/>
  <c r="F25" i="19"/>
  <c r="U10" i="19"/>
  <c r="H6" i="13"/>
  <c r="G4" i="13"/>
  <c r="S15" i="17"/>
  <c r="M27" i="17"/>
  <c r="R24" i="15"/>
  <c r="B26" i="17"/>
  <c r="N27" i="17"/>
  <c r="D21" i="15"/>
  <c r="L22" i="13"/>
  <c r="M21" i="15"/>
  <c r="B33" i="19"/>
  <c r="B18" i="15"/>
  <c r="Q30" i="13"/>
  <c r="A12" i="13"/>
  <c r="DA2" i="14"/>
  <c r="J22" i="15"/>
  <c r="H12" i="13"/>
  <c r="J18" i="17"/>
  <c r="S16" i="19"/>
  <c r="U8" i="17"/>
  <c r="Q5" i="19"/>
  <c r="F30" i="13"/>
  <c r="O6" i="19"/>
  <c r="E10" i="17"/>
  <c r="A17" i="17"/>
  <c r="S5" i="15"/>
  <c r="G23" i="13"/>
  <c r="A28" i="15"/>
  <c r="L11" i="19"/>
  <c r="I13" i="19"/>
  <c r="D31" i="17"/>
  <c r="M6" i="19"/>
  <c r="E30" i="19"/>
  <c r="N6" i="19"/>
  <c r="W11" i="19"/>
  <c r="M7" i="19"/>
  <c r="P18" i="19"/>
  <c r="F29" i="13"/>
  <c r="W30" i="15"/>
  <c r="P18" i="15"/>
  <c r="L27" i="15"/>
  <c r="E27" i="13"/>
  <c r="X28" i="15"/>
  <c r="V15" i="19"/>
  <c r="A19" i="13"/>
  <c r="L18" i="13"/>
  <c r="Q23" i="19"/>
  <c r="P27" i="15"/>
  <c r="E16" i="13"/>
  <c r="K14" i="17"/>
  <c r="U25" i="19"/>
  <c r="V10" i="19"/>
  <c r="I20" i="15"/>
  <c r="P4" i="13"/>
  <c r="V17" i="19"/>
  <c r="I6" i="13"/>
  <c r="E18" i="13"/>
  <c r="L22" i="15"/>
  <c r="N18" i="13"/>
  <c r="L16" i="15"/>
  <c r="W8" i="19"/>
  <c r="X25" i="15"/>
  <c r="Y16" i="17"/>
  <c r="F5" i="15"/>
  <c r="K8" i="17"/>
  <c r="Y21" i="19"/>
  <c r="Y20" i="17"/>
  <c r="B23" i="13"/>
  <c r="X8" i="13"/>
  <c r="W6" i="13"/>
  <c r="V16" i="15"/>
  <c r="I16" i="19"/>
  <c r="G26" i="13"/>
  <c r="Y17" i="15"/>
  <c r="F4" i="19"/>
  <c r="S19" i="15"/>
  <c r="Y24" i="17"/>
  <c r="W35" i="19"/>
  <c r="I30" i="13"/>
  <c r="H24" i="19"/>
  <c r="D13" i="15"/>
  <c r="I28" i="15"/>
  <c r="I19" i="13"/>
  <c r="Q35" i="19"/>
  <c r="G18" i="15"/>
  <c r="S4" i="13"/>
  <c r="U24" i="13"/>
  <c r="C24" i="19"/>
  <c r="L18" i="17"/>
  <c r="S33" i="19"/>
  <c r="I17" i="13"/>
  <c r="U22" i="19"/>
  <c r="V12" i="17"/>
  <c r="O31" i="17"/>
  <c r="S6" i="19"/>
  <c r="E30" i="17"/>
  <c r="A18" i="15"/>
  <c r="Q11" i="17"/>
  <c r="X29" i="15"/>
  <c r="L9" i="19"/>
  <c r="P29" i="15"/>
  <c r="R14" i="13"/>
  <c r="K11" i="13"/>
  <c r="K18" i="17"/>
  <c r="X25" i="17"/>
  <c r="N22" i="17"/>
  <c r="F13" i="13"/>
  <c r="Y26" i="17"/>
  <c r="Q27" i="17"/>
  <c r="E17" i="15"/>
  <c r="V21" i="13"/>
  <c r="S19" i="17"/>
  <c r="B17" i="13"/>
  <c r="U27" i="17"/>
  <c r="J32" i="17"/>
  <c r="X12" i="13"/>
  <c r="L21" i="17"/>
  <c r="U22" i="13"/>
  <c r="N24" i="17"/>
  <c r="O6" i="15"/>
  <c r="E21" i="19"/>
  <c r="K15" i="15"/>
  <c r="E32" i="19"/>
  <c r="B16" i="17"/>
  <c r="H32" i="19"/>
  <c r="G7" i="17"/>
  <c r="L14" i="15"/>
  <c r="W11" i="15"/>
  <c r="Y21" i="17"/>
  <c r="K4" i="13"/>
  <c r="P10" i="17"/>
  <c r="H8" i="17"/>
  <c r="I10" i="19"/>
  <c r="T28" i="13"/>
  <c r="Q34" i="19"/>
  <c r="V9" i="13"/>
  <c r="K10" i="13"/>
  <c r="N10" i="17"/>
  <c r="D15" i="17"/>
  <c r="U4" i="17"/>
  <c r="S13" i="17"/>
  <c r="P8" i="19"/>
  <c r="T5" i="13"/>
  <c r="D8" i="13"/>
  <c r="A4" i="15"/>
  <c r="Q13" i="17"/>
  <c r="M10" i="19"/>
  <c r="Y25" i="19"/>
  <c r="N15" i="15"/>
  <c r="D12" i="19"/>
  <c r="F7" i="19"/>
  <c r="W6" i="17"/>
  <c r="K29" i="13"/>
  <c r="S25" i="19"/>
  <c r="R6" i="19"/>
  <c r="H20" i="15"/>
  <c r="D28" i="17"/>
  <c r="U13" i="15"/>
  <c r="L31" i="19"/>
  <c r="S17" i="13"/>
  <c r="B25" i="15"/>
  <c r="K26" i="13"/>
  <c r="U4" i="19"/>
  <c r="G30" i="19"/>
  <c r="B14" i="17"/>
  <c r="R17" i="15"/>
  <c r="J17" i="17"/>
  <c r="O22" i="17"/>
  <c r="Q22" i="17"/>
  <c r="L17" i="15"/>
  <c r="K22" i="13"/>
  <c r="I15" i="15"/>
  <c r="N27" i="19"/>
  <c r="G5" i="15"/>
  <c r="O21" i="19"/>
  <c r="A16" i="17"/>
  <c r="L4" i="17"/>
  <c r="F7" i="15"/>
  <c r="N17" i="13"/>
  <c r="R11" i="19"/>
  <c r="P13" i="19"/>
  <c r="X14" i="19"/>
  <c r="E26" i="17"/>
  <c r="S23" i="13"/>
  <c r="G22" i="17"/>
  <c r="Q26" i="19"/>
  <c r="X23" i="17"/>
  <c r="W12" i="19"/>
  <c r="D6" i="17"/>
  <c r="T30" i="17"/>
  <c r="M27" i="19"/>
  <c r="S8" i="15"/>
  <c r="S9" i="15"/>
  <c r="B7" i="13"/>
  <c r="G16" i="13"/>
  <c r="N13" i="13"/>
  <c r="Y17" i="19"/>
  <c r="A15" i="13"/>
  <c r="D23" i="17"/>
  <c r="M18" i="15"/>
  <c r="D16" i="17"/>
  <c r="X18" i="17"/>
  <c r="C22" i="15"/>
  <c r="F29" i="19"/>
  <c r="I7" i="15"/>
  <c r="W30" i="13"/>
  <c r="U28" i="15"/>
  <c r="Y25" i="13"/>
  <c r="R8" i="15"/>
  <c r="U30" i="19"/>
  <c r="A10" i="15"/>
  <c r="T21" i="13"/>
  <c r="F32" i="17"/>
  <c r="D19" i="17"/>
  <c r="R6" i="17"/>
  <c r="W15" i="15"/>
  <c r="X20" i="15"/>
  <c r="Q12" i="17"/>
  <c r="W4" i="17"/>
  <c r="F5" i="17"/>
  <c r="Q26" i="15"/>
  <c r="K5" i="13"/>
  <c r="A19" i="17"/>
  <c r="Q23" i="13"/>
  <c r="G24" i="13"/>
  <c r="U21" i="15"/>
  <c r="F21" i="15"/>
  <c r="H22" i="19"/>
  <c r="M11" i="13"/>
  <c r="J6" i="15"/>
  <c r="A11" i="17"/>
  <c r="A18" i="13"/>
  <c r="L14" i="17"/>
  <c r="V5" i="13"/>
  <c r="C33" i="19"/>
  <c r="A21" i="17"/>
  <c r="H27" i="13"/>
  <c r="P32" i="17"/>
  <c r="L30" i="15"/>
  <c r="Q24" i="15"/>
  <c r="W8" i="13"/>
  <c r="D14" i="13"/>
  <c r="X24" i="13"/>
  <c r="N12" i="19"/>
  <c r="H13" i="13"/>
  <c r="J21" i="17"/>
  <c r="B12" i="19"/>
  <c r="K27" i="13"/>
  <c r="B5" i="13"/>
  <c r="S9" i="19"/>
  <c r="Q14" i="17"/>
  <c r="J19" i="19"/>
  <c r="O17" i="15"/>
  <c r="S16" i="15"/>
  <c r="R27" i="17"/>
  <c r="U31" i="19"/>
  <c r="DR2" i="14"/>
  <c r="N12" i="17"/>
  <c r="T4" i="17"/>
  <c r="C8" i="19"/>
  <c r="N18" i="19"/>
  <c r="X10" i="13"/>
  <c r="X20" i="13"/>
  <c r="F30" i="17"/>
  <c r="D8" i="19"/>
  <c r="B9" i="17"/>
  <c r="K26" i="19"/>
  <c r="S7" i="19"/>
  <c r="P10" i="15"/>
  <c r="T7" i="13"/>
  <c r="I17" i="19"/>
  <c r="T32" i="19"/>
  <c r="Q7" i="15"/>
  <c r="N17" i="15"/>
  <c r="IG2" i="18"/>
  <c r="V18" i="13"/>
  <c r="O14" i="15"/>
  <c r="P23" i="15"/>
  <c r="C11" i="13"/>
  <c r="N24" i="19"/>
  <c r="H6" i="15"/>
  <c r="R15" i="15"/>
  <c r="E25" i="19"/>
  <c r="F24" i="15"/>
  <c r="E11" i="15"/>
  <c r="G6" i="15"/>
  <c r="L17" i="13"/>
  <c r="O15" i="13"/>
  <c r="J23" i="15"/>
  <c r="S17" i="15"/>
  <c r="I16" i="13"/>
  <c r="F18" i="19"/>
  <c r="W30" i="19"/>
  <c r="B4" i="13"/>
  <c r="W26" i="13"/>
  <c r="Y6" i="13"/>
  <c r="K27" i="15"/>
  <c r="F21" i="13"/>
  <c r="E24" i="13"/>
  <c r="B28" i="13"/>
  <c r="W5" i="17"/>
  <c r="B28" i="19"/>
  <c r="W24" i="15"/>
  <c r="L33" i="17"/>
  <c r="W21" i="19"/>
  <c r="A4" i="17"/>
  <c r="H18" i="17"/>
  <c r="E14" i="13"/>
  <c r="D26" i="19"/>
  <c r="J11" i="15"/>
  <c r="Y11" i="17"/>
  <c r="J30" i="15"/>
  <c r="P12" i="13"/>
  <c r="Q29" i="19"/>
  <c r="W16" i="17"/>
  <c r="I10" i="15"/>
  <c r="N25" i="17"/>
  <c r="A26" i="17"/>
  <c r="V7" i="19"/>
  <c r="R8" i="19"/>
  <c r="E25" i="13"/>
  <c r="E15" i="13"/>
  <c r="O28" i="15"/>
  <c r="F17" i="17"/>
  <c r="X19" i="15"/>
  <c r="K19" i="17"/>
  <c r="E23" i="15"/>
  <c r="T13" i="19"/>
  <c r="E12" i="13"/>
  <c r="E15" i="19"/>
  <c r="Y19" i="15"/>
  <c r="K16" i="17"/>
  <c r="X24" i="15"/>
  <c r="G17" i="15"/>
  <c r="F6" i="15"/>
  <c r="B27" i="15"/>
  <c r="P8" i="15"/>
  <c r="O4" i="13"/>
  <c r="L10" i="15"/>
  <c r="O23" i="15"/>
  <c r="W17" i="13"/>
  <c r="Y13" i="15"/>
  <c r="W14" i="17"/>
  <c r="B26" i="15"/>
  <c r="L21" i="15"/>
  <c r="F10" i="15"/>
  <c r="V4" i="19"/>
  <c r="G9" i="15"/>
  <c r="U29" i="15"/>
  <c r="W12" i="13"/>
  <c r="T20" i="15"/>
  <c r="S14" i="15"/>
  <c r="Q29" i="17"/>
  <c r="V19" i="17"/>
  <c r="R13" i="13"/>
  <c r="U16" i="15"/>
  <c r="I9" i="13"/>
  <c r="S22" i="15"/>
  <c r="E22" i="15"/>
  <c r="W29" i="19"/>
  <c r="H23" i="13"/>
  <c r="G19" i="15"/>
  <c r="I19" i="15"/>
  <c r="B32" i="17"/>
  <c r="B19" i="13"/>
  <c r="D22" i="13"/>
  <c r="S7" i="17"/>
  <c r="W12" i="17"/>
  <c r="H25" i="13"/>
  <c r="H26" i="19"/>
  <c r="I31" i="19"/>
  <c r="K29" i="17"/>
  <c r="G4" i="19"/>
  <c r="C24" i="17"/>
  <c r="X23" i="15"/>
  <c r="E28" i="13"/>
  <c r="J30" i="19"/>
  <c r="T19" i="17"/>
  <c r="H25" i="17"/>
  <c r="H29" i="19"/>
  <c r="B30" i="17"/>
  <c r="S29" i="13"/>
  <c r="F10" i="19"/>
  <c r="W22" i="13"/>
  <c r="C27" i="15"/>
  <c r="T28" i="17"/>
  <c r="U5" i="13"/>
  <c r="M6" i="15"/>
  <c r="M18" i="19"/>
  <c r="R9" i="17"/>
  <c r="R29" i="17"/>
  <c r="KF2" i="14"/>
  <c r="B20" i="15"/>
  <c r="S29" i="17"/>
  <c r="Y13" i="19"/>
  <c r="O29" i="19"/>
  <c r="I8" i="15"/>
  <c r="J20" i="13"/>
  <c r="T17" i="19"/>
  <c r="V9" i="17"/>
  <c r="V22" i="13"/>
  <c r="C11" i="15"/>
  <c r="K33" i="19"/>
  <c r="O11" i="15"/>
  <c r="R9" i="13"/>
  <c r="L23" i="19"/>
  <c r="M10" i="15"/>
  <c r="B21" i="19"/>
  <c r="G19" i="19"/>
  <c r="D23" i="15"/>
  <c r="P20" i="19"/>
  <c r="K15" i="17"/>
  <c r="Y14" i="13"/>
  <c r="O9" i="15"/>
  <c r="N30" i="19"/>
  <c r="W13" i="17"/>
  <c r="H29" i="15"/>
  <c r="G12" i="15"/>
  <c r="Q21" i="15"/>
  <c r="K22" i="17"/>
  <c r="K26" i="15"/>
  <c r="C20" i="13"/>
  <c r="A10" i="19"/>
  <c r="H6" i="19"/>
  <c r="L13" i="15"/>
  <c r="G30" i="15"/>
  <c r="E10" i="15"/>
  <c r="G10" i="19"/>
  <c r="D19" i="13"/>
  <c r="ME2" i="20"/>
  <c r="C29" i="13"/>
  <c r="Y7" i="13"/>
  <c r="R32" i="17"/>
  <c r="S4" i="19"/>
  <c r="G17" i="13"/>
  <c r="M29" i="15"/>
  <c r="S20" i="13"/>
  <c r="H22" i="15"/>
  <c r="F10" i="13"/>
  <c r="R25" i="15"/>
  <c r="I23" i="15"/>
  <c r="T22" i="19"/>
  <c r="G18" i="13"/>
  <c r="L31" i="17"/>
  <c r="G22" i="13"/>
  <c r="X11" i="17"/>
  <c r="A22" i="19"/>
  <c r="W9" i="13"/>
  <c r="M32" i="19"/>
  <c r="D8" i="17"/>
  <c r="C10" i="17"/>
  <c r="F12" i="15"/>
  <c r="D29" i="19"/>
  <c r="E6" i="19"/>
  <c r="X10" i="15"/>
  <c r="J29" i="15"/>
  <c r="JO2" i="20"/>
  <c r="L19" i="17"/>
  <c r="N26" i="13"/>
  <c r="K17" i="13"/>
  <c r="A30" i="15"/>
  <c r="Y17" i="17"/>
  <c r="U12" i="13"/>
  <c r="F25" i="13"/>
  <c r="R6" i="13"/>
  <c r="W25" i="13"/>
  <c r="T17" i="17"/>
  <c r="G26" i="17"/>
  <c r="V9" i="19"/>
  <c r="F33" i="19"/>
  <c r="B22" i="19"/>
  <c r="V8" i="17"/>
  <c r="G29" i="13"/>
  <c r="I12" i="13"/>
  <c r="A21" i="19"/>
  <c r="F15" i="19"/>
  <c r="V18" i="19"/>
  <c r="K30" i="19"/>
  <c r="P5" i="15"/>
  <c r="D6" i="15"/>
  <c r="G31" i="19"/>
  <c r="U29" i="17"/>
  <c r="D16" i="19"/>
  <c r="S30" i="17"/>
  <c r="F30" i="15"/>
  <c r="P34" i="19"/>
  <c r="K7" i="17"/>
  <c r="H7" i="13"/>
  <c r="T22" i="15"/>
  <c r="W19" i="19"/>
  <c r="M5" i="17"/>
  <c r="T25" i="19"/>
  <c r="E11" i="19"/>
  <c r="J34" i="19"/>
  <c r="B13" i="15"/>
  <c r="V4" i="13"/>
  <c r="H11" i="15"/>
  <c r="U13" i="17"/>
  <c r="P30" i="17"/>
  <c r="C6" i="17"/>
  <c r="L17" i="17"/>
  <c r="M15" i="15"/>
  <c r="N9" i="15"/>
  <c r="L16" i="19"/>
  <c r="F9" i="19"/>
  <c r="L23" i="17"/>
  <c r="G33" i="19"/>
  <c r="A29" i="19"/>
  <c r="E23" i="17"/>
  <c r="R24" i="13"/>
  <c r="E13" i="17"/>
  <c r="L20" i="17"/>
  <c r="P4" i="17"/>
  <c r="W26" i="15"/>
  <c r="R20" i="13"/>
  <c r="A23" i="19"/>
  <c r="S21" i="15"/>
  <c r="M16" i="15"/>
  <c r="J4" i="15"/>
  <c r="P6" i="15"/>
  <c r="E12" i="17"/>
  <c r="U21" i="17"/>
  <c r="X22" i="15"/>
  <c r="D19" i="15"/>
  <c r="S14" i="17"/>
  <c r="A27" i="15"/>
  <c r="O14" i="13"/>
  <c r="F27" i="13"/>
  <c r="T18" i="17"/>
  <c r="H24" i="13"/>
  <c r="E29" i="17"/>
  <c r="X17" i="17"/>
  <c r="F14" i="13"/>
  <c r="C8" i="15"/>
  <c r="H10" i="13"/>
  <c r="I5" i="19"/>
  <c r="P29" i="13"/>
  <c r="O25" i="15"/>
  <c r="T9" i="13"/>
  <c r="V18" i="15"/>
  <c r="C27" i="19"/>
  <c r="F4" i="13"/>
  <c r="H29" i="17"/>
  <c r="R5" i="17"/>
  <c r="K4" i="17"/>
  <c r="Q20" i="19"/>
  <c r="N7" i="17"/>
  <c r="Q28" i="17"/>
  <c r="K17" i="15"/>
  <c r="R28" i="19"/>
  <c r="M30" i="17"/>
  <c r="G15" i="15"/>
  <c r="Y35" i="19"/>
  <c r="U17" i="17"/>
  <c r="W11" i="17"/>
  <c r="T24" i="17"/>
  <c r="V29" i="19"/>
  <c r="O24" i="13"/>
  <c r="O18" i="13"/>
  <c r="V7" i="15"/>
  <c r="A15" i="17"/>
  <c r="X25" i="13"/>
  <c r="P28" i="15"/>
  <c r="A35" i="19"/>
  <c r="J10" i="13"/>
  <c r="KF2" i="20"/>
  <c r="T5" i="15"/>
  <c r="L12" i="19"/>
  <c r="B6" i="13"/>
  <c r="B23" i="15"/>
  <c r="G6" i="19"/>
  <c r="K32" i="19"/>
  <c r="L16" i="13"/>
  <c r="X10" i="19"/>
  <c r="Y10" i="19"/>
  <c r="IG2" i="14"/>
  <c r="O24" i="15"/>
  <c r="U20" i="19"/>
  <c r="P16" i="13"/>
  <c r="O29" i="13"/>
  <c r="J13" i="15"/>
  <c r="W29" i="15"/>
  <c r="C6" i="19"/>
  <c r="T20" i="13"/>
  <c r="W24" i="13"/>
  <c r="R16" i="17"/>
  <c r="Q32" i="17"/>
  <c r="R31" i="19"/>
  <c r="J21" i="13"/>
  <c r="V19" i="19"/>
  <c r="P25" i="13"/>
  <c r="L6" i="15"/>
  <c r="U19" i="17"/>
  <c r="K26" i="17"/>
  <c r="V20" i="13"/>
  <c r="Q26" i="17"/>
  <c r="W13" i="15"/>
  <c r="X16" i="19"/>
  <c r="T16" i="13"/>
  <c r="U20" i="17"/>
  <c r="N26" i="15"/>
  <c r="W17" i="19"/>
  <c r="O30" i="13"/>
  <c r="Y27" i="17"/>
  <c r="N22" i="13"/>
  <c r="G13" i="15"/>
  <c r="M28" i="17"/>
  <c r="U10" i="17"/>
  <c r="A30" i="19"/>
  <c r="V11" i="15"/>
  <c r="N5" i="13"/>
  <c r="H14" i="13"/>
  <c r="T6" i="13"/>
  <c r="X19" i="17"/>
  <c r="L32" i="19"/>
  <c r="W22" i="17"/>
  <c r="DA2" i="16"/>
  <c r="E29" i="19"/>
  <c r="Y26" i="19"/>
  <c r="Y9" i="13"/>
  <c r="N5" i="17"/>
  <c r="S8" i="19"/>
  <c r="T22" i="13"/>
  <c r="Q6" i="19"/>
  <c r="E16" i="17"/>
  <c r="J25" i="19"/>
  <c r="O12" i="15"/>
  <c r="F22" i="15"/>
  <c r="M7" i="17"/>
  <c r="P7" i="15"/>
  <c r="G28" i="19"/>
  <c r="J7" i="15"/>
  <c r="G17" i="17"/>
  <c r="N7" i="13"/>
  <c r="S5" i="13"/>
  <c r="M16" i="17"/>
  <c r="D28" i="13"/>
  <c r="C8" i="17"/>
  <c r="J5" i="17"/>
  <c r="M21" i="17"/>
  <c r="Y14" i="15"/>
  <c r="M28" i="13"/>
  <c r="Y11" i="13"/>
  <c r="C17" i="15"/>
  <c r="E18" i="15"/>
  <c r="J17" i="15"/>
  <c r="C13" i="15"/>
  <c r="C14" i="17"/>
  <c r="GH2" i="16"/>
  <c r="Q4" i="17"/>
  <c r="Q24" i="13"/>
  <c r="G11" i="19"/>
  <c r="K10" i="15"/>
  <c r="O4" i="19"/>
  <c r="J25" i="13"/>
  <c r="L32" i="17"/>
  <c r="BB2" i="14"/>
  <c r="E17" i="13"/>
  <c r="D7" i="17"/>
  <c r="OU2" i="16"/>
  <c r="V8" i="13"/>
  <c r="R11" i="15"/>
  <c r="G11" i="15"/>
  <c r="G12" i="19"/>
  <c r="S24" i="17"/>
  <c r="T6" i="15"/>
  <c r="F8" i="17"/>
  <c r="V31" i="19"/>
  <c r="K22" i="19"/>
  <c r="Q30" i="19"/>
  <c r="T25" i="15"/>
  <c r="S21" i="19"/>
  <c r="S29" i="19"/>
  <c r="M31" i="17"/>
  <c r="D35" i="19"/>
  <c r="T32" i="17"/>
  <c r="Y30" i="15"/>
  <c r="V28" i="13"/>
  <c r="D11" i="13"/>
  <c r="X8" i="15"/>
  <c r="R7" i="13"/>
  <c r="G23" i="19"/>
  <c r="R12" i="15"/>
  <c r="Q12" i="15"/>
  <c r="Y28" i="15"/>
  <c r="D9" i="19"/>
  <c r="M24" i="17"/>
  <c r="A15" i="19"/>
  <c r="GH2" i="20" s="1"/>
  <c r="W32" i="19"/>
  <c r="D9" i="15"/>
  <c r="T8" i="17"/>
  <c r="W15" i="19"/>
  <c r="I20" i="13"/>
  <c r="D4" i="19"/>
  <c r="T7" i="15"/>
  <c r="O23" i="17"/>
  <c r="M12" i="17"/>
  <c r="E5" i="13"/>
  <c r="X12" i="17"/>
  <c r="B21" i="13"/>
  <c r="N12" i="13"/>
  <c r="V27" i="13"/>
  <c r="V35" i="19"/>
  <c r="H14" i="15"/>
  <c r="A25" i="15"/>
  <c r="S13" i="15"/>
  <c r="Q25" i="15"/>
  <c r="H24" i="15"/>
  <c r="B7" i="17"/>
  <c r="P12" i="17"/>
  <c r="D5" i="13"/>
  <c r="IX2" i="20"/>
  <c r="B8" i="15"/>
  <c r="V25" i="19"/>
  <c r="P30" i="13"/>
  <c r="M19" i="17"/>
  <c r="F23" i="17"/>
  <c r="P28" i="13"/>
  <c r="U29" i="13"/>
  <c r="E4" i="13"/>
  <c r="M9" i="13"/>
  <c r="V27" i="15"/>
  <c r="M16" i="19"/>
  <c r="K28" i="13"/>
  <c r="S14" i="13"/>
  <c r="J17" i="19"/>
  <c r="A19" i="15"/>
  <c r="U6" i="17"/>
  <c r="H16" i="19"/>
  <c r="R16" i="19"/>
  <c r="T20" i="17"/>
  <c r="A17" i="15"/>
  <c r="N28" i="19"/>
  <c r="C15" i="17"/>
  <c r="X6" i="15"/>
  <c r="Y4" i="17"/>
  <c r="A26" i="19"/>
  <c r="Y7" i="17"/>
  <c r="T24" i="15"/>
  <c r="W10" i="13"/>
  <c r="R4" i="19"/>
  <c r="W28" i="17"/>
  <c r="L12" i="17"/>
  <c r="E14" i="17"/>
  <c r="S34" i="19"/>
  <c r="T12" i="15"/>
  <c r="O27" i="19"/>
  <c r="J15" i="15"/>
  <c r="O19" i="19"/>
  <c r="R34" i="19"/>
  <c r="G22" i="15"/>
  <c r="F15" i="17"/>
  <c r="B15" i="15"/>
  <c r="H28" i="19"/>
  <c r="M30" i="19"/>
  <c r="N33" i="19"/>
  <c r="C25" i="19"/>
  <c r="P12" i="15"/>
  <c r="O25" i="13"/>
  <c r="L8" i="13"/>
  <c r="O8" i="17"/>
  <c r="L23" i="15"/>
  <c r="J12" i="17"/>
  <c r="U14" i="13"/>
  <c r="G27" i="13"/>
  <c r="B26" i="13"/>
  <c r="B24" i="15"/>
  <c r="N6" i="13"/>
  <c r="N13" i="19"/>
  <c r="T19" i="19"/>
  <c r="L29" i="15"/>
  <c r="D12" i="17"/>
  <c r="T27" i="15"/>
  <c r="B24" i="19"/>
  <c r="V17" i="17"/>
  <c r="L8" i="19"/>
  <c r="J18" i="19"/>
  <c r="T13" i="13"/>
  <c r="M26" i="13"/>
  <c r="D4" i="15"/>
  <c r="N28" i="13"/>
  <c r="J10" i="19"/>
  <c r="L28" i="13"/>
  <c r="C22" i="19"/>
  <c r="R9" i="15"/>
  <c r="D30" i="15"/>
  <c r="C16" i="19"/>
  <c r="M4" i="15"/>
  <c r="C20" i="19"/>
  <c r="G7" i="15"/>
  <c r="O12" i="13"/>
  <c r="G32" i="19"/>
  <c r="J14" i="13"/>
  <c r="O8" i="13"/>
  <c r="T10" i="13"/>
  <c r="C14" i="13"/>
  <c r="D6" i="13"/>
  <c r="K25" i="15"/>
  <c r="G4" i="17"/>
  <c r="J28" i="19"/>
  <c r="F5" i="13"/>
  <c r="F16" i="13"/>
  <c r="T15" i="15"/>
  <c r="S30" i="15"/>
  <c r="N9" i="17"/>
  <c r="A18" i="19"/>
  <c r="V12" i="15"/>
  <c r="R13" i="17"/>
  <c r="F5" i="19"/>
  <c r="A12" i="15"/>
  <c r="D20" i="15"/>
  <c r="P15" i="19"/>
  <c r="F13" i="15"/>
  <c r="E23" i="19"/>
  <c r="E18" i="19"/>
  <c r="M15" i="19"/>
  <c r="W23" i="15"/>
  <c r="J11" i="13"/>
  <c r="R7" i="17"/>
  <c r="K28" i="15"/>
  <c r="Q26" i="13"/>
  <c r="G28" i="13"/>
  <c r="M32" i="17"/>
  <c r="U15" i="13"/>
  <c r="I24" i="13"/>
  <c r="KW2" i="20"/>
  <c r="Q9" i="17"/>
  <c r="B30" i="19"/>
  <c r="A8" i="19"/>
  <c r="M20" i="15"/>
  <c r="H22" i="13"/>
  <c r="Q17" i="13"/>
  <c r="Q18" i="13"/>
  <c r="E7" i="15"/>
  <c r="L18" i="15"/>
  <c r="Y5" i="17"/>
  <c r="L19" i="15"/>
  <c r="V25" i="15"/>
  <c r="B23" i="19"/>
  <c r="N20" i="13"/>
  <c r="R5" i="15"/>
  <c r="Y19" i="19"/>
  <c r="C23" i="17"/>
  <c r="T29" i="19"/>
  <c r="C20" i="17"/>
  <c r="R25" i="19"/>
  <c r="J28" i="17"/>
  <c r="CJ2" i="20"/>
  <c r="T29" i="17"/>
  <c r="P6" i="19"/>
  <c r="K17" i="19"/>
  <c r="P25" i="15"/>
  <c r="LN2" i="14"/>
  <c r="X4" i="13"/>
  <c r="D26" i="15"/>
  <c r="I27" i="13"/>
  <c r="G20" i="17"/>
  <c r="F22" i="19"/>
  <c r="W27" i="13"/>
  <c r="V32" i="17"/>
  <c r="D7" i="13"/>
  <c r="E22" i="13"/>
  <c r="F16" i="19"/>
  <c r="Y6" i="19"/>
  <c r="E24" i="17"/>
  <c r="M24" i="19"/>
  <c r="P20" i="13"/>
  <c r="N8" i="15"/>
  <c r="B10" i="13"/>
  <c r="B14" i="19"/>
  <c r="X30" i="13"/>
  <c r="B28" i="17"/>
  <c r="T16" i="17"/>
  <c r="A9" i="17"/>
  <c r="K14" i="15"/>
  <c r="K14" i="13"/>
  <c r="L21" i="13"/>
  <c r="A7" i="19"/>
  <c r="N5" i="19"/>
  <c r="U16" i="19"/>
  <c r="Y14" i="17"/>
  <c r="N11" i="13"/>
  <c r="V15" i="13"/>
  <c r="K20" i="19"/>
  <c r="O20" i="19"/>
  <c r="L29" i="13"/>
  <c r="GY2" i="16"/>
  <c r="J26" i="17"/>
  <c r="G10" i="15"/>
  <c r="F7" i="13"/>
  <c r="D11" i="19"/>
  <c r="J4" i="13"/>
  <c r="M4" i="13"/>
  <c r="U27" i="19"/>
  <c r="N10" i="15"/>
  <c r="I24" i="15"/>
  <c r="W14" i="15"/>
  <c r="T9" i="17"/>
  <c r="T12" i="17"/>
  <c r="Y9" i="17"/>
  <c r="O6" i="17"/>
  <c r="J7" i="13"/>
  <c r="T17" i="15"/>
  <c r="T13" i="15"/>
  <c r="D4" i="13"/>
  <c r="G14" i="15"/>
  <c r="V11" i="17"/>
  <c r="W30" i="17"/>
  <c r="H10" i="15"/>
  <c r="T30" i="13"/>
  <c r="Q8" i="13"/>
  <c r="S8" i="17"/>
  <c r="N4" i="19"/>
  <c r="U4" i="13"/>
  <c r="S27" i="15"/>
  <c r="O11" i="13"/>
  <c r="A4" i="13"/>
  <c r="C2" i="14" s="1"/>
  <c r="B28" i="15"/>
  <c r="F8" i="15"/>
  <c r="R4" i="15"/>
  <c r="Q7" i="13"/>
  <c r="Y19" i="17"/>
  <c r="E27" i="17"/>
  <c r="L21" i="19"/>
  <c r="I17" i="17"/>
  <c r="M33" i="19"/>
  <c r="X21" i="17"/>
  <c r="I29" i="17"/>
  <c r="B16" i="13"/>
  <c r="M21" i="13"/>
  <c r="I12" i="19"/>
  <c r="H20" i="17"/>
  <c r="F19" i="19"/>
  <c r="N15" i="17"/>
  <c r="K20" i="17"/>
  <c r="D8" i="15"/>
  <c r="LN2" i="16"/>
  <c r="K6" i="17"/>
  <c r="V14" i="19"/>
  <c r="Y21" i="13"/>
  <c r="T10" i="19"/>
  <c r="P13" i="17"/>
  <c r="E13" i="19"/>
  <c r="A11" i="19"/>
  <c r="DR2" i="20" s="1"/>
  <c r="I9" i="15"/>
  <c r="Q25" i="13"/>
  <c r="T26" i="17"/>
  <c r="J27" i="15"/>
  <c r="Q27" i="19"/>
  <c r="R13" i="15"/>
  <c r="J35" i="19"/>
  <c r="I25" i="17"/>
  <c r="V34" i="19"/>
  <c r="C13" i="19"/>
  <c r="X27" i="13"/>
  <c r="I20" i="19"/>
  <c r="L16" i="17"/>
  <c r="D16" i="13"/>
  <c r="D29" i="15"/>
  <c r="Q8" i="15"/>
  <c r="I11" i="15"/>
  <c r="M13" i="15"/>
  <c r="W7" i="19"/>
  <c r="I13" i="17"/>
  <c r="P11" i="17"/>
  <c r="H26" i="13"/>
  <c r="L9" i="15"/>
  <c r="B31" i="17"/>
  <c r="F22" i="13"/>
  <c r="P23" i="17"/>
  <c r="X7" i="13"/>
  <c r="N21" i="13"/>
  <c r="U23" i="15"/>
  <c r="X4" i="15"/>
  <c r="V22" i="19"/>
  <c r="B16" i="15"/>
  <c r="N23" i="17"/>
  <c r="I28" i="13"/>
  <c r="Y10" i="13"/>
  <c r="X14" i="13"/>
  <c r="K21" i="19"/>
  <c r="A23" i="17"/>
  <c r="S15" i="15"/>
  <c r="P20" i="17"/>
  <c r="I14" i="19"/>
  <c r="O26" i="19"/>
  <c r="NM2" i="14"/>
  <c r="G4" i="15"/>
  <c r="P22" i="15"/>
  <c r="N25" i="19"/>
  <c r="D12" i="13"/>
  <c r="H15" i="19"/>
  <c r="R21" i="15"/>
  <c r="I32" i="17"/>
  <c r="W31" i="17"/>
  <c r="Q16" i="17"/>
  <c r="V6" i="15"/>
  <c r="KW2" i="14"/>
  <c r="OU2" i="14"/>
  <c r="K6" i="13"/>
  <c r="B9" i="13"/>
  <c r="S11" i="13"/>
  <c r="C18" i="13"/>
  <c r="K31" i="19"/>
  <c r="K21" i="17"/>
  <c r="M25" i="15"/>
  <c r="U28" i="19"/>
  <c r="T33" i="19"/>
  <c r="K12" i="19"/>
  <c r="N14" i="15"/>
  <c r="F28" i="19"/>
  <c r="I29" i="15"/>
  <c r="I14" i="17"/>
  <c r="H17" i="17"/>
  <c r="H27" i="15"/>
  <c r="O9" i="17"/>
  <c r="K29" i="19"/>
  <c r="M19" i="13"/>
  <c r="F11" i="15"/>
  <c r="U9" i="13"/>
  <c r="U11" i="13"/>
  <c r="G7" i="13"/>
  <c r="L30" i="19"/>
  <c r="H5" i="17"/>
  <c r="O22" i="15"/>
  <c r="H9" i="13"/>
  <c r="DA2" i="20"/>
  <c r="V4" i="15"/>
  <c r="E12" i="15"/>
  <c r="S23" i="17"/>
  <c r="HP2" i="14"/>
  <c r="L30" i="17"/>
  <c r="Y22" i="19"/>
  <c r="V10" i="13"/>
  <c r="V28" i="17"/>
  <c r="J8" i="13"/>
  <c r="P8" i="13"/>
  <c r="S22" i="17"/>
  <c r="X26" i="15"/>
  <c r="K34" i="19"/>
  <c r="E30" i="13"/>
  <c r="W4" i="13"/>
  <c r="W5" i="15"/>
  <c r="T23" i="17"/>
  <c r="Y24" i="15"/>
  <c r="T4" i="15"/>
  <c r="L17" i="19"/>
  <c r="E32" i="17"/>
  <c r="P5" i="19"/>
  <c r="T29" i="15"/>
  <c r="R15" i="19"/>
  <c r="E10" i="19"/>
  <c r="W21" i="15"/>
  <c r="U29" i="19"/>
  <c r="H18" i="19"/>
  <c r="X10" i="17"/>
  <c r="R23" i="19"/>
  <c r="A21" i="15"/>
  <c r="G6" i="17"/>
  <c r="V13" i="13"/>
  <c r="V20" i="17"/>
  <c r="B24" i="13"/>
  <c r="Y7" i="15"/>
  <c r="H28" i="15"/>
  <c r="I15" i="19"/>
  <c r="HP2" i="16"/>
  <c r="D25" i="19"/>
  <c r="W24" i="19"/>
  <c r="E22" i="17"/>
  <c r="NM2" i="18"/>
  <c r="W27" i="17"/>
  <c r="P16" i="15"/>
  <c r="H17" i="13"/>
  <c r="M17" i="13"/>
  <c r="I13" i="15"/>
  <c r="D20" i="19"/>
  <c r="L11" i="13"/>
  <c r="S4" i="15"/>
  <c r="Q21" i="17"/>
  <c r="J10" i="15"/>
  <c r="G11" i="17"/>
  <c r="C4" i="13"/>
  <c r="L28" i="15"/>
  <c r="A9" i="15"/>
  <c r="F14" i="19"/>
  <c r="B5" i="15"/>
  <c r="F26" i="17"/>
  <c r="J18" i="13"/>
  <c r="M6" i="13"/>
  <c r="C24" i="13"/>
  <c r="Y28" i="13"/>
  <c r="O21" i="17"/>
  <c r="A22" i="17"/>
  <c r="V26" i="19"/>
  <c r="W25" i="15"/>
  <c r="U11" i="17"/>
  <c r="L8" i="17"/>
  <c r="D26" i="17"/>
  <c r="N24" i="13"/>
  <c r="J18" i="15"/>
  <c r="I14" i="13"/>
  <c r="G8" i="13"/>
  <c r="I11" i="19"/>
  <c r="X30" i="15"/>
  <c r="G27" i="15"/>
  <c r="I8" i="19"/>
  <c r="W10" i="15"/>
  <c r="R5" i="19"/>
  <c r="N28" i="15"/>
  <c r="L28" i="17"/>
  <c r="H12" i="15"/>
  <c r="A4" i="19"/>
  <c r="J12" i="15"/>
  <c r="F19" i="17"/>
  <c r="R18" i="17"/>
  <c r="B17" i="15"/>
  <c r="N5" i="15"/>
  <c r="J23" i="19"/>
  <c r="K7" i="15"/>
  <c r="E15" i="17"/>
  <c r="J16" i="19"/>
  <c r="T6" i="19"/>
  <c r="K30" i="15"/>
  <c r="C19" i="19"/>
  <c r="V14" i="13"/>
  <c r="V23" i="15"/>
  <c r="L10" i="13"/>
  <c r="H7" i="19"/>
  <c r="K8" i="13"/>
  <c r="G8" i="17"/>
  <c r="E7" i="19"/>
  <c r="C9" i="15"/>
  <c r="V28" i="19"/>
  <c r="B22" i="15"/>
  <c r="T4" i="13"/>
  <c r="P24" i="13"/>
  <c r="T23" i="15"/>
  <c r="P24" i="15"/>
  <c r="W26" i="19"/>
  <c r="K13" i="13"/>
  <c r="C16" i="15"/>
  <c r="C21" i="15"/>
  <c r="M25" i="13"/>
  <c r="D18" i="17"/>
  <c r="R26" i="19"/>
  <c r="R31" i="17"/>
  <c r="R15" i="17"/>
  <c r="C29" i="15"/>
  <c r="G35" i="19"/>
  <c r="X9" i="17"/>
  <c r="C22" i="17"/>
  <c r="G27" i="17"/>
  <c r="H18" i="13"/>
  <c r="Q5" i="17"/>
  <c r="B6" i="15"/>
  <c r="L29" i="19"/>
  <c r="D9" i="13"/>
  <c r="R18" i="13"/>
  <c r="A14" i="17"/>
  <c r="D32" i="17"/>
  <c r="I4" i="19"/>
  <c r="F8" i="13"/>
  <c r="U35" i="19"/>
  <c r="K7" i="13"/>
  <c r="U11" i="15"/>
  <c r="J26" i="13"/>
  <c r="E17" i="17"/>
  <c r="U18" i="13"/>
  <c r="Q6" i="13"/>
  <c r="E28" i="17"/>
  <c r="C26" i="17"/>
  <c r="F15" i="13"/>
  <c r="B20" i="13"/>
  <c r="C21" i="19"/>
  <c r="J24" i="17"/>
  <c r="G23" i="15"/>
  <c r="D23" i="13"/>
  <c r="L27" i="19"/>
  <c r="D29" i="13"/>
  <c r="F24" i="19"/>
  <c r="M20" i="19"/>
  <c r="U25" i="17"/>
  <c r="W32" i="17"/>
  <c r="N7" i="15"/>
  <c r="N10" i="13"/>
  <c r="I13" i="13"/>
  <c r="I26" i="15"/>
  <c r="T12" i="19"/>
  <c r="Y10" i="15"/>
  <c r="M16" i="13"/>
  <c r="S11" i="15"/>
  <c r="N34" i="19"/>
  <c r="V28" i="15"/>
  <c r="U20" i="15"/>
  <c r="W29" i="17"/>
  <c r="U30" i="15"/>
  <c r="W8" i="15"/>
  <c r="U28" i="17"/>
  <c r="Y13" i="17"/>
  <c r="G30" i="17"/>
  <c r="G5" i="13"/>
  <c r="D24" i="13"/>
  <c r="L27" i="17"/>
  <c r="B15" i="17"/>
  <c r="G21" i="15"/>
  <c r="F6" i="13"/>
  <c r="I7" i="13"/>
  <c r="M26" i="15"/>
  <c r="G10" i="17"/>
  <c r="S19" i="13"/>
  <c r="Y7" i="19"/>
  <c r="J31" i="17"/>
  <c r="X6" i="13"/>
  <c r="B15" i="19"/>
  <c r="C4" i="17"/>
  <c r="N11" i="17"/>
  <c r="X16" i="13"/>
  <c r="W22" i="15"/>
  <c r="A5" i="15"/>
  <c r="X5" i="19"/>
  <c r="G14" i="13"/>
  <c r="P19" i="13"/>
  <c r="Y12" i="19"/>
  <c r="W18" i="19"/>
  <c r="S22" i="13"/>
  <c r="V25" i="13"/>
  <c r="U21" i="19"/>
  <c r="EZ2" i="20"/>
  <c r="O5" i="15"/>
  <c r="Q21" i="19"/>
  <c r="J33" i="19"/>
  <c r="C29" i="17"/>
  <c r="EZ2" i="18"/>
  <c r="R27" i="19"/>
  <c r="Q14" i="19"/>
  <c r="F12" i="13"/>
  <c r="B19" i="15"/>
  <c r="Q14" i="15"/>
  <c r="C9" i="13"/>
  <c r="O21" i="15"/>
  <c r="J21" i="15"/>
  <c r="HP2" i="20"/>
  <c r="M12" i="15"/>
  <c r="C14" i="15"/>
  <c r="P27" i="19"/>
  <c r="S17" i="17"/>
  <c r="Y24" i="13"/>
  <c r="L25" i="19"/>
  <c r="X21" i="19"/>
  <c r="ME2" i="14"/>
  <c r="H28" i="13"/>
  <c r="R8" i="17"/>
  <c r="B30" i="13"/>
  <c r="HP2" i="18"/>
  <c r="Y13" i="13"/>
  <c r="J25" i="17"/>
  <c r="R14" i="15"/>
  <c r="GY2" i="20"/>
  <c r="G18" i="19"/>
  <c r="H27" i="19"/>
  <c r="O10" i="15"/>
  <c r="U12" i="17"/>
  <c r="X27" i="19"/>
  <c r="G10" i="13"/>
  <c r="T13" i="17"/>
  <c r="T11" i="15"/>
  <c r="O8" i="15"/>
  <c r="T26" i="13"/>
  <c r="C25" i="17"/>
  <c r="X18" i="15"/>
  <c r="V17" i="15"/>
  <c r="O7" i="15"/>
  <c r="V23" i="19"/>
  <c r="G15" i="13"/>
  <c r="T2" i="16"/>
  <c r="C16" i="17"/>
  <c r="I21" i="13"/>
  <c r="J19" i="13"/>
  <c r="I18" i="13"/>
  <c r="L14" i="19"/>
  <c r="R19" i="13"/>
  <c r="I7" i="19"/>
  <c r="C22" i="13"/>
  <c r="Y26" i="15"/>
  <c r="V23" i="13"/>
  <c r="X5" i="15"/>
  <c r="X11" i="13"/>
  <c r="P21" i="19"/>
  <c r="O24" i="19"/>
  <c r="S18" i="17"/>
  <c r="V29" i="15"/>
  <c r="F4" i="15"/>
  <c r="J24" i="19"/>
  <c r="OD2" i="16"/>
  <c r="V19" i="13"/>
  <c r="O18" i="19"/>
  <c r="M10" i="17"/>
  <c r="F23" i="15"/>
  <c r="A6" i="15"/>
  <c r="O22" i="13"/>
  <c r="S26" i="19"/>
  <c r="L24" i="13"/>
  <c r="Y22" i="13"/>
  <c r="B15" i="13"/>
  <c r="T30" i="19"/>
  <c r="K9" i="13"/>
  <c r="D15" i="13"/>
  <c r="G24" i="19"/>
  <c r="H14" i="19"/>
  <c r="D26" i="13"/>
  <c r="F15" i="15"/>
  <c r="X21" i="15"/>
  <c r="N25" i="15"/>
  <c r="Y29" i="13"/>
  <c r="I22" i="17"/>
  <c r="X28" i="13"/>
  <c r="O19" i="15"/>
  <c r="T31" i="17"/>
  <c r="B12" i="15"/>
  <c r="B21" i="15"/>
  <c r="P22" i="17"/>
  <c r="V8" i="15"/>
  <c r="E19" i="13"/>
  <c r="K14" i="19"/>
  <c r="B19" i="19"/>
  <c r="U9" i="19"/>
  <c r="G15" i="17"/>
  <c r="R10" i="15"/>
  <c r="E6" i="13"/>
  <c r="Y30" i="17"/>
  <c r="N27" i="15"/>
  <c r="O29" i="15"/>
  <c r="T26" i="15"/>
  <c r="X15" i="17"/>
  <c r="U12" i="15"/>
  <c r="X29" i="13"/>
  <c r="T17" i="13"/>
  <c r="U26" i="15"/>
  <c r="R8" i="13"/>
  <c r="V21" i="17"/>
  <c r="X23" i="19"/>
  <c r="U9" i="17"/>
  <c r="M14" i="13"/>
  <c r="Q11" i="13"/>
  <c r="U16" i="13"/>
  <c r="W6" i="19"/>
  <c r="L12" i="13"/>
  <c r="Q7" i="17"/>
  <c r="V14" i="15"/>
  <c r="Y12" i="15"/>
  <c r="C14" i="19"/>
  <c r="W26" i="17"/>
  <c r="I29" i="19"/>
  <c r="D24" i="19"/>
  <c r="X29" i="19"/>
  <c r="Q31" i="19"/>
  <c r="K11" i="15"/>
  <c r="D21" i="17"/>
  <c r="J31" i="19"/>
  <c r="U13" i="13"/>
  <c r="C21" i="13"/>
  <c r="W6" i="15"/>
  <c r="R17" i="19"/>
  <c r="F7" i="17"/>
  <c r="T27" i="13"/>
  <c r="C15" i="19"/>
  <c r="F19" i="15"/>
  <c r="M25" i="17"/>
  <c r="CJ2" i="14"/>
  <c r="I27" i="19"/>
  <c r="C10" i="15"/>
  <c r="X16" i="15"/>
  <c r="T28" i="15"/>
  <c r="D17" i="15"/>
  <c r="B27" i="13"/>
  <c r="P11" i="15"/>
  <c r="B22" i="17"/>
  <c r="L13" i="19"/>
  <c r="PL2" i="16"/>
  <c r="H25" i="19"/>
  <c r="D11" i="17"/>
  <c r="N24" i="15"/>
  <c r="J30" i="13"/>
  <c r="D27" i="13"/>
  <c r="N4" i="15"/>
  <c r="IG2" i="20"/>
  <c r="Q22" i="15"/>
  <c r="L20" i="13"/>
  <c r="X28" i="17"/>
  <c r="O35" i="19"/>
  <c r="NM2" i="20"/>
  <c r="U7" i="19"/>
  <c r="B18" i="17"/>
  <c r="O27" i="15"/>
  <c r="W23" i="19"/>
  <c r="W15" i="17"/>
  <c r="D27" i="15"/>
  <c r="R4" i="13"/>
  <c r="BB2" i="20"/>
  <c r="E27" i="19"/>
  <c r="M20" i="13"/>
  <c r="V16" i="17"/>
  <c r="C12" i="13"/>
  <c r="Y21" i="15"/>
  <c r="K28" i="17"/>
  <c r="I4" i="13"/>
  <c r="D13" i="17"/>
  <c r="D24" i="15"/>
  <c r="P4" i="15"/>
  <c r="D17" i="19"/>
  <c r="Q20" i="13"/>
  <c r="F9" i="15"/>
  <c r="E13" i="15"/>
  <c r="B4" i="15"/>
  <c r="G19" i="17"/>
  <c r="V13" i="15"/>
  <c r="C2" i="16"/>
  <c r="X4" i="17"/>
  <c r="I5" i="13"/>
  <c r="J9" i="19"/>
  <c r="O7" i="17"/>
  <c r="F17" i="15"/>
  <c r="Q18" i="15"/>
  <c r="C9" i="17"/>
  <c r="O14" i="17"/>
  <c r="M18" i="17"/>
  <c r="P22" i="19"/>
  <c r="C10" i="19"/>
  <c r="F6" i="19"/>
  <c r="A13" i="13"/>
  <c r="EZ2" i="14" s="1"/>
  <c r="Q10" i="17"/>
  <c r="S4" i="17"/>
  <c r="X30" i="19"/>
  <c r="E7" i="17"/>
  <c r="A5" i="13"/>
  <c r="T2" i="14" s="1"/>
  <c r="C11" i="17"/>
  <c r="D25" i="17"/>
  <c r="J17" i="13"/>
  <c r="X27" i="17"/>
  <c r="C19" i="17"/>
  <c r="Y15" i="19"/>
  <c r="A22" i="15"/>
  <c r="KW2" i="16" s="1"/>
  <c r="K19" i="19"/>
  <c r="S28" i="15"/>
  <c r="T21" i="17"/>
  <c r="S11" i="17"/>
  <c r="X29" i="17"/>
  <c r="L7" i="13"/>
  <c r="N32" i="19"/>
  <c r="G20" i="13"/>
  <c r="Q10" i="15"/>
  <c r="H16" i="13"/>
  <c r="J4" i="19"/>
  <c r="E4" i="19"/>
  <c r="K11" i="17"/>
  <c r="E21" i="13"/>
  <c r="R30" i="19"/>
  <c r="X21" i="13"/>
  <c r="P8" i="17"/>
  <c r="L11" i="17"/>
  <c r="X26" i="17"/>
  <c r="M24" i="13"/>
  <c r="Y24" i="19"/>
  <c r="U32" i="17"/>
  <c r="N13" i="15"/>
  <c r="O11" i="19"/>
  <c r="H15" i="15"/>
  <c r="D24" i="17"/>
  <c r="K16" i="19"/>
  <c r="J10" i="17"/>
  <c r="Y28" i="19"/>
  <c r="X22" i="19"/>
  <c r="R25" i="13"/>
  <c r="W4" i="15"/>
  <c r="P13" i="15"/>
  <c r="L25" i="13"/>
  <c r="E21" i="17"/>
  <c r="W19" i="13"/>
  <c r="A8" i="17"/>
  <c r="BS2" i="18" s="1"/>
  <c r="L28" i="19"/>
  <c r="I4" i="17"/>
  <c r="Q22" i="13"/>
  <c r="P14" i="19"/>
  <c r="E15" i="15"/>
  <c r="I25" i="15"/>
  <c r="W13" i="13"/>
  <c r="D27" i="17"/>
  <c r="R4" i="17"/>
  <c r="J28" i="15"/>
  <c r="GH2" i="14"/>
  <c r="I8" i="13"/>
  <c r="A29" i="13"/>
  <c r="PL2" i="14" s="1"/>
  <c r="L26" i="17"/>
  <c r="C19" i="15"/>
  <c r="E14" i="15"/>
  <c r="S14" i="19"/>
  <c r="D9" i="17"/>
  <c r="X11" i="15"/>
  <c r="W9" i="15"/>
  <c r="D22" i="19"/>
  <c r="J26" i="15"/>
  <c r="B12" i="17"/>
  <c r="O27" i="13"/>
  <c r="G16" i="15"/>
  <c r="P25" i="17"/>
  <c r="JO2" i="18"/>
  <c r="L9" i="17"/>
  <c r="T8" i="13"/>
  <c r="V12" i="19"/>
  <c r="M23" i="17"/>
  <c r="A8" i="15"/>
  <c r="P23" i="19"/>
  <c r="V29" i="13"/>
  <c r="Y15" i="17"/>
  <c r="PL2" i="18"/>
  <c r="A27" i="13"/>
  <c r="T10" i="15"/>
  <c r="M8" i="17"/>
  <c r="QT2" i="18"/>
  <c r="S26" i="15"/>
  <c r="D16" i="15"/>
  <c r="K16" i="15"/>
  <c r="H9" i="19"/>
  <c r="X14" i="15"/>
  <c r="I11" i="13"/>
  <c r="H15" i="13"/>
  <c r="K4" i="19"/>
  <c r="IX2" i="16"/>
  <c r="C18" i="19"/>
  <c r="L4" i="13"/>
  <c r="U11" i="19"/>
  <c r="K16" i="13"/>
  <c r="W7" i="17"/>
  <c r="B11" i="17"/>
  <c r="K9" i="17"/>
  <c r="B7" i="15"/>
  <c r="X7" i="15"/>
  <c r="Q22" i="19"/>
  <c r="V17" i="13"/>
  <c r="L11" i="15"/>
  <c r="H30" i="13"/>
  <c r="L19" i="13"/>
  <c r="L4" i="15"/>
  <c r="KF2" i="18"/>
  <c r="A25" i="19"/>
  <c r="V13" i="17"/>
  <c r="Y11" i="19"/>
  <c r="E27" i="15"/>
  <c r="Q8" i="19"/>
  <c r="N23" i="15"/>
  <c r="Q29" i="13"/>
  <c r="B17" i="19"/>
  <c r="C32" i="19"/>
  <c r="U24" i="15"/>
  <c r="A26" i="15"/>
  <c r="J30" i="17"/>
  <c r="G25" i="17"/>
  <c r="H27" i="17"/>
  <c r="R20" i="19"/>
  <c r="H30" i="19"/>
  <c r="I22" i="15"/>
  <c r="S18" i="15"/>
  <c r="F28" i="13"/>
  <c r="O11" i="17"/>
  <c r="V12" i="13"/>
  <c r="F27" i="19"/>
  <c r="OD2" i="20"/>
  <c r="P10" i="19"/>
  <c r="P21" i="17"/>
  <c r="GH2" i="18"/>
  <c r="W33" i="17"/>
  <c r="K13" i="15"/>
  <c r="H15" i="17"/>
  <c r="T23" i="13"/>
  <c r="Q25" i="19"/>
  <c r="Q27" i="15"/>
  <c r="A6" i="13"/>
  <c r="L6" i="19"/>
  <c r="G21" i="19"/>
  <c r="O13" i="15"/>
  <c r="D14" i="17"/>
  <c r="J13" i="19"/>
  <c r="L20" i="19"/>
  <c r="Y18" i="19"/>
  <c r="X4" i="19"/>
  <c r="Y18" i="15"/>
  <c r="B11" i="19"/>
  <c r="H19" i="13"/>
  <c r="V23" i="17"/>
  <c r="E11" i="13"/>
  <c r="K35" i="19"/>
  <c r="B29" i="13"/>
  <c r="IX2" i="14"/>
  <c r="U23" i="17"/>
  <c r="U5" i="15"/>
  <c r="P26" i="17"/>
  <c r="G13" i="13"/>
  <c r="C5" i="15"/>
  <c r="Q19" i="19"/>
  <c r="B20" i="19"/>
  <c r="G25" i="13"/>
  <c r="FQ2" i="14"/>
  <c r="Q11" i="15"/>
  <c r="W7" i="13"/>
  <c r="M22" i="15"/>
  <c r="Q19" i="17"/>
  <c r="T12" i="13"/>
  <c r="C12" i="15"/>
  <c r="C30" i="17"/>
  <c r="K21" i="15"/>
  <c r="D30" i="19"/>
  <c r="G11" i="13"/>
  <c r="Q23" i="17"/>
  <c r="K23" i="13"/>
  <c r="O24" i="17"/>
  <c r="A12" i="17"/>
  <c r="T30" i="15"/>
  <c r="Q6" i="17"/>
  <c r="E31" i="19"/>
  <c r="R12" i="17"/>
  <c r="X12" i="15"/>
  <c r="C13" i="13"/>
  <c r="F4" i="17"/>
  <c r="H19" i="19"/>
  <c r="J14" i="17"/>
  <c r="O17" i="13"/>
  <c r="D10" i="17"/>
  <c r="G20" i="15"/>
  <c r="H19" i="15"/>
  <c r="I28" i="17"/>
  <c r="GY2" i="18"/>
  <c r="Y8" i="13"/>
  <c r="P15" i="15"/>
  <c r="E26" i="15"/>
  <c r="H19" i="17"/>
  <c r="K30" i="17"/>
  <c r="U14" i="15"/>
  <c r="F16" i="17"/>
  <c r="OU2" i="18"/>
  <c r="B4" i="19"/>
  <c r="Y22" i="17"/>
  <c r="A6" i="19"/>
  <c r="V9" i="15"/>
  <c r="K25" i="13"/>
  <c r="J27" i="13"/>
  <c r="T2" i="20"/>
  <c r="B30" i="15"/>
  <c r="U30" i="13"/>
  <c r="IG2" i="16"/>
  <c r="M28" i="15"/>
  <c r="B24" i="17"/>
  <c r="Q27" i="13"/>
  <c r="V32" i="19"/>
  <c r="PL2" i="20"/>
  <c r="J12" i="13"/>
  <c r="Y4" i="13"/>
  <c r="F25" i="15"/>
  <c r="ME2" i="16"/>
  <c r="L35" i="19"/>
  <c r="E8" i="13"/>
  <c r="X28" i="19"/>
  <c r="N30" i="13"/>
  <c r="N22" i="15"/>
  <c r="E20" i="19"/>
  <c r="F24" i="17"/>
  <c r="Q20" i="17"/>
  <c r="J23" i="17"/>
  <c r="E21" i="15"/>
  <c r="E26" i="13"/>
  <c r="D33" i="17"/>
  <c r="K23" i="17"/>
  <c r="F14" i="15"/>
  <c r="V24" i="13"/>
  <c r="U4" i="15"/>
  <c r="X27" i="15"/>
  <c r="M5" i="15"/>
  <c r="H5" i="13"/>
  <c r="X13" i="13"/>
  <c r="E31" i="17"/>
  <c r="C15" i="15"/>
  <c r="I30" i="15"/>
  <c r="R17" i="13"/>
  <c r="B27" i="17"/>
  <c r="M30" i="13"/>
  <c r="H21" i="17"/>
  <c r="K6" i="19"/>
  <c r="F26" i="19"/>
  <c r="A11" i="15"/>
  <c r="U26" i="13"/>
  <c r="I14" i="15"/>
  <c r="F20" i="13"/>
  <c r="E24" i="15"/>
  <c r="E12" i="19"/>
  <c r="M30" i="15"/>
  <c r="G5" i="19"/>
  <c r="DR2" i="18"/>
  <c r="N14" i="19"/>
  <c r="O30" i="15"/>
  <c r="L30" i="13"/>
  <c r="C24" i="15"/>
  <c r="N15" i="13"/>
  <c r="R9" i="19"/>
  <c r="I6" i="19"/>
  <c r="W31" i="19"/>
  <c r="M19" i="15"/>
  <c r="C21" i="17"/>
  <c r="X22" i="13"/>
  <c r="E8" i="15"/>
  <c r="U8" i="13"/>
  <c r="OD2" i="18"/>
  <c r="K27" i="19"/>
  <c r="G6" i="13"/>
  <c r="U9" i="15"/>
  <c r="K23" i="15"/>
  <c r="R18" i="15"/>
  <c r="J33" i="17"/>
  <c r="S15" i="19"/>
  <c r="U33" i="17"/>
  <c r="A20" i="13"/>
  <c r="N8" i="13"/>
  <c r="G23" i="17"/>
  <c r="R23" i="15"/>
  <c r="H12" i="17"/>
  <c r="U10" i="13"/>
  <c r="B9" i="15"/>
  <c r="M22" i="13"/>
  <c r="N29" i="17"/>
  <c r="J14" i="15"/>
  <c r="FQ2" i="16"/>
  <c r="Y27" i="15"/>
  <c r="M25" i="19"/>
  <c r="D23" i="19"/>
  <c r="U18" i="15"/>
  <c r="U15" i="19"/>
  <c r="MV2" i="14"/>
  <c r="C33" i="17"/>
  <c r="Q12" i="19"/>
  <c r="I15" i="13"/>
  <c r="K22" i="15"/>
  <c r="I6" i="17"/>
  <c r="W25" i="17"/>
  <c r="V19" i="15"/>
  <c r="F19" i="13"/>
  <c r="J9" i="15"/>
  <c r="I8" i="17"/>
  <c r="O26" i="15"/>
  <c r="M8" i="19"/>
  <c r="G17" i="19"/>
  <c r="U20" i="13"/>
  <c r="J7" i="19"/>
  <c r="X16" i="17"/>
  <c r="T6" i="17"/>
  <c r="H9" i="15"/>
  <c r="V4" i="17"/>
  <c r="MV2" i="20"/>
  <c r="NM2" i="16"/>
  <c r="BB2" i="16"/>
  <c r="D11" i="15"/>
  <c r="Y6" i="17"/>
  <c r="V21" i="15"/>
  <c r="I18" i="19"/>
  <c r="U17" i="15"/>
  <c r="B11" i="15"/>
  <c r="S27" i="13"/>
  <c r="N12" i="15"/>
  <c r="Q12" i="13"/>
  <c r="A24" i="17"/>
  <c r="ME2" i="18" s="1"/>
  <c r="T14" i="19"/>
  <c r="L15" i="17"/>
  <c r="Q30" i="17"/>
  <c r="B14" i="13"/>
  <c r="E11" i="17"/>
  <c r="N23" i="19"/>
  <c r="V20" i="19"/>
  <c r="Q13" i="13"/>
  <c r="R27" i="13"/>
  <c r="V30" i="13"/>
  <c r="X26" i="13"/>
  <c r="LN2" i="20"/>
  <c r="P6" i="17"/>
  <c r="C31" i="19"/>
  <c r="Y5" i="13"/>
  <c r="QC2" i="20"/>
  <c r="K18" i="15"/>
  <c r="X25" i="19"/>
  <c r="L18" i="19"/>
  <c r="G30" i="13"/>
  <c r="N19" i="13"/>
  <c r="D15" i="15"/>
  <c r="H21" i="19"/>
  <c r="I18" i="15"/>
  <c r="L8" i="15"/>
  <c r="C26" i="15"/>
  <c r="J29" i="17"/>
  <c r="O26" i="13"/>
  <c r="W12" i="15"/>
  <c r="L5" i="19"/>
  <c r="BB2" i="18"/>
  <c r="U28" i="13"/>
  <c r="G8" i="19"/>
  <c r="M20" i="17"/>
  <c r="C20" i="15"/>
  <c r="O33" i="17"/>
  <c r="K12" i="15"/>
  <c r="L7" i="15"/>
  <c r="Y23" i="15"/>
  <c r="U25" i="13"/>
  <c r="R13" i="19"/>
  <c r="P20" i="15"/>
  <c r="C8" i="13"/>
  <c r="R17" i="17"/>
  <c r="U15" i="17"/>
  <c r="L26" i="13"/>
  <c r="J8" i="17"/>
  <c r="D6" i="19"/>
  <c r="T10" i="17"/>
  <c r="A30" i="17"/>
  <c r="QC2" i="18" s="1"/>
  <c r="J22" i="13"/>
  <c r="V30" i="19"/>
  <c r="K32" i="17"/>
  <c r="I23" i="19"/>
  <c r="W27" i="15"/>
  <c r="B14" i="15"/>
  <c r="F16" i="15"/>
  <c r="C16" i="13"/>
  <c r="T9" i="15"/>
  <c r="M12" i="13"/>
  <c r="O13" i="13"/>
  <c r="B19" i="17"/>
  <c r="S24" i="15"/>
  <c r="X9" i="13"/>
  <c r="W16" i="15"/>
  <c r="C2" i="18"/>
  <c r="B21" i="17"/>
  <c r="CJ2" i="18"/>
  <c r="E20" i="17"/>
  <c r="L26" i="15"/>
  <c r="W25" i="19"/>
  <c r="R18" i="19"/>
  <c r="O19" i="13"/>
  <c r="T33" i="17"/>
  <c r="Q9" i="19"/>
  <c r="I22" i="13"/>
  <c r="P17" i="19"/>
  <c r="U25" i="15"/>
  <c r="I32" i="19"/>
  <c r="P9" i="17"/>
  <c r="G21" i="13"/>
  <c r="T14" i="17"/>
  <c r="P33" i="19"/>
  <c r="K13" i="19"/>
  <c r="V5" i="17"/>
  <c r="O28" i="13"/>
  <c r="F11" i="13"/>
  <c r="Y20" i="19"/>
  <c r="I17" i="15"/>
  <c r="T18" i="13"/>
  <c r="N14" i="17"/>
  <c r="E6" i="15"/>
  <c r="E7" i="13"/>
  <c r="EI2" i="16"/>
  <c r="DR2" i="16"/>
  <c r="QC2" i="16"/>
  <c r="P28" i="17"/>
  <c r="H7" i="17"/>
  <c r="O28" i="17"/>
  <c r="F26" i="15"/>
  <c r="G5" i="17"/>
  <c r="T15" i="19"/>
  <c r="M29" i="17"/>
  <c r="Q18" i="19"/>
  <c r="S7" i="13"/>
  <c r="S15" i="13"/>
  <c r="F25" i="17"/>
  <c r="D10" i="13"/>
  <c r="S7" i="15"/>
  <c r="U10" i="15"/>
  <c r="B4" i="17"/>
  <c r="G25" i="19"/>
  <c r="E30" i="15"/>
  <c r="K24" i="13"/>
  <c r="X8" i="17"/>
  <c r="D12" i="15"/>
  <c r="M27" i="15"/>
  <c r="O9" i="13"/>
  <c r="O6" i="13"/>
  <c r="M9" i="19"/>
  <c r="D28" i="15"/>
  <c r="AK2" i="20"/>
  <c r="H23" i="15"/>
  <c r="R35" i="19"/>
  <c r="R19" i="15"/>
  <c r="EZ2" i="16"/>
  <c r="E26" i="19"/>
  <c r="Y31" i="19"/>
  <c r="O19" i="17"/>
  <c r="F21" i="19"/>
  <c r="Q4" i="13"/>
  <c r="R7" i="15"/>
  <c r="J26" i="19"/>
  <c r="U27" i="13"/>
  <c r="J9" i="13"/>
  <c r="C32" i="17"/>
  <c r="S23" i="15"/>
  <c r="R30" i="17"/>
  <c r="C28" i="15"/>
  <c r="H20" i="13"/>
  <c r="L23" i="13"/>
  <c r="A16" i="13"/>
  <c r="GY2" i="14" s="1"/>
  <c r="F17" i="19"/>
  <c r="OU2" i="20"/>
  <c r="B29" i="15"/>
  <c r="L29" i="17"/>
  <c r="L24" i="19"/>
  <c r="Y10" i="17"/>
  <c r="O4" i="17"/>
  <c r="Q20" i="15"/>
  <c r="T25" i="13"/>
  <c r="G9" i="17"/>
  <c r="Y34" i="19"/>
  <c r="P22" i="13"/>
  <c r="I23" i="17"/>
  <c r="T21" i="19"/>
  <c r="Y23" i="19"/>
  <c r="Q16" i="13"/>
  <c r="S32" i="19"/>
  <c r="T11" i="17"/>
  <c r="P17" i="17"/>
  <c r="L5" i="15"/>
  <c r="H7" i="15"/>
  <c r="V14" i="17"/>
  <c r="B22" i="13"/>
  <c r="A12" i="19"/>
  <c r="G8" i="15"/>
  <c r="E22" i="19"/>
  <c r="J23" i="13"/>
  <c r="I29" i="13"/>
  <c r="C25" i="13"/>
  <c r="D15" i="19"/>
  <c r="R28" i="15"/>
  <c r="E9" i="19"/>
  <c r="I25" i="13"/>
  <c r="B6" i="19"/>
  <c r="N4" i="13"/>
  <c r="F28" i="15"/>
  <c r="U22" i="15"/>
  <c r="S13" i="13"/>
  <c r="C27" i="13"/>
  <c r="S6" i="17"/>
  <c r="P27" i="13"/>
  <c r="N17" i="19"/>
  <c r="U33" i="19"/>
  <c r="N16" i="19"/>
  <c r="R10" i="17"/>
  <c r="K25" i="17"/>
  <c r="Y20" i="15"/>
  <c r="H6" i="17"/>
  <c r="F20" i="15"/>
  <c r="H26" i="15"/>
  <c r="AK2" i="16"/>
  <c r="A25" i="17"/>
  <c r="N9" i="19"/>
  <c r="A5" i="17"/>
  <c r="O26" i="17"/>
  <c r="MV2" i="16"/>
  <c r="BS2" i="16"/>
  <c r="RK2" i="18"/>
  <c r="QC2" i="14"/>
  <c r="EI2" i="20"/>
  <c r="G20" i="19"/>
  <c r="R26" i="17"/>
  <c r="C13" i="17"/>
  <c r="C28" i="13"/>
  <c r="I25" i="19"/>
  <c r="T18" i="15"/>
  <c r="M10" i="13"/>
  <c r="F27" i="15"/>
  <c r="R29" i="19"/>
  <c r="N29" i="15"/>
  <c r="B31" i="19"/>
  <c r="R6" i="15"/>
  <c r="B29" i="19"/>
  <c r="N8" i="17"/>
  <c r="Y15" i="15"/>
  <c r="B13" i="19"/>
  <c r="G26" i="15"/>
  <c r="AK2" i="14"/>
  <c r="L15" i="13"/>
  <c r="O23" i="13"/>
  <c r="BS2" i="14"/>
  <c r="S25" i="15"/>
  <c r="C7" i="13"/>
  <c r="T8" i="15"/>
  <c r="X11" i="19"/>
  <c r="X20" i="17"/>
  <c r="C2" i="20"/>
  <c r="IX2" i="18"/>
  <c r="OD2" i="14"/>
  <c r="SB2" i="18"/>
  <c r="KW2" i="18"/>
  <c r="LN2" i="18"/>
  <c r="QT2" i="20"/>
  <c r="QT2" i="16"/>
  <c r="BS2" i="20"/>
  <c r="SB1" i="20" l="1"/>
  <c r="TJ1" i="18"/>
  <c r="SB1" i="16"/>
  <c r="SB1" i="14"/>
  <c r="FQ2" i="18"/>
  <c r="MV2" i="18"/>
  <c r="CJ2" i="16"/>
  <c r="RK2" i="20"/>
  <c r="JO2" i="14"/>
  <c r="RK2" i="14"/>
  <c r="EI2" i="18"/>
  <c r="EI2" i="14"/>
  <c r="RK2" i="16"/>
  <c r="T2" i="18"/>
  <c r="FQ2" i="20"/>
  <c r="TJ2" i="18"/>
  <c r="KF2" i="16"/>
  <c r="SS1" i="20" l="1"/>
  <c r="SS1" i="16"/>
  <c r="SS1" i="14"/>
  <c r="SB2" i="20"/>
  <c r="SB2" i="16"/>
  <c r="SB2" i="14"/>
  <c r="TJ1" i="20" l="1"/>
  <c r="TJ1" i="16"/>
  <c r="TJ1" i="14"/>
  <c r="SS2" i="14"/>
  <c r="SS2" i="20"/>
  <c r="TJ2" i="14"/>
  <c r="SS2" i="16"/>
  <c r="TJ2" i="16"/>
  <c r="TJ2" i="20"/>
</calcChain>
</file>

<file path=xl/sharedStrings.xml><?xml version="1.0" encoding="utf-8"?>
<sst xmlns="http://schemas.openxmlformats.org/spreadsheetml/2006/main" count="3627" uniqueCount="227">
  <si>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</si>
  <si>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</si>
  <si>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</si>
  <si>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</si>
  <si>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</si>
  <si>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</si>
  <si>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</si>
  <si>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</si>
  <si>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</si>
  <si>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</si>
  <si>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</si>
  <si>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</si>
  <si>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</si>
  <si>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</si>
  <si>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</si>
  <si>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</si>
  <si>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</si>
  <si>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</si>
  <si>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</si>
  <si>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</si>
  <si>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</si>
  <si>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</si>
  <si>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</si>
  <si>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</si>
  <si>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</si>
  <si>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</si>
  <si>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</si>
  <si>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</si>
  <si>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</si>
  <si>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</si>
  <si>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</si>
  <si>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</si>
  <si>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</si>
  <si>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D2/1</t>
  </si>
  <si>
    <t>Note globale</t>
  </si>
  <si>
    <t>Notation</t>
  </si>
  <si>
    <t>D2/2</t>
  </si>
  <si>
    <t>D2/3</t>
  </si>
  <si>
    <t>D2/4</t>
  </si>
  <si>
    <t>D2/1 - AP</t>
  </si>
  <si>
    <t>D5/1</t>
  </si>
  <si>
    <t>D5/2</t>
  </si>
  <si>
    <t>Nom de la feuille liée</t>
  </si>
  <si>
    <t>Indice  de liste</t>
  </si>
  <si>
    <t>Lignes des domaines</t>
  </si>
  <si>
    <t>Décalage</t>
  </si>
  <si>
    <t>Liste 6ème</t>
  </si>
  <si>
    <t>ALARDIN Anouk</t>
  </si>
  <si>
    <t>AYMOND Victoire</t>
  </si>
  <si>
    <t>BOUISSOU Simon</t>
  </si>
  <si>
    <t>COMBROUZE Francois</t>
  </si>
  <si>
    <t>CORNIL Justine</t>
  </si>
  <si>
    <t>CRETEL--HERIVEAU Rose</t>
  </si>
  <si>
    <t>DESEILLE Gaston</t>
  </si>
  <si>
    <t>DUBOCQ Tristan</t>
  </si>
  <si>
    <t>FRUGIER Andrea</t>
  </si>
  <si>
    <t>GALEANO Antoine</t>
  </si>
  <si>
    <t>GARAND Blanche</t>
  </si>
  <si>
    <t>GENEVEE Apolline</t>
  </si>
  <si>
    <t>GILLES Leopold</t>
  </si>
  <si>
    <t>GOISQUE Foucauld</t>
  </si>
  <si>
    <t>GUENOT Emma</t>
  </si>
  <si>
    <t>GUILLOT Cesar</t>
  </si>
  <si>
    <t>LALLEMENT Clemence</t>
  </si>
  <si>
    <t>LECORSU Romeo</t>
  </si>
  <si>
    <t>LECUYER Garance</t>
  </si>
  <si>
    <t>LESNE Melchior</t>
  </si>
  <si>
    <t>MANZANARES Margaux</t>
  </si>
  <si>
    <t>MARTINEZ Emilio</t>
  </si>
  <si>
    <t>MULLIGAN Anais</t>
  </si>
  <si>
    <t>ORSINI Robinson</t>
  </si>
  <si>
    <t>PERROUIN Appoline</t>
  </si>
  <si>
    <t>ROSALES--MURCIANO Matias</t>
  </si>
  <si>
    <t>ROUVRE Emma</t>
  </si>
  <si>
    <t>SANTOS--LARTIGUE Ines</t>
  </si>
  <si>
    <t>TARRIERE EL HANNAOUI Lea</t>
  </si>
  <si>
    <t>TRIOLET Mila</t>
  </si>
  <si>
    <t>TROUCHON Marie-Helix</t>
  </si>
  <si>
    <t>ZHENDRE Meline</t>
  </si>
  <si>
    <t>AOUSTIN Jeanne</t>
  </si>
  <si>
    <t>BERQUEZ Victor</t>
  </si>
  <si>
    <t>BERTHIER Leeloo</t>
  </si>
  <si>
    <t>BERTRAND--BEYNEIX Hugo</t>
  </si>
  <si>
    <t>BESNIER Gabriel</t>
  </si>
  <si>
    <t>BLANCHET Camille</t>
  </si>
  <si>
    <t>BOUFELLAH Sylia</t>
  </si>
  <si>
    <t>CHADOZEAU Agathe</t>
  </si>
  <si>
    <t>COSTA Paul</t>
  </si>
  <si>
    <t>COURAUD Axelle</t>
  </si>
  <si>
    <t>COUTANT Elena</t>
  </si>
  <si>
    <t>DE BENGY Thomas</t>
  </si>
  <si>
    <t>DE LA HOUGUE Violette</t>
  </si>
  <si>
    <t>DE PONCHEVILLE Maelys</t>
  </si>
  <si>
    <t>FARMAN Mahaut</t>
  </si>
  <si>
    <t>GERARD Lenny</t>
  </si>
  <si>
    <t>GERVAIS-PRIMORAC Ivan</t>
  </si>
  <si>
    <t>GOTTE Constance</t>
  </si>
  <si>
    <t>GUILLARD Honore</t>
  </si>
  <si>
    <t>HURE Marie-Lys</t>
  </si>
  <si>
    <t>JABOULEY Adelaide</t>
  </si>
  <si>
    <t>JEAN-BAPTISTE Clemence</t>
  </si>
  <si>
    <t>LADAN Juliette</t>
  </si>
  <si>
    <t>LALOUM Tina</t>
  </si>
  <si>
    <t>LE DRESSAY Max</t>
  </si>
  <si>
    <t>MATHIEU Margot</t>
  </si>
  <si>
    <t>MEKIBES Aslane</t>
  </si>
  <si>
    <t>PRADEAU Diane-Marie</t>
  </si>
  <si>
    <t>RAHARIMANANA Tantely</t>
  </si>
  <si>
    <t>ROBERT Charlotte</t>
  </si>
  <si>
    <t>ANDRE Gabrielle</t>
  </si>
  <si>
    <t>BORGYE Lisa</t>
  </si>
  <si>
    <t>BOUE Lucie</t>
  </si>
  <si>
    <t>CHALAND Marine</t>
  </si>
  <si>
    <t>COFFI-BOTREAU Eloise</t>
  </si>
  <si>
    <t>COSTA Jose</t>
  </si>
  <si>
    <t>DE GERMAY Paul</t>
  </si>
  <si>
    <t>DE PONCHEVILLE Aliette</t>
  </si>
  <si>
    <t>DUFOUR Nehemie</t>
  </si>
  <si>
    <t>GALENNE--PARISOT Titouan</t>
  </si>
  <si>
    <t>IMHOFF Dorian</t>
  </si>
  <si>
    <t>LANGLOIS Agathe</t>
  </si>
  <si>
    <t>LASNE Axel</t>
  </si>
  <si>
    <t>LAURENT Marie</t>
  </si>
  <si>
    <t>LAVALLEE Cedric</t>
  </si>
  <si>
    <t>LE GOUVELLO DE LA PORTE Armelle</t>
  </si>
  <si>
    <t>LE MINTIER Maixent</t>
  </si>
  <si>
    <t>LEGAL Oriane</t>
  </si>
  <si>
    <t>LERE Alicia</t>
  </si>
  <si>
    <t>MAGNANT Leonie</t>
  </si>
  <si>
    <t>NEIGE--SARFATI Raphael</t>
  </si>
  <si>
    <t>POITRENAUD Lou-Ann</t>
  </si>
  <si>
    <t>RANCHOUX Louis</t>
  </si>
  <si>
    <t>RIVIERE Thomas</t>
  </si>
  <si>
    <t>ROS--BONNET Andrea</t>
  </si>
  <si>
    <t>SOULEZ Marion</t>
  </si>
  <si>
    <t>TOUSSAINT Pauline</t>
  </si>
  <si>
    <t>ANTIGNY Arthur</t>
  </si>
  <si>
    <t>BIDAULT Camille</t>
  </si>
  <si>
    <t>BOUCHER Hortense</t>
  </si>
  <si>
    <t>BRAULT Amaury</t>
  </si>
  <si>
    <t>CHAPRON Elise</t>
  </si>
  <si>
    <t>DE LA RUE DU CAN Baptiste</t>
  </si>
  <si>
    <t>DESECOT Marie-Clemence</t>
  </si>
  <si>
    <t>FAROOQ ELIAS Mathyus</t>
  </si>
  <si>
    <t>GATINE Martin</t>
  </si>
  <si>
    <t>GODON Maximilien</t>
  </si>
  <si>
    <t>GOUVAZE Aristide</t>
  </si>
  <si>
    <t>HALLAIS Louis</t>
  </si>
  <si>
    <t>HERON LANGLOIS Valentin</t>
  </si>
  <si>
    <t>JEANDEMANGE Marc</t>
  </si>
  <si>
    <t>JIANG Leo</t>
  </si>
  <si>
    <t>KADRIC Lina</t>
  </si>
  <si>
    <t>LE CLEZIO Olivia</t>
  </si>
  <si>
    <t>LECONTE Ziyed</t>
  </si>
  <si>
    <t>MARCHAND Antoine</t>
  </si>
  <si>
    <t>MARTINAT Antoine</t>
  </si>
  <si>
    <t>NORGUET Andrea</t>
  </si>
  <si>
    <t>NOSMAS Clement</t>
  </si>
  <si>
    <t>POUPAULT Sasha</t>
  </si>
  <si>
    <t>RICARD Samuel</t>
  </si>
  <si>
    <t>ROBIN Paul-Armand</t>
  </si>
  <si>
    <t>STEPHANT Marius</t>
  </si>
  <si>
    <t>VUILLEMIN Oriane</t>
  </si>
  <si>
    <t>AURIAULT Anne-Lise</t>
  </si>
  <si>
    <t>BAHNES Sawsane</t>
  </si>
  <si>
    <t>BARCAT Eliette</t>
  </si>
  <si>
    <t>BLANQUET DU CHAYLA Sixtine</t>
  </si>
  <si>
    <t>BLED Alexandre</t>
  </si>
  <si>
    <t>BOSC-FERTE Adam</t>
  </si>
  <si>
    <t>CAMARET Pierre-Louis</t>
  </si>
  <si>
    <t>CHATELAIN Antoine</t>
  </si>
  <si>
    <t>DAUMAIN Arthur</t>
  </si>
  <si>
    <t>DEVANNEAUX Amandine</t>
  </si>
  <si>
    <t>FREDOILLE Mylan</t>
  </si>
  <si>
    <t>GILLOT Quiterie</t>
  </si>
  <si>
    <t>JOURDAIN Marc</t>
  </si>
  <si>
    <t>LORIOUX Paul</t>
  </si>
  <si>
    <t>MAQUET Aurore</t>
  </si>
  <si>
    <t>MENNECART Héloise</t>
  </si>
  <si>
    <t>MORAND Francois-Louis</t>
  </si>
  <si>
    <t>MOSSERON Antonin</t>
  </si>
  <si>
    <t>MULLEMAN Achille</t>
  </si>
  <si>
    <t>POUPONNEAU Arthur</t>
  </si>
  <si>
    <t>RIMBERT Charlotte</t>
  </si>
  <si>
    <t>ROBARD Roméo</t>
  </si>
  <si>
    <t>ROQUETA Adrien</t>
  </si>
  <si>
    <t>ROULLET DE LA BOUILLERIE Donatienne</t>
  </si>
  <si>
    <t>SAINT-JOURS Eléna</t>
  </si>
  <si>
    <t>TECLU Lulia</t>
  </si>
  <si>
    <t>TROCHET Paul</t>
  </si>
  <si>
    <t>VANUZZI Camille</t>
  </si>
  <si>
    <t>Classe (6ème1)</t>
  </si>
  <si>
    <t>Elève (6ème1)</t>
  </si>
  <si>
    <t>Elève (6ème2)</t>
  </si>
  <si>
    <t>Classe (6ème2)</t>
  </si>
  <si>
    <t>Elève (6ème3)</t>
  </si>
  <si>
    <t>Classe (6ème3)</t>
  </si>
  <si>
    <t>Elève (6ème4)</t>
  </si>
  <si>
    <t>Classe (6ème4)</t>
  </si>
  <si>
    <t>Classe 6ème1
2017 2018</t>
  </si>
  <si>
    <t>Classe 6ème2
2017 2018</t>
  </si>
  <si>
    <t>Classe 6ème3
2017 2018</t>
  </si>
  <si>
    <t>Classe 6ème4
2017 2018</t>
  </si>
  <si>
    <t>6ème1</t>
  </si>
  <si>
    <t>6ème2</t>
  </si>
  <si>
    <t>6ème3</t>
  </si>
  <si>
    <t>6ème4</t>
  </si>
  <si>
    <t>6ème5</t>
  </si>
  <si>
    <t>EVAL 1</t>
  </si>
  <si>
    <t>eval  M1</t>
  </si>
  <si>
    <t>eval M1</t>
  </si>
  <si>
    <t>EVAL M1</t>
  </si>
  <si>
    <t>eval M2</t>
  </si>
  <si>
    <t>EVAL M2</t>
  </si>
  <si>
    <t>Evaluations par trimestre</t>
  </si>
  <si>
    <t>1er tri</t>
  </si>
  <si>
    <t>eval CH1</t>
  </si>
  <si>
    <t>Guichard Paul</t>
  </si>
  <si>
    <t>Pradeau Diane-Marie</t>
  </si>
  <si>
    <t>Eval CH1</t>
  </si>
  <si>
    <t>Fiche CH2/2</t>
  </si>
  <si>
    <t>Fiche CH2/1</t>
  </si>
  <si>
    <t>fiche CH2/2</t>
  </si>
  <si>
    <t>fiche CH2/1</t>
  </si>
  <si>
    <t>Fiche CH2/3</t>
  </si>
  <si>
    <t>fiche CH2/3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</si>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</sst>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indexed="64"/>
      </right>
      <top/>
      <bottom style="thin">
        <color indexed="64"/>
      </bottom>
      <diagonal/>
    </border>
    <border>
      <left style="dash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ouble">
        <color indexed="64"/>
      </right>
      <top style="thin">
        <color indexed="64"/>
      </top>
      <bottom/>
      <diagonal/>
    </border>
    <border>
      <left style="dashed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62">
    <xf numFmtId="0" fontId="0" fillId="0" borderId="0" xfId="0"/>
    <xf numFmtId="0" fontId="0" fillId="0" borderId="0" xfId="0" applyAlignment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0" fillId="0" borderId="3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56" xfId="0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0" xfId="0" applyProtection="1"/>
    <xf numFmtId="0" fontId="0" fillId="0" borderId="19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5" fillId="13" borderId="63" xfId="0" applyFont="1" applyFill="1" applyBorder="1" applyAlignment="1" applyProtection="1">
      <alignment horizontal="center" vertical="center" wrapText="1"/>
    </xf>
    <xf numFmtId="0" fontId="5" fillId="13" borderId="64" xfId="0" applyFont="1" applyFill="1" applyBorder="1" applyAlignment="1" applyProtection="1">
      <alignment horizontal="center" vertical="center" wrapText="1"/>
    </xf>
    <xf numFmtId="0" fontId="5" fillId="13" borderId="65" xfId="0" applyFont="1" applyFill="1" applyBorder="1" applyAlignment="1" applyProtection="1">
      <alignment horizontal="center" vertical="center" wrapText="1"/>
    </xf>
    <xf numFmtId="0" fontId="0" fillId="13" borderId="66" xfId="0" applyFill="1" applyBorder="1" applyAlignment="1" applyProtection="1">
      <alignment horizontal="center" vertical="center" wrapText="1"/>
    </xf>
    <xf numFmtId="0" fontId="0" fillId="13" borderId="67" xfId="0" applyFill="1" applyBorder="1" applyAlignment="1" applyProtection="1">
      <alignment horizontal="center" vertical="center" wrapText="1"/>
    </xf>
    <xf numFmtId="0" fontId="0" fillId="13" borderId="68" xfId="0" applyFill="1" applyBorder="1" applyAlignment="1" applyProtection="1">
      <alignment horizontal="center" vertical="center" wrapText="1"/>
    </xf>
    <xf numFmtId="0" fontId="0" fillId="13" borderId="65" xfId="0" applyFill="1" applyBorder="1" applyAlignment="1" applyProtection="1">
      <alignment horizontal="center" vertical="center" wrapText="1"/>
    </xf>
    <xf numFmtId="0" fontId="0" fillId="13" borderId="69" xfId="0" applyFill="1" applyBorder="1" applyAlignment="1" applyProtection="1">
      <alignment horizontal="center" vertical="center" wrapText="1"/>
    </xf>
    <xf numFmtId="0" fontId="0" fillId="13" borderId="70" xfId="0" applyFill="1" applyBorder="1" applyAlignment="1" applyProtection="1">
      <alignment horizontal="center" vertical="center" wrapText="1"/>
    </xf>
    <xf numFmtId="0" fontId="0" fillId="13" borderId="71" xfId="0" applyFill="1" applyBorder="1" applyAlignment="1" applyProtection="1">
      <alignment horizontal="center" vertical="center" wrapText="1"/>
    </xf>
    <xf numFmtId="0" fontId="0" fillId="14" borderId="66" xfId="0" applyFill="1" applyBorder="1" applyAlignment="1" applyProtection="1">
      <alignment horizontal="center" vertical="center" wrapText="1"/>
    </xf>
    <xf numFmtId="0" fontId="0" fillId="14" borderId="71" xfId="0" applyFill="1" applyBorder="1" applyAlignment="1" applyProtection="1">
      <alignment horizontal="center" vertical="center" wrapText="1"/>
    </xf>
    <xf numFmtId="0" fontId="0" fillId="15" borderId="78" xfId="0" applyFill="1" applyBorder="1" applyAlignment="1" applyProtection="1">
      <alignment horizontal="center" vertical="center"/>
    </xf>
    <xf numFmtId="0" fontId="0" fillId="15" borderId="79" xfId="0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20" borderId="57" xfId="0" applyFill="1" applyBorder="1" applyAlignment="1" applyProtection="1">
      <alignment horizontal="center" vertical="center"/>
    </xf>
    <xf numFmtId="0" fontId="0" fillId="17" borderId="14" xfId="0" applyFill="1" applyBorder="1" applyAlignment="1" applyProtection="1">
      <alignment horizontal="center" vertical="center"/>
    </xf>
    <xf numFmtId="0" fontId="0" fillId="17" borderId="16" xfId="0" applyFill="1" applyBorder="1" applyAlignment="1" applyProtection="1">
      <alignment horizontal="center" vertical="center" wrapText="1"/>
    </xf>
    <xf numFmtId="0" fontId="0" fillId="17" borderId="15" xfId="0" applyFill="1" applyBorder="1" applyAlignment="1" applyProtection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81" xfId="0" applyBorder="1" applyAlignment="1" applyProtection="1">
      <alignment horizontal="center" vertical="center"/>
    </xf>
    <xf numFmtId="0" fontId="0" fillId="16" borderId="57" xfId="0" applyFill="1" applyBorder="1" applyAlignment="1" applyProtection="1">
      <alignment horizontal="center" vertical="center"/>
    </xf>
    <xf numFmtId="0" fontId="0" fillId="0" borderId="0" xfId="0" applyBorder="1" applyProtection="1"/>
    <xf numFmtId="2" fontId="0" fillId="0" borderId="53" xfId="0" applyNumberFormat="1" applyBorder="1" applyAlignment="1" applyProtection="1">
      <alignment horizontal="center" vertical="center"/>
    </xf>
    <xf numFmtId="2" fontId="0" fillId="0" borderId="46" xfId="0" applyNumberFormat="1" applyBorder="1" applyAlignment="1" applyProtection="1">
      <alignment horizontal="center" vertical="center"/>
    </xf>
    <xf numFmtId="2" fontId="0" fillId="0" borderId="48" xfId="0" applyNumberFormat="1" applyBorder="1" applyAlignment="1" applyProtection="1">
      <alignment horizontal="center" vertical="center"/>
    </xf>
    <xf numFmtId="2" fontId="0" fillId="0" borderId="54" xfId="0" applyNumberFormat="1" applyBorder="1" applyAlignment="1" applyProtection="1">
      <alignment horizontal="center" vertical="center"/>
    </xf>
    <xf numFmtId="2" fontId="0" fillId="0" borderId="47" xfId="0" applyNumberFormat="1" applyBorder="1" applyAlignment="1" applyProtection="1">
      <alignment horizontal="center" vertical="center"/>
    </xf>
    <xf numFmtId="2" fontId="0" fillId="0" borderId="55" xfId="0" applyNumberFormat="1" applyBorder="1" applyAlignment="1" applyProtection="1">
      <alignment horizontal="center" vertical="center"/>
    </xf>
    <xf numFmtId="0" fontId="1" fillId="21" borderId="13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3" fillId="23" borderId="97" xfId="1" applyFill="1" applyBorder="1"/>
    <xf numFmtId="0" fontId="3" fillId="24" borderId="98" xfId="0" applyFont="1" applyFill="1" applyBorder="1" applyAlignment="1">
      <alignment horizontal="left" vertical="center"/>
    </xf>
    <xf numFmtId="0" fontId="3" fillId="2" borderId="93" xfId="1" applyFont="1" applyFill="1" applyBorder="1" applyAlignment="1" applyProtection="1">
      <alignment vertical="center"/>
    </xf>
    <xf numFmtId="0" fontId="2" fillId="12" borderId="94" xfId="0" applyFont="1" applyFill="1" applyBorder="1" applyAlignment="1" applyProtection="1">
      <alignment horizontal="center" vertical="center" wrapText="1"/>
    </xf>
    <xf numFmtId="0" fontId="0" fillId="16" borderId="1" xfId="0" applyFill="1" applyBorder="1" applyAlignment="1" applyProtection="1">
      <alignment horizontal="center" vertical="center"/>
    </xf>
    <xf numFmtId="0" fontId="0" fillId="16" borderId="2" xfId="0" applyFill="1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25" borderId="14" xfId="0" applyFill="1" applyBorder="1" applyAlignment="1">
      <alignment horizontal="centerContinuous" vertical="center"/>
    </xf>
    <xf numFmtId="0" fontId="0" fillId="25" borderId="15" xfId="0" applyFill="1" applyBorder="1" applyAlignment="1">
      <alignment horizontal="centerContinuous" vertical="center"/>
    </xf>
    <xf numFmtId="0" fontId="0" fillId="0" borderId="99" xfId="0" applyBorder="1" applyAlignment="1">
      <alignment horizontal="center" vertical="center"/>
    </xf>
    <xf numFmtId="0" fontId="0" fillId="13" borderId="99" xfId="0" applyFill="1" applyBorder="1" applyAlignment="1">
      <alignment horizontal="center" vertical="center"/>
    </xf>
    <xf numFmtId="0" fontId="0" fillId="22" borderId="80" xfId="0" applyFont="1" applyFill="1" applyBorder="1" applyAlignment="1" applyProtection="1">
      <alignment horizontal="center" vertical="center"/>
      <protection locked="0" hidden="1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 textRotation="90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1" fillId="0" borderId="5" xfId="0" applyFont="1" applyBorder="1" applyAlignment="1" applyProtection="1">
      <alignment horizontal="center" vertical="center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0" fillId="0" borderId="11" xfId="0" applyFont="1" applyBorder="1" applyAlignment="1" applyProtection="1">
      <alignment horizontal="center" vertical="center" textRotation="90"/>
      <protection locked="0" hidden="1"/>
    </xf>
    <xf numFmtId="0" fontId="1" fillId="4" borderId="4" xfId="0" applyFont="1" applyFill="1" applyBorder="1" applyAlignment="1" applyProtection="1">
      <alignment horizontal="center" vertical="center" wrapText="1"/>
      <protection locked="0" hidden="1"/>
    </xf>
    <xf numFmtId="0" fontId="0" fillId="0" borderId="12" xfId="0" applyFont="1" applyBorder="1" applyAlignment="1" applyProtection="1">
      <alignment horizontal="center" vertical="center" textRotation="90"/>
      <protection locked="0" hidden="1"/>
    </xf>
    <xf numFmtId="0" fontId="1" fillId="10" borderId="4" xfId="0" applyFont="1" applyFill="1" applyBorder="1" applyAlignment="1" applyProtection="1">
      <alignment horizontal="center" vertical="center" wrapText="1"/>
      <protection locked="0" hidden="1"/>
    </xf>
    <xf numFmtId="0" fontId="1" fillId="5" borderId="4" xfId="0" applyFont="1" applyFill="1" applyBorder="1" applyAlignment="1" applyProtection="1">
      <alignment horizontal="center" vertical="center" wrapText="1"/>
      <protection locked="0" hidden="1"/>
    </xf>
    <xf numFmtId="0" fontId="1" fillId="5" borderId="8" xfId="0" applyFont="1" applyFill="1" applyBorder="1" applyAlignment="1" applyProtection="1">
      <alignment horizontal="center" vertical="center" wrapText="1"/>
      <protection locked="0" hidden="1"/>
    </xf>
    <xf numFmtId="0" fontId="1" fillId="17" borderId="4" xfId="0" applyFont="1" applyFill="1" applyBorder="1" applyAlignment="1" applyProtection="1">
      <alignment horizontal="center" vertical="center"/>
      <protection locked="0" hidden="1"/>
    </xf>
    <xf numFmtId="0" fontId="1" fillId="17" borderId="6" xfId="0" applyFont="1" applyFill="1" applyBorder="1" applyAlignment="1" applyProtection="1">
      <alignment horizontal="center" vertical="center"/>
      <protection locked="0" hidden="1"/>
    </xf>
    <xf numFmtId="0" fontId="0" fillId="0" borderId="82" xfId="0" applyFont="1" applyBorder="1" applyAlignment="1" applyProtection="1">
      <alignment horizontal="center" vertical="center" textRotation="90"/>
      <protection locked="0" hidden="1"/>
    </xf>
    <xf numFmtId="0" fontId="0" fillId="0" borderId="16" xfId="0" applyFont="1" applyBorder="1" applyAlignment="1" applyProtection="1">
      <alignment horizontal="center" vertical="center" textRotation="90"/>
      <protection locked="0" hidden="1"/>
    </xf>
    <xf numFmtId="0" fontId="0" fillId="0" borderId="15" xfId="0" applyFont="1" applyBorder="1" applyAlignment="1" applyProtection="1">
      <alignment horizontal="center" vertical="center" textRotation="90"/>
      <protection locked="0" hidden="1"/>
    </xf>
    <xf numFmtId="0" fontId="1" fillId="4" borderId="5" xfId="0" applyFont="1" applyFill="1" applyBorder="1" applyAlignment="1" applyProtection="1">
      <alignment horizontal="center" vertical="center" wrapText="1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1" fillId="10" borderId="5" xfId="0" applyFont="1" applyFill="1" applyBorder="1" applyAlignment="1" applyProtection="1">
      <alignment horizontal="center" vertical="center" wrapText="1"/>
      <protection locked="0" hidden="1"/>
    </xf>
    <xf numFmtId="0" fontId="7" fillId="3" borderId="4" xfId="0" applyFont="1" applyFill="1" applyBorder="1" applyAlignment="1" applyProtection="1">
      <alignment horizontal="center" vertical="center" wrapText="1"/>
      <protection locked="0" hidden="1"/>
    </xf>
    <xf numFmtId="0" fontId="5" fillId="0" borderId="59" xfId="0" applyFont="1" applyFill="1" applyBorder="1" applyAlignment="1" applyProtection="1">
      <alignment horizontal="center" vertical="center"/>
      <protection locked="0" hidden="1"/>
    </xf>
    <xf numFmtId="0" fontId="5" fillId="4" borderId="8" xfId="0" applyFont="1" applyFill="1" applyBorder="1" applyAlignment="1" applyProtection="1">
      <alignment horizontal="center" vertical="center"/>
      <protection locked="0" hidden="1"/>
    </xf>
    <xf numFmtId="0" fontId="5" fillId="10" borderId="8" xfId="0" applyFont="1" applyFill="1" applyBorder="1" applyAlignment="1" applyProtection="1">
      <alignment horizontal="center" vertical="center"/>
      <protection locked="0" hidden="1"/>
    </xf>
    <xf numFmtId="0" fontId="5" fillId="5" borderId="8" xfId="0" applyFont="1" applyFill="1" applyBorder="1" applyAlignment="1" applyProtection="1">
      <alignment horizontal="center" vertical="center"/>
      <protection locked="0" hidden="1"/>
    </xf>
    <xf numFmtId="0" fontId="5" fillId="17" borderId="83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Protection="1">
      <protection locked="0" hidden="1"/>
    </xf>
    <xf numFmtId="0" fontId="5" fillId="0" borderId="19" xfId="0" applyFont="1" applyBorder="1" applyAlignment="1" applyProtection="1">
      <alignment horizontal="center" vertical="center"/>
      <protection locked="0" hidden="1"/>
    </xf>
    <xf numFmtId="0" fontId="5" fillId="0" borderId="20" xfId="0" applyFont="1" applyBorder="1" applyAlignment="1" applyProtection="1">
      <alignment horizontal="center" vertical="center"/>
      <protection locked="0" hidden="1"/>
    </xf>
    <xf numFmtId="0" fontId="5" fillId="0" borderId="21" xfId="0" applyFont="1" applyBorder="1" applyAlignment="1" applyProtection="1">
      <alignment horizontal="center" vertical="center"/>
      <protection locked="0" hidden="1"/>
    </xf>
    <xf numFmtId="0" fontId="5" fillId="0" borderId="60" xfId="0" applyFont="1" applyFill="1" applyBorder="1" applyAlignment="1" applyProtection="1">
      <alignment horizontal="center" vertical="center"/>
      <protection locked="0" hidden="1"/>
    </xf>
    <xf numFmtId="0" fontId="5" fillId="6" borderId="61" xfId="0" applyFont="1" applyFill="1" applyBorder="1" applyAlignment="1" applyProtection="1">
      <alignment horizontal="center" vertical="center"/>
      <protection locked="0" hidden="1"/>
    </xf>
    <xf numFmtId="0" fontId="5" fillId="7" borderId="88" xfId="0" applyFont="1" applyFill="1" applyBorder="1" applyAlignment="1" applyProtection="1">
      <alignment horizontal="center" vertical="center"/>
      <protection locked="0" hidden="1"/>
    </xf>
    <xf numFmtId="0" fontId="5" fillId="0" borderId="84" xfId="0" applyFont="1" applyBorder="1" applyAlignment="1" applyProtection="1">
      <alignment horizontal="center" vertical="center"/>
      <protection locked="0" hidden="1"/>
    </xf>
    <xf numFmtId="0" fontId="5" fillId="0" borderId="25" xfId="0" applyFont="1" applyBorder="1" applyAlignment="1" applyProtection="1">
      <alignment horizontal="center" vertical="center"/>
      <protection locked="0" hidden="1"/>
    </xf>
    <xf numFmtId="0" fontId="5" fillId="0" borderId="26" xfId="0" applyFont="1" applyBorder="1" applyAlignment="1" applyProtection="1">
      <alignment horizontal="center" vertical="center"/>
      <protection locked="0" hidden="1"/>
    </xf>
    <xf numFmtId="0" fontId="5" fillId="0" borderId="27" xfId="0" applyFont="1" applyBorder="1" applyAlignment="1" applyProtection="1">
      <alignment horizontal="center" vertical="center"/>
      <protection locked="0" hidden="1"/>
    </xf>
    <xf numFmtId="0" fontId="5" fillId="0" borderId="53" xfId="0" applyFont="1" applyFill="1" applyBorder="1" applyAlignment="1" applyProtection="1">
      <alignment horizontal="center" vertical="center"/>
      <protection locked="0" hidden="1"/>
    </xf>
    <xf numFmtId="0" fontId="5" fillId="6" borderId="24" xfId="0" applyFont="1" applyFill="1" applyBorder="1" applyAlignment="1" applyProtection="1">
      <alignment horizontal="center" vertical="center"/>
      <protection locked="0" hidden="1"/>
    </xf>
    <xf numFmtId="0" fontId="5" fillId="7" borderId="89" xfId="0" applyFont="1" applyFill="1" applyBorder="1" applyAlignment="1" applyProtection="1">
      <alignment horizontal="center" vertical="center"/>
      <protection locked="0" hidden="1"/>
    </xf>
    <xf numFmtId="0" fontId="5" fillId="0" borderId="85" xfId="0" applyFont="1" applyBorder="1" applyAlignment="1" applyProtection="1">
      <alignment horizontal="center" vertical="center"/>
      <protection locked="0" hidden="1"/>
    </xf>
    <xf numFmtId="0" fontId="5" fillId="0" borderId="5" xfId="0" applyFont="1" applyFill="1" applyBorder="1" applyAlignment="1" applyProtection="1">
      <alignment horizontal="center" vertical="center"/>
      <protection locked="0" hidden="1"/>
    </xf>
    <xf numFmtId="0" fontId="5" fillId="0" borderId="8" xfId="0" applyFont="1" applyFill="1" applyBorder="1" applyAlignment="1" applyProtection="1">
      <alignment horizontal="center" vertical="center"/>
      <protection locked="0" hidden="1"/>
    </xf>
    <xf numFmtId="0" fontId="5" fillId="0" borderId="4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5" fillId="3" borderId="88" xfId="0" applyFont="1" applyFill="1" applyBorder="1" applyAlignment="1" applyProtection="1">
      <alignment horizontal="center" vertical="center"/>
      <protection locked="0" hidden="1"/>
    </xf>
    <xf numFmtId="0" fontId="5" fillId="6" borderId="62" xfId="0" applyFont="1" applyFill="1" applyBorder="1" applyAlignment="1" applyProtection="1">
      <alignment horizontal="center" vertical="center"/>
      <protection locked="0" hidden="1"/>
    </xf>
    <xf numFmtId="0" fontId="5" fillId="0" borderId="24" xfId="0" applyFont="1" applyBorder="1" applyAlignment="1" applyProtection="1">
      <alignment horizontal="center" vertical="center"/>
      <protection locked="0" hidden="1"/>
    </xf>
    <xf numFmtId="0" fontId="5" fillId="0" borderId="31" xfId="0" applyFont="1" applyBorder="1" applyAlignment="1" applyProtection="1">
      <alignment horizontal="center" vertical="center"/>
      <protection locked="0" hidden="1"/>
    </xf>
    <xf numFmtId="0" fontId="5" fillId="0" borderId="32" xfId="0" applyFont="1" applyBorder="1" applyAlignment="1" applyProtection="1">
      <alignment horizontal="center" vertical="center"/>
      <protection locked="0" hidden="1"/>
    </xf>
    <xf numFmtId="0" fontId="5" fillId="0" borderId="33" xfId="0" applyFont="1" applyBorder="1" applyAlignment="1" applyProtection="1">
      <alignment horizontal="center" vertical="center"/>
      <protection locked="0" hidden="1"/>
    </xf>
    <xf numFmtId="0" fontId="5" fillId="0" borderId="58" xfId="0" applyFont="1" applyFill="1" applyBorder="1" applyAlignment="1" applyProtection="1">
      <alignment horizontal="center" vertical="center"/>
      <protection locked="0" hidden="1"/>
    </xf>
    <xf numFmtId="0" fontId="5" fillId="3" borderId="90" xfId="0" applyFont="1" applyFill="1" applyBorder="1" applyAlignment="1" applyProtection="1">
      <alignment horizontal="center" vertical="center"/>
      <protection locked="0" hidden="1"/>
    </xf>
    <xf numFmtId="0" fontId="5" fillId="0" borderId="86" xfId="0" applyFont="1" applyBorder="1" applyAlignment="1" applyProtection="1">
      <alignment horizontal="center" vertic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5" fillId="0" borderId="8" xfId="0" applyFont="1" applyBorder="1" applyAlignment="1" applyProtection="1">
      <alignment horizontal="center" vertical="center"/>
      <protection locked="0" hidden="1"/>
    </xf>
    <xf numFmtId="0" fontId="5" fillId="0" borderId="4" xfId="0" applyFont="1" applyBorder="1" applyAlignment="1" applyProtection="1">
      <alignment horizontal="center" vertical="center"/>
      <protection locked="0" hidden="1"/>
    </xf>
    <xf numFmtId="0" fontId="5" fillId="11" borderId="88" xfId="0" applyFont="1" applyFill="1" applyBorder="1" applyAlignment="1" applyProtection="1">
      <alignment horizontal="center" vertical="center"/>
      <protection locked="0" hidden="1"/>
    </xf>
    <xf numFmtId="0" fontId="5" fillId="7" borderId="90" xfId="0" applyFont="1" applyFill="1" applyBorder="1" applyAlignment="1" applyProtection="1">
      <alignment horizontal="center" vertical="center"/>
      <protection locked="0" hidden="1"/>
    </xf>
    <xf numFmtId="0" fontId="5" fillId="0" borderId="74" xfId="0" applyFont="1" applyBorder="1" applyAlignment="1" applyProtection="1">
      <alignment horizontal="center" vertical="center"/>
      <protection locked="0" hidden="1"/>
    </xf>
    <xf numFmtId="0" fontId="5" fillId="0" borderId="75" xfId="0" applyFont="1" applyBorder="1" applyAlignment="1" applyProtection="1">
      <alignment horizontal="center" vertical="center"/>
      <protection locked="0" hidden="1"/>
    </xf>
    <xf numFmtId="0" fontId="5" fillId="0" borderId="76" xfId="0" applyFont="1" applyBorder="1" applyAlignment="1" applyProtection="1">
      <alignment horizontal="center" vertical="center"/>
      <protection locked="0" hidden="1"/>
    </xf>
    <xf numFmtId="0" fontId="5" fillId="0" borderId="72" xfId="0" applyFont="1" applyFill="1" applyBorder="1" applyAlignment="1" applyProtection="1">
      <alignment horizontal="center" vertical="center"/>
      <protection locked="0" hidden="1"/>
    </xf>
    <xf numFmtId="0" fontId="5" fillId="0" borderId="77" xfId="0" applyFont="1" applyBorder="1" applyAlignment="1" applyProtection="1">
      <alignment horizontal="center" vertical="center"/>
      <protection locked="0" hidden="1"/>
    </xf>
    <xf numFmtId="0" fontId="5" fillId="0" borderId="77" xfId="0" applyFont="1" applyFill="1" applyBorder="1" applyAlignment="1" applyProtection="1">
      <alignment horizontal="center" vertical="center"/>
      <protection locked="0" hidden="1"/>
    </xf>
    <xf numFmtId="0" fontId="5" fillId="0" borderId="75" xfId="0" applyFont="1" applyFill="1" applyBorder="1" applyAlignment="1" applyProtection="1">
      <alignment horizontal="center" vertical="center"/>
      <protection locked="0" hidden="1"/>
    </xf>
    <xf numFmtId="0" fontId="5" fillId="0" borderId="76" xfId="0" applyFont="1" applyFill="1" applyBorder="1" applyAlignment="1" applyProtection="1">
      <alignment horizontal="center" vertical="center"/>
      <protection locked="0" hidden="1"/>
    </xf>
    <xf numFmtId="0" fontId="5" fillId="0" borderId="30" xfId="0" applyFont="1" applyBorder="1" applyAlignment="1" applyProtection="1">
      <alignment horizontal="center" vertical="center"/>
      <protection locked="0" hidden="1"/>
    </xf>
    <xf numFmtId="0" fontId="5" fillId="0" borderId="43" xfId="0" applyFont="1" applyBorder="1" applyAlignment="1" applyProtection="1">
      <alignment horizontal="center" vertical="center"/>
      <protection locked="0" hidden="1"/>
    </xf>
    <xf numFmtId="0" fontId="5" fillId="0" borderId="44" xfId="0" applyFont="1" applyBorder="1" applyAlignment="1" applyProtection="1">
      <alignment horizontal="center" vertical="center"/>
      <protection locked="0" hidden="1"/>
    </xf>
    <xf numFmtId="0" fontId="5" fillId="0" borderId="73" xfId="0" applyFont="1" applyBorder="1" applyAlignment="1" applyProtection="1">
      <alignment horizontal="center" vertical="center"/>
      <protection locked="0" hidden="1"/>
    </xf>
    <xf numFmtId="0" fontId="5" fillId="0" borderId="54" xfId="0" applyFont="1" applyFill="1" applyBorder="1" applyAlignment="1" applyProtection="1">
      <alignment horizontal="center" vertical="center"/>
      <protection locked="0" hidden="1"/>
    </xf>
    <xf numFmtId="0" fontId="5" fillId="6" borderId="30" xfId="0" applyFont="1" applyFill="1" applyBorder="1" applyAlignment="1" applyProtection="1">
      <alignment horizontal="center" vertical="center"/>
      <protection locked="0" hidden="1"/>
    </xf>
    <xf numFmtId="0" fontId="5" fillId="7" borderId="91" xfId="0" applyFont="1" applyFill="1" applyBorder="1" applyAlignment="1" applyProtection="1">
      <alignment horizontal="center" vertical="center"/>
      <protection locked="0" hidden="1"/>
    </xf>
    <xf numFmtId="0" fontId="5" fillId="0" borderId="87" xfId="0" applyFont="1" applyBorder="1" applyAlignment="1" applyProtection="1">
      <alignment horizontal="center" vertical="center"/>
      <protection locked="0" hidden="1"/>
    </xf>
    <xf numFmtId="2" fontId="5" fillId="0" borderId="0" xfId="0" applyNumberFormat="1" applyFont="1" applyAlignment="1" applyProtection="1">
      <alignment horizontal="center" vertical="center"/>
      <protection locked="0" hidden="1"/>
    </xf>
    <xf numFmtId="0" fontId="6" fillId="0" borderId="59" xfId="0" applyNumberFormat="1" applyFont="1" applyBorder="1" applyAlignment="1" applyProtection="1">
      <alignment horizontal="center" vertical="center"/>
      <protection locked="0" hidden="1"/>
    </xf>
    <xf numFmtId="2" fontId="5" fillId="9" borderId="92" xfId="0" applyNumberFormat="1" applyFont="1" applyFill="1" applyBorder="1" applyAlignment="1" applyProtection="1">
      <alignment horizontal="center" vertical="center"/>
      <protection locked="0" hidden="1"/>
    </xf>
    <xf numFmtId="2" fontId="6" fillId="0" borderId="0" xfId="0" applyNumberFormat="1" applyFont="1" applyBorder="1" applyAlignment="1" applyProtection="1">
      <alignment horizontal="center" vertical="center"/>
      <protection locked="0" hidden="1"/>
    </xf>
    <xf numFmtId="2" fontId="5" fillId="18" borderId="92" xfId="0" applyNumberFormat="1" applyFont="1" applyFill="1" applyBorder="1" applyAlignment="1" applyProtection="1">
      <alignment horizontal="center" vertical="center"/>
      <protection locked="0" hidden="1"/>
    </xf>
    <xf numFmtId="2" fontId="5" fillId="19" borderId="92" xfId="0" applyNumberFormat="1" applyFont="1" applyFill="1" applyBorder="1" applyAlignment="1" applyProtection="1">
      <alignment horizontal="center" vertical="center"/>
      <protection locked="0" hidden="1"/>
    </xf>
    <xf numFmtId="2" fontId="5" fillId="0" borderId="0" xfId="0" applyNumberFormat="1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Protection="1"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0" fillId="16" borderId="14" xfId="0" applyFont="1" applyFill="1" applyBorder="1" applyAlignment="1" applyProtection="1">
      <alignment horizontal="center" vertical="center" wrapText="1"/>
      <protection hidden="1"/>
    </xf>
    <xf numFmtId="0" fontId="0" fillId="16" borderId="15" xfId="0" applyFont="1" applyFill="1" applyBorder="1" applyAlignment="1" applyProtection="1">
      <alignment horizontal="center" vertical="center" wrapText="1"/>
      <protection hidden="1"/>
    </xf>
    <xf numFmtId="0" fontId="0" fillId="0" borderId="41" xfId="0" applyFont="1" applyBorder="1" applyAlignment="1" applyProtection="1">
      <alignment horizontal="center" vertical="center" textRotation="90"/>
      <protection hidden="1"/>
    </xf>
    <xf numFmtId="0" fontId="0" fillId="0" borderId="3" xfId="0" applyFont="1" applyBorder="1" applyAlignment="1" applyProtection="1">
      <alignment horizontal="center" vertical="center"/>
      <protection hidden="1"/>
    </xf>
    <xf numFmtId="0" fontId="7" fillId="3" borderId="13" xfId="0" applyFont="1" applyFill="1" applyBorder="1" applyAlignment="1" applyProtection="1">
      <alignment horizontal="center" vertical="center" wrapText="1"/>
      <protection hidden="1"/>
    </xf>
    <xf numFmtId="0" fontId="5" fillId="0" borderId="23" xfId="0" applyFont="1" applyBorder="1" applyAlignment="1" applyProtection="1">
      <alignment horizontal="center" vertical="center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5" fillId="0" borderId="4" xfId="0" applyFont="1" applyBorder="1" applyAlignment="1" applyProtection="1">
      <alignment horizontal="center" vertical="center"/>
      <protection hidden="1"/>
    </xf>
    <xf numFmtId="0" fontId="5" fillId="0" borderId="29" xfId="0" applyFont="1" applyBorder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0" fillId="0" borderId="0" xfId="0" applyProtection="1">
      <protection hidden="1"/>
    </xf>
    <xf numFmtId="0" fontId="1" fillId="0" borderId="5" xfId="0" applyFont="1" applyBorder="1" applyAlignment="1" applyProtection="1">
      <alignment horizontal="centerContinuous" vertical="center"/>
      <protection locked="0" hidden="1"/>
    </xf>
    <xf numFmtId="0" fontId="0" fillId="22" borderId="80" xfId="0" applyFont="1" applyFill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5" fillId="0" borderId="25" xfId="0" applyFont="1" applyBorder="1" applyAlignment="1" applyProtection="1">
      <alignment horizontal="center" vertical="center"/>
      <protection hidden="1"/>
    </xf>
    <xf numFmtId="0" fontId="5" fillId="0" borderId="19" xfId="0" applyFont="1" applyBorder="1" applyAlignment="1" applyProtection="1">
      <alignment horizontal="center" vertical="center"/>
      <protection hidden="1"/>
    </xf>
    <xf numFmtId="0" fontId="5" fillId="0" borderId="43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5" fillId="0" borderId="4" xfId="0" applyFont="1" applyFill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Continuous" vertical="center" wrapText="1"/>
      <protection hidden="1"/>
    </xf>
    <xf numFmtId="0" fontId="1" fillId="4" borderId="8" xfId="0" applyFont="1" applyFill="1" applyBorder="1" applyAlignment="1" applyProtection="1">
      <alignment horizontal="centerContinuous" vertical="center" wrapText="1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4" borderId="8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6" borderId="61" xfId="0" applyFont="1" applyFill="1" applyBorder="1" applyAlignment="1" applyProtection="1">
      <alignment horizontal="center" vertical="center"/>
      <protection hidden="1"/>
    </xf>
    <xf numFmtId="0" fontId="5" fillId="0" borderId="53" xfId="0" applyFont="1" applyFill="1" applyBorder="1" applyAlignment="1" applyProtection="1">
      <alignment horizontal="center" vertical="center"/>
      <protection hidden="1"/>
    </xf>
    <xf numFmtId="0" fontId="5" fillId="6" borderId="24" xfId="0" applyFont="1" applyFill="1" applyBorder="1" applyAlignment="1" applyProtection="1">
      <alignment horizontal="center" vertical="center"/>
      <protection hidden="1"/>
    </xf>
    <xf numFmtId="0" fontId="5" fillId="6" borderId="62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72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5" fillId="6" borderId="30" xfId="0" applyFont="1" applyFill="1" applyBorder="1" applyAlignment="1" applyProtection="1">
      <alignment horizontal="center" vertical="center"/>
      <protection hidden="1"/>
    </xf>
    <xf numFmtId="0" fontId="6" fillId="0" borderId="59" xfId="0" applyNumberFormat="1" applyFont="1" applyBorder="1" applyAlignment="1" applyProtection="1">
      <alignment horizontal="center" vertical="center"/>
      <protection hidden="1"/>
    </xf>
    <xf numFmtId="2" fontId="5" fillId="9" borderId="92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4" xfId="0" applyFont="1" applyFill="1" applyBorder="1" applyAlignment="1" applyProtection="1">
      <alignment horizontal="centerContinuous" vertical="center" wrapText="1"/>
      <protection hidden="1"/>
    </xf>
    <xf numFmtId="0" fontId="1" fillId="10" borderId="8" xfId="0" applyFont="1" applyFill="1" applyBorder="1" applyAlignment="1" applyProtection="1">
      <alignment horizontal="centerContinuous" vertical="center" wrapText="1"/>
      <protection hidden="1"/>
    </xf>
    <xf numFmtId="0" fontId="5" fillId="10" borderId="8" xfId="0" applyFont="1" applyFill="1" applyBorder="1" applyAlignment="1" applyProtection="1">
      <alignment horizontal="center" vertical="center"/>
      <protection hidden="1"/>
    </xf>
    <xf numFmtId="2" fontId="5" fillId="18" borderId="92" xfId="0" applyNumberFormat="1" applyFont="1" applyFill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Continuous" vertical="center"/>
      <protection hidden="1"/>
    </xf>
    <xf numFmtId="0" fontId="1" fillId="5" borderId="4" xfId="0" applyFont="1" applyFill="1" applyBorder="1" applyAlignment="1" applyProtection="1">
      <alignment horizontal="centerContinuous" vertical="center" wrapText="1"/>
      <protection hidden="1"/>
    </xf>
    <xf numFmtId="0" fontId="1" fillId="5" borderId="8" xfId="0" applyFont="1" applyFill="1" applyBorder="1" applyAlignment="1" applyProtection="1">
      <alignment horizontal="centerContinuous" vertical="center" wrapText="1"/>
      <protection hidden="1"/>
    </xf>
    <xf numFmtId="0" fontId="1" fillId="17" borderId="4" xfId="0" applyFont="1" applyFill="1" applyBorder="1" applyAlignment="1" applyProtection="1">
      <alignment horizontal="centerContinuous" vertical="center"/>
      <protection hidden="1"/>
    </xf>
    <xf numFmtId="0" fontId="1" fillId="17" borderId="6" xfId="0" applyFont="1" applyFill="1" applyBorder="1" applyAlignment="1" applyProtection="1">
      <alignment horizontal="centerContinuous" vertical="center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5" fillId="17" borderId="83" xfId="0" applyFont="1" applyFill="1" applyBorder="1" applyAlignment="1" applyProtection="1">
      <alignment horizontal="center" vertical="center"/>
      <protection hidden="1"/>
    </xf>
    <xf numFmtId="0" fontId="5" fillId="7" borderId="88" xfId="0" applyFont="1" applyFill="1" applyBorder="1" applyAlignment="1" applyProtection="1">
      <alignment horizontal="center" vertical="center"/>
      <protection hidden="1"/>
    </xf>
    <xf numFmtId="0" fontId="5" fillId="7" borderId="89" xfId="0" applyFont="1" applyFill="1" applyBorder="1" applyAlignment="1" applyProtection="1">
      <alignment horizontal="center" vertical="center"/>
      <protection hidden="1"/>
    </xf>
    <xf numFmtId="0" fontId="5" fillId="3" borderId="88" xfId="0" applyFont="1" applyFill="1" applyBorder="1" applyAlignment="1" applyProtection="1">
      <alignment horizontal="center" vertical="center"/>
      <protection hidden="1"/>
    </xf>
    <xf numFmtId="0" fontId="5" fillId="3" borderId="90" xfId="0" applyFont="1" applyFill="1" applyBorder="1" applyAlignment="1" applyProtection="1">
      <alignment horizontal="center" vertical="center"/>
      <protection hidden="1"/>
    </xf>
    <xf numFmtId="0" fontId="5" fillId="11" borderId="88" xfId="0" applyFont="1" applyFill="1" applyBorder="1" applyAlignment="1" applyProtection="1">
      <alignment horizontal="center" vertical="center"/>
      <protection hidden="1"/>
    </xf>
    <xf numFmtId="0" fontId="5" fillId="7" borderId="90" xfId="0" applyFont="1" applyFill="1" applyBorder="1" applyAlignment="1" applyProtection="1">
      <alignment horizontal="center" vertical="center"/>
      <protection hidden="1"/>
    </xf>
    <xf numFmtId="0" fontId="5" fillId="7" borderId="91" xfId="0" applyFont="1" applyFill="1" applyBorder="1" applyAlignment="1" applyProtection="1">
      <alignment horizontal="center" vertical="center"/>
      <protection hidden="1"/>
    </xf>
    <xf numFmtId="2" fontId="5" fillId="19" borderId="92" xfId="0" applyNumberFormat="1" applyFont="1" applyFill="1" applyBorder="1" applyAlignment="1" applyProtection="1">
      <alignment horizontal="center" vertical="center"/>
      <protection hidden="1"/>
    </xf>
    <xf numFmtId="2" fontId="5" fillId="0" borderId="0" xfId="0" applyNumberFormat="1" applyFont="1" applyBorder="1" applyAlignment="1" applyProtection="1">
      <alignment horizontal="center" vertical="center" textRotation="90"/>
      <protection hidden="1"/>
    </xf>
    <xf numFmtId="0" fontId="5" fillId="0" borderId="5" xfId="0" applyFont="1" applyBorder="1" applyAlignment="1" applyProtection="1">
      <alignment horizontal="center" vertical="center"/>
      <protection hidden="1"/>
    </xf>
    <xf numFmtId="0" fontId="5" fillId="0" borderId="85" xfId="0" applyFont="1" applyBorder="1" applyAlignment="1" applyProtection="1">
      <alignment horizontal="center" vertical="center"/>
      <protection hidden="1"/>
    </xf>
    <xf numFmtId="0" fontId="5" fillId="0" borderId="84" xfId="0" applyFont="1" applyBorder="1" applyAlignment="1" applyProtection="1">
      <alignment horizontal="center" vertical="center"/>
      <protection hidden="1"/>
    </xf>
    <xf numFmtId="0" fontId="5" fillId="0" borderId="87" xfId="0" applyFont="1" applyBorder="1" applyAlignment="1" applyProtection="1">
      <alignment horizontal="center" vertical="center"/>
      <protection hidden="1"/>
    </xf>
    <xf numFmtId="0" fontId="1" fillId="4" borderId="5" xfId="0" applyFont="1" applyFill="1" applyBorder="1" applyAlignment="1" applyProtection="1">
      <alignment horizontal="centerContinuous" vertical="center" wrapText="1"/>
      <protection hidden="1"/>
    </xf>
    <xf numFmtId="0" fontId="1" fillId="10" borderId="5" xfId="0" applyFont="1" applyFill="1" applyBorder="1" applyAlignment="1" applyProtection="1">
      <alignment horizontal="centerContinuous" vertical="center" wrapText="1"/>
      <protection hidden="1"/>
    </xf>
    <xf numFmtId="0" fontId="0" fillId="0" borderId="0" xfId="0" applyNumberFormat="1" applyFont="1" applyAlignment="1" applyProtection="1">
      <alignment horizontal="center" vertical="center"/>
      <protection locked="0" hidden="1"/>
    </xf>
    <xf numFmtId="0" fontId="0" fillId="0" borderId="0" xfId="0" applyNumberFormat="1" applyAlignment="1">
      <alignment horizontal="center" vertical="center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2" xfId="0" applyFont="1" applyBorder="1" applyAlignment="1" applyProtection="1">
      <alignment horizontal="center" vertical="center" textRotation="90" wrapText="1"/>
      <protection locked="0" hidden="1"/>
    </xf>
    <xf numFmtId="0" fontId="0" fillId="12" borderId="39" xfId="0" applyFill="1" applyBorder="1" applyAlignment="1" applyProtection="1">
      <alignment horizontal="center" vertical="center"/>
    </xf>
    <xf numFmtId="0" fontId="0" fillId="12" borderId="40" xfId="0" applyFill="1" applyBorder="1" applyAlignment="1" applyProtection="1">
      <alignment horizontal="center" vertical="center"/>
    </xf>
    <xf numFmtId="0" fontId="2" fillId="12" borderId="95" xfId="0" applyFont="1" applyFill="1" applyBorder="1" applyAlignment="1" applyProtection="1">
      <alignment horizontal="center" vertical="center" wrapText="1"/>
    </xf>
    <xf numFmtId="0" fontId="2" fillId="12" borderId="96" xfId="0" applyFont="1" applyFill="1" applyBorder="1" applyAlignment="1" applyProtection="1">
      <alignment horizontal="center" vertical="center" wrapText="1"/>
    </xf>
    <xf numFmtId="0" fontId="5" fillId="13" borderId="35" xfId="0" applyFont="1" applyFill="1" applyBorder="1" applyAlignment="1" applyProtection="1">
      <alignment horizontal="center" vertical="center"/>
    </xf>
    <xf numFmtId="0" fontId="5" fillId="13" borderId="36" xfId="0" applyFont="1" applyFill="1" applyBorder="1" applyAlignment="1" applyProtection="1">
      <alignment horizontal="center" vertical="center"/>
    </xf>
    <xf numFmtId="0" fontId="0" fillId="13" borderId="50" xfId="0" applyFill="1" applyBorder="1" applyAlignment="1" applyProtection="1">
      <alignment horizontal="center" vertical="center"/>
    </xf>
    <xf numFmtId="0" fontId="0" fillId="13" borderId="51" xfId="0" applyFill="1" applyBorder="1" applyAlignment="1" applyProtection="1">
      <alignment horizontal="center" vertical="center"/>
    </xf>
    <xf numFmtId="0" fontId="0" fillId="13" borderId="52" xfId="0" applyFill="1" applyBorder="1" applyAlignment="1" applyProtection="1">
      <alignment horizontal="center" vertical="center"/>
    </xf>
    <xf numFmtId="0" fontId="0" fillId="14" borderId="34" xfId="0" applyFill="1" applyBorder="1" applyAlignment="1" applyProtection="1">
      <alignment horizontal="center" vertical="center"/>
    </xf>
    <xf numFmtId="0" fontId="0" fillId="14" borderId="35" xfId="0" applyFill="1" applyBorder="1" applyAlignment="1" applyProtection="1">
      <alignment horizontal="center" vertical="center"/>
    </xf>
    <xf numFmtId="0" fontId="0" fillId="14" borderId="36" xfId="0" applyFill="1" applyBorder="1" applyAlignment="1" applyProtection="1">
      <alignment horizontal="center" vertical="center"/>
    </xf>
    <xf numFmtId="0" fontId="5" fillId="0" borderId="17" xfId="0" applyFont="1" applyBorder="1" applyAlignment="1" applyProtection="1">
      <alignment horizontal="center" vertical="center"/>
      <protection hidden="1"/>
    </xf>
    <xf numFmtId="0" fontId="5" fillId="0" borderId="18" xfId="0" applyFont="1" applyBorder="1" applyAlignment="1" applyProtection="1">
      <alignment horizontal="center" vertical="center"/>
      <protection hidden="1"/>
    </xf>
    <xf numFmtId="0" fontId="5" fillId="0" borderId="29" xfId="0" applyFont="1" applyBorder="1" applyAlignment="1" applyProtection="1">
      <alignment horizontal="center" vertical="center"/>
      <protection hidden="1"/>
    </xf>
    <xf numFmtId="0" fontId="5" fillId="0" borderId="30" xfId="0" applyFont="1" applyBorder="1" applyAlignment="1" applyProtection="1">
      <alignment horizontal="center" vertical="center"/>
      <protection hidden="1"/>
    </xf>
    <xf numFmtId="0" fontId="5" fillId="0" borderId="7" xfId="0" applyFont="1" applyFill="1" applyBorder="1" applyAlignment="1" applyProtection="1">
      <alignment horizontal="center" vertical="center"/>
      <protection locked="0" hidden="1"/>
    </xf>
    <xf numFmtId="0" fontId="5" fillId="0" borderId="5" xfId="0" applyFont="1" applyFill="1" applyBorder="1" applyAlignment="1" applyProtection="1">
      <alignment horizontal="center" vertical="center"/>
      <protection locked="0" hidden="1"/>
    </xf>
    <xf numFmtId="0" fontId="5" fillId="0" borderId="8" xfId="0" applyFont="1" applyFill="1" applyBorder="1" applyAlignment="1" applyProtection="1">
      <alignment horizontal="center" vertical="center"/>
      <protection locked="0" hidden="1"/>
    </xf>
    <xf numFmtId="0" fontId="5" fillId="0" borderId="4" xfId="0" applyFont="1" applyFill="1" applyBorder="1" applyAlignment="1" applyProtection="1">
      <alignment horizontal="center" vertical="center"/>
      <protection locked="0" hidden="1"/>
    </xf>
    <xf numFmtId="0" fontId="0" fillId="22" borderId="4" xfId="0" applyFont="1" applyFill="1" applyBorder="1" applyAlignment="1" applyProtection="1">
      <alignment horizontal="center" vertical="center"/>
      <protection hidden="1"/>
    </xf>
    <xf numFmtId="0" fontId="0" fillId="22" borderId="8" xfId="0" applyFont="1" applyFill="1" applyBorder="1" applyAlignment="1" applyProtection="1">
      <alignment horizontal="center" vertical="center"/>
      <protection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5" fillId="0" borderId="8" xfId="0" applyFont="1" applyBorder="1" applyAlignment="1" applyProtection="1">
      <alignment horizontal="center" vertical="center"/>
      <protection locked="0" hidden="1"/>
    </xf>
    <xf numFmtId="0" fontId="5" fillId="0" borderId="4" xfId="0" applyFont="1" applyBorder="1" applyAlignment="1" applyProtection="1">
      <alignment horizontal="center" vertical="center"/>
      <protection locked="0" hidden="1"/>
    </xf>
    <xf numFmtId="0" fontId="5" fillId="0" borderId="23" xfId="0" applyFont="1" applyBorder="1" applyAlignment="1" applyProtection="1">
      <alignment horizontal="center" vertical="center"/>
      <protection hidden="1"/>
    </xf>
    <xf numFmtId="0" fontId="5" fillId="0" borderId="24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locked="0" hidden="1"/>
    </xf>
    <xf numFmtId="0" fontId="8" fillId="0" borderId="17" xfId="0" applyFont="1" applyFill="1" applyBorder="1" applyAlignment="1" applyProtection="1">
      <alignment horizontal="center" vertical="center" wrapText="1"/>
      <protection hidden="1"/>
    </xf>
    <xf numFmtId="0" fontId="8" fillId="0" borderId="18" xfId="0" applyFont="1" applyFill="1" applyBorder="1" applyAlignment="1" applyProtection="1">
      <alignment horizontal="center" vertical="center" wrapText="1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0" fillId="21" borderId="4" xfId="0" applyFill="1" applyBorder="1" applyAlignment="1" applyProtection="1">
      <alignment horizontal="center" vertical="center" wrapText="1"/>
    </xf>
    <xf numFmtId="0" fontId="0" fillId="21" borderId="8" xfId="0" applyFill="1" applyBorder="1" applyAlignment="1" applyProtection="1">
      <alignment horizontal="center" vertical="center" wrapText="1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colors>
    <mruColors>
      <color rgb="FFFF6743"/>
      <color rgb="FFFF5A3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AA35"/>
  <sheetViews>
    <sheetView zoomScale="90" zoomScaleNormal="90" workbookViewId="0"/>
  </sheetViews>
  <sheetFormatPr baseColWidth="10" defaultRowHeight="15" x14ac:dyDescent="0.25"/>
  <cols>
    <col min="1" max="1" width="30.7109375" style="11" customWidth="1"/>
    <col min="2" max="25" width="6.7109375" style="11" customWidth="1"/>
    <col min="26" max="26" width="6" style="11" customWidth="1"/>
    <col min="27" max="27" width="23.85546875" style="11" customWidth="1"/>
    <col min="28" max="16384" width="11.42578125" style="11"/>
  </cols>
  <sheetData>
    <row r="1" spans="1:27" ht="31.5" customHeight="1" thickBot="1" x14ac:dyDescent="0.3">
      <c r="A1" s="60" t="s">
        <v>199</v>
      </c>
      <c r="B1" s="228" t="s">
        <v>0</v>
      </c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9"/>
      <c r="AA1" s="47" t="s">
        <v>42</v>
      </c>
    </row>
    <row r="2" spans="1:27" ht="24.95" customHeight="1" thickTop="1" x14ac:dyDescent="0.25">
      <c r="A2" s="230" t="s">
        <v>1</v>
      </c>
      <c r="B2" s="232" t="s">
        <v>2</v>
      </c>
      <c r="C2" s="232"/>
      <c r="D2" s="232"/>
      <c r="E2" s="233"/>
      <c r="F2" s="234" t="s">
        <v>3</v>
      </c>
      <c r="G2" s="235"/>
      <c r="H2" s="235"/>
      <c r="I2" s="236"/>
      <c r="J2" s="234" t="s">
        <v>4</v>
      </c>
      <c r="K2" s="235"/>
      <c r="L2" s="235"/>
      <c r="M2" s="236"/>
      <c r="N2" s="234" t="s">
        <v>5</v>
      </c>
      <c r="O2" s="235"/>
      <c r="P2" s="235"/>
      <c r="Q2" s="236"/>
      <c r="R2" s="234" t="s">
        <v>6</v>
      </c>
      <c r="S2" s="235"/>
      <c r="T2" s="235"/>
      <c r="U2" s="236"/>
      <c r="V2" s="237" t="s">
        <v>34</v>
      </c>
      <c r="W2" s="238"/>
      <c r="X2" s="239"/>
      <c r="Y2" s="35" t="s">
        <v>32</v>
      </c>
      <c r="AA2" s="61" t="s">
        <v>192</v>
      </c>
    </row>
    <row r="3" spans="1:27" ht="24.95" customHeight="1" thickBot="1" x14ac:dyDescent="0.3">
      <c r="A3" s="231"/>
      <c r="B3" s="23" t="s">
        <v>27</v>
      </c>
      <c r="C3" s="24" t="s">
        <v>28</v>
      </c>
      <c r="D3" s="23" t="s">
        <v>29</v>
      </c>
      <c r="E3" s="25" t="s">
        <v>10</v>
      </c>
      <c r="F3" s="26" t="s">
        <v>27</v>
      </c>
      <c r="G3" s="27" t="s">
        <v>28</v>
      </c>
      <c r="H3" s="28" t="s">
        <v>29</v>
      </c>
      <c r="I3" s="29" t="s">
        <v>10</v>
      </c>
      <c r="J3" s="30" t="s">
        <v>27</v>
      </c>
      <c r="K3" s="31" t="s">
        <v>28</v>
      </c>
      <c r="L3" s="28" t="s">
        <v>29</v>
      </c>
      <c r="M3" s="29" t="s">
        <v>10</v>
      </c>
      <c r="N3" s="26" t="s">
        <v>27</v>
      </c>
      <c r="O3" s="32" t="s">
        <v>28</v>
      </c>
      <c r="P3" s="28" t="s">
        <v>29</v>
      </c>
      <c r="Q3" s="29" t="s">
        <v>10</v>
      </c>
      <c r="R3" s="26" t="s">
        <v>27</v>
      </c>
      <c r="S3" s="32" t="s">
        <v>28</v>
      </c>
      <c r="T3" s="28" t="s">
        <v>29</v>
      </c>
      <c r="U3" s="29" t="s">
        <v>10</v>
      </c>
      <c r="V3" s="33" t="s">
        <v>27</v>
      </c>
      <c r="W3" s="34" t="s">
        <v>28</v>
      </c>
      <c r="X3" s="34" t="s">
        <v>29</v>
      </c>
      <c r="Y3" s="36" t="s">
        <v>33</v>
      </c>
      <c r="Z3" s="48"/>
      <c r="AA3" s="62" t="s">
        <v>46</v>
      </c>
    </row>
    <row r="4" spans="1:27" ht="15.75" customHeight="1" thickTop="1" x14ac:dyDescent="0.25">
      <c r="A4" s="59" t="str">
        <f ca="1">CELL("contenu",INDIRECT(ADDRESS(ROW()-2,1,1,,CELL("contenu",$AA$3))))</f>
        <v>ALARDIN Anouk</v>
      </c>
      <c r="B4" s="2" t="str">
        <f ca="1">CELL("contenu",INDIRECT(ADDRESS(ref!$K$3,ref!E3,1,,CELL("contenu",$AA$2))))</f>
        <v/>
      </c>
      <c r="C4" s="3" t="str">
        <f ca="1">CELL("contenu",INDIRECT(ADDRESS(ref!$K$3,ref!F3,1,,CELL("contenu",$AA$2))))</f>
        <v>B</v>
      </c>
      <c r="D4" s="4" t="str">
        <f ca="1">CELL("contenu",INDIRECT(ADDRESS(ref!$K$3,ref!G3,1,,CELL("contenu",$AA$2))))</f>
        <v>A</v>
      </c>
      <c r="E4" s="5" t="str">
        <f ca="1">CELL("contenu",INDIRECT(ADDRESS(ref!$K$3,ref!H3,1,,CELL("contenu",$AA$2))))</f>
        <v>B</v>
      </c>
      <c r="F4" s="6" t="str">
        <f ca="1">CELL("contenu",INDIRECT(ADDRESS(ref!$K$4,ref!E3,1,,CELL("contenu",$AA$2))))</f>
        <v/>
      </c>
      <c r="G4" s="3" t="str">
        <f ca="1">CELL("contenu",INDIRECT(ADDRESS(ref!$K$4,ref!F3,1,,CELL("contenu",$AA$2))))</f>
        <v>A</v>
      </c>
      <c r="H4" s="4" t="str">
        <f ca="1">CELL("contenu",INDIRECT(ADDRESS(ref!$K$4,ref!G3,1,,CELL("contenu",$AA$2))))</f>
        <v>A</v>
      </c>
      <c r="I4" s="5" t="str">
        <f ca="1">CELL("contenu",INDIRECT(ADDRESS(ref!$K$4,ref!H3,1,,CELL("contenu",$AA$2))))</f>
        <v>B</v>
      </c>
      <c r="J4" s="6" t="str">
        <f ca="1">CELL("contenu",INDIRECT(ADDRESS(ref!$K$5,ref!E3,1,,CELL("contenu",$AA$2))))</f>
        <v>B</v>
      </c>
      <c r="K4" s="3" t="str">
        <f ca="1">CELL("contenu",INDIRECT(ADDRESS(ref!$K$5,ref!F3,1,,CELL("contenu",$AA$2))))</f>
        <v>B</v>
      </c>
      <c r="L4" s="4" t="str">
        <f ca="1">CELL("contenu",INDIRECT(ADDRESS(ref!$K$5,ref!G3,1,,CELL("contenu",$AA$2))))</f>
        <v>C</v>
      </c>
      <c r="M4" s="5" t="str">
        <f ca="1">CELL("contenu",INDIRECT(ADDRESS(ref!$K$5,ref!H3,1,,CELL("contenu",$AA$2))))</f>
        <v>C</v>
      </c>
      <c r="N4" s="6" t="str">
        <f ca="1">CELL("contenu",INDIRECT(ADDRESS(ref!$K$6,ref!E3,1,,CELL("contenu",$AA$2))))</f>
        <v>B</v>
      </c>
      <c r="O4" s="3" t="str">
        <f ca="1">CELL("contenu",INDIRECT(ADDRESS(ref!$K$6,ref!F3,1,,CELL("contenu",$AA$2))))</f>
        <v>B</v>
      </c>
      <c r="P4" s="4" t="str">
        <f ca="1">CELL("contenu",INDIRECT(ADDRESS(ref!$K$6,ref!G3,1,,CELL("contenu",$AA$2))))</f>
        <v>B</v>
      </c>
      <c r="Q4" s="5" t="str">
        <f ca="1">CELL("contenu",INDIRECT(ADDRESS(ref!$K$6,ref!H3,1,,CELL("contenu",$AA$2))))</f>
        <v>B</v>
      </c>
      <c r="R4" s="6" t="str">
        <f ca="1">CELL("contenu",INDIRECT(ADDRESS(ref!$K$7,ref!E3,1,,CELL("contenu",$AA$2))))</f>
        <v/>
      </c>
      <c r="S4" s="3" t="str">
        <f ca="1">CELL("contenu",INDIRECT(ADDRESS(ref!$K$7,ref!F3,1,,CELL("contenu",$AA$2))))</f>
        <v/>
      </c>
      <c r="T4" s="4" t="str">
        <f ca="1">CELL("contenu",INDIRECT(ADDRESS(ref!$K$7,ref!G3,1,,CELL("contenu",$AA$2))))</f>
        <v/>
      </c>
      <c r="U4" s="5" t="str">
        <f ca="1">CELL("contenu",INDIRECT(ADDRESS(ref!$K$7,ref!H3,1,,CELL("contenu",$AA$2))))</f>
        <v/>
      </c>
      <c r="V4" s="49">
        <f ca="1">CELL("contenu",INDIRECT(ADDRESS(ref!$K$8,ref!E3,1,,CELL("contenu",$AA$2))))</f>
        <v>15</v>
      </c>
      <c r="W4" s="50">
        <f ca="1">CELL("contenu",INDIRECT(ADDRESS(ref!$K$8,ref!F3,1,,CELL("contenu",$AA$2))))</f>
        <v>20.9375</v>
      </c>
      <c r="X4" s="51">
        <f ca="1">CELL("contenu",INDIRECT(ADDRESS(ref!$K$8,ref!G3,1,,CELL("contenu",$AA$2))))</f>
        <v>19.270833333333332</v>
      </c>
      <c r="Y4" s="21" t="str">
        <f ca="1">CELL("contenu",INDIRECT(ADDRESS(ref!$K$9,ref!H3,1,,CELL("contenu",$AA$2))))</f>
        <v>A</v>
      </c>
    </row>
    <row r="5" spans="1:27" x14ac:dyDescent="0.25">
      <c r="A5" s="59" t="str">
        <f ca="1">CELL("contenu",INDIRECT(ADDRESS(ROW()-2,1,1,,CELL("contenu",$AA$3))))</f>
        <v>AYMOND Victoire</v>
      </c>
      <c r="B5" s="2" t="str">
        <f ca="1">CELL("contenu",INDIRECT(ADDRESS(ref!$K$3,ref!E4,1,,CELL("contenu",$AA$2))))</f>
        <v/>
      </c>
      <c r="C5" s="3" t="str">
        <f ca="1">CELL("contenu",INDIRECT(ADDRESS(ref!$K$3,ref!F4,1,,CELL("contenu",$AA$2))))</f>
        <v>A</v>
      </c>
      <c r="D5" s="4" t="str">
        <f ca="1">CELL("contenu",INDIRECT(ADDRESS(ref!$K$3,ref!G4,1,,CELL("contenu",$AA$2))))</f>
        <v>A</v>
      </c>
      <c r="E5" s="5" t="str">
        <f ca="1">CELL("contenu",INDIRECT(ADDRESS(ref!$K$3,ref!H4,1,,CELL("contenu",$AA$2))))</f>
        <v>A</v>
      </c>
      <c r="F5" s="6" t="str">
        <f ca="1">CELL("contenu",INDIRECT(ADDRESS(ref!$K$4,ref!E4,1,,CELL("contenu",$AA$2))))</f>
        <v/>
      </c>
      <c r="G5" s="3" t="str">
        <f ca="1">CELL("contenu",INDIRECT(ADDRESS(ref!$K$4,ref!F4,1,,CELL("contenu",$AA$2))))</f>
        <v>A</v>
      </c>
      <c r="H5" s="4" t="str">
        <f ca="1">CELL("contenu",INDIRECT(ADDRESS(ref!$K$4,ref!G4,1,,CELL("contenu",$AA$2))))</f>
        <v>A</v>
      </c>
      <c r="I5" s="5" t="str">
        <f ca="1">CELL("contenu",INDIRECT(ADDRESS(ref!$K$4,ref!H4,1,,CELL("contenu",$AA$2))))</f>
        <v>A</v>
      </c>
      <c r="J5" s="6" t="str">
        <f ca="1">CELL("contenu",INDIRECT(ADDRESS(ref!$K$5,ref!E4,1,,CELL("contenu",$AA$2))))</f>
        <v>B</v>
      </c>
      <c r="K5" s="3" t="str">
        <f ca="1">CELL("contenu",INDIRECT(ADDRESS(ref!$K$5,ref!F4,1,,CELL("contenu",$AA$2))))</f>
        <v/>
      </c>
      <c r="L5" s="4" t="str">
        <f ca="1">CELL("contenu",INDIRECT(ADDRESS(ref!$K$5,ref!G4,1,,CELL("contenu",$AA$2))))</f>
        <v/>
      </c>
      <c r="M5" s="5" t="str">
        <f ca="1">CELL("contenu",INDIRECT(ADDRESS(ref!$K$5,ref!H4,1,,CELL("contenu",$AA$2))))</f>
        <v>B</v>
      </c>
      <c r="N5" s="6" t="str">
        <f ca="1">CELL("contenu",INDIRECT(ADDRESS(ref!$K$6,ref!E4,1,,CELL("contenu",$AA$2))))</f>
        <v>B</v>
      </c>
      <c r="O5" s="3" t="str">
        <f ca="1">CELL("contenu",INDIRECT(ADDRESS(ref!$K$6,ref!F4,1,,CELL("contenu",$AA$2))))</f>
        <v>A</v>
      </c>
      <c r="P5" s="4" t="str">
        <f ca="1">CELL("contenu",INDIRECT(ADDRESS(ref!$K$6,ref!G4,1,,CELL("contenu",$AA$2))))</f>
        <v>B</v>
      </c>
      <c r="Q5" s="5" t="str">
        <f ca="1">CELL("contenu",INDIRECT(ADDRESS(ref!$K$6,ref!H4,1,,CELL("contenu",$AA$2))))</f>
        <v>A</v>
      </c>
      <c r="R5" s="6" t="str">
        <f ca="1">CELL("contenu",INDIRECT(ADDRESS(ref!$K$7,ref!E4,1,,CELL("contenu",$AA$2))))</f>
        <v/>
      </c>
      <c r="S5" s="3" t="str">
        <f ca="1">CELL("contenu",INDIRECT(ADDRESS(ref!$K$7,ref!F4,1,,CELL("contenu",$AA$2))))</f>
        <v/>
      </c>
      <c r="T5" s="4" t="str">
        <f ca="1">CELL("contenu",INDIRECT(ADDRESS(ref!$K$7,ref!G4,1,,CELL("contenu",$AA$2))))</f>
        <v/>
      </c>
      <c r="U5" s="5" t="str">
        <f ca="1">CELL("contenu",INDIRECT(ADDRESS(ref!$K$7,ref!H4,1,,CELL("contenu",$AA$2))))</f>
        <v/>
      </c>
      <c r="V5" s="49">
        <f ca="1">CELL("contenu",INDIRECT(ADDRESS(ref!$K$8,ref!E4,1,,CELL("contenu",$AA$2))))</f>
        <v>15</v>
      </c>
      <c r="W5" s="50">
        <f ca="1">CELL("contenu",INDIRECT(ADDRESS(ref!$K$8,ref!F4,1,,CELL("contenu",$AA$2))))</f>
        <v>20</v>
      </c>
      <c r="X5" s="51">
        <f ca="1">CELL("contenu",INDIRECT(ADDRESS(ref!$K$8,ref!G4,1,,CELL("contenu",$AA$2))))</f>
        <v>22.777777777777779</v>
      </c>
      <c r="Y5" s="21" t="str">
        <f ca="1">CELL("contenu",INDIRECT(ADDRESS(ref!$K$9,ref!H4,1,,CELL("contenu",$AA$2))))</f>
        <v>A</v>
      </c>
    </row>
    <row r="6" spans="1:27" x14ac:dyDescent="0.25">
      <c r="A6" s="59" t="str">
        <f t="shared" ref="A6:A35" ca="1" si="0">CELL("contenu",INDIRECT(ADDRESS(ROW()-2,1,1,,CELL("contenu",$AA$3))))</f>
        <v>BOUISSOU Simon</v>
      </c>
      <c r="B6" s="2" t="str">
        <f ca="1">CELL("contenu",INDIRECT(ADDRESS(ref!$K$3,ref!E5,1,,CELL("contenu",$AA$2))))</f>
        <v/>
      </c>
      <c r="C6" s="3" t="str">
        <f ca="1">CELL("contenu",INDIRECT(ADDRESS(ref!$K$3,ref!F5,1,,CELL("contenu",$AA$2))))</f>
        <v>B</v>
      </c>
      <c r="D6" s="4" t="str">
        <f ca="1">CELL("contenu",INDIRECT(ADDRESS(ref!$K$3,ref!G5,1,,CELL("contenu",$AA$2))))</f>
        <v>A</v>
      </c>
      <c r="E6" s="5" t="str">
        <f ca="1">CELL("contenu",INDIRECT(ADDRESS(ref!$K$3,ref!H5,1,,CELL("contenu",$AA$2))))</f>
        <v>B</v>
      </c>
      <c r="F6" s="6" t="str">
        <f ca="1">CELL("contenu",INDIRECT(ADDRESS(ref!$K$4,ref!E5,1,,CELL("contenu",$AA$2))))</f>
        <v/>
      </c>
      <c r="G6" s="3" t="str">
        <f ca="1">CELL("contenu",INDIRECT(ADDRESS(ref!$K$4,ref!F5,1,,CELL("contenu",$AA$2))))</f>
        <v>A</v>
      </c>
      <c r="H6" s="4" t="str">
        <f ca="1">CELL("contenu",INDIRECT(ADDRESS(ref!$K$4,ref!G5,1,,CELL("contenu",$AA$2))))</f>
        <v>A</v>
      </c>
      <c r="I6" s="5" t="str">
        <f ca="1">CELL("contenu",INDIRECT(ADDRESS(ref!$K$4,ref!H5,1,,CELL("contenu",$AA$2))))</f>
        <v>B</v>
      </c>
      <c r="J6" s="6" t="str">
        <f ca="1">CELL("contenu",INDIRECT(ADDRESS(ref!$K$5,ref!E5,1,,CELL("contenu",$AA$2))))</f>
        <v>B</v>
      </c>
      <c r="K6" s="3" t="str">
        <f ca="1">CELL("contenu",INDIRECT(ADDRESS(ref!$K$5,ref!F5,1,,CELL("contenu",$AA$2))))</f>
        <v>B</v>
      </c>
      <c r="L6" s="4" t="str">
        <f ca="1">CELL("contenu",INDIRECT(ADDRESS(ref!$K$5,ref!G5,1,,CELL("contenu",$AA$2))))</f>
        <v>C</v>
      </c>
      <c r="M6" s="5" t="str">
        <f ca="1">CELL("contenu",INDIRECT(ADDRESS(ref!$K$5,ref!H5,1,,CELL("contenu",$AA$2))))</f>
        <v>C</v>
      </c>
      <c r="N6" s="6" t="str">
        <f ca="1">CELL("contenu",INDIRECT(ADDRESS(ref!$K$6,ref!E5,1,,CELL("contenu",$AA$2))))</f>
        <v>C</v>
      </c>
      <c r="O6" s="3" t="str">
        <f ca="1">CELL("contenu",INDIRECT(ADDRESS(ref!$K$6,ref!F5,1,,CELL("contenu",$AA$2))))</f>
        <v>B</v>
      </c>
      <c r="P6" s="4" t="str">
        <f ca="1">CELL("contenu",INDIRECT(ADDRESS(ref!$K$6,ref!G5,1,,CELL("contenu",$AA$2))))</f>
        <v>B</v>
      </c>
      <c r="Q6" s="5" t="str">
        <f ca="1">CELL("contenu",INDIRECT(ADDRESS(ref!$K$6,ref!H5,1,,CELL("contenu",$AA$2))))</f>
        <v>B</v>
      </c>
      <c r="R6" s="6" t="str">
        <f ca="1">CELL("contenu",INDIRECT(ADDRESS(ref!$K$7,ref!E5,1,,CELL("contenu",$AA$2))))</f>
        <v/>
      </c>
      <c r="S6" s="3" t="str">
        <f ca="1">CELL("contenu",INDIRECT(ADDRESS(ref!$K$7,ref!F5,1,,CELL("contenu",$AA$2))))</f>
        <v/>
      </c>
      <c r="T6" s="4" t="str">
        <f ca="1">CELL("contenu",INDIRECT(ADDRESS(ref!$K$7,ref!G5,1,,CELL("contenu",$AA$2))))</f>
        <v/>
      </c>
      <c r="U6" s="5" t="str">
        <f ca="1">CELL("contenu",INDIRECT(ADDRESS(ref!$K$7,ref!H5,1,,CELL("contenu",$AA$2))))</f>
        <v/>
      </c>
      <c r="V6" s="49">
        <f ca="1">CELL("contenu",INDIRECT(ADDRESS(ref!$K$8,ref!E5,1,,CELL("contenu",$AA$2))))</f>
        <v>12.5</v>
      </c>
      <c r="W6" s="50">
        <f ca="1">CELL("contenu",INDIRECT(ADDRESS(ref!$K$8,ref!F5,1,,CELL("contenu",$AA$2))))</f>
        <v>20</v>
      </c>
      <c r="X6" s="51">
        <f ca="1">CELL("contenu",INDIRECT(ADDRESS(ref!$K$8,ref!G5,1,,CELL("contenu",$AA$2))))</f>
        <v>19.895833333333332</v>
      </c>
      <c r="Y6" s="21" t="str">
        <f ca="1">CELL("contenu",INDIRECT(ADDRESS(ref!$K$9,ref!H5,1,,CELL("contenu",$AA$2))))</f>
        <v>A</v>
      </c>
    </row>
    <row r="7" spans="1:27" x14ac:dyDescent="0.25">
      <c r="A7" s="59" t="str">
        <f t="shared" ca="1" si="0"/>
        <v>COMBROUZE Francois</v>
      </c>
      <c r="B7" s="2" t="str">
        <f ca="1">CELL("contenu",INDIRECT(ADDRESS(ref!$K$3,ref!E6,1,,CELL("contenu",$AA$2))))</f>
        <v/>
      </c>
      <c r="C7" s="3" t="str">
        <f ca="1">CELL("contenu",INDIRECT(ADDRESS(ref!$K$3,ref!F6,1,,CELL("contenu",$AA$2))))</f>
        <v>B</v>
      </c>
      <c r="D7" s="4" t="str">
        <f ca="1">CELL("contenu",INDIRECT(ADDRESS(ref!$K$3,ref!G6,1,,CELL("contenu",$AA$2))))</f>
        <v>B</v>
      </c>
      <c r="E7" s="5" t="str">
        <f ca="1">CELL("contenu",INDIRECT(ADDRESS(ref!$K$3,ref!H6,1,,CELL("contenu",$AA$2))))</f>
        <v>B</v>
      </c>
      <c r="F7" s="6" t="str">
        <f ca="1">CELL("contenu",INDIRECT(ADDRESS(ref!$K$4,ref!E6,1,,CELL("contenu",$AA$2))))</f>
        <v/>
      </c>
      <c r="G7" s="3" t="str">
        <f ca="1">CELL("contenu",INDIRECT(ADDRESS(ref!$K$4,ref!F6,1,,CELL("contenu",$AA$2))))</f>
        <v>A</v>
      </c>
      <c r="H7" s="4" t="str">
        <f ca="1">CELL("contenu",INDIRECT(ADDRESS(ref!$K$4,ref!G6,1,,CELL("contenu",$AA$2))))</f>
        <v>A</v>
      </c>
      <c r="I7" s="5" t="str">
        <f ca="1">CELL("contenu",INDIRECT(ADDRESS(ref!$K$4,ref!H6,1,,CELL("contenu",$AA$2))))</f>
        <v>B</v>
      </c>
      <c r="J7" s="6" t="str">
        <f ca="1">CELL("contenu",INDIRECT(ADDRESS(ref!$K$5,ref!E6,1,,CELL("contenu",$AA$2))))</f>
        <v>B</v>
      </c>
      <c r="K7" s="3" t="str">
        <f ca="1">CELL("contenu",INDIRECT(ADDRESS(ref!$K$5,ref!F6,1,,CELL("contenu",$AA$2))))</f>
        <v>B</v>
      </c>
      <c r="L7" s="4" t="str">
        <f ca="1">CELL("contenu",INDIRECT(ADDRESS(ref!$K$5,ref!G6,1,,CELL("contenu",$AA$2))))</f>
        <v>C</v>
      </c>
      <c r="M7" s="5" t="str">
        <f ca="1">CELL("contenu",INDIRECT(ADDRESS(ref!$K$5,ref!H6,1,,CELL("contenu",$AA$2))))</f>
        <v>C</v>
      </c>
      <c r="N7" s="6" t="str">
        <f ca="1">CELL("contenu",INDIRECT(ADDRESS(ref!$K$6,ref!E6,1,,CELL("contenu",$AA$2))))</f>
        <v>D</v>
      </c>
      <c r="O7" s="3" t="str">
        <f ca="1">CELL("contenu",INDIRECT(ADDRESS(ref!$K$6,ref!F6,1,,CELL("contenu",$AA$2))))</f>
        <v>B</v>
      </c>
      <c r="P7" s="4" t="str">
        <f ca="1">CELL("contenu",INDIRECT(ADDRESS(ref!$K$6,ref!G6,1,,CELL("contenu",$AA$2))))</f>
        <v>B</v>
      </c>
      <c r="Q7" s="5" t="str">
        <f ca="1">CELL("contenu",INDIRECT(ADDRESS(ref!$K$6,ref!H6,1,,CELL("contenu",$AA$2))))</f>
        <v>C</v>
      </c>
      <c r="R7" s="6" t="str">
        <f ca="1">CELL("contenu",INDIRECT(ADDRESS(ref!$K$7,ref!E6,1,,CELL("contenu",$AA$2))))</f>
        <v/>
      </c>
      <c r="S7" s="3" t="str">
        <f ca="1">CELL("contenu",INDIRECT(ADDRESS(ref!$K$7,ref!F6,1,,CELL("contenu",$AA$2))))</f>
        <v/>
      </c>
      <c r="T7" s="4" t="str">
        <f ca="1">CELL("contenu",INDIRECT(ADDRESS(ref!$K$7,ref!G6,1,,CELL("contenu",$AA$2))))</f>
        <v/>
      </c>
      <c r="U7" s="5" t="str">
        <f ca="1">CELL("contenu",INDIRECT(ADDRESS(ref!$K$7,ref!H6,1,,CELL("contenu",$AA$2))))</f>
        <v/>
      </c>
      <c r="V7" s="49">
        <f ca="1">CELL("contenu",INDIRECT(ADDRESS(ref!$K$8,ref!E6,1,,CELL("contenu",$AA$2))))</f>
        <v>10</v>
      </c>
      <c r="W7" s="50">
        <f ca="1">CELL("contenu",INDIRECT(ADDRESS(ref!$K$8,ref!F6,1,,CELL("contenu",$AA$2))))</f>
        <v>20.416666666666664</v>
      </c>
      <c r="X7" s="51">
        <f ca="1">CELL("contenu",INDIRECT(ADDRESS(ref!$K$8,ref!G6,1,,CELL("contenu",$AA$2))))</f>
        <v>17.5</v>
      </c>
      <c r="Y7" s="21" t="str">
        <f ca="1">CELL("contenu",INDIRECT(ADDRESS(ref!$K$9,ref!H6,1,,CELL("contenu",$AA$2))))</f>
        <v>B</v>
      </c>
    </row>
    <row r="8" spans="1:27" x14ac:dyDescent="0.25">
      <c r="A8" s="59" t="str">
        <f t="shared" ca="1" si="0"/>
        <v>CORNIL Justine</v>
      </c>
      <c r="B8" s="2" t="str">
        <f ca="1">CELL("contenu",INDIRECT(ADDRESS(ref!$K$3,ref!E7,1,,CELL("contenu",$AA$2))))</f>
        <v/>
      </c>
      <c r="C8" s="3" t="str">
        <f ca="1">CELL("contenu",INDIRECT(ADDRESS(ref!$K$3,ref!F7,1,,CELL("contenu",$AA$2))))</f>
        <v>C</v>
      </c>
      <c r="D8" s="4" t="str">
        <f ca="1">CELL("contenu",INDIRECT(ADDRESS(ref!$K$3,ref!G7,1,,CELL("contenu",$AA$2))))</f>
        <v>A</v>
      </c>
      <c r="E8" s="5" t="str">
        <f ca="1">CELL("contenu",INDIRECT(ADDRESS(ref!$K$3,ref!H7,1,,CELL("contenu",$AA$2))))</f>
        <v>C</v>
      </c>
      <c r="F8" s="6" t="str">
        <f ca="1">CELL("contenu",INDIRECT(ADDRESS(ref!$K$4,ref!E7,1,,CELL("contenu",$AA$2))))</f>
        <v/>
      </c>
      <c r="G8" s="3" t="str">
        <f ca="1">CELL("contenu",INDIRECT(ADDRESS(ref!$K$4,ref!F7,1,,CELL("contenu",$AA$2))))</f>
        <v>A</v>
      </c>
      <c r="H8" s="4" t="str">
        <f ca="1">CELL("contenu",INDIRECT(ADDRESS(ref!$K$4,ref!G7,1,,CELL("contenu",$AA$2))))</f>
        <v>A</v>
      </c>
      <c r="I8" s="5" t="str">
        <f ca="1">CELL("contenu",INDIRECT(ADDRESS(ref!$K$4,ref!H7,1,,CELL("contenu",$AA$2))))</f>
        <v>B</v>
      </c>
      <c r="J8" s="6" t="str">
        <f ca="1">CELL("contenu",INDIRECT(ADDRESS(ref!$K$5,ref!E7,1,,CELL("contenu",$AA$2))))</f>
        <v>C</v>
      </c>
      <c r="K8" s="3" t="str">
        <f ca="1">CELL("contenu",INDIRECT(ADDRESS(ref!$K$5,ref!F7,1,,CELL("contenu",$AA$2))))</f>
        <v>B</v>
      </c>
      <c r="L8" s="4" t="str">
        <f ca="1">CELL("contenu",INDIRECT(ADDRESS(ref!$K$5,ref!G7,1,,CELL("contenu",$AA$2))))</f>
        <v>C</v>
      </c>
      <c r="M8" s="5" t="str">
        <f ca="1">CELL("contenu",INDIRECT(ADDRESS(ref!$K$5,ref!H7,1,,CELL("contenu",$AA$2))))</f>
        <v>C</v>
      </c>
      <c r="N8" s="6" t="str">
        <f ca="1">CELL("contenu",INDIRECT(ADDRESS(ref!$K$6,ref!E7,1,,CELL("contenu",$AA$2))))</f>
        <v>D</v>
      </c>
      <c r="O8" s="3" t="str">
        <f ca="1">CELL("contenu",INDIRECT(ADDRESS(ref!$K$6,ref!F7,1,,CELL("contenu",$AA$2))))</f>
        <v>C</v>
      </c>
      <c r="P8" s="4" t="str">
        <f ca="1">CELL("contenu",INDIRECT(ADDRESS(ref!$K$6,ref!G7,1,,CELL("contenu",$AA$2))))</f>
        <v>C</v>
      </c>
      <c r="Q8" s="5" t="str">
        <f ca="1">CELL("contenu",INDIRECT(ADDRESS(ref!$K$6,ref!H7,1,,CELL("contenu",$AA$2))))</f>
        <v>C</v>
      </c>
      <c r="R8" s="6" t="str">
        <f ca="1">CELL("contenu",INDIRECT(ADDRESS(ref!$K$7,ref!E7,1,,CELL("contenu",$AA$2))))</f>
        <v/>
      </c>
      <c r="S8" s="3" t="str">
        <f ca="1">CELL("contenu",INDIRECT(ADDRESS(ref!$K$7,ref!F7,1,,CELL("contenu",$AA$2))))</f>
        <v/>
      </c>
      <c r="T8" s="4" t="str">
        <f ca="1">CELL("contenu",INDIRECT(ADDRESS(ref!$K$7,ref!G7,1,,CELL("contenu",$AA$2))))</f>
        <v/>
      </c>
      <c r="U8" s="5" t="str">
        <f ca="1">CELL("contenu",INDIRECT(ADDRESS(ref!$K$7,ref!H7,1,,CELL("contenu",$AA$2))))</f>
        <v/>
      </c>
      <c r="V8" s="49">
        <f ca="1">CELL("contenu",INDIRECT(ADDRESS(ref!$K$8,ref!E7,1,,CELL("contenu",$AA$2))))</f>
        <v>7.5</v>
      </c>
      <c r="W8" s="50">
        <f ca="1">CELL("contenu",INDIRECT(ADDRESS(ref!$K$8,ref!F7,1,,CELL("contenu",$AA$2))))</f>
        <v>18.333333333333332</v>
      </c>
      <c r="X8" s="51">
        <f ca="1">CELL("contenu",INDIRECT(ADDRESS(ref!$K$8,ref!G7,1,,CELL("contenu",$AA$2))))</f>
        <v>17.708333333333332</v>
      </c>
      <c r="Y8" s="21" t="str">
        <f ca="1">CELL("contenu",INDIRECT(ADDRESS(ref!$K$9,ref!H7,1,,CELL("contenu",$AA$2))))</f>
        <v>B</v>
      </c>
    </row>
    <row r="9" spans="1:27" x14ac:dyDescent="0.25">
      <c r="A9" s="59" t="str">
        <f t="shared" ca="1" si="0"/>
        <v>CRETEL--HERIVEAU Rose</v>
      </c>
      <c r="B9" s="2" t="str">
        <f ca="1">CELL("contenu",INDIRECT(ADDRESS(ref!$K$3,ref!E8,1,,CELL("contenu",$AA$2))))</f>
        <v/>
      </c>
      <c r="C9" s="3" t="str">
        <f ca="1">CELL("contenu",INDIRECT(ADDRESS(ref!$K$3,ref!F8,1,,CELL("contenu",$AA$2))))</f>
        <v>C</v>
      </c>
      <c r="D9" s="4" t="str">
        <f ca="1">CELL("contenu",INDIRECT(ADDRESS(ref!$K$3,ref!G8,1,,CELL("contenu",$AA$2))))</f>
        <v/>
      </c>
      <c r="E9" s="5" t="str">
        <f ca="1">CELL("contenu",INDIRECT(ADDRESS(ref!$K$3,ref!H8,1,,CELL("contenu",$AA$2))))</f>
        <v>C</v>
      </c>
      <c r="F9" s="6" t="str">
        <f ca="1">CELL("contenu",INDIRECT(ADDRESS(ref!$K$4,ref!E8,1,,CELL("contenu",$AA$2))))</f>
        <v/>
      </c>
      <c r="G9" s="3" t="str">
        <f ca="1">CELL("contenu",INDIRECT(ADDRESS(ref!$K$4,ref!F8,1,,CELL("contenu",$AA$2))))</f>
        <v>A</v>
      </c>
      <c r="H9" s="4" t="str">
        <f ca="1">CELL("contenu",INDIRECT(ADDRESS(ref!$K$4,ref!G8,1,,CELL("contenu",$AA$2))))</f>
        <v>A</v>
      </c>
      <c r="I9" s="5" t="str">
        <f ca="1">CELL("contenu",INDIRECT(ADDRESS(ref!$K$4,ref!H8,1,,CELL("contenu",$AA$2))))</f>
        <v>B</v>
      </c>
      <c r="J9" s="6" t="str">
        <f ca="1">CELL("contenu",INDIRECT(ADDRESS(ref!$K$5,ref!E8,1,,CELL("contenu",$AA$2))))</f>
        <v>B</v>
      </c>
      <c r="K9" s="3" t="str">
        <f ca="1">CELL("contenu",INDIRECT(ADDRESS(ref!$K$5,ref!F8,1,,CELL("contenu",$AA$2))))</f>
        <v>C</v>
      </c>
      <c r="L9" s="4" t="str">
        <f ca="1">CELL("contenu",INDIRECT(ADDRESS(ref!$K$5,ref!G8,1,,CELL("contenu",$AA$2))))</f>
        <v>C</v>
      </c>
      <c r="M9" s="5" t="str">
        <f ca="1">CELL("contenu",INDIRECT(ADDRESS(ref!$K$5,ref!H8,1,,CELL("contenu",$AA$2))))</f>
        <v>C</v>
      </c>
      <c r="N9" s="6" t="str">
        <f ca="1">CELL("contenu",INDIRECT(ADDRESS(ref!$K$6,ref!E8,1,,CELL("contenu",$AA$2))))</f>
        <v>D</v>
      </c>
      <c r="O9" s="3" t="str">
        <f ca="1">CELL("contenu",INDIRECT(ADDRESS(ref!$K$6,ref!F8,1,,CELL("contenu",$AA$2))))</f>
        <v>C</v>
      </c>
      <c r="P9" s="4" t="str">
        <f ca="1">CELL("contenu",INDIRECT(ADDRESS(ref!$K$6,ref!G8,1,,CELL("contenu",$AA$2))))</f>
        <v>C</v>
      </c>
      <c r="Q9" s="5" t="str">
        <f ca="1">CELL("contenu",INDIRECT(ADDRESS(ref!$K$6,ref!H8,1,,CELL("contenu",$AA$2))))</f>
        <v>C</v>
      </c>
      <c r="R9" s="6" t="str">
        <f ca="1">CELL("contenu",INDIRECT(ADDRESS(ref!$K$7,ref!E8,1,,CELL("contenu",$AA$2))))</f>
        <v/>
      </c>
      <c r="S9" s="3" t="str">
        <f ca="1">CELL("contenu",INDIRECT(ADDRESS(ref!$K$7,ref!F8,1,,CELL("contenu",$AA$2))))</f>
        <v/>
      </c>
      <c r="T9" s="4" t="str">
        <f ca="1">CELL("contenu",INDIRECT(ADDRESS(ref!$K$7,ref!G8,1,,CELL("contenu",$AA$2))))</f>
        <v/>
      </c>
      <c r="U9" s="5" t="str">
        <f ca="1">CELL("contenu",INDIRECT(ADDRESS(ref!$K$7,ref!H8,1,,CELL("contenu",$AA$2))))</f>
        <v/>
      </c>
      <c r="V9" s="49">
        <f ca="1">CELL("contenu",INDIRECT(ADDRESS(ref!$K$8,ref!E8,1,,CELL("contenu",$AA$2))))</f>
        <v>10</v>
      </c>
      <c r="W9" s="50">
        <f ca="1">CELL("contenu",INDIRECT(ADDRESS(ref!$K$8,ref!F8,1,,CELL("contenu",$AA$2))))</f>
        <v>15.416666666666668</v>
      </c>
      <c r="X9" s="51">
        <f ca="1">CELL("contenu",INDIRECT(ADDRESS(ref!$K$8,ref!G8,1,,CELL("contenu",$AA$2))))</f>
        <v>16.944444444444443</v>
      </c>
      <c r="Y9" s="21" t="str">
        <f ca="1">CELL("contenu",INDIRECT(ADDRESS(ref!$K$9,ref!H8,1,,CELL("contenu",$AA$2))))</f>
        <v>B</v>
      </c>
    </row>
    <row r="10" spans="1:27" x14ac:dyDescent="0.25">
      <c r="A10" s="59" t="str">
        <f t="shared" ca="1" si="0"/>
        <v>DESEILLE Gaston</v>
      </c>
      <c r="B10" s="2" t="str">
        <f ca="1">CELL("contenu",INDIRECT(ADDRESS(ref!$K$3,ref!E9,1,,CELL("contenu",$AA$2))))</f>
        <v/>
      </c>
      <c r="C10" s="3" t="str">
        <f ca="1">CELL("contenu",INDIRECT(ADDRESS(ref!$K$3,ref!F9,1,,CELL("contenu",$AA$2))))</f>
        <v>C</v>
      </c>
      <c r="D10" s="4" t="str">
        <f ca="1">CELL("contenu",INDIRECT(ADDRESS(ref!$K$3,ref!G9,1,,CELL("contenu",$AA$2))))</f>
        <v>A</v>
      </c>
      <c r="E10" s="5" t="str">
        <f ca="1">CELL("contenu",INDIRECT(ADDRESS(ref!$K$3,ref!H9,1,,CELL("contenu",$AA$2))))</f>
        <v>B</v>
      </c>
      <c r="F10" s="6" t="str">
        <f ca="1">CELL("contenu",INDIRECT(ADDRESS(ref!$K$4,ref!E9,1,,CELL("contenu",$AA$2))))</f>
        <v/>
      </c>
      <c r="G10" s="3" t="str">
        <f ca="1">CELL("contenu",INDIRECT(ADDRESS(ref!$K$4,ref!F9,1,,CELL("contenu",$AA$2))))</f>
        <v>A</v>
      </c>
      <c r="H10" s="4" t="str">
        <f ca="1">CELL("contenu",INDIRECT(ADDRESS(ref!$K$4,ref!G9,1,,CELL("contenu",$AA$2))))</f>
        <v>A</v>
      </c>
      <c r="I10" s="5" t="str">
        <f ca="1">CELL("contenu",INDIRECT(ADDRESS(ref!$K$4,ref!H9,1,,CELL("contenu",$AA$2))))</f>
        <v>B</v>
      </c>
      <c r="J10" s="6" t="str">
        <f ca="1">CELL("contenu",INDIRECT(ADDRESS(ref!$K$5,ref!E9,1,,CELL("contenu",$AA$2))))</f>
        <v>B</v>
      </c>
      <c r="K10" s="3" t="str">
        <f ca="1">CELL("contenu",INDIRECT(ADDRESS(ref!$K$5,ref!F9,1,,CELL("contenu",$AA$2))))</f>
        <v>B</v>
      </c>
      <c r="L10" s="4" t="str">
        <f ca="1">CELL("contenu",INDIRECT(ADDRESS(ref!$K$5,ref!G9,1,,CELL("contenu",$AA$2))))</f>
        <v>C</v>
      </c>
      <c r="M10" s="5" t="str">
        <f ca="1">CELL("contenu",INDIRECT(ADDRESS(ref!$K$5,ref!H9,1,,CELL("contenu",$AA$2))))</f>
        <v>C</v>
      </c>
      <c r="N10" s="6" t="str">
        <f ca="1">CELL("contenu",INDIRECT(ADDRESS(ref!$K$6,ref!E9,1,,CELL("contenu",$AA$2))))</f>
        <v>C</v>
      </c>
      <c r="O10" s="3" t="str">
        <f ca="1">CELL("contenu",INDIRECT(ADDRESS(ref!$K$6,ref!F9,1,,CELL("contenu",$AA$2))))</f>
        <v>B</v>
      </c>
      <c r="P10" s="4" t="str">
        <f ca="1">CELL("contenu",INDIRECT(ADDRESS(ref!$K$6,ref!G9,1,,CELL("contenu",$AA$2))))</f>
        <v>C</v>
      </c>
      <c r="Q10" s="5" t="str">
        <f ca="1">CELL("contenu",INDIRECT(ADDRESS(ref!$K$6,ref!H9,1,,CELL("contenu",$AA$2))))</f>
        <v>C</v>
      </c>
      <c r="R10" s="6" t="str">
        <f ca="1">CELL("contenu",INDIRECT(ADDRESS(ref!$K$7,ref!E9,1,,CELL("contenu",$AA$2))))</f>
        <v/>
      </c>
      <c r="S10" s="3" t="str">
        <f ca="1">CELL("contenu",INDIRECT(ADDRESS(ref!$K$7,ref!F9,1,,CELL("contenu",$AA$2))))</f>
        <v/>
      </c>
      <c r="T10" s="4" t="str">
        <f ca="1">CELL("contenu",INDIRECT(ADDRESS(ref!$K$7,ref!G9,1,,CELL("contenu",$AA$2))))</f>
        <v/>
      </c>
      <c r="U10" s="5" t="str">
        <f ca="1">CELL("contenu",INDIRECT(ADDRESS(ref!$K$7,ref!H9,1,,CELL("contenu",$AA$2))))</f>
        <v/>
      </c>
      <c r="V10" s="49">
        <f ca="1">CELL("contenu",INDIRECT(ADDRESS(ref!$K$8,ref!E9,1,,CELL("contenu",$AA$2))))</f>
        <v>12.5</v>
      </c>
      <c r="W10" s="50">
        <f ca="1">CELL("contenu",INDIRECT(ADDRESS(ref!$K$8,ref!F9,1,,CELL("contenu",$AA$2))))</f>
        <v>18.645833333333332</v>
      </c>
      <c r="X10" s="51">
        <f ca="1">CELL("contenu",INDIRECT(ADDRESS(ref!$K$8,ref!G9,1,,CELL("contenu",$AA$2))))</f>
        <v>18.229166666666668</v>
      </c>
      <c r="Y10" s="21" t="str">
        <f ca="1">CELL("contenu",INDIRECT(ADDRESS(ref!$K$9,ref!H9,1,,CELL("contenu",$AA$2))))</f>
        <v>A</v>
      </c>
    </row>
    <row r="11" spans="1:27" x14ac:dyDescent="0.25">
      <c r="A11" s="59" t="str">
        <f t="shared" ca="1" si="0"/>
        <v>DUBOCQ Tristan</v>
      </c>
      <c r="B11" s="2" t="str">
        <f ca="1">CELL("contenu",INDIRECT(ADDRESS(ref!$K$3,ref!E10,1,,CELL("contenu",$AA$2))))</f>
        <v/>
      </c>
      <c r="C11" s="3" t="str">
        <f ca="1">CELL("contenu",INDIRECT(ADDRESS(ref!$K$3,ref!F10,1,,CELL("contenu",$AA$2))))</f>
        <v>B</v>
      </c>
      <c r="D11" s="4" t="str">
        <f ca="1">CELL("contenu",INDIRECT(ADDRESS(ref!$K$3,ref!G10,1,,CELL("contenu",$AA$2))))</f>
        <v>A</v>
      </c>
      <c r="E11" s="5" t="str">
        <f ca="1">CELL("contenu",INDIRECT(ADDRESS(ref!$K$3,ref!H10,1,,CELL("contenu",$AA$2))))</f>
        <v>B</v>
      </c>
      <c r="F11" s="6" t="str">
        <f ca="1">CELL("contenu",INDIRECT(ADDRESS(ref!$K$4,ref!E10,1,,CELL("contenu",$AA$2))))</f>
        <v/>
      </c>
      <c r="G11" s="3" t="str">
        <f ca="1">CELL("contenu",INDIRECT(ADDRESS(ref!$K$4,ref!F10,1,,CELL("contenu",$AA$2))))</f>
        <v>A</v>
      </c>
      <c r="H11" s="4" t="str">
        <f ca="1">CELL("contenu",INDIRECT(ADDRESS(ref!$K$4,ref!G10,1,,CELL("contenu",$AA$2))))</f>
        <v>A</v>
      </c>
      <c r="I11" s="5" t="str">
        <f ca="1">CELL("contenu",INDIRECT(ADDRESS(ref!$K$4,ref!H10,1,,CELL("contenu",$AA$2))))</f>
        <v>B</v>
      </c>
      <c r="J11" s="6" t="str">
        <f ca="1">CELL("contenu",INDIRECT(ADDRESS(ref!$K$5,ref!E10,1,,CELL("contenu",$AA$2))))</f>
        <v>B</v>
      </c>
      <c r="K11" s="3" t="str">
        <f ca="1">CELL("contenu",INDIRECT(ADDRESS(ref!$K$5,ref!F10,1,,CELL("contenu",$AA$2))))</f>
        <v>B</v>
      </c>
      <c r="L11" s="4" t="str">
        <f ca="1">CELL("contenu",INDIRECT(ADDRESS(ref!$K$5,ref!G10,1,,CELL("contenu",$AA$2))))</f>
        <v>C</v>
      </c>
      <c r="M11" s="5" t="str">
        <f ca="1">CELL("contenu",INDIRECT(ADDRESS(ref!$K$5,ref!H10,1,,CELL("contenu",$AA$2))))</f>
        <v>C</v>
      </c>
      <c r="N11" s="6" t="str">
        <f ca="1">CELL("contenu",INDIRECT(ADDRESS(ref!$K$6,ref!E10,1,,CELL("contenu",$AA$2))))</f>
        <v>B</v>
      </c>
      <c r="O11" s="3" t="str">
        <f ca="1">CELL("contenu",INDIRECT(ADDRESS(ref!$K$6,ref!F10,1,,CELL("contenu",$AA$2))))</f>
        <v>C</v>
      </c>
      <c r="P11" s="4" t="str">
        <f ca="1">CELL("contenu",INDIRECT(ADDRESS(ref!$K$6,ref!G10,1,,CELL("contenu",$AA$2))))</f>
        <v>C</v>
      </c>
      <c r="Q11" s="5" t="str">
        <f ca="1">CELL("contenu",INDIRECT(ADDRESS(ref!$K$6,ref!H10,1,,CELL("contenu",$AA$2))))</f>
        <v>C</v>
      </c>
      <c r="R11" s="6" t="str">
        <f ca="1">CELL("contenu",INDIRECT(ADDRESS(ref!$K$7,ref!E10,1,,CELL("contenu",$AA$2))))</f>
        <v/>
      </c>
      <c r="S11" s="3" t="str">
        <f ca="1">CELL("contenu",INDIRECT(ADDRESS(ref!$K$7,ref!F10,1,,CELL("contenu",$AA$2))))</f>
        <v/>
      </c>
      <c r="T11" s="4" t="str">
        <f ca="1">CELL("contenu",INDIRECT(ADDRESS(ref!$K$7,ref!G10,1,,CELL("contenu",$AA$2))))</f>
        <v/>
      </c>
      <c r="U11" s="5" t="str">
        <f ca="1">CELL("contenu",INDIRECT(ADDRESS(ref!$K$7,ref!H10,1,,CELL("contenu",$AA$2))))</f>
        <v/>
      </c>
      <c r="V11" s="49">
        <f ca="1">CELL("contenu",INDIRECT(ADDRESS(ref!$K$8,ref!E10,1,,CELL("contenu",$AA$2))))</f>
        <v>15</v>
      </c>
      <c r="W11" s="50">
        <f ca="1">CELL("contenu",INDIRECT(ADDRESS(ref!$K$8,ref!F10,1,,CELL("contenu",$AA$2))))</f>
        <v>20.208333333333336</v>
      </c>
      <c r="X11" s="51">
        <f ca="1">CELL("contenu",INDIRECT(ADDRESS(ref!$K$8,ref!G10,1,,CELL("contenu",$AA$2))))</f>
        <v>18.645833333333332</v>
      </c>
      <c r="Y11" s="21" t="str">
        <f ca="1">CELL("contenu",INDIRECT(ADDRESS(ref!$K$9,ref!H10,1,,CELL("contenu",$AA$2))))</f>
        <v>A</v>
      </c>
    </row>
    <row r="12" spans="1:27" x14ac:dyDescent="0.25">
      <c r="A12" s="59" t="str">
        <f t="shared" ca="1" si="0"/>
        <v>FRUGIER Andrea</v>
      </c>
      <c r="B12" s="2" t="str">
        <f ca="1">CELL("contenu",INDIRECT(ADDRESS(ref!$K$3,ref!E11,1,,CELL("contenu",$AA$2))))</f>
        <v/>
      </c>
      <c r="C12" s="3" t="str">
        <f ca="1">CELL("contenu",INDIRECT(ADDRESS(ref!$K$3,ref!F11,1,,CELL("contenu",$AA$2))))</f>
        <v>B</v>
      </c>
      <c r="D12" s="4" t="str">
        <f ca="1">CELL("contenu",INDIRECT(ADDRESS(ref!$K$3,ref!G11,1,,CELL("contenu",$AA$2))))</f>
        <v>A</v>
      </c>
      <c r="E12" s="5" t="str">
        <f ca="1">CELL("contenu",INDIRECT(ADDRESS(ref!$K$3,ref!H11,1,,CELL("contenu",$AA$2))))</f>
        <v>B</v>
      </c>
      <c r="F12" s="6" t="str">
        <f ca="1">CELL("contenu",INDIRECT(ADDRESS(ref!$K$4,ref!E11,1,,CELL("contenu",$AA$2))))</f>
        <v/>
      </c>
      <c r="G12" s="3" t="str">
        <f ca="1">CELL("contenu",INDIRECT(ADDRESS(ref!$K$4,ref!F11,1,,CELL("contenu",$AA$2))))</f>
        <v>A</v>
      </c>
      <c r="H12" s="4" t="str">
        <f ca="1">CELL("contenu",INDIRECT(ADDRESS(ref!$K$4,ref!G11,1,,CELL("contenu",$AA$2))))</f>
        <v>A</v>
      </c>
      <c r="I12" s="5" t="str">
        <f ca="1">CELL("contenu",INDIRECT(ADDRESS(ref!$K$4,ref!H11,1,,CELL("contenu",$AA$2))))</f>
        <v>B</v>
      </c>
      <c r="J12" s="6" t="str">
        <f ca="1">CELL("contenu",INDIRECT(ADDRESS(ref!$K$5,ref!E11,1,,CELL("contenu",$AA$2))))</f>
        <v>B</v>
      </c>
      <c r="K12" s="3" t="str">
        <f ca="1">CELL("contenu",INDIRECT(ADDRESS(ref!$K$5,ref!F11,1,,CELL("contenu",$AA$2))))</f>
        <v>B</v>
      </c>
      <c r="L12" s="4" t="str">
        <f ca="1">CELL("contenu",INDIRECT(ADDRESS(ref!$K$5,ref!G11,1,,CELL("contenu",$AA$2))))</f>
        <v>C</v>
      </c>
      <c r="M12" s="5" t="str">
        <f ca="1">CELL("contenu",INDIRECT(ADDRESS(ref!$K$5,ref!H11,1,,CELL("contenu",$AA$2))))</f>
        <v>C</v>
      </c>
      <c r="N12" s="6" t="str">
        <f ca="1">CELL("contenu",INDIRECT(ADDRESS(ref!$K$6,ref!E11,1,,CELL("contenu",$AA$2))))</f>
        <v>B</v>
      </c>
      <c r="O12" s="3" t="str">
        <f ca="1">CELL("contenu",INDIRECT(ADDRESS(ref!$K$6,ref!F11,1,,CELL("contenu",$AA$2))))</f>
        <v>C</v>
      </c>
      <c r="P12" s="4" t="str">
        <f ca="1">CELL("contenu",INDIRECT(ADDRESS(ref!$K$6,ref!G11,1,,CELL("contenu",$AA$2))))</f>
        <v>B</v>
      </c>
      <c r="Q12" s="5" t="str">
        <f ca="1">CELL("contenu",INDIRECT(ADDRESS(ref!$K$6,ref!H11,1,,CELL("contenu",$AA$2))))</f>
        <v>B</v>
      </c>
      <c r="R12" s="6" t="str">
        <f ca="1">CELL("contenu",INDIRECT(ADDRESS(ref!$K$7,ref!E11,1,,CELL("contenu",$AA$2))))</f>
        <v/>
      </c>
      <c r="S12" s="3" t="str">
        <f ca="1">CELL("contenu",INDIRECT(ADDRESS(ref!$K$7,ref!F11,1,,CELL("contenu",$AA$2))))</f>
        <v/>
      </c>
      <c r="T12" s="4" t="str">
        <f ca="1">CELL("contenu",INDIRECT(ADDRESS(ref!$K$7,ref!G11,1,,CELL("contenu",$AA$2))))</f>
        <v/>
      </c>
      <c r="U12" s="5" t="str">
        <f ca="1">CELL("contenu",INDIRECT(ADDRESS(ref!$K$7,ref!H11,1,,CELL("contenu",$AA$2))))</f>
        <v/>
      </c>
      <c r="V12" s="49">
        <f ca="1">CELL("contenu",INDIRECT(ADDRESS(ref!$K$8,ref!E11,1,,CELL("contenu",$AA$2))))</f>
        <v>15</v>
      </c>
      <c r="W12" s="50">
        <f ca="1">CELL("contenu",INDIRECT(ADDRESS(ref!$K$8,ref!F11,1,,CELL("contenu",$AA$2))))</f>
        <v>19.6875</v>
      </c>
      <c r="X12" s="51">
        <f ca="1">CELL("contenu",INDIRECT(ADDRESS(ref!$K$8,ref!G11,1,,CELL("contenu",$AA$2))))</f>
        <v>18.958333333333332</v>
      </c>
      <c r="Y12" s="21" t="str">
        <f ca="1">CELL("contenu",INDIRECT(ADDRESS(ref!$K$9,ref!H11,1,,CELL("contenu",$AA$2))))</f>
        <v>B</v>
      </c>
    </row>
    <row r="13" spans="1:27" x14ac:dyDescent="0.25">
      <c r="A13" s="59" t="str">
        <f t="shared" ca="1" si="0"/>
        <v>GALEANO Antoine</v>
      </c>
      <c r="B13" s="2" t="str">
        <f ca="1">CELL("contenu",INDIRECT(ADDRESS(ref!$K$3,ref!E12,1,,CELL("contenu",$AA$2))))</f>
        <v/>
      </c>
      <c r="C13" s="3" t="str">
        <f ca="1">CELL("contenu",INDIRECT(ADDRESS(ref!$K$3,ref!F12,1,,CELL("contenu",$AA$2))))</f>
        <v>A</v>
      </c>
      <c r="D13" s="4" t="str">
        <f ca="1">CELL("contenu",INDIRECT(ADDRESS(ref!$K$3,ref!G12,1,,CELL("contenu",$AA$2))))</f>
        <v>A</v>
      </c>
      <c r="E13" s="5" t="str">
        <f ca="1">CELL("contenu",INDIRECT(ADDRESS(ref!$K$3,ref!H12,1,,CELL("contenu",$AA$2))))</f>
        <v>A</v>
      </c>
      <c r="F13" s="6" t="str">
        <f ca="1">CELL("contenu",INDIRECT(ADDRESS(ref!$K$4,ref!E12,1,,CELL("contenu",$AA$2))))</f>
        <v/>
      </c>
      <c r="G13" s="3" t="str">
        <f ca="1">CELL("contenu",INDIRECT(ADDRESS(ref!$K$4,ref!F12,1,,CELL("contenu",$AA$2))))</f>
        <v>A</v>
      </c>
      <c r="H13" s="4" t="str">
        <f ca="1">CELL("contenu",INDIRECT(ADDRESS(ref!$K$4,ref!G12,1,,CELL("contenu",$AA$2))))</f>
        <v>A</v>
      </c>
      <c r="I13" s="5" t="str">
        <f ca="1">CELL("contenu",INDIRECT(ADDRESS(ref!$K$4,ref!H12,1,,CELL("contenu",$AA$2))))</f>
        <v>B</v>
      </c>
      <c r="J13" s="6" t="str">
        <f ca="1">CELL("contenu",INDIRECT(ADDRESS(ref!$K$5,ref!E12,1,,CELL("contenu",$AA$2))))</f>
        <v>B</v>
      </c>
      <c r="K13" s="3" t="str">
        <f ca="1">CELL("contenu",INDIRECT(ADDRESS(ref!$K$5,ref!F12,1,,CELL("contenu",$AA$2))))</f>
        <v>C</v>
      </c>
      <c r="L13" s="4" t="str">
        <f ca="1">CELL("contenu",INDIRECT(ADDRESS(ref!$K$5,ref!G12,1,,CELL("contenu",$AA$2))))</f>
        <v>C</v>
      </c>
      <c r="M13" s="5" t="str">
        <f ca="1">CELL("contenu",INDIRECT(ADDRESS(ref!$K$5,ref!H12,1,,CELL("contenu",$AA$2))))</f>
        <v>C</v>
      </c>
      <c r="N13" s="6" t="str">
        <f ca="1">CELL("contenu",INDIRECT(ADDRESS(ref!$K$6,ref!E12,1,,CELL("contenu",$AA$2))))</f>
        <v>C</v>
      </c>
      <c r="O13" s="3" t="str">
        <f ca="1">CELL("contenu",INDIRECT(ADDRESS(ref!$K$6,ref!F12,1,,CELL("contenu",$AA$2))))</f>
        <v>B</v>
      </c>
      <c r="P13" s="4" t="str">
        <f ca="1">CELL("contenu",INDIRECT(ADDRESS(ref!$K$6,ref!G12,1,,CELL("contenu",$AA$2))))</f>
        <v>B</v>
      </c>
      <c r="Q13" s="5" t="str">
        <f ca="1">CELL("contenu",INDIRECT(ADDRESS(ref!$K$6,ref!H12,1,,CELL("contenu",$AA$2))))</f>
        <v>B</v>
      </c>
      <c r="R13" s="6" t="str">
        <f ca="1">CELL("contenu",INDIRECT(ADDRESS(ref!$K$7,ref!E12,1,,CELL("contenu",$AA$2))))</f>
        <v/>
      </c>
      <c r="S13" s="3" t="str">
        <f ca="1">CELL("contenu",INDIRECT(ADDRESS(ref!$K$7,ref!F12,1,,CELL("contenu",$AA$2))))</f>
        <v/>
      </c>
      <c r="T13" s="4" t="str">
        <f ca="1">CELL("contenu",INDIRECT(ADDRESS(ref!$K$7,ref!G12,1,,CELL("contenu",$AA$2))))</f>
        <v/>
      </c>
      <c r="U13" s="5" t="str">
        <f ca="1">CELL("contenu",INDIRECT(ADDRESS(ref!$K$7,ref!H12,1,,CELL("contenu",$AA$2))))</f>
        <v/>
      </c>
      <c r="V13" s="49">
        <f ca="1">CELL("contenu",INDIRECT(ADDRESS(ref!$K$8,ref!E12,1,,CELL("contenu",$AA$2))))</f>
        <v>12.5</v>
      </c>
      <c r="W13" s="50">
        <f ca="1">CELL("contenu",INDIRECT(ADDRESS(ref!$K$8,ref!F12,1,,CELL("contenu",$AA$2))))</f>
        <v>19.895833333333332</v>
      </c>
      <c r="X13" s="51">
        <f ca="1">CELL("contenu",INDIRECT(ADDRESS(ref!$K$8,ref!G12,1,,CELL("contenu",$AA$2))))</f>
        <v>18.958333333333332</v>
      </c>
      <c r="Y13" s="21" t="str">
        <f ca="1">CELL("contenu",INDIRECT(ADDRESS(ref!$K$9,ref!H12,1,,CELL("contenu",$AA$2))))</f>
        <v>B</v>
      </c>
    </row>
    <row r="14" spans="1:27" x14ac:dyDescent="0.25">
      <c r="A14" s="59" t="str">
        <f t="shared" ca="1" si="0"/>
        <v>GARAND Blanche</v>
      </c>
      <c r="B14" s="2" t="str">
        <f ca="1">CELL("contenu",INDIRECT(ADDRESS(ref!$K$3,ref!E13,1,,CELL("contenu",$AA$2))))</f>
        <v/>
      </c>
      <c r="C14" s="3" t="str">
        <f ca="1">CELL("contenu",INDIRECT(ADDRESS(ref!$K$3,ref!F13,1,,CELL("contenu",$AA$2))))</f>
        <v>A</v>
      </c>
      <c r="D14" s="4" t="str">
        <f ca="1">CELL("contenu",INDIRECT(ADDRESS(ref!$K$3,ref!G13,1,,CELL("contenu",$AA$2))))</f>
        <v>A</v>
      </c>
      <c r="E14" s="5" t="str">
        <f ca="1">CELL("contenu",INDIRECT(ADDRESS(ref!$K$3,ref!H13,1,,CELL("contenu",$AA$2))))</f>
        <v>A</v>
      </c>
      <c r="F14" s="6" t="str">
        <f ca="1">CELL("contenu",INDIRECT(ADDRESS(ref!$K$4,ref!E13,1,,CELL("contenu",$AA$2))))</f>
        <v/>
      </c>
      <c r="G14" s="3" t="str">
        <f ca="1">CELL("contenu",INDIRECT(ADDRESS(ref!$K$4,ref!F13,1,,CELL("contenu",$AA$2))))</f>
        <v>A</v>
      </c>
      <c r="H14" s="4" t="str">
        <f ca="1">CELL("contenu",INDIRECT(ADDRESS(ref!$K$4,ref!G13,1,,CELL("contenu",$AA$2))))</f>
        <v>A</v>
      </c>
      <c r="I14" s="5" t="str">
        <f ca="1">CELL("contenu",INDIRECT(ADDRESS(ref!$K$4,ref!H13,1,,CELL("contenu",$AA$2))))</f>
        <v>B</v>
      </c>
      <c r="J14" s="6" t="str">
        <f ca="1">CELL("contenu",INDIRECT(ADDRESS(ref!$K$5,ref!E13,1,,CELL("contenu",$AA$2))))</f>
        <v>B</v>
      </c>
      <c r="K14" s="3" t="str">
        <f ca="1">CELL("contenu",INDIRECT(ADDRESS(ref!$K$5,ref!F13,1,,CELL("contenu",$AA$2))))</f>
        <v>B</v>
      </c>
      <c r="L14" s="4" t="str">
        <f ca="1">CELL("contenu",INDIRECT(ADDRESS(ref!$K$5,ref!G13,1,,CELL("contenu",$AA$2))))</f>
        <v>C</v>
      </c>
      <c r="M14" s="5" t="str">
        <f ca="1">CELL("contenu",INDIRECT(ADDRESS(ref!$K$5,ref!H13,1,,CELL("contenu",$AA$2))))</f>
        <v>C</v>
      </c>
      <c r="N14" s="6" t="str">
        <f ca="1">CELL("contenu",INDIRECT(ADDRESS(ref!$K$6,ref!E13,1,,CELL("contenu",$AA$2))))</f>
        <v>B</v>
      </c>
      <c r="O14" s="3" t="str">
        <f ca="1">CELL("contenu",INDIRECT(ADDRESS(ref!$K$6,ref!F13,1,,CELL("contenu",$AA$2))))</f>
        <v>B</v>
      </c>
      <c r="P14" s="4" t="str">
        <f ca="1">CELL("contenu",INDIRECT(ADDRESS(ref!$K$6,ref!G13,1,,CELL("contenu",$AA$2))))</f>
        <v>B</v>
      </c>
      <c r="Q14" s="5" t="str">
        <f ca="1">CELL("contenu",INDIRECT(ADDRESS(ref!$K$6,ref!H13,1,,CELL("contenu",$AA$2))))</f>
        <v>B</v>
      </c>
      <c r="R14" s="6" t="str">
        <f ca="1">CELL("contenu",INDIRECT(ADDRESS(ref!$K$7,ref!E13,1,,CELL("contenu",$AA$2))))</f>
        <v/>
      </c>
      <c r="S14" s="3" t="str">
        <f ca="1">CELL("contenu",INDIRECT(ADDRESS(ref!$K$7,ref!F13,1,,CELL("contenu",$AA$2))))</f>
        <v/>
      </c>
      <c r="T14" s="4" t="str">
        <f ca="1">CELL("contenu",INDIRECT(ADDRESS(ref!$K$7,ref!G13,1,,CELL("contenu",$AA$2))))</f>
        <v/>
      </c>
      <c r="U14" s="5" t="str">
        <f ca="1">CELL("contenu",INDIRECT(ADDRESS(ref!$K$7,ref!H13,1,,CELL("contenu",$AA$2))))</f>
        <v/>
      </c>
      <c r="V14" s="49">
        <f ca="1">CELL("contenu",INDIRECT(ADDRESS(ref!$K$8,ref!E13,1,,CELL("contenu",$AA$2))))</f>
        <v>15</v>
      </c>
      <c r="W14" s="50">
        <f ca="1">CELL("contenu",INDIRECT(ADDRESS(ref!$K$8,ref!F13,1,,CELL("contenu",$AA$2))))</f>
        <v>20.9375</v>
      </c>
      <c r="X14" s="51">
        <f ca="1">CELL("contenu",INDIRECT(ADDRESS(ref!$K$8,ref!G13,1,,CELL("contenu",$AA$2))))</f>
        <v>19.479166666666668</v>
      </c>
      <c r="Y14" s="21" t="str">
        <f ca="1">CELL("contenu",INDIRECT(ADDRESS(ref!$K$9,ref!H13,1,,CELL("contenu",$AA$2))))</f>
        <v>A</v>
      </c>
    </row>
    <row r="15" spans="1:27" x14ac:dyDescent="0.25">
      <c r="A15" s="59" t="str">
        <f t="shared" ca="1" si="0"/>
        <v>GENEVEE Apolline</v>
      </c>
      <c r="B15" s="2" t="str">
        <f ca="1">CELL("contenu",INDIRECT(ADDRESS(ref!$K$3,ref!E14,1,,CELL("contenu",$AA$2))))</f>
        <v/>
      </c>
      <c r="C15" s="3" t="str">
        <f ca="1">CELL("contenu",INDIRECT(ADDRESS(ref!$K$3,ref!F14,1,,CELL("contenu",$AA$2))))</f>
        <v>A</v>
      </c>
      <c r="D15" s="4" t="str">
        <f ca="1">CELL("contenu",INDIRECT(ADDRESS(ref!$K$3,ref!G14,1,,CELL("contenu",$AA$2))))</f>
        <v>A</v>
      </c>
      <c r="E15" s="5" t="str">
        <f ca="1">CELL("contenu",INDIRECT(ADDRESS(ref!$K$3,ref!H14,1,,CELL("contenu",$AA$2))))</f>
        <v>A</v>
      </c>
      <c r="F15" s="6" t="str">
        <f ca="1">CELL("contenu",INDIRECT(ADDRESS(ref!$K$4,ref!E14,1,,CELL("contenu",$AA$2))))</f>
        <v/>
      </c>
      <c r="G15" s="3" t="str">
        <f ca="1">CELL("contenu",INDIRECT(ADDRESS(ref!$K$4,ref!F14,1,,CELL("contenu",$AA$2))))</f>
        <v>A</v>
      </c>
      <c r="H15" s="4" t="str">
        <f ca="1">CELL("contenu",INDIRECT(ADDRESS(ref!$K$4,ref!G14,1,,CELL("contenu",$AA$2))))</f>
        <v>A</v>
      </c>
      <c r="I15" s="5" t="str">
        <f ca="1">CELL("contenu",INDIRECT(ADDRESS(ref!$K$4,ref!H14,1,,CELL("contenu",$AA$2))))</f>
        <v>B</v>
      </c>
      <c r="J15" s="6" t="str">
        <f ca="1">CELL("contenu",INDIRECT(ADDRESS(ref!$K$5,ref!E14,1,,CELL("contenu",$AA$2))))</f>
        <v>B</v>
      </c>
      <c r="K15" s="3" t="str">
        <f ca="1">CELL("contenu",INDIRECT(ADDRESS(ref!$K$5,ref!F14,1,,CELL("contenu",$AA$2))))</f>
        <v/>
      </c>
      <c r="L15" s="4" t="str">
        <f ca="1">CELL("contenu",INDIRECT(ADDRESS(ref!$K$5,ref!G14,1,,CELL("contenu",$AA$2))))</f>
        <v/>
      </c>
      <c r="M15" s="5" t="str">
        <f ca="1">CELL("contenu",INDIRECT(ADDRESS(ref!$K$5,ref!H14,1,,CELL("contenu",$AA$2))))</f>
        <v>B</v>
      </c>
      <c r="N15" s="6" t="str">
        <f ca="1">CELL("contenu",INDIRECT(ADDRESS(ref!$K$6,ref!E14,1,,CELL("contenu",$AA$2))))</f>
        <v>C</v>
      </c>
      <c r="O15" s="3" t="str">
        <f ca="1">CELL("contenu",INDIRECT(ADDRESS(ref!$K$6,ref!F14,1,,CELL("contenu",$AA$2))))</f>
        <v>A</v>
      </c>
      <c r="P15" s="4" t="str">
        <f ca="1">CELL("contenu",INDIRECT(ADDRESS(ref!$K$6,ref!G14,1,,CELL("contenu",$AA$2))))</f>
        <v>B</v>
      </c>
      <c r="Q15" s="5" t="str">
        <f ca="1">CELL("contenu",INDIRECT(ADDRESS(ref!$K$6,ref!H14,1,,CELL("contenu",$AA$2))))</f>
        <v>B</v>
      </c>
      <c r="R15" s="6" t="str">
        <f ca="1">CELL("contenu",INDIRECT(ADDRESS(ref!$K$7,ref!E14,1,,CELL("contenu",$AA$2))))</f>
        <v/>
      </c>
      <c r="S15" s="3" t="str">
        <f ca="1">CELL("contenu",INDIRECT(ADDRESS(ref!$K$7,ref!F14,1,,CELL("contenu",$AA$2))))</f>
        <v/>
      </c>
      <c r="T15" s="4" t="str">
        <f ca="1">CELL("contenu",INDIRECT(ADDRESS(ref!$K$7,ref!G14,1,,CELL("contenu",$AA$2))))</f>
        <v/>
      </c>
      <c r="U15" s="5" t="str">
        <f ca="1">CELL("contenu",INDIRECT(ADDRESS(ref!$K$7,ref!H14,1,,CELL("contenu",$AA$2))))</f>
        <v/>
      </c>
      <c r="V15" s="49">
        <f ca="1">CELL("contenu",INDIRECT(ADDRESS(ref!$K$8,ref!E14,1,,CELL("contenu",$AA$2))))</f>
        <v>12.5</v>
      </c>
      <c r="W15" s="50">
        <f ca="1">CELL("contenu",INDIRECT(ADDRESS(ref!$K$8,ref!F14,1,,CELL("contenu",$AA$2))))</f>
        <v>20</v>
      </c>
      <c r="X15" s="51">
        <f ca="1">CELL("contenu",INDIRECT(ADDRESS(ref!$K$8,ref!G14,1,,CELL("contenu",$AA$2))))</f>
        <v>21.944444444444443</v>
      </c>
      <c r="Y15" s="21" t="str">
        <f ca="1">CELL("contenu",INDIRECT(ADDRESS(ref!$K$9,ref!H14,1,,CELL("contenu",$AA$2))))</f>
        <v>A</v>
      </c>
    </row>
    <row r="16" spans="1:27" x14ac:dyDescent="0.25">
      <c r="A16" s="59" t="str">
        <f t="shared" ca="1" si="0"/>
        <v>GILLES Leopold</v>
      </c>
      <c r="B16" s="2" t="str">
        <f ca="1">CELL("contenu",INDIRECT(ADDRESS(ref!$K$3,ref!E15,1,,CELL("contenu",$AA$2))))</f>
        <v/>
      </c>
      <c r="C16" s="3" t="str">
        <f ca="1">CELL("contenu",INDIRECT(ADDRESS(ref!$K$3,ref!F15,1,,CELL("contenu",$AA$2))))</f>
        <v>B</v>
      </c>
      <c r="D16" s="4" t="str">
        <f ca="1">CELL("contenu",INDIRECT(ADDRESS(ref!$K$3,ref!G15,1,,CELL("contenu",$AA$2))))</f>
        <v>A</v>
      </c>
      <c r="E16" s="5" t="str">
        <f ca="1">CELL("contenu",INDIRECT(ADDRESS(ref!$K$3,ref!H15,1,,CELL("contenu",$AA$2))))</f>
        <v>A</v>
      </c>
      <c r="F16" s="6" t="str">
        <f ca="1">CELL("contenu",INDIRECT(ADDRESS(ref!$K$4,ref!E15,1,,CELL("contenu",$AA$2))))</f>
        <v/>
      </c>
      <c r="G16" s="3" t="str">
        <f ca="1">CELL("contenu",INDIRECT(ADDRESS(ref!$K$4,ref!F15,1,,CELL("contenu",$AA$2))))</f>
        <v>A</v>
      </c>
      <c r="H16" s="4" t="str">
        <f ca="1">CELL("contenu",INDIRECT(ADDRESS(ref!$K$4,ref!G15,1,,CELL("contenu",$AA$2))))</f>
        <v>A</v>
      </c>
      <c r="I16" s="5" t="str">
        <f ca="1">CELL("contenu",INDIRECT(ADDRESS(ref!$K$4,ref!H15,1,,CELL("contenu",$AA$2))))</f>
        <v>B</v>
      </c>
      <c r="J16" s="6" t="str">
        <f ca="1">CELL("contenu",INDIRECT(ADDRESS(ref!$K$5,ref!E15,1,,CELL("contenu",$AA$2))))</f>
        <v>B</v>
      </c>
      <c r="K16" s="3" t="str">
        <f ca="1">CELL("contenu",INDIRECT(ADDRESS(ref!$K$5,ref!F15,1,,CELL("contenu",$AA$2))))</f>
        <v/>
      </c>
      <c r="L16" s="4" t="str">
        <f ca="1">CELL("contenu",INDIRECT(ADDRESS(ref!$K$5,ref!G15,1,,CELL("contenu",$AA$2))))</f>
        <v>C</v>
      </c>
      <c r="M16" s="5" t="str">
        <f ca="1">CELL("contenu",INDIRECT(ADDRESS(ref!$K$5,ref!H15,1,,CELL("contenu",$AA$2))))</f>
        <v>C</v>
      </c>
      <c r="N16" s="6" t="str">
        <f ca="1">CELL("contenu",INDIRECT(ADDRESS(ref!$K$6,ref!E15,1,,CELL("contenu",$AA$2))))</f>
        <v>C</v>
      </c>
      <c r="O16" s="3" t="str">
        <f ca="1">CELL("contenu",INDIRECT(ADDRESS(ref!$K$6,ref!F15,1,,CELL("contenu",$AA$2))))</f>
        <v>B</v>
      </c>
      <c r="P16" s="4" t="str">
        <f ca="1">CELL("contenu",INDIRECT(ADDRESS(ref!$K$6,ref!G15,1,,CELL("contenu",$AA$2))))</f>
        <v>C</v>
      </c>
      <c r="Q16" s="5" t="str">
        <f ca="1">CELL("contenu",INDIRECT(ADDRESS(ref!$K$6,ref!H15,1,,CELL("contenu",$AA$2))))</f>
        <v>C</v>
      </c>
      <c r="R16" s="6" t="str">
        <f ca="1">CELL("contenu",INDIRECT(ADDRESS(ref!$K$7,ref!E15,1,,CELL("contenu",$AA$2))))</f>
        <v/>
      </c>
      <c r="S16" s="3" t="str">
        <f ca="1">CELL("contenu",INDIRECT(ADDRESS(ref!$K$7,ref!F15,1,,CELL("contenu",$AA$2))))</f>
        <v/>
      </c>
      <c r="T16" s="4" t="str">
        <f ca="1">CELL("contenu",INDIRECT(ADDRESS(ref!$K$7,ref!G15,1,,CELL("contenu",$AA$2))))</f>
        <v/>
      </c>
      <c r="U16" s="5" t="str">
        <f ca="1">CELL("contenu",INDIRECT(ADDRESS(ref!$K$7,ref!H15,1,,CELL("contenu",$AA$2))))</f>
        <v/>
      </c>
      <c r="V16" s="49">
        <f ca="1">CELL("contenu",INDIRECT(ADDRESS(ref!$K$8,ref!E15,1,,CELL("contenu",$AA$2))))</f>
        <v>12.5</v>
      </c>
      <c r="W16" s="50">
        <f ca="1">CELL("contenu",INDIRECT(ADDRESS(ref!$K$8,ref!F15,1,,CELL("contenu",$AA$2))))</f>
        <v>18.333333333333332</v>
      </c>
      <c r="X16" s="51">
        <f ca="1">CELL("contenu",INDIRECT(ADDRESS(ref!$K$8,ref!G15,1,,CELL("contenu",$AA$2))))</f>
        <v>18.229166666666668</v>
      </c>
      <c r="Y16" s="21" t="str">
        <f ca="1">CELL("contenu",INDIRECT(ADDRESS(ref!$K$9,ref!H15,1,,CELL("contenu",$AA$2))))</f>
        <v>A</v>
      </c>
    </row>
    <row r="17" spans="1:25" x14ac:dyDescent="0.25">
      <c r="A17" s="59" t="str">
        <f t="shared" ca="1" si="0"/>
        <v>GOISQUE Foucauld</v>
      </c>
      <c r="B17" s="2" t="str">
        <f ca="1">CELL("contenu",INDIRECT(ADDRESS(ref!$K$3,ref!E16,1,,CELL("contenu",$AA$2))))</f>
        <v/>
      </c>
      <c r="C17" s="3" t="str">
        <f ca="1">CELL("contenu",INDIRECT(ADDRESS(ref!$K$3,ref!F16,1,,CELL("contenu",$AA$2))))</f>
        <v>A</v>
      </c>
      <c r="D17" s="4" t="str">
        <f ca="1">CELL("contenu",INDIRECT(ADDRESS(ref!$K$3,ref!G16,1,,CELL("contenu",$AA$2))))</f>
        <v>A</v>
      </c>
      <c r="E17" s="5" t="str">
        <f ca="1">CELL("contenu",INDIRECT(ADDRESS(ref!$K$3,ref!H16,1,,CELL("contenu",$AA$2))))</f>
        <v>A</v>
      </c>
      <c r="F17" s="6" t="str">
        <f ca="1">CELL("contenu",INDIRECT(ADDRESS(ref!$K$4,ref!E16,1,,CELL("contenu",$AA$2))))</f>
        <v/>
      </c>
      <c r="G17" s="3" t="str">
        <f ca="1">CELL("contenu",INDIRECT(ADDRESS(ref!$K$4,ref!F16,1,,CELL("contenu",$AA$2))))</f>
        <v>A</v>
      </c>
      <c r="H17" s="4" t="str">
        <f ca="1">CELL("contenu",INDIRECT(ADDRESS(ref!$K$4,ref!G16,1,,CELL("contenu",$AA$2))))</f>
        <v>A</v>
      </c>
      <c r="I17" s="5" t="str">
        <f ca="1">CELL("contenu",INDIRECT(ADDRESS(ref!$K$4,ref!H16,1,,CELL("contenu",$AA$2))))</f>
        <v>B</v>
      </c>
      <c r="J17" s="6" t="str">
        <f ca="1">CELL("contenu",INDIRECT(ADDRESS(ref!$K$5,ref!E16,1,,CELL("contenu",$AA$2))))</f>
        <v>B</v>
      </c>
      <c r="K17" s="3" t="str">
        <f ca="1">CELL("contenu",INDIRECT(ADDRESS(ref!$K$5,ref!F16,1,,CELL("contenu",$AA$2))))</f>
        <v>B</v>
      </c>
      <c r="L17" s="4" t="str">
        <f ca="1">CELL("contenu",INDIRECT(ADDRESS(ref!$K$5,ref!G16,1,,CELL("contenu",$AA$2))))</f>
        <v>C</v>
      </c>
      <c r="M17" s="5" t="str">
        <f ca="1">CELL("contenu",INDIRECT(ADDRESS(ref!$K$5,ref!H16,1,,CELL("contenu",$AA$2))))</f>
        <v>C</v>
      </c>
      <c r="N17" s="6" t="str">
        <f ca="1">CELL("contenu",INDIRECT(ADDRESS(ref!$K$6,ref!E16,1,,CELL("contenu",$AA$2))))</f>
        <v>B</v>
      </c>
      <c r="O17" s="3" t="str">
        <f ca="1">CELL("contenu",INDIRECT(ADDRESS(ref!$K$6,ref!F16,1,,CELL("contenu",$AA$2))))</f>
        <v>B</v>
      </c>
      <c r="P17" s="4" t="str">
        <f ca="1">CELL("contenu",INDIRECT(ADDRESS(ref!$K$6,ref!G16,1,,CELL("contenu",$AA$2))))</f>
        <v>B</v>
      </c>
      <c r="Q17" s="5" t="str">
        <f ca="1">CELL("contenu",INDIRECT(ADDRESS(ref!$K$6,ref!H16,1,,CELL("contenu",$AA$2))))</f>
        <v>B</v>
      </c>
      <c r="R17" s="6" t="str">
        <f ca="1">CELL("contenu",INDIRECT(ADDRESS(ref!$K$7,ref!E16,1,,CELL("contenu",$AA$2))))</f>
        <v/>
      </c>
      <c r="S17" s="3" t="str">
        <f ca="1">CELL("contenu",INDIRECT(ADDRESS(ref!$K$7,ref!F16,1,,CELL("contenu",$AA$2))))</f>
        <v/>
      </c>
      <c r="T17" s="4" t="str">
        <f ca="1">CELL("contenu",INDIRECT(ADDRESS(ref!$K$7,ref!G16,1,,CELL("contenu",$AA$2))))</f>
        <v/>
      </c>
      <c r="U17" s="5" t="str">
        <f ca="1">CELL("contenu",INDIRECT(ADDRESS(ref!$K$7,ref!H16,1,,CELL("contenu",$AA$2))))</f>
        <v/>
      </c>
      <c r="V17" s="49">
        <f ca="1">CELL("contenu",INDIRECT(ADDRESS(ref!$K$8,ref!E16,1,,CELL("contenu",$AA$2))))</f>
        <v>15</v>
      </c>
      <c r="W17" s="50">
        <f ca="1">CELL("contenu",INDIRECT(ADDRESS(ref!$K$8,ref!F16,1,,CELL("contenu",$AA$2))))</f>
        <v>20.729166666666664</v>
      </c>
      <c r="X17" s="51">
        <f ca="1">CELL("contenu",INDIRECT(ADDRESS(ref!$K$8,ref!G16,1,,CELL("contenu",$AA$2))))</f>
        <v>20.3125</v>
      </c>
      <c r="Y17" s="21" t="str">
        <f ca="1">CELL("contenu",INDIRECT(ADDRESS(ref!$K$9,ref!H16,1,,CELL("contenu",$AA$2))))</f>
        <v>A</v>
      </c>
    </row>
    <row r="18" spans="1:25" x14ac:dyDescent="0.25">
      <c r="A18" s="59" t="str">
        <f t="shared" ca="1" si="0"/>
        <v>GUENOT Emma</v>
      </c>
      <c r="B18" s="2" t="str">
        <f ca="1">CELL("contenu",INDIRECT(ADDRESS(ref!$K$3,ref!E17,1,,CELL("contenu",$AA$2))))</f>
        <v/>
      </c>
      <c r="C18" s="3" t="str">
        <f ca="1">CELL("contenu",INDIRECT(ADDRESS(ref!$K$3,ref!F17,1,,CELL("contenu",$AA$2))))</f>
        <v>A</v>
      </c>
      <c r="D18" s="4" t="str">
        <f ca="1">CELL("contenu",INDIRECT(ADDRESS(ref!$K$3,ref!G17,1,,CELL("contenu",$AA$2))))</f>
        <v/>
      </c>
      <c r="E18" s="5" t="str">
        <f ca="1">CELL("contenu",INDIRECT(ADDRESS(ref!$K$3,ref!H17,1,,CELL("contenu",$AA$2))))</f>
        <v>A</v>
      </c>
      <c r="F18" s="6" t="str">
        <f ca="1">CELL("contenu",INDIRECT(ADDRESS(ref!$K$4,ref!E17,1,,CELL("contenu",$AA$2))))</f>
        <v/>
      </c>
      <c r="G18" s="3" t="str">
        <f ca="1">CELL("contenu",INDIRECT(ADDRESS(ref!$K$4,ref!F17,1,,CELL("contenu",$AA$2))))</f>
        <v>A</v>
      </c>
      <c r="H18" s="4" t="str">
        <f ca="1">CELL("contenu",INDIRECT(ADDRESS(ref!$K$4,ref!G17,1,,CELL("contenu",$AA$2))))</f>
        <v/>
      </c>
      <c r="I18" s="5" t="str">
        <f ca="1">CELL("contenu",INDIRECT(ADDRESS(ref!$K$4,ref!H17,1,,CELL("contenu",$AA$2))))</f>
        <v>A</v>
      </c>
      <c r="J18" s="6" t="str">
        <f ca="1">CELL("contenu",INDIRECT(ADDRESS(ref!$K$5,ref!E17,1,,CELL("contenu",$AA$2))))</f>
        <v>B</v>
      </c>
      <c r="K18" s="3" t="str">
        <f ca="1">CELL("contenu",INDIRECT(ADDRESS(ref!$K$5,ref!F17,1,,CELL("contenu",$AA$2))))</f>
        <v/>
      </c>
      <c r="L18" s="4" t="str">
        <f ca="1">CELL("contenu",INDIRECT(ADDRESS(ref!$K$5,ref!G17,1,,CELL("contenu",$AA$2))))</f>
        <v/>
      </c>
      <c r="M18" s="5" t="str">
        <f ca="1">CELL("contenu",INDIRECT(ADDRESS(ref!$K$5,ref!H17,1,,CELL("contenu",$AA$2))))</f>
        <v>B</v>
      </c>
      <c r="N18" s="6" t="str">
        <f ca="1">CELL("contenu",INDIRECT(ADDRESS(ref!$K$6,ref!E17,1,,CELL("contenu",$AA$2))))</f>
        <v>B</v>
      </c>
      <c r="O18" s="3" t="str">
        <f ca="1">CELL("contenu",INDIRECT(ADDRESS(ref!$K$6,ref!F17,1,,CELL("contenu",$AA$2))))</f>
        <v>A</v>
      </c>
      <c r="P18" s="4" t="str">
        <f ca="1">CELL("contenu",INDIRECT(ADDRESS(ref!$K$6,ref!G17,1,,CELL("contenu",$AA$2))))</f>
        <v>A</v>
      </c>
      <c r="Q18" s="5" t="str">
        <f ca="1">CELL("contenu",INDIRECT(ADDRESS(ref!$K$6,ref!H17,1,,CELL("contenu",$AA$2))))</f>
        <v>A</v>
      </c>
      <c r="R18" s="6" t="str">
        <f ca="1">CELL("contenu",INDIRECT(ADDRESS(ref!$K$7,ref!E17,1,,CELL("contenu",$AA$2))))</f>
        <v/>
      </c>
      <c r="S18" s="3" t="str">
        <f ca="1">CELL("contenu",INDIRECT(ADDRESS(ref!$K$7,ref!F17,1,,CELL("contenu",$AA$2))))</f>
        <v/>
      </c>
      <c r="T18" s="4" t="str">
        <f ca="1">CELL("contenu",INDIRECT(ADDRESS(ref!$K$7,ref!G17,1,,CELL("contenu",$AA$2))))</f>
        <v/>
      </c>
      <c r="U18" s="5" t="str">
        <f ca="1">CELL("contenu",INDIRECT(ADDRESS(ref!$K$7,ref!H17,1,,CELL("contenu",$AA$2))))</f>
        <v/>
      </c>
      <c r="V18" s="49">
        <f ca="1">CELL("contenu",INDIRECT(ADDRESS(ref!$K$8,ref!E17,1,,CELL("contenu",$AA$2))))</f>
        <v>15</v>
      </c>
      <c r="W18" s="50">
        <f ca="1">CELL("contenu",INDIRECT(ADDRESS(ref!$K$8,ref!F17,1,,CELL("contenu",$AA$2))))</f>
        <v>20</v>
      </c>
      <c r="X18" s="51">
        <f ca="1">CELL("contenu",INDIRECT(ADDRESS(ref!$K$8,ref!G17,1,,CELL("contenu",$AA$2))))</f>
        <v>20</v>
      </c>
      <c r="Y18" s="21" t="str">
        <f ca="1">CELL("contenu",INDIRECT(ADDRESS(ref!$K$9,ref!H17,1,,CELL("contenu",$AA$2))))</f>
        <v>A</v>
      </c>
    </row>
    <row r="19" spans="1:25" x14ac:dyDescent="0.25">
      <c r="A19" s="59" t="str">
        <f t="shared" ca="1" si="0"/>
        <v>GUILLOT Cesar</v>
      </c>
      <c r="B19" s="2" t="str">
        <f ca="1">CELL("contenu",INDIRECT(ADDRESS(ref!$K$3,ref!E18,1,,CELL("contenu",$AA$2))))</f>
        <v/>
      </c>
      <c r="C19" s="3" t="str">
        <f ca="1">CELL("contenu",INDIRECT(ADDRESS(ref!$K$3,ref!F18,1,,CELL("contenu",$AA$2))))</f>
        <v>B</v>
      </c>
      <c r="D19" s="4" t="str">
        <f ca="1">CELL("contenu",INDIRECT(ADDRESS(ref!$K$3,ref!G18,1,,CELL("contenu",$AA$2))))</f>
        <v/>
      </c>
      <c r="E19" s="5" t="str">
        <f ca="1">CELL("contenu",INDIRECT(ADDRESS(ref!$K$3,ref!H18,1,,CELL("contenu",$AA$2))))</f>
        <v>B</v>
      </c>
      <c r="F19" s="6" t="str">
        <f ca="1">CELL("contenu",INDIRECT(ADDRESS(ref!$K$4,ref!E18,1,,CELL("contenu",$AA$2))))</f>
        <v/>
      </c>
      <c r="G19" s="3" t="str">
        <f ca="1">CELL("contenu",INDIRECT(ADDRESS(ref!$K$4,ref!F18,1,,CELL("contenu",$AA$2))))</f>
        <v>A</v>
      </c>
      <c r="H19" s="4" t="str">
        <f ca="1">CELL("contenu",INDIRECT(ADDRESS(ref!$K$4,ref!G18,1,,CELL("contenu",$AA$2))))</f>
        <v>A</v>
      </c>
      <c r="I19" s="5" t="str">
        <f ca="1">CELL("contenu",INDIRECT(ADDRESS(ref!$K$4,ref!H18,1,,CELL("contenu",$AA$2))))</f>
        <v>B</v>
      </c>
      <c r="J19" s="6" t="str">
        <f ca="1">CELL("contenu",INDIRECT(ADDRESS(ref!$K$5,ref!E18,1,,CELL("contenu",$AA$2))))</f>
        <v>C</v>
      </c>
      <c r="K19" s="3" t="str">
        <f ca="1">CELL("contenu",INDIRECT(ADDRESS(ref!$K$5,ref!F18,1,,CELL("contenu",$AA$2))))</f>
        <v/>
      </c>
      <c r="L19" s="4" t="str">
        <f ca="1">CELL("contenu",INDIRECT(ADDRESS(ref!$K$5,ref!G18,1,,CELL("contenu",$AA$2))))</f>
        <v>C</v>
      </c>
      <c r="M19" s="5" t="str">
        <f ca="1">CELL("contenu",INDIRECT(ADDRESS(ref!$K$5,ref!H18,1,,CELL("contenu",$AA$2))))</f>
        <v>C</v>
      </c>
      <c r="N19" s="6" t="str">
        <f ca="1">CELL("contenu",INDIRECT(ADDRESS(ref!$K$6,ref!E18,1,,CELL("contenu",$AA$2))))</f>
        <v>C</v>
      </c>
      <c r="O19" s="3" t="str">
        <f ca="1">CELL("contenu",INDIRECT(ADDRESS(ref!$K$6,ref!F18,1,,CELL("contenu",$AA$2))))</f>
        <v>A</v>
      </c>
      <c r="P19" s="4" t="str">
        <f ca="1">CELL("contenu",INDIRECT(ADDRESS(ref!$K$6,ref!G18,1,,CELL("contenu",$AA$2))))</f>
        <v>C</v>
      </c>
      <c r="Q19" s="5" t="str">
        <f ca="1">CELL("contenu",INDIRECT(ADDRESS(ref!$K$6,ref!H18,1,,CELL("contenu",$AA$2))))</f>
        <v>B</v>
      </c>
      <c r="R19" s="6" t="str">
        <f ca="1">CELL("contenu",INDIRECT(ADDRESS(ref!$K$7,ref!E18,1,,CELL("contenu",$AA$2))))</f>
        <v/>
      </c>
      <c r="S19" s="3" t="str">
        <f ca="1">CELL("contenu",INDIRECT(ADDRESS(ref!$K$7,ref!F18,1,,CELL("contenu",$AA$2))))</f>
        <v/>
      </c>
      <c r="T19" s="4" t="str">
        <f ca="1">CELL("contenu",INDIRECT(ADDRESS(ref!$K$7,ref!G18,1,,CELL("contenu",$AA$2))))</f>
        <v/>
      </c>
      <c r="U19" s="5" t="str">
        <f ca="1">CELL("contenu",INDIRECT(ADDRESS(ref!$K$7,ref!H18,1,,CELL("contenu",$AA$2))))</f>
        <v/>
      </c>
      <c r="V19" s="49">
        <f ca="1">CELL("contenu",INDIRECT(ADDRESS(ref!$K$8,ref!E18,1,,CELL("contenu",$AA$2))))</f>
        <v>10</v>
      </c>
      <c r="W19" s="50">
        <f ca="1">CELL("contenu",INDIRECT(ADDRESS(ref!$K$8,ref!F18,1,,CELL("contenu",$AA$2))))</f>
        <v>19.166666666666668</v>
      </c>
      <c r="X19" s="51">
        <f ca="1">CELL("contenu",INDIRECT(ADDRESS(ref!$K$8,ref!G18,1,,CELL("contenu",$AA$2))))</f>
        <v>17.777777777777779</v>
      </c>
      <c r="Y19" s="21" t="str">
        <f ca="1">CELL("contenu",INDIRECT(ADDRESS(ref!$K$9,ref!H18,1,,CELL("contenu",$AA$2))))</f>
        <v>B</v>
      </c>
    </row>
    <row r="20" spans="1:25" x14ac:dyDescent="0.25">
      <c r="A20" s="59" t="str">
        <f t="shared" ca="1" si="0"/>
        <v>LALLEMENT Clemence</v>
      </c>
      <c r="B20" s="2" t="str">
        <f ca="1">CELL("contenu",INDIRECT(ADDRESS(ref!$K$3,ref!E19,1,,CELL("contenu",$AA$2))))</f>
        <v/>
      </c>
      <c r="C20" s="3" t="str">
        <f ca="1">CELL("contenu",INDIRECT(ADDRESS(ref!$K$3,ref!F19,1,,CELL("contenu",$AA$2))))</f>
        <v>B</v>
      </c>
      <c r="D20" s="4" t="str">
        <f ca="1">CELL("contenu",INDIRECT(ADDRESS(ref!$K$3,ref!G19,1,,CELL("contenu",$AA$2))))</f>
        <v>A</v>
      </c>
      <c r="E20" s="5" t="str">
        <f ca="1">CELL("contenu",INDIRECT(ADDRESS(ref!$K$3,ref!H19,1,,CELL("contenu",$AA$2))))</f>
        <v>B</v>
      </c>
      <c r="F20" s="6" t="str">
        <f ca="1">CELL("contenu",INDIRECT(ADDRESS(ref!$K$4,ref!E19,1,,CELL("contenu",$AA$2))))</f>
        <v/>
      </c>
      <c r="G20" s="3" t="str">
        <f ca="1">CELL("contenu",INDIRECT(ADDRESS(ref!$K$4,ref!F19,1,,CELL("contenu",$AA$2))))</f>
        <v>A</v>
      </c>
      <c r="H20" s="4" t="str">
        <f ca="1">CELL("contenu",INDIRECT(ADDRESS(ref!$K$4,ref!G19,1,,CELL("contenu",$AA$2))))</f>
        <v>A</v>
      </c>
      <c r="I20" s="5" t="str">
        <f ca="1">CELL("contenu",INDIRECT(ADDRESS(ref!$K$4,ref!H19,1,,CELL("contenu",$AA$2))))</f>
        <v>B</v>
      </c>
      <c r="J20" s="6" t="str">
        <f ca="1">CELL("contenu",INDIRECT(ADDRESS(ref!$K$5,ref!E19,1,,CELL("contenu",$AA$2))))</f>
        <v>B</v>
      </c>
      <c r="K20" s="3" t="str">
        <f ca="1">CELL("contenu",INDIRECT(ADDRESS(ref!$K$5,ref!F19,1,,CELL("contenu",$AA$2))))</f>
        <v>B</v>
      </c>
      <c r="L20" s="4" t="str">
        <f ca="1">CELL("contenu",INDIRECT(ADDRESS(ref!$K$5,ref!G19,1,,CELL("contenu",$AA$2))))</f>
        <v>B</v>
      </c>
      <c r="M20" s="5" t="str">
        <f ca="1">CELL("contenu",INDIRECT(ADDRESS(ref!$K$5,ref!H19,1,,CELL("contenu",$AA$2))))</f>
        <v>B</v>
      </c>
      <c r="N20" s="6" t="str">
        <f ca="1">CELL("contenu",INDIRECT(ADDRESS(ref!$K$6,ref!E19,1,,CELL("contenu",$AA$2))))</f>
        <v>C</v>
      </c>
      <c r="O20" s="3" t="str">
        <f ca="1">CELL("contenu",INDIRECT(ADDRESS(ref!$K$6,ref!F19,1,,CELL("contenu",$AA$2))))</f>
        <v>C</v>
      </c>
      <c r="P20" s="4" t="str">
        <f ca="1">CELL("contenu",INDIRECT(ADDRESS(ref!$K$6,ref!G19,1,,CELL("contenu",$AA$2))))</f>
        <v>B</v>
      </c>
      <c r="Q20" s="5" t="str">
        <f ca="1">CELL("contenu",INDIRECT(ADDRESS(ref!$K$6,ref!H19,1,,CELL("contenu",$AA$2))))</f>
        <v>C</v>
      </c>
      <c r="R20" s="6" t="str">
        <f ca="1">CELL("contenu",INDIRECT(ADDRESS(ref!$K$7,ref!E19,1,,CELL("contenu",$AA$2))))</f>
        <v/>
      </c>
      <c r="S20" s="3" t="str">
        <f ca="1">CELL("contenu",INDIRECT(ADDRESS(ref!$K$7,ref!F19,1,,CELL("contenu",$AA$2))))</f>
        <v/>
      </c>
      <c r="T20" s="4" t="str">
        <f ca="1">CELL("contenu",INDIRECT(ADDRESS(ref!$K$7,ref!G19,1,,CELL("contenu",$AA$2))))</f>
        <v/>
      </c>
      <c r="U20" s="5" t="str">
        <f ca="1">CELL("contenu",INDIRECT(ADDRESS(ref!$K$7,ref!H19,1,,CELL("contenu",$AA$2))))</f>
        <v/>
      </c>
      <c r="V20" s="49">
        <f ca="1">CELL("contenu",INDIRECT(ADDRESS(ref!$K$8,ref!E19,1,,CELL("contenu",$AA$2))))</f>
        <v>12.5</v>
      </c>
      <c r="W20" s="50">
        <f ca="1">CELL("contenu",INDIRECT(ADDRESS(ref!$K$8,ref!F19,1,,CELL("contenu",$AA$2))))</f>
        <v>19.791666666666668</v>
      </c>
      <c r="X20" s="51">
        <f ca="1">CELL("contenu",INDIRECT(ADDRESS(ref!$K$8,ref!G19,1,,CELL("contenu",$AA$2))))</f>
        <v>20.625</v>
      </c>
      <c r="Y20" s="21" t="str">
        <f ca="1">CELL("contenu",INDIRECT(ADDRESS(ref!$K$9,ref!H19,1,,CELL("contenu",$AA$2))))</f>
        <v>A</v>
      </c>
    </row>
    <row r="21" spans="1:25" x14ac:dyDescent="0.25">
      <c r="A21" s="59" t="str">
        <f t="shared" ca="1" si="0"/>
        <v>LECORSU Romeo</v>
      </c>
      <c r="B21" s="2" t="str">
        <f ca="1">CELL("contenu",INDIRECT(ADDRESS(ref!$K$3,ref!E20,1,,CELL("contenu",$AA$2))))</f>
        <v/>
      </c>
      <c r="C21" s="3" t="str">
        <f ca="1">CELL("contenu",INDIRECT(ADDRESS(ref!$K$3,ref!F20,1,,CELL("contenu",$AA$2))))</f>
        <v>B</v>
      </c>
      <c r="D21" s="4" t="str">
        <f ca="1">CELL("contenu",INDIRECT(ADDRESS(ref!$K$3,ref!G20,1,,CELL("contenu",$AA$2))))</f>
        <v>A</v>
      </c>
      <c r="E21" s="5" t="str">
        <f ca="1">CELL("contenu",INDIRECT(ADDRESS(ref!$K$3,ref!H20,1,,CELL("contenu",$AA$2))))</f>
        <v>B</v>
      </c>
      <c r="F21" s="6" t="str">
        <f ca="1">CELL("contenu",INDIRECT(ADDRESS(ref!$K$4,ref!E20,1,,CELL("contenu",$AA$2))))</f>
        <v/>
      </c>
      <c r="G21" s="3" t="str">
        <f ca="1">CELL("contenu",INDIRECT(ADDRESS(ref!$K$4,ref!F20,1,,CELL("contenu",$AA$2))))</f>
        <v>A</v>
      </c>
      <c r="H21" s="4" t="str">
        <f ca="1">CELL("contenu",INDIRECT(ADDRESS(ref!$K$4,ref!G20,1,,CELL("contenu",$AA$2))))</f>
        <v>A</v>
      </c>
      <c r="I21" s="5" t="str">
        <f ca="1">CELL("contenu",INDIRECT(ADDRESS(ref!$K$4,ref!H20,1,,CELL("contenu",$AA$2))))</f>
        <v>B</v>
      </c>
      <c r="J21" s="6" t="str">
        <f ca="1">CELL("contenu",INDIRECT(ADDRESS(ref!$K$5,ref!E20,1,,CELL("contenu",$AA$2))))</f>
        <v>B</v>
      </c>
      <c r="K21" s="3" t="str">
        <f ca="1">CELL("contenu",INDIRECT(ADDRESS(ref!$K$5,ref!F20,1,,CELL("contenu",$AA$2))))</f>
        <v>B</v>
      </c>
      <c r="L21" s="4" t="str">
        <f ca="1">CELL("contenu",INDIRECT(ADDRESS(ref!$K$5,ref!G20,1,,CELL("contenu",$AA$2))))</f>
        <v>C</v>
      </c>
      <c r="M21" s="5" t="str">
        <f ca="1">CELL("contenu",INDIRECT(ADDRESS(ref!$K$5,ref!H20,1,,CELL("contenu",$AA$2))))</f>
        <v>C</v>
      </c>
      <c r="N21" s="6" t="str">
        <f ca="1">CELL("contenu",INDIRECT(ADDRESS(ref!$K$6,ref!E20,1,,CELL("contenu",$AA$2))))</f>
        <v>D</v>
      </c>
      <c r="O21" s="3" t="str">
        <f ca="1">CELL("contenu",INDIRECT(ADDRESS(ref!$K$6,ref!F20,1,,CELL("contenu",$AA$2))))</f>
        <v>C</v>
      </c>
      <c r="P21" s="4" t="str">
        <f ca="1">CELL("contenu",INDIRECT(ADDRESS(ref!$K$6,ref!G20,1,,CELL("contenu",$AA$2))))</f>
        <v>C</v>
      </c>
      <c r="Q21" s="5" t="str">
        <f ca="1">CELL("contenu",INDIRECT(ADDRESS(ref!$K$6,ref!H20,1,,CELL("contenu",$AA$2))))</f>
        <v>C</v>
      </c>
      <c r="R21" s="6" t="str">
        <f ca="1">CELL("contenu",INDIRECT(ADDRESS(ref!$K$7,ref!E20,1,,CELL("contenu",$AA$2))))</f>
        <v/>
      </c>
      <c r="S21" s="3" t="str">
        <f ca="1">CELL("contenu",INDIRECT(ADDRESS(ref!$K$7,ref!F20,1,,CELL("contenu",$AA$2))))</f>
        <v/>
      </c>
      <c r="T21" s="4" t="str">
        <f ca="1">CELL("contenu",INDIRECT(ADDRESS(ref!$K$7,ref!G20,1,,CELL("contenu",$AA$2))))</f>
        <v/>
      </c>
      <c r="U21" s="5" t="str">
        <f ca="1">CELL("contenu",INDIRECT(ADDRESS(ref!$K$7,ref!H20,1,,CELL("contenu",$AA$2))))</f>
        <v/>
      </c>
      <c r="V21" s="49">
        <f ca="1">CELL("contenu",INDIRECT(ADDRESS(ref!$K$8,ref!E20,1,,CELL("contenu",$AA$2))))</f>
        <v>10</v>
      </c>
      <c r="W21" s="50">
        <f ca="1">CELL("contenu",INDIRECT(ADDRESS(ref!$K$8,ref!F20,1,,CELL("contenu",$AA$2))))</f>
        <v>18.645833333333332</v>
      </c>
      <c r="X21" s="51">
        <f ca="1">CELL("contenu",INDIRECT(ADDRESS(ref!$K$8,ref!G20,1,,CELL("contenu",$AA$2))))</f>
        <v>18.645833333333332</v>
      </c>
      <c r="Y21" s="21" t="str">
        <f ca="1">CELL("contenu",INDIRECT(ADDRESS(ref!$K$9,ref!H20,1,,CELL("contenu",$AA$2))))</f>
        <v>A</v>
      </c>
    </row>
    <row r="22" spans="1:25" x14ac:dyDescent="0.25">
      <c r="A22" s="59" t="str">
        <f t="shared" ca="1" si="0"/>
        <v>LECUYER Garance</v>
      </c>
      <c r="B22" s="2" t="str">
        <f ca="1">CELL("contenu",INDIRECT(ADDRESS(ref!$K$3,ref!E21,1,,CELL("contenu",$AA$2))))</f>
        <v/>
      </c>
      <c r="C22" s="3" t="str">
        <f ca="1">CELL("contenu",INDIRECT(ADDRESS(ref!$K$3,ref!F21,1,,CELL("contenu",$AA$2))))</f>
        <v>B</v>
      </c>
      <c r="D22" s="4" t="str">
        <f ca="1">CELL("contenu",INDIRECT(ADDRESS(ref!$K$3,ref!G21,1,,CELL("contenu",$AA$2))))</f>
        <v>A</v>
      </c>
      <c r="E22" s="5" t="str">
        <f ca="1">CELL("contenu",INDIRECT(ADDRESS(ref!$K$3,ref!H21,1,,CELL("contenu",$AA$2))))</f>
        <v>B</v>
      </c>
      <c r="F22" s="6" t="str">
        <f ca="1">CELL("contenu",INDIRECT(ADDRESS(ref!$K$4,ref!E21,1,,CELL("contenu",$AA$2))))</f>
        <v/>
      </c>
      <c r="G22" s="3" t="str">
        <f ca="1">CELL("contenu",INDIRECT(ADDRESS(ref!$K$4,ref!F21,1,,CELL("contenu",$AA$2))))</f>
        <v>A</v>
      </c>
      <c r="H22" s="4" t="str">
        <f ca="1">CELL("contenu",INDIRECT(ADDRESS(ref!$K$4,ref!G21,1,,CELL("contenu",$AA$2))))</f>
        <v>A</v>
      </c>
      <c r="I22" s="5" t="str">
        <f ca="1">CELL("contenu",INDIRECT(ADDRESS(ref!$K$4,ref!H21,1,,CELL("contenu",$AA$2))))</f>
        <v>A</v>
      </c>
      <c r="J22" s="6" t="str">
        <f ca="1">CELL("contenu",INDIRECT(ADDRESS(ref!$K$5,ref!E21,1,,CELL("contenu",$AA$2))))</f>
        <v>B</v>
      </c>
      <c r="K22" s="3" t="str">
        <f ca="1">CELL("contenu",INDIRECT(ADDRESS(ref!$K$5,ref!F21,1,,CELL("contenu",$AA$2))))</f>
        <v>B</v>
      </c>
      <c r="L22" s="4" t="str">
        <f ca="1">CELL("contenu",INDIRECT(ADDRESS(ref!$K$5,ref!G21,1,,CELL("contenu",$AA$2))))</f>
        <v>C</v>
      </c>
      <c r="M22" s="5" t="str">
        <f ca="1">CELL("contenu",INDIRECT(ADDRESS(ref!$K$5,ref!H21,1,,CELL("contenu",$AA$2))))</f>
        <v>C</v>
      </c>
      <c r="N22" s="6" t="str">
        <f ca="1">CELL("contenu",INDIRECT(ADDRESS(ref!$K$6,ref!E21,1,,CELL("contenu",$AA$2))))</f>
        <v>A</v>
      </c>
      <c r="O22" s="3" t="str">
        <f ca="1">CELL("contenu",INDIRECT(ADDRESS(ref!$K$6,ref!F21,1,,CELL("contenu",$AA$2))))</f>
        <v>B</v>
      </c>
      <c r="P22" s="4" t="str">
        <f ca="1">CELL("contenu",INDIRECT(ADDRESS(ref!$K$6,ref!G21,1,,CELL("contenu",$AA$2))))</f>
        <v>B</v>
      </c>
      <c r="Q22" s="5" t="str">
        <f ca="1">CELL("contenu",INDIRECT(ADDRESS(ref!$K$6,ref!H21,1,,CELL("contenu",$AA$2))))</f>
        <v>B</v>
      </c>
      <c r="R22" s="6" t="str">
        <f ca="1">CELL("contenu",INDIRECT(ADDRESS(ref!$K$7,ref!E21,1,,CELL("contenu",$AA$2))))</f>
        <v/>
      </c>
      <c r="S22" s="3" t="str">
        <f ca="1">CELL("contenu",INDIRECT(ADDRESS(ref!$K$7,ref!F21,1,,CELL("contenu",$AA$2))))</f>
        <v/>
      </c>
      <c r="T22" s="4" t="str">
        <f ca="1">CELL("contenu",INDIRECT(ADDRESS(ref!$K$7,ref!G21,1,,CELL("contenu",$AA$2))))</f>
        <v/>
      </c>
      <c r="U22" s="5" t="str">
        <f ca="1">CELL("contenu",INDIRECT(ADDRESS(ref!$K$7,ref!H21,1,,CELL("contenu",$AA$2))))</f>
        <v/>
      </c>
      <c r="V22" s="49">
        <f ca="1">CELL("contenu",INDIRECT(ADDRESS(ref!$K$8,ref!E21,1,,CELL("contenu",$AA$2))))</f>
        <v>17.5</v>
      </c>
      <c r="W22" s="50">
        <f ca="1">CELL("contenu",INDIRECT(ADDRESS(ref!$K$8,ref!F21,1,,CELL("contenu",$AA$2))))</f>
        <v>21.25</v>
      </c>
      <c r="X22" s="51">
        <f ca="1">CELL("contenu",INDIRECT(ADDRESS(ref!$K$8,ref!G21,1,,CELL("contenu",$AA$2))))</f>
        <v>21.458333333333336</v>
      </c>
      <c r="Y22" s="21" t="str">
        <f ca="1">CELL("contenu",INDIRECT(ADDRESS(ref!$K$9,ref!H21,1,,CELL("contenu",$AA$2))))</f>
        <v>A</v>
      </c>
    </row>
    <row r="23" spans="1:25" x14ac:dyDescent="0.25">
      <c r="A23" s="59" t="str">
        <f t="shared" ca="1" si="0"/>
        <v>LESNE Melchior</v>
      </c>
      <c r="B23" s="2" t="str">
        <f ca="1">CELL("contenu",INDIRECT(ADDRESS(ref!$K$3,ref!E22,1,,CELL("contenu",$AA$2))))</f>
        <v/>
      </c>
      <c r="C23" s="3" t="str">
        <f ca="1">CELL("contenu",INDIRECT(ADDRESS(ref!$K$3,ref!F22,1,,CELL("contenu",$AA$2))))</f>
        <v>A</v>
      </c>
      <c r="D23" s="4" t="str">
        <f ca="1">CELL("contenu",INDIRECT(ADDRESS(ref!$K$3,ref!G22,1,,CELL("contenu",$AA$2))))</f>
        <v>A</v>
      </c>
      <c r="E23" s="5" t="str">
        <f ca="1">CELL("contenu",INDIRECT(ADDRESS(ref!$K$3,ref!H22,1,,CELL("contenu",$AA$2))))</f>
        <v>A</v>
      </c>
      <c r="F23" s="6" t="str">
        <f ca="1">CELL("contenu",INDIRECT(ADDRESS(ref!$K$4,ref!E22,1,,CELL("contenu",$AA$2))))</f>
        <v/>
      </c>
      <c r="G23" s="3" t="str">
        <f ca="1">CELL("contenu",INDIRECT(ADDRESS(ref!$K$4,ref!F22,1,,CELL("contenu",$AA$2))))</f>
        <v>A</v>
      </c>
      <c r="H23" s="4" t="str">
        <f ca="1">CELL("contenu",INDIRECT(ADDRESS(ref!$K$4,ref!G22,1,,CELL("contenu",$AA$2))))</f>
        <v>A</v>
      </c>
      <c r="I23" s="5" t="str">
        <f ca="1">CELL("contenu",INDIRECT(ADDRESS(ref!$K$4,ref!H22,1,,CELL("contenu",$AA$2))))</f>
        <v>B</v>
      </c>
      <c r="J23" s="6" t="str">
        <f ca="1">CELL("contenu",INDIRECT(ADDRESS(ref!$K$5,ref!E22,1,,CELL("contenu",$AA$2))))</f>
        <v>B</v>
      </c>
      <c r="K23" s="3" t="str">
        <f ca="1">CELL("contenu",INDIRECT(ADDRESS(ref!$K$5,ref!F22,1,,CELL("contenu",$AA$2))))</f>
        <v/>
      </c>
      <c r="L23" s="4" t="str">
        <f ca="1">CELL("contenu",INDIRECT(ADDRESS(ref!$K$5,ref!G22,1,,CELL("contenu",$AA$2))))</f>
        <v>C</v>
      </c>
      <c r="M23" s="5" t="str">
        <f ca="1">CELL("contenu",INDIRECT(ADDRESS(ref!$K$5,ref!H22,1,,CELL("contenu",$AA$2))))</f>
        <v>C</v>
      </c>
      <c r="N23" s="6" t="str">
        <f ca="1">CELL("contenu",INDIRECT(ADDRESS(ref!$K$6,ref!E22,1,,CELL("contenu",$AA$2))))</f>
        <v>C</v>
      </c>
      <c r="O23" s="3" t="str">
        <f ca="1">CELL("contenu",INDIRECT(ADDRESS(ref!$K$6,ref!F22,1,,CELL("contenu",$AA$2))))</f>
        <v>C</v>
      </c>
      <c r="P23" s="4" t="str">
        <f ca="1">CELL("contenu",INDIRECT(ADDRESS(ref!$K$6,ref!G22,1,,CELL("contenu",$AA$2))))</f>
        <v>B</v>
      </c>
      <c r="Q23" s="5" t="str">
        <f ca="1">CELL("contenu",INDIRECT(ADDRESS(ref!$K$6,ref!H22,1,,CELL("contenu",$AA$2))))</f>
        <v>C</v>
      </c>
      <c r="R23" s="6" t="str">
        <f ca="1">CELL("contenu",INDIRECT(ADDRESS(ref!$K$7,ref!E22,1,,CELL("contenu",$AA$2))))</f>
        <v/>
      </c>
      <c r="S23" s="3" t="str">
        <f ca="1">CELL("contenu",INDIRECT(ADDRESS(ref!$K$7,ref!F22,1,,CELL("contenu",$AA$2))))</f>
        <v/>
      </c>
      <c r="T23" s="4" t="str">
        <f ca="1">CELL("contenu",INDIRECT(ADDRESS(ref!$K$7,ref!G22,1,,CELL("contenu",$AA$2))))</f>
        <v/>
      </c>
      <c r="U23" s="5" t="str">
        <f ca="1">CELL("contenu",INDIRECT(ADDRESS(ref!$K$7,ref!H22,1,,CELL("contenu",$AA$2))))</f>
        <v/>
      </c>
      <c r="V23" s="49">
        <f ca="1">CELL("contenu",INDIRECT(ADDRESS(ref!$K$8,ref!E22,1,,CELL("contenu",$AA$2))))</f>
        <v>12.5</v>
      </c>
      <c r="W23" s="50">
        <f ca="1">CELL("contenu",INDIRECT(ADDRESS(ref!$K$8,ref!F22,1,,CELL("contenu",$AA$2))))</f>
        <v>17.5</v>
      </c>
      <c r="X23" s="51">
        <f ca="1">CELL("contenu",INDIRECT(ADDRESS(ref!$K$8,ref!G22,1,,CELL("contenu",$AA$2))))</f>
        <v>20</v>
      </c>
      <c r="Y23" s="21" t="str">
        <f ca="1">CELL("contenu",INDIRECT(ADDRESS(ref!$K$9,ref!H22,1,,CELL("contenu",$AA$2))))</f>
        <v>A</v>
      </c>
    </row>
    <row r="24" spans="1:25" x14ac:dyDescent="0.25">
      <c r="A24" s="59" t="str">
        <f t="shared" ca="1" si="0"/>
        <v>MANZANARES Margaux</v>
      </c>
      <c r="B24" s="2" t="str">
        <f ca="1">CELL("contenu",INDIRECT(ADDRESS(ref!$K$3,ref!E23,1,,CELL("contenu",$AA$2))))</f>
        <v/>
      </c>
      <c r="C24" s="3" t="str">
        <f ca="1">CELL("contenu",INDIRECT(ADDRESS(ref!$K$3,ref!F23,1,,CELL("contenu",$AA$2))))</f>
        <v>A</v>
      </c>
      <c r="D24" s="4" t="str">
        <f ca="1">CELL("contenu",INDIRECT(ADDRESS(ref!$K$3,ref!G23,1,,CELL("contenu",$AA$2))))</f>
        <v>A</v>
      </c>
      <c r="E24" s="5" t="str">
        <f ca="1">CELL("contenu",INDIRECT(ADDRESS(ref!$K$3,ref!H23,1,,CELL("contenu",$AA$2))))</f>
        <v>A</v>
      </c>
      <c r="F24" s="6" t="str">
        <f ca="1">CELL("contenu",INDIRECT(ADDRESS(ref!$K$4,ref!E23,1,,CELL("contenu",$AA$2))))</f>
        <v/>
      </c>
      <c r="G24" s="3" t="str">
        <f ca="1">CELL("contenu",INDIRECT(ADDRESS(ref!$K$4,ref!F23,1,,CELL("contenu",$AA$2))))</f>
        <v>A</v>
      </c>
      <c r="H24" s="4" t="str">
        <f ca="1">CELL("contenu",INDIRECT(ADDRESS(ref!$K$4,ref!G23,1,,CELL("contenu",$AA$2))))</f>
        <v>A</v>
      </c>
      <c r="I24" s="5" t="str">
        <f ca="1">CELL("contenu",INDIRECT(ADDRESS(ref!$K$4,ref!H23,1,,CELL("contenu",$AA$2))))</f>
        <v>B</v>
      </c>
      <c r="J24" s="6" t="str">
        <f ca="1">CELL("contenu",INDIRECT(ADDRESS(ref!$K$5,ref!E23,1,,CELL("contenu",$AA$2))))</f>
        <v>A</v>
      </c>
      <c r="K24" s="3" t="str">
        <f ca="1">CELL("contenu",INDIRECT(ADDRESS(ref!$K$5,ref!F23,1,,CELL("contenu",$AA$2))))</f>
        <v>B</v>
      </c>
      <c r="L24" s="4" t="str">
        <f ca="1">CELL("contenu",INDIRECT(ADDRESS(ref!$K$5,ref!G23,1,,CELL("contenu",$AA$2))))</f>
        <v>B</v>
      </c>
      <c r="M24" s="5" t="str">
        <f ca="1">CELL("contenu",INDIRECT(ADDRESS(ref!$K$5,ref!H23,1,,CELL("contenu",$AA$2))))</f>
        <v>B</v>
      </c>
      <c r="N24" s="6" t="str">
        <f ca="1">CELL("contenu",INDIRECT(ADDRESS(ref!$K$6,ref!E23,1,,CELL("contenu",$AA$2))))</f>
        <v>B</v>
      </c>
      <c r="O24" s="3" t="str">
        <f ca="1">CELL("contenu",INDIRECT(ADDRESS(ref!$K$6,ref!F23,1,,CELL("contenu",$AA$2))))</f>
        <v>A</v>
      </c>
      <c r="P24" s="4" t="str">
        <f ca="1">CELL("contenu",INDIRECT(ADDRESS(ref!$K$6,ref!G23,1,,CELL("contenu",$AA$2))))</f>
        <v>B</v>
      </c>
      <c r="Q24" s="5" t="str">
        <f ca="1">CELL("contenu",INDIRECT(ADDRESS(ref!$K$6,ref!H23,1,,CELL("contenu",$AA$2))))</f>
        <v>B</v>
      </c>
      <c r="R24" s="6" t="str">
        <f ca="1">CELL("contenu",INDIRECT(ADDRESS(ref!$K$7,ref!E23,1,,CELL("contenu",$AA$2))))</f>
        <v/>
      </c>
      <c r="S24" s="3" t="str">
        <f ca="1">CELL("contenu",INDIRECT(ADDRESS(ref!$K$7,ref!F23,1,,CELL("contenu",$AA$2))))</f>
        <v/>
      </c>
      <c r="T24" s="4" t="str">
        <f ca="1">CELL("contenu",INDIRECT(ADDRESS(ref!$K$7,ref!G23,1,,CELL("contenu",$AA$2))))</f>
        <v/>
      </c>
      <c r="U24" s="5" t="str">
        <f ca="1">CELL("contenu",INDIRECT(ADDRESS(ref!$K$7,ref!H23,1,,CELL("contenu",$AA$2))))</f>
        <v/>
      </c>
      <c r="V24" s="49">
        <f ca="1">CELL("contenu",INDIRECT(ADDRESS(ref!$K$8,ref!E23,1,,CELL("contenu",$AA$2))))</f>
        <v>17.5</v>
      </c>
      <c r="W24" s="50">
        <f ca="1">CELL("contenu",INDIRECT(ADDRESS(ref!$K$8,ref!F23,1,,CELL("contenu",$AA$2))))</f>
        <v>21.041666666666664</v>
      </c>
      <c r="X24" s="51">
        <f ca="1">CELL("contenu",INDIRECT(ADDRESS(ref!$K$8,ref!G23,1,,CELL("contenu",$AA$2))))</f>
        <v>21.666666666666664</v>
      </c>
      <c r="Y24" s="21" t="str">
        <f ca="1">CELL("contenu",INDIRECT(ADDRESS(ref!$K$9,ref!H23,1,,CELL("contenu",$AA$2))))</f>
        <v>B</v>
      </c>
    </row>
    <row r="25" spans="1:25" x14ac:dyDescent="0.25">
      <c r="A25" s="59" t="str">
        <f t="shared" ca="1" si="0"/>
        <v>MARTINEZ Emilio</v>
      </c>
      <c r="B25" s="2" t="str">
        <f ca="1">CELL("contenu",INDIRECT(ADDRESS(ref!$K$3,ref!E24,1,,CELL("contenu",$AA$2))))</f>
        <v/>
      </c>
      <c r="C25" s="3" t="str">
        <f ca="1">CELL("contenu",INDIRECT(ADDRESS(ref!$K$3,ref!F24,1,,CELL("contenu",$AA$2))))</f>
        <v>B</v>
      </c>
      <c r="D25" s="4" t="str">
        <f ca="1">CELL("contenu",INDIRECT(ADDRESS(ref!$K$3,ref!G24,1,,CELL("contenu",$AA$2))))</f>
        <v/>
      </c>
      <c r="E25" s="5" t="str">
        <f ca="1">CELL("contenu",INDIRECT(ADDRESS(ref!$K$3,ref!H24,1,,CELL("contenu",$AA$2))))</f>
        <v>B</v>
      </c>
      <c r="F25" s="6" t="str">
        <f ca="1">CELL("contenu",INDIRECT(ADDRESS(ref!$K$4,ref!E24,1,,CELL("contenu",$AA$2))))</f>
        <v/>
      </c>
      <c r="G25" s="3" t="str">
        <f ca="1">CELL("contenu",INDIRECT(ADDRESS(ref!$K$4,ref!F24,1,,CELL("contenu",$AA$2))))</f>
        <v>A</v>
      </c>
      <c r="H25" s="4" t="str">
        <f ca="1">CELL("contenu",INDIRECT(ADDRESS(ref!$K$4,ref!G24,1,,CELL("contenu",$AA$2))))</f>
        <v>A</v>
      </c>
      <c r="I25" s="5" t="str">
        <f ca="1">CELL("contenu",INDIRECT(ADDRESS(ref!$K$4,ref!H24,1,,CELL("contenu",$AA$2))))</f>
        <v>B</v>
      </c>
      <c r="J25" s="6" t="str">
        <f ca="1">CELL("contenu",INDIRECT(ADDRESS(ref!$K$5,ref!E24,1,,CELL("contenu",$AA$2))))</f>
        <v>C</v>
      </c>
      <c r="K25" s="3" t="str">
        <f ca="1">CELL("contenu",INDIRECT(ADDRESS(ref!$K$5,ref!F24,1,,CELL("contenu",$AA$2))))</f>
        <v>B</v>
      </c>
      <c r="L25" s="4" t="str">
        <f ca="1">CELL("contenu",INDIRECT(ADDRESS(ref!$K$5,ref!G24,1,,CELL("contenu",$AA$2))))</f>
        <v>C</v>
      </c>
      <c r="M25" s="5" t="str">
        <f ca="1">CELL("contenu",INDIRECT(ADDRESS(ref!$K$5,ref!H24,1,,CELL("contenu",$AA$2))))</f>
        <v>C</v>
      </c>
      <c r="N25" s="6" t="str">
        <f ca="1">CELL("contenu",INDIRECT(ADDRESS(ref!$K$6,ref!E24,1,,CELL("contenu",$AA$2))))</f>
        <v>C</v>
      </c>
      <c r="O25" s="3" t="str">
        <f ca="1">CELL("contenu",INDIRECT(ADDRESS(ref!$K$6,ref!F24,1,,CELL("contenu",$AA$2))))</f>
        <v>C</v>
      </c>
      <c r="P25" s="4" t="str">
        <f ca="1">CELL("contenu",INDIRECT(ADDRESS(ref!$K$6,ref!G24,1,,CELL("contenu",$AA$2))))</f>
        <v>C</v>
      </c>
      <c r="Q25" s="5" t="str">
        <f ca="1">CELL("contenu",INDIRECT(ADDRESS(ref!$K$6,ref!H24,1,,CELL("contenu",$AA$2))))</f>
        <v>C</v>
      </c>
      <c r="R25" s="6" t="str">
        <f ca="1">CELL("contenu",INDIRECT(ADDRESS(ref!$K$7,ref!E24,1,,CELL("contenu",$AA$2))))</f>
        <v/>
      </c>
      <c r="S25" s="3" t="str">
        <f ca="1">CELL("contenu",INDIRECT(ADDRESS(ref!$K$7,ref!F24,1,,CELL("contenu",$AA$2))))</f>
        <v/>
      </c>
      <c r="T25" s="4" t="str">
        <f ca="1">CELL("contenu",INDIRECT(ADDRESS(ref!$K$7,ref!G24,1,,CELL("contenu",$AA$2))))</f>
        <v/>
      </c>
      <c r="U25" s="5" t="str">
        <f ca="1">CELL("contenu",INDIRECT(ADDRESS(ref!$K$7,ref!H24,1,,CELL("contenu",$AA$2))))</f>
        <v/>
      </c>
      <c r="V25" s="49">
        <f ca="1">CELL("contenu",INDIRECT(ADDRESS(ref!$K$8,ref!E24,1,,CELL("contenu",$AA$2))))</f>
        <v>10</v>
      </c>
      <c r="W25" s="50">
        <f ca="1">CELL("contenu",INDIRECT(ADDRESS(ref!$K$8,ref!F24,1,,CELL("contenu",$AA$2))))</f>
        <v>20.208333333333336</v>
      </c>
      <c r="X25" s="51">
        <f ca="1">CELL("contenu",INDIRECT(ADDRESS(ref!$K$8,ref!G24,1,,CELL("contenu",$AA$2))))</f>
        <v>16.111111111111111</v>
      </c>
      <c r="Y25" s="21" t="str">
        <f ca="1">CELL("contenu",INDIRECT(ADDRESS(ref!$K$9,ref!H24,1,,CELL("contenu",$AA$2))))</f>
        <v>B</v>
      </c>
    </row>
    <row r="26" spans="1:25" x14ac:dyDescent="0.25">
      <c r="A26" s="59" t="str">
        <f t="shared" ca="1" si="0"/>
        <v>MULLIGAN Anais</v>
      </c>
      <c r="B26" s="2" t="str">
        <f ca="1">CELL("contenu",INDIRECT(ADDRESS(ref!$K$3,ref!E25,1,,CELL("contenu",$AA$2))))</f>
        <v/>
      </c>
      <c r="C26" s="3" t="str">
        <f ca="1">CELL("contenu",INDIRECT(ADDRESS(ref!$K$3,ref!F25,1,,CELL("contenu",$AA$2))))</f>
        <v>A</v>
      </c>
      <c r="D26" s="4" t="str">
        <f ca="1">CELL("contenu",INDIRECT(ADDRESS(ref!$K$3,ref!G25,1,,CELL("contenu",$AA$2))))</f>
        <v>A</v>
      </c>
      <c r="E26" s="5" t="str">
        <f ca="1">CELL("contenu",INDIRECT(ADDRESS(ref!$K$3,ref!H25,1,,CELL("contenu",$AA$2))))</f>
        <v>A</v>
      </c>
      <c r="F26" s="6" t="str">
        <f ca="1">CELL("contenu",INDIRECT(ADDRESS(ref!$K$4,ref!E25,1,,CELL("contenu",$AA$2))))</f>
        <v/>
      </c>
      <c r="G26" s="3" t="str">
        <f ca="1">CELL("contenu",INDIRECT(ADDRESS(ref!$K$4,ref!F25,1,,CELL("contenu",$AA$2))))</f>
        <v>A</v>
      </c>
      <c r="H26" s="4" t="str">
        <f ca="1">CELL("contenu",INDIRECT(ADDRESS(ref!$K$4,ref!G25,1,,CELL("contenu",$AA$2))))</f>
        <v>A</v>
      </c>
      <c r="I26" s="5" t="str">
        <f ca="1">CELL("contenu",INDIRECT(ADDRESS(ref!$K$4,ref!H25,1,,CELL("contenu",$AA$2))))</f>
        <v>B</v>
      </c>
      <c r="J26" s="6" t="str">
        <f ca="1">CELL("contenu",INDIRECT(ADDRESS(ref!$K$5,ref!E25,1,,CELL("contenu",$AA$2))))</f>
        <v>A</v>
      </c>
      <c r="K26" s="3" t="str">
        <f ca="1">CELL("contenu",INDIRECT(ADDRESS(ref!$K$5,ref!F25,1,,CELL("contenu",$AA$2))))</f>
        <v>B</v>
      </c>
      <c r="L26" s="4" t="str">
        <f ca="1">CELL("contenu",INDIRECT(ADDRESS(ref!$K$5,ref!G25,1,,CELL("contenu",$AA$2))))</f>
        <v>C</v>
      </c>
      <c r="M26" s="5" t="str">
        <f ca="1">CELL("contenu",INDIRECT(ADDRESS(ref!$K$5,ref!H25,1,,CELL("contenu",$AA$2))))</f>
        <v>B</v>
      </c>
      <c r="N26" s="6" t="str">
        <f ca="1">CELL("contenu",INDIRECT(ADDRESS(ref!$K$6,ref!E25,1,,CELL("contenu",$AA$2))))</f>
        <v>A</v>
      </c>
      <c r="O26" s="3" t="str">
        <f ca="1">CELL("contenu",INDIRECT(ADDRESS(ref!$K$6,ref!F25,1,,CELL("contenu",$AA$2))))</f>
        <v>A</v>
      </c>
      <c r="P26" s="4" t="str">
        <f ca="1">CELL("contenu",INDIRECT(ADDRESS(ref!$K$6,ref!G25,1,,CELL("contenu",$AA$2))))</f>
        <v>B</v>
      </c>
      <c r="Q26" s="5" t="str">
        <f ca="1">CELL("contenu",INDIRECT(ADDRESS(ref!$K$6,ref!H25,1,,CELL("contenu",$AA$2))))</f>
        <v>B</v>
      </c>
      <c r="R26" s="6" t="str">
        <f ca="1">CELL("contenu",INDIRECT(ADDRESS(ref!$K$7,ref!E25,1,,CELL("contenu",$AA$2))))</f>
        <v/>
      </c>
      <c r="S26" s="3" t="str">
        <f ca="1">CELL("contenu",INDIRECT(ADDRESS(ref!$K$7,ref!F25,1,,CELL("contenu",$AA$2))))</f>
        <v/>
      </c>
      <c r="T26" s="4" t="str">
        <f ca="1">CELL("contenu",INDIRECT(ADDRESS(ref!$K$7,ref!G25,1,,CELL("contenu",$AA$2))))</f>
        <v/>
      </c>
      <c r="U26" s="5" t="str">
        <f ca="1">CELL("contenu",INDIRECT(ADDRESS(ref!$K$7,ref!H25,1,,CELL("contenu",$AA$2))))</f>
        <v/>
      </c>
      <c r="V26" s="49">
        <f ca="1">CELL("contenu",INDIRECT(ADDRESS(ref!$K$8,ref!E25,1,,CELL("contenu",$AA$2))))</f>
        <v>20</v>
      </c>
      <c r="W26" s="50">
        <f ca="1">CELL("contenu",INDIRECT(ADDRESS(ref!$K$8,ref!F25,1,,CELL("contenu",$AA$2))))</f>
        <v>22.291666666666664</v>
      </c>
      <c r="X26" s="51">
        <f ca="1">CELL("contenu",INDIRECT(ADDRESS(ref!$K$8,ref!G25,1,,CELL("contenu",$AA$2))))</f>
        <v>20.3125</v>
      </c>
      <c r="Y26" s="21" t="str">
        <f ca="1">CELL("contenu",INDIRECT(ADDRESS(ref!$K$9,ref!H25,1,,CELL("contenu",$AA$2))))</f>
        <v>A</v>
      </c>
    </row>
    <row r="27" spans="1:25" x14ac:dyDescent="0.25">
      <c r="A27" s="59" t="str">
        <f t="shared" ca="1" si="0"/>
        <v>ORSINI Robinson</v>
      </c>
      <c r="B27" s="2" t="str">
        <f ca="1">CELL("contenu",INDIRECT(ADDRESS(ref!$K$3,ref!E26,1,,CELL("contenu",$AA$2))))</f>
        <v/>
      </c>
      <c r="C27" s="3" t="str">
        <f ca="1">CELL("contenu",INDIRECT(ADDRESS(ref!$K$3,ref!F26,1,,CELL("contenu",$AA$2))))</f>
        <v>A</v>
      </c>
      <c r="D27" s="4" t="str">
        <f ca="1">CELL("contenu",INDIRECT(ADDRESS(ref!$K$3,ref!G26,1,,CELL("contenu",$AA$2))))</f>
        <v>A</v>
      </c>
      <c r="E27" s="5" t="str">
        <f ca="1">CELL("contenu",INDIRECT(ADDRESS(ref!$K$3,ref!H26,1,,CELL("contenu",$AA$2))))</f>
        <v>A</v>
      </c>
      <c r="F27" s="6" t="str">
        <f ca="1">CELL("contenu",INDIRECT(ADDRESS(ref!$K$4,ref!E26,1,,CELL("contenu",$AA$2))))</f>
        <v/>
      </c>
      <c r="G27" s="3" t="str">
        <f ca="1">CELL("contenu",INDIRECT(ADDRESS(ref!$K$4,ref!F26,1,,CELL("contenu",$AA$2))))</f>
        <v>A</v>
      </c>
      <c r="H27" s="4" t="str">
        <f ca="1">CELL("contenu",INDIRECT(ADDRESS(ref!$K$4,ref!G26,1,,CELL("contenu",$AA$2))))</f>
        <v>A</v>
      </c>
      <c r="I27" s="5" t="str">
        <f ca="1">CELL("contenu",INDIRECT(ADDRESS(ref!$K$4,ref!H26,1,,CELL("contenu",$AA$2))))</f>
        <v>B</v>
      </c>
      <c r="J27" s="6" t="str">
        <f ca="1">CELL("contenu",INDIRECT(ADDRESS(ref!$K$5,ref!E26,1,,CELL("contenu",$AA$2))))</f>
        <v>B</v>
      </c>
      <c r="K27" s="3" t="str">
        <f ca="1">CELL("contenu",INDIRECT(ADDRESS(ref!$K$5,ref!F26,1,,CELL("contenu",$AA$2))))</f>
        <v>B</v>
      </c>
      <c r="L27" s="4" t="str">
        <f ca="1">CELL("contenu",INDIRECT(ADDRESS(ref!$K$5,ref!G26,1,,CELL("contenu",$AA$2))))</f>
        <v>B</v>
      </c>
      <c r="M27" s="5" t="str">
        <f ca="1">CELL("contenu",INDIRECT(ADDRESS(ref!$K$5,ref!H26,1,,CELL("contenu",$AA$2))))</f>
        <v>B</v>
      </c>
      <c r="N27" s="6" t="str">
        <f ca="1">CELL("contenu",INDIRECT(ADDRESS(ref!$K$6,ref!E26,1,,CELL("contenu",$AA$2))))</f>
        <v>C</v>
      </c>
      <c r="O27" s="3" t="str">
        <f ca="1">CELL("contenu",INDIRECT(ADDRESS(ref!$K$6,ref!F26,1,,CELL("contenu",$AA$2))))</f>
        <v>B</v>
      </c>
      <c r="P27" s="4" t="str">
        <f ca="1">CELL("contenu",INDIRECT(ADDRESS(ref!$K$6,ref!G26,1,,CELL("contenu",$AA$2))))</f>
        <v>B</v>
      </c>
      <c r="Q27" s="5" t="str">
        <f ca="1">CELL("contenu",INDIRECT(ADDRESS(ref!$K$6,ref!H26,1,,CELL("contenu",$AA$2))))</f>
        <v>B</v>
      </c>
      <c r="R27" s="6" t="str">
        <f ca="1">CELL("contenu",INDIRECT(ADDRESS(ref!$K$7,ref!E26,1,,CELL("contenu",$AA$2))))</f>
        <v/>
      </c>
      <c r="S27" s="3" t="str">
        <f ca="1">CELL("contenu",INDIRECT(ADDRESS(ref!$K$7,ref!F26,1,,CELL("contenu",$AA$2))))</f>
        <v/>
      </c>
      <c r="T27" s="4" t="str">
        <f ca="1">CELL("contenu",INDIRECT(ADDRESS(ref!$K$7,ref!G26,1,,CELL("contenu",$AA$2))))</f>
        <v/>
      </c>
      <c r="U27" s="5" t="str">
        <f ca="1">CELL("contenu",INDIRECT(ADDRESS(ref!$K$7,ref!H26,1,,CELL("contenu",$AA$2))))</f>
        <v/>
      </c>
      <c r="V27" s="49">
        <f ca="1">CELL("contenu",INDIRECT(ADDRESS(ref!$K$8,ref!E26,1,,CELL("contenu",$AA$2))))</f>
        <v>12.5</v>
      </c>
      <c r="W27" s="50">
        <f ca="1">CELL("contenu",INDIRECT(ADDRESS(ref!$K$8,ref!F26,1,,CELL("contenu",$AA$2))))</f>
        <v>20.9375</v>
      </c>
      <c r="X27" s="51">
        <f ca="1">CELL("contenu",INDIRECT(ADDRESS(ref!$K$8,ref!G26,1,,CELL("contenu",$AA$2))))</f>
        <v>20.833333333333336</v>
      </c>
      <c r="Y27" s="21" t="str">
        <f ca="1">CELL("contenu",INDIRECT(ADDRESS(ref!$K$9,ref!H26,1,,CELL("contenu",$AA$2))))</f>
        <v>A</v>
      </c>
    </row>
    <row r="28" spans="1:25" x14ac:dyDescent="0.25">
      <c r="A28" s="59" t="str">
        <f t="shared" ca="1" si="0"/>
        <v>PERROUIN Appoline</v>
      </c>
      <c r="B28" s="2" t="str">
        <f ca="1">CELL("contenu",INDIRECT(ADDRESS(ref!$K$3,ref!E27,1,,CELL("contenu",$AA$2))))</f>
        <v/>
      </c>
      <c r="C28" s="3" t="str">
        <f ca="1">CELL("contenu",INDIRECT(ADDRESS(ref!$K$3,ref!F27,1,,CELL("contenu",$AA$2))))</f>
        <v>A</v>
      </c>
      <c r="D28" s="4" t="str">
        <f ca="1">CELL("contenu",INDIRECT(ADDRESS(ref!$K$3,ref!G27,1,,CELL("contenu",$AA$2))))</f>
        <v>A</v>
      </c>
      <c r="E28" s="5" t="str">
        <f ca="1">CELL("contenu",INDIRECT(ADDRESS(ref!$K$3,ref!H27,1,,CELL("contenu",$AA$2))))</f>
        <v>A</v>
      </c>
      <c r="F28" s="6" t="str">
        <f ca="1">CELL("contenu",INDIRECT(ADDRESS(ref!$K$4,ref!E27,1,,CELL("contenu",$AA$2))))</f>
        <v/>
      </c>
      <c r="G28" s="3" t="str">
        <f ca="1">CELL("contenu",INDIRECT(ADDRESS(ref!$K$4,ref!F27,1,,CELL("contenu",$AA$2))))</f>
        <v>A</v>
      </c>
      <c r="H28" s="4" t="str">
        <f ca="1">CELL("contenu",INDIRECT(ADDRESS(ref!$K$4,ref!G27,1,,CELL("contenu",$AA$2))))</f>
        <v>A</v>
      </c>
      <c r="I28" s="5" t="str">
        <f ca="1">CELL("contenu",INDIRECT(ADDRESS(ref!$K$4,ref!H27,1,,CELL("contenu",$AA$2))))</f>
        <v>B</v>
      </c>
      <c r="J28" s="6" t="str">
        <f ca="1">CELL("contenu",INDIRECT(ADDRESS(ref!$K$5,ref!E27,1,,CELL("contenu",$AA$2))))</f>
        <v>B</v>
      </c>
      <c r="K28" s="3" t="str">
        <f ca="1">CELL("contenu",INDIRECT(ADDRESS(ref!$K$5,ref!F27,1,,CELL("contenu",$AA$2))))</f>
        <v/>
      </c>
      <c r="L28" s="4" t="str">
        <f ca="1">CELL("contenu",INDIRECT(ADDRESS(ref!$K$5,ref!G27,1,,CELL("contenu",$AA$2))))</f>
        <v/>
      </c>
      <c r="M28" s="5" t="str">
        <f ca="1">CELL("contenu",INDIRECT(ADDRESS(ref!$K$5,ref!H27,1,,CELL("contenu",$AA$2))))</f>
        <v>B</v>
      </c>
      <c r="N28" s="6" t="str">
        <f ca="1">CELL("contenu",INDIRECT(ADDRESS(ref!$K$6,ref!E27,1,,CELL("contenu",$AA$2))))</f>
        <v>D</v>
      </c>
      <c r="O28" s="3" t="str">
        <f ca="1">CELL("contenu",INDIRECT(ADDRESS(ref!$K$6,ref!F27,1,,CELL("contenu",$AA$2))))</f>
        <v>A</v>
      </c>
      <c r="P28" s="4" t="str">
        <f ca="1">CELL("contenu",INDIRECT(ADDRESS(ref!$K$6,ref!G27,1,,CELL("contenu",$AA$2))))</f>
        <v>B</v>
      </c>
      <c r="Q28" s="5" t="str">
        <f ca="1">CELL("contenu",INDIRECT(ADDRESS(ref!$K$6,ref!H27,1,,CELL("contenu",$AA$2))))</f>
        <v>B</v>
      </c>
      <c r="R28" s="6" t="str">
        <f ca="1">CELL("contenu",INDIRECT(ADDRESS(ref!$K$7,ref!E27,1,,CELL("contenu",$AA$2))))</f>
        <v/>
      </c>
      <c r="S28" s="3" t="str">
        <f ca="1">CELL("contenu",INDIRECT(ADDRESS(ref!$K$7,ref!F27,1,,CELL("contenu",$AA$2))))</f>
        <v/>
      </c>
      <c r="T28" s="4" t="str">
        <f ca="1">CELL("contenu",INDIRECT(ADDRESS(ref!$K$7,ref!G27,1,,CELL("contenu",$AA$2))))</f>
        <v/>
      </c>
      <c r="U28" s="5" t="str">
        <f ca="1">CELL("contenu",INDIRECT(ADDRESS(ref!$K$7,ref!H27,1,,CELL("contenu",$AA$2))))</f>
        <v/>
      </c>
      <c r="V28" s="49">
        <f ca="1">CELL("contenu",INDIRECT(ADDRESS(ref!$K$8,ref!E27,1,,CELL("contenu",$AA$2))))</f>
        <v>10</v>
      </c>
      <c r="W28" s="50">
        <f ca="1">CELL("contenu",INDIRECT(ADDRESS(ref!$K$8,ref!F27,1,,CELL("contenu",$AA$2))))</f>
        <v>20</v>
      </c>
      <c r="X28" s="51">
        <f ca="1">CELL("contenu",INDIRECT(ADDRESS(ref!$K$8,ref!G27,1,,CELL("contenu",$AA$2))))</f>
        <v>21.388888888888889</v>
      </c>
      <c r="Y28" s="21" t="str">
        <f ca="1">CELL("contenu",INDIRECT(ADDRESS(ref!$K$9,ref!H27,1,,CELL("contenu",$AA$2))))</f>
        <v>A</v>
      </c>
    </row>
    <row r="29" spans="1:25" x14ac:dyDescent="0.25">
      <c r="A29" s="59" t="str">
        <f t="shared" ca="1" si="0"/>
        <v>ROSALES--MURCIANO Matias</v>
      </c>
      <c r="B29" s="2" t="str">
        <f ca="1">CELL("contenu",INDIRECT(ADDRESS(ref!$K$3,ref!E28,1,,CELL("contenu",$AA$2))))</f>
        <v/>
      </c>
      <c r="C29" s="3" t="str">
        <f ca="1">CELL("contenu",INDIRECT(ADDRESS(ref!$K$3,ref!F28,1,,CELL("contenu",$AA$2))))</f>
        <v>B</v>
      </c>
      <c r="D29" s="4" t="str">
        <f ca="1">CELL("contenu",INDIRECT(ADDRESS(ref!$K$3,ref!G28,1,,CELL("contenu",$AA$2))))</f>
        <v>A</v>
      </c>
      <c r="E29" s="5" t="str">
        <f ca="1">CELL("contenu",INDIRECT(ADDRESS(ref!$K$3,ref!H28,1,,CELL("contenu",$AA$2))))</f>
        <v>B</v>
      </c>
      <c r="F29" s="6" t="str">
        <f ca="1">CELL("contenu",INDIRECT(ADDRESS(ref!$K$4,ref!E28,1,,CELL("contenu",$AA$2))))</f>
        <v/>
      </c>
      <c r="G29" s="3" t="str">
        <f ca="1">CELL("contenu",INDIRECT(ADDRESS(ref!$K$4,ref!F28,1,,CELL("contenu",$AA$2))))</f>
        <v>A</v>
      </c>
      <c r="H29" s="4" t="str">
        <f ca="1">CELL("contenu",INDIRECT(ADDRESS(ref!$K$4,ref!G28,1,,CELL("contenu",$AA$2))))</f>
        <v>A</v>
      </c>
      <c r="I29" s="5" t="str">
        <f ca="1">CELL("contenu",INDIRECT(ADDRESS(ref!$K$4,ref!H28,1,,CELL("contenu",$AA$2))))</f>
        <v>B</v>
      </c>
      <c r="J29" s="6" t="str">
        <f ca="1">CELL("contenu",INDIRECT(ADDRESS(ref!$K$5,ref!E28,1,,CELL("contenu",$AA$2))))</f>
        <v>B</v>
      </c>
      <c r="K29" s="3" t="str">
        <f ca="1">CELL("contenu",INDIRECT(ADDRESS(ref!$K$5,ref!F28,1,,CELL("contenu",$AA$2))))</f>
        <v>C</v>
      </c>
      <c r="L29" s="4" t="str">
        <f ca="1">CELL("contenu",INDIRECT(ADDRESS(ref!$K$5,ref!G28,1,,CELL("contenu",$AA$2))))</f>
        <v>C</v>
      </c>
      <c r="M29" s="5" t="str">
        <f ca="1">CELL("contenu",INDIRECT(ADDRESS(ref!$K$5,ref!H28,1,,CELL("contenu",$AA$2))))</f>
        <v>C</v>
      </c>
      <c r="N29" s="6" t="str">
        <f ca="1">CELL("contenu",INDIRECT(ADDRESS(ref!$K$6,ref!E28,1,,CELL("contenu",$AA$2))))</f>
        <v>C</v>
      </c>
      <c r="O29" s="3" t="str">
        <f ca="1">CELL("contenu",INDIRECT(ADDRESS(ref!$K$6,ref!F28,1,,CELL("contenu",$AA$2))))</f>
        <v>C</v>
      </c>
      <c r="P29" s="4" t="str">
        <f ca="1">CELL("contenu",INDIRECT(ADDRESS(ref!$K$6,ref!G28,1,,CELL("contenu",$AA$2))))</f>
        <v>C</v>
      </c>
      <c r="Q29" s="5" t="str">
        <f ca="1">CELL("contenu",INDIRECT(ADDRESS(ref!$K$6,ref!H28,1,,CELL("contenu",$AA$2))))</f>
        <v>C</v>
      </c>
      <c r="R29" s="6" t="str">
        <f ca="1">CELL("contenu",INDIRECT(ADDRESS(ref!$K$7,ref!E28,1,,CELL("contenu",$AA$2))))</f>
        <v/>
      </c>
      <c r="S29" s="3" t="str">
        <f ca="1">CELL("contenu",INDIRECT(ADDRESS(ref!$K$7,ref!F28,1,,CELL("contenu",$AA$2))))</f>
        <v/>
      </c>
      <c r="T29" s="4" t="str">
        <f ca="1">CELL("contenu",INDIRECT(ADDRESS(ref!$K$7,ref!G28,1,,CELL("contenu",$AA$2))))</f>
        <v/>
      </c>
      <c r="U29" s="5" t="str">
        <f ca="1">CELL("contenu",INDIRECT(ADDRESS(ref!$K$7,ref!H28,1,,CELL("contenu",$AA$2))))</f>
        <v/>
      </c>
      <c r="V29" s="49">
        <f ca="1">CELL("contenu",INDIRECT(ADDRESS(ref!$K$8,ref!E28,1,,CELL("contenu",$AA$2))))</f>
        <v>12.5</v>
      </c>
      <c r="W29" s="50">
        <f ca="1">CELL("contenu",INDIRECT(ADDRESS(ref!$K$8,ref!F28,1,,CELL("contenu",$AA$2))))</f>
        <v>18.4375</v>
      </c>
      <c r="X29" s="51">
        <f ca="1">CELL("contenu",INDIRECT(ADDRESS(ref!$K$8,ref!G28,1,,CELL("contenu",$AA$2))))</f>
        <v>19.583333333333332</v>
      </c>
      <c r="Y29" s="21" t="str">
        <f ca="1">CELL("contenu",INDIRECT(ADDRESS(ref!$K$9,ref!H28,1,,CELL("contenu",$AA$2))))</f>
        <v>A</v>
      </c>
    </row>
    <row r="30" spans="1:25" x14ac:dyDescent="0.25">
      <c r="A30" s="59" t="str">
        <f t="shared" ca="1" si="0"/>
        <v>ROUVRE Emma</v>
      </c>
      <c r="B30" s="2" t="str">
        <f ca="1">CELL("contenu",INDIRECT(ADDRESS(ref!$K$3,ref!E29,1,,CELL("contenu",$AA$2))))</f>
        <v/>
      </c>
      <c r="C30" s="3" t="str">
        <f ca="1">CELL("contenu",INDIRECT(ADDRESS(ref!$K$3,ref!F29,1,,CELL("contenu",$AA$2))))</f>
        <v>B</v>
      </c>
      <c r="D30" s="4" t="str">
        <f ca="1">CELL("contenu",INDIRECT(ADDRESS(ref!$K$3,ref!G29,1,,CELL("contenu",$AA$2))))</f>
        <v>B</v>
      </c>
      <c r="E30" s="5" t="str">
        <f ca="1">CELL("contenu",INDIRECT(ADDRESS(ref!$K$3,ref!H29,1,,CELL("contenu",$AA$2))))</f>
        <v>B</v>
      </c>
      <c r="F30" s="6" t="str">
        <f ca="1">CELL("contenu",INDIRECT(ADDRESS(ref!$K$4,ref!E29,1,,CELL("contenu",$AA$2))))</f>
        <v/>
      </c>
      <c r="G30" s="3" t="str">
        <f ca="1">CELL("contenu",INDIRECT(ADDRESS(ref!$K$4,ref!F29,1,,CELL("contenu",$AA$2))))</f>
        <v>A</v>
      </c>
      <c r="H30" s="4" t="str">
        <f ca="1">CELL("contenu",INDIRECT(ADDRESS(ref!$K$4,ref!G29,1,,CELL("contenu",$AA$2))))</f>
        <v>A</v>
      </c>
      <c r="I30" s="5" t="str">
        <f ca="1">CELL("contenu",INDIRECT(ADDRESS(ref!$K$4,ref!H29,1,,CELL("contenu",$AA$2))))</f>
        <v>B</v>
      </c>
      <c r="J30" s="6" t="str">
        <f ca="1">CELL("contenu",INDIRECT(ADDRESS(ref!$K$5,ref!E29,1,,CELL("contenu",$AA$2))))</f>
        <v>C</v>
      </c>
      <c r="K30" s="3" t="str">
        <f ca="1">CELL("contenu",INDIRECT(ADDRESS(ref!$K$5,ref!F29,1,,CELL("contenu",$AA$2))))</f>
        <v/>
      </c>
      <c r="L30" s="4" t="str">
        <f ca="1">CELL("contenu",INDIRECT(ADDRESS(ref!$K$5,ref!G29,1,,CELL("contenu",$AA$2))))</f>
        <v>C</v>
      </c>
      <c r="M30" s="5" t="str">
        <f ca="1">CELL("contenu",INDIRECT(ADDRESS(ref!$K$5,ref!H29,1,,CELL("contenu",$AA$2))))</f>
        <v>C</v>
      </c>
      <c r="N30" s="6" t="str">
        <f ca="1">CELL("contenu",INDIRECT(ADDRESS(ref!$K$6,ref!E29,1,,CELL("contenu",$AA$2))))</f>
        <v>B</v>
      </c>
      <c r="O30" s="3" t="str">
        <f ca="1">CELL("contenu",INDIRECT(ADDRESS(ref!$K$6,ref!F29,1,,CELL("contenu",$AA$2))))</f>
        <v>B</v>
      </c>
      <c r="P30" s="4" t="str">
        <f ca="1">CELL("contenu",INDIRECT(ADDRESS(ref!$K$6,ref!G29,1,,CELL("contenu",$AA$2))))</f>
        <v>B</v>
      </c>
      <c r="Q30" s="5" t="str">
        <f ca="1">CELL("contenu",INDIRECT(ADDRESS(ref!$K$6,ref!H29,1,,CELL("contenu",$AA$2))))</f>
        <v>B</v>
      </c>
      <c r="R30" s="6" t="str">
        <f ca="1">CELL("contenu",INDIRECT(ADDRESS(ref!$K$7,ref!E29,1,,CELL("contenu",$AA$2))))</f>
        <v/>
      </c>
      <c r="S30" s="3" t="str">
        <f ca="1">CELL("contenu",INDIRECT(ADDRESS(ref!$K$7,ref!F29,1,,CELL("contenu",$AA$2))))</f>
        <v/>
      </c>
      <c r="T30" s="4" t="str">
        <f ca="1">CELL("contenu",INDIRECT(ADDRESS(ref!$K$7,ref!G29,1,,CELL("contenu",$AA$2))))</f>
        <v/>
      </c>
      <c r="U30" s="5" t="str">
        <f ca="1">CELL("contenu",INDIRECT(ADDRESS(ref!$K$7,ref!H29,1,,CELL("contenu",$AA$2))))</f>
        <v/>
      </c>
      <c r="V30" s="49">
        <f ca="1">CELL("contenu",INDIRECT(ADDRESS(ref!$K$8,ref!E29,1,,CELL("contenu",$AA$2))))</f>
        <v>12.5</v>
      </c>
      <c r="W30" s="50">
        <f ca="1">CELL("contenu",INDIRECT(ADDRESS(ref!$K$8,ref!F29,1,,CELL("contenu",$AA$2))))</f>
        <v>17.5</v>
      </c>
      <c r="X30" s="51">
        <f ca="1">CELL("contenu",INDIRECT(ADDRESS(ref!$K$8,ref!G29,1,,CELL("contenu",$AA$2))))</f>
        <v>18.4375</v>
      </c>
      <c r="Y30" s="21" t="str">
        <f ca="1">CELL("contenu",INDIRECT(ADDRESS(ref!$K$9,ref!H29,1,,CELL("contenu",$AA$2))))</f>
        <v>A</v>
      </c>
    </row>
    <row r="31" spans="1:25" x14ac:dyDescent="0.25">
      <c r="A31" s="59" t="str">
        <f t="shared" ca="1" si="0"/>
        <v>SANTOS--LARTIGUE Ines</v>
      </c>
      <c r="B31" s="2" t="str">
        <f ca="1">CELL("contenu",INDIRECT(ADDRESS(ref!$K$3,ref!E30,1,,CELL("contenu",$AA$2))))</f>
        <v/>
      </c>
      <c r="C31" s="3" t="str">
        <f ca="1">CELL("contenu",INDIRECT(ADDRESS(ref!$K$3,ref!F30,1,,CELL("contenu",$AA$2))))</f>
        <v>B</v>
      </c>
      <c r="D31" s="4" t="str">
        <f ca="1">CELL("contenu",INDIRECT(ADDRESS(ref!$K$3,ref!G30,1,,CELL("contenu",$AA$2))))</f>
        <v>A</v>
      </c>
      <c r="E31" s="5" t="str">
        <f ca="1">CELL("contenu",INDIRECT(ADDRESS(ref!$K$3,ref!H30,1,,CELL("contenu",$AA$2))))</f>
        <v>A</v>
      </c>
      <c r="F31" s="6" t="str">
        <f ca="1">CELL("contenu",INDIRECT(ADDRESS(ref!$K$4,ref!E30,1,,CELL("contenu",$AA$2))))</f>
        <v/>
      </c>
      <c r="G31" s="3" t="str">
        <f ca="1">CELL("contenu",INDIRECT(ADDRESS(ref!$K$4,ref!F30,1,,CELL("contenu",$AA$2))))</f>
        <v>A</v>
      </c>
      <c r="H31" s="4" t="str">
        <f ca="1">CELL("contenu",INDIRECT(ADDRESS(ref!$K$4,ref!G30,1,,CELL("contenu",$AA$2))))</f>
        <v>A</v>
      </c>
      <c r="I31" s="5" t="str">
        <f ca="1">CELL("contenu",INDIRECT(ADDRESS(ref!$K$4,ref!H30,1,,CELL("contenu",$AA$2))))</f>
        <v>B</v>
      </c>
      <c r="J31" s="6" t="str">
        <f ca="1">CELL("contenu",INDIRECT(ADDRESS(ref!$K$5,ref!E30,1,,CELL("contenu",$AA$2))))</f>
        <v>B</v>
      </c>
      <c r="K31" s="3" t="str">
        <f ca="1">CELL("contenu",INDIRECT(ADDRESS(ref!$K$5,ref!F30,1,,CELL("contenu",$AA$2))))</f>
        <v/>
      </c>
      <c r="L31" s="4" t="str">
        <f ca="1">CELL("contenu",INDIRECT(ADDRESS(ref!$K$5,ref!G30,1,,CELL("contenu",$AA$2))))</f>
        <v/>
      </c>
      <c r="M31" s="5" t="str">
        <f ca="1">CELL("contenu",INDIRECT(ADDRESS(ref!$K$5,ref!H30,1,,CELL("contenu",$AA$2))))</f>
        <v>B</v>
      </c>
      <c r="N31" s="6" t="str">
        <f ca="1">CELL("contenu",INDIRECT(ADDRESS(ref!$K$6,ref!E30,1,,CELL("contenu",$AA$2))))</f>
        <v>C</v>
      </c>
      <c r="O31" s="3" t="str">
        <f ca="1">CELL("contenu",INDIRECT(ADDRESS(ref!$K$6,ref!F30,1,,CELL("contenu",$AA$2))))</f>
        <v>A</v>
      </c>
      <c r="P31" s="4" t="str">
        <f ca="1">CELL("contenu",INDIRECT(ADDRESS(ref!$K$6,ref!G30,1,,CELL("contenu",$AA$2))))</f>
        <v>B</v>
      </c>
      <c r="Q31" s="5" t="str">
        <f ca="1">CELL("contenu",INDIRECT(ADDRESS(ref!$K$6,ref!H30,1,,CELL("contenu",$AA$2))))</f>
        <v>B</v>
      </c>
      <c r="R31" s="6" t="str">
        <f ca="1">CELL("contenu",INDIRECT(ADDRESS(ref!$K$7,ref!E30,1,,CELL("contenu",$AA$2))))</f>
        <v/>
      </c>
      <c r="S31" s="3" t="str">
        <f ca="1">CELL("contenu",INDIRECT(ADDRESS(ref!$K$7,ref!F30,1,,CELL("contenu",$AA$2))))</f>
        <v/>
      </c>
      <c r="T31" s="4" t="str">
        <f ca="1">CELL("contenu",INDIRECT(ADDRESS(ref!$K$7,ref!G30,1,,CELL("contenu",$AA$2))))</f>
        <v/>
      </c>
      <c r="U31" s="5" t="str">
        <f ca="1">CELL("contenu",INDIRECT(ADDRESS(ref!$K$7,ref!H30,1,,CELL("contenu",$AA$2))))</f>
        <v/>
      </c>
      <c r="V31" s="49">
        <f ca="1">CELL("contenu",INDIRECT(ADDRESS(ref!$K$8,ref!E30,1,,CELL("contenu",$AA$2))))</f>
        <v>12.5</v>
      </c>
      <c r="W31" s="50">
        <f ca="1">CELL("contenu",INDIRECT(ADDRESS(ref!$K$8,ref!F30,1,,CELL("contenu",$AA$2))))</f>
        <v>19.166666666666668</v>
      </c>
      <c r="X31" s="51">
        <f ca="1">CELL("contenu",INDIRECT(ADDRESS(ref!$K$8,ref!G30,1,,CELL("contenu",$AA$2))))</f>
        <v>21.388888888888889</v>
      </c>
      <c r="Y31" s="21" t="str">
        <f ca="1">CELL("contenu",INDIRECT(ADDRESS(ref!$K$9,ref!H30,1,,CELL("contenu",$AA$2))))</f>
        <v>A</v>
      </c>
    </row>
    <row r="32" spans="1:25" x14ac:dyDescent="0.25">
      <c r="A32" s="59" t="str">
        <f t="shared" ca="1" si="0"/>
        <v>TARRIERE EL HANNAOUI Lea</v>
      </c>
      <c r="B32" s="2" t="str">
        <f ca="1">CELL("contenu",INDIRECT(ADDRESS(ref!$K$3,ref!E31,1,,CELL("contenu",$AA$2))))</f>
        <v/>
      </c>
      <c r="C32" s="3" t="str">
        <f ca="1">CELL("contenu",INDIRECT(ADDRESS(ref!$K$3,ref!F31,1,,CELL("contenu",$AA$2))))</f>
        <v>A</v>
      </c>
      <c r="D32" s="4" t="str">
        <f ca="1">CELL("contenu",INDIRECT(ADDRESS(ref!$K$3,ref!G31,1,,CELL("contenu",$AA$2))))</f>
        <v>A</v>
      </c>
      <c r="E32" s="5" t="str">
        <f ca="1">CELL("contenu",INDIRECT(ADDRESS(ref!$K$3,ref!H31,1,,CELL("contenu",$AA$2))))</f>
        <v>A</v>
      </c>
      <c r="F32" s="6" t="str">
        <f ca="1">CELL("contenu",INDIRECT(ADDRESS(ref!$K$4,ref!E31,1,,CELL("contenu",$AA$2))))</f>
        <v/>
      </c>
      <c r="G32" s="3" t="str">
        <f ca="1">CELL("contenu",INDIRECT(ADDRESS(ref!$K$4,ref!F31,1,,CELL("contenu",$AA$2))))</f>
        <v>A</v>
      </c>
      <c r="H32" s="4" t="str">
        <f ca="1">CELL("contenu",INDIRECT(ADDRESS(ref!$K$4,ref!G31,1,,CELL("contenu",$AA$2))))</f>
        <v>A</v>
      </c>
      <c r="I32" s="5" t="str">
        <f ca="1">CELL("contenu",INDIRECT(ADDRESS(ref!$K$4,ref!H31,1,,CELL("contenu",$AA$2))))</f>
        <v>B</v>
      </c>
      <c r="J32" s="6" t="str">
        <f ca="1">CELL("contenu",INDIRECT(ADDRESS(ref!$K$5,ref!E31,1,,CELL("contenu",$AA$2))))</f>
        <v>A</v>
      </c>
      <c r="K32" s="3" t="str">
        <f ca="1">CELL("contenu",INDIRECT(ADDRESS(ref!$K$5,ref!F31,1,,CELL("contenu",$AA$2))))</f>
        <v/>
      </c>
      <c r="L32" s="4" t="str">
        <f ca="1">CELL("contenu",INDIRECT(ADDRESS(ref!$K$5,ref!G31,1,,CELL("contenu",$AA$2))))</f>
        <v>C</v>
      </c>
      <c r="M32" s="5" t="str">
        <f ca="1">CELL("contenu",INDIRECT(ADDRESS(ref!$K$5,ref!H31,1,,CELL("contenu",$AA$2))))</f>
        <v>B</v>
      </c>
      <c r="N32" s="6" t="str">
        <f ca="1">CELL("contenu",INDIRECT(ADDRESS(ref!$K$6,ref!E31,1,,CELL("contenu",$AA$2))))</f>
        <v>B</v>
      </c>
      <c r="O32" s="3" t="str">
        <f ca="1">CELL("contenu",INDIRECT(ADDRESS(ref!$K$6,ref!F31,1,,CELL("contenu",$AA$2))))</f>
        <v>A</v>
      </c>
      <c r="P32" s="4" t="str">
        <f ca="1">CELL("contenu",INDIRECT(ADDRESS(ref!$K$6,ref!G31,1,,CELL("contenu",$AA$2))))</f>
        <v>B</v>
      </c>
      <c r="Q32" s="5" t="str">
        <f ca="1">CELL("contenu",INDIRECT(ADDRESS(ref!$K$6,ref!H31,1,,CELL("contenu",$AA$2))))</f>
        <v>B</v>
      </c>
      <c r="R32" s="6" t="str">
        <f ca="1">CELL("contenu",INDIRECT(ADDRESS(ref!$K$7,ref!E31,1,,CELL("contenu",$AA$2))))</f>
        <v/>
      </c>
      <c r="S32" s="3" t="str">
        <f ca="1">CELL("contenu",INDIRECT(ADDRESS(ref!$K$7,ref!F31,1,,CELL("contenu",$AA$2))))</f>
        <v/>
      </c>
      <c r="T32" s="4" t="str">
        <f ca="1">CELL("contenu",INDIRECT(ADDRESS(ref!$K$7,ref!G31,1,,CELL("contenu",$AA$2))))</f>
        <v/>
      </c>
      <c r="U32" s="5" t="str">
        <f ca="1">CELL("contenu",INDIRECT(ADDRESS(ref!$K$7,ref!H31,1,,CELL("contenu",$AA$2))))</f>
        <v/>
      </c>
      <c r="V32" s="49">
        <f ca="1">CELL("contenu",INDIRECT(ADDRESS(ref!$K$8,ref!E31,1,,CELL("contenu",$AA$2))))</f>
        <v>17.5</v>
      </c>
      <c r="W32" s="50">
        <f ca="1">CELL("contenu",INDIRECT(ADDRESS(ref!$K$8,ref!F31,1,,CELL("contenu",$AA$2))))</f>
        <v>20</v>
      </c>
      <c r="X32" s="51">
        <f ca="1">CELL("contenu",INDIRECT(ADDRESS(ref!$K$8,ref!G31,1,,CELL("contenu",$AA$2))))</f>
        <v>19.270833333333332</v>
      </c>
      <c r="Y32" s="21" t="str">
        <f ca="1">CELL("contenu",INDIRECT(ADDRESS(ref!$K$9,ref!H31,1,,CELL("contenu",$AA$2))))</f>
        <v>A</v>
      </c>
    </row>
    <row r="33" spans="1:25" x14ac:dyDescent="0.25">
      <c r="A33" s="59" t="str">
        <f t="shared" ca="1" si="0"/>
        <v>TRIOLET Mila</v>
      </c>
      <c r="B33" s="2" t="str">
        <f ca="1">CELL("contenu",INDIRECT(ADDRESS(ref!$K$3,ref!E32,1,,CELL("contenu",$AA$2))))</f>
        <v/>
      </c>
      <c r="C33" s="3" t="str">
        <f ca="1">CELL("contenu",INDIRECT(ADDRESS(ref!$K$3,ref!F32,1,,CELL("contenu",$AA$2))))</f>
        <v>B</v>
      </c>
      <c r="D33" s="4" t="str">
        <f ca="1">CELL("contenu",INDIRECT(ADDRESS(ref!$K$3,ref!G32,1,,CELL("contenu",$AA$2))))</f>
        <v>A</v>
      </c>
      <c r="E33" s="5" t="str">
        <f ca="1">CELL("contenu",INDIRECT(ADDRESS(ref!$K$3,ref!H32,1,,CELL("contenu",$AA$2))))</f>
        <v>B</v>
      </c>
      <c r="F33" s="6" t="str">
        <f ca="1">CELL("contenu",INDIRECT(ADDRESS(ref!$K$4,ref!E32,1,,CELL("contenu",$AA$2))))</f>
        <v/>
      </c>
      <c r="G33" s="3" t="str">
        <f ca="1">CELL("contenu",INDIRECT(ADDRESS(ref!$K$4,ref!F32,1,,CELL("contenu",$AA$2))))</f>
        <v>A</v>
      </c>
      <c r="H33" s="4" t="str">
        <f ca="1">CELL("contenu",INDIRECT(ADDRESS(ref!$K$4,ref!G32,1,,CELL("contenu",$AA$2))))</f>
        <v>A</v>
      </c>
      <c r="I33" s="5" t="str">
        <f ca="1">CELL("contenu",INDIRECT(ADDRESS(ref!$K$4,ref!H32,1,,CELL("contenu",$AA$2))))</f>
        <v>B</v>
      </c>
      <c r="J33" s="6" t="str">
        <f ca="1">CELL("contenu",INDIRECT(ADDRESS(ref!$K$5,ref!E32,1,,CELL("contenu",$AA$2))))</f>
        <v>B</v>
      </c>
      <c r="K33" s="3" t="str">
        <f ca="1">CELL("contenu",INDIRECT(ADDRESS(ref!$K$5,ref!F32,1,,CELL("contenu",$AA$2))))</f>
        <v/>
      </c>
      <c r="L33" s="4" t="str">
        <f ca="1">CELL("contenu",INDIRECT(ADDRESS(ref!$K$5,ref!G32,1,,CELL("contenu",$AA$2))))</f>
        <v/>
      </c>
      <c r="M33" s="5" t="str">
        <f ca="1">CELL("contenu",INDIRECT(ADDRESS(ref!$K$5,ref!H32,1,,CELL("contenu",$AA$2))))</f>
        <v>B</v>
      </c>
      <c r="N33" s="6" t="str">
        <f ca="1">CELL("contenu",INDIRECT(ADDRESS(ref!$K$6,ref!E32,1,,CELL("contenu",$AA$2))))</f>
        <v>C</v>
      </c>
      <c r="O33" s="3" t="str">
        <f ca="1">CELL("contenu",INDIRECT(ADDRESS(ref!$K$6,ref!F32,1,,CELL("contenu",$AA$2))))</f>
        <v>A</v>
      </c>
      <c r="P33" s="4" t="str">
        <f ca="1">CELL("contenu",INDIRECT(ADDRESS(ref!$K$6,ref!G32,1,,CELL("contenu",$AA$2))))</f>
        <v>B</v>
      </c>
      <c r="Q33" s="5" t="str">
        <f ca="1">CELL("contenu",INDIRECT(ADDRESS(ref!$K$6,ref!H32,1,,CELL("contenu",$AA$2))))</f>
        <v>B</v>
      </c>
      <c r="R33" s="6" t="str">
        <f ca="1">CELL("contenu",INDIRECT(ADDRESS(ref!$K$7,ref!E32,1,,CELL("contenu",$AA$2))))</f>
        <v/>
      </c>
      <c r="S33" s="3" t="str">
        <f ca="1">CELL("contenu",INDIRECT(ADDRESS(ref!$K$7,ref!F32,1,,CELL("contenu",$AA$2))))</f>
        <v/>
      </c>
      <c r="T33" s="4" t="str">
        <f ca="1">CELL("contenu",INDIRECT(ADDRESS(ref!$K$7,ref!G32,1,,CELL("contenu",$AA$2))))</f>
        <v/>
      </c>
      <c r="U33" s="5" t="str">
        <f ca="1">CELL("contenu",INDIRECT(ADDRESS(ref!$K$7,ref!H32,1,,CELL("contenu",$AA$2))))</f>
        <v/>
      </c>
      <c r="V33" s="49">
        <f ca="1">CELL("contenu",INDIRECT(ADDRESS(ref!$K$8,ref!E32,1,,CELL("contenu",$AA$2))))</f>
        <v>12.5</v>
      </c>
      <c r="W33" s="50">
        <f ca="1">CELL("contenu",INDIRECT(ADDRESS(ref!$K$8,ref!F32,1,,CELL("contenu",$AA$2))))</f>
        <v>19.166666666666668</v>
      </c>
      <c r="X33" s="51">
        <f ca="1">CELL("contenu",INDIRECT(ADDRESS(ref!$K$8,ref!G32,1,,CELL("contenu",$AA$2))))</f>
        <v>21.388888888888889</v>
      </c>
      <c r="Y33" s="21" t="str">
        <f ca="1">CELL("contenu",INDIRECT(ADDRESS(ref!$K$9,ref!H32,1,,CELL("contenu",$AA$2))))</f>
        <v>A</v>
      </c>
    </row>
    <row r="34" spans="1:25" x14ac:dyDescent="0.25">
      <c r="A34" s="59" t="str">
        <f t="shared" ca="1" si="0"/>
        <v>TROUCHON Marie-Helix</v>
      </c>
      <c r="B34" s="2" t="str">
        <f ca="1">CELL("contenu",INDIRECT(ADDRESS(ref!$K$3,ref!E33,1,,CELL("contenu",$AA$2))))</f>
        <v/>
      </c>
      <c r="C34" s="3" t="str">
        <f ca="1">CELL("contenu",INDIRECT(ADDRESS(ref!$K$3,ref!F33,1,,CELL("contenu",$AA$2))))</f>
        <v>A</v>
      </c>
      <c r="D34" s="4" t="str">
        <f ca="1">CELL("contenu",INDIRECT(ADDRESS(ref!$K$3,ref!G33,1,,CELL("contenu",$AA$2))))</f>
        <v>A</v>
      </c>
      <c r="E34" s="5" t="str">
        <f ca="1">CELL("contenu",INDIRECT(ADDRESS(ref!$K$3,ref!H33,1,,CELL("contenu",$AA$2))))</f>
        <v>A</v>
      </c>
      <c r="F34" s="6" t="str">
        <f ca="1">CELL("contenu",INDIRECT(ADDRESS(ref!$K$4,ref!E33,1,,CELL("contenu",$AA$2))))</f>
        <v/>
      </c>
      <c r="G34" s="3" t="str">
        <f ca="1">CELL("contenu",INDIRECT(ADDRESS(ref!$K$4,ref!F33,1,,CELL("contenu",$AA$2))))</f>
        <v>A</v>
      </c>
      <c r="H34" s="4" t="str">
        <f ca="1">CELL("contenu",INDIRECT(ADDRESS(ref!$K$4,ref!G33,1,,CELL("contenu",$AA$2))))</f>
        <v>A</v>
      </c>
      <c r="I34" s="5" t="str">
        <f ca="1">CELL("contenu",INDIRECT(ADDRESS(ref!$K$4,ref!H33,1,,CELL("contenu",$AA$2))))</f>
        <v>B</v>
      </c>
      <c r="J34" s="6" t="str">
        <f ca="1">CELL("contenu",INDIRECT(ADDRESS(ref!$K$5,ref!E33,1,,CELL("contenu",$AA$2))))</f>
        <v>B</v>
      </c>
      <c r="K34" s="3" t="str">
        <f ca="1">CELL("contenu",INDIRECT(ADDRESS(ref!$K$5,ref!F33,1,,CELL("contenu",$AA$2))))</f>
        <v>B</v>
      </c>
      <c r="L34" s="4" t="str">
        <f ca="1">CELL("contenu",INDIRECT(ADDRESS(ref!$K$5,ref!G33,1,,CELL("contenu",$AA$2))))</f>
        <v>B</v>
      </c>
      <c r="M34" s="5" t="str">
        <f ca="1">CELL("contenu",INDIRECT(ADDRESS(ref!$K$5,ref!H33,1,,CELL("contenu",$AA$2))))</f>
        <v>B</v>
      </c>
      <c r="N34" s="6" t="str">
        <f ca="1">CELL("contenu",INDIRECT(ADDRESS(ref!$K$6,ref!E33,1,,CELL("contenu",$AA$2))))</f>
        <v>C</v>
      </c>
      <c r="O34" s="3" t="str">
        <f ca="1">CELL("contenu",INDIRECT(ADDRESS(ref!$K$6,ref!F33,1,,CELL("contenu",$AA$2))))</f>
        <v>B</v>
      </c>
      <c r="P34" s="4" t="str">
        <f ca="1">CELL("contenu",INDIRECT(ADDRESS(ref!$K$6,ref!G33,1,,CELL("contenu",$AA$2))))</f>
        <v>B</v>
      </c>
      <c r="Q34" s="5" t="str">
        <f ca="1">CELL("contenu",INDIRECT(ADDRESS(ref!$K$6,ref!H33,1,,CELL("contenu",$AA$2))))</f>
        <v>B</v>
      </c>
      <c r="R34" s="6" t="str">
        <f ca="1">CELL("contenu",INDIRECT(ADDRESS(ref!$K$7,ref!E33,1,,CELL("contenu",$AA$2))))</f>
        <v/>
      </c>
      <c r="S34" s="3" t="str">
        <f ca="1">CELL("contenu",INDIRECT(ADDRESS(ref!$K$7,ref!F33,1,,CELL("contenu",$AA$2))))</f>
        <v/>
      </c>
      <c r="T34" s="4" t="str">
        <f ca="1">CELL("contenu",INDIRECT(ADDRESS(ref!$K$7,ref!G33,1,,CELL("contenu",$AA$2))))</f>
        <v/>
      </c>
      <c r="U34" s="5" t="str">
        <f ca="1">CELL("contenu",INDIRECT(ADDRESS(ref!$K$7,ref!H33,1,,CELL("contenu",$AA$2))))</f>
        <v/>
      </c>
      <c r="V34" s="49">
        <f ca="1">CELL("contenu",INDIRECT(ADDRESS(ref!$K$8,ref!E33,1,,CELL("contenu",$AA$2))))</f>
        <v>12.5</v>
      </c>
      <c r="W34" s="50">
        <f ca="1">CELL("contenu",INDIRECT(ADDRESS(ref!$K$8,ref!F33,1,,CELL("contenu",$AA$2))))</f>
        <v>21.458333333333336</v>
      </c>
      <c r="X34" s="51">
        <f ca="1">CELL("contenu",INDIRECT(ADDRESS(ref!$K$8,ref!G33,1,,CELL("contenu",$AA$2))))</f>
        <v>21.041666666666664</v>
      </c>
      <c r="Y34" s="21" t="str">
        <f ca="1">CELL("contenu",INDIRECT(ADDRESS(ref!$K$9,ref!H33,1,,CELL("contenu",$AA$2))))</f>
        <v>A</v>
      </c>
    </row>
    <row r="35" spans="1:25" ht="15.75" thickBot="1" x14ac:dyDescent="0.3">
      <c r="A35" s="59" t="str">
        <f t="shared" ca="1" si="0"/>
        <v>ZHENDRE Meline</v>
      </c>
      <c r="B35" s="46" t="str">
        <f ca="1">CELL("contenu",INDIRECT(ADDRESS(ref!$K$3,ref!E34,1,,CELL("contenu",$AA$2))))</f>
        <v/>
      </c>
      <c r="C35" s="7" t="str">
        <f ca="1">CELL("contenu",INDIRECT(ADDRESS(ref!$K$3,ref!F34,1,,CELL("contenu",$AA$2))))</f>
        <v>B</v>
      </c>
      <c r="D35" s="8" t="str">
        <f ca="1">CELL("contenu",INDIRECT(ADDRESS(ref!$K$3,ref!G34,1,,CELL("contenu",$AA$2))))</f>
        <v>A</v>
      </c>
      <c r="E35" s="9" t="str">
        <f ca="1">CELL("contenu",INDIRECT(ADDRESS(ref!$K$3,ref!H34,1,,CELL("contenu",$AA$2))))</f>
        <v>B</v>
      </c>
      <c r="F35" s="10" t="str">
        <f ca="1">CELL("contenu",INDIRECT(ADDRESS(ref!$K$4,ref!E34,1,,CELL("contenu",$AA$2))))</f>
        <v/>
      </c>
      <c r="G35" s="7" t="str">
        <f ca="1">CELL("contenu",INDIRECT(ADDRESS(ref!$K$4,ref!F34,1,,CELL("contenu",$AA$2))))</f>
        <v>A</v>
      </c>
      <c r="H35" s="8" t="str">
        <f ca="1">CELL("contenu",INDIRECT(ADDRESS(ref!$K$4,ref!G34,1,,CELL("contenu",$AA$2))))</f>
        <v>A</v>
      </c>
      <c r="I35" s="9" t="str">
        <f ca="1">CELL("contenu",INDIRECT(ADDRESS(ref!$K$4,ref!H34,1,,CELL("contenu",$AA$2))))</f>
        <v>B</v>
      </c>
      <c r="J35" s="10" t="str">
        <f ca="1">CELL("contenu",INDIRECT(ADDRESS(ref!$K$5,ref!E34,1,,CELL("contenu",$AA$2))))</f>
        <v>B</v>
      </c>
      <c r="K35" s="7" t="str">
        <f ca="1">CELL("contenu",INDIRECT(ADDRESS(ref!$K$5,ref!F34,1,,CELL("contenu",$AA$2))))</f>
        <v>B</v>
      </c>
      <c r="L35" s="8" t="str">
        <f ca="1">CELL("contenu",INDIRECT(ADDRESS(ref!$K$5,ref!G34,1,,CELL("contenu",$AA$2))))</f>
        <v>B</v>
      </c>
      <c r="M35" s="9" t="str">
        <f ca="1">CELL("contenu",INDIRECT(ADDRESS(ref!$K$5,ref!H34,1,,CELL("contenu",$AA$2))))</f>
        <v>B</v>
      </c>
      <c r="N35" s="10" t="str">
        <f ca="1">CELL("contenu",INDIRECT(ADDRESS(ref!$K$6,ref!E34,1,,CELL("contenu",$AA$2))))</f>
        <v>C</v>
      </c>
      <c r="O35" s="7" t="str">
        <f ca="1">CELL("contenu",INDIRECT(ADDRESS(ref!$K$6,ref!F34,1,,CELL("contenu",$AA$2))))</f>
        <v>C</v>
      </c>
      <c r="P35" s="8" t="str">
        <f ca="1">CELL("contenu",INDIRECT(ADDRESS(ref!$K$6,ref!G34,1,,CELL("contenu",$AA$2))))</f>
        <v>B</v>
      </c>
      <c r="Q35" s="9" t="str">
        <f ca="1">CELL("contenu",INDIRECT(ADDRESS(ref!$K$6,ref!H34,1,,CELL("contenu",$AA$2))))</f>
        <v>C</v>
      </c>
      <c r="R35" s="10" t="str">
        <f ca="1">CELL("contenu",INDIRECT(ADDRESS(ref!$K$7,ref!E34,1,,CELL("contenu",$AA$2))))</f>
        <v/>
      </c>
      <c r="S35" s="7" t="str">
        <f ca="1">CELL("contenu",INDIRECT(ADDRESS(ref!$K$7,ref!F34,1,,CELL("contenu",$AA$2))))</f>
        <v/>
      </c>
      <c r="T35" s="8" t="str">
        <f ca="1">CELL("contenu",INDIRECT(ADDRESS(ref!$K$7,ref!G34,1,,CELL("contenu",$AA$2))))</f>
        <v/>
      </c>
      <c r="U35" s="9" t="str">
        <f ca="1">CELL("contenu",INDIRECT(ADDRESS(ref!$K$7,ref!H34,1,,CELL("contenu",$AA$2))))</f>
        <v/>
      </c>
      <c r="V35" s="52">
        <f ca="1">CELL("contenu",INDIRECT(ADDRESS(ref!$K$8,ref!E34,1,,CELL("contenu",$AA$2))))</f>
        <v>12.5</v>
      </c>
      <c r="W35" s="53">
        <f ca="1">CELL("contenu",INDIRECT(ADDRESS(ref!$K$8,ref!F34,1,,CELL("contenu",$AA$2))))</f>
        <v>19.6875</v>
      </c>
      <c r="X35" s="54">
        <f ca="1">CELL("contenu",INDIRECT(ADDRESS(ref!$K$8,ref!G34,1,,CELL("contenu",$AA$2))))</f>
        <v>21.25</v>
      </c>
      <c r="Y35" s="22" t="str">
        <f ca="1">CELL("contenu",INDIRECT(ADDRESS(ref!$K$9,ref!H34,1,,CELL("contenu",$AA$2))))</f>
        <v>A</v>
      </c>
    </row>
  </sheetData>
  <sheetProtection algorithmName="SHA-512" hashValue="DIzMQweaOva7shBN6DDFqq/zP0tVOOQE6POAHA5Btj58LvHP2TmCEmPr6rznR0mKGbiqalAyYQ30ra+LbSKzJg==" saltValue="x81eS9CdTEdUOamaU3U7Rw==" spinCount="100000" sheet="1" selectLockedCells="1"/>
  <mergeCells count="8">
    <mergeCell ref="B1:Y1"/>
    <mergeCell ref="A2:A3"/>
    <mergeCell ref="B2:E2"/>
    <mergeCell ref="F2:I2"/>
    <mergeCell ref="J2:M2"/>
    <mergeCell ref="N2:Q2"/>
    <mergeCell ref="R2:U2"/>
    <mergeCell ref="V2:X2"/>
  </mergeCells>
  <pageMargins left="0.7" right="0.7" top="0.75" bottom="0.75" header="0.3" footer="0.3"/>
  <pageSetup paperSize="9" scale="59" fitToHeight="0" orientation="landscape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TZ33"/>
  <sheetViews>
    <sheetView zoomScale="70" zoomScaleNormal="70" workbookViewId="0">
      <pane xSplit="2" topLeftCell="SO1" activePane="topRight" state="frozen"/>
      <selection activeCell="A4" sqref="A4"/>
      <selection pane="topRight" activeCell="TQ17" sqref="TQ17"/>
    </sheetView>
  </sheetViews>
  <sheetFormatPr baseColWidth="10" defaultColWidth="5.7109375" defaultRowHeight="15" x14ac:dyDescent="0.25"/>
  <cols>
    <col min="1" max="1" width="17.7109375" style="168" customWidth="1"/>
    <col min="2" max="2" width="13.7109375" style="168" customWidth="1"/>
    <col min="3" max="5" width="4.7109375" style="156" customWidth="1"/>
    <col min="6" max="6" width="4.7109375" style="194" customWidth="1"/>
    <col min="7" max="7" width="8.7109375" style="195" customWidth="1"/>
    <col min="8" max="10" width="4.7109375" style="157" customWidth="1"/>
    <col min="11" max="11" width="4.7109375" style="195" customWidth="1"/>
    <col min="12" max="12" width="8.7109375" style="195" customWidth="1"/>
    <col min="13" max="15" width="4.7109375" style="157" customWidth="1"/>
    <col min="16" max="16" width="4.7109375" style="195" customWidth="1"/>
    <col min="17" max="17" width="8.7109375" style="195" customWidth="1"/>
    <col min="18" max="18" width="4.7109375" style="195" customWidth="1"/>
    <col min="19" max="19" width="8.7109375" style="195" customWidth="1"/>
    <col min="20" max="22" width="4.7109375" style="156" customWidth="1"/>
    <col min="23" max="23" width="4.7109375" style="194" customWidth="1"/>
    <col min="24" max="24" width="8.7109375" style="195" customWidth="1"/>
    <col min="25" max="27" width="4.7109375" style="157" customWidth="1"/>
    <col min="28" max="28" width="4.7109375" style="195" customWidth="1"/>
    <col min="29" max="29" width="8.7109375" style="195" customWidth="1"/>
    <col min="30" max="32" width="4.7109375" style="157" customWidth="1"/>
    <col min="33" max="33" width="4.7109375" style="195" customWidth="1"/>
    <col min="34" max="34" width="8.7109375" style="195" customWidth="1"/>
    <col min="35" max="35" width="4.7109375" style="195" customWidth="1"/>
    <col min="36" max="36" width="8.7109375" style="195" customWidth="1"/>
    <col min="37" max="40" width="4.7109375" style="156" customWidth="1"/>
    <col min="41" max="41" width="8.7109375" style="155" customWidth="1"/>
    <col min="42" max="44" width="4.7109375" style="157" customWidth="1"/>
    <col min="45" max="45" width="4.7109375" style="155" customWidth="1"/>
    <col min="46" max="46" width="8.7109375" style="155" customWidth="1"/>
    <col min="47" max="49" width="4.7109375" style="157" customWidth="1"/>
    <col min="50" max="50" width="4.7109375" style="155" customWidth="1"/>
    <col min="51" max="51" width="8.7109375" style="155" customWidth="1"/>
    <col min="52" max="52" width="4.7109375" style="155" customWidth="1"/>
    <col min="53" max="53" width="8.7109375" style="155" customWidth="1"/>
    <col min="54" max="57" width="4.7109375" style="156" customWidth="1"/>
    <col min="58" max="58" width="8.7109375" style="155" customWidth="1"/>
    <col min="59" max="61" width="4.7109375" style="157" customWidth="1"/>
    <col min="62" max="62" width="4.7109375" style="155" customWidth="1"/>
    <col min="63" max="63" width="8.7109375" style="155" customWidth="1"/>
    <col min="64" max="66" width="4.7109375" style="157" customWidth="1"/>
    <col min="67" max="67" width="4.7109375" style="155" customWidth="1"/>
    <col min="68" max="68" width="8.7109375" style="155" customWidth="1"/>
    <col min="69" max="69" width="4.7109375" style="155" customWidth="1"/>
    <col min="70" max="70" width="8.7109375" style="155" customWidth="1"/>
    <col min="71" max="74" width="4.7109375" style="156" customWidth="1"/>
    <col min="75" max="75" width="8.7109375" style="155" customWidth="1"/>
    <col min="76" max="78" width="4.7109375" style="157" customWidth="1"/>
    <col min="79" max="79" width="4.7109375" style="155" customWidth="1"/>
    <col min="80" max="80" width="8.7109375" style="155" customWidth="1"/>
    <col min="81" max="83" width="4.7109375" style="157" customWidth="1"/>
    <col min="84" max="84" width="4.7109375" style="155" customWidth="1"/>
    <col min="85" max="85" width="8.7109375" style="155" customWidth="1"/>
    <col min="86" max="86" width="4.7109375" style="155" customWidth="1"/>
    <col min="87" max="87" width="8.7109375" style="155" customWidth="1"/>
    <col min="88" max="91" width="4.7109375" style="156" customWidth="1"/>
    <col min="92" max="92" width="8.7109375" style="155" customWidth="1"/>
    <col min="93" max="95" width="4.7109375" style="157" customWidth="1"/>
    <col min="96" max="96" width="4.7109375" style="155" customWidth="1"/>
    <col min="97" max="97" width="8.7109375" style="155" customWidth="1"/>
    <col min="98" max="100" width="4.7109375" style="157" customWidth="1"/>
    <col min="101" max="101" width="4.7109375" style="155" customWidth="1"/>
    <col min="102" max="102" width="8.7109375" style="155" customWidth="1"/>
    <col min="103" max="103" width="4.7109375" style="155" customWidth="1"/>
    <col min="104" max="104" width="8.7109375" style="155" customWidth="1"/>
    <col min="105" max="108" width="4.7109375" style="156" customWidth="1"/>
    <col min="109" max="109" width="8.7109375" style="155" customWidth="1"/>
    <col min="110" max="112" width="4.7109375" style="157" customWidth="1"/>
    <col min="113" max="113" width="4.7109375" style="155" customWidth="1"/>
    <col min="114" max="114" width="8.7109375" style="155" customWidth="1"/>
    <col min="115" max="117" width="4.7109375" style="157" customWidth="1"/>
    <col min="118" max="118" width="4.7109375" style="155" customWidth="1"/>
    <col min="119" max="119" width="8.7109375" style="155" customWidth="1"/>
    <col min="120" max="120" width="4.7109375" style="155" customWidth="1"/>
    <col min="121" max="121" width="8.7109375" style="155" customWidth="1"/>
    <col min="122" max="125" width="4.7109375" style="156" customWidth="1"/>
    <col min="126" max="126" width="8.7109375" style="155" customWidth="1"/>
    <col min="127" max="129" width="4.7109375" style="157" customWidth="1"/>
    <col min="130" max="130" width="4.7109375" style="155" customWidth="1"/>
    <col min="131" max="131" width="8.7109375" style="155" customWidth="1"/>
    <col min="132" max="134" width="4.7109375" style="157" customWidth="1"/>
    <col min="135" max="135" width="4.7109375" style="155" customWidth="1"/>
    <col min="136" max="136" width="8.7109375" style="155" customWidth="1"/>
    <col min="137" max="137" width="4.7109375" style="155" customWidth="1"/>
    <col min="138" max="138" width="8.7109375" style="155" customWidth="1"/>
    <col min="139" max="142" width="4.7109375" style="156" customWidth="1"/>
    <col min="143" max="143" width="8.7109375" style="155" customWidth="1"/>
    <col min="144" max="146" width="4.7109375" style="157" customWidth="1"/>
    <col min="147" max="147" width="4.7109375" style="155" customWidth="1"/>
    <col min="148" max="148" width="8.7109375" style="155" customWidth="1"/>
    <col min="149" max="151" width="4.7109375" style="157" customWidth="1"/>
    <col min="152" max="152" width="4.7109375" style="155" customWidth="1"/>
    <col min="153" max="153" width="8.7109375" style="155" customWidth="1"/>
    <col min="154" max="154" width="4.7109375" style="155" customWidth="1"/>
    <col min="155" max="155" width="8.7109375" style="155" customWidth="1"/>
    <col min="156" max="159" width="4.7109375" style="156" customWidth="1"/>
    <col min="160" max="160" width="8.7109375" style="155" customWidth="1"/>
    <col min="161" max="163" width="4.7109375" style="157" customWidth="1"/>
    <col min="164" max="164" width="4.7109375" style="155" customWidth="1"/>
    <col min="165" max="165" width="8.7109375" style="155" customWidth="1"/>
    <col min="166" max="168" width="4.7109375" style="157" customWidth="1"/>
    <col min="169" max="169" width="4.7109375" style="155" customWidth="1"/>
    <col min="170" max="170" width="8.7109375" style="155" customWidth="1"/>
    <col min="171" max="171" width="4.7109375" style="155" customWidth="1"/>
    <col min="172" max="172" width="8.7109375" style="155" customWidth="1"/>
    <col min="173" max="176" width="4.7109375" style="156" customWidth="1"/>
    <col min="177" max="177" width="8.7109375" style="155" customWidth="1"/>
    <col min="178" max="180" width="4.7109375" style="157" customWidth="1"/>
    <col min="181" max="181" width="4.7109375" style="155" customWidth="1"/>
    <col min="182" max="182" width="8.7109375" style="155" customWidth="1"/>
    <col min="183" max="185" width="4.7109375" style="157" customWidth="1"/>
    <col min="186" max="186" width="4.7109375" style="155" customWidth="1"/>
    <col min="187" max="187" width="8.7109375" style="155" customWidth="1"/>
    <col min="188" max="188" width="4.7109375" style="155" customWidth="1"/>
    <col min="189" max="189" width="8.7109375" style="155" customWidth="1"/>
    <col min="190" max="193" width="4.7109375" style="156" customWidth="1"/>
    <col min="194" max="194" width="8.7109375" style="155" customWidth="1"/>
    <col min="195" max="197" width="4.7109375" style="157" customWidth="1"/>
    <col min="198" max="198" width="4.7109375" style="155" customWidth="1"/>
    <col min="199" max="199" width="8.7109375" style="155" customWidth="1"/>
    <col min="200" max="202" width="4.7109375" style="157" customWidth="1"/>
    <col min="203" max="203" width="4.7109375" style="155" customWidth="1"/>
    <col min="204" max="204" width="8.7109375" style="155" customWidth="1"/>
    <col min="205" max="205" width="4.7109375" style="155" customWidth="1"/>
    <col min="206" max="206" width="8.7109375" style="155" customWidth="1"/>
    <col min="207" max="210" width="4.7109375" style="156" customWidth="1"/>
    <col min="211" max="211" width="8.7109375" style="155" customWidth="1"/>
    <col min="212" max="214" width="4.7109375" style="157" customWidth="1"/>
    <col min="215" max="215" width="4.7109375" style="155" customWidth="1"/>
    <col min="216" max="216" width="8.7109375" style="155" customWidth="1"/>
    <col min="217" max="219" width="4.7109375" style="157" customWidth="1"/>
    <col min="220" max="220" width="4.7109375" style="155" customWidth="1"/>
    <col min="221" max="221" width="8.7109375" style="155" customWidth="1"/>
    <col min="222" max="222" width="4.7109375" style="155" customWidth="1"/>
    <col min="223" max="223" width="8.7109375" style="155" customWidth="1"/>
    <col min="224" max="227" width="4.7109375" style="156" customWidth="1"/>
    <col min="228" max="228" width="8.7109375" style="155" customWidth="1"/>
    <col min="229" max="231" width="4.7109375" style="157" customWidth="1"/>
    <col min="232" max="232" width="4.7109375" style="155" customWidth="1"/>
    <col min="233" max="233" width="8.7109375" style="155" customWidth="1"/>
    <col min="234" max="236" width="4.7109375" style="157" customWidth="1"/>
    <col min="237" max="237" width="4.7109375" style="155" customWidth="1"/>
    <col min="238" max="238" width="8.7109375" style="155" customWidth="1"/>
    <col min="239" max="239" width="4.7109375" style="155" customWidth="1"/>
    <col min="240" max="240" width="8.7109375" style="155" customWidth="1"/>
    <col min="241" max="244" width="4.7109375" style="156" customWidth="1"/>
    <col min="245" max="245" width="8.7109375" style="155" customWidth="1"/>
    <col min="246" max="248" width="4.7109375" style="157" customWidth="1"/>
    <col min="249" max="249" width="4.7109375" style="155" customWidth="1"/>
    <col min="250" max="250" width="8.7109375" style="155" customWidth="1"/>
    <col min="251" max="253" width="4.7109375" style="157" customWidth="1"/>
    <col min="254" max="254" width="4.7109375" style="155" customWidth="1"/>
    <col min="255" max="255" width="8.7109375" style="155" customWidth="1"/>
    <col min="256" max="256" width="4.7109375" style="155" customWidth="1"/>
    <col min="257" max="257" width="8.7109375" style="155" customWidth="1"/>
    <col min="258" max="261" width="4.7109375" style="156" customWidth="1"/>
    <col min="262" max="262" width="8.7109375" style="155" customWidth="1"/>
    <col min="263" max="265" width="4.7109375" style="157" customWidth="1"/>
    <col min="266" max="266" width="4.7109375" style="155" customWidth="1"/>
    <col min="267" max="267" width="8.7109375" style="155" customWidth="1"/>
    <col min="268" max="270" width="4.7109375" style="157" customWidth="1"/>
    <col min="271" max="271" width="4.7109375" style="155" customWidth="1"/>
    <col min="272" max="272" width="8.7109375" style="155" customWidth="1"/>
    <col min="273" max="273" width="4.7109375" style="155" customWidth="1"/>
    <col min="274" max="274" width="8.7109375" style="155" customWidth="1"/>
    <col min="275" max="278" width="4.7109375" style="156" customWidth="1"/>
    <col min="279" max="279" width="8.7109375" style="155" customWidth="1"/>
    <col min="280" max="282" width="4.7109375" style="157" customWidth="1"/>
    <col min="283" max="283" width="4.7109375" style="155" customWidth="1"/>
    <col min="284" max="284" width="8.7109375" style="155" customWidth="1"/>
    <col min="285" max="287" width="4.7109375" style="157" customWidth="1"/>
    <col min="288" max="288" width="4.7109375" style="155" customWidth="1"/>
    <col min="289" max="289" width="8.7109375" style="155" customWidth="1"/>
    <col min="290" max="290" width="4.7109375" style="155" customWidth="1"/>
    <col min="291" max="291" width="8.7109375" style="155" customWidth="1"/>
    <col min="292" max="295" width="4.7109375" style="156" customWidth="1"/>
    <col min="296" max="296" width="8.7109375" style="155" customWidth="1"/>
    <col min="297" max="299" width="4.7109375" style="157" customWidth="1"/>
    <col min="300" max="300" width="4.7109375" style="155" customWidth="1"/>
    <col min="301" max="301" width="8.7109375" style="155" customWidth="1"/>
    <col min="302" max="304" width="4.7109375" style="157" customWidth="1"/>
    <col min="305" max="305" width="4.7109375" style="155" customWidth="1"/>
    <col min="306" max="306" width="8.7109375" style="155" customWidth="1"/>
    <col min="307" max="307" width="4.7109375" style="155" customWidth="1"/>
    <col min="308" max="308" width="8.7109375" style="155" customWidth="1"/>
    <col min="309" max="312" width="4.7109375" style="156" customWidth="1"/>
    <col min="313" max="313" width="8.7109375" style="155" customWidth="1"/>
    <col min="314" max="316" width="4.7109375" style="157" customWidth="1"/>
    <col min="317" max="317" width="4.7109375" style="155" customWidth="1"/>
    <col min="318" max="318" width="8.7109375" style="155" customWidth="1"/>
    <col min="319" max="321" width="4.7109375" style="157" customWidth="1"/>
    <col min="322" max="322" width="4.7109375" style="155" customWidth="1"/>
    <col min="323" max="323" width="8.7109375" style="155" customWidth="1"/>
    <col min="324" max="324" width="4.7109375" style="155" customWidth="1"/>
    <col min="325" max="325" width="8.7109375" style="155" customWidth="1"/>
    <col min="326" max="329" width="4.7109375" style="156" customWidth="1"/>
    <col min="330" max="330" width="8.7109375" style="155" customWidth="1"/>
    <col min="331" max="333" width="4.7109375" style="157" customWidth="1"/>
    <col min="334" max="334" width="4.7109375" style="155" customWidth="1"/>
    <col min="335" max="335" width="8.7109375" style="155" customWidth="1"/>
    <col min="336" max="338" width="4.7109375" style="157" customWidth="1"/>
    <col min="339" max="339" width="4.7109375" style="155" customWidth="1"/>
    <col min="340" max="340" width="8.7109375" style="155" customWidth="1"/>
    <col min="341" max="341" width="4.7109375" style="155" customWidth="1"/>
    <col min="342" max="342" width="8.7109375" style="155" customWidth="1"/>
    <col min="343" max="346" width="4.7109375" style="156" customWidth="1"/>
    <col min="347" max="347" width="8.7109375" style="155" customWidth="1"/>
    <col min="348" max="350" width="4.7109375" style="157" customWidth="1"/>
    <col min="351" max="351" width="4.7109375" style="155" customWidth="1"/>
    <col min="352" max="352" width="8.7109375" style="155" customWidth="1"/>
    <col min="353" max="355" width="4.7109375" style="157" customWidth="1"/>
    <col min="356" max="356" width="4.7109375" style="155" customWidth="1"/>
    <col min="357" max="357" width="8.7109375" style="155" customWidth="1"/>
    <col min="358" max="358" width="4.7109375" style="155" customWidth="1"/>
    <col min="359" max="359" width="8.7109375" style="155" customWidth="1"/>
    <col min="360" max="363" width="4.7109375" style="156" customWidth="1"/>
    <col min="364" max="364" width="8.7109375" style="155" customWidth="1"/>
    <col min="365" max="367" width="4.7109375" style="157" customWidth="1"/>
    <col min="368" max="368" width="4.7109375" style="155" customWidth="1"/>
    <col min="369" max="369" width="8.7109375" style="155" customWidth="1"/>
    <col min="370" max="372" width="4.7109375" style="157" customWidth="1"/>
    <col min="373" max="373" width="4.7109375" style="155" customWidth="1"/>
    <col min="374" max="374" width="8.7109375" style="155" customWidth="1"/>
    <col min="375" max="375" width="4.7109375" style="155" customWidth="1"/>
    <col min="376" max="376" width="8.7109375" style="155" customWidth="1"/>
    <col min="377" max="380" width="4.7109375" style="156" customWidth="1"/>
    <col min="381" max="381" width="8.7109375" style="155" customWidth="1"/>
    <col min="382" max="384" width="4.7109375" style="157" customWidth="1"/>
    <col min="385" max="385" width="4.7109375" style="155" customWidth="1"/>
    <col min="386" max="386" width="8.7109375" style="155" customWidth="1"/>
    <col min="387" max="389" width="4.7109375" style="157" customWidth="1"/>
    <col min="390" max="390" width="4.7109375" style="155" customWidth="1"/>
    <col min="391" max="391" width="8.7109375" style="155" customWidth="1"/>
    <col min="392" max="392" width="4.7109375" style="155" customWidth="1"/>
    <col min="393" max="393" width="8.7109375" style="155" customWidth="1"/>
    <col min="394" max="397" width="4.7109375" style="156" customWidth="1"/>
    <col min="398" max="398" width="8.7109375" style="155" customWidth="1"/>
    <col min="399" max="401" width="4.7109375" style="157" customWidth="1"/>
    <col min="402" max="402" width="4.7109375" style="155" customWidth="1"/>
    <col min="403" max="403" width="8.7109375" style="155" customWidth="1"/>
    <col min="404" max="406" width="4.7109375" style="157" customWidth="1"/>
    <col min="407" max="407" width="4.7109375" style="155" customWidth="1"/>
    <col min="408" max="408" width="8.7109375" style="155" customWidth="1"/>
    <col min="409" max="409" width="4.7109375" style="155" customWidth="1"/>
    <col min="410" max="410" width="8.7109375" style="155" customWidth="1"/>
    <col min="411" max="414" width="4.7109375" style="156" customWidth="1"/>
    <col min="415" max="415" width="8.7109375" style="155" customWidth="1"/>
    <col min="416" max="418" width="4.7109375" style="157" customWidth="1"/>
    <col min="419" max="419" width="4.7109375" style="155" customWidth="1"/>
    <col min="420" max="420" width="8.7109375" style="155" customWidth="1"/>
    <col min="421" max="423" width="4.7109375" style="157" customWidth="1"/>
    <col min="424" max="424" width="4.7109375" style="155" customWidth="1"/>
    <col min="425" max="425" width="8.7109375" style="155" customWidth="1"/>
    <col min="426" max="426" width="4.7109375" style="155" customWidth="1"/>
    <col min="427" max="427" width="8.7109375" style="155" customWidth="1"/>
    <col min="428" max="431" width="4.7109375" style="156" customWidth="1"/>
    <col min="432" max="432" width="8.7109375" style="155" customWidth="1"/>
    <col min="433" max="435" width="4.7109375" style="157" customWidth="1"/>
    <col min="436" max="436" width="4.7109375" style="155" customWidth="1"/>
    <col min="437" max="437" width="8.7109375" style="155" customWidth="1"/>
    <col min="438" max="440" width="4.7109375" style="157" customWidth="1"/>
    <col min="441" max="441" width="4.7109375" style="155" customWidth="1"/>
    <col min="442" max="442" width="8.7109375" style="155" customWidth="1"/>
    <col min="443" max="443" width="4.7109375" style="155" customWidth="1"/>
    <col min="444" max="444" width="8.7109375" style="155" customWidth="1"/>
    <col min="445" max="448" width="4.7109375" style="156" customWidth="1"/>
    <col min="449" max="449" width="8.7109375" style="155" customWidth="1"/>
    <col min="450" max="452" width="4.7109375" style="157" customWidth="1"/>
    <col min="453" max="453" width="4.7109375" style="155" customWidth="1"/>
    <col min="454" max="454" width="8.7109375" style="155" customWidth="1"/>
    <col min="455" max="457" width="4.7109375" style="157" customWidth="1"/>
    <col min="458" max="458" width="4.7109375" style="155" customWidth="1"/>
    <col min="459" max="459" width="8.7109375" style="155" customWidth="1"/>
    <col min="460" max="460" width="4.7109375" style="155" customWidth="1"/>
    <col min="461" max="461" width="8.7109375" style="155" customWidth="1"/>
    <col min="462" max="465" width="4.7109375" style="156" customWidth="1"/>
    <col min="466" max="466" width="8.7109375" style="155" customWidth="1"/>
    <col min="467" max="469" width="4.7109375" style="157" customWidth="1"/>
    <col min="470" max="470" width="4.7109375" style="155" customWidth="1"/>
    <col min="471" max="471" width="8.7109375" style="155" customWidth="1"/>
    <col min="472" max="474" width="4.7109375" style="157" customWidth="1"/>
    <col min="475" max="475" width="4.7109375" style="155" customWidth="1"/>
    <col min="476" max="476" width="8.7109375" style="155" customWidth="1"/>
    <col min="477" max="477" width="4.7109375" style="155" customWidth="1"/>
    <col min="478" max="478" width="8.7109375" style="155" customWidth="1"/>
    <col min="479" max="482" width="4.7109375" style="156" customWidth="1"/>
    <col min="483" max="483" width="8.7109375" style="155" customWidth="1"/>
    <col min="484" max="486" width="4.7109375" style="157" customWidth="1"/>
    <col min="487" max="487" width="4.7109375" style="155" customWidth="1"/>
    <col min="488" max="488" width="8.7109375" style="155" customWidth="1"/>
    <col min="489" max="491" width="4.7109375" style="157" customWidth="1"/>
    <col min="492" max="492" width="4.7109375" style="155" customWidth="1"/>
    <col min="493" max="493" width="8.7109375" style="155" customWidth="1"/>
    <col min="494" max="494" width="4.7109375" style="155" customWidth="1"/>
    <col min="495" max="495" width="8.7109375" style="155" customWidth="1"/>
    <col min="496" max="499" width="4.7109375" style="156" customWidth="1"/>
    <col min="500" max="500" width="8.7109375" style="155" customWidth="1"/>
    <col min="501" max="503" width="4.7109375" style="157" customWidth="1"/>
    <col min="504" max="504" width="4.7109375" style="155" customWidth="1"/>
    <col min="505" max="505" width="8.7109375" style="155" customWidth="1"/>
    <col min="506" max="508" width="4.7109375" style="157" customWidth="1"/>
    <col min="509" max="509" width="4.7109375" style="155" customWidth="1"/>
    <col min="510" max="510" width="8.7109375" style="155" customWidth="1"/>
    <col min="511" max="511" width="4.7109375" style="155" customWidth="1"/>
    <col min="512" max="512" width="8.7109375" style="155" customWidth="1"/>
    <col min="513" max="516" width="4.7109375" style="156" customWidth="1"/>
    <col min="517" max="517" width="8.7109375" style="155" customWidth="1"/>
    <col min="518" max="520" width="4.7109375" style="157" customWidth="1"/>
    <col min="521" max="521" width="4.7109375" style="155" customWidth="1"/>
    <col min="522" max="522" width="8.7109375" style="155" customWidth="1"/>
    <col min="523" max="525" width="4.7109375" style="157" customWidth="1"/>
    <col min="526" max="526" width="4.7109375" style="155" customWidth="1"/>
    <col min="527" max="527" width="8.7109375" style="155" customWidth="1"/>
    <col min="528" max="528" width="4.7109375" style="155" customWidth="1"/>
    <col min="529" max="529" width="8.7109375" style="155" customWidth="1"/>
    <col min="530" max="533" width="4.7109375" style="73" customWidth="1"/>
    <col min="534" max="534" width="8.7109375" style="73" customWidth="1"/>
    <col min="535" max="538" width="4.7109375" style="73" customWidth="1"/>
    <col min="539" max="539" width="8.7109375" style="73" customWidth="1"/>
    <col min="540" max="543" width="4.7109375" style="73" customWidth="1"/>
    <col min="544" max="544" width="8.7109375" style="73" customWidth="1"/>
    <col min="545" max="545" width="4.7109375" style="73" customWidth="1"/>
    <col min="546" max="546" width="8.7109375" style="73" customWidth="1"/>
    <col min="547" max="16384" width="5.7109375" style="73"/>
  </cols>
  <sheetData>
    <row r="1" spans="1:546" ht="15.75" thickBot="1" x14ac:dyDescent="0.3">
      <c r="A1" s="248" t="s">
        <v>43</v>
      </c>
      <c r="B1" s="249"/>
      <c r="C1" s="170">
        <v>4</v>
      </c>
      <c r="D1" s="222"/>
      <c r="E1" s="70"/>
      <c r="F1" s="177"/>
      <c r="G1" s="178"/>
      <c r="H1" s="175"/>
      <c r="I1" s="72"/>
      <c r="J1" s="72"/>
      <c r="K1" s="178"/>
      <c r="L1" s="178"/>
      <c r="M1" s="175"/>
      <c r="N1" s="72"/>
      <c r="O1" s="72"/>
      <c r="P1" s="178"/>
      <c r="Q1" s="178"/>
      <c r="R1" s="178"/>
      <c r="S1" s="178"/>
      <c r="T1" s="170">
        <f>C1+1</f>
        <v>5</v>
      </c>
      <c r="U1" s="70"/>
      <c r="V1" s="70"/>
      <c r="W1" s="177"/>
      <c r="X1" s="178"/>
      <c r="Y1" s="175"/>
      <c r="Z1" s="72"/>
      <c r="AA1" s="72"/>
      <c r="AB1" s="178"/>
      <c r="AC1" s="178"/>
      <c r="AD1" s="175"/>
      <c r="AE1" s="72"/>
      <c r="AF1" s="72"/>
      <c r="AG1" s="178"/>
      <c r="AH1" s="178"/>
      <c r="AI1" s="178"/>
      <c r="AJ1" s="178"/>
      <c r="AK1" s="170">
        <f>T1+1</f>
        <v>6</v>
      </c>
      <c r="AL1" s="70"/>
      <c r="AM1" s="70"/>
      <c r="AN1" s="177"/>
      <c r="AO1" s="178"/>
      <c r="AP1" s="175"/>
      <c r="AQ1" s="72"/>
      <c r="AR1" s="72"/>
      <c r="AS1" s="178"/>
      <c r="AT1" s="178"/>
      <c r="AU1" s="175"/>
      <c r="AV1" s="72"/>
      <c r="AW1" s="72"/>
      <c r="AX1" s="178"/>
      <c r="AY1" s="178"/>
      <c r="AZ1" s="178"/>
      <c r="BA1" s="178"/>
      <c r="BB1" s="170">
        <f>AK1+1</f>
        <v>7</v>
      </c>
      <c r="BC1" s="70"/>
      <c r="BD1" s="70"/>
      <c r="BE1" s="177"/>
      <c r="BF1" s="178"/>
      <c r="BG1" s="175"/>
      <c r="BH1" s="72"/>
      <c r="BI1" s="72"/>
      <c r="BJ1" s="178"/>
      <c r="BK1" s="178"/>
      <c r="BL1" s="175"/>
      <c r="BM1" s="72"/>
      <c r="BN1" s="72"/>
      <c r="BO1" s="178"/>
      <c r="BP1" s="178"/>
      <c r="BQ1" s="178"/>
      <c r="BR1" s="178"/>
      <c r="BS1" s="170">
        <f>BB1+1</f>
        <v>8</v>
      </c>
      <c r="BT1" s="70"/>
      <c r="BU1" s="70"/>
      <c r="BV1" s="177"/>
      <c r="BW1" s="178"/>
      <c r="BX1" s="175"/>
      <c r="BY1" s="72"/>
      <c r="BZ1" s="72"/>
      <c r="CA1" s="178"/>
      <c r="CB1" s="178"/>
      <c r="CC1" s="175"/>
      <c r="CD1" s="72"/>
      <c r="CE1" s="72"/>
      <c r="CF1" s="178"/>
      <c r="CG1" s="178"/>
      <c r="CH1" s="178"/>
      <c r="CI1" s="178"/>
      <c r="CJ1" s="170">
        <f>BS1+1</f>
        <v>9</v>
      </c>
      <c r="CK1" s="70"/>
      <c r="CL1" s="70"/>
      <c r="CM1" s="177"/>
      <c r="CN1" s="178"/>
      <c r="CO1" s="175"/>
      <c r="CP1" s="72"/>
      <c r="CQ1" s="72"/>
      <c r="CR1" s="178"/>
      <c r="CS1" s="178"/>
      <c r="CT1" s="175"/>
      <c r="CU1" s="72"/>
      <c r="CV1" s="72"/>
      <c r="CW1" s="178"/>
      <c r="CX1" s="178"/>
      <c r="CY1" s="178"/>
      <c r="CZ1" s="178"/>
      <c r="DA1" s="170">
        <f>CJ1+1</f>
        <v>10</v>
      </c>
      <c r="DB1" s="70"/>
      <c r="DC1" s="70"/>
      <c r="DD1" s="177"/>
      <c r="DE1" s="178"/>
      <c r="DF1" s="175"/>
      <c r="DG1" s="72"/>
      <c r="DH1" s="72"/>
      <c r="DI1" s="178"/>
      <c r="DJ1" s="178"/>
      <c r="DK1" s="175"/>
      <c r="DL1" s="72"/>
      <c r="DM1" s="72"/>
      <c r="DN1" s="178"/>
      <c r="DO1" s="178"/>
      <c r="DP1" s="178"/>
      <c r="DQ1" s="178"/>
      <c r="DR1" s="170">
        <f>DA1+1</f>
        <v>11</v>
      </c>
      <c r="DS1" s="70"/>
      <c r="DT1" s="70"/>
      <c r="DU1" s="177"/>
      <c r="DV1" s="178"/>
      <c r="DW1" s="175"/>
      <c r="DX1" s="72"/>
      <c r="DY1" s="72"/>
      <c r="DZ1" s="178"/>
      <c r="EA1" s="178"/>
      <c r="EB1" s="175"/>
      <c r="EC1" s="72"/>
      <c r="ED1" s="72"/>
      <c r="EE1" s="178"/>
      <c r="EF1" s="178"/>
      <c r="EG1" s="178"/>
      <c r="EH1" s="178"/>
      <c r="EI1" s="170">
        <f>DR1+1</f>
        <v>12</v>
      </c>
      <c r="EJ1" s="70"/>
      <c r="EK1" s="70"/>
      <c r="EL1" s="177"/>
      <c r="EM1" s="178"/>
      <c r="EN1" s="175"/>
      <c r="EO1" s="72"/>
      <c r="EP1" s="72"/>
      <c r="EQ1" s="178"/>
      <c r="ER1" s="178"/>
      <c r="ES1" s="175"/>
      <c r="ET1" s="72"/>
      <c r="EU1" s="72"/>
      <c r="EV1" s="178"/>
      <c r="EW1" s="178"/>
      <c r="EX1" s="178"/>
      <c r="EY1" s="178"/>
      <c r="EZ1" s="170">
        <f>EI1+1</f>
        <v>13</v>
      </c>
      <c r="FA1" s="70"/>
      <c r="FB1" s="70"/>
      <c r="FC1" s="177"/>
      <c r="FD1" s="178"/>
      <c r="FE1" s="175"/>
      <c r="FF1" s="72"/>
      <c r="FG1" s="72"/>
      <c r="FH1" s="178"/>
      <c r="FI1" s="178"/>
      <c r="FJ1" s="175"/>
      <c r="FK1" s="72"/>
      <c r="FL1" s="72"/>
      <c r="FM1" s="178"/>
      <c r="FN1" s="178"/>
      <c r="FO1" s="178"/>
      <c r="FP1" s="178"/>
      <c r="FQ1" s="170">
        <f>EZ1+1</f>
        <v>14</v>
      </c>
      <c r="FR1" s="70"/>
      <c r="FS1" s="70"/>
      <c r="FT1" s="177"/>
      <c r="FU1" s="178"/>
      <c r="FV1" s="175"/>
      <c r="FW1" s="72"/>
      <c r="FX1" s="72"/>
      <c r="FY1" s="178"/>
      <c r="FZ1" s="178"/>
      <c r="GA1" s="175"/>
      <c r="GB1" s="72"/>
      <c r="GC1" s="72"/>
      <c r="GD1" s="178"/>
      <c r="GE1" s="178"/>
      <c r="GF1" s="178"/>
      <c r="GG1" s="178"/>
      <c r="GH1" s="170">
        <f>FQ1+1</f>
        <v>15</v>
      </c>
      <c r="GI1" s="70"/>
      <c r="GJ1" s="70"/>
      <c r="GK1" s="177"/>
      <c r="GL1" s="178"/>
      <c r="GM1" s="175"/>
      <c r="GN1" s="72"/>
      <c r="GO1" s="72"/>
      <c r="GP1" s="178"/>
      <c r="GQ1" s="178"/>
      <c r="GR1" s="175"/>
      <c r="GS1" s="72"/>
      <c r="GT1" s="72"/>
      <c r="GU1" s="178"/>
      <c r="GV1" s="178"/>
      <c r="GW1" s="178"/>
      <c r="GX1" s="178"/>
      <c r="GY1" s="170">
        <f>GH1+1</f>
        <v>16</v>
      </c>
      <c r="GZ1" s="70"/>
      <c r="HA1" s="70"/>
      <c r="HB1" s="177"/>
      <c r="HC1" s="178"/>
      <c r="HD1" s="175"/>
      <c r="HE1" s="72"/>
      <c r="HF1" s="72"/>
      <c r="HG1" s="178"/>
      <c r="HH1" s="178"/>
      <c r="HI1" s="175"/>
      <c r="HJ1" s="72"/>
      <c r="HK1" s="72"/>
      <c r="HL1" s="178"/>
      <c r="HM1" s="178"/>
      <c r="HN1" s="178"/>
      <c r="HO1" s="178"/>
      <c r="HP1" s="170">
        <f>GY1+1</f>
        <v>17</v>
      </c>
      <c r="HQ1" s="70"/>
      <c r="HR1" s="70"/>
      <c r="HS1" s="177"/>
      <c r="HT1" s="178"/>
      <c r="HU1" s="175"/>
      <c r="HV1" s="72"/>
      <c r="HW1" s="72"/>
      <c r="HX1" s="178"/>
      <c r="HY1" s="178"/>
      <c r="HZ1" s="175"/>
      <c r="IA1" s="72"/>
      <c r="IB1" s="72"/>
      <c r="IC1" s="178"/>
      <c r="ID1" s="178"/>
      <c r="IE1" s="178"/>
      <c r="IF1" s="178"/>
      <c r="IG1" s="170">
        <f>HP1+1</f>
        <v>18</v>
      </c>
      <c r="IH1" s="70"/>
      <c r="II1" s="70"/>
      <c r="IJ1" s="177"/>
      <c r="IK1" s="178"/>
      <c r="IL1" s="175"/>
      <c r="IM1" s="72"/>
      <c r="IN1" s="72"/>
      <c r="IO1" s="178"/>
      <c r="IP1" s="178"/>
      <c r="IQ1" s="175"/>
      <c r="IR1" s="72"/>
      <c r="IS1" s="72"/>
      <c r="IT1" s="178"/>
      <c r="IU1" s="178"/>
      <c r="IV1" s="178"/>
      <c r="IW1" s="178"/>
      <c r="IX1" s="170">
        <f>IG1+1</f>
        <v>19</v>
      </c>
      <c r="IY1" s="70"/>
      <c r="IZ1" s="70"/>
      <c r="JA1" s="177"/>
      <c r="JB1" s="178"/>
      <c r="JC1" s="175"/>
      <c r="JD1" s="72"/>
      <c r="JE1" s="72"/>
      <c r="JF1" s="178"/>
      <c r="JG1" s="178"/>
      <c r="JH1" s="175"/>
      <c r="JI1" s="72"/>
      <c r="JJ1" s="72"/>
      <c r="JK1" s="178"/>
      <c r="JL1" s="178"/>
      <c r="JM1" s="178"/>
      <c r="JN1" s="178"/>
      <c r="JO1" s="170">
        <f>IX1+1</f>
        <v>20</v>
      </c>
      <c r="JP1" s="70"/>
      <c r="JQ1" s="70"/>
      <c r="JR1" s="177"/>
      <c r="JS1" s="178"/>
      <c r="JT1" s="175"/>
      <c r="JU1" s="72"/>
      <c r="JV1" s="72"/>
      <c r="JW1" s="178"/>
      <c r="JX1" s="178"/>
      <c r="JY1" s="175"/>
      <c r="JZ1" s="72"/>
      <c r="KA1" s="72"/>
      <c r="KB1" s="178"/>
      <c r="KC1" s="178"/>
      <c r="KD1" s="178"/>
      <c r="KE1" s="178"/>
      <c r="KF1" s="170">
        <f>JO1+1</f>
        <v>21</v>
      </c>
      <c r="KG1" s="70"/>
      <c r="KH1" s="70"/>
      <c r="KI1" s="177"/>
      <c r="KJ1" s="178"/>
      <c r="KK1" s="175"/>
      <c r="KL1" s="72"/>
      <c r="KM1" s="72"/>
      <c r="KN1" s="178"/>
      <c r="KO1" s="178"/>
      <c r="KP1" s="175"/>
      <c r="KQ1" s="72"/>
      <c r="KR1" s="72"/>
      <c r="KS1" s="178"/>
      <c r="KT1" s="178"/>
      <c r="KU1" s="178"/>
      <c r="KV1" s="178"/>
      <c r="KW1" s="170">
        <f>KF1+1</f>
        <v>22</v>
      </c>
      <c r="KX1" s="70"/>
      <c r="KY1" s="70"/>
      <c r="KZ1" s="177"/>
      <c r="LA1" s="178"/>
      <c r="LB1" s="175"/>
      <c r="LC1" s="72"/>
      <c r="LD1" s="72"/>
      <c r="LE1" s="178"/>
      <c r="LF1" s="178"/>
      <c r="LG1" s="175"/>
      <c r="LH1" s="72"/>
      <c r="LI1" s="72"/>
      <c r="LJ1" s="178"/>
      <c r="LK1" s="178"/>
      <c r="LL1" s="178"/>
      <c r="LM1" s="178"/>
      <c r="LN1" s="170">
        <f>KW1+1</f>
        <v>23</v>
      </c>
      <c r="LO1" s="70"/>
      <c r="LP1" s="70"/>
      <c r="LQ1" s="177"/>
      <c r="LR1" s="178"/>
      <c r="LS1" s="175"/>
      <c r="LT1" s="72"/>
      <c r="LU1" s="72"/>
      <c r="LV1" s="178"/>
      <c r="LW1" s="178"/>
      <c r="LX1" s="175"/>
      <c r="LY1" s="72"/>
      <c r="LZ1" s="72"/>
      <c r="MA1" s="178"/>
      <c r="MB1" s="178"/>
      <c r="MC1" s="178"/>
      <c r="MD1" s="178"/>
      <c r="ME1" s="170">
        <f>LN1+1</f>
        <v>24</v>
      </c>
      <c r="MF1" s="70"/>
      <c r="MG1" s="70"/>
      <c r="MH1" s="177"/>
      <c r="MI1" s="178"/>
      <c r="MJ1" s="175"/>
      <c r="MK1" s="72"/>
      <c r="ML1" s="72"/>
      <c r="MM1" s="178"/>
      <c r="MN1" s="178"/>
      <c r="MO1" s="175"/>
      <c r="MP1" s="72"/>
      <c r="MQ1" s="72"/>
      <c r="MR1" s="178"/>
      <c r="MS1" s="178"/>
      <c r="MT1" s="178"/>
      <c r="MU1" s="178"/>
      <c r="MV1" s="170">
        <f>ME1+1</f>
        <v>25</v>
      </c>
      <c r="MW1" s="70"/>
      <c r="MX1" s="70"/>
      <c r="MY1" s="177"/>
      <c r="MZ1" s="178"/>
      <c r="NA1" s="175"/>
      <c r="NB1" s="72"/>
      <c r="NC1" s="72"/>
      <c r="ND1" s="178"/>
      <c r="NE1" s="178"/>
      <c r="NF1" s="175"/>
      <c r="NG1" s="72"/>
      <c r="NH1" s="72"/>
      <c r="NI1" s="178"/>
      <c r="NJ1" s="178"/>
      <c r="NK1" s="178"/>
      <c r="NL1" s="178"/>
      <c r="NM1" s="170">
        <f>MV1+1</f>
        <v>26</v>
      </c>
      <c r="NN1" s="70"/>
      <c r="NO1" s="70"/>
      <c r="NP1" s="177"/>
      <c r="NQ1" s="178"/>
      <c r="NR1" s="175"/>
      <c r="NS1" s="72"/>
      <c r="NT1" s="72"/>
      <c r="NU1" s="178"/>
      <c r="NV1" s="178"/>
      <c r="NW1" s="175"/>
      <c r="NX1" s="72"/>
      <c r="NY1" s="72"/>
      <c r="NZ1" s="178"/>
      <c r="OA1" s="178"/>
      <c r="OB1" s="178"/>
      <c r="OC1" s="178"/>
      <c r="OD1" s="170">
        <f>NM1+1</f>
        <v>27</v>
      </c>
      <c r="OE1" s="70"/>
      <c r="OF1" s="70"/>
      <c r="OG1" s="177"/>
      <c r="OH1" s="178"/>
      <c r="OI1" s="175"/>
      <c r="OJ1" s="72"/>
      <c r="OK1" s="72"/>
      <c r="OL1" s="178"/>
      <c r="OM1" s="178"/>
      <c r="ON1" s="175"/>
      <c r="OO1" s="72"/>
      <c r="OP1" s="72"/>
      <c r="OQ1" s="178"/>
      <c r="OR1" s="178"/>
      <c r="OS1" s="178"/>
      <c r="OT1" s="178"/>
      <c r="OU1" s="170">
        <f>OD1+1</f>
        <v>28</v>
      </c>
      <c r="OV1" s="70"/>
      <c r="OW1" s="70"/>
      <c r="OX1" s="177"/>
      <c r="OY1" s="178"/>
      <c r="OZ1" s="175"/>
      <c r="PA1" s="72"/>
      <c r="PB1" s="72"/>
      <c r="PC1" s="178"/>
      <c r="PD1" s="178"/>
      <c r="PE1" s="175"/>
      <c r="PF1" s="72"/>
      <c r="PG1" s="72"/>
      <c r="PH1" s="178"/>
      <c r="PI1" s="178"/>
      <c r="PJ1" s="178"/>
      <c r="PK1" s="178"/>
      <c r="PL1" s="170">
        <f>OU1+1</f>
        <v>29</v>
      </c>
      <c r="PM1" s="70"/>
      <c r="PN1" s="70"/>
      <c r="PO1" s="177"/>
      <c r="PP1" s="178"/>
      <c r="PQ1" s="175"/>
      <c r="PR1" s="72"/>
      <c r="PS1" s="72"/>
      <c r="PT1" s="178"/>
      <c r="PU1" s="178"/>
      <c r="PV1" s="175"/>
      <c r="PW1" s="72"/>
      <c r="PX1" s="72"/>
      <c r="PY1" s="178"/>
      <c r="PZ1" s="178"/>
      <c r="QA1" s="178"/>
      <c r="QB1" s="178"/>
      <c r="QC1" s="170">
        <f>PL1+1</f>
        <v>30</v>
      </c>
      <c r="QD1" s="70"/>
      <c r="QE1" s="70"/>
      <c r="QF1" s="177"/>
      <c r="QG1" s="178"/>
      <c r="QH1" s="175"/>
      <c r="QI1" s="72"/>
      <c r="QJ1" s="72"/>
      <c r="QK1" s="178"/>
      <c r="QL1" s="178"/>
      <c r="QM1" s="175"/>
      <c r="QN1" s="72"/>
      <c r="QO1" s="72"/>
      <c r="QP1" s="178"/>
      <c r="QQ1" s="178"/>
      <c r="QR1" s="178"/>
      <c r="QS1" s="178"/>
      <c r="QT1" s="170">
        <f>QC1+1</f>
        <v>31</v>
      </c>
      <c r="QU1" s="70"/>
      <c r="QV1" s="70"/>
      <c r="QW1" s="177"/>
      <c r="QX1" s="178"/>
      <c r="QY1" s="175"/>
      <c r="QZ1" s="72"/>
      <c r="RA1" s="72"/>
      <c r="RB1" s="178"/>
      <c r="RC1" s="178"/>
      <c r="RD1" s="175"/>
      <c r="RE1" s="72"/>
      <c r="RF1" s="72"/>
      <c r="RG1" s="178"/>
      <c r="RH1" s="178"/>
      <c r="RI1" s="178"/>
      <c r="RJ1" s="178"/>
      <c r="RK1" s="170">
        <f>QT1+1</f>
        <v>32</v>
      </c>
      <c r="RL1" s="70"/>
      <c r="RM1" s="70"/>
      <c r="RN1" s="177"/>
      <c r="RO1" s="178"/>
      <c r="RP1" s="175"/>
      <c r="RQ1" s="72"/>
      <c r="RR1" s="72"/>
      <c r="RS1" s="178"/>
      <c r="RT1" s="178"/>
      <c r="RU1" s="175"/>
      <c r="RV1" s="72"/>
      <c r="RW1" s="72"/>
      <c r="RX1" s="178"/>
      <c r="RY1" s="178"/>
      <c r="RZ1" s="178"/>
      <c r="SA1" s="178"/>
      <c r="SB1" s="170">
        <f>RK1+1</f>
        <v>33</v>
      </c>
      <c r="SC1" s="70"/>
      <c r="SD1" s="70"/>
      <c r="SE1" s="177"/>
      <c r="SF1" s="178"/>
      <c r="SG1" s="175"/>
      <c r="SH1" s="72"/>
      <c r="SI1" s="72"/>
      <c r="SJ1" s="178"/>
      <c r="SK1" s="178"/>
      <c r="SL1" s="175"/>
      <c r="SM1" s="72"/>
      <c r="SN1" s="72"/>
      <c r="SO1" s="178"/>
      <c r="SP1" s="178"/>
      <c r="SQ1" s="178"/>
      <c r="SR1" s="178"/>
      <c r="SS1" s="170">
        <f>SB1+1</f>
        <v>34</v>
      </c>
      <c r="ST1" s="70"/>
      <c r="SU1" s="70"/>
      <c r="SV1" s="177"/>
      <c r="SW1" s="178"/>
      <c r="SX1" s="175"/>
      <c r="SY1" s="72"/>
      <c r="SZ1" s="72"/>
      <c r="TA1" s="178"/>
      <c r="TB1" s="178"/>
      <c r="TC1" s="175"/>
      <c r="TD1" s="72"/>
      <c r="TE1" s="72"/>
      <c r="TF1" s="178"/>
      <c r="TG1" s="178"/>
      <c r="TH1" s="178"/>
      <c r="TI1" s="178"/>
      <c r="TJ1" s="170">
        <f>SS1+1</f>
        <v>35</v>
      </c>
      <c r="TK1" s="70"/>
      <c r="TL1" s="70"/>
      <c r="TM1" s="177"/>
      <c r="TN1" s="178"/>
      <c r="TO1" s="175"/>
      <c r="TP1" s="72"/>
      <c r="TQ1" s="72"/>
      <c r="TR1" s="178"/>
      <c r="TS1" s="178"/>
      <c r="TT1" s="175"/>
      <c r="TU1" s="72"/>
      <c r="TV1" s="72"/>
      <c r="TW1" s="178"/>
      <c r="TX1" s="178"/>
      <c r="TY1" s="178"/>
      <c r="TZ1" s="178"/>
    </row>
    <row r="2" spans="1:546" ht="60" customHeight="1" thickBot="1" x14ac:dyDescent="0.3">
      <c r="A2" s="158" t="s">
        <v>42</v>
      </c>
      <c r="B2" s="159" t="s">
        <v>191</v>
      </c>
      <c r="C2" s="171" t="str">
        <f ca="1">IF(CELL("contenu",INDIRECT(ADDRESS(C1,1,1,1,CELL("contenu",$B$2))))="","----",CELL("contenu",INDIRECT(ADDRESS(C1,1,1,1,CELL("contenu",$B$2)))))</f>
        <v>ALARDIN Anouk</v>
      </c>
      <c r="D2" s="169"/>
      <c r="E2" s="169"/>
      <c r="F2" s="171"/>
      <c r="G2" s="171"/>
      <c r="H2" s="171"/>
      <c r="I2" s="169"/>
      <c r="J2" s="169"/>
      <c r="K2" s="171"/>
      <c r="L2" s="171"/>
      <c r="M2" s="171"/>
      <c r="N2" s="169"/>
      <c r="O2" s="169"/>
      <c r="P2" s="171"/>
      <c r="Q2" s="171"/>
      <c r="R2" s="171"/>
      <c r="S2" s="200"/>
      <c r="T2" s="171" t="str">
        <f ca="1">IF(CELL("contenu",INDIRECT(ADDRESS(T1,1,1,1,CELL("contenu",$B$2))))="","----",CELL("contenu",INDIRECT(ADDRESS(T1,1,1,1,CELL("contenu",$B$2)))))</f>
        <v>AYMOND Victoire</v>
      </c>
      <c r="U2" s="169"/>
      <c r="V2" s="169"/>
      <c r="W2" s="171"/>
      <c r="X2" s="171"/>
      <c r="Y2" s="171"/>
      <c r="Z2" s="169"/>
      <c r="AA2" s="169"/>
      <c r="AB2" s="171"/>
      <c r="AC2" s="171"/>
      <c r="AD2" s="171"/>
      <c r="AE2" s="169"/>
      <c r="AF2" s="169"/>
      <c r="AG2" s="171"/>
      <c r="AH2" s="171"/>
      <c r="AI2" s="171"/>
      <c r="AJ2" s="200"/>
      <c r="AK2" s="171" t="str">
        <f ca="1">IF(CELL("contenu",INDIRECT(ADDRESS(AK1,1,1,1,CELL("contenu",$B$2))))="","----",CELL("contenu",INDIRECT(ADDRESS(AK1,1,1,1,CELL("contenu",$B$2)))))</f>
        <v>BOUISSOU Simon</v>
      </c>
      <c r="AL2" s="169"/>
      <c r="AM2" s="169"/>
      <c r="AN2" s="171"/>
      <c r="AO2" s="171"/>
      <c r="AP2" s="171"/>
      <c r="AQ2" s="169"/>
      <c r="AR2" s="169"/>
      <c r="AS2" s="171"/>
      <c r="AT2" s="171"/>
      <c r="AU2" s="171"/>
      <c r="AV2" s="169"/>
      <c r="AW2" s="169"/>
      <c r="AX2" s="171"/>
      <c r="AY2" s="171"/>
      <c r="AZ2" s="171"/>
      <c r="BA2" s="200"/>
      <c r="BB2" s="171" t="str">
        <f ca="1">IF(CELL("contenu",INDIRECT(ADDRESS(BB1,1,1,1,CELL("contenu",$B$2))))="","----",CELL("contenu",INDIRECT(ADDRESS(BB1,1,1,1,CELL("contenu",$B$2)))))</f>
        <v>COMBROUZE Francois</v>
      </c>
      <c r="BC2" s="169"/>
      <c r="BD2" s="169"/>
      <c r="BE2" s="171"/>
      <c r="BF2" s="171"/>
      <c r="BG2" s="171"/>
      <c r="BH2" s="169"/>
      <c r="BI2" s="169"/>
      <c r="BJ2" s="171"/>
      <c r="BK2" s="171"/>
      <c r="BL2" s="171"/>
      <c r="BM2" s="169"/>
      <c r="BN2" s="169"/>
      <c r="BO2" s="171"/>
      <c r="BP2" s="171"/>
      <c r="BQ2" s="171"/>
      <c r="BR2" s="200"/>
      <c r="BS2" s="171" t="str">
        <f ca="1">IF(CELL("contenu",INDIRECT(ADDRESS(BS1,1,1,1,CELL("contenu",$B$2))))="","----",CELL("contenu",INDIRECT(ADDRESS(BS1,1,1,1,CELL("contenu",$B$2)))))</f>
        <v>CORNIL Justine</v>
      </c>
      <c r="BT2" s="169"/>
      <c r="BU2" s="169"/>
      <c r="BV2" s="171"/>
      <c r="BW2" s="171"/>
      <c r="BX2" s="171"/>
      <c r="BY2" s="169"/>
      <c r="BZ2" s="169"/>
      <c r="CA2" s="171"/>
      <c r="CB2" s="171"/>
      <c r="CC2" s="171"/>
      <c r="CD2" s="169"/>
      <c r="CE2" s="169"/>
      <c r="CF2" s="171"/>
      <c r="CG2" s="171"/>
      <c r="CH2" s="171"/>
      <c r="CI2" s="200"/>
      <c r="CJ2" s="171" t="str">
        <f ca="1">IF(CELL("contenu",INDIRECT(ADDRESS(CJ1,1,1,1,CELL("contenu",$B$2))))="","----",CELL("contenu",INDIRECT(ADDRESS(CJ1,1,1,1,CELL("contenu",$B$2)))))</f>
        <v>CRETEL--HERIVEAU Rose</v>
      </c>
      <c r="CK2" s="169"/>
      <c r="CL2" s="169"/>
      <c r="CM2" s="171"/>
      <c r="CN2" s="171"/>
      <c r="CO2" s="171"/>
      <c r="CP2" s="169"/>
      <c r="CQ2" s="169"/>
      <c r="CR2" s="171"/>
      <c r="CS2" s="171"/>
      <c r="CT2" s="171"/>
      <c r="CU2" s="169"/>
      <c r="CV2" s="169"/>
      <c r="CW2" s="171"/>
      <c r="CX2" s="171"/>
      <c r="CY2" s="171"/>
      <c r="CZ2" s="200"/>
      <c r="DA2" s="171" t="str">
        <f ca="1">IF(CELL("contenu",INDIRECT(ADDRESS(DA1,1,1,1,CELL("contenu",$B$2))))="","----",CELL("contenu",INDIRECT(ADDRESS(DA1,1,1,1,CELL("contenu",$B$2)))))</f>
        <v>DESEILLE Gaston</v>
      </c>
      <c r="DB2" s="169"/>
      <c r="DC2" s="169"/>
      <c r="DD2" s="171"/>
      <c r="DE2" s="171"/>
      <c r="DF2" s="171"/>
      <c r="DG2" s="169"/>
      <c r="DH2" s="169"/>
      <c r="DI2" s="171"/>
      <c r="DJ2" s="171"/>
      <c r="DK2" s="171"/>
      <c r="DL2" s="169"/>
      <c r="DM2" s="169"/>
      <c r="DN2" s="171"/>
      <c r="DO2" s="171"/>
      <c r="DP2" s="171"/>
      <c r="DQ2" s="200"/>
      <c r="DR2" s="171" t="str">
        <f ca="1">IF(CELL("contenu",INDIRECT(ADDRESS(DR1,1,1,1,CELL("contenu",$B$2))))="","----",CELL("contenu",INDIRECT(ADDRESS(DR1,1,1,1,CELL("contenu",$B$2)))))</f>
        <v>DUBOCQ Tristan</v>
      </c>
      <c r="DS2" s="169"/>
      <c r="DT2" s="169"/>
      <c r="DU2" s="171"/>
      <c r="DV2" s="171"/>
      <c r="DW2" s="171"/>
      <c r="DX2" s="169"/>
      <c r="DY2" s="169"/>
      <c r="DZ2" s="171"/>
      <c r="EA2" s="171"/>
      <c r="EB2" s="171"/>
      <c r="EC2" s="169"/>
      <c r="ED2" s="169"/>
      <c r="EE2" s="171"/>
      <c r="EF2" s="171"/>
      <c r="EG2" s="171"/>
      <c r="EH2" s="200"/>
      <c r="EI2" s="171" t="str">
        <f ca="1">IF(CELL("contenu",INDIRECT(ADDRESS(EI1,1,1,1,CELL("contenu",$B$2))))="","----",CELL("contenu",INDIRECT(ADDRESS(EI1,1,1,1,CELL("contenu",$B$2)))))</f>
        <v>FRUGIER Andrea</v>
      </c>
      <c r="EJ2" s="169"/>
      <c r="EK2" s="169"/>
      <c r="EL2" s="171"/>
      <c r="EM2" s="171"/>
      <c r="EN2" s="171"/>
      <c r="EO2" s="169"/>
      <c r="EP2" s="169"/>
      <c r="EQ2" s="171"/>
      <c r="ER2" s="171"/>
      <c r="ES2" s="171"/>
      <c r="ET2" s="169"/>
      <c r="EU2" s="169"/>
      <c r="EV2" s="171"/>
      <c r="EW2" s="171"/>
      <c r="EX2" s="171"/>
      <c r="EY2" s="200"/>
      <c r="EZ2" s="171" t="str">
        <f ca="1">IF(CELL("contenu",INDIRECT(ADDRESS(EZ1,1,1,1,CELL("contenu",$B$2))))="","----",CELL("contenu",INDIRECT(ADDRESS(EZ1,1,1,1,CELL("contenu",$B$2)))))</f>
        <v>GALEANO Antoine</v>
      </c>
      <c r="FA2" s="169"/>
      <c r="FB2" s="169"/>
      <c r="FC2" s="171"/>
      <c r="FD2" s="171"/>
      <c r="FE2" s="171"/>
      <c r="FF2" s="169"/>
      <c r="FG2" s="169"/>
      <c r="FH2" s="171"/>
      <c r="FI2" s="171"/>
      <c r="FJ2" s="171"/>
      <c r="FK2" s="169"/>
      <c r="FL2" s="169"/>
      <c r="FM2" s="171"/>
      <c r="FN2" s="171"/>
      <c r="FO2" s="171"/>
      <c r="FP2" s="200"/>
      <c r="FQ2" s="171" t="str">
        <f ca="1">IF(CELL("contenu",INDIRECT(ADDRESS(FQ1,1,1,1,CELL("contenu",$B$2))))="","----",CELL("contenu",INDIRECT(ADDRESS(FQ1,1,1,1,CELL("contenu",$B$2)))))</f>
        <v>GARAND Blanche</v>
      </c>
      <c r="FR2" s="169"/>
      <c r="FS2" s="169"/>
      <c r="FT2" s="171"/>
      <c r="FU2" s="171"/>
      <c r="FV2" s="171"/>
      <c r="FW2" s="169"/>
      <c r="FX2" s="169"/>
      <c r="FY2" s="171"/>
      <c r="FZ2" s="171"/>
      <c r="GA2" s="171"/>
      <c r="GB2" s="169"/>
      <c r="GC2" s="169"/>
      <c r="GD2" s="171"/>
      <c r="GE2" s="171"/>
      <c r="GF2" s="171"/>
      <c r="GG2" s="200"/>
      <c r="GH2" s="171" t="str">
        <f ca="1">IF(CELL("contenu",INDIRECT(ADDRESS(GH1,1,1,1,CELL("contenu",$B$2))))="","----",CELL("contenu",INDIRECT(ADDRESS(GH1,1,1,1,CELL("contenu",$B$2)))))</f>
        <v>GENEVEE Apolline</v>
      </c>
      <c r="GI2" s="169"/>
      <c r="GJ2" s="169"/>
      <c r="GK2" s="171"/>
      <c r="GL2" s="171"/>
      <c r="GM2" s="171"/>
      <c r="GN2" s="169"/>
      <c r="GO2" s="169"/>
      <c r="GP2" s="171"/>
      <c r="GQ2" s="171"/>
      <c r="GR2" s="171"/>
      <c r="GS2" s="169"/>
      <c r="GT2" s="169"/>
      <c r="GU2" s="171"/>
      <c r="GV2" s="171"/>
      <c r="GW2" s="171"/>
      <c r="GX2" s="200"/>
      <c r="GY2" s="171" t="str">
        <f ca="1">IF(CELL("contenu",INDIRECT(ADDRESS(GY1,1,1,1,CELL("contenu",$B$2))))="","----",CELL("contenu",INDIRECT(ADDRESS(GY1,1,1,1,CELL("contenu",$B$2)))))</f>
        <v>GILLES Leopold</v>
      </c>
      <c r="GZ2" s="169"/>
      <c r="HA2" s="169"/>
      <c r="HB2" s="171"/>
      <c r="HC2" s="171"/>
      <c r="HD2" s="171"/>
      <c r="HE2" s="169"/>
      <c r="HF2" s="169"/>
      <c r="HG2" s="171"/>
      <c r="HH2" s="171"/>
      <c r="HI2" s="171"/>
      <c r="HJ2" s="169"/>
      <c r="HK2" s="169"/>
      <c r="HL2" s="171"/>
      <c r="HM2" s="171"/>
      <c r="HN2" s="171"/>
      <c r="HO2" s="200"/>
      <c r="HP2" s="171" t="str">
        <f ca="1">IF(CELL("contenu",INDIRECT(ADDRESS(HP1,1,1,1,CELL("contenu",$B$2))))="","----",CELL("contenu",INDIRECT(ADDRESS(HP1,1,1,1,CELL("contenu",$B$2)))))</f>
        <v>GOISQUE Foucauld</v>
      </c>
      <c r="HQ2" s="169"/>
      <c r="HR2" s="169"/>
      <c r="HS2" s="171"/>
      <c r="HT2" s="171"/>
      <c r="HU2" s="171"/>
      <c r="HV2" s="169"/>
      <c r="HW2" s="169"/>
      <c r="HX2" s="171"/>
      <c r="HY2" s="171"/>
      <c r="HZ2" s="171"/>
      <c r="IA2" s="169"/>
      <c r="IB2" s="169"/>
      <c r="IC2" s="171"/>
      <c r="ID2" s="171"/>
      <c r="IE2" s="171"/>
      <c r="IF2" s="200"/>
      <c r="IG2" s="171" t="str">
        <f ca="1">IF(CELL("contenu",INDIRECT(ADDRESS(IG1,1,1,1,CELL("contenu",$B$2))))="","----",CELL("contenu",INDIRECT(ADDRESS(IG1,1,1,1,CELL("contenu",$B$2)))))</f>
        <v>GUENOT Emma</v>
      </c>
      <c r="IH2" s="169"/>
      <c r="II2" s="169"/>
      <c r="IJ2" s="171"/>
      <c r="IK2" s="171"/>
      <c r="IL2" s="171"/>
      <c r="IM2" s="169"/>
      <c r="IN2" s="169"/>
      <c r="IO2" s="171"/>
      <c r="IP2" s="171"/>
      <c r="IQ2" s="171"/>
      <c r="IR2" s="169"/>
      <c r="IS2" s="169"/>
      <c r="IT2" s="171"/>
      <c r="IU2" s="171"/>
      <c r="IV2" s="171"/>
      <c r="IW2" s="200"/>
      <c r="IX2" s="171" t="str">
        <f ca="1">IF(CELL("contenu",INDIRECT(ADDRESS(IX1,1,1,1,CELL("contenu",$B$2))))="","----",CELL("contenu",INDIRECT(ADDRESS(IX1,1,1,1,CELL("contenu",$B$2)))))</f>
        <v>GUILLOT Cesar</v>
      </c>
      <c r="IY2" s="169"/>
      <c r="IZ2" s="169"/>
      <c r="JA2" s="171"/>
      <c r="JB2" s="171"/>
      <c r="JC2" s="171"/>
      <c r="JD2" s="169"/>
      <c r="JE2" s="169"/>
      <c r="JF2" s="171"/>
      <c r="JG2" s="171"/>
      <c r="JH2" s="171"/>
      <c r="JI2" s="169"/>
      <c r="JJ2" s="169"/>
      <c r="JK2" s="171"/>
      <c r="JL2" s="171"/>
      <c r="JM2" s="171"/>
      <c r="JN2" s="200"/>
      <c r="JO2" s="171" t="str">
        <f ca="1">IF(CELL("contenu",INDIRECT(ADDRESS(JO1,1,1,1,CELL("contenu",$B$2))))="","----",CELL("contenu",INDIRECT(ADDRESS(JO1,1,1,1,CELL("contenu",$B$2)))))</f>
        <v>LALLEMENT Clemence</v>
      </c>
      <c r="JP2" s="169"/>
      <c r="JQ2" s="169"/>
      <c r="JR2" s="171"/>
      <c r="JS2" s="171"/>
      <c r="JT2" s="171"/>
      <c r="JU2" s="169"/>
      <c r="JV2" s="169"/>
      <c r="JW2" s="171"/>
      <c r="JX2" s="171"/>
      <c r="JY2" s="171"/>
      <c r="JZ2" s="169"/>
      <c r="KA2" s="169"/>
      <c r="KB2" s="171"/>
      <c r="KC2" s="171"/>
      <c r="KD2" s="171"/>
      <c r="KE2" s="200"/>
      <c r="KF2" s="171" t="str">
        <f ca="1">IF(CELL("contenu",INDIRECT(ADDRESS(KF1,1,1,1,CELL("contenu",$B$2))))="","----",CELL("contenu",INDIRECT(ADDRESS(KF1,1,1,1,CELL("contenu",$B$2)))))</f>
        <v>LECORSU Romeo</v>
      </c>
      <c r="KG2" s="169"/>
      <c r="KH2" s="169"/>
      <c r="KI2" s="171"/>
      <c r="KJ2" s="171"/>
      <c r="KK2" s="171"/>
      <c r="KL2" s="169"/>
      <c r="KM2" s="169"/>
      <c r="KN2" s="171"/>
      <c r="KO2" s="171"/>
      <c r="KP2" s="171"/>
      <c r="KQ2" s="169"/>
      <c r="KR2" s="169"/>
      <c r="KS2" s="171"/>
      <c r="KT2" s="171"/>
      <c r="KU2" s="171"/>
      <c r="KV2" s="200"/>
      <c r="KW2" s="171" t="str">
        <f ca="1">IF(CELL("contenu",INDIRECT(ADDRESS(KW1,1,1,1,CELL("contenu",$B$2))))="","----",CELL("contenu",INDIRECT(ADDRESS(KW1,1,1,1,CELL("contenu",$B$2)))))</f>
        <v>LECUYER Garance</v>
      </c>
      <c r="KX2" s="169"/>
      <c r="KY2" s="169"/>
      <c r="KZ2" s="171"/>
      <c r="LA2" s="171"/>
      <c r="LB2" s="171"/>
      <c r="LC2" s="169"/>
      <c r="LD2" s="169"/>
      <c r="LE2" s="171"/>
      <c r="LF2" s="171"/>
      <c r="LG2" s="171"/>
      <c r="LH2" s="169"/>
      <c r="LI2" s="169"/>
      <c r="LJ2" s="171"/>
      <c r="LK2" s="171"/>
      <c r="LL2" s="171"/>
      <c r="LM2" s="200"/>
      <c r="LN2" s="171" t="str">
        <f ca="1">IF(CELL("contenu",INDIRECT(ADDRESS(LN1,1,1,1,CELL("contenu",$B$2))))="","----",CELL("contenu",INDIRECT(ADDRESS(LN1,1,1,1,CELL("contenu",$B$2)))))</f>
        <v>LESNE Melchior</v>
      </c>
      <c r="LO2" s="169"/>
      <c r="LP2" s="169"/>
      <c r="LQ2" s="171"/>
      <c r="LR2" s="171"/>
      <c r="LS2" s="171"/>
      <c r="LT2" s="169"/>
      <c r="LU2" s="169"/>
      <c r="LV2" s="171"/>
      <c r="LW2" s="171"/>
      <c r="LX2" s="171"/>
      <c r="LY2" s="169"/>
      <c r="LZ2" s="169"/>
      <c r="MA2" s="171"/>
      <c r="MB2" s="171"/>
      <c r="MC2" s="171"/>
      <c r="MD2" s="200"/>
      <c r="ME2" s="171" t="str">
        <f ca="1">IF(CELL("contenu",INDIRECT(ADDRESS(ME1,1,1,1,CELL("contenu",$B$2))))="","----",CELL("contenu",INDIRECT(ADDRESS(ME1,1,1,1,CELL("contenu",$B$2)))))</f>
        <v>MANZANARES Margaux</v>
      </c>
      <c r="MF2" s="169"/>
      <c r="MG2" s="169"/>
      <c r="MH2" s="171"/>
      <c r="MI2" s="171"/>
      <c r="MJ2" s="171"/>
      <c r="MK2" s="169"/>
      <c r="ML2" s="169"/>
      <c r="MM2" s="171"/>
      <c r="MN2" s="171"/>
      <c r="MO2" s="171"/>
      <c r="MP2" s="169"/>
      <c r="MQ2" s="169"/>
      <c r="MR2" s="171"/>
      <c r="MS2" s="171"/>
      <c r="MT2" s="171"/>
      <c r="MU2" s="200"/>
      <c r="MV2" s="171" t="str">
        <f ca="1">IF(CELL("contenu",INDIRECT(ADDRESS(MV1,1,1,1,CELL("contenu",$B$2))))="","----",CELL("contenu",INDIRECT(ADDRESS(MV1,1,1,1,CELL("contenu",$B$2)))))</f>
        <v>MARTINEZ Emilio</v>
      </c>
      <c r="MW2" s="169"/>
      <c r="MX2" s="169"/>
      <c r="MY2" s="171"/>
      <c r="MZ2" s="171"/>
      <c r="NA2" s="171"/>
      <c r="NB2" s="169"/>
      <c r="NC2" s="169"/>
      <c r="ND2" s="171"/>
      <c r="NE2" s="171"/>
      <c r="NF2" s="171"/>
      <c r="NG2" s="169"/>
      <c r="NH2" s="169"/>
      <c r="NI2" s="171"/>
      <c r="NJ2" s="171"/>
      <c r="NK2" s="171"/>
      <c r="NL2" s="200"/>
      <c r="NM2" s="171" t="str">
        <f ca="1">IF(CELL("contenu",INDIRECT(ADDRESS(NM1,1,1,1,CELL("contenu",$B$2))))="","----",CELL("contenu",INDIRECT(ADDRESS(NM1,1,1,1,CELL("contenu",$B$2)))))</f>
        <v>MULLIGAN Anais</v>
      </c>
      <c r="NN2" s="169"/>
      <c r="NO2" s="169"/>
      <c r="NP2" s="171"/>
      <c r="NQ2" s="171"/>
      <c r="NR2" s="171"/>
      <c r="NS2" s="169"/>
      <c r="NT2" s="169"/>
      <c r="NU2" s="171"/>
      <c r="NV2" s="171"/>
      <c r="NW2" s="171"/>
      <c r="NX2" s="169"/>
      <c r="NY2" s="169"/>
      <c r="NZ2" s="171"/>
      <c r="OA2" s="171"/>
      <c r="OB2" s="171"/>
      <c r="OC2" s="200"/>
      <c r="OD2" s="171" t="str">
        <f ca="1">IF(CELL("contenu",INDIRECT(ADDRESS(OD1,1,1,1,CELL("contenu",$B$2))))="","----",CELL("contenu",INDIRECT(ADDRESS(OD1,1,1,1,CELL("contenu",$B$2)))))</f>
        <v>ORSINI Robinson</v>
      </c>
      <c r="OE2" s="169"/>
      <c r="OF2" s="169"/>
      <c r="OG2" s="171"/>
      <c r="OH2" s="171"/>
      <c r="OI2" s="171"/>
      <c r="OJ2" s="169"/>
      <c r="OK2" s="169"/>
      <c r="OL2" s="171"/>
      <c r="OM2" s="171"/>
      <c r="ON2" s="171"/>
      <c r="OO2" s="169"/>
      <c r="OP2" s="169"/>
      <c r="OQ2" s="171"/>
      <c r="OR2" s="171"/>
      <c r="OS2" s="171"/>
      <c r="OT2" s="200"/>
      <c r="OU2" s="171" t="str">
        <f ca="1">IF(CELL("contenu",INDIRECT(ADDRESS(OU1,1,1,1,CELL("contenu",$B$2))))="","----",CELL("contenu",INDIRECT(ADDRESS(OU1,1,1,1,CELL("contenu",$B$2)))))</f>
        <v>PERROUIN Appoline</v>
      </c>
      <c r="OV2" s="169"/>
      <c r="OW2" s="169"/>
      <c r="OX2" s="171"/>
      <c r="OY2" s="171"/>
      <c r="OZ2" s="171"/>
      <c r="PA2" s="169"/>
      <c r="PB2" s="169"/>
      <c r="PC2" s="171"/>
      <c r="PD2" s="171"/>
      <c r="PE2" s="171"/>
      <c r="PF2" s="169"/>
      <c r="PG2" s="169"/>
      <c r="PH2" s="171"/>
      <c r="PI2" s="171"/>
      <c r="PJ2" s="171"/>
      <c r="PK2" s="200"/>
      <c r="PL2" s="171" t="str">
        <f ca="1">IF(CELL("contenu",INDIRECT(ADDRESS(PL1,1,1,1,CELL("contenu",$B$2))))="","----",CELL("contenu",INDIRECT(ADDRESS(PL1,1,1,1,CELL("contenu",$B$2)))))</f>
        <v>ROSALES--MURCIANO Matias</v>
      </c>
      <c r="PM2" s="169"/>
      <c r="PN2" s="169"/>
      <c r="PO2" s="171"/>
      <c r="PP2" s="171"/>
      <c r="PQ2" s="171"/>
      <c r="PR2" s="169"/>
      <c r="PS2" s="169"/>
      <c r="PT2" s="171"/>
      <c r="PU2" s="171"/>
      <c r="PV2" s="171"/>
      <c r="PW2" s="169"/>
      <c r="PX2" s="169"/>
      <c r="PY2" s="171"/>
      <c r="PZ2" s="171"/>
      <c r="QA2" s="171"/>
      <c r="QB2" s="200"/>
      <c r="QC2" s="171" t="str">
        <f ca="1">IF(CELL("contenu",INDIRECT(ADDRESS(QC1,1,1,1,CELL("contenu",$B$2))))="","----",CELL("contenu",INDIRECT(ADDRESS(QC1,1,1,1,CELL("contenu",$B$2)))))</f>
        <v>ROUVRE Emma</v>
      </c>
      <c r="QD2" s="169"/>
      <c r="QE2" s="169"/>
      <c r="QF2" s="171"/>
      <c r="QG2" s="171"/>
      <c r="QH2" s="171"/>
      <c r="QI2" s="169"/>
      <c r="QJ2" s="169"/>
      <c r="QK2" s="171"/>
      <c r="QL2" s="171"/>
      <c r="QM2" s="171"/>
      <c r="QN2" s="169"/>
      <c r="QO2" s="169"/>
      <c r="QP2" s="171"/>
      <c r="QQ2" s="171"/>
      <c r="QR2" s="171"/>
      <c r="QS2" s="200"/>
      <c r="QT2" s="171" t="str">
        <f ca="1">IF(CELL("contenu",INDIRECT(ADDRESS(QT1,1,1,1,CELL("contenu",$B$2))))="","----",CELL("contenu",INDIRECT(ADDRESS(QT1,1,1,1,CELL("contenu",$B$2)))))</f>
        <v>SANTOS--LARTIGUE Ines</v>
      </c>
      <c r="QU2" s="169"/>
      <c r="QV2" s="169"/>
      <c r="QW2" s="171"/>
      <c r="QX2" s="171"/>
      <c r="QY2" s="171"/>
      <c r="QZ2" s="169"/>
      <c r="RA2" s="169"/>
      <c r="RB2" s="171"/>
      <c r="RC2" s="171"/>
      <c r="RD2" s="171"/>
      <c r="RE2" s="169"/>
      <c r="RF2" s="169"/>
      <c r="RG2" s="171"/>
      <c r="RH2" s="171"/>
      <c r="RI2" s="171"/>
      <c r="RJ2" s="200"/>
      <c r="RK2" s="171" t="str">
        <f ca="1">IF(CELL("contenu",INDIRECT(ADDRESS(RK1,1,1,1,CELL("contenu",$B$2))))="","----",CELL("contenu",INDIRECT(ADDRESS(RK1,1,1,1,CELL("contenu",$B$2)))))</f>
        <v>TARRIERE EL HANNAOUI Lea</v>
      </c>
      <c r="RL2" s="169"/>
      <c r="RM2" s="169"/>
      <c r="RN2" s="171"/>
      <c r="RO2" s="171"/>
      <c r="RP2" s="171"/>
      <c r="RQ2" s="169"/>
      <c r="RR2" s="169"/>
      <c r="RS2" s="171"/>
      <c r="RT2" s="171"/>
      <c r="RU2" s="171"/>
      <c r="RV2" s="169"/>
      <c r="RW2" s="169"/>
      <c r="RX2" s="171"/>
      <c r="RY2" s="171"/>
      <c r="RZ2" s="171"/>
      <c r="SA2" s="200"/>
      <c r="SB2" s="171" t="str">
        <f ca="1">IF(CELL("contenu",INDIRECT(ADDRESS(SB1,1,1,1,CELL("contenu",$B$2))))="","----",CELL("contenu",INDIRECT(ADDRESS(SB1,1,1,1,CELL("contenu",$B$2)))))</f>
        <v>TRIOLET Mila</v>
      </c>
      <c r="SC2" s="169"/>
      <c r="SD2" s="169"/>
      <c r="SE2" s="171"/>
      <c r="SF2" s="171"/>
      <c r="SG2" s="171"/>
      <c r="SH2" s="169"/>
      <c r="SI2" s="169"/>
      <c r="SJ2" s="171"/>
      <c r="SK2" s="171"/>
      <c r="SL2" s="171"/>
      <c r="SM2" s="169"/>
      <c r="SN2" s="169"/>
      <c r="SO2" s="171"/>
      <c r="SP2" s="171"/>
      <c r="SQ2" s="171"/>
      <c r="SR2" s="200"/>
      <c r="SS2" s="171" t="str">
        <f ca="1">IF(CELL("contenu",INDIRECT(ADDRESS(SS1,1,1,1,CELL("contenu",$B$2))))="","----",CELL("contenu",INDIRECT(ADDRESS(SS1,1,1,1,CELL("contenu",$B$2)))))</f>
        <v>TROUCHON Marie-Helix</v>
      </c>
      <c r="ST2" s="169"/>
      <c r="SU2" s="169"/>
      <c r="SV2" s="171"/>
      <c r="SW2" s="171"/>
      <c r="SX2" s="171"/>
      <c r="SY2" s="169"/>
      <c r="SZ2" s="169"/>
      <c r="TA2" s="171"/>
      <c r="TB2" s="171"/>
      <c r="TC2" s="171"/>
      <c r="TD2" s="169"/>
      <c r="TE2" s="169"/>
      <c r="TF2" s="171"/>
      <c r="TG2" s="171"/>
      <c r="TH2" s="171"/>
      <c r="TI2" s="200"/>
      <c r="TJ2" s="171" t="str">
        <f ca="1">IF(CELL("contenu",INDIRECT(ADDRESS(TJ1,1,1,1,CELL("contenu",$B$2))))="","----",CELL("contenu",INDIRECT(ADDRESS(TJ1,1,1,1,CELL("contenu",$B$2)))))</f>
        <v>ZHENDRE Meline</v>
      </c>
      <c r="TK2" s="169"/>
      <c r="TL2" s="169"/>
      <c r="TM2" s="171"/>
      <c r="TN2" s="171"/>
      <c r="TO2" s="171"/>
      <c r="TP2" s="169"/>
      <c r="TQ2" s="169"/>
      <c r="TR2" s="171"/>
      <c r="TS2" s="171"/>
      <c r="TT2" s="171"/>
      <c r="TU2" s="169"/>
      <c r="TV2" s="169"/>
      <c r="TW2" s="171"/>
      <c r="TX2" s="171"/>
      <c r="TY2" s="171"/>
      <c r="TZ2" s="200"/>
    </row>
    <row r="3" spans="1:546" ht="60" customHeight="1" thickBot="1" x14ac:dyDescent="0.3">
      <c r="A3" s="160"/>
      <c r="B3" s="161" t="s">
        <v>30</v>
      </c>
      <c r="C3" s="76"/>
      <c r="D3" s="77"/>
      <c r="E3" s="78"/>
      <c r="F3" s="179" t="s">
        <v>7</v>
      </c>
      <c r="G3" s="180"/>
      <c r="H3" s="76" t="s">
        <v>209</v>
      </c>
      <c r="I3" s="80" t="s">
        <v>212</v>
      </c>
      <c r="J3" s="78" t="s">
        <v>225</v>
      </c>
      <c r="K3" s="196" t="s">
        <v>8</v>
      </c>
      <c r="L3" s="197"/>
      <c r="M3" s="76" t="s">
        <v>219</v>
      </c>
      <c r="N3" s="227" t="s">
        <v>220</v>
      </c>
      <c r="O3" s="78" t="s">
        <v>221</v>
      </c>
      <c r="P3" s="201" t="s">
        <v>9</v>
      </c>
      <c r="Q3" s="202"/>
      <c r="R3" s="203" t="s">
        <v>10</v>
      </c>
      <c r="S3" s="204"/>
      <c r="T3" s="86" t="str">
        <f>IF(C3="","",C3)</f>
        <v/>
      </c>
      <c r="U3" s="87" t="str">
        <f>IF(D3="","",D3)</f>
        <v/>
      </c>
      <c r="V3" s="88" t="str">
        <f>IF(E3="","",E3)</f>
        <v/>
      </c>
      <c r="W3" s="179" t="s">
        <v>7</v>
      </c>
      <c r="X3" s="220"/>
      <c r="Y3" s="90" t="str">
        <f>IF(H3="","",H3)</f>
        <v>eval  M1</v>
      </c>
      <c r="Z3" s="87" t="str">
        <f>IF(I3="","",I3)</f>
        <v>eval M2</v>
      </c>
      <c r="AA3" s="88" t="str">
        <f>IF(J3="","",J3)</f>
        <v>fiche CH2/3</v>
      </c>
      <c r="AB3" s="196" t="s">
        <v>8</v>
      </c>
      <c r="AC3" s="221"/>
      <c r="AD3" s="90" t="str">
        <f>IF(M3="","",M3)</f>
        <v>Eval CH1</v>
      </c>
      <c r="AE3" s="87" t="str">
        <f>IF(N3="","",N3)</f>
        <v>Fiche CH2/2</v>
      </c>
      <c r="AF3" s="88" t="str">
        <f>IF(O3="","",O3)</f>
        <v>Fiche CH2/1</v>
      </c>
      <c r="AG3" s="201" t="s">
        <v>9</v>
      </c>
      <c r="AH3" s="202"/>
      <c r="AI3" s="203" t="s">
        <v>10</v>
      </c>
      <c r="AJ3" s="204"/>
      <c r="AK3" s="86" t="str">
        <f>IF(T3="","",T3)</f>
        <v/>
      </c>
      <c r="AL3" s="87" t="str">
        <f>IF(U3="","",U3)</f>
        <v/>
      </c>
      <c r="AM3" s="88" t="str">
        <f>IF(V3="","",V3)</f>
        <v/>
      </c>
      <c r="AN3" s="179" t="s">
        <v>7</v>
      </c>
      <c r="AO3" s="220"/>
      <c r="AP3" s="90" t="str">
        <f>IF(Y3="","",Y3)</f>
        <v>eval  M1</v>
      </c>
      <c r="AQ3" s="87" t="str">
        <f>IF(Z3="","",Z3)</f>
        <v>eval M2</v>
      </c>
      <c r="AR3" s="88" t="str">
        <f>IF(AA3="","",AA3)</f>
        <v>fiche CH2/3</v>
      </c>
      <c r="AS3" s="196" t="s">
        <v>8</v>
      </c>
      <c r="AT3" s="221"/>
      <c r="AU3" s="90" t="str">
        <f>IF(AD3="","",AD3)</f>
        <v>Eval CH1</v>
      </c>
      <c r="AV3" s="87" t="str">
        <f>IF(AE3="","",AE3)</f>
        <v>Fiche CH2/2</v>
      </c>
      <c r="AW3" s="88" t="str">
        <f>IF(AF3="","",AF3)</f>
        <v>Fiche CH2/1</v>
      </c>
      <c r="AX3" s="201" t="s">
        <v>9</v>
      </c>
      <c r="AY3" s="202"/>
      <c r="AZ3" s="203" t="s">
        <v>10</v>
      </c>
      <c r="BA3" s="204"/>
      <c r="BB3" s="86" t="str">
        <f>IF(AK3="","",AK3)</f>
        <v/>
      </c>
      <c r="BC3" s="87" t="str">
        <f>IF(AL3="","",AL3)</f>
        <v/>
      </c>
      <c r="BD3" s="88" t="str">
        <f>IF(AM3="","",AM3)</f>
        <v/>
      </c>
      <c r="BE3" s="179" t="s">
        <v>7</v>
      </c>
      <c r="BF3" s="220"/>
      <c r="BG3" s="90" t="str">
        <f>IF(AP3="","",AP3)</f>
        <v>eval  M1</v>
      </c>
      <c r="BH3" s="87" t="str">
        <f>IF(AQ3="","",AQ3)</f>
        <v>eval M2</v>
      </c>
      <c r="BI3" s="88" t="str">
        <f>IF(AR3="","",AR3)</f>
        <v>fiche CH2/3</v>
      </c>
      <c r="BJ3" s="196" t="s">
        <v>8</v>
      </c>
      <c r="BK3" s="221"/>
      <c r="BL3" s="90" t="str">
        <f>IF(AU3="","",AU3)</f>
        <v>Eval CH1</v>
      </c>
      <c r="BM3" s="87" t="str">
        <f>IF(AV3="","",AV3)</f>
        <v>Fiche CH2/2</v>
      </c>
      <c r="BN3" s="88" t="str">
        <f>IF(AW3="","",AW3)</f>
        <v>Fiche CH2/1</v>
      </c>
      <c r="BO3" s="201" t="s">
        <v>9</v>
      </c>
      <c r="BP3" s="202"/>
      <c r="BQ3" s="203" t="s">
        <v>10</v>
      </c>
      <c r="BR3" s="204"/>
      <c r="BS3" s="86" t="str">
        <f>IF(BB3="","",BB3)</f>
        <v/>
      </c>
      <c r="BT3" s="87" t="str">
        <f>IF(BC3="","",BC3)</f>
        <v/>
      </c>
      <c r="BU3" s="88" t="str">
        <f>IF(BD3="","",BD3)</f>
        <v/>
      </c>
      <c r="BV3" s="179" t="s">
        <v>7</v>
      </c>
      <c r="BW3" s="220"/>
      <c r="BX3" s="90" t="str">
        <f>IF(BG3="","",BG3)</f>
        <v>eval  M1</v>
      </c>
      <c r="BY3" s="87" t="str">
        <f>IF(BH3="","",BH3)</f>
        <v>eval M2</v>
      </c>
      <c r="BZ3" s="88" t="str">
        <f>IF(BI3="","",BI3)</f>
        <v>fiche CH2/3</v>
      </c>
      <c r="CA3" s="196" t="s">
        <v>8</v>
      </c>
      <c r="CB3" s="221"/>
      <c r="CC3" s="90" t="str">
        <f>IF(BL3="","",BL3)</f>
        <v>Eval CH1</v>
      </c>
      <c r="CD3" s="87" t="str">
        <f>IF(BM3="","",BM3)</f>
        <v>Fiche CH2/2</v>
      </c>
      <c r="CE3" s="88" t="str">
        <f>IF(BN3="","",BN3)</f>
        <v>Fiche CH2/1</v>
      </c>
      <c r="CF3" s="201" t="s">
        <v>9</v>
      </c>
      <c r="CG3" s="202"/>
      <c r="CH3" s="203" t="s">
        <v>10</v>
      </c>
      <c r="CI3" s="204"/>
      <c r="CJ3" s="86" t="str">
        <f>IF(BS3="","",BS3)</f>
        <v/>
      </c>
      <c r="CK3" s="87" t="str">
        <f>IF(BT3="","",BT3)</f>
        <v/>
      </c>
      <c r="CL3" s="88" t="str">
        <f>IF(BU3="","",BU3)</f>
        <v/>
      </c>
      <c r="CM3" s="179" t="s">
        <v>7</v>
      </c>
      <c r="CN3" s="220"/>
      <c r="CO3" s="90" t="str">
        <f>IF(BX3="","",BX3)</f>
        <v>eval  M1</v>
      </c>
      <c r="CP3" s="87" t="str">
        <f>IF(BY3="","",BY3)</f>
        <v>eval M2</v>
      </c>
      <c r="CQ3" s="88" t="str">
        <f>IF(BZ3="","",BZ3)</f>
        <v>fiche CH2/3</v>
      </c>
      <c r="CR3" s="196" t="s">
        <v>8</v>
      </c>
      <c r="CS3" s="221"/>
      <c r="CT3" s="90" t="str">
        <f>IF(CC3="","",CC3)</f>
        <v>Eval CH1</v>
      </c>
      <c r="CU3" s="87" t="str">
        <f>IF(CD3="","",CD3)</f>
        <v>Fiche CH2/2</v>
      </c>
      <c r="CV3" s="88" t="str">
        <f>IF(CE3="","",CE3)</f>
        <v>Fiche CH2/1</v>
      </c>
      <c r="CW3" s="201" t="s">
        <v>9</v>
      </c>
      <c r="CX3" s="202"/>
      <c r="CY3" s="203" t="s">
        <v>10</v>
      </c>
      <c r="CZ3" s="204"/>
      <c r="DA3" s="86" t="str">
        <f>IF(CJ3="","",CJ3)</f>
        <v/>
      </c>
      <c r="DB3" s="87" t="str">
        <f>IF(CK3="","",CK3)</f>
        <v/>
      </c>
      <c r="DC3" s="88" t="str">
        <f>IF(CL3="","",CL3)</f>
        <v/>
      </c>
      <c r="DD3" s="179" t="s">
        <v>7</v>
      </c>
      <c r="DE3" s="220"/>
      <c r="DF3" s="90" t="str">
        <f>IF(CO3="","",CO3)</f>
        <v>eval  M1</v>
      </c>
      <c r="DG3" s="87" t="str">
        <f>IF(CP3="","",CP3)</f>
        <v>eval M2</v>
      </c>
      <c r="DH3" s="88" t="str">
        <f>IF(CQ3="","",CQ3)</f>
        <v>fiche CH2/3</v>
      </c>
      <c r="DI3" s="196" t="s">
        <v>8</v>
      </c>
      <c r="DJ3" s="221"/>
      <c r="DK3" s="90" t="str">
        <f>IF(CT3="","",CT3)</f>
        <v>Eval CH1</v>
      </c>
      <c r="DL3" s="87" t="str">
        <f>IF(CU3="","",CU3)</f>
        <v>Fiche CH2/2</v>
      </c>
      <c r="DM3" s="88" t="str">
        <f>IF(CV3="","",CV3)</f>
        <v>Fiche CH2/1</v>
      </c>
      <c r="DN3" s="201" t="s">
        <v>9</v>
      </c>
      <c r="DO3" s="202"/>
      <c r="DP3" s="203" t="s">
        <v>10</v>
      </c>
      <c r="DQ3" s="204"/>
      <c r="DR3" s="86" t="str">
        <f>IF(DA3="","",DA3)</f>
        <v/>
      </c>
      <c r="DS3" s="87" t="str">
        <f>IF(DB3="","",DB3)</f>
        <v/>
      </c>
      <c r="DT3" s="88" t="str">
        <f>IF(DC3="","",DC3)</f>
        <v/>
      </c>
      <c r="DU3" s="179" t="s">
        <v>7</v>
      </c>
      <c r="DV3" s="220"/>
      <c r="DW3" s="90" t="str">
        <f>IF(DF3="","",DF3)</f>
        <v>eval  M1</v>
      </c>
      <c r="DX3" s="87" t="str">
        <f>IF(DG3="","",DG3)</f>
        <v>eval M2</v>
      </c>
      <c r="DY3" s="88" t="str">
        <f>IF(DH3="","",DH3)</f>
        <v>fiche CH2/3</v>
      </c>
      <c r="DZ3" s="196" t="s">
        <v>8</v>
      </c>
      <c r="EA3" s="221"/>
      <c r="EB3" s="90" t="str">
        <f>IF(DK3="","",DK3)</f>
        <v>Eval CH1</v>
      </c>
      <c r="EC3" s="87" t="str">
        <f>IF(DL3="","",DL3)</f>
        <v>Fiche CH2/2</v>
      </c>
      <c r="ED3" s="88" t="str">
        <f>IF(DM3="","",DM3)</f>
        <v>Fiche CH2/1</v>
      </c>
      <c r="EE3" s="201" t="s">
        <v>9</v>
      </c>
      <c r="EF3" s="202"/>
      <c r="EG3" s="203" t="s">
        <v>10</v>
      </c>
      <c r="EH3" s="204"/>
      <c r="EI3" s="86" t="str">
        <f>IF(DR3="","",DR3)</f>
        <v/>
      </c>
      <c r="EJ3" s="87" t="str">
        <f>IF(DS3="","",DS3)</f>
        <v/>
      </c>
      <c r="EK3" s="88" t="str">
        <f>IF(DT3="","",DT3)</f>
        <v/>
      </c>
      <c r="EL3" s="179" t="s">
        <v>7</v>
      </c>
      <c r="EM3" s="220"/>
      <c r="EN3" s="90" t="str">
        <f>IF(DW3="","",DW3)</f>
        <v>eval  M1</v>
      </c>
      <c r="EO3" s="87" t="str">
        <f>IF(DX3="","",DX3)</f>
        <v>eval M2</v>
      </c>
      <c r="EP3" s="88" t="str">
        <f>IF(DY3="","",DY3)</f>
        <v>fiche CH2/3</v>
      </c>
      <c r="EQ3" s="196" t="s">
        <v>8</v>
      </c>
      <c r="ER3" s="221"/>
      <c r="ES3" s="90" t="str">
        <f>IF(EB3="","",EB3)</f>
        <v>Eval CH1</v>
      </c>
      <c r="ET3" s="87" t="str">
        <f>IF(EC3="","",EC3)</f>
        <v>Fiche CH2/2</v>
      </c>
      <c r="EU3" s="88" t="str">
        <f>IF(ED3="","",ED3)</f>
        <v>Fiche CH2/1</v>
      </c>
      <c r="EV3" s="201" t="s">
        <v>9</v>
      </c>
      <c r="EW3" s="202"/>
      <c r="EX3" s="203" t="s">
        <v>10</v>
      </c>
      <c r="EY3" s="204"/>
      <c r="EZ3" s="86" t="str">
        <f>IF(EI3="","",EI3)</f>
        <v/>
      </c>
      <c r="FA3" s="87" t="str">
        <f>IF(EJ3="","",EJ3)</f>
        <v/>
      </c>
      <c r="FB3" s="88" t="str">
        <f>IF(EK3="","",EK3)</f>
        <v/>
      </c>
      <c r="FC3" s="179" t="s">
        <v>7</v>
      </c>
      <c r="FD3" s="220"/>
      <c r="FE3" s="90" t="str">
        <f>IF(EN3="","",EN3)</f>
        <v>eval  M1</v>
      </c>
      <c r="FF3" s="87" t="str">
        <f>IF(EO3="","",EO3)</f>
        <v>eval M2</v>
      </c>
      <c r="FG3" s="88" t="str">
        <f>IF(EP3="","",EP3)</f>
        <v>fiche CH2/3</v>
      </c>
      <c r="FH3" s="196" t="s">
        <v>8</v>
      </c>
      <c r="FI3" s="221"/>
      <c r="FJ3" s="90" t="str">
        <f>IF(ES3="","",ES3)</f>
        <v>Eval CH1</v>
      </c>
      <c r="FK3" s="87" t="str">
        <f>IF(ET3="","",ET3)</f>
        <v>Fiche CH2/2</v>
      </c>
      <c r="FL3" s="88" t="str">
        <f>IF(EU3="","",EU3)</f>
        <v>Fiche CH2/1</v>
      </c>
      <c r="FM3" s="201" t="s">
        <v>9</v>
      </c>
      <c r="FN3" s="202"/>
      <c r="FO3" s="203" t="s">
        <v>10</v>
      </c>
      <c r="FP3" s="204"/>
      <c r="FQ3" s="86" t="str">
        <f>IF(EZ3="","",EZ3)</f>
        <v/>
      </c>
      <c r="FR3" s="87" t="str">
        <f>IF(FA3="","",FA3)</f>
        <v/>
      </c>
      <c r="FS3" s="88" t="str">
        <f>IF(FB3="","",FB3)</f>
        <v/>
      </c>
      <c r="FT3" s="179" t="s">
        <v>7</v>
      </c>
      <c r="FU3" s="220"/>
      <c r="FV3" s="90" t="str">
        <f>IF(FE3="","",FE3)</f>
        <v>eval  M1</v>
      </c>
      <c r="FW3" s="87" t="str">
        <f>IF(FF3="","",FF3)</f>
        <v>eval M2</v>
      </c>
      <c r="FX3" s="88" t="str">
        <f>IF(FG3="","",FG3)</f>
        <v>fiche CH2/3</v>
      </c>
      <c r="FY3" s="196" t="s">
        <v>8</v>
      </c>
      <c r="FZ3" s="221"/>
      <c r="GA3" s="90" t="str">
        <f>IF(FJ3="","",FJ3)</f>
        <v>Eval CH1</v>
      </c>
      <c r="GB3" s="87" t="str">
        <f>IF(FK3="","",FK3)</f>
        <v>Fiche CH2/2</v>
      </c>
      <c r="GC3" s="88" t="str">
        <f>IF(FL3="","",FL3)</f>
        <v>Fiche CH2/1</v>
      </c>
      <c r="GD3" s="201" t="s">
        <v>9</v>
      </c>
      <c r="GE3" s="202"/>
      <c r="GF3" s="203" t="s">
        <v>10</v>
      </c>
      <c r="GG3" s="204"/>
      <c r="GH3" s="86" t="str">
        <f>IF(FQ3="","",FQ3)</f>
        <v/>
      </c>
      <c r="GI3" s="87" t="str">
        <f>IF(FR3="","",FR3)</f>
        <v/>
      </c>
      <c r="GJ3" s="88" t="str">
        <f>IF(FS3="","",FS3)</f>
        <v/>
      </c>
      <c r="GK3" s="179" t="s">
        <v>7</v>
      </c>
      <c r="GL3" s="220"/>
      <c r="GM3" s="90" t="str">
        <f>IF(FV3="","",FV3)</f>
        <v>eval  M1</v>
      </c>
      <c r="GN3" s="87" t="str">
        <f>IF(FW3="","",FW3)</f>
        <v>eval M2</v>
      </c>
      <c r="GO3" s="88" t="str">
        <f>IF(FX3="","",FX3)</f>
        <v>fiche CH2/3</v>
      </c>
      <c r="GP3" s="196" t="s">
        <v>8</v>
      </c>
      <c r="GQ3" s="221"/>
      <c r="GR3" s="90" t="str">
        <f>IF(GA3="","",GA3)</f>
        <v>Eval CH1</v>
      </c>
      <c r="GS3" s="87" t="str">
        <f>IF(GB3="","",GB3)</f>
        <v>Fiche CH2/2</v>
      </c>
      <c r="GT3" s="88" t="str">
        <f>IF(GC3="","",GC3)</f>
        <v>Fiche CH2/1</v>
      </c>
      <c r="GU3" s="201" t="s">
        <v>9</v>
      </c>
      <c r="GV3" s="202"/>
      <c r="GW3" s="203" t="s">
        <v>10</v>
      </c>
      <c r="GX3" s="204"/>
      <c r="GY3" s="86" t="str">
        <f>IF(GH3="","",GH3)</f>
        <v/>
      </c>
      <c r="GZ3" s="87" t="str">
        <f>IF(GI3="","",GI3)</f>
        <v/>
      </c>
      <c r="HA3" s="88" t="str">
        <f>IF(GJ3="","",GJ3)</f>
        <v/>
      </c>
      <c r="HB3" s="179" t="s">
        <v>7</v>
      </c>
      <c r="HC3" s="220"/>
      <c r="HD3" s="90" t="str">
        <f>IF(GM3="","",GM3)</f>
        <v>eval  M1</v>
      </c>
      <c r="HE3" s="87" t="str">
        <f>IF(GN3="","",GN3)</f>
        <v>eval M2</v>
      </c>
      <c r="HF3" s="88" t="str">
        <f>IF(GO3="","",GO3)</f>
        <v>fiche CH2/3</v>
      </c>
      <c r="HG3" s="196" t="s">
        <v>8</v>
      </c>
      <c r="HH3" s="221"/>
      <c r="HI3" s="90" t="str">
        <f>IF(GR3="","",GR3)</f>
        <v>Eval CH1</v>
      </c>
      <c r="HJ3" s="87" t="str">
        <f>IF(GS3="","",GS3)</f>
        <v>Fiche CH2/2</v>
      </c>
      <c r="HK3" s="88" t="str">
        <f>IF(GT3="","",GT3)</f>
        <v>Fiche CH2/1</v>
      </c>
      <c r="HL3" s="201" t="s">
        <v>9</v>
      </c>
      <c r="HM3" s="202"/>
      <c r="HN3" s="203" t="s">
        <v>10</v>
      </c>
      <c r="HO3" s="204"/>
      <c r="HP3" s="86" t="str">
        <f>IF(GY3="","",GY3)</f>
        <v/>
      </c>
      <c r="HQ3" s="87" t="str">
        <f>IF(GZ3="","",GZ3)</f>
        <v/>
      </c>
      <c r="HR3" s="88" t="str">
        <f>IF(HA3="","",HA3)</f>
        <v/>
      </c>
      <c r="HS3" s="179" t="s">
        <v>7</v>
      </c>
      <c r="HT3" s="220"/>
      <c r="HU3" s="90" t="str">
        <f>IF(HD3="","",HD3)</f>
        <v>eval  M1</v>
      </c>
      <c r="HV3" s="87" t="str">
        <f>IF(HE3="","",HE3)</f>
        <v>eval M2</v>
      </c>
      <c r="HW3" s="88" t="str">
        <f>IF(HF3="","",HF3)</f>
        <v>fiche CH2/3</v>
      </c>
      <c r="HX3" s="196" t="s">
        <v>8</v>
      </c>
      <c r="HY3" s="221"/>
      <c r="HZ3" s="90" t="str">
        <f>IF(HI3="","",HI3)</f>
        <v>Eval CH1</v>
      </c>
      <c r="IA3" s="87" t="str">
        <f>IF(HJ3="","",HJ3)</f>
        <v>Fiche CH2/2</v>
      </c>
      <c r="IB3" s="88" t="str">
        <f>IF(HK3="","",HK3)</f>
        <v>Fiche CH2/1</v>
      </c>
      <c r="IC3" s="201" t="s">
        <v>9</v>
      </c>
      <c r="ID3" s="202"/>
      <c r="IE3" s="203" t="s">
        <v>10</v>
      </c>
      <c r="IF3" s="204"/>
      <c r="IG3" s="86" t="str">
        <f>IF(HP3="","",HP3)</f>
        <v/>
      </c>
      <c r="IH3" s="87" t="str">
        <f>IF(HQ3="","",HQ3)</f>
        <v/>
      </c>
      <c r="II3" s="88" t="str">
        <f>IF(HR3="","",HR3)</f>
        <v/>
      </c>
      <c r="IJ3" s="179" t="s">
        <v>7</v>
      </c>
      <c r="IK3" s="220"/>
      <c r="IL3" s="90" t="str">
        <f>IF(HU3="","",HU3)</f>
        <v>eval  M1</v>
      </c>
      <c r="IM3" s="87" t="str">
        <f>IF(HV3="","",HV3)</f>
        <v>eval M2</v>
      </c>
      <c r="IN3" s="88" t="str">
        <f>IF(HW3="","",HW3)</f>
        <v>fiche CH2/3</v>
      </c>
      <c r="IO3" s="196" t="s">
        <v>8</v>
      </c>
      <c r="IP3" s="221"/>
      <c r="IQ3" s="90" t="str">
        <f>IF(HZ3="","",HZ3)</f>
        <v>Eval CH1</v>
      </c>
      <c r="IR3" s="87" t="str">
        <f>IF(IA3="","",IA3)</f>
        <v>Fiche CH2/2</v>
      </c>
      <c r="IS3" s="88" t="str">
        <f>IF(IB3="","",IB3)</f>
        <v>Fiche CH2/1</v>
      </c>
      <c r="IT3" s="201" t="s">
        <v>9</v>
      </c>
      <c r="IU3" s="202"/>
      <c r="IV3" s="203" t="s">
        <v>10</v>
      </c>
      <c r="IW3" s="204"/>
      <c r="IX3" s="86" t="str">
        <f>IF(IG3="","",IG3)</f>
        <v/>
      </c>
      <c r="IY3" s="87" t="str">
        <f>IF(IH3="","",IH3)</f>
        <v/>
      </c>
      <c r="IZ3" s="88" t="str">
        <f>IF(II3="","",II3)</f>
        <v/>
      </c>
      <c r="JA3" s="179" t="s">
        <v>7</v>
      </c>
      <c r="JB3" s="220"/>
      <c r="JC3" s="90" t="str">
        <f>IF(IL3="","",IL3)</f>
        <v>eval  M1</v>
      </c>
      <c r="JD3" s="87" t="str">
        <f>IF(IM3="","",IM3)</f>
        <v>eval M2</v>
      </c>
      <c r="JE3" s="88" t="str">
        <f>IF(IN3="","",IN3)</f>
        <v>fiche CH2/3</v>
      </c>
      <c r="JF3" s="196" t="s">
        <v>8</v>
      </c>
      <c r="JG3" s="221"/>
      <c r="JH3" s="90" t="str">
        <f>IF(IQ3="","",IQ3)</f>
        <v>Eval CH1</v>
      </c>
      <c r="JI3" s="87" t="str">
        <f>IF(IR3="","",IR3)</f>
        <v>Fiche CH2/2</v>
      </c>
      <c r="JJ3" s="88" t="str">
        <f>IF(IS3="","",IS3)</f>
        <v>Fiche CH2/1</v>
      </c>
      <c r="JK3" s="201" t="s">
        <v>9</v>
      </c>
      <c r="JL3" s="202"/>
      <c r="JM3" s="203" t="s">
        <v>10</v>
      </c>
      <c r="JN3" s="204"/>
      <c r="JO3" s="86" t="str">
        <f>IF(IX3="","",IX3)</f>
        <v/>
      </c>
      <c r="JP3" s="87" t="str">
        <f>IF(IY3="","",IY3)</f>
        <v/>
      </c>
      <c r="JQ3" s="88" t="str">
        <f>IF(IZ3="","",IZ3)</f>
        <v/>
      </c>
      <c r="JR3" s="179" t="s">
        <v>7</v>
      </c>
      <c r="JS3" s="220"/>
      <c r="JT3" s="90" t="str">
        <f>IF(JC3="","",JC3)</f>
        <v>eval  M1</v>
      </c>
      <c r="JU3" s="87" t="str">
        <f>IF(JD3="","",JD3)</f>
        <v>eval M2</v>
      </c>
      <c r="JV3" s="88" t="str">
        <f>IF(JE3="","",JE3)</f>
        <v>fiche CH2/3</v>
      </c>
      <c r="JW3" s="196" t="s">
        <v>8</v>
      </c>
      <c r="JX3" s="221"/>
      <c r="JY3" s="90" t="str">
        <f>IF(JH3="","",JH3)</f>
        <v>Eval CH1</v>
      </c>
      <c r="JZ3" s="87" t="str">
        <f>IF(JI3="","",JI3)</f>
        <v>Fiche CH2/2</v>
      </c>
      <c r="KA3" s="88" t="str">
        <f>IF(JJ3="","",JJ3)</f>
        <v>Fiche CH2/1</v>
      </c>
      <c r="KB3" s="201" t="s">
        <v>9</v>
      </c>
      <c r="KC3" s="202"/>
      <c r="KD3" s="203" t="s">
        <v>10</v>
      </c>
      <c r="KE3" s="204"/>
      <c r="KF3" s="86" t="str">
        <f>IF(JO3="","",JO3)</f>
        <v/>
      </c>
      <c r="KG3" s="87" t="str">
        <f>IF(JP3="","",JP3)</f>
        <v/>
      </c>
      <c r="KH3" s="88" t="str">
        <f>IF(JQ3="","",JQ3)</f>
        <v/>
      </c>
      <c r="KI3" s="179" t="s">
        <v>7</v>
      </c>
      <c r="KJ3" s="220"/>
      <c r="KK3" s="90" t="str">
        <f>IF(JT3="","",JT3)</f>
        <v>eval  M1</v>
      </c>
      <c r="KL3" s="87" t="str">
        <f>IF(JU3="","",JU3)</f>
        <v>eval M2</v>
      </c>
      <c r="KM3" s="88" t="str">
        <f>IF(JV3="","",JV3)</f>
        <v>fiche CH2/3</v>
      </c>
      <c r="KN3" s="196" t="s">
        <v>8</v>
      </c>
      <c r="KO3" s="221"/>
      <c r="KP3" s="90" t="str">
        <f>IF(JY3="","",JY3)</f>
        <v>Eval CH1</v>
      </c>
      <c r="KQ3" s="87" t="str">
        <f>IF(JZ3="","",JZ3)</f>
        <v>Fiche CH2/2</v>
      </c>
      <c r="KR3" s="88" t="str">
        <f>IF(KA3="","",KA3)</f>
        <v>Fiche CH2/1</v>
      </c>
      <c r="KS3" s="201" t="s">
        <v>9</v>
      </c>
      <c r="KT3" s="202"/>
      <c r="KU3" s="203" t="s">
        <v>10</v>
      </c>
      <c r="KV3" s="204"/>
      <c r="KW3" s="86" t="str">
        <f>IF(KF3="","",KF3)</f>
        <v/>
      </c>
      <c r="KX3" s="87" t="str">
        <f>IF(KG3="","",KG3)</f>
        <v/>
      </c>
      <c r="KY3" s="88" t="str">
        <f>IF(KH3="","",KH3)</f>
        <v/>
      </c>
      <c r="KZ3" s="179" t="s">
        <v>7</v>
      </c>
      <c r="LA3" s="220"/>
      <c r="LB3" s="90" t="str">
        <f>IF(KK3="","",KK3)</f>
        <v>eval  M1</v>
      </c>
      <c r="LC3" s="87" t="str">
        <f>IF(KL3="","",KL3)</f>
        <v>eval M2</v>
      </c>
      <c r="LD3" s="88" t="str">
        <f>IF(KM3="","",KM3)</f>
        <v>fiche CH2/3</v>
      </c>
      <c r="LE3" s="196" t="s">
        <v>8</v>
      </c>
      <c r="LF3" s="221"/>
      <c r="LG3" s="90" t="str">
        <f>IF(KP3="","",KP3)</f>
        <v>Eval CH1</v>
      </c>
      <c r="LH3" s="87" t="str">
        <f>IF(KQ3="","",KQ3)</f>
        <v>Fiche CH2/2</v>
      </c>
      <c r="LI3" s="88" t="str">
        <f>IF(KR3="","",KR3)</f>
        <v>Fiche CH2/1</v>
      </c>
      <c r="LJ3" s="201" t="s">
        <v>9</v>
      </c>
      <c r="LK3" s="202"/>
      <c r="LL3" s="203" t="s">
        <v>10</v>
      </c>
      <c r="LM3" s="204"/>
      <c r="LN3" s="86" t="str">
        <f>IF(KW3="","",KW3)</f>
        <v/>
      </c>
      <c r="LO3" s="87" t="str">
        <f>IF(KX3="","",KX3)</f>
        <v/>
      </c>
      <c r="LP3" s="88" t="str">
        <f>IF(KY3="","",KY3)</f>
        <v/>
      </c>
      <c r="LQ3" s="179" t="s">
        <v>7</v>
      </c>
      <c r="LR3" s="220"/>
      <c r="LS3" s="90" t="str">
        <f>IF(LB3="","",LB3)</f>
        <v>eval  M1</v>
      </c>
      <c r="LT3" s="87" t="str">
        <f>IF(LC3="","",LC3)</f>
        <v>eval M2</v>
      </c>
      <c r="LU3" s="88" t="str">
        <f>IF(LD3="","",LD3)</f>
        <v>fiche CH2/3</v>
      </c>
      <c r="LV3" s="196" t="s">
        <v>8</v>
      </c>
      <c r="LW3" s="221"/>
      <c r="LX3" s="90" t="str">
        <f>IF(LG3="","",LG3)</f>
        <v>Eval CH1</v>
      </c>
      <c r="LY3" s="87" t="str">
        <f>IF(LH3="","",LH3)</f>
        <v>Fiche CH2/2</v>
      </c>
      <c r="LZ3" s="88" t="str">
        <f>IF(LI3="","",LI3)</f>
        <v>Fiche CH2/1</v>
      </c>
      <c r="MA3" s="201" t="s">
        <v>9</v>
      </c>
      <c r="MB3" s="202"/>
      <c r="MC3" s="203" t="s">
        <v>10</v>
      </c>
      <c r="MD3" s="204"/>
      <c r="ME3" s="86" t="str">
        <f>IF(LN3="","",LN3)</f>
        <v/>
      </c>
      <c r="MF3" s="87" t="str">
        <f>IF(LO3="","",LO3)</f>
        <v/>
      </c>
      <c r="MG3" s="88" t="str">
        <f>IF(LP3="","",LP3)</f>
        <v/>
      </c>
      <c r="MH3" s="179" t="s">
        <v>7</v>
      </c>
      <c r="MI3" s="220"/>
      <c r="MJ3" s="90" t="str">
        <f>IF(LS3="","",LS3)</f>
        <v>eval  M1</v>
      </c>
      <c r="MK3" s="87" t="str">
        <f>IF(LT3="","",LT3)</f>
        <v>eval M2</v>
      </c>
      <c r="ML3" s="88" t="str">
        <f>IF(LU3="","",LU3)</f>
        <v>fiche CH2/3</v>
      </c>
      <c r="MM3" s="196" t="s">
        <v>8</v>
      </c>
      <c r="MN3" s="221"/>
      <c r="MO3" s="90" t="str">
        <f>IF(LX3="","",LX3)</f>
        <v>Eval CH1</v>
      </c>
      <c r="MP3" s="87" t="str">
        <f>IF(LY3="","",LY3)</f>
        <v>Fiche CH2/2</v>
      </c>
      <c r="MQ3" s="88" t="str">
        <f>IF(LZ3="","",LZ3)</f>
        <v>Fiche CH2/1</v>
      </c>
      <c r="MR3" s="201" t="s">
        <v>9</v>
      </c>
      <c r="MS3" s="202"/>
      <c r="MT3" s="203" t="s">
        <v>10</v>
      </c>
      <c r="MU3" s="204"/>
      <c r="MV3" s="86" t="str">
        <f>IF(ME3="","",ME3)</f>
        <v/>
      </c>
      <c r="MW3" s="87" t="str">
        <f>IF(MF3="","",MF3)</f>
        <v/>
      </c>
      <c r="MX3" s="88" t="str">
        <f>IF(MG3="","",MG3)</f>
        <v/>
      </c>
      <c r="MY3" s="179" t="s">
        <v>7</v>
      </c>
      <c r="MZ3" s="220"/>
      <c r="NA3" s="90" t="str">
        <f>IF(MJ3="","",MJ3)</f>
        <v>eval  M1</v>
      </c>
      <c r="NB3" s="87" t="str">
        <f>IF(MK3="","",MK3)</f>
        <v>eval M2</v>
      </c>
      <c r="NC3" s="88" t="str">
        <f>IF(ML3="","",ML3)</f>
        <v>fiche CH2/3</v>
      </c>
      <c r="ND3" s="196" t="s">
        <v>8</v>
      </c>
      <c r="NE3" s="221"/>
      <c r="NF3" s="90" t="str">
        <f>IF(MO3="","",MO3)</f>
        <v>Eval CH1</v>
      </c>
      <c r="NG3" s="87" t="str">
        <f>IF(MP3="","",MP3)</f>
        <v>Fiche CH2/2</v>
      </c>
      <c r="NH3" s="88" t="str">
        <f>IF(MQ3="","",MQ3)</f>
        <v>Fiche CH2/1</v>
      </c>
      <c r="NI3" s="201" t="s">
        <v>9</v>
      </c>
      <c r="NJ3" s="202"/>
      <c r="NK3" s="203" t="s">
        <v>10</v>
      </c>
      <c r="NL3" s="204"/>
      <c r="NM3" s="86" t="str">
        <f>IF(MV3="","",MV3)</f>
        <v/>
      </c>
      <c r="NN3" s="87" t="str">
        <f>IF(MW3="","",MW3)</f>
        <v/>
      </c>
      <c r="NO3" s="88" t="str">
        <f>IF(MX3="","",MX3)</f>
        <v/>
      </c>
      <c r="NP3" s="179" t="s">
        <v>7</v>
      </c>
      <c r="NQ3" s="220"/>
      <c r="NR3" s="90" t="str">
        <f>IF(NA3="","",NA3)</f>
        <v>eval  M1</v>
      </c>
      <c r="NS3" s="87" t="str">
        <f>IF(NB3="","",NB3)</f>
        <v>eval M2</v>
      </c>
      <c r="NT3" s="88" t="str">
        <f>IF(NC3="","",NC3)</f>
        <v>fiche CH2/3</v>
      </c>
      <c r="NU3" s="196" t="s">
        <v>8</v>
      </c>
      <c r="NV3" s="221"/>
      <c r="NW3" s="90" t="str">
        <f>IF(NF3="","",NF3)</f>
        <v>Eval CH1</v>
      </c>
      <c r="NX3" s="87" t="str">
        <f>IF(NG3="","",NG3)</f>
        <v>Fiche CH2/2</v>
      </c>
      <c r="NY3" s="88" t="str">
        <f>IF(NH3="","",NH3)</f>
        <v>Fiche CH2/1</v>
      </c>
      <c r="NZ3" s="201" t="s">
        <v>9</v>
      </c>
      <c r="OA3" s="202"/>
      <c r="OB3" s="203" t="s">
        <v>10</v>
      </c>
      <c r="OC3" s="204"/>
      <c r="OD3" s="86" t="str">
        <f>IF(NM3="","",NM3)</f>
        <v/>
      </c>
      <c r="OE3" s="87" t="str">
        <f>IF(NN3="","",NN3)</f>
        <v/>
      </c>
      <c r="OF3" s="88" t="str">
        <f>IF(NO3="","",NO3)</f>
        <v/>
      </c>
      <c r="OG3" s="179" t="s">
        <v>7</v>
      </c>
      <c r="OH3" s="220"/>
      <c r="OI3" s="90" t="str">
        <f>IF(NR3="","",NR3)</f>
        <v>eval  M1</v>
      </c>
      <c r="OJ3" s="87" t="str">
        <f>IF(NS3="","",NS3)</f>
        <v>eval M2</v>
      </c>
      <c r="OK3" s="88" t="str">
        <f>IF(NT3="","",NT3)</f>
        <v>fiche CH2/3</v>
      </c>
      <c r="OL3" s="196" t="s">
        <v>8</v>
      </c>
      <c r="OM3" s="221"/>
      <c r="ON3" s="90" t="str">
        <f>IF(NW3="","",NW3)</f>
        <v>Eval CH1</v>
      </c>
      <c r="OO3" s="87" t="str">
        <f>IF(NX3="","",NX3)</f>
        <v>Fiche CH2/2</v>
      </c>
      <c r="OP3" s="88" t="str">
        <f>IF(NY3="","",NY3)</f>
        <v>Fiche CH2/1</v>
      </c>
      <c r="OQ3" s="201" t="s">
        <v>9</v>
      </c>
      <c r="OR3" s="202"/>
      <c r="OS3" s="203" t="s">
        <v>10</v>
      </c>
      <c r="OT3" s="204"/>
      <c r="OU3" s="86" t="str">
        <f>IF(OD3="","",OD3)</f>
        <v/>
      </c>
      <c r="OV3" s="87" t="str">
        <f>IF(OE3="","",OE3)</f>
        <v/>
      </c>
      <c r="OW3" s="88" t="str">
        <f>IF(OF3="","",OF3)</f>
        <v/>
      </c>
      <c r="OX3" s="179" t="s">
        <v>7</v>
      </c>
      <c r="OY3" s="220"/>
      <c r="OZ3" s="90" t="str">
        <f>IF(OI3="","",OI3)</f>
        <v>eval  M1</v>
      </c>
      <c r="PA3" s="87" t="str">
        <f>IF(OJ3="","",OJ3)</f>
        <v>eval M2</v>
      </c>
      <c r="PB3" s="88" t="str">
        <f>IF(OK3="","",OK3)</f>
        <v>fiche CH2/3</v>
      </c>
      <c r="PC3" s="196" t="s">
        <v>8</v>
      </c>
      <c r="PD3" s="221"/>
      <c r="PE3" s="90" t="str">
        <f>IF(ON3="","",ON3)</f>
        <v>Eval CH1</v>
      </c>
      <c r="PF3" s="87" t="str">
        <f>IF(OO3="","",OO3)</f>
        <v>Fiche CH2/2</v>
      </c>
      <c r="PG3" s="88" t="str">
        <f>IF(OP3="","",OP3)</f>
        <v>Fiche CH2/1</v>
      </c>
      <c r="PH3" s="201" t="s">
        <v>9</v>
      </c>
      <c r="PI3" s="202"/>
      <c r="PJ3" s="203" t="s">
        <v>10</v>
      </c>
      <c r="PK3" s="204"/>
      <c r="PL3" s="86" t="str">
        <f>IF(OU3="","",OU3)</f>
        <v/>
      </c>
      <c r="PM3" s="87" t="str">
        <f>IF(OV3="","",OV3)</f>
        <v/>
      </c>
      <c r="PN3" s="88" t="str">
        <f>IF(OW3="","",OW3)</f>
        <v/>
      </c>
      <c r="PO3" s="179" t="s">
        <v>7</v>
      </c>
      <c r="PP3" s="220"/>
      <c r="PQ3" s="90" t="str">
        <f>IF(OZ3="","",OZ3)</f>
        <v>eval  M1</v>
      </c>
      <c r="PR3" s="87" t="str">
        <f>IF(PA3="","",PA3)</f>
        <v>eval M2</v>
      </c>
      <c r="PS3" s="88" t="str">
        <f>IF(PB3="","",PB3)</f>
        <v>fiche CH2/3</v>
      </c>
      <c r="PT3" s="196" t="s">
        <v>8</v>
      </c>
      <c r="PU3" s="221"/>
      <c r="PV3" s="90" t="str">
        <f>IF(PE3="","",PE3)</f>
        <v>Eval CH1</v>
      </c>
      <c r="PW3" s="87" t="str">
        <f>IF(PF3="","",PF3)</f>
        <v>Fiche CH2/2</v>
      </c>
      <c r="PX3" s="88" t="str">
        <f>IF(PG3="","",PG3)</f>
        <v>Fiche CH2/1</v>
      </c>
      <c r="PY3" s="201" t="s">
        <v>9</v>
      </c>
      <c r="PZ3" s="202"/>
      <c r="QA3" s="203" t="s">
        <v>10</v>
      </c>
      <c r="QB3" s="204"/>
      <c r="QC3" s="86" t="str">
        <f>IF(PL3="","",PL3)</f>
        <v/>
      </c>
      <c r="QD3" s="87" t="str">
        <f>IF(PM3="","",PM3)</f>
        <v/>
      </c>
      <c r="QE3" s="88" t="str">
        <f>IF(PN3="","",PN3)</f>
        <v/>
      </c>
      <c r="QF3" s="179" t="s">
        <v>7</v>
      </c>
      <c r="QG3" s="220"/>
      <c r="QH3" s="90" t="str">
        <f>IF(PQ3="","",PQ3)</f>
        <v>eval  M1</v>
      </c>
      <c r="QI3" s="87" t="str">
        <f>IF(PR3="","",PR3)</f>
        <v>eval M2</v>
      </c>
      <c r="QJ3" s="88" t="str">
        <f>IF(PS3="","",PS3)</f>
        <v>fiche CH2/3</v>
      </c>
      <c r="QK3" s="196" t="s">
        <v>8</v>
      </c>
      <c r="QL3" s="221"/>
      <c r="QM3" s="90" t="str">
        <f>IF(PV3="","",PV3)</f>
        <v>Eval CH1</v>
      </c>
      <c r="QN3" s="87" t="str">
        <f>IF(PW3="","",PW3)</f>
        <v>Fiche CH2/2</v>
      </c>
      <c r="QO3" s="88" t="str">
        <f>IF(PX3="","",PX3)</f>
        <v>Fiche CH2/1</v>
      </c>
      <c r="QP3" s="201" t="s">
        <v>9</v>
      </c>
      <c r="QQ3" s="202"/>
      <c r="QR3" s="203" t="s">
        <v>10</v>
      </c>
      <c r="QS3" s="204"/>
      <c r="QT3" s="86" t="str">
        <f>IF(QC3="","",QC3)</f>
        <v/>
      </c>
      <c r="QU3" s="87" t="str">
        <f>IF(QD3="","",QD3)</f>
        <v/>
      </c>
      <c r="QV3" s="88" t="str">
        <f>IF(QE3="","",QE3)</f>
        <v/>
      </c>
      <c r="QW3" s="179" t="s">
        <v>7</v>
      </c>
      <c r="QX3" s="220"/>
      <c r="QY3" s="90" t="str">
        <f>IF(QH3="","",QH3)</f>
        <v>eval  M1</v>
      </c>
      <c r="QZ3" s="87" t="str">
        <f>IF(QI3="","",QI3)</f>
        <v>eval M2</v>
      </c>
      <c r="RA3" s="88" t="str">
        <f>IF(QJ3="","",QJ3)</f>
        <v>fiche CH2/3</v>
      </c>
      <c r="RB3" s="196" t="s">
        <v>8</v>
      </c>
      <c r="RC3" s="221"/>
      <c r="RD3" s="90" t="str">
        <f>IF(QM3="","",QM3)</f>
        <v>Eval CH1</v>
      </c>
      <c r="RE3" s="87" t="str">
        <f>IF(QN3="","",QN3)</f>
        <v>Fiche CH2/2</v>
      </c>
      <c r="RF3" s="88" t="str">
        <f>IF(QO3="","",QO3)</f>
        <v>Fiche CH2/1</v>
      </c>
      <c r="RG3" s="201" t="s">
        <v>9</v>
      </c>
      <c r="RH3" s="202"/>
      <c r="RI3" s="203" t="s">
        <v>10</v>
      </c>
      <c r="RJ3" s="204"/>
      <c r="RK3" s="86" t="str">
        <f>IF(QT3="","",QT3)</f>
        <v/>
      </c>
      <c r="RL3" s="87" t="str">
        <f>IF(QU3="","",QU3)</f>
        <v/>
      </c>
      <c r="RM3" s="88" t="str">
        <f>IF(QV3="","",QV3)</f>
        <v/>
      </c>
      <c r="RN3" s="179" t="s">
        <v>7</v>
      </c>
      <c r="RO3" s="220"/>
      <c r="RP3" s="90" t="str">
        <f>IF(QY3="","",QY3)</f>
        <v>eval  M1</v>
      </c>
      <c r="RQ3" s="87" t="str">
        <f>IF(QZ3="","",QZ3)</f>
        <v>eval M2</v>
      </c>
      <c r="RR3" s="88" t="str">
        <f>IF(RA3="","",RA3)</f>
        <v>fiche CH2/3</v>
      </c>
      <c r="RS3" s="196" t="s">
        <v>8</v>
      </c>
      <c r="RT3" s="221"/>
      <c r="RU3" s="90" t="str">
        <f>IF(RD3="","",RD3)</f>
        <v>Eval CH1</v>
      </c>
      <c r="RV3" s="87" t="str">
        <f>IF(RE3="","",RE3)</f>
        <v>Fiche CH2/2</v>
      </c>
      <c r="RW3" s="88" t="str">
        <f>IF(RF3="","",RF3)</f>
        <v>Fiche CH2/1</v>
      </c>
      <c r="RX3" s="201" t="s">
        <v>9</v>
      </c>
      <c r="RY3" s="202"/>
      <c r="RZ3" s="203" t="s">
        <v>10</v>
      </c>
      <c r="SA3" s="204"/>
      <c r="SB3" s="86" t="str">
        <f>IF(RK3="","",RK3)</f>
        <v/>
      </c>
      <c r="SC3" s="87" t="str">
        <f>IF(RL3="","",RL3)</f>
        <v/>
      </c>
      <c r="SD3" s="88" t="str">
        <f>IF(RM3="","",RM3)</f>
        <v/>
      </c>
      <c r="SE3" s="179" t="s">
        <v>7</v>
      </c>
      <c r="SF3" s="220"/>
      <c r="SG3" s="90" t="str">
        <f>IF(RP3="","",RP3)</f>
        <v>eval  M1</v>
      </c>
      <c r="SH3" s="87" t="str">
        <f>IF(RQ3="","",RQ3)</f>
        <v>eval M2</v>
      </c>
      <c r="SI3" s="88" t="str">
        <f>IF(RR3="","",RR3)</f>
        <v>fiche CH2/3</v>
      </c>
      <c r="SJ3" s="196" t="s">
        <v>8</v>
      </c>
      <c r="SK3" s="221"/>
      <c r="SL3" s="90" t="str">
        <f>IF(RU3="","",RU3)</f>
        <v>Eval CH1</v>
      </c>
      <c r="SM3" s="87" t="str">
        <f>IF(RV3="","",RV3)</f>
        <v>Fiche CH2/2</v>
      </c>
      <c r="SN3" s="88" t="str">
        <f>IF(RW3="","",RW3)</f>
        <v>Fiche CH2/1</v>
      </c>
      <c r="SO3" s="201" t="s">
        <v>9</v>
      </c>
      <c r="SP3" s="202"/>
      <c r="SQ3" s="203" t="s">
        <v>10</v>
      </c>
      <c r="SR3" s="204"/>
      <c r="SS3" s="86" t="str">
        <f>IF(SB3="","",SB3)</f>
        <v/>
      </c>
      <c r="ST3" s="87" t="str">
        <f>IF(SC3="","",SC3)</f>
        <v/>
      </c>
      <c r="SU3" s="88" t="str">
        <f>IF(SD3="","",SD3)</f>
        <v/>
      </c>
      <c r="SV3" s="179" t="s">
        <v>7</v>
      </c>
      <c r="SW3" s="220"/>
      <c r="SX3" s="90" t="str">
        <f>IF(SG3="","",SG3)</f>
        <v>eval  M1</v>
      </c>
      <c r="SY3" s="87" t="str">
        <f>IF(SH3="","",SH3)</f>
        <v>eval M2</v>
      </c>
      <c r="SZ3" s="88" t="str">
        <f>IF(SI3="","",SI3)</f>
        <v>fiche CH2/3</v>
      </c>
      <c r="TA3" s="196" t="s">
        <v>8</v>
      </c>
      <c r="TB3" s="221"/>
      <c r="TC3" s="90" t="str">
        <f>IF(SL3="","",SL3)</f>
        <v>Eval CH1</v>
      </c>
      <c r="TD3" s="87" t="str">
        <f>IF(SM3="","",SM3)</f>
        <v>Fiche CH2/2</v>
      </c>
      <c r="TE3" s="88" t="str">
        <f>IF(SN3="","",SN3)</f>
        <v>Fiche CH2/1</v>
      </c>
      <c r="TF3" s="201" t="s">
        <v>9</v>
      </c>
      <c r="TG3" s="202"/>
      <c r="TH3" s="203" t="s">
        <v>10</v>
      </c>
      <c r="TI3" s="204"/>
      <c r="TJ3" s="86" t="str">
        <f>IF(SS3="","",SS3)</f>
        <v/>
      </c>
      <c r="TK3" s="87" t="str">
        <f>IF(ST3="","",ST3)</f>
        <v/>
      </c>
      <c r="TL3" s="88" t="str">
        <f>IF(SU3="","",SU3)</f>
        <v/>
      </c>
      <c r="TM3" s="179" t="s">
        <v>7</v>
      </c>
      <c r="TN3" s="220"/>
      <c r="TO3" s="90" t="str">
        <f>IF(SX3="","",SX3)</f>
        <v>eval  M1</v>
      </c>
      <c r="TP3" s="87" t="str">
        <f>IF(SY3="","",SY3)</f>
        <v>eval M2</v>
      </c>
      <c r="TQ3" s="88" t="str">
        <f>IF(SZ3="","",SZ3)</f>
        <v>fiche CH2/3</v>
      </c>
      <c r="TR3" s="196" t="s">
        <v>8</v>
      </c>
      <c r="TS3" s="221"/>
      <c r="TT3" s="90" t="str">
        <f>IF(TC3="","",TC3)</f>
        <v>Eval CH1</v>
      </c>
      <c r="TU3" s="87" t="str">
        <f>IF(TD3="","",TD3)</f>
        <v>Fiche CH2/2</v>
      </c>
      <c r="TV3" s="88" t="str">
        <f>IF(TE3="","",TE3)</f>
        <v>Fiche CH2/1</v>
      </c>
      <c r="TW3" s="201" t="s">
        <v>9</v>
      </c>
      <c r="TX3" s="202"/>
      <c r="TY3" s="203" t="s">
        <v>10</v>
      </c>
      <c r="TZ3" s="204"/>
    </row>
    <row r="4" spans="1:546" s="98" customFormat="1" ht="27.75" customHeight="1" thickBot="1" x14ac:dyDescent="0.3">
      <c r="A4" s="162" t="s">
        <v>11</v>
      </c>
      <c r="B4" s="92">
        <v>1</v>
      </c>
      <c r="C4" s="165"/>
      <c r="D4" s="126"/>
      <c r="E4" s="127"/>
      <c r="F4" s="181" t="str">
        <f>IF(COUNT(F5:F6)=0,"",SUM(F5:F6)/COUNT(F5:F6))</f>
        <v/>
      </c>
      <c r="G4" s="182" t="str">
        <f t="shared" ref="G4:G20" si="0">IF(F4="","",IF(F4&gt;3.7,"A",IF(F4&gt;2.8,"B",IF(F4&gt;1.5,"C",IF(F4&gt;0,"D",IF(F4=0,""))))))</f>
        <v/>
      </c>
      <c r="H4" s="165"/>
      <c r="I4" s="126"/>
      <c r="J4" s="127"/>
      <c r="K4" s="181">
        <f>IF(COUNT(K5:K6)=0,"",SUM(K5:K6)/COUNT(K5:K6))</f>
        <v>3.25</v>
      </c>
      <c r="L4" s="198" t="str">
        <f t="shared" ref="L4:L20" si="1">IF(K4="","",IF(K4&gt;3.7,"A",IF(K4&gt;2.8,"B",IF(K4&gt;1.5,"C",IF(K4&gt;0,"D",IF(K4=0,""))))))</f>
        <v>B</v>
      </c>
      <c r="M4" s="176"/>
      <c r="N4" s="113"/>
      <c r="O4" s="114"/>
      <c r="P4" s="181">
        <f>IF(COUNT(P5:P6)=0,"",SUM(P5:P6)/COUNT(P5:P6))</f>
        <v>4</v>
      </c>
      <c r="Q4" s="205" t="str">
        <f t="shared" ref="Q4:Q20" si="2">IF(P4="","",IF(P4&gt;3.7,"A",IF(P4&gt;2.8,"B",IF(P4&gt;1.5,"C",IF(P4&gt;0,"D",IF(P4=0,""))))))</f>
        <v>A</v>
      </c>
      <c r="R4" s="181">
        <f>IF(COUNT(R5:R6)=0,"",SUM(R5:R6)/COUNT(R5:R6))</f>
        <v>3.5</v>
      </c>
      <c r="S4" s="206" t="str">
        <f t="shared" ref="S4:S20" si="3">IF(R4="","",IF(R4&gt;3.7,"A",IF(R4&gt;2.8,"B",IF(R4&gt;1.5,"C",IF(R4&gt;0,"D",IF(R4=0,""))))))</f>
        <v>B</v>
      </c>
      <c r="T4" s="216"/>
      <c r="U4" s="126"/>
      <c r="V4" s="127"/>
      <c r="W4" s="181" t="str">
        <f>IF(COUNT(W5:W6)=0,"",SUM(W5:W6)/COUNT(W5:W6))</f>
        <v/>
      </c>
      <c r="X4" s="182" t="str">
        <f t="shared" ref="X4:X20" si="4">IF(W4="","",IF(W4&gt;3.7,"A",IF(W4&gt;2.8,"B",IF(W4&gt;1.5,"C",IF(W4&gt;0,"D",IF(W4=0,""))))))</f>
        <v/>
      </c>
      <c r="Y4" s="165"/>
      <c r="Z4" s="126"/>
      <c r="AA4" s="127"/>
      <c r="AB4" s="181">
        <f>IF(COUNT(AB5:AB6)=0,"",SUM(AB5:AB6)/COUNT(AB5:AB6))</f>
        <v>4</v>
      </c>
      <c r="AC4" s="198" t="str">
        <f t="shared" ref="AC4:AC20" si="5">IF(AB4="","",IF(AB4&gt;3.7,"A",IF(AB4&gt;2.8,"B",IF(AB4&gt;1.5,"C",IF(AB4&gt;0,"D",IF(AB4=0,""))))))</f>
        <v>A</v>
      </c>
      <c r="AD4" s="176"/>
      <c r="AE4" s="113"/>
      <c r="AF4" s="114"/>
      <c r="AG4" s="181">
        <f>IF(COUNT(AG5:AG6)=0,"",SUM(AG5:AG6)/COUNT(AG5:AG6))</f>
        <v>4</v>
      </c>
      <c r="AH4" s="205" t="str">
        <f t="shared" ref="AH4:AH20" si="6">IF(AG4="","",IF(AG4&gt;3.7,"A",IF(AG4&gt;2.8,"B",IF(AG4&gt;1.5,"C",IF(AG4&gt;0,"D",IF(AG4=0,""))))))</f>
        <v>A</v>
      </c>
      <c r="AI4" s="181">
        <f>IF(COUNT(AI5:AI6)=0,"",SUM(AI5:AI6)/COUNT(AI5:AI6))</f>
        <v>4</v>
      </c>
      <c r="AJ4" s="206" t="str">
        <f t="shared" ref="AJ4:AJ20" si="7">IF(AI4="","",IF(AI4&gt;3.7,"A",IF(AI4&gt;2.8,"B",IF(AI4&gt;1.5,"C",IF(AI4&gt;0,"D",IF(AI4=0,""))))))</f>
        <v>A</v>
      </c>
      <c r="AK4" s="216"/>
      <c r="AL4" s="126"/>
      <c r="AM4" s="127"/>
      <c r="AN4" s="181" t="str">
        <f>IF(COUNT(AN5:AN6)=0,"",SUM(AN5:AN6)/COUNT(AN5:AN6))</f>
        <v/>
      </c>
      <c r="AO4" s="182" t="str">
        <f t="shared" ref="AO4:AO20" si="8">IF(AN4="","",IF(AN4&gt;3.7,"A",IF(AN4&gt;2.8,"B",IF(AN4&gt;1.5,"C",IF(AN4&gt;0,"D",IF(AN4=0,""))))))</f>
        <v/>
      </c>
      <c r="AP4" s="165"/>
      <c r="AQ4" s="126"/>
      <c r="AR4" s="127"/>
      <c r="AS4" s="181">
        <f>IF(COUNT(AS5:AS6)=0,"",SUM(AS5:AS6)/COUNT(AS5:AS6))</f>
        <v>3.5</v>
      </c>
      <c r="AT4" s="198" t="str">
        <f t="shared" ref="AT4:AT20" si="9">IF(AS4="","",IF(AS4&gt;3.7,"A",IF(AS4&gt;2.8,"B",IF(AS4&gt;1.5,"C",IF(AS4&gt;0,"D",IF(AS4=0,""))))))</f>
        <v>B</v>
      </c>
      <c r="AU4" s="176"/>
      <c r="AV4" s="113"/>
      <c r="AW4" s="114"/>
      <c r="AX4" s="181">
        <f>IF(COUNT(AX5:AX6)=0,"",SUM(AX5:AX6)/COUNT(AX5:AX6))</f>
        <v>4</v>
      </c>
      <c r="AY4" s="205" t="str">
        <f t="shared" ref="AY4:AY20" si="10">IF(AX4="","",IF(AX4&gt;3.7,"A",IF(AX4&gt;2.8,"B",IF(AX4&gt;1.5,"C",IF(AX4&gt;0,"D",IF(AX4=0,""))))))</f>
        <v>A</v>
      </c>
      <c r="AZ4" s="181">
        <f>IF(COUNT(AZ5:AZ6)=0,"",SUM(AZ5:AZ6)/COUNT(AZ5:AZ6))</f>
        <v>3.5</v>
      </c>
      <c r="BA4" s="206" t="str">
        <f t="shared" ref="BA4:BA20" si="11">IF(AZ4="","",IF(AZ4&gt;3.7,"A",IF(AZ4&gt;2.8,"B",IF(AZ4&gt;1.5,"C",IF(AZ4&gt;0,"D",IF(AZ4=0,""))))))</f>
        <v>B</v>
      </c>
      <c r="BB4" s="216"/>
      <c r="BC4" s="126"/>
      <c r="BD4" s="127"/>
      <c r="BE4" s="181" t="str">
        <f>IF(COUNT(BE5:BE6)=0,"",SUM(BE5:BE6)/COUNT(BE5:BE6))</f>
        <v/>
      </c>
      <c r="BF4" s="182" t="str">
        <f t="shared" ref="BF4:BF20" si="12">IF(BE4="","",IF(BE4&gt;3.7,"A",IF(BE4&gt;2.8,"B",IF(BE4&gt;1.5,"C",IF(BE4&gt;0,"D",IF(BE4=0,""))))))</f>
        <v/>
      </c>
      <c r="BG4" s="165"/>
      <c r="BH4" s="126"/>
      <c r="BI4" s="127"/>
      <c r="BJ4" s="181">
        <f>IF(COUNT(BJ5:BJ6)=0,"",SUM(BJ5:BJ6)/COUNT(BJ5:BJ6))</f>
        <v>3.5</v>
      </c>
      <c r="BK4" s="198" t="str">
        <f t="shared" ref="BK4:BK20" si="13">IF(BJ4="","",IF(BJ4&gt;3.7,"A",IF(BJ4&gt;2.8,"B",IF(BJ4&gt;1.5,"C",IF(BJ4&gt;0,"D",IF(BJ4=0,""))))))</f>
        <v>B</v>
      </c>
      <c r="BL4" s="176"/>
      <c r="BM4" s="113"/>
      <c r="BN4" s="114"/>
      <c r="BO4" s="181">
        <f>IF(COUNT(BO5:BO6)=0,"",SUM(BO5:BO6)/COUNT(BO5:BO6))</f>
        <v>3</v>
      </c>
      <c r="BP4" s="205" t="str">
        <f t="shared" ref="BP4:BP20" si="14">IF(BO4="","",IF(BO4&gt;3.7,"A",IF(BO4&gt;2.8,"B",IF(BO4&gt;1.5,"C",IF(BO4&gt;0,"D",IF(BO4=0,""))))))</f>
        <v>B</v>
      </c>
      <c r="BQ4" s="181">
        <f>IF(COUNT(BQ5:BQ6)=0,"",SUM(BQ5:BQ6)/COUNT(BQ5:BQ6))</f>
        <v>3.25</v>
      </c>
      <c r="BR4" s="206" t="str">
        <f t="shared" ref="BR4:BR20" si="15">IF(BQ4="","",IF(BQ4&gt;3.7,"A",IF(BQ4&gt;2.8,"B",IF(BQ4&gt;1.5,"C",IF(BQ4&gt;0,"D",IF(BQ4=0,""))))))</f>
        <v>B</v>
      </c>
      <c r="BS4" s="216"/>
      <c r="BT4" s="126"/>
      <c r="BU4" s="127"/>
      <c r="BV4" s="181" t="str">
        <f>IF(COUNT(BV5:BV6)=0,"",SUM(BV5:BV6)/COUNT(BV5:BV6))</f>
        <v/>
      </c>
      <c r="BW4" s="182" t="str">
        <f t="shared" ref="BW4:BW20" si="16">IF(BV4="","",IF(BV4&gt;3.7,"A",IF(BV4&gt;2.8,"B",IF(BV4&gt;1.5,"C",IF(BV4&gt;0,"D",IF(BV4=0,""))))))</f>
        <v/>
      </c>
      <c r="BX4" s="165"/>
      <c r="BY4" s="126"/>
      <c r="BZ4" s="127"/>
      <c r="CA4" s="181">
        <f>IF(COUNT(CA5:CA6)=0,"",SUM(CA5:CA6)/COUNT(CA5:CA6))</f>
        <v>2</v>
      </c>
      <c r="CB4" s="198" t="str">
        <f t="shared" ref="CB4:CB20" si="17">IF(CA4="","",IF(CA4&gt;3.7,"A",IF(CA4&gt;2.8,"B",IF(CA4&gt;1.5,"C",IF(CA4&gt;0,"D",IF(CA4=0,""))))))</f>
        <v>C</v>
      </c>
      <c r="CC4" s="176"/>
      <c r="CD4" s="113"/>
      <c r="CE4" s="114"/>
      <c r="CF4" s="181">
        <f>IF(COUNT(CF5:CF6)=0,"",SUM(CF5:CF6)/COUNT(CF5:CF6))</f>
        <v>4</v>
      </c>
      <c r="CG4" s="205" t="str">
        <f t="shared" ref="CG4:CG20" si="18">IF(CF4="","",IF(CF4&gt;3.7,"A",IF(CF4&gt;2.8,"B",IF(CF4&gt;1.5,"C",IF(CF4&gt;0,"D",IF(CF4=0,""))))))</f>
        <v>A</v>
      </c>
      <c r="CH4" s="181">
        <f>IF(COUNT(CH5:CH6)=0,"",SUM(CH5:CH6)/COUNT(CH5:CH6))</f>
        <v>2.5</v>
      </c>
      <c r="CI4" s="206" t="str">
        <f t="shared" ref="CI4:CI20" si="19">IF(CH4="","",IF(CH4&gt;3.7,"A",IF(CH4&gt;2.8,"B",IF(CH4&gt;1.5,"C",IF(CH4&gt;0,"D",IF(CH4=0,""))))))</f>
        <v>C</v>
      </c>
      <c r="CJ4" s="216"/>
      <c r="CK4" s="126"/>
      <c r="CL4" s="127"/>
      <c r="CM4" s="181" t="str">
        <f>IF(COUNT(CM5:CM6)=0,"",SUM(CM5:CM6)/COUNT(CM5:CM6))</f>
        <v/>
      </c>
      <c r="CN4" s="182" t="str">
        <f t="shared" ref="CN4:CN20" si="20">IF(CM4="","",IF(CM4&gt;3.7,"A",IF(CM4&gt;2.8,"B",IF(CM4&gt;1.5,"C",IF(CM4&gt;0,"D",IF(CM4=0,""))))))</f>
        <v/>
      </c>
      <c r="CO4" s="165"/>
      <c r="CP4" s="126"/>
      <c r="CQ4" s="127"/>
      <c r="CR4" s="181">
        <f>IF(COUNT(CR5:CR6)=0,"",SUM(CR5:CR6)/COUNT(CR5:CR6))</f>
        <v>2.5</v>
      </c>
      <c r="CS4" s="198" t="str">
        <f t="shared" ref="CS4:CS20" si="21">IF(CR4="","",IF(CR4&gt;3.7,"A",IF(CR4&gt;2.8,"B",IF(CR4&gt;1.5,"C",IF(CR4&gt;0,"D",IF(CR4=0,""))))))</f>
        <v>C</v>
      </c>
      <c r="CT4" s="176"/>
      <c r="CU4" s="113"/>
      <c r="CV4" s="114"/>
      <c r="CW4" s="181" t="str">
        <f>IF(COUNT(CW5:CW6)=0,"",SUM(CW5:CW6)/COUNT(CW5:CW6))</f>
        <v/>
      </c>
      <c r="CX4" s="205" t="str">
        <f t="shared" ref="CX4:CX20" si="22">IF(CW4="","",IF(CW4&gt;3.7,"A",IF(CW4&gt;2.8,"B",IF(CW4&gt;1.5,"C",IF(CW4&gt;0,"D",IF(CW4=0,""))))))</f>
        <v/>
      </c>
      <c r="CY4" s="181">
        <f>IF(COUNT(CY5:CY6)=0,"",SUM(CY5:CY6)/COUNT(CY5:CY6))</f>
        <v>2.5</v>
      </c>
      <c r="CZ4" s="206" t="str">
        <f t="shared" ref="CZ4:CZ20" si="23">IF(CY4="","",IF(CY4&gt;3.7,"A",IF(CY4&gt;2.8,"B",IF(CY4&gt;1.5,"C",IF(CY4&gt;0,"D",IF(CY4=0,""))))))</f>
        <v>C</v>
      </c>
      <c r="DA4" s="216"/>
      <c r="DB4" s="126"/>
      <c r="DC4" s="127"/>
      <c r="DD4" s="181" t="str">
        <f>IF(COUNT(DD5:DD6)=0,"",SUM(DD5:DD6)/COUNT(DD5:DD6))</f>
        <v/>
      </c>
      <c r="DE4" s="182" t="str">
        <f t="shared" ref="DE4:DE20" si="24">IF(DD4="","",IF(DD4&gt;3.7,"A",IF(DD4&gt;2.8,"B",IF(DD4&gt;1.5,"C",IF(DD4&gt;0,"D",IF(DD4=0,""))))))</f>
        <v/>
      </c>
      <c r="DF4" s="165"/>
      <c r="DG4" s="126"/>
      <c r="DH4" s="127"/>
      <c r="DI4" s="181">
        <f>IF(COUNT(DI5:DI6)=0,"",SUM(DI5:DI6)/COUNT(DI5:DI6))</f>
        <v>2.75</v>
      </c>
      <c r="DJ4" s="198" t="str">
        <f t="shared" ref="DJ4:DJ20" si="25">IF(DI4="","",IF(DI4&gt;3.7,"A",IF(DI4&gt;2.8,"B",IF(DI4&gt;1.5,"C",IF(DI4&gt;0,"D",IF(DI4=0,""))))))</f>
        <v>C</v>
      </c>
      <c r="DK4" s="176"/>
      <c r="DL4" s="113"/>
      <c r="DM4" s="114"/>
      <c r="DN4" s="181">
        <f>IF(COUNT(DN5:DN6)=0,"",SUM(DN5:DN6)/COUNT(DN5:DN6))</f>
        <v>4</v>
      </c>
      <c r="DO4" s="205" t="str">
        <f t="shared" ref="DO4:DO20" si="26">IF(DN4="","",IF(DN4&gt;3.7,"A",IF(DN4&gt;2.8,"B",IF(DN4&gt;1.5,"C",IF(DN4&gt;0,"D",IF(DN4=0,""))))))</f>
        <v>A</v>
      </c>
      <c r="DP4" s="181">
        <f>IF(COUNT(DP5:DP6)=0,"",SUM(DP5:DP6)/COUNT(DP5:DP6))</f>
        <v>3</v>
      </c>
      <c r="DQ4" s="206" t="str">
        <f t="shared" ref="DQ4:DQ20" si="27">IF(DP4="","",IF(DP4&gt;3.7,"A",IF(DP4&gt;2.8,"B",IF(DP4&gt;1.5,"C",IF(DP4&gt;0,"D",IF(DP4=0,""))))))</f>
        <v>B</v>
      </c>
      <c r="DR4" s="216"/>
      <c r="DS4" s="126"/>
      <c r="DT4" s="127"/>
      <c r="DU4" s="181" t="str">
        <f>IF(COUNT(DU5:DU6)=0,"",SUM(DU5:DU6)/COUNT(DU5:DU6))</f>
        <v/>
      </c>
      <c r="DV4" s="182" t="str">
        <f t="shared" ref="DV4:DV20" si="28">IF(DU4="","",IF(DU4&gt;3.7,"A",IF(DU4&gt;2.8,"B",IF(DU4&gt;1.5,"C",IF(DU4&gt;0,"D",IF(DU4=0,""))))))</f>
        <v/>
      </c>
      <c r="DW4" s="165"/>
      <c r="DX4" s="126"/>
      <c r="DY4" s="127"/>
      <c r="DZ4" s="181">
        <f>IF(COUNT(DZ5:DZ6)=0,"",SUM(DZ5:DZ6)/COUNT(DZ5:DZ6))</f>
        <v>3.5</v>
      </c>
      <c r="EA4" s="198" t="str">
        <f t="shared" ref="EA4:EA20" si="29">IF(DZ4="","",IF(DZ4&gt;3.7,"A",IF(DZ4&gt;2.8,"B",IF(DZ4&gt;1.5,"C",IF(DZ4&gt;0,"D",IF(DZ4=0,""))))))</f>
        <v>B</v>
      </c>
      <c r="EB4" s="176"/>
      <c r="EC4" s="113"/>
      <c r="ED4" s="114"/>
      <c r="EE4" s="181">
        <f>IF(COUNT(EE5:EE6)=0,"",SUM(EE5:EE6)/COUNT(EE5:EE6))</f>
        <v>4</v>
      </c>
      <c r="EF4" s="205" t="str">
        <f t="shared" ref="EF4:EF20" si="30">IF(EE4="","",IF(EE4&gt;3.7,"A",IF(EE4&gt;2.8,"B",IF(EE4&gt;1.5,"C",IF(EE4&gt;0,"D",IF(EE4=0,""))))))</f>
        <v>A</v>
      </c>
      <c r="EG4" s="181">
        <f>IF(COUNT(EG5:EG6)=0,"",SUM(EG5:EG6)/COUNT(EG5:EG6))</f>
        <v>3.5</v>
      </c>
      <c r="EH4" s="206" t="str">
        <f t="shared" ref="EH4:EH20" si="31">IF(EG4="","",IF(EG4&gt;3.7,"A",IF(EG4&gt;2.8,"B",IF(EG4&gt;1.5,"C",IF(EG4&gt;0,"D",IF(EG4=0,""))))))</f>
        <v>B</v>
      </c>
      <c r="EI4" s="216"/>
      <c r="EJ4" s="126"/>
      <c r="EK4" s="127"/>
      <c r="EL4" s="181" t="str">
        <f>IF(COUNT(EL5:EL6)=0,"",SUM(EL5:EL6)/COUNT(EL5:EL6))</f>
        <v/>
      </c>
      <c r="EM4" s="182" t="str">
        <f t="shared" ref="EM4:EM20" si="32">IF(EL4="","",IF(EL4&gt;3.7,"A",IF(EL4&gt;2.8,"B",IF(EL4&gt;1.5,"C",IF(EL4&gt;0,"D",IF(EL4=0,""))))))</f>
        <v/>
      </c>
      <c r="EN4" s="165"/>
      <c r="EO4" s="126"/>
      <c r="EP4" s="127"/>
      <c r="EQ4" s="181">
        <f>IF(COUNT(EQ5:EQ6)=0,"",SUM(EQ5:EQ6)/COUNT(EQ5:EQ6))</f>
        <v>3.25</v>
      </c>
      <c r="ER4" s="198" t="str">
        <f t="shared" ref="ER4:ER20" si="33">IF(EQ4="","",IF(EQ4&gt;3.7,"A",IF(EQ4&gt;2.8,"B",IF(EQ4&gt;1.5,"C",IF(EQ4&gt;0,"D",IF(EQ4=0,""))))))</f>
        <v>B</v>
      </c>
      <c r="ES4" s="176"/>
      <c r="ET4" s="113"/>
      <c r="EU4" s="114"/>
      <c r="EV4" s="181">
        <f>IF(COUNT(EV5:EV6)=0,"",SUM(EV5:EV6)/COUNT(EV5:EV6))</f>
        <v>4</v>
      </c>
      <c r="EW4" s="205" t="str">
        <f t="shared" ref="EW4:EW20" si="34">IF(EV4="","",IF(EV4&gt;3.7,"A",IF(EV4&gt;2.8,"B",IF(EV4&gt;1.5,"C",IF(EV4&gt;0,"D",IF(EV4=0,""))))))</f>
        <v>A</v>
      </c>
      <c r="EX4" s="181">
        <f>IF(COUNT(EX5:EX6)=0,"",SUM(EX5:EX6)/COUNT(EX5:EX6))</f>
        <v>3.25</v>
      </c>
      <c r="EY4" s="206" t="str">
        <f t="shared" ref="EY4:EY20" si="35">IF(EX4="","",IF(EX4&gt;3.7,"A",IF(EX4&gt;2.8,"B",IF(EX4&gt;1.5,"C",IF(EX4&gt;0,"D",IF(EX4=0,""))))))</f>
        <v>B</v>
      </c>
      <c r="EZ4" s="216"/>
      <c r="FA4" s="126"/>
      <c r="FB4" s="127"/>
      <c r="FC4" s="181" t="str">
        <f>IF(COUNT(FC5:FC6)=0,"",SUM(FC5:FC6)/COUNT(FC5:FC6))</f>
        <v/>
      </c>
      <c r="FD4" s="182" t="str">
        <f t="shared" ref="FD4:FD20" si="36">IF(FC4="","",IF(FC4&gt;3.7,"A",IF(FC4&gt;2.8,"B",IF(FC4&gt;1.5,"C",IF(FC4&gt;0,"D",IF(FC4=0,""))))))</f>
        <v/>
      </c>
      <c r="FE4" s="165"/>
      <c r="FF4" s="126"/>
      <c r="FG4" s="127"/>
      <c r="FH4" s="181">
        <f>IF(COUNT(FH5:FH6)=0,"",SUM(FH5:FH6)/COUNT(FH5:FH6))</f>
        <v>3.75</v>
      </c>
      <c r="FI4" s="198" t="str">
        <f t="shared" ref="FI4:FI20" si="37">IF(FH4="","",IF(FH4&gt;3.7,"A",IF(FH4&gt;2.8,"B",IF(FH4&gt;1.5,"C",IF(FH4&gt;0,"D",IF(FH4=0,""))))))</f>
        <v>A</v>
      </c>
      <c r="FJ4" s="176"/>
      <c r="FK4" s="113"/>
      <c r="FL4" s="114"/>
      <c r="FM4" s="181">
        <f>IF(COUNT(FM5:FM6)=0,"",SUM(FM5:FM6)/COUNT(FM5:FM6))</f>
        <v>4</v>
      </c>
      <c r="FN4" s="205" t="str">
        <f t="shared" ref="FN4:FN20" si="38">IF(FM4="","",IF(FM4&gt;3.7,"A",IF(FM4&gt;2.8,"B",IF(FM4&gt;1.5,"C",IF(FM4&gt;0,"D",IF(FM4=0,""))))))</f>
        <v>A</v>
      </c>
      <c r="FO4" s="181">
        <f>IF(COUNT(FO5:FO6)=0,"",SUM(FO5:FO6)/COUNT(FO5:FO6))</f>
        <v>3.75</v>
      </c>
      <c r="FP4" s="206" t="str">
        <f t="shared" ref="FP4:FP20" si="39">IF(FO4="","",IF(FO4&gt;3.7,"A",IF(FO4&gt;2.8,"B",IF(FO4&gt;1.5,"C",IF(FO4&gt;0,"D",IF(FO4=0,""))))))</f>
        <v>A</v>
      </c>
      <c r="FQ4" s="216"/>
      <c r="FR4" s="126"/>
      <c r="FS4" s="127"/>
      <c r="FT4" s="181" t="str">
        <f>IF(COUNT(FT5:FT6)=0,"",SUM(FT5:FT6)/COUNT(FT5:FT6))</f>
        <v/>
      </c>
      <c r="FU4" s="182" t="str">
        <f t="shared" ref="FU4:FU20" si="40">IF(FT4="","",IF(FT4&gt;3.7,"A",IF(FT4&gt;2.8,"B",IF(FT4&gt;1.5,"C",IF(FT4&gt;0,"D",IF(FT4=0,""))))))</f>
        <v/>
      </c>
      <c r="FV4" s="165"/>
      <c r="FW4" s="126"/>
      <c r="FX4" s="127"/>
      <c r="FY4" s="181">
        <f>IF(COUNT(FY5:FY6)=0,"",SUM(FY5:FY6)/COUNT(FY5:FY6))</f>
        <v>3.75</v>
      </c>
      <c r="FZ4" s="198" t="str">
        <f t="shared" ref="FZ4:FZ20" si="41">IF(FY4="","",IF(FY4&gt;3.7,"A",IF(FY4&gt;2.8,"B",IF(FY4&gt;1.5,"C",IF(FY4&gt;0,"D",IF(FY4=0,""))))))</f>
        <v>A</v>
      </c>
      <c r="GA4" s="176"/>
      <c r="GB4" s="113"/>
      <c r="GC4" s="114"/>
      <c r="GD4" s="181">
        <f>IF(COUNT(GD5:GD6)=0,"",SUM(GD5:GD6)/COUNT(GD5:GD6))</f>
        <v>4</v>
      </c>
      <c r="GE4" s="205" t="str">
        <f t="shared" ref="GE4:GE20" si="42">IF(GD4="","",IF(GD4&gt;3.7,"A",IF(GD4&gt;2.8,"B",IF(GD4&gt;1.5,"C",IF(GD4&gt;0,"D",IF(GD4=0,""))))))</f>
        <v>A</v>
      </c>
      <c r="GF4" s="181">
        <f>IF(COUNT(GF5:GF6)=0,"",SUM(GF5:GF6)/COUNT(GF5:GF6))</f>
        <v>3.75</v>
      </c>
      <c r="GG4" s="206" t="str">
        <f t="shared" ref="GG4:GG20" si="43">IF(GF4="","",IF(GF4&gt;3.7,"A",IF(GF4&gt;2.8,"B",IF(GF4&gt;1.5,"C",IF(GF4&gt;0,"D",IF(GF4=0,""))))))</f>
        <v>A</v>
      </c>
      <c r="GH4" s="216"/>
      <c r="GI4" s="126"/>
      <c r="GJ4" s="127"/>
      <c r="GK4" s="181" t="str">
        <f>IF(COUNT(GK5:GK6)=0,"",SUM(GK5:GK6)/COUNT(GK5:GK6))</f>
        <v/>
      </c>
      <c r="GL4" s="182" t="str">
        <f t="shared" ref="GL4:GL20" si="44">IF(GK4="","",IF(GK4&gt;3.7,"A",IF(GK4&gt;2.8,"B",IF(GK4&gt;1.5,"C",IF(GK4&gt;0,"D",IF(GK4=0,""))))))</f>
        <v/>
      </c>
      <c r="GM4" s="165"/>
      <c r="GN4" s="126"/>
      <c r="GO4" s="127"/>
      <c r="GP4" s="181">
        <f>IF(COUNT(GP5:GP6)=0,"",SUM(GP5:GP6)/COUNT(GP5:GP6))</f>
        <v>4</v>
      </c>
      <c r="GQ4" s="198" t="str">
        <f t="shared" ref="GQ4:GQ20" si="45">IF(GP4="","",IF(GP4&gt;3.7,"A",IF(GP4&gt;2.8,"B",IF(GP4&gt;1.5,"C",IF(GP4&gt;0,"D",IF(GP4=0,""))))))</f>
        <v>A</v>
      </c>
      <c r="GR4" s="176"/>
      <c r="GS4" s="113"/>
      <c r="GT4" s="114"/>
      <c r="GU4" s="181">
        <f>IF(COUNT(GU5:GU6)=0,"",SUM(GU5:GU6)/COUNT(GU5:GU6))</f>
        <v>4</v>
      </c>
      <c r="GV4" s="205" t="str">
        <f t="shared" ref="GV4:GV20" si="46">IF(GU4="","",IF(GU4&gt;3.7,"A",IF(GU4&gt;2.8,"B",IF(GU4&gt;1.5,"C",IF(GU4&gt;0,"D",IF(GU4=0,""))))))</f>
        <v>A</v>
      </c>
      <c r="GW4" s="181">
        <f>IF(COUNT(GW5:GW6)=0,"",SUM(GW5:GW6)/COUNT(GW5:GW6))</f>
        <v>4</v>
      </c>
      <c r="GX4" s="206" t="str">
        <f t="shared" ref="GX4:GX20" si="47">IF(GW4="","",IF(GW4&gt;3.7,"A",IF(GW4&gt;2.8,"B",IF(GW4&gt;1.5,"C",IF(GW4&gt;0,"D",IF(GW4=0,""))))))</f>
        <v>A</v>
      </c>
      <c r="GY4" s="216"/>
      <c r="GZ4" s="126"/>
      <c r="HA4" s="127"/>
      <c r="HB4" s="181" t="str">
        <f>IF(COUNT(HB5:HB6)=0,"",SUM(HB5:HB6)/COUNT(HB5:HB6))</f>
        <v/>
      </c>
      <c r="HC4" s="182" t="str">
        <f t="shared" ref="HC4:HC20" si="48">IF(HB4="","",IF(HB4&gt;3.7,"A",IF(HB4&gt;2.8,"B",IF(HB4&gt;1.5,"C",IF(HB4&gt;0,"D",IF(HB4=0,""))))))</f>
        <v/>
      </c>
      <c r="HD4" s="165"/>
      <c r="HE4" s="126"/>
      <c r="HF4" s="127"/>
      <c r="HG4" s="181">
        <f>IF(COUNT(HG5:HG6)=0,"",SUM(HG5:HG6)/COUNT(HG5:HG6))</f>
        <v>3.5</v>
      </c>
      <c r="HH4" s="198" t="str">
        <f t="shared" ref="HH4:HH20" si="49">IF(HG4="","",IF(HG4&gt;3.7,"A",IF(HG4&gt;2.8,"B",IF(HG4&gt;1.5,"C",IF(HG4&gt;0,"D",IF(HG4=0,""))))))</f>
        <v>B</v>
      </c>
      <c r="HI4" s="176"/>
      <c r="HJ4" s="113"/>
      <c r="HK4" s="114"/>
      <c r="HL4" s="181">
        <f>IF(COUNT(HL5:HL6)=0,"",SUM(HL5:HL6)/COUNT(HL5:HL6))</f>
        <v>4</v>
      </c>
      <c r="HM4" s="205" t="str">
        <f t="shared" ref="HM4:HM20" si="50">IF(HL4="","",IF(HL4&gt;3.7,"A",IF(HL4&gt;2.8,"B",IF(HL4&gt;1.5,"C",IF(HL4&gt;0,"D",IF(HL4=0,""))))))</f>
        <v>A</v>
      </c>
      <c r="HN4" s="181">
        <f>IF(COUNT(HN5:HN6)=0,"",SUM(HN5:HN6)/COUNT(HN5:HN6))</f>
        <v>3.75</v>
      </c>
      <c r="HO4" s="206" t="str">
        <f t="shared" ref="HO4:HO20" si="51">IF(HN4="","",IF(HN4&gt;3.7,"A",IF(HN4&gt;2.8,"B",IF(HN4&gt;1.5,"C",IF(HN4&gt;0,"D",IF(HN4=0,""))))))</f>
        <v>A</v>
      </c>
      <c r="HP4" s="216"/>
      <c r="HQ4" s="126"/>
      <c r="HR4" s="127"/>
      <c r="HS4" s="181" t="str">
        <f>IF(COUNT(HS5:HS6)=0,"",SUM(HS5:HS6)/COUNT(HS5:HS6))</f>
        <v/>
      </c>
      <c r="HT4" s="182" t="str">
        <f t="shared" ref="HT4:HT20" si="52">IF(HS4="","",IF(HS4&gt;3.7,"A",IF(HS4&gt;2.8,"B",IF(HS4&gt;1.5,"C",IF(HS4&gt;0,"D",IF(HS4=0,""))))))</f>
        <v/>
      </c>
      <c r="HU4" s="165"/>
      <c r="HV4" s="126"/>
      <c r="HW4" s="127"/>
      <c r="HX4" s="181">
        <f>IF(COUNT(HX5:HX6)=0,"",SUM(HX5:HX6)/COUNT(HX5:HX6))</f>
        <v>3.75</v>
      </c>
      <c r="HY4" s="198" t="str">
        <f t="shared" ref="HY4:HY20" si="53">IF(HX4="","",IF(HX4&gt;3.7,"A",IF(HX4&gt;2.8,"B",IF(HX4&gt;1.5,"C",IF(HX4&gt;0,"D",IF(HX4=0,""))))))</f>
        <v>A</v>
      </c>
      <c r="HZ4" s="176"/>
      <c r="IA4" s="113"/>
      <c r="IB4" s="114"/>
      <c r="IC4" s="181">
        <f>IF(COUNT(IC5:IC6)=0,"",SUM(IC5:IC6)/COUNT(IC5:IC6))</f>
        <v>4</v>
      </c>
      <c r="ID4" s="205" t="str">
        <f t="shared" ref="ID4:ID20" si="54">IF(IC4="","",IF(IC4&gt;3.7,"A",IF(IC4&gt;2.8,"B",IF(IC4&gt;1.5,"C",IF(IC4&gt;0,"D",IF(IC4=0,""))))))</f>
        <v>A</v>
      </c>
      <c r="IE4" s="181">
        <f>IF(COUNT(IE5:IE6)=0,"",SUM(IE5:IE6)/COUNT(IE5:IE6))</f>
        <v>3.75</v>
      </c>
      <c r="IF4" s="206" t="str">
        <f t="shared" ref="IF4:IF20" si="55">IF(IE4="","",IF(IE4&gt;3.7,"A",IF(IE4&gt;2.8,"B",IF(IE4&gt;1.5,"C",IF(IE4&gt;0,"D",IF(IE4=0,""))))))</f>
        <v>A</v>
      </c>
      <c r="IG4" s="216"/>
      <c r="IH4" s="126"/>
      <c r="II4" s="127"/>
      <c r="IJ4" s="181" t="str">
        <f>IF(COUNT(IJ5:IJ6)=0,"",SUM(IJ5:IJ6)/COUNT(IJ5:IJ6))</f>
        <v/>
      </c>
      <c r="IK4" s="182" t="str">
        <f t="shared" ref="IK4:IK20" si="56">IF(IJ4="","",IF(IJ4&gt;3.7,"A",IF(IJ4&gt;2.8,"B",IF(IJ4&gt;1.5,"C",IF(IJ4&gt;0,"D",IF(IJ4=0,""))))))</f>
        <v/>
      </c>
      <c r="IL4" s="165"/>
      <c r="IM4" s="126"/>
      <c r="IN4" s="127"/>
      <c r="IO4" s="181">
        <f>IF(COUNT(IO5:IO6)=0,"",SUM(IO5:IO6)/COUNT(IO5:IO6))</f>
        <v>4</v>
      </c>
      <c r="IP4" s="198" t="str">
        <f t="shared" ref="IP4:IP20" si="57">IF(IO4="","",IF(IO4&gt;3.7,"A",IF(IO4&gt;2.8,"B",IF(IO4&gt;1.5,"C",IF(IO4&gt;0,"D",IF(IO4=0,""))))))</f>
        <v>A</v>
      </c>
      <c r="IQ4" s="176"/>
      <c r="IR4" s="113"/>
      <c r="IS4" s="114"/>
      <c r="IT4" s="181" t="str">
        <f>IF(COUNT(IT5:IT6)=0,"",SUM(IT5:IT6)/COUNT(IT5:IT6))</f>
        <v/>
      </c>
      <c r="IU4" s="205" t="str">
        <f t="shared" ref="IU4:IU20" si="58">IF(IT4="","",IF(IT4&gt;3.7,"A",IF(IT4&gt;2.8,"B",IF(IT4&gt;1.5,"C",IF(IT4&gt;0,"D",IF(IT4=0,""))))))</f>
        <v/>
      </c>
      <c r="IV4" s="181">
        <f>IF(COUNT(IV5:IV6)=0,"",SUM(IV5:IV6)/COUNT(IV5:IV6))</f>
        <v>4</v>
      </c>
      <c r="IW4" s="206" t="str">
        <f t="shared" ref="IW4:IW20" si="59">IF(IV4="","",IF(IV4&gt;3.7,"A",IF(IV4&gt;2.8,"B",IF(IV4&gt;1.5,"C",IF(IV4&gt;0,"D",IF(IV4=0,""))))))</f>
        <v>A</v>
      </c>
      <c r="IX4" s="216"/>
      <c r="IY4" s="126"/>
      <c r="IZ4" s="127"/>
      <c r="JA4" s="181" t="str">
        <f>IF(COUNT(JA5:JA6)=0,"",SUM(JA5:JA6)/COUNT(JA5:JA6))</f>
        <v/>
      </c>
      <c r="JB4" s="182" t="str">
        <f t="shared" ref="JB4:JB20" si="60">IF(JA4="","",IF(JA4&gt;3.7,"A",IF(JA4&gt;2.8,"B",IF(JA4&gt;1.5,"C",IF(JA4&gt;0,"D",IF(JA4=0,""))))))</f>
        <v/>
      </c>
      <c r="JC4" s="165"/>
      <c r="JD4" s="126"/>
      <c r="JE4" s="127"/>
      <c r="JF4" s="181">
        <f>IF(COUNT(JF5:JF6)=0,"",SUM(JF5:JF6)/COUNT(JF5:JF6))</f>
        <v>3.5</v>
      </c>
      <c r="JG4" s="198" t="str">
        <f t="shared" ref="JG4:JG20" si="61">IF(JF4="","",IF(JF4&gt;3.7,"A",IF(JF4&gt;2.8,"B",IF(JF4&gt;1.5,"C",IF(JF4&gt;0,"D",IF(JF4=0,""))))))</f>
        <v>B</v>
      </c>
      <c r="JH4" s="176"/>
      <c r="JI4" s="113"/>
      <c r="JJ4" s="114"/>
      <c r="JK4" s="181" t="str">
        <f>IF(COUNT(JK5:JK6)=0,"",SUM(JK5:JK6)/COUNT(JK5:JK6))</f>
        <v/>
      </c>
      <c r="JL4" s="205" t="str">
        <f t="shared" ref="JL4:JL20" si="62">IF(JK4="","",IF(JK4&gt;3.7,"A",IF(JK4&gt;2.8,"B",IF(JK4&gt;1.5,"C",IF(JK4&gt;0,"D",IF(JK4=0,""))))))</f>
        <v/>
      </c>
      <c r="JM4" s="181">
        <f>IF(COUNT(JM5:JM6)=0,"",SUM(JM5:JM6)/COUNT(JM5:JM6))</f>
        <v>3.5</v>
      </c>
      <c r="JN4" s="206" t="str">
        <f t="shared" ref="JN4:JN20" si="63">IF(JM4="","",IF(JM4&gt;3.7,"A",IF(JM4&gt;2.8,"B",IF(JM4&gt;1.5,"C",IF(JM4&gt;0,"D",IF(JM4=0,""))))))</f>
        <v>B</v>
      </c>
      <c r="JO4" s="216"/>
      <c r="JP4" s="126"/>
      <c r="JQ4" s="127"/>
      <c r="JR4" s="181" t="str">
        <f>IF(COUNT(JR5:JR6)=0,"",SUM(JR5:JR6)/COUNT(JR5:JR6))</f>
        <v/>
      </c>
      <c r="JS4" s="182" t="str">
        <f t="shared" ref="JS4:JS20" si="64">IF(JR4="","",IF(JR4&gt;3.7,"A",IF(JR4&gt;2.8,"B",IF(JR4&gt;1.5,"C",IF(JR4&gt;0,"D",IF(JR4=0,""))))))</f>
        <v/>
      </c>
      <c r="JT4" s="165"/>
      <c r="JU4" s="126"/>
      <c r="JV4" s="127"/>
      <c r="JW4" s="181">
        <f>IF(COUNT(JW5:JW6)=0,"",SUM(JW5:JW6)/COUNT(JW5:JW6))</f>
        <v>3.5</v>
      </c>
      <c r="JX4" s="198" t="str">
        <f t="shared" ref="JX4:JX20" si="65">IF(JW4="","",IF(JW4&gt;3.7,"A",IF(JW4&gt;2.8,"B",IF(JW4&gt;1.5,"C",IF(JW4&gt;0,"D",IF(JW4=0,""))))))</f>
        <v>B</v>
      </c>
      <c r="JY4" s="176"/>
      <c r="JZ4" s="113"/>
      <c r="KA4" s="114"/>
      <c r="KB4" s="181">
        <f>IF(COUNT(KB5:KB6)=0,"",SUM(KB5:KB6)/COUNT(KB5:KB6))</f>
        <v>4</v>
      </c>
      <c r="KC4" s="205" t="str">
        <f t="shared" ref="KC4:KC20" si="66">IF(KB4="","",IF(KB4&gt;3.7,"A",IF(KB4&gt;2.8,"B",IF(KB4&gt;1.5,"C",IF(KB4&gt;0,"D",IF(KB4=0,""))))))</f>
        <v>A</v>
      </c>
      <c r="KD4" s="181">
        <f>IF(COUNT(KD5:KD6)=0,"",SUM(KD5:KD6)/COUNT(KD5:KD6))</f>
        <v>3.5</v>
      </c>
      <c r="KE4" s="206" t="str">
        <f t="shared" ref="KE4:KE20" si="67">IF(KD4="","",IF(KD4&gt;3.7,"A",IF(KD4&gt;2.8,"B",IF(KD4&gt;1.5,"C",IF(KD4&gt;0,"D",IF(KD4=0,""))))))</f>
        <v>B</v>
      </c>
      <c r="KF4" s="216"/>
      <c r="KG4" s="126"/>
      <c r="KH4" s="127"/>
      <c r="KI4" s="181" t="str">
        <f>IF(COUNT(KI5:KI6)=0,"",SUM(KI5:KI6)/COUNT(KI5:KI6))</f>
        <v/>
      </c>
      <c r="KJ4" s="182" t="str">
        <f t="shared" ref="KJ4:KJ20" si="68">IF(KI4="","",IF(KI4&gt;3.7,"A",IF(KI4&gt;2.8,"B",IF(KI4&gt;1.5,"C",IF(KI4&gt;0,"D",IF(KI4=0,""))))))</f>
        <v/>
      </c>
      <c r="KK4" s="165"/>
      <c r="KL4" s="126"/>
      <c r="KM4" s="127"/>
      <c r="KN4" s="181">
        <f>IF(COUNT(KN5:KN6)=0,"",SUM(KN5:KN6)/COUNT(KN5:KN6))</f>
        <v>3.25</v>
      </c>
      <c r="KO4" s="198" t="str">
        <f t="shared" ref="KO4:KO20" si="69">IF(KN4="","",IF(KN4&gt;3.7,"A",IF(KN4&gt;2.8,"B",IF(KN4&gt;1.5,"C",IF(KN4&gt;0,"D",IF(KN4=0,""))))))</f>
        <v>B</v>
      </c>
      <c r="KP4" s="176"/>
      <c r="KQ4" s="113"/>
      <c r="KR4" s="114"/>
      <c r="KS4" s="181">
        <f>IF(COUNT(KS5:KS6)=0,"",SUM(KS5:KS6)/COUNT(KS5:KS6))</f>
        <v>4</v>
      </c>
      <c r="KT4" s="205" t="str">
        <f t="shared" ref="KT4:KT20" si="70">IF(KS4="","",IF(KS4&gt;3.7,"A",IF(KS4&gt;2.8,"B",IF(KS4&gt;1.5,"C",IF(KS4&gt;0,"D",IF(KS4=0,""))))))</f>
        <v>A</v>
      </c>
      <c r="KU4" s="181">
        <f>IF(COUNT(KU5:KU6)=0,"",SUM(KU5:KU6)/COUNT(KU5:KU6))</f>
        <v>3.5</v>
      </c>
      <c r="KV4" s="206" t="str">
        <f t="shared" ref="KV4:KV20" si="71">IF(KU4="","",IF(KU4&gt;3.7,"A",IF(KU4&gt;2.8,"B",IF(KU4&gt;1.5,"C",IF(KU4&gt;0,"D",IF(KU4=0,""))))))</f>
        <v>B</v>
      </c>
      <c r="KW4" s="216"/>
      <c r="KX4" s="126"/>
      <c r="KY4" s="127"/>
      <c r="KZ4" s="181" t="str">
        <f>IF(COUNT(KZ5:KZ6)=0,"",SUM(KZ5:KZ6)/COUNT(KZ5:KZ6))</f>
        <v/>
      </c>
      <c r="LA4" s="182" t="str">
        <f t="shared" ref="LA4:LA20" si="72">IF(KZ4="","",IF(KZ4&gt;3.7,"A",IF(KZ4&gt;2.8,"B",IF(KZ4&gt;1.5,"C",IF(KZ4&gt;0,"D",IF(KZ4=0,""))))))</f>
        <v/>
      </c>
      <c r="LB4" s="165"/>
      <c r="LC4" s="126"/>
      <c r="LD4" s="127"/>
      <c r="LE4" s="181">
        <f>IF(COUNT(LE5:LE6)=0,"",SUM(LE5:LE6)/COUNT(LE5:LE6))</f>
        <v>3.5</v>
      </c>
      <c r="LF4" s="198" t="str">
        <f t="shared" ref="LF4:LF20" si="73">IF(LE4="","",IF(LE4&gt;3.7,"A",IF(LE4&gt;2.8,"B",IF(LE4&gt;1.5,"C",IF(LE4&gt;0,"D",IF(LE4=0,""))))))</f>
        <v>B</v>
      </c>
      <c r="LG4" s="176"/>
      <c r="LH4" s="113"/>
      <c r="LI4" s="114"/>
      <c r="LJ4" s="181">
        <f>IF(COUNT(LJ5:LJ6)=0,"",SUM(LJ5:LJ6)/COUNT(LJ5:LJ6))</f>
        <v>4</v>
      </c>
      <c r="LK4" s="205" t="str">
        <f t="shared" ref="LK4:LK20" si="74">IF(LJ4="","",IF(LJ4&gt;3.7,"A",IF(LJ4&gt;2.8,"B",IF(LJ4&gt;1.5,"C",IF(LJ4&gt;0,"D",IF(LJ4=0,""))))))</f>
        <v>A</v>
      </c>
      <c r="LL4" s="181">
        <f>IF(COUNT(LL5:LL6)=0,"",SUM(LL5:LL6)/COUNT(LL5:LL6))</f>
        <v>3.5</v>
      </c>
      <c r="LM4" s="206" t="str">
        <f t="shared" ref="LM4:LM20" si="75">IF(LL4="","",IF(LL4&gt;3.7,"A",IF(LL4&gt;2.8,"B",IF(LL4&gt;1.5,"C",IF(LL4&gt;0,"D",IF(LL4=0,""))))))</f>
        <v>B</v>
      </c>
      <c r="LN4" s="216"/>
      <c r="LO4" s="126"/>
      <c r="LP4" s="127"/>
      <c r="LQ4" s="181" t="str">
        <f>IF(COUNT(LQ5:LQ6)=0,"",SUM(LQ5:LQ6)/COUNT(LQ5:LQ6))</f>
        <v/>
      </c>
      <c r="LR4" s="182" t="str">
        <f t="shared" ref="LR4:LR20" si="76">IF(LQ4="","",IF(LQ4&gt;3.7,"A",IF(LQ4&gt;2.8,"B",IF(LQ4&gt;1.5,"C",IF(LQ4&gt;0,"D",IF(LQ4=0,""))))))</f>
        <v/>
      </c>
      <c r="LS4" s="165"/>
      <c r="LT4" s="126"/>
      <c r="LU4" s="127"/>
      <c r="LV4" s="181">
        <f>IF(COUNT(LV5:LV6)=0,"",SUM(LV5:LV6)/COUNT(LV5:LV6))</f>
        <v>4</v>
      </c>
      <c r="LW4" s="198" t="str">
        <f t="shared" ref="LW4:LW20" si="77">IF(LV4="","",IF(LV4&gt;3.7,"A",IF(LV4&gt;2.8,"B",IF(LV4&gt;1.5,"C",IF(LV4&gt;0,"D",IF(LV4=0,""))))))</f>
        <v>A</v>
      </c>
      <c r="LX4" s="176"/>
      <c r="LY4" s="113"/>
      <c r="LZ4" s="114"/>
      <c r="MA4" s="181">
        <f>IF(COUNT(MA5:MA6)=0,"",SUM(MA5:MA6)/COUNT(MA5:MA6))</f>
        <v>4</v>
      </c>
      <c r="MB4" s="205" t="str">
        <f t="shared" ref="MB4:MB20" si="78">IF(MA4="","",IF(MA4&gt;3.7,"A",IF(MA4&gt;2.8,"B",IF(MA4&gt;1.5,"C",IF(MA4&gt;0,"D",IF(MA4=0,""))))))</f>
        <v>A</v>
      </c>
      <c r="MC4" s="181">
        <f>IF(COUNT(MC5:MC6)=0,"",SUM(MC5:MC6)/COUNT(MC5:MC6))</f>
        <v>4</v>
      </c>
      <c r="MD4" s="206" t="str">
        <f t="shared" ref="MD4:MD20" si="79">IF(MC4="","",IF(MC4&gt;3.7,"A",IF(MC4&gt;2.8,"B",IF(MC4&gt;1.5,"C",IF(MC4&gt;0,"D",IF(MC4=0,""))))))</f>
        <v>A</v>
      </c>
      <c r="ME4" s="216"/>
      <c r="MF4" s="126"/>
      <c r="MG4" s="127"/>
      <c r="MH4" s="181" t="str">
        <f>IF(COUNT(MH5:MH6)=0,"",SUM(MH5:MH6)/COUNT(MH5:MH6))</f>
        <v/>
      </c>
      <c r="MI4" s="182" t="str">
        <f t="shared" ref="MI4:MI20" si="80">IF(MH4="","",IF(MH4&gt;3.7,"A",IF(MH4&gt;2.8,"B",IF(MH4&gt;1.5,"C",IF(MH4&gt;0,"D",IF(MH4=0,""))))))</f>
        <v/>
      </c>
      <c r="MJ4" s="165"/>
      <c r="MK4" s="126"/>
      <c r="ML4" s="127"/>
      <c r="MM4" s="181">
        <f>IF(COUNT(MM5:MM6)=0,"",SUM(MM5:MM6)/COUNT(MM5:MM6))</f>
        <v>4</v>
      </c>
      <c r="MN4" s="198" t="str">
        <f t="shared" ref="MN4:MN20" si="81">IF(MM4="","",IF(MM4&gt;3.7,"A",IF(MM4&gt;2.8,"B",IF(MM4&gt;1.5,"C",IF(MM4&gt;0,"D",IF(MM4=0,""))))))</f>
        <v>A</v>
      </c>
      <c r="MO4" s="176"/>
      <c r="MP4" s="113"/>
      <c r="MQ4" s="114"/>
      <c r="MR4" s="181">
        <f>IF(COUNT(MR5:MR6)=0,"",SUM(MR5:MR6)/COUNT(MR5:MR6))</f>
        <v>4</v>
      </c>
      <c r="MS4" s="205" t="str">
        <f t="shared" ref="MS4:MS20" si="82">IF(MR4="","",IF(MR4&gt;3.7,"A",IF(MR4&gt;2.8,"B",IF(MR4&gt;1.5,"C",IF(MR4&gt;0,"D",IF(MR4=0,""))))))</f>
        <v>A</v>
      </c>
      <c r="MT4" s="181">
        <f>IF(COUNT(MT5:MT6)=0,"",SUM(MT5:MT6)/COUNT(MT5:MT6))</f>
        <v>4</v>
      </c>
      <c r="MU4" s="206" t="str">
        <f t="shared" ref="MU4:MU20" si="83">IF(MT4="","",IF(MT4&gt;3.7,"A",IF(MT4&gt;2.8,"B",IF(MT4&gt;1.5,"C",IF(MT4&gt;0,"D",IF(MT4=0,""))))))</f>
        <v>A</v>
      </c>
      <c r="MV4" s="216"/>
      <c r="MW4" s="126"/>
      <c r="MX4" s="127"/>
      <c r="MY4" s="181" t="str">
        <f>IF(COUNT(MY5:MY6)=0,"",SUM(MY5:MY6)/COUNT(MY5:MY6))</f>
        <v/>
      </c>
      <c r="MZ4" s="182" t="str">
        <f t="shared" ref="MZ4:MZ20" si="84">IF(MY4="","",IF(MY4&gt;3.7,"A",IF(MY4&gt;2.8,"B",IF(MY4&gt;1.5,"C",IF(MY4&gt;0,"D",IF(MY4=0,""))))))</f>
        <v/>
      </c>
      <c r="NA4" s="165"/>
      <c r="NB4" s="126"/>
      <c r="NC4" s="127"/>
      <c r="ND4" s="181">
        <f>IF(COUNT(ND5:ND6)=0,"",SUM(ND5:ND6)/COUNT(ND5:ND6))</f>
        <v>3.5</v>
      </c>
      <c r="NE4" s="198" t="str">
        <f t="shared" ref="NE4:NE20" si="85">IF(ND4="","",IF(ND4&gt;3.7,"A",IF(ND4&gt;2.8,"B",IF(ND4&gt;1.5,"C",IF(ND4&gt;0,"D",IF(ND4=0,""))))))</f>
        <v>B</v>
      </c>
      <c r="NF4" s="176"/>
      <c r="NG4" s="113"/>
      <c r="NH4" s="114"/>
      <c r="NI4" s="181" t="str">
        <f>IF(COUNT(NI5:NI6)=0,"",SUM(NI5:NI6)/COUNT(NI5:NI6))</f>
        <v/>
      </c>
      <c r="NJ4" s="205" t="str">
        <f t="shared" ref="NJ4:NJ20" si="86">IF(NI4="","",IF(NI4&gt;3.7,"A",IF(NI4&gt;2.8,"B",IF(NI4&gt;1.5,"C",IF(NI4&gt;0,"D",IF(NI4=0,""))))))</f>
        <v/>
      </c>
      <c r="NK4" s="181">
        <f>IF(COUNT(NK5:NK6)=0,"",SUM(NK5:NK6)/COUNT(NK5:NK6))</f>
        <v>3.5</v>
      </c>
      <c r="NL4" s="206" t="str">
        <f t="shared" ref="NL4:NL20" si="87">IF(NK4="","",IF(NK4&gt;3.7,"A",IF(NK4&gt;2.8,"B",IF(NK4&gt;1.5,"C",IF(NK4&gt;0,"D",IF(NK4=0,""))))))</f>
        <v>B</v>
      </c>
      <c r="NM4" s="216"/>
      <c r="NN4" s="126"/>
      <c r="NO4" s="127"/>
      <c r="NP4" s="181" t="str">
        <f>IF(COUNT(NP5:NP6)=0,"",SUM(NP5:NP6)/COUNT(NP5:NP6))</f>
        <v/>
      </c>
      <c r="NQ4" s="182" t="str">
        <f t="shared" ref="NQ4:NQ20" si="88">IF(NP4="","",IF(NP4&gt;3.7,"A",IF(NP4&gt;2.8,"B",IF(NP4&gt;1.5,"C",IF(NP4&gt;0,"D",IF(NP4=0,""))))))</f>
        <v/>
      </c>
      <c r="NR4" s="165"/>
      <c r="NS4" s="126"/>
      <c r="NT4" s="127"/>
      <c r="NU4" s="181">
        <f>IF(COUNT(NU5:NU6)=0,"",SUM(NU5:NU6)/COUNT(NU5:NU6))</f>
        <v>4</v>
      </c>
      <c r="NV4" s="198" t="str">
        <f t="shared" ref="NV4:NV20" si="89">IF(NU4="","",IF(NU4&gt;3.7,"A",IF(NU4&gt;2.8,"B",IF(NU4&gt;1.5,"C",IF(NU4&gt;0,"D",IF(NU4=0,""))))))</f>
        <v>A</v>
      </c>
      <c r="NW4" s="176"/>
      <c r="NX4" s="113"/>
      <c r="NY4" s="114"/>
      <c r="NZ4" s="181">
        <f>IF(COUNT(NZ5:NZ6)=0,"",SUM(NZ5:NZ6)/COUNT(NZ5:NZ6))</f>
        <v>4</v>
      </c>
      <c r="OA4" s="205" t="str">
        <f t="shared" ref="OA4:OA20" si="90">IF(NZ4="","",IF(NZ4&gt;3.7,"A",IF(NZ4&gt;2.8,"B",IF(NZ4&gt;1.5,"C",IF(NZ4&gt;0,"D",IF(NZ4=0,""))))))</f>
        <v>A</v>
      </c>
      <c r="OB4" s="181">
        <f>IF(COUNT(OB5:OB6)=0,"",SUM(OB5:OB6)/COUNT(OB5:OB6))</f>
        <v>4</v>
      </c>
      <c r="OC4" s="206" t="str">
        <f t="shared" ref="OC4:OC20" si="91">IF(OB4="","",IF(OB4&gt;3.7,"A",IF(OB4&gt;2.8,"B",IF(OB4&gt;1.5,"C",IF(OB4&gt;0,"D",IF(OB4=0,""))))))</f>
        <v>A</v>
      </c>
      <c r="OD4" s="216"/>
      <c r="OE4" s="126"/>
      <c r="OF4" s="127"/>
      <c r="OG4" s="181" t="str">
        <f>IF(COUNT(OG5:OG6)=0,"",SUM(OG5:OG6)/COUNT(OG5:OG6))</f>
        <v/>
      </c>
      <c r="OH4" s="182" t="str">
        <f t="shared" ref="OH4:OH20" si="92">IF(OG4="","",IF(OG4&gt;3.7,"A",IF(OG4&gt;2.8,"B",IF(OG4&gt;1.5,"C",IF(OG4&gt;0,"D",IF(OG4=0,""))))))</f>
        <v/>
      </c>
      <c r="OI4" s="165"/>
      <c r="OJ4" s="126"/>
      <c r="OK4" s="127"/>
      <c r="OL4" s="181">
        <f>IF(COUNT(OL5:OL6)=0,"",SUM(OL5:OL6)/COUNT(OL5:OL6))</f>
        <v>3.75</v>
      </c>
      <c r="OM4" s="198" t="str">
        <f t="shared" ref="OM4:OM20" si="93">IF(OL4="","",IF(OL4&gt;3.7,"A",IF(OL4&gt;2.8,"B",IF(OL4&gt;1.5,"C",IF(OL4&gt;0,"D",IF(OL4=0,""))))))</f>
        <v>A</v>
      </c>
      <c r="ON4" s="176"/>
      <c r="OO4" s="113"/>
      <c r="OP4" s="114"/>
      <c r="OQ4" s="181">
        <f>IF(COUNT(OQ5:OQ6)=0,"",SUM(OQ5:OQ6)/COUNT(OQ5:OQ6))</f>
        <v>4</v>
      </c>
      <c r="OR4" s="205" t="str">
        <f t="shared" ref="OR4:OR20" si="94">IF(OQ4="","",IF(OQ4&gt;3.7,"A",IF(OQ4&gt;2.8,"B",IF(OQ4&gt;1.5,"C",IF(OQ4&gt;0,"D",IF(OQ4=0,""))))))</f>
        <v>A</v>
      </c>
      <c r="OS4" s="181">
        <f>IF(COUNT(OS5:OS6)=0,"",SUM(OS5:OS6)/COUNT(OS5:OS6))</f>
        <v>3.75</v>
      </c>
      <c r="OT4" s="206" t="str">
        <f t="shared" ref="OT4:OT20" si="95">IF(OS4="","",IF(OS4&gt;3.7,"A",IF(OS4&gt;2.8,"B",IF(OS4&gt;1.5,"C",IF(OS4&gt;0,"D",IF(OS4=0,""))))))</f>
        <v>A</v>
      </c>
      <c r="OU4" s="216"/>
      <c r="OV4" s="126"/>
      <c r="OW4" s="127"/>
      <c r="OX4" s="181" t="str">
        <f>IF(COUNT(OX5:OX6)=0,"",SUM(OX5:OX6)/COUNT(OX5:OX6))</f>
        <v/>
      </c>
      <c r="OY4" s="182" t="str">
        <f t="shared" ref="OY4:OY20" si="96">IF(OX4="","",IF(OX4&gt;3.7,"A",IF(OX4&gt;2.8,"B",IF(OX4&gt;1.5,"C",IF(OX4&gt;0,"D",IF(OX4=0,""))))))</f>
        <v/>
      </c>
      <c r="OZ4" s="165"/>
      <c r="PA4" s="126"/>
      <c r="PB4" s="127"/>
      <c r="PC4" s="181">
        <f>IF(COUNT(PC5:PC6)=0,"",SUM(PC5:PC6)/COUNT(PC5:PC6))</f>
        <v>4</v>
      </c>
      <c r="PD4" s="198" t="str">
        <f t="shared" ref="PD4:PD20" si="97">IF(PC4="","",IF(PC4&gt;3.7,"A",IF(PC4&gt;2.8,"B",IF(PC4&gt;1.5,"C",IF(PC4&gt;0,"D",IF(PC4=0,""))))))</f>
        <v>A</v>
      </c>
      <c r="PE4" s="176"/>
      <c r="PF4" s="113"/>
      <c r="PG4" s="114"/>
      <c r="PH4" s="181">
        <f>IF(COUNT(PH5:PH6)=0,"",SUM(PH5:PH6)/COUNT(PH5:PH6))</f>
        <v>4</v>
      </c>
      <c r="PI4" s="205" t="str">
        <f t="shared" ref="PI4:PI20" si="98">IF(PH4="","",IF(PH4&gt;3.7,"A",IF(PH4&gt;2.8,"B",IF(PH4&gt;1.5,"C",IF(PH4&gt;0,"D",IF(PH4=0,""))))))</f>
        <v>A</v>
      </c>
      <c r="PJ4" s="181">
        <f>IF(COUNT(PJ5:PJ6)=0,"",SUM(PJ5:PJ6)/COUNT(PJ5:PJ6))</f>
        <v>4</v>
      </c>
      <c r="PK4" s="206" t="str">
        <f t="shared" ref="PK4:PK20" si="99">IF(PJ4="","",IF(PJ4&gt;3.7,"A",IF(PJ4&gt;2.8,"B",IF(PJ4&gt;1.5,"C",IF(PJ4&gt;0,"D",IF(PJ4=0,""))))))</f>
        <v>A</v>
      </c>
      <c r="PL4" s="216"/>
      <c r="PM4" s="126"/>
      <c r="PN4" s="127"/>
      <c r="PO4" s="181" t="str">
        <f>IF(COUNT(PO5:PO6)=0,"",SUM(PO5:PO6)/COUNT(PO5:PO6))</f>
        <v/>
      </c>
      <c r="PP4" s="182" t="str">
        <f t="shared" ref="PP4:PP20" si="100">IF(PO4="","",IF(PO4&gt;3.7,"A",IF(PO4&gt;2.8,"B",IF(PO4&gt;1.5,"C",IF(PO4&gt;0,"D",IF(PO4=0,""))))))</f>
        <v/>
      </c>
      <c r="PQ4" s="165"/>
      <c r="PR4" s="126"/>
      <c r="PS4" s="127"/>
      <c r="PT4" s="181">
        <f>IF(COUNT(PT5:PT6)=0,"",SUM(PT5:PT6)/COUNT(PT5:PT6))</f>
        <v>3.25</v>
      </c>
      <c r="PU4" s="198" t="str">
        <f t="shared" ref="PU4:PU20" si="101">IF(PT4="","",IF(PT4&gt;3.7,"A",IF(PT4&gt;2.8,"B",IF(PT4&gt;1.5,"C",IF(PT4&gt;0,"D",IF(PT4=0,""))))))</f>
        <v>B</v>
      </c>
      <c r="PV4" s="176"/>
      <c r="PW4" s="113"/>
      <c r="PX4" s="114"/>
      <c r="PY4" s="181">
        <f>IF(COUNT(PY5:PY6)=0,"",SUM(PY5:PY6)/COUNT(PY5:PY6))</f>
        <v>4</v>
      </c>
      <c r="PZ4" s="205" t="str">
        <f t="shared" ref="PZ4:PZ20" si="102">IF(PY4="","",IF(PY4&gt;3.7,"A",IF(PY4&gt;2.8,"B",IF(PY4&gt;1.5,"C",IF(PY4&gt;0,"D",IF(PY4=0,""))))))</f>
        <v>A</v>
      </c>
      <c r="QA4" s="181">
        <f>IF(COUNT(QA5:QA6)=0,"",SUM(QA5:QA6)/COUNT(QA5:QA6))</f>
        <v>3.25</v>
      </c>
      <c r="QB4" s="206" t="str">
        <f t="shared" ref="QB4:QB20" si="103">IF(QA4="","",IF(QA4&gt;3.7,"A",IF(QA4&gt;2.8,"B",IF(QA4&gt;1.5,"C",IF(QA4&gt;0,"D",IF(QA4=0,""))))))</f>
        <v>B</v>
      </c>
      <c r="QC4" s="216"/>
      <c r="QD4" s="126"/>
      <c r="QE4" s="127"/>
      <c r="QF4" s="181" t="str">
        <f>IF(COUNT(QF5:QF6)=0,"",SUM(QF5:QF6)/COUNT(QF5:QF6))</f>
        <v/>
      </c>
      <c r="QG4" s="182" t="str">
        <f t="shared" ref="QG4:QG20" si="104">IF(QF4="","",IF(QF4&gt;3.7,"A",IF(QF4&gt;2.8,"B",IF(QF4&gt;1.5,"C",IF(QF4&gt;0,"D",IF(QF4=0,""))))))</f>
        <v/>
      </c>
      <c r="QH4" s="165"/>
      <c r="QI4" s="126"/>
      <c r="QJ4" s="127"/>
      <c r="QK4" s="181">
        <f>IF(COUNT(QK5:QK6)=0,"",SUM(QK5:QK6)/COUNT(QK5:QK6))</f>
        <v>3</v>
      </c>
      <c r="QL4" s="198" t="str">
        <f t="shared" ref="QL4:QL20" si="105">IF(QK4="","",IF(QK4&gt;3.7,"A",IF(QK4&gt;2.8,"B",IF(QK4&gt;1.5,"C",IF(QK4&gt;0,"D",IF(QK4=0,""))))))</f>
        <v>B</v>
      </c>
      <c r="QM4" s="176"/>
      <c r="QN4" s="113"/>
      <c r="QO4" s="114"/>
      <c r="QP4" s="181">
        <f>IF(COUNT(QP5:QP6)=0,"",SUM(QP5:QP6)/COUNT(QP5:QP6))</f>
        <v>3</v>
      </c>
      <c r="QQ4" s="205" t="str">
        <f t="shared" ref="QQ4:QQ20" si="106">IF(QP4="","",IF(QP4&gt;3.7,"A",IF(QP4&gt;2.8,"B",IF(QP4&gt;1.5,"C",IF(QP4&gt;0,"D",IF(QP4=0,""))))))</f>
        <v>B</v>
      </c>
      <c r="QR4" s="181">
        <f>IF(COUNT(QR5:QR6)=0,"",SUM(QR5:QR6)/COUNT(QR5:QR6))</f>
        <v>3.25</v>
      </c>
      <c r="QS4" s="206" t="str">
        <f t="shared" ref="QS4:QS20" si="107">IF(QR4="","",IF(QR4&gt;3.7,"A",IF(QR4&gt;2.8,"B",IF(QR4&gt;1.5,"C",IF(QR4&gt;0,"D",IF(QR4=0,""))))))</f>
        <v>B</v>
      </c>
      <c r="QT4" s="216"/>
      <c r="QU4" s="126"/>
      <c r="QV4" s="127"/>
      <c r="QW4" s="181" t="str">
        <f>IF(COUNT(QW5:QW6)=0,"",SUM(QW5:QW6)/COUNT(QW5:QW6))</f>
        <v/>
      </c>
      <c r="QX4" s="182" t="str">
        <f t="shared" ref="QX4:QX20" si="108">IF(QW4="","",IF(QW4&gt;3.7,"A",IF(QW4&gt;2.8,"B",IF(QW4&gt;1.5,"C",IF(QW4&gt;0,"D",IF(QW4=0,""))))))</f>
        <v/>
      </c>
      <c r="QY4" s="165"/>
      <c r="QZ4" s="126"/>
      <c r="RA4" s="127"/>
      <c r="RB4" s="181">
        <f>IF(COUNT(RB5:RB6)=0,"",SUM(RB5:RB6)/COUNT(RB5:RB6))</f>
        <v>3.5</v>
      </c>
      <c r="RC4" s="198" t="str">
        <f t="shared" ref="RC4:RC20" si="109">IF(RB4="","",IF(RB4&gt;3.7,"A",IF(RB4&gt;2.8,"B",IF(RB4&gt;1.5,"C",IF(RB4&gt;0,"D",IF(RB4=0,""))))))</f>
        <v>B</v>
      </c>
      <c r="RD4" s="176"/>
      <c r="RE4" s="113"/>
      <c r="RF4" s="114"/>
      <c r="RG4" s="181">
        <f>IF(COUNT(RG5:RG6)=0,"",SUM(RG5:RG6)/COUNT(RG5:RG6))</f>
        <v>4</v>
      </c>
      <c r="RH4" s="205" t="str">
        <f t="shared" ref="RH4:RH20" si="110">IF(RG4="","",IF(RG4&gt;3.7,"A",IF(RG4&gt;2.8,"B",IF(RG4&gt;1.5,"C",IF(RG4&gt;0,"D",IF(RG4=0,""))))))</f>
        <v>A</v>
      </c>
      <c r="RI4" s="181">
        <f>IF(COUNT(RI5:RI6)=0,"",SUM(RI5:RI6)/COUNT(RI5:RI6))</f>
        <v>3.75</v>
      </c>
      <c r="RJ4" s="206" t="str">
        <f t="shared" ref="RJ4:RJ20" si="111">IF(RI4="","",IF(RI4&gt;3.7,"A",IF(RI4&gt;2.8,"B",IF(RI4&gt;1.5,"C",IF(RI4&gt;0,"D",IF(RI4=0,""))))))</f>
        <v>A</v>
      </c>
      <c r="RK4" s="216"/>
      <c r="RL4" s="126"/>
      <c r="RM4" s="127"/>
      <c r="RN4" s="181" t="str">
        <f>IF(COUNT(RN5:RN6)=0,"",SUM(RN5:RN6)/COUNT(RN5:RN6))</f>
        <v/>
      </c>
      <c r="RO4" s="182" t="str">
        <f t="shared" ref="RO4:RO20" si="112">IF(RN4="","",IF(RN4&gt;3.7,"A",IF(RN4&gt;2.8,"B",IF(RN4&gt;1.5,"C",IF(RN4&gt;0,"D",IF(RN4=0,""))))))</f>
        <v/>
      </c>
      <c r="RP4" s="165"/>
      <c r="RQ4" s="126"/>
      <c r="RR4" s="127"/>
      <c r="RS4" s="181">
        <f>IF(COUNT(RS5:RS6)=0,"",SUM(RS5:RS6)/COUNT(RS5:RS6))</f>
        <v>4</v>
      </c>
      <c r="RT4" s="198" t="str">
        <f t="shared" ref="RT4:RT20" si="113">IF(RS4="","",IF(RS4&gt;3.7,"A",IF(RS4&gt;2.8,"B",IF(RS4&gt;1.5,"C",IF(RS4&gt;0,"D",IF(RS4=0,""))))))</f>
        <v>A</v>
      </c>
      <c r="RU4" s="176"/>
      <c r="RV4" s="113"/>
      <c r="RW4" s="114"/>
      <c r="RX4" s="181">
        <f>IF(COUNT(RX5:RX6)=0,"",SUM(RX5:RX6)/COUNT(RX5:RX6))</f>
        <v>4</v>
      </c>
      <c r="RY4" s="205" t="str">
        <f t="shared" ref="RY4:RY20" si="114">IF(RX4="","",IF(RX4&gt;3.7,"A",IF(RX4&gt;2.8,"B",IF(RX4&gt;1.5,"C",IF(RX4&gt;0,"D",IF(RX4=0,""))))))</f>
        <v>A</v>
      </c>
      <c r="RZ4" s="181">
        <f>IF(COUNT(RZ5:RZ6)=0,"",SUM(RZ5:RZ6)/COUNT(RZ5:RZ6))</f>
        <v>4</v>
      </c>
      <c r="SA4" s="206" t="str">
        <f t="shared" ref="SA4:SA20" si="115">IF(RZ4="","",IF(RZ4&gt;3.7,"A",IF(RZ4&gt;2.8,"B",IF(RZ4&gt;1.5,"C",IF(RZ4&gt;0,"D",IF(RZ4=0,""))))))</f>
        <v>A</v>
      </c>
      <c r="SB4" s="216"/>
      <c r="SC4" s="126"/>
      <c r="SD4" s="127"/>
      <c r="SE4" s="181" t="str">
        <f>IF(COUNT(SE5:SE6)=0,"",SUM(SE5:SE6)/COUNT(SE5:SE6))</f>
        <v/>
      </c>
      <c r="SF4" s="182" t="str">
        <f t="shared" ref="SF4:SF20" si="116">IF(SE4="","",IF(SE4&gt;3.7,"A",IF(SE4&gt;2.8,"B",IF(SE4&gt;1.5,"C",IF(SE4&gt;0,"D",IF(SE4=0,""))))))</f>
        <v/>
      </c>
      <c r="SG4" s="165"/>
      <c r="SH4" s="126"/>
      <c r="SI4" s="127"/>
      <c r="SJ4" s="181">
        <f>IF(COUNT(SJ5:SJ6)=0,"",SUM(SJ5:SJ6)/COUNT(SJ5:SJ6))</f>
        <v>3.5</v>
      </c>
      <c r="SK4" s="198" t="str">
        <f t="shared" ref="SK4:SK20" si="117">IF(SJ4="","",IF(SJ4&gt;3.7,"A",IF(SJ4&gt;2.8,"B",IF(SJ4&gt;1.5,"C",IF(SJ4&gt;0,"D",IF(SJ4=0,""))))))</f>
        <v>B</v>
      </c>
      <c r="SL4" s="176"/>
      <c r="SM4" s="113"/>
      <c r="SN4" s="114"/>
      <c r="SO4" s="181">
        <f>IF(COUNT(SO5:SO6)=0,"",SUM(SO5:SO6)/COUNT(SO5:SO6))</f>
        <v>4</v>
      </c>
      <c r="SP4" s="205" t="str">
        <f t="shared" ref="SP4:SP20" si="118">IF(SO4="","",IF(SO4&gt;3.7,"A",IF(SO4&gt;2.8,"B",IF(SO4&gt;1.5,"C",IF(SO4&gt;0,"D",IF(SO4=0,""))))))</f>
        <v>A</v>
      </c>
      <c r="SQ4" s="181">
        <f>IF(COUNT(SQ5:SQ6)=0,"",SUM(SQ5:SQ6)/COUNT(SQ5:SQ6))</f>
        <v>3.5</v>
      </c>
      <c r="SR4" s="206" t="str">
        <f t="shared" ref="SR4:SR20" si="119">IF(SQ4="","",IF(SQ4&gt;3.7,"A",IF(SQ4&gt;2.8,"B",IF(SQ4&gt;1.5,"C",IF(SQ4&gt;0,"D",IF(SQ4=0,""))))))</f>
        <v>B</v>
      </c>
      <c r="SS4" s="216"/>
      <c r="ST4" s="126"/>
      <c r="SU4" s="127"/>
      <c r="SV4" s="181" t="str">
        <f>IF(COUNT(SV5:SV6)=0,"",SUM(SV5:SV6)/COUNT(SV5:SV6))</f>
        <v/>
      </c>
      <c r="SW4" s="182" t="str">
        <f t="shared" ref="SW4:SW20" si="120">IF(SV4="","",IF(SV4&gt;3.7,"A",IF(SV4&gt;2.8,"B",IF(SV4&gt;1.5,"C",IF(SV4&gt;0,"D",IF(SV4=0,""))))))</f>
        <v/>
      </c>
      <c r="SX4" s="165"/>
      <c r="SY4" s="126"/>
      <c r="SZ4" s="127"/>
      <c r="TA4" s="181">
        <f>IF(COUNT(TA5:TA6)=0,"",SUM(TA5:TA6)/COUNT(TA5:TA6))</f>
        <v>4</v>
      </c>
      <c r="TB4" s="198" t="str">
        <f t="shared" ref="TB4:TB20" si="121">IF(TA4="","",IF(TA4&gt;3.7,"A",IF(TA4&gt;2.8,"B",IF(TA4&gt;1.5,"C",IF(TA4&gt;0,"D",IF(TA4=0,""))))))</f>
        <v>A</v>
      </c>
      <c r="TC4" s="176"/>
      <c r="TD4" s="113"/>
      <c r="TE4" s="114"/>
      <c r="TF4" s="181">
        <f>IF(COUNT(TF5:TF6)=0,"",SUM(TF5:TF6)/COUNT(TF5:TF6))</f>
        <v>4</v>
      </c>
      <c r="TG4" s="205" t="str">
        <f t="shared" ref="TG4:TG20" si="122">IF(TF4="","",IF(TF4&gt;3.7,"A",IF(TF4&gt;2.8,"B",IF(TF4&gt;1.5,"C",IF(TF4&gt;0,"D",IF(TF4=0,""))))))</f>
        <v>A</v>
      </c>
      <c r="TH4" s="181">
        <f>IF(COUNT(TH5:TH6)=0,"",SUM(TH5:TH6)/COUNT(TH5:TH6))</f>
        <v>4</v>
      </c>
      <c r="TI4" s="206" t="str">
        <f t="shared" ref="TI4:TI20" si="123">IF(TH4="","",IF(TH4&gt;3.7,"A",IF(TH4&gt;2.8,"B",IF(TH4&gt;1.5,"C",IF(TH4&gt;0,"D",IF(TH4=0,""))))))</f>
        <v>A</v>
      </c>
      <c r="TJ4" s="216"/>
      <c r="TK4" s="126"/>
      <c r="TL4" s="127"/>
      <c r="TM4" s="181" t="str">
        <f>IF(COUNT(TM5:TM6)=0,"",SUM(TM5:TM6)/COUNT(TM5:TM6))</f>
        <v/>
      </c>
      <c r="TN4" s="182" t="str">
        <f t="shared" ref="TN4:TN20" si="124">IF(TM4="","",IF(TM4&gt;3.7,"A",IF(TM4&gt;2.8,"B",IF(TM4&gt;1.5,"C",IF(TM4&gt;0,"D",IF(TM4=0,""))))))</f>
        <v/>
      </c>
      <c r="TO4" s="165"/>
      <c r="TP4" s="126"/>
      <c r="TQ4" s="127"/>
      <c r="TR4" s="181">
        <f>IF(COUNT(TR5:TR6)=0,"",SUM(TR5:TR6)/COUNT(TR5:TR6))</f>
        <v>3.25</v>
      </c>
      <c r="TS4" s="198" t="str">
        <f t="shared" ref="TS4:TS20" si="125">IF(TR4="","",IF(TR4&gt;3.7,"A",IF(TR4&gt;2.8,"B",IF(TR4&gt;1.5,"C",IF(TR4&gt;0,"D",IF(TR4=0,""))))))</f>
        <v>B</v>
      </c>
      <c r="TT4" s="176"/>
      <c r="TU4" s="113"/>
      <c r="TV4" s="114"/>
      <c r="TW4" s="181">
        <f>IF(COUNT(TW5:TW6)=0,"",SUM(TW5:TW6)/COUNT(TW5:TW6))</f>
        <v>4</v>
      </c>
      <c r="TX4" s="205" t="str">
        <f t="shared" ref="TX4:TX20" si="126">IF(TW4="","",IF(TW4&gt;3.7,"A",IF(TW4&gt;2.8,"B",IF(TW4&gt;1.5,"C",IF(TW4&gt;0,"D",IF(TW4=0,""))))))</f>
        <v>A</v>
      </c>
      <c r="TY4" s="181">
        <f>IF(COUNT(TY5:TY6)=0,"",SUM(TY5:TY6)/COUNT(TY5:TY6))</f>
        <v>3.25</v>
      </c>
      <c r="TZ4" s="206" t="str">
        <f t="shared" ref="TZ4:TZ20" si="127">IF(TY4="","",IF(TY4&gt;3.7,"A",IF(TY4&gt;2.8,"B",IF(TY4&gt;1.5,"C",IF(TY4&gt;0,"D",IF(TY4=0,""))))))</f>
        <v>B</v>
      </c>
    </row>
    <row r="5" spans="1:546" x14ac:dyDescent="0.25">
      <c r="A5" s="240" t="s">
        <v>12</v>
      </c>
      <c r="B5" s="241"/>
      <c r="C5" s="99"/>
      <c r="D5" s="100"/>
      <c r="E5" s="101"/>
      <c r="F5" s="183" t="str">
        <f>IFERROR((((COUNTIF('Elève (6ème1)'!C5:E5,"A"))*4)+((COUNTIF('Elève (6ème1)'!C5:E5,"B"))*3)+((COUNTIF('Elève (6ème1)'!C5:E5,"C"))*2)+((COUNTIF('Elève (6ème1)'!C5:E5,"D"))*1))/(COUNTA(C5:E5)),"")</f>
        <v/>
      </c>
      <c r="G5" s="184" t="str">
        <f t="shared" si="0"/>
        <v/>
      </c>
      <c r="H5" s="99"/>
      <c r="I5" s="100" t="s">
        <v>23</v>
      </c>
      <c r="J5" s="101" t="s">
        <v>226</v>
      </c>
      <c r="K5" s="183">
        <f>IFERROR((((COUNTIF('Elève (6ème1)'!H5:J5,"A"))*4)+((COUNTIF('Elève (6ème1)'!H5:J5,"B"))*3)+((COUNTIF('Elève (6ème1)'!H5:J5,"C"))*2)+((COUNTIF('Elève (6ème1)'!H5:J5,"D"))*1))/(COUNTA(H5:J5)),"")</f>
        <v>3.5</v>
      </c>
      <c r="L5" s="184" t="str">
        <f t="shared" si="1"/>
        <v>B</v>
      </c>
      <c r="M5" s="99"/>
      <c r="N5" s="100"/>
      <c r="O5" s="101"/>
      <c r="P5" s="183" t="str">
        <f>IFERROR((((COUNTIF('Elève (6ème1)'!M5:O5,"A"))*4)+((COUNTIF('Elève (6ème1)'!M5:O5,"B"))*3)+((COUNTIF('Elève (6ème1)'!M5:O5,"C"))*2)+((COUNTIF('Elève (6ème1)'!M5:O5,"D"))*1))/(COUNTA(M5:O5)),"")</f>
        <v/>
      </c>
      <c r="Q5" s="184" t="str">
        <f t="shared" si="2"/>
        <v/>
      </c>
      <c r="R5" s="183">
        <f>IF(COUNT(F5,K5,P5)=0,"",SUM(F5,K5,P5)/COUNT(F5,K5,P5))</f>
        <v>3.5</v>
      </c>
      <c r="S5" s="207" t="str">
        <f t="shared" si="3"/>
        <v>B</v>
      </c>
      <c r="T5" s="105"/>
      <c r="U5" s="100"/>
      <c r="V5" s="101"/>
      <c r="W5" s="183" t="str">
        <f>IFERROR((((COUNTIF('Elève (6ème1)'!T5:V5,"A"))*4)+((COUNTIF('Elève (6ème1)'!T5:V5,"B"))*3)+((COUNTIF('Elève (6ème1)'!T5:V5,"C"))*2)+((COUNTIF('Elève (6ème1)'!T5:V5,"D"))*1))/(COUNTA(T5:V5)),"")</f>
        <v/>
      </c>
      <c r="X5" s="184" t="str">
        <f t="shared" si="4"/>
        <v/>
      </c>
      <c r="Y5" s="99"/>
      <c r="Z5" s="100" t="s">
        <v>23</v>
      </c>
      <c r="AA5" s="101"/>
      <c r="AB5" s="183">
        <f>IFERROR((((COUNTIF('Elève (6ème1)'!Y5:AA5,"A"))*4)+((COUNTIF('Elève (6ème1)'!Y5:AA5,"B"))*3)+((COUNTIF('Elève (6ème1)'!Y5:AA5,"C"))*2)+((COUNTIF('Elève (6ème1)'!Y5:AA5,"D"))*1))/(COUNTA(Y5:AA5)),"")</f>
        <v>4</v>
      </c>
      <c r="AC5" s="184" t="str">
        <f t="shared" si="5"/>
        <v>A</v>
      </c>
      <c r="AD5" s="99"/>
      <c r="AE5" s="100"/>
      <c r="AF5" s="101"/>
      <c r="AG5" s="183" t="str">
        <f>IFERROR((((COUNTIF('Elève (6ème1)'!AD5:AF5,"A"))*4)+((COUNTIF('Elève (6ème1)'!AD5:AF5,"B"))*3)+((COUNTIF('Elève (6ème1)'!AD5:AF5,"C"))*2)+((COUNTIF('Elève (6ème1)'!AD5:AF5,"D"))*1))/(COUNTA(AD5:AF5)),"")</f>
        <v/>
      </c>
      <c r="AH5" s="184" t="str">
        <f t="shared" si="6"/>
        <v/>
      </c>
      <c r="AI5" s="183">
        <f>IF(COUNT(W5,AB5,AG5)=0,"",SUM(W5,AB5,AG5)/COUNT(W5,AB5,AG5))</f>
        <v>4</v>
      </c>
      <c r="AJ5" s="207" t="str">
        <f t="shared" si="7"/>
        <v>A</v>
      </c>
      <c r="AK5" s="105"/>
      <c r="AL5" s="100"/>
      <c r="AM5" s="101"/>
      <c r="AN5" s="183" t="str">
        <f>IFERROR((((COUNTIF('Elève (6ème1)'!AK5:AM5,"A"))*4)+((COUNTIF('Elève (6ème1)'!AK5:AM5,"B"))*3)+((COUNTIF('Elève (6ème1)'!AK5:AM5,"C"))*2)+((COUNTIF('Elève (6ème1)'!AK5:AM5,"D"))*1))/(COUNTA(AK5:AM5)),"")</f>
        <v/>
      </c>
      <c r="AO5" s="184" t="str">
        <f t="shared" si="8"/>
        <v/>
      </c>
      <c r="AP5" s="99"/>
      <c r="AQ5" s="100" t="s">
        <v>23</v>
      </c>
      <c r="AR5" s="101" t="s">
        <v>25</v>
      </c>
      <c r="AS5" s="183">
        <f>IFERROR((((COUNTIF('Elève (6ème1)'!AP5:AR5,"A"))*4)+((COUNTIF('Elève (6ème1)'!AP5:AR5,"B"))*3)+((COUNTIF('Elève (6ème1)'!AP5:AR5,"C"))*2)+((COUNTIF('Elève (6ème1)'!AP5:AR5,"D"))*1))/(COUNTA(AP5:AR5)),"")</f>
        <v>3</v>
      </c>
      <c r="AT5" s="184" t="str">
        <f t="shared" si="9"/>
        <v>B</v>
      </c>
      <c r="AU5" s="99"/>
      <c r="AV5" s="100"/>
      <c r="AW5" s="101"/>
      <c r="AX5" s="183" t="str">
        <f>IFERROR((((COUNTIF('Elève (6ème1)'!AU5:AW5,"A"))*4)+((COUNTIF('Elève (6ème1)'!AU5:AW5,"B"))*3)+((COUNTIF('Elève (6ème1)'!AU5:AW5,"C"))*2)+((COUNTIF('Elève (6ème1)'!AU5:AW5,"D"))*1))/(COUNTA(AU5:AW5)),"")</f>
        <v/>
      </c>
      <c r="AY5" s="184" t="str">
        <f t="shared" si="10"/>
        <v/>
      </c>
      <c r="AZ5" s="183">
        <f>IF(COUNT(AN5,AS5,AX5)=0,"",SUM(AN5,AS5,AX5)/COUNT(AN5,AS5,AX5))</f>
        <v>3</v>
      </c>
      <c r="BA5" s="207" t="str">
        <f t="shared" si="11"/>
        <v>B</v>
      </c>
      <c r="BB5" s="105"/>
      <c r="BC5" s="100"/>
      <c r="BD5" s="101"/>
      <c r="BE5" s="183" t="str">
        <f>IFERROR((((COUNTIF('Elève (6ème1)'!BB5:BD5,"A"))*4)+((COUNTIF('Elève (6ème1)'!BB5:BD5,"B"))*3)+((COUNTIF('Elève (6ème1)'!BB5:BD5,"C"))*2)+((COUNTIF('Elève (6ème1)'!BB5:BD5,"D"))*1))/(COUNTA(BB5:BD5)),"")</f>
        <v/>
      </c>
      <c r="BF5" s="184" t="str">
        <f t="shared" si="12"/>
        <v/>
      </c>
      <c r="BG5" s="99"/>
      <c r="BH5" s="100" t="s">
        <v>23</v>
      </c>
      <c r="BI5" s="101" t="s">
        <v>25</v>
      </c>
      <c r="BJ5" s="183">
        <f>IFERROR((((COUNTIF('Elève (6ème1)'!BG5:BI5,"A"))*4)+((COUNTIF('Elève (6ème1)'!BG5:BI5,"B"))*3)+((COUNTIF('Elève (6ème1)'!BG5:BI5,"C"))*2)+((COUNTIF('Elève (6ème1)'!BG5:BI5,"D"))*1))/(COUNTA(BG5:BI5)),"")</f>
        <v>3</v>
      </c>
      <c r="BK5" s="184" t="str">
        <f t="shared" si="13"/>
        <v>B</v>
      </c>
      <c r="BL5" s="99"/>
      <c r="BM5" s="100"/>
      <c r="BN5" s="101"/>
      <c r="BO5" s="183" t="str">
        <f>IFERROR((((COUNTIF('Elève (6ème1)'!BL5:BN5,"A"))*4)+((COUNTIF('Elève (6ème1)'!BL5:BN5,"B"))*3)+((COUNTIF('Elève (6ème1)'!BL5:BN5,"C"))*2)+((COUNTIF('Elève (6ème1)'!BL5:BN5,"D"))*1))/(COUNTA(BL5:BN5)),"")</f>
        <v/>
      </c>
      <c r="BP5" s="184" t="str">
        <f t="shared" si="14"/>
        <v/>
      </c>
      <c r="BQ5" s="183">
        <f>IF(COUNT(BE5,BJ5,BO5)=0,"",SUM(BE5,BJ5,BO5)/COUNT(BE5,BJ5,BO5))</f>
        <v>3</v>
      </c>
      <c r="BR5" s="207" t="str">
        <f t="shared" si="15"/>
        <v>B</v>
      </c>
      <c r="BS5" s="105"/>
      <c r="BT5" s="100"/>
      <c r="BU5" s="101"/>
      <c r="BV5" s="183" t="str">
        <f>IFERROR((((COUNTIF('Elève (6ème1)'!BS5:BU5,"A"))*4)+((COUNTIF('Elève (6ème1)'!BS5:BU5,"B"))*3)+((COUNTIF('Elève (6ème1)'!BS5:BU5,"C"))*2)+((COUNTIF('Elève (6ème1)'!BS5:BU5,"D"))*1))/(COUNTA(BS5:BU5)),"")</f>
        <v/>
      </c>
      <c r="BW5" s="184" t="str">
        <f t="shared" si="16"/>
        <v/>
      </c>
      <c r="BX5" s="99"/>
      <c r="BY5" s="100" t="s">
        <v>26</v>
      </c>
      <c r="BZ5" s="101" t="s">
        <v>24</v>
      </c>
      <c r="CA5" s="183">
        <f>IFERROR((((COUNTIF('Elève (6ème1)'!BX5:BZ5,"A"))*4)+((COUNTIF('Elève (6ème1)'!BX5:BZ5,"B"))*3)+((COUNTIF('Elève (6ème1)'!BX5:BZ5,"C"))*2)+((COUNTIF('Elève (6ème1)'!BX5:BZ5,"D"))*1))/(COUNTA(BX5:BZ5)),"")</f>
        <v>2</v>
      </c>
      <c r="CB5" s="184" t="str">
        <f t="shared" si="17"/>
        <v>C</v>
      </c>
      <c r="CC5" s="99"/>
      <c r="CD5" s="100"/>
      <c r="CE5" s="101"/>
      <c r="CF5" s="183" t="str">
        <f>IFERROR((((COUNTIF('Elève (6ème1)'!CC5:CE5,"A"))*4)+((COUNTIF('Elève (6ème1)'!CC5:CE5,"B"))*3)+((COUNTIF('Elève (6ème1)'!CC5:CE5,"C"))*2)+((COUNTIF('Elève (6ème1)'!CC5:CE5,"D"))*1))/(COUNTA(CC5:CE5)),"")</f>
        <v/>
      </c>
      <c r="CG5" s="184" t="str">
        <f t="shared" si="18"/>
        <v/>
      </c>
      <c r="CH5" s="183">
        <f>IF(COUNT(BV5,CA5,CF5)=0,"",SUM(BV5,CA5,CF5)/COUNT(BV5,CA5,CF5))</f>
        <v>2</v>
      </c>
      <c r="CI5" s="207" t="str">
        <f t="shared" si="19"/>
        <v>C</v>
      </c>
      <c r="CJ5" s="105"/>
      <c r="CK5" s="100"/>
      <c r="CL5" s="101"/>
      <c r="CM5" s="183" t="str">
        <f>IFERROR((((COUNTIF('Elève (6ème1)'!CJ5:CL5,"A"))*4)+((COUNTIF('Elève (6ème1)'!CJ5:CL5,"B"))*3)+((COUNTIF('Elève (6ème1)'!CJ5:CL5,"C"))*2)+((COUNTIF('Elève (6ème1)'!CJ5:CL5,"D"))*1))/(COUNTA(CJ5:CL5)),"")</f>
        <v/>
      </c>
      <c r="CN5" s="184" t="str">
        <f t="shared" si="20"/>
        <v/>
      </c>
      <c r="CO5" s="99"/>
      <c r="CP5" s="100" t="s">
        <v>25</v>
      </c>
      <c r="CQ5" s="101" t="s">
        <v>25</v>
      </c>
      <c r="CR5" s="183">
        <f>IFERROR((((COUNTIF('Elève (6ème1)'!CO5:CQ5,"A"))*4)+((COUNTIF('Elève (6ème1)'!CO5:CQ5,"B"))*3)+((COUNTIF('Elève (6ème1)'!CO5:CQ5,"C"))*2)+((COUNTIF('Elève (6ème1)'!CO5:CQ5,"D"))*1))/(COUNTA(CO5:CQ5)),"")</f>
        <v>2</v>
      </c>
      <c r="CS5" s="184" t="str">
        <f t="shared" si="21"/>
        <v>C</v>
      </c>
      <c r="CT5" s="99"/>
      <c r="CU5" s="100"/>
      <c r="CV5" s="101"/>
      <c r="CW5" s="183" t="str">
        <f>IFERROR((((COUNTIF('Elève (6ème1)'!CT5:CV5,"A"))*4)+((COUNTIF('Elève (6ème1)'!CT5:CV5,"B"))*3)+((COUNTIF('Elève (6ème1)'!CT5:CV5,"C"))*2)+((COUNTIF('Elève (6ème1)'!CT5:CV5,"D"))*1))/(COUNTA(CT5:CV5)),"")</f>
        <v/>
      </c>
      <c r="CX5" s="184" t="str">
        <f t="shared" si="22"/>
        <v/>
      </c>
      <c r="CY5" s="183">
        <f>IF(COUNT(CM5,CR5,CW5)=0,"",SUM(CM5,CR5,CW5)/COUNT(CM5,CR5,CW5))</f>
        <v>2</v>
      </c>
      <c r="CZ5" s="207" t="str">
        <f t="shared" si="23"/>
        <v>C</v>
      </c>
      <c r="DA5" s="105"/>
      <c r="DB5" s="100"/>
      <c r="DC5" s="101"/>
      <c r="DD5" s="183" t="str">
        <f>IFERROR((((COUNTIF('Elève (6ème1)'!DA5:DC5,"A"))*4)+((COUNTIF('Elève (6ème1)'!DA5:DC5,"B"))*3)+((COUNTIF('Elève (6ème1)'!DA5:DC5,"C"))*2)+((COUNTIF('Elève (6ème1)'!DA5:DC5,"D"))*1))/(COUNTA(DA5:DC5)),"")</f>
        <v/>
      </c>
      <c r="DE5" s="184" t="str">
        <f t="shared" si="24"/>
        <v/>
      </c>
      <c r="DF5" s="99"/>
      <c r="DG5" s="100" t="s">
        <v>24</v>
      </c>
      <c r="DH5" s="101" t="s">
        <v>25</v>
      </c>
      <c r="DI5" s="183">
        <f>IFERROR((((COUNTIF('Elève (6ème1)'!DF5:DH5,"A"))*4)+((COUNTIF('Elève (6ème1)'!DF5:DH5,"B"))*3)+((COUNTIF('Elève (6ème1)'!DF5:DH5,"C"))*2)+((COUNTIF('Elève (6ème1)'!DF5:DH5,"D"))*1))/(COUNTA(DF5:DH5)),"")</f>
        <v>2.5</v>
      </c>
      <c r="DJ5" s="184" t="str">
        <f t="shared" si="25"/>
        <v>C</v>
      </c>
      <c r="DK5" s="99"/>
      <c r="DL5" s="100"/>
      <c r="DM5" s="101"/>
      <c r="DN5" s="183" t="str">
        <f>IFERROR((((COUNTIF('Elève (6ème1)'!DK5:DM5,"A"))*4)+((COUNTIF('Elève (6ème1)'!DK5:DM5,"B"))*3)+((COUNTIF('Elève (6ème1)'!DK5:DM5,"C"))*2)+((COUNTIF('Elève (6ème1)'!DK5:DM5,"D"))*1))/(COUNTA(DK5:DM5)),"")</f>
        <v/>
      </c>
      <c r="DO5" s="184" t="str">
        <f t="shared" si="26"/>
        <v/>
      </c>
      <c r="DP5" s="183">
        <f>IF(COUNT(DD5,DI5,DN5)=0,"",SUM(DD5,DI5,DN5)/COUNT(DD5,DI5,DN5))</f>
        <v>2.5</v>
      </c>
      <c r="DQ5" s="207" t="str">
        <f t="shared" si="27"/>
        <v>C</v>
      </c>
      <c r="DR5" s="105"/>
      <c r="DS5" s="100"/>
      <c r="DT5" s="101"/>
      <c r="DU5" s="183" t="str">
        <f>IFERROR((((COUNTIF('Elève (6ème1)'!DR5:DT5,"A"))*4)+((COUNTIF('Elève (6ème1)'!DR5:DT5,"B"))*3)+((COUNTIF('Elève (6ème1)'!DR5:DT5,"C"))*2)+((COUNTIF('Elève (6ème1)'!DR5:DT5,"D"))*1))/(COUNTA(DR5:DT5)),"")</f>
        <v/>
      </c>
      <c r="DV5" s="184" t="str">
        <f t="shared" si="28"/>
        <v/>
      </c>
      <c r="DW5" s="99"/>
      <c r="DX5" s="100" t="s">
        <v>23</v>
      </c>
      <c r="DY5" s="101" t="s">
        <v>25</v>
      </c>
      <c r="DZ5" s="183">
        <f>IFERROR((((COUNTIF('Elève (6ème1)'!DW5:DY5,"A"))*4)+((COUNTIF('Elève (6ème1)'!DW5:DY5,"B"))*3)+((COUNTIF('Elève (6ème1)'!DW5:DY5,"C"))*2)+((COUNTIF('Elève (6ème1)'!DW5:DY5,"D"))*1))/(COUNTA(DW5:DY5)),"")</f>
        <v>3</v>
      </c>
      <c r="EA5" s="184" t="str">
        <f t="shared" si="29"/>
        <v>B</v>
      </c>
      <c r="EB5" s="99"/>
      <c r="EC5" s="100"/>
      <c r="ED5" s="101"/>
      <c r="EE5" s="183" t="str">
        <f>IFERROR((((COUNTIF('Elève (6ème1)'!EB5:ED5,"A"))*4)+((COUNTIF('Elève (6ème1)'!EB5:ED5,"B"))*3)+((COUNTIF('Elève (6ème1)'!EB5:ED5,"C"))*2)+((COUNTIF('Elève (6ème1)'!EB5:ED5,"D"))*1))/(COUNTA(EB5:ED5)),"")</f>
        <v/>
      </c>
      <c r="EF5" s="184" t="str">
        <f t="shared" si="30"/>
        <v/>
      </c>
      <c r="EG5" s="183">
        <f>IF(COUNT(DU5,DZ5,EE5)=0,"",SUM(DU5,DZ5,EE5)/COUNT(DU5,DZ5,EE5))</f>
        <v>3</v>
      </c>
      <c r="EH5" s="207" t="str">
        <f t="shared" si="31"/>
        <v>B</v>
      </c>
      <c r="EI5" s="105"/>
      <c r="EJ5" s="100"/>
      <c r="EK5" s="101"/>
      <c r="EL5" s="183" t="str">
        <f>IFERROR((((COUNTIF('Elève (6ème1)'!EI5:EK5,"A"))*4)+((COUNTIF('Elève (6ème1)'!EI5:EK5,"B"))*3)+((COUNTIF('Elève (6ème1)'!EI5:EK5,"C"))*2)+((COUNTIF('Elève (6ème1)'!EI5:EK5,"D"))*1))/(COUNTA(EI5:EK5)),"")</f>
        <v/>
      </c>
      <c r="EM5" s="184" t="str">
        <f t="shared" si="32"/>
        <v/>
      </c>
      <c r="EN5" s="99"/>
      <c r="EO5" s="100" t="s">
        <v>25</v>
      </c>
      <c r="EP5" s="101" t="s">
        <v>24</v>
      </c>
      <c r="EQ5" s="183">
        <f>IFERROR((((COUNTIF('Elève (6ème1)'!EN5:EP5,"A"))*4)+((COUNTIF('Elève (6ème1)'!EN5:EP5,"B"))*3)+((COUNTIF('Elève (6ème1)'!EN5:EP5,"C"))*2)+((COUNTIF('Elève (6ème1)'!EN5:EP5,"D"))*1))/(COUNTA(EN5:EP5)),"")</f>
        <v>2.5</v>
      </c>
      <c r="ER5" s="184" t="str">
        <f t="shared" si="33"/>
        <v>C</v>
      </c>
      <c r="ES5" s="99"/>
      <c r="ET5" s="100"/>
      <c r="EU5" s="101"/>
      <c r="EV5" s="183" t="str">
        <f>IFERROR((((COUNTIF('Elève (6ème1)'!ES5:EU5,"A"))*4)+((COUNTIF('Elève (6ème1)'!ES5:EU5,"B"))*3)+((COUNTIF('Elève (6ème1)'!ES5:EU5,"C"))*2)+((COUNTIF('Elève (6ème1)'!ES5:EU5,"D"))*1))/(COUNTA(ES5:EU5)),"")</f>
        <v/>
      </c>
      <c r="EW5" s="184" t="str">
        <f t="shared" si="34"/>
        <v/>
      </c>
      <c r="EX5" s="183">
        <f>IF(COUNT(EL5,EQ5,EV5)=0,"",SUM(EL5,EQ5,EV5)/COUNT(EL5,EQ5,EV5))</f>
        <v>2.5</v>
      </c>
      <c r="EY5" s="207" t="str">
        <f t="shared" si="35"/>
        <v>C</v>
      </c>
      <c r="EZ5" s="105"/>
      <c r="FA5" s="100"/>
      <c r="FB5" s="101"/>
      <c r="FC5" s="183" t="str">
        <f>IFERROR((((COUNTIF('Elève (6ème1)'!EZ5:FB5,"A"))*4)+((COUNTIF('Elève (6ème1)'!EZ5:FB5,"B"))*3)+((COUNTIF('Elève (6ème1)'!EZ5:FB5,"C"))*2)+((COUNTIF('Elève (6ème1)'!EZ5:FB5,"D"))*1))/(COUNTA(EZ5:FB5)),"")</f>
        <v/>
      </c>
      <c r="FD5" s="184" t="str">
        <f t="shared" si="36"/>
        <v/>
      </c>
      <c r="FE5" s="99"/>
      <c r="FF5" s="100" t="s">
        <v>23</v>
      </c>
      <c r="FG5" s="101" t="s">
        <v>24</v>
      </c>
      <c r="FH5" s="183">
        <f>IFERROR((((COUNTIF('Elève (6ème1)'!FE5:FG5,"A"))*4)+((COUNTIF('Elève (6ème1)'!FE5:FG5,"B"))*3)+((COUNTIF('Elève (6ème1)'!FE5:FG5,"C"))*2)+((COUNTIF('Elève (6ème1)'!FE5:FG5,"D"))*1))/(COUNTA(FE5:FG5)),"")</f>
        <v>3.5</v>
      </c>
      <c r="FI5" s="184" t="str">
        <f t="shared" si="37"/>
        <v>B</v>
      </c>
      <c r="FJ5" s="99"/>
      <c r="FK5" s="100"/>
      <c r="FL5" s="101"/>
      <c r="FM5" s="183" t="str">
        <f>IFERROR((((COUNTIF('Elève (6ème1)'!FJ5:FL5,"A"))*4)+((COUNTIF('Elève (6ème1)'!FJ5:FL5,"B"))*3)+((COUNTIF('Elève (6ème1)'!FJ5:FL5,"C"))*2)+((COUNTIF('Elève (6ème1)'!FJ5:FL5,"D"))*1))/(COUNTA(FJ5:FL5)),"")</f>
        <v/>
      </c>
      <c r="FN5" s="184" t="str">
        <f t="shared" si="38"/>
        <v/>
      </c>
      <c r="FO5" s="183">
        <f>IF(COUNT(FC5,FH5,FM5)=0,"",SUM(FC5,FH5,FM5)/COUNT(FC5,FH5,FM5))</f>
        <v>3.5</v>
      </c>
      <c r="FP5" s="207" t="str">
        <f t="shared" si="39"/>
        <v>B</v>
      </c>
      <c r="FQ5" s="105"/>
      <c r="FR5" s="100"/>
      <c r="FS5" s="101"/>
      <c r="FT5" s="183" t="str">
        <f>IFERROR((((COUNTIF('Elève (6ème1)'!FQ5:FS5,"A"))*4)+((COUNTIF('Elève (6ème1)'!FQ5:FS5,"B"))*3)+((COUNTIF('Elève (6ème1)'!FQ5:FS5,"C"))*2)+((COUNTIF('Elève (6ème1)'!FQ5:FS5,"D"))*1))/(COUNTA(FQ5:FS5)),"")</f>
        <v/>
      </c>
      <c r="FU5" s="184" t="str">
        <f t="shared" si="40"/>
        <v/>
      </c>
      <c r="FV5" s="99"/>
      <c r="FW5" s="100" t="s">
        <v>23</v>
      </c>
      <c r="FX5" s="101" t="s">
        <v>24</v>
      </c>
      <c r="FY5" s="183">
        <f>IFERROR((((COUNTIF('Elève (6ème1)'!FV5:FX5,"A"))*4)+((COUNTIF('Elève (6ème1)'!FV5:FX5,"B"))*3)+((COUNTIF('Elève (6ème1)'!FV5:FX5,"C"))*2)+((COUNTIF('Elève (6ème1)'!FV5:FX5,"D"))*1))/(COUNTA(FV5:FX5)),"")</f>
        <v>3.5</v>
      </c>
      <c r="FZ5" s="184" t="str">
        <f t="shared" si="41"/>
        <v>B</v>
      </c>
      <c r="GA5" s="99"/>
      <c r="GB5" s="100"/>
      <c r="GC5" s="101"/>
      <c r="GD5" s="183" t="str">
        <f>IFERROR((((COUNTIF('Elève (6ème1)'!GA5:GC5,"A"))*4)+((COUNTIF('Elève (6ème1)'!GA5:GC5,"B"))*3)+((COUNTIF('Elève (6ème1)'!GA5:GC5,"C"))*2)+((COUNTIF('Elève (6ème1)'!GA5:GC5,"D"))*1))/(COUNTA(GA5:GC5)),"")</f>
        <v/>
      </c>
      <c r="GE5" s="184" t="str">
        <f t="shared" si="42"/>
        <v/>
      </c>
      <c r="GF5" s="183">
        <f>IF(COUNT(FT5,FY5,GD5)=0,"",SUM(FT5,FY5,GD5)/COUNT(FT5,FY5,GD5))</f>
        <v>3.5</v>
      </c>
      <c r="GG5" s="207" t="str">
        <f t="shared" si="43"/>
        <v>B</v>
      </c>
      <c r="GH5" s="105"/>
      <c r="GI5" s="100"/>
      <c r="GJ5" s="101"/>
      <c r="GK5" s="183" t="str">
        <f>IFERROR((((COUNTIF('Elève (6ème1)'!GH5:GJ5,"A"))*4)+((COUNTIF('Elève (6ème1)'!GH5:GJ5,"B"))*3)+((COUNTIF('Elève (6ème1)'!GH5:GJ5,"C"))*2)+((COUNTIF('Elève (6ème1)'!GH5:GJ5,"D"))*1))/(COUNTA(GH5:GJ5)),"")</f>
        <v/>
      </c>
      <c r="GL5" s="184" t="str">
        <f t="shared" si="44"/>
        <v/>
      </c>
      <c r="GM5" s="99"/>
      <c r="GN5" s="100" t="s">
        <v>23</v>
      </c>
      <c r="GO5" s="101"/>
      <c r="GP5" s="183">
        <f>IFERROR((((COUNTIF('Elève (6ème1)'!GM5:GO5,"A"))*4)+((COUNTIF('Elève (6ème1)'!GM5:GO5,"B"))*3)+((COUNTIF('Elève (6ème1)'!GM5:GO5,"C"))*2)+((COUNTIF('Elève (6ème1)'!GM5:GO5,"D"))*1))/(COUNTA(GM5:GO5)),"")</f>
        <v>4</v>
      </c>
      <c r="GQ5" s="184" t="str">
        <f t="shared" si="45"/>
        <v>A</v>
      </c>
      <c r="GR5" s="99"/>
      <c r="GS5" s="100"/>
      <c r="GT5" s="101"/>
      <c r="GU5" s="183" t="str">
        <f>IFERROR((((COUNTIF('Elève (6ème1)'!GR5:GT5,"A"))*4)+((COUNTIF('Elève (6ème1)'!GR5:GT5,"B"))*3)+((COUNTIF('Elève (6ème1)'!GR5:GT5,"C"))*2)+((COUNTIF('Elève (6ème1)'!GR5:GT5,"D"))*1))/(COUNTA(GR5:GT5)),"")</f>
        <v/>
      </c>
      <c r="GV5" s="184" t="str">
        <f t="shared" si="46"/>
        <v/>
      </c>
      <c r="GW5" s="183">
        <f>IF(COUNT(GK5,GP5,GU5)=0,"",SUM(GK5,GP5,GU5)/COUNT(GK5,GP5,GU5))</f>
        <v>4</v>
      </c>
      <c r="GX5" s="207" t="str">
        <f t="shared" si="47"/>
        <v>A</v>
      </c>
      <c r="GY5" s="105"/>
      <c r="GZ5" s="100"/>
      <c r="HA5" s="101"/>
      <c r="HB5" s="183" t="str">
        <f>IFERROR((((COUNTIF('Elève (6ème1)'!GY5:HA5,"A"))*4)+((COUNTIF('Elève (6ème1)'!GY5:HA5,"B"))*3)+((COUNTIF('Elève (6ème1)'!GY5:HA5,"C"))*2)+((COUNTIF('Elève (6ème1)'!GY5:HA5,"D"))*1))/(COUNTA(GY5:HA5)),"")</f>
        <v/>
      </c>
      <c r="HC5" s="184" t="str">
        <f t="shared" si="48"/>
        <v/>
      </c>
      <c r="HD5" s="99"/>
      <c r="HE5" s="100" t="s">
        <v>23</v>
      </c>
      <c r="HF5" s="101"/>
      <c r="HG5" s="183">
        <f>IFERROR((((COUNTIF('Elève (6ème1)'!HD5:HF5,"A"))*4)+((COUNTIF('Elève (6ème1)'!HD5:HF5,"B"))*3)+((COUNTIF('Elève (6ème1)'!HD5:HF5,"C"))*2)+((COUNTIF('Elève (6ème1)'!HD5:HF5,"D"))*1))/(COUNTA(HD5:HF5)),"")</f>
        <v>4</v>
      </c>
      <c r="HH5" s="184" t="str">
        <f t="shared" si="49"/>
        <v>A</v>
      </c>
      <c r="HI5" s="99"/>
      <c r="HJ5" s="100"/>
      <c r="HK5" s="101"/>
      <c r="HL5" s="183" t="str">
        <f>IFERROR((((COUNTIF('Elève (6ème1)'!HI5:HK5,"A"))*4)+((COUNTIF('Elève (6ème1)'!HI5:HK5,"B"))*3)+((COUNTIF('Elève (6ème1)'!HI5:HK5,"C"))*2)+((COUNTIF('Elève (6ème1)'!HI5:HK5,"D"))*1))/(COUNTA(HI5:HK5)),"")</f>
        <v/>
      </c>
      <c r="HM5" s="184" t="str">
        <f t="shared" si="50"/>
        <v/>
      </c>
      <c r="HN5" s="183">
        <f>IF(COUNT(HB5,HG5,HL5)=0,"",SUM(HB5,HG5,HL5)/COUNT(HB5,HG5,HL5))</f>
        <v>4</v>
      </c>
      <c r="HO5" s="207" t="str">
        <f t="shared" si="51"/>
        <v>A</v>
      </c>
      <c r="HP5" s="105"/>
      <c r="HQ5" s="100"/>
      <c r="HR5" s="101"/>
      <c r="HS5" s="183" t="str">
        <f>IFERROR((((COUNTIF('Elève (6ème1)'!HP5:HR5,"A"))*4)+((COUNTIF('Elève (6ème1)'!HP5:HR5,"B"))*3)+((COUNTIF('Elève (6ème1)'!HP5:HR5,"C"))*2)+((COUNTIF('Elève (6ème1)'!HP5:HR5,"D"))*1))/(COUNTA(HP5:HR5)),"")</f>
        <v/>
      </c>
      <c r="HT5" s="184" t="str">
        <f t="shared" si="52"/>
        <v/>
      </c>
      <c r="HU5" s="99"/>
      <c r="HV5" s="100" t="s">
        <v>23</v>
      </c>
      <c r="HW5" s="101" t="s">
        <v>24</v>
      </c>
      <c r="HX5" s="183">
        <f>IFERROR((((COUNTIF('Elève (6ème1)'!HU5:HW5,"A"))*4)+((COUNTIF('Elève (6ème1)'!HU5:HW5,"B"))*3)+((COUNTIF('Elève (6ème1)'!HU5:HW5,"C"))*2)+((COUNTIF('Elève (6ème1)'!HU5:HW5,"D"))*1))/(COUNTA(HU5:HW5)),"")</f>
        <v>3.5</v>
      </c>
      <c r="HY5" s="184" t="str">
        <f t="shared" si="53"/>
        <v>B</v>
      </c>
      <c r="HZ5" s="99"/>
      <c r="IA5" s="100"/>
      <c r="IB5" s="101"/>
      <c r="IC5" s="183" t="str">
        <f>IFERROR((((COUNTIF('Elève (6ème1)'!HZ5:IB5,"A"))*4)+((COUNTIF('Elève (6ème1)'!HZ5:IB5,"B"))*3)+((COUNTIF('Elève (6ème1)'!HZ5:IB5,"C"))*2)+((COUNTIF('Elève (6ème1)'!HZ5:IB5,"D"))*1))/(COUNTA(HZ5:IB5)),"")</f>
        <v/>
      </c>
      <c r="ID5" s="184" t="str">
        <f t="shared" si="54"/>
        <v/>
      </c>
      <c r="IE5" s="183">
        <f>IF(COUNT(HS5,HX5,IC5)=0,"",SUM(HS5,HX5,IC5)/COUNT(HS5,HX5,IC5))</f>
        <v>3.5</v>
      </c>
      <c r="IF5" s="207" t="str">
        <f t="shared" si="55"/>
        <v>B</v>
      </c>
      <c r="IG5" s="105"/>
      <c r="IH5" s="100"/>
      <c r="II5" s="101"/>
      <c r="IJ5" s="183" t="str">
        <f>IFERROR((((COUNTIF('Elève (6ème1)'!IG5:II5,"A"))*4)+((COUNTIF('Elève (6ème1)'!IG5:II5,"B"))*3)+((COUNTIF('Elève (6ème1)'!IG5:II5,"C"))*2)+((COUNTIF('Elève (6ème1)'!IG5:II5,"D"))*1))/(COUNTA(IG5:II5)),"")</f>
        <v/>
      </c>
      <c r="IK5" s="184" t="str">
        <f t="shared" si="56"/>
        <v/>
      </c>
      <c r="IL5" s="99"/>
      <c r="IM5" s="100" t="s">
        <v>23</v>
      </c>
      <c r="IN5" s="101"/>
      <c r="IO5" s="183">
        <f>IFERROR((((COUNTIF('Elève (6ème1)'!IL5:IN5,"A"))*4)+((COUNTIF('Elève (6ème1)'!IL5:IN5,"B"))*3)+((COUNTIF('Elève (6ème1)'!IL5:IN5,"C"))*2)+((COUNTIF('Elève (6ème1)'!IL5:IN5,"D"))*1))/(COUNTA(IL5:IN5)),"")</f>
        <v>4</v>
      </c>
      <c r="IP5" s="184" t="str">
        <f t="shared" si="57"/>
        <v>A</v>
      </c>
      <c r="IQ5" s="99"/>
      <c r="IR5" s="100"/>
      <c r="IS5" s="101"/>
      <c r="IT5" s="183" t="str">
        <f>IFERROR((((COUNTIF('Elève (6ème1)'!IQ5:IS5,"A"))*4)+((COUNTIF('Elève (6ème1)'!IQ5:IS5,"B"))*3)+((COUNTIF('Elève (6ème1)'!IQ5:IS5,"C"))*2)+((COUNTIF('Elève (6ème1)'!IQ5:IS5,"D"))*1))/(COUNTA(IQ5:IS5)),"")</f>
        <v/>
      </c>
      <c r="IU5" s="184" t="str">
        <f t="shared" si="58"/>
        <v/>
      </c>
      <c r="IV5" s="183">
        <f>IF(COUNT(IJ5,IO5,IT5)=0,"",SUM(IJ5,IO5,IT5)/COUNT(IJ5,IO5,IT5))</f>
        <v>4</v>
      </c>
      <c r="IW5" s="207" t="str">
        <f t="shared" si="59"/>
        <v>A</v>
      </c>
      <c r="IX5" s="105"/>
      <c r="IY5" s="100"/>
      <c r="IZ5" s="101"/>
      <c r="JA5" s="183" t="str">
        <f>IFERROR((((COUNTIF('Elève (6ème1)'!IX5:IZ5,"A"))*4)+((COUNTIF('Elève (6ème1)'!IX5:IZ5,"B"))*3)+((COUNTIF('Elève (6ème1)'!IX5:IZ5,"C"))*2)+((COUNTIF('Elève (6ème1)'!IX5:IZ5,"D"))*1))/(COUNTA(IX5:IZ5)),"")</f>
        <v/>
      </c>
      <c r="JB5" s="184" t="str">
        <f t="shared" si="60"/>
        <v/>
      </c>
      <c r="JC5" s="99"/>
      <c r="JD5" s="100" t="s">
        <v>24</v>
      </c>
      <c r="JE5" s="101"/>
      <c r="JF5" s="183">
        <f>IFERROR((((COUNTIF('Elève (6ème1)'!JC5:JE5,"A"))*4)+((COUNTIF('Elève (6ème1)'!JC5:JE5,"B"))*3)+((COUNTIF('Elève (6ème1)'!JC5:JE5,"C"))*2)+((COUNTIF('Elève (6ème1)'!JC5:JE5,"D"))*1))/(COUNTA(JC5:JE5)),"")</f>
        <v>3</v>
      </c>
      <c r="JG5" s="184" t="str">
        <f t="shared" si="61"/>
        <v>B</v>
      </c>
      <c r="JH5" s="99"/>
      <c r="JI5" s="100"/>
      <c r="JJ5" s="101"/>
      <c r="JK5" s="183" t="str">
        <f>IFERROR((((COUNTIF('Elève (6ème1)'!JH5:JJ5,"A"))*4)+((COUNTIF('Elève (6ème1)'!JH5:JJ5,"B"))*3)+((COUNTIF('Elève (6ème1)'!JH5:JJ5,"C"))*2)+((COUNTIF('Elève (6ème1)'!JH5:JJ5,"D"))*1))/(COUNTA(JH5:JJ5)),"")</f>
        <v/>
      </c>
      <c r="JL5" s="184" t="str">
        <f t="shared" si="62"/>
        <v/>
      </c>
      <c r="JM5" s="183">
        <f>IF(COUNT(JA5,JF5,JK5)=0,"",SUM(JA5,JF5,JK5)/COUNT(JA5,JF5,JK5))</f>
        <v>3</v>
      </c>
      <c r="JN5" s="207" t="str">
        <f t="shared" si="63"/>
        <v>B</v>
      </c>
      <c r="JO5" s="105"/>
      <c r="JP5" s="100"/>
      <c r="JQ5" s="101"/>
      <c r="JR5" s="183" t="str">
        <f>IFERROR((((COUNTIF('Elève (6ème1)'!JO5:JQ5,"A"))*4)+((COUNTIF('Elève (6ème1)'!JO5:JQ5,"B"))*3)+((COUNTIF('Elève (6ème1)'!JO5:JQ5,"C"))*2)+((COUNTIF('Elève (6ème1)'!JO5:JQ5,"D"))*1))/(COUNTA(JO5:JQ5)),"")</f>
        <v/>
      </c>
      <c r="JS5" s="184" t="str">
        <f t="shared" si="64"/>
        <v/>
      </c>
      <c r="JT5" s="99"/>
      <c r="JU5" s="100" t="s">
        <v>24</v>
      </c>
      <c r="JV5" s="101" t="s">
        <v>24</v>
      </c>
      <c r="JW5" s="183">
        <f>IFERROR((((COUNTIF('Elève (6ème1)'!JT5:JV5,"A"))*4)+((COUNTIF('Elève (6ème1)'!JT5:JV5,"B"))*3)+((COUNTIF('Elève (6ème1)'!JT5:JV5,"C"))*2)+((COUNTIF('Elève (6ème1)'!JT5:JV5,"D"))*1))/(COUNTA(JT5:JV5)),"")</f>
        <v>3</v>
      </c>
      <c r="JX5" s="184" t="str">
        <f t="shared" si="65"/>
        <v>B</v>
      </c>
      <c r="JY5" s="99"/>
      <c r="JZ5" s="100"/>
      <c r="KA5" s="101"/>
      <c r="KB5" s="183" t="str">
        <f>IFERROR((((COUNTIF('Elève (6ème1)'!JY5:KA5,"A"))*4)+((COUNTIF('Elève (6ème1)'!JY5:KA5,"B"))*3)+((COUNTIF('Elève (6ème1)'!JY5:KA5,"C"))*2)+((COUNTIF('Elève (6ème1)'!JY5:KA5,"D"))*1))/(COUNTA(JY5:KA5)),"")</f>
        <v/>
      </c>
      <c r="KC5" s="184" t="str">
        <f t="shared" si="66"/>
        <v/>
      </c>
      <c r="KD5" s="183">
        <f>IF(COUNT(JR5,JW5,KB5)=0,"",SUM(JR5,JW5,KB5)/COUNT(JR5,JW5,KB5))</f>
        <v>3</v>
      </c>
      <c r="KE5" s="207" t="str">
        <f t="shared" si="67"/>
        <v>B</v>
      </c>
      <c r="KF5" s="105"/>
      <c r="KG5" s="100"/>
      <c r="KH5" s="101"/>
      <c r="KI5" s="183" t="str">
        <f>IFERROR((((COUNTIF('Elève (6ème1)'!KF5:KH5,"A"))*4)+((COUNTIF('Elève (6ème1)'!KF5:KH5,"B"))*3)+((COUNTIF('Elève (6ème1)'!KF5:KH5,"C"))*2)+((COUNTIF('Elève (6ème1)'!KF5:KH5,"D"))*1))/(COUNTA(KF5:KH5)),"")</f>
        <v/>
      </c>
      <c r="KJ5" s="184" t="str">
        <f t="shared" si="68"/>
        <v/>
      </c>
      <c r="KK5" s="99"/>
      <c r="KL5" s="100" t="s">
        <v>23</v>
      </c>
      <c r="KM5" s="101" t="s">
        <v>24</v>
      </c>
      <c r="KN5" s="183">
        <f>IFERROR((((COUNTIF('Elève (6ème1)'!KK5:KM5,"A"))*4)+((COUNTIF('Elève (6ème1)'!KK5:KM5,"B"))*3)+((COUNTIF('Elève (6ème1)'!KK5:KM5,"C"))*2)+((COUNTIF('Elève (6ème1)'!KK5:KM5,"D"))*1))/(COUNTA(KK5:KM5)),"")</f>
        <v>3.5</v>
      </c>
      <c r="KO5" s="184" t="str">
        <f t="shared" si="69"/>
        <v>B</v>
      </c>
      <c r="KP5" s="99"/>
      <c r="KQ5" s="100"/>
      <c r="KR5" s="101"/>
      <c r="KS5" s="183" t="str">
        <f>IFERROR((((COUNTIF('Elève (6ème1)'!KP5:KR5,"A"))*4)+((COUNTIF('Elève (6ème1)'!KP5:KR5,"B"))*3)+((COUNTIF('Elève (6ème1)'!KP5:KR5,"C"))*2)+((COUNTIF('Elève (6ème1)'!KP5:KR5,"D"))*1))/(COUNTA(KP5:KR5)),"")</f>
        <v/>
      </c>
      <c r="KT5" s="184" t="str">
        <f t="shared" si="70"/>
        <v/>
      </c>
      <c r="KU5" s="183">
        <f>IF(COUNT(KI5,KN5,KS5)=0,"",SUM(KI5,KN5,KS5)/COUNT(KI5,KN5,KS5))</f>
        <v>3.5</v>
      </c>
      <c r="KV5" s="207" t="str">
        <f t="shared" si="71"/>
        <v>B</v>
      </c>
      <c r="KW5" s="105"/>
      <c r="KX5" s="100"/>
      <c r="KY5" s="101"/>
      <c r="KZ5" s="183" t="str">
        <f>IFERROR((((COUNTIF('Elève (6ème1)'!KW5:KY5,"A"))*4)+((COUNTIF('Elève (6ème1)'!KW5:KY5,"B"))*3)+((COUNTIF('Elève (6ème1)'!KW5:KY5,"C"))*2)+((COUNTIF('Elève (6ème1)'!KW5:KY5,"D"))*1))/(COUNTA(KW5:KY5)),"")</f>
        <v/>
      </c>
      <c r="LA5" s="184" t="str">
        <f t="shared" si="72"/>
        <v/>
      </c>
      <c r="LB5" s="99"/>
      <c r="LC5" s="100" t="s">
        <v>23</v>
      </c>
      <c r="LD5" s="101" t="s">
        <v>25</v>
      </c>
      <c r="LE5" s="183">
        <f>IFERROR((((COUNTIF('Elève (6ème1)'!LB5:LD5,"A"))*4)+((COUNTIF('Elève (6ème1)'!LB5:LD5,"B"))*3)+((COUNTIF('Elève (6ème1)'!LB5:LD5,"C"))*2)+((COUNTIF('Elève (6ème1)'!LB5:LD5,"D"))*1))/(COUNTA(LB5:LD5)),"")</f>
        <v>3</v>
      </c>
      <c r="LF5" s="184" t="str">
        <f t="shared" si="73"/>
        <v>B</v>
      </c>
      <c r="LG5" s="99"/>
      <c r="LH5" s="100"/>
      <c r="LI5" s="101"/>
      <c r="LJ5" s="183" t="str">
        <f>IFERROR((((COUNTIF('Elève (6ème1)'!LG5:LI5,"A"))*4)+((COUNTIF('Elève (6ème1)'!LG5:LI5,"B"))*3)+((COUNTIF('Elève (6ème1)'!LG5:LI5,"C"))*2)+((COUNTIF('Elève (6ème1)'!LG5:LI5,"D"))*1))/(COUNTA(LG5:LI5)),"")</f>
        <v/>
      </c>
      <c r="LK5" s="184" t="str">
        <f t="shared" si="74"/>
        <v/>
      </c>
      <c r="LL5" s="183">
        <f>IF(COUNT(KZ5,LE5,LJ5)=0,"",SUM(KZ5,LE5,LJ5)/COUNT(KZ5,LE5,LJ5))</f>
        <v>3</v>
      </c>
      <c r="LM5" s="207" t="str">
        <f t="shared" si="75"/>
        <v>B</v>
      </c>
      <c r="LN5" s="105"/>
      <c r="LO5" s="100"/>
      <c r="LP5" s="101"/>
      <c r="LQ5" s="183" t="str">
        <f>IFERROR((((COUNTIF('Elève (6ème1)'!LN5:LP5,"A"))*4)+((COUNTIF('Elève (6ème1)'!LN5:LP5,"B"))*3)+((COUNTIF('Elève (6ème1)'!LN5:LP5,"C"))*2)+((COUNTIF('Elève (6ème1)'!LN5:LP5,"D"))*1))/(COUNTA(LN5:LP5)),"")</f>
        <v/>
      </c>
      <c r="LR5" s="184" t="str">
        <f t="shared" si="76"/>
        <v/>
      </c>
      <c r="LS5" s="99"/>
      <c r="LT5" s="100" t="s">
        <v>23</v>
      </c>
      <c r="LU5" s="101"/>
      <c r="LV5" s="183">
        <f>IFERROR((((COUNTIF('Elève (6ème1)'!LS5:LU5,"A"))*4)+((COUNTIF('Elève (6ème1)'!LS5:LU5,"B"))*3)+((COUNTIF('Elève (6ème1)'!LS5:LU5,"C"))*2)+((COUNTIF('Elève (6ème1)'!LS5:LU5,"D"))*1))/(COUNTA(LS5:LU5)),"")</f>
        <v>4</v>
      </c>
      <c r="LW5" s="184" t="str">
        <f t="shared" si="77"/>
        <v>A</v>
      </c>
      <c r="LX5" s="99"/>
      <c r="LY5" s="100"/>
      <c r="LZ5" s="101"/>
      <c r="MA5" s="183" t="str">
        <f>IFERROR((((COUNTIF('Elève (6ème1)'!LX5:LZ5,"A"))*4)+((COUNTIF('Elève (6ème1)'!LX5:LZ5,"B"))*3)+((COUNTIF('Elève (6ème1)'!LX5:LZ5,"C"))*2)+((COUNTIF('Elève (6ème1)'!LX5:LZ5,"D"))*1))/(COUNTA(LX5:LZ5)),"")</f>
        <v/>
      </c>
      <c r="MB5" s="184" t="str">
        <f t="shared" si="78"/>
        <v/>
      </c>
      <c r="MC5" s="183">
        <f>IF(COUNT(LQ5,LV5,MA5)=0,"",SUM(LQ5,LV5,MA5)/COUNT(LQ5,LV5,MA5))</f>
        <v>4</v>
      </c>
      <c r="MD5" s="207" t="str">
        <f t="shared" si="79"/>
        <v>A</v>
      </c>
      <c r="ME5" s="105"/>
      <c r="MF5" s="100"/>
      <c r="MG5" s="101"/>
      <c r="MH5" s="183" t="str">
        <f>IFERROR((((COUNTIF('Elève (6ème1)'!ME5:MG5,"A"))*4)+((COUNTIF('Elève (6ème1)'!ME5:MG5,"B"))*3)+((COUNTIF('Elève (6ème1)'!ME5:MG5,"C"))*2)+((COUNTIF('Elève (6ème1)'!ME5:MG5,"D"))*1))/(COUNTA(ME5:MG5)),"")</f>
        <v/>
      </c>
      <c r="MI5" s="184" t="str">
        <f t="shared" si="80"/>
        <v/>
      </c>
      <c r="MJ5" s="99"/>
      <c r="MK5" s="100" t="s">
        <v>23</v>
      </c>
      <c r="ML5" s="101" t="s">
        <v>23</v>
      </c>
      <c r="MM5" s="183">
        <f>IFERROR((((COUNTIF('Elève (6ème1)'!MJ5:ML5,"A"))*4)+((COUNTIF('Elève (6ème1)'!MJ5:ML5,"B"))*3)+((COUNTIF('Elève (6ème1)'!MJ5:ML5,"C"))*2)+((COUNTIF('Elève (6ème1)'!MJ5:ML5,"D"))*1))/(COUNTA(MJ5:ML5)),"")</f>
        <v>4</v>
      </c>
      <c r="MN5" s="184" t="str">
        <f t="shared" si="81"/>
        <v>A</v>
      </c>
      <c r="MO5" s="99"/>
      <c r="MP5" s="100"/>
      <c r="MQ5" s="101"/>
      <c r="MR5" s="183" t="str">
        <f>IFERROR((((COUNTIF('Elève (6ème1)'!MO5:MQ5,"A"))*4)+((COUNTIF('Elève (6ème1)'!MO5:MQ5,"B"))*3)+((COUNTIF('Elève (6ème1)'!MO5:MQ5,"C"))*2)+((COUNTIF('Elève (6ème1)'!MO5:MQ5,"D"))*1))/(COUNTA(MO5:MQ5)),"")</f>
        <v/>
      </c>
      <c r="MS5" s="184" t="str">
        <f t="shared" si="82"/>
        <v/>
      </c>
      <c r="MT5" s="183">
        <f>IF(COUNT(MH5,MM5,MR5)=0,"",SUM(MH5,MM5,MR5)/COUNT(MH5,MM5,MR5))</f>
        <v>4</v>
      </c>
      <c r="MU5" s="207" t="str">
        <f t="shared" si="83"/>
        <v>A</v>
      </c>
      <c r="MV5" s="105"/>
      <c r="MW5" s="100"/>
      <c r="MX5" s="101"/>
      <c r="MY5" s="183" t="str">
        <f>IFERROR((((COUNTIF('Elève (6ème1)'!MV5:MX5,"A"))*4)+((COUNTIF('Elève (6ème1)'!MV5:MX5,"B"))*3)+((COUNTIF('Elève (6ème1)'!MV5:MX5,"C"))*2)+((COUNTIF('Elève (6ème1)'!MV5:MX5,"D"))*1))/(COUNTA(MV5:MX5)),"")</f>
        <v/>
      </c>
      <c r="MZ5" s="184" t="str">
        <f t="shared" si="84"/>
        <v/>
      </c>
      <c r="NA5" s="99"/>
      <c r="NB5" s="100" t="s">
        <v>24</v>
      </c>
      <c r="NC5" s="101" t="s">
        <v>24</v>
      </c>
      <c r="ND5" s="183">
        <f>IFERROR((((COUNTIF('Elève (6ème1)'!NA5:NC5,"A"))*4)+((COUNTIF('Elève (6ème1)'!NA5:NC5,"B"))*3)+((COUNTIF('Elève (6ème1)'!NA5:NC5,"C"))*2)+((COUNTIF('Elève (6ème1)'!NA5:NC5,"D"))*1))/(COUNTA(NA5:NC5)),"")</f>
        <v>3</v>
      </c>
      <c r="NE5" s="184" t="str">
        <f t="shared" si="85"/>
        <v>B</v>
      </c>
      <c r="NF5" s="99"/>
      <c r="NG5" s="100"/>
      <c r="NH5" s="101"/>
      <c r="NI5" s="183" t="str">
        <f>IFERROR((((COUNTIF('Elève (6ème1)'!NF5:NH5,"A"))*4)+((COUNTIF('Elève (6ème1)'!NF5:NH5,"B"))*3)+((COUNTIF('Elève (6ème1)'!NF5:NH5,"C"))*2)+((COUNTIF('Elève (6ème1)'!NF5:NH5,"D"))*1))/(COUNTA(NF5:NH5)),"")</f>
        <v/>
      </c>
      <c r="NJ5" s="184" t="str">
        <f t="shared" si="86"/>
        <v/>
      </c>
      <c r="NK5" s="183">
        <f>IF(COUNT(MY5,ND5,NI5)=0,"",SUM(MY5,ND5,NI5)/COUNT(MY5,ND5,NI5))</f>
        <v>3</v>
      </c>
      <c r="NL5" s="207" t="str">
        <f t="shared" si="87"/>
        <v>B</v>
      </c>
      <c r="NM5" s="105"/>
      <c r="NN5" s="100"/>
      <c r="NO5" s="101"/>
      <c r="NP5" s="183" t="str">
        <f>IFERROR((((COUNTIF('Elève (6ème1)'!NM5:NO5,"A"))*4)+((COUNTIF('Elève (6ème1)'!NM5:NO5,"B"))*3)+((COUNTIF('Elève (6ème1)'!NM5:NO5,"C"))*2)+((COUNTIF('Elève (6ème1)'!NM5:NO5,"D"))*1))/(COUNTA(NM5:NO5)),"")</f>
        <v/>
      </c>
      <c r="NQ5" s="184" t="str">
        <f t="shared" si="88"/>
        <v/>
      </c>
      <c r="NR5" s="99"/>
      <c r="NS5" s="100" t="s">
        <v>23</v>
      </c>
      <c r="NT5" s="101" t="s">
        <v>23</v>
      </c>
      <c r="NU5" s="183">
        <f>IFERROR((((COUNTIF('Elève (6ème1)'!NR5:NT5,"A"))*4)+((COUNTIF('Elève (6ème1)'!NR5:NT5,"B"))*3)+((COUNTIF('Elève (6ème1)'!NR5:NT5,"C"))*2)+((COUNTIF('Elève (6ème1)'!NR5:NT5,"D"))*1))/(COUNTA(NR5:NT5)),"")</f>
        <v>4</v>
      </c>
      <c r="NV5" s="184" t="str">
        <f t="shared" si="89"/>
        <v>A</v>
      </c>
      <c r="NW5" s="99"/>
      <c r="NX5" s="100"/>
      <c r="NY5" s="101"/>
      <c r="NZ5" s="183" t="str">
        <f>IFERROR((((COUNTIF('Elève (6ème1)'!NW5:NY5,"A"))*4)+((COUNTIF('Elève (6ème1)'!NW5:NY5,"B"))*3)+((COUNTIF('Elève (6ème1)'!NW5:NY5,"C"))*2)+((COUNTIF('Elève (6ème1)'!NW5:NY5,"D"))*1))/(COUNTA(NW5:NY5)),"")</f>
        <v/>
      </c>
      <c r="OA5" s="184" t="str">
        <f t="shared" si="90"/>
        <v/>
      </c>
      <c r="OB5" s="183">
        <f>IF(COUNT(NP5,NU5,NZ5)=0,"",SUM(NP5,NU5,NZ5)/COUNT(NP5,NU5,NZ5))</f>
        <v>4</v>
      </c>
      <c r="OC5" s="207" t="str">
        <f t="shared" si="91"/>
        <v>A</v>
      </c>
      <c r="OD5" s="105"/>
      <c r="OE5" s="100"/>
      <c r="OF5" s="101"/>
      <c r="OG5" s="183" t="str">
        <f>IFERROR((((COUNTIF('Elève (6ème1)'!OD5:OF5,"A"))*4)+((COUNTIF('Elève (6ème1)'!OD5:OF5,"B"))*3)+((COUNTIF('Elève (6ème1)'!OD5:OF5,"C"))*2)+((COUNTIF('Elève (6ème1)'!OD5:OF5,"D"))*1))/(COUNTA(OD5:OF5)),"")</f>
        <v/>
      </c>
      <c r="OH5" s="184" t="str">
        <f t="shared" si="92"/>
        <v/>
      </c>
      <c r="OI5" s="99"/>
      <c r="OJ5" s="100" t="s">
        <v>23</v>
      </c>
      <c r="OK5" s="101" t="s">
        <v>24</v>
      </c>
      <c r="OL5" s="183">
        <f>IFERROR((((COUNTIF('Elève (6ème1)'!OI5:OK5,"A"))*4)+((COUNTIF('Elève (6ème1)'!OI5:OK5,"B"))*3)+((COUNTIF('Elève (6ème1)'!OI5:OK5,"C"))*2)+((COUNTIF('Elève (6ème1)'!OI5:OK5,"D"))*1))/(COUNTA(OI5:OK5)),"")</f>
        <v>3.5</v>
      </c>
      <c r="OM5" s="184" t="str">
        <f t="shared" si="93"/>
        <v>B</v>
      </c>
      <c r="ON5" s="99"/>
      <c r="OO5" s="100"/>
      <c r="OP5" s="101"/>
      <c r="OQ5" s="183" t="str">
        <f>IFERROR((((COUNTIF('Elève (6ème1)'!ON5:OP5,"A"))*4)+((COUNTIF('Elève (6ème1)'!ON5:OP5,"B"))*3)+((COUNTIF('Elève (6ème1)'!ON5:OP5,"C"))*2)+((COUNTIF('Elève (6ème1)'!ON5:OP5,"D"))*1))/(COUNTA(ON5:OP5)),"")</f>
        <v/>
      </c>
      <c r="OR5" s="184" t="str">
        <f t="shared" si="94"/>
        <v/>
      </c>
      <c r="OS5" s="183">
        <f>IF(COUNT(OG5,OL5,OQ5)=0,"",SUM(OG5,OL5,OQ5)/COUNT(OG5,OL5,OQ5))</f>
        <v>3.5</v>
      </c>
      <c r="OT5" s="207" t="str">
        <f t="shared" si="95"/>
        <v>B</v>
      </c>
      <c r="OU5" s="105"/>
      <c r="OV5" s="100"/>
      <c r="OW5" s="101"/>
      <c r="OX5" s="183" t="str">
        <f>IFERROR((((COUNTIF('Elève (6ème1)'!OU5:OW5,"A"))*4)+((COUNTIF('Elève (6ème1)'!OU5:OW5,"B"))*3)+((COUNTIF('Elève (6ème1)'!OU5:OW5,"C"))*2)+((COUNTIF('Elève (6ème1)'!OU5:OW5,"D"))*1))/(COUNTA(OU5:OW5)),"")</f>
        <v/>
      </c>
      <c r="OY5" s="184" t="str">
        <f t="shared" si="96"/>
        <v/>
      </c>
      <c r="OZ5" s="99"/>
      <c r="PA5" s="100" t="s">
        <v>23</v>
      </c>
      <c r="PB5" s="101"/>
      <c r="PC5" s="183">
        <f>IFERROR((((COUNTIF('Elève (6ème1)'!OZ5:PB5,"A"))*4)+((COUNTIF('Elève (6ème1)'!OZ5:PB5,"B"))*3)+((COUNTIF('Elève (6ème1)'!OZ5:PB5,"C"))*2)+((COUNTIF('Elève (6ème1)'!OZ5:PB5,"D"))*1))/(COUNTA(OZ5:PB5)),"")</f>
        <v>4</v>
      </c>
      <c r="PD5" s="184" t="str">
        <f t="shared" si="97"/>
        <v>A</v>
      </c>
      <c r="PE5" s="99"/>
      <c r="PF5" s="100"/>
      <c r="PG5" s="101"/>
      <c r="PH5" s="183" t="str">
        <f>IFERROR((((COUNTIF('Elève (6ème1)'!PE5:PG5,"A"))*4)+((COUNTIF('Elève (6ème1)'!PE5:PG5,"B"))*3)+((COUNTIF('Elève (6ème1)'!PE5:PG5,"C"))*2)+((COUNTIF('Elève (6ème1)'!PE5:PG5,"D"))*1))/(COUNTA(PE5:PG5)),"")</f>
        <v/>
      </c>
      <c r="PI5" s="184" t="str">
        <f t="shared" si="98"/>
        <v/>
      </c>
      <c r="PJ5" s="183">
        <f>IF(COUNT(OX5,PC5,PH5)=0,"",SUM(OX5,PC5,PH5)/COUNT(OX5,PC5,PH5))</f>
        <v>4</v>
      </c>
      <c r="PK5" s="207" t="str">
        <f t="shared" si="99"/>
        <v>A</v>
      </c>
      <c r="PL5" s="105"/>
      <c r="PM5" s="100"/>
      <c r="PN5" s="101"/>
      <c r="PO5" s="183" t="str">
        <f>IFERROR((((COUNTIF('Elève (6ème1)'!PL5:PN5,"A"))*4)+((COUNTIF('Elève (6ème1)'!PL5:PN5,"B"))*3)+((COUNTIF('Elève (6ème1)'!PL5:PN5,"C"))*2)+((COUNTIF('Elève (6ème1)'!PL5:PN5,"D"))*1))/(COUNTA(PL5:PN5)),"")</f>
        <v/>
      </c>
      <c r="PP5" s="184" t="str">
        <f t="shared" si="100"/>
        <v/>
      </c>
      <c r="PQ5" s="99"/>
      <c r="PR5" s="100" t="s">
        <v>25</v>
      </c>
      <c r="PS5" s="101" t="s">
        <v>24</v>
      </c>
      <c r="PT5" s="183">
        <f>IFERROR((((COUNTIF('Elève (6ème1)'!PQ5:PS5,"A"))*4)+((COUNTIF('Elève (6ème1)'!PQ5:PS5,"B"))*3)+((COUNTIF('Elève (6ème1)'!PQ5:PS5,"C"))*2)+((COUNTIF('Elève (6ème1)'!PQ5:PS5,"D"))*1))/(COUNTA(PQ5:PS5)),"")</f>
        <v>2.5</v>
      </c>
      <c r="PU5" s="184" t="str">
        <f t="shared" si="101"/>
        <v>C</v>
      </c>
      <c r="PV5" s="99"/>
      <c r="PW5" s="100"/>
      <c r="PX5" s="101"/>
      <c r="PY5" s="183" t="str">
        <f>IFERROR((((COUNTIF('Elève (6ème1)'!PV5:PX5,"A"))*4)+((COUNTIF('Elève (6ème1)'!PV5:PX5,"B"))*3)+((COUNTIF('Elève (6ème1)'!PV5:PX5,"C"))*2)+((COUNTIF('Elève (6ème1)'!PV5:PX5,"D"))*1))/(COUNTA(PV5:PX5)),"")</f>
        <v/>
      </c>
      <c r="PZ5" s="184" t="str">
        <f t="shared" si="102"/>
        <v/>
      </c>
      <c r="QA5" s="183">
        <f>IF(COUNT(PO5,PT5,PY5)=0,"",SUM(PO5,PT5,PY5)/COUNT(PO5,PT5,PY5))</f>
        <v>2.5</v>
      </c>
      <c r="QB5" s="207" t="str">
        <f t="shared" si="103"/>
        <v>C</v>
      </c>
      <c r="QC5" s="105"/>
      <c r="QD5" s="100"/>
      <c r="QE5" s="101"/>
      <c r="QF5" s="183" t="str">
        <f>IFERROR((((COUNTIF('Elève (6ème1)'!QC5:QE5,"A"))*4)+((COUNTIF('Elève (6ème1)'!QC5:QE5,"B"))*3)+((COUNTIF('Elève (6ème1)'!QC5:QE5,"C"))*2)+((COUNTIF('Elève (6ème1)'!QC5:QE5,"D"))*1))/(COUNTA(QC5:QE5)),"")</f>
        <v/>
      </c>
      <c r="QG5" s="184" t="str">
        <f t="shared" si="104"/>
        <v/>
      </c>
      <c r="QH5" s="99"/>
      <c r="QI5" s="100" t="s">
        <v>23</v>
      </c>
      <c r="QJ5" s="101"/>
      <c r="QK5" s="183">
        <f>IFERROR((((COUNTIF('Elève (6ème1)'!QH5:QJ5,"A"))*4)+((COUNTIF('Elève (6ème1)'!QH5:QJ5,"B"))*3)+((COUNTIF('Elève (6ème1)'!QH5:QJ5,"C"))*2)+((COUNTIF('Elève (6ème1)'!QH5:QJ5,"D"))*1))/(COUNTA(QH5:QJ5)),"")</f>
        <v>4</v>
      </c>
      <c r="QL5" s="184" t="str">
        <f t="shared" si="105"/>
        <v>A</v>
      </c>
      <c r="QM5" s="99"/>
      <c r="QN5" s="100"/>
      <c r="QO5" s="101"/>
      <c r="QP5" s="183" t="str">
        <f>IFERROR((((COUNTIF('Elève (6ème1)'!QM5:QO5,"A"))*4)+((COUNTIF('Elève (6ème1)'!QM5:QO5,"B"))*3)+((COUNTIF('Elève (6ème1)'!QM5:QO5,"C"))*2)+((COUNTIF('Elève (6ème1)'!QM5:QO5,"D"))*1))/(COUNTA(QM5:QO5)),"")</f>
        <v/>
      </c>
      <c r="QQ5" s="184" t="str">
        <f t="shared" si="106"/>
        <v/>
      </c>
      <c r="QR5" s="183">
        <f>IF(COUNT(QF5,QK5,QP5)=0,"",SUM(QF5,QK5,QP5)/COUNT(QF5,QK5,QP5))</f>
        <v>4</v>
      </c>
      <c r="QS5" s="207" t="str">
        <f t="shared" si="107"/>
        <v>A</v>
      </c>
      <c r="QT5" s="105"/>
      <c r="QU5" s="100"/>
      <c r="QV5" s="101"/>
      <c r="QW5" s="183" t="str">
        <f>IFERROR((((COUNTIF('Elève (6ème1)'!QT5:QV5,"A"))*4)+((COUNTIF('Elève (6ème1)'!QT5:QV5,"B"))*3)+((COUNTIF('Elève (6ème1)'!QT5:QV5,"C"))*2)+((COUNTIF('Elève (6ème1)'!QT5:QV5,"D"))*1))/(COUNTA(QT5:QV5)),"")</f>
        <v/>
      </c>
      <c r="QX5" s="184" t="str">
        <f t="shared" si="108"/>
        <v/>
      </c>
      <c r="QY5" s="99"/>
      <c r="QZ5" s="100" t="s">
        <v>23</v>
      </c>
      <c r="RA5" s="101"/>
      <c r="RB5" s="183">
        <f>IFERROR((((COUNTIF('Elève (6ème1)'!QY5:RA5,"A"))*4)+((COUNTIF('Elève (6ème1)'!QY5:RA5,"B"))*3)+((COUNTIF('Elève (6ème1)'!QY5:RA5,"C"))*2)+((COUNTIF('Elève (6ème1)'!QY5:RA5,"D"))*1))/(COUNTA(QY5:RA5)),"")</f>
        <v>4</v>
      </c>
      <c r="RC5" s="184" t="str">
        <f t="shared" si="109"/>
        <v>A</v>
      </c>
      <c r="RD5" s="99"/>
      <c r="RE5" s="100"/>
      <c r="RF5" s="101"/>
      <c r="RG5" s="183" t="str">
        <f>IFERROR((((COUNTIF('Elève (6ème1)'!RD5:RF5,"A"))*4)+((COUNTIF('Elève (6ème1)'!RD5:RF5,"B"))*3)+((COUNTIF('Elève (6ème1)'!RD5:RF5,"C"))*2)+((COUNTIF('Elève (6ème1)'!RD5:RF5,"D"))*1))/(COUNTA(RD5:RF5)),"")</f>
        <v/>
      </c>
      <c r="RH5" s="184" t="str">
        <f t="shared" si="110"/>
        <v/>
      </c>
      <c r="RI5" s="183">
        <f>IF(COUNT(QW5,RB5,RG5)=0,"",SUM(QW5,RB5,RG5)/COUNT(QW5,RB5,RG5))</f>
        <v>4</v>
      </c>
      <c r="RJ5" s="207" t="str">
        <f t="shared" si="111"/>
        <v>A</v>
      </c>
      <c r="RK5" s="105"/>
      <c r="RL5" s="100"/>
      <c r="RM5" s="101"/>
      <c r="RN5" s="183" t="str">
        <f>IFERROR((((COUNTIF('Elève (6ème1)'!RK5:RM5,"A"))*4)+((COUNTIF('Elève (6ème1)'!RK5:RM5,"B"))*3)+((COUNTIF('Elève (6ème1)'!RK5:RM5,"C"))*2)+((COUNTIF('Elève (6ème1)'!RK5:RM5,"D"))*1))/(COUNTA(RK5:RM5)),"")</f>
        <v/>
      </c>
      <c r="RO5" s="184" t="str">
        <f t="shared" si="112"/>
        <v/>
      </c>
      <c r="RP5" s="99"/>
      <c r="RQ5" s="100" t="s">
        <v>23</v>
      </c>
      <c r="RR5" s="101"/>
      <c r="RS5" s="183">
        <f>IFERROR((((COUNTIF('Elève (6ème1)'!RP5:RR5,"A"))*4)+((COUNTIF('Elève (6ème1)'!RP5:RR5,"B"))*3)+((COUNTIF('Elève (6ème1)'!RP5:RR5,"C"))*2)+((COUNTIF('Elève (6ème1)'!RP5:RR5,"D"))*1))/(COUNTA(RP5:RR5)),"")</f>
        <v>4</v>
      </c>
      <c r="RT5" s="184" t="str">
        <f t="shared" si="113"/>
        <v>A</v>
      </c>
      <c r="RU5" s="99"/>
      <c r="RV5" s="100"/>
      <c r="RW5" s="101"/>
      <c r="RX5" s="183" t="str">
        <f>IFERROR((((COUNTIF('Elève (6ème1)'!RU5:RW5,"A"))*4)+((COUNTIF('Elève (6ème1)'!RU5:RW5,"B"))*3)+((COUNTIF('Elève (6ème1)'!RU5:RW5,"C"))*2)+((COUNTIF('Elève (6ème1)'!RU5:RW5,"D"))*1))/(COUNTA(RU5:RW5)),"")</f>
        <v/>
      </c>
      <c r="RY5" s="184" t="str">
        <f t="shared" si="114"/>
        <v/>
      </c>
      <c r="RZ5" s="183">
        <f>IF(COUNT(RN5,RS5,RX5)=0,"",SUM(RN5,RS5,RX5)/COUNT(RN5,RS5,RX5))</f>
        <v>4</v>
      </c>
      <c r="SA5" s="207" t="str">
        <f t="shared" si="115"/>
        <v>A</v>
      </c>
      <c r="SB5" s="105"/>
      <c r="SC5" s="100"/>
      <c r="SD5" s="101"/>
      <c r="SE5" s="183" t="str">
        <f>IFERROR((((COUNTIF('Elève (6ème1)'!SB5:SD5,"A"))*4)+((COUNTIF('Elève (6ème1)'!SB5:SD5,"B"))*3)+((COUNTIF('Elève (6ème1)'!SB5:SD5,"C"))*2)+((COUNTIF('Elève (6ème1)'!SB5:SD5,"D"))*1))/(COUNTA(SB5:SD5)),"")</f>
        <v/>
      </c>
      <c r="SF5" s="184" t="str">
        <f t="shared" si="116"/>
        <v/>
      </c>
      <c r="SG5" s="99"/>
      <c r="SH5" s="100" t="s">
        <v>24</v>
      </c>
      <c r="SI5" s="101"/>
      <c r="SJ5" s="183">
        <f>IFERROR((((COUNTIF('Elève (6ème1)'!SG5:SI5,"A"))*4)+((COUNTIF('Elève (6ème1)'!SG5:SI5,"B"))*3)+((COUNTIF('Elève (6ème1)'!SG5:SI5,"C"))*2)+((COUNTIF('Elève (6ème1)'!SG5:SI5,"D"))*1))/(COUNTA(SG5:SI5)),"")</f>
        <v>3</v>
      </c>
      <c r="SK5" s="184" t="str">
        <f t="shared" si="117"/>
        <v>B</v>
      </c>
      <c r="SL5" s="99"/>
      <c r="SM5" s="100"/>
      <c r="SN5" s="101"/>
      <c r="SO5" s="183" t="str">
        <f>IFERROR((((COUNTIF('Elève (6ème1)'!SL5:SN5,"A"))*4)+((COUNTIF('Elève (6ème1)'!SL5:SN5,"B"))*3)+((COUNTIF('Elève (6ème1)'!SL5:SN5,"C"))*2)+((COUNTIF('Elève (6ème1)'!SL5:SN5,"D"))*1))/(COUNTA(SL5:SN5)),"")</f>
        <v/>
      </c>
      <c r="SP5" s="184" t="str">
        <f t="shared" si="118"/>
        <v/>
      </c>
      <c r="SQ5" s="183">
        <f>IF(COUNT(SE5,SJ5,SO5)=0,"",SUM(SE5,SJ5,SO5)/COUNT(SE5,SJ5,SO5))</f>
        <v>3</v>
      </c>
      <c r="SR5" s="207" t="str">
        <f t="shared" si="119"/>
        <v>B</v>
      </c>
      <c r="SS5" s="105"/>
      <c r="ST5" s="100"/>
      <c r="SU5" s="101"/>
      <c r="SV5" s="183" t="str">
        <f>IFERROR((((COUNTIF('Elève (6ème1)'!SS5:SU5,"A"))*4)+((COUNTIF('Elève (6ème1)'!SS5:SU5,"B"))*3)+((COUNTIF('Elève (6ème1)'!SS5:SU5,"C"))*2)+((COUNTIF('Elève (6ème1)'!SS5:SU5,"D"))*1))/(COUNTA(SS5:SU5)),"")</f>
        <v/>
      </c>
      <c r="SW5" s="184" t="str">
        <f t="shared" si="120"/>
        <v/>
      </c>
      <c r="SX5" s="99"/>
      <c r="SY5" s="100" t="s">
        <v>23</v>
      </c>
      <c r="SZ5" s="101" t="s">
        <v>23</v>
      </c>
      <c r="TA5" s="183">
        <f>IFERROR((((COUNTIF('Elève (6ème1)'!SX5:SZ5,"A"))*4)+((COUNTIF('Elève (6ème1)'!SX5:SZ5,"B"))*3)+((COUNTIF('Elève (6ème1)'!SX5:SZ5,"C"))*2)+((COUNTIF('Elève (6ème1)'!SX5:SZ5,"D"))*1))/(COUNTA(SX5:SZ5)),"")</f>
        <v>4</v>
      </c>
      <c r="TB5" s="184" t="str">
        <f t="shared" si="121"/>
        <v>A</v>
      </c>
      <c r="TC5" s="99"/>
      <c r="TD5" s="100"/>
      <c r="TE5" s="101"/>
      <c r="TF5" s="183" t="str">
        <f>IFERROR((((COUNTIF('Elève (6ème1)'!TC5:TE5,"A"))*4)+((COUNTIF('Elève (6ème1)'!TC5:TE5,"B"))*3)+((COUNTIF('Elève (6ème1)'!TC5:TE5,"C"))*2)+((COUNTIF('Elève (6ème1)'!TC5:TE5,"D"))*1))/(COUNTA(TC5:TE5)),"")</f>
        <v/>
      </c>
      <c r="TG5" s="184" t="str">
        <f t="shared" si="122"/>
        <v/>
      </c>
      <c r="TH5" s="183">
        <f>IF(COUNT(SV5,TA5,TF5)=0,"",SUM(SV5,TA5,TF5)/COUNT(SV5,TA5,TF5))</f>
        <v>4</v>
      </c>
      <c r="TI5" s="207" t="str">
        <f t="shared" si="123"/>
        <v>A</v>
      </c>
      <c r="TJ5" s="105"/>
      <c r="TK5" s="100"/>
      <c r="TL5" s="101"/>
      <c r="TM5" s="183" t="str">
        <f>IFERROR((((COUNTIF('Elève (6ème1)'!TJ5:TL5,"A"))*4)+((COUNTIF('Elève (6ème1)'!TJ5:TL5,"B"))*3)+((COUNTIF('Elève (6ème1)'!TJ5:TL5,"C"))*2)+((COUNTIF('Elève (6ème1)'!TJ5:TL5,"D"))*1))/(COUNTA(TJ5:TL5)),"")</f>
        <v/>
      </c>
      <c r="TN5" s="184" t="str">
        <f t="shared" si="124"/>
        <v/>
      </c>
      <c r="TO5" s="99"/>
      <c r="TP5" s="100" t="s">
        <v>24</v>
      </c>
      <c r="TQ5" s="101" t="s">
        <v>25</v>
      </c>
      <c r="TR5" s="183">
        <f>IFERROR((((COUNTIF('Elève (6ème1)'!TO5:TQ5,"A"))*4)+((COUNTIF('Elève (6ème1)'!TO5:TQ5,"B"))*3)+((COUNTIF('Elève (6ème1)'!TO5:TQ5,"C"))*2)+((COUNTIF('Elève (6ème1)'!TO5:TQ5,"D"))*1))/(COUNTA(TO5:TQ5)),"")</f>
        <v>2.5</v>
      </c>
      <c r="TS5" s="184" t="str">
        <f t="shared" si="125"/>
        <v>C</v>
      </c>
      <c r="TT5" s="99"/>
      <c r="TU5" s="100"/>
      <c r="TV5" s="101"/>
      <c r="TW5" s="183" t="str">
        <f>IFERROR((((COUNTIF('Elève (6ème1)'!TT5:TV5,"A"))*4)+((COUNTIF('Elève (6ème1)'!TT5:TV5,"B"))*3)+((COUNTIF('Elève (6ème1)'!TT5:TV5,"C"))*2)+((COUNTIF('Elève (6ème1)'!TT5:TV5,"D"))*1))/(COUNTA(TT5:TV5)),"")</f>
        <v/>
      </c>
      <c r="TX5" s="184" t="str">
        <f t="shared" si="126"/>
        <v/>
      </c>
      <c r="TY5" s="183">
        <f>IF(COUNT(TM5,TR5,TW5)=0,"",SUM(TM5,TR5,TW5)/COUNT(TM5,TR5,TW5))</f>
        <v>2.5</v>
      </c>
      <c r="TZ5" s="207" t="str">
        <f t="shared" si="127"/>
        <v>C</v>
      </c>
    </row>
    <row r="6" spans="1:546" ht="15.75" thickBot="1" x14ac:dyDescent="0.3">
      <c r="A6" s="242" t="s">
        <v>13</v>
      </c>
      <c r="B6" s="243"/>
      <c r="C6" s="106"/>
      <c r="D6" s="107"/>
      <c r="E6" s="108"/>
      <c r="F6" s="185" t="str">
        <f>IFERROR((((COUNTIF('Elève (6ème1)'!C6:E6,"A"))*4)+((COUNTIF('Elève (6ème1)'!C6:E6,"B"))*3)+((COUNTIF('Elève (6ème1)'!C6:E6,"C"))*2)+((COUNTIF('Elève (6ème1)'!C6:E6,"D"))*1))/(COUNTA(C6:E6)),"")</f>
        <v/>
      </c>
      <c r="G6" s="186" t="str">
        <f t="shared" si="0"/>
        <v/>
      </c>
      <c r="H6" s="106" t="s">
        <v>24</v>
      </c>
      <c r="I6" s="107"/>
      <c r="J6" s="108"/>
      <c r="K6" s="185">
        <f>IFERROR((((COUNTIF('Elève (6ème1)'!H6:J6,"A"))*4)+((COUNTIF('Elève (6ème1)'!H6:J6,"B"))*3)+((COUNTIF('Elève (6ème1)'!H6:J6,"C"))*2)+((COUNTIF('Elève (6ème1)'!H6:J6,"D"))*1))/(COUNTA(H6:J6)),"")</f>
        <v>3</v>
      </c>
      <c r="L6" s="186" t="str">
        <f t="shared" si="1"/>
        <v>B</v>
      </c>
      <c r="M6" s="106"/>
      <c r="N6" s="107"/>
      <c r="O6" s="108" t="s">
        <v>23</v>
      </c>
      <c r="P6" s="185">
        <f>IFERROR((((COUNTIF('Elève (6ème1)'!M6:O6,"A"))*4)+((COUNTIF('Elève (6ème1)'!M6:O6,"B"))*3)+((COUNTIF('Elève (6ème1)'!M6:O6,"C"))*2)+((COUNTIF('Elève (6ème1)'!M6:O6,"D"))*1))/(COUNTA(M6:O6)),"")</f>
        <v>4</v>
      </c>
      <c r="Q6" s="186" t="str">
        <f t="shared" si="2"/>
        <v>A</v>
      </c>
      <c r="R6" s="185">
        <f>IF(COUNT(F6,K6,P6)=0,"",SUM(F6,K6,P6)/COUNT(F6,K6,P6))</f>
        <v>3.5</v>
      </c>
      <c r="S6" s="208" t="str">
        <f t="shared" si="3"/>
        <v>B</v>
      </c>
      <c r="T6" s="112"/>
      <c r="U6" s="107"/>
      <c r="V6" s="108"/>
      <c r="W6" s="185" t="str">
        <f>IFERROR((((COUNTIF('Elève (6ème1)'!T6:V6,"A"))*4)+((COUNTIF('Elève (6ème1)'!T6:V6,"B"))*3)+((COUNTIF('Elève (6ème1)'!T6:V6,"C"))*2)+((COUNTIF('Elève (6ème1)'!T6:V6,"D"))*1))/(COUNTA(T6:V6)),"")</f>
        <v/>
      </c>
      <c r="X6" s="186" t="str">
        <f t="shared" si="4"/>
        <v/>
      </c>
      <c r="Y6" s="106" t="s">
        <v>23</v>
      </c>
      <c r="Z6" s="107"/>
      <c r="AA6" s="108"/>
      <c r="AB6" s="185">
        <f>IFERROR((((COUNTIF('Elève (6ème1)'!Y6:AA6,"A"))*4)+((COUNTIF('Elève (6ème1)'!Y6:AA6,"B"))*3)+((COUNTIF('Elève (6ème1)'!Y6:AA6,"C"))*2)+((COUNTIF('Elève (6ème1)'!Y6:AA6,"D"))*1))/(COUNTA(Y6:AA6)),"")</f>
        <v>4</v>
      </c>
      <c r="AC6" s="186" t="str">
        <f t="shared" si="5"/>
        <v>A</v>
      </c>
      <c r="AD6" s="106"/>
      <c r="AE6" s="107" t="s">
        <v>23</v>
      </c>
      <c r="AF6" s="108" t="s">
        <v>23</v>
      </c>
      <c r="AG6" s="185">
        <f>IFERROR((((COUNTIF('Elève (6ème1)'!AD6:AF6,"A"))*4)+((COUNTIF('Elève (6ème1)'!AD6:AF6,"B"))*3)+((COUNTIF('Elève (6ème1)'!AD6:AF6,"C"))*2)+((COUNTIF('Elève (6ème1)'!AD6:AF6,"D"))*1))/(COUNTA(AD6:AF6)),"")</f>
        <v>4</v>
      </c>
      <c r="AH6" s="186" t="str">
        <f t="shared" si="6"/>
        <v>A</v>
      </c>
      <c r="AI6" s="185">
        <f>IF(COUNT(W6,AB6,AG6)=0,"",SUM(W6,AB6,AG6)/COUNT(W6,AB6,AG6))</f>
        <v>4</v>
      </c>
      <c r="AJ6" s="208" t="str">
        <f t="shared" si="7"/>
        <v>A</v>
      </c>
      <c r="AK6" s="112"/>
      <c r="AL6" s="107"/>
      <c r="AM6" s="108"/>
      <c r="AN6" s="185" t="str">
        <f>IFERROR((((COUNTIF('Elève (6ème1)'!AK6:AM6,"A"))*4)+((COUNTIF('Elève (6ème1)'!AK6:AM6,"B"))*3)+((COUNTIF('Elève (6ème1)'!AK6:AM6,"C"))*2)+((COUNTIF('Elève (6ème1)'!AK6:AM6,"D"))*1))/(COUNTA(AK6:AM6)),"")</f>
        <v/>
      </c>
      <c r="AO6" s="186" t="str">
        <f t="shared" si="8"/>
        <v/>
      </c>
      <c r="AP6" s="106" t="s">
        <v>23</v>
      </c>
      <c r="AQ6" s="107"/>
      <c r="AR6" s="108"/>
      <c r="AS6" s="185">
        <f>IFERROR((((COUNTIF('Elève (6ème1)'!AP6:AR6,"A"))*4)+((COUNTIF('Elève (6ème1)'!AP6:AR6,"B"))*3)+((COUNTIF('Elève (6ème1)'!AP6:AR6,"C"))*2)+((COUNTIF('Elève (6ème1)'!AP6:AR6,"D"))*1))/(COUNTA(AP6:AR6)),"")</f>
        <v>4</v>
      </c>
      <c r="AT6" s="186" t="str">
        <f t="shared" si="9"/>
        <v>A</v>
      </c>
      <c r="AU6" s="106"/>
      <c r="AV6" s="107"/>
      <c r="AW6" s="108" t="s">
        <v>23</v>
      </c>
      <c r="AX6" s="185">
        <f>IFERROR((((COUNTIF('Elève (6ème1)'!AU6:AW6,"A"))*4)+((COUNTIF('Elève (6ème1)'!AU6:AW6,"B"))*3)+((COUNTIF('Elève (6ème1)'!AU6:AW6,"C"))*2)+((COUNTIF('Elève (6ème1)'!AU6:AW6,"D"))*1))/(COUNTA(AU6:AW6)),"")</f>
        <v>4</v>
      </c>
      <c r="AY6" s="186" t="str">
        <f t="shared" si="10"/>
        <v>A</v>
      </c>
      <c r="AZ6" s="185">
        <f>IF(COUNT(AN6,AS6,AX6)=0,"",SUM(AN6,AS6,AX6)/COUNT(AN6,AS6,AX6))</f>
        <v>4</v>
      </c>
      <c r="BA6" s="208" t="str">
        <f t="shared" si="11"/>
        <v>A</v>
      </c>
      <c r="BB6" s="112"/>
      <c r="BC6" s="107"/>
      <c r="BD6" s="108"/>
      <c r="BE6" s="185" t="str">
        <f>IFERROR((((COUNTIF('Elève (6ème1)'!BB6:BD6,"A"))*4)+((COUNTIF('Elève (6ème1)'!BB6:BD6,"B"))*3)+((COUNTIF('Elève (6ème1)'!BB6:BD6,"C"))*2)+((COUNTIF('Elève (6ème1)'!BB6:BD6,"D"))*1))/(COUNTA(BB6:BD6)),"")</f>
        <v/>
      </c>
      <c r="BF6" s="186" t="str">
        <f t="shared" si="12"/>
        <v/>
      </c>
      <c r="BG6" s="106" t="s">
        <v>23</v>
      </c>
      <c r="BH6" s="107"/>
      <c r="BI6" s="108"/>
      <c r="BJ6" s="185">
        <f>IFERROR((((COUNTIF('Elève (6ème1)'!BG6:BI6,"A"))*4)+((COUNTIF('Elève (6ème1)'!BG6:BI6,"B"))*3)+((COUNTIF('Elève (6ème1)'!BG6:BI6,"C"))*2)+((COUNTIF('Elève (6ème1)'!BG6:BI6,"D"))*1))/(COUNTA(BG6:BI6)),"")</f>
        <v>4</v>
      </c>
      <c r="BK6" s="186" t="str">
        <f t="shared" si="13"/>
        <v>A</v>
      </c>
      <c r="BL6" s="106"/>
      <c r="BM6" s="107"/>
      <c r="BN6" s="108" t="s">
        <v>24</v>
      </c>
      <c r="BO6" s="185">
        <f>IFERROR((((COUNTIF('Elève (6ème1)'!BL6:BN6,"A"))*4)+((COUNTIF('Elève (6ème1)'!BL6:BN6,"B"))*3)+((COUNTIF('Elève (6ème1)'!BL6:BN6,"C"))*2)+((COUNTIF('Elève (6ème1)'!BL6:BN6,"D"))*1))/(COUNTA(BL6:BN6)),"")</f>
        <v>3</v>
      </c>
      <c r="BP6" s="186" t="str">
        <f t="shared" si="14"/>
        <v>B</v>
      </c>
      <c r="BQ6" s="185">
        <f>IF(COUNT(BE6,BJ6,BO6)=0,"",SUM(BE6,BJ6,BO6)/COUNT(BE6,BJ6,BO6))</f>
        <v>3.5</v>
      </c>
      <c r="BR6" s="208" t="str">
        <f t="shared" si="15"/>
        <v>B</v>
      </c>
      <c r="BS6" s="112"/>
      <c r="BT6" s="107"/>
      <c r="BU6" s="108"/>
      <c r="BV6" s="185" t="str">
        <f>IFERROR((((COUNTIF('Elève (6ème1)'!BS6:BU6,"A"))*4)+((COUNTIF('Elève (6ème1)'!BS6:BU6,"B"))*3)+((COUNTIF('Elève (6ème1)'!BS6:BU6,"C"))*2)+((COUNTIF('Elève (6ème1)'!BS6:BU6,"D"))*1))/(COUNTA(BS6:BU6)),"")</f>
        <v/>
      </c>
      <c r="BW6" s="186" t="str">
        <f t="shared" si="16"/>
        <v/>
      </c>
      <c r="BX6" s="106" t="s">
        <v>25</v>
      </c>
      <c r="BY6" s="107"/>
      <c r="BZ6" s="108"/>
      <c r="CA6" s="185">
        <f>IFERROR((((COUNTIF('Elève (6ème1)'!BX6:BZ6,"A"))*4)+((COUNTIF('Elève (6ème1)'!BX6:BZ6,"B"))*3)+((COUNTIF('Elève (6ème1)'!BX6:BZ6,"C"))*2)+((COUNTIF('Elève (6ème1)'!BX6:BZ6,"D"))*1))/(COUNTA(BX6:BZ6)),"")</f>
        <v>2</v>
      </c>
      <c r="CB6" s="186" t="str">
        <f t="shared" si="17"/>
        <v>C</v>
      </c>
      <c r="CC6" s="106"/>
      <c r="CD6" s="107"/>
      <c r="CE6" s="108" t="s">
        <v>23</v>
      </c>
      <c r="CF6" s="185">
        <f>IFERROR((((COUNTIF('Elève (6ème1)'!CC6:CE6,"A"))*4)+((COUNTIF('Elève (6ème1)'!CC6:CE6,"B"))*3)+((COUNTIF('Elève (6ème1)'!CC6:CE6,"C"))*2)+((COUNTIF('Elève (6ème1)'!CC6:CE6,"D"))*1))/(COUNTA(CC6:CE6)),"")</f>
        <v>4</v>
      </c>
      <c r="CG6" s="186" t="str">
        <f t="shared" si="18"/>
        <v>A</v>
      </c>
      <c r="CH6" s="185">
        <f>IF(COUNT(BV6,CA6,CF6)=0,"",SUM(BV6,CA6,CF6)/COUNT(BV6,CA6,CF6))</f>
        <v>3</v>
      </c>
      <c r="CI6" s="208" t="str">
        <f t="shared" si="19"/>
        <v>B</v>
      </c>
      <c r="CJ6" s="112"/>
      <c r="CK6" s="107"/>
      <c r="CL6" s="108"/>
      <c r="CM6" s="185" t="str">
        <f>IFERROR((((COUNTIF('Elève (6ème1)'!CJ6:CL6,"A"))*4)+((COUNTIF('Elève (6ème1)'!CJ6:CL6,"B"))*3)+((COUNTIF('Elève (6ème1)'!CJ6:CL6,"C"))*2)+((COUNTIF('Elève (6ème1)'!CJ6:CL6,"D"))*1))/(COUNTA(CJ6:CL6)),"")</f>
        <v/>
      </c>
      <c r="CN6" s="186" t="str">
        <f t="shared" si="20"/>
        <v/>
      </c>
      <c r="CO6" s="106" t="s">
        <v>24</v>
      </c>
      <c r="CP6" s="107"/>
      <c r="CQ6" s="108"/>
      <c r="CR6" s="185">
        <f>IFERROR((((COUNTIF('Elève (6ème1)'!CO6:CQ6,"A"))*4)+((COUNTIF('Elève (6ème1)'!CO6:CQ6,"B"))*3)+((COUNTIF('Elève (6ème1)'!CO6:CQ6,"C"))*2)+((COUNTIF('Elève (6ème1)'!CO6:CQ6,"D"))*1))/(COUNTA(CO6:CQ6)),"")</f>
        <v>3</v>
      </c>
      <c r="CS6" s="186" t="str">
        <f t="shared" si="21"/>
        <v>B</v>
      </c>
      <c r="CT6" s="106"/>
      <c r="CU6" s="107"/>
      <c r="CV6" s="108"/>
      <c r="CW6" s="185" t="str">
        <f>IFERROR((((COUNTIF('Elève (6ème1)'!CT6:CV6,"A"))*4)+((COUNTIF('Elève (6ème1)'!CT6:CV6,"B"))*3)+((COUNTIF('Elève (6ème1)'!CT6:CV6,"C"))*2)+((COUNTIF('Elève (6ème1)'!CT6:CV6,"D"))*1))/(COUNTA(CT6:CV6)),"")</f>
        <v/>
      </c>
      <c r="CX6" s="186" t="str">
        <f t="shared" si="22"/>
        <v/>
      </c>
      <c r="CY6" s="185">
        <f>IF(COUNT(CM6,CR6,CW6)=0,"",SUM(CM6,CR6,CW6)/COUNT(CM6,CR6,CW6))</f>
        <v>3</v>
      </c>
      <c r="CZ6" s="208" t="str">
        <f t="shared" si="23"/>
        <v>B</v>
      </c>
      <c r="DA6" s="112"/>
      <c r="DB6" s="107"/>
      <c r="DC6" s="108"/>
      <c r="DD6" s="185" t="str">
        <f>IFERROR((((COUNTIF('Elève (6ème1)'!DA6:DC6,"A"))*4)+((COUNTIF('Elève (6ème1)'!DA6:DC6,"B"))*3)+((COUNTIF('Elève (6ème1)'!DA6:DC6,"C"))*2)+((COUNTIF('Elève (6ème1)'!DA6:DC6,"D"))*1))/(COUNTA(DA6:DC6)),"")</f>
        <v/>
      </c>
      <c r="DE6" s="186" t="str">
        <f t="shared" si="24"/>
        <v/>
      </c>
      <c r="DF6" s="106" t="s">
        <v>24</v>
      </c>
      <c r="DG6" s="107"/>
      <c r="DH6" s="108"/>
      <c r="DI6" s="185">
        <f>IFERROR((((COUNTIF('Elève (6ème1)'!DF6:DH6,"A"))*4)+((COUNTIF('Elève (6ème1)'!DF6:DH6,"B"))*3)+((COUNTIF('Elève (6ème1)'!DF6:DH6,"C"))*2)+((COUNTIF('Elève (6ème1)'!DF6:DH6,"D"))*1))/(COUNTA(DF6:DH6)),"")</f>
        <v>3</v>
      </c>
      <c r="DJ6" s="186" t="str">
        <f t="shared" si="25"/>
        <v>B</v>
      </c>
      <c r="DK6" s="106"/>
      <c r="DL6" s="107"/>
      <c r="DM6" s="108" t="s">
        <v>23</v>
      </c>
      <c r="DN6" s="185">
        <f>IFERROR((((COUNTIF('Elève (6ème1)'!DK6:DM6,"A"))*4)+((COUNTIF('Elève (6ème1)'!DK6:DM6,"B"))*3)+((COUNTIF('Elève (6ème1)'!DK6:DM6,"C"))*2)+((COUNTIF('Elève (6ème1)'!DK6:DM6,"D"))*1))/(COUNTA(DK6:DM6)),"")</f>
        <v>4</v>
      </c>
      <c r="DO6" s="186" t="str">
        <f t="shared" si="26"/>
        <v>A</v>
      </c>
      <c r="DP6" s="185">
        <f>IF(COUNT(DD6,DI6,DN6)=0,"",SUM(DD6,DI6,DN6)/COUNT(DD6,DI6,DN6))</f>
        <v>3.5</v>
      </c>
      <c r="DQ6" s="208" t="str">
        <f t="shared" si="27"/>
        <v>B</v>
      </c>
      <c r="DR6" s="112"/>
      <c r="DS6" s="107"/>
      <c r="DT6" s="108"/>
      <c r="DU6" s="185" t="str">
        <f>IFERROR((((COUNTIF('Elève (6ème1)'!DR6:DT6,"A"))*4)+((COUNTIF('Elève (6ème1)'!DR6:DT6,"B"))*3)+((COUNTIF('Elève (6ème1)'!DR6:DT6,"C"))*2)+((COUNTIF('Elève (6ème1)'!DR6:DT6,"D"))*1))/(COUNTA(DR6:DT6)),"")</f>
        <v/>
      </c>
      <c r="DV6" s="186" t="str">
        <f t="shared" si="28"/>
        <v/>
      </c>
      <c r="DW6" s="106" t="s">
        <v>23</v>
      </c>
      <c r="DX6" s="107"/>
      <c r="DY6" s="108"/>
      <c r="DZ6" s="185">
        <f>IFERROR((((COUNTIF('Elève (6ème1)'!DW6:DY6,"A"))*4)+((COUNTIF('Elève (6ème1)'!DW6:DY6,"B"))*3)+((COUNTIF('Elève (6ème1)'!DW6:DY6,"C"))*2)+((COUNTIF('Elève (6ème1)'!DW6:DY6,"D"))*1))/(COUNTA(DW6:DY6)),"")</f>
        <v>4</v>
      </c>
      <c r="EA6" s="186" t="str">
        <f t="shared" si="29"/>
        <v>A</v>
      </c>
      <c r="EB6" s="106"/>
      <c r="EC6" s="107"/>
      <c r="ED6" s="108" t="s">
        <v>23</v>
      </c>
      <c r="EE6" s="185">
        <f>IFERROR((((COUNTIF('Elève (6ème1)'!EB6:ED6,"A"))*4)+((COUNTIF('Elève (6ème1)'!EB6:ED6,"B"))*3)+((COUNTIF('Elève (6ème1)'!EB6:ED6,"C"))*2)+((COUNTIF('Elève (6ème1)'!EB6:ED6,"D"))*1))/(COUNTA(EB6:ED6)),"")</f>
        <v>4</v>
      </c>
      <c r="EF6" s="186" t="str">
        <f t="shared" si="30"/>
        <v>A</v>
      </c>
      <c r="EG6" s="185">
        <f>IF(COUNT(DU6,DZ6,EE6)=0,"",SUM(DU6,DZ6,EE6)/COUNT(DU6,DZ6,EE6))</f>
        <v>4</v>
      </c>
      <c r="EH6" s="208" t="str">
        <f t="shared" si="31"/>
        <v>A</v>
      </c>
      <c r="EI6" s="112"/>
      <c r="EJ6" s="107"/>
      <c r="EK6" s="108"/>
      <c r="EL6" s="185" t="str">
        <f>IFERROR((((COUNTIF('Elève (6ème1)'!EI6:EK6,"A"))*4)+((COUNTIF('Elève (6ème1)'!EI6:EK6,"B"))*3)+((COUNTIF('Elève (6ème1)'!EI6:EK6,"C"))*2)+((COUNTIF('Elève (6ème1)'!EI6:EK6,"D"))*1))/(COUNTA(EI6:EK6)),"")</f>
        <v/>
      </c>
      <c r="EM6" s="186" t="str">
        <f t="shared" si="32"/>
        <v/>
      </c>
      <c r="EN6" s="106" t="s">
        <v>23</v>
      </c>
      <c r="EO6" s="107"/>
      <c r="EP6" s="108"/>
      <c r="EQ6" s="185">
        <f>IFERROR((((COUNTIF('Elève (6ème1)'!EN6:EP6,"A"))*4)+((COUNTIF('Elève (6ème1)'!EN6:EP6,"B"))*3)+((COUNTIF('Elève (6ème1)'!EN6:EP6,"C"))*2)+((COUNTIF('Elève (6ème1)'!EN6:EP6,"D"))*1))/(COUNTA(EN6:EP6)),"")</f>
        <v>4</v>
      </c>
      <c r="ER6" s="186" t="str">
        <f t="shared" si="33"/>
        <v>A</v>
      </c>
      <c r="ES6" s="106"/>
      <c r="ET6" s="107"/>
      <c r="EU6" s="108" t="s">
        <v>23</v>
      </c>
      <c r="EV6" s="185">
        <f>IFERROR((((COUNTIF('Elève (6ème1)'!ES6:EU6,"A"))*4)+((COUNTIF('Elève (6ème1)'!ES6:EU6,"B"))*3)+((COUNTIF('Elève (6ème1)'!ES6:EU6,"C"))*2)+((COUNTIF('Elève (6ème1)'!ES6:EU6,"D"))*1))/(COUNTA(ES6:EU6)),"")</f>
        <v>4</v>
      </c>
      <c r="EW6" s="186" t="str">
        <f t="shared" si="34"/>
        <v>A</v>
      </c>
      <c r="EX6" s="185">
        <f>IF(COUNT(EL6,EQ6,EV6)=0,"",SUM(EL6,EQ6,EV6)/COUNT(EL6,EQ6,EV6))</f>
        <v>4</v>
      </c>
      <c r="EY6" s="208" t="str">
        <f t="shared" si="35"/>
        <v>A</v>
      </c>
      <c r="EZ6" s="112"/>
      <c r="FA6" s="107"/>
      <c r="FB6" s="108"/>
      <c r="FC6" s="185" t="str">
        <f>IFERROR((((COUNTIF('Elève (6ème1)'!EZ6:FB6,"A"))*4)+((COUNTIF('Elève (6ème1)'!EZ6:FB6,"B"))*3)+((COUNTIF('Elève (6ème1)'!EZ6:FB6,"C"))*2)+((COUNTIF('Elève (6ème1)'!EZ6:FB6,"D"))*1))/(COUNTA(EZ6:FB6)),"")</f>
        <v/>
      </c>
      <c r="FD6" s="186" t="str">
        <f t="shared" si="36"/>
        <v/>
      </c>
      <c r="FE6" s="106" t="s">
        <v>23</v>
      </c>
      <c r="FF6" s="107"/>
      <c r="FG6" s="108"/>
      <c r="FH6" s="185">
        <f>IFERROR((((COUNTIF('Elève (6ème1)'!FE6:FG6,"A"))*4)+((COUNTIF('Elève (6ème1)'!FE6:FG6,"B"))*3)+((COUNTIF('Elève (6ème1)'!FE6:FG6,"C"))*2)+((COUNTIF('Elève (6ème1)'!FE6:FG6,"D"))*1))/(COUNTA(FE6:FG6)),"")</f>
        <v>4</v>
      </c>
      <c r="FI6" s="186" t="str">
        <f t="shared" si="37"/>
        <v>A</v>
      </c>
      <c r="FJ6" s="106"/>
      <c r="FK6" s="107"/>
      <c r="FL6" s="108" t="s">
        <v>23</v>
      </c>
      <c r="FM6" s="185">
        <f>IFERROR((((COUNTIF('Elève (6ème1)'!FJ6:FL6,"A"))*4)+((COUNTIF('Elève (6ème1)'!FJ6:FL6,"B"))*3)+((COUNTIF('Elève (6ème1)'!FJ6:FL6,"C"))*2)+((COUNTIF('Elève (6ème1)'!FJ6:FL6,"D"))*1))/(COUNTA(FJ6:FL6)),"")</f>
        <v>4</v>
      </c>
      <c r="FN6" s="186" t="str">
        <f t="shared" si="38"/>
        <v>A</v>
      </c>
      <c r="FO6" s="185">
        <f>IF(COUNT(FC6,FH6,FM6)=0,"",SUM(FC6,FH6,FM6)/COUNT(FC6,FH6,FM6))</f>
        <v>4</v>
      </c>
      <c r="FP6" s="208" t="str">
        <f t="shared" si="39"/>
        <v>A</v>
      </c>
      <c r="FQ6" s="112"/>
      <c r="FR6" s="107"/>
      <c r="FS6" s="108"/>
      <c r="FT6" s="185" t="str">
        <f>IFERROR((((COUNTIF('Elève (6ème1)'!FQ6:FS6,"A"))*4)+((COUNTIF('Elève (6ème1)'!FQ6:FS6,"B"))*3)+((COUNTIF('Elève (6ème1)'!FQ6:FS6,"C"))*2)+((COUNTIF('Elève (6ème1)'!FQ6:FS6,"D"))*1))/(COUNTA(FQ6:FS6)),"")</f>
        <v/>
      </c>
      <c r="FU6" s="186" t="str">
        <f t="shared" si="40"/>
        <v/>
      </c>
      <c r="FV6" s="106" t="s">
        <v>23</v>
      </c>
      <c r="FW6" s="107"/>
      <c r="FX6" s="108"/>
      <c r="FY6" s="185">
        <f>IFERROR((((COUNTIF('Elève (6ème1)'!FV6:FX6,"A"))*4)+((COUNTIF('Elève (6ème1)'!FV6:FX6,"B"))*3)+((COUNTIF('Elève (6ème1)'!FV6:FX6,"C"))*2)+((COUNTIF('Elève (6ème1)'!FV6:FX6,"D"))*1))/(COUNTA(FV6:FX6)),"")</f>
        <v>4</v>
      </c>
      <c r="FZ6" s="186" t="str">
        <f t="shared" si="41"/>
        <v>A</v>
      </c>
      <c r="GA6" s="106"/>
      <c r="GB6" s="107"/>
      <c r="GC6" s="108" t="s">
        <v>23</v>
      </c>
      <c r="GD6" s="185">
        <f>IFERROR((((COUNTIF('Elève (6ème1)'!GA6:GC6,"A"))*4)+((COUNTIF('Elève (6ème1)'!GA6:GC6,"B"))*3)+((COUNTIF('Elève (6ème1)'!GA6:GC6,"C"))*2)+((COUNTIF('Elève (6ème1)'!GA6:GC6,"D"))*1))/(COUNTA(GA6:GC6)),"")</f>
        <v>4</v>
      </c>
      <c r="GE6" s="186" t="str">
        <f t="shared" si="42"/>
        <v>A</v>
      </c>
      <c r="GF6" s="185">
        <f>IF(COUNT(FT6,FY6,GD6)=0,"",SUM(FT6,FY6,GD6)/COUNT(FT6,FY6,GD6))</f>
        <v>4</v>
      </c>
      <c r="GG6" s="208" t="str">
        <f t="shared" si="43"/>
        <v>A</v>
      </c>
      <c r="GH6" s="112"/>
      <c r="GI6" s="107"/>
      <c r="GJ6" s="108"/>
      <c r="GK6" s="185" t="str">
        <f>IFERROR((((COUNTIF('Elève (6ème1)'!GH6:GJ6,"A"))*4)+((COUNTIF('Elève (6ème1)'!GH6:GJ6,"B"))*3)+((COUNTIF('Elève (6ème1)'!GH6:GJ6,"C"))*2)+((COUNTIF('Elève (6ème1)'!GH6:GJ6,"D"))*1))/(COUNTA(GH6:GJ6)),"")</f>
        <v/>
      </c>
      <c r="GL6" s="186" t="str">
        <f t="shared" si="44"/>
        <v/>
      </c>
      <c r="GM6" s="106" t="s">
        <v>23</v>
      </c>
      <c r="GN6" s="107"/>
      <c r="GO6" s="108"/>
      <c r="GP6" s="185">
        <f>IFERROR((((COUNTIF('Elève (6ème1)'!GM6:GO6,"A"))*4)+((COUNTIF('Elève (6ème1)'!GM6:GO6,"B"))*3)+((COUNTIF('Elève (6ème1)'!GM6:GO6,"C"))*2)+((COUNTIF('Elève (6ème1)'!GM6:GO6,"D"))*1))/(COUNTA(GM6:GO6)),"")</f>
        <v>4</v>
      </c>
      <c r="GQ6" s="186" t="str">
        <f t="shared" si="45"/>
        <v>A</v>
      </c>
      <c r="GR6" s="106"/>
      <c r="GS6" s="107"/>
      <c r="GT6" s="108" t="s">
        <v>23</v>
      </c>
      <c r="GU6" s="185">
        <f>IFERROR((((COUNTIF('Elève (6ème1)'!GR6:GT6,"A"))*4)+((COUNTIF('Elève (6ème1)'!GR6:GT6,"B"))*3)+((COUNTIF('Elève (6ème1)'!GR6:GT6,"C"))*2)+((COUNTIF('Elève (6ème1)'!GR6:GT6,"D"))*1))/(COUNTA(GR6:GT6)),"")</f>
        <v>4</v>
      </c>
      <c r="GV6" s="186" t="str">
        <f t="shared" si="46"/>
        <v>A</v>
      </c>
      <c r="GW6" s="185">
        <f>IF(COUNT(GK6,GP6,GU6)=0,"",SUM(GK6,GP6,GU6)/COUNT(GK6,GP6,GU6))</f>
        <v>4</v>
      </c>
      <c r="GX6" s="208" t="str">
        <f t="shared" si="47"/>
        <v>A</v>
      </c>
      <c r="GY6" s="112"/>
      <c r="GZ6" s="107"/>
      <c r="HA6" s="108"/>
      <c r="HB6" s="185" t="str">
        <f>IFERROR((((COUNTIF('Elève (6ème1)'!GY6:HA6,"A"))*4)+((COUNTIF('Elève (6ème1)'!GY6:HA6,"B"))*3)+((COUNTIF('Elève (6ème1)'!GY6:HA6,"C"))*2)+((COUNTIF('Elève (6ème1)'!GY6:HA6,"D"))*1))/(COUNTA(GY6:HA6)),"")</f>
        <v/>
      </c>
      <c r="HC6" s="186" t="str">
        <f t="shared" si="48"/>
        <v/>
      </c>
      <c r="HD6" s="106" t="s">
        <v>24</v>
      </c>
      <c r="HE6" s="107"/>
      <c r="HF6" s="108"/>
      <c r="HG6" s="185">
        <f>IFERROR((((COUNTIF('Elève (6ème1)'!HD6:HF6,"A"))*4)+((COUNTIF('Elève (6ème1)'!HD6:HF6,"B"))*3)+((COUNTIF('Elève (6ème1)'!HD6:HF6,"C"))*2)+((COUNTIF('Elève (6ème1)'!HD6:HF6,"D"))*1))/(COUNTA(HD6:HF6)),"")</f>
        <v>3</v>
      </c>
      <c r="HH6" s="186" t="str">
        <f t="shared" si="49"/>
        <v>B</v>
      </c>
      <c r="HI6" s="106"/>
      <c r="HJ6" s="107"/>
      <c r="HK6" s="108" t="s">
        <v>23</v>
      </c>
      <c r="HL6" s="185">
        <f>IFERROR((((COUNTIF('Elève (6ème1)'!HI6:HK6,"A"))*4)+((COUNTIF('Elève (6ème1)'!HI6:HK6,"B"))*3)+((COUNTIF('Elève (6ème1)'!HI6:HK6,"C"))*2)+((COUNTIF('Elève (6ème1)'!HI6:HK6,"D"))*1))/(COUNTA(HI6:HK6)),"")</f>
        <v>4</v>
      </c>
      <c r="HM6" s="186" t="str">
        <f t="shared" si="50"/>
        <v>A</v>
      </c>
      <c r="HN6" s="185">
        <f>IF(COUNT(HB6,HG6,HL6)=0,"",SUM(HB6,HG6,HL6)/COUNT(HB6,HG6,HL6))</f>
        <v>3.5</v>
      </c>
      <c r="HO6" s="208" t="str">
        <f t="shared" si="51"/>
        <v>B</v>
      </c>
      <c r="HP6" s="112"/>
      <c r="HQ6" s="107"/>
      <c r="HR6" s="108"/>
      <c r="HS6" s="185" t="str">
        <f>IFERROR((((COUNTIF('Elève (6ème1)'!HP6:HR6,"A"))*4)+((COUNTIF('Elève (6ème1)'!HP6:HR6,"B"))*3)+((COUNTIF('Elève (6ème1)'!HP6:HR6,"C"))*2)+((COUNTIF('Elève (6ème1)'!HP6:HR6,"D"))*1))/(COUNTA(HP6:HR6)),"")</f>
        <v/>
      </c>
      <c r="HT6" s="186" t="str">
        <f t="shared" si="52"/>
        <v/>
      </c>
      <c r="HU6" s="106" t="s">
        <v>23</v>
      </c>
      <c r="HV6" s="107"/>
      <c r="HW6" s="108"/>
      <c r="HX6" s="185">
        <f>IFERROR((((COUNTIF('Elève (6ème1)'!HU6:HW6,"A"))*4)+((COUNTIF('Elève (6ème1)'!HU6:HW6,"B"))*3)+((COUNTIF('Elève (6ème1)'!HU6:HW6,"C"))*2)+((COUNTIF('Elève (6ème1)'!HU6:HW6,"D"))*1))/(COUNTA(HU6:HW6)),"")</f>
        <v>4</v>
      </c>
      <c r="HY6" s="186" t="str">
        <f t="shared" si="53"/>
        <v>A</v>
      </c>
      <c r="HZ6" s="106"/>
      <c r="IA6" s="107"/>
      <c r="IB6" s="108" t="s">
        <v>23</v>
      </c>
      <c r="IC6" s="185">
        <f>IFERROR((((COUNTIF('Elève (6ème1)'!HZ6:IB6,"A"))*4)+((COUNTIF('Elève (6ème1)'!HZ6:IB6,"B"))*3)+((COUNTIF('Elève (6ème1)'!HZ6:IB6,"C"))*2)+((COUNTIF('Elève (6ème1)'!HZ6:IB6,"D"))*1))/(COUNTA(HZ6:IB6)),"")</f>
        <v>4</v>
      </c>
      <c r="ID6" s="186" t="str">
        <f t="shared" si="54"/>
        <v>A</v>
      </c>
      <c r="IE6" s="185">
        <f>IF(COUNT(HS6,HX6,IC6)=0,"",SUM(HS6,HX6,IC6)/COUNT(HS6,HX6,IC6))</f>
        <v>4</v>
      </c>
      <c r="IF6" s="208" t="str">
        <f t="shared" si="55"/>
        <v>A</v>
      </c>
      <c r="IG6" s="112"/>
      <c r="IH6" s="107"/>
      <c r="II6" s="108"/>
      <c r="IJ6" s="185" t="str">
        <f>IFERROR((((COUNTIF('Elève (6ème1)'!IG6:II6,"A"))*4)+((COUNTIF('Elève (6ème1)'!IG6:II6,"B"))*3)+((COUNTIF('Elève (6ème1)'!IG6:II6,"C"))*2)+((COUNTIF('Elève (6ème1)'!IG6:II6,"D"))*1))/(COUNTA(IG6:II6)),"")</f>
        <v/>
      </c>
      <c r="IK6" s="186" t="str">
        <f t="shared" si="56"/>
        <v/>
      </c>
      <c r="IL6" s="106" t="s">
        <v>23</v>
      </c>
      <c r="IM6" s="107"/>
      <c r="IN6" s="108"/>
      <c r="IO6" s="185">
        <f>IFERROR((((COUNTIF('Elève (6ème1)'!IL6:IN6,"A"))*4)+((COUNTIF('Elève (6ème1)'!IL6:IN6,"B"))*3)+((COUNTIF('Elève (6ème1)'!IL6:IN6,"C"))*2)+((COUNTIF('Elève (6ème1)'!IL6:IN6,"D"))*1))/(COUNTA(IL6:IN6)),"")</f>
        <v>4</v>
      </c>
      <c r="IP6" s="186" t="str">
        <f t="shared" si="57"/>
        <v>A</v>
      </c>
      <c r="IQ6" s="106"/>
      <c r="IR6" s="107"/>
      <c r="IS6" s="108"/>
      <c r="IT6" s="185" t="str">
        <f>IFERROR((((COUNTIF('Elève (6ème1)'!IQ6:IS6,"A"))*4)+((COUNTIF('Elève (6ème1)'!IQ6:IS6,"B"))*3)+((COUNTIF('Elève (6ème1)'!IQ6:IS6,"C"))*2)+((COUNTIF('Elève (6ème1)'!IQ6:IS6,"D"))*1))/(COUNTA(IQ6:IS6)),"")</f>
        <v/>
      </c>
      <c r="IU6" s="186" t="str">
        <f t="shared" si="58"/>
        <v/>
      </c>
      <c r="IV6" s="185">
        <f>IF(COUNT(IJ6,IO6,IT6)=0,"",SUM(IJ6,IO6,IT6)/COUNT(IJ6,IO6,IT6))</f>
        <v>4</v>
      </c>
      <c r="IW6" s="208" t="str">
        <f t="shared" si="59"/>
        <v>A</v>
      </c>
      <c r="IX6" s="112"/>
      <c r="IY6" s="107"/>
      <c r="IZ6" s="108"/>
      <c r="JA6" s="185" t="str">
        <f>IFERROR((((COUNTIF('Elève (6ème1)'!IX6:IZ6,"A"))*4)+((COUNTIF('Elève (6ème1)'!IX6:IZ6,"B"))*3)+((COUNTIF('Elève (6ème1)'!IX6:IZ6,"C"))*2)+((COUNTIF('Elève (6ème1)'!IX6:IZ6,"D"))*1))/(COUNTA(IX6:IZ6)),"")</f>
        <v/>
      </c>
      <c r="JB6" s="186" t="str">
        <f t="shared" si="60"/>
        <v/>
      </c>
      <c r="JC6" s="106" t="s">
        <v>23</v>
      </c>
      <c r="JD6" s="107"/>
      <c r="JE6" s="108"/>
      <c r="JF6" s="185">
        <f>IFERROR((((COUNTIF('Elève (6ème1)'!JC6:JE6,"A"))*4)+((COUNTIF('Elève (6ème1)'!JC6:JE6,"B"))*3)+((COUNTIF('Elève (6ème1)'!JC6:JE6,"C"))*2)+((COUNTIF('Elève (6ème1)'!JC6:JE6,"D"))*1))/(COUNTA(JC6:JE6)),"")</f>
        <v>4</v>
      </c>
      <c r="JG6" s="186" t="str">
        <f t="shared" si="61"/>
        <v>A</v>
      </c>
      <c r="JH6" s="106"/>
      <c r="JI6" s="107"/>
      <c r="JJ6" s="108"/>
      <c r="JK6" s="185" t="str">
        <f>IFERROR((((COUNTIF('Elève (6ème1)'!JH6:JJ6,"A"))*4)+((COUNTIF('Elève (6ème1)'!JH6:JJ6,"B"))*3)+((COUNTIF('Elève (6ème1)'!JH6:JJ6,"C"))*2)+((COUNTIF('Elève (6ème1)'!JH6:JJ6,"D"))*1))/(COUNTA(JH6:JJ6)),"")</f>
        <v/>
      </c>
      <c r="JL6" s="186" t="str">
        <f t="shared" si="62"/>
        <v/>
      </c>
      <c r="JM6" s="185">
        <f>IF(COUNT(JA6,JF6,JK6)=0,"",SUM(JA6,JF6,JK6)/COUNT(JA6,JF6,JK6))</f>
        <v>4</v>
      </c>
      <c r="JN6" s="208" t="str">
        <f t="shared" si="63"/>
        <v>A</v>
      </c>
      <c r="JO6" s="112"/>
      <c r="JP6" s="107"/>
      <c r="JQ6" s="108"/>
      <c r="JR6" s="185" t="str">
        <f>IFERROR((((COUNTIF('Elève (6ème1)'!JO6:JQ6,"A"))*4)+((COUNTIF('Elève (6ème1)'!JO6:JQ6,"B"))*3)+((COUNTIF('Elève (6ème1)'!JO6:JQ6,"C"))*2)+((COUNTIF('Elève (6ème1)'!JO6:JQ6,"D"))*1))/(COUNTA(JO6:JQ6)),"")</f>
        <v/>
      </c>
      <c r="JS6" s="186" t="str">
        <f t="shared" si="64"/>
        <v/>
      </c>
      <c r="JT6" s="106" t="s">
        <v>23</v>
      </c>
      <c r="JU6" s="107"/>
      <c r="JV6" s="108"/>
      <c r="JW6" s="185">
        <f>IFERROR((((COUNTIF('Elève (6ème1)'!JT6:JV6,"A"))*4)+((COUNTIF('Elève (6ème1)'!JT6:JV6,"B"))*3)+((COUNTIF('Elève (6ème1)'!JT6:JV6,"C"))*2)+((COUNTIF('Elève (6ème1)'!JT6:JV6,"D"))*1))/(COUNTA(JT6:JV6)),"")</f>
        <v>4</v>
      </c>
      <c r="JX6" s="186" t="str">
        <f t="shared" si="65"/>
        <v>A</v>
      </c>
      <c r="JY6" s="106"/>
      <c r="JZ6" s="107"/>
      <c r="KA6" s="108" t="s">
        <v>23</v>
      </c>
      <c r="KB6" s="185">
        <f>IFERROR((((COUNTIF('Elève (6ème1)'!JY6:KA6,"A"))*4)+((COUNTIF('Elève (6ème1)'!JY6:KA6,"B"))*3)+((COUNTIF('Elève (6ème1)'!JY6:KA6,"C"))*2)+((COUNTIF('Elève (6ème1)'!JY6:KA6,"D"))*1))/(COUNTA(JY6:KA6)),"")</f>
        <v>4</v>
      </c>
      <c r="KC6" s="186" t="str">
        <f t="shared" si="66"/>
        <v>A</v>
      </c>
      <c r="KD6" s="185">
        <f>IF(COUNT(JR6,JW6,KB6)=0,"",SUM(JR6,JW6,KB6)/COUNT(JR6,JW6,KB6))</f>
        <v>4</v>
      </c>
      <c r="KE6" s="208" t="str">
        <f t="shared" si="67"/>
        <v>A</v>
      </c>
      <c r="KF6" s="112"/>
      <c r="KG6" s="107"/>
      <c r="KH6" s="108"/>
      <c r="KI6" s="185" t="str">
        <f>IFERROR((((COUNTIF('Elève (6ème1)'!KF6:KH6,"A"))*4)+((COUNTIF('Elève (6ème1)'!KF6:KH6,"B"))*3)+((COUNTIF('Elève (6ème1)'!KF6:KH6,"C"))*2)+((COUNTIF('Elève (6ème1)'!KF6:KH6,"D"))*1))/(COUNTA(KF6:KH6)),"")</f>
        <v/>
      </c>
      <c r="KJ6" s="186" t="str">
        <f t="shared" si="68"/>
        <v/>
      </c>
      <c r="KK6" s="106" t="s">
        <v>24</v>
      </c>
      <c r="KL6" s="107"/>
      <c r="KM6" s="108"/>
      <c r="KN6" s="185">
        <f>IFERROR((((COUNTIF('Elève (6ème1)'!KK6:KM6,"A"))*4)+((COUNTIF('Elève (6ème1)'!KK6:KM6,"B"))*3)+((COUNTIF('Elève (6ème1)'!KK6:KM6,"C"))*2)+((COUNTIF('Elève (6ème1)'!KK6:KM6,"D"))*1))/(COUNTA(KK6:KM6)),"")</f>
        <v>3</v>
      </c>
      <c r="KO6" s="186" t="str">
        <f t="shared" si="69"/>
        <v>B</v>
      </c>
      <c r="KP6" s="106"/>
      <c r="KQ6" s="107"/>
      <c r="KR6" s="108" t="s">
        <v>23</v>
      </c>
      <c r="KS6" s="185">
        <f>IFERROR((((COUNTIF('Elève (6ème1)'!KP6:KR6,"A"))*4)+((COUNTIF('Elève (6ème1)'!KP6:KR6,"B"))*3)+((COUNTIF('Elève (6ème1)'!KP6:KR6,"C"))*2)+((COUNTIF('Elève (6ème1)'!KP6:KR6,"D"))*1))/(COUNTA(KP6:KR6)),"")</f>
        <v>4</v>
      </c>
      <c r="KT6" s="186" t="str">
        <f t="shared" si="70"/>
        <v>A</v>
      </c>
      <c r="KU6" s="185">
        <f>IF(COUNT(KI6,KN6,KS6)=0,"",SUM(KI6,KN6,KS6)/COUNT(KI6,KN6,KS6))</f>
        <v>3.5</v>
      </c>
      <c r="KV6" s="208" t="str">
        <f t="shared" si="71"/>
        <v>B</v>
      </c>
      <c r="KW6" s="112"/>
      <c r="KX6" s="107"/>
      <c r="KY6" s="108"/>
      <c r="KZ6" s="185" t="str">
        <f>IFERROR((((COUNTIF('Elève (6ème1)'!KW6:KY6,"A"))*4)+((COUNTIF('Elève (6ème1)'!KW6:KY6,"B"))*3)+((COUNTIF('Elève (6ème1)'!KW6:KY6,"C"))*2)+((COUNTIF('Elève (6ème1)'!KW6:KY6,"D"))*1))/(COUNTA(KW6:KY6)),"")</f>
        <v/>
      </c>
      <c r="LA6" s="186" t="str">
        <f t="shared" si="72"/>
        <v/>
      </c>
      <c r="LB6" s="106" t="s">
        <v>23</v>
      </c>
      <c r="LC6" s="107"/>
      <c r="LD6" s="108"/>
      <c r="LE6" s="185">
        <f>IFERROR((((COUNTIF('Elève (6ème1)'!LB6:LD6,"A"))*4)+((COUNTIF('Elève (6ème1)'!LB6:LD6,"B"))*3)+((COUNTIF('Elève (6ème1)'!LB6:LD6,"C"))*2)+((COUNTIF('Elève (6ème1)'!LB6:LD6,"D"))*1))/(COUNTA(LB6:LD6)),"")</f>
        <v>4</v>
      </c>
      <c r="LF6" s="186" t="str">
        <f t="shared" si="73"/>
        <v>A</v>
      </c>
      <c r="LG6" s="106"/>
      <c r="LH6" s="107"/>
      <c r="LI6" s="108" t="s">
        <v>23</v>
      </c>
      <c r="LJ6" s="185">
        <f>IFERROR((((COUNTIF('Elève (6ème1)'!LG6:LI6,"A"))*4)+((COUNTIF('Elève (6ème1)'!LG6:LI6,"B"))*3)+((COUNTIF('Elève (6ème1)'!LG6:LI6,"C"))*2)+((COUNTIF('Elève (6ème1)'!LG6:LI6,"D"))*1))/(COUNTA(LG6:LI6)),"")</f>
        <v>4</v>
      </c>
      <c r="LK6" s="186" t="str">
        <f t="shared" si="74"/>
        <v>A</v>
      </c>
      <c r="LL6" s="185">
        <f>IF(COUNT(KZ6,LE6,LJ6)=0,"",SUM(KZ6,LE6,LJ6)/COUNT(KZ6,LE6,LJ6))</f>
        <v>4</v>
      </c>
      <c r="LM6" s="208" t="str">
        <f t="shared" si="75"/>
        <v>A</v>
      </c>
      <c r="LN6" s="112"/>
      <c r="LO6" s="107"/>
      <c r="LP6" s="108"/>
      <c r="LQ6" s="185" t="str">
        <f>IFERROR((((COUNTIF('Elève (6ème1)'!LN6:LP6,"A"))*4)+((COUNTIF('Elève (6ème1)'!LN6:LP6,"B"))*3)+((COUNTIF('Elève (6ème1)'!LN6:LP6,"C"))*2)+((COUNTIF('Elève (6ème1)'!LN6:LP6,"D"))*1))/(COUNTA(LN6:LP6)),"")</f>
        <v/>
      </c>
      <c r="LR6" s="186" t="str">
        <f t="shared" si="76"/>
        <v/>
      </c>
      <c r="LS6" s="106" t="s">
        <v>23</v>
      </c>
      <c r="LT6" s="107"/>
      <c r="LU6" s="108"/>
      <c r="LV6" s="185">
        <f>IFERROR((((COUNTIF('Elève (6ème1)'!LS6:LU6,"A"))*4)+((COUNTIF('Elève (6ème1)'!LS6:LU6,"B"))*3)+((COUNTIF('Elève (6ème1)'!LS6:LU6,"C"))*2)+((COUNTIF('Elève (6ème1)'!LS6:LU6,"D"))*1))/(COUNTA(LS6:LU6)),"")</f>
        <v>4</v>
      </c>
      <c r="LW6" s="186" t="str">
        <f t="shared" si="77"/>
        <v>A</v>
      </c>
      <c r="LX6" s="106"/>
      <c r="LY6" s="107"/>
      <c r="LZ6" s="108" t="s">
        <v>23</v>
      </c>
      <c r="MA6" s="185">
        <f>IFERROR((((COUNTIF('Elève (6ème1)'!LX6:LZ6,"A"))*4)+((COUNTIF('Elève (6ème1)'!LX6:LZ6,"B"))*3)+((COUNTIF('Elève (6ème1)'!LX6:LZ6,"C"))*2)+((COUNTIF('Elève (6ème1)'!LX6:LZ6,"D"))*1))/(COUNTA(LX6:LZ6)),"")</f>
        <v>4</v>
      </c>
      <c r="MB6" s="186" t="str">
        <f t="shared" si="78"/>
        <v>A</v>
      </c>
      <c r="MC6" s="185">
        <f>IF(COUNT(LQ6,LV6,MA6)=0,"",SUM(LQ6,LV6,MA6)/COUNT(LQ6,LV6,MA6))</f>
        <v>4</v>
      </c>
      <c r="MD6" s="208" t="str">
        <f t="shared" si="79"/>
        <v>A</v>
      </c>
      <c r="ME6" s="112"/>
      <c r="MF6" s="107"/>
      <c r="MG6" s="108"/>
      <c r="MH6" s="185" t="str">
        <f>IFERROR((((COUNTIF('Elève (6ème1)'!ME6:MG6,"A"))*4)+((COUNTIF('Elève (6ème1)'!ME6:MG6,"B"))*3)+((COUNTIF('Elève (6ème1)'!ME6:MG6,"C"))*2)+((COUNTIF('Elève (6ème1)'!ME6:MG6,"D"))*1))/(COUNTA(ME6:MG6)),"")</f>
        <v/>
      </c>
      <c r="MI6" s="186" t="str">
        <f t="shared" si="80"/>
        <v/>
      </c>
      <c r="MJ6" s="106" t="s">
        <v>23</v>
      </c>
      <c r="MK6" s="107"/>
      <c r="ML6" s="108"/>
      <c r="MM6" s="185">
        <f>IFERROR((((COUNTIF('Elève (6ème1)'!MJ6:ML6,"A"))*4)+((COUNTIF('Elève (6ème1)'!MJ6:ML6,"B"))*3)+((COUNTIF('Elève (6ème1)'!MJ6:ML6,"C"))*2)+((COUNTIF('Elève (6ème1)'!MJ6:ML6,"D"))*1))/(COUNTA(MJ6:ML6)),"")</f>
        <v>4</v>
      </c>
      <c r="MN6" s="186" t="str">
        <f t="shared" si="81"/>
        <v>A</v>
      </c>
      <c r="MO6" s="106"/>
      <c r="MP6" s="107"/>
      <c r="MQ6" s="108" t="s">
        <v>23</v>
      </c>
      <c r="MR6" s="185">
        <f>IFERROR((((COUNTIF('Elève (6ème1)'!MO6:MQ6,"A"))*4)+((COUNTIF('Elève (6ème1)'!MO6:MQ6,"B"))*3)+((COUNTIF('Elève (6ème1)'!MO6:MQ6,"C"))*2)+((COUNTIF('Elève (6ème1)'!MO6:MQ6,"D"))*1))/(COUNTA(MO6:MQ6)),"")</f>
        <v>4</v>
      </c>
      <c r="MS6" s="186" t="str">
        <f t="shared" si="82"/>
        <v>A</v>
      </c>
      <c r="MT6" s="185">
        <f>IF(COUNT(MH6,MM6,MR6)=0,"",SUM(MH6,MM6,MR6)/COUNT(MH6,MM6,MR6))</f>
        <v>4</v>
      </c>
      <c r="MU6" s="208" t="str">
        <f t="shared" si="83"/>
        <v>A</v>
      </c>
      <c r="MV6" s="112"/>
      <c r="MW6" s="107"/>
      <c r="MX6" s="108"/>
      <c r="MY6" s="185" t="str">
        <f>IFERROR((((COUNTIF('Elève (6ème1)'!MV6:MX6,"A"))*4)+((COUNTIF('Elève (6ème1)'!MV6:MX6,"B"))*3)+((COUNTIF('Elève (6ème1)'!MV6:MX6,"C"))*2)+((COUNTIF('Elève (6ème1)'!MV6:MX6,"D"))*1))/(COUNTA(MV6:MX6)),"")</f>
        <v/>
      </c>
      <c r="MZ6" s="186" t="str">
        <f t="shared" si="84"/>
        <v/>
      </c>
      <c r="NA6" s="106" t="s">
        <v>23</v>
      </c>
      <c r="NB6" s="107"/>
      <c r="NC6" s="108"/>
      <c r="ND6" s="185">
        <f>IFERROR((((COUNTIF('Elève (6ème1)'!NA6:NC6,"A"))*4)+((COUNTIF('Elève (6ème1)'!NA6:NC6,"B"))*3)+((COUNTIF('Elève (6ème1)'!NA6:NC6,"C"))*2)+((COUNTIF('Elève (6ème1)'!NA6:NC6,"D"))*1))/(COUNTA(NA6:NC6)),"")</f>
        <v>4</v>
      </c>
      <c r="NE6" s="186" t="str">
        <f t="shared" si="85"/>
        <v>A</v>
      </c>
      <c r="NF6" s="106"/>
      <c r="NG6" s="107"/>
      <c r="NH6" s="108"/>
      <c r="NI6" s="185" t="str">
        <f>IFERROR((((COUNTIF('Elève (6ème1)'!NF6:NH6,"A"))*4)+((COUNTIF('Elève (6ème1)'!NF6:NH6,"B"))*3)+((COUNTIF('Elève (6ème1)'!NF6:NH6,"C"))*2)+((COUNTIF('Elève (6ème1)'!NF6:NH6,"D"))*1))/(COUNTA(NF6:NH6)),"")</f>
        <v/>
      </c>
      <c r="NJ6" s="186" t="str">
        <f t="shared" si="86"/>
        <v/>
      </c>
      <c r="NK6" s="185">
        <f>IF(COUNT(MY6,ND6,NI6)=0,"",SUM(MY6,ND6,NI6)/COUNT(MY6,ND6,NI6))</f>
        <v>4</v>
      </c>
      <c r="NL6" s="208" t="str">
        <f t="shared" si="87"/>
        <v>A</v>
      </c>
      <c r="NM6" s="112"/>
      <c r="NN6" s="107"/>
      <c r="NO6" s="108"/>
      <c r="NP6" s="185" t="str">
        <f>IFERROR((((COUNTIF('Elève (6ème1)'!NM6:NO6,"A"))*4)+((COUNTIF('Elève (6ème1)'!NM6:NO6,"B"))*3)+((COUNTIF('Elève (6ème1)'!NM6:NO6,"C"))*2)+((COUNTIF('Elève (6ème1)'!NM6:NO6,"D"))*1))/(COUNTA(NM6:NO6)),"")</f>
        <v/>
      </c>
      <c r="NQ6" s="186" t="str">
        <f t="shared" si="88"/>
        <v/>
      </c>
      <c r="NR6" s="106" t="s">
        <v>23</v>
      </c>
      <c r="NS6" s="107"/>
      <c r="NT6" s="108"/>
      <c r="NU6" s="185">
        <f>IFERROR((((COUNTIF('Elève (6ème1)'!NR6:NT6,"A"))*4)+((COUNTIF('Elève (6ème1)'!NR6:NT6,"B"))*3)+((COUNTIF('Elève (6ème1)'!NR6:NT6,"C"))*2)+((COUNTIF('Elève (6ème1)'!NR6:NT6,"D"))*1))/(COUNTA(NR6:NT6)),"")</f>
        <v>4</v>
      </c>
      <c r="NV6" s="186" t="str">
        <f t="shared" si="89"/>
        <v>A</v>
      </c>
      <c r="NW6" s="106"/>
      <c r="NX6" s="107"/>
      <c r="NY6" s="108" t="s">
        <v>23</v>
      </c>
      <c r="NZ6" s="185">
        <f>IFERROR((((COUNTIF('Elève (6ème1)'!NW6:NY6,"A"))*4)+((COUNTIF('Elève (6ème1)'!NW6:NY6,"B"))*3)+((COUNTIF('Elève (6ème1)'!NW6:NY6,"C"))*2)+((COUNTIF('Elève (6ème1)'!NW6:NY6,"D"))*1))/(COUNTA(NW6:NY6)),"")</f>
        <v>4</v>
      </c>
      <c r="OA6" s="186" t="str">
        <f t="shared" si="90"/>
        <v>A</v>
      </c>
      <c r="OB6" s="185">
        <f>IF(COUNT(NP6,NU6,NZ6)=0,"",SUM(NP6,NU6,NZ6)/COUNT(NP6,NU6,NZ6))</f>
        <v>4</v>
      </c>
      <c r="OC6" s="208" t="str">
        <f t="shared" si="91"/>
        <v>A</v>
      </c>
      <c r="OD6" s="112"/>
      <c r="OE6" s="107"/>
      <c r="OF6" s="108"/>
      <c r="OG6" s="185" t="str">
        <f>IFERROR((((COUNTIF('Elève (6ème1)'!OD6:OF6,"A"))*4)+((COUNTIF('Elève (6ème1)'!OD6:OF6,"B"))*3)+((COUNTIF('Elève (6ème1)'!OD6:OF6,"C"))*2)+((COUNTIF('Elève (6ème1)'!OD6:OF6,"D"))*1))/(COUNTA(OD6:OF6)),"")</f>
        <v/>
      </c>
      <c r="OH6" s="186" t="str">
        <f t="shared" si="92"/>
        <v/>
      </c>
      <c r="OI6" s="106" t="s">
        <v>23</v>
      </c>
      <c r="OJ6" s="107"/>
      <c r="OK6" s="108"/>
      <c r="OL6" s="185">
        <f>IFERROR((((COUNTIF('Elève (6ème1)'!OI6:OK6,"A"))*4)+((COUNTIF('Elève (6ème1)'!OI6:OK6,"B"))*3)+((COUNTIF('Elève (6ème1)'!OI6:OK6,"C"))*2)+((COUNTIF('Elève (6ème1)'!OI6:OK6,"D"))*1))/(COUNTA(OI6:OK6)),"")</f>
        <v>4</v>
      </c>
      <c r="OM6" s="186" t="str">
        <f t="shared" si="93"/>
        <v>A</v>
      </c>
      <c r="ON6" s="106"/>
      <c r="OO6" s="107"/>
      <c r="OP6" s="108" t="s">
        <v>23</v>
      </c>
      <c r="OQ6" s="185">
        <f>IFERROR((((COUNTIF('Elève (6ème1)'!ON6:OP6,"A"))*4)+((COUNTIF('Elève (6ème1)'!ON6:OP6,"B"))*3)+((COUNTIF('Elève (6ème1)'!ON6:OP6,"C"))*2)+((COUNTIF('Elève (6ème1)'!ON6:OP6,"D"))*1))/(COUNTA(ON6:OP6)),"")</f>
        <v>4</v>
      </c>
      <c r="OR6" s="186" t="str">
        <f t="shared" si="94"/>
        <v>A</v>
      </c>
      <c r="OS6" s="185">
        <f>IF(COUNT(OG6,OL6,OQ6)=0,"",SUM(OG6,OL6,OQ6)/COUNT(OG6,OL6,OQ6))</f>
        <v>4</v>
      </c>
      <c r="OT6" s="208" t="str">
        <f t="shared" si="95"/>
        <v>A</v>
      </c>
      <c r="OU6" s="112"/>
      <c r="OV6" s="107"/>
      <c r="OW6" s="108"/>
      <c r="OX6" s="185" t="str">
        <f>IFERROR((((COUNTIF('Elève (6ème1)'!OU6:OW6,"A"))*4)+((COUNTIF('Elève (6ème1)'!OU6:OW6,"B"))*3)+((COUNTIF('Elève (6ème1)'!OU6:OW6,"C"))*2)+((COUNTIF('Elève (6ème1)'!OU6:OW6,"D"))*1))/(COUNTA(OU6:OW6)),"")</f>
        <v/>
      </c>
      <c r="OY6" s="186" t="str">
        <f t="shared" si="96"/>
        <v/>
      </c>
      <c r="OZ6" s="106" t="s">
        <v>23</v>
      </c>
      <c r="PA6" s="107"/>
      <c r="PB6" s="108"/>
      <c r="PC6" s="185">
        <f>IFERROR((((COUNTIF('Elève (6ème1)'!OZ6:PB6,"A"))*4)+((COUNTIF('Elève (6ème1)'!OZ6:PB6,"B"))*3)+((COUNTIF('Elève (6ème1)'!OZ6:PB6,"C"))*2)+((COUNTIF('Elève (6ème1)'!OZ6:PB6,"D"))*1))/(COUNTA(OZ6:PB6)),"")</f>
        <v>4</v>
      </c>
      <c r="PD6" s="186" t="str">
        <f t="shared" si="97"/>
        <v>A</v>
      </c>
      <c r="PE6" s="106"/>
      <c r="PF6" s="107"/>
      <c r="PG6" s="108" t="s">
        <v>23</v>
      </c>
      <c r="PH6" s="185">
        <f>IFERROR((((COUNTIF('Elève (6ème1)'!PE6:PG6,"A"))*4)+((COUNTIF('Elève (6ème1)'!PE6:PG6,"B"))*3)+((COUNTIF('Elève (6ème1)'!PE6:PG6,"C"))*2)+((COUNTIF('Elève (6ème1)'!PE6:PG6,"D"))*1))/(COUNTA(PE6:PG6)),"")</f>
        <v>4</v>
      </c>
      <c r="PI6" s="186" t="str">
        <f t="shared" si="98"/>
        <v>A</v>
      </c>
      <c r="PJ6" s="185">
        <f>IF(COUNT(OX6,PC6,PH6)=0,"",SUM(OX6,PC6,PH6)/COUNT(OX6,PC6,PH6))</f>
        <v>4</v>
      </c>
      <c r="PK6" s="208" t="str">
        <f t="shared" si="99"/>
        <v>A</v>
      </c>
      <c r="PL6" s="112"/>
      <c r="PM6" s="107"/>
      <c r="PN6" s="108"/>
      <c r="PO6" s="185" t="str">
        <f>IFERROR((((COUNTIF('Elève (6ème1)'!PL6:PN6,"A"))*4)+((COUNTIF('Elève (6ème1)'!PL6:PN6,"B"))*3)+((COUNTIF('Elève (6ème1)'!PL6:PN6,"C"))*2)+((COUNTIF('Elève (6ème1)'!PL6:PN6,"D"))*1))/(COUNTA(PL6:PN6)),"")</f>
        <v/>
      </c>
      <c r="PP6" s="186" t="str">
        <f t="shared" si="100"/>
        <v/>
      </c>
      <c r="PQ6" s="106" t="s">
        <v>23</v>
      </c>
      <c r="PR6" s="107"/>
      <c r="PS6" s="108"/>
      <c r="PT6" s="185">
        <f>IFERROR((((COUNTIF('Elève (6ème1)'!PQ6:PS6,"A"))*4)+((COUNTIF('Elève (6ème1)'!PQ6:PS6,"B"))*3)+((COUNTIF('Elève (6ème1)'!PQ6:PS6,"C"))*2)+((COUNTIF('Elève (6ème1)'!PQ6:PS6,"D"))*1))/(COUNTA(PQ6:PS6)),"")</f>
        <v>4</v>
      </c>
      <c r="PU6" s="186" t="str">
        <f t="shared" si="101"/>
        <v>A</v>
      </c>
      <c r="PV6" s="106"/>
      <c r="PW6" s="107"/>
      <c r="PX6" s="108" t="s">
        <v>23</v>
      </c>
      <c r="PY6" s="185">
        <f>IFERROR((((COUNTIF('Elève (6ème1)'!PV6:PX6,"A"))*4)+((COUNTIF('Elève (6ème1)'!PV6:PX6,"B"))*3)+((COUNTIF('Elève (6ème1)'!PV6:PX6,"C"))*2)+((COUNTIF('Elève (6ème1)'!PV6:PX6,"D"))*1))/(COUNTA(PV6:PX6)),"")</f>
        <v>4</v>
      </c>
      <c r="PZ6" s="186" t="str">
        <f t="shared" si="102"/>
        <v>A</v>
      </c>
      <c r="QA6" s="185">
        <f>IF(COUNT(PO6,PT6,PY6)=0,"",SUM(PO6,PT6,PY6)/COUNT(PO6,PT6,PY6))</f>
        <v>4</v>
      </c>
      <c r="QB6" s="208" t="str">
        <f t="shared" si="103"/>
        <v>A</v>
      </c>
      <c r="QC6" s="112"/>
      <c r="QD6" s="107"/>
      <c r="QE6" s="108"/>
      <c r="QF6" s="185" t="str">
        <f>IFERROR((((COUNTIF('Elève (6ème1)'!QC6:QE6,"A"))*4)+((COUNTIF('Elève (6ème1)'!QC6:QE6,"B"))*3)+((COUNTIF('Elève (6ème1)'!QC6:QE6,"C"))*2)+((COUNTIF('Elève (6ème1)'!QC6:QE6,"D"))*1))/(COUNTA(QC6:QE6)),"")</f>
        <v/>
      </c>
      <c r="QG6" s="186" t="str">
        <f t="shared" si="104"/>
        <v/>
      </c>
      <c r="QH6" s="106" t="s">
        <v>25</v>
      </c>
      <c r="QI6" s="107"/>
      <c r="QJ6" s="108"/>
      <c r="QK6" s="185">
        <f>IFERROR((((COUNTIF('Elève (6ème1)'!QH6:QJ6,"A"))*4)+((COUNTIF('Elève (6ème1)'!QH6:QJ6,"B"))*3)+((COUNTIF('Elève (6ème1)'!QH6:QJ6,"C"))*2)+((COUNTIF('Elève (6ème1)'!QH6:QJ6,"D"))*1))/(COUNTA(QH6:QJ6)),"")</f>
        <v>2</v>
      </c>
      <c r="QL6" s="186" t="str">
        <f t="shared" si="105"/>
        <v>C</v>
      </c>
      <c r="QM6" s="106"/>
      <c r="QN6" s="107"/>
      <c r="QO6" s="108" t="s">
        <v>24</v>
      </c>
      <c r="QP6" s="185">
        <f>IFERROR((((COUNTIF('Elève (6ème1)'!QM6:QO6,"A"))*4)+((COUNTIF('Elève (6ème1)'!QM6:QO6,"B"))*3)+((COUNTIF('Elève (6ème1)'!QM6:QO6,"C"))*2)+((COUNTIF('Elève (6ème1)'!QM6:QO6,"D"))*1))/(COUNTA(QM6:QO6)),"")</f>
        <v>3</v>
      </c>
      <c r="QQ6" s="186" t="str">
        <f t="shared" si="106"/>
        <v>B</v>
      </c>
      <c r="QR6" s="185">
        <f>IF(COUNT(QF6,QK6,QP6)=0,"",SUM(QF6,QK6,QP6)/COUNT(QF6,QK6,QP6))</f>
        <v>2.5</v>
      </c>
      <c r="QS6" s="208" t="str">
        <f t="shared" si="107"/>
        <v>C</v>
      </c>
      <c r="QT6" s="112"/>
      <c r="QU6" s="107"/>
      <c r="QV6" s="108"/>
      <c r="QW6" s="185" t="str">
        <f>IFERROR((((COUNTIF('Elève (6ème1)'!QT6:QV6,"A"))*4)+((COUNTIF('Elève (6ème1)'!QT6:QV6,"B"))*3)+((COUNTIF('Elève (6ème1)'!QT6:QV6,"C"))*2)+((COUNTIF('Elève (6ème1)'!QT6:QV6,"D"))*1))/(COUNTA(QT6:QV6)),"")</f>
        <v/>
      </c>
      <c r="QX6" s="186" t="str">
        <f t="shared" si="108"/>
        <v/>
      </c>
      <c r="QY6" s="106" t="s">
        <v>24</v>
      </c>
      <c r="QZ6" s="107"/>
      <c r="RA6" s="108"/>
      <c r="RB6" s="185">
        <f>IFERROR((((COUNTIF('Elève (6ème1)'!QY6:RA6,"A"))*4)+((COUNTIF('Elève (6ème1)'!QY6:RA6,"B"))*3)+((COUNTIF('Elève (6ème1)'!QY6:RA6,"C"))*2)+((COUNTIF('Elève (6ème1)'!QY6:RA6,"D"))*1))/(COUNTA(QY6:RA6)),"")</f>
        <v>3</v>
      </c>
      <c r="RC6" s="186" t="str">
        <f t="shared" si="109"/>
        <v>B</v>
      </c>
      <c r="RD6" s="106"/>
      <c r="RE6" s="107"/>
      <c r="RF6" s="108" t="s">
        <v>23</v>
      </c>
      <c r="RG6" s="185">
        <f>IFERROR((((COUNTIF('Elève (6ème1)'!RD6:RF6,"A"))*4)+((COUNTIF('Elève (6ème1)'!RD6:RF6,"B"))*3)+((COUNTIF('Elève (6ème1)'!RD6:RF6,"C"))*2)+((COUNTIF('Elève (6ème1)'!RD6:RF6,"D"))*1))/(COUNTA(RD6:RF6)),"")</f>
        <v>4</v>
      </c>
      <c r="RH6" s="186" t="str">
        <f t="shared" si="110"/>
        <v>A</v>
      </c>
      <c r="RI6" s="185">
        <f>IF(COUNT(QW6,RB6,RG6)=0,"",SUM(QW6,RB6,RG6)/COUNT(QW6,RB6,RG6))</f>
        <v>3.5</v>
      </c>
      <c r="RJ6" s="208" t="str">
        <f t="shared" si="111"/>
        <v>B</v>
      </c>
      <c r="RK6" s="112"/>
      <c r="RL6" s="107"/>
      <c r="RM6" s="108"/>
      <c r="RN6" s="185" t="str">
        <f>IFERROR((((COUNTIF('Elève (6ème1)'!RK6:RM6,"A"))*4)+((COUNTIF('Elève (6ème1)'!RK6:RM6,"B"))*3)+((COUNTIF('Elève (6ème1)'!RK6:RM6,"C"))*2)+((COUNTIF('Elève (6ème1)'!RK6:RM6,"D"))*1))/(COUNTA(RK6:RM6)),"")</f>
        <v/>
      </c>
      <c r="RO6" s="186" t="str">
        <f t="shared" si="112"/>
        <v/>
      </c>
      <c r="RP6" s="106" t="s">
        <v>23</v>
      </c>
      <c r="RQ6" s="107"/>
      <c r="RR6" s="108"/>
      <c r="RS6" s="185">
        <f>IFERROR((((COUNTIF('Elève (6ème1)'!RP6:RR6,"A"))*4)+((COUNTIF('Elève (6ème1)'!RP6:RR6,"B"))*3)+((COUNTIF('Elève (6ème1)'!RP6:RR6,"C"))*2)+((COUNTIF('Elève (6ème1)'!RP6:RR6,"D"))*1))/(COUNTA(RP6:RR6)),"")</f>
        <v>4</v>
      </c>
      <c r="RT6" s="186" t="str">
        <f t="shared" si="113"/>
        <v>A</v>
      </c>
      <c r="RU6" s="106"/>
      <c r="RV6" s="107"/>
      <c r="RW6" s="108" t="s">
        <v>23</v>
      </c>
      <c r="RX6" s="185">
        <f>IFERROR((((COUNTIF('Elève (6ème1)'!RU6:RW6,"A"))*4)+((COUNTIF('Elève (6ème1)'!RU6:RW6,"B"))*3)+((COUNTIF('Elève (6ème1)'!RU6:RW6,"C"))*2)+((COUNTIF('Elève (6ème1)'!RU6:RW6,"D"))*1))/(COUNTA(RU6:RW6)),"")</f>
        <v>4</v>
      </c>
      <c r="RY6" s="186" t="str">
        <f t="shared" si="114"/>
        <v>A</v>
      </c>
      <c r="RZ6" s="185">
        <f>IF(COUNT(RN6,RS6,RX6)=0,"",SUM(RN6,RS6,RX6)/COUNT(RN6,RS6,RX6))</f>
        <v>4</v>
      </c>
      <c r="SA6" s="208" t="str">
        <f t="shared" si="115"/>
        <v>A</v>
      </c>
      <c r="SB6" s="112"/>
      <c r="SC6" s="107"/>
      <c r="SD6" s="108"/>
      <c r="SE6" s="185" t="str">
        <f>IFERROR((((COUNTIF('Elève (6ème1)'!SB6:SD6,"A"))*4)+((COUNTIF('Elève (6ème1)'!SB6:SD6,"B"))*3)+((COUNTIF('Elève (6ème1)'!SB6:SD6,"C"))*2)+((COUNTIF('Elève (6ème1)'!SB6:SD6,"D"))*1))/(COUNTA(SB6:SD6)),"")</f>
        <v/>
      </c>
      <c r="SF6" s="186" t="str">
        <f t="shared" si="116"/>
        <v/>
      </c>
      <c r="SG6" s="106" t="s">
        <v>23</v>
      </c>
      <c r="SH6" s="107"/>
      <c r="SI6" s="108"/>
      <c r="SJ6" s="185">
        <f>IFERROR((((COUNTIF('Elève (6ème1)'!SG6:SI6,"A"))*4)+((COUNTIF('Elève (6ème1)'!SG6:SI6,"B"))*3)+((COUNTIF('Elève (6ème1)'!SG6:SI6,"C"))*2)+((COUNTIF('Elève (6ème1)'!SG6:SI6,"D"))*1))/(COUNTA(SG6:SI6)),"")</f>
        <v>4</v>
      </c>
      <c r="SK6" s="186" t="str">
        <f t="shared" si="117"/>
        <v>A</v>
      </c>
      <c r="SL6" s="106"/>
      <c r="SM6" s="107"/>
      <c r="SN6" s="108" t="s">
        <v>23</v>
      </c>
      <c r="SO6" s="185">
        <f>IFERROR((((COUNTIF('Elève (6ème1)'!SL6:SN6,"A"))*4)+((COUNTIF('Elève (6ème1)'!SL6:SN6,"B"))*3)+((COUNTIF('Elève (6ème1)'!SL6:SN6,"C"))*2)+((COUNTIF('Elève (6ème1)'!SL6:SN6,"D"))*1))/(COUNTA(SL6:SN6)),"")</f>
        <v>4</v>
      </c>
      <c r="SP6" s="186" t="str">
        <f t="shared" si="118"/>
        <v>A</v>
      </c>
      <c r="SQ6" s="185">
        <f>IF(COUNT(SE6,SJ6,SO6)=0,"",SUM(SE6,SJ6,SO6)/COUNT(SE6,SJ6,SO6))</f>
        <v>4</v>
      </c>
      <c r="SR6" s="208" t="str">
        <f t="shared" si="119"/>
        <v>A</v>
      </c>
      <c r="SS6" s="112"/>
      <c r="ST6" s="107"/>
      <c r="SU6" s="108"/>
      <c r="SV6" s="185" t="str">
        <f>IFERROR((((COUNTIF('Elève (6ème1)'!SS6:SU6,"A"))*4)+((COUNTIF('Elève (6ème1)'!SS6:SU6,"B"))*3)+((COUNTIF('Elève (6ème1)'!SS6:SU6,"C"))*2)+((COUNTIF('Elève (6ème1)'!SS6:SU6,"D"))*1))/(COUNTA(SS6:SU6)),"")</f>
        <v/>
      </c>
      <c r="SW6" s="186" t="str">
        <f t="shared" si="120"/>
        <v/>
      </c>
      <c r="SX6" s="106" t="s">
        <v>23</v>
      </c>
      <c r="SY6" s="107"/>
      <c r="SZ6" s="108"/>
      <c r="TA6" s="185">
        <f>IFERROR((((COUNTIF('Elève (6ème1)'!SX6:SZ6,"A"))*4)+((COUNTIF('Elève (6ème1)'!SX6:SZ6,"B"))*3)+((COUNTIF('Elève (6ème1)'!SX6:SZ6,"C"))*2)+((COUNTIF('Elève (6ème1)'!SX6:SZ6,"D"))*1))/(COUNTA(SX6:SZ6)),"")</f>
        <v>4</v>
      </c>
      <c r="TB6" s="186" t="str">
        <f t="shared" si="121"/>
        <v>A</v>
      </c>
      <c r="TC6" s="106"/>
      <c r="TD6" s="107"/>
      <c r="TE6" s="108" t="s">
        <v>23</v>
      </c>
      <c r="TF6" s="185">
        <f>IFERROR((((COUNTIF('Elève (6ème1)'!TC6:TE6,"A"))*4)+((COUNTIF('Elève (6ème1)'!TC6:TE6,"B"))*3)+((COUNTIF('Elève (6ème1)'!TC6:TE6,"C"))*2)+((COUNTIF('Elève (6ème1)'!TC6:TE6,"D"))*1))/(COUNTA(TC6:TE6)),"")</f>
        <v>4</v>
      </c>
      <c r="TG6" s="186" t="str">
        <f t="shared" si="122"/>
        <v>A</v>
      </c>
      <c r="TH6" s="185">
        <f>IF(COUNT(SV6,TA6,TF6)=0,"",SUM(SV6,TA6,TF6)/COUNT(SV6,TA6,TF6))</f>
        <v>4</v>
      </c>
      <c r="TI6" s="208" t="str">
        <f t="shared" si="123"/>
        <v>A</v>
      </c>
      <c r="TJ6" s="112"/>
      <c r="TK6" s="107"/>
      <c r="TL6" s="108"/>
      <c r="TM6" s="185" t="str">
        <f>IFERROR((((COUNTIF('Elève (6ème1)'!TJ6:TL6,"A"))*4)+((COUNTIF('Elève (6ème1)'!TJ6:TL6,"B"))*3)+((COUNTIF('Elève (6ème1)'!TJ6:TL6,"C"))*2)+((COUNTIF('Elève (6ème1)'!TJ6:TL6,"D"))*1))/(COUNTA(TJ6:TL6)),"")</f>
        <v/>
      </c>
      <c r="TN6" s="186" t="str">
        <f t="shared" si="124"/>
        <v/>
      </c>
      <c r="TO6" s="106" t="s">
        <v>23</v>
      </c>
      <c r="TP6" s="107"/>
      <c r="TQ6" s="108"/>
      <c r="TR6" s="185">
        <f>IFERROR((((COUNTIF('Elève (6ème1)'!TO6:TQ6,"A"))*4)+((COUNTIF('Elève (6ème1)'!TO6:TQ6,"B"))*3)+((COUNTIF('Elève (6ème1)'!TO6:TQ6,"C"))*2)+((COUNTIF('Elève (6ème1)'!TO6:TQ6,"D"))*1))/(COUNTA(TO6:TQ6)),"")</f>
        <v>4</v>
      </c>
      <c r="TS6" s="186" t="str">
        <f t="shared" si="125"/>
        <v>A</v>
      </c>
      <c r="TT6" s="106"/>
      <c r="TU6" s="107"/>
      <c r="TV6" s="108" t="s">
        <v>23</v>
      </c>
      <c r="TW6" s="185">
        <f>IFERROR((((COUNTIF('Elève (6ème1)'!TT6:TV6,"A"))*4)+((COUNTIF('Elève (6ème1)'!TT6:TV6,"B"))*3)+((COUNTIF('Elève (6ème1)'!TT6:TV6,"C"))*2)+((COUNTIF('Elève (6ème1)'!TT6:TV6,"D"))*1))/(COUNTA(TT6:TV6)),"")</f>
        <v>4</v>
      </c>
      <c r="TX6" s="186" t="str">
        <f t="shared" si="126"/>
        <v>A</v>
      </c>
      <c r="TY6" s="185">
        <f>IF(COUNT(TM6,TR6,TW6)=0,"",SUM(TM6,TR6,TW6)/COUNT(TM6,TR6,TW6))</f>
        <v>4</v>
      </c>
      <c r="TZ6" s="208" t="str">
        <f t="shared" si="127"/>
        <v>A</v>
      </c>
    </row>
    <row r="7" spans="1:546" s="116" customFormat="1" ht="17.25" customHeight="1" thickBot="1" x14ac:dyDescent="0.3">
      <c r="A7" s="162" t="s">
        <v>14</v>
      </c>
      <c r="B7" s="162">
        <v>1</v>
      </c>
      <c r="C7" s="244"/>
      <c r="D7" s="245"/>
      <c r="E7" s="246"/>
      <c r="F7" s="181" t="str">
        <f>IF(COUNT(F8:F11)=0,"",SUM(F8:F11)/COUNT(F8:F11))</f>
        <v/>
      </c>
      <c r="G7" s="182" t="str">
        <f t="shared" si="0"/>
        <v/>
      </c>
      <c r="H7" s="247"/>
      <c r="I7" s="245"/>
      <c r="J7" s="246"/>
      <c r="K7" s="181">
        <f>IF(COUNT(K8,K11)=0,"",SUM(K8:K11)/COUNT(K8,K11))</f>
        <v>7</v>
      </c>
      <c r="L7" s="198" t="str">
        <f t="shared" si="1"/>
        <v>A</v>
      </c>
      <c r="M7" s="247"/>
      <c r="N7" s="245"/>
      <c r="O7" s="246"/>
      <c r="P7" s="181">
        <f>IF(COUNT(P8,P11)=0,"",SUM(P8:P11)/COUNT(P8,P11))</f>
        <v>6.25</v>
      </c>
      <c r="Q7" s="205" t="str">
        <f t="shared" si="2"/>
        <v>A</v>
      </c>
      <c r="R7" s="181">
        <f>IF(COUNT(R8:R11)=0,"",SUM(R8:R11)/COUNT(R8:R11))</f>
        <v>3.1875</v>
      </c>
      <c r="S7" s="206" t="str">
        <f t="shared" si="3"/>
        <v>B</v>
      </c>
      <c r="T7" s="245"/>
      <c r="U7" s="245"/>
      <c r="V7" s="246"/>
      <c r="W7" s="181" t="str">
        <f>IF(COUNT(W8:W11)=0,"",SUM(W8:W11)/COUNT(W8:W11))</f>
        <v/>
      </c>
      <c r="X7" s="182" t="str">
        <f t="shared" si="4"/>
        <v/>
      </c>
      <c r="Y7" s="247"/>
      <c r="Z7" s="245"/>
      <c r="AA7" s="246"/>
      <c r="AB7" s="181">
        <f>IF(COUNT(AB8,AB11)=0,"",SUM(AB8:AB11)/COUNT(AB8,AB11))</f>
        <v>4</v>
      </c>
      <c r="AC7" s="198" t="str">
        <f t="shared" si="5"/>
        <v>A</v>
      </c>
      <c r="AD7" s="247"/>
      <c r="AE7" s="245"/>
      <c r="AF7" s="246"/>
      <c r="AG7" s="181">
        <f>IF(COUNT(AG8,AG11)=0,"",SUM(AG8:AG11)/COUNT(AG8,AG11))</f>
        <v>6</v>
      </c>
      <c r="AH7" s="205" t="str">
        <f t="shared" si="6"/>
        <v>A</v>
      </c>
      <c r="AI7" s="181">
        <f>IF(COUNT(AI8:AI11)=0,"",SUM(AI8:AI11)/COUNT(AI8:AI11))</f>
        <v>4</v>
      </c>
      <c r="AJ7" s="206" t="str">
        <f t="shared" si="7"/>
        <v>A</v>
      </c>
      <c r="AK7" s="245"/>
      <c r="AL7" s="245"/>
      <c r="AM7" s="246"/>
      <c r="AN7" s="181" t="str">
        <f>IF(COUNT(AN8:AN11)=0,"",SUM(AN8:AN11)/COUNT(AN8:AN11))</f>
        <v/>
      </c>
      <c r="AO7" s="182" t="str">
        <f t="shared" si="8"/>
        <v/>
      </c>
      <c r="AP7" s="247"/>
      <c r="AQ7" s="245"/>
      <c r="AR7" s="246"/>
      <c r="AS7" s="181">
        <f>IF(COUNT(AS8,AS11)=0,"",SUM(AS8:AS11)/COUNT(AS8,AS11))</f>
        <v>6</v>
      </c>
      <c r="AT7" s="198" t="str">
        <f t="shared" si="9"/>
        <v>A</v>
      </c>
      <c r="AU7" s="247"/>
      <c r="AV7" s="245"/>
      <c r="AW7" s="246"/>
      <c r="AX7" s="181">
        <f>IF(COUNT(AX8,AX11)=0,"",SUM(AX8:AX11)/COUNT(AX8,AX11))</f>
        <v>6.75</v>
      </c>
      <c r="AY7" s="205" t="str">
        <f t="shared" si="10"/>
        <v>A</v>
      </c>
      <c r="AZ7" s="181">
        <f>IF(COUNT(AZ8:AZ11)=0,"",SUM(AZ8:AZ11)/COUNT(AZ8:AZ11))</f>
        <v>3.3125</v>
      </c>
      <c r="BA7" s="206" t="str">
        <f t="shared" si="11"/>
        <v>B</v>
      </c>
      <c r="BB7" s="245"/>
      <c r="BC7" s="245"/>
      <c r="BD7" s="246"/>
      <c r="BE7" s="181" t="str">
        <f>IF(COUNT(BE8:BE11)=0,"",SUM(BE8:BE11)/COUNT(BE8:BE11))</f>
        <v/>
      </c>
      <c r="BF7" s="182" t="str">
        <f t="shared" si="12"/>
        <v/>
      </c>
      <c r="BG7" s="247"/>
      <c r="BH7" s="245"/>
      <c r="BI7" s="246"/>
      <c r="BJ7" s="181">
        <f>IF(COUNT(BJ8,BJ11)=0,"",SUM(BJ8:BJ11)/COUNT(BJ8,BJ11))</f>
        <v>7</v>
      </c>
      <c r="BK7" s="198" t="str">
        <f t="shared" si="13"/>
        <v>A</v>
      </c>
      <c r="BL7" s="247"/>
      <c r="BM7" s="245"/>
      <c r="BN7" s="246"/>
      <c r="BO7" s="181">
        <f>IF(COUNT(BO8,BO11)=0,"",SUM(BO8:BO11)/COUNT(BO8,BO11))</f>
        <v>6</v>
      </c>
      <c r="BP7" s="205" t="str">
        <f t="shared" si="14"/>
        <v>A</v>
      </c>
      <c r="BQ7" s="181">
        <f>IF(COUNT(BQ8:BQ11)=0,"",SUM(BQ8:BQ11)/COUNT(BQ8:BQ11))</f>
        <v>3.125</v>
      </c>
      <c r="BR7" s="206" t="str">
        <f t="shared" si="15"/>
        <v>B</v>
      </c>
      <c r="BS7" s="245"/>
      <c r="BT7" s="245"/>
      <c r="BU7" s="246"/>
      <c r="BV7" s="181" t="str">
        <f>IF(COUNT(BV8:BV11)=0,"",SUM(BV8:BV11)/COUNT(BV8:BV11))</f>
        <v/>
      </c>
      <c r="BW7" s="182" t="str">
        <f t="shared" si="16"/>
        <v/>
      </c>
      <c r="BX7" s="247"/>
      <c r="BY7" s="245"/>
      <c r="BZ7" s="246"/>
      <c r="CA7" s="181">
        <f>IF(COUNT(CA8,CA11)=0,"",SUM(CA8:CA11)/COUNT(CA8,CA11))</f>
        <v>7</v>
      </c>
      <c r="CB7" s="198" t="str">
        <f t="shared" si="17"/>
        <v>A</v>
      </c>
      <c r="CC7" s="247"/>
      <c r="CD7" s="245"/>
      <c r="CE7" s="246"/>
      <c r="CF7" s="181">
        <f>IF(COUNT(CF8,CF11)=0,"",SUM(CF8:CF11)/COUNT(CF8,CF11))</f>
        <v>6</v>
      </c>
      <c r="CG7" s="205" t="str">
        <f t="shared" si="18"/>
        <v>A</v>
      </c>
      <c r="CH7" s="181">
        <f>IF(COUNT(CH8:CH11)=0,"",SUM(CH8:CH11)/COUNT(CH8:CH11))</f>
        <v>3.125</v>
      </c>
      <c r="CI7" s="206" t="str">
        <f t="shared" si="19"/>
        <v>B</v>
      </c>
      <c r="CJ7" s="245"/>
      <c r="CK7" s="245"/>
      <c r="CL7" s="246"/>
      <c r="CM7" s="181" t="str">
        <f>IF(COUNT(CM8:CM11)=0,"",SUM(CM8:CM11)/COUNT(CM8:CM11))</f>
        <v/>
      </c>
      <c r="CN7" s="182" t="str">
        <f t="shared" si="20"/>
        <v/>
      </c>
      <c r="CO7" s="247"/>
      <c r="CP7" s="245"/>
      <c r="CQ7" s="246"/>
      <c r="CR7" s="181">
        <f>IF(COUNT(CR8,CR11)=0,"",SUM(CR8:CR11)/COUNT(CR8,CR11))</f>
        <v>6</v>
      </c>
      <c r="CS7" s="198" t="str">
        <f t="shared" si="21"/>
        <v>A</v>
      </c>
      <c r="CT7" s="247"/>
      <c r="CU7" s="245"/>
      <c r="CV7" s="246"/>
      <c r="CW7" s="181">
        <f>IF(COUNT(CW8,CW11)=0,"",SUM(CW8:CW11)/COUNT(CW8,CW11))</f>
        <v>6</v>
      </c>
      <c r="CX7" s="205" t="str">
        <f t="shared" si="22"/>
        <v>A</v>
      </c>
      <c r="CY7" s="181">
        <f>IF(COUNT(CY8:CY11)=0,"",SUM(CY8:CY11)/COUNT(CY8:CY11))</f>
        <v>3</v>
      </c>
      <c r="CZ7" s="206" t="str">
        <f t="shared" si="23"/>
        <v>B</v>
      </c>
      <c r="DA7" s="245"/>
      <c r="DB7" s="245"/>
      <c r="DC7" s="246"/>
      <c r="DD7" s="181" t="str">
        <f>IF(COUNT(DD8:DD11)=0,"",SUM(DD8:DD11)/COUNT(DD8:DD11))</f>
        <v/>
      </c>
      <c r="DE7" s="182" t="str">
        <f t="shared" si="24"/>
        <v/>
      </c>
      <c r="DF7" s="247"/>
      <c r="DG7" s="245"/>
      <c r="DH7" s="246"/>
      <c r="DI7" s="181">
        <f>IF(COUNT(DI8,DI11)=0,"",SUM(DI8:DI11)/COUNT(DI8,DI11))</f>
        <v>6</v>
      </c>
      <c r="DJ7" s="198" t="str">
        <f t="shared" si="25"/>
        <v>A</v>
      </c>
      <c r="DK7" s="247"/>
      <c r="DL7" s="245"/>
      <c r="DM7" s="246"/>
      <c r="DN7" s="181">
        <f>IF(COUNT(DN8,DN11)=0,"",SUM(DN8:DN11)/COUNT(DN8,DN11))</f>
        <v>6.25</v>
      </c>
      <c r="DO7" s="205" t="str">
        <f t="shared" si="26"/>
        <v>A</v>
      </c>
      <c r="DP7" s="181">
        <f>IF(COUNT(DP8:DP11)=0,"",SUM(DP8:DP11)/COUNT(DP8:DP11))</f>
        <v>3.0625</v>
      </c>
      <c r="DQ7" s="206" t="str">
        <f t="shared" si="27"/>
        <v>B</v>
      </c>
      <c r="DR7" s="245"/>
      <c r="DS7" s="245"/>
      <c r="DT7" s="246"/>
      <c r="DU7" s="181" t="str">
        <f>IF(COUNT(DU8:DU11)=0,"",SUM(DU8:DU11)/COUNT(DU8:DU11))</f>
        <v/>
      </c>
      <c r="DV7" s="182" t="str">
        <f t="shared" si="28"/>
        <v/>
      </c>
      <c r="DW7" s="247"/>
      <c r="DX7" s="245"/>
      <c r="DY7" s="246"/>
      <c r="DZ7" s="181">
        <f>IF(COUNT(DZ8,DZ11)=0,"",SUM(DZ8:DZ11)/COUNT(DZ8,DZ11))</f>
        <v>7</v>
      </c>
      <c r="EA7" s="198" t="str">
        <f t="shared" si="29"/>
        <v>A</v>
      </c>
      <c r="EB7" s="247"/>
      <c r="EC7" s="245"/>
      <c r="ED7" s="246"/>
      <c r="EE7" s="181">
        <f>IF(COUNT(EE8,EE11)=0,"",SUM(EE8:EE11)/COUNT(EE8,EE11))</f>
        <v>6.25</v>
      </c>
      <c r="EF7" s="205" t="str">
        <f t="shared" si="30"/>
        <v>A</v>
      </c>
      <c r="EG7" s="181">
        <f>IF(COUNT(EG8:EG11)=0,"",SUM(EG8:EG11)/COUNT(EG8:EG11))</f>
        <v>3.1875</v>
      </c>
      <c r="EH7" s="206" t="str">
        <f t="shared" si="31"/>
        <v>B</v>
      </c>
      <c r="EI7" s="245"/>
      <c r="EJ7" s="245"/>
      <c r="EK7" s="246"/>
      <c r="EL7" s="181" t="str">
        <f>IF(COUNT(EL8:EL11)=0,"",SUM(EL8:EL11)/COUNT(EL8:EL11))</f>
        <v/>
      </c>
      <c r="EM7" s="182" t="str">
        <f t="shared" si="32"/>
        <v/>
      </c>
      <c r="EN7" s="247"/>
      <c r="EO7" s="245"/>
      <c r="EP7" s="246"/>
      <c r="EQ7" s="181">
        <f>IF(COUNT(EQ8,EQ11)=0,"",SUM(EQ8:EQ11)/COUNT(EQ8,EQ11))</f>
        <v>7</v>
      </c>
      <c r="ER7" s="198" t="str">
        <f t="shared" si="33"/>
        <v>A</v>
      </c>
      <c r="ES7" s="247"/>
      <c r="ET7" s="245"/>
      <c r="EU7" s="246"/>
      <c r="EV7" s="181">
        <f>IF(COUNT(EV8,EV11)=0,"",SUM(EV8:EV11)/COUNT(EV8,EV11))</f>
        <v>6</v>
      </c>
      <c r="EW7" s="205" t="str">
        <f t="shared" si="34"/>
        <v>A</v>
      </c>
      <c r="EX7" s="181">
        <f>IF(COUNT(EX8:EX11)=0,"",SUM(EX8:EX11)/COUNT(EX8:EX11))</f>
        <v>3.125</v>
      </c>
      <c r="EY7" s="206" t="str">
        <f t="shared" si="35"/>
        <v>B</v>
      </c>
      <c r="EZ7" s="245"/>
      <c r="FA7" s="245"/>
      <c r="FB7" s="246"/>
      <c r="FC7" s="181" t="str">
        <f>IF(COUNT(FC8:FC11)=0,"",SUM(FC8:FC11)/COUNT(FC8:FC11))</f>
        <v/>
      </c>
      <c r="FD7" s="182" t="str">
        <f t="shared" si="36"/>
        <v/>
      </c>
      <c r="FE7" s="247"/>
      <c r="FF7" s="245"/>
      <c r="FG7" s="246"/>
      <c r="FH7" s="181">
        <f>IF(COUNT(FH8,FH11)=0,"",SUM(FH8:FH11)/COUNT(FH8,FH11))</f>
        <v>7</v>
      </c>
      <c r="FI7" s="198" t="str">
        <f t="shared" si="37"/>
        <v>A</v>
      </c>
      <c r="FJ7" s="247"/>
      <c r="FK7" s="245"/>
      <c r="FL7" s="246"/>
      <c r="FM7" s="181">
        <f>IF(COUNT(FM8,FM11)=0,"",SUM(FM8:FM11)/COUNT(FM8,FM11))</f>
        <v>6</v>
      </c>
      <c r="FN7" s="205" t="str">
        <f t="shared" si="38"/>
        <v>A</v>
      </c>
      <c r="FO7" s="181">
        <f>IF(COUNT(FO8:FO11)=0,"",SUM(FO8:FO11)/COUNT(FO8:FO11))</f>
        <v>3.125</v>
      </c>
      <c r="FP7" s="206" t="str">
        <f t="shared" si="39"/>
        <v>B</v>
      </c>
      <c r="FQ7" s="245"/>
      <c r="FR7" s="245"/>
      <c r="FS7" s="246"/>
      <c r="FT7" s="181" t="str">
        <f>IF(COUNT(FT8:FT11)=0,"",SUM(FT8:FT11)/COUNT(FT8:FT11))</f>
        <v/>
      </c>
      <c r="FU7" s="182" t="str">
        <f t="shared" si="40"/>
        <v/>
      </c>
      <c r="FV7" s="247"/>
      <c r="FW7" s="245"/>
      <c r="FX7" s="246"/>
      <c r="FY7" s="181">
        <f>IF(COUNT(FY8,FY11)=0,"",SUM(FY8:FY11)/COUNT(FY8,FY11))</f>
        <v>7</v>
      </c>
      <c r="FZ7" s="198" t="str">
        <f t="shared" si="41"/>
        <v>A</v>
      </c>
      <c r="GA7" s="247"/>
      <c r="GB7" s="245"/>
      <c r="GC7" s="246"/>
      <c r="GD7" s="181">
        <f>IF(COUNT(GD8,GD11)=0,"",SUM(GD8:GD11)/COUNT(GD8,GD11))</f>
        <v>6.25</v>
      </c>
      <c r="GE7" s="205" t="str">
        <f t="shared" si="42"/>
        <v>A</v>
      </c>
      <c r="GF7" s="181">
        <f>IF(COUNT(GF8:GF11)=0,"",SUM(GF8:GF11)/COUNT(GF8:GF11))</f>
        <v>3.1875</v>
      </c>
      <c r="GG7" s="206" t="str">
        <f t="shared" si="43"/>
        <v>B</v>
      </c>
      <c r="GH7" s="245"/>
      <c r="GI7" s="245"/>
      <c r="GJ7" s="246"/>
      <c r="GK7" s="181" t="str">
        <f>IF(COUNT(GK8:GK11)=0,"",SUM(GK8:GK11)/COUNT(GK8:GK11))</f>
        <v/>
      </c>
      <c r="GL7" s="182" t="str">
        <f t="shared" si="44"/>
        <v/>
      </c>
      <c r="GM7" s="247"/>
      <c r="GN7" s="245"/>
      <c r="GO7" s="246"/>
      <c r="GP7" s="181">
        <f>IF(COUNT(GP8,GP11)=0,"",SUM(GP8:GP11)/COUNT(GP8,GP11))</f>
        <v>4</v>
      </c>
      <c r="GQ7" s="198" t="str">
        <f t="shared" si="45"/>
        <v>A</v>
      </c>
      <c r="GR7" s="247"/>
      <c r="GS7" s="245"/>
      <c r="GT7" s="246"/>
      <c r="GU7" s="181">
        <f>IF(COUNT(GU8,GU11)=0,"",SUM(GU8:GU11)/COUNT(GU8,GU11))</f>
        <v>5.5</v>
      </c>
      <c r="GV7" s="205" t="str">
        <f t="shared" si="46"/>
        <v>A</v>
      </c>
      <c r="GW7" s="181">
        <f>IF(COUNT(GW8:GW11)=0,"",SUM(GW8:GW11)/COUNT(GW8:GW11))</f>
        <v>3.6666666666666665</v>
      </c>
      <c r="GX7" s="206" t="str">
        <f t="shared" si="47"/>
        <v>B</v>
      </c>
      <c r="GY7" s="245"/>
      <c r="GZ7" s="245"/>
      <c r="HA7" s="246"/>
      <c r="HB7" s="181" t="str">
        <f>IF(COUNT(HB8:HB11)=0,"",SUM(HB8:HB11)/COUNT(HB8:HB11))</f>
        <v/>
      </c>
      <c r="HC7" s="182" t="str">
        <f t="shared" si="48"/>
        <v/>
      </c>
      <c r="HD7" s="247"/>
      <c r="HE7" s="245"/>
      <c r="HF7" s="246"/>
      <c r="HG7" s="181">
        <f>IF(COUNT(HG8,HG11)=0,"",SUM(HG8:HG11)/COUNT(HG8,HG11))</f>
        <v>4</v>
      </c>
      <c r="HH7" s="198" t="str">
        <f t="shared" si="49"/>
        <v>A</v>
      </c>
      <c r="HI7" s="247"/>
      <c r="HJ7" s="245"/>
      <c r="HK7" s="246"/>
      <c r="HL7" s="181">
        <f>IF(COUNT(HL8,HL11)=0,"",SUM(HL8:HL11)/COUNT(HL8,HL11))</f>
        <v>6.25</v>
      </c>
      <c r="HM7" s="205" t="str">
        <f t="shared" si="50"/>
        <v>A</v>
      </c>
      <c r="HN7" s="181">
        <f>IF(COUNT(HN8:HN11)=0,"",SUM(HN8:HN11)/COUNT(HN8:HN11))</f>
        <v>3.1875</v>
      </c>
      <c r="HO7" s="206" t="str">
        <f t="shared" si="51"/>
        <v>B</v>
      </c>
      <c r="HP7" s="245"/>
      <c r="HQ7" s="245"/>
      <c r="HR7" s="246"/>
      <c r="HS7" s="181" t="str">
        <f>IF(COUNT(HS8:HS11)=0,"",SUM(HS8:HS11)/COUNT(HS8:HS11))</f>
        <v/>
      </c>
      <c r="HT7" s="182" t="str">
        <f t="shared" si="52"/>
        <v/>
      </c>
      <c r="HU7" s="247"/>
      <c r="HV7" s="245"/>
      <c r="HW7" s="246"/>
      <c r="HX7" s="181">
        <f>IF(COUNT(HX8,HX11)=0,"",SUM(HX8:HX11)/COUNT(HX8,HX11))</f>
        <v>7</v>
      </c>
      <c r="HY7" s="198" t="str">
        <f t="shared" si="53"/>
        <v>A</v>
      </c>
      <c r="HZ7" s="247"/>
      <c r="IA7" s="245"/>
      <c r="IB7" s="246"/>
      <c r="IC7" s="181">
        <f>IF(COUNT(IC8,IC11)=0,"",SUM(IC8:IC11)/COUNT(IC8,IC11))</f>
        <v>6.75</v>
      </c>
      <c r="ID7" s="205" t="str">
        <f t="shared" si="54"/>
        <v>A</v>
      </c>
      <c r="IE7" s="181">
        <f>IF(COUNT(IE8:IE11)=0,"",SUM(IE8:IE11)/COUNT(IE8:IE11))</f>
        <v>3.4375</v>
      </c>
      <c r="IF7" s="206" t="str">
        <f t="shared" si="55"/>
        <v>B</v>
      </c>
      <c r="IG7" s="245"/>
      <c r="IH7" s="245"/>
      <c r="II7" s="246"/>
      <c r="IJ7" s="181" t="str">
        <f>IF(COUNT(IJ8:IJ11)=0,"",SUM(IJ8:IJ11)/COUNT(IJ8:IJ11))</f>
        <v/>
      </c>
      <c r="IK7" s="182" t="str">
        <f t="shared" si="56"/>
        <v/>
      </c>
      <c r="IL7" s="247"/>
      <c r="IM7" s="245"/>
      <c r="IN7" s="246"/>
      <c r="IO7" s="181">
        <f>IF(COUNT(IO8,IO11)=0,"",SUM(IO8:IO11)/COUNT(IO8,IO11))</f>
        <v>4</v>
      </c>
      <c r="IP7" s="198" t="str">
        <f t="shared" si="57"/>
        <v>A</v>
      </c>
      <c r="IQ7" s="247"/>
      <c r="IR7" s="245"/>
      <c r="IS7" s="246"/>
      <c r="IT7" s="181" t="str">
        <f>IF(COUNT(IT8,IT11)=0,"",SUM(IT8:IT11)/COUNT(IT8,IT11))</f>
        <v/>
      </c>
      <c r="IU7" s="205" t="str">
        <f t="shared" si="58"/>
        <v/>
      </c>
      <c r="IV7" s="181">
        <f>IF(COUNT(IV8:IV11)=0,"",SUM(IV8:IV11)/COUNT(IV8:IV11))</f>
        <v>4</v>
      </c>
      <c r="IW7" s="206" t="str">
        <f t="shared" si="59"/>
        <v>A</v>
      </c>
      <c r="IX7" s="245"/>
      <c r="IY7" s="245"/>
      <c r="IZ7" s="246"/>
      <c r="JA7" s="181" t="str">
        <f>IF(COUNT(JA8:JA11)=0,"",SUM(JA8:JA11)/COUNT(JA8:JA11))</f>
        <v/>
      </c>
      <c r="JB7" s="182" t="str">
        <f t="shared" si="60"/>
        <v/>
      </c>
      <c r="JC7" s="247"/>
      <c r="JD7" s="245"/>
      <c r="JE7" s="246"/>
      <c r="JF7" s="181">
        <f>IF(COUNT(JF8,JF11)=0,"",SUM(JF8:JF11)/COUNT(JF8,JF11))</f>
        <v>4</v>
      </c>
      <c r="JG7" s="198" t="str">
        <f t="shared" si="61"/>
        <v>A</v>
      </c>
      <c r="JH7" s="247"/>
      <c r="JI7" s="245"/>
      <c r="JJ7" s="246"/>
      <c r="JK7" s="181">
        <f>IF(COUNT(JK8,JK11)=0,"",SUM(JK8:JK11)/COUNT(JK8,JK11))</f>
        <v>6</v>
      </c>
      <c r="JL7" s="205" t="str">
        <f t="shared" si="62"/>
        <v>A</v>
      </c>
      <c r="JM7" s="181">
        <f>IF(COUNT(JM8:JM11)=0,"",SUM(JM8:JM11)/COUNT(JM8:JM11))</f>
        <v>3.25</v>
      </c>
      <c r="JN7" s="206" t="str">
        <f t="shared" si="63"/>
        <v>B</v>
      </c>
      <c r="JO7" s="245"/>
      <c r="JP7" s="245"/>
      <c r="JQ7" s="246"/>
      <c r="JR7" s="181" t="str">
        <f>IF(COUNT(JR8:JR11)=0,"",SUM(JR8:JR11)/COUNT(JR8:JR11))</f>
        <v/>
      </c>
      <c r="JS7" s="182" t="str">
        <f t="shared" si="64"/>
        <v/>
      </c>
      <c r="JT7" s="247"/>
      <c r="JU7" s="245"/>
      <c r="JV7" s="246"/>
      <c r="JW7" s="181">
        <f>IF(COUNT(JW8,JW11)=0,"",SUM(JW8:JW11)/COUNT(JW8,JW11))</f>
        <v>7</v>
      </c>
      <c r="JX7" s="198" t="str">
        <f t="shared" si="65"/>
        <v>A</v>
      </c>
      <c r="JY7" s="247"/>
      <c r="JZ7" s="245"/>
      <c r="KA7" s="246"/>
      <c r="KB7" s="181">
        <f>IF(COUNT(KB8,KB11)=0,"",SUM(KB8:KB11)/COUNT(KB8,KB11))</f>
        <v>6.5</v>
      </c>
      <c r="KC7" s="205" t="str">
        <f t="shared" si="66"/>
        <v>A</v>
      </c>
      <c r="KD7" s="181">
        <f>IF(COUNT(KD8:KD11)=0,"",SUM(KD8:KD11)/COUNT(KD8:KD11))</f>
        <v>3.25</v>
      </c>
      <c r="KE7" s="206" t="str">
        <f t="shared" si="67"/>
        <v>B</v>
      </c>
      <c r="KF7" s="245"/>
      <c r="KG7" s="245"/>
      <c r="KH7" s="246"/>
      <c r="KI7" s="181" t="str">
        <f>IF(COUNT(KI8:KI11)=0,"",SUM(KI8:KI11)/COUNT(KI8:KI11))</f>
        <v/>
      </c>
      <c r="KJ7" s="182" t="str">
        <f t="shared" si="68"/>
        <v/>
      </c>
      <c r="KK7" s="247"/>
      <c r="KL7" s="245"/>
      <c r="KM7" s="246"/>
      <c r="KN7" s="181">
        <f>IF(COUNT(KN8,KN11)=0,"",SUM(KN8:KN11)/COUNT(KN8,KN11))</f>
        <v>6</v>
      </c>
      <c r="KO7" s="198" t="str">
        <f t="shared" si="69"/>
        <v>A</v>
      </c>
      <c r="KP7" s="247"/>
      <c r="KQ7" s="245"/>
      <c r="KR7" s="246"/>
      <c r="KS7" s="181">
        <f>IF(COUNT(KS8,KS11)=0,"",SUM(KS8:KS11)/COUNT(KS8,KS11))</f>
        <v>6.25</v>
      </c>
      <c r="KT7" s="205" t="str">
        <f t="shared" si="70"/>
        <v>A</v>
      </c>
      <c r="KU7" s="181">
        <f>IF(COUNT(KU8:KU11)=0,"",SUM(KU8:KU11)/COUNT(KU8:KU11))</f>
        <v>3.0625</v>
      </c>
      <c r="KV7" s="206" t="str">
        <f t="shared" si="71"/>
        <v>B</v>
      </c>
      <c r="KW7" s="245"/>
      <c r="KX7" s="245"/>
      <c r="KY7" s="246"/>
      <c r="KZ7" s="181" t="str">
        <f>IF(COUNT(KZ8:KZ11)=0,"",SUM(KZ8:KZ11)/COUNT(KZ8:KZ11))</f>
        <v/>
      </c>
      <c r="LA7" s="182" t="str">
        <f t="shared" si="72"/>
        <v/>
      </c>
      <c r="LB7" s="247"/>
      <c r="LC7" s="245"/>
      <c r="LD7" s="246"/>
      <c r="LE7" s="181">
        <f>IF(COUNT(LE8,LE11)=0,"",SUM(LE8:LE11)/COUNT(LE8,LE11))</f>
        <v>7</v>
      </c>
      <c r="LF7" s="198" t="str">
        <f t="shared" si="73"/>
        <v>A</v>
      </c>
      <c r="LG7" s="247"/>
      <c r="LH7" s="245"/>
      <c r="LI7" s="246"/>
      <c r="LJ7" s="181">
        <f>IF(COUNT(LJ8,LJ11)=0,"",SUM(LJ8:LJ11)/COUNT(LJ8,LJ11))</f>
        <v>7.5</v>
      </c>
      <c r="LK7" s="205" t="str">
        <f t="shared" si="74"/>
        <v>A</v>
      </c>
      <c r="LL7" s="181">
        <f>IF(COUNT(LL8:LL11)=0,"",SUM(LL8:LL11)/COUNT(LL8:LL11))</f>
        <v>3.75</v>
      </c>
      <c r="LM7" s="206" t="str">
        <f t="shared" si="75"/>
        <v>A</v>
      </c>
      <c r="LN7" s="245"/>
      <c r="LO7" s="245"/>
      <c r="LP7" s="246"/>
      <c r="LQ7" s="181" t="str">
        <f>IF(COUNT(LQ8:LQ11)=0,"",SUM(LQ8:LQ11)/COUNT(LQ8:LQ11))</f>
        <v/>
      </c>
      <c r="LR7" s="182" t="str">
        <f t="shared" si="76"/>
        <v/>
      </c>
      <c r="LS7" s="247"/>
      <c r="LT7" s="245"/>
      <c r="LU7" s="246"/>
      <c r="LV7" s="181">
        <f>IF(COUNT(LV8,LV11)=0,"",SUM(LV8:LV11)/COUNT(LV8,LV11))</f>
        <v>4</v>
      </c>
      <c r="LW7" s="198" t="str">
        <f t="shared" si="77"/>
        <v>A</v>
      </c>
      <c r="LX7" s="247"/>
      <c r="LY7" s="245"/>
      <c r="LZ7" s="246"/>
      <c r="MA7" s="181">
        <f>IF(COUNT(MA8,MA11)=0,"",SUM(MA8:MA11)/COUNT(MA8,MA11))</f>
        <v>7</v>
      </c>
      <c r="MB7" s="205" t="str">
        <f t="shared" si="78"/>
        <v>A</v>
      </c>
      <c r="MC7" s="181">
        <f>IF(COUNT(MC8:MC11)=0,"",SUM(MC8:MC11)/COUNT(MC8:MC11))</f>
        <v>3.5</v>
      </c>
      <c r="MD7" s="206" t="str">
        <f t="shared" si="79"/>
        <v>B</v>
      </c>
      <c r="ME7" s="245"/>
      <c r="MF7" s="245"/>
      <c r="MG7" s="246"/>
      <c r="MH7" s="181" t="str">
        <f>IF(COUNT(MH8:MH11)=0,"",SUM(MH8:MH11)/COUNT(MH8:MH11))</f>
        <v/>
      </c>
      <c r="MI7" s="182" t="str">
        <f t="shared" si="80"/>
        <v/>
      </c>
      <c r="MJ7" s="247"/>
      <c r="MK7" s="245"/>
      <c r="ML7" s="246"/>
      <c r="MM7" s="181">
        <f>IF(COUNT(MM8,MM11)=0,"",SUM(MM8:MM11)/COUNT(MM8,MM11))</f>
        <v>6</v>
      </c>
      <c r="MN7" s="198" t="str">
        <f t="shared" si="81"/>
        <v>A</v>
      </c>
      <c r="MO7" s="247"/>
      <c r="MP7" s="245"/>
      <c r="MQ7" s="246"/>
      <c r="MR7" s="181">
        <f>IF(COUNT(MR8,MR11)=0,"",SUM(MR8:MR11)/COUNT(MR8,MR11))</f>
        <v>7</v>
      </c>
      <c r="MS7" s="205" t="str">
        <f t="shared" si="82"/>
        <v>A</v>
      </c>
      <c r="MT7" s="181">
        <f>IF(COUNT(MT8:MT11)=0,"",SUM(MT8:MT11)/COUNT(MT8:MT11))</f>
        <v>3.375</v>
      </c>
      <c r="MU7" s="206" t="str">
        <f t="shared" si="83"/>
        <v>B</v>
      </c>
      <c r="MV7" s="245"/>
      <c r="MW7" s="245"/>
      <c r="MX7" s="246"/>
      <c r="MY7" s="181" t="str">
        <f>IF(COUNT(MY8:MY11)=0,"",SUM(MY8:MY11)/COUNT(MY8:MY11))</f>
        <v/>
      </c>
      <c r="MZ7" s="182" t="str">
        <f t="shared" si="84"/>
        <v/>
      </c>
      <c r="NA7" s="247"/>
      <c r="NB7" s="245"/>
      <c r="NC7" s="246"/>
      <c r="ND7" s="181">
        <f>IF(COUNT(ND8,ND11)=0,"",SUM(ND8:ND11)/COUNT(ND8,ND11))</f>
        <v>7</v>
      </c>
      <c r="NE7" s="198" t="str">
        <f t="shared" si="85"/>
        <v>A</v>
      </c>
      <c r="NF7" s="247"/>
      <c r="NG7" s="245"/>
      <c r="NH7" s="246"/>
      <c r="NI7" s="181">
        <f>IF(COUNT(NI8,NI11)=0,"",SUM(NI8:NI11)/COUNT(NI8,NI11))</f>
        <v>5</v>
      </c>
      <c r="NJ7" s="205" t="str">
        <f t="shared" si="86"/>
        <v>A</v>
      </c>
      <c r="NK7" s="181">
        <f>IF(COUNT(NK8:NK11)=0,"",SUM(NK8:NK11)/COUNT(NK8:NK11))</f>
        <v>3</v>
      </c>
      <c r="NL7" s="206" t="str">
        <f t="shared" si="87"/>
        <v>B</v>
      </c>
      <c r="NM7" s="245"/>
      <c r="NN7" s="245"/>
      <c r="NO7" s="246"/>
      <c r="NP7" s="181" t="str">
        <f>IF(COUNT(NP8:NP11)=0,"",SUM(NP8:NP11)/COUNT(NP8:NP11))</f>
        <v/>
      </c>
      <c r="NQ7" s="182" t="str">
        <f t="shared" si="88"/>
        <v/>
      </c>
      <c r="NR7" s="247"/>
      <c r="NS7" s="245"/>
      <c r="NT7" s="246"/>
      <c r="NU7" s="181">
        <f>IF(COUNT(NU8,NU11)=0,"",SUM(NU8:NU11)/COUNT(NU8,NU11))</f>
        <v>7</v>
      </c>
      <c r="NV7" s="198" t="str">
        <f t="shared" si="89"/>
        <v>A</v>
      </c>
      <c r="NW7" s="247"/>
      <c r="NX7" s="245"/>
      <c r="NY7" s="246"/>
      <c r="NZ7" s="181">
        <f>IF(COUNT(NZ8,NZ11)=0,"",SUM(NZ8:NZ11)/COUNT(NZ8,NZ11))</f>
        <v>7.25</v>
      </c>
      <c r="OA7" s="205" t="str">
        <f t="shared" si="90"/>
        <v>A</v>
      </c>
      <c r="OB7" s="181">
        <f>IF(COUNT(OB8:OB11)=0,"",SUM(OB8:OB11)/COUNT(OB8:OB11))</f>
        <v>3.6875</v>
      </c>
      <c r="OC7" s="206" t="str">
        <f t="shared" si="91"/>
        <v>B</v>
      </c>
      <c r="OD7" s="245"/>
      <c r="OE7" s="245"/>
      <c r="OF7" s="246"/>
      <c r="OG7" s="181" t="str">
        <f>IF(COUNT(OG8:OG11)=0,"",SUM(OG8:OG11)/COUNT(OG8:OG11))</f>
        <v/>
      </c>
      <c r="OH7" s="182" t="str">
        <f t="shared" si="92"/>
        <v/>
      </c>
      <c r="OI7" s="247"/>
      <c r="OJ7" s="245"/>
      <c r="OK7" s="246"/>
      <c r="OL7" s="181">
        <f>IF(COUNT(OL8,OL11)=0,"",SUM(OL8:OL11)/COUNT(OL8,OL11))</f>
        <v>7</v>
      </c>
      <c r="OM7" s="198" t="str">
        <f t="shared" si="93"/>
        <v>A</v>
      </c>
      <c r="ON7" s="247"/>
      <c r="OO7" s="245"/>
      <c r="OP7" s="246"/>
      <c r="OQ7" s="181">
        <f>IF(COUNT(OQ8,OQ11)=0,"",SUM(OQ8:OQ11)/COUNT(OQ8,OQ11))</f>
        <v>6.5</v>
      </c>
      <c r="OR7" s="205" t="str">
        <f t="shared" si="94"/>
        <v>A</v>
      </c>
      <c r="OS7" s="181">
        <f>IF(COUNT(OS8:OS11)=0,"",SUM(OS8:OS11)/COUNT(OS8:OS11))</f>
        <v>3.25</v>
      </c>
      <c r="OT7" s="206" t="str">
        <f t="shared" si="95"/>
        <v>B</v>
      </c>
      <c r="OU7" s="245"/>
      <c r="OV7" s="245"/>
      <c r="OW7" s="246"/>
      <c r="OX7" s="181" t="str">
        <f>IF(COUNT(OX8:OX11)=0,"",SUM(OX8:OX11)/COUNT(OX8:OX11))</f>
        <v/>
      </c>
      <c r="OY7" s="182" t="str">
        <f t="shared" si="96"/>
        <v/>
      </c>
      <c r="OZ7" s="247"/>
      <c r="PA7" s="245"/>
      <c r="PB7" s="246"/>
      <c r="PC7" s="181">
        <f>IF(COUNT(PC8,PC11)=0,"",SUM(PC8:PC11)/COUNT(PC8,PC11))</f>
        <v>4</v>
      </c>
      <c r="PD7" s="198" t="str">
        <f t="shared" si="97"/>
        <v>A</v>
      </c>
      <c r="PE7" s="247"/>
      <c r="PF7" s="245"/>
      <c r="PG7" s="246"/>
      <c r="PH7" s="181">
        <f>IF(COUNT(PH8,PH11)=0,"",SUM(PH8:PH11)/COUNT(PH8,PH11))</f>
        <v>5.5</v>
      </c>
      <c r="PI7" s="205" t="str">
        <f t="shared" si="98"/>
        <v>A</v>
      </c>
      <c r="PJ7" s="181">
        <f>IF(COUNT(PJ8:PJ11)=0,"",SUM(PJ8:PJ11)/COUNT(PJ8:PJ11))</f>
        <v>3.6666666666666665</v>
      </c>
      <c r="PK7" s="206" t="str">
        <f t="shared" si="99"/>
        <v>B</v>
      </c>
      <c r="PL7" s="245"/>
      <c r="PM7" s="245"/>
      <c r="PN7" s="246"/>
      <c r="PO7" s="181" t="str">
        <f>IF(COUNT(PO8:PO11)=0,"",SUM(PO8:PO11)/COUNT(PO8:PO11))</f>
        <v/>
      </c>
      <c r="PP7" s="182" t="str">
        <f t="shared" si="100"/>
        <v/>
      </c>
      <c r="PQ7" s="247"/>
      <c r="PR7" s="245"/>
      <c r="PS7" s="246"/>
      <c r="PT7" s="181">
        <f>IF(COUNT(PT8,PT11)=0,"",SUM(PT8:PT11)/COUNT(PT8,PT11))</f>
        <v>7</v>
      </c>
      <c r="PU7" s="198" t="str">
        <f t="shared" si="101"/>
        <v>A</v>
      </c>
      <c r="PV7" s="247"/>
      <c r="PW7" s="245"/>
      <c r="PX7" s="246"/>
      <c r="PY7" s="181">
        <f>IF(COUNT(PY8,PY11)=0,"",SUM(PY8:PY11)/COUNT(PY8,PY11))</f>
        <v>7</v>
      </c>
      <c r="PZ7" s="205" t="str">
        <f t="shared" si="102"/>
        <v>A</v>
      </c>
      <c r="QA7" s="181">
        <f>IF(COUNT(QA8:QA11)=0,"",SUM(QA8:QA11)/COUNT(QA8:QA11))</f>
        <v>3.5</v>
      </c>
      <c r="QB7" s="206" t="str">
        <f t="shared" si="103"/>
        <v>B</v>
      </c>
      <c r="QC7" s="245"/>
      <c r="QD7" s="245"/>
      <c r="QE7" s="246"/>
      <c r="QF7" s="181" t="str">
        <f>IF(COUNT(QF8:QF11)=0,"",SUM(QF8:QF11)/COUNT(QF8:QF11))</f>
        <v/>
      </c>
      <c r="QG7" s="182" t="str">
        <f t="shared" si="104"/>
        <v/>
      </c>
      <c r="QH7" s="247"/>
      <c r="QI7" s="245"/>
      <c r="QJ7" s="246"/>
      <c r="QK7" s="181">
        <f>IF(COUNT(QK8,QK11)=0,"",SUM(QK8:QK11)/COUNT(QK8,QK11))</f>
        <v>4</v>
      </c>
      <c r="QL7" s="198" t="str">
        <f t="shared" si="105"/>
        <v>A</v>
      </c>
      <c r="QM7" s="247"/>
      <c r="QN7" s="245"/>
      <c r="QO7" s="246"/>
      <c r="QP7" s="181">
        <f>IF(COUNT(QP8,QP11)=0,"",SUM(QP8:QP11)/COUNT(QP8,QP11))</f>
        <v>6.75</v>
      </c>
      <c r="QQ7" s="205" t="str">
        <f t="shared" si="106"/>
        <v>A</v>
      </c>
      <c r="QR7" s="181">
        <f>IF(COUNT(QR8:QR11)=0,"",SUM(QR8:QR11)/COUNT(QR8:QR11))</f>
        <v>3.4375</v>
      </c>
      <c r="QS7" s="206" t="str">
        <f t="shared" si="107"/>
        <v>B</v>
      </c>
      <c r="QT7" s="245"/>
      <c r="QU7" s="245"/>
      <c r="QV7" s="246"/>
      <c r="QW7" s="181" t="str">
        <f>IF(COUNT(QW8:QW11)=0,"",SUM(QW8:QW11)/COUNT(QW8:QW11))</f>
        <v/>
      </c>
      <c r="QX7" s="182" t="str">
        <f t="shared" si="108"/>
        <v/>
      </c>
      <c r="QY7" s="247"/>
      <c r="QZ7" s="245"/>
      <c r="RA7" s="246"/>
      <c r="RB7" s="181">
        <f>IF(COUNT(RB8,RB11)=0,"",SUM(RB8:RB11)/COUNT(RB8,RB11))</f>
        <v>4</v>
      </c>
      <c r="RC7" s="198" t="str">
        <f t="shared" si="109"/>
        <v>A</v>
      </c>
      <c r="RD7" s="247"/>
      <c r="RE7" s="245"/>
      <c r="RF7" s="246"/>
      <c r="RG7" s="181">
        <f>IF(COUNT(RG8,RG11)=0,"",SUM(RG8:RG11)/COUNT(RG8,RG11))</f>
        <v>5.5</v>
      </c>
      <c r="RH7" s="205" t="str">
        <f t="shared" si="110"/>
        <v>A</v>
      </c>
      <c r="RI7" s="181">
        <f>IF(COUNT(RI8:RI11)=0,"",SUM(RI8:RI11)/COUNT(RI8:RI11))</f>
        <v>3.6666666666666665</v>
      </c>
      <c r="RJ7" s="206" t="str">
        <f t="shared" si="111"/>
        <v>B</v>
      </c>
      <c r="RK7" s="245"/>
      <c r="RL7" s="245"/>
      <c r="RM7" s="246"/>
      <c r="RN7" s="181" t="str">
        <f>IF(COUNT(RN8:RN11)=0,"",SUM(RN8:RN11)/COUNT(RN8:RN11))</f>
        <v/>
      </c>
      <c r="RO7" s="182" t="str">
        <f t="shared" si="112"/>
        <v/>
      </c>
      <c r="RP7" s="247"/>
      <c r="RQ7" s="245"/>
      <c r="RR7" s="246"/>
      <c r="RS7" s="181">
        <f>IF(COUNT(RS8,RS11)=0,"",SUM(RS8:RS11)/COUNT(RS8,RS11))</f>
        <v>4</v>
      </c>
      <c r="RT7" s="198" t="str">
        <f t="shared" si="113"/>
        <v>A</v>
      </c>
      <c r="RU7" s="247"/>
      <c r="RV7" s="245"/>
      <c r="RW7" s="246"/>
      <c r="RX7" s="181">
        <f>IF(COUNT(RX8,RX11)=0,"",SUM(RX8:RX11)/COUNT(RX8,RX11))</f>
        <v>6.25</v>
      </c>
      <c r="RY7" s="205" t="str">
        <f t="shared" si="114"/>
        <v>A</v>
      </c>
      <c r="RZ7" s="181">
        <f>IF(COUNT(RZ8:RZ11)=0,"",SUM(RZ8:RZ11)/COUNT(RZ8:RZ11))</f>
        <v>3.1875</v>
      </c>
      <c r="SA7" s="206" t="str">
        <f t="shared" si="115"/>
        <v>B</v>
      </c>
      <c r="SB7" s="245"/>
      <c r="SC7" s="245"/>
      <c r="SD7" s="246"/>
      <c r="SE7" s="181" t="str">
        <f>IF(COUNT(SE8:SE11)=0,"",SUM(SE8:SE11)/COUNT(SE8:SE11))</f>
        <v/>
      </c>
      <c r="SF7" s="182" t="str">
        <f t="shared" si="116"/>
        <v/>
      </c>
      <c r="SG7" s="247"/>
      <c r="SH7" s="245"/>
      <c r="SI7" s="246"/>
      <c r="SJ7" s="181">
        <f>IF(COUNT(SJ8,SJ11)=0,"",SUM(SJ8:SJ11)/COUNT(SJ8,SJ11))</f>
        <v>4</v>
      </c>
      <c r="SK7" s="198" t="str">
        <f t="shared" si="117"/>
        <v>A</v>
      </c>
      <c r="SL7" s="247"/>
      <c r="SM7" s="245"/>
      <c r="SN7" s="246"/>
      <c r="SO7" s="181">
        <f>IF(COUNT(SO8,SO11)=0,"",SUM(SO8:SO11)/COUNT(SO8,SO11))</f>
        <v>5.5</v>
      </c>
      <c r="SP7" s="205" t="str">
        <f t="shared" si="118"/>
        <v>A</v>
      </c>
      <c r="SQ7" s="181">
        <f>IF(COUNT(SQ8:SQ11)=0,"",SUM(SQ8:SQ11)/COUNT(SQ8:SQ11))</f>
        <v>3.6666666666666665</v>
      </c>
      <c r="SR7" s="206" t="str">
        <f t="shared" si="119"/>
        <v>B</v>
      </c>
      <c r="SS7" s="245"/>
      <c r="ST7" s="245"/>
      <c r="SU7" s="246"/>
      <c r="SV7" s="181" t="str">
        <f>IF(COUNT(SV8:SV11)=0,"",SUM(SV8:SV11)/COUNT(SV8:SV11))</f>
        <v/>
      </c>
      <c r="SW7" s="182" t="str">
        <f t="shared" si="120"/>
        <v/>
      </c>
      <c r="SX7" s="247"/>
      <c r="SY7" s="245"/>
      <c r="SZ7" s="246"/>
      <c r="TA7" s="181">
        <f>IF(COUNT(TA8,TA11)=0,"",SUM(TA8:TA11)/COUNT(TA8,TA11))</f>
        <v>7</v>
      </c>
      <c r="TB7" s="198" t="str">
        <f t="shared" si="121"/>
        <v>A</v>
      </c>
      <c r="TC7" s="247"/>
      <c r="TD7" s="245"/>
      <c r="TE7" s="246"/>
      <c r="TF7" s="181">
        <f>IF(COUNT(TF8,TF11)=0,"",SUM(TF8:TF11)/COUNT(TF8,TF11))</f>
        <v>6.5</v>
      </c>
      <c r="TG7" s="205" t="str">
        <f t="shared" si="122"/>
        <v>A</v>
      </c>
      <c r="TH7" s="181">
        <f>IF(COUNT(TH8:TH11)=0,"",SUM(TH8:TH11)/COUNT(TH8:TH11))</f>
        <v>3.25</v>
      </c>
      <c r="TI7" s="206" t="str">
        <f t="shared" si="123"/>
        <v>B</v>
      </c>
      <c r="TJ7" s="245"/>
      <c r="TK7" s="245"/>
      <c r="TL7" s="246"/>
      <c r="TM7" s="181" t="str">
        <f>IF(COUNT(TM8:TM11)=0,"",SUM(TM8:TM11)/COUNT(TM8:TM11))</f>
        <v/>
      </c>
      <c r="TN7" s="182" t="str">
        <f t="shared" si="124"/>
        <v/>
      </c>
      <c r="TO7" s="247"/>
      <c r="TP7" s="245"/>
      <c r="TQ7" s="246"/>
      <c r="TR7" s="181">
        <f>IF(COUNT(TR8,TR11)=0,"",SUM(TR8:TR11)/COUNT(TR8,TR11))</f>
        <v>7</v>
      </c>
      <c r="TS7" s="198" t="str">
        <f t="shared" si="125"/>
        <v>A</v>
      </c>
      <c r="TT7" s="247"/>
      <c r="TU7" s="245"/>
      <c r="TV7" s="246"/>
      <c r="TW7" s="181">
        <f>IF(COUNT(TW8,TW11)=0,"",SUM(TW8:TW11)/COUNT(TW8,TW11))</f>
        <v>7</v>
      </c>
      <c r="TX7" s="205" t="str">
        <f t="shared" si="126"/>
        <v>A</v>
      </c>
      <c r="TY7" s="181">
        <f>IF(COUNT(TY8:TY11)=0,"",SUM(TY8:TY11)/COUNT(TY8:TY11))</f>
        <v>3.5</v>
      </c>
      <c r="TZ7" s="206" t="str">
        <f t="shared" si="127"/>
        <v>B</v>
      </c>
    </row>
    <row r="8" spans="1:546" x14ac:dyDescent="0.25">
      <c r="A8" s="240" t="s">
        <v>39</v>
      </c>
      <c r="B8" s="241"/>
      <c r="C8" s="99"/>
      <c r="D8" s="100"/>
      <c r="E8" s="101"/>
      <c r="F8" s="183" t="str">
        <f>IFERROR((((COUNTIF('Elève (6ème1)'!C8:E8,"A"))*4)+((COUNTIF('Elève (6ème1)'!C8:E8,"B"))*3)+((COUNTIF('Elève (6ème1)'!C8:E8,"C"))*2)+((COUNTIF('Elève (6ème1)'!C8:E8,"D"))*1))/(COUNTA(C8:E8)),"")</f>
        <v/>
      </c>
      <c r="G8" s="184" t="str">
        <f t="shared" si="0"/>
        <v/>
      </c>
      <c r="H8" s="99" t="s">
        <v>23</v>
      </c>
      <c r="I8" s="100"/>
      <c r="J8" s="101"/>
      <c r="K8" s="183">
        <f>IFERROR((((COUNTIF('Elève (6ème1)'!H8:J8,"A"))*4)+((COUNTIF('Elève (6ème1)'!H8:J8,"B"))*3)+((COUNTIF('Elève (6ème1)'!H8:J8,"C"))*2)+((COUNTIF('Elève (6ème1)'!H8:J8,"D"))*1))/(COUNTA(H8:J8)),"")</f>
        <v>4</v>
      </c>
      <c r="L8" s="184" t="str">
        <f t="shared" si="1"/>
        <v>A</v>
      </c>
      <c r="M8" s="99"/>
      <c r="N8" s="100" t="s">
        <v>24</v>
      </c>
      <c r="O8" s="101" t="s">
        <v>23</v>
      </c>
      <c r="P8" s="183">
        <f>IFERROR((((COUNTIF('Elève (6ème1)'!M8:O8,"A"))*4)+((COUNTIF('Elève (6ème1)'!M8:O8,"B"))*3)+((COUNTIF('Elève (6ème1)'!M8:O8,"C"))*2)+((COUNTIF('Elève (6ème1)'!M8:O8,"D"))*1))/(COUNTA(M8:O8)),"")</f>
        <v>3.5</v>
      </c>
      <c r="Q8" s="184" t="str">
        <f t="shared" si="2"/>
        <v>B</v>
      </c>
      <c r="R8" s="183">
        <f>IF(COUNT(F8,K8,P8)=0,"",SUM(F8,K8,P8)/COUNT(F8,K8,P8))</f>
        <v>3.75</v>
      </c>
      <c r="S8" s="209" t="str">
        <f t="shared" si="3"/>
        <v>A</v>
      </c>
      <c r="T8" s="105"/>
      <c r="U8" s="100"/>
      <c r="V8" s="101"/>
      <c r="W8" s="183" t="str">
        <f>IFERROR((((COUNTIF('Elève (6ème1)'!T8:V8,"A"))*4)+((COUNTIF('Elève (6ème1)'!T8:V8,"B"))*3)+((COUNTIF('Elève (6ème1)'!T8:V8,"C"))*2)+((COUNTIF('Elève (6ème1)'!T8:V8,"D"))*1))/(COUNTA(T8:V8)),"")</f>
        <v/>
      </c>
      <c r="X8" s="184" t="str">
        <f t="shared" si="4"/>
        <v/>
      </c>
      <c r="Y8" s="99" t="s">
        <v>23</v>
      </c>
      <c r="Z8" s="100"/>
      <c r="AA8" s="101"/>
      <c r="AB8" s="183">
        <f>IFERROR((((COUNTIF('Elève (6ème1)'!Y8:AA8,"A"))*4)+((COUNTIF('Elève (6ème1)'!Y8:AA8,"B"))*3)+((COUNTIF('Elève (6ème1)'!Y8:AA8,"C"))*2)+((COUNTIF('Elève (6ème1)'!Y8:AA8,"D"))*1))/(COUNTA(Y8:AA8)),"")</f>
        <v>4</v>
      </c>
      <c r="AC8" s="184" t="str">
        <f t="shared" si="5"/>
        <v>A</v>
      </c>
      <c r="AD8" s="99"/>
      <c r="AE8" s="100"/>
      <c r="AF8" s="101" t="s">
        <v>23</v>
      </c>
      <c r="AG8" s="183">
        <f>IFERROR((((COUNTIF('Elève (6ème1)'!AD8:AF8,"A"))*4)+((COUNTIF('Elève (6ème1)'!AD8:AF8,"B"))*3)+((COUNTIF('Elève (6ème1)'!AD8:AF8,"C"))*2)+((COUNTIF('Elève (6ème1)'!AD8:AF8,"D"))*1))/(COUNTA(AD8:AF8)),"")</f>
        <v>4</v>
      </c>
      <c r="AH8" s="184" t="str">
        <f t="shared" si="6"/>
        <v>A</v>
      </c>
      <c r="AI8" s="183">
        <f>IF(COUNT(W8,AB8,AG8)=0,"",SUM(W8,AB8,AG8)/COUNT(W8,AB8,AG8))</f>
        <v>4</v>
      </c>
      <c r="AJ8" s="209" t="str">
        <f t="shared" si="7"/>
        <v>A</v>
      </c>
      <c r="AK8" s="105"/>
      <c r="AL8" s="100"/>
      <c r="AM8" s="101"/>
      <c r="AN8" s="183" t="str">
        <f>IFERROR((((COUNTIF('Elève (6ème1)'!AK8:AM8,"A"))*4)+((COUNTIF('Elève (6ème1)'!AK8:AM8,"B"))*3)+((COUNTIF('Elève (6ème1)'!AK8:AM8,"C"))*2)+((COUNTIF('Elève (6ème1)'!AK8:AM8,"D"))*1))/(COUNTA(AK8:AM8)),"")</f>
        <v/>
      </c>
      <c r="AO8" s="184" t="str">
        <f t="shared" si="8"/>
        <v/>
      </c>
      <c r="AP8" s="99" t="s">
        <v>23</v>
      </c>
      <c r="AQ8" s="100"/>
      <c r="AR8" s="101"/>
      <c r="AS8" s="183">
        <f>IFERROR((((COUNTIF('Elève (6ème1)'!AP8:AR8,"A"))*4)+((COUNTIF('Elève (6ème1)'!AP8:AR8,"B"))*3)+((COUNTIF('Elève (6ème1)'!AP8:AR8,"C"))*2)+((COUNTIF('Elève (6ème1)'!AP8:AR8,"D"))*1))/(COUNTA(AP8:AR8)),"")</f>
        <v>4</v>
      </c>
      <c r="AT8" s="184" t="str">
        <f t="shared" si="9"/>
        <v>A</v>
      </c>
      <c r="AU8" s="99"/>
      <c r="AV8" s="100" t="s">
        <v>24</v>
      </c>
      <c r="AW8" s="101" t="s">
        <v>23</v>
      </c>
      <c r="AX8" s="183">
        <f>IFERROR((((COUNTIF('Elève (6ème1)'!AU8:AW8,"A"))*4)+((COUNTIF('Elève (6ème1)'!AU8:AW8,"B"))*3)+((COUNTIF('Elève (6ème1)'!AU8:AW8,"C"))*2)+((COUNTIF('Elève (6ème1)'!AU8:AW8,"D"))*1))/(COUNTA(AU8:AW8)),"")</f>
        <v>3.5</v>
      </c>
      <c r="AY8" s="184" t="str">
        <f t="shared" si="10"/>
        <v>B</v>
      </c>
      <c r="AZ8" s="183">
        <f>IF(COUNT(AN8,AS8,AX8)=0,"",SUM(AN8,AS8,AX8)/COUNT(AN8,AS8,AX8))</f>
        <v>3.75</v>
      </c>
      <c r="BA8" s="209" t="str">
        <f t="shared" si="11"/>
        <v>A</v>
      </c>
      <c r="BB8" s="105"/>
      <c r="BC8" s="100"/>
      <c r="BD8" s="101"/>
      <c r="BE8" s="183" t="str">
        <f>IFERROR((((COUNTIF('Elève (6ème1)'!BB8:BD8,"A"))*4)+((COUNTIF('Elève (6ème1)'!BB8:BD8,"B"))*3)+((COUNTIF('Elève (6ème1)'!BB8:BD8,"C"))*2)+((COUNTIF('Elève (6ème1)'!BB8:BD8,"D"))*1))/(COUNTA(BB8:BD8)),"")</f>
        <v/>
      </c>
      <c r="BF8" s="184" t="str">
        <f t="shared" si="12"/>
        <v/>
      </c>
      <c r="BG8" s="99" t="s">
        <v>23</v>
      </c>
      <c r="BH8" s="100"/>
      <c r="BI8" s="101"/>
      <c r="BJ8" s="183">
        <f>IFERROR((((COUNTIF('Elève (6ème1)'!BG8:BI8,"A"))*4)+((COUNTIF('Elève (6ème1)'!BG8:BI8,"B"))*3)+((COUNTIF('Elève (6ème1)'!BG8:BI8,"C"))*2)+((COUNTIF('Elève (6ème1)'!BG8:BI8,"D"))*1))/(COUNTA(BG8:BI8)),"")</f>
        <v>4</v>
      </c>
      <c r="BK8" s="184" t="str">
        <f t="shared" si="13"/>
        <v>A</v>
      </c>
      <c r="BL8" s="99"/>
      <c r="BM8" s="100" t="s">
        <v>24</v>
      </c>
      <c r="BN8" s="101" t="s">
        <v>24</v>
      </c>
      <c r="BO8" s="183">
        <f>IFERROR((((COUNTIF('Elève (6ème1)'!BL8:BN8,"A"))*4)+((COUNTIF('Elève (6ème1)'!BL8:BN8,"B"))*3)+((COUNTIF('Elève (6ème1)'!BL8:BN8,"C"))*2)+((COUNTIF('Elève (6ème1)'!BL8:BN8,"D"))*1))/(COUNTA(BL8:BN8)),"")</f>
        <v>3</v>
      </c>
      <c r="BP8" s="184" t="str">
        <f t="shared" si="14"/>
        <v>B</v>
      </c>
      <c r="BQ8" s="183">
        <f>IF(COUNT(BE8,BJ8,BO8)=0,"",SUM(BE8,BJ8,BO8)/COUNT(BE8,BJ8,BO8))</f>
        <v>3.5</v>
      </c>
      <c r="BR8" s="209" t="str">
        <f t="shared" si="15"/>
        <v>B</v>
      </c>
      <c r="BS8" s="105"/>
      <c r="BT8" s="100"/>
      <c r="BU8" s="101"/>
      <c r="BV8" s="183" t="str">
        <f>IFERROR((((COUNTIF('Elève (6ème1)'!BS8:BU8,"A"))*4)+((COUNTIF('Elève (6ème1)'!BS8:BU8,"B"))*3)+((COUNTIF('Elève (6ème1)'!BS8:BU8,"C"))*2)+((COUNTIF('Elève (6ème1)'!BS8:BU8,"D"))*1))/(COUNTA(BS8:BU8)),"")</f>
        <v/>
      </c>
      <c r="BW8" s="184" t="str">
        <f t="shared" si="16"/>
        <v/>
      </c>
      <c r="BX8" s="99" t="s">
        <v>23</v>
      </c>
      <c r="BY8" s="100"/>
      <c r="BZ8" s="101"/>
      <c r="CA8" s="183">
        <f>IFERROR((((COUNTIF('Elève (6ème1)'!BX8:BZ8,"A"))*4)+((COUNTIF('Elève (6ème1)'!BX8:BZ8,"B"))*3)+((COUNTIF('Elève (6ème1)'!BX8:BZ8,"C"))*2)+((COUNTIF('Elève (6ème1)'!BX8:BZ8,"D"))*1))/(COUNTA(BX8:BZ8)),"")</f>
        <v>4</v>
      </c>
      <c r="CB8" s="184" t="str">
        <f t="shared" si="17"/>
        <v>A</v>
      </c>
      <c r="CC8" s="99"/>
      <c r="CD8" s="100" t="s">
        <v>24</v>
      </c>
      <c r="CE8" s="101" t="s">
        <v>24</v>
      </c>
      <c r="CF8" s="183">
        <f>IFERROR((((COUNTIF('Elève (6ème1)'!CC8:CE8,"A"))*4)+((COUNTIF('Elève (6ème1)'!CC8:CE8,"B"))*3)+((COUNTIF('Elève (6ème1)'!CC8:CE8,"C"))*2)+((COUNTIF('Elève (6ème1)'!CC8:CE8,"D"))*1))/(COUNTA(CC8:CE8)),"")</f>
        <v>3</v>
      </c>
      <c r="CG8" s="184" t="str">
        <f t="shared" si="18"/>
        <v>B</v>
      </c>
      <c r="CH8" s="183">
        <f>IF(COUNT(BV8,CA8,CF8)=0,"",SUM(BV8,CA8,CF8)/COUNT(BV8,CA8,CF8))</f>
        <v>3.5</v>
      </c>
      <c r="CI8" s="209" t="str">
        <f t="shared" si="19"/>
        <v>B</v>
      </c>
      <c r="CJ8" s="105"/>
      <c r="CK8" s="100"/>
      <c r="CL8" s="101"/>
      <c r="CM8" s="183" t="str">
        <f>IFERROR((((COUNTIF('Elève (6ème1)'!CJ8:CL8,"A"))*4)+((COUNTIF('Elève (6ème1)'!CJ8:CL8,"B"))*3)+((COUNTIF('Elève (6ème1)'!CJ8:CL8,"C"))*2)+((COUNTIF('Elève (6ème1)'!CJ8:CL8,"D"))*1))/(COUNTA(CJ8:CL8)),"")</f>
        <v/>
      </c>
      <c r="CN8" s="184" t="str">
        <f t="shared" si="20"/>
        <v/>
      </c>
      <c r="CO8" s="99" t="s">
        <v>23</v>
      </c>
      <c r="CP8" s="100"/>
      <c r="CQ8" s="101"/>
      <c r="CR8" s="183">
        <f>IFERROR((((COUNTIF('Elève (6ème1)'!CO8:CQ8,"A"))*4)+((COUNTIF('Elève (6ème1)'!CO8:CQ8,"B"))*3)+((COUNTIF('Elève (6ème1)'!CO8:CQ8,"C"))*2)+((COUNTIF('Elève (6ème1)'!CO8:CQ8,"D"))*1))/(COUNTA(CO8:CQ8)),"")</f>
        <v>4</v>
      </c>
      <c r="CS8" s="184" t="str">
        <f t="shared" si="21"/>
        <v>A</v>
      </c>
      <c r="CT8" s="99"/>
      <c r="CU8" s="100" t="s">
        <v>24</v>
      </c>
      <c r="CV8" s="101"/>
      <c r="CW8" s="183">
        <f>IFERROR((((COUNTIF('Elève (6ème1)'!CT8:CV8,"A"))*4)+((COUNTIF('Elève (6ème1)'!CT8:CV8,"B"))*3)+((COUNTIF('Elève (6ème1)'!CT8:CV8,"C"))*2)+((COUNTIF('Elève (6ème1)'!CT8:CV8,"D"))*1))/(COUNTA(CT8:CV8)),"")</f>
        <v>3</v>
      </c>
      <c r="CX8" s="184" t="str">
        <f t="shared" si="22"/>
        <v>B</v>
      </c>
      <c r="CY8" s="183">
        <f>IF(COUNT(CM8,CR8,CW8)=0,"",SUM(CM8,CR8,CW8)/COUNT(CM8,CR8,CW8))</f>
        <v>3.5</v>
      </c>
      <c r="CZ8" s="209" t="str">
        <f t="shared" si="23"/>
        <v>B</v>
      </c>
      <c r="DA8" s="105"/>
      <c r="DB8" s="100"/>
      <c r="DC8" s="101"/>
      <c r="DD8" s="183" t="str">
        <f>IFERROR((((COUNTIF('Elève (6ème1)'!DA8:DC8,"A"))*4)+((COUNTIF('Elève (6ème1)'!DA8:DC8,"B"))*3)+((COUNTIF('Elève (6ème1)'!DA8:DC8,"C"))*2)+((COUNTIF('Elève (6ème1)'!DA8:DC8,"D"))*1))/(COUNTA(DA8:DC8)),"")</f>
        <v/>
      </c>
      <c r="DE8" s="184" t="str">
        <f t="shared" si="24"/>
        <v/>
      </c>
      <c r="DF8" s="99" t="s">
        <v>23</v>
      </c>
      <c r="DG8" s="100"/>
      <c r="DH8" s="101"/>
      <c r="DI8" s="183">
        <f>IFERROR((((COUNTIF('Elève (6ème1)'!DF8:DH8,"A"))*4)+((COUNTIF('Elève (6ème1)'!DF8:DH8,"B"))*3)+((COUNTIF('Elève (6ème1)'!DF8:DH8,"C"))*2)+((COUNTIF('Elève (6ème1)'!DF8:DH8,"D"))*1))/(COUNTA(DF8:DH8)),"")</f>
        <v>4</v>
      </c>
      <c r="DJ8" s="184" t="str">
        <f t="shared" si="25"/>
        <v>A</v>
      </c>
      <c r="DK8" s="99"/>
      <c r="DL8" s="100" t="s">
        <v>24</v>
      </c>
      <c r="DM8" s="101" t="s">
        <v>23</v>
      </c>
      <c r="DN8" s="183">
        <f>IFERROR((((COUNTIF('Elève (6ème1)'!DK8:DM8,"A"))*4)+((COUNTIF('Elève (6ème1)'!DK8:DM8,"B"))*3)+((COUNTIF('Elève (6ème1)'!DK8:DM8,"C"))*2)+((COUNTIF('Elève (6ème1)'!DK8:DM8,"D"))*1))/(COUNTA(DK8:DM8)),"")</f>
        <v>3.5</v>
      </c>
      <c r="DO8" s="184" t="str">
        <f t="shared" si="26"/>
        <v>B</v>
      </c>
      <c r="DP8" s="183">
        <f>IF(COUNT(DD8,DI8,DN8)=0,"",SUM(DD8,DI8,DN8)/COUNT(DD8,DI8,DN8))</f>
        <v>3.75</v>
      </c>
      <c r="DQ8" s="209" t="str">
        <f t="shared" si="27"/>
        <v>A</v>
      </c>
      <c r="DR8" s="105"/>
      <c r="DS8" s="100"/>
      <c r="DT8" s="101"/>
      <c r="DU8" s="183" t="str">
        <f>IFERROR((((COUNTIF('Elève (6ème1)'!DR8:DT8,"A"))*4)+((COUNTIF('Elève (6ème1)'!DR8:DT8,"B"))*3)+((COUNTIF('Elève (6ème1)'!DR8:DT8,"C"))*2)+((COUNTIF('Elève (6ème1)'!DR8:DT8,"D"))*1))/(COUNTA(DR8:DT8)),"")</f>
        <v/>
      </c>
      <c r="DV8" s="184" t="str">
        <f t="shared" si="28"/>
        <v/>
      </c>
      <c r="DW8" s="99" t="s">
        <v>23</v>
      </c>
      <c r="DX8" s="100"/>
      <c r="DY8" s="101"/>
      <c r="DZ8" s="183">
        <f>IFERROR((((COUNTIF('Elève (6ème1)'!DW8:DY8,"A"))*4)+((COUNTIF('Elève (6ème1)'!DW8:DY8,"B"))*3)+((COUNTIF('Elève (6ème1)'!DW8:DY8,"C"))*2)+((COUNTIF('Elève (6ème1)'!DW8:DY8,"D"))*1))/(COUNTA(DW8:DY8)),"")</f>
        <v>4</v>
      </c>
      <c r="EA8" s="184" t="str">
        <f t="shared" si="29"/>
        <v>A</v>
      </c>
      <c r="EB8" s="99"/>
      <c r="EC8" s="100" t="s">
        <v>24</v>
      </c>
      <c r="ED8" s="101" t="s">
        <v>23</v>
      </c>
      <c r="EE8" s="183">
        <f>IFERROR((((COUNTIF('Elève (6ème1)'!EB8:ED8,"A"))*4)+((COUNTIF('Elève (6ème1)'!EB8:ED8,"B"))*3)+((COUNTIF('Elève (6ème1)'!EB8:ED8,"C"))*2)+((COUNTIF('Elève (6ème1)'!EB8:ED8,"D"))*1))/(COUNTA(EB8:ED8)),"")</f>
        <v>3.5</v>
      </c>
      <c r="EF8" s="184" t="str">
        <f t="shared" si="30"/>
        <v>B</v>
      </c>
      <c r="EG8" s="183">
        <f>IF(COUNT(DU8,DZ8,EE8)=0,"",SUM(DU8,DZ8,EE8)/COUNT(DU8,DZ8,EE8))</f>
        <v>3.75</v>
      </c>
      <c r="EH8" s="209" t="str">
        <f t="shared" si="31"/>
        <v>A</v>
      </c>
      <c r="EI8" s="105"/>
      <c r="EJ8" s="100"/>
      <c r="EK8" s="101"/>
      <c r="EL8" s="183" t="str">
        <f>IFERROR((((COUNTIF('Elève (6ème1)'!EI8:EK8,"A"))*4)+((COUNTIF('Elève (6ème1)'!EI8:EK8,"B"))*3)+((COUNTIF('Elève (6ème1)'!EI8:EK8,"C"))*2)+((COUNTIF('Elève (6ème1)'!EI8:EK8,"D"))*1))/(COUNTA(EI8:EK8)),"")</f>
        <v/>
      </c>
      <c r="EM8" s="184" t="str">
        <f t="shared" si="32"/>
        <v/>
      </c>
      <c r="EN8" s="99" t="s">
        <v>23</v>
      </c>
      <c r="EO8" s="100"/>
      <c r="EP8" s="101"/>
      <c r="EQ8" s="183">
        <f>IFERROR((((COUNTIF('Elève (6ème1)'!EN8:EP8,"A"))*4)+((COUNTIF('Elève (6ème1)'!EN8:EP8,"B"))*3)+((COUNTIF('Elève (6ème1)'!EN8:EP8,"C"))*2)+((COUNTIF('Elève (6ème1)'!EN8:EP8,"D"))*1))/(COUNTA(EN8:EP8)),"")</f>
        <v>4</v>
      </c>
      <c r="ER8" s="184" t="str">
        <f t="shared" si="33"/>
        <v>A</v>
      </c>
      <c r="ES8" s="99"/>
      <c r="ET8" s="100" t="s">
        <v>24</v>
      </c>
      <c r="EU8" s="101" t="s">
        <v>24</v>
      </c>
      <c r="EV8" s="183">
        <f>IFERROR((((COUNTIF('Elève (6ème1)'!ES8:EU8,"A"))*4)+((COUNTIF('Elève (6ème1)'!ES8:EU8,"B"))*3)+((COUNTIF('Elève (6ème1)'!ES8:EU8,"C"))*2)+((COUNTIF('Elève (6ème1)'!ES8:EU8,"D"))*1))/(COUNTA(ES8:EU8)),"")</f>
        <v>3</v>
      </c>
      <c r="EW8" s="184" t="str">
        <f t="shared" si="34"/>
        <v>B</v>
      </c>
      <c r="EX8" s="183">
        <f>IF(COUNT(EL8,EQ8,EV8)=0,"",SUM(EL8,EQ8,EV8)/COUNT(EL8,EQ8,EV8))</f>
        <v>3.5</v>
      </c>
      <c r="EY8" s="209" t="str">
        <f t="shared" si="35"/>
        <v>B</v>
      </c>
      <c r="EZ8" s="105"/>
      <c r="FA8" s="100"/>
      <c r="FB8" s="101"/>
      <c r="FC8" s="183" t="str">
        <f>IFERROR((((COUNTIF('Elève (6ème1)'!EZ8:FB8,"A"))*4)+((COUNTIF('Elève (6ème1)'!EZ8:FB8,"B"))*3)+((COUNTIF('Elève (6ème1)'!EZ8:FB8,"C"))*2)+((COUNTIF('Elève (6ème1)'!EZ8:FB8,"D"))*1))/(COUNTA(EZ8:FB8)),"")</f>
        <v/>
      </c>
      <c r="FD8" s="184" t="str">
        <f t="shared" si="36"/>
        <v/>
      </c>
      <c r="FE8" s="99" t="s">
        <v>23</v>
      </c>
      <c r="FF8" s="100"/>
      <c r="FG8" s="101"/>
      <c r="FH8" s="183">
        <f>IFERROR((((COUNTIF('Elève (6ème1)'!FE8:FG8,"A"))*4)+((COUNTIF('Elève (6ème1)'!FE8:FG8,"B"))*3)+((COUNTIF('Elève (6ème1)'!FE8:FG8,"C"))*2)+((COUNTIF('Elève (6ème1)'!FE8:FG8,"D"))*1))/(COUNTA(FE8:FG8)),"")</f>
        <v>4</v>
      </c>
      <c r="FI8" s="184" t="str">
        <f t="shared" si="37"/>
        <v>A</v>
      </c>
      <c r="FJ8" s="99"/>
      <c r="FK8" s="100" t="s">
        <v>24</v>
      </c>
      <c r="FL8" s="101" t="s">
        <v>24</v>
      </c>
      <c r="FM8" s="183">
        <f>IFERROR((((COUNTIF('Elève (6ème1)'!FJ8:FL8,"A"))*4)+((COUNTIF('Elève (6ème1)'!FJ8:FL8,"B"))*3)+((COUNTIF('Elève (6ème1)'!FJ8:FL8,"C"))*2)+((COUNTIF('Elève (6ème1)'!FJ8:FL8,"D"))*1))/(COUNTA(FJ8:FL8)),"")</f>
        <v>3</v>
      </c>
      <c r="FN8" s="184" t="str">
        <f t="shared" si="38"/>
        <v>B</v>
      </c>
      <c r="FO8" s="183">
        <f>IF(COUNT(FC8,FH8,FM8)=0,"",SUM(FC8,FH8,FM8)/COUNT(FC8,FH8,FM8))</f>
        <v>3.5</v>
      </c>
      <c r="FP8" s="209" t="str">
        <f t="shared" si="39"/>
        <v>B</v>
      </c>
      <c r="FQ8" s="105"/>
      <c r="FR8" s="100"/>
      <c r="FS8" s="101"/>
      <c r="FT8" s="183" t="str">
        <f>IFERROR((((COUNTIF('Elève (6ème1)'!FQ8:FS8,"A"))*4)+((COUNTIF('Elève (6ème1)'!FQ8:FS8,"B"))*3)+((COUNTIF('Elève (6ème1)'!FQ8:FS8,"C"))*2)+((COUNTIF('Elève (6ème1)'!FQ8:FS8,"D"))*1))/(COUNTA(FQ8:FS8)),"")</f>
        <v/>
      </c>
      <c r="FU8" s="184" t="str">
        <f t="shared" si="40"/>
        <v/>
      </c>
      <c r="FV8" s="99" t="s">
        <v>23</v>
      </c>
      <c r="FW8" s="100"/>
      <c r="FX8" s="101"/>
      <c r="FY8" s="183">
        <f>IFERROR((((COUNTIF('Elève (6ème1)'!FV8:FX8,"A"))*4)+((COUNTIF('Elève (6ème1)'!FV8:FX8,"B"))*3)+((COUNTIF('Elève (6ème1)'!FV8:FX8,"C"))*2)+((COUNTIF('Elève (6ème1)'!FV8:FX8,"D"))*1))/(COUNTA(FV8:FX8)),"")</f>
        <v>4</v>
      </c>
      <c r="FZ8" s="184" t="str">
        <f t="shared" si="41"/>
        <v>A</v>
      </c>
      <c r="GA8" s="99"/>
      <c r="GB8" s="100" t="s">
        <v>24</v>
      </c>
      <c r="GC8" s="101" t="s">
        <v>23</v>
      </c>
      <c r="GD8" s="183">
        <f>IFERROR((((COUNTIF('Elève (6ème1)'!GA8:GC8,"A"))*4)+((COUNTIF('Elève (6ème1)'!GA8:GC8,"B"))*3)+((COUNTIF('Elève (6ème1)'!GA8:GC8,"C"))*2)+((COUNTIF('Elève (6ème1)'!GA8:GC8,"D"))*1))/(COUNTA(GA8:GC8)),"")</f>
        <v>3.5</v>
      </c>
      <c r="GE8" s="184" t="str">
        <f t="shared" si="42"/>
        <v>B</v>
      </c>
      <c r="GF8" s="183">
        <f>IF(COUNT(FT8,FY8,GD8)=0,"",SUM(FT8,FY8,GD8)/COUNT(FT8,FY8,GD8))</f>
        <v>3.75</v>
      </c>
      <c r="GG8" s="209" t="str">
        <f t="shared" si="43"/>
        <v>A</v>
      </c>
      <c r="GH8" s="105"/>
      <c r="GI8" s="100"/>
      <c r="GJ8" s="101"/>
      <c r="GK8" s="183" t="str">
        <f>IFERROR((((COUNTIF('Elève (6ème1)'!GH8:GJ8,"A"))*4)+((COUNTIF('Elève (6ème1)'!GH8:GJ8,"B"))*3)+((COUNTIF('Elève (6ème1)'!GH8:GJ8,"C"))*2)+((COUNTIF('Elève (6ème1)'!GH8:GJ8,"D"))*1))/(COUNTA(GH8:GJ8)),"")</f>
        <v/>
      </c>
      <c r="GL8" s="184" t="str">
        <f t="shared" si="44"/>
        <v/>
      </c>
      <c r="GM8" s="99" t="s">
        <v>23</v>
      </c>
      <c r="GN8" s="100"/>
      <c r="GO8" s="101"/>
      <c r="GP8" s="183">
        <f>IFERROR((((COUNTIF('Elève (6ème1)'!GM8:GO8,"A"))*4)+((COUNTIF('Elève (6ème1)'!GM8:GO8,"B"))*3)+((COUNTIF('Elève (6ème1)'!GM8:GO8,"C"))*2)+((COUNTIF('Elève (6ème1)'!GM8:GO8,"D"))*1))/(COUNTA(GM8:GO8)),"")</f>
        <v>4</v>
      </c>
      <c r="GQ8" s="184" t="str">
        <f t="shared" si="45"/>
        <v>A</v>
      </c>
      <c r="GR8" s="99"/>
      <c r="GS8" s="100"/>
      <c r="GT8" s="101" t="s">
        <v>23</v>
      </c>
      <c r="GU8" s="183">
        <f>IFERROR((((COUNTIF('Elève (6ème1)'!GR8:GT8,"A"))*4)+((COUNTIF('Elève (6ème1)'!GR8:GT8,"B"))*3)+((COUNTIF('Elève (6ème1)'!GR8:GT8,"C"))*2)+((COUNTIF('Elève (6ème1)'!GR8:GT8,"D"))*1))/(COUNTA(GR8:GT8)),"")</f>
        <v>4</v>
      </c>
      <c r="GV8" s="184" t="str">
        <f t="shared" si="46"/>
        <v>A</v>
      </c>
      <c r="GW8" s="183">
        <f>IF(COUNT(GK8,GP8,GU8)=0,"",SUM(GK8,GP8,GU8)/COUNT(GK8,GP8,GU8))</f>
        <v>4</v>
      </c>
      <c r="GX8" s="209" t="str">
        <f t="shared" si="47"/>
        <v>A</v>
      </c>
      <c r="GY8" s="105"/>
      <c r="GZ8" s="100"/>
      <c r="HA8" s="101"/>
      <c r="HB8" s="183" t="str">
        <f>IFERROR((((COUNTIF('Elève (6ème1)'!GY8:HA8,"A"))*4)+((COUNTIF('Elève (6ème1)'!GY8:HA8,"B"))*3)+((COUNTIF('Elève (6ème1)'!GY8:HA8,"C"))*2)+((COUNTIF('Elève (6ème1)'!GY8:HA8,"D"))*1))/(COUNTA(GY8:HA8)),"")</f>
        <v/>
      </c>
      <c r="HC8" s="184" t="str">
        <f t="shared" si="48"/>
        <v/>
      </c>
      <c r="HD8" s="99" t="s">
        <v>23</v>
      </c>
      <c r="HE8" s="100"/>
      <c r="HF8" s="101"/>
      <c r="HG8" s="183">
        <f>IFERROR((((COUNTIF('Elève (6ème1)'!HD8:HF8,"A"))*4)+((COUNTIF('Elève (6ème1)'!HD8:HF8,"B"))*3)+((COUNTIF('Elève (6ème1)'!HD8:HF8,"C"))*2)+((COUNTIF('Elève (6ème1)'!HD8:HF8,"D"))*1))/(COUNTA(HD8:HF8)),"")</f>
        <v>4</v>
      </c>
      <c r="HH8" s="184" t="str">
        <f t="shared" si="49"/>
        <v>A</v>
      </c>
      <c r="HI8" s="99"/>
      <c r="HJ8" s="100" t="s">
        <v>24</v>
      </c>
      <c r="HK8" s="101" t="s">
        <v>23</v>
      </c>
      <c r="HL8" s="183">
        <f>IFERROR((((COUNTIF('Elève (6ème1)'!HI8:HK8,"A"))*4)+((COUNTIF('Elève (6ème1)'!HI8:HK8,"B"))*3)+((COUNTIF('Elève (6ème1)'!HI8:HK8,"C"))*2)+((COUNTIF('Elève (6ème1)'!HI8:HK8,"D"))*1))/(COUNTA(HI8:HK8)),"")</f>
        <v>3.5</v>
      </c>
      <c r="HM8" s="184" t="str">
        <f t="shared" si="50"/>
        <v>B</v>
      </c>
      <c r="HN8" s="183">
        <f>IF(COUNT(HB8,HG8,HL8)=0,"",SUM(HB8,HG8,HL8)/COUNT(HB8,HG8,HL8))</f>
        <v>3.75</v>
      </c>
      <c r="HO8" s="209" t="str">
        <f t="shared" si="51"/>
        <v>A</v>
      </c>
      <c r="HP8" s="105"/>
      <c r="HQ8" s="100"/>
      <c r="HR8" s="101"/>
      <c r="HS8" s="183" t="str">
        <f>IFERROR((((COUNTIF('Elève (6ème1)'!HP8:HR8,"A"))*4)+((COUNTIF('Elève (6ème1)'!HP8:HR8,"B"))*3)+((COUNTIF('Elève (6ème1)'!HP8:HR8,"C"))*2)+((COUNTIF('Elève (6ème1)'!HP8:HR8,"D"))*1))/(COUNTA(HP8:HR8)),"")</f>
        <v/>
      </c>
      <c r="HT8" s="184" t="str">
        <f t="shared" si="52"/>
        <v/>
      </c>
      <c r="HU8" s="99" t="s">
        <v>23</v>
      </c>
      <c r="HV8" s="100"/>
      <c r="HW8" s="101"/>
      <c r="HX8" s="183">
        <f>IFERROR((((COUNTIF('Elève (6ème1)'!HU8:HW8,"A"))*4)+((COUNTIF('Elève (6ème1)'!HU8:HW8,"B"))*3)+((COUNTIF('Elève (6ème1)'!HU8:HW8,"C"))*2)+((COUNTIF('Elève (6ème1)'!HU8:HW8,"D"))*1))/(COUNTA(HU8:HW8)),"")</f>
        <v>4</v>
      </c>
      <c r="HY8" s="184" t="str">
        <f t="shared" si="53"/>
        <v>A</v>
      </c>
      <c r="HZ8" s="99"/>
      <c r="IA8" s="100" t="s">
        <v>24</v>
      </c>
      <c r="IB8" s="101" t="s">
        <v>23</v>
      </c>
      <c r="IC8" s="183">
        <f>IFERROR((((COUNTIF('Elève (6ème1)'!HZ8:IB8,"A"))*4)+((COUNTIF('Elève (6ème1)'!HZ8:IB8,"B"))*3)+((COUNTIF('Elève (6ème1)'!HZ8:IB8,"C"))*2)+((COUNTIF('Elève (6ème1)'!HZ8:IB8,"D"))*1))/(COUNTA(HZ8:IB8)),"")</f>
        <v>3.5</v>
      </c>
      <c r="ID8" s="184" t="str">
        <f t="shared" si="54"/>
        <v>B</v>
      </c>
      <c r="IE8" s="183">
        <f>IF(COUNT(HS8,HX8,IC8)=0,"",SUM(HS8,HX8,IC8)/COUNT(HS8,HX8,IC8))</f>
        <v>3.75</v>
      </c>
      <c r="IF8" s="209" t="str">
        <f t="shared" si="55"/>
        <v>A</v>
      </c>
      <c r="IG8" s="105"/>
      <c r="IH8" s="100"/>
      <c r="II8" s="101"/>
      <c r="IJ8" s="183" t="str">
        <f>IFERROR((((COUNTIF('Elève (6ème1)'!IG8:II8,"A"))*4)+((COUNTIF('Elève (6ème1)'!IG8:II8,"B"))*3)+((COUNTIF('Elève (6ème1)'!IG8:II8,"C"))*2)+((COUNTIF('Elève (6ème1)'!IG8:II8,"D"))*1))/(COUNTA(IG8:II8)),"")</f>
        <v/>
      </c>
      <c r="IK8" s="184" t="str">
        <f t="shared" si="56"/>
        <v/>
      </c>
      <c r="IL8" s="99" t="s">
        <v>23</v>
      </c>
      <c r="IM8" s="100"/>
      <c r="IN8" s="101"/>
      <c r="IO8" s="183">
        <f>IFERROR((((COUNTIF('Elève (6ème1)'!IL8:IN8,"A"))*4)+((COUNTIF('Elève (6ème1)'!IL8:IN8,"B"))*3)+((COUNTIF('Elève (6ème1)'!IL8:IN8,"C"))*2)+((COUNTIF('Elève (6ème1)'!IL8:IN8,"D"))*1))/(COUNTA(IL8:IN8)),"")</f>
        <v>4</v>
      </c>
      <c r="IP8" s="184" t="str">
        <f t="shared" si="57"/>
        <v>A</v>
      </c>
      <c r="IQ8" s="99"/>
      <c r="IR8" s="100"/>
      <c r="IS8" s="101"/>
      <c r="IT8" s="183" t="str">
        <f>IFERROR((((COUNTIF('Elève (6ème1)'!IQ8:IS8,"A"))*4)+((COUNTIF('Elève (6ème1)'!IQ8:IS8,"B"))*3)+((COUNTIF('Elève (6ème1)'!IQ8:IS8,"C"))*2)+((COUNTIF('Elève (6ème1)'!IQ8:IS8,"D"))*1))/(COUNTA(IQ8:IS8)),"")</f>
        <v/>
      </c>
      <c r="IU8" s="184" t="str">
        <f t="shared" si="58"/>
        <v/>
      </c>
      <c r="IV8" s="183">
        <f>IF(COUNT(IJ8,IO8,IT8)=0,"",SUM(IJ8,IO8,IT8)/COUNT(IJ8,IO8,IT8))</f>
        <v>4</v>
      </c>
      <c r="IW8" s="209" t="str">
        <f t="shared" si="59"/>
        <v>A</v>
      </c>
      <c r="IX8" s="105"/>
      <c r="IY8" s="100"/>
      <c r="IZ8" s="101"/>
      <c r="JA8" s="183" t="str">
        <f>IFERROR((((COUNTIF('Elève (6ème1)'!IX8:IZ8,"A"))*4)+((COUNTIF('Elève (6ème1)'!IX8:IZ8,"B"))*3)+((COUNTIF('Elève (6ème1)'!IX8:IZ8,"C"))*2)+((COUNTIF('Elève (6ème1)'!IX8:IZ8,"D"))*1))/(COUNTA(IX8:IZ8)),"")</f>
        <v/>
      </c>
      <c r="JB8" s="184" t="str">
        <f t="shared" si="60"/>
        <v/>
      </c>
      <c r="JC8" s="99" t="s">
        <v>23</v>
      </c>
      <c r="JD8" s="100"/>
      <c r="JE8" s="101"/>
      <c r="JF8" s="183">
        <f>IFERROR((((COUNTIF('Elève (6ème1)'!JC8:JE8,"A"))*4)+((COUNTIF('Elève (6ème1)'!JC8:JE8,"B"))*3)+((COUNTIF('Elève (6ème1)'!JC8:JE8,"C"))*2)+((COUNTIF('Elève (6ème1)'!JC8:JE8,"D"))*1))/(COUNTA(JC8:JE8)),"")</f>
        <v>4</v>
      </c>
      <c r="JG8" s="184" t="str">
        <f t="shared" si="61"/>
        <v>A</v>
      </c>
      <c r="JH8" s="99"/>
      <c r="JI8" s="100" t="s">
        <v>24</v>
      </c>
      <c r="JJ8" s="101"/>
      <c r="JK8" s="183">
        <f>IFERROR((((COUNTIF('Elève (6ème1)'!JH8:JJ8,"A"))*4)+((COUNTIF('Elève (6ème1)'!JH8:JJ8,"B"))*3)+((COUNTIF('Elève (6ème1)'!JH8:JJ8,"C"))*2)+((COUNTIF('Elève (6ème1)'!JH8:JJ8,"D"))*1))/(COUNTA(JH8:JJ8)),"")</f>
        <v>3</v>
      </c>
      <c r="JL8" s="184" t="str">
        <f t="shared" si="62"/>
        <v>B</v>
      </c>
      <c r="JM8" s="183">
        <f>IF(COUNT(JA8,JF8,JK8)=0,"",SUM(JA8,JF8,JK8)/COUNT(JA8,JF8,JK8))</f>
        <v>3.5</v>
      </c>
      <c r="JN8" s="209" t="str">
        <f t="shared" si="63"/>
        <v>B</v>
      </c>
      <c r="JO8" s="105"/>
      <c r="JP8" s="100"/>
      <c r="JQ8" s="101"/>
      <c r="JR8" s="183" t="str">
        <f>IFERROR((((COUNTIF('Elève (6ème1)'!JO8:JQ8,"A"))*4)+((COUNTIF('Elève (6ème1)'!JO8:JQ8,"B"))*3)+((COUNTIF('Elève (6ème1)'!JO8:JQ8,"C"))*2)+((COUNTIF('Elève (6ème1)'!JO8:JQ8,"D"))*1))/(COUNTA(JO8:JQ8)),"")</f>
        <v/>
      </c>
      <c r="JS8" s="184" t="str">
        <f t="shared" si="64"/>
        <v/>
      </c>
      <c r="JT8" s="99" t="s">
        <v>23</v>
      </c>
      <c r="JU8" s="100"/>
      <c r="JV8" s="101"/>
      <c r="JW8" s="183">
        <f>IFERROR((((COUNTIF('Elève (6ème1)'!JT8:JV8,"A"))*4)+((COUNTIF('Elève (6ème1)'!JT8:JV8,"B"))*3)+((COUNTIF('Elève (6ème1)'!JT8:JV8,"C"))*2)+((COUNTIF('Elève (6ème1)'!JT8:JV8,"D"))*1))/(COUNTA(JT8:JV8)),"")</f>
        <v>4</v>
      </c>
      <c r="JX8" s="184" t="str">
        <f t="shared" si="65"/>
        <v>A</v>
      </c>
      <c r="JY8" s="99"/>
      <c r="JZ8" s="100" t="s">
        <v>23</v>
      </c>
      <c r="KA8" s="101" t="s">
        <v>23</v>
      </c>
      <c r="KB8" s="183">
        <f>IFERROR((((COUNTIF('Elève (6ème1)'!JY8:KA8,"A"))*4)+((COUNTIF('Elève (6ème1)'!JY8:KA8,"B"))*3)+((COUNTIF('Elève (6ème1)'!JY8:KA8,"C"))*2)+((COUNTIF('Elève (6ème1)'!JY8:KA8,"D"))*1))/(COUNTA(JY8:KA8)),"")</f>
        <v>4</v>
      </c>
      <c r="KC8" s="184" t="str">
        <f t="shared" si="66"/>
        <v>A</v>
      </c>
      <c r="KD8" s="183">
        <f>IF(COUNT(JR8,JW8,KB8)=0,"",SUM(JR8,JW8,KB8)/COUNT(JR8,JW8,KB8))</f>
        <v>4</v>
      </c>
      <c r="KE8" s="209" t="str">
        <f t="shared" si="67"/>
        <v>A</v>
      </c>
      <c r="KF8" s="105"/>
      <c r="KG8" s="100"/>
      <c r="KH8" s="101"/>
      <c r="KI8" s="183" t="str">
        <f>IFERROR((((COUNTIF('Elève (6ème1)'!KF8:KH8,"A"))*4)+((COUNTIF('Elève (6ème1)'!KF8:KH8,"B"))*3)+((COUNTIF('Elève (6ème1)'!KF8:KH8,"C"))*2)+((COUNTIF('Elève (6ème1)'!KF8:KH8,"D"))*1))/(COUNTA(KF8:KH8)),"")</f>
        <v/>
      </c>
      <c r="KJ8" s="184" t="str">
        <f t="shared" si="68"/>
        <v/>
      </c>
      <c r="KK8" s="99" t="s">
        <v>23</v>
      </c>
      <c r="KL8" s="100"/>
      <c r="KM8" s="101"/>
      <c r="KN8" s="183">
        <f>IFERROR((((COUNTIF('Elève (6ème1)'!KK8:KM8,"A"))*4)+((COUNTIF('Elève (6ème1)'!KK8:KM8,"B"))*3)+((COUNTIF('Elève (6ème1)'!KK8:KM8,"C"))*2)+((COUNTIF('Elève (6ème1)'!KK8:KM8,"D"))*1))/(COUNTA(KK8:KM8)),"")</f>
        <v>4</v>
      </c>
      <c r="KO8" s="184" t="str">
        <f t="shared" si="69"/>
        <v>A</v>
      </c>
      <c r="KP8" s="99"/>
      <c r="KQ8" s="100" t="s">
        <v>24</v>
      </c>
      <c r="KR8" s="101" t="s">
        <v>23</v>
      </c>
      <c r="KS8" s="183">
        <f>IFERROR((((COUNTIF('Elève (6ème1)'!KP8:KR8,"A"))*4)+((COUNTIF('Elève (6ème1)'!KP8:KR8,"B"))*3)+((COUNTIF('Elève (6ème1)'!KP8:KR8,"C"))*2)+((COUNTIF('Elève (6ème1)'!KP8:KR8,"D"))*1))/(COUNTA(KP8:KR8)),"")</f>
        <v>3.5</v>
      </c>
      <c r="KT8" s="184" t="str">
        <f t="shared" si="70"/>
        <v>B</v>
      </c>
      <c r="KU8" s="183">
        <f>IF(COUNT(KI8,KN8,KS8)=0,"",SUM(KI8,KN8,KS8)/COUNT(KI8,KN8,KS8))</f>
        <v>3.75</v>
      </c>
      <c r="KV8" s="209" t="str">
        <f t="shared" si="71"/>
        <v>A</v>
      </c>
      <c r="KW8" s="105"/>
      <c r="KX8" s="100"/>
      <c r="KY8" s="101"/>
      <c r="KZ8" s="183" t="str">
        <f>IFERROR((((COUNTIF('Elève (6ème1)'!KW8:KY8,"A"))*4)+((COUNTIF('Elève (6ème1)'!KW8:KY8,"B"))*3)+((COUNTIF('Elève (6ème1)'!KW8:KY8,"C"))*2)+((COUNTIF('Elève (6ème1)'!KW8:KY8,"D"))*1))/(COUNTA(KW8:KY8)),"")</f>
        <v/>
      </c>
      <c r="LA8" s="184" t="str">
        <f t="shared" si="72"/>
        <v/>
      </c>
      <c r="LB8" s="99" t="s">
        <v>23</v>
      </c>
      <c r="LC8" s="100"/>
      <c r="LD8" s="101"/>
      <c r="LE8" s="183">
        <f>IFERROR((((COUNTIF('Elève (6ème1)'!LB8:LD8,"A"))*4)+((COUNTIF('Elève (6ème1)'!LB8:LD8,"B"))*3)+((COUNTIF('Elève (6ème1)'!LB8:LD8,"C"))*2)+((COUNTIF('Elève (6ème1)'!LB8:LD8,"D"))*1))/(COUNTA(LB8:LD8)),"")</f>
        <v>4</v>
      </c>
      <c r="LF8" s="184" t="str">
        <f t="shared" si="73"/>
        <v>A</v>
      </c>
      <c r="LG8" s="99"/>
      <c r="LH8" s="100" t="s">
        <v>23</v>
      </c>
      <c r="LI8" s="101" t="s">
        <v>23</v>
      </c>
      <c r="LJ8" s="183">
        <f>IFERROR((((COUNTIF('Elève (6ème1)'!LG8:LI8,"A"))*4)+((COUNTIF('Elève (6ème1)'!LG8:LI8,"B"))*3)+((COUNTIF('Elève (6ème1)'!LG8:LI8,"C"))*2)+((COUNTIF('Elève (6ème1)'!LG8:LI8,"D"))*1))/(COUNTA(LG8:LI8)),"")</f>
        <v>4</v>
      </c>
      <c r="LK8" s="184" t="str">
        <f t="shared" si="74"/>
        <v>A</v>
      </c>
      <c r="LL8" s="183">
        <f>IF(COUNT(KZ8,LE8,LJ8)=0,"",SUM(KZ8,LE8,LJ8)/COUNT(KZ8,LE8,LJ8))</f>
        <v>4</v>
      </c>
      <c r="LM8" s="209" t="str">
        <f t="shared" si="75"/>
        <v>A</v>
      </c>
      <c r="LN8" s="105"/>
      <c r="LO8" s="100"/>
      <c r="LP8" s="101"/>
      <c r="LQ8" s="183" t="str">
        <f>IFERROR((((COUNTIF('Elève (6ème1)'!LN8:LP8,"A"))*4)+((COUNTIF('Elève (6ème1)'!LN8:LP8,"B"))*3)+((COUNTIF('Elève (6ème1)'!LN8:LP8,"C"))*2)+((COUNTIF('Elève (6ème1)'!LN8:LP8,"D"))*1))/(COUNTA(LN8:LP8)),"")</f>
        <v/>
      </c>
      <c r="LR8" s="184" t="str">
        <f t="shared" si="76"/>
        <v/>
      </c>
      <c r="LS8" s="99" t="s">
        <v>23</v>
      </c>
      <c r="LT8" s="100"/>
      <c r="LU8" s="101"/>
      <c r="LV8" s="183">
        <f>IFERROR((((COUNTIF('Elève (6ème1)'!LS8:LU8,"A"))*4)+((COUNTIF('Elève (6ème1)'!LS8:LU8,"B"))*3)+((COUNTIF('Elève (6ème1)'!LS8:LU8,"C"))*2)+((COUNTIF('Elève (6ème1)'!LS8:LU8,"D"))*1))/(COUNTA(LS8:LU8)),"")</f>
        <v>4</v>
      </c>
      <c r="LW8" s="184" t="str">
        <f t="shared" si="77"/>
        <v>A</v>
      </c>
      <c r="LX8" s="99"/>
      <c r="LY8" s="100" t="s">
        <v>23</v>
      </c>
      <c r="LZ8" s="101" t="s">
        <v>23</v>
      </c>
      <c r="MA8" s="183">
        <f>IFERROR((((COUNTIF('Elève (6ème1)'!LX8:LZ8,"A"))*4)+((COUNTIF('Elève (6ème1)'!LX8:LZ8,"B"))*3)+((COUNTIF('Elève (6ème1)'!LX8:LZ8,"C"))*2)+((COUNTIF('Elève (6ème1)'!LX8:LZ8,"D"))*1))/(COUNTA(LX8:LZ8)),"")</f>
        <v>4</v>
      </c>
      <c r="MB8" s="184" t="str">
        <f t="shared" si="78"/>
        <v>A</v>
      </c>
      <c r="MC8" s="183">
        <f>IF(COUNT(LQ8,LV8,MA8)=0,"",SUM(LQ8,LV8,MA8)/COUNT(LQ8,LV8,MA8))</f>
        <v>4</v>
      </c>
      <c r="MD8" s="209" t="str">
        <f t="shared" si="79"/>
        <v>A</v>
      </c>
      <c r="ME8" s="105"/>
      <c r="MF8" s="100"/>
      <c r="MG8" s="101"/>
      <c r="MH8" s="183" t="str">
        <f>IFERROR((((COUNTIF('Elève (6ème1)'!ME8:MG8,"A"))*4)+((COUNTIF('Elève (6ème1)'!ME8:MG8,"B"))*3)+((COUNTIF('Elève (6ème1)'!ME8:MG8,"C"))*2)+((COUNTIF('Elève (6ème1)'!ME8:MG8,"D"))*1))/(COUNTA(ME8:MG8)),"")</f>
        <v/>
      </c>
      <c r="MI8" s="184" t="str">
        <f t="shared" si="80"/>
        <v/>
      </c>
      <c r="MJ8" s="99" t="s">
        <v>24</v>
      </c>
      <c r="MK8" s="100"/>
      <c r="ML8" s="101"/>
      <c r="MM8" s="183">
        <f>IFERROR((((COUNTIF('Elève (6ème1)'!MJ8:ML8,"A"))*4)+((COUNTIF('Elève (6ème1)'!MJ8:ML8,"B"))*3)+((COUNTIF('Elève (6ème1)'!MJ8:ML8,"C"))*2)+((COUNTIF('Elève (6ème1)'!MJ8:ML8,"D"))*1))/(COUNTA(MJ8:ML8)),"")</f>
        <v>3</v>
      </c>
      <c r="MN8" s="184" t="str">
        <f t="shared" si="81"/>
        <v>B</v>
      </c>
      <c r="MO8" s="99"/>
      <c r="MP8" s="100" t="s">
        <v>23</v>
      </c>
      <c r="MQ8" s="101" t="s">
        <v>23</v>
      </c>
      <c r="MR8" s="183">
        <f>IFERROR((((COUNTIF('Elève (6ème1)'!MO8:MQ8,"A"))*4)+((COUNTIF('Elève (6ème1)'!MO8:MQ8,"B"))*3)+((COUNTIF('Elève (6ème1)'!MO8:MQ8,"C"))*2)+((COUNTIF('Elève (6ème1)'!MO8:MQ8,"D"))*1))/(COUNTA(MO8:MQ8)),"")</f>
        <v>4</v>
      </c>
      <c r="MS8" s="184" t="str">
        <f t="shared" si="82"/>
        <v>A</v>
      </c>
      <c r="MT8" s="183">
        <f>IF(COUNT(MH8,MM8,MR8)=0,"",SUM(MH8,MM8,MR8)/COUNT(MH8,MM8,MR8))</f>
        <v>3.5</v>
      </c>
      <c r="MU8" s="209" t="str">
        <f t="shared" si="83"/>
        <v>B</v>
      </c>
      <c r="MV8" s="105"/>
      <c r="MW8" s="100"/>
      <c r="MX8" s="101"/>
      <c r="MY8" s="183" t="str">
        <f>IFERROR((((COUNTIF('Elève (6ème1)'!MV8:MX8,"A"))*4)+((COUNTIF('Elève (6ème1)'!MV8:MX8,"B"))*3)+((COUNTIF('Elève (6ème1)'!MV8:MX8,"C"))*2)+((COUNTIF('Elève (6ème1)'!MV8:MX8,"D"))*1))/(COUNTA(MV8:MX8)),"")</f>
        <v/>
      </c>
      <c r="MZ8" s="184" t="str">
        <f t="shared" si="84"/>
        <v/>
      </c>
      <c r="NA8" s="99" t="s">
        <v>23</v>
      </c>
      <c r="NB8" s="100"/>
      <c r="NC8" s="101"/>
      <c r="ND8" s="183">
        <f>IFERROR((((COUNTIF('Elève (6ème1)'!NA8:NC8,"A"))*4)+((COUNTIF('Elève (6ème1)'!NA8:NC8,"B"))*3)+((COUNTIF('Elève (6ème1)'!NA8:NC8,"C"))*2)+((COUNTIF('Elève (6ème1)'!NA8:NC8,"D"))*1))/(COUNTA(NA8:NC8)),"")</f>
        <v>4</v>
      </c>
      <c r="NE8" s="184" t="str">
        <f t="shared" si="85"/>
        <v>A</v>
      </c>
      <c r="NF8" s="99"/>
      <c r="NG8" s="100" t="s">
        <v>25</v>
      </c>
      <c r="NH8" s="101"/>
      <c r="NI8" s="183">
        <f>IFERROR((((COUNTIF('Elève (6ème1)'!NF8:NH8,"A"))*4)+((COUNTIF('Elève (6ème1)'!NF8:NH8,"B"))*3)+((COUNTIF('Elève (6ème1)'!NF8:NH8,"C"))*2)+((COUNTIF('Elève (6ème1)'!NF8:NH8,"D"))*1))/(COUNTA(NF8:NH8)),"")</f>
        <v>2</v>
      </c>
      <c r="NJ8" s="184" t="str">
        <f t="shared" si="86"/>
        <v>C</v>
      </c>
      <c r="NK8" s="183">
        <f>IF(COUNT(MY8,ND8,NI8)=0,"",SUM(MY8,ND8,NI8)/COUNT(MY8,ND8,NI8))</f>
        <v>3</v>
      </c>
      <c r="NL8" s="209" t="str">
        <f t="shared" si="87"/>
        <v>B</v>
      </c>
      <c r="NM8" s="105"/>
      <c r="NN8" s="100"/>
      <c r="NO8" s="101"/>
      <c r="NP8" s="183" t="str">
        <f>IFERROR((((COUNTIF('Elève (6ème1)'!NM8:NO8,"A"))*4)+((COUNTIF('Elève (6ème1)'!NM8:NO8,"B"))*3)+((COUNTIF('Elève (6ème1)'!NM8:NO8,"C"))*2)+((COUNTIF('Elève (6ème1)'!NM8:NO8,"D"))*1))/(COUNTA(NM8:NO8)),"")</f>
        <v/>
      </c>
      <c r="NQ8" s="184" t="str">
        <f t="shared" si="88"/>
        <v/>
      </c>
      <c r="NR8" s="99" t="s">
        <v>23</v>
      </c>
      <c r="NS8" s="100"/>
      <c r="NT8" s="101"/>
      <c r="NU8" s="183">
        <f>IFERROR((((COUNTIF('Elève (6ème1)'!NR8:NT8,"A"))*4)+((COUNTIF('Elève (6ème1)'!NR8:NT8,"B"))*3)+((COUNTIF('Elève (6ème1)'!NR8:NT8,"C"))*2)+((COUNTIF('Elève (6ème1)'!NR8:NT8,"D"))*1))/(COUNTA(NR8:NT8)),"")</f>
        <v>4</v>
      </c>
      <c r="NV8" s="184" t="str">
        <f t="shared" si="89"/>
        <v>A</v>
      </c>
      <c r="NW8" s="99"/>
      <c r="NX8" s="100" t="s">
        <v>24</v>
      </c>
      <c r="NY8" s="101" t="s">
        <v>23</v>
      </c>
      <c r="NZ8" s="183">
        <f>IFERROR((((COUNTIF('Elève (6ème1)'!NW8:NY8,"A"))*4)+((COUNTIF('Elève (6ème1)'!NW8:NY8,"B"))*3)+((COUNTIF('Elève (6ème1)'!NW8:NY8,"C"))*2)+((COUNTIF('Elève (6ème1)'!NW8:NY8,"D"))*1))/(COUNTA(NW8:NY8)),"")</f>
        <v>3.5</v>
      </c>
      <c r="OA8" s="184" t="str">
        <f t="shared" si="90"/>
        <v>B</v>
      </c>
      <c r="OB8" s="183">
        <f>IF(COUNT(NP8,NU8,NZ8)=0,"",SUM(NP8,NU8,NZ8)/COUNT(NP8,NU8,NZ8))</f>
        <v>3.75</v>
      </c>
      <c r="OC8" s="209" t="str">
        <f t="shared" si="91"/>
        <v>A</v>
      </c>
      <c r="OD8" s="105"/>
      <c r="OE8" s="100"/>
      <c r="OF8" s="101"/>
      <c r="OG8" s="183" t="str">
        <f>IFERROR((((COUNTIF('Elève (6ème1)'!OD8:OF8,"A"))*4)+((COUNTIF('Elève (6ème1)'!OD8:OF8,"B"))*3)+((COUNTIF('Elève (6ème1)'!OD8:OF8,"C"))*2)+((COUNTIF('Elève (6ème1)'!OD8:OF8,"D"))*1))/(COUNTA(OD8:OF8)),"")</f>
        <v/>
      </c>
      <c r="OH8" s="184" t="str">
        <f t="shared" si="92"/>
        <v/>
      </c>
      <c r="OI8" s="99" t="s">
        <v>23</v>
      </c>
      <c r="OJ8" s="100"/>
      <c r="OK8" s="101"/>
      <c r="OL8" s="183">
        <f>IFERROR((((COUNTIF('Elève (6ème1)'!OI8:OK8,"A"))*4)+((COUNTIF('Elève (6ème1)'!OI8:OK8,"B"))*3)+((COUNTIF('Elève (6ème1)'!OI8:OK8,"C"))*2)+((COUNTIF('Elève (6ème1)'!OI8:OK8,"D"))*1))/(COUNTA(OI8:OK8)),"")</f>
        <v>4</v>
      </c>
      <c r="OM8" s="184" t="str">
        <f t="shared" si="93"/>
        <v>A</v>
      </c>
      <c r="ON8" s="99"/>
      <c r="OO8" s="100" t="s">
        <v>23</v>
      </c>
      <c r="OP8" s="101" t="s">
        <v>23</v>
      </c>
      <c r="OQ8" s="183">
        <f>IFERROR((((COUNTIF('Elève (6ème1)'!ON8:OP8,"A"))*4)+((COUNTIF('Elève (6ème1)'!ON8:OP8,"B"))*3)+((COUNTIF('Elève (6ème1)'!ON8:OP8,"C"))*2)+((COUNTIF('Elève (6ème1)'!ON8:OP8,"D"))*1))/(COUNTA(ON8:OP8)),"")</f>
        <v>4</v>
      </c>
      <c r="OR8" s="184" t="str">
        <f t="shared" si="94"/>
        <v>A</v>
      </c>
      <c r="OS8" s="183">
        <f>IF(COUNT(OG8,OL8,OQ8)=0,"",SUM(OG8,OL8,OQ8)/COUNT(OG8,OL8,OQ8))</f>
        <v>4</v>
      </c>
      <c r="OT8" s="209" t="str">
        <f t="shared" si="95"/>
        <v>A</v>
      </c>
      <c r="OU8" s="105"/>
      <c r="OV8" s="100"/>
      <c r="OW8" s="101"/>
      <c r="OX8" s="183" t="str">
        <f>IFERROR((((COUNTIF('Elève (6ème1)'!OU8:OW8,"A"))*4)+((COUNTIF('Elève (6ème1)'!OU8:OW8,"B"))*3)+((COUNTIF('Elève (6ème1)'!OU8:OW8,"C"))*2)+((COUNTIF('Elève (6ème1)'!OU8:OW8,"D"))*1))/(COUNTA(OU8:OW8)),"")</f>
        <v/>
      </c>
      <c r="OY8" s="184" t="str">
        <f t="shared" si="96"/>
        <v/>
      </c>
      <c r="OZ8" s="99" t="s">
        <v>23</v>
      </c>
      <c r="PA8" s="100"/>
      <c r="PB8" s="101"/>
      <c r="PC8" s="183">
        <f>IFERROR((((COUNTIF('Elève (6ème1)'!OZ8:PB8,"A"))*4)+((COUNTIF('Elève (6ème1)'!OZ8:PB8,"B"))*3)+((COUNTIF('Elève (6ème1)'!OZ8:PB8,"C"))*2)+((COUNTIF('Elève (6ème1)'!OZ8:PB8,"D"))*1))/(COUNTA(OZ8:PB8)),"")</f>
        <v>4</v>
      </c>
      <c r="PD8" s="184" t="str">
        <f t="shared" si="97"/>
        <v>A</v>
      </c>
      <c r="PE8" s="99"/>
      <c r="PF8" s="100"/>
      <c r="PG8" s="101" t="s">
        <v>23</v>
      </c>
      <c r="PH8" s="183">
        <f>IFERROR((((COUNTIF('Elève (6ème1)'!PE8:PG8,"A"))*4)+((COUNTIF('Elève (6ème1)'!PE8:PG8,"B"))*3)+((COUNTIF('Elève (6ème1)'!PE8:PG8,"C"))*2)+((COUNTIF('Elève (6ème1)'!PE8:PG8,"D"))*1))/(COUNTA(PE8:PG8)),"")</f>
        <v>4</v>
      </c>
      <c r="PI8" s="184" t="str">
        <f t="shared" si="98"/>
        <v>A</v>
      </c>
      <c r="PJ8" s="183">
        <f>IF(COUNT(OX8,PC8,PH8)=0,"",SUM(OX8,PC8,PH8)/COUNT(OX8,PC8,PH8))</f>
        <v>4</v>
      </c>
      <c r="PK8" s="209" t="str">
        <f t="shared" si="99"/>
        <v>A</v>
      </c>
      <c r="PL8" s="105"/>
      <c r="PM8" s="100"/>
      <c r="PN8" s="101"/>
      <c r="PO8" s="183" t="str">
        <f>IFERROR((((COUNTIF('Elève (6ème1)'!PL8:PN8,"A"))*4)+((COUNTIF('Elève (6ème1)'!PL8:PN8,"B"))*3)+((COUNTIF('Elève (6ème1)'!PL8:PN8,"C"))*2)+((COUNTIF('Elève (6ème1)'!PL8:PN8,"D"))*1))/(COUNTA(PL8:PN8)),"")</f>
        <v/>
      </c>
      <c r="PP8" s="184" t="str">
        <f t="shared" si="100"/>
        <v/>
      </c>
      <c r="PQ8" s="99" t="s">
        <v>23</v>
      </c>
      <c r="PR8" s="100"/>
      <c r="PS8" s="101"/>
      <c r="PT8" s="183">
        <f>IFERROR((((COUNTIF('Elève (6ème1)'!PQ8:PS8,"A"))*4)+((COUNTIF('Elève (6ème1)'!PQ8:PS8,"B"))*3)+((COUNTIF('Elève (6ème1)'!PQ8:PS8,"C"))*2)+((COUNTIF('Elève (6ème1)'!PQ8:PS8,"D"))*1))/(COUNTA(PQ8:PS8)),"")</f>
        <v>4</v>
      </c>
      <c r="PU8" s="184" t="str">
        <f t="shared" si="101"/>
        <v>A</v>
      </c>
      <c r="PV8" s="99"/>
      <c r="PW8" s="100" t="s">
        <v>23</v>
      </c>
      <c r="PX8" s="101" t="s">
        <v>23</v>
      </c>
      <c r="PY8" s="183">
        <f>IFERROR((((COUNTIF('Elève (6ème1)'!PV8:PX8,"A"))*4)+((COUNTIF('Elève (6ème1)'!PV8:PX8,"B"))*3)+((COUNTIF('Elève (6ème1)'!PV8:PX8,"C"))*2)+((COUNTIF('Elève (6ème1)'!PV8:PX8,"D"))*1))/(COUNTA(PV8:PX8)),"")</f>
        <v>4</v>
      </c>
      <c r="PZ8" s="184" t="str">
        <f t="shared" si="102"/>
        <v>A</v>
      </c>
      <c r="QA8" s="183">
        <f>IF(COUNT(PO8,PT8,PY8)=0,"",SUM(PO8,PT8,PY8)/COUNT(PO8,PT8,PY8))</f>
        <v>4</v>
      </c>
      <c r="QB8" s="209" t="str">
        <f t="shared" si="103"/>
        <v>A</v>
      </c>
      <c r="QC8" s="105"/>
      <c r="QD8" s="100"/>
      <c r="QE8" s="101"/>
      <c r="QF8" s="183" t="str">
        <f>IFERROR((((COUNTIF('Elève (6ème1)'!QC8:QE8,"A"))*4)+((COUNTIF('Elève (6ème1)'!QC8:QE8,"B"))*3)+((COUNTIF('Elève (6ème1)'!QC8:QE8,"C"))*2)+((COUNTIF('Elève (6ème1)'!QC8:QE8,"D"))*1))/(COUNTA(QC8:QE8)),"")</f>
        <v/>
      </c>
      <c r="QG8" s="184" t="str">
        <f t="shared" si="104"/>
        <v/>
      </c>
      <c r="QH8" s="99" t="s">
        <v>23</v>
      </c>
      <c r="QI8" s="100"/>
      <c r="QJ8" s="101"/>
      <c r="QK8" s="183">
        <f>IFERROR((((COUNTIF('Elève (6ème1)'!QH8:QJ8,"A"))*4)+((COUNTIF('Elève (6ème1)'!QH8:QJ8,"B"))*3)+((COUNTIF('Elève (6ème1)'!QH8:QJ8,"C"))*2)+((COUNTIF('Elève (6ème1)'!QH8:QJ8,"D"))*1))/(COUNTA(QH8:QJ8)),"")</f>
        <v>4</v>
      </c>
      <c r="QL8" s="184" t="str">
        <f t="shared" si="105"/>
        <v>A</v>
      </c>
      <c r="QM8" s="99"/>
      <c r="QN8" s="100" t="s">
        <v>24</v>
      </c>
      <c r="QO8" s="101" t="s">
        <v>23</v>
      </c>
      <c r="QP8" s="183">
        <f>IFERROR((((COUNTIF('Elève (6ème1)'!QM8:QO8,"A"))*4)+((COUNTIF('Elève (6ème1)'!QM8:QO8,"B"))*3)+((COUNTIF('Elève (6ème1)'!QM8:QO8,"C"))*2)+((COUNTIF('Elève (6ème1)'!QM8:QO8,"D"))*1))/(COUNTA(QM8:QO8)),"")</f>
        <v>3.5</v>
      </c>
      <c r="QQ8" s="184" t="str">
        <f t="shared" si="106"/>
        <v>B</v>
      </c>
      <c r="QR8" s="183">
        <f>IF(COUNT(QF8,QK8,QP8)=0,"",SUM(QF8,QK8,QP8)/COUNT(QF8,QK8,QP8))</f>
        <v>3.75</v>
      </c>
      <c r="QS8" s="209" t="str">
        <f t="shared" si="107"/>
        <v>A</v>
      </c>
      <c r="QT8" s="105"/>
      <c r="QU8" s="100"/>
      <c r="QV8" s="101"/>
      <c r="QW8" s="183" t="str">
        <f>IFERROR((((COUNTIF('Elève (6ème1)'!QT8:QV8,"A"))*4)+((COUNTIF('Elève (6ème1)'!QT8:QV8,"B"))*3)+((COUNTIF('Elève (6ème1)'!QT8:QV8,"C"))*2)+((COUNTIF('Elève (6ème1)'!QT8:QV8,"D"))*1))/(COUNTA(QT8:QV8)),"")</f>
        <v/>
      </c>
      <c r="QX8" s="184" t="str">
        <f t="shared" si="108"/>
        <v/>
      </c>
      <c r="QY8" s="99" t="s">
        <v>23</v>
      </c>
      <c r="QZ8" s="100"/>
      <c r="RA8" s="101"/>
      <c r="RB8" s="183">
        <f>IFERROR((((COUNTIF('Elève (6ème1)'!QY8:RA8,"A"))*4)+((COUNTIF('Elève (6ème1)'!QY8:RA8,"B"))*3)+((COUNTIF('Elève (6ème1)'!QY8:RA8,"C"))*2)+((COUNTIF('Elève (6ème1)'!QY8:RA8,"D"))*1))/(COUNTA(QY8:RA8)),"")</f>
        <v>4</v>
      </c>
      <c r="RC8" s="184" t="str">
        <f t="shared" si="109"/>
        <v>A</v>
      </c>
      <c r="RD8" s="99"/>
      <c r="RE8" s="100"/>
      <c r="RF8" s="101" t="s">
        <v>23</v>
      </c>
      <c r="RG8" s="183">
        <f>IFERROR((((COUNTIF('Elève (6ème1)'!RD8:RF8,"A"))*4)+((COUNTIF('Elève (6ème1)'!RD8:RF8,"B"))*3)+((COUNTIF('Elève (6ème1)'!RD8:RF8,"C"))*2)+((COUNTIF('Elève (6ème1)'!RD8:RF8,"D"))*1))/(COUNTA(RD8:RF8)),"")</f>
        <v>4</v>
      </c>
      <c r="RH8" s="184" t="str">
        <f t="shared" si="110"/>
        <v>A</v>
      </c>
      <c r="RI8" s="183">
        <f>IF(COUNT(QW8,RB8,RG8)=0,"",SUM(QW8,RB8,RG8)/COUNT(QW8,RB8,RG8))</f>
        <v>4</v>
      </c>
      <c r="RJ8" s="209" t="str">
        <f t="shared" si="111"/>
        <v>A</v>
      </c>
      <c r="RK8" s="105"/>
      <c r="RL8" s="100"/>
      <c r="RM8" s="101"/>
      <c r="RN8" s="183" t="str">
        <f>IFERROR((((COUNTIF('Elève (6ème1)'!RK8:RM8,"A"))*4)+((COUNTIF('Elève (6ème1)'!RK8:RM8,"B"))*3)+((COUNTIF('Elève (6ème1)'!RK8:RM8,"C"))*2)+((COUNTIF('Elève (6ème1)'!RK8:RM8,"D"))*1))/(COUNTA(RK8:RM8)),"")</f>
        <v/>
      </c>
      <c r="RO8" s="184" t="str">
        <f t="shared" si="112"/>
        <v/>
      </c>
      <c r="RP8" s="99" t="s">
        <v>23</v>
      </c>
      <c r="RQ8" s="100"/>
      <c r="RR8" s="101"/>
      <c r="RS8" s="183">
        <f>IFERROR((((COUNTIF('Elève (6ème1)'!RP8:RR8,"A"))*4)+((COUNTIF('Elève (6ème1)'!RP8:RR8,"B"))*3)+((COUNTIF('Elève (6ème1)'!RP8:RR8,"C"))*2)+((COUNTIF('Elève (6ème1)'!RP8:RR8,"D"))*1))/(COUNTA(RP8:RR8)),"")</f>
        <v>4</v>
      </c>
      <c r="RT8" s="184" t="str">
        <f t="shared" si="113"/>
        <v>A</v>
      </c>
      <c r="RU8" s="99"/>
      <c r="RV8" s="100" t="s">
        <v>24</v>
      </c>
      <c r="RW8" s="101" t="s">
        <v>23</v>
      </c>
      <c r="RX8" s="183">
        <f>IFERROR((((COUNTIF('Elève (6ème1)'!RU8:RW8,"A"))*4)+((COUNTIF('Elève (6ème1)'!RU8:RW8,"B"))*3)+((COUNTIF('Elève (6ème1)'!RU8:RW8,"C"))*2)+((COUNTIF('Elève (6ème1)'!RU8:RW8,"D"))*1))/(COUNTA(RU8:RW8)),"")</f>
        <v>3.5</v>
      </c>
      <c r="RY8" s="184" t="str">
        <f t="shared" si="114"/>
        <v>B</v>
      </c>
      <c r="RZ8" s="183">
        <f>IF(COUNT(RN8,RS8,RX8)=0,"",SUM(RN8,RS8,RX8)/COUNT(RN8,RS8,RX8))</f>
        <v>3.75</v>
      </c>
      <c r="SA8" s="209" t="str">
        <f t="shared" si="115"/>
        <v>A</v>
      </c>
      <c r="SB8" s="105"/>
      <c r="SC8" s="100"/>
      <c r="SD8" s="101"/>
      <c r="SE8" s="183" t="str">
        <f>IFERROR((((COUNTIF('Elève (6ème1)'!SB8:SD8,"A"))*4)+((COUNTIF('Elève (6ème1)'!SB8:SD8,"B"))*3)+((COUNTIF('Elève (6ème1)'!SB8:SD8,"C"))*2)+((COUNTIF('Elève (6ème1)'!SB8:SD8,"D"))*1))/(COUNTA(SB8:SD8)),"")</f>
        <v/>
      </c>
      <c r="SF8" s="184" t="str">
        <f t="shared" si="116"/>
        <v/>
      </c>
      <c r="SG8" s="99" t="s">
        <v>23</v>
      </c>
      <c r="SH8" s="100"/>
      <c r="SI8" s="101"/>
      <c r="SJ8" s="183">
        <f>IFERROR((((COUNTIF('Elève (6ème1)'!SG8:SI8,"A"))*4)+((COUNTIF('Elève (6ème1)'!SG8:SI8,"B"))*3)+((COUNTIF('Elève (6ème1)'!SG8:SI8,"C"))*2)+((COUNTIF('Elève (6ème1)'!SG8:SI8,"D"))*1))/(COUNTA(SG8:SI8)),"")</f>
        <v>4</v>
      </c>
      <c r="SK8" s="184" t="str">
        <f t="shared" si="117"/>
        <v>A</v>
      </c>
      <c r="SL8" s="99"/>
      <c r="SM8" s="100"/>
      <c r="SN8" s="101" t="s">
        <v>23</v>
      </c>
      <c r="SO8" s="183">
        <f>IFERROR((((COUNTIF('Elève (6ème1)'!SL8:SN8,"A"))*4)+((COUNTIF('Elève (6ème1)'!SL8:SN8,"B"))*3)+((COUNTIF('Elève (6ème1)'!SL8:SN8,"C"))*2)+((COUNTIF('Elève (6ème1)'!SL8:SN8,"D"))*1))/(COUNTA(SL8:SN8)),"")</f>
        <v>4</v>
      </c>
      <c r="SP8" s="184" t="str">
        <f t="shared" si="118"/>
        <v>A</v>
      </c>
      <c r="SQ8" s="183">
        <f>IF(COUNT(SE8,SJ8,SO8)=0,"",SUM(SE8,SJ8,SO8)/COUNT(SE8,SJ8,SO8))</f>
        <v>4</v>
      </c>
      <c r="SR8" s="209" t="str">
        <f t="shared" si="119"/>
        <v>A</v>
      </c>
      <c r="SS8" s="105"/>
      <c r="ST8" s="100"/>
      <c r="SU8" s="101"/>
      <c r="SV8" s="183" t="str">
        <f>IFERROR((((COUNTIF('Elève (6ème1)'!SS8:SU8,"A"))*4)+((COUNTIF('Elève (6ème1)'!SS8:SU8,"B"))*3)+((COUNTIF('Elève (6ème1)'!SS8:SU8,"C"))*2)+((COUNTIF('Elève (6ème1)'!SS8:SU8,"D"))*1))/(COUNTA(SS8:SU8)),"")</f>
        <v/>
      </c>
      <c r="SW8" s="184" t="str">
        <f t="shared" si="120"/>
        <v/>
      </c>
      <c r="SX8" s="99" t="s">
        <v>23</v>
      </c>
      <c r="SY8" s="100"/>
      <c r="SZ8" s="101"/>
      <c r="TA8" s="183">
        <f>IFERROR((((COUNTIF('Elève (6ème1)'!SX8:SZ8,"A"))*4)+((COUNTIF('Elève (6ème1)'!SX8:SZ8,"B"))*3)+((COUNTIF('Elève (6ème1)'!SX8:SZ8,"C"))*2)+((COUNTIF('Elève (6ème1)'!SX8:SZ8,"D"))*1))/(COUNTA(SX8:SZ8)),"")</f>
        <v>4</v>
      </c>
      <c r="TB8" s="184" t="str">
        <f t="shared" si="121"/>
        <v>A</v>
      </c>
      <c r="TC8" s="99"/>
      <c r="TD8" s="100" t="s">
        <v>23</v>
      </c>
      <c r="TE8" s="101" t="s">
        <v>23</v>
      </c>
      <c r="TF8" s="183">
        <f>IFERROR((((COUNTIF('Elève (6ème1)'!TC8:TE8,"A"))*4)+((COUNTIF('Elève (6ème1)'!TC8:TE8,"B"))*3)+((COUNTIF('Elève (6ème1)'!TC8:TE8,"C"))*2)+((COUNTIF('Elève (6ème1)'!TC8:TE8,"D"))*1))/(COUNTA(TC8:TE8)),"")</f>
        <v>4</v>
      </c>
      <c r="TG8" s="184" t="str">
        <f t="shared" si="122"/>
        <v>A</v>
      </c>
      <c r="TH8" s="183">
        <f>IF(COUNT(SV8,TA8,TF8)=0,"",SUM(SV8,TA8,TF8)/COUNT(SV8,TA8,TF8))</f>
        <v>4</v>
      </c>
      <c r="TI8" s="209" t="str">
        <f t="shared" si="123"/>
        <v>A</v>
      </c>
      <c r="TJ8" s="105"/>
      <c r="TK8" s="100"/>
      <c r="TL8" s="101"/>
      <c r="TM8" s="183" t="str">
        <f>IFERROR((((COUNTIF('Elève (6ème1)'!TJ8:TL8,"A"))*4)+((COUNTIF('Elève (6ème1)'!TJ8:TL8,"B"))*3)+((COUNTIF('Elève (6ème1)'!TJ8:TL8,"C"))*2)+((COUNTIF('Elève (6ème1)'!TJ8:TL8,"D"))*1))/(COUNTA(TJ8:TL8)),"")</f>
        <v/>
      </c>
      <c r="TN8" s="184" t="str">
        <f t="shared" si="124"/>
        <v/>
      </c>
      <c r="TO8" s="99" t="s">
        <v>23</v>
      </c>
      <c r="TP8" s="100"/>
      <c r="TQ8" s="101"/>
      <c r="TR8" s="183">
        <f>IFERROR((((COUNTIF('Elève (6ème1)'!TO8:TQ8,"A"))*4)+((COUNTIF('Elève (6ème1)'!TO8:TQ8,"B"))*3)+((COUNTIF('Elève (6ème1)'!TO8:TQ8,"C"))*2)+((COUNTIF('Elève (6ème1)'!TO8:TQ8,"D"))*1))/(COUNTA(TO8:TQ8)),"")</f>
        <v>4</v>
      </c>
      <c r="TS8" s="184" t="str">
        <f t="shared" si="125"/>
        <v>A</v>
      </c>
      <c r="TT8" s="99"/>
      <c r="TU8" s="100" t="s">
        <v>23</v>
      </c>
      <c r="TV8" s="101" t="s">
        <v>23</v>
      </c>
      <c r="TW8" s="183">
        <f>IFERROR((((COUNTIF('Elève (6ème1)'!TT8:TV8,"A"))*4)+((COUNTIF('Elève (6ème1)'!TT8:TV8,"B"))*3)+((COUNTIF('Elève (6ème1)'!TT8:TV8,"C"))*2)+((COUNTIF('Elève (6ème1)'!TT8:TV8,"D"))*1))/(COUNTA(TT8:TV8)),"")</f>
        <v>4</v>
      </c>
      <c r="TX8" s="184" t="str">
        <f t="shared" si="126"/>
        <v>A</v>
      </c>
      <c r="TY8" s="183">
        <f>IF(COUNT(TM8,TR8,TW8)=0,"",SUM(TM8,TR8,TW8)/COUNT(TM8,TR8,TW8))</f>
        <v>4</v>
      </c>
      <c r="TZ8" s="209" t="str">
        <f t="shared" si="127"/>
        <v>A</v>
      </c>
    </row>
    <row r="9" spans="1:546" x14ac:dyDescent="0.25">
      <c r="A9" s="253" t="s">
        <v>36</v>
      </c>
      <c r="B9" s="254"/>
      <c r="C9" s="106"/>
      <c r="D9" s="107"/>
      <c r="E9" s="108"/>
      <c r="F9" s="183" t="str">
        <f>IFERROR((((COUNTIF('Elève (6ème1)'!C9:E9,"A"))*4)+((COUNTIF('Elève (6ème1)'!C9:E9,"B"))*3)+((COUNTIF('Elève (6ème1)'!C9:E9,"C"))*2)+((COUNTIF('Elève (6ème1)'!C9:E9,"D"))*1))/(COUNTA(C9:E9)),"")</f>
        <v/>
      </c>
      <c r="G9" s="187" t="str">
        <f t="shared" si="0"/>
        <v/>
      </c>
      <c r="H9" s="106"/>
      <c r="I9" s="107"/>
      <c r="J9" s="108" t="s">
        <v>226</v>
      </c>
      <c r="K9" s="183">
        <f>IFERROR((((COUNTIF('Elève (6ème1)'!H9:J9,"A"))*4)+((COUNTIF('Elève (6ème1)'!H9:J9,"B"))*3)+((COUNTIF('Elève (6ème1)'!H9:J9,"C"))*2)+((COUNTIF('Elève (6ème1)'!H9:J9,"D"))*1))/(COUNTA(H9:J9)),"")</f>
        <v>3</v>
      </c>
      <c r="L9" s="184" t="str">
        <f t="shared" si="1"/>
        <v>B</v>
      </c>
      <c r="M9" s="106"/>
      <c r="N9" s="107" t="s">
        <v>24</v>
      </c>
      <c r="O9" s="108"/>
      <c r="P9" s="183">
        <f>IFERROR((((COUNTIF('Elève (6ème1)'!M9:O9,"A"))*4)+((COUNTIF('Elève (6ème1)'!M9:O9,"B"))*3)+((COUNTIF('Elève (6ème1)'!M9:O9,"C"))*2)+((COUNTIF('Elève (6ème1)'!M9:O9,"D"))*1))/(COUNTA(M9:O9)),"")</f>
        <v>3</v>
      </c>
      <c r="Q9" s="184" t="str">
        <f t="shared" si="2"/>
        <v>B</v>
      </c>
      <c r="R9" s="183">
        <f>IF(COUNT(F9,K9,P9)=0,"",SUM(F9,K9,P9)/COUNT(F9,K9,P9))</f>
        <v>3</v>
      </c>
      <c r="S9" s="209" t="str">
        <f t="shared" si="3"/>
        <v>B</v>
      </c>
      <c r="T9" s="112"/>
      <c r="U9" s="107"/>
      <c r="V9" s="108"/>
      <c r="W9" s="183" t="str">
        <f>IFERROR((((COUNTIF('Elève (6ème1)'!T9:V9,"A"))*4)+((COUNTIF('Elève (6ème1)'!T9:V9,"B"))*3)+((COUNTIF('Elève (6ème1)'!T9:V9,"C"))*2)+((COUNTIF('Elève (6ème1)'!T9:V9,"D"))*1))/(COUNTA(T9:V9)),"")</f>
        <v/>
      </c>
      <c r="X9" s="187" t="str">
        <f t="shared" si="4"/>
        <v/>
      </c>
      <c r="Y9" s="106"/>
      <c r="Z9" s="107"/>
      <c r="AA9" s="108"/>
      <c r="AB9" s="183" t="str">
        <f>IFERROR((((COUNTIF('Elève (6ème1)'!Y9:AA9,"A"))*4)+((COUNTIF('Elève (6ème1)'!Y9:AA9,"B"))*3)+((COUNTIF('Elève (6ème1)'!Y9:AA9,"C"))*2)+((COUNTIF('Elève (6ème1)'!Y9:AA9,"D"))*1))/(COUNTA(Y9:AA9)),"")</f>
        <v/>
      </c>
      <c r="AC9" s="184" t="str">
        <f t="shared" si="5"/>
        <v/>
      </c>
      <c r="AD9" s="106"/>
      <c r="AE9" s="107"/>
      <c r="AF9" s="108"/>
      <c r="AG9" s="183" t="str">
        <f>IFERROR((((COUNTIF('Elève (6ème1)'!AD9:AF9,"A"))*4)+((COUNTIF('Elève (6ème1)'!AD9:AF9,"B"))*3)+((COUNTIF('Elève (6ème1)'!AD9:AF9,"C"))*2)+((COUNTIF('Elève (6ème1)'!AD9:AF9,"D"))*1))/(COUNTA(AD9:AF9)),"")</f>
        <v/>
      </c>
      <c r="AH9" s="184" t="str">
        <f t="shared" si="6"/>
        <v/>
      </c>
      <c r="AI9" s="183" t="str">
        <f>IF(COUNT(W9,AB9,AG9)=0,"",SUM(W9,AB9,AG9)/COUNT(W9,AB9,AG9))</f>
        <v/>
      </c>
      <c r="AJ9" s="209" t="str">
        <f t="shared" si="7"/>
        <v/>
      </c>
      <c r="AK9" s="112"/>
      <c r="AL9" s="107"/>
      <c r="AM9" s="108"/>
      <c r="AN9" s="183" t="str">
        <f>IFERROR((((COUNTIF('Elève (6ème1)'!AK9:AM9,"A"))*4)+((COUNTIF('Elève (6ème1)'!AK9:AM9,"B"))*3)+((COUNTIF('Elève (6ème1)'!AK9:AM9,"C"))*2)+((COUNTIF('Elève (6ème1)'!AK9:AM9,"D"))*1))/(COUNTA(AK9:AM9)),"")</f>
        <v/>
      </c>
      <c r="AO9" s="187" t="str">
        <f t="shared" si="8"/>
        <v/>
      </c>
      <c r="AP9" s="106"/>
      <c r="AQ9" s="107"/>
      <c r="AR9" s="108" t="s">
        <v>25</v>
      </c>
      <c r="AS9" s="183">
        <f>IFERROR((((COUNTIF('Elève (6ème1)'!AP9:AR9,"A"))*4)+((COUNTIF('Elève (6ème1)'!AP9:AR9,"B"))*3)+((COUNTIF('Elève (6ème1)'!AP9:AR9,"C"))*2)+((COUNTIF('Elève (6ème1)'!AP9:AR9,"D"))*1))/(COUNTA(AP9:AR9)),"")</f>
        <v>2</v>
      </c>
      <c r="AT9" s="184" t="str">
        <f t="shared" si="9"/>
        <v>C</v>
      </c>
      <c r="AU9" s="106"/>
      <c r="AV9" s="107" t="s">
        <v>24</v>
      </c>
      <c r="AW9" s="108"/>
      <c r="AX9" s="183">
        <f>IFERROR((((COUNTIF('Elève (6ème1)'!AU9:AW9,"A"))*4)+((COUNTIF('Elève (6ème1)'!AU9:AW9,"B"))*3)+((COUNTIF('Elève (6ème1)'!AU9:AW9,"C"))*2)+((COUNTIF('Elève (6ème1)'!AU9:AW9,"D"))*1))/(COUNTA(AU9:AW9)),"")</f>
        <v>3</v>
      </c>
      <c r="AY9" s="184" t="str">
        <f t="shared" si="10"/>
        <v>B</v>
      </c>
      <c r="AZ9" s="183">
        <f>IF(COUNT(AN9,AS9,AX9)=0,"",SUM(AN9,AS9,AX9)/COUNT(AN9,AS9,AX9))</f>
        <v>2.5</v>
      </c>
      <c r="BA9" s="209" t="str">
        <f t="shared" si="11"/>
        <v>C</v>
      </c>
      <c r="BB9" s="112"/>
      <c r="BC9" s="107"/>
      <c r="BD9" s="108"/>
      <c r="BE9" s="183" t="str">
        <f>IFERROR((((COUNTIF('Elève (6ème1)'!BB9:BD9,"A"))*4)+((COUNTIF('Elève (6ème1)'!BB9:BD9,"B"))*3)+((COUNTIF('Elève (6ème1)'!BB9:BD9,"C"))*2)+((COUNTIF('Elève (6ème1)'!BB9:BD9,"D"))*1))/(COUNTA(BB9:BD9)),"")</f>
        <v/>
      </c>
      <c r="BF9" s="187" t="str">
        <f t="shared" si="12"/>
        <v/>
      </c>
      <c r="BG9" s="106"/>
      <c r="BH9" s="107"/>
      <c r="BI9" s="108" t="s">
        <v>24</v>
      </c>
      <c r="BJ9" s="183">
        <f>IFERROR((((COUNTIF('Elève (6ème1)'!BG9:BI9,"A"))*4)+((COUNTIF('Elève (6ème1)'!BG9:BI9,"B"))*3)+((COUNTIF('Elève (6ème1)'!BG9:BI9,"C"))*2)+((COUNTIF('Elève (6ème1)'!BG9:BI9,"D"))*1))/(COUNTA(BG9:BI9)),"")</f>
        <v>3</v>
      </c>
      <c r="BK9" s="184" t="str">
        <f t="shared" si="13"/>
        <v>B</v>
      </c>
      <c r="BL9" s="106"/>
      <c r="BM9" s="107" t="s">
        <v>24</v>
      </c>
      <c r="BN9" s="108"/>
      <c r="BO9" s="183">
        <f>IFERROR((((COUNTIF('Elève (6ème1)'!BL9:BN9,"A"))*4)+((COUNTIF('Elève (6ème1)'!BL9:BN9,"B"))*3)+((COUNTIF('Elève (6ème1)'!BL9:BN9,"C"))*2)+((COUNTIF('Elève (6ème1)'!BL9:BN9,"D"))*1))/(COUNTA(BL9:BN9)),"")</f>
        <v>3</v>
      </c>
      <c r="BP9" s="184" t="str">
        <f t="shared" si="14"/>
        <v>B</v>
      </c>
      <c r="BQ9" s="183">
        <f>IF(COUNT(BE9,BJ9,BO9)=0,"",SUM(BE9,BJ9,BO9)/COUNT(BE9,BJ9,BO9))</f>
        <v>3</v>
      </c>
      <c r="BR9" s="209" t="str">
        <f t="shared" si="15"/>
        <v>B</v>
      </c>
      <c r="BS9" s="112"/>
      <c r="BT9" s="107"/>
      <c r="BU9" s="108"/>
      <c r="BV9" s="183" t="str">
        <f>IFERROR((((COUNTIF('Elève (6ème1)'!BS9:BU9,"A"))*4)+((COUNTIF('Elève (6ème1)'!BS9:BU9,"B"))*3)+((COUNTIF('Elève (6ème1)'!BS9:BU9,"C"))*2)+((COUNTIF('Elève (6ème1)'!BS9:BU9,"D"))*1))/(COUNTA(BS9:BU9)),"")</f>
        <v/>
      </c>
      <c r="BW9" s="187" t="str">
        <f t="shared" si="16"/>
        <v/>
      </c>
      <c r="BX9" s="106"/>
      <c r="BY9" s="107"/>
      <c r="BZ9" s="108" t="s">
        <v>24</v>
      </c>
      <c r="CA9" s="183">
        <f>IFERROR((((COUNTIF('Elève (6ème1)'!BX9:BZ9,"A"))*4)+((COUNTIF('Elève (6ème1)'!BX9:BZ9,"B"))*3)+((COUNTIF('Elève (6ème1)'!BX9:BZ9,"C"))*2)+((COUNTIF('Elève (6ème1)'!BX9:BZ9,"D"))*1))/(COUNTA(BX9:BZ9)),"")</f>
        <v>3</v>
      </c>
      <c r="CB9" s="184" t="str">
        <f t="shared" si="17"/>
        <v>B</v>
      </c>
      <c r="CC9" s="106"/>
      <c r="CD9" s="107" t="s">
        <v>24</v>
      </c>
      <c r="CE9" s="108"/>
      <c r="CF9" s="183">
        <f>IFERROR((((COUNTIF('Elève (6ème1)'!CC9:CE9,"A"))*4)+((COUNTIF('Elève (6ème1)'!CC9:CE9,"B"))*3)+((COUNTIF('Elève (6ème1)'!CC9:CE9,"C"))*2)+((COUNTIF('Elève (6ème1)'!CC9:CE9,"D"))*1))/(COUNTA(CC9:CE9)),"")</f>
        <v>3</v>
      </c>
      <c r="CG9" s="184" t="str">
        <f t="shared" si="18"/>
        <v>B</v>
      </c>
      <c r="CH9" s="183">
        <f>IF(COUNT(BV9,CA9,CF9)=0,"",SUM(BV9,CA9,CF9)/COUNT(BV9,CA9,CF9))</f>
        <v>3</v>
      </c>
      <c r="CI9" s="209" t="str">
        <f t="shared" si="19"/>
        <v>B</v>
      </c>
      <c r="CJ9" s="112"/>
      <c r="CK9" s="107"/>
      <c r="CL9" s="108"/>
      <c r="CM9" s="183" t="str">
        <f>IFERROR((((COUNTIF('Elève (6ème1)'!CJ9:CL9,"A"))*4)+((COUNTIF('Elève (6ème1)'!CJ9:CL9,"B"))*3)+((COUNTIF('Elève (6ème1)'!CJ9:CL9,"C"))*2)+((COUNTIF('Elève (6ème1)'!CJ9:CL9,"D"))*1))/(COUNTA(CJ9:CL9)),"")</f>
        <v/>
      </c>
      <c r="CN9" s="187" t="str">
        <f t="shared" si="20"/>
        <v/>
      </c>
      <c r="CO9" s="106"/>
      <c r="CP9" s="107"/>
      <c r="CQ9" s="108" t="s">
        <v>25</v>
      </c>
      <c r="CR9" s="183">
        <f>IFERROR((((COUNTIF('Elève (6ème1)'!CO9:CQ9,"A"))*4)+((COUNTIF('Elève (6ème1)'!CO9:CQ9,"B"))*3)+((COUNTIF('Elève (6ème1)'!CO9:CQ9,"C"))*2)+((COUNTIF('Elève (6ème1)'!CO9:CQ9,"D"))*1))/(COUNTA(CO9:CQ9)),"")</f>
        <v>2</v>
      </c>
      <c r="CS9" s="184" t="str">
        <f t="shared" si="21"/>
        <v>C</v>
      </c>
      <c r="CT9" s="106"/>
      <c r="CU9" s="107" t="s">
        <v>24</v>
      </c>
      <c r="CV9" s="108"/>
      <c r="CW9" s="183">
        <f>IFERROR((((COUNTIF('Elève (6ème1)'!CT9:CV9,"A"))*4)+((COUNTIF('Elève (6ème1)'!CT9:CV9,"B"))*3)+((COUNTIF('Elève (6ème1)'!CT9:CV9,"C"))*2)+((COUNTIF('Elève (6ème1)'!CT9:CV9,"D"))*1))/(COUNTA(CT9:CV9)),"")</f>
        <v>3</v>
      </c>
      <c r="CX9" s="184" t="str">
        <f t="shared" si="22"/>
        <v>B</v>
      </c>
      <c r="CY9" s="183">
        <f>IF(COUNT(CM9,CR9,CW9)=0,"",SUM(CM9,CR9,CW9)/COUNT(CM9,CR9,CW9))</f>
        <v>2.5</v>
      </c>
      <c r="CZ9" s="209" t="str">
        <f t="shared" si="23"/>
        <v>C</v>
      </c>
      <c r="DA9" s="112"/>
      <c r="DB9" s="107"/>
      <c r="DC9" s="108"/>
      <c r="DD9" s="183" t="str">
        <f>IFERROR((((COUNTIF('Elève (6ème1)'!DA9:DC9,"A"))*4)+((COUNTIF('Elève (6ème1)'!DA9:DC9,"B"))*3)+((COUNTIF('Elève (6ème1)'!DA9:DC9,"C"))*2)+((COUNTIF('Elève (6ème1)'!DA9:DC9,"D"))*1))/(COUNTA(DA9:DC9)),"")</f>
        <v/>
      </c>
      <c r="DE9" s="187" t="str">
        <f t="shared" si="24"/>
        <v/>
      </c>
      <c r="DF9" s="106"/>
      <c r="DG9" s="107"/>
      <c r="DH9" s="108" t="s">
        <v>25</v>
      </c>
      <c r="DI9" s="183">
        <f>IFERROR((((COUNTIF('Elève (6ème1)'!DF9:DH9,"A"))*4)+((COUNTIF('Elève (6ème1)'!DF9:DH9,"B"))*3)+((COUNTIF('Elève (6ème1)'!DF9:DH9,"C"))*2)+((COUNTIF('Elève (6ème1)'!DF9:DH9,"D"))*1))/(COUNTA(DF9:DH9)),"")</f>
        <v>2</v>
      </c>
      <c r="DJ9" s="184" t="str">
        <f t="shared" si="25"/>
        <v>C</v>
      </c>
      <c r="DK9" s="106"/>
      <c r="DL9" s="107" t="s">
        <v>24</v>
      </c>
      <c r="DM9" s="108"/>
      <c r="DN9" s="183">
        <f>IFERROR((((COUNTIF('Elève (6ème1)'!DK9:DM9,"A"))*4)+((COUNTIF('Elève (6ème1)'!DK9:DM9,"B"))*3)+((COUNTIF('Elève (6ème1)'!DK9:DM9,"C"))*2)+((COUNTIF('Elève (6ème1)'!DK9:DM9,"D"))*1))/(COUNTA(DK9:DM9)),"")</f>
        <v>3</v>
      </c>
      <c r="DO9" s="184" t="str">
        <f t="shared" si="26"/>
        <v>B</v>
      </c>
      <c r="DP9" s="183">
        <f>IF(COUNT(DD9,DI9,DN9)=0,"",SUM(DD9,DI9,DN9)/COUNT(DD9,DI9,DN9))</f>
        <v>2.5</v>
      </c>
      <c r="DQ9" s="209" t="str">
        <f t="shared" si="27"/>
        <v>C</v>
      </c>
      <c r="DR9" s="112"/>
      <c r="DS9" s="107"/>
      <c r="DT9" s="108"/>
      <c r="DU9" s="183" t="str">
        <f>IFERROR((((COUNTIF('Elève (6ème1)'!DR9:DT9,"A"))*4)+((COUNTIF('Elève (6ème1)'!DR9:DT9,"B"))*3)+((COUNTIF('Elève (6ème1)'!DR9:DT9,"C"))*2)+((COUNTIF('Elève (6ème1)'!DR9:DT9,"D"))*1))/(COUNTA(DR9:DT9)),"")</f>
        <v/>
      </c>
      <c r="DV9" s="187" t="str">
        <f t="shared" si="28"/>
        <v/>
      </c>
      <c r="DW9" s="106"/>
      <c r="DX9" s="107"/>
      <c r="DY9" s="108" t="s">
        <v>24</v>
      </c>
      <c r="DZ9" s="183">
        <f>IFERROR((((COUNTIF('Elève (6ème1)'!DW9:DY9,"A"))*4)+((COUNTIF('Elève (6ème1)'!DW9:DY9,"B"))*3)+((COUNTIF('Elève (6ème1)'!DW9:DY9,"C"))*2)+((COUNTIF('Elève (6ème1)'!DW9:DY9,"D"))*1))/(COUNTA(DW9:DY9)),"")</f>
        <v>3</v>
      </c>
      <c r="EA9" s="184" t="str">
        <f t="shared" si="29"/>
        <v>B</v>
      </c>
      <c r="EB9" s="106"/>
      <c r="EC9" s="107" t="s">
        <v>24</v>
      </c>
      <c r="ED9" s="108"/>
      <c r="EE9" s="183">
        <f>IFERROR((((COUNTIF('Elève (6ème1)'!EB9:ED9,"A"))*4)+((COUNTIF('Elève (6ème1)'!EB9:ED9,"B"))*3)+((COUNTIF('Elève (6ème1)'!EB9:ED9,"C"))*2)+((COUNTIF('Elève (6ème1)'!EB9:ED9,"D"))*1))/(COUNTA(EB9:ED9)),"")</f>
        <v>3</v>
      </c>
      <c r="EF9" s="184" t="str">
        <f t="shared" si="30"/>
        <v>B</v>
      </c>
      <c r="EG9" s="183">
        <f>IF(COUNT(DU9,DZ9,EE9)=0,"",SUM(DU9,DZ9,EE9)/COUNT(DU9,DZ9,EE9))</f>
        <v>3</v>
      </c>
      <c r="EH9" s="209" t="str">
        <f t="shared" si="31"/>
        <v>B</v>
      </c>
      <c r="EI9" s="112"/>
      <c r="EJ9" s="107"/>
      <c r="EK9" s="108"/>
      <c r="EL9" s="183" t="str">
        <f>IFERROR((((COUNTIF('Elève (6ème1)'!EI9:EK9,"A"))*4)+((COUNTIF('Elève (6ème1)'!EI9:EK9,"B"))*3)+((COUNTIF('Elève (6ème1)'!EI9:EK9,"C"))*2)+((COUNTIF('Elève (6ème1)'!EI9:EK9,"D"))*1))/(COUNTA(EI9:EK9)),"")</f>
        <v/>
      </c>
      <c r="EM9" s="187" t="str">
        <f t="shared" si="32"/>
        <v/>
      </c>
      <c r="EN9" s="106"/>
      <c r="EO9" s="107"/>
      <c r="EP9" s="108" t="s">
        <v>24</v>
      </c>
      <c r="EQ9" s="183">
        <f>IFERROR((((COUNTIF('Elève (6ème1)'!EN9:EP9,"A"))*4)+((COUNTIF('Elève (6ème1)'!EN9:EP9,"B"))*3)+((COUNTIF('Elève (6ème1)'!EN9:EP9,"C"))*2)+((COUNTIF('Elève (6ème1)'!EN9:EP9,"D"))*1))/(COUNTA(EN9:EP9)),"")</f>
        <v>3</v>
      </c>
      <c r="ER9" s="184" t="str">
        <f t="shared" si="33"/>
        <v>B</v>
      </c>
      <c r="ES9" s="106"/>
      <c r="ET9" s="107" t="s">
        <v>24</v>
      </c>
      <c r="EU9" s="108"/>
      <c r="EV9" s="183">
        <f>IFERROR((((COUNTIF('Elève (6ème1)'!ES9:EU9,"A"))*4)+((COUNTIF('Elève (6ème1)'!ES9:EU9,"B"))*3)+((COUNTIF('Elève (6ème1)'!ES9:EU9,"C"))*2)+((COUNTIF('Elève (6ème1)'!ES9:EU9,"D"))*1))/(COUNTA(ES9:EU9)),"")</f>
        <v>3</v>
      </c>
      <c r="EW9" s="184" t="str">
        <f t="shared" si="34"/>
        <v>B</v>
      </c>
      <c r="EX9" s="183">
        <f>IF(COUNT(EL9,EQ9,EV9)=0,"",SUM(EL9,EQ9,EV9)/COUNT(EL9,EQ9,EV9))</f>
        <v>3</v>
      </c>
      <c r="EY9" s="209" t="str">
        <f t="shared" si="35"/>
        <v>B</v>
      </c>
      <c r="EZ9" s="112"/>
      <c r="FA9" s="107"/>
      <c r="FB9" s="108"/>
      <c r="FC9" s="183" t="str">
        <f>IFERROR((((COUNTIF('Elève (6ème1)'!EZ9:FB9,"A"))*4)+((COUNTIF('Elève (6ème1)'!EZ9:FB9,"B"))*3)+((COUNTIF('Elève (6ème1)'!EZ9:FB9,"C"))*2)+((COUNTIF('Elève (6ème1)'!EZ9:FB9,"D"))*1))/(COUNTA(EZ9:FB9)),"")</f>
        <v/>
      </c>
      <c r="FD9" s="187" t="str">
        <f t="shared" si="36"/>
        <v/>
      </c>
      <c r="FE9" s="106"/>
      <c r="FF9" s="107"/>
      <c r="FG9" s="108" t="s">
        <v>24</v>
      </c>
      <c r="FH9" s="183">
        <f>IFERROR((((COUNTIF('Elève (6ème1)'!FE9:FG9,"A"))*4)+((COUNTIF('Elève (6ème1)'!FE9:FG9,"B"))*3)+((COUNTIF('Elève (6ème1)'!FE9:FG9,"C"))*2)+((COUNTIF('Elève (6ème1)'!FE9:FG9,"D"))*1))/(COUNTA(FE9:FG9)),"")</f>
        <v>3</v>
      </c>
      <c r="FI9" s="184" t="str">
        <f t="shared" si="37"/>
        <v>B</v>
      </c>
      <c r="FJ9" s="106"/>
      <c r="FK9" s="107" t="s">
        <v>24</v>
      </c>
      <c r="FL9" s="108"/>
      <c r="FM9" s="183">
        <f>IFERROR((((COUNTIF('Elève (6ème1)'!FJ9:FL9,"A"))*4)+((COUNTIF('Elève (6ème1)'!FJ9:FL9,"B"))*3)+((COUNTIF('Elève (6ème1)'!FJ9:FL9,"C"))*2)+((COUNTIF('Elève (6ème1)'!FJ9:FL9,"D"))*1))/(COUNTA(FJ9:FL9)),"")</f>
        <v>3</v>
      </c>
      <c r="FN9" s="184" t="str">
        <f t="shared" si="38"/>
        <v>B</v>
      </c>
      <c r="FO9" s="183">
        <f>IF(COUNT(FC9,FH9,FM9)=0,"",SUM(FC9,FH9,FM9)/COUNT(FC9,FH9,FM9))</f>
        <v>3</v>
      </c>
      <c r="FP9" s="209" t="str">
        <f t="shared" si="39"/>
        <v>B</v>
      </c>
      <c r="FQ9" s="112"/>
      <c r="FR9" s="107"/>
      <c r="FS9" s="108"/>
      <c r="FT9" s="183" t="str">
        <f>IFERROR((((COUNTIF('Elève (6ème1)'!FQ9:FS9,"A"))*4)+((COUNTIF('Elève (6ème1)'!FQ9:FS9,"B"))*3)+((COUNTIF('Elève (6ème1)'!FQ9:FS9,"C"))*2)+((COUNTIF('Elève (6ème1)'!FQ9:FS9,"D"))*1))/(COUNTA(FQ9:FS9)),"")</f>
        <v/>
      </c>
      <c r="FU9" s="187" t="str">
        <f t="shared" si="40"/>
        <v/>
      </c>
      <c r="FV9" s="106"/>
      <c r="FW9" s="107"/>
      <c r="FX9" s="108" t="s">
        <v>24</v>
      </c>
      <c r="FY9" s="183">
        <f>IFERROR((((COUNTIF('Elève (6ème1)'!FV9:FX9,"A"))*4)+((COUNTIF('Elève (6ème1)'!FV9:FX9,"B"))*3)+((COUNTIF('Elève (6ème1)'!FV9:FX9,"C"))*2)+((COUNTIF('Elève (6ème1)'!FV9:FX9,"D"))*1))/(COUNTA(FV9:FX9)),"")</f>
        <v>3</v>
      </c>
      <c r="FZ9" s="184" t="str">
        <f t="shared" si="41"/>
        <v>B</v>
      </c>
      <c r="GA9" s="106"/>
      <c r="GB9" s="107" t="s">
        <v>24</v>
      </c>
      <c r="GC9" s="108"/>
      <c r="GD9" s="183">
        <f>IFERROR((((COUNTIF('Elève (6ème1)'!GA9:GC9,"A"))*4)+((COUNTIF('Elève (6ème1)'!GA9:GC9,"B"))*3)+((COUNTIF('Elève (6ème1)'!GA9:GC9,"C"))*2)+((COUNTIF('Elève (6ème1)'!GA9:GC9,"D"))*1))/(COUNTA(GA9:GC9)),"")</f>
        <v>3</v>
      </c>
      <c r="GE9" s="184" t="str">
        <f t="shared" si="42"/>
        <v>B</v>
      </c>
      <c r="GF9" s="183">
        <f>IF(COUNT(FT9,FY9,GD9)=0,"",SUM(FT9,FY9,GD9)/COUNT(FT9,FY9,GD9))</f>
        <v>3</v>
      </c>
      <c r="GG9" s="209" t="str">
        <f t="shared" si="43"/>
        <v>B</v>
      </c>
      <c r="GH9" s="112"/>
      <c r="GI9" s="107"/>
      <c r="GJ9" s="108"/>
      <c r="GK9" s="183" t="str">
        <f>IFERROR((((COUNTIF('Elève (6ème1)'!GH9:GJ9,"A"))*4)+((COUNTIF('Elève (6ème1)'!GH9:GJ9,"B"))*3)+((COUNTIF('Elève (6ème1)'!GH9:GJ9,"C"))*2)+((COUNTIF('Elève (6ème1)'!GH9:GJ9,"D"))*1))/(COUNTA(GH9:GJ9)),"")</f>
        <v/>
      </c>
      <c r="GL9" s="187" t="str">
        <f t="shared" si="44"/>
        <v/>
      </c>
      <c r="GM9" s="106"/>
      <c r="GN9" s="107"/>
      <c r="GO9" s="108"/>
      <c r="GP9" s="183" t="str">
        <f>IFERROR((((COUNTIF('Elève (6ème1)'!GM9:GO9,"A"))*4)+((COUNTIF('Elève (6ème1)'!GM9:GO9,"B"))*3)+((COUNTIF('Elève (6ème1)'!GM9:GO9,"C"))*2)+((COUNTIF('Elève (6ème1)'!GM9:GO9,"D"))*1))/(COUNTA(GM9:GO9)),"")</f>
        <v/>
      </c>
      <c r="GQ9" s="184" t="str">
        <f t="shared" si="45"/>
        <v/>
      </c>
      <c r="GR9" s="106"/>
      <c r="GS9" s="107"/>
      <c r="GT9" s="108"/>
      <c r="GU9" s="183" t="str">
        <f>IFERROR((((COUNTIF('Elève (6ème1)'!GR9:GT9,"A"))*4)+((COUNTIF('Elève (6ème1)'!GR9:GT9,"B"))*3)+((COUNTIF('Elève (6ème1)'!GR9:GT9,"C"))*2)+((COUNTIF('Elève (6ème1)'!GR9:GT9,"D"))*1))/(COUNTA(GR9:GT9)),"")</f>
        <v/>
      </c>
      <c r="GV9" s="184" t="str">
        <f t="shared" si="46"/>
        <v/>
      </c>
      <c r="GW9" s="183" t="str">
        <f>IF(COUNT(GK9,GP9,GU9)=0,"",SUM(GK9,GP9,GU9)/COUNT(GK9,GP9,GU9))</f>
        <v/>
      </c>
      <c r="GX9" s="209" t="str">
        <f t="shared" si="47"/>
        <v/>
      </c>
      <c r="GY9" s="112"/>
      <c r="GZ9" s="107"/>
      <c r="HA9" s="108"/>
      <c r="HB9" s="183" t="str">
        <f>IFERROR((((COUNTIF('Elève (6ème1)'!GY9:HA9,"A"))*4)+((COUNTIF('Elève (6ème1)'!GY9:HA9,"B"))*3)+((COUNTIF('Elève (6ème1)'!GY9:HA9,"C"))*2)+((COUNTIF('Elève (6ème1)'!GY9:HA9,"D"))*1))/(COUNTA(GY9:HA9)),"")</f>
        <v/>
      </c>
      <c r="HC9" s="187" t="str">
        <f t="shared" si="48"/>
        <v/>
      </c>
      <c r="HD9" s="106"/>
      <c r="HE9" s="107"/>
      <c r="HF9" s="108"/>
      <c r="HG9" s="183" t="str">
        <f>IFERROR((((COUNTIF('Elève (6ème1)'!HD9:HF9,"A"))*4)+((COUNTIF('Elève (6ème1)'!HD9:HF9,"B"))*3)+((COUNTIF('Elève (6ème1)'!HD9:HF9,"C"))*2)+((COUNTIF('Elève (6ème1)'!HD9:HF9,"D"))*1))/(COUNTA(HD9:HF9)),"")</f>
        <v/>
      </c>
      <c r="HH9" s="184" t="str">
        <f t="shared" si="49"/>
        <v/>
      </c>
      <c r="HI9" s="106"/>
      <c r="HJ9" s="107" t="s">
        <v>24</v>
      </c>
      <c r="HK9" s="108"/>
      <c r="HL9" s="183">
        <f>IFERROR((((COUNTIF('Elève (6ème1)'!HI9:HK9,"A"))*4)+((COUNTIF('Elève (6ème1)'!HI9:HK9,"B"))*3)+((COUNTIF('Elève (6ème1)'!HI9:HK9,"C"))*2)+((COUNTIF('Elève (6ème1)'!HI9:HK9,"D"))*1))/(COUNTA(HI9:HK9)),"")</f>
        <v>3</v>
      </c>
      <c r="HM9" s="184" t="str">
        <f t="shared" si="50"/>
        <v>B</v>
      </c>
      <c r="HN9" s="183">
        <f>IF(COUNT(HB9,HG9,HL9)=0,"",SUM(HB9,HG9,HL9)/COUNT(HB9,HG9,HL9))</f>
        <v>3</v>
      </c>
      <c r="HO9" s="209" t="str">
        <f t="shared" si="51"/>
        <v>B</v>
      </c>
      <c r="HP9" s="112"/>
      <c r="HQ9" s="107"/>
      <c r="HR9" s="108"/>
      <c r="HS9" s="183" t="str">
        <f>IFERROR((((COUNTIF('Elève (6ème1)'!HP9:HR9,"A"))*4)+((COUNTIF('Elève (6ème1)'!HP9:HR9,"B"))*3)+((COUNTIF('Elève (6ème1)'!HP9:HR9,"C"))*2)+((COUNTIF('Elève (6ème1)'!HP9:HR9,"D"))*1))/(COUNTA(HP9:HR9)),"")</f>
        <v/>
      </c>
      <c r="HT9" s="187" t="str">
        <f t="shared" si="52"/>
        <v/>
      </c>
      <c r="HU9" s="106"/>
      <c r="HV9" s="107"/>
      <c r="HW9" s="108" t="s">
        <v>24</v>
      </c>
      <c r="HX9" s="183">
        <f>IFERROR((((COUNTIF('Elève (6ème1)'!HU9:HW9,"A"))*4)+((COUNTIF('Elève (6ème1)'!HU9:HW9,"B"))*3)+((COUNTIF('Elève (6ème1)'!HU9:HW9,"C"))*2)+((COUNTIF('Elève (6ème1)'!HU9:HW9,"D"))*1))/(COUNTA(HU9:HW9)),"")</f>
        <v>3</v>
      </c>
      <c r="HY9" s="184" t="str">
        <f t="shared" si="53"/>
        <v>B</v>
      </c>
      <c r="HZ9" s="106"/>
      <c r="IA9" s="107" t="s">
        <v>24</v>
      </c>
      <c r="IB9" s="108"/>
      <c r="IC9" s="183">
        <f>IFERROR((((COUNTIF('Elève (6ème1)'!HZ9:IB9,"A"))*4)+((COUNTIF('Elève (6ème1)'!HZ9:IB9,"B"))*3)+((COUNTIF('Elève (6ème1)'!HZ9:IB9,"C"))*2)+((COUNTIF('Elève (6ème1)'!HZ9:IB9,"D"))*1))/(COUNTA(HZ9:IB9)),"")</f>
        <v>3</v>
      </c>
      <c r="ID9" s="184" t="str">
        <f t="shared" si="54"/>
        <v>B</v>
      </c>
      <c r="IE9" s="183">
        <f>IF(COUNT(HS9,HX9,IC9)=0,"",SUM(HS9,HX9,IC9)/COUNT(HS9,HX9,IC9))</f>
        <v>3</v>
      </c>
      <c r="IF9" s="209" t="str">
        <f t="shared" si="55"/>
        <v>B</v>
      </c>
      <c r="IG9" s="112"/>
      <c r="IH9" s="107"/>
      <c r="II9" s="108"/>
      <c r="IJ9" s="183" t="str">
        <f>IFERROR((((COUNTIF('Elève (6ème1)'!IG9:II9,"A"))*4)+((COUNTIF('Elève (6ème1)'!IG9:II9,"B"))*3)+((COUNTIF('Elève (6ème1)'!IG9:II9,"C"))*2)+((COUNTIF('Elève (6ème1)'!IG9:II9,"D"))*1))/(COUNTA(IG9:II9)),"")</f>
        <v/>
      </c>
      <c r="IK9" s="187" t="str">
        <f t="shared" si="56"/>
        <v/>
      </c>
      <c r="IL9" s="106"/>
      <c r="IM9" s="107"/>
      <c r="IN9" s="108"/>
      <c r="IO9" s="183" t="str">
        <f>IFERROR((((COUNTIF('Elève (6ème1)'!IL9:IN9,"A"))*4)+((COUNTIF('Elève (6ème1)'!IL9:IN9,"B"))*3)+((COUNTIF('Elève (6ème1)'!IL9:IN9,"C"))*2)+((COUNTIF('Elève (6ème1)'!IL9:IN9,"D"))*1))/(COUNTA(IL9:IN9)),"")</f>
        <v/>
      </c>
      <c r="IP9" s="184" t="str">
        <f t="shared" si="57"/>
        <v/>
      </c>
      <c r="IQ9" s="106"/>
      <c r="IR9" s="107"/>
      <c r="IS9" s="108"/>
      <c r="IT9" s="183" t="str">
        <f>IFERROR((((COUNTIF('Elève (6ème1)'!IQ9:IS9,"A"))*4)+((COUNTIF('Elève (6ème1)'!IQ9:IS9,"B"))*3)+((COUNTIF('Elève (6ème1)'!IQ9:IS9,"C"))*2)+((COUNTIF('Elève (6ème1)'!IQ9:IS9,"D"))*1))/(COUNTA(IQ9:IS9)),"")</f>
        <v/>
      </c>
      <c r="IU9" s="184" t="str">
        <f t="shared" si="58"/>
        <v/>
      </c>
      <c r="IV9" s="183" t="str">
        <f>IF(COUNT(IJ9,IO9,IT9)=0,"",SUM(IJ9,IO9,IT9)/COUNT(IJ9,IO9,IT9))</f>
        <v/>
      </c>
      <c r="IW9" s="209" t="str">
        <f t="shared" si="59"/>
        <v/>
      </c>
      <c r="IX9" s="112"/>
      <c r="IY9" s="107"/>
      <c r="IZ9" s="108"/>
      <c r="JA9" s="183" t="str">
        <f>IFERROR((((COUNTIF('Elève (6ème1)'!IX9:IZ9,"A"))*4)+((COUNTIF('Elève (6ème1)'!IX9:IZ9,"B"))*3)+((COUNTIF('Elève (6ème1)'!IX9:IZ9,"C"))*2)+((COUNTIF('Elève (6ème1)'!IX9:IZ9,"D"))*1))/(COUNTA(IX9:IZ9)),"")</f>
        <v/>
      </c>
      <c r="JB9" s="187" t="str">
        <f t="shared" si="60"/>
        <v/>
      </c>
      <c r="JC9" s="106"/>
      <c r="JD9" s="107"/>
      <c r="JE9" s="108"/>
      <c r="JF9" s="183" t="str">
        <f>IFERROR((((COUNTIF('Elève (6ème1)'!JC9:JE9,"A"))*4)+((COUNTIF('Elève (6ème1)'!JC9:JE9,"B"))*3)+((COUNTIF('Elève (6ème1)'!JC9:JE9,"C"))*2)+((COUNTIF('Elève (6ème1)'!JC9:JE9,"D"))*1))/(COUNTA(JC9:JE9)),"")</f>
        <v/>
      </c>
      <c r="JG9" s="184" t="str">
        <f t="shared" si="61"/>
        <v/>
      </c>
      <c r="JH9" s="106"/>
      <c r="JI9" s="107" t="s">
        <v>24</v>
      </c>
      <c r="JJ9" s="108"/>
      <c r="JK9" s="183">
        <f>IFERROR((((COUNTIF('Elève (6ème1)'!JH9:JJ9,"A"))*4)+((COUNTIF('Elève (6ème1)'!JH9:JJ9,"B"))*3)+((COUNTIF('Elève (6ème1)'!JH9:JJ9,"C"))*2)+((COUNTIF('Elève (6ème1)'!JH9:JJ9,"D"))*1))/(COUNTA(JH9:JJ9)),"")</f>
        <v>3</v>
      </c>
      <c r="JL9" s="184" t="str">
        <f t="shared" si="62"/>
        <v>B</v>
      </c>
      <c r="JM9" s="183">
        <f>IF(COUNT(JA9,JF9,JK9)=0,"",SUM(JA9,JF9,JK9)/COUNT(JA9,JF9,JK9))</f>
        <v>3</v>
      </c>
      <c r="JN9" s="209" t="str">
        <f t="shared" si="63"/>
        <v>B</v>
      </c>
      <c r="JO9" s="112"/>
      <c r="JP9" s="107"/>
      <c r="JQ9" s="108"/>
      <c r="JR9" s="183" t="str">
        <f>IFERROR((((COUNTIF('Elève (6ème1)'!JO9:JQ9,"A"))*4)+((COUNTIF('Elève (6ème1)'!JO9:JQ9,"B"))*3)+((COUNTIF('Elève (6ème1)'!JO9:JQ9,"C"))*2)+((COUNTIF('Elève (6ème1)'!JO9:JQ9,"D"))*1))/(COUNTA(JO9:JQ9)),"")</f>
        <v/>
      </c>
      <c r="JS9" s="187" t="str">
        <f t="shared" si="64"/>
        <v/>
      </c>
      <c r="JT9" s="106"/>
      <c r="JU9" s="107"/>
      <c r="JV9" s="108" t="s">
        <v>24</v>
      </c>
      <c r="JW9" s="183">
        <f>IFERROR((((COUNTIF('Elève (6ème1)'!JT9:JV9,"A"))*4)+((COUNTIF('Elève (6ème1)'!JT9:JV9,"B"))*3)+((COUNTIF('Elève (6ème1)'!JT9:JV9,"C"))*2)+((COUNTIF('Elève (6ème1)'!JT9:JV9,"D"))*1))/(COUNTA(JT9:JV9)),"")</f>
        <v>3</v>
      </c>
      <c r="JX9" s="184" t="str">
        <f t="shared" si="65"/>
        <v>B</v>
      </c>
      <c r="JY9" s="106"/>
      <c r="JZ9" s="107" t="s">
        <v>24</v>
      </c>
      <c r="KA9" s="108"/>
      <c r="KB9" s="183">
        <f>IFERROR((((COUNTIF('Elève (6ème1)'!JY9:KA9,"A"))*4)+((COUNTIF('Elève (6ème1)'!JY9:KA9,"B"))*3)+((COUNTIF('Elève (6ème1)'!JY9:KA9,"C"))*2)+((COUNTIF('Elève (6ème1)'!JY9:KA9,"D"))*1))/(COUNTA(JY9:KA9)),"")</f>
        <v>3</v>
      </c>
      <c r="KC9" s="184" t="str">
        <f t="shared" si="66"/>
        <v>B</v>
      </c>
      <c r="KD9" s="183">
        <f>IF(COUNT(JR9,JW9,KB9)=0,"",SUM(JR9,JW9,KB9)/COUNT(JR9,JW9,KB9))</f>
        <v>3</v>
      </c>
      <c r="KE9" s="209" t="str">
        <f t="shared" si="67"/>
        <v>B</v>
      </c>
      <c r="KF9" s="112"/>
      <c r="KG9" s="107"/>
      <c r="KH9" s="108"/>
      <c r="KI9" s="183" t="str">
        <f>IFERROR((((COUNTIF('Elève (6ème1)'!KF9:KH9,"A"))*4)+((COUNTIF('Elève (6ème1)'!KF9:KH9,"B"))*3)+((COUNTIF('Elève (6ème1)'!KF9:KH9,"C"))*2)+((COUNTIF('Elève (6ème1)'!KF9:KH9,"D"))*1))/(COUNTA(KF9:KH9)),"")</f>
        <v/>
      </c>
      <c r="KJ9" s="187" t="str">
        <f t="shared" si="68"/>
        <v/>
      </c>
      <c r="KK9" s="106"/>
      <c r="KL9" s="107"/>
      <c r="KM9" s="108" t="s">
        <v>25</v>
      </c>
      <c r="KN9" s="183">
        <f>IFERROR((((COUNTIF('Elève (6ème1)'!KK9:KM9,"A"))*4)+((COUNTIF('Elève (6ème1)'!KK9:KM9,"B"))*3)+((COUNTIF('Elève (6ème1)'!KK9:KM9,"C"))*2)+((COUNTIF('Elève (6ème1)'!KK9:KM9,"D"))*1))/(COUNTA(KK9:KM9)),"")</f>
        <v>2</v>
      </c>
      <c r="KO9" s="184" t="str">
        <f t="shared" si="69"/>
        <v>C</v>
      </c>
      <c r="KP9" s="106"/>
      <c r="KQ9" s="107" t="s">
        <v>24</v>
      </c>
      <c r="KR9" s="108"/>
      <c r="KS9" s="183">
        <f>IFERROR((((COUNTIF('Elève (6ème1)'!KP9:KR9,"A"))*4)+((COUNTIF('Elève (6ème1)'!KP9:KR9,"B"))*3)+((COUNTIF('Elève (6ème1)'!KP9:KR9,"C"))*2)+((COUNTIF('Elève (6ème1)'!KP9:KR9,"D"))*1))/(COUNTA(KP9:KR9)),"")</f>
        <v>3</v>
      </c>
      <c r="KT9" s="184" t="str">
        <f t="shared" si="70"/>
        <v>B</v>
      </c>
      <c r="KU9" s="183">
        <f>IF(COUNT(KI9,KN9,KS9)=0,"",SUM(KI9,KN9,KS9)/COUNT(KI9,KN9,KS9))</f>
        <v>2.5</v>
      </c>
      <c r="KV9" s="209" t="str">
        <f t="shared" si="71"/>
        <v>C</v>
      </c>
      <c r="KW9" s="112"/>
      <c r="KX9" s="107"/>
      <c r="KY9" s="108"/>
      <c r="KZ9" s="183" t="str">
        <f>IFERROR((((COUNTIF('Elève (6ème1)'!KW9:KY9,"A"))*4)+((COUNTIF('Elève (6ème1)'!KW9:KY9,"B"))*3)+((COUNTIF('Elève (6ème1)'!KW9:KY9,"C"))*2)+((COUNTIF('Elève (6ème1)'!KW9:KY9,"D"))*1))/(COUNTA(KW9:KY9)),"")</f>
        <v/>
      </c>
      <c r="LA9" s="187" t="str">
        <f t="shared" si="72"/>
        <v/>
      </c>
      <c r="LB9" s="106"/>
      <c r="LC9" s="107"/>
      <c r="LD9" s="108" t="s">
        <v>24</v>
      </c>
      <c r="LE9" s="183">
        <f>IFERROR((((COUNTIF('Elève (6ème1)'!LB9:LD9,"A"))*4)+((COUNTIF('Elève (6ème1)'!LB9:LD9,"B"))*3)+((COUNTIF('Elève (6ème1)'!LB9:LD9,"C"))*2)+((COUNTIF('Elève (6ème1)'!LB9:LD9,"D"))*1))/(COUNTA(LB9:LD9)),"")</f>
        <v>3</v>
      </c>
      <c r="LF9" s="184" t="str">
        <f t="shared" si="73"/>
        <v>B</v>
      </c>
      <c r="LG9" s="106"/>
      <c r="LH9" s="107" t="s">
        <v>24</v>
      </c>
      <c r="LI9" s="108"/>
      <c r="LJ9" s="183">
        <f>IFERROR((((COUNTIF('Elève (6ème1)'!LG9:LI9,"A"))*4)+((COUNTIF('Elève (6ème1)'!LG9:LI9,"B"))*3)+((COUNTIF('Elève (6ème1)'!LG9:LI9,"C"))*2)+((COUNTIF('Elève (6ème1)'!LG9:LI9,"D"))*1))/(COUNTA(LG9:LI9)),"")</f>
        <v>3</v>
      </c>
      <c r="LK9" s="184" t="str">
        <f t="shared" si="74"/>
        <v>B</v>
      </c>
      <c r="LL9" s="183">
        <f>IF(COUNT(KZ9,LE9,LJ9)=0,"",SUM(KZ9,LE9,LJ9)/COUNT(KZ9,LE9,LJ9))</f>
        <v>3</v>
      </c>
      <c r="LM9" s="209" t="str">
        <f t="shared" si="75"/>
        <v>B</v>
      </c>
      <c r="LN9" s="112"/>
      <c r="LO9" s="107"/>
      <c r="LP9" s="108"/>
      <c r="LQ9" s="183" t="str">
        <f>IFERROR((((COUNTIF('Elève (6ème1)'!LN9:LP9,"A"))*4)+((COUNTIF('Elève (6ème1)'!LN9:LP9,"B"))*3)+((COUNTIF('Elève (6ème1)'!LN9:LP9,"C"))*2)+((COUNTIF('Elève (6ème1)'!LN9:LP9,"D"))*1))/(COUNTA(LN9:LP9)),"")</f>
        <v/>
      </c>
      <c r="LR9" s="187" t="str">
        <f t="shared" si="76"/>
        <v/>
      </c>
      <c r="LS9" s="106"/>
      <c r="LT9" s="107"/>
      <c r="LU9" s="108"/>
      <c r="LV9" s="183" t="str">
        <f>IFERROR((((COUNTIF('Elève (6ème1)'!LS9:LU9,"A"))*4)+((COUNTIF('Elève (6ème1)'!LS9:LU9,"B"))*3)+((COUNTIF('Elève (6ème1)'!LS9:LU9,"C"))*2)+((COUNTIF('Elève (6ème1)'!LS9:LU9,"D"))*1))/(COUNTA(LS9:LU9)),"")</f>
        <v/>
      </c>
      <c r="LW9" s="184" t="str">
        <f t="shared" si="77"/>
        <v/>
      </c>
      <c r="LX9" s="106"/>
      <c r="LY9" s="107" t="s">
        <v>24</v>
      </c>
      <c r="LZ9" s="108"/>
      <c r="MA9" s="183">
        <f>IFERROR((((COUNTIF('Elève (6ème1)'!LX9:LZ9,"A"))*4)+((COUNTIF('Elève (6ème1)'!LX9:LZ9,"B"))*3)+((COUNTIF('Elève (6ème1)'!LX9:LZ9,"C"))*2)+((COUNTIF('Elève (6ème1)'!LX9:LZ9,"D"))*1))/(COUNTA(LX9:LZ9)),"")</f>
        <v>3</v>
      </c>
      <c r="MB9" s="184" t="str">
        <f t="shared" si="78"/>
        <v>B</v>
      </c>
      <c r="MC9" s="183">
        <f>IF(COUNT(LQ9,LV9,MA9)=0,"",SUM(LQ9,LV9,MA9)/COUNT(LQ9,LV9,MA9))</f>
        <v>3</v>
      </c>
      <c r="MD9" s="209" t="str">
        <f t="shared" si="79"/>
        <v>B</v>
      </c>
      <c r="ME9" s="112"/>
      <c r="MF9" s="107"/>
      <c r="MG9" s="108"/>
      <c r="MH9" s="183" t="str">
        <f>IFERROR((((COUNTIF('Elève (6ème1)'!ME9:MG9,"A"))*4)+((COUNTIF('Elève (6ème1)'!ME9:MG9,"B"))*3)+((COUNTIF('Elève (6ème1)'!ME9:MG9,"C"))*2)+((COUNTIF('Elève (6ème1)'!ME9:MG9,"D"))*1))/(COUNTA(ME9:MG9)),"")</f>
        <v/>
      </c>
      <c r="MI9" s="187" t="str">
        <f t="shared" si="80"/>
        <v/>
      </c>
      <c r="MJ9" s="106"/>
      <c r="MK9" s="107"/>
      <c r="ML9" s="108" t="s">
        <v>24</v>
      </c>
      <c r="MM9" s="183">
        <f>IFERROR((((COUNTIF('Elève (6ème1)'!MJ9:ML9,"A"))*4)+((COUNTIF('Elève (6ème1)'!MJ9:ML9,"B"))*3)+((COUNTIF('Elève (6ème1)'!MJ9:ML9,"C"))*2)+((COUNTIF('Elève (6ème1)'!MJ9:ML9,"D"))*1))/(COUNTA(MJ9:ML9)),"")</f>
        <v>3</v>
      </c>
      <c r="MN9" s="184" t="str">
        <f t="shared" si="81"/>
        <v>B</v>
      </c>
      <c r="MO9" s="106"/>
      <c r="MP9" s="107" t="s">
        <v>24</v>
      </c>
      <c r="MQ9" s="108"/>
      <c r="MR9" s="183">
        <f>IFERROR((((COUNTIF('Elève (6ème1)'!MO9:MQ9,"A"))*4)+((COUNTIF('Elève (6ème1)'!MO9:MQ9,"B"))*3)+((COUNTIF('Elève (6ème1)'!MO9:MQ9,"C"))*2)+((COUNTIF('Elève (6ème1)'!MO9:MQ9,"D"))*1))/(COUNTA(MO9:MQ9)),"")</f>
        <v>3</v>
      </c>
      <c r="MS9" s="184" t="str">
        <f t="shared" si="82"/>
        <v>B</v>
      </c>
      <c r="MT9" s="183">
        <f>IF(COUNT(MH9,MM9,MR9)=0,"",SUM(MH9,MM9,MR9)/COUNT(MH9,MM9,MR9))</f>
        <v>3</v>
      </c>
      <c r="MU9" s="209" t="str">
        <f t="shared" si="83"/>
        <v>B</v>
      </c>
      <c r="MV9" s="112"/>
      <c r="MW9" s="107"/>
      <c r="MX9" s="108"/>
      <c r="MY9" s="183" t="str">
        <f>IFERROR((((COUNTIF('Elève (6ème1)'!MV9:MX9,"A"))*4)+((COUNTIF('Elève (6ème1)'!MV9:MX9,"B"))*3)+((COUNTIF('Elève (6ème1)'!MV9:MX9,"C"))*2)+((COUNTIF('Elève (6ème1)'!MV9:MX9,"D"))*1))/(COUNTA(MV9:MX9)),"")</f>
        <v/>
      </c>
      <c r="MZ9" s="187" t="str">
        <f t="shared" si="84"/>
        <v/>
      </c>
      <c r="NA9" s="106"/>
      <c r="NB9" s="107"/>
      <c r="NC9" s="108" t="s">
        <v>24</v>
      </c>
      <c r="ND9" s="183">
        <f>IFERROR((((COUNTIF('Elève (6ème1)'!NA9:NC9,"A"))*4)+((COUNTIF('Elève (6ème1)'!NA9:NC9,"B"))*3)+((COUNTIF('Elève (6ème1)'!NA9:NC9,"C"))*2)+((COUNTIF('Elève (6ème1)'!NA9:NC9,"D"))*1))/(COUNTA(NA9:NC9)),"")</f>
        <v>3</v>
      </c>
      <c r="NE9" s="184" t="str">
        <f t="shared" si="85"/>
        <v>B</v>
      </c>
      <c r="NF9" s="106"/>
      <c r="NG9" s="107" t="s">
        <v>24</v>
      </c>
      <c r="NH9" s="108"/>
      <c r="NI9" s="183">
        <f>IFERROR((((COUNTIF('Elève (6ème1)'!NF9:NH9,"A"))*4)+((COUNTIF('Elève (6ème1)'!NF9:NH9,"B"))*3)+((COUNTIF('Elève (6ème1)'!NF9:NH9,"C"))*2)+((COUNTIF('Elève (6ème1)'!NF9:NH9,"D"))*1))/(COUNTA(NF9:NH9)),"")</f>
        <v>3</v>
      </c>
      <c r="NJ9" s="184" t="str">
        <f t="shared" si="86"/>
        <v>B</v>
      </c>
      <c r="NK9" s="183">
        <f>IF(COUNT(MY9,ND9,NI9)=0,"",SUM(MY9,ND9,NI9)/COUNT(MY9,ND9,NI9))</f>
        <v>3</v>
      </c>
      <c r="NL9" s="209" t="str">
        <f t="shared" si="87"/>
        <v>B</v>
      </c>
      <c r="NM9" s="112"/>
      <c r="NN9" s="107"/>
      <c r="NO9" s="108"/>
      <c r="NP9" s="183" t="str">
        <f>IFERROR((((COUNTIF('Elève (6ème1)'!NM9:NO9,"A"))*4)+((COUNTIF('Elève (6ème1)'!NM9:NO9,"B"))*3)+((COUNTIF('Elève (6ème1)'!NM9:NO9,"C"))*2)+((COUNTIF('Elève (6ème1)'!NM9:NO9,"D"))*1))/(COUNTA(NM9:NO9)),"")</f>
        <v/>
      </c>
      <c r="NQ9" s="187" t="str">
        <f t="shared" si="88"/>
        <v/>
      </c>
      <c r="NR9" s="106"/>
      <c r="NS9" s="107"/>
      <c r="NT9" s="108" t="s">
        <v>24</v>
      </c>
      <c r="NU9" s="183">
        <f>IFERROR((((COUNTIF('Elève (6ème1)'!NR9:NT9,"A"))*4)+((COUNTIF('Elève (6ème1)'!NR9:NT9,"B"))*3)+((COUNTIF('Elève (6ème1)'!NR9:NT9,"C"))*2)+((COUNTIF('Elève (6ème1)'!NR9:NT9,"D"))*1))/(COUNTA(NR9:NT9)),"")</f>
        <v>3</v>
      </c>
      <c r="NV9" s="184" t="str">
        <f t="shared" si="89"/>
        <v>B</v>
      </c>
      <c r="NW9" s="106"/>
      <c r="NX9" s="107" t="s">
        <v>24</v>
      </c>
      <c r="NY9" s="108"/>
      <c r="NZ9" s="183">
        <f>IFERROR((((COUNTIF('Elève (6ème1)'!NW9:NY9,"A"))*4)+((COUNTIF('Elève (6ème1)'!NW9:NY9,"B"))*3)+((COUNTIF('Elève (6ème1)'!NW9:NY9,"C"))*2)+((COUNTIF('Elève (6ème1)'!NW9:NY9,"D"))*1))/(COUNTA(NW9:NY9)),"")</f>
        <v>3</v>
      </c>
      <c r="OA9" s="184" t="str">
        <f t="shared" si="90"/>
        <v>B</v>
      </c>
      <c r="OB9" s="183">
        <f>IF(COUNT(NP9,NU9,NZ9)=0,"",SUM(NP9,NU9,NZ9)/COUNT(NP9,NU9,NZ9))</f>
        <v>3</v>
      </c>
      <c r="OC9" s="209" t="str">
        <f t="shared" si="91"/>
        <v>B</v>
      </c>
      <c r="OD9" s="112"/>
      <c r="OE9" s="107"/>
      <c r="OF9" s="108"/>
      <c r="OG9" s="183" t="str">
        <f>IFERROR((((COUNTIF('Elève (6ème1)'!OD9:OF9,"A"))*4)+((COUNTIF('Elève (6ème1)'!OD9:OF9,"B"))*3)+((COUNTIF('Elève (6ème1)'!OD9:OF9,"C"))*2)+((COUNTIF('Elève (6ème1)'!OD9:OF9,"D"))*1))/(COUNTA(OD9:OF9)),"")</f>
        <v/>
      </c>
      <c r="OH9" s="187" t="str">
        <f t="shared" si="92"/>
        <v/>
      </c>
      <c r="OI9" s="106"/>
      <c r="OJ9" s="107"/>
      <c r="OK9" s="108" t="s">
        <v>24</v>
      </c>
      <c r="OL9" s="183">
        <f>IFERROR((((COUNTIF('Elève (6ème1)'!OI9:OK9,"A"))*4)+((COUNTIF('Elève (6ème1)'!OI9:OK9,"B"))*3)+((COUNTIF('Elève (6ème1)'!OI9:OK9,"C"))*2)+((COUNTIF('Elève (6ème1)'!OI9:OK9,"D"))*1))/(COUNTA(OI9:OK9)),"")</f>
        <v>3</v>
      </c>
      <c r="OM9" s="184" t="str">
        <f t="shared" si="93"/>
        <v>B</v>
      </c>
      <c r="ON9" s="106"/>
      <c r="OO9" s="107" t="s">
        <v>24</v>
      </c>
      <c r="OP9" s="108"/>
      <c r="OQ9" s="183">
        <f>IFERROR((((COUNTIF('Elève (6ème1)'!ON9:OP9,"A"))*4)+((COUNTIF('Elève (6ème1)'!ON9:OP9,"B"))*3)+((COUNTIF('Elève (6ème1)'!ON9:OP9,"C"))*2)+((COUNTIF('Elève (6ème1)'!ON9:OP9,"D"))*1))/(COUNTA(ON9:OP9)),"")</f>
        <v>3</v>
      </c>
      <c r="OR9" s="184" t="str">
        <f t="shared" si="94"/>
        <v>B</v>
      </c>
      <c r="OS9" s="183">
        <f>IF(COUNT(OG9,OL9,OQ9)=0,"",SUM(OG9,OL9,OQ9)/COUNT(OG9,OL9,OQ9))</f>
        <v>3</v>
      </c>
      <c r="OT9" s="209" t="str">
        <f t="shared" si="95"/>
        <v>B</v>
      </c>
      <c r="OU9" s="112"/>
      <c r="OV9" s="107"/>
      <c r="OW9" s="108"/>
      <c r="OX9" s="183" t="str">
        <f>IFERROR((((COUNTIF('Elève (6ème1)'!OU9:OW9,"A"))*4)+((COUNTIF('Elève (6ème1)'!OU9:OW9,"B"))*3)+((COUNTIF('Elève (6ème1)'!OU9:OW9,"C"))*2)+((COUNTIF('Elève (6ème1)'!OU9:OW9,"D"))*1))/(COUNTA(OU9:OW9)),"")</f>
        <v/>
      </c>
      <c r="OY9" s="187" t="str">
        <f t="shared" si="96"/>
        <v/>
      </c>
      <c r="OZ9" s="106"/>
      <c r="PA9" s="107"/>
      <c r="PB9" s="108"/>
      <c r="PC9" s="183" t="str">
        <f>IFERROR((((COUNTIF('Elève (6ème1)'!OZ9:PB9,"A"))*4)+((COUNTIF('Elève (6ème1)'!OZ9:PB9,"B"))*3)+((COUNTIF('Elève (6ème1)'!OZ9:PB9,"C"))*2)+((COUNTIF('Elève (6ème1)'!OZ9:PB9,"D"))*1))/(COUNTA(OZ9:PB9)),"")</f>
        <v/>
      </c>
      <c r="PD9" s="184" t="str">
        <f t="shared" si="97"/>
        <v/>
      </c>
      <c r="PE9" s="106"/>
      <c r="PF9" s="107"/>
      <c r="PG9" s="108"/>
      <c r="PH9" s="183" t="str">
        <f>IFERROR((((COUNTIF('Elève (6ème1)'!PE9:PG9,"A"))*4)+((COUNTIF('Elève (6ème1)'!PE9:PG9,"B"))*3)+((COUNTIF('Elève (6ème1)'!PE9:PG9,"C"))*2)+((COUNTIF('Elève (6ème1)'!PE9:PG9,"D"))*1))/(COUNTA(PE9:PG9)),"")</f>
        <v/>
      </c>
      <c r="PI9" s="184" t="str">
        <f t="shared" si="98"/>
        <v/>
      </c>
      <c r="PJ9" s="183" t="str">
        <f>IF(COUNT(OX9,PC9,PH9)=0,"",SUM(OX9,PC9,PH9)/COUNT(OX9,PC9,PH9))</f>
        <v/>
      </c>
      <c r="PK9" s="209" t="str">
        <f t="shared" si="99"/>
        <v/>
      </c>
      <c r="PL9" s="112"/>
      <c r="PM9" s="107"/>
      <c r="PN9" s="108"/>
      <c r="PO9" s="183" t="str">
        <f>IFERROR((((COUNTIF('Elève (6ème1)'!PL9:PN9,"A"))*4)+((COUNTIF('Elève (6ème1)'!PL9:PN9,"B"))*3)+((COUNTIF('Elève (6ème1)'!PL9:PN9,"C"))*2)+((COUNTIF('Elève (6ème1)'!PL9:PN9,"D"))*1))/(COUNTA(PL9:PN9)),"")</f>
        <v/>
      </c>
      <c r="PP9" s="187" t="str">
        <f t="shared" si="100"/>
        <v/>
      </c>
      <c r="PQ9" s="106"/>
      <c r="PR9" s="107"/>
      <c r="PS9" s="108" t="s">
        <v>24</v>
      </c>
      <c r="PT9" s="183">
        <f>IFERROR((((COUNTIF('Elève (6ème1)'!PQ9:PS9,"A"))*4)+((COUNTIF('Elève (6ème1)'!PQ9:PS9,"B"))*3)+((COUNTIF('Elève (6ème1)'!PQ9:PS9,"C"))*2)+((COUNTIF('Elève (6ème1)'!PQ9:PS9,"D"))*1))/(COUNTA(PQ9:PS9)),"")</f>
        <v>3</v>
      </c>
      <c r="PU9" s="184" t="str">
        <f t="shared" si="101"/>
        <v>B</v>
      </c>
      <c r="PV9" s="106"/>
      <c r="PW9" s="107" t="s">
        <v>24</v>
      </c>
      <c r="PX9" s="108"/>
      <c r="PY9" s="183">
        <f>IFERROR((((COUNTIF('Elève (6ème1)'!PV9:PX9,"A"))*4)+((COUNTIF('Elève (6ème1)'!PV9:PX9,"B"))*3)+((COUNTIF('Elève (6ème1)'!PV9:PX9,"C"))*2)+((COUNTIF('Elève (6ème1)'!PV9:PX9,"D"))*1))/(COUNTA(PV9:PX9)),"")</f>
        <v>3</v>
      </c>
      <c r="PZ9" s="184" t="str">
        <f t="shared" si="102"/>
        <v>B</v>
      </c>
      <c r="QA9" s="183">
        <f>IF(COUNT(PO9,PT9,PY9)=0,"",SUM(PO9,PT9,PY9)/COUNT(PO9,PT9,PY9))</f>
        <v>3</v>
      </c>
      <c r="QB9" s="209" t="str">
        <f t="shared" si="103"/>
        <v>B</v>
      </c>
      <c r="QC9" s="112"/>
      <c r="QD9" s="107"/>
      <c r="QE9" s="108"/>
      <c r="QF9" s="183" t="str">
        <f>IFERROR((((COUNTIF('Elève (6ème1)'!QC9:QE9,"A"))*4)+((COUNTIF('Elève (6ème1)'!QC9:QE9,"B"))*3)+((COUNTIF('Elève (6ème1)'!QC9:QE9,"C"))*2)+((COUNTIF('Elève (6ème1)'!QC9:QE9,"D"))*1))/(COUNTA(QC9:QE9)),"")</f>
        <v/>
      </c>
      <c r="QG9" s="187" t="str">
        <f t="shared" si="104"/>
        <v/>
      </c>
      <c r="QH9" s="106"/>
      <c r="QI9" s="107"/>
      <c r="QJ9" s="108"/>
      <c r="QK9" s="183" t="str">
        <f>IFERROR((((COUNTIF('Elève (6ème1)'!QH9:QJ9,"A"))*4)+((COUNTIF('Elève (6ème1)'!QH9:QJ9,"B"))*3)+((COUNTIF('Elève (6ème1)'!QH9:QJ9,"C"))*2)+((COUNTIF('Elève (6ème1)'!QH9:QJ9,"D"))*1))/(COUNTA(QH9:QJ9)),"")</f>
        <v/>
      </c>
      <c r="QL9" s="184" t="str">
        <f t="shared" si="105"/>
        <v/>
      </c>
      <c r="QM9" s="106"/>
      <c r="QN9" s="107" t="s">
        <v>24</v>
      </c>
      <c r="QO9" s="108"/>
      <c r="QP9" s="183">
        <f>IFERROR((((COUNTIF('Elève (6ème1)'!QM9:QO9,"A"))*4)+((COUNTIF('Elève (6ème1)'!QM9:QO9,"B"))*3)+((COUNTIF('Elève (6ème1)'!QM9:QO9,"C"))*2)+((COUNTIF('Elève (6ème1)'!QM9:QO9,"D"))*1))/(COUNTA(QM9:QO9)),"")</f>
        <v>3</v>
      </c>
      <c r="QQ9" s="184" t="str">
        <f t="shared" si="106"/>
        <v>B</v>
      </c>
      <c r="QR9" s="183">
        <f>IF(COUNT(QF9,QK9,QP9)=0,"",SUM(QF9,QK9,QP9)/COUNT(QF9,QK9,QP9))</f>
        <v>3</v>
      </c>
      <c r="QS9" s="209" t="str">
        <f t="shared" si="107"/>
        <v>B</v>
      </c>
      <c r="QT9" s="112"/>
      <c r="QU9" s="107"/>
      <c r="QV9" s="108"/>
      <c r="QW9" s="183" t="str">
        <f>IFERROR((((COUNTIF('Elève (6ème1)'!QT9:QV9,"A"))*4)+((COUNTIF('Elève (6ème1)'!QT9:QV9,"B"))*3)+((COUNTIF('Elève (6ème1)'!QT9:QV9,"C"))*2)+((COUNTIF('Elève (6ème1)'!QT9:QV9,"D"))*1))/(COUNTA(QT9:QV9)),"")</f>
        <v/>
      </c>
      <c r="QX9" s="187" t="str">
        <f t="shared" si="108"/>
        <v/>
      </c>
      <c r="QY9" s="106"/>
      <c r="QZ9" s="107"/>
      <c r="RA9" s="108"/>
      <c r="RB9" s="183" t="str">
        <f>IFERROR((((COUNTIF('Elève (6ème1)'!QY9:RA9,"A"))*4)+((COUNTIF('Elève (6ème1)'!QY9:RA9,"B"))*3)+((COUNTIF('Elève (6ème1)'!QY9:RA9,"C"))*2)+((COUNTIF('Elève (6ème1)'!QY9:RA9,"D"))*1))/(COUNTA(QY9:RA9)),"")</f>
        <v/>
      </c>
      <c r="RC9" s="184" t="str">
        <f t="shared" si="109"/>
        <v/>
      </c>
      <c r="RD9" s="106"/>
      <c r="RE9" s="107"/>
      <c r="RF9" s="108"/>
      <c r="RG9" s="183" t="str">
        <f>IFERROR((((COUNTIF('Elève (6ème1)'!RD9:RF9,"A"))*4)+((COUNTIF('Elève (6ème1)'!RD9:RF9,"B"))*3)+((COUNTIF('Elève (6ème1)'!RD9:RF9,"C"))*2)+((COUNTIF('Elève (6ème1)'!RD9:RF9,"D"))*1))/(COUNTA(RD9:RF9)),"")</f>
        <v/>
      </c>
      <c r="RH9" s="184" t="str">
        <f t="shared" si="110"/>
        <v/>
      </c>
      <c r="RI9" s="183" t="str">
        <f>IF(COUNT(QW9,RB9,RG9)=0,"",SUM(QW9,RB9,RG9)/COUNT(QW9,RB9,RG9))</f>
        <v/>
      </c>
      <c r="RJ9" s="209" t="str">
        <f t="shared" si="111"/>
        <v/>
      </c>
      <c r="RK9" s="112"/>
      <c r="RL9" s="107"/>
      <c r="RM9" s="108"/>
      <c r="RN9" s="183" t="str">
        <f>IFERROR((((COUNTIF('Elève (6ème1)'!RK9:RM9,"A"))*4)+((COUNTIF('Elève (6ème1)'!RK9:RM9,"B"))*3)+((COUNTIF('Elève (6ème1)'!RK9:RM9,"C"))*2)+((COUNTIF('Elève (6ème1)'!RK9:RM9,"D"))*1))/(COUNTA(RK9:RM9)),"")</f>
        <v/>
      </c>
      <c r="RO9" s="187" t="str">
        <f t="shared" si="112"/>
        <v/>
      </c>
      <c r="RP9" s="106"/>
      <c r="RQ9" s="107"/>
      <c r="RR9" s="108"/>
      <c r="RS9" s="183" t="str">
        <f>IFERROR((((COUNTIF('Elève (6ème1)'!RP9:RR9,"A"))*4)+((COUNTIF('Elève (6ème1)'!RP9:RR9,"B"))*3)+((COUNTIF('Elève (6ème1)'!RP9:RR9,"C"))*2)+((COUNTIF('Elève (6ème1)'!RP9:RR9,"D"))*1))/(COUNTA(RP9:RR9)),"")</f>
        <v/>
      </c>
      <c r="RT9" s="184" t="str">
        <f t="shared" si="113"/>
        <v/>
      </c>
      <c r="RU9" s="106"/>
      <c r="RV9" s="107" t="s">
        <v>24</v>
      </c>
      <c r="RW9" s="108"/>
      <c r="RX9" s="183">
        <f>IFERROR((((COUNTIF('Elève (6ème1)'!RU9:RW9,"A"))*4)+((COUNTIF('Elève (6ème1)'!RU9:RW9,"B"))*3)+((COUNTIF('Elève (6ème1)'!RU9:RW9,"C"))*2)+((COUNTIF('Elève (6ème1)'!RU9:RW9,"D"))*1))/(COUNTA(RU9:RW9)),"")</f>
        <v>3</v>
      </c>
      <c r="RY9" s="184" t="str">
        <f t="shared" si="114"/>
        <v>B</v>
      </c>
      <c r="RZ9" s="183">
        <f>IF(COUNT(RN9,RS9,RX9)=0,"",SUM(RN9,RS9,RX9)/COUNT(RN9,RS9,RX9))</f>
        <v>3</v>
      </c>
      <c r="SA9" s="209" t="str">
        <f t="shared" si="115"/>
        <v>B</v>
      </c>
      <c r="SB9" s="112"/>
      <c r="SC9" s="107"/>
      <c r="SD9" s="108"/>
      <c r="SE9" s="183" t="str">
        <f>IFERROR((((COUNTIF('Elève (6ème1)'!SB9:SD9,"A"))*4)+((COUNTIF('Elève (6ème1)'!SB9:SD9,"B"))*3)+((COUNTIF('Elève (6ème1)'!SB9:SD9,"C"))*2)+((COUNTIF('Elève (6ème1)'!SB9:SD9,"D"))*1))/(COUNTA(SB9:SD9)),"")</f>
        <v/>
      </c>
      <c r="SF9" s="187" t="str">
        <f t="shared" si="116"/>
        <v/>
      </c>
      <c r="SG9" s="106"/>
      <c r="SH9" s="107"/>
      <c r="SI9" s="108"/>
      <c r="SJ9" s="183" t="str">
        <f>IFERROR((((COUNTIF('Elève (6ème1)'!SG9:SI9,"A"))*4)+((COUNTIF('Elève (6ème1)'!SG9:SI9,"B"))*3)+((COUNTIF('Elève (6ème1)'!SG9:SI9,"C"))*2)+((COUNTIF('Elève (6ème1)'!SG9:SI9,"D"))*1))/(COUNTA(SG9:SI9)),"")</f>
        <v/>
      </c>
      <c r="SK9" s="184" t="str">
        <f t="shared" si="117"/>
        <v/>
      </c>
      <c r="SL9" s="106"/>
      <c r="SM9" s="107"/>
      <c r="SN9" s="108"/>
      <c r="SO9" s="183" t="str">
        <f>IFERROR((((COUNTIF('Elève (6ème1)'!SL9:SN9,"A"))*4)+((COUNTIF('Elève (6ème1)'!SL9:SN9,"B"))*3)+((COUNTIF('Elève (6ème1)'!SL9:SN9,"C"))*2)+((COUNTIF('Elève (6ème1)'!SL9:SN9,"D"))*1))/(COUNTA(SL9:SN9)),"")</f>
        <v/>
      </c>
      <c r="SP9" s="184" t="str">
        <f t="shared" si="118"/>
        <v/>
      </c>
      <c r="SQ9" s="183" t="str">
        <f>IF(COUNT(SE9,SJ9,SO9)=0,"",SUM(SE9,SJ9,SO9)/COUNT(SE9,SJ9,SO9))</f>
        <v/>
      </c>
      <c r="SR9" s="209" t="str">
        <f t="shared" si="119"/>
        <v/>
      </c>
      <c r="SS9" s="112"/>
      <c r="ST9" s="107"/>
      <c r="SU9" s="108"/>
      <c r="SV9" s="183" t="str">
        <f>IFERROR((((COUNTIF('Elève (6ème1)'!SS9:SU9,"A"))*4)+((COUNTIF('Elève (6ème1)'!SS9:SU9,"B"))*3)+((COUNTIF('Elève (6ème1)'!SS9:SU9,"C"))*2)+((COUNTIF('Elève (6ème1)'!SS9:SU9,"D"))*1))/(COUNTA(SS9:SU9)),"")</f>
        <v/>
      </c>
      <c r="SW9" s="187" t="str">
        <f t="shared" si="120"/>
        <v/>
      </c>
      <c r="SX9" s="106"/>
      <c r="SY9" s="107"/>
      <c r="SZ9" s="108" t="s">
        <v>24</v>
      </c>
      <c r="TA9" s="183">
        <f>IFERROR((((COUNTIF('Elève (6ème1)'!SX9:SZ9,"A"))*4)+((COUNTIF('Elève (6ème1)'!SX9:SZ9,"B"))*3)+((COUNTIF('Elève (6ème1)'!SX9:SZ9,"C"))*2)+((COUNTIF('Elève (6ème1)'!SX9:SZ9,"D"))*1))/(COUNTA(SX9:SZ9)),"")</f>
        <v>3</v>
      </c>
      <c r="TB9" s="184" t="str">
        <f t="shared" si="121"/>
        <v>B</v>
      </c>
      <c r="TC9" s="106"/>
      <c r="TD9" s="107" t="s">
        <v>24</v>
      </c>
      <c r="TE9" s="108"/>
      <c r="TF9" s="183">
        <f>IFERROR((((COUNTIF('Elève (6ème1)'!TC9:TE9,"A"))*4)+((COUNTIF('Elève (6ème1)'!TC9:TE9,"B"))*3)+((COUNTIF('Elève (6ème1)'!TC9:TE9,"C"))*2)+((COUNTIF('Elève (6ème1)'!TC9:TE9,"D"))*1))/(COUNTA(TC9:TE9)),"")</f>
        <v>3</v>
      </c>
      <c r="TG9" s="184" t="str">
        <f t="shared" si="122"/>
        <v>B</v>
      </c>
      <c r="TH9" s="183">
        <f>IF(COUNT(SV9,TA9,TF9)=0,"",SUM(SV9,TA9,TF9)/COUNT(SV9,TA9,TF9))</f>
        <v>3</v>
      </c>
      <c r="TI9" s="209" t="str">
        <f t="shared" si="123"/>
        <v>B</v>
      </c>
      <c r="TJ9" s="112"/>
      <c r="TK9" s="107"/>
      <c r="TL9" s="108"/>
      <c r="TM9" s="183" t="str">
        <f>IFERROR((((COUNTIF('Elève (6ème1)'!TJ9:TL9,"A"))*4)+((COUNTIF('Elève (6ème1)'!TJ9:TL9,"B"))*3)+((COUNTIF('Elève (6ème1)'!TJ9:TL9,"C"))*2)+((COUNTIF('Elève (6ème1)'!TJ9:TL9,"D"))*1))/(COUNTA(TJ9:TL9)),"")</f>
        <v/>
      </c>
      <c r="TN9" s="187" t="str">
        <f t="shared" si="124"/>
        <v/>
      </c>
      <c r="TO9" s="106"/>
      <c r="TP9" s="107"/>
      <c r="TQ9" s="108" t="s">
        <v>24</v>
      </c>
      <c r="TR9" s="183">
        <f>IFERROR((((COUNTIF('Elève (6ème1)'!TO9:TQ9,"A"))*4)+((COUNTIF('Elève (6ème1)'!TO9:TQ9,"B"))*3)+((COUNTIF('Elève (6ème1)'!TO9:TQ9,"C"))*2)+((COUNTIF('Elève (6ème1)'!TO9:TQ9,"D"))*1))/(COUNTA(TO9:TQ9)),"")</f>
        <v>3</v>
      </c>
      <c r="TS9" s="184" t="str">
        <f t="shared" si="125"/>
        <v>B</v>
      </c>
      <c r="TT9" s="106"/>
      <c r="TU9" s="107" t="s">
        <v>24</v>
      </c>
      <c r="TV9" s="108"/>
      <c r="TW9" s="183">
        <f>IFERROR((((COUNTIF('Elève (6ème1)'!TT9:TV9,"A"))*4)+((COUNTIF('Elève (6ème1)'!TT9:TV9,"B"))*3)+((COUNTIF('Elève (6ème1)'!TT9:TV9,"C"))*2)+((COUNTIF('Elève (6ème1)'!TT9:TV9,"D"))*1))/(COUNTA(TT9:TV9)),"")</f>
        <v>3</v>
      </c>
      <c r="TX9" s="184" t="str">
        <f t="shared" si="126"/>
        <v>B</v>
      </c>
      <c r="TY9" s="183">
        <f>IF(COUNT(TM9,TR9,TW9)=0,"",SUM(TM9,TR9,TW9)/COUNT(TM9,TR9,TW9))</f>
        <v>3</v>
      </c>
      <c r="TZ9" s="209" t="str">
        <f t="shared" si="127"/>
        <v>B</v>
      </c>
    </row>
    <row r="10" spans="1:546" x14ac:dyDescent="0.25">
      <c r="A10" s="163" t="s">
        <v>37</v>
      </c>
      <c r="B10" s="119"/>
      <c r="C10" s="172"/>
      <c r="D10" s="107"/>
      <c r="E10" s="108"/>
      <c r="F10" s="183" t="str">
        <f>IFERROR((((COUNTIF('Elève (6ème1)'!C10:E10,"A"))*4)+((COUNTIF('Elève (6ème1)'!C10:E10,"B"))*3)+((COUNTIF('Elève (6ème1)'!C10:E10,"C"))*2)+((COUNTIF('Elève (6ème1)'!C10:E10,"D"))*1))/(COUNTA(C10:E10)),"")</f>
        <v/>
      </c>
      <c r="G10" s="187" t="str">
        <f t="shared" si="0"/>
        <v/>
      </c>
      <c r="H10" s="172"/>
      <c r="I10" s="107"/>
      <c r="J10" s="108"/>
      <c r="K10" s="183" t="str">
        <f>IFERROR((((COUNTIF('Elève (6ème1)'!H10:J10,"A"))*4)+((COUNTIF('Elève (6ème1)'!H10:J10,"B"))*3)+((COUNTIF('Elève (6ème1)'!H10:J10,"C"))*2)+((COUNTIF('Elève (6ème1)'!H10:J10,"D"))*1))/(COUNTA(H10:J10)),"")</f>
        <v/>
      </c>
      <c r="L10" s="184" t="str">
        <f t="shared" si="1"/>
        <v/>
      </c>
      <c r="M10" s="172"/>
      <c r="N10" s="107"/>
      <c r="O10" s="108" t="s">
        <v>24</v>
      </c>
      <c r="P10" s="183">
        <f>IFERROR((((COUNTIF('Elève (6ème1)'!M10:O10,"A"))*4)+((COUNTIF('Elève (6ème1)'!M10:O10,"B"))*3)+((COUNTIF('Elève (6ème1)'!M10:O10,"C"))*2)+((COUNTIF('Elève (6ème1)'!M10:O10,"D"))*1))/(COUNTA(M10:O10)),"")</f>
        <v>3</v>
      </c>
      <c r="Q10" s="184" t="str">
        <f t="shared" si="2"/>
        <v>B</v>
      </c>
      <c r="R10" s="183">
        <f>IF(COUNT(F10,K10,P10)=0,"",SUM(F10,K10,P10)/COUNT(F10,K10,P10))</f>
        <v>3</v>
      </c>
      <c r="S10" s="209" t="str">
        <f t="shared" si="3"/>
        <v>B</v>
      </c>
      <c r="T10" s="217"/>
      <c r="U10" s="107"/>
      <c r="V10" s="108"/>
      <c r="W10" s="183" t="str">
        <f>IFERROR((((COUNTIF('Elève (6ème1)'!T10:V10,"A"))*4)+((COUNTIF('Elève (6ème1)'!T10:V10,"B"))*3)+((COUNTIF('Elève (6ème1)'!T10:V10,"C"))*2)+((COUNTIF('Elève (6ème1)'!T10:V10,"D"))*1))/(COUNTA(T10:V10)),"")</f>
        <v/>
      </c>
      <c r="X10" s="187" t="str">
        <f t="shared" si="4"/>
        <v/>
      </c>
      <c r="Y10" s="172"/>
      <c r="Z10" s="107"/>
      <c r="AA10" s="108"/>
      <c r="AB10" s="183" t="str">
        <f>IFERROR((((COUNTIF('Elève (6ème1)'!Y10:AA10,"A"))*4)+((COUNTIF('Elève (6ème1)'!Y10:AA10,"B"))*3)+((COUNTIF('Elève (6ème1)'!Y10:AA10,"C"))*2)+((COUNTIF('Elève (6ème1)'!Y10:AA10,"D"))*1))/(COUNTA(Y10:AA10)),"")</f>
        <v/>
      </c>
      <c r="AC10" s="184" t="str">
        <f t="shared" si="5"/>
        <v/>
      </c>
      <c r="AD10" s="172"/>
      <c r="AE10" s="107"/>
      <c r="AF10" s="108" t="s">
        <v>23</v>
      </c>
      <c r="AG10" s="183">
        <f>IFERROR((((COUNTIF('Elève (6ème1)'!AD10:AF10,"A"))*4)+((COUNTIF('Elève (6ème1)'!AD10:AF10,"B"))*3)+((COUNTIF('Elève (6ème1)'!AD10:AF10,"C"))*2)+((COUNTIF('Elève (6ème1)'!AD10:AF10,"D"))*1))/(COUNTA(AD10:AF10)),"")</f>
        <v>4</v>
      </c>
      <c r="AH10" s="184" t="str">
        <f t="shared" si="6"/>
        <v>A</v>
      </c>
      <c r="AI10" s="183">
        <f>IF(COUNT(W10,AB10,AG10)=0,"",SUM(W10,AB10,AG10)/COUNT(W10,AB10,AG10))</f>
        <v>4</v>
      </c>
      <c r="AJ10" s="209" t="str">
        <f t="shared" si="7"/>
        <v>A</v>
      </c>
      <c r="AK10" s="217"/>
      <c r="AL10" s="107"/>
      <c r="AM10" s="108"/>
      <c r="AN10" s="183" t="str">
        <f>IFERROR((((COUNTIF('Elève (6ème1)'!AK10:AM10,"A"))*4)+((COUNTIF('Elève (6ème1)'!AK10:AM10,"B"))*3)+((COUNTIF('Elève (6ème1)'!AK10:AM10,"C"))*2)+((COUNTIF('Elève (6ème1)'!AK10:AM10,"D"))*1))/(COUNTA(AK10:AM10)),"")</f>
        <v/>
      </c>
      <c r="AO10" s="187" t="str">
        <f t="shared" si="8"/>
        <v/>
      </c>
      <c r="AP10" s="172"/>
      <c r="AQ10" s="107"/>
      <c r="AR10" s="108"/>
      <c r="AS10" s="183" t="str">
        <f>IFERROR((((COUNTIF('Elève (6ème1)'!AP10:AR10,"A"))*4)+((COUNTIF('Elève (6ème1)'!AP10:AR10,"B"))*3)+((COUNTIF('Elève (6ème1)'!AP10:AR10,"C"))*2)+((COUNTIF('Elève (6ème1)'!AP10:AR10,"D"))*1))/(COUNTA(AP10:AR10)),"")</f>
        <v/>
      </c>
      <c r="AT10" s="184" t="str">
        <f t="shared" si="9"/>
        <v/>
      </c>
      <c r="AU10" s="172"/>
      <c r="AV10" s="107"/>
      <c r="AW10" s="108" t="s">
        <v>24</v>
      </c>
      <c r="AX10" s="183">
        <f>IFERROR((((COUNTIF('Elève (6ème1)'!AU10:AW10,"A"))*4)+((COUNTIF('Elève (6ème1)'!AU10:AW10,"B"))*3)+((COUNTIF('Elève (6ème1)'!AU10:AW10,"C"))*2)+((COUNTIF('Elève (6ème1)'!AU10:AW10,"D"))*1))/(COUNTA(AU10:AW10)),"")</f>
        <v>3</v>
      </c>
      <c r="AY10" s="184" t="str">
        <f t="shared" si="10"/>
        <v>B</v>
      </c>
      <c r="AZ10" s="183">
        <f>IF(COUNT(AN10,AS10,AX10)=0,"",SUM(AN10,AS10,AX10)/COUNT(AN10,AS10,AX10))</f>
        <v>3</v>
      </c>
      <c r="BA10" s="209" t="str">
        <f t="shared" si="11"/>
        <v>B</v>
      </c>
      <c r="BB10" s="217"/>
      <c r="BC10" s="107"/>
      <c r="BD10" s="108"/>
      <c r="BE10" s="183" t="str">
        <f>IFERROR((((COUNTIF('Elève (6ème1)'!BB10:BD10,"A"))*4)+((COUNTIF('Elève (6ème1)'!BB10:BD10,"B"))*3)+((COUNTIF('Elève (6ème1)'!BB10:BD10,"C"))*2)+((COUNTIF('Elève (6ème1)'!BB10:BD10,"D"))*1))/(COUNTA(BB10:BD10)),"")</f>
        <v/>
      </c>
      <c r="BF10" s="187" t="str">
        <f t="shared" si="12"/>
        <v/>
      </c>
      <c r="BG10" s="172"/>
      <c r="BH10" s="107"/>
      <c r="BI10" s="108"/>
      <c r="BJ10" s="183" t="str">
        <f>IFERROR((((COUNTIF('Elève (6ème1)'!BG10:BI10,"A"))*4)+((COUNTIF('Elève (6ème1)'!BG10:BI10,"B"))*3)+((COUNTIF('Elève (6ème1)'!BG10:BI10,"C"))*2)+((COUNTIF('Elève (6ème1)'!BG10:BI10,"D"))*1))/(COUNTA(BG10:BI10)),"")</f>
        <v/>
      </c>
      <c r="BK10" s="184" t="str">
        <f t="shared" si="13"/>
        <v/>
      </c>
      <c r="BL10" s="172"/>
      <c r="BM10" s="107"/>
      <c r="BN10" s="108" t="s">
        <v>24</v>
      </c>
      <c r="BO10" s="183">
        <f>IFERROR((((COUNTIF('Elève (6ème1)'!BL10:BN10,"A"))*4)+((COUNTIF('Elève (6ème1)'!BL10:BN10,"B"))*3)+((COUNTIF('Elève (6ème1)'!BL10:BN10,"C"))*2)+((COUNTIF('Elève (6ème1)'!BL10:BN10,"D"))*1))/(COUNTA(BL10:BN10)),"")</f>
        <v>3</v>
      </c>
      <c r="BP10" s="184" t="str">
        <f t="shared" si="14"/>
        <v>B</v>
      </c>
      <c r="BQ10" s="183">
        <f>IF(COUNT(BE10,BJ10,BO10)=0,"",SUM(BE10,BJ10,BO10)/COUNT(BE10,BJ10,BO10))</f>
        <v>3</v>
      </c>
      <c r="BR10" s="209" t="str">
        <f t="shared" si="15"/>
        <v>B</v>
      </c>
      <c r="BS10" s="217"/>
      <c r="BT10" s="107"/>
      <c r="BU10" s="108"/>
      <c r="BV10" s="183" t="str">
        <f>IFERROR((((COUNTIF('Elève (6ème1)'!BS10:BU10,"A"))*4)+((COUNTIF('Elève (6ème1)'!BS10:BU10,"B"))*3)+((COUNTIF('Elève (6ème1)'!BS10:BU10,"C"))*2)+((COUNTIF('Elève (6ème1)'!BS10:BU10,"D"))*1))/(COUNTA(BS10:BU10)),"")</f>
        <v/>
      </c>
      <c r="BW10" s="187" t="str">
        <f t="shared" si="16"/>
        <v/>
      </c>
      <c r="BX10" s="172"/>
      <c r="BY10" s="107"/>
      <c r="BZ10" s="108"/>
      <c r="CA10" s="183" t="str">
        <f>IFERROR((((COUNTIF('Elève (6ème1)'!BX10:BZ10,"A"))*4)+((COUNTIF('Elève (6ème1)'!BX10:BZ10,"B"))*3)+((COUNTIF('Elève (6ème1)'!BX10:BZ10,"C"))*2)+((COUNTIF('Elève (6ème1)'!BX10:BZ10,"D"))*1))/(COUNTA(BX10:BZ10)),"")</f>
        <v/>
      </c>
      <c r="CB10" s="184" t="str">
        <f t="shared" si="17"/>
        <v/>
      </c>
      <c r="CC10" s="172"/>
      <c r="CD10" s="107"/>
      <c r="CE10" s="108" t="s">
        <v>24</v>
      </c>
      <c r="CF10" s="183">
        <f>IFERROR((((COUNTIF('Elève (6ème1)'!CC10:CE10,"A"))*4)+((COUNTIF('Elève (6ème1)'!CC10:CE10,"B"))*3)+((COUNTIF('Elève (6ème1)'!CC10:CE10,"C"))*2)+((COUNTIF('Elève (6ème1)'!CC10:CE10,"D"))*1))/(COUNTA(CC10:CE10)),"")</f>
        <v>3</v>
      </c>
      <c r="CG10" s="184" t="str">
        <f t="shared" si="18"/>
        <v>B</v>
      </c>
      <c r="CH10" s="183">
        <f>IF(COUNT(BV10,CA10,CF10)=0,"",SUM(BV10,CA10,CF10)/COUNT(BV10,CA10,CF10))</f>
        <v>3</v>
      </c>
      <c r="CI10" s="209" t="str">
        <f t="shared" si="19"/>
        <v>B</v>
      </c>
      <c r="CJ10" s="217"/>
      <c r="CK10" s="107"/>
      <c r="CL10" s="108"/>
      <c r="CM10" s="183" t="str">
        <f>IFERROR((((COUNTIF('Elève (6ème1)'!CJ10:CL10,"A"))*4)+((COUNTIF('Elève (6ème1)'!CJ10:CL10,"B"))*3)+((COUNTIF('Elève (6ème1)'!CJ10:CL10,"C"))*2)+((COUNTIF('Elève (6ème1)'!CJ10:CL10,"D"))*1))/(COUNTA(CJ10:CL10)),"")</f>
        <v/>
      </c>
      <c r="CN10" s="187" t="str">
        <f t="shared" si="20"/>
        <v/>
      </c>
      <c r="CO10" s="172"/>
      <c r="CP10" s="107"/>
      <c r="CQ10" s="108"/>
      <c r="CR10" s="183" t="str">
        <f>IFERROR((((COUNTIF('Elève (6ème1)'!CO10:CQ10,"A"))*4)+((COUNTIF('Elève (6ème1)'!CO10:CQ10,"B"))*3)+((COUNTIF('Elève (6ème1)'!CO10:CQ10,"C"))*2)+((COUNTIF('Elève (6ème1)'!CO10:CQ10,"D"))*1))/(COUNTA(CO10:CQ10)),"")</f>
        <v/>
      </c>
      <c r="CS10" s="184" t="str">
        <f t="shared" si="21"/>
        <v/>
      </c>
      <c r="CT10" s="172"/>
      <c r="CU10" s="107"/>
      <c r="CV10" s="108"/>
      <c r="CW10" s="183" t="str">
        <f>IFERROR((((COUNTIF('Elève (6ème1)'!CT10:CV10,"A"))*4)+((COUNTIF('Elève (6ème1)'!CT10:CV10,"B"))*3)+((COUNTIF('Elève (6ème1)'!CT10:CV10,"C"))*2)+((COUNTIF('Elève (6ème1)'!CT10:CV10,"D"))*1))/(COUNTA(CT10:CV10)),"")</f>
        <v/>
      </c>
      <c r="CX10" s="184" t="str">
        <f t="shared" si="22"/>
        <v/>
      </c>
      <c r="CY10" s="183" t="str">
        <f>IF(COUNT(CM10,CR10,CW10)=0,"",SUM(CM10,CR10,CW10)/COUNT(CM10,CR10,CW10))</f>
        <v/>
      </c>
      <c r="CZ10" s="209" t="str">
        <f t="shared" si="23"/>
        <v/>
      </c>
      <c r="DA10" s="217"/>
      <c r="DB10" s="107"/>
      <c r="DC10" s="108"/>
      <c r="DD10" s="183" t="str">
        <f>IFERROR((((COUNTIF('Elève (6ème1)'!DA10:DC10,"A"))*4)+((COUNTIF('Elève (6ème1)'!DA10:DC10,"B"))*3)+((COUNTIF('Elève (6ème1)'!DA10:DC10,"C"))*2)+((COUNTIF('Elève (6ème1)'!DA10:DC10,"D"))*1))/(COUNTA(DA10:DC10)),"")</f>
        <v/>
      </c>
      <c r="DE10" s="187" t="str">
        <f t="shared" si="24"/>
        <v/>
      </c>
      <c r="DF10" s="172"/>
      <c r="DG10" s="107"/>
      <c r="DH10" s="108"/>
      <c r="DI10" s="183" t="str">
        <f>IFERROR((((COUNTIF('Elève (6ème1)'!DF10:DH10,"A"))*4)+((COUNTIF('Elève (6ème1)'!DF10:DH10,"B"))*3)+((COUNTIF('Elève (6ème1)'!DF10:DH10,"C"))*2)+((COUNTIF('Elève (6ème1)'!DF10:DH10,"D"))*1))/(COUNTA(DF10:DH10)),"")</f>
        <v/>
      </c>
      <c r="DJ10" s="184" t="str">
        <f t="shared" si="25"/>
        <v/>
      </c>
      <c r="DK10" s="172"/>
      <c r="DL10" s="107"/>
      <c r="DM10" s="108" t="s">
        <v>24</v>
      </c>
      <c r="DN10" s="183">
        <f>IFERROR((((COUNTIF('Elève (6ème1)'!DK10:DM10,"A"))*4)+((COUNTIF('Elève (6ème1)'!DK10:DM10,"B"))*3)+((COUNTIF('Elève (6ème1)'!DK10:DM10,"C"))*2)+((COUNTIF('Elève (6ème1)'!DK10:DM10,"D"))*1))/(COUNTA(DK10:DM10)),"")</f>
        <v>3</v>
      </c>
      <c r="DO10" s="184" t="str">
        <f t="shared" si="26"/>
        <v>B</v>
      </c>
      <c r="DP10" s="183">
        <f>IF(COUNT(DD10,DI10,DN10)=0,"",SUM(DD10,DI10,DN10)/COUNT(DD10,DI10,DN10))</f>
        <v>3</v>
      </c>
      <c r="DQ10" s="209" t="str">
        <f t="shared" si="27"/>
        <v>B</v>
      </c>
      <c r="DR10" s="217"/>
      <c r="DS10" s="107"/>
      <c r="DT10" s="108"/>
      <c r="DU10" s="183" t="str">
        <f>IFERROR((((COUNTIF('Elève (6ème1)'!DR10:DT10,"A"))*4)+((COUNTIF('Elève (6ème1)'!DR10:DT10,"B"))*3)+((COUNTIF('Elève (6ème1)'!DR10:DT10,"C"))*2)+((COUNTIF('Elève (6ème1)'!DR10:DT10,"D"))*1))/(COUNTA(DR10:DT10)),"")</f>
        <v/>
      </c>
      <c r="DV10" s="187" t="str">
        <f t="shared" si="28"/>
        <v/>
      </c>
      <c r="DW10" s="172"/>
      <c r="DX10" s="107"/>
      <c r="DY10" s="108"/>
      <c r="DZ10" s="183" t="str">
        <f>IFERROR((((COUNTIF('Elève (6ème1)'!DW10:DY10,"A"))*4)+((COUNTIF('Elève (6ème1)'!DW10:DY10,"B"))*3)+((COUNTIF('Elève (6ème1)'!DW10:DY10,"C"))*2)+((COUNTIF('Elève (6ème1)'!DW10:DY10,"D"))*1))/(COUNTA(DW10:DY10)),"")</f>
        <v/>
      </c>
      <c r="EA10" s="184" t="str">
        <f t="shared" si="29"/>
        <v/>
      </c>
      <c r="EB10" s="172"/>
      <c r="EC10" s="107"/>
      <c r="ED10" s="108" t="s">
        <v>24</v>
      </c>
      <c r="EE10" s="183">
        <f>IFERROR((((COUNTIF('Elève (6ème1)'!EB10:ED10,"A"))*4)+((COUNTIF('Elève (6ème1)'!EB10:ED10,"B"))*3)+((COUNTIF('Elève (6ème1)'!EB10:ED10,"C"))*2)+((COUNTIF('Elève (6ème1)'!EB10:ED10,"D"))*1))/(COUNTA(EB10:ED10)),"")</f>
        <v>3</v>
      </c>
      <c r="EF10" s="184" t="str">
        <f t="shared" si="30"/>
        <v>B</v>
      </c>
      <c r="EG10" s="183">
        <f>IF(COUNT(DU10,DZ10,EE10)=0,"",SUM(DU10,DZ10,EE10)/COUNT(DU10,DZ10,EE10))</f>
        <v>3</v>
      </c>
      <c r="EH10" s="209" t="str">
        <f t="shared" si="31"/>
        <v>B</v>
      </c>
      <c r="EI10" s="217"/>
      <c r="EJ10" s="107"/>
      <c r="EK10" s="108"/>
      <c r="EL10" s="183" t="str">
        <f>IFERROR((((COUNTIF('Elève (6ème1)'!EI10:EK10,"A"))*4)+((COUNTIF('Elève (6ème1)'!EI10:EK10,"B"))*3)+((COUNTIF('Elève (6ème1)'!EI10:EK10,"C"))*2)+((COUNTIF('Elève (6ème1)'!EI10:EK10,"D"))*1))/(COUNTA(EI10:EK10)),"")</f>
        <v/>
      </c>
      <c r="EM10" s="187" t="str">
        <f t="shared" si="32"/>
        <v/>
      </c>
      <c r="EN10" s="172"/>
      <c r="EO10" s="107"/>
      <c r="EP10" s="108"/>
      <c r="EQ10" s="183" t="str">
        <f>IFERROR((((COUNTIF('Elève (6ème1)'!EN10:EP10,"A"))*4)+((COUNTIF('Elève (6ème1)'!EN10:EP10,"B"))*3)+((COUNTIF('Elève (6ème1)'!EN10:EP10,"C"))*2)+((COUNTIF('Elève (6ème1)'!EN10:EP10,"D"))*1))/(COUNTA(EN10:EP10)),"")</f>
        <v/>
      </c>
      <c r="ER10" s="184" t="str">
        <f t="shared" si="33"/>
        <v/>
      </c>
      <c r="ES10" s="172"/>
      <c r="ET10" s="107"/>
      <c r="EU10" s="108" t="s">
        <v>24</v>
      </c>
      <c r="EV10" s="183">
        <f>IFERROR((((COUNTIF('Elève (6ème1)'!ES10:EU10,"A"))*4)+((COUNTIF('Elève (6ème1)'!ES10:EU10,"B"))*3)+((COUNTIF('Elève (6ème1)'!ES10:EU10,"C"))*2)+((COUNTIF('Elève (6ème1)'!ES10:EU10,"D"))*1))/(COUNTA(ES10:EU10)),"")</f>
        <v>3</v>
      </c>
      <c r="EW10" s="184" t="str">
        <f t="shared" si="34"/>
        <v>B</v>
      </c>
      <c r="EX10" s="183">
        <f>IF(COUNT(EL10,EQ10,EV10)=0,"",SUM(EL10,EQ10,EV10)/COUNT(EL10,EQ10,EV10))</f>
        <v>3</v>
      </c>
      <c r="EY10" s="209" t="str">
        <f t="shared" si="35"/>
        <v>B</v>
      </c>
      <c r="EZ10" s="217"/>
      <c r="FA10" s="107"/>
      <c r="FB10" s="108"/>
      <c r="FC10" s="183" t="str">
        <f>IFERROR((((COUNTIF('Elève (6ème1)'!EZ10:FB10,"A"))*4)+((COUNTIF('Elève (6ème1)'!EZ10:FB10,"B"))*3)+((COUNTIF('Elève (6ème1)'!EZ10:FB10,"C"))*2)+((COUNTIF('Elève (6ème1)'!EZ10:FB10,"D"))*1))/(COUNTA(EZ10:FB10)),"")</f>
        <v/>
      </c>
      <c r="FD10" s="187" t="str">
        <f t="shared" si="36"/>
        <v/>
      </c>
      <c r="FE10" s="172"/>
      <c r="FF10" s="107"/>
      <c r="FG10" s="108"/>
      <c r="FH10" s="183" t="str">
        <f>IFERROR((((COUNTIF('Elève (6ème1)'!FE10:FG10,"A"))*4)+((COUNTIF('Elève (6ème1)'!FE10:FG10,"B"))*3)+((COUNTIF('Elève (6ème1)'!FE10:FG10,"C"))*2)+((COUNTIF('Elève (6ème1)'!FE10:FG10,"D"))*1))/(COUNTA(FE10:FG10)),"")</f>
        <v/>
      </c>
      <c r="FI10" s="184" t="str">
        <f t="shared" si="37"/>
        <v/>
      </c>
      <c r="FJ10" s="172"/>
      <c r="FK10" s="107"/>
      <c r="FL10" s="108" t="s">
        <v>24</v>
      </c>
      <c r="FM10" s="183">
        <f>IFERROR((((COUNTIF('Elève (6ème1)'!FJ10:FL10,"A"))*4)+((COUNTIF('Elève (6ème1)'!FJ10:FL10,"B"))*3)+((COUNTIF('Elève (6ème1)'!FJ10:FL10,"C"))*2)+((COUNTIF('Elève (6ème1)'!FJ10:FL10,"D"))*1))/(COUNTA(FJ10:FL10)),"")</f>
        <v>3</v>
      </c>
      <c r="FN10" s="184" t="str">
        <f t="shared" si="38"/>
        <v>B</v>
      </c>
      <c r="FO10" s="183">
        <f>IF(COUNT(FC10,FH10,FM10)=0,"",SUM(FC10,FH10,FM10)/COUNT(FC10,FH10,FM10))</f>
        <v>3</v>
      </c>
      <c r="FP10" s="209" t="str">
        <f t="shared" si="39"/>
        <v>B</v>
      </c>
      <c r="FQ10" s="217"/>
      <c r="FR10" s="107"/>
      <c r="FS10" s="108"/>
      <c r="FT10" s="183" t="str">
        <f>IFERROR((((COUNTIF('Elève (6ème1)'!FQ10:FS10,"A"))*4)+((COUNTIF('Elève (6ème1)'!FQ10:FS10,"B"))*3)+((COUNTIF('Elève (6ème1)'!FQ10:FS10,"C"))*2)+((COUNTIF('Elève (6ème1)'!FQ10:FS10,"D"))*1))/(COUNTA(FQ10:FS10)),"")</f>
        <v/>
      </c>
      <c r="FU10" s="187" t="str">
        <f t="shared" si="40"/>
        <v/>
      </c>
      <c r="FV10" s="172"/>
      <c r="FW10" s="107"/>
      <c r="FX10" s="108"/>
      <c r="FY10" s="183" t="str">
        <f>IFERROR((((COUNTIF('Elève (6ème1)'!FV10:FX10,"A"))*4)+((COUNTIF('Elève (6ème1)'!FV10:FX10,"B"))*3)+((COUNTIF('Elève (6ème1)'!FV10:FX10,"C"))*2)+((COUNTIF('Elève (6ème1)'!FV10:FX10,"D"))*1))/(COUNTA(FV10:FX10)),"")</f>
        <v/>
      </c>
      <c r="FZ10" s="184" t="str">
        <f t="shared" si="41"/>
        <v/>
      </c>
      <c r="GA10" s="172"/>
      <c r="GB10" s="107"/>
      <c r="GC10" s="108" t="s">
        <v>24</v>
      </c>
      <c r="GD10" s="183">
        <f>IFERROR((((COUNTIF('Elève (6ème1)'!GA10:GC10,"A"))*4)+((COUNTIF('Elève (6ème1)'!GA10:GC10,"B"))*3)+((COUNTIF('Elève (6ème1)'!GA10:GC10,"C"))*2)+((COUNTIF('Elève (6ème1)'!GA10:GC10,"D"))*1))/(COUNTA(GA10:GC10)),"")</f>
        <v>3</v>
      </c>
      <c r="GE10" s="184" t="str">
        <f t="shared" si="42"/>
        <v>B</v>
      </c>
      <c r="GF10" s="183">
        <f>IF(COUNT(FT10,FY10,GD10)=0,"",SUM(FT10,FY10,GD10)/COUNT(FT10,FY10,GD10))</f>
        <v>3</v>
      </c>
      <c r="GG10" s="209" t="str">
        <f t="shared" si="43"/>
        <v>B</v>
      </c>
      <c r="GH10" s="217"/>
      <c r="GI10" s="107"/>
      <c r="GJ10" s="108"/>
      <c r="GK10" s="183" t="str">
        <f>IFERROR((((COUNTIF('Elève (6ème1)'!GH10:GJ10,"A"))*4)+((COUNTIF('Elève (6ème1)'!GH10:GJ10,"B"))*3)+((COUNTIF('Elève (6ème1)'!GH10:GJ10,"C"))*2)+((COUNTIF('Elève (6ème1)'!GH10:GJ10,"D"))*1))/(COUNTA(GH10:GJ10)),"")</f>
        <v/>
      </c>
      <c r="GL10" s="187" t="str">
        <f t="shared" si="44"/>
        <v/>
      </c>
      <c r="GM10" s="172"/>
      <c r="GN10" s="107"/>
      <c r="GO10" s="108"/>
      <c r="GP10" s="183" t="str">
        <f>IFERROR((((COUNTIF('Elève (6ème1)'!GM10:GO10,"A"))*4)+((COUNTIF('Elève (6ème1)'!GM10:GO10,"B"))*3)+((COUNTIF('Elève (6ème1)'!GM10:GO10,"C"))*2)+((COUNTIF('Elève (6ème1)'!GM10:GO10,"D"))*1))/(COUNTA(GM10:GO10)),"")</f>
        <v/>
      </c>
      <c r="GQ10" s="184" t="str">
        <f t="shared" si="45"/>
        <v/>
      </c>
      <c r="GR10" s="172"/>
      <c r="GS10" s="107"/>
      <c r="GT10" s="108" t="s">
        <v>23</v>
      </c>
      <c r="GU10" s="183">
        <f>IFERROR((((COUNTIF('Elève (6ème1)'!GR10:GT10,"A"))*4)+((COUNTIF('Elève (6ème1)'!GR10:GT10,"B"))*3)+((COUNTIF('Elève (6ème1)'!GR10:GT10,"C"))*2)+((COUNTIF('Elève (6ème1)'!GR10:GT10,"D"))*1))/(COUNTA(GR10:GT10)),"")</f>
        <v>4</v>
      </c>
      <c r="GV10" s="184" t="str">
        <f t="shared" si="46"/>
        <v>A</v>
      </c>
      <c r="GW10" s="183">
        <f>IF(COUNT(GK10,GP10,GU10)=0,"",SUM(GK10,GP10,GU10)/COUNT(GK10,GP10,GU10))</f>
        <v>4</v>
      </c>
      <c r="GX10" s="209" t="str">
        <f t="shared" si="47"/>
        <v>A</v>
      </c>
      <c r="GY10" s="217"/>
      <c r="GZ10" s="107"/>
      <c r="HA10" s="108"/>
      <c r="HB10" s="183" t="str">
        <f>IFERROR((((COUNTIF('Elève (6ème1)'!GY10:HA10,"A"))*4)+((COUNTIF('Elève (6ème1)'!GY10:HA10,"B"))*3)+((COUNTIF('Elève (6ème1)'!GY10:HA10,"C"))*2)+((COUNTIF('Elève (6ème1)'!GY10:HA10,"D"))*1))/(COUNTA(GY10:HA10)),"")</f>
        <v/>
      </c>
      <c r="HC10" s="187" t="str">
        <f t="shared" si="48"/>
        <v/>
      </c>
      <c r="HD10" s="172"/>
      <c r="HE10" s="107"/>
      <c r="HF10" s="108"/>
      <c r="HG10" s="183" t="str">
        <f>IFERROR((((COUNTIF('Elève (6ème1)'!HD10:HF10,"A"))*4)+((COUNTIF('Elève (6ème1)'!HD10:HF10,"B"))*3)+((COUNTIF('Elève (6ème1)'!HD10:HF10,"C"))*2)+((COUNTIF('Elève (6ème1)'!HD10:HF10,"D"))*1))/(COUNTA(HD10:HF10)),"")</f>
        <v/>
      </c>
      <c r="HH10" s="184" t="str">
        <f t="shared" si="49"/>
        <v/>
      </c>
      <c r="HI10" s="172"/>
      <c r="HJ10" s="107"/>
      <c r="HK10" s="108" t="s">
        <v>24</v>
      </c>
      <c r="HL10" s="183">
        <f>IFERROR((((COUNTIF('Elève (6ème1)'!HI10:HK10,"A"))*4)+((COUNTIF('Elève (6ème1)'!HI10:HK10,"B"))*3)+((COUNTIF('Elève (6ème1)'!HI10:HK10,"C"))*2)+((COUNTIF('Elève (6ème1)'!HI10:HK10,"D"))*1))/(COUNTA(HI10:HK10)),"")</f>
        <v>3</v>
      </c>
      <c r="HM10" s="184" t="str">
        <f t="shared" si="50"/>
        <v>B</v>
      </c>
      <c r="HN10" s="183">
        <f>IF(COUNT(HB10,HG10,HL10)=0,"",SUM(HB10,HG10,HL10)/COUNT(HB10,HG10,HL10))</f>
        <v>3</v>
      </c>
      <c r="HO10" s="209" t="str">
        <f t="shared" si="51"/>
        <v>B</v>
      </c>
      <c r="HP10" s="217"/>
      <c r="HQ10" s="107"/>
      <c r="HR10" s="108"/>
      <c r="HS10" s="183" t="str">
        <f>IFERROR((((COUNTIF('Elève (6ème1)'!HP10:HR10,"A"))*4)+((COUNTIF('Elève (6ème1)'!HP10:HR10,"B"))*3)+((COUNTIF('Elève (6ème1)'!HP10:HR10,"C"))*2)+((COUNTIF('Elève (6ème1)'!HP10:HR10,"D"))*1))/(COUNTA(HP10:HR10)),"")</f>
        <v/>
      </c>
      <c r="HT10" s="187" t="str">
        <f t="shared" si="52"/>
        <v/>
      </c>
      <c r="HU10" s="172"/>
      <c r="HV10" s="107"/>
      <c r="HW10" s="108"/>
      <c r="HX10" s="183" t="str">
        <f>IFERROR((((COUNTIF('Elève (6ème1)'!HU10:HW10,"A"))*4)+((COUNTIF('Elève (6ème1)'!HU10:HW10,"B"))*3)+((COUNTIF('Elève (6ème1)'!HU10:HW10,"C"))*2)+((COUNTIF('Elève (6ème1)'!HU10:HW10,"D"))*1))/(COUNTA(HU10:HW10)),"")</f>
        <v/>
      </c>
      <c r="HY10" s="184" t="str">
        <f t="shared" si="53"/>
        <v/>
      </c>
      <c r="HZ10" s="172"/>
      <c r="IA10" s="107"/>
      <c r="IB10" s="108" t="s">
        <v>23</v>
      </c>
      <c r="IC10" s="183">
        <f>IFERROR((((COUNTIF('Elève (6ème1)'!HZ10:IB10,"A"))*4)+((COUNTIF('Elève (6ème1)'!HZ10:IB10,"B"))*3)+((COUNTIF('Elève (6ème1)'!HZ10:IB10,"C"))*2)+((COUNTIF('Elève (6ème1)'!HZ10:IB10,"D"))*1))/(COUNTA(HZ10:IB10)),"")</f>
        <v>4</v>
      </c>
      <c r="ID10" s="184" t="str">
        <f t="shared" si="54"/>
        <v>A</v>
      </c>
      <c r="IE10" s="183">
        <f>IF(COUNT(HS10,HX10,IC10)=0,"",SUM(HS10,HX10,IC10)/COUNT(HS10,HX10,IC10))</f>
        <v>4</v>
      </c>
      <c r="IF10" s="209" t="str">
        <f t="shared" si="55"/>
        <v>A</v>
      </c>
      <c r="IG10" s="217"/>
      <c r="IH10" s="107"/>
      <c r="II10" s="108"/>
      <c r="IJ10" s="183" t="str">
        <f>IFERROR((((COUNTIF('Elève (6ème1)'!IG10:II10,"A"))*4)+((COUNTIF('Elève (6ème1)'!IG10:II10,"B"))*3)+((COUNTIF('Elève (6ème1)'!IG10:II10,"C"))*2)+((COUNTIF('Elève (6ème1)'!IG10:II10,"D"))*1))/(COUNTA(IG10:II10)),"")</f>
        <v/>
      </c>
      <c r="IK10" s="187" t="str">
        <f t="shared" si="56"/>
        <v/>
      </c>
      <c r="IL10" s="172"/>
      <c r="IM10" s="107"/>
      <c r="IN10" s="108"/>
      <c r="IO10" s="183" t="str">
        <f>IFERROR((((COUNTIF('Elève (6ème1)'!IL10:IN10,"A"))*4)+((COUNTIF('Elève (6ème1)'!IL10:IN10,"B"))*3)+((COUNTIF('Elève (6ème1)'!IL10:IN10,"C"))*2)+((COUNTIF('Elève (6ème1)'!IL10:IN10,"D"))*1))/(COUNTA(IL10:IN10)),"")</f>
        <v/>
      </c>
      <c r="IP10" s="184" t="str">
        <f t="shared" si="57"/>
        <v/>
      </c>
      <c r="IQ10" s="172"/>
      <c r="IR10" s="107"/>
      <c r="IS10" s="108"/>
      <c r="IT10" s="183" t="str">
        <f>IFERROR((((COUNTIF('Elève (6ème1)'!IQ10:IS10,"A"))*4)+((COUNTIF('Elève (6ème1)'!IQ10:IS10,"B"))*3)+((COUNTIF('Elève (6ème1)'!IQ10:IS10,"C"))*2)+((COUNTIF('Elève (6ème1)'!IQ10:IS10,"D"))*1))/(COUNTA(IQ10:IS10)),"")</f>
        <v/>
      </c>
      <c r="IU10" s="184" t="str">
        <f t="shared" si="58"/>
        <v/>
      </c>
      <c r="IV10" s="183" t="str">
        <f>IF(COUNT(IJ10,IO10,IT10)=0,"",SUM(IJ10,IO10,IT10)/COUNT(IJ10,IO10,IT10))</f>
        <v/>
      </c>
      <c r="IW10" s="209" t="str">
        <f t="shared" si="59"/>
        <v/>
      </c>
      <c r="IX10" s="217"/>
      <c r="IY10" s="107"/>
      <c r="IZ10" s="108"/>
      <c r="JA10" s="183" t="str">
        <f>IFERROR((((COUNTIF('Elève (6ème1)'!IX10:IZ10,"A"))*4)+((COUNTIF('Elève (6ème1)'!IX10:IZ10,"B"))*3)+((COUNTIF('Elève (6ème1)'!IX10:IZ10,"C"))*2)+((COUNTIF('Elève (6ème1)'!IX10:IZ10,"D"))*1))/(COUNTA(IX10:IZ10)),"")</f>
        <v/>
      </c>
      <c r="JB10" s="187" t="str">
        <f t="shared" si="60"/>
        <v/>
      </c>
      <c r="JC10" s="172"/>
      <c r="JD10" s="107"/>
      <c r="JE10" s="108"/>
      <c r="JF10" s="183" t="str">
        <f>IFERROR((((COUNTIF('Elève (6ème1)'!JC10:JE10,"A"))*4)+((COUNTIF('Elève (6ème1)'!JC10:JE10,"B"))*3)+((COUNTIF('Elève (6ème1)'!JC10:JE10,"C"))*2)+((COUNTIF('Elève (6ème1)'!JC10:JE10,"D"))*1))/(COUNTA(JC10:JE10)),"")</f>
        <v/>
      </c>
      <c r="JG10" s="184" t="str">
        <f t="shared" si="61"/>
        <v/>
      </c>
      <c r="JH10" s="172"/>
      <c r="JI10" s="107"/>
      <c r="JJ10" s="108"/>
      <c r="JK10" s="183" t="str">
        <f>IFERROR((((COUNTIF('Elève (6ème1)'!JH10:JJ10,"A"))*4)+((COUNTIF('Elève (6ème1)'!JH10:JJ10,"B"))*3)+((COUNTIF('Elève (6ème1)'!JH10:JJ10,"C"))*2)+((COUNTIF('Elève (6ème1)'!JH10:JJ10,"D"))*1))/(COUNTA(JH10:JJ10)),"")</f>
        <v/>
      </c>
      <c r="JL10" s="184" t="str">
        <f t="shared" si="62"/>
        <v/>
      </c>
      <c r="JM10" s="183" t="str">
        <f>IF(COUNT(JA10,JF10,JK10)=0,"",SUM(JA10,JF10,JK10)/COUNT(JA10,JF10,JK10))</f>
        <v/>
      </c>
      <c r="JN10" s="209" t="str">
        <f t="shared" si="63"/>
        <v/>
      </c>
      <c r="JO10" s="217"/>
      <c r="JP10" s="107"/>
      <c r="JQ10" s="108"/>
      <c r="JR10" s="183" t="str">
        <f>IFERROR((((COUNTIF('Elève (6ème1)'!JO10:JQ10,"A"))*4)+((COUNTIF('Elève (6ème1)'!JO10:JQ10,"B"))*3)+((COUNTIF('Elève (6ème1)'!JO10:JQ10,"C"))*2)+((COUNTIF('Elève (6ème1)'!JO10:JQ10,"D"))*1))/(COUNTA(JO10:JQ10)),"")</f>
        <v/>
      </c>
      <c r="JS10" s="187" t="str">
        <f t="shared" si="64"/>
        <v/>
      </c>
      <c r="JT10" s="172"/>
      <c r="JU10" s="107"/>
      <c r="JV10" s="108"/>
      <c r="JW10" s="183" t="str">
        <f>IFERROR((((COUNTIF('Elève (6ème1)'!JT10:JV10,"A"))*4)+((COUNTIF('Elève (6ème1)'!JT10:JV10,"B"))*3)+((COUNTIF('Elève (6ème1)'!JT10:JV10,"C"))*2)+((COUNTIF('Elève (6ème1)'!JT10:JV10,"D"))*1))/(COUNTA(JT10:JV10)),"")</f>
        <v/>
      </c>
      <c r="JX10" s="184" t="str">
        <f t="shared" si="65"/>
        <v/>
      </c>
      <c r="JY10" s="172"/>
      <c r="JZ10" s="107"/>
      <c r="KA10" s="108" t="s">
        <v>24</v>
      </c>
      <c r="KB10" s="183">
        <f>IFERROR((((COUNTIF('Elève (6ème1)'!JY10:KA10,"A"))*4)+((COUNTIF('Elève (6ème1)'!JY10:KA10,"B"))*3)+((COUNTIF('Elève (6ème1)'!JY10:KA10,"C"))*2)+((COUNTIF('Elève (6ème1)'!JY10:KA10,"D"))*1))/(COUNTA(JY10:KA10)),"")</f>
        <v>3</v>
      </c>
      <c r="KC10" s="184" t="str">
        <f t="shared" si="66"/>
        <v>B</v>
      </c>
      <c r="KD10" s="183">
        <f>IF(COUNT(JR10,JW10,KB10)=0,"",SUM(JR10,JW10,KB10)/COUNT(JR10,JW10,KB10))</f>
        <v>3</v>
      </c>
      <c r="KE10" s="209" t="str">
        <f t="shared" si="67"/>
        <v>B</v>
      </c>
      <c r="KF10" s="217"/>
      <c r="KG10" s="107"/>
      <c r="KH10" s="108"/>
      <c r="KI10" s="183" t="str">
        <f>IFERROR((((COUNTIF('Elève (6ème1)'!KF10:KH10,"A"))*4)+((COUNTIF('Elève (6ème1)'!KF10:KH10,"B"))*3)+((COUNTIF('Elève (6ème1)'!KF10:KH10,"C"))*2)+((COUNTIF('Elève (6ème1)'!KF10:KH10,"D"))*1))/(COUNTA(KF10:KH10)),"")</f>
        <v/>
      </c>
      <c r="KJ10" s="187" t="str">
        <f t="shared" si="68"/>
        <v/>
      </c>
      <c r="KK10" s="172"/>
      <c r="KL10" s="107"/>
      <c r="KM10" s="108"/>
      <c r="KN10" s="183" t="str">
        <f>IFERROR((((COUNTIF('Elève (6ème1)'!KK10:KM10,"A"))*4)+((COUNTIF('Elève (6ème1)'!KK10:KM10,"B"))*3)+((COUNTIF('Elève (6ème1)'!KK10:KM10,"C"))*2)+((COUNTIF('Elève (6ème1)'!KK10:KM10,"D"))*1))/(COUNTA(KK10:KM10)),"")</f>
        <v/>
      </c>
      <c r="KO10" s="184" t="str">
        <f t="shared" si="69"/>
        <v/>
      </c>
      <c r="KP10" s="172"/>
      <c r="KQ10" s="107"/>
      <c r="KR10" s="108" t="s">
        <v>24</v>
      </c>
      <c r="KS10" s="183">
        <f>IFERROR((((COUNTIF('Elève (6ème1)'!KP10:KR10,"A"))*4)+((COUNTIF('Elève (6ème1)'!KP10:KR10,"B"))*3)+((COUNTIF('Elève (6ème1)'!KP10:KR10,"C"))*2)+((COUNTIF('Elève (6ème1)'!KP10:KR10,"D"))*1))/(COUNTA(KP10:KR10)),"")</f>
        <v>3</v>
      </c>
      <c r="KT10" s="184" t="str">
        <f t="shared" si="70"/>
        <v>B</v>
      </c>
      <c r="KU10" s="183">
        <f>IF(COUNT(KI10,KN10,KS10)=0,"",SUM(KI10,KN10,KS10)/COUNT(KI10,KN10,KS10))</f>
        <v>3</v>
      </c>
      <c r="KV10" s="209" t="str">
        <f t="shared" si="71"/>
        <v>B</v>
      </c>
      <c r="KW10" s="217"/>
      <c r="KX10" s="107"/>
      <c r="KY10" s="108"/>
      <c r="KZ10" s="183" t="str">
        <f>IFERROR((((COUNTIF('Elève (6ème1)'!KW10:KY10,"A"))*4)+((COUNTIF('Elève (6ème1)'!KW10:KY10,"B"))*3)+((COUNTIF('Elève (6ème1)'!KW10:KY10,"C"))*2)+((COUNTIF('Elève (6ème1)'!KW10:KY10,"D"))*1))/(COUNTA(KW10:KY10)),"")</f>
        <v/>
      </c>
      <c r="LA10" s="187" t="str">
        <f t="shared" si="72"/>
        <v/>
      </c>
      <c r="LB10" s="172"/>
      <c r="LC10" s="107"/>
      <c r="LD10" s="108"/>
      <c r="LE10" s="183" t="str">
        <f>IFERROR((((COUNTIF('Elève (6ème1)'!LB10:LD10,"A"))*4)+((COUNTIF('Elève (6ème1)'!LB10:LD10,"B"))*3)+((COUNTIF('Elève (6ème1)'!LB10:LD10,"C"))*2)+((COUNTIF('Elève (6ème1)'!LB10:LD10,"D"))*1))/(COUNTA(LB10:LD10)),"")</f>
        <v/>
      </c>
      <c r="LF10" s="184" t="str">
        <f t="shared" si="73"/>
        <v/>
      </c>
      <c r="LG10" s="172"/>
      <c r="LH10" s="107"/>
      <c r="LI10" s="108" t="s">
        <v>23</v>
      </c>
      <c r="LJ10" s="183">
        <f>IFERROR((((COUNTIF('Elève (6ème1)'!LG10:LI10,"A"))*4)+((COUNTIF('Elève (6ème1)'!LG10:LI10,"B"))*3)+((COUNTIF('Elève (6ème1)'!LG10:LI10,"C"))*2)+((COUNTIF('Elève (6ème1)'!LG10:LI10,"D"))*1))/(COUNTA(LG10:LI10)),"")</f>
        <v>4</v>
      </c>
      <c r="LK10" s="184" t="str">
        <f t="shared" si="74"/>
        <v>A</v>
      </c>
      <c r="LL10" s="183">
        <f>IF(COUNT(KZ10,LE10,LJ10)=0,"",SUM(KZ10,LE10,LJ10)/COUNT(KZ10,LE10,LJ10))</f>
        <v>4</v>
      </c>
      <c r="LM10" s="209" t="str">
        <f t="shared" si="75"/>
        <v>A</v>
      </c>
      <c r="LN10" s="217"/>
      <c r="LO10" s="107"/>
      <c r="LP10" s="108"/>
      <c r="LQ10" s="183" t="str">
        <f>IFERROR((((COUNTIF('Elève (6ème1)'!LN10:LP10,"A"))*4)+((COUNTIF('Elève (6ème1)'!LN10:LP10,"B"))*3)+((COUNTIF('Elève (6ème1)'!LN10:LP10,"C"))*2)+((COUNTIF('Elève (6ème1)'!LN10:LP10,"D"))*1))/(COUNTA(LN10:LP10)),"")</f>
        <v/>
      </c>
      <c r="LR10" s="187" t="str">
        <f t="shared" si="76"/>
        <v/>
      </c>
      <c r="LS10" s="172"/>
      <c r="LT10" s="107"/>
      <c r="LU10" s="108"/>
      <c r="LV10" s="183" t="str">
        <f>IFERROR((((COUNTIF('Elève (6ème1)'!LS10:LU10,"A"))*4)+((COUNTIF('Elève (6ème1)'!LS10:LU10,"B"))*3)+((COUNTIF('Elève (6ème1)'!LS10:LU10,"C"))*2)+((COUNTIF('Elève (6ème1)'!LS10:LU10,"D"))*1))/(COUNTA(LS10:LU10)),"")</f>
        <v/>
      </c>
      <c r="LW10" s="184" t="str">
        <f t="shared" si="77"/>
        <v/>
      </c>
      <c r="LX10" s="172"/>
      <c r="LY10" s="107"/>
      <c r="LZ10" s="108" t="s">
        <v>23</v>
      </c>
      <c r="MA10" s="183">
        <f>IFERROR((((COUNTIF('Elève (6ème1)'!LX10:LZ10,"A"))*4)+((COUNTIF('Elève (6ème1)'!LX10:LZ10,"B"))*3)+((COUNTIF('Elève (6ème1)'!LX10:LZ10,"C"))*2)+((COUNTIF('Elève (6ème1)'!LX10:LZ10,"D"))*1))/(COUNTA(LX10:LZ10)),"")</f>
        <v>4</v>
      </c>
      <c r="MB10" s="184" t="str">
        <f t="shared" si="78"/>
        <v>A</v>
      </c>
      <c r="MC10" s="183">
        <f>IF(COUNT(LQ10,LV10,MA10)=0,"",SUM(LQ10,LV10,MA10)/COUNT(LQ10,LV10,MA10))</f>
        <v>4</v>
      </c>
      <c r="MD10" s="209" t="str">
        <f t="shared" si="79"/>
        <v>A</v>
      </c>
      <c r="ME10" s="217"/>
      <c r="MF10" s="107"/>
      <c r="MG10" s="108"/>
      <c r="MH10" s="183" t="str">
        <f>IFERROR((((COUNTIF('Elève (6ème1)'!ME10:MG10,"A"))*4)+((COUNTIF('Elève (6ème1)'!ME10:MG10,"B"))*3)+((COUNTIF('Elève (6ème1)'!ME10:MG10,"C"))*2)+((COUNTIF('Elève (6ème1)'!ME10:MG10,"D"))*1))/(COUNTA(ME10:MG10)),"")</f>
        <v/>
      </c>
      <c r="MI10" s="187" t="str">
        <f t="shared" si="80"/>
        <v/>
      </c>
      <c r="MJ10" s="172"/>
      <c r="MK10" s="107"/>
      <c r="ML10" s="108"/>
      <c r="MM10" s="183" t="str">
        <f>IFERROR((((COUNTIF('Elève (6ème1)'!MJ10:ML10,"A"))*4)+((COUNTIF('Elève (6ème1)'!MJ10:ML10,"B"))*3)+((COUNTIF('Elève (6ème1)'!MJ10:ML10,"C"))*2)+((COUNTIF('Elève (6ème1)'!MJ10:ML10,"D"))*1))/(COUNTA(MJ10:ML10)),"")</f>
        <v/>
      </c>
      <c r="MN10" s="184" t="str">
        <f t="shared" si="81"/>
        <v/>
      </c>
      <c r="MO10" s="172"/>
      <c r="MP10" s="107"/>
      <c r="MQ10" s="108" t="s">
        <v>24</v>
      </c>
      <c r="MR10" s="183">
        <f>IFERROR((((COUNTIF('Elève (6ème1)'!MO10:MQ10,"A"))*4)+((COUNTIF('Elève (6ème1)'!MO10:MQ10,"B"))*3)+((COUNTIF('Elève (6ème1)'!MO10:MQ10,"C"))*2)+((COUNTIF('Elève (6ème1)'!MO10:MQ10,"D"))*1))/(COUNTA(MO10:MQ10)),"")</f>
        <v>3</v>
      </c>
      <c r="MS10" s="184" t="str">
        <f t="shared" si="82"/>
        <v>B</v>
      </c>
      <c r="MT10" s="183">
        <f>IF(COUNT(MH10,MM10,MR10)=0,"",SUM(MH10,MM10,MR10)/COUNT(MH10,MM10,MR10))</f>
        <v>3</v>
      </c>
      <c r="MU10" s="209" t="str">
        <f t="shared" si="83"/>
        <v>B</v>
      </c>
      <c r="MV10" s="217"/>
      <c r="MW10" s="107"/>
      <c r="MX10" s="108"/>
      <c r="MY10" s="183" t="str">
        <f>IFERROR((((COUNTIF('Elève (6ème1)'!MV10:MX10,"A"))*4)+((COUNTIF('Elève (6ème1)'!MV10:MX10,"B"))*3)+((COUNTIF('Elève (6ème1)'!MV10:MX10,"C"))*2)+((COUNTIF('Elève (6ème1)'!MV10:MX10,"D"))*1))/(COUNTA(MV10:MX10)),"")</f>
        <v/>
      </c>
      <c r="MZ10" s="187" t="str">
        <f t="shared" si="84"/>
        <v/>
      </c>
      <c r="NA10" s="172"/>
      <c r="NB10" s="107"/>
      <c r="NC10" s="108"/>
      <c r="ND10" s="183" t="str">
        <f>IFERROR((((COUNTIF('Elève (6ème1)'!NA10:NC10,"A"))*4)+((COUNTIF('Elève (6ème1)'!NA10:NC10,"B"))*3)+((COUNTIF('Elève (6ème1)'!NA10:NC10,"C"))*2)+((COUNTIF('Elève (6ème1)'!NA10:NC10,"D"))*1))/(COUNTA(NA10:NC10)),"")</f>
        <v/>
      </c>
      <c r="NE10" s="184" t="str">
        <f t="shared" si="85"/>
        <v/>
      </c>
      <c r="NF10" s="172"/>
      <c r="NG10" s="107"/>
      <c r="NH10" s="108"/>
      <c r="NI10" s="183" t="str">
        <f>IFERROR((((COUNTIF('Elève (6ème1)'!NF10:NH10,"A"))*4)+((COUNTIF('Elève (6ème1)'!NF10:NH10,"B"))*3)+((COUNTIF('Elève (6ème1)'!NF10:NH10,"C"))*2)+((COUNTIF('Elève (6ème1)'!NF10:NH10,"D"))*1))/(COUNTA(NF10:NH10)),"")</f>
        <v/>
      </c>
      <c r="NJ10" s="184" t="str">
        <f t="shared" si="86"/>
        <v/>
      </c>
      <c r="NK10" s="183" t="str">
        <f>IF(COUNT(MY10,ND10,NI10)=0,"",SUM(MY10,ND10,NI10)/COUNT(MY10,ND10,NI10))</f>
        <v/>
      </c>
      <c r="NL10" s="209" t="str">
        <f t="shared" si="87"/>
        <v/>
      </c>
      <c r="NM10" s="217"/>
      <c r="NN10" s="107"/>
      <c r="NO10" s="108"/>
      <c r="NP10" s="183" t="str">
        <f>IFERROR((((COUNTIF('Elève (6ème1)'!NM10:NO10,"A"))*4)+((COUNTIF('Elève (6ème1)'!NM10:NO10,"B"))*3)+((COUNTIF('Elève (6ème1)'!NM10:NO10,"C"))*2)+((COUNTIF('Elève (6ème1)'!NM10:NO10,"D"))*1))/(COUNTA(NM10:NO10)),"")</f>
        <v/>
      </c>
      <c r="NQ10" s="187" t="str">
        <f t="shared" si="88"/>
        <v/>
      </c>
      <c r="NR10" s="172"/>
      <c r="NS10" s="107"/>
      <c r="NT10" s="108"/>
      <c r="NU10" s="183" t="str">
        <f>IFERROR((((COUNTIF('Elève (6ème1)'!NR10:NT10,"A"))*4)+((COUNTIF('Elève (6ème1)'!NR10:NT10,"B"))*3)+((COUNTIF('Elève (6ème1)'!NR10:NT10,"C"))*2)+((COUNTIF('Elève (6ème1)'!NR10:NT10,"D"))*1))/(COUNTA(NR10:NT10)),"")</f>
        <v/>
      </c>
      <c r="NV10" s="184" t="str">
        <f t="shared" si="89"/>
        <v/>
      </c>
      <c r="NW10" s="172"/>
      <c r="NX10" s="107"/>
      <c r="NY10" s="108" t="s">
        <v>23</v>
      </c>
      <c r="NZ10" s="183">
        <f>IFERROR((((COUNTIF('Elève (6ème1)'!NW10:NY10,"A"))*4)+((COUNTIF('Elève (6ème1)'!NW10:NY10,"B"))*3)+((COUNTIF('Elève (6ème1)'!NW10:NY10,"C"))*2)+((COUNTIF('Elève (6ème1)'!NW10:NY10,"D"))*1))/(COUNTA(NW10:NY10)),"")</f>
        <v>4</v>
      </c>
      <c r="OA10" s="184" t="str">
        <f t="shared" si="90"/>
        <v>A</v>
      </c>
      <c r="OB10" s="183">
        <f>IF(COUNT(NP10,NU10,NZ10)=0,"",SUM(NP10,NU10,NZ10)/COUNT(NP10,NU10,NZ10))</f>
        <v>4</v>
      </c>
      <c r="OC10" s="209" t="str">
        <f t="shared" si="91"/>
        <v>A</v>
      </c>
      <c r="OD10" s="217"/>
      <c r="OE10" s="107"/>
      <c r="OF10" s="108"/>
      <c r="OG10" s="183" t="str">
        <f>IFERROR((((COUNTIF('Elève (6ème1)'!OD10:OF10,"A"))*4)+((COUNTIF('Elève (6ème1)'!OD10:OF10,"B"))*3)+((COUNTIF('Elève (6ème1)'!OD10:OF10,"C"))*2)+((COUNTIF('Elève (6ème1)'!OD10:OF10,"D"))*1))/(COUNTA(OD10:OF10)),"")</f>
        <v/>
      </c>
      <c r="OH10" s="187" t="str">
        <f t="shared" si="92"/>
        <v/>
      </c>
      <c r="OI10" s="172"/>
      <c r="OJ10" s="107"/>
      <c r="OK10" s="108"/>
      <c r="OL10" s="183" t="str">
        <f>IFERROR((((COUNTIF('Elève (6ème1)'!OI10:OK10,"A"))*4)+((COUNTIF('Elève (6ème1)'!OI10:OK10,"B"))*3)+((COUNTIF('Elève (6ème1)'!OI10:OK10,"C"))*2)+((COUNTIF('Elève (6ème1)'!OI10:OK10,"D"))*1))/(COUNTA(OI10:OK10)),"")</f>
        <v/>
      </c>
      <c r="OM10" s="184" t="str">
        <f t="shared" si="93"/>
        <v/>
      </c>
      <c r="ON10" s="172"/>
      <c r="OO10" s="107"/>
      <c r="OP10" s="108" t="s">
        <v>24</v>
      </c>
      <c r="OQ10" s="183">
        <f>IFERROR((((COUNTIF('Elève (6ème1)'!ON10:OP10,"A"))*4)+((COUNTIF('Elève (6ème1)'!ON10:OP10,"B"))*3)+((COUNTIF('Elève (6ème1)'!ON10:OP10,"C"))*2)+((COUNTIF('Elève (6ème1)'!ON10:OP10,"D"))*1))/(COUNTA(ON10:OP10)),"")</f>
        <v>3</v>
      </c>
      <c r="OR10" s="184" t="str">
        <f t="shared" si="94"/>
        <v>B</v>
      </c>
      <c r="OS10" s="183">
        <f>IF(COUNT(OG10,OL10,OQ10)=0,"",SUM(OG10,OL10,OQ10)/COUNT(OG10,OL10,OQ10))</f>
        <v>3</v>
      </c>
      <c r="OT10" s="209" t="str">
        <f t="shared" si="95"/>
        <v>B</v>
      </c>
      <c r="OU10" s="217"/>
      <c r="OV10" s="107"/>
      <c r="OW10" s="108"/>
      <c r="OX10" s="183" t="str">
        <f>IFERROR((((COUNTIF('Elève (6ème1)'!OU10:OW10,"A"))*4)+((COUNTIF('Elève (6ème1)'!OU10:OW10,"B"))*3)+((COUNTIF('Elève (6ème1)'!OU10:OW10,"C"))*2)+((COUNTIF('Elève (6ème1)'!OU10:OW10,"D"))*1))/(COUNTA(OU10:OW10)),"")</f>
        <v/>
      </c>
      <c r="OY10" s="187" t="str">
        <f t="shared" si="96"/>
        <v/>
      </c>
      <c r="OZ10" s="172"/>
      <c r="PA10" s="107"/>
      <c r="PB10" s="108"/>
      <c r="PC10" s="183" t="str">
        <f>IFERROR((((COUNTIF('Elève (6ème1)'!OZ10:PB10,"A"))*4)+((COUNTIF('Elève (6ème1)'!OZ10:PB10,"B"))*3)+((COUNTIF('Elève (6ème1)'!OZ10:PB10,"C"))*2)+((COUNTIF('Elève (6ème1)'!OZ10:PB10,"D"))*1))/(COUNTA(OZ10:PB10)),"")</f>
        <v/>
      </c>
      <c r="PD10" s="184" t="str">
        <f t="shared" si="97"/>
        <v/>
      </c>
      <c r="PE10" s="172"/>
      <c r="PF10" s="107"/>
      <c r="PG10" s="108" t="s">
        <v>23</v>
      </c>
      <c r="PH10" s="183">
        <f>IFERROR((((COUNTIF('Elève (6ème1)'!PE10:PG10,"A"))*4)+((COUNTIF('Elève (6ème1)'!PE10:PG10,"B"))*3)+((COUNTIF('Elève (6ème1)'!PE10:PG10,"C"))*2)+((COUNTIF('Elève (6ème1)'!PE10:PG10,"D"))*1))/(COUNTA(PE10:PG10)),"")</f>
        <v>4</v>
      </c>
      <c r="PI10" s="184" t="str">
        <f t="shared" si="98"/>
        <v>A</v>
      </c>
      <c r="PJ10" s="183">
        <f>IF(COUNT(OX10,PC10,PH10)=0,"",SUM(OX10,PC10,PH10)/COUNT(OX10,PC10,PH10))</f>
        <v>4</v>
      </c>
      <c r="PK10" s="209" t="str">
        <f t="shared" si="99"/>
        <v>A</v>
      </c>
      <c r="PL10" s="217"/>
      <c r="PM10" s="107"/>
      <c r="PN10" s="108"/>
      <c r="PO10" s="183" t="str">
        <f>IFERROR((((COUNTIF('Elève (6ème1)'!PL10:PN10,"A"))*4)+((COUNTIF('Elève (6ème1)'!PL10:PN10,"B"))*3)+((COUNTIF('Elève (6ème1)'!PL10:PN10,"C"))*2)+((COUNTIF('Elève (6ème1)'!PL10:PN10,"D"))*1))/(COUNTA(PL10:PN10)),"")</f>
        <v/>
      </c>
      <c r="PP10" s="187" t="str">
        <f t="shared" si="100"/>
        <v/>
      </c>
      <c r="PQ10" s="172"/>
      <c r="PR10" s="107"/>
      <c r="PS10" s="108"/>
      <c r="PT10" s="183" t="str">
        <f>IFERROR((((COUNTIF('Elève (6ème1)'!PQ10:PS10,"A"))*4)+((COUNTIF('Elève (6ème1)'!PQ10:PS10,"B"))*3)+((COUNTIF('Elève (6ème1)'!PQ10:PS10,"C"))*2)+((COUNTIF('Elève (6ème1)'!PQ10:PS10,"D"))*1))/(COUNTA(PQ10:PS10)),"")</f>
        <v/>
      </c>
      <c r="PU10" s="184" t="str">
        <f t="shared" si="101"/>
        <v/>
      </c>
      <c r="PV10" s="172"/>
      <c r="PW10" s="107"/>
      <c r="PX10" s="108" t="s">
        <v>24</v>
      </c>
      <c r="PY10" s="183">
        <f>IFERROR((((COUNTIF('Elève (6ème1)'!PV10:PX10,"A"))*4)+((COUNTIF('Elève (6ème1)'!PV10:PX10,"B"))*3)+((COUNTIF('Elève (6ème1)'!PV10:PX10,"C"))*2)+((COUNTIF('Elève (6ème1)'!PV10:PX10,"D"))*1))/(COUNTA(PV10:PX10)),"")</f>
        <v>3</v>
      </c>
      <c r="PZ10" s="184" t="str">
        <f t="shared" si="102"/>
        <v>B</v>
      </c>
      <c r="QA10" s="183">
        <f>IF(COUNT(PO10,PT10,PY10)=0,"",SUM(PO10,PT10,PY10)/COUNT(PO10,PT10,PY10))</f>
        <v>3</v>
      </c>
      <c r="QB10" s="209" t="str">
        <f t="shared" si="103"/>
        <v>B</v>
      </c>
      <c r="QC10" s="217"/>
      <c r="QD10" s="107"/>
      <c r="QE10" s="108"/>
      <c r="QF10" s="183" t="str">
        <f>IFERROR((((COUNTIF('Elève (6ème1)'!QC10:QE10,"A"))*4)+((COUNTIF('Elève (6ème1)'!QC10:QE10,"B"))*3)+((COUNTIF('Elève (6ème1)'!QC10:QE10,"C"))*2)+((COUNTIF('Elève (6ème1)'!QC10:QE10,"D"))*1))/(COUNTA(QC10:QE10)),"")</f>
        <v/>
      </c>
      <c r="QG10" s="187" t="str">
        <f t="shared" si="104"/>
        <v/>
      </c>
      <c r="QH10" s="172"/>
      <c r="QI10" s="107"/>
      <c r="QJ10" s="108"/>
      <c r="QK10" s="183" t="str">
        <f>IFERROR((((COUNTIF('Elève (6ème1)'!QH10:QJ10,"A"))*4)+((COUNTIF('Elève (6ème1)'!QH10:QJ10,"B"))*3)+((COUNTIF('Elève (6ème1)'!QH10:QJ10,"C"))*2)+((COUNTIF('Elève (6ème1)'!QH10:QJ10,"D"))*1))/(COUNTA(QH10:QJ10)),"")</f>
        <v/>
      </c>
      <c r="QL10" s="184" t="str">
        <f t="shared" si="105"/>
        <v/>
      </c>
      <c r="QM10" s="172"/>
      <c r="QN10" s="107"/>
      <c r="QO10" s="108" t="s">
        <v>24</v>
      </c>
      <c r="QP10" s="183">
        <f>IFERROR((((COUNTIF('Elève (6ème1)'!QM10:QO10,"A"))*4)+((COUNTIF('Elève (6ème1)'!QM10:QO10,"B"))*3)+((COUNTIF('Elève (6ème1)'!QM10:QO10,"C"))*2)+((COUNTIF('Elève (6ème1)'!QM10:QO10,"D"))*1))/(COUNTA(QM10:QO10)),"")</f>
        <v>3</v>
      </c>
      <c r="QQ10" s="184" t="str">
        <f t="shared" si="106"/>
        <v>B</v>
      </c>
      <c r="QR10" s="183">
        <f>IF(COUNT(QF10,QK10,QP10)=0,"",SUM(QF10,QK10,QP10)/COUNT(QF10,QK10,QP10))</f>
        <v>3</v>
      </c>
      <c r="QS10" s="209" t="str">
        <f t="shared" si="107"/>
        <v>B</v>
      </c>
      <c r="QT10" s="217"/>
      <c r="QU10" s="107"/>
      <c r="QV10" s="108"/>
      <c r="QW10" s="183" t="str">
        <f>IFERROR((((COUNTIF('Elève (6ème1)'!QT10:QV10,"A"))*4)+((COUNTIF('Elève (6ème1)'!QT10:QV10,"B"))*3)+((COUNTIF('Elève (6ème1)'!QT10:QV10,"C"))*2)+((COUNTIF('Elève (6ème1)'!QT10:QV10,"D"))*1))/(COUNTA(QT10:QV10)),"")</f>
        <v/>
      </c>
      <c r="QX10" s="187" t="str">
        <f t="shared" si="108"/>
        <v/>
      </c>
      <c r="QY10" s="172"/>
      <c r="QZ10" s="107"/>
      <c r="RA10" s="108"/>
      <c r="RB10" s="183" t="str">
        <f>IFERROR((((COUNTIF('Elève (6ème1)'!QY10:RA10,"A"))*4)+((COUNTIF('Elève (6ème1)'!QY10:RA10,"B"))*3)+((COUNTIF('Elève (6ème1)'!QY10:RA10,"C"))*2)+((COUNTIF('Elève (6ème1)'!QY10:RA10,"D"))*1))/(COUNTA(QY10:RA10)),"")</f>
        <v/>
      </c>
      <c r="RC10" s="184" t="str">
        <f t="shared" si="109"/>
        <v/>
      </c>
      <c r="RD10" s="172"/>
      <c r="RE10" s="107"/>
      <c r="RF10" s="108" t="s">
        <v>24</v>
      </c>
      <c r="RG10" s="183">
        <f>IFERROR((((COUNTIF('Elève (6ème1)'!RD10:RF10,"A"))*4)+((COUNTIF('Elève (6ème1)'!RD10:RF10,"B"))*3)+((COUNTIF('Elève (6ème1)'!RD10:RF10,"C"))*2)+((COUNTIF('Elève (6ème1)'!RD10:RF10,"D"))*1))/(COUNTA(RD10:RF10)),"")</f>
        <v>3</v>
      </c>
      <c r="RH10" s="184" t="str">
        <f t="shared" si="110"/>
        <v>B</v>
      </c>
      <c r="RI10" s="183">
        <f>IF(COUNT(QW10,RB10,RG10)=0,"",SUM(QW10,RB10,RG10)/COUNT(QW10,RB10,RG10))</f>
        <v>3</v>
      </c>
      <c r="RJ10" s="209" t="str">
        <f t="shared" si="111"/>
        <v>B</v>
      </c>
      <c r="RK10" s="217"/>
      <c r="RL10" s="107"/>
      <c r="RM10" s="108"/>
      <c r="RN10" s="183" t="str">
        <f>IFERROR((((COUNTIF('Elève (6ème1)'!RK10:RM10,"A"))*4)+((COUNTIF('Elève (6ème1)'!RK10:RM10,"B"))*3)+((COUNTIF('Elève (6ème1)'!RK10:RM10,"C"))*2)+((COUNTIF('Elève (6ème1)'!RK10:RM10,"D"))*1))/(COUNTA(RK10:RM10)),"")</f>
        <v/>
      </c>
      <c r="RO10" s="187" t="str">
        <f t="shared" si="112"/>
        <v/>
      </c>
      <c r="RP10" s="172"/>
      <c r="RQ10" s="107"/>
      <c r="RR10" s="108"/>
      <c r="RS10" s="183" t="str">
        <f>IFERROR((((COUNTIF('Elève (6ème1)'!RP10:RR10,"A"))*4)+((COUNTIF('Elève (6ème1)'!RP10:RR10,"B"))*3)+((COUNTIF('Elève (6ème1)'!RP10:RR10,"C"))*2)+((COUNTIF('Elève (6ème1)'!RP10:RR10,"D"))*1))/(COUNTA(RP10:RR10)),"")</f>
        <v/>
      </c>
      <c r="RT10" s="184" t="str">
        <f t="shared" si="113"/>
        <v/>
      </c>
      <c r="RU10" s="172"/>
      <c r="RV10" s="107"/>
      <c r="RW10" s="108" t="s">
        <v>24</v>
      </c>
      <c r="RX10" s="183">
        <f>IFERROR((((COUNTIF('Elève (6ème1)'!RU10:RW10,"A"))*4)+((COUNTIF('Elève (6ème1)'!RU10:RW10,"B"))*3)+((COUNTIF('Elève (6ème1)'!RU10:RW10,"C"))*2)+((COUNTIF('Elève (6ème1)'!RU10:RW10,"D"))*1))/(COUNTA(RU10:RW10)),"")</f>
        <v>3</v>
      </c>
      <c r="RY10" s="184" t="str">
        <f t="shared" si="114"/>
        <v>B</v>
      </c>
      <c r="RZ10" s="183">
        <f>IF(COUNT(RN10,RS10,RX10)=0,"",SUM(RN10,RS10,RX10)/COUNT(RN10,RS10,RX10))</f>
        <v>3</v>
      </c>
      <c r="SA10" s="209" t="str">
        <f t="shared" si="115"/>
        <v>B</v>
      </c>
      <c r="SB10" s="217"/>
      <c r="SC10" s="107"/>
      <c r="SD10" s="108"/>
      <c r="SE10" s="183" t="str">
        <f>IFERROR((((COUNTIF('Elève (6ème1)'!SB10:SD10,"A"))*4)+((COUNTIF('Elève (6ème1)'!SB10:SD10,"B"))*3)+((COUNTIF('Elève (6ème1)'!SB10:SD10,"C"))*2)+((COUNTIF('Elève (6ème1)'!SB10:SD10,"D"))*1))/(COUNTA(SB10:SD10)),"")</f>
        <v/>
      </c>
      <c r="SF10" s="187" t="str">
        <f t="shared" si="116"/>
        <v/>
      </c>
      <c r="SG10" s="172"/>
      <c r="SH10" s="107"/>
      <c r="SI10" s="108"/>
      <c r="SJ10" s="183" t="str">
        <f>IFERROR((((COUNTIF('Elève (6ème1)'!SG10:SI10,"A"))*4)+((COUNTIF('Elève (6ème1)'!SG10:SI10,"B"))*3)+((COUNTIF('Elève (6ème1)'!SG10:SI10,"C"))*2)+((COUNTIF('Elève (6ème1)'!SG10:SI10,"D"))*1))/(COUNTA(SG10:SI10)),"")</f>
        <v/>
      </c>
      <c r="SK10" s="184" t="str">
        <f t="shared" si="117"/>
        <v/>
      </c>
      <c r="SL10" s="172"/>
      <c r="SM10" s="107"/>
      <c r="SN10" s="108" t="s">
        <v>24</v>
      </c>
      <c r="SO10" s="183">
        <f>IFERROR((((COUNTIF('Elève (6ème1)'!SL10:SN10,"A"))*4)+((COUNTIF('Elève (6ème1)'!SL10:SN10,"B"))*3)+((COUNTIF('Elève (6ème1)'!SL10:SN10,"C"))*2)+((COUNTIF('Elève (6ème1)'!SL10:SN10,"D"))*1))/(COUNTA(SL10:SN10)),"")</f>
        <v>3</v>
      </c>
      <c r="SP10" s="184" t="str">
        <f t="shared" si="118"/>
        <v>B</v>
      </c>
      <c r="SQ10" s="183">
        <f>IF(COUNT(SE10,SJ10,SO10)=0,"",SUM(SE10,SJ10,SO10)/COUNT(SE10,SJ10,SO10))</f>
        <v>3</v>
      </c>
      <c r="SR10" s="209" t="str">
        <f t="shared" si="119"/>
        <v>B</v>
      </c>
      <c r="SS10" s="217"/>
      <c r="ST10" s="107"/>
      <c r="SU10" s="108"/>
      <c r="SV10" s="183" t="str">
        <f>IFERROR((((COUNTIF('Elève (6ème1)'!SS10:SU10,"A"))*4)+((COUNTIF('Elève (6ème1)'!SS10:SU10,"B"))*3)+((COUNTIF('Elève (6ème1)'!SS10:SU10,"C"))*2)+((COUNTIF('Elève (6ème1)'!SS10:SU10,"D"))*1))/(COUNTA(SS10:SU10)),"")</f>
        <v/>
      </c>
      <c r="SW10" s="187" t="str">
        <f t="shared" si="120"/>
        <v/>
      </c>
      <c r="SX10" s="172"/>
      <c r="SY10" s="107"/>
      <c r="SZ10" s="108"/>
      <c r="TA10" s="183" t="str">
        <f>IFERROR((((COUNTIF('Elève (6ème1)'!SX10:SZ10,"A"))*4)+((COUNTIF('Elève (6ème1)'!SX10:SZ10,"B"))*3)+((COUNTIF('Elève (6ème1)'!SX10:SZ10,"C"))*2)+((COUNTIF('Elève (6ème1)'!SX10:SZ10,"D"))*1))/(COUNTA(SX10:SZ10)),"")</f>
        <v/>
      </c>
      <c r="TB10" s="184" t="str">
        <f t="shared" si="121"/>
        <v/>
      </c>
      <c r="TC10" s="172"/>
      <c r="TD10" s="107"/>
      <c r="TE10" s="108" t="s">
        <v>24</v>
      </c>
      <c r="TF10" s="183">
        <f>IFERROR((((COUNTIF('Elève (6ème1)'!TC10:TE10,"A"))*4)+((COUNTIF('Elève (6ème1)'!TC10:TE10,"B"))*3)+((COUNTIF('Elève (6ème1)'!TC10:TE10,"C"))*2)+((COUNTIF('Elève (6ème1)'!TC10:TE10,"D"))*1))/(COUNTA(TC10:TE10)),"")</f>
        <v>3</v>
      </c>
      <c r="TG10" s="184" t="str">
        <f t="shared" si="122"/>
        <v>B</v>
      </c>
      <c r="TH10" s="183">
        <f>IF(COUNT(SV10,TA10,TF10)=0,"",SUM(SV10,TA10,TF10)/COUNT(SV10,TA10,TF10))</f>
        <v>3</v>
      </c>
      <c r="TI10" s="209" t="str">
        <f t="shared" si="123"/>
        <v>B</v>
      </c>
      <c r="TJ10" s="217"/>
      <c r="TK10" s="107"/>
      <c r="TL10" s="108"/>
      <c r="TM10" s="183" t="str">
        <f>IFERROR((((COUNTIF('Elève (6ème1)'!TJ10:TL10,"A"))*4)+((COUNTIF('Elève (6ème1)'!TJ10:TL10,"B"))*3)+((COUNTIF('Elève (6ème1)'!TJ10:TL10,"C"))*2)+((COUNTIF('Elève (6ème1)'!TJ10:TL10,"D"))*1))/(COUNTA(TJ10:TL10)),"")</f>
        <v/>
      </c>
      <c r="TN10" s="187" t="str">
        <f t="shared" si="124"/>
        <v/>
      </c>
      <c r="TO10" s="172"/>
      <c r="TP10" s="107"/>
      <c r="TQ10" s="108"/>
      <c r="TR10" s="183" t="str">
        <f>IFERROR((((COUNTIF('Elève (6ème1)'!TO10:TQ10,"A"))*4)+((COUNTIF('Elève (6ème1)'!TO10:TQ10,"B"))*3)+((COUNTIF('Elève (6ème1)'!TO10:TQ10,"C"))*2)+((COUNTIF('Elève (6ème1)'!TO10:TQ10,"D"))*1))/(COUNTA(TO10:TQ10)),"")</f>
        <v/>
      </c>
      <c r="TS10" s="184" t="str">
        <f t="shared" si="125"/>
        <v/>
      </c>
      <c r="TT10" s="172"/>
      <c r="TU10" s="107"/>
      <c r="TV10" s="108" t="s">
        <v>23</v>
      </c>
      <c r="TW10" s="183">
        <f>IFERROR((((COUNTIF('Elève (6ème1)'!TT10:TV10,"A"))*4)+((COUNTIF('Elève (6ème1)'!TT10:TV10,"B"))*3)+((COUNTIF('Elève (6ème1)'!TT10:TV10,"C"))*2)+((COUNTIF('Elève (6ème1)'!TT10:TV10,"D"))*1))/(COUNTA(TT10:TV10)),"")</f>
        <v>4</v>
      </c>
      <c r="TX10" s="184" t="str">
        <f t="shared" si="126"/>
        <v>A</v>
      </c>
      <c r="TY10" s="183">
        <f>IF(COUNT(TM10,TR10,TW10)=0,"",SUM(TM10,TR10,TW10)/COUNT(TM10,TR10,TW10))</f>
        <v>4</v>
      </c>
      <c r="TZ10" s="209" t="str">
        <f t="shared" si="127"/>
        <v>A</v>
      </c>
    </row>
    <row r="11" spans="1:546" ht="14.45" customHeight="1" thickBot="1" x14ac:dyDescent="0.3">
      <c r="A11" s="242" t="s">
        <v>38</v>
      </c>
      <c r="B11" s="243"/>
      <c r="C11" s="120"/>
      <c r="D11" s="121"/>
      <c r="E11" s="122"/>
      <c r="F11" s="188" t="str">
        <f>IFERROR((((COUNTIF('Elève (6ème1)'!C11:E11,"A"))*4)+((COUNTIF('Elève (6ème1)'!C11:E11,"B"))*3)+((COUNTIF('Elève (6ème1)'!C11:E11,"C"))*2)+((COUNTIF('Elève (6ème1)'!C11:E11,"D"))*1))/(COUNTA(C11:E11)),"")</f>
        <v/>
      </c>
      <c r="G11" s="187" t="str">
        <f t="shared" si="0"/>
        <v/>
      </c>
      <c r="H11" s="120"/>
      <c r="I11" s="121"/>
      <c r="J11" s="122"/>
      <c r="K11" s="188" t="str">
        <f>IFERROR((((COUNTIF('Elève (6ème1)'!H11:J11,"A"))*4)+((COUNTIF('Elève (6ème1)'!H11:J11,"B"))*3)+((COUNTIF('Elève (6ème1)'!H11:J11,"C"))*2)+((COUNTIF('Elève (6ème1)'!H11:J11,"D"))*1))/(COUNTA(H11:J11)),"")</f>
        <v/>
      </c>
      <c r="L11" s="187" t="str">
        <f t="shared" si="1"/>
        <v/>
      </c>
      <c r="M11" s="120"/>
      <c r="N11" s="121"/>
      <c r="O11" s="122" t="s">
        <v>24</v>
      </c>
      <c r="P11" s="188">
        <f>IFERROR((((COUNTIF('Elève (6ème1)'!M11:O11,"A"))*4)+((COUNTIF('Elève (6ème1)'!M11:O11,"B"))*3)+((COUNTIF('Elève (6ème1)'!M11:O11,"C"))*2)+((COUNTIF('Elève (6ème1)'!M11:O11,"D"))*1))/(COUNTA(M11:O11)),"")</f>
        <v>3</v>
      </c>
      <c r="Q11" s="187" t="str">
        <f t="shared" si="2"/>
        <v>B</v>
      </c>
      <c r="R11" s="188">
        <f>IF(COUNT(F11,K11,P11)=0,"",SUM(F11,K11,P11)/COUNT(F11,K11,P11))</f>
        <v>3</v>
      </c>
      <c r="S11" s="210" t="str">
        <f t="shared" si="3"/>
        <v>B</v>
      </c>
      <c r="T11" s="125"/>
      <c r="U11" s="121"/>
      <c r="V11" s="122"/>
      <c r="W11" s="188" t="str">
        <f>IFERROR((((COUNTIF('Elève (6ème1)'!T11:V11,"A"))*4)+((COUNTIF('Elève (6ème1)'!T11:V11,"B"))*3)+((COUNTIF('Elève (6ème1)'!T11:V11,"C"))*2)+((COUNTIF('Elève (6ème1)'!T11:V11,"D"))*1))/(COUNTA(T11:V11)),"")</f>
        <v/>
      </c>
      <c r="X11" s="187" t="str">
        <f t="shared" si="4"/>
        <v/>
      </c>
      <c r="Y11" s="120"/>
      <c r="Z11" s="121"/>
      <c r="AA11" s="122"/>
      <c r="AB11" s="188" t="str">
        <f>IFERROR((((COUNTIF('Elève (6ème1)'!Y11:AA11,"A"))*4)+((COUNTIF('Elève (6ème1)'!Y11:AA11,"B"))*3)+((COUNTIF('Elève (6ème1)'!Y11:AA11,"C"))*2)+((COUNTIF('Elève (6ème1)'!Y11:AA11,"D"))*1))/(COUNTA(Y11:AA11)),"")</f>
        <v/>
      </c>
      <c r="AC11" s="187" t="str">
        <f t="shared" si="5"/>
        <v/>
      </c>
      <c r="AD11" s="120"/>
      <c r="AE11" s="121"/>
      <c r="AF11" s="122" t="s">
        <v>23</v>
      </c>
      <c r="AG11" s="188">
        <f>IFERROR((((COUNTIF('Elève (6ème1)'!AD11:AF11,"A"))*4)+((COUNTIF('Elève (6ème1)'!AD11:AF11,"B"))*3)+((COUNTIF('Elève (6ème1)'!AD11:AF11,"C"))*2)+((COUNTIF('Elève (6ème1)'!AD11:AF11,"D"))*1))/(COUNTA(AD11:AF11)),"")</f>
        <v>4</v>
      </c>
      <c r="AH11" s="187" t="str">
        <f t="shared" si="6"/>
        <v>A</v>
      </c>
      <c r="AI11" s="188">
        <f>IF(COUNT(W11,AB11,AG11)=0,"",SUM(W11,AB11,AG11)/COUNT(W11,AB11,AG11))</f>
        <v>4</v>
      </c>
      <c r="AJ11" s="210" t="str">
        <f t="shared" si="7"/>
        <v>A</v>
      </c>
      <c r="AK11" s="125"/>
      <c r="AL11" s="121"/>
      <c r="AM11" s="122"/>
      <c r="AN11" s="188" t="str">
        <f>IFERROR((((COUNTIF('Elève (6ème1)'!AK11:AM11,"A"))*4)+((COUNTIF('Elève (6ème1)'!AK11:AM11,"B"))*3)+((COUNTIF('Elève (6ème1)'!AK11:AM11,"C"))*2)+((COUNTIF('Elève (6ème1)'!AK11:AM11,"D"))*1))/(COUNTA(AK11:AM11)),"")</f>
        <v/>
      </c>
      <c r="AO11" s="187" t="str">
        <f t="shared" si="8"/>
        <v/>
      </c>
      <c r="AP11" s="120"/>
      <c r="AQ11" s="121"/>
      <c r="AR11" s="122"/>
      <c r="AS11" s="188" t="str">
        <f>IFERROR((((COUNTIF('Elève (6ème1)'!AP11:AR11,"A"))*4)+((COUNTIF('Elève (6ème1)'!AP11:AR11,"B"))*3)+((COUNTIF('Elève (6ème1)'!AP11:AR11,"C"))*2)+((COUNTIF('Elève (6ème1)'!AP11:AR11,"D"))*1))/(COUNTA(AP11:AR11)),"")</f>
        <v/>
      </c>
      <c r="AT11" s="187" t="str">
        <f t="shared" si="9"/>
        <v/>
      </c>
      <c r="AU11" s="120"/>
      <c r="AV11" s="121"/>
      <c r="AW11" s="122" t="s">
        <v>23</v>
      </c>
      <c r="AX11" s="188">
        <f>IFERROR((((COUNTIF('Elève (6ème1)'!AU11:AW11,"A"))*4)+((COUNTIF('Elève (6ème1)'!AU11:AW11,"B"))*3)+((COUNTIF('Elève (6ème1)'!AU11:AW11,"C"))*2)+((COUNTIF('Elève (6ème1)'!AU11:AW11,"D"))*1))/(COUNTA(AU11:AW11)),"")</f>
        <v>4</v>
      </c>
      <c r="AY11" s="187" t="str">
        <f t="shared" si="10"/>
        <v>A</v>
      </c>
      <c r="AZ11" s="188">
        <f>IF(COUNT(AN11,AS11,AX11)=0,"",SUM(AN11,AS11,AX11)/COUNT(AN11,AS11,AX11))</f>
        <v>4</v>
      </c>
      <c r="BA11" s="210" t="str">
        <f t="shared" si="11"/>
        <v>A</v>
      </c>
      <c r="BB11" s="125"/>
      <c r="BC11" s="121"/>
      <c r="BD11" s="122"/>
      <c r="BE11" s="188" t="str">
        <f>IFERROR((((COUNTIF('Elève (6ème1)'!BB11:BD11,"A"))*4)+((COUNTIF('Elève (6ème1)'!BB11:BD11,"B"))*3)+((COUNTIF('Elève (6ème1)'!BB11:BD11,"C"))*2)+((COUNTIF('Elève (6ème1)'!BB11:BD11,"D"))*1))/(COUNTA(BB11:BD11)),"")</f>
        <v/>
      </c>
      <c r="BF11" s="187" t="str">
        <f t="shared" si="12"/>
        <v/>
      </c>
      <c r="BG11" s="120"/>
      <c r="BH11" s="121"/>
      <c r="BI11" s="122"/>
      <c r="BJ11" s="188" t="str">
        <f>IFERROR((((COUNTIF('Elève (6ème1)'!BG11:BI11,"A"))*4)+((COUNTIF('Elève (6ème1)'!BG11:BI11,"B"))*3)+((COUNTIF('Elève (6ème1)'!BG11:BI11,"C"))*2)+((COUNTIF('Elève (6ème1)'!BG11:BI11,"D"))*1))/(COUNTA(BG11:BI11)),"")</f>
        <v/>
      </c>
      <c r="BK11" s="187" t="str">
        <f t="shared" si="13"/>
        <v/>
      </c>
      <c r="BL11" s="120"/>
      <c r="BM11" s="121"/>
      <c r="BN11" s="122" t="s">
        <v>24</v>
      </c>
      <c r="BO11" s="188">
        <f>IFERROR((((COUNTIF('Elève (6ème1)'!BL11:BN11,"A"))*4)+((COUNTIF('Elève (6ème1)'!BL11:BN11,"B"))*3)+((COUNTIF('Elève (6ème1)'!BL11:BN11,"C"))*2)+((COUNTIF('Elève (6ème1)'!BL11:BN11,"D"))*1))/(COUNTA(BL11:BN11)),"")</f>
        <v>3</v>
      </c>
      <c r="BP11" s="187" t="str">
        <f t="shared" si="14"/>
        <v>B</v>
      </c>
      <c r="BQ11" s="188">
        <f>IF(COUNT(BE11,BJ11,BO11)=0,"",SUM(BE11,BJ11,BO11)/COUNT(BE11,BJ11,BO11))</f>
        <v>3</v>
      </c>
      <c r="BR11" s="210" t="str">
        <f t="shared" si="15"/>
        <v>B</v>
      </c>
      <c r="BS11" s="125"/>
      <c r="BT11" s="121"/>
      <c r="BU11" s="122"/>
      <c r="BV11" s="188" t="str">
        <f>IFERROR((((COUNTIF('Elève (6ème1)'!BS11:BU11,"A"))*4)+((COUNTIF('Elève (6ème1)'!BS11:BU11,"B"))*3)+((COUNTIF('Elève (6ème1)'!BS11:BU11,"C"))*2)+((COUNTIF('Elève (6ème1)'!BS11:BU11,"D"))*1))/(COUNTA(BS11:BU11)),"")</f>
        <v/>
      </c>
      <c r="BW11" s="187" t="str">
        <f t="shared" si="16"/>
        <v/>
      </c>
      <c r="BX11" s="120"/>
      <c r="BY11" s="121"/>
      <c r="BZ11" s="122"/>
      <c r="CA11" s="188" t="str">
        <f>IFERROR((((COUNTIF('Elève (6ème1)'!BX11:BZ11,"A"))*4)+((COUNTIF('Elève (6ème1)'!BX11:BZ11,"B"))*3)+((COUNTIF('Elève (6ème1)'!BX11:BZ11,"C"))*2)+((COUNTIF('Elève (6ème1)'!BX11:BZ11,"D"))*1))/(COUNTA(BX11:BZ11)),"")</f>
        <v/>
      </c>
      <c r="CB11" s="187" t="str">
        <f t="shared" si="17"/>
        <v/>
      </c>
      <c r="CC11" s="120"/>
      <c r="CD11" s="121"/>
      <c r="CE11" s="122" t="s">
        <v>24</v>
      </c>
      <c r="CF11" s="188">
        <f>IFERROR((((COUNTIF('Elève (6ème1)'!CC11:CE11,"A"))*4)+((COUNTIF('Elève (6ème1)'!CC11:CE11,"B"))*3)+((COUNTIF('Elève (6ème1)'!CC11:CE11,"C"))*2)+((COUNTIF('Elève (6ème1)'!CC11:CE11,"D"))*1))/(COUNTA(CC11:CE11)),"")</f>
        <v>3</v>
      </c>
      <c r="CG11" s="187" t="str">
        <f t="shared" si="18"/>
        <v>B</v>
      </c>
      <c r="CH11" s="188">
        <f>IF(COUNT(BV11,CA11,CF11)=0,"",SUM(BV11,CA11,CF11)/COUNT(BV11,CA11,CF11))</f>
        <v>3</v>
      </c>
      <c r="CI11" s="210" t="str">
        <f t="shared" si="19"/>
        <v>B</v>
      </c>
      <c r="CJ11" s="125"/>
      <c r="CK11" s="121"/>
      <c r="CL11" s="122"/>
      <c r="CM11" s="188" t="str">
        <f>IFERROR((((COUNTIF('Elève (6ème1)'!CJ11:CL11,"A"))*4)+((COUNTIF('Elève (6ème1)'!CJ11:CL11,"B"))*3)+((COUNTIF('Elève (6ème1)'!CJ11:CL11,"C"))*2)+((COUNTIF('Elève (6ème1)'!CJ11:CL11,"D"))*1))/(COUNTA(CJ11:CL11)),"")</f>
        <v/>
      </c>
      <c r="CN11" s="187" t="str">
        <f t="shared" si="20"/>
        <v/>
      </c>
      <c r="CO11" s="120"/>
      <c r="CP11" s="121"/>
      <c r="CQ11" s="122"/>
      <c r="CR11" s="188" t="str">
        <f>IFERROR((((COUNTIF('Elève (6ème1)'!CO11:CQ11,"A"))*4)+((COUNTIF('Elève (6ème1)'!CO11:CQ11,"B"))*3)+((COUNTIF('Elève (6ème1)'!CO11:CQ11,"C"))*2)+((COUNTIF('Elève (6ème1)'!CO11:CQ11,"D"))*1))/(COUNTA(CO11:CQ11)),"")</f>
        <v/>
      </c>
      <c r="CS11" s="187" t="str">
        <f t="shared" si="21"/>
        <v/>
      </c>
      <c r="CT11" s="120"/>
      <c r="CU11" s="121"/>
      <c r="CV11" s="122"/>
      <c r="CW11" s="188" t="str">
        <f>IFERROR((((COUNTIF('Elève (6ème1)'!CT11:CV11,"A"))*4)+((COUNTIF('Elève (6ème1)'!CT11:CV11,"B"))*3)+((COUNTIF('Elève (6ème1)'!CT11:CV11,"C"))*2)+((COUNTIF('Elève (6ème1)'!CT11:CV11,"D"))*1))/(COUNTA(CT11:CV11)),"")</f>
        <v/>
      </c>
      <c r="CX11" s="187" t="str">
        <f t="shared" si="22"/>
        <v/>
      </c>
      <c r="CY11" s="188" t="str">
        <f>IF(COUNT(CM11,CR11,CW11)=0,"",SUM(CM11,CR11,CW11)/COUNT(CM11,CR11,CW11))</f>
        <v/>
      </c>
      <c r="CZ11" s="210" t="str">
        <f t="shared" si="23"/>
        <v/>
      </c>
      <c r="DA11" s="125"/>
      <c r="DB11" s="121"/>
      <c r="DC11" s="122"/>
      <c r="DD11" s="188" t="str">
        <f>IFERROR((((COUNTIF('Elève (6ème1)'!DA11:DC11,"A"))*4)+((COUNTIF('Elève (6ème1)'!DA11:DC11,"B"))*3)+((COUNTIF('Elève (6ème1)'!DA11:DC11,"C"))*2)+((COUNTIF('Elève (6ème1)'!DA11:DC11,"D"))*1))/(COUNTA(DA11:DC11)),"")</f>
        <v/>
      </c>
      <c r="DE11" s="187" t="str">
        <f t="shared" si="24"/>
        <v/>
      </c>
      <c r="DF11" s="120"/>
      <c r="DG11" s="121"/>
      <c r="DH11" s="122"/>
      <c r="DI11" s="188" t="str">
        <f>IFERROR((((COUNTIF('Elève (6ème1)'!DF11:DH11,"A"))*4)+((COUNTIF('Elève (6ème1)'!DF11:DH11,"B"))*3)+((COUNTIF('Elève (6ème1)'!DF11:DH11,"C"))*2)+((COUNTIF('Elève (6ème1)'!DF11:DH11,"D"))*1))/(COUNTA(DF11:DH11)),"")</f>
        <v/>
      </c>
      <c r="DJ11" s="187" t="str">
        <f t="shared" si="25"/>
        <v/>
      </c>
      <c r="DK11" s="120"/>
      <c r="DL11" s="121"/>
      <c r="DM11" s="122" t="s">
        <v>24</v>
      </c>
      <c r="DN11" s="188">
        <f>IFERROR((((COUNTIF('Elève (6ème1)'!DK11:DM11,"A"))*4)+((COUNTIF('Elève (6ème1)'!DK11:DM11,"B"))*3)+((COUNTIF('Elève (6ème1)'!DK11:DM11,"C"))*2)+((COUNTIF('Elève (6ème1)'!DK11:DM11,"D"))*1))/(COUNTA(DK11:DM11)),"")</f>
        <v>3</v>
      </c>
      <c r="DO11" s="187" t="str">
        <f t="shared" si="26"/>
        <v>B</v>
      </c>
      <c r="DP11" s="188">
        <f>IF(COUNT(DD11,DI11,DN11)=0,"",SUM(DD11,DI11,DN11)/COUNT(DD11,DI11,DN11))</f>
        <v>3</v>
      </c>
      <c r="DQ11" s="210" t="str">
        <f t="shared" si="27"/>
        <v>B</v>
      </c>
      <c r="DR11" s="125"/>
      <c r="DS11" s="121"/>
      <c r="DT11" s="122"/>
      <c r="DU11" s="188" t="str">
        <f>IFERROR((((COUNTIF('Elève (6ème1)'!DR11:DT11,"A"))*4)+((COUNTIF('Elève (6ème1)'!DR11:DT11,"B"))*3)+((COUNTIF('Elève (6ème1)'!DR11:DT11,"C"))*2)+((COUNTIF('Elève (6ème1)'!DR11:DT11,"D"))*1))/(COUNTA(DR11:DT11)),"")</f>
        <v/>
      </c>
      <c r="DV11" s="187" t="str">
        <f t="shared" si="28"/>
        <v/>
      </c>
      <c r="DW11" s="120"/>
      <c r="DX11" s="121"/>
      <c r="DY11" s="122"/>
      <c r="DZ11" s="188" t="str">
        <f>IFERROR((((COUNTIF('Elève (6ème1)'!DW11:DY11,"A"))*4)+((COUNTIF('Elève (6ème1)'!DW11:DY11,"B"))*3)+((COUNTIF('Elève (6ème1)'!DW11:DY11,"C"))*2)+((COUNTIF('Elève (6ème1)'!DW11:DY11,"D"))*1))/(COUNTA(DW11:DY11)),"")</f>
        <v/>
      </c>
      <c r="EA11" s="187" t="str">
        <f t="shared" si="29"/>
        <v/>
      </c>
      <c r="EB11" s="120"/>
      <c r="EC11" s="121"/>
      <c r="ED11" s="122" t="s">
        <v>24</v>
      </c>
      <c r="EE11" s="188">
        <f>IFERROR((((COUNTIF('Elève (6ème1)'!EB11:ED11,"A"))*4)+((COUNTIF('Elève (6ème1)'!EB11:ED11,"B"))*3)+((COUNTIF('Elève (6ème1)'!EB11:ED11,"C"))*2)+((COUNTIF('Elève (6ème1)'!EB11:ED11,"D"))*1))/(COUNTA(EB11:ED11)),"")</f>
        <v>3</v>
      </c>
      <c r="EF11" s="187" t="str">
        <f t="shared" si="30"/>
        <v>B</v>
      </c>
      <c r="EG11" s="188">
        <f>IF(COUNT(DU11,DZ11,EE11)=0,"",SUM(DU11,DZ11,EE11)/COUNT(DU11,DZ11,EE11))</f>
        <v>3</v>
      </c>
      <c r="EH11" s="210" t="str">
        <f t="shared" si="31"/>
        <v>B</v>
      </c>
      <c r="EI11" s="125"/>
      <c r="EJ11" s="121"/>
      <c r="EK11" s="122"/>
      <c r="EL11" s="188" t="str">
        <f>IFERROR((((COUNTIF('Elève (6ème1)'!EI11:EK11,"A"))*4)+((COUNTIF('Elève (6ème1)'!EI11:EK11,"B"))*3)+((COUNTIF('Elève (6ème1)'!EI11:EK11,"C"))*2)+((COUNTIF('Elève (6ème1)'!EI11:EK11,"D"))*1))/(COUNTA(EI11:EK11)),"")</f>
        <v/>
      </c>
      <c r="EM11" s="187" t="str">
        <f t="shared" si="32"/>
        <v/>
      </c>
      <c r="EN11" s="120"/>
      <c r="EO11" s="121"/>
      <c r="EP11" s="122"/>
      <c r="EQ11" s="188" t="str">
        <f>IFERROR((((COUNTIF('Elève (6ème1)'!EN11:EP11,"A"))*4)+((COUNTIF('Elève (6ème1)'!EN11:EP11,"B"))*3)+((COUNTIF('Elève (6ème1)'!EN11:EP11,"C"))*2)+((COUNTIF('Elève (6ème1)'!EN11:EP11,"D"))*1))/(COUNTA(EN11:EP11)),"")</f>
        <v/>
      </c>
      <c r="ER11" s="187" t="str">
        <f t="shared" si="33"/>
        <v/>
      </c>
      <c r="ES11" s="120"/>
      <c r="ET11" s="121"/>
      <c r="EU11" s="122" t="s">
        <v>24</v>
      </c>
      <c r="EV11" s="188">
        <f>IFERROR((((COUNTIF('Elève (6ème1)'!ES11:EU11,"A"))*4)+((COUNTIF('Elève (6ème1)'!ES11:EU11,"B"))*3)+((COUNTIF('Elève (6ème1)'!ES11:EU11,"C"))*2)+((COUNTIF('Elève (6ème1)'!ES11:EU11,"D"))*1))/(COUNTA(ES11:EU11)),"")</f>
        <v>3</v>
      </c>
      <c r="EW11" s="187" t="str">
        <f t="shared" si="34"/>
        <v>B</v>
      </c>
      <c r="EX11" s="188">
        <f>IF(COUNT(EL11,EQ11,EV11)=0,"",SUM(EL11,EQ11,EV11)/COUNT(EL11,EQ11,EV11))</f>
        <v>3</v>
      </c>
      <c r="EY11" s="210" t="str">
        <f t="shared" si="35"/>
        <v>B</v>
      </c>
      <c r="EZ11" s="125"/>
      <c r="FA11" s="121"/>
      <c r="FB11" s="122"/>
      <c r="FC11" s="188" t="str">
        <f>IFERROR((((COUNTIF('Elève (6ème1)'!EZ11:FB11,"A"))*4)+((COUNTIF('Elève (6ème1)'!EZ11:FB11,"B"))*3)+((COUNTIF('Elève (6ème1)'!EZ11:FB11,"C"))*2)+((COUNTIF('Elève (6ème1)'!EZ11:FB11,"D"))*1))/(COUNTA(EZ11:FB11)),"")</f>
        <v/>
      </c>
      <c r="FD11" s="187" t="str">
        <f t="shared" si="36"/>
        <v/>
      </c>
      <c r="FE11" s="120"/>
      <c r="FF11" s="121"/>
      <c r="FG11" s="122"/>
      <c r="FH11" s="188" t="str">
        <f>IFERROR((((COUNTIF('Elève (6ème1)'!FE11:FG11,"A"))*4)+((COUNTIF('Elève (6ème1)'!FE11:FG11,"B"))*3)+((COUNTIF('Elève (6ème1)'!FE11:FG11,"C"))*2)+((COUNTIF('Elève (6ème1)'!FE11:FG11,"D"))*1))/(COUNTA(FE11:FG11)),"")</f>
        <v/>
      </c>
      <c r="FI11" s="187" t="str">
        <f t="shared" si="37"/>
        <v/>
      </c>
      <c r="FJ11" s="120"/>
      <c r="FK11" s="121"/>
      <c r="FL11" s="122" t="s">
        <v>24</v>
      </c>
      <c r="FM11" s="188">
        <f>IFERROR((((COUNTIF('Elève (6ème1)'!FJ11:FL11,"A"))*4)+((COUNTIF('Elève (6ème1)'!FJ11:FL11,"B"))*3)+((COUNTIF('Elève (6ème1)'!FJ11:FL11,"C"))*2)+((COUNTIF('Elève (6ème1)'!FJ11:FL11,"D"))*1))/(COUNTA(FJ11:FL11)),"")</f>
        <v>3</v>
      </c>
      <c r="FN11" s="187" t="str">
        <f t="shared" si="38"/>
        <v>B</v>
      </c>
      <c r="FO11" s="188">
        <f>IF(COUNT(FC11,FH11,FM11)=0,"",SUM(FC11,FH11,FM11)/COUNT(FC11,FH11,FM11))</f>
        <v>3</v>
      </c>
      <c r="FP11" s="210" t="str">
        <f t="shared" si="39"/>
        <v>B</v>
      </c>
      <c r="FQ11" s="125"/>
      <c r="FR11" s="121"/>
      <c r="FS11" s="122"/>
      <c r="FT11" s="188" t="str">
        <f>IFERROR((((COUNTIF('Elève (6ème1)'!FQ11:FS11,"A"))*4)+((COUNTIF('Elève (6ème1)'!FQ11:FS11,"B"))*3)+((COUNTIF('Elève (6ème1)'!FQ11:FS11,"C"))*2)+((COUNTIF('Elève (6ème1)'!FQ11:FS11,"D"))*1))/(COUNTA(FQ11:FS11)),"")</f>
        <v/>
      </c>
      <c r="FU11" s="187" t="str">
        <f t="shared" si="40"/>
        <v/>
      </c>
      <c r="FV11" s="120"/>
      <c r="FW11" s="121"/>
      <c r="FX11" s="122"/>
      <c r="FY11" s="188" t="str">
        <f>IFERROR((((COUNTIF('Elève (6ème1)'!FV11:FX11,"A"))*4)+((COUNTIF('Elève (6ème1)'!FV11:FX11,"B"))*3)+((COUNTIF('Elève (6ème1)'!FV11:FX11,"C"))*2)+((COUNTIF('Elève (6ème1)'!FV11:FX11,"D"))*1))/(COUNTA(FV11:FX11)),"")</f>
        <v/>
      </c>
      <c r="FZ11" s="187" t="str">
        <f t="shared" si="41"/>
        <v/>
      </c>
      <c r="GA11" s="120"/>
      <c r="GB11" s="121"/>
      <c r="GC11" s="122" t="s">
        <v>24</v>
      </c>
      <c r="GD11" s="188">
        <f>IFERROR((((COUNTIF('Elève (6ème1)'!GA11:GC11,"A"))*4)+((COUNTIF('Elève (6ème1)'!GA11:GC11,"B"))*3)+((COUNTIF('Elève (6ème1)'!GA11:GC11,"C"))*2)+((COUNTIF('Elève (6ème1)'!GA11:GC11,"D"))*1))/(COUNTA(GA11:GC11)),"")</f>
        <v>3</v>
      </c>
      <c r="GE11" s="187" t="str">
        <f t="shared" si="42"/>
        <v>B</v>
      </c>
      <c r="GF11" s="188">
        <f>IF(COUNT(FT11,FY11,GD11)=0,"",SUM(FT11,FY11,GD11)/COUNT(FT11,FY11,GD11))</f>
        <v>3</v>
      </c>
      <c r="GG11" s="210" t="str">
        <f t="shared" si="43"/>
        <v>B</v>
      </c>
      <c r="GH11" s="125"/>
      <c r="GI11" s="121"/>
      <c r="GJ11" s="122"/>
      <c r="GK11" s="188" t="str">
        <f>IFERROR((((COUNTIF('Elève (6ème1)'!GH11:GJ11,"A"))*4)+((COUNTIF('Elève (6ème1)'!GH11:GJ11,"B"))*3)+((COUNTIF('Elève (6ème1)'!GH11:GJ11,"C"))*2)+((COUNTIF('Elève (6ème1)'!GH11:GJ11,"D"))*1))/(COUNTA(GH11:GJ11)),"")</f>
        <v/>
      </c>
      <c r="GL11" s="187" t="str">
        <f t="shared" si="44"/>
        <v/>
      </c>
      <c r="GM11" s="120"/>
      <c r="GN11" s="121"/>
      <c r="GO11" s="122"/>
      <c r="GP11" s="188" t="str">
        <f>IFERROR((((COUNTIF('Elève (6ème1)'!GM11:GO11,"A"))*4)+((COUNTIF('Elève (6ème1)'!GM11:GO11,"B"))*3)+((COUNTIF('Elève (6ème1)'!GM11:GO11,"C"))*2)+((COUNTIF('Elève (6ème1)'!GM11:GO11,"D"))*1))/(COUNTA(GM11:GO11)),"")</f>
        <v/>
      </c>
      <c r="GQ11" s="187" t="str">
        <f t="shared" si="45"/>
        <v/>
      </c>
      <c r="GR11" s="120"/>
      <c r="GS11" s="121"/>
      <c r="GT11" s="122" t="s">
        <v>24</v>
      </c>
      <c r="GU11" s="188">
        <f>IFERROR((((COUNTIF('Elève (6ème1)'!GR11:GT11,"A"))*4)+((COUNTIF('Elève (6ème1)'!GR11:GT11,"B"))*3)+((COUNTIF('Elève (6ème1)'!GR11:GT11,"C"))*2)+((COUNTIF('Elève (6ème1)'!GR11:GT11,"D"))*1))/(COUNTA(GR11:GT11)),"")</f>
        <v>3</v>
      </c>
      <c r="GV11" s="187" t="str">
        <f t="shared" si="46"/>
        <v>B</v>
      </c>
      <c r="GW11" s="188">
        <f>IF(COUNT(GK11,GP11,GU11)=0,"",SUM(GK11,GP11,GU11)/COUNT(GK11,GP11,GU11))</f>
        <v>3</v>
      </c>
      <c r="GX11" s="210" t="str">
        <f t="shared" si="47"/>
        <v>B</v>
      </c>
      <c r="GY11" s="125"/>
      <c r="GZ11" s="121"/>
      <c r="HA11" s="122"/>
      <c r="HB11" s="188" t="str">
        <f>IFERROR((((COUNTIF('Elève (6ème1)'!GY11:HA11,"A"))*4)+((COUNTIF('Elève (6ème1)'!GY11:HA11,"B"))*3)+((COUNTIF('Elève (6ème1)'!GY11:HA11,"C"))*2)+((COUNTIF('Elève (6ème1)'!GY11:HA11,"D"))*1))/(COUNTA(GY11:HA11)),"")</f>
        <v/>
      </c>
      <c r="HC11" s="187" t="str">
        <f t="shared" si="48"/>
        <v/>
      </c>
      <c r="HD11" s="120"/>
      <c r="HE11" s="121"/>
      <c r="HF11" s="122"/>
      <c r="HG11" s="188" t="str">
        <f>IFERROR((((COUNTIF('Elève (6ème1)'!HD11:HF11,"A"))*4)+((COUNTIF('Elève (6ème1)'!HD11:HF11,"B"))*3)+((COUNTIF('Elève (6ème1)'!HD11:HF11,"C"))*2)+((COUNTIF('Elève (6ème1)'!HD11:HF11,"D"))*1))/(COUNTA(HD11:HF11)),"")</f>
        <v/>
      </c>
      <c r="HH11" s="187" t="str">
        <f t="shared" si="49"/>
        <v/>
      </c>
      <c r="HI11" s="120"/>
      <c r="HJ11" s="121"/>
      <c r="HK11" s="122" t="s">
        <v>24</v>
      </c>
      <c r="HL11" s="188">
        <f>IFERROR((((COUNTIF('Elève (6ème1)'!HI11:HK11,"A"))*4)+((COUNTIF('Elève (6ème1)'!HI11:HK11,"B"))*3)+((COUNTIF('Elève (6ème1)'!HI11:HK11,"C"))*2)+((COUNTIF('Elève (6ème1)'!HI11:HK11,"D"))*1))/(COUNTA(HI11:HK11)),"")</f>
        <v>3</v>
      </c>
      <c r="HM11" s="187" t="str">
        <f t="shared" si="50"/>
        <v>B</v>
      </c>
      <c r="HN11" s="188">
        <f>IF(COUNT(HB11,HG11,HL11)=0,"",SUM(HB11,HG11,HL11)/COUNT(HB11,HG11,HL11))</f>
        <v>3</v>
      </c>
      <c r="HO11" s="210" t="str">
        <f t="shared" si="51"/>
        <v>B</v>
      </c>
      <c r="HP11" s="125"/>
      <c r="HQ11" s="121"/>
      <c r="HR11" s="122"/>
      <c r="HS11" s="188" t="str">
        <f>IFERROR((((COUNTIF('Elève (6ème1)'!HP11:HR11,"A"))*4)+((COUNTIF('Elève (6ème1)'!HP11:HR11,"B"))*3)+((COUNTIF('Elève (6ème1)'!HP11:HR11,"C"))*2)+((COUNTIF('Elève (6ème1)'!HP11:HR11,"D"))*1))/(COUNTA(HP11:HR11)),"")</f>
        <v/>
      </c>
      <c r="HT11" s="187" t="str">
        <f t="shared" si="52"/>
        <v/>
      </c>
      <c r="HU11" s="120"/>
      <c r="HV11" s="121"/>
      <c r="HW11" s="122"/>
      <c r="HX11" s="188" t="str">
        <f>IFERROR((((COUNTIF('Elève (6ème1)'!HU11:HW11,"A"))*4)+((COUNTIF('Elève (6ème1)'!HU11:HW11,"B"))*3)+((COUNTIF('Elève (6ème1)'!HU11:HW11,"C"))*2)+((COUNTIF('Elève (6ème1)'!HU11:HW11,"D"))*1))/(COUNTA(HU11:HW11)),"")</f>
        <v/>
      </c>
      <c r="HY11" s="187" t="str">
        <f t="shared" si="53"/>
        <v/>
      </c>
      <c r="HZ11" s="120"/>
      <c r="IA11" s="121"/>
      <c r="IB11" s="122" t="s">
        <v>24</v>
      </c>
      <c r="IC11" s="188">
        <f>IFERROR((((COUNTIF('Elève (6ème1)'!HZ11:IB11,"A"))*4)+((COUNTIF('Elève (6ème1)'!HZ11:IB11,"B"))*3)+((COUNTIF('Elève (6ème1)'!HZ11:IB11,"C"))*2)+((COUNTIF('Elève (6ème1)'!HZ11:IB11,"D"))*1))/(COUNTA(HZ11:IB11)),"")</f>
        <v>3</v>
      </c>
      <c r="ID11" s="187" t="str">
        <f t="shared" si="54"/>
        <v>B</v>
      </c>
      <c r="IE11" s="188">
        <f>IF(COUNT(HS11,HX11,IC11)=0,"",SUM(HS11,HX11,IC11)/COUNT(HS11,HX11,IC11))</f>
        <v>3</v>
      </c>
      <c r="IF11" s="210" t="str">
        <f t="shared" si="55"/>
        <v>B</v>
      </c>
      <c r="IG11" s="125"/>
      <c r="IH11" s="121"/>
      <c r="II11" s="122"/>
      <c r="IJ11" s="188" t="str">
        <f>IFERROR((((COUNTIF('Elève (6ème1)'!IG11:II11,"A"))*4)+((COUNTIF('Elève (6ème1)'!IG11:II11,"B"))*3)+((COUNTIF('Elève (6ème1)'!IG11:II11,"C"))*2)+((COUNTIF('Elève (6ème1)'!IG11:II11,"D"))*1))/(COUNTA(IG11:II11)),"")</f>
        <v/>
      </c>
      <c r="IK11" s="187" t="str">
        <f t="shared" si="56"/>
        <v/>
      </c>
      <c r="IL11" s="120"/>
      <c r="IM11" s="121"/>
      <c r="IN11" s="122"/>
      <c r="IO11" s="188" t="str">
        <f>IFERROR((((COUNTIF('Elève (6ème1)'!IL11:IN11,"A"))*4)+((COUNTIF('Elève (6ème1)'!IL11:IN11,"B"))*3)+((COUNTIF('Elève (6ème1)'!IL11:IN11,"C"))*2)+((COUNTIF('Elève (6ème1)'!IL11:IN11,"D"))*1))/(COUNTA(IL11:IN11)),"")</f>
        <v/>
      </c>
      <c r="IP11" s="187" t="str">
        <f t="shared" si="57"/>
        <v/>
      </c>
      <c r="IQ11" s="120"/>
      <c r="IR11" s="121"/>
      <c r="IS11" s="122"/>
      <c r="IT11" s="188" t="str">
        <f>IFERROR((((COUNTIF('Elève (6ème1)'!IQ11:IS11,"A"))*4)+((COUNTIF('Elève (6ème1)'!IQ11:IS11,"B"))*3)+((COUNTIF('Elève (6ème1)'!IQ11:IS11,"C"))*2)+((COUNTIF('Elève (6ème1)'!IQ11:IS11,"D"))*1))/(COUNTA(IQ11:IS11)),"")</f>
        <v/>
      </c>
      <c r="IU11" s="187" t="str">
        <f t="shared" si="58"/>
        <v/>
      </c>
      <c r="IV11" s="188" t="str">
        <f>IF(COUNT(IJ11,IO11,IT11)=0,"",SUM(IJ11,IO11,IT11)/COUNT(IJ11,IO11,IT11))</f>
        <v/>
      </c>
      <c r="IW11" s="210" t="str">
        <f t="shared" si="59"/>
        <v/>
      </c>
      <c r="IX11" s="125"/>
      <c r="IY11" s="121"/>
      <c r="IZ11" s="122"/>
      <c r="JA11" s="188" t="str">
        <f>IFERROR((((COUNTIF('Elève (6ème1)'!IX11:IZ11,"A"))*4)+((COUNTIF('Elève (6ème1)'!IX11:IZ11,"B"))*3)+((COUNTIF('Elève (6ème1)'!IX11:IZ11,"C"))*2)+((COUNTIF('Elève (6ème1)'!IX11:IZ11,"D"))*1))/(COUNTA(IX11:IZ11)),"")</f>
        <v/>
      </c>
      <c r="JB11" s="187" t="str">
        <f t="shared" si="60"/>
        <v/>
      </c>
      <c r="JC11" s="120"/>
      <c r="JD11" s="121"/>
      <c r="JE11" s="122"/>
      <c r="JF11" s="188" t="str">
        <f>IFERROR((((COUNTIF('Elève (6ème1)'!JC11:JE11,"A"))*4)+((COUNTIF('Elève (6ème1)'!JC11:JE11,"B"))*3)+((COUNTIF('Elève (6ème1)'!JC11:JE11,"C"))*2)+((COUNTIF('Elève (6ème1)'!JC11:JE11,"D"))*1))/(COUNTA(JC11:JE11)),"")</f>
        <v/>
      </c>
      <c r="JG11" s="187" t="str">
        <f t="shared" si="61"/>
        <v/>
      </c>
      <c r="JH11" s="120"/>
      <c r="JI11" s="121"/>
      <c r="JJ11" s="122"/>
      <c r="JK11" s="188" t="str">
        <f>IFERROR((((COUNTIF('Elève (6ème1)'!JH11:JJ11,"A"))*4)+((COUNTIF('Elève (6ème1)'!JH11:JJ11,"B"))*3)+((COUNTIF('Elève (6ème1)'!JH11:JJ11,"C"))*2)+((COUNTIF('Elève (6ème1)'!JH11:JJ11,"D"))*1))/(COUNTA(JH11:JJ11)),"")</f>
        <v/>
      </c>
      <c r="JL11" s="187" t="str">
        <f t="shared" si="62"/>
        <v/>
      </c>
      <c r="JM11" s="188" t="str">
        <f>IF(COUNT(JA11,JF11,JK11)=0,"",SUM(JA11,JF11,JK11)/COUNT(JA11,JF11,JK11))</f>
        <v/>
      </c>
      <c r="JN11" s="210" t="str">
        <f t="shared" si="63"/>
        <v/>
      </c>
      <c r="JO11" s="125"/>
      <c r="JP11" s="121"/>
      <c r="JQ11" s="122"/>
      <c r="JR11" s="188" t="str">
        <f>IFERROR((((COUNTIF('Elève (6ème1)'!JO11:JQ11,"A"))*4)+((COUNTIF('Elève (6ème1)'!JO11:JQ11,"B"))*3)+((COUNTIF('Elève (6ème1)'!JO11:JQ11,"C"))*2)+((COUNTIF('Elève (6ème1)'!JO11:JQ11,"D"))*1))/(COUNTA(JO11:JQ11)),"")</f>
        <v/>
      </c>
      <c r="JS11" s="187" t="str">
        <f t="shared" si="64"/>
        <v/>
      </c>
      <c r="JT11" s="120"/>
      <c r="JU11" s="121"/>
      <c r="JV11" s="122"/>
      <c r="JW11" s="188" t="str">
        <f>IFERROR((((COUNTIF('Elève (6ème1)'!JT11:JV11,"A"))*4)+((COUNTIF('Elève (6ème1)'!JT11:JV11,"B"))*3)+((COUNTIF('Elève (6ème1)'!JT11:JV11,"C"))*2)+((COUNTIF('Elève (6ème1)'!JT11:JV11,"D"))*1))/(COUNTA(JT11:JV11)),"")</f>
        <v/>
      </c>
      <c r="JX11" s="187" t="str">
        <f t="shared" si="65"/>
        <v/>
      </c>
      <c r="JY11" s="120"/>
      <c r="JZ11" s="121"/>
      <c r="KA11" s="122" t="s">
        <v>24</v>
      </c>
      <c r="KB11" s="188">
        <f>IFERROR((((COUNTIF('Elève (6ème1)'!JY11:KA11,"A"))*4)+((COUNTIF('Elève (6ème1)'!JY11:KA11,"B"))*3)+((COUNTIF('Elève (6ème1)'!JY11:KA11,"C"))*2)+((COUNTIF('Elève (6ème1)'!JY11:KA11,"D"))*1))/(COUNTA(JY11:KA11)),"")</f>
        <v>3</v>
      </c>
      <c r="KC11" s="187" t="str">
        <f t="shared" si="66"/>
        <v>B</v>
      </c>
      <c r="KD11" s="188">
        <f>IF(COUNT(JR11,JW11,KB11)=0,"",SUM(JR11,JW11,KB11)/COUNT(JR11,JW11,KB11))</f>
        <v>3</v>
      </c>
      <c r="KE11" s="210" t="str">
        <f t="shared" si="67"/>
        <v>B</v>
      </c>
      <c r="KF11" s="125"/>
      <c r="KG11" s="121"/>
      <c r="KH11" s="122"/>
      <c r="KI11" s="188" t="str">
        <f>IFERROR((((COUNTIF('Elève (6ème1)'!KF11:KH11,"A"))*4)+((COUNTIF('Elève (6ème1)'!KF11:KH11,"B"))*3)+((COUNTIF('Elève (6ème1)'!KF11:KH11,"C"))*2)+((COUNTIF('Elève (6ème1)'!KF11:KH11,"D"))*1))/(COUNTA(KF11:KH11)),"")</f>
        <v/>
      </c>
      <c r="KJ11" s="187" t="str">
        <f t="shared" si="68"/>
        <v/>
      </c>
      <c r="KK11" s="120"/>
      <c r="KL11" s="121"/>
      <c r="KM11" s="122"/>
      <c r="KN11" s="188" t="str">
        <f>IFERROR((((COUNTIF('Elève (6ème1)'!KK11:KM11,"A"))*4)+((COUNTIF('Elève (6ème1)'!KK11:KM11,"B"))*3)+((COUNTIF('Elève (6ème1)'!KK11:KM11,"C"))*2)+((COUNTIF('Elève (6ème1)'!KK11:KM11,"D"))*1))/(COUNTA(KK11:KM11)),"")</f>
        <v/>
      </c>
      <c r="KO11" s="187" t="str">
        <f t="shared" si="69"/>
        <v/>
      </c>
      <c r="KP11" s="120"/>
      <c r="KQ11" s="121"/>
      <c r="KR11" s="122" t="s">
        <v>24</v>
      </c>
      <c r="KS11" s="188">
        <f>IFERROR((((COUNTIF('Elève (6ème1)'!KP11:KR11,"A"))*4)+((COUNTIF('Elève (6ème1)'!KP11:KR11,"B"))*3)+((COUNTIF('Elève (6ème1)'!KP11:KR11,"C"))*2)+((COUNTIF('Elève (6ème1)'!KP11:KR11,"D"))*1))/(COUNTA(KP11:KR11)),"")</f>
        <v>3</v>
      </c>
      <c r="KT11" s="187" t="str">
        <f t="shared" si="70"/>
        <v>B</v>
      </c>
      <c r="KU11" s="188">
        <f>IF(COUNT(KI11,KN11,KS11)=0,"",SUM(KI11,KN11,KS11)/COUNT(KI11,KN11,KS11))</f>
        <v>3</v>
      </c>
      <c r="KV11" s="210" t="str">
        <f t="shared" si="71"/>
        <v>B</v>
      </c>
      <c r="KW11" s="125"/>
      <c r="KX11" s="121"/>
      <c r="KY11" s="122"/>
      <c r="KZ11" s="188" t="str">
        <f>IFERROR((((COUNTIF('Elève (6ème1)'!KW11:KY11,"A"))*4)+((COUNTIF('Elève (6ème1)'!KW11:KY11,"B"))*3)+((COUNTIF('Elève (6ème1)'!KW11:KY11,"C"))*2)+((COUNTIF('Elève (6ème1)'!KW11:KY11,"D"))*1))/(COUNTA(KW11:KY11)),"")</f>
        <v/>
      </c>
      <c r="LA11" s="187" t="str">
        <f t="shared" si="72"/>
        <v/>
      </c>
      <c r="LB11" s="120"/>
      <c r="LC11" s="121"/>
      <c r="LD11" s="122"/>
      <c r="LE11" s="188" t="str">
        <f>IFERROR((((COUNTIF('Elève (6ème1)'!LB11:LD11,"A"))*4)+((COUNTIF('Elève (6ème1)'!LB11:LD11,"B"))*3)+((COUNTIF('Elève (6ème1)'!LB11:LD11,"C"))*2)+((COUNTIF('Elève (6ème1)'!LB11:LD11,"D"))*1))/(COUNTA(LB11:LD11)),"")</f>
        <v/>
      </c>
      <c r="LF11" s="187" t="str">
        <f t="shared" si="73"/>
        <v/>
      </c>
      <c r="LG11" s="120"/>
      <c r="LH11" s="121"/>
      <c r="LI11" s="122" t="s">
        <v>23</v>
      </c>
      <c r="LJ11" s="188">
        <f>IFERROR((((COUNTIF('Elève (6ème1)'!LG11:LI11,"A"))*4)+((COUNTIF('Elève (6ème1)'!LG11:LI11,"B"))*3)+((COUNTIF('Elève (6ème1)'!LG11:LI11,"C"))*2)+((COUNTIF('Elève (6ème1)'!LG11:LI11,"D"))*1))/(COUNTA(LG11:LI11)),"")</f>
        <v>4</v>
      </c>
      <c r="LK11" s="187" t="str">
        <f t="shared" si="74"/>
        <v>A</v>
      </c>
      <c r="LL11" s="188">
        <f>IF(COUNT(KZ11,LE11,LJ11)=0,"",SUM(KZ11,LE11,LJ11)/COUNT(KZ11,LE11,LJ11))</f>
        <v>4</v>
      </c>
      <c r="LM11" s="210" t="str">
        <f t="shared" si="75"/>
        <v>A</v>
      </c>
      <c r="LN11" s="125"/>
      <c r="LO11" s="121"/>
      <c r="LP11" s="122"/>
      <c r="LQ11" s="188" t="str">
        <f>IFERROR((((COUNTIF('Elève (6ème1)'!LN11:LP11,"A"))*4)+((COUNTIF('Elève (6ème1)'!LN11:LP11,"B"))*3)+((COUNTIF('Elève (6ème1)'!LN11:LP11,"C"))*2)+((COUNTIF('Elève (6ème1)'!LN11:LP11,"D"))*1))/(COUNTA(LN11:LP11)),"")</f>
        <v/>
      </c>
      <c r="LR11" s="187" t="str">
        <f t="shared" si="76"/>
        <v/>
      </c>
      <c r="LS11" s="120"/>
      <c r="LT11" s="121"/>
      <c r="LU11" s="122"/>
      <c r="LV11" s="188" t="str">
        <f>IFERROR((((COUNTIF('Elève (6ème1)'!LS11:LU11,"A"))*4)+((COUNTIF('Elève (6ème1)'!LS11:LU11,"B"))*3)+((COUNTIF('Elève (6ème1)'!LS11:LU11,"C"))*2)+((COUNTIF('Elève (6ème1)'!LS11:LU11,"D"))*1))/(COUNTA(LS11:LU11)),"")</f>
        <v/>
      </c>
      <c r="LW11" s="187" t="str">
        <f t="shared" si="77"/>
        <v/>
      </c>
      <c r="LX11" s="120"/>
      <c r="LY11" s="121"/>
      <c r="LZ11" s="122" t="s">
        <v>24</v>
      </c>
      <c r="MA11" s="188">
        <f>IFERROR((((COUNTIF('Elève (6ème1)'!LX11:LZ11,"A"))*4)+((COUNTIF('Elève (6ème1)'!LX11:LZ11,"B"))*3)+((COUNTIF('Elève (6ème1)'!LX11:LZ11,"C"))*2)+((COUNTIF('Elève (6ème1)'!LX11:LZ11,"D"))*1))/(COUNTA(LX11:LZ11)),"")</f>
        <v>3</v>
      </c>
      <c r="MB11" s="187" t="str">
        <f t="shared" si="78"/>
        <v>B</v>
      </c>
      <c r="MC11" s="188">
        <f>IF(COUNT(LQ11,LV11,MA11)=0,"",SUM(LQ11,LV11,MA11)/COUNT(LQ11,LV11,MA11))</f>
        <v>3</v>
      </c>
      <c r="MD11" s="210" t="str">
        <f t="shared" si="79"/>
        <v>B</v>
      </c>
      <c r="ME11" s="125"/>
      <c r="MF11" s="121"/>
      <c r="MG11" s="122"/>
      <c r="MH11" s="188" t="str">
        <f>IFERROR((((COUNTIF('Elève (6ème1)'!ME11:MG11,"A"))*4)+((COUNTIF('Elève (6ème1)'!ME11:MG11,"B"))*3)+((COUNTIF('Elève (6ème1)'!ME11:MG11,"C"))*2)+((COUNTIF('Elève (6ème1)'!ME11:MG11,"D"))*1))/(COUNTA(ME11:MG11)),"")</f>
        <v/>
      </c>
      <c r="MI11" s="187" t="str">
        <f t="shared" si="80"/>
        <v/>
      </c>
      <c r="MJ11" s="120"/>
      <c r="MK11" s="121"/>
      <c r="ML11" s="122"/>
      <c r="MM11" s="188" t="str">
        <f>IFERROR((((COUNTIF('Elève (6ème1)'!MJ11:ML11,"A"))*4)+((COUNTIF('Elève (6ème1)'!MJ11:ML11,"B"))*3)+((COUNTIF('Elève (6ème1)'!MJ11:ML11,"C"))*2)+((COUNTIF('Elève (6ème1)'!MJ11:ML11,"D"))*1))/(COUNTA(MJ11:ML11)),"")</f>
        <v/>
      </c>
      <c r="MN11" s="187" t="str">
        <f t="shared" si="81"/>
        <v/>
      </c>
      <c r="MO11" s="120"/>
      <c r="MP11" s="121"/>
      <c r="MQ11" s="122" t="s">
        <v>23</v>
      </c>
      <c r="MR11" s="188">
        <f>IFERROR((((COUNTIF('Elève (6ème1)'!MO11:MQ11,"A"))*4)+((COUNTIF('Elève (6ème1)'!MO11:MQ11,"B"))*3)+((COUNTIF('Elève (6ème1)'!MO11:MQ11,"C"))*2)+((COUNTIF('Elève (6ème1)'!MO11:MQ11,"D"))*1))/(COUNTA(MO11:MQ11)),"")</f>
        <v>4</v>
      </c>
      <c r="MS11" s="187" t="str">
        <f t="shared" si="82"/>
        <v>A</v>
      </c>
      <c r="MT11" s="188">
        <f>IF(COUNT(MH11,MM11,MR11)=0,"",SUM(MH11,MM11,MR11)/COUNT(MH11,MM11,MR11))</f>
        <v>4</v>
      </c>
      <c r="MU11" s="210" t="str">
        <f t="shared" si="83"/>
        <v>A</v>
      </c>
      <c r="MV11" s="125"/>
      <c r="MW11" s="121"/>
      <c r="MX11" s="122"/>
      <c r="MY11" s="188" t="str">
        <f>IFERROR((((COUNTIF('Elève (6ème1)'!MV11:MX11,"A"))*4)+((COUNTIF('Elève (6ème1)'!MV11:MX11,"B"))*3)+((COUNTIF('Elève (6ème1)'!MV11:MX11,"C"))*2)+((COUNTIF('Elève (6ème1)'!MV11:MX11,"D"))*1))/(COUNTA(MV11:MX11)),"")</f>
        <v/>
      </c>
      <c r="MZ11" s="187" t="str">
        <f t="shared" si="84"/>
        <v/>
      </c>
      <c r="NA11" s="120"/>
      <c r="NB11" s="121"/>
      <c r="NC11" s="122"/>
      <c r="ND11" s="188" t="str">
        <f>IFERROR((((COUNTIF('Elève (6ème1)'!NA11:NC11,"A"))*4)+((COUNTIF('Elève (6ème1)'!NA11:NC11,"B"))*3)+((COUNTIF('Elève (6ème1)'!NA11:NC11,"C"))*2)+((COUNTIF('Elève (6ème1)'!NA11:NC11,"D"))*1))/(COUNTA(NA11:NC11)),"")</f>
        <v/>
      </c>
      <c r="NE11" s="187" t="str">
        <f t="shared" si="85"/>
        <v/>
      </c>
      <c r="NF11" s="120"/>
      <c r="NG11" s="121"/>
      <c r="NH11" s="122"/>
      <c r="NI11" s="188" t="str">
        <f>IFERROR((((COUNTIF('Elève (6ème1)'!NF11:NH11,"A"))*4)+((COUNTIF('Elève (6ème1)'!NF11:NH11,"B"))*3)+((COUNTIF('Elève (6ème1)'!NF11:NH11,"C"))*2)+((COUNTIF('Elève (6ème1)'!NF11:NH11,"D"))*1))/(COUNTA(NF11:NH11)),"")</f>
        <v/>
      </c>
      <c r="NJ11" s="187" t="str">
        <f t="shared" si="86"/>
        <v/>
      </c>
      <c r="NK11" s="188" t="str">
        <f>IF(COUNT(MY11,ND11,NI11)=0,"",SUM(MY11,ND11,NI11)/COUNT(MY11,ND11,NI11))</f>
        <v/>
      </c>
      <c r="NL11" s="210" t="str">
        <f t="shared" si="87"/>
        <v/>
      </c>
      <c r="NM11" s="125"/>
      <c r="NN11" s="121"/>
      <c r="NO11" s="122"/>
      <c r="NP11" s="188" t="str">
        <f>IFERROR((((COUNTIF('Elève (6ème1)'!NM11:NO11,"A"))*4)+((COUNTIF('Elève (6ème1)'!NM11:NO11,"B"))*3)+((COUNTIF('Elève (6ème1)'!NM11:NO11,"C"))*2)+((COUNTIF('Elève (6ème1)'!NM11:NO11,"D"))*1))/(COUNTA(NM11:NO11)),"")</f>
        <v/>
      </c>
      <c r="NQ11" s="187" t="str">
        <f t="shared" si="88"/>
        <v/>
      </c>
      <c r="NR11" s="120"/>
      <c r="NS11" s="121"/>
      <c r="NT11" s="122"/>
      <c r="NU11" s="188" t="str">
        <f>IFERROR((((COUNTIF('Elève (6ème1)'!NR11:NT11,"A"))*4)+((COUNTIF('Elève (6ème1)'!NR11:NT11,"B"))*3)+((COUNTIF('Elève (6ème1)'!NR11:NT11,"C"))*2)+((COUNTIF('Elève (6ème1)'!NR11:NT11,"D"))*1))/(COUNTA(NR11:NT11)),"")</f>
        <v/>
      </c>
      <c r="NV11" s="187" t="str">
        <f t="shared" si="89"/>
        <v/>
      </c>
      <c r="NW11" s="120"/>
      <c r="NX11" s="121"/>
      <c r="NY11" s="122" t="s">
        <v>23</v>
      </c>
      <c r="NZ11" s="188">
        <f>IFERROR((((COUNTIF('Elève (6ème1)'!NW11:NY11,"A"))*4)+((COUNTIF('Elève (6ème1)'!NW11:NY11,"B"))*3)+((COUNTIF('Elève (6ème1)'!NW11:NY11,"C"))*2)+((COUNTIF('Elève (6ème1)'!NW11:NY11,"D"))*1))/(COUNTA(NW11:NY11)),"")</f>
        <v>4</v>
      </c>
      <c r="OA11" s="187" t="str">
        <f t="shared" si="90"/>
        <v>A</v>
      </c>
      <c r="OB11" s="188">
        <f>IF(COUNT(NP11,NU11,NZ11)=0,"",SUM(NP11,NU11,NZ11)/COUNT(NP11,NU11,NZ11))</f>
        <v>4</v>
      </c>
      <c r="OC11" s="210" t="str">
        <f t="shared" si="91"/>
        <v>A</v>
      </c>
      <c r="OD11" s="125"/>
      <c r="OE11" s="121"/>
      <c r="OF11" s="122"/>
      <c r="OG11" s="188" t="str">
        <f>IFERROR((((COUNTIF('Elève (6ème1)'!OD11:OF11,"A"))*4)+((COUNTIF('Elève (6ème1)'!OD11:OF11,"B"))*3)+((COUNTIF('Elève (6ème1)'!OD11:OF11,"C"))*2)+((COUNTIF('Elève (6ème1)'!OD11:OF11,"D"))*1))/(COUNTA(OD11:OF11)),"")</f>
        <v/>
      </c>
      <c r="OH11" s="187" t="str">
        <f t="shared" si="92"/>
        <v/>
      </c>
      <c r="OI11" s="120"/>
      <c r="OJ11" s="121"/>
      <c r="OK11" s="122"/>
      <c r="OL11" s="188" t="str">
        <f>IFERROR((((COUNTIF('Elève (6ème1)'!OI11:OK11,"A"))*4)+((COUNTIF('Elève (6ème1)'!OI11:OK11,"B"))*3)+((COUNTIF('Elève (6ème1)'!OI11:OK11,"C"))*2)+((COUNTIF('Elève (6ème1)'!OI11:OK11,"D"))*1))/(COUNTA(OI11:OK11)),"")</f>
        <v/>
      </c>
      <c r="OM11" s="187" t="str">
        <f t="shared" si="93"/>
        <v/>
      </c>
      <c r="ON11" s="120"/>
      <c r="OO11" s="121"/>
      <c r="OP11" s="122" t="s">
        <v>24</v>
      </c>
      <c r="OQ11" s="188">
        <f>IFERROR((((COUNTIF('Elève (6ème1)'!ON11:OP11,"A"))*4)+((COUNTIF('Elève (6ème1)'!ON11:OP11,"B"))*3)+((COUNTIF('Elève (6ème1)'!ON11:OP11,"C"))*2)+((COUNTIF('Elève (6ème1)'!ON11:OP11,"D"))*1))/(COUNTA(ON11:OP11)),"")</f>
        <v>3</v>
      </c>
      <c r="OR11" s="187" t="str">
        <f t="shared" si="94"/>
        <v>B</v>
      </c>
      <c r="OS11" s="188">
        <f>IF(COUNT(OG11,OL11,OQ11)=0,"",SUM(OG11,OL11,OQ11)/COUNT(OG11,OL11,OQ11))</f>
        <v>3</v>
      </c>
      <c r="OT11" s="210" t="str">
        <f t="shared" si="95"/>
        <v>B</v>
      </c>
      <c r="OU11" s="125"/>
      <c r="OV11" s="121"/>
      <c r="OW11" s="122"/>
      <c r="OX11" s="188" t="str">
        <f>IFERROR((((COUNTIF('Elève (6ème1)'!OU11:OW11,"A"))*4)+((COUNTIF('Elève (6ème1)'!OU11:OW11,"B"))*3)+((COUNTIF('Elève (6ème1)'!OU11:OW11,"C"))*2)+((COUNTIF('Elève (6ème1)'!OU11:OW11,"D"))*1))/(COUNTA(OU11:OW11)),"")</f>
        <v/>
      </c>
      <c r="OY11" s="187" t="str">
        <f t="shared" si="96"/>
        <v/>
      </c>
      <c r="OZ11" s="120"/>
      <c r="PA11" s="121"/>
      <c r="PB11" s="122"/>
      <c r="PC11" s="188" t="str">
        <f>IFERROR((((COUNTIF('Elève (6ème1)'!OZ11:PB11,"A"))*4)+((COUNTIF('Elève (6ème1)'!OZ11:PB11,"B"))*3)+((COUNTIF('Elève (6ème1)'!OZ11:PB11,"C"))*2)+((COUNTIF('Elève (6ème1)'!OZ11:PB11,"D"))*1))/(COUNTA(OZ11:PB11)),"")</f>
        <v/>
      </c>
      <c r="PD11" s="187" t="str">
        <f t="shared" si="97"/>
        <v/>
      </c>
      <c r="PE11" s="120"/>
      <c r="PF11" s="121"/>
      <c r="PG11" s="122" t="s">
        <v>24</v>
      </c>
      <c r="PH11" s="188">
        <f>IFERROR((((COUNTIF('Elève (6ème1)'!PE11:PG11,"A"))*4)+((COUNTIF('Elève (6ème1)'!PE11:PG11,"B"))*3)+((COUNTIF('Elève (6ème1)'!PE11:PG11,"C"))*2)+((COUNTIF('Elève (6ème1)'!PE11:PG11,"D"))*1))/(COUNTA(PE11:PG11)),"")</f>
        <v>3</v>
      </c>
      <c r="PI11" s="187" t="str">
        <f t="shared" si="98"/>
        <v>B</v>
      </c>
      <c r="PJ11" s="188">
        <f>IF(COUNT(OX11,PC11,PH11)=0,"",SUM(OX11,PC11,PH11)/COUNT(OX11,PC11,PH11))</f>
        <v>3</v>
      </c>
      <c r="PK11" s="210" t="str">
        <f t="shared" si="99"/>
        <v>B</v>
      </c>
      <c r="PL11" s="125"/>
      <c r="PM11" s="121"/>
      <c r="PN11" s="122"/>
      <c r="PO11" s="188" t="str">
        <f>IFERROR((((COUNTIF('Elève (6ème1)'!PL11:PN11,"A"))*4)+((COUNTIF('Elève (6ème1)'!PL11:PN11,"B"))*3)+((COUNTIF('Elève (6ème1)'!PL11:PN11,"C"))*2)+((COUNTIF('Elève (6ème1)'!PL11:PN11,"D"))*1))/(COUNTA(PL11:PN11)),"")</f>
        <v/>
      </c>
      <c r="PP11" s="187" t="str">
        <f t="shared" si="100"/>
        <v/>
      </c>
      <c r="PQ11" s="120"/>
      <c r="PR11" s="121"/>
      <c r="PS11" s="122"/>
      <c r="PT11" s="188" t="str">
        <f>IFERROR((((COUNTIF('Elève (6ème1)'!PQ11:PS11,"A"))*4)+((COUNTIF('Elève (6ème1)'!PQ11:PS11,"B"))*3)+((COUNTIF('Elève (6ème1)'!PQ11:PS11,"C"))*2)+((COUNTIF('Elève (6ème1)'!PQ11:PS11,"D"))*1))/(COUNTA(PQ11:PS11)),"")</f>
        <v/>
      </c>
      <c r="PU11" s="187" t="str">
        <f t="shared" si="101"/>
        <v/>
      </c>
      <c r="PV11" s="120"/>
      <c r="PW11" s="121"/>
      <c r="PX11" s="122" t="s">
        <v>23</v>
      </c>
      <c r="PY11" s="188">
        <f>IFERROR((((COUNTIF('Elève (6ème1)'!PV11:PX11,"A"))*4)+((COUNTIF('Elève (6ème1)'!PV11:PX11,"B"))*3)+((COUNTIF('Elève (6ème1)'!PV11:PX11,"C"))*2)+((COUNTIF('Elève (6ème1)'!PV11:PX11,"D"))*1))/(COUNTA(PV11:PX11)),"")</f>
        <v>4</v>
      </c>
      <c r="PZ11" s="187" t="str">
        <f t="shared" si="102"/>
        <v>A</v>
      </c>
      <c r="QA11" s="188">
        <f>IF(COUNT(PO11,PT11,PY11)=0,"",SUM(PO11,PT11,PY11)/COUNT(PO11,PT11,PY11))</f>
        <v>4</v>
      </c>
      <c r="QB11" s="210" t="str">
        <f t="shared" si="103"/>
        <v>A</v>
      </c>
      <c r="QC11" s="125"/>
      <c r="QD11" s="121"/>
      <c r="QE11" s="122"/>
      <c r="QF11" s="188" t="str">
        <f>IFERROR((((COUNTIF('Elève (6ème1)'!QC11:QE11,"A"))*4)+((COUNTIF('Elève (6ème1)'!QC11:QE11,"B"))*3)+((COUNTIF('Elève (6ème1)'!QC11:QE11,"C"))*2)+((COUNTIF('Elève (6ème1)'!QC11:QE11,"D"))*1))/(COUNTA(QC11:QE11)),"")</f>
        <v/>
      </c>
      <c r="QG11" s="187" t="str">
        <f t="shared" si="104"/>
        <v/>
      </c>
      <c r="QH11" s="120"/>
      <c r="QI11" s="121"/>
      <c r="QJ11" s="122"/>
      <c r="QK11" s="188" t="str">
        <f>IFERROR((((COUNTIF('Elève (6ème1)'!QH11:QJ11,"A"))*4)+((COUNTIF('Elève (6ème1)'!QH11:QJ11,"B"))*3)+((COUNTIF('Elève (6ème1)'!QH11:QJ11,"C"))*2)+((COUNTIF('Elève (6ème1)'!QH11:QJ11,"D"))*1))/(COUNTA(QH11:QJ11)),"")</f>
        <v/>
      </c>
      <c r="QL11" s="187" t="str">
        <f t="shared" si="105"/>
        <v/>
      </c>
      <c r="QM11" s="120"/>
      <c r="QN11" s="121"/>
      <c r="QO11" s="122" t="s">
        <v>23</v>
      </c>
      <c r="QP11" s="188">
        <f>IFERROR((((COUNTIF('Elève (6ème1)'!QM11:QO11,"A"))*4)+((COUNTIF('Elève (6ème1)'!QM11:QO11,"B"))*3)+((COUNTIF('Elève (6ème1)'!QM11:QO11,"C"))*2)+((COUNTIF('Elève (6ème1)'!QM11:QO11,"D"))*1))/(COUNTA(QM11:QO11)),"")</f>
        <v>4</v>
      </c>
      <c r="QQ11" s="187" t="str">
        <f t="shared" si="106"/>
        <v>A</v>
      </c>
      <c r="QR11" s="188">
        <f>IF(COUNT(QF11,QK11,QP11)=0,"",SUM(QF11,QK11,QP11)/COUNT(QF11,QK11,QP11))</f>
        <v>4</v>
      </c>
      <c r="QS11" s="210" t="str">
        <f t="shared" si="107"/>
        <v>A</v>
      </c>
      <c r="QT11" s="125"/>
      <c r="QU11" s="121"/>
      <c r="QV11" s="122"/>
      <c r="QW11" s="188" t="str">
        <f>IFERROR((((COUNTIF('Elève (6ème1)'!QT11:QV11,"A"))*4)+((COUNTIF('Elève (6ème1)'!QT11:QV11,"B"))*3)+((COUNTIF('Elève (6ème1)'!QT11:QV11,"C"))*2)+((COUNTIF('Elève (6ème1)'!QT11:QV11,"D"))*1))/(COUNTA(QT11:QV11)),"")</f>
        <v/>
      </c>
      <c r="QX11" s="187" t="str">
        <f t="shared" si="108"/>
        <v/>
      </c>
      <c r="QY11" s="120"/>
      <c r="QZ11" s="121"/>
      <c r="RA11" s="122"/>
      <c r="RB11" s="188" t="str">
        <f>IFERROR((((COUNTIF('Elève (6ème1)'!QY11:RA11,"A"))*4)+((COUNTIF('Elève (6ème1)'!QY11:RA11,"B"))*3)+((COUNTIF('Elève (6ème1)'!QY11:RA11,"C"))*2)+((COUNTIF('Elève (6ème1)'!QY11:RA11,"D"))*1))/(COUNTA(QY11:RA11)),"")</f>
        <v/>
      </c>
      <c r="RC11" s="187" t="str">
        <f t="shared" si="109"/>
        <v/>
      </c>
      <c r="RD11" s="120"/>
      <c r="RE11" s="121"/>
      <c r="RF11" s="122" t="s">
        <v>23</v>
      </c>
      <c r="RG11" s="188">
        <f>IFERROR((((COUNTIF('Elève (6ème1)'!RD11:RF11,"A"))*4)+((COUNTIF('Elève (6ème1)'!RD11:RF11,"B"))*3)+((COUNTIF('Elève (6ème1)'!RD11:RF11,"C"))*2)+((COUNTIF('Elève (6ème1)'!RD11:RF11,"D"))*1))/(COUNTA(RD11:RF11)),"")</f>
        <v>4</v>
      </c>
      <c r="RH11" s="187" t="str">
        <f t="shared" si="110"/>
        <v>A</v>
      </c>
      <c r="RI11" s="188">
        <f>IF(COUNT(QW11,RB11,RG11)=0,"",SUM(QW11,RB11,RG11)/COUNT(QW11,RB11,RG11))</f>
        <v>4</v>
      </c>
      <c r="RJ11" s="210" t="str">
        <f t="shared" si="111"/>
        <v>A</v>
      </c>
      <c r="RK11" s="125"/>
      <c r="RL11" s="121"/>
      <c r="RM11" s="122"/>
      <c r="RN11" s="188" t="str">
        <f>IFERROR((((COUNTIF('Elève (6ème1)'!RK11:RM11,"A"))*4)+((COUNTIF('Elève (6ème1)'!RK11:RM11,"B"))*3)+((COUNTIF('Elève (6ème1)'!RK11:RM11,"C"))*2)+((COUNTIF('Elève (6ème1)'!RK11:RM11,"D"))*1))/(COUNTA(RK11:RM11)),"")</f>
        <v/>
      </c>
      <c r="RO11" s="187" t="str">
        <f t="shared" si="112"/>
        <v/>
      </c>
      <c r="RP11" s="120"/>
      <c r="RQ11" s="121"/>
      <c r="RR11" s="122"/>
      <c r="RS11" s="188" t="str">
        <f>IFERROR((((COUNTIF('Elève (6ème1)'!RP11:RR11,"A"))*4)+((COUNTIF('Elève (6ème1)'!RP11:RR11,"B"))*3)+((COUNTIF('Elève (6ème1)'!RP11:RR11,"C"))*2)+((COUNTIF('Elève (6ème1)'!RP11:RR11,"D"))*1))/(COUNTA(RP11:RR11)),"")</f>
        <v/>
      </c>
      <c r="RT11" s="187" t="str">
        <f t="shared" si="113"/>
        <v/>
      </c>
      <c r="RU11" s="120"/>
      <c r="RV11" s="121"/>
      <c r="RW11" s="122" t="s">
        <v>24</v>
      </c>
      <c r="RX11" s="188">
        <f>IFERROR((((COUNTIF('Elève (6ème1)'!RU11:RW11,"A"))*4)+((COUNTIF('Elève (6ème1)'!RU11:RW11,"B"))*3)+((COUNTIF('Elève (6ème1)'!RU11:RW11,"C"))*2)+((COUNTIF('Elève (6ème1)'!RU11:RW11,"D"))*1))/(COUNTA(RU11:RW11)),"")</f>
        <v>3</v>
      </c>
      <c r="RY11" s="187" t="str">
        <f t="shared" si="114"/>
        <v>B</v>
      </c>
      <c r="RZ11" s="188">
        <f>IF(COUNT(RN11,RS11,RX11)=0,"",SUM(RN11,RS11,RX11)/COUNT(RN11,RS11,RX11))</f>
        <v>3</v>
      </c>
      <c r="SA11" s="210" t="str">
        <f t="shared" si="115"/>
        <v>B</v>
      </c>
      <c r="SB11" s="125"/>
      <c r="SC11" s="121"/>
      <c r="SD11" s="122"/>
      <c r="SE11" s="188" t="str">
        <f>IFERROR((((COUNTIF('Elève (6ème1)'!SB11:SD11,"A"))*4)+((COUNTIF('Elève (6ème1)'!SB11:SD11,"B"))*3)+((COUNTIF('Elève (6ème1)'!SB11:SD11,"C"))*2)+((COUNTIF('Elève (6ème1)'!SB11:SD11,"D"))*1))/(COUNTA(SB11:SD11)),"")</f>
        <v/>
      </c>
      <c r="SF11" s="187" t="str">
        <f t="shared" si="116"/>
        <v/>
      </c>
      <c r="SG11" s="120"/>
      <c r="SH11" s="121"/>
      <c r="SI11" s="122"/>
      <c r="SJ11" s="188" t="str">
        <f>IFERROR((((COUNTIF('Elève (6ème1)'!SG11:SI11,"A"))*4)+((COUNTIF('Elève (6ème1)'!SG11:SI11,"B"))*3)+((COUNTIF('Elève (6ème1)'!SG11:SI11,"C"))*2)+((COUNTIF('Elève (6ème1)'!SG11:SI11,"D"))*1))/(COUNTA(SG11:SI11)),"")</f>
        <v/>
      </c>
      <c r="SK11" s="187" t="str">
        <f t="shared" si="117"/>
        <v/>
      </c>
      <c r="SL11" s="120"/>
      <c r="SM11" s="121"/>
      <c r="SN11" s="122" t="s">
        <v>23</v>
      </c>
      <c r="SO11" s="188">
        <f>IFERROR((((COUNTIF('Elève (6ème1)'!SL11:SN11,"A"))*4)+((COUNTIF('Elève (6ème1)'!SL11:SN11,"B"))*3)+((COUNTIF('Elève (6ème1)'!SL11:SN11,"C"))*2)+((COUNTIF('Elève (6ème1)'!SL11:SN11,"D"))*1))/(COUNTA(SL11:SN11)),"")</f>
        <v>4</v>
      </c>
      <c r="SP11" s="187" t="str">
        <f t="shared" si="118"/>
        <v>A</v>
      </c>
      <c r="SQ11" s="188">
        <f>IF(COUNT(SE11,SJ11,SO11)=0,"",SUM(SE11,SJ11,SO11)/COUNT(SE11,SJ11,SO11))</f>
        <v>4</v>
      </c>
      <c r="SR11" s="210" t="str">
        <f t="shared" si="119"/>
        <v>A</v>
      </c>
      <c r="SS11" s="125"/>
      <c r="ST11" s="121"/>
      <c r="SU11" s="122"/>
      <c r="SV11" s="188" t="str">
        <f>IFERROR((((COUNTIF('Elève (6ème1)'!SS11:SU11,"A"))*4)+((COUNTIF('Elève (6ème1)'!SS11:SU11,"B"))*3)+((COUNTIF('Elève (6ème1)'!SS11:SU11,"C"))*2)+((COUNTIF('Elève (6ème1)'!SS11:SU11,"D"))*1))/(COUNTA(SS11:SU11)),"")</f>
        <v/>
      </c>
      <c r="SW11" s="187" t="str">
        <f t="shared" si="120"/>
        <v/>
      </c>
      <c r="SX11" s="120"/>
      <c r="SY11" s="121"/>
      <c r="SZ11" s="122"/>
      <c r="TA11" s="188" t="str">
        <f>IFERROR((((COUNTIF('Elève (6ème1)'!SX11:SZ11,"A"))*4)+((COUNTIF('Elève (6ème1)'!SX11:SZ11,"B"))*3)+((COUNTIF('Elève (6ème1)'!SX11:SZ11,"C"))*2)+((COUNTIF('Elève (6ème1)'!SX11:SZ11,"D"))*1))/(COUNTA(SX11:SZ11)),"")</f>
        <v/>
      </c>
      <c r="TB11" s="187" t="str">
        <f t="shared" si="121"/>
        <v/>
      </c>
      <c r="TC11" s="120"/>
      <c r="TD11" s="121"/>
      <c r="TE11" s="122" t="s">
        <v>24</v>
      </c>
      <c r="TF11" s="188">
        <f>IFERROR((((COUNTIF('Elève (6ème1)'!TC11:TE11,"A"))*4)+((COUNTIF('Elève (6ème1)'!TC11:TE11,"B"))*3)+((COUNTIF('Elève (6ème1)'!TC11:TE11,"C"))*2)+((COUNTIF('Elève (6ème1)'!TC11:TE11,"D"))*1))/(COUNTA(TC11:TE11)),"")</f>
        <v>3</v>
      </c>
      <c r="TG11" s="187" t="str">
        <f t="shared" si="122"/>
        <v>B</v>
      </c>
      <c r="TH11" s="188">
        <f>IF(COUNT(SV11,TA11,TF11)=0,"",SUM(SV11,TA11,TF11)/COUNT(SV11,TA11,TF11))</f>
        <v>3</v>
      </c>
      <c r="TI11" s="210" t="str">
        <f t="shared" si="123"/>
        <v>B</v>
      </c>
      <c r="TJ11" s="125"/>
      <c r="TK11" s="121"/>
      <c r="TL11" s="122"/>
      <c r="TM11" s="188" t="str">
        <f>IFERROR((((COUNTIF('Elève (6ème1)'!TJ11:TL11,"A"))*4)+((COUNTIF('Elève (6ème1)'!TJ11:TL11,"B"))*3)+((COUNTIF('Elève (6ème1)'!TJ11:TL11,"C"))*2)+((COUNTIF('Elève (6ème1)'!TJ11:TL11,"D"))*1))/(COUNTA(TJ11:TL11)),"")</f>
        <v/>
      </c>
      <c r="TN11" s="187" t="str">
        <f t="shared" si="124"/>
        <v/>
      </c>
      <c r="TO11" s="120"/>
      <c r="TP11" s="121"/>
      <c r="TQ11" s="122"/>
      <c r="TR11" s="188" t="str">
        <f>IFERROR((((COUNTIF('Elève (6ème1)'!TO11:TQ11,"A"))*4)+((COUNTIF('Elève (6ème1)'!TO11:TQ11,"B"))*3)+((COUNTIF('Elève (6ème1)'!TO11:TQ11,"C"))*2)+((COUNTIF('Elève (6ème1)'!TO11:TQ11,"D"))*1))/(COUNTA(TO11:TQ11)),"")</f>
        <v/>
      </c>
      <c r="TS11" s="187" t="str">
        <f t="shared" si="125"/>
        <v/>
      </c>
      <c r="TT11" s="120"/>
      <c r="TU11" s="121"/>
      <c r="TV11" s="122" t="s">
        <v>24</v>
      </c>
      <c r="TW11" s="188">
        <f>IFERROR((((COUNTIF('Elève (6ème1)'!TT11:TV11,"A"))*4)+((COUNTIF('Elève (6ème1)'!TT11:TV11,"B"))*3)+((COUNTIF('Elève (6ème1)'!TT11:TV11,"C"))*2)+((COUNTIF('Elève (6ème1)'!TT11:TV11,"D"))*1))/(COUNTA(TT11:TV11)),"")</f>
        <v>3</v>
      </c>
      <c r="TX11" s="187" t="str">
        <f t="shared" si="126"/>
        <v>B</v>
      </c>
      <c r="TY11" s="188">
        <f>IF(COUNT(TM11,TR11,TW11)=0,"",SUM(TM11,TR11,TW11)/COUNT(TM11,TR11,TW11))</f>
        <v>3</v>
      </c>
      <c r="TZ11" s="210" t="str">
        <f t="shared" si="127"/>
        <v>B</v>
      </c>
    </row>
    <row r="12" spans="1:546" s="98" customFormat="1" ht="16.5" customHeight="1" thickBot="1" x14ac:dyDescent="0.3">
      <c r="A12" s="164" t="s">
        <v>15</v>
      </c>
      <c r="B12" s="164">
        <v>1</v>
      </c>
      <c r="C12" s="255"/>
      <c r="D12" s="250"/>
      <c r="E12" s="251"/>
      <c r="F12" s="181">
        <f>IF(COUNT(F13:F13)=0,"",SUM(F13:F13)/COUNT(F13:F13))</f>
        <v>3</v>
      </c>
      <c r="G12" s="182" t="str">
        <f t="shared" si="0"/>
        <v>B</v>
      </c>
      <c r="H12" s="252"/>
      <c r="I12" s="250"/>
      <c r="J12" s="251"/>
      <c r="K12" s="181">
        <f>IF(COUNT(K13,#REF!)=0,"",SUM(K13:K13)/COUNT(K13,#REF!))</f>
        <v>3</v>
      </c>
      <c r="L12" s="198" t="str">
        <f t="shared" si="1"/>
        <v>B</v>
      </c>
      <c r="M12" s="247"/>
      <c r="N12" s="245"/>
      <c r="O12" s="246"/>
      <c r="P12" s="181">
        <f>IF(COUNT(P13,#REF!)=0,"",SUM(P13:P13)/COUNT(P13,#REF!))</f>
        <v>2</v>
      </c>
      <c r="Q12" s="205" t="str">
        <f t="shared" si="2"/>
        <v>C</v>
      </c>
      <c r="R12" s="181">
        <f>IF(COUNT(R13:R13)=0,"",SUM(R13:R13)/COUNT(R13:R13))</f>
        <v>2.6666666666666665</v>
      </c>
      <c r="S12" s="206" t="str">
        <f t="shared" si="3"/>
        <v>C</v>
      </c>
      <c r="T12" s="250"/>
      <c r="U12" s="250"/>
      <c r="V12" s="251"/>
      <c r="W12" s="181">
        <f>IF(COUNT(W13:W13)=0,"",SUM(W13:W13)/COUNT(W13:W13))</f>
        <v>3</v>
      </c>
      <c r="X12" s="182" t="str">
        <f t="shared" si="4"/>
        <v>B</v>
      </c>
      <c r="Y12" s="252"/>
      <c r="Z12" s="250"/>
      <c r="AA12" s="251"/>
      <c r="AB12" s="181" t="str">
        <f>IF(COUNT(AB13,#REF!)=0,"",SUM(AB13:AB13)/COUNT(AB13,#REF!))</f>
        <v/>
      </c>
      <c r="AC12" s="198" t="str">
        <f t="shared" si="5"/>
        <v/>
      </c>
      <c r="AD12" s="247"/>
      <c r="AE12" s="245"/>
      <c r="AF12" s="246"/>
      <c r="AG12" s="181" t="str">
        <f>IF(COUNT(AG13,#REF!)=0,"",SUM(AG13:AG13)/COUNT(AG13,#REF!))</f>
        <v/>
      </c>
      <c r="AH12" s="205" t="str">
        <f t="shared" si="6"/>
        <v/>
      </c>
      <c r="AI12" s="181">
        <f>IF(COUNT(AI13:AI13)=0,"",SUM(AI13:AI13)/COUNT(AI13:AI13))</f>
        <v>3</v>
      </c>
      <c r="AJ12" s="206" t="str">
        <f t="shared" si="7"/>
        <v>B</v>
      </c>
      <c r="AK12" s="250"/>
      <c r="AL12" s="250"/>
      <c r="AM12" s="251"/>
      <c r="AN12" s="181">
        <f>IF(COUNT(AN13:AN13)=0,"",SUM(AN13:AN13)/COUNT(AN13:AN13))</f>
        <v>3</v>
      </c>
      <c r="AO12" s="182" t="str">
        <f t="shared" si="8"/>
        <v>B</v>
      </c>
      <c r="AP12" s="252"/>
      <c r="AQ12" s="250"/>
      <c r="AR12" s="251"/>
      <c r="AS12" s="181">
        <f>IF(COUNT(AS13,#REF!)=0,"",SUM(AS13:AS13)/COUNT(AS13,#REF!))</f>
        <v>3</v>
      </c>
      <c r="AT12" s="198" t="str">
        <f t="shared" si="9"/>
        <v>B</v>
      </c>
      <c r="AU12" s="247"/>
      <c r="AV12" s="245"/>
      <c r="AW12" s="246"/>
      <c r="AX12" s="181">
        <f>IF(COUNT(AX13,#REF!)=0,"",SUM(AX13:AX13)/COUNT(AX13,#REF!))</f>
        <v>2</v>
      </c>
      <c r="AY12" s="205" t="str">
        <f t="shared" si="10"/>
        <v>C</v>
      </c>
      <c r="AZ12" s="181">
        <f>IF(COUNT(AZ13:AZ13)=0,"",SUM(AZ13:AZ13)/COUNT(AZ13:AZ13))</f>
        <v>2.6666666666666665</v>
      </c>
      <c r="BA12" s="206" t="str">
        <f t="shared" si="11"/>
        <v>C</v>
      </c>
      <c r="BB12" s="250"/>
      <c r="BC12" s="250"/>
      <c r="BD12" s="251"/>
      <c r="BE12" s="181">
        <f>IF(COUNT(BE13:BE13)=0,"",SUM(BE13:BE13)/COUNT(BE13:BE13))</f>
        <v>3</v>
      </c>
      <c r="BF12" s="182" t="str">
        <f t="shared" si="12"/>
        <v>B</v>
      </c>
      <c r="BG12" s="252"/>
      <c r="BH12" s="250"/>
      <c r="BI12" s="251"/>
      <c r="BJ12" s="181">
        <f>IF(COUNT(BJ13,#REF!)=0,"",SUM(BJ13:BJ13)/COUNT(BJ13,#REF!))</f>
        <v>3</v>
      </c>
      <c r="BK12" s="198" t="str">
        <f t="shared" si="13"/>
        <v>B</v>
      </c>
      <c r="BL12" s="247"/>
      <c r="BM12" s="245"/>
      <c r="BN12" s="246"/>
      <c r="BO12" s="181">
        <f>IF(COUNT(BO13,#REF!)=0,"",SUM(BO13:BO13)/COUNT(BO13,#REF!))</f>
        <v>2</v>
      </c>
      <c r="BP12" s="205" t="str">
        <f t="shared" si="14"/>
        <v>C</v>
      </c>
      <c r="BQ12" s="181">
        <f>IF(COUNT(BQ13:BQ13)=0,"",SUM(BQ13:BQ13)/COUNT(BQ13:BQ13))</f>
        <v>2.6666666666666665</v>
      </c>
      <c r="BR12" s="206" t="str">
        <f t="shared" si="15"/>
        <v>C</v>
      </c>
      <c r="BS12" s="250"/>
      <c r="BT12" s="250"/>
      <c r="BU12" s="251"/>
      <c r="BV12" s="181">
        <f>IF(COUNT(BV13:BV13)=0,"",SUM(BV13:BV13)/COUNT(BV13:BV13))</f>
        <v>2</v>
      </c>
      <c r="BW12" s="182" t="str">
        <f t="shared" si="16"/>
        <v>C</v>
      </c>
      <c r="BX12" s="252"/>
      <c r="BY12" s="250"/>
      <c r="BZ12" s="251"/>
      <c r="CA12" s="181">
        <f>IF(COUNT(CA13,#REF!)=0,"",SUM(CA13:CA13)/COUNT(CA13,#REF!))</f>
        <v>3</v>
      </c>
      <c r="CB12" s="198" t="str">
        <f t="shared" si="17"/>
        <v>B</v>
      </c>
      <c r="CC12" s="247"/>
      <c r="CD12" s="245"/>
      <c r="CE12" s="246"/>
      <c r="CF12" s="181">
        <f>IF(COUNT(CF13,#REF!)=0,"",SUM(CF13:CF13)/COUNT(CF13,#REF!))</f>
        <v>2</v>
      </c>
      <c r="CG12" s="205" t="str">
        <f t="shared" si="18"/>
        <v>C</v>
      </c>
      <c r="CH12" s="181">
        <f>IF(COUNT(CH13:CH13)=0,"",SUM(CH13:CH13)/COUNT(CH13:CH13))</f>
        <v>2.3333333333333335</v>
      </c>
      <c r="CI12" s="206" t="str">
        <f t="shared" si="19"/>
        <v>C</v>
      </c>
      <c r="CJ12" s="250"/>
      <c r="CK12" s="250"/>
      <c r="CL12" s="251"/>
      <c r="CM12" s="181">
        <f>IF(COUNT(CM13:CM13)=0,"",SUM(CM13:CM13)/COUNT(CM13:CM13))</f>
        <v>3</v>
      </c>
      <c r="CN12" s="182" t="str">
        <f t="shared" si="20"/>
        <v>B</v>
      </c>
      <c r="CO12" s="252"/>
      <c r="CP12" s="250"/>
      <c r="CQ12" s="251"/>
      <c r="CR12" s="181">
        <f>IF(COUNT(CR13,#REF!)=0,"",SUM(CR13:CR13)/COUNT(CR13,#REF!))</f>
        <v>2</v>
      </c>
      <c r="CS12" s="198" t="str">
        <f t="shared" si="21"/>
        <v>C</v>
      </c>
      <c r="CT12" s="247"/>
      <c r="CU12" s="245"/>
      <c r="CV12" s="246"/>
      <c r="CW12" s="181">
        <f>IF(COUNT(CW13,#REF!)=0,"",SUM(CW13:CW13)/COUNT(CW13,#REF!))</f>
        <v>2</v>
      </c>
      <c r="CX12" s="205" t="str">
        <f t="shared" si="22"/>
        <v>C</v>
      </c>
      <c r="CY12" s="181">
        <f>IF(COUNT(CY13:CY13)=0,"",SUM(CY13:CY13)/COUNT(CY13:CY13))</f>
        <v>2.3333333333333335</v>
      </c>
      <c r="CZ12" s="206" t="str">
        <f t="shared" si="23"/>
        <v>C</v>
      </c>
      <c r="DA12" s="250"/>
      <c r="DB12" s="250"/>
      <c r="DC12" s="251"/>
      <c r="DD12" s="181">
        <f>IF(COUNT(DD13:DD13)=0,"",SUM(DD13:DD13)/COUNT(DD13:DD13))</f>
        <v>3</v>
      </c>
      <c r="DE12" s="182" t="str">
        <f t="shared" si="24"/>
        <v>B</v>
      </c>
      <c r="DF12" s="252"/>
      <c r="DG12" s="250"/>
      <c r="DH12" s="251"/>
      <c r="DI12" s="181">
        <f>IF(COUNT(DI13,#REF!)=0,"",SUM(DI13:DI13)/COUNT(DI13,#REF!))</f>
        <v>3</v>
      </c>
      <c r="DJ12" s="198" t="str">
        <f t="shared" si="25"/>
        <v>B</v>
      </c>
      <c r="DK12" s="247"/>
      <c r="DL12" s="245"/>
      <c r="DM12" s="246"/>
      <c r="DN12" s="181">
        <f>IF(COUNT(DN13,#REF!)=0,"",SUM(DN13:DN13)/COUNT(DN13,#REF!))</f>
        <v>2</v>
      </c>
      <c r="DO12" s="205" t="str">
        <f t="shared" si="26"/>
        <v>C</v>
      </c>
      <c r="DP12" s="181">
        <f>IF(COUNT(DP13:DP13)=0,"",SUM(DP13:DP13)/COUNT(DP13:DP13))</f>
        <v>2.6666666666666665</v>
      </c>
      <c r="DQ12" s="206" t="str">
        <f t="shared" si="27"/>
        <v>C</v>
      </c>
      <c r="DR12" s="250"/>
      <c r="DS12" s="250"/>
      <c r="DT12" s="251"/>
      <c r="DU12" s="181">
        <f>IF(COUNT(DU13:DU13)=0,"",SUM(DU13:DU13)/COUNT(DU13:DU13))</f>
        <v>3</v>
      </c>
      <c r="DV12" s="182" t="str">
        <f t="shared" si="28"/>
        <v>B</v>
      </c>
      <c r="DW12" s="252"/>
      <c r="DX12" s="250"/>
      <c r="DY12" s="251"/>
      <c r="DZ12" s="181">
        <f>IF(COUNT(DZ13,#REF!)=0,"",SUM(DZ13:DZ13)/COUNT(DZ13,#REF!))</f>
        <v>3</v>
      </c>
      <c r="EA12" s="198" t="str">
        <f t="shared" si="29"/>
        <v>B</v>
      </c>
      <c r="EB12" s="247"/>
      <c r="EC12" s="245"/>
      <c r="ED12" s="246"/>
      <c r="EE12" s="181">
        <f>IF(COUNT(EE13,#REF!)=0,"",SUM(EE13:EE13)/COUNT(EE13,#REF!))</f>
        <v>2</v>
      </c>
      <c r="EF12" s="205" t="str">
        <f t="shared" si="30"/>
        <v>C</v>
      </c>
      <c r="EG12" s="181">
        <f>IF(COUNT(EG13:EG13)=0,"",SUM(EG13:EG13)/COUNT(EG13:EG13))</f>
        <v>2.6666666666666665</v>
      </c>
      <c r="EH12" s="206" t="str">
        <f t="shared" si="31"/>
        <v>C</v>
      </c>
      <c r="EI12" s="250"/>
      <c r="EJ12" s="250"/>
      <c r="EK12" s="251"/>
      <c r="EL12" s="181">
        <f>IF(COUNT(EL13:EL13)=0,"",SUM(EL13:EL13)/COUNT(EL13:EL13))</f>
        <v>3</v>
      </c>
      <c r="EM12" s="182" t="str">
        <f t="shared" si="32"/>
        <v>B</v>
      </c>
      <c r="EN12" s="252"/>
      <c r="EO12" s="250"/>
      <c r="EP12" s="251"/>
      <c r="EQ12" s="181">
        <f>IF(COUNT(EQ13,#REF!)=0,"",SUM(EQ13:EQ13)/COUNT(EQ13,#REF!))</f>
        <v>3</v>
      </c>
      <c r="ER12" s="198" t="str">
        <f t="shared" si="33"/>
        <v>B</v>
      </c>
      <c r="ES12" s="247"/>
      <c r="ET12" s="245"/>
      <c r="EU12" s="246"/>
      <c r="EV12" s="181">
        <f>IF(COUNT(EV13,#REF!)=0,"",SUM(EV13:EV13)/COUNT(EV13,#REF!))</f>
        <v>2</v>
      </c>
      <c r="EW12" s="205" t="str">
        <f t="shared" si="34"/>
        <v>C</v>
      </c>
      <c r="EX12" s="181">
        <f>IF(COUNT(EX13:EX13)=0,"",SUM(EX13:EX13)/COUNT(EX13:EX13))</f>
        <v>2.6666666666666665</v>
      </c>
      <c r="EY12" s="206" t="str">
        <f t="shared" si="35"/>
        <v>C</v>
      </c>
      <c r="EZ12" s="250"/>
      <c r="FA12" s="250"/>
      <c r="FB12" s="251"/>
      <c r="FC12" s="181">
        <f>IF(COUNT(FC13:FC13)=0,"",SUM(FC13:FC13)/COUNT(FC13:FC13))</f>
        <v>3</v>
      </c>
      <c r="FD12" s="182" t="str">
        <f t="shared" si="36"/>
        <v>B</v>
      </c>
      <c r="FE12" s="252"/>
      <c r="FF12" s="250"/>
      <c r="FG12" s="251"/>
      <c r="FH12" s="181">
        <f>IF(COUNT(FH13,#REF!)=0,"",SUM(FH13:FH13)/COUNT(FH13,#REF!))</f>
        <v>2</v>
      </c>
      <c r="FI12" s="198" t="str">
        <f t="shared" si="37"/>
        <v>C</v>
      </c>
      <c r="FJ12" s="247"/>
      <c r="FK12" s="245"/>
      <c r="FL12" s="246"/>
      <c r="FM12" s="181">
        <f>IF(COUNT(FM13,#REF!)=0,"",SUM(FM13:FM13)/COUNT(FM13,#REF!))</f>
        <v>2</v>
      </c>
      <c r="FN12" s="205" t="str">
        <f t="shared" si="38"/>
        <v>C</v>
      </c>
      <c r="FO12" s="181">
        <f>IF(COUNT(FO13:FO13)=0,"",SUM(FO13:FO13)/COUNT(FO13:FO13))</f>
        <v>2.3333333333333335</v>
      </c>
      <c r="FP12" s="206" t="str">
        <f t="shared" si="39"/>
        <v>C</v>
      </c>
      <c r="FQ12" s="250"/>
      <c r="FR12" s="250"/>
      <c r="FS12" s="251"/>
      <c r="FT12" s="181">
        <f>IF(COUNT(FT13:FT13)=0,"",SUM(FT13:FT13)/COUNT(FT13:FT13))</f>
        <v>3</v>
      </c>
      <c r="FU12" s="182" t="str">
        <f t="shared" si="40"/>
        <v>B</v>
      </c>
      <c r="FV12" s="252"/>
      <c r="FW12" s="250"/>
      <c r="FX12" s="251"/>
      <c r="FY12" s="181">
        <f>IF(COUNT(FY13,#REF!)=0,"",SUM(FY13:FY13)/COUNT(FY13,#REF!))</f>
        <v>3</v>
      </c>
      <c r="FZ12" s="198" t="str">
        <f t="shared" si="41"/>
        <v>B</v>
      </c>
      <c r="GA12" s="247"/>
      <c r="GB12" s="245"/>
      <c r="GC12" s="246"/>
      <c r="GD12" s="181">
        <f>IF(COUNT(GD13,#REF!)=0,"",SUM(GD13:GD13)/COUNT(GD13,#REF!))</f>
        <v>2</v>
      </c>
      <c r="GE12" s="205" t="str">
        <f t="shared" si="42"/>
        <v>C</v>
      </c>
      <c r="GF12" s="181">
        <f>IF(COUNT(GF13:GF13)=0,"",SUM(GF13:GF13)/COUNT(GF13:GF13))</f>
        <v>2.6666666666666665</v>
      </c>
      <c r="GG12" s="206" t="str">
        <f t="shared" si="43"/>
        <v>C</v>
      </c>
      <c r="GH12" s="250"/>
      <c r="GI12" s="250"/>
      <c r="GJ12" s="251"/>
      <c r="GK12" s="181">
        <f>IF(COUNT(GK13:GK13)=0,"",SUM(GK13:GK13)/COUNT(GK13:GK13))</f>
        <v>3</v>
      </c>
      <c r="GL12" s="182" t="str">
        <f t="shared" si="44"/>
        <v>B</v>
      </c>
      <c r="GM12" s="252"/>
      <c r="GN12" s="250"/>
      <c r="GO12" s="251"/>
      <c r="GP12" s="181" t="str">
        <f>IF(COUNT(GP13,#REF!)=0,"",SUM(GP13:GP13)/COUNT(GP13,#REF!))</f>
        <v/>
      </c>
      <c r="GQ12" s="198" t="str">
        <f t="shared" si="45"/>
        <v/>
      </c>
      <c r="GR12" s="247"/>
      <c r="GS12" s="245"/>
      <c r="GT12" s="246"/>
      <c r="GU12" s="181" t="str">
        <f>IF(COUNT(GU13,#REF!)=0,"",SUM(GU13:GU13)/COUNT(GU13,#REF!))</f>
        <v/>
      </c>
      <c r="GV12" s="205" t="str">
        <f t="shared" si="46"/>
        <v/>
      </c>
      <c r="GW12" s="181">
        <f>IF(COUNT(GW13:GW13)=0,"",SUM(GW13:GW13)/COUNT(GW13:GW13))</f>
        <v>3</v>
      </c>
      <c r="GX12" s="206" t="str">
        <f t="shared" si="47"/>
        <v>B</v>
      </c>
      <c r="GY12" s="250"/>
      <c r="GZ12" s="250"/>
      <c r="HA12" s="251"/>
      <c r="HB12" s="181">
        <f>IF(COUNT(HB13:HB13)=0,"",SUM(HB13:HB13)/COUNT(HB13:HB13))</f>
        <v>3</v>
      </c>
      <c r="HC12" s="182" t="str">
        <f t="shared" si="48"/>
        <v>B</v>
      </c>
      <c r="HD12" s="252"/>
      <c r="HE12" s="250"/>
      <c r="HF12" s="251"/>
      <c r="HG12" s="181" t="str">
        <f>IF(COUNT(HG13,#REF!)=0,"",SUM(HG13:HG13)/COUNT(HG13,#REF!))</f>
        <v/>
      </c>
      <c r="HH12" s="198" t="str">
        <f t="shared" si="49"/>
        <v/>
      </c>
      <c r="HI12" s="247"/>
      <c r="HJ12" s="245"/>
      <c r="HK12" s="246"/>
      <c r="HL12" s="181">
        <f>IF(COUNT(HL13,#REF!)=0,"",SUM(HL13:HL13)/COUNT(HL13,#REF!))</f>
        <v>2</v>
      </c>
      <c r="HM12" s="205" t="str">
        <f t="shared" si="50"/>
        <v>C</v>
      </c>
      <c r="HN12" s="181">
        <f>IF(COUNT(HN13:HN13)=0,"",SUM(HN13:HN13)/COUNT(HN13:HN13))</f>
        <v>2.5</v>
      </c>
      <c r="HO12" s="206" t="str">
        <f t="shared" si="51"/>
        <v>C</v>
      </c>
      <c r="HP12" s="250"/>
      <c r="HQ12" s="250"/>
      <c r="HR12" s="251"/>
      <c r="HS12" s="181">
        <f>IF(COUNT(HS13:HS13)=0,"",SUM(HS13:HS13)/COUNT(HS13:HS13))</f>
        <v>3</v>
      </c>
      <c r="HT12" s="182" t="str">
        <f t="shared" si="52"/>
        <v>B</v>
      </c>
      <c r="HU12" s="252"/>
      <c r="HV12" s="250"/>
      <c r="HW12" s="251"/>
      <c r="HX12" s="181">
        <f>IF(COUNT(HX13,#REF!)=0,"",SUM(HX13:HX13)/COUNT(HX13,#REF!))</f>
        <v>3</v>
      </c>
      <c r="HY12" s="198" t="str">
        <f t="shared" si="53"/>
        <v>B</v>
      </c>
      <c r="HZ12" s="247"/>
      <c r="IA12" s="245"/>
      <c r="IB12" s="246"/>
      <c r="IC12" s="181">
        <f>IF(COUNT(IC13,#REF!)=0,"",SUM(IC13:IC13)/COUNT(IC13,#REF!))</f>
        <v>2</v>
      </c>
      <c r="ID12" s="205" t="str">
        <f t="shared" si="54"/>
        <v>C</v>
      </c>
      <c r="IE12" s="181">
        <f>IF(COUNT(IE13:IE13)=0,"",SUM(IE13:IE13)/COUNT(IE13:IE13))</f>
        <v>2.6666666666666665</v>
      </c>
      <c r="IF12" s="206" t="str">
        <f t="shared" si="55"/>
        <v>C</v>
      </c>
      <c r="IG12" s="250"/>
      <c r="IH12" s="250"/>
      <c r="II12" s="251"/>
      <c r="IJ12" s="181">
        <f>IF(COUNT(IJ13:IJ13)=0,"",SUM(IJ13:IJ13)/COUNT(IJ13:IJ13))</f>
        <v>3</v>
      </c>
      <c r="IK12" s="182" t="str">
        <f t="shared" si="56"/>
        <v>B</v>
      </c>
      <c r="IL12" s="252"/>
      <c r="IM12" s="250"/>
      <c r="IN12" s="251"/>
      <c r="IO12" s="181" t="str">
        <f>IF(COUNT(IO13,#REF!)=0,"",SUM(IO13:IO13)/COUNT(IO13,#REF!))</f>
        <v/>
      </c>
      <c r="IP12" s="198" t="str">
        <f t="shared" si="57"/>
        <v/>
      </c>
      <c r="IQ12" s="247"/>
      <c r="IR12" s="245"/>
      <c r="IS12" s="246"/>
      <c r="IT12" s="181" t="str">
        <f>IF(COUNT(IT13,#REF!)=0,"",SUM(IT13:IT13)/COUNT(IT13,#REF!))</f>
        <v/>
      </c>
      <c r="IU12" s="205" t="str">
        <f t="shared" si="58"/>
        <v/>
      </c>
      <c r="IV12" s="181">
        <f>IF(COUNT(IV13:IV13)=0,"",SUM(IV13:IV13)/COUNT(IV13:IV13))</f>
        <v>3</v>
      </c>
      <c r="IW12" s="206" t="str">
        <f t="shared" si="59"/>
        <v>B</v>
      </c>
      <c r="IX12" s="250"/>
      <c r="IY12" s="250"/>
      <c r="IZ12" s="251"/>
      <c r="JA12" s="181">
        <f>IF(COUNT(JA13:JA13)=0,"",SUM(JA13:JA13)/COUNT(JA13:JA13))</f>
        <v>2</v>
      </c>
      <c r="JB12" s="182" t="str">
        <f t="shared" si="60"/>
        <v>C</v>
      </c>
      <c r="JC12" s="252"/>
      <c r="JD12" s="250"/>
      <c r="JE12" s="251"/>
      <c r="JF12" s="181" t="str">
        <f>IF(COUNT(JF13,#REF!)=0,"",SUM(JF13:JF13)/COUNT(JF13,#REF!))</f>
        <v/>
      </c>
      <c r="JG12" s="198" t="str">
        <f t="shared" si="61"/>
        <v/>
      </c>
      <c r="JH12" s="247"/>
      <c r="JI12" s="245"/>
      <c r="JJ12" s="246"/>
      <c r="JK12" s="181">
        <f>IF(COUNT(JK13,#REF!)=0,"",SUM(JK13:JK13)/COUNT(JK13,#REF!))</f>
        <v>2</v>
      </c>
      <c r="JL12" s="205" t="str">
        <f t="shared" si="62"/>
        <v>C</v>
      </c>
      <c r="JM12" s="181">
        <f>IF(COUNT(JM13:JM13)=0,"",SUM(JM13:JM13)/COUNT(JM13:JM13))</f>
        <v>2</v>
      </c>
      <c r="JN12" s="206" t="str">
        <f t="shared" si="63"/>
        <v>C</v>
      </c>
      <c r="JO12" s="250"/>
      <c r="JP12" s="250"/>
      <c r="JQ12" s="251"/>
      <c r="JR12" s="181">
        <f>IF(COUNT(JR13:JR13)=0,"",SUM(JR13:JR13)/COUNT(JR13:JR13))</f>
        <v>3</v>
      </c>
      <c r="JS12" s="182" t="str">
        <f t="shared" si="64"/>
        <v>B</v>
      </c>
      <c r="JT12" s="252"/>
      <c r="JU12" s="250"/>
      <c r="JV12" s="251"/>
      <c r="JW12" s="181">
        <f>IF(COUNT(JW13,#REF!)=0,"",SUM(JW13:JW13)/COUNT(JW13,#REF!))</f>
        <v>3</v>
      </c>
      <c r="JX12" s="198" t="str">
        <f t="shared" si="65"/>
        <v>B</v>
      </c>
      <c r="JY12" s="247"/>
      <c r="JZ12" s="245"/>
      <c r="KA12" s="246"/>
      <c r="KB12" s="181">
        <f>IF(COUNT(KB13,#REF!)=0,"",SUM(KB13:KB13)/COUNT(KB13,#REF!))</f>
        <v>3</v>
      </c>
      <c r="KC12" s="205" t="str">
        <f t="shared" si="66"/>
        <v>B</v>
      </c>
      <c r="KD12" s="181">
        <f>IF(COUNT(KD13:KD13)=0,"",SUM(KD13:KD13)/COUNT(KD13:KD13))</f>
        <v>3</v>
      </c>
      <c r="KE12" s="206" t="str">
        <f t="shared" si="67"/>
        <v>B</v>
      </c>
      <c r="KF12" s="250"/>
      <c r="KG12" s="250"/>
      <c r="KH12" s="251"/>
      <c r="KI12" s="181">
        <f>IF(COUNT(KI13:KI13)=0,"",SUM(KI13:KI13)/COUNT(KI13:KI13))</f>
        <v>3</v>
      </c>
      <c r="KJ12" s="182" t="str">
        <f t="shared" si="68"/>
        <v>B</v>
      </c>
      <c r="KK12" s="252"/>
      <c r="KL12" s="250"/>
      <c r="KM12" s="251"/>
      <c r="KN12" s="181">
        <f>IF(COUNT(KN13,#REF!)=0,"",SUM(KN13:KN13)/COUNT(KN13,#REF!))</f>
        <v>3</v>
      </c>
      <c r="KO12" s="198" t="str">
        <f t="shared" si="69"/>
        <v>B</v>
      </c>
      <c r="KP12" s="247"/>
      <c r="KQ12" s="245"/>
      <c r="KR12" s="246"/>
      <c r="KS12" s="181">
        <f>IF(COUNT(KS13,#REF!)=0,"",SUM(KS13:KS13)/COUNT(KS13,#REF!))</f>
        <v>2</v>
      </c>
      <c r="KT12" s="205" t="str">
        <f t="shared" si="70"/>
        <v>C</v>
      </c>
      <c r="KU12" s="181">
        <f>IF(COUNT(KU13:KU13)=0,"",SUM(KU13:KU13)/COUNT(KU13:KU13))</f>
        <v>2.6666666666666665</v>
      </c>
      <c r="KV12" s="206" t="str">
        <f t="shared" si="71"/>
        <v>C</v>
      </c>
      <c r="KW12" s="250"/>
      <c r="KX12" s="250"/>
      <c r="KY12" s="251"/>
      <c r="KZ12" s="181">
        <f>IF(COUNT(KZ13:KZ13)=0,"",SUM(KZ13:KZ13)/COUNT(KZ13:KZ13))</f>
        <v>3</v>
      </c>
      <c r="LA12" s="182" t="str">
        <f t="shared" si="72"/>
        <v>B</v>
      </c>
      <c r="LB12" s="252"/>
      <c r="LC12" s="250"/>
      <c r="LD12" s="251"/>
      <c r="LE12" s="181">
        <f>IF(COUNT(LE13,#REF!)=0,"",SUM(LE13:LE13)/COUNT(LE13,#REF!))</f>
        <v>3</v>
      </c>
      <c r="LF12" s="198" t="str">
        <f t="shared" si="73"/>
        <v>B</v>
      </c>
      <c r="LG12" s="247"/>
      <c r="LH12" s="245"/>
      <c r="LI12" s="246"/>
      <c r="LJ12" s="181">
        <f>IF(COUNT(LJ13,#REF!)=0,"",SUM(LJ13:LJ13)/COUNT(LJ13,#REF!))</f>
        <v>2</v>
      </c>
      <c r="LK12" s="205" t="str">
        <f t="shared" si="74"/>
        <v>C</v>
      </c>
      <c r="LL12" s="181">
        <f>IF(COUNT(LL13:LL13)=0,"",SUM(LL13:LL13)/COUNT(LL13:LL13))</f>
        <v>2.6666666666666665</v>
      </c>
      <c r="LM12" s="206" t="str">
        <f t="shared" si="75"/>
        <v>C</v>
      </c>
      <c r="LN12" s="250"/>
      <c r="LO12" s="250"/>
      <c r="LP12" s="251"/>
      <c r="LQ12" s="181">
        <f>IF(COUNT(LQ13:LQ13)=0,"",SUM(LQ13:LQ13)/COUNT(LQ13:LQ13))</f>
        <v>3</v>
      </c>
      <c r="LR12" s="182" t="str">
        <f t="shared" si="76"/>
        <v>B</v>
      </c>
      <c r="LS12" s="252"/>
      <c r="LT12" s="250"/>
      <c r="LU12" s="251"/>
      <c r="LV12" s="181" t="str">
        <f>IF(COUNT(LV13,#REF!)=0,"",SUM(LV13:LV13)/COUNT(LV13,#REF!))</f>
        <v/>
      </c>
      <c r="LW12" s="198" t="str">
        <f t="shared" si="77"/>
        <v/>
      </c>
      <c r="LX12" s="247"/>
      <c r="LY12" s="245"/>
      <c r="LZ12" s="246"/>
      <c r="MA12" s="181">
        <f>IF(COUNT(MA13,#REF!)=0,"",SUM(MA13:MA13)/COUNT(MA13,#REF!))</f>
        <v>2</v>
      </c>
      <c r="MB12" s="205" t="str">
        <f t="shared" si="78"/>
        <v>C</v>
      </c>
      <c r="MC12" s="181">
        <f>IF(COUNT(MC13:MC13)=0,"",SUM(MC13:MC13)/COUNT(MC13:MC13))</f>
        <v>2.5</v>
      </c>
      <c r="MD12" s="206" t="str">
        <f t="shared" si="79"/>
        <v>C</v>
      </c>
      <c r="ME12" s="250"/>
      <c r="MF12" s="250"/>
      <c r="MG12" s="251"/>
      <c r="MH12" s="181">
        <f>IF(COUNT(MH13:MH13)=0,"",SUM(MH13:MH13)/COUNT(MH13:MH13))</f>
        <v>4</v>
      </c>
      <c r="MI12" s="182" t="str">
        <f t="shared" si="80"/>
        <v>A</v>
      </c>
      <c r="MJ12" s="252"/>
      <c r="MK12" s="250"/>
      <c r="ML12" s="251"/>
      <c r="MM12" s="181">
        <f>IF(COUNT(MM13,#REF!)=0,"",SUM(MM13:MM13)/COUNT(MM13,#REF!))</f>
        <v>3</v>
      </c>
      <c r="MN12" s="198" t="str">
        <f t="shared" si="81"/>
        <v>B</v>
      </c>
      <c r="MO12" s="247"/>
      <c r="MP12" s="245"/>
      <c r="MQ12" s="246"/>
      <c r="MR12" s="181">
        <f>IF(COUNT(MR13,#REF!)=0,"",SUM(MR13:MR13)/COUNT(MR13,#REF!))</f>
        <v>3</v>
      </c>
      <c r="MS12" s="205" t="str">
        <f t="shared" si="82"/>
        <v>B</v>
      </c>
      <c r="MT12" s="181">
        <f>IF(COUNT(MT13:MT13)=0,"",SUM(MT13:MT13)/COUNT(MT13:MT13))</f>
        <v>3.3333333333333335</v>
      </c>
      <c r="MU12" s="206" t="str">
        <f t="shared" si="83"/>
        <v>B</v>
      </c>
      <c r="MV12" s="250"/>
      <c r="MW12" s="250"/>
      <c r="MX12" s="251"/>
      <c r="MY12" s="181">
        <f>IF(COUNT(MY13:MY13)=0,"",SUM(MY13:MY13)/COUNT(MY13:MY13))</f>
        <v>2</v>
      </c>
      <c r="MZ12" s="182" t="str">
        <f t="shared" si="84"/>
        <v>C</v>
      </c>
      <c r="NA12" s="252"/>
      <c r="NB12" s="250"/>
      <c r="NC12" s="251"/>
      <c r="ND12" s="181">
        <f>IF(COUNT(ND13,#REF!)=0,"",SUM(ND13:ND13)/COUNT(ND13,#REF!))</f>
        <v>3</v>
      </c>
      <c r="NE12" s="198" t="str">
        <f t="shared" si="85"/>
        <v>B</v>
      </c>
      <c r="NF12" s="247"/>
      <c r="NG12" s="245"/>
      <c r="NH12" s="246"/>
      <c r="NI12" s="181">
        <f>IF(COUNT(NI13,#REF!)=0,"",SUM(NI13:NI13)/COUNT(NI13,#REF!))</f>
        <v>2</v>
      </c>
      <c r="NJ12" s="205" t="str">
        <f t="shared" si="86"/>
        <v>C</v>
      </c>
      <c r="NK12" s="181">
        <f>IF(COUNT(NK13:NK13)=0,"",SUM(NK13:NK13)/COUNT(NK13:NK13))</f>
        <v>2.3333333333333335</v>
      </c>
      <c r="NL12" s="206" t="str">
        <f t="shared" si="87"/>
        <v>C</v>
      </c>
      <c r="NM12" s="250"/>
      <c r="NN12" s="250"/>
      <c r="NO12" s="251"/>
      <c r="NP12" s="181">
        <f>IF(COUNT(NP13:NP13)=0,"",SUM(NP13:NP13)/COUNT(NP13:NP13))</f>
        <v>4</v>
      </c>
      <c r="NQ12" s="182" t="str">
        <f t="shared" si="88"/>
        <v>A</v>
      </c>
      <c r="NR12" s="252"/>
      <c r="NS12" s="250"/>
      <c r="NT12" s="251"/>
      <c r="NU12" s="181">
        <f>IF(COUNT(NU13,#REF!)=0,"",SUM(NU13:NU13)/COUNT(NU13,#REF!))</f>
        <v>3</v>
      </c>
      <c r="NV12" s="198" t="str">
        <f t="shared" si="89"/>
        <v>B</v>
      </c>
      <c r="NW12" s="247"/>
      <c r="NX12" s="245"/>
      <c r="NY12" s="246"/>
      <c r="NZ12" s="181">
        <f>IF(COUNT(NZ13,#REF!)=0,"",SUM(NZ13:NZ13)/COUNT(NZ13,#REF!))</f>
        <v>2</v>
      </c>
      <c r="OA12" s="205" t="str">
        <f t="shared" si="90"/>
        <v>C</v>
      </c>
      <c r="OB12" s="181">
        <f>IF(COUNT(OB13:OB13)=0,"",SUM(OB13:OB13)/COUNT(OB13:OB13))</f>
        <v>3</v>
      </c>
      <c r="OC12" s="206" t="str">
        <f t="shared" si="91"/>
        <v>B</v>
      </c>
      <c r="OD12" s="250"/>
      <c r="OE12" s="250"/>
      <c r="OF12" s="251"/>
      <c r="OG12" s="181">
        <f>IF(COUNT(OG13:OG13)=0,"",SUM(OG13:OG13)/COUNT(OG13:OG13))</f>
        <v>3</v>
      </c>
      <c r="OH12" s="182" t="str">
        <f t="shared" si="92"/>
        <v>B</v>
      </c>
      <c r="OI12" s="252"/>
      <c r="OJ12" s="250"/>
      <c r="OK12" s="251"/>
      <c r="OL12" s="181">
        <f>IF(COUNT(OL13,#REF!)=0,"",SUM(OL13:OL13)/COUNT(OL13,#REF!))</f>
        <v>3</v>
      </c>
      <c r="OM12" s="198" t="str">
        <f t="shared" si="93"/>
        <v>B</v>
      </c>
      <c r="ON12" s="247"/>
      <c r="OO12" s="245"/>
      <c r="OP12" s="246"/>
      <c r="OQ12" s="181">
        <f>IF(COUNT(OQ13,#REF!)=0,"",SUM(OQ13:OQ13)/COUNT(OQ13,#REF!))</f>
        <v>3</v>
      </c>
      <c r="OR12" s="205" t="str">
        <f t="shared" si="94"/>
        <v>B</v>
      </c>
      <c r="OS12" s="181">
        <f>IF(COUNT(OS13:OS13)=0,"",SUM(OS13:OS13)/COUNT(OS13:OS13))</f>
        <v>3</v>
      </c>
      <c r="OT12" s="206" t="str">
        <f t="shared" si="95"/>
        <v>B</v>
      </c>
      <c r="OU12" s="250"/>
      <c r="OV12" s="250"/>
      <c r="OW12" s="251"/>
      <c r="OX12" s="181">
        <f>IF(COUNT(OX13:OX13)=0,"",SUM(OX13:OX13)/COUNT(OX13:OX13))</f>
        <v>3</v>
      </c>
      <c r="OY12" s="182" t="str">
        <f t="shared" si="96"/>
        <v>B</v>
      </c>
      <c r="OZ12" s="252"/>
      <c r="PA12" s="250"/>
      <c r="PB12" s="251"/>
      <c r="PC12" s="181" t="str">
        <f>IF(COUNT(PC13,#REF!)=0,"",SUM(PC13:PC13)/COUNT(PC13,#REF!))</f>
        <v/>
      </c>
      <c r="PD12" s="198" t="str">
        <f t="shared" si="97"/>
        <v/>
      </c>
      <c r="PE12" s="247"/>
      <c r="PF12" s="245"/>
      <c r="PG12" s="246"/>
      <c r="PH12" s="181" t="str">
        <f>IF(COUNT(PH13,#REF!)=0,"",SUM(PH13:PH13)/COUNT(PH13,#REF!))</f>
        <v/>
      </c>
      <c r="PI12" s="205" t="str">
        <f t="shared" si="98"/>
        <v/>
      </c>
      <c r="PJ12" s="181">
        <f>IF(COUNT(PJ13:PJ13)=0,"",SUM(PJ13:PJ13)/COUNT(PJ13:PJ13))</f>
        <v>3</v>
      </c>
      <c r="PK12" s="206" t="str">
        <f t="shared" si="99"/>
        <v>B</v>
      </c>
      <c r="PL12" s="250"/>
      <c r="PM12" s="250"/>
      <c r="PN12" s="251"/>
      <c r="PO12" s="181">
        <f>IF(COUNT(PO13:PO13)=0,"",SUM(PO13:PO13)/COUNT(PO13:PO13))</f>
        <v>3</v>
      </c>
      <c r="PP12" s="182" t="str">
        <f t="shared" si="100"/>
        <v>B</v>
      </c>
      <c r="PQ12" s="252"/>
      <c r="PR12" s="250"/>
      <c r="PS12" s="251"/>
      <c r="PT12" s="181">
        <f>IF(COUNT(PT13,#REF!)=0,"",SUM(PT13:PT13)/COUNT(PT13,#REF!))</f>
        <v>2</v>
      </c>
      <c r="PU12" s="198" t="str">
        <f t="shared" si="101"/>
        <v>C</v>
      </c>
      <c r="PV12" s="247"/>
      <c r="PW12" s="245"/>
      <c r="PX12" s="246"/>
      <c r="PY12" s="181">
        <f>IF(COUNT(PY13,#REF!)=0,"",SUM(PY13:PY13)/COUNT(PY13,#REF!))</f>
        <v>2</v>
      </c>
      <c r="PZ12" s="205" t="str">
        <f t="shared" si="102"/>
        <v>C</v>
      </c>
      <c r="QA12" s="181">
        <f>IF(COUNT(QA13:QA13)=0,"",SUM(QA13:QA13)/COUNT(QA13:QA13))</f>
        <v>2.3333333333333335</v>
      </c>
      <c r="QB12" s="206" t="str">
        <f t="shared" si="103"/>
        <v>C</v>
      </c>
      <c r="QC12" s="250"/>
      <c r="QD12" s="250"/>
      <c r="QE12" s="251"/>
      <c r="QF12" s="181">
        <f>IF(COUNT(QF13:QF13)=0,"",SUM(QF13:QF13)/COUNT(QF13:QF13))</f>
        <v>2</v>
      </c>
      <c r="QG12" s="182" t="str">
        <f t="shared" si="104"/>
        <v>C</v>
      </c>
      <c r="QH12" s="252"/>
      <c r="QI12" s="250"/>
      <c r="QJ12" s="251"/>
      <c r="QK12" s="181" t="str">
        <f>IF(COUNT(QK13,#REF!)=0,"",SUM(QK13:QK13)/COUNT(QK13,#REF!))</f>
        <v/>
      </c>
      <c r="QL12" s="198" t="str">
        <f t="shared" si="105"/>
        <v/>
      </c>
      <c r="QM12" s="247"/>
      <c r="QN12" s="245"/>
      <c r="QO12" s="246"/>
      <c r="QP12" s="181">
        <f>IF(COUNT(QP13,#REF!)=0,"",SUM(QP13:QP13)/COUNT(QP13,#REF!))</f>
        <v>2</v>
      </c>
      <c r="QQ12" s="205" t="str">
        <f t="shared" si="106"/>
        <v>C</v>
      </c>
      <c r="QR12" s="181">
        <f>IF(COUNT(QR13:QR13)=0,"",SUM(QR13:QR13)/COUNT(QR13:QR13))</f>
        <v>2</v>
      </c>
      <c r="QS12" s="206" t="str">
        <f t="shared" si="107"/>
        <v>C</v>
      </c>
      <c r="QT12" s="250"/>
      <c r="QU12" s="250"/>
      <c r="QV12" s="251"/>
      <c r="QW12" s="181">
        <f>IF(COUNT(QW13:QW13)=0,"",SUM(QW13:QW13)/COUNT(QW13:QW13))</f>
        <v>3</v>
      </c>
      <c r="QX12" s="182" t="str">
        <f t="shared" si="108"/>
        <v>B</v>
      </c>
      <c r="QY12" s="252"/>
      <c r="QZ12" s="250"/>
      <c r="RA12" s="251"/>
      <c r="RB12" s="181" t="str">
        <f>IF(COUNT(RB13,#REF!)=0,"",SUM(RB13:RB13)/COUNT(RB13,#REF!))</f>
        <v/>
      </c>
      <c r="RC12" s="198" t="str">
        <f t="shared" si="109"/>
        <v/>
      </c>
      <c r="RD12" s="247"/>
      <c r="RE12" s="245"/>
      <c r="RF12" s="246"/>
      <c r="RG12" s="181" t="str">
        <f>IF(COUNT(RG13,#REF!)=0,"",SUM(RG13:RG13)/COUNT(RG13,#REF!))</f>
        <v/>
      </c>
      <c r="RH12" s="205" t="str">
        <f t="shared" si="110"/>
        <v/>
      </c>
      <c r="RI12" s="181">
        <f>IF(COUNT(RI13:RI13)=0,"",SUM(RI13:RI13)/COUNT(RI13:RI13))</f>
        <v>3</v>
      </c>
      <c r="RJ12" s="206" t="str">
        <f t="shared" si="111"/>
        <v>B</v>
      </c>
      <c r="RK12" s="250"/>
      <c r="RL12" s="250"/>
      <c r="RM12" s="251"/>
      <c r="RN12" s="181">
        <f>IF(COUNT(RN13:RN13)=0,"",SUM(RN13:RN13)/COUNT(RN13:RN13))</f>
        <v>4</v>
      </c>
      <c r="RO12" s="182" t="str">
        <f t="shared" si="112"/>
        <v>A</v>
      </c>
      <c r="RP12" s="252"/>
      <c r="RQ12" s="250"/>
      <c r="RR12" s="251"/>
      <c r="RS12" s="181" t="str">
        <f>IF(COUNT(RS13,#REF!)=0,"",SUM(RS13:RS13)/COUNT(RS13,#REF!))</f>
        <v/>
      </c>
      <c r="RT12" s="198" t="str">
        <f t="shared" si="113"/>
        <v/>
      </c>
      <c r="RU12" s="247"/>
      <c r="RV12" s="245"/>
      <c r="RW12" s="246"/>
      <c r="RX12" s="181">
        <f>IF(COUNT(RX13,#REF!)=0,"",SUM(RX13:RX13)/COUNT(RX13,#REF!))</f>
        <v>2</v>
      </c>
      <c r="RY12" s="205" t="str">
        <f t="shared" si="114"/>
        <v>C</v>
      </c>
      <c r="RZ12" s="181">
        <f>IF(COUNT(RZ13:RZ13)=0,"",SUM(RZ13:RZ13)/COUNT(RZ13:RZ13))</f>
        <v>3</v>
      </c>
      <c r="SA12" s="206" t="str">
        <f t="shared" si="115"/>
        <v>B</v>
      </c>
      <c r="SB12" s="250"/>
      <c r="SC12" s="250"/>
      <c r="SD12" s="251"/>
      <c r="SE12" s="181">
        <f>IF(COUNT(SE13:SE13)=0,"",SUM(SE13:SE13)/COUNT(SE13:SE13))</f>
        <v>3</v>
      </c>
      <c r="SF12" s="182" t="str">
        <f t="shared" si="116"/>
        <v>B</v>
      </c>
      <c r="SG12" s="252"/>
      <c r="SH12" s="250"/>
      <c r="SI12" s="251"/>
      <c r="SJ12" s="181" t="str">
        <f>IF(COUNT(SJ13,#REF!)=0,"",SUM(SJ13:SJ13)/COUNT(SJ13,#REF!))</f>
        <v/>
      </c>
      <c r="SK12" s="198" t="str">
        <f t="shared" si="117"/>
        <v/>
      </c>
      <c r="SL12" s="247"/>
      <c r="SM12" s="245"/>
      <c r="SN12" s="246"/>
      <c r="SO12" s="181" t="str">
        <f>IF(COUNT(SO13,#REF!)=0,"",SUM(SO13:SO13)/COUNT(SO13,#REF!))</f>
        <v/>
      </c>
      <c r="SP12" s="205" t="str">
        <f t="shared" si="118"/>
        <v/>
      </c>
      <c r="SQ12" s="181">
        <f>IF(COUNT(SQ13:SQ13)=0,"",SUM(SQ13:SQ13)/COUNT(SQ13:SQ13))</f>
        <v>3</v>
      </c>
      <c r="SR12" s="206" t="str">
        <f t="shared" si="119"/>
        <v>B</v>
      </c>
      <c r="SS12" s="250"/>
      <c r="ST12" s="250"/>
      <c r="SU12" s="251"/>
      <c r="SV12" s="181">
        <f>IF(COUNT(SV13:SV13)=0,"",SUM(SV13:SV13)/COUNT(SV13:SV13))</f>
        <v>3</v>
      </c>
      <c r="SW12" s="182" t="str">
        <f t="shared" si="120"/>
        <v>B</v>
      </c>
      <c r="SX12" s="252"/>
      <c r="SY12" s="250"/>
      <c r="SZ12" s="251"/>
      <c r="TA12" s="181">
        <f>IF(COUNT(TA13,#REF!)=0,"",SUM(TA13:TA13)/COUNT(TA13,#REF!))</f>
        <v>3</v>
      </c>
      <c r="TB12" s="198" t="str">
        <f t="shared" si="121"/>
        <v>B</v>
      </c>
      <c r="TC12" s="247"/>
      <c r="TD12" s="245"/>
      <c r="TE12" s="246"/>
      <c r="TF12" s="181">
        <f>IF(COUNT(TF13,#REF!)=0,"",SUM(TF13:TF13)/COUNT(TF13,#REF!))</f>
        <v>3</v>
      </c>
      <c r="TG12" s="205" t="str">
        <f t="shared" si="122"/>
        <v>B</v>
      </c>
      <c r="TH12" s="181">
        <f>IF(COUNT(TH13:TH13)=0,"",SUM(TH13:TH13)/COUNT(TH13:TH13))</f>
        <v>3</v>
      </c>
      <c r="TI12" s="206" t="str">
        <f t="shared" si="123"/>
        <v>B</v>
      </c>
      <c r="TJ12" s="250"/>
      <c r="TK12" s="250"/>
      <c r="TL12" s="251"/>
      <c r="TM12" s="181">
        <f>IF(COUNT(TM13:TM13)=0,"",SUM(TM13:TM13)/COUNT(TM13:TM13))</f>
        <v>3</v>
      </c>
      <c r="TN12" s="182" t="str">
        <f t="shared" si="124"/>
        <v>B</v>
      </c>
      <c r="TO12" s="252"/>
      <c r="TP12" s="250"/>
      <c r="TQ12" s="251"/>
      <c r="TR12" s="181">
        <f>IF(COUNT(TR13,#REF!)=0,"",SUM(TR13:TR13)/COUNT(TR13,#REF!))</f>
        <v>3</v>
      </c>
      <c r="TS12" s="198" t="str">
        <f t="shared" si="125"/>
        <v>B</v>
      </c>
      <c r="TT12" s="247"/>
      <c r="TU12" s="245"/>
      <c r="TV12" s="246"/>
      <c r="TW12" s="181">
        <f>IF(COUNT(TW13,#REF!)=0,"",SUM(TW13:TW13)/COUNT(TW13,#REF!))</f>
        <v>3</v>
      </c>
      <c r="TX12" s="205" t="str">
        <f t="shared" si="126"/>
        <v>B</v>
      </c>
      <c r="TY12" s="181">
        <f>IF(COUNT(TY13:TY13)=0,"",SUM(TY13:TY13)/COUNT(TY13:TY13))</f>
        <v>3</v>
      </c>
      <c r="TZ12" s="206" t="str">
        <f t="shared" si="127"/>
        <v>B</v>
      </c>
    </row>
    <row r="13" spans="1:546" ht="14.65" customHeight="1" thickBot="1" x14ac:dyDescent="0.3">
      <c r="A13" s="165" t="s">
        <v>16</v>
      </c>
      <c r="B13" s="127"/>
      <c r="C13" s="173" t="s">
        <v>24</v>
      </c>
      <c r="D13" s="100"/>
      <c r="E13" s="101"/>
      <c r="F13" s="183">
        <f>IFERROR((((COUNTIF('Elève (6ème1)'!C13:E13,"A"))*4)+((COUNTIF('Elève (6ème1)'!C13:E13,"B"))*3)+((COUNTIF('Elève (6ème1)'!C13:E13,"C"))*2)+((COUNTIF('Elève (6ème1)'!C13:E13,"D"))*1))/(COUNTA(C13:E13)),"")</f>
        <v>3</v>
      </c>
      <c r="G13" s="184" t="str">
        <f t="shared" si="0"/>
        <v>B</v>
      </c>
      <c r="H13" s="173"/>
      <c r="I13" s="100"/>
      <c r="J13" s="101" t="s">
        <v>226</v>
      </c>
      <c r="K13" s="183">
        <f>IFERROR((((COUNTIF('Elève (6ème1)'!H13:J13,"A"))*4)+((COUNTIF('Elève (6ème1)'!H13:J13,"B"))*3)+((COUNTIF('Elève (6ème1)'!H13:J13,"C"))*2)+((COUNTIF('Elève (6ème1)'!H13:J13,"D"))*1))/(COUNTA(H13:J13)),"")</f>
        <v>3</v>
      </c>
      <c r="L13" s="184" t="str">
        <f t="shared" si="1"/>
        <v>B</v>
      </c>
      <c r="M13" s="173"/>
      <c r="N13" s="100" t="s">
        <v>25</v>
      </c>
      <c r="O13" s="101"/>
      <c r="P13" s="183">
        <f>IFERROR((((COUNTIF('Elève (6ème1)'!M13:O13,"A"))*4)+((COUNTIF('Elève (6ème1)'!M13:O13,"B"))*3)+((COUNTIF('Elève (6ème1)'!M13:O13,"C"))*2)+((COUNTIF('Elève (6ème1)'!M13:O13,"D"))*1))/(COUNTA(M13:O13)),"")</f>
        <v>2</v>
      </c>
      <c r="Q13" s="184" t="str">
        <f t="shared" si="2"/>
        <v>C</v>
      </c>
      <c r="R13" s="183">
        <f>IF(COUNT(F13,K13,P13)=0,"",SUM(F13,K13,P13)/COUNT(F13,K13,P13))</f>
        <v>2.6666666666666665</v>
      </c>
      <c r="S13" s="207" t="str">
        <f t="shared" si="3"/>
        <v>C</v>
      </c>
      <c r="T13" s="218" t="s">
        <v>24</v>
      </c>
      <c r="U13" s="100"/>
      <c r="V13" s="101"/>
      <c r="W13" s="183">
        <f>IFERROR((((COUNTIF('Elève (6ème1)'!T13:V13,"A"))*4)+((COUNTIF('Elève (6ème1)'!T13:V13,"B"))*3)+((COUNTIF('Elève (6ème1)'!T13:V13,"C"))*2)+((COUNTIF('Elève (6ème1)'!T13:V13,"D"))*1))/(COUNTA(T13:V13)),"")</f>
        <v>3</v>
      </c>
      <c r="X13" s="184" t="str">
        <f t="shared" si="4"/>
        <v>B</v>
      </c>
      <c r="Y13" s="173"/>
      <c r="Z13" s="100"/>
      <c r="AA13" s="101"/>
      <c r="AB13" s="183" t="str">
        <f>IFERROR((((COUNTIF('Elève (6ème1)'!Y13:AA13,"A"))*4)+((COUNTIF('Elève (6ème1)'!Y13:AA13,"B"))*3)+((COUNTIF('Elève (6ème1)'!Y13:AA13,"C"))*2)+((COUNTIF('Elève (6ème1)'!Y13:AA13,"D"))*1))/(COUNTA(Y13:AA13)),"")</f>
        <v/>
      </c>
      <c r="AC13" s="184" t="str">
        <f t="shared" si="5"/>
        <v/>
      </c>
      <c r="AD13" s="173"/>
      <c r="AE13" s="100"/>
      <c r="AF13" s="101"/>
      <c r="AG13" s="183" t="str">
        <f>IFERROR((((COUNTIF('Elève (6ème1)'!AD13:AF13,"A"))*4)+((COUNTIF('Elève (6ème1)'!AD13:AF13,"B"))*3)+((COUNTIF('Elève (6ème1)'!AD13:AF13,"C"))*2)+((COUNTIF('Elève (6ème1)'!AD13:AF13,"D"))*1))/(COUNTA(AD13:AF13)),"")</f>
        <v/>
      </c>
      <c r="AH13" s="184" t="str">
        <f t="shared" si="6"/>
        <v/>
      </c>
      <c r="AI13" s="183">
        <f>IF(COUNT(W13,AB13,AG13)=0,"",SUM(W13,AB13,AG13)/COUNT(W13,AB13,AG13))</f>
        <v>3</v>
      </c>
      <c r="AJ13" s="207" t="str">
        <f t="shared" si="7"/>
        <v>B</v>
      </c>
      <c r="AK13" s="218" t="s">
        <v>24</v>
      </c>
      <c r="AL13" s="100"/>
      <c r="AM13" s="101"/>
      <c r="AN13" s="183">
        <f>IFERROR((((COUNTIF('Elève (6ème1)'!AK13:AM13,"A"))*4)+((COUNTIF('Elève (6ème1)'!AK13:AM13,"B"))*3)+((COUNTIF('Elève (6ème1)'!AK13:AM13,"C"))*2)+((COUNTIF('Elève (6ème1)'!AK13:AM13,"D"))*1))/(COUNTA(AK13:AM13)),"")</f>
        <v>3</v>
      </c>
      <c r="AO13" s="184" t="str">
        <f t="shared" si="8"/>
        <v>B</v>
      </c>
      <c r="AP13" s="173"/>
      <c r="AQ13" s="100"/>
      <c r="AR13" s="101" t="s">
        <v>24</v>
      </c>
      <c r="AS13" s="183">
        <f>IFERROR((((COUNTIF('Elève (6ème1)'!AP13:AR13,"A"))*4)+((COUNTIF('Elève (6ème1)'!AP13:AR13,"B"))*3)+((COUNTIF('Elève (6ème1)'!AP13:AR13,"C"))*2)+((COUNTIF('Elève (6ème1)'!AP13:AR13,"D"))*1))/(COUNTA(AP13:AR13)),"")</f>
        <v>3</v>
      </c>
      <c r="AT13" s="184" t="str">
        <f t="shared" si="9"/>
        <v>B</v>
      </c>
      <c r="AU13" s="173"/>
      <c r="AV13" s="100" t="s">
        <v>25</v>
      </c>
      <c r="AW13" s="101"/>
      <c r="AX13" s="183">
        <f>IFERROR((((COUNTIF('Elève (6ème1)'!AU13:AW13,"A"))*4)+((COUNTIF('Elève (6ème1)'!AU13:AW13,"B"))*3)+((COUNTIF('Elève (6ème1)'!AU13:AW13,"C"))*2)+((COUNTIF('Elève (6ème1)'!AU13:AW13,"D"))*1))/(COUNTA(AU13:AW13)),"")</f>
        <v>2</v>
      </c>
      <c r="AY13" s="184" t="str">
        <f t="shared" si="10"/>
        <v>C</v>
      </c>
      <c r="AZ13" s="183">
        <f>IF(COUNT(AN13,AS13,AX13)=0,"",SUM(AN13,AS13,AX13)/COUNT(AN13,AS13,AX13))</f>
        <v>2.6666666666666665</v>
      </c>
      <c r="BA13" s="207" t="str">
        <f t="shared" si="11"/>
        <v>C</v>
      </c>
      <c r="BB13" s="218" t="s">
        <v>24</v>
      </c>
      <c r="BC13" s="100"/>
      <c r="BD13" s="101"/>
      <c r="BE13" s="183">
        <f>IFERROR((((COUNTIF('Elève (6ème1)'!BB13:BD13,"A"))*4)+((COUNTIF('Elève (6ème1)'!BB13:BD13,"B"))*3)+((COUNTIF('Elève (6ème1)'!BB13:BD13,"C"))*2)+((COUNTIF('Elève (6ème1)'!BB13:BD13,"D"))*1))/(COUNTA(BB13:BD13)),"")</f>
        <v>3</v>
      </c>
      <c r="BF13" s="184" t="str">
        <f t="shared" si="12"/>
        <v>B</v>
      </c>
      <c r="BG13" s="173"/>
      <c r="BH13" s="100"/>
      <c r="BI13" s="101" t="s">
        <v>24</v>
      </c>
      <c r="BJ13" s="183">
        <f>IFERROR((((COUNTIF('Elève (6ème1)'!BG13:BI13,"A"))*4)+((COUNTIF('Elève (6ème1)'!BG13:BI13,"B"))*3)+((COUNTIF('Elève (6ème1)'!BG13:BI13,"C"))*2)+((COUNTIF('Elève (6ème1)'!BG13:BI13,"D"))*1))/(COUNTA(BG13:BI13)),"")</f>
        <v>3</v>
      </c>
      <c r="BK13" s="184" t="str">
        <f t="shared" si="13"/>
        <v>B</v>
      </c>
      <c r="BL13" s="173"/>
      <c r="BM13" s="100" t="s">
        <v>25</v>
      </c>
      <c r="BN13" s="101"/>
      <c r="BO13" s="183">
        <f>IFERROR((((COUNTIF('Elève (6ème1)'!BL13:BN13,"A"))*4)+((COUNTIF('Elève (6ème1)'!BL13:BN13,"B"))*3)+((COUNTIF('Elève (6ème1)'!BL13:BN13,"C"))*2)+((COUNTIF('Elève (6ème1)'!BL13:BN13,"D"))*1))/(COUNTA(BL13:BN13)),"")</f>
        <v>2</v>
      </c>
      <c r="BP13" s="184" t="str">
        <f t="shared" si="14"/>
        <v>C</v>
      </c>
      <c r="BQ13" s="183">
        <f>IF(COUNT(BE13,BJ13,BO13)=0,"",SUM(BE13,BJ13,BO13)/COUNT(BE13,BJ13,BO13))</f>
        <v>2.6666666666666665</v>
      </c>
      <c r="BR13" s="207" t="str">
        <f t="shared" si="15"/>
        <v>C</v>
      </c>
      <c r="BS13" s="218" t="s">
        <v>25</v>
      </c>
      <c r="BT13" s="100"/>
      <c r="BU13" s="101"/>
      <c r="BV13" s="183">
        <f>IFERROR((((COUNTIF('Elève (6ème1)'!BS13:BU13,"A"))*4)+((COUNTIF('Elève (6ème1)'!BS13:BU13,"B"))*3)+((COUNTIF('Elève (6ème1)'!BS13:BU13,"C"))*2)+((COUNTIF('Elève (6ème1)'!BS13:BU13,"D"))*1))/(COUNTA(BS13:BU13)),"")</f>
        <v>2</v>
      </c>
      <c r="BW13" s="184" t="str">
        <f t="shared" si="16"/>
        <v>C</v>
      </c>
      <c r="BX13" s="173"/>
      <c r="BY13" s="100"/>
      <c r="BZ13" s="101" t="s">
        <v>24</v>
      </c>
      <c r="CA13" s="183">
        <f>IFERROR((((COUNTIF('Elève (6ème1)'!BX13:BZ13,"A"))*4)+((COUNTIF('Elève (6ème1)'!BX13:BZ13,"B"))*3)+((COUNTIF('Elève (6ème1)'!BX13:BZ13,"C"))*2)+((COUNTIF('Elève (6ème1)'!BX13:BZ13,"D"))*1))/(COUNTA(BX13:BZ13)),"")</f>
        <v>3</v>
      </c>
      <c r="CB13" s="184" t="str">
        <f t="shared" si="17"/>
        <v>B</v>
      </c>
      <c r="CC13" s="173"/>
      <c r="CD13" s="100" t="s">
        <v>25</v>
      </c>
      <c r="CE13" s="101"/>
      <c r="CF13" s="183">
        <f>IFERROR((((COUNTIF('Elève (6ème1)'!CC13:CE13,"A"))*4)+((COUNTIF('Elève (6ème1)'!CC13:CE13,"B"))*3)+((COUNTIF('Elève (6ème1)'!CC13:CE13,"C"))*2)+((COUNTIF('Elève (6ème1)'!CC13:CE13,"D"))*1))/(COUNTA(CC13:CE13)),"")</f>
        <v>2</v>
      </c>
      <c r="CG13" s="184" t="str">
        <f t="shared" si="18"/>
        <v>C</v>
      </c>
      <c r="CH13" s="183">
        <f>IF(COUNT(BV13,CA13,CF13)=0,"",SUM(BV13,CA13,CF13)/COUNT(BV13,CA13,CF13))</f>
        <v>2.3333333333333335</v>
      </c>
      <c r="CI13" s="207" t="str">
        <f t="shared" si="19"/>
        <v>C</v>
      </c>
      <c r="CJ13" s="218" t="s">
        <v>24</v>
      </c>
      <c r="CK13" s="100"/>
      <c r="CL13" s="101"/>
      <c r="CM13" s="183">
        <f>IFERROR((((COUNTIF('Elève (6ème1)'!CJ13:CL13,"A"))*4)+((COUNTIF('Elève (6ème1)'!CJ13:CL13,"B"))*3)+((COUNTIF('Elève (6ème1)'!CJ13:CL13,"C"))*2)+((COUNTIF('Elève (6ème1)'!CJ13:CL13,"D"))*1))/(COUNTA(CJ13:CL13)),"")</f>
        <v>3</v>
      </c>
      <c r="CN13" s="184" t="str">
        <f t="shared" si="20"/>
        <v>B</v>
      </c>
      <c r="CO13" s="173"/>
      <c r="CP13" s="100"/>
      <c r="CQ13" s="101" t="s">
        <v>25</v>
      </c>
      <c r="CR13" s="183">
        <f>IFERROR((((COUNTIF('Elève (6ème1)'!CO13:CQ13,"A"))*4)+((COUNTIF('Elève (6ème1)'!CO13:CQ13,"B"))*3)+((COUNTIF('Elève (6ème1)'!CO13:CQ13,"C"))*2)+((COUNTIF('Elève (6ème1)'!CO13:CQ13,"D"))*1))/(COUNTA(CO13:CQ13)),"")</f>
        <v>2</v>
      </c>
      <c r="CS13" s="184" t="str">
        <f t="shared" si="21"/>
        <v>C</v>
      </c>
      <c r="CT13" s="173"/>
      <c r="CU13" s="100" t="s">
        <v>25</v>
      </c>
      <c r="CV13" s="101"/>
      <c r="CW13" s="183">
        <f>IFERROR((((COUNTIF('Elève (6ème1)'!CT13:CV13,"A"))*4)+((COUNTIF('Elève (6ème1)'!CT13:CV13,"B"))*3)+((COUNTIF('Elève (6ème1)'!CT13:CV13,"C"))*2)+((COUNTIF('Elève (6ème1)'!CT13:CV13,"D"))*1))/(COUNTA(CT13:CV13)),"")</f>
        <v>2</v>
      </c>
      <c r="CX13" s="184" t="str">
        <f t="shared" si="22"/>
        <v>C</v>
      </c>
      <c r="CY13" s="183">
        <f>IF(COUNT(CM13,CR13,CW13)=0,"",SUM(CM13,CR13,CW13)/COUNT(CM13,CR13,CW13))</f>
        <v>2.3333333333333335</v>
      </c>
      <c r="CZ13" s="207" t="str">
        <f t="shared" si="23"/>
        <v>C</v>
      </c>
      <c r="DA13" s="218" t="s">
        <v>24</v>
      </c>
      <c r="DB13" s="100"/>
      <c r="DC13" s="101"/>
      <c r="DD13" s="183">
        <f>IFERROR((((COUNTIF('Elève (6ème1)'!DA13:DC13,"A"))*4)+((COUNTIF('Elève (6ème1)'!DA13:DC13,"B"))*3)+((COUNTIF('Elève (6ème1)'!DA13:DC13,"C"))*2)+((COUNTIF('Elève (6ème1)'!DA13:DC13,"D"))*1))/(COUNTA(DA13:DC13)),"")</f>
        <v>3</v>
      </c>
      <c r="DE13" s="184" t="str">
        <f t="shared" si="24"/>
        <v>B</v>
      </c>
      <c r="DF13" s="173"/>
      <c r="DG13" s="100"/>
      <c r="DH13" s="101" t="s">
        <v>24</v>
      </c>
      <c r="DI13" s="183">
        <f>IFERROR((((COUNTIF('Elève (6ème1)'!DF13:DH13,"A"))*4)+((COUNTIF('Elève (6ème1)'!DF13:DH13,"B"))*3)+((COUNTIF('Elève (6ème1)'!DF13:DH13,"C"))*2)+((COUNTIF('Elève (6ème1)'!DF13:DH13,"D"))*1))/(COUNTA(DF13:DH13)),"")</f>
        <v>3</v>
      </c>
      <c r="DJ13" s="184" t="str">
        <f t="shared" si="25"/>
        <v>B</v>
      </c>
      <c r="DK13" s="173"/>
      <c r="DL13" s="100" t="s">
        <v>25</v>
      </c>
      <c r="DM13" s="101"/>
      <c r="DN13" s="183">
        <f>IFERROR((((COUNTIF('Elève (6ème1)'!DK13:DM13,"A"))*4)+((COUNTIF('Elève (6ème1)'!DK13:DM13,"B"))*3)+((COUNTIF('Elève (6ème1)'!DK13:DM13,"C"))*2)+((COUNTIF('Elève (6ème1)'!DK13:DM13,"D"))*1))/(COUNTA(DK13:DM13)),"")</f>
        <v>2</v>
      </c>
      <c r="DO13" s="184" t="str">
        <f t="shared" si="26"/>
        <v>C</v>
      </c>
      <c r="DP13" s="183">
        <f>IF(COUNT(DD13,DI13,DN13)=0,"",SUM(DD13,DI13,DN13)/COUNT(DD13,DI13,DN13))</f>
        <v>2.6666666666666665</v>
      </c>
      <c r="DQ13" s="207" t="str">
        <f t="shared" si="27"/>
        <v>C</v>
      </c>
      <c r="DR13" s="218" t="s">
        <v>24</v>
      </c>
      <c r="DS13" s="100"/>
      <c r="DT13" s="101"/>
      <c r="DU13" s="183">
        <f>IFERROR((((COUNTIF('Elève (6ème1)'!DR13:DT13,"A"))*4)+((COUNTIF('Elève (6ème1)'!DR13:DT13,"B"))*3)+((COUNTIF('Elève (6ème1)'!DR13:DT13,"C"))*2)+((COUNTIF('Elève (6ème1)'!DR13:DT13,"D"))*1))/(COUNTA(DR13:DT13)),"")</f>
        <v>3</v>
      </c>
      <c r="DV13" s="184" t="str">
        <f t="shared" si="28"/>
        <v>B</v>
      </c>
      <c r="DW13" s="173"/>
      <c r="DX13" s="100"/>
      <c r="DY13" s="101" t="s">
        <v>24</v>
      </c>
      <c r="DZ13" s="183">
        <f>IFERROR((((COUNTIF('Elève (6ème1)'!DW13:DY13,"A"))*4)+((COUNTIF('Elève (6ème1)'!DW13:DY13,"B"))*3)+((COUNTIF('Elève (6ème1)'!DW13:DY13,"C"))*2)+((COUNTIF('Elève (6ème1)'!DW13:DY13,"D"))*1))/(COUNTA(DW13:DY13)),"")</f>
        <v>3</v>
      </c>
      <c r="EA13" s="184" t="str">
        <f t="shared" si="29"/>
        <v>B</v>
      </c>
      <c r="EB13" s="173"/>
      <c r="EC13" s="100" t="s">
        <v>25</v>
      </c>
      <c r="ED13" s="101"/>
      <c r="EE13" s="183">
        <f>IFERROR((((COUNTIF('Elève (6ème1)'!EB13:ED13,"A"))*4)+((COUNTIF('Elève (6ème1)'!EB13:ED13,"B"))*3)+((COUNTIF('Elève (6ème1)'!EB13:ED13,"C"))*2)+((COUNTIF('Elève (6ème1)'!EB13:ED13,"D"))*1))/(COUNTA(EB13:ED13)),"")</f>
        <v>2</v>
      </c>
      <c r="EF13" s="184" t="str">
        <f t="shared" si="30"/>
        <v>C</v>
      </c>
      <c r="EG13" s="183">
        <f>IF(COUNT(DU13,DZ13,EE13)=0,"",SUM(DU13,DZ13,EE13)/COUNT(DU13,DZ13,EE13))</f>
        <v>2.6666666666666665</v>
      </c>
      <c r="EH13" s="207" t="str">
        <f t="shared" si="31"/>
        <v>C</v>
      </c>
      <c r="EI13" s="218" t="s">
        <v>24</v>
      </c>
      <c r="EJ13" s="100"/>
      <c r="EK13" s="101"/>
      <c r="EL13" s="183">
        <f>IFERROR((((COUNTIF('Elève (6ème1)'!EI13:EK13,"A"))*4)+((COUNTIF('Elève (6ème1)'!EI13:EK13,"B"))*3)+((COUNTIF('Elève (6ème1)'!EI13:EK13,"C"))*2)+((COUNTIF('Elève (6ème1)'!EI13:EK13,"D"))*1))/(COUNTA(EI13:EK13)),"")</f>
        <v>3</v>
      </c>
      <c r="EM13" s="184" t="str">
        <f t="shared" si="32"/>
        <v>B</v>
      </c>
      <c r="EN13" s="173"/>
      <c r="EO13" s="100"/>
      <c r="EP13" s="101" t="s">
        <v>24</v>
      </c>
      <c r="EQ13" s="183">
        <f>IFERROR((((COUNTIF('Elève (6ème1)'!EN13:EP13,"A"))*4)+((COUNTIF('Elève (6ème1)'!EN13:EP13,"B"))*3)+((COUNTIF('Elève (6ème1)'!EN13:EP13,"C"))*2)+((COUNTIF('Elève (6ème1)'!EN13:EP13,"D"))*1))/(COUNTA(EN13:EP13)),"")</f>
        <v>3</v>
      </c>
      <c r="ER13" s="184" t="str">
        <f t="shared" si="33"/>
        <v>B</v>
      </c>
      <c r="ES13" s="173"/>
      <c r="ET13" s="100" t="s">
        <v>25</v>
      </c>
      <c r="EU13" s="101"/>
      <c r="EV13" s="183">
        <f>IFERROR((((COUNTIF('Elève (6ème1)'!ES13:EU13,"A"))*4)+((COUNTIF('Elève (6ème1)'!ES13:EU13,"B"))*3)+((COUNTIF('Elève (6ème1)'!ES13:EU13,"C"))*2)+((COUNTIF('Elève (6ème1)'!ES13:EU13,"D"))*1))/(COUNTA(ES13:EU13)),"")</f>
        <v>2</v>
      </c>
      <c r="EW13" s="184" t="str">
        <f t="shared" si="34"/>
        <v>C</v>
      </c>
      <c r="EX13" s="183">
        <f>IF(COUNT(EL13,EQ13,EV13)=0,"",SUM(EL13,EQ13,EV13)/COUNT(EL13,EQ13,EV13))</f>
        <v>2.6666666666666665</v>
      </c>
      <c r="EY13" s="207" t="str">
        <f t="shared" si="35"/>
        <v>C</v>
      </c>
      <c r="EZ13" s="218" t="s">
        <v>24</v>
      </c>
      <c r="FA13" s="100"/>
      <c r="FB13" s="101"/>
      <c r="FC13" s="183">
        <f>IFERROR((((COUNTIF('Elève (6ème1)'!EZ13:FB13,"A"))*4)+((COUNTIF('Elève (6ème1)'!EZ13:FB13,"B"))*3)+((COUNTIF('Elève (6ème1)'!EZ13:FB13,"C"))*2)+((COUNTIF('Elève (6ème1)'!EZ13:FB13,"D"))*1))/(COUNTA(EZ13:FB13)),"")</f>
        <v>3</v>
      </c>
      <c r="FD13" s="184" t="str">
        <f t="shared" si="36"/>
        <v>B</v>
      </c>
      <c r="FE13" s="173"/>
      <c r="FF13" s="100"/>
      <c r="FG13" s="101" t="s">
        <v>25</v>
      </c>
      <c r="FH13" s="183">
        <f>IFERROR((((COUNTIF('Elève (6ème1)'!FE13:FG13,"A"))*4)+((COUNTIF('Elève (6ème1)'!FE13:FG13,"B"))*3)+((COUNTIF('Elève (6ème1)'!FE13:FG13,"C"))*2)+((COUNTIF('Elève (6ème1)'!FE13:FG13,"D"))*1))/(COUNTA(FE13:FG13)),"")</f>
        <v>2</v>
      </c>
      <c r="FI13" s="184" t="str">
        <f t="shared" si="37"/>
        <v>C</v>
      </c>
      <c r="FJ13" s="173"/>
      <c r="FK13" s="100" t="s">
        <v>25</v>
      </c>
      <c r="FL13" s="101"/>
      <c r="FM13" s="183">
        <f>IFERROR((((COUNTIF('Elève (6ème1)'!FJ13:FL13,"A"))*4)+((COUNTIF('Elève (6ème1)'!FJ13:FL13,"B"))*3)+((COUNTIF('Elève (6ème1)'!FJ13:FL13,"C"))*2)+((COUNTIF('Elève (6ème1)'!FJ13:FL13,"D"))*1))/(COUNTA(FJ13:FL13)),"")</f>
        <v>2</v>
      </c>
      <c r="FN13" s="184" t="str">
        <f t="shared" si="38"/>
        <v>C</v>
      </c>
      <c r="FO13" s="183">
        <f>IF(COUNT(FC13,FH13,FM13)=0,"",SUM(FC13,FH13,FM13)/COUNT(FC13,FH13,FM13))</f>
        <v>2.3333333333333335</v>
      </c>
      <c r="FP13" s="207" t="str">
        <f t="shared" si="39"/>
        <v>C</v>
      </c>
      <c r="FQ13" s="218" t="s">
        <v>24</v>
      </c>
      <c r="FR13" s="100"/>
      <c r="FS13" s="101"/>
      <c r="FT13" s="183">
        <f>IFERROR((((COUNTIF('Elève (6ème1)'!FQ13:FS13,"A"))*4)+((COUNTIF('Elève (6ème1)'!FQ13:FS13,"B"))*3)+((COUNTIF('Elève (6ème1)'!FQ13:FS13,"C"))*2)+((COUNTIF('Elève (6ème1)'!FQ13:FS13,"D"))*1))/(COUNTA(FQ13:FS13)),"")</f>
        <v>3</v>
      </c>
      <c r="FU13" s="184" t="str">
        <f t="shared" si="40"/>
        <v>B</v>
      </c>
      <c r="FV13" s="173"/>
      <c r="FW13" s="100"/>
      <c r="FX13" s="101" t="s">
        <v>24</v>
      </c>
      <c r="FY13" s="183">
        <f>IFERROR((((COUNTIF('Elève (6ème1)'!FV13:FX13,"A"))*4)+((COUNTIF('Elève (6ème1)'!FV13:FX13,"B"))*3)+((COUNTIF('Elève (6ème1)'!FV13:FX13,"C"))*2)+((COUNTIF('Elève (6ème1)'!FV13:FX13,"D"))*1))/(COUNTA(FV13:FX13)),"")</f>
        <v>3</v>
      </c>
      <c r="FZ13" s="184" t="str">
        <f t="shared" si="41"/>
        <v>B</v>
      </c>
      <c r="GA13" s="173"/>
      <c r="GB13" s="100" t="s">
        <v>25</v>
      </c>
      <c r="GC13" s="101"/>
      <c r="GD13" s="183">
        <f>IFERROR((((COUNTIF('Elève (6ème1)'!GA13:GC13,"A"))*4)+((COUNTIF('Elève (6ème1)'!GA13:GC13,"B"))*3)+((COUNTIF('Elève (6ème1)'!GA13:GC13,"C"))*2)+((COUNTIF('Elève (6ème1)'!GA13:GC13,"D"))*1))/(COUNTA(GA13:GC13)),"")</f>
        <v>2</v>
      </c>
      <c r="GE13" s="184" t="str">
        <f t="shared" si="42"/>
        <v>C</v>
      </c>
      <c r="GF13" s="183">
        <f>IF(COUNT(FT13,FY13,GD13)=0,"",SUM(FT13,FY13,GD13)/COUNT(FT13,FY13,GD13))</f>
        <v>2.6666666666666665</v>
      </c>
      <c r="GG13" s="207" t="str">
        <f t="shared" si="43"/>
        <v>C</v>
      </c>
      <c r="GH13" s="218" t="s">
        <v>24</v>
      </c>
      <c r="GI13" s="100"/>
      <c r="GJ13" s="101"/>
      <c r="GK13" s="183">
        <f>IFERROR((((COUNTIF('Elève (6ème1)'!GH13:GJ13,"A"))*4)+((COUNTIF('Elève (6ème1)'!GH13:GJ13,"B"))*3)+((COUNTIF('Elève (6ème1)'!GH13:GJ13,"C"))*2)+((COUNTIF('Elève (6ème1)'!GH13:GJ13,"D"))*1))/(COUNTA(GH13:GJ13)),"")</f>
        <v>3</v>
      </c>
      <c r="GL13" s="184" t="str">
        <f t="shared" si="44"/>
        <v>B</v>
      </c>
      <c r="GM13" s="173"/>
      <c r="GN13" s="100"/>
      <c r="GO13" s="101"/>
      <c r="GP13" s="183" t="str">
        <f>IFERROR((((COUNTIF('Elève (6ème1)'!GM13:GO13,"A"))*4)+((COUNTIF('Elève (6ème1)'!GM13:GO13,"B"))*3)+((COUNTIF('Elève (6ème1)'!GM13:GO13,"C"))*2)+((COUNTIF('Elève (6ème1)'!GM13:GO13,"D"))*1))/(COUNTA(GM13:GO13)),"")</f>
        <v/>
      </c>
      <c r="GQ13" s="184" t="str">
        <f t="shared" si="45"/>
        <v/>
      </c>
      <c r="GR13" s="173"/>
      <c r="GS13" s="100"/>
      <c r="GT13" s="101"/>
      <c r="GU13" s="183" t="str">
        <f>IFERROR((((COUNTIF('Elève (6ème1)'!GR13:GT13,"A"))*4)+((COUNTIF('Elève (6ème1)'!GR13:GT13,"B"))*3)+((COUNTIF('Elève (6ème1)'!GR13:GT13,"C"))*2)+((COUNTIF('Elève (6ème1)'!GR13:GT13,"D"))*1))/(COUNTA(GR13:GT13)),"")</f>
        <v/>
      </c>
      <c r="GV13" s="184" t="str">
        <f t="shared" si="46"/>
        <v/>
      </c>
      <c r="GW13" s="183">
        <f>IF(COUNT(GK13,GP13,GU13)=0,"",SUM(GK13,GP13,GU13)/COUNT(GK13,GP13,GU13))</f>
        <v>3</v>
      </c>
      <c r="GX13" s="207" t="str">
        <f t="shared" si="47"/>
        <v>B</v>
      </c>
      <c r="GY13" s="218" t="s">
        <v>24</v>
      </c>
      <c r="GZ13" s="100"/>
      <c r="HA13" s="101"/>
      <c r="HB13" s="183">
        <f>IFERROR((((COUNTIF('Elève (6ème1)'!GY13:HA13,"A"))*4)+((COUNTIF('Elève (6ème1)'!GY13:HA13,"B"))*3)+((COUNTIF('Elève (6ème1)'!GY13:HA13,"C"))*2)+((COUNTIF('Elève (6ème1)'!GY13:HA13,"D"))*1))/(COUNTA(GY13:HA13)),"")</f>
        <v>3</v>
      </c>
      <c r="HC13" s="184" t="str">
        <f t="shared" si="48"/>
        <v>B</v>
      </c>
      <c r="HD13" s="173"/>
      <c r="HE13" s="100"/>
      <c r="HF13" s="101"/>
      <c r="HG13" s="183" t="str">
        <f>IFERROR((((COUNTIF('Elève (6ème1)'!HD13:HF13,"A"))*4)+((COUNTIF('Elève (6ème1)'!HD13:HF13,"B"))*3)+((COUNTIF('Elève (6ème1)'!HD13:HF13,"C"))*2)+((COUNTIF('Elève (6ème1)'!HD13:HF13,"D"))*1))/(COUNTA(HD13:HF13)),"")</f>
        <v/>
      </c>
      <c r="HH13" s="184" t="str">
        <f t="shared" si="49"/>
        <v/>
      </c>
      <c r="HI13" s="173"/>
      <c r="HJ13" s="100" t="s">
        <v>25</v>
      </c>
      <c r="HK13" s="101"/>
      <c r="HL13" s="183">
        <f>IFERROR((((COUNTIF('Elève (6ème1)'!HI13:HK13,"A"))*4)+((COUNTIF('Elève (6ème1)'!HI13:HK13,"B"))*3)+((COUNTIF('Elève (6ème1)'!HI13:HK13,"C"))*2)+((COUNTIF('Elève (6ème1)'!HI13:HK13,"D"))*1))/(COUNTA(HI13:HK13)),"")</f>
        <v>2</v>
      </c>
      <c r="HM13" s="184" t="str">
        <f t="shared" si="50"/>
        <v>C</v>
      </c>
      <c r="HN13" s="183">
        <f>IF(COUNT(HB13,HG13,HL13)=0,"",SUM(HB13,HG13,HL13)/COUNT(HB13,HG13,HL13))</f>
        <v>2.5</v>
      </c>
      <c r="HO13" s="207" t="str">
        <f t="shared" si="51"/>
        <v>C</v>
      </c>
      <c r="HP13" s="218" t="s">
        <v>24</v>
      </c>
      <c r="HQ13" s="100"/>
      <c r="HR13" s="101"/>
      <c r="HS13" s="183">
        <f>IFERROR((((COUNTIF('Elève (6ème1)'!HP13:HR13,"A"))*4)+((COUNTIF('Elève (6ème1)'!HP13:HR13,"B"))*3)+((COUNTIF('Elève (6ème1)'!HP13:HR13,"C"))*2)+((COUNTIF('Elève (6ème1)'!HP13:HR13,"D"))*1))/(COUNTA(HP13:HR13)),"")</f>
        <v>3</v>
      </c>
      <c r="HT13" s="184" t="str">
        <f t="shared" si="52"/>
        <v>B</v>
      </c>
      <c r="HU13" s="173"/>
      <c r="HV13" s="100"/>
      <c r="HW13" s="101" t="s">
        <v>24</v>
      </c>
      <c r="HX13" s="183">
        <f>IFERROR((((COUNTIF('Elève (6ème1)'!HU13:HW13,"A"))*4)+((COUNTIF('Elève (6ème1)'!HU13:HW13,"B"))*3)+((COUNTIF('Elève (6ème1)'!HU13:HW13,"C"))*2)+((COUNTIF('Elève (6ème1)'!HU13:HW13,"D"))*1))/(COUNTA(HU13:HW13)),"")</f>
        <v>3</v>
      </c>
      <c r="HY13" s="184" t="str">
        <f t="shared" si="53"/>
        <v>B</v>
      </c>
      <c r="HZ13" s="173"/>
      <c r="IA13" s="100" t="s">
        <v>25</v>
      </c>
      <c r="IB13" s="101"/>
      <c r="IC13" s="183">
        <f>IFERROR((((COUNTIF('Elève (6ème1)'!HZ13:IB13,"A"))*4)+((COUNTIF('Elève (6ème1)'!HZ13:IB13,"B"))*3)+((COUNTIF('Elève (6ème1)'!HZ13:IB13,"C"))*2)+((COUNTIF('Elève (6ème1)'!HZ13:IB13,"D"))*1))/(COUNTA(HZ13:IB13)),"")</f>
        <v>2</v>
      </c>
      <c r="ID13" s="184" t="str">
        <f t="shared" si="54"/>
        <v>C</v>
      </c>
      <c r="IE13" s="183">
        <f>IF(COUNT(HS13,HX13,IC13)=0,"",SUM(HS13,HX13,IC13)/COUNT(HS13,HX13,IC13))</f>
        <v>2.6666666666666665</v>
      </c>
      <c r="IF13" s="207" t="str">
        <f t="shared" si="55"/>
        <v>C</v>
      </c>
      <c r="IG13" s="218" t="s">
        <v>24</v>
      </c>
      <c r="IH13" s="100"/>
      <c r="II13" s="101"/>
      <c r="IJ13" s="183">
        <f>IFERROR((((COUNTIF('Elève (6ème1)'!IG13:II13,"A"))*4)+((COUNTIF('Elève (6ème1)'!IG13:II13,"B"))*3)+((COUNTIF('Elève (6ème1)'!IG13:II13,"C"))*2)+((COUNTIF('Elève (6ème1)'!IG13:II13,"D"))*1))/(COUNTA(IG13:II13)),"")</f>
        <v>3</v>
      </c>
      <c r="IK13" s="184" t="str">
        <f t="shared" si="56"/>
        <v>B</v>
      </c>
      <c r="IL13" s="173"/>
      <c r="IM13" s="100"/>
      <c r="IN13" s="101"/>
      <c r="IO13" s="183" t="str">
        <f>IFERROR((((COUNTIF('Elève (6ème1)'!IL13:IN13,"A"))*4)+((COUNTIF('Elève (6ème1)'!IL13:IN13,"B"))*3)+((COUNTIF('Elève (6ème1)'!IL13:IN13,"C"))*2)+((COUNTIF('Elève (6ème1)'!IL13:IN13,"D"))*1))/(COUNTA(IL13:IN13)),"")</f>
        <v/>
      </c>
      <c r="IP13" s="184" t="str">
        <f t="shared" si="57"/>
        <v/>
      </c>
      <c r="IQ13" s="173"/>
      <c r="IR13" s="100"/>
      <c r="IS13" s="101"/>
      <c r="IT13" s="183" t="str">
        <f>IFERROR((((COUNTIF('Elève (6ème1)'!IQ13:IS13,"A"))*4)+((COUNTIF('Elève (6ème1)'!IQ13:IS13,"B"))*3)+((COUNTIF('Elève (6ème1)'!IQ13:IS13,"C"))*2)+((COUNTIF('Elève (6ème1)'!IQ13:IS13,"D"))*1))/(COUNTA(IQ13:IS13)),"")</f>
        <v/>
      </c>
      <c r="IU13" s="184" t="str">
        <f t="shared" si="58"/>
        <v/>
      </c>
      <c r="IV13" s="183">
        <f>IF(COUNT(IJ13,IO13,IT13)=0,"",SUM(IJ13,IO13,IT13)/COUNT(IJ13,IO13,IT13))</f>
        <v>3</v>
      </c>
      <c r="IW13" s="207" t="str">
        <f t="shared" si="59"/>
        <v>B</v>
      </c>
      <c r="IX13" s="218" t="s">
        <v>25</v>
      </c>
      <c r="IY13" s="100"/>
      <c r="IZ13" s="101"/>
      <c r="JA13" s="183">
        <f>IFERROR((((COUNTIF('Elève (6ème1)'!IX13:IZ13,"A"))*4)+((COUNTIF('Elève (6ème1)'!IX13:IZ13,"B"))*3)+((COUNTIF('Elève (6ème1)'!IX13:IZ13,"C"))*2)+((COUNTIF('Elève (6ème1)'!IX13:IZ13,"D"))*1))/(COUNTA(IX13:IZ13)),"")</f>
        <v>2</v>
      </c>
      <c r="JB13" s="184" t="str">
        <f t="shared" si="60"/>
        <v>C</v>
      </c>
      <c r="JC13" s="173"/>
      <c r="JD13" s="100"/>
      <c r="JE13" s="101"/>
      <c r="JF13" s="183" t="str">
        <f>IFERROR((((COUNTIF('Elève (6ème1)'!JC13:JE13,"A"))*4)+((COUNTIF('Elève (6ème1)'!JC13:JE13,"B"))*3)+((COUNTIF('Elève (6ème1)'!JC13:JE13,"C"))*2)+((COUNTIF('Elève (6ème1)'!JC13:JE13,"D"))*1))/(COUNTA(JC13:JE13)),"")</f>
        <v/>
      </c>
      <c r="JG13" s="184" t="str">
        <f t="shared" si="61"/>
        <v/>
      </c>
      <c r="JH13" s="173"/>
      <c r="JI13" s="100" t="s">
        <v>25</v>
      </c>
      <c r="JJ13" s="101"/>
      <c r="JK13" s="183">
        <f>IFERROR((((COUNTIF('Elève (6ème1)'!JH13:JJ13,"A"))*4)+((COUNTIF('Elève (6ème1)'!JH13:JJ13,"B"))*3)+((COUNTIF('Elève (6ème1)'!JH13:JJ13,"C"))*2)+((COUNTIF('Elève (6ème1)'!JH13:JJ13,"D"))*1))/(COUNTA(JH13:JJ13)),"")</f>
        <v>2</v>
      </c>
      <c r="JL13" s="184" t="str">
        <f t="shared" si="62"/>
        <v>C</v>
      </c>
      <c r="JM13" s="183">
        <f>IF(COUNT(JA13,JF13,JK13)=0,"",SUM(JA13,JF13,JK13)/COUNT(JA13,JF13,JK13))</f>
        <v>2</v>
      </c>
      <c r="JN13" s="207" t="str">
        <f t="shared" si="63"/>
        <v>C</v>
      </c>
      <c r="JO13" s="218" t="s">
        <v>24</v>
      </c>
      <c r="JP13" s="100"/>
      <c r="JQ13" s="101"/>
      <c r="JR13" s="183">
        <f>IFERROR((((COUNTIF('Elève (6ème1)'!JO13:JQ13,"A"))*4)+((COUNTIF('Elève (6ème1)'!JO13:JQ13,"B"))*3)+((COUNTIF('Elève (6ème1)'!JO13:JQ13,"C"))*2)+((COUNTIF('Elève (6ème1)'!JO13:JQ13,"D"))*1))/(COUNTA(JO13:JQ13)),"")</f>
        <v>3</v>
      </c>
      <c r="JS13" s="184" t="str">
        <f t="shared" si="64"/>
        <v>B</v>
      </c>
      <c r="JT13" s="173"/>
      <c r="JU13" s="100"/>
      <c r="JV13" s="101" t="s">
        <v>24</v>
      </c>
      <c r="JW13" s="183">
        <f>IFERROR((((COUNTIF('Elève (6ème1)'!JT13:JV13,"A"))*4)+((COUNTIF('Elève (6ème1)'!JT13:JV13,"B"))*3)+((COUNTIF('Elève (6ème1)'!JT13:JV13,"C"))*2)+((COUNTIF('Elève (6ème1)'!JT13:JV13,"D"))*1))/(COUNTA(JT13:JV13)),"")</f>
        <v>3</v>
      </c>
      <c r="JX13" s="184" t="str">
        <f t="shared" si="65"/>
        <v>B</v>
      </c>
      <c r="JY13" s="173"/>
      <c r="JZ13" s="100" t="s">
        <v>24</v>
      </c>
      <c r="KA13" s="101"/>
      <c r="KB13" s="183">
        <f>IFERROR((((COUNTIF('Elève (6ème1)'!JY13:KA13,"A"))*4)+((COUNTIF('Elève (6ème1)'!JY13:KA13,"B"))*3)+((COUNTIF('Elève (6ème1)'!JY13:KA13,"C"))*2)+((COUNTIF('Elève (6ème1)'!JY13:KA13,"D"))*1))/(COUNTA(JY13:KA13)),"")</f>
        <v>3</v>
      </c>
      <c r="KC13" s="184" t="str">
        <f t="shared" si="66"/>
        <v>B</v>
      </c>
      <c r="KD13" s="183">
        <f>IF(COUNT(JR13,JW13,KB13)=0,"",SUM(JR13,JW13,KB13)/COUNT(JR13,JW13,KB13))</f>
        <v>3</v>
      </c>
      <c r="KE13" s="207" t="str">
        <f t="shared" si="67"/>
        <v>B</v>
      </c>
      <c r="KF13" s="218" t="s">
        <v>24</v>
      </c>
      <c r="KG13" s="100"/>
      <c r="KH13" s="101"/>
      <c r="KI13" s="183">
        <f>IFERROR((((COUNTIF('Elève (6ème1)'!KF13:KH13,"A"))*4)+((COUNTIF('Elève (6ème1)'!KF13:KH13,"B"))*3)+((COUNTIF('Elève (6ème1)'!KF13:KH13,"C"))*2)+((COUNTIF('Elève (6ème1)'!KF13:KH13,"D"))*1))/(COUNTA(KF13:KH13)),"")</f>
        <v>3</v>
      </c>
      <c r="KJ13" s="184" t="str">
        <f t="shared" si="68"/>
        <v>B</v>
      </c>
      <c r="KK13" s="173"/>
      <c r="KL13" s="100"/>
      <c r="KM13" s="101" t="s">
        <v>24</v>
      </c>
      <c r="KN13" s="183">
        <f>IFERROR((((COUNTIF('Elève (6ème1)'!KK13:KM13,"A"))*4)+((COUNTIF('Elève (6ème1)'!KK13:KM13,"B"))*3)+((COUNTIF('Elève (6ème1)'!KK13:KM13,"C"))*2)+((COUNTIF('Elève (6ème1)'!KK13:KM13,"D"))*1))/(COUNTA(KK13:KM13)),"")</f>
        <v>3</v>
      </c>
      <c r="KO13" s="184" t="str">
        <f t="shared" si="69"/>
        <v>B</v>
      </c>
      <c r="KP13" s="173"/>
      <c r="KQ13" s="100" t="s">
        <v>25</v>
      </c>
      <c r="KR13" s="101"/>
      <c r="KS13" s="183">
        <f>IFERROR((((COUNTIF('Elève (6ème1)'!KP13:KR13,"A"))*4)+((COUNTIF('Elève (6ème1)'!KP13:KR13,"B"))*3)+((COUNTIF('Elève (6ème1)'!KP13:KR13,"C"))*2)+((COUNTIF('Elève (6ème1)'!KP13:KR13,"D"))*1))/(COUNTA(KP13:KR13)),"")</f>
        <v>2</v>
      </c>
      <c r="KT13" s="184" t="str">
        <f t="shared" si="70"/>
        <v>C</v>
      </c>
      <c r="KU13" s="183">
        <f>IF(COUNT(KI13,KN13,KS13)=0,"",SUM(KI13,KN13,KS13)/COUNT(KI13,KN13,KS13))</f>
        <v>2.6666666666666665</v>
      </c>
      <c r="KV13" s="207" t="str">
        <f t="shared" si="71"/>
        <v>C</v>
      </c>
      <c r="KW13" s="218" t="s">
        <v>24</v>
      </c>
      <c r="KX13" s="100"/>
      <c r="KY13" s="101"/>
      <c r="KZ13" s="183">
        <f>IFERROR((((COUNTIF('Elève (6ème1)'!KW13:KY13,"A"))*4)+((COUNTIF('Elève (6ème1)'!KW13:KY13,"B"))*3)+((COUNTIF('Elève (6ème1)'!KW13:KY13,"C"))*2)+((COUNTIF('Elève (6ème1)'!KW13:KY13,"D"))*1))/(COUNTA(KW13:KY13)),"")</f>
        <v>3</v>
      </c>
      <c r="LA13" s="184" t="str">
        <f t="shared" si="72"/>
        <v>B</v>
      </c>
      <c r="LB13" s="173"/>
      <c r="LC13" s="100"/>
      <c r="LD13" s="101" t="s">
        <v>24</v>
      </c>
      <c r="LE13" s="183">
        <f>IFERROR((((COUNTIF('Elève (6ème1)'!LB13:LD13,"A"))*4)+((COUNTIF('Elève (6ème1)'!LB13:LD13,"B"))*3)+((COUNTIF('Elève (6ème1)'!LB13:LD13,"C"))*2)+((COUNTIF('Elève (6ème1)'!LB13:LD13,"D"))*1))/(COUNTA(LB13:LD13)),"")</f>
        <v>3</v>
      </c>
      <c r="LF13" s="184" t="str">
        <f t="shared" si="73"/>
        <v>B</v>
      </c>
      <c r="LG13" s="173"/>
      <c r="LH13" s="100" t="s">
        <v>25</v>
      </c>
      <c r="LI13" s="101"/>
      <c r="LJ13" s="183">
        <f>IFERROR((((COUNTIF('Elève (6ème1)'!LG13:LI13,"A"))*4)+((COUNTIF('Elève (6ème1)'!LG13:LI13,"B"))*3)+((COUNTIF('Elève (6ème1)'!LG13:LI13,"C"))*2)+((COUNTIF('Elève (6ème1)'!LG13:LI13,"D"))*1))/(COUNTA(LG13:LI13)),"")</f>
        <v>2</v>
      </c>
      <c r="LK13" s="184" t="str">
        <f t="shared" si="74"/>
        <v>C</v>
      </c>
      <c r="LL13" s="183">
        <f>IF(COUNT(KZ13,LE13,LJ13)=0,"",SUM(KZ13,LE13,LJ13)/COUNT(KZ13,LE13,LJ13))</f>
        <v>2.6666666666666665</v>
      </c>
      <c r="LM13" s="207" t="str">
        <f t="shared" si="75"/>
        <v>C</v>
      </c>
      <c r="LN13" s="218" t="s">
        <v>24</v>
      </c>
      <c r="LO13" s="100"/>
      <c r="LP13" s="101"/>
      <c r="LQ13" s="183">
        <f>IFERROR((((COUNTIF('Elève (6ème1)'!LN13:LP13,"A"))*4)+((COUNTIF('Elève (6ème1)'!LN13:LP13,"B"))*3)+((COUNTIF('Elève (6ème1)'!LN13:LP13,"C"))*2)+((COUNTIF('Elève (6ème1)'!LN13:LP13,"D"))*1))/(COUNTA(LN13:LP13)),"")</f>
        <v>3</v>
      </c>
      <c r="LR13" s="184" t="str">
        <f t="shared" si="76"/>
        <v>B</v>
      </c>
      <c r="LS13" s="173"/>
      <c r="LT13" s="100"/>
      <c r="LU13" s="101"/>
      <c r="LV13" s="183" t="str">
        <f>IFERROR((((COUNTIF('Elève (6ème1)'!LS13:LU13,"A"))*4)+((COUNTIF('Elève (6ème1)'!LS13:LU13,"B"))*3)+((COUNTIF('Elève (6ème1)'!LS13:LU13,"C"))*2)+((COUNTIF('Elève (6ème1)'!LS13:LU13,"D"))*1))/(COUNTA(LS13:LU13)),"")</f>
        <v/>
      </c>
      <c r="LW13" s="184" t="str">
        <f t="shared" si="77"/>
        <v/>
      </c>
      <c r="LX13" s="173"/>
      <c r="LY13" s="100" t="s">
        <v>25</v>
      </c>
      <c r="LZ13" s="101"/>
      <c r="MA13" s="183">
        <f>IFERROR((((COUNTIF('Elève (6ème1)'!LX13:LZ13,"A"))*4)+((COUNTIF('Elève (6ème1)'!LX13:LZ13,"B"))*3)+((COUNTIF('Elève (6ème1)'!LX13:LZ13,"C"))*2)+((COUNTIF('Elève (6ème1)'!LX13:LZ13,"D"))*1))/(COUNTA(LX13:LZ13)),"")</f>
        <v>2</v>
      </c>
      <c r="MB13" s="184" t="str">
        <f t="shared" si="78"/>
        <v>C</v>
      </c>
      <c r="MC13" s="183">
        <f>IF(COUNT(LQ13,LV13,MA13)=0,"",SUM(LQ13,LV13,MA13)/COUNT(LQ13,LV13,MA13))</f>
        <v>2.5</v>
      </c>
      <c r="MD13" s="207" t="str">
        <f t="shared" si="79"/>
        <v>C</v>
      </c>
      <c r="ME13" s="218" t="s">
        <v>23</v>
      </c>
      <c r="MF13" s="100"/>
      <c r="MG13" s="101"/>
      <c r="MH13" s="183">
        <f>IFERROR((((COUNTIF('Elève (6ème1)'!ME13:MG13,"A"))*4)+((COUNTIF('Elève (6ème1)'!ME13:MG13,"B"))*3)+((COUNTIF('Elève (6ème1)'!ME13:MG13,"C"))*2)+((COUNTIF('Elève (6ème1)'!ME13:MG13,"D"))*1))/(COUNTA(ME13:MG13)),"")</f>
        <v>4</v>
      </c>
      <c r="MI13" s="184" t="str">
        <f t="shared" si="80"/>
        <v>A</v>
      </c>
      <c r="MJ13" s="173"/>
      <c r="MK13" s="100"/>
      <c r="ML13" s="101" t="s">
        <v>24</v>
      </c>
      <c r="MM13" s="183">
        <f>IFERROR((((COUNTIF('Elève (6ème1)'!MJ13:ML13,"A"))*4)+((COUNTIF('Elève (6ème1)'!MJ13:ML13,"B"))*3)+((COUNTIF('Elève (6ème1)'!MJ13:ML13,"C"))*2)+((COUNTIF('Elève (6ème1)'!MJ13:ML13,"D"))*1))/(COUNTA(MJ13:ML13)),"")</f>
        <v>3</v>
      </c>
      <c r="MN13" s="184" t="str">
        <f t="shared" si="81"/>
        <v>B</v>
      </c>
      <c r="MO13" s="173"/>
      <c r="MP13" s="100" t="s">
        <v>24</v>
      </c>
      <c r="MQ13" s="101"/>
      <c r="MR13" s="183">
        <f>IFERROR((((COUNTIF('Elève (6ème1)'!MO13:MQ13,"A"))*4)+((COUNTIF('Elève (6ème1)'!MO13:MQ13,"B"))*3)+((COUNTIF('Elève (6ème1)'!MO13:MQ13,"C"))*2)+((COUNTIF('Elève (6ème1)'!MO13:MQ13,"D"))*1))/(COUNTA(MO13:MQ13)),"")</f>
        <v>3</v>
      </c>
      <c r="MS13" s="184" t="str">
        <f t="shared" si="82"/>
        <v>B</v>
      </c>
      <c r="MT13" s="183">
        <f>IF(COUNT(MH13,MM13,MR13)=0,"",SUM(MH13,MM13,MR13)/COUNT(MH13,MM13,MR13))</f>
        <v>3.3333333333333335</v>
      </c>
      <c r="MU13" s="207" t="str">
        <f t="shared" si="83"/>
        <v>B</v>
      </c>
      <c r="MV13" s="218" t="s">
        <v>25</v>
      </c>
      <c r="MW13" s="100"/>
      <c r="MX13" s="101"/>
      <c r="MY13" s="183">
        <f>IFERROR((((COUNTIF('Elève (6ème1)'!MV13:MX13,"A"))*4)+((COUNTIF('Elève (6ème1)'!MV13:MX13,"B"))*3)+((COUNTIF('Elève (6ème1)'!MV13:MX13,"C"))*2)+((COUNTIF('Elève (6ème1)'!MV13:MX13,"D"))*1))/(COUNTA(MV13:MX13)),"")</f>
        <v>2</v>
      </c>
      <c r="MZ13" s="184" t="str">
        <f t="shared" si="84"/>
        <v>C</v>
      </c>
      <c r="NA13" s="173"/>
      <c r="NB13" s="100"/>
      <c r="NC13" s="101" t="s">
        <v>24</v>
      </c>
      <c r="ND13" s="183">
        <f>IFERROR((((COUNTIF('Elève (6ème1)'!NA13:NC13,"A"))*4)+((COUNTIF('Elève (6ème1)'!NA13:NC13,"B"))*3)+((COUNTIF('Elève (6ème1)'!NA13:NC13,"C"))*2)+((COUNTIF('Elève (6ème1)'!NA13:NC13,"D"))*1))/(COUNTA(NA13:NC13)),"")</f>
        <v>3</v>
      </c>
      <c r="NE13" s="184" t="str">
        <f t="shared" si="85"/>
        <v>B</v>
      </c>
      <c r="NF13" s="173"/>
      <c r="NG13" s="100" t="s">
        <v>25</v>
      </c>
      <c r="NH13" s="101"/>
      <c r="NI13" s="183">
        <f>IFERROR((((COUNTIF('Elève (6ème1)'!NF13:NH13,"A"))*4)+((COUNTIF('Elève (6ème1)'!NF13:NH13,"B"))*3)+((COUNTIF('Elève (6ème1)'!NF13:NH13,"C"))*2)+((COUNTIF('Elève (6ème1)'!NF13:NH13,"D"))*1))/(COUNTA(NF13:NH13)),"")</f>
        <v>2</v>
      </c>
      <c r="NJ13" s="184" t="str">
        <f t="shared" si="86"/>
        <v>C</v>
      </c>
      <c r="NK13" s="183">
        <f>IF(COUNT(MY13,ND13,NI13)=0,"",SUM(MY13,ND13,NI13)/COUNT(MY13,ND13,NI13))</f>
        <v>2.3333333333333335</v>
      </c>
      <c r="NL13" s="207" t="str">
        <f t="shared" si="87"/>
        <v>C</v>
      </c>
      <c r="NM13" s="218" t="s">
        <v>23</v>
      </c>
      <c r="NN13" s="100"/>
      <c r="NO13" s="101"/>
      <c r="NP13" s="183">
        <f>IFERROR((((COUNTIF('Elève (6ème1)'!NM13:NO13,"A"))*4)+((COUNTIF('Elève (6ème1)'!NM13:NO13,"B"))*3)+((COUNTIF('Elève (6ème1)'!NM13:NO13,"C"))*2)+((COUNTIF('Elève (6ème1)'!NM13:NO13,"D"))*1))/(COUNTA(NM13:NO13)),"")</f>
        <v>4</v>
      </c>
      <c r="NQ13" s="184" t="str">
        <f t="shared" si="88"/>
        <v>A</v>
      </c>
      <c r="NR13" s="173"/>
      <c r="NS13" s="100"/>
      <c r="NT13" s="101" t="s">
        <v>24</v>
      </c>
      <c r="NU13" s="183">
        <f>IFERROR((((COUNTIF('Elève (6ème1)'!NR13:NT13,"A"))*4)+((COUNTIF('Elève (6ème1)'!NR13:NT13,"B"))*3)+((COUNTIF('Elève (6ème1)'!NR13:NT13,"C"))*2)+((COUNTIF('Elève (6ème1)'!NR13:NT13,"D"))*1))/(COUNTA(NR13:NT13)),"")</f>
        <v>3</v>
      </c>
      <c r="NV13" s="184" t="str">
        <f t="shared" si="89"/>
        <v>B</v>
      </c>
      <c r="NW13" s="173"/>
      <c r="NX13" s="100" t="s">
        <v>25</v>
      </c>
      <c r="NY13" s="101"/>
      <c r="NZ13" s="183">
        <f>IFERROR((((COUNTIF('Elève (6ème1)'!NW13:NY13,"A"))*4)+((COUNTIF('Elève (6ème1)'!NW13:NY13,"B"))*3)+((COUNTIF('Elève (6ème1)'!NW13:NY13,"C"))*2)+((COUNTIF('Elève (6ème1)'!NW13:NY13,"D"))*1))/(COUNTA(NW13:NY13)),"")</f>
        <v>2</v>
      </c>
      <c r="OA13" s="184" t="str">
        <f t="shared" si="90"/>
        <v>C</v>
      </c>
      <c r="OB13" s="183">
        <f>IF(COUNT(NP13,NU13,NZ13)=0,"",SUM(NP13,NU13,NZ13)/COUNT(NP13,NU13,NZ13))</f>
        <v>3</v>
      </c>
      <c r="OC13" s="207" t="str">
        <f t="shared" si="91"/>
        <v>B</v>
      </c>
      <c r="OD13" s="218" t="s">
        <v>24</v>
      </c>
      <c r="OE13" s="100"/>
      <c r="OF13" s="101"/>
      <c r="OG13" s="183">
        <f>IFERROR((((COUNTIF('Elève (6ème1)'!OD13:OF13,"A"))*4)+((COUNTIF('Elève (6ème1)'!OD13:OF13,"B"))*3)+((COUNTIF('Elève (6ème1)'!OD13:OF13,"C"))*2)+((COUNTIF('Elève (6ème1)'!OD13:OF13,"D"))*1))/(COUNTA(OD13:OF13)),"")</f>
        <v>3</v>
      </c>
      <c r="OH13" s="184" t="str">
        <f t="shared" si="92"/>
        <v>B</v>
      </c>
      <c r="OI13" s="173"/>
      <c r="OJ13" s="100"/>
      <c r="OK13" s="101" t="s">
        <v>24</v>
      </c>
      <c r="OL13" s="183">
        <f>IFERROR((((COUNTIF('Elève (6ème1)'!OI13:OK13,"A"))*4)+((COUNTIF('Elève (6ème1)'!OI13:OK13,"B"))*3)+((COUNTIF('Elève (6ème1)'!OI13:OK13,"C"))*2)+((COUNTIF('Elève (6ème1)'!OI13:OK13,"D"))*1))/(COUNTA(OI13:OK13)),"")</f>
        <v>3</v>
      </c>
      <c r="OM13" s="184" t="str">
        <f t="shared" si="93"/>
        <v>B</v>
      </c>
      <c r="ON13" s="173"/>
      <c r="OO13" s="100" t="s">
        <v>24</v>
      </c>
      <c r="OP13" s="101"/>
      <c r="OQ13" s="183">
        <f>IFERROR((((COUNTIF('Elève (6ème1)'!ON13:OP13,"A"))*4)+((COUNTIF('Elève (6ème1)'!ON13:OP13,"B"))*3)+((COUNTIF('Elève (6ème1)'!ON13:OP13,"C"))*2)+((COUNTIF('Elève (6ème1)'!ON13:OP13,"D"))*1))/(COUNTA(ON13:OP13)),"")</f>
        <v>3</v>
      </c>
      <c r="OR13" s="184" t="str">
        <f t="shared" si="94"/>
        <v>B</v>
      </c>
      <c r="OS13" s="183">
        <f>IF(COUNT(OG13,OL13,OQ13)=0,"",SUM(OG13,OL13,OQ13)/COUNT(OG13,OL13,OQ13))</f>
        <v>3</v>
      </c>
      <c r="OT13" s="207" t="str">
        <f t="shared" si="95"/>
        <v>B</v>
      </c>
      <c r="OU13" s="218" t="s">
        <v>24</v>
      </c>
      <c r="OV13" s="100"/>
      <c r="OW13" s="101"/>
      <c r="OX13" s="183">
        <f>IFERROR((((COUNTIF('Elève (6ème1)'!OU13:OW13,"A"))*4)+((COUNTIF('Elève (6ème1)'!OU13:OW13,"B"))*3)+((COUNTIF('Elève (6ème1)'!OU13:OW13,"C"))*2)+((COUNTIF('Elève (6ème1)'!OU13:OW13,"D"))*1))/(COUNTA(OU13:OW13)),"")</f>
        <v>3</v>
      </c>
      <c r="OY13" s="184" t="str">
        <f t="shared" si="96"/>
        <v>B</v>
      </c>
      <c r="OZ13" s="173"/>
      <c r="PA13" s="100"/>
      <c r="PB13" s="101"/>
      <c r="PC13" s="183" t="str">
        <f>IFERROR((((COUNTIF('Elève (6ème1)'!OZ13:PB13,"A"))*4)+((COUNTIF('Elève (6ème1)'!OZ13:PB13,"B"))*3)+((COUNTIF('Elève (6ème1)'!OZ13:PB13,"C"))*2)+((COUNTIF('Elève (6ème1)'!OZ13:PB13,"D"))*1))/(COUNTA(OZ13:PB13)),"")</f>
        <v/>
      </c>
      <c r="PD13" s="184" t="str">
        <f t="shared" si="97"/>
        <v/>
      </c>
      <c r="PE13" s="173"/>
      <c r="PF13" s="100"/>
      <c r="PG13" s="101"/>
      <c r="PH13" s="183" t="str">
        <f>IFERROR((((COUNTIF('Elève (6ème1)'!PE13:PG13,"A"))*4)+((COUNTIF('Elève (6ème1)'!PE13:PG13,"B"))*3)+((COUNTIF('Elève (6ème1)'!PE13:PG13,"C"))*2)+((COUNTIF('Elève (6ème1)'!PE13:PG13,"D"))*1))/(COUNTA(PE13:PG13)),"")</f>
        <v/>
      </c>
      <c r="PI13" s="184" t="str">
        <f t="shared" si="98"/>
        <v/>
      </c>
      <c r="PJ13" s="183">
        <f>IF(COUNT(OX13,PC13,PH13)=0,"",SUM(OX13,PC13,PH13)/COUNT(OX13,PC13,PH13))</f>
        <v>3</v>
      </c>
      <c r="PK13" s="207" t="str">
        <f t="shared" si="99"/>
        <v>B</v>
      </c>
      <c r="PL13" s="218" t="s">
        <v>24</v>
      </c>
      <c r="PM13" s="100"/>
      <c r="PN13" s="101"/>
      <c r="PO13" s="183">
        <f>IFERROR((((COUNTIF('Elève (6ème1)'!PL13:PN13,"A"))*4)+((COUNTIF('Elève (6ème1)'!PL13:PN13,"B"))*3)+((COUNTIF('Elève (6ème1)'!PL13:PN13,"C"))*2)+((COUNTIF('Elève (6ème1)'!PL13:PN13,"D"))*1))/(COUNTA(PL13:PN13)),"")</f>
        <v>3</v>
      </c>
      <c r="PP13" s="184" t="str">
        <f t="shared" si="100"/>
        <v>B</v>
      </c>
      <c r="PQ13" s="173"/>
      <c r="PR13" s="100"/>
      <c r="PS13" s="101" t="s">
        <v>25</v>
      </c>
      <c r="PT13" s="183">
        <f>IFERROR((((COUNTIF('Elève (6ème1)'!PQ13:PS13,"A"))*4)+((COUNTIF('Elève (6ème1)'!PQ13:PS13,"B"))*3)+((COUNTIF('Elève (6ème1)'!PQ13:PS13,"C"))*2)+((COUNTIF('Elève (6ème1)'!PQ13:PS13,"D"))*1))/(COUNTA(PQ13:PS13)),"")</f>
        <v>2</v>
      </c>
      <c r="PU13" s="184" t="str">
        <f t="shared" si="101"/>
        <v>C</v>
      </c>
      <c r="PV13" s="173"/>
      <c r="PW13" s="100" t="s">
        <v>25</v>
      </c>
      <c r="PX13" s="101"/>
      <c r="PY13" s="183">
        <f>IFERROR((((COUNTIF('Elève (6ème1)'!PV13:PX13,"A"))*4)+((COUNTIF('Elève (6ème1)'!PV13:PX13,"B"))*3)+((COUNTIF('Elève (6ème1)'!PV13:PX13,"C"))*2)+((COUNTIF('Elève (6ème1)'!PV13:PX13,"D"))*1))/(COUNTA(PV13:PX13)),"")</f>
        <v>2</v>
      </c>
      <c r="PZ13" s="184" t="str">
        <f t="shared" si="102"/>
        <v>C</v>
      </c>
      <c r="QA13" s="183">
        <f>IF(COUNT(PO13,PT13,PY13)=0,"",SUM(PO13,PT13,PY13)/COUNT(PO13,PT13,PY13))</f>
        <v>2.3333333333333335</v>
      </c>
      <c r="QB13" s="207" t="str">
        <f t="shared" si="103"/>
        <v>C</v>
      </c>
      <c r="QC13" s="218" t="s">
        <v>25</v>
      </c>
      <c r="QD13" s="100"/>
      <c r="QE13" s="101"/>
      <c r="QF13" s="183">
        <f>IFERROR((((COUNTIF('Elève (6ème1)'!QC13:QE13,"A"))*4)+((COUNTIF('Elève (6ème1)'!QC13:QE13,"B"))*3)+((COUNTIF('Elève (6ème1)'!QC13:QE13,"C"))*2)+((COUNTIF('Elève (6ème1)'!QC13:QE13,"D"))*1))/(COUNTA(QC13:QE13)),"")</f>
        <v>2</v>
      </c>
      <c r="QG13" s="184" t="str">
        <f t="shared" si="104"/>
        <v>C</v>
      </c>
      <c r="QH13" s="173"/>
      <c r="QI13" s="100"/>
      <c r="QJ13" s="101"/>
      <c r="QK13" s="183" t="str">
        <f>IFERROR((((COUNTIF('Elève (6ème1)'!QH13:QJ13,"A"))*4)+((COUNTIF('Elève (6ème1)'!QH13:QJ13,"B"))*3)+((COUNTIF('Elève (6ème1)'!QH13:QJ13,"C"))*2)+((COUNTIF('Elève (6ème1)'!QH13:QJ13,"D"))*1))/(COUNTA(QH13:QJ13)),"")</f>
        <v/>
      </c>
      <c r="QL13" s="184" t="str">
        <f t="shared" si="105"/>
        <v/>
      </c>
      <c r="QM13" s="173"/>
      <c r="QN13" s="100" t="s">
        <v>25</v>
      </c>
      <c r="QO13" s="101"/>
      <c r="QP13" s="183">
        <f>IFERROR((((COUNTIF('Elève (6ème1)'!QM13:QO13,"A"))*4)+((COUNTIF('Elève (6ème1)'!QM13:QO13,"B"))*3)+((COUNTIF('Elève (6ème1)'!QM13:QO13,"C"))*2)+((COUNTIF('Elève (6ème1)'!QM13:QO13,"D"))*1))/(COUNTA(QM13:QO13)),"")</f>
        <v>2</v>
      </c>
      <c r="QQ13" s="184" t="str">
        <f t="shared" si="106"/>
        <v>C</v>
      </c>
      <c r="QR13" s="183">
        <f>IF(COUNT(QF13,QK13,QP13)=0,"",SUM(QF13,QK13,QP13)/COUNT(QF13,QK13,QP13))</f>
        <v>2</v>
      </c>
      <c r="QS13" s="207" t="str">
        <f t="shared" si="107"/>
        <v>C</v>
      </c>
      <c r="QT13" s="218" t="s">
        <v>24</v>
      </c>
      <c r="QU13" s="100"/>
      <c r="QV13" s="101"/>
      <c r="QW13" s="183">
        <f>IFERROR((((COUNTIF('Elève (6ème1)'!QT13:QV13,"A"))*4)+((COUNTIF('Elève (6ème1)'!QT13:QV13,"B"))*3)+((COUNTIF('Elève (6ème1)'!QT13:QV13,"C"))*2)+((COUNTIF('Elève (6ème1)'!QT13:QV13,"D"))*1))/(COUNTA(QT13:QV13)),"")</f>
        <v>3</v>
      </c>
      <c r="QX13" s="184" t="str">
        <f t="shared" si="108"/>
        <v>B</v>
      </c>
      <c r="QY13" s="173"/>
      <c r="QZ13" s="100"/>
      <c r="RA13" s="101"/>
      <c r="RB13" s="183" t="str">
        <f>IFERROR((((COUNTIF('Elève (6ème1)'!QY13:RA13,"A"))*4)+((COUNTIF('Elève (6ème1)'!QY13:RA13,"B"))*3)+((COUNTIF('Elève (6ème1)'!QY13:RA13,"C"))*2)+((COUNTIF('Elève (6ème1)'!QY13:RA13,"D"))*1))/(COUNTA(QY13:RA13)),"")</f>
        <v/>
      </c>
      <c r="RC13" s="184" t="str">
        <f t="shared" si="109"/>
        <v/>
      </c>
      <c r="RD13" s="173"/>
      <c r="RE13" s="100"/>
      <c r="RF13" s="101"/>
      <c r="RG13" s="183" t="str">
        <f>IFERROR((((COUNTIF('Elève (6ème1)'!RD13:RF13,"A"))*4)+((COUNTIF('Elève (6ème1)'!RD13:RF13,"B"))*3)+((COUNTIF('Elève (6ème1)'!RD13:RF13,"C"))*2)+((COUNTIF('Elève (6ème1)'!RD13:RF13,"D"))*1))/(COUNTA(RD13:RF13)),"")</f>
        <v/>
      </c>
      <c r="RH13" s="184" t="str">
        <f t="shared" si="110"/>
        <v/>
      </c>
      <c r="RI13" s="183">
        <f>IF(COUNT(QW13,RB13,RG13)=0,"",SUM(QW13,RB13,RG13)/COUNT(QW13,RB13,RG13))</f>
        <v>3</v>
      </c>
      <c r="RJ13" s="207" t="str">
        <f t="shared" si="111"/>
        <v>B</v>
      </c>
      <c r="RK13" s="218" t="s">
        <v>23</v>
      </c>
      <c r="RL13" s="100"/>
      <c r="RM13" s="101"/>
      <c r="RN13" s="183">
        <f>IFERROR((((COUNTIF('Elève (6ème1)'!RK13:RM13,"A"))*4)+((COUNTIF('Elève (6ème1)'!RK13:RM13,"B"))*3)+((COUNTIF('Elève (6ème1)'!RK13:RM13,"C"))*2)+((COUNTIF('Elève (6ème1)'!RK13:RM13,"D"))*1))/(COUNTA(RK13:RM13)),"")</f>
        <v>4</v>
      </c>
      <c r="RO13" s="184" t="str">
        <f t="shared" si="112"/>
        <v>A</v>
      </c>
      <c r="RP13" s="173"/>
      <c r="RQ13" s="100"/>
      <c r="RR13" s="101"/>
      <c r="RS13" s="183" t="str">
        <f>IFERROR((((COUNTIF('Elève (6ème1)'!RP13:RR13,"A"))*4)+((COUNTIF('Elève (6ème1)'!RP13:RR13,"B"))*3)+((COUNTIF('Elève (6ème1)'!RP13:RR13,"C"))*2)+((COUNTIF('Elève (6ème1)'!RP13:RR13,"D"))*1))/(COUNTA(RP13:RR13)),"")</f>
        <v/>
      </c>
      <c r="RT13" s="184" t="str">
        <f t="shared" si="113"/>
        <v/>
      </c>
      <c r="RU13" s="173"/>
      <c r="RV13" s="100" t="s">
        <v>25</v>
      </c>
      <c r="RW13" s="101"/>
      <c r="RX13" s="183">
        <f>IFERROR((((COUNTIF('Elève (6ème1)'!RU13:RW13,"A"))*4)+((COUNTIF('Elève (6ème1)'!RU13:RW13,"B"))*3)+((COUNTIF('Elève (6ème1)'!RU13:RW13,"C"))*2)+((COUNTIF('Elève (6ème1)'!RU13:RW13,"D"))*1))/(COUNTA(RU13:RW13)),"")</f>
        <v>2</v>
      </c>
      <c r="RY13" s="184" t="str">
        <f t="shared" si="114"/>
        <v>C</v>
      </c>
      <c r="RZ13" s="183">
        <f>IF(COUNT(RN13,RS13,RX13)=0,"",SUM(RN13,RS13,RX13)/COUNT(RN13,RS13,RX13))</f>
        <v>3</v>
      </c>
      <c r="SA13" s="207" t="str">
        <f t="shared" si="115"/>
        <v>B</v>
      </c>
      <c r="SB13" s="218" t="s">
        <v>24</v>
      </c>
      <c r="SC13" s="100"/>
      <c r="SD13" s="101"/>
      <c r="SE13" s="183">
        <f>IFERROR((((COUNTIF('Elève (6ème1)'!SB13:SD13,"A"))*4)+((COUNTIF('Elève (6ème1)'!SB13:SD13,"B"))*3)+((COUNTIF('Elève (6ème1)'!SB13:SD13,"C"))*2)+((COUNTIF('Elève (6ème1)'!SB13:SD13,"D"))*1))/(COUNTA(SB13:SD13)),"")</f>
        <v>3</v>
      </c>
      <c r="SF13" s="184" t="str">
        <f t="shared" si="116"/>
        <v>B</v>
      </c>
      <c r="SG13" s="173"/>
      <c r="SH13" s="100"/>
      <c r="SI13" s="101"/>
      <c r="SJ13" s="183" t="str">
        <f>IFERROR((((COUNTIF('Elève (6ème1)'!SG13:SI13,"A"))*4)+((COUNTIF('Elève (6ème1)'!SG13:SI13,"B"))*3)+((COUNTIF('Elève (6ème1)'!SG13:SI13,"C"))*2)+((COUNTIF('Elève (6ème1)'!SG13:SI13,"D"))*1))/(COUNTA(SG13:SI13)),"")</f>
        <v/>
      </c>
      <c r="SK13" s="184" t="str">
        <f t="shared" si="117"/>
        <v/>
      </c>
      <c r="SL13" s="173"/>
      <c r="SM13" s="100"/>
      <c r="SN13" s="101"/>
      <c r="SO13" s="183" t="str">
        <f>IFERROR((((COUNTIF('Elève (6ème1)'!SL13:SN13,"A"))*4)+((COUNTIF('Elève (6ème1)'!SL13:SN13,"B"))*3)+((COUNTIF('Elève (6ème1)'!SL13:SN13,"C"))*2)+((COUNTIF('Elève (6ème1)'!SL13:SN13,"D"))*1))/(COUNTA(SL13:SN13)),"")</f>
        <v/>
      </c>
      <c r="SP13" s="184" t="str">
        <f t="shared" si="118"/>
        <v/>
      </c>
      <c r="SQ13" s="183">
        <f>IF(COUNT(SE13,SJ13,SO13)=0,"",SUM(SE13,SJ13,SO13)/COUNT(SE13,SJ13,SO13))</f>
        <v>3</v>
      </c>
      <c r="SR13" s="207" t="str">
        <f t="shared" si="119"/>
        <v>B</v>
      </c>
      <c r="SS13" s="218" t="s">
        <v>24</v>
      </c>
      <c r="ST13" s="100"/>
      <c r="SU13" s="101"/>
      <c r="SV13" s="183">
        <f>IFERROR((((COUNTIF('Elève (6ème1)'!SS13:SU13,"A"))*4)+((COUNTIF('Elève (6ème1)'!SS13:SU13,"B"))*3)+((COUNTIF('Elève (6ème1)'!SS13:SU13,"C"))*2)+((COUNTIF('Elève (6ème1)'!SS13:SU13,"D"))*1))/(COUNTA(SS13:SU13)),"")</f>
        <v>3</v>
      </c>
      <c r="SW13" s="184" t="str">
        <f t="shared" si="120"/>
        <v>B</v>
      </c>
      <c r="SX13" s="173"/>
      <c r="SY13" s="100"/>
      <c r="SZ13" s="101" t="s">
        <v>24</v>
      </c>
      <c r="TA13" s="183">
        <f>IFERROR((((COUNTIF('Elève (6ème1)'!SX13:SZ13,"A"))*4)+((COUNTIF('Elève (6ème1)'!SX13:SZ13,"B"))*3)+((COUNTIF('Elève (6ème1)'!SX13:SZ13,"C"))*2)+((COUNTIF('Elève (6ème1)'!SX13:SZ13,"D"))*1))/(COUNTA(SX13:SZ13)),"")</f>
        <v>3</v>
      </c>
      <c r="TB13" s="184" t="str">
        <f t="shared" si="121"/>
        <v>B</v>
      </c>
      <c r="TC13" s="173"/>
      <c r="TD13" s="100" t="s">
        <v>24</v>
      </c>
      <c r="TE13" s="101"/>
      <c r="TF13" s="183">
        <f>IFERROR((((COUNTIF('Elève (6ème1)'!TC13:TE13,"A"))*4)+((COUNTIF('Elève (6ème1)'!TC13:TE13,"B"))*3)+((COUNTIF('Elève (6ème1)'!TC13:TE13,"C"))*2)+((COUNTIF('Elève (6ème1)'!TC13:TE13,"D"))*1))/(COUNTA(TC13:TE13)),"")</f>
        <v>3</v>
      </c>
      <c r="TG13" s="184" t="str">
        <f t="shared" si="122"/>
        <v>B</v>
      </c>
      <c r="TH13" s="183">
        <f>IF(COUNT(SV13,TA13,TF13)=0,"",SUM(SV13,TA13,TF13)/COUNT(SV13,TA13,TF13))</f>
        <v>3</v>
      </c>
      <c r="TI13" s="207" t="str">
        <f t="shared" si="123"/>
        <v>B</v>
      </c>
      <c r="TJ13" s="218" t="s">
        <v>24</v>
      </c>
      <c r="TK13" s="100"/>
      <c r="TL13" s="101"/>
      <c r="TM13" s="183">
        <f>IFERROR((((COUNTIF('Elève (6ème1)'!TJ13:TL13,"A"))*4)+((COUNTIF('Elève (6ème1)'!TJ13:TL13,"B"))*3)+((COUNTIF('Elève (6ème1)'!TJ13:TL13,"C"))*2)+((COUNTIF('Elève (6ème1)'!TJ13:TL13,"D"))*1))/(COUNTA(TJ13:TL13)),"")</f>
        <v>3</v>
      </c>
      <c r="TN13" s="184" t="str">
        <f t="shared" si="124"/>
        <v>B</v>
      </c>
      <c r="TO13" s="173"/>
      <c r="TP13" s="100"/>
      <c r="TQ13" s="101" t="s">
        <v>24</v>
      </c>
      <c r="TR13" s="183">
        <f>IFERROR((((COUNTIF('Elève (6ème1)'!TO13:TQ13,"A"))*4)+((COUNTIF('Elève (6ème1)'!TO13:TQ13,"B"))*3)+((COUNTIF('Elève (6ème1)'!TO13:TQ13,"C"))*2)+((COUNTIF('Elève (6ème1)'!TO13:TQ13,"D"))*1))/(COUNTA(TO13:TQ13)),"")</f>
        <v>3</v>
      </c>
      <c r="TS13" s="184" t="str">
        <f t="shared" si="125"/>
        <v>B</v>
      </c>
      <c r="TT13" s="173"/>
      <c r="TU13" s="100" t="s">
        <v>24</v>
      </c>
      <c r="TV13" s="101"/>
      <c r="TW13" s="183">
        <f>IFERROR((((COUNTIF('Elève (6ème1)'!TT13:TV13,"A"))*4)+((COUNTIF('Elève (6ème1)'!TT13:TV13,"B"))*3)+((COUNTIF('Elève (6ème1)'!TT13:TV13,"C"))*2)+((COUNTIF('Elève (6ème1)'!TT13:TV13,"D"))*1))/(COUNTA(TT13:TV13)),"")</f>
        <v>3</v>
      </c>
      <c r="TX13" s="184" t="str">
        <f t="shared" si="126"/>
        <v>B</v>
      </c>
      <c r="TY13" s="183">
        <f>IF(COUNT(TM13,TR13,TW13)=0,"",SUM(TM13,TR13,TW13)/COUNT(TM13,TR13,TW13))</f>
        <v>3</v>
      </c>
      <c r="TZ13" s="207" t="str">
        <f t="shared" si="127"/>
        <v>B</v>
      </c>
    </row>
    <row r="14" spans="1:546" s="98" customFormat="1" ht="16.5" customHeight="1" thickBot="1" x14ac:dyDescent="0.3">
      <c r="A14" s="164" t="s">
        <v>17</v>
      </c>
      <c r="B14" s="164">
        <v>1</v>
      </c>
      <c r="C14" s="255"/>
      <c r="D14" s="250"/>
      <c r="E14" s="251"/>
      <c r="F14" s="181">
        <f>IF(COUNT(F15:F17)=0,"",SUM(F15:F17)/COUNT(F15:F17))</f>
        <v>3</v>
      </c>
      <c r="G14" s="182" t="str">
        <f t="shared" si="0"/>
        <v>B</v>
      </c>
      <c r="H14" s="252"/>
      <c r="I14" s="250"/>
      <c r="J14" s="251"/>
      <c r="K14" s="181">
        <f>IF(COUNT(K15:K17)=0,"",SUM(K15:K17)/COUNT(K15:K17))</f>
        <v>3.5</v>
      </c>
      <c r="L14" s="198" t="str">
        <f t="shared" si="1"/>
        <v>B</v>
      </c>
      <c r="M14" s="247"/>
      <c r="N14" s="245"/>
      <c r="O14" s="246"/>
      <c r="P14" s="181">
        <f>IF(COUNT(P15:P17)=0,"",SUM(P15:P17)/COUNT(P15:P17))</f>
        <v>3.1666666666666665</v>
      </c>
      <c r="Q14" s="205" t="str">
        <f t="shared" si="2"/>
        <v>B</v>
      </c>
      <c r="R14" s="181">
        <f>IF(COUNT(R15:R17)=0,"",SUM(R15:R17)/COUNT(R15:R17))</f>
        <v>3.2777777777777781</v>
      </c>
      <c r="S14" s="206" t="str">
        <f t="shared" si="3"/>
        <v>B</v>
      </c>
      <c r="T14" s="250"/>
      <c r="U14" s="250"/>
      <c r="V14" s="251"/>
      <c r="W14" s="181">
        <f>IF(COUNT(W15:W17)=0,"",SUM(W15:W17)/COUNT(W15:W17))</f>
        <v>3</v>
      </c>
      <c r="X14" s="182" t="str">
        <f t="shared" si="4"/>
        <v>B</v>
      </c>
      <c r="Y14" s="252"/>
      <c r="Z14" s="250"/>
      <c r="AA14" s="251"/>
      <c r="AB14" s="181">
        <f>IF(COUNT(AB15:AB17)=0,"",SUM(AB15:AB17)/COUNT(AB15:AB17))</f>
        <v>4</v>
      </c>
      <c r="AC14" s="198" t="str">
        <f t="shared" si="5"/>
        <v>A</v>
      </c>
      <c r="AD14" s="247"/>
      <c r="AE14" s="245"/>
      <c r="AF14" s="246"/>
      <c r="AG14" s="181">
        <f>IF(COUNT(AG15:AG17)=0,"",SUM(AG15:AG17)/COUNT(AG15:AG17))</f>
        <v>3.6666666666666665</v>
      </c>
      <c r="AH14" s="205" t="str">
        <f t="shared" si="6"/>
        <v>B</v>
      </c>
      <c r="AI14" s="181">
        <f>IF(COUNT(AI15:AI17)=0,"",SUM(AI15:AI17)/COUNT(AI15:AI17))</f>
        <v>3.7222222222222219</v>
      </c>
      <c r="AJ14" s="206" t="str">
        <f t="shared" si="7"/>
        <v>A</v>
      </c>
      <c r="AK14" s="250"/>
      <c r="AL14" s="250"/>
      <c r="AM14" s="251"/>
      <c r="AN14" s="181">
        <f>IF(COUNT(AN15:AN17)=0,"",SUM(AN15:AN17)/COUNT(AN15:AN17))</f>
        <v>2</v>
      </c>
      <c r="AO14" s="182" t="str">
        <f t="shared" si="8"/>
        <v>C</v>
      </c>
      <c r="AP14" s="252"/>
      <c r="AQ14" s="250"/>
      <c r="AR14" s="251"/>
      <c r="AS14" s="181">
        <f>IF(COUNT(AS15:AS17)=0,"",SUM(AS15:AS17)/COUNT(AS15:AS17))</f>
        <v>3.5</v>
      </c>
      <c r="AT14" s="198" t="str">
        <f t="shared" si="9"/>
        <v>B</v>
      </c>
      <c r="AU14" s="247"/>
      <c r="AV14" s="245"/>
      <c r="AW14" s="246"/>
      <c r="AX14" s="181">
        <f>IF(COUNT(AX15:AX17)=0,"",SUM(AX15:AX17)/COUNT(AX15:AX17))</f>
        <v>3.1666666666666665</v>
      </c>
      <c r="AY14" s="205" t="str">
        <f t="shared" si="10"/>
        <v>B</v>
      </c>
      <c r="AZ14" s="181">
        <f>IF(COUNT(AZ15:AZ17)=0,"",SUM(AZ15:AZ17)/COUNT(AZ15:AZ17))</f>
        <v>3.1666666666666665</v>
      </c>
      <c r="BA14" s="206" t="str">
        <f t="shared" si="11"/>
        <v>B</v>
      </c>
      <c r="BB14" s="250"/>
      <c r="BC14" s="250"/>
      <c r="BD14" s="251"/>
      <c r="BE14" s="181">
        <f>IF(COUNT(BE15:BE17)=0,"",SUM(BE15:BE17)/COUNT(BE15:BE17))</f>
        <v>1</v>
      </c>
      <c r="BF14" s="182" t="str">
        <f t="shared" si="12"/>
        <v>D</v>
      </c>
      <c r="BG14" s="252"/>
      <c r="BH14" s="250"/>
      <c r="BI14" s="251"/>
      <c r="BJ14" s="181">
        <f>IF(COUNT(BJ15:BJ17)=0,"",SUM(BJ15:BJ17)/COUNT(BJ15:BJ17))</f>
        <v>2.8333333333333335</v>
      </c>
      <c r="BK14" s="198" t="str">
        <f t="shared" si="13"/>
        <v>B</v>
      </c>
      <c r="BL14" s="247"/>
      <c r="BM14" s="245"/>
      <c r="BN14" s="246"/>
      <c r="BO14" s="181">
        <f>IF(COUNT(BO15:BO17)=0,"",SUM(BO15:BO17)/COUNT(BO15:BO17))</f>
        <v>3</v>
      </c>
      <c r="BP14" s="205" t="str">
        <f t="shared" si="14"/>
        <v>B</v>
      </c>
      <c r="BQ14" s="181">
        <f>IF(COUNT(BQ15:BQ17)=0,"",SUM(BQ15:BQ17)/COUNT(BQ15:BQ17))</f>
        <v>2.6388888888888888</v>
      </c>
      <c r="BR14" s="206" t="str">
        <f t="shared" si="15"/>
        <v>C</v>
      </c>
      <c r="BS14" s="250"/>
      <c r="BT14" s="250"/>
      <c r="BU14" s="251"/>
      <c r="BV14" s="181">
        <f>IF(COUNT(BV15:BV17)=0,"",SUM(BV15:BV17)/COUNT(BV15:BV17))</f>
        <v>1</v>
      </c>
      <c r="BW14" s="182" t="str">
        <f t="shared" si="16"/>
        <v>D</v>
      </c>
      <c r="BX14" s="252"/>
      <c r="BY14" s="250"/>
      <c r="BZ14" s="251"/>
      <c r="CA14" s="181">
        <f>IF(COUNT(CA15:CA17)=0,"",SUM(CA15:CA17)/COUNT(CA15:CA17))</f>
        <v>2.6666666666666665</v>
      </c>
      <c r="CB14" s="198" t="str">
        <f t="shared" si="17"/>
        <v>C</v>
      </c>
      <c r="CC14" s="247"/>
      <c r="CD14" s="245"/>
      <c r="CE14" s="246"/>
      <c r="CF14" s="181">
        <f>IF(COUNT(CF15:CF17)=0,"",SUM(CF15:CF17)/COUNT(CF15:CF17))</f>
        <v>2.1666666666666665</v>
      </c>
      <c r="CG14" s="205" t="str">
        <f t="shared" si="18"/>
        <v>C</v>
      </c>
      <c r="CH14" s="181">
        <f>IF(COUNT(CH15:CH17)=0,"",SUM(CH15:CH17)/COUNT(CH15:CH17))</f>
        <v>2.25</v>
      </c>
      <c r="CI14" s="206" t="str">
        <f t="shared" si="19"/>
        <v>C</v>
      </c>
      <c r="CJ14" s="250"/>
      <c r="CK14" s="250"/>
      <c r="CL14" s="251"/>
      <c r="CM14" s="181">
        <f>IF(COUNT(CM15:CM17)=0,"",SUM(CM15:CM17)/COUNT(CM15:CM17))</f>
        <v>1</v>
      </c>
      <c r="CN14" s="182" t="str">
        <f t="shared" si="20"/>
        <v>D</v>
      </c>
      <c r="CO14" s="252"/>
      <c r="CP14" s="250"/>
      <c r="CQ14" s="251"/>
      <c r="CR14" s="181">
        <f>IF(COUNT(CR15:CR17)=0,"",SUM(CR15:CR17)/COUNT(CR15:CR17))</f>
        <v>1.8333333333333333</v>
      </c>
      <c r="CS14" s="198" t="str">
        <f t="shared" si="21"/>
        <v>C</v>
      </c>
      <c r="CT14" s="247"/>
      <c r="CU14" s="245"/>
      <c r="CV14" s="246"/>
      <c r="CW14" s="181">
        <f>IF(COUNT(CW15:CW17)=0,"",SUM(CW15:CW17)/COUNT(CW15:CW17))</f>
        <v>2.1666666666666665</v>
      </c>
      <c r="CX14" s="205" t="str">
        <f t="shared" si="22"/>
        <v>C</v>
      </c>
      <c r="CY14" s="181">
        <f>IF(COUNT(CY15:CY17)=0,"",SUM(CY15:CY17)/COUNT(CY15:CY17))</f>
        <v>1.8611111111111109</v>
      </c>
      <c r="CZ14" s="206" t="str">
        <f t="shared" si="23"/>
        <v>C</v>
      </c>
      <c r="DA14" s="250"/>
      <c r="DB14" s="250"/>
      <c r="DC14" s="251"/>
      <c r="DD14" s="181">
        <f>IF(COUNT(DD15:DD17)=0,"",SUM(DD15:DD17)/COUNT(DD15:DD17))</f>
        <v>2</v>
      </c>
      <c r="DE14" s="182" t="str">
        <f t="shared" si="24"/>
        <v>C</v>
      </c>
      <c r="DF14" s="252"/>
      <c r="DG14" s="250"/>
      <c r="DH14" s="251"/>
      <c r="DI14" s="181">
        <f>IF(COUNT(DI15:DI17)=0,"",SUM(DI15:DI17)/COUNT(DI15:DI17))</f>
        <v>3.1666666666666665</v>
      </c>
      <c r="DJ14" s="198" t="str">
        <f t="shared" si="25"/>
        <v>B</v>
      </c>
      <c r="DK14" s="247"/>
      <c r="DL14" s="245"/>
      <c r="DM14" s="246"/>
      <c r="DN14" s="181">
        <f>IF(COUNT(DN15:DN17)=0,"",SUM(DN15:DN17)/COUNT(DN15:DN17))</f>
        <v>2.3333333333333335</v>
      </c>
      <c r="DO14" s="205" t="str">
        <f t="shared" si="26"/>
        <v>C</v>
      </c>
      <c r="DP14" s="181">
        <f>IF(COUNT(DP15:DP17)=0,"",SUM(DP15:DP17)/COUNT(DP15:DP17))</f>
        <v>2.6666666666666665</v>
      </c>
      <c r="DQ14" s="206" t="str">
        <f t="shared" si="27"/>
        <v>C</v>
      </c>
      <c r="DR14" s="250"/>
      <c r="DS14" s="250"/>
      <c r="DT14" s="251"/>
      <c r="DU14" s="181">
        <f>IF(COUNT(DU15:DU17)=0,"",SUM(DU15:DU17)/COUNT(DU15:DU17))</f>
        <v>3</v>
      </c>
      <c r="DV14" s="182" t="str">
        <f t="shared" si="28"/>
        <v>B</v>
      </c>
      <c r="DW14" s="252"/>
      <c r="DX14" s="250"/>
      <c r="DY14" s="251"/>
      <c r="DZ14" s="181">
        <f>IF(COUNT(DZ15:DZ17)=0,"",SUM(DZ15:DZ17)/COUNT(DZ15:DZ17))</f>
        <v>2.6666666666666665</v>
      </c>
      <c r="EA14" s="198" t="str">
        <f t="shared" si="29"/>
        <v>C</v>
      </c>
      <c r="EB14" s="247"/>
      <c r="EC14" s="245"/>
      <c r="ED14" s="246"/>
      <c r="EE14" s="181">
        <f>IF(COUNT(EE15:EE17)=0,"",SUM(EE15:EE17)/COUNT(EE15:EE17))</f>
        <v>2.6666666666666665</v>
      </c>
      <c r="EF14" s="205" t="str">
        <f t="shared" si="30"/>
        <v>C</v>
      </c>
      <c r="EG14" s="181">
        <f>IF(COUNT(EG15:EG17)=0,"",SUM(EG15:EG17)/COUNT(EG15:EG17))</f>
        <v>2.6666666666666665</v>
      </c>
      <c r="EH14" s="206" t="str">
        <f t="shared" si="31"/>
        <v>C</v>
      </c>
      <c r="EI14" s="250"/>
      <c r="EJ14" s="250"/>
      <c r="EK14" s="251"/>
      <c r="EL14" s="181">
        <f>IF(COUNT(EL15:EL17)=0,"",SUM(EL15:EL17)/COUNT(EL15:EL17))</f>
        <v>3</v>
      </c>
      <c r="EM14" s="182" t="str">
        <f t="shared" si="32"/>
        <v>B</v>
      </c>
      <c r="EN14" s="252"/>
      <c r="EO14" s="250"/>
      <c r="EP14" s="251"/>
      <c r="EQ14" s="181">
        <f>IF(COUNT(EQ15:EQ17)=0,"",SUM(EQ15:EQ17)/COUNT(EQ15:EQ17))</f>
        <v>2.5</v>
      </c>
      <c r="ER14" s="198" t="str">
        <f t="shared" si="33"/>
        <v>C</v>
      </c>
      <c r="ES14" s="247"/>
      <c r="ET14" s="245"/>
      <c r="EU14" s="246"/>
      <c r="EV14" s="181">
        <f>IF(COUNT(EV15:EV17)=0,"",SUM(EV15:EV17)/COUNT(EV15:EV17))</f>
        <v>3.1666666666666665</v>
      </c>
      <c r="EW14" s="205" t="str">
        <f t="shared" si="34"/>
        <v>B</v>
      </c>
      <c r="EX14" s="181">
        <f>IF(COUNT(EX15:EX17)=0,"",SUM(EX15:EX17)/COUNT(EX15:EX17))</f>
        <v>2.8055555555555554</v>
      </c>
      <c r="EY14" s="206" t="str">
        <f t="shared" si="35"/>
        <v>B</v>
      </c>
      <c r="EZ14" s="250"/>
      <c r="FA14" s="250"/>
      <c r="FB14" s="251"/>
      <c r="FC14" s="181">
        <f>IF(COUNT(FC15:FC17)=0,"",SUM(FC15:FC17)/COUNT(FC15:FC17))</f>
        <v>2</v>
      </c>
      <c r="FD14" s="182" t="str">
        <f t="shared" si="36"/>
        <v>C</v>
      </c>
      <c r="FE14" s="252"/>
      <c r="FF14" s="250"/>
      <c r="FG14" s="251"/>
      <c r="FH14" s="181">
        <f>IF(COUNT(FH15:FH17)=0,"",SUM(FH15:FH17)/COUNT(FH15:FH17))</f>
        <v>3.1666666666666665</v>
      </c>
      <c r="FI14" s="198" t="str">
        <f t="shared" si="37"/>
        <v>B</v>
      </c>
      <c r="FJ14" s="247"/>
      <c r="FK14" s="245"/>
      <c r="FL14" s="246"/>
      <c r="FM14" s="181">
        <f>IF(COUNT(FM15:FM17)=0,"",SUM(FM15:FM17)/COUNT(FM15:FM17))</f>
        <v>3.1666666666666665</v>
      </c>
      <c r="FN14" s="205" t="str">
        <f t="shared" si="38"/>
        <v>B</v>
      </c>
      <c r="FO14" s="181">
        <f>IF(COUNT(FO15:FO17)=0,"",SUM(FO15:FO17)/COUNT(FO15:FO17))</f>
        <v>3</v>
      </c>
      <c r="FP14" s="206" t="str">
        <f t="shared" si="39"/>
        <v>B</v>
      </c>
      <c r="FQ14" s="250"/>
      <c r="FR14" s="250"/>
      <c r="FS14" s="251"/>
      <c r="FT14" s="181">
        <f>IF(COUNT(FT15:FT17)=0,"",SUM(FT15:FT17)/COUNT(FT15:FT17))</f>
        <v>3</v>
      </c>
      <c r="FU14" s="182" t="str">
        <f t="shared" si="40"/>
        <v>B</v>
      </c>
      <c r="FV14" s="252"/>
      <c r="FW14" s="250"/>
      <c r="FX14" s="251"/>
      <c r="FY14" s="181">
        <f>IF(COUNT(FY15:FY17)=0,"",SUM(FY15:FY17)/COUNT(FY15:FY17))</f>
        <v>3</v>
      </c>
      <c r="FZ14" s="198" t="str">
        <f t="shared" si="41"/>
        <v>B</v>
      </c>
      <c r="GA14" s="247"/>
      <c r="GB14" s="245"/>
      <c r="GC14" s="246"/>
      <c r="GD14" s="181">
        <f>IF(COUNT(GD15:GD17)=0,"",SUM(GD15:GD17)/COUNT(GD15:GD17))</f>
        <v>3.3333333333333335</v>
      </c>
      <c r="GE14" s="205" t="str">
        <f t="shared" si="42"/>
        <v>B</v>
      </c>
      <c r="GF14" s="181">
        <f>IF(COUNT(GF15:GF17)=0,"",SUM(GF15:GF17)/COUNT(GF15:GF17))</f>
        <v>3.1666666666666665</v>
      </c>
      <c r="GG14" s="206" t="str">
        <f t="shared" si="43"/>
        <v>B</v>
      </c>
      <c r="GH14" s="250"/>
      <c r="GI14" s="250"/>
      <c r="GJ14" s="251"/>
      <c r="GK14" s="181">
        <f>IF(COUNT(GK15:GK17)=0,"",SUM(GK15:GK17)/COUNT(GK15:GK17))</f>
        <v>2</v>
      </c>
      <c r="GL14" s="182" t="str">
        <f t="shared" si="44"/>
        <v>C</v>
      </c>
      <c r="GM14" s="252"/>
      <c r="GN14" s="250"/>
      <c r="GO14" s="251"/>
      <c r="GP14" s="181">
        <f>IF(COUNT(GP15:GP17)=0,"",SUM(GP15:GP17)/COUNT(GP15:GP17))</f>
        <v>4</v>
      </c>
      <c r="GQ14" s="198" t="str">
        <f t="shared" si="45"/>
        <v>A</v>
      </c>
      <c r="GR14" s="247"/>
      <c r="GS14" s="245"/>
      <c r="GT14" s="246"/>
      <c r="GU14" s="181">
        <f>IF(COUNT(GU15:GU17)=0,"",SUM(GU15:GU17)/COUNT(GU15:GU17))</f>
        <v>3.6666666666666665</v>
      </c>
      <c r="GV14" s="205" t="str">
        <f t="shared" si="46"/>
        <v>B</v>
      </c>
      <c r="GW14" s="181">
        <f>IF(COUNT(GW15:GW17)=0,"",SUM(GW15:GW17)/COUNT(GW15:GW17))</f>
        <v>3.6111111111111112</v>
      </c>
      <c r="GX14" s="206" t="str">
        <f t="shared" si="47"/>
        <v>B</v>
      </c>
      <c r="GY14" s="250"/>
      <c r="GZ14" s="250"/>
      <c r="HA14" s="251"/>
      <c r="HB14" s="181">
        <f>IF(COUNT(HB15:HB17)=0,"",SUM(HB15:HB17)/COUNT(HB15:HB17))</f>
        <v>2</v>
      </c>
      <c r="HC14" s="182" t="str">
        <f t="shared" si="48"/>
        <v>C</v>
      </c>
      <c r="HD14" s="252"/>
      <c r="HE14" s="250"/>
      <c r="HF14" s="251"/>
      <c r="HG14" s="181">
        <f>IF(COUNT(HG15:HG17)=0,"",SUM(HG15:HG17)/COUNT(HG15:HG17))</f>
        <v>3.5</v>
      </c>
      <c r="HH14" s="198" t="str">
        <f t="shared" si="49"/>
        <v>B</v>
      </c>
      <c r="HI14" s="247"/>
      <c r="HJ14" s="245"/>
      <c r="HK14" s="246"/>
      <c r="HL14" s="181">
        <f>IF(COUNT(HL15:HL17)=0,"",SUM(HL15:HL17)/COUNT(HL15:HL17))</f>
        <v>2.3333333333333335</v>
      </c>
      <c r="HM14" s="205" t="str">
        <f t="shared" si="50"/>
        <v>C</v>
      </c>
      <c r="HN14" s="181">
        <f>IF(COUNT(HN15:HN17)=0,"",SUM(HN15:HN17)/COUNT(HN15:HN17))</f>
        <v>2.5555555555555554</v>
      </c>
      <c r="HO14" s="206" t="str">
        <f t="shared" si="51"/>
        <v>C</v>
      </c>
      <c r="HP14" s="250"/>
      <c r="HQ14" s="250"/>
      <c r="HR14" s="251"/>
      <c r="HS14" s="181">
        <f>IF(COUNT(HS15:HS17)=0,"",SUM(HS15:HS17)/COUNT(HS15:HS17))</f>
        <v>3</v>
      </c>
      <c r="HT14" s="182" t="str">
        <f t="shared" si="52"/>
        <v>B</v>
      </c>
      <c r="HU14" s="252"/>
      <c r="HV14" s="250"/>
      <c r="HW14" s="251"/>
      <c r="HX14" s="181">
        <f>IF(COUNT(HX15:HX17)=0,"",SUM(HX15:HX17)/COUNT(HX15:HX17))</f>
        <v>2.8333333333333335</v>
      </c>
      <c r="HY14" s="198" t="str">
        <f t="shared" si="53"/>
        <v>B</v>
      </c>
      <c r="HZ14" s="247"/>
      <c r="IA14" s="245"/>
      <c r="IB14" s="246"/>
      <c r="IC14" s="181">
        <f>IF(COUNT(IC15:IC17)=0,"",SUM(IC15:IC17)/COUNT(IC15:IC17))</f>
        <v>3.5</v>
      </c>
      <c r="ID14" s="205" t="str">
        <f t="shared" si="54"/>
        <v>B</v>
      </c>
      <c r="IE14" s="181">
        <f>IF(COUNT(IE15:IE17)=0,"",SUM(IE15:IE17)/COUNT(IE15:IE17))</f>
        <v>3.1111111111111112</v>
      </c>
      <c r="IF14" s="206" t="str">
        <f t="shared" si="55"/>
        <v>B</v>
      </c>
      <c r="IG14" s="250"/>
      <c r="IH14" s="250"/>
      <c r="II14" s="251"/>
      <c r="IJ14" s="181">
        <f>IF(COUNT(IJ15:IJ17)=0,"",SUM(IJ15:IJ17)/COUNT(IJ15:IJ17))</f>
        <v>3</v>
      </c>
      <c r="IK14" s="182" t="str">
        <f t="shared" si="56"/>
        <v>B</v>
      </c>
      <c r="IL14" s="252"/>
      <c r="IM14" s="250"/>
      <c r="IN14" s="251"/>
      <c r="IO14" s="181">
        <f>IF(COUNT(IO15:IO17)=0,"",SUM(IO15:IO17)/COUNT(IO15:IO17))</f>
        <v>4</v>
      </c>
      <c r="IP14" s="198" t="str">
        <f t="shared" si="57"/>
        <v>A</v>
      </c>
      <c r="IQ14" s="247"/>
      <c r="IR14" s="245"/>
      <c r="IS14" s="246"/>
      <c r="IT14" s="181">
        <f>IF(COUNT(IT15:IT17)=0,"",SUM(IT15:IT17)/COUNT(IT15:IT17))</f>
        <v>4</v>
      </c>
      <c r="IU14" s="205" t="str">
        <f t="shared" si="58"/>
        <v>A</v>
      </c>
      <c r="IV14" s="181">
        <f>IF(COUNT(IV15:IV17)=0,"",SUM(IV15:IV17)/COUNT(IV15:IV17))</f>
        <v>3.8888888888888888</v>
      </c>
      <c r="IW14" s="206" t="str">
        <f t="shared" si="59"/>
        <v>A</v>
      </c>
      <c r="IX14" s="250"/>
      <c r="IY14" s="250"/>
      <c r="IZ14" s="251"/>
      <c r="JA14" s="181">
        <f>IF(COUNT(JA15:JA17)=0,"",SUM(JA15:JA17)/COUNT(JA15:JA17))</f>
        <v>2</v>
      </c>
      <c r="JB14" s="182" t="str">
        <f t="shared" si="60"/>
        <v>C</v>
      </c>
      <c r="JC14" s="252"/>
      <c r="JD14" s="250"/>
      <c r="JE14" s="251"/>
      <c r="JF14" s="181">
        <f>IF(COUNT(JF15:JF17)=0,"",SUM(JF15:JF17)/COUNT(JF15:JF17))</f>
        <v>4</v>
      </c>
      <c r="JG14" s="198" t="str">
        <f t="shared" si="61"/>
        <v>A</v>
      </c>
      <c r="JH14" s="247"/>
      <c r="JI14" s="245"/>
      <c r="JJ14" s="246"/>
      <c r="JK14" s="181">
        <f>IF(COUNT(JK15:JK17)=0,"",SUM(JK15:JK17)/COUNT(JK15:JK17))</f>
        <v>2.6666666666666665</v>
      </c>
      <c r="JL14" s="205" t="str">
        <f t="shared" si="62"/>
        <v>C</v>
      </c>
      <c r="JM14" s="181">
        <f>IF(COUNT(JM15:JM17)=0,"",SUM(JM15:JM17)/COUNT(JM15:JM17))</f>
        <v>2.9166666666666665</v>
      </c>
      <c r="JN14" s="206" t="str">
        <f t="shared" si="63"/>
        <v>B</v>
      </c>
      <c r="JO14" s="250"/>
      <c r="JP14" s="250"/>
      <c r="JQ14" s="251"/>
      <c r="JR14" s="181">
        <f>IF(COUNT(JR15:JR17)=0,"",SUM(JR15:JR17)/COUNT(JR15:JR17))</f>
        <v>2</v>
      </c>
      <c r="JS14" s="182" t="str">
        <f t="shared" si="64"/>
        <v>C</v>
      </c>
      <c r="JT14" s="252"/>
      <c r="JU14" s="250"/>
      <c r="JV14" s="251"/>
      <c r="JW14" s="181">
        <f>IF(COUNT(JW15:JW17)=0,"",SUM(JW15:JW17)/COUNT(JW15:JW17))</f>
        <v>2.3333333333333335</v>
      </c>
      <c r="JX14" s="198" t="str">
        <f t="shared" si="65"/>
        <v>C</v>
      </c>
      <c r="JY14" s="247"/>
      <c r="JZ14" s="245"/>
      <c r="KA14" s="246"/>
      <c r="KB14" s="181">
        <f>IF(COUNT(KB15:KB17)=0,"",SUM(KB15:KB17)/COUNT(KB15:KB17))</f>
        <v>3</v>
      </c>
      <c r="KC14" s="205" t="str">
        <f t="shared" si="66"/>
        <v>B</v>
      </c>
      <c r="KD14" s="181">
        <f>IF(COUNT(KD15:KD17)=0,"",SUM(KD15:KD17)/COUNT(KD15:KD17))</f>
        <v>2.6111111111111112</v>
      </c>
      <c r="KE14" s="206" t="str">
        <f t="shared" si="67"/>
        <v>C</v>
      </c>
      <c r="KF14" s="250"/>
      <c r="KG14" s="250"/>
      <c r="KH14" s="251"/>
      <c r="KI14" s="181">
        <f>IF(COUNT(KI15:KI17)=0,"",SUM(KI15:KI17)/COUNT(KI15:KI17))</f>
        <v>1</v>
      </c>
      <c r="KJ14" s="182" t="str">
        <f t="shared" si="68"/>
        <v>D</v>
      </c>
      <c r="KK14" s="252"/>
      <c r="KL14" s="250"/>
      <c r="KM14" s="251"/>
      <c r="KN14" s="181">
        <f>IF(COUNT(KN15:KN17)=0,"",SUM(KN15:KN17)/COUNT(KN15:KN17))</f>
        <v>2.6666666666666665</v>
      </c>
      <c r="KO14" s="198" t="str">
        <f t="shared" si="69"/>
        <v>C</v>
      </c>
      <c r="KP14" s="247"/>
      <c r="KQ14" s="245"/>
      <c r="KR14" s="246"/>
      <c r="KS14" s="181">
        <f>IF(COUNT(KS15:KS17)=0,"",SUM(KS15:KS17)/COUNT(KS15:KS17))</f>
        <v>2.6666666666666665</v>
      </c>
      <c r="KT14" s="205" t="str">
        <f t="shared" si="70"/>
        <v>C</v>
      </c>
      <c r="KU14" s="181">
        <f>IF(COUNT(KU15:KU17)=0,"",SUM(KU15:KU17)/COUNT(KU15:KU17))</f>
        <v>2.4166666666666665</v>
      </c>
      <c r="KV14" s="206" t="str">
        <f t="shared" si="71"/>
        <v>C</v>
      </c>
      <c r="KW14" s="250"/>
      <c r="KX14" s="250"/>
      <c r="KY14" s="251"/>
      <c r="KZ14" s="181">
        <f>IF(COUNT(KZ15:KZ17)=0,"",SUM(KZ15:KZ17)/COUNT(KZ15:KZ17))</f>
        <v>4</v>
      </c>
      <c r="LA14" s="182" t="str">
        <f t="shared" si="72"/>
        <v>A</v>
      </c>
      <c r="LB14" s="252"/>
      <c r="LC14" s="250"/>
      <c r="LD14" s="251"/>
      <c r="LE14" s="181">
        <f>IF(COUNT(LE15:LE17)=0,"",SUM(LE15:LE17)/COUNT(LE15:LE17))</f>
        <v>3.5</v>
      </c>
      <c r="LF14" s="198" t="str">
        <f t="shared" si="73"/>
        <v>B</v>
      </c>
      <c r="LG14" s="247"/>
      <c r="LH14" s="245"/>
      <c r="LI14" s="246"/>
      <c r="LJ14" s="181">
        <f>IF(COUNT(LJ15:LJ17)=0,"",SUM(LJ15:LJ17)/COUNT(LJ15:LJ17))</f>
        <v>3.6666666666666665</v>
      </c>
      <c r="LK14" s="205" t="str">
        <f t="shared" si="74"/>
        <v>B</v>
      </c>
      <c r="LL14" s="181">
        <f>IF(COUNT(LL15:LL17)=0,"",SUM(LL15:LL17)/COUNT(LL15:LL17))</f>
        <v>3.6388888888888888</v>
      </c>
      <c r="LM14" s="206" t="str">
        <f t="shared" si="75"/>
        <v>B</v>
      </c>
      <c r="LN14" s="250"/>
      <c r="LO14" s="250"/>
      <c r="LP14" s="251"/>
      <c r="LQ14" s="181">
        <f>IF(COUNT(LQ15:LQ17)=0,"",SUM(LQ15:LQ17)/COUNT(LQ15:LQ17))</f>
        <v>2</v>
      </c>
      <c r="LR14" s="182" t="str">
        <f t="shared" si="76"/>
        <v>C</v>
      </c>
      <c r="LS14" s="252"/>
      <c r="LT14" s="250"/>
      <c r="LU14" s="251"/>
      <c r="LV14" s="181">
        <f>IF(COUNT(LV15:LV17)=0,"",SUM(LV15:LV17)/COUNT(LV15:LV17))</f>
        <v>2.5</v>
      </c>
      <c r="LW14" s="198" t="str">
        <f t="shared" si="77"/>
        <v>C</v>
      </c>
      <c r="LX14" s="247"/>
      <c r="LY14" s="245"/>
      <c r="LZ14" s="246"/>
      <c r="MA14" s="181">
        <f>IF(COUNT(MA15:MA17)=0,"",SUM(MA15:MA17)/COUNT(MA15:MA17))</f>
        <v>3</v>
      </c>
      <c r="MB14" s="205" t="str">
        <f t="shared" si="78"/>
        <v>B</v>
      </c>
      <c r="MC14" s="181">
        <f>IF(COUNT(MC15:MC17)=0,"",SUM(MC15:MC17)/COUNT(MC15:MC17))</f>
        <v>2.6111111111111112</v>
      </c>
      <c r="MD14" s="206" t="str">
        <f t="shared" si="79"/>
        <v>C</v>
      </c>
      <c r="ME14" s="250"/>
      <c r="MF14" s="250"/>
      <c r="MG14" s="251"/>
      <c r="MH14" s="181">
        <f>IF(COUNT(MH15:MH17)=0,"",SUM(MH15:MH17)/COUNT(MH15:MH17))</f>
        <v>3</v>
      </c>
      <c r="MI14" s="182" t="str">
        <f t="shared" si="80"/>
        <v>B</v>
      </c>
      <c r="MJ14" s="252"/>
      <c r="MK14" s="250"/>
      <c r="ML14" s="251"/>
      <c r="MM14" s="181">
        <f>IF(COUNT(MM15:MM17)=0,"",SUM(MM15:MM17)/COUNT(MM15:MM17))</f>
        <v>3.8333333333333335</v>
      </c>
      <c r="MN14" s="198" t="str">
        <f t="shared" si="81"/>
        <v>A</v>
      </c>
      <c r="MO14" s="247"/>
      <c r="MP14" s="245"/>
      <c r="MQ14" s="246"/>
      <c r="MR14" s="181">
        <f>IF(COUNT(MR15:MR17)=0,"",SUM(MR15:MR17)/COUNT(MR15:MR17))</f>
        <v>3.3333333333333335</v>
      </c>
      <c r="MS14" s="205" t="str">
        <f t="shared" si="82"/>
        <v>B</v>
      </c>
      <c r="MT14" s="181">
        <f>IF(COUNT(MT15:MT17)=0,"",SUM(MT15:MT17)/COUNT(MT15:MT17))</f>
        <v>3.5277777777777781</v>
      </c>
      <c r="MU14" s="206" t="str">
        <f t="shared" si="83"/>
        <v>B</v>
      </c>
      <c r="MV14" s="250"/>
      <c r="MW14" s="250"/>
      <c r="MX14" s="251"/>
      <c r="MY14" s="181">
        <f>IF(COUNT(MY15:MY17)=0,"",SUM(MY15:MY17)/COUNT(MY15:MY17))</f>
        <v>2</v>
      </c>
      <c r="MZ14" s="182" t="str">
        <f t="shared" si="84"/>
        <v>C</v>
      </c>
      <c r="NA14" s="252"/>
      <c r="NB14" s="250"/>
      <c r="NC14" s="251"/>
      <c r="ND14" s="181">
        <f>IF(COUNT(ND15:ND17)=0,"",SUM(ND15:ND17)/COUNT(ND15:ND17))</f>
        <v>2.6666666666666665</v>
      </c>
      <c r="NE14" s="198" t="str">
        <f t="shared" si="85"/>
        <v>C</v>
      </c>
      <c r="NF14" s="247"/>
      <c r="NG14" s="245"/>
      <c r="NH14" s="246"/>
      <c r="NI14" s="181">
        <f>IF(COUNT(NI15:NI17)=0,"",SUM(NI15:NI17)/COUNT(NI15:NI17))</f>
        <v>2.6666666666666665</v>
      </c>
      <c r="NJ14" s="205" t="str">
        <f t="shared" si="86"/>
        <v>C</v>
      </c>
      <c r="NK14" s="181">
        <f>IF(COUNT(NK15:NK17)=0,"",SUM(NK15:NK17)/COUNT(NK15:NK17))</f>
        <v>2.5277777777777781</v>
      </c>
      <c r="NL14" s="206" t="str">
        <f t="shared" si="87"/>
        <v>C</v>
      </c>
      <c r="NM14" s="250"/>
      <c r="NN14" s="250"/>
      <c r="NO14" s="251"/>
      <c r="NP14" s="181">
        <f>IF(COUNT(NP15:NP17)=0,"",SUM(NP15:NP17)/COUNT(NP15:NP17))</f>
        <v>4</v>
      </c>
      <c r="NQ14" s="182" t="str">
        <f t="shared" si="88"/>
        <v>A</v>
      </c>
      <c r="NR14" s="252"/>
      <c r="NS14" s="250"/>
      <c r="NT14" s="251"/>
      <c r="NU14" s="181">
        <f>IF(COUNT(NU15:NU17)=0,"",SUM(NU15:NU17)/COUNT(NU15:NU17))</f>
        <v>3.8333333333333335</v>
      </c>
      <c r="NV14" s="198" t="str">
        <f t="shared" si="89"/>
        <v>A</v>
      </c>
      <c r="NW14" s="247"/>
      <c r="NX14" s="245"/>
      <c r="NY14" s="246"/>
      <c r="NZ14" s="181">
        <f>IF(COUNT(NZ15:NZ17)=0,"",SUM(NZ15:NZ17)/COUNT(NZ15:NZ17))</f>
        <v>3</v>
      </c>
      <c r="OA14" s="205" t="str">
        <f t="shared" si="90"/>
        <v>B</v>
      </c>
      <c r="OB14" s="181">
        <f>IF(COUNT(OB15:OB17)=0,"",SUM(OB15:OB17)/COUNT(OB15:OB17))</f>
        <v>3.5</v>
      </c>
      <c r="OC14" s="206" t="str">
        <f t="shared" si="91"/>
        <v>B</v>
      </c>
      <c r="OD14" s="250"/>
      <c r="OE14" s="250"/>
      <c r="OF14" s="251"/>
      <c r="OG14" s="181">
        <f>IF(COUNT(OG15:OG17)=0,"",SUM(OG15:OG17)/COUNT(OG15:OG17))</f>
        <v>2</v>
      </c>
      <c r="OH14" s="182" t="str">
        <f t="shared" si="92"/>
        <v>C</v>
      </c>
      <c r="OI14" s="252"/>
      <c r="OJ14" s="250"/>
      <c r="OK14" s="251"/>
      <c r="OL14" s="181">
        <f>IF(COUNT(OL15:OL17)=0,"",SUM(OL15:OL17)/COUNT(OL15:OL17))</f>
        <v>3</v>
      </c>
      <c r="OM14" s="198" t="str">
        <f t="shared" si="93"/>
        <v>B</v>
      </c>
      <c r="ON14" s="247"/>
      <c r="OO14" s="245"/>
      <c r="OP14" s="246"/>
      <c r="OQ14" s="181">
        <f>IF(COUNT(OQ15:OQ17)=0,"",SUM(OQ15:OQ17)/COUNT(OQ15:OQ17))</f>
        <v>3.1666666666666665</v>
      </c>
      <c r="OR14" s="205" t="str">
        <f t="shared" si="94"/>
        <v>B</v>
      </c>
      <c r="OS14" s="181">
        <f>IF(COUNT(OS15:OS17)=0,"",SUM(OS15:OS17)/COUNT(OS15:OS17))</f>
        <v>2.9444444444444446</v>
      </c>
      <c r="OT14" s="206" t="str">
        <f t="shared" si="95"/>
        <v>B</v>
      </c>
      <c r="OU14" s="250"/>
      <c r="OV14" s="250"/>
      <c r="OW14" s="251"/>
      <c r="OX14" s="181">
        <f>IF(COUNT(OX15:OX17)=0,"",SUM(OX15:OX17)/COUNT(OX15:OX17))</f>
        <v>1</v>
      </c>
      <c r="OY14" s="182" t="str">
        <f t="shared" si="96"/>
        <v>D</v>
      </c>
      <c r="OZ14" s="252"/>
      <c r="PA14" s="250"/>
      <c r="PB14" s="251"/>
      <c r="PC14" s="181">
        <f>IF(COUNT(PC15:PC17)=0,"",SUM(PC15:PC17)/COUNT(PC15:PC17))</f>
        <v>4</v>
      </c>
      <c r="PD14" s="198" t="str">
        <f t="shared" si="97"/>
        <v>A</v>
      </c>
      <c r="PE14" s="247"/>
      <c r="PF14" s="245"/>
      <c r="PG14" s="246"/>
      <c r="PH14" s="181">
        <f>IF(COUNT(PH15:PH17)=0,"",SUM(PH15:PH17)/COUNT(PH15:PH17))</f>
        <v>3.3333333333333335</v>
      </c>
      <c r="PI14" s="205" t="str">
        <f t="shared" si="98"/>
        <v>B</v>
      </c>
      <c r="PJ14" s="181">
        <f>IF(COUNT(PJ15:PJ17)=0,"",SUM(PJ15:PJ17)/COUNT(PJ15:PJ17))</f>
        <v>3.2222222222222219</v>
      </c>
      <c r="PK14" s="206" t="str">
        <f t="shared" si="99"/>
        <v>B</v>
      </c>
      <c r="PL14" s="250"/>
      <c r="PM14" s="250"/>
      <c r="PN14" s="251"/>
      <c r="PO14" s="181">
        <f>IF(COUNT(PO15:PO17)=0,"",SUM(PO15:PO17)/COUNT(PO15:PO17))</f>
        <v>2</v>
      </c>
      <c r="PP14" s="182" t="str">
        <f t="shared" si="100"/>
        <v>C</v>
      </c>
      <c r="PQ14" s="252"/>
      <c r="PR14" s="250"/>
      <c r="PS14" s="251"/>
      <c r="PT14" s="181">
        <f>IF(COUNT(PT15:PT17)=0,"",SUM(PT15:PT17)/COUNT(PT15:PT17))</f>
        <v>2.5</v>
      </c>
      <c r="PU14" s="198" t="str">
        <f t="shared" si="101"/>
        <v>C</v>
      </c>
      <c r="PV14" s="247"/>
      <c r="PW14" s="245"/>
      <c r="PX14" s="246"/>
      <c r="PY14" s="181">
        <f>IF(COUNT(PY15:PY17)=0,"",SUM(PY15:PY17)/COUNT(PY15:PY17))</f>
        <v>2.6666666666666665</v>
      </c>
      <c r="PZ14" s="205" t="str">
        <f t="shared" si="102"/>
        <v>C</v>
      </c>
      <c r="QA14" s="181">
        <f>IF(COUNT(QA15:QA17)=0,"",SUM(QA15:QA17)/COUNT(QA15:QA17))</f>
        <v>2.5</v>
      </c>
      <c r="QB14" s="206" t="str">
        <f t="shared" si="103"/>
        <v>C</v>
      </c>
      <c r="QC14" s="250"/>
      <c r="QD14" s="250"/>
      <c r="QE14" s="251"/>
      <c r="QF14" s="181">
        <f>IF(COUNT(QF15:QF17)=0,"",SUM(QF15:QF17)/COUNT(QF15:QF17))</f>
        <v>3</v>
      </c>
      <c r="QG14" s="182" t="str">
        <f t="shared" si="104"/>
        <v>B</v>
      </c>
      <c r="QH14" s="252"/>
      <c r="QI14" s="250"/>
      <c r="QJ14" s="251"/>
      <c r="QK14" s="181">
        <f>IF(COUNT(QK15:QK17)=0,"",SUM(QK15:QK17)/COUNT(QK15:QK17))</f>
        <v>3.5</v>
      </c>
      <c r="QL14" s="198" t="str">
        <f t="shared" si="105"/>
        <v>B</v>
      </c>
      <c r="QM14" s="247"/>
      <c r="QN14" s="245"/>
      <c r="QO14" s="246"/>
      <c r="QP14" s="181">
        <f>IF(COUNT(QP15:QP17)=0,"",SUM(QP15:QP17)/COUNT(QP15:QP17))</f>
        <v>3</v>
      </c>
      <c r="QQ14" s="205" t="str">
        <f t="shared" si="106"/>
        <v>B</v>
      </c>
      <c r="QR14" s="181">
        <f>IF(COUNT(QR15:QR17)=0,"",SUM(QR15:QR17)/COUNT(QR15:QR17))</f>
        <v>3.1666666666666665</v>
      </c>
      <c r="QS14" s="206" t="str">
        <f t="shared" si="107"/>
        <v>B</v>
      </c>
      <c r="QT14" s="250"/>
      <c r="QU14" s="250"/>
      <c r="QV14" s="251"/>
      <c r="QW14" s="181">
        <f>IF(COUNT(QW15:QW17)=0,"",SUM(QW15:QW17)/COUNT(QW15:QW17))</f>
        <v>2</v>
      </c>
      <c r="QX14" s="182" t="str">
        <f t="shared" si="108"/>
        <v>C</v>
      </c>
      <c r="QY14" s="252"/>
      <c r="QZ14" s="250"/>
      <c r="RA14" s="251"/>
      <c r="RB14" s="181">
        <f>IF(COUNT(RB15:RB17)=0,"",SUM(RB15:RB17)/COUNT(RB15:RB17))</f>
        <v>4</v>
      </c>
      <c r="RC14" s="198" t="str">
        <f t="shared" si="109"/>
        <v>A</v>
      </c>
      <c r="RD14" s="247"/>
      <c r="RE14" s="245"/>
      <c r="RF14" s="246"/>
      <c r="RG14" s="181">
        <f>IF(COUNT(RG15:RG17)=0,"",SUM(RG15:RG17)/COUNT(RG15:RG17))</f>
        <v>3.3333333333333335</v>
      </c>
      <c r="RH14" s="205" t="str">
        <f t="shared" si="110"/>
        <v>B</v>
      </c>
      <c r="RI14" s="181">
        <f>IF(COUNT(RI15:RI17)=0,"",SUM(RI15:RI17)/COUNT(RI15:RI17))</f>
        <v>3.2777777777777781</v>
      </c>
      <c r="RJ14" s="206" t="str">
        <f t="shared" si="111"/>
        <v>B</v>
      </c>
      <c r="RK14" s="250"/>
      <c r="RL14" s="250"/>
      <c r="RM14" s="251"/>
      <c r="RN14" s="181">
        <f>IF(COUNT(RN15:RN17)=0,"",SUM(RN15:RN17)/COUNT(RN15:RN17))</f>
        <v>3</v>
      </c>
      <c r="RO14" s="182" t="str">
        <f t="shared" si="112"/>
        <v>B</v>
      </c>
      <c r="RP14" s="252"/>
      <c r="RQ14" s="250"/>
      <c r="RR14" s="251"/>
      <c r="RS14" s="181">
        <f>IF(COUNT(RS15:RS17)=0,"",SUM(RS15:RS17)/COUNT(RS15:RS17))</f>
        <v>4</v>
      </c>
      <c r="RT14" s="198" t="str">
        <f t="shared" si="113"/>
        <v>A</v>
      </c>
      <c r="RU14" s="247"/>
      <c r="RV14" s="245"/>
      <c r="RW14" s="246"/>
      <c r="RX14" s="181">
        <f>IF(COUNT(RX15:RX17)=0,"",SUM(RX15:RX17)/COUNT(RX15:RX17))</f>
        <v>3.1666666666666665</v>
      </c>
      <c r="RY14" s="205" t="str">
        <f t="shared" si="114"/>
        <v>B</v>
      </c>
      <c r="RZ14" s="181">
        <f>IF(COUNT(RZ15:RZ17)=0,"",SUM(RZ15:RZ17)/COUNT(RZ15:RZ17))</f>
        <v>3.3333333333333335</v>
      </c>
      <c r="SA14" s="206" t="str">
        <f t="shared" si="115"/>
        <v>B</v>
      </c>
      <c r="SB14" s="250"/>
      <c r="SC14" s="250"/>
      <c r="SD14" s="251"/>
      <c r="SE14" s="181">
        <f>IF(COUNT(SE15:SE17)=0,"",SUM(SE15:SE17)/COUNT(SE15:SE17))</f>
        <v>2</v>
      </c>
      <c r="SF14" s="182" t="str">
        <f t="shared" si="116"/>
        <v>C</v>
      </c>
      <c r="SG14" s="252"/>
      <c r="SH14" s="250"/>
      <c r="SI14" s="251"/>
      <c r="SJ14" s="181">
        <f>IF(COUNT(SJ15:SJ17)=0,"",SUM(SJ15:SJ17)/COUNT(SJ15:SJ17))</f>
        <v>4</v>
      </c>
      <c r="SK14" s="198" t="str">
        <f t="shared" si="117"/>
        <v>A</v>
      </c>
      <c r="SL14" s="247"/>
      <c r="SM14" s="245"/>
      <c r="SN14" s="246"/>
      <c r="SO14" s="181">
        <f>IF(COUNT(SO15:SO17)=0,"",SUM(SO15:SO17)/COUNT(SO15:SO17))</f>
        <v>3.3333333333333335</v>
      </c>
      <c r="SP14" s="205" t="str">
        <f t="shared" si="118"/>
        <v>B</v>
      </c>
      <c r="SQ14" s="181">
        <f>IF(COUNT(SQ15:SQ17)=0,"",SUM(SQ15:SQ17)/COUNT(SQ15:SQ17))</f>
        <v>3.2777777777777781</v>
      </c>
      <c r="SR14" s="206" t="str">
        <f t="shared" si="119"/>
        <v>B</v>
      </c>
      <c r="SS14" s="250"/>
      <c r="ST14" s="250"/>
      <c r="SU14" s="251"/>
      <c r="SV14" s="181">
        <f>IF(COUNT(SV15:SV17)=0,"",SUM(SV15:SV17)/COUNT(SV15:SV17))</f>
        <v>2</v>
      </c>
      <c r="SW14" s="182" t="str">
        <f t="shared" si="120"/>
        <v>C</v>
      </c>
      <c r="SX14" s="252"/>
      <c r="SY14" s="250"/>
      <c r="SZ14" s="251"/>
      <c r="TA14" s="181">
        <f>IF(COUNT(TA15:TA17)=0,"",SUM(TA15:TA17)/COUNT(TA15:TA17))</f>
        <v>3.1666666666666665</v>
      </c>
      <c r="TB14" s="198" t="str">
        <f t="shared" si="121"/>
        <v>B</v>
      </c>
      <c r="TC14" s="247"/>
      <c r="TD14" s="245"/>
      <c r="TE14" s="246"/>
      <c r="TF14" s="181">
        <f>IF(COUNT(TF15:TF17)=0,"",SUM(TF15:TF17)/COUNT(TF15:TF17))</f>
        <v>3.3333333333333335</v>
      </c>
      <c r="TG14" s="205" t="str">
        <f t="shared" si="122"/>
        <v>B</v>
      </c>
      <c r="TH14" s="181">
        <f>IF(COUNT(TH15:TH17)=0,"",SUM(TH15:TH17)/COUNT(TH15:TH17))</f>
        <v>3.0833333333333335</v>
      </c>
      <c r="TI14" s="206" t="str">
        <f t="shared" si="123"/>
        <v>B</v>
      </c>
      <c r="TJ14" s="250"/>
      <c r="TK14" s="250"/>
      <c r="TL14" s="251"/>
      <c r="TM14" s="181">
        <f>IF(COUNT(TM15:TM17)=0,"",SUM(TM15:TM17)/COUNT(TM15:TM17))</f>
        <v>2</v>
      </c>
      <c r="TN14" s="182" t="str">
        <f t="shared" si="124"/>
        <v>C</v>
      </c>
      <c r="TO14" s="252"/>
      <c r="TP14" s="250"/>
      <c r="TQ14" s="251"/>
      <c r="TR14" s="181">
        <f>IF(COUNT(TR15:TR17)=0,"",SUM(TR15:TR17)/COUNT(TR15:TR17))</f>
        <v>2.5</v>
      </c>
      <c r="TS14" s="198" t="str">
        <f t="shared" si="125"/>
        <v>C</v>
      </c>
      <c r="TT14" s="247"/>
      <c r="TU14" s="245"/>
      <c r="TV14" s="246"/>
      <c r="TW14" s="181">
        <f>IF(COUNT(TW15:TW17)=0,"",SUM(TW15:TW17)/COUNT(TW15:TW17))</f>
        <v>3</v>
      </c>
      <c r="TX14" s="205" t="str">
        <f t="shared" si="126"/>
        <v>B</v>
      </c>
      <c r="TY14" s="181">
        <f>IF(COUNT(TY15:TY17)=0,"",SUM(TY15:TY17)/COUNT(TY15:TY17))</f>
        <v>2.6111111111111112</v>
      </c>
      <c r="TZ14" s="206" t="str">
        <f t="shared" si="127"/>
        <v>C</v>
      </c>
    </row>
    <row r="15" spans="1:546" ht="15" customHeight="1" x14ac:dyDescent="0.25">
      <c r="A15" s="240" t="s">
        <v>18</v>
      </c>
      <c r="B15" s="241"/>
      <c r="C15" s="99" t="s">
        <v>24</v>
      </c>
      <c r="D15" s="100"/>
      <c r="E15" s="101"/>
      <c r="F15" s="183">
        <f>IFERROR((((COUNTIF('Elève (6ème1)'!C15:E15,"A"))*4)+((COUNTIF('Elève (6ème1)'!C15:E15,"B"))*3)+((COUNTIF('Elève (6ème1)'!C15:E15,"C"))*2)+((COUNTIF('Elève (6ème1)'!C15:E15,"D"))*1))/(COUNTA(C15:E15)),"")</f>
        <v>3</v>
      </c>
      <c r="G15" s="184" t="str">
        <f t="shared" si="0"/>
        <v>B</v>
      </c>
      <c r="H15" s="99" t="s">
        <v>23</v>
      </c>
      <c r="I15" s="100"/>
      <c r="J15" s="101" t="s">
        <v>226</v>
      </c>
      <c r="K15" s="183">
        <f>IFERROR((((COUNTIF('Elève (6ème1)'!H15:J15,"A"))*4)+((COUNTIF('Elève (6ème1)'!H15:J15,"B"))*3)+((COUNTIF('Elève (6ème1)'!H15:J15,"C"))*2)+((COUNTIF('Elève (6ème1)'!H15:J15,"D"))*1))/(COUNTA(H15:J15)),"")</f>
        <v>3.5</v>
      </c>
      <c r="L15" s="184" t="str">
        <f t="shared" si="1"/>
        <v>B</v>
      </c>
      <c r="M15" s="99" t="s">
        <v>23</v>
      </c>
      <c r="N15" s="100" t="s">
        <v>24</v>
      </c>
      <c r="O15" s="101"/>
      <c r="P15" s="183">
        <f>IFERROR((((COUNTIF('Elève (6ème1)'!M15:O15,"A"))*4)+((COUNTIF('Elève (6ème1)'!M15:O15,"B"))*3)+((COUNTIF('Elève (6ème1)'!M15:O15,"C"))*2)+((COUNTIF('Elève (6ème1)'!M15:O15,"D"))*1))/(COUNTA(M15:O15)),"")</f>
        <v>3.5</v>
      </c>
      <c r="Q15" s="184" t="str">
        <f t="shared" si="2"/>
        <v>B</v>
      </c>
      <c r="R15" s="183">
        <f>IF(COUNT(F15,K15,P15)=0,"",SUM(F15,K15,P15)/COUNT(F15,K15,P15))</f>
        <v>3.3333333333333335</v>
      </c>
      <c r="S15" s="211" t="str">
        <f t="shared" si="3"/>
        <v>B</v>
      </c>
      <c r="T15" s="105" t="s">
        <v>24</v>
      </c>
      <c r="U15" s="100"/>
      <c r="V15" s="101"/>
      <c r="W15" s="183">
        <f>IFERROR((((COUNTIF('Elève (6ème1)'!T15:V15,"A"))*4)+((COUNTIF('Elève (6ème1)'!T15:V15,"B"))*3)+((COUNTIF('Elève (6ème1)'!T15:V15,"C"))*2)+((COUNTIF('Elève (6ème1)'!T15:V15,"D"))*1))/(COUNTA(T15:V15)),"")</f>
        <v>3</v>
      </c>
      <c r="X15" s="184" t="str">
        <f t="shared" si="4"/>
        <v>B</v>
      </c>
      <c r="Y15" s="99" t="s">
        <v>23</v>
      </c>
      <c r="Z15" s="100"/>
      <c r="AA15" s="101"/>
      <c r="AB15" s="183">
        <f>IFERROR((((COUNTIF('Elève (6ème1)'!Y15:AA15,"A"))*4)+((COUNTIF('Elève (6ème1)'!Y15:AA15,"B"))*3)+((COUNTIF('Elève (6ème1)'!Y15:AA15,"C"))*2)+((COUNTIF('Elève (6ème1)'!Y15:AA15,"D"))*1))/(COUNTA(Y15:AA15)),"")</f>
        <v>4</v>
      </c>
      <c r="AC15" s="184" t="str">
        <f t="shared" si="5"/>
        <v>A</v>
      </c>
      <c r="AD15" s="99" t="s">
        <v>23</v>
      </c>
      <c r="AE15" s="100"/>
      <c r="AF15" s="101"/>
      <c r="AG15" s="183">
        <f>IFERROR((((COUNTIF('Elève (6ème1)'!AD15:AF15,"A"))*4)+((COUNTIF('Elève (6ème1)'!AD15:AF15,"B"))*3)+((COUNTIF('Elève (6ème1)'!AD15:AF15,"C"))*2)+((COUNTIF('Elève (6ème1)'!AD15:AF15,"D"))*1))/(COUNTA(AD15:AF15)),"")</f>
        <v>4</v>
      </c>
      <c r="AH15" s="184" t="str">
        <f t="shared" si="6"/>
        <v>A</v>
      </c>
      <c r="AI15" s="183">
        <f>IF(COUNT(W15,AB15,AG15)=0,"",SUM(W15,AB15,AG15)/COUNT(W15,AB15,AG15))</f>
        <v>3.6666666666666665</v>
      </c>
      <c r="AJ15" s="211" t="str">
        <f t="shared" si="7"/>
        <v>B</v>
      </c>
      <c r="AK15" s="105" t="s">
        <v>25</v>
      </c>
      <c r="AL15" s="100"/>
      <c r="AM15" s="101"/>
      <c r="AN15" s="183">
        <f>IFERROR((((COUNTIF('Elève (6ème1)'!AK15:AM15,"A"))*4)+((COUNTIF('Elève (6ème1)'!AK15:AM15,"B"))*3)+((COUNTIF('Elève (6ème1)'!AK15:AM15,"C"))*2)+((COUNTIF('Elève (6ème1)'!AK15:AM15,"D"))*1))/(COUNTA(AK15:AM15)),"")</f>
        <v>2</v>
      </c>
      <c r="AO15" s="184" t="str">
        <f t="shared" si="8"/>
        <v>C</v>
      </c>
      <c r="AP15" s="99" t="s">
        <v>23</v>
      </c>
      <c r="AQ15" s="100"/>
      <c r="AR15" s="101" t="s">
        <v>24</v>
      </c>
      <c r="AS15" s="183">
        <f>IFERROR((((COUNTIF('Elève (6ème1)'!AP15:AR15,"A"))*4)+((COUNTIF('Elève (6ème1)'!AP15:AR15,"B"))*3)+((COUNTIF('Elève (6ème1)'!AP15:AR15,"C"))*2)+((COUNTIF('Elève (6ème1)'!AP15:AR15,"D"))*1))/(COUNTA(AP15:AR15)),"")</f>
        <v>3.5</v>
      </c>
      <c r="AT15" s="184" t="str">
        <f t="shared" si="9"/>
        <v>B</v>
      </c>
      <c r="AU15" s="99" t="s">
        <v>23</v>
      </c>
      <c r="AV15" s="100" t="s">
        <v>24</v>
      </c>
      <c r="AW15" s="101"/>
      <c r="AX15" s="183">
        <f>IFERROR((((COUNTIF('Elève (6ème1)'!AU15:AW15,"A"))*4)+((COUNTIF('Elève (6ème1)'!AU15:AW15,"B"))*3)+((COUNTIF('Elève (6ème1)'!AU15:AW15,"C"))*2)+((COUNTIF('Elève (6ème1)'!AU15:AW15,"D"))*1))/(COUNTA(AU15:AW15)),"")</f>
        <v>3.5</v>
      </c>
      <c r="AY15" s="184" t="str">
        <f t="shared" si="10"/>
        <v>B</v>
      </c>
      <c r="AZ15" s="183">
        <f>IF(COUNT(AN15,AS15,AX15)=0,"",SUM(AN15,AS15,AX15)/COUNT(AN15,AS15,AX15))</f>
        <v>3</v>
      </c>
      <c r="BA15" s="211" t="str">
        <f t="shared" si="11"/>
        <v>B</v>
      </c>
      <c r="BB15" s="105" t="s">
        <v>26</v>
      </c>
      <c r="BC15" s="100"/>
      <c r="BD15" s="101"/>
      <c r="BE15" s="183">
        <f>IFERROR((((COUNTIF('Elève (6ème1)'!BB15:BD15,"A"))*4)+((COUNTIF('Elève (6ème1)'!BB15:BD15,"B"))*3)+((COUNTIF('Elève (6ème1)'!BB15:BD15,"C"))*2)+((COUNTIF('Elève (6ème1)'!BB15:BD15,"D"))*1))/(COUNTA(BB15:BD15)),"")</f>
        <v>1</v>
      </c>
      <c r="BF15" s="184" t="str">
        <f t="shared" si="12"/>
        <v>D</v>
      </c>
      <c r="BG15" s="99" t="s">
        <v>23</v>
      </c>
      <c r="BH15" s="100"/>
      <c r="BI15" s="101" t="s">
        <v>24</v>
      </c>
      <c r="BJ15" s="183">
        <f>IFERROR((((COUNTIF('Elève (6ème1)'!BG15:BI15,"A"))*4)+((COUNTIF('Elève (6ème1)'!BG15:BI15,"B"))*3)+((COUNTIF('Elève (6ème1)'!BG15:BI15,"C"))*2)+((COUNTIF('Elève (6ème1)'!BG15:BI15,"D"))*1))/(COUNTA(BG15:BI15)),"")</f>
        <v>3.5</v>
      </c>
      <c r="BK15" s="184" t="str">
        <f t="shared" si="13"/>
        <v>B</v>
      </c>
      <c r="BL15" s="99" t="s">
        <v>23</v>
      </c>
      <c r="BM15" s="100" t="s">
        <v>24</v>
      </c>
      <c r="BN15" s="101"/>
      <c r="BO15" s="183">
        <f>IFERROR((((COUNTIF('Elève (6ème1)'!BL15:BN15,"A"))*4)+((COUNTIF('Elève (6ème1)'!BL15:BN15,"B"))*3)+((COUNTIF('Elève (6ème1)'!BL15:BN15,"C"))*2)+((COUNTIF('Elève (6ème1)'!BL15:BN15,"D"))*1))/(COUNTA(BL15:BN15)),"")</f>
        <v>3.5</v>
      </c>
      <c r="BP15" s="184" t="str">
        <f t="shared" si="14"/>
        <v>B</v>
      </c>
      <c r="BQ15" s="183">
        <f>IF(COUNT(BE15,BJ15,BO15)=0,"",SUM(BE15,BJ15,BO15)/COUNT(BE15,BJ15,BO15))</f>
        <v>2.6666666666666665</v>
      </c>
      <c r="BR15" s="211" t="str">
        <f t="shared" si="15"/>
        <v>C</v>
      </c>
      <c r="BS15" s="105" t="s">
        <v>26</v>
      </c>
      <c r="BT15" s="100"/>
      <c r="BU15" s="101"/>
      <c r="BV15" s="183">
        <f>IFERROR((((COUNTIF('Elève (6ème1)'!BS15:BU15,"A"))*4)+((COUNTIF('Elève (6ème1)'!BS15:BU15,"B"))*3)+((COUNTIF('Elève (6ème1)'!BS15:BU15,"C"))*2)+((COUNTIF('Elève (6ème1)'!BS15:BU15,"D"))*1))/(COUNTA(BS15:BU15)),"")</f>
        <v>1</v>
      </c>
      <c r="BW15" s="184" t="str">
        <f t="shared" si="16"/>
        <v>D</v>
      </c>
      <c r="BX15" s="99" t="s">
        <v>24</v>
      </c>
      <c r="BY15" s="100"/>
      <c r="BZ15" s="101" t="s">
        <v>24</v>
      </c>
      <c r="CA15" s="183">
        <f>IFERROR((((COUNTIF('Elève (6ème1)'!BX15:BZ15,"A"))*4)+((COUNTIF('Elève (6ème1)'!BX15:BZ15,"B"))*3)+((COUNTIF('Elève (6ème1)'!BX15:BZ15,"C"))*2)+((COUNTIF('Elève (6ème1)'!BX15:BZ15,"D"))*1))/(COUNTA(BX15:BZ15)),"")</f>
        <v>3</v>
      </c>
      <c r="CB15" s="184" t="str">
        <f t="shared" si="17"/>
        <v>B</v>
      </c>
      <c r="CC15" s="99" t="s">
        <v>25</v>
      </c>
      <c r="CD15" s="100" t="s">
        <v>25</v>
      </c>
      <c r="CE15" s="101"/>
      <c r="CF15" s="183">
        <f>IFERROR((((COUNTIF('Elève (6ème1)'!CC15:CE15,"A"))*4)+((COUNTIF('Elève (6ème1)'!CC15:CE15,"B"))*3)+((COUNTIF('Elève (6ème1)'!CC15:CE15,"C"))*2)+((COUNTIF('Elève (6ème1)'!CC15:CE15,"D"))*1))/(COUNTA(CC15:CE15)),"")</f>
        <v>2</v>
      </c>
      <c r="CG15" s="184" t="str">
        <f t="shared" si="18"/>
        <v>C</v>
      </c>
      <c r="CH15" s="183">
        <f>IF(COUNT(BV15,CA15,CF15)=0,"",SUM(BV15,CA15,CF15)/COUNT(BV15,CA15,CF15))</f>
        <v>2</v>
      </c>
      <c r="CI15" s="211" t="str">
        <f t="shared" si="19"/>
        <v>C</v>
      </c>
      <c r="CJ15" s="105" t="s">
        <v>26</v>
      </c>
      <c r="CK15" s="100"/>
      <c r="CL15" s="101"/>
      <c r="CM15" s="183">
        <f>IFERROR((((COUNTIF('Elève (6ème1)'!CJ15:CL15,"A"))*4)+((COUNTIF('Elève (6ème1)'!CJ15:CL15,"B"))*3)+((COUNTIF('Elève (6ème1)'!CJ15:CL15,"C"))*2)+((COUNTIF('Elève (6ème1)'!CJ15:CL15,"D"))*1))/(COUNTA(CJ15:CL15)),"")</f>
        <v>1</v>
      </c>
      <c r="CN15" s="184" t="str">
        <f t="shared" si="20"/>
        <v>D</v>
      </c>
      <c r="CO15" s="99" t="s">
        <v>24</v>
      </c>
      <c r="CP15" s="100"/>
      <c r="CQ15" s="101" t="s">
        <v>25</v>
      </c>
      <c r="CR15" s="183">
        <f>IFERROR((((COUNTIF('Elève (6ème1)'!CO15:CQ15,"A"))*4)+((COUNTIF('Elève (6ème1)'!CO15:CQ15,"B"))*3)+((COUNTIF('Elève (6ème1)'!CO15:CQ15,"C"))*2)+((COUNTIF('Elève (6ème1)'!CO15:CQ15,"D"))*1))/(COUNTA(CO15:CQ15)),"")</f>
        <v>2.5</v>
      </c>
      <c r="CS15" s="184" t="str">
        <f t="shared" si="21"/>
        <v>C</v>
      </c>
      <c r="CT15" s="99" t="s">
        <v>25</v>
      </c>
      <c r="CU15" s="100" t="s">
        <v>25</v>
      </c>
      <c r="CV15" s="101"/>
      <c r="CW15" s="183">
        <f>IFERROR((((COUNTIF('Elève (6ème1)'!CT15:CV15,"A"))*4)+((COUNTIF('Elève (6ème1)'!CT15:CV15,"B"))*3)+((COUNTIF('Elève (6ème1)'!CT15:CV15,"C"))*2)+((COUNTIF('Elève (6ème1)'!CT15:CV15,"D"))*1))/(COUNTA(CT15:CV15)),"")</f>
        <v>2</v>
      </c>
      <c r="CX15" s="184" t="str">
        <f t="shared" si="22"/>
        <v>C</v>
      </c>
      <c r="CY15" s="183">
        <f>IF(COUNT(CM15,CR15,CW15)=0,"",SUM(CM15,CR15,CW15)/COUNT(CM15,CR15,CW15))</f>
        <v>1.8333333333333333</v>
      </c>
      <c r="CZ15" s="211" t="str">
        <f t="shared" si="23"/>
        <v>C</v>
      </c>
      <c r="DA15" s="105" t="s">
        <v>25</v>
      </c>
      <c r="DB15" s="100"/>
      <c r="DC15" s="101"/>
      <c r="DD15" s="183">
        <f>IFERROR((((COUNTIF('Elève (6ème1)'!DA15:DC15,"A"))*4)+((COUNTIF('Elève (6ème1)'!DA15:DC15,"B"))*3)+((COUNTIF('Elève (6ème1)'!DA15:DC15,"C"))*2)+((COUNTIF('Elève (6ème1)'!DA15:DC15,"D"))*1))/(COUNTA(DA15:DC15)),"")</f>
        <v>2</v>
      </c>
      <c r="DE15" s="184" t="str">
        <f t="shared" si="24"/>
        <v>C</v>
      </c>
      <c r="DF15" s="99" t="s">
        <v>24</v>
      </c>
      <c r="DG15" s="100"/>
      <c r="DH15" s="101" t="s">
        <v>24</v>
      </c>
      <c r="DI15" s="183">
        <f>IFERROR((((COUNTIF('Elève (6ème1)'!DF15:DH15,"A"))*4)+((COUNTIF('Elève (6ème1)'!DF15:DH15,"B"))*3)+((COUNTIF('Elève (6ème1)'!DF15:DH15,"C"))*2)+((COUNTIF('Elève (6ème1)'!DF15:DH15,"D"))*1))/(COUNTA(DF15:DH15)),"")</f>
        <v>3</v>
      </c>
      <c r="DJ15" s="184" t="str">
        <f t="shared" si="25"/>
        <v>B</v>
      </c>
      <c r="DK15" s="99" t="s">
        <v>25</v>
      </c>
      <c r="DL15" s="100" t="s">
        <v>24</v>
      </c>
      <c r="DM15" s="101"/>
      <c r="DN15" s="183">
        <f>IFERROR((((COUNTIF('Elève (6ème1)'!DK15:DM15,"A"))*4)+((COUNTIF('Elève (6ème1)'!DK15:DM15,"B"))*3)+((COUNTIF('Elève (6ème1)'!DK15:DM15,"C"))*2)+((COUNTIF('Elève (6ème1)'!DK15:DM15,"D"))*1))/(COUNTA(DK15:DM15)),"")</f>
        <v>2.5</v>
      </c>
      <c r="DO15" s="184" t="str">
        <f t="shared" si="26"/>
        <v>C</v>
      </c>
      <c r="DP15" s="183">
        <f>IF(COUNT(DD15,DI15,DN15)=0,"",SUM(DD15,DI15,DN15)/COUNT(DD15,DI15,DN15))</f>
        <v>2.5</v>
      </c>
      <c r="DQ15" s="211" t="str">
        <f t="shared" si="27"/>
        <v>C</v>
      </c>
      <c r="DR15" s="105" t="s">
        <v>24</v>
      </c>
      <c r="DS15" s="100"/>
      <c r="DT15" s="101"/>
      <c r="DU15" s="183">
        <f>IFERROR((((COUNTIF('Elève (6ème1)'!DR15:DT15,"A"))*4)+((COUNTIF('Elève (6ème1)'!DR15:DT15,"B"))*3)+((COUNTIF('Elève (6ème1)'!DR15:DT15,"C"))*2)+((COUNTIF('Elève (6ème1)'!DR15:DT15,"D"))*1))/(COUNTA(DR15:DT15)),"")</f>
        <v>3</v>
      </c>
      <c r="DV15" s="184" t="str">
        <f t="shared" si="28"/>
        <v>B</v>
      </c>
      <c r="DW15" s="99" t="s">
        <v>23</v>
      </c>
      <c r="DX15" s="100"/>
      <c r="DY15" s="101" t="s">
        <v>25</v>
      </c>
      <c r="DZ15" s="183">
        <f>IFERROR((((COUNTIF('Elève (6ème1)'!DW15:DY15,"A"))*4)+((COUNTIF('Elève (6ème1)'!DW15:DY15,"B"))*3)+((COUNTIF('Elève (6ème1)'!DW15:DY15,"C"))*2)+((COUNTIF('Elève (6ème1)'!DW15:DY15,"D"))*1))/(COUNTA(DW15:DY15)),"")</f>
        <v>3</v>
      </c>
      <c r="EA15" s="184" t="str">
        <f t="shared" si="29"/>
        <v>B</v>
      </c>
      <c r="EB15" s="99" t="s">
        <v>24</v>
      </c>
      <c r="EC15" s="100" t="s">
        <v>24</v>
      </c>
      <c r="ED15" s="101"/>
      <c r="EE15" s="183">
        <f>IFERROR((((COUNTIF('Elève (6ème1)'!EB15:ED15,"A"))*4)+((COUNTIF('Elève (6ème1)'!EB15:ED15,"B"))*3)+((COUNTIF('Elève (6ème1)'!EB15:ED15,"C"))*2)+((COUNTIF('Elève (6ème1)'!EB15:ED15,"D"))*1))/(COUNTA(EB15:ED15)),"")</f>
        <v>3</v>
      </c>
      <c r="EF15" s="184" t="str">
        <f t="shared" si="30"/>
        <v>B</v>
      </c>
      <c r="EG15" s="183">
        <f>IF(COUNT(DU15,DZ15,EE15)=0,"",SUM(DU15,DZ15,EE15)/COUNT(DU15,DZ15,EE15))</f>
        <v>3</v>
      </c>
      <c r="EH15" s="211" t="str">
        <f t="shared" si="31"/>
        <v>B</v>
      </c>
      <c r="EI15" s="105" t="s">
        <v>24</v>
      </c>
      <c r="EJ15" s="100"/>
      <c r="EK15" s="101"/>
      <c r="EL15" s="183">
        <f>IFERROR((((COUNTIF('Elève (6ème1)'!EI15:EK15,"A"))*4)+((COUNTIF('Elève (6ème1)'!EI15:EK15,"B"))*3)+((COUNTIF('Elève (6ème1)'!EI15:EK15,"C"))*2)+((COUNTIF('Elève (6ème1)'!EI15:EK15,"D"))*1))/(COUNTA(EI15:EK15)),"")</f>
        <v>3</v>
      </c>
      <c r="EM15" s="184" t="str">
        <f t="shared" si="32"/>
        <v>B</v>
      </c>
      <c r="EN15" s="99" t="s">
        <v>23</v>
      </c>
      <c r="EO15" s="100"/>
      <c r="EP15" s="101" t="s">
        <v>24</v>
      </c>
      <c r="EQ15" s="183">
        <f>IFERROR((((COUNTIF('Elève (6ème1)'!EN15:EP15,"A"))*4)+((COUNTIF('Elève (6ème1)'!EN15:EP15,"B"))*3)+((COUNTIF('Elève (6ème1)'!EN15:EP15,"C"))*2)+((COUNTIF('Elève (6ème1)'!EN15:EP15,"D"))*1))/(COUNTA(EN15:EP15)),"")</f>
        <v>3.5</v>
      </c>
      <c r="ER15" s="184" t="str">
        <f t="shared" si="33"/>
        <v>B</v>
      </c>
      <c r="ES15" s="99" t="s">
        <v>24</v>
      </c>
      <c r="ET15" s="100" t="s">
        <v>24</v>
      </c>
      <c r="EU15" s="101"/>
      <c r="EV15" s="183">
        <f>IFERROR((((COUNTIF('Elève (6ème1)'!ES15:EU15,"A"))*4)+((COUNTIF('Elève (6ème1)'!ES15:EU15,"B"))*3)+((COUNTIF('Elève (6ème1)'!ES15:EU15,"C"))*2)+((COUNTIF('Elève (6ème1)'!ES15:EU15,"D"))*1))/(COUNTA(ES15:EU15)),"")</f>
        <v>3</v>
      </c>
      <c r="EW15" s="184" t="str">
        <f t="shared" si="34"/>
        <v>B</v>
      </c>
      <c r="EX15" s="183">
        <f>IF(COUNT(EL15,EQ15,EV15)=0,"",SUM(EL15,EQ15,EV15)/COUNT(EL15,EQ15,EV15))</f>
        <v>3.1666666666666665</v>
      </c>
      <c r="EY15" s="211" t="str">
        <f t="shared" si="35"/>
        <v>B</v>
      </c>
      <c r="EZ15" s="105" t="s">
        <v>25</v>
      </c>
      <c r="FA15" s="100"/>
      <c r="FB15" s="101"/>
      <c r="FC15" s="183">
        <f>IFERROR((((COUNTIF('Elève (6ème1)'!EZ15:FB15,"A"))*4)+((COUNTIF('Elève (6ème1)'!EZ15:FB15,"B"))*3)+((COUNTIF('Elève (6ème1)'!EZ15:FB15,"C"))*2)+((COUNTIF('Elève (6ème1)'!EZ15:FB15,"D"))*1))/(COUNTA(EZ15:FB15)),"")</f>
        <v>2</v>
      </c>
      <c r="FD15" s="184" t="str">
        <f t="shared" si="36"/>
        <v>C</v>
      </c>
      <c r="FE15" s="99" t="s">
        <v>23</v>
      </c>
      <c r="FF15" s="100"/>
      <c r="FG15" s="101" t="s">
        <v>24</v>
      </c>
      <c r="FH15" s="183">
        <f>IFERROR((((COUNTIF('Elève (6ème1)'!FE15:FG15,"A"))*4)+((COUNTIF('Elève (6ème1)'!FE15:FG15,"B"))*3)+((COUNTIF('Elève (6ème1)'!FE15:FG15,"C"))*2)+((COUNTIF('Elève (6ème1)'!FE15:FG15,"D"))*1))/(COUNTA(FE15:FG15)),"")</f>
        <v>3.5</v>
      </c>
      <c r="FI15" s="184" t="str">
        <f t="shared" si="37"/>
        <v>B</v>
      </c>
      <c r="FJ15" s="99" t="s">
        <v>23</v>
      </c>
      <c r="FK15" s="100" t="s">
        <v>24</v>
      </c>
      <c r="FL15" s="101"/>
      <c r="FM15" s="183">
        <f>IFERROR((((COUNTIF('Elève (6ème1)'!FJ15:FL15,"A"))*4)+((COUNTIF('Elève (6ème1)'!FJ15:FL15,"B"))*3)+((COUNTIF('Elève (6ème1)'!FJ15:FL15,"C"))*2)+((COUNTIF('Elève (6ème1)'!FJ15:FL15,"D"))*1))/(COUNTA(FJ15:FL15)),"")</f>
        <v>3.5</v>
      </c>
      <c r="FN15" s="184" t="str">
        <f t="shared" si="38"/>
        <v>B</v>
      </c>
      <c r="FO15" s="183">
        <f>IF(COUNT(FC15,FH15,FM15)=0,"",SUM(FC15,FH15,FM15)/COUNT(FC15,FH15,FM15))</f>
        <v>3</v>
      </c>
      <c r="FP15" s="211" t="str">
        <f t="shared" si="39"/>
        <v>B</v>
      </c>
      <c r="FQ15" s="105" t="s">
        <v>24</v>
      </c>
      <c r="FR15" s="100"/>
      <c r="FS15" s="101"/>
      <c r="FT15" s="183">
        <f>IFERROR((((COUNTIF('Elève (6ème1)'!FQ15:FS15,"A"))*4)+((COUNTIF('Elève (6ème1)'!FQ15:FS15,"B"))*3)+((COUNTIF('Elève (6ème1)'!FQ15:FS15,"C"))*2)+((COUNTIF('Elève (6ème1)'!FQ15:FS15,"D"))*1))/(COUNTA(FQ15:FS15)),"")</f>
        <v>3</v>
      </c>
      <c r="FU15" s="184" t="str">
        <f t="shared" si="40"/>
        <v>B</v>
      </c>
      <c r="FV15" s="99" t="s">
        <v>25</v>
      </c>
      <c r="FW15" s="100"/>
      <c r="FX15" s="101" t="s">
        <v>24</v>
      </c>
      <c r="FY15" s="183">
        <f>IFERROR((((COUNTIF('Elève (6ème1)'!FV15:FX15,"A"))*4)+((COUNTIF('Elève (6ème1)'!FV15:FX15,"B"))*3)+((COUNTIF('Elève (6ème1)'!FV15:FX15,"C"))*2)+((COUNTIF('Elève (6ème1)'!FV15:FX15,"D"))*1))/(COUNTA(FV15:FX15)),"")</f>
        <v>2.5</v>
      </c>
      <c r="FZ15" s="184" t="str">
        <f t="shared" si="41"/>
        <v>C</v>
      </c>
      <c r="GA15" s="99" t="s">
        <v>23</v>
      </c>
      <c r="GB15" s="100" t="s">
        <v>24</v>
      </c>
      <c r="GC15" s="101"/>
      <c r="GD15" s="183">
        <f>IFERROR((((COUNTIF('Elève (6ème1)'!GA15:GC15,"A"))*4)+((COUNTIF('Elève (6ème1)'!GA15:GC15,"B"))*3)+((COUNTIF('Elève (6ème1)'!GA15:GC15,"C"))*2)+((COUNTIF('Elève (6ème1)'!GA15:GC15,"D"))*1))/(COUNTA(GA15:GC15)),"")</f>
        <v>3.5</v>
      </c>
      <c r="GE15" s="184" t="str">
        <f t="shared" si="42"/>
        <v>B</v>
      </c>
      <c r="GF15" s="183">
        <f>IF(COUNT(FT15,FY15,GD15)=0,"",SUM(FT15,FY15,GD15)/COUNT(FT15,FY15,GD15))</f>
        <v>3</v>
      </c>
      <c r="GG15" s="211" t="str">
        <f t="shared" si="43"/>
        <v>B</v>
      </c>
      <c r="GH15" s="105" t="s">
        <v>25</v>
      </c>
      <c r="GI15" s="100"/>
      <c r="GJ15" s="101"/>
      <c r="GK15" s="183">
        <f>IFERROR((((COUNTIF('Elève (6ème1)'!GH15:GJ15,"A"))*4)+((COUNTIF('Elève (6ème1)'!GH15:GJ15,"B"))*3)+((COUNTIF('Elève (6ème1)'!GH15:GJ15,"C"))*2)+((COUNTIF('Elève (6ème1)'!GH15:GJ15,"D"))*1))/(COUNTA(GH15:GJ15)),"")</f>
        <v>2</v>
      </c>
      <c r="GL15" s="184" t="str">
        <f t="shared" si="44"/>
        <v>C</v>
      </c>
      <c r="GM15" s="99" t="s">
        <v>23</v>
      </c>
      <c r="GN15" s="100"/>
      <c r="GO15" s="101"/>
      <c r="GP15" s="183">
        <f>IFERROR((((COUNTIF('Elève (6ème1)'!GM15:GO15,"A"))*4)+((COUNTIF('Elève (6ème1)'!GM15:GO15,"B"))*3)+((COUNTIF('Elève (6ème1)'!GM15:GO15,"C"))*2)+((COUNTIF('Elève (6ème1)'!GM15:GO15,"D"))*1))/(COUNTA(GM15:GO15)),"")</f>
        <v>4</v>
      </c>
      <c r="GQ15" s="184" t="str">
        <f t="shared" si="45"/>
        <v>A</v>
      </c>
      <c r="GR15" s="99" t="s">
        <v>23</v>
      </c>
      <c r="GS15" s="100"/>
      <c r="GT15" s="101"/>
      <c r="GU15" s="183">
        <f>IFERROR((((COUNTIF('Elève (6ème1)'!GR15:GT15,"A"))*4)+((COUNTIF('Elève (6ème1)'!GR15:GT15,"B"))*3)+((COUNTIF('Elève (6ème1)'!GR15:GT15,"C"))*2)+((COUNTIF('Elève (6ème1)'!GR15:GT15,"D"))*1))/(COUNTA(GR15:GT15)),"")</f>
        <v>4</v>
      </c>
      <c r="GV15" s="184" t="str">
        <f t="shared" si="46"/>
        <v>A</v>
      </c>
      <c r="GW15" s="183">
        <f>IF(COUNT(GK15,GP15,GU15)=0,"",SUM(GK15,GP15,GU15)/COUNT(GK15,GP15,GU15))</f>
        <v>3.3333333333333335</v>
      </c>
      <c r="GX15" s="211" t="str">
        <f t="shared" si="47"/>
        <v>B</v>
      </c>
      <c r="GY15" s="105" t="s">
        <v>25</v>
      </c>
      <c r="GZ15" s="100"/>
      <c r="HA15" s="101"/>
      <c r="HB15" s="183">
        <f>IFERROR((((COUNTIF('Elève (6ème1)'!GY15:HA15,"A"))*4)+((COUNTIF('Elève (6ème1)'!GY15:HA15,"B"))*3)+((COUNTIF('Elève (6ème1)'!GY15:HA15,"C"))*2)+((COUNTIF('Elève (6ème1)'!GY15:HA15,"D"))*1))/(COUNTA(GY15:HA15)),"")</f>
        <v>2</v>
      </c>
      <c r="HC15" s="184" t="str">
        <f t="shared" si="48"/>
        <v>C</v>
      </c>
      <c r="HD15" s="99" t="s">
        <v>24</v>
      </c>
      <c r="HE15" s="100"/>
      <c r="HF15" s="101"/>
      <c r="HG15" s="183">
        <f>IFERROR((((COUNTIF('Elève (6ème1)'!HD15:HF15,"A"))*4)+((COUNTIF('Elève (6ème1)'!HD15:HF15,"B"))*3)+((COUNTIF('Elève (6ème1)'!HD15:HF15,"C"))*2)+((COUNTIF('Elève (6ème1)'!HD15:HF15,"D"))*1))/(COUNTA(HD15:HF15)),"")</f>
        <v>3</v>
      </c>
      <c r="HH15" s="184" t="str">
        <f t="shared" si="49"/>
        <v>B</v>
      </c>
      <c r="HI15" s="99"/>
      <c r="HJ15" s="100" t="s">
        <v>24</v>
      </c>
      <c r="HK15" s="101"/>
      <c r="HL15" s="183">
        <f>IFERROR((((COUNTIF('Elève (6ème1)'!HI15:HK15,"A"))*4)+((COUNTIF('Elève (6ème1)'!HI15:HK15,"B"))*3)+((COUNTIF('Elève (6ème1)'!HI15:HK15,"C"))*2)+((COUNTIF('Elève (6ème1)'!HI15:HK15,"D"))*1))/(COUNTA(HI15:HK15)),"")</f>
        <v>3</v>
      </c>
      <c r="HM15" s="184" t="str">
        <f t="shared" si="50"/>
        <v>B</v>
      </c>
      <c r="HN15" s="183">
        <f>IF(COUNT(HB15,HG15,HL15)=0,"",SUM(HB15,HG15,HL15)/COUNT(HB15,HG15,HL15))</f>
        <v>2.6666666666666665</v>
      </c>
      <c r="HO15" s="211" t="str">
        <f t="shared" si="51"/>
        <v>C</v>
      </c>
      <c r="HP15" s="105" t="s">
        <v>24</v>
      </c>
      <c r="HQ15" s="100"/>
      <c r="HR15" s="101"/>
      <c r="HS15" s="183">
        <f>IFERROR((((COUNTIF('Elève (6ème1)'!HP15:HR15,"A"))*4)+((COUNTIF('Elève (6ème1)'!HP15:HR15,"B"))*3)+((COUNTIF('Elève (6ème1)'!HP15:HR15,"C"))*2)+((COUNTIF('Elève (6ème1)'!HP15:HR15,"D"))*1))/(COUNTA(HP15:HR15)),"")</f>
        <v>3</v>
      </c>
      <c r="HT15" s="184" t="str">
        <f t="shared" si="52"/>
        <v>B</v>
      </c>
      <c r="HU15" s="99" t="s">
        <v>23</v>
      </c>
      <c r="HV15" s="100"/>
      <c r="HW15" s="101" t="s">
        <v>24</v>
      </c>
      <c r="HX15" s="183">
        <f>IFERROR((((COUNTIF('Elève (6ème1)'!HU15:HW15,"A"))*4)+((COUNTIF('Elève (6ème1)'!HU15:HW15,"B"))*3)+((COUNTIF('Elève (6ème1)'!HU15:HW15,"C"))*2)+((COUNTIF('Elève (6ème1)'!HU15:HW15,"D"))*1))/(COUNTA(HU15:HW15)),"")</f>
        <v>3.5</v>
      </c>
      <c r="HY15" s="184" t="str">
        <f t="shared" si="53"/>
        <v>B</v>
      </c>
      <c r="HZ15" s="99" t="s">
        <v>23</v>
      </c>
      <c r="IA15" s="100" t="s">
        <v>24</v>
      </c>
      <c r="IB15" s="101"/>
      <c r="IC15" s="183">
        <f>IFERROR((((COUNTIF('Elève (6ème1)'!HZ15:IB15,"A"))*4)+((COUNTIF('Elève (6ème1)'!HZ15:IB15,"B"))*3)+((COUNTIF('Elève (6ème1)'!HZ15:IB15,"C"))*2)+((COUNTIF('Elève (6ème1)'!HZ15:IB15,"D"))*1))/(COUNTA(HZ15:IB15)),"")</f>
        <v>3.5</v>
      </c>
      <c r="ID15" s="184" t="str">
        <f t="shared" si="54"/>
        <v>B</v>
      </c>
      <c r="IE15" s="183">
        <f>IF(COUNT(HS15,HX15,IC15)=0,"",SUM(HS15,HX15,IC15)/COUNT(HS15,HX15,IC15))</f>
        <v>3.3333333333333335</v>
      </c>
      <c r="IF15" s="211" t="str">
        <f t="shared" si="55"/>
        <v>B</v>
      </c>
      <c r="IG15" s="105" t="s">
        <v>24</v>
      </c>
      <c r="IH15" s="100"/>
      <c r="II15" s="101"/>
      <c r="IJ15" s="183">
        <f>IFERROR((((COUNTIF('Elève (6ème1)'!IG15:II15,"A"))*4)+((COUNTIF('Elève (6ème1)'!IG15:II15,"B"))*3)+((COUNTIF('Elève (6ème1)'!IG15:II15,"C"))*2)+((COUNTIF('Elève (6ème1)'!IG15:II15,"D"))*1))/(COUNTA(IG15:II15)),"")</f>
        <v>3</v>
      </c>
      <c r="IK15" s="184" t="str">
        <f t="shared" si="56"/>
        <v>B</v>
      </c>
      <c r="IL15" s="99" t="s">
        <v>23</v>
      </c>
      <c r="IM15" s="100"/>
      <c r="IN15" s="101"/>
      <c r="IO15" s="183">
        <f>IFERROR((((COUNTIF('Elève (6ème1)'!IL15:IN15,"A"))*4)+((COUNTIF('Elève (6ème1)'!IL15:IN15,"B"))*3)+((COUNTIF('Elève (6ème1)'!IL15:IN15,"C"))*2)+((COUNTIF('Elève (6ème1)'!IL15:IN15,"D"))*1))/(COUNTA(IL15:IN15)),"")</f>
        <v>4</v>
      </c>
      <c r="IP15" s="184" t="str">
        <f t="shared" si="57"/>
        <v>A</v>
      </c>
      <c r="IQ15" s="99" t="s">
        <v>23</v>
      </c>
      <c r="IR15" s="100"/>
      <c r="IS15" s="101"/>
      <c r="IT15" s="183">
        <f>IFERROR((((COUNTIF('Elève (6ème1)'!IQ15:IS15,"A"))*4)+((COUNTIF('Elève (6ème1)'!IQ15:IS15,"B"))*3)+((COUNTIF('Elève (6ème1)'!IQ15:IS15,"C"))*2)+((COUNTIF('Elève (6ème1)'!IQ15:IS15,"D"))*1))/(COUNTA(IQ15:IS15)),"")</f>
        <v>4</v>
      </c>
      <c r="IU15" s="184" t="str">
        <f t="shared" si="58"/>
        <v>A</v>
      </c>
      <c r="IV15" s="183">
        <f>IF(COUNT(IJ15,IO15,IT15)=0,"",SUM(IJ15,IO15,IT15)/COUNT(IJ15,IO15,IT15))</f>
        <v>3.6666666666666665</v>
      </c>
      <c r="IW15" s="211" t="str">
        <f t="shared" si="59"/>
        <v>B</v>
      </c>
      <c r="IX15" s="105" t="s">
        <v>25</v>
      </c>
      <c r="IY15" s="100"/>
      <c r="IZ15" s="101"/>
      <c r="JA15" s="183">
        <f>IFERROR((((COUNTIF('Elève (6ème1)'!IX15:IZ15,"A"))*4)+((COUNTIF('Elève (6ème1)'!IX15:IZ15,"B"))*3)+((COUNTIF('Elève (6ème1)'!IX15:IZ15,"C"))*2)+((COUNTIF('Elève (6ème1)'!IX15:IZ15,"D"))*1))/(COUNTA(IX15:IZ15)),"")</f>
        <v>2</v>
      </c>
      <c r="JB15" s="184" t="str">
        <f t="shared" si="60"/>
        <v>C</v>
      </c>
      <c r="JC15" s="99" t="s">
        <v>23</v>
      </c>
      <c r="JD15" s="100"/>
      <c r="JE15" s="101"/>
      <c r="JF15" s="183">
        <f>IFERROR((((COUNTIF('Elève (6ème1)'!JC15:JE15,"A"))*4)+((COUNTIF('Elève (6ème1)'!JC15:JE15,"B"))*3)+((COUNTIF('Elève (6ème1)'!JC15:JE15,"C"))*2)+((COUNTIF('Elève (6ème1)'!JC15:JE15,"D"))*1))/(COUNTA(JC15:JE15)),"")</f>
        <v>4</v>
      </c>
      <c r="JG15" s="184" t="str">
        <f t="shared" si="61"/>
        <v>A</v>
      </c>
      <c r="JH15" s="99" t="s">
        <v>24</v>
      </c>
      <c r="JI15" s="100" t="s">
        <v>24</v>
      </c>
      <c r="JJ15" s="101"/>
      <c r="JK15" s="183">
        <f>IFERROR((((COUNTIF('Elève (6ème1)'!JH15:JJ15,"A"))*4)+((COUNTIF('Elève (6ème1)'!JH15:JJ15,"B"))*3)+((COUNTIF('Elève (6ème1)'!JH15:JJ15,"C"))*2)+((COUNTIF('Elève (6ème1)'!JH15:JJ15,"D"))*1))/(COUNTA(JH15:JJ15)),"")</f>
        <v>3</v>
      </c>
      <c r="JL15" s="184" t="str">
        <f t="shared" si="62"/>
        <v>B</v>
      </c>
      <c r="JM15" s="183">
        <f>IF(COUNT(JA15,JF15,JK15)=0,"",SUM(JA15,JF15,JK15)/COUNT(JA15,JF15,JK15))</f>
        <v>3</v>
      </c>
      <c r="JN15" s="211" t="str">
        <f t="shared" si="63"/>
        <v>B</v>
      </c>
      <c r="JO15" s="105" t="s">
        <v>25</v>
      </c>
      <c r="JP15" s="100"/>
      <c r="JQ15" s="101"/>
      <c r="JR15" s="183">
        <f>IFERROR((((COUNTIF('Elève (6ème1)'!JO15:JQ15,"A"))*4)+((COUNTIF('Elève (6ème1)'!JO15:JQ15,"B"))*3)+((COUNTIF('Elève (6ème1)'!JO15:JQ15,"C"))*2)+((COUNTIF('Elève (6ème1)'!JO15:JQ15,"D"))*1))/(COUNTA(JO15:JQ15)),"")</f>
        <v>2</v>
      </c>
      <c r="JS15" s="184" t="str">
        <f t="shared" si="64"/>
        <v>C</v>
      </c>
      <c r="JT15" s="99" t="s">
        <v>24</v>
      </c>
      <c r="JU15" s="100"/>
      <c r="JV15" s="101" t="s">
        <v>25</v>
      </c>
      <c r="JW15" s="183">
        <f>IFERROR((((COUNTIF('Elève (6ème1)'!JT15:JV15,"A"))*4)+((COUNTIF('Elève (6ème1)'!JT15:JV15,"B"))*3)+((COUNTIF('Elève (6ème1)'!JT15:JV15,"C"))*2)+((COUNTIF('Elève (6ème1)'!JT15:JV15,"D"))*1))/(COUNTA(JT15:JV15)),"")</f>
        <v>2.5</v>
      </c>
      <c r="JX15" s="184" t="str">
        <f t="shared" si="65"/>
        <v>C</v>
      </c>
      <c r="JY15" s="99" t="s">
        <v>25</v>
      </c>
      <c r="JZ15" s="100" t="s">
        <v>24</v>
      </c>
      <c r="KA15" s="101"/>
      <c r="KB15" s="183">
        <f>IFERROR((((COUNTIF('Elève (6ème1)'!JY15:KA15,"A"))*4)+((COUNTIF('Elève (6ème1)'!JY15:KA15,"B"))*3)+((COUNTIF('Elève (6ème1)'!JY15:KA15,"C"))*2)+((COUNTIF('Elève (6ème1)'!JY15:KA15,"D"))*1))/(COUNTA(JY15:KA15)),"")</f>
        <v>2.5</v>
      </c>
      <c r="KC15" s="184" t="str">
        <f t="shared" si="66"/>
        <v>C</v>
      </c>
      <c r="KD15" s="183">
        <f>IF(COUNT(JR15,JW15,KB15)=0,"",SUM(JR15,JW15,KB15)/COUNT(JR15,JW15,KB15))</f>
        <v>2.3333333333333335</v>
      </c>
      <c r="KE15" s="211" t="str">
        <f t="shared" si="67"/>
        <v>C</v>
      </c>
      <c r="KF15" s="105" t="s">
        <v>26</v>
      </c>
      <c r="KG15" s="100"/>
      <c r="KH15" s="101"/>
      <c r="KI15" s="183">
        <f>IFERROR((((COUNTIF('Elève (6ème1)'!KF15:KH15,"A"))*4)+((COUNTIF('Elève (6ème1)'!KF15:KH15,"B"))*3)+((COUNTIF('Elève (6ème1)'!KF15:KH15,"C"))*2)+((COUNTIF('Elève (6ème1)'!KF15:KH15,"D"))*1))/(COUNTA(KF15:KH15)),"")</f>
        <v>1</v>
      </c>
      <c r="KJ15" s="184" t="str">
        <f t="shared" si="68"/>
        <v>D</v>
      </c>
      <c r="KK15" s="99" t="s">
        <v>23</v>
      </c>
      <c r="KL15" s="100"/>
      <c r="KM15" s="101" t="s">
        <v>25</v>
      </c>
      <c r="KN15" s="183">
        <f>IFERROR((((COUNTIF('Elève (6ème1)'!KK15:KM15,"A"))*4)+((COUNTIF('Elève (6ème1)'!KK15:KM15,"B"))*3)+((COUNTIF('Elève (6ème1)'!KK15:KM15,"C"))*2)+((COUNTIF('Elève (6ème1)'!KK15:KM15,"D"))*1))/(COUNTA(KK15:KM15)),"")</f>
        <v>3</v>
      </c>
      <c r="KO15" s="184" t="str">
        <f t="shared" si="69"/>
        <v>B</v>
      </c>
      <c r="KP15" s="99" t="s">
        <v>23</v>
      </c>
      <c r="KQ15" s="100" t="s">
        <v>24</v>
      </c>
      <c r="KR15" s="101"/>
      <c r="KS15" s="183">
        <f>IFERROR((((COUNTIF('Elève (6ème1)'!KP15:KR15,"A"))*4)+((COUNTIF('Elève (6ème1)'!KP15:KR15,"B"))*3)+((COUNTIF('Elève (6ème1)'!KP15:KR15,"C"))*2)+((COUNTIF('Elève (6ème1)'!KP15:KR15,"D"))*1))/(COUNTA(KP15:KR15)),"")</f>
        <v>3.5</v>
      </c>
      <c r="KT15" s="184" t="str">
        <f t="shared" si="70"/>
        <v>B</v>
      </c>
      <c r="KU15" s="183">
        <f>IF(COUNT(KI15,KN15,KS15)=0,"",SUM(KI15,KN15,KS15)/COUNT(KI15,KN15,KS15))</f>
        <v>2.5</v>
      </c>
      <c r="KV15" s="211" t="str">
        <f t="shared" si="71"/>
        <v>C</v>
      </c>
      <c r="KW15" s="105" t="s">
        <v>23</v>
      </c>
      <c r="KX15" s="100"/>
      <c r="KY15" s="101"/>
      <c r="KZ15" s="183">
        <f>IFERROR((((COUNTIF('Elève (6ème1)'!KW15:KY15,"A"))*4)+((COUNTIF('Elève (6ème1)'!KW15:KY15,"B"))*3)+((COUNTIF('Elève (6ème1)'!KW15:KY15,"C"))*2)+((COUNTIF('Elève (6ème1)'!KW15:KY15,"D"))*1))/(COUNTA(KW15:KY15)),"")</f>
        <v>4</v>
      </c>
      <c r="LA15" s="184" t="str">
        <f t="shared" si="72"/>
        <v>A</v>
      </c>
      <c r="LB15" s="99" t="s">
        <v>23</v>
      </c>
      <c r="LC15" s="100"/>
      <c r="LD15" s="101" t="s">
        <v>24</v>
      </c>
      <c r="LE15" s="183">
        <f>IFERROR((((COUNTIF('Elève (6ème1)'!LB15:LD15,"A"))*4)+((COUNTIF('Elève (6ème1)'!LB15:LD15,"B"))*3)+((COUNTIF('Elève (6ème1)'!LB15:LD15,"C"))*2)+((COUNTIF('Elève (6ème1)'!LB15:LD15,"D"))*1))/(COUNTA(LB15:LD15)),"")</f>
        <v>3.5</v>
      </c>
      <c r="LF15" s="184" t="str">
        <f t="shared" si="73"/>
        <v>B</v>
      </c>
      <c r="LG15" s="99" t="s">
        <v>23</v>
      </c>
      <c r="LH15" s="100" t="s">
        <v>24</v>
      </c>
      <c r="LI15" s="101"/>
      <c r="LJ15" s="183">
        <f>IFERROR((((COUNTIF('Elève (6ème1)'!LG15:LI15,"A"))*4)+((COUNTIF('Elève (6ème1)'!LG15:LI15,"B"))*3)+((COUNTIF('Elève (6ème1)'!LG15:LI15,"C"))*2)+((COUNTIF('Elève (6ème1)'!LG15:LI15,"D"))*1))/(COUNTA(LG15:LI15)),"")</f>
        <v>3.5</v>
      </c>
      <c r="LK15" s="184" t="str">
        <f t="shared" si="74"/>
        <v>B</v>
      </c>
      <c r="LL15" s="183">
        <f>IF(COUNT(KZ15,LE15,LJ15)=0,"",SUM(KZ15,LE15,LJ15)/COUNT(KZ15,LE15,LJ15))</f>
        <v>3.6666666666666665</v>
      </c>
      <c r="LM15" s="211" t="str">
        <f t="shared" si="75"/>
        <v>B</v>
      </c>
      <c r="LN15" s="105" t="s">
        <v>25</v>
      </c>
      <c r="LO15" s="100"/>
      <c r="LP15" s="101"/>
      <c r="LQ15" s="183">
        <f>IFERROR((((COUNTIF('Elève (6ème1)'!LN15:LP15,"A"))*4)+((COUNTIF('Elève (6ème1)'!LN15:LP15,"B"))*3)+((COUNTIF('Elève (6ème1)'!LN15:LP15,"C"))*2)+((COUNTIF('Elève (6ème1)'!LN15:LP15,"D"))*1))/(COUNTA(LN15:LP15)),"")</f>
        <v>2</v>
      </c>
      <c r="LR15" s="184" t="str">
        <f t="shared" si="76"/>
        <v>C</v>
      </c>
      <c r="LS15" s="99" t="s">
        <v>24</v>
      </c>
      <c r="LT15" s="100"/>
      <c r="LU15" s="101"/>
      <c r="LV15" s="183">
        <f>IFERROR((((COUNTIF('Elève (6ème1)'!LS15:LU15,"A"))*4)+((COUNTIF('Elève (6ème1)'!LS15:LU15,"B"))*3)+((COUNTIF('Elève (6ème1)'!LS15:LU15,"C"))*2)+((COUNTIF('Elève (6ème1)'!LS15:LU15,"D"))*1))/(COUNTA(LS15:LU15)),"")</f>
        <v>3</v>
      </c>
      <c r="LW15" s="184" t="str">
        <f t="shared" si="77"/>
        <v>B</v>
      </c>
      <c r="LX15" s="99" t="s">
        <v>23</v>
      </c>
      <c r="LY15" s="100" t="s">
        <v>24</v>
      </c>
      <c r="LZ15" s="101"/>
      <c r="MA15" s="183">
        <f>IFERROR((((COUNTIF('Elève (6ème1)'!LX15:LZ15,"A"))*4)+((COUNTIF('Elève (6ème1)'!LX15:LZ15,"B"))*3)+((COUNTIF('Elève (6ème1)'!LX15:LZ15,"C"))*2)+((COUNTIF('Elève (6ème1)'!LX15:LZ15,"D"))*1))/(COUNTA(LX15:LZ15)),"")</f>
        <v>3.5</v>
      </c>
      <c r="MB15" s="184" t="str">
        <f t="shared" si="78"/>
        <v>B</v>
      </c>
      <c r="MC15" s="183">
        <f>IF(COUNT(LQ15,LV15,MA15)=0,"",SUM(LQ15,LV15,MA15)/COUNT(LQ15,LV15,MA15))</f>
        <v>2.8333333333333335</v>
      </c>
      <c r="MD15" s="211" t="str">
        <f t="shared" si="79"/>
        <v>B</v>
      </c>
      <c r="ME15" s="105" t="s">
        <v>24</v>
      </c>
      <c r="MF15" s="100"/>
      <c r="MG15" s="101"/>
      <c r="MH15" s="183">
        <f>IFERROR((((COUNTIF('Elève (6ème1)'!ME15:MG15,"A"))*4)+((COUNTIF('Elève (6ème1)'!ME15:MG15,"B"))*3)+((COUNTIF('Elève (6ème1)'!ME15:MG15,"C"))*2)+((COUNTIF('Elève (6ème1)'!ME15:MG15,"D"))*1))/(COUNTA(ME15:MG15)),"")</f>
        <v>3</v>
      </c>
      <c r="MI15" s="184" t="str">
        <f t="shared" si="80"/>
        <v>B</v>
      </c>
      <c r="MJ15" s="99" t="s">
        <v>23</v>
      </c>
      <c r="MK15" s="100"/>
      <c r="ML15" s="101" t="s">
        <v>24</v>
      </c>
      <c r="MM15" s="183">
        <f>IFERROR((((COUNTIF('Elève (6ème1)'!MJ15:ML15,"A"))*4)+((COUNTIF('Elève (6ème1)'!MJ15:ML15,"B"))*3)+((COUNTIF('Elève (6ème1)'!MJ15:ML15,"C"))*2)+((COUNTIF('Elève (6ème1)'!MJ15:ML15,"D"))*1))/(COUNTA(MJ15:ML15)),"")</f>
        <v>3.5</v>
      </c>
      <c r="MN15" s="184" t="str">
        <f t="shared" si="81"/>
        <v>B</v>
      </c>
      <c r="MO15" s="99" t="s">
        <v>23</v>
      </c>
      <c r="MP15" s="100" t="s">
        <v>24</v>
      </c>
      <c r="MQ15" s="101"/>
      <c r="MR15" s="183">
        <f>IFERROR((((COUNTIF('Elève (6ème1)'!MO15:MQ15,"A"))*4)+((COUNTIF('Elève (6ème1)'!MO15:MQ15,"B"))*3)+((COUNTIF('Elève (6ème1)'!MO15:MQ15,"C"))*2)+((COUNTIF('Elève (6ème1)'!MO15:MQ15,"D"))*1))/(COUNTA(MO15:MQ15)),"")</f>
        <v>3.5</v>
      </c>
      <c r="MS15" s="184" t="str">
        <f t="shared" si="82"/>
        <v>B</v>
      </c>
      <c r="MT15" s="183">
        <f>IF(COUNT(MH15,MM15,MR15)=0,"",SUM(MH15,MM15,MR15)/COUNT(MH15,MM15,MR15))</f>
        <v>3.3333333333333335</v>
      </c>
      <c r="MU15" s="211" t="str">
        <f t="shared" si="83"/>
        <v>B</v>
      </c>
      <c r="MV15" s="105" t="s">
        <v>25</v>
      </c>
      <c r="MW15" s="100"/>
      <c r="MX15" s="101"/>
      <c r="MY15" s="183">
        <f>IFERROR((((COUNTIF('Elève (6ème1)'!MV15:MX15,"A"))*4)+((COUNTIF('Elève (6ème1)'!MV15:MX15,"B"))*3)+((COUNTIF('Elève (6ème1)'!MV15:MX15,"C"))*2)+((COUNTIF('Elève (6ème1)'!MV15:MX15,"D"))*1))/(COUNTA(MV15:MX15)),"")</f>
        <v>2</v>
      </c>
      <c r="MZ15" s="184" t="str">
        <f t="shared" si="84"/>
        <v>C</v>
      </c>
      <c r="NA15" s="99" t="s">
        <v>23</v>
      </c>
      <c r="NB15" s="100"/>
      <c r="NC15" s="101" t="s">
        <v>25</v>
      </c>
      <c r="ND15" s="183">
        <f>IFERROR((((COUNTIF('Elève (6ème1)'!NA15:NC15,"A"))*4)+((COUNTIF('Elève (6ème1)'!NA15:NC15,"B"))*3)+((COUNTIF('Elève (6ème1)'!NA15:NC15,"C"))*2)+((COUNTIF('Elève (6ème1)'!NA15:NC15,"D"))*1))/(COUNTA(NA15:NC15)),"")</f>
        <v>3</v>
      </c>
      <c r="NE15" s="184" t="str">
        <f t="shared" si="85"/>
        <v>B</v>
      </c>
      <c r="NF15" s="99" t="s">
        <v>23</v>
      </c>
      <c r="NG15" s="100" t="s">
        <v>24</v>
      </c>
      <c r="NH15" s="101"/>
      <c r="NI15" s="183">
        <f>IFERROR((((COUNTIF('Elève (6ème1)'!NF15:NH15,"A"))*4)+((COUNTIF('Elève (6ème1)'!NF15:NH15,"B"))*3)+((COUNTIF('Elève (6ème1)'!NF15:NH15,"C"))*2)+((COUNTIF('Elève (6ème1)'!NF15:NH15,"D"))*1))/(COUNTA(NF15:NH15)),"")</f>
        <v>3.5</v>
      </c>
      <c r="NJ15" s="184" t="str">
        <f t="shared" si="86"/>
        <v>B</v>
      </c>
      <c r="NK15" s="183">
        <f>IF(COUNT(MY15,ND15,NI15)=0,"",SUM(MY15,ND15,NI15)/COUNT(MY15,ND15,NI15))</f>
        <v>2.8333333333333335</v>
      </c>
      <c r="NL15" s="211" t="str">
        <f t="shared" si="87"/>
        <v>B</v>
      </c>
      <c r="NM15" s="105" t="s">
        <v>23</v>
      </c>
      <c r="NN15" s="100"/>
      <c r="NO15" s="101"/>
      <c r="NP15" s="183">
        <f>IFERROR((((COUNTIF('Elève (6ème1)'!NM15:NO15,"A"))*4)+((COUNTIF('Elève (6ème1)'!NM15:NO15,"B"))*3)+((COUNTIF('Elève (6ème1)'!NM15:NO15,"C"))*2)+((COUNTIF('Elève (6ème1)'!NM15:NO15,"D"))*1))/(COUNTA(NM15:NO15)),"")</f>
        <v>4</v>
      </c>
      <c r="NQ15" s="184" t="str">
        <f t="shared" si="88"/>
        <v>A</v>
      </c>
      <c r="NR15" s="99" t="s">
        <v>23</v>
      </c>
      <c r="NS15" s="100"/>
      <c r="NT15" s="101" t="s">
        <v>24</v>
      </c>
      <c r="NU15" s="183">
        <f>IFERROR((((COUNTIF('Elève (6ème1)'!NR15:NT15,"A"))*4)+((COUNTIF('Elève (6ème1)'!NR15:NT15,"B"))*3)+((COUNTIF('Elève (6ème1)'!NR15:NT15,"C"))*2)+((COUNTIF('Elève (6ème1)'!NR15:NT15,"D"))*1))/(COUNTA(NR15:NT15)),"")</f>
        <v>3.5</v>
      </c>
      <c r="NV15" s="184" t="str">
        <f t="shared" si="89"/>
        <v>B</v>
      </c>
      <c r="NW15" s="99" t="s">
        <v>23</v>
      </c>
      <c r="NX15" s="100" t="s">
        <v>25</v>
      </c>
      <c r="NY15" s="101"/>
      <c r="NZ15" s="183">
        <f>IFERROR((((COUNTIF('Elève (6ème1)'!NW15:NY15,"A"))*4)+((COUNTIF('Elève (6ème1)'!NW15:NY15,"B"))*3)+((COUNTIF('Elève (6ème1)'!NW15:NY15,"C"))*2)+((COUNTIF('Elève (6ème1)'!NW15:NY15,"D"))*1))/(COUNTA(NW15:NY15)),"")</f>
        <v>3</v>
      </c>
      <c r="OA15" s="184" t="str">
        <f t="shared" si="90"/>
        <v>B</v>
      </c>
      <c r="OB15" s="183">
        <f>IF(COUNT(NP15,NU15,NZ15)=0,"",SUM(NP15,NU15,NZ15)/COUNT(NP15,NU15,NZ15))</f>
        <v>3.5</v>
      </c>
      <c r="OC15" s="211" t="str">
        <f t="shared" si="91"/>
        <v>B</v>
      </c>
      <c r="OD15" s="105" t="s">
        <v>25</v>
      </c>
      <c r="OE15" s="100"/>
      <c r="OF15" s="101"/>
      <c r="OG15" s="183">
        <f>IFERROR((((COUNTIF('Elève (6ème1)'!OD15:OF15,"A"))*4)+((COUNTIF('Elève (6ème1)'!OD15:OF15,"B"))*3)+((COUNTIF('Elève (6ème1)'!OD15:OF15,"C"))*2)+((COUNTIF('Elève (6ème1)'!OD15:OF15,"D"))*1))/(COUNTA(OD15:OF15)),"")</f>
        <v>2</v>
      </c>
      <c r="OH15" s="184" t="str">
        <f t="shared" si="92"/>
        <v>C</v>
      </c>
      <c r="OI15" s="99" t="s">
        <v>24</v>
      </c>
      <c r="OJ15" s="100"/>
      <c r="OK15" s="101" t="s">
        <v>24</v>
      </c>
      <c r="OL15" s="183">
        <f>IFERROR((((COUNTIF('Elève (6ème1)'!OI15:OK15,"A"))*4)+((COUNTIF('Elève (6ème1)'!OI15:OK15,"B"))*3)+((COUNTIF('Elève (6ème1)'!OI15:OK15,"C"))*2)+((COUNTIF('Elève (6ème1)'!OI15:OK15,"D"))*1))/(COUNTA(OI15:OK15)),"")</f>
        <v>3</v>
      </c>
      <c r="OM15" s="184" t="str">
        <f t="shared" si="93"/>
        <v>B</v>
      </c>
      <c r="ON15" s="99" t="s">
        <v>23</v>
      </c>
      <c r="OO15" s="100" t="s">
        <v>24</v>
      </c>
      <c r="OP15" s="101"/>
      <c r="OQ15" s="183">
        <f>IFERROR((((COUNTIF('Elève (6ème1)'!ON15:OP15,"A"))*4)+((COUNTIF('Elève (6ème1)'!ON15:OP15,"B"))*3)+((COUNTIF('Elève (6ème1)'!ON15:OP15,"C"))*2)+((COUNTIF('Elève (6ème1)'!ON15:OP15,"D"))*1))/(COUNTA(ON15:OP15)),"")</f>
        <v>3.5</v>
      </c>
      <c r="OR15" s="184" t="str">
        <f t="shared" si="94"/>
        <v>B</v>
      </c>
      <c r="OS15" s="183">
        <f>IF(COUNT(OG15,OL15,OQ15)=0,"",SUM(OG15,OL15,OQ15)/COUNT(OG15,OL15,OQ15))</f>
        <v>2.8333333333333335</v>
      </c>
      <c r="OT15" s="211" t="str">
        <f t="shared" si="95"/>
        <v>B</v>
      </c>
      <c r="OU15" s="105" t="s">
        <v>26</v>
      </c>
      <c r="OV15" s="100"/>
      <c r="OW15" s="101"/>
      <c r="OX15" s="183">
        <f>IFERROR((((COUNTIF('Elève (6ème1)'!OU15:OW15,"A"))*4)+((COUNTIF('Elève (6ème1)'!OU15:OW15,"B"))*3)+((COUNTIF('Elève (6ème1)'!OU15:OW15,"C"))*2)+((COUNTIF('Elève (6ème1)'!OU15:OW15,"D"))*1))/(COUNTA(OU15:OW15)),"")</f>
        <v>1</v>
      </c>
      <c r="OY15" s="184" t="str">
        <f t="shared" si="96"/>
        <v>D</v>
      </c>
      <c r="OZ15" s="99" t="s">
        <v>23</v>
      </c>
      <c r="PA15" s="100"/>
      <c r="PB15" s="101"/>
      <c r="PC15" s="183">
        <f>IFERROR((((COUNTIF('Elève (6ème1)'!OZ15:PB15,"A"))*4)+((COUNTIF('Elève (6ème1)'!OZ15:PB15,"B"))*3)+((COUNTIF('Elève (6ème1)'!OZ15:PB15,"C"))*2)+((COUNTIF('Elève (6ème1)'!OZ15:PB15,"D"))*1))/(COUNTA(OZ15:PB15)),"")</f>
        <v>4</v>
      </c>
      <c r="PD15" s="184" t="str">
        <f t="shared" si="97"/>
        <v>A</v>
      </c>
      <c r="PE15" s="99" t="s">
        <v>24</v>
      </c>
      <c r="PF15" s="100"/>
      <c r="PG15" s="101"/>
      <c r="PH15" s="183">
        <f>IFERROR((((COUNTIF('Elève (6ème1)'!PE15:PG15,"A"))*4)+((COUNTIF('Elève (6ème1)'!PE15:PG15,"B"))*3)+((COUNTIF('Elève (6ème1)'!PE15:PG15,"C"))*2)+((COUNTIF('Elève (6ème1)'!PE15:PG15,"D"))*1))/(COUNTA(PE15:PG15)),"")</f>
        <v>3</v>
      </c>
      <c r="PI15" s="184" t="str">
        <f t="shared" si="98"/>
        <v>B</v>
      </c>
      <c r="PJ15" s="183">
        <f>IF(COUNT(OX15,PC15,PH15)=0,"",SUM(OX15,PC15,PH15)/COUNT(OX15,PC15,PH15))</f>
        <v>2.6666666666666665</v>
      </c>
      <c r="PK15" s="211" t="str">
        <f t="shared" si="99"/>
        <v>C</v>
      </c>
      <c r="PL15" s="105" t="s">
        <v>25</v>
      </c>
      <c r="PM15" s="100"/>
      <c r="PN15" s="101"/>
      <c r="PO15" s="183">
        <f>IFERROR((((COUNTIF('Elève (6ème1)'!PL15:PN15,"A"))*4)+((COUNTIF('Elève (6ème1)'!PL15:PN15,"B"))*3)+((COUNTIF('Elève (6ème1)'!PL15:PN15,"C"))*2)+((COUNTIF('Elève (6ème1)'!PL15:PN15,"D"))*1))/(COUNTA(PL15:PN15)),"")</f>
        <v>2</v>
      </c>
      <c r="PP15" s="184" t="str">
        <f t="shared" si="100"/>
        <v>C</v>
      </c>
      <c r="PQ15" s="99" t="s">
        <v>23</v>
      </c>
      <c r="PR15" s="100"/>
      <c r="PS15" s="101" t="s">
        <v>25</v>
      </c>
      <c r="PT15" s="183">
        <f>IFERROR((((COUNTIF('Elève (6ème1)'!PQ15:PS15,"A"))*4)+((COUNTIF('Elève (6ème1)'!PQ15:PS15,"B"))*3)+((COUNTIF('Elève (6ème1)'!PQ15:PS15,"C"))*2)+((COUNTIF('Elève (6ème1)'!PQ15:PS15,"D"))*1))/(COUNTA(PQ15:PS15)),"")</f>
        <v>3</v>
      </c>
      <c r="PU15" s="184" t="str">
        <f t="shared" si="101"/>
        <v>B</v>
      </c>
      <c r="PV15" s="99" t="s">
        <v>25</v>
      </c>
      <c r="PW15" s="100" t="s">
        <v>24</v>
      </c>
      <c r="PX15" s="101"/>
      <c r="PY15" s="183">
        <f>IFERROR((((COUNTIF('Elève (6ème1)'!PV15:PX15,"A"))*4)+((COUNTIF('Elève (6ème1)'!PV15:PX15,"B"))*3)+((COUNTIF('Elève (6ème1)'!PV15:PX15,"C"))*2)+((COUNTIF('Elève (6ème1)'!PV15:PX15,"D"))*1))/(COUNTA(PV15:PX15)),"")</f>
        <v>2.5</v>
      </c>
      <c r="PZ15" s="184" t="str">
        <f t="shared" si="102"/>
        <v>C</v>
      </c>
      <c r="QA15" s="183">
        <f>IF(COUNT(PO15,PT15,PY15)=0,"",SUM(PO15,PT15,PY15)/COUNT(PO15,PT15,PY15))</f>
        <v>2.5</v>
      </c>
      <c r="QB15" s="211" t="str">
        <f t="shared" si="103"/>
        <v>C</v>
      </c>
      <c r="QC15" s="105" t="s">
        <v>24</v>
      </c>
      <c r="QD15" s="100"/>
      <c r="QE15" s="101"/>
      <c r="QF15" s="183">
        <f>IFERROR((((COUNTIF('Elève (6ème1)'!QC15:QE15,"A"))*4)+((COUNTIF('Elève (6ème1)'!QC15:QE15,"B"))*3)+((COUNTIF('Elève (6ème1)'!QC15:QE15,"C"))*2)+((COUNTIF('Elève (6ème1)'!QC15:QE15,"D"))*1))/(COUNTA(QC15:QE15)),"")</f>
        <v>3</v>
      </c>
      <c r="QG15" s="184" t="str">
        <f t="shared" si="104"/>
        <v>B</v>
      </c>
      <c r="QH15" s="99" t="s">
        <v>24</v>
      </c>
      <c r="QI15" s="100"/>
      <c r="QJ15" s="101"/>
      <c r="QK15" s="183">
        <f>IFERROR((((COUNTIF('Elève (6ème1)'!QH15:QJ15,"A"))*4)+((COUNTIF('Elève (6ème1)'!QH15:QJ15,"B"))*3)+((COUNTIF('Elève (6ème1)'!QH15:QJ15,"C"))*2)+((COUNTIF('Elève (6ème1)'!QH15:QJ15,"D"))*1))/(COUNTA(QH15:QJ15)),"")</f>
        <v>3</v>
      </c>
      <c r="QL15" s="184" t="str">
        <f t="shared" si="105"/>
        <v>B</v>
      </c>
      <c r="QM15" s="99" t="s">
        <v>24</v>
      </c>
      <c r="QN15" s="100" t="s">
        <v>24</v>
      </c>
      <c r="QO15" s="101"/>
      <c r="QP15" s="183">
        <f>IFERROR((((COUNTIF('Elève (6ème1)'!QM15:QO15,"A"))*4)+((COUNTIF('Elève (6ème1)'!QM15:QO15,"B"))*3)+((COUNTIF('Elève (6ème1)'!QM15:QO15,"C"))*2)+((COUNTIF('Elève (6ème1)'!QM15:QO15,"D"))*1))/(COUNTA(QM15:QO15)),"")</f>
        <v>3</v>
      </c>
      <c r="QQ15" s="184" t="str">
        <f t="shared" si="106"/>
        <v>B</v>
      </c>
      <c r="QR15" s="183">
        <f>IF(COUNT(QF15,QK15,QP15)=0,"",SUM(QF15,QK15,QP15)/COUNT(QF15,QK15,QP15))</f>
        <v>3</v>
      </c>
      <c r="QS15" s="211" t="str">
        <f t="shared" si="107"/>
        <v>B</v>
      </c>
      <c r="QT15" s="105" t="s">
        <v>25</v>
      </c>
      <c r="QU15" s="100"/>
      <c r="QV15" s="101"/>
      <c r="QW15" s="183">
        <f>IFERROR((((COUNTIF('Elève (6ème1)'!QT15:QV15,"A"))*4)+((COUNTIF('Elève (6ème1)'!QT15:QV15,"B"))*3)+((COUNTIF('Elève (6ème1)'!QT15:QV15,"C"))*2)+((COUNTIF('Elève (6ème1)'!QT15:QV15,"D"))*1))/(COUNTA(QT15:QV15)),"")</f>
        <v>2</v>
      </c>
      <c r="QX15" s="184" t="str">
        <f t="shared" si="108"/>
        <v>C</v>
      </c>
      <c r="QY15" s="99" t="s">
        <v>23</v>
      </c>
      <c r="QZ15" s="100"/>
      <c r="RA15" s="101"/>
      <c r="RB15" s="183">
        <f>IFERROR((((COUNTIF('Elève (6ème1)'!QY15:RA15,"A"))*4)+((COUNTIF('Elève (6ème1)'!QY15:RA15,"B"))*3)+((COUNTIF('Elève (6ème1)'!QY15:RA15,"C"))*2)+((COUNTIF('Elève (6ème1)'!QY15:RA15,"D"))*1))/(COUNTA(QY15:RA15)),"")</f>
        <v>4</v>
      </c>
      <c r="RC15" s="184" t="str">
        <f t="shared" si="109"/>
        <v>A</v>
      </c>
      <c r="RD15" s="99" t="s">
        <v>23</v>
      </c>
      <c r="RE15" s="100"/>
      <c r="RF15" s="101"/>
      <c r="RG15" s="183">
        <f>IFERROR((((COUNTIF('Elève (6ème1)'!RD15:RF15,"A"))*4)+((COUNTIF('Elève (6ème1)'!RD15:RF15,"B"))*3)+((COUNTIF('Elève (6ème1)'!RD15:RF15,"C"))*2)+((COUNTIF('Elève (6ème1)'!RD15:RF15,"D"))*1))/(COUNTA(RD15:RF15)),"")</f>
        <v>4</v>
      </c>
      <c r="RH15" s="184" t="str">
        <f t="shared" si="110"/>
        <v>A</v>
      </c>
      <c r="RI15" s="183">
        <f>IF(COUNT(QW15,RB15,RG15)=0,"",SUM(QW15,RB15,RG15)/COUNT(QW15,RB15,RG15))</f>
        <v>3.3333333333333335</v>
      </c>
      <c r="RJ15" s="211" t="str">
        <f t="shared" si="111"/>
        <v>B</v>
      </c>
      <c r="RK15" s="105" t="s">
        <v>24</v>
      </c>
      <c r="RL15" s="100"/>
      <c r="RM15" s="101"/>
      <c r="RN15" s="183">
        <f>IFERROR((((COUNTIF('Elève (6ème1)'!RK15:RM15,"A"))*4)+((COUNTIF('Elève (6ème1)'!RK15:RM15,"B"))*3)+((COUNTIF('Elève (6ème1)'!RK15:RM15,"C"))*2)+((COUNTIF('Elève (6ème1)'!RK15:RM15,"D"))*1))/(COUNTA(RK15:RM15)),"")</f>
        <v>3</v>
      </c>
      <c r="RO15" s="184" t="str">
        <f t="shared" si="112"/>
        <v>B</v>
      </c>
      <c r="RP15" s="99" t="s">
        <v>23</v>
      </c>
      <c r="RQ15" s="100"/>
      <c r="RR15" s="101"/>
      <c r="RS15" s="183">
        <f>IFERROR((((COUNTIF('Elève (6ème1)'!RP15:RR15,"A"))*4)+((COUNTIF('Elève (6ème1)'!RP15:RR15,"B"))*3)+((COUNTIF('Elève (6ème1)'!RP15:RR15,"C"))*2)+((COUNTIF('Elève (6ème1)'!RP15:RR15,"D"))*1))/(COUNTA(RP15:RR15)),"")</f>
        <v>4</v>
      </c>
      <c r="RT15" s="184" t="str">
        <f t="shared" si="113"/>
        <v>A</v>
      </c>
      <c r="RU15" s="99" t="s">
        <v>23</v>
      </c>
      <c r="RV15" s="100" t="s">
        <v>24</v>
      </c>
      <c r="RW15" s="101"/>
      <c r="RX15" s="183">
        <f>IFERROR((((COUNTIF('Elève (6ème1)'!RU15:RW15,"A"))*4)+((COUNTIF('Elève (6ème1)'!RU15:RW15,"B"))*3)+((COUNTIF('Elève (6ème1)'!RU15:RW15,"C"))*2)+((COUNTIF('Elève (6ème1)'!RU15:RW15,"D"))*1))/(COUNTA(RU15:RW15)),"")</f>
        <v>3.5</v>
      </c>
      <c r="RY15" s="184" t="str">
        <f t="shared" si="114"/>
        <v>B</v>
      </c>
      <c r="RZ15" s="183">
        <f>IF(COUNT(RN15,RS15,RX15)=0,"",SUM(RN15,RS15,RX15)/COUNT(RN15,RS15,RX15))</f>
        <v>3.5</v>
      </c>
      <c r="SA15" s="211" t="str">
        <f t="shared" si="115"/>
        <v>B</v>
      </c>
      <c r="SB15" s="105" t="s">
        <v>25</v>
      </c>
      <c r="SC15" s="100"/>
      <c r="SD15" s="101"/>
      <c r="SE15" s="183">
        <f>IFERROR((((COUNTIF('Elève (6ème1)'!SB15:SD15,"A"))*4)+((COUNTIF('Elève (6ème1)'!SB15:SD15,"B"))*3)+((COUNTIF('Elève (6ème1)'!SB15:SD15,"C"))*2)+((COUNTIF('Elève (6ème1)'!SB15:SD15,"D"))*1))/(COUNTA(SB15:SD15)),"")</f>
        <v>2</v>
      </c>
      <c r="SF15" s="184" t="str">
        <f t="shared" si="116"/>
        <v>C</v>
      </c>
      <c r="SG15" s="99" t="s">
        <v>23</v>
      </c>
      <c r="SH15" s="100"/>
      <c r="SI15" s="101"/>
      <c r="SJ15" s="183">
        <f>IFERROR((((COUNTIF('Elève (6ème1)'!SG15:SI15,"A"))*4)+((COUNTIF('Elève (6ème1)'!SG15:SI15,"B"))*3)+((COUNTIF('Elève (6ème1)'!SG15:SI15,"C"))*2)+((COUNTIF('Elève (6ème1)'!SG15:SI15,"D"))*1))/(COUNTA(SG15:SI15)),"")</f>
        <v>4</v>
      </c>
      <c r="SK15" s="184" t="str">
        <f t="shared" si="117"/>
        <v>A</v>
      </c>
      <c r="SL15" s="99" t="s">
        <v>23</v>
      </c>
      <c r="SM15" s="100"/>
      <c r="SN15" s="101"/>
      <c r="SO15" s="183">
        <f>IFERROR((((COUNTIF('Elève (6ème1)'!SL15:SN15,"A"))*4)+((COUNTIF('Elève (6ème1)'!SL15:SN15,"B"))*3)+((COUNTIF('Elève (6ème1)'!SL15:SN15,"C"))*2)+((COUNTIF('Elève (6ème1)'!SL15:SN15,"D"))*1))/(COUNTA(SL15:SN15)),"")</f>
        <v>4</v>
      </c>
      <c r="SP15" s="184" t="str">
        <f t="shared" si="118"/>
        <v>A</v>
      </c>
      <c r="SQ15" s="183">
        <f>IF(COUNT(SE15,SJ15,SO15)=0,"",SUM(SE15,SJ15,SO15)/COUNT(SE15,SJ15,SO15))</f>
        <v>3.3333333333333335</v>
      </c>
      <c r="SR15" s="211" t="str">
        <f t="shared" si="119"/>
        <v>B</v>
      </c>
      <c r="SS15" s="105" t="s">
        <v>25</v>
      </c>
      <c r="ST15" s="100"/>
      <c r="SU15" s="101"/>
      <c r="SV15" s="183">
        <f>IFERROR((((COUNTIF('Elève (6ème1)'!SS15:SU15,"A"))*4)+((COUNTIF('Elève (6ème1)'!SS15:SU15,"B"))*3)+((COUNTIF('Elève (6ème1)'!SS15:SU15,"C"))*2)+((COUNTIF('Elève (6ème1)'!SS15:SU15,"D"))*1))/(COUNTA(SS15:SU15)),"")</f>
        <v>2</v>
      </c>
      <c r="SW15" s="184" t="str">
        <f t="shared" si="120"/>
        <v>C</v>
      </c>
      <c r="SX15" s="99" t="s">
        <v>23</v>
      </c>
      <c r="SY15" s="100"/>
      <c r="SZ15" s="101" t="s">
        <v>24</v>
      </c>
      <c r="TA15" s="183">
        <f>IFERROR((((COUNTIF('Elève (6ème1)'!SX15:SZ15,"A"))*4)+((COUNTIF('Elève (6ème1)'!SX15:SZ15,"B"))*3)+((COUNTIF('Elève (6ème1)'!SX15:SZ15,"C"))*2)+((COUNTIF('Elève (6ème1)'!SX15:SZ15,"D"))*1))/(COUNTA(SX15:SZ15)),"")</f>
        <v>3.5</v>
      </c>
      <c r="TB15" s="184" t="str">
        <f t="shared" si="121"/>
        <v>B</v>
      </c>
      <c r="TC15" s="99" t="s">
        <v>23</v>
      </c>
      <c r="TD15" s="100" t="s">
        <v>24</v>
      </c>
      <c r="TE15" s="101"/>
      <c r="TF15" s="183">
        <f>IFERROR((((COUNTIF('Elève (6ème1)'!TC15:TE15,"A"))*4)+((COUNTIF('Elève (6ème1)'!TC15:TE15,"B"))*3)+((COUNTIF('Elève (6ème1)'!TC15:TE15,"C"))*2)+((COUNTIF('Elève (6ème1)'!TC15:TE15,"D"))*1))/(COUNTA(TC15:TE15)),"")</f>
        <v>3.5</v>
      </c>
      <c r="TG15" s="184" t="str">
        <f t="shared" si="122"/>
        <v>B</v>
      </c>
      <c r="TH15" s="183">
        <f>IF(COUNT(SV15,TA15,TF15)=0,"",SUM(SV15,TA15,TF15)/COUNT(SV15,TA15,TF15))</f>
        <v>3</v>
      </c>
      <c r="TI15" s="211" t="str">
        <f t="shared" si="123"/>
        <v>B</v>
      </c>
      <c r="TJ15" s="105" t="s">
        <v>25</v>
      </c>
      <c r="TK15" s="100"/>
      <c r="TL15" s="101"/>
      <c r="TM15" s="183">
        <f>IFERROR((((COUNTIF('Elève (6ème1)'!TJ15:TL15,"A"))*4)+((COUNTIF('Elève (6ème1)'!TJ15:TL15,"B"))*3)+((COUNTIF('Elève (6ème1)'!TJ15:TL15,"C"))*2)+((COUNTIF('Elève (6ème1)'!TJ15:TL15,"D"))*1))/(COUNTA(TJ15:TL15)),"")</f>
        <v>2</v>
      </c>
      <c r="TN15" s="184" t="str">
        <f t="shared" si="124"/>
        <v>C</v>
      </c>
      <c r="TO15" s="99" t="s">
        <v>24</v>
      </c>
      <c r="TP15" s="100"/>
      <c r="TQ15" s="101" t="s">
        <v>24</v>
      </c>
      <c r="TR15" s="183">
        <f>IFERROR((((COUNTIF('Elève (6ème1)'!TO15:TQ15,"A"))*4)+((COUNTIF('Elève (6ème1)'!TO15:TQ15,"B"))*3)+((COUNTIF('Elève (6ème1)'!TO15:TQ15,"C"))*2)+((COUNTIF('Elève (6ème1)'!TO15:TQ15,"D"))*1))/(COUNTA(TO15:TQ15)),"")</f>
        <v>3</v>
      </c>
      <c r="TS15" s="184" t="str">
        <f t="shared" si="125"/>
        <v>B</v>
      </c>
      <c r="TT15" s="99" t="s">
        <v>23</v>
      </c>
      <c r="TU15" s="100" t="s">
        <v>24</v>
      </c>
      <c r="TV15" s="101"/>
      <c r="TW15" s="183">
        <f>IFERROR((((COUNTIF('Elève (6ème1)'!TT15:TV15,"A"))*4)+((COUNTIF('Elève (6ème1)'!TT15:TV15,"B"))*3)+((COUNTIF('Elève (6ème1)'!TT15:TV15,"C"))*2)+((COUNTIF('Elève (6ème1)'!TT15:TV15,"D"))*1))/(COUNTA(TT15:TV15)),"")</f>
        <v>3.5</v>
      </c>
      <c r="TX15" s="184" t="str">
        <f t="shared" si="126"/>
        <v>B</v>
      </c>
      <c r="TY15" s="183">
        <f>IF(COUNT(TM15,TR15,TW15)=0,"",SUM(TM15,TR15,TW15)/COUNT(TM15,TR15,TW15))</f>
        <v>2.8333333333333335</v>
      </c>
      <c r="TZ15" s="211" t="str">
        <f t="shared" si="127"/>
        <v>B</v>
      </c>
    </row>
    <row r="16" spans="1:546" x14ac:dyDescent="0.25">
      <c r="A16" s="163" t="s">
        <v>19</v>
      </c>
      <c r="B16" s="119"/>
      <c r="C16" s="172"/>
      <c r="D16" s="107"/>
      <c r="E16" s="108"/>
      <c r="F16" s="185" t="str">
        <f>IFERROR((((COUNTIF('Elève (6ème1)'!C16:E16,"A"))*4)+((COUNTIF('Elève (6ème1)'!C16:E16,"B"))*3)+((COUNTIF('Elève (6ème1)'!C16:E16,"C"))*2)+((COUNTIF('Elève (6ème1)'!C16:E16,"D"))*1))/(COUNTA(C16:E16)),"")</f>
        <v/>
      </c>
      <c r="G16" s="186" t="str">
        <f t="shared" si="0"/>
        <v/>
      </c>
      <c r="H16" s="172"/>
      <c r="I16" s="107" t="s">
        <v>23</v>
      </c>
      <c r="J16" s="108" t="s">
        <v>23</v>
      </c>
      <c r="K16" s="185">
        <f>IFERROR((((COUNTIF('Elève (6ème1)'!H16:J16,"A"))*4)+((COUNTIF('Elève (6ème1)'!H16:J16,"B"))*3)+((COUNTIF('Elève (6ème1)'!H16:J16,"C"))*2)+((COUNTIF('Elève (6ème1)'!H16:J16,"D"))*1))/(COUNTA(H16:J16)),"")</f>
        <v>4</v>
      </c>
      <c r="L16" s="186" t="str">
        <f t="shared" si="1"/>
        <v>A</v>
      </c>
      <c r="M16" s="172" t="s">
        <v>24</v>
      </c>
      <c r="N16" s="107" t="s">
        <v>24</v>
      </c>
      <c r="O16" s="108"/>
      <c r="P16" s="185">
        <f>IFERROR((((COUNTIF('Elève (6ème1)'!M16:O16,"A"))*4)+((COUNTIF('Elève (6ème1)'!M16:O16,"B"))*3)+((COUNTIF('Elève (6ème1)'!M16:O16,"C"))*2)+((COUNTIF('Elève (6ème1)'!M16:O16,"D"))*1))/(COUNTA(M16:O16)),"")</f>
        <v>3</v>
      </c>
      <c r="Q16" s="186" t="str">
        <f t="shared" si="2"/>
        <v>B</v>
      </c>
      <c r="R16" s="185">
        <f>IF(COUNT(F16,K16,P16)=0,"",SUM(F16,K16,P16)/COUNT(F16,K16,P16))</f>
        <v>3.5</v>
      </c>
      <c r="S16" s="208" t="str">
        <f t="shared" si="3"/>
        <v>B</v>
      </c>
      <c r="T16" s="217"/>
      <c r="U16" s="107"/>
      <c r="V16" s="108"/>
      <c r="W16" s="185" t="str">
        <f>IFERROR((((COUNTIF('Elève (6ème1)'!T16:V16,"A"))*4)+((COUNTIF('Elève (6ème1)'!T16:V16,"B"))*3)+((COUNTIF('Elève (6ème1)'!T16:V16,"C"))*2)+((COUNTIF('Elève (6ème1)'!T16:V16,"D"))*1))/(COUNTA(T16:V16)),"")</f>
        <v/>
      </c>
      <c r="X16" s="186" t="str">
        <f t="shared" si="4"/>
        <v/>
      </c>
      <c r="Y16" s="172"/>
      <c r="Z16" s="107" t="s">
        <v>23</v>
      </c>
      <c r="AA16" s="108"/>
      <c r="AB16" s="185">
        <f>IFERROR((((COUNTIF('Elève (6ème1)'!Y16:AA16,"A"))*4)+((COUNTIF('Elève (6ème1)'!Y16:AA16,"B"))*3)+((COUNTIF('Elève (6ème1)'!Y16:AA16,"C"))*2)+((COUNTIF('Elève (6ème1)'!Y16:AA16,"D"))*1))/(COUNTA(Y16:AA16)),"")</f>
        <v>4</v>
      </c>
      <c r="AC16" s="186" t="str">
        <f t="shared" si="5"/>
        <v>A</v>
      </c>
      <c r="AD16" s="172" t="s">
        <v>24</v>
      </c>
      <c r="AE16" s="107"/>
      <c r="AF16" s="108"/>
      <c r="AG16" s="185">
        <f>IFERROR((((COUNTIF('Elève (6ème1)'!AD16:AF16,"A"))*4)+((COUNTIF('Elève (6ème1)'!AD16:AF16,"B"))*3)+((COUNTIF('Elève (6ème1)'!AD16:AF16,"C"))*2)+((COUNTIF('Elève (6ème1)'!AD16:AF16,"D"))*1))/(COUNTA(AD16:AF16)),"")</f>
        <v>3</v>
      </c>
      <c r="AH16" s="186" t="str">
        <f t="shared" si="6"/>
        <v>B</v>
      </c>
      <c r="AI16" s="185">
        <f>IF(COUNT(W16,AB16,AG16)=0,"",SUM(W16,AB16,AG16)/COUNT(W16,AB16,AG16))</f>
        <v>3.5</v>
      </c>
      <c r="AJ16" s="208" t="str">
        <f t="shared" si="7"/>
        <v>B</v>
      </c>
      <c r="AK16" s="217"/>
      <c r="AL16" s="107"/>
      <c r="AM16" s="108"/>
      <c r="AN16" s="185" t="str">
        <f>IFERROR((((COUNTIF('Elève (6ème1)'!AK16:AM16,"A"))*4)+((COUNTIF('Elève (6ème1)'!AK16:AM16,"B"))*3)+((COUNTIF('Elève (6ème1)'!AK16:AM16,"C"))*2)+((COUNTIF('Elève (6ème1)'!AK16:AM16,"D"))*1))/(COUNTA(AK16:AM16)),"")</f>
        <v/>
      </c>
      <c r="AO16" s="186" t="str">
        <f t="shared" si="8"/>
        <v/>
      </c>
      <c r="AP16" s="172"/>
      <c r="AQ16" s="107" t="s">
        <v>23</v>
      </c>
      <c r="AR16" s="108" t="s">
        <v>23</v>
      </c>
      <c r="AS16" s="185">
        <f>IFERROR((((COUNTIF('Elève (6ème1)'!AP16:AR16,"A"))*4)+((COUNTIF('Elève (6ème1)'!AP16:AR16,"B"))*3)+((COUNTIF('Elève (6ème1)'!AP16:AR16,"C"))*2)+((COUNTIF('Elève (6ème1)'!AP16:AR16,"D"))*1))/(COUNTA(AP16:AR16)),"")</f>
        <v>4</v>
      </c>
      <c r="AT16" s="186" t="str">
        <f t="shared" si="9"/>
        <v>A</v>
      </c>
      <c r="AU16" s="172" t="s">
        <v>25</v>
      </c>
      <c r="AV16" s="107" t="s">
        <v>24</v>
      </c>
      <c r="AW16" s="108"/>
      <c r="AX16" s="185">
        <f>IFERROR((((COUNTIF('Elève (6ème1)'!AU16:AW16,"A"))*4)+((COUNTIF('Elève (6ème1)'!AU16:AW16,"B"))*3)+((COUNTIF('Elève (6ème1)'!AU16:AW16,"C"))*2)+((COUNTIF('Elève (6ème1)'!AU16:AW16,"D"))*1))/(COUNTA(AU16:AW16)),"")</f>
        <v>2.5</v>
      </c>
      <c r="AY16" s="186" t="str">
        <f t="shared" si="10"/>
        <v>C</v>
      </c>
      <c r="AZ16" s="185">
        <f>IF(COUNT(AN16,AS16,AX16)=0,"",SUM(AN16,AS16,AX16)/COUNT(AN16,AS16,AX16))</f>
        <v>3.25</v>
      </c>
      <c r="BA16" s="208" t="str">
        <f t="shared" si="11"/>
        <v>B</v>
      </c>
      <c r="BB16" s="217"/>
      <c r="BC16" s="107"/>
      <c r="BD16" s="108"/>
      <c r="BE16" s="185" t="str">
        <f>IFERROR((((COUNTIF('Elève (6ème1)'!BB16:BD16,"A"))*4)+((COUNTIF('Elève (6ème1)'!BB16:BD16,"B"))*3)+((COUNTIF('Elève (6ème1)'!BB16:BD16,"C"))*2)+((COUNTIF('Elève (6ème1)'!BB16:BD16,"D"))*1))/(COUNTA(BB16:BD16)),"")</f>
        <v/>
      </c>
      <c r="BF16" s="186" t="str">
        <f t="shared" si="12"/>
        <v/>
      </c>
      <c r="BG16" s="172"/>
      <c r="BH16" s="107" t="s">
        <v>23</v>
      </c>
      <c r="BI16" s="108" t="s">
        <v>25</v>
      </c>
      <c r="BJ16" s="185">
        <f>IFERROR((((COUNTIF('Elève (6ème1)'!BG16:BI16,"A"))*4)+((COUNTIF('Elève (6ème1)'!BG16:BI16,"B"))*3)+((COUNTIF('Elève (6ème1)'!BG16:BI16,"C"))*2)+((COUNTIF('Elève (6ème1)'!BG16:BI16,"D"))*1))/(COUNTA(BG16:BI16)),"")</f>
        <v>3</v>
      </c>
      <c r="BK16" s="186" t="str">
        <f t="shared" si="13"/>
        <v>B</v>
      </c>
      <c r="BL16" s="172" t="s">
        <v>24</v>
      </c>
      <c r="BM16" s="107" t="s">
        <v>24</v>
      </c>
      <c r="BN16" s="108"/>
      <c r="BO16" s="185">
        <f>IFERROR((((COUNTIF('Elève (6ème1)'!BL16:BN16,"A"))*4)+((COUNTIF('Elève (6ème1)'!BL16:BN16,"B"))*3)+((COUNTIF('Elève (6ème1)'!BL16:BN16,"C"))*2)+((COUNTIF('Elève (6ème1)'!BL16:BN16,"D"))*1))/(COUNTA(BL16:BN16)),"")</f>
        <v>3</v>
      </c>
      <c r="BP16" s="186" t="str">
        <f t="shared" si="14"/>
        <v>B</v>
      </c>
      <c r="BQ16" s="185">
        <f>IF(COUNT(BE16,BJ16,BO16)=0,"",SUM(BE16,BJ16,BO16)/COUNT(BE16,BJ16,BO16))</f>
        <v>3</v>
      </c>
      <c r="BR16" s="208" t="str">
        <f t="shared" si="15"/>
        <v>B</v>
      </c>
      <c r="BS16" s="217"/>
      <c r="BT16" s="107"/>
      <c r="BU16" s="108"/>
      <c r="BV16" s="185" t="str">
        <f>IFERROR((((COUNTIF('Elève (6ème1)'!BS16:BU16,"A"))*4)+((COUNTIF('Elève (6ème1)'!BS16:BU16,"B"))*3)+((COUNTIF('Elève (6ème1)'!BS16:BU16,"C"))*2)+((COUNTIF('Elève (6ème1)'!BS16:BU16,"D"))*1))/(COUNTA(BS16:BU16)),"")</f>
        <v/>
      </c>
      <c r="BW16" s="186" t="str">
        <f t="shared" si="16"/>
        <v/>
      </c>
      <c r="BX16" s="172"/>
      <c r="BY16" s="107" t="s">
        <v>25</v>
      </c>
      <c r="BZ16" s="108" t="s">
        <v>23</v>
      </c>
      <c r="CA16" s="185">
        <f>IFERROR((((COUNTIF('Elève (6ème1)'!BX16:BZ16,"A"))*4)+((COUNTIF('Elève (6ème1)'!BX16:BZ16,"B"))*3)+((COUNTIF('Elève (6ème1)'!BX16:BZ16,"C"))*2)+((COUNTIF('Elève (6ème1)'!BX16:BZ16,"D"))*1))/(COUNTA(BX16:BZ16)),"")</f>
        <v>3</v>
      </c>
      <c r="CB16" s="186" t="str">
        <f t="shared" si="17"/>
        <v>B</v>
      </c>
      <c r="CC16" s="172" t="s">
        <v>25</v>
      </c>
      <c r="CD16" s="107" t="s">
        <v>24</v>
      </c>
      <c r="CE16" s="108"/>
      <c r="CF16" s="185">
        <f>IFERROR((((COUNTIF('Elève (6ème1)'!CC16:CE16,"A"))*4)+((COUNTIF('Elève (6ème1)'!CC16:CE16,"B"))*3)+((COUNTIF('Elève (6ème1)'!CC16:CE16,"C"))*2)+((COUNTIF('Elève (6ème1)'!CC16:CE16,"D"))*1))/(COUNTA(CC16:CE16)),"")</f>
        <v>2.5</v>
      </c>
      <c r="CG16" s="186" t="str">
        <f t="shared" si="18"/>
        <v>C</v>
      </c>
      <c r="CH16" s="185">
        <f>IF(COUNT(BV16,CA16,CF16)=0,"",SUM(BV16,CA16,CF16)/COUNT(BV16,CA16,CF16))</f>
        <v>2.75</v>
      </c>
      <c r="CI16" s="208" t="str">
        <f t="shared" si="19"/>
        <v>C</v>
      </c>
      <c r="CJ16" s="217"/>
      <c r="CK16" s="107"/>
      <c r="CL16" s="108"/>
      <c r="CM16" s="185" t="str">
        <f>IFERROR((((COUNTIF('Elève (6ème1)'!CJ16:CL16,"A"))*4)+((COUNTIF('Elève (6ème1)'!CJ16:CL16,"B"))*3)+((COUNTIF('Elève (6ème1)'!CJ16:CL16,"C"))*2)+((COUNTIF('Elève (6ème1)'!CJ16:CL16,"D"))*1))/(COUNTA(CJ16:CL16)),"")</f>
        <v/>
      </c>
      <c r="CN16" s="186" t="str">
        <f t="shared" si="20"/>
        <v/>
      </c>
      <c r="CO16" s="172"/>
      <c r="CP16" s="107" t="s">
        <v>25</v>
      </c>
      <c r="CQ16" s="108" t="s">
        <v>25</v>
      </c>
      <c r="CR16" s="185">
        <f>IFERROR((((COUNTIF('Elève (6ème1)'!CO16:CQ16,"A"))*4)+((COUNTIF('Elève (6ème1)'!CO16:CQ16,"B"))*3)+((COUNTIF('Elève (6ème1)'!CO16:CQ16,"C"))*2)+((COUNTIF('Elève (6ème1)'!CO16:CQ16,"D"))*1))/(COUNTA(CO16:CQ16)),"")</f>
        <v>2</v>
      </c>
      <c r="CS16" s="186" t="str">
        <f t="shared" si="21"/>
        <v>C</v>
      </c>
      <c r="CT16" s="172" t="s">
        <v>24</v>
      </c>
      <c r="CU16" s="107" t="s">
        <v>24</v>
      </c>
      <c r="CV16" s="108"/>
      <c r="CW16" s="185">
        <f>IFERROR((((COUNTIF('Elève (6ème1)'!CT16:CV16,"A"))*4)+((COUNTIF('Elève (6ème1)'!CT16:CV16,"B"))*3)+((COUNTIF('Elève (6ème1)'!CT16:CV16,"C"))*2)+((COUNTIF('Elève (6ème1)'!CT16:CV16,"D"))*1))/(COUNTA(CT16:CV16)),"")</f>
        <v>3</v>
      </c>
      <c r="CX16" s="186" t="str">
        <f t="shared" si="22"/>
        <v>B</v>
      </c>
      <c r="CY16" s="185">
        <f>IF(COUNT(CM16,CR16,CW16)=0,"",SUM(CM16,CR16,CW16)/COUNT(CM16,CR16,CW16))</f>
        <v>2.5</v>
      </c>
      <c r="CZ16" s="208" t="str">
        <f t="shared" si="23"/>
        <v>C</v>
      </c>
      <c r="DA16" s="217"/>
      <c r="DB16" s="107"/>
      <c r="DC16" s="108"/>
      <c r="DD16" s="185" t="str">
        <f>IFERROR((((COUNTIF('Elève (6ème1)'!DA16:DC16,"A"))*4)+((COUNTIF('Elève (6ème1)'!DA16:DC16,"B"))*3)+((COUNTIF('Elève (6ème1)'!DA16:DC16,"C"))*2)+((COUNTIF('Elève (6ème1)'!DA16:DC16,"D"))*1))/(COUNTA(DA16:DC16)),"")</f>
        <v/>
      </c>
      <c r="DE16" s="186" t="str">
        <f t="shared" si="24"/>
        <v/>
      </c>
      <c r="DF16" s="172"/>
      <c r="DG16" s="107" t="s">
        <v>23</v>
      </c>
      <c r="DH16" s="108" t="s">
        <v>24</v>
      </c>
      <c r="DI16" s="185">
        <f>IFERROR((((COUNTIF('Elève (6ème1)'!DF16:DH16,"A"))*4)+((COUNTIF('Elève (6ème1)'!DF16:DH16,"B"))*3)+((COUNTIF('Elève (6ème1)'!DF16:DH16,"C"))*2)+((COUNTIF('Elève (6ème1)'!DF16:DH16,"D"))*1))/(COUNTA(DF16:DH16)),"")</f>
        <v>3.5</v>
      </c>
      <c r="DJ16" s="186" t="str">
        <f t="shared" si="25"/>
        <v>B</v>
      </c>
      <c r="DK16" s="172" t="s">
        <v>25</v>
      </c>
      <c r="DL16" s="107" t="s">
        <v>25</v>
      </c>
      <c r="DM16" s="108"/>
      <c r="DN16" s="185">
        <f>IFERROR((((COUNTIF('Elève (6ème1)'!DK16:DM16,"A"))*4)+((COUNTIF('Elève (6ème1)'!DK16:DM16,"B"))*3)+((COUNTIF('Elève (6ème1)'!DK16:DM16,"C"))*2)+((COUNTIF('Elève (6ème1)'!DK16:DM16,"D"))*1))/(COUNTA(DK16:DM16)),"")</f>
        <v>2</v>
      </c>
      <c r="DO16" s="186" t="str">
        <f t="shared" si="26"/>
        <v>C</v>
      </c>
      <c r="DP16" s="185">
        <f>IF(COUNT(DD16,DI16,DN16)=0,"",SUM(DD16,DI16,DN16)/COUNT(DD16,DI16,DN16))</f>
        <v>2.75</v>
      </c>
      <c r="DQ16" s="208" t="str">
        <f t="shared" si="27"/>
        <v>C</v>
      </c>
      <c r="DR16" s="217"/>
      <c r="DS16" s="107"/>
      <c r="DT16" s="108"/>
      <c r="DU16" s="185" t="str">
        <f>IFERROR((((COUNTIF('Elève (6ème1)'!DR16:DT16,"A"))*4)+((COUNTIF('Elève (6ème1)'!DR16:DT16,"B"))*3)+((COUNTIF('Elève (6ème1)'!DR16:DT16,"C"))*2)+((COUNTIF('Elève (6ème1)'!DR16:DT16,"D"))*1))/(COUNTA(DR16:DT16)),"")</f>
        <v/>
      </c>
      <c r="DV16" s="186" t="str">
        <f t="shared" si="28"/>
        <v/>
      </c>
      <c r="DW16" s="172"/>
      <c r="DX16" s="107" t="s">
        <v>23</v>
      </c>
      <c r="DY16" s="108" t="s">
        <v>25</v>
      </c>
      <c r="DZ16" s="185">
        <f>IFERROR((((COUNTIF('Elève (6ème1)'!DW16:DY16,"A"))*4)+((COUNTIF('Elève (6ème1)'!DW16:DY16,"B"))*3)+((COUNTIF('Elève (6ème1)'!DW16:DY16,"C"))*2)+((COUNTIF('Elève (6ème1)'!DW16:DY16,"D"))*1))/(COUNTA(DW16:DY16)),"")</f>
        <v>3</v>
      </c>
      <c r="EA16" s="186" t="str">
        <f t="shared" si="29"/>
        <v>B</v>
      </c>
      <c r="EB16" s="172" t="s">
        <v>25</v>
      </c>
      <c r="EC16" s="107" t="s">
        <v>24</v>
      </c>
      <c r="ED16" s="108"/>
      <c r="EE16" s="185">
        <f>IFERROR((((COUNTIF('Elève (6ème1)'!EB16:ED16,"A"))*4)+((COUNTIF('Elève (6ème1)'!EB16:ED16,"B"))*3)+((COUNTIF('Elève (6ème1)'!EB16:ED16,"C"))*2)+((COUNTIF('Elève (6ème1)'!EB16:ED16,"D"))*1))/(COUNTA(EB16:ED16)),"")</f>
        <v>2.5</v>
      </c>
      <c r="EF16" s="186" t="str">
        <f t="shared" si="30"/>
        <v>C</v>
      </c>
      <c r="EG16" s="185">
        <f>IF(COUNT(DU16,DZ16,EE16)=0,"",SUM(DU16,DZ16,EE16)/COUNT(DU16,DZ16,EE16))</f>
        <v>2.75</v>
      </c>
      <c r="EH16" s="208" t="str">
        <f t="shared" si="31"/>
        <v>C</v>
      </c>
      <c r="EI16" s="217"/>
      <c r="EJ16" s="107"/>
      <c r="EK16" s="108"/>
      <c r="EL16" s="185" t="str">
        <f>IFERROR((((COUNTIF('Elève (6ème1)'!EI16:EK16,"A"))*4)+((COUNTIF('Elève (6ème1)'!EI16:EK16,"B"))*3)+((COUNTIF('Elève (6ème1)'!EI16:EK16,"C"))*2)+((COUNTIF('Elève (6ème1)'!EI16:EK16,"D"))*1))/(COUNTA(EI16:EK16)),"")</f>
        <v/>
      </c>
      <c r="EM16" s="186" t="str">
        <f t="shared" si="32"/>
        <v/>
      </c>
      <c r="EN16" s="172"/>
      <c r="EO16" s="107" t="s">
        <v>25</v>
      </c>
      <c r="EP16" s="108" t="s">
        <v>25</v>
      </c>
      <c r="EQ16" s="185">
        <f>IFERROR((((COUNTIF('Elève (6ème1)'!EN16:EP16,"A"))*4)+((COUNTIF('Elève (6ème1)'!EN16:EP16,"B"))*3)+((COUNTIF('Elève (6ème1)'!EN16:EP16,"C"))*2)+((COUNTIF('Elève (6ème1)'!EN16:EP16,"D"))*1))/(COUNTA(EN16:EP16)),"")</f>
        <v>2</v>
      </c>
      <c r="ER16" s="186" t="str">
        <f t="shared" si="33"/>
        <v>C</v>
      </c>
      <c r="ES16" s="172" t="s">
        <v>23</v>
      </c>
      <c r="ET16" s="107" t="s">
        <v>24</v>
      </c>
      <c r="EU16" s="108"/>
      <c r="EV16" s="185">
        <f>IFERROR((((COUNTIF('Elève (6ème1)'!ES16:EU16,"A"))*4)+((COUNTIF('Elève (6ème1)'!ES16:EU16,"B"))*3)+((COUNTIF('Elève (6ème1)'!ES16:EU16,"C"))*2)+((COUNTIF('Elève (6ème1)'!ES16:EU16,"D"))*1))/(COUNTA(ES16:EU16)),"")</f>
        <v>3.5</v>
      </c>
      <c r="EW16" s="186" t="str">
        <f t="shared" si="34"/>
        <v>B</v>
      </c>
      <c r="EX16" s="185">
        <f>IF(COUNT(EL16,EQ16,EV16)=0,"",SUM(EL16,EQ16,EV16)/COUNT(EL16,EQ16,EV16))</f>
        <v>2.75</v>
      </c>
      <c r="EY16" s="208" t="str">
        <f t="shared" si="35"/>
        <v>C</v>
      </c>
      <c r="EZ16" s="217"/>
      <c r="FA16" s="107"/>
      <c r="FB16" s="108"/>
      <c r="FC16" s="185" t="str">
        <f>IFERROR((((COUNTIF('Elève (6ème1)'!EZ16:FB16,"A"))*4)+((COUNTIF('Elève (6ème1)'!EZ16:FB16,"B"))*3)+((COUNTIF('Elève (6ème1)'!EZ16:FB16,"C"))*2)+((COUNTIF('Elève (6ème1)'!EZ16:FB16,"D"))*1))/(COUNTA(EZ16:FB16)),"")</f>
        <v/>
      </c>
      <c r="FD16" s="186" t="str">
        <f t="shared" si="36"/>
        <v/>
      </c>
      <c r="FE16" s="172"/>
      <c r="FF16" s="107" t="s">
        <v>23</v>
      </c>
      <c r="FG16" s="108" t="s">
        <v>25</v>
      </c>
      <c r="FH16" s="185">
        <f>IFERROR((((COUNTIF('Elève (6ème1)'!FE16:FG16,"A"))*4)+((COUNTIF('Elève (6ème1)'!FE16:FG16,"B"))*3)+((COUNTIF('Elève (6ème1)'!FE16:FG16,"C"))*2)+((COUNTIF('Elève (6ème1)'!FE16:FG16,"D"))*1))/(COUNTA(FE16:FG16)),"")</f>
        <v>3</v>
      </c>
      <c r="FI16" s="186" t="str">
        <f t="shared" si="37"/>
        <v>B</v>
      </c>
      <c r="FJ16" s="172" t="s">
        <v>25</v>
      </c>
      <c r="FK16" s="107" t="s">
        <v>24</v>
      </c>
      <c r="FL16" s="108"/>
      <c r="FM16" s="185">
        <f>IFERROR((((COUNTIF('Elève (6ème1)'!FJ16:FL16,"A"))*4)+((COUNTIF('Elève (6ème1)'!FJ16:FL16,"B"))*3)+((COUNTIF('Elève (6ème1)'!FJ16:FL16,"C"))*2)+((COUNTIF('Elève (6ème1)'!FJ16:FL16,"D"))*1))/(COUNTA(FJ16:FL16)),"")</f>
        <v>2.5</v>
      </c>
      <c r="FN16" s="186" t="str">
        <f t="shared" si="38"/>
        <v>C</v>
      </c>
      <c r="FO16" s="185">
        <f>IF(COUNT(FC16,FH16,FM16)=0,"",SUM(FC16,FH16,FM16)/COUNT(FC16,FH16,FM16))</f>
        <v>2.75</v>
      </c>
      <c r="FP16" s="208" t="str">
        <f t="shared" si="39"/>
        <v>C</v>
      </c>
      <c r="FQ16" s="217"/>
      <c r="FR16" s="107"/>
      <c r="FS16" s="108"/>
      <c r="FT16" s="185" t="str">
        <f>IFERROR((((COUNTIF('Elève (6ème1)'!FQ16:FS16,"A"))*4)+((COUNTIF('Elève (6ème1)'!FQ16:FS16,"B"))*3)+((COUNTIF('Elève (6ème1)'!FQ16:FS16,"C"))*2)+((COUNTIF('Elève (6ème1)'!FQ16:FS16,"D"))*1))/(COUNTA(FQ16:FS16)),"")</f>
        <v/>
      </c>
      <c r="FU16" s="186" t="str">
        <f t="shared" si="40"/>
        <v/>
      </c>
      <c r="FV16" s="172"/>
      <c r="FW16" s="107" t="s">
        <v>24</v>
      </c>
      <c r="FX16" s="108" t="s">
        <v>23</v>
      </c>
      <c r="FY16" s="185">
        <f>IFERROR((((COUNTIF('Elève (6ème1)'!FV16:FX16,"A"))*4)+((COUNTIF('Elève (6ème1)'!FV16:FX16,"B"))*3)+((COUNTIF('Elève (6ème1)'!FV16:FX16,"C"))*2)+((COUNTIF('Elève (6ème1)'!FV16:FX16,"D"))*1))/(COUNTA(FV16:FX16)),"")</f>
        <v>3.5</v>
      </c>
      <c r="FZ16" s="186" t="str">
        <f t="shared" si="41"/>
        <v>B</v>
      </c>
      <c r="GA16" s="172" t="s">
        <v>24</v>
      </c>
      <c r="GB16" s="107" t="s">
        <v>24</v>
      </c>
      <c r="GC16" s="108"/>
      <c r="GD16" s="185">
        <f>IFERROR((((COUNTIF('Elève (6ème1)'!GA16:GC16,"A"))*4)+((COUNTIF('Elève (6ème1)'!GA16:GC16,"B"))*3)+((COUNTIF('Elève (6ème1)'!GA16:GC16,"C"))*2)+((COUNTIF('Elève (6ème1)'!GA16:GC16,"D"))*1))/(COUNTA(GA16:GC16)),"")</f>
        <v>3</v>
      </c>
      <c r="GE16" s="186" t="str">
        <f t="shared" si="42"/>
        <v>B</v>
      </c>
      <c r="GF16" s="185">
        <f>IF(COUNT(FT16,FY16,GD16)=0,"",SUM(FT16,FY16,GD16)/COUNT(FT16,FY16,GD16))</f>
        <v>3.25</v>
      </c>
      <c r="GG16" s="208" t="str">
        <f t="shared" si="43"/>
        <v>B</v>
      </c>
      <c r="GH16" s="217"/>
      <c r="GI16" s="107"/>
      <c r="GJ16" s="108"/>
      <c r="GK16" s="185" t="str">
        <f>IFERROR((((COUNTIF('Elève (6ème1)'!GH16:GJ16,"A"))*4)+((COUNTIF('Elève (6ème1)'!GH16:GJ16,"B"))*3)+((COUNTIF('Elève (6ème1)'!GH16:GJ16,"C"))*2)+((COUNTIF('Elève (6ème1)'!GH16:GJ16,"D"))*1))/(COUNTA(GH16:GJ16)),"")</f>
        <v/>
      </c>
      <c r="GL16" s="186" t="str">
        <f t="shared" si="44"/>
        <v/>
      </c>
      <c r="GM16" s="172"/>
      <c r="GN16" s="107" t="s">
        <v>23</v>
      </c>
      <c r="GO16" s="108"/>
      <c r="GP16" s="185">
        <f>IFERROR((((COUNTIF('Elève (6ème1)'!GM16:GO16,"A"))*4)+((COUNTIF('Elève (6ème1)'!GM16:GO16,"B"))*3)+((COUNTIF('Elève (6ème1)'!GM16:GO16,"C"))*2)+((COUNTIF('Elève (6ème1)'!GM16:GO16,"D"))*1))/(COUNTA(GM16:GO16)),"")</f>
        <v>4</v>
      </c>
      <c r="GQ16" s="186" t="str">
        <f t="shared" si="45"/>
        <v>A</v>
      </c>
      <c r="GR16" s="172" t="s">
        <v>24</v>
      </c>
      <c r="GS16" s="107"/>
      <c r="GT16" s="108"/>
      <c r="GU16" s="185">
        <f>IFERROR((((COUNTIF('Elève (6ème1)'!GR16:GT16,"A"))*4)+((COUNTIF('Elève (6ème1)'!GR16:GT16,"B"))*3)+((COUNTIF('Elève (6ème1)'!GR16:GT16,"C"))*2)+((COUNTIF('Elève (6ème1)'!GR16:GT16,"D"))*1))/(COUNTA(GR16:GT16)),"")</f>
        <v>3</v>
      </c>
      <c r="GV16" s="186" t="str">
        <f t="shared" si="46"/>
        <v>B</v>
      </c>
      <c r="GW16" s="185">
        <f>IF(COUNT(GK16,GP16,GU16)=0,"",SUM(GK16,GP16,GU16)/COUNT(GK16,GP16,GU16))</f>
        <v>3.5</v>
      </c>
      <c r="GX16" s="208" t="str">
        <f t="shared" si="47"/>
        <v>B</v>
      </c>
      <c r="GY16" s="217"/>
      <c r="GZ16" s="107"/>
      <c r="HA16" s="108"/>
      <c r="HB16" s="185" t="str">
        <f>IFERROR((((COUNTIF('Elève (6ème1)'!GY16:HA16,"A"))*4)+((COUNTIF('Elève (6ème1)'!GY16:HA16,"B"))*3)+((COUNTIF('Elève (6ème1)'!GY16:HA16,"C"))*2)+((COUNTIF('Elève (6ème1)'!GY16:HA16,"D"))*1))/(COUNTA(GY16:HA16)),"")</f>
        <v/>
      </c>
      <c r="HC16" s="186" t="str">
        <f t="shared" si="48"/>
        <v/>
      </c>
      <c r="HD16" s="172"/>
      <c r="HE16" s="107" t="s">
        <v>23</v>
      </c>
      <c r="HF16" s="108"/>
      <c r="HG16" s="185">
        <f>IFERROR((((COUNTIF('Elève (6ème1)'!HD16:HF16,"A"))*4)+((COUNTIF('Elève (6ème1)'!HD16:HF16,"B"))*3)+((COUNTIF('Elève (6ème1)'!HD16:HF16,"C"))*2)+((COUNTIF('Elève (6ème1)'!HD16:HF16,"D"))*1))/(COUNTA(HD16:HF16)),"")</f>
        <v>4</v>
      </c>
      <c r="HH16" s="186" t="str">
        <f t="shared" si="49"/>
        <v>A</v>
      </c>
      <c r="HI16" s="172"/>
      <c r="HJ16" s="107" t="s">
        <v>25</v>
      </c>
      <c r="HK16" s="108"/>
      <c r="HL16" s="185">
        <f>IFERROR((((COUNTIF('Elève (6ème1)'!HI16:HK16,"A"))*4)+((COUNTIF('Elève (6ème1)'!HI16:HK16,"B"))*3)+((COUNTIF('Elève (6ème1)'!HI16:HK16,"C"))*2)+((COUNTIF('Elève (6ème1)'!HI16:HK16,"D"))*1))/(COUNTA(HI16:HK16)),"")</f>
        <v>2</v>
      </c>
      <c r="HM16" s="186" t="str">
        <f t="shared" si="50"/>
        <v>C</v>
      </c>
      <c r="HN16" s="185">
        <f>IF(COUNT(HB16,HG16,HL16)=0,"",SUM(HB16,HG16,HL16)/COUNT(HB16,HG16,HL16))</f>
        <v>3</v>
      </c>
      <c r="HO16" s="208" t="str">
        <f t="shared" si="51"/>
        <v>B</v>
      </c>
      <c r="HP16" s="217"/>
      <c r="HQ16" s="107"/>
      <c r="HR16" s="108"/>
      <c r="HS16" s="185" t="str">
        <f>IFERROR((((COUNTIF('Elève (6ème1)'!HP16:HR16,"A"))*4)+((COUNTIF('Elève (6ème1)'!HP16:HR16,"B"))*3)+((COUNTIF('Elève (6ème1)'!HP16:HR16,"C"))*2)+((COUNTIF('Elève (6ème1)'!HP16:HR16,"D"))*1))/(COUNTA(HP16:HR16)),"")</f>
        <v/>
      </c>
      <c r="HT16" s="186" t="str">
        <f t="shared" si="52"/>
        <v/>
      </c>
      <c r="HU16" s="172"/>
      <c r="HV16" s="107" t="s">
        <v>23</v>
      </c>
      <c r="HW16" s="108" t="s">
        <v>25</v>
      </c>
      <c r="HX16" s="185">
        <f>IFERROR((((COUNTIF('Elève (6ème1)'!HU16:HW16,"A"))*4)+((COUNTIF('Elève (6ème1)'!HU16:HW16,"B"))*3)+((COUNTIF('Elève (6ème1)'!HU16:HW16,"C"))*2)+((COUNTIF('Elève (6ème1)'!HU16:HW16,"D"))*1))/(COUNTA(HU16:HW16)),"")</f>
        <v>3</v>
      </c>
      <c r="HY16" s="186" t="str">
        <f t="shared" si="53"/>
        <v>B</v>
      </c>
      <c r="HZ16" s="172" t="s">
        <v>23</v>
      </c>
      <c r="IA16" s="107" t="s">
        <v>23</v>
      </c>
      <c r="IB16" s="108"/>
      <c r="IC16" s="185">
        <f>IFERROR((((COUNTIF('Elève (6ème1)'!HZ16:IB16,"A"))*4)+((COUNTIF('Elève (6ème1)'!HZ16:IB16,"B"))*3)+((COUNTIF('Elève (6ème1)'!HZ16:IB16,"C"))*2)+((COUNTIF('Elève (6ème1)'!HZ16:IB16,"D"))*1))/(COUNTA(HZ16:IB16)),"")</f>
        <v>4</v>
      </c>
      <c r="ID16" s="186" t="str">
        <f t="shared" si="54"/>
        <v>A</v>
      </c>
      <c r="IE16" s="185">
        <f>IF(COUNT(HS16,HX16,IC16)=0,"",SUM(HS16,HX16,IC16)/COUNT(HS16,HX16,IC16))</f>
        <v>3.5</v>
      </c>
      <c r="IF16" s="208" t="str">
        <f t="shared" si="55"/>
        <v>B</v>
      </c>
      <c r="IG16" s="217"/>
      <c r="IH16" s="107"/>
      <c r="II16" s="108"/>
      <c r="IJ16" s="185" t="str">
        <f>IFERROR((((COUNTIF('Elève (6ème1)'!IG16:II16,"A"))*4)+((COUNTIF('Elève (6ème1)'!IG16:II16,"B"))*3)+((COUNTIF('Elève (6ème1)'!IG16:II16,"C"))*2)+((COUNTIF('Elève (6ème1)'!IG16:II16,"D"))*1))/(COUNTA(IG16:II16)),"")</f>
        <v/>
      </c>
      <c r="IK16" s="186" t="str">
        <f t="shared" si="56"/>
        <v/>
      </c>
      <c r="IL16" s="172"/>
      <c r="IM16" s="107" t="s">
        <v>23</v>
      </c>
      <c r="IN16" s="108"/>
      <c r="IO16" s="185">
        <f>IFERROR((((COUNTIF('Elève (6ème1)'!IL16:IN16,"A"))*4)+((COUNTIF('Elève (6ème1)'!IL16:IN16,"B"))*3)+((COUNTIF('Elève (6ème1)'!IL16:IN16,"C"))*2)+((COUNTIF('Elève (6ème1)'!IL16:IN16,"D"))*1))/(COUNTA(IL16:IN16)),"")</f>
        <v>4</v>
      </c>
      <c r="IP16" s="186" t="str">
        <f t="shared" si="57"/>
        <v>A</v>
      </c>
      <c r="IQ16" s="172" t="s">
        <v>23</v>
      </c>
      <c r="IR16" s="107"/>
      <c r="IS16" s="108"/>
      <c r="IT16" s="185">
        <f>IFERROR((((COUNTIF('Elève (6ème1)'!IQ16:IS16,"A"))*4)+((COUNTIF('Elève (6ème1)'!IQ16:IS16,"B"))*3)+((COUNTIF('Elève (6ème1)'!IQ16:IS16,"C"))*2)+((COUNTIF('Elève (6ème1)'!IQ16:IS16,"D"))*1))/(COUNTA(IQ16:IS16)),"")</f>
        <v>4</v>
      </c>
      <c r="IU16" s="186" t="str">
        <f t="shared" si="58"/>
        <v>A</v>
      </c>
      <c r="IV16" s="185">
        <f>IF(COUNT(IJ16,IO16,IT16)=0,"",SUM(IJ16,IO16,IT16)/COUNT(IJ16,IO16,IT16))</f>
        <v>4</v>
      </c>
      <c r="IW16" s="208" t="str">
        <f t="shared" si="59"/>
        <v>A</v>
      </c>
      <c r="IX16" s="217"/>
      <c r="IY16" s="107"/>
      <c r="IZ16" s="108"/>
      <c r="JA16" s="185" t="str">
        <f>IFERROR((((COUNTIF('Elève (6ème1)'!IX16:IZ16,"A"))*4)+((COUNTIF('Elève (6ème1)'!IX16:IZ16,"B"))*3)+((COUNTIF('Elève (6ème1)'!IX16:IZ16,"C"))*2)+((COUNTIF('Elève (6ème1)'!IX16:IZ16,"D"))*1))/(COUNTA(IX16:IZ16)),"")</f>
        <v/>
      </c>
      <c r="JB16" s="186" t="str">
        <f t="shared" si="60"/>
        <v/>
      </c>
      <c r="JC16" s="172"/>
      <c r="JD16" s="107" t="s">
        <v>23</v>
      </c>
      <c r="JE16" s="108"/>
      <c r="JF16" s="185">
        <f>IFERROR((((COUNTIF('Elève (6ème1)'!JC16:JE16,"A"))*4)+((COUNTIF('Elève (6ème1)'!JC16:JE16,"B"))*3)+((COUNTIF('Elève (6ème1)'!JC16:JE16,"C"))*2)+((COUNTIF('Elève (6ème1)'!JC16:JE16,"D"))*1))/(COUNTA(JC16:JE16)),"")</f>
        <v>4</v>
      </c>
      <c r="JG16" s="186" t="str">
        <f t="shared" si="61"/>
        <v>A</v>
      </c>
      <c r="JH16" s="172" t="s">
        <v>25</v>
      </c>
      <c r="JI16" s="107" t="s">
        <v>24</v>
      </c>
      <c r="JJ16" s="108"/>
      <c r="JK16" s="185">
        <f>IFERROR((((COUNTIF('Elève (6ème1)'!JH16:JJ16,"A"))*4)+((COUNTIF('Elève (6ème1)'!JH16:JJ16,"B"))*3)+((COUNTIF('Elève (6ème1)'!JH16:JJ16,"C"))*2)+((COUNTIF('Elève (6ème1)'!JH16:JJ16,"D"))*1))/(COUNTA(JH16:JJ16)),"")</f>
        <v>2.5</v>
      </c>
      <c r="JL16" s="186" t="str">
        <f t="shared" si="62"/>
        <v>C</v>
      </c>
      <c r="JM16" s="185">
        <f>IF(COUNT(JA16,JF16,JK16)=0,"",SUM(JA16,JF16,JK16)/COUNT(JA16,JF16,JK16))</f>
        <v>3.25</v>
      </c>
      <c r="JN16" s="208" t="str">
        <f t="shared" si="63"/>
        <v>B</v>
      </c>
      <c r="JO16" s="217"/>
      <c r="JP16" s="107"/>
      <c r="JQ16" s="108"/>
      <c r="JR16" s="185" t="str">
        <f>IFERROR((((COUNTIF('Elève (6ème1)'!JO16:JQ16,"A"))*4)+((COUNTIF('Elève (6ème1)'!JO16:JQ16,"B"))*3)+((COUNTIF('Elève (6ème1)'!JO16:JQ16,"C"))*2)+((COUNTIF('Elève (6ème1)'!JO16:JQ16,"D"))*1))/(COUNTA(JO16:JQ16)),"")</f>
        <v/>
      </c>
      <c r="JS16" s="186" t="str">
        <f t="shared" si="64"/>
        <v/>
      </c>
      <c r="JT16" s="172"/>
      <c r="JU16" s="107" t="s">
        <v>24</v>
      </c>
      <c r="JV16" s="108" t="s">
        <v>25</v>
      </c>
      <c r="JW16" s="185">
        <f>IFERROR((((COUNTIF('Elève (6ème1)'!JT16:JV16,"A"))*4)+((COUNTIF('Elève (6ème1)'!JT16:JV16,"B"))*3)+((COUNTIF('Elève (6ème1)'!JT16:JV16,"C"))*2)+((COUNTIF('Elève (6ème1)'!JT16:JV16,"D"))*1))/(COUNTA(JT16:JV16)),"")</f>
        <v>2.5</v>
      </c>
      <c r="JX16" s="186" t="str">
        <f t="shared" si="65"/>
        <v>C</v>
      </c>
      <c r="JY16" s="172" t="s">
        <v>23</v>
      </c>
      <c r="JZ16" s="107" t="s">
        <v>24</v>
      </c>
      <c r="KA16" s="108"/>
      <c r="KB16" s="185">
        <f>IFERROR((((COUNTIF('Elève (6ème1)'!JY16:KA16,"A"))*4)+((COUNTIF('Elève (6ème1)'!JY16:KA16,"B"))*3)+((COUNTIF('Elève (6ème1)'!JY16:KA16,"C"))*2)+((COUNTIF('Elève (6ème1)'!JY16:KA16,"D"))*1))/(COUNTA(JY16:KA16)),"")</f>
        <v>3.5</v>
      </c>
      <c r="KC16" s="186" t="str">
        <f t="shared" si="66"/>
        <v>B</v>
      </c>
      <c r="KD16" s="185">
        <f>IF(COUNT(JR16,JW16,KB16)=0,"",SUM(JR16,JW16,KB16)/COUNT(JR16,JW16,KB16))</f>
        <v>3</v>
      </c>
      <c r="KE16" s="208" t="str">
        <f t="shared" si="67"/>
        <v>B</v>
      </c>
      <c r="KF16" s="217"/>
      <c r="KG16" s="107"/>
      <c r="KH16" s="108"/>
      <c r="KI16" s="185" t="str">
        <f>IFERROR((((COUNTIF('Elève (6ème1)'!KF16:KH16,"A"))*4)+((COUNTIF('Elève (6ème1)'!KF16:KH16,"B"))*3)+((COUNTIF('Elève (6ème1)'!KF16:KH16,"C"))*2)+((COUNTIF('Elève (6ème1)'!KF16:KH16,"D"))*1))/(COUNTA(KF16:KH16)),"")</f>
        <v/>
      </c>
      <c r="KJ16" s="186" t="str">
        <f t="shared" si="68"/>
        <v/>
      </c>
      <c r="KK16" s="172"/>
      <c r="KL16" s="107" t="s">
        <v>23</v>
      </c>
      <c r="KM16" s="108" t="s">
        <v>25</v>
      </c>
      <c r="KN16" s="185">
        <f>IFERROR((((COUNTIF('Elève (6ème1)'!KK16:KM16,"A"))*4)+((COUNTIF('Elève (6ème1)'!KK16:KM16,"B"))*3)+((COUNTIF('Elève (6ème1)'!KK16:KM16,"C"))*2)+((COUNTIF('Elève (6ème1)'!KK16:KM16,"D"))*1))/(COUNTA(KK16:KM16)),"")</f>
        <v>3</v>
      </c>
      <c r="KO16" s="186" t="str">
        <f t="shared" si="69"/>
        <v>B</v>
      </c>
      <c r="KP16" s="172" t="s">
        <v>25</v>
      </c>
      <c r="KQ16" s="107" t="s">
        <v>25</v>
      </c>
      <c r="KR16" s="108"/>
      <c r="KS16" s="185">
        <f>IFERROR((((COUNTIF('Elève (6ème1)'!KP16:KR16,"A"))*4)+((COUNTIF('Elève (6ème1)'!KP16:KR16,"B"))*3)+((COUNTIF('Elève (6ème1)'!KP16:KR16,"C"))*2)+((COUNTIF('Elève (6ème1)'!KP16:KR16,"D"))*1))/(COUNTA(KP16:KR16)),"")</f>
        <v>2</v>
      </c>
      <c r="KT16" s="186" t="str">
        <f t="shared" si="70"/>
        <v>C</v>
      </c>
      <c r="KU16" s="185">
        <f>IF(COUNT(KI16,KN16,KS16)=0,"",SUM(KI16,KN16,KS16)/COUNT(KI16,KN16,KS16))</f>
        <v>2.5</v>
      </c>
      <c r="KV16" s="208" t="str">
        <f t="shared" si="71"/>
        <v>C</v>
      </c>
      <c r="KW16" s="217"/>
      <c r="KX16" s="107"/>
      <c r="KY16" s="108"/>
      <c r="KZ16" s="185" t="str">
        <f>IFERROR((((COUNTIF('Elève (6ème1)'!KW16:KY16,"A"))*4)+((COUNTIF('Elève (6ème1)'!KW16:KY16,"B"))*3)+((COUNTIF('Elève (6ème1)'!KW16:KY16,"C"))*2)+((COUNTIF('Elève (6ème1)'!KW16:KY16,"D"))*1))/(COUNTA(KW16:KY16)),"")</f>
        <v/>
      </c>
      <c r="LA16" s="186" t="str">
        <f t="shared" si="72"/>
        <v/>
      </c>
      <c r="LB16" s="172"/>
      <c r="LC16" s="107" t="s">
        <v>23</v>
      </c>
      <c r="LD16" s="108" t="s">
        <v>23</v>
      </c>
      <c r="LE16" s="185">
        <f>IFERROR((((COUNTIF('Elève (6ème1)'!LB16:LD16,"A"))*4)+((COUNTIF('Elève (6ème1)'!LB16:LD16,"B"))*3)+((COUNTIF('Elève (6ème1)'!LB16:LD16,"C"))*2)+((COUNTIF('Elève (6ème1)'!LB16:LD16,"D"))*1))/(COUNTA(LB16:LD16)),"")</f>
        <v>4</v>
      </c>
      <c r="LF16" s="186" t="str">
        <f t="shared" si="73"/>
        <v>A</v>
      </c>
      <c r="LG16" s="172" t="s">
        <v>23</v>
      </c>
      <c r="LH16" s="107" t="s">
        <v>23</v>
      </c>
      <c r="LI16" s="108"/>
      <c r="LJ16" s="185">
        <f>IFERROR((((COUNTIF('Elève (6ème1)'!LG16:LI16,"A"))*4)+((COUNTIF('Elève (6ème1)'!LG16:LI16,"B"))*3)+((COUNTIF('Elève (6ème1)'!LG16:LI16,"C"))*2)+((COUNTIF('Elève (6ème1)'!LG16:LI16,"D"))*1))/(COUNTA(LG16:LI16)),"")</f>
        <v>4</v>
      </c>
      <c r="LK16" s="186" t="str">
        <f t="shared" si="74"/>
        <v>A</v>
      </c>
      <c r="LL16" s="185">
        <f>IF(COUNT(KZ16,LE16,LJ16)=0,"",SUM(KZ16,LE16,LJ16)/COUNT(KZ16,LE16,LJ16))</f>
        <v>4</v>
      </c>
      <c r="LM16" s="208" t="str">
        <f t="shared" si="75"/>
        <v>A</v>
      </c>
      <c r="LN16" s="217"/>
      <c r="LO16" s="107"/>
      <c r="LP16" s="108"/>
      <c r="LQ16" s="185" t="str">
        <f>IFERROR((((COUNTIF('Elève (6ème1)'!LN16:LP16,"A"))*4)+((COUNTIF('Elève (6ème1)'!LN16:LP16,"B"))*3)+((COUNTIF('Elève (6ème1)'!LN16:LP16,"C"))*2)+((COUNTIF('Elève (6ème1)'!LN16:LP16,"D"))*1))/(COUNTA(LN16:LP16)),"")</f>
        <v/>
      </c>
      <c r="LR16" s="186" t="str">
        <f t="shared" si="76"/>
        <v/>
      </c>
      <c r="LS16" s="172"/>
      <c r="LT16" s="107" t="s">
        <v>25</v>
      </c>
      <c r="LU16" s="108"/>
      <c r="LV16" s="185">
        <f>IFERROR((((COUNTIF('Elève (6ème1)'!LS16:LU16,"A"))*4)+((COUNTIF('Elève (6ème1)'!LS16:LU16,"B"))*3)+((COUNTIF('Elève (6ème1)'!LS16:LU16,"C"))*2)+((COUNTIF('Elève (6ème1)'!LS16:LU16,"D"))*1))/(COUNTA(LS16:LU16)),"")</f>
        <v>2</v>
      </c>
      <c r="LW16" s="186" t="str">
        <f t="shared" si="77"/>
        <v>C</v>
      </c>
      <c r="LX16" s="172" t="s">
        <v>24</v>
      </c>
      <c r="LY16" s="107" t="s">
        <v>24</v>
      </c>
      <c r="LZ16" s="108"/>
      <c r="MA16" s="185">
        <f>IFERROR((((COUNTIF('Elève (6ème1)'!LX16:LZ16,"A"))*4)+((COUNTIF('Elève (6ème1)'!LX16:LZ16,"B"))*3)+((COUNTIF('Elève (6ème1)'!LX16:LZ16,"C"))*2)+((COUNTIF('Elève (6ème1)'!LX16:LZ16,"D"))*1))/(COUNTA(LX16:LZ16)),"")</f>
        <v>3</v>
      </c>
      <c r="MB16" s="186" t="str">
        <f t="shared" si="78"/>
        <v>B</v>
      </c>
      <c r="MC16" s="185">
        <f>IF(COUNT(LQ16,LV16,MA16)=0,"",SUM(LQ16,LV16,MA16)/COUNT(LQ16,LV16,MA16))</f>
        <v>2.5</v>
      </c>
      <c r="MD16" s="208" t="str">
        <f t="shared" si="79"/>
        <v>C</v>
      </c>
      <c r="ME16" s="217"/>
      <c r="MF16" s="107"/>
      <c r="MG16" s="108"/>
      <c r="MH16" s="185" t="str">
        <f>IFERROR((((COUNTIF('Elève (6ème1)'!ME16:MG16,"A"))*4)+((COUNTIF('Elève (6ème1)'!ME16:MG16,"B"))*3)+((COUNTIF('Elève (6ème1)'!ME16:MG16,"C"))*2)+((COUNTIF('Elève (6ème1)'!ME16:MG16,"D"))*1))/(COUNTA(ME16:MG16)),"")</f>
        <v/>
      </c>
      <c r="MI16" s="186" t="str">
        <f t="shared" si="80"/>
        <v/>
      </c>
      <c r="MJ16" s="172"/>
      <c r="MK16" s="107" t="s">
        <v>23</v>
      </c>
      <c r="ML16" s="108" t="s">
        <v>23</v>
      </c>
      <c r="MM16" s="185">
        <f>IFERROR((((COUNTIF('Elève (6ème1)'!MJ16:ML16,"A"))*4)+((COUNTIF('Elève (6ème1)'!MJ16:ML16,"B"))*3)+((COUNTIF('Elève (6ème1)'!MJ16:ML16,"C"))*2)+((COUNTIF('Elève (6ème1)'!MJ16:ML16,"D"))*1))/(COUNTA(MJ16:ML16)),"")</f>
        <v>4</v>
      </c>
      <c r="MN16" s="186" t="str">
        <f t="shared" si="81"/>
        <v>A</v>
      </c>
      <c r="MO16" s="172" t="s">
        <v>24</v>
      </c>
      <c r="MP16" s="107" t="s">
        <v>24</v>
      </c>
      <c r="MQ16" s="108"/>
      <c r="MR16" s="185">
        <f>IFERROR((((COUNTIF('Elève (6ème1)'!MO16:MQ16,"A"))*4)+((COUNTIF('Elève (6ème1)'!MO16:MQ16,"B"))*3)+((COUNTIF('Elève (6ème1)'!MO16:MQ16,"C"))*2)+((COUNTIF('Elève (6ème1)'!MO16:MQ16,"D"))*1))/(COUNTA(MO16:MQ16)),"")</f>
        <v>3</v>
      </c>
      <c r="MS16" s="186" t="str">
        <f t="shared" si="82"/>
        <v>B</v>
      </c>
      <c r="MT16" s="185">
        <f>IF(COUNT(MH16,MM16,MR16)=0,"",SUM(MH16,MM16,MR16)/COUNT(MH16,MM16,MR16))</f>
        <v>3.5</v>
      </c>
      <c r="MU16" s="208" t="str">
        <f t="shared" si="83"/>
        <v>B</v>
      </c>
      <c r="MV16" s="217"/>
      <c r="MW16" s="107"/>
      <c r="MX16" s="108"/>
      <c r="MY16" s="185" t="str">
        <f>IFERROR((((COUNTIF('Elève (6ème1)'!MV16:MX16,"A"))*4)+((COUNTIF('Elève (6ème1)'!MV16:MX16,"B"))*3)+((COUNTIF('Elève (6ème1)'!MV16:MX16,"C"))*2)+((COUNTIF('Elève (6ème1)'!MV16:MX16,"D"))*1))/(COUNTA(MV16:MX16)),"")</f>
        <v/>
      </c>
      <c r="MZ16" s="186" t="str">
        <f t="shared" si="84"/>
        <v/>
      </c>
      <c r="NA16" s="172"/>
      <c r="NB16" s="107" t="s">
        <v>23</v>
      </c>
      <c r="NC16" s="108" t="s">
        <v>25</v>
      </c>
      <c r="ND16" s="185">
        <f>IFERROR((((COUNTIF('Elève (6ème1)'!NA16:NC16,"A"))*4)+((COUNTIF('Elève (6ème1)'!NA16:NC16,"B"))*3)+((COUNTIF('Elève (6ème1)'!NA16:NC16,"C"))*2)+((COUNTIF('Elève (6ème1)'!NA16:NC16,"D"))*1))/(COUNTA(NA16:NC16)),"")</f>
        <v>3</v>
      </c>
      <c r="NE16" s="186" t="str">
        <f t="shared" si="85"/>
        <v>B</v>
      </c>
      <c r="NF16" s="172" t="s">
        <v>25</v>
      </c>
      <c r="NG16" s="107" t="s">
        <v>26</v>
      </c>
      <c r="NH16" s="108"/>
      <c r="NI16" s="185">
        <f>IFERROR((((COUNTIF('Elève (6ème1)'!NF16:NH16,"A"))*4)+((COUNTIF('Elève (6ème1)'!NF16:NH16,"B"))*3)+((COUNTIF('Elève (6ème1)'!NF16:NH16,"C"))*2)+((COUNTIF('Elève (6ème1)'!NF16:NH16,"D"))*1))/(COUNTA(NF16:NH16)),"")</f>
        <v>1.5</v>
      </c>
      <c r="NJ16" s="186" t="str">
        <f t="shared" si="86"/>
        <v>D</v>
      </c>
      <c r="NK16" s="185">
        <f>IF(COUNT(MY16,ND16,NI16)=0,"",SUM(MY16,ND16,NI16)/COUNT(MY16,ND16,NI16))</f>
        <v>2.25</v>
      </c>
      <c r="NL16" s="208" t="str">
        <f t="shared" si="87"/>
        <v>C</v>
      </c>
      <c r="NM16" s="217"/>
      <c r="NN16" s="107"/>
      <c r="NO16" s="108"/>
      <c r="NP16" s="185" t="str">
        <f>IFERROR((((COUNTIF('Elève (6ème1)'!NM16:NO16,"A"))*4)+((COUNTIF('Elève (6ème1)'!NM16:NO16,"B"))*3)+((COUNTIF('Elève (6ème1)'!NM16:NO16,"C"))*2)+((COUNTIF('Elève (6ème1)'!NM16:NO16,"D"))*1))/(COUNTA(NM16:NO16)),"")</f>
        <v/>
      </c>
      <c r="NQ16" s="186" t="str">
        <f t="shared" si="88"/>
        <v/>
      </c>
      <c r="NR16" s="172"/>
      <c r="NS16" s="107" t="s">
        <v>23</v>
      </c>
      <c r="NT16" s="108" t="s">
        <v>23</v>
      </c>
      <c r="NU16" s="185">
        <f>IFERROR((((COUNTIF('Elève (6ème1)'!NR16:NT16,"A"))*4)+((COUNTIF('Elève (6ème1)'!NR16:NT16,"B"))*3)+((COUNTIF('Elève (6ème1)'!NR16:NT16,"C"))*2)+((COUNTIF('Elève (6ème1)'!NR16:NT16,"D"))*1))/(COUNTA(NR16:NT16)),"")</f>
        <v>4</v>
      </c>
      <c r="NV16" s="186" t="str">
        <f t="shared" si="89"/>
        <v>A</v>
      </c>
      <c r="NW16" s="172" t="s">
        <v>24</v>
      </c>
      <c r="NX16" s="107" t="s">
        <v>24</v>
      </c>
      <c r="NY16" s="108"/>
      <c r="NZ16" s="185">
        <f>IFERROR((((COUNTIF('Elève (6ème1)'!NW16:NY16,"A"))*4)+((COUNTIF('Elève (6ème1)'!NW16:NY16,"B"))*3)+((COUNTIF('Elève (6ème1)'!NW16:NY16,"C"))*2)+((COUNTIF('Elève (6ème1)'!NW16:NY16,"D"))*1))/(COUNTA(NW16:NY16)),"")</f>
        <v>3</v>
      </c>
      <c r="OA16" s="186" t="str">
        <f t="shared" si="90"/>
        <v>B</v>
      </c>
      <c r="OB16" s="185">
        <f>IF(COUNT(NP16,NU16,NZ16)=0,"",SUM(NP16,NU16,NZ16)/COUNT(NP16,NU16,NZ16))</f>
        <v>3.5</v>
      </c>
      <c r="OC16" s="208" t="str">
        <f t="shared" si="91"/>
        <v>B</v>
      </c>
      <c r="OD16" s="217"/>
      <c r="OE16" s="107"/>
      <c r="OF16" s="108"/>
      <c r="OG16" s="185" t="str">
        <f>IFERROR((((COUNTIF('Elève (6ème1)'!OD16:OF16,"A"))*4)+((COUNTIF('Elève (6ème1)'!OD16:OF16,"B"))*3)+((COUNTIF('Elève (6ème1)'!OD16:OF16,"C"))*2)+((COUNTIF('Elève (6ème1)'!OD16:OF16,"D"))*1))/(COUNTA(OD16:OF16)),"")</f>
        <v/>
      </c>
      <c r="OH16" s="186" t="str">
        <f t="shared" si="92"/>
        <v/>
      </c>
      <c r="OI16" s="172"/>
      <c r="OJ16" s="107" t="s">
        <v>23</v>
      </c>
      <c r="OK16" s="108" t="s">
        <v>23</v>
      </c>
      <c r="OL16" s="185">
        <f>IFERROR((((COUNTIF('Elève (6ème1)'!OI16:OK16,"A"))*4)+((COUNTIF('Elève (6ème1)'!OI16:OK16,"B"))*3)+((COUNTIF('Elève (6ème1)'!OI16:OK16,"C"))*2)+((COUNTIF('Elève (6ème1)'!OI16:OK16,"D"))*1))/(COUNTA(OI16:OK16)),"")</f>
        <v>4</v>
      </c>
      <c r="OM16" s="186" t="str">
        <f t="shared" si="93"/>
        <v>A</v>
      </c>
      <c r="ON16" s="172" t="s">
        <v>24</v>
      </c>
      <c r="OO16" s="107" t="s">
        <v>24</v>
      </c>
      <c r="OP16" s="108"/>
      <c r="OQ16" s="185">
        <f>IFERROR((((COUNTIF('Elève (6ème1)'!ON16:OP16,"A"))*4)+((COUNTIF('Elève (6ème1)'!ON16:OP16,"B"))*3)+((COUNTIF('Elève (6ème1)'!ON16:OP16,"C"))*2)+((COUNTIF('Elève (6ème1)'!ON16:OP16,"D"))*1))/(COUNTA(ON16:OP16)),"")</f>
        <v>3</v>
      </c>
      <c r="OR16" s="186" t="str">
        <f t="shared" si="94"/>
        <v>B</v>
      </c>
      <c r="OS16" s="185">
        <f>IF(COUNT(OG16,OL16,OQ16)=0,"",SUM(OG16,OL16,OQ16)/COUNT(OG16,OL16,OQ16))</f>
        <v>3.5</v>
      </c>
      <c r="OT16" s="208" t="str">
        <f t="shared" si="95"/>
        <v>B</v>
      </c>
      <c r="OU16" s="217"/>
      <c r="OV16" s="107"/>
      <c r="OW16" s="108"/>
      <c r="OX16" s="185" t="str">
        <f>IFERROR((((COUNTIF('Elève (6ème1)'!OU16:OW16,"A"))*4)+((COUNTIF('Elève (6ème1)'!OU16:OW16,"B"))*3)+((COUNTIF('Elève (6ème1)'!OU16:OW16,"C"))*2)+((COUNTIF('Elève (6ème1)'!OU16:OW16,"D"))*1))/(COUNTA(OU16:OW16)),"")</f>
        <v/>
      </c>
      <c r="OY16" s="186" t="str">
        <f t="shared" si="96"/>
        <v/>
      </c>
      <c r="OZ16" s="172"/>
      <c r="PA16" s="107" t="s">
        <v>23</v>
      </c>
      <c r="PB16" s="108"/>
      <c r="PC16" s="185">
        <f>IFERROR((((COUNTIF('Elève (6ème1)'!OZ16:PB16,"A"))*4)+((COUNTIF('Elève (6ème1)'!OZ16:PB16,"B"))*3)+((COUNTIF('Elève (6ème1)'!OZ16:PB16,"C"))*2)+((COUNTIF('Elève (6ème1)'!OZ16:PB16,"D"))*1))/(COUNTA(OZ16:PB16)),"")</f>
        <v>4</v>
      </c>
      <c r="PD16" s="186" t="str">
        <f t="shared" si="97"/>
        <v>A</v>
      </c>
      <c r="PE16" s="172" t="s">
        <v>23</v>
      </c>
      <c r="PF16" s="107"/>
      <c r="PG16" s="108"/>
      <c r="PH16" s="185">
        <f>IFERROR((((COUNTIF('Elève (6ème1)'!PE16:PG16,"A"))*4)+((COUNTIF('Elève (6ème1)'!PE16:PG16,"B"))*3)+((COUNTIF('Elève (6ème1)'!PE16:PG16,"C"))*2)+((COUNTIF('Elève (6ème1)'!PE16:PG16,"D"))*1))/(COUNTA(PE16:PG16)),"")</f>
        <v>4</v>
      </c>
      <c r="PI16" s="186" t="str">
        <f t="shared" si="98"/>
        <v>A</v>
      </c>
      <c r="PJ16" s="185">
        <f>IF(COUNT(OX16,PC16,PH16)=0,"",SUM(OX16,PC16,PH16)/COUNT(OX16,PC16,PH16))</f>
        <v>4</v>
      </c>
      <c r="PK16" s="208" t="str">
        <f t="shared" si="99"/>
        <v>A</v>
      </c>
      <c r="PL16" s="217"/>
      <c r="PM16" s="107"/>
      <c r="PN16" s="108"/>
      <c r="PO16" s="185" t="str">
        <f>IFERROR((((COUNTIF('Elève (6ème1)'!PL16:PN16,"A"))*4)+((COUNTIF('Elève (6ème1)'!PL16:PN16,"B"))*3)+((COUNTIF('Elève (6ème1)'!PL16:PN16,"C"))*2)+((COUNTIF('Elève (6ème1)'!PL16:PN16,"D"))*1))/(COUNTA(PL16:PN16)),"")</f>
        <v/>
      </c>
      <c r="PP16" s="186" t="str">
        <f t="shared" si="100"/>
        <v/>
      </c>
      <c r="PQ16" s="172"/>
      <c r="PR16" s="107" t="s">
        <v>25</v>
      </c>
      <c r="PS16" s="108" t="s">
        <v>24</v>
      </c>
      <c r="PT16" s="185">
        <f>IFERROR((((COUNTIF('Elève (6ème1)'!PQ16:PS16,"A"))*4)+((COUNTIF('Elève (6ème1)'!PQ16:PS16,"B"))*3)+((COUNTIF('Elève (6ème1)'!PQ16:PS16,"C"))*2)+((COUNTIF('Elève (6ème1)'!PQ16:PS16,"D"))*1))/(COUNTA(PQ16:PS16)),"")</f>
        <v>2.5</v>
      </c>
      <c r="PU16" s="186" t="str">
        <f t="shared" si="101"/>
        <v>C</v>
      </c>
      <c r="PV16" s="172" t="s">
        <v>24</v>
      </c>
      <c r="PW16" s="107" t="s">
        <v>24</v>
      </c>
      <c r="PX16" s="108"/>
      <c r="PY16" s="185">
        <f>IFERROR((((COUNTIF('Elève (6ème1)'!PV16:PX16,"A"))*4)+((COUNTIF('Elève (6ème1)'!PV16:PX16,"B"))*3)+((COUNTIF('Elève (6ème1)'!PV16:PX16,"C"))*2)+((COUNTIF('Elève (6ème1)'!PV16:PX16,"D"))*1))/(COUNTA(PV16:PX16)),"")</f>
        <v>3</v>
      </c>
      <c r="PZ16" s="186" t="str">
        <f t="shared" si="102"/>
        <v>B</v>
      </c>
      <c r="QA16" s="185">
        <f>IF(COUNT(PO16,PT16,PY16)=0,"",SUM(PO16,PT16,PY16)/COUNT(PO16,PT16,PY16))</f>
        <v>2.75</v>
      </c>
      <c r="QB16" s="208" t="str">
        <f t="shared" si="103"/>
        <v>C</v>
      </c>
      <c r="QC16" s="217"/>
      <c r="QD16" s="107"/>
      <c r="QE16" s="108"/>
      <c r="QF16" s="185" t="str">
        <f>IFERROR((((COUNTIF('Elève (6ème1)'!QC16:QE16,"A"))*4)+((COUNTIF('Elève (6ème1)'!QC16:QE16,"B"))*3)+((COUNTIF('Elève (6ème1)'!QC16:QE16,"C"))*2)+((COUNTIF('Elève (6ème1)'!QC16:QE16,"D"))*1))/(COUNTA(QC16:QE16)),"")</f>
        <v/>
      </c>
      <c r="QG16" s="186" t="str">
        <f t="shared" si="104"/>
        <v/>
      </c>
      <c r="QH16" s="172"/>
      <c r="QI16" s="107" t="s">
        <v>23</v>
      </c>
      <c r="QJ16" s="108"/>
      <c r="QK16" s="185">
        <f>IFERROR((((COUNTIF('Elève (6ème1)'!QH16:QJ16,"A"))*4)+((COUNTIF('Elève (6ème1)'!QH16:QJ16,"B"))*3)+((COUNTIF('Elève (6ème1)'!QH16:QJ16,"C"))*2)+((COUNTIF('Elève (6ème1)'!QH16:QJ16,"D"))*1))/(COUNTA(QH16:QJ16)),"")</f>
        <v>4</v>
      </c>
      <c r="QL16" s="186" t="str">
        <f t="shared" si="105"/>
        <v>A</v>
      </c>
      <c r="QM16" s="172" t="s">
        <v>24</v>
      </c>
      <c r="QN16" s="107" t="s">
        <v>24</v>
      </c>
      <c r="QO16" s="108"/>
      <c r="QP16" s="185">
        <f>IFERROR((((COUNTIF('Elève (6ème1)'!QM16:QO16,"A"))*4)+((COUNTIF('Elève (6ème1)'!QM16:QO16,"B"))*3)+((COUNTIF('Elève (6ème1)'!QM16:QO16,"C"))*2)+((COUNTIF('Elève (6ème1)'!QM16:QO16,"D"))*1))/(COUNTA(QM16:QO16)),"")</f>
        <v>3</v>
      </c>
      <c r="QQ16" s="186" t="str">
        <f t="shared" si="106"/>
        <v>B</v>
      </c>
      <c r="QR16" s="185">
        <f>IF(COUNT(QF16,QK16,QP16)=0,"",SUM(QF16,QK16,QP16)/COUNT(QF16,QK16,QP16))</f>
        <v>3.5</v>
      </c>
      <c r="QS16" s="208" t="str">
        <f t="shared" si="107"/>
        <v>B</v>
      </c>
      <c r="QT16" s="217"/>
      <c r="QU16" s="107"/>
      <c r="QV16" s="108"/>
      <c r="QW16" s="185" t="str">
        <f>IFERROR((((COUNTIF('Elève (6ème1)'!QT16:QV16,"A"))*4)+((COUNTIF('Elève (6ème1)'!QT16:QV16,"B"))*3)+((COUNTIF('Elève (6ème1)'!QT16:QV16,"C"))*2)+((COUNTIF('Elève (6ème1)'!QT16:QV16,"D"))*1))/(COUNTA(QT16:QV16)),"")</f>
        <v/>
      </c>
      <c r="QX16" s="186" t="str">
        <f t="shared" si="108"/>
        <v/>
      </c>
      <c r="QY16" s="172"/>
      <c r="QZ16" s="107" t="s">
        <v>23</v>
      </c>
      <c r="RA16" s="108"/>
      <c r="RB16" s="185">
        <f>IFERROR((((COUNTIF('Elève (6ème1)'!QY16:RA16,"A"))*4)+((COUNTIF('Elève (6ème1)'!QY16:RA16,"B"))*3)+((COUNTIF('Elève (6ème1)'!QY16:RA16,"C"))*2)+((COUNTIF('Elève (6ème1)'!QY16:RA16,"D"))*1))/(COUNTA(QY16:RA16)),"")</f>
        <v>4</v>
      </c>
      <c r="RC16" s="186" t="str">
        <f t="shared" si="109"/>
        <v>A</v>
      </c>
      <c r="RD16" s="172" t="s">
        <v>24</v>
      </c>
      <c r="RE16" s="107"/>
      <c r="RF16" s="108"/>
      <c r="RG16" s="185">
        <f>IFERROR((((COUNTIF('Elève (6ème1)'!RD16:RF16,"A"))*4)+((COUNTIF('Elève (6ème1)'!RD16:RF16,"B"))*3)+((COUNTIF('Elève (6ème1)'!RD16:RF16,"C"))*2)+((COUNTIF('Elève (6ème1)'!RD16:RF16,"D"))*1))/(COUNTA(RD16:RF16)),"")</f>
        <v>3</v>
      </c>
      <c r="RH16" s="186" t="str">
        <f t="shared" si="110"/>
        <v>B</v>
      </c>
      <c r="RI16" s="185">
        <f>IF(COUNT(QW16,RB16,RG16)=0,"",SUM(QW16,RB16,RG16)/COUNT(QW16,RB16,RG16))</f>
        <v>3.5</v>
      </c>
      <c r="RJ16" s="208" t="str">
        <f t="shared" si="111"/>
        <v>B</v>
      </c>
      <c r="RK16" s="217"/>
      <c r="RL16" s="107"/>
      <c r="RM16" s="108"/>
      <c r="RN16" s="185" t="str">
        <f>IFERROR((((COUNTIF('Elève (6ème1)'!RK16:RM16,"A"))*4)+((COUNTIF('Elève (6ème1)'!RK16:RM16,"B"))*3)+((COUNTIF('Elève (6ème1)'!RK16:RM16,"C"))*2)+((COUNTIF('Elève (6ème1)'!RK16:RM16,"D"))*1))/(COUNTA(RK16:RM16)),"")</f>
        <v/>
      </c>
      <c r="RO16" s="186" t="str">
        <f t="shared" si="112"/>
        <v/>
      </c>
      <c r="RP16" s="172"/>
      <c r="RQ16" s="107" t="s">
        <v>23</v>
      </c>
      <c r="RR16" s="108"/>
      <c r="RS16" s="185">
        <f>IFERROR((((COUNTIF('Elève (6ème1)'!RP16:RR16,"A"))*4)+((COUNTIF('Elève (6ème1)'!RP16:RR16,"B"))*3)+((COUNTIF('Elève (6ème1)'!RP16:RR16,"C"))*2)+((COUNTIF('Elève (6ème1)'!RP16:RR16,"D"))*1))/(COUNTA(RP16:RR16)),"")</f>
        <v>4</v>
      </c>
      <c r="RT16" s="186" t="str">
        <f t="shared" si="113"/>
        <v>A</v>
      </c>
      <c r="RU16" s="172" t="s">
        <v>24</v>
      </c>
      <c r="RV16" s="107" t="s">
        <v>24</v>
      </c>
      <c r="RW16" s="108"/>
      <c r="RX16" s="185">
        <f>IFERROR((((COUNTIF('Elève (6ème1)'!RU16:RW16,"A"))*4)+((COUNTIF('Elève (6ème1)'!RU16:RW16,"B"))*3)+((COUNTIF('Elève (6ème1)'!RU16:RW16,"C"))*2)+((COUNTIF('Elève (6ème1)'!RU16:RW16,"D"))*1))/(COUNTA(RU16:RW16)),"")</f>
        <v>3</v>
      </c>
      <c r="RY16" s="186" t="str">
        <f t="shared" si="114"/>
        <v>B</v>
      </c>
      <c r="RZ16" s="185">
        <f>IF(COUNT(RN16,RS16,RX16)=0,"",SUM(RN16,RS16,RX16)/COUNT(RN16,RS16,RX16))</f>
        <v>3.5</v>
      </c>
      <c r="SA16" s="208" t="str">
        <f t="shared" si="115"/>
        <v>B</v>
      </c>
      <c r="SB16" s="217"/>
      <c r="SC16" s="107"/>
      <c r="SD16" s="108"/>
      <c r="SE16" s="185" t="str">
        <f>IFERROR((((COUNTIF('Elève (6ème1)'!SB16:SD16,"A"))*4)+((COUNTIF('Elève (6ème1)'!SB16:SD16,"B"))*3)+((COUNTIF('Elève (6ème1)'!SB16:SD16,"C"))*2)+((COUNTIF('Elève (6ème1)'!SB16:SD16,"D"))*1))/(COUNTA(SB16:SD16)),"")</f>
        <v/>
      </c>
      <c r="SF16" s="186" t="str">
        <f t="shared" si="116"/>
        <v/>
      </c>
      <c r="SG16" s="172"/>
      <c r="SH16" s="107" t="s">
        <v>23</v>
      </c>
      <c r="SI16" s="108"/>
      <c r="SJ16" s="185">
        <f>IFERROR((((COUNTIF('Elève (6ème1)'!SG16:SI16,"A"))*4)+((COUNTIF('Elève (6ème1)'!SG16:SI16,"B"))*3)+((COUNTIF('Elève (6ème1)'!SG16:SI16,"C"))*2)+((COUNTIF('Elève (6ème1)'!SG16:SI16,"D"))*1))/(COUNTA(SG16:SI16)),"")</f>
        <v>4</v>
      </c>
      <c r="SK16" s="186" t="str">
        <f t="shared" si="117"/>
        <v>A</v>
      </c>
      <c r="SL16" s="172" t="s">
        <v>24</v>
      </c>
      <c r="SM16" s="107"/>
      <c r="SN16" s="108"/>
      <c r="SO16" s="185">
        <f>IFERROR((((COUNTIF('Elève (6ème1)'!SL16:SN16,"A"))*4)+((COUNTIF('Elève (6ème1)'!SL16:SN16,"B"))*3)+((COUNTIF('Elève (6ème1)'!SL16:SN16,"C"))*2)+((COUNTIF('Elève (6ème1)'!SL16:SN16,"D"))*1))/(COUNTA(SL16:SN16)),"")</f>
        <v>3</v>
      </c>
      <c r="SP16" s="186" t="str">
        <f t="shared" si="118"/>
        <v>B</v>
      </c>
      <c r="SQ16" s="185">
        <f>IF(COUNT(SE16,SJ16,SO16)=0,"",SUM(SE16,SJ16,SO16)/COUNT(SE16,SJ16,SO16))</f>
        <v>3.5</v>
      </c>
      <c r="SR16" s="208" t="str">
        <f t="shared" si="119"/>
        <v>B</v>
      </c>
      <c r="SS16" s="217"/>
      <c r="ST16" s="107"/>
      <c r="SU16" s="108"/>
      <c r="SV16" s="185" t="str">
        <f>IFERROR((((COUNTIF('Elève (6ème1)'!SS16:SU16,"A"))*4)+((COUNTIF('Elève (6ème1)'!SS16:SU16,"B"))*3)+((COUNTIF('Elève (6ème1)'!SS16:SU16,"C"))*2)+((COUNTIF('Elève (6ème1)'!SS16:SU16,"D"))*1))/(COUNTA(SS16:SU16)),"")</f>
        <v/>
      </c>
      <c r="SW16" s="186" t="str">
        <f t="shared" si="120"/>
        <v/>
      </c>
      <c r="SX16" s="172"/>
      <c r="SY16" s="107" t="s">
        <v>23</v>
      </c>
      <c r="SZ16" s="108" t="s">
        <v>25</v>
      </c>
      <c r="TA16" s="185">
        <f>IFERROR((((COUNTIF('Elève (6ème1)'!SX16:SZ16,"A"))*4)+((COUNTIF('Elève (6ème1)'!SX16:SZ16,"B"))*3)+((COUNTIF('Elève (6ème1)'!SX16:SZ16,"C"))*2)+((COUNTIF('Elève (6ème1)'!SX16:SZ16,"D"))*1))/(COUNTA(SX16:SZ16)),"")</f>
        <v>3</v>
      </c>
      <c r="TB16" s="186" t="str">
        <f t="shared" si="121"/>
        <v>B</v>
      </c>
      <c r="TC16" s="172" t="s">
        <v>24</v>
      </c>
      <c r="TD16" s="107" t="s">
        <v>24</v>
      </c>
      <c r="TE16" s="108"/>
      <c r="TF16" s="185">
        <f>IFERROR((((COUNTIF('Elève (6ème1)'!TC16:TE16,"A"))*4)+((COUNTIF('Elève (6ème1)'!TC16:TE16,"B"))*3)+((COUNTIF('Elève (6ème1)'!TC16:TE16,"C"))*2)+((COUNTIF('Elève (6ème1)'!TC16:TE16,"D"))*1))/(COUNTA(TC16:TE16)),"")</f>
        <v>3</v>
      </c>
      <c r="TG16" s="186" t="str">
        <f t="shared" si="122"/>
        <v>B</v>
      </c>
      <c r="TH16" s="185">
        <f>IF(COUNT(SV16,TA16,TF16)=0,"",SUM(SV16,TA16,TF16)/COUNT(SV16,TA16,TF16))</f>
        <v>3</v>
      </c>
      <c r="TI16" s="208" t="str">
        <f t="shared" si="123"/>
        <v>B</v>
      </c>
      <c r="TJ16" s="217"/>
      <c r="TK16" s="107"/>
      <c r="TL16" s="108"/>
      <c r="TM16" s="185" t="str">
        <f>IFERROR((((COUNTIF('Elève (6ème1)'!TJ16:TL16,"A"))*4)+((COUNTIF('Elève (6ème1)'!TJ16:TL16,"B"))*3)+((COUNTIF('Elève (6ème1)'!TJ16:TL16,"C"))*2)+((COUNTIF('Elève (6ème1)'!TJ16:TL16,"D"))*1))/(COUNTA(TJ16:TL16)),"")</f>
        <v/>
      </c>
      <c r="TN16" s="186" t="str">
        <f t="shared" si="124"/>
        <v/>
      </c>
      <c r="TO16" s="172"/>
      <c r="TP16" s="107" t="s">
        <v>24</v>
      </c>
      <c r="TQ16" s="108" t="s">
        <v>25</v>
      </c>
      <c r="TR16" s="185">
        <f>IFERROR((((COUNTIF('Elève (6ème1)'!TO16:TQ16,"A"))*4)+((COUNTIF('Elève (6ème1)'!TO16:TQ16,"B"))*3)+((COUNTIF('Elève (6ème1)'!TO16:TQ16,"C"))*2)+((COUNTIF('Elève (6ème1)'!TO16:TQ16,"D"))*1))/(COUNTA(TO16:TQ16)),"")</f>
        <v>2.5</v>
      </c>
      <c r="TS16" s="186" t="str">
        <f t="shared" si="125"/>
        <v>C</v>
      </c>
      <c r="TT16" s="172" t="s">
        <v>24</v>
      </c>
      <c r="TU16" s="107" t="s">
        <v>25</v>
      </c>
      <c r="TV16" s="108"/>
      <c r="TW16" s="185">
        <f>IFERROR((((COUNTIF('Elève (6ème1)'!TT16:TV16,"A"))*4)+((COUNTIF('Elève (6ème1)'!TT16:TV16,"B"))*3)+((COUNTIF('Elève (6ème1)'!TT16:TV16,"C"))*2)+((COUNTIF('Elève (6ème1)'!TT16:TV16,"D"))*1))/(COUNTA(TT16:TV16)),"")</f>
        <v>2.5</v>
      </c>
      <c r="TX16" s="186" t="str">
        <f t="shared" si="126"/>
        <v>C</v>
      </c>
      <c r="TY16" s="185">
        <f>IF(COUNT(TM16,TR16,TW16)=0,"",SUM(TM16,TR16,TW16)/COUNT(TM16,TR16,TW16))</f>
        <v>2.5</v>
      </c>
      <c r="TZ16" s="208" t="str">
        <f t="shared" si="127"/>
        <v>C</v>
      </c>
    </row>
    <row r="17" spans="1:546" ht="15.75" thickBot="1" x14ac:dyDescent="0.3">
      <c r="A17" s="242" t="s">
        <v>20</v>
      </c>
      <c r="B17" s="243"/>
      <c r="C17" s="120"/>
      <c r="D17" s="121"/>
      <c r="E17" s="122"/>
      <c r="F17" s="188" t="str">
        <f>IFERROR((((COUNTIF('Elève (6ème1)'!C17:E17,"A"))*4)+((COUNTIF('Elève (6ème1)'!C17:E17,"B"))*3)+((COUNTIF('Elève (6ème1)'!C17:E17,"C"))*2)+((COUNTIF('Elève (6ème1)'!C17:E17,"D"))*1))/(COUNTA(C17:E17)),"")</f>
        <v/>
      </c>
      <c r="G17" s="187" t="str">
        <f t="shared" si="0"/>
        <v/>
      </c>
      <c r="H17" s="120"/>
      <c r="I17" s="121"/>
      <c r="J17" s="122" t="s">
        <v>24</v>
      </c>
      <c r="K17" s="188">
        <f>IFERROR((((COUNTIF('Elève (6ème1)'!H17:J17,"A"))*4)+((COUNTIF('Elève (6ème1)'!H17:J17,"B"))*3)+((COUNTIF('Elève (6ème1)'!H17:J17,"C"))*2)+((COUNTIF('Elève (6ème1)'!H17:J17,"D"))*1))/(COUNTA(H17:J17)),"")</f>
        <v>3</v>
      </c>
      <c r="L17" s="187" t="str">
        <f t="shared" si="1"/>
        <v>B</v>
      </c>
      <c r="M17" s="120" t="s">
        <v>24</v>
      </c>
      <c r="N17" s="121" t="s">
        <v>24</v>
      </c>
      <c r="O17" s="122"/>
      <c r="P17" s="188">
        <f>IFERROR((((COUNTIF('Elève (6ème1)'!M17:O17,"A"))*4)+((COUNTIF('Elève (6ème1)'!M17:O17,"B"))*3)+((COUNTIF('Elève (6ème1)'!M17:O17,"C"))*2)+((COUNTIF('Elève (6ème1)'!M17:O17,"D"))*1))/(COUNTA(M17:O17)),"")</f>
        <v>3</v>
      </c>
      <c r="Q17" s="187" t="str">
        <f t="shared" si="2"/>
        <v>B</v>
      </c>
      <c r="R17" s="188">
        <f>IF(COUNT(F17,K17,P17)=0,"",SUM(F17,K17,P17)/COUNT(F17,K17,P17))</f>
        <v>3</v>
      </c>
      <c r="S17" s="212" t="str">
        <f t="shared" si="3"/>
        <v>B</v>
      </c>
      <c r="T17" s="125"/>
      <c r="U17" s="121"/>
      <c r="V17" s="122"/>
      <c r="W17" s="188" t="str">
        <f>IFERROR((((COUNTIF('Elève (6ème1)'!T17:V17,"A"))*4)+((COUNTIF('Elève (6ème1)'!T17:V17,"B"))*3)+((COUNTIF('Elève (6ème1)'!T17:V17,"C"))*2)+((COUNTIF('Elève (6ème1)'!T17:V17,"D"))*1))/(COUNTA(T17:V17)),"")</f>
        <v/>
      </c>
      <c r="X17" s="187" t="str">
        <f t="shared" si="4"/>
        <v/>
      </c>
      <c r="Y17" s="120"/>
      <c r="Z17" s="121"/>
      <c r="AA17" s="122"/>
      <c r="AB17" s="188" t="str">
        <f>IFERROR((((COUNTIF('Elève (6ème1)'!Y17:AA17,"A"))*4)+((COUNTIF('Elève (6ème1)'!Y17:AA17,"B"))*3)+((COUNTIF('Elève (6ème1)'!Y17:AA17,"C"))*2)+((COUNTIF('Elève (6ème1)'!Y17:AA17,"D"))*1))/(COUNTA(Y17:AA17)),"")</f>
        <v/>
      </c>
      <c r="AC17" s="187" t="str">
        <f t="shared" si="5"/>
        <v/>
      </c>
      <c r="AD17" s="120" t="s">
        <v>23</v>
      </c>
      <c r="AE17" s="121"/>
      <c r="AF17" s="122"/>
      <c r="AG17" s="188">
        <f>IFERROR((((COUNTIF('Elève (6ème1)'!AD17:AF17,"A"))*4)+((COUNTIF('Elève (6ème1)'!AD17:AF17,"B"))*3)+((COUNTIF('Elève (6ème1)'!AD17:AF17,"C"))*2)+((COUNTIF('Elève (6ème1)'!AD17:AF17,"D"))*1))/(COUNTA(AD17:AF17)),"")</f>
        <v>4</v>
      </c>
      <c r="AH17" s="187" t="str">
        <f t="shared" si="6"/>
        <v>A</v>
      </c>
      <c r="AI17" s="188">
        <f>IF(COUNT(W17,AB17,AG17)=0,"",SUM(W17,AB17,AG17)/COUNT(W17,AB17,AG17))</f>
        <v>4</v>
      </c>
      <c r="AJ17" s="212" t="str">
        <f t="shared" si="7"/>
        <v>A</v>
      </c>
      <c r="AK17" s="125"/>
      <c r="AL17" s="121"/>
      <c r="AM17" s="122"/>
      <c r="AN17" s="188" t="str">
        <f>IFERROR((((COUNTIF('Elève (6ème1)'!AK17:AM17,"A"))*4)+((COUNTIF('Elève (6ème1)'!AK17:AM17,"B"))*3)+((COUNTIF('Elève (6ème1)'!AK17:AM17,"C"))*2)+((COUNTIF('Elève (6ème1)'!AK17:AM17,"D"))*1))/(COUNTA(AK17:AM17)),"")</f>
        <v/>
      </c>
      <c r="AO17" s="187" t="str">
        <f t="shared" si="8"/>
        <v/>
      </c>
      <c r="AP17" s="120"/>
      <c r="AQ17" s="121"/>
      <c r="AR17" s="122" t="s">
        <v>24</v>
      </c>
      <c r="AS17" s="188">
        <f>IFERROR((((COUNTIF('Elève (6ème1)'!AP17:AR17,"A"))*4)+((COUNTIF('Elève (6ème1)'!AP17:AR17,"B"))*3)+((COUNTIF('Elève (6ème1)'!AP17:AR17,"C"))*2)+((COUNTIF('Elève (6ème1)'!AP17:AR17,"D"))*1))/(COUNTA(AP17:AR17)),"")</f>
        <v>3</v>
      </c>
      <c r="AT17" s="187" t="str">
        <f t="shared" si="9"/>
        <v>B</v>
      </c>
      <c r="AU17" s="120" t="s">
        <v>23</v>
      </c>
      <c r="AV17" s="121" t="s">
        <v>24</v>
      </c>
      <c r="AW17" s="122"/>
      <c r="AX17" s="188">
        <f>IFERROR((((COUNTIF('Elève (6ème1)'!AU17:AW17,"A"))*4)+((COUNTIF('Elève (6ème1)'!AU17:AW17,"B"))*3)+((COUNTIF('Elève (6ème1)'!AU17:AW17,"C"))*2)+((COUNTIF('Elève (6ème1)'!AU17:AW17,"D"))*1))/(COUNTA(AU17:AW17)),"")</f>
        <v>3.5</v>
      </c>
      <c r="AY17" s="187" t="str">
        <f t="shared" si="10"/>
        <v>B</v>
      </c>
      <c r="AZ17" s="188">
        <f>IF(COUNT(AN17,AS17,AX17)=0,"",SUM(AN17,AS17,AX17)/COUNT(AN17,AS17,AX17))</f>
        <v>3.25</v>
      </c>
      <c r="BA17" s="212" t="str">
        <f t="shared" si="11"/>
        <v>B</v>
      </c>
      <c r="BB17" s="125"/>
      <c r="BC17" s="121"/>
      <c r="BD17" s="122"/>
      <c r="BE17" s="188" t="str">
        <f>IFERROR((((COUNTIF('Elève (6ème1)'!BB17:BD17,"A"))*4)+((COUNTIF('Elève (6ème1)'!BB17:BD17,"B"))*3)+((COUNTIF('Elève (6ème1)'!BB17:BD17,"C"))*2)+((COUNTIF('Elève (6ème1)'!BB17:BD17,"D"))*1))/(COUNTA(BB17:BD17)),"")</f>
        <v/>
      </c>
      <c r="BF17" s="187" t="str">
        <f t="shared" si="12"/>
        <v/>
      </c>
      <c r="BG17" s="120"/>
      <c r="BH17" s="121"/>
      <c r="BI17" s="122" t="s">
        <v>25</v>
      </c>
      <c r="BJ17" s="188">
        <f>IFERROR((((COUNTIF('Elève (6ème1)'!BG17:BI17,"A"))*4)+((COUNTIF('Elève (6ème1)'!BG17:BI17,"B"))*3)+((COUNTIF('Elève (6ème1)'!BG17:BI17,"C"))*2)+((COUNTIF('Elève (6ème1)'!BG17:BI17,"D"))*1))/(COUNTA(BG17:BI17)),"")</f>
        <v>2</v>
      </c>
      <c r="BK17" s="187" t="str">
        <f t="shared" si="13"/>
        <v>C</v>
      </c>
      <c r="BL17" s="120" t="s">
        <v>24</v>
      </c>
      <c r="BM17" s="121" t="s">
        <v>25</v>
      </c>
      <c r="BN17" s="122"/>
      <c r="BO17" s="188">
        <f>IFERROR((((COUNTIF('Elève (6ème1)'!BL17:BN17,"A"))*4)+((COUNTIF('Elève (6ème1)'!BL17:BN17,"B"))*3)+((COUNTIF('Elève (6ème1)'!BL17:BN17,"C"))*2)+((COUNTIF('Elève (6ème1)'!BL17:BN17,"D"))*1))/(COUNTA(BL17:BN17)),"")</f>
        <v>2.5</v>
      </c>
      <c r="BP17" s="187" t="str">
        <f t="shared" si="14"/>
        <v>C</v>
      </c>
      <c r="BQ17" s="188">
        <f>IF(COUNT(BE17,BJ17,BO17)=0,"",SUM(BE17,BJ17,BO17)/COUNT(BE17,BJ17,BO17))</f>
        <v>2.25</v>
      </c>
      <c r="BR17" s="212" t="str">
        <f t="shared" si="15"/>
        <v>C</v>
      </c>
      <c r="BS17" s="125"/>
      <c r="BT17" s="121"/>
      <c r="BU17" s="122"/>
      <c r="BV17" s="188" t="str">
        <f>IFERROR((((COUNTIF('Elève (6ème1)'!BS17:BU17,"A"))*4)+((COUNTIF('Elève (6ème1)'!BS17:BU17,"B"))*3)+((COUNTIF('Elève (6ème1)'!BS17:BU17,"C"))*2)+((COUNTIF('Elève (6ème1)'!BS17:BU17,"D"))*1))/(COUNTA(BS17:BU17)),"")</f>
        <v/>
      </c>
      <c r="BW17" s="187" t="str">
        <f t="shared" si="16"/>
        <v/>
      </c>
      <c r="BX17" s="120"/>
      <c r="BY17" s="121"/>
      <c r="BZ17" s="122" t="s">
        <v>25</v>
      </c>
      <c r="CA17" s="188">
        <f>IFERROR((((COUNTIF('Elève (6ème1)'!BX17:BZ17,"A"))*4)+((COUNTIF('Elève (6ème1)'!BX17:BZ17,"B"))*3)+((COUNTIF('Elève (6ème1)'!BX17:BZ17,"C"))*2)+((COUNTIF('Elève (6ème1)'!BX17:BZ17,"D"))*1))/(COUNTA(BX17:BZ17)),"")</f>
        <v>2</v>
      </c>
      <c r="CB17" s="187" t="str">
        <f t="shared" si="17"/>
        <v>C</v>
      </c>
      <c r="CC17" s="120" t="s">
        <v>25</v>
      </c>
      <c r="CD17" s="121" t="s">
        <v>25</v>
      </c>
      <c r="CE17" s="122"/>
      <c r="CF17" s="188">
        <f>IFERROR((((COUNTIF('Elève (6ème1)'!CC17:CE17,"A"))*4)+((COUNTIF('Elève (6ème1)'!CC17:CE17,"B"))*3)+((COUNTIF('Elève (6ème1)'!CC17:CE17,"C"))*2)+((COUNTIF('Elève (6ème1)'!CC17:CE17,"D"))*1))/(COUNTA(CC17:CE17)),"")</f>
        <v>2</v>
      </c>
      <c r="CG17" s="187" t="str">
        <f t="shared" si="18"/>
        <v>C</v>
      </c>
      <c r="CH17" s="188">
        <f>IF(COUNT(BV17,CA17,CF17)=0,"",SUM(BV17,CA17,CF17)/COUNT(BV17,CA17,CF17))</f>
        <v>2</v>
      </c>
      <c r="CI17" s="212" t="str">
        <f t="shared" si="19"/>
        <v>C</v>
      </c>
      <c r="CJ17" s="125"/>
      <c r="CK17" s="121"/>
      <c r="CL17" s="122"/>
      <c r="CM17" s="188" t="str">
        <f>IFERROR((((COUNTIF('Elève (6ème1)'!CJ17:CL17,"A"))*4)+((COUNTIF('Elève (6ème1)'!CJ17:CL17,"B"))*3)+((COUNTIF('Elève (6ème1)'!CJ17:CL17,"C"))*2)+((COUNTIF('Elève (6ème1)'!CJ17:CL17,"D"))*1))/(COUNTA(CJ17:CL17)),"")</f>
        <v/>
      </c>
      <c r="CN17" s="187" t="str">
        <f t="shared" si="20"/>
        <v/>
      </c>
      <c r="CO17" s="120"/>
      <c r="CP17" s="121"/>
      <c r="CQ17" s="122" t="s">
        <v>26</v>
      </c>
      <c r="CR17" s="188">
        <f>IFERROR((((COUNTIF('Elève (6ème1)'!CO17:CQ17,"A"))*4)+((COUNTIF('Elève (6ème1)'!CO17:CQ17,"B"))*3)+((COUNTIF('Elève (6ème1)'!CO17:CQ17,"C"))*2)+((COUNTIF('Elève (6ème1)'!CO17:CQ17,"D"))*1))/(COUNTA(CO17:CQ17)),"")</f>
        <v>1</v>
      </c>
      <c r="CS17" s="187" t="str">
        <f t="shared" si="21"/>
        <v>D</v>
      </c>
      <c r="CT17" s="120" t="s">
        <v>26</v>
      </c>
      <c r="CU17" s="121" t="s">
        <v>25</v>
      </c>
      <c r="CV17" s="122"/>
      <c r="CW17" s="188">
        <f>IFERROR((((COUNTIF('Elève (6ème1)'!CT17:CV17,"A"))*4)+((COUNTIF('Elève (6ème1)'!CT17:CV17,"B"))*3)+((COUNTIF('Elève (6ème1)'!CT17:CV17,"C"))*2)+((COUNTIF('Elève (6ème1)'!CT17:CV17,"D"))*1))/(COUNTA(CT17:CV17)),"")</f>
        <v>1.5</v>
      </c>
      <c r="CX17" s="187" t="str">
        <f t="shared" si="22"/>
        <v>D</v>
      </c>
      <c r="CY17" s="188">
        <f>IF(COUNT(CM17,CR17,CW17)=0,"",SUM(CM17,CR17,CW17)/COUNT(CM17,CR17,CW17))</f>
        <v>1.25</v>
      </c>
      <c r="CZ17" s="212" t="str">
        <f t="shared" si="23"/>
        <v>D</v>
      </c>
      <c r="DA17" s="125"/>
      <c r="DB17" s="121"/>
      <c r="DC17" s="122"/>
      <c r="DD17" s="188" t="str">
        <f>IFERROR((((COUNTIF('Elève (6ème1)'!DA17:DC17,"A"))*4)+((COUNTIF('Elève (6ème1)'!DA17:DC17,"B"))*3)+((COUNTIF('Elève (6ème1)'!DA17:DC17,"C"))*2)+((COUNTIF('Elève (6ème1)'!DA17:DC17,"D"))*1))/(COUNTA(DA17:DC17)),"")</f>
        <v/>
      </c>
      <c r="DE17" s="187" t="str">
        <f t="shared" si="24"/>
        <v/>
      </c>
      <c r="DF17" s="120"/>
      <c r="DG17" s="121"/>
      <c r="DH17" s="122" t="s">
        <v>24</v>
      </c>
      <c r="DI17" s="188">
        <f>IFERROR((((COUNTIF('Elève (6ème1)'!DF17:DH17,"A"))*4)+((COUNTIF('Elève (6ème1)'!DF17:DH17,"B"))*3)+((COUNTIF('Elève (6ème1)'!DF17:DH17,"C"))*2)+((COUNTIF('Elève (6ème1)'!DF17:DH17,"D"))*1))/(COUNTA(DF17:DH17)),"")</f>
        <v>3</v>
      </c>
      <c r="DJ17" s="187" t="str">
        <f t="shared" si="25"/>
        <v>B</v>
      </c>
      <c r="DK17" s="120" t="s">
        <v>24</v>
      </c>
      <c r="DL17" s="121" t="s">
        <v>25</v>
      </c>
      <c r="DM17" s="122"/>
      <c r="DN17" s="188">
        <f>IFERROR((((COUNTIF('Elève (6ème1)'!DK17:DM17,"A"))*4)+((COUNTIF('Elève (6ème1)'!DK17:DM17,"B"))*3)+((COUNTIF('Elève (6ème1)'!DK17:DM17,"C"))*2)+((COUNTIF('Elève (6ème1)'!DK17:DM17,"D"))*1))/(COUNTA(DK17:DM17)),"")</f>
        <v>2.5</v>
      </c>
      <c r="DO17" s="187" t="str">
        <f t="shared" si="26"/>
        <v>C</v>
      </c>
      <c r="DP17" s="188">
        <f>IF(COUNT(DD17,DI17,DN17)=0,"",SUM(DD17,DI17,DN17)/COUNT(DD17,DI17,DN17))</f>
        <v>2.75</v>
      </c>
      <c r="DQ17" s="212" t="str">
        <f t="shared" si="27"/>
        <v>C</v>
      </c>
      <c r="DR17" s="125"/>
      <c r="DS17" s="121"/>
      <c r="DT17" s="122"/>
      <c r="DU17" s="188" t="str">
        <f>IFERROR((((COUNTIF('Elève (6ème1)'!DR17:DT17,"A"))*4)+((COUNTIF('Elève (6ème1)'!DR17:DT17,"B"))*3)+((COUNTIF('Elève (6ème1)'!DR17:DT17,"C"))*2)+((COUNTIF('Elève (6ème1)'!DR17:DT17,"D"))*1))/(COUNTA(DR17:DT17)),"")</f>
        <v/>
      </c>
      <c r="DV17" s="187" t="str">
        <f t="shared" si="28"/>
        <v/>
      </c>
      <c r="DW17" s="120"/>
      <c r="DX17" s="121"/>
      <c r="DY17" s="122" t="s">
        <v>25</v>
      </c>
      <c r="DZ17" s="188">
        <f>IFERROR((((COUNTIF('Elève (6ème1)'!DW17:DY17,"A"))*4)+((COUNTIF('Elève (6ème1)'!DW17:DY17,"B"))*3)+((COUNTIF('Elève (6ème1)'!DW17:DY17,"C"))*2)+((COUNTIF('Elève (6ème1)'!DW17:DY17,"D"))*1))/(COUNTA(DW17:DY17)),"")</f>
        <v>2</v>
      </c>
      <c r="EA17" s="187" t="str">
        <f t="shared" si="29"/>
        <v>C</v>
      </c>
      <c r="EB17" s="120" t="s">
        <v>24</v>
      </c>
      <c r="EC17" s="121" t="s">
        <v>25</v>
      </c>
      <c r="ED17" s="122"/>
      <c r="EE17" s="188">
        <f>IFERROR((((COUNTIF('Elève (6ème1)'!EB17:ED17,"A"))*4)+((COUNTIF('Elève (6ème1)'!EB17:ED17,"B"))*3)+((COUNTIF('Elève (6ème1)'!EB17:ED17,"C"))*2)+((COUNTIF('Elève (6ème1)'!EB17:ED17,"D"))*1))/(COUNTA(EB17:ED17)),"")</f>
        <v>2.5</v>
      </c>
      <c r="EF17" s="187" t="str">
        <f t="shared" si="30"/>
        <v>C</v>
      </c>
      <c r="EG17" s="188">
        <f>IF(COUNT(DU17,DZ17,EE17)=0,"",SUM(DU17,DZ17,EE17)/COUNT(DU17,DZ17,EE17))</f>
        <v>2.25</v>
      </c>
      <c r="EH17" s="212" t="str">
        <f t="shared" si="31"/>
        <v>C</v>
      </c>
      <c r="EI17" s="125"/>
      <c r="EJ17" s="121"/>
      <c r="EK17" s="122"/>
      <c r="EL17" s="188" t="str">
        <f>IFERROR((((COUNTIF('Elève (6ème1)'!EI17:EK17,"A"))*4)+((COUNTIF('Elève (6ème1)'!EI17:EK17,"B"))*3)+((COUNTIF('Elève (6ème1)'!EI17:EK17,"C"))*2)+((COUNTIF('Elève (6ème1)'!EI17:EK17,"D"))*1))/(COUNTA(EI17:EK17)),"")</f>
        <v/>
      </c>
      <c r="EM17" s="187" t="str">
        <f t="shared" si="32"/>
        <v/>
      </c>
      <c r="EN17" s="120"/>
      <c r="EO17" s="121"/>
      <c r="EP17" s="122" t="s">
        <v>25</v>
      </c>
      <c r="EQ17" s="188">
        <f>IFERROR((((COUNTIF('Elève (6ème1)'!EN17:EP17,"A"))*4)+((COUNTIF('Elève (6ème1)'!EN17:EP17,"B"))*3)+((COUNTIF('Elève (6ème1)'!EN17:EP17,"C"))*2)+((COUNTIF('Elève (6ème1)'!EN17:EP17,"D"))*1))/(COUNTA(EN17:EP17)),"")</f>
        <v>2</v>
      </c>
      <c r="ER17" s="187" t="str">
        <f t="shared" si="33"/>
        <v>C</v>
      </c>
      <c r="ES17" s="120" t="s">
        <v>24</v>
      </c>
      <c r="ET17" s="121" t="s">
        <v>24</v>
      </c>
      <c r="EU17" s="122"/>
      <c r="EV17" s="188">
        <f>IFERROR((((COUNTIF('Elève (6ème1)'!ES17:EU17,"A"))*4)+((COUNTIF('Elève (6ème1)'!ES17:EU17,"B"))*3)+((COUNTIF('Elève (6ème1)'!ES17:EU17,"C"))*2)+((COUNTIF('Elève (6ème1)'!ES17:EU17,"D"))*1))/(COUNTA(ES17:EU17)),"")</f>
        <v>3</v>
      </c>
      <c r="EW17" s="187" t="str">
        <f t="shared" si="34"/>
        <v>B</v>
      </c>
      <c r="EX17" s="188">
        <f>IF(COUNT(EL17,EQ17,EV17)=0,"",SUM(EL17,EQ17,EV17)/COUNT(EL17,EQ17,EV17))</f>
        <v>2.5</v>
      </c>
      <c r="EY17" s="212" t="str">
        <f t="shared" si="35"/>
        <v>C</v>
      </c>
      <c r="EZ17" s="125"/>
      <c r="FA17" s="121"/>
      <c r="FB17" s="122"/>
      <c r="FC17" s="188" t="str">
        <f>IFERROR((((COUNTIF('Elève (6ème1)'!EZ17:FB17,"A"))*4)+((COUNTIF('Elève (6ème1)'!EZ17:FB17,"B"))*3)+((COUNTIF('Elève (6ème1)'!EZ17:FB17,"C"))*2)+((COUNTIF('Elève (6ème1)'!EZ17:FB17,"D"))*1))/(COUNTA(EZ17:FB17)),"")</f>
        <v/>
      </c>
      <c r="FD17" s="187" t="str">
        <f t="shared" si="36"/>
        <v/>
      </c>
      <c r="FE17" s="120"/>
      <c r="FF17" s="121"/>
      <c r="FG17" s="122" t="s">
        <v>24</v>
      </c>
      <c r="FH17" s="188">
        <f>IFERROR((((COUNTIF('Elève (6ème1)'!FE17:FG17,"A"))*4)+((COUNTIF('Elève (6ème1)'!FE17:FG17,"B"))*3)+((COUNTIF('Elève (6ème1)'!FE17:FG17,"C"))*2)+((COUNTIF('Elève (6ème1)'!FE17:FG17,"D"))*1))/(COUNTA(FE17:FG17)),"")</f>
        <v>3</v>
      </c>
      <c r="FI17" s="187" t="str">
        <f t="shared" si="37"/>
        <v>B</v>
      </c>
      <c r="FJ17" s="120" t="s">
        <v>23</v>
      </c>
      <c r="FK17" s="121" t="s">
        <v>24</v>
      </c>
      <c r="FL17" s="122"/>
      <c r="FM17" s="188">
        <f>IFERROR((((COUNTIF('Elève (6ème1)'!FJ17:FL17,"A"))*4)+((COUNTIF('Elève (6ème1)'!FJ17:FL17,"B"))*3)+((COUNTIF('Elève (6ème1)'!FJ17:FL17,"C"))*2)+((COUNTIF('Elève (6ème1)'!FJ17:FL17,"D"))*1))/(COUNTA(FJ17:FL17)),"")</f>
        <v>3.5</v>
      </c>
      <c r="FN17" s="187" t="str">
        <f t="shared" si="38"/>
        <v>B</v>
      </c>
      <c r="FO17" s="188">
        <f>IF(COUNT(FC17,FH17,FM17)=0,"",SUM(FC17,FH17,FM17)/COUNT(FC17,FH17,FM17))</f>
        <v>3.25</v>
      </c>
      <c r="FP17" s="212" t="str">
        <f t="shared" si="39"/>
        <v>B</v>
      </c>
      <c r="FQ17" s="125"/>
      <c r="FR17" s="121"/>
      <c r="FS17" s="122"/>
      <c r="FT17" s="188" t="str">
        <f>IFERROR((((COUNTIF('Elève (6ème1)'!FQ17:FS17,"A"))*4)+((COUNTIF('Elève (6ème1)'!FQ17:FS17,"B"))*3)+((COUNTIF('Elève (6ème1)'!FQ17:FS17,"C"))*2)+((COUNTIF('Elève (6ème1)'!FQ17:FS17,"D"))*1))/(COUNTA(FQ17:FS17)),"")</f>
        <v/>
      </c>
      <c r="FU17" s="187" t="str">
        <f t="shared" si="40"/>
        <v/>
      </c>
      <c r="FV17" s="120"/>
      <c r="FW17" s="121"/>
      <c r="FX17" s="122" t="s">
        <v>24</v>
      </c>
      <c r="FY17" s="188">
        <f>IFERROR((((COUNTIF('Elève (6ème1)'!FV17:FX17,"A"))*4)+((COUNTIF('Elève (6ème1)'!FV17:FX17,"B"))*3)+((COUNTIF('Elève (6ème1)'!FV17:FX17,"C"))*2)+((COUNTIF('Elève (6ème1)'!FV17:FX17,"D"))*1))/(COUNTA(FV17:FX17)),"")</f>
        <v>3</v>
      </c>
      <c r="FZ17" s="187" t="str">
        <f t="shared" si="41"/>
        <v>B</v>
      </c>
      <c r="GA17" s="120" t="s">
        <v>23</v>
      </c>
      <c r="GB17" s="121" t="s">
        <v>24</v>
      </c>
      <c r="GC17" s="122"/>
      <c r="GD17" s="188">
        <f>IFERROR((((COUNTIF('Elève (6ème1)'!GA17:GC17,"A"))*4)+((COUNTIF('Elève (6ème1)'!GA17:GC17,"B"))*3)+((COUNTIF('Elève (6ème1)'!GA17:GC17,"C"))*2)+((COUNTIF('Elève (6ème1)'!GA17:GC17,"D"))*1))/(COUNTA(GA17:GC17)),"")</f>
        <v>3.5</v>
      </c>
      <c r="GE17" s="187" t="str">
        <f t="shared" si="42"/>
        <v>B</v>
      </c>
      <c r="GF17" s="188">
        <f>IF(COUNT(FT17,FY17,GD17)=0,"",SUM(FT17,FY17,GD17)/COUNT(FT17,FY17,GD17))</f>
        <v>3.25</v>
      </c>
      <c r="GG17" s="212" t="str">
        <f t="shared" si="43"/>
        <v>B</v>
      </c>
      <c r="GH17" s="125"/>
      <c r="GI17" s="121"/>
      <c r="GJ17" s="122"/>
      <c r="GK17" s="188" t="str">
        <f>IFERROR((((COUNTIF('Elève (6ème1)'!GH17:GJ17,"A"))*4)+((COUNTIF('Elève (6ème1)'!GH17:GJ17,"B"))*3)+((COUNTIF('Elève (6ème1)'!GH17:GJ17,"C"))*2)+((COUNTIF('Elève (6ème1)'!GH17:GJ17,"D"))*1))/(COUNTA(GH17:GJ17)),"")</f>
        <v/>
      </c>
      <c r="GL17" s="187" t="str">
        <f t="shared" si="44"/>
        <v/>
      </c>
      <c r="GM17" s="120"/>
      <c r="GN17" s="121"/>
      <c r="GO17" s="122"/>
      <c r="GP17" s="188" t="str">
        <f>IFERROR((((COUNTIF('Elève (6ème1)'!GM17:GO17,"A"))*4)+((COUNTIF('Elève (6ème1)'!GM17:GO17,"B"))*3)+((COUNTIF('Elève (6ème1)'!GM17:GO17,"C"))*2)+((COUNTIF('Elève (6ème1)'!GM17:GO17,"D"))*1))/(COUNTA(GM17:GO17)),"")</f>
        <v/>
      </c>
      <c r="GQ17" s="187" t="str">
        <f t="shared" si="45"/>
        <v/>
      </c>
      <c r="GR17" s="120" t="s">
        <v>23</v>
      </c>
      <c r="GS17" s="121"/>
      <c r="GT17" s="122"/>
      <c r="GU17" s="188">
        <f>IFERROR((((COUNTIF('Elève (6ème1)'!GR17:GT17,"A"))*4)+((COUNTIF('Elève (6ème1)'!GR17:GT17,"B"))*3)+((COUNTIF('Elève (6ème1)'!GR17:GT17,"C"))*2)+((COUNTIF('Elève (6ème1)'!GR17:GT17,"D"))*1))/(COUNTA(GR17:GT17)),"")</f>
        <v>4</v>
      </c>
      <c r="GV17" s="187" t="str">
        <f t="shared" si="46"/>
        <v>A</v>
      </c>
      <c r="GW17" s="188">
        <f>IF(COUNT(GK17,GP17,GU17)=0,"",SUM(GK17,GP17,GU17)/COUNT(GK17,GP17,GU17))</f>
        <v>4</v>
      </c>
      <c r="GX17" s="212" t="str">
        <f t="shared" si="47"/>
        <v>A</v>
      </c>
      <c r="GY17" s="125"/>
      <c r="GZ17" s="121"/>
      <c r="HA17" s="122"/>
      <c r="HB17" s="188" t="str">
        <f>IFERROR((((COUNTIF('Elève (6ème1)'!GY17:HA17,"A"))*4)+((COUNTIF('Elève (6ème1)'!GY17:HA17,"B"))*3)+((COUNTIF('Elève (6ème1)'!GY17:HA17,"C"))*2)+((COUNTIF('Elève (6ème1)'!GY17:HA17,"D"))*1))/(COUNTA(GY17:HA17)),"")</f>
        <v/>
      </c>
      <c r="HC17" s="187" t="str">
        <f t="shared" si="48"/>
        <v/>
      </c>
      <c r="HD17" s="120"/>
      <c r="HE17" s="121"/>
      <c r="HF17" s="122"/>
      <c r="HG17" s="188" t="str">
        <f>IFERROR((((COUNTIF('Elève (6ème1)'!HD17:HF17,"A"))*4)+((COUNTIF('Elève (6ème1)'!HD17:HF17,"B"))*3)+((COUNTIF('Elève (6ème1)'!HD17:HF17,"C"))*2)+((COUNTIF('Elève (6ème1)'!HD17:HF17,"D"))*1))/(COUNTA(HD17:HF17)),"")</f>
        <v/>
      </c>
      <c r="HH17" s="187" t="str">
        <f t="shared" si="49"/>
        <v/>
      </c>
      <c r="HI17" s="120"/>
      <c r="HJ17" s="121" t="s">
        <v>25</v>
      </c>
      <c r="HK17" s="122"/>
      <c r="HL17" s="188">
        <f>IFERROR((((COUNTIF('Elève (6ème1)'!HI17:HK17,"A"))*4)+((COUNTIF('Elève (6ème1)'!HI17:HK17,"B"))*3)+((COUNTIF('Elève (6ème1)'!HI17:HK17,"C"))*2)+((COUNTIF('Elève (6ème1)'!HI17:HK17,"D"))*1))/(COUNTA(HI17:HK17)),"")</f>
        <v>2</v>
      </c>
      <c r="HM17" s="187" t="str">
        <f t="shared" si="50"/>
        <v>C</v>
      </c>
      <c r="HN17" s="188">
        <f>IF(COUNT(HB17,HG17,HL17)=0,"",SUM(HB17,HG17,HL17)/COUNT(HB17,HG17,HL17))</f>
        <v>2</v>
      </c>
      <c r="HO17" s="212" t="str">
        <f t="shared" si="51"/>
        <v>C</v>
      </c>
      <c r="HP17" s="125"/>
      <c r="HQ17" s="121"/>
      <c r="HR17" s="122"/>
      <c r="HS17" s="188" t="str">
        <f>IFERROR((((COUNTIF('Elève (6ème1)'!HP17:HR17,"A"))*4)+((COUNTIF('Elève (6ème1)'!HP17:HR17,"B"))*3)+((COUNTIF('Elève (6ème1)'!HP17:HR17,"C"))*2)+((COUNTIF('Elève (6ème1)'!HP17:HR17,"D"))*1))/(COUNTA(HP17:HR17)),"")</f>
        <v/>
      </c>
      <c r="HT17" s="187" t="str">
        <f t="shared" si="52"/>
        <v/>
      </c>
      <c r="HU17" s="120"/>
      <c r="HV17" s="121"/>
      <c r="HW17" s="122" t="s">
        <v>25</v>
      </c>
      <c r="HX17" s="188">
        <f>IFERROR((((COUNTIF('Elève (6ème1)'!HU17:HW17,"A"))*4)+((COUNTIF('Elève (6ème1)'!HU17:HW17,"B"))*3)+((COUNTIF('Elève (6ème1)'!HU17:HW17,"C"))*2)+((COUNTIF('Elève (6ème1)'!HU17:HW17,"D"))*1))/(COUNTA(HU17:HW17)),"")</f>
        <v>2</v>
      </c>
      <c r="HY17" s="187" t="str">
        <f t="shared" si="53"/>
        <v>C</v>
      </c>
      <c r="HZ17" s="120" t="s">
        <v>23</v>
      </c>
      <c r="IA17" s="121" t="s">
        <v>25</v>
      </c>
      <c r="IB17" s="122"/>
      <c r="IC17" s="188">
        <f>IFERROR((((COUNTIF('Elève (6ème1)'!HZ17:IB17,"A"))*4)+((COUNTIF('Elève (6ème1)'!HZ17:IB17,"B"))*3)+((COUNTIF('Elève (6ème1)'!HZ17:IB17,"C"))*2)+((COUNTIF('Elève (6ème1)'!HZ17:IB17,"D"))*1))/(COUNTA(HZ17:IB17)),"")</f>
        <v>3</v>
      </c>
      <c r="ID17" s="187" t="str">
        <f t="shared" si="54"/>
        <v>B</v>
      </c>
      <c r="IE17" s="188">
        <f>IF(COUNT(HS17,HX17,IC17)=0,"",SUM(HS17,HX17,IC17)/COUNT(HS17,HX17,IC17))</f>
        <v>2.5</v>
      </c>
      <c r="IF17" s="212" t="str">
        <f t="shared" si="55"/>
        <v>C</v>
      </c>
      <c r="IG17" s="125"/>
      <c r="IH17" s="121"/>
      <c r="II17" s="122"/>
      <c r="IJ17" s="188" t="str">
        <f>IFERROR((((COUNTIF('Elève (6ème1)'!IG17:II17,"A"))*4)+((COUNTIF('Elève (6ème1)'!IG17:II17,"B"))*3)+((COUNTIF('Elève (6ème1)'!IG17:II17,"C"))*2)+((COUNTIF('Elève (6ème1)'!IG17:II17,"D"))*1))/(COUNTA(IG17:II17)),"")</f>
        <v/>
      </c>
      <c r="IK17" s="187" t="str">
        <f t="shared" si="56"/>
        <v/>
      </c>
      <c r="IL17" s="120"/>
      <c r="IM17" s="121"/>
      <c r="IN17" s="122"/>
      <c r="IO17" s="188" t="str">
        <f>IFERROR((((COUNTIF('Elève (6ème1)'!IL17:IN17,"A"))*4)+((COUNTIF('Elève (6ème1)'!IL17:IN17,"B"))*3)+((COUNTIF('Elève (6ème1)'!IL17:IN17,"C"))*2)+((COUNTIF('Elève (6ème1)'!IL17:IN17,"D"))*1))/(COUNTA(IL17:IN17)),"")</f>
        <v/>
      </c>
      <c r="IP17" s="187" t="str">
        <f t="shared" si="57"/>
        <v/>
      </c>
      <c r="IQ17" s="120" t="s">
        <v>23</v>
      </c>
      <c r="IR17" s="121"/>
      <c r="IS17" s="122"/>
      <c r="IT17" s="188">
        <f>IFERROR((((COUNTIF('Elève (6ème1)'!IQ17:IS17,"A"))*4)+((COUNTIF('Elève (6ème1)'!IQ17:IS17,"B"))*3)+((COUNTIF('Elève (6ème1)'!IQ17:IS17,"C"))*2)+((COUNTIF('Elève (6ème1)'!IQ17:IS17,"D"))*1))/(COUNTA(IQ17:IS17)),"")</f>
        <v>4</v>
      </c>
      <c r="IU17" s="187" t="str">
        <f t="shared" si="58"/>
        <v>A</v>
      </c>
      <c r="IV17" s="188">
        <f>IF(COUNT(IJ17,IO17,IT17)=0,"",SUM(IJ17,IO17,IT17)/COUNT(IJ17,IO17,IT17))</f>
        <v>4</v>
      </c>
      <c r="IW17" s="212" t="str">
        <f t="shared" si="59"/>
        <v>A</v>
      </c>
      <c r="IX17" s="125"/>
      <c r="IY17" s="121"/>
      <c r="IZ17" s="122"/>
      <c r="JA17" s="188" t="str">
        <f>IFERROR((((COUNTIF('Elève (6ème1)'!IX17:IZ17,"A"))*4)+((COUNTIF('Elève (6ème1)'!IX17:IZ17,"B"))*3)+((COUNTIF('Elève (6ème1)'!IX17:IZ17,"C"))*2)+((COUNTIF('Elève (6ème1)'!IX17:IZ17,"D"))*1))/(COUNTA(IX17:IZ17)),"")</f>
        <v/>
      </c>
      <c r="JB17" s="187" t="str">
        <f t="shared" si="60"/>
        <v/>
      </c>
      <c r="JC17" s="120"/>
      <c r="JD17" s="121"/>
      <c r="JE17" s="122"/>
      <c r="JF17" s="188" t="str">
        <f>IFERROR((((COUNTIF('Elève (6ème1)'!JC17:JE17,"A"))*4)+((COUNTIF('Elève (6ème1)'!JC17:JE17,"B"))*3)+((COUNTIF('Elève (6ème1)'!JC17:JE17,"C"))*2)+((COUNTIF('Elève (6ème1)'!JC17:JE17,"D"))*1))/(COUNTA(JC17:JE17)),"")</f>
        <v/>
      </c>
      <c r="JG17" s="187" t="str">
        <f t="shared" si="61"/>
        <v/>
      </c>
      <c r="JH17" s="120" t="s">
        <v>24</v>
      </c>
      <c r="JI17" s="121" t="s">
        <v>25</v>
      </c>
      <c r="JJ17" s="122"/>
      <c r="JK17" s="188">
        <f>IFERROR((((COUNTIF('Elève (6ème1)'!JH17:JJ17,"A"))*4)+((COUNTIF('Elève (6ème1)'!JH17:JJ17,"B"))*3)+((COUNTIF('Elève (6ème1)'!JH17:JJ17,"C"))*2)+((COUNTIF('Elève (6ème1)'!JH17:JJ17,"D"))*1))/(COUNTA(JH17:JJ17)),"")</f>
        <v>2.5</v>
      </c>
      <c r="JL17" s="187" t="str">
        <f t="shared" si="62"/>
        <v>C</v>
      </c>
      <c r="JM17" s="188">
        <f>IF(COUNT(JA17,JF17,JK17)=0,"",SUM(JA17,JF17,JK17)/COUNT(JA17,JF17,JK17))</f>
        <v>2.5</v>
      </c>
      <c r="JN17" s="212" t="str">
        <f t="shared" si="63"/>
        <v>C</v>
      </c>
      <c r="JO17" s="125"/>
      <c r="JP17" s="121"/>
      <c r="JQ17" s="122"/>
      <c r="JR17" s="188" t="str">
        <f>IFERROR((((COUNTIF('Elève (6ème1)'!JO17:JQ17,"A"))*4)+((COUNTIF('Elève (6ème1)'!JO17:JQ17,"B"))*3)+((COUNTIF('Elève (6ème1)'!JO17:JQ17,"C"))*2)+((COUNTIF('Elève (6ème1)'!JO17:JQ17,"D"))*1))/(COUNTA(JO17:JQ17)),"")</f>
        <v/>
      </c>
      <c r="JS17" s="187" t="str">
        <f t="shared" si="64"/>
        <v/>
      </c>
      <c r="JT17" s="120"/>
      <c r="JU17" s="121"/>
      <c r="JV17" s="122" t="s">
        <v>25</v>
      </c>
      <c r="JW17" s="188">
        <f>IFERROR((((COUNTIF('Elève (6ème1)'!JT17:JV17,"A"))*4)+((COUNTIF('Elève (6ème1)'!JT17:JV17,"B"))*3)+((COUNTIF('Elève (6ème1)'!JT17:JV17,"C"))*2)+((COUNTIF('Elève (6ème1)'!JT17:JV17,"D"))*1))/(COUNTA(JT17:JV17)),"")</f>
        <v>2</v>
      </c>
      <c r="JX17" s="187" t="str">
        <f t="shared" si="65"/>
        <v>C</v>
      </c>
      <c r="JY17" s="120" t="s">
        <v>24</v>
      </c>
      <c r="JZ17" s="121" t="s">
        <v>24</v>
      </c>
      <c r="KA17" s="122"/>
      <c r="KB17" s="188">
        <f>IFERROR((((COUNTIF('Elève (6ème1)'!JY17:KA17,"A"))*4)+((COUNTIF('Elève (6ème1)'!JY17:KA17,"B"))*3)+((COUNTIF('Elève (6ème1)'!JY17:KA17,"C"))*2)+((COUNTIF('Elève (6ème1)'!JY17:KA17,"D"))*1))/(COUNTA(JY17:KA17)),"")</f>
        <v>3</v>
      </c>
      <c r="KC17" s="187" t="str">
        <f t="shared" si="66"/>
        <v>B</v>
      </c>
      <c r="KD17" s="188">
        <f>IF(COUNT(JR17,JW17,KB17)=0,"",SUM(JR17,JW17,KB17)/COUNT(JR17,JW17,KB17))</f>
        <v>2.5</v>
      </c>
      <c r="KE17" s="212" t="str">
        <f t="shared" si="67"/>
        <v>C</v>
      </c>
      <c r="KF17" s="125"/>
      <c r="KG17" s="121"/>
      <c r="KH17" s="122"/>
      <c r="KI17" s="188" t="str">
        <f>IFERROR((((COUNTIF('Elève (6ème1)'!KF17:KH17,"A"))*4)+((COUNTIF('Elève (6ème1)'!KF17:KH17,"B"))*3)+((COUNTIF('Elève (6ème1)'!KF17:KH17,"C"))*2)+((COUNTIF('Elève (6ème1)'!KF17:KH17,"D"))*1))/(COUNTA(KF17:KH17)),"")</f>
        <v/>
      </c>
      <c r="KJ17" s="187" t="str">
        <f t="shared" si="68"/>
        <v/>
      </c>
      <c r="KK17" s="120"/>
      <c r="KL17" s="121"/>
      <c r="KM17" s="122" t="s">
        <v>25</v>
      </c>
      <c r="KN17" s="188">
        <f>IFERROR((((COUNTIF('Elève (6ème1)'!KK17:KM17,"A"))*4)+((COUNTIF('Elève (6ème1)'!KK17:KM17,"B"))*3)+((COUNTIF('Elève (6ème1)'!KK17:KM17,"C"))*2)+((COUNTIF('Elève (6ème1)'!KK17:KM17,"D"))*1))/(COUNTA(KK17:KM17)),"")</f>
        <v>2</v>
      </c>
      <c r="KO17" s="187" t="str">
        <f t="shared" si="69"/>
        <v>C</v>
      </c>
      <c r="KP17" s="120" t="s">
        <v>24</v>
      </c>
      <c r="KQ17" s="121" t="s">
        <v>25</v>
      </c>
      <c r="KR17" s="122"/>
      <c r="KS17" s="188">
        <f>IFERROR((((COUNTIF('Elève (6ème1)'!KP17:KR17,"A"))*4)+((COUNTIF('Elève (6ème1)'!KP17:KR17,"B"))*3)+((COUNTIF('Elève (6ème1)'!KP17:KR17,"C"))*2)+((COUNTIF('Elève (6ème1)'!KP17:KR17,"D"))*1))/(COUNTA(KP17:KR17)),"")</f>
        <v>2.5</v>
      </c>
      <c r="KT17" s="187" t="str">
        <f t="shared" si="70"/>
        <v>C</v>
      </c>
      <c r="KU17" s="188">
        <f>IF(COUNT(KI17,KN17,KS17)=0,"",SUM(KI17,KN17,KS17)/COUNT(KI17,KN17,KS17))</f>
        <v>2.25</v>
      </c>
      <c r="KV17" s="212" t="str">
        <f t="shared" si="71"/>
        <v>C</v>
      </c>
      <c r="KW17" s="125"/>
      <c r="KX17" s="121"/>
      <c r="KY17" s="122"/>
      <c r="KZ17" s="188" t="str">
        <f>IFERROR((((COUNTIF('Elève (6ème1)'!KW17:KY17,"A"))*4)+((COUNTIF('Elève (6ème1)'!KW17:KY17,"B"))*3)+((COUNTIF('Elève (6ème1)'!KW17:KY17,"C"))*2)+((COUNTIF('Elève (6ème1)'!KW17:KY17,"D"))*1))/(COUNTA(KW17:KY17)),"")</f>
        <v/>
      </c>
      <c r="LA17" s="187" t="str">
        <f t="shared" si="72"/>
        <v/>
      </c>
      <c r="LB17" s="120"/>
      <c r="LC17" s="121"/>
      <c r="LD17" s="122" t="s">
        <v>24</v>
      </c>
      <c r="LE17" s="188">
        <f>IFERROR((((COUNTIF('Elève (6ème1)'!LB17:LD17,"A"))*4)+((COUNTIF('Elève (6ème1)'!LB17:LD17,"B"))*3)+((COUNTIF('Elève (6ème1)'!LB17:LD17,"C"))*2)+((COUNTIF('Elève (6ème1)'!LB17:LD17,"D"))*1))/(COUNTA(LB17:LD17)),"")</f>
        <v>3</v>
      </c>
      <c r="LF17" s="187" t="str">
        <f t="shared" si="73"/>
        <v>B</v>
      </c>
      <c r="LG17" s="120" t="s">
        <v>23</v>
      </c>
      <c r="LH17" s="121" t="s">
        <v>24</v>
      </c>
      <c r="LI17" s="122"/>
      <c r="LJ17" s="188">
        <f>IFERROR((((COUNTIF('Elève (6ème1)'!LG17:LI17,"A"))*4)+((COUNTIF('Elève (6ème1)'!LG17:LI17,"B"))*3)+((COUNTIF('Elève (6ème1)'!LG17:LI17,"C"))*2)+((COUNTIF('Elève (6ème1)'!LG17:LI17,"D"))*1))/(COUNTA(LG17:LI17)),"")</f>
        <v>3.5</v>
      </c>
      <c r="LK17" s="187" t="str">
        <f t="shared" si="74"/>
        <v>B</v>
      </c>
      <c r="LL17" s="188">
        <f>IF(COUNT(KZ17,LE17,LJ17)=0,"",SUM(KZ17,LE17,LJ17)/COUNT(KZ17,LE17,LJ17))</f>
        <v>3.25</v>
      </c>
      <c r="LM17" s="212" t="str">
        <f t="shared" si="75"/>
        <v>B</v>
      </c>
      <c r="LN17" s="125"/>
      <c r="LO17" s="121"/>
      <c r="LP17" s="122"/>
      <c r="LQ17" s="188" t="str">
        <f>IFERROR((((COUNTIF('Elève (6ème1)'!LN17:LP17,"A"))*4)+((COUNTIF('Elève (6ème1)'!LN17:LP17,"B"))*3)+((COUNTIF('Elève (6ème1)'!LN17:LP17,"C"))*2)+((COUNTIF('Elève (6ème1)'!LN17:LP17,"D"))*1))/(COUNTA(LN17:LP17)),"")</f>
        <v/>
      </c>
      <c r="LR17" s="187" t="str">
        <f t="shared" si="76"/>
        <v/>
      </c>
      <c r="LS17" s="120"/>
      <c r="LT17" s="121"/>
      <c r="LU17" s="122"/>
      <c r="LV17" s="188" t="str">
        <f>IFERROR((((COUNTIF('Elève (6ème1)'!LS17:LU17,"A"))*4)+((COUNTIF('Elève (6ème1)'!LS17:LU17,"B"))*3)+((COUNTIF('Elève (6ème1)'!LS17:LU17,"C"))*2)+((COUNTIF('Elève (6ème1)'!LS17:LU17,"D"))*1))/(COUNTA(LS17:LU17)),"")</f>
        <v/>
      </c>
      <c r="LW17" s="187" t="str">
        <f t="shared" si="77"/>
        <v/>
      </c>
      <c r="LX17" s="120" t="s">
        <v>24</v>
      </c>
      <c r="LY17" s="121" t="s">
        <v>25</v>
      </c>
      <c r="LZ17" s="122"/>
      <c r="MA17" s="188">
        <f>IFERROR((((COUNTIF('Elève (6ème1)'!LX17:LZ17,"A"))*4)+((COUNTIF('Elève (6ème1)'!LX17:LZ17,"B"))*3)+((COUNTIF('Elève (6ème1)'!LX17:LZ17,"C"))*2)+((COUNTIF('Elève (6ème1)'!LX17:LZ17,"D"))*1))/(COUNTA(LX17:LZ17)),"")</f>
        <v>2.5</v>
      </c>
      <c r="MB17" s="187" t="str">
        <f t="shared" si="78"/>
        <v>C</v>
      </c>
      <c r="MC17" s="188">
        <f>IF(COUNT(LQ17,LV17,MA17)=0,"",SUM(LQ17,LV17,MA17)/COUNT(LQ17,LV17,MA17))</f>
        <v>2.5</v>
      </c>
      <c r="MD17" s="212" t="str">
        <f t="shared" si="79"/>
        <v>C</v>
      </c>
      <c r="ME17" s="125"/>
      <c r="MF17" s="121"/>
      <c r="MG17" s="122"/>
      <c r="MH17" s="188" t="str">
        <f>IFERROR((((COUNTIF('Elève (6ème1)'!ME17:MG17,"A"))*4)+((COUNTIF('Elève (6ème1)'!ME17:MG17,"B"))*3)+((COUNTIF('Elève (6ème1)'!ME17:MG17,"C"))*2)+((COUNTIF('Elève (6ème1)'!ME17:MG17,"D"))*1))/(COUNTA(ME17:MG17)),"")</f>
        <v/>
      </c>
      <c r="MI17" s="187" t="str">
        <f t="shared" si="80"/>
        <v/>
      </c>
      <c r="MJ17" s="120"/>
      <c r="MK17" s="121"/>
      <c r="ML17" s="122" t="s">
        <v>23</v>
      </c>
      <c r="MM17" s="188">
        <f>IFERROR((((COUNTIF('Elève (6ème1)'!MJ17:ML17,"A"))*4)+((COUNTIF('Elève (6ème1)'!MJ17:ML17,"B"))*3)+((COUNTIF('Elève (6ème1)'!MJ17:ML17,"C"))*2)+((COUNTIF('Elève (6ème1)'!MJ17:ML17,"D"))*1))/(COUNTA(MJ17:ML17)),"")</f>
        <v>4</v>
      </c>
      <c r="MN17" s="187" t="str">
        <f t="shared" si="81"/>
        <v>A</v>
      </c>
      <c r="MO17" s="120" t="s">
        <v>23</v>
      </c>
      <c r="MP17" s="121" t="s">
        <v>24</v>
      </c>
      <c r="MQ17" s="122"/>
      <c r="MR17" s="188">
        <f>IFERROR((((COUNTIF('Elève (6ème1)'!MO17:MQ17,"A"))*4)+((COUNTIF('Elève (6ème1)'!MO17:MQ17,"B"))*3)+((COUNTIF('Elève (6ème1)'!MO17:MQ17,"C"))*2)+((COUNTIF('Elève (6ème1)'!MO17:MQ17,"D"))*1))/(COUNTA(MO17:MQ17)),"")</f>
        <v>3.5</v>
      </c>
      <c r="MS17" s="187" t="str">
        <f t="shared" si="82"/>
        <v>B</v>
      </c>
      <c r="MT17" s="188">
        <f>IF(COUNT(MH17,MM17,MR17)=0,"",SUM(MH17,MM17,MR17)/COUNT(MH17,MM17,MR17))</f>
        <v>3.75</v>
      </c>
      <c r="MU17" s="212" t="str">
        <f t="shared" si="83"/>
        <v>A</v>
      </c>
      <c r="MV17" s="125"/>
      <c r="MW17" s="121"/>
      <c r="MX17" s="122"/>
      <c r="MY17" s="188" t="str">
        <f>IFERROR((((COUNTIF('Elève (6ème1)'!MV17:MX17,"A"))*4)+((COUNTIF('Elève (6ème1)'!MV17:MX17,"B"))*3)+((COUNTIF('Elève (6ème1)'!MV17:MX17,"C"))*2)+((COUNTIF('Elève (6ème1)'!MV17:MX17,"D"))*1))/(COUNTA(MV17:MX17)),"")</f>
        <v/>
      </c>
      <c r="MZ17" s="187" t="str">
        <f t="shared" si="84"/>
        <v/>
      </c>
      <c r="NA17" s="120"/>
      <c r="NB17" s="121"/>
      <c r="NC17" s="122" t="s">
        <v>25</v>
      </c>
      <c r="ND17" s="188">
        <f>IFERROR((((COUNTIF('Elève (6ème1)'!NA17:NC17,"A"))*4)+((COUNTIF('Elève (6ème1)'!NA17:NC17,"B"))*3)+((COUNTIF('Elève (6ème1)'!NA17:NC17,"C"))*2)+((COUNTIF('Elève (6ème1)'!NA17:NC17,"D"))*1))/(COUNTA(NA17:NC17)),"")</f>
        <v>2</v>
      </c>
      <c r="NE17" s="187" t="str">
        <f t="shared" si="85"/>
        <v>C</v>
      </c>
      <c r="NF17" s="120" t="s">
        <v>24</v>
      </c>
      <c r="NG17" s="121" t="s">
        <v>24</v>
      </c>
      <c r="NH17" s="122"/>
      <c r="NI17" s="188">
        <f>IFERROR((((COUNTIF('Elève (6ème1)'!NF17:NH17,"A"))*4)+((COUNTIF('Elève (6ème1)'!NF17:NH17,"B"))*3)+((COUNTIF('Elève (6ème1)'!NF17:NH17,"C"))*2)+((COUNTIF('Elève (6ème1)'!NF17:NH17,"D"))*1))/(COUNTA(NF17:NH17)),"")</f>
        <v>3</v>
      </c>
      <c r="NJ17" s="187" t="str">
        <f t="shared" si="86"/>
        <v>B</v>
      </c>
      <c r="NK17" s="188">
        <f>IF(COUNT(MY17,ND17,NI17)=0,"",SUM(MY17,ND17,NI17)/COUNT(MY17,ND17,NI17))</f>
        <v>2.5</v>
      </c>
      <c r="NL17" s="212" t="str">
        <f t="shared" si="87"/>
        <v>C</v>
      </c>
      <c r="NM17" s="125"/>
      <c r="NN17" s="121"/>
      <c r="NO17" s="122"/>
      <c r="NP17" s="188" t="str">
        <f>IFERROR((((COUNTIF('Elève (6ème1)'!NM17:NO17,"A"))*4)+((COUNTIF('Elève (6ème1)'!NM17:NO17,"B"))*3)+((COUNTIF('Elève (6ème1)'!NM17:NO17,"C"))*2)+((COUNTIF('Elève (6ème1)'!NM17:NO17,"D"))*1))/(COUNTA(NM17:NO17)),"")</f>
        <v/>
      </c>
      <c r="NQ17" s="187" t="str">
        <f t="shared" si="88"/>
        <v/>
      </c>
      <c r="NR17" s="120"/>
      <c r="NS17" s="121"/>
      <c r="NT17" s="122" t="s">
        <v>23</v>
      </c>
      <c r="NU17" s="188">
        <f>IFERROR((((COUNTIF('Elève (6ème1)'!NR17:NT17,"A"))*4)+((COUNTIF('Elève (6ème1)'!NR17:NT17,"B"))*3)+((COUNTIF('Elève (6ème1)'!NR17:NT17,"C"))*2)+((COUNTIF('Elève (6ème1)'!NR17:NT17,"D"))*1))/(COUNTA(NR17:NT17)),"")</f>
        <v>4</v>
      </c>
      <c r="NV17" s="187" t="str">
        <f t="shared" si="89"/>
        <v>A</v>
      </c>
      <c r="NW17" s="120" t="s">
        <v>23</v>
      </c>
      <c r="NX17" s="121" t="s">
        <v>25</v>
      </c>
      <c r="NY17" s="122"/>
      <c r="NZ17" s="188">
        <f>IFERROR((((COUNTIF('Elève (6ème1)'!NW17:NY17,"A"))*4)+((COUNTIF('Elève (6ème1)'!NW17:NY17,"B"))*3)+((COUNTIF('Elève (6ème1)'!NW17:NY17,"C"))*2)+((COUNTIF('Elève (6ème1)'!NW17:NY17,"D"))*1))/(COUNTA(NW17:NY17)),"")</f>
        <v>3</v>
      </c>
      <c r="OA17" s="187" t="str">
        <f t="shared" si="90"/>
        <v>B</v>
      </c>
      <c r="OB17" s="188">
        <f>IF(COUNT(NP17,NU17,NZ17)=0,"",SUM(NP17,NU17,NZ17)/COUNT(NP17,NU17,NZ17))</f>
        <v>3.5</v>
      </c>
      <c r="OC17" s="212" t="str">
        <f t="shared" si="91"/>
        <v>B</v>
      </c>
      <c r="OD17" s="125"/>
      <c r="OE17" s="121"/>
      <c r="OF17" s="122"/>
      <c r="OG17" s="188" t="str">
        <f>IFERROR((((COUNTIF('Elève (6ème1)'!OD17:OF17,"A"))*4)+((COUNTIF('Elève (6ème1)'!OD17:OF17,"B"))*3)+((COUNTIF('Elève (6ème1)'!OD17:OF17,"C"))*2)+((COUNTIF('Elève (6ème1)'!OD17:OF17,"D"))*1))/(COUNTA(OD17:OF17)),"")</f>
        <v/>
      </c>
      <c r="OH17" s="187" t="str">
        <f t="shared" si="92"/>
        <v/>
      </c>
      <c r="OI17" s="120"/>
      <c r="OJ17" s="121"/>
      <c r="OK17" s="122" t="s">
        <v>25</v>
      </c>
      <c r="OL17" s="188">
        <f>IFERROR((((COUNTIF('Elève (6ème1)'!OI17:OK17,"A"))*4)+((COUNTIF('Elève (6ème1)'!OI17:OK17,"B"))*3)+((COUNTIF('Elève (6ème1)'!OI17:OK17,"C"))*2)+((COUNTIF('Elève (6ème1)'!OI17:OK17,"D"))*1))/(COUNTA(OI17:OK17)),"")</f>
        <v>2</v>
      </c>
      <c r="OM17" s="187" t="str">
        <f t="shared" si="93"/>
        <v>C</v>
      </c>
      <c r="ON17" s="120" t="s">
        <v>24</v>
      </c>
      <c r="OO17" s="121" t="s">
        <v>24</v>
      </c>
      <c r="OP17" s="122"/>
      <c r="OQ17" s="188">
        <f>IFERROR((((COUNTIF('Elève (6ème1)'!ON17:OP17,"A"))*4)+((COUNTIF('Elève (6ème1)'!ON17:OP17,"B"))*3)+((COUNTIF('Elève (6ème1)'!ON17:OP17,"C"))*2)+((COUNTIF('Elève (6ème1)'!ON17:OP17,"D"))*1))/(COUNTA(ON17:OP17)),"")</f>
        <v>3</v>
      </c>
      <c r="OR17" s="187" t="str">
        <f t="shared" si="94"/>
        <v>B</v>
      </c>
      <c r="OS17" s="188">
        <f>IF(COUNT(OG17,OL17,OQ17)=0,"",SUM(OG17,OL17,OQ17)/COUNT(OG17,OL17,OQ17))</f>
        <v>2.5</v>
      </c>
      <c r="OT17" s="212" t="str">
        <f t="shared" si="95"/>
        <v>C</v>
      </c>
      <c r="OU17" s="125"/>
      <c r="OV17" s="121"/>
      <c r="OW17" s="122"/>
      <c r="OX17" s="188" t="str">
        <f>IFERROR((((COUNTIF('Elève (6ème1)'!OU17:OW17,"A"))*4)+((COUNTIF('Elève (6ème1)'!OU17:OW17,"B"))*3)+((COUNTIF('Elève (6ème1)'!OU17:OW17,"C"))*2)+((COUNTIF('Elève (6ème1)'!OU17:OW17,"D"))*1))/(COUNTA(OU17:OW17)),"")</f>
        <v/>
      </c>
      <c r="OY17" s="187" t="str">
        <f t="shared" si="96"/>
        <v/>
      </c>
      <c r="OZ17" s="120"/>
      <c r="PA17" s="121"/>
      <c r="PB17" s="122"/>
      <c r="PC17" s="188" t="str">
        <f>IFERROR((((COUNTIF('Elève (6ème1)'!OZ17:PB17,"A"))*4)+((COUNTIF('Elève (6ème1)'!OZ17:PB17,"B"))*3)+((COUNTIF('Elève (6ème1)'!OZ17:PB17,"C"))*2)+((COUNTIF('Elève (6ème1)'!OZ17:PB17,"D"))*1))/(COUNTA(OZ17:PB17)),"")</f>
        <v/>
      </c>
      <c r="PD17" s="187" t="str">
        <f t="shared" si="97"/>
        <v/>
      </c>
      <c r="PE17" s="120" t="s">
        <v>24</v>
      </c>
      <c r="PF17" s="121"/>
      <c r="PG17" s="122"/>
      <c r="PH17" s="188">
        <f>IFERROR((((COUNTIF('Elève (6ème1)'!PE17:PG17,"A"))*4)+((COUNTIF('Elève (6ème1)'!PE17:PG17,"B"))*3)+((COUNTIF('Elève (6ème1)'!PE17:PG17,"C"))*2)+((COUNTIF('Elève (6ème1)'!PE17:PG17,"D"))*1))/(COUNTA(PE17:PG17)),"")</f>
        <v>3</v>
      </c>
      <c r="PI17" s="187" t="str">
        <f t="shared" si="98"/>
        <v>B</v>
      </c>
      <c r="PJ17" s="188">
        <f>IF(COUNT(OX17,PC17,PH17)=0,"",SUM(OX17,PC17,PH17)/COUNT(OX17,PC17,PH17))</f>
        <v>3</v>
      </c>
      <c r="PK17" s="212" t="str">
        <f t="shared" si="99"/>
        <v>B</v>
      </c>
      <c r="PL17" s="125"/>
      <c r="PM17" s="121"/>
      <c r="PN17" s="122"/>
      <c r="PO17" s="188" t="str">
        <f>IFERROR((((COUNTIF('Elève (6ème1)'!PL17:PN17,"A"))*4)+((COUNTIF('Elève (6ème1)'!PL17:PN17,"B"))*3)+((COUNTIF('Elève (6ème1)'!PL17:PN17,"C"))*2)+((COUNTIF('Elève (6ème1)'!PL17:PN17,"D"))*1))/(COUNTA(PL17:PN17)),"")</f>
        <v/>
      </c>
      <c r="PP17" s="187" t="str">
        <f t="shared" si="100"/>
        <v/>
      </c>
      <c r="PQ17" s="120"/>
      <c r="PR17" s="121"/>
      <c r="PS17" s="122" t="s">
        <v>25</v>
      </c>
      <c r="PT17" s="188">
        <f>IFERROR((((COUNTIF('Elève (6ème1)'!PQ17:PS17,"A"))*4)+((COUNTIF('Elève (6ème1)'!PQ17:PS17,"B"))*3)+((COUNTIF('Elève (6ème1)'!PQ17:PS17,"C"))*2)+((COUNTIF('Elève (6ème1)'!PQ17:PS17,"D"))*1))/(COUNTA(PQ17:PS17)),"")</f>
        <v>2</v>
      </c>
      <c r="PU17" s="187" t="str">
        <f t="shared" si="101"/>
        <v>C</v>
      </c>
      <c r="PV17" s="120" t="s">
        <v>24</v>
      </c>
      <c r="PW17" s="121" t="s">
        <v>25</v>
      </c>
      <c r="PX17" s="122"/>
      <c r="PY17" s="188">
        <f>IFERROR((((COUNTIF('Elève (6ème1)'!PV17:PX17,"A"))*4)+((COUNTIF('Elève (6ème1)'!PV17:PX17,"B"))*3)+((COUNTIF('Elève (6ème1)'!PV17:PX17,"C"))*2)+((COUNTIF('Elève (6ème1)'!PV17:PX17,"D"))*1))/(COUNTA(PV17:PX17)),"")</f>
        <v>2.5</v>
      </c>
      <c r="PZ17" s="187" t="str">
        <f t="shared" si="102"/>
        <v>C</v>
      </c>
      <c r="QA17" s="188">
        <f>IF(COUNT(PO17,PT17,PY17)=0,"",SUM(PO17,PT17,PY17)/COUNT(PO17,PT17,PY17))</f>
        <v>2.25</v>
      </c>
      <c r="QB17" s="212" t="str">
        <f t="shared" si="103"/>
        <v>C</v>
      </c>
      <c r="QC17" s="125"/>
      <c r="QD17" s="121"/>
      <c r="QE17" s="122"/>
      <c r="QF17" s="188" t="str">
        <f>IFERROR((((COUNTIF('Elève (6ème1)'!QC17:QE17,"A"))*4)+((COUNTIF('Elève (6ème1)'!QC17:QE17,"B"))*3)+((COUNTIF('Elève (6ème1)'!QC17:QE17,"C"))*2)+((COUNTIF('Elève (6ème1)'!QC17:QE17,"D"))*1))/(COUNTA(QC17:QE17)),"")</f>
        <v/>
      </c>
      <c r="QG17" s="187" t="str">
        <f t="shared" si="104"/>
        <v/>
      </c>
      <c r="QH17" s="120"/>
      <c r="QI17" s="121"/>
      <c r="QJ17" s="122"/>
      <c r="QK17" s="188" t="str">
        <f>IFERROR((((COUNTIF('Elève (6ème1)'!QH17:QJ17,"A"))*4)+((COUNTIF('Elève (6ème1)'!QH17:QJ17,"B"))*3)+((COUNTIF('Elève (6ème1)'!QH17:QJ17,"C"))*2)+((COUNTIF('Elève (6ème1)'!QH17:QJ17,"D"))*1))/(COUNTA(QH17:QJ17)),"")</f>
        <v/>
      </c>
      <c r="QL17" s="187" t="str">
        <f t="shared" si="105"/>
        <v/>
      </c>
      <c r="QM17" s="120" t="s">
        <v>24</v>
      </c>
      <c r="QN17" s="121" t="s">
        <v>24</v>
      </c>
      <c r="QO17" s="122"/>
      <c r="QP17" s="188">
        <f>IFERROR((((COUNTIF('Elève (6ème1)'!QM17:QO17,"A"))*4)+((COUNTIF('Elève (6ème1)'!QM17:QO17,"B"))*3)+((COUNTIF('Elève (6ème1)'!QM17:QO17,"C"))*2)+((COUNTIF('Elève (6ème1)'!QM17:QO17,"D"))*1))/(COUNTA(QM17:QO17)),"")</f>
        <v>3</v>
      </c>
      <c r="QQ17" s="187" t="str">
        <f t="shared" si="106"/>
        <v>B</v>
      </c>
      <c r="QR17" s="188">
        <f>IF(COUNT(QF17,QK17,QP17)=0,"",SUM(QF17,QK17,QP17)/COUNT(QF17,QK17,QP17))</f>
        <v>3</v>
      </c>
      <c r="QS17" s="212" t="str">
        <f t="shared" si="107"/>
        <v>B</v>
      </c>
      <c r="QT17" s="125"/>
      <c r="QU17" s="121"/>
      <c r="QV17" s="122"/>
      <c r="QW17" s="188" t="str">
        <f>IFERROR((((COUNTIF('Elève (6ème1)'!QT17:QV17,"A"))*4)+((COUNTIF('Elève (6ème1)'!QT17:QV17,"B"))*3)+((COUNTIF('Elève (6ème1)'!QT17:QV17,"C"))*2)+((COUNTIF('Elève (6ème1)'!QT17:QV17,"D"))*1))/(COUNTA(QT17:QV17)),"")</f>
        <v/>
      </c>
      <c r="QX17" s="187" t="str">
        <f t="shared" si="108"/>
        <v/>
      </c>
      <c r="QY17" s="120"/>
      <c r="QZ17" s="121"/>
      <c r="RA17" s="122"/>
      <c r="RB17" s="188" t="str">
        <f>IFERROR((((COUNTIF('Elève (6ème1)'!QY17:RA17,"A"))*4)+((COUNTIF('Elève (6ème1)'!QY17:RA17,"B"))*3)+((COUNTIF('Elève (6ème1)'!QY17:RA17,"C"))*2)+((COUNTIF('Elève (6ème1)'!QY17:RA17,"D"))*1))/(COUNTA(QY17:RA17)),"")</f>
        <v/>
      </c>
      <c r="RC17" s="187" t="str">
        <f t="shared" si="109"/>
        <v/>
      </c>
      <c r="RD17" s="120" t="s">
        <v>24</v>
      </c>
      <c r="RE17" s="121"/>
      <c r="RF17" s="122"/>
      <c r="RG17" s="188">
        <f>IFERROR((((COUNTIF('Elève (6ème1)'!RD17:RF17,"A"))*4)+((COUNTIF('Elève (6ème1)'!RD17:RF17,"B"))*3)+((COUNTIF('Elève (6ème1)'!RD17:RF17,"C"))*2)+((COUNTIF('Elève (6ème1)'!RD17:RF17,"D"))*1))/(COUNTA(RD17:RF17)),"")</f>
        <v>3</v>
      </c>
      <c r="RH17" s="187" t="str">
        <f t="shared" si="110"/>
        <v>B</v>
      </c>
      <c r="RI17" s="188">
        <f>IF(COUNT(QW17,RB17,RG17)=0,"",SUM(QW17,RB17,RG17)/COUNT(QW17,RB17,RG17))</f>
        <v>3</v>
      </c>
      <c r="RJ17" s="212" t="str">
        <f t="shared" si="111"/>
        <v>B</v>
      </c>
      <c r="RK17" s="125"/>
      <c r="RL17" s="121"/>
      <c r="RM17" s="122"/>
      <c r="RN17" s="188" t="str">
        <f>IFERROR((((COUNTIF('Elève (6ème1)'!RK17:RM17,"A"))*4)+((COUNTIF('Elève (6ème1)'!RK17:RM17,"B"))*3)+((COUNTIF('Elève (6ème1)'!RK17:RM17,"C"))*2)+((COUNTIF('Elève (6ème1)'!RK17:RM17,"D"))*1))/(COUNTA(RK17:RM17)),"")</f>
        <v/>
      </c>
      <c r="RO17" s="187" t="str">
        <f t="shared" si="112"/>
        <v/>
      </c>
      <c r="RP17" s="120"/>
      <c r="RQ17" s="121"/>
      <c r="RR17" s="122"/>
      <c r="RS17" s="188" t="str">
        <f>IFERROR((((COUNTIF('Elève (6ème1)'!RP17:RR17,"A"))*4)+((COUNTIF('Elève (6ème1)'!RP17:RR17,"B"))*3)+((COUNTIF('Elève (6ème1)'!RP17:RR17,"C"))*2)+((COUNTIF('Elève (6ème1)'!RP17:RR17,"D"))*1))/(COUNTA(RP17:RR17)),"")</f>
        <v/>
      </c>
      <c r="RT17" s="187" t="str">
        <f t="shared" si="113"/>
        <v/>
      </c>
      <c r="RU17" s="120" t="s">
        <v>24</v>
      </c>
      <c r="RV17" s="121" t="s">
        <v>24</v>
      </c>
      <c r="RW17" s="122"/>
      <c r="RX17" s="188">
        <f>IFERROR((((COUNTIF('Elève (6ème1)'!RU17:RW17,"A"))*4)+((COUNTIF('Elève (6ème1)'!RU17:RW17,"B"))*3)+((COUNTIF('Elève (6ème1)'!RU17:RW17,"C"))*2)+((COUNTIF('Elève (6ème1)'!RU17:RW17,"D"))*1))/(COUNTA(RU17:RW17)),"")</f>
        <v>3</v>
      </c>
      <c r="RY17" s="187" t="str">
        <f t="shared" si="114"/>
        <v>B</v>
      </c>
      <c r="RZ17" s="188">
        <f>IF(COUNT(RN17,RS17,RX17)=0,"",SUM(RN17,RS17,RX17)/COUNT(RN17,RS17,RX17))</f>
        <v>3</v>
      </c>
      <c r="SA17" s="212" t="str">
        <f t="shared" si="115"/>
        <v>B</v>
      </c>
      <c r="SB17" s="125"/>
      <c r="SC17" s="121"/>
      <c r="SD17" s="122"/>
      <c r="SE17" s="188" t="str">
        <f>IFERROR((((COUNTIF('Elève (6ème1)'!SB17:SD17,"A"))*4)+((COUNTIF('Elève (6ème1)'!SB17:SD17,"B"))*3)+((COUNTIF('Elève (6ème1)'!SB17:SD17,"C"))*2)+((COUNTIF('Elève (6ème1)'!SB17:SD17,"D"))*1))/(COUNTA(SB17:SD17)),"")</f>
        <v/>
      </c>
      <c r="SF17" s="187" t="str">
        <f t="shared" si="116"/>
        <v/>
      </c>
      <c r="SG17" s="120"/>
      <c r="SH17" s="121"/>
      <c r="SI17" s="122"/>
      <c r="SJ17" s="188" t="str">
        <f>IFERROR((((COUNTIF('Elève (6ème1)'!SG17:SI17,"A"))*4)+((COUNTIF('Elève (6ème1)'!SG17:SI17,"B"))*3)+((COUNTIF('Elève (6ème1)'!SG17:SI17,"C"))*2)+((COUNTIF('Elève (6ème1)'!SG17:SI17,"D"))*1))/(COUNTA(SG17:SI17)),"")</f>
        <v/>
      </c>
      <c r="SK17" s="187" t="str">
        <f t="shared" si="117"/>
        <v/>
      </c>
      <c r="SL17" s="120" t="s">
        <v>24</v>
      </c>
      <c r="SM17" s="121"/>
      <c r="SN17" s="122"/>
      <c r="SO17" s="188">
        <f>IFERROR((((COUNTIF('Elève (6ème1)'!SL17:SN17,"A"))*4)+((COUNTIF('Elève (6ème1)'!SL17:SN17,"B"))*3)+((COUNTIF('Elève (6ème1)'!SL17:SN17,"C"))*2)+((COUNTIF('Elève (6ème1)'!SL17:SN17,"D"))*1))/(COUNTA(SL17:SN17)),"")</f>
        <v>3</v>
      </c>
      <c r="SP17" s="187" t="str">
        <f t="shared" si="118"/>
        <v>B</v>
      </c>
      <c r="SQ17" s="188">
        <f>IF(COUNT(SE17,SJ17,SO17)=0,"",SUM(SE17,SJ17,SO17)/COUNT(SE17,SJ17,SO17))</f>
        <v>3</v>
      </c>
      <c r="SR17" s="212" t="str">
        <f t="shared" si="119"/>
        <v>B</v>
      </c>
      <c r="SS17" s="125"/>
      <c r="ST17" s="121"/>
      <c r="SU17" s="122"/>
      <c r="SV17" s="188" t="str">
        <f>IFERROR((((COUNTIF('Elève (6ème1)'!SS17:SU17,"A"))*4)+((COUNTIF('Elève (6ème1)'!SS17:SU17,"B"))*3)+((COUNTIF('Elève (6ème1)'!SS17:SU17,"C"))*2)+((COUNTIF('Elève (6ème1)'!SS17:SU17,"D"))*1))/(COUNTA(SS17:SU17)),"")</f>
        <v/>
      </c>
      <c r="SW17" s="187" t="str">
        <f t="shared" si="120"/>
        <v/>
      </c>
      <c r="SX17" s="120"/>
      <c r="SY17" s="121"/>
      <c r="SZ17" s="122" t="s">
        <v>24</v>
      </c>
      <c r="TA17" s="188">
        <f>IFERROR((((COUNTIF('Elève (6ème1)'!SX17:SZ17,"A"))*4)+((COUNTIF('Elève (6ème1)'!SX17:SZ17,"B"))*3)+((COUNTIF('Elève (6ème1)'!SX17:SZ17,"C"))*2)+((COUNTIF('Elève (6ème1)'!SX17:SZ17,"D"))*1))/(COUNTA(SX17:SZ17)),"")</f>
        <v>3</v>
      </c>
      <c r="TB17" s="187" t="str">
        <f t="shared" si="121"/>
        <v>B</v>
      </c>
      <c r="TC17" s="120" t="s">
        <v>23</v>
      </c>
      <c r="TD17" s="121" t="s">
        <v>24</v>
      </c>
      <c r="TE17" s="122"/>
      <c r="TF17" s="188">
        <f>IFERROR((((COUNTIF('Elève (6ème1)'!TC17:TE17,"A"))*4)+((COUNTIF('Elève (6ème1)'!TC17:TE17,"B"))*3)+((COUNTIF('Elève (6ème1)'!TC17:TE17,"C"))*2)+((COUNTIF('Elève (6ème1)'!TC17:TE17,"D"))*1))/(COUNTA(TC17:TE17)),"")</f>
        <v>3.5</v>
      </c>
      <c r="TG17" s="187" t="str">
        <f t="shared" si="122"/>
        <v>B</v>
      </c>
      <c r="TH17" s="188">
        <f>IF(COUNT(SV17,TA17,TF17)=0,"",SUM(SV17,TA17,TF17)/COUNT(SV17,TA17,TF17))</f>
        <v>3.25</v>
      </c>
      <c r="TI17" s="212" t="str">
        <f t="shared" si="123"/>
        <v>B</v>
      </c>
      <c r="TJ17" s="125"/>
      <c r="TK17" s="121"/>
      <c r="TL17" s="122"/>
      <c r="TM17" s="188" t="str">
        <f>IFERROR((((COUNTIF('Elève (6ème1)'!TJ17:TL17,"A"))*4)+((COUNTIF('Elève (6ème1)'!TJ17:TL17,"B"))*3)+((COUNTIF('Elève (6ème1)'!TJ17:TL17,"C"))*2)+((COUNTIF('Elève (6ème1)'!TJ17:TL17,"D"))*1))/(COUNTA(TJ17:TL17)),"")</f>
        <v/>
      </c>
      <c r="TN17" s="187" t="str">
        <f t="shared" si="124"/>
        <v/>
      </c>
      <c r="TO17" s="120"/>
      <c r="TP17" s="121"/>
      <c r="TQ17" s="122" t="s">
        <v>25</v>
      </c>
      <c r="TR17" s="188">
        <f>IFERROR((((COUNTIF('Elève (6ème1)'!TO17:TQ17,"A"))*4)+((COUNTIF('Elève (6ème1)'!TO17:TQ17,"B"))*3)+((COUNTIF('Elève (6ème1)'!TO17:TQ17,"C"))*2)+((COUNTIF('Elève (6ème1)'!TO17:TQ17,"D"))*1))/(COUNTA(TO17:TQ17)),"")</f>
        <v>2</v>
      </c>
      <c r="TS17" s="187" t="str">
        <f t="shared" si="125"/>
        <v>C</v>
      </c>
      <c r="TT17" s="120" t="s">
        <v>24</v>
      </c>
      <c r="TU17" s="121" t="s">
        <v>24</v>
      </c>
      <c r="TV17" s="122"/>
      <c r="TW17" s="188">
        <f>IFERROR((((COUNTIF('Elève (6ème1)'!TT17:TV17,"A"))*4)+((COUNTIF('Elève (6ème1)'!TT17:TV17,"B"))*3)+((COUNTIF('Elève (6ème1)'!TT17:TV17,"C"))*2)+((COUNTIF('Elève (6ème1)'!TT17:TV17,"D"))*1))/(COUNTA(TT17:TV17)),"")</f>
        <v>3</v>
      </c>
      <c r="TX17" s="187" t="str">
        <f t="shared" si="126"/>
        <v>B</v>
      </c>
      <c r="TY17" s="188">
        <f>IF(COUNT(TM17,TR17,TW17)=0,"",SUM(TM17,TR17,TW17)/COUNT(TM17,TR17,TW17))</f>
        <v>2.5</v>
      </c>
      <c r="TZ17" s="212" t="str">
        <f t="shared" si="127"/>
        <v>C</v>
      </c>
    </row>
    <row r="18" spans="1:546" s="98" customFormat="1" ht="16.5" customHeight="1" thickBot="1" x14ac:dyDescent="0.3">
      <c r="A18" s="164" t="s">
        <v>21</v>
      </c>
      <c r="B18" s="164">
        <v>1</v>
      </c>
      <c r="C18" s="255"/>
      <c r="D18" s="250"/>
      <c r="E18" s="251"/>
      <c r="F18" s="181" t="str">
        <f>IF(COUNT(F19:F20)=0,"",SUM(F19:F20)/COUNT(F19:F20))</f>
        <v/>
      </c>
      <c r="G18" s="182" t="str">
        <f t="shared" si="0"/>
        <v/>
      </c>
      <c r="H18" s="252"/>
      <c r="I18" s="250"/>
      <c r="J18" s="251"/>
      <c r="K18" s="181" t="str">
        <f>IF(COUNT(K20)=0,"",SUM(K20)/COUNT(K20))</f>
        <v/>
      </c>
      <c r="L18" s="198" t="str">
        <f t="shared" si="1"/>
        <v/>
      </c>
      <c r="M18" s="247"/>
      <c r="N18" s="245"/>
      <c r="O18" s="246"/>
      <c r="P18" s="181" t="str">
        <f>IF(COUNT(P20)=0,"",SUM(P20)/COUNT(P20))</f>
        <v/>
      </c>
      <c r="Q18" s="205" t="str">
        <f t="shared" si="2"/>
        <v/>
      </c>
      <c r="R18" s="181" t="str">
        <f>IF(COUNT(R20)=0,"",SUM(R20)/COUNT(R20))</f>
        <v/>
      </c>
      <c r="S18" s="206" t="str">
        <f t="shared" si="3"/>
        <v/>
      </c>
      <c r="T18" s="250"/>
      <c r="U18" s="250"/>
      <c r="V18" s="251"/>
      <c r="W18" s="181" t="str">
        <f>IF(COUNT(W19:W20)=0,"",SUM(W19:W20)/COUNT(W19:W20))</f>
        <v/>
      </c>
      <c r="X18" s="182" t="str">
        <f t="shared" si="4"/>
        <v/>
      </c>
      <c r="Y18" s="252"/>
      <c r="Z18" s="250"/>
      <c r="AA18" s="251"/>
      <c r="AB18" s="181" t="str">
        <f>IF(COUNT(AB20)=0,"",SUM(AB20)/COUNT(AB20))</f>
        <v/>
      </c>
      <c r="AC18" s="198" t="str">
        <f t="shared" si="5"/>
        <v/>
      </c>
      <c r="AD18" s="247"/>
      <c r="AE18" s="245"/>
      <c r="AF18" s="246"/>
      <c r="AG18" s="181" t="str">
        <f>IF(COUNT(AG20)=0,"",SUM(AG20)/COUNT(AG20))</f>
        <v/>
      </c>
      <c r="AH18" s="205" t="str">
        <f t="shared" si="6"/>
        <v/>
      </c>
      <c r="AI18" s="181" t="str">
        <f>IF(COUNT(AI20)=0,"",SUM(AI20)/COUNT(AI20))</f>
        <v/>
      </c>
      <c r="AJ18" s="206" t="str">
        <f t="shared" si="7"/>
        <v/>
      </c>
      <c r="AK18" s="250"/>
      <c r="AL18" s="250"/>
      <c r="AM18" s="251"/>
      <c r="AN18" s="181" t="str">
        <f>IF(COUNT(AN19:AN20)=0,"",SUM(AN19:AN20)/COUNT(AN19:AN20))</f>
        <v/>
      </c>
      <c r="AO18" s="182" t="str">
        <f t="shared" si="8"/>
        <v/>
      </c>
      <c r="AP18" s="252"/>
      <c r="AQ18" s="250"/>
      <c r="AR18" s="251"/>
      <c r="AS18" s="181" t="str">
        <f>IF(COUNT(AS20)=0,"",SUM(AS20)/COUNT(AS20))</f>
        <v/>
      </c>
      <c r="AT18" s="198" t="str">
        <f t="shared" si="9"/>
        <v/>
      </c>
      <c r="AU18" s="247"/>
      <c r="AV18" s="245"/>
      <c r="AW18" s="246"/>
      <c r="AX18" s="181" t="str">
        <f>IF(COUNT(AX20)=0,"",SUM(AX20)/COUNT(AX20))</f>
        <v/>
      </c>
      <c r="AY18" s="205" t="str">
        <f t="shared" si="10"/>
        <v/>
      </c>
      <c r="AZ18" s="181" t="str">
        <f>IF(COUNT(AZ20)=0,"",SUM(AZ20)/COUNT(AZ20))</f>
        <v/>
      </c>
      <c r="BA18" s="206" t="str">
        <f t="shared" si="11"/>
        <v/>
      </c>
      <c r="BB18" s="250"/>
      <c r="BC18" s="250"/>
      <c r="BD18" s="251"/>
      <c r="BE18" s="181" t="str">
        <f>IF(COUNT(BE19:BE20)=0,"",SUM(BE19:BE20)/COUNT(BE19:BE20))</f>
        <v/>
      </c>
      <c r="BF18" s="182" t="str">
        <f t="shared" si="12"/>
        <v/>
      </c>
      <c r="BG18" s="252"/>
      <c r="BH18" s="250"/>
      <c r="BI18" s="251"/>
      <c r="BJ18" s="181" t="str">
        <f>IF(COUNT(BJ20)=0,"",SUM(BJ20)/COUNT(BJ20))</f>
        <v/>
      </c>
      <c r="BK18" s="198" t="str">
        <f t="shared" si="13"/>
        <v/>
      </c>
      <c r="BL18" s="247"/>
      <c r="BM18" s="245"/>
      <c r="BN18" s="246"/>
      <c r="BO18" s="181" t="str">
        <f>IF(COUNT(BO20)=0,"",SUM(BO20)/COUNT(BO20))</f>
        <v/>
      </c>
      <c r="BP18" s="205" t="str">
        <f t="shared" si="14"/>
        <v/>
      </c>
      <c r="BQ18" s="181" t="str">
        <f>IF(COUNT(BQ20)=0,"",SUM(BQ20)/COUNT(BQ20))</f>
        <v/>
      </c>
      <c r="BR18" s="206" t="str">
        <f t="shared" si="15"/>
        <v/>
      </c>
      <c r="BS18" s="250"/>
      <c r="BT18" s="250"/>
      <c r="BU18" s="251"/>
      <c r="BV18" s="181" t="str">
        <f>IF(COUNT(BV19:BV20)=0,"",SUM(BV19:BV20)/COUNT(BV19:BV20))</f>
        <v/>
      </c>
      <c r="BW18" s="182" t="str">
        <f t="shared" si="16"/>
        <v/>
      </c>
      <c r="BX18" s="252"/>
      <c r="BY18" s="250"/>
      <c r="BZ18" s="251"/>
      <c r="CA18" s="181" t="str">
        <f>IF(COUNT(CA20)=0,"",SUM(CA20)/COUNT(CA20))</f>
        <v/>
      </c>
      <c r="CB18" s="198" t="str">
        <f t="shared" si="17"/>
        <v/>
      </c>
      <c r="CC18" s="247"/>
      <c r="CD18" s="245"/>
      <c r="CE18" s="246"/>
      <c r="CF18" s="181" t="str">
        <f>IF(COUNT(CF20)=0,"",SUM(CF20)/COUNT(CF20))</f>
        <v/>
      </c>
      <c r="CG18" s="205" t="str">
        <f t="shared" si="18"/>
        <v/>
      </c>
      <c r="CH18" s="181" t="str">
        <f>IF(COUNT(CH20)=0,"",SUM(CH20)/COUNT(CH20))</f>
        <v/>
      </c>
      <c r="CI18" s="206" t="str">
        <f t="shared" si="19"/>
        <v/>
      </c>
      <c r="CJ18" s="250"/>
      <c r="CK18" s="250"/>
      <c r="CL18" s="251"/>
      <c r="CM18" s="181" t="str">
        <f>IF(COUNT(CM19:CM20)=0,"",SUM(CM19:CM20)/COUNT(CM19:CM20))</f>
        <v/>
      </c>
      <c r="CN18" s="182" t="str">
        <f t="shared" si="20"/>
        <v/>
      </c>
      <c r="CO18" s="252"/>
      <c r="CP18" s="250"/>
      <c r="CQ18" s="251"/>
      <c r="CR18" s="181" t="str">
        <f>IF(COUNT(CR20)=0,"",SUM(CR20)/COUNT(CR20))</f>
        <v/>
      </c>
      <c r="CS18" s="198" t="str">
        <f t="shared" si="21"/>
        <v/>
      </c>
      <c r="CT18" s="247"/>
      <c r="CU18" s="245"/>
      <c r="CV18" s="246"/>
      <c r="CW18" s="181" t="str">
        <f>IF(COUNT(CW20)=0,"",SUM(CW20)/COUNT(CW20))</f>
        <v/>
      </c>
      <c r="CX18" s="205" t="str">
        <f t="shared" si="22"/>
        <v/>
      </c>
      <c r="CY18" s="181" t="str">
        <f>IF(COUNT(CY20)=0,"",SUM(CY20)/COUNT(CY20))</f>
        <v/>
      </c>
      <c r="CZ18" s="206" t="str">
        <f t="shared" si="23"/>
        <v/>
      </c>
      <c r="DA18" s="250"/>
      <c r="DB18" s="250"/>
      <c r="DC18" s="251"/>
      <c r="DD18" s="181" t="str">
        <f>IF(COUNT(DD19:DD20)=0,"",SUM(DD19:DD20)/COUNT(DD19:DD20))</f>
        <v/>
      </c>
      <c r="DE18" s="182" t="str">
        <f t="shared" si="24"/>
        <v/>
      </c>
      <c r="DF18" s="252"/>
      <c r="DG18" s="250"/>
      <c r="DH18" s="251"/>
      <c r="DI18" s="181" t="str">
        <f>IF(COUNT(DI20)=0,"",SUM(DI20)/COUNT(DI20))</f>
        <v/>
      </c>
      <c r="DJ18" s="198" t="str">
        <f t="shared" si="25"/>
        <v/>
      </c>
      <c r="DK18" s="247"/>
      <c r="DL18" s="245"/>
      <c r="DM18" s="246"/>
      <c r="DN18" s="181" t="str">
        <f>IF(COUNT(DN20)=0,"",SUM(DN20)/COUNT(DN20))</f>
        <v/>
      </c>
      <c r="DO18" s="205" t="str">
        <f t="shared" si="26"/>
        <v/>
      </c>
      <c r="DP18" s="181" t="str">
        <f>IF(COUNT(DP20)=0,"",SUM(DP20)/COUNT(DP20))</f>
        <v/>
      </c>
      <c r="DQ18" s="206" t="str">
        <f t="shared" si="27"/>
        <v/>
      </c>
      <c r="DR18" s="250"/>
      <c r="DS18" s="250"/>
      <c r="DT18" s="251"/>
      <c r="DU18" s="181" t="str">
        <f>IF(COUNT(DU19:DU20)=0,"",SUM(DU19:DU20)/COUNT(DU19:DU20))</f>
        <v/>
      </c>
      <c r="DV18" s="182" t="str">
        <f t="shared" si="28"/>
        <v/>
      </c>
      <c r="DW18" s="252"/>
      <c r="DX18" s="250"/>
      <c r="DY18" s="251"/>
      <c r="DZ18" s="181" t="str">
        <f>IF(COUNT(DZ20)=0,"",SUM(DZ20)/COUNT(DZ20))</f>
        <v/>
      </c>
      <c r="EA18" s="198" t="str">
        <f t="shared" si="29"/>
        <v/>
      </c>
      <c r="EB18" s="247"/>
      <c r="EC18" s="245"/>
      <c r="ED18" s="246"/>
      <c r="EE18" s="181" t="str">
        <f>IF(COUNT(EE20)=0,"",SUM(EE20)/COUNT(EE20))</f>
        <v/>
      </c>
      <c r="EF18" s="205" t="str">
        <f t="shared" si="30"/>
        <v/>
      </c>
      <c r="EG18" s="181" t="str">
        <f>IF(COUNT(EG20)=0,"",SUM(EG20)/COUNT(EG20))</f>
        <v/>
      </c>
      <c r="EH18" s="206" t="str">
        <f t="shared" si="31"/>
        <v/>
      </c>
      <c r="EI18" s="250"/>
      <c r="EJ18" s="250"/>
      <c r="EK18" s="251"/>
      <c r="EL18" s="181" t="str">
        <f>IF(COUNT(EL19:EL20)=0,"",SUM(EL19:EL20)/COUNT(EL19:EL20))</f>
        <v/>
      </c>
      <c r="EM18" s="182" t="str">
        <f t="shared" si="32"/>
        <v/>
      </c>
      <c r="EN18" s="252"/>
      <c r="EO18" s="250"/>
      <c r="EP18" s="251"/>
      <c r="EQ18" s="181" t="str">
        <f>IF(COUNT(EQ20)=0,"",SUM(EQ20)/COUNT(EQ20))</f>
        <v/>
      </c>
      <c r="ER18" s="198" t="str">
        <f t="shared" si="33"/>
        <v/>
      </c>
      <c r="ES18" s="247"/>
      <c r="ET18" s="245"/>
      <c r="EU18" s="246"/>
      <c r="EV18" s="181" t="str">
        <f>IF(COUNT(EV20)=0,"",SUM(EV20)/COUNT(EV20))</f>
        <v/>
      </c>
      <c r="EW18" s="205" t="str">
        <f t="shared" si="34"/>
        <v/>
      </c>
      <c r="EX18" s="181" t="str">
        <f>IF(COUNT(EX20)=0,"",SUM(EX20)/COUNT(EX20))</f>
        <v/>
      </c>
      <c r="EY18" s="206" t="str">
        <f t="shared" si="35"/>
        <v/>
      </c>
      <c r="EZ18" s="250"/>
      <c r="FA18" s="250"/>
      <c r="FB18" s="251"/>
      <c r="FC18" s="181" t="str">
        <f>IF(COUNT(FC19:FC20)=0,"",SUM(FC19:FC20)/COUNT(FC19:FC20))</f>
        <v/>
      </c>
      <c r="FD18" s="182" t="str">
        <f t="shared" si="36"/>
        <v/>
      </c>
      <c r="FE18" s="252"/>
      <c r="FF18" s="250"/>
      <c r="FG18" s="251"/>
      <c r="FH18" s="181" t="str">
        <f>IF(COUNT(FH20)=0,"",SUM(FH20)/COUNT(FH20))</f>
        <v/>
      </c>
      <c r="FI18" s="198" t="str">
        <f t="shared" si="37"/>
        <v/>
      </c>
      <c r="FJ18" s="247"/>
      <c r="FK18" s="245"/>
      <c r="FL18" s="246"/>
      <c r="FM18" s="181" t="str">
        <f>IF(COUNT(FM20)=0,"",SUM(FM20)/COUNT(FM20))</f>
        <v/>
      </c>
      <c r="FN18" s="205" t="str">
        <f t="shared" si="38"/>
        <v/>
      </c>
      <c r="FO18" s="181" t="str">
        <f>IF(COUNT(FO20)=0,"",SUM(FO20)/COUNT(FO20))</f>
        <v/>
      </c>
      <c r="FP18" s="206" t="str">
        <f t="shared" si="39"/>
        <v/>
      </c>
      <c r="FQ18" s="250"/>
      <c r="FR18" s="250"/>
      <c r="FS18" s="251"/>
      <c r="FT18" s="181" t="str">
        <f>IF(COUNT(FT19:FT20)=0,"",SUM(FT19:FT20)/COUNT(FT19:FT20))</f>
        <v/>
      </c>
      <c r="FU18" s="182" t="str">
        <f t="shared" si="40"/>
        <v/>
      </c>
      <c r="FV18" s="252"/>
      <c r="FW18" s="250"/>
      <c r="FX18" s="251"/>
      <c r="FY18" s="181" t="str">
        <f>IF(COUNT(FY20)=0,"",SUM(FY20)/COUNT(FY20))</f>
        <v/>
      </c>
      <c r="FZ18" s="198" t="str">
        <f t="shared" si="41"/>
        <v/>
      </c>
      <c r="GA18" s="247"/>
      <c r="GB18" s="245"/>
      <c r="GC18" s="246"/>
      <c r="GD18" s="181" t="str">
        <f>IF(COUNT(GD20)=0,"",SUM(GD20)/COUNT(GD20))</f>
        <v/>
      </c>
      <c r="GE18" s="205" t="str">
        <f t="shared" si="42"/>
        <v/>
      </c>
      <c r="GF18" s="181" t="str">
        <f>IF(COUNT(GF20)=0,"",SUM(GF20)/COUNT(GF20))</f>
        <v/>
      </c>
      <c r="GG18" s="206" t="str">
        <f t="shared" si="43"/>
        <v/>
      </c>
      <c r="GH18" s="250"/>
      <c r="GI18" s="250"/>
      <c r="GJ18" s="251"/>
      <c r="GK18" s="181" t="str">
        <f>IF(COUNT(GK19:GK20)=0,"",SUM(GK19:GK20)/COUNT(GK19:GK20))</f>
        <v/>
      </c>
      <c r="GL18" s="182" t="str">
        <f t="shared" si="44"/>
        <v/>
      </c>
      <c r="GM18" s="252"/>
      <c r="GN18" s="250"/>
      <c r="GO18" s="251"/>
      <c r="GP18" s="181" t="str">
        <f>IF(COUNT(GP20)=0,"",SUM(GP20)/COUNT(GP20))</f>
        <v/>
      </c>
      <c r="GQ18" s="198" t="str">
        <f t="shared" si="45"/>
        <v/>
      </c>
      <c r="GR18" s="247"/>
      <c r="GS18" s="245"/>
      <c r="GT18" s="246"/>
      <c r="GU18" s="181" t="str">
        <f>IF(COUNT(GU20)=0,"",SUM(GU20)/COUNT(GU20))</f>
        <v/>
      </c>
      <c r="GV18" s="205" t="str">
        <f t="shared" si="46"/>
        <v/>
      </c>
      <c r="GW18" s="181" t="str">
        <f>IF(COUNT(GW20)=0,"",SUM(GW20)/COUNT(GW20))</f>
        <v/>
      </c>
      <c r="GX18" s="206" t="str">
        <f t="shared" si="47"/>
        <v/>
      </c>
      <c r="GY18" s="250"/>
      <c r="GZ18" s="250"/>
      <c r="HA18" s="251"/>
      <c r="HB18" s="181" t="str">
        <f>IF(COUNT(HB19:HB20)=0,"",SUM(HB19:HB20)/COUNT(HB19:HB20))</f>
        <v/>
      </c>
      <c r="HC18" s="182" t="str">
        <f t="shared" si="48"/>
        <v/>
      </c>
      <c r="HD18" s="252"/>
      <c r="HE18" s="250"/>
      <c r="HF18" s="251"/>
      <c r="HG18" s="181" t="str">
        <f>IF(COUNT(HG20)=0,"",SUM(HG20)/COUNT(HG20))</f>
        <v/>
      </c>
      <c r="HH18" s="198" t="str">
        <f t="shared" si="49"/>
        <v/>
      </c>
      <c r="HI18" s="247"/>
      <c r="HJ18" s="245"/>
      <c r="HK18" s="246"/>
      <c r="HL18" s="181" t="str">
        <f>IF(COUNT(HL20)=0,"",SUM(HL20)/COUNT(HL20))</f>
        <v/>
      </c>
      <c r="HM18" s="205" t="str">
        <f t="shared" si="50"/>
        <v/>
      </c>
      <c r="HN18" s="181" t="str">
        <f>IF(COUNT(HN20)=0,"",SUM(HN20)/COUNT(HN20))</f>
        <v/>
      </c>
      <c r="HO18" s="206" t="str">
        <f t="shared" si="51"/>
        <v/>
      </c>
      <c r="HP18" s="250"/>
      <c r="HQ18" s="250"/>
      <c r="HR18" s="251"/>
      <c r="HS18" s="181" t="str">
        <f>IF(COUNT(HS19:HS20)=0,"",SUM(HS19:HS20)/COUNT(HS19:HS20))</f>
        <v/>
      </c>
      <c r="HT18" s="182" t="str">
        <f t="shared" si="52"/>
        <v/>
      </c>
      <c r="HU18" s="252"/>
      <c r="HV18" s="250"/>
      <c r="HW18" s="251"/>
      <c r="HX18" s="181" t="str">
        <f>IF(COUNT(HX20)=0,"",SUM(HX20)/COUNT(HX20))</f>
        <v/>
      </c>
      <c r="HY18" s="198" t="str">
        <f t="shared" si="53"/>
        <v/>
      </c>
      <c r="HZ18" s="247"/>
      <c r="IA18" s="245"/>
      <c r="IB18" s="246"/>
      <c r="IC18" s="181" t="str">
        <f>IF(COUNT(IC20)=0,"",SUM(IC20)/COUNT(IC20))</f>
        <v/>
      </c>
      <c r="ID18" s="205" t="str">
        <f t="shared" si="54"/>
        <v/>
      </c>
      <c r="IE18" s="181" t="str">
        <f>IF(COUNT(IE20)=0,"",SUM(IE20)/COUNT(IE20))</f>
        <v/>
      </c>
      <c r="IF18" s="206" t="str">
        <f t="shared" si="55"/>
        <v/>
      </c>
      <c r="IG18" s="250"/>
      <c r="IH18" s="250"/>
      <c r="II18" s="251"/>
      <c r="IJ18" s="181" t="str">
        <f>IF(COUNT(IJ19:IJ20)=0,"",SUM(IJ19:IJ20)/COUNT(IJ19:IJ20))</f>
        <v/>
      </c>
      <c r="IK18" s="182" t="str">
        <f t="shared" si="56"/>
        <v/>
      </c>
      <c r="IL18" s="252"/>
      <c r="IM18" s="250"/>
      <c r="IN18" s="251"/>
      <c r="IO18" s="181" t="str">
        <f>IF(COUNT(IO20)=0,"",SUM(IO20)/COUNT(IO20))</f>
        <v/>
      </c>
      <c r="IP18" s="198" t="str">
        <f t="shared" si="57"/>
        <v/>
      </c>
      <c r="IQ18" s="247"/>
      <c r="IR18" s="245"/>
      <c r="IS18" s="246"/>
      <c r="IT18" s="181" t="str">
        <f>IF(COUNT(IT20)=0,"",SUM(IT20)/COUNT(IT20))</f>
        <v/>
      </c>
      <c r="IU18" s="205" t="str">
        <f t="shared" si="58"/>
        <v/>
      </c>
      <c r="IV18" s="181" t="str">
        <f>IF(COUNT(IV20)=0,"",SUM(IV20)/COUNT(IV20))</f>
        <v/>
      </c>
      <c r="IW18" s="206" t="str">
        <f t="shared" si="59"/>
        <v/>
      </c>
      <c r="IX18" s="250"/>
      <c r="IY18" s="250"/>
      <c r="IZ18" s="251"/>
      <c r="JA18" s="181" t="str">
        <f>IF(COUNT(JA19:JA20)=0,"",SUM(JA19:JA20)/COUNT(JA19:JA20))</f>
        <v/>
      </c>
      <c r="JB18" s="182" t="str">
        <f t="shared" si="60"/>
        <v/>
      </c>
      <c r="JC18" s="252"/>
      <c r="JD18" s="250"/>
      <c r="JE18" s="251"/>
      <c r="JF18" s="181" t="str">
        <f>IF(COUNT(JF20)=0,"",SUM(JF20)/COUNT(JF20))</f>
        <v/>
      </c>
      <c r="JG18" s="198" t="str">
        <f t="shared" si="61"/>
        <v/>
      </c>
      <c r="JH18" s="247"/>
      <c r="JI18" s="245"/>
      <c r="JJ18" s="246"/>
      <c r="JK18" s="181" t="str">
        <f>IF(COUNT(JK20)=0,"",SUM(JK20)/COUNT(JK20))</f>
        <v/>
      </c>
      <c r="JL18" s="205" t="str">
        <f t="shared" si="62"/>
        <v/>
      </c>
      <c r="JM18" s="181" t="str">
        <f>IF(COUNT(JM20)=0,"",SUM(JM20)/COUNT(JM20))</f>
        <v/>
      </c>
      <c r="JN18" s="206" t="str">
        <f t="shared" si="63"/>
        <v/>
      </c>
      <c r="JO18" s="250"/>
      <c r="JP18" s="250"/>
      <c r="JQ18" s="251"/>
      <c r="JR18" s="181" t="str">
        <f>IF(COUNT(JR19:JR20)=0,"",SUM(JR19:JR20)/COUNT(JR19:JR20))</f>
        <v/>
      </c>
      <c r="JS18" s="182" t="str">
        <f t="shared" si="64"/>
        <v/>
      </c>
      <c r="JT18" s="252"/>
      <c r="JU18" s="250"/>
      <c r="JV18" s="251"/>
      <c r="JW18" s="181" t="str">
        <f>IF(COUNT(JW20)=0,"",SUM(JW20)/COUNT(JW20))</f>
        <v/>
      </c>
      <c r="JX18" s="198" t="str">
        <f t="shared" si="65"/>
        <v/>
      </c>
      <c r="JY18" s="247"/>
      <c r="JZ18" s="245"/>
      <c r="KA18" s="246"/>
      <c r="KB18" s="181" t="str">
        <f>IF(COUNT(KB20)=0,"",SUM(KB20)/COUNT(KB20))</f>
        <v/>
      </c>
      <c r="KC18" s="205" t="str">
        <f t="shared" si="66"/>
        <v/>
      </c>
      <c r="KD18" s="181" t="str">
        <f>IF(COUNT(KD20)=0,"",SUM(KD20)/COUNT(KD20))</f>
        <v/>
      </c>
      <c r="KE18" s="206" t="str">
        <f t="shared" si="67"/>
        <v/>
      </c>
      <c r="KF18" s="250"/>
      <c r="KG18" s="250"/>
      <c r="KH18" s="251"/>
      <c r="KI18" s="181" t="str">
        <f>IF(COUNT(KI19:KI20)=0,"",SUM(KI19:KI20)/COUNT(KI19:KI20))</f>
        <v/>
      </c>
      <c r="KJ18" s="182" t="str">
        <f t="shared" si="68"/>
        <v/>
      </c>
      <c r="KK18" s="252"/>
      <c r="KL18" s="250"/>
      <c r="KM18" s="251"/>
      <c r="KN18" s="181" t="str">
        <f>IF(COUNT(KN20)=0,"",SUM(KN20)/COUNT(KN20))</f>
        <v/>
      </c>
      <c r="KO18" s="198" t="str">
        <f t="shared" si="69"/>
        <v/>
      </c>
      <c r="KP18" s="247"/>
      <c r="KQ18" s="245"/>
      <c r="KR18" s="246"/>
      <c r="KS18" s="181" t="str">
        <f>IF(COUNT(KS20)=0,"",SUM(KS20)/COUNT(KS20))</f>
        <v/>
      </c>
      <c r="KT18" s="205" t="str">
        <f t="shared" si="70"/>
        <v/>
      </c>
      <c r="KU18" s="181" t="str">
        <f>IF(COUNT(KU20)=0,"",SUM(KU20)/COUNT(KU20))</f>
        <v/>
      </c>
      <c r="KV18" s="206" t="str">
        <f t="shared" si="71"/>
        <v/>
      </c>
      <c r="KW18" s="250"/>
      <c r="KX18" s="250"/>
      <c r="KY18" s="251"/>
      <c r="KZ18" s="181" t="str">
        <f>IF(COUNT(KZ19:KZ20)=0,"",SUM(KZ19:KZ20)/COUNT(KZ19:KZ20))</f>
        <v/>
      </c>
      <c r="LA18" s="182" t="str">
        <f t="shared" si="72"/>
        <v/>
      </c>
      <c r="LB18" s="252"/>
      <c r="LC18" s="250"/>
      <c r="LD18" s="251"/>
      <c r="LE18" s="181" t="str">
        <f>IF(COUNT(LE20)=0,"",SUM(LE20)/COUNT(LE20))</f>
        <v/>
      </c>
      <c r="LF18" s="198" t="str">
        <f t="shared" si="73"/>
        <v/>
      </c>
      <c r="LG18" s="247"/>
      <c r="LH18" s="245"/>
      <c r="LI18" s="246"/>
      <c r="LJ18" s="181" t="str">
        <f>IF(COUNT(LJ20)=0,"",SUM(LJ20)/COUNT(LJ20))</f>
        <v/>
      </c>
      <c r="LK18" s="205" t="str">
        <f t="shared" si="74"/>
        <v/>
      </c>
      <c r="LL18" s="181" t="str">
        <f>IF(COUNT(LL20)=0,"",SUM(LL20)/COUNT(LL20))</f>
        <v/>
      </c>
      <c r="LM18" s="206" t="str">
        <f t="shared" si="75"/>
        <v/>
      </c>
      <c r="LN18" s="250"/>
      <c r="LO18" s="250"/>
      <c r="LP18" s="251"/>
      <c r="LQ18" s="181" t="str">
        <f>IF(COUNT(LQ19:LQ20)=0,"",SUM(LQ19:LQ20)/COUNT(LQ19:LQ20))</f>
        <v/>
      </c>
      <c r="LR18" s="182" t="str">
        <f t="shared" si="76"/>
        <v/>
      </c>
      <c r="LS18" s="252"/>
      <c r="LT18" s="250"/>
      <c r="LU18" s="251"/>
      <c r="LV18" s="181" t="str">
        <f>IF(COUNT(LV20)=0,"",SUM(LV20)/COUNT(LV20))</f>
        <v/>
      </c>
      <c r="LW18" s="198" t="str">
        <f t="shared" si="77"/>
        <v/>
      </c>
      <c r="LX18" s="247"/>
      <c r="LY18" s="245"/>
      <c r="LZ18" s="246"/>
      <c r="MA18" s="181" t="str">
        <f>IF(COUNT(MA20)=0,"",SUM(MA20)/COUNT(MA20))</f>
        <v/>
      </c>
      <c r="MB18" s="205" t="str">
        <f t="shared" si="78"/>
        <v/>
      </c>
      <c r="MC18" s="181" t="str">
        <f>IF(COUNT(MC20)=0,"",SUM(MC20)/COUNT(MC20))</f>
        <v/>
      </c>
      <c r="MD18" s="206" t="str">
        <f t="shared" si="79"/>
        <v/>
      </c>
      <c r="ME18" s="250"/>
      <c r="MF18" s="250"/>
      <c r="MG18" s="251"/>
      <c r="MH18" s="181" t="str">
        <f>IF(COUNT(MH19:MH20)=0,"",SUM(MH19:MH20)/COUNT(MH19:MH20))</f>
        <v/>
      </c>
      <c r="MI18" s="182" t="str">
        <f t="shared" si="80"/>
        <v/>
      </c>
      <c r="MJ18" s="252"/>
      <c r="MK18" s="250"/>
      <c r="ML18" s="251"/>
      <c r="MM18" s="181" t="str">
        <f>IF(COUNT(MM20)=0,"",SUM(MM20)/COUNT(MM20))</f>
        <v/>
      </c>
      <c r="MN18" s="198" t="str">
        <f t="shared" si="81"/>
        <v/>
      </c>
      <c r="MO18" s="247"/>
      <c r="MP18" s="245"/>
      <c r="MQ18" s="246"/>
      <c r="MR18" s="181" t="str">
        <f>IF(COUNT(MR20)=0,"",SUM(MR20)/COUNT(MR20))</f>
        <v/>
      </c>
      <c r="MS18" s="205" t="str">
        <f t="shared" si="82"/>
        <v/>
      </c>
      <c r="MT18" s="181" t="str">
        <f>IF(COUNT(MT20)=0,"",SUM(MT20)/COUNT(MT20))</f>
        <v/>
      </c>
      <c r="MU18" s="206" t="str">
        <f t="shared" si="83"/>
        <v/>
      </c>
      <c r="MV18" s="250"/>
      <c r="MW18" s="250"/>
      <c r="MX18" s="251"/>
      <c r="MY18" s="181" t="str">
        <f>IF(COUNT(MY19:MY20)=0,"",SUM(MY19:MY20)/COUNT(MY19:MY20))</f>
        <v/>
      </c>
      <c r="MZ18" s="182" t="str">
        <f t="shared" si="84"/>
        <v/>
      </c>
      <c r="NA18" s="252"/>
      <c r="NB18" s="250"/>
      <c r="NC18" s="251"/>
      <c r="ND18" s="181" t="str">
        <f>IF(COUNT(ND20)=0,"",SUM(ND20)/COUNT(ND20))</f>
        <v/>
      </c>
      <c r="NE18" s="198" t="str">
        <f t="shared" si="85"/>
        <v/>
      </c>
      <c r="NF18" s="247"/>
      <c r="NG18" s="245"/>
      <c r="NH18" s="246"/>
      <c r="NI18" s="181" t="str">
        <f>IF(COUNT(NI20)=0,"",SUM(NI20)/COUNT(NI20))</f>
        <v/>
      </c>
      <c r="NJ18" s="205" t="str">
        <f t="shared" si="86"/>
        <v/>
      </c>
      <c r="NK18" s="181" t="str">
        <f>IF(COUNT(NK20)=0,"",SUM(NK20)/COUNT(NK20))</f>
        <v/>
      </c>
      <c r="NL18" s="206" t="str">
        <f t="shared" si="87"/>
        <v/>
      </c>
      <c r="NM18" s="250"/>
      <c r="NN18" s="250"/>
      <c r="NO18" s="251"/>
      <c r="NP18" s="181" t="str">
        <f>IF(COUNT(NP19:NP20)=0,"",SUM(NP19:NP20)/COUNT(NP19:NP20))</f>
        <v/>
      </c>
      <c r="NQ18" s="182" t="str">
        <f t="shared" si="88"/>
        <v/>
      </c>
      <c r="NR18" s="252"/>
      <c r="NS18" s="250"/>
      <c r="NT18" s="251"/>
      <c r="NU18" s="181" t="str">
        <f>IF(COUNT(NU20)=0,"",SUM(NU20)/COUNT(NU20))</f>
        <v/>
      </c>
      <c r="NV18" s="198" t="str">
        <f t="shared" si="89"/>
        <v/>
      </c>
      <c r="NW18" s="247"/>
      <c r="NX18" s="245"/>
      <c r="NY18" s="246"/>
      <c r="NZ18" s="181" t="str">
        <f>IF(COUNT(NZ20)=0,"",SUM(NZ20)/COUNT(NZ20))</f>
        <v/>
      </c>
      <c r="OA18" s="205" t="str">
        <f t="shared" si="90"/>
        <v/>
      </c>
      <c r="OB18" s="181" t="str">
        <f>IF(COUNT(OB20)=0,"",SUM(OB20)/COUNT(OB20))</f>
        <v/>
      </c>
      <c r="OC18" s="206" t="str">
        <f t="shared" si="91"/>
        <v/>
      </c>
      <c r="OD18" s="250"/>
      <c r="OE18" s="250"/>
      <c r="OF18" s="251"/>
      <c r="OG18" s="181" t="str">
        <f>IF(COUNT(OG19:OG20)=0,"",SUM(OG19:OG20)/COUNT(OG19:OG20))</f>
        <v/>
      </c>
      <c r="OH18" s="182" t="str">
        <f t="shared" si="92"/>
        <v/>
      </c>
      <c r="OI18" s="252"/>
      <c r="OJ18" s="250"/>
      <c r="OK18" s="251"/>
      <c r="OL18" s="181" t="str">
        <f>IF(COUNT(OL20)=0,"",SUM(OL20)/COUNT(OL20))</f>
        <v/>
      </c>
      <c r="OM18" s="198" t="str">
        <f t="shared" si="93"/>
        <v/>
      </c>
      <c r="ON18" s="247"/>
      <c r="OO18" s="245"/>
      <c r="OP18" s="246"/>
      <c r="OQ18" s="181" t="str">
        <f>IF(COUNT(OQ20)=0,"",SUM(OQ20)/COUNT(OQ20))</f>
        <v/>
      </c>
      <c r="OR18" s="205" t="str">
        <f t="shared" si="94"/>
        <v/>
      </c>
      <c r="OS18" s="181" t="str">
        <f>IF(COUNT(OS20)=0,"",SUM(OS20)/COUNT(OS20))</f>
        <v/>
      </c>
      <c r="OT18" s="206" t="str">
        <f t="shared" si="95"/>
        <v/>
      </c>
      <c r="OU18" s="250"/>
      <c r="OV18" s="250"/>
      <c r="OW18" s="251"/>
      <c r="OX18" s="181" t="str">
        <f>IF(COUNT(OX19:OX20)=0,"",SUM(OX19:OX20)/COUNT(OX19:OX20))</f>
        <v/>
      </c>
      <c r="OY18" s="182" t="str">
        <f t="shared" si="96"/>
        <v/>
      </c>
      <c r="OZ18" s="252"/>
      <c r="PA18" s="250"/>
      <c r="PB18" s="251"/>
      <c r="PC18" s="181" t="str">
        <f>IF(COUNT(PC20)=0,"",SUM(PC20)/COUNT(PC20))</f>
        <v/>
      </c>
      <c r="PD18" s="198" t="str">
        <f t="shared" si="97"/>
        <v/>
      </c>
      <c r="PE18" s="247"/>
      <c r="PF18" s="245"/>
      <c r="PG18" s="246"/>
      <c r="PH18" s="181" t="str">
        <f>IF(COUNT(PH20)=0,"",SUM(PH20)/COUNT(PH20))</f>
        <v/>
      </c>
      <c r="PI18" s="205" t="str">
        <f t="shared" si="98"/>
        <v/>
      </c>
      <c r="PJ18" s="181" t="str">
        <f>IF(COUNT(PJ20)=0,"",SUM(PJ20)/COUNT(PJ20))</f>
        <v/>
      </c>
      <c r="PK18" s="206" t="str">
        <f t="shared" si="99"/>
        <v/>
      </c>
      <c r="PL18" s="250"/>
      <c r="PM18" s="250"/>
      <c r="PN18" s="251"/>
      <c r="PO18" s="181" t="str">
        <f>IF(COUNT(PO19:PO20)=0,"",SUM(PO19:PO20)/COUNT(PO19:PO20))</f>
        <v/>
      </c>
      <c r="PP18" s="182" t="str">
        <f t="shared" si="100"/>
        <v/>
      </c>
      <c r="PQ18" s="252"/>
      <c r="PR18" s="250"/>
      <c r="PS18" s="251"/>
      <c r="PT18" s="181" t="str">
        <f>IF(COUNT(PT20)=0,"",SUM(PT20)/COUNT(PT20))</f>
        <v/>
      </c>
      <c r="PU18" s="198" t="str">
        <f t="shared" si="101"/>
        <v/>
      </c>
      <c r="PV18" s="247"/>
      <c r="PW18" s="245"/>
      <c r="PX18" s="246"/>
      <c r="PY18" s="181" t="str">
        <f>IF(COUNT(PY20)=0,"",SUM(PY20)/COUNT(PY20))</f>
        <v/>
      </c>
      <c r="PZ18" s="205" t="str">
        <f t="shared" si="102"/>
        <v/>
      </c>
      <c r="QA18" s="181" t="str">
        <f>IF(COUNT(QA20)=0,"",SUM(QA20)/COUNT(QA20))</f>
        <v/>
      </c>
      <c r="QB18" s="206" t="str">
        <f t="shared" si="103"/>
        <v/>
      </c>
      <c r="QC18" s="250"/>
      <c r="QD18" s="250"/>
      <c r="QE18" s="251"/>
      <c r="QF18" s="181" t="str">
        <f>IF(COUNT(QF19:QF20)=0,"",SUM(QF19:QF20)/COUNT(QF19:QF20))</f>
        <v/>
      </c>
      <c r="QG18" s="182" t="str">
        <f t="shared" si="104"/>
        <v/>
      </c>
      <c r="QH18" s="252"/>
      <c r="QI18" s="250"/>
      <c r="QJ18" s="251"/>
      <c r="QK18" s="181" t="str">
        <f>IF(COUNT(QK20)=0,"",SUM(QK20)/COUNT(QK20))</f>
        <v/>
      </c>
      <c r="QL18" s="198" t="str">
        <f t="shared" si="105"/>
        <v/>
      </c>
      <c r="QM18" s="247"/>
      <c r="QN18" s="245"/>
      <c r="QO18" s="246"/>
      <c r="QP18" s="181" t="str">
        <f>IF(COUNT(QP20)=0,"",SUM(QP20)/COUNT(QP20))</f>
        <v/>
      </c>
      <c r="QQ18" s="205" t="str">
        <f t="shared" si="106"/>
        <v/>
      </c>
      <c r="QR18" s="181" t="str">
        <f>IF(COUNT(QR20)=0,"",SUM(QR20)/COUNT(QR20))</f>
        <v/>
      </c>
      <c r="QS18" s="206" t="str">
        <f t="shared" si="107"/>
        <v/>
      </c>
      <c r="QT18" s="250"/>
      <c r="QU18" s="250"/>
      <c r="QV18" s="251"/>
      <c r="QW18" s="181" t="str">
        <f>IF(COUNT(QW19:QW20)=0,"",SUM(QW19:QW20)/COUNT(QW19:QW20))</f>
        <v/>
      </c>
      <c r="QX18" s="182" t="str">
        <f t="shared" si="108"/>
        <v/>
      </c>
      <c r="QY18" s="252"/>
      <c r="QZ18" s="250"/>
      <c r="RA18" s="251"/>
      <c r="RB18" s="181" t="str">
        <f>IF(COUNT(RB20)=0,"",SUM(RB20)/COUNT(RB20))</f>
        <v/>
      </c>
      <c r="RC18" s="198" t="str">
        <f t="shared" si="109"/>
        <v/>
      </c>
      <c r="RD18" s="247"/>
      <c r="RE18" s="245"/>
      <c r="RF18" s="246"/>
      <c r="RG18" s="181" t="str">
        <f>IF(COUNT(RG20)=0,"",SUM(RG20)/COUNT(RG20))</f>
        <v/>
      </c>
      <c r="RH18" s="205" t="str">
        <f t="shared" si="110"/>
        <v/>
      </c>
      <c r="RI18" s="181" t="str">
        <f>IF(COUNT(RI20)=0,"",SUM(RI20)/COUNT(RI20))</f>
        <v/>
      </c>
      <c r="RJ18" s="206" t="str">
        <f t="shared" si="111"/>
        <v/>
      </c>
      <c r="RK18" s="250"/>
      <c r="RL18" s="250"/>
      <c r="RM18" s="251"/>
      <c r="RN18" s="181" t="str">
        <f>IF(COUNT(RN19:RN20)=0,"",SUM(RN19:RN20)/COUNT(RN19:RN20))</f>
        <v/>
      </c>
      <c r="RO18" s="182" t="str">
        <f t="shared" si="112"/>
        <v/>
      </c>
      <c r="RP18" s="252"/>
      <c r="RQ18" s="250"/>
      <c r="RR18" s="251"/>
      <c r="RS18" s="181" t="str">
        <f>IF(COUNT(RS20)=0,"",SUM(RS20)/COUNT(RS20))</f>
        <v/>
      </c>
      <c r="RT18" s="198" t="str">
        <f t="shared" si="113"/>
        <v/>
      </c>
      <c r="RU18" s="247"/>
      <c r="RV18" s="245"/>
      <c r="RW18" s="246"/>
      <c r="RX18" s="181" t="str">
        <f>IF(COUNT(RX20)=0,"",SUM(RX20)/COUNT(RX20))</f>
        <v/>
      </c>
      <c r="RY18" s="205" t="str">
        <f t="shared" si="114"/>
        <v/>
      </c>
      <c r="RZ18" s="181" t="str">
        <f>IF(COUNT(RZ20)=0,"",SUM(RZ20)/COUNT(RZ20))</f>
        <v/>
      </c>
      <c r="SA18" s="206" t="str">
        <f t="shared" si="115"/>
        <v/>
      </c>
      <c r="SB18" s="250"/>
      <c r="SC18" s="250"/>
      <c r="SD18" s="251"/>
      <c r="SE18" s="181" t="str">
        <f>IF(COUNT(SE19:SE20)=0,"",SUM(SE19:SE20)/COUNT(SE19:SE20))</f>
        <v/>
      </c>
      <c r="SF18" s="182" t="str">
        <f t="shared" si="116"/>
        <v/>
      </c>
      <c r="SG18" s="252"/>
      <c r="SH18" s="250"/>
      <c r="SI18" s="251"/>
      <c r="SJ18" s="181" t="str">
        <f>IF(COUNT(SJ20)=0,"",SUM(SJ20)/COUNT(SJ20))</f>
        <v/>
      </c>
      <c r="SK18" s="198" t="str">
        <f t="shared" si="117"/>
        <v/>
      </c>
      <c r="SL18" s="247"/>
      <c r="SM18" s="245"/>
      <c r="SN18" s="246"/>
      <c r="SO18" s="181" t="str">
        <f>IF(COUNT(SO20)=0,"",SUM(SO20)/COUNT(SO20))</f>
        <v/>
      </c>
      <c r="SP18" s="205" t="str">
        <f t="shared" si="118"/>
        <v/>
      </c>
      <c r="SQ18" s="181" t="str">
        <f>IF(COUNT(SQ20)=0,"",SUM(SQ20)/COUNT(SQ20))</f>
        <v/>
      </c>
      <c r="SR18" s="206" t="str">
        <f t="shared" si="119"/>
        <v/>
      </c>
      <c r="SS18" s="250"/>
      <c r="ST18" s="250"/>
      <c r="SU18" s="251"/>
      <c r="SV18" s="181" t="str">
        <f>IF(COUNT(SV19:SV20)=0,"",SUM(SV19:SV20)/COUNT(SV19:SV20))</f>
        <v/>
      </c>
      <c r="SW18" s="182" t="str">
        <f t="shared" si="120"/>
        <v/>
      </c>
      <c r="SX18" s="252"/>
      <c r="SY18" s="250"/>
      <c r="SZ18" s="251"/>
      <c r="TA18" s="181" t="str">
        <f>IF(COUNT(TA20)=0,"",SUM(TA20)/COUNT(TA20))</f>
        <v/>
      </c>
      <c r="TB18" s="198" t="str">
        <f t="shared" si="121"/>
        <v/>
      </c>
      <c r="TC18" s="247"/>
      <c r="TD18" s="245"/>
      <c r="TE18" s="246"/>
      <c r="TF18" s="181" t="str">
        <f>IF(COUNT(TF20)=0,"",SUM(TF20)/COUNT(TF20))</f>
        <v/>
      </c>
      <c r="TG18" s="205" t="str">
        <f t="shared" si="122"/>
        <v/>
      </c>
      <c r="TH18" s="181" t="str">
        <f>IF(COUNT(TH20)=0,"",SUM(TH20)/COUNT(TH20))</f>
        <v/>
      </c>
      <c r="TI18" s="206" t="str">
        <f t="shared" si="123"/>
        <v/>
      </c>
      <c r="TJ18" s="250"/>
      <c r="TK18" s="250"/>
      <c r="TL18" s="251"/>
      <c r="TM18" s="181" t="str">
        <f>IF(COUNT(TM19:TM20)=0,"",SUM(TM19:TM20)/COUNT(TM19:TM20))</f>
        <v/>
      </c>
      <c r="TN18" s="182" t="str">
        <f t="shared" si="124"/>
        <v/>
      </c>
      <c r="TO18" s="252"/>
      <c r="TP18" s="250"/>
      <c r="TQ18" s="251"/>
      <c r="TR18" s="181" t="str">
        <f>IF(COUNT(TR20)=0,"",SUM(TR20)/COUNT(TR20))</f>
        <v/>
      </c>
      <c r="TS18" s="198" t="str">
        <f t="shared" si="125"/>
        <v/>
      </c>
      <c r="TT18" s="247"/>
      <c r="TU18" s="245"/>
      <c r="TV18" s="246"/>
      <c r="TW18" s="181" t="str">
        <f>IF(COUNT(TW20)=0,"",SUM(TW20)/COUNT(TW20))</f>
        <v/>
      </c>
      <c r="TX18" s="205" t="str">
        <f t="shared" si="126"/>
        <v/>
      </c>
      <c r="TY18" s="181" t="str">
        <f>IF(COUNT(TY20)=0,"",SUM(TY20)/COUNT(TY20))</f>
        <v/>
      </c>
      <c r="TZ18" s="206" t="str">
        <f t="shared" si="127"/>
        <v/>
      </c>
    </row>
    <row r="19" spans="1:546" s="98" customFormat="1" ht="16.5" customHeight="1" x14ac:dyDescent="0.25">
      <c r="A19" s="256" t="s">
        <v>40</v>
      </c>
      <c r="B19" s="257"/>
      <c r="C19" s="131"/>
      <c r="D19" s="132"/>
      <c r="E19" s="133"/>
      <c r="F19" s="189" t="str">
        <f>IFERROR((((COUNTIF('Elève (6ème1)'!C19:E19,"A"))*4)+((COUNTIF('Elève (6ème1)'!C19:E19,"B"))*3)+((COUNTIF('Elève (6ème1)'!C19:E19,"C"))*2)+((COUNTIF('Elève (6ème1)'!C19:E19,"D"))*1))/(COUNTA(C19:E19)),"")</f>
        <v/>
      </c>
      <c r="G19" s="187" t="str">
        <f t="shared" si="0"/>
        <v/>
      </c>
      <c r="H19" s="135" t="s">
        <v>24</v>
      </c>
      <c r="I19" s="132"/>
      <c r="J19" s="133"/>
      <c r="K19" s="183">
        <f>IFERROR((((COUNTIF('Elève (6ème1)'!H19:J19,"A"))*4)+((COUNTIF('Elève (6ème1)'!H19:J19,"B"))*3)+((COUNTIF('Elève (6ème1)'!H19:J19,"C"))*2)+((COUNTIF('Elève (6ème1)'!H19:J19,"D"))*1))/(COUNTA(H19:J19)),"")</f>
        <v>3</v>
      </c>
      <c r="L19" s="184" t="str">
        <f t="shared" si="1"/>
        <v>B</v>
      </c>
      <c r="M19" s="136"/>
      <c r="N19" s="137"/>
      <c r="O19" s="138"/>
      <c r="P19" s="183" t="str">
        <f>IFERROR((((COUNTIF('Elève (6ème1)'!M19:O19,"A"))*4)+((COUNTIF('Elève (6ème1)'!M19:O19,"B"))*3)+((COUNTIF('Elève (6ème1)'!M19:O19,"C"))*2)+((COUNTIF('Elève (6ème1)'!M19:O19,"D"))*1))/(COUNTA(M19:O19)),"")</f>
        <v/>
      </c>
      <c r="Q19" s="184" t="str">
        <f t="shared" si="2"/>
        <v/>
      </c>
      <c r="R19" s="183">
        <f>IF(COUNT(F19,K19,P19)=0,"",SUM(F19,K19,P19)/COUNT(F19,K19,P19))</f>
        <v>3</v>
      </c>
      <c r="S19" s="209" t="str">
        <f t="shared" si="3"/>
        <v>B</v>
      </c>
      <c r="T19" s="131"/>
      <c r="U19" s="132"/>
      <c r="V19" s="133"/>
      <c r="W19" s="189" t="str">
        <f>IFERROR((((COUNTIF('Elève (6ème1)'!T19:V19,"A"))*4)+((COUNTIF('Elève (6ème1)'!T19:V19,"B"))*3)+((COUNTIF('Elève (6ème1)'!T19:V19,"C"))*2)+((COUNTIF('Elève (6ème1)'!T19:V19,"D"))*1))/(COUNTA(T19:V19)),"")</f>
        <v/>
      </c>
      <c r="X19" s="187" t="str">
        <f t="shared" si="4"/>
        <v/>
      </c>
      <c r="Y19" s="135" t="s">
        <v>24</v>
      </c>
      <c r="Z19" s="132"/>
      <c r="AA19" s="133"/>
      <c r="AB19" s="183">
        <f>IFERROR((((COUNTIF('Elève (6ème1)'!Y19:AA19,"A"))*4)+((COUNTIF('Elève (6ème1)'!Y19:AA19,"B"))*3)+((COUNTIF('Elève (6ème1)'!Y19:AA19,"C"))*2)+((COUNTIF('Elève (6ème1)'!Y19:AA19,"D"))*1))/(COUNTA(Y19:AA19)),"")</f>
        <v>3</v>
      </c>
      <c r="AC19" s="184" t="str">
        <f t="shared" si="5"/>
        <v>B</v>
      </c>
      <c r="AD19" s="136"/>
      <c r="AE19" s="137"/>
      <c r="AF19" s="138"/>
      <c r="AG19" s="183" t="str">
        <f>IFERROR((((COUNTIF('Elève (6ème1)'!AD19:AF19,"A"))*4)+((COUNTIF('Elève (6ème1)'!AD19:AF19,"B"))*3)+((COUNTIF('Elève (6ème1)'!AD19:AF19,"C"))*2)+((COUNTIF('Elève (6ème1)'!AD19:AF19,"D"))*1))/(COUNTA(AD19:AF19)),"")</f>
        <v/>
      </c>
      <c r="AH19" s="184" t="str">
        <f t="shared" si="6"/>
        <v/>
      </c>
      <c r="AI19" s="183">
        <f>IF(COUNT(W19,AB19,AG19)=0,"",SUM(W19,AB19,AG19)/COUNT(W19,AB19,AG19))</f>
        <v>3</v>
      </c>
      <c r="AJ19" s="209" t="str">
        <f t="shared" si="7"/>
        <v>B</v>
      </c>
      <c r="AK19" s="131"/>
      <c r="AL19" s="132"/>
      <c r="AM19" s="133"/>
      <c r="AN19" s="189" t="str">
        <f>IFERROR((((COUNTIF('Elève (6ème1)'!AK19:AM19,"A"))*4)+((COUNTIF('Elève (6ème1)'!AK19:AM19,"B"))*3)+((COUNTIF('Elève (6ème1)'!AK19:AM19,"C"))*2)+((COUNTIF('Elève (6ème1)'!AK19:AM19,"D"))*1))/(COUNTA(AK19:AM19)),"")</f>
        <v/>
      </c>
      <c r="AO19" s="187" t="str">
        <f t="shared" si="8"/>
        <v/>
      </c>
      <c r="AP19" s="135" t="s">
        <v>23</v>
      </c>
      <c r="AQ19" s="132"/>
      <c r="AR19" s="133"/>
      <c r="AS19" s="183">
        <f>IFERROR((((COUNTIF('Elève (6ème1)'!AP19:AR19,"A"))*4)+((COUNTIF('Elève (6ème1)'!AP19:AR19,"B"))*3)+((COUNTIF('Elève (6ème1)'!AP19:AR19,"C"))*2)+((COUNTIF('Elève (6ème1)'!AP19:AR19,"D"))*1))/(COUNTA(AP19:AR19)),"")</f>
        <v>4</v>
      </c>
      <c r="AT19" s="184" t="str">
        <f t="shared" si="9"/>
        <v>A</v>
      </c>
      <c r="AU19" s="136"/>
      <c r="AV19" s="137"/>
      <c r="AW19" s="138"/>
      <c r="AX19" s="183" t="str">
        <f>IFERROR((((COUNTIF('Elève (6ème1)'!AU19:AW19,"A"))*4)+((COUNTIF('Elève (6ème1)'!AU19:AW19,"B"))*3)+((COUNTIF('Elève (6ème1)'!AU19:AW19,"C"))*2)+((COUNTIF('Elève (6ème1)'!AU19:AW19,"D"))*1))/(COUNTA(AU19:AW19)),"")</f>
        <v/>
      </c>
      <c r="AY19" s="184" t="str">
        <f t="shared" si="10"/>
        <v/>
      </c>
      <c r="AZ19" s="183">
        <f>IF(COUNT(AN19,AS19,AX19)=0,"",SUM(AN19,AS19,AX19)/COUNT(AN19,AS19,AX19))</f>
        <v>4</v>
      </c>
      <c r="BA19" s="209" t="str">
        <f t="shared" si="11"/>
        <v>A</v>
      </c>
      <c r="BB19" s="131"/>
      <c r="BC19" s="132"/>
      <c r="BD19" s="133"/>
      <c r="BE19" s="189" t="str">
        <f>IFERROR((((COUNTIF('Elève (6ème1)'!BB19:BD19,"A"))*4)+((COUNTIF('Elève (6ème1)'!BB19:BD19,"B"))*3)+((COUNTIF('Elève (6ème1)'!BB19:BD19,"C"))*2)+((COUNTIF('Elève (6ème1)'!BB19:BD19,"D"))*1))/(COUNTA(BB19:BD19)),"")</f>
        <v/>
      </c>
      <c r="BF19" s="187" t="str">
        <f t="shared" si="12"/>
        <v/>
      </c>
      <c r="BG19" s="135" t="s">
        <v>24</v>
      </c>
      <c r="BH19" s="132"/>
      <c r="BI19" s="133"/>
      <c r="BJ19" s="183">
        <f>IFERROR((((COUNTIF('Elève (6ème1)'!BG19:BI19,"A"))*4)+((COUNTIF('Elève (6ème1)'!BG19:BI19,"B"))*3)+((COUNTIF('Elève (6ème1)'!BG19:BI19,"C"))*2)+((COUNTIF('Elève (6ème1)'!BG19:BI19,"D"))*1))/(COUNTA(BG19:BI19)),"")</f>
        <v>3</v>
      </c>
      <c r="BK19" s="184" t="str">
        <f t="shared" si="13"/>
        <v>B</v>
      </c>
      <c r="BL19" s="136"/>
      <c r="BM19" s="137"/>
      <c r="BN19" s="138"/>
      <c r="BO19" s="183" t="str">
        <f>IFERROR((((COUNTIF('Elève (6ème1)'!BL19:BN19,"A"))*4)+((COUNTIF('Elève (6ème1)'!BL19:BN19,"B"))*3)+((COUNTIF('Elève (6ème1)'!BL19:BN19,"C"))*2)+((COUNTIF('Elève (6ème1)'!BL19:BN19,"D"))*1))/(COUNTA(BL19:BN19)),"")</f>
        <v/>
      </c>
      <c r="BP19" s="184" t="str">
        <f t="shared" si="14"/>
        <v/>
      </c>
      <c r="BQ19" s="183">
        <f>IF(COUNT(BE19,BJ19,BO19)=0,"",SUM(BE19,BJ19,BO19)/COUNT(BE19,BJ19,BO19))</f>
        <v>3</v>
      </c>
      <c r="BR19" s="209" t="str">
        <f t="shared" si="15"/>
        <v>B</v>
      </c>
      <c r="BS19" s="131"/>
      <c r="BT19" s="132"/>
      <c r="BU19" s="133"/>
      <c r="BV19" s="189" t="str">
        <f>IFERROR((((COUNTIF('Elève (6ème1)'!BS19:BU19,"A"))*4)+((COUNTIF('Elève (6ème1)'!BS19:BU19,"B"))*3)+((COUNTIF('Elève (6ème1)'!BS19:BU19,"C"))*2)+((COUNTIF('Elève (6ème1)'!BS19:BU19,"D"))*1))/(COUNTA(BS19:BU19)),"")</f>
        <v/>
      </c>
      <c r="BW19" s="187" t="str">
        <f t="shared" si="16"/>
        <v/>
      </c>
      <c r="BX19" s="135" t="s">
        <v>25</v>
      </c>
      <c r="BY19" s="132"/>
      <c r="BZ19" s="133"/>
      <c r="CA19" s="183">
        <f>IFERROR((((COUNTIF('Elève (6ème1)'!BX19:BZ19,"A"))*4)+((COUNTIF('Elève (6ème1)'!BX19:BZ19,"B"))*3)+((COUNTIF('Elève (6ème1)'!BX19:BZ19,"C"))*2)+((COUNTIF('Elève (6ème1)'!BX19:BZ19,"D"))*1))/(COUNTA(BX19:BZ19)),"")</f>
        <v>2</v>
      </c>
      <c r="CB19" s="184" t="str">
        <f t="shared" si="17"/>
        <v>C</v>
      </c>
      <c r="CC19" s="136"/>
      <c r="CD19" s="137"/>
      <c r="CE19" s="138"/>
      <c r="CF19" s="183" t="str">
        <f>IFERROR((((COUNTIF('Elève (6ème1)'!CC19:CE19,"A"))*4)+((COUNTIF('Elève (6ème1)'!CC19:CE19,"B"))*3)+((COUNTIF('Elève (6ème1)'!CC19:CE19,"C"))*2)+((COUNTIF('Elève (6ème1)'!CC19:CE19,"D"))*1))/(COUNTA(CC19:CE19)),"")</f>
        <v/>
      </c>
      <c r="CG19" s="184" t="str">
        <f t="shared" si="18"/>
        <v/>
      </c>
      <c r="CH19" s="183">
        <f>IF(COUNT(BV19,CA19,CF19)=0,"",SUM(BV19,CA19,CF19)/COUNT(BV19,CA19,CF19))</f>
        <v>2</v>
      </c>
      <c r="CI19" s="209" t="str">
        <f t="shared" si="19"/>
        <v>C</v>
      </c>
      <c r="CJ19" s="131"/>
      <c r="CK19" s="132"/>
      <c r="CL19" s="133"/>
      <c r="CM19" s="189" t="str">
        <f>IFERROR((((COUNTIF('Elève (6ème1)'!CJ19:CL19,"A"))*4)+((COUNTIF('Elève (6ème1)'!CJ19:CL19,"B"))*3)+((COUNTIF('Elève (6ème1)'!CJ19:CL19,"C"))*2)+((COUNTIF('Elève (6ème1)'!CJ19:CL19,"D"))*1))/(COUNTA(CJ19:CL19)),"")</f>
        <v/>
      </c>
      <c r="CN19" s="187" t="str">
        <f t="shared" si="20"/>
        <v/>
      </c>
      <c r="CO19" s="135" t="s">
        <v>24</v>
      </c>
      <c r="CP19" s="132"/>
      <c r="CQ19" s="133"/>
      <c r="CR19" s="183">
        <f>IFERROR((((COUNTIF('Elève (6ème1)'!CO19:CQ19,"A"))*4)+((COUNTIF('Elève (6ème1)'!CO19:CQ19,"B"))*3)+((COUNTIF('Elève (6ème1)'!CO19:CQ19,"C"))*2)+((COUNTIF('Elève (6ème1)'!CO19:CQ19,"D"))*1))/(COUNTA(CO19:CQ19)),"")</f>
        <v>3</v>
      </c>
      <c r="CS19" s="184" t="str">
        <f t="shared" si="21"/>
        <v>B</v>
      </c>
      <c r="CT19" s="136"/>
      <c r="CU19" s="137"/>
      <c r="CV19" s="138"/>
      <c r="CW19" s="183" t="str">
        <f>IFERROR((((COUNTIF('Elève (6ème1)'!CT19:CV19,"A"))*4)+((COUNTIF('Elève (6ème1)'!CT19:CV19,"B"))*3)+((COUNTIF('Elève (6ème1)'!CT19:CV19,"C"))*2)+((COUNTIF('Elève (6ème1)'!CT19:CV19,"D"))*1))/(COUNTA(CT19:CV19)),"")</f>
        <v/>
      </c>
      <c r="CX19" s="184" t="str">
        <f t="shared" si="22"/>
        <v/>
      </c>
      <c r="CY19" s="183">
        <f>IF(COUNT(CM19,CR19,CW19)=0,"",SUM(CM19,CR19,CW19)/COUNT(CM19,CR19,CW19))</f>
        <v>3</v>
      </c>
      <c r="CZ19" s="209" t="str">
        <f t="shared" si="23"/>
        <v>B</v>
      </c>
      <c r="DA19" s="131"/>
      <c r="DB19" s="132"/>
      <c r="DC19" s="133"/>
      <c r="DD19" s="189" t="str">
        <f>IFERROR((((COUNTIF('Elève (6ème1)'!DA19:DC19,"A"))*4)+((COUNTIF('Elève (6ème1)'!DA19:DC19,"B"))*3)+((COUNTIF('Elève (6ème1)'!DA19:DC19,"C"))*2)+((COUNTIF('Elève (6ème1)'!DA19:DC19,"D"))*1))/(COUNTA(DA19:DC19)),"")</f>
        <v/>
      </c>
      <c r="DE19" s="187" t="str">
        <f t="shared" si="24"/>
        <v/>
      </c>
      <c r="DF19" s="135" t="s">
        <v>25</v>
      </c>
      <c r="DG19" s="132"/>
      <c r="DH19" s="133"/>
      <c r="DI19" s="183">
        <f>IFERROR((((COUNTIF('Elève (6ème1)'!DF19:DH19,"A"))*4)+((COUNTIF('Elève (6ème1)'!DF19:DH19,"B"))*3)+((COUNTIF('Elève (6ème1)'!DF19:DH19,"C"))*2)+((COUNTIF('Elève (6ème1)'!DF19:DH19,"D"))*1))/(COUNTA(DF19:DH19)),"")</f>
        <v>2</v>
      </c>
      <c r="DJ19" s="184" t="str">
        <f t="shared" si="25"/>
        <v>C</v>
      </c>
      <c r="DK19" s="136"/>
      <c r="DL19" s="137"/>
      <c r="DM19" s="138"/>
      <c r="DN19" s="183" t="str">
        <f>IFERROR((((COUNTIF('Elève (6ème1)'!DK19:DM19,"A"))*4)+((COUNTIF('Elève (6ème1)'!DK19:DM19,"B"))*3)+((COUNTIF('Elève (6ème1)'!DK19:DM19,"C"))*2)+((COUNTIF('Elève (6ème1)'!DK19:DM19,"D"))*1))/(COUNTA(DK19:DM19)),"")</f>
        <v/>
      </c>
      <c r="DO19" s="184" t="str">
        <f t="shared" si="26"/>
        <v/>
      </c>
      <c r="DP19" s="183">
        <f>IF(COUNT(DD19,DI19,DN19)=0,"",SUM(DD19,DI19,DN19)/COUNT(DD19,DI19,DN19))</f>
        <v>2</v>
      </c>
      <c r="DQ19" s="209" t="str">
        <f t="shared" si="27"/>
        <v>C</v>
      </c>
      <c r="DR19" s="131"/>
      <c r="DS19" s="132"/>
      <c r="DT19" s="133"/>
      <c r="DU19" s="189" t="str">
        <f>IFERROR((((COUNTIF('Elève (6ème1)'!DR19:DT19,"A"))*4)+((COUNTIF('Elève (6ème1)'!DR19:DT19,"B"))*3)+((COUNTIF('Elève (6ème1)'!DR19:DT19,"C"))*2)+((COUNTIF('Elève (6ème1)'!DR19:DT19,"D"))*1))/(COUNTA(DR19:DT19)),"")</f>
        <v/>
      </c>
      <c r="DV19" s="187" t="str">
        <f t="shared" si="28"/>
        <v/>
      </c>
      <c r="DW19" s="135" t="s">
        <v>25</v>
      </c>
      <c r="DX19" s="132"/>
      <c r="DY19" s="133"/>
      <c r="DZ19" s="183">
        <f>IFERROR((((COUNTIF('Elève (6ème1)'!DW19:DY19,"A"))*4)+((COUNTIF('Elève (6ème1)'!DW19:DY19,"B"))*3)+((COUNTIF('Elève (6ème1)'!DW19:DY19,"C"))*2)+((COUNTIF('Elève (6ème1)'!DW19:DY19,"D"))*1))/(COUNTA(DW19:DY19)),"")</f>
        <v>2</v>
      </c>
      <c r="EA19" s="184" t="str">
        <f t="shared" si="29"/>
        <v>C</v>
      </c>
      <c r="EB19" s="136"/>
      <c r="EC19" s="137"/>
      <c r="ED19" s="138"/>
      <c r="EE19" s="183" t="str">
        <f>IFERROR((((COUNTIF('Elève (6ème1)'!EB19:ED19,"A"))*4)+((COUNTIF('Elève (6ème1)'!EB19:ED19,"B"))*3)+((COUNTIF('Elève (6ème1)'!EB19:ED19,"C"))*2)+((COUNTIF('Elève (6ème1)'!EB19:ED19,"D"))*1))/(COUNTA(EB19:ED19)),"")</f>
        <v/>
      </c>
      <c r="EF19" s="184" t="str">
        <f t="shared" si="30"/>
        <v/>
      </c>
      <c r="EG19" s="183">
        <f>IF(COUNT(DU19,DZ19,EE19)=0,"",SUM(DU19,DZ19,EE19)/COUNT(DU19,DZ19,EE19))</f>
        <v>2</v>
      </c>
      <c r="EH19" s="209" t="str">
        <f t="shared" si="31"/>
        <v>C</v>
      </c>
      <c r="EI19" s="131"/>
      <c r="EJ19" s="132"/>
      <c r="EK19" s="133"/>
      <c r="EL19" s="189" t="str">
        <f>IFERROR((((COUNTIF('Elève (6ème1)'!EI19:EK19,"A"))*4)+((COUNTIF('Elève (6ème1)'!EI19:EK19,"B"))*3)+((COUNTIF('Elève (6ème1)'!EI19:EK19,"C"))*2)+((COUNTIF('Elève (6ème1)'!EI19:EK19,"D"))*1))/(COUNTA(EI19:EK19)),"")</f>
        <v/>
      </c>
      <c r="EM19" s="187" t="str">
        <f t="shared" si="32"/>
        <v/>
      </c>
      <c r="EN19" s="135" t="s">
        <v>26</v>
      </c>
      <c r="EO19" s="132"/>
      <c r="EP19" s="133"/>
      <c r="EQ19" s="183">
        <f>IFERROR((((COUNTIF('Elève (6ème1)'!EN19:EP19,"A"))*4)+((COUNTIF('Elève (6ème1)'!EN19:EP19,"B"))*3)+((COUNTIF('Elève (6ème1)'!EN19:EP19,"C"))*2)+((COUNTIF('Elève (6ème1)'!EN19:EP19,"D"))*1))/(COUNTA(EN19:EP19)),"")</f>
        <v>1</v>
      </c>
      <c r="ER19" s="184" t="str">
        <f t="shared" si="33"/>
        <v>D</v>
      </c>
      <c r="ES19" s="136"/>
      <c r="ET19" s="137"/>
      <c r="EU19" s="138"/>
      <c r="EV19" s="183" t="str">
        <f>IFERROR((((COUNTIF('Elève (6ème1)'!ES19:EU19,"A"))*4)+((COUNTIF('Elève (6ème1)'!ES19:EU19,"B"))*3)+((COUNTIF('Elève (6ème1)'!ES19:EU19,"C"))*2)+((COUNTIF('Elève (6ème1)'!ES19:EU19,"D"))*1))/(COUNTA(ES19:EU19)),"")</f>
        <v/>
      </c>
      <c r="EW19" s="184" t="str">
        <f t="shared" si="34"/>
        <v/>
      </c>
      <c r="EX19" s="183">
        <f>IF(COUNT(EL19,EQ19,EV19)=0,"",SUM(EL19,EQ19,EV19)/COUNT(EL19,EQ19,EV19))</f>
        <v>1</v>
      </c>
      <c r="EY19" s="209" t="str">
        <f t="shared" si="35"/>
        <v>D</v>
      </c>
      <c r="EZ19" s="131"/>
      <c r="FA19" s="132"/>
      <c r="FB19" s="133"/>
      <c r="FC19" s="189" t="str">
        <f>IFERROR((((COUNTIF('Elève (6ème1)'!EZ19:FB19,"A"))*4)+((COUNTIF('Elève (6ème1)'!EZ19:FB19,"B"))*3)+((COUNTIF('Elève (6ème1)'!EZ19:FB19,"C"))*2)+((COUNTIF('Elève (6ème1)'!EZ19:FB19,"D"))*1))/(COUNTA(EZ19:FB19)),"")</f>
        <v/>
      </c>
      <c r="FD19" s="187" t="str">
        <f t="shared" si="36"/>
        <v/>
      </c>
      <c r="FE19" s="135" t="s">
        <v>24</v>
      </c>
      <c r="FF19" s="132"/>
      <c r="FG19" s="133"/>
      <c r="FH19" s="183">
        <f>IFERROR((((COUNTIF('Elève (6ème1)'!FE19:FG19,"A"))*4)+((COUNTIF('Elève (6ème1)'!FE19:FG19,"B"))*3)+((COUNTIF('Elève (6ème1)'!FE19:FG19,"C"))*2)+((COUNTIF('Elève (6ème1)'!FE19:FG19,"D"))*1))/(COUNTA(FE19:FG19)),"")</f>
        <v>3</v>
      </c>
      <c r="FI19" s="184" t="str">
        <f t="shared" si="37"/>
        <v>B</v>
      </c>
      <c r="FJ19" s="136"/>
      <c r="FK19" s="137"/>
      <c r="FL19" s="138"/>
      <c r="FM19" s="183" t="str">
        <f>IFERROR((((COUNTIF('Elève (6ème1)'!FJ19:FL19,"A"))*4)+((COUNTIF('Elève (6ème1)'!FJ19:FL19,"B"))*3)+((COUNTIF('Elève (6ème1)'!FJ19:FL19,"C"))*2)+((COUNTIF('Elève (6ème1)'!FJ19:FL19,"D"))*1))/(COUNTA(FJ19:FL19)),"")</f>
        <v/>
      </c>
      <c r="FN19" s="184" t="str">
        <f t="shared" si="38"/>
        <v/>
      </c>
      <c r="FO19" s="183">
        <f>IF(COUNT(FC19,FH19,FM19)=0,"",SUM(FC19,FH19,FM19)/COUNT(FC19,FH19,FM19))</f>
        <v>3</v>
      </c>
      <c r="FP19" s="209" t="str">
        <f t="shared" si="39"/>
        <v>B</v>
      </c>
      <c r="FQ19" s="131"/>
      <c r="FR19" s="132"/>
      <c r="FS19" s="133"/>
      <c r="FT19" s="189" t="str">
        <f>IFERROR((((COUNTIF('Elève (6ème1)'!FQ19:FS19,"A"))*4)+((COUNTIF('Elève (6ème1)'!FQ19:FS19,"B"))*3)+((COUNTIF('Elève (6ème1)'!FQ19:FS19,"C"))*2)+((COUNTIF('Elève (6ème1)'!FQ19:FS19,"D"))*1))/(COUNTA(FQ19:FS19)),"")</f>
        <v/>
      </c>
      <c r="FU19" s="187" t="str">
        <f t="shared" si="40"/>
        <v/>
      </c>
      <c r="FV19" s="135" t="s">
        <v>24</v>
      </c>
      <c r="FW19" s="132"/>
      <c r="FX19" s="133"/>
      <c r="FY19" s="183">
        <f>IFERROR((((COUNTIF('Elève (6ème1)'!FV19:FX19,"A"))*4)+((COUNTIF('Elève (6ème1)'!FV19:FX19,"B"))*3)+((COUNTIF('Elève (6ème1)'!FV19:FX19,"C"))*2)+((COUNTIF('Elève (6ème1)'!FV19:FX19,"D"))*1))/(COUNTA(FV19:FX19)),"")</f>
        <v>3</v>
      </c>
      <c r="FZ19" s="184" t="str">
        <f t="shared" si="41"/>
        <v>B</v>
      </c>
      <c r="GA19" s="136"/>
      <c r="GB19" s="137"/>
      <c r="GC19" s="138"/>
      <c r="GD19" s="183" t="str">
        <f>IFERROR((((COUNTIF('Elève (6ème1)'!GA19:GC19,"A"))*4)+((COUNTIF('Elève (6ème1)'!GA19:GC19,"B"))*3)+((COUNTIF('Elève (6ème1)'!GA19:GC19,"C"))*2)+((COUNTIF('Elève (6ème1)'!GA19:GC19,"D"))*1))/(COUNTA(GA19:GC19)),"")</f>
        <v/>
      </c>
      <c r="GE19" s="184" t="str">
        <f t="shared" si="42"/>
        <v/>
      </c>
      <c r="GF19" s="183">
        <f>IF(COUNT(FT19,FY19,GD19)=0,"",SUM(FT19,FY19,GD19)/COUNT(FT19,FY19,GD19))</f>
        <v>3</v>
      </c>
      <c r="GG19" s="209" t="str">
        <f t="shared" si="43"/>
        <v>B</v>
      </c>
      <c r="GH19" s="131"/>
      <c r="GI19" s="132"/>
      <c r="GJ19" s="133"/>
      <c r="GK19" s="189" t="str">
        <f>IFERROR((((COUNTIF('Elève (6ème1)'!GH19:GJ19,"A"))*4)+((COUNTIF('Elève (6ème1)'!GH19:GJ19,"B"))*3)+((COUNTIF('Elève (6ème1)'!GH19:GJ19,"C"))*2)+((COUNTIF('Elève (6ème1)'!GH19:GJ19,"D"))*1))/(COUNTA(GH19:GJ19)),"")</f>
        <v/>
      </c>
      <c r="GL19" s="187" t="str">
        <f t="shared" si="44"/>
        <v/>
      </c>
      <c r="GM19" s="135" t="s">
        <v>25</v>
      </c>
      <c r="GN19" s="132"/>
      <c r="GO19" s="133"/>
      <c r="GP19" s="183">
        <f>IFERROR((((COUNTIF('Elève (6ème1)'!GM19:GO19,"A"))*4)+((COUNTIF('Elève (6ème1)'!GM19:GO19,"B"))*3)+((COUNTIF('Elève (6ème1)'!GM19:GO19,"C"))*2)+((COUNTIF('Elève (6ème1)'!GM19:GO19,"D"))*1))/(COUNTA(GM19:GO19)),"")</f>
        <v>2</v>
      </c>
      <c r="GQ19" s="184" t="str">
        <f t="shared" si="45"/>
        <v>C</v>
      </c>
      <c r="GR19" s="136"/>
      <c r="GS19" s="137"/>
      <c r="GT19" s="138"/>
      <c r="GU19" s="183" t="str">
        <f>IFERROR((((COUNTIF('Elève (6ème1)'!GR19:GT19,"A"))*4)+((COUNTIF('Elève (6ème1)'!GR19:GT19,"B"))*3)+((COUNTIF('Elève (6ème1)'!GR19:GT19,"C"))*2)+((COUNTIF('Elève (6ème1)'!GR19:GT19,"D"))*1))/(COUNTA(GR19:GT19)),"")</f>
        <v/>
      </c>
      <c r="GV19" s="184" t="str">
        <f t="shared" si="46"/>
        <v/>
      </c>
      <c r="GW19" s="183">
        <f>IF(COUNT(GK19,GP19,GU19)=0,"",SUM(GK19,GP19,GU19)/COUNT(GK19,GP19,GU19))</f>
        <v>2</v>
      </c>
      <c r="GX19" s="209" t="str">
        <f t="shared" si="47"/>
        <v>C</v>
      </c>
      <c r="GY19" s="131"/>
      <c r="GZ19" s="132"/>
      <c r="HA19" s="133"/>
      <c r="HB19" s="189" t="str">
        <f>IFERROR((((COUNTIF('Elève (6ème1)'!GY19:HA19,"A"))*4)+((COUNTIF('Elève (6ème1)'!GY19:HA19,"B"))*3)+((COUNTIF('Elève (6ème1)'!GY19:HA19,"C"))*2)+((COUNTIF('Elève (6ème1)'!GY19:HA19,"D"))*1))/(COUNTA(GY19:HA19)),"")</f>
        <v/>
      </c>
      <c r="HC19" s="187" t="str">
        <f t="shared" si="48"/>
        <v/>
      </c>
      <c r="HD19" s="135" t="s">
        <v>24</v>
      </c>
      <c r="HE19" s="132"/>
      <c r="HF19" s="133"/>
      <c r="HG19" s="183">
        <f>IFERROR((((COUNTIF('Elève (6ème1)'!HD19:HF19,"A"))*4)+((COUNTIF('Elève (6ème1)'!HD19:HF19,"B"))*3)+((COUNTIF('Elève (6ème1)'!HD19:HF19,"C"))*2)+((COUNTIF('Elève (6ème1)'!HD19:HF19,"D"))*1))/(COUNTA(HD19:HF19)),"")</f>
        <v>3</v>
      </c>
      <c r="HH19" s="184" t="str">
        <f t="shared" si="49"/>
        <v>B</v>
      </c>
      <c r="HI19" s="136"/>
      <c r="HJ19" s="137"/>
      <c r="HK19" s="138"/>
      <c r="HL19" s="183" t="str">
        <f>IFERROR((((COUNTIF('Elève (6ème1)'!HI19:HK19,"A"))*4)+((COUNTIF('Elève (6ème1)'!HI19:HK19,"B"))*3)+((COUNTIF('Elève (6ème1)'!HI19:HK19,"C"))*2)+((COUNTIF('Elève (6ème1)'!HI19:HK19,"D"))*1))/(COUNTA(HI19:HK19)),"")</f>
        <v/>
      </c>
      <c r="HM19" s="184" t="str">
        <f t="shared" si="50"/>
        <v/>
      </c>
      <c r="HN19" s="183">
        <f>IF(COUNT(HB19,HG19,HL19)=0,"",SUM(HB19,HG19,HL19)/COUNT(HB19,HG19,HL19))</f>
        <v>3</v>
      </c>
      <c r="HO19" s="209" t="str">
        <f t="shared" si="51"/>
        <v>B</v>
      </c>
      <c r="HP19" s="131"/>
      <c r="HQ19" s="132"/>
      <c r="HR19" s="133"/>
      <c r="HS19" s="189" t="str">
        <f>IFERROR((((COUNTIF('Elève (6ème1)'!HP19:HR19,"A"))*4)+((COUNTIF('Elève (6ème1)'!HP19:HR19,"B"))*3)+((COUNTIF('Elève (6ème1)'!HP19:HR19,"C"))*2)+((COUNTIF('Elève (6ème1)'!HP19:HR19,"D"))*1))/(COUNTA(HP19:HR19)),"")</f>
        <v/>
      </c>
      <c r="HT19" s="187" t="str">
        <f t="shared" si="52"/>
        <v/>
      </c>
      <c r="HU19" s="135" t="s">
        <v>24</v>
      </c>
      <c r="HV19" s="132"/>
      <c r="HW19" s="133"/>
      <c r="HX19" s="183">
        <f>IFERROR((((COUNTIF('Elève (6ème1)'!HU19:HW19,"A"))*4)+((COUNTIF('Elève (6ème1)'!HU19:HW19,"B"))*3)+((COUNTIF('Elève (6ème1)'!HU19:HW19,"C"))*2)+((COUNTIF('Elève (6ème1)'!HU19:HW19,"D"))*1))/(COUNTA(HU19:HW19)),"")</f>
        <v>3</v>
      </c>
      <c r="HY19" s="184" t="str">
        <f t="shared" si="53"/>
        <v>B</v>
      </c>
      <c r="HZ19" s="136"/>
      <c r="IA19" s="137"/>
      <c r="IB19" s="138"/>
      <c r="IC19" s="183" t="str">
        <f>IFERROR((((COUNTIF('Elève (6ème1)'!HZ19:IB19,"A"))*4)+((COUNTIF('Elève (6ème1)'!HZ19:IB19,"B"))*3)+((COUNTIF('Elève (6ème1)'!HZ19:IB19,"C"))*2)+((COUNTIF('Elève (6ème1)'!HZ19:IB19,"D"))*1))/(COUNTA(HZ19:IB19)),"")</f>
        <v/>
      </c>
      <c r="ID19" s="184" t="str">
        <f t="shared" si="54"/>
        <v/>
      </c>
      <c r="IE19" s="183">
        <f>IF(COUNT(HS19,HX19,IC19)=0,"",SUM(HS19,HX19,IC19)/COUNT(HS19,HX19,IC19))</f>
        <v>3</v>
      </c>
      <c r="IF19" s="209" t="str">
        <f t="shared" si="55"/>
        <v>B</v>
      </c>
      <c r="IG19" s="131"/>
      <c r="IH19" s="132"/>
      <c r="II19" s="133"/>
      <c r="IJ19" s="189" t="str">
        <f>IFERROR((((COUNTIF('Elève (6ème1)'!IG19:II19,"A"))*4)+((COUNTIF('Elève (6ème1)'!IG19:II19,"B"))*3)+((COUNTIF('Elève (6ème1)'!IG19:II19,"C"))*2)+((COUNTIF('Elève (6ème1)'!IG19:II19,"D"))*1))/(COUNTA(IG19:II19)),"")</f>
        <v/>
      </c>
      <c r="IK19" s="187" t="str">
        <f t="shared" si="56"/>
        <v/>
      </c>
      <c r="IL19" s="135" t="s">
        <v>24</v>
      </c>
      <c r="IM19" s="132"/>
      <c r="IN19" s="133"/>
      <c r="IO19" s="183">
        <f>IFERROR((((COUNTIF('Elève (6ème1)'!IL19:IN19,"A"))*4)+((COUNTIF('Elève (6ème1)'!IL19:IN19,"B"))*3)+((COUNTIF('Elève (6ème1)'!IL19:IN19,"C"))*2)+((COUNTIF('Elève (6ème1)'!IL19:IN19,"D"))*1))/(COUNTA(IL19:IN19)),"")</f>
        <v>3</v>
      </c>
      <c r="IP19" s="184" t="str">
        <f t="shared" si="57"/>
        <v>B</v>
      </c>
      <c r="IQ19" s="136"/>
      <c r="IR19" s="137"/>
      <c r="IS19" s="138"/>
      <c r="IT19" s="183" t="str">
        <f>IFERROR((((COUNTIF('Elève (6ème1)'!IQ19:IS19,"A"))*4)+((COUNTIF('Elève (6ème1)'!IQ19:IS19,"B"))*3)+((COUNTIF('Elève (6ème1)'!IQ19:IS19,"C"))*2)+((COUNTIF('Elève (6ème1)'!IQ19:IS19,"D"))*1))/(COUNTA(IQ19:IS19)),"")</f>
        <v/>
      </c>
      <c r="IU19" s="184" t="str">
        <f t="shared" si="58"/>
        <v/>
      </c>
      <c r="IV19" s="183">
        <f>IF(COUNT(IJ19,IO19,IT19)=0,"",SUM(IJ19,IO19,IT19)/COUNT(IJ19,IO19,IT19))</f>
        <v>3</v>
      </c>
      <c r="IW19" s="209" t="str">
        <f t="shared" si="59"/>
        <v>B</v>
      </c>
      <c r="IX19" s="131"/>
      <c r="IY19" s="132"/>
      <c r="IZ19" s="133"/>
      <c r="JA19" s="189" t="str">
        <f>IFERROR((((COUNTIF('Elève (6ème1)'!IX19:IZ19,"A"))*4)+((COUNTIF('Elève (6ème1)'!IX19:IZ19,"B"))*3)+((COUNTIF('Elève (6ème1)'!IX19:IZ19,"C"))*2)+((COUNTIF('Elève (6ème1)'!IX19:IZ19,"D"))*1))/(COUNTA(IX19:IZ19)),"")</f>
        <v/>
      </c>
      <c r="JB19" s="187" t="str">
        <f t="shared" si="60"/>
        <v/>
      </c>
      <c r="JC19" s="135" t="s">
        <v>25</v>
      </c>
      <c r="JD19" s="132"/>
      <c r="JE19" s="133"/>
      <c r="JF19" s="183">
        <f>IFERROR((((COUNTIF('Elève (6ème1)'!JC19:JE19,"A"))*4)+((COUNTIF('Elève (6ème1)'!JC19:JE19,"B"))*3)+((COUNTIF('Elève (6ème1)'!JC19:JE19,"C"))*2)+((COUNTIF('Elève (6ème1)'!JC19:JE19,"D"))*1))/(COUNTA(JC19:JE19)),"")</f>
        <v>2</v>
      </c>
      <c r="JG19" s="184" t="str">
        <f t="shared" si="61"/>
        <v>C</v>
      </c>
      <c r="JH19" s="136"/>
      <c r="JI19" s="137"/>
      <c r="JJ19" s="138"/>
      <c r="JK19" s="183" t="str">
        <f>IFERROR((((COUNTIF('Elève (6ème1)'!JH19:JJ19,"A"))*4)+((COUNTIF('Elève (6ème1)'!JH19:JJ19,"B"))*3)+((COUNTIF('Elève (6ème1)'!JH19:JJ19,"C"))*2)+((COUNTIF('Elève (6ème1)'!JH19:JJ19,"D"))*1))/(COUNTA(JH19:JJ19)),"")</f>
        <v/>
      </c>
      <c r="JL19" s="184" t="str">
        <f t="shared" si="62"/>
        <v/>
      </c>
      <c r="JM19" s="183">
        <f>IF(COUNT(JA19,JF19,JK19)=0,"",SUM(JA19,JF19,JK19)/COUNT(JA19,JF19,JK19))</f>
        <v>2</v>
      </c>
      <c r="JN19" s="209" t="str">
        <f t="shared" si="63"/>
        <v>C</v>
      </c>
      <c r="JO19" s="131"/>
      <c r="JP19" s="132"/>
      <c r="JQ19" s="133"/>
      <c r="JR19" s="189" t="str">
        <f>IFERROR((((COUNTIF('Elève (6ème1)'!JO19:JQ19,"A"))*4)+((COUNTIF('Elève (6ème1)'!JO19:JQ19,"B"))*3)+((COUNTIF('Elève (6ème1)'!JO19:JQ19,"C"))*2)+((COUNTIF('Elève (6ème1)'!JO19:JQ19,"D"))*1))/(COUNTA(JO19:JQ19)),"")</f>
        <v/>
      </c>
      <c r="JS19" s="187" t="str">
        <f t="shared" si="64"/>
        <v/>
      </c>
      <c r="JT19" s="135" t="s">
        <v>25</v>
      </c>
      <c r="JU19" s="132"/>
      <c r="JV19" s="133"/>
      <c r="JW19" s="183">
        <f>IFERROR((((COUNTIF('Elève (6ème1)'!JT19:JV19,"A"))*4)+((COUNTIF('Elève (6ème1)'!JT19:JV19,"B"))*3)+((COUNTIF('Elève (6ème1)'!JT19:JV19,"C"))*2)+((COUNTIF('Elève (6ème1)'!JT19:JV19,"D"))*1))/(COUNTA(JT19:JV19)),"")</f>
        <v>2</v>
      </c>
      <c r="JX19" s="184" t="str">
        <f t="shared" si="65"/>
        <v>C</v>
      </c>
      <c r="JY19" s="136"/>
      <c r="JZ19" s="137"/>
      <c r="KA19" s="138"/>
      <c r="KB19" s="183" t="str">
        <f>IFERROR((((COUNTIF('Elève (6ème1)'!JY19:KA19,"A"))*4)+((COUNTIF('Elève (6ème1)'!JY19:KA19,"B"))*3)+((COUNTIF('Elève (6ème1)'!JY19:KA19,"C"))*2)+((COUNTIF('Elève (6ème1)'!JY19:KA19,"D"))*1))/(COUNTA(JY19:KA19)),"")</f>
        <v/>
      </c>
      <c r="KC19" s="184" t="str">
        <f t="shared" si="66"/>
        <v/>
      </c>
      <c r="KD19" s="183">
        <f>IF(COUNT(JR19,JW19,KB19)=0,"",SUM(JR19,JW19,KB19)/COUNT(JR19,JW19,KB19))</f>
        <v>2</v>
      </c>
      <c r="KE19" s="209" t="str">
        <f t="shared" si="67"/>
        <v>C</v>
      </c>
      <c r="KF19" s="131"/>
      <c r="KG19" s="132"/>
      <c r="KH19" s="133"/>
      <c r="KI19" s="189" t="str">
        <f>IFERROR((((COUNTIF('Elève (6ème1)'!KF19:KH19,"A"))*4)+((COUNTIF('Elève (6ème1)'!KF19:KH19,"B"))*3)+((COUNTIF('Elève (6ème1)'!KF19:KH19,"C"))*2)+((COUNTIF('Elève (6ème1)'!KF19:KH19,"D"))*1))/(COUNTA(KF19:KH19)),"")</f>
        <v/>
      </c>
      <c r="KJ19" s="187" t="str">
        <f t="shared" si="68"/>
        <v/>
      </c>
      <c r="KK19" s="135"/>
      <c r="KL19" s="132"/>
      <c r="KM19" s="133"/>
      <c r="KN19" s="183" t="str">
        <f>IFERROR((((COUNTIF('Elève (6ème1)'!KK19:KM19,"A"))*4)+((COUNTIF('Elève (6ème1)'!KK19:KM19,"B"))*3)+((COUNTIF('Elève (6ème1)'!KK19:KM19,"C"))*2)+((COUNTIF('Elève (6ème1)'!KK19:KM19,"D"))*1))/(COUNTA(KK19:KM19)),"")</f>
        <v/>
      </c>
      <c r="KO19" s="184" t="str">
        <f t="shared" si="69"/>
        <v/>
      </c>
      <c r="KP19" s="136"/>
      <c r="KQ19" s="137"/>
      <c r="KR19" s="138"/>
      <c r="KS19" s="183" t="str">
        <f>IFERROR((((COUNTIF('Elève (6ème1)'!KP19:KR19,"A"))*4)+((COUNTIF('Elève (6ème1)'!KP19:KR19,"B"))*3)+((COUNTIF('Elève (6ème1)'!KP19:KR19,"C"))*2)+((COUNTIF('Elève (6ème1)'!KP19:KR19,"D"))*1))/(COUNTA(KP19:KR19)),"")</f>
        <v/>
      </c>
      <c r="KT19" s="184" t="str">
        <f t="shared" si="70"/>
        <v/>
      </c>
      <c r="KU19" s="183" t="str">
        <f>IF(COUNT(KI19,KN19,KS19)=0,"",SUM(KI19,KN19,KS19)/COUNT(KI19,KN19,KS19))</f>
        <v/>
      </c>
      <c r="KV19" s="209" t="str">
        <f t="shared" si="71"/>
        <v/>
      </c>
      <c r="KW19" s="131"/>
      <c r="KX19" s="132"/>
      <c r="KY19" s="133"/>
      <c r="KZ19" s="189" t="str">
        <f>IFERROR((((COUNTIF('Elève (6ème1)'!KW19:KY19,"A"))*4)+((COUNTIF('Elève (6ème1)'!KW19:KY19,"B"))*3)+((COUNTIF('Elève (6ème1)'!KW19:KY19,"C"))*2)+((COUNTIF('Elève (6ème1)'!KW19:KY19,"D"))*1))/(COUNTA(KW19:KY19)),"")</f>
        <v/>
      </c>
      <c r="LA19" s="187" t="str">
        <f t="shared" si="72"/>
        <v/>
      </c>
      <c r="LB19" s="135" t="s">
        <v>23</v>
      </c>
      <c r="LC19" s="132"/>
      <c r="LD19" s="133"/>
      <c r="LE19" s="183">
        <f>IFERROR((((COUNTIF('Elève (6ème1)'!LB19:LD19,"A"))*4)+((COUNTIF('Elève (6ème1)'!LB19:LD19,"B"))*3)+((COUNTIF('Elève (6ème1)'!LB19:LD19,"C"))*2)+((COUNTIF('Elève (6ème1)'!LB19:LD19,"D"))*1))/(COUNTA(LB19:LD19)),"")</f>
        <v>4</v>
      </c>
      <c r="LF19" s="184" t="str">
        <f t="shared" si="73"/>
        <v>A</v>
      </c>
      <c r="LG19" s="136"/>
      <c r="LH19" s="137"/>
      <c r="LI19" s="138"/>
      <c r="LJ19" s="183" t="str">
        <f>IFERROR((((COUNTIF('Elève (6ème1)'!LG19:LI19,"A"))*4)+((COUNTIF('Elève (6ème1)'!LG19:LI19,"B"))*3)+((COUNTIF('Elève (6ème1)'!LG19:LI19,"C"))*2)+((COUNTIF('Elève (6ème1)'!LG19:LI19,"D"))*1))/(COUNTA(LG19:LI19)),"")</f>
        <v/>
      </c>
      <c r="LK19" s="184" t="str">
        <f t="shared" si="74"/>
        <v/>
      </c>
      <c r="LL19" s="183">
        <f>IF(COUNT(KZ19,LE19,LJ19)=0,"",SUM(KZ19,LE19,LJ19)/COUNT(KZ19,LE19,LJ19))</f>
        <v>4</v>
      </c>
      <c r="LM19" s="209" t="str">
        <f t="shared" si="75"/>
        <v>A</v>
      </c>
      <c r="LN19" s="131"/>
      <c r="LO19" s="132"/>
      <c r="LP19" s="133"/>
      <c r="LQ19" s="189" t="str">
        <f>IFERROR((((COUNTIF('Elève (6ème1)'!LN19:LP19,"A"))*4)+((COUNTIF('Elève (6ème1)'!LN19:LP19,"B"))*3)+((COUNTIF('Elève (6ème1)'!LN19:LP19,"C"))*2)+((COUNTIF('Elève (6ème1)'!LN19:LP19,"D"))*1))/(COUNTA(LN19:LP19)),"")</f>
        <v/>
      </c>
      <c r="LR19" s="187" t="str">
        <f t="shared" si="76"/>
        <v/>
      </c>
      <c r="LS19" s="135" t="s">
        <v>24</v>
      </c>
      <c r="LT19" s="132"/>
      <c r="LU19" s="133"/>
      <c r="LV19" s="183">
        <f>IFERROR((((COUNTIF('Elève (6ème1)'!LS19:LU19,"A"))*4)+((COUNTIF('Elève (6ème1)'!LS19:LU19,"B"))*3)+((COUNTIF('Elève (6ème1)'!LS19:LU19,"C"))*2)+((COUNTIF('Elève (6ème1)'!LS19:LU19,"D"))*1))/(COUNTA(LS19:LU19)),"")</f>
        <v>3</v>
      </c>
      <c r="LW19" s="184" t="str">
        <f t="shared" si="77"/>
        <v>B</v>
      </c>
      <c r="LX19" s="136"/>
      <c r="LY19" s="137"/>
      <c r="LZ19" s="138"/>
      <c r="MA19" s="183" t="str">
        <f>IFERROR((((COUNTIF('Elève (6ème1)'!LX19:LZ19,"A"))*4)+((COUNTIF('Elève (6ème1)'!LX19:LZ19,"B"))*3)+((COUNTIF('Elève (6ème1)'!LX19:LZ19,"C"))*2)+((COUNTIF('Elève (6ème1)'!LX19:LZ19,"D"))*1))/(COUNTA(LX19:LZ19)),"")</f>
        <v/>
      </c>
      <c r="MB19" s="184" t="str">
        <f t="shared" si="78"/>
        <v/>
      </c>
      <c r="MC19" s="183">
        <f>IF(COUNT(LQ19,LV19,MA19)=0,"",SUM(LQ19,LV19,MA19)/COUNT(LQ19,LV19,MA19))</f>
        <v>3</v>
      </c>
      <c r="MD19" s="209" t="str">
        <f t="shared" si="79"/>
        <v>B</v>
      </c>
      <c r="ME19" s="131"/>
      <c r="MF19" s="132"/>
      <c r="MG19" s="133"/>
      <c r="MH19" s="189" t="str">
        <f>IFERROR((((COUNTIF('Elève (6ème1)'!ME19:MG19,"A"))*4)+((COUNTIF('Elève (6ème1)'!ME19:MG19,"B"))*3)+((COUNTIF('Elève (6ème1)'!ME19:MG19,"C"))*2)+((COUNTIF('Elève (6ème1)'!ME19:MG19,"D"))*1))/(COUNTA(ME19:MG19)),"")</f>
        <v/>
      </c>
      <c r="MI19" s="187" t="str">
        <f t="shared" si="80"/>
        <v/>
      </c>
      <c r="MJ19" s="135" t="s">
        <v>23</v>
      </c>
      <c r="MK19" s="132"/>
      <c r="ML19" s="133"/>
      <c r="MM19" s="183">
        <f>IFERROR((((COUNTIF('Elève (6ème1)'!MJ19:ML19,"A"))*4)+((COUNTIF('Elève (6ème1)'!MJ19:ML19,"B"))*3)+((COUNTIF('Elève (6ème1)'!MJ19:ML19,"C"))*2)+((COUNTIF('Elève (6ème1)'!MJ19:ML19,"D"))*1))/(COUNTA(MJ19:ML19)),"")</f>
        <v>4</v>
      </c>
      <c r="MN19" s="184" t="str">
        <f t="shared" si="81"/>
        <v>A</v>
      </c>
      <c r="MO19" s="136"/>
      <c r="MP19" s="137"/>
      <c r="MQ19" s="138"/>
      <c r="MR19" s="183" t="str">
        <f>IFERROR((((COUNTIF('Elève (6ème1)'!MO19:MQ19,"A"))*4)+((COUNTIF('Elève (6ème1)'!MO19:MQ19,"B"))*3)+((COUNTIF('Elève (6ème1)'!MO19:MQ19,"C"))*2)+((COUNTIF('Elève (6ème1)'!MO19:MQ19,"D"))*1))/(COUNTA(MO19:MQ19)),"")</f>
        <v/>
      </c>
      <c r="MS19" s="184" t="str">
        <f t="shared" si="82"/>
        <v/>
      </c>
      <c r="MT19" s="183">
        <f>IF(COUNT(MH19,MM19,MR19)=0,"",SUM(MH19,MM19,MR19)/COUNT(MH19,MM19,MR19))</f>
        <v>4</v>
      </c>
      <c r="MU19" s="209" t="str">
        <f t="shared" si="83"/>
        <v>A</v>
      </c>
      <c r="MV19" s="131"/>
      <c r="MW19" s="132"/>
      <c r="MX19" s="133"/>
      <c r="MY19" s="189" t="str">
        <f>IFERROR((((COUNTIF('Elève (6ème1)'!MV19:MX19,"A"))*4)+((COUNTIF('Elève (6ème1)'!MV19:MX19,"B"))*3)+((COUNTIF('Elève (6ème1)'!MV19:MX19,"C"))*2)+((COUNTIF('Elève (6ème1)'!MV19:MX19,"D"))*1))/(COUNTA(MV19:MX19)),"")</f>
        <v/>
      </c>
      <c r="MZ19" s="187" t="str">
        <f t="shared" si="84"/>
        <v/>
      </c>
      <c r="NA19" s="135" t="s">
        <v>24</v>
      </c>
      <c r="NB19" s="132"/>
      <c r="NC19" s="133"/>
      <c r="ND19" s="183">
        <f>IFERROR((((COUNTIF('Elève (6ème1)'!NA19:NC19,"A"))*4)+((COUNTIF('Elève (6ème1)'!NA19:NC19,"B"))*3)+((COUNTIF('Elève (6ème1)'!NA19:NC19,"C"))*2)+((COUNTIF('Elève (6ème1)'!NA19:NC19,"D"))*1))/(COUNTA(NA19:NC19)),"")</f>
        <v>3</v>
      </c>
      <c r="NE19" s="184" t="str">
        <f t="shared" si="85"/>
        <v>B</v>
      </c>
      <c r="NF19" s="136"/>
      <c r="NG19" s="137"/>
      <c r="NH19" s="138"/>
      <c r="NI19" s="183" t="str">
        <f>IFERROR((((COUNTIF('Elève (6ème1)'!NF19:NH19,"A"))*4)+((COUNTIF('Elève (6ème1)'!NF19:NH19,"B"))*3)+((COUNTIF('Elève (6ème1)'!NF19:NH19,"C"))*2)+((COUNTIF('Elève (6ème1)'!NF19:NH19,"D"))*1))/(COUNTA(NF19:NH19)),"")</f>
        <v/>
      </c>
      <c r="NJ19" s="184" t="str">
        <f t="shared" si="86"/>
        <v/>
      </c>
      <c r="NK19" s="183">
        <f>IF(COUNT(MY19,ND19,NI19)=0,"",SUM(MY19,ND19,NI19)/COUNT(MY19,ND19,NI19))</f>
        <v>3</v>
      </c>
      <c r="NL19" s="209" t="str">
        <f t="shared" si="87"/>
        <v>B</v>
      </c>
      <c r="NM19" s="131"/>
      <c r="NN19" s="132"/>
      <c r="NO19" s="133"/>
      <c r="NP19" s="189" t="str">
        <f>IFERROR((((COUNTIF('Elève (6ème1)'!NM19:NO19,"A"))*4)+((COUNTIF('Elève (6ème1)'!NM19:NO19,"B"))*3)+((COUNTIF('Elève (6ème1)'!NM19:NO19,"C"))*2)+((COUNTIF('Elève (6ème1)'!NM19:NO19,"D"))*1))/(COUNTA(NM19:NO19)),"")</f>
        <v/>
      </c>
      <c r="NQ19" s="187" t="str">
        <f t="shared" si="88"/>
        <v/>
      </c>
      <c r="NR19" s="135" t="s">
        <v>23</v>
      </c>
      <c r="NS19" s="132"/>
      <c r="NT19" s="133"/>
      <c r="NU19" s="183">
        <f>IFERROR((((COUNTIF('Elève (6ème1)'!NR19:NT19,"A"))*4)+((COUNTIF('Elève (6ème1)'!NR19:NT19,"B"))*3)+((COUNTIF('Elève (6ème1)'!NR19:NT19,"C"))*2)+((COUNTIF('Elève (6ème1)'!NR19:NT19,"D"))*1))/(COUNTA(NR19:NT19)),"")</f>
        <v>4</v>
      </c>
      <c r="NV19" s="184" t="str">
        <f t="shared" si="89"/>
        <v>A</v>
      </c>
      <c r="NW19" s="136"/>
      <c r="NX19" s="137"/>
      <c r="NY19" s="138"/>
      <c r="NZ19" s="183" t="str">
        <f>IFERROR((((COUNTIF('Elève (6ème1)'!NW19:NY19,"A"))*4)+((COUNTIF('Elève (6ème1)'!NW19:NY19,"B"))*3)+((COUNTIF('Elève (6ème1)'!NW19:NY19,"C"))*2)+((COUNTIF('Elève (6ème1)'!NW19:NY19,"D"))*1))/(COUNTA(NW19:NY19)),"")</f>
        <v/>
      </c>
      <c r="OA19" s="184" t="str">
        <f t="shared" si="90"/>
        <v/>
      </c>
      <c r="OB19" s="183">
        <f>IF(COUNT(NP19,NU19,NZ19)=0,"",SUM(NP19,NU19,NZ19)/COUNT(NP19,NU19,NZ19))</f>
        <v>4</v>
      </c>
      <c r="OC19" s="209" t="str">
        <f t="shared" si="91"/>
        <v>A</v>
      </c>
      <c r="OD19" s="131"/>
      <c r="OE19" s="132"/>
      <c r="OF19" s="133"/>
      <c r="OG19" s="189" t="str">
        <f>IFERROR((((COUNTIF('Elève (6ème1)'!OD19:OF19,"A"))*4)+((COUNTIF('Elève (6ème1)'!OD19:OF19,"B"))*3)+((COUNTIF('Elève (6ème1)'!OD19:OF19,"C"))*2)+((COUNTIF('Elève (6ème1)'!OD19:OF19,"D"))*1))/(COUNTA(OD19:OF19)),"")</f>
        <v/>
      </c>
      <c r="OH19" s="187" t="str">
        <f t="shared" si="92"/>
        <v/>
      </c>
      <c r="OI19" s="135" t="s">
        <v>25</v>
      </c>
      <c r="OJ19" s="132"/>
      <c r="OK19" s="133"/>
      <c r="OL19" s="183">
        <f>IFERROR((((COUNTIF('Elève (6ème1)'!OI19:OK19,"A"))*4)+((COUNTIF('Elève (6ème1)'!OI19:OK19,"B"))*3)+((COUNTIF('Elève (6ème1)'!OI19:OK19,"C"))*2)+((COUNTIF('Elève (6ème1)'!OI19:OK19,"D"))*1))/(COUNTA(OI19:OK19)),"")</f>
        <v>2</v>
      </c>
      <c r="OM19" s="184" t="str">
        <f t="shared" si="93"/>
        <v>C</v>
      </c>
      <c r="ON19" s="136"/>
      <c r="OO19" s="137"/>
      <c r="OP19" s="138"/>
      <c r="OQ19" s="183" t="str">
        <f>IFERROR((((COUNTIF('Elève (6ème1)'!ON19:OP19,"A"))*4)+((COUNTIF('Elève (6ème1)'!ON19:OP19,"B"))*3)+((COUNTIF('Elève (6ème1)'!ON19:OP19,"C"))*2)+((COUNTIF('Elève (6ème1)'!ON19:OP19,"D"))*1))/(COUNTA(ON19:OP19)),"")</f>
        <v/>
      </c>
      <c r="OR19" s="184" t="str">
        <f t="shared" si="94"/>
        <v/>
      </c>
      <c r="OS19" s="183">
        <f>IF(COUNT(OG19,OL19,OQ19)=0,"",SUM(OG19,OL19,OQ19)/COUNT(OG19,OL19,OQ19))</f>
        <v>2</v>
      </c>
      <c r="OT19" s="209" t="str">
        <f t="shared" si="95"/>
        <v>C</v>
      </c>
      <c r="OU19" s="131"/>
      <c r="OV19" s="132"/>
      <c r="OW19" s="133"/>
      <c r="OX19" s="189" t="str">
        <f>IFERROR((((COUNTIF('Elève (6ème1)'!OU19:OW19,"A"))*4)+((COUNTIF('Elève (6ème1)'!OU19:OW19,"B"))*3)+((COUNTIF('Elève (6ème1)'!OU19:OW19,"C"))*2)+((COUNTIF('Elève (6ème1)'!OU19:OW19,"D"))*1))/(COUNTA(OU19:OW19)),"")</f>
        <v/>
      </c>
      <c r="OY19" s="187" t="str">
        <f t="shared" si="96"/>
        <v/>
      </c>
      <c r="OZ19" s="135" t="s">
        <v>24</v>
      </c>
      <c r="PA19" s="132"/>
      <c r="PB19" s="133"/>
      <c r="PC19" s="183">
        <f>IFERROR((((COUNTIF('Elève (6ème1)'!OZ19:PB19,"A"))*4)+((COUNTIF('Elève (6ème1)'!OZ19:PB19,"B"))*3)+((COUNTIF('Elève (6ème1)'!OZ19:PB19,"C"))*2)+((COUNTIF('Elève (6ème1)'!OZ19:PB19,"D"))*1))/(COUNTA(OZ19:PB19)),"")</f>
        <v>3</v>
      </c>
      <c r="PD19" s="184" t="str">
        <f t="shared" si="97"/>
        <v>B</v>
      </c>
      <c r="PE19" s="136"/>
      <c r="PF19" s="137"/>
      <c r="PG19" s="138"/>
      <c r="PH19" s="183" t="str">
        <f>IFERROR((((COUNTIF('Elève (6ème1)'!PE19:PG19,"A"))*4)+((COUNTIF('Elève (6ème1)'!PE19:PG19,"B"))*3)+((COUNTIF('Elève (6ème1)'!PE19:PG19,"C"))*2)+((COUNTIF('Elève (6ème1)'!PE19:PG19,"D"))*1))/(COUNTA(PE19:PG19)),"")</f>
        <v/>
      </c>
      <c r="PI19" s="184" t="str">
        <f t="shared" si="98"/>
        <v/>
      </c>
      <c r="PJ19" s="183">
        <f>IF(COUNT(OX19,PC19,PH19)=0,"",SUM(OX19,PC19,PH19)/COUNT(OX19,PC19,PH19))</f>
        <v>3</v>
      </c>
      <c r="PK19" s="209" t="str">
        <f t="shared" si="99"/>
        <v>B</v>
      </c>
      <c r="PL19" s="131"/>
      <c r="PM19" s="132"/>
      <c r="PN19" s="133"/>
      <c r="PO19" s="189" t="str">
        <f>IFERROR((((COUNTIF('Elève (6ème1)'!PL19:PN19,"A"))*4)+((COUNTIF('Elève (6ème1)'!PL19:PN19,"B"))*3)+((COUNTIF('Elève (6ème1)'!PL19:PN19,"C"))*2)+((COUNTIF('Elève (6ème1)'!PL19:PN19,"D"))*1))/(COUNTA(PL19:PN19)),"")</f>
        <v/>
      </c>
      <c r="PP19" s="187" t="str">
        <f t="shared" si="100"/>
        <v/>
      </c>
      <c r="PQ19" s="135" t="s">
        <v>25</v>
      </c>
      <c r="PR19" s="132"/>
      <c r="PS19" s="133"/>
      <c r="PT19" s="183">
        <f>IFERROR((((COUNTIF('Elève (6ème1)'!PQ19:PS19,"A"))*4)+((COUNTIF('Elève (6ème1)'!PQ19:PS19,"B"))*3)+((COUNTIF('Elève (6ème1)'!PQ19:PS19,"C"))*2)+((COUNTIF('Elève (6ème1)'!PQ19:PS19,"D"))*1))/(COUNTA(PQ19:PS19)),"")</f>
        <v>2</v>
      </c>
      <c r="PU19" s="184" t="str">
        <f t="shared" si="101"/>
        <v>C</v>
      </c>
      <c r="PV19" s="136"/>
      <c r="PW19" s="137"/>
      <c r="PX19" s="138"/>
      <c r="PY19" s="183" t="str">
        <f>IFERROR((((COUNTIF('Elève (6ème1)'!PV19:PX19,"A"))*4)+((COUNTIF('Elève (6ème1)'!PV19:PX19,"B"))*3)+((COUNTIF('Elève (6ème1)'!PV19:PX19,"C"))*2)+((COUNTIF('Elève (6ème1)'!PV19:PX19,"D"))*1))/(COUNTA(PV19:PX19)),"")</f>
        <v/>
      </c>
      <c r="PZ19" s="184" t="str">
        <f t="shared" si="102"/>
        <v/>
      </c>
      <c r="QA19" s="183">
        <f>IF(COUNT(PO19,PT19,PY19)=0,"",SUM(PO19,PT19,PY19)/COUNT(PO19,PT19,PY19))</f>
        <v>2</v>
      </c>
      <c r="QB19" s="209" t="str">
        <f t="shared" si="103"/>
        <v>C</v>
      </c>
      <c r="QC19" s="131"/>
      <c r="QD19" s="132"/>
      <c r="QE19" s="133"/>
      <c r="QF19" s="189" t="str">
        <f>IFERROR((((COUNTIF('Elève (6ème1)'!QC19:QE19,"A"))*4)+((COUNTIF('Elève (6ème1)'!QC19:QE19,"B"))*3)+((COUNTIF('Elève (6ème1)'!QC19:QE19,"C"))*2)+((COUNTIF('Elève (6ème1)'!QC19:QE19,"D"))*1))/(COUNTA(QC19:QE19)),"")</f>
        <v/>
      </c>
      <c r="QG19" s="187" t="str">
        <f t="shared" si="104"/>
        <v/>
      </c>
      <c r="QH19" s="135" t="s">
        <v>24</v>
      </c>
      <c r="QI19" s="132"/>
      <c r="QJ19" s="133"/>
      <c r="QK19" s="183">
        <f>IFERROR((((COUNTIF('Elève (6ème1)'!QH19:QJ19,"A"))*4)+((COUNTIF('Elève (6ème1)'!QH19:QJ19,"B"))*3)+((COUNTIF('Elève (6ème1)'!QH19:QJ19,"C"))*2)+((COUNTIF('Elève (6ème1)'!QH19:QJ19,"D"))*1))/(COUNTA(QH19:QJ19)),"")</f>
        <v>3</v>
      </c>
      <c r="QL19" s="184" t="str">
        <f t="shared" si="105"/>
        <v>B</v>
      </c>
      <c r="QM19" s="136"/>
      <c r="QN19" s="137"/>
      <c r="QO19" s="138"/>
      <c r="QP19" s="183" t="str">
        <f>IFERROR((((COUNTIF('Elève (6ème1)'!QM19:QO19,"A"))*4)+((COUNTIF('Elève (6ème1)'!QM19:QO19,"B"))*3)+((COUNTIF('Elève (6ème1)'!QM19:QO19,"C"))*2)+((COUNTIF('Elève (6ème1)'!QM19:QO19,"D"))*1))/(COUNTA(QM19:QO19)),"")</f>
        <v/>
      </c>
      <c r="QQ19" s="184" t="str">
        <f t="shared" si="106"/>
        <v/>
      </c>
      <c r="QR19" s="183">
        <f>IF(COUNT(QF19,QK19,QP19)=0,"",SUM(QF19,QK19,QP19)/COUNT(QF19,QK19,QP19))</f>
        <v>3</v>
      </c>
      <c r="QS19" s="209" t="str">
        <f t="shared" si="107"/>
        <v>B</v>
      </c>
      <c r="QT19" s="131"/>
      <c r="QU19" s="132"/>
      <c r="QV19" s="133"/>
      <c r="QW19" s="189" t="str">
        <f>IFERROR((((COUNTIF('Elève (6ème1)'!QT19:QV19,"A"))*4)+((COUNTIF('Elève (6ème1)'!QT19:QV19,"B"))*3)+((COUNTIF('Elève (6ème1)'!QT19:QV19,"C"))*2)+((COUNTIF('Elève (6ème1)'!QT19:QV19,"D"))*1))/(COUNTA(QT19:QV19)),"")</f>
        <v/>
      </c>
      <c r="QX19" s="187" t="str">
        <f t="shared" si="108"/>
        <v/>
      </c>
      <c r="QY19" s="135" t="s">
        <v>25</v>
      </c>
      <c r="QZ19" s="132"/>
      <c r="RA19" s="133"/>
      <c r="RB19" s="183">
        <f>IFERROR((((COUNTIF('Elève (6ème1)'!QY19:RA19,"A"))*4)+((COUNTIF('Elève (6ème1)'!QY19:RA19,"B"))*3)+((COUNTIF('Elève (6ème1)'!QY19:RA19,"C"))*2)+((COUNTIF('Elève (6ème1)'!QY19:RA19,"D"))*1))/(COUNTA(QY19:RA19)),"")</f>
        <v>2</v>
      </c>
      <c r="RC19" s="184" t="str">
        <f t="shared" si="109"/>
        <v>C</v>
      </c>
      <c r="RD19" s="136"/>
      <c r="RE19" s="137"/>
      <c r="RF19" s="138"/>
      <c r="RG19" s="183" t="str">
        <f>IFERROR((((COUNTIF('Elève (6ème1)'!RD19:RF19,"A"))*4)+((COUNTIF('Elève (6ème1)'!RD19:RF19,"B"))*3)+((COUNTIF('Elève (6ème1)'!RD19:RF19,"C"))*2)+((COUNTIF('Elève (6ème1)'!RD19:RF19,"D"))*1))/(COUNTA(RD19:RF19)),"")</f>
        <v/>
      </c>
      <c r="RH19" s="184" t="str">
        <f t="shared" si="110"/>
        <v/>
      </c>
      <c r="RI19" s="183">
        <f>IF(COUNT(QW19,RB19,RG19)=0,"",SUM(QW19,RB19,RG19)/COUNT(QW19,RB19,RG19))</f>
        <v>2</v>
      </c>
      <c r="RJ19" s="209" t="str">
        <f t="shared" si="111"/>
        <v>C</v>
      </c>
      <c r="RK19" s="131"/>
      <c r="RL19" s="132"/>
      <c r="RM19" s="133"/>
      <c r="RN19" s="189" t="str">
        <f>IFERROR((((COUNTIF('Elève (6ème1)'!RK19:RM19,"A"))*4)+((COUNTIF('Elève (6ème1)'!RK19:RM19,"B"))*3)+((COUNTIF('Elève (6ème1)'!RK19:RM19,"C"))*2)+((COUNTIF('Elève (6ème1)'!RK19:RM19,"D"))*1))/(COUNTA(RK19:RM19)),"")</f>
        <v/>
      </c>
      <c r="RO19" s="187" t="str">
        <f t="shared" si="112"/>
        <v/>
      </c>
      <c r="RP19" s="135" t="s">
        <v>24</v>
      </c>
      <c r="RQ19" s="132"/>
      <c r="RR19" s="133"/>
      <c r="RS19" s="183">
        <f>IFERROR((((COUNTIF('Elève (6ème1)'!RP19:RR19,"A"))*4)+((COUNTIF('Elève (6ème1)'!RP19:RR19,"B"))*3)+((COUNTIF('Elève (6ème1)'!RP19:RR19,"C"))*2)+((COUNTIF('Elève (6ème1)'!RP19:RR19,"D"))*1))/(COUNTA(RP19:RR19)),"")</f>
        <v>3</v>
      </c>
      <c r="RT19" s="184" t="str">
        <f t="shared" si="113"/>
        <v>B</v>
      </c>
      <c r="RU19" s="136"/>
      <c r="RV19" s="137"/>
      <c r="RW19" s="138"/>
      <c r="RX19" s="183" t="str">
        <f>IFERROR((((COUNTIF('Elève (6ème1)'!RU19:RW19,"A"))*4)+((COUNTIF('Elève (6ème1)'!RU19:RW19,"B"))*3)+((COUNTIF('Elève (6ème1)'!RU19:RW19,"C"))*2)+((COUNTIF('Elève (6ème1)'!RU19:RW19,"D"))*1))/(COUNTA(RU19:RW19)),"")</f>
        <v/>
      </c>
      <c r="RY19" s="184" t="str">
        <f t="shared" si="114"/>
        <v/>
      </c>
      <c r="RZ19" s="183">
        <f>IF(COUNT(RN19,RS19,RX19)=0,"",SUM(RN19,RS19,RX19)/COUNT(RN19,RS19,RX19))</f>
        <v>3</v>
      </c>
      <c r="SA19" s="209" t="str">
        <f t="shared" si="115"/>
        <v>B</v>
      </c>
      <c r="SB19" s="131"/>
      <c r="SC19" s="132"/>
      <c r="SD19" s="133"/>
      <c r="SE19" s="189" t="str">
        <f>IFERROR((((COUNTIF('Elève (6ème1)'!SB19:SD19,"A"))*4)+((COUNTIF('Elève (6ème1)'!SB19:SD19,"B"))*3)+((COUNTIF('Elève (6ème1)'!SB19:SD19,"C"))*2)+((COUNTIF('Elève (6ème1)'!SB19:SD19,"D"))*1))/(COUNTA(SB19:SD19)),"")</f>
        <v/>
      </c>
      <c r="SF19" s="187" t="str">
        <f t="shared" si="116"/>
        <v/>
      </c>
      <c r="SG19" s="135" t="s">
        <v>25</v>
      </c>
      <c r="SH19" s="132"/>
      <c r="SI19" s="133"/>
      <c r="SJ19" s="183">
        <f>IFERROR((((COUNTIF('Elève (6ème1)'!SG19:SI19,"A"))*4)+((COUNTIF('Elève (6ème1)'!SG19:SI19,"B"))*3)+((COUNTIF('Elève (6ème1)'!SG19:SI19,"C"))*2)+((COUNTIF('Elève (6ème1)'!SG19:SI19,"D"))*1))/(COUNTA(SG19:SI19)),"")</f>
        <v>2</v>
      </c>
      <c r="SK19" s="184" t="str">
        <f t="shared" si="117"/>
        <v>C</v>
      </c>
      <c r="SL19" s="136"/>
      <c r="SM19" s="137"/>
      <c r="SN19" s="138"/>
      <c r="SO19" s="183" t="str">
        <f>IFERROR((((COUNTIF('Elève (6ème1)'!SL19:SN19,"A"))*4)+((COUNTIF('Elève (6ème1)'!SL19:SN19,"B"))*3)+((COUNTIF('Elève (6ème1)'!SL19:SN19,"C"))*2)+((COUNTIF('Elève (6ème1)'!SL19:SN19,"D"))*1))/(COUNTA(SL19:SN19)),"")</f>
        <v/>
      </c>
      <c r="SP19" s="184" t="str">
        <f t="shared" si="118"/>
        <v/>
      </c>
      <c r="SQ19" s="183">
        <f>IF(COUNT(SE19,SJ19,SO19)=0,"",SUM(SE19,SJ19,SO19)/COUNT(SE19,SJ19,SO19))</f>
        <v>2</v>
      </c>
      <c r="SR19" s="209" t="str">
        <f t="shared" si="119"/>
        <v>C</v>
      </c>
      <c r="SS19" s="131"/>
      <c r="ST19" s="132"/>
      <c r="SU19" s="133"/>
      <c r="SV19" s="189" t="str">
        <f>IFERROR((((COUNTIF('Elève (6ème1)'!SS19:SU19,"A"))*4)+((COUNTIF('Elève (6ème1)'!SS19:SU19,"B"))*3)+((COUNTIF('Elève (6ème1)'!SS19:SU19,"C"))*2)+((COUNTIF('Elève (6ème1)'!SS19:SU19,"D"))*1))/(COUNTA(SS19:SU19)),"")</f>
        <v/>
      </c>
      <c r="SW19" s="187" t="str">
        <f t="shared" si="120"/>
        <v/>
      </c>
      <c r="SX19" s="135" t="s">
        <v>24</v>
      </c>
      <c r="SY19" s="132"/>
      <c r="SZ19" s="133"/>
      <c r="TA19" s="183">
        <f>IFERROR((((COUNTIF('Elève (6ème1)'!SX19:SZ19,"A"))*4)+((COUNTIF('Elève (6ème1)'!SX19:SZ19,"B"))*3)+((COUNTIF('Elève (6ème1)'!SX19:SZ19,"C"))*2)+((COUNTIF('Elève (6ème1)'!SX19:SZ19,"D"))*1))/(COUNTA(SX19:SZ19)),"")</f>
        <v>3</v>
      </c>
      <c r="TB19" s="184" t="str">
        <f t="shared" si="121"/>
        <v>B</v>
      </c>
      <c r="TC19" s="136"/>
      <c r="TD19" s="137"/>
      <c r="TE19" s="138"/>
      <c r="TF19" s="183" t="str">
        <f>IFERROR((((COUNTIF('Elève (6ème1)'!TC19:TE19,"A"))*4)+((COUNTIF('Elève (6ème1)'!TC19:TE19,"B"))*3)+((COUNTIF('Elève (6ème1)'!TC19:TE19,"C"))*2)+((COUNTIF('Elève (6ème1)'!TC19:TE19,"D"))*1))/(COUNTA(TC19:TE19)),"")</f>
        <v/>
      </c>
      <c r="TG19" s="184" t="str">
        <f t="shared" si="122"/>
        <v/>
      </c>
      <c r="TH19" s="183">
        <f>IF(COUNT(SV19,TA19,TF19)=0,"",SUM(SV19,TA19,TF19)/COUNT(SV19,TA19,TF19))</f>
        <v>3</v>
      </c>
      <c r="TI19" s="209" t="str">
        <f t="shared" si="123"/>
        <v>B</v>
      </c>
      <c r="TJ19" s="131"/>
      <c r="TK19" s="132"/>
      <c r="TL19" s="133"/>
      <c r="TM19" s="189" t="str">
        <f>IFERROR((((COUNTIF('Elève (6ème1)'!TJ19:TL19,"A"))*4)+((COUNTIF('Elève (6ème1)'!TJ19:TL19,"B"))*3)+((COUNTIF('Elève (6ème1)'!TJ19:TL19,"C"))*2)+((COUNTIF('Elève (6ème1)'!TJ19:TL19,"D"))*1))/(COUNTA(TJ19:TL19)),"")</f>
        <v/>
      </c>
      <c r="TN19" s="187" t="str">
        <f t="shared" si="124"/>
        <v/>
      </c>
      <c r="TO19" s="135" t="s">
        <v>24</v>
      </c>
      <c r="TP19" s="132"/>
      <c r="TQ19" s="133"/>
      <c r="TR19" s="183">
        <f>IFERROR((((COUNTIF('Elève (6ème1)'!TO19:TQ19,"A"))*4)+((COUNTIF('Elève (6ème1)'!TO19:TQ19,"B"))*3)+((COUNTIF('Elève (6ème1)'!TO19:TQ19,"C"))*2)+((COUNTIF('Elève (6ème1)'!TO19:TQ19,"D"))*1))/(COUNTA(TO19:TQ19)),"")</f>
        <v>3</v>
      </c>
      <c r="TS19" s="184" t="str">
        <f t="shared" si="125"/>
        <v>B</v>
      </c>
      <c r="TT19" s="136"/>
      <c r="TU19" s="137"/>
      <c r="TV19" s="138"/>
      <c r="TW19" s="183" t="str">
        <f>IFERROR((((COUNTIF('Elève (6ème1)'!TT19:TV19,"A"))*4)+((COUNTIF('Elève (6ème1)'!TT19:TV19,"B"))*3)+((COUNTIF('Elève (6ème1)'!TT19:TV19,"C"))*2)+((COUNTIF('Elève (6ème1)'!TT19:TV19,"D"))*1))/(COUNTA(TT19:TV19)),"")</f>
        <v/>
      </c>
      <c r="TX19" s="184" t="str">
        <f t="shared" si="126"/>
        <v/>
      </c>
      <c r="TY19" s="183">
        <f>IF(COUNT(TM19,TR19,TW19)=0,"",SUM(TM19,TR19,TW19)/COUNT(TM19,TR19,TW19))</f>
        <v>3</v>
      </c>
      <c r="TZ19" s="209" t="str">
        <f t="shared" si="127"/>
        <v>B</v>
      </c>
    </row>
    <row r="20" spans="1:546" ht="15.75" thickBot="1" x14ac:dyDescent="0.3">
      <c r="A20" s="166" t="s">
        <v>41</v>
      </c>
      <c r="B20" s="139"/>
      <c r="C20" s="174"/>
      <c r="D20" s="141"/>
      <c r="E20" s="142"/>
      <c r="F20" s="190" t="str">
        <f>IFERROR((((COUNTIF('Elève (6ème1)'!C20:E20,"A"))*4)+((COUNTIF('Elève (6ème1)'!C20:E20,"B"))*3)+((COUNTIF('Elève (6ème1)'!C20:E20,"C"))*2)+((COUNTIF('Elève (6ème1)'!C20:E20,"D"))*1))/(COUNTA(C20:E20)),"")</f>
        <v/>
      </c>
      <c r="G20" s="191" t="str">
        <f t="shared" si="0"/>
        <v/>
      </c>
      <c r="H20" s="174"/>
      <c r="I20" s="141"/>
      <c r="J20" s="142"/>
      <c r="K20" s="190" t="str">
        <f>IFERROR((((COUNTIF('Elève (6ème1)'!H20:J20,"A"))*4)+((COUNTIF('Elève (6ème1)'!H20:J20,"B"))*3)+((COUNTIF('Elève (6ème1)'!H20:J20,"C"))*2)+((COUNTIF('Elève (6ème1)'!H20:J20,"D"))*1))/(COUNTA(H20:J20)),"")</f>
        <v/>
      </c>
      <c r="L20" s="191" t="str">
        <f t="shared" si="1"/>
        <v/>
      </c>
      <c r="M20" s="174"/>
      <c r="N20" s="141"/>
      <c r="O20" s="142"/>
      <c r="P20" s="190" t="str">
        <f>IFERROR((((COUNTIF('Elève (6ème1)'!M20:O20,"A"))*4)+((COUNTIF('Elève (6ème1)'!M20:O20,"B"))*3)+((COUNTIF('Elève (6ème1)'!M20:O20,"C"))*2)+((COUNTIF('Elève (6ème1)'!M20:O20,"D"))*1))/(COUNTA(M20:O20)),"")</f>
        <v/>
      </c>
      <c r="Q20" s="191" t="str">
        <f t="shared" si="2"/>
        <v/>
      </c>
      <c r="R20" s="190" t="str">
        <f>IF(COUNT(F20,K20,P20)=0,"",SUM(F20,K20,P20)/COUNT(F20,K20,P20))</f>
        <v/>
      </c>
      <c r="S20" s="213" t="str">
        <f t="shared" si="3"/>
        <v/>
      </c>
      <c r="T20" s="219"/>
      <c r="U20" s="141"/>
      <c r="V20" s="142"/>
      <c r="W20" s="190" t="str">
        <f>IFERROR((((COUNTIF('Elève (6ème1)'!T20:V20,"A"))*4)+((COUNTIF('Elève (6ème1)'!T20:V20,"B"))*3)+((COUNTIF('Elève (6ème1)'!T20:V20,"C"))*2)+((COUNTIF('Elève (6ème1)'!T20:V20,"D"))*1))/(COUNTA(T20:V20)),"")</f>
        <v/>
      </c>
      <c r="X20" s="191" t="str">
        <f t="shared" si="4"/>
        <v/>
      </c>
      <c r="Y20" s="174"/>
      <c r="Z20" s="141"/>
      <c r="AA20" s="142"/>
      <c r="AB20" s="190" t="str">
        <f>IFERROR((((COUNTIF('Elève (6ème1)'!Y20:AA20,"A"))*4)+((COUNTIF('Elève (6ème1)'!Y20:AA20,"B"))*3)+((COUNTIF('Elève (6ème1)'!Y20:AA20,"C"))*2)+((COUNTIF('Elève (6ème1)'!Y20:AA20,"D"))*1))/(COUNTA(Y20:AA20)),"")</f>
        <v/>
      </c>
      <c r="AC20" s="191" t="str">
        <f t="shared" si="5"/>
        <v/>
      </c>
      <c r="AD20" s="174"/>
      <c r="AE20" s="141"/>
      <c r="AF20" s="142"/>
      <c r="AG20" s="190" t="str">
        <f>IFERROR((((COUNTIF('Elève (6ème1)'!AD20:AF20,"A"))*4)+((COUNTIF('Elève (6ème1)'!AD20:AF20,"B"))*3)+((COUNTIF('Elève (6ème1)'!AD20:AF20,"C"))*2)+((COUNTIF('Elève (6ème1)'!AD20:AF20,"D"))*1))/(COUNTA(AD20:AF20)),"")</f>
        <v/>
      </c>
      <c r="AH20" s="191" t="str">
        <f t="shared" si="6"/>
        <v/>
      </c>
      <c r="AI20" s="190" t="str">
        <f>IF(COUNT(W20,AB20,AG20)=0,"",SUM(W20,AB20,AG20)/COUNT(W20,AB20,AG20))</f>
        <v/>
      </c>
      <c r="AJ20" s="213" t="str">
        <f t="shared" si="7"/>
        <v/>
      </c>
      <c r="AK20" s="219"/>
      <c r="AL20" s="141"/>
      <c r="AM20" s="142"/>
      <c r="AN20" s="190" t="str">
        <f>IFERROR((((COUNTIF('Elève (6ème1)'!AK20:AM20,"A"))*4)+((COUNTIF('Elève (6ème1)'!AK20:AM20,"B"))*3)+((COUNTIF('Elève (6ème1)'!AK20:AM20,"C"))*2)+((COUNTIF('Elève (6ème1)'!AK20:AM20,"D"))*1))/(COUNTA(AK20:AM20)),"")</f>
        <v/>
      </c>
      <c r="AO20" s="191" t="str">
        <f t="shared" si="8"/>
        <v/>
      </c>
      <c r="AP20" s="174"/>
      <c r="AQ20" s="141"/>
      <c r="AR20" s="142"/>
      <c r="AS20" s="190" t="str">
        <f>IFERROR((((COUNTIF('Elève (6ème1)'!AP20:AR20,"A"))*4)+((COUNTIF('Elève (6ème1)'!AP20:AR20,"B"))*3)+((COUNTIF('Elève (6ème1)'!AP20:AR20,"C"))*2)+((COUNTIF('Elève (6ème1)'!AP20:AR20,"D"))*1))/(COUNTA(AP20:AR20)),"")</f>
        <v/>
      </c>
      <c r="AT20" s="191" t="str">
        <f t="shared" si="9"/>
        <v/>
      </c>
      <c r="AU20" s="174"/>
      <c r="AV20" s="141"/>
      <c r="AW20" s="142"/>
      <c r="AX20" s="190" t="str">
        <f>IFERROR((((COUNTIF('Elève (6ème1)'!AU20:AW20,"A"))*4)+((COUNTIF('Elève (6ème1)'!AU20:AW20,"B"))*3)+((COUNTIF('Elève (6ème1)'!AU20:AW20,"C"))*2)+((COUNTIF('Elève (6ème1)'!AU20:AW20,"D"))*1))/(COUNTA(AU20:AW20)),"")</f>
        <v/>
      </c>
      <c r="AY20" s="191" t="str">
        <f t="shared" si="10"/>
        <v/>
      </c>
      <c r="AZ20" s="190" t="str">
        <f>IF(COUNT(AN20,AS20,AX20)=0,"",SUM(AN20,AS20,AX20)/COUNT(AN20,AS20,AX20))</f>
        <v/>
      </c>
      <c r="BA20" s="213" t="str">
        <f t="shared" si="11"/>
        <v/>
      </c>
      <c r="BB20" s="219"/>
      <c r="BC20" s="141"/>
      <c r="BD20" s="142"/>
      <c r="BE20" s="190" t="str">
        <f>IFERROR((((COUNTIF('Elève (6ème1)'!BB20:BD20,"A"))*4)+((COUNTIF('Elève (6ème1)'!BB20:BD20,"B"))*3)+((COUNTIF('Elève (6ème1)'!BB20:BD20,"C"))*2)+((COUNTIF('Elève (6ème1)'!BB20:BD20,"D"))*1))/(COUNTA(BB20:BD20)),"")</f>
        <v/>
      </c>
      <c r="BF20" s="191" t="str">
        <f t="shared" si="12"/>
        <v/>
      </c>
      <c r="BG20" s="174"/>
      <c r="BH20" s="141"/>
      <c r="BI20" s="142"/>
      <c r="BJ20" s="190" t="str">
        <f>IFERROR((((COUNTIF('Elève (6ème1)'!BG20:BI20,"A"))*4)+((COUNTIF('Elève (6ème1)'!BG20:BI20,"B"))*3)+((COUNTIF('Elève (6ème1)'!BG20:BI20,"C"))*2)+((COUNTIF('Elève (6ème1)'!BG20:BI20,"D"))*1))/(COUNTA(BG20:BI20)),"")</f>
        <v/>
      </c>
      <c r="BK20" s="191" t="str">
        <f t="shared" si="13"/>
        <v/>
      </c>
      <c r="BL20" s="174"/>
      <c r="BM20" s="141"/>
      <c r="BN20" s="142"/>
      <c r="BO20" s="190" t="str">
        <f>IFERROR((((COUNTIF('Elève (6ème1)'!BL20:BN20,"A"))*4)+((COUNTIF('Elève (6ème1)'!BL20:BN20,"B"))*3)+((COUNTIF('Elève (6ème1)'!BL20:BN20,"C"))*2)+((COUNTIF('Elève (6ème1)'!BL20:BN20,"D"))*1))/(COUNTA(BL20:BN20)),"")</f>
        <v/>
      </c>
      <c r="BP20" s="191" t="str">
        <f t="shared" si="14"/>
        <v/>
      </c>
      <c r="BQ20" s="190" t="str">
        <f>IF(COUNT(BE20,BJ20,BO20)=0,"",SUM(BE20,BJ20,BO20)/COUNT(BE20,BJ20,BO20))</f>
        <v/>
      </c>
      <c r="BR20" s="213" t="str">
        <f t="shared" si="15"/>
        <v/>
      </c>
      <c r="BS20" s="219"/>
      <c r="BT20" s="141"/>
      <c r="BU20" s="142"/>
      <c r="BV20" s="190" t="str">
        <f>IFERROR((((COUNTIF('Elève (6ème1)'!BS20:BU20,"A"))*4)+((COUNTIF('Elève (6ème1)'!BS20:BU20,"B"))*3)+((COUNTIF('Elève (6ème1)'!BS20:BU20,"C"))*2)+((COUNTIF('Elève (6ème1)'!BS20:BU20,"D"))*1))/(COUNTA(BS20:BU20)),"")</f>
        <v/>
      </c>
      <c r="BW20" s="191" t="str">
        <f t="shared" si="16"/>
        <v/>
      </c>
      <c r="BX20" s="174"/>
      <c r="BY20" s="141"/>
      <c r="BZ20" s="142"/>
      <c r="CA20" s="190" t="str">
        <f>IFERROR((((COUNTIF('Elève (6ème1)'!BX20:BZ20,"A"))*4)+((COUNTIF('Elève (6ème1)'!BX20:BZ20,"B"))*3)+((COUNTIF('Elève (6ème1)'!BX20:BZ20,"C"))*2)+((COUNTIF('Elève (6ème1)'!BX20:BZ20,"D"))*1))/(COUNTA(BX20:BZ20)),"")</f>
        <v/>
      </c>
      <c r="CB20" s="191" t="str">
        <f t="shared" si="17"/>
        <v/>
      </c>
      <c r="CC20" s="174"/>
      <c r="CD20" s="141"/>
      <c r="CE20" s="142"/>
      <c r="CF20" s="190" t="str">
        <f>IFERROR((((COUNTIF('Elève (6ème1)'!CC20:CE20,"A"))*4)+((COUNTIF('Elève (6ème1)'!CC20:CE20,"B"))*3)+((COUNTIF('Elève (6ème1)'!CC20:CE20,"C"))*2)+((COUNTIF('Elève (6ème1)'!CC20:CE20,"D"))*1))/(COUNTA(CC20:CE20)),"")</f>
        <v/>
      </c>
      <c r="CG20" s="191" t="str">
        <f t="shared" si="18"/>
        <v/>
      </c>
      <c r="CH20" s="190" t="str">
        <f>IF(COUNT(BV20,CA20,CF20)=0,"",SUM(BV20,CA20,CF20)/COUNT(BV20,CA20,CF20))</f>
        <v/>
      </c>
      <c r="CI20" s="213" t="str">
        <f t="shared" si="19"/>
        <v/>
      </c>
      <c r="CJ20" s="219"/>
      <c r="CK20" s="141"/>
      <c r="CL20" s="142"/>
      <c r="CM20" s="190" t="str">
        <f>IFERROR((((COUNTIF('Elève (6ème1)'!CJ20:CL20,"A"))*4)+((COUNTIF('Elève (6ème1)'!CJ20:CL20,"B"))*3)+((COUNTIF('Elève (6ème1)'!CJ20:CL20,"C"))*2)+((COUNTIF('Elève (6ème1)'!CJ20:CL20,"D"))*1))/(COUNTA(CJ20:CL20)),"")</f>
        <v/>
      </c>
      <c r="CN20" s="191" t="str">
        <f t="shared" si="20"/>
        <v/>
      </c>
      <c r="CO20" s="174"/>
      <c r="CP20" s="141"/>
      <c r="CQ20" s="142"/>
      <c r="CR20" s="190" t="str">
        <f>IFERROR((((COUNTIF('Elève (6ème1)'!CO20:CQ20,"A"))*4)+((COUNTIF('Elève (6ème1)'!CO20:CQ20,"B"))*3)+((COUNTIF('Elève (6ème1)'!CO20:CQ20,"C"))*2)+((COUNTIF('Elève (6ème1)'!CO20:CQ20,"D"))*1))/(COUNTA(CO20:CQ20)),"")</f>
        <v/>
      </c>
      <c r="CS20" s="191" t="str">
        <f t="shared" si="21"/>
        <v/>
      </c>
      <c r="CT20" s="174"/>
      <c r="CU20" s="141"/>
      <c r="CV20" s="142"/>
      <c r="CW20" s="190" t="str">
        <f>IFERROR((((COUNTIF('Elève (6ème1)'!CT20:CV20,"A"))*4)+((COUNTIF('Elève (6ème1)'!CT20:CV20,"B"))*3)+((COUNTIF('Elève (6ème1)'!CT20:CV20,"C"))*2)+((COUNTIF('Elève (6ème1)'!CT20:CV20,"D"))*1))/(COUNTA(CT20:CV20)),"")</f>
        <v/>
      </c>
      <c r="CX20" s="191" t="str">
        <f t="shared" si="22"/>
        <v/>
      </c>
      <c r="CY20" s="190" t="str">
        <f>IF(COUNT(CM20,CR20,CW20)=0,"",SUM(CM20,CR20,CW20)/COUNT(CM20,CR20,CW20))</f>
        <v/>
      </c>
      <c r="CZ20" s="213" t="str">
        <f t="shared" si="23"/>
        <v/>
      </c>
      <c r="DA20" s="219"/>
      <c r="DB20" s="141"/>
      <c r="DC20" s="142"/>
      <c r="DD20" s="190" t="str">
        <f>IFERROR((((COUNTIF('Elève (6ème1)'!DA20:DC20,"A"))*4)+((COUNTIF('Elève (6ème1)'!DA20:DC20,"B"))*3)+((COUNTIF('Elève (6ème1)'!DA20:DC20,"C"))*2)+((COUNTIF('Elève (6ème1)'!DA20:DC20,"D"))*1))/(COUNTA(DA20:DC20)),"")</f>
        <v/>
      </c>
      <c r="DE20" s="191" t="str">
        <f t="shared" si="24"/>
        <v/>
      </c>
      <c r="DF20" s="174"/>
      <c r="DG20" s="141"/>
      <c r="DH20" s="142"/>
      <c r="DI20" s="190" t="str">
        <f>IFERROR((((COUNTIF('Elève (6ème1)'!DF20:DH20,"A"))*4)+((COUNTIF('Elève (6ème1)'!DF20:DH20,"B"))*3)+((COUNTIF('Elève (6ème1)'!DF20:DH20,"C"))*2)+((COUNTIF('Elève (6ème1)'!DF20:DH20,"D"))*1))/(COUNTA(DF20:DH20)),"")</f>
        <v/>
      </c>
      <c r="DJ20" s="191" t="str">
        <f t="shared" si="25"/>
        <v/>
      </c>
      <c r="DK20" s="174"/>
      <c r="DL20" s="141"/>
      <c r="DM20" s="142"/>
      <c r="DN20" s="190" t="str">
        <f>IFERROR((((COUNTIF('Elève (6ème1)'!DK20:DM20,"A"))*4)+((COUNTIF('Elève (6ème1)'!DK20:DM20,"B"))*3)+((COUNTIF('Elève (6ème1)'!DK20:DM20,"C"))*2)+((COUNTIF('Elève (6ème1)'!DK20:DM20,"D"))*1))/(COUNTA(DK20:DM20)),"")</f>
        <v/>
      </c>
      <c r="DO20" s="191" t="str">
        <f t="shared" si="26"/>
        <v/>
      </c>
      <c r="DP20" s="190" t="str">
        <f>IF(COUNT(DD20,DI20,DN20)=0,"",SUM(DD20,DI20,DN20)/COUNT(DD20,DI20,DN20))</f>
        <v/>
      </c>
      <c r="DQ20" s="213" t="str">
        <f t="shared" si="27"/>
        <v/>
      </c>
      <c r="DR20" s="219"/>
      <c r="DS20" s="141"/>
      <c r="DT20" s="142"/>
      <c r="DU20" s="190" t="str">
        <f>IFERROR((((COUNTIF('Elève (6ème1)'!DR20:DT20,"A"))*4)+((COUNTIF('Elève (6ème1)'!DR20:DT20,"B"))*3)+((COUNTIF('Elève (6ème1)'!DR20:DT20,"C"))*2)+((COUNTIF('Elève (6ème1)'!DR20:DT20,"D"))*1))/(COUNTA(DR20:DT20)),"")</f>
        <v/>
      </c>
      <c r="DV20" s="191" t="str">
        <f t="shared" si="28"/>
        <v/>
      </c>
      <c r="DW20" s="174"/>
      <c r="DX20" s="141"/>
      <c r="DY20" s="142"/>
      <c r="DZ20" s="190" t="str">
        <f>IFERROR((((COUNTIF('Elève (6ème1)'!DW20:DY20,"A"))*4)+((COUNTIF('Elève (6ème1)'!DW20:DY20,"B"))*3)+((COUNTIF('Elève (6ème1)'!DW20:DY20,"C"))*2)+((COUNTIF('Elève (6ème1)'!DW20:DY20,"D"))*1))/(COUNTA(DW20:DY20)),"")</f>
        <v/>
      </c>
      <c r="EA20" s="191" t="str">
        <f t="shared" si="29"/>
        <v/>
      </c>
      <c r="EB20" s="174"/>
      <c r="EC20" s="141"/>
      <c r="ED20" s="142"/>
      <c r="EE20" s="190" t="str">
        <f>IFERROR((((COUNTIF('Elève (6ème1)'!EB20:ED20,"A"))*4)+((COUNTIF('Elève (6ème1)'!EB20:ED20,"B"))*3)+((COUNTIF('Elève (6ème1)'!EB20:ED20,"C"))*2)+((COUNTIF('Elève (6ème1)'!EB20:ED20,"D"))*1))/(COUNTA(EB20:ED20)),"")</f>
        <v/>
      </c>
      <c r="EF20" s="191" t="str">
        <f t="shared" si="30"/>
        <v/>
      </c>
      <c r="EG20" s="190" t="str">
        <f>IF(COUNT(DU20,DZ20,EE20)=0,"",SUM(DU20,DZ20,EE20)/COUNT(DU20,DZ20,EE20))</f>
        <v/>
      </c>
      <c r="EH20" s="213" t="str">
        <f t="shared" si="31"/>
        <v/>
      </c>
      <c r="EI20" s="219"/>
      <c r="EJ20" s="141"/>
      <c r="EK20" s="142"/>
      <c r="EL20" s="190" t="str">
        <f>IFERROR((((COUNTIF('Elève (6ème1)'!EI20:EK20,"A"))*4)+((COUNTIF('Elève (6ème1)'!EI20:EK20,"B"))*3)+((COUNTIF('Elève (6ème1)'!EI20:EK20,"C"))*2)+((COUNTIF('Elève (6ème1)'!EI20:EK20,"D"))*1))/(COUNTA(EI20:EK20)),"")</f>
        <v/>
      </c>
      <c r="EM20" s="191" t="str">
        <f t="shared" si="32"/>
        <v/>
      </c>
      <c r="EN20" s="174"/>
      <c r="EO20" s="141"/>
      <c r="EP20" s="142"/>
      <c r="EQ20" s="190" t="str">
        <f>IFERROR((((COUNTIF('Elève (6ème1)'!EN20:EP20,"A"))*4)+((COUNTIF('Elève (6ème1)'!EN20:EP20,"B"))*3)+((COUNTIF('Elève (6ème1)'!EN20:EP20,"C"))*2)+((COUNTIF('Elève (6ème1)'!EN20:EP20,"D"))*1))/(COUNTA(EN20:EP20)),"")</f>
        <v/>
      </c>
      <c r="ER20" s="191" t="str">
        <f t="shared" si="33"/>
        <v/>
      </c>
      <c r="ES20" s="174"/>
      <c r="ET20" s="141"/>
      <c r="EU20" s="142"/>
      <c r="EV20" s="190" t="str">
        <f>IFERROR((((COUNTIF('Elève (6ème1)'!ES20:EU20,"A"))*4)+((COUNTIF('Elève (6ème1)'!ES20:EU20,"B"))*3)+((COUNTIF('Elève (6ème1)'!ES20:EU20,"C"))*2)+((COUNTIF('Elève (6ème1)'!ES20:EU20,"D"))*1))/(COUNTA(ES20:EU20)),"")</f>
        <v/>
      </c>
      <c r="EW20" s="191" t="str">
        <f t="shared" si="34"/>
        <v/>
      </c>
      <c r="EX20" s="190" t="str">
        <f>IF(COUNT(EL20,EQ20,EV20)=0,"",SUM(EL20,EQ20,EV20)/COUNT(EL20,EQ20,EV20))</f>
        <v/>
      </c>
      <c r="EY20" s="213" t="str">
        <f t="shared" si="35"/>
        <v/>
      </c>
      <c r="EZ20" s="219"/>
      <c r="FA20" s="141"/>
      <c r="FB20" s="142"/>
      <c r="FC20" s="190" t="str">
        <f>IFERROR((((COUNTIF('Elève (6ème1)'!EZ20:FB20,"A"))*4)+((COUNTIF('Elève (6ème1)'!EZ20:FB20,"B"))*3)+((COUNTIF('Elève (6ème1)'!EZ20:FB20,"C"))*2)+((COUNTIF('Elève (6ème1)'!EZ20:FB20,"D"))*1))/(COUNTA(EZ20:FB20)),"")</f>
        <v/>
      </c>
      <c r="FD20" s="191" t="str">
        <f t="shared" si="36"/>
        <v/>
      </c>
      <c r="FE20" s="174"/>
      <c r="FF20" s="141"/>
      <c r="FG20" s="142"/>
      <c r="FH20" s="190" t="str">
        <f>IFERROR((((COUNTIF('Elève (6ème1)'!FE20:FG20,"A"))*4)+((COUNTIF('Elève (6ème1)'!FE20:FG20,"B"))*3)+((COUNTIF('Elève (6ème1)'!FE20:FG20,"C"))*2)+((COUNTIF('Elève (6ème1)'!FE20:FG20,"D"))*1))/(COUNTA(FE20:FG20)),"")</f>
        <v/>
      </c>
      <c r="FI20" s="191" t="str">
        <f t="shared" si="37"/>
        <v/>
      </c>
      <c r="FJ20" s="174"/>
      <c r="FK20" s="141"/>
      <c r="FL20" s="142"/>
      <c r="FM20" s="190" t="str">
        <f>IFERROR((((COUNTIF('Elève (6ème1)'!FJ20:FL20,"A"))*4)+((COUNTIF('Elève (6ème1)'!FJ20:FL20,"B"))*3)+((COUNTIF('Elève (6ème1)'!FJ20:FL20,"C"))*2)+((COUNTIF('Elève (6ème1)'!FJ20:FL20,"D"))*1))/(COUNTA(FJ20:FL20)),"")</f>
        <v/>
      </c>
      <c r="FN20" s="191" t="str">
        <f t="shared" si="38"/>
        <v/>
      </c>
      <c r="FO20" s="190" t="str">
        <f>IF(COUNT(FC20,FH20,FM20)=0,"",SUM(FC20,FH20,FM20)/COUNT(FC20,FH20,FM20))</f>
        <v/>
      </c>
      <c r="FP20" s="213" t="str">
        <f t="shared" si="39"/>
        <v/>
      </c>
      <c r="FQ20" s="219"/>
      <c r="FR20" s="141"/>
      <c r="FS20" s="142"/>
      <c r="FT20" s="190" t="str">
        <f>IFERROR((((COUNTIF('Elève (6ème1)'!FQ20:FS20,"A"))*4)+((COUNTIF('Elève (6ème1)'!FQ20:FS20,"B"))*3)+((COUNTIF('Elève (6ème1)'!FQ20:FS20,"C"))*2)+((COUNTIF('Elève (6ème1)'!FQ20:FS20,"D"))*1))/(COUNTA(FQ20:FS20)),"")</f>
        <v/>
      </c>
      <c r="FU20" s="191" t="str">
        <f t="shared" si="40"/>
        <v/>
      </c>
      <c r="FV20" s="174"/>
      <c r="FW20" s="141"/>
      <c r="FX20" s="142"/>
      <c r="FY20" s="190" t="str">
        <f>IFERROR((((COUNTIF('Elève (6ème1)'!FV20:FX20,"A"))*4)+((COUNTIF('Elève (6ème1)'!FV20:FX20,"B"))*3)+((COUNTIF('Elève (6ème1)'!FV20:FX20,"C"))*2)+((COUNTIF('Elève (6ème1)'!FV20:FX20,"D"))*1))/(COUNTA(FV20:FX20)),"")</f>
        <v/>
      </c>
      <c r="FZ20" s="191" t="str">
        <f t="shared" si="41"/>
        <v/>
      </c>
      <c r="GA20" s="174"/>
      <c r="GB20" s="141"/>
      <c r="GC20" s="142"/>
      <c r="GD20" s="190" t="str">
        <f>IFERROR((((COUNTIF('Elève (6ème1)'!GA20:GC20,"A"))*4)+((COUNTIF('Elève (6ème1)'!GA20:GC20,"B"))*3)+((COUNTIF('Elève (6ème1)'!GA20:GC20,"C"))*2)+((COUNTIF('Elève (6ème1)'!GA20:GC20,"D"))*1))/(COUNTA(GA20:GC20)),"")</f>
        <v/>
      </c>
      <c r="GE20" s="191" t="str">
        <f t="shared" si="42"/>
        <v/>
      </c>
      <c r="GF20" s="190" t="str">
        <f>IF(COUNT(FT20,FY20,GD20)=0,"",SUM(FT20,FY20,GD20)/COUNT(FT20,FY20,GD20))</f>
        <v/>
      </c>
      <c r="GG20" s="213" t="str">
        <f t="shared" si="43"/>
        <v/>
      </c>
      <c r="GH20" s="219"/>
      <c r="GI20" s="141"/>
      <c r="GJ20" s="142"/>
      <c r="GK20" s="190" t="str">
        <f>IFERROR((((COUNTIF('Elève (6ème1)'!GH20:GJ20,"A"))*4)+((COUNTIF('Elève (6ème1)'!GH20:GJ20,"B"))*3)+((COUNTIF('Elève (6ème1)'!GH20:GJ20,"C"))*2)+((COUNTIF('Elève (6ème1)'!GH20:GJ20,"D"))*1))/(COUNTA(GH20:GJ20)),"")</f>
        <v/>
      </c>
      <c r="GL20" s="191" t="str">
        <f t="shared" si="44"/>
        <v/>
      </c>
      <c r="GM20" s="174"/>
      <c r="GN20" s="141"/>
      <c r="GO20" s="142"/>
      <c r="GP20" s="190" t="str">
        <f>IFERROR((((COUNTIF('Elève (6ème1)'!GM20:GO20,"A"))*4)+((COUNTIF('Elève (6ème1)'!GM20:GO20,"B"))*3)+((COUNTIF('Elève (6ème1)'!GM20:GO20,"C"))*2)+((COUNTIF('Elève (6ème1)'!GM20:GO20,"D"))*1))/(COUNTA(GM20:GO20)),"")</f>
        <v/>
      </c>
      <c r="GQ20" s="191" t="str">
        <f t="shared" si="45"/>
        <v/>
      </c>
      <c r="GR20" s="174"/>
      <c r="GS20" s="141"/>
      <c r="GT20" s="142"/>
      <c r="GU20" s="190" t="str">
        <f>IFERROR((((COUNTIF('Elève (6ème1)'!GR20:GT20,"A"))*4)+((COUNTIF('Elève (6ème1)'!GR20:GT20,"B"))*3)+((COUNTIF('Elève (6ème1)'!GR20:GT20,"C"))*2)+((COUNTIF('Elève (6ème1)'!GR20:GT20,"D"))*1))/(COUNTA(GR20:GT20)),"")</f>
        <v/>
      </c>
      <c r="GV20" s="191" t="str">
        <f t="shared" si="46"/>
        <v/>
      </c>
      <c r="GW20" s="190" t="str">
        <f>IF(COUNT(GK20,GP20,GU20)=0,"",SUM(GK20,GP20,GU20)/COUNT(GK20,GP20,GU20))</f>
        <v/>
      </c>
      <c r="GX20" s="213" t="str">
        <f t="shared" si="47"/>
        <v/>
      </c>
      <c r="GY20" s="219"/>
      <c r="GZ20" s="141"/>
      <c r="HA20" s="142"/>
      <c r="HB20" s="190" t="str">
        <f>IFERROR((((COUNTIF('Elève (6ème1)'!GY20:HA20,"A"))*4)+((COUNTIF('Elève (6ème1)'!GY20:HA20,"B"))*3)+((COUNTIF('Elève (6ème1)'!GY20:HA20,"C"))*2)+((COUNTIF('Elève (6ème1)'!GY20:HA20,"D"))*1))/(COUNTA(GY20:HA20)),"")</f>
        <v/>
      </c>
      <c r="HC20" s="191" t="str">
        <f t="shared" si="48"/>
        <v/>
      </c>
      <c r="HD20" s="174"/>
      <c r="HE20" s="141"/>
      <c r="HF20" s="142"/>
      <c r="HG20" s="190" t="str">
        <f>IFERROR((((COUNTIF('Elève (6ème1)'!HD20:HF20,"A"))*4)+((COUNTIF('Elève (6ème1)'!HD20:HF20,"B"))*3)+((COUNTIF('Elève (6ème1)'!HD20:HF20,"C"))*2)+((COUNTIF('Elève (6ème1)'!HD20:HF20,"D"))*1))/(COUNTA(HD20:HF20)),"")</f>
        <v/>
      </c>
      <c r="HH20" s="191" t="str">
        <f t="shared" si="49"/>
        <v/>
      </c>
      <c r="HI20" s="174"/>
      <c r="HJ20" s="141"/>
      <c r="HK20" s="142"/>
      <c r="HL20" s="190" t="str">
        <f>IFERROR((((COUNTIF('Elève (6ème1)'!HI20:HK20,"A"))*4)+((COUNTIF('Elève (6ème1)'!HI20:HK20,"B"))*3)+((COUNTIF('Elève (6ème1)'!HI20:HK20,"C"))*2)+((COUNTIF('Elève (6ème1)'!HI20:HK20,"D"))*1))/(COUNTA(HI20:HK20)),"")</f>
        <v/>
      </c>
      <c r="HM20" s="191" t="str">
        <f t="shared" si="50"/>
        <v/>
      </c>
      <c r="HN20" s="190" t="str">
        <f>IF(COUNT(HB20,HG20,HL20)=0,"",SUM(HB20,HG20,HL20)/COUNT(HB20,HG20,HL20))</f>
        <v/>
      </c>
      <c r="HO20" s="213" t="str">
        <f t="shared" si="51"/>
        <v/>
      </c>
      <c r="HP20" s="219"/>
      <c r="HQ20" s="141"/>
      <c r="HR20" s="142"/>
      <c r="HS20" s="190" t="str">
        <f>IFERROR((((COUNTIF('Elève (6ème1)'!HP20:HR20,"A"))*4)+((COUNTIF('Elève (6ème1)'!HP20:HR20,"B"))*3)+((COUNTIF('Elève (6ème1)'!HP20:HR20,"C"))*2)+((COUNTIF('Elève (6ème1)'!HP20:HR20,"D"))*1))/(COUNTA(HP20:HR20)),"")</f>
        <v/>
      </c>
      <c r="HT20" s="191" t="str">
        <f t="shared" si="52"/>
        <v/>
      </c>
      <c r="HU20" s="174"/>
      <c r="HV20" s="141"/>
      <c r="HW20" s="142"/>
      <c r="HX20" s="190" t="str">
        <f>IFERROR((((COUNTIF('Elève (6ème1)'!HU20:HW20,"A"))*4)+((COUNTIF('Elève (6ème1)'!HU20:HW20,"B"))*3)+((COUNTIF('Elève (6ème1)'!HU20:HW20,"C"))*2)+((COUNTIF('Elève (6ème1)'!HU20:HW20,"D"))*1))/(COUNTA(HU20:HW20)),"")</f>
        <v/>
      </c>
      <c r="HY20" s="191" t="str">
        <f t="shared" si="53"/>
        <v/>
      </c>
      <c r="HZ20" s="174"/>
      <c r="IA20" s="141"/>
      <c r="IB20" s="142"/>
      <c r="IC20" s="190" t="str">
        <f>IFERROR((((COUNTIF('Elève (6ème1)'!HZ20:IB20,"A"))*4)+((COUNTIF('Elève (6ème1)'!HZ20:IB20,"B"))*3)+((COUNTIF('Elève (6ème1)'!HZ20:IB20,"C"))*2)+((COUNTIF('Elève (6ème1)'!HZ20:IB20,"D"))*1))/(COUNTA(HZ20:IB20)),"")</f>
        <v/>
      </c>
      <c r="ID20" s="191" t="str">
        <f t="shared" si="54"/>
        <v/>
      </c>
      <c r="IE20" s="190" t="str">
        <f>IF(COUNT(HS20,HX20,IC20)=0,"",SUM(HS20,HX20,IC20)/COUNT(HS20,HX20,IC20))</f>
        <v/>
      </c>
      <c r="IF20" s="213" t="str">
        <f t="shared" si="55"/>
        <v/>
      </c>
      <c r="IG20" s="219"/>
      <c r="IH20" s="141"/>
      <c r="II20" s="142"/>
      <c r="IJ20" s="190" t="str">
        <f>IFERROR((((COUNTIF('Elève (6ème1)'!IG20:II20,"A"))*4)+((COUNTIF('Elève (6ème1)'!IG20:II20,"B"))*3)+((COUNTIF('Elève (6ème1)'!IG20:II20,"C"))*2)+((COUNTIF('Elève (6ème1)'!IG20:II20,"D"))*1))/(COUNTA(IG20:II20)),"")</f>
        <v/>
      </c>
      <c r="IK20" s="191" t="str">
        <f t="shared" si="56"/>
        <v/>
      </c>
      <c r="IL20" s="174"/>
      <c r="IM20" s="141"/>
      <c r="IN20" s="142"/>
      <c r="IO20" s="190" t="str">
        <f>IFERROR((((COUNTIF('Elève (6ème1)'!IL20:IN20,"A"))*4)+((COUNTIF('Elève (6ème1)'!IL20:IN20,"B"))*3)+((COUNTIF('Elève (6ème1)'!IL20:IN20,"C"))*2)+((COUNTIF('Elève (6ème1)'!IL20:IN20,"D"))*1))/(COUNTA(IL20:IN20)),"")</f>
        <v/>
      </c>
      <c r="IP20" s="191" t="str">
        <f t="shared" si="57"/>
        <v/>
      </c>
      <c r="IQ20" s="174"/>
      <c r="IR20" s="141"/>
      <c r="IS20" s="142"/>
      <c r="IT20" s="190" t="str">
        <f>IFERROR((((COUNTIF('Elève (6ème1)'!IQ20:IS20,"A"))*4)+((COUNTIF('Elève (6ème1)'!IQ20:IS20,"B"))*3)+((COUNTIF('Elève (6ème1)'!IQ20:IS20,"C"))*2)+((COUNTIF('Elève (6ème1)'!IQ20:IS20,"D"))*1))/(COUNTA(IQ20:IS20)),"")</f>
        <v/>
      </c>
      <c r="IU20" s="191" t="str">
        <f t="shared" si="58"/>
        <v/>
      </c>
      <c r="IV20" s="190" t="str">
        <f>IF(COUNT(IJ20,IO20,IT20)=0,"",SUM(IJ20,IO20,IT20)/COUNT(IJ20,IO20,IT20))</f>
        <v/>
      </c>
      <c r="IW20" s="213" t="str">
        <f t="shared" si="59"/>
        <v/>
      </c>
      <c r="IX20" s="219"/>
      <c r="IY20" s="141"/>
      <c r="IZ20" s="142"/>
      <c r="JA20" s="190" t="str">
        <f>IFERROR((((COUNTIF('Elève (6ème1)'!IX20:IZ20,"A"))*4)+((COUNTIF('Elève (6ème1)'!IX20:IZ20,"B"))*3)+((COUNTIF('Elève (6ème1)'!IX20:IZ20,"C"))*2)+((COUNTIF('Elève (6ème1)'!IX20:IZ20,"D"))*1))/(COUNTA(IX20:IZ20)),"")</f>
        <v/>
      </c>
      <c r="JB20" s="191" t="str">
        <f t="shared" si="60"/>
        <v/>
      </c>
      <c r="JC20" s="174"/>
      <c r="JD20" s="141"/>
      <c r="JE20" s="142"/>
      <c r="JF20" s="190" t="str">
        <f>IFERROR((((COUNTIF('Elève (6ème1)'!JC20:JE20,"A"))*4)+((COUNTIF('Elève (6ème1)'!JC20:JE20,"B"))*3)+((COUNTIF('Elève (6ème1)'!JC20:JE20,"C"))*2)+((COUNTIF('Elève (6ème1)'!JC20:JE20,"D"))*1))/(COUNTA(JC20:JE20)),"")</f>
        <v/>
      </c>
      <c r="JG20" s="191" t="str">
        <f t="shared" si="61"/>
        <v/>
      </c>
      <c r="JH20" s="174"/>
      <c r="JI20" s="141"/>
      <c r="JJ20" s="142"/>
      <c r="JK20" s="190" t="str">
        <f>IFERROR((((COUNTIF('Elève (6ème1)'!JH20:JJ20,"A"))*4)+((COUNTIF('Elève (6ème1)'!JH20:JJ20,"B"))*3)+((COUNTIF('Elève (6ème1)'!JH20:JJ20,"C"))*2)+((COUNTIF('Elève (6ème1)'!JH20:JJ20,"D"))*1))/(COUNTA(JH20:JJ20)),"")</f>
        <v/>
      </c>
      <c r="JL20" s="191" t="str">
        <f t="shared" si="62"/>
        <v/>
      </c>
      <c r="JM20" s="190" t="str">
        <f>IF(COUNT(JA20,JF20,JK20)=0,"",SUM(JA20,JF20,JK20)/COUNT(JA20,JF20,JK20))</f>
        <v/>
      </c>
      <c r="JN20" s="213" t="str">
        <f t="shared" si="63"/>
        <v/>
      </c>
      <c r="JO20" s="219"/>
      <c r="JP20" s="141"/>
      <c r="JQ20" s="142"/>
      <c r="JR20" s="190" t="str">
        <f>IFERROR((((COUNTIF('Elève (6ème1)'!JO20:JQ20,"A"))*4)+((COUNTIF('Elève (6ème1)'!JO20:JQ20,"B"))*3)+((COUNTIF('Elève (6ème1)'!JO20:JQ20,"C"))*2)+((COUNTIF('Elève (6ème1)'!JO20:JQ20,"D"))*1))/(COUNTA(JO20:JQ20)),"")</f>
        <v/>
      </c>
      <c r="JS20" s="191" t="str">
        <f t="shared" si="64"/>
        <v/>
      </c>
      <c r="JT20" s="174"/>
      <c r="JU20" s="141"/>
      <c r="JV20" s="142"/>
      <c r="JW20" s="190" t="str">
        <f>IFERROR((((COUNTIF('Elève (6ème1)'!JT20:JV20,"A"))*4)+((COUNTIF('Elève (6ème1)'!JT20:JV20,"B"))*3)+((COUNTIF('Elève (6ème1)'!JT20:JV20,"C"))*2)+((COUNTIF('Elève (6ème1)'!JT20:JV20,"D"))*1))/(COUNTA(JT20:JV20)),"")</f>
        <v/>
      </c>
      <c r="JX20" s="191" t="str">
        <f t="shared" si="65"/>
        <v/>
      </c>
      <c r="JY20" s="174"/>
      <c r="JZ20" s="141"/>
      <c r="KA20" s="142"/>
      <c r="KB20" s="190" t="str">
        <f>IFERROR((((COUNTIF('Elève (6ème1)'!JY20:KA20,"A"))*4)+((COUNTIF('Elève (6ème1)'!JY20:KA20,"B"))*3)+((COUNTIF('Elève (6ème1)'!JY20:KA20,"C"))*2)+((COUNTIF('Elève (6ème1)'!JY20:KA20,"D"))*1))/(COUNTA(JY20:KA20)),"")</f>
        <v/>
      </c>
      <c r="KC20" s="191" t="str">
        <f t="shared" si="66"/>
        <v/>
      </c>
      <c r="KD20" s="190" t="str">
        <f>IF(COUNT(JR20,JW20,KB20)=0,"",SUM(JR20,JW20,KB20)/COUNT(JR20,JW20,KB20))</f>
        <v/>
      </c>
      <c r="KE20" s="213" t="str">
        <f t="shared" si="67"/>
        <v/>
      </c>
      <c r="KF20" s="219"/>
      <c r="KG20" s="141"/>
      <c r="KH20" s="142"/>
      <c r="KI20" s="190" t="str">
        <f>IFERROR((((COUNTIF('Elève (6ème1)'!KF20:KH20,"A"))*4)+((COUNTIF('Elève (6ème1)'!KF20:KH20,"B"))*3)+((COUNTIF('Elève (6ème1)'!KF20:KH20,"C"))*2)+((COUNTIF('Elève (6ème1)'!KF20:KH20,"D"))*1))/(COUNTA(KF20:KH20)),"")</f>
        <v/>
      </c>
      <c r="KJ20" s="191" t="str">
        <f t="shared" si="68"/>
        <v/>
      </c>
      <c r="KK20" s="174"/>
      <c r="KL20" s="141"/>
      <c r="KM20" s="142"/>
      <c r="KN20" s="190" t="str">
        <f>IFERROR((((COUNTIF('Elève (6ème1)'!KK20:KM20,"A"))*4)+((COUNTIF('Elève (6ème1)'!KK20:KM20,"B"))*3)+((COUNTIF('Elève (6ème1)'!KK20:KM20,"C"))*2)+((COUNTIF('Elève (6ème1)'!KK20:KM20,"D"))*1))/(COUNTA(KK20:KM20)),"")</f>
        <v/>
      </c>
      <c r="KO20" s="191" t="str">
        <f t="shared" si="69"/>
        <v/>
      </c>
      <c r="KP20" s="174"/>
      <c r="KQ20" s="141"/>
      <c r="KR20" s="142"/>
      <c r="KS20" s="190" t="str">
        <f>IFERROR((((COUNTIF('Elève (6ème1)'!KP20:KR20,"A"))*4)+((COUNTIF('Elève (6ème1)'!KP20:KR20,"B"))*3)+((COUNTIF('Elève (6ème1)'!KP20:KR20,"C"))*2)+((COUNTIF('Elève (6ème1)'!KP20:KR20,"D"))*1))/(COUNTA(KP20:KR20)),"")</f>
        <v/>
      </c>
      <c r="KT20" s="191" t="str">
        <f t="shared" si="70"/>
        <v/>
      </c>
      <c r="KU20" s="190" t="str">
        <f>IF(COUNT(KI20,KN20,KS20)=0,"",SUM(KI20,KN20,KS20)/COUNT(KI20,KN20,KS20))</f>
        <v/>
      </c>
      <c r="KV20" s="213" t="str">
        <f t="shared" si="71"/>
        <v/>
      </c>
      <c r="KW20" s="219"/>
      <c r="KX20" s="141"/>
      <c r="KY20" s="142"/>
      <c r="KZ20" s="190" t="str">
        <f>IFERROR((((COUNTIF('Elève (6ème1)'!KW20:KY20,"A"))*4)+((COUNTIF('Elève (6ème1)'!KW20:KY20,"B"))*3)+((COUNTIF('Elève (6ème1)'!KW20:KY20,"C"))*2)+((COUNTIF('Elève (6ème1)'!KW20:KY20,"D"))*1))/(COUNTA(KW20:KY20)),"")</f>
        <v/>
      </c>
      <c r="LA20" s="191" t="str">
        <f t="shared" si="72"/>
        <v/>
      </c>
      <c r="LB20" s="174"/>
      <c r="LC20" s="141"/>
      <c r="LD20" s="142"/>
      <c r="LE20" s="190" t="str">
        <f>IFERROR((((COUNTIF('Elève (6ème1)'!LB20:LD20,"A"))*4)+((COUNTIF('Elève (6ème1)'!LB20:LD20,"B"))*3)+((COUNTIF('Elève (6ème1)'!LB20:LD20,"C"))*2)+((COUNTIF('Elève (6ème1)'!LB20:LD20,"D"))*1))/(COUNTA(LB20:LD20)),"")</f>
        <v/>
      </c>
      <c r="LF20" s="191" t="str">
        <f t="shared" si="73"/>
        <v/>
      </c>
      <c r="LG20" s="174"/>
      <c r="LH20" s="141"/>
      <c r="LI20" s="142"/>
      <c r="LJ20" s="190" t="str">
        <f>IFERROR((((COUNTIF('Elève (6ème1)'!LG20:LI20,"A"))*4)+((COUNTIF('Elève (6ème1)'!LG20:LI20,"B"))*3)+((COUNTIF('Elève (6ème1)'!LG20:LI20,"C"))*2)+((COUNTIF('Elève (6ème1)'!LG20:LI20,"D"))*1))/(COUNTA(LG20:LI20)),"")</f>
        <v/>
      </c>
      <c r="LK20" s="191" t="str">
        <f t="shared" si="74"/>
        <v/>
      </c>
      <c r="LL20" s="190" t="str">
        <f>IF(COUNT(KZ20,LE20,LJ20)=0,"",SUM(KZ20,LE20,LJ20)/COUNT(KZ20,LE20,LJ20))</f>
        <v/>
      </c>
      <c r="LM20" s="213" t="str">
        <f t="shared" si="75"/>
        <v/>
      </c>
      <c r="LN20" s="219"/>
      <c r="LO20" s="141"/>
      <c r="LP20" s="142"/>
      <c r="LQ20" s="190" t="str">
        <f>IFERROR((((COUNTIF('Elève (6ème1)'!LN20:LP20,"A"))*4)+((COUNTIF('Elève (6ème1)'!LN20:LP20,"B"))*3)+((COUNTIF('Elève (6ème1)'!LN20:LP20,"C"))*2)+((COUNTIF('Elève (6ème1)'!LN20:LP20,"D"))*1))/(COUNTA(LN20:LP20)),"")</f>
        <v/>
      </c>
      <c r="LR20" s="191" t="str">
        <f t="shared" si="76"/>
        <v/>
      </c>
      <c r="LS20" s="174"/>
      <c r="LT20" s="141"/>
      <c r="LU20" s="142"/>
      <c r="LV20" s="190" t="str">
        <f>IFERROR((((COUNTIF('Elève (6ème1)'!LS20:LU20,"A"))*4)+((COUNTIF('Elève (6ème1)'!LS20:LU20,"B"))*3)+((COUNTIF('Elève (6ème1)'!LS20:LU20,"C"))*2)+((COUNTIF('Elève (6ème1)'!LS20:LU20,"D"))*1))/(COUNTA(LS20:LU20)),"")</f>
        <v/>
      </c>
      <c r="LW20" s="191" t="str">
        <f t="shared" si="77"/>
        <v/>
      </c>
      <c r="LX20" s="174"/>
      <c r="LY20" s="141"/>
      <c r="LZ20" s="142"/>
      <c r="MA20" s="190" t="str">
        <f>IFERROR((((COUNTIF('Elève (6ème1)'!LX20:LZ20,"A"))*4)+((COUNTIF('Elève (6ème1)'!LX20:LZ20,"B"))*3)+((COUNTIF('Elève (6ème1)'!LX20:LZ20,"C"))*2)+((COUNTIF('Elève (6ème1)'!LX20:LZ20,"D"))*1))/(COUNTA(LX20:LZ20)),"")</f>
        <v/>
      </c>
      <c r="MB20" s="191" t="str">
        <f t="shared" si="78"/>
        <v/>
      </c>
      <c r="MC20" s="190" t="str">
        <f>IF(COUNT(LQ20,LV20,MA20)=0,"",SUM(LQ20,LV20,MA20)/COUNT(LQ20,LV20,MA20))</f>
        <v/>
      </c>
      <c r="MD20" s="213" t="str">
        <f t="shared" si="79"/>
        <v/>
      </c>
      <c r="ME20" s="219"/>
      <c r="MF20" s="141"/>
      <c r="MG20" s="142"/>
      <c r="MH20" s="190" t="str">
        <f>IFERROR((((COUNTIF('Elève (6ème1)'!ME20:MG20,"A"))*4)+((COUNTIF('Elève (6ème1)'!ME20:MG20,"B"))*3)+((COUNTIF('Elève (6ème1)'!ME20:MG20,"C"))*2)+((COUNTIF('Elève (6ème1)'!ME20:MG20,"D"))*1))/(COUNTA(ME20:MG20)),"")</f>
        <v/>
      </c>
      <c r="MI20" s="191" t="str">
        <f t="shared" si="80"/>
        <v/>
      </c>
      <c r="MJ20" s="174"/>
      <c r="MK20" s="141"/>
      <c r="ML20" s="142"/>
      <c r="MM20" s="190" t="str">
        <f>IFERROR((((COUNTIF('Elève (6ème1)'!MJ20:ML20,"A"))*4)+((COUNTIF('Elève (6ème1)'!MJ20:ML20,"B"))*3)+((COUNTIF('Elève (6ème1)'!MJ20:ML20,"C"))*2)+((COUNTIF('Elève (6ème1)'!MJ20:ML20,"D"))*1))/(COUNTA(MJ20:ML20)),"")</f>
        <v/>
      </c>
      <c r="MN20" s="191" t="str">
        <f t="shared" si="81"/>
        <v/>
      </c>
      <c r="MO20" s="174"/>
      <c r="MP20" s="141"/>
      <c r="MQ20" s="142"/>
      <c r="MR20" s="190" t="str">
        <f>IFERROR((((COUNTIF('Elève (6ème1)'!MO20:MQ20,"A"))*4)+((COUNTIF('Elève (6ème1)'!MO20:MQ20,"B"))*3)+((COUNTIF('Elève (6ème1)'!MO20:MQ20,"C"))*2)+((COUNTIF('Elève (6ème1)'!MO20:MQ20,"D"))*1))/(COUNTA(MO20:MQ20)),"")</f>
        <v/>
      </c>
      <c r="MS20" s="191" t="str">
        <f t="shared" si="82"/>
        <v/>
      </c>
      <c r="MT20" s="190" t="str">
        <f>IF(COUNT(MH20,MM20,MR20)=0,"",SUM(MH20,MM20,MR20)/COUNT(MH20,MM20,MR20))</f>
        <v/>
      </c>
      <c r="MU20" s="213" t="str">
        <f t="shared" si="83"/>
        <v/>
      </c>
      <c r="MV20" s="219"/>
      <c r="MW20" s="141"/>
      <c r="MX20" s="142"/>
      <c r="MY20" s="190" t="str">
        <f>IFERROR((((COUNTIF('Elève (6ème1)'!MV20:MX20,"A"))*4)+((COUNTIF('Elève (6ème1)'!MV20:MX20,"B"))*3)+((COUNTIF('Elève (6ème1)'!MV20:MX20,"C"))*2)+((COUNTIF('Elève (6ème1)'!MV20:MX20,"D"))*1))/(COUNTA(MV20:MX20)),"")</f>
        <v/>
      </c>
      <c r="MZ20" s="191" t="str">
        <f t="shared" si="84"/>
        <v/>
      </c>
      <c r="NA20" s="174"/>
      <c r="NB20" s="141"/>
      <c r="NC20" s="142"/>
      <c r="ND20" s="190" t="str">
        <f>IFERROR((((COUNTIF('Elève (6ème1)'!NA20:NC20,"A"))*4)+((COUNTIF('Elève (6ème1)'!NA20:NC20,"B"))*3)+((COUNTIF('Elève (6ème1)'!NA20:NC20,"C"))*2)+((COUNTIF('Elève (6ème1)'!NA20:NC20,"D"))*1))/(COUNTA(NA20:NC20)),"")</f>
        <v/>
      </c>
      <c r="NE20" s="191" t="str">
        <f t="shared" si="85"/>
        <v/>
      </c>
      <c r="NF20" s="174"/>
      <c r="NG20" s="141"/>
      <c r="NH20" s="142"/>
      <c r="NI20" s="190" t="str">
        <f>IFERROR((((COUNTIF('Elève (6ème1)'!NF20:NH20,"A"))*4)+((COUNTIF('Elève (6ème1)'!NF20:NH20,"B"))*3)+((COUNTIF('Elève (6ème1)'!NF20:NH20,"C"))*2)+((COUNTIF('Elève (6ème1)'!NF20:NH20,"D"))*1))/(COUNTA(NF20:NH20)),"")</f>
        <v/>
      </c>
      <c r="NJ20" s="191" t="str">
        <f t="shared" si="86"/>
        <v/>
      </c>
      <c r="NK20" s="190" t="str">
        <f>IF(COUNT(MY20,ND20,NI20)=0,"",SUM(MY20,ND20,NI20)/COUNT(MY20,ND20,NI20))</f>
        <v/>
      </c>
      <c r="NL20" s="213" t="str">
        <f t="shared" si="87"/>
        <v/>
      </c>
      <c r="NM20" s="219"/>
      <c r="NN20" s="141"/>
      <c r="NO20" s="142"/>
      <c r="NP20" s="190" t="str">
        <f>IFERROR((((COUNTIF('Elève (6ème1)'!NM20:NO20,"A"))*4)+((COUNTIF('Elève (6ème1)'!NM20:NO20,"B"))*3)+((COUNTIF('Elève (6ème1)'!NM20:NO20,"C"))*2)+((COUNTIF('Elève (6ème1)'!NM20:NO20,"D"))*1))/(COUNTA(NM20:NO20)),"")</f>
        <v/>
      </c>
      <c r="NQ20" s="191" t="str">
        <f t="shared" si="88"/>
        <v/>
      </c>
      <c r="NR20" s="174"/>
      <c r="NS20" s="141"/>
      <c r="NT20" s="142"/>
      <c r="NU20" s="190" t="str">
        <f>IFERROR((((COUNTIF('Elève (6ème1)'!NR20:NT20,"A"))*4)+((COUNTIF('Elève (6ème1)'!NR20:NT20,"B"))*3)+((COUNTIF('Elève (6ème1)'!NR20:NT20,"C"))*2)+((COUNTIF('Elève (6ème1)'!NR20:NT20,"D"))*1))/(COUNTA(NR20:NT20)),"")</f>
        <v/>
      </c>
      <c r="NV20" s="191" t="str">
        <f t="shared" si="89"/>
        <v/>
      </c>
      <c r="NW20" s="174"/>
      <c r="NX20" s="141"/>
      <c r="NY20" s="142"/>
      <c r="NZ20" s="190" t="str">
        <f>IFERROR((((COUNTIF('Elève (6ème1)'!NW20:NY20,"A"))*4)+((COUNTIF('Elève (6ème1)'!NW20:NY20,"B"))*3)+((COUNTIF('Elève (6ème1)'!NW20:NY20,"C"))*2)+((COUNTIF('Elève (6ème1)'!NW20:NY20,"D"))*1))/(COUNTA(NW20:NY20)),"")</f>
        <v/>
      </c>
      <c r="OA20" s="191" t="str">
        <f t="shared" si="90"/>
        <v/>
      </c>
      <c r="OB20" s="190" t="str">
        <f>IF(COUNT(NP20,NU20,NZ20)=0,"",SUM(NP20,NU20,NZ20)/COUNT(NP20,NU20,NZ20))</f>
        <v/>
      </c>
      <c r="OC20" s="213" t="str">
        <f t="shared" si="91"/>
        <v/>
      </c>
      <c r="OD20" s="219"/>
      <c r="OE20" s="141"/>
      <c r="OF20" s="142"/>
      <c r="OG20" s="190" t="str">
        <f>IFERROR((((COUNTIF('Elève (6ème1)'!OD20:OF20,"A"))*4)+((COUNTIF('Elève (6ème1)'!OD20:OF20,"B"))*3)+((COUNTIF('Elève (6ème1)'!OD20:OF20,"C"))*2)+((COUNTIF('Elève (6ème1)'!OD20:OF20,"D"))*1))/(COUNTA(OD20:OF20)),"")</f>
        <v/>
      </c>
      <c r="OH20" s="191" t="str">
        <f t="shared" si="92"/>
        <v/>
      </c>
      <c r="OI20" s="174"/>
      <c r="OJ20" s="141"/>
      <c r="OK20" s="142"/>
      <c r="OL20" s="190" t="str">
        <f>IFERROR((((COUNTIF('Elève (6ème1)'!OI20:OK20,"A"))*4)+((COUNTIF('Elève (6ème1)'!OI20:OK20,"B"))*3)+((COUNTIF('Elève (6ème1)'!OI20:OK20,"C"))*2)+((COUNTIF('Elève (6ème1)'!OI20:OK20,"D"))*1))/(COUNTA(OI20:OK20)),"")</f>
        <v/>
      </c>
      <c r="OM20" s="191" t="str">
        <f t="shared" si="93"/>
        <v/>
      </c>
      <c r="ON20" s="174"/>
      <c r="OO20" s="141"/>
      <c r="OP20" s="142"/>
      <c r="OQ20" s="190" t="str">
        <f>IFERROR((((COUNTIF('Elève (6ème1)'!ON20:OP20,"A"))*4)+((COUNTIF('Elève (6ème1)'!ON20:OP20,"B"))*3)+((COUNTIF('Elève (6ème1)'!ON20:OP20,"C"))*2)+((COUNTIF('Elève (6ème1)'!ON20:OP20,"D"))*1))/(COUNTA(ON20:OP20)),"")</f>
        <v/>
      </c>
      <c r="OR20" s="191" t="str">
        <f t="shared" si="94"/>
        <v/>
      </c>
      <c r="OS20" s="190" t="str">
        <f>IF(COUNT(OG20,OL20,OQ20)=0,"",SUM(OG20,OL20,OQ20)/COUNT(OG20,OL20,OQ20))</f>
        <v/>
      </c>
      <c r="OT20" s="213" t="str">
        <f t="shared" si="95"/>
        <v/>
      </c>
      <c r="OU20" s="219"/>
      <c r="OV20" s="141"/>
      <c r="OW20" s="142"/>
      <c r="OX20" s="190" t="str">
        <f>IFERROR((((COUNTIF('Elève (6ème1)'!OU20:OW20,"A"))*4)+((COUNTIF('Elève (6ème1)'!OU20:OW20,"B"))*3)+((COUNTIF('Elève (6ème1)'!OU20:OW20,"C"))*2)+((COUNTIF('Elève (6ème1)'!OU20:OW20,"D"))*1))/(COUNTA(OU20:OW20)),"")</f>
        <v/>
      </c>
      <c r="OY20" s="191" t="str">
        <f t="shared" si="96"/>
        <v/>
      </c>
      <c r="OZ20" s="174"/>
      <c r="PA20" s="141"/>
      <c r="PB20" s="142"/>
      <c r="PC20" s="190" t="str">
        <f>IFERROR((((COUNTIF('Elève (6ème1)'!OZ20:PB20,"A"))*4)+((COUNTIF('Elève (6ème1)'!OZ20:PB20,"B"))*3)+((COUNTIF('Elève (6ème1)'!OZ20:PB20,"C"))*2)+((COUNTIF('Elève (6ème1)'!OZ20:PB20,"D"))*1))/(COUNTA(OZ20:PB20)),"")</f>
        <v/>
      </c>
      <c r="PD20" s="191" t="str">
        <f t="shared" si="97"/>
        <v/>
      </c>
      <c r="PE20" s="174"/>
      <c r="PF20" s="141"/>
      <c r="PG20" s="142"/>
      <c r="PH20" s="190" t="str">
        <f>IFERROR((((COUNTIF('Elève (6ème1)'!PE20:PG20,"A"))*4)+((COUNTIF('Elève (6ème1)'!PE20:PG20,"B"))*3)+((COUNTIF('Elève (6ème1)'!PE20:PG20,"C"))*2)+((COUNTIF('Elève (6ème1)'!PE20:PG20,"D"))*1))/(COUNTA(PE20:PG20)),"")</f>
        <v/>
      </c>
      <c r="PI20" s="191" t="str">
        <f t="shared" si="98"/>
        <v/>
      </c>
      <c r="PJ20" s="190" t="str">
        <f>IF(COUNT(OX20,PC20,PH20)=0,"",SUM(OX20,PC20,PH20)/COUNT(OX20,PC20,PH20))</f>
        <v/>
      </c>
      <c r="PK20" s="213" t="str">
        <f t="shared" si="99"/>
        <v/>
      </c>
      <c r="PL20" s="219"/>
      <c r="PM20" s="141"/>
      <c r="PN20" s="142"/>
      <c r="PO20" s="190" t="str">
        <f>IFERROR((((COUNTIF('Elève (6ème1)'!PL20:PN20,"A"))*4)+((COUNTIF('Elève (6ème1)'!PL20:PN20,"B"))*3)+((COUNTIF('Elève (6ème1)'!PL20:PN20,"C"))*2)+((COUNTIF('Elève (6ème1)'!PL20:PN20,"D"))*1))/(COUNTA(PL20:PN20)),"")</f>
        <v/>
      </c>
      <c r="PP20" s="191" t="str">
        <f t="shared" si="100"/>
        <v/>
      </c>
      <c r="PQ20" s="174"/>
      <c r="PR20" s="141"/>
      <c r="PS20" s="142"/>
      <c r="PT20" s="190" t="str">
        <f>IFERROR((((COUNTIF('Elève (6ème1)'!PQ20:PS20,"A"))*4)+((COUNTIF('Elève (6ème1)'!PQ20:PS20,"B"))*3)+((COUNTIF('Elève (6ème1)'!PQ20:PS20,"C"))*2)+((COUNTIF('Elève (6ème1)'!PQ20:PS20,"D"))*1))/(COUNTA(PQ20:PS20)),"")</f>
        <v/>
      </c>
      <c r="PU20" s="191" t="str">
        <f t="shared" si="101"/>
        <v/>
      </c>
      <c r="PV20" s="174"/>
      <c r="PW20" s="141"/>
      <c r="PX20" s="142"/>
      <c r="PY20" s="190" t="str">
        <f>IFERROR((((COUNTIF('Elève (6ème1)'!PV20:PX20,"A"))*4)+((COUNTIF('Elève (6ème1)'!PV20:PX20,"B"))*3)+((COUNTIF('Elève (6ème1)'!PV20:PX20,"C"))*2)+((COUNTIF('Elève (6ème1)'!PV20:PX20,"D"))*1))/(COUNTA(PV20:PX20)),"")</f>
        <v/>
      </c>
      <c r="PZ20" s="191" t="str">
        <f t="shared" si="102"/>
        <v/>
      </c>
      <c r="QA20" s="190" t="str">
        <f>IF(COUNT(PO20,PT20,PY20)=0,"",SUM(PO20,PT20,PY20)/COUNT(PO20,PT20,PY20))</f>
        <v/>
      </c>
      <c r="QB20" s="213" t="str">
        <f t="shared" si="103"/>
        <v/>
      </c>
      <c r="QC20" s="219"/>
      <c r="QD20" s="141"/>
      <c r="QE20" s="142"/>
      <c r="QF20" s="190" t="str">
        <f>IFERROR((((COUNTIF('Elève (6ème1)'!QC20:QE20,"A"))*4)+((COUNTIF('Elève (6ème1)'!QC20:QE20,"B"))*3)+((COUNTIF('Elève (6ème1)'!QC20:QE20,"C"))*2)+((COUNTIF('Elève (6ème1)'!QC20:QE20,"D"))*1))/(COUNTA(QC20:QE20)),"")</f>
        <v/>
      </c>
      <c r="QG20" s="191" t="str">
        <f t="shared" si="104"/>
        <v/>
      </c>
      <c r="QH20" s="174"/>
      <c r="QI20" s="141"/>
      <c r="QJ20" s="142"/>
      <c r="QK20" s="190" t="str">
        <f>IFERROR((((COUNTIF('Elève (6ème1)'!QH20:QJ20,"A"))*4)+((COUNTIF('Elève (6ème1)'!QH20:QJ20,"B"))*3)+((COUNTIF('Elève (6ème1)'!QH20:QJ20,"C"))*2)+((COUNTIF('Elève (6ème1)'!QH20:QJ20,"D"))*1))/(COUNTA(QH20:QJ20)),"")</f>
        <v/>
      </c>
      <c r="QL20" s="191" t="str">
        <f t="shared" si="105"/>
        <v/>
      </c>
      <c r="QM20" s="174"/>
      <c r="QN20" s="141"/>
      <c r="QO20" s="142"/>
      <c r="QP20" s="190" t="str">
        <f>IFERROR((((COUNTIF('Elève (6ème1)'!QM20:QO20,"A"))*4)+((COUNTIF('Elève (6ème1)'!QM20:QO20,"B"))*3)+((COUNTIF('Elève (6ème1)'!QM20:QO20,"C"))*2)+((COUNTIF('Elève (6ème1)'!QM20:QO20,"D"))*1))/(COUNTA(QM20:QO20)),"")</f>
        <v/>
      </c>
      <c r="QQ20" s="191" t="str">
        <f t="shared" si="106"/>
        <v/>
      </c>
      <c r="QR20" s="190" t="str">
        <f>IF(COUNT(QF20,QK20,QP20)=0,"",SUM(QF20,QK20,QP20)/COUNT(QF20,QK20,QP20))</f>
        <v/>
      </c>
      <c r="QS20" s="213" t="str">
        <f t="shared" si="107"/>
        <v/>
      </c>
      <c r="QT20" s="219"/>
      <c r="QU20" s="141"/>
      <c r="QV20" s="142"/>
      <c r="QW20" s="190" t="str">
        <f>IFERROR((((COUNTIF('Elève (6ème1)'!QT20:QV20,"A"))*4)+((COUNTIF('Elève (6ème1)'!QT20:QV20,"B"))*3)+((COUNTIF('Elève (6ème1)'!QT20:QV20,"C"))*2)+((COUNTIF('Elève (6ème1)'!QT20:QV20,"D"))*1))/(COUNTA(QT20:QV20)),"")</f>
        <v/>
      </c>
      <c r="QX20" s="191" t="str">
        <f t="shared" si="108"/>
        <v/>
      </c>
      <c r="QY20" s="174"/>
      <c r="QZ20" s="141"/>
      <c r="RA20" s="142"/>
      <c r="RB20" s="190" t="str">
        <f>IFERROR((((COUNTIF('Elève (6ème1)'!QY20:RA20,"A"))*4)+((COUNTIF('Elève (6ème1)'!QY20:RA20,"B"))*3)+((COUNTIF('Elève (6ème1)'!QY20:RA20,"C"))*2)+((COUNTIF('Elève (6ème1)'!QY20:RA20,"D"))*1))/(COUNTA(QY20:RA20)),"")</f>
        <v/>
      </c>
      <c r="RC20" s="191" t="str">
        <f t="shared" si="109"/>
        <v/>
      </c>
      <c r="RD20" s="174"/>
      <c r="RE20" s="141"/>
      <c r="RF20" s="142"/>
      <c r="RG20" s="190" t="str">
        <f>IFERROR((((COUNTIF('Elève (6ème1)'!RD20:RF20,"A"))*4)+((COUNTIF('Elève (6ème1)'!RD20:RF20,"B"))*3)+((COUNTIF('Elève (6ème1)'!RD20:RF20,"C"))*2)+((COUNTIF('Elève (6ème1)'!RD20:RF20,"D"))*1))/(COUNTA(RD20:RF20)),"")</f>
        <v/>
      </c>
      <c r="RH20" s="191" t="str">
        <f t="shared" si="110"/>
        <v/>
      </c>
      <c r="RI20" s="190" t="str">
        <f>IF(COUNT(QW20,RB20,RG20)=0,"",SUM(QW20,RB20,RG20)/COUNT(QW20,RB20,RG20))</f>
        <v/>
      </c>
      <c r="RJ20" s="213" t="str">
        <f t="shared" si="111"/>
        <v/>
      </c>
      <c r="RK20" s="219"/>
      <c r="RL20" s="141"/>
      <c r="RM20" s="142"/>
      <c r="RN20" s="190" t="str">
        <f>IFERROR((((COUNTIF('Elève (6ème1)'!RK20:RM20,"A"))*4)+((COUNTIF('Elève (6ème1)'!RK20:RM20,"B"))*3)+((COUNTIF('Elève (6ème1)'!RK20:RM20,"C"))*2)+((COUNTIF('Elève (6ème1)'!RK20:RM20,"D"))*1))/(COUNTA(RK20:RM20)),"")</f>
        <v/>
      </c>
      <c r="RO20" s="191" t="str">
        <f t="shared" si="112"/>
        <v/>
      </c>
      <c r="RP20" s="174"/>
      <c r="RQ20" s="141"/>
      <c r="RR20" s="142"/>
      <c r="RS20" s="190" t="str">
        <f>IFERROR((((COUNTIF('Elève (6ème1)'!RP20:RR20,"A"))*4)+((COUNTIF('Elève (6ème1)'!RP20:RR20,"B"))*3)+((COUNTIF('Elève (6ème1)'!RP20:RR20,"C"))*2)+((COUNTIF('Elève (6ème1)'!RP20:RR20,"D"))*1))/(COUNTA(RP20:RR20)),"")</f>
        <v/>
      </c>
      <c r="RT20" s="191" t="str">
        <f t="shared" si="113"/>
        <v/>
      </c>
      <c r="RU20" s="174"/>
      <c r="RV20" s="141"/>
      <c r="RW20" s="142"/>
      <c r="RX20" s="190" t="str">
        <f>IFERROR((((COUNTIF('Elève (6ème1)'!RU20:RW20,"A"))*4)+((COUNTIF('Elève (6ème1)'!RU20:RW20,"B"))*3)+((COUNTIF('Elève (6ème1)'!RU20:RW20,"C"))*2)+((COUNTIF('Elève (6ème1)'!RU20:RW20,"D"))*1))/(COUNTA(RU20:RW20)),"")</f>
        <v/>
      </c>
      <c r="RY20" s="191" t="str">
        <f t="shared" si="114"/>
        <v/>
      </c>
      <c r="RZ20" s="190" t="str">
        <f>IF(COUNT(RN20,RS20,RX20)=0,"",SUM(RN20,RS20,RX20)/COUNT(RN20,RS20,RX20))</f>
        <v/>
      </c>
      <c r="SA20" s="213" t="str">
        <f t="shared" si="115"/>
        <v/>
      </c>
      <c r="SB20" s="219"/>
      <c r="SC20" s="141"/>
      <c r="SD20" s="142"/>
      <c r="SE20" s="190" t="str">
        <f>IFERROR((((COUNTIF('Elève (6ème1)'!SB20:SD20,"A"))*4)+((COUNTIF('Elève (6ème1)'!SB20:SD20,"B"))*3)+((COUNTIF('Elève (6ème1)'!SB20:SD20,"C"))*2)+((COUNTIF('Elève (6ème1)'!SB20:SD20,"D"))*1))/(COUNTA(SB20:SD20)),"")</f>
        <v/>
      </c>
      <c r="SF20" s="191" t="str">
        <f t="shared" si="116"/>
        <v/>
      </c>
      <c r="SG20" s="174"/>
      <c r="SH20" s="141"/>
      <c r="SI20" s="142"/>
      <c r="SJ20" s="190" t="str">
        <f>IFERROR((((COUNTIF('Elève (6ème1)'!SG20:SI20,"A"))*4)+((COUNTIF('Elève (6ème1)'!SG20:SI20,"B"))*3)+((COUNTIF('Elève (6ème1)'!SG20:SI20,"C"))*2)+((COUNTIF('Elève (6ème1)'!SG20:SI20,"D"))*1))/(COUNTA(SG20:SI20)),"")</f>
        <v/>
      </c>
      <c r="SK20" s="191" t="str">
        <f t="shared" si="117"/>
        <v/>
      </c>
      <c r="SL20" s="174"/>
      <c r="SM20" s="141"/>
      <c r="SN20" s="142"/>
      <c r="SO20" s="190" t="str">
        <f>IFERROR((((COUNTIF('Elève (6ème1)'!SL20:SN20,"A"))*4)+((COUNTIF('Elève (6ème1)'!SL20:SN20,"B"))*3)+((COUNTIF('Elève (6ème1)'!SL20:SN20,"C"))*2)+((COUNTIF('Elève (6ème1)'!SL20:SN20,"D"))*1))/(COUNTA(SL20:SN20)),"")</f>
        <v/>
      </c>
      <c r="SP20" s="191" t="str">
        <f t="shared" si="118"/>
        <v/>
      </c>
      <c r="SQ20" s="190" t="str">
        <f>IF(COUNT(SE20,SJ20,SO20)=0,"",SUM(SE20,SJ20,SO20)/COUNT(SE20,SJ20,SO20))</f>
        <v/>
      </c>
      <c r="SR20" s="213" t="str">
        <f t="shared" si="119"/>
        <v/>
      </c>
      <c r="SS20" s="219"/>
      <c r="ST20" s="141"/>
      <c r="SU20" s="142"/>
      <c r="SV20" s="190" t="str">
        <f>IFERROR((((COUNTIF('Elève (6ème1)'!SS20:SU20,"A"))*4)+((COUNTIF('Elève (6ème1)'!SS20:SU20,"B"))*3)+((COUNTIF('Elève (6ème1)'!SS20:SU20,"C"))*2)+((COUNTIF('Elève (6ème1)'!SS20:SU20,"D"))*1))/(COUNTA(SS20:SU20)),"")</f>
        <v/>
      </c>
      <c r="SW20" s="191" t="str">
        <f t="shared" si="120"/>
        <v/>
      </c>
      <c r="SX20" s="174"/>
      <c r="SY20" s="141"/>
      <c r="SZ20" s="142"/>
      <c r="TA20" s="190" t="str">
        <f>IFERROR((((COUNTIF('Elève (6ème1)'!SX20:SZ20,"A"))*4)+((COUNTIF('Elève (6ème1)'!SX20:SZ20,"B"))*3)+((COUNTIF('Elève (6ème1)'!SX20:SZ20,"C"))*2)+((COUNTIF('Elève (6ème1)'!SX20:SZ20,"D"))*1))/(COUNTA(SX20:SZ20)),"")</f>
        <v/>
      </c>
      <c r="TB20" s="191" t="str">
        <f t="shared" si="121"/>
        <v/>
      </c>
      <c r="TC20" s="174"/>
      <c r="TD20" s="141"/>
      <c r="TE20" s="142"/>
      <c r="TF20" s="190" t="str">
        <f>IFERROR((((COUNTIF('Elève (6ème1)'!TC20:TE20,"A"))*4)+((COUNTIF('Elève (6ème1)'!TC20:TE20,"B"))*3)+((COUNTIF('Elève (6ème1)'!TC20:TE20,"C"))*2)+((COUNTIF('Elève (6ème1)'!TC20:TE20,"D"))*1))/(COUNTA(TC20:TE20)),"")</f>
        <v/>
      </c>
      <c r="TG20" s="191" t="str">
        <f t="shared" si="122"/>
        <v/>
      </c>
      <c r="TH20" s="190" t="str">
        <f>IF(COUNT(SV20,TA20,TF20)=0,"",SUM(SV20,TA20,TF20)/COUNT(SV20,TA20,TF20))</f>
        <v/>
      </c>
      <c r="TI20" s="213" t="str">
        <f t="shared" si="123"/>
        <v/>
      </c>
      <c r="TJ20" s="219"/>
      <c r="TK20" s="141"/>
      <c r="TL20" s="142"/>
      <c r="TM20" s="190" t="str">
        <f>IFERROR((((COUNTIF('Elève (6ème1)'!TJ20:TL20,"A"))*4)+((COUNTIF('Elève (6ème1)'!TJ20:TL20,"B"))*3)+((COUNTIF('Elève (6ème1)'!TJ20:TL20,"C"))*2)+((COUNTIF('Elève (6ème1)'!TJ20:TL20,"D"))*1))/(COUNTA(TJ20:TL20)),"")</f>
        <v/>
      </c>
      <c r="TN20" s="191" t="str">
        <f t="shared" si="124"/>
        <v/>
      </c>
      <c r="TO20" s="174"/>
      <c r="TP20" s="141"/>
      <c r="TQ20" s="142"/>
      <c r="TR20" s="190" t="str">
        <f>IFERROR((((COUNTIF('Elève (6ème1)'!TO20:TQ20,"A"))*4)+((COUNTIF('Elève (6ème1)'!TO20:TQ20,"B"))*3)+((COUNTIF('Elève (6ème1)'!TO20:TQ20,"C"))*2)+((COUNTIF('Elève (6ème1)'!TO20:TQ20,"D"))*1))/(COUNTA(TO20:TQ20)),"")</f>
        <v/>
      </c>
      <c r="TS20" s="191" t="str">
        <f t="shared" si="125"/>
        <v/>
      </c>
      <c r="TT20" s="174"/>
      <c r="TU20" s="141"/>
      <c r="TV20" s="142"/>
      <c r="TW20" s="190" t="str">
        <f>IFERROR((((COUNTIF('Elève (6ème1)'!TT20:TV20,"A"))*4)+((COUNTIF('Elève (6ème1)'!TT20:TV20,"B"))*3)+((COUNTIF('Elève (6ème1)'!TT20:TV20,"C"))*2)+((COUNTIF('Elève (6ème1)'!TT20:TV20,"D"))*1))/(COUNTA(TT20:TV20)),"")</f>
        <v/>
      </c>
      <c r="TX20" s="191" t="str">
        <f t="shared" si="126"/>
        <v/>
      </c>
      <c r="TY20" s="190" t="str">
        <f>IF(COUNT(TM20,TR20,TW20)=0,"",SUM(TM20,TR20,TW20)/COUNT(TM20,TR20,TW20))</f>
        <v/>
      </c>
      <c r="TZ20" s="213" t="str">
        <f t="shared" si="127"/>
        <v/>
      </c>
    </row>
    <row r="21" spans="1:546" ht="15.75" thickBot="1" x14ac:dyDescent="0.3">
      <c r="A21" s="258" t="s">
        <v>22</v>
      </c>
      <c r="B21" s="259"/>
      <c r="C21" s="147"/>
      <c r="D21" s="147"/>
      <c r="E21" s="147"/>
      <c r="F21" s="192">
        <f>IF(COUNT(F18,F14,F12,F7,F4)=0,"",SUM($B$4*IF(COUNT(F4)=0,0,F4),$B$7*IF(COUNT(F7)=0,0,F7),$B$12*IF(COUNT(F12)=0,0,F12),$B$14*IF(COUNT(F14)=0,0,F14),$B$18*IF(COUNT(F18)=0,0,F18))/SUM($B$4*COUNT(F4),$B$7*COUNT(F7),$B$12*COUNT(F12),$B$14*COUNT(F14),$B$18*COUNT(F18)))</f>
        <v>3</v>
      </c>
      <c r="G21" s="193">
        <f>IF(F21="","",F21*5)</f>
        <v>15</v>
      </c>
      <c r="H21" s="150"/>
      <c r="I21" s="150"/>
      <c r="J21" s="150"/>
      <c r="K21" s="192">
        <f>IF(COUNT(K18,K14,K12,K7,K4)=0,"",SUM($B$4*IF(COUNT(K4)=0,0,K4),$B$7*IF(COUNT(K7)=0,0,K7),$B$12*IF(COUNT(K12)=0,0,K12),$B$14*IF(COUNT(K14)=0,0,K14),$B$18*IF(COUNT(K18)=0,0,K18))/SUM($B$4*COUNT(K4),$B$7*COUNT(K7),$B$12*COUNT(K12),$B$14*COUNT(K14),$B$18*COUNT(K18)))</f>
        <v>4.1875</v>
      </c>
      <c r="L21" s="199">
        <f>IF(K21="","",K21*5)</f>
        <v>20.9375</v>
      </c>
      <c r="M21" s="150"/>
      <c r="N21" s="150"/>
      <c r="O21" s="150"/>
      <c r="P21" s="192">
        <f>IF(COUNT(P18,P14,P12,P7,P4)=0,"",SUM($B$4*IF(COUNT(P4)=0,0,P4),$B$7*IF(COUNT(P7)=0,0,P7),$B$12*IF(COUNT(P12)=0,0,P12),$B$14*IF(COUNT(P14)=0,0,P14),$B$18*IF(COUNT(P18)=0,0,P18))/SUM($B$4*COUNT(P4),$B$7*COUNT(P7),$B$12*COUNT(P12),$B$14*COUNT(P14),$B$18*COUNT(P18)))</f>
        <v>3.8541666666666665</v>
      </c>
      <c r="Q21" s="214">
        <f>IF(P21="","",P21*5)</f>
        <v>19.270833333333332</v>
      </c>
      <c r="R21" s="215"/>
      <c r="S21" s="215"/>
      <c r="T21" s="147"/>
      <c r="U21" s="147"/>
      <c r="V21" s="147"/>
      <c r="W21" s="192">
        <f>IF(COUNT(W18,W14,W12,W7,W4)=0,"",SUM($B$4*IF(COUNT(W4)=0,0,W4),$B$7*IF(COUNT(W7)=0,0,W7),$B$12*IF(COUNT(W12)=0,0,W12),$B$14*IF(COUNT(W14)=0,0,W14),$B$18*IF(COUNT(W18)=0,0,W18))/SUM($B$4*COUNT(W4),$B$7*COUNT(W7),$B$12*COUNT(W12),$B$14*COUNT(W14),$B$18*COUNT(W18)))</f>
        <v>3</v>
      </c>
      <c r="X21" s="193">
        <f>IF(W21="","",W21*5)</f>
        <v>15</v>
      </c>
      <c r="Y21" s="150"/>
      <c r="Z21" s="150"/>
      <c r="AA21" s="150"/>
      <c r="AB21" s="192">
        <f>IF(COUNT(AB18,AB14,AB12,AB7,AB4)=0,"",SUM($B$4*IF(COUNT(AB4)=0,0,AB4),$B$7*IF(COUNT(AB7)=0,0,AB7),$B$12*IF(COUNT(AB12)=0,0,AB12),$B$14*IF(COUNT(AB14)=0,0,AB14),$B$18*IF(COUNT(AB18)=0,0,AB18))/SUM($B$4*COUNT(AB4),$B$7*COUNT(AB7),$B$12*COUNT(AB12),$B$14*COUNT(AB14),$B$18*COUNT(AB18)))</f>
        <v>4</v>
      </c>
      <c r="AC21" s="199">
        <f>IF(AB21="","",AB21*5)</f>
        <v>20</v>
      </c>
      <c r="AD21" s="150"/>
      <c r="AE21" s="150"/>
      <c r="AF21" s="150"/>
      <c r="AG21" s="192">
        <f>IF(COUNT(AG18,AG14,AG12,AG7,AG4)=0,"",SUM($B$4*IF(COUNT(AG4)=0,0,AG4),$B$7*IF(COUNT(AG7)=0,0,AG7),$B$12*IF(COUNT(AG12)=0,0,AG12),$B$14*IF(COUNT(AG14)=0,0,AG14),$B$18*IF(COUNT(AG18)=0,0,AG18))/SUM($B$4*COUNT(AG4),$B$7*COUNT(AG7),$B$12*COUNT(AG12),$B$14*COUNT(AG14),$B$18*COUNT(AG18)))</f>
        <v>4.5555555555555554</v>
      </c>
      <c r="AH21" s="214">
        <f>IF(AG21="","",AG21*5)</f>
        <v>22.777777777777779</v>
      </c>
      <c r="AI21" s="215"/>
      <c r="AJ21" s="215"/>
      <c r="AK21" s="147"/>
      <c r="AL21" s="147"/>
      <c r="AM21" s="147"/>
      <c r="AN21" s="192">
        <f>IF(COUNT(AN18,AN14,AN12,AN7,AN4)=0,"",SUM($B$4*IF(COUNT(AN4)=0,0,AN4),$B$7*IF(COUNT(AN7)=0,0,AN7),$B$12*IF(COUNT(AN12)=0,0,AN12),$B$14*IF(COUNT(AN14)=0,0,AN14),$B$18*IF(COUNT(AN18)=0,0,AN18))/SUM($B$4*COUNT(AN4),$B$7*COUNT(AN7),$B$12*COUNT(AN12),$B$14*COUNT(AN14),$B$18*COUNT(AN18)))</f>
        <v>2.5</v>
      </c>
      <c r="AO21" s="193">
        <f>IF(AN21="","",AN21*5)</f>
        <v>12.5</v>
      </c>
      <c r="AP21" s="150"/>
      <c r="AQ21" s="150"/>
      <c r="AR21" s="150"/>
      <c r="AS21" s="192">
        <f>IF(COUNT(AS18,AS14,AS12,AS7,AS4)=0,"",SUM($B$4*IF(COUNT(AS4)=0,0,AS4),$B$7*IF(COUNT(AS7)=0,0,AS7),$B$12*IF(COUNT(AS12)=0,0,AS12),$B$14*IF(COUNT(AS14)=0,0,AS14),$B$18*IF(COUNT(AS18)=0,0,AS18))/SUM($B$4*COUNT(AS4),$B$7*COUNT(AS7),$B$12*COUNT(AS12),$B$14*COUNT(AS14),$B$18*COUNT(AS18)))</f>
        <v>4</v>
      </c>
      <c r="AT21" s="199">
        <f>IF(AS21="","",AS21*5)</f>
        <v>20</v>
      </c>
      <c r="AU21" s="150"/>
      <c r="AV21" s="150"/>
      <c r="AW21" s="150"/>
      <c r="AX21" s="192">
        <f>IF(COUNT(AX18,AX14,AX12,AX7,AX4)=0,"",SUM($B$4*IF(COUNT(AX4)=0,0,AX4),$B$7*IF(COUNT(AX7)=0,0,AX7),$B$12*IF(COUNT(AX12)=0,0,AX12),$B$14*IF(COUNT(AX14)=0,0,AX14),$B$18*IF(COUNT(AX18)=0,0,AX18))/SUM($B$4*COUNT(AX4),$B$7*COUNT(AX7),$B$12*COUNT(AX12),$B$14*COUNT(AX14),$B$18*COUNT(AX18)))</f>
        <v>3.9791666666666665</v>
      </c>
      <c r="AY21" s="214">
        <f>IF(AX21="","",AX21*5)</f>
        <v>19.895833333333332</v>
      </c>
      <c r="AZ21" s="215"/>
      <c r="BA21" s="215"/>
      <c r="BB21" s="147"/>
      <c r="BC21" s="147"/>
      <c r="BD21" s="147"/>
      <c r="BE21" s="192">
        <f>IF(COUNT(BE18,BE14,BE12,BE7,BE4)=0,"",SUM($B$4*IF(COUNT(BE4)=0,0,BE4),$B$7*IF(COUNT(BE7)=0,0,BE7),$B$12*IF(COUNT(BE12)=0,0,BE12),$B$14*IF(COUNT(BE14)=0,0,BE14),$B$18*IF(COUNT(BE18)=0,0,BE18))/SUM($B$4*COUNT(BE4),$B$7*COUNT(BE7),$B$12*COUNT(BE12),$B$14*COUNT(BE14),$B$18*COUNT(BE18)))</f>
        <v>2</v>
      </c>
      <c r="BF21" s="193">
        <f>IF(BE21="","",BE21*5)</f>
        <v>10</v>
      </c>
      <c r="BG21" s="150"/>
      <c r="BH21" s="150"/>
      <c r="BI21" s="150"/>
      <c r="BJ21" s="192">
        <f>IF(COUNT(BJ18,BJ14,BJ12,BJ7,BJ4)=0,"",SUM($B$4*IF(COUNT(BJ4)=0,0,BJ4),$B$7*IF(COUNT(BJ7)=0,0,BJ7),$B$12*IF(COUNT(BJ12)=0,0,BJ12),$B$14*IF(COUNT(BJ14)=0,0,BJ14),$B$18*IF(COUNT(BJ18)=0,0,BJ18))/SUM($B$4*COUNT(BJ4),$B$7*COUNT(BJ7),$B$12*COUNT(BJ12),$B$14*COUNT(BJ14),$B$18*COUNT(BJ18)))</f>
        <v>4.083333333333333</v>
      </c>
      <c r="BK21" s="199">
        <f>IF(BJ21="","",BJ21*5)</f>
        <v>20.416666666666664</v>
      </c>
      <c r="BL21" s="150"/>
      <c r="BM21" s="150"/>
      <c r="BN21" s="150"/>
      <c r="BO21" s="192">
        <f>IF(COUNT(BO18,BO14,BO12,BO7,BO4)=0,"",SUM($B$4*IF(COUNT(BO4)=0,0,BO4),$B$7*IF(COUNT(BO7)=0,0,BO7),$B$12*IF(COUNT(BO12)=0,0,BO12),$B$14*IF(COUNT(BO14)=0,0,BO14),$B$18*IF(COUNT(BO18)=0,0,BO18))/SUM($B$4*COUNT(BO4),$B$7*COUNT(BO7),$B$12*COUNT(BO12),$B$14*COUNT(BO14),$B$18*COUNT(BO18)))</f>
        <v>3.5</v>
      </c>
      <c r="BP21" s="214">
        <f>IF(BO21="","",BO21*5)</f>
        <v>17.5</v>
      </c>
      <c r="BQ21" s="215"/>
      <c r="BR21" s="215"/>
      <c r="BS21" s="147"/>
      <c r="BT21" s="147"/>
      <c r="BU21" s="147"/>
      <c r="BV21" s="192">
        <f>IF(COUNT(BV18,BV14,BV12,BV7,BV4)=0,"",SUM($B$4*IF(COUNT(BV4)=0,0,BV4),$B$7*IF(COUNT(BV7)=0,0,BV7),$B$12*IF(COUNT(BV12)=0,0,BV12),$B$14*IF(COUNT(BV14)=0,0,BV14),$B$18*IF(COUNT(BV18)=0,0,BV18))/SUM($B$4*COUNT(BV4),$B$7*COUNT(BV7),$B$12*COUNT(BV12),$B$14*COUNT(BV14),$B$18*COUNT(BV18)))</f>
        <v>1.5</v>
      </c>
      <c r="BW21" s="193">
        <f>IF(BV21="","",BV21*5)</f>
        <v>7.5</v>
      </c>
      <c r="BX21" s="150"/>
      <c r="BY21" s="150"/>
      <c r="BZ21" s="150"/>
      <c r="CA21" s="192">
        <f>IF(COUNT(CA18,CA14,CA12,CA7,CA4)=0,"",SUM($B$4*IF(COUNT(CA4)=0,0,CA4),$B$7*IF(COUNT(CA7)=0,0,CA7),$B$12*IF(COUNT(CA12)=0,0,CA12),$B$14*IF(COUNT(CA14)=0,0,CA14),$B$18*IF(COUNT(CA18)=0,0,CA18))/SUM($B$4*COUNT(CA4),$B$7*COUNT(CA7),$B$12*COUNT(CA12),$B$14*COUNT(CA14),$B$18*COUNT(CA18)))</f>
        <v>3.6666666666666665</v>
      </c>
      <c r="CB21" s="199">
        <f>IF(CA21="","",CA21*5)</f>
        <v>18.333333333333332</v>
      </c>
      <c r="CC21" s="150"/>
      <c r="CD21" s="150"/>
      <c r="CE21" s="150"/>
      <c r="CF21" s="192">
        <f>IF(COUNT(CF18,CF14,CF12,CF7,CF4)=0,"",SUM($B$4*IF(COUNT(CF4)=0,0,CF4),$B$7*IF(COUNT(CF7)=0,0,CF7),$B$12*IF(COUNT(CF12)=0,0,CF12),$B$14*IF(COUNT(CF14)=0,0,CF14),$B$18*IF(COUNT(CF18)=0,0,CF18))/SUM($B$4*COUNT(CF4),$B$7*COUNT(CF7),$B$12*COUNT(CF12),$B$14*COUNT(CF14),$B$18*COUNT(CF18)))</f>
        <v>3.5416666666666665</v>
      </c>
      <c r="CG21" s="214">
        <f>IF(CF21="","",CF21*5)</f>
        <v>17.708333333333332</v>
      </c>
      <c r="CH21" s="215"/>
      <c r="CI21" s="215"/>
      <c r="CJ21" s="147"/>
      <c r="CK21" s="147"/>
      <c r="CL21" s="147"/>
      <c r="CM21" s="192">
        <f>IF(COUNT(CM18,CM14,CM12,CM7,CM4)=0,"",SUM($B$4*IF(COUNT(CM4)=0,0,CM4),$B$7*IF(COUNT(CM7)=0,0,CM7),$B$12*IF(COUNT(CM12)=0,0,CM12),$B$14*IF(COUNT(CM14)=0,0,CM14),$B$18*IF(COUNT(CM18)=0,0,CM18))/SUM($B$4*COUNT(CM4),$B$7*COUNT(CM7),$B$12*COUNT(CM12),$B$14*COUNT(CM14),$B$18*COUNT(CM18)))</f>
        <v>2</v>
      </c>
      <c r="CN21" s="193">
        <f>IF(CM21="","",CM21*5)</f>
        <v>10</v>
      </c>
      <c r="CO21" s="150"/>
      <c r="CP21" s="150"/>
      <c r="CQ21" s="150"/>
      <c r="CR21" s="192">
        <f>IF(COUNT(CR18,CR14,CR12,CR7,CR4)=0,"",SUM($B$4*IF(COUNT(CR4)=0,0,CR4),$B$7*IF(COUNT(CR7)=0,0,CR7),$B$12*IF(COUNT(CR12)=0,0,CR12),$B$14*IF(COUNT(CR14)=0,0,CR14),$B$18*IF(COUNT(CR18)=0,0,CR18))/SUM($B$4*COUNT(CR4),$B$7*COUNT(CR7),$B$12*COUNT(CR12),$B$14*COUNT(CR14),$B$18*COUNT(CR18)))</f>
        <v>3.0833333333333335</v>
      </c>
      <c r="CS21" s="199">
        <f>IF(CR21="","",CR21*5)</f>
        <v>15.416666666666668</v>
      </c>
      <c r="CT21" s="150"/>
      <c r="CU21" s="150"/>
      <c r="CV21" s="150"/>
      <c r="CW21" s="192">
        <f>IF(COUNT(CW18,CW14,CW12,CW7,CW4)=0,"",SUM($B$4*IF(COUNT(CW4)=0,0,CW4),$B$7*IF(COUNT(CW7)=0,0,CW7),$B$12*IF(COUNT(CW12)=0,0,CW12),$B$14*IF(COUNT(CW14)=0,0,CW14),$B$18*IF(COUNT(CW18)=0,0,CW18))/SUM($B$4*COUNT(CW4),$B$7*COUNT(CW7),$B$12*COUNT(CW12),$B$14*COUNT(CW14),$B$18*COUNT(CW18)))</f>
        <v>3.3888888888888888</v>
      </c>
      <c r="CX21" s="214">
        <f>IF(CW21="","",CW21*5)</f>
        <v>16.944444444444443</v>
      </c>
      <c r="CY21" s="215"/>
      <c r="CZ21" s="215"/>
      <c r="DA21" s="147"/>
      <c r="DB21" s="147"/>
      <c r="DC21" s="147"/>
      <c r="DD21" s="192">
        <f>IF(COUNT(DD18,DD14,DD12,DD7,DD4)=0,"",SUM($B$4*IF(COUNT(DD4)=0,0,DD4),$B$7*IF(COUNT(DD7)=0,0,DD7),$B$12*IF(COUNT(DD12)=0,0,DD12),$B$14*IF(COUNT(DD14)=0,0,DD14),$B$18*IF(COUNT(DD18)=0,0,DD18))/SUM($B$4*COUNT(DD4),$B$7*COUNT(DD7),$B$12*COUNT(DD12),$B$14*COUNT(DD14),$B$18*COUNT(DD18)))</f>
        <v>2.5</v>
      </c>
      <c r="DE21" s="193">
        <f>IF(DD21="","",DD21*5)</f>
        <v>12.5</v>
      </c>
      <c r="DF21" s="150"/>
      <c r="DG21" s="150"/>
      <c r="DH21" s="150"/>
      <c r="DI21" s="192">
        <f>IF(COUNT(DI18,DI14,DI12,DI7,DI4)=0,"",SUM($B$4*IF(COUNT(DI4)=0,0,DI4),$B$7*IF(COUNT(DI7)=0,0,DI7),$B$12*IF(COUNT(DI12)=0,0,DI12),$B$14*IF(COUNT(DI14)=0,0,DI14),$B$18*IF(COUNT(DI18)=0,0,DI18))/SUM($B$4*COUNT(DI4),$B$7*COUNT(DI7),$B$12*COUNT(DI12),$B$14*COUNT(DI14),$B$18*COUNT(DI18)))</f>
        <v>3.7291666666666665</v>
      </c>
      <c r="DJ21" s="199">
        <f>IF(DI21="","",DI21*5)</f>
        <v>18.645833333333332</v>
      </c>
      <c r="DK21" s="150"/>
      <c r="DL21" s="150"/>
      <c r="DM21" s="150"/>
      <c r="DN21" s="192">
        <f>IF(COUNT(DN18,DN14,DN12,DN7,DN4)=0,"",SUM($B$4*IF(COUNT(DN4)=0,0,DN4),$B$7*IF(COUNT(DN7)=0,0,DN7),$B$12*IF(COUNT(DN12)=0,0,DN12),$B$14*IF(COUNT(DN14)=0,0,DN14),$B$18*IF(COUNT(DN18)=0,0,DN18))/SUM($B$4*COUNT(DN4),$B$7*COUNT(DN7),$B$12*COUNT(DN12),$B$14*COUNT(DN14),$B$18*COUNT(DN18)))</f>
        <v>3.6458333333333335</v>
      </c>
      <c r="DO21" s="214">
        <f>IF(DN21="","",DN21*5)</f>
        <v>18.229166666666668</v>
      </c>
      <c r="DP21" s="215"/>
      <c r="DQ21" s="215"/>
      <c r="DR21" s="147"/>
      <c r="DS21" s="147"/>
      <c r="DT21" s="147"/>
      <c r="DU21" s="192">
        <f>IF(COUNT(DU18,DU14,DU12,DU7,DU4)=0,"",SUM($B$4*IF(COUNT(DU4)=0,0,DU4),$B$7*IF(COUNT(DU7)=0,0,DU7),$B$12*IF(COUNT(DU12)=0,0,DU12),$B$14*IF(COUNT(DU14)=0,0,DU14),$B$18*IF(COUNT(DU18)=0,0,DU18))/SUM($B$4*COUNT(DU4),$B$7*COUNT(DU7),$B$12*COUNT(DU12),$B$14*COUNT(DU14),$B$18*COUNT(DU18)))</f>
        <v>3</v>
      </c>
      <c r="DV21" s="193">
        <f>IF(DU21="","",DU21*5)</f>
        <v>15</v>
      </c>
      <c r="DW21" s="150"/>
      <c r="DX21" s="150"/>
      <c r="DY21" s="150"/>
      <c r="DZ21" s="192">
        <f>IF(COUNT(DZ18,DZ14,DZ12,DZ7,DZ4)=0,"",SUM($B$4*IF(COUNT(DZ4)=0,0,DZ4),$B$7*IF(COUNT(DZ7)=0,0,DZ7),$B$12*IF(COUNT(DZ12)=0,0,DZ12),$B$14*IF(COUNT(DZ14)=0,0,DZ14),$B$18*IF(COUNT(DZ18)=0,0,DZ18))/SUM($B$4*COUNT(DZ4),$B$7*COUNT(DZ7),$B$12*COUNT(DZ12),$B$14*COUNT(DZ14),$B$18*COUNT(DZ18)))</f>
        <v>4.041666666666667</v>
      </c>
      <c r="EA21" s="199">
        <f>IF(DZ21="","",DZ21*5)</f>
        <v>20.208333333333336</v>
      </c>
      <c r="EB21" s="150"/>
      <c r="EC21" s="150"/>
      <c r="ED21" s="150"/>
      <c r="EE21" s="192">
        <f>IF(COUNT(EE18,EE14,EE12,EE7,EE4)=0,"",SUM($B$4*IF(COUNT(EE4)=0,0,EE4),$B$7*IF(COUNT(EE7)=0,0,EE7),$B$12*IF(COUNT(EE12)=0,0,EE12),$B$14*IF(COUNT(EE14)=0,0,EE14),$B$18*IF(COUNT(EE18)=0,0,EE18))/SUM($B$4*COUNT(EE4),$B$7*COUNT(EE7),$B$12*COUNT(EE12),$B$14*COUNT(EE14),$B$18*COUNT(EE18)))</f>
        <v>3.7291666666666665</v>
      </c>
      <c r="EF21" s="214">
        <f>IF(EE21="","",EE21*5)</f>
        <v>18.645833333333332</v>
      </c>
      <c r="EG21" s="215"/>
      <c r="EH21" s="215"/>
      <c r="EI21" s="147"/>
      <c r="EJ21" s="147"/>
      <c r="EK21" s="147"/>
      <c r="EL21" s="192">
        <f>IF(COUNT(EL18,EL14,EL12,EL7,EL4)=0,"",SUM($B$4*IF(COUNT(EL4)=0,0,EL4),$B$7*IF(COUNT(EL7)=0,0,EL7),$B$12*IF(COUNT(EL12)=0,0,EL12),$B$14*IF(COUNT(EL14)=0,0,EL14),$B$18*IF(COUNT(EL18)=0,0,EL18))/SUM($B$4*COUNT(EL4),$B$7*COUNT(EL7),$B$12*COUNT(EL12),$B$14*COUNT(EL14),$B$18*COUNT(EL18)))</f>
        <v>3</v>
      </c>
      <c r="EM21" s="193">
        <f>IF(EL21="","",EL21*5)</f>
        <v>15</v>
      </c>
      <c r="EN21" s="150"/>
      <c r="EO21" s="150"/>
      <c r="EP21" s="150"/>
      <c r="EQ21" s="192">
        <f>IF(COUNT(EQ18,EQ14,EQ12,EQ7,EQ4)=0,"",SUM($B$4*IF(COUNT(EQ4)=0,0,EQ4),$B$7*IF(COUNT(EQ7)=0,0,EQ7),$B$12*IF(COUNT(EQ12)=0,0,EQ12),$B$14*IF(COUNT(EQ14)=0,0,EQ14),$B$18*IF(COUNT(EQ18)=0,0,EQ18))/SUM($B$4*COUNT(EQ4),$B$7*COUNT(EQ7),$B$12*COUNT(EQ12),$B$14*COUNT(EQ14),$B$18*COUNT(EQ18)))</f>
        <v>3.9375</v>
      </c>
      <c r="ER21" s="199">
        <f>IF(EQ21="","",EQ21*5)</f>
        <v>19.6875</v>
      </c>
      <c r="ES21" s="150"/>
      <c r="ET21" s="150"/>
      <c r="EU21" s="150"/>
      <c r="EV21" s="192">
        <f>IF(COUNT(EV18,EV14,EV12,EV7,EV4)=0,"",SUM($B$4*IF(COUNT(EV4)=0,0,EV4),$B$7*IF(COUNT(EV7)=0,0,EV7),$B$12*IF(COUNT(EV12)=0,0,EV12),$B$14*IF(COUNT(EV14)=0,0,EV14),$B$18*IF(COUNT(EV18)=0,0,EV18))/SUM($B$4*COUNT(EV4),$B$7*COUNT(EV7),$B$12*COUNT(EV12),$B$14*COUNT(EV14),$B$18*COUNT(EV18)))</f>
        <v>3.7916666666666665</v>
      </c>
      <c r="EW21" s="214">
        <f>IF(EV21="","",EV21*5)</f>
        <v>18.958333333333332</v>
      </c>
      <c r="EX21" s="215"/>
      <c r="EY21" s="215"/>
      <c r="EZ21" s="147"/>
      <c r="FA21" s="147"/>
      <c r="FB21" s="147"/>
      <c r="FC21" s="192">
        <f>IF(COUNT(FC18,FC14,FC12,FC7,FC4)=0,"",SUM($B$4*IF(COUNT(FC4)=0,0,FC4),$B$7*IF(COUNT(FC7)=0,0,FC7),$B$12*IF(COUNT(FC12)=0,0,FC12),$B$14*IF(COUNT(FC14)=0,0,FC14),$B$18*IF(COUNT(FC18)=0,0,FC18))/SUM($B$4*COUNT(FC4),$B$7*COUNT(FC7),$B$12*COUNT(FC12),$B$14*COUNT(FC14),$B$18*COUNT(FC18)))</f>
        <v>2.5</v>
      </c>
      <c r="FD21" s="193">
        <f>IF(FC21="","",FC21*5)</f>
        <v>12.5</v>
      </c>
      <c r="FE21" s="150"/>
      <c r="FF21" s="150"/>
      <c r="FG21" s="150"/>
      <c r="FH21" s="192">
        <f>IF(COUNT(FH18,FH14,FH12,FH7,FH4)=0,"",SUM($B$4*IF(COUNT(FH4)=0,0,FH4),$B$7*IF(COUNT(FH7)=0,0,FH7),$B$12*IF(COUNT(FH12)=0,0,FH12),$B$14*IF(COUNT(FH14)=0,0,FH14),$B$18*IF(COUNT(FH18)=0,0,FH18))/SUM($B$4*COUNT(FH4),$B$7*COUNT(FH7),$B$12*COUNT(FH12),$B$14*COUNT(FH14),$B$18*COUNT(FH18)))</f>
        <v>3.9791666666666665</v>
      </c>
      <c r="FI21" s="199">
        <f>IF(FH21="","",FH21*5)</f>
        <v>19.895833333333332</v>
      </c>
      <c r="FJ21" s="150"/>
      <c r="FK21" s="150"/>
      <c r="FL21" s="150"/>
      <c r="FM21" s="192">
        <f>IF(COUNT(FM18,FM14,FM12,FM7,FM4)=0,"",SUM($B$4*IF(COUNT(FM4)=0,0,FM4),$B$7*IF(COUNT(FM7)=0,0,FM7),$B$12*IF(COUNT(FM12)=0,0,FM12),$B$14*IF(COUNT(FM14)=0,0,FM14),$B$18*IF(COUNT(FM18)=0,0,FM18))/SUM($B$4*COUNT(FM4),$B$7*COUNT(FM7),$B$12*COUNT(FM12),$B$14*COUNT(FM14),$B$18*COUNT(FM18)))</f>
        <v>3.7916666666666665</v>
      </c>
      <c r="FN21" s="214">
        <f>IF(FM21="","",FM21*5)</f>
        <v>18.958333333333332</v>
      </c>
      <c r="FO21" s="215"/>
      <c r="FP21" s="215"/>
      <c r="FQ21" s="147"/>
      <c r="FR21" s="147"/>
      <c r="FS21" s="147"/>
      <c r="FT21" s="192">
        <f>IF(COUNT(FT18,FT14,FT12,FT7,FT4)=0,"",SUM($B$4*IF(COUNT(FT4)=0,0,FT4),$B$7*IF(COUNT(FT7)=0,0,FT7),$B$12*IF(COUNT(FT12)=0,0,FT12),$B$14*IF(COUNT(FT14)=0,0,FT14),$B$18*IF(COUNT(FT18)=0,0,FT18))/SUM($B$4*COUNT(FT4),$B$7*COUNT(FT7),$B$12*COUNT(FT12),$B$14*COUNT(FT14),$B$18*COUNT(FT18)))</f>
        <v>3</v>
      </c>
      <c r="FU21" s="193">
        <f>IF(FT21="","",FT21*5)</f>
        <v>15</v>
      </c>
      <c r="FV21" s="150"/>
      <c r="FW21" s="150"/>
      <c r="FX21" s="150"/>
      <c r="FY21" s="192">
        <f>IF(COUNT(FY18,FY14,FY12,FY7,FY4)=0,"",SUM($B$4*IF(COUNT(FY4)=0,0,FY4),$B$7*IF(COUNT(FY7)=0,0,FY7),$B$12*IF(COUNT(FY12)=0,0,FY12),$B$14*IF(COUNT(FY14)=0,0,FY14),$B$18*IF(COUNT(FY18)=0,0,FY18))/SUM($B$4*COUNT(FY4),$B$7*COUNT(FY7),$B$12*COUNT(FY12),$B$14*COUNT(FY14),$B$18*COUNT(FY18)))</f>
        <v>4.1875</v>
      </c>
      <c r="FZ21" s="199">
        <f>IF(FY21="","",FY21*5)</f>
        <v>20.9375</v>
      </c>
      <c r="GA21" s="150"/>
      <c r="GB21" s="150"/>
      <c r="GC21" s="150"/>
      <c r="GD21" s="192">
        <f>IF(COUNT(GD18,GD14,GD12,GD7,GD4)=0,"",SUM($B$4*IF(COUNT(GD4)=0,0,GD4),$B$7*IF(COUNT(GD7)=0,0,GD7),$B$12*IF(COUNT(GD12)=0,0,GD12),$B$14*IF(COUNT(GD14)=0,0,GD14),$B$18*IF(COUNT(GD18)=0,0,GD18))/SUM($B$4*COUNT(GD4),$B$7*COUNT(GD7),$B$12*COUNT(GD12),$B$14*COUNT(GD14),$B$18*COUNT(GD18)))</f>
        <v>3.8958333333333335</v>
      </c>
      <c r="GE21" s="214">
        <f>IF(GD21="","",GD21*5)</f>
        <v>19.479166666666668</v>
      </c>
      <c r="GF21" s="215"/>
      <c r="GG21" s="215"/>
      <c r="GH21" s="147"/>
      <c r="GI21" s="147"/>
      <c r="GJ21" s="147"/>
      <c r="GK21" s="192">
        <f>IF(COUNT(GK18,GK14,GK12,GK7,GK4)=0,"",SUM($B$4*IF(COUNT(GK4)=0,0,GK4),$B$7*IF(COUNT(GK7)=0,0,GK7),$B$12*IF(COUNT(GK12)=0,0,GK12),$B$14*IF(COUNT(GK14)=0,0,GK14),$B$18*IF(COUNT(GK18)=0,0,GK18))/SUM($B$4*COUNT(GK4),$B$7*COUNT(GK7),$B$12*COUNT(GK12),$B$14*COUNT(GK14),$B$18*COUNT(GK18)))</f>
        <v>2.5</v>
      </c>
      <c r="GL21" s="193">
        <f>IF(GK21="","",GK21*5)</f>
        <v>12.5</v>
      </c>
      <c r="GM21" s="150"/>
      <c r="GN21" s="150"/>
      <c r="GO21" s="150"/>
      <c r="GP21" s="192">
        <f>IF(COUNT(GP18,GP14,GP12,GP7,GP4)=0,"",SUM($B$4*IF(COUNT(GP4)=0,0,GP4),$B$7*IF(COUNT(GP7)=0,0,GP7),$B$12*IF(COUNT(GP12)=0,0,GP12),$B$14*IF(COUNT(GP14)=0,0,GP14),$B$18*IF(COUNT(GP18)=0,0,GP18))/SUM($B$4*COUNT(GP4),$B$7*COUNT(GP7),$B$12*COUNT(GP12),$B$14*COUNT(GP14),$B$18*COUNT(GP18)))</f>
        <v>4</v>
      </c>
      <c r="GQ21" s="199">
        <f>IF(GP21="","",GP21*5)</f>
        <v>20</v>
      </c>
      <c r="GR21" s="150"/>
      <c r="GS21" s="150"/>
      <c r="GT21" s="150"/>
      <c r="GU21" s="192">
        <f>IF(COUNT(GU18,GU14,GU12,GU7,GU4)=0,"",SUM($B$4*IF(COUNT(GU4)=0,0,GU4),$B$7*IF(COUNT(GU7)=0,0,GU7),$B$12*IF(COUNT(GU12)=0,0,GU12),$B$14*IF(COUNT(GU14)=0,0,GU14),$B$18*IF(COUNT(GU18)=0,0,GU18))/SUM($B$4*COUNT(GU4),$B$7*COUNT(GU7),$B$12*COUNT(GU12),$B$14*COUNT(GU14),$B$18*COUNT(GU18)))</f>
        <v>4.3888888888888884</v>
      </c>
      <c r="GV21" s="214">
        <f>IF(GU21="","",GU21*5)</f>
        <v>21.944444444444443</v>
      </c>
      <c r="GW21" s="215"/>
      <c r="GX21" s="215"/>
      <c r="GY21" s="147"/>
      <c r="GZ21" s="147"/>
      <c r="HA21" s="147"/>
      <c r="HB21" s="192">
        <f>IF(COUNT(HB18,HB14,HB12,HB7,HB4)=0,"",SUM($B$4*IF(COUNT(HB4)=0,0,HB4),$B$7*IF(COUNT(HB7)=0,0,HB7),$B$12*IF(COUNT(HB12)=0,0,HB12),$B$14*IF(COUNT(HB14)=0,0,HB14),$B$18*IF(COUNT(HB18)=0,0,HB18))/SUM($B$4*COUNT(HB4),$B$7*COUNT(HB7),$B$12*COUNT(HB12),$B$14*COUNT(HB14),$B$18*COUNT(HB18)))</f>
        <v>2.5</v>
      </c>
      <c r="HC21" s="193">
        <f>IF(HB21="","",HB21*5)</f>
        <v>12.5</v>
      </c>
      <c r="HD21" s="150"/>
      <c r="HE21" s="150"/>
      <c r="HF21" s="150"/>
      <c r="HG21" s="192">
        <f>IF(COUNT(HG18,HG14,HG12,HG7,HG4)=0,"",SUM($B$4*IF(COUNT(HG4)=0,0,HG4),$B$7*IF(COUNT(HG7)=0,0,HG7),$B$12*IF(COUNT(HG12)=0,0,HG12),$B$14*IF(COUNT(HG14)=0,0,HG14),$B$18*IF(COUNT(HG18)=0,0,HG18))/SUM($B$4*COUNT(HG4),$B$7*COUNT(HG7),$B$12*COUNT(HG12),$B$14*COUNT(HG14),$B$18*COUNT(HG18)))</f>
        <v>3.6666666666666665</v>
      </c>
      <c r="HH21" s="199">
        <f>IF(HG21="","",HG21*5)</f>
        <v>18.333333333333332</v>
      </c>
      <c r="HI21" s="150"/>
      <c r="HJ21" s="150"/>
      <c r="HK21" s="150"/>
      <c r="HL21" s="192">
        <f>IF(COUNT(HL18,HL14,HL12,HL7,HL4)=0,"",SUM($B$4*IF(COUNT(HL4)=0,0,HL4),$B$7*IF(COUNT(HL7)=0,0,HL7),$B$12*IF(COUNT(HL12)=0,0,HL12),$B$14*IF(COUNT(HL14)=0,0,HL14),$B$18*IF(COUNT(HL18)=0,0,HL18))/SUM($B$4*COUNT(HL4),$B$7*COUNT(HL7),$B$12*COUNT(HL12),$B$14*COUNT(HL14),$B$18*COUNT(HL18)))</f>
        <v>3.6458333333333335</v>
      </c>
      <c r="HM21" s="214">
        <f>IF(HL21="","",HL21*5)</f>
        <v>18.229166666666668</v>
      </c>
      <c r="HN21" s="215"/>
      <c r="HO21" s="215"/>
      <c r="HP21" s="147"/>
      <c r="HQ21" s="147"/>
      <c r="HR21" s="147"/>
      <c r="HS21" s="192">
        <f>IF(COUNT(HS18,HS14,HS12,HS7,HS4)=0,"",SUM($B$4*IF(COUNT(HS4)=0,0,HS4),$B$7*IF(COUNT(HS7)=0,0,HS7),$B$12*IF(COUNT(HS12)=0,0,HS12),$B$14*IF(COUNT(HS14)=0,0,HS14),$B$18*IF(COUNT(HS18)=0,0,HS18))/SUM($B$4*COUNT(HS4),$B$7*COUNT(HS7),$B$12*COUNT(HS12),$B$14*COUNT(HS14),$B$18*COUNT(HS18)))</f>
        <v>3</v>
      </c>
      <c r="HT21" s="193">
        <f>IF(HS21="","",HS21*5)</f>
        <v>15</v>
      </c>
      <c r="HU21" s="150"/>
      <c r="HV21" s="150"/>
      <c r="HW21" s="150"/>
      <c r="HX21" s="192">
        <f>IF(COUNT(HX18,HX14,HX12,HX7,HX4)=0,"",SUM($B$4*IF(COUNT(HX4)=0,0,HX4),$B$7*IF(COUNT(HX7)=0,0,HX7),$B$12*IF(COUNT(HX12)=0,0,HX12),$B$14*IF(COUNT(HX14)=0,0,HX14),$B$18*IF(COUNT(HX18)=0,0,HX18))/SUM($B$4*COUNT(HX4),$B$7*COUNT(HX7),$B$12*COUNT(HX12),$B$14*COUNT(HX14),$B$18*COUNT(HX18)))</f>
        <v>4.145833333333333</v>
      </c>
      <c r="HY21" s="199">
        <f>IF(HX21="","",HX21*5)</f>
        <v>20.729166666666664</v>
      </c>
      <c r="HZ21" s="150"/>
      <c r="IA21" s="150"/>
      <c r="IB21" s="150"/>
      <c r="IC21" s="192">
        <f>IF(COUNT(IC18,IC14,IC12,IC7,IC4)=0,"",SUM($B$4*IF(COUNT(IC4)=0,0,IC4),$B$7*IF(COUNT(IC7)=0,0,IC7),$B$12*IF(COUNT(IC12)=0,0,IC12),$B$14*IF(COUNT(IC14)=0,0,IC14),$B$18*IF(COUNT(IC18)=0,0,IC18))/SUM($B$4*COUNT(IC4),$B$7*COUNT(IC7),$B$12*COUNT(IC12),$B$14*COUNT(IC14),$B$18*COUNT(IC18)))</f>
        <v>4.0625</v>
      </c>
      <c r="ID21" s="214">
        <f>IF(IC21="","",IC21*5)</f>
        <v>20.3125</v>
      </c>
      <c r="IE21" s="215"/>
      <c r="IF21" s="215"/>
      <c r="IG21" s="147"/>
      <c r="IH21" s="147"/>
      <c r="II21" s="147"/>
      <c r="IJ21" s="192">
        <f>IF(COUNT(IJ18,IJ14,IJ12,IJ7,IJ4)=0,"",SUM($B$4*IF(COUNT(IJ4)=0,0,IJ4),$B$7*IF(COUNT(IJ7)=0,0,IJ7),$B$12*IF(COUNT(IJ12)=0,0,IJ12),$B$14*IF(COUNT(IJ14)=0,0,IJ14),$B$18*IF(COUNT(IJ18)=0,0,IJ18))/SUM($B$4*COUNT(IJ4),$B$7*COUNT(IJ7),$B$12*COUNT(IJ12),$B$14*COUNT(IJ14),$B$18*COUNT(IJ18)))</f>
        <v>3</v>
      </c>
      <c r="IK21" s="193">
        <f>IF(IJ21="","",IJ21*5)</f>
        <v>15</v>
      </c>
      <c r="IL21" s="150"/>
      <c r="IM21" s="150"/>
      <c r="IN21" s="150"/>
      <c r="IO21" s="192">
        <f>IF(COUNT(IO18,IO14,IO12,IO7,IO4)=0,"",SUM($B$4*IF(COUNT(IO4)=0,0,IO4),$B$7*IF(COUNT(IO7)=0,0,IO7),$B$12*IF(COUNT(IO12)=0,0,IO12),$B$14*IF(COUNT(IO14)=0,0,IO14),$B$18*IF(COUNT(IO18)=0,0,IO18))/SUM($B$4*COUNT(IO4),$B$7*COUNT(IO7),$B$12*COUNT(IO12),$B$14*COUNT(IO14),$B$18*COUNT(IO18)))</f>
        <v>4</v>
      </c>
      <c r="IP21" s="199">
        <f>IF(IO21="","",IO21*5)</f>
        <v>20</v>
      </c>
      <c r="IQ21" s="150"/>
      <c r="IR21" s="150"/>
      <c r="IS21" s="150"/>
      <c r="IT21" s="192">
        <f>IF(COUNT(IT18,IT14,IT12,IT7,IT4)=0,"",SUM($B$4*IF(COUNT(IT4)=0,0,IT4),$B$7*IF(COUNT(IT7)=0,0,IT7),$B$12*IF(COUNT(IT12)=0,0,IT12),$B$14*IF(COUNT(IT14)=0,0,IT14),$B$18*IF(COUNT(IT18)=0,0,IT18))/SUM($B$4*COUNT(IT4),$B$7*COUNT(IT7),$B$12*COUNT(IT12),$B$14*COUNT(IT14),$B$18*COUNT(IT18)))</f>
        <v>4</v>
      </c>
      <c r="IU21" s="214">
        <f>IF(IT21="","",IT21*5)</f>
        <v>20</v>
      </c>
      <c r="IV21" s="215"/>
      <c r="IW21" s="215"/>
      <c r="IX21" s="147"/>
      <c r="IY21" s="147"/>
      <c r="IZ21" s="147"/>
      <c r="JA21" s="192">
        <f>IF(COUNT(JA18,JA14,JA12,JA7,JA4)=0,"",SUM($B$4*IF(COUNT(JA4)=0,0,JA4),$B$7*IF(COUNT(JA7)=0,0,JA7),$B$12*IF(COUNT(JA12)=0,0,JA12),$B$14*IF(COUNT(JA14)=0,0,JA14),$B$18*IF(COUNT(JA18)=0,0,JA18))/SUM($B$4*COUNT(JA4),$B$7*COUNT(JA7),$B$12*COUNT(JA12),$B$14*COUNT(JA14),$B$18*COUNT(JA18)))</f>
        <v>2</v>
      </c>
      <c r="JB21" s="193">
        <f>IF(JA21="","",JA21*5)</f>
        <v>10</v>
      </c>
      <c r="JC21" s="150"/>
      <c r="JD21" s="150"/>
      <c r="JE21" s="150"/>
      <c r="JF21" s="192">
        <f>IF(COUNT(JF18,JF14,JF12,JF7,JF4)=0,"",SUM($B$4*IF(COUNT(JF4)=0,0,JF4),$B$7*IF(COUNT(JF7)=0,0,JF7),$B$12*IF(COUNT(JF12)=0,0,JF12),$B$14*IF(COUNT(JF14)=0,0,JF14),$B$18*IF(COUNT(JF18)=0,0,JF18))/SUM($B$4*COUNT(JF4),$B$7*COUNT(JF7),$B$12*COUNT(JF12),$B$14*COUNT(JF14),$B$18*COUNT(JF18)))</f>
        <v>3.8333333333333335</v>
      </c>
      <c r="JG21" s="199">
        <f>IF(JF21="","",JF21*5)</f>
        <v>19.166666666666668</v>
      </c>
      <c r="JH21" s="150"/>
      <c r="JI21" s="150"/>
      <c r="JJ21" s="150"/>
      <c r="JK21" s="192">
        <f>IF(COUNT(JK18,JK14,JK12,JK7,JK4)=0,"",SUM($B$4*IF(COUNT(JK4)=0,0,JK4),$B$7*IF(COUNT(JK7)=0,0,JK7),$B$12*IF(COUNT(JK12)=0,0,JK12),$B$14*IF(COUNT(JK14)=0,0,JK14),$B$18*IF(COUNT(JK18)=0,0,JK18))/SUM($B$4*COUNT(JK4),$B$7*COUNT(JK7),$B$12*COUNT(JK12),$B$14*COUNT(JK14),$B$18*COUNT(JK18)))</f>
        <v>3.5555555555555554</v>
      </c>
      <c r="JL21" s="214">
        <f>IF(JK21="","",JK21*5)</f>
        <v>17.777777777777779</v>
      </c>
      <c r="JM21" s="215"/>
      <c r="JN21" s="215"/>
      <c r="JO21" s="147"/>
      <c r="JP21" s="147"/>
      <c r="JQ21" s="147"/>
      <c r="JR21" s="192">
        <f>IF(COUNT(JR18,JR14,JR12,JR7,JR4)=0,"",SUM($B$4*IF(COUNT(JR4)=0,0,JR4),$B$7*IF(COUNT(JR7)=0,0,JR7),$B$12*IF(COUNT(JR12)=0,0,JR12),$B$14*IF(COUNT(JR14)=0,0,JR14),$B$18*IF(COUNT(JR18)=0,0,JR18))/SUM($B$4*COUNT(JR4),$B$7*COUNT(JR7),$B$12*COUNT(JR12),$B$14*COUNT(JR14),$B$18*COUNT(JR18)))</f>
        <v>2.5</v>
      </c>
      <c r="JS21" s="193">
        <f>IF(JR21="","",JR21*5)</f>
        <v>12.5</v>
      </c>
      <c r="JT21" s="150"/>
      <c r="JU21" s="150"/>
      <c r="JV21" s="150"/>
      <c r="JW21" s="192">
        <f>IF(COUNT(JW18,JW14,JW12,JW7,JW4)=0,"",SUM($B$4*IF(COUNT(JW4)=0,0,JW4),$B$7*IF(COUNT(JW7)=0,0,JW7),$B$12*IF(COUNT(JW12)=0,0,JW12),$B$14*IF(COUNT(JW14)=0,0,JW14),$B$18*IF(COUNT(JW18)=0,0,JW18))/SUM($B$4*COUNT(JW4),$B$7*COUNT(JW7),$B$12*COUNT(JW12),$B$14*COUNT(JW14),$B$18*COUNT(JW18)))</f>
        <v>3.9583333333333335</v>
      </c>
      <c r="JX21" s="199">
        <f>IF(JW21="","",JW21*5)</f>
        <v>19.791666666666668</v>
      </c>
      <c r="JY21" s="150"/>
      <c r="JZ21" s="150"/>
      <c r="KA21" s="150"/>
      <c r="KB21" s="192">
        <f>IF(COUNT(KB18,KB14,KB12,KB7,KB4)=0,"",SUM($B$4*IF(COUNT(KB4)=0,0,KB4),$B$7*IF(COUNT(KB7)=0,0,KB7),$B$12*IF(COUNT(KB12)=0,0,KB12),$B$14*IF(COUNT(KB14)=0,0,KB14),$B$18*IF(COUNT(KB18)=0,0,KB18))/SUM($B$4*COUNT(KB4),$B$7*COUNT(KB7),$B$12*COUNT(KB12),$B$14*COUNT(KB14),$B$18*COUNT(KB18)))</f>
        <v>4.125</v>
      </c>
      <c r="KC21" s="214">
        <f>IF(KB21="","",KB21*5)</f>
        <v>20.625</v>
      </c>
      <c r="KD21" s="215"/>
      <c r="KE21" s="215"/>
      <c r="KF21" s="147"/>
      <c r="KG21" s="147"/>
      <c r="KH21" s="147"/>
      <c r="KI21" s="192">
        <f>IF(COUNT(KI18,KI14,KI12,KI7,KI4)=0,"",SUM($B$4*IF(COUNT(KI4)=0,0,KI4),$B$7*IF(COUNT(KI7)=0,0,KI7),$B$12*IF(COUNT(KI12)=0,0,KI12),$B$14*IF(COUNT(KI14)=0,0,KI14),$B$18*IF(COUNT(KI18)=0,0,KI18))/SUM($B$4*COUNT(KI4),$B$7*COUNT(KI7),$B$12*COUNT(KI12),$B$14*COUNT(KI14),$B$18*COUNT(KI18)))</f>
        <v>2</v>
      </c>
      <c r="KJ21" s="193">
        <f>IF(KI21="","",KI21*5)</f>
        <v>10</v>
      </c>
      <c r="KK21" s="150"/>
      <c r="KL21" s="150"/>
      <c r="KM21" s="150"/>
      <c r="KN21" s="192">
        <f>IF(COUNT(KN18,KN14,KN12,KN7,KN4)=0,"",SUM($B$4*IF(COUNT(KN4)=0,0,KN4),$B$7*IF(COUNT(KN7)=0,0,KN7),$B$12*IF(COUNT(KN12)=0,0,KN12),$B$14*IF(COUNT(KN14)=0,0,KN14),$B$18*IF(COUNT(KN18)=0,0,KN18))/SUM($B$4*COUNT(KN4),$B$7*COUNT(KN7),$B$12*COUNT(KN12),$B$14*COUNT(KN14),$B$18*COUNT(KN18)))</f>
        <v>3.7291666666666665</v>
      </c>
      <c r="KO21" s="199">
        <f>IF(KN21="","",KN21*5)</f>
        <v>18.645833333333332</v>
      </c>
      <c r="KP21" s="150"/>
      <c r="KQ21" s="150"/>
      <c r="KR21" s="150"/>
      <c r="KS21" s="192">
        <f>IF(COUNT(KS18,KS14,KS12,KS7,KS4)=0,"",SUM($B$4*IF(COUNT(KS4)=0,0,KS4),$B$7*IF(COUNT(KS7)=0,0,KS7),$B$12*IF(COUNT(KS12)=0,0,KS12),$B$14*IF(COUNT(KS14)=0,0,KS14),$B$18*IF(COUNT(KS18)=0,0,KS18))/SUM($B$4*COUNT(KS4),$B$7*COUNT(KS7),$B$12*COUNT(KS12),$B$14*COUNT(KS14),$B$18*COUNT(KS18)))</f>
        <v>3.7291666666666665</v>
      </c>
      <c r="KT21" s="214">
        <f>IF(KS21="","",KS21*5)</f>
        <v>18.645833333333332</v>
      </c>
      <c r="KU21" s="215"/>
      <c r="KV21" s="215"/>
      <c r="KW21" s="147"/>
      <c r="KX21" s="147"/>
      <c r="KY21" s="147"/>
      <c r="KZ21" s="192">
        <f>IF(COUNT(KZ18,KZ14,KZ12,KZ7,KZ4)=0,"",SUM($B$4*IF(COUNT(KZ4)=0,0,KZ4),$B$7*IF(COUNT(KZ7)=0,0,KZ7),$B$12*IF(COUNT(KZ12)=0,0,KZ12),$B$14*IF(COUNT(KZ14)=0,0,KZ14),$B$18*IF(COUNT(KZ18)=0,0,KZ18))/SUM($B$4*COUNT(KZ4),$B$7*COUNT(KZ7),$B$12*COUNT(KZ12),$B$14*COUNT(KZ14),$B$18*COUNT(KZ18)))</f>
        <v>3.5</v>
      </c>
      <c r="LA21" s="193">
        <f>IF(KZ21="","",KZ21*5)</f>
        <v>17.5</v>
      </c>
      <c r="LB21" s="150"/>
      <c r="LC21" s="150"/>
      <c r="LD21" s="150"/>
      <c r="LE21" s="192">
        <f>IF(COUNT(LE18,LE14,LE12,LE7,LE4)=0,"",SUM($B$4*IF(COUNT(LE4)=0,0,LE4),$B$7*IF(COUNT(LE7)=0,0,LE7),$B$12*IF(COUNT(LE12)=0,0,LE12),$B$14*IF(COUNT(LE14)=0,0,LE14),$B$18*IF(COUNT(LE18)=0,0,LE18))/SUM($B$4*COUNT(LE4),$B$7*COUNT(LE7),$B$12*COUNT(LE12),$B$14*COUNT(LE14),$B$18*COUNT(LE18)))</f>
        <v>4.25</v>
      </c>
      <c r="LF21" s="199">
        <f>IF(LE21="","",LE21*5)</f>
        <v>21.25</v>
      </c>
      <c r="LG21" s="150"/>
      <c r="LH21" s="150"/>
      <c r="LI21" s="150"/>
      <c r="LJ21" s="192">
        <f>IF(COUNT(LJ18,LJ14,LJ12,LJ7,LJ4)=0,"",SUM($B$4*IF(COUNT(LJ4)=0,0,LJ4),$B$7*IF(COUNT(LJ7)=0,0,LJ7),$B$12*IF(COUNT(LJ12)=0,0,LJ12),$B$14*IF(COUNT(LJ14)=0,0,LJ14),$B$18*IF(COUNT(LJ18)=0,0,LJ18))/SUM($B$4*COUNT(LJ4),$B$7*COUNT(LJ7),$B$12*COUNT(LJ12),$B$14*COUNT(LJ14),$B$18*COUNT(LJ18)))</f>
        <v>4.291666666666667</v>
      </c>
      <c r="LK21" s="214">
        <f>IF(LJ21="","",LJ21*5)</f>
        <v>21.458333333333336</v>
      </c>
      <c r="LL21" s="215"/>
      <c r="LM21" s="215"/>
      <c r="LN21" s="147"/>
      <c r="LO21" s="147"/>
      <c r="LP21" s="147"/>
      <c r="LQ21" s="192">
        <f>IF(COUNT(LQ18,LQ14,LQ12,LQ7,LQ4)=0,"",SUM($B$4*IF(COUNT(LQ4)=0,0,LQ4),$B$7*IF(COUNT(LQ7)=0,0,LQ7),$B$12*IF(COUNT(LQ12)=0,0,LQ12),$B$14*IF(COUNT(LQ14)=0,0,LQ14),$B$18*IF(COUNT(LQ18)=0,0,LQ18))/SUM($B$4*COUNT(LQ4),$B$7*COUNT(LQ7),$B$12*COUNT(LQ12),$B$14*COUNT(LQ14),$B$18*COUNT(LQ18)))</f>
        <v>2.5</v>
      </c>
      <c r="LR21" s="193">
        <f>IF(LQ21="","",LQ21*5)</f>
        <v>12.5</v>
      </c>
      <c r="LS21" s="150"/>
      <c r="LT21" s="150"/>
      <c r="LU21" s="150"/>
      <c r="LV21" s="192">
        <f>IF(COUNT(LV18,LV14,LV12,LV7,LV4)=0,"",SUM($B$4*IF(COUNT(LV4)=0,0,LV4),$B$7*IF(COUNT(LV7)=0,0,LV7),$B$12*IF(COUNT(LV12)=0,0,LV12),$B$14*IF(COUNT(LV14)=0,0,LV14),$B$18*IF(COUNT(LV18)=0,0,LV18))/SUM($B$4*COUNT(LV4),$B$7*COUNT(LV7),$B$12*COUNT(LV12),$B$14*COUNT(LV14),$B$18*COUNT(LV18)))</f>
        <v>3.5</v>
      </c>
      <c r="LW21" s="199">
        <f>IF(LV21="","",LV21*5)</f>
        <v>17.5</v>
      </c>
      <c r="LX21" s="150"/>
      <c r="LY21" s="150"/>
      <c r="LZ21" s="150"/>
      <c r="MA21" s="192">
        <f>IF(COUNT(MA18,MA14,MA12,MA7,MA4)=0,"",SUM($B$4*IF(COUNT(MA4)=0,0,MA4),$B$7*IF(COUNT(MA7)=0,0,MA7),$B$12*IF(COUNT(MA12)=0,0,MA12),$B$14*IF(COUNT(MA14)=0,0,MA14),$B$18*IF(COUNT(MA18)=0,0,MA18))/SUM($B$4*COUNT(MA4),$B$7*COUNT(MA7),$B$12*COUNT(MA12),$B$14*COUNT(MA14),$B$18*COUNT(MA18)))</f>
        <v>4</v>
      </c>
      <c r="MB21" s="214">
        <f>IF(MA21="","",MA21*5)</f>
        <v>20</v>
      </c>
      <c r="MC21" s="215"/>
      <c r="MD21" s="215"/>
      <c r="ME21" s="147"/>
      <c r="MF21" s="147"/>
      <c r="MG21" s="147"/>
      <c r="MH21" s="192">
        <f>IF(COUNT(MH18,MH14,MH12,MH7,MH4)=0,"",SUM($B$4*IF(COUNT(MH4)=0,0,MH4),$B$7*IF(COUNT(MH7)=0,0,MH7),$B$12*IF(COUNT(MH12)=0,0,MH12),$B$14*IF(COUNT(MH14)=0,0,MH14),$B$18*IF(COUNT(MH18)=0,0,MH18))/SUM($B$4*COUNT(MH4),$B$7*COUNT(MH7),$B$12*COUNT(MH12),$B$14*COUNT(MH14),$B$18*COUNT(MH18)))</f>
        <v>3.5</v>
      </c>
      <c r="MI21" s="193">
        <f>IF(MH21="","",MH21*5)</f>
        <v>17.5</v>
      </c>
      <c r="MJ21" s="150"/>
      <c r="MK21" s="150"/>
      <c r="ML21" s="150"/>
      <c r="MM21" s="192">
        <f>IF(COUNT(MM18,MM14,MM12,MM7,MM4)=0,"",SUM($B$4*IF(COUNT(MM4)=0,0,MM4),$B$7*IF(COUNT(MM7)=0,0,MM7),$B$12*IF(COUNT(MM12)=0,0,MM12),$B$14*IF(COUNT(MM14)=0,0,MM14),$B$18*IF(COUNT(MM18)=0,0,MM18))/SUM($B$4*COUNT(MM4),$B$7*COUNT(MM7),$B$12*COUNT(MM12),$B$14*COUNT(MM14),$B$18*COUNT(MM18)))</f>
        <v>4.208333333333333</v>
      </c>
      <c r="MN21" s="199">
        <f>IF(MM21="","",MM21*5)</f>
        <v>21.041666666666664</v>
      </c>
      <c r="MO21" s="150"/>
      <c r="MP21" s="150"/>
      <c r="MQ21" s="150"/>
      <c r="MR21" s="192">
        <f>IF(COUNT(MR18,MR14,MR12,MR7,MR4)=0,"",SUM($B$4*IF(COUNT(MR4)=0,0,MR4),$B$7*IF(COUNT(MR7)=0,0,MR7),$B$12*IF(COUNT(MR12)=0,0,MR12),$B$14*IF(COUNT(MR14)=0,0,MR14),$B$18*IF(COUNT(MR18)=0,0,MR18))/SUM($B$4*COUNT(MR4),$B$7*COUNT(MR7),$B$12*COUNT(MR12),$B$14*COUNT(MR14),$B$18*COUNT(MR18)))</f>
        <v>4.333333333333333</v>
      </c>
      <c r="MS21" s="214">
        <f>IF(MR21="","",MR21*5)</f>
        <v>21.666666666666664</v>
      </c>
      <c r="MT21" s="215"/>
      <c r="MU21" s="215"/>
      <c r="MV21" s="147"/>
      <c r="MW21" s="147"/>
      <c r="MX21" s="147"/>
      <c r="MY21" s="192">
        <f>IF(COUNT(MY18,MY14,MY12,MY7,MY4)=0,"",SUM($B$4*IF(COUNT(MY4)=0,0,MY4),$B$7*IF(COUNT(MY7)=0,0,MY7),$B$12*IF(COUNT(MY12)=0,0,MY12),$B$14*IF(COUNT(MY14)=0,0,MY14),$B$18*IF(COUNT(MY18)=0,0,MY18))/SUM($B$4*COUNT(MY4),$B$7*COUNT(MY7),$B$12*COUNT(MY12),$B$14*COUNT(MY14),$B$18*COUNT(MY18)))</f>
        <v>2</v>
      </c>
      <c r="MZ21" s="193">
        <f>IF(MY21="","",MY21*5)</f>
        <v>10</v>
      </c>
      <c r="NA21" s="150"/>
      <c r="NB21" s="150"/>
      <c r="NC21" s="150"/>
      <c r="ND21" s="192">
        <f>IF(COUNT(ND18,ND14,ND12,ND7,ND4)=0,"",SUM($B$4*IF(COUNT(ND4)=0,0,ND4),$B$7*IF(COUNT(ND7)=0,0,ND7),$B$12*IF(COUNT(ND12)=0,0,ND12),$B$14*IF(COUNT(ND14)=0,0,ND14),$B$18*IF(COUNT(ND18)=0,0,ND18))/SUM($B$4*COUNT(ND4),$B$7*COUNT(ND7),$B$12*COUNT(ND12),$B$14*COUNT(ND14),$B$18*COUNT(ND18)))</f>
        <v>4.041666666666667</v>
      </c>
      <c r="NE21" s="199">
        <f>IF(ND21="","",ND21*5)</f>
        <v>20.208333333333336</v>
      </c>
      <c r="NF21" s="150"/>
      <c r="NG21" s="150"/>
      <c r="NH21" s="150"/>
      <c r="NI21" s="192">
        <f>IF(COUNT(NI18,NI14,NI12,NI7,NI4)=0,"",SUM($B$4*IF(COUNT(NI4)=0,0,NI4),$B$7*IF(COUNT(NI7)=0,0,NI7),$B$12*IF(COUNT(NI12)=0,0,NI12),$B$14*IF(COUNT(NI14)=0,0,NI14),$B$18*IF(COUNT(NI18)=0,0,NI18))/SUM($B$4*COUNT(NI4),$B$7*COUNT(NI7),$B$12*COUNT(NI12),$B$14*COUNT(NI14),$B$18*COUNT(NI18)))</f>
        <v>3.2222222222222219</v>
      </c>
      <c r="NJ21" s="214">
        <f>IF(NI21="","",NI21*5)</f>
        <v>16.111111111111111</v>
      </c>
      <c r="NK21" s="215"/>
      <c r="NL21" s="215"/>
      <c r="NM21" s="147"/>
      <c r="NN21" s="147"/>
      <c r="NO21" s="147"/>
      <c r="NP21" s="192">
        <f>IF(COUNT(NP18,NP14,NP12,NP7,NP4)=0,"",SUM($B$4*IF(COUNT(NP4)=0,0,NP4),$B$7*IF(COUNT(NP7)=0,0,NP7),$B$12*IF(COUNT(NP12)=0,0,NP12),$B$14*IF(COUNT(NP14)=0,0,NP14),$B$18*IF(COUNT(NP18)=0,0,NP18))/SUM($B$4*COUNT(NP4),$B$7*COUNT(NP7),$B$12*COUNT(NP12),$B$14*COUNT(NP14),$B$18*COUNT(NP18)))</f>
        <v>4</v>
      </c>
      <c r="NQ21" s="193">
        <f>IF(NP21="","",NP21*5)</f>
        <v>20</v>
      </c>
      <c r="NR21" s="150"/>
      <c r="NS21" s="150"/>
      <c r="NT21" s="150"/>
      <c r="NU21" s="192">
        <f>IF(COUNT(NU18,NU14,NU12,NU7,NU4)=0,"",SUM($B$4*IF(COUNT(NU4)=0,0,NU4),$B$7*IF(COUNT(NU7)=0,0,NU7),$B$12*IF(COUNT(NU12)=0,0,NU12),$B$14*IF(COUNT(NU14)=0,0,NU14),$B$18*IF(COUNT(NU18)=0,0,NU18))/SUM($B$4*COUNT(NU4),$B$7*COUNT(NU7),$B$12*COUNT(NU12),$B$14*COUNT(NU14),$B$18*COUNT(NU18)))</f>
        <v>4.458333333333333</v>
      </c>
      <c r="NV21" s="199">
        <f>IF(NU21="","",NU21*5)</f>
        <v>22.291666666666664</v>
      </c>
      <c r="NW21" s="150"/>
      <c r="NX21" s="150"/>
      <c r="NY21" s="150"/>
      <c r="NZ21" s="192">
        <f>IF(COUNT(NZ18,NZ14,NZ12,NZ7,NZ4)=0,"",SUM($B$4*IF(COUNT(NZ4)=0,0,NZ4),$B$7*IF(COUNT(NZ7)=0,0,NZ7),$B$12*IF(COUNT(NZ12)=0,0,NZ12),$B$14*IF(COUNT(NZ14)=0,0,NZ14),$B$18*IF(COUNT(NZ18)=0,0,NZ18))/SUM($B$4*COUNT(NZ4),$B$7*COUNT(NZ7),$B$12*COUNT(NZ12),$B$14*COUNT(NZ14),$B$18*COUNT(NZ18)))</f>
        <v>4.0625</v>
      </c>
      <c r="OA21" s="214">
        <f>IF(NZ21="","",NZ21*5)</f>
        <v>20.3125</v>
      </c>
      <c r="OB21" s="215"/>
      <c r="OC21" s="215"/>
      <c r="OD21" s="147"/>
      <c r="OE21" s="147"/>
      <c r="OF21" s="147"/>
      <c r="OG21" s="192">
        <f>IF(COUNT(OG18,OG14,OG12,OG7,OG4)=0,"",SUM($B$4*IF(COUNT(OG4)=0,0,OG4),$B$7*IF(COUNT(OG7)=0,0,OG7),$B$12*IF(COUNT(OG12)=0,0,OG12),$B$14*IF(COUNT(OG14)=0,0,OG14),$B$18*IF(COUNT(OG18)=0,0,OG18))/SUM($B$4*COUNT(OG4),$B$7*COUNT(OG7),$B$12*COUNT(OG12),$B$14*COUNT(OG14),$B$18*COUNT(OG18)))</f>
        <v>2.5</v>
      </c>
      <c r="OH21" s="193">
        <f>IF(OG21="","",OG21*5)</f>
        <v>12.5</v>
      </c>
      <c r="OI21" s="150"/>
      <c r="OJ21" s="150"/>
      <c r="OK21" s="150"/>
      <c r="OL21" s="192">
        <f>IF(COUNT(OL18,OL14,OL12,OL7,OL4)=0,"",SUM($B$4*IF(COUNT(OL4)=0,0,OL4),$B$7*IF(COUNT(OL7)=0,0,OL7),$B$12*IF(COUNT(OL12)=0,0,OL12),$B$14*IF(COUNT(OL14)=0,0,OL14),$B$18*IF(COUNT(OL18)=0,0,OL18))/SUM($B$4*COUNT(OL4),$B$7*COUNT(OL7),$B$12*COUNT(OL12),$B$14*COUNT(OL14),$B$18*COUNT(OL18)))</f>
        <v>4.1875</v>
      </c>
      <c r="OM21" s="199">
        <f>IF(OL21="","",OL21*5)</f>
        <v>20.9375</v>
      </c>
      <c r="ON21" s="150"/>
      <c r="OO21" s="150"/>
      <c r="OP21" s="150"/>
      <c r="OQ21" s="192">
        <f>IF(COUNT(OQ18,OQ14,OQ12,OQ7,OQ4)=0,"",SUM($B$4*IF(COUNT(OQ4)=0,0,OQ4),$B$7*IF(COUNT(OQ7)=0,0,OQ7),$B$12*IF(COUNT(OQ12)=0,0,OQ12),$B$14*IF(COUNT(OQ14)=0,0,OQ14),$B$18*IF(COUNT(OQ18)=0,0,OQ18))/SUM($B$4*COUNT(OQ4),$B$7*COUNT(OQ7),$B$12*COUNT(OQ12),$B$14*COUNT(OQ14),$B$18*COUNT(OQ18)))</f>
        <v>4.166666666666667</v>
      </c>
      <c r="OR21" s="214">
        <f>IF(OQ21="","",OQ21*5)</f>
        <v>20.833333333333336</v>
      </c>
      <c r="OS21" s="215"/>
      <c r="OT21" s="215"/>
      <c r="OU21" s="147"/>
      <c r="OV21" s="147"/>
      <c r="OW21" s="147"/>
      <c r="OX21" s="192">
        <f>IF(COUNT(OX18,OX14,OX12,OX7,OX4)=0,"",SUM($B$4*IF(COUNT(OX4)=0,0,OX4),$B$7*IF(COUNT(OX7)=0,0,OX7),$B$12*IF(COUNT(OX12)=0,0,OX12),$B$14*IF(COUNT(OX14)=0,0,OX14),$B$18*IF(COUNT(OX18)=0,0,OX18))/SUM($B$4*COUNT(OX4),$B$7*COUNT(OX7),$B$12*COUNT(OX12),$B$14*COUNT(OX14),$B$18*COUNT(OX18)))</f>
        <v>2</v>
      </c>
      <c r="OY21" s="193">
        <f>IF(OX21="","",OX21*5)</f>
        <v>10</v>
      </c>
      <c r="OZ21" s="150"/>
      <c r="PA21" s="150"/>
      <c r="PB21" s="150"/>
      <c r="PC21" s="192">
        <f>IF(COUNT(PC18,PC14,PC12,PC7,PC4)=0,"",SUM($B$4*IF(COUNT(PC4)=0,0,PC4),$B$7*IF(COUNT(PC7)=0,0,PC7),$B$12*IF(COUNT(PC12)=0,0,PC12),$B$14*IF(COUNT(PC14)=0,0,PC14),$B$18*IF(COUNT(PC18)=0,0,PC18))/SUM($B$4*COUNT(PC4),$B$7*COUNT(PC7),$B$12*COUNT(PC12),$B$14*COUNT(PC14),$B$18*COUNT(PC18)))</f>
        <v>4</v>
      </c>
      <c r="PD21" s="199">
        <f>IF(PC21="","",PC21*5)</f>
        <v>20</v>
      </c>
      <c r="PE21" s="150"/>
      <c r="PF21" s="150"/>
      <c r="PG21" s="150"/>
      <c r="PH21" s="192">
        <f>IF(COUNT(PH18,PH14,PH12,PH7,PH4)=0,"",SUM($B$4*IF(COUNT(PH4)=0,0,PH4),$B$7*IF(COUNT(PH7)=0,0,PH7),$B$12*IF(COUNT(PH12)=0,0,PH12),$B$14*IF(COUNT(PH14)=0,0,PH14),$B$18*IF(COUNT(PH18)=0,0,PH18))/SUM($B$4*COUNT(PH4),$B$7*COUNT(PH7),$B$12*COUNT(PH12),$B$14*COUNT(PH14),$B$18*COUNT(PH18)))</f>
        <v>4.2777777777777777</v>
      </c>
      <c r="PI21" s="214">
        <f>IF(PH21="","",PH21*5)</f>
        <v>21.388888888888889</v>
      </c>
      <c r="PJ21" s="215"/>
      <c r="PK21" s="215"/>
      <c r="PL21" s="147"/>
      <c r="PM21" s="147"/>
      <c r="PN21" s="147"/>
      <c r="PO21" s="192">
        <f>IF(COUNT(PO18,PO14,PO12,PO7,PO4)=0,"",SUM($B$4*IF(COUNT(PO4)=0,0,PO4),$B$7*IF(COUNT(PO7)=0,0,PO7),$B$12*IF(COUNT(PO12)=0,0,PO12),$B$14*IF(COUNT(PO14)=0,0,PO14),$B$18*IF(COUNT(PO18)=0,0,PO18))/SUM($B$4*COUNT(PO4),$B$7*COUNT(PO7),$B$12*COUNT(PO12),$B$14*COUNT(PO14),$B$18*COUNT(PO18)))</f>
        <v>2.5</v>
      </c>
      <c r="PP21" s="193">
        <f>IF(PO21="","",PO21*5)</f>
        <v>12.5</v>
      </c>
      <c r="PQ21" s="150"/>
      <c r="PR21" s="150"/>
      <c r="PS21" s="150"/>
      <c r="PT21" s="192">
        <f>IF(COUNT(PT18,PT14,PT12,PT7,PT4)=0,"",SUM($B$4*IF(COUNT(PT4)=0,0,PT4),$B$7*IF(COUNT(PT7)=0,0,PT7),$B$12*IF(COUNT(PT12)=0,0,PT12),$B$14*IF(COUNT(PT14)=0,0,PT14),$B$18*IF(COUNT(PT18)=0,0,PT18))/SUM($B$4*COUNT(PT4),$B$7*COUNT(PT7),$B$12*COUNT(PT12),$B$14*COUNT(PT14),$B$18*COUNT(PT18)))</f>
        <v>3.6875</v>
      </c>
      <c r="PU21" s="199">
        <f>IF(PT21="","",PT21*5)</f>
        <v>18.4375</v>
      </c>
      <c r="PV21" s="150"/>
      <c r="PW21" s="150"/>
      <c r="PX21" s="150"/>
      <c r="PY21" s="192">
        <f>IF(COUNT(PY18,PY14,PY12,PY7,PY4)=0,"",SUM($B$4*IF(COUNT(PY4)=0,0,PY4),$B$7*IF(COUNT(PY7)=0,0,PY7),$B$12*IF(COUNT(PY12)=0,0,PY12),$B$14*IF(COUNT(PY14)=0,0,PY14),$B$18*IF(COUNT(PY18)=0,0,PY18))/SUM($B$4*COUNT(PY4),$B$7*COUNT(PY7),$B$12*COUNT(PY12),$B$14*COUNT(PY14),$B$18*COUNT(PY18)))</f>
        <v>3.9166666666666665</v>
      </c>
      <c r="PZ21" s="214">
        <f>IF(PY21="","",PY21*5)</f>
        <v>19.583333333333332</v>
      </c>
      <c r="QA21" s="215"/>
      <c r="QB21" s="215"/>
      <c r="QC21" s="147"/>
      <c r="QD21" s="147"/>
      <c r="QE21" s="147"/>
      <c r="QF21" s="192">
        <f>IF(COUNT(QF18,QF14,QF12,QF7,QF4)=0,"",SUM($B$4*IF(COUNT(QF4)=0,0,QF4),$B$7*IF(COUNT(QF7)=0,0,QF7),$B$12*IF(COUNT(QF12)=0,0,QF12),$B$14*IF(COUNT(QF14)=0,0,QF14),$B$18*IF(COUNT(QF18)=0,0,QF18))/SUM($B$4*COUNT(QF4),$B$7*COUNT(QF7),$B$12*COUNT(QF12),$B$14*COUNT(QF14),$B$18*COUNT(QF18)))</f>
        <v>2.5</v>
      </c>
      <c r="QG21" s="193">
        <f>IF(QF21="","",QF21*5)</f>
        <v>12.5</v>
      </c>
      <c r="QH21" s="150"/>
      <c r="QI21" s="150"/>
      <c r="QJ21" s="150"/>
      <c r="QK21" s="192">
        <f>IF(COUNT(QK18,QK14,QK12,QK7,QK4)=0,"",SUM($B$4*IF(COUNT(QK4)=0,0,QK4),$B$7*IF(COUNT(QK7)=0,0,QK7),$B$12*IF(COUNT(QK12)=0,0,QK12),$B$14*IF(COUNT(QK14)=0,0,QK14),$B$18*IF(COUNT(QK18)=0,0,QK18))/SUM($B$4*COUNT(QK4),$B$7*COUNT(QK7),$B$12*COUNT(QK12),$B$14*COUNT(QK14),$B$18*COUNT(QK18)))</f>
        <v>3.5</v>
      </c>
      <c r="QL21" s="199">
        <f>IF(QK21="","",QK21*5)</f>
        <v>17.5</v>
      </c>
      <c r="QM21" s="150"/>
      <c r="QN21" s="150"/>
      <c r="QO21" s="150"/>
      <c r="QP21" s="192">
        <f>IF(COUNT(QP18,QP14,QP12,QP7,QP4)=0,"",SUM($B$4*IF(COUNT(QP4)=0,0,QP4),$B$7*IF(COUNT(QP7)=0,0,QP7),$B$12*IF(COUNT(QP12)=0,0,QP12),$B$14*IF(COUNT(QP14)=0,0,QP14),$B$18*IF(COUNT(QP18)=0,0,QP18))/SUM($B$4*COUNT(QP4),$B$7*COUNT(QP7),$B$12*COUNT(QP12),$B$14*COUNT(QP14),$B$18*COUNT(QP18)))</f>
        <v>3.6875</v>
      </c>
      <c r="QQ21" s="214">
        <f>IF(QP21="","",QP21*5)</f>
        <v>18.4375</v>
      </c>
      <c r="QR21" s="215"/>
      <c r="QS21" s="215"/>
      <c r="QT21" s="147"/>
      <c r="QU21" s="147"/>
      <c r="QV21" s="147"/>
      <c r="QW21" s="192">
        <f>IF(COUNT(QW18,QW14,QW12,QW7,QW4)=0,"",SUM($B$4*IF(COUNT(QW4)=0,0,QW4),$B$7*IF(COUNT(QW7)=0,0,QW7),$B$12*IF(COUNT(QW12)=0,0,QW12),$B$14*IF(COUNT(QW14)=0,0,QW14),$B$18*IF(COUNT(QW18)=0,0,QW18))/SUM($B$4*COUNT(QW4),$B$7*COUNT(QW7),$B$12*COUNT(QW12),$B$14*COUNT(QW14),$B$18*COUNT(QW18)))</f>
        <v>2.5</v>
      </c>
      <c r="QX21" s="193">
        <f>IF(QW21="","",QW21*5)</f>
        <v>12.5</v>
      </c>
      <c r="QY21" s="150"/>
      <c r="QZ21" s="150"/>
      <c r="RA21" s="150"/>
      <c r="RB21" s="192">
        <f>IF(COUNT(RB18,RB14,RB12,RB7,RB4)=0,"",SUM($B$4*IF(COUNT(RB4)=0,0,RB4),$B$7*IF(COUNT(RB7)=0,0,RB7),$B$12*IF(COUNT(RB12)=0,0,RB12),$B$14*IF(COUNT(RB14)=0,0,RB14),$B$18*IF(COUNT(RB18)=0,0,RB18))/SUM($B$4*COUNT(RB4),$B$7*COUNT(RB7),$B$12*COUNT(RB12),$B$14*COUNT(RB14),$B$18*COUNT(RB18)))</f>
        <v>3.8333333333333335</v>
      </c>
      <c r="RC21" s="199">
        <f>IF(RB21="","",RB21*5)</f>
        <v>19.166666666666668</v>
      </c>
      <c r="RD21" s="150"/>
      <c r="RE21" s="150"/>
      <c r="RF21" s="150"/>
      <c r="RG21" s="192">
        <f>IF(COUNT(RG18,RG14,RG12,RG7,RG4)=0,"",SUM($B$4*IF(COUNT(RG4)=0,0,RG4),$B$7*IF(COUNT(RG7)=0,0,RG7),$B$12*IF(COUNT(RG12)=0,0,RG12),$B$14*IF(COUNT(RG14)=0,0,RG14),$B$18*IF(COUNT(RG18)=0,0,RG18))/SUM($B$4*COUNT(RG4),$B$7*COUNT(RG7),$B$12*COUNT(RG12),$B$14*COUNT(RG14),$B$18*COUNT(RG18)))</f>
        <v>4.2777777777777777</v>
      </c>
      <c r="RH21" s="214">
        <f>IF(RG21="","",RG21*5)</f>
        <v>21.388888888888889</v>
      </c>
      <c r="RI21" s="215"/>
      <c r="RJ21" s="215"/>
      <c r="RK21" s="147"/>
      <c r="RL21" s="147"/>
      <c r="RM21" s="147"/>
      <c r="RN21" s="192">
        <f>IF(COUNT(RN18,RN14,RN12,RN7,RN4)=0,"",SUM($B$4*IF(COUNT(RN4)=0,0,RN4),$B$7*IF(COUNT(RN7)=0,0,RN7),$B$12*IF(COUNT(RN12)=0,0,RN12),$B$14*IF(COUNT(RN14)=0,0,RN14),$B$18*IF(COUNT(RN18)=0,0,RN18))/SUM($B$4*COUNT(RN4),$B$7*COUNT(RN7),$B$12*COUNT(RN12),$B$14*COUNT(RN14),$B$18*COUNT(RN18)))</f>
        <v>3.5</v>
      </c>
      <c r="RO21" s="193">
        <f>IF(RN21="","",RN21*5)</f>
        <v>17.5</v>
      </c>
      <c r="RP21" s="150"/>
      <c r="RQ21" s="150"/>
      <c r="RR21" s="150"/>
      <c r="RS21" s="192">
        <f>IF(COUNT(RS18,RS14,RS12,RS7,RS4)=0,"",SUM($B$4*IF(COUNT(RS4)=0,0,RS4),$B$7*IF(COUNT(RS7)=0,0,RS7),$B$12*IF(COUNT(RS12)=0,0,RS12),$B$14*IF(COUNT(RS14)=0,0,RS14),$B$18*IF(COUNT(RS18)=0,0,RS18))/SUM($B$4*COUNT(RS4),$B$7*COUNT(RS7),$B$12*COUNT(RS12),$B$14*COUNT(RS14),$B$18*COUNT(RS18)))</f>
        <v>4</v>
      </c>
      <c r="RT21" s="199">
        <f>IF(RS21="","",RS21*5)</f>
        <v>20</v>
      </c>
      <c r="RU21" s="150"/>
      <c r="RV21" s="150"/>
      <c r="RW21" s="150"/>
      <c r="RX21" s="192">
        <f>IF(COUNT(RX18,RX14,RX12,RX7,RX4)=0,"",SUM($B$4*IF(COUNT(RX4)=0,0,RX4),$B$7*IF(COUNT(RX7)=0,0,RX7),$B$12*IF(COUNT(RX12)=0,0,RX12),$B$14*IF(COUNT(RX14)=0,0,RX14),$B$18*IF(COUNT(RX18)=0,0,RX18))/SUM($B$4*COUNT(RX4),$B$7*COUNT(RX7),$B$12*COUNT(RX12),$B$14*COUNT(RX14),$B$18*COUNT(RX18)))</f>
        <v>3.8541666666666665</v>
      </c>
      <c r="RY21" s="214">
        <f>IF(RX21="","",RX21*5)</f>
        <v>19.270833333333332</v>
      </c>
      <c r="RZ21" s="215"/>
      <c r="SA21" s="215"/>
      <c r="SB21" s="147"/>
      <c r="SC21" s="147"/>
      <c r="SD21" s="147"/>
      <c r="SE21" s="192">
        <f>IF(COUNT(SE18,SE14,SE12,SE7,SE4)=0,"",SUM($B$4*IF(COUNT(SE4)=0,0,SE4),$B$7*IF(COUNT(SE7)=0,0,SE7),$B$12*IF(COUNT(SE12)=0,0,SE12),$B$14*IF(COUNT(SE14)=0,0,SE14),$B$18*IF(COUNT(SE18)=0,0,SE18))/SUM($B$4*COUNT(SE4),$B$7*COUNT(SE7),$B$12*COUNT(SE12),$B$14*COUNT(SE14),$B$18*COUNT(SE18)))</f>
        <v>2.5</v>
      </c>
      <c r="SF21" s="193">
        <f>IF(SE21="","",SE21*5)</f>
        <v>12.5</v>
      </c>
      <c r="SG21" s="150"/>
      <c r="SH21" s="150"/>
      <c r="SI21" s="150"/>
      <c r="SJ21" s="192">
        <f>IF(COUNT(SJ18,SJ14,SJ12,SJ7,SJ4)=0,"",SUM($B$4*IF(COUNT(SJ4)=0,0,SJ4),$B$7*IF(COUNT(SJ7)=0,0,SJ7),$B$12*IF(COUNT(SJ12)=0,0,SJ12),$B$14*IF(COUNT(SJ14)=0,0,SJ14),$B$18*IF(COUNT(SJ18)=0,0,SJ18))/SUM($B$4*COUNT(SJ4),$B$7*COUNT(SJ7),$B$12*COUNT(SJ12),$B$14*COUNT(SJ14),$B$18*COUNT(SJ18)))</f>
        <v>3.8333333333333335</v>
      </c>
      <c r="SK21" s="199">
        <f>IF(SJ21="","",SJ21*5)</f>
        <v>19.166666666666668</v>
      </c>
      <c r="SL21" s="150"/>
      <c r="SM21" s="150"/>
      <c r="SN21" s="150"/>
      <c r="SO21" s="192">
        <f>IF(COUNT(SO18,SO14,SO12,SO7,SO4)=0,"",SUM($B$4*IF(COUNT(SO4)=0,0,SO4),$B$7*IF(COUNT(SO7)=0,0,SO7),$B$12*IF(COUNT(SO12)=0,0,SO12),$B$14*IF(COUNT(SO14)=0,0,SO14),$B$18*IF(COUNT(SO18)=0,0,SO18))/SUM($B$4*COUNT(SO4),$B$7*COUNT(SO7),$B$12*COUNT(SO12),$B$14*COUNT(SO14),$B$18*COUNT(SO18)))</f>
        <v>4.2777777777777777</v>
      </c>
      <c r="SP21" s="214">
        <f>IF(SO21="","",SO21*5)</f>
        <v>21.388888888888889</v>
      </c>
      <c r="SQ21" s="215"/>
      <c r="SR21" s="215"/>
      <c r="SS21" s="147"/>
      <c r="ST21" s="147"/>
      <c r="SU21" s="147"/>
      <c r="SV21" s="192">
        <f>IF(COUNT(SV18,SV14,SV12,SV7,SV4)=0,"",SUM($B$4*IF(COUNT(SV4)=0,0,SV4),$B$7*IF(COUNT(SV7)=0,0,SV7),$B$12*IF(COUNT(SV12)=0,0,SV12),$B$14*IF(COUNT(SV14)=0,0,SV14),$B$18*IF(COUNT(SV18)=0,0,SV18))/SUM($B$4*COUNT(SV4),$B$7*COUNT(SV7),$B$12*COUNT(SV12),$B$14*COUNT(SV14),$B$18*COUNT(SV18)))</f>
        <v>2.5</v>
      </c>
      <c r="SW21" s="193">
        <f>IF(SV21="","",SV21*5)</f>
        <v>12.5</v>
      </c>
      <c r="SX21" s="150"/>
      <c r="SY21" s="150"/>
      <c r="SZ21" s="150"/>
      <c r="TA21" s="192">
        <f>IF(COUNT(TA18,TA14,TA12,TA7,TA4)=0,"",SUM($B$4*IF(COUNT(TA4)=0,0,TA4),$B$7*IF(COUNT(TA7)=0,0,TA7),$B$12*IF(COUNT(TA12)=0,0,TA12),$B$14*IF(COUNT(TA14)=0,0,TA14),$B$18*IF(COUNT(TA18)=0,0,TA18))/SUM($B$4*COUNT(TA4),$B$7*COUNT(TA7),$B$12*COUNT(TA12),$B$14*COUNT(TA14),$B$18*COUNT(TA18)))</f>
        <v>4.291666666666667</v>
      </c>
      <c r="TB21" s="199">
        <f>IF(TA21="","",TA21*5)</f>
        <v>21.458333333333336</v>
      </c>
      <c r="TC21" s="150"/>
      <c r="TD21" s="150"/>
      <c r="TE21" s="150"/>
      <c r="TF21" s="192">
        <f>IF(COUNT(TF18,TF14,TF12,TF7,TF4)=0,"",SUM($B$4*IF(COUNT(TF4)=0,0,TF4),$B$7*IF(COUNT(TF7)=0,0,TF7),$B$12*IF(COUNT(TF12)=0,0,TF12),$B$14*IF(COUNT(TF14)=0,0,TF14),$B$18*IF(COUNT(TF18)=0,0,TF18))/SUM($B$4*COUNT(TF4),$B$7*COUNT(TF7),$B$12*COUNT(TF12),$B$14*COUNT(TF14),$B$18*COUNT(TF18)))</f>
        <v>4.208333333333333</v>
      </c>
      <c r="TG21" s="214">
        <f>IF(TF21="","",TF21*5)</f>
        <v>21.041666666666664</v>
      </c>
      <c r="TH21" s="215"/>
      <c r="TI21" s="215"/>
      <c r="TJ21" s="147"/>
      <c r="TK21" s="147"/>
      <c r="TL21" s="147"/>
      <c r="TM21" s="192">
        <f>IF(COUNT(TM18,TM14,TM12,TM7,TM4)=0,"",SUM($B$4*IF(COUNT(TM4)=0,0,TM4),$B$7*IF(COUNT(TM7)=0,0,TM7),$B$12*IF(COUNT(TM12)=0,0,TM12),$B$14*IF(COUNT(TM14)=0,0,TM14),$B$18*IF(COUNT(TM18)=0,0,TM18))/SUM($B$4*COUNT(TM4),$B$7*COUNT(TM7),$B$12*COUNT(TM12),$B$14*COUNT(TM14),$B$18*COUNT(TM18)))</f>
        <v>2.5</v>
      </c>
      <c r="TN21" s="193">
        <f>IF(TM21="","",TM21*5)</f>
        <v>12.5</v>
      </c>
      <c r="TO21" s="150"/>
      <c r="TP21" s="150"/>
      <c r="TQ21" s="150"/>
      <c r="TR21" s="192">
        <f>IF(COUNT(TR18,TR14,TR12,TR7,TR4)=0,"",SUM($B$4*IF(COUNT(TR4)=0,0,TR4),$B$7*IF(COUNT(TR7)=0,0,TR7),$B$12*IF(COUNT(TR12)=0,0,TR12),$B$14*IF(COUNT(TR14)=0,0,TR14),$B$18*IF(COUNT(TR18)=0,0,TR18))/SUM($B$4*COUNT(TR4),$B$7*COUNT(TR7),$B$12*COUNT(TR12),$B$14*COUNT(TR14),$B$18*COUNT(TR18)))</f>
        <v>3.9375</v>
      </c>
      <c r="TS21" s="199">
        <f>IF(TR21="","",TR21*5)</f>
        <v>19.6875</v>
      </c>
      <c r="TT21" s="150"/>
      <c r="TU21" s="150"/>
      <c r="TV21" s="150"/>
      <c r="TW21" s="192">
        <f>IF(COUNT(TW18,TW14,TW12,TW7,TW4)=0,"",SUM($B$4*IF(COUNT(TW4)=0,0,TW4),$B$7*IF(COUNT(TW7)=0,0,TW7),$B$12*IF(COUNT(TW12)=0,0,TW12),$B$14*IF(COUNT(TW14)=0,0,TW14),$B$18*IF(COUNT(TW18)=0,0,TW18))/SUM($B$4*COUNT(TW4),$B$7*COUNT(TW7),$B$12*COUNT(TW12),$B$14*COUNT(TW14),$B$18*COUNT(TW18)))</f>
        <v>4.25</v>
      </c>
      <c r="TX21" s="214">
        <f>IF(TW21="","",TW21*5)</f>
        <v>21.25</v>
      </c>
      <c r="TY21" s="215"/>
      <c r="TZ21" s="215"/>
    </row>
    <row r="22" spans="1:546" s="154" customFormat="1" ht="18" x14ac:dyDescent="0.35">
      <c r="A22" s="167"/>
      <c r="B22" s="167"/>
      <c r="F22" s="167"/>
      <c r="G22" s="167"/>
      <c r="K22" s="167"/>
      <c r="L22" s="167"/>
      <c r="P22" s="167"/>
      <c r="Q22" s="167"/>
      <c r="R22" s="195"/>
      <c r="S22" s="195"/>
      <c r="W22" s="167"/>
      <c r="X22" s="167"/>
      <c r="AB22" s="167"/>
      <c r="AC22" s="167"/>
      <c r="AG22" s="167"/>
      <c r="AH22" s="167"/>
      <c r="AI22" s="195"/>
      <c r="AJ22" s="195"/>
      <c r="AZ22" s="155"/>
      <c r="BA22" s="155"/>
      <c r="BQ22" s="155"/>
      <c r="BR22" s="155"/>
      <c r="CH22" s="155"/>
      <c r="CI22" s="155"/>
      <c r="CY22" s="155"/>
      <c r="CZ22" s="155"/>
      <c r="DP22" s="155"/>
      <c r="DQ22" s="155"/>
      <c r="EG22" s="155"/>
      <c r="EH22" s="155"/>
      <c r="EX22" s="155"/>
      <c r="EY22" s="155"/>
      <c r="FO22" s="155"/>
      <c r="FP22" s="155"/>
      <c r="GF22" s="155"/>
      <c r="GG22" s="155"/>
      <c r="GW22" s="155"/>
      <c r="GX22" s="155"/>
      <c r="HN22" s="155"/>
      <c r="HO22" s="155"/>
      <c r="IE22" s="155"/>
      <c r="IF22" s="155"/>
      <c r="IV22" s="155"/>
      <c r="IW22" s="155"/>
      <c r="JM22" s="155"/>
      <c r="JN22" s="155"/>
      <c r="KD22" s="155"/>
      <c r="KE22" s="155"/>
      <c r="KU22" s="155"/>
      <c r="KV22" s="155"/>
      <c r="LL22" s="155"/>
      <c r="LM22" s="155"/>
      <c r="MC22" s="155"/>
      <c r="MD22" s="155"/>
      <c r="MT22" s="155"/>
      <c r="MU22" s="155"/>
      <c r="NK22" s="155"/>
      <c r="NL22" s="155"/>
      <c r="OB22" s="155"/>
      <c r="OC22" s="155"/>
      <c r="OS22" s="155"/>
      <c r="OT22" s="155"/>
      <c r="PJ22" s="155"/>
      <c r="PK22" s="155"/>
      <c r="QA22" s="155"/>
      <c r="QB22" s="155"/>
      <c r="QR22" s="155"/>
      <c r="QS22" s="155"/>
      <c r="RI22" s="155"/>
      <c r="RJ22" s="155"/>
      <c r="RZ22" s="155"/>
      <c r="SA22" s="155"/>
      <c r="SQ22" s="155"/>
      <c r="SR22" s="155"/>
      <c r="TH22" s="155"/>
      <c r="TI22" s="155"/>
    </row>
    <row r="33" ht="18" x14ac:dyDescent="0.25"/>
  </sheetData>
  <sheetProtection insertColumns="0" deleteColumns="0" selectLockedCells="1"/>
  <dataConsolidate/>
  <mergeCells count="394">
    <mergeCell ref="TT18:TV18"/>
    <mergeCell ref="A19:B19"/>
    <mergeCell ref="A21:B21"/>
    <mergeCell ref="SL18:SN18"/>
    <mergeCell ref="SS18:SU18"/>
    <mergeCell ref="SX18:SZ18"/>
    <mergeCell ref="TC18:TE18"/>
    <mergeCell ref="TJ18:TL18"/>
    <mergeCell ref="TO18:TQ18"/>
    <mergeCell ref="RD18:RF18"/>
    <mergeCell ref="RK18:RM18"/>
    <mergeCell ref="RP18:RR18"/>
    <mergeCell ref="RU18:RW18"/>
    <mergeCell ref="SB18:SD18"/>
    <mergeCell ref="SG18:SI18"/>
    <mergeCell ref="PV18:PX18"/>
    <mergeCell ref="QC18:QE18"/>
    <mergeCell ref="QH18:QJ18"/>
    <mergeCell ref="QM18:QO18"/>
    <mergeCell ref="QT18:QV18"/>
    <mergeCell ref="QY18:RA18"/>
    <mergeCell ref="ON18:OP18"/>
    <mergeCell ref="OU18:OW18"/>
    <mergeCell ref="OZ18:PB18"/>
    <mergeCell ref="PE18:PG18"/>
    <mergeCell ref="PL18:PN18"/>
    <mergeCell ref="PQ18:PS18"/>
    <mergeCell ref="NF18:NH18"/>
    <mergeCell ref="NM18:NO18"/>
    <mergeCell ref="NR18:NT18"/>
    <mergeCell ref="NW18:NY18"/>
    <mergeCell ref="OD18:OF18"/>
    <mergeCell ref="OI18:OK18"/>
    <mergeCell ref="LX18:LZ18"/>
    <mergeCell ref="ME18:MG18"/>
    <mergeCell ref="MJ18:ML18"/>
    <mergeCell ref="MO18:MQ18"/>
    <mergeCell ref="MV18:MX18"/>
    <mergeCell ref="NA18:NC18"/>
    <mergeCell ref="KP18:KR18"/>
    <mergeCell ref="KW18:KY18"/>
    <mergeCell ref="LB18:LD18"/>
    <mergeCell ref="LG18:LI18"/>
    <mergeCell ref="LN18:LP18"/>
    <mergeCell ref="LS18:LU18"/>
    <mergeCell ref="JH18:JJ18"/>
    <mergeCell ref="JO18:JQ18"/>
    <mergeCell ref="JT18:JV18"/>
    <mergeCell ref="JY18:KA18"/>
    <mergeCell ref="KF18:KH18"/>
    <mergeCell ref="KK18:KM18"/>
    <mergeCell ref="HZ18:IB18"/>
    <mergeCell ref="IG18:II18"/>
    <mergeCell ref="IL18:IN18"/>
    <mergeCell ref="IQ18:IS18"/>
    <mergeCell ref="IX18:IZ18"/>
    <mergeCell ref="JC18:JE18"/>
    <mergeCell ref="GR18:GT18"/>
    <mergeCell ref="GY18:HA18"/>
    <mergeCell ref="HD18:HF18"/>
    <mergeCell ref="HI18:HK18"/>
    <mergeCell ref="HP18:HR18"/>
    <mergeCell ref="HU18:HW18"/>
    <mergeCell ref="FJ18:FL18"/>
    <mergeCell ref="FQ18:FS18"/>
    <mergeCell ref="FV18:FX18"/>
    <mergeCell ref="GA18:GC18"/>
    <mergeCell ref="GH18:GJ18"/>
    <mergeCell ref="GM18:GO18"/>
    <mergeCell ref="EB18:ED18"/>
    <mergeCell ref="EI18:EK18"/>
    <mergeCell ref="EN18:EP18"/>
    <mergeCell ref="ES18:EU18"/>
    <mergeCell ref="EZ18:FB18"/>
    <mergeCell ref="FE18:FG18"/>
    <mergeCell ref="CT18:CV18"/>
    <mergeCell ref="DA18:DC18"/>
    <mergeCell ref="DF18:DH18"/>
    <mergeCell ref="DK18:DM18"/>
    <mergeCell ref="DR18:DT18"/>
    <mergeCell ref="DW18:DY18"/>
    <mergeCell ref="BL18:BN18"/>
    <mergeCell ref="BS18:BU18"/>
    <mergeCell ref="BX18:BZ18"/>
    <mergeCell ref="CC18:CE18"/>
    <mergeCell ref="CJ18:CL18"/>
    <mergeCell ref="CO18:CQ18"/>
    <mergeCell ref="AD18:AF18"/>
    <mergeCell ref="AK18:AM18"/>
    <mergeCell ref="AP18:AR18"/>
    <mergeCell ref="AU18:AW18"/>
    <mergeCell ref="BB18:BD18"/>
    <mergeCell ref="BG18:BI18"/>
    <mergeCell ref="A17:B17"/>
    <mergeCell ref="C18:E18"/>
    <mergeCell ref="H18:J18"/>
    <mergeCell ref="M18:O18"/>
    <mergeCell ref="T18:V18"/>
    <mergeCell ref="Y18:AA18"/>
    <mergeCell ref="TC14:TE14"/>
    <mergeCell ref="TJ14:TL14"/>
    <mergeCell ref="TO14:TQ14"/>
    <mergeCell ref="ON14:OP14"/>
    <mergeCell ref="OU14:OW14"/>
    <mergeCell ref="OZ14:PB14"/>
    <mergeCell ref="MO14:MQ14"/>
    <mergeCell ref="MV14:MX14"/>
    <mergeCell ref="NA14:NC14"/>
    <mergeCell ref="NF14:NH14"/>
    <mergeCell ref="NM14:NO14"/>
    <mergeCell ref="NR14:NT14"/>
    <mergeCell ref="LG14:LI14"/>
    <mergeCell ref="LN14:LP14"/>
    <mergeCell ref="LS14:LU14"/>
    <mergeCell ref="LX14:LZ14"/>
    <mergeCell ref="ME14:MG14"/>
    <mergeCell ref="MJ14:ML14"/>
    <mergeCell ref="TT14:TV14"/>
    <mergeCell ref="A15:B15"/>
    <mergeCell ref="RU14:RW14"/>
    <mergeCell ref="SB14:SD14"/>
    <mergeCell ref="SG14:SI14"/>
    <mergeCell ref="SL14:SN14"/>
    <mergeCell ref="SS14:SU14"/>
    <mergeCell ref="SX14:SZ14"/>
    <mergeCell ref="QM14:QO14"/>
    <mergeCell ref="QT14:QV14"/>
    <mergeCell ref="QY14:RA14"/>
    <mergeCell ref="RD14:RF14"/>
    <mergeCell ref="RK14:RM14"/>
    <mergeCell ref="RP14:RR14"/>
    <mergeCell ref="PE14:PG14"/>
    <mergeCell ref="PL14:PN14"/>
    <mergeCell ref="PQ14:PS14"/>
    <mergeCell ref="PV14:PX14"/>
    <mergeCell ref="QC14:QE14"/>
    <mergeCell ref="QH14:QJ14"/>
    <mergeCell ref="NW14:NY14"/>
    <mergeCell ref="OD14:OF14"/>
    <mergeCell ref="OI14:OK14"/>
    <mergeCell ref="JY14:KA14"/>
    <mergeCell ref="KF14:KH14"/>
    <mergeCell ref="KK14:KM14"/>
    <mergeCell ref="KP14:KR14"/>
    <mergeCell ref="KW14:KY14"/>
    <mergeCell ref="LB14:LD14"/>
    <mergeCell ref="IQ14:IS14"/>
    <mergeCell ref="IX14:IZ14"/>
    <mergeCell ref="JC14:JE14"/>
    <mergeCell ref="JH14:JJ14"/>
    <mergeCell ref="JO14:JQ14"/>
    <mergeCell ref="JT14:JV14"/>
    <mergeCell ref="HI14:HK14"/>
    <mergeCell ref="HP14:HR14"/>
    <mergeCell ref="HU14:HW14"/>
    <mergeCell ref="HZ14:IB14"/>
    <mergeCell ref="IG14:II14"/>
    <mergeCell ref="IL14:IN14"/>
    <mergeCell ref="GA14:GC14"/>
    <mergeCell ref="GH14:GJ14"/>
    <mergeCell ref="GM14:GO14"/>
    <mergeCell ref="GR14:GT14"/>
    <mergeCell ref="GY14:HA14"/>
    <mergeCell ref="HD14:HF14"/>
    <mergeCell ref="ES14:EU14"/>
    <mergeCell ref="EZ14:FB14"/>
    <mergeCell ref="FE14:FG14"/>
    <mergeCell ref="FJ14:FL14"/>
    <mergeCell ref="FQ14:FS14"/>
    <mergeCell ref="FV14:FX14"/>
    <mergeCell ref="DK14:DM14"/>
    <mergeCell ref="DR14:DT14"/>
    <mergeCell ref="DW14:DY14"/>
    <mergeCell ref="EB14:ED14"/>
    <mergeCell ref="EI14:EK14"/>
    <mergeCell ref="EN14:EP14"/>
    <mergeCell ref="CC14:CE14"/>
    <mergeCell ref="CJ14:CL14"/>
    <mergeCell ref="CO14:CQ14"/>
    <mergeCell ref="CT14:CV14"/>
    <mergeCell ref="DA14:DC14"/>
    <mergeCell ref="DF14:DH14"/>
    <mergeCell ref="AU14:AW14"/>
    <mergeCell ref="BB14:BD14"/>
    <mergeCell ref="BG14:BI14"/>
    <mergeCell ref="BL14:BN14"/>
    <mergeCell ref="BS14:BU14"/>
    <mergeCell ref="BX14:BZ14"/>
    <mergeCell ref="TT12:TV12"/>
    <mergeCell ref="C14:E14"/>
    <mergeCell ref="H14:J14"/>
    <mergeCell ref="M14:O14"/>
    <mergeCell ref="T14:V14"/>
    <mergeCell ref="Y14:AA14"/>
    <mergeCell ref="AD14:AF14"/>
    <mergeCell ref="AK14:AM14"/>
    <mergeCell ref="AP14:AR14"/>
    <mergeCell ref="SL12:SN12"/>
    <mergeCell ref="SS12:SU12"/>
    <mergeCell ref="SX12:SZ12"/>
    <mergeCell ref="TC12:TE12"/>
    <mergeCell ref="TJ12:TL12"/>
    <mergeCell ref="TO12:TQ12"/>
    <mergeCell ref="RD12:RF12"/>
    <mergeCell ref="RK12:RM12"/>
    <mergeCell ref="RP12:RR12"/>
    <mergeCell ref="RU12:RW12"/>
    <mergeCell ref="SB12:SD12"/>
    <mergeCell ref="SG12:SI12"/>
    <mergeCell ref="PV12:PX12"/>
    <mergeCell ref="QC12:QE12"/>
    <mergeCell ref="QH12:QJ12"/>
    <mergeCell ref="QM12:QO12"/>
    <mergeCell ref="QT12:QV12"/>
    <mergeCell ref="QY12:RA12"/>
    <mergeCell ref="ON12:OP12"/>
    <mergeCell ref="OU12:OW12"/>
    <mergeCell ref="OZ12:PB12"/>
    <mergeCell ref="PE12:PG12"/>
    <mergeCell ref="PL12:PN12"/>
    <mergeCell ref="PQ12:PS12"/>
    <mergeCell ref="NF12:NH12"/>
    <mergeCell ref="NM12:NO12"/>
    <mergeCell ref="NR12:NT12"/>
    <mergeCell ref="NW12:NY12"/>
    <mergeCell ref="OD12:OF12"/>
    <mergeCell ref="OI12:OK12"/>
    <mergeCell ref="LX12:LZ12"/>
    <mergeCell ref="ME12:MG12"/>
    <mergeCell ref="MJ12:ML12"/>
    <mergeCell ref="MO12:MQ12"/>
    <mergeCell ref="MV12:MX12"/>
    <mergeCell ref="NA12:NC12"/>
    <mergeCell ref="KP12:KR12"/>
    <mergeCell ref="KW12:KY12"/>
    <mergeCell ref="LB12:LD12"/>
    <mergeCell ref="LG12:LI12"/>
    <mergeCell ref="LN12:LP12"/>
    <mergeCell ref="LS12:LU12"/>
    <mergeCell ref="JH12:JJ12"/>
    <mergeCell ref="JO12:JQ12"/>
    <mergeCell ref="JT12:JV12"/>
    <mergeCell ref="JY12:KA12"/>
    <mergeCell ref="KF12:KH12"/>
    <mergeCell ref="KK12:KM12"/>
    <mergeCell ref="HZ12:IB12"/>
    <mergeCell ref="IG12:II12"/>
    <mergeCell ref="IL12:IN12"/>
    <mergeCell ref="IQ12:IS12"/>
    <mergeCell ref="IX12:IZ12"/>
    <mergeCell ref="JC12:JE12"/>
    <mergeCell ref="GR12:GT12"/>
    <mergeCell ref="GY12:HA12"/>
    <mergeCell ref="HD12:HF12"/>
    <mergeCell ref="HI12:HK12"/>
    <mergeCell ref="HP12:HR12"/>
    <mergeCell ref="HU12:HW12"/>
    <mergeCell ref="FJ12:FL12"/>
    <mergeCell ref="FQ12:FS12"/>
    <mergeCell ref="FV12:FX12"/>
    <mergeCell ref="GA12:GC12"/>
    <mergeCell ref="GH12:GJ12"/>
    <mergeCell ref="GM12:GO12"/>
    <mergeCell ref="EB12:ED12"/>
    <mergeCell ref="EI12:EK12"/>
    <mergeCell ref="EN12:EP12"/>
    <mergeCell ref="ES12:EU12"/>
    <mergeCell ref="EZ12:FB12"/>
    <mergeCell ref="FE12:FG12"/>
    <mergeCell ref="CT12:CV12"/>
    <mergeCell ref="DA12:DC12"/>
    <mergeCell ref="DF12:DH12"/>
    <mergeCell ref="DK12:DM12"/>
    <mergeCell ref="DR12:DT12"/>
    <mergeCell ref="DW12:DY12"/>
    <mergeCell ref="BL12:BN12"/>
    <mergeCell ref="BS12:BU12"/>
    <mergeCell ref="BX12:BZ12"/>
    <mergeCell ref="CC12:CE12"/>
    <mergeCell ref="CJ12:CL12"/>
    <mergeCell ref="CO12:CQ12"/>
    <mergeCell ref="AD12:AF12"/>
    <mergeCell ref="AK12:AM12"/>
    <mergeCell ref="AP12:AR12"/>
    <mergeCell ref="AU12:AW12"/>
    <mergeCell ref="BB12:BD12"/>
    <mergeCell ref="BG12:BI12"/>
    <mergeCell ref="TT7:TV7"/>
    <mergeCell ref="A8:B8"/>
    <mergeCell ref="A9:B9"/>
    <mergeCell ref="A11:B11"/>
    <mergeCell ref="C12:E12"/>
    <mergeCell ref="H12:J12"/>
    <mergeCell ref="M12:O12"/>
    <mergeCell ref="T12:V12"/>
    <mergeCell ref="Y12:AA12"/>
    <mergeCell ref="SL7:SN7"/>
    <mergeCell ref="SS7:SU7"/>
    <mergeCell ref="SX7:SZ7"/>
    <mergeCell ref="TC7:TE7"/>
    <mergeCell ref="TJ7:TL7"/>
    <mergeCell ref="TO7:TQ7"/>
    <mergeCell ref="RD7:RF7"/>
    <mergeCell ref="RK7:RM7"/>
    <mergeCell ref="RP7:RR7"/>
    <mergeCell ref="RU7:RW7"/>
    <mergeCell ref="SB7:SD7"/>
    <mergeCell ref="SG7:SI7"/>
    <mergeCell ref="PV7:PX7"/>
    <mergeCell ref="QC7:QE7"/>
    <mergeCell ref="QH7:QJ7"/>
    <mergeCell ref="QM7:QO7"/>
    <mergeCell ref="QT7:QV7"/>
    <mergeCell ref="QY7:RA7"/>
    <mergeCell ref="ON7:OP7"/>
    <mergeCell ref="OU7:OW7"/>
    <mergeCell ref="OZ7:PB7"/>
    <mergeCell ref="PE7:PG7"/>
    <mergeCell ref="PL7:PN7"/>
    <mergeCell ref="PQ7:PS7"/>
    <mergeCell ref="NF7:NH7"/>
    <mergeCell ref="NM7:NO7"/>
    <mergeCell ref="NR7:NT7"/>
    <mergeCell ref="NW7:NY7"/>
    <mergeCell ref="OD7:OF7"/>
    <mergeCell ref="OI7:OK7"/>
    <mergeCell ref="LX7:LZ7"/>
    <mergeCell ref="ME7:MG7"/>
    <mergeCell ref="MJ7:ML7"/>
    <mergeCell ref="MO7:MQ7"/>
    <mergeCell ref="MV7:MX7"/>
    <mergeCell ref="NA7:NC7"/>
    <mergeCell ref="KP7:KR7"/>
    <mergeCell ref="KW7:KY7"/>
    <mergeCell ref="LB7:LD7"/>
    <mergeCell ref="LG7:LI7"/>
    <mergeCell ref="LN7:LP7"/>
    <mergeCell ref="LS7:LU7"/>
    <mergeCell ref="JH7:JJ7"/>
    <mergeCell ref="JO7:JQ7"/>
    <mergeCell ref="JT7:JV7"/>
    <mergeCell ref="JY7:KA7"/>
    <mergeCell ref="KF7:KH7"/>
    <mergeCell ref="KK7:KM7"/>
    <mergeCell ref="HZ7:IB7"/>
    <mergeCell ref="IG7:II7"/>
    <mergeCell ref="IL7:IN7"/>
    <mergeCell ref="IQ7:IS7"/>
    <mergeCell ref="IX7:IZ7"/>
    <mergeCell ref="JC7:JE7"/>
    <mergeCell ref="GR7:GT7"/>
    <mergeCell ref="GY7:HA7"/>
    <mergeCell ref="HD7:HF7"/>
    <mergeCell ref="HI7:HK7"/>
    <mergeCell ref="HP7:HR7"/>
    <mergeCell ref="HU7:HW7"/>
    <mergeCell ref="FJ7:FL7"/>
    <mergeCell ref="FQ7:FS7"/>
    <mergeCell ref="FV7:FX7"/>
    <mergeCell ref="GA7:GC7"/>
    <mergeCell ref="GH7:GJ7"/>
    <mergeCell ref="GM7:GO7"/>
    <mergeCell ref="EB7:ED7"/>
    <mergeCell ref="EI7:EK7"/>
    <mergeCell ref="EN7:EP7"/>
    <mergeCell ref="ES7:EU7"/>
    <mergeCell ref="EZ7:FB7"/>
    <mergeCell ref="FE7:FG7"/>
    <mergeCell ref="CT7:CV7"/>
    <mergeCell ref="DA7:DC7"/>
    <mergeCell ref="DF7:DH7"/>
    <mergeCell ref="DK7:DM7"/>
    <mergeCell ref="DR7:DT7"/>
    <mergeCell ref="DW7:DY7"/>
    <mergeCell ref="BS7:BU7"/>
    <mergeCell ref="BX7:BZ7"/>
    <mergeCell ref="CC7:CE7"/>
    <mergeCell ref="CJ7:CL7"/>
    <mergeCell ref="CO7:CQ7"/>
    <mergeCell ref="AD7:AF7"/>
    <mergeCell ref="AK7:AM7"/>
    <mergeCell ref="AP7:AR7"/>
    <mergeCell ref="AU7:AW7"/>
    <mergeCell ref="BB7:BD7"/>
    <mergeCell ref="BG7:BI7"/>
    <mergeCell ref="A5:B5"/>
    <mergeCell ref="A6:B6"/>
    <mergeCell ref="C7:E7"/>
    <mergeCell ref="H7:J7"/>
    <mergeCell ref="M7:O7"/>
    <mergeCell ref="T7:V7"/>
    <mergeCell ref="Y7:AA7"/>
    <mergeCell ref="A1:B1"/>
    <mergeCell ref="BL7:BN7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H5:J6 M5:O6 H8:J11 M8:O11 H13:J13 M13:O13 H15:J17 M15:O17 H20:J20 M20:O20 JT5:JV6 JY5:KA6 JT8:JV11 JY8:KA11 JT13:JV13 JY13:KA13 JT15:JV17 JY15:KA17 JT20:JV20 JY20:KA20 JO8:JQ11 JO13:JQ13 JO15:JQ17 JO20:JQ20 JO5:JQ6 LB5:LD6 LG5:LI6 LB8:LD11 LG8:LI11 LB13:LD13 LG13:LI13 LB15:LD17 LG15:LI17 LB20:LD20 LG20:LI20 KW8:KY11 KW13:KY13 KW15:KY17 KW20:KY20 KW5:KY6 KK5:KM6 KP5:KR6 KK8:KM11 KP8:KR11 KK13:KM13 KP13:KR13 KK15:KM17 KP15:KR17 KK20:KM20 KP20:KR20 KF8:KH11 KF13:KH13 KF15:KH17 KF20:KH20 KF5:KH6 MJ5:ML6 MO5:MQ6 MJ8:ML11 MO8:MQ11 MJ13:ML13 MO13:MQ13 MJ15:ML17 MO15:MQ17 MJ20:ML20 MO20:MQ20 ME8:MG11 ME13:MG13 ME15:MG17 ME20:MG20 ME5:MG6 OI5:OK6 ON5:OP6 OI8:OK11 ON8:OP11 OI13:OK13 ON13:OP13 OI15:OK17 ON15:OP17 OI20:OK20 ON20:OP20 OD8:OF11 OD13:OF13 OD15:OF17 OD20:OF20 OD5:OF6 SG5:SI6 SL5:SN6 SG8:SI11 SL8:SN11 SG13:SI13 SL13:SN13 SG15:SI17 SL15:SN17 SG20:SI20 SL20:SN20 SB8:SD11 SB13:SD13 SB15:SD17 SB20:SD20 SB5:SD6 C8:E11 C13:E13 C15:E17 C20:E20 C5:E6 OZ5:PB6 PE5:PG6 OZ8:PB11 PE8:PG11 OZ13:PB13 PE13:PG13 OZ15:PB17 PE15:PG17 OZ20:PB20 PE20:PG20 OU8:OW11 OU13:OW13 OU15:OW17 OU20:OW20 OU5:OW6 PQ5:PS6 PV5:PX6 PQ8:PS11 PV8:PX11 PQ13:PS13 PV13:PX13 PQ15:PS17 PV15:PX17 PQ20:PS20 PV20:PX20 PL8:PN11 PL13:PN13 PL15:PN17 PL20:PN20 PL5:PN6 QY5:RA6 RD5:RF6 QY8:RA11 RD8:RF11 QY13:RA13 RD13:RF13 QY15:RA17 RD15:RF17 QY20:RA20 RD20:RF20 QT8:QV11 QT13:QV13 QT15:QV17 QT20:QV20 QT5:QV6 RP5:RR6 RU5:RW6 RP8:RR11 RU8:RW11 RP13:RR13 RU13:RW13 RP15:RR17 RU15:RW17 RP20:RR20 RU20:RW20 RK8:RM11 RK13:RM13 RK15:RM17 RK20:RM20 RK5:RM6 Y5:AA6 AD5:AF6 Y8:AA11 AD8:AF11 Y13:AA13 AD13:AF13 Y15:AA17 AD15:AF17 Y20:AA20 AD20:AF20 T8:V11 T13:V13 T15:V17 T20:V20 T5:V6 LS5:LU6 LX5:LZ6 LS8:LU11 LX8:LZ11 LS13:LU13 LX13:LZ13 LS15:LU17 LX15:LZ17 LS20:LU20 LX20:LZ20 LN8:LP11 LN13:LP13 LN15:LP17 LN20:LP20 LN5:LP6 QH5:QJ6 QM5:QO6 QH8:QJ11 QM8:QO11 QH13:QJ13 QM13:QO13 QH15:QJ17 QM15:QO17 QH20:QJ20 QM20:QO20 QC8:QE11 QC13:QE13 QC15:QE17 QC20:QE20 QC5:QE6 SX5:SZ6 TC5:TE6 SX8:SZ11 TC8:TE11 SX13:SZ13 TC13:TE13 SX15:SZ17 TC15:TE17 SX20:SZ20 TC20:TE20 SS8:SU11 SS13:SU13 SS15:SU17 SS20:SU20 SS5:SU6 AP5:AR6 AU5:AW6 AP8:AR11 AU8:AW11 AP13:AR13 AU13:AW13 AP15:AR17 AU15:AW17 AP20:AR20 AU20:AW20 AK8:AM11 AK13:AM13 AK15:AM17 AK20:AM20 AK5:AM6 BG5:BI6 BL5:BN6 BG8:BI11 BL8:BN11 BG13:BI13 BL13:BN13 BG15:BI17 BL15:BN17 BG20:BI20 BL20:BN20 BB8:BD11 BB13:BD13 BB15:BD17 BB20:BD20 BB5:BD6 BX5:BZ6 CC5:CE6 BX8:BZ11 CC8:CE11 BX13:BZ13 CC13:CE13 BX15:BZ17 CC15:CE17 BX20:BZ20 CC20:CE20 BS8:BU11 BS13:BU13 BS15:BU17 BS20:BU20 BS5:BU6 CO5:CQ6 CT5:CV6 CO8:CQ11 CT8:CV11 CO13:CQ13 CT13:CV13 CO15:CQ17 CT15:CV17 CO20:CQ20 CT20:CV20 CJ8:CL11 CJ13:CL13 CJ15:CL17 CJ20:CL20 CJ5:CL6 DF5:DH6 DK5:DM6 DF8:DH11 DK8:DM11 DF13:DH13 DK13:DM13 DF15:DH17 DK15:DM17 DF20:DH20 DK20:DM20 DA8:DC11 DA13:DC13 DA15:DC17 DA20:DC20 DA5:DC6 DW5:DY6 EB5:ED6 DW8:DY11 EB8:ED11 DW13:DY13 EB13:ED13 DW15:DY17 EB15:ED17 DW20:DY20 EB20:ED20 DR8:DT11 DR13:DT13 DR15:DT17 DR20:DT20 DR5:DT6 EN5:EP6 ES5:EU6 EN8:EP11 ES8:EU11 EN13:EP13 ES13:EU13 EN15:EP17 ES15:EU17 EN20:EP20 ES20:EU20 EI8:EK11 EI13:EK13 EI15:EK17 EI20:EK20 EI5:EK6 FE5:FG6 FJ5:FL6 FE8:FG11 FJ8:FL11 FE13:FG13 FJ13:FL13 FE15:FG17 FJ15:FL17 FE20:FG20 FJ20:FL20 EZ8:FB11 EZ13:FB13 EZ15:FB17 EZ20:FB20 EZ5:FB6 FV5:FX6 GA5:GC6 FV8:FX11 GA8:GC11 FV13:FX13 GA13:GC13 FV15:FX17 GA15:GC17 FV20:FX20 GA20:GC20 FQ8:FS11 FQ13:FS13 FQ15:FS17 FQ20:FS20 FQ5:FS6 GM5:GO6 GR5:GT6 GM8:GO11 GR8:GT11 GM13:GO13 GR13:GT13 GM15:GO17 GR15:GT17 GM20:GO20 GR20:GT20 GH8:GJ11 GH13:GJ13 GH15:GJ17 GH20:GJ20 GH5:GJ6 HD5:HF6 HI5:HK6 HD8:HF11 HI8:HK11 HD13:HF13 HI13:HK13 HD15:HF17 HI15:HK17 HD20:HF20 HI20:HK20 GY8:HA11 GY13:HA13 GY15:HA17 GY20:HA20 GY5:HA6 HU5:HW6 HZ5:IB6 HU8:HW11 HZ8:IB11 HU13:HW13 HZ13:IB13 HU15:HW17 HZ15:IB17 HU20:HW20 HZ20:IB20 HP8:HR11 HP13:HR13 HP15:HR17 HP20:HR20 HP5:HR6 IL5:IN6 IQ5:IS6 IL8:IN11 IQ8:IS11 IL13:IN13 IQ13:IS13 IL15:IN17 IQ15:IS17 IL20:IN20 IQ20:IS20 IG8:II11 IG13:II13 IG15:II17 IG20:II20 IG5:II6 JC5:JE6 JH5:JJ6 JC8:JE11 JH8:JJ11 JC13:JE13 JH13:JJ13 JC15:JE17 JH15:JJ17 JC20:JE20 JH20:JJ20 IX8:IZ11 IX13:IZ13 IX15:IZ17 IX20:IZ20 IX5:IZ6 NA5:NC6 NF5:NH6 NA8:NC11 NF8:NH11 NA13:NC13 NF13:NH13 NA15:NC17 NF15:NH17 NA20:NC20 NF20:NH20 MV8:MX11 MV13:MX13 MV15:MX17 MV20:MX20 MV5:MX6 NR5:NT6 NW5:NY6 NR8:NT11 NW8:NY11 NR13:NT13 NW13:NY13 NR15:NT17 NW15:NY17 NR20:NT20 NW20:NY20 NM8:NO11 NM13:NO13 NM15:NO17 NM20:NO20 NM5:NO6 TO5:TQ6 TT5:TV6 TO8:TQ11 TT8:TV11 TO13:TQ13 TT13:TV13 TO15:TQ17 TT15:TV17 TO20:TQ20 TT20:TV20 TJ8:TL11 TJ13:TL13 TJ15:TL17 TJ20:TL20 TJ5:TL6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A33"/>
  <sheetViews>
    <sheetView zoomScale="90" zoomScaleNormal="90" workbookViewId="0"/>
  </sheetViews>
  <sheetFormatPr baseColWidth="10" defaultRowHeight="15" x14ac:dyDescent="0.25"/>
  <cols>
    <col min="1" max="1" width="30.7109375" style="11" customWidth="1"/>
    <col min="2" max="25" width="6.7109375" style="11" customWidth="1"/>
    <col min="26" max="26" width="6" style="11" customWidth="1"/>
    <col min="27" max="27" width="23.85546875" style="11" customWidth="1"/>
    <col min="28" max="16384" width="11.42578125" style="11"/>
  </cols>
  <sheetData>
    <row r="1" spans="1:27" ht="31.5" customHeight="1" thickBot="1" x14ac:dyDescent="0.3">
      <c r="A1" s="60" t="s">
        <v>200</v>
      </c>
      <c r="B1" s="228" t="s">
        <v>0</v>
      </c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9"/>
      <c r="AA1" s="47" t="s">
        <v>42</v>
      </c>
    </row>
    <row r="2" spans="1:27" ht="24.95" customHeight="1" thickTop="1" x14ac:dyDescent="0.25">
      <c r="A2" s="230" t="s">
        <v>1</v>
      </c>
      <c r="B2" s="232" t="s">
        <v>2</v>
      </c>
      <c r="C2" s="232"/>
      <c r="D2" s="232"/>
      <c r="E2" s="233"/>
      <c r="F2" s="234" t="s">
        <v>3</v>
      </c>
      <c r="G2" s="235"/>
      <c r="H2" s="235"/>
      <c r="I2" s="236"/>
      <c r="J2" s="234" t="s">
        <v>4</v>
      </c>
      <c r="K2" s="235"/>
      <c r="L2" s="235"/>
      <c r="M2" s="236"/>
      <c r="N2" s="234" t="s">
        <v>5</v>
      </c>
      <c r="O2" s="235"/>
      <c r="P2" s="235"/>
      <c r="Q2" s="236"/>
      <c r="R2" s="234" t="s">
        <v>6</v>
      </c>
      <c r="S2" s="235"/>
      <c r="T2" s="235"/>
      <c r="U2" s="236"/>
      <c r="V2" s="237" t="s">
        <v>34</v>
      </c>
      <c r="W2" s="238"/>
      <c r="X2" s="239"/>
      <c r="Y2" s="35" t="s">
        <v>32</v>
      </c>
      <c r="AA2" s="61" t="s">
        <v>193</v>
      </c>
    </row>
    <row r="3" spans="1:27" ht="24.95" customHeight="1" thickBot="1" x14ac:dyDescent="0.3">
      <c r="A3" s="231"/>
      <c r="B3" s="23" t="s">
        <v>27</v>
      </c>
      <c r="C3" s="24" t="s">
        <v>28</v>
      </c>
      <c r="D3" s="23" t="s">
        <v>29</v>
      </c>
      <c r="E3" s="25" t="s">
        <v>10</v>
      </c>
      <c r="F3" s="26" t="s">
        <v>27</v>
      </c>
      <c r="G3" s="27" t="s">
        <v>28</v>
      </c>
      <c r="H3" s="28" t="s">
        <v>29</v>
      </c>
      <c r="I3" s="29" t="s">
        <v>10</v>
      </c>
      <c r="J3" s="30" t="s">
        <v>27</v>
      </c>
      <c r="K3" s="31" t="s">
        <v>28</v>
      </c>
      <c r="L3" s="28" t="s">
        <v>29</v>
      </c>
      <c r="M3" s="29" t="s">
        <v>10</v>
      </c>
      <c r="N3" s="26" t="s">
        <v>27</v>
      </c>
      <c r="O3" s="32" t="s">
        <v>28</v>
      </c>
      <c r="P3" s="28" t="s">
        <v>29</v>
      </c>
      <c r="Q3" s="29" t="s">
        <v>10</v>
      </c>
      <c r="R3" s="26" t="s">
        <v>27</v>
      </c>
      <c r="S3" s="32" t="s">
        <v>28</v>
      </c>
      <c r="T3" s="28" t="s">
        <v>29</v>
      </c>
      <c r="U3" s="29" t="s">
        <v>10</v>
      </c>
      <c r="V3" s="33" t="s">
        <v>27</v>
      </c>
      <c r="W3" s="34" t="s">
        <v>28</v>
      </c>
      <c r="X3" s="34" t="s">
        <v>29</v>
      </c>
      <c r="Y3" s="36" t="s">
        <v>33</v>
      </c>
      <c r="Z3" s="48"/>
      <c r="AA3" s="62" t="s">
        <v>46</v>
      </c>
    </row>
    <row r="4" spans="1:27" ht="15.75" customHeight="1" thickTop="1" x14ac:dyDescent="0.25">
      <c r="A4" s="59" t="str">
        <f ca="1">CELL("contenu",INDIRECT(ADDRESS(ROW()-2,3,1,,CELL("contenu",$AA$3))))</f>
        <v>AOUSTIN Jeanne</v>
      </c>
      <c r="B4" s="2" t="str">
        <f ca="1">CELL("contenu",INDIRECT(ADDRESS(ref!$K$3,ref!E3,1,,CELL("contenu",$AA$2))))</f>
        <v/>
      </c>
      <c r="C4" s="3" t="str">
        <f ca="1">CELL("contenu",INDIRECT(ADDRESS(ref!$K$3,ref!F3,1,,CELL("contenu",$AA$2))))</f>
        <v>B</v>
      </c>
      <c r="D4" s="4" t="str">
        <f ca="1">CELL("contenu",INDIRECT(ADDRESS(ref!$K$3,ref!G3,1,,CELL("contenu",$AA$2))))</f>
        <v>A</v>
      </c>
      <c r="E4" s="5" t="str">
        <f ca="1">CELL("contenu",INDIRECT(ADDRESS(ref!$K$3,ref!H3,1,,CELL("contenu",$AA$2))))</f>
        <v>B</v>
      </c>
      <c r="F4" s="6" t="str">
        <f ca="1">CELL("contenu",INDIRECT(ADDRESS(ref!$K$4,ref!E3,1,,CELL("contenu",$AA$2))))</f>
        <v/>
      </c>
      <c r="G4" s="3" t="str">
        <f ca="1">CELL("contenu",INDIRECT(ADDRESS(ref!$K$4,ref!F3,1,,CELL("contenu",$AA$2))))</f>
        <v>A</v>
      </c>
      <c r="H4" s="4" t="str">
        <f ca="1">CELL("contenu",INDIRECT(ADDRESS(ref!$K$4,ref!G3,1,,CELL("contenu",$AA$2))))</f>
        <v>A</v>
      </c>
      <c r="I4" s="5" t="str">
        <f ca="1">CELL("contenu",INDIRECT(ADDRESS(ref!$K$4,ref!H3,1,,CELL("contenu",$AA$2))))</f>
        <v>B</v>
      </c>
      <c r="J4" s="6" t="str">
        <f ca="1">CELL("contenu",INDIRECT(ADDRESS(ref!$K$5,ref!E3,1,,CELL("contenu",$AA$2))))</f>
        <v>C</v>
      </c>
      <c r="K4" s="3" t="str">
        <f ca="1">CELL("contenu",INDIRECT(ADDRESS(ref!$K$5,ref!F3,1,,CELL("contenu",$AA$2))))</f>
        <v>B</v>
      </c>
      <c r="L4" s="4" t="str">
        <f ca="1">CELL("contenu",INDIRECT(ADDRESS(ref!$K$5,ref!G3,1,,CELL("contenu",$AA$2))))</f>
        <v>A</v>
      </c>
      <c r="M4" s="5" t="str">
        <f ca="1">CELL("contenu",INDIRECT(ADDRESS(ref!$K$5,ref!H3,1,,CELL("contenu",$AA$2))))</f>
        <v>B</v>
      </c>
      <c r="N4" s="6" t="str">
        <f ca="1">CELL("contenu",INDIRECT(ADDRESS(ref!$K$6,ref!E3,1,,CELL("contenu",$AA$2))))</f>
        <v>C</v>
      </c>
      <c r="O4" s="3" t="str">
        <f ca="1">CELL("contenu",INDIRECT(ADDRESS(ref!$K$6,ref!F3,1,,CELL("contenu",$AA$2))))</f>
        <v>B</v>
      </c>
      <c r="P4" s="4" t="str">
        <f ca="1">CELL("contenu",INDIRECT(ADDRESS(ref!$K$6,ref!G3,1,,CELL("contenu",$AA$2))))</f>
        <v>B</v>
      </c>
      <c r="Q4" s="5" t="str">
        <f ca="1">CELL("contenu",INDIRECT(ADDRESS(ref!$K$6,ref!H3,1,,CELL("contenu",$AA$2))))</f>
        <v>B</v>
      </c>
      <c r="R4" s="6" t="str">
        <f ca="1">CELL("contenu",INDIRECT(ADDRESS(ref!$K$7,ref!E3,1,,CELL("contenu",$AA$2))))</f>
        <v/>
      </c>
      <c r="S4" s="3" t="str">
        <f ca="1">CELL("contenu",INDIRECT(ADDRESS(ref!$K$7,ref!F3,1,,CELL("contenu",$AA$2))))</f>
        <v/>
      </c>
      <c r="T4" s="4" t="str">
        <f ca="1">CELL("contenu",INDIRECT(ADDRESS(ref!$K$7,ref!G3,1,,CELL("contenu",$AA$2))))</f>
        <v/>
      </c>
      <c r="U4" s="5" t="str">
        <f ca="1">CELL("contenu",INDIRECT(ADDRESS(ref!$K$7,ref!H3,1,,CELL("contenu",$AA$2))))</f>
        <v/>
      </c>
      <c r="V4" s="49">
        <f ca="1">CELL("contenu",INDIRECT(ADDRESS(ref!$K$8,ref!E3,1,,CELL("contenu",$AA$2))))</f>
        <v>10</v>
      </c>
      <c r="W4" s="50">
        <f ca="1">CELL("contenu",INDIRECT(ADDRESS(ref!$K$8,ref!F3,1,,CELL("contenu",$AA$2))))</f>
        <v>20.833333333333336</v>
      </c>
      <c r="X4" s="51">
        <f ca="1">CELL("contenu",INDIRECT(ADDRESS(ref!$K$8,ref!G3,1,,CELL("contenu",$AA$2))))</f>
        <v>23.125</v>
      </c>
      <c r="Y4" s="21" t="str">
        <f ca="1">CELL("contenu",INDIRECT(ADDRESS(ref!$K$9,ref!H3,1,,CELL("contenu",$AA$2))))</f>
        <v>A</v>
      </c>
    </row>
    <row r="5" spans="1:27" x14ac:dyDescent="0.25">
      <c r="A5" s="59" t="str">
        <f ca="1">CELL("contenu",INDIRECT(ADDRESS(ROW()-2,3,1,,CELL("contenu",$AA$3))))</f>
        <v>BERQUEZ Victor</v>
      </c>
      <c r="B5" s="2" t="str">
        <f ca="1">CELL("contenu",INDIRECT(ADDRESS(ref!$K$3,ref!E4,1,,CELL("contenu",$AA$2))))</f>
        <v/>
      </c>
      <c r="C5" s="3" t="str">
        <f ca="1">CELL("contenu",INDIRECT(ADDRESS(ref!$K$3,ref!F4,1,,CELL("contenu",$AA$2))))</f>
        <v>A</v>
      </c>
      <c r="D5" s="4" t="str">
        <f ca="1">CELL("contenu",INDIRECT(ADDRESS(ref!$K$3,ref!G4,1,,CELL("contenu",$AA$2))))</f>
        <v>A</v>
      </c>
      <c r="E5" s="5" t="str">
        <f ca="1">CELL("contenu",INDIRECT(ADDRESS(ref!$K$3,ref!H4,1,,CELL("contenu",$AA$2))))</f>
        <v>A</v>
      </c>
      <c r="F5" s="6" t="str">
        <f ca="1">CELL("contenu",INDIRECT(ADDRESS(ref!$K$4,ref!E4,1,,CELL("contenu",$AA$2))))</f>
        <v/>
      </c>
      <c r="G5" s="3" t="str">
        <f ca="1">CELL("contenu",INDIRECT(ADDRESS(ref!$K$4,ref!F4,1,,CELL("contenu",$AA$2))))</f>
        <v>A</v>
      </c>
      <c r="H5" s="4" t="str">
        <f ca="1">CELL("contenu",INDIRECT(ADDRESS(ref!$K$4,ref!G4,1,,CELL("contenu",$AA$2))))</f>
        <v>A</v>
      </c>
      <c r="I5" s="5" t="str">
        <f ca="1">CELL("contenu",INDIRECT(ADDRESS(ref!$K$4,ref!H4,1,,CELL("contenu",$AA$2))))</f>
        <v>B</v>
      </c>
      <c r="J5" s="6" t="str">
        <f ca="1">CELL("contenu",INDIRECT(ADDRESS(ref!$K$5,ref!E4,1,,CELL("contenu",$AA$2))))</f>
        <v>D</v>
      </c>
      <c r="K5" s="3" t="str">
        <f ca="1">CELL("contenu",INDIRECT(ADDRESS(ref!$K$5,ref!F4,1,,CELL("contenu",$AA$2))))</f>
        <v>A</v>
      </c>
      <c r="L5" s="4" t="str">
        <f ca="1">CELL("contenu",INDIRECT(ADDRESS(ref!$K$5,ref!G4,1,,CELL("contenu",$AA$2))))</f>
        <v>A</v>
      </c>
      <c r="M5" s="5" t="str">
        <f ca="1">CELL("contenu",INDIRECT(ADDRESS(ref!$K$5,ref!H4,1,,CELL("contenu",$AA$2))))</f>
        <v>B</v>
      </c>
      <c r="N5" s="6" t="str">
        <f ca="1">CELL("contenu",INDIRECT(ADDRESS(ref!$K$6,ref!E4,1,,CELL("contenu",$AA$2))))</f>
        <v>D</v>
      </c>
      <c r="O5" s="3" t="str">
        <f ca="1">CELL("contenu",INDIRECT(ADDRESS(ref!$K$6,ref!F4,1,,CELL("contenu",$AA$2))))</f>
        <v>C</v>
      </c>
      <c r="P5" s="4" t="str">
        <f ca="1">CELL("contenu",INDIRECT(ADDRESS(ref!$K$6,ref!G4,1,,CELL("contenu",$AA$2))))</f>
        <v>C</v>
      </c>
      <c r="Q5" s="5" t="str">
        <f ca="1">CELL("contenu",INDIRECT(ADDRESS(ref!$K$6,ref!H4,1,,CELL("contenu",$AA$2))))</f>
        <v>C</v>
      </c>
      <c r="R5" s="6" t="str">
        <f ca="1">CELL("contenu",INDIRECT(ADDRESS(ref!$K$7,ref!E4,1,,CELL("contenu",$AA$2))))</f>
        <v/>
      </c>
      <c r="S5" s="3" t="str">
        <f ca="1">CELL("contenu",INDIRECT(ADDRESS(ref!$K$7,ref!F4,1,,CELL("contenu",$AA$2))))</f>
        <v/>
      </c>
      <c r="T5" s="4" t="str">
        <f ca="1">CELL("contenu",INDIRECT(ADDRESS(ref!$K$7,ref!G4,1,,CELL("contenu",$AA$2))))</f>
        <v/>
      </c>
      <c r="U5" s="5" t="str">
        <f ca="1">CELL("contenu",INDIRECT(ADDRESS(ref!$K$7,ref!H4,1,,CELL("contenu",$AA$2))))</f>
        <v/>
      </c>
      <c r="V5" s="49">
        <f ca="1">CELL("contenu",INDIRECT(ADDRESS(ref!$K$8,ref!E4,1,,CELL("contenu",$AA$2))))</f>
        <v>5</v>
      </c>
      <c r="W5" s="50">
        <f ca="1">CELL("contenu",INDIRECT(ADDRESS(ref!$K$8,ref!F4,1,,CELL("contenu",$AA$2))))</f>
        <v>21.354166666666664</v>
      </c>
      <c r="X5" s="51">
        <f ca="1">CELL("contenu",INDIRECT(ADDRESS(ref!$K$8,ref!G4,1,,CELL("contenu",$AA$2))))</f>
        <v>20.208333333333336</v>
      </c>
      <c r="Y5" s="21" t="str">
        <f ca="1">CELL("contenu",INDIRECT(ADDRESS(ref!$K$9,ref!H4,1,,CELL("contenu",$AA$2))))</f>
        <v>B</v>
      </c>
    </row>
    <row r="6" spans="1:27" x14ac:dyDescent="0.25">
      <c r="A6" s="59" t="str">
        <f t="shared" ref="A6:A33" ca="1" si="0">CELL("contenu",INDIRECT(ADDRESS(ROW()-2,3,1,,CELL("contenu",$AA$3))))</f>
        <v>BERTHIER Leeloo</v>
      </c>
      <c r="B6" s="2" t="str">
        <f ca="1">CELL("contenu",INDIRECT(ADDRESS(ref!$K$3,ref!E5,1,,CELL("contenu",$AA$2))))</f>
        <v/>
      </c>
      <c r="C6" s="3" t="str">
        <f ca="1">CELL("contenu",INDIRECT(ADDRESS(ref!$K$3,ref!F5,1,,CELL("contenu",$AA$2))))</f>
        <v>C</v>
      </c>
      <c r="D6" s="4" t="str">
        <f ca="1">CELL("contenu",INDIRECT(ADDRESS(ref!$K$3,ref!G5,1,,CELL("contenu",$AA$2))))</f>
        <v>A</v>
      </c>
      <c r="E6" s="5" t="str">
        <f ca="1">CELL("contenu",INDIRECT(ADDRESS(ref!$K$3,ref!H5,1,,CELL("contenu",$AA$2))))</f>
        <v>B</v>
      </c>
      <c r="F6" s="6" t="str">
        <f ca="1">CELL("contenu",INDIRECT(ADDRESS(ref!$K$4,ref!E5,1,,CELL("contenu",$AA$2))))</f>
        <v/>
      </c>
      <c r="G6" s="3" t="str">
        <f ca="1">CELL("contenu",INDIRECT(ADDRESS(ref!$K$4,ref!F5,1,,CELL("contenu",$AA$2))))</f>
        <v>A</v>
      </c>
      <c r="H6" s="4" t="str">
        <f ca="1">CELL("contenu",INDIRECT(ADDRESS(ref!$K$4,ref!G5,1,,CELL("contenu",$AA$2))))</f>
        <v>A</v>
      </c>
      <c r="I6" s="5" t="str">
        <f ca="1">CELL("contenu",INDIRECT(ADDRESS(ref!$K$4,ref!H5,1,,CELL("contenu",$AA$2))))</f>
        <v>B</v>
      </c>
      <c r="J6" s="6" t="str">
        <f ca="1">CELL("contenu",INDIRECT(ADDRESS(ref!$K$5,ref!E5,1,,CELL("contenu",$AA$2))))</f>
        <v>C</v>
      </c>
      <c r="K6" s="3" t="str">
        <f ca="1">CELL("contenu",INDIRECT(ADDRESS(ref!$K$5,ref!F5,1,,CELL("contenu",$AA$2))))</f>
        <v>B</v>
      </c>
      <c r="L6" s="4" t="str">
        <f ca="1">CELL("contenu",INDIRECT(ADDRESS(ref!$K$5,ref!G5,1,,CELL("contenu",$AA$2))))</f>
        <v>A</v>
      </c>
      <c r="M6" s="5" t="str">
        <f ca="1">CELL("contenu",INDIRECT(ADDRESS(ref!$K$5,ref!H5,1,,CELL("contenu",$AA$2))))</f>
        <v>B</v>
      </c>
      <c r="N6" s="6" t="str">
        <f ca="1">CELL("contenu",INDIRECT(ADDRESS(ref!$K$6,ref!E5,1,,CELL("contenu",$AA$2))))</f>
        <v>D</v>
      </c>
      <c r="O6" s="3" t="str">
        <f ca="1">CELL("contenu",INDIRECT(ADDRESS(ref!$K$6,ref!F5,1,,CELL("contenu",$AA$2))))</f>
        <v>B</v>
      </c>
      <c r="P6" s="4" t="str">
        <f ca="1">CELL("contenu",INDIRECT(ADDRESS(ref!$K$6,ref!G5,1,,CELL("contenu",$AA$2))))</f>
        <v>C</v>
      </c>
      <c r="Q6" s="5" t="str">
        <f ca="1">CELL("contenu",INDIRECT(ADDRESS(ref!$K$6,ref!H5,1,,CELL("contenu",$AA$2))))</f>
        <v>C</v>
      </c>
      <c r="R6" s="6" t="str">
        <f ca="1">CELL("contenu",INDIRECT(ADDRESS(ref!$K$7,ref!E5,1,,CELL("contenu",$AA$2))))</f>
        <v/>
      </c>
      <c r="S6" s="3" t="str">
        <f ca="1">CELL("contenu",INDIRECT(ADDRESS(ref!$K$7,ref!F5,1,,CELL("contenu",$AA$2))))</f>
        <v/>
      </c>
      <c r="T6" s="4" t="str">
        <f ca="1">CELL("contenu",INDIRECT(ADDRESS(ref!$K$7,ref!G5,1,,CELL("contenu",$AA$2))))</f>
        <v/>
      </c>
      <c r="U6" s="5" t="str">
        <f ca="1">CELL("contenu",INDIRECT(ADDRESS(ref!$K$7,ref!H5,1,,CELL("contenu",$AA$2))))</f>
        <v/>
      </c>
      <c r="V6" s="49">
        <f ca="1">CELL("contenu",INDIRECT(ADDRESS(ref!$K$8,ref!E5,1,,CELL("contenu",$AA$2))))</f>
        <v>7.5</v>
      </c>
      <c r="W6" s="50">
        <f ca="1">CELL("contenu",INDIRECT(ADDRESS(ref!$K$8,ref!F5,1,,CELL("contenu",$AA$2))))</f>
        <v>18.229166666666668</v>
      </c>
      <c r="X6" s="51">
        <f ca="1">CELL("contenu",INDIRECT(ADDRESS(ref!$K$8,ref!G5,1,,CELL("contenu",$AA$2))))</f>
        <v>21.354166666666664</v>
      </c>
      <c r="Y6" s="21" t="str">
        <f ca="1">CELL("contenu",INDIRECT(ADDRESS(ref!$K$9,ref!H5,1,,CELL("contenu",$AA$2))))</f>
        <v>B</v>
      </c>
    </row>
    <row r="7" spans="1:27" x14ac:dyDescent="0.25">
      <c r="A7" s="59" t="str">
        <f t="shared" ca="1" si="0"/>
        <v>BERTRAND--BEYNEIX Hugo</v>
      </c>
      <c r="B7" s="2" t="str">
        <f ca="1">CELL("contenu",INDIRECT(ADDRESS(ref!$K$3,ref!E6,1,,CELL("contenu",$AA$2))))</f>
        <v/>
      </c>
      <c r="C7" s="3" t="str">
        <f ca="1">CELL("contenu",INDIRECT(ADDRESS(ref!$K$3,ref!F6,1,,CELL("contenu",$AA$2))))</f>
        <v>B</v>
      </c>
      <c r="D7" s="4" t="str">
        <f ca="1">CELL("contenu",INDIRECT(ADDRESS(ref!$K$3,ref!G6,1,,CELL("contenu",$AA$2))))</f>
        <v>A</v>
      </c>
      <c r="E7" s="5" t="str">
        <f ca="1">CELL("contenu",INDIRECT(ADDRESS(ref!$K$3,ref!H6,1,,CELL("contenu",$AA$2))))</f>
        <v>B</v>
      </c>
      <c r="F7" s="6" t="str">
        <f ca="1">CELL("contenu",INDIRECT(ADDRESS(ref!$K$4,ref!E6,1,,CELL("contenu",$AA$2))))</f>
        <v/>
      </c>
      <c r="G7" s="3" t="str">
        <f ca="1">CELL("contenu",INDIRECT(ADDRESS(ref!$K$4,ref!F6,1,,CELL("contenu",$AA$2))))</f>
        <v>A</v>
      </c>
      <c r="H7" s="4" t="str">
        <f ca="1">CELL("contenu",INDIRECT(ADDRESS(ref!$K$4,ref!G6,1,,CELL("contenu",$AA$2))))</f>
        <v>A</v>
      </c>
      <c r="I7" s="5" t="str">
        <f ca="1">CELL("contenu",INDIRECT(ADDRESS(ref!$K$4,ref!H6,1,,CELL("contenu",$AA$2))))</f>
        <v>B</v>
      </c>
      <c r="J7" s="6" t="str">
        <f ca="1">CELL("contenu",INDIRECT(ADDRESS(ref!$K$5,ref!E6,1,,CELL("contenu",$AA$2))))</f>
        <v>C</v>
      </c>
      <c r="K7" s="3" t="str">
        <f ca="1">CELL("contenu",INDIRECT(ADDRESS(ref!$K$5,ref!F6,1,,CELL("contenu",$AA$2))))</f>
        <v>B</v>
      </c>
      <c r="L7" s="4" t="str">
        <f ca="1">CELL("contenu",INDIRECT(ADDRESS(ref!$K$5,ref!G6,1,,CELL("contenu",$AA$2))))</f>
        <v>A</v>
      </c>
      <c r="M7" s="5" t="str">
        <f ca="1">CELL("contenu",INDIRECT(ADDRESS(ref!$K$5,ref!H6,1,,CELL("contenu",$AA$2))))</f>
        <v>B</v>
      </c>
      <c r="N7" s="6" t="str">
        <f ca="1">CELL("contenu",INDIRECT(ADDRESS(ref!$K$6,ref!E6,1,,CELL("contenu",$AA$2))))</f>
        <v>B</v>
      </c>
      <c r="O7" s="3" t="str">
        <f ca="1">CELL("contenu",INDIRECT(ADDRESS(ref!$K$6,ref!F6,1,,CELL("contenu",$AA$2))))</f>
        <v>B</v>
      </c>
      <c r="P7" s="4" t="str">
        <f ca="1">CELL("contenu",INDIRECT(ADDRESS(ref!$K$6,ref!G6,1,,CELL("contenu",$AA$2))))</f>
        <v>B</v>
      </c>
      <c r="Q7" s="5" t="str">
        <f ca="1">CELL("contenu",INDIRECT(ADDRESS(ref!$K$6,ref!H6,1,,CELL("contenu",$AA$2))))</f>
        <v>B</v>
      </c>
      <c r="R7" s="6" t="str">
        <f ca="1">CELL("contenu",INDIRECT(ADDRESS(ref!$K$7,ref!E6,1,,CELL("contenu",$AA$2))))</f>
        <v/>
      </c>
      <c r="S7" s="3" t="str">
        <f ca="1">CELL("contenu",INDIRECT(ADDRESS(ref!$K$7,ref!F6,1,,CELL("contenu",$AA$2))))</f>
        <v/>
      </c>
      <c r="T7" s="4" t="str">
        <f ca="1">CELL("contenu",INDIRECT(ADDRESS(ref!$K$7,ref!G6,1,,CELL("contenu",$AA$2))))</f>
        <v/>
      </c>
      <c r="U7" s="5" t="str">
        <f ca="1">CELL("contenu",INDIRECT(ADDRESS(ref!$K$7,ref!H6,1,,CELL("contenu",$AA$2))))</f>
        <v/>
      </c>
      <c r="V7" s="49">
        <f ca="1">CELL("contenu",INDIRECT(ADDRESS(ref!$K$8,ref!E6,1,,CELL("contenu",$AA$2))))</f>
        <v>12.5</v>
      </c>
      <c r="W7" s="50">
        <f ca="1">CELL("contenu",INDIRECT(ADDRESS(ref!$K$8,ref!F6,1,,CELL("contenu",$AA$2))))</f>
        <v>20.833333333333336</v>
      </c>
      <c r="X7" s="51">
        <f ca="1">CELL("contenu",INDIRECT(ADDRESS(ref!$K$8,ref!G6,1,,CELL("contenu",$AA$2))))</f>
        <v>22.8125</v>
      </c>
      <c r="Y7" s="21" t="str">
        <f ca="1">CELL("contenu",INDIRECT(ADDRESS(ref!$K$9,ref!H6,1,,CELL("contenu",$AA$2))))</f>
        <v>A</v>
      </c>
    </row>
    <row r="8" spans="1:27" x14ac:dyDescent="0.25">
      <c r="A8" s="59" t="str">
        <f t="shared" ca="1" si="0"/>
        <v>BESNIER Gabriel</v>
      </c>
      <c r="B8" s="2" t="str">
        <f ca="1">CELL("contenu",INDIRECT(ADDRESS(ref!$K$3,ref!E7,1,,CELL("contenu",$AA$2))))</f>
        <v/>
      </c>
      <c r="C8" s="3" t="str">
        <f ca="1">CELL("contenu",INDIRECT(ADDRESS(ref!$K$3,ref!F7,1,,CELL("contenu",$AA$2))))</f>
        <v>A</v>
      </c>
      <c r="D8" s="4" t="str">
        <f ca="1">CELL("contenu",INDIRECT(ADDRESS(ref!$K$3,ref!G7,1,,CELL("contenu",$AA$2))))</f>
        <v>A</v>
      </c>
      <c r="E8" s="5" t="str">
        <f ca="1">CELL("contenu",INDIRECT(ADDRESS(ref!$K$3,ref!H7,1,,CELL("contenu",$AA$2))))</f>
        <v>A</v>
      </c>
      <c r="F8" s="6" t="str">
        <f ca="1">CELL("contenu",INDIRECT(ADDRESS(ref!$K$4,ref!E7,1,,CELL("contenu",$AA$2))))</f>
        <v/>
      </c>
      <c r="G8" s="3" t="str">
        <f ca="1">CELL("contenu",INDIRECT(ADDRESS(ref!$K$4,ref!F7,1,,CELL("contenu",$AA$2))))</f>
        <v>A</v>
      </c>
      <c r="H8" s="4" t="str">
        <f ca="1">CELL("contenu",INDIRECT(ADDRESS(ref!$K$4,ref!G7,1,,CELL("contenu",$AA$2))))</f>
        <v>A</v>
      </c>
      <c r="I8" s="5" t="str">
        <f ca="1">CELL("contenu",INDIRECT(ADDRESS(ref!$K$4,ref!H7,1,,CELL("contenu",$AA$2))))</f>
        <v>B</v>
      </c>
      <c r="J8" s="6" t="str">
        <f ca="1">CELL("contenu",INDIRECT(ADDRESS(ref!$K$5,ref!E7,1,,CELL("contenu",$AA$2))))</f>
        <v>B</v>
      </c>
      <c r="K8" s="3" t="str">
        <f ca="1">CELL("contenu",INDIRECT(ADDRESS(ref!$K$5,ref!F7,1,,CELL("contenu",$AA$2))))</f>
        <v>B</v>
      </c>
      <c r="L8" s="4" t="str">
        <f ca="1">CELL("contenu",INDIRECT(ADDRESS(ref!$K$5,ref!G7,1,,CELL("contenu",$AA$2))))</f>
        <v>A</v>
      </c>
      <c r="M8" s="5" t="str">
        <f ca="1">CELL("contenu",INDIRECT(ADDRESS(ref!$K$5,ref!H7,1,,CELL("contenu",$AA$2))))</f>
        <v>B</v>
      </c>
      <c r="N8" s="6" t="str">
        <f ca="1">CELL("contenu",INDIRECT(ADDRESS(ref!$K$6,ref!E7,1,,CELL("contenu",$AA$2))))</f>
        <v>B</v>
      </c>
      <c r="O8" s="3" t="str">
        <f ca="1">CELL("contenu",INDIRECT(ADDRESS(ref!$K$6,ref!F7,1,,CELL("contenu",$AA$2))))</f>
        <v>B</v>
      </c>
      <c r="P8" s="4" t="str">
        <f ca="1">CELL("contenu",INDIRECT(ADDRESS(ref!$K$6,ref!G7,1,,CELL("contenu",$AA$2))))</f>
        <v>B</v>
      </c>
      <c r="Q8" s="5" t="str">
        <f ca="1">CELL("contenu",INDIRECT(ADDRESS(ref!$K$6,ref!H7,1,,CELL("contenu",$AA$2))))</f>
        <v>B</v>
      </c>
      <c r="R8" s="6" t="str">
        <f ca="1">CELL("contenu",INDIRECT(ADDRESS(ref!$K$7,ref!E7,1,,CELL("contenu",$AA$2))))</f>
        <v/>
      </c>
      <c r="S8" s="3" t="str">
        <f ca="1">CELL("contenu",INDIRECT(ADDRESS(ref!$K$7,ref!F7,1,,CELL("contenu",$AA$2))))</f>
        <v/>
      </c>
      <c r="T8" s="4" t="str">
        <f ca="1">CELL("contenu",INDIRECT(ADDRESS(ref!$K$7,ref!G7,1,,CELL("contenu",$AA$2))))</f>
        <v/>
      </c>
      <c r="U8" s="5" t="str">
        <f ca="1">CELL("contenu",INDIRECT(ADDRESS(ref!$K$7,ref!H7,1,,CELL("contenu",$AA$2))))</f>
        <v/>
      </c>
      <c r="V8" s="49">
        <f ca="1">CELL("contenu",INDIRECT(ADDRESS(ref!$K$8,ref!E7,1,,CELL("contenu",$AA$2))))</f>
        <v>15</v>
      </c>
      <c r="W8" s="50">
        <f ca="1">CELL("contenu",INDIRECT(ADDRESS(ref!$K$8,ref!F7,1,,CELL("contenu",$AA$2))))</f>
        <v>21.5625</v>
      </c>
      <c r="X8" s="51">
        <f ca="1">CELL("contenu",INDIRECT(ADDRESS(ref!$K$8,ref!G7,1,,CELL("contenu",$AA$2))))</f>
        <v>22.395833333333336</v>
      </c>
      <c r="Y8" s="21" t="str">
        <f ca="1">CELL("contenu",INDIRECT(ADDRESS(ref!$K$9,ref!H7,1,,CELL("contenu",$AA$2))))</f>
        <v>A</v>
      </c>
    </row>
    <row r="9" spans="1:27" x14ac:dyDescent="0.25">
      <c r="A9" s="59" t="str">
        <f t="shared" ca="1" si="0"/>
        <v>BLANCHET Camille</v>
      </c>
      <c r="B9" s="2" t="str">
        <f ca="1">CELL("contenu",INDIRECT(ADDRESS(ref!$K$3,ref!E8,1,,CELL("contenu",$AA$2))))</f>
        <v/>
      </c>
      <c r="C9" s="3" t="str">
        <f ca="1">CELL("contenu",INDIRECT(ADDRESS(ref!$K$3,ref!F8,1,,CELL("contenu",$AA$2))))</f>
        <v>C</v>
      </c>
      <c r="D9" s="4" t="str">
        <f ca="1">CELL("contenu",INDIRECT(ADDRESS(ref!$K$3,ref!G8,1,,CELL("contenu",$AA$2))))</f>
        <v>A</v>
      </c>
      <c r="E9" s="5" t="str">
        <f ca="1">CELL("contenu",INDIRECT(ADDRESS(ref!$K$3,ref!H8,1,,CELL("contenu",$AA$2))))</f>
        <v>C</v>
      </c>
      <c r="F9" s="6" t="str">
        <f ca="1">CELL("contenu",INDIRECT(ADDRESS(ref!$K$4,ref!E8,1,,CELL("contenu",$AA$2))))</f>
        <v/>
      </c>
      <c r="G9" s="3" t="str">
        <f ca="1">CELL("contenu",INDIRECT(ADDRESS(ref!$K$4,ref!F8,1,,CELL("contenu",$AA$2))))</f>
        <v>A</v>
      </c>
      <c r="H9" s="4" t="str">
        <f ca="1">CELL("contenu",INDIRECT(ADDRESS(ref!$K$4,ref!G8,1,,CELL("contenu",$AA$2))))</f>
        <v>A</v>
      </c>
      <c r="I9" s="5" t="str">
        <f ca="1">CELL("contenu",INDIRECT(ADDRESS(ref!$K$4,ref!H8,1,,CELL("contenu",$AA$2))))</f>
        <v>B</v>
      </c>
      <c r="J9" s="6" t="str">
        <f ca="1">CELL("contenu",INDIRECT(ADDRESS(ref!$K$5,ref!E8,1,,CELL("contenu",$AA$2))))</f>
        <v>B</v>
      </c>
      <c r="K9" s="3" t="str">
        <f ca="1">CELL("contenu",INDIRECT(ADDRESS(ref!$K$5,ref!F8,1,,CELL("contenu",$AA$2))))</f>
        <v>B</v>
      </c>
      <c r="L9" s="4" t="str">
        <f ca="1">CELL("contenu",INDIRECT(ADDRESS(ref!$K$5,ref!G8,1,,CELL("contenu",$AA$2))))</f>
        <v>A</v>
      </c>
      <c r="M9" s="5" t="str">
        <f ca="1">CELL("contenu",INDIRECT(ADDRESS(ref!$K$5,ref!H8,1,,CELL("contenu",$AA$2))))</f>
        <v>B</v>
      </c>
      <c r="N9" s="6" t="str">
        <f ca="1">CELL("contenu",INDIRECT(ADDRESS(ref!$K$6,ref!E8,1,,CELL("contenu",$AA$2))))</f>
        <v>C</v>
      </c>
      <c r="O9" s="3" t="str">
        <f ca="1">CELL("contenu",INDIRECT(ADDRESS(ref!$K$6,ref!F8,1,,CELL("contenu",$AA$2))))</f>
        <v>B</v>
      </c>
      <c r="P9" s="4" t="str">
        <f ca="1">CELL("contenu",INDIRECT(ADDRESS(ref!$K$6,ref!G8,1,,CELL("contenu",$AA$2))))</f>
        <v>C</v>
      </c>
      <c r="Q9" s="5" t="str">
        <f ca="1">CELL("contenu",INDIRECT(ADDRESS(ref!$K$6,ref!H8,1,,CELL("contenu",$AA$2))))</f>
        <v>C</v>
      </c>
      <c r="R9" s="6" t="str">
        <f ca="1">CELL("contenu",INDIRECT(ADDRESS(ref!$K$7,ref!E8,1,,CELL("contenu",$AA$2))))</f>
        <v/>
      </c>
      <c r="S9" s="3" t="str">
        <f ca="1">CELL("contenu",INDIRECT(ADDRESS(ref!$K$7,ref!F8,1,,CELL("contenu",$AA$2))))</f>
        <v/>
      </c>
      <c r="T9" s="4" t="str">
        <f ca="1">CELL("contenu",INDIRECT(ADDRESS(ref!$K$7,ref!G8,1,,CELL("contenu",$AA$2))))</f>
        <v/>
      </c>
      <c r="U9" s="5" t="str">
        <f ca="1">CELL("contenu",INDIRECT(ADDRESS(ref!$K$7,ref!H8,1,,CELL("contenu",$AA$2))))</f>
        <v/>
      </c>
      <c r="V9" s="49">
        <f ca="1">CELL("contenu",INDIRECT(ADDRESS(ref!$K$8,ref!E8,1,,CELL("contenu",$AA$2))))</f>
        <v>12.5</v>
      </c>
      <c r="W9" s="50">
        <f ca="1">CELL("contenu",INDIRECT(ADDRESS(ref!$K$8,ref!F8,1,,CELL("contenu",$AA$2))))</f>
        <v>17.604166666666668</v>
      </c>
      <c r="X9" s="51">
        <f ca="1">CELL("contenu",INDIRECT(ADDRESS(ref!$K$8,ref!G8,1,,CELL("contenu",$AA$2))))</f>
        <v>19.6875</v>
      </c>
      <c r="Y9" s="21" t="str">
        <f ca="1">CELL("contenu",INDIRECT(ADDRESS(ref!$K$9,ref!H8,1,,CELL("contenu",$AA$2))))</f>
        <v>C</v>
      </c>
    </row>
    <row r="10" spans="1:27" x14ac:dyDescent="0.25">
      <c r="A10" s="59" t="str">
        <f t="shared" ca="1" si="0"/>
        <v>BOUFELLAH Sylia</v>
      </c>
      <c r="B10" s="2" t="str">
        <f ca="1">CELL("contenu",INDIRECT(ADDRESS(ref!$K$3,ref!E9,1,,CELL("contenu",$AA$2))))</f>
        <v/>
      </c>
      <c r="C10" s="3" t="str">
        <f ca="1">CELL("contenu",INDIRECT(ADDRESS(ref!$K$3,ref!F9,1,,CELL("contenu",$AA$2))))</f>
        <v>B</v>
      </c>
      <c r="D10" s="4" t="str">
        <f ca="1">CELL("contenu",INDIRECT(ADDRESS(ref!$K$3,ref!G9,1,,CELL("contenu",$AA$2))))</f>
        <v>B</v>
      </c>
      <c r="E10" s="5" t="str">
        <f ca="1">CELL("contenu",INDIRECT(ADDRESS(ref!$K$3,ref!H9,1,,CELL("contenu",$AA$2))))</f>
        <v>B</v>
      </c>
      <c r="F10" s="6" t="str">
        <f ca="1">CELL("contenu",INDIRECT(ADDRESS(ref!$K$4,ref!E9,1,,CELL("contenu",$AA$2))))</f>
        <v/>
      </c>
      <c r="G10" s="3" t="str">
        <f ca="1">CELL("contenu",INDIRECT(ADDRESS(ref!$K$4,ref!F9,1,,CELL("contenu",$AA$2))))</f>
        <v>A</v>
      </c>
      <c r="H10" s="4" t="str">
        <f ca="1">CELL("contenu",INDIRECT(ADDRESS(ref!$K$4,ref!G9,1,,CELL("contenu",$AA$2))))</f>
        <v>A</v>
      </c>
      <c r="I10" s="5" t="str">
        <f ca="1">CELL("contenu",INDIRECT(ADDRESS(ref!$K$4,ref!H9,1,,CELL("contenu",$AA$2))))</f>
        <v>B</v>
      </c>
      <c r="J10" s="6" t="str">
        <f ca="1">CELL("contenu",INDIRECT(ADDRESS(ref!$K$5,ref!E9,1,,CELL("contenu",$AA$2))))</f>
        <v>D</v>
      </c>
      <c r="K10" s="3" t="str">
        <f ca="1">CELL("contenu",INDIRECT(ADDRESS(ref!$K$5,ref!F9,1,,CELL("contenu",$AA$2))))</f>
        <v>B</v>
      </c>
      <c r="L10" s="4" t="str">
        <f ca="1">CELL("contenu",INDIRECT(ADDRESS(ref!$K$5,ref!G9,1,,CELL("contenu",$AA$2))))</f>
        <v>A</v>
      </c>
      <c r="M10" s="5" t="str">
        <f ca="1">CELL("contenu",INDIRECT(ADDRESS(ref!$K$5,ref!H9,1,,CELL("contenu",$AA$2))))</f>
        <v>C</v>
      </c>
      <c r="N10" s="6" t="str">
        <f ca="1">CELL("contenu",INDIRECT(ADDRESS(ref!$K$6,ref!E9,1,,CELL("contenu",$AA$2))))</f>
        <v>D</v>
      </c>
      <c r="O10" s="3" t="str">
        <f ca="1">CELL("contenu",INDIRECT(ADDRESS(ref!$K$6,ref!F9,1,,CELL("contenu",$AA$2))))</f>
        <v>B</v>
      </c>
      <c r="P10" s="4" t="str">
        <f ca="1">CELL("contenu",INDIRECT(ADDRESS(ref!$K$6,ref!G9,1,,CELL("contenu",$AA$2))))</f>
        <v>B</v>
      </c>
      <c r="Q10" s="5" t="str">
        <f ca="1">CELL("contenu",INDIRECT(ADDRESS(ref!$K$6,ref!H9,1,,CELL("contenu",$AA$2))))</f>
        <v>B</v>
      </c>
      <c r="R10" s="6" t="str">
        <f ca="1">CELL("contenu",INDIRECT(ADDRESS(ref!$K$7,ref!E9,1,,CELL("contenu",$AA$2))))</f>
        <v/>
      </c>
      <c r="S10" s="3" t="str">
        <f ca="1">CELL("contenu",INDIRECT(ADDRESS(ref!$K$7,ref!F9,1,,CELL("contenu",$AA$2))))</f>
        <v/>
      </c>
      <c r="T10" s="4" t="str">
        <f ca="1">CELL("contenu",INDIRECT(ADDRESS(ref!$K$7,ref!G9,1,,CELL("contenu",$AA$2))))</f>
        <v/>
      </c>
      <c r="U10" s="5" t="str">
        <f ca="1">CELL("contenu",INDIRECT(ADDRESS(ref!$K$7,ref!H9,1,,CELL("contenu",$AA$2))))</f>
        <v/>
      </c>
      <c r="V10" s="49">
        <f ca="1">CELL("contenu",INDIRECT(ADDRESS(ref!$K$8,ref!E9,1,,CELL("contenu",$AA$2))))</f>
        <v>5</v>
      </c>
      <c r="W10" s="50">
        <f ca="1">CELL("contenu",INDIRECT(ADDRESS(ref!$K$8,ref!F9,1,,CELL("contenu",$AA$2))))</f>
        <v>19.583333333333332</v>
      </c>
      <c r="X10" s="51">
        <f ca="1">CELL("contenu",INDIRECT(ADDRESS(ref!$K$8,ref!G9,1,,CELL("contenu",$AA$2))))</f>
        <v>20.3125</v>
      </c>
      <c r="Y10" s="21" t="str">
        <f ca="1">CELL("contenu",INDIRECT(ADDRESS(ref!$K$9,ref!H9,1,,CELL("contenu",$AA$2))))</f>
        <v>B</v>
      </c>
    </row>
    <row r="11" spans="1:27" x14ac:dyDescent="0.25">
      <c r="A11" s="59" t="str">
        <f t="shared" ca="1" si="0"/>
        <v>CHADOZEAU Agathe</v>
      </c>
      <c r="B11" s="2" t="str">
        <f ca="1">CELL("contenu",INDIRECT(ADDRESS(ref!$K$3,ref!E10,1,,CELL("contenu",$AA$2))))</f>
        <v/>
      </c>
      <c r="C11" s="3" t="str">
        <f ca="1">CELL("contenu",INDIRECT(ADDRESS(ref!$K$3,ref!F10,1,,CELL("contenu",$AA$2))))</f>
        <v>A</v>
      </c>
      <c r="D11" s="4" t="str">
        <f ca="1">CELL("contenu",INDIRECT(ADDRESS(ref!$K$3,ref!G10,1,,CELL("contenu",$AA$2))))</f>
        <v>A</v>
      </c>
      <c r="E11" s="5" t="str">
        <f ca="1">CELL("contenu",INDIRECT(ADDRESS(ref!$K$3,ref!H10,1,,CELL("contenu",$AA$2))))</f>
        <v>A</v>
      </c>
      <c r="F11" s="6" t="str">
        <f ca="1">CELL("contenu",INDIRECT(ADDRESS(ref!$K$4,ref!E10,1,,CELL("contenu",$AA$2))))</f>
        <v/>
      </c>
      <c r="G11" s="3" t="str">
        <f ca="1">CELL("contenu",INDIRECT(ADDRESS(ref!$K$4,ref!F10,1,,CELL("contenu",$AA$2))))</f>
        <v>A</v>
      </c>
      <c r="H11" s="4" t="str">
        <f ca="1">CELL("contenu",INDIRECT(ADDRESS(ref!$K$4,ref!G10,1,,CELL("contenu",$AA$2))))</f>
        <v>A</v>
      </c>
      <c r="I11" s="5" t="str">
        <f ca="1">CELL("contenu",INDIRECT(ADDRESS(ref!$K$4,ref!H10,1,,CELL("contenu",$AA$2))))</f>
        <v>B</v>
      </c>
      <c r="J11" s="6" t="str">
        <f ca="1">CELL("contenu",INDIRECT(ADDRESS(ref!$K$5,ref!E10,1,,CELL("contenu",$AA$2))))</f>
        <v>B</v>
      </c>
      <c r="K11" s="3" t="str">
        <f ca="1">CELL("contenu",INDIRECT(ADDRESS(ref!$K$5,ref!F10,1,,CELL("contenu",$AA$2))))</f>
        <v>C</v>
      </c>
      <c r="L11" s="4" t="str">
        <f ca="1">CELL("contenu",INDIRECT(ADDRESS(ref!$K$5,ref!G10,1,,CELL("contenu",$AA$2))))</f>
        <v/>
      </c>
      <c r="M11" s="5" t="str">
        <f ca="1">CELL("contenu",INDIRECT(ADDRESS(ref!$K$5,ref!H10,1,,CELL("contenu",$AA$2))))</f>
        <v>C</v>
      </c>
      <c r="N11" s="6" t="str">
        <f ca="1">CELL("contenu",INDIRECT(ADDRESS(ref!$K$6,ref!E10,1,,CELL("contenu",$AA$2))))</f>
        <v>B</v>
      </c>
      <c r="O11" s="3" t="str">
        <f ca="1">CELL("contenu",INDIRECT(ADDRESS(ref!$K$6,ref!F10,1,,CELL("contenu",$AA$2))))</f>
        <v>C</v>
      </c>
      <c r="P11" s="4" t="str">
        <f ca="1">CELL("contenu",INDIRECT(ADDRESS(ref!$K$6,ref!G10,1,,CELL("contenu",$AA$2))))</f>
        <v>B</v>
      </c>
      <c r="Q11" s="5" t="str">
        <f ca="1">CELL("contenu",INDIRECT(ADDRESS(ref!$K$6,ref!H10,1,,CELL("contenu",$AA$2))))</f>
        <v>B</v>
      </c>
      <c r="R11" s="6" t="str">
        <f ca="1">CELL("contenu",INDIRECT(ADDRESS(ref!$K$7,ref!E10,1,,CELL("contenu",$AA$2))))</f>
        <v/>
      </c>
      <c r="S11" s="3" t="str">
        <f ca="1">CELL("contenu",INDIRECT(ADDRESS(ref!$K$7,ref!F10,1,,CELL("contenu",$AA$2))))</f>
        <v/>
      </c>
      <c r="T11" s="4" t="str">
        <f ca="1">CELL("contenu",INDIRECT(ADDRESS(ref!$K$7,ref!G10,1,,CELL("contenu",$AA$2))))</f>
        <v/>
      </c>
      <c r="U11" s="5" t="str">
        <f ca="1">CELL("contenu",INDIRECT(ADDRESS(ref!$K$7,ref!H10,1,,CELL("contenu",$AA$2))))</f>
        <v/>
      </c>
      <c r="V11" s="49">
        <f ca="1">CELL("contenu",INDIRECT(ADDRESS(ref!$K$8,ref!E10,1,,CELL("contenu",$AA$2))))</f>
        <v>15</v>
      </c>
      <c r="W11" s="50">
        <f ca="1">CELL("contenu",INDIRECT(ADDRESS(ref!$K$8,ref!F10,1,,CELL("contenu",$AA$2))))</f>
        <v>19.270833333333332</v>
      </c>
      <c r="X11" s="51">
        <f ca="1">CELL("contenu",INDIRECT(ADDRESS(ref!$K$8,ref!G10,1,,CELL("contenu",$AA$2))))</f>
        <v>19.166666666666668</v>
      </c>
      <c r="Y11" s="21" t="str">
        <f ca="1">CELL("contenu",INDIRECT(ADDRESS(ref!$K$9,ref!H10,1,,CELL("contenu",$AA$2))))</f>
        <v>B</v>
      </c>
    </row>
    <row r="12" spans="1:27" x14ac:dyDescent="0.25">
      <c r="A12" s="59" t="str">
        <f t="shared" ca="1" si="0"/>
        <v>COSTA Paul</v>
      </c>
      <c r="B12" s="2" t="str">
        <f ca="1">CELL("contenu",INDIRECT(ADDRESS(ref!$K$3,ref!E11,1,,CELL("contenu",$AA$2))))</f>
        <v/>
      </c>
      <c r="C12" s="3" t="str">
        <f ca="1">CELL("contenu",INDIRECT(ADDRESS(ref!$K$3,ref!F11,1,,CELL("contenu",$AA$2))))</f>
        <v>B</v>
      </c>
      <c r="D12" s="4" t="str">
        <f ca="1">CELL("contenu",INDIRECT(ADDRESS(ref!$K$3,ref!G11,1,,CELL("contenu",$AA$2))))</f>
        <v>A</v>
      </c>
      <c r="E12" s="5" t="str">
        <f ca="1">CELL("contenu",INDIRECT(ADDRESS(ref!$K$3,ref!H11,1,,CELL("contenu",$AA$2))))</f>
        <v>B</v>
      </c>
      <c r="F12" s="6" t="str">
        <f ca="1">CELL("contenu",INDIRECT(ADDRESS(ref!$K$4,ref!E11,1,,CELL("contenu",$AA$2))))</f>
        <v/>
      </c>
      <c r="G12" s="3" t="str">
        <f ca="1">CELL("contenu",INDIRECT(ADDRESS(ref!$K$4,ref!F11,1,,CELL("contenu",$AA$2))))</f>
        <v>A</v>
      </c>
      <c r="H12" s="4" t="str">
        <f ca="1">CELL("contenu",INDIRECT(ADDRESS(ref!$K$4,ref!G11,1,,CELL("contenu",$AA$2))))</f>
        <v>A</v>
      </c>
      <c r="I12" s="5" t="str">
        <f ca="1">CELL("contenu",INDIRECT(ADDRESS(ref!$K$4,ref!H11,1,,CELL("contenu",$AA$2))))</f>
        <v>B</v>
      </c>
      <c r="J12" s="6" t="str">
        <f ca="1">CELL("contenu",INDIRECT(ADDRESS(ref!$K$5,ref!E11,1,,CELL("contenu",$AA$2))))</f>
        <v>C</v>
      </c>
      <c r="K12" s="3" t="str">
        <f ca="1">CELL("contenu",INDIRECT(ADDRESS(ref!$K$5,ref!F11,1,,CELL("contenu",$AA$2))))</f>
        <v>B</v>
      </c>
      <c r="L12" s="4" t="str">
        <f ca="1">CELL("contenu",INDIRECT(ADDRESS(ref!$K$5,ref!G11,1,,CELL("contenu",$AA$2))))</f>
        <v>A</v>
      </c>
      <c r="M12" s="5" t="str">
        <f ca="1">CELL("contenu",INDIRECT(ADDRESS(ref!$K$5,ref!H11,1,,CELL("contenu",$AA$2))))</f>
        <v>B</v>
      </c>
      <c r="N12" s="6" t="str">
        <f ca="1">CELL("contenu",INDIRECT(ADDRESS(ref!$K$6,ref!E11,1,,CELL("contenu",$AA$2))))</f>
        <v>D</v>
      </c>
      <c r="O12" s="3" t="str">
        <f ca="1">CELL("contenu",INDIRECT(ADDRESS(ref!$K$6,ref!F11,1,,CELL("contenu",$AA$2))))</f>
        <v>B</v>
      </c>
      <c r="P12" s="4" t="str">
        <f ca="1">CELL("contenu",INDIRECT(ADDRESS(ref!$K$6,ref!G11,1,,CELL("contenu",$AA$2))))</f>
        <v>C</v>
      </c>
      <c r="Q12" s="5" t="str">
        <f ca="1">CELL("contenu",INDIRECT(ADDRESS(ref!$K$6,ref!H11,1,,CELL("contenu",$AA$2))))</f>
        <v>C</v>
      </c>
      <c r="R12" s="6" t="str">
        <f ca="1">CELL("contenu",INDIRECT(ADDRESS(ref!$K$7,ref!E11,1,,CELL("contenu",$AA$2))))</f>
        <v/>
      </c>
      <c r="S12" s="3" t="str">
        <f ca="1">CELL("contenu",INDIRECT(ADDRESS(ref!$K$7,ref!F11,1,,CELL("contenu",$AA$2))))</f>
        <v/>
      </c>
      <c r="T12" s="4" t="str">
        <f ca="1">CELL("contenu",INDIRECT(ADDRESS(ref!$K$7,ref!G11,1,,CELL("contenu",$AA$2))))</f>
        <v/>
      </c>
      <c r="U12" s="5" t="str">
        <f ca="1">CELL("contenu",INDIRECT(ADDRESS(ref!$K$7,ref!H11,1,,CELL("contenu",$AA$2))))</f>
        <v/>
      </c>
      <c r="V12" s="49">
        <f ca="1">CELL("contenu",INDIRECT(ADDRESS(ref!$K$8,ref!E11,1,,CELL("contenu",$AA$2))))</f>
        <v>7.5</v>
      </c>
      <c r="W12" s="50">
        <f ca="1">CELL("contenu",INDIRECT(ADDRESS(ref!$K$8,ref!F11,1,,CELL("contenu",$AA$2))))</f>
        <v>20.416666666666664</v>
      </c>
      <c r="X12" s="51">
        <f ca="1">CELL("contenu",INDIRECT(ADDRESS(ref!$K$8,ref!G11,1,,CELL("contenu",$AA$2))))</f>
        <v>20.3125</v>
      </c>
      <c r="Y12" s="21" t="str">
        <f ca="1">CELL("contenu",INDIRECT(ADDRESS(ref!$K$9,ref!H11,1,,CELL("contenu",$AA$2))))</f>
        <v>B</v>
      </c>
    </row>
    <row r="13" spans="1:27" x14ac:dyDescent="0.25">
      <c r="A13" s="59" t="str">
        <f t="shared" ca="1" si="0"/>
        <v>COURAUD Axelle</v>
      </c>
      <c r="B13" s="2" t="str">
        <f ca="1">CELL("contenu",INDIRECT(ADDRESS(ref!$K$3,ref!E12,1,,CELL("contenu",$AA$2))))</f>
        <v/>
      </c>
      <c r="C13" s="3" t="str">
        <f ca="1">CELL("contenu",INDIRECT(ADDRESS(ref!$K$3,ref!F12,1,,CELL("contenu",$AA$2))))</f>
        <v>B</v>
      </c>
      <c r="D13" s="4" t="str">
        <f ca="1">CELL("contenu",INDIRECT(ADDRESS(ref!$K$3,ref!G12,1,,CELL("contenu",$AA$2))))</f>
        <v>A</v>
      </c>
      <c r="E13" s="5" t="str">
        <f ca="1">CELL("contenu",INDIRECT(ADDRESS(ref!$K$3,ref!H12,1,,CELL("contenu",$AA$2))))</f>
        <v>B</v>
      </c>
      <c r="F13" s="6" t="str">
        <f ca="1">CELL("contenu",INDIRECT(ADDRESS(ref!$K$4,ref!E12,1,,CELL("contenu",$AA$2))))</f>
        <v/>
      </c>
      <c r="G13" s="3" t="str">
        <f ca="1">CELL("contenu",INDIRECT(ADDRESS(ref!$K$4,ref!F12,1,,CELL("contenu",$AA$2))))</f>
        <v>A</v>
      </c>
      <c r="H13" s="4" t="str">
        <f ca="1">CELL("contenu",INDIRECT(ADDRESS(ref!$K$4,ref!G12,1,,CELL("contenu",$AA$2))))</f>
        <v>A</v>
      </c>
      <c r="I13" s="5" t="str">
        <f ca="1">CELL("contenu",INDIRECT(ADDRESS(ref!$K$4,ref!H12,1,,CELL("contenu",$AA$2))))</f>
        <v>B</v>
      </c>
      <c r="J13" s="6" t="str">
        <f ca="1">CELL("contenu",INDIRECT(ADDRESS(ref!$K$5,ref!E12,1,,CELL("contenu",$AA$2))))</f>
        <v>B</v>
      </c>
      <c r="K13" s="3" t="str">
        <f ca="1">CELL("contenu",INDIRECT(ADDRESS(ref!$K$5,ref!F12,1,,CELL("contenu",$AA$2))))</f>
        <v>B</v>
      </c>
      <c r="L13" s="4" t="str">
        <f ca="1">CELL("contenu",INDIRECT(ADDRESS(ref!$K$5,ref!G12,1,,CELL("contenu",$AA$2))))</f>
        <v>A</v>
      </c>
      <c r="M13" s="5" t="str">
        <f ca="1">CELL("contenu",INDIRECT(ADDRESS(ref!$K$5,ref!H12,1,,CELL("contenu",$AA$2))))</f>
        <v>B</v>
      </c>
      <c r="N13" s="6" t="str">
        <f ca="1">CELL("contenu",INDIRECT(ADDRESS(ref!$K$6,ref!E12,1,,CELL("contenu",$AA$2))))</f>
        <v>C</v>
      </c>
      <c r="O13" s="3" t="str">
        <f ca="1">CELL("contenu",INDIRECT(ADDRESS(ref!$K$6,ref!F12,1,,CELL("contenu",$AA$2))))</f>
        <v>B</v>
      </c>
      <c r="P13" s="4" t="str">
        <f ca="1">CELL("contenu",INDIRECT(ADDRESS(ref!$K$6,ref!G12,1,,CELL("contenu",$AA$2))))</f>
        <v>C</v>
      </c>
      <c r="Q13" s="5" t="str">
        <f ca="1">CELL("contenu",INDIRECT(ADDRESS(ref!$K$6,ref!H12,1,,CELL("contenu",$AA$2))))</f>
        <v>C</v>
      </c>
      <c r="R13" s="6" t="str">
        <f ca="1">CELL("contenu",INDIRECT(ADDRESS(ref!$K$7,ref!E12,1,,CELL("contenu",$AA$2))))</f>
        <v/>
      </c>
      <c r="S13" s="3" t="str">
        <f ca="1">CELL("contenu",INDIRECT(ADDRESS(ref!$K$7,ref!F12,1,,CELL("contenu",$AA$2))))</f>
        <v/>
      </c>
      <c r="T13" s="4" t="str">
        <f ca="1">CELL("contenu",INDIRECT(ADDRESS(ref!$K$7,ref!G12,1,,CELL("contenu",$AA$2))))</f>
        <v/>
      </c>
      <c r="U13" s="5" t="str">
        <f ca="1">CELL("contenu",INDIRECT(ADDRESS(ref!$K$7,ref!H12,1,,CELL("contenu",$AA$2))))</f>
        <v/>
      </c>
      <c r="V13" s="49">
        <f ca="1">CELL("contenu",INDIRECT(ADDRESS(ref!$K$8,ref!E12,1,,CELL("contenu",$AA$2))))</f>
        <v>12.5</v>
      </c>
      <c r="W13" s="50">
        <f ca="1">CELL("contenu",INDIRECT(ADDRESS(ref!$K$8,ref!F12,1,,CELL("contenu",$AA$2))))</f>
        <v>20.625</v>
      </c>
      <c r="X13" s="51">
        <f ca="1">CELL("contenu",INDIRECT(ADDRESS(ref!$K$8,ref!G12,1,,CELL("contenu",$AA$2))))</f>
        <v>21.666666666666664</v>
      </c>
      <c r="Y13" s="21" t="str">
        <f ca="1">CELL("contenu",INDIRECT(ADDRESS(ref!$K$9,ref!H12,1,,CELL("contenu",$AA$2))))</f>
        <v>B</v>
      </c>
    </row>
    <row r="14" spans="1:27" x14ac:dyDescent="0.25">
      <c r="A14" s="59" t="str">
        <f t="shared" ca="1" si="0"/>
        <v>COUTANT Elena</v>
      </c>
      <c r="B14" s="2" t="str">
        <f ca="1">CELL("contenu",INDIRECT(ADDRESS(ref!$K$3,ref!E13,1,,CELL("contenu",$AA$2))))</f>
        <v/>
      </c>
      <c r="C14" s="3" t="str">
        <f ca="1">CELL("contenu",INDIRECT(ADDRESS(ref!$K$3,ref!F13,1,,CELL("contenu",$AA$2))))</f>
        <v>B</v>
      </c>
      <c r="D14" s="4" t="str">
        <f ca="1">CELL("contenu",INDIRECT(ADDRESS(ref!$K$3,ref!G13,1,,CELL("contenu",$AA$2))))</f>
        <v>A</v>
      </c>
      <c r="E14" s="5" t="str">
        <f ca="1">CELL("contenu",INDIRECT(ADDRESS(ref!$K$3,ref!H13,1,,CELL("contenu",$AA$2))))</f>
        <v>B</v>
      </c>
      <c r="F14" s="6" t="str">
        <f ca="1">CELL("contenu",INDIRECT(ADDRESS(ref!$K$4,ref!E13,1,,CELL("contenu",$AA$2))))</f>
        <v/>
      </c>
      <c r="G14" s="3" t="str">
        <f ca="1">CELL("contenu",INDIRECT(ADDRESS(ref!$K$4,ref!F13,1,,CELL("contenu",$AA$2))))</f>
        <v>A</v>
      </c>
      <c r="H14" s="4" t="str">
        <f ca="1">CELL("contenu",INDIRECT(ADDRESS(ref!$K$4,ref!G13,1,,CELL("contenu",$AA$2))))</f>
        <v>A</v>
      </c>
      <c r="I14" s="5" t="str">
        <f ca="1">CELL("contenu",INDIRECT(ADDRESS(ref!$K$4,ref!H13,1,,CELL("contenu",$AA$2))))</f>
        <v>A</v>
      </c>
      <c r="J14" s="6" t="str">
        <f ca="1">CELL("contenu",INDIRECT(ADDRESS(ref!$K$5,ref!E13,1,,CELL("contenu",$AA$2))))</f>
        <v>C</v>
      </c>
      <c r="K14" s="3" t="str">
        <f ca="1">CELL("contenu",INDIRECT(ADDRESS(ref!$K$5,ref!F13,1,,CELL("contenu",$AA$2))))</f>
        <v>C</v>
      </c>
      <c r="L14" s="4" t="str">
        <f ca="1">CELL("contenu",INDIRECT(ADDRESS(ref!$K$5,ref!G13,1,,CELL("contenu",$AA$2))))</f>
        <v>A</v>
      </c>
      <c r="M14" s="5" t="str">
        <f ca="1">CELL("contenu",INDIRECT(ADDRESS(ref!$K$5,ref!H13,1,,CELL("contenu",$AA$2))))</f>
        <v>C</v>
      </c>
      <c r="N14" s="6" t="str">
        <f ca="1">CELL("contenu",INDIRECT(ADDRESS(ref!$K$6,ref!E13,1,,CELL("contenu",$AA$2))))</f>
        <v>D</v>
      </c>
      <c r="O14" s="3" t="str">
        <f ca="1">CELL("contenu",INDIRECT(ADDRESS(ref!$K$6,ref!F13,1,,CELL("contenu",$AA$2))))</f>
        <v>B</v>
      </c>
      <c r="P14" s="4" t="str">
        <f ca="1">CELL("contenu",INDIRECT(ADDRESS(ref!$K$6,ref!G13,1,,CELL("contenu",$AA$2))))</f>
        <v>C</v>
      </c>
      <c r="Q14" s="5" t="str">
        <f ca="1">CELL("contenu",INDIRECT(ADDRESS(ref!$K$6,ref!H13,1,,CELL("contenu",$AA$2))))</f>
        <v>C</v>
      </c>
      <c r="R14" s="6" t="str">
        <f ca="1">CELL("contenu",INDIRECT(ADDRESS(ref!$K$7,ref!E13,1,,CELL("contenu",$AA$2))))</f>
        <v/>
      </c>
      <c r="S14" s="3" t="str">
        <f ca="1">CELL("contenu",INDIRECT(ADDRESS(ref!$K$7,ref!F13,1,,CELL("contenu",$AA$2))))</f>
        <v/>
      </c>
      <c r="T14" s="4" t="str">
        <f ca="1">CELL("contenu",INDIRECT(ADDRESS(ref!$K$7,ref!G13,1,,CELL("contenu",$AA$2))))</f>
        <v/>
      </c>
      <c r="U14" s="5" t="str">
        <f ca="1">CELL("contenu",INDIRECT(ADDRESS(ref!$K$7,ref!H13,1,,CELL("contenu",$AA$2))))</f>
        <v/>
      </c>
      <c r="V14" s="49">
        <f ca="1">CELL("contenu",INDIRECT(ADDRESS(ref!$K$8,ref!E13,1,,CELL("contenu",$AA$2))))</f>
        <v>7.5</v>
      </c>
      <c r="W14" s="50">
        <f ca="1">CELL("contenu",INDIRECT(ADDRESS(ref!$K$8,ref!F13,1,,CELL("contenu",$AA$2))))</f>
        <v>19.583333333333332</v>
      </c>
      <c r="X14" s="51">
        <f ca="1">CELL("contenu",INDIRECT(ADDRESS(ref!$K$8,ref!G13,1,,CELL("contenu",$AA$2))))</f>
        <v>22.604166666666664</v>
      </c>
      <c r="Y14" s="21" t="str">
        <f ca="1">CELL("contenu",INDIRECT(ADDRESS(ref!$K$9,ref!H13,1,,CELL("contenu",$AA$2))))</f>
        <v>A</v>
      </c>
    </row>
    <row r="15" spans="1:27" x14ac:dyDescent="0.25">
      <c r="A15" s="59" t="str">
        <f t="shared" ca="1" si="0"/>
        <v>DE BENGY Thomas</v>
      </c>
      <c r="B15" s="2" t="str">
        <f ca="1">CELL("contenu",INDIRECT(ADDRESS(ref!$K$3,ref!E14,1,,CELL("contenu",$AA$2))))</f>
        <v/>
      </c>
      <c r="C15" s="3" t="str">
        <f ca="1">CELL("contenu",INDIRECT(ADDRESS(ref!$K$3,ref!F14,1,,CELL("contenu",$AA$2))))</f>
        <v>B</v>
      </c>
      <c r="D15" s="4" t="str">
        <f ca="1">CELL("contenu",INDIRECT(ADDRESS(ref!$K$3,ref!G14,1,,CELL("contenu",$AA$2))))</f>
        <v>A</v>
      </c>
      <c r="E15" s="5" t="str">
        <f ca="1">CELL("contenu",INDIRECT(ADDRESS(ref!$K$3,ref!H14,1,,CELL("contenu",$AA$2))))</f>
        <v>B</v>
      </c>
      <c r="F15" s="6" t="str">
        <f ca="1">CELL("contenu",INDIRECT(ADDRESS(ref!$K$4,ref!E14,1,,CELL("contenu",$AA$2))))</f>
        <v/>
      </c>
      <c r="G15" s="3" t="str">
        <f ca="1">CELL("contenu",INDIRECT(ADDRESS(ref!$K$4,ref!F14,1,,CELL("contenu",$AA$2))))</f>
        <v>A</v>
      </c>
      <c r="H15" s="4" t="str">
        <f ca="1">CELL("contenu",INDIRECT(ADDRESS(ref!$K$4,ref!G14,1,,CELL("contenu",$AA$2))))</f>
        <v>A</v>
      </c>
      <c r="I15" s="5" t="str">
        <f ca="1">CELL("contenu",INDIRECT(ADDRESS(ref!$K$4,ref!H14,1,,CELL("contenu",$AA$2))))</f>
        <v>B</v>
      </c>
      <c r="J15" s="6" t="str">
        <f ca="1">CELL("contenu",INDIRECT(ADDRESS(ref!$K$5,ref!E14,1,,CELL("contenu",$AA$2))))</f>
        <v>C</v>
      </c>
      <c r="K15" s="3" t="str">
        <f ca="1">CELL("contenu",INDIRECT(ADDRESS(ref!$K$5,ref!F14,1,,CELL("contenu",$AA$2))))</f>
        <v>B</v>
      </c>
      <c r="L15" s="4" t="str">
        <f ca="1">CELL("contenu",INDIRECT(ADDRESS(ref!$K$5,ref!G14,1,,CELL("contenu",$AA$2))))</f>
        <v>A</v>
      </c>
      <c r="M15" s="5" t="str">
        <f ca="1">CELL("contenu",INDIRECT(ADDRESS(ref!$K$5,ref!H14,1,,CELL("contenu",$AA$2))))</f>
        <v>B</v>
      </c>
      <c r="N15" s="6" t="str">
        <f ca="1">CELL("contenu",INDIRECT(ADDRESS(ref!$K$6,ref!E14,1,,CELL("contenu",$AA$2))))</f>
        <v>C</v>
      </c>
      <c r="O15" s="3" t="str">
        <f ca="1">CELL("contenu",INDIRECT(ADDRESS(ref!$K$6,ref!F14,1,,CELL("contenu",$AA$2))))</f>
        <v>B</v>
      </c>
      <c r="P15" s="4" t="str">
        <f ca="1">CELL("contenu",INDIRECT(ADDRESS(ref!$K$6,ref!G14,1,,CELL("contenu",$AA$2))))</f>
        <v>C</v>
      </c>
      <c r="Q15" s="5" t="str">
        <f ca="1">CELL("contenu",INDIRECT(ADDRESS(ref!$K$6,ref!H14,1,,CELL("contenu",$AA$2))))</f>
        <v>C</v>
      </c>
      <c r="R15" s="6" t="str">
        <f ca="1">CELL("contenu",INDIRECT(ADDRESS(ref!$K$7,ref!E14,1,,CELL("contenu",$AA$2))))</f>
        <v/>
      </c>
      <c r="S15" s="3" t="str">
        <f ca="1">CELL("contenu",INDIRECT(ADDRESS(ref!$K$7,ref!F14,1,,CELL("contenu",$AA$2))))</f>
        <v/>
      </c>
      <c r="T15" s="4" t="str">
        <f ca="1">CELL("contenu",INDIRECT(ADDRESS(ref!$K$7,ref!G14,1,,CELL("contenu",$AA$2))))</f>
        <v/>
      </c>
      <c r="U15" s="5" t="str">
        <f ca="1">CELL("contenu",INDIRECT(ADDRESS(ref!$K$7,ref!H14,1,,CELL("contenu",$AA$2))))</f>
        <v/>
      </c>
      <c r="V15" s="49">
        <f ca="1">CELL("contenu",INDIRECT(ADDRESS(ref!$K$8,ref!E14,1,,CELL("contenu",$AA$2))))</f>
        <v>10</v>
      </c>
      <c r="W15" s="50">
        <f ca="1">CELL("contenu",INDIRECT(ADDRESS(ref!$K$8,ref!F14,1,,CELL("contenu",$AA$2))))</f>
        <v>20.833333333333336</v>
      </c>
      <c r="X15" s="51">
        <f ca="1">CELL("contenu",INDIRECT(ADDRESS(ref!$K$8,ref!G14,1,,CELL("contenu",$AA$2))))</f>
        <v>22.291666666666664</v>
      </c>
      <c r="Y15" s="21" t="str">
        <f ca="1">CELL("contenu",INDIRECT(ADDRESS(ref!$K$9,ref!H14,1,,CELL("contenu",$AA$2))))</f>
        <v>A</v>
      </c>
    </row>
    <row r="16" spans="1:27" x14ac:dyDescent="0.25">
      <c r="A16" s="59" t="str">
        <f t="shared" ca="1" si="0"/>
        <v>DE LA HOUGUE Violette</v>
      </c>
      <c r="B16" s="2" t="str">
        <f ca="1">CELL("contenu",INDIRECT(ADDRESS(ref!$K$3,ref!E15,1,,CELL("contenu",$AA$2))))</f>
        <v/>
      </c>
      <c r="C16" s="3" t="str">
        <f ca="1">CELL("contenu",INDIRECT(ADDRESS(ref!$K$3,ref!F15,1,,CELL("contenu",$AA$2))))</f>
        <v>A</v>
      </c>
      <c r="D16" s="4" t="str">
        <f ca="1">CELL("contenu",INDIRECT(ADDRESS(ref!$K$3,ref!G15,1,,CELL("contenu",$AA$2))))</f>
        <v>A</v>
      </c>
      <c r="E16" s="5" t="str">
        <f ca="1">CELL("contenu",INDIRECT(ADDRESS(ref!$K$3,ref!H15,1,,CELL("contenu",$AA$2))))</f>
        <v>A</v>
      </c>
      <c r="F16" s="6" t="str">
        <f ca="1">CELL("contenu",INDIRECT(ADDRESS(ref!$K$4,ref!E15,1,,CELL("contenu",$AA$2))))</f>
        <v/>
      </c>
      <c r="G16" s="3" t="str">
        <f ca="1">CELL("contenu",INDIRECT(ADDRESS(ref!$K$4,ref!F15,1,,CELL("contenu",$AA$2))))</f>
        <v>A</v>
      </c>
      <c r="H16" s="4" t="str">
        <f ca="1">CELL("contenu",INDIRECT(ADDRESS(ref!$K$4,ref!G15,1,,CELL("contenu",$AA$2))))</f>
        <v>A</v>
      </c>
      <c r="I16" s="5" t="str">
        <f ca="1">CELL("contenu",INDIRECT(ADDRESS(ref!$K$4,ref!H15,1,,CELL("contenu",$AA$2))))</f>
        <v>B</v>
      </c>
      <c r="J16" s="6" t="str">
        <f ca="1">CELL("contenu",INDIRECT(ADDRESS(ref!$K$5,ref!E15,1,,CELL("contenu",$AA$2))))</f>
        <v>D</v>
      </c>
      <c r="K16" s="3" t="str">
        <f ca="1">CELL("contenu",INDIRECT(ADDRESS(ref!$K$5,ref!F15,1,,CELL("contenu",$AA$2))))</f>
        <v>B</v>
      </c>
      <c r="L16" s="4" t="str">
        <f ca="1">CELL("contenu",INDIRECT(ADDRESS(ref!$K$5,ref!G15,1,,CELL("contenu",$AA$2))))</f>
        <v>A</v>
      </c>
      <c r="M16" s="5" t="str">
        <f ca="1">CELL("contenu",INDIRECT(ADDRESS(ref!$K$5,ref!H15,1,,CELL("contenu",$AA$2))))</f>
        <v>C</v>
      </c>
      <c r="N16" s="6" t="str">
        <f ca="1">CELL("contenu",INDIRECT(ADDRESS(ref!$K$6,ref!E15,1,,CELL("contenu",$AA$2))))</f>
        <v>D</v>
      </c>
      <c r="O16" s="3" t="str">
        <f ca="1">CELL("contenu",INDIRECT(ADDRESS(ref!$K$6,ref!F15,1,,CELL("contenu",$AA$2))))</f>
        <v>B</v>
      </c>
      <c r="P16" s="4" t="str">
        <f ca="1">CELL("contenu",INDIRECT(ADDRESS(ref!$K$6,ref!G15,1,,CELL("contenu",$AA$2))))</f>
        <v>B</v>
      </c>
      <c r="Q16" s="5" t="str">
        <f ca="1">CELL("contenu",INDIRECT(ADDRESS(ref!$K$6,ref!H15,1,,CELL("contenu",$AA$2))))</f>
        <v>B</v>
      </c>
      <c r="R16" s="6" t="str">
        <f ca="1">CELL("contenu",INDIRECT(ADDRESS(ref!$K$7,ref!E15,1,,CELL("contenu",$AA$2))))</f>
        <v/>
      </c>
      <c r="S16" s="3" t="str">
        <f ca="1">CELL("contenu",INDIRECT(ADDRESS(ref!$K$7,ref!F15,1,,CELL("contenu",$AA$2))))</f>
        <v/>
      </c>
      <c r="T16" s="4" t="str">
        <f ca="1">CELL("contenu",INDIRECT(ADDRESS(ref!$K$7,ref!G15,1,,CELL("contenu",$AA$2))))</f>
        <v/>
      </c>
      <c r="U16" s="5" t="str">
        <f ca="1">CELL("contenu",INDIRECT(ADDRESS(ref!$K$7,ref!H15,1,,CELL("contenu",$AA$2))))</f>
        <v/>
      </c>
      <c r="V16" s="49">
        <f ca="1">CELL("contenu",INDIRECT(ADDRESS(ref!$K$8,ref!E15,1,,CELL("contenu",$AA$2))))</f>
        <v>5</v>
      </c>
      <c r="W16" s="50">
        <f ca="1">CELL("contenu",INDIRECT(ADDRESS(ref!$K$8,ref!F15,1,,CELL("contenu",$AA$2))))</f>
        <v>21.5625</v>
      </c>
      <c r="X16" s="51">
        <f ca="1">CELL("contenu",INDIRECT(ADDRESS(ref!$K$8,ref!G15,1,,CELL("contenu",$AA$2))))</f>
        <v>23.333333333333336</v>
      </c>
      <c r="Y16" s="21" t="str">
        <f ca="1">CELL("contenu",INDIRECT(ADDRESS(ref!$K$9,ref!H15,1,,CELL("contenu",$AA$2))))</f>
        <v>A</v>
      </c>
    </row>
    <row r="17" spans="1:25" x14ac:dyDescent="0.25">
      <c r="A17" s="59" t="str">
        <f t="shared" ca="1" si="0"/>
        <v>DE PONCHEVILLE Maelys</v>
      </c>
      <c r="B17" s="2" t="str">
        <f ca="1">CELL("contenu",INDIRECT(ADDRESS(ref!$K$3,ref!E16,1,,CELL("contenu",$AA$2))))</f>
        <v/>
      </c>
      <c r="C17" s="3" t="str">
        <f ca="1">CELL("contenu",INDIRECT(ADDRESS(ref!$K$3,ref!F16,1,,CELL("contenu",$AA$2))))</f>
        <v>A</v>
      </c>
      <c r="D17" s="4" t="str">
        <f ca="1">CELL("contenu",INDIRECT(ADDRESS(ref!$K$3,ref!G16,1,,CELL("contenu",$AA$2))))</f>
        <v>A</v>
      </c>
      <c r="E17" s="5" t="str">
        <f ca="1">CELL("contenu",INDIRECT(ADDRESS(ref!$K$3,ref!H16,1,,CELL("contenu",$AA$2))))</f>
        <v>A</v>
      </c>
      <c r="F17" s="6" t="str">
        <f ca="1">CELL("contenu",INDIRECT(ADDRESS(ref!$K$4,ref!E16,1,,CELL("contenu",$AA$2))))</f>
        <v/>
      </c>
      <c r="G17" s="3" t="str">
        <f ca="1">CELL("contenu",INDIRECT(ADDRESS(ref!$K$4,ref!F16,1,,CELL("contenu",$AA$2))))</f>
        <v>A</v>
      </c>
      <c r="H17" s="4" t="str">
        <f ca="1">CELL("contenu",INDIRECT(ADDRESS(ref!$K$4,ref!G16,1,,CELL("contenu",$AA$2))))</f>
        <v>A</v>
      </c>
      <c r="I17" s="5" t="str">
        <f ca="1">CELL("contenu",INDIRECT(ADDRESS(ref!$K$4,ref!H16,1,,CELL("contenu",$AA$2))))</f>
        <v>B</v>
      </c>
      <c r="J17" s="6" t="str">
        <f ca="1">CELL("contenu",INDIRECT(ADDRESS(ref!$K$5,ref!E16,1,,CELL("contenu",$AA$2))))</f>
        <v>A</v>
      </c>
      <c r="K17" s="3" t="str">
        <f ca="1">CELL("contenu",INDIRECT(ADDRESS(ref!$K$5,ref!F16,1,,CELL("contenu",$AA$2))))</f>
        <v>B</v>
      </c>
      <c r="L17" s="4" t="str">
        <f ca="1">CELL("contenu",INDIRECT(ADDRESS(ref!$K$5,ref!G16,1,,CELL("contenu",$AA$2))))</f>
        <v>A</v>
      </c>
      <c r="M17" s="5" t="str">
        <f ca="1">CELL("contenu",INDIRECT(ADDRESS(ref!$K$5,ref!H16,1,,CELL("contenu",$AA$2))))</f>
        <v>B</v>
      </c>
      <c r="N17" s="6" t="str">
        <f ca="1">CELL("contenu",INDIRECT(ADDRESS(ref!$K$6,ref!E16,1,,CELL("contenu",$AA$2))))</f>
        <v>B</v>
      </c>
      <c r="O17" s="3" t="str">
        <f ca="1">CELL("contenu",INDIRECT(ADDRESS(ref!$K$6,ref!F16,1,,CELL("contenu",$AA$2))))</f>
        <v>B</v>
      </c>
      <c r="P17" s="4" t="str">
        <f ca="1">CELL("contenu",INDIRECT(ADDRESS(ref!$K$6,ref!G16,1,,CELL("contenu",$AA$2))))</f>
        <v>B</v>
      </c>
      <c r="Q17" s="5" t="str">
        <f ca="1">CELL("contenu",INDIRECT(ADDRESS(ref!$K$6,ref!H16,1,,CELL("contenu",$AA$2))))</f>
        <v>B</v>
      </c>
      <c r="R17" s="6" t="str">
        <f ca="1">CELL("contenu",INDIRECT(ADDRESS(ref!$K$7,ref!E16,1,,CELL("contenu",$AA$2))))</f>
        <v/>
      </c>
      <c r="S17" s="3" t="str">
        <f ca="1">CELL("contenu",INDIRECT(ADDRESS(ref!$K$7,ref!F16,1,,CELL("contenu",$AA$2))))</f>
        <v/>
      </c>
      <c r="T17" s="4" t="str">
        <f ca="1">CELL("contenu",INDIRECT(ADDRESS(ref!$K$7,ref!G16,1,,CELL("contenu",$AA$2))))</f>
        <v/>
      </c>
      <c r="U17" s="5" t="str">
        <f ca="1">CELL("contenu",INDIRECT(ADDRESS(ref!$K$7,ref!H16,1,,CELL("contenu",$AA$2))))</f>
        <v/>
      </c>
      <c r="V17" s="49">
        <f ca="1">CELL("contenu",INDIRECT(ADDRESS(ref!$K$8,ref!E16,1,,CELL("contenu",$AA$2))))</f>
        <v>17.5</v>
      </c>
      <c r="W17" s="50">
        <f ca="1">CELL("contenu",INDIRECT(ADDRESS(ref!$K$8,ref!F16,1,,CELL("contenu",$AA$2))))</f>
        <v>21.875</v>
      </c>
      <c r="X17" s="51">
        <f ca="1">CELL("contenu",INDIRECT(ADDRESS(ref!$K$8,ref!G16,1,,CELL("contenu",$AA$2))))</f>
        <v>23.541666666666664</v>
      </c>
      <c r="Y17" s="21" t="str">
        <f ca="1">CELL("contenu",INDIRECT(ADDRESS(ref!$K$9,ref!H16,1,,CELL("contenu",$AA$2))))</f>
        <v>A</v>
      </c>
    </row>
    <row r="18" spans="1:25" x14ac:dyDescent="0.25">
      <c r="A18" s="59" t="str">
        <f t="shared" ca="1" si="0"/>
        <v>FARMAN Mahaut</v>
      </c>
      <c r="B18" s="2" t="str">
        <f ca="1">CELL("contenu",INDIRECT(ADDRESS(ref!$K$3,ref!E17,1,,CELL("contenu",$AA$2))))</f>
        <v/>
      </c>
      <c r="C18" s="3" t="str">
        <f ca="1">CELL("contenu",INDIRECT(ADDRESS(ref!$K$3,ref!F17,1,,CELL("contenu",$AA$2))))</f>
        <v>C</v>
      </c>
      <c r="D18" s="4" t="str">
        <f ca="1">CELL("contenu",INDIRECT(ADDRESS(ref!$K$3,ref!G17,1,,CELL("contenu",$AA$2))))</f>
        <v/>
      </c>
      <c r="E18" s="5" t="str">
        <f ca="1">CELL("contenu",INDIRECT(ADDRESS(ref!$K$3,ref!H17,1,,CELL("contenu",$AA$2))))</f>
        <v>C</v>
      </c>
      <c r="F18" s="6" t="str">
        <f ca="1">CELL("contenu",INDIRECT(ADDRESS(ref!$K$4,ref!E17,1,,CELL("contenu",$AA$2))))</f>
        <v/>
      </c>
      <c r="G18" s="3" t="str">
        <f ca="1">CELL("contenu",INDIRECT(ADDRESS(ref!$K$4,ref!F17,1,,CELL("contenu",$AA$2))))</f>
        <v>A</v>
      </c>
      <c r="H18" s="4" t="str">
        <f ca="1">CELL("contenu",INDIRECT(ADDRESS(ref!$K$4,ref!G17,1,,CELL("contenu",$AA$2))))</f>
        <v>A</v>
      </c>
      <c r="I18" s="5" t="str">
        <f ca="1">CELL("contenu",INDIRECT(ADDRESS(ref!$K$4,ref!H17,1,,CELL("contenu",$AA$2))))</f>
        <v>A</v>
      </c>
      <c r="J18" s="6" t="str">
        <f ca="1">CELL("contenu",INDIRECT(ADDRESS(ref!$K$5,ref!E17,1,,CELL("contenu",$AA$2))))</f>
        <v>D</v>
      </c>
      <c r="K18" s="3" t="str">
        <f ca="1">CELL("contenu",INDIRECT(ADDRESS(ref!$K$5,ref!F17,1,,CELL("contenu",$AA$2))))</f>
        <v>B</v>
      </c>
      <c r="L18" s="4" t="str">
        <f ca="1">CELL("contenu",INDIRECT(ADDRESS(ref!$K$5,ref!G17,1,,CELL("contenu",$AA$2))))</f>
        <v>A</v>
      </c>
      <c r="M18" s="5" t="str">
        <f ca="1">CELL("contenu",INDIRECT(ADDRESS(ref!$K$5,ref!H17,1,,CELL("contenu",$AA$2))))</f>
        <v>C</v>
      </c>
      <c r="N18" s="6" t="str">
        <f ca="1">CELL("contenu",INDIRECT(ADDRESS(ref!$K$6,ref!E17,1,,CELL("contenu",$AA$2))))</f>
        <v>C</v>
      </c>
      <c r="O18" s="3" t="str">
        <f ca="1">CELL("contenu",INDIRECT(ADDRESS(ref!$K$6,ref!F17,1,,CELL("contenu",$AA$2))))</f>
        <v>B</v>
      </c>
      <c r="P18" s="4" t="str">
        <f ca="1">CELL("contenu",INDIRECT(ADDRESS(ref!$K$6,ref!G17,1,,CELL("contenu",$AA$2))))</f>
        <v>B</v>
      </c>
      <c r="Q18" s="5" t="str">
        <f ca="1">CELL("contenu",INDIRECT(ADDRESS(ref!$K$6,ref!H17,1,,CELL("contenu",$AA$2))))</f>
        <v>B</v>
      </c>
      <c r="R18" s="6" t="str">
        <f ca="1">CELL("contenu",INDIRECT(ADDRESS(ref!$K$7,ref!E17,1,,CELL("contenu",$AA$2))))</f>
        <v/>
      </c>
      <c r="S18" s="3" t="str">
        <f ca="1">CELL("contenu",INDIRECT(ADDRESS(ref!$K$7,ref!F17,1,,CELL("contenu",$AA$2))))</f>
        <v/>
      </c>
      <c r="T18" s="4" t="str">
        <f ca="1">CELL("contenu",INDIRECT(ADDRESS(ref!$K$7,ref!G17,1,,CELL("contenu",$AA$2))))</f>
        <v/>
      </c>
      <c r="U18" s="5" t="str">
        <f ca="1">CELL("contenu",INDIRECT(ADDRESS(ref!$K$7,ref!H17,1,,CELL("contenu",$AA$2))))</f>
        <v/>
      </c>
      <c r="V18" s="49">
        <f ca="1">CELL("contenu",INDIRECT(ADDRESS(ref!$K$8,ref!E17,1,,CELL("contenu",$AA$2))))</f>
        <v>7.5</v>
      </c>
      <c r="W18" s="50">
        <f ca="1">CELL("contenu",INDIRECT(ADDRESS(ref!$K$8,ref!F17,1,,CELL("contenu",$AA$2))))</f>
        <v>20.520833333333336</v>
      </c>
      <c r="X18" s="51">
        <f ca="1">CELL("contenu",INDIRECT(ADDRESS(ref!$K$8,ref!G17,1,,CELL("contenu",$AA$2))))</f>
        <v>25</v>
      </c>
      <c r="Y18" s="21" t="str">
        <f ca="1">CELL("contenu",INDIRECT(ADDRESS(ref!$K$9,ref!H17,1,,CELL("contenu",$AA$2))))</f>
        <v>A</v>
      </c>
    </row>
    <row r="19" spans="1:25" x14ac:dyDescent="0.25">
      <c r="A19" s="59" t="str">
        <f t="shared" ca="1" si="0"/>
        <v>GERARD Lenny</v>
      </c>
      <c r="B19" s="2" t="str">
        <f ca="1">CELL("contenu",INDIRECT(ADDRESS(ref!$K$3,ref!E18,1,,CELL("contenu",$AA$2))))</f>
        <v/>
      </c>
      <c r="C19" s="3" t="str">
        <f ca="1">CELL("contenu",INDIRECT(ADDRESS(ref!$K$3,ref!F18,1,,CELL("contenu",$AA$2))))</f>
        <v>B</v>
      </c>
      <c r="D19" s="4" t="str">
        <f ca="1">CELL("contenu",INDIRECT(ADDRESS(ref!$K$3,ref!G18,1,,CELL("contenu",$AA$2))))</f>
        <v>A</v>
      </c>
      <c r="E19" s="5" t="str">
        <f ca="1">CELL("contenu",INDIRECT(ADDRESS(ref!$K$3,ref!H18,1,,CELL("contenu",$AA$2))))</f>
        <v>B</v>
      </c>
      <c r="F19" s="6" t="str">
        <f ca="1">CELL("contenu",INDIRECT(ADDRESS(ref!$K$4,ref!E18,1,,CELL("contenu",$AA$2))))</f>
        <v/>
      </c>
      <c r="G19" s="3" t="str">
        <f ca="1">CELL("contenu",INDIRECT(ADDRESS(ref!$K$4,ref!F18,1,,CELL("contenu",$AA$2))))</f>
        <v>A</v>
      </c>
      <c r="H19" s="4" t="str">
        <f ca="1">CELL("contenu",INDIRECT(ADDRESS(ref!$K$4,ref!G18,1,,CELL("contenu",$AA$2))))</f>
        <v>A</v>
      </c>
      <c r="I19" s="5" t="str">
        <f ca="1">CELL("contenu",INDIRECT(ADDRESS(ref!$K$4,ref!H18,1,,CELL("contenu",$AA$2))))</f>
        <v>B</v>
      </c>
      <c r="J19" s="6" t="str">
        <f ca="1">CELL("contenu",INDIRECT(ADDRESS(ref!$K$5,ref!E18,1,,CELL("contenu",$AA$2))))</f>
        <v>C</v>
      </c>
      <c r="K19" s="3" t="str">
        <f ca="1">CELL("contenu",INDIRECT(ADDRESS(ref!$K$5,ref!F18,1,,CELL("contenu",$AA$2))))</f>
        <v>B</v>
      </c>
      <c r="L19" s="4" t="str">
        <f ca="1">CELL("contenu",INDIRECT(ADDRESS(ref!$K$5,ref!G18,1,,CELL("contenu",$AA$2))))</f>
        <v>A</v>
      </c>
      <c r="M19" s="5" t="str">
        <f ca="1">CELL("contenu",INDIRECT(ADDRESS(ref!$K$5,ref!H18,1,,CELL("contenu",$AA$2))))</f>
        <v>B</v>
      </c>
      <c r="N19" s="6" t="str">
        <f ca="1">CELL("contenu",INDIRECT(ADDRESS(ref!$K$6,ref!E18,1,,CELL("contenu",$AA$2))))</f>
        <v>D</v>
      </c>
      <c r="O19" s="3" t="str">
        <f ca="1">CELL("contenu",INDIRECT(ADDRESS(ref!$K$6,ref!F18,1,,CELL("contenu",$AA$2))))</f>
        <v>C</v>
      </c>
      <c r="P19" s="4" t="str">
        <f ca="1">CELL("contenu",INDIRECT(ADDRESS(ref!$K$6,ref!G18,1,,CELL("contenu",$AA$2))))</f>
        <v>C</v>
      </c>
      <c r="Q19" s="5" t="str">
        <f ca="1">CELL("contenu",INDIRECT(ADDRESS(ref!$K$6,ref!H18,1,,CELL("contenu",$AA$2))))</f>
        <v>C</v>
      </c>
      <c r="R19" s="6" t="str">
        <f ca="1">CELL("contenu",INDIRECT(ADDRESS(ref!$K$7,ref!E18,1,,CELL("contenu",$AA$2))))</f>
        <v/>
      </c>
      <c r="S19" s="3" t="str">
        <f ca="1">CELL("contenu",INDIRECT(ADDRESS(ref!$K$7,ref!F18,1,,CELL("contenu",$AA$2))))</f>
        <v/>
      </c>
      <c r="T19" s="4" t="str">
        <f ca="1">CELL("contenu",INDIRECT(ADDRESS(ref!$K$7,ref!G18,1,,CELL("contenu",$AA$2))))</f>
        <v/>
      </c>
      <c r="U19" s="5" t="str">
        <f ca="1">CELL("contenu",INDIRECT(ADDRESS(ref!$K$7,ref!H18,1,,CELL("contenu",$AA$2))))</f>
        <v/>
      </c>
      <c r="V19" s="49">
        <f ca="1">CELL("contenu",INDIRECT(ADDRESS(ref!$K$8,ref!E18,1,,CELL("contenu",$AA$2))))</f>
        <v>7.5</v>
      </c>
      <c r="W19" s="50">
        <f ca="1">CELL("contenu",INDIRECT(ADDRESS(ref!$K$8,ref!F18,1,,CELL("contenu",$AA$2))))</f>
        <v>19.583333333333332</v>
      </c>
      <c r="X19" s="51">
        <f ca="1">CELL("contenu",INDIRECT(ADDRESS(ref!$K$8,ref!G18,1,,CELL("contenu",$AA$2))))</f>
        <v>22.395833333333336</v>
      </c>
      <c r="Y19" s="21" t="str">
        <f ca="1">CELL("contenu",INDIRECT(ADDRESS(ref!$K$9,ref!H18,1,,CELL("contenu",$AA$2))))</f>
        <v>A</v>
      </c>
    </row>
    <row r="20" spans="1:25" x14ac:dyDescent="0.25">
      <c r="A20" s="59" t="str">
        <f t="shared" ca="1" si="0"/>
        <v>GERVAIS-PRIMORAC Ivan</v>
      </c>
      <c r="B20" s="2" t="str">
        <f ca="1">CELL("contenu",INDIRECT(ADDRESS(ref!$K$3,ref!E19,1,,CELL("contenu",$AA$2))))</f>
        <v/>
      </c>
      <c r="C20" s="3" t="str">
        <f ca="1">CELL("contenu",INDIRECT(ADDRESS(ref!$K$3,ref!F19,1,,CELL("contenu",$AA$2))))</f>
        <v>B</v>
      </c>
      <c r="D20" s="4" t="str">
        <f ca="1">CELL("contenu",INDIRECT(ADDRESS(ref!$K$3,ref!G19,1,,CELL("contenu",$AA$2))))</f>
        <v>A</v>
      </c>
      <c r="E20" s="5" t="str">
        <f ca="1">CELL("contenu",INDIRECT(ADDRESS(ref!$K$3,ref!H19,1,,CELL("contenu",$AA$2))))</f>
        <v>B</v>
      </c>
      <c r="F20" s="6" t="str">
        <f ca="1">CELL("contenu",INDIRECT(ADDRESS(ref!$K$4,ref!E19,1,,CELL("contenu",$AA$2))))</f>
        <v/>
      </c>
      <c r="G20" s="3" t="str">
        <f ca="1">CELL("contenu",INDIRECT(ADDRESS(ref!$K$4,ref!F19,1,,CELL("contenu",$AA$2))))</f>
        <v>A</v>
      </c>
      <c r="H20" s="4" t="str">
        <f ca="1">CELL("contenu",INDIRECT(ADDRESS(ref!$K$4,ref!G19,1,,CELL("contenu",$AA$2))))</f>
        <v>A</v>
      </c>
      <c r="I20" s="5" t="str">
        <f ca="1">CELL("contenu",INDIRECT(ADDRESS(ref!$K$4,ref!H19,1,,CELL("contenu",$AA$2))))</f>
        <v>B</v>
      </c>
      <c r="J20" s="6" t="str">
        <f ca="1">CELL("contenu",INDIRECT(ADDRESS(ref!$K$5,ref!E19,1,,CELL("contenu",$AA$2))))</f>
        <v>C</v>
      </c>
      <c r="K20" s="3" t="str">
        <f ca="1">CELL("contenu",INDIRECT(ADDRESS(ref!$K$5,ref!F19,1,,CELL("contenu",$AA$2))))</f>
        <v>B</v>
      </c>
      <c r="L20" s="4" t="str">
        <f ca="1">CELL("contenu",INDIRECT(ADDRESS(ref!$K$5,ref!G19,1,,CELL("contenu",$AA$2))))</f>
        <v>A</v>
      </c>
      <c r="M20" s="5" t="str">
        <f ca="1">CELL("contenu",INDIRECT(ADDRESS(ref!$K$5,ref!H19,1,,CELL("contenu",$AA$2))))</f>
        <v>B</v>
      </c>
      <c r="N20" s="6" t="str">
        <f ca="1">CELL("contenu",INDIRECT(ADDRESS(ref!$K$6,ref!E19,1,,CELL("contenu",$AA$2))))</f>
        <v>C</v>
      </c>
      <c r="O20" s="3" t="str">
        <f ca="1">CELL("contenu",INDIRECT(ADDRESS(ref!$K$6,ref!F19,1,,CELL("contenu",$AA$2))))</f>
        <v>C</v>
      </c>
      <c r="P20" s="4" t="str">
        <f ca="1">CELL("contenu",INDIRECT(ADDRESS(ref!$K$6,ref!G19,1,,CELL("contenu",$AA$2))))</f>
        <v>C</v>
      </c>
      <c r="Q20" s="5" t="str">
        <f ca="1">CELL("contenu",INDIRECT(ADDRESS(ref!$K$6,ref!H19,1,,CELL("contenu",$AA$2))))</f>
        <v>C</v>
      </c>
      <c r="R20" s="6" t="str">
        <f ca="1">CELL("contenu",INDIRECT(ADDRESS(ref!$K$7,ref!E19,1,,CELL("contenu",$AA$2))))</f>
        <v/>
      </c>
      <c r="S20" s="3" t="str">
        <f ca="1">CELL("contenu",INDIRECT(ADDRESS(ref!$K$7,ref!F19,1,,CELL("contenu",$AA$2))))</f>
        <v/>
      </c>
      <c r="T20" s="4" t="str">
        <f ca="1">CELL("contenu",INDIRECT(ADDRESS(ref!$K$7,ref!G19,1,,CELL("contenu",$AA$2))))</f>
        <v/>
      </c>
      <c r="U20" s="5" t="str">
        <f ca="1">CELL("contenu",INDIRECT(ADDRESS(ref!$K$7,ref!H19,1,,CELL("contenu",$AA$2))))</f>
        <v/>
      </c>
      <c r="V20" s="49">
        <f ca="1">CELL("contenu",INDIRECT(ADDRESS(ref!$K$8,ref!E19,1,,CELL("contenu",$AA$2))))</f>
        <v>10</v>
      </c>
      <c r="W20" s="50">
        <f ca="1">CELL("contenu",INDIRECT(ADDRESS(ref!$K$8,ref!F19,1,,CELL("contenu",$AA$2))))</f>
        <v>19.375</v>
      </c>
      <c r="X20" s="51">
        <f ca="1">CELL("contenu",INDIRECT(ADDRESS(ref!$K$8,ref!G19,1,,CELL("contenu",$AA$2))))</f>
        <v>20.520833333333336</v>
      </c>
      <c r="Y20" s="21" t="str">
        <f ca="1">CELL("contenu",INDIRECT(ADDRESS(ref!$K$9,ref!H19,1,,CELL("contenu",$AA$2))))</f>
        <v>A</v>
      </c>
    </row>
    <row r="21" spans="1:25" x14ac:dyDescent="0.25">
      <c r="A21" s="59" t="str">
        <f t="shared" ca="1" si="0"/>
        <v>GOTTE Constance</v>
      </c>
      <c r="B21" s="2" t="str">
        <f ca="1">CELL("contenu",INDIRECT(ADDRESS(ref!$K$3,ref!E20,1,,CELL("contenu",$AA$2))))</f>
        <v/>
      </c>
      <c r="C21" s="3" t="str">
        <f ca="1">CELL("contenu",INDIRECT(ADDRESS(ref!$K$3,ref!F20,1,,CELL("contenu",$AA$2))))</f>
        <v>B</v>
      </c>
      <c r="D21" s="4" t="str">
        <f ca="1">CELL("contenu",INDIRECT(ADDRESS(ref!$K$3,ref!G20,1,,CELL("contenu",$AA$2))))</f>
        <v>A</v>
      </c>
      <c r="E21" s="5" t="str">
        <f ca="1">CELL("contenu",INDIRECT(ADDRESS(ref!$K$3,ref!H20,1,,CELL("contenu",$AA$2))))</f>
        <v>B</v>
      </c>
      <c r="F21" s="6" t="str">
        <f ca="1">CELL("contenu",INDIRECT(ADDRESS(ref!$K$4,ref!E20,1,,CELL("contenu",$AA$2))))</f>
        <v/>
      </c>
      <c r="G21" s="3" t="str">
        <f ca="1">CELL("contenu",INDIRECT(ADDRESS(ref!$K$4,ref!F20,1,,CELL("contenu",$AA$2))))</f>
        <v>A</v>
      </c>
      <c r="H21" s="4" t="str">
        <f ca="1">CELL("contenu",INDIRECT(ADDRESS(ref!$K$4,ref!G20,1,,CELL("contenu",$AA$2))))</f>
        <v>A</v>
      </c>
      <c r="I21" s="5" t="str">
        <f ca="1">CELL("contenu",INDIRECT(ADDRESS(ref!$K$4,ref!H20,1,,CELL("contenu",$AA$2))))</f>
        <v>B</v>
      </c>
      <c r="J21" s="6" t="str">
        <f ca="1">CELL("contenu",INDIRECT(ADDRESS(ref!$K$5,ref!E20,1,,CELL("contenu",$AA$2))))</f>
        <v>B</v>
      </c>
      <c r="K21" s="3" t="str">
        <f ca="1">CELL("contenu",INDIRECT(ADDRESS(ref!$K$5,ref!F20,1,,CELL("contenu",$AA$2))))</f>
        <v>B</v>
      </c>
      <c r="L21" s="4" t="str">
        <f ca="1">CELL("contenu",INDIRECT(ADDRESS(ref!$K$5,ref!G20,1,,CELL("contenu",$AA$2))))</f>
        <v>A</v>
      </c>
      <c r="M21" s="5" t="str">
        <f ca="1">CELL("contenu",INDIRECT(ADDRESS(ref!$K$5,ref!H20,1,,CELL("contenu",$AA$2))))</f>
        <v>B</v>
      </c>
      <c r="N21" s="6" t="str">
        <f ca="1">CELL("contenu",INDIRECT(ADDRESS(ref!$K$6,ref!E20,1,,CELL("contenu",$AA$2))))</f>
        <v>C</v>
      </c>
      <c r="O21" s="3" t="str">
        <f ca="1">CELL("contenu",INDIRECT(ADDRESS(ref!$K$6,ref!F20,1,,CELL("contenu",$AA$2))))</f>
        <v>B</v>
      </c>
      <c r="P21" s="4" t="str">
        <f ca="1">CELL("contenu",INDIRECT(ADDRESS(ref!$K$6,ref!G20,1,,CELL("contenu",$AA$2))))</f>
        <v>B</v>
      </c>
      <c r="Q21" s="5" t="str">
        <f ca="1">CELL("contenu",INDIRECT(ADDRESS(ref!$K$6,ref!H20,1,,CELL("contenu",$AA$2))))</f>
        <v>B</v>
      </c>
      <c r="R21" s="6" t="str">
        <f ca="1">CELL("contenu",INDIRECT(ADDRESS(ref!$K$7,ref!E20,1,,CELL("contenu",$AA$2))))</f>
        <v/>
      </c>
      <c r="S21" s="3" t="str">
        <f ca="1">CELL("contenu",INDIRECT(ADDRESS(ref!$K$7,ref!F20,1,,CELL("contenu",$AA$2))))</f>
        <v/>
      </c>
      <c r="T21" s="4" t="str">
        <f ca="1">CELL("contenu",INDIRECT(ADDRESS(ref!$K$7,ref!G20,1,,CELL("contenu",$AA$2))))</f>
        <v/>
      </c>
      <c r="U21" s="5" t="str">
        <f ca="1">CELL("contenu",INDIRECT(ADDRESS(ref!$K$7,ref!H20,1,,CELL("contenu",$AA$2))))</f>
        <v/>
      </c>
      <c r="V21" s="49">
        <f ca="1">CELL("contenu",INDIRECT(ADDRESS(ref!$K$8,ref!E20,1,,CELL("contenu",$AA$2))))</f>
        <v>12.5</v>
      </c>
      <c r="W21" s="50">
        <f ca="1">CELL("contenu",INDIRECT(ADDRESS(ref!$K$8,ref!F20,1,,CELL("contenu",$AA$2))))</f>
        <v>21.041666666666664</v>
      </c>
      <c r="X21" s="51">
        <f ca="1">CELL("contenu",INDIRECT(ADDRESS(ref!$K$8,ref!G20,1,,CELL("contenu",$AA$2))))</f>
        <v>22.916666666666664</v>
      </c>
      <c r="Y21" s="21" t="str">
        <f ca="1">CELL("contenu",INDIRECT(ADDRESS(ref!$K$9,ref!H20,1,,CELL("contenu",$AA$2))))</f>
        <v>A</v>
      </c>
    </row>
    <row r="22" spans="1:25" x14ac:dyDescent="0.25">
      <c r="A22" s="59" t="str">
        <f t="shared" ca="1" si="0"/>
        <v>GUILLARD Honore</v>
      </c>
      <c r="B22" s="2" t="str">
        <f ca="1">CELL("contenu",INDIRECT(ADDRESS(ref!$K$3,ref!E21,1,,CELL("contenu",$AA$2))))</f>
        <v/>
      </c>
      <c r="C22" s="3" t="str">
        <f ca="1">CELL("contenu",INDIRECT(ADDRESS(ref!$K$3,ref!F21,1,,CELL("contenu",$AA$2))))</f>
        <v>C</v>
      </c>
      <c r="D22" s="4" t="str">
        <f ca="1">CELL("contenu",INDIRECT(ADDRESS(ref!$K$3,ref!G21,1,,CELL("contenu",$AA$2))))</f>
        <v>A</v>
      </c>
      <c r="E22" s="5" t="str">
        <f ca="1">CELL("contenu",INDIRECT(ADDRESS(ref!$K$3,ref!H21,1,,CELL("contenu",$AA$2))))</f>
        <v>B</v>
      </c>
      <c r="F22" s="6" t="str">
        <f ca="1">CELL("contenu",INDIRECT(ADDRESS(ref!$K$4,ref!E21,1,,CELL("contenu",$AA$2))))</f>
        <v/>
      </c>
      <c r="G22" s="3" t="str">
        <f ca="1">CELL("contenu",INDIRECT(ADDRESS(ref!$K$4,ref!F21,1,,CELL("contenu",$AA$2))))</f>
        <v>A</v>
      </c>
      <c r="H22" s="4" t="str">
        <f ca="1">CELL("contenu",INDIRECT(ADDRESS(ref!$K$4,ref!G21,1,,CELL("contenu",$AA$2))))</f>
        <v>A</v>
      </c>
      <c r="I22" s="5" t="str">
        <f ca="1">CELL("contenu",INDIRECT(ADDRESS(ref!$K$4,ref!H21,1,,CELL("contenu",$AA$2))))</f>
        <v>B</v>
      </c>
      <c r="J22" s="6" t="str">
        <f ca="1">CELL("contenu",INDIRECT(ADDRESS(ref!$K$5,ref!E21,1,,CELL("contenu",$AA$2))))</f>
        <v>D</v>
      </c>
      <c r="K22" s="3" t="str">
        <f ca="1">CELL("contenu",INDIRECT(ADDRESS(ref!$K$5,ref!F21,1,,CELL("contenu",$AA$2))))</f>
        <v>A</v>
      </c>
      <c r="L22" s="4" t="str">
        <f ca="1">CELL("contenu",INDIRECT(ADDRESS(ref!$K$5,ref!G21,1,,CELL("contenu",$AA$2))))</f>
        <v>A</v>
      </c>
      <c r="M22" s="5" t="str">
        <f ca="1">CELL("contenu",INDIRECT(ADDRESS(ref!$K$5,ref!H21,1,,CELL("contenu",$AA$2))))</f>
        <v>B</v>
      </c>
      <c r="N22" s="6" t="str">
        <f ca="1">CELL("contenu",INDIRECT(ADDRESS(ref!$K$6,ref!E21,1,,CELL("contenu",$AA$2))))</f>
        <v>D</v>
      </c>
      <c r="O22" s="3" t="str">
        <f ca="1">CELL("contenu",INDIRECT(ADDRESS(ref!$K$6,ref!F21,1,,CELL("contenu",$AA$2))))</f>
        <v>C</v>
      </c>
      <c r="P22" s="4" t="str">
        <f ca="1">CELL("contenu",INDIRECT(ADDRESS(ref!$K$6,ref!G21,1,,CELL("contenu",$AA$2))))</f>
        <v>B</v>
      </c>
      <c r="Q22" s="5" t="str">
        <f ca="1">CELL("contenu",INDIRECT(ADDRESS(ref!$K$6,ref!H21,1,,CELL("contenu",$AA$2))))</f>
        <v>C</v>
      </c>
      <c r="R22" s="6" t="str">
        <f ca="1">CELL("contenu",INDIRECT(ADDRESS(ref!$K$7,ref!E21,1,,CELL("contenu",$AA$2))))</f>
        <v/>
      </c>
      <c r="S22" s="3" t="str">
        <f ca="1">CELL("contenu",INDIRECT(ADDRESS(ref!$K$7,ref!F21,1,,CELL("contenu",$AA$2))))</f>
        <v/>
      </c>
      <c r="T22" s="4" t="str">
        <f ca="1">CELL("contenu",INDIRECT(ADDRESS(ref!$K$7,ref!G21,1,,CELL("contenu",$AA$2))))</f>
        <v/>
      </c>
      <c r="U22" s="5" t="str">
        <f ca="1">CELL("contenu",INDIRECT(ADDRESS(ref!$K$7,ref!H21,1,,CELL("contenu",$AA$2))))</f>
        <v/>
      </c>
      <c r="V22" s="49">
        <f ca="1">CELL("contenu",INDIRECT(ADDRESS(ref!$K$8,ref!E21,1,,CELL("contenu",$AA$2))))</f>
        <v>5</v>
      </c>
      <c r="W22" s="50">
        <f ca="1">CELL("contenu",INDIRECT(ADDRESS(ref!$K$8,ref!F21,1,,CELL("contenu",$AA$2))))</f>
        <v>20.3125</v>
      </c>
      <c r="X22" s="51">
        <f ca="1">CELL("contenu",INDIRECT(ADDRESS(ref!$K$8,ref!G21,1,,CELL("contenu",$AA$2))))</f>
        <v>22.5</v>
      </c>
      <c r="Y22" s="21" t="str">
        <f ca="1">CELL("contenu",INDIRECT(ADDRESS(ref!$K$9,ref!H21,1,,CELL("contenu",$AA$2))))</f>
        <v>A</v>
      </c>
    </row>
    <row r="23" spans="1:25" x14ac:dyDescent="0.25">
      <c r="A23" s="59" t="str">
        <f t="shared" ca="1" si="0"/>
        <v>HURE Marie-Lys</v>
      </c>
      <c r="B23" s="2" t="str">
        <f ca="1">CELL("contenu",INDIRECT(ADDRESS(ref!$K$3,ref!E22,1,,CELL("contenu",$AA$2))))</f>
        <v/>
      </c>
      <c r="C23" s="3" t="str">
        <f ca="1">CELL("contenu",INDIRECT(ADDRESS(ref!$K$3,ref!F22,1,,CELL("contenu",$AA$2))))</f>
        <v>A</v>
      </c>
      <c r="D23" s="4" t="str">
        <f ca="1">CELL("contenu",INDIRECT(ADDRESS(ref!$K$3,ref!G22,1,,CELL("contenu",$AA$2))))</f>
        <v/>
      </c>
      <c r="E23" s="5" t="str">
        <f ca="1">CELL("contenu",INDIRECT(ADDRESS(ref!$K$3,ref!H22,1,,CELL("contenu",$AA$2))))</f>
        <v>A</v>
      </c>
      <c r="F23" s="6" t="str">
        <f ca="1">CELL("contenu",INDIRECT(ADDRESS(ref!$K$4,ref!E22,1,,CELL("contenu",$AA$2))))</f>
        <v/>
      </c>
      <c r="G23" s="3" t="str">
        <f ca="1">CELL("contenu",INDIRECT(ADDRESS(ref!$K$4,ref!F22,1,,CELL("contenu",$AA$2))))</f>
        <v>A</v>
      </c>
      <c r="H23" s="4" t="str">
        <f ca="1">CELL("contenu",INDIRECT(ADDRESS(ref!$K$4,ref!G22,1,,CELL("contenu",$AA$2))))</f>
        <v>A</v>
      </c>
      <c r="I23" s="5" t="str">
        <f ca="1">CELL("contenu",INDIRECT(ADDRESS(ref!$K$4,ref!H22,1,,CELL("contenu",$AA$2))))</f>
        <v>A</v>
      </c>
      <c r="J23" s="6" t="str">
        <f ca="1">CELL("contenu",INDIRECT(ADDRESS(ref!$K$5,ref!E22,1,,CELL("contenu",$AA$2))))</f>
        <v>C</v>
      </c>
      <c r="K23" s="3" t="str">
        <f ca="1">CELL("contenu",INDIRECT(ADDRESS(ref!$K$5,ref!F22,1,,CELL("contenu",$AA$2))))</f>
        <v/>
      </c>
      <c r="L23" s="4" t="str">
        <f ca="1">CELL("contenu",INDIRECT(ADDRESS(ref!$K$5,ref!G22,1,,CELL("contenu",$AA$2))))</f>
        <v>A</v>
      </c>
      <c r="M23" s="5" t="str">
        <f ca="1">CELL("contenu",INDIRECT(ADDRESS(ref!$K$5,ref!H22,1,,CELL("contenu",$AA$2))))</f>
        <v>B</v>
      </c>
      <c r="N23" s="6" t="str">
        <f ca="1">CELL("contenu",INDIRECT(ADDRESS(ref!$K$6,ref!E22,1,,CELL("contenu",$AA$2))))</f>
        <v>B</v>
      </c>
      <c r="O23" s="3" t="str">
        <f ca="1">CELL("contenu",INDIRECT(ADDRESS(ref!$K$6,ref!F22,1,,CELL("contenu",$AA$2))))</f>
        <v>B</v>
      </c>
      <c r="P23" s="4" t="str">
        <f ca="1">CELL("contenu",INDIRECT(ADDRESS(ref!$K$6,ref!G22,1,,CELL("contenu",$AA$2))))</f>
        <v>B</v>
      </c>
      <c r="Q23" s="5" t="str">
        <f ca="1">CELL("contenu",INDIRECT(ADDRESS(ref!$K$6,ref!H22,1,,CELL("contenu",$AA$2))))</f>
        <v>B</v>
      </c>
      <c r="R23" s="6" t="str">
        <f ca="1">CELL("contenu",INDIRECT(ADDRESS(ref!$K$7,ref!E22,1,,CELL("contenu",$AA$2))))</f>
        <v/>
      </c>
      <c r="S23" s="3" t="str">
        <f ca="1">CELL("contenu",INDIRECT(ADDRESS(ref!$K$7,ref!F22,1,,CELL("contenu",$AA$2))))</f>
        <v/>
      </c>
      <c r="T23" s="4" t="str">
        <f ca="1">CELL("contenu",INDIRECT(ADDRESS(ref!$K$7,ref!G22,1,,CELL("contenu",$AA$2))))</f>
        <v/>
      </c>
      <c r="U23" s="5" t="str">
        <f ca="1">CELL("contenu",INDIRECT(ADDRESS(ref!$K$7,ref!H22,1,,CELL("contenu",$AA$2))))</f>
        <v/>
      </c>
      <c r="V23" s="49">
        <f ca="1">CELL("contenu",INDIRECT(ADDRESS(ref!$K$8,ref!E22,1,,CELL("contenu",$AA$2))))</f>
        <v>12.5</v>
      </c>
      <c r="W23" s="50">
        <f ca="1">CELL("contenu",INDIRECT(ADDRESS(ref!$K$8,ref!F22,1,,CELL("contenu",$AA$2))))</f>
        <v>19.166666666666668</v>
      </c>
      <c r="X23" s="51">
        <f ca="1">CELL("contenu",INDIRECT(ADDRESS(ref!$K$8,ref!G22,1,,CELL("contenu",$AA$2))))</f>
        <v>24.722222222222221</v>
      </c>
      <c r="Y23" s="21" t="str">
        <f ca="1">CELL("contenu",INDIRECT(ADDRESS(ref!$K$9,ref!H22,1,,CELL("contenu",$AA$2))))</f>
        <v>A</v>
      </c>
    </row>
    <row r="24" spans="1:25" x14ac:dyDescent="0.25">
      <c r="A24" s="59" t="str">
        <f t="shared" ca="1" si="0"/>
        <v>JABOULEY Adelaide</v>
      </c>
      <c r="B24" s="2" t="str">
        <f ca="1">CELL("contenu",INDIRECT(ADDRESS(ref!$K$3,ref!E23,1,,CELL("contenu",$AA$2))))</f>
        <v/>
      </c>
      <c r="C24" s="3" t="str">
        <f ca="1">CELL("contenu",INDIRECT(ADDRESS(ref!$K$3,ref!F23,1,,CELL("contenu",$AA$2))))</f>
        <v>A</v>
      </c>
      <c r="D24" s="4" t="str">
        <f ca="1">CELL("contenu",INDIRECT(ADDRESS(ref!$K$3,ref!G23,1,,CELL("contenu",$AA$2))))</f>
        <v>A</v>
      </c>
      <c r="E24" s="5" t="str">
        <f ca="1">CELL("contenu",INDIRECT(ADDRESS(ref!$K$3,ref!H23,1,,CELL("contenu",$AA$2))))</f>
        <v>A</v>
      </c>
      <c r="F24" s="6" t="str">
        <f ca="1">CELL("contenu",INDIRECT(ADDRESS(ref!$K$4,ref!E23,1,,CELL("contenu",$AA$2))))</f>
        <v/>
      </c>
      <c r="G24" s="3" t="str">
        <f ca="1">CELL("contenu",INDIRECT(ADDRESS(ref!$K$4,ref!F23,1,,CELL("contenu",$AA$2))))</f>
        <v>A</v>
      </c>
      <c r="H24" s="4" t="str">
        <f ca="1">CELL("contenu",INDIRECT(ADDRESS(ref!$K$4,ref!G23,1,,CELL("contenu",$AA$2))))</f>
        <v>A</v>
      </c>
      <c r="I24" s="5" t="str">
        <f ca="1">CELL("contenu",INDIRECT(ADDRESS(ref!$K$4,ref!H23,1,,CELL("contenu",$AA$2))))</f>
        <v>B</v>
      </c>
      <c r="J24" s="6" t="str">
        <f ca="1">CELL("contenu",INDIRECT(ADDRESS(ref!$K$5,ref!E23,1,,CELL("contenu",$AA$2))))</f>
        <v>B</v>
      </c>
      <c r="K24" s="3" t="str">
        <f ca="1">CELL("contenu",INDIRECT(ADDRESS(ref!$K$5,ref!F23,1,,CELL("contenu",$AA$2))))</f>
        <v>B</v>
      </c>
      <c r="L24" s="4" t="str">
        <f ca="1">CELL("contenu",INDIRECT(ADDRESS(ref!$K$5,ref!G23,1,,CELL("contenu",$AA$2))))</f>
        <v>A</v>
      </c>
      <c r="M24" s="5" t="str">
        <f ca="1">CELL("contenu",INDIRECT(ADDRESS(ref!$K$5,ref!H23,1,,CELL("contenu",$AA$2))))</f>
        <v>B</v>
      </c>
      <c r="N24" s="6" t="str">
        <f ca="1">CELL("contenu",INDIRECT(ADDRESS(ref!$K$6,ref!E23,1,,CELL("contenu",$AA$2))))</f>
        <v>B</v>
      </c>
      <c r="O24" s="3" t="str">
        <f ca="1">CELL("contenu",INDIRECT(ADDRESS(ref!$K$6,ref!F23,1,,CELL("contenu",$AA$2))))</f>
        <v>B</v>
      </c>
      <c r="P24" s="4" t="str">
        <f ca="1">CELL("contenu",INDIRECT(ADDRESS(ref!$K$6,ref!G23,1,,CELL("contenu",$AA$2))))</f>
        <v>B</v>
      </c>
      <c r="Q24" s="5" t="str">
        <f ca="1">CELL("contenu",INDIRECT(ADDRESS(ref!$K$6,ref!H23,1,,CELL("contenu",$AA$2))))</f>
        <v>B</v>
      </c>
      <c r="R24" s="6" t="str">
        <f ca="1">CELL("contenu",INDIRECT(ADDRESS(ref!$K$7,ref!E23,1,,CELL("contenu",$AA$2))))</f>
        <v/>
      </c>
      <c r="S24" s="3" t="str">
        <f ca="1">CELL("contenu",INDIRECT(ADDRESS(ref!$K$7,ref!F23,1,,CELL("contenu",$AA$2))))</f>
        <v/>
      </c>
      <c r="T24" s="4" t="str">
        <f ca="1">CELL("contenu",INDIRECT(ADDRESS(ref!$K$7,ref!G23,1,,CELL("contenu",$AA$2))))</f>
        <v/>
      </c>
      <c r="U24" s="5" t="str">
        <f ca="1">CELL("contenu",INDIRECT(ADDRESS(ref!$K$7,ref!H23,1,,CELL("contenu",$AA$2))))</f>
        <v/>
      </c>
      <c r="V24" s="49">
        <f ca="1">CELL("contenu",INDIRECT(ADDRESS(ref!$K$8,ref!E23,1,,CELL("contenu",$AA$2))))</f>
        <v>15</v>
      </c>
      <c r="W24" s="50">
        <f ca="1">CELL("contenu",INDIRECT(ADDRESS(ref!$K$8,ref!F23,1,,CELL("contenu",$AA$2))))</f>
        <v>21.5625</v>
      </c>
      <c r="X24" s="51">
        <f ca="1">CELL("contenu",INDIRECT(ADDRESS(ref!$K$8,ref!G23,1,,CELL("contenu",$AA$2))))</f>
        <v>22.916666666666664</v>
      </c>
      <c r="Y24" s="21" t="str">
        <f ca="1">CELL("contenu",INDIRECT(ADDRESS(ref!$K$9,ref!H23,1,,CELL("contenu",$AA$2))))</f>
        <v>A</v>
      </c>
    </row>
    <row r="25" spans="1:25" x14ac:dyDescent="0.25">
      <c r="A25" s="59" t="str">
        <f t="shared" ca="1" si="0"/>
        <v>JEAN-BAPTISTE Clemence</v>
      </c>
      <c r="B25" s="2" t="str">
        <f ca="1">CELL("contenu",INDIRECT(ADDRESS(ref!$K$3,ref!E24,1,,CELL("contenu",$AA$2))))</f>
        <v/>
      </c>
      <c r="C25" s="3" t="str">
        <f ca="1">CELL("contenu",INDIRECT(ADDRESS(ref!$K$3,ref!F24,1,,CELL("contenu",$AA$2))))</f>
        <v>A</v>
      </c>
      <c r="D25" s="4" t="str">
        <f ca="1">CELL("contenu",INDIRECT(ADDRESS(ref!$K$3,ref!G24,1,,CELL("contenu",$AA$2))))</f>
        <v>C</v>
      </c>
      <c r="E25" s="5" t="str">
        <f ca="1">CELL("contenu",INDIRECT(ADDRESS(ref!$K$3,ref!H24,1,,CELL("contenu",$AA$2))))</f>
        <v>B</v>
      </c>
      <c r="F25" s="6" t="str">
        <f ca="1">CELL("contenu",INDIRECT(ADDRESS(ref!$K$4,ref!E24,1,,CELL("contenu",$AA$2))))</f>
        <v/>
      </c>
      <c r="G25" s="3" t="str">
        <f ca="1">CELL("contenu",INDIRECT(ADDRESS(ref!$K$4,ref!F24,1,,CELL("contenu",$AA$2))))</f>
        <v>A</v>
      </c>
      <c r="H25" s="4" t="str">
        <f ca="1">CELL("contenu",INDIRECT(ADDRESS(ref!$K$4,ref!G24,1,,CELL("contenu",$AA$2))))</f>
        <v>A</v>
      </c>
      <c r="I25" s="5" t="str">
        <f ca="1">CELL("contenu",INDIRECT(ADDRESS(ref!$K$4,ref!H24,1,,CELL("contenu",$AA$2))))</f>
        <v>B</v>
      </c>
      <c r="J25" s="6" t="str">
        <f ca="1">CELL("contenu",INDIRECT(ADDRESS(ref!$K$5,ref!E24,1,,CELL("contenu",$AA$2))))</f>
        <v>C</v>
      </c>
      <c r="K25" s="3" t="str">
        <f ca="1">CELL("contenu",INDIRECT(ADDRESS(ref!$K$5,ref!F24,1,,CELL("contenu",$AA$2))))</f>
        <v>C</v>
      </c>
      <c r="L25" s="4" t="str">
        <f ca="1">CELL("contenu",INDIRECT(ADDRESS(ref!$K$5,ref!G24,1,,CELL("contenu",$AA$2))))</f>
        <v>A</v>
      </c>
      <c r="M25" s="5" t="str">
        <f ca="1">CELL("contenu",INDIRECT(ADDRESS(ref!$K$5,ref!H24,1,,CELL("contenu",$AA$2))))</f>
        <v>C</v>
      </c>
      <c r="N25" s="6" t="str">
        <f ca="1">CELL("contenu",INDIRECT(ADDRESS(ref!$K$6,ref!E24,1,,CELL("contenu",$AA$2))))</f>
        <v>C</v>
      </c>
      <c r="O25" s="3" t="str">
        <f ca="1">CELL("contenu",INDIRECT(ADDRESS(ref!$K$6,ref!F24,1,,CELL("contenu",$AA$2))))</f>
        <v>B</v>
      </c>
      <c r="P25" s="4" t="str">
        <f ca="1">CELL("contenu",INDIRECT(ADDRESS(ref!$K$6,ref!G24,1,,CELL("contenu",$AA$2))))</f>
        <v>C</v>
      </c>
      <c r="Q25" s="5" t="str">
        <f ca="1">CELL("contenu",INDIRECT(ADDRESS(ref!$K$6,ref!H24,1,,CELL("contenu",$AA$2))))</f>
        <v>C</v>
      </c>
      <c r="R25" s="6" t="str">
        <f ca="1">CELL("contenu",INDIRECT(ADDRESS(ref!$K$7,ref!E24,1,,CELL("contenu",$AA$2))))</f>
        <v/>
      </c>
      <c r="S25" s="3" t="str">
        <f ca="1">CELL("contenu",INDIRECT(ADDRESS(ref!$K$7,ref!F24,1,,CELL("contenu",$AA$2))))</f>
        <v/>
      </c>
      <c r="T25" s="4" t="str">
        <f ca="1">CELL("contenu",INDIRECT(ADDRESS(ref!$K$7,ref!G24,1,,CELL("contenu",$AA$2))))</f>
        <v/>
      </c>
      <c r="U25" s="5" t="str">
        <f ca="1">CELL("contenu",INDIRECT(ADDRESS(ref!$K$7,ref!H24,1,,CELL("contenu",$AA$2))))</f>
        <v/>
      </c>
      <c r="V25" s="49">
        <f ca="1">CELL("contenu",INDIRECT(ADDRESS(ref!$K$8,ref!E24,1,,CELL("contenu",$AA$2))))</f>
        <v>10</v>
      </c>
      <c r="W25" s="50">
        <f ca="1">CELL("contenu",INDIRECT(ADDRESS(ref!$K$8,ref!F24,1,,CELL("contenu",$AA$2))))</f>
        <v>19.6875</v>
      </c>
      <c r="X25" s="51">
        <f ca="1">CELL("contenu",INDIRECT(ADDRESS(ref!$K$8,ref!G24,1,,CELL("contenu",$AA$2))))</f>
        <v>18.75</v>
      </c>
      <c r="Y25" s="21" t="str">
        <f ca="1">CELL("contenu",INDIRECT(ADDRESS(ref!$K$9,ref!H24,1,,CELL("contenu",$AA$2))))</f>
        <v>B</v>
      </c>
    </row>
    <row r="26" spans="1:25" x14ac:dyDescent="0.25">
      <c r="A26" s="59" t="str">
        <f t="shared" ca="1" si="0"/>
        <v>LADAN Juliette</v>
      </c>
      <c r="B26" s="2" t="str">
        <f ca="1">CELL("contenu",INDIRECT(ADDRESS(ref!$K$3,ref!E25,1,,CELL("contenu",$AA$2))))</f>
        <v/>
      </c>
      <c r="C26" s="3" t="str">
        <f ca="1">CELL("contenu",INDIRECT(ADDRESS(ref!$K$3,ref!F25,1,,CELL("contenu",$AA$2))))</f>
        <v>B</v>
      </c>
      <c r="D26" s="4" t="str">
        <f ca="1">CELL("contenu",INDIRECT(ADDRESS(ref!$K$3,ref!G25,1,,CELL("contenu",$AA$2))))</f>
        <v>A</v>
      </c>
      <c r="E26" s="5" t="str">
        <f ca="1">CELL("contenu",INDIRECT(ADDRESS(ref!$K$3,ref!H25,1,,CELL("contenu",$AA$2))))</f>
        <v>B</v>
      </c>
      <c r="F26" s="6" t="str">
        <f ca="1">CELL("contenu",INDIRECT(ADDRESS(ref!$K$4,ref!E25,1,,CELL("contenu",$AA$2))))</f>
        <v/>
      </c>
      <c r="G26" s="3" t="str">
        <f ca="1">CELL("contenu",INDIRECT(ADDRESS(ref!$K$4,ref!F25,1,,CELL("contenu",$AA$2))))</f>
        <v>A</v>
      </c>
      <c r="H26" s="4" t="str">
        <f ca="1">CELL("contenu",INDIRECT(ADDRESS(ref!$K$4,ref!G25,1,,CELL("contenu",$AA$2))))</f>
        <v>A</v>
      </c>
      <c r="I26" s="5" t="str">
        <f ca="1">CELL("contenu",INDIRECT(ADDRESS(ref!$K$4,ref!H25,1,,CELL("contenu",$AA$2))))</f>
        <v>B</v>
      </c>
      <c r="J26" s="6" t="str">
        <f ca="1">CELL("contenu",INDIRECT(ADDRESS(ref!$K$5,ref!E25,1,,CELL("contenu",$AA$2))))</f>
        <v>B</v>
      </c>
      <c r="K26" s="3" t="str">
        <f ca="1">CELL("contenu",INDIRECT(ADDRESS(ref!$K$5,ref!F25,1,,CELL("contenu",$AA$2))))</f>
        <v>B</v>
      </c>
      <c r="L26" s="4" t="str">
        <f ca="1">CELL("contenu",INDIRECT(ADDRESS(ref!$K$5,ref!G25,1,,CELL("contenu",$AA$2))))</f>
        <v>A</v>
      </c>
      <c r="M26" s="5" t="str">
        <f ca="1">CELL("contenu",INDIRECT(ADDRESS(ref!$K$5,ref!H25,1,,CELL("contenu",$AA$2))))</f>
        <v>B</v>
      </c>
      <c r="N26" s="6" t="str">
        <f ca="1">CELL("contenu",INDIRECT(ADDRESS(ref!$K$6,ref!E25,1,,CELL("contenu",$AA$2))))</f>
        <v>B</v>
      </c>
      <c r="O26" s="3" t="str">
        <f ca="1">CELL("contenu",INDIRECT(ADDRESS(ref!$K$6,ref!F25,1,,CELL("contenu",$AA$2))))</f>
        <v>B</v>
      </c>
      <c r="P26" s="4" t="str">
        <f ca="1">CELL("contenu",INDIRECT(ADDRESS(ref!$K$6,ref!G25,1,,CELL("contenu",$AA$2))))</f>
        <v>B</v>
      </c>
      <c r="Q26" s="5" t="str">
        <f ca="1">CELL("contenu",INDIRECT(ADDRESS(ref!$K$6,ref!H25,1,,CELL("contenu",$AA$2))))</f>
        <v>B</v>
      </c>
      <c r="R26" s="6" t="str">
        <f ca="1">CELL("contenu",INDIRECT(ADDRESS(ref!$K$7,ref!E25,1,,CELL("contenu",$AA$2))))</f>
        <v/>
      </c>
      <c r="S26" s="3" t="str">
        <f ca="1">CELL("contenu",INDIRECT(ADDRESS(ref!$K$7,ref!F25,1,,CELL("contenu",$AA$2))))</f>
        <v/>
      </c>
      <c r="T26" s="4" t="str">
        <f ca="1">CELL("contenu",INDIRECT(ADDRESS(ref!$K$7,ref!G25,1,,CELL("contenu",$AA$2))))</f>
        <v/>
      </c>
      <c r="U26" s="5" t="str">
        <f ca="1">CELL("contenu",INDIRECT(ADDRESS(ref!$K$7,ref!H25,1,,CELL("contenu",$AA$2))))</f>
        <v/>
      </c>
      <c r="V26" s="49">
        <f ca="1">CELL("contenu",INDIRECT(ADDRESS(ref!$K$8,ref!E25,1,,CELL("contenu",$AA$2))))</f>
        <v>15</v>
      </c>
      <c r="W26" s="50">
        <f ca="1">CELL("contenu",INDIRECT(ADDRESS(ref!$K$8,ref!F25,1,,CELL("contenu",$AA$2))))</f>
        <v>20.625</v>
      </c>
      <c r="X26" s="51">
        <f ca="1">CELL("contenu",INDIRECT(ADDRESS(ref!$K$8,ref!G25,1,,CELL("contenu",$AA$2))))</f>
        <v>23.75</v>
      </c>
      <c r="Y26" s="21" t="str">
        <f ca="1">CELL("contenu",INDIRECT(ADDRESS(ref!$K$9,ref!H25,1,,CELL("contenu",$AA$2))))</f>
        <v>A</v>
      </c>
    </row>
    <row r="27" spans="1:25" x14ac:dyDescent="0.25">
      <c r="A27" s="59" t="str">
        <f t="shared" ca="1" si="0"/>
        <v>LALOUM Tina</v>
      </c>
      <c r="B27" s="2" t="str">
        <f ca="1">CELL("contenu",INDIRECT(ADDRESS(ref!$K$3,ref!E26,1,,CELL("contenu",$AA$2))))</f>
        <v/>
      </c>
      <c r="C27" s="3" t="str">
        <f ca="1">CELL("contenu",INDIRECT(ADDRESS(ref!$K$3,ref!F26,1,,CELL("contenu",$AA$2))))</f>
        <v>C</v>
      </c>
      <c r="D27" s="4" t="str">
        <f ca="1">CELL("contenu",INDIRECT(ADDRESS(ref!$K$3,ref!G26,1,,CELL("contenu",$AA$2))))</f>
        <v/>
      </c>
      <c r="E27" s="5" t="str">
        <f ca="1">CELL("contenu",INDIRECT(ADDRESS(ref!$K$3,ref!H26,1,,CELL("contenu",$AA$2))))</f>
        <v>C</v>
      </c>
      <c r="F27" s="6" t="str">
        <f ca="1">CELL("contenu",INDIRECT(ADDRESS(ref!$K$4,ref!E26,1,,CELL("contenu",$AA$2))))</f>
        <v/>
      </c>
      <c r="G27" s="3" t="str">
        <f ca="1">CELL("contenu",INDIRECT(ADDRESS(ref!$K$4,ref!F26,1,,CELL("contenu",$AA$2))))</f>
        <v>A</v>
      </c>
      <c r="H27" s="4" t="str">
        <f ca="1">CELL("contenu",INDIRECT(ADDRESS(ref!$K$4,ref!G26,1,,CELL("contenu",$AA$2))))</f>
        <v/>
      </c>
      <c r="I27" s="5" t="str">
        <f ca="1">CELL("contenu",INDIRECT(ADDRESS(ref!$K$4,ref!H26,1,,CELL("contenu",$AA$2))))</f>
        <v>C</v>
      </c>
      <c r="J27" s="6" t="str">
        <f ca="1">CELL("contenu",INDIRECT(ADDRESS(ref!$K$5,ref!E26,1,,CELL("contenu",$AA$2))))</f>
        <v>D</v>
      </c>
      <c r="K27" s="3" t="str">
        <f ca="1">CELL("contenu",INDIRECT(ADDRESS(ref!$K$5,ref!F26,1,,CELL("contenu",$AA$2))))</f>
        <v>B</v>
      </c>
      <c r="L27" s="4" t="str">
        <f ca="1">CELL("contenu",INDIRECT(ADDRESS(ref!$K$5,ref!G26,1,,CELL("contenu",$AA$2))))</f>
        <v/>
      </c>
      <c r="M27" s="5" t="str">
        <f ca="1">CELL("contenu",INDIRECT(ADDRESS(ref!$K$5,ref!H26,1,,CELL("contenu",$AA$2))))</f>
        <v>C</v>
      </c>
      <c r="N27" s="6" t="str">
        <f ca="1">CELL("contenu",INDIRECT(ADDRESS(ref!$K$6,ref!E26,1,,CELL("contenu",$AA$2))))</f>
        <v>D</v>
      </c>
      <c r="O27" s="3" t="str">
        <f ca="1">CELL("contenu",INDIRECT(ADDRESS(ref!$K$6,ref!F26,1,,CELL("contenu",$AA$2))))</f>
        <v>C</v>
      </c>
      <c r="P27" s="4" t="str">
        <f ca="1">CELL("contenu",INDIRECT(ADDRESS(ref!$K$6,ref!G26,1,,CELL("contenu",$AA$2))))</f>
        <v>C</v>
      </c>
      <c r="Q27" s="5" t="str">
        <f ca="1">CELL("contenu",INDIRECT(ADDRESS(ref!$K$6,ref!H26,1,,CELL("contenu",$AA$2))))</f>
        <v>C</v>
      </c>
      <c r="R27" s="6" t="str">
        <f ca="1">CELL("contenu",INDIRECT(ADDRESS(ref!$K$7,ref!E26,1,,CELL("contenu",$AA$2))))</f>
        <v/>
      </c>
      <c r="S27" s="3" t="str">
        <f ca="1">CELL("contenu",INDIRECT(ADDRESS(ref!$K$7,ref!F26,1,,CELL("contenu",$AA$2))))</f>
        <v/>
      </c>
      <c r="T27" s="4" t="str">
        <f ca="1">CELL("contenu",INDIRECT(ADDRESS(ref!$K$7,ref!G26,1,,CELL("contenu",$AA$2))))</f>
        <v/>
      </c>
      <c r="U27" s="5" t="str">
        <f ca="1">CELL("contenu",INDIRECT(ADDRESS(ref!$K$7,ref!H26,1,,CELL("contenu",$AA$2))))</f>
        <v/>
      </c>
      <c r="V27" s="49">
        <f ca="1">CELL("contenu",INDIRECT(ADDRESS(ref!$K$8,ref!E26,1,,CELL("contenu",$AA$2))))</f>
        <v>5</v>
      </c>
      <c r="W27" s="50">
        <f ca="1">CELL("contenu",INDIRECT(ADDRESS(ref!$K$8,ref!F26,1,,CELL("contenu",$AA$2))))</f>
        <v>15</v>
      </c>
      <c r="X27" s="51">
        <f ca="1">CELL("contenu",INDIRECT(ADDRESS(ref!$K$8,ref!G26,1,,CELL("contenu",$AA$2))))</f>
        <v>8.3333333333333339</v>
      </c>
      <c r="Y27" s="21" t="str">
        <f ca="1">CELL("contenu",INDIRECT(ADDRESS(ref!$K$9,ref!H26,1,,CELL("contenu",$AA$2))))</f>
        <v>C</v>
      </c>
    </row>
    <row r="28" spans="1:25" x14ac:dyDescent="0.25">
      <c r="A28" s="59" t="str">
        <f t="shared" ca="1" si="0"/>
        <v>LE DRESSAY Max</v>
      </c>
      <c r="B28" s="2" t="str">
        <f ca="1">CELL("contenu",INDIRECT(ADDRESS(ref!$K$3,ref!E27,1,,CELL("contenu",$AA$2))))</f>
        <v/>
      </c>
      <c r="C28" s="3" t="str">
        <f ca="1">CELL("contenu",INDIRECT(ADDRESS(ref!$K$3,ref!F27,1,,CELL("contenu",$AA$2))))</f>
        <v>A</v>
      </c>
      <c r="D28" s="4" t="str">
        <f ca="1">CELL("contenu",INDIRECT(ADDRESS(ref!$K$3,ref!G27,1,,CELL("contenu",$AA$2))))</f>
        <v>A</v>
      </c>
      <c r="E28" s="5" t="str">
        <f ca="1">CELL("contenu",INDIRECT(ADDRESS(ref!$K$3,ref!H27,1,,CELL("contenu",$AA$2))))</f>
        <v>A</v>
      </c>
      <c r="F28" s="6" t="str">
        <f ca="1">CELL("contenu",INDIRECT(ADDRESS(ref!$K$4,ref!E27,1,,CELL("contenu",$AA$2))))</f>
        <v/>
      </c>
      <c r="G28" s="3" t="str">
        <f ca="1">CELL("contenu",INDIRECT(ADDRESS(ref!$K$4,ref!F27,1,,CELL("contenu",$AA$2))))</f>
        <v>A</v>
      </c>
      <c r="H28" s="4" t="str">
        <f ca="1">CELL("contenu",INDIRECT(ADDRESS(ref!$K$4,ref!G27,1,,CELL("contenu",$AA$2))))</f>
        <v>A</v>
      </c>
      <c r="I28" s="5" t="str">
        <f ca="1">CELL("contenu",INDIRECT(ADDRESS(ref!$K$4,ref!H27,1,,CELL("contenu",$AA$2))))</f>
        <v>B</v>
      </c>
      <c r="J28" s="6" t="str">
        <f ca="1">CELL("contenu",INDIRECT(ADDRESS(ref!$K$5,ref!E27,1,,CELL("contenu",$AA$2))))</f>
        <v>C</v>
      </c>
      <c r="K28" s="3" t="str">
        <f ca="1">CELL("contenu",INDIRECT(ADDRESS(ref!$K$5,ref!F27,1,,CELL("contenu",$AA$2))))</f>
        <v>A</v>
      </c>
      <c r="L28" s="4" t="str">
        <f ca="1">CELL("contenu",INDIRECT(ADDRESS(ref!$K$5,ref!G27,1,,CELL("contenu",$AA$2))))</f>
        <v>A</v>
      </c>
      <c r="M28" s="5" t="str">
        <f ca="1">CELL("contenu",INDIRECT(ADDRESS(ref!$K$5,ref!H27,1,,CELL("contenu",$AA$2))))</f>
        <v>B</v>
      </c>
      <c r="N28" s="6" t="str">
        <f ca="1">CELL("contenu",INDIRECT(ADDRESS(ref!$K$6,ref!E27,1,,CELL("contenu",$AA$2))))</f>
        <v>C</v>
      </c>
      <c r="O28" s="3" t="str">
        <f ca="1">CELL("contenu",INDIRECT(ADDRESS(ref!$K$6,ref!F27,1,,CELL("contenu",$AA$2))))</f>
        <v>B</v>
      </c>
      <c r="P28" s="4" t="str">
        <f ca="1">CELL("contenu",INDIRECT(ADDRESS(ref!$K$6,ref!G27,1,,CELL("contenu",$AA$2))))</f>
        <v>B</v>
      </c>
      <c r="Q28" s="5" t="str">
        <f ca="1">CELL("contenu",INDIRECT(ADDRESS(ref!$K$6,ref!H27,1,,CELL("contenu",$AA$2))))</f>
        <v>B</v>
      </c>
      <c r="R28" s="6" t="str">
        <f ca="1">CELL("contenu",INDIRECT(ADDRESS(ref!$K$7,ref!E27,1,,CELL("contenu",$AA$2))))</f>
        <v/>
      </c>
      <c r="S28" s="3" t="str">
        <f ca="1">CELL("contenu",INDIRECT(ADDRESS(ref!$K$7,ref!F27,1,,CELL("contenu",$AA$2))))</f>
        <v/>
      </c>
      <c r="T28" s="4" t="str">
        <f ca="1">CELL("contenu",INDIRECT(ADDRESS(ref!$K$7,ref!G27,1,,CELL("contenu",$AA$2))))</f>
        <v/>
      </c>
      <c r="U28" s="5" t="str">
        <f ca="1">CELL("contenu",INDIRECT(ADDRESS(ref!$K$7,ref!H27,1,,CELL("contenu",$AA$2))))</f>
        <v/>
      </c>
      <c r="V28" s="49">
        <f ca="1">CELL("contenu",INDIRECT(ADDRESS(ref!$K$8,ref!E27,1,,CELL("contenu",$AA$2))))</f>
        <v>10</v>
      </c>
      <c r="W28" s="50">
        <f ca="1">CELL("contenu",INDIRECT(ADDRESS(ref!$K$8,ref!F27,1,,CELL("contenu",$AA$2))))</f>
        <v>22.395833333333336</v>
      </c>
      <c r="X28" s="51">
        <f ca="1">CELL("contenu",INDIRECT(ADDRESS(ref!$K$8,ref!G27,1,,CELL("contenu",$AA$2))))</f>
        <v>22.604166666666664</v>
      </c>
      <c r="Y28" s="21" t="str">
        <f ca="1">CELL("contenu",INDIRECT(ADDRESS(ref!$K$9,ref!H27,1,,CELL("contenu",$AA$2))))</f>
        <v>A</v>
      </c>
    </row>
    <row r="29" spans="1:25" x14ac:dyDescent="0.25">
      <c r="A29" s="59" t="str">
        <f t="shared" ca="1" si="0"/>
        <v>MATHIEU Margot</v>
      </c>
      <c r="B29" s="2" t="str">
        <f ca="1">CELL("contenu",INDIRECT(ADDRESS(ref!$K$3,ref!E28,1,,CELL("contenu",$AA$2))))</f>
        <v/>
      </c>
      <c r="C29" s="3" t="str">
        <f ca="1">CELL("contenu",INDIRECT(ADDRESS(ref!$K$3,ref!F28,1,,CELL("contenu",$AA$2))))</f>
        <v>A</v>
      </c>
      <c r="D29" s="4" t="str">
        <f ca="1">CELL("contenu",INDIRECT(ADDRESS(ref!$K$3,ref!G28,1,,CELL("contenu",$AA$2))))</f>
        <v>A</v>
      </c>
      <c r="E29" s="5" t="str">
        <f ca="1">CELL("contenu",INDIRECT(ADDRESS(ref!$K$3,ref!H28,1,,CELL("contenu",$AA$2))))</f>
        <v>A</v>
      </c>
      <c r="F29" s="6" t="str">
        <f ca="1">CELL("contenu",INDIRECT(ADDRESS(ref!$K$4,ref!E28,1,,CELL("contenu",$AA$2))))</f>
        <v/>
      </c>
      <c r="G29" s="3" t="str">
        <f ca="1">CELL("contenu",INDIRECT(ADDRESS(ref!$K$4,ref!F28,1,,CELL("contenu",$AA$2))))</f>
        <v>A</v>
      </c>
      <c r="H29" s="4" t="str">
        <f ca="1">CELL("contenu",INDIRECT(ADDRESS(ref!$K$4,ref!G28,1,,CELL("contenu",$AA$2))))</f>
        <v>A</v>
      </c>
      <c r="I29" s="5" t="str">
        <f ca="1">CELL("contenu",INDIRECT(ADDRESS(ref!$K$4,ref!H28,1,,CELL("contenu",$AA$2))))</f>
        <v>B</v>
      </c>
      <c r="J29" s="6" t="str">
        <f ca="1">CELL("contenu",INDIRECT(ADDRESS(ref!$K$5,ref!E28,1,,CELL("contenu",$AA$2))))</f>
        <v>B</v>
      </c>
      <c r="K29" s="3" t="str">
        <f ca="1">CELL("contenu",INDIRECT(ADDRESS(ref!$K$5,ref!F28,1,,CELL("contenu",$AA$2))))</f>
        <v>B</v>
      </c>
      <c r="L29" s="4" t="str">
        <f ca="1">CELL("contenu",INDIRECT(ADDRESS(ref!$K$5,ref!G28,1,,CELL("contenu",$AA$2))))</f>
        <v>A</v>
      </c>
      <c r="M29" s="5" t="str">
        <f ca="1">CELL("contenu",INDIRECT(ADDRESS(ref!$K$5,ref!H28,1,,CELL("contenu",$AA$2))))</f>
        <v>B</v>
      </c>
      <c r="N29" s="6" t="str">
        <f ca="1">CELL("contenu",INDIRECT(ADDRESS(ref!$K$6,ref!E28,1,,CELL("contenu",$AA$2))))</f>
        <v>B</v>
      </c>
      <c r="O29" s="3" t="str">
        <f ca="1">CELL("contenu",INDIRECT(ADDRESS(ref!$K$6,ref!F28,1,,CELL("contenu",$AA$2))))</f>
        <v>B</v>
      </c>
      <c r="P29" s="4" t="str">
        <f ca="1">CELL("contenu",INDIRECT(ADDRESS(ref!$K$6,ref!G28,1,,CELL("contenu",$AA$2))))</f>
        <v>B</v>
      </c>
      <c r="Q29" s="5" t="str">
        <f ca="1">CELL("contenu",INDIRECT(ADDRESS(ref!$K$6,ref!H28,1,,CELL("contenu",$AA$2))))</f>
        <v>B</v>
      </c>
      <c r="R29" s="6" t="str">
        <f ca="1">CELL("contenu",INDIRECT(ADDRESS(ref!$K$7,ref!E28,1,,CELL("contenu",$AA$2))))</f>
        <v/>
      </c>
      <c r="S29" s="3" t="str">
        <f ca="1">CELL("contenu",INDIRECT(ADDRESS(ref!$K$7,ref!F28,1,,CELL("contenu",$AA$2))))</f>
        <v/>
      </c>
      <c r="T29" s="4" t="str">
        <f ca="1">CELL("contenu",INDIRECT(ADDRESS(ref!$K$7,ref!G28,1,,CELL("contenu",$AA$2))))</f>
        <v/>
      </c>
      <c r="U29" s="5" t="str">
        <f ca="1">CELL("contenu",INDIRECT(ADDRESS(ref!$K$7,ref!H28,1,,CELL("contenu",$AA$2))))</f>
        <v/>
      </c>
      <c r="V29" s="49">
        <f ca="1">CELL("contenu",INDIRECT(ADDRESS(ref!$K$8,ref!E28,1,,CELL("contenu",$AA$2))))</f>
        <v>15</v>
      </c>
      <c r="W29" s="50">
        <f ca="1">CELL("contenu",INDIRECT(ADDRESS(ref!$K$8,ref!F28,1,,CELL("contenu",$AA$2))))</f>
        <v>21.5625</v>
      </c>
      <c r="X29" s="51">
        <f ca="1">CELL("contenu",INDIRECT(ADDRESS(ref!$K$8,ref!G28,1,,CELL("contenu",$AA$2))))</f>
        <v>22.916666666666664</v>
      </c>
      <c r="Y29" s="21" t="str">
        <f ca="1">CELL("contenu",INDIRECT(ADDRESS(ref!$K$9,ref!H28,1,,CELL("contenu",$AA$2))))</f>
        <v>A</v>
      </c>
    </row>
    <row r="30" spans="1:25" x14ac:dyDescent="0.25">
      <c r="A30" s="59" t="str">
        <f t="shared" ca="1" si="0"/>
        <v>MEKIBES Aslane</v>
      </c>
      <c r="B30" s="2" t="str">
        <f ca="1">CELL("contenu",INDIRECT(ADDRESS(ref!$K$3,ref!E29,1,,CELL("contenu",$AA$2))))</f>
        <v/>
      </c>
      <c r="C30" s="3" t="str">
        <f ca="1">CELL("contenu",INDIRECT(ADDRESS(ref!$K$3,ref!F29,1,,CELL("contenu",$AA$2))))</f>
        <v>A</v>
      </c>
      <c r="D30" s="4" t="str">
        <f ca="1">CELL("contenu",INDIRECT(ADDRESS(ref!$K$3,ref!G29,1,,CELL("contenu",$AA$2))))</f>
        <v>A</v>
      </c>
      <c r="E30" s="5" t="str">
        <f ca="1">CELL("contenu",INDIRECT(ADDRESS(ref!$K$3,ref!H29,1,,CELL("contenu",$AA$2))))</f>
        <v>A</v>
      </c>
      <c r="F30" s="6" t="str">
        <f ca="1">CELL("contenu",INDIRECT(ADDRESS(ref!$K$4,ref!E29,1,,CELL("contenu",$AA$2))))</f>
        <v/>
      </c>
      <c r="G30" s="3" t="str">
        <f ca="1">CELL("contenu",INDIRECT(ADDRESS(ref!$K$4,ref!F29,1,,CELL("contenu",$AA$2))))</f>
        <v>A</v>
      </c>
      <c r="H30" s="4" t="str">
        <f ca="1">CELL("contenu",INDIRECT(ADDRESS(ref!$K$4,ref!G29,1,,CELL("contenu",$AA$2))))</f>
        <v>A</v>
      </c>
      <c r="I30" s="5" t="str">
        <f ca="1">CELL("contenu",INDIRECT(ADDRESS(ref!$K$4,ref!H29,1,,CELL("contenu",$AA$2))))</f>
        <v>B</v>
      </c>
      <c r="J30" s="6" t="str">
        <f ca="1">CELL("contenu",INDIRECT(ADDRESS(ref!$K$5,ref!E29,1,,CELL("contenu",$AA$2))))</f>
        <v/>
      </c>
      <c r="K30" s="3" t="str">
        <f ca="1">CELL("contenu",INDIRECT(ADDRESS(ref!$K$5,ref!F29,1,,CELL("contenu",$AA$2))))</f>
        <v/>
      </c>
      <c r="L30" s="4" t="str">
        <f ca="1">CELL("contenu",INDIRECT(ADDRESS(ref!$K$5,ref!G29,1,,CELL("contenu",$AA$2))))</f>
        <v>A</v>
      </c>
      <c r="M30" s="5" t="str">
        <f ca="1">CELL("contenu",INDIRECT(ADDRESS(ref!$K$5,ref!H29,1,,CELL("contenu",$AA$2))))</f>
        <v>A</v>
      </c>
      <c r="N30" s="6" t="str">
        <f ca="1">CELL("contenu",INDIRECT(ADDRESS(ref!$K$6,ref!E29,1,,CELL("contenu",$AA$2))))</f>
        <v/>
      </c>
      <c r="O30" s="3" t="str">
        <f ca="1">CELL("contenu",INDIRECT(ADDRESS(ref!$K$6,ref!F29,1,,CELL("contenu",$AA$2))))</f>
        <v>B</v>
      </c>
      <c r="P30" s="4" t="str">
        <f ca="1">CELL("contenu",INDIRECT(ADDRESS(ref!$K$6,ref!G29,1,,CELL("contenu",$AA$2))))</f>
        <v>C</v>
      </c>
      <c r="Q30" s="5" t="str">
        <f ca="1">CELL("contenu",INDIRECT(ADDRESS(ref!$K$6,ref!H29,1,,CELL("contenu",$AA$2))))</f>
        <v>C</v>
      </c>
      <c r="R30" s="6" t="str">
        <f ca="1">CELL("contenu",INDIRECT(ADDRESS(ref!$K$7,ref!E29,1,,CELL("contenu",$AA$2))))</f>
        <v/>
      </c>
      <c r="S30" s="3" t="str">
        <f ca="1">CELL("contenu",INDIRECT(ADDRESS(ref!$K$7,ref!F29,1,,CELL("contenu",$AA$2))))</f>
        <v/>
      </c>
      <c r="T30" s="4" t="str">
        <f ca="1">CELL("contenu",INDIRECT(ADDRESS(ref!$K$7,ref!G29,1,,CELL("contenu",$AA$2))))</f>
        <v/>
      </c>
      <c r="U30" s="5" t="str">
        <f ca="1">CELL("contenu",INDIRECT(ADDRESS(ref!$K$7,ref!H29,1,,CELL("contenu",$AA$2))))</f>
        <v/>
      </c>
      <c r="V30" s="49" t="str">
        <f ca="1">CELL("contenu",INDIRECT(ADDRESS(ref!$K$8,ref!E29,1,,CELL("contenu",$AA$2))))</f>
        <v/>
      </c>
      <c r="W30" s="50">
        <f ca="1">CELL("contenu",INDIRECT(ADDRESS(ref!$K$8,ref!F29,1,,CELL("contenu",$AA$2))))</f>
        <v>19.166666666666668</v>
      </c>
      <c r="X30" s="51">
        <f ca="1">CELL("contenu",INDIRECT(ADDRESS(ref!$K$8,ref!G29,1,,CELL("contenu",$AA$2))))</f>
        <v>20</v>
      </c>
      <c r="Y30" s="21" t="str">
        <f ca="1">CELL("contenu",INDIRECT(ADDRESS(ref!$K$9,ref!H29,1,,CELL("contenu",$AA$2))))</f>
        <v>B</v>
      </c>
    </row>
    <row r="31" spans="1:25" x14ac:dyDescent="0.25">
      <c r="A31" s="59" t="str">
        <f t="shared" ca="1" si="0"/>
        <v>PRADEAU Diane-Marie</v>
      </c>
      <c r="B31" s="2" t="str">
        <f ca="1">CELL("contenu",INDIRECT(ADDRESS(ref!$K$3,ref!E30,1,,CELL("contenu",$AA$2))))</f>
        <v/>
      </c>
      <c r="C31" s="3" t="str">
        <f ca="1">CELL("contenu",INDIRECT(ADDRESS(ref!$K$3,ref!F30,1,,CELL("contenu",$AA$2))))</f>
        <v/>
      </c>
      <c r="D31" s="4" t="str">
        <f ca="1">CELL("contenu",INDIRECT(ADDRESS(ref!$K$3,ref!G30,1,,CELL("contenu",$AA$2))))</f>
        <v/>
      </c>
      <c r="E31" s="5" t="str">
        <f ca="1">CELL("contenu",INDIRECT(ADDRESS(ref!$K$3,ref!H30,1,,CELL("contenu",$AA$2))))</f>
        <v/>
      </c>
      <c r="F31" s="6" t="str">
        <f ca="1">CELL("contenu",INDIRECT(ADDRESS(ref!$K$4,ref!E30,1,,CELL("contenu",$AA$2))))</f>
        <v/>
      </c>
      <c r="G31" s="3" t="str">
        <f ca="1">CELL("contenu",INDIRECT(ADDRESS(ref!$K$4,ref!F30,1,,CELL("contenu",$AA$2))))</f>
        <v/>
      </c>
      <c r="H31" s="4" t="str">
        <f ca="1">CELL("contenu",INDIRECT(ADDRESS(ref!$K$4,ref!G30,1,,CELL("contenu",$AA$2))))</f>
        <v/>
      </c>
      <c r="I31" s="5" t="str">
        <f ca="1">CELL("contenu",INDIRECT(ADDRESS(ref!$K$4,ref!H30,1,,CELL("contenu",$AA$2))))</f>
        <v/>
      </c>
      <c r="J31" s="6" t="str">
        <f ca="1">CELL("contenu",INDIRECT(ADDRESS(ref!$K$5,ref!E30,1,,CELL("contenu",$AA$2))))</f>
        <v>D</v>
      </c>
      <c r="K31" s="3" t="str">
        <f ca="1">CELL("contenu",INDIRECT(ADDRESS(ref!$K$5,ref!F30,1,,CELL("contenu",$AA$2))))</f>
        <v/>
      </c>
      <c r="L31" s="4" t="str">
        <f ca="1">CELL("contenu",INDIRECT(ADDRESS(ref!$K$5,ref!G30,1,,CELL("contenu",$AA$2))))</f>
        <v/>
      </c>
      <c r="M31" s="5" t="str">
        <f ca="1">CELL("contenu",INDIRECT(ADDRESS(ref!$K$5,ref!H30,1,,CELL("contenu",$AA$2))))</f>
        <v>D</v>
      </c>
      <c r="N31" s="6" t="str">
        <f ca="1">CELL("contenu",INDIRECT(ADDRESS(ref!$K$6,ref!E30,1,,CELL("contenu",$AA$2))))</f>
        <v>B</v>
      </c>
      <c r="O31" s="3" t="str">
        <f ca="1">CELL("contenu",INDIRECT(ADDRESS(ref!$K$6,ref!F30,1,,CELL("contenu",$AA$2))))</f>
        <v/>
      </c>
      <c r="P31" s="4" t="str">
        <f ca="1">CELL("contenu",INDIRECT(ADDRESS(ref!$K$6,ref!G30,1,,CELL("contenu",$AA$2))))</f>
        <v/>
      </c>
      <c r="Q31" s="5" t="str">
        <f ca="1">CELL("contenu",INDIRECT(ADDRESS(ref!$K$6,ref!H30,1,,CELL("contenu",$AA$2))))</f>
        <v>B</v>
      </c>
      <c r="R31" s="6" t="str">
        <f ca="1">CELL("contenu",INDIRECT(ADDRESS(ref!$K$7,ref!E30,1,,CELL("contenu",$AA$2))))</f>
        <v/>
      </c>
      <c r="S31" s="3" t="str">
        <f ca="1">CELL("contenu",INDIRECT(ADDRESS(ref!$K$7,ref!F30,1,,CELL("contenu",$AA$2))))</f>
        <v/>
      </c>
      <c r="T31" s="4" t="str">
        <f ca="1">CELL("contenu",INDIRECT(ADDRESS(ref!$K$7,ref!G30,1,,CELL("contenu",$AA$2))))</f>
        <v/>
      </c>
      <c r="U31" s="5" t="str">
        <f ca="1">CELL("contenu",INDIRECT(ADDRESS(ref!$K$7,ref!H30,1,,CELL("contenu",$AA$2))))</f>
        <v/>
      </c>
      <c r="V31" s="49">
        <f ca="1">CELL("contenu",INDIRECT(ADDRESS(ref!$K$8,ref!E30,1,,CELL("contenu",$AA$2))))</f>
        <v>10</v>
      </c>
      <c r="W31" s="50" t="str">
        <f ca="1">CELL("contenu",INDIRECT(ADDRESS(ref!$K$8,ref!F30,1,,CELL("contenu",$AA$2))))</f>
        <v/>
      </c>
      <c r="X31" s="51" t="str">
        <f ca="1">CELL("contenu",INDIRECT(ADDRESS(ref!$K$8,ref!G30,1,,CELL("contenu",$AA$2))))</f>
        <v/>
      </c>
      <c r="Y31" s="21" t="str">
        <f ca="1">CELL("contenu",INDIRECT(ADDRESS(ref!$K$9,ref!H30,1,,CELL("contenu",$AA$2))))</f>
        <v/>
      </c>
    </row>
    <row r="32" spans="1:25" x14ac:dyDescent="0.25">
      <c r="A32" s="59" t="str">
        <f t="shared" ca="1" si="0"/>
        <v>RAHARIMANANA Tantely</v>
      </c>
      <c r="B32" s="2" t="str">
        <f ca="1">CELL("contenu",INDIRECT(ADDRESS(ref!$K$3,ref!E31,1,,CELL("contenu",$AA$2))))</f>
        <v/>
      </c>
      <c r="C32" s="3" t="str">
        <f ca="1">CELL("contenu",INDIRECT(ADDRESS(ref!$K$3,ref!F31,1,,CELL("contenu",$AA$2))))</f>
        <v>A</v>
      </c>
      <c r="D32" s="4" t="str">
        <f ca="1">CELL("contenu",INDIRECT(ADDRESS(ref!$K$3,ref!G31,1,,CELL("contenu",$AA$2))))</f>
        <v>A</v>
      </c>
      <c r="E32" s="5" t="str">
        <f ca="1">CELL("contenu",INDIRECT(ADDRESS(ref!$K$3,ref!H31,1,,CELL("contenu",$AA$2))))</f>
        <v>A</v>
      </c>
      <c r="F32" s="6" t="str">
        <f ca="1">CELL("contenu",INDIRECT(ADDRESS(ref!$K$4,ref!E31,1,,CELL("contenu",$AA$2))))</f>
        <v/>
      </c>
      <c r="G32" s="3" t="str">
        <f ca="1">CELL("contenu",INDIRECT(ADDRESS(ref!$K$4,ref!F31,1,,CELL("contenu",$AA$2))))</f>
        <v>A</v>
      </c>
      <c r="H32" s="4" t="str">
        <f ca="1">CELL("contenu",INDIRECT(ADDRESS(ref!$K$4,ref!G31,1,,CELL("contenu",$AA$2))))</f>
        <v>A</v>
      </c>
      <c r="I32" s="5" t="str">
        <f ca="1">CELL("contenu",INDIRECT(ADDRESS(ref!$K$4,ref!H31,1,,CELL("contenu",$AA$2))))</f>
        <v>A</v>
      </c>
      <c r="J32" s="6" t="str">
        <f ca="1">CELL("contenu",INDIRECT(ADDRESS(ref!$K$5,ref!E31,1,,CELL("contenu",$AA$2))))</f>
        <v>B</v>
      </c>
      <c r="K32" s="3" t="str">
        <f ca="1">CELL("contenu",INDIRECT(ADDRESS(ref!$K$5,ref!F31,1,,CELL("contenu",$AA$2))))</f>
        <v/>
      </c>
      <c r="L32" s="4" t="str">
        <f ca="1">CELL("contenu",INDIRECT(ADDRESS(ref!$K$5,ref!G31,1,,CELL("contenu",$AA$2))))</f>
        <v>A</v>
      </c>
      <c r="M32" s="5" t="str">
        <f ca="1">CELL("contenu",INDIRECT(ADDRESS(ref!$K$5,ref!H31,1,,CELL("contenu",$AA$2))))</f>
        <v>B</v>
      </c>
      <c r="N32" s="6" t="str">
        <f ca="1">CELL("contenu",INDIRECT(ADDRESS(ref!$K$6,ref!E31,1,,CELL("contenu",$AA$2))))</f>
        <v>A</v>
      </c>
      <c r="O32" s="3" t="str">
        <f ca="1">CELL("contenu",INDIRECT(ADDRESS(ref!$K$6,ref!F31,1,,CELL("contenu",$AA$2))))</f>
        <v>A</v>
      </c>
      <c r="P32" s="4" t="str">
        <f ca="1">CELL("contenu",INDIRECT(ADDRESS(ref!$K$6,ref!G31,1,,CELL("contenu",$AA$2))))</f>
        <v>B</v>
      </c>
      <c r="Q32" s="5" t="str">
        <f ca="1">CELL("contenu",INDIRECT(ADDRESS(ref!$K$6,ref!H31,1,,CELL("contenu",$AA$2))))</f>
        <v>B</v>
      </c>
      <c r="R32" s="6" t="str">
        <f ca="1">CELL("contenu",INDIRECT(ADDRESS(ref!$K$7,ref!E31,1,,CELL("contenu",$AA$2))))</f>
        <v/>
      </c>
      <c r="S32" s="3" t="str">
        <f ca="1">CELL("contenu",INDIRECT(ADDRESS(ref!$K$7,ref!F31,1,,CELL("contenu",$AA$2))))</f>
        <v/>
      </c>
      <c r="T32" s="4" t="str">
        <f ca="1">CELL("contenu",INDIRECT(ADDRESS(ref!$K$7,ref!G31,1,,CELL("contenu",$AA$2))))</f>
        <v/>
      </c>
      <c r="U32" s="5" t="str">
        <f ca="1">CELL("contenu",INDIRECT(ADDRESS(ref!$K$7,ref!H31,1,,CELL("contenu",$AA$2))))</f>
        <v/>
      </c>
      <c r="V32" s="49">
        <f ca="1">CELL("contenu",INDIRECT(ADDRESS(ref!$K$8,ref!E31,1,,CELL("contenu",$AA$2))))</f>
        <v>17.5</v>
      </c>
      <c r="W32" s="50">
        <f ca="1">CELL("contenu",INDIRECT(ADDRESS(ref!$K$8,ref!F31,1,,CELL("contenu",$AA$2))))</f>
        <v>20</v>
      </c>
      <c r="X32" s="51">
        <f ca="1">CELL("contenu",INDIRECT(ADDRESS(ref!$K$8,ref!G31,1,,CELL("contenu",$AA$2))))</f>
        <v>23.333333333333336</v>
      </c>
      <c r="Y32" s="21" t="str">
        <f ca="1">CELL("contenu",INDIRECT(ADDRESS(ref!$K$9,ref!H31,1,,CELL("contenu",$AA$2))))</f>
        <v>A</v>
      </c>
    </row>
    <row r="33" spans="1:25" x14ac:dyDescent="0.25">
      <c r="A33" s="59" t="str">
        <f t="shared" ca="1" si="0"/>
        <v>ROBERT Charlotte</v>
      </c>
      <c r="B33" s="2" t="str">
        <f ca="1">CELL("contenu",INDIRECT(ADDRESS(ref!$K$3,ref!E32,1,,CELL("contenu",$AA$2))))</f>
        <v/>
      </c>
      <c r="C33" s="3" t="str">
        <f ca="1">CELL("contenu",INDIRECT(ADDRESS(ref!$K$3,ref!F32,1,,CELL("contenu",$AA$2))))</f>
        <v>A</v>
      </c>
      <c r="D33" s="4" t="str">
        <f ca="1">CELL("contenu",INDIRECT(ADDRESS(ref!$K$3,ref!G32,1,,CELL("contenu",$AA$2))))</f>
        <v>A</v>
      </c>
      <c r="E33" s="5" t="str">
        <f ca="1">CELL("contenu",INDIRECT(ADDRESS(ref!$K$3,ref!H32,1,,CELL("contenu",$AA$2))))</f>
        <v>A</v>
      </c>
      <c r="F33" s="6" t="str">
        <f ca="1">CELL("contenu",INDIRECT(ADDRESS(ref!$K$4,ref!E32,1,,CELL("contenu",$AA$2))))</f>
        <v/>
      </c>
      <c r="G33" s="3" t="str">
        <f ca="1">CELL("contenu",INDIRECT(ADDRESS(ref!$K$4,ref!F32,1,,CELL("contenu",$AA$2))))</f>
        <v>A</v>
      </c>
      <c r="H33" s="4" t="str">
        <f ca="1">CELL("contenu",INDIRECT(ADDRESS(ref!$K$4,ref!G32,1,,CELL("contenu",$AA$2))))</f>
        <v>A</v>
      </c>
      <c r="I33" s="5" t="str">
        <f ca="1">CELL("contenu",INDIRECT(ADDRESS(ref!$K$4,ref!H32,1,,CELL("contenu",$AA$2))))</f>
        <v>B</v>
      </c>
      <c r="J33" s="6" t="str">
        <f ca="1">CELL("contenu",INDIRECT(ADDRESS(ref!$K$5,ref!E32,1,,CELL("contenu",$AA$2))))</f>
        <v>B</v>
      </c>
      <c r="K33" s="3" t="str">
        <f ca="1">CELL("contenu",INDIRECT(ADDRESS(ref!$K$5,ref!F32,1,,CELL("contenu",$AA$2))))</f>
        <v>A</v>
      </c>
      <c r="L33" s="4" t="str">
        <f ca="1">CELL("contenu",INDIRECT(ADDRESS(ref!$K$5,ref!G32,1,,CELL("contenu",$AA$2))))</f>
        <v>A</v>
      </c>
      <c r="M33" s="5" t="str">
        <f ca="1">CELL("contenu",INDIRECT(ADDRESS(ref!$K$5,ref!H32,1,,CELL("contenu",$AA$2))))</f>
        <v>B</v>
      </c>
      <c r="N33" s="6" t="str">
        <f ca="1">CELL("contenu",INDIRECT(ADDRESS(ref!$K$6,ref!E32,1,,CELL("contenu",$AA$2))))</f>
        <v>B</v>
      </c>
      <c r="O33" s="3" t="str">
        <f ca="1">CELL("contenu",INDIRECT(ADDRESS(ref!$K$6,ref!F32,1,,CELL("contenu",$AA$2))))</f>
        <v>B</v>
      </c>
      <c r="P33" s="4" t="str">
        <f ca="1">CELL("contenu",INDIRECT(ADDRESS(ref!$K$6,ref!G32,1,,CELL("contenu",$AA$2))))</f>
        <v>C</v>
      </c>
      <c r="Q33" s="5" t="str">
        <f ca="1">CELL("contenu",INDIRECT(ADDRESS(ref!$K$6,ref!H32,1,,CELL("contenu",$AA$2))))</f>
        <v>C</v>
      </c>
      <c r="R33" s="6" t="str">
        <f ca="1">CELL("contenu",INDIRECT(ADDRESS(ref!$K$7,ref!E32,1,,CELL("contenu",$AA$2))))</f>
        <v/>
      </c>
      <c r="S33" s="3" t="str">
        <f ca="1">CELL("contenu",INDIRECT(ADDRESS(ref!$K$7,ref!F32,1,,CELL("contenu",$AA$2))))</f>
        <v/>
      </c>
      <c r="T33" s="4" t="str">
        <f ca="1">CELL("contenu",INDIRECT(ADDRESS(ref!$K$7,ref!G32,1,,CELL("contenu",$AA$2))))</f>
        <v/>
      </c>
      <c r="U33" s="5" t="str">
        <f ca="1">CELL("contenu",INDIRECT(ADDRESS(ref!$K$7,ref!H32,1,,CELL("contenu",$AA$2))))</f>
        <v/>
      </c>
      <c r="V33" s="49">
        <f ca="1">CELL("contenu",INDIRECT(ADDRESS(ref!$K$8,ref!E32,1,,CELL("contenu",$AA$2))))</f>
        <v>15</v>
      </c>
      <c r="W33" s="50">
        <f ca="1">CELL("contenu",INDIRECT(ADDRESS(ref!$K$8,ref!F32,1,,CELL("contenu",$AA$2))))</f>
        <v>22.604166666666664</v>
      </c>
      <c r="X33" s="51">
        <f ca="1">CELL("contenu",INDIRECT(ADDRESS(ref!$K$8,ref!G32,1,,CELL("contenu",$AA$2))))</f>
        <v>21.770833333333336</v>
      </c>
      <c r="Y33" s="21" t="str">
        <f ca="1">CELL("contenu",INDIRECT(ADDRESS(ref!$K$9,ref!H32,1,,CELL("contenu",$AA$2))))</f>
        <v>A</v>
      </c>
    </row>
  </sheetData>
  <sheetProtection algorithmName="SHA-512" hashValue="y2JeCK/vQ0cOdpeLjaiwDumjw9D9BEKpRpwB49vgYSSGao6WJGeNpZDskg9D5Z5s4on1loY62vJet9+Lvhd1CA==" saltValue="0tntWMWgZieBhAD8wdVotg==" spinCount="100000" sheet="1" selectLockedCells="1"/>
  <mergeCells count="8">
    <mergeCell ref="B1:Y1"/>
    <mergeCell ref="A2:A3"/>
    <mergeCell ref="B2:E2"/>
    <mergeCell ref="F2:I2"/>
    <mergeCell ref="J2:M2"/>
    <mergeCell ref="N2:Q2"/>
    <mergeCell ref="R2:U2"/>
    <mergeCell ref="V2:X2"/>
  </mergeCell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TZ33"/>
  <sheetViews>
    <sheetView zoomScale="70" zoomScaleNormal="70" workbookViewId="0">
      <pane xSplit="2" topLeftCell="SD1" activePane="topRight" state="frozen"/>
      <selection activeCell="A4" sqref="A4"/>
      <selection pane="topRight" activeCell="SZ17" sqref="SZ17"/>
    </sheetView>
  </sheetViews>
  <sheetFormatPr baseColWidth="10" defaultColWidth="5.7109375" defaultRowHeight="15" x14ac:dyDescent="0.25"/>
  <cols>
    <col min="1" max="1" width="17.7109375" style="168" customWidth="1"/>
    <col min="2" max="2" width="13.7109375" style="168" customWidth="1"/>
    <col min="3" max="5" width="4.7109375" style="156" customWidth="1"/>
    <col min="6" max="6" width="4.7109375" style="194" customWidth="1"/>
    <col min="7" max="7" width="8.7109375" style="195" customWidth="1"/>
    <col min="8" max="10" width="4.7109375" style="157" customWidth="1"/>
    <col min="11" max="11" width="4.7109375" style="195" customWidth="1"/>
    <col min="12" max="12" width="8.7109375" style="195" customWidth="1"/>
    <col min="13" max="15" width="4.7109375" style="157" customWidth="1"/>
    <col min="16" max="16" width="4.7109375" style="195" customWidth="1"/>
    <col min="17" max="17" width="8.7109375" style="195" customWidth="1"/>
    <col min="18" max="18" width="4.7109375" style="195" customWidth="1"/>
    <col min="19" max="19" width="8.7109375" style="195" customWidth="1"/>
    <col min="20" max="22" width="4.7109375" style="156" customWidth="1"/>
    <col min="23" max="23" width="4.7109375" style="194" customWidth="1"/>
    <col min="24" max="24" width="8.7109375" style="195" customWidth="1"/>
    <col min="25" max="27" width="4.7109375" style="157" customWidth="1"/>
    <col min="28" max="28" width="4.7109375" style="195" customWidth="1"/>
    <col min="29" max="29" width="8.7109375" style="195" customWidth="1"/>
    <col min="30" max="32" width="4.7109375" style="157" customWidth="1"/>
    <col min="33" max="33" width="4.7109375" style="195" customWidth="1"/>
    <col min="34" max="34" width="8.7109375" style="195" customWidth="1"/>
    <col min="35" max="35" width="4.7109375" style="195" customWidth="1"/>
    <col min="36" max="36" width="8.7109375" style="195" customWidth="1"/>
    <col min="37" max="40" width="4.7109375" style="156" customWidth="1"/>
    <col min="41" max="41" width="8.7109375" style="155" customWidth="1"/>
    <col min="42" max="44" width="4.7109375" style="157" customWidth="1"/>
    <col min="45" max="45" width="4.7109375" style="155" customWidth="1"/>
    <col min="46" max="46" width="8.7109375" style="155" customWidth="1"/>
    <col min="47" max="49" width="4.7109375" style="157" customWidth="1"/>
    <col min="50" max="50" width="4.7109375" style="155" customWidth="1"/>
    <col min="51" max="51" width="8.7109375" style="155" customWidth="1"/>
    <col min="52" max="52" width="4.7109375" style="155" customWidth="1"/>
    <col min="53" max="53" width="8.7109375" style="155" customWidth="1"/>
    <col min="54" max="57" width="4.7109375" style="156" customWidth="1"/>
    <col min="58" max="58" width="8.7109375" style="155" customWidth="1"/>
    <col min="59" max="61" width="4.7109375" style="157" customWidth="1"/>
    <col min="62" max="62" width="4.7109375" style="155" customWidth="1"/>
    <col min="63" max="63" width="8.7109375" style="155" customWidth="1"/>
    <col min="64" max="66" width="4.7109375" style="157" customWidth="1"/>
    <col min="67" max="67" width="4.7109375" style="155" customWidth="1"/>
    <col min="68" max="68" width="8.7109375" style="155" customWidth="1"/>
    <col min="69" max="69" width="4.7109375" style="155" customWidth="1"/>
    <col min="70" max="70" width="8.7109375" style="155" customWidth="1"/>
    <col min="71" max="74" width="4.7109375" style="156" customWidth="1"/>
    <col min="75" max="75" width="8.7109375" style="155" customWidth="1"/>
    <col min="76" max="78" width="4.7109375" style="157" customWidth="1"/>
    <col min="79" max="79" width="4.7109375" style="155" customWidth="1"/>
    <col min="80" max="80" width="8.7109375" style="155" customWidth="1"/>
    <col min="81" max="83" width="4.7109375" style="157" customWidth="1"/>
    <col min="84" max="84" width="4.7109375" style="155" customWidth="1"/>
    <col min="85" max="85" width="8.7109375" style="155" customWidth="1"/>
    <col min="86" max="86" width="4.7109375" style="155" customWidth="1"/>
    <col min="87" max="87" width="8.7109375" style="155" customWidth="1"/>
    <col min="88" max="91" width="4.7109375" style="156" customWidth="1"/>
    <col min="92" max="92" width="8.7109375" style="155" customWidth="1"/>
    <col min="93" max="95" width="4.7109375" style="157" customWidth="1"/>
    <col min="96" max="96" width="4.7109375" style="155" customWidth="1"/>
    <col min="97" max="97" width="8.7109375" style="155" customWidth="1"/>
    <col min="98" max="100" width="4.7109375" style="157" customWidth="1"/>
    <col min="101" max="101" width="4.7109375" style="155" customWidth="1"/>
    <col min="102" max="102" width="8.7109375" style="155" customWidth="1"/>
    <col min="103" max="103" width="4.7109375" style="155" customWidth="1"/>
    <col min="104" max="104" width="8.7109375" style="155" customWidth="1"/>
    <col min="105" max="108" width="4.7109375" style="156" customWidth="1"/>
    <col min="109" max="109" width="8.7109375" style="155" customWidth="1"/>
    <col min="110" max="112" width="4.7109375" style="157" customWidth="1"/>
    <col min="113" max="113" width="4.7109375" style="155" customWidth="1"/>
    <col min="114" max="114" width="8.7109375" style="155" customWidth="1"/>
    <col min="115" max="117" width="4.7109375" style="157" customWidth="1"/>
    <col min="118" max="118" width="4.7109375" style="155" customWidth="1"/>
    <col min="119" max="119" width="8.7109375" style="155" customWidth="1"/>
    <col min="120" max="120" width="4.7109375" style="155" customWidth="1"/>
    <col min="121" max="121" width="8.7109375" style="155" customWidth="1"/>
    <col min="122" max="125" width="4.7109375" style="156" customWidth="1"/>
    <col min="126" max="126" width="8.7109375" style="155" customWidth="1"/>
    <col min="127" max="129" width="4.7109375" style="157" customWidth="1"/>
    <col min="130" max="130" width="4.7109375" style="155" customWidth="1"/>
    <col min="131" max="131" width="8.7109375" style="155" customWidth="1"/>
    <col min="132" max="134" width="4.7109375" style="157" customWidth="1"/>
    <col min="135" max="135" width="4.7109375" style="155" customWidth="1"/>
    <col min="136" max="136" width="8.7109375" style="155" customWidth="1"/>
    <col min="137" max="137" width="4.7109375" style="155" customWidth="1"/>
    <col min="138" max="138" width="8.7109375" style="155" customWidth="1"/>
    <col min="139" max="142" width="4.7109375" style="156" customWidth="1"/>
    <col min="143" max="143" width="8.7109375" style="155" customWidth="1"/>
    <col min="144" max="146" width="4.7109375" style="157" customWidth="1"/>
    <col min="147" max="147" width="4.7109375" style="155" customWidth="1"/>
    <col min="148" max="148" width="8.7109375" style="155" customWidth="1"/>
    <col min="149" max="151" width="4.7109375" style="157" customWidth="1"/>
    <col min="152" max="152" width="4.7109375" style="155" customWidth="1"/>
    <col min="153" max="153" width="8.7109375" style="155" customWidth="1"/>
    <col min="154" max="154" width="4.7109375" style="155" customWidth="1"/>
    <col min="155" max="155" width="8.7109375" style="155" customWidth="1"/>
    <col min="156" max="159" width="4.7109375" style="156" customWidth="1"/>
    <col min="160" max="160" width="8.7109375" style="155" customWidth="1"/>
    <col min="161" max="163" width="4.7109375" style="157" customWidth="1"/>
    <col min="164" max="164" width="4.7109375" style="155" customWidth="1"/>
    <col min="165" max="165" width="8.7109375" style="155" customWidth="1"/>
    <col min="166" max="168" width="4.7109375" style="157" customWidth="1"/>
    <col min="169" max="169" width="4.7109375" style="155" customWidth="1"/>
    <col min="170" max="170" width="8.7109375" style="155" customWidth="1"/>
    <col min="171" max="171" width="4.7109375" style="155" customWidth="1"/>
    <col min="172" max="172" width="8.7109375" style="155" customWidth="1"/>
    <col min="173" max="176" width="4.7109375" style="156" customWidth="1"/>
    <col min="177" max="177" width="8.7109375" style="155" customWidth="1"/>
    <col min="178" max="180" width="4.7109375" style="157" customWidth="1"/>
    <col min="181" max="181" width="4.7109375" style="155" customWidth="1"/>
    <col min="182" max="182" width="8.7109375" style="155" customWidth="1"/>
    <col min="183" max="185" width="4.7109375" style="157" customWidth="1"/>
    <col min="186" max="186" width="4.7109375" style="155" customWidth="1"/>
    <col min="187" max="187" width="8.7109375" style="155" customWidth="1"/>
    <col min="188" max="188" width="4.7109375" style="155" customWidth="1"/>
    <col min="189" max="189" width="8.7109375" style="155" customWidth="1"/>
    <col min="190" max="193" width="4.7109375" style="156" customWidth="1"/>
    <col min="194" max="194" width="8.7109375" style="155" customWidth="1"/>
    <col min="195" max="197" width="4.7109375" style="157" customWidth="1"/>
    <col min="198" max="198" width="4.7109375" style="155" customWidth="1"/>
    <col min="199" max="199" width="8.7109375" style="155" customWidth="1"/>
    <col min="200" max="202" width="4.7109375" style="157" customWidth="1"/>
    <col min="203" max="203" width="4.7109375" style="155" customWidth="1"/>
    <col min="204" max="204" width="8.7109375" style="155" customWidth="1"/>
    <col min="205" max="205" width="4.7109375" style="155" customWidth="1"/>
    <col min="206" max="206" width="8.7109375" style="155" customWidth="1"/>
    <col min="207" max="210" width="4.7109375" style="156" customWidth="1"/>
    <col min="211" max="211" width="8.7109375" style="155" customWidth="1"/>
    <col min="212" max="214" width="4.7109375" style="157" customWidth="1"/>
    <col min="215" max="215" width="4.7109375" style="155" customWidth="1"/>
    <col min="216" max="216" width="8.7109375" style="155" customWidth="1"/>
    <col min="217" max="219" width="4.7109375" style="157" customWidth="1"/>
    <col min="220" max="220" width="4.7109375" style="155" customWidth="1"/>
    <col min="221" max="221" width="8.7109375" style="155" customWidth="1"/>
    <col min="222" max="222" width="4.7109375" style="155" customWidth="1"/>
    <col min="223" max="223" width="8.7109375" style="155" customWidth="1"/>
    <col min="224" max="227" width="4.7109375" style="156" customWidth="1"/>
    <col min="228" max="228" width="8.7109375" style="155" customWidth="1"/>
    <col min="229" max="231" width="4.7109375" style="157" customWidth="1"/>
    <col min="232" max="232" width="4.7109375" style="155" customWidth="1"/>
    <col min="233" max="233" width="8.7109375" style="155" customWidth="1"/>
    <col min="234" max="236" width="4.7109375" style="157" customWidth="1"/>
    <col min="237" max="237" width="4.7109375" style="155" customWidth="1"/>
    <col min="238" max="238" width="8.7109375" style="155" customWidth="1"/>
    <col min="239" max="239" width="4.7109375" style="155" customWidth="1"/>
    <col min="240" max="240" width="8.7109375" style="155" customWidth="1"/>
    <col min="241" max="244" width="4.7109375" style="156" customWidth="1"/>
    <col min="245" max="245" width="8.7109375" style="155" customWidth="1"/>
    <col min="246" max="248" width="4.7109375" style="157" customWidth="1"/>
    <col min="249" max="249" width="4.7109375" style="155" customWidth="1"/>
    <col min="250" max="250" width="8.7109375" style="155" customWidth="1"/>
    <col min="251" max="253" width="4.7109375" style="157" customWidth="1"/>
    <col min="254" max="254" width="4.7109375" style="155" customWidth="1"/>
    <col min="255" max="255" width="8.7109375" style="155" customWidth="1"/>
    <col min="256" max="256" width="4.7109375" style="155" customWidth="1"/>
    <col min="257" max="257" width="8.7109375" style="155" customWidth="1"/>
    <col min="258" max="261" width="4.7109375" style="156" customWidth="1"/>
    <col min="262" max="262" width="8.7109375" style="155" customWidth="1"/>
    <col min="263" max="265" width="4.7109375" style="157" customWidth="1"/>
    <col min="266" max="266" width="4.7109375" style="155" customWidth="1"/>
    <col min="267" max="267" width="8.7109375" style="155" customWidth="1"/>
    <col min="268" max="270" width="4.7109375" style="157" customWidth="1"/>
    <col min="271" max="271" width="4.7109375" style="155" customWidth="1"/>
    <col min="272" max="272" width="8.7109375" style="155" customWidth="1"/>
    <col min="273" max="273" width="4.7109375" style="155" customWidth="1"/>
    <col min="274" max="274" width="8.7109375" style="155" customWidth="1"/>
    <col min="275" max="278" width="4.7109375" style="156" customWidth="1"/>
    <col min="279" max="279" width="8.7109375" style="155" customWidth="1"/>
    <col min="280" max="282" width="4.7109375" style="157" customWidth="1"/>
    <col min="283" max="283" width="4.7109375" style="155" customWidth="1"/>
    <col min="284" max="284" width="8.7109375" style="155" customWidth="1"/>
    <col min="285" max="287" width="4.7109375" style="157" customWidth="1"/>
    <col min="288" max="288" width="4.7109375" style="155" customWidth="1"/>
    <col min="289" max="289" width="8.7109375" style="155" customWidth="1"/>
    <col min="290" max="290" width="4.7109375" style="155" customWidth="1"/>
    <col min="291" max="291" width="8.7109375" style="155" customWidth="1"/>
    <col min="292" max="295" width="4.7109375" style="156" customWidth="1"/>
    <col min="296" max="296" width="8.7109375" style="155" customWidth="1"/>
    <col min="297" max="299" width="4.7109375" style="157" customWidth="1"/>
    <col min="300" max="300" width="4.7109375" style="155" customWidth="1"/>
    <col min="301" max="301" width="8.7109375" style="155" customWidth="1"/>
    <col min="302" max="304" width="4.7109375" style="157" customWidth="1"/>
    <col min="305" max="305" width="4.7109375" style="155" customWidth="1"/>
    <col min="306" max="306" width="8.7109375" style="155" customWidth="1"/>
    <col min="307" max="307" width="4.7109375" style="155" customWidth="1"/>
    <col min="308" max="308" width="8.7109375" style="155" customWidth="1"/>
    <col min="309" max="312" width="4.7109375" style="156" customWidth="1"/>
    <col min="313" max="313" width="8.7109375" style="155" customWidth="1"/>
    <col min="314" max="316" width="4.7109375" style="157" customWidth="1"/>
    <col min="317" max="317" width="4.7109375" style="155" customWidth="1"/>
    <col min="318" max="318" width="8.7109375" style="155" customWidth="1"/>
    <col min="319" max="321" width="4.7109375" style="157" customWidth="1"/>
    <col min="322" max="322" width="4.7109375" style="155" customWidth="1"/>
    <col min="323" max="323" width="8.7109375" style="155" customWidth="1"/>
    <col min="324" max="324" width="4.7109375" style="155" customWidth="1"/>
    <col min="325" max="325" width="8.7109375" style="155" customWidth="1"/>
    <col min="326" max="329" width="4.7109375" style="156" customWidth="1"/>
    <col min="330" max="330" width="8.7109375" style="155" customWidth="1"/>
    <col min="331" max="333" width="4.7109375" style="157" customWidth="1"/>
    <col min="334" max="334" width="4.7109375" style="155" customWidth="1"/>
    <col min="335" max="335" width="8.7109375" style="155" customWidth="1"/>
    <col min="336" max="338" width="4.7109375" style="157" customWidth="1"/>
    <col min="339" max="339" width="4.7109375" style="155" customWidth="1"/>
    <col min="340" max="340" width="8.7109375" style="155" customWidth="1"/>
    <col min="341" max="341" width="4.7109375" style="155" customWidth="1"/>
    <col min="342" max="342" width="8.7109375" style="155" customWidth="1"/>
    <col min="343" max="346" width="4.7109375" style="156" customWidth="1"/>
    <col min="347" max="347" width="8.7109375" style="155" customWidth="1"/>
    <col min="348" max="350" width="4.7109375" style="157" customWidth="1"/>
    <col min="351" max="351" width="4.7109375" style="155" customWidth="1"/>
    <col min="352" max="352" width="8.7109375" style="155" customWidth="1"/>
    <col min="353" max="355" width="4.7109375" style="157" customWidth="1"/>
    <col min="356" max="356" width="4.7109375" style="155" customWidth="1"/>
    <col min="357" max="357" width="8.7109375" style="155" customWidth="1"/>
    <col min="358" max="358" width="4.7109375" style="155" customWidth="1"/>
    <col min="359" max="359" width="8.7109375" style="155" customWidth="1"/>
    <col min="360" max="363" width="4.7109375" style="156" customWidth="1"/>
    <col min="364" max="364" width="8.7109375" style="155" customWidth="1"/>
    <col min="365" max="367" width="4.7109375" style="157" customWidth="1"/>
    <col min="368" max="368" width="4.7109375" style="155" customWidth="1"/>
    <col min="369" max="369" width="8.7109375" style="155" customWidth="1"/>
    <col min="370" max="372" width="4.7109375" style="157" customWidth="1"/>
    <col min="373" max="373" width="4.7109375" style="155" customWidth="1"/>
    <col min="374" max="374" width="8.7109375" style="155" customWidth="1"/>
    <col min="375" max="375" width="4.7109375" style="155" customWidth="1"/>
    <col min="376" max="376" width="8.7109375" style="155" customWidth="1"/>
    <col min="377" max="380" width="4.7109375" style="156" customWidth="1"/>
    <col min="381" max="381" width="8.7109375" style="155" customWidth="1"/>
    <col min="382" max="384" width="4.7109375" style="157" customWidth="1"/>
    <col min="385" max="385" width="4.7109375" style="155" customWidth="1"/>
    <col min="386" max="386" width="8.7109375" style="155" customWidth="1"/>
    <col min="387" max="389" width="4.7109375" style="157" customWidth="1"/>
    <col min="390" max="390" width="4.7109375" style="155" customWidth="1"/>
    <col min="391" max="391" width="8.7109375" style="155" customWidth="1"/>
    <col min="392" max="392" width="4.7109375" style="155" customWidth="1"/>
    <col min="393" max="393" width="8.7109375" style="155" customWidth="1"/>
    <col min="394" max="397" width="4.7109375" style="156" customWidth="1"/>
    <col min="398" max="398" width="8.7109375" style="155" customWidth="1"/>
    <col min="399" max="401" width="4.7109375" style="157" customWidth="1"/>
    <col min="402" max="402" width="4.7109375" style="155" customWidth="1"/>
    <col min="403" max="403" width="8.7109375" style="155" customWidth="1"/>
    <col min="404" max="406" width="4.7109375" style="157" customWidth="1"/>
    <col min="407" max="407" width="4.7109375" style="155" customWidth="1"/>
    <col min="408" max="408" width="8.7109375" style="155" customWidth="1"/>
    <col min="409" max="409" width="4.7109375" style="155" customWidth="1"/>
    <col min="410" max="410" width="8.7109375" style="155" customWidth="1"/>
    <col min="411" max="414" width="4.7109375" style="156" customWidth="1"/>
    <col min="415" max="415" width="8.7109375" style="155" customWidth="1"/>
    <col min="416" max="418" width="4.7109375" style="157" customWidth="1"/>
    <col min="419" max="419" width="4.7109375" style="155" customWidth="1"/>
    <col min="420" max="420" width="8.7109375" style="155" customWidth="1"/>
    <col min="421" max="423" width="4.7109375" style="157" customWidth="1"/>
    <col min="424" max="424" width="4.7109375" style="155" customWidth="1"/>
    <col min="425" max="425" width="8.7109375" style="155" customWidth="1"/>
    <col min="426" max="426" width="4.7109375" style="155" customWidth="1"/>
    <col min="427" max="427" width="8.7109375" style="155" customWidth="1"/>
    <col min="428" max="431" width="4.7109375" style="156" customWidth="1"/>
    <col min="432" max="432" width="8.7109375" style="155" customWidth="1"/>
    <col min="433" max="435" width="4.7109375" style="157" customWidth="1"/>
    <col min="436" max="436" width="4.7109375" style="155" customWidth="1"/>
    <col min="437" max="437" width="8.7109375" style="155" customWidth="1"/>
    <col min="438" max="440" width="4.7109375" style="157" customWidth="1"/>
    <col min="441" max="441" width="4.7109375" style="155" customWidth="1"/>
    <col min="442" max="442" width="8.7109375" style="155" customWidth="1"/>
    <col min="443" max="443" width="4.7109375" style="155" customWidth="1"/>
    <col min="444" max="444" width="8.7109375" style="155" customWidth="1"/>
    <col min="445" max="448" width="4.7109375" style="156" customWidth="1"/>
    <col min="449" max="449" width="8.7109375" style="155" customWidth="1"/>
    <col min="450" max="452" width="4.7109375" style="157" customWidth="1"/>
    <col min="453" max="453" width="4.7109375" style="155" customWidth="1"/>
    <col min="454" max="454" width="8.7109375" style="155" customWidth="1"/>
    <col min="455" max="457" width="4.7109375" style="157" customWidth="1"/>
    <col min="458" max="458" width="4.7109375" style="155" customWidth="1"/>
    <col min="459" max="459" width="8.7109375" style="155" customWidth="1"/>
    <col min="460" max="460" width="4.7109375" style="155" customWidth="1"/>
    <col min="461" max="461" width="8.7109375" style="155" customWidth="1"/>
    <col min="462" max="465" width="4.7109375" style="156" customWidth="1"/>
    <col min="466" max="466" width="8.7109375" style="155" customWidth="1"/>
    <col min="467" max="469" width="4.7109375" style="157" customWidth="1"/>
    <col min="470" max="470" width="4.7109375" style="155" customWidth="1"/>
    <col min="471" max="471" width="8.7109375" style="155" customWidth="1"/>
    <col min="472" max="474" width="4.7109375" style="157" customWidth="1"/>
    <col min="475" max="475" width="4.7109375" style="155" customWidth="1"/>
    <col min="476" max="476" width="8.7109375" style="155" customWidth="1"/>
    <col min="477" max="477" width="4.7109375" style="155" customWidth="1"/>
    <col min="478" max="478" width="8.7109375" style="155" customWidth="1"/>
    <col min="479" max="482" width="4.7109375" style="156" customWidth="1"/>
    <col min="483" max="483" width="8.7109375" style="155" customWidth="1"/>
    <col min="484" max="486" width="4.7109375" style="157" customWidth="1"/>
    <col min="487" max="487" width="4.7109375" style="155" customWidth="1"/>
    <col min="488" max="488" width="8.7109375" style="155" customWidth="1"/>
    <col min="489" max="491" width="4.7109375" style="157" customWidth="1"/>
    <col min="492" max="492" width="4.7109375" style="155" customWidth="1"/>
    <col min="493" max="493" width="8.7109375" style="155" customWidth="1"/>
    <col min="494" max="494" width="4.7109375" style="155" customWidth="1"/>
    <col min="495" max="495" width="8.7109375" style="155" customWidth="1"/>
    <col min="496" max="499" width="4.7109375" style="156" customWidth="1"/>
    <col min="500" max="500" width="8.7109375" style="155" customWidth="1"/>
    <col min="501" max="503" width="4.7109375" style="157" customWidth="1"/>
    <col min="504" max="504" width="4.7109375" style="155" customWidth="1"/>
    <col min="505" max="505" width="8.7109375" style="155" customWidth="1"/>
    <col min="506" max="508" width="4.7109375" style="157" customWidth="1"/>
    <col min="509" max="509" width="4.7109375" style="155" customWidth="1"/>
    <col min="510" max="510" width="8.7109375" style="155" customWidth="1"/>
    <col min="511" max="511" width="4.7109375" style="155" customWidth="1"/>
    <col min="512" max="512" width="8.7109375" style="155" customWidth="1"/>
    <col min="513" max="516" width="4.7109375" style="156" customWidth="1"/>
    <col min="517" max="517" width="8.7109375" style="155" customWidth="1"/>
    <col min="518" max="520" width="4.7109375" style="157" customWidth="1"/>
    <col min="521" max="521" width="4.7109375" style="155" customWidth="1"/>
    <col min="522" max="522" width="8.7109375" style="155" customWidth="1"/>
    <col min="523" max="525" width="4.7109375" style="157" customWidth="1"/>
    <col min="526" max="526" width="4.7109375" style="155" customWidth="1"/>
    <col min="527" max="527" width="8.7109375" style="155" customWidth="1"/>
    <col min="528" max="528" width="4.7109375" style="155" customWidth="1"/>
    <col min="529" max="529" width="8.7109375" style="155" customWidth="1"/>
    <col min="530" max="533" width="4.7109375" style="73" customWidth="1"/>
    <col min="534" max="534" width="8.7109375" style="73" customWidth="1"/>
    <col min="535" max="538" width="4.7109375" style="73" customWidth="1"/>
    <col min="539" max="539" width="8.7109375" style="73" customWidth="1"/>
    <col min="540" max="543" width="4.7109375" style="73" customWidth="1"/>
    <col min="544" max="544" width="8.7109375" style="73" customWidth="1"/>
    <col min="545" max="545" width="4.7109375" style="73" customWidth="1"/>
    <col min="546" max="546" width="8.7109375" style="73" customWidth="1"/>
    <col min="547" max="16384" width="5.7109375" style="73"/>
  </cols>
  <sheetData>
    <row r="1" spans="1:546" ht="15.75" thickBot="1" x14ac:dyDescent="0.3">
      <c r="A1" s="248" t="s">
        <v>43</v>
      </c>
      <c r="B1" s="249"/>
      <c r="C1" s="170">
        <v>4</v>
      </c>
      <c r="D1" s="70"/>
      <c r="E1" s="70"/>
      <c r="F1" s="177"/>
      <c r="G1" s="178"/>
      <c r="H1" s="175"/>
      <c r="I1" s="72"/>
      <c r="J1" s="72"/>
      <c r="K1" s="178"/>
      <c r="L1" s="178"/>
      <c r="M1" s="175"/>
      <c r="N1" s="72"/>
      <c r="O1" s="72"/>
      <c r="P1" s="178"/>
      <c r="Q1" s="178"/>
      <c r="R1" s="178"/>
      <c r="S1" s="178"/>
      <c r="T1" s="170">
        <f>C1+1</f>
        <v>5</v>
      </c>
      <c r="U1" s="70"/>
      <c r="V1" s="70"/>
      <c r="W1" s="177"/>
      <c r="X1" s="178"/>
      <c r="Y1" s="175"/>
      <c r="Z1" s="72"/>
      <c r="AA1" s="72"/>
      <c r="AB1" s="178"/>
      <c r="AC1" s="178"/>
      <c r="AD1" s="175"/>
      <c r="AE1" s="72"/>
      <c r="AF1" s="72"/>
      <c r="AG1" s="178"/>
      <c r="AH1" s="178"/>
      <c r="AI1" s="178"/>
      <c r="AJ1" s="178"/>
      <c r="AK1" s="170">
        <f>T1+1</f>
        <v>6</v>
      </c>
      <c r="AL1" s="70"/>
      <c r="AM1" s="70"/>
      <c r="AN1" s="177"/>
      <c r="AO1" s="178"/>
      <c r="AP1" s="175"/>
      <c r="AQ1" s="72"/>
      <c r="AR1" s="72"/>
      <c r="AS1" s="178"/>
      <c r="AT1" s="178"/>
      <c r="AU1" s="175"/>
      <c r="AV1" s="72"/>
      <c r="AW1" s="72"/>
      <c r="AX1" s="178"/>
      <c r="AY1" s="178"/>
      <c r="AZ1" s="178"/>
      <c r="BA1" s="178"/>
      <c r="BB1" s="170">
        <f>AK1+1</f>
        <v>7</v>
      </c>
      <c r="BC1" s="70"/>
      <c r="BD1" s="70"/>
      <c r="BE1" s="177"/>
      <c r="BF1" s="178"/>
      <c r="BG1" s="175"/>
      <c r="BH1" s="72"/>
      <c r="BI1" s="72"/>
      <c r="BJ1" s="178"/>
      <c r="BK1" s="178"/>
      <c r="BL1" s="175"/>
      <c r="BM1" s="72"/>
      <c r="BN1" s="72"/>
      <c r="BO1" s="178"/>
      <c r="BP1" s="178"/>
      <c r="BQ1" s="178"/>
      <c r="BR1" s="178"/>
      <c r="BS1" s="170">
        <f>BB1+1</f>
        <v>8</v>
      </c>
      <c r="BT1" s="70"/>
      <c r="BU1" s="70"/>
      <c r="BV1" s="177"/>
      <c r="BW1" s="178"/>
      <c r="BX1" s="175"/>
      <c r="BY1" s="72"/>
      <c r="BZ1" s="72"/>
      <c r="CA1" s="178"/>
      <c r="CB1" s="178"/>
      <c r="CC1" s="175"/>
      <c r="CD1" s="72"/>
      <c r="CE1" s="72"/>
      <c r="CF1" s="178"/>
      <c r="CG1" s="178"/>
      <c r="CH1" s="178"/>
      <c r="CI1" s="178"/>
      <c r="CJ1" s="170">
        <f>BS1+1</f>
        <v>9</v>
      </c>
      <c r="CK1" s="70"/>
      <c r="CL1" s="70"/>
      <c r="CM1" s="177"/>
      <c r="CN1" s="178"/>
      <c r="CO1" s="175"/>
      <c r="CP1" s="72"/>
      <c r="CQ1" s="72"/>
      <c r="CR1" s="178"/>
      <c r="CS1" s="178"/>
      <c r="CT1" s="175"/>
      <c r="CU1" s="72"/>
      <c r="CV1" s="72"/>
      <c r="CW1" s="178"/>
      <c r="CX1" s="178"/>
      <c r="CY1" s="178"/>
      <c r="CZ1" s="178"/>
      <c r="DA1" s="170">
        <f>CJ1+1</f>
        <v>10</v>
      </c>
      <c r="DB1" s="70"/>
      <c r="DC1" s="70"/>
      <c r="DD1" s="177"/>
      <c r="DE1" s="178"/>
      <c r="DF1" s="175"/>
      <c r="DG1" s="72"/>
      <c r="DH1" s="72"/>
      <c r="DI1" s="178"/>
      <c r="DJ1" s="178"/>
      <c r="DK1" s="175"/>
      <c r="DL1" s="72"/>
      <c r="DM1" s="72"/>
      <c r="DN1" s="178"/>
      <c r="DO1" s="178"/>
      <c r="DP1" s="178"/>
      <c r="DQ1" s="178"/>
      <c r="DR1" s="170">
        <f>DA1+1</f>
        <v>11</v>
      </c>
      <c r="DS1" s="70"/>
      <c r="DT1" s="70"/>
      <c r="DU1" s="177"/>
      <c r="DV1" s="178"/>
      <c r="DW1" s="175"/>
      <c r="DX1" s="72"/>
      <c r="DY1" s="72"/>
      <c r="DZ1" s="178"/>
      <c r="EA1" s="178"/>
      <c r="EB1" s="175"/>
      <c r="EC1" s="72"/>
      <c r="ED1" s="72"/>
      <c r="EE1" s="178"/>
      <c r="EF1" s="178"/>
      <c r="EG1" s="178"/>
      <c r="EH1" s="178"/>
      <c r="EI1" s="170">
        <f>DR1+1</f>
        <v>12</v>
      </c>
      <c r="EJ1" s="70"/>
      <c r="EK1" s="70"/>
      <c r="EL1" s="177"/>
      <c r="EM1" s="178"/>
      <c r="EN1" s="175"/>
      <c r="EO1" s="72"/>
      <c r="EP1" s="72"/>
      <c r="EQ1" s="178"/>
      <c r="ER1" s="178"/>
      <c r="ES1" s="175"/>
      <c r="ET1" s="72"/>
      <c r="EU1" s="72"/>
      <c r="EV1" s="178"/>
      <c r="EW1" s="178"/>
      <c r="EX1" s="178"/>
      <c r="EY1" s="178"/>
      <c r="EZ1" s="170">
        <f>EI1+1</f>
        <v>13</v>
      </c>
      <c r="FA1" s="70"/>
      <c r="FB1" s="70"/>
      <c r="FC1" s="177"/>
      <c r="FD1" s="178"/>
      <c r="FE1" s="175"/>
      <c r="FF1" s="72"/>
      <c r="FG1" s="72"/>
      <c r="FH1" s="178"/>
      <c r="FI1" s="178"/>
      <c r="FJ1" s="175"/>
      <c r="FK1" s="72"/>
      <c r="FL1" s="72"/>
      <c r="FM1" s="178"/>
      <c r="FN1" s="178"/>
      <c r="FO1" s="178"/>
      <c r="FP1" s="178"/>
      <c r="FQ1" s="170">
        <f>EZ1+1</f>
        <v>14</v>
      </c>
      <c r="FR1" s="70"/>
      <c r="FS1" s="70"/>
      <c r="FT1" s="177"/>
      <c r="FU1" s="178"/>
      <c r="FV1" s="175"/>
      <c r="FW1" s="72"/>
      <c r="FX1" s="72"/>
      <c r="FY1" s="178"/>
      <c r="FZ1" s="178"/>
      <c r="GA1" s="175"/>
      <c r="GB1" s="72"/>
      <c r="GC1" s="72"/>
      <c r="GD1" s="178"/>
      <c r="GE1" s="178"/>
      <c r="GF1" s="178"/>
      <c r="GG1" s="178"/>
      <c r="GH1" s="170">
        <f>FQ1+1</f>
        <v>15</v>
      </c>
      <c r="GI1" s="70"/>
      <c r="GJ1" s="70"/>
      <c r="GK1" s="177"/>
      <c r="GL1" s="178"/>
      <c r="GM1" s="175"/>
      <c r="GN1" s="72"/>
      <c r="GO1" s="72"/>
      <c r="GP1" s="178"/>
      <c r="GQ1" s="178"/>
      <c r="GR1" s="175"/>
      <c r="GS1" s="72"/>
      <c r="GT1" s="72"/>
      <c r="GU1" s="178"/>
      <c r="GV1" s="178"/>
      <c r="GW1" s="178"/>
      <c r="GX1" s="178"/>
      <c r="GY1" s="170">
        <f>GH1+1</f>
        <v>16</v>
      </c>
      <c r="GZ1" s="70"/>
      <c r="HA1" s="70"/>
      <c r="HB1" s="177"/>
      <c r="HC1" s="178"/>
      <c r="HD1" s="175"/>
      <c r="HE1" s="72"/>
      <c r="HF1" s="72"/>
      <c r="HG1" s="178"/>
      <c r="HH1" s="178"/>
      <c r="HI1" s="175"/>
      <c r="HJ1" s="72"/>
      <c r="HK1" s="72"/>
      <c r="HL1" s="178"/>
      <c r="HM1" s="178"/>
      <c r="HN1" s="178"/>
      <c r="HO1" s="178"/>
      <c r="HP1" s="170">
        <f>GY1+1</f>
        <v>17</v>
      </c>
      <c r="HQ1" s="70"/>
      <c r="HR1" s="70"/>
      <c r="HS1" s="177"/>
      <c r="HT1" s="178"/>
      <c r="HU1" s="175"/>
      <c r="HV1" s="72"/>
      <c r="HW1" s="72"/>
      <c r="HX1" s="178"/>
      <c r="HY1" s="178"/>
      <c r="HZ1" s="175"/>
      <c r="IA1" s="72"/>
      <c r="IB1" s="72"/>
      <c r="IC1" s="178"/>
      <c r="ID1" s="178"/>
      <c r="IE1" s="178"/>
      <c r="IF1" s="178"/>
      <c r="IG1" s="170">
        <f>HP1+1</f>
        <v>18</v>
      </c>
      <c r="IH1" s="70"/>
      <c r="II1" s="70"/>
      <c r="IJ1" s="177"/>
      <c r="IK1" s="178"/>
      <c r="IL1" s="175"/>
      <c r="IM1" s="72"/>
      <c r="IN1" s="72"/>
      <c r="IO1" s="178"/>
      <c r="IP1" s="178"/>
      <c r="IQ1" s="175"/>
      <c r="IR1" s="72"/>
      <c r="IS1" s="72"/>
      <c r="IT1" s="178"/>
      <c r="IU1" s="178"/>
      <c r="IV1" s="178"/>
      <c r="IW1" s="178"/>
      <c r="IX1" s="170">
        <f>IG1+1</f>
        <v>19</v>
      </c>
      <c r="IY1" s="70"/>
      <c r="IZ1" s="70"/>
      <c r="JA1" s="177"/>
      <c r="JB1" s="178"/>
      <c r="JC1" s="175"/>
      <c r="JD1" s="72"/>
      <c r="JE1" s="72"/>
      <c r="JF1" s="178"/>
      <c r="JG1" s="178"/>
      <c r="JH1" s="175"/>
      <c r="JI1" s="72"/>
      <c r="JJ1" s="72"/>
      <c r="JK1" s="178"/>
      <c r="JL1" s="178"/>
      <c r="JM1" s="178"/>
      <c r="JN1" s="178"/>
      <c r="JO1" s="170">
        <f>IX1+1</f>
        <v>20</v>
      </c>
      <c r="JP1" s="70"/>
      <c r="JQ1" s="70"/>
      <c r="JR1" s="177"/>
      <c r="JS1" s="178"/>
      <c r="JT1" s="175"/>
      <c r="JU1" s="72"/>
      <c r="JV1" s="72"/>
      <c r="JW1" s="178"/>
      <c r="JX1" s="178"/>
      <c r="JY1" s="175"/>
      <c r="JZ1" s="72"/>
      <c r="KA1" s="72"/>
      <c r="KB1" s="178"/>
      <c r="KC1" s="178"/>
      <c r="KD1" s="178"/>
      <c r="KE1" s="178"/>
      <c r="KF1" s="170">
        <f>JO1+1</f>
        <v>21</v>
      </c>
      <c r="KG1" s="70"/>
      <c r="KH1" s="70"/>
      <c r="KI1" s="177"/>
      <c r="KJ1" s="178"/>
      <c r="KK1" s="175"/>
      <c r="KL1" s="72"/>
      <c r="KM1" s="72"/>
      <c r="KN1" s="178"/>
      <c r="KO1" s="178"/>
      <c r="KP1" s="175"/>
      <c r="KQ1" s="72"/>
      <c r="KR1" s="72"/>
      <c r="KS1" s="178"/>
      <c r="KT1" s="178"/>
      <c r="KU1" s="178"/>
      <c r="KV1" s="178"/>
      <c r="KW1" s="170">
        <f>KF1+1</f>
        <v>22</v>
      </c>
      <c r="KX1" s="70"/>
      <c r="KY1" s="70"/>
      <c r="KZ1" s="177"/>
      <c r="LA1" s="178"/>
      <c r="LB1" s="175"/>
      <c r="LC1" s="72"/>
      <c r="LD1" s="72"/>
      <c r="LE1" s="178"/>
      <c r="LF1" s="178"/>
      <c r="LG1" s="175"/>
      <c r="LH1" s="72"/>
      <c r="LI1" s="72"/>
      <c r="LJ1" s="178"/>
      <c r="LK1" s="178"/>
      <c r="LL1" s="178"/>
      <c r="LM1" s="178"/>
      <c r="LN1" s="170">
        <f>KW1+1</f>
        <v>23</v>
      </c>
      <c r="LO1" s="70"/>
      <c r="LP1" s="70"/>
      <c r="LQ1" s="177"/>
      <c r="LR1" s="178"/>
      <c r="LS1" s="175"/>
      <c r="LT1" s="72"/>
      <c r="LU1" s="72"/>
      <c r="LV1" s="178"/>
      <c r="LW1" s="178"/>
      <c r="LX1" s="175"/>
      <c r="LY1" s="72"/>
      <c r="LZ1" s="72"/>
      <c r="MA1" s="178"/>
      <c r="MB1" s="178"/>
      <c r="MC1" s="178"/>
      <c r="MD1" s="178"/>
      <c r="ME1" s="170">
        <f>LN1+1</f>
        <v>24</v>
      </c>
      <c r="MF1" s="70"/>
      <c r="MG1" s="70"/>
      <c r="MH1" s="177"/>
      <c r="MI1" s="178"/>
      <c r="MJ1" s="175"/>
      <c r="MK1" s="72"/>
      <c r="ML1" s="72"/>
      <c r="MM1" s="178"/>
      <c r="MN1" s="178"/>
      <c r="MO1" s="175"/>
      <c r="MP1" s="72"/>
      <c r="MQ1" s="72"/>
      <c r="MR1" s="178"/>
      <c r="MS1" s="178"/>
      <c r="MT1" s="178"/>
      <c r="MU1" s="178"/>
      <c r="MV1" s="170">
        <f>ME1+1</f>
        <v>25</v>
      </c>
      <c r="MW1" s="70"/>
      <c r="MX1" s="70"/>
      <c r="MY1" s="177"/>
      <c r="MZ1" s="178"/>
      <c r="NA1" s="175"/>
      <c r="NB1" s="72"/>
      <c r="NC1" s="72"/>
      <c r="ND1" s="178"/>
      <c r="NE1" s="178"/>
      <c r="NF1" s="175"/>
      <c r="NG1" s="72"/>
      <c r="NH1" s="72"/>
      <c r="NI1" s="178"/>
      <c r="NJ1" s="178"/>
      <c r="NK1" s="178"/>
      <c r="NL1" s="178"/>
      <c r="NM1" s="170">
        <f>MV1+1</f>
        <v>26</v>
      </c>
      <c r="NN1" s="70"/>
      <c r="NO1" s="70"/>
      <c r="NP1" s="177"/>
      <c r="NQ1" s="178"/>
      <c r="NR1" s="175"/>
      <c r="NS1" s="72"/>
      <c r="NT1" s="72"/>
      <c r="NU1" s="178"/>
      <c r="NV1" s="178"/>
      <c r="NW1" s="175"/>
      <c r="NX1" s="72"/>
      <c r="NY1" s="72"/>
      <c r="NZ1" s="178"/>
      <c r="OA1" s="178"/>
      <c r="OB1" s="178"/>
      <c r="OC1" s="178"/>
      <c r="OD1" s="170">
        <f>NM1+1</f>
        <v>27</v>
      </c>
      <c r="OE1" s="70"/>
      <c r="OF1" s="70"/>
      <c r="OG1" s="177"/>
      <c r="OH1" s="178"/>
      <c r="OI1" s="175"/>
      <c r="OJ1" s="72"/>
      <c r="OK1" s="72"/>
      <c r="OL1" s="178"/>
      <c r="OM1" s="178"/>
      <c r="ON1" s="175"/>
      <c r="OO1" s="72"/>
      <c r="OP1" s="72"/>
      <c r="OQ1" s="178"/>
      <c r="OR1" s="178"/>
      <c r="OS1" s="178"/>
      <c r="OT1" s="178"/>
      <c r="OU1" s="170">
        <f>OD1+1</f>
        <v>28</v>
      </c>
      <c r="OV1" s="70"/>
      <c r="OW1" s="70"/>
      <c r="OX1" s="177"/>
      <c r="OY1" s="178"/>
      <c r="OZ1" s="175"/>
      <c r="PA1" s="72"/>
      <c r="PB1" s="72"/>
      <c r="PC1" s="178"/>
      <c r="PD1" s="178"/>
      <c r="PE1" s="175"/>
      <c r="PF1" s="72"/>
      <c r="PG1" s="72"/>
      <c r="PH1" s="178"/>
      <c r="PI1" s="178"/>
      <c r="PJ1" s="178"/>
      <c r="PK1" s="178"/>
      <c r="PL1" s="170">
        <f>OU1+1</f>
        <v>29</v>
      </c>
      <c r="PM1" s="70"/>
      <c r="PN1" s="70"/>
      <c r="PO1" s="177"/>
      <c r="PP1" s="178"/>
      <c r="PQ1" s="175"/>
      <c r="PR1" s="72"/>
      <c r="PS1" s="72"/>
      <c r="PT1" s="178"/>
      <c r="PU1" s="178"/>
      <c r="PV1" s="175"/>
      <c r="PW1" s="72"/>
      <c r="PX1" s="72"/>
      <c r="PY1" s="178"/>
      <c r="PZ1" s="178"/>
      <c r="QA1" s="178"/>
      <c r="QB1" s="178"/>
      <c r="QC1" s="170">
        <f>PL1+1</f>
        <v>30</v>
      </c>
      <c r="QD1" s="70"/>
      <c r="QE1" s="70"/>
      <c r="QF1" s="177"/>
      <c r="QG1" s="178"/>
      <c r="QH1" s="175"/>
      <c r="QI1" s="72"/>
      <c r="QJ1" s="72"/>
      <c r="QK1" s="178"/>
      <c r="QL1" s="178"/>
      <c r="QM1" s="175"/>
      <c r="QN1" s="72"/>
      <c r="QO1" s="72"/>
      <c r="QP1" s="178"/>
      <c r="QQ1" s="178"/>
      <c r="QR1" s="178"/>
      <c r="QS1" s="178"/>
      <c r="QT1" s="170">
        <f>QC1+1</f>
        <v>31</v>
      </c>
      <c r="QU1" s="70"/>
      <c r="QV1" s="70"/>
      <c r="QW1" s="177"/>
      <c r="QX1" s="178"/>
      <c r="QY1" s="175"/>
      <c r="QZ1" s="72"/>
      <c r="RA1" s="72"/>
      <c r="RB1" s="178"/>
      <c r="RC1" s="178"/>
      <c r="RD1" s="175"/>
      <c r="RE1" s="72"/>
      <c r="RF1" s="72"/>
      <c r="RG1" s="178"/>
      <c r="RH1" s="178"/>
      <c r="RI1" s="178"/>
      <c r="RJ1" s="178"/>
      <c r="RK1" s="170">
        <f>QT1+1</f>
        <v>32</v>
      </c>
      <c r="RL1" s="70"/>
      <c r="RM1" s="70"/>
      <c r="RN1" s="177"/>
      <c r="RO1" s="178"/>
      <c r="RP1" s="175"/>
      <c r="RQ1" s="72"/>
      <c r="RR1" s="72"/>
      <c r="RS1" s="178"/>
      <c r="RT1" s="178"/>
      <c r="RU1" s="175"/>
      <c r="RV1" s="72"/>
      <c r="RW1" s="72"/>
      <c r="RX1" s="178"/>
      <c r="RY1" s="178"/>
      <c r="RZ1" s="178"/>
      <c r="SA1" s="178"/>
      <c r="SB1" s="170">
        <f>RK1+1</f>
        <v>33</v>
      </c>
      <c r="SC1" s="70"/>
      <c r="SD1" s="70"/>
      <c r="SE1" s="177"/>
      <c r="SF1" s="178"/>
      <c r="SG1" s="175"/>
      <c r="SH1" s="72"/>
      <c r="SI1" s="72"/>
      <c r="SJ1" s="178"/>
      <c r="SK1" s="178"/>
      <c r="SL1" s="175"/>
      <c r="SM1" s="72"/>
      <c r="SN1" s="72"/>
      <c r="SO1" s="178"/>
      <c r="SP1" s="178"/>
      <c r="SQ1" s="178"/>
      <c r="SR1" s="178"/>
      <c r="SS1" s="69">
        <f>SB1+1</f>
        <v>34</v>
      </c>
      <c r="ST1" s="70"/>
      <c r="SU1" s="70"/>
      <c r="SV1" s="70"/>
      <c r="SW1" s="71"/>
      <c r="SX1" s="72"/>
      <c r="SY1" s="72"/>
      <c r="SZ1" s="72"/>
      <c r="TA1" s="71"/>
      <c r="TB1" s="71"/>
      <c r="TC1" s="72"/>
      <c r="TD1" s="72"/>
      <c r="TE1" s="72"/>
      <c r="TF1" s="71"/>
      <c r="TG1" s="71"/>
      <c r="TH1" s="71"/>
      <c r="TI1" s="71"/>
      <c r="TJ1" s="69">
        <f>SS1+1</f>
        <v>35</v>
      </c>
      <c r="TK1" s="70"/>
      <c r="TL1" s="70"/>
      <c r="TM1" s="70"/>
      <c r="TN1" s="71"/>
      <c r="TO1" s="72"/>
      <c r="TP1" s="72"/>
      <c r="TQ1" s="72"/>
      <c r="TR1" s="71"/>
      <c r="TS1" s="71"/>
      <c r="TT1" s="72"/>
      <c r="TU1" s="72"/>
      <c r="TV1" s="72"/>
      <c r="TW1" s="71"/>
      <c r="TX1" s="71"/>
      <c r="TY1" s="71"/>
      <c r="TZ1" s="71"/>
    </row>
    <row r="2" spans="1:546" ht="60" customHeight="1" thickBot="1" x14ac:dyDescent="0.3">
      <c r="A2" s="158" t="s">
        <v>42</v>
      </c>
      <c r="B2" s="159" t="s">
        <v>194</v>
      </c>
      <c r="C2" s="171" t="str">
        <f ca="1">IF(CELL("contenu",INDIRECT(ADDRESS(C1,1,1,1,CELL("contenu",$B$2))))="","----",CELL("contenu",INDIRECT(ADDRESS(C1,1,1,1,CELL("contenu",$B$2)))))</f>
        <v>AOUSTIN Jeanne</v>
      </c>
      <c r="D2" s="169"/>
      <c r="E2" s="169"/>
      <c r="F2" s="171"/>
      <c r="G2" s="171"/>
      <c r="H2" s="171"/>
      <c r="I2" s="169"/>
      <c r="J2" s="169"/>
      <c r="K2" s="171"/>
      <c r="L2" s="171"/>
      <c r="M2" s="171"/>
      <c r="N2" s="169"/>
      <c r="O2" s="169"/>
      <c r="P2" s="171"/>
      <c r="Q2" s="171"/>
      <c r="R2" s="171"/>
      <c r="S2" s="200"/>
      <c r="T2" s="171" t="str">
        <f ca="1">IF(CELL("contenu",INDIRECT(ADDRESS(T1,1,1,1,CELL("contenu",$B$2))))="","----",CELL("contenu",INDIRECT(ADDRESS(T1,1,1,1,CELL("contenu",$B$2)))))</f>
        <v>BERQUEZ Victor</v>
      </c>
      <c r="U2" s="169"/>
      <c r="V2" s="169"/>
      <c r="W2" s="171"/>
      <c r="X2" s="171"/>
      <c r="Y2" s="171"/>
      <c r="Z2" s="169"/>
      <c r="AA2" s="169"/>
      <c r="AB2" s="171"/>
      <c r="AC2" s="171"/>
      <c r="AD2" s="171"/>
      <c r="AE2" s="169"/>
      <c r="AF2" s="169"/>
      <c r="AG2" s="171"/>
      <c r="AH2" s="171"/>
      <c r="AI2" s="171"/>
      <c r="AJ2" s="200"/>
      <c r="AK2" s="171" t="str">
        <f ca="1">IF(CELL("contenu",INDIRECT(ADDRESS(AK1,1,1,1,CELL("contenu",$B$2))))="","----",CELL("contenu",INDIRECT(ADDRESS(AK1,1,1,1,CELL("contenu",$B$2)))))</f>
        <v>BERTHIER Leeloo</v>
      </c>
      <c r="AL2" s="169"/>
      <c r="AM2" s="169"/>
      <c r="AN2" s="171"/>
      <c r="AO2" s="171"/>
      <c r="AP2" s="171"/>
      <c r="AQ2" s="169"/>
      <c r="AR2" s="169"/>
      <c r="AS2" s="171"/>
      <c r="AT2" s="171"/>
      <c r="AU2" s="171"/>
      <c r="AV2" s="169"/>
      <c r="AW2" s="169"/>
      <c r="AX2" s="171"/>
      <c r="AY2" s="171"/>
      <c r="AZ2" s="171"/>
      <c r="BA2" s="200"/>
      <c r="BB2" s="171" t="str">
        <f ca="1">IF(CELL("contenu",INDIRECT(ADDRESS(BB1,1,1,1,CELL("contenu",$B$2))))="","----",CELL("contenu",INDIRECT(ADDRESS(BB1,1,1,1,CELL("contenu",$B$2)))))</f>
        <v>BERTRAND--BEYNEIX Hugo</v>
      </c>
      <c r="BC2" s="169"/>
      <c r="BD2" s="169"/>
      <c r="BE2" s="171"/>
      <c r="BF2" s="171"/>
      <c r="BG2" s="171"/>
      <c r="BH2" s="169"/>
      <c r="BI2" s="169"/>
      <c r="BJ2" s="171"/>
      <c r="BK2" s="171"/>
      <c r="BL2" s="171"/>
      <c r="BM2" s="169"/>
      <c r="BN2" s="169"/>
      <c r="BO2" s="171"/>
      <c r="BP2" s="171"/>
      <c r="BQ2" s="171"/>
      <c r="BR2" s="200"/>
      <c r="BS2" s="171" t="str">
        <f ca="1">IF(CELL("contenu",INDIRECT(ADDRESS(BS1,1,1,1,CELL("contenu",$B$2))))="","----",CELL("contenu",INDIRECT(ADDRESS(BS1,1,1,1,CELL("contenu",$B$2)))))</f>
        <v>BESNIER Gabriel</v>
      </c>
      <c r="BT2" s="169"/>
      <c r="BU2" s="169"/>
      <c r="BV2" s="171"/>
      <c r="BW2" s="171"/>
      <c r="BX2" s="171"/>
      <c r="BY2" s="169"/>
      <c r="BZ2" s="169"/>
      <c r="CA2" s="171"/>
      <c r="CB2" s="171"/>
      <c r="CC2" s="171"/>
      <c r="CD2" s="169"/>
      <c r="CE2" s="169"/>
      <c r="CF2" s="171"/>
      <c r="CG2" s="171"/>
      <c r="CH2" s="171"/>
      <c r="CI2" s="200"/>
      <c r="CJ2" s="171" t="str">
        <f ca="1">IF(CELL("contenu",INDIRECT(ADDRESS(CJ1,1,1,1,CELL("contenu",$B$2))))="","----",CELL("contenu",INDIRECT(ADDRESS(CJ1,1,1,1,CELL("contenu",$B$2)))))</f>
        <v>BLANCHET Camille</v>
      </c>
      <c r="CK2" s="169"/>
      <c r="CL2" s="169"/>
      <c r="CM2" s="171"/>
      <c r="CN2" s="171"/>
      <c r="CO2" s="171"/>
      <c r="CP2" s="169"/>
      <c r="CQ2" s="169"/>
      <c r="CR2" s="171"/>
      <c r="CS2" s="171"/>
      <c r="CT2" s="171"/>
      <c r="CU2" s="169"/>
      <c r="CV2" s="169"/>
      <c r="CW2" s="171"/>
      <c r="CX2" s="171"/>
      <c r="CY2" s="171"/>
      <c r="CZ2" s="200"/>
      <c r="DA2" s="171" t="str">
        <f ca="1">IF(CELL("contenu",INDIRECT(ADDRESS(DA1,1,1,1,CELL("contenu",$B$2))))="","----",CELL("contenu",INDIRECT(ADDRESS(DA1,1,1,1,CELL("contenu",$B$2)))))</f>
        <v>BOUFELLAH Sylia</v>
      </c>
      <c r="DB2" s="169"/>
      <c r="DC2" s="169"/>
      <c r="DD2" s="171"/>
      <c r="DE2" s="171"/>
      <c r="DF2" s="171"/>
      <c r="DG2" s="169"/>
      <c r="DH2" s="169"/>
      <c r="DI2" s="171"/>
      <c r="DJ2" s="171"/>
      <c r="DK2" s="171"/>
      <c r="DL2" s="169"/>
      <c r="DM2" s="169"/>
      <c r="DN2" s="171"/>
      <c r="DO2" s="171"/>
      <c r="DP2" s="171"/>
      <c r="DQ2" s="200"/>
      <c r="DR2" s="171" t="str">
        <f ca="1">IF(CELL("contenu",INDIRECT(ADDRESS(DR1,1,1,1,CELL("contenu",$B$2))))="","----",CELL("contenu",INDIRECT(ADDRESS(DR1,1,1,1,CELL("contenu",$B$2)))))</f>
        <v>CHADOZEAU Agathe</v>
      </c>
      <c r="DS2" s="169"/>
      <c r="DT2" s="169"/>
      <c r="DU2" s="171"/>
      <c r="DV2" s="171"/>
      <c r="DW2" s="171"/>
      <c r="DX2" s="169"/>
      <c r="DY2" s="169"/>
      <c r="DZ2" s="171"/>
      <c r="EA2" s="171"/>
      <c r="EB2" s="171"/>
      <c r="EC2" s="169"/>
      <c r="ED2" s="169"/>
      <c r="EE2" s="171"/>
      <c r="EF2" s="171"/>
      <c r="EG2" s="171"/>
      <c r="EH2" s="200"/>
      <c r="EI2" s="171" t="str">
        <f ca="1">IF(CELL("contenu",INDIRECT(ADDRESS(EI1,1,1,1,CELL("contenu",$B$2))))="","----",CELL("contenu",INDIRECT(ADDRESS(EI1,1,1,1,CELL("contenu",$B$2)))))</f>
        <v>COSTA Paul</v>
      </c>
      <c r="EJ2" s="169"/>
      <c r="EK2" s="169"/>
      <c r="EL2" s="171"/>
      <c r="EM2" s="171"/>
      <c r="EN2" s="171"/>
      <c r="EO2" s="169"/>
      <c r="EP2" s="169"/>
      <c r="EQ2" s="171"/>
      <c r="ER2" s="171"/>
      <c r="ES2" s="171"/>
      <c r="ET2" s="169"/>
      <c r="EU2" s="169"/>
      <c r="EV2" s="171"/>
      <c r="EW2" s="171"/>
      <c r="EX2" s="171"/>
      <c r="EY2" s="200"/>
      <c r="EZ2" s="171" t="str">
        <f ca="1">IF(CELL("contenu",INDIRECT(ADDRESS(EZ1,1,1,1,CELL("contenu",$B$2))))="","----",CELL("contenu",INDIRECT(ADDRESS(EZ1,1,1,1,CELL("contenu",$B$2)))))</f>
        <v>COURAUD Axelle</v>
      </c>
      <c r="FA2" s="169"/>
      <c r="FB2" s="169"/>
      <c r="FC2" s="171"/>
      <c r="FD2" s="171"/>
      <c r="FE2" s="171"/>
      <c r="FF2" s="169"/>
      <c r="FG2" s="169"/>
      <c r="FH2" s="171"/>
      <c r="FI2" s="171"/>
      <c r="FJ2" s="171"/>
      <c r="FK2" s="169"/>
      <c r="FL2" s="169"/>
      <c r="FM2" s="171"/>
      <c r="FN2" s="171"/>
      <c r="FO2" s="171"/>
      <c r="FP2" s="200"/>
      <c r="FQ2" s="171" t="str">
        <f ca="1">IF(CELL("contenu",INDIRECT(ADDRESS(FQ1,1,1,1,CELL("contenu",$B$2))))="","----",CELL("contenu",INDIRECT(ADDRESS(FQ1,1,1,1,CELL("contenu",$B$2)))))</f>
        <v>COUTANT Elena</v>
      </c>
      <c r="FR2" s="169"/>
      <c r="FS2" s="169"/>
      <c r="FT2" s="171"/>
      <c r="FU2" s="171"/>
      <c r="FV2" s="171"/>
      <c r="FW2" s="169"/>
      <c r="FX2" s="169"/>
      <c r="FY2" s="171"/>
      <c r="FZ2" s="171"/>
      <c r="GA2" s="171"/>
      <c r="GB2" s="169"/>
      <c r="GC2" s="169"/>
      <c r="GD2" s="171"/>
      <c r="GE2" s="171"/>
      <c r="GF2" s="171"/>
      <c r="GG2" s="200"/>
      <c r="GH2" s="171" t="str">
        <f ca="1">IF(CELL("contenu",INDIRECT(ADDRESS(GH1,1,1,1,CELL("contenu",$B$2))))="","----",CELL("contenu",INDIRECT(ADDRESS(GH1,1,1,1,CELL("contenu",$B$2)))))</f>
        <v>DE BENGY Thomas</v>
      </c>
      <c r="GI2" s="169"/>
      <c r="GJ2" s="169"/>
      <c r="GK2" s="171"/>
      <c r="GL2" s="171"/>
      <c r="GM2" s="171"/>
      <c r="GN2" s="169"/>
      <c r="GO2" s="169"/>
      <c r="GP2" s="171"/>
      <c r="GQ2" s="171"/>
      <c r="GR2" s="171"/>
      <c r="GS2" s="169"/>
      <c r="GT2" s="169"/>
      <c r="GU2" s="171"/>
      <c r="GV2" s="171"/>
      <c r="GW2" s="171"/>
      <c r="GX2" s="200"/>
      <c r="GY2" s="171" t="str">
        <f ca="1">IF(CELL("contenu",INDIRECT(ADDRESS(GY1,1,1,1,CELL("contenu",$B$2))))="","----",CELL("contenu",INDIRECT(ADDRESS(GY1,1,1,1,CELL("contenu",$B$2)))))</f>
        <v>DE LA HOUGUE Violette</v>
      </c>
      <c r="GZ2" s="169"/>
      <c r="HA2" s="169"/>
      <c r="HB2" s="171"/>
      <c r="HC2" s="171"/>
      <c r="HD2" s="171"/>
      <c r="HE2" s="169"/>
      <c r="HF2" s="169"/>
      <c r="HG2" s="171"/>
      <c r="HH2" s="171"/>
      <c r="HI2" s="171"/>
      <c r="HJ2" s="169"/>
      <c r="HK2" s="169"/>
      <c r="HL2" s="171"/>
      <c r="HM2" s="171"/>
      <c r="HN2" s="171"/>
      <c r="HO2" s="200"/>
      <c r="HP2" s="171" t="str">
        <f ca="1">IF(CELL("contenu",INDIRECT(ADDRESS(HP1,1,1,1,CELL("contenu",$B$2))))="","----",CELL("contenu",INDIRECT(ADDRESS(HP1,1,1,1,CELL("contenu",$B$2)))))</f>
        <v>DE PONCHEVILLE Maelys</v>
      </c>
      <c r="HQ2" s="169"/>
      <c r="HR2" s="169"/>
      <c r="HS2" s="171"/>
      <c r="HT2" s="171"/>
      <c r="HU2" s="171"/>
      <c r="HV2" s="169"/>
      <c r="HW2" s="169"/>
      <c r="HX2" s="171"/>
      <c r="HY2" s="171"/>
      <c r="HZ2" s="171"/>
      <c r="IA2" s="169"/>
      <c r="IB2" s="169"/>
      <c r="IC2" s="171"/>
      <c r="ID2" s="171"/>
      <c r="IE2" s="171"/>
      <c r="IF2" s="200"/>
      <c r="IG2" s="171" t="str">
        <f ca="1">IF(CELL("contenu",INDIRECT(ADDRESS(IG1,1,1,1,CELL("contenu",$B$2))))="","----",CELL("contenu",INDIRECT(ADDRESS(IG1,1,1,1,CELL("contenu",$B$2)))))</f>
        <v>FARMAN Mahaut</v>
      </c>
      <c r="IH2" s="169"/>
      <c r="II2" s="169"/>
      <c r="IJ2" s="171"/>
      <c r="IK2" s="171"/>
      <c r="IL2" s="171"/>
      <c r="IM2" s="169"/>
      <c r="IN2" s="169"/>
      <c r="IO2" s="171"/>
      <c r="IP2" s="171"/>
      <c r="IQ2" s="171"/>
      <c r="IR2" s="169"/>
      <c r="IS2" s="169"/>
      <c r="IT2" s="171"/>
      <c r="IU2" s="171"/>
      <c r="IV2" s="171"/>
      <c r="IW2" s="200"/>
      <c r="IX2" s="171" t="str">
        <f ca="1">IF(CELL("contenu",INDIRECT(ADDRESS(IX1,1,1,1,CELL("contenu",$B$2))))="","----",CELL("contenu",INDIRECT(ADDRESS(IX1,1,1,1,CELL("contenu",$B$2)))))</f>
        <v>GERARD Lenny</v>
      </c>
      <c r="IY2" s="169"/>
      <c r="IZ2" s="169"/>
      <c r="JA2" s="171"/>
      <c r="JB2" s="171"/>
      <c r="JC2" s="171"/>
      <c r="JD2" s="169"/>
      <c r="JE2" s="169"/>
      <c r="JF2" s="171"/>
      <c r="JG2" s="171"/>
      <c r="JH2" s="171"/>
      <c r="JI2" s="169"/>
      <c r="JJ2" s="169"/>
      <c r="JK2" s="171"/>
      <c r="JL2" s="171"/>
      <c r="JM2" s="171"/>
      <c r="JN2" s="200"/>
      <c r="JO2" s="171" t="str">
        <f ca="1">IF(CELL("contenu",INDIRECT(ADDRESS(JO1,1,1,1,CELL("contenu",$B$2))))="","----",CELL("contenu",INDIRECT(ADDRESS(JO1,1,1,1,CELL("contenu",$B$2)))))</f>
        <v>GERVAIS-PRIMORAC Ivan</v>
      </c>
      <c r="JP2" s="169"/>
      <c r="JQ2" s="169"/>
      <c r="JR2" s="171"/>
      <c r="JS2" s="171"/>
      <c r="JT2" s="171"/>
      <c r="JU2" s="169"/>
      <c r="JV2" s="169"/>
      <c r="JW2" s="171"/>
      <c r="JX2" s="171"/>
      <c r="JY2" s="171"/>
      <c r="JZ2" s="169"/>
      <c r="KA2" s="169"/>
      <c r="KB2" s="171"/>
      <c r="KC2" s="171"/>
      <c r="KD2" s="171"/>
      <c r="KE2" s="200"/>
      <c r="KF2" s="171" t="str">
        <f ca="1">IF(CELL("contenu",INDIRECT(ADDRESS(KF1,1,1,1,CELL("contenu",$B$2))))="","----",CELL("contenu",INDIRECT(ADDRESS(KF1,1,1,1,CELL("contenu",$B$2)))))</f>
        <v>GOTTE Constance</v>
      </c>
      <c r="KG2" s="169"/>
      <c r="KH2" s="169"/>
      <c r="KI2" s="171"/>
      <c r="KJ2" s="171"/>
      <c r="KK2" s="171"/>
      <c r="KL2" s="169"/>
      <c r="KM2" s="169"/>
      <c r="KN2" s="171"/>
      <c r="KO2" s="171"/>
      <c r="KP2" s="171"/>
      <c r="KQ2" s="169"/>
      <c r="KR2" s="169"/>
      <c r="KS2" s="171"/>
      <c r="KT2" s="171"/>
      <c r="KU2" s="171"/>
      <c r="KV2" s="200"/>
      <c r="KW2" s="171" t="str">
        <f ca="1">IF(CELL("contenu",INDIRECT(ADDRESS(KW1,1,1,1,CELL("contenu",$B$2))))="","----",CELL("contenu",INDIRECT(ADDRESS(KW1,1,1,1,CELL("contenu",$B$2)))))</f>
        <v>GUILLARD Honore</v>
      </c>
      <c r="KX2" s="169"/>
      <c r="KY2" s="169"/>
      <c r="KZ2" s="171"/>
      <c r="LA2" s="171"/>
      <c r="LB2" s="171"/>
      <c r="LC2" s="169"/>
      <c r="LD2" s="169"/>
      <c r="LE2" s="171"/>
      <c r="LF2" s="171"/>
      <c r="LG2" s="171"/>
      <c r="LH2" s="169"/>
      <c r="LI2" s="169"/>
      <c r="LJ2" s="171"/>
      <c r="LK2" s="171"/>
      <c r="LL2" s="171"/>
      <c r="LM2" s="200"/>
      <c r="LN2" s="171" t="str">
        <f ca="1">IF(CELL("contenu",INDIRECT(ADDRESS(LN1,1,1,1,CELL("contenu",$B$2))))="","----",CELL("contenu",INDIRECT(ADDRESS(LN1,1,1,1,CELL("contenu",$B$2)))))</f>
        <v>HURE Marie-Lys</v>
      </c>
      <c r="LO2" s="169"/>
      <c r="LP2" s="169"/>
      <c r="LQ2" s="171"/>
      <c r="LR2" s="171"/>
      <c r="LS2" s="171"/>
      <c r="LT2" s="169"/>
      <c r="LU2" s="169"/>
      <c r="LV2" s="171"/>
      <c r="LW2" s="171"/>
      <c r="LX2" s="171"/>
      <c r="LY2" s="169"/>
      <c r="LZ2" s="169"/>
      <c r="MA2" s="171"/>
      <c r="MB2" s="171"/>
      <c r="MC2" s="171"/>
      <c r="MD2" s="200"/>
      <c r="ME2" s="171" t="str">
        <f ca="1">IF(CELL("contenu",INDIRECT(ADDRESS(ME1,1,1,1,CELL("contenu",$B$2))))="","----",CELL("contenu",INDIRECT(ADDRESS(ME1,1,1,1,CELL("contenu",$B$2)))))</f>
        <v>JABOULEY Adelaide</v>
      </c>
      <c r="MF2" s="169"/>
      <c r="MG2" s="169"/>
      <c r="MH2" s="171"/>
      <c r="MI2" s="171"/>
      <c r="MJ2" s="171"/>
      <c r="MK2" s="169"/>
      <c r="ML2" s="169"/>
      <c r="MM2" s="171"/>
      <c r="MN2" s="171"/>
      <c r="MO2" s="171"/>
      <c r="MP2" s="169"/>
      <c r="MQ2" s="169"/>
      <c r="MR2" s="171"/>
      <c r="MS2" s="171"/>
      <c r="MT2" s="171"/>
      <c r="MU2" s="200"/>
      <c r="MV2" s="171" t="str">
        <f ca="1">IF(CELL("contenu",INDIRECT(ADDRESS(MV1,1,1,1,CELL("contenu",$B$2))))="","----",CELL("contenu",INDIRECT(ADDRESS(MV1,1,1,1,CELL("contenu",$B$2)))))</f>
        <v>JEAN-BAPTISTE Clemence</v>
      </c>
      <c r="MW2" s="169"/>
      <c r="MX2" s="169"/>
      <c r="MY2" s="171"/>
      <c r="MZ2" s="171"/>
      <c r="NA2" s="171"/>
      <c r="NB2" s="169"/>
      <c r="NC2" s="169"/>
      <c r="ND2" s="171"/>
      <c r="NE2" s="171"/>
      <c r="NF2" s="171"/>
      <c r="NG2" s="169"/>
      <c r="NH2" s="169"/>
      <c r="NI2" s="171"/>
      <c r="NJ2" s="171"/>
      <c r="NK2" s="171"/>
      <c r="NL2" s="200"/>
      <c r="NM2" s="171" t="str">
        <f ca="1">IF(CELL("contenu",INDIRECT(ADDRESS(NM1,1,1,1,CELL("contenu",$B$2))))="","----",CELL("contenu",INDIRECT(ADDRESS(NM1,1,1,1,CELL("contenu",$B$2)))))</f>
        <v>LADAN Juliette</v>
      </c>
      <c r="NN2" s="169"/>
      <c r="NO2" s="169"/>
      <c r="NP2" s="171"/>
      <c r="NQ2" s="171"/>
      <c r="NR2" s="171"/>
      <c r="NS2" s="169"/>
      <c r="NT2" s="169"/>
      <c r="NU2" s="171"/>
      <c r="NV2" s="171"/>
      <c r="NW2" s="171"/>
      <c r="NX2" s="169"/>
      <c r="NY2" s="169"/>
      <c r="NZ2" s="171"/>
      <c r="OA2" s="171"/>
      <c r="OB2" s="171"/>
      <c r="OC2" s="200"/>
      <c r="OD2" s="171" t="str">
        <f ca="1">IF(CELL("contenu",INDIRECT(ADDRESS(OD1,1,1,1,CELL("contenu",$B$2))))="","----",CELL("contenu",INDIRECT(ADDRESS(OD1,1,1,1,CELL("contenu",$B$2)))))</f>
        <v>LALOUM Tina</v>
      </c>
      <c r="OE2" s="169"/>
      <c r="OF2" s="169"/>
      <c r="OG2" s="171"/>
      <c r="OH2" s="171"/>
      <c r="OI2" s="171"/>
      <c r="OJ2" s="169"/>
      <c r="OK2" s="169"/>
      <c r="OL2" s="171"/>
      <c r="OM2" s="171"/>
      <c r="ON2" s="171"/>
      <c r="OO2" s="169"/>
      <c r="OP2" s="169"/>
      <c r="OQ2" s="171"/>
      <c r="OR2" s="171"/>
      <c r="OS2" s="171"/>
      <c r="OT2" s="200"/>
      <c r="OU2" s="171" t="str">
        <f ca="1">IF(CELL("contenu",INDIRECT(ADDRESS(OU1,1,1,1,CELL("contenu",$B$2))))="","----",CELL("contenu",INDIRECT(ADDRESS(OU1,1,1,1,CELL("contenu",$B$2)))))</f>
        <v>LE DRESSAY Max</v>
      </c>
      <c r="OV2" s="169"/>
      <c r="OW2" s="169"/>
      <c r="OX2" s="171"/>
      <c r="OY2" s="171"/>
      <c r="OZ2" s="171"/>
      <c r="PA2" s="169"/>
      <c r="PB2" s="169"/>
      <c r="PC2" s="171"/>
      <c r="PD2" s="171"/>
      <c r="PE2" s="171"/>
      <c r="PF2" s="169"/>
      <c r="PG2" s="169"/>
      <c r="PH2" s="171"/>
      <c r="PI2" s="171"/>
      <c r="PJ2" s="171"/>
      <c r="PK2" s="200"/>
      <c r="PL2" s="171" t="str">
        <f ca="1">IF(CELL("contenu",INDIRECT(ADDRESS(PL1,1,1,1,CELL("contenu",$B$2))))="","----",CELL("contenu",INDIRECT(ADDRESS(PL1,1,1,1,CELL("contenu",$B$2)))))</f>
        <v>MATHIEU Margot</v>
      </c>
      <c r="PM2" s="169"/>
      <c r="PN2" s="169"/>
      <c r="PO2" s="171"/>
      <c r="PP2" s="171"/>
      <c r="PQ2" s="171"/>
      <c r="PR2" s="169"/>
      <c r="PS2" s="169"/>
      <c r="PT2" s="171"/>
      <c r="PU2" s="171"/>
      <c r="PV2" s="171"/>
      <c r="PW2" s="169"/>
      <c r="PX2" s="169"/>
      <c r="PY2" s="171"/>
      <c r="PZ2" s="171"/>
      <c r="QA2" s="171"/>
      <c r="QB2" s="200"/>
      <c r="QC2" s="171" t="str">
        <f ca="1">IF(CELL("contenu",INDIRECT(ADDRESS(QC1,1,1,1,CELL("contenu",$B$2))))="","----",CELL("contenu",INDIRECT(ADDRESS(QC1,1,1,1,CELL("contenu",$B$2)))))</f>
        <v>MEKIBES Aslane</v>
      </c>
      <c r="QD2" s="169"/>
      <c r="QE2" s="169"/>
      <c r="QF2" s="171"/>
      <c r="QG2" s="171"/>
      <c r="QH2" s="171"/>
      <c r="QI2" s="169"/>
      <c r="QJ2" s="169"/>
      <c r="QK2" s="171"/>
      <c r="QL2" s="171"/>
      <c r="QM2" s="171"/>
      <c r="QN2" s="169"/>
      <c r="QO2" s="169"/>
      <c r="QP2" s="171"/>
      <c r="QQ2" s="171"/>
      <c r="QR2" s="171"/>
      <c r="QS2" s="200"/>
      <c r="QT2" s="171" t="str">
        <f ca="1">IF(CELL("contenu",INDIRECT(ADDRESS(QT1,1,1,1,CELL("contenu",$B$2))))="","----",CELL("contenu",INDIRECT(ADDRESS(QT1,1,1,1,CELL("contenu",$B$2)))))</f>
        <v>PRADEAU Diane-Marie</v>
      </c>
      <c r="QU2" s="169"/>
      <c r="QV2" s="169"/>
      <c r="QW2" s="171"/>
      <c r="QX2" s="171"/>
      <c r="QY2" s="171"/>
      <c r="QZ2" s="169"/>
      <c r="RA2" s="169"/>
      <c r="RB2" s="171"/>
      <c r="RC2" s="171"/>
      <c r="RD2" s="171"/>
      <c r="RE2" s="169"/>
      <c r="RF2" s="169"/>
      <c r="RG2" s="171"/>
      <c r="RH2" s="171"/>
      <c r="RI2" s="171"/>
      <c r="RJ2" s="200"/>
      <c r="RK2" s="171" t="str">
        <f ca="1">IF(CELL("contenu",INDIRECT(ADDRESS(RK1,1,1,1,CELL("contenu",$B$2))))="","----",CELL("contenu",INDIRECT(ADDRESS(RK1,1,1,1,CELL("contenu",$B$2)))))</f>
        <v>RAHARIMANANA Tantely</v>
      </c>
      <c r="RL2" s="169"/>
      <c r="RM2" s="169"/>
      <c r="RN2" s="171"/>
      <c r="RO2" s="171"/>
      <c r="RP2" s="171"/>
      <c r="RQ2" s="169"/>
      <c r="RR2" s="169"/>
      <c r="RS2" s="171"/>
      <c r="RT2" s="171"/>
      <c r="RU2" s="171"/>
      <c r="RV2" s="169"/>
      <c r="RW2" s="169"/>
      <c r="RX2" s="171"/>
      <c r="RY2" s="171"/>
      <c r="RZ2" s="171"/>
      <c r="SA2" s="200"/>
      <c r="SB2" s="171" t="str">
        <f ca="1">IF(CELL("contenu",INDIRECT(ADDRESS(SB1,1,1,1,CELL("contenu",$B$2))))="","----",CELL("contenu",INDIRECT(ADDRESS(SB1,1,1,1,CELL("contenu",$B$2)))))</f>
        <v>ROBERT Charlotte</v>
      </c>
      <c r="SC2" s="169"/>
      <c r="SD2" s="169"/>
      <c r="SE2" s="171"/>
      <c r="SF2" s="171"/>
      <c r="SG2" s="171"/>
      <c r="SH2" s="169"/>
      <c r="SI2" s="169"/>
      <c r="SJ2" s="171"/>
      <c r="SK2" s="171"/>
      <c r="SL2" s="171"/>
      <c r="SM2" s="169"/>
      <c r="SN2" s="169"/>
      <c r="SO2" s="171"/>
      <c r="SP2" s="171"/>
      <c r="SQ2" s="171"/>
      <c r="SR2" s="200"/>
      <c r="SS2" s="74" t="s">
        <v>217</v>
      </c>
      <c r="ST2" s="74"/>
      <c r="SU2" s="74"/>
      <c r="SV2" s="74"/>
      <c r="SW2" s="74"/>
      <c r="SX2" s="74"/>
      <c r="SY2" s="74"/>
      <c r="SZ2" s="74"/>
      <c r="TA2" s="74"/>
      <c r="TB2" s="74"/>
      <c r="TC2" s="74"/>
      <c r="TD2" s="74"/>
      <c r="TE2" s="74"/>
      <c r="TF2" s="74"/>
      <c r="TG2" s="74"/>
      <c r="TH2" s="74"/>
      <c r="TI2" s="75"/>
      <c r="TJ2" s="74" t="str">
        <f ca="1">IF(CELL("contenu",INDIRECT(ADDRESS(TJ1,1,1,1,CELL("contenu",$B$2))))="","----",CELL("contenu",INDIRECT(ADDRESS(TJ1,1,1,1,CELL("contenu",$B$2)))))</f>
        <v>----</v>
      </c>
      <c r="TK2" s="74"/>
      <c r="TL2" s="74"/>
      <c r="TM2" s="74"/>
      <c r="TN2" s="74"/>
      <c r="TO2" s="74"/>
      <c r="TP2" s="74"/>
      <c r="TQ2" s="74"/>
      <c r="TR2" s="74"/>
      <c r="TS2" s="74"/>
      <c r="TT2" s="74"/>
      <c r="TU2" s="74"/>
      <c r="TV2" s="74"/>
      <c r="TW2" s="74"/>
      <c r="TX2" s="74"/>
      <c r="TY2" s="74"/>
      <c r="TZ2" s="75"/>
    </row>
    <row r="3" spans="1:546" ht="60" customHeight="1" thickBot="1" x14ac:dyDescent="0.3">
      <c r="A3" s="160"/>
      <c r="B3" s="161" t="s">
        <v>30</v>
      </c>
      <c r="C3" s="76"/>
      <c r="D3" s="77"/>
      <c r="E3" s="78"/>
      <c r="F3" s="179" t="s">
        <v>7</v>
      </c>
      <c r="G3" s="180"/>
      <c r="H3" s="76" t="s">
        <v>210</v>
      </c>
      <c r="I3" s="80" t="s">
        <v>213</v>
      </c>
      <c r="J3" s="78" t="s">
        <v>224</v>
      </c>
      <c r="K3" s="196" t="s">
        <v>8</v>
      </c>
      <c r="L3" s="197"/>
      <c r="M3" s="76" t="s">
        <v>216</v>
      </c>
      <c r="N3" s="80" t="s">
        <v>222</v>
      </c>
      <c r="O3" s="78" t="s">
        <v>221</v>
      </c>
      <c r="P3" s="201" t="s">
        <v>9</v>
      </c>
      <c r="Q3" s="202"/>
      <c r="R3" s="203" t="s">
        <v>10</v>
      </c>
      <c r="S3" s="204"/>
      <c r="T3" s="86" t="str">
        <f>IF(C3="","",C3)</f>
        <v/>
      </c>
      <c r="U3" s="87" t="str">
        <f>IF(D3="","",D3)</f>
        <v/>
      </c>
      <c r="V3" s="88" t="str">
        <f>IF(E3="","",E3)</f>
        <v/>
      </c>
      <c r="W3" s="179" t="s">
        <v>7</v>
      </c>
      <c r="X3" s="220"/>
      <c r="Y3" s="90" t="str">
        <f>IF(H3="","",H3)</f>
        <v>eval M1</v>
      </c>
      <c r="Z3" s="87" t="str">
        <f>IF(I3="","",I3)</f>
        <v>EVAL M2</v>
      </c>
      <c r="AA3" s="88" t="str">
        <f>IF(J3="","",J3)</f>
        <v>Fiche CH2/3</v>
      </c>
      <c r="AB3" s="196" t="s">
        <v>8</v>
      </c>
      <c r="AC3" s="221"/>
      <c r="AD3" s="90" t="str">
        <f>IF(M3="","",M3)</f>
        <v>eval CH1</v>
      </c>
      <c r="AE3" s="87" t="str">
        <f>IF(N3="","",N3)</f>
        <v>fiche CH2/2</v>
      </c>
      <c r="AF3" s="88" t="str">
        <f>IF(O3="","",O3)</f>
        <v>Fiche CH2/1</v>
      </c>
      <c r="AG3" s="201" t="s">
        <v>9</v>
      </c>
      <c r="AH3" s="202"/>
      <c r="AI3" s="203" t="s">
        <v>10</v>
      </c>
      <c r="AJ3" s="204"/>
      <c r="AK3" s="86" t="str">
        <f>IF(T3="","",T3)</f>
        <v/>
      </c>
      <c r="AL3" s="87" t="str">
        <f>IF(U3="","",U3)</f>
        <v/>
      </c>
      <c r="AM3" s="88" t="str">
        <f>IF(V3="","",V3)</f>
        <v/>
      </c>
      <c r="AN3" s="179" t="s">
        <v>7</v>
      </c>
      <c r="AO3" s="220"/>
      <c r="AP3" s="90" t="str">
        <f>IF(Y3="","",Y3)</f>
        <v>eval M1</v>
      </c>
      <c r="AQ3" s="87" t="str">
        <f>IF(Z3="","",Z3)</f>
        <v>EVAL M2</v>
      </c>
      <c r="AR3" s="88" t="str">
        <f>IF(AA3="","",AA3)</f>
        <v>Fiche CH2/3</v>
      </c>
      <c r="AS3" s="196" t="s">
        <v>8</v>
      </c>
      <c r="AT3" s="221"/>
      <c r="AU3" s="90" t="str">
        <f>IF(AD3="","",AD3)</f>
        <v>eval CH1</v>
      </c>
      <c r="AV3" s="87" t="str">
        <f>IF(AE3="","",AE3)</f>
        <v>fiche CH2/2</v>
      </c>
      <c r="AW3" s="88" t="str">
        <f>IF(AF3="","",AF3)</f>
        <v>Fiche CH2/1</v>
      </c>
      <c r="AX3" s="201" t="s">
        <v>9</v>
      </c>
      <c r="AY3" s="202"/>
      <c r="AZ3" s="203" t="s">
        <v>10</v>
      </c>
      <c r="BA3" s="204"/>
      <c r="BB3" s="86" t="str">
        <f>IF(AK3="","",AK3)</f>
        <v/>
      </c>
      <c r="BC3" s="87" t="str">
        <f>IF(AL3="","",AL3)</f>
        <v/>
      </c>
      <c r="BD3" s="88" t="str">
        <f>IF(AM3="","",AM3)</f>
        <v/>
      </c>
      <c r="BE3" s="179" t="s">
        <v>7</v>
      </c>
      <c r="BF3" s="220"/>
      <c r="BG3" s="90" t="str">
        <f>IF(AP3="","",AP3)</f>
        <v>eval M1</v>
      </c>
      <c r="BH3" s="87" t="str">
        <f>IF(AQ3="","",AQ3)</f>
        <v>EVAL M2</v>
      </c>
      <c r="BI3" s="88" t="str">
        <f>IF(AR3="","",AR3)</f>
        <v>Fiche CH2/3</v>
      </c>
      <c r="BJ3" s="196" t="s">
        <v>8</v>
      </c>
      <c r="BK3" s="221"/>
      <c r="BL3" s="90" t="str">
        <f>IF(AU3="","",AU3)</f>
        <v>eval CH1</v>
      </c>
      <c r="BM3" s="87" t="str">
        <f>IF(AV3="","",AV3)</f>
        <v>fiche CH2/2</v>
      </c>
      <c r="BN3" s="88" t="str">
        <f>IF(AW3="","",AW3)</f>
        <v>Fiche CH2/1</v>
      </c>
      <c r="BO3" s="201" t="s">
        <v>9</v>
      </c>
      <c r="BP3" s="202"/>
      <c r="BQ3" s="203" t="s">
        <v>10</v>
      </c>
      <c r="BR3" s="204"/>
      <c r="BS3" s="86" t="str">
        <f>IF(BB3="","",BB3)</f>
        <v/>
      </c>
      <c r="BT3" s="87" t="str">
        <f>IF(BC3="","",BC3)</f>
        <v/>
      </c>
      <c r="BU3" s="88" t="str">
        <f>IF(BD3="","",BD3)</f>
        <v/>
      </c>
      <c r="BV3" s="179" t="s">
        <v>7</v>
      </c>
      <c r="BW3" s="220"/>
      <c r="BX3" s="90" t="str">
        <f>IF(BG3="","",BG3)</f>
        <v>eval M1</v>
      </c>
      <c r="BY3" s="87" t="str">
        <f>IF(BH3="","",BH3)</f>
        <v>EVAL M2</v>
      </c>
      <c r="BZ3" s="88" t="str">
        <f>IF(BI3="","",BI3)</f>
        <v>Fiche CH2/3</v>
      </c>
      <c r="CA3" s="196" t="s">
        <v>8</v>
      </c>
      <c r="CB3" s="221"/>
      <c r="CC3" s="90" t="str">
        <f>IF(BL3="","",BL3)</f>
        <v>eval CH1</v>
      </c>
      <c r="CD3" s="87" t="str">
        <f>IF(BM3="","",BM3)</f>
        <v>fiche CH2/2</v>
      </c>
      <c r="CE3" s="88" t="str">
        <f>IF(BN3="","",BN3)</f>
        <v>Fiche CH2/1</v>
      </c>
      <c r="CF3" s="201" t="s">
        <v>9</v>
      </c>
      <c r="CG3" s="202"/>
      <c r="CH3" s="203" t="s">
        <v>10</v>
      </c>
      <c r="CI3" s="204"/>
      <c r="CJ3" s="86" t="str">
        <f>IF(BS3="","",BS3)</f>
        <v/>
      </c>
      <c r="CK3" s="87" t="str">
        <f>IF(BT3="","",BT3)</f>
        <v/>
      </c>
      <c r="CL3" s="88" t="str">
        <f>IF(BU3="","",BU3)</f>
        <v/>
      </c>
      <c r="CM3" s="179" t="s">
        <v>7</v>
      </c>
      <c r="CN3" s="220"/>
      <c r="CO3" s="90" t="str">
        <f>IF(BX3="","",BX3)</f>
        <v>eval M1</v>
      </c>
      <c r="CP3" s="87" t="str">
        <f>IF(BY3="","",BY3)</f>
        <v>EVAL M2</v>
      </c>
      <c r="CQ3" s="88" t="str">
        <f>IF(BZ3="","",BZ3)</f>
        <v>Fiche CH2/3</v>
      </c>
      <c r="CR3" s="196" t="s">
        <v>8</v>
      </c>
      <c r="CS3" s="221"/>
      <c r="CT3" s="90" t="str">
        <f>IF(CC3="","",CC3)</f>
        <v>eval CH1</v>
      </c>
      <c r="CU3" s="87" t="str">
        <f>IF(CD3="","",CD3)</f>
        <v>fiche CH2/2</v>
      </c>
      <c r="CV3" s="88" t="str">
        <f>IF(CE3="","",CE3)</f>
        <v>Fiche CH2/1</v>
      </c>
      <c r="CW3" s="201" t="s">
        <v>9</v>
      </c>
      <c r="CX3" s="202"/>
      <c r="CY3" s="203" t="s">
        <v>10</v>
      </c>
      <c r="CZ3" s="204"/>
      <c r="DA3" s="86" t="str">
        <f>IF(CJ3="","",CJ3)</f>
        <v/>
      </c>
      <c r="DB3" s="87" t="str">
        <f>IF(CK3="","",CK3)</f>
        <v/>
      </c>
      <c r="DC3" s="88" t="str">
        <f>IF(CL3="","",CL3)</f>
        <v/>
      </c>
      <c r="DD3" s="179" t="s">
        <v>7</v>
      </c>
      <c r="DE3" s="220"/>
      <c r="DF3" s="90" t="str">
        <f>IF(CO3="","",CO3)</f>
        <v>eval M1</v>
      </c>
      <c r="DG3" s="87" t="str">
        <f>IF(CP3="","",CP3)</f>
        <v>EVAL M2</v>
      </c>
      <c r="DH3" s="88" t="str">
        <f>IF(CQ3="","",CQ3)</f>
        <v>Fiche CH2/3</v>
      </c>
      <c r="DI3" s="196" t="s">
        <v>8</v>
      </c>
      <c r="DJ3" s="221"/>
      <c r="DK3" s="90" t="str">
        <f>IF(CT3="","",CT3)</f>
        <v>eval CH1</v>
      </c>
      <c r="DL3" s="87" t="str">
        <f>IF(CU3="","",CU3)</f>
        <v>fiche CH2/2</v>
      </c>
      <c r="DM3" s="88" t="str">
        <f>IF(CV3="","",CV3)</f>
        <v>Fiche CH2/1</v>
      </c>
      <c r="DN3" s="201" t="s">
        <v>9</v>
      </c>
      <c r="DO3" s="202"/>
      <c r="DP3" s="203" t="s">
        <v>10</v>
      </c>
      <c r="DQ3" s="204"/>
      <c r="DR3" s="86" t="str">
        <f>IF(DA3="","",DA3)</f>
        <v/>
      </c>
      <c r="DS3" s="87" t="str">
        <f>IF(DB3="","",DB3)</f>
        <v/>
      </c>
      <c r="DT3" s="88" t="str">
        <f>IF(DC3="","",DC3)</f>
        <v/>
      </c>
      <c r="DU3" s="179" t="s">
        <v>7</v>
      </c>
      <c r="DV3" s="220"/>
      <c r="DW3" s="90" t="str">
        <f>IF(DF3="","",DF3)</f>
        <v>eval M1</v>
      </c>
      <c r="DX3" s="87" t="str">
        <f>IF(DG3="","",DG3)</f>
        <v>EVAL M2</v>
      </c>
      <c r="DY3" s="88" t="str">
        <f>IF(DH3="","",DH3)</f>
        <v>Fiche CH2/3</v>
      </c>
      <c r="DZ3" s="196" t="s">
        <v>8</v>
      </c>
      <c r="EA3" s="221"/>
      <c r="EB3" s="90" t="str">
        <f>IF(DK3="","",DK3)</f>
        <v>eval CH1</v>
      </c>
      <c r="EC3" s="87" t="str">
        <f>IF(DL3="","",DL3)</f>
        <v>fiche CH2/2</v>
      </c>
      <c r="ED3" s="88" t="str">
        <f>IF(DM3="","",DM3)</f>
        <v>Fiche CH2/1</v>
      </c>
      <c r="EE3" s="201" t="s">
        <v>9</v>
      </c>
      <c r="EF3" s="202"/>
      <c r="EG3" s="203" t="s">
        <v>10</v>
      </c>
      <c r="EH3" s="204"/>
      <c r="EI3" s="86" t="str">
        <f>IF(DR3="","",DR3)</f>
        <v/>
      </c>
      <c r="EJ3" s="87" t="str">
        <f>IF(DS3="","",DS3)</f>
        <v/>
      </c>
      <c r="EK3" s="88" t="str">
        <f>IF(DT3="","",DT3)</f>
        <v/>
      </c>
      <c r="EL3" s="179" t="s">
        <v>7</v>
      </c>
      <c r="EM3" s="220"/>
      <c r="EN3" s="90" t="str">
        <f>IF(DW3="","",DW3)</f>
        <v>eval M1</v>
      </c>
      <c r="EO3" s="87" t="str">
        <f>IF(DX3="","",DX3)</f>
        <v>EVAL M2</v>
      </c>
      <c r="EP3" s="88" t="str">
        <f>IF(DY3="","",DY3)</f>
        <v>Fiche CH2/3</v>
      </c>
      <c r="EQ3" s="196" t="s">
        <v>8</v>
      </c>
      <c r="ER3" s="221"/>
      <c r="ES3" s="90" t="str">
        <f>IF(EB3="","",EB3)</f>
        <v>eval CH1</v>
      </c>
      <c r="ET3" s="87" t="str">
        <f>IF(EC3="","",EC3)</f>
        <v>fiche CH2/2</v>
      </c>
      <c r="EU3" s="88" t="str">
        <f>IF(ED3="","",ED3)</f>
        <v>Fiche CH2/1</v>
      </c>
      <c r="EV3" s="201" t="s">
        <v>9</v>
      </c>
      <c r="EW3" s="202"/>
      <c r="EX3" s="203" t="s">
        <v>10</v>
      </c>
      <c r="EY3" s="204"/>
      <c r="EZ3" s="86" t="str">
        <f>IF(EI3="","",EI3)</f>
        <v/>
      </c>
      <c r="FA3" s="87" t="str">
        <f>IF(EJ3="","",EJ3)</f>
        <v/>
      </c>
      <c r="FB3" s="88" t="str">
        <f>IF(EK3="","",EK3)</f>
        <v/>
      </c>
      <c r="FC3" s="179" t="s">
        <v>7</v>
      </c>
      <c r="FD3" s="220"/>
      <c r="FE3" s="90" t="str">
        <f>IF(EN3="","",EN3)</f>
        <v>eval M1</v>
      </c>
      <c r="FF3" s="87" t="str">
        <f>IF(EO3="","",EO3)</f>
        <v>EVAL M2</v>
      </c>
      <c r="FG3" s="88" t="str">
        <f>IF(EP3="","",EP3)</f>
        <v>Fiche CH2/3</v>
      </c>
      <c r="FH3" s="196" t="s">
        <v>8</v>
      </c>
      <c r="FI3" s="221"/>
      <c r="FJ3" s="90" t="str">
        <f>IF(ES3="","",ES3)</f>
        <v>eval CH1</v>
      </c>
      <c r="FK3" s="87" t="str">
        <f>IF(ET3="","",ET3)</f>
        <v>fiche CH2/2</v>
      </c>
      <c r="FL3" s="88" t="str">
        <f>IF(EU3="","",EU3)</f>
        <v>Fiche CH2/1</v>
      </c>
      <c r="FM3" s="201" t="s">
        <v>9</v>
      </c>
      <c r="FN3" s="202"/>
      <c r="FO3" s="203" t="s">
        <v>10</v>
      </c>
      <c r="FP3" s="204"/>
      <c r="FQ3" s="86" t="str">
        <f>IF(EZ3="","",EZ3)</f>
        <v/>
      </c>
      <c r="FR3" s="87" t="str">
        <f>IF(FA3="","",FA3)</f>
        <v/>
      </c>
      <c r="FS3" s="88" t="str">
        <f>IF(FB3="","",FB3)</f>
        <v/>
      </c>
      <c r="FT3" s="179" t="s">
        <v>7</v>
      </c>
      <c r="FU3" s="220"/>
      <c r="FV3" s="90" t="str">
        <f>IF(FE3="","",FE3)</f>
        <v>eval M1</v>
      </c>
      <c r="FW3" s="87" t="str">
        <f>IF(FF3="","",FF3)</f>
        <v>EVAL M2</v>
      </c>
      <c r="FX3" s="88" t="str">
        <f>IF(FG3="","",FG3)</f>
        <v>Fiche CH2/3</v>
      </c>
      <c r="FY3" s="196" t="s">
        <v>8</v>
      </c>
      <c r="FZ3" s="221"/>
      <c r="GA3" s="90" t="str">
        <f>IF(FJ3="","",FJ3)</f>
        <v>eval CH1</v>
      </c>
      <c r="GB3" s="87" t="str">
        <f>IF(FK3="","",FK3)</f>
        <v>fiche CH2/2</v>
      </c>
      <c r="GC3" s="88" t="str">
        <f>IF(FL3="","",FL3)</f>
        <v>Fiche CH2/1</v>
      </c>
      <c r="GD3" s="201" t="s">
        <v>9</v>
      </c>
      <c r="GE3" s="202"/>
      <c r="GF3" s="203" t="s">
        <v>10</v>
      </c>
      <c r="GG3" s="204"/>
      <c r="GH3" s="86" t="str">
        <f>IF(FQ3="","",FQ3)</f>
        <v/>
      </c>
      <c r="GI3" s="87" t="str">
        <f>IF(FR3="","",FR3)</f>
        <v/>
      </c>
      <c r="GJ3" s="88" t="str">
        <f>IF(FS3="","",FS3)</f>
        <v/>
      </c>
      <c r="GK3" s="179" t="s">
        <v>7</v>
      </c>
      <c r="GL3" s="220"/>
      <c r="GM3" s="90" t="str">
        <f>IF(FV3="","",FV3)</f>
        <v>eval M1</v>
      </c>
      <c r="GN3" s="87" t="str">
        <f>IF(FW3="","",FW3)</f>
        <v>EVAL M2</v>
      </c>
      <c r="GO3" s="88" t="str">
        <f>IF(FX3="","",FX3)</f>
        <v>Fiche CH2/3</v>
      </c>
      <c r="GP3" s="196" t="s">
        <v>8</v>
      </c>
      <c r="GQ3" s="221"/>
      <c r="GR3" s="90" t="str">
        <f>IF(GA3="","",GA3)</f>
        <v>eval CH1</v>
      </c>
      <c r="GS3" s="87" t="str">
        <f>IF(GB3="","",GB3)</f>
        <v>fiche CH2/2</v>
      </c>
      <c r="GT3" s="88" t="str">
        <f>IF(GC3="","",GC3)</f>
        <v>Fiche CH2/1</v>
      </c>
      <c r="GU3" s="201" t="s">
        <v>9</v>
      </c>
      <c r="GV3" s="202"/>
      <c r="GW3" s="203" t="s">
        <v>10</v>
      </c>
      <c r="GX3" s="204"/>
      <c r="GY3" s="86" t="str">
        <f>IF(GH3="","",GH3)</f>
        <v/>
      </c>
      <c r="GZ3" s="87" t="str">
        <f>IF(GI3="","",GI3)</f>
        <v/>
      </c>
      <c r="HA3" s="88" t="str">
        <f>IF(GJ3="","",GJ3)</f>
        <v/>
      </c>
      <c r="HB3" s="179" t="s">
        <v>7</v>
      </c>
      <c r="HC3" s="220"/>
      <c r="HD3" s="90" t="str">
        <f>IF(GM3="","",GM3)</f>
        <v>eval M1</v>
      </c>
      <c r="HE3" s="87" t="str">
        <f>IF(GN3="","",GN3)</f>
        <v>EVAL M2</v>
      </c>
      <c r="HF3" s="88" t="str">
        <f>IF(GO3="","",GO3)</f>
        <v>Fiche CH2/3</v>
      </c>
      <c r="HG3" s="196" t="s">
        <v>8</v>
      </c>
      <c r="HH3" s="221"/>
      <c r="HI3" s="90" t="str">
        <f>IF(GR3="","",GR3)</f>
        <v>eval CH1</v>
      </c>
      <c r="HJ3" s="87" t="str">
        <f>IF(GS3="","",GS3)</f>
        <v>fiche CH2/2</v>
      </c>
      <c r="HK3" s="88" t="str">
        <f>IF(GT3="","",GT3)</f>
        <v>Fiche CH2/1</v>
      </c>
      <c r="HL3" s="201" t="s">
        <v>9</v>
      </c>
      <c r="HM3" s="202"/>
      <c r="HN3" s="203" t="s">
        <v>10</v>
      </c>
      <c r="HO3" s="204"/>
      <c r="HP3" s="86" t="str">
        <f>IF(GY3="","",GY3)</f>
        <v/>
      </c>
      <c r="HQ3" s="87" t="str">
        <f>IF(GZ3="","",GZ3)</f>
        <v/>
      </c>
      <c r="HR3" s="88" t="str">
        <f>IF(HA3="","",HA3)</f>
        <v/>
      </c>
      <c r="HS3" s="179" t="s">
        <v>7</v>
      </c>
      <c r="HT3" s="220"/>
      <c r="HU3" s="90" t="str">
        <f>IF(HD3="","",HD3)</f>
        <v>eval M1</v>
      </c>
      <c r="HV3" s="87" t="str">
        <f>IF(HE3="","",HE3)</f>
        <v>EVAL M2</v>
      </c>
      <c r="HW3" s="88" t="str">
        <f>IF(HF3="","",HF3)</f>
        <v>Fiche CH2/3</v>
      </c>
      <c r="HX3" s="196" t="s">
        <v>8</v>
      </c>
      <c r="HY3" s="221"/>
      <c r="HZ3" s="90" t="str">
        <f>IF(HI3="","",HI3)</f>
        <v>eval CH1</v>
      </c>
      <c r="IA3" s="87" t="str">
        <f>IF(HJ3="","",HJ3)</f>
        <v>fiche CH2/2</v>
      </c>
      <c r="IB3" s="88" t="str">
        <f>IF(HK3="","",HK3)</f>
        <v>Fiche CH2/1</v>
      </c>
      <c r="IC3" s="201" t="s">
        <v>9</v>
      </c>
      <c r="ID3" s="202"/>
      <c r="IE3" s="203" t="s">
        <v>10</v>
      </c>
      <c r="IF3" s="204"/>
      <c r="IG3" s="86" t="str">
        <f>IF(HP3="","",HP3)</f>
        <v/>
      </c>
      <c r="IH3" s="87" t="str">
        <f>IF(HQ3="","",HQ3)</f>
        <v/>
      </c>
      <c r="II3" s="88" t="str">
        <f>IF(HR3="","",HR3)</f>
        <v/>
      </c>
      <c r="IJ3" s="179" t="s">
        <v>7</v>
      </c>
      <c r="IK3" s="220"/>
      <c r="IL3" s="90" t="str">
        <f>IF(HU3="","",HU3)</f>
        <v>eval M1</v>
      </c>
      <c r="IM3" s="87" t="str">
        <f>IF(HV3="","",HV3)</f>
        <v>EVAL M2</v>
      </c>
      <c r="IN3" s="88" t="str">
        <f>IF(HW3="","",HW3)</f>
        <v>Fiche CH2/3</v>
      </c>
      <c r="IO3" s="196" t="s">
        <v>8</v>
      </c>
      <c r="IP3" s="221"/>
      <c r="IQ3" s="90" t="str">
        <f>IF(HZ3="","",HZ3)</f>
        <v>eval CH1</v>
      </c>
      <c r="IR3" s="87" t="str">
        <f>IF(IA3="","",IA3)</f>
        <v>fiche CH2/2</v>
      </c>
      <c r="IS3" s="88" t="str">
        <f>IF(IB3="","",IB3)</f>
        <v>Fiche CH2/1</v>
      </c>
      <c r="IT3" s="201" t="s">
        <v>9</v>
      </c>
      <c r="IU3" s="202"/>
      <c r="IV3" s="203" t="s">
        <v>10</v>
      </c>
      <c r="IW3" s="204"/>
      <c r="IX3" s="86" t="str">
        <f>IF(IG3="","",IG3)</f>
        <v/>
      </c>
      <c r="IY3" s="87" t="str">
        <f>IF(IH3="","",IH3)</f>
        <v/>
      </c>
      <c r="IZ3" s="88" t="str">
        <f>IF(II3="","",II3)</f>
        <v/>
      </c>
      <c r="JA3" s="179" t="s">
        <v>7</v>
      </c>
      <c r="JB3" s="220"/>
      <c r="JC3" s="90" t="str">
        <f>IF(IL3="","",IL3)</f>
        <v>eval M1</v>
      </c>
      <c r="JD3" s="87" t="str">
        <f>IF(IM3="","",IM3)</f>
        <v>EVAL M2</v>
      </c>
      <c r="JE3" s="88" t="str">
        <f>IF(IN3="","",IN3)</f>
        <v>Fiche CH2/3</v>
      </c>
      <c r="JF3" s="196" t="s">
        <v>8</v>
      </c>
      <c r="JG3" s="221"/>
      <c r="JH3" s="90" t="str">
        <f>IF(IQ3="","",IQ3)</f>
        <v>eval CH1</v>
      </c>
      <c r="JI3" s="87" t="str">
        <f>IF(IR3="","",IR3)</f>
        <v>fiche CH2/2</v>
      </c>
      <c r="JJ3" s="88" t="str">
        <f>IF(IS3="","",IS3)</f>
        <v>Fiche CH2/1</v>
      </c>
      <c r="JK3" s="201" t="s">
        <v>9</v>
      </c>
      <c r="JL3" s="202"/>
      <c r="JM3" s="203" t="s">
        <v>10</v>
      </c>
      <c r="JN3" s="204"/>
      <c r="JO3" s="86" t="str">
        <f>IF(IX3="","",IX3)</f>
        <v/>
      </c>
      <c r="JP3" s="87" t="str">
        <f>IF(IY3="","",IY3)</f>
        <v/>
      </c>
      <c r="JQ3" s="88" t="str">
        <f>IF(IZ3="","",IZ3)</f>
        <v/>
      </c>
      <c r="JR3" s="179" t="s">
        <v>7</v>
      </c>
      <c r="JS3" s="220"/>
      <c r="JT3" s="90" t="str">
        <f>IF(JC3="","",JC3)</f>
        <v>eval M1</v>
      </c>
      <c r="JU3" s="87" t="str">
        <f>IF(JD3="","",JD3)</f>
        <v>EVAL M2</v>
      </c>
      <c r="JV3" s="88" t="str">
        <f>IF(JE3="","",JE3)</f>
        <v>Fiche CH2/3</v>
      </c>
      <c r="JW3" s="196" t="s">
        <v>8</v>
      </c>
      <c r="JX3" s="221"/>
      <c r="JY3" s="90" t="str">
        <f>IF(JH3="","",JH3)</f>
        <v>eval CH1</v>
      </c>
      <c r="JZ3" s="87" t="str">
        <f>IF(JI3="","",JI3)</f>
        <v>fiche CH2/2</v>
      </c>
      <c r="KA3" s="88" t="str">
        <f>IF(JJ3="","",JJ3)</f>
        <v>Fiche CH2/1</v>
      </c>
      <c r="KB3" s="201" t="s">
        <v>9</v>
      </c>
      <c r="KC3" s="202"/>
      <c r="KD3" s="203" t="s">
        <v>10</v>
      </c>
      <c r="KE3" s="204"/>
      <c r="KF3" s="86" t="str">
        <f>IF(JO3="","",JO3)</f>
        <v/>
      </c>
      <c r="KG3" s="87" t="str">
        <f>IF(JP3="","",JP3)</f>
        <v/>
      </c>
      <c r="KH3" s="88" t="str">
        <f>IF(JQ3="","",JQ3)</f>
        <v/>
      </c>
      <c r="KI3" s="179" t="s">
        <v>7</v>
      </c>
      <c r="KJ3" s="220"/>
      <c r="KK3" s="90" t="str">
        <f>IF(JT3="","",JT3)</f>
        <v>eval M1</v>
      </c>
      <c r="KL3" s="87" t="str">
        <f>IF(JU3="","",JU3)</f>
        <v>EVAL M2</v>
      </c>
      <c r="KM3" s="88" t="str">
        <f>IF(JV3="","",JV3)</f>
        <v>Fiche CH2/3</v>
      </c>
      <c r="KN3" s="196" t="s">
        <v>8</v>
      </c>
      <c r="KO3" s="221"/>
      <c r="KP3" s="90" t="str">
        <f>IF(JY3="","",JY3)</f>
        <v>eval CH1</v>
      </c>
      <c r="KQ3" s="87" t="str">
        <f>IF(JZ3="","",JZ3)</f>
        <v>fiche CH2/2</v>
      </c>
      <c r="KR3" s="88" t="str">
        <f>IF(KA3="","",KA3)</f>
        <v>Fiche CH2/1</v>
      </c>
      <c r="KS3" s="201" t="s">
        <v>9</v>
      </c>
      <c r="KT3" s="202"/>
      <c r="KU3" s="203" t="s">
        <v>10</v>
      </c>
      <c r="KV3" s="204"/>
      <c r="KW3" s="86" t="str">
        <f>IF(KF3="","",KF3)</f>
        <v/>
      </c>
      <c r="KX3" s="87" t="str">
        <f>IF(KG3="","",KG3)</f>
        <v/>
      </c>
      <c r="KY3" s="88" t="str">
        <f>IF(KH3="","",KH3)</f>
        <v/>
      </c>
      <c r="KZ3" s="179" t="s">
        <v>7</v>
      </c>
      <c r="LA3" s="220"/>
      <c r="LB3" s="90" t="str">
        <f>IF(KK3="","",KK3)</f>
        <v>eval M1</v>
      </c>
      <c r="LC3" s="87" t="str">
        <f>IF(KL3="","",KL3)</f>
        <v>EVAL M2</v>
      </c>
      <c r="LD3" s="88" t="str">
        <f>IF(KM3="","",KM3)</f>
        <v>Fiche CH2/3</v>
      </c>
      <c r="LE3" s="196" t="s">
        <v>8</v>
      </c>
      <c r="LF3" s="221"/>
      <c r="LG3" s="90" t="str">
        <f>IF(KP3="","",KP3)</f>
        <v>eval CH1</v>
      </c>
      <c r="LH3" s="87" t="str">
        <f>IF(KQ3="","",KQ3)</f>
        <v>fiche CH2/2</v>
      </c>
      <c r="LI3" s="88" t="str">
        <f>IF(KR3="","",KR3)</f>
        <v>Fiche CH2/1</v>
      </c>
      <c r="LJ3" s="201" t="s">
        <v>9</v>
      </c>
      <c r="LK3" s="202"/>
      <c r="LL3" s="203" t="s">
        <v>10</v>
      </c>
      <c r="LM3" s="204"/>
      <c r="LN3" s="86" t="str">
        <f>IF(KW3="","",KW3)</f>
        <v/>
      </c>
      <c r="LO3" s="87" t="str">
        <f>IF(KX3="","",KX3)</f>
        <v/>
      </c>
      <c r="LP3" s="88" t="str">
        <f>IF(KY3="","",KY3)</f>
        <v/>
      </c>
      <c r="LQ3" s="179" t="s">
        <v>7</v>
      </c>
      <c r="LR3" s="220"/>
      <c r="LS3" s="90" t="str">
        <f>IF(LB3="","",LB3)</f>
        <v>eval M1</v>
      </c>
      <c r="LT3" s="87" t="str">
        <f>IF(LC3="","",LC3)</f>
        <v>EVAL M2</v>
      </c>
      <c r="LU3" s="88" t="str">
        <f>IF(LD3="","",LD3)</f>
        <v>Fiche CH2/3</v>
      </c>
      <c r="LV3" s="196" t="s">
        <v>8</v>
      </c>
      <c r="LW3" s="221"/>
      <c r="LX3" s="90" t="str">
        <f>IF(LG3="","",LG3)</f>
        <v>eval CH1</v>
      </c>
      <c r="LY3" s="87" t="str">
        <f>IF(LH3="","",LH3)</f>
        <v>fiche CH2/2</v>
      </c>
      <c r="LZ3" s="88" t="str">
        <f>IF(LI3="","",LI3)</f>
        <v>Fiche CH2/1</v>
      </c>
      <c r="MA3" s="201" t="s">
        <v>9</v>
      </c>
      <c r="MB3" s="202"/>
      <c r="MC3" s="203" t="s">
        <v>10</v>
      </c>
      <c r="MD3" s="204"/>
      <c r="ME3" s="86" t="str">
        <f>IF(LN3="","",LN3)</f>
        <v/>
      </c>
      <c r="MF3" s="87" t="str">
        <f>IF(LO3="","",LO3)</f>
        <v/>
      </c>
      <c r="MG3" s="88" t="str">
        <f>IF(LP3="","",LP3)</f>
        <v/>
      </c>
      <c r="MH3" s="179" t="s">
        <v>7</v>
      </c>
      <c r="MI3" s="220"/>
      <c r="MJ3" s="90" t="str">
        <f>IF(LS3="","",LS3)</f>
        <v>eval M1</v>
      </c>
      <c r="MK3" s="87" t="str">
        <f>IF(LT3="","",LT3)</f>
        <v>EVAL M2</v>
      </c>
      <c r="ML3" s="88" t="str">
        <f>IF(LU3="","",LU3)</f>
        <v>Fiche CH2/3</v>
      </c>
      <c r="MM3" s="196" t="s">
        <v>8</v>
      </c>
      <c r="MN3" s="221"/>
      <c r="MO3" s="90" t="str">
        <f>IF(LX3="","",LX3)</f>
        <v>eval CH1</v>
      </c>
      <c r="MP3" s="87" t="str">
        <f>IF(LY3="","",LY3)</f>
        <v>fiche CH2/2</v>
      </c>
      <c r="MQ3" s="88" t="str">
        <f>IF(LZ3="","",LZ3)</f>
        <v>Fiche CH2/1</v>
      </c>
      <c r="MR3" s="201" t="s">
        <v>9</v>
      </c>
      <c r="MS3" s="202"/>
      <c r="MT3" s="203" t="s">
        <v>10</v>
      </c>
      <c r="MU3" s="204"/>
      <c r="MV3" s="86" t="str">
        <f>IF(ME3="","",ME3)</f>
        <v/>
      </c>
      <c r="MW3" s="87" t="str">
        <f>IF(MF3="","",MF3)</f>
        <v/>
      </c>
      <c r="MX3" s="88" t="str">
        <f>IF(MG3="","",MG3)</f>
        <v/>
      </c>
      <c r="MY3" s="179" t="s">
        <v>7</v>
      </c>
      <c r="MZ3" s="220"/>
      <c r="NA3" s="90" t="str">
        <f>IF(MJ3="","",MJ3)</f>
        <v>eval M1</v>
      </c>
      <c r="NB3" s="87" t="str">
        <f>IF(MK3="","",MK3)</f>
        <v>EVAL M2</v>
      </c>
      <c r="NC3" s="88" t="str">
        <f>IF(ML3="","",ML3)</f>
        <v>Fiche CH2/3</v>
      </c>
      <c r="ND3" s="196" t="s">
        <v>8</v>
      </c>
      <c r="NE3" s="221"/>
      <c r="NF3" s="90" t="str">
        <f>IF(MO3="","",MO3)</f>
        <v>eval CH1</v>
      </c>
      <c r="NG3" s="87" t="str">
        <f>IF(MP3="","",MP3)</f>
        <v>fiche CH2/2</v>
      </c>
      <c r="NH3" s="88" t="str">
        <f>IF(MQ3="","",MQ3)</f>
        <v>Fiche CH2/1</v>
      </c>
      <c r="NI3" s="201" t="s">
        <v>9</v>
      </c>
      <c r="NJ3" s="202"/>
      <c r="NK3" s="203" t="s">
        <v>10</v>
      </c>
      <c r="NL3" s="204"/>
      <c r="NM3" s="86" t="str">
        <f>IF(MV3="","",MV3)</f>
        <v/>
      </c>
      <c r="NN3" s="87" t="str">
        <f>IF(MW3="","",MW3)</f>
        <v/>
      </c>
      <c r="NO3" s="88" t="str">
        <f>IF(MX3="","",MX3)</f>
        <v/>
      </c>
      <c r="NP3" s="179" t="s">
        <v>7</v>
      </c>
      <c r="NQ3" s="220"/>
      <c r="NR3" s="90" t="str">
        <f>IF(NA3="","",NA3)</f>
        <v>eval M1</v>
      </c>
      <c r="NS3" s="87" t="str">
        <f>IF(NB3="","",NB3)</f>
        <v>EVAL M2</v>
      </c>
      <c r="NT3" s="88" t="str">
        <f>IF(NC3="","",NC3)</f>
        <v>Fiche CH2/3</v>
      </c>
      <c r="NU3" s="196" t="s">
        <v>8</v>
      </c>
      <c r="NV3" s="221"/>
      <c r="NW3" s="90" t="str">
        <f>IF(NF3="","",NF3)</f>
        <v>eval CH1</v>
      </c>
      <c r="NX3" s="87" t="str">
        <f>IF(NG3="","",NG3)</f>
        <v>fiche CH2/2</v>
      </c>
      <c r="NY3" s="88" t="str">
        <f>IF(NH3="","",NH3)</f>
        <v>Fiche CH2/1</v>
      </c>
      <c r="NZ3" s="201" t="s">
        <v>9</v>
      </c>
      <c r="OA3" s="202"/>
      <c r="OB3" s="203" t="s">
        <v>10</v>
      </c>
      <c r="OC3" s="204"/>
      <c r="OD3" s="86" t="str">
        <f>IF(NM3="","",NM3)</f>
        <v/>
      </c>
      <c r="OE3" s="87" t="str">
        <f>IF(NN3="","",NN3)</f>
        <v/>
      </c>
      <c r="OF3" s="88" t="str">
        <f>IF(NO3="","",NO3)</f>
        <v/>
      </c>
      <c r="OG3" s="179" t="s">
        <v>7</v>
      </c>
      <c r="OH3" s="220"/>
      <c r="OI3" s="90" t="str">
        <f>IF(NR3="","",NR3)</f>
        <v>eval M1</v>
      </c>
      <c r="OJ3" s="87" t="str">
        <f>IF(NS3="","",NS3)</f>
        <v>EVAL M2</v>
      </c>
      <c r="OK3" s="88" t="str">
        <f>IF(NT3="","",NT3)</f>
        <v>Fiche CH2/3</v>
      </c>
      <c r="OL3" s="196" t="s">
        <v>8</v>
      </c>
      <c r="OM3" s="221"/>
      <c r="ON3" s="90" t="str">
        <f>IF(NW3="","",NW3)</f>
        <v>eval CH1</v>
      </c>
      <c r="OO3" s="87" t="str">
        <f>IF(NX3="","",NX3)</f>
        <v>fiche CH2/2</v>
      </c>
      <c r="OP3" s="88" t="str">
        <f>IF(NY3="","",NY3)</f>
        <v>Fiche CH2/1</v>
      </c>
      <c r="OQ3" s="201" t="s">
        <v>9</v>
      </c>
      <c r="OR3" s="202"/>
      <c r="OS3" s="203" t="s">
        <v>10</v>
      </c>
      <c r="OT3" s="204"/>
      <c r="OU3" s="86" t="str">
        <f>IF(OD3="","",OD3)</f>
        <v/>
      </c>
      <c r="OV3" s="87" t="str">
        <f>IF(OE3="","",OE3)</f>
        <v/>
      </c>
      <c r="OW3" s="88" t="str">
        <f>IF(OF3="","",OF3)</f>
        <v/>
      </c>
      <c r="OX3" s="179" t="s">
        <v>7</v>
      </c>
      <c r="OY3" s="220"/>
      <c r="OZ3" s="90" t="str">
        <f>IF(OI3="","",OI3)</f>
        <v>eval M1</v>
      </c>
      <c r="PA3" s="87" t="str">
        <f>IF(OJ3="","",OJ3)</f>
        <v>EVAL M2</v>
      </c>
      <c r="PB3" s="88" t="str">
        <f>IF(OK3="","",OK3)</f>
        <v>Fiche CH2/3</v>
      </c>
      <c r="PC3" s="196" t="s">
        <v>8</v>
      </c>
      <c r="PD3" s="221"/>
      <c r="PE3" s="90" t="str">
        <f>IF(ON3="","",ON3)</f>
        <v>eval CH1</v>
      </c>
      <c r="PF3" s="87" t="str">
        <f>IF(OO3="","",OO3)</f>
        <v>fiche CH2/2</v>
      </c>
      <c r="PG3" s="88" t="str">
        <f>IF(OP3="","",OP3)</f>
        <v>Fiche CH2/1</v>
      </c>
      <c r="PH3" s="201" t="s">
        <v>9</v>
      </c>
      <c r="PI3" s="202"/>
      <c r="PJ3" s="203" t="s">
        <v>10</v>
      </c>
      <c r="PK3" s="204"/>
      <c r="PL3" s="86" t="str">
        <f>IF(OU3="","",OU3)</f>
        <v/>
      </c>
      <c r="PM3" s="87" t="str">
        <f>IF(OV3="","",OV3)</f>
        <v/>
      </c>
      <c r="PN3" s="88" t="str">
        <f>IF(OW3="","",OW3)</f>
        <v/>
      </c>
      <c r="PO3" s="179" t="s">
        <v>7</v>
      </c>
      <c r="PP3" s="220"/>
      <c r="PQ3" s="90" t="str">
        <f>IF(OZ3="","",OZ3)</f>
        <v>eval M1</v>
      </c>
      <c r="PR3" s="87" t="str">
        <f>IF(PA3="","",PA3)</f>
        <v>EVAL M2</v>
      </c>
      <c r="PS3" s="88" t="str">
        <f>IF(PB3="","",PB3)</f>
        <v>Fiche CH2/3</v>
      </c>
      <c r="PT3" s="196" t="s">
        <v>8</v>
      </c>
      <c r="PU3" s="221"/>
      <c r="PV3" s="90" t="str">
        <f>IF(PE3="","",PE3)</f>
        <v>eval CH1</v>
      </c>
      <c r="PW3" s="87" t="str">
        <f>IF(PF3="","",PF3)</f>
        <v>fiche CH2/2</v>
      </c>
      <c r="PX3" s="88" t="str">
        <f>IF(PG3="","",PG3)</f>
        <v>Fiche CH2/1</v>
      </c>
      <c r="PY3" s="201" t="s">
        <v>9</v>
      </c>
      <c r="PZ3" s="202"/>
      <c r="QA3" s="203" t="s">
        <v>10</v>
      </c>
      <c r="QB3" s="204"/>
      <c r="QC3" s="86" t="str">
        <f>IF(PL3="","",PL3)</f>
        <v/>
      </c>
      <c r="QD3" s="87" t="str">
        <f>IF(PM3="","",PM3)</f>
        <v/>
      </c>
      <c r="QE3" s="88" t="str">
        <f>IF(PN3="","",PN3)</f>
        <v/>
      </c>
      <c r="QF3" s="179" t="s">
        <v>7</v>
      </c>
      <c r="QG3" s="220"/>
      <c r="QH3" s="90" t="str">
        <f>IF(PQ3="","",PQ3)</f>
        <v>eval M1</v>
      </c>
      <c r="QI3" s="87" t="str">
        <f>IF(PR3="","",PR3)</f>
        <v>EVAL M2</v>
      </c>
      <c r="QJ3" s="88" t="str">
        <f>IF(PS3="","",PS3)</f>
        <v>Fiche CH2/3</v>
      </c>
      <c r="QK3" s="196" t="s">
        <v>8</v>
      </c>
      <c r="QL3" s="221"/>
      <c r="QM3" s="90" t="str">
        <f>IF(PV3="","",PV3)</f>
        <v>eval CH1</v>
      </c>
      <c r="QN3" s="87" t="str">
        <f>IF(PW3="","",PW3)</f>
        <v>fiche CH2/2</v>
      </c>
      <c r="QO3" s="88" t="str">
        <f>IF(PX3="","",PX3)</f>
        <v>Fiche CH2/1</v>
      </c>
      <c r="QP3" s="201" t="s">
        <v>9</v>
      </c>
      <c r="QQ3" s="202"/>
      <c r="QR3" s="203" t="s">
        <v>10</v>
      </c>
      <c r="QS3" s="204"/>
      <c r="QT3" s="86" t="str">
        <f>IF(QC3="","",QC3)</f>
        <v/>
      </c>
      <c r="QU3" s="87" t="str">
        <f>IF(QD3="","",QD3)</f>
        <v/>
      </c>
      <c r="QV3" s="88" t="str">
        <f>IF(QE3="","",QE3)</f>
        <v/>
      </c>
      <c r="QW3" s="179" t="s">
        <v>7</v>
      </c>
      <c r="QX3" s="220"/>
      <c r="QY3" s="90" t="str">
        <f>IF(QH3="","",QH3)</f>
        <v>eval M1</v>
      </c>
      <c r="QZ3" s="87" t="str">
        <f>IF(QI3="","",QI3)</f>
        <v>EVAL M2</v>
      </c>
      <c r="RA3" s="88" t="str">
        <f>IF(QJ3="","",QJ3)</f>
        <v>Fiche CH2/3</v>
      </c>
      <c r="RB3" s="196" t="s">
        <v>8</v>
      </c>
      <c r="RC3" s="221"/>
      <c r="RD3" s="90" t="str">
        <f>IF(QM3="","",QM3)</f>
        <v>eval CH1</v>
      </c>
      <c r="RE3" s="87" t="str">
        <f>IF(QN3="","",QN3)</f>
        <v>fiche CH2/2</v>
      </c>
      <c r="RF3" s="88" t="str">
        <f>IF(QO3="","",QO3)</f>
        <v>Fiche CH2/1</v>
      </c>
      <c r="RG3" s="201" t="s">
        <v>9</v>
      </c>
      <c r="RH3" s="202"/>
      <c r="RI3" s="203" t="s">
        <v>10</v>
      </c>
      <c r="RJ3" s="204"/>
      <c r="RK3" s="86" t="str">
        <f>IF(QT3="","",QT3)</f>
        <v/>
      </c>
      <c r="RL3" s="87" t="str">
        <f>IF(QU3="","",QU3)</f>
        <v/>
      </c>
      <c r="RM3" s="88" t="str">
        <f>IF(QV3="","",QV3)</f>
        <v/>
      </c>
      <c r="RN3" s="179" t="s">
        <v>7</v>
      </c>
      <c r="RO3" s="220"/>
      <c r="RP3" s="90" t="str">
        <f>IF(QY3="","",QY3)</f>
        <v>eval M1</v>
      </c>
      <c r="RQ3" s="87" t="str">
        <f>IF(QZ3="","",QZ3)</f>
        <v>EVAL M2</v>
      </c>
      <c r="RR3" s="88" t="str">
        <f>IF(RA3="","",RA3)</f>
        <v>Fiche CH2/3</v>
      </c>
      <c r="RS3" s="196" t="s">
        <v>8</v>
      </c>
      <c r="RT3" s="221"/>
      <c r="RU3" s="90" t="str">
        <f>IF(RD3="","",RD3)</f>
        <v>eval CH1</v>
      </c>
      <c r="RV3" s="87" t="str">
        <f>IF(RE3="","",RE3)</f>
        <v>fiche CH2/2</v>
      </c>
      <c r="RW3" s="88" t="str">
        <f>IF(RF3="","",RF3)</f>
        <v>Fiche CH2/1</v>
      </c>
      <c r="RX3" s="201" t="s">
        <v>9</v>
      </c>
      <c r="RY3" s="202"/>
      <c r="RZ3" s="203" t="s">
        <v>10</v>
      </c>
      <c r="SA3" s="204"/>
      <c r="SB3" s="86" t="str">
        <f>IF(RK3="","",RK3)</f>
        <v/>
      </c>
      <c r="SC3" s="87" t="str">
        <f>IF(RL3="","",RL3)</f>
        <v/>
      </c>
      <c r="SD3" s="88" t="str">
        <f>IF(RM3="","",RM3)</f>
        <v/>
      </c>
      <c r="SE3" s="179" t="s">
        <v>7</v>
      </c>
      <c r="SF3" s="220"/>
      <c r="SG3" s="90" t="str">
        <f>IF(RP3="","",RP3)</f>
        <v>eval M1</v>
      </c>
      <c r="SH3" s="87" t="str">
        <f>IF(RQ3="","",RQ3)</f>
        <v>EVAL M2</v>
      </c>
      <c r="SI3" s="88" t="str">
        <f>IF(RR3="","",RR3)</f>
        <v>Fiche CH2/3</v>
      </c>
      <c r="SJ3" s="196" t="s">
        <v>8</v>
      </c>
      <c r="SK3" s="221"/>
      <c r="SL3" s="90" t="str">
        <f>IF(RU3="","",RU3)</f>
        <v>eval CH1</v>
      </c>
      <c r="SM3" s="87" t="str">
        <f>IF(RV3="","",RV3)</f>
        <v>fiche CH2/2</v>
      </c>
      <c r="SN3" s="88" t="str">
        <f>IF(RW3="","",RW3)</f>
        <v>Fiche CH2/1</v>
      </c>
      <c r="SO3" s="201" t="s">
        <v>9</v>
      </c>
      <c r="SP3" s="202"/>
      <c r="SQ3" s="203" t="s">
        <v>10</v>
      </c>
      <c r="SR3" s="204"/>
      <c r="SS3" s="86" t="str">
        <f>IF(SB3="","",SB3)</f>
        <v/>
      </c>
      <c r="ST3" s="87" t="str">
        <f>IF(SC3="","",SC3)</f>
        <v/>
      </c>
      <c r="SU3" s="88" t="str">
        <f>IF(SD3="","",SD3)</f>
        <v/>
      </c>
      <c r="SV3" s="79" t="s">
        <v>7</v>
      </c>
      <c r="SW3" s="89"/>
      <c r="SX3" s="90" t="str">
        <f>IF(SG3="","",SG3)</f>
        <v>eval M1</v>
      </c>
      <c r="SY3" s="87" t="str">
        <f>IF(SH3="","",SH3)</f>
        <v>EVAL M2</v>
      </c>
      <c r="SZ3" s="88" t="str">
        <f>IF(SI3="","",SI3)</f>
        <v>Fiche CH2/3</v>
      </c>
      <c r="TA3" s="81" t="s">
        <v>8</v>
      </c>
      <c r="TB3" s="91"/>
      <c r="TC3" s="90" t="str">
        <f>IF(SL3="","",SL3)</f>
        <v>eval CH1</v>
      </c>
      <c r="TD3" s="87" t="str">
        <f>IF(SM3="","",SM3)</f>
        <v>fiche CH2/2</v>
      </c>
      <c r="TE3" s="88" t="str">
        <f>IF(SN3="","",SN3)</f>
        <v>Fiche CH2/1</v>
      </c>
      <c r="TF3" s="82" t="s">
        <v>9</v>
      </c>
      <c r="TG3" s="83"/>
      <c r="TH3" s="84" t="s">
        <v>10</v>
      </c>
      <c r="TI3" s="85"/>
      <c r="TJ3" s="86" t="str">
        <f>IF(SS3="","",SS3)</f>
        <v/>
      </c>
      <c r="TK3" s="87" t="str">
        <f>IF(ST3="","",ST3)</f>
        <v/>
      </c>
      <c r="TL3" s="88" t="str">
        <f>IF(SU3="","",SU3)</f>
        <v/>
      </c>
      <c r="TM3" s="79" t="s">
        <v>7</v>
      </c>
      <c r="TN3" s="89"/>
      <c r="TO3" s="90" t="str">
        <f>IF(SX3="","",SX3)</f>
        <v>eval M1</v>
      </c>
      <c r="TP3" s="87" t="str">
        <f>IF(SY3="","",SY3)</f>
        <v>EVAL M2</v>
      </c>
      <c r="TQ3" s="88" t="str">
        <f>IF(SZ3="","",SZ3)</f>
        <v>Fiche CH2/3</v>
      </c>
      <c r="TR3" s="81" t="s">
        <v>8</v>
      </c>
      <c r="TS3" s="91"/>
      <c r="TT3" s="90" t="str">
        <f>IF(TC3="","",TC3)</f>
        <v>eval CH1</v>
      </c>
      <c r="TU3" s="87" t="str">
        <f>IF(TD3="","",TD3)</f>
        <v>fiche CH2/2</v>
      </c>
      <c r="TV3" s="88" t="str">
        <f>IF(TE3="","",TE3)</f>
        <v>Fiche CH2/1</v>
      </c>
      <c r="TW3" s="82" t="s">
        <v>9</v>
      </c>
      <c r="TX3" s="83"/>
      <c r="TY3" s="84" t="s">
        <v>10</v>
      </c>
      <c r="TZ3" s="85"/>
    </row>
    <row r="4" spans="1:546" s="98" customFormat="1" ht="27.75" customHeight="1" thickBot="1" x14ac:dyDescent="0.3">
      <c r="A4" s="162" t="s">
        <v>11</v>
      </c>
      <c r="B4" s="92">
        <v>1</v>
      </c>
      <c r="C4" s="165"/>
      <c r="D4" s="126"/>
      <c r="E4" s="127"/>
      <c r="F4" s="181" t="str">
        <f>IF(COUNT(F5:F6)=0,"",SUM(F5:F6)/COUNT(F5:F6))</f>
        <v/>
      </c>
      <c r="G4" s="182" t="str">
        <f t="shared" ref="G4:G20" si="0">IF(F4="","",IF(F4&gt;3.7,"A",IF(F4&gt;2.8,"B",IF(F4&gt;1.5,"C",IF(F4&gt;0,"D",IF(F4=0,""))))))</f>
        <v/>
      </c>
      <c r="H4" s="165"/>
      <c r="I4" s="126"/>
      <c r="J4" s="127"/>
      <c r="K4" s="181">
        <f>IF(COUNT(K5:K6)=0,"",SUM(K5:K6)/COUNT(K5:K6))</f>
        <v>3.5</v>
      </c>
      <c r="L4" s="198" t="str">
        <f t="shared" ref="L4:L20" si="1">IF(K4="","",IF(K4&gt;3.7,"A",IF(K4&gt;2.8,"B",IF(K4&gt;1.5,"C",IF(K4&gt;0,"D",IF(K4=0,""))))))</f>
        <v>B</v>
      </c>
      <c r="M4" s="176"/>
      <c r="N4" s="113"/>
      <c r="O4" s="114"/>
      <c r="P4" s="181">
        <f>IF(COUNT(P5:P6)=0,"",SUM(P5:P6)/COUNT(P5:P6))</f>
        <v>4</v>
      </c>
      <c r="Q4" s="205" t="str">
        <f t="shared" ref="Q4:Q20" si="2">IF(P4="","",IF(P4&gt;3.7,"A",IF(P4&gt;2.8,"B",IF(P4&gt;1.5,"C",IF(P4&gt;0,"D",IF(P4=0,""))))))</f>
        <v>A</v>
      </c>
      <c r="R4" s="181">
        <f>IF(COUNT(R5:R6)=0,"",SUM(R5:R6)/COUNT(R5:R6))</f>
        <v>3.5</v>
      </c>
      <c r="S4" s="206" t="str">
        <f t="shared" ref="S4:S20" si="3">IF(R4="","",IF(R4&gt;3.7,"A",IF(R4&gt;2.8,"B",IF(R4&gt;1.5,"C",IF(R4&gt;0,"D",IF(R4=0,""))))))</f>
        <v>B</v>
      </c>
      <c r="T4" s="216"/>
      <c r="U4" s="126"/>
      <c r="V4" s="127"/>
      <c r="W4" s="181" t="str">
        <f>IF(COUNT(W5:W6)=0,"",SUM(W5:W6)/COUNT(W5:W6))</f>
        <v/>
      </c>
      <c r="X4" s="182" t="str">
        <f t="shared" ref="X4:X20" si="4">IF(W4="","",IF(W4&gt;3.7,"A",IF(W4&gt;2.8,"B",IF(W4&gt;1.5,"C",IF(W4&gt;0,"D",IF(W4=0,""))))))</f>
        <v/>
      </c>
      <c r="Y4" s="165"/>
      <c r="Z4" s="126"/>
      <c r="AA4" s="127"/>
      <c r="AB4" s="181">
        <f>IF(COUNT(AB5:AB6)=0,"",SUM(AB5:AB6)/COUNT(AB5:AB6))</f>
        <v>3.75</v>
      </c>
      <c r="AC4" s="198" t="str">
        <f t="shared" ref="AC4:AC20" si="5">IF(AB4="","",IF(AB4&gt;3.7,"A",IF(AB4&gt;2.8,"B",IF(AB4&gt;1.5,"C",IF(AB4&gt;0,"D",IF(AB4=0,""))))))</f>
        <v>A</v>
      </c>
      <c r="AD4" s="176"/>
      <c r="AE4" s="113"/>
      <c r="AF4" s="114"/>
      <c r="AG4" s="181">
        <f>IF(COUNT(AG5:AG6)=0,"",SUM(AG5:AG6)/COUNT(AG5:AG6))</f>
        <v>4</v>
      </c>
      <c r="AH4" s="205" t="str">
        <f t="shared" ref="AH4:AH20" si="6">IF(AG4="","",IF(AG4&gt;3.7,"A",IF(AG4&gt;2.8,"B",IF(AG4&gt;1.5,"C",IF(AG4&gt;0,"D",IF(AG4=0,""))))))</f>
        <v>A</v>
      </c>
      <c r="AI4" s="181">
        <f>IF(COUNT(AI5:AI6)=0,"",SUM(AI5:AI6)/COUNT(AI5:AI6))</f>
        <v>3.75</v>
      </c>
      <c r="AJ4" s="206" t="str">
        <f t="shared" ref="AJ4:AJ20" si="7">IF(AI4="","",IF(AI4&gt;3.7,"A",IF(AI4&gt;2.8,"B",IF(AI4&gt;1.5,"C",IF(AI4&gt;0,"D",IF(AI4=0,""))))))</f>
        <v>A</v>
      </c>
      <c r="AK4" s="216"/>
      <c r="AL4" s="126"/>
      <c r="AM4" s="127"/>
      <c r="AN4" s="181" t="str">
        <f>IF(COUNT(AN5:AN6)=0,"",SUM(AN5:AN6)/COUNT(AN5:AN6))</f>
        <v/>
      </c>
      <c r="AO4" s="182" t="str">
        <f t="shared" ref="AO4:AO20" si="8">IF(AN4="","",IF(AN4&gt;3.7,"A",IF(AN4&gt;2.8,"B",IF(AN4&gt;1.5,"C",IF(AN4&gt;0,"D",IF(AN4=0,""))))))</f>
        <v/>
      </c>
      <c r="AP4" s="165"/>
      <c r="AQ4" s="126"/>
      <c r="AR4" s="127"/>
      <c r="AS4" s="181">
        <f>IF(COUNT(AS5:AS6)=0,"",SUM(AS5:AS6)/COUNT(AS5:AS6))</f>
        <v>2.75</v>
      </c>
      <c r="AT4" s="198" t="str">
        <f t="shared" ref="AT4:AT20" si="9">IF(AS4="","",IF(AS4&gt;3.7,"A",IF(AS4&gt;2.8,"B",IF(AS4&gt;1.5,"C",IF(AS4&gt;0,"D",IF(AS4=0,""))))))</f>
        <v>C</v>
      </c>
      <c r="AU4" s="176"/>
      <c r="AV4" s="113"/>
      <c r="AW4" s="114"/>
      <c r="AX4" s="181">
        <f>IF(COUNT(AX5:AX6)=0,"",SUM(AX5:AX6)/COUNT(AX5:AX6))</f>
        <v>4</v>
      </c>
      <c r="AY4" s="205" t="str">
        <f t="shared" ref="AY4:AY20" si="10">IF(AX4="","",IF(AX4&gt;3.7,"A",IF(AX4&gt;2.8,"B",IF(AX4&gt;1.5,"C",IF(AX4&gt;0,"D",IF(AX4=0,""))))))</f>
        <v>A</v>
      </c>
      <c r="AZ4" s="181">
        <f>IF(COUNT(AZ5:AZ6)=0,"",SUM(AZ5:AZ6)/COUNT(AZ5:AZ6))</f>
        <v>3</v>
      </c>
      <c r="BA4" s="206" t="str">
        <f t="shared" ref="BA4:BA20" si="11">IF(AZ4="","",IF(AZ4&gt;3.7,"A",IF(AZ4&gt;2.8,"B",IF(AZ4&gt;1.5,"C",IF(AZ4&gt;0,"D",IF(AZ4=0,""))))))</f>
        <v>B</v>
      </c>
      <c r="BB4" s="216"/>
      <c r="BC4" s="126"/>
      <c r="BD4" s="127"/>
      <c r="BE4" s="181" t="str">
        <f>IF(COUNT(BE5:BE6)=0,"",SUM(BE5:BE6)/COUNT(BE5:BE6))</f>
        <v/>
      </c>
      <c r="BF4" s="182" t="str">
        <f t="shared" ref="BF4:BF20" si="12">IF(BE4="","",IF(BE4&gt;3.7,"A",IF(BE4&gt;2.8,"B",IF(BE4&gt;1.5,"C",IF(BE4&gt;0,"D",IF(BE4=0,""))))))</f>
        <v/>
      </c>
      <c r="BG4" s="165"/>
      <c r="BH4" s="126"/>
      <c r="BI4" s="127"/>
      <c r="BJ4" s="181">
        <f>IF(COUNT(BJ5:BJ6)=0,"",SUM(BJ5:BJ6)/COUNT(BJ5:BJ6))</f>
        <v>3.5</v>
      </c>
      <c r="BK4" s="198" t="str">
        <f t="shared" ref="BK4:BK20" si="13">IF(BJ4="","",IF(BJ4&gt;3.7,"A",IF(BJ4&gt;2.8,"B",IF(BJ4&gt;1.5,"C",IF(BJ4&gt;0,"D",IF(BJ4=0,""))))))</f>
        <v>B</v>
      </c>
      <c r="BL4" s="176"/>
      <c r="BM4" s="113"/>
      <c r="BN4" s="114"/>
      <c r="BO4" s="181">
        <f>IF(COUNT(BO5:BO6)=0,"",SUM(BO5:BO6)/COUNT(BO5:BO6))</f>
        <v>4</v>
      </c>
      <c r="BP4" s="205" t="str">
        <f t="shared" ref="BP4:BP20" si="14">IF(BO4="","",IF(BO4&gt;3.7,"A",IF(BO4&gt;2.8,"B",IF(BO4&gt;1.5,"C",IF(BO4&gt;0,"D",IF(BO4=0,""))))))</f>
        <v>A</v>
      </c>
      <c r="BQ4" s="181">
        <f>IF(COUNT(BQ5:BQ6)=0,"",SUM(BQ5:BQ6)/COUNT(BQ5:BQ6))</f>
        <v>3.5</v>
      </c>
      <c r="BR4" s="206" t="str">
        <f t="shared" ref="BR4:BR20" si="15">IF(BQ4="","",IF(BQ4&gt;3.7,"A",IF(BQ4&gt;2.8,"B",IF(BQ4&gt;1.5,"C",IF(BQ4&gt;0,"D",IF(BQ4=0,""))))))</f>
        <v>B</v>
      </c>
      <c r="BS4" s="216"/>
      <c r="BT4" s="126"/>
      <c r="BU4" s="127"/>
      <c r="BV4" s="181" t="str">
        <f>IF(COUNT(BV5:BV6)=0,"",SUM(BV5:BV6)/COUNT(BV5:BV6))</f>
        <v/>
      </c>
      <c r="BW4" s="182" t="str">
        <f t="shared" ref="BW4:BW20" si="16">IF(BV4="","",IF(BV4&gt;3.7,"A",IF(BV4&gt;2.8,"B",IF(BV4&gt;1.5,"C",IF(BV4&gt;0,"D",IF(BV4=0,""))))))</f>
        <v/>
      </c>
      <c r="BX4" s="165"/>
      <c r="BY4" s="126"/>
      <c r="BZ4" s="127"/>
      <c r="CA4" s="181">
        <f>IF(COUNT(CA5:CA6)=0,"",SUM(CA5:CA6)/COUNT(CA5:CA6))</f>
        <v>3.75</v>
      </c>
      <c r="CB4" s="198" t="str">
        <f t="shared" ref="CB4:CB20" si="17">IF(CA4="","",IF(CA4&gt;3.7,"A",IF(CA4&gt;2.8,"B",IF(CA4&gt;1.5,"C",IF(CA4&gt;0,"D",IF(CA4=0,""))))))</f>
        <v>A</v>
      </c>
      <c r="CC4" s="176"/>
      <c r="CD4" s="113"/>
      <c r="CE4" s="114"/>
      <c r="CF4" s="181">
        <f>IF(COUNT(CF5:CF6)=0,"",SUM(CF5:CF6)/COUNT(CF5:CF6))</f>
        <v>4</v>
      </c>
      <c r="CG4" s="205" t="str">
        <f t="shared" ref="CG4:CG20" si="18">IF(CF4="","",IF(CF4&gt;3.7,"A",IF(CF4&gt;2.8,"B",IF(CF4&gt;1.5,"C",IF(CF4&gt;0,"D",IF(CF4=0,""))))))</f>
        <v>A</v>
      </c>
      <c r="CH4" s="181">
        <f>IF(COUNT(CH5:CH6)=0,"",SUM(CH5:CH6)/COUNT(CH5:CH6))</f>
        <v>3.75</v>
      </c>
      <c r="CI4" s="206" t="str">
        <f t="shared" ref="CI4:CI20" si="19">IF(CH4="","",IF(CH4&gt;3.7,"A",IF(CH4&gt;2.8,"B",IF(CH4&gt;1.5,"C",IF(CH4&gt;0,"D",IF(CH4=0,""))))))</f>
        <v>A</v>
      </c>
      <c r="CJ4" s="216"/>
      <c r="CK4" s="126"/>
      <c r="CL4" s="127"/>
      <c r="CM4" s="181" t="str">
        <f>IF(COUNT(CM5:CM6)=0,"",SUM(CM5:CM6)/COUNT(CM5:CM6))</f>
        <v/>
      </c>
      <c r="CN4" s="182" t="str">
        <f t="shared" ref="CN4:CN20" si="20">IF(CM4="","",IF(CM4&gt;3.7,"A",IF(CM4&gt;2.8,"B",IF(CM4&gt;1.5,"C",IF(CM4&gt;0,"D",IF(CM4=0,""))))))</f>
        <v/>
      </c>
      <c r="CO4" s="165"/>
      <c r="CP4" s="126"/>
      <c r="CQ4" s="127"/>
      <c r="CR4" s="181">
        <f>IF(COUNT(CR5:CR6)=0,"",SUM(CR5:CR6)/COUNT(CR5:CR6))</f>
        <v>2.25</v>
      </c>
      <c r="CS4" s="198" t="str">
        <f t="shared" ref="CS4:CS20" si="21">IF(CR4="","",IF(CR4&gt;3.7,"A",IF(CR4&gt;2.8,"B",IF(CR4&gt;1.5,"C",IF(CR4&gt;0,"D",IF(CR4=0,""))))))</f>
        <v>C</v>
      </c>
      <c r="CT4" s="176"/>
      <c r="CU4" s="113"/>
      <c r="CV4" s="114"/>
      <c r="CW4" s="181">
        <f>IF(COUNT(CW5:CW6)=0,"",SUM(CW5:CW6)/COUNT(CW5:CW6))</f>
        <v>4</v>
      </c>
      <c r="CX4" s="205" t="str">
        <f t="shared" ref="CX4:CX20" si="22">IF(CW4="","",IF(CW4&gt;3.7,"A",IF(CW4&gt;2.8,"B",IF(CW4&gt;1.5,"C",IF(CW4&gt;0,"D",IF(CW4=0,""))))))</f>
        <v>A</v>
      </c>
      <c r="CY4" s="181">
        <f>IF(COUNT(CY5:CY6)=0,"",SUM(CY5:CY6)/COUNT(CY5:CY6))</f>
        <v>2.75</v>
      </c>
      <c r="CZ4" s="206" t="str">
        <f t="shared" ref="CZ4:CZ20" si="23">IF(CY4="","",IF(CY4&gt;3.7,"A",IF(CY4&gt;2.8,"B",IF(CY4&gt;1.5,"C",IF(CY4&gt;0,"D",IF(CY4=0,""))))))</f>
        <v>C</v>
      </c>
      <c r="DA4" s="216"/>
      <c r="DB4" s="126"/>
      <c r="DC4" s="127"/>
      <c r="DD4" s="181" t="str">
        <f>IF(COUNT(DD5:DD6)=0,"",SUM(DD5:DD6)/COUNT(DD5:DD6))</f>
        <v/>
      </c>
      <c r="DE4" s="182" t="str">
        <f t="shared" ref="DE4:DE20" si="24">IF(DD4="","",IF(DD4&gt;3.7,"A",IF(DD4&gt;2.8,"B",IF(DD4&gt;1.5,"C",IF(DD4&gt;0,"D",IF(DD4=0,""))))))</f>
        <v/>
      </c>
      <c r="DF4" s="165"/>
      <c r="DG4" s="126"/>
      <c r="DH4" s="127"/>
      <c r="DI4" s="181">
        <f>IF(COUNT(DI5:DI6)=0,"",SUM(DI5:DI6)/COUNT(DI5:DI6))</f>
        <v>3.5</v>
      </c>
      <c r="DJ4" s="198" t="str">
        <f t="shared" ref="DJ4:DJ20" si="25">IF(DI4="","",IF(DI4&gt;3.7,"A",IF(DI4&gt;2.8,"B",IF(DI4&gt;1.5,"C",IF(DI4&gt;0,"D",IF(DI4=0,""))))))</f>
        <v>B</v>
      </c>
      <c r="DK4" s="176"/>
      <c r="DL4" s="113"/>
      <c r="DM4" s="114"/>
      <c r="DN4" s="181">
        <f>IF(COUNT(DN5:DN6)=0,"",SUM(DN5:DN6)/COUNT(DN5:DN6))</f>
        <v>3</v>
      </c>
      <c r="DO4" s="205" t="str">
        <f t="shared" ref="DO4:DO20" si="26">IF(DN4="","",IF(DN4&gt;3.7,"A",IF(DN4&gt;2.8,"B",IF(DN4&gt;1.5,"C",IF(DN4&gt;0,"D",IF(DN4=0,""))))))</f>
        <v>B</v>
      </c>
      <c r="DP4" s="181">
        <f>IF(COUNT(DP5:DP6)=0,"",SUM(DP5:DP6)/COUNT(DP5:DP6))</f>
        <v>3.25</v>
      </c>
      <c r="DQ4" s="206" t="str">
        <f t="shared" ref="DQ4:DQ20" si="27">IF(DP4="","",IF(DP4&gt;3.7,"A",IF(DP4&gt;2.8,"B",IF(DP4&gt;1.5,"C",IF(DP4&gt;0,"D",IF(DP4=0,""))))))</f>
        <v>B</v>
      </c>
      <c r="DR4" s="216"/>
      <c r="DS4" s="126"/>
      <c r="DT4" s="127"/>
      <c r="DU4" s="181" t="str">
        <f>IF(COUNT(DU5:DU6)=0,"",SUM(DU5:DU6)/COUNT(DU5:DU6))</f>
        <v/>
      </c>
      <c r="DV4" s="182" t="str">
        <f t="shared" ref="DV4:DV20" si="28">IF(DU4="","",IF(DU4&gt;3.7,"A",IF(DU4&gt;2.8,"B",IF(DU4&gt;1.5,"C",IF(DU4&gt;0,"D",IF(DU4=0,""))))))</f>
        <v/>
      </c>
      <c r="DW4" s="165"/>
      <c r="DX4" s="126"/>
      <c r="DY4" s="127"/>
      <c r="DZ4" s="181">
        <f>IF(COUNT(DZ5:DZ6)=0,"",SUM(DZ5:DZ6)/COUNT(DZ5:DZ6))</f>
        <v>3.75</v>
      </c>
      <c r="EA4" s="198" t="str">
        <f t="shared" ref="EA4:EA20" si="29">IF(DZ4="","",IF(DZ4&gt;3.7,"A",IF(DZ4&gt;2.8,"B",IF(DZ4&gt;1.5,"C",IF(DZ4&gt;0,"D",IF(DZ4=0,""))))))</f>
        <v>A</v>
      </c>
      <c r="EB4" s="176"/>
      <c r="EC4" s="113"/>
      <c r="ED4" s="114"/>
      <c r="EE4" s="181">
        <f>IF(COUNT(EE5:EE6)=0,"",SUM(EE5:EE6)/COUNT(EE5:EE6))</f>
        <v>4</v>
      </c>
      <c r="EF4" s="205" t="str">
        <f t="shared" ref="EF4:EF20" si="30">IF(EE4="","",IF(EE4&gt;3.7,"A",IF(EE4&gt;2.8,"B",IF(EE4&gt;1.5,"C",IF(EE4&gt;0,"D",IF(EE4=0,""))))))</f>
        <v>A</v>
      </c>
      <c r="EG4" s="181">
        <f>IF(COUNT(EG5:EG6)=0,"",SUM(EG5:EG6)/COUNT(EG5:EG6))</f>
        <v>3.75</v>
      </c>
      <c r="EH4" s="206" t="str">
        <f t="shared" ref="EH4:EH20" si="31">IF(EG4="","",IF(EG4&gt;3.7,"A",IF(EG4&gt;2.8,"B",IF(EG4&gt;1.5,"C",IF(EG4&gt;0,"D",IF(EG4=0,""))))))</f>
        <v>A</v>
      </c>
      <c r="EI4" s="216"/>
      <c r="EJ4" s="126"/>
      <c r="EK4" s="127"/>
      <c r="EL4" s="181" t="str">
        <f>IF(COUNT(EL5:EL6)=0,"",SUM(EL5:EL6)/COUNT(EL5:EL6))</f>
        <v/>
      </c>
      <c r="EM4" s="182" t="str">
        <f t="shared" ref="EM4:EM20" si="32">IF(EL4="","",IF(EL4&gt;3.7,"A",IF(EL4&gt;2.8,"B",IF(EL4&gt;1.5,"C",IF(EL4&gt;0,"D",IF(EL4=0,""))))))</f>
        <v/>
      </c>
      <c r="EN4" s="165"/>
      <c r="EO4" s="126"/>
      <c r="EP4" s="127"/>
      <c r="EQ4" s="181">
        <f>IF(COUNT(EQ5:EQ6)=0,"",SUM(EQ5:EQ6)/COUNT(EQ5:EQ6))</f>
        <v>3.5</v>
      </c>
      <c r="ER4" s="198" t="str">
        <f t="shared" ref="ER4:ER20" si="33">IF(EQ4="","",IF(EQ4&gt;3.7,"A",IF(EQ4&gt;2.8,"B",IF(EQ4&gt;1.5,"C",IF(EQ4&gt;0,"D",IF(EQ4=0,""))))))</f>
        <v>B</v>
      </c>
      <c r="ES4" s="176"/>
      <c r="ET4" s="113"/>
      <c r="EU4" s="114"/>
      <c r="EV4" s="181">
        <f>IF(COUNT(EV5:EV6)=0,"",SUM(EV5:EV6)/COUNT(EV5:EV6))</f>
        <v>4</v>
      </c>
      <c r="EW4" s="205" t="str">
        <f t="shared" ref="EW4:EW20" si="34">IF(EV4="","",IF(EV4&gt;3.7,"A",IF(EV4&gt;2.8,"B",IF(EV4&gt;1.5,"C",IF(EV4&gt;0,"D",IF(EV4=0,""))))))</f>
        <v>A</v>
      </c>
      <c r="EX4" s="181">
        <f>IF(COUNT(EX5:EX6)=0,"",SUM(EX5:EX6)/COUNT(EX5:EX6))</f>
        <v>3.5</v>
      </c>
      <c r="EY4" s="206" t="str">
        <f t="shared" ref="EY4:EY20" si="35">IF(EX4="","",IF(EX4&gt;3.7,"A",IF(EX4&gt;2.8,"B",IF(EX4&gt;1.5,"C",IF(EX4&gt;0,"D",IF(EX4=0,""))))))</f>
        <v>B</v>
      </c>
      <c r="EZ4" s="216"/>
      <c r="FA4" s="126"/>
      <c r="FB4" s="127"/>
      <c r="FC4" s="181" t="str">
        <f>IF(COUNT(FC5:FC6)=0,"",SUM(FC5:FC6)/COUNT(FC5:FC6))</f>
        <v/>
      </c>
      <c r="FD4" s="182" t="str">
        <f t="shared" ref="FD4:FD20" si="36">IF(FC4="","",IF(FC4&gt;3.7,"A",IF(FC4&gt;2.8,"B",IF(FC4&gt;1.5,"C",IF(FC4&gt;0,"D",IF(FC4=0,""))))))</f>
        <v/>
      </c>
      <c r="FE4" s="165"/>
      <c r="FF4" s="126"/>
      <c r="FG4" s="127"/>
      <c r="FH4" s="181">
        <f>IF(COUNT(FH5:FH6)=0,"",SUM(FH5:FH6)/COUNT(FH5:FH6))</f>
        <v>3.5</v>
      </c>
      <c r="FI4" s="198" t="str">
        <f t="shared" ref="FI4:FI20" si="37">IF(FH4="","",IF(FH4&gt;3.7,"A",IF(FH4&gt;2.8,"B",IF(FH4&gt;1.5,"C",IF(FH4&gt;0,"D",IF(FH4=0,""))))))</f>
        <v>B</v>
      </c>
      <c r="FJ4" s="176"/>
      <c r="FK4" s="113"/>
      <c r="FL4" s="114"/>
      <c r="FM4" s="181">
        <f>IF(COUNT(FM5:FM6)=0,"",SUM(FM5:FM6)/COUNT(FM5:FM6))</f>
        <v>4</v>
      </c>
      <c r="FN4" s="205" t="str">
        <f t="shared" ref="FN4:FN20" si="38">IF(FM4="","",IF(FM4&gt;3.7,"A",IF(FM4&gt;2.8,"B",IF(FM4&gt;1.5,"C",IF(FM4&gt;0,"D",IF(FM4=0,""))))))</f>
        <v>A</v>
      </c>
      <c r="FO4" s="181">
        <f>IF(COUNT(FO5:FO6)=0,"",SUM(FO5:FO6)/COUNT(FO5:FO6))</f>
        <v>3.5</v>
      </c>
      <c r="FP4" s="206" t="str">
        <f t="shared" ref="FP4:FP20" si="39">IF(FO4="","",IF(FO4&gt;3.7,"A",IF(FO4&gt;2.8,"B",IF(FO4&gt;1.5,"C",IF(FO4&gt;0,"D",IF(FO4=0,""))))))</f>
        <v>B</v>
      </c>
      <c r="FQ4" s="216"/>
      <c r="FR4" s="126"/>
      <c r="FS4" s="127"/>
      <c r="FT4" s="181" t="str">
        <f>IF(COUNT(FT5:FT6)=0,"",SUM(FT5:FT6)/COUNT(FT5:FT6))</f>
        <v/>
      </c>
      <c r="FU4" s="182" t="str">
        <f t="shared" ref="FU4:FU20" si="40">IF(FT4="","",IF(FT4&gt;3.7,"A",IF(FT4&gt;2.8,"B",IF(FT4&gt;1.5,"C",IF(FT4&gt;0,"D",IF(FT4=0,""))))))</f>
        <v/>
      </c>
      <c r="FV4" s="165"/>
      <c r="FW4" s="126"/>
      <c r="FX4" s="127"/>
      <c r="FY4" s="181">
        <f>IF(COUNT(FY5:FY6)=0,"",SUM(FY5:FY6)/COUNT(FY5:FY6))</f>
        <v>3.5</v>
      </c>
      <c r="FZ4" s="198" t="str">
        <f t="shared" ref="FZ4:FZ20" si="41">IF(FY4="","",IF(FY4&gt;3.7,"A",IF(FY4&gt;2.8,"B",IF(FY4&gt;1.5,"C",IF(FY4&gt;0,"D",IF(FY4=0,""))))))</f>
        <v>B</v>
      </c>
      <c r="GA4" s="176"/>
      <c r="GB4" s="113"/>
      <c r="GC4" s="114"/>
      <c r="GD4" s="181">
        <f>IF(COUNT(GD5:GD6)=0,"",SUM(GD5:GD6)/COUNT(GD5:GD6))</f>
        <v>4</v>
      </c>
      <c r="GE4" s="205" t="str">
        <f t="shared" ref="GE4:GE20" si="42">IF(GD4="","",IF(GD4&gt;3.7,"A",IF(GD4&gt;2.8,"B",IF(GD4&gt;1.5,"C",IF(GD4&gt;0,"D",IF(GD4=0,""))))))</f>
        <v>A</v>
      </c>
      <c r="GF4" s="181">
        <f>IF(COUNT(GF5:GF6)=0,"",SUM(GF5:GF6)/COUNT(GF5:GF6))</f>
        <v>3.5</v>
      </c>
      <c r="GG4" s="206" t="str">
        <f t="shared" ref="GG4:GG20" si="43">IF(GF4="","",IF(GF4&gt;3.7,"A",IF(GF4&gt;2.8,"B",IF(GF4&gt;1.5,"C",IF(GF4&gt;0,"D",IF(GF4=0,""))))))</f>
        <v>B</v>
      </c>
      <c r="GH4" s="216"/>
      <c r="GI4" s="126"/>
      <c r="GJ4" s="127"/>
      <c r="GK4" s="181" t="str">
        <f>IF(COUNT(GK5:GK6)=0,"",SUM(GK5:GK6)/COUNT(GK5:GK6))</f>
        <v/>
      </c>
      <c r="GL4" s="182" t="str">
        <f t="shared" ref="GL4:GL20" si="44">IF(GK4="","",IF(GK4&gt;3.7,"A",IF(GK4&gt;2.8,"B",IF(GK4&gt;1.5,"C",IF(GK4&gt;0,"D",IF(GK4=0,""))))))</f>
        <v/>
      </c>
      <c r="GM4" s="165"/>
      <c r="GN4" s="126"/>
      <c r="GO4" s="127"/>
      <c r="GP4" s="181">
        <f>IF(COUNT(GP5:GP6)=0,"",SUM(GP5:GP6)/COUNT(GP5:GP6))</f>
        <v>3.5</v>
      </c>
      <c r="GQ4" s="198" t="str">
        <f t="shared" ref="GQ4:GQ20" si="45">IF(GP4="","",IF(GP4&gt;3.7,"A",IF(GP4&gt;2.8,"B",IF(GP4&gt;1.5,"C",IF(GP4&gt;0,"D",IF(GP4=0,""))))))</f>
        <v>B</v>
      </c>
      <c r="GR4" s="176"/>
      <c r="GS4" s="113"/>
      <c r="GT4" s="114"/>
      <c r="GU4" s="181">
        <f>IF(COUNT(GU5:GU6)=0,"",SUM(GU5:GU6)/COUNT(GU5:GU6))</f>
        <v>4</v>
      </c>
      <c r="GV4" s="205" t="str">
        <f t="shared" ref="GV4:GV20" si="46">IF(GU4="","",IF(GU4&gt;3.7,"A",IF(GU4&gt;2.8,"B",IF(GU4&gt;1.5,"C",IF(GU4&gt;0,"D",IF(GU4=0,""))))))</f>
        <v>A</v>
      </c>
      <c r="GW4" s="181">
        <f>IF(COUNT(GW5:GW6)=0,"",SUM(GW5:GW6)/COUNT(GW5:GW6))</f>
        <v>3.5</v>
      </c>
      <c r="GX4" s="206" t="str">
        <f t="shared" ref="GX4:GX20" si="47">IF(GW4="","",IF(GW4&gt;3.7,"A",IF(GW4&gt;2.8,"B",IF(GW4&gt;1.5,"C",IF(GW4&gt;0,"D",IF(GW4=0,""))))))</f>
        <v>B</v>
      </c>
      <c r="GY4" s="216"/>
      <c r="GZ4" s="126"/>
      <c r="HA4" s="127"/>
      <c r="HB4" s="181" t="str">
        <f>IF(COUNT(HB5:HB6)=0,"",SUM(HB5:HB6)/COUNT(HB5:HB6))</f>
        <v/>
      </c>
      <c r="HC4" s="182" t="str">
        <f t="shared" ref="HC4:HC20" si="48">IF(HB4="","",IF(HB4&gt;3.7,"A",IF(HB4&gt;2.8,"B",IF(HB4&gt;1.5,"C",IF(HB4&gt;0,"D",IF(HB4=0,""))))))</f>
        <v/>
      </c>
      <c r="HD4" s="165"/>
      <c r="HE4" s="126"/>
      <c r="HF4" s="127"/>
      <c r="HG4" s="181">
        <f>IF(COUNT(HG5:HG6)=0,"",SUM(HG5:HG6)/COUNT(HG5:HG6))</f>
        <v>3.75</v>
      </c>
      <c r="HH4" s="198" t="str">
        <f t="shared" ref="HH4:HH20" si="49">IF(HG4="","",IF(HG4&gt;3.7,"A",IF(HG4&gt;2.8,"B",IF(HG4&gt;1.5,"C",IF(HG4&gt;0,"D",IF(HG4=0,""))))))</f>
        <v>A</v>
      </c>
      <c r="HI4" s="176"/>
      <c r="HJ4" s="113"/>
      <c r="HK4" s="114"/>
      <c r="HL4" s="181">
        <f>IF(COUNT(HL5:HL6)=0,"",SUM(HL5:HL6)/COUNT(HL5:HL6))</f>
        <v>4</v>
      </c>
      <c r="HM4" s="205" t="str">
        <f t="shared" ref="HM4:HM20" si="50">IF(HL4="","",IF(HL4&gt;3.7,"A",IF(HL4&gt;2.8,"B",IF(HL4&gt;1.5,"C",IF(HL4&gt;0,"D",IF(HL4=0,""))))))</f>
        <v>A</v>
      </c>
      <c r="HN4" s="181">
        <f>IF(COUNT(HN5:HN6)=0,"",SUM(HN5:HN6)/COUNT(HN5:HN6))</f>
        <v>3.75</v>
      </c>
      <c r="HO4" s="206" t="str">
        <f t="shared" ref="HO4:HO20" si="51">IF(HN4="","",IF(HN4&gt;3.7,"A",IF(HN4&gt;2.8,"B",IF(HN4&gt;1.5,"C",IF(HN4&gt;0,"D",IF(HN4=0,""))))))</f>
        <v>A</v>
      </c>
      <c r="HP4" s="216"/>
      <c r="HQ4" s="126"/>
      <c r="HR4" s="127"/>
      <c r="HS4" s="181" t="str">
        <f>IF(COUNT(HS5:HS6)=0,"",SUM(HS5:HS6)/COUNT(HS5:HS6))</f>
        <v/>
      </c>
      <c r="HT4" s="182" t="str">
        <f t="shared" ref="HT4:HT20" si="52">IF(HS4="","",IF(HS4&gt;3.7,"A",IF(HS4&gt;2.8,"B",IF(HS4&gt;1.5,"C",IF(HS4&gt;0,"D",IF(HS4=0,""))))))</f>
        <v/>
      </c>
      <c r="HU4" s="165"/>
      <c r="HV4" s="126"/>
      <c r="HW4" s="127"/>
      <c r="HX4" s="181">
        <f>IF(COUNT(HX5:HX6)=0,"",SUM(HX5:HX6)/COUNT(HX5:HX6))</f>
        <v>4</v>
      </c>
      <c r="HY4" s="198" t="str">
        <f t="shared" ref="HY4:HY20" si="53">IF(HX4="","",IF(HX4&gt;3.7,"A",IF(HX4&gt;2.8,"B",IF(HX4&gt;1.5,"C",IF(HX4&gt;0,"D",IF(HX4=0,""))))))</f>
        <v>A</v>
      </c>
      <c r="HZ4" s="176"/>
      <c r="IA4" s="113"/>
      <c r="IB4" s="114"/>
      <c r="IC4" s="181">
        <f>IF(COUNT(IC5:IC6)=0,"",SUM(IC5:IC6)/COUNT(IC5:IC6))</f>
        <v>4</v>
      </c>
      <c r="ID4" s="205" t="str">
        <f t="shared" ref="ID4:ID20" si="54">IF(IC4="","",IF(IC4&gt;3.7,"A",IF(IC4&gt;2.8,"B",IF(IC4&gt;1.5,"C",IF(IC4&gt;0,"D",IF(IC4=0,""))))))</f>
        <v>A</v>
      </c>
      <c r="IE4" s="181">
        <f>IF(COUNT(IE5:IE6)=0,"",SUM(IE5:IE6)/COUNT(IE5:IE6))</f>
        <v>4</v>
      </c>
      <c r="IF4" s="206" t="str">
        <f t="shared" ref="IF4:IF20" si="55">IF(IE4="","",IF(IE4&gt;3.7,"A",IF(IE4&gt;2.8,"B",IF(IE4&gt;1.5,"C",IF(IE4&gt;0,"D",IF(IE4=0,""))))))</f>
        <v>A</v>
      </c>
      <c r="IG4" s="216"/>
      <c r="IH4" s="126"/>
      <c r="II4" s="127"/>
      <c r="IJ4" s="181" t="str">
        <f>IF(COUNT(IJ5:IJ6)=0,"",SUM(IJ5:IJ6)/COUNT(IJ5:IJ6))</f>
        <v/>
      </c>
      <c r="IK4" s="182" t="str">
        <f t="shared" ref="IK4:IK20" si="56">IF(IJ4="","",IF(IJ4&gt;3.7,"A",IF(IJ4&gt;2.8,"B",IF(IJ4&gt;1.5,"C",IF(IJ4&gt;0,"D",IF(IJ4=0,""))))))</f>
        <v/>
      </c>
      <c r="IL4" s="165"/>
      <c r="IM4" s="126"/>
      <c r="IN4" s="127"/>
      <c r="IO4" s="181">
        <f>IF(COUNT(IO5:IO6)=0,"",SUM(IO5:IO6)/COUNT(IO5:IO6))</f>
        <v>2.75</v>
      </c>
      <c r="IP4" s="198" t="str">
        <f t="shared" ref="IP4:IP20" si="57">IF(IO4="","",IF(IO4&gt;3.7,"A",IF(IO4&gt;2.8,"B",IF(IO4&gt;1.5,"C",IF(IO4&gt;0,"D",IF(IO4=0,""))))))</f>
        <v>C</v>
      </c>
      <c r="IQ4" s="176"/>
      <c r="IR4" s="113"/>
      <c r="IS4" s="114"/>
      <c r="IT4" s="181" t="str">
        <f>IF(COUNT(IT5:IT6)=0,"",SUM(IT5:IT6)/COUNT(IT5:IT6))</f>
        <v/>
      </c>
      <c r="IU4" s="205" t="str">
        <f t="shared" ref="IU4:IU20" si="58">IF(IT4="","",IF(IT4&gt;3.7,"A",IF(IT4&gt;2.8,"B",IF(IT4&gt;1.5,"C",IF(IT4&gt;0,"D",IF(IT4=0,""))))))</f>
        <v/>
      </c>
      <c r="IV4" s="181">
        <f>IF(COUNT(IV5:IV6)=0,"",SUM(IV5:IV6)/COUNT(IV5:IV6))</f>
        <v>2.75</v>
      </c>
      <c r="IW4" s="206" t="str">
        <f t="shared" ref="IW4:IW20" si="59">IF(IV4="","",IF(IV4&gt;3.7,"A",IF(IV4&gt;2.8,"B",IF(IV4&gt;1.5,"C",IF(IV4&gt;0,"D",IF(IV4=0,""))))))</f>
        <v>C</v>
      </c>
      <c r="IX4" s="216"/>
      <c r="IY4" s="126"/>
      <c r="IZ4" s="127"/>
      <c r="JA4" s="181" t="str">
        <f>IF(COUNT(JA5:JA6)=0,"",SUM(JA5:JA6)/COUNT(JA5:JA6))</f>
        <v/>
      </c>
      <c r="JB4" s="182" t="str">
        <f t="shared" ref="JB4:JB20" si="60">IF(JA4="","",IF(JA4&gt;3.7,"A",IF(JA4&gt;2.8,"B",IF(JA4&gt;1.5,"C",IF(JA4&gt;0,"D",IF(JA4=0,""))))))</f>
        <v/>
      </c>
      <c r="JC4" s="165"/>
      <c r="JD4" s="126"/>
      <c r="JE4" s="127"/>
      <c r="JF4" s="181">
        <f>IF(COUNT(JF5:JF6)=0,"",SUM(JF5:JF6)/COUNT(JF5:JF6))</f>
        <v>3</v>
      </c>
      <c r="JG4" s="198" t="str">
        <f t="shared" ref="JG4:JG20" si="61">IF(JF4="","",IF(JF4&gt;3.7,"A",IF(JF4&gt;2.8,"B",IF(JF4&gt;1.5,"C",IF(JF4&gt;0,"D",IF(JF4=0,""))))))</f>
        <v>B</v>
      </c>
      <c r="JH4" s="176"/>
      <c r="JI4" s="113"/>
      <c r="JJ4" s="114"/>
      <c r="JK4" s="181">
        <f>IF(COUNT(JK5:JK6)=0,"",SUM(JK5:JK6)/COUNT(JK5:JK6))</f>
        <v>4</v>
      </c>
      <c r="JL4" s="205" t="str">
        <f t="shared" ref="JL4:JL20" si="62">IF(JK4="","",IF(JK4&gt;3.7,"A",IF(JK4&gt;2.8,"B",IF(JK4&gt;1.5,"C",IF(JK4&gt;0,"D",IF(JK4=0,""))))))</f>
        <v>A</v>
      </c>
      <c r="JM4" s="181">
        <f>IF(COUNT(JM5:JM6)=0,"",SUM(JM5:JM6)/COUNT(JM5:JM6))</f>
        <v>3.25</v>
      </c>
      <c r="JN4" s="206" t="str">
        <f t="shared" ref="JN4:JN20" si="63">IF(JM4="","",IF(JM4&gt;3.7,"A",IF(JM4&gt;2.8,"B",IF(JM4&gt;1.5,"C",IF(JM4&gt;0,"D",IF(JM4=0,""))))))</f>
        <v>B</v>
      </c>
      <c r="JO4" s="216"/>
      <c r="JP4" s="126"/>
      <c r="JQ4" s="127"/>
      <c r="JR4" s="181" t="str">
        <f>IF(COUNT(JR5:JR6)=0,"",SUM(JR5:JR6)/COUNT(JR5:JR6))</f>
        <v/>
      </c>
      <c r="JS4" s="182" t="str">
        <f t="shared" ref="JS4:JS20" si="64">IF(JR4="","",IF(JR4&gt;3.7,"A",IF(JR4&gt;2.8,"B",IF(JR4&gt;1.5,"C",IF(JR4&gt;0,"D",IF(JR4=0,""))))))</f>
        <v/>
      </c>
      <c r="JT4" s="165"/>
      <c r="JU4" s="126"/>
      <c r="JV4" s="127"/>
      <c r="JW4" s="181">
        <f>IF(COUNT(JW5:JW6)=0,"",SUM(JW5:JW6)/COUNT(JW5:JW6))</f>
        <v>3</v>
      </c>
      <c r="JX4" s="198" t="str">
        <f t="shared" ref="JX4:JX20" si="65">IF(JW4="","",IF(JW4&gt;3.7,"A",IF(JW4&gt;2.8,"B",IF(JW4&gt;1.5,"C",IF(JW4&gt;0,"D",IF(JW4=0,""))))))</f>
        <v>B</v>
      </c>
      <c r="JY4" s="176"/>
      <c r="JZ4" s="113"/>
      <c r="KA4" s="114"/>
      <c r="KB4" s="181">
        <f>IF(COUNT(KB5:KB6)=0,"",SUM(KB5:KB6)/COUNT(KB5:KB6))</f>
        <v>4</v>
      </c>
      <c r="KC4" s="205" t="str">
        <f t="shared" ref="KC4:KC20" si="66">IF(KB4="","",IF(KB4&gt;3.7,"A",IF(KB4&gt;2.8,"B",IF(KB4&gt;1.5,"C",IF(KB4&gt;0,"D",IF(KB4=0,""))))))</f>
        <v>A</v>
      </c>
      <c r="KD4" s="181">
        <f>IF(COUNT(KD5:KD6)=0,"",SUM(KD5:KD6)/COUNT(KD5:KD6))</f>
        <v>3</v>
      </c>
      <c r="KE4" s="206" t="str">
        <f t="shared" ref="KE4:KE20" si="67">IF(KD4="","",IF(KD4&gt;3.7,"A",IF(KD4&gt;2.8,"B",IF(KD4&gt;1.5,"C",IF(KD4&gt;0,"D",IF(KD4=0,""))))))</f>
        <v>B</v>
      </c>
      <c r="KF4" s="216"/>
      <c r="KG4" s="126"/>
      <c r="KH4" s="127"/>
      <c r="KI4" s="181" t="str">
        <f>IF(COUNT(KI5:KI6)=0,"",SUM(KI5:KI6)/COUNT(KI5:KI6))</f>
        <v/>
      </c>
      <c r="KJ4" s="182" t="str">
        <f t="shared" ref="KJ4:KJ20" si="68">IF(KI4="","",IF(KI4&gt;3.7,"A",IF(KI4&gt;2.8,"B",IF(KI4&gt;1.5,"C",IF(KI4&gt;0,"D",IF(KI4=0,""))))))</f>
        <v/>
      </c>
      <c r="KK4" s="165"/>
      <c r="KL4" s="126"/>
      <c r="KM4" s="127"/>
      <c r="KN4" s="181">
        <f>IF(COUNT(KN5:KN6)=0,"",SUM(KN5:KN6)/COUNT(KN5:KN6))</f>
        <v>3.5</v>
      </c>
      <c r="KO4" s="198" t="str">
        <f t="shared" ref="KO4:KO20" si="69">IF(KN4="","",IF(KN4&gt;3.7,"A",IF(KN4&gt;2.8,"B",IF(KN4&gt;1.5,"C",IF(KN4&gt;0,"D",IF(KN4=0,""))))))</f>
        <v>B</v>
      </c>
      <c r="KP4" s="176"/>
      <c r="KQ4" s="113"/>
      <c r="KR4" s="114"/>
      <c r="KS4" s="181">
        <f>IF(COUNT(KS5:KS6)=0,"",SUM(KS5:KS6)/COUNT(KS5:KS6))</f>
        <v>4</v>
      </c>
      <c r="KT4" s="205" t="str">
        <f t="shared" ref="KT4:KT20" si="70">IF(KS4="","",IF(KS4&gt;3.7,"A",IF(KS4&gt;2.8,"B",IF(KS4&gt;1.5,"C",IF(KS4&gt;0,"D",IF(KS4=0,""))))))</f>
        <v>A</v>
      </c>
      <c r="KU4" s="181">
        <f>IF(COUNT(KU5:KU6)=0,"",SUM(KU5:KU6)/COUNT(KU5:KU6))</f>
        <v>3.5</v>
      </c>
      <c r="KV4" s="206" t="str">
        <f t="shared" ref="KV4:KV20" si="71">IF(KU4="","",IF(KU4&gt;3.7,"A",IF(KU4&gt;2.8,"B",IF(KU4&gt;1.5,"C",IF(KU4&gt;0,"D",IF(KU4=0,""))))))</f>
        <v>B</v>
      </c>
      <c r="KW4" s="216"/>
      <c r="KX4" s="126"/>
      <c r="KY4" s="127"/>
      <c r="KZ4" s="181" t="str">
        <f>IF(COUNT(KZ5:KZ6)=0,"",SUM(KZ5:KZ6)/COUNT(KZ5:KZ6))</f>
        <v/>
      </c>
      <c r="LA4" s="182" t="str">
        <f t="shared" ref="LA4:LA20" si="72">IF(KZ4="","",IF(KZ4&gt;3.7,"A",IF(KZ4&gt;2.8,"B",IF(KZ4&gt;1.5,"C",IF(KZ4&gt;0,"D",IF(KZ4=0,""))))))</f>
        <v/>
      </c>
      <c r="LB4" s="165"/>
      <c r="LC4" s="126"/>
      <c r="LD4" s="127"/>
      <c r="LE4" s="181">
        <f>IF(COUNT(LE5:LE6)=0,"",SUM(LE5:LE6)/COUNT(LE5:LE6))</f>
        <v>2.75</v>
      </c>
      <c r="LF4" s="198" t="str">
        <f t="shared" ref="LF4:LF20" si="73">IF(LE4="","",IF(LE4&gt;3.7,"A",IF(LE4&gt;2.8,"B",IF(LE4&gt;1.5,"C",IF(LE4&gt;0,"D",IF(LE4=0,""))))))</f>
        <v>C</v>
      </c>
      <c r="LG4" s="176"/>
      <c r="LH4" s="113"/>
      <c r="LI4" s="114"/>
      <c r="LJ4" s="181">
        <f>IF(COUNT(LJ5:LJ6)=0,"",SUM(LJ5:LJ6)/COUNT(LJ5:LJ6))</f>
        <v>4</v>
      </c>
      <c r="LK4" s="205" t="str">
        <f t="shared" ref="LK4:LK20" si="74">IF(LJ4="","",IF(LJ4&gt;3.7,"A",IF(LJ4&gt;2.8,"B",IF(LJ4&gt;1.5,"C",IF(LJ4&gt;0,"D",IF(LJ4=0,""))))))</f>
        <v>A</v>
      </c>
      <c r="LL4" s="181">
        <f>IF(COUNT(LL5:LL6)=0,"",SUM(LL5:LL6)/COUNT(LL5:LL6))</f>
        <v>3</v>
      </c>
      <c r="LM4" s="206" t="str">
        <f t="shared" ref="LM4:LM20" si="75">IF(LL4="","",IF(LL4&gt;3.7,"A",IF(LL4&gt;2.8,"B",IF(LL4&gt;1.5,"C",IF(LL4&gt;0,"D",IF(LL4=0,""))))))</f>
        <v>B</v>
      </c>
      <c r="LN4" s="216"/>
      <c r="LO4" s="126"/>
      <c r="LP4" s="127"/>
      <c r="LQ4" s="181" t="str">
        <f>IF(COUNT(LQ5:LQ6)=0,"",SUM(LQ5:LQ6)/COUNT(LQ5:LQ6))</f>
        <v/>
      </c>
      <c r="LR4" s="182" t="str">
        <f t="shared" ref="LR4:LR20" si="76">IF(LQ4="","",IF(LQ4&gt;3.7,"A",IF(LQ4&gt;2.8,"B",IF(LQ4&gt;1.5,"C",IF(LQ4&gt;0,"D",IF(LQ4=0,""))))))</f>
        <v/>
      </c>
      <c r="LS4" s="165"/>
      <c r="LT4" s="126"/>
      <c r="LU4" s="127"/>
      <c r="LV4" s="181">
        <f>IF(COUNT(LV5:LV6)=0,"",SUM(LV5:LV6)/COUNT(LV5:LV6))</f>
        <v>4</v>
      </c>
      <c r="LW4" s="198" t="str">
        <f t="shared" ref="LW4:LW20" si="77">IF(LV4="","",IF(LV4&gt;3.7,"A",IF(LV4&gt;2.8,"B",IF(LV4&gt;1.5,"C",IF(LV4&gt;0,"D",IF(LV4=0,""))))))</f>
        <v>A</v>
      </c>
      <c r="LX4" s="176"/>
      <c r="LY4" s="113"/>
      <c r="LZ4" s="114"/>
      <c r="MA4" s="181" t="str">
        <f>IF(COUNT(MA5:MA6)=0,"",SUM(MA5:MA6)/COUNT(MA5:MA6))</f>
        <v/>
      </c>
      <c r="MB4" s="205" t="str">
        <f t="shared" ref="MB4:MB20" si="78">IF(MA4="","",IF(MA4&gt;3.7,"A",IF(MA4&gt;2.8,"B",IF(MA4&gt;1.5,"C",IF(MA4&gt;0,"D",IF(MA4=0,""))))))</f>
        <v/>
      </c>
      <c r="MC4" s="181">
        <f>IF(COUNT(MC5:MC6)=0,"",SUM(MC5:MC6)/COUNT(MC5:MC6))</f>
        <v>4</v>
      </c>
      <c r="MD4" s="206" t="str">
        <f t="shared" ref="MD4:MD20" si="79">IF(MC4="","",IF(MC4&gt;3.7,"A",IF(MC4&gt;2.8,"B",IF(MC4&gt;1.5,"C",IF(MC4&gt;0,"D",IF(MC4=0,""))))))</f>
        <v>A</v>
      </c>
      <c r="ME4" s="216"/>
      <c r="MF4" s="126"/>
      <c r="MG4" s="127"/>
      <c r="MH4" s="181" t="str">
        <f>IF(COUNT(MH5:MH6)=0,"",SUM(MH5:MH6)/COUNT(MH5:MH6))</f>
        <v/>
      </c>
      <c r="MI4" s="182" t="str">
        <f t="shared" ref="MI4:MI20" si="80">IF(MH4="","",IF(MH4&gt;3.7,"A",IF(MH4&gt;2.8,"B",IF(MH4&gt;1.5,"C",IF(MH4&gt;0,"D",IF(MH4=0,""))))))</f>
        <v/>
      </c>
      <c r="MJ4" s="165"/>
      <c r="MK4" s="126"/>
      <c r="ML4" s="127"/>
      <c r="MM4" s="181">
        <f>IF(COUNT(MM5:MM6)=0,"",SUM(MM5:MM6)/COUNT(MM5:MM6))</f>
        <v>3.75</v>
      </c>
      <c r="MN4" s="198" t="str">
        <f t="shared" ref="MN4:MN20" si="81">IF(MM4="","",IF(MM4&gt;3.7,"A",IF(MM4&gt;2.8,"B",IF(MM4&gt;1.5,"C",IF(MM4&gt;0,"D",IF(MM4=0,""))))))</f>
        <v>A</v>
      </c>
      <c r="MO4" s="176"/>
      <c r="MP4" s="113"/>
      <c r="MQ4" s="114"/>
      <c r="MR4" s="181">
        <f>IF(COUNT(MR5:MR6)=0,"",SUM(MR5:MR6)/COUNT(MR5:MR6))</f>
        <v>4</v>
      </c>
      <c r="MS4" s="205" t="str">
        <f t="shared" ref="MS4:MS20" si="82">IF(MR4="","",IF(MR4&gt;3.7,"A",IF(MR4&gt;2.8,"B",IF(MR4&gt;1.5,"C",IF(MR4&gt;0,"D",IF(MR4=0,""))))))</f>
        <v>A</v>
      </c>
      <c r="MT4" s="181">
        <f>IF(COUNT(MT5:MT6)=0,"",SUM(MT5:MT6)/COUNT(MT5:MT6))</f>
        <v>3.75</v>
      </c>
      <c r="MU4" s="206" t="str">
        <f t="shared" ref="MU4:MU20" si="83">IF(MT4="","",IF(MT4&gt;3.7,"A",IF(MT4&gt;2.8,"B",IF(MT4&gt;1.5,"C",IF(MT4&gt;0,"D",IF(MT4=0,""))))))</f>
        <v>A</v>
      </c>
      <c r="MV4" s="216"/>
      <c r="MW4" s="126"/>
      <c r="MX4" s="127"/>
      <c r="MY4" s="181" t="str">
        <f>IF(COUNT(MY5:MY6)=0,"",SUM(MY5:MY6)/COUNT(MY5:MY6))</f>
        <v/>
      </c>
      <c r="MZ4" s="182" t="str">
        <f t="shared" ref="MZ4:MZ20" si="84">IF(MY4="","",IF(MY4&gt;3.7,"A",IF(MY4&gt;2.8,"B",IF(MY4&gt;1.5,"C",IF(MY4&gt;0,"D",IF(MY4=0,""))))))</f>
        <v/>
      </c>
      <c r="NA4" s="165"/>
      <c r="NB4" s="126"/>
      <c r="NC4" s="127"/>
      <c r="ND4" s="181">
        <f>IF(COUNT(ND5:ND6)=0,"",SUM(ND5:ND6)/COUNT(ND5:ND6))</f>
        <v>3.75</v>
      </c>
      <c r="NE4" s="198" t="str">
        <f t="shared" ref="NE4:NE20" si="85">IF(ND4="","",IF(ND4&gt;3.7,"A",IF(ND4&gt;2.8,"B",IF(ND4&gt;1.5,"C",IF(ND4&gt;0,"D",IF(ND4=0,""))))))</f>
        <v>A</v>
      </c>
      <c r="NF4" s="176"/>
      <c r="NG4" s="113"/>
      <c r="NH4" s="114"/>
      <c r="NI4" s="181">
        <f>IF(COUNT(NI5:NI6)=0,"",SUM(NI5:NI6)/COUNT(NI5:NI6))</f>
        <v>2</v>
      </c>
      <c r="NJ4" s="205" t="str">
        <f t="shared" ref="NJ4:NJ20" si="86">IF(NI4="","",IF(NI4&gt;3.7,"A",IF(NI4&gt;2.8,"B",IF(NI4&gt;1.5,"C",IF(NI4&gt;0,"D",IF(NI4=0,""))))))</f>
        <v>C</v>
      </c>
      <c r="NK4" s="181">
        <f>IF(COUNT(NK5:NK6)=0,"",SUM(NK5:NK6)/COUNT(NK5:NK6))</f>
        <v>3.25</v>
      </c>
      <c r="NL4" s="206" t="str">
        <f t="shared" ref="NL4:NL20" si="87">IF(NK4="","",IF(NK4&gt;3.7,"A",IF(NK4&gt;2.8,"B",IF(NK4&gt;1.5,"C",IF(NK4&gt;0,"D",IF(NK4=0,""))))))</f>
        <v>B</v>
      </c>
      <c r="NM4" s="216"/>
      <c r="NN4" s="126"/>
      <c r="NO4" s="127"/>
      <c r="NP4" s="181" t="str">
        <f>IF(COUNT(NP5:NP6)=0,"",SUM(NP5:NP6)/COUNT(NP5:NP6))</f>
        <v/>
      </c>
      <c r="NQ4" s="182" t="str">
        <f t="shared" ref="NQ4:NQ20" si="88">IF(NP4="","",IF(NP4&gt;3.7,"A",IF(NP4&gt;2.8,"B",IF(NP4&gt;1.5,"C",IF(NP4&gt;0,"D",IF(NP4=0,""))))))</f>
        <v/>
      </c>
      <c r="NR4" s="165"/>
      <c r="NS4" s="126"/>
      <c r="NT4" s="127"/>
      <c r="NU4" s="181">
        <f>IF(COUNT(NU5:NU6)=0,"",SUM(NU5:NU6)/COUNT(NU5:NU6))</f>
        <v>3.5</v>
      </c>
      <c r="NV4" s="198" t="str">
        <f t="shared" ref="NV4:NV20" si="89">IF(NU4="","",IF(NU4&gt;3.7,"A",IF(NU4&gt;2.8,"B",IF(NU4&gt;1.5,"C",IF(NU4&gt;0,"D",IF(NU4=0,""))))))</f>
        <v>B</v>
      </c>
      <c r="NW4" s="176"/>
      <c r="NX4" s="113"/>
      <c r="NY4" s="114"/>
      <c r="NZ4" s="181">
        <f>IF(COUNT(NZ5:NZ6)=0,"",SUM(NZ5:NZ6)/COUNT(NZ5:NZ6))</f>
        <v>4</v>
      </c>
      <c r="OA4" s="205" t="str">
        <f t="shared" ref="OA4:OA20" si="90">IF(NZ4="","",IF(NZ4&gt;3.7,"A",IF(NZ4&gt;2.8,"B",IF(NZ4&gt;1.5,"C",IF(NZ4&gt;0,"D",IF(NZ4=0,""))))))</f>
        <v>A</v>
      </c>
      <c r="OB4" s="181">
        <f>IF(COUNT(OB5:OB6)=0,"",SUM(OB5:OB6)/COUNT(OB5:OB6))</f>
        <v>3.5</v>
      </c>
      <c r="OC4" s="206" t="str">
        <f t="shared" ref="OC4:OC20" si="91">IF(OB4="","",IF(OB4&gt;3.7,"A",IF(OB4&gt;2.8,"B",IF(OB4&gt;1.5,"C",IF(OB4&gt;0,"D",IF(OB4=0,""))))))</f>
        <v>B</v>
      </c>
      <c r="OD4" s="216"/>
      <c r="OE4" s="126"/>
      <c r="OF4" s="127"/>
      <c r="OG4" s="181" t="str">
        <f>IF(COUNT(OG5:OG6)=0,"",SUM(OG5:OG6)/COUNT(OG5:OG6))</f>
        <v/>
      </c>
      <c r="OH4" s="182" t="str">
        <f t="shared" ref="OH4:OH20" si="92">IF(OG4="","",IF(OG4&gt;3.7,"A",IF(OG4&gt;2.8,"B",IF(OG4&gt;1.5,"C",IF(OG4&gt;0,"D",IF(OG4=0,""))))))</f>
        <v/>
      </c>
      <c r="OI4" s="165"/>
      <c r="OJ4" s="126"/>
      <c r="OK4" s="127"/>
      <c r="OL4" s="181">
        <f>IF(COUNT(OL5:OL6)=0,"",SUM(OL5:OL6)/COUNT(OL5:OL6))</f>
        <v>2</v>
      </c>
      <c r="OM4" s="198" t="str">
        <f t="shared" ref="OM4:OM20" si="93">IF(OL4="","",IF(OL4&gt;3.7,"A",IF(OL4&gt;2.8,"B",IF(OL4&gt;1.5,"C",IF(OL4&gt;0,"D",IF(OL4=0,""))))))</f>
        <v>C</v>
      </c>
      <c r="ON4" s="176"/>
      <c r="OO4" s="113"/>
      <c r="OP4" s="114"/>
      <c r="OQ4" s="181" t="str">
        <f>IF(COUNT(OQ5:OQ6)=0,"",SUM(OQ5:OQ6)/COUNT(OQ5:OQ6))</f>
        <v/>
      </c>
      <c r="OR4" s="205" t="str">
        <f t="shared" ref="OR4:OR20" si="94">IF(OQ4="","",IF(OQ4&gt;3.7,"A",IF(OQ4&gt;2.8,"B",IF(OQ4&gt;1.5,"C",IF(OQ4&gt;0,"D",IF(OQ4=0,""))))))</f>
        <v/>
      </c>
      <c r="OS4" s="181">
        <f>IF(COUNT(OS5:OS6)=0,"",SUM(OS5:OS6)/COUNT(OS5:OS6))</f>
        <v>2</v>
      </c>
      <c r="OT4" s="206" t="str">
        <f t="shared" ref="OT4:OT20" si="95">IF(OS4="","",IF(OS4&gt;3.7,"A",IF(OS4&gt;2.8,"B",IF(OS4&gt;1.5,"C",IF(OS4&gt;0,"D",IF(OS4=0,""))))))</f>
        <v>C</v>
      </c>
      <c r="OU4" s="216"/>
      <c r="OV4" s="126"/>
      <c r="OW4" s="127"/>
      <c r="OX4" s="181" t="str">
        <f>IF(COUNT(OX5:OX6)=0,"",SUM(OX5:OX6)/COUNT(OX5:OX6))</f>
        <v/>
      </c>
      <c r="OY4" s="182" t="str">
        <f t="shared" ref="OY4:OY20" si="96">IF(OX4="","",IF(OX4&gt;3.7,"A",IF(OX4&gt;2.8,"B",IF(OX4&gt;1.5,"C",IF(OX4&gt;0,"D",IF(OX4=0,""))))))</f>
        <v/>
      </c>
      <c r="OZ4" s="165"/>
      <c r="PA4" s="126"/>
      <c r="PB4" s="127"/>
      <c r="PC4" s="181">
        <f>IF(COUNT(PC5:PC6)=0,"",SUM(PC5:PC6)/COUNT(PC5:PC6))</f>
        <v>3.75</v>
      </c>
      <c r="PD4" s="198" t="str">
        <f t="shared" ref="PD4:PD20" si="97">IF(PC4="","",IF(PC4&gt;3.7,"A",IF(PC4&gt;2.8,"B",IF(PC4&gt;1.5,"C",IF(PC4&gt;0,"D",IF(PC4=0,""))))))</f>
        <v>A</v>
      </c>
      <c r="PE4" s="176"/>
      <c r="PF4" s="113"/>
      <c r="PG4" s="114"/>
      <c r="PH4" s="181">
        <f>IF(COUNT(PH5:PH6)=0,"",SUM(PH5:PH6)/COUNT(PH5:PH6))</f>
        <v>4</v>
      </c>
      <c r="PI4" s="205" t="str">
        <f t="shared" ref="PI4:PI20" si="98">IF(PH4="","",IF(PH4&gt;3.7,"A",IF(PH4&gt;2.8,"B",IF(PH4&gt;1.5,"C",IF(PH4&gt;0,"D",IF(PH4=0,""))))))</f>
        <v>A</v>
      </c>
      <c r="PJ4" s="181">
        <f>IF(COUNT(PJ5:PJ6)=0,"",SUM(PJ5:PJ6)/COUNT(PJ5:PJ6))</f>
        <v>3.75</v>
      </c>
      <c r="PK4" s="206" t="str">
        <f t="shared" ref="PK4:PK20" si="99">IF(PJ4="","",IF(PJ4&gt;3.7,"A",IF(PJ4&gt;2.8,"B",IF(PJ4&gt;1.5,"C",IF(PJ4&gt;0,"D",IF(PJ4=0,""))))))</f>
        <v>A</v>
      </c>
      <c r="PL4" s="216"/>
      <c r="PM4" s="126"/>
      <c r="PN4" s="127"/>
      <c r="PO4" s="181" t="str">
        <f>IF(COUNT(PO5:PO6)=0,"",SUM(PO5:PO6)/COUNT(PO5:PO6))</f>
        <v/>
      </c>
      <c r="PP4" s="182" t="str">
        <f t="shared" ref="PP4:PP20" si="100">IF(PO4="","",IF(PO4&gt;3.7,"A",IF(PO4&gt;2.8,"B",IF(PO4&gt;1.5,"C",IF(PO4&gt;0,"D",IF(PO4=0,""))))))</f>
        <v/>
      </c>
      <c r="PQ4" s="165"/>
      <c r="PR4" s="126"/>
      <c r="PS4" s="127"/>
      <c r="PT4" s="181">
        <f>IF(COUNT(PT5:PT6)=0,"",SUM(PT5:PT6)/COUNT(PT5:PT6))</f>
        <v>3.75</v>
      </c>
      <c r="PU4" s="198" t="str">
        <f t="shared" ref="PU4:PU20" si="101">IF(PT4="","",IF(PT4&gt;3.7,"A",IF(PT4&gt;2.8,"B",IF(PT4&gt;1.5,"C",IF(PT4&gt;0,"D",IF(PT4=0,""))))))</f>
        <v>A</v>
      </c>
      <c r="PV4" s="176"/>
      <c r="PW4" s="113"/>
      <c r="PX4" s="114"/>
      <c r="PY4" s="181">
        <f>IF(COUNT(PY5:PY6)=0,"",SUM(PY5:PY6)/COUNT(PY5:PY6))</f>
        <v>4</v>
      </c>
      <c r="PZ4" s="205" t="str">
        <f t="shared" ref="PZ4:PZ20" si="102">IF(PY4="","",IF(PY4&gt;3.7,"A",IF(PY4&gt;2.8,"B",IF(PY4&gt;1.5,"C",IF(PY4&gt;0,"D",IF(PY4=0,""))))))</f>
        <v>A</v>
      </c>
      <c r="QA4" s="181">
        <f>IF(COUNT(QA5:QA6)=0,"",SUM(QA5:QA6)/COUNT(QA5:QA6))</f>
        <v>3.75</v>
      </c>
      <c r="QB4" s="206" t="str">
        <f t="shared" ref="QB4:QB20" si="103">IF(QA4="","",IF(QA4&gt;3.7,"A",IF(QA4&gt;2.8,"B",IF(QA4&gt;1.5,"C",IF(QA4&gt;0,"D",IF(QA4=0,""))))))</f>
        <v>A</v>
      </c>
      <c r="QC4" s="216"/>
      <c r="QD4" s="126"/>
      <c r="QE4" s="127"/>
      <c r="QF4" s="181" t="str">
        <f>IF(COUNT(QF5:QF6)=0,"",SUM(QF5:QF6)/COUNT(QF5:QF6))</f>
        <v/>
      </c>
      <c r="QG4" s="182" t="str">
        <f t="shared" ref="QG4:QG20" si="104">IF(QF4="","",IF(QF4&gt;3.7,"A",IF(QF4&gt;2.8,"B",IF(QF4&gt;1.5,"C",IF(QF4&gt;0,"D",IF(QF4=0,""))))))</f>
        <v/>
      </c>
      <c r="QH4" s="165"/>
      <c r="QI4" s="126"/>
      <c r="QJ4" s="127"/>
      <c r="QK4" s="181">
        <f>IF(COUNT(QK5:QK6)=0,"",SUM(QK5:QK6)/COUNT(QK5:QK6))</f>
        <v>4</v>
      </c>
      <c r="QL4" s="198" t="str">
        <f t="shared" ref="QL4:QL20" si="105">IF(QK4="","",IF(QK4&gt;3.7,"A",IF(QK4&gt;2.8,"B",IF(QK4&gt;1.5,"C",IF(QK4&gt;0,"D",IF(QK4=0,""))))))</f>
        <v>A</v>
      </c>
      <c r="QM4" s="176"/>
      <c r="QN4" s="113"/>
      <c r="QO4" s="114"/>
      <c r="QP4" s="181">
        <f>IF(COUNT(QP5:QP6)=0,"",SUM(QP5:QP6)/COUNT(QP5:QP6))</f>
        <v>4</v>
      </c>
      <c r="QQ4" s="205" t="str">
        <f t="shared" ref="QQ4:QQ20" si="106">IF(QP4="","",IF(QP4&gt;3.7,"A",IF(QP4&gt;2.8,"B",IF(QP4&gt;1.5,"C",IF(QP4&gt;0,"D",IF(QP4=0,""))))))</f>
        <v>A</v>
      </c>
      <c r="QR4" s="181">
        <f>IF(COUNT(QR5:QR6)=0,"",SUM(QR5:QR6)/COUNT(QR5:QR6))</f>
        <v>4</v>
      </c>
      <c r="QS4" s="206" t="str">
        <f t="shared" ref="QS4:QS20" si="107">IF(QR4="","",IF(QR4&gt;3.7,"A",IF(QR4&gt;2.8,"B",IF(QR4&gt;1.5,"C",IF(QR4&gt;0,"D",IF(QR4=0,""))))))</f>
        <v>A</v>
      </c>
      <c r="QT4" s="216"/>
      <c r="QU4" s="126"/>
      <c r="QV4" s="127"/>
      <c r="QW4" s="181" t="str">
        <f>IF(COUNT(QW5:QW6)=0,"",SUM(QW5:QW6)/COUNT(QW5:QW6))</f>
        <v/>
      </c>
      <c r="QX4" s="182" t="str">
        <f t="shared" ref="QX4:QX20" si="108">IF(QW4="","",IF(QW4&gt;3.7,"A",IF(QW4&gt;2.8,"B",IF(QW4&gt;1.5,"C",IF(QW4&gt;0,"D",IF(QW4=0,""))))))</f>
        <v/>
      </c>
      <c r="QY4" s="165"/>
      <c r="QZ4" s="126"/>
      <c r="RA4" s="127"/>
      <c r="RB4" s="181" t="str">
        <f>IF(COUNT(RB5:RB6)=0,"",SUM(RB5:RB6)/COUNT(RB5:RB6))</f>
        <v/>
      </c>
      <c r="RC4" s="198" t="str">
        <f t="shared" ref="RC4:RC20" si="109">IF(RB4="","",IF(RB4&gt;3.7,"A",IF(RB4&gt;2.8,"B",IF(RB4&gt;1.5,"C",IF(RB4&gt;0,"D",IF(RB4=0,""))))))</f>
        <v/>
      </c>
      <c r="RD4" s="176"/>
      <c r="RE4" s="113"/>
      <c r="RF4" s="114"/>
      <c r="RG4" s="181" t="str">
        <f>IF(COUNT(RG5:RG6)=0,"",SUM(RG5:RG6)/COUNT(RG5:RG6))</f>
        <v/>
      </c>
      <c r="RH4" s="205" t="str">
        <f t="shared" ref="RH4:RH20" si="110">IF(RG4="","",IF(RG4&gt;3.7,"A",IF(RG4&gt;2.8,"B",IF(RG4&gt;1.5,"C",IF(RG4&gt;0,"D",IF(RG4=0,""))))))</f>
        <v/>
      </c>
      <c r="RI4" s="181" t="str">
        <f>IF(COUNT(RI5:RI6)=0,"",SUM(RI5:RI6)/COUNT(RI5:RI6))</f>
        <v/>
      </c>
      <c r="RJ4" s="206" t="str">
        <f t="shared" ref="RJ4:RJ20" si="111">IF(RI4="","",IF(RI4&gt;3.7,"A",IF(RI4&gt;2.8,"B",IF(RI4&gt;1.5,"C",IF(RI4&gt;0,"D",IF(RI4=0,""))))))</f>
        <v/>
      </c>
      <c r="RK4" s="216"/>
      <c r="RL4" s="126"/>
      <c r="RM4" s="127"/>
      <c r="RN4" s="181" t="str">
        <f>IF(COUNT(RN5:RN6)=0,"",SUM(RN5:RN6)/COUNT(RN5:RN6))</f>
        <v/>
      </c>
      <c r="RO4" s="182" t="str">
        <f t="shared" ref="RO4:RO20" si="112">IF(RN4="","",IF(RN4&gt;3.7,"A",IF(RN4&gt;2.8,"B",IF(RN4&gt;1.5,"C",IF(RN4&gt;0,"D",IF(RN4=0,""))))))</f>
        <v/>
      </c>
      <c r="RP4" s="165"/>
      <c r="RQ4" s="126"/>
      <c r="RR4" s="127"/>
      <c r="RS4" s="181">
        <f>IF(COUNT(RS5:RS6)=0,"",SUM(RS5:RS6)/COUNT(RS5:RS6))</f>
        <v>4</v>
      </c>
      <c r="RT4" s="198" t="str">
        <f t="shared" ref="RT4:RT20" si="113">IF(RS4="","",IF(RS4&gt;3.7,"A",IF(RS4&gt;2.8,"B",IF(RS4&gt;1.5,"C",IF(RS4&gt;0,"D",IF(RS4=0,""))))))</f>
        <v>A</v>
      </c>
      <c r="RU4" s="176"/>
      <c r="RV4" s="113"/>
      <c r="RW4" s="114"/>
      <c r="RX4" s="181">
        <f>IF(COUNT(RX5:RX6)=0,"",SUM(RX5:RX6)/COUNT(RX5:RX6))</f>
        <v>4</v>
      </c>
      <c r="RY4" s="205" t="str">
        <f t="shared" ref="RY4:RY20" si="114">IF(RX4="","",IF(RX4&gt;3.7,"A",IF(RX4&gt;2.8,"B",IF(RX4&gt;1.5,"C",IF(RX4&gt;0,"D",IF(RX4=0,""))))))</f>
        <v>A</v>
      </c>
      <c r="RZ4" s="181">
        <f>IF(COUNT(RZ5:RZ6)=0,"",SUM(RZ5:RZ6)/COUNT(RZ5:RZ6))</f>
        <v>4</v>
      </c>
      <c r="SA4" s="206" t="str">
        <f t="shared" ref="SA4:SA20" si="115">IF(RZ4="","",IF(RZ4&gt;3.7,"A",IF(RZ4&gt;2.8,"B",IF(RZ4&gt;1.5,"C",IF(RZ4&gt;0,"D",IF(RZ4=0,""))))))</f>
        <v>A</v>
      </c>
      <c r="SB4" s="216"/>
      <c r="SC4" s="126"/>
      <c r="SD4" s="127"/>
      <c r="SE4" s="181" t="str">
        <f>IF(COUNT(SE5:SE6)=0,"",SUM(SE5:SE6)/COUNT(SE5:SE6))</f>
        <v/>
      </c>
      <c r="SF4" s="182" t="str">
        <f t="shared" ref="SF4:SF20" si="116">IF(SE4="","",IF(SE4&gt;3.7,"A",IF(SE4&gt;2.8,"B",IF(SE4&gt;1.5,"C",IF(SE4&gt;0,"D",IF(SE4=0,""))))))</f>
        <v/>
      </c>
      <c r="SG4" s="165"/>
      <c r="SH4" s="126"/>
      <c r="SI4" s="127"/>
      <c r="SJ4" s="181">
        <f>IF(COUNT(SJ5:SJ6)=0,"",SUM(SJ5:SJ6)/COUNT(SJ5:SJ6))</f>
        <v>3.75</v>
      </c>
      <c r="SK4" s="198" t="str">
        <f t="shared" ref="SK4:SK20" si="117">IF(SJ4="","",IF(SJ4&gt;3.7,"A",IF(SJ4&gt;2.8,"B",IF(SJ4&gt;1.5,"C",IF(SJ4&gt;0,"D",IF(SJ4=0,""))))))</f>
        <v>A</v>
      </c>
      <c r="SL4" s="176"/>
      <c r="SM4" s="113"/>
      <c r="SN4" s="114"/>
      <c r="SO4" s="181">
        <f>IF(COUNT(SO5:SO6)=0,"",SUM(SO5:SO6)/COUNT(SO5:SO6))</f>
        <v>4</v>
      </c>
      <c r="SP4" s="205" t="str">
        <f t="shared" ref="SP4:SP20" si="118">IF(SO4="","",IF(SO4&gt;3.7,"A",IF(SO4&gt;2.8,"B",IF(SO4&gt;1.5,"C",IF(SO4&gt;0,"D",IF(SO4=0,""))))))</f>
        <v>A</v>
      </c>
      <c r="SQ4" s="181">
        <f>IF(COUNT(SQ5:SQ6)=0,"",SUM(SQ5:SQ6)/COUNT(SQ5:SQ6))</f>
        <v>3.75</v>
      </c>
      <c r="SR4" s="206" t="str">
        <f t="shared" ref="SR4:SR20" si="119">IF(SQ4="","",IF(SQ4&gt;3.7,"A",IF(SQ4&gt;2.8,"B",IF(SQ4&gt;1.5,"C",IF(SQ4&gt;0,"D",IF(SQ4=0,""))))))</f>
        <v>A</v>
      </c>
      <c r="SS4" s="126"/>
      <c r="ST4" s="126"/>
      <c r="SU4" s="127"/>
      <c r="SV4" s="93" t="str">
        <f>IF(COUNT(SV5:SV6)=0,"",SUM(SV5:SV6)/COUNT(SV5:SV6))</f>
        <v/>
      </c>
      <c r="SW4" s="94" t="str">
        <f t="shared" ref="SW4:SW20" si="120">IF(SV4="","",IF(SV4&gt;3.7,"A",IF(SV4&gt;2.8,"B",IF(SV4&gt;1.5,"C",IF(SV4&gt;0,"D",IF(SV4=0,""))))))</f>
        <v/>
      </c>
      <c r="SX4" s="128"/>
      <c r="SY4" s="126"/>
      <c r="SZ4" s="127"/>
      <c r="TA4" s="93">
        <f>IF(COUNT(TA5:TA6)=0,"",SUM(TA5:TA6)/COUNT(TA5:TA6))</f>
        <v>3</v>
      </c>
      <c r="TB4" s="95" t="str">
        <f t="shared" ref="TB4:TB20" si="121">IF(TA4="","",IF(TA4&gt;3.7,"A",IF(TA4&gt;2.8,"B",IF(TA4&gt;1.5,"C",IF(TA4&gt;0,"D",IF(TA4=0,""))))))</f>
        <v>B</v>
      </c>
      <c r="TC4" s="115"/>
      <c r="TD4" s="113"/>
      <c r="TE4" s="114"/>
      <c r="TF4" s="93">
        <f>IF(COUNT(TF5:TF6)=0,"",SUM(TF5:TF6)/COUNT(TF5:TF6))</f>
        <v>4</v>
      </c>
      <c r="TG4" s="96" t="str">
        <f t="shared" ref="TG4:TG20" si="122">IF(TF4="","",IF(TF4&gt;3.7,"A",IF(TF4&gt;2.8,"B",IF(TF4&gt;1.5,"C",IF(TF4&gt;0,"D",IF(TF4=0,""))))))</f>
        <v>A</v>
      </c>
      <c r="TH4" s="93">
        <f>IF(COUNT(TH5:TH6)=0,"",SUM(TH5:TH6)/COUNT(TH5:TH6))</f>
        <v>3.5</v>
      </c>
      <c r="TI4" s="97" t="str">
        <f t="shared" ref="TI4:TI20" si="123">IF(TH4="","",IF(TH4&gt;3.7,"A",IF(TH4&gt;2.8,"B",IF(TH4&gt;1.5,"C",IF(TH4&gt;0,"D",IF(TH4=0,""))))))</f>
        <v>B</v>
      </c>
      <c r="TJ4" s="126"/>
      <c r="TK4" s="126"/>
      <c r="TL4" s="127"/>
      <c r="TM4" s="93" t="str">
        <f>IF(COUNT(TM5:TM6)=0,"",SUM(TM5:TM6)/COUNT(TM5:TM6))</f>
        <v/>
      </c>
      <c r="TN4" s="94" t="str">
        <f t="shared" ref="TN4:TN20" si="124">IF(TM4="","",IF(TM4&gt;3.7,"A",IF(TM4&gt;2.8,"B",IF(TM4&gt;1.5,"C",IF(TM4&gt;0,"D",IF(TM4=0,""))))))</f>
        <v/>
      </c>
      <c r="TO4" s="128"/>
      <c r="TP4" s="126"/>
      <c r="TQ4" s="127"/>
      <c r="TR4" s="93" t="str">
        <f>IF(COUNT(TR5:TR6)=0,"",SUM(TR5:TR6)/COUNT(TR5:TR6))</f>
        <v/>
      </c>
      <c r="TS4" s="95" t="str">
        <f t="shared" ref="TS4:TS20" si="125">IF(TR4="","",IF(TR4&gt;3.7,"A",IF(TR4&gt;2.8,"B",IF(TR4&gt;1.5,"C",IF(TR4&gt;0,"D",IF(TR4=0,""))))))</f>
        <v/>
      </c>
      <c r="TT4" s="115"/>
      <c r="TU4" s="113"/>
      <c r="TV4" s="114"/>
      <c r="TW4" s="93" t="str">
        <f>IF(COUNT(TW5:TW6)=0,"",SUM(TW5:TW6)/COUNT(TW5:TW6))</f>
        <v/>
      </c>
      <c r="TX4" s="96" t="str">
        <f t="shared" ref="TX4:TX20" si="126">IF(TW4="","",IF(TW4&gt;3.7,"A",IF(TW4&gt;2.8,"B",IF(TW4&gt;1.5,"C",IF(TW4&gt;0,"D",IF(TW4=0,""))))))</f>
        <v/>
      </c>
      <c r="TY4" s="93" t="str">
        <f>IF(COUNT(TY5:TY6)=0,"",SUM(TY5:TY6)/COUNT(TY5:TY6))</f>
        <v/>
      </c>
      <c r="TZ4" s="97" t="str">
        <f t="shared" ref="TZ4:TZ20" si="127">IF(TY4="","",IF(TY4&gt;3.7,"A",IF(TY4&gt;2.8,"B",IF(TY4&gt;1.5,"C",IF(TY4&gt;0,"D",IF(TY4=0,""))))))</f>
        <v/>
      </c>
    </row>
    <row r="5" spans="1:546" x14ac:dyDescent="0.25">
      <c r="A5" s="240" t="s">
        <v>12</v>
      </c>
      <c r="B5" s="241"/>
      <c r="C5" s="99"/>
      <c r="D5" s="100"/>
      <c r="E5" s="101"/>
      <c r="F5" s="183" t="str">
        <f>IFERROR((((COUNTIF('Elève (6ème2)'!C5:E5,"A"))*4)+((COUNTIF('Elève (6ème2)'!C5:E5,"B"))*3)+((COUNTIF('Elève (6ème2)'!C5:E5,"C"))*2)+((COUNTIF('Elève (6ème2)'!C5:E5,"D"))*1))/(COUNTA(C5:E5)),"")</f>
        <v/>
      </c>
      <c r="G5" s="184" t="str">
        <f t="shared" si="0"/>
        <v/>
      </c>
      <c r="H5" s="99"/>
      <c r="I5" s="100" t="s">
        <v>23</v>
      </c>
      <c r="J5" s="101" t="s">
        <v>25</v>
      </c>
      <c r="K5" s="183">
        <f>IFERROR((((COUNTIF('Elève (6ème2)'!H5:J5,"A"))*4)+((COUNTIF('Elève (6ème2)'!H5:J5,"B"))*3)+((COUNTIF('Elève (6ème2)'!H5:J5,"C"))*2)+((COUNTIF('Elève (6ème2)'!H5:J5,"D"))*1))/(COUNTA(H5:J5)),"")</f>
        <v>3</v>
      </c>
      <c r="L5" s="184" t="str">
        <f t="shared" si="1"/>
        <v>B</v>
      </c>
      <c r="M5" s="99"/>
      <c r="N5" s="100"/>
      <c r="O5" s="101"/>
      <c r="P5" s="183" t="str">
        <f>IFERROR((((COUNTIF('Elève (6ème2)'!M5:O5,"A"))*4)+((COUNTIF('Elève (6ème2)'!M5:O5,"B"))*3)+((COUNTIF('Elève (6ème2)'!M5:O5,"C"))*2)+((COUNTIF('Elève (6ème2)'!M5:O5,"D"))*1))/(COUNTA(M5:O5)),"")</f>
        <v/>
      </c>
      <c r="Q5" s="184" t="str">
        <f t="shared" si="2"/>
        <v/>
      </c>
      <c r="R5" s="183">
        <f>IF(COUNT(F5,K5,P5)=0,"",SUM(F5,K5,P5)/COUNT(F5,K5,P5))</f>
        <v>3</v>
      </c>
      <c r="S5" s="207" t="str">
        <f t="shared" si="3"/>
        <v>B</v>
      </c>
      <c r="T5" s="105"/>
      <c r="U5" s="100"/>
      <c r="V5" s="101"/>
      <c r="W5" s="183" t="str">
        <f>IFERROR((((COUNTIF('Elève (6ème2)'!T5:V5,"A"))*4)+((COUNTIF('Elève (6ème2)'!T5:V5,"B"))*3)+((COUNTIF('Elève (6ème2)'!T5:V5,"C"))*2)+((COUNTIF('Elève (6ème2)'!T5:V5,"D"))*1))/(COUNTA(T5:V5)),"")</f>
        <v/>
      </c>
      <c r="X5" s="184" t="str">
        <f t="shared" si="4"/>
        <v/>
      </c>
      <c r="Y5" s="99"/>
      <c r="Z5" s="100" t="s">
        <v>23</v>
      </c>
      <c r="AA5" s="101" t="s">
        <v>24</v>
      </c>
      <c r="AB5" s="183">
        <f>IFERROR((((COUNTIF('Elève (6ème2)'!Y5:AA5,"A"))*4)+((COUNTIF('Elève (6ème2)'!Y5:AA5,"B"))*3)+((COUNTIF('Elève (6ème2)'!Y5:AA5,"C"))*2)+((COUNTIF('Elève (6ème2)'!Y5:AA5,"D"))*1))/(COUNTA(Y5:AA5)),"")</f>
        <v>3.5</v>
      </c>
      <c r="AC5" s="184" t="str">
        <f t="shared" si="5"/>
        <v>B</v>
      </c>
      <c r="AD5" s="99"/>
      <c r="AE5" s="100"/>
      <c r="AF5" s="101"/>
      <c r="AG5" s="183" t="str">
        <f>IFERROR((((COUNTIF('Elève (6ème2)'!AD5:AF5,"A"))*4)+((COUNTIF('Elève (6ème2)'!AD5:AF5,"B"))*3)+((COUNTIF('Elève (6ème2)'!AD5:AF5,"C"))*2)+((COUNTIF('Elève (6ème2)'!AD5:AF5,"D"))*1))/(COUNTA(AD5:AF5)),"")</f>
        <v/>
      </c>
      <c r="AH5" s="184" t="str">
        <f t="shared" si="6"/>
        <v/>
      </c>
      <c r="AI5" s="183">
        <f>IF(COUNT(W5,AB5,AG5)=0,"",SUM(W5,AB5,AG5)/COUNT(W5,AB5,AG5))</f>
        <v>3.5</v>
      </c>
      <c r="AJ5" s="207" t="str">
        <f t="shared" si="7"/>
        <v>B</v>
      </c>
      <c r="AK5" s="105"/>
      <c r="AL5" s="100"/>
      <c r="AM5" s="101"/>
      <c r="AN5" s="183" t="str">
        <f>IFERROR((((COUNTIF('Elève (6ème2)'!AK5:AM5,"A"))*4)+((COUNTIF('Elève (6ème2)'!AK5:AM5,"B"))*3)+((COUNTIF('Elève (6ème2)'!AK5:AM5,"C"))*2)+((COUNTIF('Elève (6ème2)'!AK5:AM5,"D"))*1))/(COUNTA(AK5:AM5)),"")</f>
        <v/>
      </c>
      <c r="AO5" s="184" t="str">
        <f t="shared" si="8"/>
        <v/>
      </c>
      <c r="AP5" s="99"/>
      <c r="AQ5" s="100" t="s">
        <v>25</v>
      </c>
      <c r="AR5" s="101" t="s">
        <v>24</v>
      </c>
      <c r="AS5" s="183">
        <f>IFERROR((((COUNTIF('Elève (6ème2)'!AP5:AR5,"A"))*4)+((COUNTIF('Elève (6ème2)'!AP5:AR5,"B"))*3)+((COUNTIF('Elève (6ème2)'!AP5:AR5,"C"))*2)+((COUNTIF('Elève (6ème2)'!AP5:AR5,"D"))*1))/(COUNTA(AP5:AR5)),"")</f>
        <v>2.5</v>
      </c>
      <c r="AT5" s="184" t="str">
        <f t="shared" si="9"/>
        <v>C</v>
      </c>
      <c r="AU5" s="99"/>
      <c r="AV5" s="100"/>
      <c r="AW5" s="101"/>
      <c r="AX5" s="183" t="str">
        <f>IFERROR((((COUNTIF('Elève (6ème2)'!AU5:AW5,"A"))*4)+((COUNTIF('Elève (6ème2)'!AU5:AW5,"B"))*3)+((COUNTIF('Elève (6ème2)'!AU5:AW5,"C"))*2)+((COUNTIF('Elève (6ème2)'!AU5:AW5,"D"))*1))/(COUNTA(AU5:AW5)),"")</f>
        <v/>
      </c>
      <c r="AY5" s="184" t="str">
        <f t="shared" si="10"/>
        <v/>
      </c>
      <c r="AZ5" s="183">
        <f>IF(COUNT(AN5,AS5,AX5)=0,"",SUM(AN5,AS5,AX5)/COUNT(AN5,AS5,AX5))</f>
        <v>2.5</v>
      </c>
      <c r="BA5" s="207" t="str">
        <f t="shared" si="11"/>
        <v>C</v>
      </c>
      <c r="BB5" s="105"/>
      <c r="BC5" s="100"/>
      <c r="BD5" s="101"/>
      <c r="BE5" s="183" t="str">
        <f>IFERROR((((COUNTIF('Elève (6ème2)'!BB5:BD5,"A"))*4)+((COUNTIF('Elève (6ème2)'!BB5:BD5,"B"))*3)+((COUNTIF('Elève (6ème2)'!BB5:BD5,"C"))*2)+((COUNTIF('Elève (6ème2)'!BB5:BD5,"D"))*1))/(COUNTA(BB5:BD5)),"")</f>
        <v/>
      </c>
      <c r="BF5" s="184" t="str">
        <f t="shared" si="12"/>
        <v/>
      </c>
      <c r="BG5" s="99"/>
      <c r="BH5" s="100"/>
      <c r="BI5" s="101" t="s">
        <v>24</v>
      </c>
      <c r="BJ5" s="183">
        <f>IFERROR((((COUNTIF('Elève (6ème2)'!BG5:BI5,"A"))*4)+((COUNTIF('Elève (6ème2)'!BG5:BI5,"B"))*3)+((COUNTIF('Elève (6ème2)'!BG5:BI5,"C"))*2)+((COUNTIF('Elève (6ème2)'!BG5:BI5,"D"))*1))/(COUNTA(BG5:BI5)),"")</f>
        <v>3</v>
      </c>
      <c r="BK5" s="184" t="str">
        <f t="shared" si="13"/>
        <v>B</v>
      </c>
      <c r="BL5" s="99"/>
      <c r="BM5" s="100"/>
      <c r="BN5" s="101"/>
      <c r="BO5" s="183" t="str">
        <f>IFERROR((((COUNTIF('Elève (6ème2)'!BL5:BN5,"A"))*4)+((COUNTIF('Elève (6ème2)'!BL5:BN5,"B"))*3)+((COUNTIF('Elève (6ème2)'!BL5:BN5,"C"))*2)+((COUNTIF('Elève (6ème2)'!BL5:BN5,"D"))*1))/(COUNTA(BL5:BN5)),"")</f>
        <v/>
      </c>
      <c r="BP5" s="184" t="str">
        <f t="shared" si="14"/>
        <v/>
      </c>
      <c r="BQ5" s="183">
        <f>IF(COUNT(BE5,BJ5,BO5)=0,"",SUM(BE5,BJ5,BO5)/COUNT(BE5,BJ5,BO5))</f>
        <v>3</v>
      </c>
      <c r="BR5" s="207" t="str">
        <f t="shared" si="15"/>
        <v>B</v>
      </c>
      <c r="BS5" s="105"/>
      <c r="BT5" s="100"/>
      <c r="BU5" s="101"/>
      <c r="BV5" s="183" t="str">
        <f>IFERROR((((COUNTIF('Elève (6ème2)'!BS5:BU5,"A"))*4)+((COUNTIF('Elève (6ème2)'!BS5:BU5,"B"))*3)+((COUNTIF('Elève (6ème2)'!BS5:BU5,"C"))*2)+((COUNTIF('Elève (6ème2)'!BS5:BU5,"D"))*1))/(COUNTA(BS5:BU5)),"")</f>
        <v/>
      </c>
      <c r="BW5" s="184" t="str">
        <f t="shared" si="16"/>
        <v/>
      </c>
      <c r="BX5" s="99"/>
      <c r="BY5" s="100" t="s">
        <v>23</v>
      </c>
      <c r="BZ5" s="101" t="s">
        <v>24</v>
      </c>
      <c r="CA5" s="183">
        <f>IFERROR((((COUNTIF('Elève (6ème2)'!BX5:BZ5,"A"))*4)+((COUNTIF('Elève (6ème2)'!BX5:BZ5,"B"))*3)+((COUNTIF('Elève (6ème2)'!BX5:BZ5,"C"))*2)+((COUNTIF('Elève (6ème2)'!BX5:BZ5,"D"))*1))/(COUNTA(BX5:BZ5)),"")</f>
        <v>3.5</v>
      </c>
      <c r="CB5" s="184" t="str">
        <f t="shared" si="17"/>
        <v>B</v>
      </c>
      <c r="CC5" s="99"/>
      <c r="CD5" s="100"/>
      <c r="CE5" s="101"/>
      <c r="CF5" s="183" t="str">
        <f>IFERROR((((COUNTIF('Elève (6ème2)'!CC5:CE5,"A"))*4)+((COUNTIF('Elève (6ème2)'!CC5:CE5,"B"))*3)+((COUNTIF('Elève (6ème2)'!CC5:CE5,"C"))*2)+((COUNTIF('Elève (6ème2)'!CC5:CE5,"D"))*1))/(COUNTA(CC5:CE5)),"")</f>
        <v/>
      </c>
      <c r="CG5" s="184" t="str">
        <f t="shared" si="18"/>
        <v/>
      </c>
      <c r="CH5" s="183">
        <f>IF(COUNT(BV5,CA5,CF5)=0,"",SUM(BV5,CA5,CF5)/COUNT(BV5,CA5,CF5))</f>
        <v>3.5</v>
      </c>
      <c r="CI5" s="207" t="str">
        <f t="shared" si="19"/>
        <v>B</v>
      </c>
      <c r="CJ5" s="105"/>
      <c r="CK5" s="100"/>
      <c r="CL5" s="101"/>
      <c r="CM5" s="183" t="str">
        <f>IFERROR((((COUNTIF('Elève (6ème2)'!CJ5:CL5,"A"))*4)+((COUNTIF('Elève (6ème2)'!CJ5:CL5,"B"))*3)+((COUNTIF('Elève (6ème2)'!CJ5:CL5,"C"))*2)+((COUNTIF('Elève (6ème2)'!CJ5:CL5,"D"))*1))/(COUNTA(CJ5:CL5)),"")</f>
        <v/>
      </c>
      <c r="CN5" s="184" t="str">
        <f t="shared" si="20"/>
        <v/>
      </c>
      <c r="CO5" s="99"/>
      <c r="CP5" s="100" t="s">
        <v>25</v>
      </c>
      <c r="CQ5" s="101" t="s">
        <v>24</v>
      </c>
      <c r="CR5" s="183">
        <f>IFERROR((((COUNTIF('Elève (6ème2)'!CO5:CQ5,"A"))*4)+((COUNTIF('Elève (6ème2)'!CO5:CQ5,"B"))*3)+((COUNTIF('Elève (6ème2)'!CO5:CQ5,"C"))*2)+((COUNTIF('Elève (6ème2)'!CO5:CQ5,"D"))*1))/(COUNTA(CO5:CQ5)),"")</f>
        <v>2.5</v>
      </c>
      <c r="CS5" s="184" t="str">
        <f t="shared" si="21"/>
        <v>C</v>
      </c>
      <c r="CT5" s="99"/>
      <c r="CU5" s="100"/>
      <c r="CV5" s="101"/>
      <c r="CW5" s="183" t="str">
        <f>IFERROR((((COUNTIF('Elève (6ème2)'!CT5:CV5,"A"))*4)+((COUNTIF('Elève (6ème2)'!CT5:CV5,"B"))*3)+((COUNTIF('Elève (6ème2)'!CT5:CV5,"C"))*2)+((COUNTIF('Elève (6ème2)'!CT5:CV5,"D"))*1))/(COUNTA(CT5:CV5)),"")</f>
        <v/>
      </c>
      <c r="CX5" s="184" t="str">
        <f t="shared" si="22"/>
        <v/>
      </c>
      <c r="CY5" s="183">
        <f>IF(COUNT(CM5,CR5,CW5)=0,"",SUM(CM5,CR5,CW5)/COUNT(CM5,CR5,CW5))</f>
        <v>2.5</v>
      </c>
      <c r="CZ5" s="207" t="str">
        <f t="shared" si="23"/>
        <v>C</v>
      </c>
      <c r="DA5" s="105"/>
      <c r="DB5" s="100"/>
      <c r="DC5" s="101"/>
      <c r="DD5" s="183" t="str">
        <f>IFERROR((((COUNTIF('Elève (6ème2)'!DA5:DC5,"A"))*4)+((COUNTIF('Elève (6ème2)'!DA5:DC5,"B"))*3)+((COUNTIF('Elève (6ème2)'!DA5:DC5,"C"))*2)+((COUNTIF('Elève (6ème2)'!DA5:DC5,"D"))*1))/(COUNTA(DA5:DC5)),"")</f>
        <v/>
      </c>
      <c r="DE5" s="184" t="str">
        <f t="shared" si="24"/>
        <v/>
      </c>
      <c r="DF5" s="99"/>
      <c r="DG5" s="100" t="s">
        <v>23</v>
      </c>
      <c r="DH5" s="101" t="s">
        <v>25</v>
      </c>
      <c r="DI5" s="183">
        <f>IFERROR((((COUNTIF('Elève (6ème2)'!DF5:DH5,"A"))*4)+((COUNTIF('Elève (6ème2)'!DF5:DH5,"B"))*3)+((COUNTIF('Elève (6ème2)'!DF5:DH5,"C"))*2)+((COUNTIF('Elève (6ème2)'!DF5:DH5,"D"))*1))/(COUNTA(DF5:DH5)),"")</f>
        <v>3</v>
      </c>
      <c r="DJ5" s="184" t="str">
        <f t="shared" si="25"/>
        <v>B</v>
      </c>
      <c r="DK5" s="99"/>
      <c r="DL5" s="100"/>
      <c r="DM5" s="101"/>
      <c r="DN5" s="183" t="str">
        <f>IFERROR((((COUNTIF('Elève (6ème2)'!DK5:DM5,"A"))*4)+((COUNTIF('Elève (6ème2)'!DK5:DM5,"B"))*3)+((COUNTIF('Elève (6ème2)'!DK5:DM5,"C"))*2)+((COUNTIF('Elève (6ème2)'!DK5:DM5,"D"))*1))/(COUNTA(DK5:DM5)),"")</f>
        <v/>
      </c>
      <c r="DO5" s="184" t="str">
        <f t="shared" si="26"/>
        <v/>
      </c>
      <c r="DP5" s="183">
        <f>IF(COUNT(DD5,DI5,DN5)=0,"",SUM(DD5,DI5,DN5)/COUNT(DD5,DI5,DN5))</f>
        <v>3</v>
      </c>
      <c r="DQ5" s="207" t="str">
        <f t="shared" si="27"/>
        <v>B</v>
      </c>
      <c r="DR5" s="105"/>
      <c r="DS5" s="100"/>
      <c r="DT5" s="101"/>
      <c r="DU5" s="183" t="str">
        <f>IFERROR((((COUNTIF('Elève (6ème2)'!DR5:DT5,"A"))*4)+((COUNTIF('Elève (6ème2)'!DR5:DT5,"B"))*3)+((COUNTIF('Elève (6ème2)'!DR5:DT5,"C"))*2)+((COUNTIF('Elève (6ème2)'!DR5:DT5,"D"))*1))/(COUNTA(DR5:DT5)),"")</f>
        <v/>
      </c>
      <c r="DV5" s="184" t="str">
        <f t="shared" si="28"/>
        <v/>
      </c>
      <c r="DW5" s="99"/>
      <c r="DX5" s="100" t="s">
        <v>23</v>
      </c>
      <c r="DY5" s="101" t="s">
        <v>24</v>
      </c>
      <c r="DZ5" s="183">
        <f>IFERROR((((COUNTIF('Elève (6ème2)'!DW5:DY5,"A"))*4)+((COUNTIF('Elève (6ème2)'!DW5:DY5,"B"))*3)+((COUNTIF('Elève (6ème2)'!DW5:DY5,"C"))*2)+((COUNTIF('Elève (6ème2)'!DW5:DY5,"D"))*1))/(COUNTA(DW5:DY5)),"")</f>
        <v>3.5</v>
      </c>
      <c r="EA5" s="184" t="str">
        <f t="shared" si="29"/>
        <v>B</v>
      </c>
      <c r="EB5" s="99"/>
      <c r="EC5" s="100"/>
      <c r="ED5" s="101"/>
      <c r="EE5" s="183" t="str">
        <f>IFERROR((((COUNTIF('Elève (6ème2)'!EB5:ED5,"A"))*4)+((COUNTIF('Elève (6ème2)'!EB5:ED5,"B"))*3)+((COUNTIF('Elève (6ème2)'!EB5:ED5,"C"))*2)+((COUNTIF('Elève (6ème2)'!EB5:ED5,"D"))*1))/(COUNTA(EB5:ED5)),"")</f>
        <v/>
      </c>
      <c r="EF5" s="184" t="str">
        <f t="shared" si="30"/>
        <v/>
      </c>
      <c r="EG5" s="183">
        <f>IF(COUNT(DU5,DZ5,EE5)=0,"",SUM(DU5,DZ5,EE5)/COUNT(DU5,DZ5,EE5))</f>
        <v>3.5</v>
      </c>
      <c r="EH5" s="207" t="str">
        <f t="shared" si="31"/>
        <v>B</v>
      </c>
      <c r="EI5" s="105"/>
      <c r="EJ5" s="100"/>
      <c r="EK5" s="101"/>
      <c r="EL5" s="183" t="str">
        <f>IFERROR((((COUNTIF('Elève (6ème2)'!EI5:EK5,"A"))*4)+((COUNTIF('Elève (6ème2)'!EI5:EK5,"B"))*3)+((COUNTIF('Elève (6ème2)'!EI5:EK5,"C"))*2)+((COUNTIF('Elève (6ème2)'!EI5:EK5,"D"))*1))/(COUNTA(EI5:EK5)),"")</f>
        <v/>
      </c>
      <c r="EM5" s="184" t="str">
        <f t="shared" si="32"/>
        <v/>
      </c>
      <c r="EN5" s="99"/>
      <c r="EO5" s="100" t="s">
        <v>23</v>
      </c>
      <c r="EP5" s="101" t="s">
        <v>25</v>
      </c>
      <c r="EQ5" s="183">
        <f>IFERROR((((COUNTIF('Elève (6ème2)'!EN5:EP5,"A"))*4)+((COUNTIF('Elève (6ème2)'!EN5:EP5,"B"))*3)+((COUNTIF('Elève (6ème2)'!EN5:EP5,"C"))*2)+((COUNTIF('Elève (6ème2)'!EN5:EP5,"D"))*1))/(COUNTA(EN5:EP5)),"")</f>
        <v>3</v>
      </c>
      <c r="ER5" s="184" t="str">
        <f t="shared" si="33"/>
        <v>B</v>
      </c>
      <c r="ES5" s="99"/>
      <c r="ET5" s="100"/>
      <c r="EU5" s="101"/>
      <c r="EV5" s="183" t="str">
        <f>IFERROR((((COUNTIF('Elève (6ème2)'!ES5:EU5,"A"))*4)+((COUNTIF('Elève (6ème2)'!ES5:EU5,"B"))*3)+((COUNTIF('Elève (6ème2)'!ES5:EU5,"C"))*2)+((COUNTIF('Elève (6ème2)'!ES5:EU5,"D"))*1))/(COUNTA(ES5:EU5)),"")</f>
        <v/>
      </c>
      <c r="EW5" s="184" t="str">
        <f t="shared" si="34"/>
        <v/>
      </c>
      <c r="EX5" s="183">
        <f>IF(COUNT(EL5,EQ5,EV5)=0,"",SUM(EL5,EQ5,EV5)/COUNT(EL5,EQ5,EV5))</f>
        <v>3</v>
      </c>
      <c r="EY5" s="207" t="str">
        <f t="shared" si="35"/>
        <v>B</v>
      </c>
      <c r="EZ5" s="105"/>
      <c r="FA5" s="100"/>
      <c r="FB5" s="101"/>
      <c r="FC5" s="183" t="str">
        <f>IFERROR((((COUNTIF('Elève (6ème2)'!EZ5:FB5,"A"))*4)+((COUNTIF('Elève (6ème2)'!EZ5:FB5,"B"))*3)+((COUNTIF('Elève (6ème2)'!EZ5:FB5,"C"))*2)+((COUNTIF('Elève (6ème2)'!EZ5:FB5,"D"))*1))/(COUNTA(EZ5:FB5)),"")</f>
        <v/>
      </c>
      <c r="FD5" s="184" t="str">
        <f t="shared" si="36"/>
        <v/>
      </c>
      <c r="FE5" s="99"/>
      <c r="FF5" s="100" t="s">
        <v>23</v>
      </c>
      <c r="FG5" s="101" t="s">
        <v>25</v>
      </c>
      <c r="FH5" s="183">
        <f>IFERROR((((COUNTIF('Elève (6ème2)'!FE5:FG5,"A"))*4)+((COUNTIF('Elève (6ème2)'!FE5:FG5,"B"))*3)+((COUNTIF('Elève (6ème2)'!FE5:FG5,"C"))*2)+((COUNTIF('Elève (6ème2)'!FE5:FG5,"D"))*1))/(COUNTA(FE5:FG5)),"")</f>
        <v>3</v>
      </c>
      <c r="FI5" s="184" t="str">
        <f t="shared" si="37"/>
        <v>B</v>
      </c>
      <c r="FJ5" s="99"/>
      <c r="FK5" s="100"/>
      <c r="FL5" s="101"/>
      <c r="FM5" s="183" t="str">
        <f>IFERROR((((COUNTIF('Elève (6ème2)'!FJ5:FL5,"A"))*4)+((COUNTIF('Elève (6ème2)'!FJ5:FL5,"B"))*3)+((COUNTIF('Elève (6ème2)'!FJ5:FL5,"C"))*2)+((COUNTIF('Elève (6ème2)'!FJ5:FL5,"D"))*1))/(COUNTA(FJ5:FL5)),"")</f>
        <v/>
      </c>
      <c r="FN5" s="184" t="str">
        <f t="shared" si="38"/>
        <v/>
      </c>
      <c r="FO5" s="183">
        <f>IF(COUNT(FC5,FH5,FM5)=0,"",SUM(FC5,FH5,FM5)/COUNT(FC5,FH5,FM5))</f>
        <v>3</v>
      </c>
      <c r="FP5" s="207" t="str">
        <f t="shared" si="39"/>
        <v>B</v>
      </c>
      <c r="FQ5" s="105"/>
      <c r="FR5" s="100"/>
      <c r="FS5" s="101"/>
      <c r="FT5" s="183" t="str">
        <f>IFERROR((((COUNTIF('Elève (6ème2)'!FQ5:FS5,"A"))*4)+((COUNTIF('Elève (6ème2)'!FQ5:FS5,"B"))*3)+((COUNTIF('Elève (6ème2)'!FQ5:FS5,"C"))*2)+((COUNTIF('Elève (6ème2)'!FQ5:FS5,"D"))*1))/(COUNTA(FQ5:FS5)),"")</f>
        <v/>
      </c>
      <c r="FU5" s="184" t="str">
        <f t="shared" si="40"/>
        <v/>
      </c>
      <c r="FV5" s="99"/>
      <c r="FW5" s="100" t="s">
        <v>23</v>
      </c>
      <c r="FX5" s="101" t="s">
        <v>25</v>
      </c>
      <c r="FY5" s="183">
        <f>IFERROR((((COUNTIF('Elève (6ème2)'!FV5:FX5,"A"))*4)+((COUNTIF('Elève (6ème2)'!FV5:FX5,"B"))*3)+((COUNTIF('Elève (6ème2)'!FV5:FX5,"C"))*2)+((COUNTIF('Elève (6ème2)'!FV5:FX5,"D"))*1))/(COUNTA(FV5:FX5)),"")</f>
        <v>3</v>
      </c>
      <c r="FZ5" s="184" t="str">
        <f t="shared" si="41"/>
        <v>B</v>
      </c>
      <c r="GA5" s="99"/>
      <c r="GB5" s="100"/>
      <c r="GC5" s="101"/>
      <c r="GD5" s="183" t="str">
        <f>IFERROR((((COUNTIF('Elève (6ème2)'!GA5:GC5,"A"))*4)+((COUNTIF('Elève (6ème2)'!GA5:GC5,"B"))*3)+((COUNTIF('Elève (6ème2)'!GA5:GC5,"C"))*2)+((COUNTIF('Elève (6ème2)'!GA5:GC5,"D"))*1))/(COUNTA(GA5:GC5)),"")</f>
        <v/>
      </c>
      <c r="GE5" s="184" t="str">
        <f t="shared" si="42"/>
        <v/>
      </c>
      <c r="GF5" s="183">
        <f>IF(COUNT(FT5,FY5,GD5)=0,"",SUM(FT5,FY5,GD5)/COUNT(FT5,FY5,GD5))</f>
        <v>3</v>
      </c>
      <c r="GG5" s="207" t="str">
        <f t="shared" si="43"/>
        <v>B</v>
      </c>
      <c r="GH5" s="105"/>
      <c r="GI5" s="100"/>
      <c r="GJ5" s="101"/>
      <c r="GK5" s="183" t="str">
        <f>IFERROR((((COUNTIF('Elève (6ème2)'!GH5:GJ5,"A"))*4)+((COUNTIF('Elève (6ème2)'!GH5:GJ5,"B"))*3)+((COUNTIF('Elève (6ème2)'!GH5:GJ5,"C"))*2)+((COUNTIF('Elève (6ème2)'!GH5:GJ5,"D"))*1))/(COUNTA(GH5:GJ5)),"")</f>
        <v/>
      </c>
      <c r="GL5" s="184" t="str">
        <f t="shared" si="44"/>
        <v/>
      </c>
      <c r="GM5" s="99"/>
      <c r="GN5" s="100" t="s">
        <v>23</v>
      </c>
      <c r="GO5" s="101" t="s">
        <v>25</v>
      </c>
      <c r="GP5" s="183">
        <f>IFERROR((((COUNTIF('Elève (6ème2)'!GM5:GO5,"A"))*4)+((COUNTIF('Elève (6ème2)'!GM5:GO5,"B"))*3)+((COUNTIF('Elève (6ème2)'!GM5:GO5,"C"))*2)+((COUNTIF('Elève (6ème2)'!GM5:GO5,"D"))*1))/(COUNTA(GM5:GO5)),"")</f>
        <v>3</v>
      </c>
      <c r="GQ5" s="184" t="str">
        <f t="shared" si="45"/>
        <v>B</v>
      </c>
      <c r="GR5" s="99"/>
      <c r="GS5" s="100"/>
      <c r="GT5" s="101"/>
      <c r="GU5" s="183" t="str">
        <f>IFERROR((((COUNTIF('Elève (6ème2)'!GR5:GT5,"A"))*4)+((COUNTIF('Elève (6ème2)'!GR5:GT5,"B"))*3)+((COUNTIF('Elève (6ème2)'!GR5:GT5,"C"))*2)+((COUNTIF('Elève (6ème2)'!GR5:GT5,"D"))*1))/(COUNTA(GR5:GT5)),"")</f>
        <v/>
      </c>
      <c r="GV5" s="184" t="str">
        <f t="shared" si="46"/>
        <v/>
      </c>
      <c r="GW5" s="183">
        <f>IF(COUNT(GK5,GP5,GU5)=0,"",SUM(GK5,GP5,GU5)/COUNT(GK5,GP5,GU5))</f>
        <v>3</v>
      </c>
      <c r="GX5" s="207" t="str">
        <f t="shared" si="47"/>
        <v>B</v>
      </c>
      <c r="GY5" s="105"/>
      <c r="GZ5" s="100"/>
      <c r="HA5" s="101"/>
      <c r="HB5" s="183" t="str">
        <f>IFERROR((((COUNTIF('Elève (6ème2)'!GY5:HA5,"A"))*4)+((COUNTIF('Elève (6ème2)'!GY5:HA5,"B"))*3)+((COUNTIF('Elève (6ème2)'!GY5:HA5,"C"))*2)+((COUNTIF('Elève (6ème2)'!GY5:HA5,"D"))*1))/(COUNTA(GY5:HA5)),"")</f>
        <v/>
      </c>
      <c r="HC5" s="184" t="str">
        <f t="shared" si="48"/>
        <v/>
      </c>
      <c r="HD5" s="99"/>
      <c r="HE5" s="100" t="s">
        <v>23</v>
      </c>
      <c r="HF5" s="101" t="s">
        <v>24</v>
      </c>
      <c r="HG5" s="183">
        <f>IFERROR((((COUNTIF('Elève (6ème2)'!HD5:HF5,"A"))*4)+((COUNTIF('Elève (6ème2)'!HD5:HF5,"B"))*3)+((COUNTIF('Elève (6ème2)'!HD5:HF5,"C"))*2)+((COUNTIF('Elève (6ème2)'!HD5:HF5,"D"))*1))/(COUNTA(HD5:HF5)),"")</f>
        <v>3.5</v>
      </c>
      <c r="HH5" s="184" t="str">
        <f t="shared" si="49"/>
        <v>B</v>
      </c>
      <c r="HI5" s="99"/>
      <c r="HJ5" s="100"/>
      <c r="HK5" s="101"/>
      <c r="HL5" s="183" t="str">
        <f>IFERROR((((COUNTIF('Elève (6ème2)'!HI5:HK5,"A"))*4)+((COUNTIF('Elève (6ème2)'!HI5:HK5,"B"))*3)+((COUNTIF('Elève (6ème2)'!HI5:HK5,"C"))*2)+((COUNTIF('Elève (6ème2)'!HI5:HK5,"D"))*1))/(COUNTA(HI5:HK5)),"")</f>
        <v/>
      </c>
      <c r="HM5" s="184" t="str">
        <f t="shared" si="50"/>
        <v/>
      </c>
      <c r="HN5" s="183">
        <f>IF(COUNT(HB5,HG5,HL5)=0,"",SUM(HB5,HG5,HL5)/COUNT(HB5,HG5,HL5))</f>
        <v>3.5</v>
      </c>
      <c r="HO5" s="207" t="str">
        <f t="shared" si="51"/>
        <v>B</v>
      </c>
      <c r="HP5" s="105"/>
      <c r="HQ5" s="100"/>
      <c r="HR5" s="101"/>
      <c r="HS5" s="183" t="str">
        <f>IFERROR((((COUNTIF('Elève (6ème2)'!HP5:HR5,"A"))*4)+((COUNTIF('Elève (6ème2)'!HP5:HR5,"B"))*3)+((COUNTIF('Elève (6ème2)'!HP5:HR5,"C"))*2)+((COUNTIF('Elève (6ème2)'!HP5:HR5,"D"))*1))/(COUNTA(HP5:HR5)),"")</f>
        <v/>
      </c>
      <c r="HT5" s="184" t="str">
        <f t="shared" si="52"/>
        <v/>
      </c>
      <c r="HU5" s="99"/>
      <c r="HV5" s="100" t="s">
        <v>23</v>
      </c>
      <c r="HW5" s="101" t="s">
        <v>23</v>
      </c>
      <c r="HX5" s="183">
        <f>IFERROR((((COUNTIF('Elève (6ème2)'!HU5:HW5,"A"))*4)+((COUNTIF('Elève (6ème2)'!HU5:HW5,"B"))*3)+((COUNTIF('Elève (6ème2)'!HU5:HW5,"C"))*2)+((COUNTIF('Elève (6ème2)'!HU5:HW5,"D"))*1))/(COUNTA(HU5:HW5)),"")</f>
        <v>4</v>
      </c>
      <c r="HY5" s="184" t="str">
        <f t="shared" si="53"/>
        <v>A</v>
      </c>
      <c r="HZ5" s="99"/>
      <c r="IA5" s="100"/>
      <c r="IB5" s="101"/>
      <c r="IC5" s="183" t="str">
        <f>IFERROR((((COUNTIF('Elève (6ème2)'!HZ5:IB5,"A"))*4)+((COUNTIF('Elève (6ème2)'!HZ5:IB5,"B"))*3)+((COUNTIF('Elève (6ème2)'!HZ5:IB5,"C"))*2)+((COUNTIF('Elève (6ème2)'!HZ5:IB5,"D"))*1))/(COUNTA(HZ5:IB5)),"")</f>
        <v/>
      </c>
      <c r="ID5" s="184" t="str">
        <f t="shared" si="54"/>
        <v/>
      </c>
      <c r="IE5" s="183">
        <f>IF(COUNT(HS5,HX5,IC5)=0,"",SUM(HS5,HX5,IC5)/COUNT(HS5,HX5,IC5))</f>
        <v>4</v>
      </c>
      <c r="IF5" s="207" t="str">
        <f t="shared" si="55"/>
        <v>A</v>
      </c>
      <c r="IG5" s="105"/>
      <c r="IH5" s="100"/>
      <c r="II5" s="101"/>
      <c r="IJ5" s="183" t="str">
        <f>IFERROR((((COUNTIF('Elève (6ème2)'!IG5:II5,"A"))*4)+((COUNTIF('Elève (6ème2)'!IG5:II5,"B"))*3)+((COUNTIF('Elève (6ème2)'!IG5:II5,"C"))*2)+((COUNTIF('Elève (6ème2)'!IG5:II5,"D"))*1))/(COUNTA(IG5:II5)),"")</f>
        <v/>
      </c>
      <c r="IK5" s="184" t="str">
        <f t="shared" si="56"/>
        <v/>
      </c>
      <c r="IL5" s="99"/>
      <c r="IM5" s="100" t="s">
        <v>23</v>
      </c>
      <c r="IN5" s="101" t="s">
        <v>24</v>
      </c>
      <c r="IO5" s="183">
        <f>IFERROR((((COUNTIF('Elève (6ème2)'!IL5:IN5,"A"))*4)+((COUNTIF('Elève (6ème2)'!IL5:IN5,"B"))*3)+((COUNTIF('Elève (6ème2)'!IL5:IN5,"C"))*2)+((COUNTIF('Elève (6ème2)'!IL5:IN5,"D"))*1))/(COUNTA(IL5:IN5)),"")</f>
        <v>3.5</v>
      </c>
      <c r="IP5" s="184" t="str">
        <f t="shared" si="57"/>
        <v>B</v>
      </c>
      <c r="IQ5" s="99"/>
      <c r="IR5" s="100"/>
      <c r="IS5" s="101"/>
      <c r="IT5" s="183" t="str">
        <f>IFERROR((((COUNTIF('Elève (6ème2)'!IQ5:IS5,"A"))*4)+((COUNTIF('Elève (6ème2)'!IQ5:IS5,"B"))*3)+((COUNTIF('Elève (6ème2)'!IQ5:IS5,"C"))*2)+((COUNTIF('Elève (6ème2)'!IQ5:IS5,"D"))*1))/(COUNTA(IQ5:IS5)),"")</f>
        <v/>
      </c>
      <c r="IU5" s="184" t="str">
        <f t="shared" si="58"/>
        <v/>
      </c>
      <c r="IV5" s="183">
        <f>IF(COUNT(IJ5,IO5,IT5)=0,"",SUM(IJ5,IO5,IT5)/COUNT(IJ5,IO5,IT5))</f>
        <v>3.5</v>
      </c>
      <c r="IW5" s="207" t="str">
        <f t="shared" si="59"/>
        <v>B</v>
      </c>
      <c r="IX5" s="105"/>
      <c r="IY5" s="100"/>
      <c r="IZ5" s="101"/>
      <c r="JA5" s="183" t="str">
        <f>IFERROR((((COUNTIF('Elève (6ème2)'!IX5:IZ5,"A"))*4)+((COUNTIF('Elève (6ème2)'!IX5:IZ5,"B"))*3)+((COUNTIF('Elève (6ème2)'!IX5:IZ5,"C"))*2)+((COUNTIF('Elève (6ème2)'!IX5:IZ5,"D"))*1))/(COUNTA(IX5:IZ5)),"")</f>
        <v/>
      </c>
      <c r="JB5" s="184" t="str">
        <f t="shared" si="60"/>
        <v/>
      </c>
      <c r="JC5" s="99"/>
      <c r="JD5" s="100" t="s">
        <v>24</v>
      </c>
      <c r="JE5" s="101" t="s">
        <v>24</v>
      </c>
      <c r="JF5" s="183">
        <f>IFERROR((((COUNTIF('Elève (6ème2)'!JC5:JE5,"A"))*4)+((COUNTIF('Elève (6ème2)'!JC5:JE5,"B"))*3)+((COUNTIF('Elève (6ème2)'!JC5:JE5,"C"))*2)+((COUNTIF('Elève (6ème2)'!JC5:JE5,"D"))*1))/(COUNTA(JC5:JE5)),"")</f>
        <v>3</v>
      </c>
      <c r="JG5" s="184" t="str">
        <f t="shared" si="61"/>
        <v>B</v>
      </c>
      <c r="JH5" s="99"/>
      <c r="JI5" s="100"/>
      <c r="JJ5" s="101"/>
      <c r="JK5" s="183" t="str">
        <f>IFERROR((((COUNTIF('Elève (6ème2)'!JH5:JJ5,"A"))*4)+((COUNTIF('Elève (6ème2)'!JH5:JJ5,"B"))*3)+((COUNTIF('Elève (6ème2)'!JH5:JJ5,"C"))*2)+((COUNTIF('Elève (6ème2)'!JH5:JJ5,"D"))*1))/(COUNTA(JH5:JJ5)),"")</f>
        <v/>
      </c>
      <c r="JL5" s="184" t="str">
        <f t="shared" si="62"/>
        <v/>
      </c>
      <c r="JM5" s="183">
        <f>IF(COUNT(JA5,JF5,JK5)=0,"",SUM(JA5,JF5,JK5)/COUNT(JA5,JF5,JK5))</f>
        <v>3</v>
      </c>
      <c r="JN5" s="207" t="str">
        <f t="shared" si="63"/>
        <v>B</v>
      </c>
      <c r="JO5" s="105"/>
      <c r="JP5" s="100"/>
      <c r="JQ5" s="101"/>
      <c r="JR5" s="183" t="str">
        <f>IFERROR((((COUNTIF('Elève (6ème2)'!JO5:JQ5,"A"))*4)+((COUNTIF('Elève (6ème2)'!JO5:JQ5,"B"))*3)+((COUNTIF('Elève (6ème2)'!JO5:JQ5,"C"))*2)+((COUNTIF('Elève (6ème2)'!JO5:JQ5,"D"))*1))/(COUNTA(JO5:JQ5)),"")</f>
        <v/>
      </c>
      <c r="JS5" s="184" t="str">
        <f t="shared" si="64"/>
        <v/>
      </c>
      <c r="JT5" s="99"/>
      <c r="JU5" s="100" t="s">
        <v>26</v>
      </c>
      <c r="JV5" s="101" t="s">
        <v>24</v>
      </c>
      <c r="JW5" s="183">
        <f>IFERROR((((COUNTIF('Elève (6ème2)'!JT5:JV5,"A"))*4)+((COUNTIF('Elève (6ème2)'!JT5:JV5,"B"))*3)+((COUNTIF('Elève (6ème2)'!JT5:JV5,"C"))*2)+((COUNTIF('Elève (6ème2)'!JT5:JV5,"D"))*1))/(COUNTA(JT5:JV5)),"")</f>
        <v>2</v>
      </c>
      <c r="JX5" s="184" t="str">
        <f t="shared" si="65"/>
        <v>C</v>
      </c>
      <c r="JY5" s="99"/>
      <c r="JZ5" s="100"/>
      <c r="KA5" s="101"/>
      <c r="KB5" s="183" t="str">
        <f>IFERROR((((COUNTIF('Elève (6ème2)'!JY5:KA5,"A"))*4)+((COUNTIF('Elève (6ème2)'!JY5:KA5,"B"))*3)+((COUNTIF('Elève (6ème2)'!JY5:KA5,"C"))*2)+((COUNTIF('Elève (6ème2)'!JY5:KA5,"D"))*1))/(COUNTA(JY5:KA5)),"")</f>
        <v/>
      </c>
      <c r="KC5" s="184" t="str">
        <f t="shared" si="66"/>
        <v/>
      </c>
      <c r="KD5" s="183">
        <f>IF(COUNT(JR5,JW5,KB5)=0,"",SUM(JR5,JW5,KB5)/COUNT(JR5,JW5,KB5))</f>
        <v>2</v>
      </c>
      <c r="KE5" s="207" t="str">
        <f t="shared" si="67"/>
        <v>C</v>
      </c>
      <c r="KF5" s="105"/>
      <c r="KG5" s="100"/>
      <c r="KH5" s="101"/>
      <c r="KI5" s="183" t="str">
        <f>IFERROR((((COUNTIF('Elève (6ème2)'!KF5:KH5,"A"))*4)+((COUNTIF('Elève (6ème2)'!KF5:KH5,"B"))*3)+((COUNTIF('Elève (6ème2)'!KF5:KH5,"C"))*2)+((COUNTIF('Elève (6ème2)'!KF5:KH5,"D"))*1))/(COUNTA(KF5:KH5)),"")</f>
        <v/>
      </c>
      <c r="KJ5" s="184" t="str">
        <f t="shared" si="68"/>
        <v/>
      </c>
      <c r="KK5" s="99"/>
      <c r="KL5" s="100" t="s">
        <v>23</v>
      </c>
      <c r="KM5" s="101" t="s">
        <v>25</v>
      </c>
      <c r="KN5" s="183">
        <f>IFERROR((((COUNTIF('Elève (6ème2)'!KK5:KM5,"A"))*4)+((COUNTIF('Elève (6ème2)'!KK5:KM5,"B"))*3)+((COUNTIF('Elève (6ème2)'!KK5:KM5,"C"))*2)+((COUNTIF('Elève (6ème2)'!KK5:KM5,"D"))*1))/(COUNTA(KK5:KM5)),"")</f>
        <v>3</v>
      </c>
      <c r="KO5" s="184" t="str">
        <f t="shared" si="69"/>
        <v>B</v>
      </c>
      <c r="KP5" s="99"/>
      <c r="KQ5" s="100"/>
      <c r="KR5" s="101"/>
      <c r="KS5" s="183" t="str">
        <f>IFERROR((((COUNTIF('Elève (6ème2)'!KP5:KR5,"A"))*4)+((COUNTIF('Elève (6ème2)'!KP5:KR5,"B"))*3)+((COUNTIF('Elève (6ème2)'!KP5:KR5,"C"))*2)+((COUNTIF('Elève (6ème2)'!KP5:KR5,"D"))*1))/(COUNTA(KP5:KR5)),"")</f>
        <v/>
      </c>
      <c r="KT5" s="184" t="str">
        <f t="shared" si="70"/>
        <v/>
      </c>
      <c r="KU5" s="183">
        <f>IF(COUNT(KI5,KN5,KS5)=0,"",SUM(KI5,KN5,KS5)/COUNT(KI5,KN5,KS5))</f>
        <v>3</v>
      </c>
      <c r="KV5" s="207" t="str">
        <f t="shared" si="71"/>
        <v>B</v>
      </c>
      <c r="KW5" s="105"/>
      <c r="KX5" s="100"/>
      <c r="KY5" s="101"/>
      <c r="KZ5" s="183" t="str">
        <f>IFERROR((((COUNTIF('Elève (6ème2)'!KW5:KY5,"A"))*4)+((COUNTIF('Elève (6ème2)'!KW5:KY5,"B"))*3)+((COUNTIF('Elève (6ème2)'!KW5:KY5,"C"))*2)+((COUNTIF('Elève (6ème2)'!KW5:KY5,"D"))*1))/(COUNTA(KW5:KY5)),"")</f>
        <v/>
      </c>
      <c r="LA5" s="184" t="str">
        <f t="shared" si="72"/>
        <v/>
      </c>
      <c r="LB5" s="99"/>
      <c r="LC5" s="100" t="s">
        <v>24</v>
      </c>
      <c r="LD5" s="101" t="s">
        <v>25</v>
      </c>
      <c r="LE5" s="183">
        <f>IFERROR((((COUNTIF('Elève (6ème2)'!LB5:LD5,"A"))*4)+((COUNTIF('Elève (6ème2)'!LB5:LD5,"B"))*3)+((COUNTIF('Elève (6ème2)'!LB5:LD5,"C"))*2)+((COUNTIF('Elève (6ème2)'!LB5:LD5,"D"))*1))/(COUNTA(LB5:LD5)),"")</f>
        <v>2.5</v>
      </c>
      <c r="LF5" s="184" t="str">
        <f t="shared" si="73"/>
        <v>C</v>
      </c>
      <c r="LG5" s="99"/>
      <c r="LH5" s="100"/>
      <c r="LI5" s="101"/>
      <c r="LJ5" s="183" t="str">
        <f>IFERROR((((COUNTIF('Elève (6ème2)'!LG5:LI5,"A"))*4)+((COUNTIF('Elève (6ème2)'!LG5:LI5,"B"))*3)+((COUNTIF('Elève (6ème2)'!LG5:LI5,"C"))*2)+((COUNTIF('Elève (6ème2)'!LG5:LI5,"D"))*1))/(COUNTA(LG5:LI5)),"")</f>
        <v/>
      </c>
      <c r="LK5" s="184" t="str">
        <f t="shared" si="74"/>
        <v/>
      </c>
      <c r="LL5" s="183">
        <f>IF(COUNT(KZ5,LE5,LJ5)=0,"",SUM(KZ5,LE5,LJ5)/COUNT(KZ5,LE5,LJ5))</f>
        <v>2.5</v>
      </c>
      <c r="LM5" s="207" t="str">
        <f t="shared" si="75"/>
        <v>C</v>
      </c>
      <c r="LN5" s="105"/>
      <c r="LO5" s="100"/>
      <c r="LP5" s="101"/>
      <c r="LQ5" s="183" t="str">
        <f>IFERROR((((COUNTIF('Elève (6ème2)'!LN5:LP5,"A"))*4)+((COUNTIF('Elève (6ème2)'!LN5:LP5,"B"))*3)+((COUNTIF('Elève (6ème2)'!LN5:LP5,"C"))*2)+((COUNTIF('Elève (6ème2)'!LN5:LP5,"D"))*1))/(COUNTA(LN5:LP5)),"")</f>
        <v/>
      </c>
      <c r="LR5" s="184" t="str">
        <f t="shared" si="76"/>
        <v/>
      </c>
      <c r="LS5" s="99"/>
      <c r="LT5" s="100" t="s">
        <v>23</v>
      </c>
      <c r="LU5" s="101"/>
      <c r="LV5" s="183">
        <f>IFERROR((((COUNTIF('Elève (6ème2)'!LS5:LU5,"A"))*4)+((COUNTIF('Elève (6ème2)'!LS5:LU5,"B"))*3)+((COUNTIF('Elève (6ème2)'!LS5:LU5,"C"))*2)+((COUNTIF('Elève (6ème2)'!LS5:LU5,"D"))*1))/(COUNTA(LS5:LU5)),"")</f>
        <v>4</v>
      </c>
      <c r="LW5" s="184" t="str">
        <f t="shared" si="77"/>
        <v>A</v>
      </c>
      <c r="LX5" s="99"/>
      <c r="LY5" s="100"/>
      <c r="LZ5" s="101"/>
      <c r="MA5" s="183" t="str">
        <f>IFERROR((((COUNTIF('Elève (6ème2)'!LX5:LZ5,"A"))*4)+((COUNTIF('Elève (6ème2)'!LX5:LZ5,"B"))*3)+((COUNTIF('Elève (6ème2)'!LX5:LZ5,"C"))*2)+((COUNTIF('Elève (6ème2)'!LX5:LZ5,"D"))*1))/(COUNTA(LX5:LZ5)),"")</f>
        <v/>
      </c>
      <c r="MB5" s="184" t="str">
        <f t="shared" si="78"/>
        <v/>
      </c>
      <c r="MC5" s="183">
        <f>IF(COUNT(LQ5,LV5,MA5)=0,"",SUM(LQ5,LV5,MA5)/COUNT(LQ5,LV5,MA5))</f>
        <v>4</v>
      </c>
      <c r="MD5" s="207" t="str">
        <f t="shared" si="79"/>
        <v>A</v>
      </c>
      <c r="ME5" s="105"/>
      <c r="MF5" s="100"/>
      <c r="MG5" s="101"/>
      <c r="MH5" s="183" t="str">
        <f>IFERROR((((COUNTIF('Elève (6ème2)'!ME5:MG5,"A"))*4)+((COUNTIF('Elève (6ème2)'!ME5:MG5,"B"))*3)+((COUNTIF('Elève (6ème2)'!ME5:MG5,"C"))*2)+((COUNTIF('Elève (6ème2)'!ME5:MG5,"D"))*1))/(COUNTA(ME5:MG5)),"")</f>
        <v/>
      </c>
      <c r="MI5" s="184" t="str">
        <f t="shared" si="80"/>
        <v/>
      </c>
      <c r="MJ5" s="99"/>
      <c r="MK5" s="100" t="s">
        <v>23</v>
      </c>
      <c r="ML5" s="101" t="s">
        <v>24</v>
      </c>
      <c r="MM5" s="183">
        <f>IFERROR((((COUNTIF('Elève (6ème2)'!MJ5:ML5,"A"))*4)+((COUNTIF('Elève (6ème2)'!MJ5:ML5,"B"))*3)+((COUNTIF('Elève (6ème2)'!MJ5:ML5,"C"))*2)+((COUNTIF('Elève (6ème2)'!MJ5:ML5,"D"))*1))/(COUNTA(MJ5:ML5)),"")</f>
        <v>3.5</v>
      </c>
      <c r="MN5" s="184" t="str">
        <f t="shared" si="81"/>
        <v>B</v>
      </c>
      <c r="MO5" s="99"/>
      <c r="MP5" s="100"/>
      <c r="MQ5" s="101"/>
      <c r="MR5" s="183" t="str">
        <f>IFERROR((((COUNTIF('Elève (6ème2)'!MO5:MQ5,"A"))*4)+((COUNTIF('Elève (6ème2)'!MO5:MQ5,"B"))*3)+((COUNTIF('Elève (6ème2)'!MO5:MQ5,"C"))*2)+((COUNTIF('Elève (6ème2)'!MO5:MQ5,"D"))*1))/(COUNTA(MO5:MQ5)),"")</f>
        <v/>
      </c>
      <c r="MS5" s="184" t="str">
        <f t="shared" si="82"/>
        <v/>
      </c>
      <c r="MT5" s="183">
        <f>IF(COUNT(MH5,MM5,MR5)=0,"",SUM(MH5,MM5,MR5)/COUNT(MH5,MM5,MR5))</f>
        <v>3.5</v>
      </c>
      <c r="MU5" s="207" t="str">
        <f t="shared" si="83"/>
        <v>B</v>
      </c>
      <c r="MV5" s="105"/>
      <c r="MW5" s="100"/>
      <c r="MX5" s="101"/>
      <c r="MY5" s="183" t="str">
        <f>IFERROR((((COUNTIF('Elève (6ème2)'!MV5:MX5,"A"))*4)+((COUNTIF('Elève (6ème2)'!MV5:MX5,"B"))*3)+((COUNTIF('Elève (6ème2)'!MV5:MX5,"C"))*2)+((COUNTIF('Elève (6ème2)'!MV5:MX5,"D"))*1))/(COUNTA(MV5:MX5)),"")</f>
        <v/>
      </c>
      <c r="MZ5" s="184" t="str">
        <f t="shared" si="84"/>
        <v/>
      </c>
      <c r="NA5" s="99"/>
      <c r="NB5" s="100" t="s">
        <v>23</v>
      </c>
      <c r="NC5" s="101" t="s">
        <v>24</v>
      </c>
      <c r="ND5" s="183">
        <f>IFERROR((((COUNTIF('Elève (6ème2)'!NA5:NC5,"A"))*4)+((COUNTIF('Elève (6ème2)'!NA5:NC5,"B"))*3)+((COUNTIF('Elève (6ème2)'!NA5:NC5,"C"))*2)+((COUNTIF('Elève (6ème2)'!NA5:NC5,"D"))*1))/(COUNTA(NA5:NC5)),"")</f>
        <v>3.5</v>
      </c>
      <c r="NE5" s="184" t="str">
        <f t="shared" si="85"/>
        <v>B</v>
      </c>
      <c r="NF5" s="99"/>
      <c r="NG5" s="100"/>
      <c r="NH5" s="101"/>
      <c r="NI5" s="183" t="str">
        <f>IFERROR((((COUNTIF('Elève (6ème2)'!NF5:NH5,"A"))*4)+((COUNTIF('Elève (6ème2)'!NF5:NH5,"B"))*3)+((COUNTIF('Elève (6ème2)'!NF5:NH5,"C"))*2)+((COUNTIF('Elève (6ème2)'!NF5:NH5,"D"))*1))/(COUNTA(NF5:NH5)),"")</f>
        <v/>
      </c>
      <c r="NJ5" s="184" t="str">
        <f t="shared" si="86"/>
        <v/>
      </c>
      <c r="NK5" s="183">
        <f>IF(COUNT(MY5,ND5,NI5)=0,"",SUM(MY5,ND5,NI5)/COUNT(MY5,ND5,NI5))</f>
        <v>3.5</v>
      </c>
      <c r="NL5" s="207" t="str">
        <f t="shared" si="87"/>
        <v>B</v>
      </c>
      <c r="NM5" s="105"/>
      <c r="NN5" s="100"/>
      <c r="NO5" s="101"/>
      <c r="NP5" s="183" t="str">
        <f>IFERROR((((COUNTIF('Elève (6ème2)'!NM5:NO5,"A"))*4)+((COUNTIF('Elève (6ème2)'!NM5:NO5,"B"))*3)+((COUNTIF('Elève (6ème2)'!NM5:NO5,"C"))*2)+((COUNTIF('Elève (6ème2)'!NM5:NO5,"D"))*1))/(COUNTA(NM5:NO5)),"")</f>
        <v/>
      </c>
      <c r="NQ5" s="184" t="str">
        <f t="shared" si="88"/>
        <v/>
      </c>
      <c r="NR5" s="99"/>
      <c r="NS5" s="100" t="s">
        <v>23</v>
      </c>
      <c r="NT5" s="101" t="s">
        <v>25</v>
      </c>
      <c r="NU5" s="183">
        <f>IFERROR((((COUNTIF('Elève (6ème2)'!NR5:NT5,"A"))*4)+((COUNTIF('Elève (6ème2)'!NR5:NT5,"B"))*3)+((COUNTIF('Elève (6ème2)'!NR5:NT5,"C"))*2)+((COUNTIF('Elève (6ème2)'!NR5:NT5,"D"))*1))/(COUNTA(NR5:NT5)),"")</f>
        <v>3</v>
      </c>
      <c r="NV5" s="184" t="str">
        <f t="shared" si="89"/>
        <v>B</v>
      </c>
      <c r="NW5" s="99"/>
      <c r="NX5" s="100"/>
      <c r="NY5" s="101"/>
      <c r="NZ5" s="183" t="str">
        <f>IFERROR((((COUNTIF('Elève (6ème2)'!NW5:NY5,"A"))*4)+((COUNTIF('Elève (6ème2)'!NW5:NY5,"B"))*3)+((COUNTIF('Elève (6ème2)'!NW5:NY5,"C"))*2)+((COUNTIF('Elève (6ème2)'!NW5:NY5,"D"))*1))/(COUNTA(NW5:NY5)),"")</f>
        <v/>
      </c>
      <c r="OA5" s="184" t="str">
        <f t="shared" si="90"/>
        <v/>
      </c>
      <c r="OB5" s="183">
        <f>IF(COUNT(NP5,NU5,NZ5)=0,"",SUM(NP5,NU5,NZ5)/COUNT(NP5,NU5,NZ5))</f>
        <v>3</v>
      </c>
      <c r="OC5" s="207" t="str">
        <f t="shared" si="91"/>
        <v>B</v>
      </c>
      <c r="OD5" s="105"/>
      <c r="OE5" s="100"/>
      <c r="OF5" s="101"/>
      <c r="OG5" s="183" t="str">
        <f>IFERROR((((COUNTIF('Elève (6ème2)'!OD5:OF5,"A"))*4)+((COUNTIF('Elève (6ème2)'!OD5:OF5,"B"))*3)+((COUNTIF('Elève (6ème2)'!OD5:OF5,"C"))*2)+((COUNTIF('Elève (6ème2)'!OD5:OF5,"D"))*1))/(COUNTA(OD5:OF5)),"")</f>
        <v/>
      </c>
      <c r="OH5" s="184" t="str">
        <f t="shared" si="92"/>
        <v/>
      </c>
      <c r="OI5" s="99"/>
      <c r="OJ5" s="100" t="s">
        <v>26</v>
      </c>
      <c r="OK5" s="101" t="s">
        <v>24</v>
      </c>
      <c r="OL5" s="183">
        <f>IFERROR((((COUNTIF('Elève (6ème2)'!OI5:OK5,"A"))*4)+((COUNTIF('Elève (6ème2)'!OI5:OK5,"B"))*3)+((COUNTIF('Elève (6ème2)'!OI5:OK5,"C"))*2)+((COUNTIF('Elève (6ème2)'!OI5:OK5,"D"))*1))/(COUNTA(OI5:OK5)),"")</f>
        <v>2</v>
      </c>
      <c r="OM5" s="184" t="str">
        <f t="shared" si="93"/>
        <v>C</v>
      </c>
      <c r="ON5" s="99"/>
      <c r="OO5" s="100"/>
      <c r="OP5" s="101"/>
      <c r="OQ5" s="183" t="str">
        <f>IFERROR((((COUNTIF('Elève (6ème2)'!ON5:OP5,"A"))*4)+((COUNTIF('Elève (6ème2)'!ON5:OP5,"B"))*3)+((COUNTIF('Elève (6ème2)'!ON5:OP5,"C"))*2)+((COUNTIF('Elève (6ème2)'!ON5:OP5,"D"))*1))/(COUNTA(ON5:OP5)),"")</f>
        <v/>
      </c>
      <c r="OR5" s="184" t="str">
        <f t="shared" si="94"/>
        <v/>
      </c>
      <c r="OS5" s="183">
        <f>IF(COUNT(OG5,OL5,OQ5)=0,"",SUM(OG5,OL5,OQ5)/COUNT(OG5,OL5,OQ5))</f>
        <v>2</v>
      </c>
      <c r="OT5" s="207" t="str">
        <f t="shared" si="95"/>
        <v>C</v>
      </c>
      <c r="OU5" s="105"/>
      <c r="OV5" s="100"/>
      <c r="OW5" s="101"/>
      <c r="OX5" s="183" t="str">
        <f>IFERROR((((COUNTIF('Elève (6ème2)'!OU5:OW5,"A"))*4)+((COUNTIF('Elève (6ème2)'!OU5:OW5,"B"))*3)+((COUNTIF('Elève (6ème2)'!OU5:OW5,"C"))*2)+((COUNTIF('Elève (6ème2)'!OU5:OW5,"D"))*1))/(COUNTA(OU5:OW5)),"")</f>
        <v/>
      </c>
      <c r="OY5" s="184" t="str">
        <f t="shared" si="96"/>
        <v/>
      </c>
      <c r="OZ5" s="99"/>
      <c r="PA5" s="100" t="s">
        <v>23</v>
      </c>
      <c r="PB5" s="101" t="s">
        <v>24</v>
      </c>
      <c r="PC5" s="183">
        <f>IFERROR((((COUNTIF('Elève (6ème2)'!OZ5:PB5,"A"))*4)+((COUNTIF('Elève (6ème2)'!OZ5:PB5,"B"))*3)+((COUNTIF('Elève (6ème2)'!OZ5:PB5,"C"))*2)+((COUNTIF('Elève (6ème2)'!OZ5:PB5,"D"))*1))/(COUNTA(OZ5:PB5)),"")</f>
        <v>3.5</v>
      </c>
      <c r="PD5" s="184" t="str">
        <f t="shared" si="97"/>
        <v>B</v>
      </c>
      <c r="PE5" s="99"/>
      <c r="PF5" s="100"/>
      <c r="PG5" s="101"/>
      <c r="PH5" s="183" t="str">
        <f>IFERROR((((COUNTIF('Elève (6ème2)'!PE5:PG5,"A"))*4)+((COUNTIF('Elève (6ème2)'!PE5:PG5,"B"))*3)+((COUNTIF('Elève (6ème2)'!PE5:PG5,"C"))*2)+((COUNTIF('Elève (6ème2)'!PE5:PG5,"D"))*1))/(COUNTA(PE5:PG5)),"")</f>
        <v/>
      </c>
      <c r="PI5" s="184" t="str">
        <f t="shared" si="98"/>
        <v/>
      </c>
      <c r="PJ5" s="183">
        <f>IF(COUNT(OX5,PC5,PH5)=0,"",SUM(OX5,PC5,PH5)/COUNT(OX5,PC5,PH5))</f>
        <v>3.5</v>
      </c>
      <c r="PK5" s="207" t="str">
        <f t="shared" si="99"/>
        <v>B</v>
      </c>
      <c r="PL5" s="105"/>
      <c r="PM5" s="100"/>
      <c r="PN5" s="101"/>
      <c r="PO5" s="183" t="str">
        <f>IFERROR((((COUNTIF('Elève (6ème2)'!PL5:PN5,"A"))*4)+((COUNTIF('Elève (6ème2)'!PL5:PN5,"B"))*3)+((COUNTIF('Elève (6ème2)'!PL5:PN5,"C"))*2)+((COUNTIF('Elève (6ème2)'!PL5:PN5,"D"))*1))/(COUNTA(PL5:PN5)),"")</f>
        <v/>
      </c>
      <c r="PP5" s="184" t="str">
        <f t="shared" si="100"/>
        <v/>
      </c>
      <c r="PQ5" s="99"/>
      <c r="PR5" s="100" t="s">
        <v>23</v>
      </c>
      <c r="PS5" s="101" t="s">
        <v>24</v>
      </c>
      <c r="PT5" s="183">
        <f>IFERROR((((COUNTIF('Elève (6ème2)'!PQ5:PS5,"A"))*4)+((COUNTIF('Elève (6ème2)'!PQ5:PS5,"B"))*3)+((COUNTIF('Elève (6ème2)'!PQ5:PS5,"C"))*2)+((COUNTIF('Elève (6ème2)'!PQ5:PS5,"D"))*1))/(COUNTA(PQ5:PS5)),"")</f>
        <v>3.5</v>
      </c>
      <c r="PU5" s="184" t="str">
        <f t="shared" si="101"/>
        <v>B</v>
      </c>
      <c r="PV5" s="99"/>
      <c r="PW5" s="100"/>
      <c r="PX5" s="101"/>
      <c r="PY5" s="183" t="str">
        <f>IFERROR((((COUNTIF('Elève (6ème2)'!PV5:PX5,"A"))*4)+((COUNTIF('Elève (6ème2)'!PV5:PX5,"B"))*3)+((COUNTIF('Elève (6ème2)'!PV5:PX5,"C"))*2)+((COUNTIF('Elève (6ème2)'!PV5:PX5,"D"))*1))/(COUNTA(PV5:PX5)),"")</f>
        <v/>
      </c>
      <c r="PZ5" s="184" t="str">
        <f t="shared" si="102"/>
        <v/>
      </c>
      <c r="QA5" s="183">
        <f>IF(COUNT(PO5,PT5,PY5)=0,"",SUM(PO5,PT5,PY5)/COUNT(PO5,PT5,PY5))</f>
        <v>3.5</v>
      </c>
      <c r="QB5" s="207" t="str">
        <f t="shared" si="103"/>
        <v>B</v>
      </c>
      <c r="QC5" s="105"/>
      <c r="QD5" s="100"/>
      <c r="QE5" s="101"/>
      <c r="QF5" s="183" t="str">
        <f>IFERROR((((COUNTIF('Elève (6ème2)'!QC5:QE5,"A"))*4)+((COUNTIF('Elève (6ème2)'!QC5:QE5,"B"))*3)+((COUNTIF('Elève (6ème2)'!QC5:QE5,"C"))*2)+((COUNTIF('Elève (6ème2)'!QC5:QE5,"D"))*1))/(COUNTA(QC5:QE5)),"")</f>
        <v/>
      </c>
      <c r="QG5" s="184" t="str">
        <f t="shared" si="104"/>
        <v/>
      </c>
      <c r="QH5" s="99"/>
      <c r="QI5" s="100" t="s">
        <v>23</v>
      </c>
      <c r="QJ5" s="101"/>
      <c r="QK5" s="183">
        <f>IFERROR((((COUNTIF('Elève (6ème2)'!QH5:QJ5,"A"))*4)+((COUNTIF('Elève (6ème2)'!QH5:QJ5,"B"))*3)+((COUNTIF('Elève (6ème2)'!QH5:QJ5,"C"))*2)+((COUNTIF('Elève (6ème2)'!QH5:QJ5,"D"))*1))/(COUNTA(QH5:QJ5)),"")</f>
        <v>4</v>
      </c>
      <c r="QL5" s="184" t="str">
        <f t="shared" si="105"/>
        <v>A</v>
      </c>
      <c r="QM5" s="99"/>
      <c r="QN5" s="100"/>
      <c r="QO5" s="101"/>
      <c r="QP5" s="183" t="str">
        <f>IFERROR((((COUNTIF('Elève (6ème2)'!QM5:QO5,"A"))*4)+((COUNTIF('Elève (6ème2)'!QM5:QO5,"B"))*3)+((COUNTIF('Elève (6ème2)'!QM5:QO5,"C"))*2)+((COUNTIF('Elève (6ème2)'!QM5:QO5,"D"))*1))/(COUNTA(QM5:QO5)),"")</f>
        <v/>
      </c>
      <c r="QQ5" s="184" t="str">
        <f t="shared" si="106"/>
        <v/>
      </c>
      <c r="QR5" s="183">
        <f>IF(COUNT(QF5,QK5,QP5)=0,"",SUM(QF5,QK5,QP5)/COUNT(QF5,QK5,QP5))</f>
        <v>4</v>
      </c>
      <c r="QS5" s="207" t="str">
        <f t="shared" si="107"/>
        <v>A</v>
      </c>
      <c r="QT5" s="105"/>
      <c r="QU5" s="100"/>
      <c r="QV5" s="101"/>
      <c r="QW5" s="183" t="str">
        <f>IFERROR((((COUNTIF('Elève (6ème2)'!QT5:QV5,"A"))*4)+((COUNTIF('Elève (6ème2)'!QT5:QV5,"B"))*3)+((COUNTIF('Elève (6ème2)'!QT5:QV5,"C"))*2)+((COUNTIF('Elève (6ème2)'!QT5:QV5,"D"))*1))/(COUNTA(QT5:QV5)),"")</f>
        <v/>
      </c>
      <c r="QX5" s="184" t="str">
        <f t="shared" si="108"/>
        <v/>
      </c>
      <c r="QY5" s="99"/>
      <c r="QZ5" s="100"/>
      <c r="RA5" s="101"/>
      <c r="RB5" s="183" t="str">
        <f>IFERROR((((COUNTIF('Elève (6ème2)'!QY5:RA5,"A"))*4)+((COUNTIF('Elève (6ème2)'!QY5:RA5,"B"))*3)+((COUNTIF('Elève (6ème2)'!QY5:RA5,"C"))*2)+((COUNTIF('Elève (6ème2)'!QY5:RA5,"D"))*1))/(COUNTA(QY5:RA5)),"")</f>
        <v/>
      </c>
      <c r="RC5" s="184" t="str">
        <f t="shared" si="109"/>
        <v/>
      </c>
      <c r="RD5" s="99"/>
      <c r="RE5" s="100"/>
      <c r="RF5" s="101"/>
      <c r="RG5" s="183" t="str">
        <f>IFERROR((((COUNTIF('Elève (6ème2)'!RD5:RF5,"A"))*4)+((COUNTIF('Elève (6ème2)'!RD5:RF5,"B"))*3)+((COUNTIF('Elève (6ème2)'!RD5:RF5,"C"))*2)+((COUNTIF('Elève (6ème2)'!RD5:RF5,"D"))*1))/(COUNTA(RD5:RF5)),"")</f>
        <v/>
      </c>
      <c r="RH5" s="184" t="str">
        <f t="shared" si="110"/>
        <v/>
      </c>
      <c r="RI5" s="183" t="str">
        <f>IF(COUNT(QW5,RB5,RG5)=0,"",SUM(QW5,RB5,RG5)/COUNT(QW5,RB5,RG5))</f>
        <v/>
      </c>
      <c r="RJ5" s="207" t="str">
        <f t="shared" si="111"/>
        <v/>
      </c>
      <c r="RK5" s="105"/>
      <c r="RL5" s="100"/>
      <c r="RM5" s="101"/>
      <c r="RN5" s="183" t="str">
        <f>IFERROR((((COUNTIF('Elève (6ème2)'!RK5:RM5,"A"))*4)+((COUNTIF('Elève (6ème2)'!RK5:RM5,"B"))*3)+((COUNTIF('Elève (6ème2)'!RK5:RM5,"C"))*2)+((COUNTIF('Elève (6ème2)'!RK5:RM5,"D"))*1))/(COUNTA(RK5:RM5)),"")</f>
        <v/>
      </c>
      <c r="RO5" s="184" t="str">
        <f t="shared" si="112"/>
        <v/>
      </c>
      <c r="RP5" s="99"/>
      <c r="RQ5" s="100" t="s">
        <v>23</v>
      </c>
      <c r="RR5" s="101"/>
      <c r="RS5" s="183">
        <f>IFERROR((((COUNTIF('Elève (6ème2)'!RP5:RR5,"A"))*4)+((COUNTIF('Elève (6ème2)'!RP5:RR5,"B"))*3)+((COUNTIF('Elève (6ème2)'!RP5:RR5,"C"))*2)+((COUNTIF('Elève (6ème2)'!RP5:RR5,"D"))*1))/(COUNTA(RP5:RR5)),"")</f>
        <v>4</v>
      </c>
      <c r="RT5" s="184" t="str">
        <f t="shared" si="113"/>
        <v>A</v>
      </c>
      <c r="RU5" s="99"/>
      <c r="RV5" s="100"/>
      <c r="RW5" s="101"/>
      <c r="RX5" s="183" t="str">
        <f>IFERROR((((COUNTIF('Elève (6ème2)'!RU5:RW5,"A"))*4)+((COUNTIF('Elève (6ème2)'!RU5:RW5,"B"))*3)+((COUNTIF('Elève (6ème2)'!RU5:RW5,"C"))*2)+((COUNTIF('Elève (6ème2)'!RU5:RW5,"D"))*1))/(COUNTA(RU5:RW5)),"")</f>
        <v/>
      </c>
      <c r="RY5" s="184" t="str">
        <f t="shared" si="114"/>
        <v/>
      </c>
      <c r="RZ5" s="183">
        <f>IF(COUNT(RN5,RS5,RX5)=0,"",SUM(RN5,RS5,RX5)/COUNT(RN5,RS5,RX5))</f>
        <v>4</v>
      </c>
      <c r="SA5" s="207" t="str">
        <f t="shared" si="115"/>
        <v>A</v>
      </c>
      <c r="SB5" s="105"/>
      <c r="SC5" s="100"/>
      <c r="SD5" s="101"/>
      <c r="SE5" s="183" t="str">
        <f>IFERROR((((COUNTIF('Elève (6ème2)'!SB5:SD5,"A"))*4)+((COUNTIF('Elève (6ème2)'!SB5:SD5,"B"))*3)+((COUNTIF('Elève (6ème2)'!SB5:SD5,"C"))*2)+((COUNTIF('Elève (6ème2)'!SB5:SD5,"D"))*1))/(COUNTA(SB5:SD5)),"")</f>
        <v/>
      </c>
      <c r="SF5" s="184" t="str">
        <f t="shared" si="116"/>
        <v/>
      </c>
      <c r="SG5" s="99"/>
      <c r="SH5" s="100" t="s">
        <v>23</v>
      </c>
      <c r="SI5" s="101" t="s">
        <v>24</v>
      </c>
      <c r="SJ5" s="183">
        <f>IFERROR((((COUNTIF('Elève (6ème2)'!SG5:SI5,"A"))*4)+((COUNTIF('Elève (6ème2)'!SG5:SI5,"B"))*3)+((COUNTIF('Elève (6ème2)'!SG5:SI5,"C"))*2)+((COUNTIF('Elève (6ème2)'!SG5:SI5,"D"))*1))/(COUNTA(SG5:SI5)),"")</f>
        <v>3.5</v>
      </c>
      <c r="SK5" s="184" t="str">
        <f t="shared" si="117"/>
        <v>B</v>
      </c>
      <c r="SL5" s="99"/>
      <c r="SM5" s="100"/>
      <c r="SN5" s="101"/>
      <c r="SO5" s="183" t="str">
        <f>IFERROR((((COUNTIF('Elève (6ème2)'!SL5:SN5,"A"))*4)+((COUNTIF('Elève (6ème2)'!SL5:SN5,"B"))*3)+((COUNTIF('Elève (6ème2)'!SL5:SN5,"C"))*2)+((COUNTIF('Elève (6ème2)'!SL5:SN5,"D"))*1))/(COUNTA(SL5:SN5)),"")</f>
        <v/>
      </c>
      <c r="SP5" s="184" t="str">
        <f t="shared" si="118"/>
        <v/>
      </c>
      <c r="SQ5" s="183">
        <f>IF(COUNT(SE5,SJ5,SO5)=0,"",SUM(SE5,SJ5,SO5)/COUNT(SE5,SJ5,SO5))</f>
        <v>3.5</v>
      </c>
      <c r="SR5" s="207" t="str">
        <f t="shared" si="119"/>
        <v>B</v>
      </c>
      <c r="SS5" s="105"/>
      <c r="ST5" s="100"/>
      <c r="SU5" s="101"/>
      <c r="SV5" s="102" t="str">
        <f>IFERROR((((COUNTIF('Elève (6ème2)'!SS5:SU5,"A"))*4)+((COUNTIF('Elève (6ème2)'!SS5:SU5,"B"))*3)+((COUNTIF('Elève (6ème2)'!SS5:SU5,"C"))*2)+((COUNTIF('Elève (6ème2)'!SS5:SU5,"D"))*1))/(COUNTA(SS5:SU5)),"")</f>
        <v/>
      </c>
      <c r="SW5" s="103" t="str">
        <f t="shared" si="120"/>
        <v/>
      </c>
      <c r="SX5" s="99"/>
      <c r="SY5" s="100"/>
      <c r="SZ5" s="101" t="s">
        <v>24</v>
      </c>
      <c r="TA5" s="102">
        <f>IFERROR((((COUNTIF('Elève (6ème2)'!SX5:SZ5,"A"))*4)+((COUNTIF('Elève (6ème2)'!SX5:SZ5,"B"))*3)+((COUNTIF('Elève (6ème2)'!SX5:SZ5,"C"))*2)+((COUNTIF('Elève (6ème2)'!SX5:SZ5,"D"))*1))/(COUNTA(SX5:SZ5)),"")</f>
        <v>3</v>
      </c>
      <c r="TB5" s="103" t="str">
        <f t="shared" si="121"/>
        <v>B</v>
      </c>
      <c r="TC5" s="99"/>
      <c r="TD5" s="100"/>
      <c r="TE5" s="101"/>
      <c r="TF5" s="102" t="str">
        <f>IFERROR((((COUNTIF('Elève (6ème2)'!TC5:TE5,"A"))*4)+((COUNTIF('Elève (6ème2)'!TC5:TE5,"B"))*3)+((COUNTIF('Elève (6ème2)'!TC5:TE5,"C"))*2)+((COUNTIF('Elève (6ème2)'!TC5:TE5,"D"))*1))/(COUNTA(TC5:TE5)),"")</f>
        <v/>
      </c>
      <c r="TG5" s="103" t="str">
        <f t="shared" si="122"/>
        <v/>
      </c>
      <c r="TH5" s="102">
        <f>IF(COUNT(SV5,TA5,TF5)=0,"",SUM(SV5,TA5,TF5)/COUNT(SV5,TA5,TF5))</f>
        <v>3</v>
      </c>
      <c r="TI5" s="104" t="str">
        <f t="shared" si="123"/>
        <v>B</v>
      </c>
      <c r="TJ5" s="105"/>
      <c r="TK5" s="100"/>
      <c r="TL5" s="101"/>
      <c r="TM5" s="102" t="str">
        <f>IFERROR((((COUNTIF('Elève (6ème2)'!TJ5:TL5,"A"))*4)+((COUNTIF('Elève (6ème2)'!TJ5:TL5,"B"))*3)+((COUNTIF('Elève (6ème2)'!TJ5:TL5,"C"))*2)+((COUNTIF('Elève (6ème2)'!TJ5:TL5,"D"))*1))/(COUNTA(TJ5:TL5)),"")</f>
        <v/>
      </c>
      <c r="TN5" s="103" t="str">
        <f t="shared" si="124"/>
        <v/>
      </c>
      <c r="TO5" s="99"/>
      <c r="TP5" s="100"/>
      <c r="TQ5" s="101"/>
      <c r="TR5" s="102" t="str">
        <f>IFERROR((((COUNTIF('Elève (6ème2)'!TO5:TQ5,"A"))*4)+((COUNTIF('Elève (6ème2)'!TO5:TQ5,"B"))*3)+((COUNTIF('Elève (6ème2)'!TO5:TQ5,"C"))*2)+((COUNTIF('Elève (6ème2)'!TO5:TQ5,"D"))*1))/(COUNTA(TO5:TQ5)),"")</f>
        <v/>
      </c>
      <c r="TS5" s="103" t="str">
        <f t="shared" si="125"/>
        <v/>
      </c>
      <c r="TT5" s="99"/>
      <c r="TU5" s="100"/>
      <c r="TV5" s="101"/>
      <c r="TW5" s="102" t="str">
        <f>IFERROR((((COUNTIF('Elève (6ème2)'!TT5:TV5,"A"))*4)+((COUNTIF('Elève (6ème2)'!TT5:TV5,"B"))*3)+((COUNTIF('Elève (6ème2)'!TT5:TV5,"C"))*2)+((COUNTIF('Elève (6ème2)'!TT5:TV5,"D"))*1))/(COUNTA(TT5:TV5)),"")</f>
        <v/>
      </c>
      <c r="TX5" s="103" t="str">
        <f t="shared" si="126"/>
        <v/>
      </c>
      <c r="TY5" s="102" t="str">
        <f>IF(COUNT(TM5,TR5,TW5)=0,"",SUM(TM5,TR5,TW5)/COUNT(TM5,TR5,TW5))</f>
        <v/>
      </c>
      <c r="TZ5" s="104" t="str">
        <f t="shared" si="127"/>
        <v/>
      </c>
    </row>
    <row r="6" spans="1:546" ht="15.75" thickBot="1" x14ac:dyDescent="0.3">
      <c r="A6" s="242" t="s">
        <v>13</v>
      </c>
      <c r="B6" s="243"/>
      <c r="C6" s="106"/>
      <c r="D6" s="107"/>
      <c r="E6" s="108"/>
      <c r="F6" s="185" t="str">
        <f>IFERROR((((COUNTIF('Elève (6ème2)'!C6:E6,"A"))*4)+((COUNTIF('Elève (6ème2)'!C6:E6,"B"))*3)+((COUNTIF('Elève (6ème2)'!C6:E6,"C"))*2)+((COUNTIF('Elève (6ème2)'!C6:E6,"D"))*1))/(COUNTA(C6:E6)),"")</f>
        <v/>
      </c>
      <c r="G6" s="186" t="str">
        <f t="shared" si="0"/>
        <v/>
      </c>
      <c r="H6" s="106" t="s">
        <v>23</v>
      </c>
      <c r="I6" s="107"/>
      <c r="J6" s="108"/>
      <c r="K6" s="185">
        <f>IFERROR((((COUNTIF('Elève (6ème2)'!H6:J6,"A"))*4)+((COUNTIF('Elève (6ème2)'!H6:J6,"B"))*3)+((COUNTIF('Elève (6ème2)'!H6:J6,"C"))*2)+((COUNTIF('Elève (6ème2)'!H6:J6,"D"))*1))/(COUNTA(H6:J6)),"")</f>
        <v>4</v>
      </c>
      <c r="L6" s="186" t="str">
        <f t="shared" si="1"/>
        <v>A</v>
      </c>
      <c r="M6" s="106"/>
      <c r="N6" s="107"/>
      <c r="O6" s="108" t="s">
        <v>23</v>
      </c>
      <c r="P6" s="185">
        <f>IFERROR((((COUNTIF('Elève (6ème2)'!M6:O6,"A"))*4)+((COUNTIF('Elève (6ème2)'!M6:O6,"B"))*3)+((COUNTIF('Elève (6ème2)'!M6:O6,"C"))*2)+((COUNTIF('Elève (6ème2)'!M6:O6,"D"))*1))/(COUNTA(M6:O6)),"")</f>
        <v>4</v>
      </c>
      <c r="Q6" s="186" t="str">
        <f t="shared" si="2"/>
        <v>A</v>
      </c>
      <c r="R6" s="185">
        <f>IF(COUNT(F6,K6,P6)=0,"",SUM(F6,K6,P6)/COUNT(F6,K6,P6))</f>
        <v>4</v>
      </c>
      <c r="S6" s="208" t="str">
        <f t="shared" si="3"/>
        <v>A</v>
      </c>
      <c r="T6" s="112"/>
      <c r="U6" s="107"/>
      <c r="V6" s="108"/>
      <c r="W6" s="185" t="str">
        <f>IFERROR((((COUNTIF('Elève (6ème2)'!T6:V6,"A"))*4)+((COUNTIF('Elève (6ème2)'!T6:V6,"B"))*3)+((COUNTIF('Elève (6ème2)'!T6:V6,"C"))*2)+((COUNTIF('Elève (6ème2)'!T6:V6,"D"))*1))/(COUNTA(T6:V6)),"")</f>
        <v/>
      </c>
      <c r="X6" s="186" t="str">
        <f t="shared" si="4"/>
        <v/>
      </c>
      <c r="Y6" s="106" t="s">
        <v>23</v>
      </c>
      <c r="Z6" s="107"/>
      <c r="AA6" s="108"/>
      <c r="AB6" s="185">
        <f>IFERROR((((COUNTIF('Elève (6ème2)'!Y6:AA6,"A"))*4)+((COUNTIF('Elève (6ème2)'!Y6:AA6,"B"))*3)+((COUNTIF('Elève (6ème2)'!Y6:AA6,"C"))*2)+((COUNTIF('Elève (6ème2)'!Y6:AA6,"D"))*1))/(COUNTA(Y6:AA6)),"")</f>
        <v>4</v>
      </c>
      <c r="AC6" s="186" t="str">
        <f t="shared" si="5"/>
        <v>A</v>
      </c>
      <c r="AD6" s="106"/>
      <c r="AE6" s="107"/>
      <c r="AF6" s="108" t="s">
        <v>23</v>
      </c>
      <c r="AG6" s="185">
        <f>IFERROR((((COUNTIF('Elève (6ème2)'!AD6:AF6,"A"))*4)+((COUNTIF('Elève (6ème2)'!AD6:AF6,"B"))*3)+((COUNTIF('Elève (6ème2)'!AD6:AF6,"C"))*2)+((COUNTIF('Elève (6ème2)'!AD6:AF6,"D"))*1))/(COUNTA(AD6:AF6)),"")</f>
        <v>4</v>
      </c>
      <c r="AH6" s="186" t="str">
        <f t="shared" si="6"/>
        <v>A</v>
      </c>
      <c r="AI6" s="185">
        <f>IF(COUNT(W6,AB6,AG6)=0,"",SUM(W6,AB6,AG6)/COUNT(W6,AB6,AG6))</f>
        <v>4</v>
      </c>
      <c r="AJ6" s="208" t="str">
        <f t="shared" si="7"/>
        <v>A</v>
      </c>
      <c r="AK6" s="112"/>
      <c r="AL6" s="107"/>
      <c r="AM6" s="108"/>
      <c r="AN6" s="185" t="str">
        <f>IFERROR((((COUNTIF('Elève (6ème2)'!AK6:AM6,"A"))*4)+((COUNTIF('Elève (6ème2)'!AK6:AM6,"B"))*3)+((COUNTIF('Elève (6ème2)'!AK6:AM6,"C"))*2)+((COUNTIF('Elève (6ème2)'!AK6:AM6,"D"))*1))/(COUNTA(AK6:AM6)),"")</f>
        <v/>
      </c>
      <c r="AO6" s="186" t="str">
        <f t="shared" si="8"/>
        <v/>
      </c>
      <c r="AP6" s="106" t="s">
        <v>24</v>
      </c>
      <c r="AQ6" s="107"/>
      <c r="AR6" s="108"/>
      <c r="AS6" s="185">
        <f>IFERROR((((COUNTIF('Elève (6ème2)'!AP6:AR6,"A"))*4)+((COUNTIF('Elève (6ème2)'!AP6:AR6,"B"))*3)+((COUNTIF('Elève (6ème2)'!AP6:AR6,"C"))*2)+((COUNTIF('Elève (6ème2)'!AP6:AR6,"D"))*1))/(COUNTA(AP6:AR6)),"")</f>
        <v>3</v>
      </c>
      <c r="AT6" s="186" t="str">
        <f t="shared" si="9"/>
        <v>B</v>
      </c>
      <c r="AU6" s="106"/>
      <c r="AV6" s="107"/>
      <c r="AW6" s="108" t="s">
        <v>23</v>
      </c>
      <c r="AX6" s="185">
        <f>IFERROR((((COUNTIF('Elève (6ème2)'!AU6:AW6,"A"))*4)+((COUNTIF('Elève (6ème2)'!AU6:AW6,"B"))*3)+((COUNTIF('Elève (6ème2)'!AU6:AW6,"C"))*2)+((COUNTIF('Elève (6ème2)'!AU6:AW6,"D"))*1))/(COUNTA(AU6:AW6)),"")</f>
        <v>4</v>
      </c>
      <c r="AY6" s="186" t="str">
        <f t="shared" si="10"/>
        <v>A</v>
      </c>
      <c r="AZ6" s="185">
        <f>IF(COUNT(AN6,AS6,AX6)=0,"",SUM(AN6,AS6,AX6)/COUNT(AN6,AS6,AX6))</f>
        <v>3.5</v>
      </c>
      <c r="BA6" s="208" t="str">
        <f t="shared" si="11"/>
        <v>B</v>
      </c>
      <c r="BB6" s="112"/>
      <c r="BC6" s="107"/>
      <c r="BD6" s="108"/>
      <c r="BE6" s="185" t="str">
        <f>IFERROR((((COUNTIF('Elève (6ème2)'!BB6:BD6,"A"))*4)+((COUNTIF('Elève (6ème2)'!BB6:BD6,"B"))*3)+((COUNTIF('Elève (6ème2)'!BB6:BD6,"C"))*2)+((COUNTIF('Elève (6ème2)'!BB6:BD6,"D"))*1))/(COUNTA(BB6:BD6)),"")</f>
        <v/>
      </c>
      <c r="BF6" s="186" t="str">
        <f t="shared" si="12"/>
        <v/>
      </c>
      <c r="BG6" s="106" t="s">
        <v>23</v>
      </c>
      <c r="BH6" s="107"/>
      <c r="BI6" s="108"/>
      <c r="BJ6" s="185">
        <f>IFERROR((((COUNTIF('Elève (6ème2)'!BG6:BI6,"A"))*4)+((COUNTIF('Elève (6ème2)'!BG6:BI6,"B"))*3)+((COUNTIF('Elève (6ème2)'!BG6:BI6,"C"))*2)+((COUNTIF('Elève (6ème2)'!BG6:BI6,"D"))*1))/(COUNTA(BG6:BI6)),"")</f>
        <v>4</v>
      </c>
      <c r="BK6" s="186" t="str">
        <f t="shared" si="13"/>
        <v>A</v>
      </c>
      <c r="BL6" s="106"/>
      <c r="BM6" s="107"/>
      <c r="BN6" s="108" t="s">
        <v>23</v>
      </c>
      <c r="BO6" s="185">
        <f>IFERROR((((COUNTIF('Elève (6ème2)'!BL6:BN6,"A"))*4)+((COUNTIF('Elève (6ème2)'!BL6:BN6,"B"))*3)+((COUNTIF('Elève (6ème2)'!BL6:BN6,"C"))*2)+((COUNTIF('Elève (6ème2)'!BL6:BN6,"D"))*1))/(COUNTA(BL6:BN6)),"")</f>
        <v>4</v>
      </c>
      <c r="BP6" s="186" t="str">
        <f t="shared" si="14"/>
        <v>A</v>
      </c>
      <c r="BQ6" s="185">
        <f>IF(COUNT(BE6,BJ6,BO6)=0,"",SUM(BE6,BJ6,BO6)/COUNT(BE6,BJ6,BO6))</f>
        <v>4</v>
      </c>
      <c r="BR6" s="208" t="str">
        <f t="shared" si="15"/>
        <v>A</v>
      </c>
      <c r="BS6" s="112"/>
      <c r="BT6" s="107"/>
      <c r="BU6" s="108"/>
      <c r="BV6" s="185" t="str">
        <f>IFERROR((((COUNTIF('Elève (6ème2)'!BS6:BU6,"A"))*4)+((COUNTIF('Elève (6ème2)'!BS6:BU6,"B"))*3)+((COUNTIF('Elève (6ème2)'!BS6:BU6,"C"))*2)+((COUNTIF('Elève (6ème2)'!BS6:BU6,"D"))*1))/(COUNTA(BS6:BU6)),"")</f>
        <v/>
      </c>
      <c r="BW6" s="186" t="str">
        <f t="shared" si="16"/>
        <v/>
      </c>
      <c r="BX6" s="106" t="s">
        <v>23</v>
      </c>
      <c r="BY6" s="107"/>
      <c r="BZ6" s="108"/>
      <c r="CA6" s="185">
        <f>IFERROR((((COUNTIF('Elève (6ème2)'!BX6:BZ6,"A"))*4)+((COUNTIF('Elève (6ème2)'!BX6:BZ6,"B"))*3)+((COUNTIF('Elève (6ème2)'!BX6:BZ6,"C"))*2)+((COUNTIF('Elève (6ème2)'!BX6:BZ6,"D"))*1))/(COUNTA(BX6:BZ6)),"")</f>
        <v>4</v>
      </c>
      <c r="CB6" s="186" t="str">
        <f t="shared" si="17"/>
        <v>A</v>
      </c>
      <c r="CC6" s="106"/>
      <c r="CD6" s="107"/>
      <c r="CE6" s="108" t="s">
        <v>23</v>
      </c>
      <c r="CF6" s="185">
        <f>IFERROR((((COUNTIF('Elève (6ème2)'!CC6:CE6,"A"))*4)+((COUNTIF('Elève (6ème2)'!CC6:CE6,"B"))*3)+((COUNTIF('Elève (6ème2)'!CC6:CE6,"C"))*2)+((COUNTIF('Elève (6ème2)'!CC6:CE6,"D"))*1))/(COUNTA(CC6:CE6)),"")</f>
        <v>4</v>
      </c>
      <c r="CG6" s="186" t="str">
        <f t="shared" si="18"/>
        <v>A</v>
      </c>
      <c r="CH6" s="185">
        <f>IF(COUNT(BV6,CA6,CF6)=0,"",SUM(BV6,CA6,CF6)/COUNT(BV6,CA6,CF6))</f>
        <v>4</v>
      </c>
      <c r="CI6" s="208" t="str">
        <f t="shared" si="19"/>
        <v>A</v>
      </c>
      <c r="CJ6" s="112"/>
      <c r="CK6" s="107"/>
      <c r="CL6" s="108"/>
      <c r="CM6" s="185" t="str">
        <f>IFERROR((((COUNTIF('Elève (6ème2)'!CJ6:CL6,"A"))*4)+((COUNTIF('Elève (6ème2)'!CJ6:CL6,"B"))*3)+((COUNTIF('Elève (6ème2)'!CJ6:CL6,"C"))*2)+((COUNTIF('Elève (6ème2)'!CJ6:CL6,"D"))*1))/(COUNTA(CJ6:CL6)),"")</f>
        <v/>
      </c>
      <c r="CN6" s="186" t="str">
        <f t="shared" si="20"/>
        <v/>
      </c>
      <c r="CO6" s="106" t="s">
        <v>25</v>
      </c>
      <c r="CP6" s="107"/>
      <c r="CQ6" s="108"/>
      <c r="CR6" s="185">
        <f>IFERROR((((COUNTIF('Elève (6ème2)'!CO6:CQ6,"A"))*4)+((COUNTIF('Elève (6ème2)'!CO6:CQ6,"B"))*3)+((COUNTIF('Elève (6ème2)'!CO6:CQ6,"C"))*2)+((COUNTIF('Elève (6ème2)'!CO6:CQ6,"D"))*1))/(COUNTA(CO6:CQ6)),"")</f>
        <v>2</v>
      </c>
      <c r="CS6" s="186" t="str">
        <f t="shared" si="21"/>
        <v>C</v>
      </c>
      <c r="CT6" s="106"/>
      <c r="CU6" s="107"/>
      <c r="CV6" s="108" t="s">
        <v>23</v>
      </c>
      <c r="CW6" s="185">
        <f>IFERROR((((COUNTIF('Elève (6ème2)'!CT6:CV6,"A"))*4)+((COUNTIF('Elève (6ème2)'!CT6:CV6,"B"))*3)+((COUNTIF('Elève (6ème2)'!CT6:CV6,"C"))*2)+((COUNTIF('Elève (6ème2)'!CT6:CV6,"D"))*1))/(COUNTA(CT6:CV6)),"")</f>
        <v>4</v>
      </c>
      <c r="CX6" s="186" t="str">
        <f t="shared" si="22"/>
        <v>A</v>
      </c>
      <c r="CY6" s="185">
        <f>IF(COUNT(CM6,CR6,CW6)=0,"",SUM(CM6,CR6,CW6)/COUNT(CM6,CR6,CW6))</f>
        <v>3</v>
      </c>
      <c r="CZ6" s="208" t="str">
        <f t="shared" si="23"/>
        <v>B</v>
      </c>
      <c r="DA6" s="112"/>
      <c r="DB6" s="107"/>
      <c r="DC6" s="108"/>
      <c r="DD6" s="185" t="str">
        <f>IFERROR((((COUNTIF('Elève (6ème2)'!DA6:DC6,"A"))*4)+((COUNTIF('Elève (6ème2)'!DA6:DC6,"B"))*3)+((COUNTIF('Elève (6ème2)'!DA6:DC6,"C"))*2)+((COUNTIF('Elève (6ème2)'!DA6:DC6,"D"))*1))/(COUNTA(DA6:DC6)),"")</f>
        <v/>
      </c>
      <c r="DE6" s="186" t="str">
        <f t="shared" si="24"/>
        <v/>
      </c>
      <c r="DF6" s="106" t="s">
        <v>23</v>
      </c>
      <c r="DG6" s="107"/>
      <c r="DH6" s="108"/>
      <c r="DI6" s="185">
        <f>IFERROR((((COUNTIF('Elève (6ème2)'!DF6:DH6,"A"))*4)+((COUNTIF('Elève (6ème2)'!DF6:DH6,"B"))*3)+((COUNTIF('Elève (6ème2)'!DF6:DH6,"C"))*2)+((COUNTIF('Elève (6ème2)'!DF6:DH6,"D"))*1))/(COUNTA(DF6:DH6)),"")</f>
        <v>4</v>
      </c>
      <c r="DJ6" s="186" t="str">
        <f t="shared" si="25"/>
        <v>A</v>
      </c>
      <c r="DK6" s="106"/>
      <c r="DL6" s="107"/>
      <c r="DM6" s="108" t="s">
        <v>24</v>
      </c>
      <c r="DN6" s="185">
        <f>IFERROR((((COUNTIF('Elève (6ème2)'!DK6:DM6,"A"))*4)+((COUNTIF('Elève (6ème2)'!DK6:DM6,"B"))*3)+((COUNTIF('Elève (6ème2)'!DK6:DM6,"C"))*2)+((COUNTIF('Elève (6ème2)'!DK6:DM6,"D"))*1))/(COUNTA(DK6:DM6)),"")</f>
        <v>3</v>
      </c>
      <c r="DO6" s="186" t="str">
        <f t="shared" si="26"/>
        <v>B</v>
      </c>
      <c r="DP6" s="185">
        <f>IF(COUNT(DD6,DI6,DN6)=0,"",SUM(DD6,DI6,DN6)/COUNT(DD6,DI6,DN6))</f>
        <v>3.5</v>
      </c>
      <c r="DQ6" s="208" t="str">
        <f t="shared" si="27"/>
        <v>B</v>
      </c>
      <c r="DR6" s="112"/>
      <c r="DS6" s="107"/>
      <c r="DT6" s="108"/>
      <c r="DU6" s="185" t="str">
        <f>IFERROR((((COUNTIF('Elève (6ème2)'!DR6:DT6,"A"))*4)+((COUNTIF('Elève (6ème2)'!DR6:DT6,"B"))*3)+((COUNTIF('Elève (6ème2)'!DR6:DT6,"C"))*2)+((COUNTIF('Elève (6ème2)'!DR6:DT6,"D"))*1))/(COUNTA(DR6:DT6)),"")</f>
        <v/>
      </c>
      <c r="DV6" s="186" t="str">
        <f t="shared" si="28"/>
        <v/>
      </c>
      <c r="DW6" s="106" t="s">
        <v>23</v>
      </c>
      <c r="DX6" s="107"/>
      <c r="DY6" s="108"/>
      <c r="DZ6" s="185">
        <f>IFERROR((((COUNTIF('Elève (6ème2)'!DW6:DY6,"A"))*4)+((COUNTIF('Elève (6ème2)'!DW6:DY6,"B"))*3)+((COUNTIF('Elève (6ème2)'!DW6:DY6,"C"))*2)+((COUNTIF('Elève (6ème2)'!DW6:DY6,"D"))*1))/(COUNTA(DW6:DY6)),"")</f>
        <v>4</v>
      </c>
      <c r="EA6" s="186" t="str">
        <f t="shared" si="29"/>
        <v>A</v>
      </c>
      <c r="EB6" s="106"/>
      <c r="EC6" s="107"/>
      <c r="ED6" s="108" t="s">
        <v>23</v>
      </c>
      <c r="EE6" s="185">
        <f>IFERROR((((COUNTIF('Elève (6ème2)'!EB6:ED6,"A"))*4)+((COUNTIF('Elève (6ème2)'!EB6:ED6,"B"))*3)+((COUNTIF('Elève (6ème2)'!EB6:ED6,"C"))*2)+((COUNTIF('Elève (6ème2)'!EB6:ED6,"D"))*1))/(COUNTA(EB6:ED6)),"")</f>
        <v>4</v>
      </c>
      <c r="EF6" s="186" t="str">
        <f t="shared" si="30"/>
        <v>A</v>
      </c>
      <c r="EG6" s="185">
        <f>IF(COUNT(DU6,DZ6,EE6)=0,"",SUM(DU6,DZ6,EE6)/COUNT(DU6,DZ6,EE6))</f>
        <v>4</v>
      </c>
      <c r="EH6" s="208" t="str">
        <f t="shared" si="31"/>
        <v>A</v>
      </c>
      <c r="EI6" s="112"/>
      <c r="EJ6" s="107"/>
      <c r="EK6" s="108"/>
      <c r="EL6" s="185" t="str">
        <f>IFERROR((((COUNTIF('Elève (6ème2)'!EI6:EK6,"A"))*4)+((COUNTIF('Elève (6ème2)'!EI6:EK6,"B"))*3)+((COUNTIF('Elève (6ème2)'!EI6:EK6,"C"))*2)+((COUNTIF('Elève (6ème2)'!EI6:EK6,"D"))*1))/(COUNTA(EI6:EK6)),"")</f>
        <v/>
      </c>
      <c r="EM6" s="186" t="str">
        <f t="shared" si="32"/>
        <v/>
      </c>
      <c r="EN6" s="106" t="s">
        <v>23</v>
      </c>
      <c r="EO6" s="107"/>
      <c r="EP6" s="108"/>
      <c r="EQ6" s="185">
        <f>IFERROR((((COUNTIF('Elève (6ème2)'!EN6:EP6,"A"))*4)+((COUNTIF('Elève (6ème2)'!EN6:EP6,"B"))*3)+((COUNTIF('Elève (6ème2)'!EN6:EP6,"C"))*2)+((COUNTIF('Elève (6ème2)'!EN6:EP6,"D"))*1))/(COUNTA(EN6:EP6)),"")</f>
        <v>4</v>
      </c>
      <c r="ER6" s="186" t="str">
        <f t="shared" si="33"/>
        <v>A</v>
      </c>
      <c r="ES6" s="106"/>
      <c r="ET6" s="107"/>
      <c r="EU6" s="108" t="s">
        <v>23</v>
      </c>
      <c r="EV6" s="185">
        <f>IFERROR((((COUNTIF('Elève (6ème2)'!ES6:EU6,"A"))*4)+((COUNTIF('Elève (6ème2)'!ES6:EU6,"B"))*3)+((COUNTIF('Elève (6ème2)'!ES6:EU6,"C"))*2)+((COUNTIF('Elève (6ème2)'!ES6:EU6,"D"))*1))/(COUNTA(ES6:EU6)),"")</f>
        <v>4</v>
      </c>
      <c r="EW6" s="186" t="str">
        <f t="shared" si="34"/>
        <v>A</v>
      </c>
      <c r="EX6" s="185">
        <f>IF(COUNT(EL6,EQ6,EV6)=0,"",SUM(EL6,EQ6,EV6)/COUNT(EL6,EQ6,EV6))</f>
        <v>4</v>
      </c>
      <c r="EY6" s="208" t="str">
        <f t="shared" si="35"/>
        <v>A</v>
      </c>
      <c r="EZ6" s="112"/>
      <c r="FA6" s="107"/>
      <c r="FB6" s="108"/>
      <c r="FC6" s="185" t="str">
        <f>IFERROR((((COUNTIF('Elève (6ème2)'!EZ6:FB6,"A"))*4)+((COUNTIF('Elève (6ème2)'!EZ6:FB6,"B"))*3)+((COUNTIF('Elève (6ème2)'!EZ6:FB6,"C"))*2)+((COUNTIF('Elève (6ème2)'!EZ6:FB6,"D"))*1))/(COUNTA(EZ6:FB6)),"")</f>
        <v/>
      </c>
      <c r="FD6" s="186" t="str">
        <f t="shared" si="36"/>
        <v/>
      </c>
      <c r="FE6" s="106" t="s">
        <v>23</v>
      </c>
      <c r="FF6" s="107"/>
      <c r="FG6" s="108"/>
      <c r="FH6" s="185">
        <f>IFERROR((((COUNTIF('Elève (6ème2)'!FE6:FG6,"A"))*4)+((COUNTIF('Elève (6ème2)'!FE6:FG6,"B"))*3)+((COUNTIF('Elève (6ème2)'!FE6:FG6,"C"))*2)+((COUNTIF('Elève (6ème2)'!FE6:FG6,"D"))*1))/(COUNTA(FE6:FG6)),"")</f>
        <v>4</v>
      </c>
      <c r="FI6" s="186" t="str">
        <f t="shared" si="37"/>
        <v>A</v>
      </c>
      <c r="FJ6" s="106"/>
      <c r="FK6" s="107"/>
      <c r="FL6" s="108" t="s">
        <v>23</v>
      </c>
      <c r="FM6" s="185">
        <f>IFERROR((((COUNTIF('Elève (6ème2)'!FJ6:FL6,"A"))*4)+((COUNTIF('Elève (6ème2)'!FJ6:FL6,"B"))*3)+((COUNTIF('Elève (6ème2)'!FJ6:FL6,"C"))*2)+((COUNTIF('Elève (6ème2)'!FJ6:FL6,"D"))*1))/(COUNTA(FJ6:FL6)),"")</f>
        <v>4</v>
      </c>
      <c r="FN6" s="186" t="str">
        <f t="shared" si="38"/>
        <v>A</v>
      </c>
      <c r="FO6" s="185">
        <f>IF(COUNT(FC6,FH6,FM6)=0,"",SUM(FC6,FH6,FM6)/COUNT(FC6,FH6,FM6))</f>
        <v>4</v>
      </c>
      <c r="FP6" s="208" t="str">
        <f t="shared" si="39"/>
        <v>A</v>
      </c>
      <c r="FQ6" s="112"/>
      <c r="FR6" s="107"/>
      <c r="FS6" s="108"/>
      <c r="FT6" s="185" t="str">
        <f>IFERROR((((COUNTIF('Elève (6ème2)'!FQ6:FS6,"A"))*4)+((COUNTIF('Elève (6ème2)'!FQ6:FS6,"B"))*3)+((COUNTIF('Elève (6ème2)'!FQ6:FS6,"C"))*2)+((COUNTIF('Elève (6ème2)'!FQ6:FS6,"D"))*1))/(COUNTA(FQ6:FS6)),"")</f>
        <v/>
      </c>
      <c r="FU6" s="186" t="str">
        <f t="shared" si="40"/>
        <v/>
      </c>
      <c r="FV6" s="106" t="s">
        <v>23</v>
      </c>
      <c r="FW6" s="107"/>
      <c r="FX6" s="108"/>
      <c r="FY6" s="185">
        <f>IFERROR((((COUNTIF('Elève (6ème2)'!FV6:FX6,"A"))*4)+((COUNTIF('Elève (6ème2)'!FV6:FX6,"B"))*3)+((COUNTIF('Elève (6ème2)'!FV6:FX6,"C"))*2)+((COUNTIF('Elève (6ème2)'!FV6:FX6,"D"))*1))/(COUNTA(FV6:FX6)),"")</f>
        <v>4</v>
      </c>
      <c r="FZ6" s="186" t="str">
        <f t="shared" si="41"/>
        <v>A</v>
      </c>
      <c r="GA6" s="106"/>
      <c r="GB6" s="107"/>
      <c r="GC6" s="108" t="s">
        <v>23</v>
      </c>
      <c r="GD6" s="185">
        <f>IFERROR((((COUNTIF('Elève (6ème2)'!GA6:GC6,"A"))*4)+((COUNTIF('Elève (6ème2)'!GA6:GC6,"B"))*3)+((COUNTIF('Elève (6ème2)'!GA6:GC6,"C"))*2)+((COUNTIF('Elève (6ème2)'!GA6:GC6,"D"))*1))/(COUNTA(GA6:GC6)),"")</f>
        <v>4</v>
      </c>
      <c r="GE6" s="186" t="str">
        <f t="shared" si="42"/>
        <v>A</v>
      </c>
      <c r="GF6" s="185">
        <f>IF(COUNT(FT6,FY6,GD6)=0,"",SUM(FT6,FY6,GD6)/COUNT(FT6,FY6,GD6))</f>
        <v>4</v>
      </c>
      <c r="GG6" s="208" t="str">
        <f t="shared" si="43"/>
        <v>A</v>
      </c>
      <c r="GH6" s="112"/>
      <c r="GI6" s="107"/>
      <c r="GJ6" s="108"/>
      <c r="GK6" s="185" t="str">
        <f>IFERROR((((COUNTIF('Elève (6ème2)'!GH6:GJ6,"A"))*4)+((COUNTIF('Elève (6ème2)'!GH6:GJ6,"B"))*3)+((COUNTIF('Elève (6ème2)'!GH6:GJ6,"C"))*2)+((COUNTIF('Elève (6ème2)'!GH6:GJ6,"D"))*1))/(COUNTA(GH6:GJ6)),"")</f>
        <v/>
      </c>
      <c r="GL6" s="186" t="str">
        <f t="shared" si="44"/>
        <v/>
      </c>
      <c r="GM6" s="106" t="s">
        <v>23</v>
      </c>
      <c r="GN6" s="107"/>
      <c r="GO6" s="108"/>
      <c r="GP6" s="185">
        <f>IFERROR((((COUNTIF('Elève (6ème2)'!GM6:GO6,"A"))*4)+((COUNTIF('Elève (6ème2)'!GM6:GO6,"B"))*3)+((COUNTIF('Elève (6ème2)'!GM6:GO6,"C"))*2)+((COUNTIF('Elève (6ème2)'!GM6:GO6,"D"))*1))/(COUNTA(GM6:GO6)),"")</f>
        <v>4</v>
      </c>
      <c r="GQ6" s="186" t="str">
        <f t="shared" si="45"/>
        <v>A</v>
      </c>
      <c r="GR6" s="106"/>
      <c r="GS6" s="107"/>
      <c r="GT6" s="108" t="s">
        <v>23</v>
      </c>
      <c r="GU6" s="185">
        <f>IFERROR((((COUNTIF('Elève (6ème2)'!GR6:GT6,"A"))*4)+((COUNTIF('Elève (6ème2)'!GR6:GT6,"B"))*3)+((COUNTIF('Elève (6ème2)'!GR6:GT6,"C"))*2)+((COUNTIF('Elève (6ème2)'!GR6:GT6,"D"))*1))/(COUNTA(GR6:GT6)),"")</f>
        <v>4</v>
      </c>
      <c r="GV6" s="186" t="str">
        <f t="shared" si="46"/>
        <v>A</v>
      </c>
      <c r="GW6" s="185">
        <f>IF(COUNT(GK6,GP6,GU6)=0,"",SUM(GK6,GP6,GU6)/COUNT(GK6,GP6,GU6))</f>
        <v>4</v>
      </c>
      <c r="GX6" s="208" t="str">
        <f t="shared" si="47"/>
        <v>A</v>
      </c>
      <c r="GY6" s="112"/>
      <c r="GZ6" s="107"/>
      <c r="HA6" s="108"/>
      <c r="HB6" s="185" t="str">
        <f>IFERROR((((COUNTIF('Elève (6ème2)'!GY6:HA6,"A"))*4)+((COUNTIF('Elève (6ème2)'!GY6:HA6,"B"))*3)+((COUNTIF('Elève (6ème2)'!GY6:HA6,"C"))*2)+((COUNTIF('Elève (6ème2)'!GY6:HA6,"D"))*1))/(COUNTA(GY6:HA6)),"")</f>
        <v/>
      </c>
      <c r="HC6" s="186" t="str">
        <f t="shared" si="48"/>
        <v/>
      </c>
      <c r="HD6" s="106" t="s">
        <v>23</v>
      </c>
      <c r="HE6" s="107"/>
      <c r="HF6" s="108"/>
      <c r="HG6" s="185">
        <f>IFERROR((((COUNTIF('Elève (6ème2)'!HD6:HF6,"A"))*4)+((COUNTIF('Elève (6ème2)'!HD6:HF6,"B"))*3)+((COUNTIF('Elève (6ème2)'!HD6:HF6,"C"))*2)+((COUNTIF('Elève (6ème2)'!HD6:HF6,"D"))*1))/(COUNTA(HD6:HF6)),"")</f>
        <v>4</v>
      </c>
      <c r="HH6" s="186" t="str">
        <f t="shared" si="49"/>
        <v>A</v>
      </c>
      <c r="HI6" s="106"/>
      <c r="HJ6" s="107"/>
      <c r="HK6" s="108" t="s">
        <v>23</v>
      </c>
      <c r="HL6" s="185">
        <f>IFERROR((((COUNTIF('Elève (6ème2)'!HI6:HK6,"A"))*4)+((COUNTIF('Elève (6ème2)'!HI6:HK6,"B"))*3)+((COUNTIF('Elève (6ème2)'!HI6:HK6,"C"))*2)+((COUNTIF('Elève (6ème2)'!HI6:HK6,"D"))*1))/(COUNTA(HI6:HK6)),"")</f>
        <v>4</v>
      </c>
      <c r="HM6" s="186" t="str">
        <f t="shared" si="50"/>
        <v>A</v>
      </c>
      <c r="HN6" s="185">
        <f>IF(COUNT(HB6,HG6,HL6)=0,"",SUM(HB6,HG6,HL6)/COUNT(HB6,HG6,HL6))</f>
        <v>4</v>
      </c>
      <c r="HO6" s="208" t="str">
        <f t="shared" si="51"/>
        <v>A</v>
      </c>
      <c r="HP6" s="112"/>
      <c r="HQ6" s="107"/>
      <c r="HR6" s="108"/>
      <c r="HS6" s="185" t="str">
        <f>IFERROR((((COUNTIF('Elève (6ème2)'!HP6:HR6,"A"))*4)+((COUNTIF('Elève (6ème2)'!HP6:HR6,"B"))*3)+((COUNTIF('Elève (6ème2)'!HP6:HR6,"C"))*2)+((COUNTIF('Elève (6ème2)'!HP6:HR6,"D"))*1))/(COUNTA(HP6:HR6)),"")</f>
        <v/>
      </c>
      <c r="HT6" s="186" t="str">
        <f t="shared" si="52"/>
        <v/>
      </c>
      <c r="HU6" s="106" t="s">
        <v>23</v>
      </c>
      <c r="HV6" s="107"/>
      <c r="HW6" s="108"/>
      <c r="HX6" s="185">
        <f>IFERROR((((COUNTIF('Elève (6ème2)'!HU6:HW6,"A"))*4)+((COUNTIF('Elève (6ème2)'!HU6:HW6,"B"))*3)+((COUNTIF('Elève (6ème2)'!HU6:HW6,"C"))*2)+((COUNTIF('Elève (6ème2)'!HU6:HW6,"D"))*1))/(COUNTA(HU6:HW6)),"")</f>
        <v>4</v>
      </c>
      <c r="HY6" s="186" t="str">
        <f t="shared" si="53"/>
        <v>A</v>
      </c>
      <c r="HZ6" s="106"/>
      <c r="IA6" s="107"/>
      <c r="IB6" s="108" t="s">
        <v>23</v>
      </c>
      <c r="IC6" s="185">
        <f>IFERROR((((COUNTIF('Elève (6ème2)'!HZ6:IB6,"A"))*4)+((COUNTIF('Elève (6ème2)'!HZ6:IB6,"B"))*3)+((COUNTIF('Elève (6ème2)'!HZ6:IB6,"C"))*2)+((COUNTIF('Elève (6ème2)'!HZ6:IB6,"D"))*1))/(COUNTA(HZ6:IB6)),"")</f>
        <v>4</v>
      </c>
      <c r="ID6" s="186" t="str">
        <f t="shared" si="54"/>
        <v>A</v>
      </c>
      <c r="IE6" s="185">
        <f>IF(COUNT(HS6,HX6,IC6)=0,"",SUM(HS6,HX6,IC6)/COUNT(HS6,HX6,IC6))</f>
        <v>4</v>
      </c>
      <c r="IF6" s="208" t="str">
        <f t="shared" si="55"/>
        <v>A</v>
      </c>
      <c r="IG6" s="112"/>
      <c r="IH6" s="107"/>
      <c r="II6" s="108"/>
      <c r="IJ6" s="185" t="str">
        <f>IFERROR((((COUNTIF('Elève (6ème2)'!IG6:II6,"A"))*4)+((COUNTIF('Elève (6ème2)'!IG6:II6,"B"))*3)+((COUNTIF('Elève (6ème2)'!IG6:II6,"C"))*2)+((COUNTIF('Elève (6ème2)'!IG6:II6,"D"))*1))/(COUNTA(IG6:II6)),"")</f>
        <v/>
      </c>
      <c r="IK6" s="186" t="str">
        <f t="shared" si="56"/>
        <v/>
      </c>
      <c r="IL6" s="106" t="s">
        <v>25</v>
      </c>
      <c r="IM6" s="107"/>
      <c r="IN6" s="108"/>
      <c r="IO6" s="185">
        <f>IFERROR((((COUNTIF('Elève (6ème2)'!IL6:IN6,"A"))*4)+((COUNTIF('Elève (6ème2)'!IL6:IN6,"B"))*3)+((COUNTIF('Elève (6ème2)'!IL6:IN6,"C"))*2)+((COUNTIF('Elève (6ème2)'!IL6:IN6,"D"))*1))/(COUNTA(IL6:IN6)),"")</f>
        <v>2</v>
      </c>
      <c r="IP6" s="186" t="str">
        <f t="shared" si="57"/>
        <v>C</v>
      </c>
      <c r="IQ6" s="106"/>
      <c r="IR6" s="107"/>
      <c r="IS6" s="108"/>
      <c r="IT6" s="185" t="str">
        <f>IFERROR((((COUNTIF('Elève (6ème2)'!IQ6:IS6,"A"))*4)+((COUNTIF('Elève (6ème2)'!IQ6:IS6,"B"))*3)+((COUNTIF('Elève (6ème2)'!IQ6:IS6,"C"))*2)+((COUNTIF('Elève (6ème2)'!IQ6:IS6,"D"))*1))/(COUNTA(IQ6:IS6)),"")</f>
        <v/>
      </c>
      <c r="IU6" s="186" t="str">
        <f t="shared" si="58"/>
        <v/>
      </c>
      <c r="IV6" s="185">
        <f>IF(COUNT(IJ6,IO6,IT6)=0,"",SUM(IJ6,IO6,IT6)/COUNT(IJ6,IO6,IT6))</f>
        <v>2</v>
      </c>
      <c r="IW6" s="208" t="str">
        <f t="shared" si="59"/>
        <v>C</v>
      </c>
      <c r="IX6" s="112"/>
      <c r="IY6" s="107"/>
      <c r="IZ6" s="108"/>
      <c r="JA6" s="185" t="str">
        <f>IFERROR((((COUNTIF('Elève (6ème2)'!IX6:IZ6,"A"))*4)+((COUNTIF('Elève (6ème2)'!IX6:IZ6,"B"))*3)+((COUNTIF('Elève (6ème2)'!IX6:IZ6,"C"))*2)+((COUNTIF('Elève (6ème2)'!IX6:IZ6,"D"))*1))/(COUNTA(IX6:IZ6)),"")</f>
        <v/>
      </c>
      <c r="JB6" s="186" t="str">
        <f t="shared" si="60"/>
        <v/>
      </c>
      <c r="JC6" s="106" t="s">
        <v>24</v>
      </c>
      <c r="JD6" s="107"/>
      <c r="JE6" s="108"/>
      <c r="JF6" s="185">
        <f>IFERROR((((COUNTIF('Elève (6ème2)'!JC6:JE6,"A"))*4)+((COUNTIF('Elève (6ème2)'!JC6:JE6,"B"))*3)+((COUNTIF('Elève (6ème2)'!JC6:JE6,"C"))*2)+((COUNTIF('Elève (6ème2)'!JC6:JE6,"D"))*1))/(COUNTA(JC6:JE6)),"")</f>
        <v>3</v>
      </c>
      <c r="JG6" s="186" t="str">
        <f t="shared" si="61"/>
        <v>B</v>
      </c>
      <c r="JH6" s="106"/>
      <c r="JI6" s="107"/>
      <c r="JJ6" s="108" t="s">
        <v>23</v>
      </c>
      <c r="JK6" s="185">
        <f>IFERROR((((COUNTIF('Elève (6ème2)'!JH6:JJ6,"A"))*4)+((COUNTIF('Elève (6ème2)'!JH6:JJ6,"B"))*3)+((COUNTIF('Elève (6ème2)'!JH6:JJ6,"C"))*2)+((COUNTIF('Elève (6ème2)'!JH6:JJ6,"D"))*1))/(COUNTA(JH6:JJ6)),"")</f>
        <v>4</v>
      </c>
      <c r="JL6" s="186" t="str">
        <f t="shared" si="62"/>
        <v>A</v>
      </c>
      <c r="JM6" s="185">
        <f>IF(COUNT(JA6,JF6,JK6)=0,"",SUM(JA6,JF6,JK6)/COUNT(JA6,JF6,JK6))</f>
        <v>3.5</v>
      </c>
      <c r="JN6" s="208" t="str">
        <f t="shared" si="63"/>
        <v>B</v>
      </c>
      <c r="JO6" s="112"/>
      <c r="JP6" s="107"/>
      <c r="JQ6" s="108"/>
      <c r="JR6" s="185" t="str">
        <f>IFERROR((((COUNTIF('Elève (6ème2)'!JO6:JQ6,"A"))*4)+((COUNTIF('Elève (6ème2)'!JO6:JQ6,"B"))*3)+((COUNTIF('Elève (6ème2)'!JO6:JQ6,"C"))*2)+((COUNTIF('Elève (6ème2)'!JO6:JQ6,"D"))*1))/(COUNTA(JO6:JQ6)),"")</f>
        <v/>
      </c>
      <c r="JS6" s="186" t="str">
        <f t="shared" si="64"/>
        <v/>
      </c>
      <c r="JT6" s="106" t="s">
        <v>23</v>
      </c>
      <c r="JU6" s="107"/>
      <c r="JV6" s="108"/>
      <c r="JW6" s="185">
        <f>IFERROR((((COUNTIF('Elève (6ème2)'!JT6:JV6,"A"))*4)+((COUNTIF('Elève (6ème2)'!JT6:JV6,"B"))*3)+((COUNTIF('Elève (6ème2)'!JT6:JV6,"C"))*2)+((COUNTIF('Elève (6ème2)'!JT6:JV6,"D"))*1))/(COUNTA(JT6:JV6)),"")</f>
        <v>4</v>
      </c>
      <c r="JX6" s="186" t="str">
        <f t="shared" si="65"/>
        <v>A</v>
      </c>
      <c r="JY6" s="106"/>
      <c r="JZ6" s="107"/>
      <c r="KA6" s="108" t="s">
        <v>23</v>
      </c>
      <c r="KB6" s="185">
        <f>IFERROR((((COUNTIF('Elève (6ème2)'!JY6:KA6,"A"))*4)+((COUNTIF('Elève (6ème2)'!JY6:KA6,"B"))*3)+((COUNTIF('Elève (6ème2)'!JY6:KA6,"C"))*2)+((COUNTIF('Elève (6ème2)'!JY6:KA6,"D"))*1))/(COUNTA(JY6:KA6)),"")</f>
        <v>4</v>
      </c>
      <c r="KC6" s="186" t="str">
        <f t="shared" si="66"/>
        <v>A</v>
      </c>
      <c r="KD6" s="185">
        <f>IF(COUNT(JR6,JW6,KB6)=0,"",SUM(JR6,JW6,KB6)/COUNT(JR6,JW6,KB6))</f>
        <v>4</v>
      </c>
      <c r="KE6" s="208" t="str">
        <f t="shared" si="67"/>
        <v>A</v>
      </c>
      <c r="KF6" s="112"/>
      <c r="KG6" s="107"/>
      <c r="KH6" s="108"/>
      <c r="KI6" s="185" t="str">
        <f>IFERROR((((COUNTIF('Elève (6ème2)'!KF6:KH6,"A"))*4)+((COUNTIF('Elève (6ème2)'!KF6:KH6,"B"))*3)+((COUNTIF('Elève (6ème2)'!KF6:KH6,"C"))*2)+((COUNTIF('Elève (6ème2)'!KF6:KH6,"D"))*1))/(COUNTA(KF6:KH6)),"")</f>
        <v/>
      </c>
      <c r="KJ6" s="186" t="str">
        <f t="shared" si="68"/>
        <v/>
      </c>
      <c r="KK6" s="106" t="s">
        <v>23</v>
      </c>
      <c r="KL6" s="107"/>
      <c r="KM6" s="108"/>
      <c r="KN6" s="185">
        <f>IFERROR((((COUNTIF('Elève (6ème2)'!KK6:KM6,"A"))*4)+((COUNTIF('Elève (6ème2)'!KK6:KM6,"B"))*3)+((COUNTIF('Elève (6ème2)'!KK6:KM6,"C"))*2)+((COUNTIF('Elève (6ème2)'!KK6:KM6,"D"))*1))/(COUNTA(KK6:KM6)),"")</f>
        <v>4</v>
      </c>
      <c r="KO6" s="186" t="str">
        <f t="shared" si="69"/>
        <v>A</v>
      </c>
      <c r="KP6" s="106"/>
      <c r="KQ6" s="107"/>
      <c r="KR6" s="108" t="s">
        <v>23</v>
      </c>
      <c r="KS6" s="185">
        <f>IFERROR((((COUNTIF('Elève (6ème2)'!KP6:KR6,"A"))*4)+((COUNTIF('Elève (6ème2)'!KP6:KR6,"B"))*3)+((COUNTIF('Elève (6ème2)'!KP6:KR6,"C"))*2)+((COUNTIF('Elève (6ème2)'!KP6:KR6,"D"))*1))/(COUNTA(KP6:KR6)),"")</f>
        <v>4</v>
      </c>
      <c r="KT6" s="186" t="str">
        <f t="shared" si="70"/>
        <v>A</v>
      </c>
      <c r="KU6" s="185">
        <f>IF(COUNT(KI6,KN6,KS6)=0,"",SUM(KI6,KN6,KS6)/COUNT(KI6,KN6,KS6))</f>
        <v>4</v>
      </c>
      <c r="KV6" s="208" t="str">
        <f t="shared" si="71"/>
        <v>A</v>
      </c>
      <c r="KW6" s="112"/>
      <c r="KX6" s="107"/>
      <c r="KY6" s="108"/>
      <c r="KZ6" s="185" t="str">
        <f>IFERROR((((COUNTIF('Elève (6ème2)'!KW6:KY6,"A"))*4)+((COUNTIF('Elève (6ème2)'!KW6:KY6,"B"))*3)+((COUNTIF('Elève (6ème2)'!KW6:KY6,"C"))*2)+((COUNTIF('Elève (6ème2)'!KW6:KY6,"D"))*1))/(COUNTA(KW6:KY6)),"")</f>
        <v/>
      </c>
      <c r="LA6" s="186" t="str">
        <f t="shared" si="72"/>
        <v/>
      </c>
      <c r="LB6" s="106" t="s">
        <v>24</v>
      </c>
      <c r="LC6" s="107"/>
      <c r="LD6" s="108"/>
      <c r="LE6" s="185">
        <f>IFERROR((((COUNTIF('Elève (6ème2)'!LB6:LD6,"A"))*4)+((COUNTIF('Elève (6ème2)'!LB6:LD6,"B"))*3)+((COUNTIF('Elève (6ème2)'!LB6:LD6,"C"))*2)+((COUNTIF('Elève (6ème2)'!LB6:LD6,"D"))*1))/(COUNTA(LB6:LD6)),"")</f>
        <v>3</v>
      </c>
      <c r="LF6" s="186" t="str">
        <f t="shared" si="73"/>
        <v>B</v>
      </c>
      <c r="LG6" s="106"/>
      <c r="LH6" s="107"/>
      <c r="LI6" s="108" t="s">
        <v>23</v>
      </c>
      <c r="LJ6" s="185">
        <f>IFERROR((((COUNTIF('Elève (6ème2)'!LG6:LI6,"A"))*4)+((COUNTIF('Elève (6ème2)'!LG6:LI6,"B"))*3)+((COUNTIF('Elève (6ème2)'!LG6:LI6,"C"))*2)+((COUNTIF('Elève (6ème2)'!LG6:LI6,"D"))*1))/(COUNTA(LG6:LI6)),"")</f>
        <v>4</v>
      </c>
      <c r="LK6" s="186" t="str">
        <f t="shared" si="74"/>
        <v>A</v>
      </c>
      <c r="LL6" s="185">
        <f>IF(COUNT(KZ6,LE6,LJ6)=0,"",SUM(KZ6,LE6,LJ6)/COUNT(KZ6,LE6,LJ6))</f>
        <v>3.5</v>
      </c>
      <c r="LM6" s="208" t="str">
        <f t="shared" si="75"/>
        <v>B</v>
      </c>
      <c r="LN6" s="112"/>
      <c r="LO6" s="107"/>
      <c r="LP6" s="108"/>
      <c r="LQ6" s="185" t="str">
        <f>IFERROR((((COUNTIF('Elève (6ème2)'!LN6:LP6,"A"))*4)+((COUNTIF('Elève (6ème2)'!LN6:LP6,"B"))*3)+((COUNTIF('Elève (6ème2)'!LN6:LP6,"C"))*2)+((COUNTIF('Elève (6ème2)'!LN6:LP6,"D"))*1))/(COUNTA(LN6:LP6)),"")</f>
        <v/>
      </c>
      <c r="LR6" s="186" t="str">
        <f t="shared" si="76"/>
        <v/>
      </c>
      <c r="LS6" s="106" t="s">
        <v>23</v>
      </c>
      <c r="LT6" s="107"/>
      <c r="LU6" s="108"/>
      <c r="LV6" s="185">
        <f>IFERROR((((COUNTIF('Elève (6ème2)'!LS6:LU6,"A"))*4)+((COUNTIF('Elève (6ème2)'!LS6:LU6,"B"))*3)+((COUNTIF('Elève (6ème2)'!LS6:LU6,"C"))*2)+((COUNTIF('Elève (6ème2)'!LS6:LU6,"D"))*1))/(COUNTA(LS6:LU6)),"")</f>
        <v>4</v>
      </c>
      <c r="LW6" s="186" t="str">
        <f t="shared" si="77"/>
        <v>A</v>
      </c>
      <c r="LX6" s="106"/>
      <c r="LY6" s="107"/>
      <c r="LZ6" s="108"/>
      <c r="MA6" s="185" t="str">
        <f>IFERROR((((COUNTIF('Elève (6ème2)'!LX6:LZ6,"A"))*4)+((COUNTIF('Elève (6ème2)'!LX6:LZ6,"B"))*3)+((COUNTIF('Elève (6ème2)'!LX6:LZ6,"C"))*2)+((COUNTIF('Elève (6ème2)'!LX6:LZ6,"D"))*1))/(COUNTA(LX6:LZ6)),"")</f>
        <v/>
      </c>
      <c r="MB6" s="186" t="str">
        <f t="shared" si="78"/>
        <v/>
      </c>
      <c r="MC6" s="185">
        <f>IF(COUNT(LQ6,LV6,MA6)=0,"",SUM(LQ6,LV6,MA6)/COUNT(LQ6,LV6,MA6))</f>
        <v>4</v>
      </c>
      <c r="MD6" s="208" t="str">
        <f t="shared" si="79"/>
        <v>A</v>
      </c>
      <c r="ME6" s="112"/>
      <c r="MF6" s="107"/>
      <c r="MG6" s="108"/>
      <c r="MH6" s="185" t="str">
        <f>IFERROR((((COUNTIF('Elève (6ème2)'!ME6:MG6,"A"))*4)+((COUNTIF('Elève (6ème2)'!ME6:MG6,"B"))*3)+((COUNTIF('Elève (6ème2)'!ME6:MG6,"C"))*2)+((COUNTIF('Elève (6ème2)'!ME6:MG6,"D"))*1))/(COUNTA(ME6:MG6)),"")</f>
        <v/>
      </c>
      <c r="MI6" s="186" t="str">
        <f t="shared" si="80"/>
        <v/>
      </c>
      <c r="MJ6" s="106" t="s">
        <v>23</v>
      </c>
      <c r="MK6" s="107"/>
      <c r="ML6" s="108"/>
      <c r="MM6" s="185">
        <f>IFERROR((((COUNTIF('Elève (6ème2)'!MJ6:ML6,"A"))*4)+((COUNTIF('Elève (6ème2)'!MJ6:ML6,"B"))*3)+((COUNTIF('Elève (6ème2)'!MJ6:ML6,"C"))*2)+((COUNTIF('Elève (6ème2)'!MJ6:ML6,"D"))*1))/(COUNTA(MJ6:ML6)),"")</f>
        <v>4</v>
      </c>
      <c r="MN6" s="186" t="str">
        <f t="shared" si="81"/>
        <v>A</v>
      </c>
      <c r="MO6" s="106"/>
      <c r="MP6" s="107"/>
      <c r="MQ6" s="108" t="s">
        <v>23</v>
      </c>
      <c r="MR6" s="185">
        <f>IFERROR((((COUNTIF('Elève (6ème2)'!MO6:MQ6,"A"))*4)+((COUNTIF('Elève (6ème2)'!MO6:MQ6,"B"))*3)+((COUNTIF('Elève (6ème2)'!MO6:MQ6,"C"))*2)+((COUNTIF('Elève (6ème2)'!MO6:MQ6,"D"))*1))/(COUNTA(MO6:MQ6)),"")</f>
        <v>4</v>
      </c>
      <c r="MS6" s="186" t="str">
        <f t="shared" si="82"/>
        <v>A</v>
      </c>
      <c r="MT6" s="185">
        <f>IF(COUNT(MH6,MM6,MR6)=0,"",SUM(MH6,MM6,MR6)/COUNT(MH6,MM6,MR6))</f>
        <v>4</v>
      </c>
      <c r="MU6" s="208" t="str">
        <f t="shared" si="83"/>
        <v>A</v>
      </c>
      <c r="MV6" s="112"/>
      <c r="MW6" s="107"/>
      <c r="MX6" s="108"/>
      <c r="MY6" s="185" t="str">
        <f>IFERROR((((COUNTIF('Elève (6ème2)'!MV6:MX6,"A"))*4)+((COUNTIF('Elève (6ème2)'!MV6:MX6,"B"))*3)+((COUNTIF('Elève (6ème2)'!MV6:MX6,"C"))*2)+((COUNTIF('Elève (6ème2)'!MV6:MX6,"D"))*1))/(COUNTA(MV6:MX6)),"")</f>
        <v/>
      </c>
      <c r="MZ6" s="186" t="str">
        <f t="shared" si="84"/>
        <v/>
      </c>
      <c r="NA6" s="106" t="s">
        <v>23</v>
      </c>
      <c r="NB6" s="107"/>
      <c r="NC6" s="108"/>
      <c r="ND6" s="185">
        <f>IFERROR((((COUNTIF('Elève (6ème2)'!NA6:NC6,"A"))*4)+((COUNTIF('Elève (6ème2)'!NA6:NC6,"B"))*3)+((COUNTIF('Elève (6ème2)'!NA6:NC6,"C"))*2)+((COUNTIF('Elève (6ème2)'!NA6:NC6,"D"))*1))/(COUNTA(NA6:NC6)),"")</f>
        <v>4</v>
      </c>
      <c r="NE6" s="186" t="str">
        <f t="shared" si="85"/>
        <v>A</v>
      </c>
      <c r="NF6" s="106"/>
      <c r="NG6" s="107"/>
      <c r="NH6" s="108" t="s">
        <v>25</v>
      </c>
      <c r="NI6" s="185">
        <f>IFERROR((((COUNTIF('Elève (6ème2)'!NF6:NH6,"A"))*4)+((COUNTIF('Elève (6ème2)'!NF6:NH6,"B"))*3)+((COUNTIF('Elève (6ème2)'!NF6:NH6,"C"))*2)+((COUNTIF('Elève (6ème2)'!NF6:NH6,"D"))*1))/(COUNTA(NF6:NH6)),"")</f>
        <v>2</v>
      </c>
      <c r="NJ6" s="186" t="str">
        <f t="shared" si="86"/>
        <v>C</v>
      </c>
      <c r="NK6" s="185">
        <f>IF(COUNT(MY6,ND6,NI6)=0,"",SUM(MY6,ND6,NI6)/COUNT(MY6,ND6,NI6))</f>
        <v>3</v>
      </c>
      <c r="NL6" s="208" t="str">
        <f t="shared" si="87"/>
        <v>B</v>
      </c>
      <c r="NM6" s="112"/>
      <c r="NN6" s="107"/>
      <c r="NO6" s="108"/>
      <c r="NP6" s="185" t="str">
        <f>IFERROR((((COUNTIF('Elève (6ème2)'!NM6:NO6,"A"))*4)+((COUNTIF('Elève (6ème2)'!NM6:NO6,"B"))*3)+((COUNTIF('Elève (6ème2)'!NM6:NO6,"C"))*2)+((COUNTIF('Elève (6ème2)'!NM6:NO6,"D"))*1))/(COUNTA(NM6:NO6)),"")</f>
        <v/>
      </c>
      <c r="NQ6" s="186" t="str">
        <f t="shared" si="88"/>
        <v/>
      </c>
      <c r="NR6" s="106" t="s">
        <v>23</v>
      </c>
      <c r="NS6" s="107"/>
      <c r="NT6" s="108"/>
      <c r="NU6" s="185">
        <f>IFERROR((((COUNTIF('Elève (6ème2)'!NR6:NT6,"A"))*4)+((COUNTIF('Elève (6ème2)'!NR6:NT6,"B"))*3)+((COUNTIF('Elève (6ème2)'!NR6:NT6,"C"))*2)+((COUNTIF('Elève (6ème2)'!NR6:NT6,"D"))*1))/(COUNTA(NR6:NT6)),"")</f>
        <v>4</v>
      </c>
      <c r="NV6" s="186" t="str">
        <f t="shared" si="89"/>
        <v>A</v>
      </c>
      <c r="NW6" s="106"/>
      <c r="NX6" s="107"/>
      <c r="NY6" s="108" t="s">
        <v>23</v>
      </c>
      <c r="NZ6" s="185">
        <f>IFERROR((((COUNTIF('Elève (6ème2)'!NW6:NY6,"A"))*4)+((COUNTIF('Elève (6ème2)'!NW6:NY6,"B"))*3)+((COUNTIF('Elève (6ème2)'!NW6:NY6,"C"))*2)+((COUNTIF('Elève (6ème2)'!NW6:NY6,"D"))*1))/(COUNTA(NW6:NY6)),"")</f>
        <v>4</v>
      </c>
      <c r="OA6" s="186" t="str">
        <f t="shared" si="90"/>
        <v>A</v>
      </c>
      <c r="OB6" s="185">
        <f>IF(COUNT(NP6,NU6,NZ6)=0,"",SUM(NP6,NU6,NZ6)/COUNT(NP6,NU6,NZ6))</f>
        <v>4</v>
      </c>
      <c r="OC6" s="208" t="str">
        <f t="shared" si="91"/>
        <v>A</v>
      </c>
      <c r="OD6" s="112"/>
      <c r="OE6" s="107"/>
      <c r="OF6" s="108"/>
      <c r="OG6" s="185" t="str">
        <f>IFERROR((((COUNTIF('Elève (6ème2)'!OD6:OF6,"A"))*4)+((COUNTIF('Elève (6ème2)'!OD6:OF6,"B"))*3)+((COUNTIF('Elève (6ème2)'!OD6:OF6,"C"))*2)+((COUNTIF('Elève (6ème2)'!OD6:OF6,"D"))*1))/(COUNTA(OD6:OF6)),"")</f>
        <v/>
      </c>
      <c r="OH6" s="186" t="str">
        <f t="shared" si="92"/>
        <v/>
      </c>
      <c r="OI6" s="106" t="s">
        <v>25</v>
      </c>
      <c r="OJ6" s="107"/>
      <c r="OK6" s="108"/>
      <c r="OL6" s="185">
        <f>IFERROR((((COUNTIF('Elève (6ème2)'!OI6:OK6,"A"))*4)+((COUNTIF('Elève (6ème2)'!OI6:OK6,"B"))*3)+((COUNTIF('Elève (6ème2)'!OI6:OK6,"C"))*2)+((COUNTIF('Elève (6ème2)'!OI6:OK6,"D"))*1))/(COUNTA(OI6:OK6)),"")</f>
        <v>2</v>
      </c>
      <c r="OM6" s="186" t="str">
        <f t="shared" si="93"/>
        <v>C</v>
      </c>
      <c r="ON6" s="106"/>
      <c r="OO6" s="107"/>
      <c r="OP6" s="108"/>
      <c r="OQ6" s="185" t="str">
        <f>IFERROR((((COUNTIF('Elève (6ème2)'!ON6:OP6,"A"))*4)+((COUNTIF('Elève (6ème2)'!ON6:OP6,"B"))*3)+((COUNTIF('Elève (6ème2)'!ON6:OP6,"C"))*2)+((COUNTIF('Elève (6ème2)'!ON6:OP6,"D"))*1))/(COUNTA(ON6:OP6)),"")</f>
        <v/>
      </c>
      <c r="OR6" s="186" t="str">
        <f t="shared" si="94"/>
        <v/>
      </c>
      <c r="OS6" s="185">
        <f>IF(COUNT(OG6,OL6,OQ6)=0,"",SUM(OG6,OL6,OQ6)/COUNT(OG6,OL6,OQ6))</f>
        <v>2</v>
      </c>
      <c r="OT6" s="208" t="str">
        <f t="shared" si="95"/>
        <v>C</v>
      </c>
      <c r="OU6" s="112"/>
      <c r="OV6" s="107"/>
      <c r="OW6" s="108"/>
      <c r="OX6" s="185" t="str">
        <f>IFERROR((((COUNTIF('Elève (6ème2)'!OU6:OW6,"A"))*4)+((COUNTIF('Elève (6ème2)'!OU6:OW6,"B"))*3)+((COUNTIF('Elève (6ème2)'!OU6:OW6,"C"))*2)+((COUNTIF('Elève (6ème2)'!OU6:OW6,"D"))*1))/(COUNTA(OU6:OW6)),"")</f>
        <v/>
      </c>
      <c r="OY6" s="186" t="str">
        <f t="shared" si="96"/>
        <v/>
      </c>
      <c r="OZ6" s="106" t="s">
        <v>23</v>
      </c>
      <c r="PA6" s="107"/>
      <c r="PB6" s="108"/>
      <c r="PC6" s="185">
        <f>IFERROR((((COUNTIF('Elève (6ème2)'!OZ6:PB6,"A"))*4)+((COUNTIF('Elève (6ème2)'!OZ6:PB6,"B"))*3)+((COUNTIF('Elève (6ème2)'!OZ6:PB6,"C"))*2)+((COUNTIF('Elève (6ème2)'!OZ6:PB6,"D"))*1))/(COUNTA(OZ6:PB6)),"")</f>
        <v>4</v>
      </c>
      <c r="PD6" s="186" t="str">
        <f t="shared" si="97"/>
        <v>A</v>
      </c>
      <c r="PE6" s="106"/>
      <c r="PF6" s="107"/>
      <c r="PG6" s="108" t="s">
        <v>23</v>
      </c>
      <c r="PH6" s="185">
        <f>IFERROR((((COUNTIF('Elève (6ème2)'!PE6:PG6,"A"))*4)+((COUNTIF('Elève (6ème2)'!PE6:PG6,"B"))*3)+((COUNTIF('Elève (6ème2)'!PE6:PG6,"C"))*2)+((COUNTIF('Elève (6ème2)'!PE6:PG6,"D"))*1))/(COUNTA(PE6:PG6)),"")</f>
        <v>4</v>
      </c>
      <c r="PI6" s="186" t="str">
        <f t="shared" si="98"/>
        <v>A</v>
      </c>
      <c r="PJ6" s="185">
        <f>IF(COUNT(OX6,PC6,PH6)=0,"",SUM(OX6,PC6,PH6)/COUNT(OX6,PC6,PH6))</f>
        <v>4</v>
      </c>
      <c r="PK6" s="208" t="str">
        <f t="shared" si="99"/>
        <v>A</v>
      </c>
      <c r="PL6" s="112"/>
      <c r="PM6" s="107"/>
      <c r="PN6" s="108"/>
      <c r="PO6" s="185" t="str">
        <f>IFERROR((((COUNTIF('Elève (6ème2)'!PL6:PN6,"A"))*4)+((COUNTIF('Elève (6ème2)'!PL6:PN6,"B"))*3)+((COUNTIF('Elève (6ème2)'!PL6:PN6,"C"))*2)+((COUNTIF('Elève (6ème2)'!PL6:PN6,"D"))*1))/(COUNTA(PL6:PN6)),"")</f>
        <v/>
      </c>
      <c r="PP6" s="186" t="str">
        <f t="shared" si="100"/>
        <v/>
      </c>
      <c r="PQ6" s="106" t="s">
        <v>23</v>
      </c>
      <c r="PR6" s="107"/>
      <c r="PS6" s="108"/>
      <c r="PT6" s="185">
        <f>IFERROR((((COUNTIF('Elève (6ème2)'!PQ6:PS6,"A"))*4)+((COUNTIF('Elève (6ème2)'!PQ6:PS6,"B"))*3)+((COUNTIF('Elève (6ème2)'!PQ6:PS6,"C"))*2)+((COUNTIF('Elève (6ème2)'!PQ6:PS6,"D"))*1))/(COUNTA(PQ6:PS6)),"")</f>
        <v>4</v>
      </c>
      <c r="PU6" s="186" t="str">
        <f t="shared" si="101"/>
        <v>A</v>
      </c>
      <c r="PV6" s="106"/>
      <c r="PW6" s="107"/>
      <c r="PX6" s="108" t="s">
        <v>23</v>
      </c>
      <c r="PY6" s="185">
        <f>IFERROR((((COUNTIF('Elève (6ème2)'!PV6:PX6,"A"))*4)+((COUNTIF('Elève (6ème2)'!PV6:PX6,"B"))*3)+((COUNTIF('Elève (6ème2)'!PV6:PX6,"C"))*2)+((COUNTIF('Elève (6ème2)'!PV6:PX6,"D"))*1))/(COUNTA(PV6:PX6)),"")</f>
        <v>4</v>
      </c>
      <c r="PZ6" s="186" t="str">
        <f t="shared" si="102"/>
        <v>A</v>
      </c>
      <c r="QA6" s="185">
        <f>IF(COUNT(PO6,PT6,PY6)=0,"",SUM(PO6,PT6,PY6)/COUNT(PO6,PT6,PY6))</f>
        <v>4</v>
      </c>
      <c r="QB6" s="208" t="str">
        <f t="shared" si="103"/>
        <v>A</v>
      </c>
      <c r="QC6" s="112"/>
      <c r="QD6" s="107"/>
      <c r="QE6" s="108"/>
      <c r="QF6" s="185" t="str">
        <f>IFERROR((((COUNTIF('Elève (6ème2)'!QC6:QE6,"A"))*4)+((COUNTIF('Elève (6ème2)'!QC6:QE6,"B"))*3)+((COUNTIF('Elève (6ème2)'!QC6:QE6,"C"))*2)+((COUNTIF('Elève (6ème2)'!QC6:QE6,"D"))*1))/(COUNTA(QC6:QE6)),"")</f>
        <v/>
      </c>
      <c r="QG6" s="186" t="str">
        <f t="shared" si="104"/>
        <v/>
      </c>
      <c r="QH6" s="106" t="s">
        <v>23</v>
      </c>
      <c r="QI6" s="107"/>
      <c r="QJ6" s="108"/>
      <c r="QK6" s="185">
        <f>IFERROR((((COUNTIF('Elève (6ème2)'!QH6:QJ6,"A"))*4)+((COUNTIF('Elève (6ème2)'!QH6:QJ6,"B"))*3)+((COUNTIF('Elève (6ème2)'!QH6:QJ6,"C"))*2)+((COUNTIF('Elève (6ème2)'!QH6:QJ6,"D"))*1))/(COUNTA(QH6:QJ6)),"")</f>
        <v>4</v>
      </c>
      <c r="QL6" s="186" t="str">
        <f t="shared" si="105"/>
        <v>A</v>
      </c>
      <c r="QM6" s="106"/>
      <c r="QN6" s="107"/>
      <c r="QO6" s="108" t="s">
        <v>23</v>
      </c>
      <c r="QP6" s="185">
        <f>IFERROR((((COUNTIF('Elève (6ème2)'!QM6:QO6,"A"))*4)+((COUNTIF('Elève (6ème2)'!QM6:QO6,"B"))*3)+((COUNTIF('Elève (6ème2)'!QM6:QO6,"C"))*2)+((COUNTIF('Elève (6ème2)'!QM6:QO6,"D"))*1))/(COUNTA(QM6:QO6)),"")</f>
        <v>4</v>
      </c>
      <c r="QQ6" s="186" t="str">
        <f t="shared" si="106"/>
        <v>A</v>
      </c>
      <c r="QR6" s="185">
        <f>IF(COUNT(QF6,QK6,QP6)=0,"",SUM(QF6,QK6,QP6)/COUNT(QF6,QK6,QP6))</f>
        <v>4</v>
      </c>
      <c r="QS6" s="208" t="str">
        <f t="shared" si="107"/>
        <v>A</v>
      </c>
      <c r="QT6" s="112"/>
      <c r="QU6" s="107"/>
      <c r="QV6" s="108"/>
      <c r="QW6" s="185" t="str">
        <f>IFERROR((((COUNTIF('Elève (6ème2)'!QT6:QV6,"A"))*4)+((COUNTIF('Elève (6ème2)'!QT6:QV6,"B"))*3)+((COUNTIF('Elève (6ème2)'!QT6:QV6,"C"))*2)+((COUNTIF('Elève (6ème2)'!QT6:QV6,"D"))*1))/(COUNTA(QT6:QV6)),"")</f>
        <v/>
      </c>
      <c r="QX6" s="186" t="str">
        <f t="shared" si="108"/>
        <v/>
      </c>
      <c r="QY6" s="106"/>
      <c r="QZ6" s="107"/>
      <c r="RA6" s="108"/>
      <c r="RB6" s="185" t="str">
        <f>IFERROR((((COUNTIF('Elève (6ème2)'!QY6:RA6,"A"))*4)+((COUNTIF('Elève (6ème2)'!QY6:RA6,"B"))*3)+((COUNTIF('Elève (6ème2)'!QY6:RA6,"C"))*2)+((COUNTIF('Elève (6ème2)'!QY6:RA6,"D"))*1))/(COUNTA(QY6:RA6)),"")</f>
        <v/>
      </c>
      <c r="RC6" s="186" t="str">
        <f t="shared" si="109"/>
        <v/>
      </c>
      <c r="RD6" s="106"/>
      <c r="RE6" s="107"/>
      <c r="RF6" s="108"/>
      <c r="RG6" s="185" t="str">
        <f>IFERROR((((COUNTIF('Elève (6ème2)'!RD6:RF6,"A"))*4)+((COUNTIF('Elève (6ème2)'!RD6:RF6,"B"))*3)+((COUNTIF('Elève (6ème2)'!RD6:RF6,"C"))*2)+((COUNTIF('Elève (6ème2)'!RD6:RF6,"D"))*1))/(COUNTA(RD6:RF6)),"")</f>
        <v/>
      </c>
      <c r="RH6" s="186" t="str">
        <f t="shared" si="110"/>
        <v/>
      </c>
      <c r="RI6" s="185" t="str">
        <f>IF(COUNT(QW6,RB6,RG6)=0,"",SUM(QW6,RB6,RG6)/COUNT(QW6,RB6,RG6))</f>
        <v/>
      </c>
      <c r="RJ6" s="208" t="str">
        <f t="shared" si="111"/>
        <v/>
      </c>
      <c r="RK6" s="112"/>
      <c r="RL6" s="107"/>
      <c r="RM6" s="108"/>
      <c r="RN6" s="185" t="str">
        <f>IFERROR((((COUNTIF('Elève (6ème2)'!RK6:RM6,"A"))*4)+((COUNTIF('Elève (6ème2)'!RK6:RM6,"B"))*3)+((COUNTIF('Elève (6ème2)'!RK6:RM6,"C"))*2)+((COUNTIF('Elève (6ème2)'!RK6:RM6,"D"))*1))/(COUNTA(RK6:RM6)),"")</f>
        <v/>
      </c>
      <c r="RO6" s="186" t="str">
        <f t="shared" si="112"/>
        <v/>
      </c>
      <c r="RP6" s="106" t="s">
        <v>23</v>
      </c>
      <c r="RQ6" s="107"/>
      <c r="RR6" s="108"/>
      <c r="RS6" s="185">
        <f>IFERROR((((COUNTIF('Elève (6ème2)'!RP6:RR6,"A"))*4)+((COUNTIF('Elève (6ème2)'!RP6:RR6,"B"))*3)+((COUNTIF('Elève (6ème2)'!RP6:RR6,"C"))*2)+((COUNTIF('Elève (6ème2)'!RP6:RR6,"D"))*1))/(COUNTA(RP6:RR6)),"")</f>
        <v>4</v>
      </c>
      <c r="RT6" s="186" t="str">
        <f t="shared" si="113"/>
        <v>A</v>
      </c>
      <c r="RU6" s="106"/>
      <c r="RV6" s="107"/>
      <c r="RW6" s="108" t="s">
        <v>23</v>
      </c>
      <c r="RX6" s="185">
        <f>IFERROR((((COUNTIF('Elève (6ème2)'!RU6:RW6,"A"))*4)+((COUNTIF('Elève (6ème2)'!RU6:RW6,"B"))*3)+((COUNTIF('Elève (6ème2)'!RU6:RW6,"C"))*2)+((COUNTIF('Elève (6ème2)'!RU6:RW6,"D"))*1))/(COUNTA(RU6:RW6)),"")</f>
        <v>4</v>
      </c>
      <c r="RY6" s="186" t="str">
        <f t="shared" si="114"/>
        <v>A</v>
      </c>
      <c r="RZ6" s="185">
        <f>IF(COUNT(RN6,RS6,RX6)=0,"",SUM(RN6,RS6,RX6)/COUNT(RN6,RS6,RX6))</f>
        <v>4</v>
      </c>
      <c r="SA6" s="208" t="str">
        <f t="shared" si="115"/>
        <v>A</v>
      </c>
      <c r="SB6" s="112"/>
      <c r="SC6" s="107"/>
      <c r="SD6" s="108"/>
      <c r="SE6" s="185" t="str">
        <f>IFERROR((((COUNTIF('Elève (6ème2)'!SB6:SD6,"A"))*4)+((COUNTIF('Elève (6ème2)'!SB6:SD6,"B"))*3)+((COUNTIF('Elève (6ème2)'!SB6:SD6,"C"))*2)+((COUNTIF('Elève (6ème2)'!SB6:SD6,"D"))*1))/(COUNTA(SB6:SD6)),"")</f>
        <v/>
      </c>
      <c r="SF6" s="186" t="str">
        <f t="shared" si="116"/>
        <v/>
      </c>
      <c r="SG6" s="106" t="s">
        <v>23</v>
      </c>
      <c r="SH6" s="107"/>
      <c r="SI6" s="108"/>
      <c r="SJ6" s="185">
        <f>IFERROR((((COUNTIF('Elève (6ème2)'!SG6:SI6,"A"))*4)+((COUNTIF('Elève (6ème2)'!SG6:SI6,"B"))*3)+((COUNTIF('Elève (6ème2)'!SG6:SI6,"C"))*2)+((COUNTIF('Elève (6ème2)'!SG6:SI6,"D"))*1))/(COUNTA(SG6:SI6)),"")</f>
        <v>4</v>
      </c>
      <c r="SK6" s="186" t="str">
        <f t="shared" si="117"/>
        <v>A</v>
      </c>
      <c r="SL6" s="106"/>
      <c r="SM6" s="107"/>
      <c r="SN6" s="108" t="s">
        <v>23</v>
      </c>
      <c r="SO6" s="185">
        <f>IFERROR((((COUNTIF('Elève (6ème2)'!SL6:SN6,"A"))*4)+((COUNTIF('Elève (6ème2)'!SL6:SN6,"B"))*3)+((COUNTIF('Elève (6ème2)'!SL6:SN6,"C"))*2)+((COUNTIF('Elève (6ème2)'!SL6:SN6,"D"))*1))/(COUNTA(SL6:SN6)),"")</f>
        <v>4</v>
      </c>
      <c r="SP6" s="186" t="str">
        <f t="shared" si="118"/>
        <v>A</v>
      </c>
      <c r="SQ6" s="185">
        <f>IF(COUNT(SE6,SJ6,SO6)=0,"",SUM(SE6,SJ6,SO6)/COUNT(SE6,SJ6,SO6))</f>
        <v>4</v>
      </c>
      <c r="SR6" s="208" t="str">
        <f t="shared" si="119"/>
        <v>A</v>
      </c>
      <c r="SS6" s="112"/>
      <c r="ST6" s="107"/>
      <c r="SU6" s="108"/>
      <c r="SV6" s="109" t="str">
        <f>IFERROR((((COUNTIF('Elève (6ème2)'!SS6:SU6,"A"))*4)+((COUNTIF('Elève (6ème2)'!SS6:SU6,"B"))*3)+((COUNTIF('Elève (6ème2)'!SS6:SU6,"C"))*2)+((COUNTIF('Elève (6ème2)'!SS6:SU6,"D"))*1))/(COUNTA(SS6:SU6)),"")</f>
        <v/>
      </c>
      <c r="SW6" s="110" t="str">
        <f t="shared" si="120"/>
        <v/>
      </c>
      <c r="SX6" s="106"/>
      <c r="SY6" s="107"/>
      <c r="SZ6" s="108"/>
      <c r="TA6" s="109" t="str">
        <f>IFERROR((((COUNTIF('Elève (6ème2)'!SX6:SZ6,"A"))*4)+((COUNTIF('Elève (6ème2)'!SX6:SZ6,"B"))*3)+((COUNTIF('Elève (6ème2)'!SX6:SZ6,"C"))*2)+((COUNTIF('Elève (6ème2)'!SX6:SZ6,"D"))*1))/(COUNTA(SX6:SZ6)),"")</f>
        <v/>
      </c>
      <c r="TB6" s="110" t="str">
        <f t="shared" si="121"/>
        <v/>
      </c>
      <c r="TC6" s="106"/>
      <c r="TD6" s="107"/>
      <c r="TE6" s="108" t="s">
        <v>23</v>
      </c>
      <c r="TF6" s="109">
        <f>IFERROR((((COUNTIF('Elève (6ème2)'!TC6:TE6,"A"))*4)+((COUNTIF('Elève (6ème2)'!TC6:TE6,"B"))*3)+((COUNTIF('Elève (6ème2)'!TC6:TE6,"C"))*2)+((COUNTIF('Elève (6ème2)'!TC6:TE6,"D"))*1))/(COUNTA(TC6:TE6)),"")</f>
        <v>4</v>
      </c>
      <c r="TG6" s="110" t="str">
        <f t="shared" si="122"/>
        <v>A</v>
      </c>
      <c r="TH6" s="109">
        <f>IF(COUNT(SV6,TA6,TF6)=0,"",SUM(SV6,TA6,TF6)/COUNT(SV6,TA6,TF6))</f>
        <v>4</v>
      </c>
      <c r="TI6" s="111" t="str">
        <f t="shared" si="123"/>
        <v>A</v>
      </c>
      <c r="TJ6" s="112"/>
      <c r="TK6" s="107"/>
      <c r="TL6" s="108"/>
      <c r="TM6" s="109" t="str">
        <f>IFERROR((((COUNTIF('Elève (6ème2)'!TJ6:TL6,"A"))*4)+((COUNTIF('Elève (6ème2)'!TJ6:TL6,"B"))*3)+((COUNTIF('Elève (6ème2)'!TJ6:TL6,"C"))*2)+((COUNTIF('Elève (6ème2)'!TJ6:TL6,"D"))*1))/(COUNTA(TJ6:TL6)),"")</f>
        <v/>
      </c>
      <c r="TN6" s="110" t="str">
        <f t="shared" si="124"/>
        <v/>
      </c>
      <c r="TO6" s="106"/>
      <c r="TP6" s="107"/>
      <c r="TQ6" s="108"/>
      <c r="TR6" s="109" t="str">
        <f>IFERROR((((COUNTIF('Elève (6ème2)'!TO6:TQ6,"A"))*4)+((COUNTIF('Elève (6ème2)'!TO6:TQ6,"B"))*3)+((COUNTIF('Elève (6ème2)'!TO6:TQ6,"C"))*2)+((COUNTIF('Elève (6ème2)'!TO6:TQ6,"D"))*1))/(COUNTA(TO6:TQ6)),"")</f>
        <v/>
      </c>
      <c r="TS6" s="110" t="str">
        <f t="shared" si="125"/>
        <v/>
      </c>
      <c r="TT6" s="106"/>
      <c r="TU6" s="107"/>
      <c r="TV6" s="108"/>
      <c r="TW6" s="109" t="str">
        <f>IFERROR((((COUNTIF('Elève (6ème2)'!TT6:TV6,"A"))*4)+((COUNTIF('Elève (6ème2)'!TT6:TV6,"B"))*3)+((COUNTIF('Elève (6ème2)'!TT6:TV6,"C"))*2)+((COUNTIF('Elève (6ème2)'!TT6:TV6,"D"))*1))/(COUNTA(TT6:TV6)),"")</f>
        <v/>
      </c>
      <c r="TX6" s="110" t="str">
        <f t="shared" si="126"/>
        <v/>
      </c>
      <c r="TY6" s="109" t="str">
        <f>IF(COUNT(TM6,TR6,TW6)=0,"",SUM(TM6,TR6,TW6)/COUNT(TM6,TR6,TW6))</f>
        <v/>
      </c>
      <c r="TZ6" s="111" t="str">
        <f t="shared" si="127"/>
        <v/>
      </c>
    </row>
    <row r="7" spans="1:546" s="116" customFormat="1" ht="17.25" customHeight="1" thickBot="1" x14ac:dyDescent="0.3">
      <c r="A7" s="162" t="s">
        <v>14</v>
      </c>
      <c r="B7" s="162">
        <v>1</v>
      </c>
      <c r="C7" s="244"/>
      <c r="D7" s="245"/>
      <c r="E7" s="246"/>
      <c r="F7" s="181" t="str">
        <f>IF(COUNT(F8:F11)=0,"",SUM(F8:F11)/COUNT(F8:F11))</f>
        <v/>
      </c>
      <c r="G7" s="182" t="str">
        <f t="shared" si="0"/>
        <v/>
      </c>
      <c r="H7" s="247"/>
      <c r="I7" s="245"/>
      <c r="J7" s="246"/>
      <c r="K7" s="181">
        <f>IF(COUNT(K8,K11)=0,"",SUM(K8:K11)/COUNT(K8,K11))</f>
        <v>7</v>
      </c>
      <c r="L7" s="198" t="str">
        <f t="shared" si="1"/>
        <v>A</v>
      </c>
      <c r="M7" s="247"/>
      <c r="N7" s="245"/>
      <c r="O7" s="246"/>
      <c r="P7" s="181">
        <f>IF(COUNT(P8,P11)=0,"",SUM(P8:P11)/COUNT(P8,P11))</f>
        <v>7.5</v>
      </c>
      <c r="Q7" s="205" t="str">
        <f t="shared" si="2"/>
        <v>A</v>
      </c>
      <c r="R7" s="181">
        <f>IF(COUNT(R8:R11)=0,"",SUM(R8:R11)/COUNT(R8:R11))</f>
        <v>3.625</v>
      </c>
      <c r="S7" s="206" t="str">
        <f t="shared" si="3"/>
        <v>B</v>
      </c>
      <c r="T7" s="245"/>
      <c r="U7" s="245"/>
      <c r="V7" s="246"/>
      <c r="W7" s="181" t="str">
        <f>IF(COUNT(W8:W11)=0,"",SUM(W8:W11)/COUNT(W8:W11))</f>
        <v/>
      </c>
      <c r="X7" s="182" t="str">
        <f t="shared" si="4"/>
        <v/>
      </c>
      <c r="Y7" s="247"/>
      <c r="Z7" s="245"/>
      <c r="AA7" s="246"/>
      <c r="AB7" s="181">
        <f>IF(COUNT(AB8,AB11)=0,"",SUM(AB8:AB11)/COUNT(AB8,AB11))</f>
        <v>7</v>
      </c>
      <c r="AC7" s="198" t="str">
        <f t="shared" si="5"/>
        <v>A</v>
      </c>
      <c r="AD7" s="247"/>
      <c r="AE7" s="245"/>
      <c r="AF7" s="246"/>
      <c r="AG7" s="181">
        <f>IF(COUNT(AG8,AG11)=0,"",SUM(AG8:AG11)/COUNT(AG8,AG11))</f>
        <v>6</v>
      </c>
      <c r="AH7" s="205" t="str">
        <f t="shared" si="6"/>
        <v>A</v>
      </c>
      <c r="AI7" s="181">
        <f>IF(COUNT(AI8:AI11)=0,"",SUM(AI8:AI11)/COUNT(AI8:AI11))</f>
        <v>3.125</v>
      </c>
      <c r="AJ7" s="206" t="str">
        <f t="shared" si="7"/>
        <v>B</v>
      </c>
      <c r="AK7" s="245"/>
      <c r="AL7" s="245"/>
      <c r="AM7" s="246"/>
      <c r="AN7" s="181" t="str">
        <f>IF(COUNT(AN8:AN11)=0,"",SUM(AN8:AN11)/COUNT(AN8:AN11))</f>
        <v/>
      </c>
      <c r="AO7" s="182" t="str">
        <f t="shared" si="8"/>
        <v/>
      </c>
      <c r="AP7" s="247"/>
      <c r="AQ7" s="245"/>
      <c r="AR7" s="246"/>
      <c r="AS7" s="181">
        <f>IF(COUNT(AS8,AS11)=0,"",SUM(AS8:AS11)/COUNT(AS8,AS11))</f>
        <v>6</v>
      </c>
      <c r="AT7" s="198" t="str">
        <f t="shared" si="9"/>
        <v>A</v>
      </c>
      <c r="AU7" s="247"/>
      <c r="AV7" s="245"/>
      <c r="AW7" s="246"/>
      <c r="AX7" s="181">
        <f>IF(COUNT(AX8,AX11)=0,"",SUM(AX8:AX11)/COUNT(AX8,AX11))</f>
        <v>7.25</v>
      </c>
      <c r="AY7" s="205" t="str">
        <f t="shared" si="10"/>
        <v>A</v>
      </c>
      <c r="AZ7" s="181">
        <f>IF(COUNT(AZ8:AZ11)=0,"",SUM(AZ8:AZ11)/COUNT(AZ8:AZ11))</f>
        <v>3.4375</v>
      </c>
      <c r="BA7" s="206" t="str">
        <f t="shared" si="11"/>
        <v>B</v>
      </c>
      <c r="BB7" s="245"/>
      <c r="BC7" s="245"/>
      <c r="BD7" s="246"/>
      <c r="BE7" s="181" t="str">
        <f>IF(COUNT(BE8:BE11)=0,"",SUM(BE8:BE11)/COUNT(BE8:BE11))</f>
        <v/>
      </c>
      <c r="BF7" s="182" t="str">
        <f t="shared" si="12"/>
        <v/>
      </c>
      <c r="BG7" s="247"/>
      <c r="BH7" s="245"/>
      <c r="BI7" s="246"/>
      <c r="BJ7" s="181">
        <f>IF(COUNT(BJ8,BJ11)=0,"",SUM(BJ8:BJ11)/COUNT(BJ8,BJ11))</f>
        <v>7</v>
      </c>
      <c r="BK7" s="198" t="str">
        <f t="shared" si="13"/>
        <v>A</v>
      </c>
      <c r="BL7" s="247"/>
      <c r="BM7" s="245"/>
      <c r="BN7" s="246"/>
      <c r="BO7" s="181">
        <f>IF(COUNT(BO8,BO11)=0,"",SUM(BO8:BO11)/COUNT(BO8,BO11))</f>
        <v>6.75</v>
      </c>
      <c r="BP7" s="205" t="str">
        <f t="shared" si="14"/>
        <v>A</v>
      </c>
      <c r="BQ7" s="181">
        <f>IF(COUNT(BQ8:BQ11)=0,"",SUM(BQ8:BQ11)/COUNT(BQ8:BQ11))</f>
        <v>3.3125</v>
      </c>
      <c r="BR7" s="206" t="str">
        <f t="shared" si="15"/>
        <v>B</v>
      </c>
      <c r="BS7" s="245"/>
      <c r="BT7" s="245"/>
      <c r="BU7" s="246"/>
      <c r="BV7" s="181" t="str">
        <f>IF(COUNT(BV8:BV11)=0,"",SUM(BV8:BV11)/COUNT(BV8:BV11))</f>
        <v/>
      </c>
      <c r="BW7" s="182" t="str">
        <f t="shared" si="16"/>
        <v/>
      </c>
      <c r="BX7" s="247"/>
      <c r="BY7" s="245"/>
      <c r="BZ7" s="246"/>
      <c r="CA7" s="181">
        <f>IF(COUNT(CA8,CA11)=0,"",SUM(CA8:CA11)/COUNT(CA8,CA11))</f>
        <v>7</v>
      </c>
      <c r="CB7" s="198" t="str">
        <f t="shared" si="17"/>
        <v>A</v>
      </c>
      <c r="CC7" s="247"/>
      <c r="CD7" s="245"/>
      <c r="CE7" s="246"/>
      <c r="CF7" s="181">
        <f>IF(COUNT(CF8,CF11)=0,"",SUM(CF8:CF11)/COUNT(CF8,CF11))</f>
        <v>6.75</v>
      </c>
      <c r="CG7" s="205" t="str">
        <f t="shared" si="18"/>
        <v>A</v>
      </c>
      <c r="CH7" s="181">
        <f>IF(COUNT(CH8:CH11)=0,"",SUM(CH8:CH11)/COUNT(CH8:CH11))</f>
        <v>3.3125</v>
      </c>
      <c r="CI7" s="206" t="str">
        <f t="shared" si="19"/>
        <v>B</v>
      </c>
      <c r="CJ7" s="245"/>
      <c r="CK7" s="245"/>
      <c r="CL7" s="246"/>
      <c r="CM7" s="181" t="str">
        <f>IF(COUNT(CM8:CM11)=0,"",SUM(CM8:CM11)/COUNT(CM8:CM11))</f>
        <v/>
      </c>
      <c r="CN7" s="182" t="str">
        <f t="shared" si="20"/>
        <v/>
      </c>
      <c r="CO7" s="247"/>
      <c r="CP7" s="245"/>
      <c r="CQ7" s="246"/>
      <c r="CR7" s="181">
        <f>IF(COUNT(CR8,CR11)=0,"",SUM(CR8:CR11)/COUNT(CR8,CR11))</f>
        <v>6</v>
      </c>
      <c r="CS7" s="198" t="str">
        <f t="shared" si="21"/>
        <v>A</v>
      </c>
      <c r="CT7" s="247"/>
      <c r="CU7" s="245"/>
      <c r="CV7" s="246"/>
      <c r="CW7" s="181">
        <f>IF(COUNT(CW8,CW11)=0,"",SUM(CW8:CW11)/COUNT(CW8,CW11))</f>
        <v>5.75</v>
      </c>
      <c r="CX7" s="205" t="str">
        <f t="shared" si="22"/>
        <v>A</v>
      </c>
      <c r="CY7" s="181">
        <f>IF(COUNT(CY8:CY11)=0,"",SUM(CY8:CY11)/COUNT(CY8:CY11))</f>
        <v>2.8125</v>
      </c>
      <c r="CZ7" s="206" t="str">
        <f t="shared" si="23"/>
        <v>B</v>
      </c>
      <c r="DA7" s="245"/>
      <c r="DB7" s="245"/>
      <c r="DC7" s="246"/>
      <c r="DD7" s="181" t="str">
        <f>IF(COUNT(DD8:DD11)=0,"",SUM(DD8:DD11)/COUNT(DD8:DD11))</f>
        <v/>
      </c>
      <c r="DE7" s="182" t="str">
        <f t="shared" si="24"/>
        <v/>
      </c>
      <c r="DF7" s="247"/>
      <c r="DG7" s="245"/>
      <c r="DH7" s="246"/>
      <c r="DI7" s="181">
        <f>IF(COUNT(DI8,DI11)=0,"",SUM(DI8:DI11)/COUNT(DI8,DI11))</f>
        <v>6</v>
      </c>
      <c r="DJ7" s="198" t="str">
        <f t="shared" si="25"/>
        <v>A</v>
      </c>
      <c r="DK7" s="247"/>
      <c r="DL7" s="245"/>
      <c r="DM7" s="246"/>
      <c r="DN7" s="181">
        <f>IF(COUNT(DN8,DN11)=0,"",SUM(DN8:DN11)/COUNT(DN8,DN11))</f>
        <v>6.25</v>
      </c>
      <c r="DO7" s="205" t="str">
        <f t="shared" si="26"/>
        <v>A</v>
      </c>
      <c r="DP7" s="181">
        <f>IF(COUNT(DP8:DP11)=0,"",SUM(DP8:DP11)/COUNT(DP8:DP11))</f>
        <v>2.9375</v>
      </c>
      <c r="DQ7" s="206" t="str">
        <f t="shared" si="27"/>
        <v>B</v>
      </c>
      <c r="DR7" s="245"/>
      <c r="DS7" s="245"/>
      <c r="DT7" s="246"/>
      <c r="DU7" s="181" t="str">
        <f>IF(COUNT(DU8:DU11)=0,"",SUM(DU8:DU11)/COUNT(DU8:DU11))</f>
        <v/>
      </c>
      <c r="DV7" s="182" t="str">
        <f t="shared" si="28"/>
        <v/>
      </c>
      <c r="DW7" s="247"/>
      <c r="DX7" s="245"/>
      <c r="DY7" s="246"/>
      <c r="DZ7" s="181">
        <f>IF(COUNT(DZ8,DZ11)=0,"",SUM(DZ8:DZ11)/COUNT(DZ8,DZ11))</f>
        <v>7</v>
      </c>
      <c r="EA7" s="198" t="str">
        <f t="shared" si="29"/>
        <v>A</v>
      </c>
      <c r="EB7" s="247"/>
      <c r="EC7" s="245"/>
      <c r="ED7" s="246"/>
      <c r="EE7" s="181">
        <f>IF(COUNT(EE8,EE11)=0,"",SUM(EE8:EE11)/COUNT(EE8,EE11))</f>
        <v>4.5</v>
      </c>
      <c r="EF7" s="205" t="str">
        <f t="shared" si="30"/>
        <v>A</v>
      </c>
      <c r="EG7" s="181">
        <f>IF(COUNT(EG8:EG11)=0,"",SUM(EG8:EG11)/COUNT(EG8:EG11))</f>
        <v>3.125</v>
      </c>
      <c r="EH7" s="206" t="str">
        <f t="shared" si="31"/>
        <v>B</v>
      </c>
      <c r="EI7" s="245"/>
      <c r="EJ7" s="245"/>
      <c r="EK7" s="246"/>
      <c r="EL7" s="181" t="str">
        <f>IF(COUNT(EL8:EL11)=0,"",SUM(EL8:EL11)/COUNT(EL8:EL11))</f>
        <v/>
      </c>
      <c r="EM7" s="182" t="str">
        <f t="shared" si="32"/>
        <v/>
      </c>
      <c r="EN7" s="247"/>
      <c r="EO7" s="245"/>
      <c r="EP7" s="246"/>
      <c r="EQ7" s="181">
        <f>IF(COUNT(EQ8,EQ11)=0,"",SUM(EQ8:EQ11)/COUNT(EQ8,EQ11))</f>
        <v>7</v>
      </c>
      <c r="ER7" s="198" t="str">
        <f t="shared" si="33"/>
        <v>A</v>
      </c>
      <c r="ES7" s="247"/>
      <c r="ET7" s="245"/>
      <c r="EU7" s="246"/>
      <c r="EV7" s="181">
        <f>IF(COUNT(EV8,EV11)=0,"",SUM(EV8:EV11)/COUNT(EV8,EV11))</f>
        <v>5.75</v>
      </c>
      <c r="EW7" s="205" t="str">
        <f t="shared" si="34"/>
        <v>A</v>
      </c>
      <c r="EX7" s="181">
        <f>IF(COUNT(EX8:EX11)=0,"",SUM(EX8:EX11)/COUNT(EX8:EX11))</f>
        <v>2.9375</v>
      </c>
      <c r="EY7" s="206" t="str">
        <f t="shared" si="35"/>
        <v>B</v>
      </c>
      <c r="EZ7" s="245"/>
      <c r="FA7" s="245"/>
      <c r="FB7" s="246"/>
      <c r="FC7" s="181" t="str">
        <f>IF(COUNT(FC8:FC11)=0,"",SUM(FC8:FC11)/COUNT(FC8:FC11))</f>
        <v/>
      </c>
      <c r="FD7" s="182" t="str">
        <f t="shared" si="36"/>
        <v/>
      </c>
      <c r="FE7" s="247"/>
      <c r="FF7" s="245"/>
      <c r="FG7" s="246"/>
      <c r="FH7" s="181">
        <f>IF(COUNT(FH8,FH11)=0,"",SUM(FH8:FH11)/COUNT(FH8,FH11))</f>
        <v>7</v>
      </c>
      <c r="FI7" s="198" t="str">
        <f t="shared" si="37"/>
        <v>A</v>
      </c>
      <c r="FJ7" s="247"/>
      <c r="FK7" s="245"/>
      <c r="FL7" s="246"/>
      <c r="FM7" s="181">
        <f>IF(COUNT(FM8,FM11)=0,"",SUM(FM8:FM11)/COUNT(FM8,FM11))</f>
        <v>7</v>
      </c>
      <c r="FN7" s="205" t="str">
        <f t="shared" si="38"/>
        <v>A</v>
      </c>
      <c r="FO7" s="181">
        <f>IF(COUNT(FO8:FO11)=0,"",SUM(FO8:FO11)/COUNT(FO8:FO11))</f>
        <v>3.5</v>
      </c>
      <c r="FP7" s="206" t="str">
        <f t="shared" si="39"/>
        <v>B</v>
      </c>
      <c r="FQ7" s="245"/>
      <c r="FR7" s="245"/>
      <c r="FS7" s="246"/>
      <c r="FT7" s="181" t="str">
        <f>IF(COUNT(FT8:FT11)=0,"",SUM(FT8:FT11)/COUNT(FT8:FT11))</f>
        <v/>
      </c>
      <c r="FU7" s="182" t="str">
        <f t="shared" si="40"/>
        <v/>
      </c>
      <c r="FV7" s="247"/>
      <c r="FW7" s="245"/>
      <c r="FX7" s="246"/>
      <c r="FY7" s="181">
        <f>IF(COUNT(FY8,FY11)=0,"",SUM(FY8:FY11)/COUNT(FY8,FY11))</f>
        <v>7</v>
      </c>
      <c r="FZ7" s="198" t="str">
        <f t="shared" si="41"/>
        <v>A</v>
      </c>
      <c r="GA7" s="247"/>
      <c r="GB7" s="245"/>
      <c r="GC7" s="246"/>
      <c r="GD7" s="181">
        <f>IF(COUNT(GD8,GD11)=0,"",SUM(GD8:GD11)/COUNT(GD8,GD11))</f>
        <v>7.75</v>
      </c>
      <c r="GE7" s="205" t="str">
        <f t="shared" si="42"/>
        <v>A</v>
      </c>
      <c r="GF7" s="181">
        <f>IF(COUNT(GF8:GF11)=0,"",SUM(GF8:GF11)/COUNT(GF8:GF11))</f>
        <v>3.8125</v>
      </c>
      <c r="GG7" s="206" t="str">
        <f t="shared" si="43"/>
        <v>A</v>
      </c>
      <c r="GH7" s="245"/>
      <c r="GI7" s="245"/>
      <c r="GJ7" s="246"/>
      <c r="GK7" s="181" t="str">
        <f>IF(COUNT(GK8:GK11)=0,"",SUM(GK8:GK11)/COUNT(GK8:GK11))</f>
        <v/>
      </c>
      <c r="GL7" s="182" t="str">
        <f t="shared" si="44"/>
        <v/>
      </c>
      <c r="GM7" s="247"/>
      <c r="GN7" s="245"/>
      <c r="GO7" s="246"/>
      <c r="GP7" s="181">
        <f>IF(COUNT(GP8,GP11)=0,"",SUM(GP8:GP11)/COUNT(GP8,GP11))</f>
        <v>7</v>
      </c>
      <c r="GQ7" s="198" t="str">
        <f t="shared" si="45"/>
        <v>A</v>
      </c>
      <c r="GR7" s="247"/>
      <c r="GS7" s="245"/>
      <c r="GT7" s="246"/>
      <c r="GU7" s="181">
        <f>IF(COUNT(GU8,GU11)=0,"",SUM(GU8:GU11)/COUNT(GU8,GU11))</f>
        <v>7.5</v>
      </c>
      <c r="GV7" s="205" t="str">
        <f t="shared" si="46"/>
        <v>A</v>
      </c>
      <c r="GW7" s="181">
        <f>IF(COUNT(GW8:GW11)=0,"",SUM(GW8:GW11)/COUNT(GW8:GW11))</f>
        <v>3.625</v>
      </c>
      <c r="GX7" s="206" t="str">
        <f t="shared" si="47"/>
        <v>B</v>
      </c>
      <c r="GY7" s="245"/>
      <c r="GZ7" s="245"/>
      <c r="HA7" s="246"/>
      <c r="HB7" s="181" t="str">
        <f>IF(COUNT(HB8:HB11)=0,"",SUM(HB8:HB11)/COUNT(HB8:HB11))</f>
        <v/>
      </c>
      <c r="HC7" s="182" t="str">
        <f t="shared" si="48"/>
        <v/>
      </c>
      <c r="HD7" s="247"/>
      <c r="HE7" s="245"/>
      <c r="HF7" s="246"/>
      <c r="HG7" s="181">
        <f>IF(COUNT(HG8,HG11)=0,"",SUM(HG8:HG11)/COUNT(HG8,HG11))</f>
        <v>7</v>
      </c>
      <c r="HH7" s="198" t="str">
        <f t="shared" si="49"/>
        <v>A</v>
      </c>
      <c r="HI7" s="247"/>
      <c r="HJ7" s="245"/>
      <c r="HK7" s="246"/>
      <c r="HL7" s="181">
        <f>IF(COUNT(HL8,HL11)=0,"",SUM(HL8:HL11)/COUNT(HL8,HL11))</f>
        <v>7.5</v>
      </c>
      <c r="HM7" s="205" t="str">
        <f t="shared" si="50"/>
        <v>A</v>
      </c>
      <c r="HN7" s="181">
        <f>IF(COUNT(HN8:HN11)=0,"",SUM(HN8:HN11)/COUNT(HN8:HN11))</f>
        <v>3.625</v>
      </c>
      <c r="HO7" s="206" t="str">
        <f t="shared" si="51"/>
        <v>B</v>
      </c>
      <c r="HP7" s="245"/>
      <c r="HQ7" s="245"/>
      <c r="HR7" s="246"/>
      <c r="HS7" s="181" t="str">
        <f>IF(COUNT(HS8:HS11)=0,"",SUM(HS8:HS11)/COUNT(HS8:HS11))</f>
        <v/>
      </c>
      <c r="HT7" s="182" t="str">
        <f t="shared" si="52"/>
        <v/>
      </c>
      <c r="HU7" s="247"/>
      <c r="HV7" s="245"/>
      <c r="HW7" s="246"/>
      <c r="HX7" s="181">
        <f>IF(COUNT(HX8,HX11)=0,"",SUM(HX8:HX11)/COUNT(HX8,HX11))</f>
        <v>7</v>
      </c>
      <c r="HY7" s="198" t="str">
        <f t="shared" si="53"/>
        <v>A</v>
      </c>
      <c r="HZ7" s="247"/>
      <c r="IA7" s="245"/>
      <c r="IB7" s="246"/>
      <c r="IC7" s="181">
        <f>IF(COUNT(IC8,IC11)=0,"",SUM(IC8:IC11)/COUNT(IC8,IC11))</f>
        <v>7.5</v>
      </c>
      <c r="ID7" s="205" t="str">
        <f t="shared" si="54"/>
        <v>A</v>
      </c>
      <c r="IE7" s="181">
        <f>IF(COUNT(IE8:IE11)=0,"",SUM(IE8:IE11)/COUNT(IE8:IE11))</f>
        <v>3.625</v>
      </c>
      <c r="IF7" s="206" t="str">
        <f t="shared" si="55"/>
        <v>B</v>
      </c>
      <c r="IG7" s="245"/>
      <c r="IH7" s="245"/>
      <c r="II7" s="246"/>
      <c r="IJ7" s="181" t="str">
        <f>IF(COUNT(IJ8:IJ11)=0,"",SUM(IJ8:IJ11)/COUNT(IJ8:IJ11))</f>
        <v/>
      </c>
      <c r="IK7" s="182" t="str">
        <f t="shared" si="56"/>
        <v/>
      </c>
      <c r="IL7" s="247"/>
      <c r="IM7" s="245"/>
      <c r="IN7" s="246"/>
      <c r="IO7" s="181">
        <f>IF(COUNT(IO8,IO11)=0,"",SUM(IO8:IO11)/COUNT(IO8,IO11))</f>
        <v>7</v>
      </c>
      <c r="IP7" s="198" t="str">
        <f t="shared" si="57"/>
        <v>A</v>
      </c>
      <c r="IQ7" s="247"/>
      <c r="IR7" s="245"/>
      <c r="IS7" s="246"/>
      <c r="IT7" s="181">
        <f>IF(COUNT(IT8,IT11)=0,"",SUM(IT8:IT11)/COUNT(IT8,IT11))</f>
        <v>8</v>
      </c>
      <c r="IU7" s="205" t="str">
        <f t="shared" si="58"/>
        <v>A</v>
      </c>
      <c r="IV7" s="181">
        <f>IF(COUNT(IV8:IV11)=0,"",SUM(IV8:IV11)/COUNT(IV8:IV11))</f>
        <v>3.75</v>
      </c>
      <c r="IW7" s="206" t="str">
        <f t="shared" si="59"/>
        <v>A</v>
      </c>
      <c r="IX7" s="245"/>
      <c r="IY7" s="245"/>
      <c r="IZ7" s="246"/>
      <c r="JA7" s="181" t="str">
        <f>IF(COUNT(JA8:JA11)=0,"",SUM(JA8:JA11)/COUNT(JA8:JA11))</f>
        <v/>
      </c>
      <c r="JB7" s="182" t="str">
        <f t="shared" si="60"/>
        <v/>
      </c>
      <c r="JC7" s="247"/>
      <c r="JD7" s="245"/>
      <c r="JE7" s="246"/>
      <c r="JF7" s="181">
        <f>IF(COUNT(JF8,JF11)=0,"",SUM(JF8:JF11)/COUNT(JF8,JF11))</f>
        <v>7</v>
      </c>
      <c r="JG7" s="198" t="str">
        <f t="shared" si="61"/>
        <v>A</v>
      </c>
      <c r="JH7" s="247"/>
      <c r="JI7" s="245"/>
      <c r="JJ7" s="246"/>
      <c r="JK7" s="181">
        <f>IF(COUNT(JK8,JK11)=0,"",SUM(JK8:JK11)/COUNT(JK8,JK11))</f>
        <v>7.25</v>
      </c>
      <c r="JL7" s="205" t="str">
        <f t="shared" si="62"/>
        <v>A</v>
      </c>
      <c r="JM7" s="181">
        <f>IF(COUNT(JM8:JM11)=0,"",SUM(JM8:JM11)/COUNT(JM8:JM11))</f>
        <v>3.5625</v>
      </c>
      <c r="JN7" s="206" t="str">
        <f t="shared" si="63"/>
        <v>B</v>
      </c>
      <c r="JO7" s="245"/>
      <c r="JP7" s="245"/>
      <c r="JQ7" s="246"/>
      <c r="JR7" s="181" t="str">
        <f>IF(COUNT(JR8:JR11)=0,"",SUM(JR8:JR11)/COUNT(JR8:JR11))</f>
        <v/>
      </c>
      <c r="JS7" s="182" t="str">
        <f t="shared" si="64"/>
        <v/>
      </c>
      <c r="JT7" s="247"/>
      <c r="JU7" s="245"/>
      <c r="JV7" s="246"/>
      <c r="JW7" s="181">
        <f>IF(COUNT(JW8,JW11)=0,"",SUM(JW8:JW11)/COUNT(JW8,JW11))</f>
        <v>7</v>
      </c>
      <c r="JX7" s="198" t="str">
        <f t="shared" si="65"/>
        <v>A</v>
      </c>
      <c r="JY7" s="247"/>
      <c r="JZ7" s="245"/>
      <c r="KA7" s="246"/>
      <c r="KB7" s="181">
        <f>IF(COUNT(KB8,KB11)=0,"",SUM(KB8:KB11)/COUNT(KB8,KB11))</f>
        <v>6.25</v>
      </c>
      <c r="KC7" s="205" t="str">
        <f t="shared" si="66"/>
        <v>A</v>
      </c>
      <c r="KD7" s="181">
        <f>IF(COUNT(KD8:KD11)=0,"",SUM(KD8:KD11)/COUNT(KD8:KD11))</f>
        <v>3.0625</v>
      </c>
      <c r="KE7" s="206" t="str">
        <f t="shared" si="67"/>
        <v>B</v>
      </c>
      <c r="KF7" s="245"/>
      <c r="KG7" s="245"/>
      <c r="KH7" s="246"/>
      <c r="KI7" s="181" t="str">
        <f>IF(COUNT(KI8:KI11)=0,"",SUM(KI8:KI11)/COUNT(KI8:KI11))</f>
        <v/>
      </c>
      <c r="KJ7" s="182" t="str">
        <f t="shared" si="68"/>
        <v/>
      </c>
      <c r="KK7" s="247"/>
      <c r="KL7" s="245"/>
      <c r="KM7" s="246"/>
      <c r="KN7" s="181">
        <f>IF(COUNT(KN8,KN11)=0,"",SUM(KN8:KN11)/COUNT(KN8,KN11))</f>
        <v>7</v>
      </c>
      <c r="KO7" s="198" t="str">
        <f t="shared" si="69"/>
        <v>A</v>
      </c>
      <c r="KP7" s="247"/>
      <c r="KQ7" s="245"/>
      <c r="KR7" s="246"/>
      <c r="KS7" s="181">
        <f>IF(COUNT(KS8,KS11)=0,"",SUM(KS8:KS11)/COUNT(KS8,KS11))</f>
        <v>7.5</v>
      </c>
      <c r="KT7" s="205" t="str">
        <f t="shared" si="70"/>
        <v>A</v>
      </c>
      <c r="KU7" s="181">
        <f>IF(COUNT(KU8:KU11)=0,"",SUM(KU8:KU11)/COUNT(KU8:KU11))</f>
        <v>3.625</v>
      </c>
      <c r="KV7" s="206" t="str">
        <f t="shared" si="71"/>
        <v>B</v>
      </c>
      <c r="KW7" s="245"/>
      <c r="KX7" s="245"/>
      <c r="KY7" s="246"/>
      <c r="KZ7" s="181" t="str">
        <f>IF(COUNT(KZ8:KZ11)=0,"",SUM(KZ8:KZ11)/COUNT(KZ8:KZ11))</f>
        <v/>
      </c>
      <c r="LA7" s="182" t="str">
        <f t="shared" si="72"/>
        <v/>
      </c>
      <c r="LB7" s="247"/>
      <c r="LC7" s="245"/>
      <c r="LD7" s="246"/>
      <c r="LE7" s="181">
        <f>IF(COUNT(LE8,LE11)=0,"",SUM(LE8:LE11)/COUNT(LE8,LE11))</f>
        <v>7</v>
      </c>
      <c r="LF7" s="198" t="str">
        <f t="shared" si="73"/>
        <v>A</v>
      </c>
      <c r="LG7" s="247"/>
      <c r="LH7" s="245"/>
      <c r="LI7" s="246"/>
      <c r="LJ7" s="181">
        <f>IF(COUNT(LJ8,LJ11)=0,"",SUM(LJ8:LJ11)/COUNT(LJ8,LJ11))</f>
        <v>7</v>
      </c>
      <c r="LK7" s="205" t="str">
        <f t="shared" si="74"/>
        <v>A</v>
      </c>
      <c r="LL7" s="181">
        <f>IF(COUNT(LL8:LL11)=0,"",SUM(LL8:LL11)/COUNT(LL8:LL11))</f>
        <v>3.375</v>
      </c>
      <c r="LM7" s="206" t="str">
        <f t="shared" si="75"/>
        <v>B</v>
      </c>
      <c r="LN7" s="245"/>
      <c r="LO7" s="245"/>
      <c r="LP7" s="246"/>
      <c r="LQ7" s="181" t="str">
        <f>IF(COUNT(LQ8:LQ11)=0,"",SUM(LQ8:LQ11)/COUNT(LQ8:LQ11))</f>
        <v/>
      </c>
      <c r="LR7" s="182" t="str">
        <f t="shared" si="76"/>
        <v/>
      </c>
      <c r="LS7" s="247"/>
      <c r="LT7" s="245"/>
      <c r="LU7" s="246"/>
      <c r="LV7" s="181">
        <f>IF(COUNT(LV8,LV11)=0,"",SUM(LV8:LV11)/COUNT(LV8,LV11))</f>
        <v>4</v>
      </c>
      <c r="LW7" s="198" t="str">
        <f t="shared" si="77"/>
        <v>A</v>
      </c>
      <c r="LX7" s="247"/>
      <c r="LY7" s="245"/>
      <c r="LZ7" s="246"/>
      <c r="MA7" s="181">
        <f>IF(COUNT(MA8,MA11)=0,"",SUM(MA8:MA11)/COUNT(MA8,MA11))</f>
        <v>8</v>
      </c>
      <c r="MB7" s="205" t="str">
        <f t="shared" si="78"/>
        <v>A</v>
      </c>
      <c r="MC7" s="181">
        <f>IF(COUNT(MC8:MC11)=0,"",SUM(MC8:MC11)/COUNT(MC8:MC11))</f>
        <v>4</v>
      </c>
      <c r="MD7" s="206" t="str">
        <f t="shared" si="79"/>
        <v>A</v>
      </c>
      <c r="ME7" s="245"/>
      <c r="MF7" s="245"/>
      <c r="MG7" s="246"/>
      <c r="MH7" s="181" t="str">
        <f>IF(COUNT(MH8:MH11)=0,"",SUM(MH8:MH11)/COUNT(MH8:MH11))</f>
        <v/>
      </c>
      <c r="MI7" s="182" t="str">
        <f t="shared" si="80"/>
        <v/>
      </c>
      <c r="MJ7" s="247"/>
      <c r="MK7" s="245"/>
      <c r="ML7" s="246"/>
      <c r="MM7" s="181">
        <f>IF(COUNT(MM8,MM11)=0,"",SUM(MM8:MM11)/COUNT(MM8,MM11))</f>
        <v>7</v>
      </c>
      <c r="MN7" s="198" t="str">
        <f t="shared" si="81"/>
        <v>A</v>
      </c>
      <c r="MO7" s="247"/>
      <c r="MP7" s="245"/>
      <c r="MQ7" s="246"/>
      <c r="MR7" s="181">
        <f>IF(COUNT(MR8,MR11)=0,"",SUM(MR8:MR11)/COUNT(MR8,MR11))</f>
        <v>7</v>
      </c>
      <c r="MS7" s="205" t="str">
        <f t="shared" si="82"/>
        <v>A</v>
      </c>
      <c r="MT7" s="181">
        <f>IF(COUNT(MT8:MT11)=0,"",SUM(MT8:MT11)/COUNT(MT8:MT11))</f>
        <v>3.375</v>
      </c>
      <c r="MU7" s="206" t="str">
        <f t="shared" si="83"/>
        <v>B</v>
      </c>
      <c r="MV7" s="245"/>
      <c r="MW7" s="245"/>
      <c r="MX7" s="246"/>
      <c r="MY7" s="181" t="str">
        <f>IF(COUNT(MY8:MY11)=0,"",SUM(MY8:MY11)/COUNT(MY8:MY11))</f>
        <v/>
      </c>
      <c r="MZ7" s="182" t="str">
        <f t="shared" si="84"/>
        <v/>
      </c>
      <c r="NA7" s="247"/>
      <c r="NB7" s="245"/>
      <c r="NC7" s="246"/>
      <c r="ND7" s="181">
        <f>IF(COUNT(ND8,ND11)=0,"",SUM(ND8:ND11)/COUNT(ND8,ND11))</f>
        <v>7</v>
      </c>
      <c r="NE7" s="198" t="str">
        <f t="shared" si="85"/>
        <v>A</v>
      </c>
      <c r="NF7" s="247"/>
      <c r="NG7" s="245"/>
      <c r="NH7" s="246"/>
      <c r="NI7" s="181">
        <f>IF(COUNT(NI8,NI11)=0,"",SUM(NI8:NI11)/COUNT(NI8,NI11))</f>
        <v>7</v>
      </c>
      <c r="NJ7" s="205" t="str">
        <f t="shared" si="86"/>
        <v>A</v>
      </c>
      <c r="NK7" s="181">
        <f>IF(COUNT(NK8:NK11)=0,"",SUM(NK8:NK11)/COUNT(NK8:NK11))</f>
        <v>3.5</v>
      </c>
      <c r="NL7" s="206" t="str">
        <f t="shared" si="87"/>
        <v>B</v>
      </c>
      <c r="NM7" s="245"/>
      <c r="NN7" s="245"/>
      <c r="NO7" s="246"/>
      <c r="NP7" s="181" t="str">
        <f>IF(COUNT(NP8:NP11)=0,"",SUM(NP8:NP11)/COUNT(NP8:NP11))</f>
        <v/>
      </c>
      <c r="NQ7" s="182" t="str">
        <f t="shared" si="88"/>
        <v/>
      </c>
      <c r="NR7" s="247"/>
      <c r="NS7" s="245"/>
      <c r="NT7" s="246"/>
      <c r="NU7" s="181">
        <f>IF(COUNT(NU8,NU11)=0,"",SUM(NU8:NU11)/COUNT(NU8,NU11))</f>
        <v>7</v>
      </c>
      <c r="NV7" s="198" t="str">
        <f t="shared" si="89"/>
        <v>A</v>
      </c>
      <c r="NW7" s="247"/>
      <c r="NX7" s="245"/>
      <c r="NY7" s="246"/>
      <c r="NZ7" s="181">
        <f>IF(COUNT(NZ8,NZ11)=0,"",SUM(NZ8:NZ11)/COUNT(NZ8,NZ11))</f>
        <v>7.5</v>
      </c>
      <c r="OA7" s="205" t="str">
        <f t="shared" si="90"/>
        <v>A</v>
      </c>
      <c r="OB7" s="181">
        <f>IF(COUNT(OB8:OB11)=0,"",SUM(OB8:OB11)/COUNT(OB8:OB11))</f>
        <v>3.625</v>
      </c>
      <c r="OC7" s="206" t="str">
        <f t="shared" si="91"/>
        <v>B</v>
      </c>
      <c r="OD7" s="245"/>
      <c r="OE7" s="245"/>
      <c r="OF7" s="246"/>
      <c r="OG7" s="181" t="str">
        <f>IF(COUNT(OG8:OG11)=0,"",SUM(OG8:OG11)/COUNT(OG8:OG11))</f>
        <v/>
      </c>
      <c r="OH7" s="182" t="str">
        <f t="shared" si="92"/>
        <v/>
      </c>
      <c r="OI7" s="247"/>
      <c r="OJ7" s="245"/>
      <c r="OK7" s="246"/>
      <c r="OL7" s="181">
        <f>IF(COUNT(OL8,OL11)=0,"",SUM(OL8:OL11)/COUNT(OL8,OL11))</f>
        <v>5</v>
      </c>
      <c r="OM7" s="198" t="str">
        <f t="shared" si="93"/>
        <v>A</v>
      </c>
      <c r="ON7" s="247"/>
      <c r="OO7" s="245"/>
      <c r="OP7" s="246"/>
      <c r="OQ7" s="181" t="str">
        <f>IF(COUNT(OQ8,OQ11)=0,"",SUM(OQ8:OQ11)/COUNT(OQ8,OQ11))</f>
        <v/>
      </c>
      <c r="OR7" s="205" t="str">
        <f t="shared" si="94"/>
        <v/>
      </c>
      <c r="OS7" s="181">
        <f>IF(COUNT(OS8:OS11)=0,"",SUM(OS8:OS11)/COUNT(OS8:OS11))</f>
        <v>2.5</v>
      </c>
      <c r="OT7" s="206" t="str">
        <f t="shared" si="95"/>
        <v>C</v>
      </c>
      <c r="OU7" s="245"/>
      <c r="OV7" s="245"/>
      <c r="OW7" s="246"/>
      <c r="OX7" s="181" t="str">
        <f>IF(COUNT(OX8:OX11)=0,"",SUM(OX8:OX11)/COUNT(OX8:OX11))</f>
        <v/>
      </c>
      <c r="OY7" s="182" t="str">
        <f t="shared" si="96"/>
        <v/>
      </c>
      <c r="OZ7" s="247"/>
      <c r="PA7" s="245"/>
      <c r="PB7" s="246"/>
      <c r="PC7" s="181">
        <f>IF(COUNT(PC8,PC11)=0,"",SUM(PC8:PC11)/COUNT(PC8,PC11))</f>
        <v>7</v>
      </c>
      <c r="PD7" s="198" t="str">
        <f t="shared" si="97"/>
        <v>A</v>
      </c>
      <c r="PE7" s="247"/>
      <c r="PF7" s="245"/>
      <c r="PG7" s="246"/>
      <c r="PH7" s="181">
        <f>IF(COUNT(PH8,PH11)=0,"",SUM(PH8:PH11)/COUNT(PH8,PH11))</f>
        <v>6.75</v>
      </c>
      <c r="PI7" s="205" t="str">
        <f t="shared" si="98"/>
        <v>A</v>
      </c>
      <c r="PJ7" s="181">
        <f>IF(COUNT(PJ8:PJ11)=0,"",SUM(PJ8:PJ11)/COUNT(PJ8:PJ11))</f>
        <v>3.3125</v>
      </c>
      <c r="PK7" s="206" t="str">
        <f t="shared" si="99"/>
        <v>B</v>
      </c>
      <c r="PL7" s="245"/>
      <c r="PM7" s="245"/>
      <c r="PN7" s="246"/>
      <c r="PO7" s="181" t="str">
        <f>IF(COUNT(PO8:PO11)=0,"",SUM(PO8:PO11)/COUNT(PO8:PO11))</f>
        <v/>
      </c>
      <c r="PP7" s="182" t="str">
        <f t="shared" si="100"/>
        <v/>
      </c>
      <c r="PQ7" s="247"/>
      <c r="PR7" s="245"/>
      <c r="PS7" s="246"/>
      <c r="PT7" s="181">
        <f>IF(COUNT(PT8,PT11)=0,"",SUM(PT8:PT11)/COUNT(PT8,PT11))</f>
        <v>7</v>
      </c>
      <c r="PU7" s="198" t="str">
        <f t="shared" si="101"/>
        <v>A</v>
      </c>
      <c r="PV7" s="247"/>
      <c r="PW7" s="245"/>
      <c r="PX7" s="246"/>
      <c r="PY7" s="181">
        <f>IF(COUNT(PY8,PY11)=0,"",SUM(PY8:PY11)/COUNT(PY8,PY11))</f>
        <v>7</v>
      </c>
      <c r="PZ7" s="205" t="str">
        <f t="shared" si="102"/>
        <v>A</v>
      </c>
      <c r="QA7" s="181">
        <f>IF(COUNT(QA8:QA11)=0,"",SUM(QA8:QA11)/COUNT(QA8:QA11))</f>
        <v>3.375</v>
      </c>
      <c r="QB7" s="206" t="str">
        <f t="shared" si="103"/>
        <v>B</v>
      </c>
      <c r="QC7" s="245"/>
      <c r="QD7" s="245"/>
      <c r="QE7" s="246"/>
      <c r="QF7" s="181" t="str">
        <f>IF(COUNT(QF8:QF11)=0,"",SUM(QF8:QF11)/COUNT(QF8:QF11))</f>
        <v/>
      </c>
      <c r="QG7" s="182" t="str">
        <f t="shared" si="104"/>
        <v/>
      </c>
      <c r="QH7" s="247"/>
      <c r="QI7" s="245"/>
      <c r="QJ7" s="246"/>
      <c r="QK7" s="181">
        <f>IF(COUNT(QK8,QK11)=0,"",SUM(QK8:QK11)/COUNT(QK8,QK11))</f>
        <v>4</v>
      </c>
      <c r="QL7" s="198" t="str">
        <f t="shared" si="105"/>
        <v>A</v>
      </c>
      <c r="QM7" s="247"/>
      <c r="QN7" s="245"/>
      <c r="QO7" s="246"/>
      <c r="QP7" s="181">
        <f>IF(COUNT(QP8,QP11)=0,"",SUM(QP8:QP11)/COUNT(QP8,QP11))</f>
        <v>5.5</v>
      </c>
      <c r="QQ7" s="205" t="str">
        <f t="shared" si="106"/>
        <v>A</v>
      </c>
      <c r="QR7" s="181">
        <f>IF(COUNT(QR8:QR11)=0,"",SUM(QR8:QR11)/COUNT(QR8:QR11))</f>
        <v>3</v>
      </c>
      <c r="QS7" s="206" t="str">
        <f t="shared" si="107"/>
        <v>B</v>
      </c>
      <c r="QT7" s="245"/>
      <c r="QU7" s="245"/>
      <c r="QV7" s="246"/>
      <c r="QW7" s="181" t="str">
        <f>IF(COUNT(QW8:QW11)=0,"",SUM(QW8:QW11)/COUNT(QW8:QW11))</f>
        <v/>
      </c>
      <c r="QX7" s="182" t="str">
        <f t="shared" si="108"/>
        <v/>
      </c>
      <c r="QY7" s="247"/>
      <c r="QZ7" s="245"/>
      <c r="RA7" s="246"/>
      <c r="RB7" s="181" t="str">
        <f>IF(COUNT(RB8,RB11)=0,"",SUM(RB8:RB11)/COUNT(RB8,RB11))</f>
        <v/>
      </c>
      <c r="RC7" s="198" t="str">
        <f t="shared" si="109"/>
        <v/>
      </c>
      <c r="RD7" s="247"/>
      <c r="RE7" s="245"/>
      <c r="RF7" s="246"/>
      <c r="RG7" s="181" t="str">
        <f>IF(COUNT(RG8,RG11)=0,"",SUM(RG8:RG11)/COUNT(RG8,RG11))</f>
        <v/>
      </c>
      <c r="RH7" s="205" t="str">
        <f t="shared" si="110"/>
        <v/>
      </c>
      <c r="RI7" s="181" t="str">
        <f>IF(COUNT(RI8:RI11)=0,"",SUM(RI8:RI11)/COUNT(RI8:RI11))</f>
        <v/>
      </c>
      <c r="RJ7" s="206" t="str">
        <f t="shared" si="111"/>
        <v/>
      </c>
      <c r="RK7" s="245"/>
      <c r="RL7" s="245"/>
      <c r="RM7" s="246"/>
      <c r="RN7" s="181" t="str">
        <f>IF(COUNT(RN8:RN11)=0,"",SUM(RN8:RN11)/COUNT(RN8:RN11))</f>
        <v/>
      </c>
      <c r="RO7" s="182" t="str">
        <f t="shared" si="112"/>
        <v/>
      </c>
      <c r="RP7" s="247"/>
      <c r="RQ7" s="245"/>
      <c r="RR7" s="246"/>
      <c r="RS7" s="181">
        <f>IF(COUNT(RS8,RS11)=0,"",SUM(RS8:RS11)/COUNT(RS8,RS11))</f>
        <v>4</v>
      </c>
      <c r="RT7" s="198" t="str">
        <f t="shared" si="113"/>
        <v>A</v>
      </c>
      <c r="RU7" s="247"/>
      <c r="RV7" s="245"/>
      <c r="RW7" s="246"/>
      <c r="RX7" s="181">
        <f>IF(COUNT(RX8,RX11)=0,"",SUM(RX8:RX11)/COUNT(RX8,RX11))</f>
        <v>7.5</v>
      </c>
      <c r="RY7" s="205" t="str">
        <f t="shared" si="114"/>
        <v>A</v>
      </c>
      <c r="RZ7" s="181">
        <f>IF(COUNT(RZ8:RZ11)=0,"",SUM(RZ8:RZ11)/COUNT(RZ8:RZ11))</f>
        <v>3.75</v>
      </c>
      <c r="SA7" s="206" t="str">
        <f t="shared" si="115"/>
        <v>A</v>
      </c>
      <c r="SB7" s="245"/>
      <c r="SC7" s="245"/>
      <c r="SD7" s="246"/>
      <c r="SE7" s="181" t="str">
        <f>IF(COUNT(SE8:SE11)=0,"",SUM(SE8:SE11)/COUNT(SE8:SE11))</f>
        <v/>
      </c>
      <c r="SF7" s="182" t="str">
        <f t="shared" si="116"/>
        <v/>
      </c>
      <c r="SG7" s="247"/>
      <c r="SH7" s="245"/>
      <c r="SI7" s="246"/>
      <c r="SJ7" s="181">
        <f>IF(COUNT(SJ8,SJ11)=0,"",SUM(SJ8:SJ11)/COUNT(SJ8,SJ11))</f>
        <v>7</v>
      </c>
      <c r="SK7" s="198" t="str">
        <f t="shared" si="117"/>
        <v>A</v>
      </c>
      <c r="SL7" s="247"/>
      <c r="SM7" s="245"/>
      <c r="SN7" s="246"/>
      <c r="SO7" s="181">
        <f>IF(COUNT(SO8,SO11)=0,"",SUM(SO8:SO11)/COUNT(SO8,SO11))</f>
        <v>7.25</v>
      </c>
      <c r="SP7" s="205" t="str">
        <f t="shared" si="118"/>
        <v>A</v>
      </c>
      <c r="SQ7" s="181">
        <f>IF(COUNT(SQ8:SQ11)=0,"",SUM(SQ8:SQ11)/COUNT(SQ8:SQ11))</f>
        <v>3.5625</v>
      </c>
      <c r="SR7" s="206" t="str">
        <f t="shared" si="119"/>
        <v>B</v>
      </c>
      <c r="SS7" s="245"/>
      <c r="ST7" s="245"/>
      <c r="SU7" s="246"/>
      <c r="SV7" s="93" t="str">
        <f>IF(COUNT(SV8:SV11)=0,"",SUM(SV8:SV11)/COUNT(SV8:SV11))</f>
        <v/>
      </c>
      <c r="SW7" s="94" t="str">
        <f t="shared" si="120"/>
        <v/>
      </c>
      <c r="SX7" s="247"/>
      <c r="SY7" s="245"/>
      <c r="SZ7" s="246"/>
      <c r="TA7" s="93" t="str">
        <f>IF(COUNT(TA8,TA11)=0,"",SUM(TA8:TA11)/COUNT(TA8,TA11))</f>
        <v/>
      </c>
      <c r="TB7" s="95" t="str">
        <f t="shared" si="121"/>
        <v/>
      </c>
      <c r="TC7" s="247"/>
      <c r="TD7" s="245"/>
      <c r="TE7" s="246"/>
      <c r="TF7" s="93">
        <f>IF(COUNT(TF8,TF11)=0,"",SUM(TF8:TF11)/COUNT(TF8,TF11))</f>
        <v>6.25</v>
      </c>
      <c r="TG7" s="96" t="str">
        <f t="shared" si="122"/>
        <v>A</v>
      </c>
      <c r="TH7" s="93">
        <f>IF(COUNT(TH8:TH11)=0,"",SUM(TH8:TH11)/COUNT(TH8:TH11))</f>
        <v>3</v>
      </c>
      <c r="TI7" s="97" t="str">
        <f t="shared" si="123"/>
        <v>B</v>
      </c>
      <c r="TJ7" s="245"/>
      <c r="TK7" s="245"/>
      <c r="TL7" s="246"/>
      <c r="TM7" s="93" t="str">
        <f>IF(COUNT(TM8:TM11)=0,"",SUM(TM8:TM11)/COUNT(TM8:TM11))</f>
        <v/>
      </c>
      <c r="TN7" s="94" t="str">
        <f t="shared" si="124"/>
        <v/>
      </c>
      <c r="TO7" s="247"/>
      <c r="TP7" s="245"/>
      <c r="TQ7" s="246"/>
      <c r="TR7" s="93" t="str">
        <f>IF(COUNT(TR8,TR11)=0,"",SUM(TR8:TR11)/COUNT(TR8,TR11))</f>
        <v/>
      </c>
      <c r="TS7" s="95" t="str">
        <f t="shared" si="125"/>
        <v/>
      </c>
      <c r="TT7" s="247"/>
      <c r="TU7" s="245"/>
      <c r="TV7" s="246"/>
      <c r="TW7" s="93" t="str">
        <f>IF(COUNT(TW8,TW11)=0,"",SUM(TW8:TW11)/COUNT(TW8,TW11))</f>
        <v/>
      </c>
      <c r="TX7" s="96" t="str">
        <f t="shared" si="126"/>
        <v/>
      </c>
      <c r="TY7" s="93" t="str">
        <f>IF(COUNT(TY8:TY11)=0,"",SUM(TY8:TY11)/COUNT(TY8:TY11))</f>
        <v/>
      </c>
      <c r="TZ7" s="97" t="str">
        <f t="shared" si="127"/>
        <v/>
      </c>
    </row>
    <row r="8" spans="1:546" x14ac:dyDescent="0.25">
      <c r="A8" s="240" t="s">
        <v>39</v>
      </c>
      <c r="B8" s="241"/>
      <c r="C8" s="99"/>
      <c r="D8" s="100"/>
      <c r="E8" s="101"/>
      <c r="F8" s="183" t="str">
        <f>IFERROR((((COUNTIF('Elève (6ème2)'!C8:E8,"A"))*4)+((COUNTIF('Elève (6ème2)'!C8:E8,"B"))*3)+((COUNTIF('Elève (6ème2)'!C8:E8,"C"))*2)+((COUNTIF('Elève (6ème2)'!C8:E8,"D"))*1))/(COUNTA(C8:E8)),"")</f>
        <v/>
      </c>
      <c r="G8" s="184" t="str">
        <f t="shared" si="0"/>
        <v/>
      </c>
      <c r="H8" s="99" t="s">
        <v>23</v>
      </c>
      <c r="I8" s="100"/>
      <c r="J8" s="101"/>
      <c r="K8" s="183">
        <f>IFERROR((((COUNTIF('Elève (6ème2)'!H8:J8,"A"))*4)+((COUNTIF('Elève (6ème2)'!H8:J8,"B"))*3)+((COUNTIF('Elève (6ème2)'!H8:J8,"C"))*2)+((COUNTIF('Elève (6ème2)'!H8:J8,"D"))*1))/(COUNTA(H8:J8)),"")</f>
        <v>4</v>
      </c>
      <c r="L8" s="184" t="str">
        <f t="shared" si="1"/>
        <v>A</v>
      </c>
      <c r="M8" s="99"/>
      <c r="N8" s="100" t="s">
        <v>23</v>
      </c>
      <c r="O8" s="101" t="s">
        <v>23</v>
      </c>
      <c r="P8" s="183">
        <f>IFERROR((((COUNTIF('Elève (6ème2)'!M8:O8,"A"))*4)+((COUNTIF('Elève (6ème2)'!M8:O8,"B"))*3)+((COUNTIF('Elève (6ème2)'!M8:O8,"C"))*2)+((COUNTIF('Elève (6ème2)'!M8:O8,"D"))*1))/(COUNTA(M8:O8)),"")</f>
        <v>4</v>
      </c>
      <c r="Q8" s="184" t="str">
        <f t="shared" si="2"/>
        <v>A</v>
      </c>
      <c r="R8" s="183">
        <f>IF(COUNT(F8,K8,P8)=0,"",SUM(F8,K8,P8)/COUNT(F8,K8,P8))</f>
        <v>4</v>
      </c>
      <c r="S8" s="209" t="str">
        <f t="shared" si="3"/>
        <v>A</v>
      </c>
      <c r="T8" s="105"/>
      <c r="U8" s="100"/>
      <c r="V8" s="101"/>
      <c r="W8" s="183" t="str">
        <f>IFERROR((((COUNTIF('Elève (6ème2)'!T8:V8,"A"))*4)+((COUNTIF('Elève (6ème2)'!T8:V8,"B"))*3)+((COUNTIF('Elève (6ème2)'!T8:V8,"C"))*2)+((COUNTIF('Elève (6ème2)'!T8:V8,"D"))*1))/(COUNTA(T8:V8)),"")</f>
        <v/>
      </c>
      <c r="X8" s="184" t="str">
        <f t="shared" si="4"/>
        <v/>
      </c>
      <c r="Y8" s="99" t="s">
        <v>23</v>
      </c>
      <c r="Z8" s="100"/>
      <c r="AA8" s="101"/>
      <c r="AB8" s="183">
        <f>IFERROR((((COUNTIF('Elève (6ème2)'!Y8:AA8,"A"))*4)+((COUNTIF('Elève (6ème2)'!Y8:AA8,"B"))*3)+((COUNTIF('Elève (6ème2)'!Y8:AA8,"C"))*2)+((COUNTIF('Elève (6ème2)'!Y8:AA8,"D"))*1))/(COUNTA(Y8:AA8)),"")</f>
        <v>4</v>
      </c>
      <c r="AC8" s="184" t="str">
        <f t="shared" si="5"/>
        <v>A</v>
      </c>
      <c r="AD8" s="99"/>
      <c r="AE8" s="100" t="s">
        <v>25</v>
      </c>
      <c r="AF8" s="101" t="s">
        <v>25</v>
      </c>
      <c r="AG8" s="183">
        <f>IFERROR((((COUNTIF('Elève (6ème2)'!AD8:AF8,"A"))*4)+((COUNTIF('Elève (6ème2)'!AD8:AF8,"B"))*3)+((COUNTIF('Elève (6ème2)'!AD8:AF8,"C"))*2)+((COUNTIF('Elève (6ème2)'!AD8:AF8,"D"))*1))/(COUNTA(AD8:AF8)),"")</f>
        <v>2</v>
      </c>
      <c r="AH8" s="184" t="str">
        <f t="shared" si="6"/>
        <v>C</v>
      </c>
      <c r="AI8" s="183">
        <f>IF(COUNT(W8,AB8,AG8)=0,"",SUM(W8,AB8,AG8)/COUNT(W8,AB8,AG8))</f>
        <v>3</v>
      </c>
      <c r="AJ8" s="209" t="str">
        <f t="shared" si="7"/>
        <v>B</v>
      </c>
      <c r="AK8" s="105"/>
      <c r="AL8" s="100"/>
      <c r="AM8" s="101"/>
      <c r="AN8" s="183" t="str">
        <f>IFERROR((((COUNTIF('Elève (6ème2)'!AK8:AM8,"A"))*4)+((COUNTIF('Elève (6ème2)'!AK8:AM8,"B"))*3)+((COUNTIF('Elève (6ème2)'!AK8:AM8,"C"))*2)+((COUNTIF('Elève (6ème2)'!AK8:AM8,"D"))*1))/(COUNTA(AK8:AM8)),"")</f>
        <v/>
      </c>
      <c r="AO8" s="184" t="str">
        <f t="shared" si="8"/>
        <v/>
      </c>
      <c r="AP8" s="99" t="s">
        <v>24</v>
      </c>
      <c r="AQ8" s="100"/>
      <c r="AR8" s="101"/>
      <c r="AS8" s="183">
        <f>IFERROR((((COUNTIF('Elève (6ème2)'!AP8:AR8,"A"))*4)+((COUNTIF('Elève (6ème2)'!AP8:AR8,"B"))*3)+((COUNTIF('Elève (6ème2)'!AP8:AR8,"C"))*2)+((COUNTIF('Elève (6ème2)'!AP8:AR8,"D"))*1))/(COUNTA(AP8:AR8)),"")</f>
        <v>3</v>
      </c>
      <c r="AT8" s="184" t="str">
        <f t="shared" si="9"/>
        <v>B</v>
      </c>
      <c r="AU8" s="99"/>
      <c r="AV8" s="100" t="s">
        <v>24</v>
      </c>
      <c r="AW8" s="101" t="s">
        <v>23</v>
      </c>
      <c r="AX8" s="183">
        <f>IFERROR((((COUNTIF('Elève (6ème2)'!AU8:AW8,"A"))*4)+((COUNTIF('Elève (6ème2)'!AU8:AW8,"B"))*3)+((COUNTIF('Elève (6ème2)'!AU8:AW8,"C"))*2)+((COUNTIF('Elève (6ème2)'!AU8:AW8,"D"))*1))/(COUNTA(AU8:AW8)),"")</f>
        <v>3.5</v>
      </c>
      <c r="AY8" s="184" t="str">
        <f t="shared" si="10"/>
        <v>B</v>
      </c>
      <c r="AZ8" s="183">
        <f>IF(COUNT(AN8,AS8,AX8)=0,"",SUM(AN8,AS8,AX8)/COUNT(AN8,AS8,AX8))</f>
        <v>3.25</v>
      </c>
      <c r="BA8" s="209" t="str">
        <f t="shared" si="11"/>
        <v>B</v>
      </c>
      <c r="BB8" s="105"/>
      <c r="BC8" s="100"/>
      <c r="BD8" s="101"/>
      <c r="BE8" s="183" t="str">
        <f>IFERROR((((COUNTIF('Elève (6ème2)'!BB8:BD8,"A"))*4)+((COUNTIF('Elève (6ème2)'!BB8:BD8,"B"))*3)+((COUNTIF('Elève (6ème2)'!BB8:BD8,"C"))*2)+((COUNTIF('Elève (6ème2)'!BB8:BD8,"D"))*1))/(COUNTA(BB8:BD8)),"")</f>
        <v/>
      </c>
      <c r="BF8" s="184" t="str">
        <f t="shared" si="12"/>
        <v/>
      </c>
      <c r="BG8" s="99" t="s">
        <v>23</v>
      </c>
      <c r="BH8" s="100"/>
      <c r="BI8" s="101"/>
      <c r="BJ8" s="183">
        <f>IFERROR((((COUNTIF('Elève (6ème2)'!BG8:BI8,"A"))*4)+((COUNTIF('Elève (6ème2)'!BG8:BI8,"B"))*3)+((COUNTIF('Elève (6ème2)'!BG8:BI8,"C"))*2)+((COUNTIF('Elève (6ème2)'!BG8:BI8,"D"))*1))/(COUNTA(BG8:BI8)),"")</f>
        <v>4</v>
      </c>
      <c r="BK8" s="184" t="str">
        <f t="shared" si="13"/>
        <v>A</v>
      </c>
      <c r="BL8" s="99"/>
      <c r="BM8" s="100" t="s">
        <v>24</v>
      </c>
      <c r="BN8" s="101" t="s">
        <v>23</v>
      </c>
      <c r="BO8" s="183">
        <f>IFERROR((((COUNTIF('Elève (6ème2)'!BL8:BN8,"A"))*4)+((COUNTIF('Elève (6ème2)'!BL8:BN8,"B"))*3)+((COUNTIF('Elève (6ème2)'!BL8:BN8,"C"))*2)+((COUNTIF('Elève (6ème2)'!BL8:BN8,"D"))*1))/(COUNTA(BL8:BN8)),"")</f>
        <v>3.5</v>
      </c>
      <c r="BP8" s="184" t="str">
        <f t="shared" si="14"/>
        <v>B</v>
      </c>
      <c r="BQ8" s="183">
        <f>IF(COUNT(BE8,BJ8,BO8)=0,"",SUM(BE8,BJ8,BO8)/COUNT(BE8,BJ8,BO8))</f>
        <v>3.75</v>
      </c>
      <c r="BR8" s="209" t="str">
        <f t="shared" si="15"/>
        <v>A</v>
      </c>
      <c r="BS8" s="105"/>
      <c r="BT8" s="100"/>
      <c r="BU8" s="101"/>
      <c r="BV8" s="183" t="str">
        <f>IFERROR((((COUNTIF('Elève (6ème2)'!BS8:BU8,"A"))*4)+((COUNTIF('Elève (6ème2)'!BS8:BU8,"B"))*3)+((COUNTIF('Elève (6ème2)'!BS8:BU8,"C"))*2)+((COUNTIF('Elève (6ème2)'!BS8:BU8,"D"))*1))/(COUNTA(BS8:BU8)),"")</f>
        <v/>
      </c>
      <c r="BW8" s="184" t="str">
        <f t="shared" si="16"/>
        <v/>
      </c>
      <c r="BX8" s="99" t="s">
        <v>23</v>
      </c>
      <c r="BY8" s="100"/>
      <c r="BZ8" s="101"/>
      <c r="CA8" s="183">
        <f>IFERROR((((COUNTIF('Elève (6ème2)'!BX8:BZ8,"A"))*4)+((COUNTIF('Elève (6ème2)'!BX8:BZ8,"B"))*3)+((COUNTIF('Elève (6ème2)'!BX8:BZ8,"C"))*2)+((COUNTIF('Elève (6ème2)'!BX8:BZ8,"D"))*1))/(COUNTA(BX8:BZ8)),"")</f>
        <v>4</v>
      </c>
      <c r="CB8" s="184" t="str">
        <f t="shared" si="17"/>
        <v>A</v>
      </c>
      <c r="CC8" s="99"/>
      <c r="CD8" s="100" t="s">
        <v>24</v>
      </c>
      <c r="CE8" s="101" t="s">
        <v>23</v>
      </c>
      <c r="CF8" s="183">
        <f>IFERROR((((COUNTIF('Elève (6ème2)'!CC8:CE8,"A"))*4)+((COUNTIF('Elève (6ème2)'!CC8:CE8,"B"))*3)+((COUNTIF('Elève (6ème2)'!CC8:CE8,"C"))*2)+((COUNTIF('Elève (6ème2)'!CC8:CE8,"D"))*1))/(COUNTA(CC8:CE8)),"")</f>
        <v>3.5</v>
      </c>
      <c r="CG8" s="184" t="str">
        <f t="shared" si="18"/>
        <v>B</v>
      </c>
      <c r="CH8" s="183">
        <f>IF(COUNT(BV8,CA8,CF8)=0,"",SUM(BV8,CA8,CF8)/COUNT(BV8,CA8,CF8))</f>
        <v>3.75</v>
      </c>
      <c r="CI8" s="209" t="str">
        <f t="shared" si="19"/>
        <v>A</v>
      </c>
      <c r="CJ8" s="105"/>
      <c r="CK8" s="100"/>
      <c r="CL8" s="101"/>
      <c r="CM8" s="183" t="str">
        <f>IFERROR((((COUNTIF('Elève (6ème2)'!CJ8:CL8,"A"))*4)+((COUNTIF('Elève (6ème2)'!CJ8:CL8,"B"))*3)+((COUNTIF('Elève (6ème2)'!CJ8:CL8,"C"))*2)+((COUNTIF('Elève (6ème2)'!CJ8:CL8,"D"))*1))/(COUNTA(CJ8:CL8)),"")</f>
        <v/>
      </c>
      <c r="CN8" s="184" t="str">
        <f t="shared" si="20"/>
        <v/>
      </c>
      <c r="CO8" s="99" t="s">
        <v>24</v>
      </c>
      <c r="CP8" s="100"/>
      <c r="CQ8" s="101"/>
      <c r="CR8" s="183">
        <f>IFERROR((((COUNTIF('Elève (6ème2)'!CO8:CQ8,"A"))*4)+((COUNTIF('Elève (6ème2)'!CO8:CQ8,"B"))*3)+((COUNTIF('Elève (6ème2)'!CO8:CQ8,"C"))*2)+((COUNTIF('Elève (6ème2)'!CO8:CQ8,"D"))*1))/(COUNTA(CO8:CQ8)),"")</f>
        <v>3</v>
      </c>
      <c r="CS8" s="184" t="str">
        <f t="shared" si="21"/>
        <v>B</v>
      </c>
      <c r="CT8" s="99"/>
      <c r="CU8" s="100" t="s">
        <v>24</v>
      </c>
      <c r="CV8" s="101" t="s">
        <v>25</v>
      </c>
      <c r="CW8" s="183">
        <f>IFERROR((((COUNTIF('Elève (6ème2)'!CT8:CV8,"A"))*4)+((COUNTIF('Elève (6ème2)'!CT8:CV8,"B"))*3)+((COUNTIF('Elève (6ème2)'!CT8:CV8,"C"))*2)+((COUNTIF('Elève (6ème2)'!CT8:CV8,"D"))*1))/(COUNTA(CT8:CV8)),"")</f>
        <v>2.5</v>
      </c>
      <c r="CX8" s="184" t="str">
        <f t="shared" si="22"/>
        <v>C</v>
      </c>
      <c r="CY8" s="183">
        <f>IF(COUNT(CM8,CR8,CW8)=0,"",SUM(CM8,CR8,CW8)/COUNT(CM8,CR8,CW8))</f>
        <v>2.75</v>
      </c>
      <c r="CZ8" s="209" t="str">
        <f t="shared" si="23"/>
        <v>C</v>
      </c>
      <c r="DA8" s="105"/>
      <c r="DB8" s="100"/>
      <c r="DC8" s="101"/>
      <c r="DD8" s="183" t="str">
        <f>IFERROR((((COUNTIF('Elève (6ème2)'!DA8:DC8,"A"))*4)+((COUNTIF('Elève (6ème2)'!DA8:DC8,"B"))*3)+((COUNTIF('Elève (6ème2)'!DA8:DC8,"C"))*2)+((COUNTIF('Elève (6ème2)'!DA8:DC8,"D"))*1))/(COUNTA(DA8:DC8)),"")</f>
        <v/>
      </c>
      <c r="DE8" s="184" t="str">
        <f t="shared" si="24"/>
        <v/>
      </c>
      <c r="DF8" s="99" t="s">
        <v>24</v>
      </c>
      <c r="DG8" s="100"/>
      <c r="DH8" s="101"/>
      <c r="DI8" s="183">
        <f>IFERROR((((COUNTIF('Elève (6ème2)'!DF8:DH8,"A"))*4)+((COUNTIF('Elève (6ème2)'!DF8:DH8,"B"))*3)+((COUNTIF('Elève (6ème2)'!DF8:DH8,"C"))*2)+((COUNTIF('Elève (6ème2)'!DF8:DH8,"D"))*1))/(COUNTA(DF8:DH8)),"")</f>
        <v>3</v>
      </c>
      <c r="DJ8" s="184" t="str">
        <f t="shared" si="25"/>
        <v>B</v>
      </c>
      <c r="DK8" s="99"/>
      <c r="DL8" s="100" t="s">
        <v>23</v>
      </c>
      <c r="DM8" s="101" t="s">
        <v>24</v>
      </c>
      <c r="DN8" s="183">
        <f>IFERROR((((COUNTIF('Elève (6ème2)'!DK8:DM8,"A"))*4)+((COUNTIF('Elève (6ème2)'!DK8:DM8,"B"))*3)+((COUNTIF('Elève (6ème2)'!DK8:DM8,"C"))*2)+((COUNTIF('Elève (6ème2)'!DK8:DM8,"D"))*1))/(COUNTA(DK8:DM8)),"")</f>
        <v>3.5</v>
      </c>
      <c r="DO8" s="184" t="str">
        <f t="shared" si="26"/>
        <v>B</v>
      </c>
      <c r="DP8" s="183">
        <f>IF(COUNT(DD8,DI8,DN8)=0,"",SUM(DD8,DI8,DN8)/COUNT(DD8,DI8,DN8))</f>
        <v>3.25</v>
      </c>
      <c r="DQ8" s="209" t="str">
        <f t="shared" si="27"/>
        <v>B</v>
      </c>
      <c r="DR8" s="105"/>
      <c r="DS8" s="100"/>
      <c r="DT8" s="101"/>
      <c r="DU8" s="183" t="str">
        <f>IFERROR((((COUNTIF('Elève (6ème2)'!DR8:DT8,"A"))*4)+((COUNTIF('Elève (6ème2)'!DR8:DT8,"B"))*3)+((COUNTIF('Elève (6ème2)'!DR8:DT8,"C"))*2)+((COUNTIF('Elève (6ème2)'!DR8:DT8,"D"))*1))/(COUNTA(DR8:DT8)),"")</f>
        <v/>
      </c>
      <c r="DV8" s="184" t="str">
        <f t="shared" si="28"/>
        <v/>
      </c>
      <c r="DW8" s="99" t="s">
        <v>23</v>
      </c>
      <c r="DX8" s="100"/>
      <c r="DY8" s="101"/>
      <c r="DZ8" s="183">
        <f>IFERROR((((COUNTIF('Elève (6ème2)'!DW8:DY8,"A"))*4)+((COUNTIF('Elève (6ème2)'!DW8:DY8,"B"))*3)+((COUNTIF('Elève (6ème2)'!DW8:DY8,"C"))*2)+((COUNTIF('Elève (6ème2)'!DW8:DY8,"D"))*1))/(COUNTA(DW8:DY8)),"")</f>
        <v>4</v>
      </c>
      <c r="EA8" s="184" t="str">
        <f t="shared" si="29"/>
        <v>A</v>
      </c>
      <c r="EB8" s="99"/>
      <c r="EC8" s="100"/>
      <c r="ED8" s="101" t="s">
        <v>24</v>
      </c>
      <c r="EE8" s="183">
        <f>IFERROR((((COUNTIF('Elève (6ème2)'!EB8:ED8,"A"))*4)+((COUNTIF('Elève (6ème2)'!EB8:ED8,"B"))*3)+((COUNTIF('Elève (6ème2)'!EB8:ED8,"C"))*2)+((COUNTIF('Elève (6ème2)'!EB8:ED8,"D"))*1))/(COUNTA(EB8:ED8)),"")</f>
        <v>3</v>
      </c>
      <c r="EF8" s="184" t="str">
        <f t="shared" si="30"/>
        <v>B</v>
      </c>
      <c r="EG8" s="183">
        <f>IF(COUNT(DU8,DZ8,EE8)=0,"",SUM(DU8,DZ8,EE8)/COUNT(DU8,DZ8,EE8))</f>
        <v>3.5</v>
      </c>
      <c r="EH8" s="209" t="str">
        <f t="shared" si="31"/>
        <v>B</v>
      </c>
      <c r="EI8" s="105"/>
      <c r="EJ8" s="100"/>
      <c r="EK8" s="101"/>
      <c r="EL8" s="183" t="str">
        <f>IFERROR((((COUNTIF('Elève (6ème2)'!EI8:EK8,"A"))*4)+((COUNTIF('Elève (6ème2)'!EI8:EK8,"B"))*3)+((COUNTIF('Elève (6ème2)'!EI8:EK8,"C"))*2)+((COUNTIF('Elève (6ème2)'!EI8:EK8,"D"))*1))/(COUNTA(EI8:EK8)),"")</f>
        <v/>
      </c>
      <c r="EM8" s="184" t="str">
        <f t="shared" si="32"/>
        <v/>
      </c>
      <c r="EN8" s="99" t="s">
        <v>23</v>
      </c>
      <c r="EO8" s="100"/>
      <c r="EP8" s="101"/>
      <c r="EQ8" s="183">
        <f>IFERROR((((COUNTIF('Elève (6ème2)'!EN8:EP8,"A"))*4)+((COUNTIF('Elève (6ème2)'!EN8:EP8,"B"))*3)+((COUNTIF('Elève (6ème2)'!EN8:EP8,"C"))*2)+((COUNTIF('Elève (6ème2)'!EN8:EP8,"D"))*1))/(COUNTA(EN8:EP8)),"")</f>
        <v>4</v>
      </c>
      <c r="ER8" s="184" t="str">
        <f t="shared" si="33"/>
        <v>A</v>
      </c>
      <c r="ES8" s="99"/>
      <c r="ET8" s="100" t="s">
        <v>24</v>
      </c>
      <c r="EU8" s="101" t="s">
        <v>25</v>
      </c>
      <c r="EV8" s="183">
        <f>IFERROR((((COUNTIF('Elève (6ème2)'!ES8:EU8,"A"))*4)+((COUNTIF('Elève (6ème2)'!ES8:EU8,"B"))*3)+((COUNTIF('Elève (6ème2)'!ES8:EU8,"C"))*2)+((COUNTIF('Elève (6ème2)'!ES8:EU8,"D"))*1))/(COUNTA(ES8:EU8)),"")</f>
        <v>2.5</v>
      </c>
      <c r="EW8" s="184" t="str">
        <f t="shared" si="34"/>
        <v>C</v>
      </c>
      <c r="EX8" s="183">
        <f>IF(COUNT(EL8,EQ8,EV8)=0,"",SUM(EL8,EQ8,EV8)/COUNT(EL8,EQ8,EV8))</f>
        <v>3.25</v>
      </c>
      <c r="EY8" s="209" t="str">
        <f t="shared" si="35"/>
        <v>B</v>
      </c>
      <c r="EZ8" s="105"/>
      <c r="FA8" s="100"/>
      <c r="FB8" s="101"/>
      <c r="FC8" s="183" t="str">
        <f>IFERROR((((COUNTIF('Elève (6ème2)'!EZ8:FB8,"A"))*4)+((COUNTIF('Elève (6ème2)'!EZ8:FB8,"B"))*3)+((COUNTIF('Elève (6ème2)'!EZ8:FB8,"C"))*2)+((COUNTIF('Elève (6ème2)'!EZ8:FB8,"D"))*1))/(COUNTA(EZ8:FB8)),"")</f>
        <v/>
      </c>
      <c r="FD8" s="184" t="str">
        <f t="shared" si="36"/>
        <v/>
      </c>
      <c r="FE8" s="99" t="s">
        <v>23</v>
      </c>
      <c r="FF8" s="100"/>
      <c r="FG8" s="101"/>
      <c r="FH8" s="183">
        <f>IFERROR((((COUNTIF('Elève (6ème2)'!FE8:FG8,"A"))*4)+((COUNTIF('Elève (6ème2)'!FE8:FG8,"B"))*3)+((COUNTIF('Elève (6ème2)'!FE8:FG8,"C"))*2)+((COUNTIF('Elève (6ème2)'!FE8:FG8,"D"))*1))/(COUNTA(FE8:FG8)),"")</f>
        <v>4</v>
      </c>
      <c r="FI8" s="184" t="str">
        <f t="shared" si="37"/>
        <v>A</v>
      </c>
      <c r="FJ8" s="99"/>
      <c r="FK8" s="100" t="s">
        <v>24</v>
      </c>
      <c r="FL8" s="101" t="s">
        <v>24</v>
      </c>
      <c r="FM8" s="183">
        <f>IFERROR((((COUNTIF('Elève (6ème2)'!FJ8:FL8,"A"))*4)+((COUNTIF('Elève (6ème2)'!FJ8:FL8,"B"))*3)+((COUNTIF('Elève (6ème2)'!FJ8:FL8,"C"))*2)+((COUNTIF('Elève (6ème2)'!FJ8:FL8,"D"))*1))/(COUNTA(FJ8:FL8)),"")</f>
        <v>3</v>
      </c>
      <c r="FN8" s="184" t="str">
        <f t="shared" si="38"/>
        <v>B</v>
      </c>
      <c r="FO8" s="183">
        <f>IF(COUNT(FC8,FH8,FM8)=0,"",SUM(FC8,FH8,FM8)/COUNT(FC8,FH8,FM8))</f>
        <v>3.5</v>
      </c>
      <c r="FP8" s="209" t="str">
        <f t="shared" si="39"/>
        <v>B</v>
      </c>
      <c r="FQ8" s="105"/>
      <c r="FR8" s="100"/>
      <c r="FS8" s="101"/>
      <c r="FT8" s="183" t="str">
        <f>IFERROR((((COUNTIF('Elève (6ème2)'!FQ8:FS8,"A"))*4)+((COUNTIF('Elève (6ème2)'!FQ8:FS8,"B"))*3)+((COUNTIF('Elève (6ème2)'!FQ8:FS8,"C"))*2)+((COUNTIF('Elève (6ème2)'!FQ8:FS8,"D"))*1))/(COUNTA(FQ8:FS8)),"")</f>
        <v/>
      </c>
      <c r="FU8" s="184" t="str">
        <f t="shared" si="40"/>
        <v/>
      </c>
      <c r="FV8" s="99" t="s">
        <v>23</v>
      </c>
      <c r="FW8" s="100"/>
      <c r="FX8" s="101"/>
      <c r="FY8" s="183">
        <f>IFERROR((((COUNTIF('Elève (6ème2)'!FV8:FX8,"A"))*4)+((COUNTIF('Elève (6ème2)'!FV8:FX8,"B"))*3)+((COUNTIF('Elève (6ème2)'!FV8:FX8,"C"))*2)+((COUNTIF('Elève (6ème2)'!FV8:FX8,"D"))*1))/(COUNTA(FV8:FX8)),"")</f>
        <v>4</v>
      </c>
      <c r="FZ8" s="184" t="str">
        <f t="shared" si="41"/>
        <v>A</v>
      </c>
      <c r="GA8" s="99"/>
      <c r="GB8" s="100" t="s">
        <v>24</v>
      </c>
      <c r="GC8" s="101" t="s">
        <v>23</v>
      </c>
      <c r="GD8" s="183">
        <f>IFERROR((((COUNTIF('Elève (6ème2)'!GA8:GC8,"A"))*4)+((COUNTIF('Elève (6ème2)'!GA8:GC8,"B"))*3)+((COUNTIF('Elève (6ème2)'!GA8:GC8,"C"))*2)+((COUNTIF('Elève (6ème2)'!GA8:GC8,"D"))*1))/(COUNTA(GA8:GC8)),"")</f>
        <v>3.5</v>
      </c>
      <c r="GE8" s="184" t="str">
        <f t="shared" si="42"/>
        <v>B</v>
      </c>
      <c r="GF8" s="183">
        <f>IF(COUNT(FT8,FY8,GD8)=0,"",SUM(FT8,FY8,GD8)/COUNT(FT8,FY8,GD8))</f>
        <v>3.75</v>
      </c>
      <c r="GG8" s="209" t="str">
        <f t="shared" si="43"/>
        <v>A</v>
      </c>
      <c r="GH8" s="105"/>
      <c r="GI8" s="100"/>
      <c r="GJ8" s="101"/>
      <c r="GK8" s="183" t="str">
        <f>IFERROR((((COUNTIF('Elève (6ème2)'!GH8:GJ8,"A"))*4)+((COUNTIF('Elève (6ème2)'!GH8:GJ8,"B"))*3)+((COUNTIF('Elève (6ème2)'!GH8:GJ8,"C"))*2)+((COUNTIF('Elève (6ème2)'!GH8:GJ8,"D"))*1))/(COUNTA(GH8:GJ8)),"")</f>
        <v/>
      </c>
      <c r="GL8" s="184" t="str">
        <f t="shared" si="44"/>
        <v/>
      </c>
      <c r="GM8" s="99" t="s">
        <v>23</v>
      </c>
      <c r="GN8" s="100"/>
      <c r="GO8" s="101"/>
      <c r="GP8" s="183">
        <f>IFERROR((((COUNTIF('Elève (6ème2)'!GM8:GO8,"A"))*4)+((COUNTIF('Elève (6ème2)'!GM8:GO8,"B"))*3)+((COUNTIF('Elève (6ème2)'!GM8:GO8,"C"))*2)+((COUNTIF('Elève (6ème2)'!GM8:GO8,"D"))*1))/(COUNTA(GM8:GO8)),"")</f>
        <v>4</v>
      </c>
      <c r="GQ8" s="184" t="str">
        <f t="shared" si="45"/>
        <v>A</v>
      </c>
      <c r="GR8" s="99"/>
      <c r="GS8" s="100" t="s">
        <v>23</v>
      </c>
      <c r="GT8" s="101" t="s">
        <v>23</v>
      </c>
      <c r="GU8" s="183">
        <f>IFERROR((((COUNTIF('Elève (6ème2)'!GR8:GT8,"A"))*4)+((COUNTIF('Elève (6ème2)'!GR8:GT8,"B"))*3)+((COUNTIF('Elève (6ème2)'!GR8:GT8,"C"))*2)+((COUNTIF('Elève (6ème2)'!GR8:GT8,"D"))*1))/(COUNTA(GR8:GT8)),"")</f>
        <v>4</v>
      </c>
      <c r="GV8" s="184" t="str">
        <f t="shared" si="46"/>
        <v>A</v>
      </c>
      <c r="GW8" s="183">
        <f>IF(COUNT(GK8,GP8,GU8)=0,"",SUM(GK8,GP8,GU8)/COUNT(GK8,GP8,GU8))</f>
        <v>4</v>
      </c>
      <c r="GX8" s="209" t="str">
        <f t="shared" si="47"/>
        <v>A</v>
      </c>
      <c r="GY8" s="105"/>
      <c r="GZ8" s="100"/>
      <c r="HA8" s="101"/>
      <c r="HB8" s="183" t="str">
        <f>IFERROR((((COUNTIF('Elève (6ème2)'!GY8:HA8,"A"))*4)+((COUNTIF('Elève (6ème2)'!GY8:HA8,"B"))*3)+((COUNTIF('Elève (6ème2)'!GY8:HA8,"C"))*2)+((COUNTIF('Elève (6ème2)'!GY8:HA8,"D"))*1))/(COUNTA(GY8:HA8)),"")</f>
        <v/>
      </c>
      <c r="HC8" s="184" t="str">
        <f t="shared" si="48"/>
        <v/>
      </c>
      <c r="HD8" s="99" t="s">
        <v>23</v>
      </c>
      <c r="HE8" s="100"/>
      <c r="HF8" s="101"/>
      <c r="HG8" s="183">
        <f>IFERROR((((COUNTIF('Elève (6ème2)'!HD8:HF8,"A"))*4)+((COUNTIF('Elève (6ème2)'!HD8:HF8,"B"))*3)+((COUNTIF('Elève (6ème2)'!HD8:HF8,"C"))*2)+((COUNTIF('Elève (6ème2)'!HD8:HF8,"D"))*1))/(COUNTA(HD8:HF8)),"")</f>
        <v>4</v>
      </c>
      <c r="HH8" s="184" t="str">
        <f t="shared" si="49"/>
        <v>A</v>
      </c>
      <c r="HI8" s="99"/>
      <c r="HJ8" s="100" t="s">
        <v>23</v>
      </c>
      <c r="HK8" s="101" t="s">
        <v>23</v>
      </c>
      <c r="HL8" s="183">
        <f>IFERROR((((COUNTIF('Elève (6ème2)'!HI8:HK8,"A"))*4)+((COUNTIF('Elève (6ème2)'!HI8:HK8,"B"))*3)+((COUNTIF('Elève (6ème2)'!HI8:HK8,"C"))*2)+((COUNTIF('Elève (6ème2)'!HI8:HK8,"D"))*1))/(COUNTA(HI8:HK8)),"")</f>
        <v>4</v>
      </c>
      <c r="HM8" s="184" t="str">
        <f t="shared" si="50"/>
        <v>A</v>
      </c>
      <c r="HN8" s="183">
        <f>IF(COUNT(HB8,HG8,HL8)=0,"",SUM(HB8,HG8,HL8)/COUNT(HB8,HG8,HL8))</f>
        <v>4</v>
      </c>
      <c r="HO8" s="209" t="str">
        <f t="shared" si="51"/>
        <v>A</v>
      </c>
      <c r="HP8" s="105"/>
      <c r="HQ8" s="100"/>
      <c r="HR8" s="101"/>
      <c r="HS8" s="183" t="str">
        <f>IFERROR((((COUNTIF('Elève (6ème2)'!HP8:HR8,"A"))*4)+((COUNTIF('Elève (6ème2)'!HP8:HR8,"B"))*3)+((COUNTIF('Elève (6ème2)'!HP8:HR8,"C"))*2)+((COUNTIF('Elève (6ème2)'!HP8:HR8,"D"))*1))/(COUNTA(HP8:HR8)),"")</f>
        <v/>
      </c>
      <c r="HT8" s="184" t="str">
        <f t="shared" si="52"/>
        <v/>
      </c>
      <c r="HU8" s="99" t="s">
        <v>23</v>
      </c>
      <c r="HV8" s="100"/>
      <c r="HW8" s="101"/>
      <c r="HX8" s="183">
        <f>IFERROR((((COUNTIF('Elève (6ème2)'!HU8:HW8,"A"))*4)+((COUNTIF('Elève (6ème2)'!HU8:HW8,"B"))*3)+((COUNTIF('Elève (6ème2)'!HU8:HW8,"C"))*2)+((COUNTIF('Elève (6ème2)'!HU8:HW8,"D"))*1))/(COUNTA(HU8:HW8)),"")</f>
        <v>4</v>
      </c>
      <c r="HY8" s="184" t="str">
        <f t="shared" si="53"/>
        <v>A</v>
      </c>
      <c r="HZ8" s="99"/>
      <c r="IA8" s="100" t="s">
        <v>23</v>
      </c>
      <c r="IB8" s="101" t="s">
        <v>23</v>
      </c>
      <c r="IC8" s="183">
        <f>IFERROR((((COUNTIF('Elève (6ème2)'!HZ8:IB8,"A"))*4)+((COUNTIF('Elève (6ème2)'!HZ8:IB8,"B"))*3)+((COUNTIF('Elève (6ème2)'!HZ8:IB8,"C"))*2)+((COUNTIF('Elève (6ème2)'!HZ8:IB8,"D"))*1))/(COUNTA(HZ8:IB8)),"")</f>
        <v>4</v>
      </c>
      <c r="ID8" s="184" t="str">
        <f t="shared" si="54"/>
        <v>A</v>
      </c>
      <c r="IE8" s="183">
        <f>IF(COUNT(HS8,HX8,IC8)=0,"",SUM(HS8,HX8,IC8)/COUNT(HS8,HX8,IC8))</f>
        <v>4</v>
      </c>
      <c r="IF8" s="209" t="str">
        <f t="shared" si="55"/>
        <v>A</v>
      </c>
      <c r="IG8" s="105"/>
      <c r="IH8" s="100"/>
      <c r="II8" s="101"/>
      <c r="IJ8" s="183" t="str">
        <f>IFERROR((((COUNTIF('Elève (6ème2)'!IG8:II8,"A"))*4)+((COUNTIF('Elève (6ème2)'!IG8:II8,"B"))*3)+((COUNTIF('Elève (6ème2)'!IG8:II8,"C"))*2)+((COUNTIF('Elève (6ème2)'!IG8:II8,"D"))*1))/(COUNTA(IG8:II8)),"")</f>
        <v/>
      </c>
      <c r="IK8" s="184" t="str">
        <f t="shared" si="56"/>
        <v/>
      </c>
      <c r="IL8" s="99" t="s">
        <v>23</v>
      </c>
      <c r="IM8" s="100"/>
      <c r="IN8" s="101"/>
      <c r="IO8" s="183">
        <f>IFERROR((((COUNTIF('Elève (6ème2)'!IL8:IN8,"A"))*4)+((COUNTIF('Elève (6ème2)'!IL8:IN8,"B"))*3)+((COUNTIF('Elève (6ème2)'!IL8:IN8,"C"))*2)+((COUNTIF('Elève (6ème2)'!IL8:IN8,"D"))*1))/(COUNTA(IL8:IN8)),"")</f>
        <v>4</v>
      </c>
      <c r="IP8" s="184" t="str">
        <f t="shared" si="57"/>
        <v>A</v>
      </c>
      <c r="IQ8" s="99"/>
      <c r="IR8" s="100" t="s">
        <v>23</v>
      </c>
      <c r="IS8" s="101"/>
      <c r="IT8" s="183">
        <f>IFERROR((((COUNTIF('Elève (6ème2)'!IQ8:IS8,"A"))*4)+((COUNTIF('Elève (6ème2)'!IQ8:IS8,"B"))*3)+((COUNTIF('Elève (6ème2)'!IQ8:IS8,"C"))*2)+((COUNTIF('Elève (6ème2)'!IQ8:IS8,"D"))*1))/(COUNTA(IQ8:IS8)),"")</f>
        <v>4</v>
      </c>
      <c r="IU8" s="184" t="str">
        <f t="shared" si="58"/>
        <v>A</v>
      </c>
      <c r="IV8" s="183">
        <f>IF(COUNT(IJ8,IO8,IT8)=0,"",SUM(IJ8,IO8,IT8)/COUNT(IJ8,IO8,IT8))</f>
        <v>4</v>
      </c>
      <c r="IW8" s="209" t="str">
        <f t="shared" si="59"/>
        <v>A</v>
      </c>
      <c r="IX8" s="105"/>
      <c r="IY8" s="100"/>
      <c r="IZ8" s="101"/>
      <c r="JA8" s="183" t="str">
        <f>IFERROR((((COUNTIF('Elève (6ème2)'!IX8:IZ8,"A"))*4)+((COUNTIF('Elève (6ème2)'!IX8:IZ8,"B"))*3)+((COUNTIF('Elève (6ème2)'!IX8:IZ8,"C"))*2)+((COUNTIF('Elève (6ème2)'!IX8:IZ8,"D"))*1))/(COUNTA(IX8:IZ8)),"")</f>
        <v/>
      </c>
      <c r="JB8" s="184" t="str">
        <f t="shared" si="60"/>
        <v/>
      </c>
      <c r="JC8" s="99" t="s">
        <v>23</v>
      </c>
      <c r="JD8" s="100"/>
      <c r="JE8" s="101"/>
      <c r="JF8" s="183">
        <f>IFERROR((((COUNTIF('Elève (6ème2)'!JC8:JE8,"A"))*4)+((COUNTIF('Elève (6ème2)'!JC8:JE8,"B"))*3)+((COUNTIF('Elève (6ème2)'!JC8:JE8,"C"))*2)+((COUNTIF('Elève (6ème2)'!JC8:JE8,"D"))*1))/(COUNTA(JC8:JE8)),"")</f>
        <v>4</v>
      </c>
      <c r="JG8" s="184" t="str">
        <f t="shared" si="61"/>
        <v>A</v>
      </c>
      <c r="JH8" s="99"/>
      <c r="JI8" s="100" t="s">
        <v>24</v>
      </c>
      <c r="JJ8" s="101" t="s">
        <v>23</v>
      </c>
      <c r="JK8" s="183">
        <f>IFERROR((((COUNTIF('Elève (6ème2)'!JH8:JJ8,"A"))*4)+((COUNTIF('Elève (6ème2)'!JH8:JJ8,"B"))*3)+((COUNTIF('Elève (6ème2)'!JH8:JJ8,"C"))*2)+((COUNTIF('Elève (6ème2)'!JH8:JJ8,"D"))*1))/(COUNTA(JH8:JJ8)),"")</f>
        <v>3.5</v>
      </c>
      <c r="JL8" s="184" t="str">
        <f t="shared" si="62"/>
        <v>B</v>
      </c>
      <c r="JM8" s="183">
        <f>IF(COUNT(JA8,JF8,JK8)=0,"",SUM(JA8,JF8,JK8)/COUNT(JA8,JF8,JK8))</f>
        <v>3.75</v>
      </c>
      <c r="JN8" s="209" t="str">
        <f t="shared" si="63"/>
        <v>A</v>
      </c>
      <c r="JO8" s="105"/>
      <c r="JP8" s="100"/>
      <c r="JQ8" s="101"/>
      <c r="JR8" s="183" t="str">
        <f>IFERROR((((COUNTIF('Elève (6ème2)'!JO8:JQ8,"A"))*4)+((COUNTIF('Elève (6ème2)'!JO8:JQ8,"B"))*3)+((COUNTIF('Elève (6ème2)'!JO8:JQ8,"C"))*2)+((COUNTIF('Elève (6ème2)'!JO8:JQ8,"D"))*1))/(COUNTA(JO8:JQ8)),"")</f>
        <v/>
      </c>
      <c r="JS8" s="184" t="str">
        <f t="shared" si="64"/>
        <v/>
      </c>
      <c r="JT8" s="99" t="s">
        <v>23</v>
      </c>
      <c r="JU8" s="100"/>
      <c r="JV8" s="101"/>
      <c r="JW8" s="183">
        <f>IFERROR((((COUNTIF('Elève (6ème2)'!JT8:JV8,"A"))*4)+((COUNTIF('Elève (6ème2)'!JT8:JV8,"B"))*3)+((COUNTIF('Elève (6ème2)'!JT8:JV8,"C"))*2)+((COUNTIF('Elève (6ème2)'!JT8:JV8,"D"))*1))/(COUNTA(JT8:JV8)),"")</f>
        <v>4</v>
      </c>
      <c r="JX8" s="184" t="str">
        <f t="shared" si="65"/>
        <v>A</v>
      </c>
      <c r="JY8" s="99"/>
      <c r="JZ8" s="100" t="s">
        <v>24</v>
      </c>
      <c r="KA8" s="101" t="s">
        <v>23</v>
      </c>
      <c r="KB8" s="183">
        <f>IFERROR((((COUNTIF('Elève (6ème2)'!JY8:KA8,"A"))*4)+((COUNTIF('Elève (6ème2)'!JY8:KA8,"B"))*3)+((COUNTIF('Elève (6ème2)'!JY8:KA8,"C"))*2)+((COUNTIF('Elève (6ème2)'!JY8:KA8,"D"))*1))/(COUNTA(JY8:KA8)),"")</f>
        <v>3.5</v>
      </c>
      <c r="KC8" s="184" t="str">
        <f t="shared" si="66"/>
        <v>B</v>
      </c>
      <c r="KD8" s="183">
        <f>IF(COUNT(JR8,JW8,KB8)=0,"",SUM(JR8,JW8,KB8)/COUNT(JR8,JW8,KB8))</f>
        <v>3.75</v>
      </c>
      <c r="KE8" s="209" t="str">
        <f t="shared" si="67"/>
        <v>A</v>
      </c>
      <c r="KF8" s="105"/>
      <c r="KG8" s="100"/>
      <c r="KH8" s="101"/>
      <c r="KI8" s="183" t="str">
        <f>IFERROR((((COUNTIF('Elève (6ème2)'!KF8:KH8,"A"))*4)+((COUNTIF('Elève (6ème2)'!KF8:KH8,"B"))*3)+((COUNTIF('Elève (6ème2)'!KF8:KH8,"C"))*2)+((COUNTIF('Elève (6ème2)'!KF8:KH8,"D"))*1))/(COUNTA(KF8:KH8)),"")</f>
        <v/>
      </c>
      <c r="KJ8" s="184" t="str">
        <f t="shared" si="68"/>
        <v/>
      </c>
      <c r="KK8" s="99" t="s">
        <v>23</v>
      </c>
      <c r="KL8" s="100"/>
      <c r="KM8" s="101"/>
      <c r="KN8" s="183">
        <f>IFERROR((((COUNTIF('Elève (6ème2)'!KK8:KM8,"A"))*4)+((COUNTIF('Elève (6ème2)'!KK8:KM8,"B"))*3)+((COUNTIF('Elève (6ème2)'!KK8:KM8,"C"))*2)+((COUNTIF('Elève (6ème2)'!KK8:KM8,"D"))*1))/(COUNTA(KK8:KM8)),"")</f>
        <v>4</v>
      </c>
      <c r="KO8" s="184" t="str">
        <f t="shared" si="69"/>
        <v>A</v>
      </c>
      <c r="KP8" s="99"/>
      <c r="KQ8" s="100" t="s">
        <v>23</v>
      </c>
      <c r="KR8" s="101" t="s">
        <v>23</v>
      </c>
      <c r="KS8" s="183">
        <f>IFERROR((((COUNTIF('Elève (6ème2)'!KP8:KR8,"A"))*4)+((COUNTIF('Elève (6ème2)'!KP8:KR8,"B"))*3)+((COUNTIF('Elève (6ème2)'!KP8:KR8,"C"))*2)+((COUNTIF('Elève (6ème2)'!KP8:KR8,"D"))*1))/(COUNTA(KP8:KR8)),"")</f>
        <v>4</v>
      </c>
      <c r="KT8" s="184" t="str">
        <f t="shared" si="70"/>
        <v>A</v>
      </c>
      <c r="KU8" s="183">
        <f>IF(COUNT(KI8,KN8,KS8)=0,"",SUM(KI8,KN8,KS8)/COUNT(KI8,KN8,KS8))</f>
        <v>4</v>
      </c>
      <c r="KV8" s="209" t="str">
        <f t="shared" si="71"/>
        <v>A</v>
      </c>
      <c r="KW8" s="105"/>
      <c r="KX8" s="100"/>
      <c r="KY8" s="101"/>
      <c r="KZ8" s="183" t="str">
        <f>IFERROR((((COUNTIF('Elève (6ème2)'!KW8:KY8,"A"))*4)+((COUNTIF('Elève (6ème2)'!KW8:KY8,"B"))*3)+((COUNTIF('Elève (6ème2)'!KW8:KY8,"C"))*2)+((COUNTIF('Elève (6ème2)'!KW8:KY8,"D"))*1))/(COUNTA(KW8:KY8)),"")</f>
        <v/>
      </c>
      <c r="LA8" s="184" t="str">
        <f t="shared" si="72"/>
        <v/>
      </c>
      <c r="LB8" s="99" t="s">
        <v>23</v>
      </c>
      <c r="LC8" s="100"/>
      <c r="LD8" s="101"/>
      <c r="LE8" s="183">
        <f>IFERROR((((COUNTIF('Elève (6ème2)'!LB8:LD8,"A"))*4)+((COUNTIF('Elève (6ème2)'!LB8:LD8,"B"))*3)+((COUNTIF('Elève (6ème2)'!LB8:LD8,"C"))*2)+((COUNTIF('Elève (6ème2)'!LB8:LD8,"D"))*1))/(COUNTA(LB8:LD8)),"")</f>
        <v>4</v>
      </c>
      <c r="LF8" s="184" t="str">
        <f t="shared" si="73"/>
        <v>A</v>
      </c>
      <c r="LG8" s="99"/>
      <c r="LH8" s="100" t="s">
        <v>23</v>
      </c>
      <c r="LI8" s="101" t="s">
        <v>23</v>
      </c>
      <c r="LJ8" s="183">
        <f>IFERROR((((COUNTIF('Elève (6ème2)'!LG8:LI8,"A"))*4)+((COUNTIF('Elève (6ème2)'!LG8:LI8,"B"))*3)+((COUNTIF('Elève (6ème2)'!LG8:LI8,"C"))*2)+((COUNTIF('Elève (6ème2)'!LG8:LI8,"D"))*1))/(COUNTA(LG8:LI8)),"")</f>
        <v>4</v>
      </c>
      <c r="LK8" s="184" t="str">
        <f t="shared" si="74"/>
        <v>A</v>
      </c>
      <c r="LL8" s="183">
        <f>IF(COUNT(KZ8,LE8,LJ8)=0,"",SUM(KZ8,LE8,LJ8)/COUNT(KZ8,LE8,LJ8))</f>
        <v>4</v>
      </c>
      <c r="LM8" s="209" t="str">
        <f t="shared" si="75"/>
        <v>A</v>
      </c>
      <c r="LN8" s="105"/>
      <c r="LO8" s="100"/>
      <c r="LP8" s="101"/>
      <c r="LQ8" s="183" t="str">
        <f>IFERROR((((COUNTIF('Elève (6ème2)'!LN8:LP8,"A"))*4)+((COUNTIF('Elève (6ème2)'!LN8:LP8,"B"))*3)+((COUNTIF('Elève (6ème2)'!LN8:LP8,"C"))*2)+((COUNTIF('Elève (6ème2)'!LN8:LP8,"D"))*1))/(COUNTA(LN8:LP8)),"")</f>
        <v/>
      </c>
      <c r="LR8" s="184" t="str">
        <f t="shared" si="76"/>
        <v/>
      </c>
      <c r="LS8" s="99" t="s">
        <v>23</v>
      </c>
      <c r="LT8" s="100"/>
      <c r="LU8" s="101"/>
      <c r="LV8" s="183">
        <f>IFERROR((((COUNTIF('Elève (6ème2)'!LS8:LU8,"A"))*4)+((COUNTIF('Elève (6ème2)'!LS8:LU8,"B"))*3)+((COUNTIF('Elève (6ème2)'!LS8:LU8,"C"))*2)+((COUNTIF('Elève (6ème2)'!LS8:LU8,"D"))*1))/(COUNTA(LS8:LU8)),"")</f>
        <v>4</v>
      </c>
      <c r="LW8" s="184" t="str">
        <f t="shared" si="77"/>
        <v>A</v>
      </c>
      <c r="LX8" s="99"/>
      <c r="LY8" s="100" t="s">
        <v>23</v>
      </c>
      <c r="LZ8" s="101"/>
      <c r="MA8" s="183">
        <f>IFERROR((((COUNTIF('Elève (6ème2)'!LX8:LZ8,"A"))*4)+((COUNTIF('Elève (6ème2)'!LX8:LZ8,"B"))*3)+((COUNTIF('Elève (6ème2)'!LX8:LZ8,"C"))*2)+((COUNTIF('Elève (6ème2)'!LX8:LZ8,"D"))*1))/(COUNTA(LX8:LZ8)),"")</f>
        <v>4</v>
      </c>
      <c r="MB8" s="184" t="str">
        <f t="shared" si="78"/>
        <v>A</v>
      </c>
      <c r="MC8" s="183">
        <f>IF(COUNT(LQ8,LV8,MA8)=0,"",SUM(LQ8,LV8,MA8)/COUNT(LQ8,LV8,MA8))</f>
        <v>4</v>
      </c>
      <c r="MD8" s="209" t="str">
        <f t="shared" si="79"/>
        <v>A</v>
      </c>
      <c r="ME8" s="105"/>
      <c r="MF8" s="100"/>
      <c r="MG8" s="101"/>
      <c r="MH8" s="183" t="str">
        <f>IFERROR((((COUNTIF('Elève (6ème2)'!ME8:MG8,"A"))*4)+((COUNTIF('Elève (6ème2)'!ME8:MG8,"B"))*3)+((COUNTIF('Elève (6ème2)'!ME8:MG8,"C"))*2)+((COUNTIF('Elève (6ème2)'!ME8:MG8,"D"))*1))/(COUNTA(ME8:MG8)),"")</f>
        <v/>
      </c>
      <c r="MI8" s="184" t="str">
        <f t="shared" si="80"/>
        <v/>
      </c>
      <c r="MJ8" s="99" t="s">
        <v>23</v>
      </c>
      <c r="MK8" s="100"/>
      <c r="ML8" s="101"/>
      <c r="MM8" s="183">
        <f>IFERROR((((COUNTIF('Elève (6ème2)'!MJ8:ML8,"A"))*4)+((COUNTIF('Elève (6ème2)'!MJ8:ML8,"B"))*3)+((COUNTIF('Elève (6ème2)'!MJ8:ML8,"C"))*2)+((COUNTIF('Elève (6ème2)'!MJ8:ML8,"D"))*1))/(COUNTA(MJ8:ML8)),"")</f>
        <v>4</v>
      </c>
      <c r="MN8" s="184" t="str">
        <f t="shared" si="81"/>
        <v>A</v>
      </c>
      <c r="MO8" s="99"/>
      <c r="MP8" s="100" t="s">
        <v>23</v>
      </c>
      <c r="MQ8" s="101" t="s">
        <v>23</v>
      </c>
      <c r="MR8" s="183">
        <f>IFERROR((((COUNTIF('Elève (6ème2)'!MO8:MQ8,"A"))*4)+((COUNTIF('Elève (6ème2)'!MO8:MQ8,"B"))*3)+((COUNTIF('Elève (6ème2)'!MO8:MQ8,"C"))*2)+((COUNTIF('Elève (6ème2)'!MO8:MQ8,"D"))*1))/(COUNTA(MO8:MQ8)),"")</f>
        <v>4</v>
      </c>
      <c r="MS8" s="184" t="str">
        <f t="shared" si="82"/>
        <v>A</v>
      </c>
      <c r="MT8" s="183">
        <f>IF(COUNT(MH8,MM8,MR8)=0,"",SUM(MH8,MM8,MR8)/COUNT(MH8,MM8,MR8))</f>
        <v>4</v>
      </c>
      <c r="MU8" s="209" t="str">
        <f t="shared" si="83"/>
        <v>A</v>
      </c>
      <c r="MV8" s="105"/>
      <c r="MW8" s="100"/>
      <c r="MX8" s="101"/>
      <c r="MY8" s="183" t="str">
        <f>IFERROR((((COUNTIF('Elève (6ème2)'!MV8:MX8,"A"))*4)+((COUNTIF('Elève (6ème2)'!MV8:MX8,"B"))*3)+((COUNTIF('Elève (6ème2)'!MV8:MX8,"C"))*2)+((COUNTIF('Elève (6ème2)'!MV8:MX8,"D"))*1))/(COUNTA(MV8:MX8)),"")</f>
        <v/>
      </c>
      <c r="MZ8" s="184" t="str">
        <f t="shared" si="84"/>
        <v/>
      </c>
      <c r="NA8" s="99" t="s">
        <v>23</v>
      </c>
      <c r="NB8" s="100"/>
      <c r="NC8" s="101"/>
      <c r="ND8" s="183">
        <f>IFERROR((((COUNTIF('Elève (6ème2)'!NA8:NC8,"A"))*4)+((COUNTIF('Elève (6ème2)'!NA8:NC8,"B"))*3)+((COUNTIF('Elève (6ème2)'!NA8:NC8,"C"))*2)+((COUNTIF('Elève (6ème2)'!NA8:NC8,"D"))*1))/(COUNTA(NA8:NC8)),"")</f>
        <v>4</v>
      </c>
      <c r="NE8" s="184" t="str">
        <f t="shared" si="85"/>
        <v>A</v>
      </c>
      <c r="NF8" s="99"/>
      <c r="NG8" s="100" t="s">
        <v>24</v>
      </c>
      <c r="NH8" s="101" t="s">
        <v>24</v>
      </c>
      <c r="NI8" s="183">
        <f>IFERROR((((COUNTIF('Elève (6ème2)'!NF8:NH8,"A"))*4)+((COUNTIF('Elève (6ème2)'!NF8:NH8,"B"))*3)+((COUNTIF('Elève (6ème2)'!NF8:NH8,"C"))*2)+((COUNTIF('Elève (6ème2)'!NF8:NH8,"D"))*1))/(COUNTA(NF8:NH8)),"")</f>
        <v>3</v>
      </c>
      <c r="NJ8" s="184" t="str">
        <f t="shared" si="86"/>
        <v>B</v>
      </c>
      <c r="NK8" s="183">
        <f>IF(COUNT(MY8,ND8,NI8)=0,"",SUM(MY8,ND8,NI8)/COUNT(MY8,ND8,NI8))</f>
        <v>3.5</v>
      </c>
      <c r="NL8" s="209" t="str">
        <f t="shared" si="87"/>
        <v>B</v>
      </c>
      <c r="NM8" s="105"/>
      <c r="NN8" s="100"/>
      <c r="NO8" s="101"/>
      <c r="NP8" s="183" t="str">
        <f>IFERROR((((COUNTIF('Elève (6ème2)'!NM8:NO8,"A"))*4)+((COUNTIF('Elève (6ème2)'!NM8:NO8,"B"))*3)+((COUNTIF('Elève (6ème2)'!NM8:NO8,"C"))*2)+((COUNTIF('Elève (6ème2)'!NM8:NO8,"D"))*1))/(COUNTA(NM8:NO8)),"")</f>
        <v/>
      </c>
      <c r="NQ8" s="184" t="str">
        <f t="shared" si="88"/>
        <v/>
      </c>
      <c r="NR8" s="99" t="s">
        <v>23</v>
      </c>
      <c r="NS8" s="100"/>
      <c r="NT8" s="101"/>
      <c r="NU8" s="183">
        <f>IFERROR((((COUNTIF('Elève (6ème2)'!NR8:NT8,"A"))*4)+((COUNTIF('Elève (6ème2)'!NR8:NT8,"B"))*3)+((COUNTIF('Elève (6ème2)'!NR8:NT8,"C"))*2)+((COUNTIF('Elève (6ème2)'!NR8:NT8,"D"))*1))/(COUNTA(NR8:NT8)),"")</f>
        <v>4</v>
      </c>
      <c r="NV8" s="184" t="str">
        <f t="shared" si="89"/>
        <v>A</v>
      </c>
      <c r="NW8" s="99"/>
      <c r="NX8" s="100" t="s">
        <v>23</v>
      </c>
      <c r="NY8" s="101" t="s">
        <v>23</v>
      </c>
      <c r="NZ8" s="183">
        <f>IFERROR((((COUNTIF('Elève (6ème2)'!NW8:NY8,"A"))*4)+((COUNTIF('Elève (6ème2)'!NW8:NY8,"B"))*3)+((COUNTIF('Elève (6ème2)'!NW8:NY8,"C"))*2)+((COUNTIF('Elève (6ème2)'!NW8:NY8,"D"))*1))/(COUNTA(NW8:NY8)),"")</f>
        <v>4</v>
      </c>
      <c r="OA8" s="184" t="str">
        <f t="shared" si="90"/>
        <v>A</v>
      </c>
      <c r="OB8" s="183">
        <f>IF(COUNT(NP8,NU8,NZ8)=0,"",SUM(NP8,NU8,NZ8)/COUNT(NP8,NU8,NZ8))</f>
        <v>4</v>
      </c>
      <c r="OC8" s="209" t="str">
        <f t="shared" si="91"/>
        <v>A</v>
      </c>
      <c r="OD8" s="105"/>
      <c r="OE8" s="100"/>
      <c r="OF8" s="101"/>
      <c r="OG8" s="183" t="str">
        <f>IFERROR((((COUNTIF('Elève (6ème2)'!OD8:OF8,"A"))*4)+((COUNTIF('Elève (6ème2)'!OD8:OF8,"B"))*3)+((COUNTIF('Elève (6ème2)'!OD8:OF8,"C"))*2)+((COUNTIF('Elève (6ème2)'!OD8:OF8,"D"))*1))/(COUNTA(OD8:OF8)),"")</f>
        <v/>
      </c>
      <c r="OH8" s="184" t="str">
        <f t="shared" si="92"/>
        <v/>
      </c>
      <c r="OI8" s="99" t="s">
        <v>25</v>
      </c>
      <c r="OJ8" s="100"/>
      <c r="OK8" s="101"/>
      <c r="OL8" s="183">
        <f>IFERROR((((COUNTIF('Elève (6ème2)'!OI8:OK8,"A"))*4)+((COUNTIF('Elève (6ème2)'!OI8:OK8,"B"))*3)+((COUNTIF('Elève (6ème2)'!OI8:OK8,"C"))*2)+((COUNTIF('Elève (6ème2)'!OI8:OK8,"D"))*1))/(COUNTA(OI8:OK8)),"")</f>
        <v>2</v>
      </c>
      <c r="OM8" s="184" t="str">
        <f t="shared" si="93"/>
        <v>C</v>
      </c>
      <c r="ON8" s="99"/>
      <c r="OO8" s="100"/>
      <c r="OP8" s="101"/>
      <c r="OQ8" s="183" t="str">
        <f>IFERROR((((COUNTIF('Elève (6ème2)'!ON8:OP8,"A"))*4)+((COUNTIF('Elève (6ème2)'!ON8:OP8,"B"))*3)+((COUNTIF('Elève (6ème2)'!ON8:OP8,"C"))*2)+((COUNTIF('Elève (6ème2)'!ON8:OP8,"D"))*1))/(COUNTA(ON8:OP8)),"")</f>
        <v/>
      </c>
      <c r="OR8" s="184" t="str">
        <f t="shared" si="94"/>
        <v/>
      </c>
      <c r="OS8" s="183">
        <f>IF(COUNT(OG8,OL8,OQ8)=0,"",SUM(OG8,OL8,OQ8)/COUNT(OG8,OL8,OQ8))</f>
        <v>2</v>
      </c>
      <c r="OT8" s="209" t="str">
        <f t="shared" si="95"/>
        <v>C</v>
      </c>
      <c r="OU8" s="105"/>
      <c r="OV8" s="100"/>
      <c r="OW8" s="101"/>
      <c r="OX8" s="183" t="str">
        <f>IFERROR((((COUNTIF('Elève (6ème2)'!OU8:OW8,"A"))*4)+((COUNTIF('Elève (6ème2)'!OU8:OW8,"B"))*3)+((COUNTIF('Elève (6ème2)'!OU8:OW8,"C"))*2)+((COUNTIF('Elève (6ème2)'!OU8:OW8,"D"))*1))/(COUNTA(OU8:OW8)),"")</f>
        <v/>
      </c>
      <c r="OY8" s="184" t="str">
        <f t="shared" si="96"/>
        <v/>
      </c>
      <c r="OZ8" s="99" t="s">
        <v>23</v>
      </c>
      <c r="PA8" s="100"/>
      <c r="PB8" s="101"/>
      <c r="PC8" s="183">
        <f>IFERROR((((COUNTIF('Elève (6ème2)'!OZ8:PB8,"A"))*4)+((COUNTIF('Elève (6ème2)'!OZ8:PB8,"B"))*3)+((COUNTIF('Elève (6ème2)'!OZ8:PB8,"C"))*2)+((COUNTIF('Elève (6ème2)'!OZ8:PB8,"D"))*1))/(COUNTA(OZ8:PB8)),"")</f>
        <v>4</v>
      </c>
      <c r="PD8" s="184" t="str">
        <f t="shared" si="97"/>
        <v>A</v>
      </c>
      <c r="PE8" s="99"/>
      <c r="PF8" s="100" t="s">
        <v>23</v>
      </c>
      <c r="PG8" s="101" t="s">
        <v>24</v>
      </c>
      <c r="PH8" s="183">
        <f>IFERROR((((COUNTIF('Elève (6ème2)'!PE8:PG8,"A"))*4)+((COUNTIF('Elève (6ème2)'!PE8:PG8,"B"))*3)+((COUNTIF('Elève (6ème2)'!PE8:PG8,"C"))*2)+((COUNTIF('Elève (6ème2)'!PE8:PG8,"D"))*1))/(COUNTA(PE8:PG8)),"")</f>
        <v>3.5</v>
      </c>
      <c r="PI8" s="184" t="str">
        <f t="shared" si="98"/>
        <v>B</v>
      </c>
      <c r="PJ8" s="183">
        <f>IF(COUNT(OX8,PC8,PH8)=0,"",SUM(OX8,PC8,PH8)/COUNT(OX8,PC8,PH8))</f>
        <v>3.75</v>
      </c>
      <c r="PK8" s="209" t="str">
        <f t="shared" si="99"/>
        <v>A</v>
      </c>
      <c r="PL8" s="105"/>
      <c r="PM8" s="100"/>
      <c r="PN8" s="101"/>
      <c r="PO8" s="183" t="str">
        <f>IFERROR((((COUNTIF('Elève (6ème2)'!PL8:PN8,"A"))*4)+((COUNTIF('Elève (6ème2)'!PL8:PN8,"B"))*3)+((COUNTIF('Elève (6ème2)'!PL8:PN8,"C"))*2)+((COUNTIF('Elève (6ème2)'!PL8:PN8,"D"))*1))/(COUNTA(PL8:PN8)),"")</f>
        <v/>
      </c>
      <c r="PP8" s="184" t="str">
        <f t="shared" si="100"/>
        <v/>
      </c>
      <c r="PQ8" s="99" t="s">
        <v>23</v>
      </c>
      <c r="PR8" s="100"/>
      <c r="PS8" s="101"/>
      <c r="PT8" s="183">
        <f>IFERROR((((COUNTIF('Elève (6ème2)'!PQ8:PS8,"A"))*4)+((COUNTIF('Elève (6ème2)'!PQ8:PS8,"B"))*3)+((COUNTIF('Elève (6ème2)'!PQ8:PS8,"C"))*2)+((COUNTIF('Elève (6ème2)'!PQ8:PS8,"D"))*1))/(COUNTA(PQ8:PS8)),"")</f>
        <v>4</v>
      </c>
      <c r="PU8" s="184" t="str">
        <f t="shared" si="101"/>
        <v>A</v>
      </c>
      <c r="PV8" s="99"/>
      <c r="PW8" s="100" t="s">
        <v>23</v>
      </c>
      <c r="PX8" s="101" t="s">
        <v>23</v>
      </c>
      <c r="PY8" s="183">
        <f>IFERROR((((COUNTIF('Elève (6ème2)'!PV8:PX8,"A"))*4)+((COUNTIF('Elève (6ème2)'!PV8:PX8,"B"))*3)+((COUNTIF('Elève (6ème2)'!PV8:PX8,"C"))*2)+((COUNTIF('Elève (6ème2)'!PV8:PX8,"D"))*1))/(COUNTA(PV8:PX8)),"")</f>
        <v>4</v>
      </c>
      <c r="PZ8" s="184" t="str">
        <f t="shared" si="102"/>
        <v>A</v>
      </c>
      <c r="QA8" s="183">
        <f>IF(COUNT(PO8,PT8,PY8)=0,"",SUM(PO8,PT8,PY8)/COUNT(PO8,PT8,PY8))</f>
        <v>4</v>
      </c>
      <c r="QB8" s="209" t="str">
        <f t="shared" si="103"/>
        <v>A</v>
      </c>
      <c r="QC8" s="105"/>
      <c r="QD8" s="100"/>
      <c r="QE8" s="101"/>
      <c r="QF8" s="183" t="str">
        <f>IFERROR((((COUNTIF('Elève (6ème2)'!QC8:QE8,"A"))*4)+((COUNTIF('Elève (6ème2)'!QC8:QE8,"B"))*3)+((COUNTIF('Elève (6ème2)'!QC8:QE8,"C"))*2)+((COUNTIF('Elève (6ème2)'!QC8:QE8,"D"))*1))/(COUNTA(QC8:QE8)),"")</f>
        <v/>
      </c>
      <c r="QG8" s="184" t="str">
        <f t="shared" si="104"/>
        <v/>
      </c>
      <c r="QH8" s="99" t="s">
        <v>23</v>
      </c>
      <c r="QI8" s="100"/>
      <c r="QJ8" s="101"/>
      <c r="QK8" s="183">
        <f>IFERROR((((COUNTIF('Elève (6ème2)'!QH8:QJ8,"A"))*4)+((COUNTIF('Elève (6ème2)'!QH8:QJ8,"B"))*3)+((COUNTIF('Elève (6ème2)'!QH8:QJ8,"C"))*2)+((COUNTIF('Elève (6ème2)'!QH8:QJ8,"D"))*1))/(COUNTA(QH8:QJ8)),"")</f>
        <v>4</v>
      </c>
      <c r="QL8" s="184" t="str">
        <f t="shared" si="105"/>
        <v>A</v>
      </c>
      <c r="QM8" s="99"/>
      <c r="QN8" s="100" t="s">
        <v>25</v>
      </c>
      <c r="QO8" s="101" t="s">
        <v>25</v>
      </c>
      <c r="QP8" s="183">
        <f>IFERROR((((COUNTIF('Elève (6ème2)'!QM8:QO8,"A"))*4)+((COUNTIF('Elève (6ème2)'!QM8:QO8,"B"))*3)+((COUNTIF('Elève (6ème2)'!QM8:QO8,"C"))*2)+((COUNTIF('Elève (6ème2)'!QM8:QO8,"D"))*1))/(COUNTA(QM8:QO8)),"")</f>
        <v>2</v>
      </c>
      <c r="QQ8" s="184" t="str">
        <f t="shared" si="106"/>
        <v>C</v>
      </c>
      <c r="QR8" s="183">
        <f>IF(COUNT(QF8,QK8,QP8)=0,"",SUM(QF8,QK8,QP8)/COUNT(QF8,QK8,QP8))</f>
        <v>3</v>
      </c>
      <c r="QS8" s="209" t="str">
        <f t="shared" si="107"/>
        <v>B</v>
      </c>
      <c r="QT8" s="105"/>
      <c r="QU8" s="100"/>
      <c r="QV8" s="101"/>
      <c r="QW8" s="183" t="str">
        <f>IFERROR((((COUNTIF('Elève (6ème2)'!QT8:QV8,"A"))*4)+((COUNTIF('Elève (6ème2)'!QT8:QV8,"B"))*3)+((COUNTIF('Elève (6ème2)'!QT8:QV8,"C"))*2)+((COUNTIF('Elève (6ème2)'!QT8:QV8,"D"))*1))/(COUNTA(QT8:QV8)),"")</f>
        <v/>
      </c>
      <c r="QX8" s="184" t="str">
        <f t="shared" si="108"/>
        <v/>
      </c>
      <c r="QY8" s="99"/>
      <c r="QZ8" s="100"/>
      <c r="RA8" s="101"/>
      <c r="RB8" s="183" t="str">
        <f>IFERROR((((COUNTIF('Elève (6ème2)'!QY8:RA8,"A"))*4)+((COUNTIF('Elève (6ème2)'!QY8:RA8,"B"))*3)+((COUNTIF('Elève (6ème2)'!QY8:RA8,"C"))*2)+((COUNTIF('Elève (6ème2)'!QY8:RA8,"D"))*1))/(COUNTA(QY8:RA8)),"")</f>
        <v/>
      </c>
      <c r="RC8" s="184" t="str">
        <f t="shared" si="109"/>
        <v/>
      </c>
      <c r="RD8" s="99"/>
      <c r="RE8" s="100"/>
      <c r="RF8" s="101"/>
      <c r="RG8" s="183" t="str">
        <f>IFERROR((((COUNTIF('Elève (6ème2)'!RD8:RF8,"A"))*4)+((COUNTIF('Elève (6ème2)'!RD8:RF8,"B"))*3)+((COUNTIF('Elève (6ème2)'!RD8:RF8,"C"))*2)+((COUNTIF('Elève (6ème2)'!RD8:RF8,"D"))*1))/(COUNTA(RD8:RF8)),"")</f>
        <v/>
      </c>
      <c r="RH8" s="184" t="str">
        <f t="shared" si="110"/>
        <v/>
      </c>
      <c r="RI8" s="183" t="str">
        <f>IF(COUNT(QW8,RB8,RG8)=0,"",SUM(QW8,RB8,RG8)/COUNT(QW8,RB8,RG8))</f>
        <v/>
      </c>
      <c r="RJ8" s="209" t="str">
        <f t="shared" si="111"/>
        <v/>
      </c>
      <c r="RK8" s="105"/>
      <c r="RL8" s="100"/>
      <c r="RM8" s="101"/>
      <c r="RN8" s="183" t="str">
        <f>IFERROR((((COUNTIF('Elève (6ème2)'!RK8:RM8,"A"))*4)+((COUNTIF('Elève (6ème2)'!RK8:RM8,"B"))*3)+((COUNTIF('Elève (6ème2)'!RK8:RM8,"C"))*2)+((COUNTIF('Elève (6ème2)'!RK8:RM8,"D"))*1))/(COUNTA(RK8:RM8)),"")</f>
        <v/>
      </c>
      <c r="RO8" s="184" t="str">
        <f t="shared" si="112"/>
        <v/>
      </c>
      <c r="RP8" s="99" t="s">
        <v>23</v>
      </c>
      <c r="RQ8" s="100"/>
      <c r="RR8" s="101"/>
      <c r="RS8" s="183">
        <f>IFERROR((((COUNTIF('Elève (6ème2)'!RP8:RR8,"A"))*4)+((COUNTIF('Elève (6ème2)'!RP8:RR8,"B"))*3)+((COUNTIF('Elève (6ème2)'!RP8:RR8,"C"))*2)+((COUNTIF('Elève (6ème2)'!RP8:RR8,"D"))*1))/(COUNTA(RP8:RR8)),"")</f>
        <v>4</v>
      </c>
      <c r="RT8" s="184" t="str">
        <f t="shared" si="113"/>
        <v>A</v>
      </c>
      <c r="RU8" s="99"/>
      <c r="RV8" s="100" t="s">
        <v>23</v>
      </c>
      <c r="RW8" s="101" t="s">
        <v>23</v>
      </c>
      <c r="RX8" s="183">
        <f>IFERROR((((COUNTIF('Elève (6ème2)'!RU8:RW8,"A"))*4)+((COUNTIF('Elève (6ème2)'!RU8:RW8,"B"))*3)+((COUNTIF('Elève (6ème2)'!RU8:RW8,"C"))*2)+((COUNTIF('Elève (6ème2)'!RU8:RW8,"D"))*1))/(COUNTA(RU8:RW8)),"")</f>
        <v>4</v>
      </c>
      <c r="RY8" s="184" t="str">
        <f t="shared" si="114"/>
        <v>A</v>
      </c>
      <c r="RZ8" s="183">
        <f>IF(COUNT(RN8,RS8,RX8)=0,"",SUM(RN8,RS8,RX8)/COUNT(RN8,RS8,RX8))</f>
        <v>4</v>
      </c>
      <c r="SA8" s="209" t="str">
        <f t="shared" si="115"/>
        <v>A</v>
      </c>
      <c r="SB8" s="105"/>
      <c r="SC8" s="100"/>
      <c r="SD8" s="101"/>
      <c r="SE8" s="183" t="str">
        <f>IFERROR((((COUNTIF('Elève (6ème2)'!SB8:SD8,"A"))*4)+((COUNTIF('Elève (6ème2)'!SB8:SD8,"B"))*3)+((COUNTIF('Elève (6ème2)'!SB8:SD8,"C"))*2)+((COUNTIF('Elève (6ème2)'!SB8:SD8,"D"))*1))/(COUNTA(SB8:SD8)),"")</f>
        <v/>
      </c>
      <c r="SF8" s="184" t="str">
        <f t="shared" si="116"/>
        <v/>
      </c>
      <c r="SG8" s="99" t="s">
        <v>23</v>
      </c>
      <c r="SH8" s="100"/>
      <c r="SI8" s="101"/>
      <c r="SJ8" s="183">
        <f>IFERROR((((COUNTIF('Elève (6ème2)'!SG8:SI8,"A"))*4)+((COUNTIF('Elève (6ème2)'!SG8:SI8,"B"))*3)+((COUNTIF('Elève (6ème2)'!SG8:SI8,"C"))*2)+((COUNTIF('Elève (6ème2)'!SG8:SI8,"D"))*1))/(COUNTA(SG8:SI8)),"")</f>
        <v>4</v>
      </c>
      <c r="SK8" s="184" t="str">
        <f t="shared" si="117"/>
        <v>A</v>
      </c>
      <c r="SL8" s="99"/>
      <c r="SM8" s="100" t="s">
        <v>24</v>
      </c>
      <c r="SN8" s="101" t="s">
        <v>23</v>
      </c>
      <c r="SO8" s="183">
        <f>IFERROR((((COUNTIF('Elève (6ème2)'!SL8:SN8,"A"))*4)+((COUNTIF('Elève (6ème2)'!SL8:SN8,"B"))*3)+((COUNTIF('Elève (6ème2)'!SL8:SN8,"C"))*2)+((COUNTIF('Elève (6ème2)'!SL8:SN8,"D"))*1))/(COUNTA(SL8:SN8)),"")</f>
        <v>3.5</v>
      </c>
      <c r="SP8" s="184" t="str">
        <f t="shared" si="118"/>
        <v>B</v>
      </c>
      <c r="SQ8" s="183">
        <f>IF(COUNT(SE8,SJ8,SO8)=0,"",SUM(SE8,SJ8,SO8)/COUNT(SE8,SJ8,SO8))</f>
        <v>3.75</v>
      </c>
      <c r="SR8" s="209" t="str">
        <f t="shared" si="119"/>
        <v>A</v>
      </c>
      <c r="SS8" s="105"/>
      <c r="ST8" s="100"/>
      <c r="SU8" s="101"/>
      <c r="SV8" s="102" t="str">
        <f>IFERROR((((COUNTIF('Elève (6ème2)'!SS8:SU8,"A"))*4)+((COUNTIF('Elève (6ème2)'!SS8:SU8,"B"))*3)+((COUNTIF('Elève (6ème2)'!SS8:SU8,"C"))*2)+((COUNTIF('Elève (6ème2)'!SS8:SU8,"D"))*1))/(COUNTA(SS8:SU8)),"")</f>
        <v/>
      </c>
      <c r="SW8" s="103" t="str">
        <f t="shared" si="120"/>
        <v/>
      </c>
      <c r="SX8" s="99"/>
      <c r="SY8" s="100"/>
      <c r="SZ8" s="101"/>
      <c r="TA8" s="102" t="str">
        <f>IFERROR((((COUNTIF('Elève (6ème2)'!SX8:SZ8,"A"))*4)+((COUNTIF('Elève (6ème2)'!SX8:SZ8,"B"))*3)+((COUNTIF('Elève (6ème2)'!SX8:SZ8,"C"))*2)+((COUNTIF('Elève (6ème2)'!SX8:SZ8,"D"))*1))/(COUNTA(SX8:SZ8)),"")</f>
        <v/>
      </c>
      <c r="TB8" s="103" t="str">
        <f t="shared" si="121"/>
        <v/>
      </c>
      <c r="TC8" s="99"/>
      <c r="TD8" s="100" t="s">
        <v>24</v>
      </c>
      <c r="TE8" s="101" t="s">
        <v>23</v>
      </c>
      <c r="TF8" s="102">
        <f>IFERROR((((COUNTIF('Elève (6ème2)'!TC8:TE8,"A"))*4)+((COUNTIF('Elève (6ème2)'!TC8:TE8,"B"))*3)+((COUNTIF('Elève (6ème2)'!TC8:TE8,"C"))*2)+((COUNTIF('Elève (6ème2)'!TC8:TE8,"D"))*1))/(COUNTA(TC8:TE8)),"")</f>
        <v>3.5</v>
      </c>
      <c r="TG8" s="103" t="str">
        <f t="shared" si="122"/>
        <v>B</v>
      </c>
      <c r="TH8" s="102">
        <f>IF(COUNT(SV8,TA8,TF8)=0,"",SUM(SV8,TA8,TF8)/COUNT(SV8,TA8,TF8))</f>
        <v>3.5</v>
      </c>
      <c r="TI8" s="117" t="str">
        <f t="shared" si="123"/>
        <v>B</v>
      </c>
      <c r="TJ8" s="105"/>
      <c r="TK8" s="100"/>
      <c r="TL8" s="101"/>
      <c r="TM8" s="102" t="str">
        <f>IFERROR((((COUNTIF('Elève (6ème2)'!TJ8:TL8,"A"))*4)+((COUNTIF('Elève (6ème2)'!TJ8:TL8,"B"))*3)+((COUNTIF('Elève (6ème2)'!TJ8:TL8,"C"))*2)+((COUNTIF('Elève (6ème2)'!TJ8:TL8,"D"))*1))/(COUNTA(TJ8:TL8)),"")</f>
        <v/>
      </c>
      <c r="TN8" s="103" t="str">
        <f t="shared" si="124"/>
        <v/>
      </c>
      <c r="TO8" s="99"/>
      <c r="TP8" s="100"/>
      <c r="TQ8" s="101"/>
      <c r="TR8" s="102" t="str">
        <f>IFERROR((((COUNTIF('Elève (6ème2)'!TO8:TQ8,"A"))*4)+((COUNTIF('Elève (6ème2)'!TO8:TQ8,"B"))*3)+((COUNTIF('Elève (6ème2)'!TO8:TQ8,"C"))*2)+((COUNTIF('Elève (6ème2)'!TO8:TQ8,"D"))*1))/(COUNTA(TO8:TQ8)),"")</f>
        <v/>
      </c>
      <c r="TS8" s="103" t="str">
        <f t="shared" si="125"/>
        <v/>
      </c>
      <c r="TT8" s="99"/>
      <c r="TU8" s="100"/>
      <c r="TV8" s="101"/>
      <c r="TW8" s="102" t="str">
        <f>IFERROR((((COUNTIF('Elève (6ème2)'!TT8:TV8,"A"))*4)+((COUNTIF('Elève (6ème2)'!TT8:TV8,"B"))*3)+((COUNTIF('Elève (6ème2)'!TT8:TV8,"C"))*2)+((COUNTIF('Elève (6ème2)'!TT8:TV8,"D"))*1))/(COUNTA(TT8:TV8)),"")</f>
        <v/>
      </c>
      <c r="TX8" s="103" t="str">
        <f t="shared" si="126"/>
        <v/>
      </c>
      <c r="TY8" s="102" t="str">
        <f>IF(COUNT(TM8,TR8,TW8)=0,"",SUM(TM8,TR8,TW8)/COUNT(TM8,TR8,TW8))</f>
        <v/>
      </c>
      <c r="TZ8" s="117" t="str">
        <f t="shared" si="127"/>
        <v/>
      </c>
    </row>
    <row r="9" spans="1:546" x14ac:dyDescent="0.25">
      <c r="A9" s="253" t="s">
        <v>36</v>
      </c>
      <c r="B9" s="254"/>
      <c r="C9" s="106"/>
      <c r="D9" s="107"/>
      <c r="E9" s="108"/>
      <c r="F9" s="183" t="str">
        <f>IFERROR((((COUNTIF('Elève (6ème2)'!C9:E9,"A"))*4)+((COUNTIF('Elève (6ème2)'!C9:E9,"B"))*3)+((COUNTIF('Elève (6ème2)'!C9:E9,"C"))*2)+((COUNTIF('Elève (6ème2)'!C9:E9,"D"))*1))/(COUNTA(C9:E9)),"")</f>
        <v/>
      </c>
      <c r="G9" s="187" t="str">
        <f t="shared" si="0"/>
        <v/>
      </c>
      <c r="H9" s="106"/>
      <c r="I9" s="107"/>
      <c r="J9" s="108" t="s">
        <v>24</v>
      </c>
      <c r="K9" s="183">
        <f>IFERROR((((COUNTIF('Elève (6ème2)'!H9:J9,"A"))*4)+((COUNTIF('Elève (6ème2)'!H9:J9,"B"))*3)+((COUNTIF('Elève (6ème2)'!H9:J9,"C"))*2)+((COUNTIF('Elève (6ème2)'!H9:J9,"D"))*1))/(COUNTA(H9:J9)),"")</f>
        <v>3</v>
      </c>
      <c r="L9" s="184" t="str">
        <f t="shared" si="1"/>
        <v>B</v>
      </c>
      <c r="M9" s="106"/>
      <c r="N9" s="107" t="s">
        <v>23</v>
      </c>
      <c r="O9" s="108"/>
      <c r="P9" s="183">
        <f>IFERROR((((COUNTIF('Elève (6ème2)'!M9:O9,"A"))*4)+((COUNTIF('Elève (6ème2)'!M9:O9,"B"))*3)+((COUNTIF('Elève (6ème2)'!M9:O9,"C"))*2)+((COUNTIF('Elève (6ème2)'!M9:O9,"D"))*1))/(COUNTA(M9:O9)),"")</f>
        <v>4</v>
      </c>
      <c r="Q9" s="184" t="str">
        <f t="shared" si="2"/>
        <v>A</v>
      </c>
      <c r="R9" s="183">
        <f>IF(COUNT(F9,K9,P9)=0,"",SUM(F9,K9,P9)/COUNT(F9,K9,P9))</f>
        <v>3.5</v>
      </c>
      <c r="S9" s="209" t="str">
        <f t="shared" si="3"/>
        <v>B</v>
      </c>
      <c r="T9" s="112"/>
      <c r="U9" s="107"/>
      <c r="V9" s="108"/>
      <c r="W9" s="183" t="str">
        <f>IFERROR((((COUNTIF('Elève (6ème2)'!T9:V9,"A"))*4)+((COUNTIF('Elève (6ème2)'!T9:V9,"B"))*3)+((COUNTIF('Elève (6ème2)'!T9:V9,"C"))*2)+((COUNTIF('Elève (6ème2)'!T9:V9,"D"))*1))/(COUNTA(T9:V9)),"")</f>
        <v/>
      </c>
      <c r="X9" s="187" t="str">
        <f t="shared" si="4"/>
        <v/>
      </c>
      <c r="Y9" s="106"/>
      <c r="Z9" s="107"/>
      <c r="AA9" s="108" t="s">
        <v>24</v>
      </c>
      <c r="AB9" s="183">
        <f>IFERROR((((COUNTIF('Elève (6ème2)'!Y9:AA9,"A"))*4)+((COUNTIF('Elève (6ème2)'!Y9:AA9,"B"))*3)+((COUNTIF('Elève (6ème2)'!Y9:AA9,"C"))*2)+((COUNTIF('Elève (6ème2)'!Y9:AA9,"D"))*1))/(COUNTA(Y9:AA9)),"")</f>
        <v>3</v>
      </c>
      <c r="AC9" s="184" t="str">
        <f t="shared" si="5"/>
        <v>B</v>
      </c>
      <c r="AD9" s="106"/>
      <c r="AE9" s="107" t="s">
        <v>23</v>
      </c>
      <c r="AF9" s="108"/>
      <c r="AG9" s="183">
        <f>IFERROR((((COUNTIF('Elève (6ème2)'!AD9:AF9,"A"))*4)+((COUNTIF('Elève (6ème2)'!AD9:AF9,"B"))*3)+((COUNTIF('Elève (6ème2)'!AD9:AF9,"C"))*2)+((COUNTIF('Elève (6ème2)'!AD9:AF9,"D"))*1))/(COUNTA(AD9:AF9)),"")</f>
        <v>4</v>
      </c>
      <c r="AH9" s="184" t="str">
        <f t="shared" si="6"/>
        <v>A</v>
      </c>
      <c r="AI9" s="183">
        <f>IF(COUNT(W9,AB9,AG9)=0,"",SUM(W9,AB9,AG9)/COUNT(W9,AB9,AG9))</f>
        <v>3.5</v>
      </c>
      <c r="AJ9" s="209" t="str">
        <f t="shared" si="7"/>
        <v>B</v>
      </c>
      <c r="AK9" s="112"/>
      <c r="AL9" s="107"/>
      <c r="AM9" s="108"/>
      <c r="AN9" s="183" t="str">
        <f>IFERROR((((COUNTIF('Elève (6ème2)'!AK9:AM9,"A"))*4)+((COUNTIF('Elève (6ème2)'!AK9:AM9,"B"))*3)+((COUNTIF('Elève (6ème2)'!AK9:AM9,"C"))*2)+((COUNTIF('Elève (6ème2)'!AK9:AM9,"D"))*1))/(COUNTA(AK9:AM9)),"")</f>
        <v/>
      </c>
      <c r="AO9" s="187" t="str">
        <f t="shared" si="8"/>
        <v/>
      </c>
      <c r="AP9" s="106"/>
      <c r="AQ9" s="107"/>
      <c r="AR9" s="108" t="s">
        <v>24</v>
      </c>
      <c r="AS9" s="183">
        <f>IFERROR((((COUNTIF('Elève (6ème2)'!AP9:AR9,"A"))*4)+((COUNTIF('Elève (6ème2)'!AP9:AR9,"B"))*3)+((COUNTIF('Elève (6ème2)'!AP9:AR9,"C"))*2)+((COUNTIF('Elève (6ème2)'!AP9:AR9,"D"))*1))/(COUNTA(AP9:AR9)),"")</f>
        <v>3</v>
      </c>
      <c r="AT9" s="184" t="str">
        <f t="shared" si="9"/>
        <v>B</v>
      </c>
      <c r="AU9" s="106"/>
      <c r="AV9" s="107" t="s">
        <v>23</v>
      </c>
      <c r="AW9" s="108"/>
      <c r="AX9" s="183">
        <f>IFERROR((((COUNTIF('Elève (6ème2)'!AU9:AW9,"A"))*4)+((COUNTIF('Elève (6ème2)'!AU9:AW9,"B"))*3)+((COUNTIF('Elève (6ème2)'!AU9:AW9,"C"))*2)+((COUNTIF('Elève (6ème2)'!AU9:AW9,"D"))*1))/(COUNTA(AU9:AW9)),"")</f>
        <v>4</v>
      </c>
      <c r="AY9" s="184" t="str">
        <f t="shared" si="10"/>
        <v>A</v>
      </c>
      <c r="AZ9" s="183">
        <f>IF(COUNT(AN9,AS9,AX9)=0,"",SUM(AN9,AS9,AX9)/COUNT(AN9,AS9,AX9))</f>
        <v>3.5</v>
      </c>
      <c r="BA9" s="209" t="str">
        <f t="shared" si="11"/>
        <v>B</v>
      </c>
      <c r="BB9" s="112"/>
      <c r="BC9" s="107"/>
      <c r="BD9" s="108"/>
      <c r="BE9" s="183" t="str">
        <f>IFERROR((((COUNTIF('Elève (6ème2)'!BB9:BD9,"A"))*4)+((COUNTIF('Elève (6ème2)'!BB9:BD9,"B"))*3)+((COUNTIF('Elève (6ème2)'!BB9:BD9,"C"))*2)+((COUNTIF('Elève (6ème2)'!BB9:BD9,"D"))*1))/(COUNTA(BB9:BD9)),"")</f>
        <v/>
      </c>
      <c r="BF9" s="187" t="str">
        <f t="shared" si="12"/>
        <v/>
      </c>
      <c r="BG9" s="106"/>
      <c r="BH9" s="107"/>
      <c r="BI9" s="108" t="s">
        <v>24</v>
      </c>
      <c r="BJ9" s="183">
        <f>IFERROR((((COUNTIF('Elève (6ème2)'!BG9:BI9,"A"))*4)+((COUNTIF('Elève (6ème2)'!BG9:BI9,"B"))*3)+((COUNTIF('Elève (6ème2)'!BG9:BI9,"C"))*2)+((COUNTIF('Elève (6ème2)'!BG9:BI9,"D"))*1))/(COUNTA(BG9:BI9)),"")</f>
        <v>3</v>
      </c>
      <c r="BK9" s="184" t="str">
        <f t="shared" si="13"/>
        <v>B</v>
      </c>
      <c r="BL9" s="106"/>
      <c r="BM9" s="107" t="s">
        <v>23</v>
      </c>
      <c r="BN9" s="108"/>
      <c r="BO9" s="183">
        <f>IFERROR((((COUNTIF('Elève (6ème2)'!BL9:BN9,"A"))*4)+((COUNTIF('Elève (6ème2)'!BL9:BN9,"B"))*3)+((COUNTIF('Elève (6ème2)'!BL9:BN9,"C"))*2)+((COUNTIF('Elève (6ème2)'!BL9:BN9,"D"))*1))/(COUNTA(BL9:BN9)),"")</f>
        <v>4</v>
      </c>
      <c r="BP9" s="184" t="str">
        <f t="shared" si="14"/>
        <v>A</v>
      </c>
      <c r="BQ9" s="183">
        <f>IF(COUNT(BE9,BJ9,BO9)=0,"",SUM(BE9,BJ9,BO9)/COUNT(BE9,BJ9,BO9))</f>
        <v>3.5</v>
      </c>
      <c r="BR9" s="209" t="str">
        <f t="shared" si="15"/>
        <v>B</v>
      </c>
      <c r="BS9" s="112"/>
      <c r="BT9" s="107"/>
      <c r="BU9" s="108"/>
      <c r="BV9" s="183" t="str">
        <f>IFERROR((((COUNTIF('Elève (6ème2)'!BS9:BU9,"A"))*4)+((COUNTIF('Elève (6ème2)'!BS9:BU9,"B"))*3)+((COUNTIF('Elève (6ème2)'!BS9:BU9,"C"))*2)+((COUNTIF('Elève (6ème2)'!BS9:BU9,"D"))*1))/(COUNTA(BS9:BU9)),"")</f>
        <v/>
      </c>
      <c r="BW9" s="187" t="str">
        <f t="shared" si="16"/>
        <v/>
      </c>
      <c r="BX9" s="106"/>
      <c r="BY9" s="107"/>
      <c r="BZ9" s="108" t="s">
        <v>24</v>
      </c>
      <c r="CA9" s="183">
        <f>IFERROR((((COUNTIF('Elève (6ème2)'!BX9:BZ9,"A"))*4)+((COUNTIF('Elève (6ème2)'!BX9:BZ9,"B"))*3)+((COUNTIF('Elève (6ème2)'!BX9:BZ9,"C"))*2)+((COUNTIF('Elève (6ème2)'!BX9:BZ9,"D"))*1))/(COUNTA(BX9:BZ9)),"")</f>
        <v>3</v>
      </c>
      <c r="CB9" s="184" t="str">
        <f t="shared" si="17"/>
        <v>B</v>
      </c>
      <c r="CC9" s="106"/>
      <c r="CD9" s="107" t="s">
        <v>23</v>
      </c>
      <c r="CE9" s="108"/>
      <c r="CF9" s="183">
        <f>IFERROR((((COUNTIF('Elève (6ème2)'!CC9:CE9,"A"))*4)+((COUNTIF('Elève (6ème2)'!CC9:CE9,"B"))*3)+((COUNTIF('Elève (6ème2)'!CC9:CE9,"C"))*2)+((COUNTIF('Elève (6ème2)'!CC9:CE9,"D"))*1))/(COUNTA(CC9:CE9)),"")</f>
        <v>4</v>
      </c>
      <c r="CG9" s="184" t="str">
        <f t="shared" si="18"/>
        <v>A</v>
      </c>
      <c r="CH9" s="183">
        <f>IF(COUNT(BV9,CA9,CF9)=0,"",SUM(BV9,CA9,CF9)/COUNT(BV9,CA9,CF9))</f>
        <v>3.5</v>
      </c>
      <c r="CI9" s="209" t="str">
        <f t="shared" si="19"/>
        <v>B</v>
      </c>
      <c r="CJ9" s="112"/>
      <c r="CK9" s="107"/>
      <c r="CL9" s="108"/>
      <c r="CM9" s="183" t="str">
        <f>IFERROR((((COUNTIF('Elève (6ème2)'!CJ9:CL9,"A"))*4)+((COUNTIF('Elève (6ème2)'!CJ9:CL9,"B"))*3)+((COUNTIF('Elève (6ème2)'!CJ9:CL9,"C"))*2)+((COUNTIF('Elève (6ème2)'!CJ9:CL9,"D"))*1))/(COUNTA(CJ9:CL9)),"")</f>
        <v/>
      </c>
      <c r="CN9" s="187" t="str">
        <f t="shared" si="20"/>
        <v/>
      </c>
      <c r="CO9" s="106"/>
      <c r="CP9" s="107"/>
      <c r="CQ9" s="108" t="s">
        <v>24</v>
      </c>
      <c r="CR9" s="183">
        <f>IFERROR((((COUNTIF('Elève (6ème2)'!CO9:CQ9,"A"))*4)+((COUNTIF('Elève (6ème2)'!CO9:CQ9,"B"))*3)+((COUNTIF('Elève (6ème2)'!CO9:CQ9,"C"))*2)+((COUNTIF('Elève (6ème2)'!CO9:CQ9,"D"))*1))/(COUNTA(CO9:CQ9)),"")</f>
        <v>3</v>
      </c>
      <c r="CS9" s="184" t="str">
        <f t="shared" si="21"/>
        <v>B</v>
      </c>
      <c r="CT9" s="106"/>
      <c r="CU9" s="107" t="s">
        <v>23</v>
      </c>
      <c r="CV9" s="108"/>
      <c r="CW9" s="183">
        <f>IFERROR((((COUNTIF('Elève (6ème2)'!CT9:CV9,"A"))*4)+((COUNTIF('Elève (6ème2)'!CT9:CV9,"B"))*3)+((COUNTIF('Elève (6ème2)'!CT9:CV9,"C"))*2)+((COUNTIF('Elève (6ème2)'!CT9:CV9,"D"))*1))/(COUNTA(CT9:CV9)),"")</f>
        <v>4</v>
      </c>
      <c r="CX9" s="184" t="str">
        <f t="shared" si="22"/>
        <v>A</v>
      </c>
      <c r="CY9" s="183">
        <f>IF(COUNT(CM9,CR9,CW9)=0,"",SUM(CM9,CR9,CW9)/COUNT(CM9,CR9,CW9))</f>
        <v>3.5</v>
      </c>
      <c r="CZ9" s="209" t="str">
        <f t="shared" si="23"/>
        <v>B</v>
      </c>
      <c r="DA9" s="112"/>
      <c r="DB9" s="107"/>
      <c r="DC9" s="108"/>
      <c r="DD9" s="183" t="str">
        <f>IFERROR((((COUNTIF('Elève (6ème2)'!DA9:DC9,"A"))*4)+((COUNTIF('Elève (6ème2)'!DA9:DC9,"B"))*3)+((COUNTIF('Elève (6ème2)'!DA9:DC9,"C"))*2)+((COUNTIF('Elève (6ème2)'!DA9:DC9,"D"))*1))/(COUNTA(DA9:DC9)),"")</f>
        <v/>
      </c>
      <c r="DE9" s="187" t="str">
        <f t="shared" si="24"/>
        <v/>
      </c>
      <c r="DF9" s="106"/>
      <c r="DG9" s="107"/>
      <c r="DH9" s="108" t="s">
        <v>24</v>
      </c>
      <c r="DI9" s="183">
        <f>IFERROR((((COUNTIF('Elève (6ème2)'!DF9:DH9,"A"))*4)+((COUNTIF('Elève (6ème2)'!DF9:DH9,"B"))*3)+((COUNTIF('Elève (6ème2)'!DF9:DH9,"C"))*2)+((COUNTIF('Elève (6ème2)'!DF9:DH9,"D"))*1))/(COUNTA(DF9:DH9)),"")</f>
        <v>3</v>
      </c>
      <c r="DJ9" s="184" t="str">
        <f t="shared" si="25"/>
        <v>B</v>
      </c>
      <c r="DK9" s="106"/>
      <c r="DL9" s="107" t="s">
        <v>23</v>
      </c>
      <c r="DM9" s="108"/>
      <c r="DN9" s="183">
        <f>IFERROR((((COUNTIF('Elève (6ème2)'!DK9:DM9,"A"))*4)+((COUNTIF('Elève (6ème2)'!DK9:DM9,"B"))*3)+((COUNTIF('Elève (6ème2)'!DK9:DM9,"C"))*2)+((COUNTIF('Elève (6ème2)'!DK9:DM9,"D"))*1))/(COUNTA(DK9:DM9)),"")</f>
        <v>4</v>
      </c>
      <c r="DO9" s="184" t="str">
        <f t="shared" si="26"/>
        <v>A</v>
      </c>
      <c r="DP9" s="183">
        <f>IF(COUNT(DD9,DI9,DN9)=0,"",SUM(DD9,DI9,DN9)/COUNT(DD9,DI9,DN9))</f>
        <v>3.5</v>
      </c>
      <c r="DQ9" s="209" t="str">
        <f t="shared" si="27"/>
        <v>B</v>
      </c>
      <c r="DR9" s="112"/>
      <c r="DS9" s="107"/>
      <c r="DT9" s="108"/>
      <c r="DU9" s="183" t="str">
        <f>IFERROR((((COUNTIF('Elève (6ème2)'!DR9:DT9,"A"))*4)+((COUNTIF('Elève (6ème2)'!DR9:DT9,"B"))*3)+((COUNTIF('Elève (6ème2)'!DR9:DT9,"C"))*2)+((COUNTIF('Elève (6ème2)'!DR9:DT9,"D"))*1))/(COUNTA(DR9:DT9)),"")</f>
        <v/>
      </c>
      <c r="DV9" s="187" t="str">
        <f t="shared" si="28"/>
        <v/>
      </c>
      <c r="DW9" s="106"/>
      <c r="DX9" s="107"/>
      <c r="DY9" s="108" t="s">
        <v>24</v>
      </c>
      <c r="DZ9" s="183">
        <f>IFERROR((((COUNTIF('Elève (6ème2)'!DW9:DY9,"A"))*4)+((COUNTIF('Elève (6ème2)'!DW9:DY9,"B"))*3)+((COUNTIF('Elève (6ème2)'!DW9:DY9,"C"))*2)+((COUNTIF('Elève (6ème2)'!DW9:DY9,"D"))*1))/(COUNTA(DW9:DY9)),"")</f>
        <v>3</v>
      </c>
      <c r="EA9" s="184" t="str">
        <f t="shared" si="29"/>
        <v>B</v>
      </c>
      <c r="EB9" s="106"/>
      <c r="EC9" s="107"/>
      <c r="ED9" s="108"/>
      <c r="EE9" s="183" t="str">
        <f>IFERROR((((COUNTIF('Elève (6ème2)'!EB9:ED9,"A"))*4)+((COUNTIF('Elève (6ème2)'!EB9:ED9,"B"))*3)+((COUNTIF('Elève (6ème2)'!EB9:ED9,"C"))*2)+((COUNTIF('Elève (6ème2)'!EB9:ED9,"D"))*1))/(COUNTA(EB9:ED9)),"")</f>
        <v/>
      </c>
      <c r="EF9" s="184" t="str">
        <f t="shared" si="30"/>
        <v/>
      </c>
      <c r="EG9" s="183">
        <f>IF(COUNT(DU9,DZ9,EE9)=0,"",SUM(DU9,DZ9,EE9)/COUNT(DU9,DZ9,EE9))</f>
        <v>3</v>
      </c>
      <c r="EH9" s="209" t="str">
        <f t="shared" si="31"/>
        <v>B</v>
      </c>
      <c r="EI9" s="112"/>
      <c r="EJ9" s="107"/>
      <c r="EK9" s="108"/>
      <c r="EL9" s="183" t="str">
        <f>IFERROR((((COUNTIF('Elève (6ème2)'!EI9:EK9,"A"))*4)+((COUNTIF('Elève (6ème2)'!EI9:EK9,"B"))*3)+((COUNTIF('Elève (6ème2)'!EI9:EK9,"C"))*2)+((COUNTIF('Elève (6ème2)'!EI9:EK9,"D"))*1))/(COUNTA(EI9:EK9)),"")</f>
        <v/>
      </c>
      <c r="EM9" s="187" t="str">
        <f t="shared" si="32"/>
        <v/>
      </c>
      <c r="EN9" s="106"/>
      <c r="EO9" s="107"/>
      <c r="EP9" s="108" t="s">
        <v>24</v>
      </c>
      <c r="EQ9" s="183">
        <f>IFERROR((((COUNTIF('Elève (6ème2)'!EN9:EP9,"A"))*4)+((COUNTIF('Elève (6ème2)'!EN9:EP9,"B"))*3)+((COUNTIF('Elève (6ème2)'!EN9:EP9,"C"))*2)+((COUNTIF('Elève (6ème2)'!EN9:EP9,"D"))*1))/(COUNTA(EN9:EP9)),"")</f>
        <v>3</v>
      </c>
      <c r="ER9" s="184" t="str">
        <f t="shared" si="33"/>
        <v>B</v>
      </c>
      <c r="ES9" s="106"/>
      <c r="ET9" s="107" t="s">
        <v>23</v>
      </c>
      <c r="EU9" s="108"/>
      <c r="EV9" s="183">
        <f>IFERROR((((COUNTIF('Elève (6ème2)'!ES9:EU9,"A"))*4)+((COUNTIF('Elève (6ème2)'!ES9:EU9,"B"))*3)+((COUNTIF('Elève (6ème2)'!ES9:EU9,"C"))*2)+((COUNTIF('Elève (6ème2)'!ES9:EU9,"D"))*1))/(COUNTA(ES9:EU9)),"")</f>
        <v>4</v>
      </c>
      <c r="EW9" s="184" t="str">
        <f t="shared" si="34"/>
        <v>A</v>
      </c>
      <c r="EX9" s="183">
        <f>IF(COUNT(EL9,EQ9,EV9)=0,"",SUM(EL9,EQ9,EV9)/COUNT(EL9,EQ9,EV9))</f>
        <v>3.5</v>
      </c>
      <c r="EY9" s="209" t="str">
        <f t="shared" si="35"/>
        <v>B</v>
      </c>
      <c r="EZ9" s="112"/>
      <c r="FA9" s="107"/>
      <c r="FB9" s="108"/>
      <c r="FC9" s="183" t="str">
        <f>IFERROR((((COUNTIF('Elève (6ème2)'!EZ9:FB9,"A"))*4)+((COUNTIF('Elève (6ème2)'!EZ9:FB9,"B"))*3)+((COUNTIF('Elève (6ème2)'!EZ9:FB9,"C"))*2)+((COUNTIF('Elève (6ème2)'!EZ9:FB9,"D"))*1))/(COUNTA(EZ9:FB9)),"")</f>
        <v/>
      </c>
      <c r="FD9" s="187" t="str">
        <f t="shared" si="36"/>
        <v/>
      </c>
      <c r="FE9" s="106"/>
      <c r="FF9" s="107"/>
      <c r="FG9" s="108" t="s">
        <v>24</v>
      </c>
      <c r="FH9" s="183">
        <f>IFERROR((((COUNTIF('Elève (6ème2)'!FE9:FG9,"A"))*4)+((COUNTIF('Elève (6ème2)'!FE9:FG9,"B"))*3)+((COUNTIF('Elève (6ème2)'!FE9:FG9,"C"))*2)+((COUNTIF('Elève (6ème2)'!FE9:FG9,"D"))*1))/(COUNTA(FE9:FG9)),"")</f>
        <v>3</v>
      </c>
      <c r="FI9" s="184" t="str">
        <f t="shared" si="37"/>
        <v>B</v>
      </c>
      <c r="FJ9" s="106"/>
      <c r="FK9" s="107" t="s">
        <v>23</v>
      </c>
      <c r="FL9" s="108"/>
      <c r="FM9" s="183">
        <f>IFERROR((((COUNTIF('Elève (6ème2)'!FJ9:FL9,"A"))*4)+((COUNTIF('Elève (6ème2)'!FJ9:FL9,"B"))*3)+((COUNTIF('Elève (6ème2)'!FJ9:FL9,"C"))*2)+((COUNTIF('Elève (6ème2)'!FJ9:FL9,"D"))*1))/(COUNTA(FJ9:FL9)),"")</f>
        <v>4</v>
      </c>
      <c r="FN9" s="184" t="str">
        <f t="shared" si="38"/>
        <v>A</v>
      </c>
      <c r="FO9" s="183">
        <f>IF(COUNT(FC9,FH9,FM9)=0,"",SUM(FC9,FH9,FM9)/COUNT(FC9,FH9,FM9))</f>
        <v>3.5</v>
      </c>
      <c r="FP9" s="209" t="str">
        <f t="shared" si="39"/>
        <v>B</v>
      </c>
      <c r="FQ9" s="112"/>
      <c r="FR9" s="107"/>
      <c r="FS9" s="108"/>
      <c r="FT9" s="183" t="str">
        <f>IFERROR((((COUNTIF('Elève (6ème2)'!FQ9:FS9,"A"))*4)+((COUNTIF('Elève (6ème2)'!FQ9:FS9,"B"))*3)+((COUNTIF('Elève (6ème2)'!FQ9:FS9,"C"))*2)+((COUNTIF('Elève (6ème2)'!FQ9:FS9,"D"))*1))/(COUNTA(FQ9:FS9)),"")</f>
        <v/>
      </c>
      <c r="FU9" s="187" t="str">
        <f t="shared" si="40"/>
        <v/>
      </c>
      <c r="FV9" s="106"/>
      <c r="FW9" s="107"/>
      <c r="FX9" s="108" t="s">
        <v>24</v>
      </c>
      <c r="FY9" s="183">
        <f>IFERROR((((COUNTIF('Elève (6ème2)'!FV9:FX9,"A"))*4)+((COUNTIF('Elève (6ème2)'!FV9:FX9,"B"))*3)+((COUNTIF('Elève (6ème2)'!FV9:FX9,"C"))*2)+((COUNTIF('Elève (6ème2)'!FV9:FX9,"D"))*1))/(COUNTA(FV9:FX9)),"")</f>
        <v>3</v>
      </c>
      <c r="FZ9" s="184" t="str">
        <f t="shared" si="41"/>
        <v>B</v>
      </c>
      <c r="GA9" s="106"/>
      <c r="GB9" s="107" t="s">
        <v>23</v>
      </c>
      <c r="GC9" s="108"/>
      <c r="GD9" s="183">
        <f>IFERROR((((COUNTIF('Elève (6ème2)'!GA9:GC9,"A"))*4)+((COUNTIF('Elève (6ème2)'!GA9:GC9,"B"))*3)+((COUNTIF('Elève (6ème2)'!GA9:GC9,"C"))*2)+((COUNTIF('Elève (6ème2)'!GA9:GC9,"D"))*1))/(COUNTA(GA9:GC9)),"")</f>
        <v>4</v>
      </c>
      <c r="GE9" s="184" t="str">
        <f t="shared" si="42"/>
        <v>A</v>
      </c>
      <c r="GF9" s="183">
        <f>IF(COUNT(FT9,FY9,GD9)=0,"",SUM(FT9,FY9,GD9)/COUNT(FT9,FY9,GD9))</f>
        <v>3.5</v>
      </c>
      <c r="GG9" s="209" t="str">
        <f t="shared" si="43"/>
        <v>B</v>
      </c>
      <c r="GH9" s="112"/>
      <c r="GI9" s="107"/>
      <c r="GJ9" s="108"/>
      <c r="GK9" s="183" t="str">
        <f>IFERROR((((COUNTIF('Elève (6ème2)'!GH9:GJ9,"A"))*4)+((COUNTIF('Elève (6ème2)'!GH9:GJ9,"B"))*3)+((COUNTIF('Elève (6ème2)'!GH9:GJ9,"C"))*2)+((COUNTIF('Elève (6ème2)'!GH9:GJ9,"D"))*1))/(COUNTA(GH9:GJ9)),"")</f>
        <v/>
      </c>
      <c r="GL9" s="187" t="str">
        <f t="shared" si="44"/>
        <v/>
      </c>
      <c r="GM9" s="106"/>
      <c r="GN9" s="107"/>
      <c r="GO9" s="108" t="s">
        <v>24</v>
      </c>
      <c r="GP9" s="183">
        <f>IFERROR((((COUNTIF('Elève (6ème2)'!GM9:GO9,"A"))*4)+((COUNTIF('Elève (6ème2)'!GM9:GO9,"B"))*3)+((COUNTIF('Elève (6ème2)'!GM9:GO9,"C"))*2)+((COUNTIF('Elève (6ème2)'!GM9:GO9,"D"))*1))/(COUNTA(GM9:GO9)),"")</f>
        <v>3</v>
      </c>
      <c r="GQ9" s="184" t="str">
        <f t="shared" si="45"/>
        <v>B</v>
      </c>
      <c r="GR9" s="106"/>
      <c r="GS9" s="107" t="s">
        <v>23</v>
      </c>
      <c r="GT9" s="108"/>
      <c r="GU9" s="183">
        <f>IFERROR((((COUNTIF('Elève (6ème2)'!GR9:GT9,"A"))*4)+((COUNTIF('Elève (6ème2)'!GR9:GT9,"B"))*3)+((COUNTIF('Elève (6ème2)'!GR9:GT9,"C"))*2)+((COUNTIF('Elève (6ème2)'!GR9:GT9,"D"))*1))/(COUNTA(GR9:GT9)),"")</f>
        <v>4</v>
      </c>
      <c r="GV9" s="184" t="str">
        <f t="shared" si="46"/>
        <v>A</v>
      </c>
      <c r="GW9" s="183">
        <f>IF(COUNT(GK9,GP9,GU9)=0,"",SUM(GK9,GP9,GU9)/COUNT(GK9,GP9,GU9))</f>
        <v>3.5</v>
      </c>
      <c r="GX9" s="209" t="str">
        <f t="shared" si="47"/>
        <v>B</v>
      </c>
      <c r="GY9" s="112"/>
      <c r="GZ9" s="107"/>
      <c r="HA9" s="108"/>
      <c r="HB9" s="183" t="str">
        <f>IFERROR((((COUNTIF('Elève (6ème2)'!GY9:HA9,"A"))*4)+((COUNTIF('Elève (6ème2)'!GY9:HA9,"B"))*3)+((COUNTIF('Elève (6ème2)'!GY9:HA9,"C"))*2)+((COUNTIF('Elève (6ème2)'!GY9:HA9,"D"))*1))/(COUNTA(GY9:HA9)),"")</f>
        <v/>
      </c>
      <c r="HC9" s="187" t="str">
        <f t="shared" si="48"/>
        <v/>
      </c>
      <c r="HD9" s="106"/>
      <c r="HE9" s="107"/>
      <c r="HF9" s="108" t="s">
        <v>24</v>
      </c>
      <c r="HG9" s="183">
        <f>IFERROR((((COUNTIF('Elève (6ème2)'!HD9:HF9,"A"))*4)+((COUNTIF('Elève (6ème2)'!HD9:HF9,"B"))*3)+((COUNTIF('Elève (6ème2)'!HD9:HF9,"C"))*2)+((COUNTIF('Elève (6ème2)'!HD9:HF9,"D"))*1))/(COUNTA(HD9:HF9)),"")</f>
        <v>3</v>
      </c>
      <c r="HH9" s="184" t="str">
        <f t="shared" si="49"/>
        <v>B</v>
      </c>
      <c r="HI9" s="106"/>
      <c r="HJ9" s="107" t="s">
        <v>23</v>
      </c>
      <c r="HK9" s="108"/>
      <c r="HL9" s="183">
        <f>IFERROR((((COUNTIF('Elève (6ème2)'!HI9:HK9,"A"))*4)+((COUNTIF('Elève (6ème2)'!HI9:HK9,"B"))*3)+((COUNTIF('Elève (6ème2)'!HI9:HK9,"C"))*2)+((COUNTIF('Elève (6ème2)'!HI9:HK9,"D"))*1))/(COUNTA(HI9:HK9)),"")</f>
        <v>4</v>
      </c>
      <c r="HM9" s="184" t="str">
        <f t="shared" si="50"/>
        <v>A</v>
      </c>
      <c r="HN9" s="183">
        <f>IF(COUNT(HB9,HG9,HL9)=0,"",SUM(HB9,HG9,HL9)/COUNT(HB9,HG9,HL9))</f>
        <v>3.5</v>
      </c>
      <c r="HO9" s="209" t="str">
        <f t="shared" si="51"/>
        <v>B</v>
      </c>
      <c r="HP9" s="112"/>
      <c r="HQ9" s="107"/>
      <c r="HR9" s="108"/>
      <c r="HS9" s="183" t="str">
        <f>IFERROR((((COUNTIF('Elève (6ème2)'!HP9:HR9,"A"))*4)+((COUNTIF('Elève (6ème2)'!HP9:HR9,"B"))*3)+((COUNTIF('Elève (6ème2)'!HP9:HR9,"C"))*2)+((COUNTIF('Elève (6ème2)'!HP9:HR9,"D"))*1))/(COUNTA(HP9:HR9)),"")</f>
        <v/>
      </c>
      <c r="HT9" s="187" t="str">
        <f t="shared" si="52"/>
        <v/>
      </c>
      <c r="HU9" s="106"/>
      <c r="HV9" s="107"/>
      <c r="HW9" s="108" t="s">
        <v>24</v>
      </c>
      <c r="HX9" s="183">
        <f>IFERROR((((COUNTIF('Elève (6ème2)'!HU9:HW9,"A"))*4)+((COUNTIF('Elève (6ème2)'!HU9:HW9,"B"))*3)+((COUNTIF('Elève (6ème2)'!HU9:HW9,"C"))*2)+((COUNTIF('Elève (6ème2)'!HU9:HW9,"D"))*1))/(COUNTA(HU9:HW9)),"")</f>
        <v>3</v>
      </c>
      <c r="HY9" s="184" t="str">
        <f t="shared" si="53"/>
        <v>B</v>
      </c>
      <c r="HZ9" s="106"/>
      <c r="IA9" s="107" t="s">
        <v>23</v>
      </c>
      <c r="IB9" s="108"/>
      <c r="IC9" s="183">
        <f>IFERROR((((COUNTIF('Elève (6ème2)'!HZ9:IB9,"A"))*4)+((COUNTIF('Elève (6ème2)'!HZ9:IB9,"B"))*3)+((COUNTIF('Elève (6ème2)'!HZ9:IB9,"C"))*2)+((COUNTIF('Elève (6ème2)'!HZ9:IB9,"D"))*1))/(COUNTA(HZ9:IB9)),"")</f>
        <v>4</v>
      </c>
      <c r="ID9" s="184" t="str">
        <f t="shared" si="54"/>
        <v>A</v>
      </c>
      <c r="IE9" s="183">
        <f>IF(COUNT(HS9,HX9,IC9)=0,"",SUM(HS9,HX9,IC9)/COUNT(HS9,HX9,IC9))</f>
        <v>3.5</v>
      </c>
      <c r="IF9" s="209" t="str">
        <f t="shared" si="55"/>
        <v>B</v>
      </c>
      <c r="IG9" s="112"/>
      <c r="IH9" s="107"/>
      <c r="II9" s="108"/>
      <c r="IJ9" s="183" t="str">
        <f>IFERROR((((COUNTIF('Elève (6ème2)'!IG9:II9,"A"))*4)+((COUNTIF('Elève (6ème2)'!IG9:II9,"B"))*3)+((COUNTIF('Elève (6ème2)'!IG9:II9,"C"))*2)+((COUNTIF('Elève (6ème2)'!IG9:II9,"D"))*1))/(COUNTA(IG9:II9)),"")</f>
        <v/>
      </c>
      <c r="IK9" s="187" t="str">
        <f t="shared" si="56"/>
        <v/>
      </c>
      <c r="IL9" s="106"/>
      <c r="IM9" s="107"/>
      <c r="IN9" s="108" t="s">
        <v>24</v>
      </c>
      <c r="IO9" s="183">
        <f>IFERROR((((COUNTIF('Elève (6ème2)'!IL9:IN9,"A"))*4)+((COUNTIF('Elève (6ème2)'!IL9:IN9,"B"))*3)+((COUNTIF('Elève (6ème2)'!IL9:IN9,"C"))*2)+((COUNTIF('Elève (6ème2)'!IL9:IN9,"D"))*1))/(COUNTA(IL9:IN9)),"")</f>
        <v>3</v>
      </c>
      <c r="IP9" s="184" t="str">
        <f t="shared" si="57"/>
        <v>B</v>
      </c>
      <c r="IQ9" s="106"/>
      <c r="IR9" s="107" t="s">
        <v>23</v>
      </c>
      <c r="IS9" s="108"/>
      <c r="IT9" s="183">
        <f>IFERROR((((COUNTIF('Elève (6ème2)'!IQ9:IS9,"A"))*4)+((COUNTIF('Elève (6ème2)'!IQ9:IS9,"B"))*3)+((COUNTIF('Elève (6ème2)'!IQ9:IS9,"C"))*2)+((COUNTIF('Elève (6ème2)'!IQ9:IS9,"D"))*1))/(COUNTA(IQ9:IS9)),"")</f>
        <v>4</v>
      </c>
      <c r="IU9" s="184" t="str">
        <f t="shared" si="58"/>
        <v>A</v>
      </c>
      <c r="IV9" s="183">
        <f>IF(COUNT(IJ9,IO9,IT9)=0,"",SUM(IJ9,IO9,IT9)/COUNT(IJ9,IO9,IT9))</f>
        <v>3.5</v>
      </c>
      <c r="IW9" s="209" t="str">
        <f t="shared" si="59"/>
        <v>B</v>
      </c>
      <c r="IX9" s="112"/>
      <c r="IY9" s="107"/>
      <c r="IZ9" s="108"/>
      <c r="JA9" s="183" t="str">
        <f>IFERROR((((COUNTIF('Elève (6ème2)'!IX9:IZ9,"A"))*4)+((COUNTIF('Elève (6ème2)'!IX9:IZ9,"B"))*3)+((COUNTIF('Elève (6ème2)'!IX9:IZ9,"C"))*2)+((COUNTIF('Elève (6ème2)'!IX9:IZ9,"D"))*1))/(COUNTA(IX9:IZ9)),"")</f>
        <v/>
      </c>
      <c r="JB9" s="187" t="str">
        <f t="shared" si="60"/>
        <v/>
      </c>
      <c r="JC9" s="106"/>
      <c r="JD9" s="107"/>
      <c r="JE9" s="108" t="s">
        <v>24</v>
      </c>
      <c r="JF9" s="183">
        <f>IFERROR((((COUNTIF('Elève (6ème2)'!JC9:JE9,"A"))*4)+((COUNTIF('Elève (6ème2)'!JC9:JE9,"B"))*3)+((COUNTIF('Elève (6ème2)'!JC9:JE9,"C"))*2)+((COUNTIF('Elève (6ème2)'!JC9:JE9,"D"))*1))/(COUNTA(JC9:JE9)),"")</f>
        <v>3</v>
      </c>
      <c r="JG9" s="184" t="str">
        <f t="shared" si="61"/>
        <v>B</v>
      </c>
      <c r="JH9" s="106"/>
      <c r="JI9" s="107" t="s">
        <v>23</v>
      </c>
      <c r="JJ9" s="108"/>
      <c r="JK9" s="183">
        <f>IFERROR((((COUNTIF('Elève (6ème2)'!JH9:JJ9,"A"))*4)+((COUNTIF('Elève (6ème2)'!JH9:JJ9,"B"))*3)+((COUNTIF('Elève (6ème2)'!JH9:JJ9,"C"))*2)+((COUNTIF('Elève (6ème2)'!JH9:JJ9,"D"))*1))/(COUNTA(JH9:JJ9)),"")</f>
        <v>4</v>
      </c>
      <c r="JL9" s="184" t="str">
        <f t="shared" si="62"/>
        <v>A</v>
      </c>
      <c r="JM9" s="183">
        <f>IF(COUNT(JA9,JF9,JK9)=0,"",SUM(JA9,JF9,JK9)/COUNT(JA9,JF9,JK9))</f>
        <v>3.5</v>
      </c>
      <c r="JN9" s="209" t="str">
        <f t="shared" si="63"/>
        <v>B</v>
      </c>
      <c r="JO9" s="112"/>
      <c r="JP9" s="107"/>
      <c r="JQ9" s="108"/>
      <c r="JR9" s="183" t="str">
        <f>IFERROR((((COUNTIF('Elève (6ème2)'!JO9:JQ9,"A"))*4)+((COUNTIF('Elève (6ème2)'!JO9:JQ9,"B"))*3)+((COUNTIF('Elève (6ème2)'!JO9:JQ9,"C"))*2)+((COUNTIF('Elève (6ème2)'!JO9:JQ9,"D"))*1))/(COUNTA(JO9:JQ9)),"")</f>
        <v/>
      </c>
      <c r="JS9" s="187" t="str">
        <f t="shared" si="64"/>
        <v/>
      </c>
      <c r="JT9" s="106"/>
      <c r="JU9" s="107"/>
      <c r="JV9" s="108" t="s">
        <v>24</v>
      </c>
      <c r="JW9" s="183">
        <f>IFERROR((((COUNTIF('Elève (6ème2)'!JT9:JV9,"A"))*4)+((COUNTIF('Elève (6ème2)'!JT9:JV9,"B"))*3)+((COUNTIF('Elève (6ème2)'!JT9:JV9,"C"))*2)+((COUNTIF('Elève (6ème2)'!JT9:JV9,"D"))*1))/(COUNTA(JT9:JV9)),"")</f>
        <v>3</v>
      </c>
      <c r="JX9" s="184" t="str">
        <f t="shared" si="65"/>
        <v>B</v>
      </c>
      <c r="JY9" s="106"/>
      <c r="JZ9" s="107" t="s">
        <v>23</v>
      </c>
      <c r="KA9" s="108"/>
      <c r="KB9" s="183">
        <f>IFERROR((((COUNTIF('Elève (6ème2)'!JY9:KA9,"A"))*4)+((COUNTIF('Elève (6ème2)'!JY9:KA9,"B"))*3)+((COUNTIF('Elève (6ème2)'!JY9:KA9,"C"))*2)+((COUNTIF('Elève (6ème2)'!JY9:KA9,"D"))*1))/(COUNTA(JY9:KA9)),"")</f>
        <v>4</v>
      </c>
      <c r="KC9" s="184" t="str">
        <f t="shared" si="66"/>
        <v>A</v>
      </c>
      <c r="KD9" s="183">
        <f>IF(COUNT(JR9,JW9,KB9)=0,"",SUM(JR9,JW9,KB9)/COUNT(JR9,JW9,KB9))</f>
        <v>3.5</v>
      </c>
      <c r="KE9" s="209" t="str">
        <f t="shared" si="67"/>
        <v>B</v>
      </c>
      <c r="KF9" s="112"/>
      <c r="KG9" s="107"/>
      <c r="KH9" s="108"/>
      <c r="KI9" s="183" t="str">
        <f>IFERROR((((COUNTIF('Elève (6ème2)'!KF9:KH9,"A"))*4)+((COUNTIF('Elève (6ème2)'!KF9:KH9,"B"))*3)+((COUNTIF('Elève (6ème2)'!KF9:KH9,"C"))*2)+((COUNTIF('Elève (6ème2)'!KF9:KH9,"D"))*1))/(COUNTA(KF9:KH9)),"")</f>
        <v/>
      </c>
      <c r="KJ9" s="187" t="str">
        <f t="shared" si="68"/>
        <v/>
      </c>
      <c r="KK9" s="106"/>
      <c r="KL9" s="107"/>
      <c r="KM9" s="108" t="s">
        <v>24</v>
      </c>
      <c r="KN9" s="183">
        <f>IFERROR((((COUNTIF('Elève (6ème2)'!KK9:KM9,"A"))*4)+((COUNTIF('Elève (6ème2)'!KK9:KM9,"B"))*3)+((COUNTIF('Elève (6ème2)'!KK9:KM9,"C"))*2)+((COUNTIF('Elève (6ème2)'!KK9:KM9,"D"))*1))/(COUNTA(KK9:KM9)),"")</f>
        <v>3</v>
      </c>
      <c r="KO9" s="184" t="str">
        <f t="shared" si="69"/>
        <v>B</v>
      </c>
      <c r="KP9" s="106"/>
      <c r="KQ9" s="107" t="s">
        <v>23</v>
      </c>
      <c r="KR9" s="108"/>
      <c r="KS9" s="183">
        <f>IFERROR((((COUNTIF('Elève (6ème2)'!KP9:KR9,"A"))*4)+((COUNTIF('Elève (6ème2)'!KP9:KR9,"B"))*3)+((COUNTIF('Elève (6ème2)'!KP9:KR9,"C"))*2)+((COUNTIF('Elève (6ème2)'!KP9:KR9,"D"))*1))/(COUNTA(KP9:KR9)),"")</f>
        <v>4</v>
      </c>
      <c r="KT9" s="184" t="str">
        <f t="shared" si="70"/>
        <v>A</v>
      </c>
      <c r="KU9" s="183">
        <f>IF(COUNT(KI9,KN9,KS9)=0,"",SUM(KI9,KN9,KS9)/COUNT(KI9,KN9,KS9))</f>
        <v>3.5</v>
      </c>
      <c r="KV9" s="209" t="str">
        <f t="shared" si="71"/>
        <v>B</v>
      </c>
      <c r="KW9" s="112"/>
      <c r="KX9" s="107"/>
      <c r="KY9" s="108"/>
      <c r="KZ9" s="183" t="str">
        <f>IFERROR((((COUNTIF('Elève (6ème2)'!KW9:KY9,"A"))*4)+((COUNTIF('Elève (6ème2)'!KW9:KY9,"B"))*3)+((COUNTIF('Elève (6ème2)'!KW9:KY9,"C"))*2)+((COUNTIF('Elève (6ème2)'!KW9:KY9,"D"))*1))/(COUNTA(KW9:KY9)),"")</f>
        <v/>
      </c>
      <c r="LA9" s="187" t="str">
        <f t="shared" si="72"/>
        <v/>
      </c>
      <c r="LB9" s="106"/>
      <c r="LC9" s="107"/>
      <c r="LD9" s="108" t="s">
        <v>24</v>
      </c>
      <c r="LE9" s="183">
        <f>IFERROR((((COUNTIF('Elève (6ème2)'!LB9:LD9,"A"))*4)+((COUNTIF('Elève (6ème2)'!LB9:LD9,"B"))*3)+((COUNTIF('Elève (6ème2)'!LB9:LD9,"C"))*2)+((COUNTIF('Elève (6ème2)'!LB9:LD9,"D"))*1))/(COUNTA(LB9:LD9)),"")</f>
        <v>3</v>
      </c>
      <c r="LF9" s="184" t="str">
        <f t="shared" si="73"/>
        <v>B</v>
      </c>
      <c r="LG9" s="106"/>
      <c r="LH9" s="107" t="s">
        <v>23</v>
      </c>
      <c r="LI9" s="108"/>
      <c r="LJ9" s="183">
        <f>IFERROR((((COUNTIF('Elève (6ème2)'!LG9:LI9,"A"))*4)+((COUNTIF('Elève (6ème2)'!LG9:LI9,"B"))*3)+((COUNTIF('Elève (6ème2)'!LG9:LI9,"C"))*2)+((COUNTIF('Elève (6ème2)'!LG9:LI9,"D"))*1))/(COUNTA(LG9:LI9)),"")</f>
        <v>4</v>
      </c>
      <c r="LK9" s="184" t="str">
        <f t="shared" si="74"/>
        <v>A</v>
      </c>
      <c r="LL9" s="183">
        <f>IF(COUNT(KZ9,LE9,LJ9)=0,"",SUM(KZ9,LE9,LJ9)/COUNT(KZ9,LE9,LJ9))</f>
        <v>3.5</v>
      </c>
      <c r="LM9" s="209" t="str">
        <f t="shared" si="75"/>
        <v>B</v>
      </c>
      <c r="LN9" s="112"/>
      <c r="LO9" s="107"/>
      <c r="LP9" s="108"/>
      <c r="LQ9" s="183" t="str">
        <f>IFERROR((((COUNTIF('Elève (6ème2)'!LN9:LP9,"A"))*4)+((COUNTIF('Elève (6ème2)'!LN9:LP9,"B"))*3)+((COUNTIF('Elève (6ème2)'!LN9:LP9,"C"))*2)+((COUNTIF('Elève (6ème2)'!LN9:LP9,"D"))*1))/(COUNTA(LN9:LP9)),"")</f>
        <v/>
      </c>
      <c r="LR9" s="187" t="str">
        <f t="shared" si="76"/>
        <v/>
      </c>
      <c r="LS9" s="106"/>
      <c r="LT9" s="107"/>
      <c r="LU9" s="108"/>
      <c r="LV9" s="183" t="str">
        <f>IFERROR((((COUNTIF('Elève (6ème2)'!LS9:LU9,"A"))*4)+((COUNTIF('Elève (6ème2)'!LS9:LU9,"B"))*3)+((COUNTIF('Elève (6ème2)'!LS9:LU9,"C"))*2)+((COUNTIF('Elève (6ème2)'!LS9:LU9,"D"))*1))/(COUNTA(LS9:LU9)),"")</f>
        <v/>
      </c>
      <c r="LW9" s="184" t="str">
        <f t="shared" si="77"/>
        <v/>
      </c>
      <c r="LX9" s="106"/>
      <c r="LY9" s="107" t="s">
        <v>23</v>
      </c>
      <c r="LZ9" s="108"/>
      <c r="MA9" s="183">
        <f>IFERROR((((COUNTIF('Elève (6ème2)'!LX9:LZ9,"A"))*4)+((COUNTIF('Elève (6ème2)'!LX9:LZ9,"B"))*3)+((COUNTIF('Elève (6ème2)'!LX9:LZ9,"C"))*2)+((COUNTIF('Elève (6ème2)'!LX9:LZ9,"D"))*1))/(COUNTA(LX9:LZ9)),"")</f>
        <v>4</v>
      </c>
      <c r="MB9" s="184" t="str">
        <f t="shared" si="78"/>
        <v>A</v>
      </c>
      <c r="MC9" s="183">
        <f>IF(COUNT(LQ9,LV9,MA9)=0,"",SUM(LQ9,LV9,MA9)/COUNT(LQ9,LV9,MA9))</f>
        <v>4</v>
      </c>
      <c r="MD9" s="209" t="str">
        <f t="shared" si="79"/>
        <v>A</v>
      </c>
      <c r="ME9" s="112"/>
      <c r="MF9" s="107"/>
      <c r="MG9" s="108"/>
      <c r="MH9" s="183" t="str">
        <f>IFERROR((((COUNTIF('Elève (6ème2)'!ME9:MG9,"A"))*4)+((COUNTIF('Elève (6ème2)'!ME9:MG9,"B"))*3)+((COUNTIF('Elève (6ème2)'!ME9:MG9,"C"))*2)+((COUNTIF('Elève (6ème2)'!ME9:MG9,"D"))*1))/(COUNTA(ME9:MG9)),"")</f>
        <v/>
      </c>
      <c r="MI9" s="187" t="str">
        <f t="shared" si="80"/>
        <v/>
      </c>
      <c r="MJ9" s="106"/>
      <c r="MK9" s="107"/>
      <c r="ML9" s="108" t="s">
        <v>24</v>
      </c>
      <c r="MM9" s="183">
        <f>IFERROR((((COUNTIF('Elève (6ème2)'!MJ9:ML9,"A"))*4)+((COUNTIF('Elève (6ème2)'!MJ9:ML9,"B"))*3)+((COUNTIF('Elève (6ème2)'!MJ9:ML9,"C"))*2)+((COUNTIF('Elève (6ème2)'!MJ9:ML9,"D"))*1))/(COUNTA(MJ9:ML9)),"")</f>
        <v>3</v>
      </c>
      <c r="MN9" s="184" t="str">
        <f t="shared" si="81"/>
        <v>B</v>
      </c>
      <c r="MO9" s="106"/>
      <c r="MP9" s="107" t="s">
        <v>23</v>
      </c>
      <c r="MQ9" s="108"/>
      <c r="MR9" s="183">
        <f>IFERROR((((COUNTIF('Elève (6ème2)'!MO9:MQ9,"A"))*4)+((COUNTIF('Elève (6ème2)'!MO9:MQ9,"B"))*3)+((COUNTIF('Elève (6ème2)'!MO9:MQ9,"C"))*2)+((COUNTIF('Elève (6ème2)'!MO9:MQ9,"D"))*1))/(COUNTA(MO9:MQ9)),"")</f>
        <v>4</v>
      </c>
      <c r="MS9" s="184" t="str">
        <f t="shared" si="82"/>
        <v>A</v>
      </c>
      <c r="MT9" s="183">
        <f>IF(COUNT(MH9,MM9,MR9)=0,"",SUM(MH9,MM9,MR9)/COUNT(MH9,MM9,MR9))</f>
        <v>3.5</v>
      </c>
      <c r="MU9" s="209" t="str">
        <f t="shared" si="83"/>
        <v>B</v>
      </c>
      <c r="MV9" s="112"/>
      <c r="MW9" s="107"/>
      <c r="MX9" s="108"/>
      <c r="MY9" s="183" t="str">
        <f>IFERROR((((COUNTIF('Elève (6ème2)'!MV9:MX9,"A"))*4)+((COUNTIF('Elève (6ème2)'!MV9:MX9,"B"))*3)+((COUNTIF('Elève (6ème2)'!MV9:MX9,"C"))*2)+((COUNTIF('Elève (6ème2)'!MV9:MX9,"D"))*1))/(COUNTA(MV9:MX9)),"")</f>
        <v/>
      </c>
      <c r="MZ9" s="187" t="str">
        <f t="shared" si="84"/>
        <v/>
      </c>
      <c r="NA9" s="106"/>
      <c r="NB9" s="107"/>
      <c r="NC9" s="108" t="s">
        <v>24</v>
      </c>
      <c r="ND9" s="183">
        <f>IFERROR((((COUNTIF('Elève (6ème2)'!NA9:NC9,"A"))*4)+((COUNTIF('Elève (6ème2)'!NA9:NC9,"B"))*3)+((COUNTIF('Elève (6ème2)'!NA9:NC9,"C"))*2)+((COUNTIF('Elève (6ème2)'!NA9:NC9,"D"))*1))/(COUNTA(NA9:NC9)),"")</f>
        <v>3</v>
      </c>
      <c r="NE9" s="184" t="str">
        <f t="shared" si="85"/>
        <v>B</v>
      </c>
      <c r="NF9" s="106"/>
      <c r="NG9" s="107" t="s">
        <v>23</v>
      </c>
      <c r="NH9" s="108"/>
      <c r="NI9" s="183">
        <f>IFERROR((((COUNTIF('Elève (6ème2)'!NF9:NH9,"A"))*4)+((COUNTIF('Elève (6ème2)'!NF9:NH9,"B"))*3)+((COUNTIF('Elève (6ème2)'!NF9:NH9,"C"))*2)+((COUNTIF('Elève (6ème2)'!NF9:NH9,"D"))*1))/(COUNTA(NF9:NH9)),"")</f>
        <v>4</v>
      </c>
      <c r="NJ9" s="184" t="str">
        <f t="shared" si="86"/>
        <v>A</v>
      </c>
      <c r="NK9" s="183">
        <f>IF(COUNT(MY9,ND9,NI9)=0,"",SUM(MY9,ND9,NI9)/COUNT(MY9,ND9,NI9))</f>
        <v>3.5</v>
      </c>
      <c r="NL9" s="209" t="str">
        <f t="shared" si="87"/>
        <v>B</v>
      </c>
      <c r="NM9" s="112"/>
      <c r="NN9" s="107"/>
      <c r="NO9" s="108"/>
      <c r="NP9" s="183" t="str">
        <f>IFERROR((((COUNTIF('Elève (6ème2)'!NM9:NO9,"A"))*4)+((COUNTIF('Elève (6ème2)'!NM9:NO9,"B"))*3)+((COUNTIF('Elève (6ème2)'!NM9:NO9,"C"))*2)+((COUNTIF('Elève (6ème2)'!NM9:NO9,"D"))*1))/(COUNTA(NM9:NO9)),"")</f>
        <v/>
      </c>
      <c r="NQ9" s="187" t="str">
        <f t="shared" si="88"/>
        <v/>
      </c>
      <c r="NR9" s="106"/>
      <c r="NS9" s="107"/>
      <c r="NT9" s="108" t="s">
        <v>24</v>
      </c>
      <c r="NU9" s="183">
        <f>IFERROR((((COUNTIF('Elève (6ème2)'!NR9:NT9,"A"))*4)+((COUNTIF('Elève (6ème2)'!NR9:NT9,"B"))*3)+((COUNTIF('Elève (6ème2)'!NR9:NT9,"C"))*2)+((COUNTIF('Elève (6ème2)'!NR9:NT9,"D"))*1))/(COUNTA(NR9:NT9)),"")</f>
        <v>3</v>
      </c>
      <c r="NV9" s="184" t="str">
        <f t="shared" si="89"/>
        <v>B</v>
      </c>
      <c r="NW9" s="106"/>
      <c r="NX9" s="107" t="s">
        <v>23</v>
      </c>
      <c r="NY9" s="108"/>
      <c r="NZ9" s="183">
        <f>IFERROR((((COUNTIF('Elève (6ème2)'!NW9:NY9,"A"))*4)+((COUNTIF('Elève (6ème2)'!NW9:NY9,"B"))*3)+((COUNTIF('Elève (6ème2)'!NW9:NY9,"C"))*2)+((COUNTIF('Elève (6ème2)'!NW9:NY9,"D"))*1))/(COUNTA(NW9:NY9)),"")</f>
        <v>4</v>
      </c>
      <c r="OA9" s="184" t="str">
        <f t="shared" si="90"/>
        <v>A</v>
      </c>
      <c r="OB9" s="183">
        <f>IF(COUNT(NP9,NU9,NZ9)=0,"",SUM(NP9,NU9,NZ9)/COUNT(NP9,NU9,NZ9))</f>
        <v>3.5</v>
      </c>
      <c r="OC9" s="209" t="str">
        <f t="shared" si="91"/>
        <v>B</v>
      </c>
      <c r="OD9" s="112"/>
      <c r="OE9" s="107"/>
      <c r="OF9" s="108"/>
      <c r="OG9" s="183" t="str">
        <f>IFERROR((((COUNTIF('Elève (6ème2)'!OD9:OF9,"A"))*4)+((COUNTIF('Elève (6ème2)'!OD9:OF9,"B"))*3)+((COUNTIF('Elève (6ème2)'!OD9:OF9,"C"))*2)+((COUNTIF('Elève (6ème2)'!OD9:OF9,"D"))*1))/(COUNTA(OD9:OF9)),"")</f>
        <v/>
      </c>
      <c r="OH9" s="187" t="str">
        <f t="shared" si="92"/>
        <v/>
      </c>
      <c r="OI9" s="106"/>
      <c r="OJ9" s="107"/>
      <c r="OK9" s="108" t="s">
        <v>24</v>
      </c>
      <c r="OL9" s="183">
        <f>IFERROR((((COUNTIF('Elève (6ème2)'!OI9:OK9,"A"))*4)+((COUNTIF('Elève (6ème2)'!OI9:OK9,"B"))*3)+((COUNTIF('Elève (6ème2)'!OI9:OK9,"C"))*2)+((COUNTIF('Elève (6ème2)'!OI9:OK9,"D"))*1))/(COUNTA(OI9:OK9)),"")</f>
        <v>3</v>
      </c>
      <c r="OM9" s="184" t="str">
        <f t="shared" si="93"/>
        <v>B</v>
      </c>
      <c r="ON9" s="106"/>
      <c r="OO9" s="107"/>
      <c r="OP9" s="108"/>
      <c r="OQ9" s="183" t="str">
        <f>IFERROR((((COUNTIF('Elève (6ème2)'!ON9:OP9,"A"))*4)+((COUNTIF('Elève (6ème2)'!ON9:OP9,"B"))*3)+((COUNTIF('Elève (6ème2)'!ON9:OP9,"C"))*2)+((COUNTIF('Elève (6ème2)'!ON9:OP9,"D"))*1))/(COUNTA(ON9:OP9)),"")</f>
        <v/>
      </c>
      <c r="OR9" s="184" t="str">
        <f t="shared" si="94"/>
        <v/>
      </c>
      <c r="OS9" s="183">
        <f>IF(COUNT(OG9,OL9,OQ9)=0,"",SUM(OG9,OL9,OQ9)/COUNT(OG9,OL9,OQ9))</f>
        <v>3</v>
      </c>
      <c r="OT9" s="209" t="str">
        <f t="shared" si="95"/>
        <v>B</v>
      </c>
      <c r="OU9" s="112"/>
      <c r="OV9" s="107"/>
      <c r="OW9" s="108"/>
      <c r="OX9" s="183" t="str">
        <f>IFERROR((((COUNTIF('Elève (6ème2)'!OU9:OW9,"A"))*4)+((COUNTIF('Elève (6ème2)'!OU9:OW9,"B"))*3)+((COUNTIF('Elève (6ème2)'!OU9:OW9,"C"))*2)+((COUNTIF('Elève (6ème2)'!OU9:OW9,"D"))*1))/(COUNTA(OU9:OW9)),"")</f>
        <v/>
      </c>
      <c r="OY9" s="187" t="str">
        <f t="shared" si="96"/>
        <v/>
      </c>
      <c r="OZ9" s="106"/>
      <c r="PA9" s="107"/>
      <c r="PB9" s="108" t="s">
        <v>24</v>
      </c>
      <c r="PC9" s="183">
        <f>IFERROR((((COUNTIF('Elève (6ème2)'!OZ9:PB9,"A"))*4)+((COUNTIF('Elève (6ème2)'!OZ9:PB9,"B"))*3)+((COUNTIF('Elève (6ème2)'!OZ9:PB9,"C"))*2)+((COUNTIF('Elève (6ème2)'!OZ9:PB9,"D"))*1))/(COUNTA(OZ9:PB9)),"")</f>
        <v>3</v>
      </c>
      <c r="PD9" s="184" t="str">
        <f t="shared" si="97"/>
        <v>B</v>
      </c>
      <c r="PE9" s="106"/>
      <c r="PF9" s="107" t="s">
        <v>23</v>
      </c>
      <c r="PG9" s="108"/>
      <c r="PH9" s="183">
        <f>IFERROR((((COUNTIF('Elève (6ème2)'!PE9:PG9,"A"))*4)+((COUNTIF('Elève (6ème2)'!PE9:PG9,"B"))*3)+((COUNTIF('Elève (6ème2)'!PE9:PG9,"C"))*2)+((COUNTIF('Elève (6ème2)'!PE9:PG9,"D"))*1))/(COUNTA(PE9:PG9)),"")</f>
        <v>4</v>
      </c>
      <c r="PI9" s="184" t="str">
        <f t="shared" si="98"/>
        <v>A</v>
      </c>
      <c r="PJ9" s="183">
        <f>IF(COUNT(OX9,PC9,PH9)=0,"",SUM(OX9,PC9,PH9)/COUNT(OX9,PC9,PH9))</f>
        <v>3.5</v>
      </c>
      <c r="PK9" s="209" t="str">
        <f t="shared" si="99"/>
        <v>B</v>
      </c>
      <c r="PL9" s="112"/>
      <c r="PM9" s="107"/>
      <c r="PN9" s="108"/>
      <c r="PO9" s="183" t="str">
        <f>IFERROR((((COUNTIF('Elève (6ème2)'!PL9:PN9,"A"))*4)+((COUNTIF('Elève (6ème2)'!PL9:PN9,"B"))*3)+((COUNTIF('Elève (6ème2)'!PL9:PN9,"C"))*2)+((COUNTIF('Elève (6ème2)'!PL9:PN9,"D"))*1))/(COUNTA(PL9:PN9)),"")</f>
        <v/>
      </c>
      <c r="PP9" s="187" t="str">
        <f t="shared" si="100"/>
        <v/>
      </c>
      <c r="PQ9" s="106"/>
      <c r="PR9" s="107"/>
      <c r="PS9" s="108" t="s">
        <v>24</v>
      </c>
      <c r="PT9" s="183">
        <f>IFERROR((((COUNTIF('Elève (6ème2)'!PQ9:PS9,"A"))*4)+((COUNTIF('Elève (6ème2)'!PQ9:PS9,"B"))*3)+((COUNTIF('Elève (6ème2)'!PQ9:PS9,"C"))*2)+((COUNTIF('Elève (6ème2)'!PQ9:PS9,"D"))*1))/(COUNTA(PQ9:PS9)),"")</f>
        <v>3</v>
      </c>
      <c r="PU9" s="184" t="str">
        <f t="shared" si="101"/>
        <v>B</v>
      </c>
      <c r="PV9" s="106"/>
      <c r="PW9" s="107" t="s">
        <v>23</v>
      </c>
      <c r="PX9" s="108"/>
      <c r="PY9" s="183">
        <f>IFERROR((((COUNTIF('Elève (6ème2)'!PV9:PX9,"A"))*4)+((COUNTIF('Elève (6ème2)'!PV9:PX9,"B"))*3)+((COUNTIF('Elève (6ème2)'!PV9:PX9,"C"))*2)+((COUNTIF('Elève (6ème2)'!PV9:PX9,"D"))*1))/(COUNTA(PV9:PX9)),"")</f>
        <v>4</v>
      </c>
      <c r="PZ9" s="184" t="str">
        <f t="shared" si="102"/>
        <v>A</v>
      </c>
      <c r="QA9" s="183">
        <f>IF(COUNT(PO9,PT9,PY9)=0,"",SUM(PO9,PT9,PY9)/COUNT(PO9,PT9,PY9))</f>
        <v>3.5</v>
      </c>
      <c r="QB9" s="209" t="str">
        <f t="shared" si="103"/>
        <v>B</v>
      </c>
      <c r="QC9" s="112"/>
      <c r="QD9" s="107"/>
      <c r="QE9" s="108"/>
      <c r="QF9" s="183" t="str">
        <f>IFERROR((((COUNTIF('Elève (6ème2)'!QC9:QE9,"A"))*4)+((COUNTIF('Elève (6ème2)'!QC9:QE9,"B"))*3)+((COUNTIF('Elève (6ème2)'!QC9:QE9,"C"))*2)+((COUNTIF('Elève (6ème2)'!QC9:QE9,"D"))*1))/(COUNTA(QC9:QE9)),"")</f>
        <v/>
      </c>
      <c r="QG9" s="187" t="str">
        <f t="shared" si="104"/>
        <v/>
      </c>
      <c r="QH9" s="106"/>
      <c r="QI9" s="107"/>
      <c r="QJ9" s="108"/>
      <c r="QK9" s="183" t="str">
        <f>IFERROR((((COUNTIF('Elève (6ème2)'!QH9:QJ9,"A"))*4)+((COUNTIF('Elève (6ème2)'!QH9:QJ9,"B"))*3)+((COUNTIF('Elève (6ème2)'!QH9:QJ9,"C"))*2)+((COUNTIF('Elève (6ème2)'!QH9:QJ9,"D"))*1))/(COUNTA(QH9:QJ9)),"")</f>
        <v/>
      </c>
      <c r="QL9" s="184" t="str">
        <f t="shared" si="105"/>
        <v/>
      </c>
      <c r="QM9" s="106"/>
      <c r="QN9" s="107" t="s">
        <v>23</v>
      </c>
      <c r="QO9" s="108"/>
      <c r="QP9" s="183">
        <f>IFERROR((((COUNTIF('Elève (6ème2)'!QM9:QO9,"A"))*4)+((COUNTIF('Elève (6ème2)'!QM9:QO9,"B"))*3)+((COUNTIF('Elève (6ème2)'!QM9:QO9,"C"))*2)+((COUNTIF('Elève (6ème2)'!QM9:QO9,"D"))*1))/(COUNTA(QM9:QO9)),"")</f>
        <v>4</v>
      </c>
      <c r="QQ9" s="184" t="str">
        <f t="shared" si="106"/>
        <v>A</v>
      </c>
      <c r="QR9" s="183">
        <f>IF(COUNT(QF9,QK9,QP9)=0,"",SUM(QF9,QK9,QP9)/COUNT(QF9,QK9,QP9))</f>
        <v>4</v>
      </c>
      <c r="QS9" s="209" t="str">
        <f t="shared" si="107"/>
        <v>A</v>
      </c>
      <c r="QT9" s="112"/>
      <c r="QU9" s="107"/>
      <c r="QV9" s="108"/>
      <c r="QW9" s="183" t="str">
        <f>IFERROR((((COUNTIF('Elève (6ème2)'!QT9:QV9,"A"))*4)+((COUNTIF('Elève (6ème2)'!QT9:QV9,"B"))*3)+((COUNTIF('Elève (6ème2)'!QT9:QV9,"C"))*2)+((COUNTIF('Elève (6ème2)'!QT9:QV9,"D"))*1))/(COUNTA(QT9:QV9)),"")</f>
        <v/>
      </c>
      <c r="QX9" s="187" t="str">
        <f t="shared" si="108"/>
        <v/>
      </c>
      <c r="QY9" s="106"/>
      <c r="QZ9" s="107"/>
      <c r="RA9" s="108"/>
      <c r="RB9" s="183" t="str">
        <f>IFERROR((((COUNTIF('Elève (6ème2)'!QY9:RA9,"A"))*4)+((COUNTIF('Elève (6ème2)'!QY9:RA9,"B"))*3)+((COUNTIF('Elève (6ème2)'!QY9:RA9,"C"))*2)+((COUNTIF('Elève (6ème2)'!QY9:RA9,"D"))*1))/(COUNTA(QY9:RA9)),"")</f>
        <v/>
      </c>
      <c r="RC9" s="184" t="str">
        <f t="shared" si="109"/>
        <v/>
      </c>
      <c r="RD9" s="106"/>
      <c r="RE9" s="107"/>
      <c r="RF9" s="108"/>
      <c r="RG9" s="183" t="str">
        <f>IFERROR((((COUNTIF('Elève (6ème2)'!RD9:RF9,"A"))*4)+((COUNTIF('Elève (6ème2)'!RD9:RF9,"B"))*3)+((COUNTIF('Elève (6ème2)'!RD9:RF9,"C"))*2)+((COUNTIF('Elève (6ème2)'!RD9:RF9,"D"))*1))/(COUNTA(RD9:RF9)),"")</f>
        <v/>
      </c>
      <c r="RH9" s="184" t="str">
        <f t="shared" si="110"/>
        <v/>
      </c>
      <c r="RI9" s="183" t="str">
        <f>IF(COUNT(QW9,RB9,RG9)=0,"",SUM(QW9,RB9,RG9)/COUNT(QW9,RB9,RG9))</f>
        <v/>
      </c>
      <c r="RJ9" s="209" t="str">
        <f t="shared" si="111"/>
        <v/>
      </c>
      <c r="RK9" s="112"/>
      <c r="RL9" s="107"/>
      <c r="RM9" s="108"/>
      <c r="RN9" s="183" t="str">
        <f>IFERROR((((COUNTIF('Elève (6ème2)'!RK9:RM9,"A"))*4)+((COUNTIF('Elève (6ème2)'!RK9:RM9,"B"))*3)+((COUNTIF('Elève (6ème2)'!RK9:RM9,"C"))*2)+((COUNTIF('Elève (6ème2)'!RK9:RM9,"D"))*1))/(COUNTA(RK9:RM9)),"")</f>
        <v/>
      </c>
      <c r="RO9" s="187" t="str">
        <f t="shared" si="112"/>
        <v/>
      </c>
      <c r="RP9" s="106"/>
      <c r="RQ9" s="107"/>
      <c r="RR9" s="108"/>
      <c r="RS9" s="183" t="str">
        <f>IFERROR((((COUNTIF('Elève (6ème2)'!RP9:RR9,"A"))*4)+((COUNTIF('Elève (6ème2)'!RP9:RR9,"B"))*3)+((COUNTIF('Elève (6ème2)'!RP9:RR9,"C"))*2)+((COUNTIF('Elève (6ème2)'!RP9:RR9,"D"))*1))/(COUNTA(RP9:RR9)),"")</f>
        <v/>
      </c>
      <c r="RT9" s="184" t="str">
        <f t="shared" si="113"/>
        <v/>
      </c>
      <c r="RU9" s="106"/>
      <c r="RV9" s="107" t="s">
        <v>23</v>
      </c>
      <c r="RW9" s="108"/>
      <c r="RX9" s="183">
        <f>IFERROR((((COUNTIF('Elève (6ème2)'!RU9:RW9,"A"))*4)+((COUNTIF('Elève (6ème2)'!RU9:RW9,"B"))*3)+((COUNTIF('Elève (6ème2)'!RU9:RW9,"C"))*2)+((COUNTIF('Elève (6ème2)'!RU9:RW9,"D"))*1))/(COUNTA(RU9:RW9)),"")</f>
        <v>4</v>
      </c>
      <c r="RY9" s="184" t="str">
        <f t="shared" si="114"/>
        <v>A</v>
      </c>
      <c r="RZ9" s="183">
        <f>IF(COUNT(RN9,RS9,RX9)=0,"",SUM(RN9,RS9,RX9)/COUNT(RN9,RS9,RX9))</f>
        <v>4</v>
      </c>
      <c r="SA9" s="209" t="str">
        <f t="shared" si="115"/>
        <v>A</v>
      </c>
      <c r="SB9" s="112"/>
      <c r="SC9" s="107"/>
      <c r="SD9" s="108"/>
      <c r="SE9" s="183" t="str">
        <f>IFERROR((((COUNTIF('Elève (6ème2)'!SB9:SD9,"A"))*4)+((COUNTIF('Elève (6ème2)'!SB9:SD9,"B"))*3)+((COUNTIF('Elève (6ème2)'!SB9:SD9,"C"))*2)+((COUNTIF('Elève (6ème2)'!SB9:SD9,"D"))*1))/(COUNTA(SB9:SD9)),"")</f>
        <v/>
      </c>
      <c r="SF9" s="187" t="str">
        <f t="shared" si="116"/>
        <v/>
      </c>
      <c r="SG9" s="106"/>
      <c r="SH9" s="107"/>
      <c r="SI9" s="108" t="s">
        <v>24</v>
      </c>
      <c r="SJ9" s="183">
        <f>IFERROR((((COUNTIF('Elève (6ème2)'!SG9:SI9,"A"))*4)+((COUNTIF('Elève (6ème2)'!SG9:SI9,"B"))*3)+((COUNTIF('Elève (6ème2)'!SG9:SI9,"C"))*2)+((COUNTIF('Elève (6ème2)'!SG9:SI9,"D"))*1))/(COUNTA(SG9:SI9)),"")</f>
        <v>3</v>
      </c>
      <c r="SK9" s="184" t="str">
        <f t="shared" si="117"/>
        <v>B</v>
      </c>
      <c r="SL9" s="106"/>
      <c r="SM9" s="107" t="s">
        <v>23</v>
      </c>
      <c r="SN9" s="108"/>
      <c r="SO9" s="183">
        <f>IFERROR((((COUNTIF('Elève (6ème2)'!SL9:SN9,"A"))*4)+((COUNTIF('Elève (6ème2)'!SL9:SN9,"B"))*3)+((COUNTIF('Elève (6ème2)'!SL9:SN9,"C"))*2)+((COUNTIF('Elève (6ème2)'!SL9:SN9,"D"))*1))/(COUNTA(SL9:SN9)),"")</f>
        <v>4</v>
      </c>
      <c r="SP9" s="184" t="str">
        <f t="shared" si="118"/>
        <v>A</v>
      </c>
      <c r="SQ9" s="183">
        <f>IF(COUNT(SE9,SJ9,SO9)=0,"",SUM(SE9,SJ9,SO9)/COUNT(SE9,SJ9,SO9))</f>
        <v>3.5</v>
      </c>
      <c r="SR9" s="209" t="str">
        <f t="shared" si="119"/>
        <v>B</v>
      </c>
      <c r="SS9" s="112"/>
      <c r="ST9" s="107"/>
      <c r="SU9" s="108"/>
      <c r="SV9" s="102" t="str">
        <f>IFERROR((((COUNTIF('Elève (6ème2)'!SS9:SU9,"A"))*4)+((COUNTIF('Elève (6ème2)'!SS9:SU9,"B"))*3)+((COUNTIF('Elève (6ème2)'!SS9:SU9,"C"))*2)+((COUNTIF('Elève (6ème2)'!SS9:SU9,"D"))*1))/(COUNTA(SS9:SU9)),"")</f>
        <v/>
      </c>
      <c r="SW9" s="118" t="str">
        <f t="shared" si="120"/>
        <v/>
      </c>
      <c r="SX9" s="106"/>
      <c r="SY9" s="107"/>
      <c r="SZ9" s="108" t="s">
        <v>24</v>
      </c>
      <c r="TA9" s="102">
        <f>IFERROR((((COUNTIF('Elève (6ème2)'!SX9:SZ9,"A"))*4)+((COUNTIF('Elève (6ème2)'!SX9:SZ9,"B"))*3)+((COUNTIF('Elève (6ème2)'!SX9:SZ9,"C"))*2)+((COUNTIF('Elève (6ème2)'!SX9:SZ9,"D"))*1))/(COUNTA(SX9:SZ9)),"")</f>
        <v>3</v>
      </c>
      <c r="TB9" s="103" t="str">
        <f t="shared" si="121"/>
        <v>B</v>
      </c>
      <c r="TC9" s="106"/>
      <c r="TD9" s="107" t="s">
        <v>23</v>
      </c>
      <c r="TE9" s="108"/>
      <c r="TF9" s="102">
        <f>IFERROR((((COUNTIF('Elève (6ème2)'!TC9:TE9,"A"))*4)+((COUNTIF('Elève (6ème2)'!TC9:TE9,"B"))*3)+((COUNTIF('Elève (6ème2)'!TC9:TE9,"C"))*2)+((COUNTIF('Elève (6ème2)'!TC9:TE9,"D"))*1))/(COUNTA(TC9:TE9)),"")</f>
        <v>4</v>
      </c>
      <c r="TG9" s="103" t="str">
        <f t="shared" si="122"/>
        <v>A</v>
      </c>
      <c r="TH9" s="102">
        <f>IF(COUNT(SV9,TA9,TF9)=0,"",SUM(SV9,TA9,TF9)/COUNT(SV9,TA9,TF9))</f>
        <v>3.5</v>
      </c>
      <c r="TI9" s="117" t="str">
        <f t="shared" si="123"/>
        <v>B</v>
      </c>
      <c r="TJ9" s="112"/>
      <c r="TK9" s="107"/>
      <c r="TL9" s="108"/>
      <c r="TM9" s="102" t="str">
        <f>IFERROR((((COUNTIF('Elève (6ème2)'!TJ9:TL9,"A"))*4)+((COUNTIF('Elève (6ème2)'!TJ9:TL9,"B"))*3)+((COUNTIF('Elève (6ème2)'!TJ9:TL9,"C"))*2)+((COUNTIF('Elève (6ème2)'!TJ9:TL9,"D"))*1))/(COUNTA(TJ9:TL9)),"")</f>
        <v/>
      </c>
      <c r="TN9" s="118" t="str">
        <f t="shared" si="124"/>
        <v/>
      </c>
      <c r="TO9" s="106"/>
      <c r="TP9" s="107"/>
      <c r="TQ9" s="108"/>
      <c r="TR9" s="102" t="str">
        <f>IFERROR((((COUNTIF('Elève (6ème2)'!TO9:TQ9,"A"))*4)+((COUNTIF('Elève (6ème2)'!TO9:TQ9,"B"))*3)+((COUNTIF('Elève (6ème2)'!TO9:TQ9,"C"))*2)+((COUNTIF('Elève (6ème2)'!TO9:TQ9,"D"))*1))/(COUNTA(TO9:TQ9)),"")</f>
        <v/>
      </c>
      <c r="TS9" s="103" t="str">
        <f t="shared" si="125"/>
        <v/>
      </c>
      <c r="TT9" s="106"/>
      <c r="TU9" s="107"/>
      <c r="TV9" s="108"/>
      <c r="TW9" s="102" t="str">
        <f>IFERROR((((COUNTIF('Elève (6ème2)'!TT9:TV9,"A"))*4)+((COUNTIF('Elève (6ème2)'!TT9:TV9,"B"))*3)+((COUNTIF('Elève (6ème2)'!TT9:TV9,"C"))*2)+((COUNTIF('Elève (6ème2)'!TT9:TV9,"D"))*1))/(COUNTA(TT9:TV9)),"")</f>
        <v/>
      </c>
      <c r="TX9" s="103" t="str">
        <f t="shared" si="126"/>
        <v/>
      </c>
      <c r="TY9" s="102" t="str">
        <f>IF(COUNT(TM9,TR9,TW9)=0,"",SUM(TM9,TR9,TW9)/COUNT(TM9,TR9,TW9))</f>
        <v/>
      </c>
      <c r="TZ9" s="117" t="str">
        <f t="shared" si="127"/>
        <v/>
      </c>
    </row>
    <row r="10" spans="1:546" x14ac:dyDescent="0.25">
      <c r="A10" s="163" t="s">
        <v>37</v>
      </c>
      <c r="B10" s="119"/>
      <c r="C10" s="172"/>
      <c r="D10" s="107"/>
      <c r="E10" s="108"/>
      <c r="F10" s="183" t="str">
        <f>IFERROR((((COUNTIF('Elève (6ème2)'!C10:E10,"A"))*4)+((COUNTIF('Elève (6ème2)'!C10:E10,"B"))*3)+((COUNTIF('Elève (6ème2)'!C10:E10,"C"))*2)+((COUNTIF('Elève (6ème2)'!C10:E10,"D"))*1))/(COUNTA(C10:E10)),"")</f>
        <v/>
      </c>
      <c r="G10" s="187" t="str">
        <f t="shared" si="0"/>
        <v/>
      </c>
      <c r="H10" s="172"/>
      <c r="I10" s="107"/>
      <c r="J10" s="108"/>
      <c r="K10" s="183" t="str">
        <f>IFERROR((((COUNTIF('Elève (6ème2)'!H10:J10,"A"))*4)+((COUNTIF('Elève (6ème2)'!H10:J10,"B"))*3)+((COUNTIF('Elève (6ème2)'!H10:J10,"C"))*2)+((COUNTIF('Elève (6ème2)'!H10:J10,"D"))*1))/(COUNTA(H10:J10)),"")</f>
        <v/>
      </c>
      <c r="L10" s="184" t="str">
        <f t="shared" si="1"/>
        <v/>
      </c>
      <c r="M10" s="172"/>
      <c r="N10" s="107"/>
      <c r="O10" s="108" t="s">
        <v>24</v>
      </c>
      <c r="P10" s="183">
        <f>IFERROR((((COUNTIF('Elève (6ème2)'!M10:O10,"A"))*4)+((COUNTIF('Elève (6ème2)'!M10:O10,"B"))*3)+((COUNTIF('Elève (6ème2)'!M10:O10,"C"))*2)+((COUNTIF('Elève (6ème2)'!M10:O10,"D"))*1))/(COUNTA(M10:O10)),"")</f>
        <v>3</v>
      </c>
      <c r="Q10" s="184" t="str">
        <f t="shared" si="2"/>
        <v>B</v>
      </c>
      <c r="R10" s="183">
        <f>IF(COUNT(F10,K10,P10)=0,"",SUM(F10,K10,P10)/COUNT(F10,K10,P10))</f>
        <v>3</v>
      </c>
      <c r="S10" s="209" t="str">
        <f t="shared" si="3"/>
        <v>B</v>
      </c>
      <c r="T10" s="217"/>
      <c r="U10" s="107"/>
      <c r="V10" s="108"/>
      <c r="W10" s="183" t="str">
        <f>IFERROR((((COUNTIF('Elève (6ème2)'!T10:V10,"A"))*4)+((COUNTIF('Elève (6ème2)'!T10:V10,"B"))*3)+((COUNTIF('Elève (6ème2)'!T10:V10,"C"))*2)+((COUNTIF('Elève (6ème2)'!T10:V10,"D"))*1))/(COUNTA(T10:V10)),"")</f>
        <v/>
      </c>
      <c r="X10" s="187" t="str">
        <f t="shared" si="4"/>
        <v/>
      </c>
      <c r="Y10" s="172"/>
      <c r="Z10" s="107"/>
      <c r="AA10" s="108"/>
      <c r="AB10" s="183" t="str">
        <f>IFERROR((((COUNTIF('Elève (6ème2)'!Y10:AA10,"A"))*4)+((COUNTIF('Elève (6ème2)'!Y10:AA10,"B"))*3)+((COUNTIF('Elève (6ème2)'!Y10:AA10,"C"))*2)+((COUNTIF('Elève (6ème2)'!Y10:AA10,"D"))*1))/(COUNTA(Y10:AA10)),"")</f>
        <v/>
      </c>
      <c r="AC10" s="184" t="str">
        <f t="shared" si="5"/>
        <v/>
      </c>
      <c r="AD10" s="172"/>
      <c r="AE10" s="107"/>
      <c r="AF10" s="108" t="s">
        <v>24</v>
      </c>
      <c r="AG10" s="183">
        <f>IFERROR((((COUNTIF('Elève (6ème2)'!AD10:AF10,"A"))*4)+((COUNTIF('Elève (6ème2)'!AD10:AF10,"B"))*3)+((COUNTIF('Elève (6ème2)'!AD10:AF10,"C"))*2)+((COUNTIF('Elève (6ème2)'!AD10:AF10,"D"))*1))/(COUNTA(AD10:AF10)),"")</f>
        <v>3</v>
      </c>
      <c r="AH10" s="184" t="str">
        <f t="shared" si="6"/>
        <v>B</v>
      </c>
      <c r="AI10" s="183">
        <f>IF(COUNT(W10,AB10,AG10)=0,"",SUM(W10,AB10,AG10)/COUNT(W10,AB10,AG10))</f>
        <v>3</v>
      </c>
      <c r="AJ10" s="209" t="str">
        <f t="shared" si="7"/>
        <v>B</v>
      </c>
      <c r="AK10" s="217"/>
      <c r="AL10" s="107"/>
      <c r="AM10" s="108"/>
      <c r="AN10" s="183" t="str">
        <f>IFERROR((((COUNTIF('Elève (6ème2)'!AK10:AM10,"A"))*4)+((COUNTIF('Elève (6ème2)'!AK10:AM10,"B"))*3)+((COUNTIF('Elève (6ème2)'!AK10:AM10,"C"))*2)+((COUNTIF('Elève (6ème2)'!AK10:AM10,"D"))*1))/(COUNTA(AK10:AM10)),"")</f>
        <v/>
      </c>
      <c r="AO10" s="187" t="str">
        <f t="shared" si="8"/>
        <v/>
      </c>
      <c r="AP10" s="172"/>
      <c r="AQ10" s="107"/>
      <c r="AR10" s="108"/>
      <c r="AS10" s="183" t="str">
        <f>IFERROR((((COUNTIF('Elève (6ème2)'!AP10:AR10,"A"))*4)+((COUNTIF('Elève (6ème2)'!AP10:AR10,"B"))*3)+((COUNTIF('Elève (6ème2)'!AP10:AR10,"C"))*2)+((COUNTIF('Elève (6ème2)'!AP10:AR10,"D"))*1))/(COUNTA(AP10:AR10)),"")</f>
        <v/>
      </c>
      <c r="AT10" s="184" t="str">
        <f t="shared" si="9"/>
        <v/>
      </c>
      <c r="AU10" s="172"/>
      <c r="AV10" s="107"/>
      <c r="AW10" s="108" t="s">
        <v>24</v>
      </c>
      <c r="AX10" s="183">
        <f>IFERROR((((COUNTIF('Elève (6ème2)'!AU10:AW10,"A"))*4)+((COUNTIF('Elève (6ème2)'!AU10:AW10,"B"))*3)+((COUNTIF('Elève (6ème2)'!AU10:AW10,"C"))*2)+((COUNTIF('Elève (6ème2)'!AU10:AW10,"D"))*1))/(COUNTA(AU10:AW10)),"")</f>
        <v>3</v>
      </c>
      <c r="AY10" s="184" t="str">
        <f t="shared" si="10"/>
        <v>B</v>
      </c>
      <c r="AZ10" s="183">
        <f>IF(COUNT(AN10,AS10,AX10)=0,"",SUM(AN10,AS10,AX10)/COUNT(AN10,AS10,AX10))</f>
        <v>3</v>
      </c>
      <c r="BA10" s="209" t="str">
        <f t="shared" si="11"/>
        <v>B</v>
      </c>
      <c r="BB10" s="217"/>
      <c r="BC10" s="107"/>
      <c r="BD10" s="108"/>
      <c r="BE10" s="183" t="str">
        <f>IFERROR((((COUNTIF('Elève (6ème2)'!BB10:BD10,"A"))*4)+((COUNTIF('Elève (6ème2)'!BB10:BD10,"B"))*3)+((COUNTIF('Elève (6ème2)'!BB10:BD10,"C"))*2)+((COUNTIF('Elève (6ème2)'!BB10:BD10,"D"))*1))/(COUNTA(BB10:BD10)),"")</f>
        <v/>
      </c>
      <c r="BF10" s="187" t="str">
        <f t="shared" si="12"/>
        <v/>
      </c>
      <c r="BG10" s="172"/>
      <c r="BH10" s="107"/>
      <c r="BI10" s="108"/>
      <c r="BJ10" s="183" t="str">
        <f>IFERROR((((COUNTIF('Elève (6ème2)'!BG10:BI10,"A"))*4)+((COUNTIF('Elève (6ème2)'!BG10:BI10,"B"))*3)+((COUNTIF('Elève (6ème2)'!BG10:BI10,"C"))*2)+((COUNTIF('Elève (6ème2)'!BG10:BI10,"D"))*1))/(COUNTA(BG10:BI10)),"")</f>
        <v/>
      </c>
      <c r="BK10" s="184" t="str">
        <f t="shared" si="13"/>
        <v/>
      </c>
      <c r="BL10" s="172"/>
      <c r="BM10" s="107"/>
      <c r="BN10" s="108" t="s">
        <v>24</v>
      </c>
      <c r="BO10" s="183">
        <f>IFERROR((((COUNTIF('Elève (6ème2)'!BL10:BN10,"A"))*4)+((COUNTIF('Elève (6ème2)'!BL10:BN10,"B"))*3)+((COUNTIF('Elève (6ème2)'!BL10:BN10,"C"))*2)+((COUNTIF('Elève (6ème2)'!BL10:BN10,"D"))*1))/(COUNTA(BL10:BN10)),"")</f>
        <v>3</v>
      </c>
      <c r="BP10" s="184" t="str">
        <f t="shared" si="14"/>
        <v>B</v>
      </c>
      <c r="BQ10" s="183">
        <f>IF(COUNT(BE10,BJ10,BO10)=0,"",SUM(BE10,BJ10,BO10)/COUNT(BE10,BJ10,BO10))</f>
        <v>3</v>
      </c>
      <c r="BR10" s="209" t="str">
        <f t="shared" si="15"/>
        <v>B</v>
      </c>
      <c r="BS10" s="217"/>
      <c r="BT10" s="107"/>
      <c r="BU10" s="108"/>
      <c r="BV10" s="183" t="str">
        <f>IFERROR((((COUNTIF('Elève (6ème2)'!BS10:BU10,"A"))*4)+((COUNTIF('Elève (6ème2)'!BS10:BU10,"B"))*3)+((COUNTIF('Elève (6ème2)'!BS10:BU10,"C"))*2)+((COUNTIF('Elève (6ème2)'!BS10:BU10,"D"))*1))/(COUNTA(BS10:BU10)),"")</f>
        <v/>
      </c>
      <c r="BW10" s="187" t="str">
        <f t="shared" si="16"/>
        <v/>
      </c>
      <c r="BX10" s="172"/>
      <c r="BY10" s="107"/>
      <c r="BZ10" s="108"/>
      <c r="CA10" s="183" t="str">
        <f>IFERROR((((COUNTIF('Elève (6ème2)'!BX10:BZ10,"A"))*4)+((COUNTIF('Elève (6ème2)'!BX10:BZ10,"B"))*3)+((COUNTIF('Elève (6ème2)'!BX10:BZ10,"C"))*2)+((COUNTIF('Elève (6ème2)'!BX10:BZ10,"D"))*1))/(COUNTA(BX10:BZ10)),"")</f>
        <v/>
      </c>
      <c r="CB10" s="184" t="str">
        <f t="shared" si="17"/>
        <v/>
      </c>
      <c r="CC10" s="172"/>
      <c r="CD10" s="107"/>
      <c r="CE10" s="108" t="s">
        <v>24</v>
      </c>
      <c r="CF10" s="183">
        <f>IFERROR((((COUNTIF('Elève (6ème2)'!CC10:CE10,"A"))*4)+((COUNTIF('Elève (6ème2)'!CC10:CE10,"B"))*3)+((COUNTIF('Elève (6ème2)'!CC10:CE10,"C"))*2)+((COUNTIF('Elève (6ème2)'!CC10:CE10,"D"))*1))/(COUNTA(CC10:CE10)),"")</f>
        <v>3</v>
      </c>
      <c r="CG10" s="184" t="str">
        <f t="shared" si="18"/>
        <v>B</v>
      </c>
      <c r="CH10" s="183">
        <f>IF(COUNT(BV10,CA10,CF10)=0,"",SUM(BV10,CA10,CF10)/COUNT(BV10,CA10,CF10))</f>
        <v>3</v>
      </c>
      <c r="CI10" s="209" t="str">
        <f t="shared" si="19"/>
        <v>B</v>
      </c>
      <c r="CJ10" s="217"/>
      <c r="CK10" s="107"/>
      <c r="CL10" s="108"/>
      <c r="CM10" s="183" t="str">
        <f>IFERROR((((COUNTIF('Elève (6ème2)'!CJ10:CL10,"A"))*4)+((COUNTIF('Elève (6ème2)'!CJ10:CL10,"B"))*3)+((COUNTIF('Elève (6ème2)'!CJ10:CL10,"C"))*2)+((COUNTIF('Elève (6ème2)'!CJ10:CL10,"D"))*1))/(COUNTA(CJ10:CL10)),"")</f>
        <v/>
      </c>
      <c r="CN10" s="187" t="str">
        <f t="shared" si="20"/>
        <v/>
      </c>
      <c r="CO10" s="172"/>
      <c r="CP10" s="107"/>
      <c r="CQ10" s="108"/>
      <c r="CR10" s="183" t="str">
        <f>IFERROR((((COUNTIF('Elève (6ème2)'!CO10:CQ10,"A"))*4)+((COUNTIF('Elève (6ème2)'!CO10:CQ10,"B"))*3)+((COUNTIF('Elève (6ème2)'!CO10:CQ10,"C"))*2)+((COUNTIF('Elève (6ème2)'!CO10:CQ10,"D"))*1))/(COUNTA(CO10:CQ10)),"")</f>
        <v/>
      </c>
      <c r="CS10" s="184" t="str">
        <f t="shared" si="21"/>
        <v/>
      </c>
      <c r="CT10" s="172"/>
      <c r="CU10" s="107"/>
      <c r="CV10" s="108" t="s">
        <v>24</v>
      </c>
      <c r="CW10" s="183">
        <f>IFERROR((((COUNTIF('Elève (6ème2)'!CT10:CV10,"A"))*4)+((COUNTIF('Elève (6ème2)'!CT10:CV10,"B"))*3)+((COUNTIF('Elève (6ème2)'!CT10:CV10,"C"))*2)+((COUNTIF('Elève (6ème2)'!CT10:CV10,"D"))*1))/(COUNTA(CT10:CV10)),"")</f>
        <v>3</v>
      </c>
      <c r="CX10" s="184" t="str">
        <f t="shared" si="22"/>
        <v>B</v>
      </c>
      <c r="CY10" s="183">
        <f>IF(COUNT(CM10,CR10,CW10)=0,"",SUM(CM10,CR10,CW10)/COUNT(CM10,CR10,CW10))</f>
        <v>3</v>
      </c>
      <c r="CZ10" s="209" t="str">
        <f t="shared" si="23"/>
        <v>B</v>
      </c>
      <c r="DA10" s="217"/>
      <c r="DB10" s="107"/>
      <c r="DC10" s="108"/>
      <c r="DD10" s="183" t="str">
        <f>IFERROR((((COUNTIF('Elève (6ème2)'!DA10:DC10,"A"))*4)+((COUNTIF('Elève (6ème2)'!DA10:DC10,"B"))*3)+((COUNTIF('Elève (6ème2)'!DA10:DC10,"C"))*2)+((COUNTIF('Elève (6ème2)'!DA10:DC10,"D"))*1))/(COUNTA(DA10:DC10)),"")</f>
        <v/>
      </c>
      <c r="DE10" s="187" t="str">
        <f t="shared" si="24"/>
        <v/>
      </c>
      <c r="DF10" s="172"/>
      <c r="DG10" s="107"/>
      <c r="DH10" s="108"/>
      <c r="DI10" s="183" t="str">
        <f>IFERROR((((COUNTIF('Elève (6ème2)'!DF10:DH10,"A"))*4)+((COUNTIF('Elève (6ème2)'!DF10:DH10,"B"))*3)+((COUNTIF('Elève (6ème2)'!DF10:DH10,"C"))*2)+((COUNTIF('Elève (6ème2)'!DF10:DH10,"D"))*1))/(COUNTA(DF10:DH10)),"")</f>
        <v/>
      </c>
      <c r="DJ10" s="184" t="str">
        <f t="shared" si="25"/>
        <v/>
      </c>
      <c r="DK10" s="172"/>
      <c r="DL10" s="107"/>
      <c r="DM10" s="108" t="s">
        <v>24</v>
      </c>
      <c r="DN10" s="183">
        <f>IFERROR((((COUNTIF('Elève (6ème2)'!DK10:DM10,"A"))*4)+((COUNTIF('Elève (6ème2)'!DK10:DM10,"B"))*3)+((COUNTIF('Elève (6ème2)'!DK10:DM10,"C"))*2)+((COUNTIF('Elève (6ème2)'!DK10:DM10,"D"))*1))/(COUNTA(DK10:DM10)),"")</f>
        <v>3</v>
      </c>
      <c r="DO10" s="184" t="str">
        <f t="shared" si="26"/>
        <v>B</v>
      </c>
      <c r="DP10" s="183">
        <f>IF(COUNT(DD10,DI10,DN10)=0,"",SUM(DD10,DI10,DN10)/COUNT(DD10,DI10,DN10))</f>
        <v>3</v>
      </c>
      <c r="DQ10" s="209" t="str">
        <f t="shared" si="27"/>
        <v>B</v>
      </c>
      <c r="DR10" s="217"/>
      <c r="DS10" s="107"/>
      <c r="DT10" s="108"/>
      <c r="DU10" s="183" t="str">
        <f>IFERROR((((COUNTIF('Elève (6ème2)'!DR10:DT10,"A"))*4)+((COUNTIF('Elève (6ème2)'!DR10:DT10,"B"))*3)+((COUNTIF('Elève (6ème2)'!DR10:DT10,"C"))*2)+((COUNTIF('Elève (6ème2)'!DR10:DT10,"D"))*1))/(COUNTA(DR10:DT10)),"")</f>
        <v/>
      </c>
      <c r="DV10" s="187" t="str">
        <f t="shared" si="28"/>
        <v/>
      </c>
      <c r="DW10" s="172"/>
      <c r="DX10" s="107"/>
      <c r="DY10" s="108"/>
      <c r="DZ10" s="183" t="str">
        <f>IFERROR((((COUNTIF('Elève (6ème2)'!DW10:DY10,"A"))*4)+((COUNTIF('Elève (6ème2)'!DW10:DY10,"B"))*3)+((COUNTIF('Elève (6ème2)'!DW10:DY10,"C"))*2)+((COUNTIF('Elève (6ème2)'!DW10:DY10,"D"))*1))/(COUNTA(DW10:DY10)),"")</f>
        <v/>
      </c>
      <c r="EA10" s="184" t="str">
        <f t="shared" si="29"/>
        <v/>
      </c>
      <c r="EB10" s="172"/>
      <c r="EC10" s="107"/>
      <c r="ED10" s="108" t="s">
        <v>24</v>
      </c>
      <c r="EE10" s="183">
        <f>IFERROR((((COUNTIF('Elève (6ème2)'!EB10:ED10,"A"))*4)+((COUNTIF('Elève (6ème2)'!EB10:ED10,"B"))*3)+((COUNTIF('Elève (6ème2)'!EB10:ED10,"C"))*2)+((COUNTIF('Elève (6ème2)'!EB10:ED10,"D"))*1))/(COUNTA(EB10:ED10)),"")</f>
        <v>3</v>
      </c>
      <c r="EF10" s="184" t="str">
        <f t="shared" si="30"/>
        <v>B</v>
      </c>
      <c r="EG10" s="183">
        <f>IF(COUNT(DU10,DZ10,EE10)=0,"",SUM(DU10,DZ10,EE10)/COUNT(DU10,DZ10,EE10))</f>
        <v>3</v>
      </c>
      <c r="EH10" s="209" t="str">
        <f t="shared" si="31"/>
        <v>B</v>
      </c>
      <c r="EI10" s="217"/>
      <c r="EJ10" s="107"/>
      <c r="EK10" s="108"/>
      <c r="EL10" s="183" t="str">
        <f>IFERROR((((COUNTIF('Elève (6ème2)'!EI10:EK10,"A"))*4)+((COUNTIF('Elève (6ème2)'!EI10:EK10,"B"))*3)+((COUNTIF('Elève (6ème2)'!EI10:EK10,"C"))*2)+((COUNTIF('Elève (6ème2)'!EI10:EK10,"D"))*1))/(COUNTA(EI10:EK10)),"")</f>
        <v/>
      </c>
      <c r="EM10" s="187" t="str">
        <f t="shared" si="32"/>
        <v/>
      </c>
      <c r="EN10" s="172"/>
      <c r="EO10" s="107"/>
      <c r="EP10" s="108"/>
      <c r="EQ10" s="183" t="str">
        <f>IFERROR((((COUNTIF('Elève (6ème2)'!EN10:EP10,"A"))*4)+((COUNTIF('Elève (6ème2)'!EN10:EP10,"B"))*3)+((COUNTIF('Elève (6ème2)'!EN10:EP10,"C"))*2)+((COUNTIF('Elève (6ème2)'!EN10:EP10,"D"))*1))/(COUNTA(EN10:EP10)),"")</f>
        <v/>
      </c>
      <c r="ER10" s="184" t="str">
        <f t="shared" si="33"/>
        <v/>
      </c>
      <c r="ES10" s="172"/>
      <c r="ET10" s="107"/>
      <c r="EU10" s="108" t="s">
        <v>24</v>
      </c>
      <c r="EV10" s="183">
        <f>IFERROR((((COUNTIF('Elève (6ème2)'!ES10:EU10,"A"))*4)+((COUNTIF('Elève (6ème2)'!ES10:EU10,"B"))*3)+((COUNTIF('Elève (6ème2)'!ES10:EU10,"C"))*2)+((COUNTIF('Elève (6ème2)'!ES10:EU10,"D"))*1))/(COUNTA(ES10:EU10)),"")</f>
        <v>3</v>
      </c>
      <c r="EW10" s="184" t="str">
        <f t="shared" si="34"/>
        <v>B</v>
      </c>
      <c r="EX10" s="183">
        <f>IF(COUNT(EL10,EQ10,EV10)=0,"",SUM(EL10,EQ10,EV10)/COUNT(EL10,EQ10,EV10))</f>
        <v>3</v>
      </c>
      <c r="EY10" s="209" t="str">
        <f t="shared" si="35"/>
        <v>B</v>
      </c>
      <c r="EZ10" s="217"/>
      <c r="FA10" s="107"/>
      <c r="FB10" s="108"/>
      <c r="FC10" s="183" t="str">
        <f>IFERROR((((COUNTIF('Elève (6ème2)'!EZ10:FB10,"A"))*4)+((COUNTIF('Elève (6ème2)'!EZ10:FB10,"B"))*3)+((COUNTIF('Elève (6ème2)'!EZ10:FB10,"C"))*2)+((COUNTIF('Elève (6ème2)'!EZ10:FB10,"D"))*1))/(COUNTA(EZ10:FB10)),"")</f>
        <v/>
      </c>
      <c r="FD10" s="187" t="str">
        <f t="shared" si="36"/>
        <v/>
      </c>
      <c r="FE10" s="172"/>
      <c r="FF10" s="107"/>
      <c r="FG10" s="108"/>
      <c r="FH10" s="183" t="str">
        <f>IFERROR((((COUNTIF('Elève (6ème2)'!FE10:FG10,"A"))*4)+((COUNTIF('Elève (6ème2)'!FE10:FG10,"B"))*3)+((COUNTIF('Elève (6ème2)'!FE10:FG10,"C"))*2)+((COUNTIF('Elève (6ème2)'!FE10:FG10,"D"))*1))/(COUNTA(FE10:FG10)),"")</f>
        <v/>
      </c>
      <c r="FI10" s="184" t="str">
        <f t="shared" si="37"/>
        <v/>
      </c>
      <c r="FJ10" s="172"/>
      <c r="FK10" s="107"/>
      <c r="FL10" s="108" t="s">
        <v>24</v>
      </c>
      <c r="FM10" s="183">
        <f>IFERROR((((COUNTIF('Elève (6ème2)'!FJ10:FL10,"A"))*4)+((COUNTIF('Elève (6ème2)'!FJ10:FL10,"B"))*3)+((COUNTIF('Elève (6ème2)'!FJ10:FL10,"C"))*2)+((COUNTIF('Elève (6ème2)'!FJ10:FL10,"D"))*1))/(COUNTA(FJ10:FL10)),"")</f>
        <v>3</v>
      </c>
      <c r="FN10" s="184" t="str">
        <f t="shared" si="38"/>
        <v>B</v>
      </c>
      <c r="FO10" s="183">
        <f>IF(COUNT(FC10,FH10,FM10)=0,"",SUM(FC10,FH10,FM10)/COUNT(FC10,FH10,FM10))</f>
        <v>3</v>
      </c>
      <c r="FP10" s="209" t="str">
        <f t="shared" si="39"/>
        <v>B</v>
      </c>
      <c r="FQ10" s="217"/>
      <c r="FR10" s="107"/>
      <c r="FS10" s="108"/>
      <c r="FT10" s="183" t="str">
        <f>IFERROR((((COUNTIF('Elève (6ème2)'!FQ10:FS10,"A"))*4)+((COUNTIF('Elève (6ème2)'!FQ10:FS10,"B"))*3)+((COUNTIF('Elève (6ème2)'!FQ10:FS10,"C"))*2)+((COUNTIF('Elève (6ème2)'!FQ10:FS10,"D"))*1))/(COUNTA(FQ10:FS10)),"")</f>
        <v/>
      </c>
      <c r="FU10" s="187" t="str">
        <f t="shared" si="40"/>
        <v/>
      </c>
      <c r="FV10" s="172"/>
      <c r="FW10" s="107"/>
      <c r="FX10" s="108"/>
      <c r="FY10" s="183" t="str">
        <f>IFERROR((((COUNTIF('Elève (6ème2)'!FV10:FX10,"A"))*4)+((COUNTIF('Elève (6ème2)'!FV10:FX10,"B"))*3)+((COUNTIF('Elève (6ème2)'!FV10:FX10,"C"))*2)+((COUNTIF('Elève (6ème2)'!FV10:FX10,"D"))*1))/(COUNTA(FV10:FX10)),"")</f>
        <v/>
      </c>
      <c r="FZ10" s="184" t="str">
        <f t="shared" si="41"/>
        <v/>
      </c>
      <c r="GA10" s="172"/>
      <c r="GB10" s="107"/>
      <c r="GC10" s="108" t="s">
        <v>23</v>
      </c>
      <c r="GD10" s="183">
        <f>IFERROR((((COUNTIF('Elève (6ème2)'!GA10:GC10,"A"))*4)+((COUNTIF('Elève (6ème2)'!GA10:GC10,"B"))*3)+((COUNTIF('Elève (6ème2)'!GA10:GC10,"C"))*2)+((COUNTIF('Elève (6ème2)'!GA10:GC10,"D"))*1))/(COUNTA(GA10:GC10)),"")</f>
        <v>4</v>
      </c>
      <c r="GE10" s="184" t="str">
        <f t="shared" si="42"/>
        <v>A</v>
      </c>
      <c r="GF10" s="183">
        <f>IF(COUNT(FT10,FY10,GD10)=0,"",SUM(FT10,FY10,GD10)/COUNT(FT10,FY10,GD10))</f>
        <v>4</v>
      </c>
      <c r="GG10" s="209" t="str">
        <f t="shared" si="43"/>
        <v>A</v>
      </c>
      <c r="GH10" s="217"/>
      <c r="GI10" s="107"/>
      <c r="GJ10" s="108"/>
      <c r="GK10" s="183" t="str">
        <f>IFERROR((((COUNTIF('Elève (6ème2)'!GH10:GJ10,"A"))*4)+((COUNTIF('Elève (6ème2)'!GH10:GJ10,"B"))*3)+((COUNTIF('Elève (6ème2)'!GH10:GJ10,"C"))*2)+((COUNTIF('Elève (6ème2)'!GH10:GJ10,"D"))*1))/(COUNTA(GH10:GJ10)),"")</f>
        <v/>
      </c>
      <c r="GL10" s="187" t="str">
        <f t="shared" si="44"/>
        <v/>
      </c>
      <c r="GM10" s="172"/>
      <c r="GN10" s="107"/>
      <c r="GO10" s="108"/>
      <c r="GP10" s="183" t="str">
        <f>IFERROR((((COUNTIF('Elève (6ème2)'!GM10:GO10,"A"))*4)+((COUNTIF('Elève (6ème2)'!GM10:GO10,"B"))*3)+((COUNTIF('Elève (6ème2)'!GM10:GO10,"C"))*2)+((COUNTIF('Elève (6ème2)'!GM10:GO10,"D"))*1))/(COUNTA(GM10:GO10)),"")</f>
        <v/>
      </c>
      <c r="GQ10" s="184" t="str">
        <f t="shared" si="45"/>
        <v/>
      </c>
      <c r="GR10" s="172"/>
      <c r="GS10" s="107"/>
      <c r="GT10" s="108" t="s">
        <v>24</v>
      </c>
      <c r="GU10" s="183">
        <f>IFERROR((((COUNTIF('Elève (6ème2)'!GR10:GT10,"A"))*4)+((COUNTIF('Elève (6ème2)'!GR10:GT10,"B"))*3)+((COUNTIF('Elève (6ème2)'!GR10:GT10,"C"))*2)+((COUNTIF('Elève (6ème2)'!GR10:GT10,"D"))*1))/(COUNTA(GR10:GT10)),"")</f>
        <v>3</v>
      </c>
      <c r="GV10" s="184" t="str">
        <f t="shared" si="46"/>
        <v>B</v>
      </c>
      <c r="GW10" s="183">
        <f>IF(COUNT(GK10,GP10,GU10)=0,"",SUM(GK10,GP10,GU10)/COUNT(GK10,GP10,GU10))</f>
        <v>3</v>
      </c>
      <c r="GX10" s="209" t="str">
        <f t="shared" si="47"/>
        <v>B</v>
      </c>
      <c r="GY10" s="217"/>
      <c r="GZ10" s="107"/>
      <c r="HA10" s="108"/>
      <c r="HB10" s="183" t="str">
        <f>IFERROR((((COUNTIF('Elève (6ème2)'!GY10:HA10,"A"))*4)+((COUNTIF('Elève (6ème2)'!GY10:HA10,"B"))*3)+((COUNTIF('Elève (6ème2)'!GY10:HA10,"C"))*2)+((COUNTIF('Elève (6ème2)'!GY10:HA10,"D"))*1))/(COUNTA(GY10:HA10)),"")</f>
        <v/>
      </c>
      <c r="HC10" s="187" t="str">
        <f t="shared" si="48"/>
        <v/>
      </c>
      <c r="HD10" s="172"/>
      <c r="HE10" s="107"/>
      <c r="HF10" s="108"/>
      <c r="HG10" s="183" t="str">
        <f>IFERROR((((COUNTIF('Elève (6ème2)'!HD10:HF10,"A"))*4)+((COUNTIF('Elève (6ème2)'!HD10:HF10,"B"))*3)+((COUNTIF('Elève (6ème2)'!HD10:HF10,"C"))*2)+((COUNTIF('Elève (6ème2)'!HD10:HF10,"D"))*1))/(COUNTA(HD10:HF10)),"")</f>
        <v/>
      </c>
      <c r="HH10" s="184" t="str">
        <f t="shared" si="49"/>
        <v/>
      </c>
      <c r="HI10" s="172"/>
      <c r="HJ10" s="107"/>
      <c r="HK10" s="108" t="s">
        <v>24</v>
      </c>
      <c r="HL10" s="183">
        <f>IFERROR((((COUNTIF('Elève (6ème2)'!HI10:HK10,"A"))*4)+((COUNTIF('Elève (6ème2)'!HI10:HK10,"B"))*3)+((COUNTIF('Elève (6ème2)'!HI10:HK10,"C"))*2)+((COUNTIF('Elève (6ème2)'!HI10:HK10,"D"))*1))/(COUNTA(HI10:HK10)),"")</f>
        <v>3</v>
      </c>
      <c r="HM10" s="184" t="str">
        <f t="shared" si="50"/>
        <v>B</v>
      </c>
      <c r="HN10" s="183">
        <f>IF(COUNT(HB10,HG10,HL10)=0,"",SUM(HB10,HG10,HL10)/COUNT(HB10,HG10,HL10))</f>
        <v>3</v>
      </c>
      <c r="HO10" s="209" t="str">
        <f t="shared" si="51"/>
        <v>B</v>
      </c>
      <c r="HP10" s="217"/>
      <c r="HQ10" s="107"/>
      <c r="HR10" s="108"/>
      <c r="HS10" s="183" t="str">
        <f>IFERROR((((COUNTIF('Elève (6ème2)'!HP10:HR10,"A"))*4)+((COUNTIF('Elève (6ème2)'!HP10:HR10,"B"))*3)+((COUNTIF('Elève (6ème2)'!HP10:HR10,"C"))*2)+((COUNTIF('Elève (6ème2)'!HP10:HR10,"D"))*1))/(COUNTA(HP10:HR10)),"")</f>
        <v/>
      </c>
      <c r="HT10" s="187" t="str">
        <f t="shared" si="52"/>
        <v/>
      </c>
      <c r="HU10" s="172"/>
      <c r="HV10" s="107"/>
      <c r="HW10" s="108"/>
      <c r="HX10" s="183" t="str">
        <f>IFERROR((((COUNTIF('Elève (6ème2)'!HU10:HW10,"A"))*4)+((COUNTIF('Elève (6ème2)'!HU10:HW10,"B"))*3)+((COUNTIF('Elève (6ème2)'!HU10:HW10,"C"))*2)+((COUNTIF('Elève (6ème2)'!HU10:HW10,"D"))*1))/(COUNTA(HU10:HW10)),"")</f>
        <v/>
      </c>
      <c r="HY10" s="184" t="str">
        <f t="shared" si="53"/>
        <v/>
      </c>
      <c r="HZ10" s="172"/>
      <c r="IA10" s="107"/>
      <c r="IB10" s="108" t="s">
        <v>23</v>
      </c>
      <c r="IC10" s="183">
        <f>IFERROR((((COUNTIF('Elève (6ème2)'!HZ10:IB10,"A"))*4)+((COUNTIF('Elève (6ème2)'!HZ10:IB10,"B"))*3)+((COUNTIF('Elève (6ème2)'!HZ10:IB10,"C"))*2)+((COUNTIF('Elève (6ème2)'!HZ10:IB10,"D"))*1))/(COUNTA(HZ10:IB10)),"")</f>
        <v>4</v>
      </c>
      <c r="ID10" s="184" t="str">
        <f t="shared" si="54"/>
        <v>A</v>
      </c>
      <c r="IE10" s="183">
        <f>IF(COUNT(HS10,HX10,IC10)=0,"",SUM(HS10,HX10,IC10)/COUNT(HS10,HX10,IC10))</f>
        <v>4</v>
      </c>
      <c r="IF10" s="209" t="str">
        <f t="shared" si="55"/>
        <v>A</v>
      </c>
      <c r="IG10" s="217"/>
      <c r="IH10" s="107"/>
      <c r="II10" s="108"/>
      <c r="IJ10" s="183" t="str">
        <f>IFERROR((((COUNTIF('Elève (6ème2)'!IG10:II10,"A"))*4)+((COUNTIF('Elève (6ème2)'!IG10:II10,"B"))*3)+((COUNTIF('Elève (6ème2)'!IG10:II10,"C"))*2)+((COUNTIF('Elève (6ème2)'!IG10:II10,"D"))*1))/(COUNTA(IG10:II10)),"")</f>
        <v/>
      </c>
      <c r="IK10" s="187" t="str">
        <f t="shared" si="56"/>
        <v/>
      </c>
      <c r="IL10" s="172"/>
      <c r="IM10" s="107"/>
      <c r="IN10" s="108"/>
      <c r="IO10" s="183" t="str">
        <f>IFERROR((((COUNTIF('Elève (6ème2)'!IL10:IN10,"A"))*4)+((COUNTIF('Elève (6ème2)'!IL10:IN10,"B"))*3)+((COUNTIF('Elève (6ème2)'!IL10:IN10,"C"))*2)+((COUNTIF('Elève (6ème2)'!IL10:IN10,"D"))*1))/(COUNTA(IL10:IN10)),"")</f>
        <v/>
      </c>
      <c r="IP10" s="184" t="str">
        <f t="shared" si="57"/>
        <v/>
      </c>
      <c r="IQ10" s="172"/>
      <c r="IR10" s="107"/>
      <c r="IS10" s="108"/>
      <c r="IT10" s="183" t="str">
        <f>IFERROR((((COUNTIF('Elève (6ème2)'!IQ10:IS10,"A"))*4)+((COUNTIF('Elève (6ème2)'!IQ10:IS10,"B"))*3)+((COUNTIF('Elève (6ème2)'!IQ10:IS10,"C"))*2)+((COUNTIF('Elève (6ème2)'!IQ10:IS10,"D"))*1))/(COUNTA(IQ10:IS10)),"")</f>
        <v/>
      </c>
      <c r="IU10" s="184" t="str">
        <f t="shared" si="58"/>
        <v/>
      </c>
      <c r="IV10" s="183" t="str">
        <f>IF(COUNT(IJ10,IO10,IT10)=0,"",SUM(IJ10,IO10,IT10)/COUNT(IJ10,IO10,IT10))</f>
        <v/>
      </c>
      <c r="IW10" s="209" t="str">
        <f t="shared" si="59"/>
        <v/>
      </c>
      <c r="IX10" s="217"/>
      <c r="IY10" s="107"/>
      <c r="IZ10" s="108"/>
      <c r="JA10" s="183" t="str">
        <f>IFERROR((((COUNTIF('Elève (6ème2)'!IX10:IZ10,"A"))*4)+((COUNTIF('Elève (6ème2)'!IX10:IZ10,"B"))*3)+((COUNTIF('Elève (6ème2)'!IX10:IZ10,"C"))*2)+((COUNTIF('Elève (6ème2)'!IX10:IZ10,"D"))*1))/(COUNTA(IX10:IZ10)),"")</f>
        <v/>
      </c>
      <c r="JB10" s="187" t="str">
        <f t="shared" si="60"/>
        <v/>
      </c>
      <c r="JC10" s="172"/>
      <c r="JD10" s="107"/>
      <c r="JE10" s="108"/>
      <c r="JF10" s="183" t="str">
        <f>IFERROR((((COUNTIF('Elève (6ème2)'!JC10:JE10,"A"))*4)+((COUNTIF('Elève (6ème2)'!JC10:JE10,"B"))*3)+((COUNTIF('Elève (6ème2)'!JC10:JE10,"C"))*2)+((COUNTIF('Elève (6ème2)'!JC10:JE10,"D"))*1))/(COUNTA(JC10:JE10)),"")</f>
        <v/>
      </c>
      <c r="JG10" s="184" t="str">
        <f t="shared" si="61"/>
        <v/>
      </c>
      <c r="JH10" s="172"/>
      <c r="JI10" s="107"/>
      <c r="JJ10" s="108" t="s">
        <v>23</v>
      </c>
      <c r="JK10" s="183">
        <f>IFERROR((((COUNTIF('Elève (6ème2)'!JH10:JJ10,"A"))*4)+((COUNTIF('Elève (6ème2)'!JH10:JJ10,"B"))*3)+((COUNTIF('Elève (6ème2)'!JH10:JJ10,"C"))*2)+((COUNTIF('Elève (6ème2)'!JH10:JJ10,"D"))*1))/(COUNTA(JH10:JJ10)),"")</f>
        <v>4</v>
      </c>
      <c r="JL10" s="184" t="str">
        <f t="shared" si="62"/>
        <v>A</v>
      </c>
      <c r="JM10" s="183">
        <f>IF(COUNT(JA10,JF10,JK10)=0,"",SUM(JA10,JF10,JK10)/COUNT(JA10,JF10,JK10))</f>
        <v>4</v>
      </c>
      <c r="JN10" s="209" t="str">
        <f t="shared" si="63"/>
        <v>A</v>
      </c>
      <c r="JO10" s="217"/>
      <c r="JP10" s="107"/>
      <c r="JQ10" s="108"/>
      <c r="JR10" s="183" t="str">
        <f>IFERROR((((COUNTIF('Elève (6ème2)'!JO10:JQ10,"A"))*4)+((COUNTIF('Elève (6ème2)'!JO10:JQ10,"B"))*3)+((COUNTIF('Elève (6ème2)'!JO10:JQ10,"C"))*2)+((COUNTIF('Elève (6ème2)'!JO10:JQ10,"D"))*1))/(COUNTA(JO10:JQ10)),"")</f>
        <v/>
      </c>
      <c r="JS10" s="187" t="str">
        <f t="shared" si="64"/>
        <v/>
      </c>
      <c r="JT10" s="172"/>
      <c r="JU10" s="107"/>
      <c r="JV10" s="108"/>
      <c r="JW10" s="183" t="str">
        <f>IFERROR((((COUNTIF('Elève (6ème2)'!JT10:JV10,"A"))*4)+((COUNTIF('Elève (6ème2)'!JT10:JV10,"B"))*3)+((COUNTIF('Elève (6ème2)'!JT10:JV10,"C"))*2)+((COUNTIF('Elève (6ème2)'!JT10:JV10,"D"))*1))/(COUNTA(JT10:JV10)),"")</f>
        <v/>
      </c>
      <c r="JX10" s="184" t="str">
        <f t="shared" si="65"/>
        <v/>
      </c>
      <c r="JY10" s="172"/>
      <c r="JZ10" s="107"/>
      <c r="KA10" s="108" t="s">
        <v>24</v>
      </c>
      <c r="KB10" s="183">
        <f>IFERROR((((COUNTIF('Elève (6ème2)'!JY10:KA10,"A"))*4)+((COUNTIF('Elève (6ème2)'!JY10:KA10,"B"))*3)+((COUNTIF('Elève (6ème2)'!JY10:KA10,"C"))*2)+((COUNTIF('Elève (6ème2)'!JY10:KA10,"D"))*1))/(COUNTA(JY10:KA10)),"")</f>
        <v>3</v>
      </c>
      <c r="KC10" s="184" t="str">
        <f t="shared" si="66"/>
        <v>B</v>
      </c>
      <c r="KD10" s="183">
        <f>IF(COUNT(JR10,JW10,KB10)=0,"",SUM(JR10,JW10,KB10)/COUNT(JR10,JW10,KB10))</f>
        <v>3</v>
      </c>
      <c r="KE10" s="209" t="str">
        <f t="shared" si="67"/>
        <v>B</v>
      </c>
      <c r="KF10" s="217"/>
      <c r="KG10" s="107"/>
      <c r="KH10" s="108"/>
      <c r="KI10" s="183" t="str">
        <f>IFERROR((((COUNTIF('Elève (6ème2)'!KF10:KH10,"A"))*4)+((COUNTIF('Elève (6ème2)'!KF10:KH10,"B"))*3)+((COUNTIF('Elève (6ème2)'!KF10:KH10,"C"))*2)+((COUNTIF('Elève (6ème2)'!KF10:KH10,"D"))*1))/(COUNTA(KF10:KH10)),"")</f>
        <v/>
      </c>
      <c r="KJ10" s="187" t="str">
        <f t="shared" si="68"/>
        <v/>
      </c>
      <c r="KK10" s="172"/>
      <c r="KL10" s="107"/>
      <c r="KM10" s="108"/>
      <c r="KN10" s="183" t="str">
        <f>IFERROR((((COUNTIF('Elève (6ème2)'!KK10:KM10,"A"))*4)+((COUNTIF('Elève (6ème2)'!KK10:KM10,"B"))*3)+((COUNTIF('Elève (6ème2)'!KK10:KM10,"C"))*2)+((COUNTIF('Elève (6ème2)'!KK10:KM10,"D"))*1))/(COUNTA(KK10:KM10)),"")</f>
        <v/>
      </c>
      <c r="KO10" s="184" t="str">
        <f t="shared" si="69"/>
        <v/>
      </c>
      <c r="KP10" s="172"/>
      <c r="KQ10" s="107"/>
      <c r="KR10" s="108" t="s">
        <v>24</v>
      </c>
      <c r="KS10" s="183">
        <f>IFERROR((((COUNTIF('Elève (6ème2)'!KP10:KR10,"A"))*4)+((COUNTIF('Elève (6ème2)'!KP10:KR10,"B"))*3)+((COUNTIF('Elève (6ème2)'!KP10:KR10,"C"))*2)+((COUNTIF('Elève (6ème2)'!KP10:KR10,"D"))*1))/(COUNTA(KP10:KR10)),"")</f>
        <v>3</v>
      </c>
      <c r="KT10" s="184" t="str">
        <f t="shared" si="70"/>
        <v>B</v>
      </c>
      <c r="KU10" s="183">
        <f>IF(COUNT(KI10,KN10,KS10)=0,"",SUM(KI10,KN10,KS10)/COUNT(KI10,KN10,KS10))</f>
        <v>3</v>
      </c>
      <c r="KV10" s="209" t="str">
        <f t="shared" si="71"/>
        <v>B</v>
      </c>
      <c r="KW10" s="217"/>
      <c r="KX10" s="107"/>
      <c r="KY10" s="108"/>
      <c r="KZ10" s="183" t="str">
        <f>IFERROR((((COUNTIF('Elève (6ème2)'!KW10:KY10,"A"))*4)+((COUNTIF('Elève (6ème2)'!KW10:KY10,"B"))*3)+((COUNTIF('Elève (6ème2)'!KW10:KY10,"C"))*2)+((COUNTIF('Elève (6ème2)'!KW10:KY10,"D"))*1))/(COUNTA(KW10:KY10)),"")</f>
        <v/>
      </c>
      <c r="LA10" s="187" t="str">
        <f t="shared" si="72"/>
        <v/>
      </c>
      <c r="LB10" s="172"/>
      <c r="LC10" s="107"/>
      <c r="LD10" s="108"/>
      <c r="LE10" s="183" t="str">
        <f>IFERROR((((COUNTIF('Elève (6ème2)'!LB10:LD10,"A"))*4)+((COUNTIF('Elève (6ème2)'!LB10:LD10,"B"))*3)+((COUNTIF('Elève (6ème2)'!LB10:LD10,"C"))*2)+((COUNTIF('Elève (6ème2)'!LB10:LD10,"D"))*1))/(COUNTA(LB10:LD10)),"")</f>
        <v/>
      </c>
      <c r="LF10" s="184" t="str">
        <f t="shared" si="73"/>
        <v/>
      </c>
      <c r="LG10" s="172"/>
      <c r="LH10" s="107"/>
      <c r="LI10" s="108" t="s">
        <v>24</v>
      </c>
      <c r="LJ10" s="183">
        <f>IFERROR((((COUNTIF('Elève (6ème2)'!LG10:LI10,"A"))*4)+((COUNTIF('Elève (6ème2)'!LG10:LI10,"B"))*3)+((COUNTIF('Elève (6ème2)'!LG10:LI10,"C"))*2)+((COUNTIF('Elève (6ème2)'!LG10:LI10,"D"))*1))/(COUNTA(LG10:LI10)),"")</f>
        <v>3</v>
      </c>
      <c r="LK10" s="184" t="str">
        <f t="shared" si="74"/>
        <v>B</v>
      </c>
      <c r="LL10" s="183">
        <f>IF(COUNT(KZ10,LE10,LJ10)=0,"",SUM(KZ10,LE10,LJ10)/COUNT(KZ10,LE10,LJ10))</f>
        <v>3</v>
      </c>
      <c r="LM10" s="209" t="str">
        <f t="shared" si="75"/>
        <v>B</v>
      </c>
      <c r="LN10" s="217"/>
      <c r="LO10" s="107"/>
      <c r="LP10" s="108"/>
      <c r="LQ10" s="183" t="str">
        <f>IFERROR((((COUNTIF('Elève (6ème2)'!LN10:LP10,"A"))*4)+((COUNTIF('Elève (6ème2)'!LN10:LP10,"B"))*3)+((COUNTIF('Elève (6ème2)'!LN10:LP10,"C"))*2)+((COUNTIF('Elève (6ème2)'!LN10:LP10,"D"))*1))/(COUNTA(LN10:LP10)),"")</f>
        <v/>
      </c>
      <c r="LR10" s="187" t="str">
        <f t="shared" si="76"/>
        <v/>
      </c>
      <c r="LS10" s="172"/>
      <c r="LT10" s="107"/>
      <c r="LU10" s="108"/>
      <c r="LV10" s="183" t="str">
        <f>IFERROR((((COUNTIF('Elève (6ème2)'!LS10:LU10,"A"))*4)+((COUNTIF('Elève (6ème2)'!LS10:LU10,"B"))*3)+((COUNTIF('Elève (6ème2)'!LS10:LU10,"C"))*2)+((COUNTIF('Elève (6ème2)'!LS10:LU10,"D"))*1))/(COUNTA(LS10:LU10)),"")</f>
        <v/>
      </c>
      <c r="LW10" s="184" t="str">
        <f t="shared" si="77"/>
        <v/>
      </c>
      <c r="LX10" s="172"/>
      <c r="LY10" s="107"/>
      <c r="LZ10" s="108"/>
      <c r="MA10" s="183" t="str">
        <f>IFERROR((((COUNTIF('Elève (6ème2)'!LX10:LZ10,"A"))*4)+((COUNTIF('Elève (6ème2)'!LX10:LZ10,"B"))*3)+((COUNTIF('Elève (6ème2)'!LX10:LZ10,"C"))*2)+((COUNTIF('Elève (6ème2)'!LX10:LZ10,"D"))*1))/(COUNTA(LX10:LZ10)),"")</f>
        <v/>
      </c>
      <c r="MB10" s="184" t="str">
        <f t="shared" si="78"/>
        <v/>
      </c>
      <c r="MC10" s="183" t="str">
        <f>IF(COUNT(LQ10,LV10,MA10)=0,"",SUM(LQ10,LV10,MA10)/COUNT(LQ10,LV10,MA10))</f>
        <v/>
      </c>
      <c r="MD10" s="209" t="str">
        <f t="shared" si="79"/>
        <v/>
      </c>
      <c r="ME10" s="217"/>
      <c r="MF10" s="107"/>
      <c r="MG10" s="108"/>
      <c r="MH10" s="183" t="str">
        <f>IFERROR((((COUNTIF('Elève (6ème2)'!ME10:MG10,"A"))*4)+((COUNTIF('Elève (6ème2)'!ME10:MG10,"B"))*3)+((COUNTIF('Elève (6ème2)'!ME10:MG10,"C"))*2)+((COUNTIF('Elève (6ème2)'!ME10:MG10,"D"))*1))/(COUNTA(ME10:MG10)),"")</f>
        <v/>
      </c>
      <c r="MI10" s="187" t="str">
        <f t="shared" si="80"/>
        <v/>
      </c>
      <c r="MJ10" s="172"/>
      <c r="MK10" s="107"/>
      <c r="ML10" s="108"/>
      <c r="MM10" s="183" t="str">
        <f>IFERROR((((COUNTIF('Elève (6ème2)'!MJ10:ML10,"A"))*4)+((COUNTIF('Elève (6ème2)'!MJ10:ML10,"B"))*3)+((COUNTIF('Elève (6ème2)'!MJ10:ML10,"C"))*2)+((COUNTIF('Elève (6ème2)'!MJ10:ML10,"D"))*1))/(COUNTA(MJ10:ML10)),"")</f>
        <v/>
      </c>
      <c r="MN10" s="184" t="str">
        <f t="shared" si="81"/>
        <v/>
      </c>
      <c r="MO10" s="172"/>
      <c r="MP10" s="107"/>
      <c r="MQ10" s="108" t="s">
        <v>24</v>
      </c>
      <c r="MR10" s="183">
        <f>IFERROR((((COUNTIF('Elève (6ème2)'!MO10:MQ10,"A"))*4)+((COUNTIF('Elève (6ème2)'!MO10:MQ10,"B"))*3)+((COUNTIF('Elève (6ème2)'!MO10:MQ10,"C"))*2)+((COUNTIF('Elève (6ème2)'!MO10:MQ10,"D"))*1))/(COUNTA(MO10:MQ10)),"")</f>
        <v>3</v>
      </c>
      <c r="MS10" s="184" t="str">
        <f t="shared" si="82"/>
        <v>B</v>
      </c>
      <c r="MT10" s="183">
        <f>IF(COUNT(MH10,MM10,MR10)=0,"",SUM(MH10,MM10,MR10)/COUNT(MH10,MM10,MR10))</f>
        <v>3</v>
      </c>
      <c r="MU10" s="209" t="str">
        <f t="shared" si="83"/>
        <v>B</v>
      </c>
      <c r="MV10" s="217"/>
      <c r="MW10" s="107"/>
      <c r="MX10" s="108"/>
      <c r="MY10" s="183" t="str">
        <f>IFERROR((((COUNTIF('Elève (6ème2)'!MV10:MX10,"A"))*4)+((COUNTIF('Elève (6ème2)'!MV10:MX10,"B"))*3)+((COUNTIF('Elève (6ème2)'!MV10:MX10,"C"))*2)+((COUNTIF('Elève (6ème2)'!MV10:MX10,"D"))*1))/(COUNTA(MV10:MX10)),"")</f>
        <v/>
      </c>
      <c r="MZ10" s="187" t="str">
        <f t="shared" si="84"/>
        <v/>
      </c>
      <c r="NA10" s="172"/>
      <c r="NB10" s="107"/>
      <c r="NC10" s="108"/>
      <c r="ND10" s="183" t="str">
        <f>IFERROR((((COUNTIF('Elève (6ème2)'!NA10:NC10,"A"))*4)+((COUNTIF('Elève (6ème2)'!NA10:NC10,"B"))*3)+((COUNTIF('Elève (6ème2)'!NA10:NC10,"C"))*2)+((COUNTIF('Elève (6ème2)'!NA10:NC10,"D"))*1))/(COUNTA(NA10:NC10)),"")</f>
        <v/>
      </c>
      <c r="NE10" s="184" t="str">
        <f t="shared" si="85"/>
        <v/>
      </c>
      <c r="NF10" s="172"/>
      <c r="NG10" s="107"/>
      <c r="NH10" s="108" t="s">
        <v>24</v>
      </c>
      <c r="NI10" s="183">
        <f>IFERROR((((COUNTIF('Elève (6ème2)'!NF10:NH10,"A"))*4)+((COUNTIF('Elève (6ème2)'!NF10:NH10,"B"))*3)+((COUNTIF('Elève (6ème2)'!NF10:NH10,"C"))*2)+((COUNTIF('Elève (6ème2)'!NF10:NH10,"D"))*1))/(COUNTA(NF10:NH10)),"")</f>
        <v>3</v>
      </c>
      <c r="NJ10" s="184" t="str">
        <f t="shared" si="86"/>
        <v>B</v>
      </c>
      <c r="NK10" s="183">
        <f>IF(COUNT(MY10,ND10,NI10)=0,"",SUM(MY10,ND10,NI10)/COUNT(MY10,ND10,NI10))</f>
        <v>3</v>
      </c>
      <c r="NL10" s="209" t="str">
        <f t="shared" si="87"/>
        <v>B</v>
      </c>
      <c r="NM10" s="217"/>
      <c r="NN10" s="107"/>
      <c r="NO10" s="108"/>
      <c r="NP10" s="183" t="str">
        <f>IFERROR((((COUNTIF('Elève (6ème2)'!NM10:NO10,"A"))*4)+((COUNTIF('Elève (6ème2)'!NM10:NO10,"B"))*3)+((COUNTIF('Elève (6ème2)'!NM10:NO10,"C"))*2)+((COUNTIF('Elève (6ème2)'!NM10:NO10,"D"))*1))/(COUNTA(NM10:NO10)),"")</f>
        <v/>
      </c>
      <c r="NQ10" s="187" t="str">
        <f t="shared" si="88"/>
        <v/>
      </c>
      <c r="NR10" s="172"/>
      <c r="NS10" s="107"/>
      <c r="NT10" s="108"/>
      <c r="NU10" s="183" t="str">
        <f>IFERROR((((COUNTIF('Elève (6ème2)'!NR10:NT10,"A"))*4)+((COUNTIF('Elève (6ème2)'!NR10:NT10,"B"))*3)+((COUNTIF('Elève (6ème2)'!NR10:NT10,"C"))*2)+((COUNTIF('Elève (6ème2)'!NR10:NT10,"D"))*1))/(COUNTA(NR10:NT10)),"")</f>
        <v/>
      </c>
      <c r="NV10" s="184" t="str">
        <f t="shared" si="89"/>
        <v/>
      </c>
      <c r="NW10" s="172"/>
      <c r="NX10" s="107"/>
      <c r="NY10" s="108" t="s">
        <v>24</v>
      </c>
      <c r="NZ10" s="183">
        <f>IFERROR((((COUNTIF('Elève (6ème2)'!NW10:NY10,"A"))*4)+((COUNTIF('Elève (6ème2)'!NW10:NY10,"B"))*3)+((COUNTIF('Elève (6ème2)'!NW10:NY10,"C"))*2)+((COUNTIF('Elève (6ème2)'!NW10:NY10,"D"))*1))/(COUNTA(NW10:NY10)),"")</f>
        <v>3</v>
      </c>
      <c r="OA10" s="184" t="str">
        <f t="shared" si="90"/>
        <v>B</v>
      </c>
      <c r="OB10" s="183">
        <f>IF(COUNT(NP10,NU10,NZ10)=0,"",SUM(NP10,NU10,NZ10)/COUNT(NP10,NU10,NZ10))</f>
        <v>3</v>
      </c>
      <c r="OC10" s="209" t="str">
        <f t="shared" si="91"/>
        <v>B</v>
      </c>
      <c r="OD10" s="217"/>
      <c r="OE10" s="107"/>
      <c r="OF10" s="108"/>
      <c r="OG10" s="183" t="str">
        <f>IFERROR((((COUNTIF('Elève (6ème2)'!OD10:OF10,"A"))*4)+((COUNTIF('Elève (6ème2)'!OD10:OF10,"B"))*3)+((COUNTIF('Elève (6ème2)'!OD10:OF10,"C"))*2)+((COUNTIF('Elève (6ème2)'!OD10:OF10,"D"))*1))/(COUNTA(OD10:OF10)),"")</f>
        <v/>
      </c>
      <c r="OH10" s="187" t="str">
        <f t="shared" si="92"/>
        <v/>
      </c>
      <c r="OI10" s="172"/>
      <c r="OJ10" s="107"/>
      <c r="OK10" s="108"/>
      <c r="OL10" s="183" t="str">
        <f>IFERROR((((COUNTIF('Elève (6ème2)'!OI10:OK10,"A"))*4)+((COUNTIF('Elève (6ème2)'!OI10:OK10,"B"))*3)+((COUNTIF('Elève (6ème2)'!OI10:OK10,"C"))*2)+((COUNTIF('Elève (6ème2)'!OI10:OK10,"D"))*1))/(COUNTA(OI10:OK10)),"")</f>
        <v/>
      </c>
      <c r="OM10" s="184" t="str">
        <f t="shared" si="93"/>
        <v/>
      </c>
      <c r="ON10" s="172"/>
      <c r="OO10" s="107"/>
      <c r="OP10" s="108"/>
      <c r="OQ10" s="183" t="str">
        <f>IFERROR((((COUNTIF('Elève (6ème2)'!ON10:OP10,"A"))*4)+((COUNTIF('Elève (6ème2)'!ON10:OP10,"B"))*3)+((COUNTIF('Elève (6ème2)'!ON10:OP10,"C"))*2)+((COUNTIF('Elève (6ème2)'!ON10:OP10,"D"))*1))/(COUNTA(ON10:OP10)),"")</f>
        <v/>
      </c>
      <c r="OR10" s="184" t="str">
        <f t="shared" si="94"/>
        <v/>
      </c>
      <c r="OS10" s="183" t="str">
        <f>IF(COUNT(OG10,OL10,OQ10)=0,"",SUM(OG10,OL10,OQ10)/COUNT(OG10,OL10,OQ10))</f>
        <v/>
      </c>
      <c r="OT10" s="209" t="str">
        <f t="shared" si="95"/>
        <v/>
      </c>
      <c r="OU10" s="217"/>
      <c r="OV10" s="107"/>
      <c r="OW10" s="108"/>
      <c r="OX10" s="183" t="str">
        <f>IFERROR((((COUNTIF('Elève (6ème2)'!OU10:OW10,"A"))*4)+((COUNTIF('Elève (6ème2)'!OU10:OW10,"B"))*3)+((COUNTIF('Elève (6ème2)'!OU10:OW10,"C"))*2)+((COUNTIF('Elève (6ème2)'!OU10:OW10,"D"))*1))/(COUNTA(OU10:OW10)),"")</f>
        <v/>
      </c>
      <c r="OY10" s="187" t="str">
        <f t="shared" si="96"/>
        <v/>
      </c>
      <c r="OZ10" s="172"/>
      <c r="PA10" s="107"/>
      <c r="PB10" s="108"/>
      <c r="PC10" s="183" t="str">
        <f>IFERROR((((COUNTIF('Elève (6ème2)'!OZ10:PB10,"A"))*4)+((COUNTIF('Elève (6ème2)'!OZ10:PB10,"B"))*3)+((COUNTIF('Elève (6ème2)'!OZ10:PB10,"C"))*2)+((COUNTIF('Elève (6ème2)'!OZ10:PB10,"D"))*1))/(COUNTA(OZ10:PB10)),"")</f>
        <v/>
      </c>
      <c r="PD10" s="184" t="str">
        <f t="shared" si="97"/>
        <v/>
      </c>
      <c r="PE10" s="172"/>
      <c r="PF10" s="107"/>
      <c r="PG10" s="108" t="s">
        <v>24</v>
      </c>
      <c r="PH10" s="183">
        <f>IFERROR((((COUNTIF('Elève (6ème2)'!PE10:PG10,"A"))*4)+((COUNTIF('Elève (6ème2)'!PE10:PG10,"B"))*3)+((COUNTIF('Elève (6ème2)'!PE10:PG10,"C"))*2)+((COUNTIF('Elève (6ème2)'!PE10:PG10,"D"))*1))/(COUNTA(PE10:PG10)),"")</f>
        <v>3</v>
      </c>
      <c r="PI10" s="184" t="str">
        <f t="shared" si="98"/>
        <v>B</v>
      </c>
      <c r="PJ10" s="183">
        <f>IF(COUNT(OX10,PC10,PH10)=0,"",SUM(OX10,PC10,PH10)/COUNT(OX10,PC10,PH10))</f>
        <v>3</v>
      </c>
      <c r="PK10" s="209" t="str">
        <f t="shared" si="99"/>
        <v>B</v>
      </c>
      <c r="PL10" s="217"/>
      <c r="PM10" s="107"/>
      <c r="PN10" s="108"/>
      <c r="PO10" s="183" t="str">
        <f>IFERROR((((COUNTIF('Elève (6ème2)'!PL10:PN10,"A"))*4)+((COUNTIF('Elève (6ème2)'!PL10:PN10,"B"))*3)+((COUNTIF('Elève (6ème2)'!PL10:PN10,"C"))*2)+((COUNTIF('Elève (6ème2)'!PL10:PN10,"D"))*1))/(COUNTA(PL10:PN10)),"")</f>
        <v/>
      </c>
      <c r="PP10" s="187" t="str">
        <f t="shared" si="100"/>
        <v/>
      </c>
      <c r="PQ10" s="172"/>
      <c r="PR10" s="107"/>
      <c r="PS10" s="108"/>
      <c r="PT10" s="183" t="str">
        <f>IFERROR((((COUNTIF('Elève (6ème2)'!PQ10:PS10,"A"))*4)+((COUNTIF('Elève (6ème2)'!PQ10:PS10,"B"))*3)+((COUNTIF('Elève (6ème2)'!PQ10:PS10,"C"))*2)+((COUNTIF('Elève (6ème2)'!PQ10:PS10,"D"))*1))/(COUNTA(PQ10:PS10)),"")</f>
        <v/>
      </c>
      <c r="PU10" s="184" t="str">
        <f t="shared" si="101"/>
        <v/>
      </c>
      <c r="PV10" s="172"/>
      <c r="PW10" s="107"/>
      <c r="PX10" s="108" t="s">
        <v>24</v>
      </c>
      <c r="PY10" s="183">
        <f>IFERROR((((COUNTIF('Elève (6ème2)'!PV10:PX10,"A"))*4)+((COUNTIF('Elève (6ème2)'!PV10:PX10,"B"))*3)+((COUNTIF('Elève (6ème2)'!PV10:PX10,"C"))*2)+((COUNTIF('Elève (6ème2)'!PV10:PX10,"D"))*1))/(COUNTA(PV10:PX10)),"")</f>
        <v>3</v>
      </c>
      <c r="PZ10" s="184" t="str">
        <f t="shared" si="102"/>
        <v>B</v>
      </c>
      <c r="QA10" s="183">
        <f>IF(COUNT(PO10,PT10,PY10)=0,"",SUM(PO10,PT10,PY10)/COUNT(PO10,PT10,PY10))</f>
        <v>3</v>
      </c>
      <c r="QB10" s="209" t="str">
        <f t="shared" si="103"/>
        <v>B</v>
      </c>
      <c r="QC10" s="217"/>
      <c r="QD10" s="107"/>
      <c r="QE10" s="108"/>
      <c r="QF10" s="183" t="str">
        <f>IFERROR((((COUNTIF('Elève (6ème2)'!QC10:QE10,"A"))*4)+((COUNTIF('Elève (6ème2)'!QC10:QE10,"B"))*3)+((COUNTIF('Elève (6ème2)'!QC10:QE10,"C"))*2)+((COUNTIF('Elève (6ème2)'!QC10:QE10,"D"))*1))/(COUNTA(QC10:QE10)),"")</f>
        <v/>
      </c>
      <c r="QG10" s="187" t="str">
        <f t="shared" si="104"/>
        <v/>
      </c>
      <c r="QH10" s="172"/>
      <c r="QI10" s="107"/>
      <c r="QJ10" s="108"/>
      <c r="QK10" s="183" t="str">
        <f>IFERROR((((COUNTIF('Elève (6ème2)'!QH10:QJ10,"A"))*4)+((COUNTIF('Elève (6ème2)'!QH10:QJ10,"B"))*3)+((COUNTIF('Elève (6ème2)'!QH10:QJ10,"C"))*2)+((COUNTIF('Elève (6ème2)'!QH10:QJ10,"D"))*1))/(COUNTA(QH10:QJ10)),"")</f>
        <v/>
      </c>
      <c r="QL10" s="184" t="str">
        <f t="shared" si="105"/>
        <v/>
      </c>
      <c r="QM10" s="172"/>
      <c r="QN10" s="107"/>
      <c r="QO10" s="108" t="s">
        <v>24</v>
      </c>
      <c r="QP10" s="183">
        <f>IFERROR((((COUNTIF('Elève (6ème2)'!QM10:QO10,"A"))*4)+((COUNTIF('Elève (6ème2)'!QM10:QO10,"B"))*3)+((COUNTIF('Elève (6ème2)'!QM10:QO10,"C"))*2)+((COUNTIF('Elève (6ème2)'!QM10:QO10,"D"))*1))/(COUNTA(QM10:QO10)),"")</f>
        <v>3</v>
      </c>
      <c r="QQ10" s="184" t="str">
        <f t="shared" si="106"/>
        <v>B</v>
      </c>
      <c r="QR10" s="183">
        <f>IF(COUNT(QF10,QK10,QP10)=0,"",SUM(QF10,QK10,QP10)/COUNT(QF10,QK10,QP10))</f>
        <v>3</v>
      </c>
      <c r="QS10" s="209" t="str">
        <f t="shared" si="107"/>
        <v>B</v>
      </c>
      <c r="QT10" s="217"/>
      <c r="QU10" s="107"/>
      <c r="QV10" s="108"/>
      <c r="QW10" s="183" t="str">
        <f>IFERROR((((COUNTIF('Elève (6ème2)'!QT10:QV10,"A"))*4)+((COUNTIF('Elève (6ème2)'!QT10:QV10,"B"))*3)+((COUNTIF('Elève (6ème2)'!QT10:QV10,"C"))*2)+((COUNTIF('Elève (6ème2)'!QT10:QV10,"D"))*1))/(COUNTA(QT10:QV10)),"")</f>
        <v/>
      </c>
      <c r="QX10" s="187" t="str">
        <f t="shared" si="108"/>
        <v/>
      </c>
      <c r="QY10" s="172"/>
      <c r="QZ10" s="107"/>
      <c r="RA10" s="108"/>
      <c r="RB10" s="183" t="str">
        <f>IFERROR((((COUNTIF('Elève (6ème2)'!QY10:RA10,"A"))*4)+((COUNTIF('Elève (6ème2)'!QY10:RA10,"B"))*3)+((COUNTIF('Elève (6ème2)'!QY10:RA10,"C"))*2)+((COUNTIF('Elève (6ème2)'!QY10:RA10,"D"))*1))/(COUNTA(QY10:RA10)),"")</f>
        <v/>
      </c>
      <c r="RC10" s="184" t="str">
        <f t="shared" si="109"/>
        <v/>
      </c>
      <c r="RD10" s="172"/>
      <c r="RE10" s="107"/>
      <c r="RF10" s="108"/>
      <c r="RG10" s="183" t="str">
        <f>IFERROR((((COUNTIF('Elève (6ème2)'!RD10:RF10,"A"))*4)+((COUNTIF('Elève (6ème2)'!RD10:RF10,"B"))*3)+((COUNTIF('Elève (6ème2)'!RD10:RF10,"C"))*2)+((COUNTIF('Elève (6ème2)'!RD10:RF10,"D"))*1))/(COUNTA(RD10:RF10)),"")</f>
        <v/>
      </c>
      <c r="RH10" s="184" t="str">
        <f t="shared" si="110"/>
        <v/>
      </c>
      <c r="RI10" s="183" t="str">
        <f>IF(COUNT(QW10,RB10,RG10)=0,"",SUM(QW10,RB10,RG10)/COUNT(QW10,RB10,RG10))</f>
        <v/>
      </c>
      <c r="RJ10" s="209" t="str">
        <f t="shared" si="111"/>
        <v/>
      </c>
      <c r="RK10" s="217"/>
      <c r="RL10" s="107"/>
      <c r="RM10" s="108"/>
      <c r="RN10" s="183" t="str">
        <f>IFERROR((((COUNTIF('Elève (6ème2)'!RK10:RM10,"A"))*4)+((COUNTIF('Elève (6ème2)'!RK10:RM10,"B"))*3)+((COUNTIF('Elève (6ème2)'!RK10:RM10,"C"))*2)+((COUNTIF('Elève (6ème2)'!RK10:RM10,"D"))*1))/(COUNTA(RK10:RM10)),"")</f>
        <v/>
      </c>
      <c r="RO10" s="187" t="str">
        <f t="shared" si="112"/>
        <v/>
      </c>
      <c r="RP10" s="172"/>
      <c r="RQ10" s="107"/>
      <c r="RR10" s="108"/>
      <c r="RS10" s="183" t="str">
        <f>IFERROR((((COUNTIF('Elève (6ème2)'!RP10:RR10,"A"))*4)+((COUNTIF('Elève (6ème2)'!RP10:RR10,"B"))*3)+((COUNTIF('Elève (6ème2)'!RP10:RR10,"C"))*2)+((COUNTIF('Elève (6ème2)'!RP10:RR10,"D"))*1))/(COUNTA(RP10:RR10)),"")</f>
        <v/>
      </c>
      <c r="RT10" s="184" t="str">
        <f t="shared" si="113"/>
        <v/>
      </c>
      <c r="RU10" s="172"/>
      <c r="RV10" s="107"/>
      <c r="RW10" s="108" t="s">
        <v>24</v>
      </c>
      <c r="RX10" s="183">
        <f>IFERROR((((COUNTIF('Elève (6ème2)'!RU10:RW10,"A"))*4)+((COUNTIF('Elève (6ème2)'!RU10:RW10,"B"))*3)+((COUNTIF('Elève (6ème2)'!RU10:RW10,"C"))*2)+((COUNTIF('Elève (6ème2)'!RU10:RW10,"D"))*1))/(COUNTA(RU10:RW10)),"")</f>
        <v>3</v>
      </c>
      <c r="RY10" s="184" t="str">
        <f t="shared" si="114"/>
        <v>B</v>
      </c>
      <c r="RZ10" s="183">
        <f>IF(COUNT(RN10,RS10,RX10)=0,"",SUM(RN10,RS10,RX10)/COUNT(RN10,RS10,RX10))</f>
        <v>3</v>
      </c>
      <c r="SA10" s="209" t="str">
        <f t="shared" si="115"/>
        <v>B</v>
      </c>
      <c r="SB10" s="217"/>
      <c r="SC10" s="107"/>
      <c r="SD10" s="108"/>
      <c r="SE10" s="183" t="str">
        <f>IFERROR((((COUNTIF('Elève (6ème2)'!SB10:SD10,"A"))*4)+((COUNTIF('Elève (6ème2)'!SB10:SD10,"B"))*3)+((COUNTIF('Elève (6ème2)'!SB10:SD10,"C"))*2)+((COUNTIF('Elève (6ème2)'!SB10:SD10,"D"))*1))/(COUNTA(SB10:SD10)),"")</f>
        <v/>
      </c>
      <c r="SF10" s="187" t="str">
        <f t="shared" si="116"/>
        <v/>
      </c>
      <c r="SG10" s="172"/>
      <c r="SH10" s="107"/>
      <c r="SI10" s="108"/>
      <c r="SJ10" s="183" t="str">
        <f>IFERROR((((COUNTIF('Elève (6ème2)'!SG10:SI10,"A"))*4)+((COUNTIF('Elève (6ème2)'!SG10:SI10,"B"))*3)+((COUNTIF('Elève (6ème2)'!SG10:SI10,"C"))*2)+((COUNTIF('Elève (6ème2)'!SG10:SI10,"D"))*1))/(COUNTA(SG10:SI10)),"")</f>
        <v/>
      </c>
      <c r="SK10" s="184" t="str">
        <f t="shared" si="117"/>
        <v/>
      </c>
      <c r="SL10" s="172"/>
      <c r="SM10" s="107"/>
      <c r="SN10" s="108" t="s">
        <v>23</v>
      </c>
      <c r="SO10" s="183">
        <f>IFERROR((((COUNTIF('Elève (6ème2)'!SL10:SN10,"A"))*4)+((COUNTIF('Elève (6ème2)'!SL10:SN10,"B"))*3)+((COUNTIF('Elève (6ème2)'!SL10:SN10,"C"))*2)+((COUNTIF('Elève (6ème2)'!SL10:SN10,"D"))*1))/(COUNTA(SL10:SN10)),"")</f>
        <v>4</v>
      </c>
      <c r="SP10" s="184" t="str">
        <f t="shared" si="118"/>
        <v>A</v>
      </c>
      <c r="SQ10" s="183">
        <f>IF(COUNT(SE10,SJ10,SO10)=0,"",SUM(SE10,SJ10,SO10)/COUNT(SE10,SJ10,SO10))</f>
        <v>4</v>
      </c>
      <c r="SR10" s="209" t="str">
        <f t="shared" si="119"/>
        <v>A</v>
      </c>
      <c r="SS10" s="112"/>
      <c r="ST10" s="107"/>
      <c r="SU10" s="108"/>
      <c r="SV10" s="102" t="str">
        <f>IFERROR((((COUNTIF('Elève (6ème2)'!SS10:SU10,"A"))*4)+((COUNTIF('Elève (6ème2)'!SS10:SU10,"B"))*3)+((COUNTIF('Elève (6ème2)'!SS10:SU10,"C"))*2)+((COUNTIF('Elève (6ème2)'!SS10:SU10,"D"))*1))/(COUNTA(SS10:SU10)),"")</f>
        <v/>
      </c>
      <c r="SW10" s="118" t="str">
        <f t="shared" si="120"/>
        <v/>
      </c>
      <c r="SX10" s="106"/>
      <c r="SY10" s="107"/>
      <c r="SZ10" s="108"/>
      <c r="TA10" s="102" t="str">
        <f>IFERROR((((COUNTIF('Elève (6ème2)'!SX10:SZ10,"A"))*4)+((COUNTIF('Elève (6ème2)'!SX10:SZ10,"B"))*3)+((COUNTIF('Elève (6ème2)'!SX10:SZ10,"C"))*2)+((COUNTIF('Elève (6ème2)'!SX10:SZ10,"D"))*1))/(COUNTA(SX10:SZ10)),"")</f>
        <v/>
      </c>
      <c r="TB10" s="103" t="str">
        <f t="shared" si="121"/>
        <v/>
      </c>
      <c r="TC10" s="106"/>
      <c r="TD10" s="107"/>
      <c r="TE10" s="108" t="s">
        <v>24</v>
      </c>
      <c r="TF10" s="102">
        <f>IFERROR((((COUNTIF('Elève (6ème2)'!TC10:TE10,"A"))*4)+((COUNTIF('Elève (6ème2)'!TC10:TE10,"B"))*3)+((COUNTIF('Elève (6ème2)'!TC10:TE10,"C"))*2)+((COUNTIF('Elève (6ème2)'!TC10:TE10,"D"))*1))/(COUNTA(TC10:TE10)),"")</f>
        <v>3</v>
      </c>
      <c r="TG10" s="103" t="str">
        <f t="shared" si="122"/>
        <v>B</v>
      </c>
      <c r="TH10" s="102">
        <f>IF(COUNT(SV10,TA10,TF10)=0,"",SUM(SV10,TA10,TF10)/COUNT(SV10,TA10,TF10))</f>
        <v>3</v>
      </c>
      <c r="TI10" s="117" t="str">
        <f t="shared" si="123"/>
        <v>B</v>
      </c>
      <c r="TJ10" s="112"/>
      <c r="TK10" s="107"/>
      <c r="TL10" s="108"/>
      <c r="TM10" s="102" t="str">
        <f>IFERROR((((COUNTIF('Elève (6ème2)'!TJ10:TL10,"A"))*4)+((COUNTIF('Elève (6ème2)'!TJ10:TL10,"B"))*3)+((COUNTIF('Elève (6ème2)'!TJ10:TL10,"C"))*2)+((COUNTIF('Elève (6ème2)'!TJ10:TL10,"D"))*1))/(COUNTA(TJ10:TL10)),"")</f>
        <v/>
      </c>
      <c r="TN10" s="118" t="str">
        <f t="shared" si="124"/>
        <v/>
      </c>
      <c r="TO10" s="106"/>
      <c r="TP10" s="107"/>
      <c r="TQ10" s="108"/>
      <c r="TR10" s="102" t="str">
        <f>IFERROR((((COUNTIF('Elève (6ème2)'!TO10:TQ10,"A"))*4)+((COUNTIF('Elève (6ème2)'!TO10:TQ10,"B"))*3)+((COUNTIF('Elève (6ème2)'!TO10:TQ10,"C"))*2)+((COUNTIF('Elève (6ème2)'!TO10:TQ10,"D"))*1))/(COUNTA(TO10:TQ10)),"")</f>
        <v/>
      </c>
      <c r="TS10" s="103" t="str">
        <f t="shared" si="125"/>
        <v/>
      </c>
      <c r="TT10" s="106"/>
      <c r="TU10" s="107"/>
      <c r="TV10" s="108"/>
      <c r="TW10" s="102" t="str">
        <f>IFERROR((((COUNTIF('Elève (6ème2)'!TT10:TV10,"A"))*4)+((COUNTIF('Elève (6ème2)'!TT10:TV10,"B"))*3)+((COUNTIF('Elève (6ème2)'!TT10:TV10,"C"))*2)+((COUNTIF('Elève (6ème2)'!TT10:TV10,"D"))*1))/(COUNTA(TT10:TV10)),"")</f>
        <v/>
      </c>
      <c r="TX10" s="103" t="str">
        <f t="shared" si="126"/>
        <v/>
      </c>
      <c r="TY10" s="102" t="str">
        <f>IF(COUNT(TM10,TR10,TW10)=0,"",SUM(TM10,TR10,TW10)/COUNT(TM10,TR10,TW10))</f>
        <v/>
      </c>
      <c r="TZ10" s="117" t="str">
        <f t="shared" si="127"/>
        <v/>
      </c>
    </row>
    <row r="11" spans="1:546" ht="14.45" customHeight="1" thickBot="1" x14ac:dyDescent="0.3">
      <c r="A11" s="242" t="s">
        <v>38</v>
      </c>
      <c r="B11" s="243"/>
      <c r="C11" s="120"/>
      <c r="D11" s="121"/>
      <c r="E11" s="122"/>
      <c r="F11" s="188" t="str">
        <f>IFERROR((((COUNTIF('Elève (6ème2)'!C11:E11,"A"))*4)+((COUNTIF('Elève (6ème2)'!C11:E11,"B"))*3)+((COUNTIF('Elève (6ème2)'!C11:E11,"C"))*2)+((COUNTIF('Elève (6ème2)'!C11:E11,"D"))*1))/(COUNTA(C11:E11)),"")</f>
        <v/>
      </c>
      <c r="G11" s="187" t="str">
        <f t="shared" si="0"/>
        <v/>
      </c>
      <c r="H11" s="120"/>
      <c r="I11" s="121"/>
      <c r="J11" s="122"/>
      <c r="K11" s="188" t="str">
        <f>IFERROR((((COUNTIF('Elève (6ème2)'!H11:J11,"A"))*4)+((COUNTIF('Elève (6ème2)'!H11:J11,"B"))*3)+((COUNTIF('Elève (6ème2)'!H11:J11,"C"))*2)+((COUNTIF('Elève (6ème2)'!H11:J11,"D"))*1))/(COUNTA(H11:J11)),"")</f>
        <v/>
      </c>
      <c r="L11" s="187" t="str">
        <f t="shared" si="1"/>
        <v/>
      </c>
      <c r="M11" s="120"/>
      <c r="N11" s="121"/>
      <c r="O11" s="122" t="s">
        <v>23</v>
      </c>
      <c r="P11" s="188">
        <f>IFERROR((((COUNTIF('Elève (6ème2)'!M11:O11,"A"))*4)+((COUNTIF('Elève (6ème2)'!M11:O11,"B"))*3)+((COUNTIF('Elève (6ème2)'!M11:O11,"C"))*2)+((COUNTIF('Elève (6ème2)'!M11:O11,"D"))*1))/(COUNTA(M11:O11)),"")</f>
        <v>4</v>
      </c>
      <c r="Q11" s="187" t="str">
        <f t="shared" si="2"/>
        <v>A</v>
      </c>
      <c r="R11" s="188">
        <f>IF(COUNT(F11,K11,P11)=0,"",SUM(F11,K11,P11)/COUNT(F11,K11,P11))</f>
        <v>4</v>
      </c>
      <c r="S11" s="210" t="str">
        <f t="shared" si="3"/>
        <v>A</v>
      </c>
      <c r="T11" s="125"/>
      <c r="U11" s="121"/>
      <c r="V11" s="122"/>
      <c r="W11" s="188" t="str">
        <f>IFERROR((((COUNTIF('Elève (6ème2)'!T11:V11,"A"))*4)+((COUNTIF('Elève (6ème2)'!T11:V11,"B"))*3)+((COUNTIF('Elève (6ème2)'!T11:V11,"C"))*2)+((COUNTIF('Elève (6ème2)'!T11:V11,"D"))*1))/(COUNTA(T11:V11)),"")</f>
        <v/>
      </c>
      <c r="X11" s="187" t="str">
        <f t="shared" si="4"/>
        <v/>
      </c>
      <c r="Y11" s="120"/>
      <c r="Z11" s="121"/>
      <c r="AA11" s="122"/>
      <c r="AB11" s="188" t="str">
        <f>IFERROR((((COUNTIF('Elève (6ème2)'!Y11:AA11,"A"))*4)+((COUNTIF('Elève (6ème2)'!Y11:AA11,"B"))*3)+((COUNTIF('Elève (6ème2)'!Y11:AA11,"C"))*2)+((COUNTIF('Elève (6ème2)'!Y11:AA11,"D"))*1))/(COUNTA(Y11:AA11)),"")</f>
        <v/>
      </c>
      <c r="AC11" s="187" t="str">
        <f t="shared" si="5"/>
        <v/>
      </c>
      <c r="AD11" s="120"/>
      <c r="AE11" s="121"/>
      <c r="AF11" s="122" t="s">
        <v>24</v>
      </c>
      <c r="AG11" s="188">
        <f>IFERROR((((COUNTIF('Elève (6ème2)'!AD11:AF11,"A"))*4)+((COUNTIF('Elève (6ème2)'!AD11:AF11,"B"))*3)+((COUNTIF('Elève (6ème2)'!AD11:AF11,"C"))*2)+((COUNTIF('Elève (6ème2)'!AD11:AF11,"D"))*1))/(COUNTA(AD11:AF11)),"")</f>
        <v>3</v>
      </c>
      <c r="AH11" s="187" t="str">
        <f t="shared" si="6"/>
        <v>B</v>
      </c>
      <c r="AI11" s="188">
        <f>IF(COUNT(W11,AB11,AG11)=0,"",SUM(W11,AB11,AG11)/COUNT(W11,AB11,AG11))</f>
        <v>3</v>
      </c>
      <c r="AJ11" s="210" t="str">
        <f t="shared" si="7"/>
        <v>B</v>
      </c>
      <c r="AK11" s="125"/>
      <c r="AL11" s="121"/>
      <c r="AM11" s="122"/>
      <c r="AN11" s="188" t="str">
        <f>IFERROR((((COUNTIF('Elève (6ème2)'!AK11:AM11,"A"))*4)+((COUNTIF('Elève (6ème2)'!AK11:AM11,"B"))*3)+((COUNTIF('Elève (6ème2)'!AK11:AM11,"C"))*2)+((COUNTIF('Elève (6ème2)'!AK11:AM11,"D"))*1))/(COUNTA(AK11:AM11)),"")</f>
        <v/>
      </c>
      <c r="AO11" s="187" t="str">
        <f t="shared" si="8"/>
        <v/>
      </c>
      <c r="AP11" s="120"/>
      <c r="AQ11" s="121"/>
      <c r="AR11" s="122"/>
      <c r="AS11" s="188" t="str">
        <f>IFERROR((((COUNTIF('Elève (6ème2)'!AP11:AR11,"A"))*4)+((COUNTIF('Elève (6ème2)'!AP11:AR11,"B"))*3)+((COUNTIF('Elève (6ème2)'!AP11:AR11,"C"))*2)+((COUNTIF('Elève (6ème2)'!AP11:AR11,"D"))*1))/(COUNTA(AP11:AR11)),"")</f>
        <v/>
      </c>
      <c r="AT11" s="187" t="str">
        <f t="shared" si="9"/>
        <v/>
      </c>
      <c r="AU11" s="120"/>
      <c r="AV11" s="121"/>
      <c r="AW11" s="122" t="s">
        <v>23</v>
      </c>
      <c r="AX11" s="188">
        <f>IFERROR((((COUNTIF('Elève (6ème2)'!AU11:AW11,"A"))*4)+((COUNTIF('Elève (6ème2)'!AU11:AW11,"B"))*3)+((COUNTIF('Elève (6ème2)'!AU11:AW11,"C"))*2)+((COUNTIF('Elève (6ème2)'!AU11:AW11,"D"))*1))/(COUNTA(AU11:AW11)),"")</f>
        <v>4</v>
      </c>
      <c r="AY11" s="187" t="str">
        <f t="shared" si="10"/>
        <v>A</v>
      </c>
      <c r="AZ11" s="188">
        <f>IF(COUNT(AN11,AS11,AX11)=0,"",SUM(AN11,AS11,AX11)/COUNT(AN11,AS11,AX11))</f>
        <v>4</v>
      </c>
      <c r="BA11" s="210" t="str">
        <f t="shared" si="11"/>
        <v>A</v>
      </c>
      <c r="BB11" s="125"/>
      <c r="BC11" s="121"/>
      <c r="BD11" s="122"/>
      <c r="BE11" s="188" t="str">
        <f>IFERROR((((COUNTIF('Elève (6ème2)'!BB11:BD11,"A"))*4)+((COUNTIF('Elève (6ème2)'!BB11:BD11,"B"))*3)+((COUNTIF('Elève (6ème2)'!BB11:BD11,"C"))*2)+((COUNTIF('Elève (6ème2)'!BB11:BD11,"D"))*1))/(COUNTA(BB11:BD11)),"")</f>
        <v/>
      </c>
      <c r="BF11" s="187" t="str">
        <f t="shared" si="12"/>
        <v/>
      </c>
      <c r="BG11" s="120"/>
      <c r="BH11" s="121"/>
      <c r="BI11" s="122"/>
      <c r="BJ11" s="188" t="str">
        <f>IFERROR((((COUNTIF('Elève (6ème2)'!BG11:BI11,"A"))*4)+((COUNTIF('Elève (6ème2)'!BG11:BI11,"B"))*3)+((COUNTIF('Elève (6ème2)'!BG11:BI11,"C"))*2)+((COUNTIF('Elève (6ème2)'!BG11:BI11,"D"))*1))/(COUNTA(BG11:BI11)),"")</f>
        <v/>
      </c>
      <c r="BK11" s="187" t="str">
        <f t="shared" si="13"/>
        <v/>
      </c>
      <c r="BL11" s="120"/>
      <c r="BM11" s="121"/>
      <c r="BN11" s="122" t="s">
        <v>24</v>
      </c>
      <c r="BO11" s="188">
        <f>IFERROR((((COUNTIF('Elève (6ème2)'!BL11:BN11,"A"))*4)+((COUNTIF('Elève (6ème2)'!BL11:BN11,"B"))*3)+((COUNTIF('Elève (6ème2)'!BL11:BN11,"C"))*2)+((COUNTIF('Elève (6ème2)'!BL11:BN11,"D"))*1))/(COUNTA(BL11:BN11)),"")</f>
        <v>3</v>
      </c>
      <c r="BP11" s="187" t="str">
        <f t="shared" si="14"/>
        <v>B</v>
      </c>
      <c r="BQ11" s="188">
        <f>IF(COUNT(BE11,BJ11,BO11)=0,"",SUM(BE11,BJ11,BO11)/COUNT(BE11,BJ11,BO11))</f>
        <v>3</v>
      </c>
      <c r="BR11" s="210" t="str">
        <f t="shared" si="15"/>
        <v>B</v>
      </c>
      <c r="BS11" s="125"/>
      <c r="BT11" s="121"/>
      <c r="BU11" s="122"/>
      <c r="BV11" s="188" t="str">
        <f>IFERROR((((COUNTIF('Elève (6ème2)'!BS11:BU11,"A"))*4)+((COUNTIF('Elève (6ème2)'!BS11:BU11,"B"))*3)+((COUNTIF('Elève (6ème2)'!BS11:BU11,"C"))*2)+((COUNTIF('Elève (6ème2)'!BS11:BU11,"D"))*1))/(COUNTA(BS11:BU11)),"")</f>
        <v/>
      </c>
      <c r="BW11" s="187" t="str">
        <f t="shared" si="16"/>
        <v/>
      </c>
      <c r="BX11" s="120"/>
      <c r="BY11" s="121"/>
      <c r="BZ11" s="122"/>
      <c r="CA11" s="188" t="str">
        <f>IFERROR((((COUNTIF('Elève (6ème2)'!BX11:BZ11,"A"))*4)+((COUNTIF('Elève (6ème2)'!BX11:BZ11,"B"))*3)+((COUNTIF('Elève (6ème2)'!BX11:BZ11,"C"))*2)+((COUNTIF('Elève (6ème2)'!BX11:BZ11,"D"))*1))/(COUNTA(BX11:BZ11)),"")</f>
        <v/>
      </c>
      <c r="CB11" s="187" t="str">
        <f t="shared" si="17"/>
        <v/>
      </c>
      <c r="CC11" s="120"/>
      <c r="CD11" s="121"/>
      <c r="CE11" s="122" t="s">
        <v>24</v>
      </c>
      <c r="CF11" s="188">
        <f>IFERROR((((COUNTIF('Elève (6ème2)'!CC11:CE11,"A"))*4)+((COUNTIF('Elève (6ème2)'!CC11:CE11,"B"))*3)+((COUNTIF('Elève (6ème2)'!CC11:CE11,"C"))*2)+((COUNTIF('Elève (6ème2)'!CC11:CE11,"D"))*1))/(COUNTA(CC11:CE11)),"")</f>
        <v>3</v>
      </c>
      <c r="CG11" s="187" t="str">
        <f t="shared" si="18"/>
        <v>B</v>
      </c>
      <c r="CH11" s="188">
        <f>IF(COUNT(BV11,CA11,CF11)=0,"",SUM(BV11,CA11,CF11)/COUNT(BV11,CA11,CF11))</f>
        <v>3</v>
      </c>
      <c r="CI11" s="210" t="str">
        <f t="shared" si="19"/>
        <v>B</v>
      </c>
      <c r="CJ11" s="125"/>
      <c r="CK11" s="121"/>
      <c r="CL11" s="122"/>
      <c r="CM11" s="188" t="str">
        <f>IFERROR((((COUNTIF('Elève (6ème2)'!CJ11:CL11,"A"))*4)+((COUNTIF('Elève (6ème2)'!CJ11:CL11,"B"))*3)+((COUNTIF('Elève (6ème2)'!CJ11:CL11,"C"))*2)+((COUNTIF('Elève (6ème2)'!CJ11:CL11,"D"))*1))/(COUNTA(CJ11:CL11)),"")</f>
        <v/>
      </c>
      <c r="CN11" s="187" t="str">
        <f t="shared" si="20"/>
        <v/>
      </c>
      <c r="CO11" s="120"/>
      <c r="CP11" s="121"/>
      <c r="CQ11" s="122"/>
      <c r="CR11" s="188" t="str">
        <f>IFERROR((((COUNTIF('Elève (6ème2)'!CO11:CQ11,"A"))*4)+((COUNTIF('Elève (6ème2)'!CO11:CQ11,"B"))*3)+((COUNTIF('Elève (6ème2)'!CO11:CQ11,"C"))*2)+((COUNTIF('Elève (6ème2)'!CO11:CQ11,"D"))*1))/(COUNTA(CO11:CQ11)),"")</f>
        <v/>
      </c>
      <c r="CS11" s="187" t="str">
        <f t="shared" si="21"/>
        <v/>
      </c>
      <c r="CT11" s="120"/>
      <c r="CU11" s="121"/>
      <c r="CV11" s="122" t="s">
        <v>25</v>
      </c>
      <c r="CW11" s="188">
        <f>IFERROR((((COUNTIF('Elève (6ème2)'!CT11:CV11,"A"))*4)+((COUNTIF('Elève (6ème2)'!CT11:CV11,"B"))*3)+((COUNTIF('Elève (6ème2)'!CT11:CV11,"C"))*2)+((COUNTIF('Elève (6ème2)'!CT11:CV11,"D"))*1))/(COUNTA(CT11:CV11)),"")</f>
        <v>2</v>
      </c>
      <c r="CX11" s="187" t="str">
        <f t="shared" si="22"/>
        <v>C</v>
      </c>
      <c r="CY11" s="188">
        <f>IF(COUNT(CM11,CR11,CW11)=0,"",SUM(CM11,CR11,CW11)/COUNT(CM11,CR11,CW11))</f>
        <v>2</v>
      </c>
      <c r="CZ11" s="210" t="str">
        <f t="shared" si="23"/>
        <v>C</v>
      </c>
      <c r="DA11" s="125"/>
      <c r="DB11" s="121"/>
      <c r="DC11" s="122"/>
      <c r="DD11" s="188" t="str">
        <f>IFERROR((((COUNTIF('Elève (6ème2)'!DA11:DC11,"A"))*4)+((COUNTIF('Elève (6ème2)'!DA11:DC11,"B"))*3)+((COUNTIF('Elève (6ème2)'!DA11:DC11,"C"))*2)+((COUNTIF('Elève (6ème2)'!DA11:DC11,"D"))*1))/(COUNTA(DA11:DC11)),"")</f>
        <v/>
      </c>
      <c r="DE11" s="187" t="str">
        <f t="shared" si="24"/>
        <v/>
      </c>
      <c r="DF11" s="120"/>
      <c r="DG11" s="121"/>
      <c r="DH11" s="122"/>
      <c r="DI11" s="188" t="str">
        <f>IFERROR((((COUNTIF('Elève (6ème2)'!DF11:DH11,"A"))*4)+((COUNTIF('Elève (6ème2)'!DF11:DH11,"B"))*3)+((COUNTIF('Elève (6ème2)'!DF11:DH11,"C"))*2)+((COUNTIF('Elève (6ème2)'!DF11:DH11,"D"))*1))/(COUNTA(DF11:DH11)),"")</f>
        <v/>
      </c>
      <c r="DJ11" s="187" t="str">
        <f t="shared" si="25"/>
        <v/>
      </c>
      <c r="DK11" s="120"/>
      <c r="DL11" s="121"/>
      <c r="DM11" s="122" t="s">
        <v>25</v>
      </c>
      <c r="DN11" s="188">
        <f>IFERROR((((COUNTIF('Elève (6ème2)'!DK11:DM11,"A"))*4)+((COUNTIF('Elève (6ème2)'!DK11:DM11,"B"))*3)+((COUNTIF('Elève (6ème2)'!DK11:DM11,"C"))*2)+((COUNTIF('Elève (6ème2)'!DK11:DM11,"D"))*1))/(COUNTA(DK11:DM11)),"")</f>
        <v>2</v>
      </c>
      <c r="DO11" s="187" t="str">
        <f t="shared" si="26"/>
        <v>C</v>
      </c>
      <c r="DP11" s="188">
        <f>IF(COUNT(DD11,DI11,DN11)=0,"",SUM(DD11,DI11,DN11)/COUNT(DD11,DI11,DN11))</f>
        <v>2</v>
      </c>
      <c r="DQ11" s="210" t="str">
        <f t="shared" si="27"/>
        <v>C</v>
      </c>
      <c r="DR11" s="125"/>
      <c r="DS11" s="121"/>
      <c r="DT11" s="122"/>
      <c r="DU11" s="188" t="str">
        <f>IFERROR((((COUNTIF('Elève (6ème2)'!DR11:DT11,"A"))*4)+((COUNTIF('Elève (6ème2)'!DR11:DT11,"B"))*3)+((COUNTIF('Elève (6ème2)'!DR11:DT11,"C"))*2)+((COUNTIF('Elève (6ème2)'!DR11:DT11,"D"))*1))/(COUNTA(DR11:DT11)),"")</f>
        <v/>
      </c>
      <c r="DV11" s="187" t="str">
        <f t="shared" si="28"/>
        <v/>
      </c>
      <c r="DW11" s="120"/>
      <c r="DX11" s="121"/>
      <c r="DY11" s="122"/>
      <c r="DZ11" s="188" t="str">
        <f>IFERROR((((COUNTIF('Elève (6ème2)'!DW11:DY11,"A"))*4)+((COUNTIF('Elève (6ème2)'!DW11:DY11,"B"))*3)+((COUNTIF('Elève (6ème2)'!DW11:DY11,"C"))*2)+((COUNTIF('Elève (6ème2)'!DW11:DY11,"D"))*1))/(COUNTA(DW11:DY11)),"")</f>
        <v/>
      </c>
      <c r="EA11" s="187" t="str">
        <f t="shared" si="29"/>
        <v/>
      </c>
      <c r="EB11" s="120"/>
      <c r="EC11" s="121"/>
      <c r="ED11" s="122" t="s">
        <v>24</v>
      </c>
      <c r="EE11" s="188">
        <f>IFERROR((((COUNTIF('Elève (6ème2)'!EB11:ED11,"A"))*4)+((COUNTIF('Elève (6ème2)'!EB11:ED11,"B"))*3)+((COUNTIF('Elève (6ème2)'!EB11:ED11,"C"))*2)+((COUNTIF('Elève (6ème2)'!EB11:ED11,"D"))*1))/(COUNTA(EB11:ED11)),"")</f>
        <v>3</v>
      </c>
      <c r="EF11" s="187" t="str">
        <f t="shared" si="30"/>
        <v>B</v>
      </c>
      <c r="EG11" s="188">
        <f>IF(COUNT(DU11,DZ11,EE11)=0,"",SUM(DU11,DZ11,EE11)/COUNT(DU11,DZ11,EE11))</f>
        <v>3</v>
      </c>
      <c r="EH11" s="210" t="str">
        <f t="shared" si="31"/>
        <v>B</v>
      </c>
      <c r="EI11" s="125"/>
      <c r="EJ11" s="121"/>
      <c r="EK11" s="122"/>
      <c r="EL11" s="188" t="str">
        <f>IFERROR((((COUNTIF('Elève (6ème2)'!EI11:EK11,"A"))*4)+((COUNTIF('Elève (6ème2)'!EI11:EK11,"B"))*3)+((COUNTIF('Elève (6ème2)'!EI11:EK11,"C"))*2)+((COUNTIF('Elève (6ème2)'!EI11:EK11,"D"))*1))/(COUNTA(EI11:EK11)),"")</f>
        <v/>
      </c>
      <c r="EM11" s="187" t="str">
        <f t="shared" si="32"/>
        <v/>
      </c>
      <c r="EN11" s="120"/>
      <c r="EO11" s="121"/>
      <c r="EP11" s="122"/>
      <c r="EQ11" s="188" t="str">
        <f>IFERROR((((COUNTIF('Elève (6ème2)'!EN11:EP11,"A"))*4)+((COUNTIF('Elève (6ème2)'!EN11:EP11,"B"))*3)+((COUNTIF('Elève (6ème2)'!EN11:EP11,"C"))*2)+((COUNTIF('Elève (6ème2)'!EN11:EP11,"D"))*1))/(COUNTA(EN11:EP11)),"")</f>
        <v/>
      </c>
      <c r="ER11" s="187" t="str">
        <f t="shared" si="33"/>
        <v/>
      </c>
      <c r="ES11" s="120"/>
      <c r="ET11" s="121"/>
      <c r="EU11" s="122" t="s">
        <v>25</v>
      </c>
      <c r="EV11" s="188">
        <f>IFERROR((((COUNTIF('Elève (6ème2)'!ES11:EU11,"A"))*4)+((COUNTIF('Elève (6ème2)'!ES11:EU11,"B"))*3)+((COUNTIF('Elève (6ème2)'!ES11:EU11,"C"))*2)+((COUNTIF('Elève (6ème2)'!ES11:EU11,"D"))*1))/(COUNTA(ES11:EU11)),"")</f>
        <v>2</v>
      </c>
      <c r="EW11" s="187" t="str">
        <f t="shared" si="34"/>
        <v>C</v>
      </c>
      <c r="EX11" s="188">
        <f>IF(COUNT(EL11,EQ11,EV11)=0,"",SUM(EL11,EQ11,EV11)/COUNT(EL11,EQ11,EV11))</f>
        <v>2</v>
      </c>
      <c r="EY11" s="210" t="str">
        <f t="shared" si="35"/>
        <v>C</v>
      </c>
      <c r="EZ11" s="125"/>
      <c r="FA11" s="121"/>
      <c r="FB11" s="122"/>
      <c r="FC11" s="188" t="str">
        <f>IFERROR((((COUNTIF('Elève (6ème2)'!EZ11:FB11,"A"))*4)+((COUNTIF('Elève (6ème2)'!EZ11:FB11,"B"))*3)+((COUNTIF('Elève (6ème2)'!EZ11:FB11,"C"))*2)+((COUNTIF('Elève (6ème2)'!EZ11:FB11,"D"))*1))/(COUNTA(EZ11:FB11)),"")</f>
        <v/>
      </c>
      <c r="FD11" s="187" t="str">
        <f t="shared" si="36"/>
        <v/>
      </c>
      <c r="FE11" s="120"/>
      <c r="FF11" s="121"/>
      <c r="FG11" s="122"/>
      <c r="FH11" s="188" t="str">
        <f>IFERROR((((COUNTIF('Elève (6ème2)'!FE11:FG11,"A"))*4)+((COUNTIF('Elève (6ème2)'!FE11:FG11,"B"))*3)+((COUNTIF('Elève (6ème2)'!FE11:FG11,"C"))*2)+((COUNTIF('Elève (6ème2)'!FE11:FG11,"D"))*1))/(COUNTA(FE11:FG11)),"")</f>
        <v/>
      </c>
      <c r="FI11" s="187" t="str">
        <f t="shared" si="37"/>
        <v/>
      </c>
      <c r="FJ11" s="120"/>
      <c r="FK11" s="121"/>
      <c r="FL11" s="122" t="s">
        <v>23</v>
      </c>
      <c r="FM11" s="188">
        <f>IFERROR((((COUNTIF('Elève (6ème2)'!FJ11:FL11,"A"))*4)+((COUNTIF('Elève (6ème2)'!FJ11:FL11,"B"))*3)+((COUNTIF('Elève (6ème2)'!FJ11:FL11,"C"))*2)+((COUNTIF('Elève (6ème2)'!FJ11:FL11,"D"))*1))/(COUNTA(FJ11:FL11)),"")</f>
        <v>4</v>
      </c>
      <c r="FN11" s="187" t="str">
        <f t="shared" si="38"/>
        <v>A</v>
      </c>
      <c r="FO11" s="188">
        <f>IF(COUNT(FC11,FH11,FM11)=0,"",SUM(FC11,FH11,FM11)/COUNT(FC11,FH11,FM11))</f>
        <v>4</v>
      </c>
      <c r="FP11" s="210" t="str">
        <f t="shared" si="39"/>
        <v>A</v>
      </c>
      <c r="FQ11" s="125"/>
      <c r="FR11" s="121"/>
      <c r="FS11" s="122"/>
      <c r="FT11" s="188" t="str">
        <f>IFERROR((((COUNTIF('Elève (6ème2)'!FQ11:FS11,"A"))*4)+((COUNTIF('Elève (6ème2)'!FQ11:FS11,"B"))*3)+((COUNTIF('Elève (6ème2)'!FQ11:FS11,"C"))*2)+((COUNTIF('Elève (6ème2)'!FQ11:FS11,"D"))*1))/(COUNTA(FQ11:FS11)),"")</f>
        <v/>
      </c>
      <c r="FU11" s="187" t="str">
        <f t="shared" si="40"/>
        <v/>
      </c>
      <c r="FV11" s="120"/>
      <c r="FW11" s="121"/>
      <c r="FX11" s="122"/>
      <c r="FY11" s="188" t="str">
        <f>IFERROR((((COUNTIF('Elève (6ème2)'!FV11:FX11,"A"))*4)+((COUNTIF('Elève (6ème2)'!FV11:FX11,"B"))*3)+((COUNTIF('Elève (6ème2)'!FV11:FX11,"C"))*2)+((COUNTIF('Elève (6ème2)'!FV11:FX11,"D"))*1))/(COUNTA(FV11:FX11)),"")</f>
        <v/>
      </c>
      <c r="FZ11" s="187" t="str">
        <f t="shared" si="41"/>
        <v/>
      </c>
      <c r="GA11" s="120"/>
      <c r="GB11" s="121"/>
      <c r="GC11" s="122" t="s">
        <v>23</v>
      </c>
      <c r="GD11" s="188">
        <f>IFERROR((((COUNTIF('Elève (6ème2)'!GA11:GC11,"A"))*4)+((COUNTIF('Elève (6ème2)'!GA11:GC11,"B"))*3)+((COUNTIF('Elève (6ème2)'!GA11:GC11,"C"))*2)+((COUNTIF('Elève (6ème2)'!GA11:GC11,"D"))*1))/(COUNTA(GA11:GC11)),"")</f>
        <v>4</v>
      </c>
      <c r="GE11" s="187" t="str">
        <f t="shared" si="42"/>
        <v>A</v>
      </c>
      <c r="GF11" s="188">
        <f>IF(COUNT(FT11,FY11,GD11)=0,"",SUM(FT11,FY11,GD11)/COUNT(FT11,FY11,GD11))</f>
        <v>4</v>
      </c>
      <c r="GG11" s="210" t="str">
        <f t="shared" si="43"/>
        <v>A</v>
      </c>
      <c r="GH11" s="125"/>
      <c r="GI11" s="121"/>
      <c r="GJ11" s="122"/>
      <c r="GK11" s="188" t="str">
        <f>IFERROR((((COUNTIF('Elève (6ème2)'!GH11:GJ11,"A"))*4)+((COUNTIF('Elève (6ème2)'!GH11:GJ11,"B"))*3)+((COUNTIF('Elève (6ème2)'!GH11:GJ11,"C"))*2)+((COUNTIF('Elève (6ème2)'!GH11:GJ11,"D"))*1))/(COUNTA(GH11:GJ11)),"")</f>
        <v/>
      </c>
      <c r="GL11" s="187" t="str">
        <f t="shared" si="44"/>
        <v/>
      </c>
      <c r="GM11" s="120"/>
      <c r="GN11" s="121"/>
      <c r="GO11" s="122"/>
      <c r="GP11" s="188" t="str">
        <f>IFERROR((((COUNTIF('Elève (6ème2)'!GM11:GO11,"A"))*4)+((COUNTIF('Elève (6ème2)'!GM11:GO11,"B"))*3)+((COUNTIF('Elève (6ème2)'!GM11:GO11,"C"))*2)+((COUNTIF('Elève (6ème2)'!GM11:GO11,"D"))*1))/(COUNTA(GM11:GO11)),"")</f>
        <v/>
      </c>
      <c r="GQ11" s="187" t="str">
        <f t="shared" si="45"/>
        <v/>
      </c>
      <c r="GR11" s="120"/>
      <c r="GS11" s="121"/>
      <c r="GT11" s="122" t="s">
        <v>23</v>
      </c>
      <c r="GU11" s="188">
        <f>IFERROR((((COUNTIF('Elève (6ème2)'!GR11:GT11,"A"))*4)+((COUNTIF('Elève (6ème2)'!GR11:GT11,"B"))*3)+((COUNTIF('Elève (6ème2)'!GR11:GT11,"C"))*2)+((COUNTIF('Elève (6ème2)'!GR11:GT11,"D"))*1))/(COUNTA(GR11:GT11)),"")</f>
        <v>4</v>
      </c>
      <c r="GV11" s="187" t="str">
        <f t="shared" si="46"/>
        <v>A</v>
      </c>
      <c r="GW11" s="188">
        <f>IF(COUNT(GK11,GP11,GU11)=0,"",SUM(GK11,GP11,GU11)/COUNT(GK11,GP11,GU11))</f>
        <v>4</v>
      </c>
      <c r="GX11" s="210" t="str">
        <f t="shared" si="47"/>
        <v>A</v>
      </c>
      <c r="GY11" s="125"/>
      <c r="GZ11" s="121"/>
      <c r="HA11" s="122"/>
      <c r="HB11" s="188" t="str">
        <f>IFERROR((((COUNTIF('Elève (6ème2)'!GY11:HA11,"A"))*4)+((COUNTIF('Elève (6ème2)'!GY11:HA11,"B"))*3)+((COUNTIF('Elève (6ème2)'!GY11:HA11,"C"))*2)+((COUNTIF('Elève (6ème2)'!GY11:HA11,"D"))*1))/(COUNTA(GY11:HA11)),"")</f>
        <v/>
      </c>
      <c r="HC11" s="187" t="str">
        <f t="shared" si="48"/>
        <v/>
      </c>
      <c r="HD11" s="120"/>
      <c r="HE11" s="121"/>
      <c r="HF11" s="122"/>
      <c r="HG11" s="188" t="str">
        <f>IFERROR((((COUNTIF('Elève (6ème2)'!HD11:HF11,"A"))*4)+((COUNTIF('Elève (6ème2)'!HD11:HF11,"B"))*3)+((COUNTIF('Elève (6ème2)'!HD11:HF11,"C"))*2)+((COUNTIF('Elève (6ème2)'!HD11:HF11,"D"))*1))/(COUNTA(HD11:HF11)),"")</f>
        <v/>
      </c>
      <c r="HH11" s="187" t="str">
        <f t="shared" si="49"/>
        <v/>
      </c>
      <c r="HI11" s="120"/>
      <c r="HJ11" s="121"/>
      <c r="HK11" s="122" t="s">
        <v>23</v>
      </c>
      <c r="HL11" s="188">
        <f>IFERROR((((COUNTIF('Elève (6ème2)'!HI11:HK11,"A"))*4)+((COUNTIF('Elève (6ème2)'!HI11:HK11,"B"))*3)+((COUNTIF('Elève (6ème2)'!HI11:HK11,"C"))*2)+((COUNTIF('Elève (6ème2)'!HI11:HK11,"D"))*1))/(COUNTA(HI11:HK11)),"")</f>
        <v>4</v>
      </c>
      <c r="HM11" s="187" t="str">
        <f t="shared" si="50"/>
        <v>A</v>
      </c>
      <c r="HN11" s="188">
        <f>IF(COUNT(HB11,HG11,HL11)=0,"",SUM(HB11,HG11,HL11)/COUNT(HB11,HG11,HL11))</f>
        <v>4</v>
      </c>
      <c r="HO11" s="210" t="str">
        <f t="shared" si="51"/>
        <v>A</v>
      </c>
      <c r="HP11" s="125"/>
      <c r="HQ11" s="121"/>
      <c r="HR11" s="122"/>
      <c r="HS11" s="188" t="str">
        <f>IFERROR((((COUNTIF('Elève (6ème2)'!HP11:HR11,"A"))*4)+((COUNTIF('Elève (6ème2)'!HP11:HR11,"B"))*3)+((COUNTIF('Elève (6ème2)'!HP11:HR11,"C"))*2)+((COUNTIF('Elève (6ème2)'!HP11:HR11,"D"))*1))/(COUNTA(HP11:HR11)),"")</f>
        <v/>
      </c>
      <c r="HT11" s="187" t="str">
        <f t="shared" si="52"/>
        <v/>
      </c>
      <c r="HU11" s="120"/>
      <c r="HV11" s="121"/>
      <c r="HW11" s="122"/>
      <c r="HX11" s="188" t="str">
        <f>IFERROR((((COUNTIF('Elève (6ème2)'!HU11:HW11,"A"))*4)+((COUNTIF('Elève (6ème2)'!HU11:HW11,"B"))*3)+((COUNTIF('Elève (6ème2)'!HU11:HW11,"C"))*2)+((COUNTIF('Elève (6ème2)'!HU11:HW11,"D"))*1))/(COUNTA(HU11:HW11)),"")</f>
        <v/>
      </c>
      <c r="HY11" s="187" t="str">
        <f t="shared" si="53"/>
        <v/>
      </c>
      <c r="HZ11" s="120"/>
      <c r="IA11" s="121"/>
      <c r="IB11" s="122" t="s">
        <v>24</v>
      </c>
      <c r="IC11" s="188">
        <f>IFERROR((((COUNTIF('Elève (6ème2)'!HZ11:IB11,"A"))*4)+((COUNTIF('Elève (6ème2)'!HZ11:IB11,"B"))*3)+((COUNTIF('Elève (6ème2)'!HZ11:IB11,"C"))*2)+((COUNTIF('Elève (6ème2)'!HZ11:IB11,"D"))*1))/(COUNTA(HZ11:IB11)),"")</f>
        <v>3</v>
      </c>
      <c r="ID11" s="187" t="str">
        <f t="shared" si="54"/>
        <v>B</v>
      </c>
      <c r="IE11" s="188">
        <f>IF(COUNT(HS11,HX11,IC11)=0,"",SUM(HS11,HX11,IC11)/COUNT(HS11,HX11,IC11))</f>
        <v>3</v>
      </c>
      <c r="IF11" s="210" t="str">
        <f t="shared" si="55"/>
        <v>B</v>
      </c>
      <c r="IG11" s="125"/>
      <c r="IH11" s="121"/>
      <c r="II11" s="122"/>
      <c r="IJ11" s="188" t="str">
        <f>IFERROR((((COUNTIF('Elève (6ème2)'!IG11:II11,"A"))*4)+((COUNTIF('Elève (6ème2)'!IG11:II11,"B"))*3)+((COUNTIF('Elève (6ème2)'!IG11:II11,"C"))*2)+((COUNTIF('Elève (6ème2)'!IG11:II11,"D"))*1))/(COUNTA(IG11:II11)),"")</f>
        <v/>
      </c>
      <c r="IK11" s="187" t="str">
        <f t="shared" si="56"/>
        <v/>
      </c>
      <c r="IL11" s="120"/>
      <c r="IM11" s="121"/>
      <c r="IN11" s="122"/>
      <c r="IO11" s="188" t="str">
        <f>IFERROR((((COUNTIF('Elève (6ème2)'!IL11:IN11,"A"))*4)+((COUNTIF('Elève (6ème2)'!IL11:IN11,"B"))*3)+((COUNTIF('Elève (6ème2)'!IL11:IN11,"C"))*2)+((COUNTIF('Elève (6ème2)'!IL11:IN11,"D"))*1))/(COUNTA(IL11:IN11)),"")</f>
        <v/>
      </c>
      <c r="IP11" s="187" t="str">
        <f t="shared" si="57"/>
        <v/>
      </c>
      <c r="IQ11" s="120"/>
      <c r="IR11" s="121"/>
      <c r="IS11" s="122"/>
      <c r="IT11" s="188" t="str">
        <f>IFERROR((((COUNTIF('Elève (6ème2)'!IQ11:IS11,"A"))*4)+((COUNTIF('Elève (6ème2)'!IQ11:IS11,"B"))*3)+((COUNTIF('Elève (6ème2)'!IQ11:IS11,"C"))*2)+((COUNTIF('Elève (6ème2)'!IQ11:IS11,"D"))*1))/(COUNTA(IQ11:IS11)),"")</f>
        <v/>
      </c>
      <c r="IU11" s="187" t="str">
        <f t="shared" si="58"/>
        <v/>
      </c>
      <c r="IV11" s="188" t="str">
        <f>IF(COUNT(IJ11,IO11,IT11)=0,"",SUM(IJ11,IO11,IT11)/COUNT(IJ11,IO11,IT11))</f>
        <v/>
      </c>
      <c r="IW11" s="210" t="str">
        <f t="shared" si="59"/>
        <v/>
      </c>
      <c r="IX11" s="125"/>
      <c r="IY11" s="121"/>
      <c r="IZ11" s="122"/>
      <c r="JA11" s="188" t="str">
        <f>IFERROR((((COUNTIF('Elève (6ème2)'!IX11:IZ11,"A"))*4)+((COUNTIF('Elève (6ème2)'!IX11:IZ11,"B"))*3)+((COUNTIF('Elève (6ème2)'!IX11:IZ11,"C"))*2)+((COUNTIF('Elève (6ème2)'!IX11:IZ11,"D"))*1))/(COUNTA(IX11:IZ11)),"")</f>
        <v/>
      </c>
      <c r="JB11" s="187" t="str">
        <f t="shared" si="60"/>
        <v/>
      </c>
      <c r="JC11" s="120"/>
      <c r="JD11" s="121"/>
      <c r="JE11" s="122"/>
      <c r="JF11" s="188" t="str">
        <f>IFERROR((((COUNTIF('Elève (6ème2)'!JC11:JE11,"A"))*4)+((COUNTIF('Elève (6ème2)'!JC11:JE11,"B"))*3)+((COUNTIF('Elève (6ème2)'!JC11:JE11,"C"))*2)+((COUNTIF('Elève (6ème2)'!JC11:JE11,"D"))*1))/(COUNTA(JC11:JE11)),"")</f>
        <v/>
      </c>
      <c r="JG11" s="187" t="str">
        <f t="shared" si="61"/>
        <v/>
      </c>
      <c r="JH11" s="120"/>
      <c r="JI11" s="121"/>
      <c r="JJ11" s="122" t="s">
        <v>24</v>
      </c>
      <c r="JK11" s="188">
        <f>IFERROR((((COUNTIF('Elève (6ème2)'!JH11:JJ11,"A"))*4)+((COUNTIF('Elève (6ème2)'!JH11:JJ11,"B"))*3)+((COUNTIF('Elève (6ème2)'!JH11:JJ11,"C"))*2)+((COUNTIF('Elève (6ème2)'!JH11:JJ11,"D"))*1))/(COUNTA(JH11:JJ11)),"")</f>
        <v>3</v>
      </c>
      <c r="JL11" s="187" t="str">
        <f t="shared" si="62"/>
        <v>B</v>
      </c>
      <c r="JM11" s="188">
        <f>IF(COUNT(JA11,JF11,JK11)=0,"",SUM(JA11,JF11,JK11)/COUNT(JA11,JF11,JK11))</f>
        <v>3</v>
      </c>
      <c r="JN11" s="210" t="str">
        <f t="shared" si="63"/>
        <v>B</v>
      </c>
      <c r="JO11" s="125"/>
      <c r="JP11" s="121"/>
      <c r="JQ11" s="122"/>
      <c r="JR11" s="188" t="str">
        <f>IFERROR((((COUNTIF('Elève (6ème2)'!JO11:JQ11,"A"))*4)+((COUNTIF('Elève (6ème2)'!JO11:JQ11,"B"))*3)+((COUNTIF('Elève (6ème2)'!JO11:JQ11,"C"))*2)+((COUNTIF('Elève (6ème2)'!JO11:JQ11,"D"))*1))/(COUNTA(JO11:JQ11)),"")</f>
        <v/>
      </c>
      <c r="JS11" s="187" t="str">
        <f t="shared" si="64"/>
        <v/>
      </c>
      <c r="JT11" s="120"/>
      <c r="JU11" s="121"/>
      <c r="JV11" s="122"/>
      <c r="JW11" s="188" t="str">
        <f>IFERROR((((COUNTIF('Elève (6ème2)'!JT11:JV11,"A"))*4)+((COUNTIF('Elève (6ème2)'!JT11:JV11,"B"))*3)+((COUNTIF('Elève (6ème2)'!JT11:JV11,"C"))*2)+((COUNTIF('Elève (6ème2)'!JT11:JV11,"D"))*1))/(COUNTA(JT11:JV11)),"")</f>
        <v/>
      </c>
      <c r="JX11" s="187" t="str">
        <f t="shared" si="65"/>
        <v/>
      </c>
      <c r="JY11" s="120"/>
      <c r="JZ11" s="121"/>
      <c r="KA11" s="122" t="s">
        <v>25</v>
      </c>
      <c r="KB11" s="188">
        <f>IFERROR((((COUNTIF('Elève (6ème2)'!JY11:KA11,"A"))*4)+((COUNTIF('Elève (6ème2)'!JY11:KA11,"B"))*3)+((COUNTIF('Elève (6ème2)'!JY11:KA11,"C"))*2)+((COUNTIF('Elève (6ème2)'!JY11:KA11,"D"))*1))/(COUNTA(JY11:KA11)),"")</f>
        <v>2</v>
      </c>
      <c r="KC11" s="187" t="str">
        <f t="shared" si="66"/>
        <v>C</v>
      </c>
      <c r="KD11" s="188">
        <f>IF(COUNT(JR11,JW11,KB11)=0,"",SUM(JR11,JW11,KB11)/COUNT(JR11,JW11,KB11))</f>
        <v>2</v>
      </c>
      <c r="KE11" s="210" t="str">
        <f t="shared" si="67"/>
        <v>C</v>
      </c>
      <c r="KF11" s="125"/>
      <c r="KG11" s="121"/>
      <c r="KH11" s="122"/>
      <c r="KI11" s="188" t="str">
        <f>IFERROR((((COUNTIF('Elève (6ème2)'!KF11:KH11,"A"))*4)+((COUNTIF('Elève (6ème2)'!KF11:KH11,"B"))*3)+((COUNTIF('Elève (6ème2)'!KF11:KH11,"C"))*2)+((COUNTIF('Elève (6ème2)'!KF11:KH11,"D"))*1))/(COUNTA(KF11:KH11)),"")</f>
        <v/>
      </c>
      <c r="KJ11" s="187" t="str">
        <f t="shared" si="68"/>
        <v/>
      </c>
      <c r="KK11" s="120"/>
      <c r="KL11" s="121"/>
      <c r="KM11" s="122"/>
      <c r="KN11" s="188" t="str">
        <f>IFERROR((((COUNTIF('Elève (6ème2)'!KK11:KM11,"A"))*4)+((COUNTIF('Elève (6ème2)'!KK11:KM11,"B"))*3)+((COUNTIF('Elève (6ème2)'!KK11:KM11,"C"))*2)+((COUNTIF('Elève (6ème2)'!KK11:KM11,"D"))*1))/(COUNTA(KK11:KM11)),"")</f>
        <v/>
      </c>
      <c r="KO11" s="187" t="str">
        <f t="shared" si="69"/>
        <v/>
      </c>
      <c r="KP11" s="120"/>
      <c r="KQ11" s="121"/>
      <c r="KR11" s="122" t="s">
        <v>23</v>
      </c>
      <c r="KS11" s="188">
        <f>IFERROR((((COUNTIF('Elève (6ème2)'!KP11:KR11,"A"))*4)+((COUNTIF('Elève (6ème2)'!KP11:KR11,"B"))*3)+((COUNTIF('Elève (6ème2)'!KP11:KR11,"C"))*2)+((COUNTIF('Elève (6ème2)'!KP11:KR11,"D"))*1))/(COUNTA(KP11:KR11)),"")</f>
        <v>4</v>
      </c>
      <c r="KT11" s="187" t="str">
        <f t="shared" si="70"/>
        <v>A</v>
      </c>
      <c r="KU11" s="188">
        <f>IF(COUNT(KI11,KN11,KS11)=0,"",SUM(KI11,KN11,KS11)/COUNT(KI11,KN11,KS11))</f>
        <v>4</v>
      </c>
      <c r="KV11" s="210" t="str">
        <f t="shared" si="71"/>
        <v>A</v>
      </c>
      <c r="KW11" s="125"/>
      <c r="KX11" s="121"/>
      <c r="KY11" s="122"/>
      <c r="KZ11" s="188" t="str">
        <f>IFERROR((((COUNTIF('Elève (6ème2)'!KW11:KY11,"A"))*4)+((COUNTIF('Elève (6ème2)'!KW11:KY11,"B"))*3)+((COUNTIF('Elève (6ème2)'!KW11:KY11,"C"))*2)+((COUNTIF('Elève (6ème2)'!KW11:KY11,"D"))*1))/(COUNTA(KW11:KY11)),"")</f>
        <v/>
      </c>
      <c r="LA11" s="187" t="str">
        <f t="shared" si="72"/>
        <v/>
      </c>
      <c r="LB11" s="120"/>
      <c r="LC11" s="121"/>
      <c r="LD11" s="122"/>
      <c r="LE11" s="188" t="str">
        <f>IFERROR((((COUNTIF('Elève (6ème2)'!LB11:LD11,"A"))*4)+((COUNTIF('Elève (6ème2)'!LB11:LD11,"B"))*3)+((COUNTIF('Elève (6ème2)'!LB11:LD11,"C"))*2)+((COUNTIF('Elève (6ème2)'!LB11:LD11,"D"))*1))/(COUNTA(LB11:LD11)),"")</f>
        <v/>
      </c>
      <c r="LF11" s="187" t="str">
        <f t="shared" si="73"/>
        <v/>
      </c>
      <c r="LG11" s="120"/>
      <c r="LH11" s="121"/>
      <c r="LI11" s="122" t="s">
        <v>24</v>
      </c>
      <c r="LJ11" s="188">
        <f>IFERROR((((COUNTIF('Elève (6ème2)'!LG11:LI11,"A"))*4)+((COUNTIF('Elève (6ème2)'!LG11:LI11,"B"))*3)+((COUNTIF('Elève (6ème2)'!LG11:LI11,"C"))*2)+((COUNTIF('Elève (6ème2)'!LG11:LI11,"D"))*1))/(COUNTA(LG11:LI11)),"")</f>
        <v>3</v>
      </c>
      <c r="LK11" s="187" t="str">
        <f t="shared" si="74"/>
        <v>B</v>
      </c>
      <c r="LL11" s="188">
        <f>IF(COUNT(KZ11,LE11,LJ11)=0,"",SUM(KZ11,LE11,LJ11)/COUNT(KZ11,LE11,LJ11))</f>
        <v>3</v>
      </c>
      <c r="LM11" s="210" t="str">
        <f t="shared" si="75"/>
        <v>B</v>
      </c>
      <c r="LN11" s="125"/>
      <c r="LO11" s="121"/>
      <c r="LP11" s="122"/>
      <c r="LQ11" s="188" t="str">
        <f>IFERROR((((COUNTIF('Elève (6ème2)'!LN11:LP11,"A"))*4)+((COUNTIF('Elève (6ème2)'!LN11:LP11,"B"))*3)+((COUNTIF('Elève (6ème2)'!LN11:LP11,"C"))*2)+((COUNTIF('Elève (6ème2)'!LN11:LP11,"D"))*1))/(COUNTA(LN11:LP11)),"")</f>
        <v/>
      </c>
      <c r="LR11" s="187" t="str">
        <f t="shared" si="76"/>
        <v/>
      </c>
      <c r="LS11" s="120"/>
      <c r="LT11" s="121"/>
      <c r="LU11" s="122"/>
      <c r="LV11" s="188" t="str">
        <f>IFERROR((((COUNTIF('Elève (6ème2)'!LS11:LU11,"A"))*4)+((COUNTIF('Elève (6ème2)'!LS11:LU11,"B"))*3)+((COUNTIF('Elève (6ème2)'!LS11:LU11,"C"))*2)+((COUNTIF('Elève (6ème2)'!LS11:LU11,"D"))*1))/(COUNTA(LS11:LU11)),"")</f>
        <v/>
      </c>
      <c r="LW11" s="187" t="str">
        <f t="shared" si="77"/>
        <v/>
      </c>
      <c r="LX11" s="120"/>
      <c r="LY11" s="121"/>
      <c r="LZ11" s="122"/>
      <c r="MA11" s="188" t="str">
        <f>IFERROR((((COUNTIF('Elève (6ème2)'!LX11:LZ11,"A"))*4)+((COUNTIF('Elève (6ème2)'!LX11:LZ11,"B"))*3)+((COUNTIF('Elève (6ème2)'!LX11:LZ11,"C"))*2)+((COUNTIF('Elève (6ème2)'!LX11:LZ11,"D"))*1))/(COUNTA(LX11:LZ11)),"")</f>
        <v/>
      </c>
      <c r="MB11" s="187" t="str">
        <f t="shared" si="78"/>
        <v/>
      </c>
      <c r="MC11" s="188" t="str">
        <f>IF(COUNT(LQ11,LV11,MA11)=0,"",SUM(LQ11,LV11,MA11)/COUNT(LQ11,LV11,MA11))</f>
        <v/>
      </c>
      <c r="MD11" s="210" t="str">
        <f t="shared" si="79"/>
        <v/>
      </c>
      <c r="ME11" s="125"/>
      <c r="MF11" s="121"/>
      <c r="MG11" s="122"/>
      <c r="MH11" s="188" t="str">
        <f>IFERROR((((COUNTIF('Elève (6ème2)'!ME11:MG11,"A"))*4)+((COUNTIF('Elève (6ème2)'!ME11:MG11,"B"))*3)+((COUNTIF('Elève (6ème2)'!ME11:MG11,"C"))*2)+((COUNTIF('Elève (6ème2)'!ME11:MG11,"D"))*1))/(COUNTA(ME11:MG11)),"")</f>
        <v/>
      </c>
      <c r="MI11" s="187" t="str">
        <f t="shared" si="80"/>
        <v/>
      </c>
      <c r="MJ11" s="120"/>
      <c r="MK11" s="121"/>
      <c r="ML11" s="122"/>
      <c r="MM11" s="188" t="str">
        <f>IFERROR((((COUNTIF('Elève (6ème2)'!MJ11:ML11,"A"))*4)+((COUNTIF('Elève (6ème2)'!MJ11:ML11,"B"))*3)+((COUNTIF('Elève (6ème2)'!MJ11:ML11,"C"))*2)+((COUNTIF('Elève (6ème2)'!MJ11:ML11,"D"))*1))/(COUNTA(MJ11:ML11)),"")</f>
        <v/>
      </c>
      <c r="MN11" s="187" t="str">
        <f t="shared" si="81"/>
        <v/>
      </c>
      <c r="MO11" s="120"/>
      <c r="MP11" s="121"/>
      <c r="MQ11" s="122" t="s">
        <v>24</v>
      </c>
      <c r="MR11" s="188">
        <f>IFERROR((((COUNTIF('Elève (6ème2)'!MO11:MQ11,"A"))*4)+((COUNTIF('Elève (6ème2)'!MO11:MQ11,"B"))*3)+((COUNTIF('Elève (6ème2)'!MO11:MQ11,"C"))*2)+((COUNTIF('Elève (6ème2)'!MO11:MQ11,"D"))*1))/(COUNTA(MO11:MQ11)),"")</f>
        <v>3</v>
      </c>
      <c r="MS11" s="187" t="str">
        <f t="shared" si="82"/>
        <v>B</v>
      </c>
      <c r="MT11" s="188">
        <f>IF(COUNT(MH11,MM11,MR11)=0,"",SUM(MH11,MM11,MR11)/COUNT(MH11,MM11,MR11))</f>
        <v>3</v>
      </c>
      <c r="MU11" s="210" t="str">
        <f t="shared" si="83"/>
        <v>B</v>
      </c>
      <c r="MV11" s="125"/>
      <c r="MW11" s="121"/>
      <c r="MX11" s="122"/>
      <c r="MY11" s="188" t="str">
        <f>IFERROR((((COUNTIF('Elève (6ème2)'!MV11:MX11,"A"))*4)+((COUNTIF('Elève (6ème2)'!MV11:MX11,"B"))*3)+((COUNTIF('Elève (6ème2)'!MV11:MX11,"C"))*2)+((COUNTIF('Elève (6ème2)'!MV11:MX11,"D"))*1))/(COUNTA(MV11:MX11)),"")</f>
        <v/>
      </c>
      <c r="MZ11" s="187" t="str">
        <f t="shared" si="84"/>
        <v/>
      </c>
      <c r="NA11" s="120"/>
      <c r="NB11" s="121"/>
      <c r="NC11" s="122"/>
      <c r="ND11" s="188" t="str">
        <f>IFERROR((((COUNTIF('Elève (6ème2)'!NA11:NC11,"A"))*4)+((COUNTIF('Elève (6ème2)'!NA11:NC11,"B"))*3)+((COUNTIF('Elève (6ème2)'!NA11:NC11,"C"))*2)+((COUNTIF('Elève (6ème2)'!NA11:NC11,"D"))*1))/(COUNTA(NA11:NC11)),"")</f>
        <v/>
      </c>
      <c r="NE11" s="187" t="str">
        <f t="shared" si="85"/>
        <v/>
      </c>
      <c r="NF11" s="120"/>
      <c r="NG11" s="121"/>
      <c r="NH11" s="122" t="s">
        <v>23</v>
      </c>
      <c r="NI11" s="188">
        <f>IFERROR((((COUNTIF('Elève (6ème2)'!NF11:NH11,"A"))*4)+((COUNTIF('Elève (6ème2)'!NF11:NH11,"B"))*3)+((COUNTIF('Elève (6ème2)'!NF11:NH11,"C"))*2)+((COUNTIF('Elève (6ème2)'!NF11:NH11,"D"))*1))/(COUNTA(NF11:NH11)),"")</f>
        <v>4</v>
      </c>
      <c r="NJ11" s="187" t="str">
        <f t="shared" si="86"/>
        <v>A</v>
      </c>
      <c r="NK11" s="188">
        <f>IF(COUNT(MY11,ND11,NI11)=0,"",SUM(MY11,ND11,NI11)/COUNT(MY11,ND11,NI11))</f>
        <v>4</v>
      </c>
      <c r="NL11" s="210" t="str">
        <f t="shared" si="87"/>
        <v>A</v>
      </c>
      <c r="NM11" s="125"/>
      <c r="NN11" s="121"/>
      <c r="NO11" s="122"/>
      <c r="NP11" s="188" t="str">
        <f>IFERROR((((COUNTIF('Elève (6ème2)'!NM11:NO11,"A"))*4)+((COUNTIF('Elève (6ème2)'!NM11:NO11,"B"))*3)+((COUNTIF('Elève (6ème2)'!NM11:NO11,"C"))*2)+((COUNTIF('Elève (6ème2)'!NM11:NO11,"D"))*1))/(COUNTA(NM11:NO11)),"")</f>
        <v/>
      </c>
      <c r="NQ11" s="187" t="str">
        <f t="shared" si="88"/>
        <v/>
      </c>
      <c r="NR11" s="120"/>
      <c r="NS11" s="121"/>
      <c r="NT11" s="122"/>
      <c r="NU11" s="188" t="str">
        <f>IFERROR((((COUNTIF('Elève (6ème2)'!NR11:NT11,"A"))*4)+((COUNTIF('Elève (6ème2)'!NR11:NT11,"B"))*3)+((COUNTIF('Elève (6ème2)'!NR11:NT11,"C"))*2)+((COUNTIF('Elève (6ème2)'!NR11:NT11,"D"))*1))/(COUNTA(NR11:NT11)),"")</f>
        <v/>
      </c>
      <c r="NV11" s="187" t="str">
        <f t="shared" si="89"/>
        <v/>
      </c>
      <c r="NW11" s="120"/>
      <c r="NX11" s="121"/>
      <c r="NY11" s="122" t="s">
        <v>23</v>
      </c>
      <c r="NZ11" s="188">
        <f>IFERROR((((COUNTIF('Elève (6ème2)'!NW11:NY11,"A"))*4)+((COUNTIF('Elève (6ème2)'!NW11:NY11,"B"))*3)+((COUNTIF('Elève (6ème2)'!NW11:NY11,"C"))*2)+((COUNTIF('Elève (6ème2)'!NW11:NY11,"D"))*1))/(COUNTA(NW11:NY11)),"")</f>
        <v>4</v>
      </c>
      <c r="OA11" s="187" t="str">
        <f t="shared" si="90"/>
        <v>A</v>
      </c>
      <c r="OB11" s="188">
        <f>IF(COUNT(NP11,NU11,NZ11)=0,"",SUM(NP11,NU11,NZ11)/COUNT(NP11,NU11,NZ11))</f>
        <v>4</v>
      </c>
      <c r="OC11" s="210" t="str">
        <f t="shared" si="91"/>
        <v>A</v>
      </c>
      <c r="OD11" s="125"/>
      <c r="OE11" s="121"/>
      <c r="OF11" s="122"/>
      <c r="OG11" s="188" t="str">
        <f>IFERROR((((COUNTIF('Elève (6ème2)'!OD11:OF11,"A"))*4)+((COUNTIF('Elève (6ème2)'!OD11:OF11,"B"))*3)+((COUNTIF('Elève (6ème2)'!OD11:OF11,"C"))*2)+((COUNTIF('Elève (6ème2)'!OD11:OF11,"D"))*1))/(COUNTA(OD11:OF11)),"")</f>
        <v/>
      </c>
      <c r="OH11" s="187" t="str">
        <f t="shared" si="92"/>
        <v/>
      </c>
      <c r="OI11" s="120"/>
      <c r="OJ11" s="121"/>
      <c r="OK11" s="122"/>
      <c r="OL11" s="188" t="str">
        <f>IFERROR((((COUNTIF('Elève (6ème2)'!OI11:OK11,"A"))*4)+((COUNTIF('Elève (6ème2)'!OI11:OK11,"B"))*3)+((COUNTIF('Elève (6ème2)'!OI11:OK11,"C"))*2)+((COUNTIF('Elève (6ème2)'!OI11:OK11,"D"))*1))/(COUNTA(OI11:OK11)),"")</f>
        <v/>
      </c>
      <c r="OM11" s="187" t="str">
        <f t="shared" si="93"/>
        <v/>
      </c>
      <c r="ON11" s="120"/>
      <c r="OO11" s="121"/>
      <c r="OP11" s="122"/>
      <c r="OQ11" s="188" t="str">
        <f>IFERROR((((COUNTIF('Elève (6ème2)'!ON11:OP11,"A"))*4)+((COUNTIF('Elève (6ème2)'!ON11:OP11,"B"))*3)+((COUNTIF('Elève (6ème2)'!ON11:OP11,"C"))*2)+((COUNTIF('Elève (6ème2)'!ON11:OP11,"D"))*1))/(COUNTA(ON11:OP11)),"")</f>
        <v/>
      </c>
      <c r="OR11" s="187" t="str">
        <f t="shared" si="94"/>
        <v/>
      </c>
      <c r="OS11" s="188" t="str">
        <f>IF(COUNT(OG11,OL11,OQ11)=0,"",SUM(OG11,OL11,OQ11)/COUNT(OG11,OL11,OQ11))</f>
        <v/>
      </c>
      <c r="OT11" s="210" t="str">
        <f t="shared" si="95"/>
        <v/>
      </c>
      <c r="OU11" s="125"/>
      <c r="OV11" s="121"/>
      <c r="OW11" s="122"/>
      <c r="OX11" s="188" t="str">
        <f>IFERROR((((COUNTIF('Elève (6ème2)'!OU11:OW11,"A"))*4)+((COUNTIF('Elève (6ème2)'!OU11:OW11,"B"))*3)+((COUNTIF('Elève (6ème2)'!OU11:OW11,"C"))*2)+((COUNTIF('Elève (6ème2)'!OU11:OW11,"D"))*1))/(COUNTA(OU11:OW11)),"")</f>
        <v/>
      </c>
      <c r="OY11" s="187" t="str">
        <f t="shared" si="96"/>
        <v/>
      </c>
      <c r="OZ11" s="120"/>
      <c r="PA11" s="121"/>
      <c r="PB11" s="122"/>
      <c r="PC11" s="188" t="str">
        <f>IFERROR((((COUNTIF('Elève (6ème2)'!OZ11:PB11,"A"))*4)+((COUNTIF('Elève (6ème2)'!OZ11:PB11,"B"))*3)+((COUNTIF('Elève (6ème2)'!OZ11:PB11,"C"))*2)+((COUNTIF('Elève (6ème2)'!OZ11:PB11,"D"))*1))/(COUNTA(OZ11:PB11)),"")</f>
        <v/>
      </c>
      <c r="PD11" s="187" t="str">
        <f t="shared" si="97"/>
        <v/>
      </c>
      <c r="PE11" s="120"/>
      <c r="PF11" s="121"/>
      <c r="PG11" s="122" t="s">
        <v>24</v>
      </c>
      <c r="PH11" s="188">
        <f>IFERROR((((COUNTIF('Elève (6ème2)'!PE11:PG11,"A"))*4)+((COUNTIF('Elève (6ème2)'!PE11:PG11,"B"))*3)+((COUNTIF('Elève (6ème2)'!PE11:PG11,"C"))*2)+((COUNTIF('Elève (6ème2)'!PE11:PG11,"D"))*1))/(COUNTA(PE11:PG11)),"")</f>
        <v>3</v>
      </c>
      <c r="PI11" s="187" t="str">
        <f t="shared" si="98"/>
        <v>B</v>
      </c>
      <c r="PJ11" s="188">
        <f>IF(COUNT(OX11,PC11,PH11)=0,"",SUM(OX11,PC11,PH11)/COUNT(OX11,PC11,PH11))</f>
        <v>3</v>
      </c>
      <c r="PK11" s="210" t="str">
        <f t="shared" si="99"/>
        <v>B</v>
      </c>
      <c r="PL11" s="125"/>
      <c r="PM11" s="121"/>
      <c r="PN11" s="122"/>
      <c r="PO11" s="188" t="str">
        <f>IFERROR((((COUNTIF('Elève (6ème2)'!PL11:PN11,"A"))*4)+((COUNTIF('Elève (6ème2)'!PL11:PN11,"B"))*3)+((COUNTIF('Elève (6ème2)'!PL11:PN11,"C"))*2)+((COUNTIF('Elève (6ème2)'!PL11:PN11,"D"))*1))/(COUNTA(PL11:PN11)),"")</f>
        <v/>
      </c>
      <c r="PP11" s="187" t="str">
        <f t="shared" si="100"/>
        <v/>
      </c>
      <c r="PQ11" s="120"/>
      <c r="PR11" s="121"/>
      <c r="PS11" s="122"/>
      <c r="PT11" s="188" t="str">
        <f>IFERROR((((COUNTIF('Elève (6ème2)'!PQ11:PS11,"A"))*4)+((COUNTIF('Elève (6ème2)'!PQ11:PS11,"B"))*3)+((COUNTIF('Elève (6ème2)'!PQ11:PS11,"C"))*2)+((COUNTIF('Elève (6ème2)'!PQ11:PS11,"D"))*1))/(COUNTA(PQ11:PS11)),"")</f>
        <v/>
      </c>
      <c r="PU11" s="187" t="str">
        <f t="shared" si="101"/>
        <v/>
      </c>
      <c r="PV11" s="120"/>
      <c r="PW11" s="121"/>
      <c r="PX11" s="122" t="s">
        <v>24</v>
      </c>
      <c r="PY11" s="188">
        <f>IFERROR((((COUNTIF('Elève (6ème2)'!PV11:PX11,"A"))*4)+((COUNTIF('Elève (6ème2)'!PV11:PX11,"B"))*3)+((COUNTIF('Elève (6ème2)'!PV11:PX11,"C"))*2)+((COUNTIF('Elève (6ème2)'!PV11:PX11,"D"))*1))/(COUNTA(PV11:PX11)),"")</f>
        <v>3</v>
      </c>
      <c r="PZ11" s="187" t="str">
        <f t="shared" si="102"/>
        <v>B</v>
      </c>
      <c r="QA11" s="188">
        <f>IF(COUNT(PO11,PT11,PY11)=0,"",SUM(PO11,PT11,PY11)/COUNT(PO11,PT11,PY11))</f>
        <v>3</v>
      </c>
      <c r="QB11" s="210" t="str">
        <f t="shared" si="103"/>
        <v>B</v>
      </c>
      <c r="QC11" s="125"/>
      <c r="QD11" s="121"/>
      <c r="QE11" s="122"/>
      <c r="QF11" s="188" t="str">
        <f>IFERROR((((COUNTIF('Elève (6ème2)'!QC11:QE11,"A"))*4)+((COUNTIF('Elève (6ème2)'!QC11:QE11,"B"))*3)+((COUNTIF('Elève (6ème2)'!QC11:QE11,"C"))*2)+((COUNTIF('Elève (6ème2)'!QC11:QE11,"D"))*1))/(COUNTA(QC11:QE11)),"")</f>
        <v/>
      </c>
      <c r="QG11" s="187" t="str">
        <f t="shared" si="104"/>
        <v/>
      </c>
      <c r="QH11" s="120"/>
      <c r="QI11" s="121"/>
      <c r="QJ11" s="122"/>
      <c r="QK11" s="188" t="str">
        <f>IFERROR((((COUNTIF('Elève (6ème2)'!QH11:QJ11,"A"))*4)+((COUNTIF('Elève (6ème2)'!QH11:QJ11,"B"))*3)+((COUNTIF('Elève (6ème2)'!QH11:QJ11,"C"))*2)+((COUNTIF('Elève (6ème2)'!QH11:QJ11,"D"))*1))/(COUNTA(QH11:QJ11)),"")</f>
        <v/>
      </c>
      <c r="QL11" s="187" t="str">
        <f t="shared" si="105"/>
        <v/>
      </c>
      <c r="QM11" s="120"/>
      <c r="QN11" s="121"/>
      <c r="QO11" s="122" t="s">
        <v>25</v>
      </c>
      <c r="QP11" s="188">
        <f>IFERROR((((COUNTIF('Elève (6ème2)'!QM11:QO11,"A"))*4)+((COUNTIF('Elève (6ème2)'!QM11:QO11,"B"))*3)+((COUNTIF('Elève (6ème2)'!QM11:QO11,"C"))*2)+((COUNTIF('Elève (6ème2)'!QM11:QO11,"D"))*1))/(COUNTA(QM11:QO11)),"")</f>
        <v>2</v>
      </c>
      <c r="QQ11" s="187" t="str">
        <f t="shared" si="106"/>
        <v>C</v>
      </c>
      <c r="QR11" s="188">
        <f>IF(COUNT(QF11,QK11,QP11)=0,"",SUM(QF11,QK11,QP11)/COUNT(QF11,QK11,QP11))</f>
        <v>2</v>
      </c>
      <c r="QS11" s="210" t="str">
        <f t="shared" si="107"/>
        <v>C</v>
      </c>
      <c r="QT11" s="125"/>
      <c r="QU11" s="121"/>
      <c r="QV11" s="122"/>
      <c r="QW11" s="188" t="str">
        <f>IFERROR((((COUNTIF('Elève (6ème2)'!QT11:QV11,"A"))*4)+((COUNTIF('Elève (6ème2)'!QT11:QV11,"B"))*3)+((COUNTIF('Elève (6ème2)'!QT11:QV11,"C"))*2)+((COUNTIF('Elève (6ème2)'!QT11:QV11,"D"))*1))/(COUNTA(QT11:QV11)),"")</f>
        <v/>
      </c>
      <c r="QX11" s="187" t="str">
        <f t="shared" si="108"/>
        <v/>
      </c>
      <c r="QY11" s="120"/>
      <c r="QZ11" s="121"/>
      <c r="RA11" s="122"/>
      <c r="RB11" s="188" t="str">
        <f>IFERROR((((COUNTIF('Elève (6ème2)'!QY11:RA11,"A"))*4)+((COUNTIF('Elève (6ème2)'!QY11:RA11,"B"))*3)+((COUNTIF('Elève (6ème2)'!QY11:RA11,"C"))*2)+((COUNTIF('Elève (6ème2)'!QY11:RA11,"D"))*1))/(COUNTA(QY11:RA11)),"")</f>
        <v/>
      </c>
      <c r="RC11" s="187" t="str">
        <f t="shared" si="109"/>
        <v/>
      </c>
      <c r="RD11" s="120"/>
      <c r="RE11" s="121"/>
      <c r="RF11" s="122"/>
      <c r="RG11" s="188" t="str">
        <f>IFERROR((((COUNTIF('Elève (6ème2)'!RD11:RF11,"A"))*4)+((COUNTIF('Elève (6ème2)'!RD11:RF11,"B"))*3)+((COUNTIF('Elève (6ème2)'!RD11:RF11,"C"))*2)+((COUNTIF('Elève (6ème2)'!RD11:RF11,"D"))*1))/(COUNTA(RD11:RF11)),"")</f>
        <v/>
      </c>
      <c r="RH11" s="187" t="str">
        <f t="shared" si="110"/>
        <v/>
      </c>
      <c r="RI11" s="188" t="str">
        <f>IF(COUNT(QW11,RB11,RG11)=0,"",SUM(QW11,RB11,RG11)/COUNT(QW11,RB11,RG11))</f>
        <v/>
      </c>
      <c r="RJ11" s="210" t="str">
        <f t="shared" si="111"/>
        <v/>
      </c>
      <c r="RK11" s="125"/>
      <c r="RL11" s="121"/>
      <c r="RM11" s="122"/>
      <c r="RN11" s="188" t="str">
        <f>IFERROR((((COUNTIF('Elève (6ème2)'!RK11:RM11,"A"))*4)+((COUNTIF('Elève (6ème2)'!RK11:RM11,"B"))*3)+((COUNTIF('Elève (6ème2)'!RK11:RM11,"C"))*2)+((COUNTIF('Elève (6ème2)'!RK11:RM11,"D"))*1))/(COUNTA(RK11:RM11)),"")</f>
        <v/>
      </c>
      <c r="RO11" s="187" t="str">
        <f t="shared" si="112"/>
        <v/>
      </c>
      <c r="RP11" s="120"/>
      <c r="RQ11" s="121"/>
      <c r="RR11" s="122"/>
      <c r="RS11" s="188" t="str">
        <f>IFERROR((((COUNTIF('Elève (6ème2)'!RP11:RR11,"A"))*4)+((COUNTIF('Elève (6ème2)'!RP11:RR11,"B"))*3)+((COUNTIF('Elève (6ème2)'!RP11:RR11,"C"))*2)+((COUNTIF('Elève (6ème2)'!RP11:RR11,"D"))*1))/(COUNTA(RP11:RR11)),"")</f>
        <v/>
      </c>
      <c r="RT11" s="187" t="str">
        <f t="shared" si="113"/>
        <v/>
      </c>
      <c r="RU11" s="120"/>
      <c r="RV11" s="121"/>
      <c r="RW11" s="122" t="s">
        <v>23</v>
      </c>
      <c r="RX11" s="188">
        <f>IFERROR((((COUNTIF('Elève (6ème2)'!RU11:RW11,"A"))*4)+((COUNTIF('Elève (6ème2)'!RU11:RW11,"B"))*3)+((COUNTIF('Elève (6ème2)'!RU11:RW11,"C"))*2)+((COUNTIF('Elève (6ème2)'!RU11:RW11,"D"))*1))/(COUNTA(RU11:RW11)),"")</f>
        <v>4</v>
      </c>
      <c r="RY11" s="187" t="str">
        <f t="shared" si="114"/>
        <v>A</v>
      </c>
      <c r="RZ11" s="188">
        <f>IF(COUNT(RN11,RS11,RX11)=0,"",SUM(RN11,RS11,RX11)/COUNT(RN11,RS11,RX11))</f>
        <v>4</v>
      </c>
      <c r="SA11" s="210" t="str">
        <f t="shared" si="115"/>
        <v>A</v>
      </c>
      <c r="SB11" s="125"/>
      <c r="SC11" s="121"/>
      <c r="SD11" s="122"/>
      <c r="SE11" s="188" t="str">
        <f>IFERROR((((COUNTIF('Elève (6ème2)'!SB11:SD11,"A"))*4)+((COUNTIF('Elève (6ème2)'!SB11:SD11,"B"))*3)+((COUNTIF('Elève (6ème2)'!SB11:SD11,"C"))*2)+((COUNTIF('Elève (6ème2)'!SB11:SD11,"D"))*1))/(COUNTA(SB11:SD11)),"")</f>
        <v/>
      </c>
      <c r="SF11" s="187" t="str">
        <f t="shared" si="116"/>
        <v/>
      </c>
      <c r="SG11" s="120"/>
      <c r="SH11" s="121"/>
      <c r="SI11" s="122"/>
      <c r="SJ11" s="188" t="str">
        <f>IFERROR((((COUNTIF('Elève (6ème2)'!SG11:SI11,"A"))*4)+((COUNTIF('Elève (6ème2)'!SG11:SI11,"B"))*3)+((COUNTIF('Elève (6ème2)'!SG11:SI11,"C"))*2)+((COUNTIF('Elève (6ème2)'!SG11:SI11,"D"))*1))/(COUNTA(SG11:SI11)),"")</f>
        <v/>
      </c>
      <c r="SK11" s="187" t="str">
        <f t="shared" si="117"/>
        <v/>
      </c>
      <c r="SL11" s="120"/>
      <c r="SM11" s="121"/>
      <c r="SN11" s="122" t="s">
        <v>24</v>
      </c>
      <c r="SO11" s="188">
        <f>IFERROR((((COUNTIF('Elève (6ème2)'!SL11:SN11,"A"))*4)+((COUNTIF('Elève (6ème2)'!SL11:SN11,"B"))*3)+((COUNTIF('Elève (6ème2)'!SL11:SN11,"C"))*2)+((COUNTIF('Elève (6ème2)'!SL11:SN11,"D"))*1))/(COUNTA(SL11:SN11)),"")</f>
        <v>3</v>
      </c>
      <c r="SP11" s="187" t="str">
        <f t="shared" si="118"/>
        <v>B</v>
      </c>
      <c r="SQ11" s="188">
        <f>IF(COUNT(SE11,SJ11,SO11)=0,"",SUM(SE11,SJ11,SO11)/COUNT(SE11,SJ11,SO11))</f>
        <v>3</v>
      </c>
      <c r="SR11" s="210" t="str">
        <f t="shared" si="119"/>
        <v>B</v>
      </c>
      <c r="SS11" s="125"/>
      <c r="ST11" s="121"/>
      <c r="SU11" s="122"/>
      <c r="SV11" s="123" t="str">
        <f>IFERROR((((COUNTIF('Elève (6ème2)'!SS11:SU11,"A"))*4)+((COUNTIF('Elève (6ème2)'!SS11:SU11,"B"))*3)+((COUNTIF('Elève (6ème2)'!SS11:SU11,"C"))*2)+((COUNTIF('Elève (6ème2)'!SS11:SU11,"D"))*1))/(COUNTA(SS11:SU11)),"")</f>
        <v/>
      </c>
      <c r="SW11" s="118" t="str">
        <f t="shared" si="120"/>
        <v/>
      </c>
      <c r="SX11" s="120"/>
      <c r="SY11" s="121"/>
      <c r="SZ11" s="122"/>
      <c r="TA11" s="123" t="str">
        <f>IFERROR((((COUNTIF('Elève (6ème2)'!SX11:SZ11,"A"))*4)+((COUNTIF('Elève (6ème2)'!SX11:SZ11,"B"))*3)+((COUNTIF('Elève (6ème2)'!SX11:SZ11,"C"))*2)+((COUNTIF('Elève (6ème2)'!SX11:SZ11,"D"))*1))/(COUNTA(SX11:SZ11)),"")</f>
        <v/>
      </c>
      <c r="TB11" s="118" t="str">
        <f t="shared" si="121"/>
        <v/>
      </c>
      <c r="TC11" s="120"/>
      <c r="TD11" s="121"/>
      <c r="TE11" s="122" t="s">
        <v>25</v>
      </c>
      <c r="TF11" s="123">
        <f>IFERROR((((COUNTIF('Elève (6ème2)'!TC11:TE11,"A"))*4)+((COUNTIF('Elève (6ème2)'!TC11:TE11,"B"))*3)+((COUNTIF('Elève (6ème2)'!TC11:TE11,"C"))*2)+((COUNTIF('Elève (6ème2)'!TC11:TE11,"D"))*1))/(COUNTA(TC11:TE11)),"")</f>
        <v>2</v>
      </c>
      <c r="TG11" s="118" t="str">
        <f t="shared" si="122"/>
        <v>C</v>
      </c>
      <c r="TH11" s="123">
        <f>IF(COUNT(SV11,TA11,TF11)=0,"",SUM(SV11,TA11,TF11)/COUNT(SV11,TA11,TF11))</f>
        <v>2</v>
      </c>
      <c r="TI11" s="124" t="str">
        <f t="shared" si="123"/>
        <v>C</v>
      </c>
      <c r="TJ11" s="125"/>
      <c r="TK11" s="121"/>
      <c r="TL11" s="122"/>
      <c r="TM11" s="123" t="str">
        <f>IFERROR((((COUNTIF('Elève (6ème2)'!TJ11:TL11,"A"))*4)+((COUNTIF('Elève (6ème2)'!TJ11:TL11,"B"))*3)+((COUNTIF('Elève (6ème2)'!TJ11:TL11,"C"))*2)+((COUNTIF('Elève (6ème2)'!TJ11:TL11,"D"))*1))/(COUNTA(TJ11:TL11)),"")</f>
        <v/>
      </c>
      <c r="TN11" s="118" t="str">
        <f t="shared" si="124"/>
        <v/>
      </c>
      <c r="TO11" s="120"/>
      <c r="TP11" s="121"/>
      <c r="TQ11" s="122"/>
      <c r="TR11" s="123" t="str">
        <f>IFERROR((((COUNTIF('Elève (6ème2)'!TO11:TQ11,"A"))*4)+((COUNTIF('Elève (6ème2)'!TO11:TQ11,"B"))*3)+((COUNTIF('Elève (6ème2)'!TO11:TQ11,"C"))*2)+((COUNTIF('Elève (6ème2)'!TO11:TQ11,"D"))*1))/(COUNTA(TO11:TQ11)),"")</f>
        <v/>
      </c>
      <c r="TS11" s="118" t="str">
        <f t="shared" si="125"/>
        <v/>
      </c>
      <c r="TT11" s="120"/>
      <c r="TU11" s="121"/>
      <c r="TV11" s="122"/>
      <c r="TW11" s="123" t="str">
        <f>IFERROR((((COUNTIF('Elève (6ème2)'!TT11:TV11,"A"))*4)+((COUNTIF('Elève (6ème2)'!TT11:TV11,"B"))*3)+((COUNTIF('Elève (6ème2)'!TT11:TV11,"C"))*2)+((COUNTIF('Elève (6ème2)'!TT11:TV11,"D"))*1))/(COUNTA(TT11:TV11)),"")</f>
        <v/>
      </c>
      <c r="TX11" s="118" t="str">
        <f t="shared" si="126"/>
        <v/>
      </c>
      <c r="TY11" s="123" t="str">
        <f>IF(COUNT(TM11,TR11,TW11)=0,"",SUM(TM11,TR11,TW11)/COUNT(TM11,TR11,TW11))</f>
        <v/>
      </c>
      <c r="TZ11" s="124" t="str">
        <f t="shared" si="127"/>
        <v/>
      </c>
    </row>
    <row r="12" spans="1:546" s="98" customFormat="1" ht="16.5" customHeight="1" thickBot="1" x14ac:dyDescent="0.3">
      <c r="A12" s="164" t="s">
        <v>15</v>
      </c>
      <c r="B12" s="164">
        <v>1</v>
      </c>
      <c r="C12" s="255"/>
      <c r="D12" s="250"/>
      <c r="E12" s="251"/>
      <c r="F12" s="181">
        <f>IF(COUNT(F13:F13)=0,"",SUM(F13:F13)/COUNT(F13:F13))</f>
        <v>2</v>
      </c>
      <c r="G12" s="182" t="str">
        <f t="shared" si="0"/>
        <v>C</v>
      </c>
      <c r="H12" s="252"/>
      <c r="I12" s="250"/>
      <c r="J12" s="251"/>
      <c r="K12" s="181">
        <f>IF(COUNT(K13,#REF!)=0,"",SUM(K13:K13)/COUNT(K13,#REF!))</f>
        <v>3</v>
      </c>
      <c r="L12" s="198" t="str">
        <f t="shared" si="1"/>
        <v>B</v>
      </c>
      <c r="M12" s="247"/>
      <c r="N12" s="245"/>
      <c r="O12" s="246"/>
      <c r="P12" s="181">
        <f>IF(COUNT(P13,#REF!)=0,"",SUM(P13:P13)/COUNT(P13,#REF!))</f>
        <v>4</v>
      </c>
      <c r="Q12" s="205" t="str">
        <f t="shared" si="2"/>
        <v>A</v>
      </c>
      <c r="R12" s="181">
        <f>IF(COUNT(R13:R13)=0,"",SUM(R13:R13)/COUNT(R13:R13))</f>
        <v>3</v>
      </c>
      <c r="S12" s="206" t="str">
        <f t="shared" si="3"/>
        <v>B</v>
      </c>
      <c r="T12" s="250"/>
      <c r="U12" s="250"/>
      <c r="V12" s="251"/>
      <c r="W12" s="181">
        <f>IF(COUNT(W13:W13)=0,"",SUM(W13:W13)/COUNT(W13:W13))</f>
        <v>1</v>
      </c>
      <c r="X12" s="182" t="str">
        <f t="shared" si="4"/>
        <v>D</v>
      </c>
      <c r="Y12" s="252"/>
      <c r="Z12" s="250"/>
      <c r="AA12" s="251"/>
      <c r="AB12" s="181">
        <f>IF(COUNT(AB13,#REF!)=0,"",SUM(AB13:AB13)/COUNT(AB13,#REF!))</f>
        <v>4</v>
      </c>
      <c r="AC12" s="198" t="str">
        <f t="shared" si="5"/>
        <v>A</v>
      </c>
      <c r="AD12" s="247"/>
      <c r="AE12" s="245"/>
      <c r="AF12" s="246"/>
      <c r="AG12" s="181">
        <f>IF(COUNT(AG13,#REF!)=0,"",SUM(AG13:AG13)/COUNT(AG13,#REF!))</f>
        <v>4</v>
      </c>
      <c r="AH12" s="205" t="str">
        <f t="shared" si="6"/>
        <v>A</v>
      </c>
      <c r="AI12" s="181">
        <f>IF(COUNT(AI13:AI13)=0,"",SUM(AI13:AI13)/COUNT(AI13:AI13))</f>
        <v>3</v>
      </c>
      <c r="AJ12" s="206" t="str">
        <f t="shared" si="7"/>
        <v>B</v>
      </c>
      <c r="AK12" s="250"/>
      <c r="AL12" s="250"/>
      <c r="AM12" s="251"/>
      <c r="AN12" s="181">
        <f>IF(COUNT(AN13:AN13)=0,"",SUM(AN13:AN13)/COUNT(AN13:AN13))</f>
        <v>2</v>
      </c>
      <c r="AO12" s="182" t="str">
        <f t="shared" si="8"/>
        <v>C</v>
      </c>
      <c r="AP12" s="252"/>
      <c r="AQ12" s="250"/>
      <c r="AR12" s="251"/>
      <c r="AS12" s="181">
        <f>IF(COUNT(AS13,#REF!)=0,"",SUM(AS13:AS13)/COUNT(AS13,#REF!))</f>
        <v>3</v>
      </c>
      <c r="AT12" s="198" t="str">
        <f t="shared" si="9"/>
        <v>B</v>
      </c>
      <c r="AU12" s="247"/>
      <c r="AV12" s="245"/>
      <c r="AW12" s="246"/>
      <c r="AX12" s="181">
        <f>IF(COUNT(AX13,#REF!)=0,"",SUM(AX13:AX13)/COUNT(AX13,#REF!))</f>
        <v>4</v>
      </c>
      <c r="AY12" s="205" t="str">
        <f t="shared" si="10"/>
        <v>A</v>
      </c>
      <c r="AZ12" s="181">
        <f>IF(COUNT(AZ13:AZ13)=0,"",SUM(AZ13:AZ13)/COUNT(AZ13:AZ13))</f>
        <v>3</v>
      </c>
      <c r="BA12" s="206" t="str">
        <f t="shared" si="11"/>
        <v>B</v>
      </c>
      <c r="BB12" s="250"/>
      <c r="BC12" s="250"/>
      <c r="BD12" s="251"/>
      <c r="BE12" s="181">
        <f>IF(COUNT(BE13:BE13)=0,"",SUM(BE13:BE13)/COUNT(BE13:BE13))</f>
        <v>2</v>
      </c>
      <c r="BF12" s="182" t="str">
        <f t="shared" si="12"/>
        <v>C</v>
      </c>
      <c r="BG12" s="252"/>
      <c r="BH12" s="250"/>
      <c r="BI12" s="251"/>
      <c r="BJ12" s="181">
        <f>IF(COUNT(BJ13,#REF!)=0,"",SUM(BJ13:BJ13)/COUNT(BJ13,#REF!))</f>
        <v>3</v>
      </c>
      <c r="BK12" s="198" t="str">
        <f t="shared" si="13"/>
        <v>B</v>
      </c>
      <c r="BL12" s="247"/>
      <c r="BM12" s="245"/>
      <c r="BN12" s="246"/>
      <c r="BO12" s="181">
        <f>IF(COUNT(BO13,#REF!)=0,"",SUM(BO13:BO13)/COUNT(BO13,#REF!))</f>
        <v>4</v>
      </c>
      <c r="BP12" s="205" t="str">
        <f t="shared" si="14"/>
        <v>A</v>
      </c>
      <c r="BQ12" s="181">
        <f>IF(COUNT(BQ13:BQ13)=0,"",SUM(BQ13:BQ13)/COUNT(BQ13:BQ13))</f>
        <v>3</v>
      </c>
      <c r="BR12" s="206" t="str">
        <f t="shared" si="15"/>
        <v>B</v>
      </c>
      <c r="BS12" s="250"/>
      <c r="BT12" s="250"/>
      <c r="BU12" s="251"/>
      <c r="BV12" s="181">
        <f>IF(COUNT(BV13:BV13)=0,"",SUM(BV13:BV13)/COUNT(BV13:BV13))</f>
        <v>3</v>
      </c>
      <c r="BW12" s="182" t="str">
        <f t="shared" si="16"/>
        <v>B</v>
      </c>
      <c r="BX12" s="252"/>
      <c r="BY12" s="250"/>
      <c r="BZ12" s="251"/>
      <c r="CA12" s="181">
        <f>IF(COUNT(CA13,#REF!)=0,"",SUM(CA13:CA13)/COUNT(CA13,#REF!))</f>
        <v>3</v>
      </c>
      <c r="CB12" s="198" t="str">
        <f t="shared" si="17"/>
        <v>B</v>
      </c>
      <c r="CC12" s="247"/>
      <c r="CD12" s="245"/>
      <c r="CE12" s="246"/>
      <c r="CF12" s="181">
        <f>IF(COUNT(CF13,#REF!)=0,"",SUM(CF13:CF13)/COUNT(CF13,#REF!))</f>
        <v>4</v>
      </c>
      <c r="CG12" s="205" t="str">
        <f t="shared" si="18"/>
        <v>A</v>
      </c>
      <c r="CH12" s="181">
        <f>IF(COUNT(CH13:CH13)=0,"",SUM(CH13:CH13)/COUNT(CH13:CH13))</f>
        <v>3.3333333333333335</v>
      </c>
      <c r="CI12" s="206" t="str">
        <f t="shared" si="19"/>
        <v>B</v>
      </c>
      <c r="CJ12" s="250"/>
      <c r="CK12" s="250"/>
      <c r="CL12" s="251"/>
      <c r="CM12" s="181">
        <f>IF(COUNT(CM13:CM13)=0,"",SUM(CM13:CM13)/COUNT(CM13:CM13))</f>
        <v>3</v>
      </c>
      <c r="CN12" s="182" t="str">
        <f t="shared" si="20"/>
        <v>B</v>
      </c>
      <c r="CO12" s="252"/>
      <c r="CP12" s="250"/>
      <c r="CQ12" s="251"/>
      <c r="CR12" s="181">
        <f>IF(COUNT(CR13,#REF!)=0,"",SUM(CR13:CR13)/COUNT(CR13,#REF!))</f>
        <v>3</v>
      </c>
      <c r="CS12" s="198" t="str">
        <f t="shared" si="21"/>
        <v>B</v>
      </c>
      <c r="CT12" s="247"/>
      <c r="CU12" s="245"/>
      <c r="CV12" s="246"/>
      <c r="CW12" s="181">
        <f>IF(COUNT(CW13,#REF!)=0,"",SUM(CW13:CW13)/COUNT(CW13,#REF!))</f>
        <v>4</v>
      </c>
      <c r="CX12" s="205" t="str">
        <f t="shared" si="22"/>
        <v>A</v>
      </c>
      <c r="CY12" s="181">
        <f>IF(COUNT(CY13:CY13)=0,"",SUM(CY13:CY13)/COUNT(CY13:CY13))</f>
        <v>3.3333333333333335</v>
      </c>
      <c r="CZ12" s="206" t="str">
        <f t="shared" si="23"/>
        <v>B</v>
      </c>
      <c r="DA12" s="250"/>
      <c r="DB12" s="250"/>
      <c r="DC12" s="251"/>
      <c r="DD12" s="181">
        <f>IF(COUNT(DD13:DD13)=0,"",SUM(DD13:DD13)/COUNT(DD13:DD13))</f>
        <v>1</v>
      </c>
      <c r="DE12" s="182" t="str">
        <f t="shared" si="24"/>
        <v>D</v>
      </c>
      <c r="DF12" s="252"/>
      <c r="DG12" s="250"/>
      <c r="DH12" s="251"/>
      <c r="DI12" s="181">
        <f>IF(COUNT(DI13,#REF!)=0,"",SUM(DI13:DI13)/COUNT(DI13,#REF!))</f>
        <v>3</v>
      </c>
      <c r="DJ12" s="198" t="str">
        <f t="shared" si="25"/>
        <v>B</v>
      </c>
      <c r="DK12" s="247"/>
      <c r="DL12" s="245"/>
      <c r="DM12" s="246"/>
      <c r="DN12" s="181">
        <f>IF(COUNT(DN13,#REF!)=0,"",SUM(DN13:DN13)/COUNT(DN13,#REF!))</f>
        <v>4</v>
      </c>
      <c r="DO12" s="205" t="str">
        <f t="shared" si="26"/>
        <v>A</v>
      </c>
      <c r="DP12" s="181">
        <f>IF(COUNT(DP13:DP13)=0,"",SUM(DP13:DP13)/COUNT(DP13:DP13))</f>
        <v>2.6666666666666665</v>
      </c>
      <c r="DQ12" s="206" t="str">
        <f t="shared" si="27"/>
        <v>C</v>
      </c>
      <c r="DR12" s="250"/>
      <c r="DS12" s="250"/>
      <c r="DT12" s="251"/>
      <c r="DU12" s="181">
        <f>IF(COUNT(DU13:DU13)=0,"",SUM(DU13:DU13)/COUNT(DU13:DU13))</f>
        <v>3</v>
      </c>
      <c r="DV12" s="182" t="str">
        <f t="shared" si="28"/>
        <v>B</v>
      </c>
      <c r="DW12" s="252"/>
      <c r="DX12" s="250"/>
      <c r="DY12" s="251"/>
      <c r="DZ12" s="181">
        <f>IF(COUNT(DZ13,#REF!)=0,"",SUM(DZ13:DZ13)/COUNT(DZ13,#REF!))</f>
        <v>2</v>
      </c>
      <c r="EA12" s="198" t="str">
        <f t="shared" si="29"/>
        <v>C</v>
      </c>
      <c r="EB12" s="247"/>
      <c r="EC12" s="245"/>
      <c r="ED12" s="246"/>
      <c r="EE12" s="181" t="str">
        <f>IF(COUNT(EE13,#REF!)=0,"",SUM(EE13:EE13)/COUNT(EE13,#REF!))</f>
        <v/>
      </c>
      <c r="EF12" s="205" t="str">
        <f t="shared" si="30"/>
        <v/>
      </c>
      <c r="EG12" s="181">
        <f>IF(COUNT(EG13:EG13)=0,"",SUM(EG13:EG13)/COUNT(EG13:EG13))</f>
        <v>2.5</v>
      </c>
      <c r="EH12" s="206" t="str">
        <f t="shared" si="31"/>
        <v>C</v>
      </c>
      <c r="EI12" s="250"/>
      <c r="EJ12" s="250"/>
      <c r="EK12" s="251"/>
      <c r="EL12" s="181">
        <f>IF(COUNT(EL13:EL13)=0,"",SUM(EL13:EL13)/COUNT(EL13:EL13))</f>
        <v>2</v>
      </c>
      <c r="EM12" s="182" t="str">
        <f t="shared" si="32"/>
        <v>C</v>
      </c>
      <c r="EN12" s="252"/>
      <c r="EO12" s="250"/>
      <c r="EP12" s="251"/>
      <c r="EQ12" s="181">
        <f>IF(COUNT(EQ13,#REF!)=0,"",SUM(EQ13:EQ13)/COUNT(EQ13,#REF!))</f>
        <v>3</v>
      </c>
      <c r="ER12" s="198" t="str">
        <f t="shared" si="33"/>
        <v>B</v>
      </c>
      <c r="ES12" s="247"/>
      <c r="ET12" s="245"/>
      <c r="EU12" s="246"/>
      <c r="EV12" s="181">
        <f>IF(COUNT(EV13,#REF!)=0,"",SUM(EV13:EV13)/COUNT(EV13,#REF!))</f>
        <v>4</v>
      </c>
      <c r="EW12" s="205" t="str">
        <f t="shared" si="34"/>
        <v>A</v>
      </c>
      <c r="EX12" s="181">
        <f>IF(COUNT(EX13:EX13)=0,"",SUM(EX13:EX13)/COUNT(EX13:EX13))</f>
        <v>3</v>
      </c>
      <c r="EY12" s="206" t="str">
        <f t="shared" si="35"/>
        <v>B</v>
      </c>
      <c r="EZ12" s="250"/>
      <c r="FA12" s="250"/>
      <c r="FB12" s="251"/>
      <c r="FC12" s="181">
        <f>IF(COUNT(FC13:FC13)=0,"",SUM(FC13:FC13)/COUNT(FC13:FC13))</f>
        <v>3</v>
      </c>
      <c r="FD12" s="182" t="str">
        <f t="shared" si="36"/>
        <v>B</v>
      </c>
      <c r="FE12" s="252"/>
      <c r="FF12" s="250"/>
      <c r="FG12" s="251"/>
      <c r="FH12" s="181">
        <f>IF(COUNT(FH13,#REF!)=0,"",SUM(FH13:FH13)/COUNT(FH13,#REF!))</f>
        <v>3</v>
      </c>
      <c r="FI12" s="198" t="str">
        <f t="shared" si="37"/>
        <v>B</v>
      </c>
      <c r="FJ12" s="247"/>
      <c r="FK12" s="245"/>
      <c r="FL12" s="246"/>
      <c r="FM12" s="181">
        <f>IF(COUNT(FM13,#REF!)=0,"",SUM(FM13:FM13)/COUNT(FM13,#REF!))</f>
        <v>4</v>
      </c>
      <c r="FN12" s="205" t="str">
        <f t="shared" si="38"/>
        <v>A</v>
      </c>
      <c r="FO12" s="181">
        <f>IF(COUNT(FO13:FO13)=0,"",SUM(FO13:FO13)/COUNT(FO13:FO13))</f>
        <v>3.3333333333333335</v>
      </c>
      <c r="FP12" s="206" t="str">
        <f t="shared" si="39"/>
        <v>B</v>
      </c>
      <c r="FQ12" s="250"/>
      <c r="FR12" s="250"/>
      <c r="FS12" s="251"/>
      <c r="FT12" s="181">
        <f>IF(COUNT(FT13:FT13)=0,"",SUM(FT13:FT13)/COUNT(FT13:FT13))</f>
        <v>2</v>
      </c>
      <c r="FU12" s="182" t="str">
        <f t="shared" si="40"/>
        <v>C</v>
      </c>
      <c r="FV12" s="252"/>
      <c r="FW12" s="250"/>
      <c r="FX12" s="251"/>
      <c r="FY12" s="181">
        <f>IF(COUNT(FY13,#REF!)=0,"",SUM(FY13:FY13)/COUNT(FY13,#REF!))</f>
        <v>2</v>
      </c>
      <c r="FZ12" s="198" t="str">
        <f t="shared" si="41"/>
        <v>C</v>
      </c>
      <c r="GA12" s="247"/>
      <c r="GB12" s="245"/>
      <c r="GC12" s="246"/>
      <c r="GD12" s="181">
        <f>IF(COUNT(GD13,#REF!)=0,"",SUM(GD13:GD13)/COUNT(GD13,#REF!))</f>
        <v>4</v>
      </c>
      <c r="GE12" s="205" t="str">
        <f t="shared" si="42"/>
        <v>A</v>
      </c>
      <c r="GF12" s="181">
        <f>IF(COUNT(GF13:GF13)=0,"",SUM(GF13:GF13)/COUNT(GF13:GF13))</f>
        <v>2.6666666666666665</v>
      </c>
      <c r="GG12" s="206" t="str">
        <f t="shared" si="43"/>
        <v>C</v>
      </c>
      <c r="GH12" s="250"/>
      <c r="GI12" s="250"/>
      <c r="GJ12" s="251"/>
      <c r="GK12" s="181">
        <f>IF(COUNT(GK13:GK13)=0,"",SUM(GK13:GK13)/COUNT(GK13:GK13))</f>
        <v>2</v>
      </c>
      <c r="GL12" s="182" t="str">
        <f t="shared" si="44"/>
        <v>C</v>
      </c>
      <c r="GM12" s="252"/>
      <c r="GN12" s="250"/>
      <c r="GO12" s="251"/>
      <c r="GP12" s="181">
        <f>IF(COUNT(GP13,#REF!)=0,"",SUM(GP13:GP13)/COUNT(GP13,#REF!))</f>
        <v>3</v>
      </c>
      <c r="GQ12" s="198" t="str">
        <f t="shared" si="45"/>
        <v>B</v>
      </c>
      <c r="GR12" s="247"/>
      <c r="GS12" s="245"/>
      <c r="GT12" s="246"/>
      <c r="GU12" s="181">
        <f>IF(COUNT(GU13,#REF!)=0,"",SUM(GU13:GU13)/COUNT(GU13,#REF!))</f>
        <v>4</v>
      </c>
      <c r="GV12" s="205" t="str">
        <f t="shared" si="46"/>
        <v>A</v>
      </c>
      <c r="GW12" s="181">
        <f>IF(COUNT(GW13:GW13)=0,"",SUM(GW13:GW13)/COUNT(GW13:GW13))</f>
        <v>3</v>
      </c>
      <c r="GX12" s="206" t="str">
        <f t="shared" si="47"/>
        <v>B</v>
      </c>
      <c r="GY12" s="250"/>
      <c r="GZ12" s="250"/>
      <c r="HA12" s="251"/>
      <c r="HB12" s="181">
        <f>IF(COUNT(HB13:HB13)=0,"",SUM(HB13:HB13)/COUNT(HB13:HB13))</f>
        <v>1</v>
      </c>
      <c r="HC12" s="182" t="str">
        <f t="shared" si="48"/>
        <v>D</v>
      </c>
      <c r="HD12" s="252"/>
      <c r="HE12" s="250"/>
      <c r="HF12" s="251"/>
      <c r="HG12" s="181">
        <f>IF(COUNT(HG13,#REF!)=0,"",SUM(HG13:HG13)/COUNT(HG13,#REF!))</f>
        <v>3</v>
      </c>
      <c r="HH12" s="198" t="str">
        <f t="shared" si="49"/>
        <v>B</v>
      </c>
      <c r="HI12" s="247"/>
      <c r="HJ12" s="245"/>
      <c r="HK12" s="246"/>
      <c r="HL12" s="181">
        <f>IF(COUNT(HL13,#REF!)=0,"",SUM(HL13:HL13)/COUNT(HL13,#REF!))</f>
        <v>4</v>
      </c>
      <c r="HM12" s="205" t="str">
        <f t="shared" si="50"/>
        <v>A</v>
      </c>
      <c r="HN12" s="181">
        <f>IF(COUNT(HN13:HN13)=0,"",SUM(HN13:HN13)/COUNT(HN13:HN13))</f>
        <v>2.6666666666666665</v>
      </c>
      <c r="HO12" s="206" t="str">
        <f t="shared" si="51"/>
        <v>C</v>
      </c>
      <c r="HP12" s="250"/>
      <c r="HQ12" s="250"/>
      <c r="HR12" s="251"/>
      <c r="HS12" s="181">
        <f>IF(COUNT(HS13:HS13)=0,"",SUM(HS13:HS13)/COUNT(HS13:HS13))</f>
        <v>4</v>
      </c>
      <c r="HT12" s="182" t="str">
        <f t="shared" si="52"/>
        <v>A</v>
      </c>
      <c r="HU12" s="252"/>
      <c r="HV12" s="250"/>
      <c r="HW12" s="251"/>
      <c r="HX12" s="181">
        <f>IF(COUNT(HX13,#REF!)=0,"",SUM(HX13:HX13)/COUNT(HX13,#REF!))</f>
        <v>3</v>
      </c>
      <c r="HY12" s="198" t="str">
        <f t="shared" si="53"/>
        <v>B</v>
      </c>
      <c r="HZ12" s="247"/>
      <c r="IA12" s="245"/>
      <c r="IB12" s="246"/>
      <c r="IC12" s="181">
        <f>IF(COUNT(IC13,#REF!)=0,"",SUM(IC13:IC13)/COUNT(IC13,#REF!))</f>
        <v>4</v>
      </c>
      <c r="ID12" s="205" t="str">
        <f t="shared" si="54"/>
        <v>A</v>
      </c>
      <c r="IE12" s="181">
        <f>IF(COUNT(IE13:IE13)=0,"",SUM(IE13:IE13)/COUNT(IE13:IE13))</f>
        <v>3.6666666666666665</v>
      </c>
      <c r="IF12" s="206" t="str">
        <f t="shared" si="55"/>
        <v>B</v>
      </c>
      <c r="IG12" s="250"/>
      <c r="IH12" s="250"/>
      <c r="II12" s="251"/>
      <c r="IJ12" s="181">
        <f>IF(COUNT(IJ13:IJ13)=0,"",SUM(IJ13:IJ13)/COUNT(IJ13:IJ13))</f>
        <v>1</v>
      </c>
      <c r="IK12" s="182" t="str">
        <f t="shared" si="56"/>
        <v>D</v>
      </c>
      <c r="IL12" s="252"/>
      <c r="IM12" s="250"/>
      <c r="IN12" s="251"/>
      <c r="IO12" s="181">
        <f>IF(COUNT(IO13,#REF!)=0,"",SUM(IO13:IO13)/COUNT(IO13,#REF!))</f>
        <v>3</v>
      </c>
      <c r="IP12" s="198" t="str">
        <f t="shared" si="57"/>
        <v>B</v>
      </c>
      <c r="IQ12" s="247"/>
      <c r="IR12" s="245"/>
      <c r="IS12" s="246"/>
      <c r="IT12" s="181">
        <f>IF(COUNT(IT13,#REF!)=0,"",SUM(IT13:IT13)/COUNT(IT13,#REF!))</f>
        <v>4</v>
      </c>
      <c r="IU12" s="205" t="str">
        <f t="shared" si="58"/>
        <v>A</v>
      </c>
      <c r="IV12" s="181">
        <f>IF(COUNT(IV13:IV13)=0,"",SUM(IV13:IV13)/COUNT(IV13:IV13))</f>
        <v>2.6666666666666665</v>
      </c>
      <c r="IW12" s="206" t="str">
        <f t="shared" si="59"/>
        <v>C</v>
      </c>
      <c r="IX12" s="250"/>
      <c r="IY12" s="250"/>
      <c r="IZ12" s="251"/>
      <c r="JA12" s="181">
        <f>IF(COUNT(JA13:JA13)=0,"",SUM(JA13:JA13)/COUNT(JA13:JA13))</f>
        <v>2</v>
      </c>
      <c r="JB12" s="182" t="str">
        <f t="shared" si="60"/>
        <v>C</v>
      </c>
      <c r="JC12" s="252"/>
      <c r="JD12" s="250"/>
      <c r="JE12" s="251"/>
      <c r="JF12" s="181">
        <f>IF(COUNT(JF13,#REF!)=0,"",SUM(JF13:JF13)/COUNT(JF13,#REF!))</f>
        <v>3</v>
      </c>
      <c r="JG12" s="198" t="str">
        <f t="shared" si="61"/>
        <v>B</v>
      </c>
      <c r="JH12" s="247"/>
      <c r="JI12" s="245"/>
      <c r="JJ12" s="246"/>
      <c r="JK12" s="181">
        <f>IF(COUNT(JK13,#REF!)=0,"",SUM(JK13:JK13)/COUNT(JK13,#REF!))</f>
        <v>4</v>
      </c>
      <c r="JL12" s="205" t="str">
        <f t="shared" si="62"/>
        <v>A</v>
      </c>
      <c r="JM12" s="181">
        <f>IF(COUNT(JM13:JM13)=0,"",SUM(JM13:JM13)/COUNT(JM13:JM13))</f>
        <v>3</v>
      </c>
      <c r="JN12" s="206" t="str">
        <f t="shared" si="63"/>
        <v>B</v>
      </c>
      <c r="JO12" s="250"/>
      <c r="JP12" s="250"/>
      <c r="JQ12" s="251"/>
      <c r="JR12" s="181">
        <f>IF(COUNT(JR13:JR13)=0,"",SUM(JR13:JR13)/COUNT(JR13:JR13))</f>
        <v>2</v>
      </c>
      <c r="JS12" s="182" t="str">
        <f t="shared" si="64"/>
        <v>C</v>
      </c>
      <c r="JT12" s="252"/>
      <c r="JU12" s="250"/>
      <c r="JV12" s="251"/>
      <c r="JW12" s="181">
        <f>IF(COUNT(JW13,#REF!)=0,"",SUM(JW13:JW13)/COUNT(JW13,#REF!))</f>
        <v>3</v>
      </c>
      <c r="JX12" s="198" t="str">
        <f t="shared" si="65"/>
        <v>B</v>
      </c>
      <c r="JY12" s="247"/>
      <c r="JZ12" s="245"/>
      <c r="KA12" s="246"/>
      <c r="KB12" s="181">
        <f>IF(COUNT(KB13,#REF!)=0,"",SUM(KB13:KB13)/COUNT(KB13,#REF!))</f>
        <v>4</v>
      </c>
      <c r="KC12" s="205" t="str">
        <f t="shared" si="66"/>
        <v>A</v>
      </c>
      <c r="KD12" s="181">
        <f>IF(COUNT(KD13:KD13)=0,"",SUM(KD13:KD13)/COUNT(KD13:KD13))</f>
        <v>3</v>
      </c>
      <c r="KE12" s="206" t="str">
        <f t="shared" si="67"/>
        <v>B</v>
      </c>
      <c r="KF12" s="250"/>
      <c r="KG12" s="250"/>
      <c r="KH12" s="251"/>
      <c r="KI12" s="181">
        <f>IF(COUNT(KI13:KI13)=0,"",SUM(KI13:KI13)/COUNT(KI13:KI13))</f>
        <v>3</v>
      </c>
      <c r="KJ12" s="182" t="str">
        <f t="shared" si="68"/>
        <v>B</v>
      </c>
      <c r="KK12" s="252"/>
      <c r="KL12" s="250"/>
      <c r="KM12" s="251"/>
      <c r="KN12" s="181">
        <f>IF(COUNT(KN13,#REF!)=0,"",SUM(KN13:KN13)/COUNT(KN13,#REF!))</f>
        <v>3</v>
      </c>
      <c r="KO12" s="198" t="str">
        <f t="shared" si="69"/>
        <v>B</v>
      </c>
      <c r="KP12" s="247"/>
      <c r="KQ12" s="245"/>
      <c r="KR12" s="246"/>
      <c r="KS12" s="181">
        <f>IF(COUNT(KS13,#REF!)=0,"",SUM(KS13:KS13)/COUNT(KS13,#REF!))</f>
        <v>4</v>
      </c>
      <c r="KT12" s="205" t="str">
        <f t="shared" si="70"/>
        <v>A</v>
      </c>
      <c r="KU12" s="181">
        <f>IF(COUNT(KU13:KU13)=0,"",SUM(KU13:KU13)/COUNT(KU13:KU13))</f>
        <v>3.3333333333333335</v>
      </c>
      <c r="KV12" s="206" t="str">
        <f t="shared" si="71"/>
        <v>B</v>
      </c>
      <c r="KW12" s="250"/>
      <c r="KX12" s="250"/>
      <c r="KY12" s="251"/>
      <c r="KZ12" s="181">
        <f>IF(COUNT(KZ13:KZ13)=0,"",SUM(KZ13:KZ13)/COUNT(KZ13:KZ13))</f>
        <v>1</v>
      </c>
      <c r="LA12" s="182" t="str">
        <f t="shared" si="72"/>
        <v>D</v>
      </c>
      <c r="LB12" s="252"/>
      <c r="LC12" s="250"/>
      <c r="LD12" s="251"/>
      <c r="LE12" s="181">
        <f>IF(COUNT(LE13,#REF!)=0,"",SUM(LE13:LE13)/COUNT(LE13,#REF!))</f>
        <v>4</v>
      </c>
      <c r="LF12" s="198" t="str">
        <f t="shared" si="73"/>
        <v>A</v>
      </c>
      <c r="LG12" s="247"/>
      <c r="LH12" s="245"/>
      <c r="LI12" s="246"/>
      <c r="LJ12" s="181">
        <f>IF(COUNT(LJ13,#REF!)=0,"",SUM(LJ13:LJ13)/COUNT(LJ13,#REF!))</f>
        <v>4</v>
      </c>
      <c r="LK12" s="205" t="str">
        <f t="shared" si="74"/>
        <v>A</v>
      </c>
      <c r="LL12" s="181">
        <f>IF(COUNT(LL13:LL13)=0,"",SUM(LL13:LL13)/COUNT(LL13:LL13))</f>
        <v>3</v>
      </c>
      <c r="LM12" s="206" t="str">
        <f t="shared" si="75"/>
        <v>B</v>
      </c>
      <c r="LN12" s="250"/>
      <c r="LO12" s="250"/>
      <c r="LP12" s="251"/>
      <c r="LQ12" s="181">
        <f>IF(COUNT(LQ13:LQ13)=0,"",SUM(LQ13:LQ13)/COUNT(LQ13:LQ13))</f>
        <v>2</v>
      </c>
      <c r="LR12" s="182" t="str">
        <f t="shared" si="76"/>
        <v>C</v>
      </c>
      <c r="LS12" s="252"/>
      <c r="LT12" s="250"/>
      <c r="LU12" s="251"/>
      <c r="LV12" s="181" t="str">
        <f>IF(COUNT(LV13,#REF!)=0,"",SUM(LV13:LV13)/COUNT(LV13,#REF!))</f>
        <v/>
      </c>
      <c r="LW12" s="198" t="str">
        <f t="shared" si="77"/>
        <v/>
      </c>
      <c r="LX12" s="247"/>
      <c r="LY12" s="245"/>
      <c r="LZ12" s="246"/>
      <c r="MA12" s="181">
        <f>IF(COUNT(MA13,#REF!)=0,"",SUM(MA13:MA13)/COUNT(MA13,#REF!))</f>
        <v>4</v>
      </c>
      <c r="MB12" s="205" t="str">
        <f t="shared" si="78"/>
        <v>A</v>
      </c>
      <c r="MC12" s="181">
        <f>IF(COUNT(MC13:MC13)=0,"",SUM(MC13:MC13)/COUNT(MC13:MC13))</f>
        <v>3</v>
      </c>
      <c r="MD12" s="206" t="str">
        <f t="shared" si="79"/>
        <v>B</v>
      </c>
      <c r="ME12" s="250"/>
      <c r="MF12" s="250"/>
      <c r="MG12" s="251"/>
      <c r="MH12" s="181">
        <f>IF(COUNT(MH13:MH13)=0,"",SUM(MH13:MH13)/COUNT(MH13:MH13))</f>
        <v>3</v>
      </c>
      <c r="MI12" s="182" t="str">
        <f t="shared" si="80"/>
        <v>B</v>
      </c>
      <c r="MJ12" s="252"/>
      <c r="MK12" s="250"/>
      <c r="ML12" s="251"/>
      <c r="MM12" s="181">
        <f>IF(COUNT(MM13,#REF!)=0,"",SUM(MM13:MM13)/COUNT(MM13,#REF!))</f>
        <v>3</v>
      </c>
      <c r="MN12" s="198" t="str">
        <f t="shared" si="81"/>
        <v>B</v>
      </c>
      <c r="MO12" s="247"/>
      <c r="MP12" s="245"/>
      <c r="MQ12" s="246"/>
      <c r="MR12" s="181">
        <f>IF(COUNT(MR13,#REF!)=0,"",SUM(MR13:MR13)/COUNT(MR13,#REF!))</f>
        <v>4</v>
      </c>
      <c r="MS12" s="205" t="str">
        <f t="shared" si="82"/>
        <v>A</v>
      </c>
      <c r="MT12" s="181">
        <f>IF(COUNT(MT13:MT13)=0,"",SUM(MT13:MT13)/COUNT(MT13:MT13))</f>
        <v>3.3333333333333335</v>
      </c>
      <c r="MU12" s="206" t="str">
        <f t="shared" si="83"/>
        <v>B</v>
      </c>
      <c r="MV12" s="250"/>
      <c r="MW12" s="250"/>
      <c r="MX12" s="251"/>
      <c r="MY12" s="181">
        <f>IF(COUNT(MY13:MY13)=0,"",SUM(MY13:MY13)/COUNT(MY13:MY13))</f>
        <v>2</v>
      </c>
      <c r="MZ12" s="182" t="str">
        <f t="shared" si="84"/>
        <v>C</v>
      </c>
      <c r="NA12" s="252"/>
      <c r="NB12" s="250"/>
      <c r="NC12" s="251"/>
      <c r="ND12" s="181">
        <f>IF(COUNT(ND13,#REF!)=0,"",SUM(ND13:ND13)/COUNT(ND13,#REF!))</f>
        <v>2</v>
      </c>
      <c r="NE12" s="198" t="str">
        <f t="shared" si="85"/>
        <v>C</v>
      </c>
      <c r="NF12" s="247"/>
      <c r="NG12" s="245"/>
      <c r="NH12" s="246"/>
      <c r="NI12" s="181">
        <f>IF(COUNT(NI13,#REF!)=0,"",SUM(NI13:NI13)/COUNT(NI13,#REF!))</f>
        <v>4</v>
      </c>
      <c r="NJ12" s="205" t="str">
        <f t="shared" si="86"/>
        <v>A</v>
      </c>
      <c r="NK12" s="181">
        <f>IF(COUNT(NK13:NK13)=0,"",SUM(NK13:NK13)/COUNT(NK13:NK13))</f>
        <v>2.6666666666666665</v>
      </c>
      <c r="NL12" s="206" t="str">
        <f t="shared" si="87"/>
        <v>C</v>
      </c>
      <c r="NM12" s="250"/>
      <c r="NN12" s="250"/>
      <c r="NO12" s="251"/>
      <c r="NP12" s="181">
        <f>IF(COUNT(NP13:NP13)=0,"",SUM(NP13:NP13)/COUNT(NP13:NP13))</f>
        <v>3</v>
      </c>
      <c r="NQ12" s="182" t="str">
        <f t="shared" si="88"/>
        <v>B</v>
      </c>
      <c r="NR12" s="252"/>
      <c r="NS12" s="250"/>
      <c r="NT12" s="251"/>
      <c r="NU12" s="181">
        <f>IF(COUNT(NU13,#REF!)=0,"",SUM(NU13:NU13)/COUNT(NU13,#REF!))</f>
        <v>3</v>
      </c>
      <c r="NV12" s="198" t="str">
        <f t="shared" si="89"/>
        <v>B</v>
      </c>
      <c r="NW12" s="247"/>
      <c r="NX12" s="245"/>
      <c r="NY12" s="246"/>
      <c r="NZ12" s="181">
        <f>IF(COUNT(NZ13,#REF!)=0,"",SUM(NZ13:NZ13)/COUNT(NZ13,#REF!))</f>
        <v>4</v>
      </c>
      <c r="OA12" s="205" t="str">
        <f t="shared" si="90"/>
        <v>A</v>
      </c>
      <c r="OB12" s="181">
        <f>IF(COUNT(OB13:OB13)=0,"",SUM(OB13:OB13)/COUNT(OB13:OB13))</f>
        <v>3.3333333333333335</v>
      </c>
      <c r="OC12" s="206" t="str">
        <f t="shared" si="91"/>
        <v>B</v>
      </c>
      <c r="OD12" s="250"/>
      <c r="OE12" s="250"/>
      <c r="OF12" s="251"/>
      <c r="OG12" s="181">
        <f>IF(COUNT(OG13:OG13)=0,"",SUM(OG13:OG13)/COUNT(OG13:OG13))</f>
        <v>1</v>
      </c>
      <c r="OH12" s="182" t="str">
        <f t="shared" si="92"/>
        <v>D</v>
      </c>
      <c r="OI12" s="252"/>
      <c r="OJ12" s="250"/>
      <c r="OK12" s="251"/>
      <c r="OL12" s="181">
        <f>IF(COUNT(OL13,#REF!)=0,"",SUM(OL13:OL13)/COUNT(OL13,#REF!))</f>
        <v>3</v>
      </c>
      <c r="OM12" s="198" t="str">
        <f t="shared" si="93"/>
        <v>B</v>
      </c>
      <c r="ON12" s="247"/>
      <c r="OO12" s="245"/>
      <c r="OP12" s="246"/>
      <c r="OQ12" s="181" t="str">
        <f>IF(COUNT(OQ13,#REF!)=0,"",SUM(OQ13:OQ13)/COUNT(OQ13,#REF!))</f>
        <v/>
      </c>
      <c r="OR12" s="205" t="str">
        <f t="shared" si="94"/>
        <v/>
      </c>
      <c r="OS12" s="181">
        <f>IF(COUNT(OS13:OS13)=0,"",SUM(OS13:OS13)/COUNT(OS13:OS13))</f>
        <v>2</v>
      </c>
      <c r="OT12" s="206" t="str">
        <f t="shared" si="95"/>
        <v>C</v>
      </c>
      <c r="OU12" s="250"/>
      <c r="OV12" s="250"/>
      <c r="OW12" s="251"/>
      <c r="OX12" s="181">
        <f>IF(COUNT(OX13:OX13)=0,"",SUM(OX13:OX13)/COUNT(OX13:OX13))</f>
        <v>2</v>
      </c>
      <c r="OY12" s="182" t="str">
        <f t="shared" si="96"/>
        <v>C</v>
      </c>
      <c r="OZ12" s="252"/>
      <c r="PA12" s="250"/>
      <c r="PB12" s="251"/>
      <c r="PC12" s="181">
        <f>IF(COUNT(PC13,#REF!)=0,"",SUM(PC13:PC13)/COUNT(PC13,#REF!))</f>
        <v>4</v>
      </c>
      <c r="PD12" s="198" t="str">
        <f t="shared" si="97"/>
        <v>A</v>
      </c>
      <c r="PE12" s="247"/>
      <c r="PF12" s="245"/>
      <c r="PG12" s="246"/>
      <c r="PH12" s="181">
        <f>IF(COUNT(PH13,#REF!)=0,"",SUM(PH13:PH13)/COUNT(PH13,#REF!))</f>
        <v>4</v>
      </c>
      <c r="PI12" s="205" t="str">
        <f t="shared" si="98"/>
        <v>A</v>
      </c>
      <c r="PJ12" s="181">
        <f>IF(COUNT(PJ13:PJ13)=0,"",SUM(PJ13:PJ13)/COUNT(PJ13:PJ13))</f>
        <v>3.3333333333333335</v>
      </c>
      <c r="PK12" s="206" t="str">
        <f t="shared" si="99"/>
        <v>B</v>
      </c>
      <c r="PL12" s="250"/>
      <c r="PM12" s="250"/>
      <c r="PN12" s="251"/>
      <c r="PO12" s="181">
        <f>IF(COUNT(PO13:PO13)=0,"",SUM(PO13:PO13)/COUNT(PO13:PO13))</f>
        <v>3</v>
      </c>
      <c r="PP12" s="182" t="str">
        <f t="shared" si="100"/>
        <v>B</v>
      </c>
      <c r="PQ12" s="252"/>
      <c r="PR12" s="250"/>
      <c r="PS12" s="251"/>
      <c r="PT12" s="181">
        <f>IF(COUNT(PT13,#REF!)=0,"",SUM(PT13:PT13)/COUNT(PT13,#REF!))</f>
        <v>3</v>
      </c>
      <c r="PU12" s="198" t="str">
        <f t="shared" si="101"/>
        <v>B</v>
      </c>
      <c r="PV12" s="247"/>
      <c r="PW12" s="245"/>
      <c r="PX12" s="246"/>
      <c r="PY12" s="181">
        <f>IF(COUNT(PY13,#REF!)=0,"",SUM(PY13:PY13)/COUNT(PY13,#REF!))</f>
        <v>4</v>
      </c>
      <c r="PZ12" s="205" t="str">
        <f t="shared" si="102"/>
        <v>A</v>
      </c>
      <c r="QA12" s="181">
        <f>IF(COUNT(QA13:QA13)=0,"",SUM(QA13:QA13)/COUNT(QA13:QA13))</f>
        <v>3.3333333333333335</v>
      </c>
      <c r="QB12" s="206" t="str">
        <f t="shared" si="103"/>
        <v>B</v>
      </c>
      <c r="QC12" s="250"/>
      <c r="QD12" s="250"/>
      <c r="QE12" s="251"/>
      <c r="QF12" s="181" t="str">
        <f>IF(COUNT(QF13:QF13)=0,"",SUM(QF13:QF13)/COUNT(QF13:QF13))</f>
        <v/>
      </c>
      <c r="QG12" s="182" t="str">
        <f t="shared" si="104"/>
        <v/>
      </c>
      <c r="QH12" s="252"/>
      <c r="QI12" s="250"/>
      <c r="QJ12" s="251"/>
      <c r="QK12" s="181" t="str">
        <f>IF(COUNT(QK13,#REF!)=0,"",SUM(QK13:QK13)/COUNT(QK13,#REF!))</f>
        <v/>
      </c>
      <c r="QL12" s="198" t="str">
        <f t="shared" si="105"/>
        <v/>
      </c>
      <c r="QM12" s="247"/>
      <c r="QN12" s="245"/>
      <c r="QO12" s="246"/>
      <c r="QP12" s="181">
        <f>IF(COUNT(QP13,#REF!)=0,"",SUM(QP13:QP13)/COUNT(QP13,#REF!))</f>
        <v>4</v>
      </c>
      <c r="QQ12" s="205" t="str">
        <f t="shared" si="106"/>
        <v>A</v>
      </c>
      <c r="QR12" s="181">
        <f>IF(COUNT(QR13:QR13)=0,"",SUM(QR13:QR13)/COUNT(QR13:QR13))</f>
        <v>4</v>
      </c>
      <c r="QS12" s="206" t="str">
        <f t="shared" si="107"/>
        <v>A</v>
      </c>
      <c r="QT12" s="250"/>
      <c r="QU12" s="250"/>
      <c r="QV12" s="251"/>
      <c r="QW12" s="181">
        <f>IF(COUNT(QW13:QW13)=0,"",SUM(QW13:QW13)/COUNT(QW13:QW13))</f>
        <v>1</v>
      </c>
      <c r="QX12" s="182" t="str">
        <f t="shared" si="108"/>
        <v>D</v>
      </c>
      <c r="QY12" s="252"/>
      <c r="QZ12" s="250"/>
      <c r="RA12" s="251"/>
      <c r="RB12" s="181" t="str">
        <f>IF(COUNT(RB13,#REF!)=0,"",SUM(RB13:RB13)/COUNT(RB13,#REF!))</f>
        <v/>
      </c>
      <c r="RC12" s="198" t="str">
        <f t="shared" si="109"/>
        <v/>
      </c>
      <c r="RD12" s="247"/>
      <c r="RE12" s="245"/>
      <c r="RF12" s="246"/>
      <c r="RG12" s="181" t="str">
        <f>IF(COUNT(RG13,#REF!)=0,"",SUM(RG13:RG13)/COUNT(RG13,#REF!))</f>
        <v/>
      </c>
      <c r="RH12" s="205" t="str">
        <f t="shared" si="110"/>
        <v/>
      </c>
      <c r="RI12" s="181">
        <f>IF(COUNT(RI13:RI13)=0,"",SUM(RI13:RI13)/COUNT(RI13:RI13))</f>
        <v>1</v>
      </c>
      <c r="RJ12" s="206" t="str">
        <f t="shared" si="111"/>
        <v>D</v>
      </c>
      <c r="RK12" s="250"/>
      <c r="RL12" s="250"/>
      <c r="RM12" s="251"/>
      <c r="RN12" s="181">
        <f>IF(COUNT(RN13:RN13)=0,"",SUM(RN13:RN13)/COUNT(RN13:RN13))</f>
        <v>3</v>
      </c>
      <c r="RO12" s="182" t="str">
        <f t="shared" si="112"/>
        <v>B</v>
      </c>
      <c r="RP12" s="252"/>
      <c r="RQ12" s="250"/>
      <c r="RR12" s="251"/>
      <c r="RS12" s="181" t="str">
        <f>IF(COUNT(RS13,#REF!)=0,"",SUM(RS13:RS13)/COUNT(RS13,#REF!))</f>
        <v/>
      </c>
      <c r="RT12" s="198" t="str">
        <f t="shared" si="113"/>
        <v/>
      </c>
      <c r="RU12" s="247"/>
      <c r="RV12" s="245"/>
      <c r="RW12" s="246"/>
      <c r="RX12" s="181">
        <f>IF(COUNT(RX13,#REF!)=0,"",SUM(RX13:RX13)/COUNT(RX13,#REF!))</f>
        <v>4</v>
      </c>
      <c r="RY12" s="205" t="str">
        <f t="shared" si="114"/>
        <v>A</v>
      </c>
      <c r="RZ12" s="181">
        <f>IF(COUNT(RZ13:RZ13)=0,"",SUM(RZ13:RZ13)/COUNT(RZ13:RZ13))</f>
        <v>3.5</v>
      </c>
      <c r="SA12" s="206" t="str">
        <f t="shared" si="115"/>
        <v>B</v>
      </c>
      <c r="SB12" s="250"/>
      <c r="SC12" s="250"/>
      <c r="SD12" s="251"/>
      <c r="SE12" s="181">
        <f>IF(COUNT(SE13:SE13)=0,"",SUM(SE13:SE13)/COUNT(SE13:SE13))</f>
        <v>3</v>
      </c>
      <c r="SF12" s="182" t="str">
        <f t="shared" si="116"/>
        <v>B</v>
      </c>
      <c r="SG12" s="252"/>
      <c r="SH12" s="250"/>
      <c r="SI12" s="251"/>
      <c r="SJ12" s="181">
        <f>IF(COUNT(SJ13,#REF!)=0,"",SUM(SJ13:SJ13)/COUNT(SJ13,#REF!))</f>
        <v>4</v>
      </c>
      <c r="SK12" s="198" t="str">
        <f t="shared" si="117"/>
        <v>A</v>
      </c>
      <c r="SL12" s="247"/>
      <c r="SM12" s="245"/>
      <c r="SN12" s="246"/>
      <c r="SO12" s="181">
        <f>IF(COUNT(SO13,#REF!)=0,"",SUM(SO13:SO13)/COUNT(SO13,#REF!))</f>
        <v>4</v>
      </c>
      <c r="SP12" s="205" t="str">
        <f t="shared" si="118"/>
        <v>A</v>
      </c>
      <c r="SQ12" s="181">
        <f>IF(COUNT(SQ13:SQ13)=0,"",SUM(SQ13:SQ13)/COUNT(SQ13:SQ13))</f>
        <v>3.6666666666666665</v>
      </c>
      <c r="SR12" s="206" t="str">
        <f t="shared" si="119"/>
        <v>B</v>
      </c>
      <c r="SS12" s="250"/>
      <c r="ST12" s="250"/>
      <c r="SU12" s="251"/>
      <c r="SV12" s="93" t="str">
        <f>IF(COUNT(SV13:SV13)=0,"",SUM(SV13:SV13)/COUNT(SV13:SV13))</f>
        <v/>
      </c>
      <c r="SW12" s="94" t="str">
        <f t="shared" si="120"/>
        <v/>
      </c>
      <c r="SX12" s="252"/>
      <c r="SY12" s="250"/>
      <c r="SZ12" s="251"/>
      <c r="TA12" s="93">
        <f>IF(COUNT(TA13,#REF!)=0,"",SUM(TA13:TA13)/COUNT(TA13,#REF!))</f>
        <v>3</v>
      </c>
      <c r="TB12" s="95" t="str">
        <f t="shared" si="121"/>
        <v>B</v>
      </c>
      <c r="TC12" s="247"/>
      <c r="TD12" s="245"/>
      <c r="TE12" s="246"/>
      <c r="TF12" s="93">
        <f>IF(COUNT(TF13,#REF!)=0,"",SUM(TF13:TF13)/COUNT(TF13,#REF!))</f>
        <v>4</v>
      </c>
      <c r="TG12" s="96" t="str">
        <f t="shared" si="122"/>
        <v>A</v>
      </c>
      <c r="TH12" s="93">
        <f>IF(COUNT(TH13:TH13)=0,"",SUM(TH13:TH13)/COUNT(TH13:TH13))</f>
        <v>3.5</v>
      </c>
      <c r="TI12" s="97" t="str">
        <f t="shared" si="123"/>
        <v>B</v>
      </c>
      <c r="TJ12" s="250"/>
      <c r="TK12" s="250"/>
      <c r="TL12" s="251"/>
      <c r="TM12" s="93" t="str">
        <f>IF(COUNT(TM13:TM13)=0,"",SUM(TM13:TM13)/COUNT(TM13:TM13))</f>
        <v/>
      </c>
      <c r="TN12" s="94" t="str">
        <f t="shared" si="124"/>
        <v/>
      </c>
      <c r="TO12" s="252"/>
      <c r="TP12" s="250"/>
      <c r="TQ12" s="251"/>
      <c r="TR12" s="93" t="str">
        <f>IF(COUNT(TR13,#REF!)=0,"",SUM(TR13:TR13)/COUNT(TR13,#REF!))</f>
        <v/>
      </c>
      <c r="TS12" s="95" t="str">
        <f t="shared" si="125"/>
        <v/>
      </c>
      <c r="TT12" s="247"/>
      <c r="TU12" s="245"/>
      <c r="TV12" s="246"/>
      <c r="TW12" s="93" t="str">
        <f>IF(COUNT(TW13,#REF!)=0,"",SUM(TW13:TW13)/COUNT(TW13,#REF!))</f>
        <v/>
      </c>
      <c r="TX12" s="96" t="str">
        <f t="shared" si="126"/>
        <v/>
      </c>
      <c r="TY12" s="93" t="str">
        <f>IF(COUNT(TY13:TY13)=0,"",SUM(TY13:TY13)/COUNT(TY13:TY13))</f>
        <v/>
      </c>
      <c r="TZ12" s="97" t="str">
        <f t="shared" si="127"/>
        <v/>
      </c>
    </row>
    <row r="13" spans="1:546" ht="14.65" customHeight="1" thickBot="1" x14ac:dyDescent="0.3">
      <c r="A13" s="165" t="s">
        <v>16</v>
      </c>
      <c r="B13" s="127"/>
      <c r="C13" s="173" t="s">
        <v>25</v>
      </c>
      <c r="D13" s="100"/>
      <c r="E13" s="101"/>
      <c r="F13" s="183">
        <f>IFERROR((((COUNTIF('Elève (6ème2)'!C13:E13,"A"))*4)+((COUNTIF('Elève (6ème2)'!C13:E13,"B"))*3)+((COUNTIF('Elève (6ème2)'!C13:E13,"C"))*2)+((COUNTIF('Elève (6ème2)'!C13:E13,"D"))*1))/(COUNTA(C13:E13)),"")</f>
        <v>2</v>
      </c>
      <c r="G13" s="184" t="str">
        <f t="shared" si="0"/>
        <v>C</v>
      </c>
      <c r="H13" s="173"/>
      <c r="I13" s="100"/>
      <c r="J13" s="101" t="s">
        <v>24</v>
      </c>
      <c r="K13" s="183">
        <f>IFERROR((((COUNTIF('Elève (6ème2)'!H13:J13,"A"))*4)+((COUNTIF('Elève (6ème2)'!H13:J13,"B"))*3)+((COUNTIF('Elève (6ème2)'!H13:J13,"C"))*2)+((COUNTIF('Elève (6ème2)'!H13:J13,"D"))*1))/(COUNTA(H13:J13)),"")</f>
        <v>3</v>
      </c>
      <c r="L13" s="184" t="str">
        <f t="shared" si="1"/>
        <v>B</v>
      </c>
      <c r="M13" s="173"/>
      <c r="N13" s="100" t="s">
        <v>23</v>
      </c>
      <c r="O13" s="101"/>
      <c r="P13" s="183">
        <f>IFERROR((((COUNTIF('Elève (6ème2)'!M13:O13,"A"))*4)+((COUNTIF('Elève (6ème2)'!M13:O13,"B"))*3)+((COUNTIF('Elève (6ème2)'!M13:O13,"C"))*2)+((COUNTIF('Elève (6ème2)'!M13:O13,"D"))*1))/(COUNTA(M13:O13)),"")</f>
        <v>4</v>
      </c>
      <c r="Q13" s="184" t="str">
        <f t="shared" si="2"/>
        <v>A</v>
      </c>
      <c r="R13" s="183">
        <f>IF(COUNT(F13,K13,P13)=0,"",SUM(F13,K13,P13)/COUNT(F13,K13,P13))</f>
        <v>3</v>
      </c>
      <c r="S13" s="207" t="str">
        <f t="shared" si="3"/>
        <v>B</v>
      </c>
      <c r="T13" s="218" t="s">
        <v>26</v>
      </c>
      <c r="U13" s="100"/>
      <c r="V13" s="101"/>
      <c r="W13" s="183">
        <f>IFERROR((((COUNTIF('Elève (6ème2)'!T13:V13,"A"))*4)+((COUNTIF('Elève (6ème2)'!T13:V13,"B"))*3)+((COUNTIF('Elève (6ème2)'!T13:V13,"C"))*2)+((COUNTIF('Elève (6ème2)'!T13:V13,"D"))*1))/(COUNTA(T13:V13)),"")</f>
        <v>1</v>
      </c>
      <c r="X13" s="184" t="str">
        <f t="shared" si="4"/>
        <v>D</v>
      </c>
      <c r="Y13" s="173"/>
      <c r="Z13" s="100"/>
      <c r="AA13" s="101" t="s">
        <v>23</v>
      </c>
      <c r="AB13" s="183">
        <f>IFERROR((((COUNTIF('Elève (6ème2)'!Y13:AA13,"A"))*4)+((COUNTIF('Elève (6ème2)'!Y13:AA13,"B"))*3)+((COUNTIF('Elève (6ème2)'!Y13:AA13,"C"))*2)+((COUNTIF('Elève (6ème2)'!Y13:AA13,"D"))*1))/(COUNTA(Y13:AA13)),"")</f>
        <v>4</v>
      </c>
      <c r="AC13" s="184" t="str">
        <f t="shared" si="5"/>
        <v>A</v>
      </c>
      <c r="AD13" s="173"/>
      <c r="AE13" s="100" t="s">
        <v>23</v>
      </c>
      <c r="AF13" s="101"/>
      <c r="AG13" s="183">
        <f>IFERROR((((COUNTIF('Elève (6ème2)'!AD13:AF13,"A"))*4)+((COUNTIF('Elève (6ème2)'!AD13:AF13,"B"))*3)+((COUNTIF('Elève (6ème2)'!AD13:AF13,"C"))*2)+((COUNTIF('Elève (6ème2)'!AD13:AF13,"D"))*1))/(COUNTA(AD13:AF13)),"")</f>
        <v>4</v>
      </c>
      <c r="AH13" s="184" t="str">
        <f t="shared" si="6"/>
        <v>A</v>
      </c>
      <c r="AI13" s="183">
        <f>IF(COUNT(W13,AB13,AG13)=0,"",SUM(W13,AB13,AG13)/COUNT(W13,AB13,AG13))</f>
        <v>3</v>
      </c>
      <c r="AJ13" s="207" t="str">
        <f t="shared" si="7"/>
        <v>B</v>
      </c>
      <c r="AK13" s="218" t="s">
        <v>25</v>
      </c>
      <c r="AL13" s="100"/>
      <c r="AM13" s="101"/>
      <c r="AN13" s="183">
        <f>IFERROR((((COUNTIF('Elève (6ème2)'!AK13:AM13,"A"))*4)+((COUNTIF('Elève (6ème2)'!AK13:AM13,"B"))*3)+((COUNTIF('Elève (6ème2)'!AK13:AM13,"C"))*2)+((COUNTIF('Elève (6ème2)'!AK13:AM13,"D"))*1))/(COUNTA(AK13:AM13)),"")</f>
        <v>2</v>
      </c>
      <c r="AO13" s="184" t="str">
        <f t="shared" si="8"/>
        <v>C</v>
      </c>
      <c r="AP13" s="173"/>
      <c r="AQ13" s="100"/>
      <c r="AR13" s="101" t="s">
        <v>24</v>
      </c>
      <c r="AS13" s="183">
        <f>IFERROR((((COUNTIF('Elève (6ème2)'!AP13:AR13,"A"))*4)+((COUNTIF('Elève (6ème2)'!AP13:AR13,"B"))*3)+((COUNTIF('Elève (6ème2)'!AP13:AR13,"C"))*2)+((COUNTIF('Elève (6ème2)'!AP13:AR13,"D"))*1))/(COUNTA(AP13:AR13)),"")</f>
        <v>3</v>
      </c>
      <c r="AT13" s="184" t="str">
        <f t="shared" si="9"/>
        <v>B</v>
      </c>
      <c r="AU13" s="173"/>
      <c r="AV13" s="100" t="s">
        <v>23</v>
      </c>
      <c r="AW13" s="101"/>
      <c r="AX13" s="183">
        <f>IFERROR((((COUNTIF('Elève (6ème2)'!AU13:AW13,"A"))*4)+((COUNTIF('Elève (6ème2)'!AU13:AW13,"B"))*3)+((COUNTIF('Elève (6ème2)'!AU13:AW13,"C"))*2)+((COUNTIF('Elève (6ème2)'!AU13:AW13,"D"))*1))/(COUNTA(AU13:AW13)),"")</f>
        <v>4</v>
      </c>
      <c r="AY13" s="184" t="str">
        <f t="shared" si="10"/>
        <v>A</v>
      </c>
      <c r="AZ13" s="183">
        <f>IF(COUNT(AN13,AS13,AX13)=0,"",SUM(AN13,AS13,AX13)/COUNT(AN13,AS13,AX13))</f>
        <v>3</v>
      </c>
      <c r="BA13" s="207" t="str">
        <f t="shared" si="11"/>
        <v>B</v>
      </c>
      <c r="BB13" s="218" t="s">
        <v>25</v>
      </c>
      <c r="BC13" s="100"/>
      <c r="BD13" s="101"/>
      <c r="BE13" s="183">
        <f>IFERROR((((COUNTIF('Elève (6ème2)'!BB13:BD13,"A"))*4)+((COUNTIF('Elève (6ème2)'!BB13:BD13,"B"))*3)+((COUNTIF('Elève (6ème2)'!BB13:BD13,"C"))*2)+((COUNTIF('Elève (6ème2)'!BB13:BD13,"D"))*1))/(COUNTA(BB13:BD13)),"")</f>
        <v>2</v>
      </c>
      <c r="BF13" s="184" t="str">
        <f t="shared" si="12"/>
        <v>C</v>
      </c>
      <c r="BG13" s="173"/>
      <c r="BH13" s="100"/>
      <c r="BI13" s="101" t="s">
        <v>24</v>
      </c>
      <c r="BJ13" s="183">
        <f>IFERROR((((COUNTIF('Elève (6ème2)'!BG13:BI13,"A"))*4)+((COUNTIF('Elève (6ème2)'!BG13:BI13,"B"))*3)+((COUNTIF('Elève (6ème2)'!BG13:BI13,"C"))*2)+((COUNTIF('Elève (6ème2)'!BG13:BI13,"D"))*1))/(COUNTA(BG13:BI13)),"")</f>
        <v>3</v>
      </c>
      <c r="BK13" s="184" t="str">
        <f t="shared" si="13"/>
        <v>B</v>
      </c>
      <c r="BL13" s="173"/>
      <c r="BM13" s="100" t="s">
        <v>23</v>
      </c>
      <c r="BN13" s="101"/>
      <c r="BO13" s="183">
        <f>IFERROR((((COUNTIF('Elève (6ème2)'!BL13:BN13,"A"))*4)+((COUNTIF('Elève (6ème2)'!BL13:BN13,"B"))*3)+((COUNTIF('Elève (6ème2)'!BL13:BN13,"C"))*2)+((COUNTIF('Elève (6ème2)'!BL13:BN13,"D"))*1))/(COUNTA(BL13:BN13)),"")</f>
        <v>4</v>
      </c>
      <c r="BP13" s="184" t="str">
        <f t="shared" si="14"/>
        <v>A</v>
      </c>
      <c r="BQ13" s="183">
        <f>IF(COUNT(BE13,BJ13,BO13)=0,"",SUM(BE13,BJ13,BO13)/COUNT(BE13,BJ13,BO13))</f>
        <v>3</v>
      </c>
      <c r="BR13" s="207" t="str">
        <f t="shared" si="15"/>
        <v>B</v>
      </c>
      <c r="BS13" s="218" t="s">
        <v>24</v>
      </c>
      <c r="BT13" s="100"/>
      <c r="BU13" s="101"/>
      <c r="BV13" s="183">
        <f>IFERROR((((COUNTIF('Elève (6ème2)'!BS13:BU13,"A"))*4)+((COUNTIF('Elève (6ème2)'!BS13:BU13,"B"))*3)+((COUNTIF('Elève (6ème2)'!BS13:BU13,"C"))*2)+((COUNTIF('Elève (6ème2)'!BS13:BU13,"D"))*1))/(COUNTA(BS13:BU13)),"")</f>
        <v>3</v>
      </c>
      <c r="BW13" s="184" t="str">
        <f t="shared" si="16"/>
        <v>B</v>
      </c>
      <c r="BX13" s="173"/>
      <c r="BY13" s="100"/>
      <c r="BZ13" s="101" t="s">
        <v>24</v>
      </c>
      <c r="CA13" s="183">
        <f>IFERROR((((COUNTIF('Elève (6ème2)'!BX13:BZ13,"A"))*4)+((COUNTIF('Elève (6ème2)'!BX13:BZ13,"B"))*3)+((COUNTIF('Elève (6ème2)'!BX13:BZ13,"C"))*2)+((COUNTIF('Elève (6ème2)'!BX13:BZ13,"D"))*1))/(COUNTA(BX13:BZ13)),"")</f>
        <v>3</v>
      </c>
      <c r="CB13" s="184" t="str">
        <f t="shared" si="17"/>
        <v>B</v>
      </c>
      <c r="CC13" s="173"/>
      <c r="CD13" s="100" t="s">
        <v>23</v>
      </c>
      <c r="CE13" s="101"/>
      <c r="CF13" s="183">
        <f>IFERROR((((COUNTIF('Elève (6ème2)'!CC13:CE13,"A"))*4)+((COUNTIF('Elève (6ème2)'!CC13:CE13,"B"))*3)+((COUNTIF('Elève (6ème2)'!CC13:CE13,"C"))*2)+((COUNTIF('Elève (6ème2)'!CC13:CE13,"D"))*1))/(COUNTA(CC13:CE13)),"")</f>
        <v>4</v>
      </c>
      <c r="CG13" s="184" t="str">
        <f t="shared" si="18"/>
        <v>A</v>
      </c>
      <c r="CH13" s="183">
        <f>IF(COUNT(BV13,CA13,CF13)=0,"",SUM(BV13,CA13,CF13)/COUNT(BV13,CA13,CF13))</f>
        <v>3.3333333333333335</v>
      </c>
      <c r="CI13" s="207" t="str">
        <f t="shared" si="19"/>
        <v>B</v>
      </c>
      <c r="CJ13" s="218" t="s">
        <v>24</v>
      </c>
      <c r="CK13" s="100"/>
      <c r="CL13" s="101"/>
      <c r="CM13" s="183">
        <f>IFERROR((((COUNTIF('Elève (6ème2)'!CJ13:CL13,"A"))*4)+((COUNTIF('Elève (6ème2)'!CJ13:CL13,"B"))*3)+((COUNTIF('Elève (6ème2)'!CJ13:CL13,"C"))*2)+((COUNTIF('Elève (6ème2)'!CJ13:CL13,"D"))*1))/(COUNTA(CJ13:CL13)),"")</f>
        <v>3</v>
      </c>
      <c r="CN13" s="184" t="str">
        <f t="shared" si="20"/>
        <v>B</v>
      </c>
      <c r="CO13" s="173"/>
      <c r="CP13" s="100"/>
      <c r="CQ13" s="101" t="s">
        <v>24</v>
      </c>
      <c r="CR13" s="183">
        <f>IFERROR((((COUNTIF('Elève (6ème2)'!CO13:CQ13,"A"))*4)+((COUNTIF('Elève (6ème2)'!CO13:CQ13,"B"))*3)+((COUNTIF('Elève (6ème2)'!CO13:CQ13,"C"))*2)+((COUNTIF('Elève (6ème2)'!CO13:CQ13,"D"))*1))/(COUNTA(CO13:CQ13)),"")</f>
        <v>3</v>
      </c>
      <c r="CS13" s="184" t="str">
        <f t="shared" si="21"/>
        <v>B</v>
      </c>
      <c r="CT13" s="173"/>
      <c r="CU13" s="100" t="s">
        <v>23</v>
      </c>
      <c r="CV13" s="101"/>
      <c r="CW13" s="183">
        <f>IFERROR((((COUNTIF('Elève (6ème2)'!CT13:CV13,"A"))*4)+((COUNTIF('Elève (6ème2)'!CT13:CV13,"B"))*3)+((COUNTIF('Elève (6ème2)'!CT13:CV13,"C"))*2)+((COUNTIF('Elève (6ème2)'!CT13:CV13,"D"))*1))/(COUNTA(CT13:CV13)),"")</f>
        <v>4</v>
      </c>
      <c r="CX13" s="184" t="str">
        <f t="shared" si="22"/>
        <v>A</v>
      </c>
      <c r="CY13" s="183">
        <f>IF(COUNT(CM13,CR13,CW13)=0,"",SUM(CM13,CR13,CW13)/COUNT(CM13,CR13,CW13))</f>
        <v>3.3333333333333335</v>
      </c>
      <c r="CZ13" s="207" t="str">
        <f t="shared" si="23"/>
        <v>B</v>
      </c>
      <c r="DA13" s="218" t="s">
        <v>26</v>
      </c>
      <c r="DB13" s="100"/>
      <c r="DC13" s="101"/>
      <c r="DD13" s="183">
        <f>IFERROR((((COUNTIF('Elève (6ème2)'!DA13:DC13,"A"))*4)+((COUNTIF('Elève (6ème2)'!DA13:DC13,"B"))*3)+((COUNTIF('Elève (6ème2)'!DA13:DC13,"C"))*2)+((COUNTIF('Elève (6ème2)'!DA13:DC13,"D"))*1))/(COUNTA(DA13:DC13)),"")</f>
        <v>1</v>
      </c>
      <c r="DE13" s="184" t="str">
        <f t="shared" si="24"/>
        <v>D</v>
      </c>
      <c r="DF13" s="173"/>
      <c r="DG13" s="100"/>
      <c r="DH13" s="101" t="s">
        <v>24</v>
      </c>
      <c r="DI13" s="183">
        <f>IFERROR((((COUNTIF('Elève (6ème2)'!DF13:DH13,"A"))*4)+((COUNTIF('Elève (6ème2)'!DF13:DH13,"B"))*3)+((COUNTIF('Elève (6ème2)'!DF13:DH13,"C"))*2)+((COUNTIF('Elève (6ème2)'!DF13:DH13,"D"))*1))/(COUNTA(DF13:DH13)),"")</f>
        <v>3</v>
      </c>
      <c r="DJ13" s="184" t="str">
        <f t="shared" si="25"/>
        <v>B</v>
      </c>
      <c r="DK13" s="173"/>
      <c r="DL13" s="100" t="s">
        <v>23</v>
      </c>
      <c r="DM13" s="101"/>
      <c r="DN13" s="183">
        <f>IFERROR((((COUNTIF('Elève (6ème2)'!DK13:DM13,"A"))*4)+((COUNTIF('Elève (6ème2)'!DK13:DM13,"B"))*3)+((COUNTIF('Elève (6ème2)'!DK13:DM13,"C"))*2)+((COUNTIF('Elève (6ème2)'!DK13:DM13,"D"))*1))/(COUNTA(DK13:DM13)),"")</f>
        <v>4</v>
      </c>
      <c r="DO13" s="184" t="str">
        <f t="shared" si="26"/>
        <v>A</v>
      </c>
      <c r="DP13" s="183">
        <f>IF(COUNT(DD13,DI13,DN13)=0,"",SUM(DD13,DI13,DN13)/COUNT(DD13,DI13,DN13))</f>
        <v>2.6666666666666665</v>
      </c>
      <c r="DQ13" s="207" t="str">
        <f t="shared" si="27"/>
        <v>C</v>
      </c>
      <c r="DR13" s="218" t="s">
        <v>24</v>
      </c>
      <c r="DS13" s="100"/>
      <c r="DT13" s="101"/>
      <c r="DU13" s="183">
        <f>IFERROR((((COUNTIF('Elève (6ème2)'!DR13:DT13,"A"))*4)+((COUNTIF('Elève (6ème2)'!DR13:DT13,"B"))*3)+((COUNTIF('Elève (6ème2)'!DR13:DT13,"C"))*2)+((COUNTIF('Elève (6ème2)'!DR13:DT13,"D"))*1))/(COUNTA(DR13:DT13)),"")</f>
        <v>3</v>
      </c>
      <c r="DV13" s="184" t="str">
        <f t="shared" si="28"/>
        <v>B</v>
      </c>
      <c r="DW13" s="173"/>
      <c r="DX13" s="100"/>
      <c r="DY13" s="101" t="s">
        <v>25</v>
      </c>
      <c r="DZ13" s="183">
        <f>IFERROR((((COUNTIF('Elève (6ème2)'!DW13:DY13,"A"))*4)+((COUNTIF('Elève (6ème2)'!DW13:DY13,"B"))*3)+((COUNTIF('Elève (6ème2)'!DW13:DY13,"C"))*2)+((COUNTIF('Elève (6ème2)'!DW13:DY13,"D"))*1))/(COUNTA(DW13:DY13)),"")</f>
        <v>2</v>
      </c>
      <c r="EA13" s="184" t="str">
        <f t="shared" si="29"/>
        <v>C</v>
      </c>
      <c r="EB13" s="173"/>
      <c r="EC13" s="100"/>
      <c r="ED13" s="101"/>
      <c r="EE13" s="183" t="str">
        <f>IFERROR((((COUNTIF('Elève (6ème2)'!EB13:ED13,"A"))*4)+((COUNTIF('Elève (6ème2)'!EB13:ED13,"B"))*3)+((COUNTIF('Elève (6ème2)'!EB13:ED13,"C"))*2)+((COUNTIF('Elève (6ème2)'!EB13:ED13,"D"))*1))/(COUNTA(EB13:ED13)),"")</f>
        <v/>
      </c>
      <c r="EF13" s="184" t="str">
        <f t="shared" si="30"/>
        <v/>
      </c>
      <c r="EG13" s="183">
        <f>IF(COUNT(DU13,DZ13,EE13)=0,"",SUM(DU13,DZ13,EE13)/COUNT(DU13,DZ13,EE13))</f>
        <v>2.5</v>
      </c>
      <c r="EH13" s="207" t="str">
        <f t="shared" si="31"/>
        <v>C</v>
      </c>
      <c r="EI13" s="218" t="s">
        <v>25</v>
      </c>
      <c r="EJ13" s="100"/>
      <c r="EK13" s="101"/>
      <c r="EL13" s="183">
        <f>IFERROR((((COUNTIF('Elève (6ème2)'!EI13:EK13,"A"))*4)+((COUNTIF('Elève (6ème2)'!EI13:EK13,"B"))*3)+((COUNTIF('Elève (6ème2)'!EI13:EK13,"C"))*2)+((COUNTIF('Elève (6ème2)'!EI13:EK13,"D"))*1))/(COUNTA(EI13:EK13)),"")</f>
        <v>2</v>
      </c>
      <c r="EM13" s="184" t="str">
        <f t="shared" si="32"/>
        <v>C</v>
      </c>
      <c r="EN13" s="173"/>
      <c r="EO13" s="100"/>
      <c r="EP13" s="101" t="s">
        <v>24</v>
      </c>
      <c r="EQ13" s="183">
        <f>IFERROR((((COUNTIF('Elève (6ème2)'!EN13:EP13,"A"))*4)+((COUNTIF('Elève (6ème2)'!EN13:EP13,"B"))*3)+((COUNTIF('Elève (6ème2)'!EN13:EP13,"C"))*2)+((COUNTIF('Elève (6ème2)'!EN13:EP13,"D"))*1))/(COUNTA(EN13:EP13)),"")</f>
        <v>3</v>
      </c>
      <c r="ER13" s="184" t="str">
        <f t="shared" si="33"/>
        <v>B</v>
      </c>
      <c r="ES13" s="173"/>
      <c r="ET13" s="100" t="s">
        <v>23</v>
      </c>
      <c r="EU13" s="101"/>
      <c r="EV13" s="183">
        <f>IFERROR((((COUNTIF('Elève (6ème2)'!ES13:EU13,"A"))*4)+((COUNTIF('Elève (6ème2)'!ES13:EU13,"B"))*3)+((COUNTIF('Elève (6ème2)'!ES13:EU13,"C"))*2)+((COUNTIF('Elève (6ème2)'!ES13:EU13,"D"))*1))/(COUNTA(ES13:EU13)),"")</f>
        <v>4</v>
      </c>
      <c r="EW13" s="184" t="str">
        <f t="shared" si="34"/>
        <v>A</v>
      </c>
      <c r="EX13" s="183">
        <f>IF(COUNT(EL13,EQ13,EV13)=0,"",SUM(EL13,EQ13,EV13)/COUNT(EL13,EQ13,EV13))</f>
        <v>3</v>
      </c>
      <c r="EY13" s="207" t="str">
        <f t="shared" si="35"/>
        <v>B</v>
      </c>
      <c r="EZ13" s="218" t="s">
        <v>24</v>
      </c>
      <c r="FA13" s="100"/>
      <c r="FB13" s="101"/>
      <c r="FC13" s="183">
        <f>IFERROR((((COUNTIF('Elève (6ème2)'!EZ13:FB13,"A"))*4)+((COUNTIF('Elève (6ème2)'!EZ13:FB13,"B"))*3)+((COUNTIF('Elève (6ème2)'!EZ13:FB13,"C"))*2)+((COUNTIF('Elève (6ème2)'!EZ13:FB13,"D"))*1))/(COUNTA(EZ13:FB13)),"")</f>
        <v>3</v>
      </c>
      <c r="FD13" s="184" t="str">
        <f t="shared" si="36"/>
        <v>B</v>
      </c>
      <c r="FE13" s="173"/>
      <c r="FF13" s="100"/>
      <c r="FG13" s="101" t="s">
        <v>24</v>
      </c>
      <c r="FH13" s="183">
        <f>IFERROR((((COUNTIF('Elève (6ème2)'!FE13:FG13,"A"))*4)+((COUNTIF('Elève (6ème2)'!FE13:FG13,"B"))*3)+((COUNTIF('Elève (6ème2)'!FE13:FG13,"C"))*2)+((COUNTIF('Elève (6ème2)'!FE13:FG13,"D"))*1))/(COUNTA(FE13:FG13)),"")</f>
        <v>3</v>
      </c>
      <c r="FI13" s="184" t="str">
        <f t="shared" si="37"/>
        <v>B</v>
      </c>
      <c r="FJ13" s="173"/>
      <c r="FK13" s="100" t="s">
        <v>23</v>
      </c>
      <c r="FL13" s="101"/>
      <c r="FM13" s="183">
        <f>IFERROR((((COUNTIF('Elève (6ème2)'!FJ13:FL13,"A"))*4)+((COUNTIF('Elève (6ème2)'!FJ13:FL13,"B"))*3)+((COUNTIF('Elève (6ème2)'!FJ13:FL13,"C"))*2)+((COUNTIF('Elève (6ème2)'!FJ13:FL13,"D"))*1))/(COUNTA(FJ13:FL13)),"")</f>
        <v>4</v>
      </c>
      <c r="FN13" s="184" t="str">
        <f t="shared" si="38"/>
        <v>A</v>
      </c>
      <c r="FO13" s="183">
        <f>IF(COUNT(FC13,FH13,FM13)=0,"",SUM(FC13,FH13,FM13)/COUNT(FC13,FH13,FM13))</f>
        <v>3.3333333333333335</v>
      </c>
      <c r="FP13" s="207" t="str">
        <f t="shared" si="39"/>
        <v>B</v>
      </c>
      <c r="FQ13" s="218" t="s">
        <v>25</v>
      </c>
      <c r="FR13" s="100"/>
      <c r="FS13" s="101"/>
      <c r="FT13" s="183">
        <f>IFERROR((((COUNTIF('Elève (6ème2)'!FQ13:FS13,"A"))*4)+((COUNTIF('Elève (6ème2)'!FQ13:FS13,"B"))*3)+((COUNTIF('Elève (6ème2)'!FQ13:FS13,"C"))*2)+((COUNTIF('Elève (6ème2)'!FQ13:FS13,"D"))*1))/(COUNTA(FQ13:FS13)),"")</f>
        <v>2</v>
      </c>
      <c r="FU13" s="184" t="str">
        <f t="shared" si="40"/>
        <v>C</v>
      </c>
      <c r="FV13" s="173"/>
      <c r="FW13" s="100"/>
      <c r="FX13" s="101" t="s">
        <v>25</v>
      </c>
      <c r="FY13" s="183">
        <f>IFERROR((((COUNTIF('Elève (6ème2)'!FV13:FX13,"A"))*4)+((COUNTIF('Elève (6ème2)'!FV13:FX13,"B"))*3)+((COUNTIF('Elève (6ème2)'!FV13:FX13,"C"))*2)+((COUNTIF('Elève (6ème2)'!FV13:FX13,"D"))*1))/(COUNTA(FV13:FX13)),"")</f>
        <v>2</v>
      </c>
      <c r="FZ13" s="184" t="str">
        <f t="shared" si="41"/>
        <v>C</v>
      </c>
      <c r="GA13" s="173"/>
      <c r="GB13" s="100" t="s">
        <v>23</v>
      </c>
      <c r="GC13" s="101"/>
      <c r="GD13" s="183">
        <f>IFERROR((((COUNTIF('Elève (6ème2)'!GA13:GC13,"A"))*4)+((COUNTIF('Elève (6ème2)'!GA13:GC13,"B"))*3)+((COUNTIF('Elève (6ème2)'!GA13:GC13,"C"))*2)+((COUNTIF('Elève (6ème2)'!GA13:GC13,"D"))*1))/(COUNTA(GA13:GC13)),"")</f>
        <v>4</v>
      </c>
      <c r="GE13" s="184" t="str">
        <f t="shared" si="42"/>
        <v>A</v>
      </c>
      <c r="GF13" s="183">
        <f>IF(COUNT(FT13,FY13,GD13)=0,"",SUM(FT13,FY13,GD13)/COUNT(FT13,FY13,GD13))</f>
        <v>2.6666666666666665</v>
      </c>
      <c r="GG13" s="207" t="str">
        <f t="shared" si="43"/>
        <v>C</v>
      </c>
      <c r="GH13" s="218" t="s">
        <v>25</v>
      </c>
      <c r="GI13" s="100"/>
      <c r="GJ13" s="101"/>
      <c r="GK13" s="183">
        <f>IFERROR((((COUNTIF('Elève (6ème2)'!GH13:GJ13,"A"))*4)+((COUNTIF('Elève (6ème2)'!GH13:GJ13,"B"))*3)+((COUNTIF('Elève (6ème2)'!GH13:GJ13,"C"))*2)+((COUNTIF('Elève (6ème2)'!GH13:GJ13,"D"))*1))/(COUNTA(GH13:GJ13)),"")</f>
        <v>2</v>
      </c>
      <c r="GL13" s="184" t="str">
        <f t="shared" si="44"/>
        <v>C</v>
      </c>
      <c r="GM13" s="173"/>
      <c r="GN13" s="100"/>
      <c r="GO13" s="101" t="s">
        <v>24</v>
      </c>
      <c r="GP13" s="183">
        <f>IFERROR((((COUNTIF('Elève (6ème2)'!GM13:GO13,"A"))*4)+((COUNTIF('Elève (6ème2)'!GM13:GO13,"B"))*3)+((COUNTIF('Elève (6ème2)'!GM13:GO13,"C"))*2)+((COUNTIF('Elève (6ème2)'!GM13:GO13,"D"))*1))/(COUNTA(GM13:GO13)),"")</f>
        <v>3</v>
      </c>
      <c r="GQ13" s="184" t="str">
        <f t="shared" si="45"/>
        <v>B</v>
      </c>
      <c r="GR13" s="173"/>
      <c r="GS13" s="100" t="s">
        <v>23</v>
      </c>
      <c r="GT13" s="101"/>
      <c r="GU13" s="183">
        <f>IFERROR((((COUNTIF('Elève (6ème2)'!GR13:GT13,"A"))*4)+((COUNTIF('Elève (6ème2)'!GR13:GT13,"B"))*3)+((COUNTIF('Elève (6ème2)'!GR13:GT13,"C"))*2)+((COUNTIF('Elève (6ème2)'!GR13:GT13,"D"))*1))/(COUNTA(GR13:GT13)),"")</f>
        <v>4</v>
      </c>
      <c r="GV13" s="184" t="str">
        <f t="shared" si="46"/>
        <v>A</v>
      </c>
      <c r="GW13" s="183">
        <f>IF(COUNT(GK13,GP13,GU13)=0,"",SUM(GK13,GP13,GU13)/COUNT(GK13,GP13,GU13))</f>
        <v>3</v>
      </c>
      <c r="GX13" s="207" t="str">
        <f t="shared" si="47"/>
        <v>B</v>
      </c>
      <c r="GY13" s="218" t="s">
        <v>26</v>
      </c>
      <c r="GZ13" s="100"/>
      <c r="HA13" s="101"/>
      <c r="HB13" s="183">
        <f>IFERROR((((COUNTIF('Elève (6ème2)'!GY13:HA13,"A"))*4)+((COUNTIF('Elève (6ème2)'!GY13:HA13,"B"))*3)+((COUNTIF('Elève (6ème2)'!GY13:HA13,"C"))*2)+((COUNTIF('Elève (6ème2)'!GY13:HA13,"D"))*1))/(COUNTA(GY13:HA13)),"")</f>
        <v>1</v>
      </c>
      <c r="HC13" s="184" t="str">
        <f t="shared" si="48"/>
        <v>D</v>
      </c>
      <c r="HD13" s="173"/>
      <c r="HE13" s="100"/>
      <c r="HF13" s="101" t="s">
        <v>24</v>
      </c>
      <c r="HG13" s="183">
        <f>IFERROR((((COUNTIF('Elève (6ème2)'!HD13:HF13,"A"))*4)+((COUNTIF('Elève (6ème2)'!HD13:HF13,"B"))*3)+((COUNTIF('Elève (6ème2)'!HD13:HF13,"C"))*2)+((COUNTIF('Elève (6ème2)'!HD13:HF13,"D"))*1))/(COUNTA(HD13:HF13)),"")</f>
        <v>3</v>
      </c>
      <c r="HH13" s="184" t="str">
        <f t="shared" si="49"/>
        <v>B</v>
      </c>
      <c r="HI13" s="173"/>
      <c r="HJ13" s="100" t="s">
        <v>23</v>
      </c>
      <c r="HK13" s="101"/>
      <c r="HL13" s="183">
        <f>IFERROR((((COUNTIF('Elève (6ème2)'!HI13:HK13,"A"))*4)+((COUNTIF('Elève (6ème2)'!HI13:HK13,"B"))*3)+((COUNTIF('Elève (6ème2)'!HI13:HK13,"C"))*2)+((COUNTIF('Elève (6ème2)'!HI13:HK13,"D"))*1))/(COUNTA(HI13:HK13)),"")</f>
        <v>4</v>
      </c>
      <c r="HM13" s="184" t="str">
        <f t="shared" si="50"/>
        <v>A</v>
      </c>
      <c r="HN13" s="183">
        <f>IF(COUNT(HB13,HG13,HL13)=0,"",SUM(HB13,HG13,HL13)/COUNT(HB13,HG13,HL13))</f>
        <v>2.6666666666666665</v>
      </c>
      <c r="HO13" s="207" t="str">
        <f t="shared" si="51"/>
        <v>C</v>
      </c>
      <c r="HP13" s="218" t="s">
        <v>23</v>
      </c>
      <c r="HQ13" s="100"/>
      <c r="HR13" s="101"/>
      <c r="HS13" s="183">
        <f>IFERROR((((COUNTIF('Elève (6ème2)'!HP13:HR13,"A"))*4)+((COUNTIF('Elève (6ème2)'!HP13:HR13,"B"))*3)+((COUNTIF('Elève (6ème2)'!HP13:HR13,"C"))*2)+((COUNTIF('Elève (6ème2)'!HP13:HR13,"D"))*1))/(COUNTA(HP13:HR13)),"")</f>
        <v>4</v>
      </c>
      <c r="HT13" s="184" t="str">
        <f t="shared" si="52"/>
        <v>A</v>
      </c>
      <c r="HU13" s="173"/>
      <c r="HV13" s="100"/>
      <c r="HW13" s="101" t="s">
        <v>24</v>
      </c>
      <c r="HX13" s="183">
        <f>IFERROR((((COUNTIF('Elève (6ème2)'!HU13:HW13,"A"))*4)+((COUNTIF('Elève (6ème2)'!HU13:HW13,"B"))*3)+((COUNTIF('Elève (6ème2)'!HU13:HW13,"C"))*2)+((COUNTIF('Elève (6ème2)'!HU13:HW13,"D"))*1))/(COUNTA(HU13:HW13)),"")</f>
        <v>3</v>
      </c>
      <c r="HY13" s="184" t="str">
        <f t="shared" si="53"/>
        <v>B</v>
      </c>
      <c r="HZ13" s="173"/>
      <c r="IA13" s="100" t="s">
        <v>23</v>
      </c>
      <c r="IB13" s="101"/>
      <c r="IC13" s="183">
        <f>IFERROR((((COUNTIF('Elève (6ème2)'!HZ13:IB13,"A"))*4)+((COUNTIF('Elève (6ème2)'!HZ13:IB13,"B"))*3)+((COUNTIF('Elève (6ème2)'!HZ13:IB13,"C"))*2)+((COUNTIF('Elève (6ème2)'!HZ13:IB13,"D"))*1))/(COUNTA(HZ13:IB13)),"")</f>
        <v>4</v>
      </c>
      <c r="ID13" s="184" t="str">
        <f t="shared" si="54"/>
        <v>A</v>
      </c>
      <c r="IE13" s="183">
        <f>IF(COUNT(HS13,HX13,IC13)=0,"",SUM(HS13,HX13,IC13)/COUNT(HS13,HX13,IC13))</f>
        <v>3.6666666666666665</v>
      </c>
      <c r="IF13" s="207" t="str">
        <f t="shared" si="55"/>
        <v>B</v>
      </c>
      <c r="IG13" s="218" t="s">
        <v>26</v>
      </c>
      <c r="IH13" s="100"/>
      <c r="II13" s="101"/>
      <c r="IJ13" s="183">
        <f>IFERROR((((COUNTIF('Elève (6ème2)'!IG13:II13,"A"))*4)+((COUNTIF('Elève (6ème2)'!IG13:II13,"B"))*3)+((COUNTIF('Elève (6ème2)'!IG13:II13,"C"))*2)+((COUNTIF('Elève (6ème2)'!IG13:II13,"D"))*1))/(COUNTA(IG13:II13)),"")</f>
        <v>1</v>
      </c>
      <c r="IK13" s="184" t="str">
        <f t="shared" si="56"/>
        <v>D</v>
      </c>
      <c r="IL13" s="173"/>
      <c r="IM13" s="100"/>
      <c r="IN13" s="101" t="s">
        <v>24</v>
      </c>
      <c r="IO13" s="183">
        <f>IFERROR((((COUNTIF('Elève (6ème2)'!IL13:IN13,"A"))*4)+((COUNTIF('Elève (6ème2)'!IL13:IN13,"B"))*3)+((COUNTIF('Elève (6ème2)'!IL13:IN13,"C"))*2)+((COUNTIF('Elève (6ème2)'!IL13:IN13,"D"))*1))/(COUNTA(IL13:IN13)),"")</f>
        <v>3</v>
      </c>
      <c r="IP13" s="184" t="str">
        <f t="shared" si="57"/>
        <v>B</v>
      </c>
      <c r="IQ13" s="173"/>
      <c r="IR13" s="100" t="s">
        <v>23</v>
      </c>
      <c r="IS13" s="101"/>
      <c r="IT13" s="183">
        <f>IFERROR((((COUNTIF('Elève (6ème2)'!IQ13:IS13,"A"))*4)+((COUNTIF('Elève (6ème2)'!IQ13:IS13,"B"))*3)+((COUNTIF('Elève (6ème2)'!IQ13:IS13,"C"))*2)+((COUNTIF('Elève (6ème2)'!IQ13:IS13,"D"))*1))/(COUNTA(IQ13:IS13)),"")</f>
        <v>4</v>
      </c>
      <c r="IU13" s="184" t="str">
        <f t="shared" si="58"/>
        <v>A</v>
      </c>
      <c r="IV13" s="183">
        <f>IF(COUNT(IJ13,IO13,IT13)=0,"",SUM(IJ13,IO13,IT13)/COUNT(IJ13,IO13,IT13))</f>
        <v>2.6666666666666665</v>
      </c>
      <c r="IW13" s="207" t="str">
        <f t="shared" si="59"/>
        <v>C</v>
      </c>
      <c r="IX13" s="218" t="s">
        <v>25</v>
      </c>
      <c r="IY13" s="100"/>
      <c r="IZ13" s="101"/>
      <c r="JA13" s="183">
        <f>IFERROR((((COUNTIF('Elève (6ème2)'!IX13:IZ13,"A"))*4)+((COUNTIF('Elève (6ème2)'!IX13:IZ13,"B"))*3)+((COUNTIF('Elève (6ème2)'!IX13:IZ13,"C"))*2)+((COUNTIF('Elève (6ème2)'!IX13:IZ13,"D"))*1))/(COUNTA(IX13:IZ13)),"")</f>
        <v>2</v>
      </c>
      <c r="JB13" s="184" t="str">
        <f t="shared" si="60"/>
        <v>C</v>
      </c>
      <c r="JC13" s="173"/>
      <c r="JD13" s="100"/>
      <c r="JE13" s="101" t="s">
        <v>24</v>
      </c>
      <c r="JF13" s="183">
        <f>IFERROR((((COUNTIF('Elève (6ème2)'!JC13:JE13,"A"))*4)+((COUNTIF('Elève (6ème2)'!JC13:JE13,"B"))*3)+((COUNTIF('Elève (6ème2)'!JC13:JE13,"C"))*2)+((COUNTIF('Elève (6ème2)'!JC13:JE13,"D"))*1))/(COUNTA(JC13:JE13)),"")</f>
        <v>3</v>
      </c>
      <c r="JG13" s="184" t="str">
        <f t="shared" si="61"/>
        <v>B</v>
      </c>
      <c r="JH13" s="173"/>
      <c r="JI13" s="100" t="s">
        <v>23</v>
      </c>
      <c r="JJ13" s="101"/>
      <c r="JK13" s="183">
        <f>IFERROR((((COUNTIF('Elève (6ème2)'!JH13:JJ13,"A"))*4)+((COUNTIF('Elève (6ème2)'!JH13:JJ13,"B"))*3)+((COUNTIF('Elève (6ème2)'!JH13:JJ13,"C"))*2)+((COUNTIF('Elève (6ème2)'!JH13:JJ13,"D"))*1))/(COUNTA(JH13:JJ13)),"")</f>
        <v>4</v>
      </c>
      <c r="JL13" s="184" t="str">
        <f t="shared" si="62"/>
        <v>A</v>
      </c>
      <c r="JM13" s="183">
        <f>IF(COUNT(JA13,JF13,JK13)=0,"",SUM(JA13,JF13,JK13)/COUNT(JA13,JF13,JK13))</f>
        <v>3</v>
      </c>
      <c r="JN13" s="207" t="str">
        <f t="shared" si="63"/>
        <v>B</v>
      </c>
      <c r="JO13" s="218" t="s">
        <v>25</v>
      </c>
      <c r="JP13" s="100"/>
      <c r="JQ13" s="101"/>
      <c r="JR13" s="183">
        <f>IFERROR((((COUNTIF('Elève (6ème2)'!JO13:JQ13,"A"))*4)+((COUNTIF('Elève (6ème2)'!JO13:JQ13,"B"))*3)+((COUNTIF('Elève (6ème2)'!JO13:JQ13,"C"))*2)+((COUNTIF('Elève (6ème2)'!JO13:JQ13,"D"))*1))/(COUNTA(JO13:JQ13)),"")</f>
        <v>2</v>
      </c>
      <c r="JS13" s="184" t="str">
        <f t="shared" si="64"/>
        <v>C</v>
      </c>
      <c r="JT13" s="173"/>
      <c r="JU13" s="100"/>
      <c r="JV13" s="101" t="s">
        <v>24</v>
      </c>
      <c r="JW13" s="183">
        <f>IFERROR((((COUNTIF('Elève (6ème2)'!JT13:JV13,"A"))*4)+((COUNTIF('Elève (6ème2)'!JT13:JV13,"B"))*3)+((COUNTIF('Elève (6ème2)'!JT13:JV13,"C"))*2)+((COUNTIF('Elève (6ème2)'!JT13:JV13,"D"))*1))/(COUNTA(JT13:JV13)),"")</f>
        <v>3</v>
      </c>
      <c r="JX13" s="184" t="str">
        <f t="shared" si="65"/>
        <v>B</v>
      </c>
      <c r="JY13" s="173"/>
      <c r="JZ13" s="100" t="s">
        <v>23</v>
      </c>
      <c r="KA13" s="101"/>
      <c r="KB13" s="183">
        <f>IFERROR((((COUNTIF('Elève (6ème2)'!JY13:KA13,"A"))*4)+((COUNTIF('Elève (6ème2)'!JY13:KA13,"B"))*3)+((COUNTIF('Elève (6ème2)'!JY13:KA13,"C"))*2)+((COUNTIF('Elève (6ème2)'!JY13:KA13,"D"))*1))/(COUNTA(JY13:KA13)),"")</f>
        <v>4</v>
      </c>
      <c r="KC13" s="184" t="str">
        <f t="shared" si="66"/>
        <v>A</v>
      </c>
      <c r="KD13" s="183">
        <f>IF(COUNT(JR13,JW13,KB13)=0,"",SUM(JR13,JW13,KB13)/COUNT(JR13,JW13,KB13))</f>
        <v>3</v>
      </c>
      <c r="KE13" s="207" t="str">
        <f t="shared" si="67"/>
        <v>B</v>
      </c>
      <c r="KF13" s="218" t="s">
        <v>24</v>
      </c>
      <c r="KG13" s="100"/>
      <c r="KH13" s="101"/>
      <c r="KI13" s="183">
        <f>IFERROR((((COUNTIF('Elève (6ème2)'!KF13:KH13,"A"))*4)+((COUNTIF('Elève (6ème2)'!KF13:KH13,"B"))*3)+((COUNTIF('Elève (6ème2)'!KF13:KH13,"C"))*2)+((COUNTIF('Elève (6ème2)'!KF13:KH13,"D"))*1))/(COUNTA(KF13:KH13)),"")</f>
        <v>3</v>
      </c>
      <c r="KJ13" s="184" t="str">
        <f t="shared" si="68"/>
        <v>B</v>
      </c>
      <c r="KK13" s="173"/>
      <c r="KL13" s="100"/>
      <c r="KM13" s="101" t="s">
        <v>24</v>
      </c>
      <c r="KN13" s="183">
        <f>IFERROR((((COUNTIF('Elève (6ème2)'!KK13:KM13,"A"))*4)+((COUNTIF('Elève (6ème2)'!KK13:KM13,"B"))*3)+((COUNTIF('Elève (6ème2)'!KK13:KM13,"C"))*2)+((COUNTIF('Elève (6ème2)'!KK13:KM13,"D"))*1))/(COUNTA(KK13:KM13)),"")</f>
        <v>3</v>
      </c>
      <c r="KO13" s="184" t="str">
        <f t="shared" si="69"/>
        <v>B</v>
      </c>
      <c r="KP13" s="173"/>
      <c r="KQ13" s="100" t="s">
        <v>23</v>
      </c>
      <c r="KR13" s="101"/>
      <c r="KS13" s="183">
        <f>IFERROR((((COUNTIF('Elève (6ème2)'!KP13:KR13,"A"))*4)+((COUNTIF('Elève (6ème2)'!KP13:KR13,"B"))*3)+((COUNTIF('Elève (6ème2)'!KP13:KR13,"C"))*2)+((COUNTIF('Elève (6ème2)'!KP13:KR13,"D"))*1))/(COUNTA(KP13:KR13)),"")</f>
        <v>4</v>
      </c>
      <c r="KT13" s="184" t="str">
        <f t="shared" si="70"/>
        <v>A</v>
      </c>
      <c r="KU13" s="183">
        <f>IF(COUNT(KI13,KN13,KS13)=0,"",SUM(KI13,KN13,KS13)/COUNT(KI13,KN13,KS13))</f>
        <v>3.3333333333333335</v>
      </c>
      <c r="KV13" s="207" t="str">
        <f t="shared" si="71"/>
        <v>B</v>
      </c>
      <c r="KW13" s="218" t="s">
        <v>26</v>
      </c>
      <c r="KX13" s="100"/>
      <c r="KY13" s="101"/>
      <c r="KZ13" s="183">
        <f>IFERROR((((COUNTIF('Elève (6ème2)'!KW13:KY13,"A"))*4)+((COUNTIF('Elève (6ème2)'!KW13:KY13,"B"))*3)+((COUNTIF('Elève (6ème2)'!KW13:KY13,"C"))*2)+((COUNTIF('Elève (6ème2)'!KW13:KY13,"D"))*1))/(COUNTA(KW13:KY13)),"")</f>
        <v>1</v>
      </c>
      <c r="LA13" s="184" t="str">
        <f t="shared" si="72"/>
        <v>D</v>
      </c>
      <c r="LB13" s="173"/>
      <c r="LC13" s="100"/>
      <c r="LD13" s="101" t="s">
        <v>23</v>
      </c>
      <c r="LE13" s="183">
        <f>IFERROR((((COUNTIF('Elève (6ème2)'!LB13:LD13,"A"))*4)+((COUNTIF('Elève (6ème2)'!LB13:LD13,"B"))*3)+((COUNTIF('Elève (6ème2)'!LB13:LD13,"C"))*2)+((COUNTIF('Elève (6ème2)'!LB13:LD13,"D"))*1))/(COUNTA(LB13:LD13)),"")</f>
        <v>4</v>
      </c>
      <c r="LF13" s="184" t="str">
        <f t="shared" si="73"/>
        <v>A</v>
      </c>
      <c r="LG13" s="173"/>
      <c r="LH13" s="100" t="s">
        <v>23</v>
      </c>
      <c r="LI13" s="101"/>
      <c r="LJ13" s="183">
        <f>IFERROR((((COUNTIF('Elève (6ème2)'!LG13:LI13,"A"))*4)+((COUNTIF('Elève (6ème2)'!LG13:LI13,"B"))*3)+((COUNTIF('Elève (6ème2)'!LG13:LI13,"C"))*2)+((COUNTIF('Elève (6ème2)'!LG13:LI13,"D"))*1))/(COUNTA(LG13:LI13)),"")</f>
        <v>4</v>
      </c>
      <c r="LK13" s="184" t="str">
        <f t="shared" si="74"/>
        <v>A</v>
      </c>
      <c r="LL13" s="183">
        <f>IF(COUNT(KZ13,LE13,LJ13)=0,"",SUM(KZ13,LE13,LJ13)/COUNT(KZ13,LE13,LJ13))</f>
        <v>3</v>
      </c>
      <c r="LM13" s="207" t="str">
        <f t="shared" si="75"/>
        <v>B</v>
      </c>
      <c r="LN13" s="218" t="s">
        <v>25</v>
      </c>
      <c r="LO13" s="100"/>
      <c r="LP13" s="101"/>
      <c r="LQ13" s="183">
        <f>IFERROR((((COUNTIF('Elève (6ème2)'!LN13:LP13,"A"))*4)+((COUNTIF('Elève (6ème2)'!LN13:LP13,"B"))*3)+((COUNTIF('Elève (6ème2)'!LN13:LP13,"C"))*2)+((COUNTIF('Elève (6ème2)'!LN13:LP13,"D"))*1))/(COUNTA(LN13:LP13)),"")</f>
        <v>2</v>
      </c>
      <c r="LR13" s="184" t="str">
        <f t="shared" si="76"/>
        <v>C</v>
      </c>
      <c r="LS13" s="173"/>
      <c r="LT13" s="100"/>
      <c r="LU13" s="101"/>
      <c r="LV13" s="183" t="str">
        <f>IFERROR((((COUNTIF('Elève (6ème2)'!LS13:LU13,"A"))*4)+((COUNTIF('Elève (6ème2)'!LS13:LU13,"B"))*3)+((COUNTIF('Elève (6ème2)'!LS13:LU13,"C"))*2)+((COUNTIF('Elève (6ème2)'!LS13:LU13,"D"))*1))/(COUNTA(LS13:LU13)),"")</f>
        <v/>
      </c>
      <c r="LW13" s="184" t="str">
        <f t="shared" si="77"/>
        <v/>
      </c>
      <c r="LX13" s="173"/>
      <c r="LY13" s="100" t="s">
        <v>23</v>
      </c>
      <c r="LZ13" s="101"/>
      <c r="MA13" s="183">
        <f>IFERROR((((COUNTIF('Elève (6ème2)'!LX13:LZ13,"A"))*4)+((COUNTIF('Elève (6ème2)'!LX13:LZ13,"B"))*3)+((COUNTIF('Elève (6ème2)'!LX13:LZ13,"C"))*2)+((COUNTIF('Elève (6ème2)'!LX13:LZ13,"D"))*1))/(COUNTA(LX13:LZ13)),"")</f>
        <v>4</v>
      </c>
      <c r="MB13" s="184" t="str">
        <f t="shared" si="78"/>
        <v>A</v>
      </c>
      <c r="MC13" s="183">
        <f>IF(COUNT(LQ13,LV13,MA13)=0,"",SUM(LQ13,LV13,MA13)/COUNT(LQ13,LV13,MA13))</f>
        <v>3</v>
      </c>
      <c r="MD13" s="207" t="str">
        <f t="shared" si="79"/>
        <v>B</v>
      </c>
      <c r="ME13" s="218" t="s">
        <v>24</v>
      </c>
      <c r="MF13" s="100"/>
      <c r="MG13" s="101"/>
      <c r="MH13" s="183">
        <f>IFERROR((((COUNTIF('Elève (6ème2)'!ME13:MG13,"A"))*4)+((COUNTIF('Elève (6ème2)'!ME13:MG13,"B"))*3)+((COUNTIF('Elève (6ème2)'!ME13:MG13,"C"))*2)+((COUNTIF('Elève (6ème2)'!ME13:MG13,"D"))*1))/(COUNTA(ME13:MG13)),"")</f>
        <v>3</v>
      </c>
      <c r="MI13" s="184" t="str">
        <f t="shared" si="80"/>
        <v>B</v>
      </c>
      <c r="MJ13" s="173"/>
      <c r="MK13" s="100"/>
      <c r="ML13" s="101" t="s">
        <v>24</v>
      </c>
      <c r="MM13" s="183">
        <f>IFERROR((((COUNTIF('Elève (6ème2)'!MJ13:ML13,"A"))*4)+((COUNTIF('Elève (6ème2)'!MJ13:ML13,"B"))*3)+((COUNTIF('Elève (6ème2)'!MJ13:ML13,"C"))*2)+((COUNTIF('Elève (6ème2)'!MJ13:ML13,"D"))*1))/(COUNTA(MJ13:ML13)),"")</f>
        <v>3</v>
      </c>
      <c r="MN13" s="184" t="str">
        <f t="shared" si="81"/>
        <v>B</v>
      </c>
      <c r="MO13" s="173"/>
      <c r="MP13" s="100" t="s">
        <v>23</v>
      </c>
      <c r="MQ13" s="101"/>
      <c r="MR13" s="183">
        <f>IFERROR((((COUNTIF('Elève (6ème2)'!MO13:MQ13,"A"))*4)+((COUNTIF('Elève (6ème2)'!MO13:MQ13,"B"))*3)+((COUNTIF('Elève (6ème2)'!MO13:MQ13,"C"))*2)+((COUNTIF('Elève (6ème2)'!MO13:MQ13,"D"))*1))/(COUNTA(MO13:MQ13)),"")</f>
        <v>4</v>
      </c>
      <c r="MS13" s="184" t="str">
        <f t="shared" si="82"/>
        <v>A</v>
      </c>
      <c r="MT13" s="183">
        <f>IF(COUNT(MH13,MM13,MR13)=0,"",SUM(MH13,MM13,MR13)/COUNT(MH13,MM13,MR13))</f>
        <v>3.3333333333333335</v>
      </c>
      <c r="MU13" s="207" t="str">
        <f t="shared" si="83"/>
        <v>B</v>
      </c>
      <c r="MV13" s="218" t="s">
        <v>25</v>
      </c>
      <c r="MW13" s="100"/>
      <c r="MX13" s="101"/>
      <c r="MY13" s="183">
        <f>IFERROR((((COUNTIF('Elève (6ème2)'!MV13:MX13,"A"))*4)+((COUNTIF('Elève (6ème2)'!MV13:MX13,"B"))*3)+((COUNTIF('Elève (6ème2)'!MV13:MX13,"C"))*2)+((COUNTIF('Elève (6ème2)'!MV13:MX13,"D"))*1))/(COUNTA(MV13:MX13)),"")</f>
        <v>2</v>
      </c>
      <c r="MZ13" s="184" t="str">
        <f t="shared" si="84"/>
        <v>C</v>
      </c>
      <c r="NA13" s="173"/>
      <c r="NB13" s="100"/>
      <c r="NC13" s="101" t="s">
        <v>25</v>
      </c>
      <c r="ND13" s="183">
        <f>IFERROR((((COUNTIF('Elève (6ème2)'!NA13:NC13,"A"))*4)+((COUNTIF('Elève (6ème2)'!NA13:NC13,"B"))*3)+((COUNTIF('Elève (6ème2)'!NA13:NC13,"C"))*2)+((COUNTIF('Elève (6ème2)'!NA13:NC13,"D"))*1))/(COUNTA(NA13:NC13)),"")</f>
        <v>2</v>
      </c>
      <c r="NE13" s="184" t="str">
        <f t="shared" si="85"/>
        <v>C</v>
      </c>
      <c r="NF13" s="173"/>
      <c r="NG13" s="100" t="s">
        <v>23</v>
      </c>
      <c r="NH13" s="101"/>
      <c r="NI13" s="183">
        <f>IFERROR((((COUNTIF('Elève (6ème2)'!NF13:NH13,"A"))*4)+((COUNTIF('Elève (6ème2)'!NF13:NH13,"B"))*3)+((COUNTIF('Elève (6ème2)'!NF13:NH13,"C"))*2)+((COUNTIF('Elève (6ème2)'!NF13:NH13,"D"))*1))/(COUNTA(NF13:NH13)),"")</f>
        <v>4</v>
      </c>
      <c r="NJ13" s="184" t="str">
        <f t="shared" si="86"/>
        <v>A</v>
      </c>
      <c r="NK13" s="183">
        <f>IF(COUNT(MY13,ND13,NI13)=0,"",SUM(MY13,ND13,NI13)/COUNT(MY13,ND13,NI13))</f>
        <v>2.6666666666666665</v>
      </c>
      <c r="NL13" s="207" t="str">
        <f t="shared" si="87"/>
        <v>C</v>
      </c>
      <c r="NM13" s="218" t="s">
        <v>24</v>
      </c>
      <c r="NN13" s="100"/>
      <c r="NO13" s="101"/>
      <c r="NP13" s="183">
        <f>IFERROR((((COUNTIF('Elève (6ème2)'!NM13:NO13,"A"))*4)+((COUNTIF('Elève (6ème2)'!NM13:NO13,"B"))*3)+((COUNTIF('Elève (6ème2)'!NM13:NO13,"C"))*2)+((COUNTIF('Elève (6ème2)'!NM13:NO13,"D"))*1))/(COUNTA(NM13:NO13)),"")</f>
        <v>3</v>
      </c>
      <c r="NQ13" s="184" t="str">
        <f t="shared" si="88"/>
        <v>B</v>
      </c>
      <c r="NR13" s="173"/>
      <c r="NS13" s="100"/>
      <c r="NT13" s="101" t="s">
        <v>24</v>
      </c>
      <c r="NU13" s="183">
        <f>IFERROR((((COUNTIF('Elève (6ème2)'!NR13:NT13,"A"))*4)+((COUNTIF('Elève (6ème2)'!NR13:NT13,"B"))*3)+((COUNTIF('Elève (6ème2)'!NR13:NT13,"C"))*2)+((COUNTIF('Elève (6ème2)'!NR13:NT13,"D"))*1))/(COUNTA(NR13:NT13)),"")</f>
        <v>3</v>
      </c>
      <c r="NV13" s="184" t="str">
        <f t="shared" si="89"/>
        <v>B</v>
      </c>
      <c r="NW13" s="173"/>
      <c r="NX13" s="100" t="s">
        <v>23</v>
      </c>
      <c r="NY13" s="101"/>
      <c r="NZ13" s="183">
        <f>IFERROR((((COUNTIF('Elève (6ème2)'!NW13:NY13,"A"))*4)+((COUNTIF('Elève (6ème2)'!NW13:NY13,"B"))*3)+((COUNTIF('Elève (6ème2)'!NW13:NY13,"C"))*2)+((COUNTIF('Elève (6ème2)'!NW13:NY13,"D"))*1))/(COUNTA(NW13:NY13)),"")</f>
        <v>4</v>
      </c>
      <c r="OA13" s="184" t="str">
        <f t="shared" si="90"/>
        <v>A</v>
      </c>
      <c r="OB13" s="183">
        <f>IF(COUNT(NP13,NU13,NZ13)=0,"",SUM(NP13,NU13,NZ13)/COUNT(NP13,NU13,NZ13))</f>
        <v>3.3333333333333335</v>
      </c>
      <c r="OC13" s="207" t="str">
        <f t="shared" si="91"/>
        <v>B</v>
      </c>
      <c r="OD13" s="218" t="s">
        <v>26</v>
      </c>
      <c r="OE13" s="100"/>
      <c r="OF13" s="101"/>
      <c r="OG13" s="183">
        <f>IFERROR((((COUNTIF('Elève (6ème2)'!OD13:OF13,"A"))*4)+((COUNTIF('Elève (6ème2)'!OD13:OF13,"B"))*3)+((COUNTIF('Elève (6ème2)'!OD13:OF13,"C"))*2)+((COUNTIF('Elève (6ème2)'!OD13:OF13,"D"))*1))/(COUNTA(OD13:OF13)),"")</f>
        <v>1</v>
      </c>
      <c r="OH13" s="184" t="str">
        <f t="shared" si="92"/>
        <v>D</v>
      </c>
      <c r="OI13" s="173"/>
      <c r="OJ13" s="100"/>
      <c r="OK13" s="101" t="s">
        <v>24</v>
      </c>
      <c r="OL13" s="183">
        <f>IFERROR((((COUNTIF('Elève (6ème2)'!OI13:OK13,"A"))*4)+((COUNTIF('Elève (6ème2)'!OI13:OK13,"B"))*3)+((COUNTIF('Elève (6ème2)'!OI13:OK13,"C"))*2)+((COUNTIF('Elève (6ème2)'!OI13:OK13,"D"))*1))/(COUNTA(OI13:OK13)),"")</f>
        <v>3</v>
      </c>
      <c r="OM13" s="184" t="str">
        <f t="shared" si="93"/>
        <v>B</v>
      </c>
      <c r="ON13" s="173"/>
      <c r="OO13" s="100"/>
      <c r="OP13" s="101"/>
      <c r="OQ13" s="183" t="str">
        <f>IFERROR((((COUNTIF('Elève (6ème2)'!ON13:OP13,"A"))*4)+((COUNTIF('Elève (6ème2)'!ON13:OP13,"B"))*3)+((COUNTIF('Elève (6ème2)'!ON13:OP13,"C"))*2)+((COUNTIF('Elève (6ème2)'!ON13:OP13,"D"))*1))/(COUNTA(ON13:OP13)),"")</f>
        <v/>
      </c>
      <c r="OR13" s="184" t="str">
        <f t="shared" si="94"/>
        <v/>
      </c>
      <c r="OS13" s="183">
        <f>IF(COUNT(OG13,OL13,OQ13)=0,"",SUM(OG13,OL13,OQ13)/COUNT(OG13,OL13,OQ13))</f>
        <v>2</v>
      </c>
      <c r="OT13" s="207" t="str">
        <f t="shared" si="95"/>
        <v>C</v>
      </c>
      <c r="OU13" s="218" t="s">
        <v>25</v>
      </c>
      <c r="OV13" s="100"/>
      <c r="OW13" s="101"/>
      <c r="OX13" s="183">
        <f>IFERROR((((COUNTIF('Elève (6ème2)'!OU13:OW13,"A"))*4)+((COUNTIF('Elève (6ème2)'!OU13:OW13,"B"))*3)+((COUNTIF('Elève (6ème2)'!OU13:OW13,"C"))*2)+((COUNTIF('Elève (6ème2)'!OU13:OW13,"D"))*1))/(COUNTA(OU13:OW13)),"")</f>
        <v>2</v>
      </c>
      <c r="OY13" s="184" t="str">
        <f t="shared" si="96"/>
        <v>C</v>
      </c>
      <c r="OZ13" s="173"/>
      <c r="PA13" s="100"/>
      <c r="PB13" s="101" t="s">
        <v>23</v>
      </c>
      <c r="PC13" s="183">
        <f>IFERROR((((COUNTIF('Elève (6ème2)'!OZ13:PB13,"A"))*4)+((COUNTIF('Elève (6ème2)'!OZ13:PB13,"B"))*3)+((COUNTIF('Elève (6ème2)'!OZ13:PB13,"C"))*2)+((COUNTIF('Elève (6ème2)'!OZ13:PB13,"D"))*1))/(COUNTA(OZ13:PB13)),"")</f>
        <v>4</v>
      </c>
      <c r="PD13" s="184" t="str">
        <f t="shared" si="97"/>
        <v>A</v>
      </c>
      <c r="PE13" s="173"/>
      <c r="PF13" s="100" t="s">
        <v>23</v>
      </c>
      <c r="PG13" s="101"/>
      <c r="PH13" s="183">
        <f>IFERROR((((COUNTIF('Elève (6ème2)'!PE13:PG13,"A"))*4)+((COUNTIF('Elève (6ème2)'!PE13:PG13,"B"))*3)+((COUNTIF('Elève (6ème2)'!PE13:PG13,"C"))*2)+((COUNTIF('Elève (6ème2)'!PE13:PG13,"D"))*1))/(COUNTA(PE13:PG13)),"")</f>
        <v>4</v>
      </c>
      <c r="PI13" s="184" t="str">
        <f t="shared" si="98"/>
        <v>A</v>
      </c>
      <c r="PJ13" s="183">
        <f>IF(COUNT(OX13,PC13,PH13)=0,"",SUM(OX13,PC13,PH13)/COUNT(OX13,PC13,PH13))</f>
        <v>3.3333333333333335</v>
      </c>
      <c r="PK13" s="207" t="str">
        <f t="shared" si="99"/>
        <v>B</v>
      </c>
      <c r="PL13" s="218" t="s">
        <v>24</v>
      </c>
      <c r="PM13" s="100"/>
      <c r="PN13" s="101"/>
      <c r="PO13" s="183">
        <f>IFERROR((((COUNTIF('Elève (6ème2)'!PL13:PN13,"A"))*4)+((COUNTIF('Elève (6ème2)'!PL13:PN13,"B"))*3)+((COUNTIF('Elève (6ème2)'!PL13:PN13,"C"))*2)+((COUNTIF('Elève (6ème2)'!PL13:PN13,"D"))*1))/(COUNTA(PL13:PN13)),"")</f>
        <v>3</v>
      </c>
      <c r="PP13" s="184" t="str">
        <f t="shared" si="100"/>
        <v>B</v>
      </c>
      <c r="PQ13" s="173"/>
      <c r="PR13" s="100"/>
      <c r="PS13" s="101" t="s">
        <v>24</v>
      </c>
      <c r="PT13" s="183">
        <f>IFERROR((((COUNTIF('Elève (6ème2)'!PQ13:PS13,"A"))*4)+((COUNTIF('Elève (6ème2)'!PQ13:PS13,"B"))*3)+((COUNTIF('Elève (6ème2)'!PQ13:PS13,"C"))*2)+((COUNTIF('Elève (6ème2)'!PQ13:PS13,"D"))*1))/(COUNTA(PQ13:PS13)),"")</f>
        <v>3</v>
      </c>
      <c r="PU13" s="184" t="str">
        <f t="shared" si="101"/>
        <v>B</v>
      </c>
      <c r="PV13" s="173"/>
      <c r="PW13" s="100" t="s">
        <v>23</v>
      </c>
      <c r="PX13" s="101"/>
      <c r="PY13" s="183">
        <f>IFERROR((((COUNTIF('Elève (6ème2)'!PV13:PX13,"A"))*4)+((COUNTIF('Elève (6ème2)'!PV13:PX13,"B"))*3)+((COUNTIF('Elève (6ème2)'!PV13:PX13,"C"))*2)+((COUNTIF('Elève (6ème2)'!PV13:PX13,"D"))*1))/(COUNTA(PV13:PX13)),"")</f>
        <v>4</v>
      </c>
      <c r="PZ13" s="184" t="str">
        <f t="shared" si="102"/>
        <v>A</v>
      </c>
      <c r="QA13" s="183">
        <f>IF(COUNT(PO13,PT13,PY13)=0,"",SUM(PO13,PT13,PY13)/COUNT(PO13,PT13,PY13))</f>
        <v>3.3333333333333335</v>
      </c>
      <c r="QB13" s="207" t="str">
        <f t="shared" si="103"/>
        <v>B</v>
      </c>
      <c r="QC13" s="218"/>
      <c r="QD13" s="100"/>
      <c r="QE13" s="101"/>
      <c r="QF13" s="183" t="str">
        <f>IFERROR((((COUNTIF('Elève (6ème2)'!QC13:QE13,"A"))*4)+((COUNTIF('Elève (6ème2)'!QC13:QE13,"B"))*3)+((COUNTIF('Elève (6ème2)'!QC13:QE13,"C"))*2)+((COUNTIF('Elève (6ème2)'!QC13:QE13,"D"))*1))/(COUNTA(QC13:QE13)),"")</f>
        <v/>
      </c>
      <c r="QG13" s="184" t="str">
        <f t="shared" si="104"/>
        <v/>
      </c>
      <c r="QH13" s="173"/>
      <c r="QI13" s="100"/>
      <c r="QJ13" s="101"/>
      <c r="QK13" s="183" t="str">
        <f>IFERROR((((COUNTIF('Elève (6ème2)'!QH13:QJ13,"A"))*4)+((COUNTIF('Elève (6ème2)'!QH13:QJ13,"B"))*3)+((COUNTIF('Elève (6ème2)'!QH13:QJ13,"C"))*2)+((COUNTIF('Elève (6ème2)'!QH13:QJ13,"D"))*1))/(COUNTA(QH13:QJ13)),"")</f>
        <v/>
      </c>
      <c r="QL13" s="184" t="str">
        <f t="shared" si="105"/>
        <v/>
      </c>
      <c r="QM13" s="173"/>
      <c r="QN13" s="100" t="s">
        <v>23</v>
      </c>
      <c r="QO13" s="101"/>
      <c r="QP13" s="183">
        <f>IFERROR((((COUNTIF('Elève (6ème2)'!QM13:QO13,"A"))*4)+((COUNTIF('Elève (6ème2)'!QM13:QO13,"B"))*3)+((COUNTIF('Elève (6ème2)'!QM13:QO13,"C"))*2)+((COUNTIF('Elève (6ème2)'!QM13:QO13,"D"))*1))/(COUNTA(QM13:QO13)),"")</f>
        <v>4</v>
      </c>
      <c r="QQ13" s="184" t="str">
        <f t="shared" si="106"/>
        <v>A</v>
      </c>
      <c r="QR13" s="183">
        <f>IF(COUNT(QF13,QK13,QP13)=0,"",SUM(QF13,QK13,QP13)/COUNT(QF13,QK13,QP13))</f>
        <v>4</v>
      </c>
      <c r="QS13" s="207" t="str">
        <f t="shared" si="107"/>
        <v>A</v>
      </c>
      <c r="QT13" s="218" t="s">
        <v>26</v>
      </c>
      <c r="QU13" s="100"/>
      <c r="QV13" s="101"/>
      <c r="QW13" s="183">
        <f>IFERROR((((COUNTIF('Elève (6ème2)'!QT13:QV13,"A"))*4)+((COUNTIF('Elève (6ème2)'!QT13:QV13,"B"))*3)+((COUNTIF('Elève (6ème2)'!QT13:QV13,"C"))*2)+((COUNTIF('Elève (6ème2)'!QT13:QV13,"D"))*1))/(COUNTA(QT13:QV13)),"")</f>
        <v>1</v>
      </c>
      <c r="QX13" s="184" t="str">
        <f t="shared" si="108"/>
        <v>D</v>
      </c>
      <c r="QY13" s="173"/>
      <c r="QZ13" s="100"/>
      <c r="RA13" s="101"/>
      <c r="RB13" s="183" t="str">
        <f>IFERROR((((COUNTIF('Elève (6ème2)'!QY13:RA13,"A"))*4)+((COUNTIF('Elève (6ème2)'!QY13:RA13,"B"))*3)+((COUNTIF('Elève (6ème2)'!QY13:RA13,"C"))*2)+((COUNTIF('Elève (6ème2)'!QY13:RA13,"D"))*1))/(COUNTA(QY13:RA13)),"")</f>
        <v/>
      </c>
      <c r="RC13" s="184" t="str">
        <f t="shared" si="109"/>
        <v/>
      </c>
      <c r="RD13" s="173"/>
      <c r="RE13" s="100"/>
      <c r="RF13" s="101"/>
      <c r="RG13" s="183" t="str">
        <f>IFERROR((((COUNTIF('Elève (6ème2)'!RD13:RF13,"A"))*4)+((COUNTIF('Elève (6ème2)'!RD13:RF13,"B"))*3)+((COUNTIF('Elève (6ème2)'!RD13:RF13,"C"))*2)+((COUNTIF('Elève (6ème2)'!RD13:RF13,"D"))*1))/(COUNTA(RD13:RF13)),"")</f>
        <v/>
      </c>
      <c r="RH13" s="184" t="str">
        <f t="shared" si="110"/>
        <v/>
      </c>
      <c r="RI13" s="183">
        <f>IF(COUNT(QW13,RB13,RG13)=0,"",SUM(QW13,RB13,RG13)/COUNT(QW13,RB13,RG13))</f>
        <v>1</v>
      </c>
      <c r="RJ13" s="207" t="str">
        <f t="shared" si="111"/>
        <v>D</v>
      </c>
      <c r="RK13" s="218" t="s">
        <v>24</v>
      </c>
      <c r="RL13" s="100"/>
      <c r="RM13" s="101"/>
      <c r="RN13" s="183">
        <f>IFERROR((((COUNTIF('Elève (6ème2)'!RK13:RM13,"A"))*4)+((COUNTIF('Elève (6ème2)'!RK13:RM13,"B"))*3)+((COUNTIF('Elève (6ème2)'!RK13:RM13,"C"))*2)+((COUNTIF('Elève (6ème2)'!RK13:RM13,"D"))*1))/(COUNTA(RK13:RM13)),"")</f>
        <v>3</v>
      </c>
      <c r="RO13" s="184" t="str">
        <f t="shared" si="112"/>
        <v>B</v>
      </c>
      <c r="RP13" s="173"/>
      <c r="RQ13" s="100"/>
      <c r="RR13" s="101"/>
      <c r="RS13" s="183" t="str">
        <f>IFERROR((((COUNTIF('Elève (6ème2)'!RP13:RR13,"A"))*4)+((COUNTIF('Elève (6ème2)'!RP13:RR13,"B"))*3)+((COUNTIF('Elève (6ème2)'!RP13:RR13,"C"))*2)+((COUNTIF('Elève (6ème2)'!RP13:RR13,"D"))*1))/(COUNTA(RP13:RR13)),"")</f>
        <v/>
      </c>
      <c r="RT13" s="184" t="str">
        <f t="shared" si="113"/>
        <v/>
      </c>
      <c r="RU13" s="173"/>
      <c r="RV13" s="100" t="s">
        <v>23</v>
      </c>
      <c r="RW13" s="101"/>
      <c r="RX13" s="183">
        <f>IFERROR((((COUNTIF('Elève (6ème2)'!RU13:RW13,"A"))*4)+((COUNTIF('Elève (6ème2)'!RU13:RW13,"B"))*3)+((COUNTIF('Elève (6ème2)'!RU13:RW13,"C"))*2)+((COUNTIF('Elève (6ème2)'!RU13:RW13,"D"))*1))/(COUNTA(RU13:RW13)),"")</f>
        <v>4</v>
      </c>
      <c r="RY13" s="184" t="str">
        <f t="shared" si="114"/>
        <v>A</v>
      </c>
      <c r="RZ13" s="183">
        <f>IF(COUNT(RN13,RS13,RX13)=0,"",SUM(RN13,RS13,RX13)/COUNT(RN13,RS13,RX13))</f>
        <v>3.5</v>
      </c>
      <c r="SA13" s="207" t="str">
        <f t="shared" si="115"/>
        <v>B</v>
      </c>
      <c r="SB13" s="218" t="s">
        <v>24</v>
      </c>
      <c r="SC13" s="100"/>
      <c r="SD13" s="101"/>
      <c r="SE13" s="183">
        <f>IFERROR((((COUNTIF('Elève (6ème2)'!SB13:SD13,"A"))*4)+((COUNTIF('Elève (6ème2)'!SB13:SD13,"B"))*3)+((COUNTIF('Elève (6ème2)'!SB13:SD13,"C"))*2)+((COUNTIF('Elève (6ème2)'!SB13:SD13,"D"))*1))/(COUNTA(SB13:SD13)),"")</f>
        <v>3</v>
      </c>
      <c r="SF13" s="184" t="str">
        <f t="shared" si="116"/>
        <v>B</v>
      </c>
      <c r="SG13" s="173"/>
      <c r="SH13" s="100"/>
      <c r="SI13" s="101" t="s">
        <v>23</v>
      </c>
      <c r="SJ13" s="183">
        <f>IFERROR((((COUNTIF('Elève (6ème2)'!SG13:SI13,"A"))*4)+((COUNTIF('Elève (6ème2)'!SG13:SI13,"B"))*3)+((COUNTIF('Elève (6ème2)'!SG13:SI13,"C"))*2)+((COUNTIF('Elève (6ème2)'!SG13:SI13,"D"))*1))/(COUNTA(SG13:SI13)),"")</f>
        <v>4</v>
      </c>
      <c r="SK13" s="184" t="str">
        <f t="shared" si="117"/>
        <v>A</v>
      </c>
      <c r="SL13" s="173"/>
      <c r="SM13" s="100" t="s">
        <v>23</v>
      </c>
      <c r="SN13" s="101"/>
      <c r="SO13" s="183">
        <f>IFERROR((((COUNTIF('Elève (6ème2)'!SL13:SN13,"A"))*4)+((COUNTIF('Elève (6ème2)'!SL13:SN13,"B"))*3)+((COUNTIF('Elève (6ème2)'!SL13:SN13,"C"))*2)+((COUNTIF('Elève (6ème2)'!SL13:SN13,"D"))*1))/(COUNTA(SL13:SN13)),"")</f>
        <v>4</v>
      </c>
      <c r="SP13" s="184" t="str">
        <f t="shared" si="118"/>
        <v>A</v>
      </c>
      <c r="SQ13" s="183">
        <f>IF(COUNT(SE13,SJ13,SO13)=0,"",SUM(SE13,SJ13,SO13)/COUNT(SE13,SJ13,SO13))</f>
        <v>3.6666666666666665</v>
      </c>
      <c r="SR13" s="207" t="str">
        <f t="shared" si="119"/>
        <v>B</v>
      </c>
      <c r="SS13" s="105"/>
      <c r="ST13" s="100"/>
      <c r="SU13" s="101"/>
      <c r="SV13" s="102" t="str">
        <f>IFERROR((((COUNTIF('Elève (6ème2)'!SS13:SU13,"A"))*4)+((COUNTIF('Elève (6ème2)'!SS13:SU13,"B"))*3)+((COUNTIF('Elève (6ème2)'!SS13:SU13,"C"))*2)+((COUNTIF('Elève (6ème2)'!SS13:SU13,"D"))*1))/(COUNTA(SS13:SU13)),"")</f>
        <v/>
      </c>
      <c r="SW13" s="103" t="str">
        <f t="shared" si="120"/>
        <v/>
      </c>
      <c r="SX13" s="99"/>
      <c r="SY13" s="100"/>
      <c r="SZ13" s="101" t="s">
        <v>24</v>
      </c>
      <c r="TA13" s="102">
        <f>IFERROR((((COUNTIF('Elève (6ème2)'!SX13:SZ13,"A"))*4)+((COUNTIF('Elève (6ème2)'!SX13:SZ13,"B"))*3)+((COUNTIF('Elève (6ème2)'!SX13:SZ13,"C"))*2)+((COUNTIF('Elève (6ème2)'!SX13:SZ13,"D"))*1))/(COUNTA(SX13:SZ13)),"")</f>
        <v>3</v>
      </c>
      <c r="TB13" s="103" t="str">
        <f t="shared" si="121"/>
        <v>B</v>
      </c>
      <c r="TC13" s="99"/>
      <c r="TD13" s="100" t="s">
        <v>23</v>
      </c>
      <c r="TE13" s="101"/>
      <c r="TF13" s="102">
        <f>IFERROR((((COUNTIF('Elève (6ème2)'!TC13:TE13,"A"))*4)+((COUNTIF('Elève (6ème2)'!TC13:TE13,"B"))*3)+((COUNTIF('Elève (6ème2)'!TC13:TE13,"C"))*2)+((COUNTIF('Elève (6ème2)'!TC13:TE13,"D"))*1))/(COUNTA(TC13:TE13)),"")</f>
        <v>4</v>
      </c>
      <c r="TG13" s="103" t="str">
        <f t="shared" si="122"/>
        <v>A</v>
      </c>
      <c r="TH13" s="102">
        <f>IF(COUNT(SV13,TA13,TF13)=0,"",SUM(SV13,TA13,TF13)/COUNT(SV13,TA13,TF13))</f>
        <v>3.5</v>
      </c>
      <c r="TI13" s="104" t="str">
        <f t="shared" si="123"/>
        <v>B</v>
      </c>
      <c r="TJ13" s="105"/>
      <c r="TK13" s="100"/>
      <c r="TL13" s="101"/>
      <c r="TM13" s="102" t="str">
        <f>IFERROR((((COUNTIF('Elève (6ème2)'!TJ13:TL13,"A"))*4)+((COUNTIF('Elève (6ème2)'!TJ13:TL13,"B"))*3)+((COUNTIF('Elève (6ème2)'!TJ13:TL13,"C"))*2)+((COUNTIF('Elève (6ème2)'!TJ13:TL13,"D"))*1))/(COUNTA(TJ13:TL13)),"")</f>
        <v/>
      </c>
      <c r="TN13" s="103" t="str">
        <f t="shared" si="124"/>
        <v/>
      </c>
      <c r="TO13" s="99"/>
      <c r="TP13" s="100"/>
      <c r="TQ13" s="101"/>
      <c r="TR13" s="102" t="str">
        <f>IFERROR((((COUNTIF('Elève (6ème2)'!TO13:TQ13,"A"))*4)+((COUNTIF('Elève (6ème2)'!TO13:TQ13,"B"))*3)+((COUNTIF('Elève (6ème2)'!TO13:TQ13,"C"))*2)+((COUNTIF('Elève (6ème2)'!TO13:TQ13,"D"))*1))/(COUNTA(TO13:TQ13)),"")</f>
        <v/>
      </c>
      <c r="TS13" s="103" t="str">
        <f t="shared" si="125"/>
        <v/>
      </c>
      <c r="TT13" s="99"/>
      <c r="TU13" s="100"/>
      <c r="TV13" s="101"/>
      <c r="TW13" s="102" t="str">
        <f>IFERROR((((COUNTIF('Elève (6ème2)'!TT13:TV13,"A"))*4)+((COUNTIF('Elève (6ème2)'!TT13:TV13,"B"))*3)+((COUNTIF('Elève (6ème2)'!TT13:TV13,"C"))*2)+((COUNTIF('Elève (6ème2)'!TT13:TV13,"D"))*1))/(COUNTA(TT13:TV13)),"")</f>
        <v/>
      </c>
      <c r="TX13" s="103" t="str">
        <f t="shared" si="126"/>
        <v/>
      </c>
      <c r="TY13" s="102" t="str">
        <f>IF(COUNT(TM13,TR13,TW13)=0,"",SUM(TM13,TR13,TW13)/COUNT(TM13,TR13,TW13))</f>
        <v/>
      </c>
      <c r="TZ13" s="104" t="str">
        <f t="shared" si="127"/>
        <v/>
      </c>
    </row>
    <row r="14" spans="1:546" s="98" customFormat="1" ht="16.5" customHeight="1" thickBot="1" x14ac:dyDescent="0.3">
      <c r="A14" s="164" t="s">
        <v>17</v>
      </c>
      <c r="B14" s="164">
        <v>1</v>
      </c>
      <c r="C14" s="255"/>
      <c r="D14" s="250"/>
      <c r="E14" s="251"/>
      <c r="F14" s="181">
        <f>IF(COUNT(F15:F17)=0,"",SUM(F15:F17)/COUNT(F15:F17))</f>
        <v>2</v>
      </c>
      <c r="G14" s="182" t="str">
        <f t="shared" si="0"/>
        <v>C</v>
      </c>
      <c r="H14" s="252"/>
      <c r="I14" s="250"/>
      <c r="J14" s="251"/>
      <c r="K14" s="181">
        <f>IF(COUNT(K15:K17)=0,"",SUM(K15:K17)/COUNT(K15:K17))</f>
        <v>3.1666666666666665</v>
      </c>
      <c r="L14" s="198" t="str">
        <f t="shared" si="1"/>
        <v>B</v>
      </c>
      <c r="M14" s="247"/>
      <c r="N14" s="245"/>
      <c r="O14" s="246"/>
      <c r="P14" s="181">
        <f>IF(COUNT(P15:P17)=0,"",SUM(P15:P17)/COUNT(P15:P17))</f>
        <v>3</v>
      </c>
      <c r="Q14" s="205" t="str">
        <f t="shared" si="2"/>
        <v>B</v>
      </c>
      <c r="R14" s="181">
        <f>IF(COUNT(R15:R17)=0,"",SUM(R15:R17)/COUNT(R15:R17))</f>
        <v>2.9166666666666665</v>
      </c>
      <c r="S14" s="206" t="str">
        <f t="shared" si="3"/>
        <v>B</v>
      </c>
      <c r="T14" s="250"/>
      <c r="U14" s="250"/>
      <c r="V14" s="251"/>
      <c r="W14" s="181">
        <f>IF(COUNT(W15:W17)=0,"",SUM(W15:W17)/COUNT(W15:W17))</f>
        <v>1</v>
      </c>
      <c r="X14" s="182" t="str">
        <f t="shared" si="4"/>
        <v>D</v>
      </c>
      <c r="Y14" s="252"/>
      <c r="Z14" s="250"/>
      <c r="AA14" s="251"/>
      <c r="AB14" s="181">
        <f>IF(COUNT(AB15:AB17)=0,"",SUM(AB15:AB17)/COUNT(AB15:AB17))</f>
        <v>2.3333333333333335</v>
      </c>
      <c r="AC14" s="198" t="str">
        <f t="shared" si="5"/>
        <v>C</v>
      </c>
      <c r="AD14" s="247"/>
      <c r="AE14" s="245"/>
      <c r="AF14" s="246"/>
      <c r="AG14" s="181">
        <f>IF(COUNT(AG15:AG17)=0,"",SUM(AG15:AG17)/COUNT(AG15:AG17))</f>
        <v>2.1666666666666665</v>
      </c>
      <c r="AH14" s="205" t="str">
        <f t="shared" si="6"/>
        <v>C</v>
      </c>
      <c r="AI14" s="181">
        <f>IF(COUNT(AI15:AI17)=0,"",SUM(AI15:AI17)/COUNT(AI15:AI17))</f>
        <v>2.0833333333333335</v>
      </c>
      <c r="AJ14" s="206" t="str">
        <f t="shared" si="7"/>
        <v>C</v>
      </c>
      <c r="AK14" s="250"/>
      <c r="AL14" s="250"/>
      <c r="AM14" s="251"/>
      <c r="AN14" s="181">
        <f>IF(COUNT(AN15:AN17)=0,"",SUM(AN15:AN17)/COUNT(AN15:AN17))</f>
        <v>1</v>
      </c>
      <c r="AO14" s="182" t="str">
        <f t="shared" si="8"/>
        <v>D</v>
      </c>
      <c r="AP14" s="252"/>
      <c r="AQ14" s="250"/>
      <c r="AR14" s="251"/>
      <c r="AS14" s="181">
        <f>IF(COUNT(AS15:AS17)=0,"",SUM(AS15:AS17)/COUNT(AS15:AS17))</f>
        <v>2.8333333333333335</v>
      </c>
      <c r="AT14" s="198" t="str">
        <f t="shared" si="9"/>
        <v>B</v>
      </c>
      <c r="AU14" s="247"/>
      <c r="AV14" s="245"/>
      <c r="AW14" s="246"/>
      <c r="AX14" s="181">
        <f>IF(COUNT(AX15:AX17)=0,"",SUM(AX15:AX17)/COUNT(AX15:AX17))</f>
        <v>1.8333333333333333</v>
      </c>
      <c r="AY14" s="205" t="str">
        <f t="shared" si="10"/>
        <v>C</v>
      </c>
      <c r="AZ14" s="181">
        <f>IF(COUNT(AZ15:AZ17)=0,"",SUM(AZ15:AZ17)/COUNT(AZ15:AZ17))</f>
        <v>2.1944444444444442</v>
      </c>
      <c r="BA14" s="206" t="str">
        <f t="shared" si="11"/>
        <v>C</v>
      </c>
      <c r="BB14" s="250"/>
      <c r="BC14" s="250"/>
      <c r="BD14" s="251"/>
      <c r="BE14" s="181">
        <f>IF(COUNT(BE15:BE17)=0,"",SUM(BE15:BE17)/COUNT(BE15:BE17))</f>
        <v>3</v>
      </c>
      <c r="BF14" s="182" t="str">
        <f t="shared" si="12"/>
        <v>B</v>
      </c>
      <c r="BG14" s="252"/>
      <c r="BH14" s="250"/>
      <c r="BI14" s="251"/>
      <c r="BJ14" s="181">
        <f>IF(COUNT(BJ15:BJ17)=0,"",SUM(BJ15:BJ17)/COUNT(BJ15:BJ17))</f>
        <v>3.1666666666666665</v>
      </c>
      <c r="BK14" s="198" t="str">
        <f t="shared" si="13"/>
        <v>B</v>
      </c>
      <c r="BL14" s="247"/>
      <c r="BM14" s="245"/>
      <c r="BN14" s="246"/>
      <c r="BO14" s="181">
        <f>IF(COUNT(BO15:BO17)=0,"",SUM(BO15:BO17)/COUNT(BO15:BO17))</f>
        <v>3.5</v>
      </c>
      <c r="BP14" s="205" t="str">
        <f t="shared" si="14"/>
        <v>B</v>
      </c>
      <c r="BQ14" s="181">
        <f>IF(COUNT(BQ15:BQ17)=0,"",SUM(BQ15:BQ17)/COUNT(BQ15:BQ17))</f>
        <v>3.25</v>
      </c>
      <c r="BR14" s="206" t="str">
        <f t="shared" si="15"/>
        <v>B</v>
      </c>
      <c r="BS14" s="250"/>
      <c r="BT14" s="250"/>
      <c r="BU14" s="251"/>
      <c r="BV14" s="181">
        <f>IF(COUNT(BV15:BV17)=0,"",SUM(BV15:BV17)/COUNT(BV15:BV17))</f>
        <v>3</v>
      </c>
      <c r="BW14" s="182" t="str">
        <f t="shared" si="16"/>
        <v>B</v>
      </c>
      <c r="BX14" s="252"/>
      <c r="BY14" s="250"/>
      <c r="BZ14" s="251"/>
      <c r="CA14" s="181">
        <f>IF(COUNT(CA15:CA17)=0,"",SUM(CA15:CA17)/COUNT(CA15:CA17))</f>
        <v>3.5</v>
      </c>
      <c r="CB14" s="198" t="str">
        <f t="shared" si="17"/>
        <v>B</v>
      </c>
      <c r="CC14" s="247"/>
      <c r="CD14" s="245"/>
      <c r="CE14" s="246"/>
      <c r="CF14" s="181">
        <f>IF(COUNT(CF15:CF17)=0,"",SUM(CF15:CF17)/COUNT(CF15:CF17))</f>
        <v>3.1666666666666665</v>
      </c>
      <c r="CG14" s="205" t="str">
        <f t="shared" si="18"/>
        <v>B</v>
      </c>
      <c r="CH14" s="181">
        <f>IF(COUNT(CH15:CH17)=0,"",SUM(CH15:CH17)/COUNT(CH15:CH17))</f>
        <v>3.25</v>
      </c>
      <c r="CI14" s="206" t="str">
        <f t="shared" si="19"/>
        <v>B</v>
      </c>
      <c r="CJ14" s="250"/>
      <c r="CK14" s="250"/>
      <c r="CL14" s="251"/>
      <c r="CM14" s="181">
        <f>IF(COUNT(CM15:CM17)=0,"",SUM(CM15:CM17)/COUNT(CM15:CM17))</f>
        <v>2</v>
      </c>
      <c r="CN14" s="182" t="str">
        <f t="shared" si="20"/>
        <v>C</v>
      </c>
      <c r="CO14" s="252"/>
      <c r="CP14" s="250"/>
      <c r="CQ14" s="251"/>
      <c r="CR14" s="181">
        <f>IF(COUNT(CR15:CR17)=0,"",SUM(CR15:CR17)/COUNT(CR15:CR17))</f>
        <v>2.8333333333333335</v>
      </c>
      <c r="CS14" s="198" t="str">
        <f t="shared" si="21"/>
        <v>B</v>
      </c>
      <c r="CT14" s="247"/>
      <c r="CU14" s="245"/>
      <c r="CV14" s="246"/>
      <c r="CW14" s="181">
        <f>IF(COUNT(CW15:CW17)=0,"",SUM(CW15:CW17)/COUNT(CW15:CW17))</f>
        <v>2</v>
      </c>
      <c r="CX14" s="205" t="str">
        <f t="shared" si="22"/>
        <v>C</v>
      </c>
      <c r="CY14" s="181">
        <f>IF(COUNT(CY15:CY17)=0,"",SUM(CY15:CY17)/COUNT(CY15:CY17))</f>
        <v>2.3611111111111112</v>
      </c>
      <c r="CZ14" s="206" t="str">
        <f t="shared" si="23"/>
        <v>C</v>
      </c>
      <c r="DA14" s="250"/>
      <c r="DB14" s="250"/>
      <c r="DC14" s="251"/>
      <c r="DD14" s="181">
        <f>IF(COUNT(DD15:DD17)=0,"",SUM(DD15:DD17)/COUNT(DD15:DD17))</f>
        <v>1</v>
      </c>
      <c r="DE14" s="182" t="str">
        <f t="shared" si="24"/>
        <v>D</v>
      </c>
      <c r="DF14" s="252"/>
      <c r="DG14" s="250"/>
      <c r="DH14" s="251"/>
      <c r="DI14" s="181">
        <f>IF(COUNT(DI15:DI17)=0,"",SUM(DI15:DI17)/COUNT(DI15:DI17))</f>
        <v>3.1666666666666665</v>
      </c>
      <c r="DJ14" s="198" t="str">
        <f t="shared" si="25"/>
        <v>B</v>
      </c>
      <c r="DK14" s="247"/>
      <c r="DL14" s="245"/>
      <c r="DM14" s="246"/>
      <c r="DN14" s="181">
        <f>IF(COUNT(DN15:DN17)=0,"",SUM(DN15:DN17)/COUNT(DN15:DN17))</f>
        <v>3</v>
      </c>
      <c r="DO14" s="205" t="str">
        <f t="shared" si="26"/>
        <v>B</v>
      </c>
      <c r="DP14" s="181">
        <f>IF(COUNT(DP15:DP17)=0,"",SUM(DP15:DP17)/COUNT(DP15:DP17))</f>
        <v>2.8611111111111112</v>
      </c>
      <c r="DQ14" s="206" t="str">
        <f t="shared" si="27"/>
        <v>B</v>
      </c>
      <c r="DR14" s="250"/>
      <c r="DS14" s="250"/>
      <c r="DT14" s="251"/>
      <c r="DU14" s="181">
        <f>IF(COUNT(DU15:DU17)=0,"",SUM(DU15:DU17)/COUNT(DU15:DU17))</f>
        <v>3</v>
      </c>
      <c r="DV14" s="182" t="str">
        <f t="shared" si="28"/>
        <v>B</v>
      </c>
      <c r="DW14" s="252"/>
      <c r="DX14" s="250"/>
      <c r="DY14" s="251"/>
      <c r="DZ14" s="181">
        <f>IF(COUNT(DZ15:DZ17)=0,"",SUM(DZ15:DZ17)/COUNT(DZ15:DZ17))</f>
        <v>2.6666666666666665</v>
      </c>
      <c r="EA14" s="198" t="str">
        <f t="shared" si="29"/>
        <v>C</v>
      </c>
      <c r="EB14" s="247"/>
      <c r="EC14" s="245"/>
      <c r="ED14" s="246"/>
      <c r="EE14" s="181">
        <f>IF(COUNT(EE15:EE17)=0,"",SUM(EE15:EE17)/COUNT(EE15:EE17))</f>
        <v>3</v>
      </c>
      <c r="EF14" s="205" t="str">
        <f t="shared" si="30"/>
        <v>B</v>
      </c>
      <c r="EG14" s="181">
        <f>IF(COUNT(EG15:EG17)=0,"",SUM(EG15:EG17)/COUNT(EG15:EG17))</f>
        <v>2.8333333333333335</v>
      </c>
      <c r="EH14" s="206" t="str">
        <f t="shared" si="31"/>
        <v>B</v>
      </c>
      <c r="EI14" s="250"/>
      <c r="EJ14" s="250"/>
      <c r="EK14" s="251"/>
      <c r="EL14" s="181">
        <f>IF(COUNT(EL15:EL17)=0,"",SUM(EL15:EL17)/COUNT(EL15:EL17))</f>
        <v>1</v>
      </c>
      <c r="EM14" s="182" t="str">
        <f t="shared" si="32"/>
        <v>D</v>
      </c>
      <c r="EN14" s="252"/>
      <c r="EO14" s="250"/>
      <c r="EP14" s="251"/>
      <c r="EQ14" s="181">
        <f>IF(COUNT(EQ15:EQ17)=0,"",SUM(EQ15:EQ17)/COUNT(EQ15:EQ17))</f>
        <v>2.8333333333333335</v>
      </c>
      <c r="ER14" s="198" t="str">
        <f t="shared" si="33"/>
        <v>B</v>
      </c>
      <c r="ES14" s="247"/>
      <c r="ET14" s="245"/>
      <c r="EU14" s="246"/>
      <c r="EV14" s="181">
        <f>IF(COUNT(EV15:EV17)=0,"",SUM(EV15:EV17)/COUNT(EV15:EV17))</f>
        <v>2.5</v>
      </c>
      <c r="EW14" s="205" t="str">
        <f t="shared" si="34"/>
        <v>C</v>
      </c>
      <c r="EX14" s="181">
        <f>IF(COUNT(EX15:EX17)=0,"",SUM(EX15:EX17)/COUNT(EX15:EX17))</f>
        <v>2.4722222222222219</v>
      </c>
      <c r="EY14" s="206" t="str">
        <f t="shared" si="35"/>
        <v>C</v>
      </c>
      <c r="EZ14" s="250"/>
      <c r="FA14" s="250"/>
      <c r="FB14" s="251"/>
      <c r="FC14" s="181">
        <f>IF(COUNT(FC15:FC17)=0,"",SUM(FC15:FC17)/COUNT(FC15:FC17))</f>
        <v>2</v>
      </c>
      <c r="FD14" s="182" t="str">
        <f t="shared" si="36"/>
        <v>C</v>
      </c>
      <c r="FE14" s="252"/>
      <c r="FF14" s="250"/>
      <c r="FG14" s="251"/>
      <c r="FH14" s="181">
        <f>IF(COUNT(FH15:FH17)=0,"",SUM(FH15:FH17)/COUNT(FH15:FH17))</f>
        <v>3</v>
      </c>
      <c r="FI14" s="198" t="str">
        <f t="shared" si="37"/>
        <v>B</v>
      </c>
      <c r="FJ14" s="247"/>
      <c r="FK14" s="245"/>
      <c r="FL14" s="246"/>
      <c r="FM14" s="181">
        <f>IF(COUNT(FM15:FM17)=0,"",SUM(FM15:FM17)/COUNT(FM15:FM17))</f>
        <v>2.3333333333333335</v>
      </c>
      <c r="FN14" s="205" t="str">
        <f t="shared" si="38"/>
        <v>C</v>
      </c>
      <c r="FO14" s="181">
        <f>IF(COUNT(FO15:FO17)=0,"",SUM(FO15:FO17)/COUNT(FO15:FO17))</f>
        <v>2.5555555555555554</v>
      </c>
      <c r="FP14" s="206" t="str">
        <f t="shared" si="39"/>
        <v>C</v>
      </c>
      <c r="FQ14" s="250"/>
      <c r="FR14" s="250"/>
      <c r="FS14" s="251"/>
      <c r="FT14" s="181">
        <f>IF(COUNT(FT15:FT17)=0,"",SUM(FT15:FT17)/COUNT(FT15:FT17))</f>
        <v>1</v>
      </c>
      <c r="FU14" s="182" t="str">
        <f t="shared" si="40"/>
        <v>D</v>
      </c>
      <c r="FV14" s="252"/>
      <c r="FW14" s="250"/>
      <c r="FX14" s="251"/>
      <c r="FY14" s="181">
        <f>IF(COUNT(FY15:FY17)=0,"",SUM(FY15:FY17)/COUNT(FY15:FY17))</f>
        <v>3.1666666666666665</v>
      </c>
      <c r="FZ14" s="198" t="str">
        <f t="shared" si="41"/>
        <v>B</v>
      </c>
      <c r="GA14" s="247"/>
      <c r="GB14" s="245"/>
      <c r="GC14" s="246"/>
      <c r="GD14" s="181">
        <f>IF(COUNT(GD15:GD17)=0,"",SUM(GD15:GD17)/COUNT(GD15:GD17))</f>
        <v>2.3333333333333335</v>
      </c>
      <c r="GE14" s="205" t="str">
        <f t="shared" si="42"/>
        <v>C</v>
      </c>
      <c r="GF14" s="181">
        <f>IF(COUNT(GF15:GF17)=0,"",SUM(GF15:GF17)/COUNT(GF15:GF17))</f>
        <v>2.5</v>
      </c>
      <c r="GG14" s="206" t="str">
        <f t="shared" si="43"/>
        <v>C</v>
      </c>
      <c r="GH14" s="250"/>
      <c r="GI14" s="250"/>
      <c r="GJ14" s="251"/>
      <c r="GK14" s="181">
        <f>IF(COUNT(GK15:GK17)=0,"",SUM(GK15:GK17)/COUNT(GK15:GK17))</f>
        <v>2</v>
      </c>
      <c r="GL14" s="182" t="str">
        <f t="shared" si="44"/>
        <v>C</v>
      </c>
      <c r="GM14" s="252"/>
      <c r="GN14" s="250"/>
      <c r="GO14" s="251"/>
      <c r="GP14" s="181">
        <f>IF(COUNT(GP15:GP17)=0,"",SUM(GP15:GP17)/COUNT(GP15:GP17))</f>
        <v>3.1666666666666665</v>
      </c>
      <c r="GQ14" s="198" t="str">
        <f t="shared" si="45"/>
        <v>B</v>
      </c>
      <c r="GR14" s="247"/>
      <c r="GS14" s="245"/>
      <c r="GT14" s="246"/>
      <c r="GU14" s="181">
        <f>IF(COUNT(GU15:GU17)=0,"",SUM(GU15:GU17)/COUNT(GU15:GU17))</f>
        <v>2.3333333333333335</v>
      </c>
      <c r="GV14" s="205" t="str">
        <f t="shared" si="46"/>
        <v>C</v>
      </c>
      <c r="GW14" s="181">
        <f>IF(COUNT(GW15:GW17)=0,"",SUM(GW15:GW17)/COUNT(GW15:GW17))</f>
        <v>2.6111111111111112</v>
      </c>
      <c r="GX14" s="206" t="str">
        <f t="shared" si="47"/>
        <v>C</v>
      </c>
      <c r="GY14" s="250"/>
      <c r="GZ14" s="250"/>
      <c r="HA14" s="251"/>
      <c r="HB14" s="181">
        <f>IF(COUNT(HB15:HB17)=0,"",SUM(HB15:HB17)/COUNT(HB15:HB17))</f>
        <v>1</v>
      </c>
      <c r="HC14" s="182" t="str">
        <f t="shared" si="48"/>
        <v>D</v>
      </c>
      <c r="HD14" s="252"/>
      <c r="HE14" s="250"/>
      <c r="HF14" s="251"/>
      <c r="HG14" s="181">
        <f>IF(COUNT(HG15:HG17)=0,"",SUM(HG15:HG17)/COUNT(HG15:HG17))</f>
        <v>3.5</v>
      </c>
      <c r="HH14" s="198" t="str">
        <f t="shared" si="49"/>
        <v>B</v>
      </c>
      <c r="HI14" s="247"/>
      <c r="HJ14" s="245"/>
      <c r="HK14" s="246"/>
      <c r="HL14" s="181">
        <f>IF(COUNT(HL15:HL17)=0,"",SUM(HL15:HL17)/COUNT(HL15:HL17))</f>
        <v>3.1666666666666665</v>
      </c>
      <c r="HM14" s="205" t="str">
        <f t="shared" si="50"/>
        <v>B</v>
      </c>
      <c r="HN14" s="181">
        <f>IF(COUNT(HN15:HN17)=0,"",SUM(HN15:HN17)/COUNT(HN15:HN17))</f>
        <v>3.0833333333333335</v>
      </c>
      <c r="HO14" s="206" t="str">
        <f t="shared" si="51"/>
        <v>B</v>
      </c>
      <c r="HP14" s="250"/>
      <c r="HQ14" s="250"/>
      <c r="HR14" s="251"/>
      <c r="HS14" s="181">
        <f>IF(COUNT(HS15:HS17)=0,"",SUM(HS15:HS17)/COUNT(HS15:HS17))</f>
        <v>3</v>
      </c>
      <c r="HT14" s="182" t="str">
        <f t="shared" si="52"/>
        <v>B</v>
      </c>
      <c r="HU14" s="252"/>
      <c r="HV14" s="250"/>
      <c r="HW14" s="251"/>
      <c r="HX14" s="181">
        <f>IF(COUNT(HX15:HX17)=0,"",SUM(HX15:HX17)/COUNT(HX15:HX17))</f>
        <v>3.5</v>
      </c>
      <c r="HY14" s="198" t="str">
        <f t="shared" si="53"/>
        <v>B</v>
      </c>
      <c r="HZ14" s="247"/>
      <c r="IA14" s="245"/>
      <c r="IB14" s="246"/>
      <c r="IC14" s="181">
        <f>IF(COUNT(IC15:IC17)=0,"",SUM(IC15:IC17)/COUNT(IC15:IC17))</f>
        <v>3.3333333333333335</v>
      </c>
      <c r="ID14" s="205" t="str">
        <f t="shared" si="54"/>
        <v>B</v>
      </c>
      <c r="IE14" s="181">
        <f>IF(COUNT(IE15:IE17)=0,"",SUM(IE15:IE17)/COUNT(IE15:IE17))</f>
        <v>3.3333333333333335</v>
      </c>
      <c r="IF14" s="206" t="str">
        <f t="shared" si="55"/>
        <v>B</v>
      </c>
      <c r="IG14" s="250"/>
      <c r="IH14" s="250"/>
      <c r="II14" s="251"/>
      <c r="IJ14" s="181">
        <f>IF(COUNT(IJ15:IJ17)=0,"",SUM(IJ15:IJ17)/COUNT(IJ15:IJ17))</f>
        <v>2</v>
      </c>
      <c r="IK14" s="182" t="str">
        <f t="shared" si="56"/>
        <v>C</v>
      </c>
      <c r="IL14" s="252"/>
      <c r="IM14" s="250"/>
      <c r="IN14" s="251"/>
      <c r="IO14" s="181">
        <f>IF(COUNT(IO15:IO17)=0,"",SUM(IO15:IO17)/COUNT(IO15:IO17))</f>
        <v>3.6666666666666665</v>
      </c>
      <c r="IP14" s="198" t="str">
        <f t="shared" si="57"/>
        <v>B</v>
      </c>
      <c r="IQ14" s="247"/>
      <c r="IR14" s="245"/>
      <c r="IS14" s="246"/>
      <c r="IT14" s="181">
        <f>IF(COUNT(IT15:IT17)=0,"",SUM(IT15:IT17)/COUNT(IT15:IT17))</f>
        <v>3</v>
      </c>
      <c r="IU14" s="205" t="str">
        <f t="shared" si="58"/>
        <v>B</v>
      </c>
      <c r="IV14" s="181">
        <f>IF(COUNT(IV15:IV17)=0,"",SUM(IV15:IV17)/COUNT(IV15:IV17))</f>
        <v>3.1388888888888888</v>
      </c>
      <c r="IW14" s="206" t="str">
        <f t="shared" si="59"/>
        <v>B</v>
      </c>
      <c r="IX14" s="250"/>
      <c r="IY14" s="250"/>
      <c r="IZ14" s="251"/>
      <c r="JA14" s="181">
        <f>IF(COUNT(JA15:JA17)=0,"",SUM(JA15:JA17)/COUNT(JA15:JA17))</f>
        <v>1</v>
      </c>
      <c r="JB14" s="182" t="str">
        <f t="shared" si="60"/>
        <v>D</v>
      </c>
      <c r="JC14" s="252"/>
      <c r="JD14" s="250"/>
      <c r="JE14" s="251"/>
      <c r="JF14" s="181">
        <f>IF(COUNT(JF15:JF17)=0,"",SUM(JF15:JF17)/COUNT(JF15:JF17))</f>
        <v>2.6666666666666665</v>
      </c>
      <c r="JG14" s="198" t="str">
        <f t="shared" si="61"/>
        <v>C</v>
      </c>
      <c r="JH14" s="247"/>
      <c r="JI14" s="245"/>
      <c r="JJ14" s="246"/>
      <c r="JK14" s="181">
        <f>IF(COUNT(JK15:JK17)=0,"",SUM(JK15:JK17)/COUNT(JK15:JK17))</f>
        <v>2.6666666666666665</v>
      </c>
      <c r="JL14" s="205" t="str">
        <f t="shared" si="62"/>
        <v>C</v>
      </c>
      <c r="JM14" s="181">
        <f>IF(COUNT(JM15:JM17)=0,"",SUM(JM15:JM17)/COUNT(JM15:JM17))</f>
        <v>2.3888888888888888</v>
      </c>
      <c r="JN14" s="206" t="str">
        <f t="shared" si="63"/>
        <v>C</v>
      </c>
      <c r="JO14" s="250"/>
      <c r="JP14" s="250"/>
      <c r="JQ14" s="251"/>
      <c r="JR14" s="181">
        <f>IF(COUNT(JR15:JR17)=0,"",SUM(JR15:JR17)/COUNT(JR15:JR17))</f>
        <v>2</v>
      </c>
      <c r="JS14" s="182" t="str">
        <f t="shared" si="64"/>
        <v>C</v>
      </c>
      <c r="JT14" s="252"/>
      <c r="JU14" s="250"/>
      <c r="JV14" s="251"/>
      <c r="JW14" s="181">
        <f>IF(COUNT(JW15:JW17)=0,"",SUM(JW15:JW17)/COUNT(JW15:JW17))</f>
        <v>2.5</v>
      </c>
      <c r="JX14" s="198" t="str">
        <f t="shared" si="65"/>
        <v>C</v>
      </c>
      <c r="JY14" s="247"/>
      <c r="JZ14" s="245"/>
      <c r="KA14" s="246"/>
      <c r="KB14" s="181">
        <f>IF(COUNT(KB15:KB17)=0,"",SUM(KB15:KB17)/COUNT(KB15:KB17))</f>
        <v>2.1666666666666665</v>
      </c>
      <c r="KC14" s="205" t="str">
        <f t="shared" si="66"/>
        <v>C</v>
      </c>
      <c r="KD14" s="181">
        <f>IF(COUNT(KD15:KD17)=0,"",SUM(KD15:KD17)/COUNT(KD15:KD17))</f>
        <v>2.2222222222222219</v>
      </c>
      <c r="KE14" s="206" t="str">
        <f t="shared" si="67"/>
        <v>C</v>
      </c>
      <c r="KF14" s="250"/>
      <c r="KG14" s="250"/>
      <c r="KH14" s="251"/>
      <c r="KI14" s="181">
        <f>IF(COUNT(KI15:KI17)=0,"",SUM(KI15:KI17)/COUNT(KI15:KI17))</f>
        <v>2</v>
      </c>
      <c r="KJ14" s="182" t="str">
        <f t="shared" si="68"/>
        <v>C</v>
      </c>
      <c r="KK14" s="252"/>
      <c r="KL14" s="250"/>
      <c r="KM14" s="251"/>
      <c r="KN14" s="181">
        <f>IF(COUNT(KN15:KN17)=0,"",SUM(KN15:KN17)/COUNT(KN15:KN17))</f>
        <v>3.3333333333333335</v>
      </c>
      <c r="KO14" s="198" t="str">
        <f t="shared" si="69"/>
        <v>B</v>
      </c>
      <c r="KP14" s="247"/>
      <c r="KQ14" s="245"/>
      <c r="KR14" s="246"/>
      <c r="KS14" s="181">
        <f>IF(COUNT(KS15:KS17)=0,"",SUM(KS15:KS17)/COUNT(KS15:KS17))</f>
        <v>2.8333333333333335</v>
      </c>
      <c r="KT14" s="205" t="str">
        <f t="shared" si="70"/>
        <v>B</v>
      </c>
      <c r="KU14" s="181">
        <f>IF(COUNT(KU15:KU17)=0,"",SUM(KU15:KU17)/COUNT(KU15:KU17))</f>
        <v>2.9722222222222219</v>
      </c>
      <c r="KV14" s="206" t="str">
        <f t="shared" si="71"/>
        <v>B</v>
      </c>
      <c r="KW14" s="250"/>
      <c r="KX14" s="250"/>
      <c r="KY14" s="251"/>
      <c r="KZ14" s="181">
        <f>IF(COUNT(KZ15:KZ17)=0,"",SUM(KZ15:KZ17)/COUNT(KZ15:KZ17))</f>
        <v>1</v>
      </c>
      <c r="LA14" s="182" t="str">
        <f t="shared" si="72"/>
        <v>D</v>
      </c>
      <c r="LB14" s="252"/>
      <c r="LC14" s="250"/>
      <c r="LD14" s="251"/>
      <c r="LE14" s="181">
        <f>IF(COUNT(LE15:LE17)=0,"",SUM(LE15:LE17)/COUNT(LE15:LE17))</f>
        <v>2.5</v>
      </c>
      <c r="LF14" s="198" t="str">
        <f t="shared" si="73"/>
        <v>C</v>
      </c>
      <c r="LG14" s="247"/>
      <c r="LH14" s="245"/>
      <c r="LI14" s="246"/>
      <c r="LJ14" s="181">
        <f>IF(COUNT(LJ15:LJ17)=0,"",SUM(LJ15:LJ17)/COUNT(LJ15:LJ17))</f>
        <v>3</v>
      </c>
      <c r="LK14" s="205" t="str">
        <f t="shared" si="74"/>
        <v>B</v>
      </c>
      <c r="LL14" s="181">
        <f>IF(COUNT(LL15:LL17)=0,"",SUM(LL15:LL17)/COUNT(LL15:LL17))</f>
        <v>2.5555555555555554</v>
      </c>
      <c r="LM14" s="206" t="str">
        <f t="shared" si="75"/>
        <v>C</v>
      </c>
      <c r="LN14" s="250"/>
      <c r="LO14" s="250"/>
      <c r="LP14" s="251"/>
      <c r="LQ14" s="181">
        <f>IF(COUNT(LQ15:LQ17)=0,"",SUM(LQ15:LQ17)/COUNT(LQ15:LQ17))</f>
        <v>3</v>
      </c>
      <c r="LR14" s="182" t="str">
        <f t="shared" si="76"/>
        <v>B</v>
      </c>
      <c r="LS14" s="252"/>
      <c r="LT14" s="250"/>
      <c r="LU14" s="251"/>
      <c r="LV14" s="181">
        <f>IF(COUNT(LV15:LV17)=0,"",SUM(LV15:LV17)/COUNT(LV15:LV17))</f>
        <v>3.5</v>
      </c>
      <c r="LW14" s="198" t="str">
        <f t="shared" si="77"/>
        <v>B</v>
      </c>
      <c r="LX14" s="247"/>
      <c r="LY14" s="245"/>
      <c r="LZ14" s="246"/>
      <c r="MA14" s="181">
        <f>IF(COUNT(MA15:MA17)=0,"",SUM(MA15:MA17)/COUNT(MA15:MA17))</f>
        <v>2.8333333333333335</v>
      </c>
      <c r="MB14" s="205" t="str">
        <f t="shared" si="78"/>
        <v>B</v>
      </c>
      <c r="MC14" s="181">
        <f>IF(COUNT(MC15:MC17)=0,"",SUM(MC15:MC17)/COUNT(MC15:MC17))</f>
        <v>3.1111111111111112</v>
      </c>
      <c r="MD14" s="206" t="str">
        <f t="shared" si="79"/>
        <v>B</v>
      </c>
      <c r="ME14" s="250"/>
      <c r="MF14" s="250"/>
      <c r="MG14" s="251"/>
      <c r="MH14" s="181">
        <f>IF(COUNT(MH15:MH17)=0,"",SUM(MH15:MH17)/COUNT(MH15:MH17))</f>
        <v>3</v>
      </c>
      <c r="MI14" s="182" t="str">
        <f t="shared" si="80"/>
        <v>B</v>
      </c>
      <c r="MJ14" s="252"/>
      <c r="MK14" s="250"/>
      <c r="ML14" s="251"/>
      <c r="MM14" s="181">
        <f>IF(COUNT(MM15:MM17)=0,"",SUM(MM15:MM17)/COUNT(MM15:MM17))</f>
        <v>3.5</v>
      </c>
      <c r="MN14" s="198" t="str">
        <f t="shared" si="81"/>
        <v>B</v>
      </c>
      <c r="MO14" s="247"/>
      <c r="MP14" s="245"/>
      <c r="MQ14" s="246"/>
      <c r="MR14" s="181">
        <f>IF(COUNT(MR15:MR17)=0,"",SUM(MR15:MR17)/COUNT(MR15:MR17))</f>
        <v>3.3333333333333335</v>
      </c>
      <c r="MS14" s="205" t="str">
        <f t="shared" si="82"/>
        <v>B</v>
      </c>
      <c r="MT14" s="181">
        <f>IF(COUNT(MT15:MT17)=0,"",SUM(MT15:MT17)/COUNT(MT15:MT17))</f>
        <v>3.3333333333333335</v>
      </c>
      <c r="MU14" s="206" t="str">
        <f t="shared" si="83"/>
        <v>B</v>
      </c>
      <c r="MV14" s="250"/>
      <c r="MW14" s="250"/>
      <c r="MX14" s="251"/>
      <c r="MY14" s="181">
        <f>IF(COUNT(MY15:MY17)=0,"",SUM(MY15:MY17)/COUNT(MY15:MY17))</f>
        <v>2</v>
      </c>
      <c r="MZ14" s="182" t="str">
        <f t="shared" si="84"/>
        <v>C</v>
      </c>
      <c r="NA14" s="252"/>
      <c r="NB14" s="250"/>
      <c r="NC14" s="251"/>
      <c r="ND14" s="181">
        <f>IF(COUNT(ND15:ND17)=0,"",SUM(ND15:ND17)/COUNT(ND15:ND17))</f>
        <v>3</v>
      </c>
      <c r="NE14" s="198" t="str">
        <f t="shared" si="85"/>
        <v>B</v>
      </c>
      <c r="NF14" s="247"/>
      <c r="NG14" s="245"/>
      <c r="NH14" s="246"/>
      <c r="NI14" s="181">
        <f>IF(COUNT(NI15:NI17)=0,"",SUM(NI15:NI17)/COUNT(NI15:NI17))</f>
        <v>2</v>
      </c>
      <c r="NJ14" s="205" t="str">
        <f t="shared" si="86"/>
        <v>C</v>
      </c>
      <c r="NK14" s="181">
        <f>IF(COUNT(NK15:NK17)=0,"",SUM(NK15:NK17)/COUNT(NK15:NK17))</f>
        <v>2.3888888888888888</v>
      </c>
      <c r="NL14" s="206" t="str">
        <f t="shared" si="87"/>
        <v>C</v>
      </c>
      <c r="NM14" s="250"/>
      <c r="NN14" s="250"/>
      <c r="NO14" s="251"/>
      <c r="NP14" s="181">
        <f>IF(COUNT(NP15:NP17)=0,"",SUM(NP15:NP17)/COUNT(NP15:NP17))</f>
        <v>3</v>
      </c>
      <c r="NQ14" s="182" t="str">
        <f t="shared" si="88"/>
        <v>B</v>
      </c>
      <c r="NR14" s="252"/>
      <c r="NS14" s="250"/>
      <c r="NT14" s="251"/>
      <c r="NU14" s="181">
        <f>IF(COUNT(NU15:NU17)=0,"",SUM(NU15:NU17)/COUNT(NU15:NU17))</f>
        <v>3</v>
      </c>
      <c r="NV14" s="198" t="str">
        <f t="shared" si="89"/>
        <v>B</v>
      </c>
      <c r="NW14" s="247"/>
      <c r="NX14" s="245"/>
      <c r="NY14" s="246"/>
      <c r="NZ14" s="181">
        <f>IF(COUNT(NZ15:NZ17)=0,"",SUM(NZ15:NZ17)/COUNT(NZ15:NZ17))</f>
        <v>3.5</v>
      </c>
      <c r="OA14" s="205" t="str">
        <f t="shared" si="90"/>
        <v>B</v>
      </c>
      <c r="OB14" s="181">
        <f>IF(COUNT(OB15:OB17)=0,"",SUM(OB15:OB17)/COUNT(OB15:OB17))</f>
        <v>3.2222222222222219</v>
      </c>
      <c r="OC14" s="206" t="str">
        <f t="shared" si="91"/>
        <v>B</v>
      </c>
      <c r="OD14" s="250"/>
      <c r="OE14" s="250"/>
      <c r="OF14" s="251"/>
      <c r="OG14" s="181">
        <f>IF(COUNT(OG15:OG17)=0,"",SUM(OG15:OG17)/COUNT(OG15:OG17))</f>
        <v>1</v>
      </c>
      <c r="OH14" s="182" t="str">
        <f t="shared" si="92"/>
        <v>D</v>
      </c>
      <c r="OI14" s="252"/>
      <c r="OJ14" s="250"/>
      <c r="OK14" s="251"/>
      <c r="OL14" s="181">
        <f>IF(COUNT(OL15:OL17)=0,"",SUM(OL15:OL17)/COUNT(OL15:OL17))</f>
        <v>2</v>
      </c>
      <c r="OM14" s="198" t="str">
        <f t="shared" si="93"/>
        <v>C</v>
      </c>
      <c r="ON14" s="247"/>
      <c r="OO14" s="245"/>
      <c r="OP14" s="246"/>
      <c r="OQ14" s="181">
        <f>IF(COUNT(OQ15:OQ17)=0,"",SUM(OQ15:OQ17)/COUNT(OQ15:OQ17))</f>
        <v>1.6666666666666667</v>
      </c>
      <c r="OR14" s="205" t="str">
        <f t="shared" si="94"/>
        <v>C</v>
      </c>
      <c r="OS14" s="181">
        <f>IF(COUNT(OS15:OS17)=0,"",SUM(OS15:OS17)/COUNT(OS15:OS17))</f>
        <v>1.7222222222222223</v>
      </c>
      <c r="OT14" s="206" t="str">
        <f t="shared" si="95"/>
        <v>C</v>
      </c>
      <c r="OU14" s="250"/>
      <c r="OV14" s="250"/>
      <c r="OW14" s="251"/>
      <c r="OX14" s="181">
        <f>IF(COUNT(OX15:OX17)=0,"",SUM(OX15:OX17)/COUNT(OX15:OX17))</f>
        <v>2</v>
      </c>
      <c r="OY14" s="182" t="str">
        <f t="shared" si="96"/>
        <v>C</v>
      </c>
      <c r="OZ14" s="252"/>
      <c r="PA14" s="250"/>
      <c r="PB14" s="251"/>
      <c r="PC14" s="181">
        <f>IF(COUNT(PC15:PC17)=0,"",SUM(PC15:PC17)/COUNT(PC15:PC17))</f>
        <v>3.1666666666666665</v>
      </c>
      <c r="PD14" s="198" t="str">
        <f t="shared" si="97"/>
        <v>B</v>
      </c>
      <c r="PE14" s="247"/>
      <c r="PF14" s="245"/>
      <c r="PG14" s="246"/>
      <c r="PH14" s="181">
        <f>IF(COUNT(PH15:PH17)=0,"",SUM(PH15:PH17)/COUNT(PH15:PH17))</f>
        <v>3.3333333333333335</v>
      </c>
      <c r="PI14" s="205" t="str">
        <f t="shared" si="98"/>
        <v>B</v>
      </c>
      <c r="PJ14" s="181">
        <f>IF(COUNT(PJ15:PJ17)=0,"",SUM(PJ15:PJ17)/COUNT(PJ15:PJ17))</f>
        <v>3.0833333333333335</v>
      </c>
      <c r="PK14" s="206" t="str">
        <f t="shared" si="99"/>
        <v>B</v>
      </c>
      <c r="PL14" s="250"/>
      <c r="PM14" s="250"/>
      <c r="PN14" s="251"/>
      <c r="PO14" s="181">
        <f>IF(COUNT(PO15:PO17)=0,"",SUM(PO15:PO17)/COUNT(PO15:PO17))</f>
        <v>3</v>
      </c>
      <c r="PP14" s="182" t="str">
        <f t="shared" si="100"/>
        <v>B</v>
      </c>
      <c r="PQ14" s="252"/>
      <c r="PR14" s="250"/>
      <c r="PS14" s="251"/>
      <c r="PT14" s="181">
        <f>IF(COUNT(PT15:PT17)=0,"",SUM(PT15:PT17)/COUNT(PT15:PT17))</f>
        <v>3.5</v>
      </c>
      <c r="PU14" s="198" t="str">
        <f t="shared" si="101"/>
        <v>B</v>
      </c>
      <c r="PV14" s="247"/>
      <c r="PW14" s="245"/>
      <c r="PX14" s="246"/>
      <c r="PY14" s="181">
        <f>IF(COUNT(PY15:PY17)=0,"",SUM(PY15:PY17)/COUNT(PY15:PY17))</f>
        <v>3.3333333333333335</v>
      </c>
      <c r="PZ14" s="205" t="str">
        <f t="shared" si="102"/>
        <v>B</v>
      </c>
      <c r="QA14" s="181">
        <f>IF(COUNT(QA15:QA17)=0,"",SUM(QA15:QA17)/COUNT(QA15:QA17))</f>
        <v>3.3611111111111112</v>
      </c>
      <c r="QB14" s="206" t="str">
        <f t="shared" si="103"/>
        <v>B</v>
      </c>
      <c r="QC14" s="250"/>
      <c r="QD14" s="250"/>
      <c r="QE14" s="251"/>
      <c r="QF14" s="181" t="str">
        <f>IF(COUNT(QF15:QF17)=0,"",SUM(QF15:QF17)/COUNT(QF15:QF17))</f>
        <v/>
      </c>
      <c r="QG14" s="182" t="str">
        <f t="shared" si="104"/>
        <v/>
      </c>
      <c r="QH14" s="252"/>
      <c r="QI14" s="250"/>
      <c r="QJ14" s="251"/>
      <c r="QK14" s="181">
        <f>IF(COUNT(QK15:QK17)=0,"",SUM(QK15:QK17)/COUNT(QK15:QK17))</f>
        <v>3.5</v>
      </c>
      <c r="QL14" s="198" t="str">
        <f t="shared" si="105"/>
        <v>B</v>
      </c>
      <c r="QM14" s="247"/>
      <c r="QN14" s="245"/>
      <c r="QO14" s="246"/>
      <c r="QP14" s="181">
        <f>IF(COUNT(QP15:QP17)=0,"",SUM(QP15:QP17)/COUNT(QP15:QP17))</f>
        <v>2.5</v>
      </c>
      <c r="QQ14" s="205" t="str">
        <f t="shared" si="106"/>
        <v>C</v>
      </c>
      <c r="QR14" s="181">
        <f>IF(COUNT(QR15:QR17)=0,"",SUM(QR15:QR17)/COUNT(QR15:QR17))</f>
        <v>2.75</v>
      </c>
      <c r="QS14" s="206" t="str">
        <f t="shared" si="107"/>
        <v>C</v>
      </c>
      <c r="QT14" s="250"/>
      <c r="QU14" s="250"/>
      <c r="QV14" s="251"/>
      <c r="QW14" s="181">
        <f>IF(COUNT(QW15:QW17)=0,"",SUM(QW15:QW17)/COUNT(QW15:QW17))</f>
        <v>3</v>
      </c>
      <c r="QX14" s="182" t="str">
        <f t="shared" si="108"/>
        <v>B</v>
      </c>
      <c r="QY14" s="252"/>
      <c r="QZ14" s="250"/>
      <c r="RA14" s="251"/>
      <c r="RB14" s="181" t="str">
        <f>IF(COUNT(RB15:RB17)=0,"",SUM(RB15:RB17)/COUNT(RB15:RB17))</f>
        <v/>
      </c>
      <c r="RC14" s="198" t="str">
        <f t="shared" si="109"/>
        <v/>
      </c>
      <c r="RD14" s="247"/>
      <c r="RE14" s="245"/>
      <c r="RF14" s="246"/>
      <c r="RG14" s="181" t="str">
        <f>IF(COUNT(RG15:RG17)=0,"",SUM(RG15:RG17)/COUNT(RG15:RG17))</f>
        <v/>
      </c>
      <c r="RH14" s="205" t="str">
        <f t="shared" si="110"/>
        <v/>
      </c>
      <c r="RI14" s="181">
        <f>IF(COUNT(RI15:RI17)=0,"",SUM(RI15:RI17)/COUNT(RI15:RI17))</f>
        <v>3</v>
      </c>
      <c r="RJ14" s="206" t="str">
        <f t="shared" si="111"/>
        <v>B</v>
      </c>
      <c r="RK14" s="250"/>
      <c r="RL14" s="250"/>
      <c r="RM14" s="251"/>
      <c r="RN14" s="181">
        <f>IF(COUNT(RN15:RN17)=0,"",SUM(RN15:RN17)/COUNT(RN15:RN17))</f>
        <v>4</v>
      </c>
      <c r="RO14" s="182" t="str">
        <f t="shared" si="112"/>
        <v>A</v>
      </c>
      <c r="RP14" s="252"/>
      <c r="RQ14" s="250"/>
      <c r="RR14" s="251"/>
      <c r="RS14" s="181">
        <f>IF(COUNT(RS15:RS17)=0,"",SUM(RS15:RS17)/COUNT(RS15:RS17))</f>
        <v>4</v>
      </c>
      <c r="RT14" s="198" t="str">
        <f t="shared" si="113"/>
        <v>A</v>
      </c>
      <c r="RU14" s="247"/>
      <c r="RV14" s="245"/>
      <c r="RW14" s="246"/>
      <c r="RX14" s="181">
        <f>IF(COUNT(RX15:RX17)=0,"",SUM(RX15:RX17)/COUNT(RX15:RX17))</f>
        <v>3.1666666666666665</v>
      </c>
      <c r="RY14" s="205" t="str">
        <f t="shared" si="114"/>
        <v>B</v>
      </c>
      <c r="RZ14" s="181">
        <f>IF(COUNT(RZ15:RZ17)=0,"",SUM(RZ15:RZ17)/COUNT(RZ15:RZ17))</f>
        <v>3.4722222222222219</v>
      </c>
      <c r="SA14" s="206" t="str">
        <f t="shared" si="115"/>
        <v>B</v>
      </c>
      <c r="SB14" s="250"/>
      <c r="SC14" s="250"/>
      <c r="SD14" s="251"/>
      <c r="SE14" s="181">
        <f>IF(COUNT(SE15:SE17)=0,"",SUM(SE15:SE17)/COUNT(SE15:SE17))</f>
        <v>3</v>
      </c>
      <c r="SF14" s="182" t="str">
        <f t="shared" si="116"/>
        <v>B</v>
      </c>
      <c r="SG14" s="252"/>
      <c r="SH14" s="250"/>
      <c r="SI14" s="251"/>
      <c r="SJ14" s="181">
        <f>IF(COUNT(SJ15:SJ17)=0,"",SUM(SJ15:SJ17)/COUNT(SJ15:SJ17))</f>
        <v>3.3333333333333335</v>
      </c>
      <c r="SK14" s="198" t="str">
        <f t="shared" si="117"/>
        <v>B</v>
      </c>
      <c r="SL14" s="247"/>
      <c r="SM14" s="245"/>
      <c r="SN14" s="246"/>
      <c r="SO14" s="181">
        <f>IF(COUNT(SO15:SO17)=0,"",SUM(SO15:SO17)/COUNT(SO15:SO17))</f>
        <v>2.1666666666666665</v>
      </c>
      <c r="SP14" s="205" t="str">
        <f t="shared" si="118"/>
        <v>C</v>
      </c>
      <c r="SQ14" s="181">
        <f>IF(COUNT(SQ15:SQ17)=0,"",SUM(SQ15:SQ17)/COUNT(SQ15:SQ17))</f>
        <v>2.7777777777777781</v>
      </c>
      <c r="SR14" s="206" t="str">
        <f t="shared" si="119"/>
        <v>C</v>
      </c>
      <c r="SS14" s="250"/>
      <c r="ST14" s="250"/>
      <c r="SU14" s="251"/>
      <c r="SV14" s="93" t="str">
        <f>IF(COUNT(SV15:SV17)=0,"",SUM(SV15:SV17)/COUNT(SV15:SV17))</f>
        <v/>
      </c>
      <c r="SW14" s="94" t="str">
        <f t="shared" si="120"/>
        <v/>
      </c>
      <c r="SX14" s="252"/>
      <c r="SY14" s="250"/>
      <c r="SZ14" s="251"/>
      <c r="TA14" s="93">
        <f>IF(COUNT(TA15:TA17)=0,"",SUM(TA15:TA17)/COUNT(TA15:TA17))</f>
        <v>2.6666666666666665</v>
      </c>
      <c r="TB14" s="95" t="str">
        <f t="shared" si="121"/>
        <v>C</v>
      </c>
      <c r="TC14" s="247"/>
      <c r="TD14" s="245"/>
      <c r="TE14" s="246"/>
      <c r="TF14" s="93">
        <f>IF(COUNT(TF15:TF17)=0,"",SUM(TF15:TF17)/COUNT(TF15:TF17))</f>
        <v>2.8333333333333335</v>
      </c>
      <c r="TG14" s="96" t="str">
        <f t="shared" si="122"/>
        <v>B</v>
      </c>
      <c r="TH14" s="93">
        <f>IF(COUNT(TH15:TH17)=0,"",SUM(TH15:TH17)/COUNT(TH15:TH17))</f>
        <v>2.75</v>
      </c>
      <c r="TI14" s="97" t="str">
        <f t="shared" si="123"/>
        <v>C</v>
      </c>
      <c r="TJ14" s="250"/>
      <c r="TK14" s="250"/>
      <c r="TL14" s="251"/>
      <c r="TM14" s="93" t="str">
        <f>IF(COUNT(TM15:TM17)=0,"",SUM(TM15:TM17)/COUNT(TM15:TM17))</f>
        <v/>
      </c>
      <c r="TN14" s="94" t="str">
        <f t="shared" si="124"/>
        <v/>
      </c>
      <c r="TO14" s="252"/>
      <c r="TP14" s="250"/>
      <c r="TQ14" s="251"/>
      <c r="TR14" s="93" t="str">
        <f>IF(COUNT(TR15:TR17)=0,"",SUM(TR15:TR17)/COUNT(TR15:TR17))</f>
        <v/>
      </c>
      <c r="TS14" s="95" t="str">
        <f t="shared" si="125"/>
        <v/>
      </c>
      <c r="TT14" s="247"/>
      <c r="TU14" s="245"/>
      <c r="TV14" s="246"/>
      <c r="TW14" s="93" t="str">
        <f>IF(COUNT(TW15:TW17)=0,"",SUM(TW15:TW17)/COUNT(TW15:TW17))</f>
        <v/>
      </c>
      <c r="TX14" s="96" t="str">
        <f t="shared" si="126"/>
        <v/>
      </c>
      <c r="TY14" s="93" t="str">
        <f>IF(COUNT(TY15:TY17)=0,"",SUM(TY15:TY17)/COUNT(TY15:TY17))</f>
        <v/>
      </c>
      <c r="TZ14" s="97" t="str">
        <f t="shared" si="127"/>
        <v/>
      </c>
    </row>
    <row r="15" spans="1:546" ht="15" customHeight="1" x14ac:dyDescent="0.25">
      <c r="A15" s="240" t="s">
        <v>18</v>
      </c>
      <c r="B15" s="241"/>
      <c r="C15" s="99" t="s">
        <v>25</v>
      </c>
      <c r="D15" s="100"/>
      <c r="E15" s="101"/>
      <c r="F15" s="183">
        <f>IFERROR((((COUNTIF('Elève (6ème2)'!C15:E15,"A"))*4)+((COUNTIF('Elève (6ème2)'!C15:E15,"B"))*3)+((COUNTIF('Elève (6ème2)'!C15:E15,"C"))*2)+((COUNTIF('Elève (6ème2)'!C15:E15,"D"))*1))/(COUNTA(C15:E15)),"")</f>
        <v>2</v>
      </c>
      <c r="G15" s="184" t="str">
        <f t="shared" si="0"/>
        <v>C</v>
      </c>
      <c r="H15" s="99" t="s">
        <v>24</v>
      </c>
      <c r="I15" s="100"/>
      <c r="J15" s="101" t="s">
        <v>23</v>
      </c>
      <c r="K15" s="183">
        <f>IFERROR((((COUNTIF('Elève (6ème2)'!H15:J15,"A"))*4)+((COUNTIF('Elève (6ème2)'!H15:J15,"B"))*3)+((COUNTIF('Elève (6ème2)'!H15:J15,"C"))*2)+((COUNTIF('Elève (6ème2)'!H15:J15,"D"))*1))/(COUNTA(H15:J15)),"")</f>
        <v>3.5</v>
      </c>
      <c r="L15" s="184" t="str">
        <f t="shared" si="1"/>
        <v>B</v>
      </c>
      <c r="M15" s="99" t="s">
        <v>24</v>
      </c>
      <c r="N15" s="100" t="s">
        <v>23</v>
      </c>
      <c r="O15" s="101"/>
      <c r="P15" s="183">
        <f>IFERROR((((COUNTIF('Elève (6ème2)'!M15:O15,"A"))*4)+((COUNTIF('Elève (6ème2)'!M15:O15,"B"))*3)+((COUNTIF('Elève (6ème2)'!M15:O15,"C"))*2)+((COUNTIF('Elève (6ème2)'!M15:O15,"D"))*1))/(COUNTA(M15:O15)),"")</f>
        <v>3.5</v>
      </c>
      <c r="Q15" s="184" t="str">
        <f t="shared" si="2"/>
        <v>B</v>
      </c>
      <c r="R15" s="183">
        <f>IF(COUNT(F15,K15,P15)=0,"",SUM(F15,K15,P15)/COUNT(F15,K15,P15))</f>
        <v>3</v>
      </c>
      <c r="S15" s="211" t="str">
        <f t="shared" si="3"/>
        <v>B</v>
      </c>
      <c r="T15" s="105" t="s">
        <v>26</v>
      </c>
      <c r="U15" s="100"/>
      <c r="V15" s="101"/>
      <c r="W15" s="183">
        <f>IFERROR((((COUNTIF('Elève (6ème2)'!T15:V15,"A"))*4)+((COUNTIF('Elève (6ème2)'!T15:V15,"B"))*3)+((COUNTIF('Elève (6ème2)'!T15:V15,"C"))*2)+((COUNTIF('Elève (6ème2)'!T15:V15,"D"))*1))/(COUNTA(T15:V15)),"")</f>
        <v>1</v>
      </c>
      <c r="X15" s="184" t="str">
        <f t="shared" si="4"/>
        <v>D</v>
      </c>
      <c r="Y15" s="99" t="s">
        <v>24</v>
      </c>
      <c r="Z15" s="100"/>
      <c r="AA15" s="101" t="s">
        <v>25</v>
      </c>
      <c r="AB15" s="183">
        <f>IFERROR((((COUNTIF('Elève (6ème2)'!Y15:AA15,"A"))*4)+((COUNTIF('Elève (6ème2)'!Y15:AA15,"B"))*3)+((COUNTIF('Elève (6ème2)'!Y15:AA15,"C"))*2)+((COUNTIF('Elève (6ème2)'!Y15:AA15,"D"))*1))/(COUNTA(Y15:AA15)),"")</f>
        <v>2.5</v>
      </c>
      <c r="AC15" s="184" t="str">
        <f t="shared" si="5"/>
        <v>C</v>
      </c>
      <c r="AD15" s="99" t="s">
        <v>25</v>
      </c>
      <c r="AE15" s="100" t="s">
        <v>24</v>
      </c>
      <c r="AF15" s="101"/>
      <c r="AG15" s="183">
        <f>IFERROR((((COUNTIF('Elève (6ème2)'!AD15:AF15,"A"))*4)+((COUNTIF('Elève (6ème2)'!AD15:AF15,"B"))*3)+((COUNTIF('Elève (6ème2)'!AD15:AF15,"C"))*2)+((COUNTIF('Elève (6ème2)'!AD15:AF15,"D"))*1))/(COUNTA(AD15:AF15)),"")</f>
        <v>2.5</v>
      </c>
      <c r="AH15" s="184" t="str">
        <f t="shared" si="6"/>
        <v>C</v>
      </c>
      <c r="AI15" s="183">
        <f>IF(COUNT(W15,AB15,AG15)=0,"",SUM(W15,AB15,AG15)/COUNT(W15,AB15,AG15))</f>
        <v>2</v>
      </c>
      <c r="AJ15" s="211" t="str">
        <f t="shared" si="7"/>
        <v>C</v>
      </c>
      <c r="AK15" s="105" t="s">
        <v>26</v>
      </c>
      <c r="AL15" s="100"/>
      <c r="AM15" s="101"/>
      <c r="AN15" s="183">
        <f>IFERROR((((COUNTIF('Elève (6ème2)'!AK15:AM15,"A"))*4)+((COUNTIF('Elève (6ème2)'!AK15:AM15,"B"))*3)+((COUNTIF('Elève (6ème2)'!AK15:AM15,"C"))*2)+((COUNTIF('Elève (6ème2)'!AK15:AM15,"D"))*1))/(COUNTA(AK15:AM15)),"")</f>
        <v>1</v>
      </c>
      <c r="AO15" s="184" t="str">
        <f t="shared" si="8"/>
        <v>D</v>
      </c>
      <c r="AP15" s="99" t="s">
        <v>25</v>
      </c>
      <c r="AQ15" s="100"/>
      <c r="AR15" s="101" t="s">
        <v>24</v>
      </c>
      <c r="AS15" s="183">
        <f>IFERROR((((COUNTIF('Elève (6ème2)'!AP15:AR15,"A"))*4)+((COUNTIF('Elève (6ème2)'!AP15:AR15,"B"))*3)+((COUNTIF('Elève (6ème2)'!AP15:AR15,"C"))*2)+((COUNTIF('Elève (6ème2)'!AP15:AR15,"D"))*1))/(COUNTA(AP15:AR15)),"")</f>
        <v>2.5</v>
      </c>
      <c r="AT15" s="184" t="str">
        <f t="shared" si="9"/>
        <v>C</v>
      </c>
      <c r="AU15" s="99" t="s">
        <v>25</v>
      </c>
      <c r="AV15" s="100" t="s">
        <v>25</v>
      </c>
      <c r="AW15" s="101"/>
      <c r="AX15" s="183">
        <f>IFERROR((((COUNTIF('Elève (6ème2)'!AU15:AW15,"A"))*4)+((COUNTIF('Elève (6ème2)'!AU15:AW15,"B"))*3)+((COUNTIF('Elève (6ème2)'!AU15:AW15,"C"))*2)+((COUNTIF('Elève (6ème2)'!AU15:AW15,"D"))*1))/(COUNTA(AU15:AW15)),"")</f>
        <v>2</v>
      </c>
      <c r="AY15" s="184" t="str">
        <f t="shared" si="10"/>
        <v>C</v>
      </c>
      <c r="AZ15" s="183">
        <f>IF(COUNT(AN15,AS15,AX15)=0,"",SUM(AN15,AS15,AX15)/COUNT(AN15,AS15,AX15))</f>
        <v>1.8333333333333333</v>
      </c>
      <c r="BA15" s="211" t="str">
        <f t="shared" si="11"/>
        <v>C</v>
      </c>
      <c r="BB15" s="105" t="s">
        <v>24</v>
      </c>
      <c r="BC15" s="100"/>
      <c r="BD15" s="101"/>
      <c r="BE15" s="183">
        <f>IFERROR((((COUNTIF('Elève (6ème2)'!BB15:BD15,"A"))*4)+((COUNTIF('Elève (6ème2)'!BB15:BD15,"B"))*3)+((COUNTIF('Elève (6ème2)'!BB15:BD15,"C"))*2)+((COUNTIF('Elève (6ème2)'!BB15:BD15,"D"))*1))/(COUNTA(BB15:BD15)),"")</f>
        <v>3</v>
      </c>
      <c r="BF15" s="184" t="str">
        <f t="shared" si="12"/>
        <v>B</v>
      </c>
      <c r="BG15" s="99" t="s">
        <v>23</v>
      </c>
      <c r="BH15" s="100"/>
      <c r="BI15" s="101" t="s">
        <v>24</v>
      </c>
      <c r="BJ15" s="183">
        <f>IFERROR((((COUNTIF('Elève (6ème2)'!BG15:BI15,"A"))*4)+((COUNTIF('Elève (6ème2)'!BG15:BI15,"B"))*3)+((COUNTIF('Elève (6ème2)'!BG15:BI15,"C"))*2)+((COUNTIF('Elève (6ème2)'!BG15:BI15,"D"))*1))/(COUNTA(BG15:BI15)),"")</f>
        <v>3.5</v>
      </c>
      <c r="BK15" s="184" t="str">
        <f t="shared" si="13"/>
        <v>B</v>
      </c>
      <c r="BL15" s="99" t="s">
        <v>23</v>
      </c>
      <c r="BM15" s="100" t="s">
        <v>23</v>
      </c>
      <c r="BN15" s="101"/>
      <c r="BO15" s="183">
        <f>IFERROR((((COUNTIF('Elève (6ème2)'!BL15:BN15,"A"))*4)+((COUNTIF('Elève (6ème2)'!BL15:BN15,"B"))*3)+((COUNTIF('Elève (6ème2)'!BL15:BN15,"C"))*2)+((COUNTIF('Elève (6ème2)'!BL15:BN15,"D"))*1))/(COUNTA(BL15:BN15)),"")</f>
        <v>4</v>
      </c>
      <c r="BP15" s="184" t="str">
        <f t="shared" si="14"/>
        <v>A</v>
      </c>
      <c r="BQ15" s="183">
        <f>IF(COUNT(BE15,BJ15,BO15)=0,"",SUM(BE15,BJ15,BO15)/COUNT(BE15,BJ15,BO15))</f>
        <v>3.5</v>
      </c>
      <c r="BR15" s="211" t="str">
        <f t="shared" si="15"/>
        <v>B</v>
      </c>
      <c r="BS15" s="105" t="s">
        <v>24</v>
      </c>
      <c r="BT15" s="100"/>
      <c r="BU15" s="101"/>
      <c r="BV15" s="183">
        <f>IFERROR((((COUNTIF('Elève (6ème2)'!BS15:BU15,"A"))*4)+((COUNTIF('Elève (6ème2)'!BS15:BU15,"B"))*3)+((COUNTIF('Elève (6ème2)'!BS15:BU15,"C"))*2)+((COUNTIF('Elève (6ème2)'!BS15:BU15,"D"))*1))/(COUNTA(BS15:BU15)),"")</f>
        <v>3</v>
      </c>
      <c r="BW15" s="184" t="str">
        <f t="shared" si="16"/>
        <v>B</v>
      </c>
      <c r="BX15" s="99" t="s">
        <v>23</v>
      </c>
      <c r="BY15" s="100"/>
      <c r="BZ15" s="101" t="s">
        <v>24</v>
      </c>
      <c r="CA15" s="183">
        <f>IFERROR((((COUNTIF('Elève (6ème2)'!BX15:BZ15,"A"))*4)+((COUNTIF('Elève (6ème2)'!BX15:BZ15,"B"))*3)+((COUNTIF('Elève (6ème2)'!BX15:BZ15,"C"))*2)+((COUNTIF('Elève (6ème2)'!BX15:BZ15,"D"))*1))/(COUNTA(BX15:BZ15)),"")</f>
        <v>3.5</v>
      </c>
      <c r="CB15" s="184" t="str">
        <f t="shared" si="17"/>
        <v>B</v>
      </c>
      <c r="CC15" s="99" t="s">
        <v>23</v>
      </c>
      <c r="CD15" s="100" t="s">
        <v>23</v>
      </c>
      <c r="CE15" s="101"/>
      <c r="CF15" s="183">
        <f>IFERROR((((COUNTIF('Elève (6ème2)'!CC15:CE15,"A"))*4)+((COUNTIF('Elève (6ème2)'!CC15:CE15,"B"))*3)+((COUNTIF('Elève (6ème2)'!CC15:CE15,"C"))*2)+((COUNTIF('Elève (6ème2)'!CC15:CE15,"D"))*1))/(COUNTA(CC15:CE15)),"")</f>
        <v>4</v>
      </c>
      <c r="CG15" s="184" t="str">
        <f t="shared" si="18"/>
        <v>A</v>
      </c>
      <c r="CH15" s="183">
        <f>IF(COUNT(BV15,CA15,CF15)=0,"",SUM(BV15,CA15,CF15)/COUNT(BV15,CA15,CF15))</f>
        <v>3.5</v>
      </c>
      <c r="CI15" s="211" t="str">
        <f t="shared" si="19"/>
        <v>B</v>
      </c>
      <c r="CJ15" s="105" t="s">
        <v>25</v>
      </c>
      <c r="CK15" s="100"/>
      <c r="CL15" s="101"/>
      <c r="CM15" s="183">
        <f>IFERROR((((COUNTIF('Elève (6ème2)'!CJ15:CL15,"A"))*4)+((COUNTIF('Elève (6ème2)'!CJ15:CL15,"B"))*3)+((COUNTIF('Elève (6ème2)'!CJ15:CL15,"C"))*2)+((COUNTIF('Elève (6ème2)'!CJ15:CL15,"D"))*1))/(COUNTA(CJ15:CL15)),"")</f>
        <v>2</v>
      </c>
      <c r="CN15" s="184" t="str">
        <f t="shared" si="20"/>
        <v>C</v>
      </c>
      <c r="CO15" s="99" t="s">
        <v>24</v>
      </c>
      <c r="CP15" s="100"/>
      <c r="CQ15" s="101" t="s">
        <v>24</v>
      </c>
      <c r="CR15" s="183">
        <f>IFERROR((((COUNTIF('Elève (6ème2)'!CO15:CQ15,"A"))*4)+((COUNTIF('Elève (6ème2)'!CO15:CQ15,"B"))*3)+((COUNTIF('Elève (6ème2)'!CO15:CQ15,"C"))*2)+((COUNTIF('Elève (6ème2)'!CO15:CQ15,"D"))*1))/(COUNTA(CO15:CQ15)),"")</f>
        <v>3</v>
      </c>
      <c r="CS15" s="184" t="str">
        <f t="shared" si="21"/>
        <v>B</v>
      </c>
      <c r="CT15" s="99" t="s">
        <v>25</v>
      </c>
      <c r="CU15" s="100" t="s">
        <v>25</v>
      </c>
      <c r="CV15" s="101"/>
      <c r="CW15" s="183">
        <f>IFERROR((((COUNTIF('Elève (6ème2)'!CT15:CV15,"A"))*4)+((COUNTIF('Elève (6ème2)'!CT15:CV15,"B"))*3)+((COUNTIF('Elève (6ème2)'!CT15:CV15,"C"))*2)+((COUNTIF('Elève (6ème2)'!CT15:CV15,"D"))*1))/(COUNTA(CT15:CV15)),"")</f>
        <v>2</v>
      </c>
      <c r="CX15" s="184" t="str">
        <f t="shared" si="22"/>
        <v>C</v>
      </c>
      <c r="CY15" s="183">
        <f>IF(COUNT(CM15,CR15,CW15)=0,"",SUM(CM15,CR15,CW15)/COUNT(CM15,CR15,CW15))</f>
        <v>2.3333333333333335</v>
      </c>
      <c r="CZ15" s="211" t="str">
        <f t="shared" si="23"/>
        <v>C</v>
      </c>
      <c r="DA15" s="105" t="s">
        <v>26</v>
      </c>
      <c r="DB15" s="100"/>
      <c r="DC15" s="101"/>
      <c r="DD15" s="183">
        <f>IFERROR((((COUNTIF('Elève (6ème2)'!DA15:DC15,"A"))*4)+((COUNTIF('Elève (6ème2)'!DA15:DC15,"B"))*3)+((COUNTIF('Elève (6ème2)'!DA15:DC15,"C"))*2)+((COUNTIF('Elève (6ème2)'!DA15:DC15,"D"))*1))/(COUNTA(DA15:DC15)),"")</f>
        <v>1</v>
      </c>
      <c r="DE15" s="184" t="str">
        <f t="shared" si="24"/>
        <v>D</v>
      </c>
      <c r="DF15" s="99" t="s">
        <v>24</v>
      </c>
      <c r="DG15" s="100"/>
      <c r="DH15" s="101" t="s">
        <v>24</v>
      </c>
      <c r="DI15" s="183">
        <f>IFERROR((((COUNTIF('Elève (6ème2)'!DF15:DH15,"A"))*4)+((COUNTIF('Elève (6ème2)'!DF15:DH15,"B"))*3)+((COUNTIF('Elève (6ème2)'!DF15:DH15,"C"))*2)+((COUNTIF('Elève (6ème2)'!DF15:DH15,"D"))*1))/(COUNTA(DF15:DH15)),"")</f>
        <v>3</v>
      </c>
      <c r="DJ15" s="184" t="str">
        <f t="shared" si="25"/>
        <v>B</v>
      </c>
      <c r="DK15" s="99" t="s">
        <v>24</v>
      </c>
      <c r="DL15" s="100" t="s">
        <v>24</v>
      </c>
      <c r="DM15" s="101"/>
      <c r="DN15" s="183">
        <f>IFERROR((((COUNTIF('Elève (6ème2)'!DK15:DM15,"A"))*4)+((COUNTIF('Elève (6ème2)'!DK15:DM15,"B"))*3)+((COUNTIF('Elève (6ème2)'!DK15:DM15,"C"))*2)+((COUNTIF('Elève (6ème2)'!DK15:DM15,"D"))*1))/(COUNTA(DK15:DM15)),"")</f>
        <v>3</v>
      </c>
      <c r="DO15" s="184" t="str">
        <f t="shared" si="26"/>
        <v>B</v>
      </c>
      <c r="DP15" s="183">
        <f>IF(COUNT(DD15,DI15,DN15)=0,"",SUM(DD15,DI15,DN15)/COUNT(DD15,DI15,DN15))</f>
        <v>2.3333333333333335</v>
      </c>
      <c r="DQ15" s="211" t="str">
        <f t="shared" si="27"/>
        <v>C</v>
      </c>
      <c r="DR15" s="105" t="s">
        <v>24</v>
      </c>
      <c r="DS15" s="100"/>
      <c r="DT15" s="101"/>
      <c r="DU15" s="183">
        <f>IFERROR((((COUNTIF('Elève (6ème2)'!DR15:DT15,"A"))*4)+((COUNTIF('Elève (6ème2)'!DR15:DT15,"B"))*3)+((COUNTIF('Elève (6ème2)'!DR15:DT15,"C"))*2)+((COUNTIF('Elève (6ème2)'!DR15:DT15,"D"))*1))/(COUNTA(DR15:DT15)),"")</f>
        <v>3</v>
      </c>
      <c r="DV15" s="184" t="str">
        <f t="shared" si="28"/>
        <v>B</v>
      </c>
      <c r="DW15" s="99" t="s">
        <v>24</v>
      </c>
      <c r="DX15" s="100"/>
      <c r="DY15" s="101" t="s">
        <v>24</v>
      </c>
      <c r="DZ15" s="183">
        <f>IFERROR((((COUNTIF('Elève (6ème2)'!DW15:DY15,"A"))*4)+((COUNTIF('Elève (6ème2)'!DW15:DY15,"B"))*3)+((COUNTIF('Elève (6ème2)'!DW15:DY15,"C"))*2)+((COUNTIF('Elève (6ème2)'!DW15:DY15,"D"))*1))/(COUNTA(DW15:DY15)),"")</f>
        <v>3</v>
      </c>
      <c r="EA15" s="184" t="str">
        <f t="shared" si="29"/>
        <v>B</v>
      </c>
      <c r="EB15" s="99" t="s">
        <v>24</v>
      </c>
      <c r="EC15" s="100"/>
      <c r="ED15" s="101"/>
      <c r="EE15" s="183">
        <f>IFERROR((((COUNTIF('Elève (6ème2)'!EB15:ED15,"A"))*4)+((COUNTIF('Elève (6ème2)'!EB15:ED15,"B"))*3)+((COUNTIF('Elève (6ème2)'!EB15:ED15,"C"))*2)+((COUNTIF('Elève (6ème2)'!EB15:ED15,"D"))*1))/(COUNTA(EB15:ED15)),"")</f>
        <v>3</v>
      </c>
      <c r="EF15" s="184" t="str">
        <f t="shared" si="30"/>
        <v>B</v>
      </c>
      <c r="EG15" s="183">
        <f>IF(COUNT(DU15,DZ15,EE15)=0,"",SUM(DU15,DZ15,EE15)/COUNT(DU15,DZ15,EE15))</f>
        <v>3</v>
      </c>
      <c r="EH15" s="211" t="str">
        <f t="shared" si="31"/>
        <v>B</v>
      </c>
      <c r="EI15" s="105" t="s">
        <v>26</v>
      </c>
      <c r="EJ15" s="100"/>
      <c r="EK15" s="101"/>
      <c r="EL15" s="183">
        <f>IFERROR((((COUNTIF('Elève (6ème2)'!EI15:EK15,"A"))*4)+((COUNTIF('Elève (6ème2)'!EI15:EK15,"B"))*3)+((COUNTIF('Elève (6ème2)'!EI15:EK15,"C"))*2)+((COUNTIF('Elève (6ème2)'!EI15:EK15,"D"))*1))/(COUNTA(EI15:EK15)),"")</f>
        <v>1</v>
      </c>
      <c r="EM15" s="184" t="str">
        <f t="shared" si="32"/>
        <v>D</v>
      </c>
      <c r="EN15" s="99" t="s">
        <v>23</v>
      </c>
      <c r="EO15" s="100"/>
      <c r="EP15" s="101" t="s">
        <v>25</v>
      </c>
      <c r="EQ15" s="183">
        <f>IFERROR((((COUNTIF('Elève (6ème2)'!EN15:EP15,"A"))*4)+((COUNTIF('Elève (6ème2)'!EN15:EP15,"B"))*3)+((COUNTIF('Elève (6ème2)'!EN15:EP15,"C"))*2)+((COUNTIF('Elève (6ème2)'!EN15:EP15,"D"))*1))/(COUNTA(EN15:EP15)),"")</f>
        <v>3</v>
      </c>
      <c r="ER15" s="184" t="str">
        <f t="shared" si="33"/>
        <v>B</v>
      </c>
      <c r="ES15" s="99" t="s">
        <v>24</v>
      </c>
      <c r="ET15" s="100" t="s">
        <v>25</v>
      </c>
      <c r="EU15" s="101"/>
      <c r="EV15" s="183">
        <f>IFERROR((((COUNTIF('Elève (6ème2)'!ES15:EU15,"A"))*4)+((COUNTIF('Elève (6ème2)'!ES15:EU15,"B"))*3)+((COUNTIF('Elève (6ème2)'!ES15:EU15,"C"))*2)+((COUNTIF('Elève (6ème2)'!ES15:EU15,"D"))*1))/(COUNTA(ES15:EU15)),"")</f>
        <v>2.5</v>
      </c>
      <c r="EW15" s="184" t="str">
        <f t="shared" si="34"/>
        <v>C</v>
      </c>
      <c r="EX15" s="183">
        <f>IF(COUNT(EL15,EQ15,EV15)=0,"",SUM(EL15,EQ15,EV15)/COUNT(EL15,EQ15,EV15))</f>
        <v>2.1666666666666665</v>
      </c>
      <c r="EY15" s="211" t="str">
        <f t="shared" si="35"/>
        <v>C</v>
      </c>
      <c r="EZ15" s="105" t="s">
        <v>25</v>
      </c>
      <c r="FA15" s="100"/>
      <c r="FB15" s="101"/>
      <c r="FC15" s="183">
        <f>IFERROR((((COUNTIF('Elève (6ème2)'!EZ15:FB15,"A"))*4)+((COUNTIF('Elève (6ème2)'!EZ15:FB15,"B"))*3)+((COUNTIF('Elève (6ème2)'!EZ15:FB15,"C"))*2)+((COUNTIF('Elève (6ème2)'!EZ15:FB15,"D"))*1))/(COUNTA(EZ15:FB15)),"")</f>
        <v>2</v>
      </c>
      <c r="FD15" s="184" t="str">
        <f t="shared" si="36"/>
        <v>C</v>
      </c>
      <c r="FE15" s="99" t="s">
        <v>24</v>
      </c>
      <c r="FF15" s="100"/>
      <c r="FG15" s="101" t="s">
        <v>23</v>
      </c>
      <c r="FH15" s="183">
        <f>IFERROR((((COUNTIF('Elève (6ème2)'!FE15:FG15,"A"))*4)+((COUNTIF('Elève (6ème2)'!FE15:FG15,"B"))*3)+((COUNTIF('Elève (6ème2)'!FE15:FG15,"C"))*2)+((COUNTIF('Elève (6ème2)'!FE15:FG15,"D"))*1))/(COUNTA(FE15:FG15)),"")</f>
        <v>3.5</v>
      </c>
      <c r="FI15" s="184" t="str">
        <f t="shared" si="37"/>
        <v>B</v>
      </c>
      <c r="FJ15" s="99" t="s">
        <v>25</v>
      </c>
      <c r="FK15" s="100" t="s">
        <v>24</v>
      </c>
      <c r="FL15" s="101"/>
      <c r="FM15" s="183">
        <f>IFERROR((((COUNTIF('Elève (6ème2)'!FJ15:FL15,"A"))*4)+((COUNTIF('Elève (6ème2)'!FJ15:FL15,"B"))*3)+((COUNTIF('Elève (6ème2)'!FJ15:FL15,"C"))*2)+((COUNTIF('Elève (6ème2)'!FJ15:FL15,"D"))*1))/(COUNTA(FJ15:FL15)),"")</f>
        <v>2.5</v>
      </c>
      <c r="FN15" s="184" t="str">
        <f t="shared" si="38"/>
        <v>C</v>
      </c>
      <c r="FO15" s="183">
        <f>IF(COUNT(FC15,FH15,FM15)=0,"",SUM(FC15,FH15,FM15)/COUNT(FC15,FH15,FM15))</f>
        <v>2.6666666666666665</v>
      </c>
      <c r="FP15" s="211" t="str">
        <f t="shared" si="39"/>
        <v>C</v>
      </c>
      <c r="FQ15" s="105" t="s">
        <v>26</v>
      </c>
      <c r="FR15" s="100"/>
      <c r="FS15" s="101"/>
      <c r="FT15" s="183">
        <f>IFERROR((((COUNTIF('Elève (6ème2)'!FQ15:FS15,"A"))*4)+((COUNTIF('Elève (6ème2)'!FQ15:FS15,"B"))*3)+((COUNTIF('Elève (6ème2)'!FQ15:FS15,"C"))*2)+((COUNTIF('Elève (6ème2)'!FQ15:FS15,"D"))*1))/(COUNTA(FQ15:FS15)),"")</f>
        <v>1</v>
      </c>
      <c r="FU15" s="184" t="str">
        <f t="shared" si="40"/>
        <v>D</v>
      </c>
      <c r="FV15" s="99" t="s">
        <v>23</v>
      </c>
      <c r="FW15" s="100"/>
      <c r="FX15" s="101" t="s">
        <v>24</v>
      </c>
      <c r="FY15" s="183">
        <f>IFERROR((((COUNTIF('Elève (6ème2)'!FV15:FX15,"A"))*4)+((COUNTIF('Elève (6ème2)'!FV15:FX15,"B"))*3)+((COUNTIF('Elève (6ème2)'!FV15:FX15,"C"))*2)+((COUNTIF('Elève (6ème2)'!FV15:FX15,"D"))*1))/(COUNTA(FV15:FX15)),"")</f>
        <v>3.5</v>
      </c>
      <c r="FZ15" s="184" t="str">
        <f t="shared" si="41"/>
        <v>B</v>
      </c>
      <c r="GA15" s="99" t="s">
        <v>25</v>
      </c>
      <c r="GB15" s="100" t="s">
        <v>23</v>
      </c>
      <c r="GC15" s="101"/>
      <c r="GD15" s="183">
        <f>IFERROR((((COUNTIF('Elève (6ème2)'!GA15:GC15,"A"))*4)+((COUNTIF('Elève (6ème2)'!GA15:GC15,"B"))*3)+((COUNTIF('Elève (6ème2)'!GA15:GC15,"C"))*2)+((COUNTIF('Elève (6ème2)'!GA15:GC15,"D"))*1))/(COUNTA(GA15:GC15)),"")</f>
        <v>3</v>
      </c>
      <c r="GE15" s="184" t="str">
        <f t="shared" si="42"/>
        <v>B</v>
      </c>
      <c r="GF15" s="183">
        <f>IF(COUNT(FT15,FY15,GD15)=0,"",SUM(FT15,FY15,GD15)/COUNT(FT15,FY15,GD15))</f>
        <v>2.5</v>
      </c>
      <c r="GG15" s="211" t="str">
        <f t="shared" si="43"/>
        <v>C</v>
      </c>
      <c r="GH15" s="105" t="s">
        <v>25</v>
      </c>
      <c r="GI15" s="100"/>
      <c r="GJ15" s="101"/>
      <c r="GK15" s="183">
        <f>IFERROR((((COUNTIF('Elève (6ème2)'!GH15:GJ15,"A"))*4)+((COUNTIF('Elève (6ème2)'!GH15:GJ15,"B"))*3)+((COUNTIF('Elève (6ème2)'!GH15:GJ15,"C"))*2)+((COUNTIF('Elève (6ème2)'!GH15:GJ15,"D"))*1))/(COUNTA(GH15:GJ15)),"")</f>
        <v>2</v>
      </c>
      <c r="GL15" s="184" t="str">
        <f t="shared" si="44"/>
        <v>C</v>
      </c>
      <c r="GM15" s="99" t="s">
        <v>23</v>
      </c>
      <c r="GN15" s="100"/>
      <c r="GO15" s="101" t="s">
        <v>23</v>
      </c>
      <c r="GP15" s="183">
        <f>IFERROR((((COUNTIF('Elève (6ème2)'!GM15:GO15,"A"))*4)+((COUNTIF('Elève (6ème2)'!GM15:GO15,"B"))*3)+((COUNTIF('Elève (6ème2)'!GM15:GO15,"C"))*2)+((COUNTIF('Elève (6ème2)'!GM15:GO15,"D"))*1))/(COUNTA(GM15:GO15)),"")</f>
        <v>4</v>
      </c>
      <c r="GQ15" s="184" t="str">
        <f t="shared" si="45"/>
        <v>A</v>
      </c>
      <c r="GR15" s="99" t="s">
        <v>24</v>
      </c>
      <c r="GS15" s="100" t="s">
        <v>25</v>
      </c>
      <c r="GT15" s="101"/>
      <c r="GU15" s="183">
        <f>IFERROR((((COUNTIF('Elève (6ème2)'!GR15:GT15,"A"))*4)+((COUNTIF('Elève (6ème2)'!GR15:GT15,"B"))*3)+((COUNTIF('Elève (6ème2)'!GR15:GT15,"C"))*2)+((COUNTIF('Elève (6ème2)'!GR15:GT15,"D"))*1))/(COUNTA(GR15:GT15)),"")</f>
        <v>2.5</v>
      </c>
      <c r="GV15" s="184" t="str">
        <f t="shared" si="46"/>
        <v>C</v>
      </c>
      <c r="GW15" s="183">
        <f>IF(COUNT(GK15,GP15,GU15)=0,"",SUM(GK15,GP15,GU15)/COUNT(GK15,GP15,GU15))</f>
        <v>2.8333333333333335</v>
      </c>
      <c r="GX15" s="211" t="str">
        <f t="shared" si="47"/>
        <v>B</v>
      </c>
      <c r="GY15" s="105" t="s">
        <v>26</v>
      </c>
      <c r="GZ15" s="100"/>
      <c r="HA15" s="101"/>
      <c r="HB15" s="183">
        <f>IFERROR((((COUNTIF('Elève (6ème2)'!GY15:HA15,"A"))*4)+((COUNTIF('Elève (6ème2)'!GY15:HA15,"B"))*3)+((COUNTIF('Elève (6ème2)'!GY15:HA15,"C"))*2)+((COUNTIF('Elève (6ème2)'!GY15:HA15,"D"))*1))/(COUNTA(GY15:HA15)),"")</f>
        <v>1</v>
      </c>
      <c r="HC15" s="184" t="str">
        <f t="shared" si="48"/>
        <v>D</v>
      </c>
      <c r="HD15" s="99" t="s">
        <v>23</v>
      </c>
      <c r="HE15" s="100"/>
      <c r="HF15" s="101" t="s">
        <v>24</v>
      </c>
      <c r="HG15" s="183">
        <f>IFERROR((((COUNTIF('Elève (6ème2)'!HD15:HF15,"A"))*4)+((COUNTIF('Elève (6ème2)'!HD15:HF15,"B"))*3)+((COUNTIF('Elève (6ème2)'!HD15:HF15,"C"))*2)+((COUNTIF('Elève (6ème2)'!HD15:HF15,"D"))*1))/(COUNTA(HD15:HF15)),"")</f>
        <v>3.5</v>
      </c>
      <c r="HH15" s="184" t="str">
        <f t="shared" si="49"/>
        <v>B</v>
      </c>
      <c r="HI15" s="99" t="s">
        <v>24</v>
      </c>
      <c r="HJ15" s="100" t="s">
        <v>24</v>
      </c>
      <c r="HK15" s="101"/>
      <c r="HL15" s="183">
        <f>IFERROR((((COUNTIF('Elève (6ème2)'!HI15:HK15,"A"))*4)+((COUNTIF('Elève (6ème2)'!HI15:HK15,"B"))*3)+((COUNTIF('Elève (6ème2)'!HI15:HK15,"C"))*2)+((COUNTIF('Elève (6ème2)'!HI15:HK15,"D"))*1))/(COUNTA(HI15:HK15)),"")</f>
        <v>3</v>
      </c>
      <c r="HM15" s="184" t="str">
        <f t="shared" si="50"/>
        <v>B</v>
      </c>
      <c r="HN15" s="183">
        <f>IF(COUNT(HB15,HG15,HL15)=0,"",SUM(HB15,HG15,HL15)/COUNT(HB15,HG15,HL15))</f>
        <v>2.5</v>
      </c>
      <c r="HO15" s="211" t="str">
        <f t="shared" si="51"/>
        <v>C</v>
      </c>
      <c r="HP15" s="105" t="s">
        <v>24</v>
      </c>
      <c r="HQ15" s="100"/>
      <c r="HR15" s="101"/>
      <c r="HS15" s="183">
        <f>IFERROR((((COUNTIF('Elève (6ème2)'!HP15:HR15,"A"))*4)+((COUNTIF('Elève (6ème2)'!HP15:HR15,"B"))*3)+((COUNTIF('Elève (6ème2)'!HP15:HR15,"C"))*2)+((COUNTIF('Elève (6ème2)'!HP15:HR15,"D"))*1))/(COUNTA(HP15:HR15)),"")</f>
        <v>3</v>
      </c>
      <c r="HT15" s="184" t="str">
        <f t="shared" si="52"/>
        <v>B</v>
      </c>
      <c r="HU15" s="99" t="s">
        <v>23</v>
      </c>
      <c r="HV15" s="100"/>
      <c r="HW15" s="101" t="s">
        <v>23</v>
      </c>
      <c r="HX15" s="183">
        <f>IFERROR((((COUNTIF('Elève (6ème2)'!HU15:HW15,"A"))*4)+((COUNTIF('Elève (6ème2)'!HU15:HW15,"B"))*3)+((COUNTIF('Elève (6ème2)'!HU15:HW15,"C"))*2)+((COUNTIF('Elève (6ème2)'!HU15:HW15,"D"))*1))/(COUNTA(HU15:HW15)),"")</f>
        <v>4</v>
      </c>
      <c r="HY15" s="184" t="str">
        <f t="shared" si="53"/>
        <v>A</v>
      </c>
      <c r="HZ15" s="99" t="s">
        <v>24</v>
      </c>
      <c r="IA15" s="100" t="s">
        <v>23</v>
      </c>
      <c r="IB15" s="101"/>
      <c r="IC15" s="183">
        <f>IFERROR((((COUNTIF('Elève (6ème2)'!HZ15:IB15,"A"))*4)+((COUNTIF('Elève (6ème2)'!HZ15:IB15,"B"))*3)+((COUNTIF('Elève (6ème2)'!HZ15:IB15,"C"))*2)+((COUNTIF('Elève (6ème2)'!HZ15:IB15,"D"))*1))/(COUNTA(HZ15:IB15)),"")</f>
        <v>3.5</v>
      </c>
      <c r="ID15" s="184" t="str">
        <f t="shared" si="54"/>
        <v>B</v>
      </c>
      <c r="IE15" s="183">
        <f>IF(COUNT(HS15,HX15,IC15)=0,"",SUM(HS15,HX15,IC15)/COUNT(HS15,HX15,IC15))</f>
        <v>3.5</v>
      </c>
      <c r="IF15" s="211" t="str">
        <f t="shared" si="55"/>
        <v>B</v>
      </c>
      <c r="IG15" s="105" t="s">
        <v>25</v>
      </c>
      <c r="IH15" s="100"/>
      <c r="II15" s="101"/>
      <c r="IJ15" s="183">
        <f>IFERROR((((COUNTIF('Elève (6ème2)'!IG15:II15,"A"))*4)+((COUNTIF('Elève (6ème2)'!IG15:II15,"B"))*3)+((COUNTIF('Elève (6ème2)'!IG15:II15,"C"))*2)+((COUNTIF('Elève (6ème2)'!IG15:II15,"D"))*1))/(COUNTA(IG15:II15)),"")</f>
        <v>2</v>
      </c>
      <c r="IK15" s="184" t="str">
        <f t="shared" si="56"/>
        <v>C</v>
      </c>
      <c r="IL15" s="99" t="s">
        <v>23</v>
      </c>
      <c r="IM15" s="100"/>
      <c r="IN15" s="101" t="s">
        <v>23</v>
      </c>
      <c r="IO15" s="183">
        <f>IFERROR((((COUNTIF('Elève (6ème2)'!IL15:IN15,"A"))*4)+((COUNTIF('Elève (6ème2)'!IL15:IN15,"B"))*3)+((COUNTIF('Elève (6ème2)'!IL15:IN15,"C"))*2)+((COUNTIF('Elève (6ème2)'!IL15:IN15,"D"))*1))/(COUNTA(IL15:IN15)),"")</f>
        <v>4</v>
      </c>
      <c r="IP15" s="184" t="str">
        <f t="shared" si="57"/>
        <v>A</v>
      </c>
      <c r="IQ15" s="99" t="s">
        <v>23</v>
      </c>
      <c r="IR15" s="100" t="s">
        <v>24</v>
      </c>
      <c r="IS15" s="101"/>
      <c r="IT15" s="183">
        <f>IFERROR((((COUNTIF('Elève (6ème2)'!IQ15:IS15,"A"))*4)+((COUNTIF('Elève (6ème2)'!IQ15:IS15,"B"))*3)+((COUNTIF('Elève (6ème2)'!IQ15:IS15,"C"))*2)+((COUNTIF('Elève (6ème2)'!IQ15:IS15,"D"))*1))/(COUNTA(IQ15:IS15)),"")</f>
        <v>3.5</v>
      </c>
      <c r="IU15" s="184" t="str">
        <f t="shared" si="58"/>
        <v>B</v>
      </c>
      <c r="IV15" s="183">
        <f>IF(COUNT(IJ15,IO15,IT15)=0,"",SUM(IJ15,IO15,IT15)/COUNT(IJ15,IO15,IT15))</f>
        <v>3.1666666666666665</v>
      </c>
      <c r="IW15" s="211" t="str">
        <f t="shared" si="59"/>
        <v>B</v>
      </c>
      <c r="IX15" s="105" t="s">
        <v>26</v>
      </c>
      <c r="IY15" s="100"/>
      <c r="IZ15" s="101"/>
      <c r="JA15" s="183">
        <f>IFERROR((((COUNTIF('Elève (6ème2)'!IX15:IZ15,"A"))*4)+((COUNTIF('Elève (6ème2)'!IX15:IZ15,"B"))*3)+((COUNTIF('Elève (6ème2)'!IX15:IZ15,"C"))*2)+((COUNTIF('Elève (6ème2)'!IX15:IZ15,"D"))*1))/(COUNTA(IX15:IZ15)),"")</f>
        <v>1</v>
      </c>
      <c r="JB15" s="184" t="str">
        <f t="shared" si="60"/>
        <v>D</v>
      </c>
      <c r="JC15" s="99" t="s">
        <v>24</v>
      </c>
      <c r="JD15" s="100"/>
      <c r="JE15" s="101" t="s">
        <v>23</v>
      </c>
      <c r="JF15" s="183">
        <f>IFERROR((((COUNTIF('Elève (6ème2)'!JC15:JE15,"A"))*4)+((COUNTIF('Elève (6ème2)'!JC15:JE15,"B"))*3)+((COUNTIF('Elève (6ème2)'!JC15:JE15,"C"))*2)+((COUNTIF('Elève (6ème2)'!JC15:JE15,"D"))*1))/(COUNTA(JC15:JE15)),"")</f>
        <v>3.5</v>
      </c>
      <c r="JG15" s="184" t="str">
        <f t="shared" si="61"/>
        <v>B</v>
      </c>
      <c r="JH15" s="99" t="s">
        <v>23</v>
      </c>
      <c r="JI15" s="100" t="s">
        <v>24</v>
      </c>
      <c r="JJ15" s="101"/>
      <c r="JK15" s="183">
        <f>IFERROR((((COUNTIF('Elève (6ème2)'!JH15:JJ15,"A"))*4)+((COUNTIF('Elève (6ème2)'!JH15:JJ15,"B"))*3)+((COUNTIF('Elève (6ème2)'!JH15:JJ15,"C"))*2)+((COUNTIF('Elève (6ème2)'!JH15:JJ15,"D"))*1))/(COUNTA(JH15:JJ15)),"")</f>
        <v>3.5</v>
      </c>
      <c r="JL15" s="184" t="str">
        <f t="shared" si="62"/>
        <v>B</v>
      </c>
      <c r="JM15" s="183">
        <f>IF(COUNT(JA15,JF15,JK15)=0,"",SUM(JA15,JF15,JK15)/COUNT(JA15,JF15,JK15))</f>
        <v>2.6666666666666665</v>
      </c>
      <c r="JN15" s="211" t="str">
        <f t="shared" si="63"/>
        <v>C</v>
      </c>
      <c r="JO15" s="105" t="s">
        <v>25</v>
      </c>
      <c r="JP15" s="100"/>
      <c r="JQ15" s="101"/>
      <c r="JR15" s="183">
        <f>IFERROR((((COUNTIF('Elève (6ème2)'!JO15:JQ15,"A"))*4)+((COUNTIF('Elève (6ème2)'!JO15:JQ15,"B"))*3)+((COUNTIF('Elève (6ème2)'!JO15:JQ15,"C"))*2)+((COUNTIF('Elève (6ème2)'!JO15:JQ15,"D"))*1))/(COUNTA(JO15:JQ15)),"")</f>
        <v>2</v>
      </c>
      <c r="JS15" s="184" t="str">
        <f t="shared" si="64"/>
        <v>C</v>
      </c>
      <c r="JT15" s="99" t="s">
        <v>24</v>
      </c>
      <c r="JU15" s="100"/>
      <c r="JV15" s="101" t="s">
        <v>24</v>
      </c>
      <c r="JW15" s="183">
        <f>IFERROR((((COUNTIF('Elève (6ème2)'!JT15:JV15,"A"))*4)+((COUNTIF('Elève (6ème2)'!JT15:JV15,"B"))*3)+((COUNTIF('Elève (6ème2)'!JT15:JV15,"C"))*2)+((COUNTIF('Elève (6ème2)'!JT15:JV15,"D"))*1))/(COUNTA(JT15:JV15)),"")</f>
        <v>3</v>
      </c>
      <c r="JX15" s="184" t="str">
        <f t="shared" si="65"/>
        <v>B</v>
      </c>
      <c r="JY15" s="99" t="s">
        <v>24</v>
      </c>
      <c r="JZ15" s="100" t="s">
        <v>24</v>
      </c>
      <c r="KA15" s="101"/>
      <c r="KB15" s="183">
        <f>IFERROR((((COUNTIF('Elève (6ème2)'!JY15:KA15,"A"))*4)+((COUNTIF('Elève (6ème2)'!JY15:KA15,"B"))*3)+((COUNTIF('Elève (6ème2)'!JY15:KA15,"C"))*2)+((COUNTIF('Elève (6ème2)'!JY15:KA15,"D"))*1))/(COUNTA(JY15:KA15)),"")</f>
        <v>3</v>
      </c>
      <c r="KC15" s="184" t="str">
        <f t="shared" si="66"/>
        <v>B</v>
      </c>
      <c r="KD15" s="183">
        <f>IF(COUNT(JR15,JW15,KB15)=0,"",SUM(JR15,JW15,KB15)/COUNT(JR15,JW15,KB15))</f>
        <v>2.6666666666666665</v>
      </c>
      <c r="KE15" s="211" t="str">
        <f t="shared" si="67"/>
        <v>C</v>
      </c>
      <c r="KF15" s="105" t="s">
        <v>25</v>
      </c>
      <c r="KG15" s="100"/>
      <c r="KH15" s="101"/>
      <c r="KI15" s="183">
        <f>IFERROR((((COUNTIF('Elève (6ème2)'!KF15:KH15,"A"))*4)+((COUNTIF('Elève (6ème2)'!KF15:KH15,"B"))*3)+((COUNTIF('Elève (6ème2)'!KF15:KH15,"C"))*2)+((COUNTIF('Elève (6ème2)'!KF15:KH15,"D"))*1))/(COUNTA(KF15:KH15)),"")</f>
        <v>2</v>
      </c>
      <c r="KJ15" s="184" t="str">
        <f t="shared" si="68"/>
        <v>C</v>
      </c>
      <c r="KK15" s="99" t="s">
        <v>24</v>
      </c>
      <c r="KL15" s="100"/>
      <c r="KM15" s="101" t="s">
        <v>24</v>
      </c>
      <c r="KN15" s="183">
        <f>IFERROR((((COUNTIF('Elève (6ème2)'!KK15:KM15,"A"))*4)+((COUNTIF('Elève (6ème2)'!KK15:KM15,"B"))*3)+((COUNTIF('Elève (6ème2)'!KK15:KM15,"C"))*2)+((COUNTIF('Elève (6ème2)'!KK15:KM15,"D"))*1))/(COUNTA(KK15:KM15)),"")</f>
        <v>3</v>
      </c>
      <c r="KO15" s="184" t="str">
        <f t="shared" si="69"/>
        <v>B</v>
      </c>
      <c r="KP15" s="99" t="s">
        <v>24</v>
      </c>
      <c r="KQ15" s="100" t="s">
        <v>24</v>
      </c>
      <c r="KR15" s="101"/>
      <c r="KS15" s="183">
        <f>IFERROR((((COUNTIF('Elève (6ème2)'!KP15:KR15,"A"))*4)+((COUNTIF('Elève (6ème2)'!KP15:KR15,"B"))*3)+((COUNTIF('Elève (6ème2)'!KP15:KR15,"C"))*2)+((COUNTIF('Elève (6ème2)'!KP15:KR15,"D"))*1))/(COUNTA(KP15:KR15)),"")</f>
        <v>3</v>
      </c>
      <c r="KT15" s="184" t="str">
        <f t="shared" si="70"/>
        <v>B</v>
      </c>
      <c r="KU15" s="183">
        <f>IF(COUNT(KI15,KN15,KS15)=0,"",SUM(KI15,KN15,KS15)/COUNT(KI15,KN15,KS15))</f>
        <v>2.6666666666666665</v>
      </c>
      <c r="KV15" s="211" t="str">
        <f t="shared" si="71"/>
        <v>C</v>
      </c>
      <c r="KW15" s="105" t="s">
        <v>26</v>
      </c>
      <c r="KX15" s="100"/>
      <c r="KY15" s="101"/>
      <c r="KZ15" s="183">
        <f>IFERROR((((COUNTIF('Elève (6ème2)'!KW15:KY15,"A"))*4)+((COUNTIF('Elève (6ème2)'!KW15:KY15,"B"))*3)+((COUNTIF('Elève (6ème2)'!KW15:KY15,"C"))*2)+((COUNTIF('Elève (6ème2)'!KW15:KY15,"D"))*1))/(COUNTA(KW15:KY15)),"")</f>
        <v>1</v>
      </c>
      <c r="LA15" s="184" t="str">
        <f t="shared" si="72"/>
        <v>D</v>
      </c>
      <c r="LB15" s="99" t="s">
        <v>25</v>
      </c>
      <c r="LC15" s="100"/>
      <c r="LD15" s="101" t="s">
        <v>24</v>
      </c>
      <c r="LE15" s="183">
        <f>IFERROR((((COUNTIF('Elève (6ème2)'!LB15:LD15,"A"))*4)+((COUNTIF('Elève (6ème2)'!LB15:LD15,"B"))*3)+((COUNTIF('Elève (6ème2)'!LB15:LD15,"C"))*2)+((COUNTIF('Elève (6ème2)'!LB15:LD15,"D"))*1))/(COUNTA(LB15:LD15)),"")</f>
        <v>2.5</v>
      </c>
      <c r="LF15" s="184" t="str">
        <f t="shared" si="73"/>
        <v>C</v>
      </c>
      <c r="LG15" s="99" t="s">
        <v>24</v>
      </c>
      <c r="LH15" s="100" t="s">
        <v>24</v>
      </c>
      <c r="LI15" s="101"/>
      <c r="LJ15" s="183">
        <f>IFERROR((((COUNTIF('Elève (6ème2)'!LG15:LI15,"A"))*4)+((COUNTIF('Elève (6ème2)'!LG15:LI15,"B"))*3)+((COUNTIF('Elève (6ème2)'!LG15:LI15,"C"))*2)+((COUNTIF('Elève (6ème2)'!LG15:LI15,"D"))*1))/(COUNTA(LG15:LI15)),"")</f>
        <v>3</v>
      </c>
      <c r="LK15" s="184" t="str">
        <f t="shared" si="74"/>
        <v>B</v>
      </c>
      <c r="LL15" s="183">
        <f>IF(COUNT(KZ15,LE15,LJ15)=0,"",SUM(KZ15,LE15,LJ15)/COUNT(KZ15,LE15,LJ15))</f>
        <v>2.1666666666666665</v>
      </c>
      <c r="LM15" s="211" t="str">
        <f t="shared" si="75"/>
        <v>C</v>
      </c>
      <c r="LN15" s="105" t="s">
        <v>24</v>
      </c>
      <c r="LO15" s="100"/>
      <c r="LP15" s="101"/>
      <c r="LQ15" s="183">
        <f>IFERROR((((COUNTIF('Elève (6ème2)'!LN15:LP15,"A"))*4)+((COUNTIF('Elève (6ème2)'!LN15:LP15,"B"))*3)+((COUNTIF('Elève (6ème2)'!LN15:LP15,"C"))*2)+((COUNTIF('Elève (6ème2)'!LN15:LP15,"D"))*1))/(COUNTA(LN15:LP15)),"")</f>
        <v>3</v>
      </c>
      <c r="LR15" s="184" t="str">
        <f t="shared" si="76"/>
        <v>B</v>
      </c>
      <c r="LS15" s="99" t="s">
        <v>24</v>
      </c>
      <c r="LT15" s="100"/>
      <c r="LU15" s="101"/>
      <c r="LV15" s="183">
        <f>IFERROR((((COUNTIF('Elève (6ème2)'!LS15:LU15,"A"))*4)+((COUNTIF('Elève (6ème2)'!LS15:LU15,"B"))*3)+((COUNTIF('Elève (6ème2)'!LS15:LU15,"C"))*2)+((COUNTIF('Elève (6ème2)'!LS15:LU15,"D"))*1))/(COUNTA(LS15:LU15)),"")</f>
        <v>3</v>
      </c>
      <c r="LW15" s="184" t="str">
        <f t="shared" si="77"/>
        <v>B</v>
      </c>
      <c r="LX15" s="99" t="s">
        <v>25</v>
      </c>
      <c r="LY15" s="100" t="s">
        <v>24</v>
      </c>
      <c r="LZ15" s="101"/>
      <c r="MA15" s="183">
        <f>IFERROR((((COUNTIF('Elève (6ème2)'!LX15:LZ15,"A"))*4)+((COUNTIF('Elève (6ème2)'!LX15:LZ15,"B"))*3)+((COUNTIF('Elève (6ème2)'!LX15:LZ15,"C"))*2)+((COUNTIF('Elève (6ème2)'!LX15:LZ15,"D"))*1))/(COUNTA(LX15:LZ15)),"")</f>
        <v>2.5</v>
      </c>
      <c r="MB15" s="184" t="str">
        <f t="shared" si="78"/>
        <v>C</v>
      </c>
      <c r="MC15" s="183">
        <f>IF(COUNT(LQ15,LV15,MA15)=0,"",SUM(LQ15,LV15,MA15)/COUNT(LQ15,LV15,MA15))</f>
        <v>2.8333333333333335</v>
      </c>
      <c r="MD15" s="211" t="str">
        <f t="shared" si="79"/>
        <v>B</v>
      </c>
      <c r="ME15" s="105" t="s">
        <v>24</v>
      </c>
      <c r="MF15" s="100"/>
      <c r="MG15" s="101"/>
      <c r="MH15" s="183">
        <f>IFERROR((((COUNTIF('Elève (6ème2)'!ME15:MG15,"A"))*4)+((COUNTIF('Elève (6ème2)'!ME15:MG15,"B"))*3)+((COUNTIF('Elève (6ème2)'!ME15:MG15,"C"))*2)+((COUNTIF('Elève (6ème2)'!ME15:MG15,"D"))*1))/(COUNTA(ME15:MG15)),"")</f>
        <v>3</v>
      </c>
      <c r="MI15" s="184" t="str">
        <f t="shared" si="80"/>
        <v>B</v>
      </c>
      <c r="MJ15" s="99" t="s">
        <v>23</v>
      </c>
      <c r="MK15" s="100"/>
      <c r="ML15" s="101" t="s">
        <v>24</v>
      </c>
      <c r="MM15" s="183">
        <f>IFERROR((((COUNTIF('Elève (6ème2)'!MJ15:ML15,"A"))*4)+((COUNTIF('Elève (6ème2)'!MJ15:ML15,"B"))*3)+((COUNTIF('Elève (6ème2)'!MJ15:ML15,"C"))*2)+((COUNTIF('Elève (6ème2)'!MJ15:ML15,"D"))*1))/(COUNTA(MJ15:ML15)),"")</f>
        <v>3.5</v>
      </c>
      <c r="MN15" s="184" t="str">
        <f t="shared" si="81"/>
        <v>B</v>
      </c>
      <c r="MO15" s="99" t="s">
        <v>23</v>
      </c>
      <c r="MP15" s="100" t="s">
        <v>23</v>
      </c>
      <c r="MQ15" s="101"/>
      <c r="MR15" s="183">
        <f>IFERROR((((COUNTIF('Elève (6ème2)'!MO15:MQ15,"A"))*4)+((COUNTIF('Elève (6ème2)'!MO15:MQ15,"B"))*3)+((COUNTIF('Elève (6ème2)'!MO15:MQ15,"C"))*2)+((COUNTIF('Elève (6ème2)'!MO15:MQ15,"D"))*1))/(COUNTA(MO15:MQ15)),"")</f>
        <v>4</v>
      </c>
      <c r="MS15" s="184" t="str">
        <f t="shared" si="82"/>
        <v>A</v>
      </c>
      <c r="MT15" s="183">
        <f>IF(COUNT(MH15,MM15,MR15)=0,"",SUM(MH15,MM15,MR15)/COUNT(MH15,MM15,MR15))</f>
        <v>3.5</v>
      </c>
      <c r="MU15" s="211" t="str">
        <f t="shared" si="83"/>
        <v>B</v>
      </c>
      <c r="MV15" s="105" t="s">
        <v>25</v>
      </c>
      <c r="MW15" s="100"/>
      <c r="MX15" s="101"/>
      <c r="MY15" s="183">
        <f>IFERROR((((COUNTIF('Elève (6ème2)'!MV15:MX15,"A"))*4)+((COUNTIF('Elève (6ème2)'!MV15:MX15,"B"))*3)+((COUNTIF('Elève (6ème2)'!MV15:MX15,"C"))*2)+((COUNTIF('Elève (6ème2)'!MV15:MX15,"D"))*1))/(COUNTA(MV15:MX15)),"")</f>
        <v>2</v>
      </c>
      <c r="MZ15" s="184" t="str">
        <f t="shared" si="84"/>
        <v>C</v>
      </c>
      <c r="NA15" s="99" t="s">
        <v>23</v>
      </c>
      <c r="NB15" s="100"/>
      <c r="NC15" s="101" t="s">
        <v>24</v>
      </c>
      <c r="ND15" s="183">
        <f>IFERROR((((COUNTIF('Elève (6ème2)'!NA15:NC15,"A"))*4)+((COUNTIF('Elève (6ème2)'!NA15:NC15,"B"))*3)+((COUNTIF('Elève (6ème2)'!NA15:NC15,"C"))*2)+((COUNTIF('Elève (6ème2)'!NA15:NC15,"D"))*1))/(COUNTA(NA15:NC15)),"")</f>
        <v>3.5</v>
      </c>
      <c r="NE15" s="184" t="str">
        <f t="shared" si="85"/>
        <v>B</v>
      </c>
      <c r="NF15" s="99" t="s">
        <v>24</v>
      </c>
      <c r="NG15" s="100" t="s">
        <v>25</v>
      </c>
      <c r="NH15" s="101"/>
      <c r="NI15" s="183">
        <f>IFERROR((((COUNTIF('Elève (6ème2)'!NF15:NH15,"A"))*4)+((COUNTIF('Elève (6ème2)'!NF15:NH15,"B"))*3)+((COUNTIF('Elève (6ème2)'!NF15:NH15,"C"))*2)+((COUNTIF('Elève (6ème2)'!NF15:NH15,"D"))*1))/(COUNTA(NF15:NH15)),"")</f>
        <v>2.5</v>
      </c>
      <c r="NJ15" s="184" t="str">
        <f t="shared" si="86"/>
        <v>C</v>
      </c>
      <c r="NK15" s="183">
        <f>IF(COUNT(MY15,ND15,NI15)=0,"",SUM(MY15,ND15,NI15)/COUNT(MY15,ND15,NI15))</f>
        <v>2.6666666666666665</v>
      </c>
      <c r="NL15" s="211" t="str">
        <f t="shared" si="87"/>
        <v>C</v>
      </c>
      <c r="NM15" s="105" t="s">
        <v>24</v>
      </c>
      <c r="NN15" s="100"/>
      <c r="NO15" s="101"/>
      <c r="NP15" s="183">
        <f>IFERROR((((COUNTIF('Elève (6ème2)'!NM15:NO15,"A"))*4)+((COUNTIF('Elève (6ème2)'!NM15:NO15,"B"))*3)+((COUNTIF('Elève (6ème2)'!NM15:NO15,"C"))*2)+((COUNTIF('Elève (6ème2)'!NM15:NO15,"D"))*1))/(COUNTA(NM15:NO15)),"")</f>
        <v>3</v>
      </c>
      <c r="NQ15" s="184" t="str">
        <f t="shared" si="88"/>
        <v>B</v>
      </c>
      <c r="NR15" s="99" t="s">
        <v>24</v>
      </c>
      <c r="NS15" s="100"/>
      <c r="NT15" s="101" t="s">
        <v>24</v>
      </c>
      <c r="NU15" s="183">
        <f>IFERROR((((COUNTIF('Elève (6ème2)'!NR15:NT15,"A"))*4)+((COUNTIF('Elève (6ème2)'!NR15:NT15,"B"))*3)+((COUNTIF('Elève (6ème2)'!NR15:NT15,"C"))*2)+((COUNTIF('Elève (6ème2)'!NR15:NT15,"D"))*1))/(COUNTA(NR15:NT15)),"")</f>
        <v>3</v>
      </c>
      <c r="NV15" s="184" t="str">
        <f t="shared" si="89"/>
        <v>B</v>
      </c>
      <c r="NW15" s="99" t="s">
        <v>23</v>
      </c>
      <c r="NX15" s="100" t="s">
        <v>24</v>
      </c>
      <c r="NY15" s="101"/>
      <c r="NZ15" s="183">
        <f>IFERROR((((COUNTIF('Elève (6ème2)'!NW15:NY15,"A"))*4)+((COUNTIF('Elève (6ème2)'!NW15:NY15,"B"))*3)+((COUNTIF('Elève (6ème2)'!NW15:NY15,"C"))*2)+((COUNTIF('Elève (6ème2)'!NW15:NY15,"D"))*1))/(COUNTA(NW15:NY15)),"")</f>
        <v>3.5</v>
      </c>
      <c r="OA15" s="184" t="str">
        <f t="shared" si="90"/>
        <v>B</v>
      </c>
      <c r="OB15" s="183">
        <f>IF(COUNT(NP15,NU15,NZ15)=0,"",SUM(NP15,NU15,NZ15)/COUNT(NP15,NU15,NZ15))</f>
        <v>3.1666666666666665</v>
      </c>
      <c r="OC15" s="211" t="str">
        <f t="shared" si="91"/>
        <v>B</v>
      </c>
      <c r="OD15" s="105" t="s">
        <v>26</v>
      </c>
      <c r="OE15" s="100"/>
      <c r="OF15" s="101"/>
      <c r="OG15" s="183">
        <f>IFERROR((((COUNTIF('Elève (6ème2)'!OD15:OF15,"A"))*4)+((COUNTIF('Elève (6ème2)'!OD15:OF15,"B"))*3)+((COUNTIF('Elève (6ème2)'!OD15:OF15,"C"))*2)+((COUNTIF('Elève (6ème2)'!OD15:OF15,"D"))*1))/(COUNTA(OD15:OF15)),"")</f>
        <v>1</v>
      </c>
      <c r="OH15" s="184" t="str">
        <f t="shared" si="92"/>
        <v>D</v>
      </c>
      <c r="OI15" s="99" t="s">
        <v>25</v>
      </c>
      <c r="OJ15" s="100"/>
      <c r="OK15" s="101" t="s">
        <v>25</v>
      </c>
      <c r="OL15" s="183">
        <f>IFERROR((((COUNTIF('Elève (6ème2)'!OI15:OK15,"A"))*4)+((COUNTIF('Elève (6ème2)'!OI15:OK15,"B"))*3)+((COUNTIF('Elève (6ème2)'!OI15:OK15,"C"))*2)+((COUNTIF('Elève (6ème2)'!OI15:OK15,"D"))*1))/(COUNTA(OI15:OK15)),"")</f>
        <v>2</v>
      </c>
      <c r="OM15" s="184" t="str">
        <f t="shared" si="93"/>
        <v>C</v>
      </c>
      <c r="ON15" s="99" t="s">
        <v>25</v>
      </c>
      <c r="OO15" s="100"/>
      <c r="OP15" s="101"/>
      <c r="OQ15" s="183">
        <f>IFERROR((((COUNTIF('Elève (6ème2)'!ON15:OP15,"A"))*4)+((COUNTIF('Elève (6ème2)'!ON15:OP15,"B"))*3)+((COUNTIF('Elève (6ème2)'!ON15:OP15,"C"))*2)+((COUNTIF('Elève (6ème2)'!ON15:OP15,"D"))*1))/(COUNTA(ON15:OP15)),"")</f>
        <v>2</v>
      </c>
      <c r="OR15" s="184" t="str">
        <f t="shared" si="94"/>
        <v>C</v>
      </c>
      <c r="OS15" s="183">
        <f>IF(COUNT(OG15,OL15,OQ15)=0,"",SUM(OG15,OL15,OQ15)/COUNT(OG15,OL15,OQ15))</f>
        <v>1.6666666666666667</v>
      </c>
      <c r="OT15" s="211" t="str">
        <f t="shared" si="95"/>
        <v>C</v>
      </c>
      <c r="OU15" s="105" t="s">
        <v>25</v>
      </c>
      <c r="OV15" s="100"/>
      <c r="OW15" s="101"/>
      <c r="OX15" s="183">
        <f>IFERROR((((COUNTIF('Elève (6ème2)'!OU15:OW15,"A"))*4)+((COUNTIF('Elève (6ème2)'!OU15:OW15,"B"))*3)+((COUNTIF('Elève (6ème2)'!OU15:OW15,"C"))*2)+((COUNTIF('Elève (6ème2)'!OU15:OW15,"D"))*1))/(COUNTA(OU15:OW15)),"")</f>
        <v>2</v>
      </c>
      <c r="OY15" s="184" t="str">
        <f t="shared" si="96"/>
        <v>C</v>
      </c>
      <c r="OZ15" s="99" t="s">
        <v>24</v>
      </c>
      <c r="PA15" s="100"/>
      <c r="PB15" s="101" t="s">
        <v>23</v>
      </c>
      <c r="PC15" s="183">
        <f>IFERROR((((COUNTIF('Elève (6ème2)'!OZ15:PB15,"A"))*4)+((COUNTIF('Elève (6ème2)'!OZ15:PB15,"B"))*3)+((COUNTIF('Elève (6ème2)'!OZ15:PB15,"C"))*2)+((COUNTIF('Elève (6ème2)'!OZ15:PB15,"D"))*1))/(COUNTA(OZ15:PB15)),"")</f>
        <v>3.5</v>
      </c>
      <c r="PD15" s="184" t="str">
        <f t="shared" si="97"/>
        <v>B</v>
      </c>
      <c r="PE15" s="99" t="s">
        <v>23</v>
      </c>
      <c r="PF15" s="100" t="s">
        <v>24</v>
      </c>
      <c r="PG15" s="101"/>
      <c r="PH15" s="183">
        <f>IFERROR((((COUNTIF('Elève (6ème2)'!PE15:PG15,"A"))*4)+((COUNTIF('Elève (6ème2)'!PE15:PG15,"B"))*3)+((COUNTIF('Elève (6ème2)'!PE15:PG15,"C"))*2)+((COUNTIF('Elève (6ème2)'!PE15:PG15,"D"))*1))/(COUNTA(PE15:PG15)),"")</f>
        <v>3.5</v>
      </c>
      <c r="PI15" s="184" t="str">
        <f t="shared" si="98"/>
        <v>B</v>
      </c>
      <c r="PJ15" s="183">
        <f>IF(COUNT(OX15,PC15,PH15)=0,"",SUM(OX15,PC15,PH15)/COUNT(OX15,PC15,PH15))</f>
        <v>3</v>
      </c>
      <c r="PK15" s="211" t="str">
        <f t="shared" si="99"/>
        <v>B</v>
      </c>
      <c r="PL15" s="105" t="s">
        <v>24</v>
      </c>
      <c r="PM15" s="100"/>
      <c r="PN15" s="101"/>
      <c r="PO15" s="183">
        <f>IFERROR((((COUNTIF('Elève (6ème2)'!PL15:PN15,"A"))*4)+((COUNTIF('Elève (6ème2)'!PL15:PN15,"B"))*3)+((COUNTIF('Elève (6ème2)'!PL15:PN15,"C"))*2)+((COUNTIF('Elève (6ème2)'!PL15:PN15,"D"))*1))/(COUNTA(PL15:PN15)),"")</f>
        <v>3</v>
      </c>
      <c r="PP15" s="184" t="str">
        <f t="shared" si="100"/>
        <v>B</v>
      </c>
      <c r="PQ15" s="99" t="s">
        <v>23</v>
      </c>
      <c r="PR15" s="100"/>
      <c r="PS15" s="101" t="s">
        <v>24</v>
      </c>
      <c r="PT15" s="183">
        <f>IFERROR((((COUNTIF('Elève (6ème2)'!PQ15:PS15,"A"))*4)+((COUNTIF('Elève (6ème2)'!PQ15:PS15,"B"))*3)+((COUNTIF('Elève (6ème2)'!PQ15:PS15,"C"))*2)+((COUNTIF('Elève (6ème2)'!PQ15:PS15,"D"))*1))/(COUNTA(PQ15:PS15)),"")</f>
        <v>3.5</v>
      </c>
      <c r="PU15" s="184" t="str">
        <f t="shared" si="101"/>
        <v>B</v>
      </c>
      <c r="PV15" s="99" t="s">
        <v>23</v>
      </c>
      <c r="PW15" s="100" t="s">
        <v>24</v>
      </c>
      <c r="PX15" s="101"/>
      <c r="PY15" s="183">
        <f>IFERROR((((COUNTIF('Elève (6ème2)'!PV15:PX15,"A"))*4)+((COUNTIF('Elève (6ème2)'!PV15:PX15,"B"))*3)+((COUNTIF('Elève (6ème2)'!PV15:PX15,"C"))*2)+((COUNTIF('Elève (6ème2)'!PV15:PX15,"D"))*1))/(COUNTA(PV15:PX15)),"")</f>
        <v>3.5</v>
      </c>
      <c r="PZ15" s="184" t="str">
        <f t="shared" si="102"/>
        <v>B</v>
      </c>
      <c r="QA15" s="183">
        <f>IF(COUNT(PO15,PT15,PY15)=0,"",SUM(PO15,PT15,PY15)/COUNT(PO15,PT15,PY15))</f>
        <v>3.3333333333333335</v>
      </c>
      <c r="QB15" s="211" t="str">
        <f t="shared" si="103"/>
        <v>B</v>
      </c>
      <c r="QC15" s="105"/>
      <c r="QD15" s="100"/>
      <c r="QE15" s="101"/>
      <c r="QF15" s="183" t="str">
        <f>IFERROR((((COUNTIF('Elève (6ème2)'!QC15:QE15,"A"))*4)+((COUNTIF('Elève (6ème2)'!QC15:QE15,"B"))*3)+((COUNTIF('Elève (6ème2)'!QC15:QE15,"C"))*2)+((COUNTIF('Elève (6ème2)'!QC15:QE15,"D"))*1))/(COUNTA(QC15:QE15)),"")</f>
        <v/>
      </c>
      <c r="QG15" s="184" t="str">
        <f t="shared" si="104"/>
        <v/>
      </c>
      <c r="QH15" s="99" t="s">
        <v>23</v>
      </c>
      <c r="QI15" s="100"/>
      <c r="QJ15" s="101"/>
      <c r="QK15" s="183">
        <f>IFERROR((((COUNTIF('Elève (6ème2)'!QH15:QJ15,"A"))*4)+((COUNTIF('Elève (6ème2)'!QH15:QJ15,"B"))*3)+((COUNTIF('Elève (6ème2)'!QH15:QJ15,"C"))*2)+((COUNTIF('Elève (6ème2)'!QH15:QJ15,"D"))*1))/(COUNTA(QH15:QJ15)),"")</f>
        <v>4</v>
      </c>
      <c r="QL15" s="184" t="str">
        <f t="shared" si="105"/>
        <v>A</v>
      </c>
      <c r="QM15" s="99" t="s">
        <v>24</v>
      </c>
      <c r="QN15" s="100" t="s">
        <v>24</v>
      </c>
      <c r="QO15" s="101"/>
      <c r="QP15" s="183">
        <f>IFERROR((((COUNTIF('Elève (6ème2)'!QM15:QO15,"A"))*4)+((COUNTIF('Elève (6ème2)'!QM15:QO15,"B"))*3)+((COUNTIF('Elève (6ème2)'!QM15:QO15,"C"))*2)+((COUNTIF('Elève (6ème2)'!QM15:QO15,"D"))*1))/(COUNTA(QM15:QO15)),"")</f>
        <v>3</v>
      </c>
      <c r="QQ15" s="184" t="str">
        <f t="shared" si="106"/>
        <v>B</v>
      </c>
      <c r="QR15" s="183">
        <f>IF(COUNT(QF15,QK15,QP15)=0,"",SUM(QF15,QK15,QP15)/COUNT(QF15,QK15,QP15))</f>
        <v>3.5</v>
      </c>
      <c r="QS15" s="211" t="str">
        <f t="shared" si="107"/>
        <v>B</v>
      </c>
      <c r="QT15" s="105" t="s">
        <v>24</v>
      </c>
      <c r="QU15" s="100"/>
      <c r="QV15" s="101"/>
      <c r="QW15" s="183">
        <f>IFERROR((((COUNTIF('Elève (6ème2)'!QT15:QV15,"A"))*4)+((COUNTIF('Elève (6ème2)'!QT15:QV15,"B"))*3)+((COUNTIF('Elève (6ème2)'!QT15:QV15,"C"))*2)+((COUNTIF('Elève (6ème2)'!QT15:QV15,"D"))*1))/(COUNTA(QT15:QV15)),"")</f>
        <v>3</v>
      </c>
      <c r="QX15" s="184" t="str">
        <f t="shared" si="108"/>
        <v>B</v>
      </c>
      <c r="QY15" s="99"/>
      <c r="QZ15" s="100"/>
      <c r="RA15" s="101"/>
      <c r="RB15" s="183" t="str">
        <f>IFERROR((((COUNTIF('Elève (6ème2)'!QY15:RA15,"A"))*4)+((COUNTIF('Elève (6ème2)'!QY15:RA15,"B"))*3)+((COUNTIF('Elève (6ème2)'!QY15:RA15,"C"))*2)+((COUNTIF('Elève (6ème2)'!QY15:RA15,"D"))*1))/(COUNTA(QY15:RA15)),"")</f>
        <v/>
      </c>
      <c r="RC15" s="184" t="str">
        <f t="shared" si="109"/>
        <v/>
      </c>
      <c r="RD15" s="99"/>
      <c r="RE15" s="100"/>
      <c r="RF15" s="101"/>
      <c r="RG15" s="183" t="str">
        <f>IFERROR((((COUNTIF('Elève (6ème2)'!RD15:RF15,"A"))*4)+((COUNTIF('Elève (6ème2)'!RD15:RF15,"B"))*3)+((COUNTIF('Elève (6ème2)'!RD15:RF15,"C"))*2)+((COUNTIF('Elève (6ème2)'!RD15:RF15,"D"))*1))/(COUNTA(RD15:RF15)),"")</f>
        <v/>
      </c>
      <c r="RH15" s="184" t="str">
        <f t="shared" si="110"/>
        <v/>
      </c>
      <c r="RI15" s="183">
        <f>IF(COUNT(QW15,RB15,RG15)=0,"",SUM(QW15,RB15,RG15)/COUNT(QW15,RB15,RG15))</f>
        <v>3</v>
      </c>
      <c r="RJ15" s="211" t="str">
        <f t="shared" si="111"/>
        <v>B</v>
      </c>
      <c r="RK15" s="105" t="s">
        <v>23</v>
      </c>
      <c r="RL15" s="100"/>
      <c r="RM15" s="101"/>
      <c r="RN15" s="183">
        <f>IFERROR((((COUNTIF('Elève (6ème2)'!RK15:RM15,"A"))*4)+((COUNTIF('Elève (6ème2)'!RK15:RM15,"B"))*3)+((COUNTIF('Elève (6ème2)'!RK15:RM15,"C"))*2)+((COUNTIF('Elève (6ème2)'!RK15:RM15,"D"))*1))/(COUNTA(RK15:RM15)),"")</f>
        <v>4</v>
      </c>
      <c r="RO15" s="184" t="str">
        <f t="shared" si="112"/>
        <v>A</v>
      </c>
      <c r="RP15" s="99" t="s">
        <v>23</v>
      </c>
      <c r="RQ15" s="100"/>
      <c r="RR15" s="101"/>
      <c r="RS15" s="183">
        <f>IFERROR((((COUNTIF('Elève (6ème2)'!RP15:RR15,"A"))*4)+((COUNTIF('Elève (6ème2)'!RP15:RR15,"B"))*3)+((COUNTIF('Elève (6ème2)'!RP15:RR15,"C"))*2)+((COUNTIF('Elève (6ème2)'!RP15:RR15,"D"))*1))/(COUNTA(RP15:RR15)),"")</f>
        <v>4</v>
      </c>
      <c r="RT15" s="184" t="str">
        <f t="shared" si="113"/>
        <v>A</v>
      </c>
      <c r="RU15" s="99" t="s">
        <v>24</v>
      </c>
      <c r="RV15" s="100" t="s">
        <v>24</v>
      </c>
      <c r="RW15" s="101"/>
      <c r="RX15" s="183">
        <f>IFERROR((((COUNTIF('Elève (6ème2)'!RU15:RW15,"A"))*4)+((COUNTIF('Elève (6ème2)'!RU15:RW15,"B"))*3)+((COUNTIF('Elève (6ème2)'!RU15:RW15,"C"))*2)+((COUNTIF('Elève (6ème2)'!RU15:RW15,"D"))*1))/(COUNTA(RU15:RW15)),"")</f>
        <v>3</v>
      </c>
      <c r="RY15" s="184" t="str">
        <f t="shared" si="114"/>
        <v>B</v>
      </c>
      <c r="RZ15" s="183">
        <f>IF(COUNT(RN15,RS15,RX15)=0,"",SUM(RN15,RS15,RX15)/COUNT(RN15,RS15,RX15))</f>
        <v>3.6666666666666665</v>
      </c>
      <c r="SA15" s="211" t="str">
        <f t="shared" si="115"/>
        <v>B</v>
      </c>
      <c r="SB15" s="105" t="s">
        <v>24</v>
      </c>
      <c r="SC15" s="100"/>
      <c r="SD15" s="101"/>
      <c r="SE15" s="183">
        <f>IFERROR((((COUNTIF('Elève (6ème2)'!SB15:SD15,"A"))*4)+((COUNTIF('Elève (6ème2)'!SB15:SD15,"B"))*3)+((COUNTIF('Elève (6ème2)'!SB15:SD15,"C"))*2)+((COUNTIF('Elève (6ème2)'!SB15:SD15,"D"))*1))/(COUNTA(SB15:SD15)),"")</f>
        <v>3</v>
      </c>
      <c r="SF15" s="184" t="str">
        <f t="shared" si="116"/>
        <v>B</v>
      </c>
      <c r="SG15" s="99" t="s">
        <v>24</v>
      </c>
      <c r="SH15" s="100"/>
      <c r="SI15" s="101" t="s">
        <v>24</v>
      </c>
      <c r="SJ15" s="183">
        <f>IFERROR((((COUNTIF('Elève (6ème2)'!SG15:SI15,"A"))*4)+((COUNTIF('Elève (6ème2)'!SG15:SI15,"B"))*3)+((COUNTIF('Elève (6ème2)'!SG15:SI15,"C"))*2)+((COUNTIF('Elève (6ème2)'!SG15:SI15,"D"))*1))/(COUNTA(SG15:SI15)),"")</f>
        <v>3</v>
      </c>
      <c r="SK15" s="184" t="str">
        <f t="shared" si="117"/>
        <v>B</v>
      </c>
      <c r="SL15" s="99" t="s">
        <v>24</v>
      </c>
      <c r="SM15" s="100" t="s">
        <v>25</v>
      </c>
      <c r="SN15" s="101"/>
      <c r="SO15" s="183">
        <f>IFERROR((((COUNTIF('Elève (6ème2)'!SL15:SN15,"A"))*4)+((COUNTIF('Elève (6ème2)'!SL15:SN15,"B"))*3)+((COUNTIF('Elève (6ème2)'!SL15:SN15,"C"))*2)+((COUNTIF('Elève (6ème2)'!SL15:SN15,"D"))*1))/(COUNTA(SL15:SN15)),"")</f>
        <v>2.5</v>
      </c>
      <c r="SP15" s="184" t="str">
        <f t="shared" si="118"/>
        <v>C</v>
      </c>
      <c r="SQ15" s="183">
        <f>IF(COUNT(SE15,SJ15,SO15)=0,"",SUM(SE15,SJ15,SO15)/COUNT(SE15,SJ15,SO15))</f>
        <v>2.8333333333333335</v>
      </c>
      <c r="SR15" s="211" t="str">
        <f t="shared" si="119"/>
        <v>B</v>
      </c>
      <c r="SS15" s="105"/>
      <c r="ST15" s="100"/>
      <c r="SU15" s="101"/>
      <c r="SV15" s="102" t="str">
        <f>IFERROR((((COUNTIF('Elève (6ème2)'!SS15:SU15,"A"))*4)+((COUNTIF('Elève (6ème2)'!SS15:SU15,"B"))*3)+((COUNTIF('Elève (6ème2)'!SS15:SU15,"C"))*2)+((COUNTIF('Elève (6ème2)'!SS15:SU15,"D"))*1))/(COUNTA(SS15:SU15)),"")</f>
        <v/>
      </c>
      <c r="SW15" s="103" t="str">
        <f t="shared" si="120"/>
        <v/>
      </c>
      <c r="SX15" s="99"/>
      <c r="SY15" s="100"/>
      <c r="SZ15" s="101" t="s">
        <v>24</v>
      </c>
      <c r="TA15" s="102">
        <f>IFERROR((((COUNTIF('Elève (6ème2)'!SX15:SZ15,"A"))*4)+((COUNTIF('Elève (6ème2)'!SX15:SZ15,"B"))*3)+((COUNTIF('Elève (6ème2)'!SX15:SZ15,"C"))*2)+((COUNTIF('Elève (6ème2)'!SX15:SZ15,"D"))*1))/(COUNTA(SX15:SZ15)),"")</f>
        <v>3</v>
      </c>
      <c r="TB15" s="103" t="str">
        <f t="shared" si="121"/>
        <v>B</v>
      </c>
      <c r="TC15" s="99" t="s">
        <v>24</v>
      </c>
      <c r="TD15" s="100" t="s">
        <v>24</v>
      </c>
      <c r="TE15" s="101"/>
      <c r="TF15" s="102">
        <f>IFERROR((((COUNTIF('Elève (6ème2)'!TC15:TE15,"A"))*4)+((COUNTIF('Elève (6ème2)'!TC15:TE15,"B"))*3)+((COUNTIF('Elève (6ème2)'!TC15:TE15,"C"))*2)+((COUNTIF('Elève (6ème2)'!TC15:TE15,"D"))*1))/(COUNTA(TC15:TE15)),"")</f>
        <v>3</v>
      </c>
      <c r="TG15" s="103" t="str">
        <f t="shared" si="122"/>
        <v>B</v>
      </c>
      <c r="TH15" s="102">
        <f>IF(COUNT(SV15,TA15,TF15)=0,"",SUM(SV15,TA15,TF15)/COUNT(SV15,TA15,TF15))</f>
        <v>3</v>
      </c>
      <c r="TI15" s="129" t="str">
        <f t="shared" si="123"/>
        <v>B</v>
      </c>
      <c r="TJ15" s="105"/>
      <c r="TK15" s="100"/>
      <c r="TL15" s="101"/>
      <c r="TM15" s="102" t="str">
        <f>IFERROR((((COUNTIF('Elève (6ème2)'!TJ15:TL15,"A"))*4)+((COUNTIF('Elève (6ème2)'!TJ15:TL15,"B"))*3)+((COUNTIF('Elève (6ème2)'!TJ15:TL15,"C"))*2)+((COUNTIF('Elève (6ème2)'!TJ15:TL15,"D"))*1))/(COUNTA(TJ15:TL15)),"")</f>
        <v/>
      </c>
      <c r="TN15" s="103" t="str">
        <f t="shared" si="124"/>
        <v/>
      </c>
      <c r="TO15" s="99"/>
      <c r="TP15" s="100"/>
      <c r="TQ15" s="101"/>
      <c r="TR15" s="102" t="str">
        <f>IFERROR((((COUNTIF('Elève (6ème2)'!TO15:TQ15,"A"))*4)+((COUNTIF('Elève (6ème2)'!TO15:TQ15,"B"))*3)+((COUNTIF('Elève (6ème2)'!TO15:TQ15,"C"))*2)+((COUNTIF('Elève (6ème2)'!TO15:TQ15,"D"))*1))/(COUNTA(TO15:TQ15)),"")</f>
        <v/>
      </c>
      <c r="TS15" s="103" t="str">
        <f t="shared" si="125"/>
        <v/>
      </c>
      <c r="TT15" s="99"/>
      <c r="TU15" s="100"/>
      <c r="TV15" s="101"/>
      <c r="TW15" s="102" t="str">
        <f>IFERROR((((COUNTIF('Elève (6ème2)'!TT15:TV15,"A"))*4)+((COUNTIF('Elève (6ème2)'!TT15:TV15,"B"))*3)+((COUNTIF('Elève (6ème2)'!TT15:TV15,"C"))*2)+((COUNTIF('Elève (6ème2)'!TT15:TV15,"D"))*1))/(COUNTA(TT15:TV15)),"")</f>
        <v/>
      </c>
      <c r="TX15" s="103" t="str">
        <f t="shared" si="126"/>
        <v/>
      </c>
      <c r="TY15" s="102" t="str">
        <f>IF(COUNT(TM15,TR15,TW15)=0,"",SUM(TM15,TR15,TW15)/COUNT(TM15,TR15,TW15))</f>
        <v/>
      </c>
      <c r="TZ15" s="129" t="str">
        <f t="shared" si="127"/>
        <v/>
      </c>
    </row>
    <row r="16" spans="1:546" x14ac:dyDescent="0.25">
      <c r="A16" s="163" t="s">
        <v>19</v>
      </c>
      <c r="B16" s="119"/>
      <c r="C16" s="172"/>
      <c r="D16" s="107"/>
      <c r="E16" s="108"/>
      <c r="F16" s="185" t="str">
        <f>IFERROR((((COUNTIF('Elève (6ème2)'!C16:E16,"A"))*4)+((COUNTIF('Elève (6ème2)'!C16:E16,"B"))*3)+((COUNTIF('Elève (6ème2)'!C16:E16,"C"))*2)+((COUNTIF('Elève (6ème2)'!C16:E16,"D"))*1))/(COUNTA(C16:E16)),"")</f>
        <v/>
      </c>
      <c r="G16" s="186" t="str">
        <f t="shared" si="0"/>
        <v/>
      </c>
      <c r="H16" s="172"/>
      <c r="I16" s="107" t="s">
        <v>23</v>
      </c>
      <c r="J16" s="108" t="s">
        <v>23</v>
      </c>
      <c r="K16" s="185">
        <f>IFERROR((((COUNTIF('Elève (6ème2)'!H16:J16,"A"))*4)+((COUNTIF('Elève (6ème2)'!H16:J16,"B"))*3)+((COUNTIF('Elève (6ème2)'!H16:J16,"C"))*2)+((COUNTIF('Elève (6ème2)'!H16:J16,"D"))*1))/(COUNTA(H16:J16)),"")</f>
        <v>4</v>
      </c>
      <c r="L16" s="186" t="str">
        <f t="shared" si="1"/>
        <v>A</v>
      </c>
      <c r="M16" s="172" t="s">
        <v>24</v>
      </c>
      <c r="N16" s="107" t="s">
        <v>24</v>
      </c>
      <c r="O16" s="108"/>
      <c r="P16" s="185">
        <f>IFERROR((((COUNTIF('Elève (6ème2)'!M16:O16,"A"))*4)+((COUNTIF('Elève (6ème2)'!M16:O16,"B"))*3)+((COUNTIF('Elève (6ème2)'!M16:O16,"C"))*2)+((COUNTIF('Elève (6ème2)'!M16:O16,"D"))*1))/(COUNTA(M16:O16)),"")</f>
        <v>3</v>
      </c>
      <c r="Q16" s="186" t="str">
        <f t="shared" si="2"/>
        <v>B</v>
      </c>
      <c r="R16" s="185">
        <f>IF(COUNT(F16,K16,P16)=0,"",SUM(F16,K16,P16)/COUNT(F16,K16,P16))</f>
        <v>3.5</v>
      </c>
      <c r="S16" s="208" t="str">
        <f t="shared" si="3"/>
        <v>B</v>
      </c>
      <c r="T16" s="217"/>
      <c r="U16" s="107"/>
      <c r="V16" s="108"/>
      <c r="W16" s="185" t="str">
        <f>IFERROR((((COUNTIF('Elève (6ème2)'!T16:V16,"A"))*4)+((COUNTIF('Elève (6ème2)'!T16:V16,"B"))*3)+((COUNTIF('Elève (6ème2)'!T16:V16,"C"))*2)+((COUNTIF('Elève (6ème2)'!T16:V16,"D"))*1))/(COUNTA(T16:V16)),"")</f>
        <v/>
      </c>
      <c r="X16" s="186" t="str">
        <f t="shared" si="4"/>
        <v/>
      </c>
      <c r="Y16" s="172"/>
      <c r="Z16" s="107" t="s">
        <v>24</v>
      </c>
      <c r="AA16" s="108" t="s">
        <v>25</v>
      </c>
      <c r="AB16" s="185">
        <f>IFERROR((((COUNTIF('Elève (6ème2)'!Y16:AA16,"A"))*4)+((COUNTIF('Elève (6ème2)'!Y16:AA16,"B"))*3)+((COUNTIF('Elève (6ème2)'!Y16:AA16,"C"))*2)+((COUNTIF('Elève (6ème2)'!Y16:AA16,"D"))*1))/(COUNTA(Y16:AA16)),"")</f>
        <v>2.5</v>
      </c>
      <c r="AC16" s="186" t="str">
        <f t="shared" si="5"/>
        <v>C</v>
      </c>
      <c r="AD16" s="172" t="s">
        <v>23</v>
      </c>
      <c r="AE16" s="107" t="s">
        <v>26</v>
      </c>
      <c r="AF16" s="108"/>
      <c r="AG16" s="185">
        <f>IFERROR((((COUNTIF('Elève (6ème2)'!AD16:AF16,"A"))*4)+((COUNTIF('Elève (6ème2)'!AD16:AF16,"B"))*3)+((COUNTIF('Elève (6ème2)'!AD16:AF16,"C"))*2)+((COUNTIF('Elève (6ème2)'!AD16:AF16,"D"))*1))/(COUNTA(AD16:AF16)),"")</f>
        <v>2.5</v>
      </c>
      <c r="AH16" s="186" t="str">
        <f t="shared" si="6"/>
        <v>C</v>
      </c>
      <c r="AI16" s="185">
        <f>IF(COUNT(W16,AB16,AG16)=0,"",SUM(W16,AB16,AG16)/COUNT(W16,AB16,AG16))</f>
        <v>2.5</v>
      </c>
      <c r="AJ16" s="208" t="str">
        <f t="shared" si="7"/>
        <v>C</v>
      </c>
      <c r="AK16" s="217"/>
      <c r="AL16" s="107"/>
      <c r="AM16" s="108"/>
      <c r="AN16" s="185" t="str">
        <f>IFERROR((((COUNTIF('Elève (6ème2)'!AK16:AM16,"A"))*4)+((COUNTIF('Elève (6ème2)'!AK16:AM16,"B"))*3)+((COUNTIF('Elève (6ème2)'!AK16:AM16,"C"))*2)+((COUNTIF('Elève (6ème2)'!AK16:AM16,"D"))*1))/(COUNTA(AK16:AM16)),"")</f>
        <v/>
      </c>
      <c r="AO16" s="186" t="str">
        <f t="shared" si="8"/>
        <v/>
      </c>
      <c r="AP16" s="172"/>
      <c r="AQ16" s="107" t="s">
        <v>23</v>
      </c>
      <c r="AR16" s="108" t="s">
        <v>23</v>
      </c>
      <c r="AS16" s="185">
        <f>IFERROR((((COUNTIF('Elève (6ème2)'!AP16:AR16,"A"))*4)+((COUNTIF('Elève (6ème2)'!AP16:AR16,"B"))*3)+((COUNTIF('Elève (6ème2)'!AP16:AR16,"C"))*2)+((COUNTIF('Elève (6ème2)'!AP16:AR16,"D"))*1))/(COUNTA(AP16:AR16)),"")</f>
        <v>4</v>
      </c>
      <c r="AT16" s="186" t="str">
        <f t="shared" si="9"/>
        <v>A</v>
      </c>
      <c r="AU16" s="172" t="s">
        <v>24</v>
      </c>
      <c r="AV16" s="107" t="s">
        <v>26</v>
      </c>
      <c r="AW16" s="108"/>
      <c r="AX16" s="185">
        <f>IFERROR((((COUNTIF('Elève (6ème2)'!AU16:AW16,"A"))*4)+((COUNTIF('Elève (6ème2)'!AU16:AW16,"B"))*3)+((COUNTIF('Elève (6ème2)'!AU16:AW16,"C"))*2)+((COUNTIF('Elève (6ème2)'!AU16:AW16,"D"))*1))/(COUNTA(AU16:AW16)),"")</f>
        <v>2</v>
      </c>
      <c r="AY16" s="186" t="str">
        <f t="shared" si="10"/>
        <v>C</v>
      </c>
      <c r="AZ16" s="185">
        <f>IF(COUNT(AN16,AS16,AX16)=0,"",SUM(AN16,AS16,AX16)/COUNT(AN16,AS16,AX16))</f>
        <v>3</v>
      </c>
      <c r="BA16" s="208" t="str">
        <f t="shared" si="11"/>
        <v>B</v>
      </c>
      <c r="BB16" s="217"/>
      <c r="BC16" s="107"/>
      <c r="BD16" s="108"/>
      <c r="BE16" s="185" t="str">
        <f>IFERROR((((COUNTIF('Elève (6ème2)'!BB16:BD16,"A"))*4)+((COUNTIF('Elève (6ème2)'!BB16:BD16,"B"))*3)+((COUNTIF('Elève (6ème2)'!BB16:BD16,"C"))*2)+((COUNTIF('Elève (6ème2)'!BB16:BD16,"D"))*1))/(COUNTA(BB16:BD16)),"")</f>
        <v/>
      </c>
      <c r="BF16" s="186" t="str">
        <f t="shared" si="12"/>
        <v/>
      </c>
      <c r="BG16" s="172"/>
      <c r="BH16" s="107"/>
      <c r="BI16" s="108" t="s">
        <v>23</v>
      </c>
      <c r="BJ16" s="185">
        <f>IFERROR((((COUNTIF('Elève (6ème2)'!BG16:BI16,"A"))*4)+((COUNTIF('Elève (6ème2)'!BG16:BI16,"B"))*3)+((COUNTIF('Elève (6ème2)'!BG16:BI16,"C"))*2)+((COUNTIF('Elève (6ème2)'!BG16:BI16,"D"))*1))/(COUNTA(BG16:BI16)),"")</f>
        <v>4</v>
      </c>
      <c r="BK16" s="186" t="str">
        <f t="shared" si="13"/>
        <v>A</v>
      </c>
      <c r="BL16" s="172" t="s">
        <v>24</v>
      </c>
      <c r="BM16" s="107" t="s">
        <v>24</v>
      </c>
      <c r="BN16" s="108"/>
      <c r="BO16" s="185">
        <f>IFERROR((((COUNTIF('Elève (6ème2)'!BL16:BN16,"A"))*4)+((COUNTIF('Elève (6ème2)'!BL16:BN16,"B"))*3)+((COUNTIF('Elève (6ème2)'!BL16:BN16,"C"))*2)+((COUNTIF('Elève (6ème2)'!BL16:BN16,"D"))*1))/(COUNTA(BL16:BN16)),"")</f>
        <v>3</v>
      </c>
      <c r="BP16" s="186" t="str">
        <f t="shared" si="14"/>
        <v>B</v>
      </c>
      <c r="BQ16" s="185">
        <f>IF(COUNT(BE16,BJ16,BO16)=0,"",SUM(BE16,BJ16,BO16)/COUNT(BE16,BJ16,BO16))</f>
        <v>3.5</v>
      </c>
      <c r="BR16" s="208" t="str">
        <f t="shared" si="15"/>
        <v>B</v>
      </c>
      <c r="BS16" s="217"/>
      <c r="BT16" s="107"/>
      <c r="BU16" s="108"/>
      <c r="BV16" s="185" t="str">
        <f>IFERROR((((COUNTIF('Elève (6ème2)'!BS16:BU16,"A"))*4)+((COUNTIF('Elève (6ème2)'!BS16:BU16,"B"))*3)+((COUNTIF('Elève (6ème2)'!BS16:BU16,"C"))*2)+((COUNTIF('Elève (6ème2)'!BS16:BU16,"D"))*1))/(COUNTA(BS16:BU16)),"")</f>
        <v/>
      </c>
      <c r="BW16" s="186" t="str">
        <f t="shared" si="16"/>
        <v/>
      </c>
      <c r="BX16" s="172"/>
      <c r="BY16" s="107" t="s">
        <v>23</v>
      </c>
      <c r="BZ16" s="108" t="s">
        <v>23</v>
      </c>
      <c r="CA16" s="185">
        <f>IFERROR((((COUNTIF('Elève (6ème2)'!BX16:BZ16,"A"))*4)+((COUNTIF('Elève (6ème2)'!BX16:BZ16,"B"))*3)+((COUNTIF('Elève (6ème2)'!BX16:BZ16,"C"))*2)+((COUNTIF('Elève (6ème2)'!BX16:BZ16,"D"))*1))/(COUNTA(BX16:BZ16)),"")</f>
        <v>4</v>
      </c>
      <c r="CB16" s="186" t="str">
        <f t="shared" si="17"/>
        <v>A</v>
      </c>
      <c r="CC16" s="172" t="s">
        <v>23</v>
      </c>
      <c r="CD16" s="107" t="s">
        <v>25</v>
      </c>
      <c r="CE16" s="108"/>
      <c r="CF16" s="185">
        <f>IFERROR((((COUNTIF('Elève (6ème2)'!CC16:CE16,"A"))*4)+((COUNTIF('Elève (6ème2)'!CC16:CE16,"B"))*3)+((COUNTIF('Elève (6ème2)'!CC16:CE16,"C"))*2)+((COUNTIF('Elève (6ème2)'!CC16:CE16,"D"))*1))/(COUNTA(CC16:CE16)),"")</f>
        <v>3</v>
      </c>
      <c r="CG16" s="186" t="str">
        <f t="shared" si="18"/>
        <v>B</v>
      </c>
      <c r="CH16" s="185">
        <f>IF(COUNT(BV16,CA16,CF16)=0,"",SUM(BV16,CA16,CF16)/COUNT(BV16,CA16,CF16))</f>
        <v>3.5</v>
      </c>
      <c r="CI16" s="208" t="str">
        <f t="shared" si="19"/>
        <v>B</v>
      </c>
      <c r="CJ16" s="217"/>
      <c r="CK16" s="107"/>
      <c r="CL16" s="108"/>
      <c r="CM16" s="185" t="str">
        <f>IFERROR((((COUNTIF('Elève (6ème2)'!CJ16:CL16,"A"))*4)+((COUNTIF('Elève (6ème2)'!CJ16:CL16,"B"))*3)+((COUNTIF('Elève (6ème2)'!CJ16:CL16,"C"))*2)+((COUNTIF('Elève (6ème2)'!CJ16:CL16,"D"))*1))/(COUNTA(CJ16:CL16)),"")</f>
        <v/>
      </c>
      <c r="CN16" s="186" t="str">
        <f t="shared" si="20"/>
        <v/>
      </c>
      <c r="CO16" s="172"/>
      <c r="CP16" s="107" t="s">
        <v>25</v>
      </c>
      <c r="CQ16" s="108" t="s">
        <v>24</v>
      </c>
      <c r="CR16" s="185">
        <f>IFERROR((((COUNTIF('Elève (6ème2)'!CO16:CQ16,"A"))*4)+((COUNTIF('Elève (6ème2)'!CO16:CQ16,"B"))*3)+((COUNTIF('Elève (6ème2)'!CO16:CQ16,"C"))*2)+((COUNTIF('Elève (6ème2)'!CO16:CQ16,"D"))*1))/(COUNTA(CO16:CQ16)),"")</f>
        <v>2.5</v>
      </c>
      <c r="CS16" s="186" t="str">
        <f t="shared" si="21"/>
        <v>C</v>
      </c>
      <c r="CT16" s="172" t="s">
        <v>24</v>
      </c>
      <c r="CU16" s="107" t="s">
        <v>26</v>
      </c>
      <c r="CV16" s="108"/>
      <c r="CW16" s="185">
        <f>IFERROR((((COUNTIF('Elève (6ème2)'!CT16:CV16,"A"))*4)+((COUNTIF('Elève (6ème2)'!CT16:CV16,"B"))*3)+((COUNTIF('Elève (6ème2)'!CT16:CV16,"C"))*2)+((COUNTIF('Elève (6ème2)'!CT16:CV16,"D"))*1))/(COUNTA(CT16:CV16)),"")</f>
        <v>2</v>
      </c>
      <c r="CX16" s="186" t="str">
        <f t="shared" si="22"/>
        <v>C</v>
      </c>
      <c r="CY16" s="185">
        <f>IF(COUNT(CM16,CR16,CW16)=0,"",SUM(CM16,CR16,CW16)/COUNT(CM16,CR16,CW16))</f>
        <v>2.25</v>
      </c>
      <c r="CZ16" s="208" t="str">
        <f t="shared" si="23"/>
        <v>C</v>
      </c>
      <c r="DA16" s="217"/>
      <c r="DB16" s="107"/>
      <c r="DC16" s="108"/>
      <c r="DD16" s="185" t="str">
        <f>IFERROR((((COUNTIF('Elève (6ème2)'!DA16:DC16,"A"))*4)+((COUNTIF('Elève (6ème2)'!DA16:DC16,"B"))*3)+((COUNTIF('Elève (6ème2)'!DA16:DC16,"C"))*2)+((COUNTIF('Elève (6ème2)'!DA16:DC16,"D"))*1))/(COUNTA(DA16:DC16)),"")</f>
        <v/>
      </c>
      <c r="DE16" s="186" t="str">
        <f t="shared" si="24"/>
        <v/>
      </c>
      <c r="DF16" s="172"/>
      <c r="DG16" s="107" t="s">
        <v>23</v>
      </c>
      <c r="DH16" s="108" t="s">
        <v>24</v>
      </c>
      <c r="DI16" s="185">
        <f>IFERROR((((COUNTIF('Elève (6ème2)'!DF16:DH16,"A"))*4)+((COUNTIF('Elève (6ème2)'!DF16:DH16,"B"))*3)+((COUNTIF('Elève (6ème2)'!DF16:DH16,"C"))*2)+((COUNTIF('Elève (6ème2)'!DF16:DH16,"D"))*1))/(COUNTA(DF16:DH16)),"")</f>
        <v>3.5</v>
      </c>
      <c r="DJ16" s="186" t="str">
        <f t="shared" si="25"/>
        <v>B</v>
      </c>
      <c r="DK16" s="172" t="s">
        <v>23</v>
      </c>
      <c r="DL16" s="107" t="s">
        <v>24</v>
      </c>
      <c r="DM16" s="108"/>
      <c r="DN16" s="185">
        <f>IFERROR((((COUNTIF('Elève (6ème2)'!DK16:DM16,"A"))*4)+((COUNTIF('Elève (6ème2)'!DK16:DM16,"B"))*3)+((COUNTIF('Elève (6ème2)'!DK16:DM16,"C"))*2)+((COUNTIF('Elève (6ème2)'!DK16:DM16,"D"))*1))/(COUNTA(DK16:DM16)),"")</f>
        <v>3.5</v>
      </c>
      <c r="DO16" s="186" t="str">
        <f t="shared" si="26"/>
        <v>B</v>
      </c>
      <c r="DP16" s="185">
        <f>IF(COUNT(DD16,DI16,DN16)=0,"",SUM(DD16,DI16,DN16)/COUNT(DD16,DI16,DN16))</f>
        <v>3.5</v>
      </c>
      <c r="DQ16" s="208" t="str">
        <f t="shared" si="27"/>
        <v>B</v>
      </c>
      <c r="DR16" s="217"/>
      <c r="DS16" s="107"/>
      <c r="DT16" s="108"/>
      <c r="DU16" s="185" t="str">
        <f>IFERROR((((COUNTIF('Elève (6ème2)'!DR16:DT16,"A"))*4)+((COUNTIF('Elève (6ème2)'!DR16:DT16,"B"))*3)+((COUNTIF('Elève (6ème2)'!DR16:DT16,"C"))*2)+((COUNTIF('Elève (6ème2)'!DR16:DT16,"D"))*1))/(COUNTA(DR16:DT16)),"")</f>
        <v/>
      </c>
      <c r="DV16" s="186" t="str">
        <f t="shared" si="28"/>
        <v/>
      </c>
      <c r="DW16" s="172"/>
      <c r="DX16" s="107" t="s">
        <v>24</v>
      </c>
      <c r="DY16" s="108" t="s">
        <v>24</v>
      </c>
      <c r="DZ16" s="185">
        <f>IFERROR((((COUNTIF('Elève (6ème2)'!DW16:DY16,"A"))*4)+((COUNTIF('Elève (6ème2)'!DW16:DY16,"B"))*3)+((COUNTIF('Elève (6ème2)'!DW16:DY16,"C"))*2)+((COUNTIF('Elève (6ème2)'!DW16:DY16,"D"))*1))/(COUNTA(DW16:DY16)),"")</f>
        <v>3</v>
      </c>
      <c r="EA16" s="186" t="str">
        <f t="shared" si="29"/>
        <v>B</v>
      </c>
      <c r="EB16" s="172" t="s">
        <v>24</v>
      </c>
      <c r="EC16" s="107"/>
      <c r="ED16" s="108"/>
      <c r="EE16" s="185">
        <f>IFERROR((((COUNTIF('Elève (6ème2)'!EB16:ED16,"A"))*4)+((COUNTIF('Elève (6ème2)'!EB16:ED16,"B"))*3)+((COUNTIF('Elève (6ème2)'!EB16:ED16,"C"))*2)+((COUNTIF('Elève (6ème2)'!EB16:ED16,"D"))*1))/(COUNTA(EB16:ED16)),"")</f>
        <v>3</v>
      </c>
      <c r="EF16" s="186" t="str">
        <f t="shared" si="30"/>
        <v>B</v>
      </c>
      <c r="EG16" s="185">
        <f>IF(COUNT(DU16,DZ16,EE16)=0,"",SUM(DU16,DZ16,EE16)/COUNT(DU16,DZ16,EE16))</f>
        <v>3</v>
      </c>
      <c r="EH16" s="208" t="str">
        <f t="shared" si="31"/>
        <v>B</v>
      </c>
      <c r="EI16" s="217"/>
      <c r="EJ16" s="107"/>
      <c r="EK16" s="108"/>
      <c r="EL16" s="185" t="str">
        <f>IFERROR((((COUNTIF('Elève (6ème2)'!EI16:EK16,"A"))*4)+((COUNTIF('Elève (6ème2)'!EI16:EK16,"B"))*3)+((COUNTIF('Elève (6ème2)'!EI16:EK16,"C"))*2)+((COUNTIF('Elève (6ème2)'!EI16:EK16,"D"))*1))/(COUNTA(EI16:EK16)),"")</f>
        <v/>
      </c>
      <c r="EM16" s="186" t="str">
        <f t="shared" si="32"/>
        <v/>
      </c>
      <c r="EN16" s="172"/>
      <c r="EO16" s="107" t="s">
        <v>23</v>
      </c>
      <c r="EP16" s="108" t="s">
        <v>24</v>
      </c>
      <c r="EQ16" s="185">
        <f>IFERROR((((COUNTIF('Elève (6ème2)'!EN16:EP16,"A"))*4)+((COUNTIF('Elève (6ème2)'!EN16:EP16,"B"))*3)+((COUNTIF('Elève (6ème2)'!EN16:EP16,"C"))*2)+((COUNTIF('Elève (6ème2)'!EN16:EP16,"D"))*1))/(COUNTA(EN16:EP16)),"")</f>
        <v>3.5</v>
      </c>
      <c r="ER16" s="186" t="str">
        <f t="shared" si="33"/>
        <v>B</v>
      </c>
      <c r="ES16" s="172" t="s">
        <v>25</v>
      </c>
      <c r="ET16" s="107" t="s">
        <v>25</v>
      </c>
      <c r="EU16" s="108"/>
      <c r="EV16" s="185">
        <f>IFERROR((((COUNTIF('Elève (6ème2)'!ES16:EU16,"A"))*4)+((COUNTIF('Elève (6ème2)'!ES16:EU16,"B"))*3)+((COUNTIF('Elève (6ème2)'!ES16:EU16,"C"))*2)+((COUNTIF('Elève (6ème2)'!ES16:EU16,"D"))*1))/(COUNTA(ES16:EU16)),"")</f>
        <v>2</v>
      </c>
      <c r="EW16" s="186" t="str">
        <f t="shared" si="34"/>
        <v>C</v>
      </c>
      <c r="EX16" s="185">
        <f>IF(COUNT(EL16,EQ16,EV16)=0,"",SUM(EL16,EQ16,EV16)/COUNT(EL16,EQ16,EV16))</f>
        <v>2.75</v>
      </c>
      <c r="EY16" s="208" t="str">
        <f t="shared" si="35"/>
        <v>C</v>
      </c>
      <c r="EZ16" s="217"/>
      <c r="FA16" s="107"/>
      <c r="FB16" s="108"/>
      <c r="FC16" s="185" t="str">
        <f>IFERROR((((COUNTIF('Elève (6ème2)'!EZ16:FB16,"A"))*4)+((COUNTIF('Elève (6ème2)'!EZ16:FB16,"B"))*3)+((COUNTIF('Elève (6ème2)'!EZ16:FB16,"C"))*2)+((COUNTIF('Elève (6ème2)'!EZ16:FB16,"D"))*1))/(COUNTA(EZ16:FB16)),"")</f>
        <v/>
      </c>
      <c r="FD16" s="186" t="str">
        <f t="shared" si="36"/>
        <v/>
      </c>
      <c r="FE16" s="172"/>
      <c r="FF16" s="107" t="s">
        <v>23</v>
      </c>
      <c r="FG16" s="108" t="s">
        <v>24</v>
      </c>
      <c r="FH16" s="185">
        <f>IFERROR((((COUNTIF('Elève (6ème2)'!FE16:FG16,"A"))*4)+((COUNTIF('Elève (6ème2)'!FE16:FG16,"B"))*3)+((COUNTIF('Elève (6ème2)'!FE16:FG16,"C"))*2)+((COUNTIF('Elève (6ème2)'!FE16:FG16,"D"))*1))/(COUNTA(FE16:FG16)),"")</f>
        <v>3.5</v>
      </c>
      <c r="FI16" s="186" t="str">
        <f t="shared" si="37"/>
        <v>B</v>
      </c>
      <c r="FJ16" s="172" t="s">
        <v>24</v>
      </c>
      <c r="FK16" s="107" t="s">
        <v>26</v>
      </c>
      <c r="FL16" s="108"/>
      <c r="FM16" s="185">
        <f>IFERROR((((COUNTIF('Elève (6ème2)'!FJ16:FL16,"A"))*4)+((COUNTIF('Elève (6ème2)'!FJ16:FL16,"B"))*3)+((COUNTIF('Elève (6ème2)'!FJ16:FL16,"C"))*2)+((COUNTIF('Elève (6ème2)'!FJ16:FL16,"D"))*1))/(COUNTA(FJ16:FL16)),"")</f>
        <v>2</v>
      </c>
      <c r="FN16" s="186" t="str">
        <f t="shared" si="38"/>
        <v>C</v>
      </c>
      <c r="FO16" s="185">
        <f>IF(COUNT(FC16,FH16,FM16)=0,"",SUM(FC16,FH16,FM16)/COUNT(FC16,FH16,FM16))</f>
        <v>2.75</v>
      </c>
      <c r="FP16" s="208" t="str">
        <f t="shared" si="39"/>
        <v>C</v>
      </c>
      <c r="FQ16" s="217"/>
      <c r="FR16" s="107"/>
      <c r="FS16" s="108"/>
      <c r="FT16" s="185" t="str">
        <f>IFERROR((((COUNTIF('Elève (6ème2)'!FQ16:FS16,"A"))*4)+((COUNTIF('Elève (6ème2)'!FQ16:FS16,"B"))*3)+((COUNTIF('Elève (6ème2)'!FQ16:FS16,"C"))*2)+((COUNTIF('Elève (6ème2)'!FQ16:FS16,"D"))*1))/(COUNTA(FQ16:FS16)),"")</f>
        <v/>
      </c>
      <c r="FU16" s="186" t="str">
        <f t="shared" si="40"/>
        <v/>
      </c>
      <c r="FV16" s="172"/>
      <c r="FW16" s="107" t="s">
        <v>23</v>
      </c>
      <c r="FX16" s="108" t="s">
        <v>25</v>
      </c>
      <c r="FY16" s="185">
        <f>IFERROR((((COUNTIF('Elève (6ème2)'!FV16:FX16,"A"))*4)+((COUNTIF('Elève (6ème2)'!FV16:FX16,"B"))*3)+((COUNTIF('Elève (6ème2)'!FV16:FX16,"C"))*2)+((COUNTIF('Elève (6ème2)'!FV16:FX16,"D"))*1))/(COUNTA(FV16:FX16)),"")</f>
        <v>3</v>
      </c>
      <c r="FZ16" s="186" t="str">
        <f t="shared" si="41"/>
        <v>B</v>
      </c>
      <c r="GA16" s="172" t="s">
        <v>25</v>
      </c>
      <c r="GB16" s="107" t="s">
        <v>25</v>
      </c>
      <c r="GC16" s="108"/>
      <c r="GD16" s="185">
        <f>IFERROR((((COUNTIF('Elève (6ème2)'!GA16:GC16,"A"))*4)+((COUNTIF('Elève (6ème2)'!GA16:GC16,"B"))*3)+((COUNTIF('Elève (6ème2)'!GA16:GC16,"C"))*2)+((COUNTIF('Elève (6ème2)'!GA16:GC16,"D"))*1))/(COUNTA(GA16:GC16)),"")</f>
        <v>2</v>
      </c>
      <c r="GE16" s="186" t="str">
        <f t="shared" si="42"/>
        <v>C</v>
      </c>
      <c r="GF16" s="185">
        <f>IF(COUNT(FT16,FY16,GD16)=0,"",SUM(FT16,FY16,GD16)/COUNT(FT16,FY16,GD16))</f>
        <v>2.5</v>
      </c>
      <c r="GG16" s="208" t="str">
        <f t="shared" si="43"/>
        <v>C</v>
      </c>
      <c r="GH16" s="217"/>
      <c r="GI16" s="107"/>
      <c r="GJ16" s="108"/>
      <c r="GK16" s="185" t="str">
        <f>IFERROR((((COUNTIF('Elève (6ème2)'!GH16:GJ16,"A"))*4)+((COUNTIF('Elève (6ème2)'!GH16:GJ16,"B"))*3)+((COUNTIF('Elève (6ème2)'!GH16:GJ16,"C"))*2)+((COUNTIF('Elève (6ème2)'!GH16:GJ16,"D"))*1))/(COUNTA(GH16:GJ16)),"")</f>
        <v/>
      </c>
      <c r="GL16" s="186" t="str">
        <f t="shared" si="44"/>
        <v/>
      </c>
      <c r="GM16" s="172"/>
      <c r="GN16" s="107" t="s">
        <v>23</v>
      </c>
      <c r="GO16" s="108" t="s">
        <v>24</v>
      </c>
      <c r="GP16" s="185">
        <f>IFERROR((((COUNTIF('Elève (6ème2)'!GM16:GO16,"A"))*4)+((COUNTIF('Elève (6ème2)'!GM16:GO16,"B"))*3)+((COUNTIF('Elève (6ème2)'!GM16:GO16,"C"))*2)+((COUNTIF('Elève (6ème2)'!GM16:GO16,"D"))*1))/(COUNTA(GM16:GO16)),"")</f>
        <v>3.5</v>
      </c>
      <c r="GQ16" s="186" t="str">
        <f t="shared" si="45"/>
        <v>B</v>
      </c>
      <c r="GR16" s="172" t="s">
        <v>24</v>
      </c>
      <c r="GS16" s="107" t="s">
        <v>25</v>
      </c>
      <c r="GT16" s="108"/>
      <c r="GU16" s="185">
        <f>IFERROR((((COUNTIF('Elève (6ème2)'!GR16:GT16,"A"))*4)+((COUNTIF('Elève (6ème2)'!GR16:GT16,"B"))*3)+((COUNTIF('Elève (6ème2)'!GR16:GT16,"C"))*2)+((COUNTIF('Elève (6ème2)'!GR16:GT16,"D"))*1))/(COUNTA(GR16:GT16)),"")</f>
        <v>2.5</v>
      </c>
      <c r="GV16" s="186" t="str">
        <f t="shared" si="46"/>
        <v>C</v>
      </c>
      <c r="GW16" s="185">
        <f>IF(COUNT(GK16,GP16,GU16)=0,"",SUM(GK16,GP16,GU16)/COUNT(GK16,GP16,GU16))</f>
        <v>3</v>
      </c>
      <c r="GX16" s="208" t="str">
        <f t="shared" si="47"/>
        <v>B</v>
      </c>
      <c r="GY16" s="217"/>
      <c r="GZ16" s="107"/>
      <c r="HA16" s="108"/>
      <c r="HB16" s="185" t="str">
        <f>IFERROR((((COUNTIF('Elève (6ème2)'!GY16:HA16,"A"))*4)+((COUNTIF('Elève (6ème2)'!GY16:HA16,"B"))*3)+((COUNTIF('Elève (6ème2)'!GY16:HA16,"C"))*2)+((COUNTIF('Elève (6ème2)'!GY16:HA16,"D"))*1))/(COUNTA(GY16:HA16)),"")</f>
        <v/>
      </c>
      <c r="HC16" s="186" t="str">
        <f t="shared" si="48"/>
        <v/>
      </c>
      <c r="HD16" s="172"/>
      <c r="HE16" s="107" t="s">
        <v>23</v>
      </c>
      <c r="HF16" s="108" t="s">
        <v>23</v>
      </c>
      <c r="HG16" s="185">
        <f>IFERROR((((COUNTIF('Elève (6ème2)'!HD16:HF16,"A"))*4)+((COUNTIF('Elève (6ème2)'!HD16:HF16,"B"))*3)+((COUNTIF('Elève (6ème2)'!HD16:HF16,"C"))*2)+((COUNTIF('Elève (6ème2)'!HD16:HF16,"D"))*1))/(COUNTA(HD16:HF16)),"")</f>
        <v>4</v>
      </c>
      <c r="HH16" s="186" t="str">
        <f t="shared" si="49"/>
        <v>A</v>
      </c>
      <c r="HI16" s="172" t="s">
        <v>23</v>
      </c>
      <c r="HJ16" s="107" t="s">
        <v>24</v>
      </c>
      <c r="HK16" s="108"/>
      <c r="HL16" s="185">
        <f>IFERROR((((COUNTIF('Elève (6ème2)'!HI16:HK16,"A"))*4)+((COUNTIF('Elève (6ème2)'!HI16:HK16,"B"))*3)+((COUNTIF('Elève (6ème2)'!HI16:HK16,"C"))*2)+((COUNTIF('Elève (6ème2)'!HI16:HK16,"D"))*1))/(COUNTA(HI16:HK16)),"")</f>
        <v>3.5</v>
      </c>
      <c r="HM16" s="186" t="str">
        <f t="shared" si="50"/>
        <v>B</v>
      </c>
      <c r="HN16" s="185">
        <f>IF(COUNT(HB16,HG16,HL16)=0,"",SUM(HB16,HG16,HL16)/COUNT(HB16,HG16,HL16))</f>
        <v>3.75</v>
      </c>
      <c r="HO16" s="208" t="str">
        <f t="shared" si="51"/>
        <v>A</v>
      </c>
      <c r="HP16" s="217"/>
      <c r="HQ16" s="107"/>
      <c r="HR16" s="108"/>
      <c r="HS16" s="185" t="str">
        <f>IFERROR((((COUNTIF('Elève (6ème2)'!HP16:HR16,"A"))*4)+((COUNTIF('Elève (6ème2)'!HP16:HR16,"B"))*3)+((COUNTIF('Elève (6ème2)'!HP16:HR16,"C"))*2)+((COUNTIF('Elève (6ème2)'!HP16:HR16,"D"))*1))/(COUNTA(HP16:HR16)),"")</f>
        <v/>
      </c>
      <c r="HT16" s="186" t="str">
        <f t="shared" si="52"/>
        <v/>
      </c>
      <c r="HU16" s="172"/>
      <c r="HV16" s="107" t="s">
        <v>24</v>
      </c>
      <c r="HW16" s="108" t="s">
        <v>23</v>
      </c>
      <c r="HX16" s="185">
        <f>IFERROR((((COUNTIF('Elève (6ème2)'!HU16:HW16,"A"))*4)+((COUNTIF('Elève (6ème2)'!HU16:HW16,"B"))*3)+((COUNTIF('Elève (6ème2)'!HU16:HW16,"C"))*2)+((COUNTIF('Elève (6ème2)'!HU16:HW16,"D"))*1))/(COUNTA(HU16:HW16)),"")</f>
        <v>3.5</v>
      </c>
      <c r="HY16" s="186" t="str">
        <f t="shared" si="53"/>
        <v>B</v>
      </c>
      <c r="HZ16" s="172" t="s">
        <v>23</v>
      </c>
      <c r="IA16" s="107" t="s">
        <v>24</v>
      </c>
      <c r="IB16" s="108"/>
      <c r="IC16" s="185">
        <f>IFERROR((((COUNTIF('Elève (6ème2)'!HZ16:IB16,"A"))*4)+((COUNTIF('Elève (6ème2)'!HZ16:IB16,"B"))*3)+((COUNTIF('Elève (6ème2)'!HZ16:IB16,"C"))*2)+((COUNTIF('Elève (6ème2)'!HZ16:IB16,"D"))*1))/(COUNTA(HZ16:IB16)),"")</f>
        <v>3.5</v>
      </c>
      <c r="ID16" s="186" t="str">
        <f t="shared" si="54"/>
        <v>B</v>
      </c>
      <c r="IE16" s="185">
        <f>IF(COUNT(HS16,HX16,IC16)=0,"",SUM(HS16,HX16,IC16)/COUNT(HS16,HX16,IC16))</f>
        <v>3.5</v>
      </c>
      <c r="IF16" s="208" t="str">
        <f t="shared" si="55"/>
        <v>B</v>
      </c>
      <c r="IG16" s="217"/>
      <c r="IH16" s="107"/>
      <c r="II16" s="108"/>
      <c r="IJ16" s="185" t="str">
        <f>IFERROR((((COUNTIF('Elève (6ème2)'!IG16:II16,"A"))*4)+((COUNTIF('Elève (6ème2)'!IG16:II16,"B"))*3)+((COUNTIF('Elève (6ème2)'!IG16:II16,"C"))*2)+((COUNTIF('Elève (6ème2)'!IG16:II16,"D"))*1))/(COUNTA(IG16:II16)),"")</f>
        <v/>
      </c>
      <c r="IK16" s="186" t="str">
        <f t="shared" si="56"/>
        <v/>
      </c>
      <c r="IL16" s="172"/>
      <c r="IM16" s="107" t="s">
        <v>23</v>
      </c>
      <c r="IN16" s="108" t="s">
        <v>23</v>
      </c>
      <c r="IO16" s="185">
        <f>IFERROR((((COUNTIF('Elève (6ème2)'!IL16:IN16,"A"))*4)+((COUNTIF('Elève (6ème2)'!IL16:IN16,"B"))*3)+((COUNTIF('Elève (6ème2)'!IL16:IN16,"C"))*2)+((COUNTIF('Elève (6ème2)'!IL16:IN16,"D"))*1))/(COUNTA(IL16:IN16)),"")</f>
        <v>4</v>
      </c>
      <c r="IP16" s="186" t="str">
        <f t="shared" si="57"/>
        <v>A</v>
      </c>
      <c r="IQ16" s="172" t="s">
        <v>24</v>
      </c>
      <c r="IR16" s="107" t="s">
        <v>24</v>
      </c>
      <c r="IS16" s="108"/>
      <c r="IT16" s="185">
        <f>IFERROR((((COUNTIF('Elève (6ème2)'!IQ16:IS16,"A"))*4)+((COUNTIF('Elève (6ème2)'!IQ16:IS16,"B"))*3)+((COUNTIF('Elève (6ème2)'!IQ16:IS16,"C"))*2)+((COUNTIF('Elève (6ème2)'!IQ16:IS16,"D"))*1))/(COUNTA(IQ16:IS16)),"")</f>
        <v>3</v>
      </c>
      <c r="IU16" s="186" t="str">
        <f t="shared" si="58"/>
        <v>B</v>
      </c>
      <c r="IV16" s="185">
        <f>IF(COUNT(IJ16,IO16,IT16)=0,"",SUM(IJ16,IO16,IT16)/COUNT(IJ16,IO16,IT16))</f>
        <v>3.5</v>
      </c>
      <c r="IW16" s="208" t="str">
        <f t="shared" si="59"/>
        <v>B</v>
      </c>
      <c r="IX16" s="217"/>
      <c r="IY16" s="107"/>
      <c r="IZ16" s="108"/>
      <c r="JA16" s="185" t="str">
        <f>IFERROR((((COUNTIF('Elève (6ème2)'!IX16:IZ16,"A"))*4)+((COUNTIF('Elève (6ème2)'!IX16:IZ16,"B"))*3)+((COUNTIF('Elève (6ème2)'!IX16:IZ16,"C"))*2)+((COUNTIF('Elève (6ème2)'!IX16:IZ16,"D"))*1))/(COUNTA(IX16:IZ16)),"")</f>
        <v/>
      </c>
      <c r="JB16" s="186" t="str">
        <f t="shared" si="60"/>
        <v/>
      </c>
      <c r="JC16" s="172"/>
      <c r="JD16" s="107" t="s">
        <v>25</v>
      </c>
      <c r="JE16" s="108" t="s">
        <v>24</v>
      </c>
      <c r="JF16" s="185">
        <f>IFERROR((((COUNTIF('Elève (6ème2)'!JC16:JE16,"A"))*4)+((COUNTIF('Elève (6ème2)'!JC16:JE16,"B"))*3)+((COUNTIF('Elève (6ème2)'!JC16:JE16,"C"))*2)+((COUNTIF('Elève (6ème2)'!JC16:JE16,"D"))*1))/(COUNTA(JC16:JE16)),"")</f>
        <v>2.5</v>
      </c>
      <c r="JG16" s="186" t="str">
        <f t="shared" si="61"/>
        <v>C</v>
      </c>
      <c r="JH16" s="172" t="s">
        <v>25</v>
      </c>
      <c r="JI16" s="107" t="s">
        <v>26</v>
      </c>
      <c r="JJ16" s="108"/>
      <c r="JK16" s="185">
        <f>IFERROR((((COUNTIF('Elève (6ème2)'!JH16:JJ16,"A"))*4)+((COUNTIF('Elève (6ème2)'!JH16:JJ16,"B"))*3)+((COUNTIF('Elève (6ème2)'!JH16:JJ16,"C"))*2)+((COUNTIF('Elève (6ème2)'!JH16:JJ16,"D"))*1))/(COUNTA(JH16:JJ16)),"")</f>
        <v>1.5</v>
      </c>
      <c r="JL16" s="186" t="str">
        <f t="shared" si="62"/>
        <v>D</v>
      </c>
      <c r="JM16" s="185">
        <f>IF(COUNT(JA16,JF16,JK16)=0,"",SUM(JA16,JF16,JK16)/COUNT(JA16,JF16,JK16))</f>
        <v>2</v>
      </c>
      <c r="JN16" s="208" t="str">
        <f t="shared" si="63"/>
        <v>C</v>
      </c>
      <c r="JO16" s="217"/>
      <c r="JP16" s="107"/>
      <c r="JQ16" s="108"/>
      <c r="JR16" s="185" t="str">
        <f>IFERROR((((COUNTIF('Elève (6ème2)'!JO16:JQ16,"A"))*4)+((COUNTIF('Elève (6ème2)'!JO16:JQ16,"B"))*3)+((COUNTIF('Elève (6ème2)'!JO16:JQ16,"C"))*2)+((COUNTIF('Elève (6ème2)'!JO16:JQ16,"D"))*1))/(COUNTA(JO16:JQ16)),"")</f>
        <v/>
      </c>
      <c r="JS16" s="186" t="str">
        <f t="shared" si="64"/>
        <v/>
      </c>
      <c r="JT16" s="172"/>
      <c r="JU16" s="107" t="s">
        <v>25</v>
      </c>
      <c r="JV16" s="108" t="s">
        <v>24</v>
      </c>
      <c r="JW16" s="185">
        <f>IFERROR((((COUNTIF('Elève (6ème2)'!JT16:JV16,"A"))*4)+((COUNTIF('Elève (6ème2)'!JT16:JV16,"B"))*3)+((COUNTIF('Elève (6ème2)'!JT16:JV16,"C"))*2)+((COUNTIF('Elève (6ème2)'!JT16:JV16,"D"))*1))/(COUNTA(JT16:JV16)),"")</f>
        <v>2.5</v>
      </c>
      <c r="JX16" s="186" t="str">
        <f t="shared" si="65"/>
        <v>C</v>
      </c>
      <c r="JY16" s="172" t="s">
        <v>24</v>
      </c>
      <c r="JZ16" s="107" t="s">
        <v>26</v>
      </c>
      <c r="KA16" s="108"/>
      <c r="KB16" s="185">
        <f>IFERROR((((COUNTIF('Elève (6ème2)'!JY16:KA16,"A"))*4)+((COUNTIF('Elève (6ème2)'!JY16:KA16,"B"))*3)+((COUNTIF('Elève (6ème2)'!JY16:KA16,"C"))*2)+((COUNTIF('Elève (6ème2)'!JY16:KA16,"D"))*1))/(COUNTA(JY16:KA16)),"")</f>
        <v>2</v>
      </c>
      <c r="KC16" s="186" t="str">
        <f t="shared" si="66"/>
        <v>C</v>
      </c>
      <c r="KD16" s="185">
        <f>IF(COUNT(JR16,JW16,KB16)=0,"",SUM(JR16,JW16,KB16)/COUNT(JR16,JW16,KB16))</f>
        <v>2.25</v>
      </c>
      <c r="KE16" s="208" t="str">
        <f t="shared" si="67"/>
        <v>C</v>
      </c>
      <c r="KF16" s="217"/>
      <c r="KG16" s="107"/>
      <c r="KH16" s="108"/>
      <c r="KI16" s="185" t="str">
        <f>IFERROR((((COUNTIF('Elève (6ème2)'!KF16:KH16,"A"))*4)+((COUNTIF('Elève (6ème2)'!KF16:KH16,"B"))*3)+((COUNTIF('Elève (6ème2)'!KF16:KH16,"C"))*2)+((COUNTIF('Elève (6ème2)'!KF16:KH16,"D"))*1))/(COUNTA(KF16:KH16)),"")</f>
        <v/>
      </c>
      <c r="KJ16" s="186" t="str">
        <f t="shared" si="68"/>
        <v/>
      </c>
      <c r="KK16" s="172"/>
      <c r="KL16" s="107" t="s">
        <v>23</v>
      </c>
      <c r="KM16" s="108" t="s">
        <v>23</v>
      </c>
      <c r="KN16" s="185">
        <f>IFERROR((((COUNTIF('Elève (6ème2)'!KK16:KM16,"A"))*4)+((COUNTIF('Elève (6ème2)'!KK16:KM16,"B"))*3)+((COUNTIF('Elève (6ème2)'!KK16:KM16,"C"))*2)+((COUNTIF('Elève (6ème2)'!KK16:KM16,"D"))*1))/(COUNTA(KK16:KM16)),"")</f>
        <v>4</v>
      </c>
      <c r="KO16" s="186" t="str">
        <f t="shared" si="69"/>
        <v>A</v>
      </c>
      <c r="KP16" s="172" t="s">
        <v>24</v>
      </c>
      <c r="KQ16" s="107" t="s">
        <v>24</v>
      </c>
      <c r="KR16" s="108"/>
      <c r="KS16" s="185">
        <f>IFERROR((((COUNTIF('Elève (6ème2)'!KP16:KR16,"A"))*4)+((COUNTIF('Elève (6ème2)'!KP16:KR16,"B"))*3)+((COUNTIF('Elève (6ème2)'!KP16:KR16,"C"))*2)+((COUNTIF('Elève (6ème2)'!KP16:KR16,"D"))*1))/(COUNTA(KP16:KR16)),"")</f>
        <v>3</v>
      </c>
      <c r="KT16" s="186" t="str">
        <f t="shared" si="70"/>
        <v>B</v>
      </c>
      <c r="KU16" s="185">
        <f>IF(COUNT(KI16,KN16,KS16)=0,"",SUM(KI16,KN16,KS16)/COUNT(KI16,KN16,KS16))</f>
        <v>3.5</v>
      </c>
      <c r="KV16" s="208" t="str">
        <f t="shared" si="71"/>
        <v>B</v>
      </c>
      <c r="KW16" s="217"/>
      <c r="KX16" s="107"/>
      <c r="KY16" s="108"/>
      <c r="KZ16" s="185" t="str">
        <f>IFERROR((((COUNTIF('Elève (6ème2)'!KW16:KY16,"A"))*4)+((COUNTIF('Elève (6ème2)'!KW16:KY16,"B"))*3)+((COUNTIF('Elève (6ème2)'!KW16:KY16,"C"))*2)+((COUNTIF('Elève (6ème2)'!KW16:KY16,"D"))*1))/(COUNTA(KW16:KY16)),"")</f>
        <v/>
      </c>
      <c r="LA16" s="186" t="str">
        <f t="shared" si="72"/>
        <v/>
      </c>
      <c r="LB16" s="172"/>
      <c r="LC16" s="107" t="s">
        <v>23</v>
      </c>
      <c r="LD16" s="108" t="s">
        <v>25</v>
      </c>
      <c r="LE16" s="185">
        <f>IFERROR((((COUNTIF('Elève (6ème2)'!LB16:LD16,"A"))*4)+((COUNTIF('Elève (6ème2)'!LB16:LD16,"B"))*3)+((COUNTIF('Elève (6ème2)'!LB16:LD16,"C"))*2)+((COUNTIF('Elève (6ème2)'!LB16:LD16,"D"))*1))/(COUNTA(LB16:LD16)),"")</f>
        <v>3</v>
      </c>
      <c r="LF16" s="186" t="str">
        <f t="shared" si="73"/>
        <v>B</v>
      </c>
      <c r="LG16" s="172" t="s">
        <v>24</v>
      </c>
      <c r="LH16" s="107" t="s">
        <v>24</v>
      </c>
      <c r="LI16" s="108"/>
      <c r="LJ16" s="185">
        <f>IFERROR((((COUNTIF('Elève (6ème2)'!LG16:LI16,"A"))*4)+((COUNTIF('Elève (6ème2)'!LG16:LI16,"B"))*3)+((COUNTIF('Elève (6ème2)'!LG16:LI16,"C"))*2)+((COUNTIF('Elève (6ème2)'!LG16:LI16,"D"))*1))/(COUNTA(LG16:LI16)),"")</f>
        <v>3</v>
      </c>
      <c r="LK16" s="186" t="str">
        <f t="shared" si="74"/>
        <v>B</v>
      </c>
      <c r="LL16" s="185">
        <f>IF(COUNT(KZ16,LE16,LJ16)=0,"",SUM(KZ16,LE16,LJ16)/COUNT(KZ16,LE16,LJ16))</f>
        <v>3</v>
      </c>
      <c r="LM16" s="208" t="str">
        <f t="shared" si="75"/>
        <v>B</v>
      </c>
      <c r="LN16" s="217"/>
      <c r="LO16" s="107"/>
      <c r="LP16" s="108"/>
      <c r="LQ16" s="185" t="str">
        <f>IFERROR((((COUNTIF('Elève (6ème2)'!LN16:LP16,"A"))*4)+((COUNTIF('Elève (6ème2)'!LN16:LP16,"B"))*3)+((COUNTIF('Elève (6ème2)'!LN16:LP16,"C"))*2)+((COUNTIF('Elève (6ème2)'!LN16:LP16,"D"))*1))/(COUNTA(LN16:LP16)),"")</f>
        <v/>
      </c>
      <c r="LR16" s="186" t="str">
        <f t="shared" si="76"/>
        <v/>
      </c>
      <c r="LS16" s="172"/>
      <c r="LT16" s="107" t="s">
        <v>23</v>
      </c>
      <c r="LU16" s="108"/>
      <c r="LV16" s="185">
        <f>IFERROR((((COUNTIF('Elève (6ème2)'!LS16:LU16,"A"))*4)+((COUNTIF('Elève (6ème2)'!LS16:LU16,"B"))*3)+((COUNTIF('Elève (6ème2)'!LS16:LU16,"C"))*2)+((COUNTIF('Elève (6ème2)'!LS16:LU16,"D"))*1))/(COUNTA(LS16:LU16)),"")</f>
        <v>4</v>
      </c>
      <c r="LW16" s="186" t="str">
        <f t="shared" si="77"/>
        <v>A</v>
      </c>
      <c r="LX16" s="172" t="s">
        <v>24</v>
      </c>
      <c r="LY16" s="107" t="s">
        <v>24</v>
      </c>
      <c r="LZ16" s="108"/>
      <c r="MA16" s="185">
        <f>IFERROR((((COUNTIF('Elève (6ème2)'!LX16:LZ16,"A"))*4)+((COUNTIF('Elève (6ème2)'!LX16:LZ16,"B"))*3)+((COUNTIF('Elève (6ème2)'!LX16:LZ16,"C"))*2)+((COUNTIF('Elève (6ème2)'!LX16:LZ16,"D"))*1))/(COUNTA(LX16:LZ16)),"")</f>
        <v>3</v>
      </c>
      <c r="MB16" s="186" t="str">
        <f t="shared" si="78"/>
        <v>B</v>
      </c>
      <c r="MC16" s="185">
        <f>IF(COUNT(LQ16,LV16,MA16)=0,"",SUM(LQ16,LV16,MA16)/COUNT(LQ16,LV16,MA16))</f>
        <v>3.5</v>
      </c>
      <c r="MD16" s="208" t="str">
        <f t="shared" si="79"/>
        <v>B</v>
      </c>
      <c r="ME16" s="217"/>
      <c r="MF16" s="107"/>
      <c r="MG16" s="108"/>
      <c r="MH16" s="185" t="str">
        <f>IFERROR((((COUNTIF('Elève (6ème2)'!ME16:MG16,"A"))*4)+((COUNTIF('Elève (6ème2)'!ME16:MG16,"B"))*3)+((COUNTIF('Elève (6ème2)'!ME16:MG16,"C"))*2)+((COUNTIF('Elève (6ème2)'!ME16:MG16,"D"))*1))/(COUNTA(ME16:MG16)),"")</f>
        <v/>
      </c>
      <c r="MI16" s="186" t="str">
        <f t="shared" si="80"/>
        <v/>
      </c>
      <c r="MJ16" s="172"/>
      <c r="MK16" s="107" t="s">
        <v>23</v>
      </c>
      <c r="ML16" s="108" t="s">
        <v>23</v>
      </c>
      <c r="MM16" s="185">
        <f>IFERROR((((COUNTIF('Elève (6ème2)'!MJ16:ML16,"A"))*4)+((COUNTIF('Elève (6ème2)'!MJ16:ML16,"B"))*3)+((COUNTIF('Elève (6ème2)'!MJ16:ML16,"C"))*2)+((COUNTIF('Elève (6ème2)'!MJ16:ML16,"D"))*1))/(COUNTA(MJ16:ML16)),"")</f>
        <v>4</v>
      </c>
      <c r="MN16" s="186" t="str">
        <f t="shared" si="81"/>
        <v>A</v>
      </c>
      <c r="MO16" s="172" t="s">
        <v>24</v>
      </c>
      <c r="MP16" s="107" t="s">
        <v>24</v>
      </c>
      <c r="MQ16" s="108"/>
      <c r="MR16" s="185">
        <f>IFERROR((((COUNTIF('Elève (6ème2)'!MO16:MQ16,"A"))*4)+((COUNTIF('Elève (6ème2)'!MO16:MQ16,"B"))*3)+((COUNTIF('Elève (6ème2)'!MO16:MQ16,"C"))*2)+((COUNTIF('Elève (6ème2)'!MO16:MQ16,"D"))*1))/(COUNTA(MO16:MQ16)),"")</f>
        <v>3</v>
      </c>
      <c r="MS16" s="186" t="str">
        <f t="shared" si="82"/>
        <v>B</v>
      </c>
      <c r="MT16" s="185">
        <f>IF(COUNT(MH16,MM16,MR16)=0,"",SUM(MH16,MM16,MR16)/COUNT(MH16,MM16,MR16))</f>
        <v>3.5</v>
      </c>
      <c r="MU16" s="208" t="str">
        <f t="shared" si="83"/>
        <v>B</v>
      </c>
      <c r="MV16" s="217"/>
      <c r="MW16" s="107"/>
      <c r="MX16" s="108"/>
      <c r="MY16" s="185" t="str">
        <f>IFERROR((((COUNTIF('Elève (6ème2)'!MV16:MX16,"A"))*4)+((COUNTIF('Elève (6ème2)'!MV16:MX16,"B"))*3)+((COUNTIF('Elève (6ème2)'!MV16:MX16,"C"))*2)+((COUNTIF('Elève (6ème2)'!MV16:MX16,"D"))*1))/(COUNTA(MV16:MX16)),"")</f>
        <v/>
      </c>
      <c r="MZ16" s="186" t="str">
        <f t="shared" si="84"/>
        <v/>
      </c>
      <c r="NA16" s="172"/>
      <c r="NB16" s="107" t="s">
        <v>23</v>
      </c>
      <c r="NC16" s="108" t="s">
        <v>24</v>
      </c>
      <c r="ND16" s="185">
        <f>IFERROR((((COUNTIF('Elève (6ème2)'!NA16:NC16,"A"))*4)+((COUNTIF('Elève (6ème2)'!NA16:NC16,"B"))*3)+((COUNTIF('Elève (6ème2)'!NA16:NC16,"C"))*2)+((COUNTIF('Elève (6ème2)'!NA16:NC16,"D"))*1))/(COUNTA(NA16:NC16)),"")</f>
        <v>3.5</v>
      </c>
      <c r="NE16" s="186" t="str">
        <f t="shared" si="85"/>
        <v>B</v>
      </c>
      <c r="NF16" s="172" t="s">
        <v>25</v>
      </c>
      <c r="NG16" s="107" t="s">
        <v>26</v>
      </c>
      <c r="NH16" s="108"/>
      <c r="NI16" s="185">
        <f>IFERROR((((COUNTIF('Elève (6ème2)'!NF16:NH16,"A"))*4)+((COUNTIF('Elève (6ème2)'!NF16:NH16,"B"))*3)+((COUNTIF('Elève (6ème2)'!NF16:NH16,"C"))*2)+((COUNTIF('Elève (6ème2)'!NF16:NH16,"D"))*1))/(COUNTA(NF16:NH16)),"")</f>
        <v>1.5</v>
      </c>
      <c r="NJ16" s="186" t="str">
        <f t="shared" si="86"/>
        <v>D</v>
      </c>
      <c r="NK16" s="185">
        <f>IF(COUNT(MY16,ND16,NI16)=0,"",SUM(MY16,ND16,NI16)/COUNT(MY16,ND16,NI16))</f>
        <v>2.5</v>
      </c>
      <c r="NL16" s="208" t="str">
        <f t="shared" si="87"/>
        <v>C</v>
      </c>
      <c r="NM16" s="217"/>
      <c r="NN16" s="107"/>
      <c r="NO16" s="108"/>
      <c r="NP16" s="185" t="str">
        <f>IFERROR((((COUNTIF('Elève (6ème2)'!NM16:NO16,"A"))*4)+((COUNTIF('Elève (6ème2)'!NM16:NO16,"B"))*3)+((COUNTIF('Elève (6ème2)'!NM16:NO16,"C"))*2)+((COUNTIF('Elève (6ème2)'!NM16:NO16,"D"))*1))/(COUNTA(NM16:NO16)),"")</f>
        <v/>
      </c>
      <c r="NQ16" s="186" t="str">
        <f t="shared" si="88"/>
        <v/>
      </c>
      <c r="NR16" s="172"/>
      <c r="NS16" s="107" t="s">
        <v>23</v>
      </c>
      <c r="NT16" s="108" t="s">
        <v>23</v>
      </c>
      <c r="NU16" s="185">
        <f>IFERROR((((COUNTIF('Elève (6ème2)'!NR16:NT16,"A"))*4)+((COUNTIF('Elève (6ème2)'!NR16:NT16,"B"))*3)+((COUNTIF('Elève (6ème2)'!NR16:NT16,"C"))*2)+((COUNTIF('Elève (6ème2)'!NR16:NT16,"D"))*1))/(COUNTA(NR16:NT16)),"")</f>
        <v>4</v>
      </c>
      <c r="NV16" s="186" t="str">
        <f t="shared" si="89"/>
        <v>A</v>
      </c>
      <c r="NW16" s="172" t="s">
        <v>23</v>
      </c>
      <c r="NX16" s="107" t="s">
        <v>24</v>
      </c>
      <c r="NY16" s="108"/>
      <c r="NZ16" s="185">
        <f>IFERROR((((COUNTIF('Elève (6ème2)'!NW16:NY16,"A"))*4)+((COUNTIF('Elève (6ème2)'!NW16:NY16,"B"))*3)+((COUNTIF('Elève (6ème2)'!NW16:NY16,"C"))*2)+((COUNTIF('Elève (6ème2)'!NW16:NY16,"D"))*1))/(COUNTA(NW16:NY16)),"")</f>
        <v>3.5</v>
      </c>
      <c r="OA16" s="186" t="str">
        <f t="shared" si="90"/>
        <v>B</v>
      </c>
      <c r="OB16" s="185">
        <f>IF(COUNT(NP16,NU16,NZ16)=0,"",SUM(NP16,NU16,NZ16)/COUNT(NP16,NU16,NZ16))</f>
        <v>3.75</v>
      </c>
      <c r="OC16" s="208" t="str">
        <f t="shared" si="91"/>
        <v>A</v>
      </c>
      <c r="OD16" s="217"/>
      <c r="OE16" s="107"/>
      <c r="OF16" s="108"/>
      <c r="OG16" s="185" t="str">
        <f>IFERROR((((COUNTIF('Elève (6ème2)'!OD16:OF16,"A"))*4)+((COUNTIF('Elève (6ème2)'!OD16:OF16,"B"))*3)+((COUNTIF('Elève (6ème2)'!OD16:OF16,"C"))*2)+((COUNTIF('Elève (6ème2)'!OD16:OF16,"D"))*1))/(COUNTA(OD16:OF16)),"")</f>
        <v/>
      </c>
      <c r="OH16" s="186" t="str">
        <f t="shared" si="92"/>
        <v/>
      </c>
      <c r="OI16" s="172"/>
      <c r="OJ16" s="107" t="s">
        <v>26</v>
      </c>
      <c r="OK16" s="108" t="s">
        <v>24</v>
      </c>
      <c r="OL16" s="185">
        <f>IFERROR((((COUNTIF('Elève (6ème2)'!OI16:OK16,"A"))*4)+((COUNTIF('Elève (6ème2)'!OI16:OK16,"B"))*3)+((COUNTIF('Elève (6ème2)'!OI16:OK16,"C"))*2)+((COUNTIF('Elève (6ème2)'!OI16:OK16,"D"))*1))/(COUNTA(OI16:OK16)),"")</f>
        <v>2</v>
      </c>
      <c r="OM16" s="186" t="str">
        <f t="shared" si="93"/>
        <v>C</v>
      </c>
      <c r="ON16" s="172" t="s">
        <v>25</v>
      </c>
      <c r="OO16" s="107"/>
      <c r="OP16" s="108"/>
      <c r="OQ16" s="185">
        <f>IFERROR((((COUNTIF('Elève (6ème2)'!ON16:OP16,"A"))*4)+((COUNTIF('Elève (6ème2)'!ON16:OP16,"B"))*3)+((COUNTIF('Elève (6ème2)'!ON16:OP16,"C"))*2)+((COUNTIF('Elève (6ème2)'!ON16:OP16,"D"))*1))/(COUNTA(ON16:OP16)),"")</f>
        <v>2</v>
      </c>
      <c r="OR16" s="186" t="str">
        <f t="shared" si="94"/>
        <v>C</v>
      </c>
      <c r="OS16" s="185">
        <f>IF(COUNT(OG16,OL16,OQ16)=0,"",SUM(OG16,OL16,OQ16)/COUNT(OG16,OL16,OQ16))</f>
        <v>2</v>
      </c>
      <c r="OT16" s="208" t="str">
        <f t="shared" si="95"/>
        <v>C</v>
      </c>
      <c r="OU16" s="217"/>
      <c r="OV16" s="107"/>
      <c r="OW16" s="108"/>
      <c r="OX16" s="185" t="str">
        <f>IFERROR((((COUNTIF('Elève (6ème2)'!OU16:OW16,"A"))*4)+((COUNTIF('Elève (6ème2)'!OU16:OW16,"B"))*3)+((COUNTIF('Elève (6ème2)'!OU16:OW16,"C"))*2)+((COUNTIF('Elève (6ème2)'!OU16:OW16,"D"))*1))/(COUNTA(OU16:OW16)),"")</f>
        <v/>
      </c>
      <c r="OY16" s="186" t="str">
        <f t="shared" si="96"/>
        <v/>
      </c>
      <c r="OZ16" s="172"/>
      <c r="PA16" s="107" t="s">
        <v>23</v>
      </c>
      <c r="PB16" s="108" t="s">
        <v>23</v>
      </c>
      <c r="PC16" s="185">
        <f>IFERROR((((COUNTIF('Elève (6ème2)'!OZ16:PB16,"A"))*4)+((COUNTIF('Elève (6ème2)'!OZ16:PB16,"B"))*3)+((COUNTIF('Elève (6ème2)'!OZ16:PB16,"C"))*2)+((COUNTIF('Elève (6ème2)'!OZ16:PB16,"D"))*1))/(COUNTA(OZ16:PB16)),"")</f>
        <v>4</v>
      </c>
      <c r="PD16" s="186" t="str">
        <f t="shared" si="97"/>
        <v>A</v>
      </c>
      <c r="PE16" s="172" t="s">
        <v>23</v>
      </c>
      <c r="PF16" s="107" t="s">
        <v>24</v>
      </c>
      <c r="PG16" s="108"/>
      <c r="PH16" s="185">
        <f>IFERROR((((COUNTIF('Elève (6ème2)'!PE16:PG16,"A"))*4)+((COUNTIF('Elève (6ème2)'!PE16:PG16,"B"))*3)+((COUNTIF('Elève (6ème2)'!PE16:PG16,"C"))*2)+((COUNTIF('Elève (6ème2)'!PE16:PG16,"D"))*1))/(COUNTA(PE16:PG16)),"")</f>
        <v>3.5</v>
      </c>
      <c r="PI16" s="186" t="str">
        <f t="shared" si="98"/>
        <v>B</v>
      </c>
      <c r="PJ16" s="185">
        <f>IF(COUNT(OX16,PC16,PH16)=0,"",SUM(OX16,PC16,PH16)/COUNT(OX16,PC16,PH16))</f>
        <v>3.75</v>
      </c>
      <c r="PK16" s="208" t="str">
        <f t="shared" si="99"/>
        <v>A</v>
      </c>
      <c r="PL16" s="217"/>
      <c r="PM16" s="107"/>
      <c r="PN16" s="108"/>
      <c r="PO16" s="185" t="str">
        <f>IFERROR((((COUNTIF('Elève (6ème2)'!PL16:PN16,"A"))*4)+((COUNTIF('Elève (6ème2)'!PL16:PN16,"B"))*3)+((COUNTIF('Elève (6ème2)'!PL16:PN16,"C"))*2)+((COUNTIF('Elève (6ème2)'!PL16:PN16,"D"))*1))/(COUNTA(PL16:PN16)),"")</f>
        <v/>
      </c>
      <c r="PP16" s="186" t="str">
        <f t="shared" si="100"/>
        <v/>
      </c>
      <c r="PQ16" s="172"/>
      <c r="PR16" s="107" t="s">
        <v>23</v>
      </c>
      <c r="PS16" s="108" t="s">
        <v>23</v>
      </c>
      <c r="PT16" s="185">
        <f>IFERROR((((COUNTIF('Elève (6ème2)'!PQ16:PS16,"A"))*4)+((COUNTIF('Elève (6ème2)'!PQ16:PS16,"B"))*3)+((COUNTIF('Elève (6ème2)'!PQ16:PS16,"C"))*2)+((COUNTIF('Elève (6ème2)'!PQ16:PS16,"D"))*1))/(COUNTA(PQ16:PS16)),"")</f>
        <v>4</v>
      </c>
      <c r="PU16" s="186" t="str">
        <f t="shared" si="101"/>
        <v>A</v>
      </c>
      <c r="PV16" s="172" t="s">
        <v>24</v>
      </c>
      <c r="PW16" s="107" t="s">
        <v>24</v>
      </c>
      <c r="PX16" s="108"/>
      <c r="PY16" s="185">
        <f>IFERROR((((COUNTIF('Elève (6ème2)'!PV16:PX16,"A"))*4)+((COUNTIF('Elève (6ème2)'!PV16:PX16,"B"))*3)+((COUNTIF('Elève (6ème2)'!PV16:PX16,"C"))*2)+((COUNTIF('Elève (6ème2)'!PV16:PX16,"D"))*1))/(COUNTA(PV16:PX16)),"")</f>
        <v>3</v>
      </c>
      <c r="PZ16" s="186" t="str">
        <f t="shared" si="102"/>
        <v>B</v>
      </c>
      <c r="QA16" s="185">
        <f>IF(COUNT(PO16,PT16,PY16)=0,"",SUM(PO16,PT16,PY16)/COUNT(PO16,PT16,PY16))</f>
        <v>3.5</v>
      </c>
      <c r="QB16" s="208" t="str">
        <f t="shared" si="103"/>
        <v>B</v>
      </c>
      <c r="QC16" s="217"/>
      <c r="QD16" s="107"/>
      <c r="QE16" s="108"/>
      <c r="QF16" s="185" t="str">
        <f>IFERROR((((COUNTIF('Elève (6ème2)'!QC16:QE16,"A"))*4)+((COUNTIF('Elève (6ème2)'!QC16:QE16,"B"))*3)+((COUNTIF('Elève (6ème2)'!QC16:QE16,"C"))*2)+((COUNTIF('Elève (6ème2)'!QC16:QE16,"D"))*1))/(COUNTA(QC16:QE16)),"")</f>
        <v/>
      </c>
      <c r="QG16" s="186" t="str">
        <f t="shared" si="104"/>
        <v/>
      </c>
      <c r="QH16" s="172"/>
      <c r="QI16" s="107" t="s">
        <v>24</v>
      </c>
      <c r="QJ16" s="108"/>
      <c r="QK16" s="185">
        <f>IFERROR((((COUNTIF('Elève (6ème2)'!QH16:QJ16,"A"))*4)+((COUNTIF('Elève (6ème2)'!QH16:QJ16,"B"))*3)+((COUNTIF('Elève (6ème2)'!QH16:QJ16,"C"))*2)+((COUNTIF('Elève (6ème2)'!QH16:QJ16,"D"))*1))/(COUNTA(QH16:QJ16)),"")</f>
        <v>3</v>
      </c>
      <c r="QL16" s="186" t="str">
        <f t="shared" si="105"/>
        <v>B</v>
      </c>
      <c r="QM16" s="172" t="s">
        <v>23</v>
      </c>
      <c r="QN16" s="107" t="s">
        <v>26</v>
      </c>
      <c r="QO16" s="108"/>
      <c r="QP16" s="185">
        <f>IFERROR((((COUNTIF('Elève (6ème2)'!QM16:QO16,"A"))*4)+((COUNTIF('Elève (6ème2)'!QM16:QO16,"B"))*3)+((COUNTIF('Elève (6ème2)'!QM16:QO16,"C"))*2)+((COUNTIF('Elève (6ème2)'!QM16:QO16,"D"))*1))/(COUNTA(QM16:QO16)),"")</f>
        <v>2.5</v>
      </c>
      <c r="QQ16" s="186" t="str">
        <f t="shared" si="106"/>
        <v>C</v>
      </c>
      <c r="QR16" s="185">
        <f>IF(COUNT(QF16,QK16,QP16)=0,"",SUM(QF16,QK16,QP16)/COUNT(QF16,QK16,QP16))</f>
        <v>2.75</v>
      </c>
      <c r="QS16" s="208" t="str">
        <f t="shared" si="107"/>
        <v>C</v>
      </c>
      <c r="QT16" s="217"/>
      <c r="QU16" s="107"/>
      <c r="QV16" s="108"/>
      <c r="QW16" s="185" t="str">
        <f>IFERROR((((COUNTIF('Elève (6ème2)'!QT16:QV16,"A"))*4)+((COUNTIF('Elève (6ème2)'!QT16:QV16,"B"))*3)+((COUNTIF('Elève (6ème2)'!QT16:QV16,"C"))*2)+((COUNTIF('Elève (6ème2)'!QT16:QV16,"D"))*1))/(COUNTA(QT16:QV16)),"")</f>
        <v/>
      </c>
      <c r="QX16" s="186" t="str">
        <f t="shared" si="108"/>
        <v/>
      </c>
      <c r="QY16" s="172"/>
      <c r="QZ16" s="107"/>
      <c r="RA16" s="108"/>
      <c r="RB16" s="185" t="str">
        <f>IFERROR((((COUNTIF('Elève (6ème2)'!QY16:RA16,"A"))*4)+((COUNTIF('Elève (6ème2)'!QY16:RA16,"B"))*3)+((COUNTIF('Elève (6ème2)'!QY16:RA16,"C"))*2)+((COUNTIF('Elève (6ème2)'!QY16:RA16,"D"))*1))/(COUNTA(QY16:RA16)),"")</f>
        <v/>
      </c>
      <c r="RC16" s="186" t="str">
        <f t="shared" si="109"/>
        <v/>
      </c>
      <c r="RD16" s="172"/>
      <c r="RE16" s="107"/>
      <c r="RF16" s="108"/>
      <c r="RG16" s="185" t="str">
        <f>IFERROR((((COUNTIF('Elève (6ème2)'!RD16:RF16,"A"))*4)+((COUNTIF('Elève (6ème2)'!RD16:RF16,"B"))*3)+((COUNTIF('Elève (6ème2)'!RD16:RF16,"C"))*2)+((COUNTIF('Elève (6ème2)'!RD16:RF16,"D"))*1))/(COUNTA(RD16:RF16)),"")</f>
        <v/>
      </c>
      <c r="RH16" s="186" t="str">
        <f t="shared" si="110"/>
        <v/>
      </c>
      <c r="RI16" s="185" t="str">
        <f>IF(COUNT(QW16,RB16,RG16)=0,"",SUM(QW16,RB16,RG16)/COUNT(QW16,RB16,RG16))</f>
        <v/>
      </c>
      <c r="RJ16" s="208" t="str">
        <f t="shared" si="111"/>
        <v/>
      </c>
      <c r="RK16" s="217"/>
      <c r="RL16" s="107"/>
      <c r="RM16" s="108"/>
      <c r="RN16" s="185" t="str">
        <f>IFERROR((((COUNTIF('Elève (6ème2)'!RK16:RM16,"A"))*4)+((COUNTIF('Elève (6ème2)'!RK16:RM16,"B"))*3)+((COUNTIF('Elève (6ème2)'!RK16:RM16,"C"))*2)+((COUNTIF('Elève (6ème2)'!RK16:RM16,"D"))*1))/(COUNTA(RK16:RM16)),"")</f>
        <v/>
      </c>
      <c r="RO16" s="186" t="str">
        <f t="shared" si="112"/>
        <v/>
      </c>
      <c r="RP16" s="172"/>
      <c r="RQ16" s="107" t="s">
        <v>23</v>
      </c>
      <c r="RR16" s="108"/>
      <c r="RS16" s="185">
        <f>IFERROR((((COUNTIF('Elève (6ème2)'!RP16:RR16,"A"))*4)+((COUNTIF('Elève (6ème2)'!RP16:RR16,"B"))*3)+((COUNTIF('Elève (6ème2)'!RP16:RR16,"C"))*2)+((COUNTIF('Elève (6ème2)'!RP16:RR16,"D"))*1))/(COUNTA(RP16:RR16)),"")</f>
        <v>4</v>
      </c>
      <c r="RT16" s="186" t="str">
        <f t="shared" si="113"/>
        <v>A</v>
      </c>
      <c r="RU16" s="172" t="s">
        <v>23</v>
      </c>
      <c r="RV16" s="107" t="s">
        <v>24</v>
      </c>
      <c r="RW16" s="108"/>
      <c r="RX16" s="185">
        <f>IFERROR((((COUNTIF('Elève (6ème2)'!RU16:RW16,"A"))*4)+((COUNTIF('Elève (6ème2)'!RU16:RW16,"B"))*3)+((COUNTIF('Elève (6ème2)'!RU16:RW16,"C"))*2)+((COUNTIF('Elève (6ème2)'!RU16:RW16,"D"))*1))/(COUNTA(RU16:RW16)),"")</f>
        <v>3.5</v>
      </c>
      <c r="RY16" s="186" t="str">
        <f t="shared" si="114"/>
        <v>B</v>
      </c>
      <c r="RZ16" s="185">
        <f>IF(COUNT(RN16,RS16,RX16)=0,"",SUM(RN16,RS16,RX16)/COUNT(RN16,RS16,RX16))</f>
        <v>3.75</v>
      </c>
      <c r="SA16" s="208" t="str">
        <f t="shared" si="115"/>
        <v>A</v>
      </c>
      <c r="SB16" s="217"/>
      <c r="SC16" s="107"/>
      <c r="SD16" s="108"/>
      <c r="SE16" s="185" t="str">
        <f>IFERROR((((COUNTIF('Elève (6ème2)'!SB16:SD16,"A"))*4)+((COUNTIF('Elève (6ème2)'!SB16:SD16,"B"))*3)+((COUNTIF('Elève (6ème2)'!SB16:SD16,"C"))*2)+((COUNTIF('Elève (6ème2)'!SB16:SD16,"D"))*1))/(COUNTA(SB16:SD16)),"")</f>
        <v/>
      </c>
      <c r="SF16" s="186" t="str">
        <f t="shared" si="116"/>
        <v/>
      </c>
      <c r="SG16" s="172"/>
      <c r="SH16" s="107" t="s">
        <v>23</v>
      </c>
      <c r="SI16" s="108" t="s">
        <v>23</v>
      </c>
      <c r="SJ16" s="185">
        <f>IFERROR((((COUNTIF('Elève (6ème2)'!SG16:SI16,"A"))*4)+((COUNTIF('Elève (6ème2)'!SG16:SI16,"B"))*3)+((COUNTIF('Elève (6ème2)'!SG16:SI16,"C"))*2)+((COUNTIF('Elève (6ème2)'!SG16:SI16,"D"))*1))/(COUNTA(SG16:SI16)),"")</f>
        <v>4</v>
      </c>
      <c r="SK16" s="186" t="str">
        <f t="shared" si="117"/>
        <v>A</v>
      </c>
      <c r="SL16" s="172" t="s">
        <v>23</v>
      </c>
      <c r="SM16" s="107" t="s">
        <v>26</v>
      </c>
      <c r="SN16" s="108"/>
      <c r="SO16" s="185">
        <f>IFERROR((((COUNTIF('Elève (6ème2)'!SL16:SN16,"A"))*4)+((COUNTIF('Elève (6ème2)'!SL16:SN16,"B"))*3)+((COUNTIF('Elève (6ème2)'!SL16:SN16,"C"))*2)+((COUNTIF('Elève (6ème2)'!SL16:SN16,"D"))*1))/(COUNTA(SL16:SN16)),"")</f>
        <v>2.5</v>
      </c>
      <c r="SP16" s="186" t="str">
        <f t="shared" si="118"/>
        <v>C</v>
      </c>
      <c r="SQ16" s="185">
        <f>IF(COUNT(SE16,SJ16,SO16)=0,"",SUM(SE16,SJ16,SO16)/COUNT(SE16,SJ16,SO16))</f>
        <v>3.25</v>
      </c>
      <c r="SR16" s="208" t="str">
        <f t="shared" si="119"/>
        <v>B</v>
      </c>
      <c r="SS16" s="112"/>
      <c r="ST16" s="107"/>
      <c r="SU16" s="108"/>
      <c r="SV16" s="109" t="str">
        <f>IFERROR((((COUNTIF('Elève (6ème2)'!SS16:SU16,"A"))*4)+((COUNTIF('Elève (6ème2)'!SS16:SU16,"B"))*3)+((COUNTIF('Elève (6ème2)'!SS16:SU16,"C"))*2)+((COUNTIF('Elève (6ème2)'!SS16:SU16,"D"))*1))/(COUNTA(SS16:SU16)),"")</f>
        <v/>
      </c>
      <c r="SW16" s="110" t="str">
        <f t="shared" si="120"/>
        <v/>
      </c>
      <c r="SX16" s="106"/>
      <c r="SY16" s="107"/>
      <c r="SZ16" s="108" t="s">
        <v>24</v>
      </c>
      <c r="TA16" s="109">
        <f>IFERROR((((COUNTIF('Elève (6ème2)'!SX16:SZ16,"A"))*4)+((COUNTIF('Elève (6ème2)'!SX16:SZ16,"B"))*3)+((COUNTIF('Elève (6ème2)'!SX16:SZ16,"C"))*2)+((COUNTIF('Elève (6ème2)'!SX16:SZ16,"D"))*1))/(COUNTA(SX16:SZ16)),"")</f>
        <v>3</v>
      </c>
      <c r="TB16" s="110" t="str">
        <f t="shared" si="121"/>
        <v>B</v>
      </c>
      <c r="TC16" s="99" t="s">
        <v>23</v>
      </c>
      <c r="TD16" s="107" t="s">
        <v>25</v>
      </c>
      <c r="TE16" s="108"/>
      <c r="TF16" s="109">
        <f>IFERROR((((COUNTIF('Elève (6ème2)'!TC16:TE16,"A"))*4)+((COUNTIF('Elève (6ème2)'!TC16:TE16,"B"))*3)+((COUNTIF('Elève (6ème2)'!TC16:TE16,"C"))*2)+((COUNTIF('Elève (6ème2)'!TC16:TE16,"D"))*1))/(COUNTA(TC16:TE16)),"")</f>
        <v>3</v>
      </c>
      <c r="TG16" s="110" t="str">
        <f t="shared" si="122"/>
        <v>B</v>
      </c>
      <c r="TH16" s="109">
        <f>IF(COUNT(SV16,TA16,TF16)=0,"",SUM(SV16,TA16,TF16)/COUNT(SV16,TA16,TF16))</f>
        <v>3</v>
      </c>
      <c r="TI16" s="111" t="str">
        <f t="shared" si="123"/>
        <v>B</v>
      </c>
      <c r="TJ16" s="112"/>
      <c r="TK16" s="107"/>
      <c r="TL16" s="108"/>
      <c r="TM16" s="109" t="str">
        <f>IFERROR((((COUNTIF('Elève (6ème2)'!TJ16:TL16,"A"))*4)+((COUNTIF('Elève (6ème2)'!TJ16:TL16,"B"))*3)+((COUNTIF('Elève (6ème2)'!TJ16:TL16,"C"))*2)+((COUNTIF('Elève (6ème2)'!TJ16:TL16,"D"))*1))/(COUNTA(TJ16:TL16)),"")</f>
        <v/>
      </c>
      <c r="TN16" s="110" t="str">
        <f t="shared" si="124"/>
        <v/>
      </c>
      <c r="TO16" s="106"/>
      <c r="TP16" s="107"/>
      <c r="TQ16" s="108"/>
      <c r="TR16" s="109" t="str">
        <f>IFERROR((((COUNTIF('Elève (6ème2)'!TO16:TQ16,"A"))*4)+((COUNTIF('Elève (6ème2)'!TO16:TQ16,"B"))*3)+((COUNTIF('Elève (6ème2)'!TO16:TQ16,"C"))*2)+((COUNTIF('Elève (6ème2)'!TO16:TQ16,"D"))*1))/(COUNTA(TO16:TQ16)),"")</f>
        <v/>
      </c>
      <c r="TS16" s="110" t="str">
        <f t="shared" si="125"/>
        <v/>
      </c>
      <c r="TT16" s="106"/>
      <c r="TU16" s="107"/>
      <c r="TV16" s="108"/>
      <c r="TW16" s="109" t="str">
        <f>IFERROR((((COUNTIF('Elève (6ème2)'!TT16:TV16,"A"))*4)+((COUNTIF('Elève (6ème2)'!TT16:TV16,"B"))*3)+((COUNTIF('Elève (6ème2)'!TT16:TV16,"C"))*2)+((COUNTIF('Elève (6ème2)'!TT16:TV16,"D"))*1))/(COUNTA(TT16:TV16)),"")</f>
        <v/>
      </c>
      <c r="TX16" s="110" t="str">
        <f t="shared" si="126"/>
        <v/>
      </c>
      <c r="TY16" s="109" t="str">
        <f>IF(COUNT(TM16,TR16,TW16)=0,"",SUM(TM16,TR16,TW16)/COUNT(TM16,TR16,TW16))</f>
        <v/>
      </c>
      <c r="TZ16" s="111" t="str">
        <f t="shared" si="127"/>
        <v/>
      </c>
    </row>
    <row r="17" spans="1:546" ht="15.75" thickBot="1" x14ac:dyDescent="0.3">
      <c r="A17" s="242" t="s">
        <v>20</v>
      </c>
      <c r="B17" s="243"/>
      <c r="C17" s="120"/>
      <c r="D17" s="121"/>
      <c r="E17" s="122"/>
      <c r="F17" s="188" t="str">
        <f>IFERROR((((COUNTIF('Elève (6ème2)'!C17:E17,"A"))*4)+((COUNTIF('Elève (6ème2)'!C17:E17,"B"))*3)+((COUNTIF('Elève (6ème2)'!C17:E17,"C"))*2)+((COUNTIF('Elève (6ème2)'!C17:E17,"D"))*1))/(COUNTA(C17:E17)),"")</f>
        <v/>
      </c>
      <c r="G17" s="187" t="str">
        <f t="shared" si="0"/>
        <v/>
      </c>
      <c r="H17" s="120"/>
      <c r="I17" s="121"/>
      <c r="J17" s="122" t="s">
        <v>25</v>
      </c>
      <c r="K17" s="188">
        <f>IFERROR((((COUNTIF('Elève (6ème2)'!H17:J17,"A"))*4)+((COUNTIF('Elève (6ème2)'!H17:J17,"B"))*3)+((COUNTIF('Elève (6ème2)'!H17:J17,"C"))*2)+((COUNTIF('Elève (6ème2)'!H17:J17,"D"))*1))/(COUNTA(H17:J17)),"")</f>
        <v>2</v>
      </c>
      <c r="L17" s="187" t="str">
        <f t="shared" si="1"/>
        <v>C</v>
      </c>
      <c r="M17" s="120" t="s">
        <v>25</v>
      </c>
      <c r="N17" s="121" t="s">
        <v>24</v>
      </c>
      <c r="O17" s="122"/>
      <c r="P17" s="188">
        <f>IFERROR((((COUNTIF('Elève (6ème2)'!M17:O17,"A"))*4)+((COUNTIF('Elève (6ème2)'!M17:O17,"B"))*3)+((COUNTIF('Elève (6ème2)'!M17:O17,"C"))*2)+((COUNTIF('Elève (6ème2)'!M17:O17,"D"))*1))/(COUNTA(M17:O17)),"")</f>
        <v>2.5</v>
      </c>
      <c r="Q17" s="187" t="str">
        <f t="shared" si="2"/>
        <v>C</v>
      </c>
      <c r="R17" s="188">
        <f>IF(COUNT(F17,K17,P17)=0,"",SUM(F17,K17,P17)/COUNT(F17,K17,P17))</f>
        <v>2.25</v>
      </c>
      <c r="S17" s="212" t="str">
        <f t="shared" si="3"/>
        <v>C</v>
      </c>
      <c r="T17" s="125"/>
      <c r="U17" s="121"/>
      <c r="V17" s="122"/>
      <c r="W17" s="188" t="str">
        <f>IFERROR((((COUNTIF('Elève (6ème2)'!T17:V17,"A"))*4)+((COUNTIF('Elève (6ème2)'!T17:V17,"B"))*3)+((COUNTIF('Elève (6ème2)'!T17:V17,"C"))*2)+((COUNTIF('Elève (6ème2)'!T17:V17,"D"))*1))/(COUNTA(T17:V17)),"")</f>
        <v/>
      </c>
      <c r="X17" s="187" t="str">
        <f t="shared" si="4"/>
        <v/>
      </c>
      <c r="Y17" s="120"/>
      <c r="Z17" s="121"/>
      <c r="AA17" s="122" t="s">
        <v>25</v>
      </c>
      <c r="AB17" s="188">
        <f>IFERROR((((COUNTIF('Elève (6ème2)'!Y17:AA17,"A"))*4)+((COUNTIF('Elève (6ème2)'!Y17:AA17,"B"))*3)+((COUNTIF('Elève (6ème2)'!Y17:AA17,"C"))*2)+((COUNTIF('Elève (6ème2)'!Y17:AA17,"D"))*1))/(COUNTA(Y17:AA17)),"")</f>
        <v>2</v>
      </c>
      <c r="AC17" s="187" t="str">
        <f t="shared" si="5"/>
        <v>C</v>
      </c>
      <c r="AD17" s="120" t="s">
        <v>26</v>
      </c>
      <c r="AE17" s="121" t="s">
        <v>25</v>
      </c>
      <c r="AF17" s="122"/>
      <c r="AG17" s="188">
        <f>IFERROR((((COUNTIF('Elève (6ème2)'!AD17:AF17,"A"))*4)+((COUNTIF('Elève (6ème2)'!AD17:AF17,"B"))*3)+((COUNTIF('Elève (6ème2)'!AD17:AF17,"C"))*2)+((COUNTIF('Elève (6ème2)'!AD17:AF17,"D"))*1))/(COUNTA(AD17:AF17)),"")</f>
        <v>1.5</v>
      </c>
      <c r="AH17" s="187" t="str">
        <f t="shared" si="6"/>
        <v>D</v>
      </c>
      <c r="AI17" s="188">
        <f>IF(COUNT(W17,AB17,AG17)=0,"",SUM(W17,AB17,AG17)/COUNT(W17,AB17,AG17))</f>
        <v>1.75</v>
      </c>
      <c r="AJ17" s="212" t="str">
        <f t="shared" si="7"/>
        <v>C</v>
      </c>
      <c r="AK17" s="125"/>
      <c r="AL17" s="121"/>
      <c r="AM17" s="122"/>
      <c r="AN17" s="188" t="str">
        <f>IFERROR((((COUNTIF('Elève (6ème2)'!AK17:AM17,"A"))*4)+((COUNTIF('Elève (6ème2)'!AK17:AM17,"B"))*3)+((COUNTIF('Elève (6ème2)'!AK17:AM17,"C"))*2)+((COUNTIF('Elève (6ème2)'!AK17:AM17,"D"))*1))/(COUNTA(AK17:AM17)),"")</f>
        <v/>
      </c>
      <c r="AO17" s="187" t="str">
        <f t="shared" si="8"/>
        <v/>
      </c>
      <c r="AP17" s="120"/>
      <c r="AQ17" s="121"/>
      <c r="AR17" s="122" t="s">
        <v>25</v>
      </c>
      <c r="AS17" s="188">
        <f>IFERROR((((COUNTIF('Elève (6ème2)'!AP17:AR17,"A"))*4)+((COUNTIF('Elève (6ème2)'!AP17:AR17,"B"))*3)+((COUNTIF('Elève (6ème2)'!AP17:AR17,"C"))*2)+((COUNTIF('Elève (6ème2)'!AP17:AR17,"D"))*1))/(COUNTA(AP17:AR17)),"")</f>
        <v>2</v>
      </c>
      <c r="AT17" s="187" t="str">
        <f t="shared" si="9"/>
        <v>C</v>
      </c>
      <c r="AU17" s="120" t="s">
        <v>26</v>
      </c>
      <c r="AV17" s="121" t="s">
        <v>25</v>
      </c>
      <c r="AW17" s="122"/>
      <c r="AX17" s="188">
        <f>IFERROR((((COUNTIF('Elève (6ème2)'!AU17:AW17,"A"))*4)+((COUNTIF('Elève (6ème2)'!AU17:AW17,"B"))*3)+((COUNTIF('Elève (6ème2)'!AU17:AW17,"C"))*2)+((COUNTIF('Elève (6ème2)'!AU17:AW17,"D"))*1))/(COUNTA(AU17:AW17)),"")</f>
        <v>1.5</v>
      </c>
      <c r="AY17" s="187" t="str">
        <f t="shared" si="10"/>
        <v>D</v>
      </c>
      <c r="AZ17" s="188">
        <f>IF(COUNT(AN17,AS17,AX17)=0,"",SUM(AN17,AS17,AX17)/COUNT(AN17,AS17,AX17))</f>
        <v>1.75</v>
      </c>
      <c r="BA17" s="212" t="str">
        <f t="shared" si="11"/>
        <v>C</v>
      </c>
      <c r="BB17" s="125"/>
      <c r="BC17" s="121"/>
      <c r="BD17" s="122"/>
      <c r="BE17" s="188" t="str">
        <f>IFERROR((((COUNTIF('Elève (6ème2)'!BB17:BD17,"A"))*4)+((COUNTIF('Elève (6ème2)'!BB17:BD17,"B"))*3)+((COUNTIF('Elève (6ème2)'!BB17:BD17,"C"))*2)+((COUNTIF('Elève (6ème2)'!BB17:BD17,"D"))*1))/(COUNTA(BB17:BD17)),"")</f>
        <v/>
      </c>
      <c r="BF17" s="187" t="str">
        <f t="shared" si="12"/>
        <v/>
      </c>
      <c r="BG17" s="120"/>
      <c r="BH17" s="121"/>
      <c r="BI17" s="122" t="s">
        <v>25</v>
      </c>
      <c r="BJ17" s="188">
        <f>IFERROR((((COUNTIF('Elève (6ème2)'!BG17:BI17,"A"))*4)+((COUNTIF('Elève (6ème2)'!BG17:BI17,"B"))*3)+((COUNTIF('Elève (6ème2)'!BG17:BI17,"C"))*2)+((COUNTIF('Elève (6ème2)'!BG17:BI17,"D"))*1))/(COUNTA(BG17:BI17)),"")</f>
        <v>2</v>
      </c>
      <c r="BK17" s="187" t="str">
        <f t="shared" si="13"/>
        <v>C</v>
      </c>
      <c r="BL17" s="120" t="s">
        <v>23</v>
      </c>
      <c r="BM17" s="121" t="s">
        <v>24</v>
      </c>
      <c r="BN17" s="122"/>
      <c r="BO17" s="188">
        <f>IFERROR((((COUNTIF('Elève (6ème2)'!BL17:BN17,"A"))*4)+((COUNTIF('Elève (6ème2)'!BL17:BN17,"B"))*3)+((COUNTIF('Elève (6ème2)'!BL17:BN17,"C"))*2)+((COUNTIF('Elève (6ème2)'!BL17:BN17,"D"))*1))/(COUNTA(BL17:BN17)),"")</f>
        <v>3.5</v>
      </c>
      <c r="BP17" s="187" t="str">
        <f t="shared" si="14"/>
        <v>B</v>
      </c>
      <c r="BQ17" s="188">
        <f>IF(COUNT(BE17,BJ17,BO17)=0,"",SUM(BE17,BJ17,BO17)/COUNT(BE17,BJ17,BO17))</f>
        <v>2.75</v>
      </c>
      <c r="BR17" s="212" t="str">
        <f t="shared" si="15"/>
        <v>C</v>
      </c>
      <c r="BS17" s="125"/>
      <c r="BT17" s="121"/>
      <c r="BU17" s="122"/>
      <c r="BV17" s="188" t="str">
        <f>IFERROR((((COUNTIF('Elève (6ème2)'!BS17:BU17,"A"))*4)+((COUNTIF('Elève (6ème2)'!BS17:BU17,"B"))*3)+((COUNTIF('Elève (6ème2)'!BS17:BU17,"C"))*2)+((COUNTIF('Elève (6ème2)'!BS17:BU17,"D"))*1))/(COUNTA(BS17:BU17)),"")</f>
        <v/>
      </c>
      <c r="BW17" s="187" t="str">
        <f t="shared" si="16"/>
        <v/>
      </c>
      <c r="BX17" s="120"/>
      <c r="BY17" s="121"/>
      <c r="BZ17" s="122" t="s">
        <v>24</v>
      </c>
      <c r="CA17" s="188">
        <f>IFERROR((((COUNTIF('Elève (6ème2)'!BX17:BZ17,"A"))*4)+((COUNTIF('Elève (6ème2)'!BX17:BZ17,"B"))*3)+((COUNTIF('Elève (6ème2)'!BX17:BZ17,"C"))*2)+((COUNTIF('Elève (6ème2)'!BX17:BZ17,"D"))*1))/(COUNTA(BX17:BZ17)),"")</f>
        <v>3</v>
      </c>
      <c r="CB17" s="187" t="str">
        <f t="shared" si="17"/>
        <v>B</v>
      </c>
      <c r="CC17" s="120" t="s">
        <v>25</v>
      </c>
      <c r="CD17" s="121" t="s">
        <v>24</v>
      </c>
      <c r="CE17" s="122"/>
      <c r="CF17" s="188">
        <f>IFERROR((((COUNTIF('Elève (6ème2)'!CC17:CE17,"A"))*4)+((COUNTIF('Elève (6ème2)'!CC17:CE17,"B"))*3)+((COUNTIF('Elève (6ème2)'!CC17:CE17,"C"))*2)+((COUNTIF('Elève (6ème2)'!CC17:CE17,"D"))*1))/(COUNTA(CC17:CE17)),"")</f>
        <v>2.5</v>
      </c>
      <c r="CG17" s="187" t="str">
        <f t="shared" si="18"/>
        <v>C</v>
      </c>
      <c r="CH17" s="188">
        <f>IF(COUNT(BV17,CA17,CF17)=0,"",SUM(BV17,CA17,CF17)/COUNT(BV17,CA17,CF17))</f>
        <v>2.75</v>
      </c>
      <c r="CI17" s="212" t="str">
        <f t="shared" si="19"/>
        <v>C</v>
      </c>
      <c r="CJ17" s="125"/>
      <c r="CK17" s="121"/>
      <c r="CL17" s="122"/>
      <c r="CM17" s="188" t="str">
        <f>IFERROR((((COUNTIF('Elève (6ème2)'!CJ17:CL17,"A"))*4)+((COUNTIF('Elève (6ème2)'!CJ17:CL17,"B"))*3)+((COUNTIF('Elève (6ème2)'!CJ17:CL17,"C"))*2)+((COUNTIF('Elève (6ème2)'!CJ17:CL17,"D"))*1))/(COUNTA(CJ17:CL17)),"")</f>
        <v/>
      </c>
      <c r="CN17" s="187" t="str">
        <f t="shared" si="20"/>
        <v/>
      </c>
      <c r="CO17" s="120"/>
      <c r="CP17" s="121"/>
      <c r="CQ17" s="122" t="s">
        <v>24</v>
      </c>
      <c r="CR17" s="188">
        <f>IFERROR((((COUNTIF('Elève (6ème2)'!CO17:CQ17,"A"))*4)+((COUNTIF('Elève (6ème2)'!CO17:CQ17,"B"))*3)+((COUNTIF('Elève (6ème2)'!CO17:CQ17,"C"))*2)+((COUNTIF('Elève (6ème2)'!CO17:CQ17,"D"))*1))/(COUNTA(CO17:CQ17)),"")</f>
        <v>3</v>
      </c>
      <c r="CS17" s="187" t="str">
        <f t="shared" si="21"/>
        <v>B</v>
      </c>
      <c r="CT17" s="120" t="s">
        <v>25</v>
      </c>
      <c r="CU17" s="121" t="s">
        <v>25</v>
      </c>
      <c r="CV17" s="122"/>
      <c r="CW17" s="188">
        <f>IFERROR((((COUNTIF('Elève (6ème2)'!CT17:CV17,"A"))*4)+((COUNTIF('Elève (6ème2)'!CT17:CV17,"B"))*3)+((COUNTIF('Elève (6ème2)'!CT17:CV17,"C"))*2)+((COUNTIF('Elève (6ème2)'!CT17:CV17,"D"))*1))/(COUNTA(CT17:CV17)),"")</f>
        <v>2</v>
      </c>
      <c r="CX17" s="187" t="str">
        <f t="shared" si="22"/>
        <v>C</v>
      </c>
      <c r="CY17" s="188">
        <f>IF(COUNT(CM17,CR17,CW17)=0,"",SUM(CM17,CR17,CW17)/COUNT(CM17,CR17,CW17))</f>
        <v>2.5</v>
      </c>
      <c r="CZ17" s="212" t="str">
        <f t="shared" si="23"/>
        <v>C</v>
      </c>
      <c r="DA17" s="125"/>
      <c r="DB17" s="121"/>
      <c r="DC17" s="122"/>
      <c r="DD17" s="188" t="str">
        <f>IFERROR((((COUNTIF('Elève (6ème2)'!DA17:DC17,"A"))*4)+((COUNTIF('Elève (6ème2)'!DA17:DC17,"B"))*3)+((COUNTIF('Elève (6ème2)'!DA17:DC17,"C"))*2)+((COUNTIF('Elève (6ème2)'!DA17:DC17,"D"))*1))/(COUNTA(DA17:DC17)),"")</f>
        <v/>
      </c>
      <c r="DE17" s="187" t="str">
        <f t="shared" si="24"/>
        <v/>
      </c>
      <c r="DF17" s="120"/>
      <c r="DG17" s="121"/>
      <c r="DH17" s="122" t="s">
        <v>24</v>
      </c>
      <c r="DI17" s="188">
        <f>IFERROR((((COUNTIF('Elève (6ème2)'!DF17:DH17,"A"))*4)+((COUNTIF('Elève (6ème2)'!DF17:DH17,"B"))*3)+((COUNTIF('Elève (6ème2)'!DF17:DH17,"C"))*2)+((COUNTIF('Elève (6ème2)'!DF17:DH17,"D"))*1))/(COUNTA(DF17:DH17)),"")</f>
        <v>3</v>
      </c>
      <c r="DJ17" s="187" t="str">
        <f t="shared" si="25"/>
        <v>B</v>
      </c>
      <c r="DK17" s="120" t="s">
        <v>25</v>
      </c>
      <c r="DL17" s="121" t="s">
        <v>24</v>
      </c>
      <c r="DM17" s="122"/>
      <c r="DN17" s="188">
        <f>IFERROR((((COUNTIF('Elève (6ème2)'!DK17:DM17,"A"))*4)+((COUNTIF('Elève (6ème2)'!DK17:DM17,"B"))*3)+((COUNTIF('Elève (6ème2)'!DK17:DM17,"C"))*2)+((COUNTIF('Elève (6ème2)'!DK17:DM17,"D"))*1))/(COUNTA(DK17:DM17)),"")</f>
        <v>2.5</v>
      </c>
      <c r="DO17" s="187" t="str">
        <f t="shared" si="26"/>
        <v>C</v>
      </c>
      <c r="DP17" s="188">
        <f>IF(COUNT(DD17,DI17,DN17)=0,"",SUM(DD17,DI17,DN17)/COUNT(DD17,DI17,DN17))</f>
        <v>2.75</v>
      </c>
      <c r="DQ17" s="212" t="str">
        <f t="shared" si="27"/>
        <v>C</v>
      </c>
      <c r="DR17" s="125"/>
      <c r="DS17" s="121"/>
      <c r="DT17" s="122"/>
      <c r="DU17" s="188" t="str">
        <f>IFERROR((((COUNTIF('Elève (6ème2)'!DR17:DT17,"A"))*4)+((COUNTIF('Elève (6ème2)'!DR17:DT17,"B"))*3)+((COUNTIF('Elève (6ème2)'!DR17:DT17,"C"))*2)+((COUNTIF('Elève (6ème2)'!DR17:DT17,"D"))*1))/(COUNTA(DR17:DT17)),"")</f>
        <v/>
      </c>
      <c r="DV17" s="187" t="str">
        <f t="shared" si="28"/>
        <v/>
      </c>
      <c r="DW17" s="120"/>
      <c r="DX17" s="121"/>
      <c r="DY17" s="122" t="s">
        <v>25</v>
      </c>
      <c r="DZ17" s="188">
        <f>IFERROR((((COUNTIF('Elève (6ème2)'!DW17:DY17,"A"))*4)+((COUNTIF('Elève (6ème2)'!DW17:DY17,"B"))*3)+((COUNTIF('Elève (6ème2)'!DW17:DY17,"C"))*2)+((COUNTIF('Elève (6ème2)'!DW17:DY17,"D"))*1))/(COUNTA(DW17:DY17)),"")</f>
        <v>2</v>
      </c>
      <c r="EA17" s="187" t="str">
        <f t="shared" si="29"/>
        <v>C</v>
      </c>
      <c r="EB17" s="120" t="s">
        <v>24</v>
      </c>
      <c r="EC17" s="121"/>
      <c r="ED17" s="122"/>
      <c r="EE17" s="188">
        <f>IFERROR((((COUNTIF('Elève (6ème2)'!EB17:ED17,"A"))*4)+((COUNTIF('Elève (6ème2)'!EB17:ED17,"B"))*3)+((COUNTIF('Elève (6ème2)'!EB17:ED17,"C"))*2)+((COUNTIF('Elève (6ème2)'!EB17:ED17,"D"))*1))/(COUNTA(EB17:ED17)),"")</f>
        <v>3</v>
      </c>
      <c r="EF17" s="187" t="str">
        <f t="shared" si="30"/>
        <v>B</v>
      </c>
      <c r="EG17" s="188">
        <f>IF(COUNT(DU17,DZ17,EE17)=0,"",SUM(DU17,DZ17,EE17)/COUNT(DU17,DZ17,EE17))</f>
        <v>2.5</v>
      </c>
      <c r="EH17" s="212" t="str">
        <f t="shared" si="31"/>
        <v>C</v>
      </c>
      <c r="EI17" s="125"/>
      <c r="EJ17" s="121"/>
      <c r="EK17" s="122"/>
      <c r="EL17" s="188" t="str">
        <f>IFERROR((((COUNTIF('Elève (6ème2)'!EI17:EK17,"A"))*4)+((COUNTIF('Elève (6ème2)'!EI17:EK17,"B"))*3)+((COUNTIF('Elève (6ème2)'!EI17:EK17,"C"))*2)+((COUNTIF('Elève (6ème2)'!EI17:EK17,"D"))*1))/(COUNTA(EI17:EK17)),"")</f>
        <v/>
      </c>
      <c r="EM17" s="187" t="str">
        <f t="shared" si="32"/>
        <v/>
      </c>
      <c r="EN17" s="120"/>
      <c r="EO17" s="121"/>
      <c r="EP17" s="122" t="s">
        <v>25</v>
      </c>
      <c r="EQ17" s="188">
        <f>IFERROR((((COUNTIF('Elève (6ème2)'!EN17:EP17,"A"))*4)+((COUNTIF('Elève (6ème2)'!EN17:EP17,"B"))*3)+((COUNTIF('Elève (6ème2)'!EN17:EP17,"C"))*2)+((COUNTIF('Elève (6ème2)'!EN17:EP17,"D"))*1))/(COUNTA(EN17:EP17)),"")</f>
        <v>2</v>
      </c>
      <c r="ER17" s="187" t="str">
        <f t="shared" si="33"/>
        <v>C</v>
      </c>
      <c r="ES17" s="120" t="s">
        <v>24</v>
      </c>
      <c r="ET17" s="121" t="s">
        <v>24</v>
      </c>
      <c r="EU17" s="122"/>
      <c r="EV17" s="188">
        <f>IFERROR((((COUNTIF('Elève (6ème2)'!ES17:EU17,"A"))*4)+((COUNTIF('Elève (6ème2)'!ES17:EU17,"B"))*3)+((COUNTIF('Elève (6ème2)'!ES17:EU17,"C"))*2)+((COUNTIF('Elève (6ème2)'!ES17:EU17,"D"))*1))/(COUNTA(ES17:EU17)),"")</f>
        <v>3</v>
      </c>
      <c r="EW17" s="187" t="str">
        <f t="shared" si="34"/>
        <v>B</v>
      </c>
      <c r="EX17" s="188">
        <f>IF(COUNT(EL17,EQ17,EV17)=0,"",SUM(EL17,EQ17,EV17)/COUNT(EL17,EQ17,EV17))</f>
        <v>2.5</v>
      </c>
      <c r="EY17" s="212" t="str">
        <f t="shared" si="35"/>
        <v>C</v>
      </c>
      <c r="EZ17" s="125"/>
      <c r="FA17" s="121"/>
      <c r="FB17" s="122"/>
      <c r="FC17" s="188" t="str">
        <f>IFERROR((((COUNTIF('Elève (6ème2)'!EZ17:FB17,"A"))*4)+((COUNTIF('Elève (6ème2)'!EZ17:FB17,"B"))*3)+((COUNTIF('Elève (6ème2)'!EZ17:FB17,"C"))*2)+((COUNTIF('Elève (6ème2)'!EZ17:FB17,"D"))*1))/(COUNTA(EZ17:FB17)),"")</f>
        <v/>
      </c>
      <c r="FD17" s="187" t="str">
        <f t="shared" si="36"/>
        <v/>
      </c>
      <c r="FE17" s="120"/>
      <c r="FF17" s="121"/>
      <c r="FG17" s="122" t="s">
        <v>25</v>
      </c>
      <c r="FH17" s="188">
        <f>IFERROR((((COUNTIF('Elève (6ème2)'!FE17:FG17,"A"))*4)+((COUNTIF('Elève (6ème2)'!FE17:FG17,"B"))*3)+((COUNTIF('Elève (6ème2)'!FE17:FG17,"C"))*2)+((COUNTIF('Elève (6ème2)'!FE17:FG17,"D"))*1))/(COUNTA(FE17:FG17)),"")</f>
        <v>2</v>
      </c>
      <c r="FI17" s="187" t="str">
        <f t="shared" si="37"/>
        <v>C</v>
      </c>
      <c r="FJ17" s="120" t="s">
        <v>24</v>
      </c>
      <c r="FK17" s="121" t="s">
        <v>25</v>
      </c>
      <c r="FL17" s="122"/>
      <c r="FM17" s="188">
        <f>IFERROR((((COUNTIF('Elève (6ème2)'!FJ17:FL17,"A"))*4)+((COUNTIF('Elève (6ème2)'!FJ17:FL17,"B"))*3)+((COUNTIF('Elève (6ème2)'!FJ17:FL17,"C"))*2)+((COUNTIF('Elève (6ème2)'!FJ17:FL17,"D"))*1))/(COUNTA(FJ17:FL17)),"")</f>
        <v>2.5</v>
      </c>
      <c r="FN17" s="187" t="str">
        <f t="shared" si="38"/>
        <v>C</v>
      </c>
      <c r="FO17" s="188">
        <f>IF(COUNT(FC17,FH17,FM17)=0,"",SUM(FC17,FH17,FM17)/COUNT(FC17,FH17,FM17))</f>
        <v>2.25</v>
      </c>
      <c r="FP17" s="212" t="str">
        <f t="shared" si="39"/>
        <v>C</v>
      </c>
      <c r="FQ17" s="125"/>
      <c r="FR17" s="121"/>
      <c r="FS17" s="122"/>
      <c r="FT17" s="188" t="str">
        <f>IFERROR((((COUNTIF('Elève (6ème2)'!FQ17:FS17,"A"))*4)+((COUNTIF('Elève (6ème2)'!FQ17:FS17,"B"))*3)+((COUNTIF('Elève (6ème2)'!FQ17:FS17,"C"))*2)+((COUNTIF('Elève (6ème2)'!FQ17:FS17,"D"))*1))/(COUNTA(FQ17:FS17)),"")</f>
        <v/>
      </c>
      <c r="FU17" s="187" t="str">
        <f t="shared" si="40"/>
        <v/>
      </c>
      <c r="FV17" s="120"/>
      <c r="FW17" s="121"/>
      <c r="FX17" s="122" t="s">
        <v>24</v>
      </c>
      <c r="FY17" s="188">
        <f>IFERROR((((COUNTIF('Elève (6ème2)'!FV17:FX17,"A"))*4)+((COUNTIF('Elève (6ème2)'!FV17:FX17,"B"))*3)+((COUNTIF('Elève (6ème2)'!FV17:FX17,"C"))*2)+((COUNTIF('Elève (6ème2)'!FV17:FX17,"D"))*1))/(COUNTA(FV17:FX17)),"")</f>
        <v>3</v>
      </c>
      <c r="FZ17" s="187" t="str">
        <f t="shared" si="41"/>
        <v>B</v>
      </c>
      <c r="GA17" s="120" t="s">
        <v>25</v>
      </c>
      <c r="GB17" s="121" t="s">
        <v>25</v>
      </c>
      <c r="GC17" s="122"/>
      <c r="GD17" s="188">
        <f>IFERROR((((COUNTIF('Elève (6ème2)'!GA17:GC17,"A"))*4)+((COUNTIF('Elève (6ème2)'!GA17:GC17,"B"))*3)+((COUNTIF('Elève (6ème2)'!GA17:GC17,"C"))*2)+((COUNTIF('Elève (6ème2)'!GA17:GC17,"D"))*1))/(COUNTA(GA17:GC17)),"")</f>
        <v>2</v>
      </c>
      <c r="GE17" s="187" t="str">
        <f t="shared" si="42"/>
        <v>C</v>
      </c>
      <c r="GF17" s="188">
        <f>IF(COUNT(FT17,FY17,GD17)=0,"",SUM(FT17,FY17,GD17)/COUNT(FT17,FY17,GD17))</f>
        <v>2.5</v>
      </c>
      <c r="GG17" s="212" t="str">
        <f t="shared" si="43"/>
        <v>C</v>
      </c>
      <c r="GH17" s="125"/>
      <c r="GI17" s="121"/>
      <c r="GJ17" s="122"/>
      <c r="GK17" s="188" t="str">
        <f>IFERROR((((COUNTIF('Elève (6ème2)'!GH17:GJ17,"A"))*4)+((COUNTIF('Elève (6ème2)'!GH17:GJ17,"B"))*3)+((COUNTIF('Elève (6ème2)'!GH17:GJ17,"C"))*2)+((COUNTIF('Elève (6ème2)'!GH17:GJ17,"D"))*1))/(COUNTA(GH17:GJ17)),"")</f>
        <v/>
      </c>
      <c r="GL17" s="187" t="str">
        <f t="shared" si="44"/>
        <v/>
      </c>
      <c r="GM17" s="120"/>
      <c r="GN17" s="121"/>
      <c r="GO17" s="122" t="s">
        <v>25</v>
      </c>
      <c r="GP17" s="188">
        <f>IFERROR((((COUNTIF('Elève (6ème2)'!GM17:GO17,"A"))*4)+((COUNTIF('Elève (6ème2)'!GM17:GO17,"B"))*3)+((COUNTIF('Elève (6ème2)'!GM17:GO17,"C"))*2)+((COUNTIF('Elève (6ème2)'!GM17:GO17,"D"))*1))/(COUNTA(GM17:GO17)),"")</f>
        <v>2</v>
      </c>
      <c r="GQ17" s="187" t="str">
        <f t="shared" si="45"/>
        <v>C</v>
      </c>
      <c r="GR17" s="120" t="s">
        <v>25</v>
      </c>
      <c r="GS17" s="121" t="s">
        <v>25</v>
      </c>
      <c r="GT17" s="122"/>
      <c r="GU17" s="188">
        <f>IFERROR((((COUNTIF('Elève (6ème2)'!GR17:GT17,"A"))*4)+((COUNTIF('Elève (6ème2)'!GR17:GT17,"B"))*3)+((COUNTIF('Elève (6ème2)'!GR17:GT17,"C"))*2)+((COUNTIF('Elève (6ème2)'!GR17:GT17,"D"))*1))/(COUNTA(GR17:GT17)),"")</f>
        <v>2</v>
      </c>
      <c r="GV17" s="187" t="str">
        <f t="shared" si="46"/>
        <v>C</v>
      </c>
      <c r="GW17" s="188">
        <f>IF(COUNT(GK17,GP17,GU17)=0,"",SUM(GK17,GP17,GU17)/COUNT(GK17,GP17,GU17))</f>
        <v>2</v>
      </c>
      <c r="GX17" s="212" t="str">
        <f t="shared" si="47"/>
        <v>C</v>
      </c>
      <c r="GY17" s="125"/>
      <c r="GZ17" s="121"/>
      <c r="HA17" s="122"/>
      <c r="HB17" s="188" t="str">
        <f>IFERROR((((COUNTIF('Elève (6ème2)'!GY17:HA17,"A"))*4)+((COUNTIF('Elève (6ème2)'!GY17:HA17,"B"))*3)+((COUNTIF('Elève (6ème2)'!GY17:HA17,"C"))*2)+((COUNTIF('Elève (6ème2)'!GY17:HA17,"D"))*1))/(COUNTA(GY17:HA17)),"")</f>
        <v/>
      </c>
      <c r="HC17" s="187" t="str">
        <f t="shared" si="48"/>
        <v/>
      </c>
      <c r="HD17" s="120"/>
      <c r="HE17" s="121"/>
      <c r="HF17" s="122" t="s">
        <v>24</v>
      </c>
      <c r="HG17" s="188">
        <f>IFERROR((((COUNTIF('Elève (6ème2)'!HD17:HF17,"A"))*4)+((COUNTIF('Elève (6ème2)'!HD17:HF17,"B"))*3)+((COUNTIF('Elève (6ème2)'!HD17:HF17,"C"))*2)+((COUNTIF('Elève (6ème2)'!HD17:HF17,"D"))*1))/(COUNTA(HD17:HF17)),"")</f>
        <v>3</v>
      </c>
      <c r="HH17" s="187" t="str">
        <f t="shared" si="49"/>
        <v>B</v>
      </c>
      <c r="HI17" s="120" t="s">
        <v>24</v>
      </c>
      <c r="HJ17" s="121" t="s">
        <v>24</v>
      </c>
      <c r="HK17" s="122"/>
      <c r="HL17" s="188">
        <f>IFERROR((((COUNTIF('Elève (6ème2)'!HI17:HK17,"A"))*4)+((COUNTIF('Elève (6ème2)'!HI17:HK17,"B"))*3)+((COUNTIF('Elève (6ème2)'!HI17:HK17,"C"))*2)+((COUNTIF('Elève (6ème2)'!HI17:HK17,"D"))*1))/(COUNTA(HI17:HK17)),"")</f>
        <v>3</v>
      </c>
      <c r="HM17" s="187" t="str">
        <f t="shared" si="50"/>
        <v>B</v>
      </c>
      <c r="HN17" s="188">
        <f>IF(COUNT(HB17,HG17,HL17)=0,"",SUM(HB17,HG17,HL17)/COUNT(HB17,HG17,HL17))</f>
        <v>3</v>
      </c>
      <c r="HO17" s="212" t="str">
        <f t="shared" si="51"/>
        <v>B</v>
      </c>
      <c r="HP17" s="125"/>
      <c r="HQ17" s="121"/>
      <c r="HR17" s="122"/>
      <c r="HS17" s="188" t="str">
        <f>IFERROR((((COUNTIF('Elève (6ème2)'!HP17:HR17,"A"))*4)+((COUNTIF('Elève (6ème2)'!HP17:HR17,"B"))*3)+((COUNTIF('Elève (6ème2)'!HP17:HR17,"C"))*2)+((COUNTIF('Elève (6ème2)'!HP17:HR17,"D"))*1))/(COUNTA(HP17:HR17)),"")</f>
        <v/>
      </c>
      <c r="HT17" s="187" t="str">
        <f t="shared" si="52"/>
        <v/>
      </c>
      <c r="HU17" s="120"/>
      <c r="HV17" s="121"/>
      <c r="HW17" s="122" t="s">
        <v>24</v>
      </c>
      <c r="HX17" s="188">
        <f>IFERROR((((COUNTIF('Elève (6ème2)'!HU17:HW17,"A"))*4)+((COUNTIF('Elève (6ème2)'!HU17:HW17,"B"))*3)+((COUNTIF('Elève (6ème2)'!HU17:HW17,"C"))*2)+((COUNTIF('Elève (6ème2)'!HU17:HW17,"D"))*1))/(COUNTA(HU17:HW17)),"")</f>
        <v>3</v>
      </c>
      <c r="HY17" s="187" t="str">
        <f t="shared" si="53"/>
        <v>B</v>
      </c>
      <c r="HZ17" s="120" t="s">
        <v>24</v>
      </c>
      <c r="IA17" s="121" t="s">
        <v>24</v>
      </c>
      <c r="IB17" s="122"/>
      <c r="IC17" s="188">
        <f>IFERROR((((COUNTIF('Elève (6ème2)'!HZ17:IB17,"A"))*4)+((COUNTIF('Elève (6ème2)'!HZ17:IB17,"B"))*3)+((COUNTIF('Elève (6ème2)'!HZ17:IB17,"C"))*2)+((COUNTIF('Elève (6ème2)'!HZ17:IB17,"D"))*1))/(COUNTA(HZ17:IB17)),"")</f>
        <v>3</v>
      </c>
      <c r="ID17" s="187" t="str">
        <f t="shared" si="54"/>
        <v>B</v>
      </c>
      <c r="IE17" s="188">
        <f>IF(COUNT(HS17,HX17,IC17)=0,"",SUM(HS17,HX17,IC17)/COUNT(HS17,HX17,IC17))</f>
        <v>3</v>
      </c>
      <c r="IF17" s="212" t="str">
        <f t="shared" si="55"/>
        <v>B</v>
      </c>
      <c r="IG17" s="125"/>
      <c r="IH17" s="121"/>
      <c r="II17" s="122"/>
      <c r="IJ17" s="188" t="str">
        <f>IFERROR((((COUNTIF('Elève (6ème2)'!IG17:II17,"A"))*4)+((COUNTIF('Elève (6ème2)'!IG17:II17,"B"))*3)+((COUNTIF('Elève (6ème2)'!IG17:II17,"C"))*2)+((COUNTIF('Elève (6ème2)'!IG17:II17,"D"))*1))/(COUNTA(IG17:II17)),"")</f>
        <v/>
      </c>
      <c r="IK17" s="187" t="str">
        <f t="shared" si="56"/>
        <v/>
      </c>
      <c r="IL17" s="120"/>
      <c r="IM17" s="121"/>
      <c r="IN17" s="122" t="s">
        <v>24</v>
      </c>
      <c r="IO17" s="188">
        <f>IFERROR((((COUNTIF('Elève (6ème2)'!IL17:IN17,"A"))*4)+((COUNTIF('Elève (6ème2)'!IL17:IN17,"B"))*3)+((COUNTIF('Elève (6ème2)'!IL17:IN17,"C"))*2)+((COUNTIF('Elève (6ème2)'!IL17:IN17,"D"))*1))/(COUNTA(IL17:IN17)),"")</f>
        <v>3</v>
      </c>
      <c r="IP17" s="187" t="str">
        <f t="shared" si="57"/>
        <v>B</v>
      </c>
      <c r="IQ17" s="120" t="s">
        <v>25</v>
      </c>
      <c r="IR17" s="121" t="s">
        <v>24</v>
      </c>
      <c r="IS17" s="122"/>
      <c r="IT17" s="188">
        <f>IFERROR((((COUNTIF('Elève (6ème2)'!IQ17:IS17,"A"))*4)+((COUNTIF('Elève (6ème2)'!IQ17:IS17,"B"))*3)+((COUNTIF('Elève (6ème2)'!IQ17:IS17,"C"))*2)+((COUNTIF('Elève (6ème2)'!IQ17:IS17,"D"))*1))/(COUNTA(IQ17:IS17)),"")</f>
        <v>2.5</v>
      </c>
      <c r="IU17" s="187" t="str">
        <f t="shared" si="58"/>
        <v>C</v>
      </c>
      <c r="IV17" s="188">
        <f>IF(COUNT(IJ17,IO17,IT17)=0,"",SUM(IJ17,IO17,IT17)/COUNT(IJ17,IO17,IT17))</f>
        <v>2.75</v>
      </c>
      <c r="IW17" s="212" t="str">
        <f t="shared" si="59"/>
        <v>C</v>
      </c>
      <c r="IX17" s="125"/>
      <c r="IY17" s="121"/>
      <c r="IZ17" s="122"/>
      <c r="JA17" s="188" t="str">
        <f>IFERROR((((COUNTIF('Elève (6ème2)'!IX17:IZ17,"A"))*4)+((COUNTIF('Elève (6ème2)'!IX17:IZ17,"B"))*3)+((COUNTIF('Elève (6ème2)'!IX17:IZ17,"C"))*2)+((COUNTIF('Elève (6ème2)'!IX17:IZ17,"D"))*1))/(COUNTA(IX17:IZ17)),"")</f>
        <v/>
      </c>
      <c r="JB17" s="187" t="str">
        <f t="shared" si="60"/>
        <v/>
      </c>
      <c r="JC17" s="120"/>
      <c r="JD17" s="121"/>
      <c r="JE17" s="122" t="s">
        <v>25</v>
      </c>
      <c r="JF17" s="188">
        <f>IFERROR((((COUNTIF('Elève (6ème2)'!JC17:JE17,"A"))*4)+((COUNTIF('Elève (6ème2)'!JC17:JE17,"B"))*3)+((COUNTIF('Elève (6ème2)'!JC17:JE17,"C"))*2)+((COUNTIF('Elève (6ème2)'!JC17:JE17,"D"))*1))/(COUNTA(JC17:JE17)),"")</f>
        <v>2</v>
      </c>
      <c r="JG17" s="187" t="str">
        <f t="shared" si="61"/>
        <v>C</v>
      </c>
      <c r="JH17" s="120" t="s">
        <v>24</v>
      </c>
      <c r="JI17" s="121" t="s">
        <v>24</v>
      </c>
      <c r="JJ17" s="122"/>
      <c r="JK17" s="188">
        <f>IFERROR((((COUNTIF('Elève (6ème2)'!JH17:JJ17,"A"))*4)+((COUNTIF('Elève (6ème2)'!JH17:JJ17,"B"))*3)+((COUNTIF('Elève (6ème2)'!JH17:JJ17,"C"))*2)+((COUNTIF('Elève (6ème2)'!JH17:JJ17,"D"))*1))/(COUNTA(JH17:JJ17)),"")</f>
        <v>3</v>
      </c>
      <c r="JL17" s="187" t="str">
        <f t="shared" si="62"/>
        <v>B</v>
      </c>
      <c r="JM17" s="188">
        <f>IF(COUNT(JA17,JF17,JK17)=0,"",SUM(JA17,JF17,JK17)/COUNT(JA17,JF17,JK17))</f>
        <v>2.5</v>
      </c>
      <c r="JN17" s="212" t="str">
        <f t="shared" si="63"/>
        <v>C</v>
      </c>
      <c r="JO17" s="125"/>
      <c r="JP17" s="121"/>
      <c r="JQ17" s="122"/>
      <c r="JR17" s="188" t="str">
        <f>IFERROR((((COUNTIF('Elève (6ème2)'!JO17:JQ17,"A"))*4)+((COUNTIF('Elève (6ème2)'!JO17:JQ17,"B"))*3)+((COUNTIF('Elève (6ème2)'!JO17:JQ17,"C"))*2)+((COUNTIF('Elève (6ème2)'!JO17:JQ17,"D"))*1))/(COUNTA(JO17:JQ17)),"")</f>
        <v/>
      </c>
      <c r="JS17" s="187" t="str">
        <f t="shared" si="64"/>
        <v/>
      </c>
      <c r="JT17" s="120"/>
      <c r="JU17" s="121"/>
      <c r="JV17" s="122" t="s">
        <v>25</v>
      </c>
      <c r="JW17" s="188">
        <f>IFERROR((((COUNTIF('Elève (6ème2)'!JT17:JV17,"A"))*4)+((COUNTIF('Elève (6ème2)'!JT17:JV17,"B"))*3)+((COUNTIF('Elève (6ème2)'!JT17:JV17,"C"))*2)+((COUNTIF('Elève (6ème2)'!JT17:JV17,"D"))*1))/(COUNTA(JT17:JV17)),"")</f>
        <v>2</v>
      </c>
      <c r="JX17" s="187" t="str">
        <f t="shared" si="65"/>
        <v>C</v>
      </c>
      <c r="JY17" s="120" t="s">
        <v>25</v>
      </c>
      <c r="JZ17" s="121" t="s">
        <v>26</v>
      </c>
      <c r="KA17" s="122"/>
      <c r="KB17" s="188">
        <f>IFERROR((((COUNTIF('Elève (6ème2)'!JY17:KA17,"A"))*4)+((COUNTIF('Elève (6ème2)'!JY17:KA17,"B"))*3)+((COUNTIF('Elève (6ème2)'!JY17:KA17,"C"))*2)+((COUNTIF('Elève (6ème2)'!JY17:KA17,"D"))*1))/(COUNTA(JY17:KA17)),"")</f>
        <v>1.5</v>
      </c>
      <c r="KC17" s="187" t="str">
        <f t="shared" si="66"/>
        <v>D</v>
      </c>
      <c r="KD17" s="188">
        <f>IF(COUNT(JR17,JW17,KB17)=0,"",SUM(JR17,JW17,KB17)/COUNT(JR17,JW17,KB17))</f>
        <v>1.75</v>
      </c>
      <c r="KE17" s="212" t="str">
        <f t="shared" si="67"/>
        <v>C</v>
      </c>
      <c r="KF17" s="125"/>
      <c r="KG17" s="121"/>
      <c r="KH17" s="122"/>
      <c r="KI17" s="188" t="str">
        <f>IFERROR((((COUNTIF('Elève (6ème2)'!KF17:KH17,"A"))*4)+((COUNTIF('Elève (6ème2)'!KF17:KH17,"B"))*3)+((COUNTIF('Elève (6ème2)'!KF17:KH17,"C"))*2)+((COUNTIF('Elève (6ème2)'!KF17:KH17,"D"))*1))/(COUNTA(KF17:KH17)),"")</f>
        <v/>
      </c>
      <c r="KJ17" s="187" t="str">
        <f t="shared" si="68"/>
        <v/>
      </c>
      <c r="KK17" s="120"/>
      <c r="KL17" s="121"/>
      <c r="KM17" s="122" t="s">
        <v>24</v>
      </c>
      <c r="KN17" s="188">
        <f>IFERROR((((COUNTIF('Elève (6ème2)'!KK17:KM17,"A"))*4)+((COUNTIF('Elève (6ème2)'!KK17:KM17,"B"))*3)+((COUNTIF('Elève (6ème2)'!KK17:KM17,"C"))*2)+((COUNTIF('Elève (6ème2)'!KK17:KM17,"D"))*1))/(COUNTA(KK17:KM17)),"")</f>
        <v>3</v>
      </c>
      <c r="KO17" s="187" t="str">
        <f t="shared" si="69"/>
        <v>B</v>
      </c>
      <c r="KP17" s="120" t="s">
        <v>25</v>
      </c>
      <c r="KQ17" s="121" t="s">
        <v>24</v>
      </c>
      <c r="KR17" s="122"/>
      <c r="KS17" s="188">
        <f>IFERROR((((COUNTIF('Elève (6ème2)'!KP17:KR17,"A"))*4)+((COUNTIF('Elève (6ème2)'!KP17:KR17,"B"))*3)+((COUNTIF('Elève (6ème2)'!KP17:KR17,"C"))*2)+((COUNTIF('Elève (6ème2)'!KP17:KR17,"D"))*1))/(COUNTA(KP17:KR17)),"")</f>
        <v>2.5</v>
      </c>
      <c r="KT17" s="187" t="str">
        <f t="shared" si="70"/>
        <v>C</v>
      </c>
      <c r="KU17" s="188">
        <f>IF(COUNT(KI17,KN17,KS17)=0,"",SUM(KI17,KN17,KS17)/COUNT(KI17,KN17,KS17))</f>
        <v>2.75</v>
      </c>
      <c r="KV17" s="212" t="str">
        <f t="shared" si="71"/>
        <v>C</v>
      </c>
      <c r="KW17" s="125"/>
      <c r="KX17" s="121"/>
      <c r="KY17" s="122"/>
      <c r="KZ17" s="188" t="str">
        <f>IFERROR((((COUNTIF('Elève (6ème2)'!KW17:KY17,"A"))*4)+((COUNTIF('Elève (6ème2)'!KW17:KY17,"B"))*3)+((COUNTIF('Elève (6ème2)'!KW17:KY17,"C"))*2)+((COUNTIF('Elève (6ème2)'!KW17:KY17,"D"))*1))/(COUNTA(KW17:KY17)),"")</f>
        <v/>
      </c>
      <c r="LA17" s="187" t="str">
        <f t="shared" si="72"/>
        <v/>
      </c>
      <c r="LB17" s="120"/>
      <c r="LC17" s="121"/>
      <c r="LD17" s="122" t="s">
        <v>25</v>
      </c>
      <c r="LE17" s="188">
        <f>IFERROR((((COUNTIF('Elève (6ème2)'!LB17:LD17,"A"))*4)+((COUNTIF('Elève (6ème2)'!LB17:LD17,"B"))*3)+((COUNTIF('Elève (6ème2)'!LB17:LD17,"C"))*2)+((COUNTIF('Elève (6ème2)'!LB17:LD17,"D"))*1))/(COUNTA(LB17:LD17)),"")</f>
        <v>2</v>
      </c>
      <c r="LF17" s="187" t="str">
        <f t="shared" si="73"/>
        <v>C</v>
      </c>
      <c r="LG17" s="120" t="s">
        <v>24</v>
      </c>
      <c r="LH17" s="121" t="s">
        <v>24</v>
      </c>
      <c r="LI17" s="122"/>
      <c r="LJ17" s="188">
        <f>IFERROR((((COUNTIF('Elève (6ème2)'!LG17:LI17,"A"))*4)+((COUNTIF('Elève (6ème2)'!LG17:LI17,"B"))*3)+((COUNTIF('Elève (6ème2)'!LG17:LI17,"C"))*2)+((COUNTIF('Elève (6ème2)'!LG17:LI17,"D"))*1))/(COUNTA(LG17:LI17)),"")</f>
        <v>3</v>
      </c>
      <c r="LK17" s="187" t="str">
        <f t="shared" si="74"/>
        <v>B</v>
      </c>
      <c r="LL17" s="188">
        <f>IF(COUNT(KZ17,LE17,LJ17)=0,"",SUM(KZ17,LE17,LJ17)/COUNT(KZ17,LE17,LJ17))</f>
        <v>2.5</v>
      </c>
      <c r="LM17" s="212" t="str">
        <f t="shared" si="75"/>
        <v>C</v>
      </c>
      <c r="LN17" s="125"/>
      <c r="LO17" s="121"/>
      <c r="LP17" s="122"/>
      <c r="LQ17" s="188" t="str">
        <f>IFERROR((((COUNTIF('Elève (6ème2)'!LN17:LP17,"A"))*4)+((COUNTIF('Elève (6ème2)'!LN17:LP17,"B"))*3)+((COUNTIF('Elève (6ème2)'!LN17:LP17,"C"))*2)+((COUNTIF('Elève (6ème2)'!LN17:LP17,"D"))*1))/(COUNTA(LN17:LP17)),"")</f>
        <v/>
      </c>
      <c r="LR17" s="187" t="str">
        <f t="shared" si="76"/>
        <v/>
      </c>
      <c r="LS17" s="120"/>
      <c r="LT17" s="121"/>
      <c r="LU17" s="122"/>
      <c r="LV17" s="188" t="str">
        <f>IFERROR((((COUNTIF('Elève (6ème2)'!LS17:LU17,"A"))*4)+((COUNTIF('Elève (6ème2)'!LS17:LU17,"B"))*3)+((COUNTIF('Elève (6ème2)'!LS17:LU17,"C"))*2)+((COUNTIF('Elève (6ème2)'!LS17:LU17,"D"))*1))/(COUNTA(LS17:LU17)),"")</f>
        <v/>
      </c>
      <c r="LW17" s="187" t="str">
        <f t="shared" si="77"/>
        <v/>
      </c>
      <c r="LX17" s="120" t="s">
        <v>24</v>
      </c>
      <c r="LY17" s="121" t="s">
        <v>24</v>
      </c>
      <c r="LZ17" s="122"/>
      <c r="MA17" s="188">
        <f>IFERROR((((COUNTIF('Elève (6ème2)'!LX17:LZ17,"A"))*4)+((COUNTIF('Elève (6ème2)'!LX17:LZ17,"B"))*3)+((COUNTIF('Elève (6ème2)'!LX17:LZ17,"C"))*2)+((COUNTIF('Elève (6ème2)'!LX17:LZ17,"D"))*1))/(COUNTA(LX17:LZ17)),"")</f>
        <v>3</v>
      </c>
      <c r="MB17" s="187" t="str">
        <f t="shared" si="78"/>
        <v>B</v>
      </c>
      <c r="MC17" s="188">
        <f>IF(COUNT(LQ17,LV17,MA17)=0,"",SUM(LQ17,LV17,MA17)/COUNT(LQ17,LV17,MA17))</f>
        <v>3</v>
      </c>
      <c r="MD17" s="212" t="str">
        <f t="shared" si="79"/>
        <v>B</v>
      </c>
      <c r="ME17" s="125"/>
      <c r="MF17" s="121"/>
      <c r="MG17" s="122"/>
      <c r="MH17" s="188" t="str">
        <f>IFERROR((((COUNTIF('Elève (6ème2)'!ME17:MG17,"A"))*4)+((COUNTIF('Elève (6ème2)'!ME17:MG17,"B"))*3)+((COUNTIF('Elève (6ème2)'!ME17:MG17,"C"))*2)+((COUNTIF('Elève (6ème2)'!ME17:MG17,"D"))*1))/(COUNTA(ME17:MG17)),"")</f>
        <v/>
      </c>
      <c r="MI17" s="187" t="str">
        <f t="shared" si="80"/>
        <v/>
      </c>
      <c r="MJ17" s="120"/>
      <c r="MK17" s="121"/>
      <c r="ML17" s="122" t="s">
        <v>24</v>
      </c>
      <c r="MM17" s="188">
        <f>IFERROR((((COUNTIF('Elève (6ème2)'!MJ17:ML17,"A"))*4)+((COUNTIF('Elève (6ème2)'!MJ17:ML17,"B"))*3)+((COUNTIF('Elève (6ème2)'!MJ17:ML17,"C"))*2)+((COUNTIF('Elève (6ème2)'!MJ17:ML17,"D"))*1))/(COUNTA(MJ17:ML17)),"")</f>
        <v>3</v>
      </c>
      <c r="MN17" s="187" t="str">
        <f t="shared" si="81"/>
        <v>B</v>
      </c>
      <c r="MO17" s="120" t="s">
        <v>24</v>
      </c>
      <c r="MP17" s="121" t="s">
        <v>24</v>
      </c>
      <c r="MQ17" s="122"/>
      <c r="MR17" s="188">
        <f>IFERROR((((COUNTIF('Elève (6ème2)'!MO17:MQ17,"A"))*4)+((COUNTIF('Elève (6ème2)'!MO17:MQ17,"B"))*3)+((COUNTIF('Elève (6ème2)'!MO17:MQ17,"C"))*2)+((COUNTIF('Elève (6ème2)'!MO17:MQ17,"D"))*1))/(COUNTA(MO17:MQ17)),"")</f>
        <v>3</v>
      </c>
      <c r="MS17" s="187" t="str">
        <f t="shared" si="82"/>
        <v>B</v>
      </c>
      <c r="MT17" s="188">
        <f>IF(COUNT(MH17,MM17,MR17)=0,"",SUM(MH17,MM17,MR17)/COUNT(MH17,MM17,MR17))</f>
        <v>3</v>
      </c>
      <c r="MU17" s="212" t="str">
        <f t="shared" si="83"/>
        <v>B</v>
      </c>
      <c r="MV17" s="125"/>
      <c r="MW17" s="121"/>
      <c r="MX17" s="122"/>
      <c r="MY17" s="188" t="str">
        <f>IFERROR((((COUNTIF('Elève (6ème2)'!MV17:MX17,"A"))*4)+((COUNTIF('Elève (6ème2)'!MV17:MX17,"B"))*3)+((COUNTIF('Elève (6ème2)'!MV17:MX17,"C"))*2)+((COUNTIF('Elève (6ème2)'!MV17:MX17,"D"))*1))/(COUNTA(MV17:MX17)),"")</f>
        <v/>
      </c>
      <c r="MZ17" s="187" t="str">
        <f t="shared" si="84"/>
        <v/>
      </c>
      <c r="NA17" s="120"/>
      <c r="NB17" s="121"/>
      <c r="NC17" s="122" t="s">
        <v>25</v>
      </c>
      <c r="ND17" s="188">
        <f>IFERROR((((COUNTIF('Elève (6ème2)'!NA17:NC17,"A"))*4)+((COUNTIF('Elève (6ème2)'!NA17:NC17,"B"))*3)+((COUNTIF('Elève (6ème2)'!NA17:NC17,"C"))*2)+((COUNTIF('Elève (6ème2)'!NA17:NC17,"D"))*1))/(COUNTA(NA17:NC17)),"")</f>
        <v>2</v>
      </c>
      <c r="NE17" s="187" t="str">
        <f t="shared" si="85"/>
        <v>C</v>
      </c>
      <c r="NF17" s="120" t="s">
        <v>24</v>
      </c>
      <c r="NG17" s="121" t="s">
        <v>26</v>
      </c>
      <c r="NH17" s="122"/>
      <c r="NI17" s="188">
        <f>IFERROR((((COUNTIF('Elève (6ème2)'!NF17:NH17,"A"))*4)+((COUNTIF('Elève (6ème2)'!NF17:NH17,"B"))*3)+((COUNTIF('Elève (6ème2)'!NF17:NH17,"C"))*2)+((COUNTIF('Elève (6ème2)'!NF17:NH17,"D"))*1))/(COUNTA(NF17:NH17)),"")</f>
        <v>2</v>
      </c>
      <c r="NJ17" s="187" t="str">
        <f t="shared" si="86"/>
        <v>C</v>
      </c>
      <c r="NK17" s="188">
        <f>IF(COUNT(MY17,ND17,NI17)=0,"",SUM(MY17,ND17,NI17)/COUNT(MY17,ND17,NI17))</f>
        <v>2</v>
      </c>
      <c r="NL17" s="212" t="str">
        <f t="shared" si="87"/>
        <v>C</v>
      </c>
      <c r="NM17" s="125"/>
      <c r="NN17" s="121"/>
      <c r="NO17" s="122"/>
      <c r="NP17" s="188" t="str">
        <f>IFERROR((((COUNTIF('Elève (6ème2)'!NM17:NO17,"A"))*4)+((COUNTIF('Elève (6ème2)'!NM17:NO17,"B"))*3)+((COUNTIF('Elève (6ème2)'!NM17:NO17,"C"))*2)+((COUNTIF('Elève (6ème2)'!NM17:NO17,"D"))*1))/(COUNTA(NM17:NO17)),"")</f>
        <v/>
      </c>
      <c r="NQ17" s="187" t="str">
        <f t="shared" si="88"/>
        <v/>
      </c>
      <c r="NR17" s="120"/>
      <c r="NS17" s="121"/>
      <c r="NT17" s="122" t="s">
        <v>25</v>
      </c>
      <c r="NU17" s="188">
        <f>IFERROR((((COUNTIF('Elève (6ème2)'!NR17:NT17,"A"))*4)+((COUNTIF('Elève (6ème2)'!NR17:NT17,"B"))*3)+((COUNTIF('Elève (6ème2)'!NR17:NT17,"C"))*2)+((COUNTIF('Elève (6ème2)'!NR17:NT17,"D"))*1))/(COUNTA(NR17:NT17)),"")</f>
        <v>2</v>
      </c>
      <c r="NV17" s="187" t="str">
        <f t="shared" si="89"/>
        <v>C</v>
      </c>
      <c r="NW17" s="120" t="s">
        <v>23</v>
      </c>
      <c r="NX17" s="121" t="s">
        <v>24</v>
      </c>
      <c r="NY17" s="122"/>
      <c r="NZ17" s="188">
        <f>IFERROR((((COUNTIF('Elève (6ème2)'!NW17:NY17,"A"))*4)+((COUNTIF('Elève (6ème2)'!NW17:NY17,"B"))*3)+((COUNTIF('Elève (6ème2)'!NW17:NY17,"C"))*2)+((COUNTIF('Elève (6ème2)'!NW17:NY17,"D"))*1))/(COUNTA(NW17:NY17)),"")</f>
        <v>3.5</v>
      </c>
      <c r="OA17" s="187" t="str">
        <f t="shared" si="90"/>
        <v>B</v>
      </c>
      <c r="OB17" s="188">
        <f>IF(COUNT(NP17,NU17,NZ17)=0,"",SUM(NP17,NU17,NZ17)/COUNT(NP17,NU17,NZ17))</f>
        <v>2.75</v>
      </c>
      <c r="OC17" s="212" t="str">
        <f t="shared" si="91"/>
        <v>C</v>
      </c>
      <c r="OD17" s="125"/>
      <c r="OE17" s="121"/>
      <c r="OF17" s="122"/>
      <c r="OG17" s="188" t="str">
        <f>IFERROR((((COUNTIF('Elève (6ème2)'!OD17:OF17,"A"))*4)+((COUNTIF('Elève (6ème2)'!OD17:OF17,"B"))*3)+((COUNTIF('Elève (6ème2)'!OD17:OF17,"C"))*2)+((COUNTIF('Elève (6ème2)'!OD17:OF17,"D"))*1))/(COUNTA(OD17:OF17)),"")</f>
        <v/>
      </c>
      <c r="OH17" s="187" t="str">
        <f t="shared" si="92"/>
        <v/>
      </c>
      <c r="OI17" s="120"/>
      <c r="OJ17" s="121"/>
      <c r="OK17" s="122" t="s">
        <v>25</v>
      </c>
      <c r="OL17" s="188">
        <f>IFERROR((((COUNTIF('Elève (6ème2)'!OI17:OK17,"A"))*4)+((COUNTIF('Elève (6ème2)'!OI17:OK17,"B"))*3)+((COUNTIF('Elève (6ème2)'!OI17:OK17,"C"))*2)+((COUNTIF('Elève (6ème2)'!OI17:OK17,"D"))*1))/(COUNTA(OI17:OK17)),"")</f>
        <v>2</v>
      </c>
      <c r="OM17" s="187" t="str">
        <f t="shared" si="93"/>
        <v>C</v>
      </c>
      <c r="ON17" s="120" t="s">
        <v>26</v>
      </c>
      <c r="OO17" s="121"/>
      <c r="OP17" s="122"/>
      <c r="OQ17" s="188">
        <f>IFERROR((((COUNTIF('Elève (6ème2)'!ON17:OP17,"A"))*4)+((COUNTIF('Elève (6ème2)'!ON17:OP17,"B"))*3)+((COUNTIF('Elève (6ème2)'!ON17:OP17,"C"))*2)+((COUNTIF('Elève (6ème2)'!ON17:OP17,"D"))*1))/(COUNTA(ON17:OP17)),"")</f>
        <v>1</v>
      </c>
      <c r="OR17" s="187" t="str">
        <f t="shared" si="94"/>
        <v>D</v>
      </c>
      <c r="OS17" s="188">
        <f>IF(COUNT(OG17,OL17,OQ17)=0,"",SUM(OG17,OL17,OQ17)/COUNT(OG17,OL17,OQ17))</f>
        <v>1.5</v>
      </c>
      <c r="OT17" s="212" t="str">
        <f t="shared" si="95"/>
        <v>D</v>
      </c>
      <c r="OU17" s="125"/>
      <c r="OV17" s="121"/>
      <c r="OW17" s="122"/>
      <c r="OX17" s="188" t="str">
        <f>IFERROR((((COUNTIF('Elève (6ème2)'!OU17:OW17,"A"))*4)+((COUNTIF('Elève (6ème2)'!OU17:OW17,"B"))*3)+((COUNTIF('Elève (6ème2)'!OU17:OW17,"C"))*2)+((COUNTIF('Elève (6ème2)'!OU17:OW17,"D"))*1))/(COUNTA(OU17:OW17)),"")</f>
        <v/>
      </c>
      <c r="OY17" s="187" t="str">
        <f t="shared" si="96"/>
        <v/>
      </c>
      <c r="OZ17" s="120"/>
      <c r="PA17" s="121"/>
      <c r="PB17" s="122" t="s">
        <v>25</v>
      </c>
      <c r="PC17" s="188">
        <f>IFERROR((((COUNTIF('Elève (6ème2)'!OZ17:PB17,"A"))*4)+((COUNTIF('Elève (6ème2)'!OZ17:PB17,"B"))*3)+((COUNTIF('Elève (6ème2)'!OZ17:PB17,"C"))*2)+((COUNTIF('Elève (6ème2)'!OZ17:PB17,"D"))*1))/(COUNTA(OZ17:PB17)),"")</f>
        <v>2</v>
      </c>
      <c r="PD17" s="187" t="str">
        <f t="shared" si="97"/>
        <v>C</v>
      </c>
      <c r="PE17" s="120" t="s">
        <v>24</v>
      </c>
      <c r="PF17" s="121" t="s">
        <v>24</v>
      </c>
      <c r="PG17" s="122"/>
      <c r="PH17" s="188">
        <f>IFERROR((((COUNTIF('Elève (6ème2)'!PE17:PG17,"A"))*4)+((COUNTIF('Elève (6ème2)'!PE17:PG17,"B"))*3)+((COUNTIF('Elève (6ème2)'!PE17:PG17,"C"))*2)+((COUNTIF('Elève (6ème2)'!PE17:PG17,"D"))*1))/(COUNTA(PE17:PG17)),"")</f>
        <v>3</v>
      </c>
      <c r="PI17" s="187" t="str">
        <f t="shared" si="98"/>
        <v>B</v>
      </c>
      <c r="PJ17" s="188">
        <f>IF(COUNT(OX17,PC17,PH17)=0,"",SUM(OX17,PC17,PH17)/COUNT(OX17,PC17,PH17))</f>
        <v>2.5</v>
      </c>
      <c r="PK17" s="212" t="str">
        <f t="shared" si="99"/>
        <v>C</v>
      </c>
      <c r="PL17" s="125"/>
      <c r="PM17" s="121"/>
      <c r="PN17" s="122"/>
      <c r="PO17" s="188" t="str">
        <f>IFERROR((((COUNTIF('Elève (6ème2)'!PL17:PN17,"A"))*4)+((COUNTIF('Elève (6ème2)'!PL17:PN17,"B"))*3)+((COUNTIF('Elève (6ème2)'!PL17:PN17,"C"))*2)+((COUNTIF('Elève (6ème2)'!PL17:PN17,"D"))*1))/(COUNTA(PL17:PN17)),"")</f>
        <v/>
      </c>
      <c r="PP17" s="187" t="str">
        <f t="shared" si="100"/>
        <v/>
      </c>
      <c r="PQ17" s="120"/>
      <c r="PR17" s="121"/>
      <c r="PS17" s="122" t="s">
        <v>24</v>
      </c>
      <c r="PT17" s="188">
        <f>IFERROR((((COUNTIF('Elève (6ème2)'!PQ17:PS17,"A"))*4)+((COUNTIF('Elève (6ème2)'!PQ17:PS17,"B"))*3)+((COUNTIF('Elève (6ème2)'!PQ17:PS17,"C"))*2)+((COUNTIF('Elève (6ème2)'!PQ17:PS17,"D"))*1))/(COUNTA(PQ17:PS17)),"")</f>
        <v>3</v>
      </c>
      <c r="PU17" s="187" t="str">
        <f t="shared" si="101"/>
        <v>B</v>
      </c>
      <c r="PV17" s="120" t="s">
        <v>23</v>
      </c>
      <c r="PW17" s="121" t="s">
        <v>24</v>
      </c>
      <c r="PX17" s="122"/>
      <c r="PY17" s="188">
        <f>IFERROR((((COUNTIF('Elève (6ème2)'!PV17:PX17,"A"))*4)+((COUNTIF('Elève (6ème2)'!PV17:PX17,"B"))*3)+((COUNTIF('Elève (6ème2)'!PV17:PX17,"C"))*2)+((COUNTIF('Elève (6ème2)'!PV17:PX17,"D"))*1))/(COUNTA(PV17:PX17)),"")</f>
        <v>3.5</v>
      </c>
      <c r="PZ17" s="187" t="str">
        <f t="shared" si="102"/>
        <v>B</v>
      </c>
      <c r="QA17" s="188">
        <f>IF(COUNT(PO17,PT17,PY17)=0,"",SUM(PO17,PT17,PY17)/COUNT(PO17,PT17,PY17))</f>
        <v>3.25</v>
      </c>
      <c r="QB17" s="212" t="str">
        <f t="shared" si="103"/>
        <v>B</v>
      </c>
      <c r="QC17" s="125"/>
      <c r="QD17" s="121"/>
      <c r="QE17" s="122"/>
      <c r="QF17" s="188" t="str">
        <f>IFERROR((((COUNTIF('Elève (6ème2)'!QC17:QE17,"A"))*4)+((COUNTIF('Elève (6ème2)'!QC17:QE17,"B"))*3)+((COUNTIF('Elève (6ème2)'!QC17:QE17,"C"))*2)+((COUNTIF('Elève (6ème2)'!QC17:QE17,"D"))*1))/(COUNTA(QC17:QE17)),"")</f>
        <v/>
      </c>
      <c r="QG17" s="187" t="str">
        <f t="shared" si="104"/>
        <v/>
      </c>
      <c r="QH17" s="120"/>
      <c r="QI17" s="121"/>
      <c r="QJ17" s="122"/>
      <c r="QK17" s="188" t="str">
        <f>IFERROR((((COUNTIF('Elève (6ème2)'!QH17:QJ17,"A"))*4)+((COUNTIF('Elève (6ème2)'!QH17:QJ17,"B"))*3)+((COUNTIF('Elève (6ème2)'!QH17:QJ17,"C"))*2)+((COUNTIF('Elève (6ème2)'!QH17:QJ17,"D"))*1))/(COUNTA(QH17:QJ17)),"")</f>
        <v/>
      </c>
      <c r="QL17" s="187" t="str">
        <f t="shared" si="105"/>
        <v/>
      </c>
      <c r="QM17" s="120" t="s">
        <v>25</v>
      </c>
      <c r="QN17" s="121" t="s">
        <v>25</v>
      </c>
      <c r="QO17" s="122"/>
      <c r="QP17" s="188">
        <f>IFERROR((((COUNTIF('Elève (6ème2)'!QM17:QO17,"A"))*4)+((COUNTIF('Elève (6ème2)'!QM17:QO17,"B"))*3)+((COUNTIF('Elève (6ème2)'!QM17:QO17,"C"))*2)+((COUNTIF('Elève (6ème2)'!QM17:QO17,"D"))*1))/(COUNTA(QM17:QO17)),"")</f>
        <v>2</v>
      </c>
      <c r="QQ17" s="187" t="str">
        <f t="shared" si="106"/>
        <v>C</v>
      </c>
      <c r="QR17" s="188">
        <f>IF(COUNT(QF17,QK17,QP17)=0,"",SUM(QF17,QK17,QP17)/COUNT(QF17,QK17,QP17))</f>
        <v>2</v>
      </c>
      <c r="QS17" s="212" t="str">
        <f t="shared" si="107"/>
        <v>C</v>
      </c>
      <c r="QT17" s="125"/>
      <c r="QU17" s="121"/>
      <c r="QV17" s="122"/>
      <c r="QW17" s="188" t="str">
        <f>IFERROR((((COUNTIF('Elève (6ème2)'!QT17:QV17,"A"))*4)+((COUNTIF('Elève (6ème2)'!QT17:QV17,"B"))*3)+((COUNTIF('Elève (6ème2)'!QT17:QV17,"C"))*2)+((COUNTIF('Elève (6ème2)'!QT17:QV17,"D"))*1))/(COUNTA(QT17:QV17)),"")</f>
        <v/>
      </c>
      <c r="QX17" s="187" t="str">
        <f t="shared" si="108"/>
        <v/>
      </c>
      <c r="QY17" s="120"/>
      <c r="QZ17" s="121"/>
      <c r="RA17" s="122"/>
      <c r="RB17" s="188" t="str">
        <f>IFERROR((((COUNTIF('Elève (6ème2)'!QY17:RA17,"A"))*4)+((COUNTIF('Elève (6ème2)'!QY17:RA17,"B"))*3)+((COUNTIF('Elève (6ème2)'!QY17:RA17,"C"))*2)+((COUNTIF('Elève (6ème2)'!QY17:RA17,"D"))*1))/(COUNTA(QY17:RA17)),"")</f>
        <v/>
      </c>
      <c r="RC17" s="187" t="str">
        <f t="shared" si="109"/>
        <v/>
      </c>
      <c r="RD17" s="120"/>
      <c r="RE17" s="121"/>
      <c r="RF17" s="122"/>
      <c r="RG17" s="188" t="str">
        <f>IFERROR((((COUNTIF('Elève (6ème2)'!RD17:RF17,"A"))*4)+((COUNTIF('Elève (6ème2)'!RD17:RF17,"B"))*3)+((COUNTIF('Elève (6ème2)'!RD17:RF17,"C"))*2)+((COUNTIF('Elève (6ème2)'!RD17:RF17,"D"))*1))/(COUNTA(RD17:RF17)),"")</f>
        <v/>
      </c>
      <c r="RH17" s="187" t="str">
        <f t="shared" si="110"/>
        <v/>
      </c>
      <c r="RI17" s="188" t="str">
        <f>IF(COUNT(QW17,RB17,RG17)=0,"",SUM(QW17,RB17,RG17)/COUNT(QW17,RB17,RG17))</f>
        <v/>
      </c>
      <c r="RJ17" s="212" t="str">
        <f t="shared" si="111"/>
        <v/>
      </c>
      <c r="RK17" s="125"/>
      <c r="RL17" s="121"/>
      <c r="RM17" s="122"/>
      <c r="RN17" s="188" t="str">
        <f>IFERROR((((COUNTIF('Elève (6ème2)'!RK17:RM17,"A"))*4)+((COUNTIF('Elève (6ème2)'!RK17:RM17,"B"))*3)+((COUNTIF('Elève (6ème2)'!RK17:RM17,"C"))*2)+((COUNTIF('Elève (6ème2)'!RK17:RM17,"D"))*1))/(COUNTA(RK17:RM17)),"")</f>
        <v/>
      </c>
      <c r="RO17" s="187" t="str">
        <f t="shared" si="112"/>
        <v/>
      </c>
      <c r="RP17" s="120"/>
      <c r="RQ17" s="121"/>
      <c r="RR17" s="122"/>
      <c r="RS17" s="188" t="str">
        <f>IFERROR((((COUNTIF('Elève (6ème2)'!RP17:RR17,"A"))*4)+((COUNTIF('Elève (6ème2)'!RP17:RR17,"B"))*3)+((COUNTIF('Elève (6ème2)'!RP17:RR17,"C"))*2)+((COUNTIF('Elève (6ème2)'!RP17:RR17,"D"))*1))/(COUNTA(RP17:RR17)),"")</f>
        <v/>
      </c>
      <c r="RT17" s="187" t="str">
        <f t="shared" si="113"/>
        <v/>
      </c>
      <c r="RU17" s="120" t="s">
        <v>24</v>
      </c>
      <c r="RV17" s="121" t="s">
        <v>24</v>
      </c>
      <c r="RW17" s="122"/>
      <c r="RX17" s="188">
        <f>IFERROR((((COUNTIF('Elève (6ème2)'!RU17:RW17,"A"))*4)+((COUNTIF('Elève (6ème2)'!RU17:RW17,"B"))*3)+((COUNTIF('Elève (6ème2)'!RU17:RW17,"C"))*2)+((COUNTIF('Elève (6ème2)'!RU17:RW17,"D"))*1))/(COUNTA(RU17:RW17)),"")</f>
        <v>3</v>
      </c>
      <c r="RY17" s="187" t="str">
        <f t="shared" si="114"/>
        <v>B</v>
      </c>
      <c r="RZ17" s="188">
        <f>IF(COUNT(RN17,RS17,RX17)=0,"",SUM(RN17,RS17,RX17)/COUNT(RN17,RS17,RX17))</f>
        <v>3</v>
      </c>
      <c r="SA17" s="212" t="str">
        <f t="shared" si="115"/>
        <v>B</v>
      </c>
      <c r="SB17" s="125"/>
      <c r="SC17" s="121"/>
      <c r="SD17" s="122"/>
      <c r="SE17" s="188" t="str">
        <f>IFERROR((((COUNTIF('Elève (6ème2)'!SB17:SD17,"A"))*4)+((COUNTIF('Elève (6ème2)'!SB17:SD17,"B"))*3)+((COUNTIF('Elève (6ème2)'!SB17:SD17,"C"))*2)+((COUNTIF('Elève (6ème2)'!SB17:SD17,"D"))*1))/(COUNTA(SB17:SD17)),"")</f>
        <v/>
      </c>
      <c r="SF17" s="187" t="str">
        <f t="shared" si="116"/>
        <v/>
      </c>
      <c r="SG17" s="120"/>
      <c r="SH17" s="121"/>
      <c r="SI17" s="122" t="s">
        <v>24</v>
      </c>
      <c r="SJ17" s="188">
        <f>IFERROR((((COUNTIF('Elève (6ème2)'!SG17:SI17,"A"))*4)+((COUNTIF('Elève (6ème2)'!SG17:SI17,"B"))*3)+((COUNTIF('Elève (6ème2)'!SG17:SI17,"C"))*2)+((COUNTIF('Elève (6ème2)'!SG17:SI17,"D"))*1))/(COUNTA(SG17:SI17)),"")</f>
        <v>3</v>
      </c>
      <c r="SK17" s="187" t="str">
        <f t="shared" si="117"/>
        <v>B</v>
      </c>
      <c r="SL17" s="120" t="s">
        <v>25</v>
      </c>
      <c r="SM17" s="121" t="s">
        <v>26</v>
      </c>
      <c r="SN17" s="122"/>
      <c r="SO17" s="188">
        <f>IFERROR((((COUNTIF('Elève (6ème2)'!SL17:SN17,"A"))*4)+((COUNTIF('Elève (6ème2)'!SL17:SN17,"B"))*3)+((COUNTIF('Elève (6ème2)'!SL17:SN17,"C"))*2)+((COUNTIF('Elève (6ème2)'!SL17:SN17,"D"))*1))/(COUNTA(SL17:SN17)),"")</f>
        <v>1.5</v>
      </c>
      <c r="SP17" s="187" t="str">
        <f t="shared" si="118"/>
        <v>D</v>
      </c>
      <c r="SQ17" s="188">
        <f>IF(COUNT(SE17,SJ17,SO17)=0,"",SUM(SE17,SJ17,SO17)/COUNT(SE17,SJ17,SO17))</f>
        <v>2.25</v>
      </c>
      <c r="SR17" s="212" t="str">
        <f t="shared" si="119"/>
        <v>C</v>
      </c>
      <c r="SS17" s="125"/>
      <c r="ST17" s="121"/>
      <c r="SU17" s="122"/>
      <c r="SV17" s="123" t="str">
        <f>IFERROR((((COUNTIF('Elève (6ème2)'!SS17:SU17,"A"))*4)+((COUNTIF('Elève (6ème2)'!SS17:SU17,"B"))*3)+((COUNTIF('Elève (6ème2)'!SS17:SU17,"C"))*2)+((COUNTIF('Elève (6ème2)'!SS17:SU17,"D"))*1))/(COUNTA(SS17:SU17)),"")</f>
        <v/>
      </c>
      <c r="SW17" s="118" t="str">
        <f t="shared" si="120"/>
        <v/>
      </c>
      <c r="SX17" s="120"/>
      <c r="SY17" s="121"/>
      <c r="SZ17" s="122" t="s">
        <v>25</v>
      </c>
      <c r="TA17" s="123">
        <f>IFERROR((((COUNTIF('Elève (6ème2)'!SX17:SZ17,"A"))*4)+((COUNTIF('Elève (6ème2)'!SX17:SZ17,"B"))*3)+((COUNTIF('Elève (6ème2)'!SX17:SZ17,"C"))*2)+((COUNTIF('Elève (6ème2)'!SX17:SZ17,"D"))*1))/(COUNTA(SX17:SZ17)),"")</f>
        <v>2</v>
      </c>
      <c r="TB17" s="118" t="str">
        <f t="shared" si="121"/>
        <v>C</v>
      </c>
      <c r="TC17" s="120" t="s">
        <v>24</v>
      </c>
      <c r="TD17" s="121" t="s">
        <v>25</v>
      </c>
      <c r="TE17" s="122"/>
      <c r="TF17" s="123">
        <f>IFERROR((((COUNTIF('Elève (6ème2)'!TC17:TE17,"A"))*4)+((COUNTIF('Elève (6ème2)'!TC17:TE17,"B"))*3)+((COUNTIF('Elève (6ème2)'!TC17:TE17,"C"))*2)+((COUNTIF('Elève (6ème2)'!TC17:TE17,"D"))*1))/(COUNTA(TC17:TE17)),"")</f>
        <v>2.5</v>
      </c>
      <c r="TG17" s="118" t="str">
        <f t="shared" si="122"/>
        <v>C</v>
      </c>
      <c r="TH17" s="123">
        <f>IF(COUNT(SV17,TA17,TF17)=0,"",SUM(SV17,TA17,TF17)/COUNT(SV17,TA17,TF17))</f>
        <v>2.25</v>
      </c>
      <c r="TI17" s="130" t="str">
        <f t="shared" si="123"/>
        <v>C</v>
      </c>
      <c r="TJ17" s="125"/>
      <c r="TK17" s="121"/>
      <c r="TL17" s="122"/>
      <c r="TM17" s="123" t="str">
        <f>IFERROR((((COUNTIF('Elève (6ème2)'!TJ17:TL17,"A"))*4)+((COUNTIF('Elève (6ème2)'!TJ17:TL17,"B"))*3)+((COUNTIF('Elève (6ème2)'!TJ17:TL17,"C"))*2)+((COUNTIF('Elève (6ème2)'!TJ17:TL17,"D"))*1))/(COUNTA(TJ17:TL17)),"")</f>
        <v/>
      </c>
      <c r="TN17" s="118" t="str">
        <f t="shared" si="124"/>
        <v/>
      </c>
      <c r="TO17" s="120"/>
      <c r="TP17" s="121"/>
      <c r="TQ17" s="122"/>
      <c r="TR17" s="123" t="str">
        <f>IFERROR((((COUNTIF('Elève (6ème2)'!TO17:TQ17,"A"))*4)+((COUNTIF('Elève (6ème2)'!TO17:TQ17,"B"))*3)+((COUNTIF('Elève (6ème2)'!TO17:TQ17,"C"))*2)+((COUNTIF('Elève (6ème2)'!TO17:TQ17,"D"))*1))/(COUNTA(TO17:TQ17)),"")</f>
        <v/>
      </c>
      <c r="TS17" s="118" t="str">
        <f t="shared" si="125"/>
        <v/>
      </c>
      <c r="TT17" s="120"/>
      <c r="TU17" s="121"/>
      <c r="TV17" s="122"/>
      <c r="TW17" s="123" t="str">
        <f>IFERROR((((COUNTIF('Elève (6ème2)'!TT17:TV17,"A"))*4)+((COUNTIF('Elève (6ème2)'!TT17:TV17,"B"))*3)+((COUNTIF('Elève (6ème2)'!TT17:TV17,"C"))*2)+((COUNTIF('Elève (6ème2)'!TT17:TV17,"D"))*1))/(COUNTA(TT17:TV17)),"")</f>
        <v/>
      </c>
      <c r="TX17" s="118" t="str">
        <f t="shared" si="126"/>
        <v/>
      </c>
      <c r="TY17" s="123" t="str">
        <f>IF(COUNT(TM17,TR17,TW17)=0,"",SUM(TM17,TR17,TW17)/COUNT(TM17,TR17,TW17))</f>
        <v/>
      </c>
      <c r="TZ17" s="130" t="str">
        <f t="shared" si="127"/>
        <v/>
      </c>
    </row>
    <row r="18" spans="1:546" s="98" customFormat="1" ht="16.5" customHeight="1" thickBot="1" x14ac:dyDescent="0.3">
      <c r="A18" s="164" t="s">
        <v>21</v>
      </c>
      <c r="B18" s="164">
        <v>1</v>
      </c>
      <c r="C18" s="255"/>
      <c r="D18" s="250"/>
      <c r="E18" s="251"/>
      <c r="F18" s="181" t="str">
        <f>IF(COUNT(F19:F20)=0,"",SUM(F19:F20)/COUNT(F19:F20))</f>
        <v/>
      </c>
      <c r="G18" s="182" t="str">
        <f t="shared" si="0"/>
        <v/>
      </c>
      <c r="H18" s="252"/>
      <c r="I18" s="250"/>
      <c r="J18" s="251"/>
      <c r="K18" s="181" t="str">
        <f>IF(COUNT(K20)=0,"",SUM(K20)/COUNT(K20))</f>
        <v/>
      </c>
      <c r="L18" s="198" t="str">
        <f t="shared" si="1"/>
        <v/>
      </c>
      <c r="M18" s="247"/>
      <c r="N18" s="245"/>
      <c r="O18" s="246"/>
      <c r="P18" s="181" t="str">
        <f>IF(COUNT(P20)=0,"",SUM(P20)/COUNT(P20))</f>
        <v/>
      </c>
      <c r="Q18" s="205" t="str">
        <f t="shared" si="2"/>
        <v/>
      </c>
      <c r="R18" s="181" t="str">
        <f>IF(COUNT(R20)=0,"",SUM(R20)/COUNT(R20))</f>
        <v/>
      </c>
      <c r="S18" s="206" t="str">
        <f t="shared" si="3"/>
        <v/>
      </c>
      <c r="T18" s="250"/>
      <c r="U18" s="250"/>
      <c r="V18" s="251"/>
      <c r="W18" s="181" t="str">
        <f>IF(COUNT(W19:W20)=0,"",SUM(W19:W20)/COUNT(W19:W20))</f>
        <v/>
      </c>
      <c r="X18" s="182" t="str">
        <f t="shared" si="4"/>
        <v/>
      </c>
      <c r="Y18" s="252"/>
      <c r="Z18" s="250"/>
      <c r="AA18" s="251"/>
      <c r="AB18" s="181" t="str">
        <f>IF(COUNT(AB20)=0,"",SUM(AB20)/COUNT(AB20))</f>
        <v/>
      </c>
      <c r="AC18" s="198" t="str">
        <f t="shared" si="5"/>
        <v/>
      </c>
      <c r="AD18" s="247"/>
      <c r="AE18" s="245"/>
      <c r="AF18" s="246"/>
      <c r="AG18" s="181" t="str">
        <f>IF(COUNT(AG20)=0,"",SUM(AG20)/COUNT(AG20))</f>
        <v/>
      </c>
      <c r="AH18" s="205" t="str">
        <f t="shared" si="6"/>
        <v/>
      </c>
      <c r="AI18" s="181" t="str">
        <f>IF(COUNT(AI20)=0,"",SUM(AI20)/COUNT(AI20))</f>
        <v/>
      </c>
      <c r="AJ18" s="206" t="str">
        <f t="shared" si="7"/>
        <v/>
      </c>
      <c r="AK18" s="250"/>
      <c r="AL18" s="250"/>
      <c r="AM18" s="251"/>
      <c r="AN18" s="181" t="str">
        <f>IF(COUNT(AN19:AN20)=0,"",SUM(AN19:AN20)/COUNT(AN19:AN20))</f>
        <v/>
      </c>
      <c r="AO18" s="182" t="str">
        <f t="shared" si="8"/>
        <v/>
      </c>
      <c r="AP18" s="252"/>
      <c r="AQ18" s="250"/>
      <c r="AR18" s="251"/>
      <c r="AS18" s="181" t="str">
        <f>IF(COUNT(AS20)=0,"",SUM(AS20)/COUNT(AS20))</f>
        <v/>
      </c>
      <c r="AT18" s="198" t="str">
        <f t="shared" si="9"/>
        <v/>
      </c>
      <c r="AU18" s="247"/>
      <c r="AV18" s="245"/>
      <c r="AW18" s="246"/>
      <c r="AX18" s="181" t="str">
        <f>IF(COUNT(AX20)=0,"",SUM(AX20)/COUNT(AX20))</f>
        <v/>
      </c>
      <c r="AY18" s="205" t="str">
        <f t="shared" si="10"/>
        <v/>
      </c>
      <c r="AZ18" s="181" t="str">
        <f>IF(COUNT(AZ20)=0,"",SUM(AZ20)/COUNT(AZ20))</f>
        <v/>
      </c>
      <c r="BA18" s="206" t="str">
        <f t="shared" si="11"/>
        <v/>
      </c>
      <c r="BB18" s="250"/>
      <c r="BC18" s="250"/>
      <c r="BD18" s="251"/>
      <c r="BE18" s="181" t="str">
        <f>IF(COUNT(BE19:BE20)=0,"",SUM(BE19:BE20)/COUNT(BE19:BE20))</f>
        <v/>
      </c>
      <c r="BF18" s="182" t="str">
        <f t="shared" si="12"/>
        <v/>
      </c>
      <c r="BG18" s="252"/>
      <c r="BH18" s="250"/>
      <c r="BI18" s="251"/>
      <c r="BJ18" s="181" t="str">
        <f>IF(COUNT(BJ20)=0,"",SUM(BJ20)/COUNT(BJ20))</f>
        <v/>
      </c>
      <c r="BK18" s="198" t="str">
        <f t="shared" si="13"/>
        <v/>
      </c>
      <c r="BL18" s="247"/>
      <c r="BM18" s="245"/>
      <c r="BN18" s="246"/>
      <c r="BO18" s="181" t="str">
        <f>IF(COUNT(BO20)=0,"",SUM(BO20)/COUNT(BO20))</f>
        <v/>
      </c>
      <c r="BP18" s="205" t="str">
        <f t="shared" si="14"/>
        <v/>
      </c>
      <c r="BQ18" s="181" t="str">
        <f>IF(COUNT(BQ20)=0,"",SUM(BQ20)/COUNT(BQ20))</f>
        <v/>
      </c>
      <c r="BR18" s="206" t="str">
        <f t="shared" si="15"/>
        <v/>
      </c>
      <c r="BS18" s="250"/>
      <c r="BT18" s="250"/>
      <c r="BU18" s="251"/>
      <c r="BV18" s="181" t="str">
        <f>IF(COUNT(BV19:BV20)=0,"",SUM(BV19:BV20)/COUNT(BV19:BV20))</f>
        <v/>
      </c>
      <c r="BW18" s="182" t="str">
        <f t="shared" si="16"/>
        <v/>
      </c>
      <c r="BX18" s="252"/>
      <c r="BY18" s="250"/>
      <c r="BZ18" s="251"/>
      <c r="CA18" s="181" t="str">
        <f>IF(COUNT(CA20)=0,"",SUM(CA20)/COUNT(CA20))</f>
        <v/>
      </c>
      <c r="CB18" s="198" t="str">
        <f t="shared" si="17"/>
        <v/>
      </c>
      <c r="CC18" s="247"/>
      <c r="CD18" s="245"/>
      <c r="CE18" s="246"/>
      <c r="CF18" s="181" t="str">
        <f>IF(COUNT(CF20)=0,"",SUM(CF20)/COUNT(CF20))</f>
        <v/>
      </c>
      <c r="CG18" s="205" t="str">
        <f t="shared" si="18"/>
        <v/>
      </c>
      <c r="CH18" s="181" t="str">
        <f>IF(COUNT(CH20)=0,"",SUM(CH20)/COUNT(CH20))</f>
        <v/>
      </c>
      <c r="CI18" s="206" t="str">
        <f t="shared" si="19"/>
        <v/>
      </c>
      <c r="CJ18" s="250"/>
      <c r="CK18" s="250"/>
      <c r="CL18" s="251"/>
      <c r="CM18" s="181" t="str">
        <f>IF(COUNT(CM19:CM20)=0,"",SUM(CM19:CM20)/COUNT(CM19:CM20))</f>
        <v/>
      </c>
      <c r="CN18" s="182" t="str">
        <f t="shared" si="20"/>
        <v/>
      </c>
      <c r="CO18" s="252"/>
      <c r="CP18" s="250"/>
      <c r="CQ18" s="251"/>
      <c r="CR18" s="181" t="str">
        <f>IF(COUNT(CR20)=0,"",SUM(CR20)/COUNT(CR20))</f>
        <v/>
      </c>
      <c r="CS18" s="198" t="str">
        <f t="shared" si="21"/>
        <v/>
      </c>
      <c r="CT18" s="247"/>
      <c r="CU18" s="245"/>
      <c r="CV18" s="246"/>
      <c r="CW18" s="181" t="str">
        <f>IF(COUNT(CW20)=0,"",SUM(CW20)/COUNT(CW20))</f>
        <v/>
      </c>
      <c r="CX18" s="205" t="str">
        <f t="shared" si="22"/>
        <v/>
      </c>
      <c r="CY18" s="181" t="str">
        <f>IF(COUNT(CY20)=0,"",SUM(CY20)/COUNT(CY20))</f>
        <v/>
      </c>
      <c r="CZ18" s="206" t="str">
        <f t="shared" si="23"/>
        <v/>
      </c>
      <c r="DA18" s="250"/>
      <c r="DB18" s="250"/>
      <c r="DC18" s="251"/>
      <c r="DD18" s="181" t="str">
        <f>IF(COUNT(DD19:DD20)=0,"",SUM(DD19:DD20)/COUNT(DD19:DD20))</f>
        <v/>
      </c>
      <c r="DE18" s="182" t="str">
        <f t="shared" si="24"/>
        <v/>
      </c>
      <c r="DF18" s="252"/>
      <c r="DG18" s="250"/>
      <c r="DH18" s="251"/>
      <c r="DI18" s="181" t="str">
        <f>IF(COUNT(DI20)=0,"",SUM(DI20)/COUNT(DI20))</f>
        <v/>
      </c>
      <c r="DJ18" s="198" t="str">
        <f t="shared" si="25"/>
        <v/>
      </c>
      <c r="DK18" s="247"/>
      <c r="DL18" s="245"/>
      <c r="DM18" s="246"/>
      <c r="DN18" s="181" t="str">
        <f>IF(COUNT(DN20)=0,"",SUM(DN20)/COUNT(DN20))</f>
        <v/>
      </c>
      <c r="DO18" s="205" t="str">
        <f t="shared" si="26"/>
        <v/>
      </c>
      <c r="DP18" s="181" t="str">
        <f>IF(COUNT(DP20)=0,"",SUM(DP20)/COUNT(DP20))</f>
        <v/>
      </c>
      <c r="DQ18" s="206" t="str">
        <f t="shared" si="27"/>
        <v/>
      </c>
      <c r="DR18" s="250"/>
      <c r="DS18" s="250"/>
      <c r="DT18" s="251"/>
      <c r="DU18" s="181" t="str">
        <f>IF(COUNT(DU19:DU20)=0,"",SUM(DU19:DU20)/COUNT(DU19:DU20))</f>
        <v/>
      </c>
      <c r="DV18" s="182" t="str">
        <f t="shared" si="28"/>
        <v/>
      </c>
      <c r="DW18" s="252"/>
      <c r="DX18" s="250"/>
      <c r="DY18" s="251"/>
      <c r="DZ18" s="181" t="str">
        <f>IF(COUNT(DZ20)=0,"",SUM(DZ20)/COUNT(DZ20))</f>
        <v/>
      </c>
      <c r="EA18" s="198" t="str">
        <f t="shared" si="29"/>
        <v/>
      </c>
      <c r="EB18" s="247"/>
      <c r="EC18" s="245"/>
      <c r="ED18" s="246"/>
      <c r="EE18" s="181" t="str">
        <f>IF(COUNT(EE20)=0,"",SUM(EE20)/COUNT(EE20))</f>
        <v/>
      </c>
      <c r="EF18" s="205" t="str">
        <f t="shared" si="30"/>
        <v/>
      </c>
      <c r="EG18" s="181" t="str">
        <f>IF(COUNT(EG20)=0,"",SUM(EG20)/COUNT(EG20))</f>
        <v/>
      </c>
      <c r="EH18" s="206" t="str">
        <f t="shared" si="31"/>
        <v/>
      </c>
      <c r="EI18" s="250"/>
      <c r="EJ18" s="250"/>
      <c r="EK18" s="251"/>
      <c r="EL18" s="181" t="str">
        <f>IF(COUNT(EL19:EL20)=0,"",SUM(EL19:EL20)/COUNT(EL19:EL20))</f>
        <v/>
      </c>
      <c r="EM18" s="182" t="str">
        <f t="shared" si="32"/>
        <v/>
      </c>
      <c r="EN18" s="252"/>
      <c r="EO18" s="250"/>
      <c r="EP18" s="251"/>
      <c r="EQ18" s="181" t="str">
        <f>IF(COUNT(EQ20)=0,"",SUM(EQ20)/COUNT(EQ20))</f>
        <v/>
      </c>
      <c r="ER18" s="198" t="str">
        <f t="shared" si="33"/>
        <v/>
      </c>
      <c r="ES18" s="247"/>
      <c r="ET18" s="245"/>
      <c r="EU18" s="246"/>
      <c r="EV18" s="181" t="str">
        <f>IF(COUNT(EV20)=0,"",SUM(EV20)/COUNT(EV20))</f>
        <v/>
      </c>
      <c r="EW18" s="205" t="str">
        <f t="shared" si="34"/>
        <v/>
      </c>
      <c r="EX18" s="181" t="str">
        <f>IF(COUNT(EX20)=0,"",SUM(EX20)/COUNT(EX20))</f>
        <v/>
      </c>
      <c r="EY18" s="206" t="str">
        <f t="shared" si="35"/>
        <v/>
      </c>
      <c r="EZ18" s="250"/>
      <c r="FA18" s="250"/>
      <c r="FB18" s="251"/>
      <c r="FC18" s="181" t="str">
        <f>IF(COUNT(FC19:FC20)=0,"",SUM(FC19:FC20)/COUNT(FC19:FC20))</f>
        <v/>
      </c>
      <c r="FD18" s="182" t="str">
        <f t="shared" si="36"/>
        <v/>
      </c>
      <c r="FE18" s="252"/>
      <c r="FF18" s="250"/>
      <c r="FG18" s="251"/>
      <c r="FH18" s="181" t="str">
        <f>IF(COUNT(FH20)=0,"",SUM(FH20)/COUNT(FH20))</f>
        <v/>
      </c>
      <c r="FI18" s="198" t="str">
        <f t="shared" si="37"/>
        <v/>
      </c>
      <c r="FJ18" s="247"/>
      <c r="FK18" s="245"/>
      <c r="FL18" s="246"/>
      <c r="FM18" s="181" t="str">
        <f>IF(COUNT(FM20)=0,"",SUM(FM20)/COUNT(FM20))</f>
        <v/>
      </c>
      <c r="FN18" s="205" t="str">
        <f t="shared" si="38"/>
        <v/>
      </c>
      <c r="FO18" s="181" t="str">
        <f>IF(COUNT(FO20)=0,"",SUM(FO20)/COUNT(FO20))</f>
        <v/>
      </c>
      <c r="FP18" s="206" t="str">
        <f t="shared" si="39"/>
        <v/>
      </c>
      <c r="FQ18" s="250"/>
      <c r="FR18" s="250"/>
      <c r="FS18" s="251"/>
      <c r="FT18" s="181" t="str">
        <f>IF(COUNT(FT19:FT20)=0,"",SUM(FT19:FT20)/COUNT(FT19:FT20))</f>
        <v/>
      </c>
      <c r="FU18" s="182" t="str">
        <f t="shared" si="40"/>
        <v/>
      </c>
      <c r="FV18" s="252"/>
      <c r="FW18" s="250"/>
      <c r="FX18" s="251"/>
      <c r="FY18" s="181" t="str">
        <f>IF(COUNT(FY20)=0,"",SUM(FY20)/COUNT(FY20))</f>
        <v/>
      </c>
      <c r="FZ18" s="198" t="str">
        <f t="shared" si="41"/>
        <v/>
      </c>
      <c r="GA18" s="247"/>
      <c r="GB18" s="245"/>
      <c r="GC18" s="246"/>
      <c r="GD18" s="181" t="str">
        <f>IF(COUNT(GD20)=0,"",SUM(GD20)/COUNT(GD20))</f>
        <v/>
      </c>
      <c r="GE18" s="205" t="str">
        <f t="shared" si="42"/>
        <v/>
      </c>
      <c r="GF18" s="181" t="str">
        <f>IF(COUNT(GF20)=0,"",SUM(GF20)/COUNT(GF20))</f>
        <v/>
      </c>
      <c r="GG18" s="206" t="str">
        <f t="shared" si="43"/>
        <v/>
      </c>
      <c r="GH18" s="250"/>
      <c r="GI18" s="250"/>
      <c r="GJ18" s="251"/>
      <c r="GK18" s="181" t="str">
        <f>IF(COUNT(GK19:GK20)=0,"",SUM(GK19:GK20)/COUNT(GK19:GK20))</f>
        <v/>
      </c>
      <c r="GL18" s="182" t="str">
        <f t="shared" si="44"/>
        <v/>
      </c>
      <c r="GM18" s="252"/>
      <c r="GN18" s="250"/>
      <c r="GO18" s="251"/>
      <c r="GP18" s="181" t="str">
        <f>IF(COUNT(GP20)=0,"",SUM(GP20)/COUNT(GP20))</f>
        <v/>
      </c>
      <c r="GQ18" s="198" t="str">
        <f t="shared" si="45"/>
        <v/>
      </c>
      <c r="GR18" s="247"/>
      <c r="GS18" s="245"/>
      <c r="GT18" s="246"/>
      <c r="GU18" s="181" t="str">
        <f>IF(COUNT(GU20)=0,"",SUM(GU20)/COUNT(GU20))</f>
        <v/>
      </c>
      <c r="GV18" s="205" t="str">
        <f t="shared" si="46"/>
        <v/>
      </c>
      <c r="GW18" s="181" t="str">
        <f>IF(COUNT(GW20)=0,"",SUM(GW20)/COUNT(GW20))</f>
        <v/>
      </c>
      <c r="GX18" s="206" t="str">
        <f t="shared" si="47"/>
        <v/>
      </c>
      <c r="GY18" s="250"/>
      <c r="GZ18" s="250"/>
      <c r="HA18" s="251"/>
      <c r="HB18" s="181" t="str">
        <f>IF(COUNT(HB19:HB20)=0,"",SUM(HB19:HB20)/COUNT(HB19:HB20))</f>
        <v/>
      </c>
      <c r="HC18" s="182" t="str">
        <f t="shared" si="48"/>
        <v/>
      </c>
      <c r="HD18" s="252"/>
      <c r="HE18" s="250"/>
      <c r="HF18" s="251"/>
      <c r="HG18" s="181" t="str">
        <f>IF(COUNT(HG20)=0,"",SUM(HG20)/COUNT(HG20))</f>
        <v/>
      </c>
      <c r="HH18" s="198" t="str">
        <f t="shared" si="49"/>
        <v/>
      </c>
      <c r="HI18" s="247"/>
      <c r="HJ18" s="245"/>
      <c r="HK18" s="246"/>
      <c r="HL18" s="181" t="str">
        <f>IF(COUNT(HL20)=0,"",SUM(HL20)/COUNT(HL20))</f>
        <v/>
      </c>
      <c r="HM18" s="205" t="str">
        <f t="shared" si="50"/>
        <v/>
      </c>
      <c r="HN18" s="181" t="str">
        <f>IF(COUNT(HN20)=0,"",SUM(HN20)/COUNT(HN20))</f>
        <v/>
      </c>
      <c r="HO18" s="206" t="str">
        <f t="shared" si="51"/>
        <v/>
      </c>
      <c r="HP18" s="250"/>
      <c r="HQ18" s="250"/>
      <c r="HR18" s="251"/>
      <c r="HS18" s="181" t="str">
        <f>IF(COUNT(HS19:HS20)=0,"",SUM(HS19:HS20)/COUNT(HS19:HS20))</f>
        <v/>
      </c>
      <c r="HT18" s="182" t="str">
        <f t="shared" si="52"/>
        <v/>
      </c>
      <c r="HU18" s="252"/>
      <c r="HV18" s="250"/>
      <c r="HW18" s="251"/>
      <c r="HX18" s="181" t="str">
        <f>IF(COUNT(HX20)=0,"",SUM(HX20)/COUNT(HX20))</f>
        <v/>
      </c>
      <c r="HY18" s="198" t="str">
        <f t="shared" si="53"/>
        <v/>
      </c>
      <c r="HZ18" s="247"/>
      <c r="IA18" s="245"/>
      <c r="IB18" s="246"/>
      <c r="IC18" s="181" t="str">
        <f>IF(COUNT(IC20)=0,"",SUM(IC20)/COUNT(IC20))</f>
        <v/>
      </c>
      <c r="ID18" s="205" t="str">
        <f t="shared" si="54"/>
        <v/>
      </c>
      <c r="IE18" s="181" t="str">
        <f>IF(COUNT(IE20)=0,"",SUM(IE20)/COUNT(IE20))</f>
        <v/>
      </c>
      <c r="IF18" s="206" t="str">
        <f t="shared" si="55"/>
        <v/>
      </c>
      <c r="IG18" s="250"/>
      <c r="IH18" s="250"/>
      <c r="II18" s="251"/>
      <c r="IJ18" s="181" t="str">
        <f>IF(COUNT(IJ19:IJ20)=0,"",SUM(IJ19:IJ20)/COUNT(IJ19:IJ20))</f>
        <v/>
      </c>
      <c r="IK18" s="182" t="str">
        <f t="shared" si="56"/>
        <v/>
      </c>
      <c r="IL18" s="252"/>
      <c r="IM18" s="250"/>
      <c r="IN18" s="251"/>
      <c r="IO18" s="181" t="str">
        <f>IF(COUNT(IO20)=0,"",SUM(IO20)/COUNT(IO20))</f>
        <v/>
      </c>
      <c r="IP18" s="198" t="str">
        <f t="shared" si="57"/>
        <v/>
      </c>
      <c r="IQ18" s="247"/>
      <c r="IR18" s="245"/>
      <c r="IS18" s="246"/>
      <c r="IT18" s="181" t="str">
        <f>IF(COUNT(IT20)=0,"",SUM(IT20)/COUNT(IT20))</f>
        <v/>
      </c>
      <c r="IU18" s="205" t="str">
        <f t="shared" si="58"/>
        <v/>
      </c>
      <c r="IV18" s="181" t="str">
        <f>IF(COUNT(IV20)=0,"",SUM(IV20)/COUNT(IV20))</f>
        <v/>
      </c>
      <c r="IW18" s="206" t="str">
        <f t="shared" si="59"/>
        <v/>
      </c>
      <c r="IX18" s="250"/>
      <c r="IY18" s="250"/>
      <c r="IZ18" s="251"/>
      <c r="JA18" s="181" t="str">
        <f>IF(COUNT(JA19:JA20)=0,"",SUM(JA19:JA20)/COUNT(JA19:JA20))</f>
        <v/>
      </c>
      <c r="JB18" s="182" t="str">
        <f t="shared" si="60"/>
        <v/>
      </c>
      <c r="JC18" s="252"/>
      <c r="JD18" s="250"/>
      <c r="JE18" s="251"/>
      <c r="JF18" s="181" t="str">
        <f>IF(COUNT(JF20)=0,"",SUM(JF20)/COUNT(JF20))</f>
        <v/>
      </c>
      <c r="JG18" s="198" t="str">
        <f t="shared" si="61"/>
        <v/>
      </c>
      <c r="JH18" s="247"/>
      <c r="JI18" s="245"/>
      <c r="JJ18" s="246"/>
      <c r="JK18" s="181" t="str">
        <f>IF(COUNT(JK20)=0,"",SUM(JK20)/COUNT(JK20))</f>
        <v/>
      </c>
      <c r="JL18" s="205" t="str">
        <f t="shared" si="62"/>
        <v/>
      </c>
      <c r="JM18" s="181" t="str">
        <f>IF(COUNT(JM20)=0,"",SUM(JM20)/COUNT(JM20))</f>
        <v/>
      </c>
      <c r="JN18" s="206" t="str">
        <f t="shared" si="63"/>
        <v/>
      </c>
      <c r="JO18" s="250"/>
      <c r="JP18" s="250"/>
      <c r="JQ18" s="251"/>
      <c r="JR18" s="181" t="str">
        <f>IF(COUNT(JR19:JR20)=0,"",SUM(JR19:JR20)/COUNT(JR19:JR20))</f>
        <v/>
      </c>
      <c r="JS18" s="182" t="str">
        <f t="shared" si="64"/>
        <v/>
      </c>
      <c r="JT18" s="252"/>
      <c r="JU18" s="250"/>
      <c r="JV18" s="251"/>
      <c r="JW18" s="181" t="str">
        <f>IF(COUNT(JW20)=0,"",SUM(JW20)/COUNT(JW20))</f>
        <v/>
      </c>
      <c r="JX18" s="198" t="str">
        <f t="shared" si="65"/>
        <v/>
      </c>
      <c r="JY18" s="247"/>
      <c r="JZ18" s="245"/>
      <c r="KA18" s="246"/>
      <c r="KB18" s="181" t="str">
        <f>IF(COUNT(KB20)=0,"",SUM(KB20)/COUNT(KB20))</f>
        <v/>
      </c>
      <c r="KC18" s="205" t="str">
        <f t="shared" si="66"/>
        <v/>
      </c>
      <c r="KD18" s="181" t="str">
        <f>IF(COUNT(KD20)=0,"",SUM(KD20)/COUNT(KD20))</f>
        <v/>
      </c>
      <c r="KE18" s="206" t="str">
        <f t="shared" si="67"/>
        <v/>
      </c>
      <c r="KF18" s="250"/>
      <c r="KG18" s="250"/>
      <c r="KH18" s="251"/>
      <c r="KI18" s="181" t="str">
        <f>IF(COUNT(KI19:KI20)=0,"",SUM(KI19:KI20)/COUNT(KI19:KI20))</f>
        <v/>
      </c>
      <c r="KJ18" s="182" t="str">
        <f t="shared" si="68"/>
        <v/>
      </c>
      <c r="KK18" s="252"/>
      <c r="KL18" s="250"/>
      <c r="KM18" s="251"/>
      <c r="KN18" s="181" t="str">
        <f>IF(COUNT(KN20)=0,"",SUM(KN20)/COUNT(KN20))</f>
        <v/>
      </c>
      <c r="KO18" s="198" t="str">
        <f t="shared" si="69"/>
        <v/>
      </c>
      <c r="KP18" s="247"/>
      <c r="KQ18" s="245"/>
      <c r="KR18" s="246"/>
      <c r="KS18" s="181" t="str">
        <f>IF(COUNT(KS20)=0,"",SUM(KS20)/COUNT(KS20))</f>
        <v/>
      </c>
      <c r="KT18" s="205" t="str">
        <f t="shared" si="70"/>
        <v/>
      </c>
      <c r="KU18" s="181" t="str">
        <f>IF(COUNT(KU20)=0,"",SUM(KU20)/COUNT(KU20))</f>
        <v/>
      </c>
      <c r="KV18" s="206" t="str">
        <f t="shared" si="71"/>
        <v/>
      </c>
      <c r="KW18" s="250"/>
      <c r="KX18" s="250"/>
      <c r="KY18" s="251"/>
      <c r="KZ18" s="181" t="str">
        <f>IF(COUNT(KZ19:KZ20)=0,"",SUM(KZ19:KZ20)/COUNT(KZ19:KZ20))</f>
        <v/>
      </c>
      <c r="LA18" s="182" t="str">
        <f t="shared" si="72"/>
        <v/>
      </c>
      <c r="LB18" s="252"/>
      <c r="LC18" s="250"/>
      <c r="LD18" s="251"/>
      <c r="LE18" s="181" t="str">
        <f>IF(COUNT(LE20)=0,"",SUM(LE20)/COUNT(LE20))</f>
        <v/>
      </c>
      <c r="LF18" s="198" t="str">
        <f t="shared" si="73"/>
        <v/>
      </c>
      <c r="LG18" s="247"/>
      <c r="LH18" s="245"/>
      <c r="LI18" s="246"/>
      <c r="LJ18" s="181" t="str">
        <f>IF(COUNT(LJ20)=0,"",SUM(LJ20)/COUNT(LJ20))</f>
        <v/>
      </c>
      <c r="LK18" s="205" t="str">
        <f t="shared" si="74"/>
        <v/>
      </c>
      <c r="LL18" s="181" t="str">
        <f>IF(COUNT(LL20)=0,"",SUM(LL20)/COUNT(LL20))</f>
        <v/>
      </c>
      <c r="LM18" s="206" t="str">
        <f t="shared" si="75"/>
        <v/>
      </c>
      <c r="LN18" s="250"/>
      <c r="LO18" s="250"/>
      <c r="LP18" s="251"/>
      <c r="LQ18" s="181" t="str">
        <f>IF(COUNT(LQ19:LQ20)=0,"",SUM(LQ19:LQ20)/COUNT(LQ19:LQ20))</f>
        <v/>
      </c>
      <c r="LR18" s="182" t="str">
        <f t="shared" si="76"/>
        <v/>
      </c>
      <c r="LS18" s="252"/>
      <c r="LT18" s="250"/>
      <c r="LU18" s="251"/>
      <c r="LV18" s="181" t="str">
        <f>IF(COUNT(LV20)=0,"",SUM(LV20)/COUNT(LV20))</f>
        <v/>
      </c>
      <c r="LW18" s="198" t="str">
        <f t="shared" si="77"/>
        <v/>
      </c>
      <c r="LX18" s="247"/>
      <c r="LY18" s="245"/>
      <c r="LZ18" s="246"/>
      <c r="MA18" s="181" t="str">
        <f>IF(COUNT(MA20)=0,"",SUM(MA20)/COUNT(MA20))</f>
        <v/>
      </c>
      <c r="MB18" s="205" t="str">
        <f t="shared" si="78"/>
        <v/>
      </c>
      <c r="MC18" s="181" t="str">
        <f>IF(COUNT(MC20)=0,"",SUM(MC20)/COUNT(MC20))</f>
        <v/>
      </c>
      <c r="MD18" s="206" t="str">
        <f t="shared" si="79"/>
        <v/>
      </c>
      <c r="ME18" s="250"/>
      <c r="MF18" s="250"/>
      <c r="MG18" s="251"/>
      <c r="MH18" s="181" t="str">
        <f>IF(COUNT(MH19:MH20)=0,"",SUM(MH19:MH20)/COUNT(MH19:MH20))</f>
        <v/>
      </c>
      <c r="MI18" s="182" t="str">
        <f t="shared" si="80"/>
        <v/>
      </c>
      <c r="MJ18" s="252"/>
      <c r="MK18" s="250"/>
      <c r="ML18" s="251"/>
      <c r="MM18" s="181" t="str">
        <f>IF(COUNT(MM20)=0,"",SUM(MM20)/COUNT(MM20))</f>
        <v/>
      </c>
      <c r="MN18" s="198" t="str">
        <f t="shared" si="81"/>
        <v/>
      </c>
      <c r="MO18" s="247"/>
      <c r="MP18" s="245"/>
      <c r="MQ18" s="246"/>
      <c r="MR18" s="181" t="str">
        <f>IF(COUNT(MR20)=0,"",SUM(MR20)/COUNT(MR20))</f>
        <v/>
      </c>
      <c r="MS18" s="205" t="str">
        <f t="shared" si="82"/>
        <v/>
      </c>
      <c r="MT18" s="181" t="str">
        <f>IF(COUNT(MT20)=0,"",SUM(MT20)/COUNT(MT20))</f>
        <v/>
      </c>
      <c r="MU18" s="206" t="str">
        <f t="shared" si="83"/>
        <v/>
      </c>
      <c r="MV18" s="250"/>
      <c r="MW18" s="250"/>
      <c r="MX18" s="251"/>
      <c r="MY18" s="181" t="str">
        <f>IF(COUNT(MY19:MY20)=0,"",SUM(MY19:MY20)/COUNT(MY19:MY20))</f>
        <v/>
      </c>
      <c r="MZ18" s="182" t="str">
        <f t="shared" si="84"/>
        <v/>
      </c>
      <c r="NA18" s="252"/>
      <c r="NB18" s="250"/>
      <c r="NC18" s="251"/>
      <c r="ND18" s="181" t="str">
        <f>IF(COUNT(ND20)=0,"",SUM(ND20)/COUNT(ND20))</f>
        <v/>
      </c>
      <c r="NE18" s="198" t="str">
        <f t="shared" si="85"/>
        <v/>
      </c>
      <c r="NF18" s="247"/>
      <c r="NG18" s="245"/>
      <c r="NH18" s="246"/>
      <c r="NI18" s="181" t="str">
        <f>IF(COUNT(NI20)=0,"",SUM(NI20)/COUNT(NI20))</f>
        <v/>
      </c>
      <c r="NJ18" s="205" t="str">
        <f t="shared" si="86"/>
        <v/>
      </c>
      <c r="NK18" s="181" t="str">
        <f>IF(COUNT(NK20)=0,"",SUM(NK20)/COUNT(NK20))</f>
        <v/>
      </c>
      <c r="NL18" s="206" t="str">
        <f t="shared" si="87"/>
        <v/>
      </c>
      <c r="NM18" s="250"/>
      <c r="NN18" s="250"/>
      <c r="NO18" s="251"/>
      <c r="NP18" s="181" t="str">
        <f>IF(COUNT(NP19:NP20)=0,"",SUM(NP19:NP20)/COUNT(NP19:NP20))</f>
        <v/>
      </c>
      <c r="NQ18" s="182" t="str">
        <f t="shared" si="88"/>
        <v/>
      </c>
      <c r="NR18" s="252"/>
      <c r="NS18" s="250"/>
      <c r="NT18" s="251"/>
      <c r="NU18" s="181" t="str">
        <f>IF(COUNT(NU20)=0,"",SUM(NU20)/COUNT(NU20))</f>
        <v/>
      </c>
      <c r="NV18" s="198" t="str">
        <f t="shared" si="89"/>
        <v/>
      </c>
      <c r="NW18" s="247"/>
      <c r="NX18" s="245"/>
      <c r="NY18" s="246"/>
      <c r="NZ18" s="181" t="str">
        <f>IF(COUNT(NZ20)=0,"",SUM(NZ20)/COUNT(NZ20))</f>
        <v/>
      </c>
      <c r="OA18" s="205" t="str">
        <f t="shared" si="90"/>
        <v/>
      </c>
      <c r="OB18" s="181" t="str">
        <f>IF(COUNT(OB20)=0,"",SUM(OB20)/COUNT(OB20))</f>
        <v/>
      </c>
      <c r="OC18" s="206" t="str">
        <f t="shared" si="91"/>
        <v/>
      </c>
      <c r="OD18" s="250"/>
      <c r="OE18" s="250"/>
      <c r="OF18" s="251"/>
      <c r="OG18" s="181" t="str">
        <f>IF(COUNT(OG19:OG20)=0,"",SUM(OG19:OG20)/COUNT(OG19:OG20))</f>
        <v/>
      </c>
      <c r="OH18" s="182" t="str">
        <f t="shared" si="92"/>
        <v/>
      </c>
      <c r="OI18" s="252"/>
      <c r="OJ18" s="250"/>
      <c r="OK18" s="251"/>
      <c r="OL18" s="181" t="str">
        <f>IF(COUNT(OL20)=0,"",SUM(OL20)/COUNT(OL20))</f>
        <v/>
      </c>
      <c r="OM18" s="198" t="str">
        <f t="shared" si="93"/>
        <v/>
      </c>
      <c r="ON18" s="247"/>
      <c r="OO18" s="245"/>
      <c r="OP18" s="246"/>
      <c r="OQ18" s="181" t="str">
        <f>IF(COUNT(OQ20)=0,"",SUM(OQ20)/COUNT(OQ20))</f>
        <v/>
      </c>
      <c r="OR18" s="205" t="str">
        <f t="shared" si="94"/>
        <v/>
      </c>
      <c r="OS18" s="181" t="str">
        <f>IF(COUNT(OS20)=0,"",SUM(OS20)/COUNT(OS20))</f>
        <v/>
      </c>
      <c r="OT18" s="206" t="str">
        <f t="shared" si="95"/>
        <v/>
      </c>
      <c r="OU18" s="250"/>
      <c r="OV18" s="250"/>
      <c r="OW18" s="251"/>
      <c r="OX18" s="181" t="str">
        <f>IF(COUNT(OX19:OX20)=0,"",SUM(OX19:OX20)/COUNT(OX19:OX20))</f>
        <v/>
      </c>
      <c r="OY18" s="182" t="str">
        <f t="shared" si="96"/>
        <v/>
      </c>
      <c r="OZ18" s="252"/>
      <c r="PA18" s="250"/>
      <c r="PB18" s="251"/>
      <c r="PC18" s="181" t="str">
        <f>IF(COUNT(PC20)=0,"",SUM(PC20)/COUNT(PC20))</f>
        <v/>
      </c>
      <c r="PD18" s="198" t="str">
        <f t="shared" si="97"/>
        <v/>
      </c>
      <c r="PE18" s="247"/>
      <c r="PF18" s="245"/>
      <c r="PG18" s="246"/>
      <c r="PH18" s="181" t="str">
        <f>IF(COUNT(PH20)=0,"",SUM(PH20)/COUNT(PH20))</f>
        <v/>
      </c>
      <c r="PI18" s="205" t="str">
        <f t="shared" si="98"/>
        <v/>
      </c>
      <c r="PJ18" s="181" t="str">
        <f>IF(COUNT(PJ20)=0,"",SUM(PJ20)/COUNT(PJ20))</f>
        <v/>
      </c>
      <c r="PK18" s="206" t="str">
        <f t="shared" si="99"/>
        <v/>
      </c>
      <c r="PL18" s="250"/>
      <c r="PM18" s="250"/>
      <c r="PN18" s="251"/>
      <c r="PO18" s="181" t="str">
        <f>IF(COUNT(PO19:PO20)=0,"",SUM(PO19:PO20)/COUNT(PO19:PO20))</f>
        <v/>
      </c>
      <c r="PP18" s="182" t="str">
        <f t="shared" si="100"/>
        <v/>
      </c>
      <c r="PQ18" s="252"/>
      <c r="PR18" s="250"/>
      <c r="PS18" s="251"/>
      <c r="PT18" s="181" t="str">
        <f>IF(COUNT(PT20)=0,"",SUM(PT20)/COUNT(PT20))</f>
        <v/>
      </c>
      <c r="PU18" s="198" t="str">
        <f t="shared" si="101"/>
        <v/>
      </c>
      <c r="PV18" s="247"/>
      <c r="PW18" s="245"/>
      <c r="PX18" s="246"/>
      <c r="PY18" s="181" t="str">
        <f>IF(COUNT(PY20)=0,"",SUM(PY20)/COUNT(PY20))</f>
        <v/>
      </c>
      <c r="PZ18" s="205" t="str">
        <f t="shared" si="102"/>
        <v/>
      </c>
      <c r="QA18" s="181" t="str">
        <f>IF(COUNT(QA20)=0,"",SUM(QA20)/COUNT(QA20))</f>
        <v/>
      </c>
      <c r="QB18" s="206" t="str">
        <f t="shared" si="103"/>
        <v/>
      </c>
      <c r="QC18" s="250"/>
      <c r="QD18" s="250"/>
      <c r="QE18" s="251"/>
      <c r="QF18" s="181" t="str">
        <f>IF(COUNT(QF19:QF20)=0,"",SUM(QF19:QF20)/COUNT(QF19:QF20))</f>
        <v/>
      </c>
      <c r="QG18" s="182" t="str">
        <f t="shared" si="104"/>
        <v/>
      </c>
      <c r="QH18" s="252"/>
      <c r="QI18" s="250"/>
      <c r="QJ18" s="251"/>
      <c r="QK18" s="181" t="str">
        <f>IF(COUNT(QK20)=0,"",SUM(QK20)/COUNT(QK20))</f>
        <v/>
      </c>
      <c r="QL18" s="198" t="str">
        <f t="shared" si="105"/>
        <v/>
      </c>
      <c r="QM18" s="247"/>
      <c r="QN18" s="245"/>
      <c r="QO18" s="246"/>
      <c r="QP18" s="181" t="str">
        <f>IF(COUNT(QP20)=0,"",SUM(QP20)/COUNT(QP20))</f>
        <v/>
      </c>
      <c r="QQ18" s="205" t="str">
        <f t="shared" si="106"/>
        <v/>
      </c>
      <c r="QR18" s="181" t="str">
        <f>IF(COUNT(QR20)=0,"",SUM(QR20)/COUNT(QR20))</f>
        <v/>
      </c>
      <c r="QS18" s="206" t="str">
        <f t="shared" si="107"/>
        <v/>
      </c>
      <c r="QT18" s="250"/>
      <c r="QU18" s="250"/>
      <c r="QV18" s="251"/>
      <c r="QW18" s="181" t="str">
        <f>IF(COUNT(QW19:QW20)=0,"",SUM(QW19:QW20)/COUNT(QW19:QW20))</f>
        <v/>
      </c>
      <c r="QX18" s="182" t="str">
        <f t="shared" si="108"/>
        <v/>
      </c>
      <c r="QY18" s="252"/>
      <c r="QZ18" s="250"/>
      <c r="RA18" s="251"/>
      <c r="RB18" s="181" t="str">
        <f>IF(COUNT(RB20)=0,"",SUM(RB20)/COUNT(RB20))</f>
        <v/>
      </c>
      <c r="RC18" s="198" t="str">
        <f t="shared" si="109"/>
        <v/>
      </c>
      <c r="RD18" s="247"/>
      <c r="RE18" s="245"/>
      <c r="RF18" s="246"/>
      <c r="RG18" s="181" t="str">
        <f>IF(COUNT(RG20)=0,"",SUM(RG20)/COUNT(RG20))</f>
        <v/>
      </c>
      <c r="RH18" s="205" t="str">
        <f t="shared" si="110"/>
        <v/>
      </c>
      <c r="RI18" s="181" t="str">
        <f>IF(COUNT(RI20)=0,"",SUM(RI20)/COUNT(RI20))</f>
        <v/>
      </c>
      <c r="RJ18" s="206" t="str">
        <f t="shared" si="111"/>
        <v/>
      </c>
      <c r="RK18" s="250"/>
      <c r="RL18" s="250"/>
      <c r="RM18" s="251"/>
      <c r="RN18" s="181" t="str">
        <f>IF(COUNT(RN19:RN20)=0,"",SUM(RN19:RN20)/COUNT(RN19:RN20))</f>
        <v/>
      </c>
      <c r="RO18" s="182" t="str">
        <f t="shared" si="112"/>
        <v/>
      </c>
      <c r="RP18" s="252"/>
      <c r="RQ18" s="250"/>
      <c r="RR18" s="251"/>
      <c r="RS18" s="181" t="str">
        <f>IF(COUNT(RS20)=0,"",SUM(RS20)/COUNT(RS20))</f>
        <v/>
      </c>
      <c r="RT18" s="198" t="str">
        <f t="shared" si="113"/>
        <v/>
      </c>
      <c r="RU18" s="247"/>
      <c r="RV18" s="245"/>
      <c r="RW18" s="246"/>
      <c r="RX18" s="181" t="str">
        <f>IF(COUNT(RX20)=0,"",SUM(RX20)/COUNT(RX20))</f>
        <v/>
      </c>
      <c r="RY18" s="205" t="str">
        <f t="shared" si="114"/>
        <v/>
      </c>
      <c r="RZ18" s="181" t="str">
        <f>IF(COUNT(RZ20)=0,"",SUM(RZ20)/COUNT(RZ20))</f>
        <v/>
      </c>
      <c r="SA18" s="206" t="str">
        <f t="shared" si="115"/>
        <v/>
      </c>
      <c r="SB18" s="250"/>
      <c r="SC18" s="250"/>
      <c r="SD18" s="251"/>
      <c r="SE18" s="181" t="str">
        <f>IF(COUNT(SE19:SE20)=0,"",SUM(SE19:SE20)/COUNT(SE19:SE20))</f>
        <v/>
      </c>
      <c r="SF18" s="182" t="str">
        <f t="shared" si="116"/>
        <v/>
      </c>
      <c r="SG18" s="252"/>
      <c r="SH18" s="250"/>
      <c r="SI18" s="251"/>
      <c r="SJ18" s="181" t="str">
        <f>IF(COUNT(SJ20)=0,"",SUM(SJ20)/COUNT(SJ20))</f>
        <v/>
      </c>
      <c r="SK18" s="198" t="str">
        <f t="shared" si="117"/>
        <v/>
      </c>
      <c r="SL18" s="247"/>
      <c r="SM18" s="245"/>
      <c r="SN18" s="246"/>
      <c r="SO18" s="181" t="str">
        <f>IF(COUNT(SO20)=0,"",SUM(SO20)/COUNT(SO20))</f>
        <v/>
      </c>
      <c r="SP18" s="205" t="str">
        <f t="shared" si="118"/>
        <v/>
      </c>
      <c r="SQ18" s="181" t="str">
        <f>IF(COUNT(SQ20)=0,"",SUM(SQ20)/COUNT(SQ20))</f>
        <v/>
      </c>
      <c r="SR18" s="206" t="str">
        <f t="shared" si="119"/>
        <v/>
      </c>
      <c r="SS18" s="250"/>
      <c r="ST18" s="250"/>
      <c r="SU18" s="251"/>
      <c r="SV18" s="93" t="str">
        <f>IF(COUNT(SV19:SV20)=0,"",SUM(SV19:SV20)/COUNT(SV19:SV20))</f>
        <v/>
      </c>
      <c r="SW18" s="94" t="str">
        <f t="shared" si="120"/>
        <v/>
      </c>
      <c r="SX18" s="252"/>
      <c r="SY18" s="250"/>
      <c r="SZ18" s="251"/>
      <c r="TA18" s="93" t="str">
        <f>IF(COUNT(TA20)=0,"",SUM(TA20)/COUNT(TA20))</f>
        <v/>
      </c>
      <c r="TB18" s="95" t="str">
        <f t="shared" si="121"/>
        <v/>
      </c>
      <c r="TC18" s="247"/>
      <c r="TD18" s="245"/>
      <c r="TE18" s="246"/>
      <c r="TF18" s="93" t="str">
        <f>IF(COUNT(TF20)=0,"",SUM(TF20)/COUNT(TF20))</f>
        <v/>
      </c>
      <c r="TG18" s="96" t="str">
        <f t="shared" si="122"/>
        <v/>
      </c>
      <c r="TH18" s="93" t="str">
        <f>IF(COUNT(TH20)=0,"",SUM(TH20)/COUNT(TH20))</f>
        <v/>
      </c>
      <c r="TI18" s="97" t="str">
        <f t="shared" si="123"/>
        <v/>
      </c>
      <c r="TJ18" s="250"/>
      <c r="TK18" s="250"/>
      <c r="TL18" s="251"/>
      <c r="TM18" s="93" t="str">
        <f>IF(COUNT(TM19:TM20)=0,"",SUM(TM19:TM20)/COUNT(TM19:TM20))</f>
        <v/>
      </c>
      <c r="TN18" s="94" t="str">
        <f t="shared" si="124"/>
        <v/>
      </c>
      <c r="TO18" s="252"/>
      <c r="TP18" s="250"/>
      <c r="TQ18" s="251"/>
      <c r="TR18" s="93" t="str">
        <f>IF(COUNT(TR20)=0,"",SUM(TR20)/COUNT(TR20))</f>
        <v/>
      </c>
      <c r="TS18" s="95" t="str">
        <f t="shared" si="125"/>
        <v/>
      </c>
      <c r="TT18" s="247"/>
      <c r="TU18" s="245"/>
      <c r="TV18" s="246"/>
      <c r="TW18" s="93" t="str">
        <f>IF(COUNT(TW20)=0,"",SUM(TW20)/COUNT(TW20))</f>
        <v/>
      </c>
      <c r="TX18" s="96" t="str">
        <f t="shared" si="126"/>
        <v/>
      </c>
      <c r="TY18" s="93" t="str">
        <f>IF(COUNT(TY20)=0,"",SUM(TY20)/COUNT(TY20))</f>
        <v/>
      </c>
      <c r="TZ18" s="97" t="str">
        <f t="shared" si="127"/>
        <v/>
      </c>
    </row>
    <row r="19" spans="1:546" s="98" customFormat="1" ht="16.5" customHeight="1" x14ac:dyDescent="0.25">
      <c r="A19" s="256" t="s">
        <v>40</v>
      </c>
      <c r="B19" s="257"/>
      <c r="C19" s="131"/>
      <c r="D19" s="132"/>
      <c r="E19" s="133"/>
      <c r="F19" s="189" t="str">
        <f>IFERROR((((COUNTIF('Elève (6ème2)'!C19:E19,"A"))*4)+((COUNTIF('Elève (6ème2)'!C19:E19,"B"))*3)+((COUNTIF('Elève (6ème2)'!C19:E19,"C"))*2)+((COUNTIF('Elève (6ème2)'!C19:E19,"D"))*1))/(COUNTA(C19:E19)),"")</f>
        <v/>
      </c>
      <c r="G19" s="187" t="str">
        <f t="shared" si="0"/>
        <v/>
      </c>
      <c r="H19" s="135" t="s">
        <v>25</v>
      </c>
      <c r="I19" s="132"/>
      <c r="J19" s="133"/>
      <c r="K19" s="183">
        <f>IFERROR((((COUNTIF('Elève (6ème2)'!H19:J19,"A"))*4)+((COUNTIF('Elève (6ème2)'!H19:J19,"B"))*3)+((COUNTIF('Elève (6ème2)'!H19:J19,"C"))*2)+((COUNTIF('Elève (6ème2)'!H19:J19,"D"))*1))/(COUNTA(H19:J19)),"")</f>
        <v>2</v>
      </c>
      <c r="L19" s="184" t="str">
        <f t="shared" si="1"/>
        <v>C</v>
      </c>
      <c r="M19" s="136"/>
      <c r="N19" s="137"/>
      <c r="O19" s="138"/>
      <c r="P19" s="183" t="str">
        <f>IFERROR((((COUNTIF('Elève (6ème2)'!M19:O19,"A"))*4)+((COUNTIF('Elève (6ème2)'!M19:O19,"B"))*3)+((COUNTIF('Elève (6ème2)'!M19:O19,"C"))*2)+((COUNTIF('Elève (6ème2)'!M19:O19,"D"))*1))/(COUNTA(M19:O19)),"")</f>
        <v/>
      </c>
      <c r="Q19" s="184" t="str">
        <f t="shared" si="2"/>
        <v/>
      </c>
      <c r="R19" s="183">
        <f>IF(COUNT(F19,K19,P19)=0,"",SUM(F19,K19,P19)/COUNT(F19,K19,P19))</f>
        <v>2</v>
      </c>
      <c r="S19" s="209" t="str">
        <f t="shared" si="3"/>
        <v>C</v>
      </c>
      <c r="T19" s="131"/>
      <c r="U19" s="132"/>
      <c r="V19" s="133"/>
      <c r="W19" s="189" t="str">
        <f>IFERROR((((COUNTIF('Elève (6ème2)'!T19:V19,"A"))*4)+((COUNTIF('Elève (6ème2)'!T19:V19,"B"))*3)+((COUNTIF('Elève (6ème2)'!T19:V19,"C"))*2)+((COUNTIF('Elève (6ème2)'!T19:V19,"D"))*1))/(COUNTA(T19:V19)),"")</f>
        <v/>
      </c>
      <c r="X19" s="187" t="str">
        <f t="shared" si="4"/>
        <v/>
      </c>
      <c r="Y19" s="135" t="s">
        <v>25</v>
      </c>
      <c r="Z19" s="132"/>
      <c r="AA19" s="133"/>
      <c r="AB19" s="183">
        <f>IFERROR((((COUNTIF('Elève (6ème2)'!Y19:AA19,"A"))*4)+((COUNTIF('Elève (6ème2)'!Y19:AA19,"B"))*3)+((COUNTIF('Elève (6ème2)'!Y19:AA19,"C"))*2)+((COUNTIF('Elève (6ème2)'!Y19:AA19,"D"))*1))/(COUNTA(Y19:AA19)),"")</f>
        <v>2</v>
      </c>
      <c r="AC19" s="184" t="str">
        <f t="shared" si="5"/>
        <v>C</v>
      </c>
      <c r="AD19" s="136"/>
      <c r="AE19" s="137"/>
      <c r="AF19" s="138"/>
      <c r="AG19" s="183" t="str">
        <f>IFERROR((((COUNTIF('Elève (6ème2)'!AD19:AF19,"A"))*4)+((COUNTIF('Elève (6ème2)'!AD19:AF19,"B"))*3)+((COUNTIF('Elève (6ème2)'!AD19:AF19,"C"))*2)+((COUNTIF('Elève (6ème2)'!AD19:AF19,"D"))*1))/(COUNTA(AD19:AF19)),"")</f>
        <v/>
      </c>
      <c r="AH19" s="184" t="str">
        <f t="shared" si="6"/>
        <v/>
      </c>
      <c r="AI19" s="183">
        <f>IF(COUNT(W19,AB19,AG19)=0,"",SUM(W19,AB19,AG19)/COUNT(W19,AB19,AG19))</f>
        <v>2</v>
      </c>
      <c r="AJ19" s="209" t="str">
        <f t="shared" si="7"/>
        <v>C</v>
      </c>
      <c r="AK19" s="131"/>
      <c r="AL19" s="132"/>
      <c r="AM19" s="133"/>
      <c r="AN19" s="189" t="str">
        <f>IFERROR((((COUNTIF('Elève (6ème2)'!AK19:AM19,"A"))*4)+((COUNTIF('Elève (6ème2)'!AK19:AM19,"B"))*3)+((COUNTIF('Elève (6ème2)'!AK19:AM19,"C"))*2)+((COUNTIF('Elève (6ème2)'!AK19:AM19,"D"))*1))/(COUNTA(AK19:AM19)),"")</f>
        <v/>
      </c>
      <c r="AO19" s="187" t="str">
        <f t="shared" si="8"/>
        <v/>
      </c>
      <c r="AP19" s="135" t="s">
        <v>25</v>
      </c>
      <c r="AQ19" s="132"/>
      <c r="AR19" s="133"/>
      <c r="AS19" s="183">
        <f>IFERROR((((COUNTIF('Elève (6ème2)'!AP19:AR19,"A"))*4)+((COUNTIF('Elève (6ème2)'!AP19:AR19,"B"))*3)+((COUNTIF('Elève (6ème2)'!AP19:AR19,"C"))*2)+((COUNTIF('Elève (6ème2)'!AP19:AR19,"D"))*1))/(COUNTA(AP19:AR19)),"")</f>
        <v>2</v>
      </c>
      <c r="AT19" s="184" t="str">
        <f t="shared" si="9"/>
        <v>C</v>
      </c>
      <c r="AU19" s="136"/>
      <c r="AV19" s="137"/>
      <c r="AW19" s="138"/>
      <c r="AX19" s="183" t="str">
        <f>IFERROR((((COUNTIF('Elève (6ème2)'!AU19:AW19,"A"))*4)+((COUNTIF('Elève (6ème2)'!AU19:AW19,"B"))*3)+((COUNTIF('Elève (6ème2)'!AU19:AW19,"C"))*2)+((COUNTIF('Elève (6ème2)'!AU19:AW19,"D"))*1))/(COUNTA(AU19:AW19)),"")</f>
        <v/>
      </c>
      <c r="AY19" s="184" t="str">
        <f t="shared" si="10"/>
        <v/>
      </c>
      <c r="AZ19" s="183">
        <f>IF(COUNT(AN19,AS19,AX19)=0,"",SUM(AN19,AS19,AX19)/COUNT(AN19,AS19,AX19))</f>
        <v>2</v>
      </c>
      <c r="BA19" s="209" t="str">
        <f t="shared" si="11"/>
        <v>C</v>
      </c>
      <c r="BB19" s="131"/>
      <c r="BC19" s="132"/>
      <c r="BD19" s="133"/>
      <c r="BE19" s="189" t="str">
        <f>IFERROR((((COUNTIF('Elève (6ème2)'!BB19:BD19,"A"))*4)+((COUNTIF('Elève (6ème2)'!BB19:BD19,"B"))*3)+((COUNTIF('Elève (6ème2)'!BB19:BD19,"C"))*2)+((COUNTIF('Elève (6ème2)'!BB19:BD19,"D"))*1))/(COUNTA(BB19:BD19)),"")</f>
        <v/>
      </c>
      <c r="BF19" s="187" t="str">
        <f t="shared" si="12"/>
        <v/>
      </c>
      <c r="BG19" s="135" t="s">
        <v>24</v>
      </c>
      <c r="BH19" s="132"/>
      <c r="BI19" s="133"/>
      <c r="BJ19" s="183">
        <f>IFERROR((((COUNTIF('Elève (6ème2)'!BG19:BI19,"A"))*4)+((COUNTIF('Elève (6ème2)'!BG19:BI19,"B"))*3)+((COUNTIF('Elève (6ème2)'!BG19:BI19,"C"))*2)+((COUNTIF('Elève (6ème2)'!BG19:BI19,"D"))*1))/(COUNTA(BG19:BI19)),"")</f>
        <v>3</v>
      </c>
      <c r="BK19" s="184" t="str">
        <f t="shared" si="13"/>
        <v>B</v>
      </c>
      <c r="BL19" s="136"/>
      <c r="BM19" s="137"/>
      <c r="BN19" s="138"/>
      <c r="BO19" s="183" t="str">
        <f>IFERROR((((COUNTIF('Elève (6ème2)'!BL19:BN19,"A"))*4)+((COUNTIF('Elève (6ème2)'!BL19:BN19,"B"))*3)+((COUNTIF('Elève (6ème2)'!BL19:BN19,"C"))*2)+((COUNTIF('Elève (6ème2)'!BL19:BN19,"D"))*1))/(COUNTA(BL19:BN19)),"")</f>
        <v/>
      </c>
      <c r="BP19" s="184" t="str">
        <f t="shared" si="14"/>
        <v/>
      </c>
      <c r="BQ19" s="183">
        <f>IF(COUNT(BE19,BJ19,BO19)=0,"",SUM(BE19,BJ19,BO19)/COUNT(BE19,BJ19,BO19))</f>
        <v>3</v>
      </c>
      <c r="BR19" s="209" t="str">
        <f t="shared" si="15"/>
        <v>B</v>
      </c>
      <c r="BS19" s="131"/>
      <c r="BT19" s="132"/>
      <c r="BU19" s="133"/>
      <c r="BV19" s="189" t="str">
        <f>IFERROR((((COUNTIF('Elève (6ème2)'!BS19:BU19,"A"))*4)+((COUNTIF('Elève (6ème2)'!BS19:BU19,"B"))*3)+((COUNTIF('Elève (6ème2)'!BS19:BU19,"C"))*2)+((COUNTIF('Elève (6ème2)'!BS19:BU19,"D"))*1))/(COUNTA(BS19:BU19)),"")</f>
        <v/>
      </c>
      <c r="BW19" s="187" t="str">
        <f t="shared" si="16"/>
        <v/>
      </c>
      <c r="BX19" s="135" t="s">
        <v>23</v>
      </c>
      <c r="BY19" s="132"/>
      <c r="BZ19" s="133"/>
      <c r="CA19" s="183">
        <f>IFERROR((((COUNTIF('Elève (6ème2)'!BX19:BZ19,"A"))*4)+((COUNTIF('Elève (6ème2)'!BX19:BZ19,"B"))*3)+((COUNTIF('Elève (6ème2)'!BX19:BZ19,"C"))*2)+((COUNTIF('Elève (6ème2)'!BX19:BZ19,"D"))*1))/(COUNTA(BX19:BZ19)),"")</f>
        <v>4</v>
      </c>
      <c r="CB19" s="184" t="str">
        <f t="shared" si="17"/>
        <v>A</v>
      </c>
      <c r="CC19" s="136"/>
      <c r="CD19" s="137"/>
      <c r="CE19" s="138"/>
      <c r="CF19" s="183" t="str">
        <f>IFERROR((((COUNTIF('Elève (6ème2)'!CC19:CE19,"A"))*4)+((COUNTIF('Elève (6ème2)'!CC19:CE19,"B"))*3)+((COUNTIF('Elève (6ème2)'!CC19:CE19,"C"))*2)+((COUNTIF('Elève (6ème2)'!CC19:CE19,"D"))*1))/(COUNTA(CC19:CE19)),"")</f>
        <v/>
      </c>
      <c r="CG19" s="184" t="str">
        <f t="shared" si="18"/>
        <v/>
      </c>
      <c r="CH19" s="183">
        <f>IF(COUNT(BV19,CA19,CF19)=0,"",SUM(BV19,CA19,CF19)/COUNT(BV19,CA19,CF19))</f>
        <v>4</v>
      </c>
      <c r="CI19" s="209" t="str">
        <f t="shared" si="19"/>
        <v>A</v>
      </c>
      <c r="CJ19" s="131"/>
      <c r="CK19" s="132"/>
      <c r="CL19" s="133"/>
      <c r="CM19" s="189" t="str">
        <f>IFERROR((((COUNTIF('Elève (6ème2)'!CJ19:CL19,"A"))*4)+((COUNTIF('Elève (6ème2)'!CJ19:CL19,"B"))*3)+((COUNTIF('Elève (6ème2)'!CJ19:CL19,"C"))*2)+((COUNTIF('Elève (6ème2)'!CJ19:CL19,"D"))*1))/(COUNTA(CJ19:CL19)),"")</f>
        <v/>
      </c>
      <c r="CN19" s="187" t="str">
        <f t="shared" si="20"/>
        <v/>
      </c>
      <c r="CO19" s="135" t="s">
        <v>26</v>
      </c>
      <c r="CP19" s="132"/>
      <c r="CQ19" s="133"/>
      <c r="CR19" s="183">
        <f>IFERROR((((COUNTIF('Elève (6ème2)'!CO19:CQ19,"A"))*4)+((COUNTIF('Elève (6ème2)'!CO19:CQ19,"B"))*3)+((COUNTIF('Elève (6ème2)'!CO19:CQ19,"C"))*2)+((COUNTIF('Elève (6ème2)'!CO19:CQ19,"D"))*1))/(COUNTA(CO19:CQ19)),"")</f>
        <v>1</v>
      </c>
      <c r="CS19" s="184" t="str">
        <f t="shared" si="21"/>
        <v>D</v>
      </c>
      <c r="CT19" s="136"/>
      <c r="CU19" s="137"/>
      <c r="CV19" s="138"/>
      <c r="CW19" s="183" t="str">
        <f>IFERROR((((COUNTIF('Elève (6ème2)'!CT19:CV19,"A"))*4)+((COUNTIF('Elève (6ème2)'!CT19:CV19,"B"))*3)+((COUNTIF('Elève (6ème2)'!CT19:CV19,"C"))*2)+((COUNTIF('Elève (6ème2)'!CT19:CV19,"D"))*1))/(COUNTA(CT19:CV19)),"")</f>
        <v/>
      </c>
      <c r="CX19" s="184" t="str">
        <f t="shared" si="22"/>
        <v/>
      </c>
      <c r="CY19" s="183">
        <f>IF(COUNT(CM19,CR19,CW19)=0,"",SUM(CM19,CR19,CW19)/COUNT(CM19,CR19,CW19))</f>
        <v>1</v>
      </c>
      <c r="CZ19" s="209" t="str">
        <f t="shared" si="23"/>
        <v>D</v>
      </c>
      <c r="DA19" s="131"/>
      <c r="DB19" s="132"/>
      <c r="DC19" s="133"/>
      <c r="DD19" s="189" t="str">
        <f>IFERROR((((COUNTIF('Elève (6ème2)'!DA19:DC19,"A"))*4)+((COUNTIF('Elève (6ème2)'!DA19:DC19,"B"))*3)+((COUNTIF('Elève (6ème2)'!DA19:DC19,"C"))*2)+((COUNTIF('Elève (6ème2)'!DA19:DC19,"D"))*1))/(COUNTA(DA19:DC19)),"")</f>
        <v/>
      </c>
      <c r="DE19" s="187" t="str">
        <f t="shared" si="24"/>
        <v/>
      </c>
      <c r="DF19" s="135" t="s">
        <v>26</v>
      </c>
      <c r="DG19" s="132"/>
      <c r="DH19" s="133"/>
      <c r="DI19" s="183">
        <f>IFERROR((((COUNTIF('Elève (6ème2)'!DF19:DH19,"A"))*4)+((COUNTIF('Elève (6ème2)'!DF19:DH19,"B"))*3)+((COUNTIF('Elève (6ème2)'!DF19:DH19,"C"))*2)+((COUNTIF('Elève (6ème2)'!DF19:DH19,"D"))*1))/(COUNTA(DF19:DH19)),"")</f>
        <v>1</v>
      </c>
      <c r="DJ19" s="184" t="str">
        <f t="shared" si="25"/>
        <v>D</v>
      </c>
      <c r="DK19" s="136"/>
      <c r="DL19" s="137"/>
      <c r="DM19" s="138"/>
      <c r="DN19" s="183" t="str">
        <f>IFERROR((((COUNTIF('Elève (6ème2)'!DK19:DM19,"A"))*4)+((COUNTIF('Elève (6ème2)'!DK19:DM19,"B"))*3)+((COUNTIF('Elève (6ème2)'!DK19:DM19,"C"))*2)+((COUNTIF('Elève (6ème2)'!DK19:DM19,"D"))*1))/(COUNTA(DK19:DM19)),"")</f>
        <v/>
      </c>
      <c r="DO19" s="184" t="str">
        <f t="shared" si="26"/>
        <v/>
      </c>
      <c r="DP19" s="183">
        <f>IF(COUNT(DD19,DI19,DN19)=0,"",SUM(DD19,DI19,DN19)/COUNT(DD19,DI19,DN19))</f>
        <v>1</v>
      </c>
      <c r="DQ19" s="209" t="str">
        <f t="shared" si="27"/>
        <v>D</v>
      </c>
      <c r="DR19" s="131"/>
      <c r="DS19" s="132"/>
      <c r="DT19" s="133"/>
      <c r="DU19" s="189" t="str">
        <f>IFERROR((((COUNTIF('Elève (6ème2)'!DR19:DT19,"A"))*4)+((COUNTIF('Elève (6ème2)'!DR19:DT19,"B"))*3)+((COUNTIF('Elève (6ème2)'!DR19:DT19,"C"))*2)+((COUNTIF('Elève (6ème2)'!DR19:DT19,"D"))*1))/(COUNTA(DR19:DT19)),"")</f>
        <v/>
      </c>
      <c r="DV19" s="187" t="str">
        <f t="shared" si="28"/>
        <v/>
      </c>
      <c r="DW19" s="135" t="s">
        <v>24</v>
      </c>
      <c r="DX19" s="132"/>
      <c r="DY19" s="133"/>
      <c r="DZ19" s="183">
        <f>IFERROR((((COUNTIF('Elève (6ème2)'!DW19:DY19,"A"))*4)+((COUNTIF('Elève (6ème2)'!DW19:DY19,"B"))*3)+((COUNTIF('Elève (6ème2)'!DW19:DY19,"C"))*2)+((COUNTIF('Elève (6ème2)'!DW19:DY19,"D"))*1))/(COUNTA(DW19:DY19)),"")</f>
        <v>3</v>
      </c>
      <c r="EA19" s="184" t="str">
        <f t="shared" si="29"/>
        <v>B</v>
      </c>
      <c r="EB19" s="136"/>
      <c r="EC19" s="137"/>
      <c r="ED19" s="138"/>
      <c r="EE19" s="183" t="str">
        <f>IFERROR((((COUNTIF('Elève (6ème2)'!EB19:ED19,"A"))*4)+((COUNTIF('Elève (6ème2)'!EB19:ED19,"B"))*3)+((COUNTIF('Elève (6ème2)'!EB19:ED19,"C"))*2)+((COUNTIF('Elève (6ème2)'!EB19:ED19,"D"))*1))/(COUNTA(EB19:ED19)),"")</f>
        <v/>
      </c>
      <c r="EF19" s="184" t="str">
        <f t="shared" si="30"/>
        <v/>
      </c>
      <c r="EG19" s="183">
        <f>IF(COUNT(DU19,DZ19,EE19)=0,"",SUM(DU19,DZ19,EE19)/COUNT(DU19,DZ19,EE19))</f>
        <v>3</v>
      </c>
      <c r="EH19" s="209" t="str">
        <f t="shared" si="31"/>
        <v>B</v>
      </c>
      <c r="EI19" s="131"/>
      <c r="EJ19" s="132"/>
      <c r="EK19" s="133"/>
      <c r="EL19" s="189" t="str">
        <f>IFERROR((((COUNTIF('Elève (6ème2)'!EI19:EK19,"A"))*4)+((COUNTIF('Elève (6ème2)'!EI19:EK19,"B"))*3)+((COUNTIF('Elève (6ème2)'!EI19:EK19,"C"))*2)+((COUNTIF('Elève (6ème2)'!EI19:EK19,"D"))*1))/(COUNTA(EI19:EK19)),"")</f>
        <v/>
      </c>
      <c r="EM19" s="187" t="str">
        <f t="shared" si="32"/>
        <v/>
      </c>
      <c r="EN19" s="135" t="s">
        <v>24</v>
      </c>
      <c r="EO19" s="132"/>
      <c r="EP19" s="133"/>
      <c r="EQ19" s="183">
        <f>IFERROR((((COUNTIF('Elève (6ème2)'!EN19:EP19,"A"))*4)+((COUNTIF('Elève (6ème2)'!EN19:EP19,"B"))*3)+((COUNTIF('Elève (6ème2)'!EN19:EP19,"C"))*2)+((COUNTIF('Elève (6ème2)'!EN19:EP19,"D"))*1))/(COUNTA(EN19:EP19)),"")</f>
        <v>3</v>
      </c>
      <c r="ER19" s="184" t="str">
        <f t="shared" si="33"/>
        <v>B</v>
      </c>
      <c r="ES19" s="136"/>
      <c r="ET19" s="137"/>
      <c r="EU19" s="138"/>
      <c r="EV19" s="183" t="str">
        <f>IFERROR((((COUNTIF('Elève (6ème2)'!ES19:EU19,"A"))*4)+((COUNTIF('Elève (6ème2)'!ES19:EU19,"B"))*3)+((COUNTIF('Elève (6ème2)'!ES19:EU19,"C"))*2)+((COUNTIF('Elève (6ème2)'!ES19:EU19,"D"))*1))/(COUNTA(ES19:EU19)),"")</f>
        <v/>
      </c>
      <c r="EW19" s="184" t="str">
        <f t="shared" si="34"/>
        <v/>
      </c>
      <c r="EX19" s="183">
        <f>IF(COUNT(EL19,EQ19,EV19)=0,"",SUM(EL19,EQ19,EV19)/COUNT(EL19,EQ19,EV19))</f>
        <v>3</v>
      </c>
      <c r="EY19" s="209" t="str">
        <f t="shared" si="35"/>
        <v>B</v>
      </c>
      <c r="EZ19" s="131"/>
      <c r="FA19" s="132"/>
      <c r="FB19" s="133"/>
      <c r="FC19" s="189" t="str">
        <f>IFERROR((((COUNTIF('Elève (6ème2)'!EZ19:FB19,"A"))*4)+((COUNTIF('Elève (6ème2)'!EZ19:FB19,"B"))*3)+((COUNTIF('Elève (6ème2)'!EZ19:FB19,"C"))*2)+((COUNTIF('Elève (6ème2)'!EZ19:FB19,"D"))*1))/(COUNTA(EZ19:FB19)),"")</f>
        <v/>
      </c>
      <c r="FD19" s="187" t="str">
        <f t="shared" si="36"/>
        <v/>
      </c>
      <c r="FE19" s="135" t="s">
        <v>24</v>
      </c>
      <c r="FF19" s="132"/>
      <c r="FG19" s="133"/>
      <c r="FH19" s="183">
        <f>IFERROR((((COUNTIF('Elève (6ème2)'!FE19:FG19,"A"))*4)+((COUNTIF('Elève (6ème2)'!FE19:FG19,"B"))*3)+((COUNTIF('Elève (6ème2)'!FE19:FG19,"C"))*2)+((COUNTIF('Elève (6ème2)'!FE19:FG19,"D"))*1))/(COUNTA(FE19:FG19)),"")</f>
        <v>3</v>
      </c>
      <c r="FI19" s="184" t="str">
        <f t="shared" si="37"/>
        <v>B</v>
      </c>
      <c r="FJ19" s="136"/>
      <c r="FK19" s="137"/>
      <c r="FL19" s="138"/>
      <c r="FM19" s="183" t="str">
        <f>IFERROR((((COUNTIF('Elève (6ème2)'!FJ19:FL19,"A"))*4)+((COUNTIF('Elève (6ème2)'!FJ19:FL19,"B"))*3)+((COUNTIF('Elève (6ème2)'!FJ19:FL19,"C"))*2)+((COUNTIF('Elève (6ème2)'!FJ19:FL19,"D"))*1))/(COUNTA(FJ19:FL19)),"")</f>
        <v/>
      </c>
      <c r="FN19" s="184" t="str">
        <f t="shared" si="38"/>
        <v/>
      </c>
      <c r="FO19" s="183">
        <f>IF(COUNT(FC19,FH19,FM19)=0,"",SUM(FC19,FH19,FM19)/COUNT(FC19,FH19,FM19))</f>
        <v>3</v>
      </c>
      <c r="FP19" s="209" t="str">
        <f t="shared" si="39"/>
        <v>B</v>
      </c>
      <c r="FQ19" s="131"/>
      <c r="FR19" s="132"/>
      <c r="FS19" s="133"/>
      <c r="FT19" s="189" t="str">
        <f>IFERROR((((COUNTIF('Elève (6ème2)'!FQ19:FS19,"A"))*4)+((COUNTIF('Elève (6ème2)'!FQ19:FS19,"B"))*3)+((COUNTIF('Elève (6ème2)'!FQ19:FS19,"C"))*2)+((COUNTIF('Elève (6ème2)'!FQ19:FS19,"D"))*1))/(COUNTA(FQ19:FS19)),"")</f>
        <v/>
      </c>
      <c r="FU19" s="187" t="str">
        <f t="shared" si="40"/>
        <v/>
      </c>
      <c r="FV19" s="135" t="s">
        <v>23</v>
      </c>
      <c r="FW19" s="132"/>
      <c r="FX19" s="133"/>
      <c r="FY19" s="183">
        <f>IFERROR((((COUNTIF('Elève (6ème2)'!FV19:FX19,"A"))*4)+((COUNTIF('Elève (6ème2)'!FV19:FX19,"B"))*3)+((COUNTIF('Elève (6ème2)'!FV19:FX19,"C"))*2)+((COUNTIF('Elève (6ème2)'!FV19:FX19,"D"))*1))/(COUNTA(FV19:FX19)),"")</f>
        <v>4</v>
      </c>
      <c r="FZ19" s="184" t="str">
        <f t="shared" si="41"/>
        <v>A</v>
      </c>
      <c r="GA19" s="136"/>
      <c r="GB19" s="137"/>
      <c r="GC19" s="138"/>
      <c r="GD19" s="183" t="str">
        <f>IFERROR((((COUNTIF('Elève (6ème2)'!GA19:GC19,"A"))*4)+((COUNTIF('Elève (6ème2)'!GA19:GC19,"B"))*3)+((COUNTIF('Elève (6ème2)'!GA19:GC19,"C"))*2)+((COUNTIF('Elève (6ème2)'!GA19:GC19,"D"))*1))/(COUNTA(GA19:GC19)),"")</f>
        <v/>
      </c>
      <c r="GE19" s="184" t="str">
        <f t="shared" si="42"/>
        <v/>
      </c>
      <c r="GF19" s="183">
        <f>IF(COUNT(FT19,FY19,GD19)=0,"",SUM(FT19,FY19,GD19)/COUNT(FT19,FY19,GD19))</f>
        <v>4</v>
      </c>
      <c r="GG19" s="209" t="str">
        <f t="shared" si="43"/>
        <v>A</v>
      </c>
      <c r="GH19" s="131"/>
      <c r="GI19" s="132"/>
      <c r="GJ19" s="133"/>
      <c r="GK19" s="189" t="str">
        <f>IFERROR((((COUNTIF('Elève (6ème2)'!GH19:GJ19,"A"))*4)+((COUNTIF('Elève (6ème2)'!GH19:GJ19,"B"))*3)+((COUNTIF('Elève (6ème2)'!GH19:GJ19,"C"))*2)+((COUNTIF('Elève (6ème2)'!GH19:GJ19,"D"))*1))/(COUNTA(GH19:GJ19)),"")</f>
        <v/>
      </c>
      <c r="GL19" s="187" t="str">
        <f t="shared" si="44"/>
        <v/>
      </c>
      <c r="GM19" s="135" t="s">
        <v>24</v>
      </c>
      <c r="GN19" s="132"/>
      <c r="GO19" s="133"/>
      <c r="GP19" s="183">
        <f>IFERROR((((COUNTIF('Elève (6ème2)'!GM19:GO19,"A"))*4)+((COUNTIF('Elève (6ème2)'!GM19:GO19,"B"))*3)+((COUNTIF('Elève (6ème2)'!GM19:GO19,"C"))*2)+((COUNTIF('Elève (6ème2)'!GM19:GO19,"D"))*1))/(COUNTA(GM19:GO19)),"")</f>
        <v>3</v>
      </c>
      <c r="GQ19" s="184" t="str">
        <f t="shared" si="45"/>
        <v>B</v>
      </c>
      <c r="GR19" s="136"/>
      <c r="GS19" s="137"/>
      <c r="GT19" s="138"/>
      <c r="GU19" s="183" t="str">
        <f>IFERROR((((COUNTIF('Elève (6ème2)'!GR19:GT19,"A"))*4)+((COUNTIF('Elève (6ème2)'!GR19:GT19,"B"))*3)+((COUNTIF('Elève (6ème2)'!GR19:GT19,"C"))*2)+((COUNTIF('Elève (6ème2)'!GR19:GT19,"D"))*1))/(COUNTA(GR19:GT19)),"")</f>
        <v/>
      </c>
      <c r="GV19" s="184" t="str">
        <f t="shared" si="46"/>
        <v/>
      </c>
      <c r="GW19" s="183">
        <f>IF(COUNT(GK19,GP19,GU19)=0,"",SUM(GK19,GP19,GU19)/COUNT(GK19,GP19,GU19))</f>
        <v>3</v>
      </c>
      <c r="GX19" s="209" t="str">
        <f t="shared" si="47"/>
        <v>B</v>
      </c>
      <c r="GY19" s="131"/>
      <c r="GZ19" s="132"/>
      <c r="HA19" s="133"/>
      <c r="HB19" s="189" t="str">
        <f>IFERROR((((COUNTIF('Elève (6ème2)'!GY19:HA19,"A"))*4)+((COUNTIF('Elève (6ème2)'!GY19:HA19,"B"))*3)+((COUNTIF('Elève (6ème2)'!GY19:HA19,"C"))*2)+((COUNTIF('Elève (6ème2)'!GY19:HA19,"D"))*1))/(COUNTA(GY19:HA19)),"")</f>
        <v/>
      </c>
      <c r="HC19" s="187" t="str">
        <f t="shared" si="48"/>
        <v/>
      </c>
      <c r="HD19" s="135" t="s">
        <v>24</v>
      </c>
      <c r="HE19" s="132"/>
      <c r="HF19" s="133"/>
      <c r="HG19" s="183">
        <f>IFERROR((((COUNTIF('Elève (6ème2)'!HD19:HF19,"A"))*4)+((COUNTIF('Elève (6ème2)'!HD19:HF19,"B"))*3)+((COUNTIF('Elève (6ème2)'!HD19:HF19,"C"))*2)+((COUNTIF('Elève (6ème2)'!HD19:HF19,"D"))*1))/(COUNTA(HD19:HF19)),"")</f>
        <v>3</v>
      </c>
      <c r="HH19" s="184" t="str">
        <f t="shared" si="49"/>
        <v>B</v>
      </c>
      <c r="HI19" s="136"/>
      <c r="HJ19" s="137"/>
      <c r="HK19" s="138"/>
      <c r="HL19" s="183" t="str">
        <f>IFERROR((((COUNTIF('Elève (6ème2)'!HI19:HK19,"A"))*4)+((COUNTIF('Elève (6ème2)'!HI19:HK19,"B"))*3)+((COUNTIF('Elève (6ème2)'!HI19:HK19,"C"))*2)+((COUNTIF('Elève (6ème2)'!HI19:HK19,"D"))*1))/(COUNTA(HI19:HK19)),"")</f>
        <v/>
      </c>
      <c r="HM19" s="184" t="str">
        <f t="shared" si="50"/>
        <v/>
      </c>
      <c r="HN19" s="183">
        <f>IF(COUNT(HB19,HG19,HL19)=0,"",SUM(HB19,HG19,HL19)/COUNT(HB19,HG19,HL19))</f>
        <v>3</v>
      </c>
      <c r="HO19" s="209" t="str">
        <f t="shared" si="51"/>
        <v>B</v>
      </c>
      <c r="HP19" s="131"/>
      <c r="HQ19" s="132"/>
      <c r="HR19" s="133"/>
      <c r="HS19" s="189" t="str">
        <f>IFERROR((((COUNTIF('Elève (6ème2)'!HP19:HR19,"A"))*4)+((COUNTIF('Elève (6ème2)'!HP19:HR19,"B"))*3)+((COUNTIF('Elève (6ème2)'!HP19:HR19,"C"))*2)+((COUNTIF('Elève (6ème2)'!HP19:HR19,"D"))*1))/(COUNTA(HP19:HR19)),"")</f>
        <v/>
      </c>
      <c r="HT19" s="187" t="str">
        <f t="shared" si="52"/>
        <v/>
      </c>
      <c r="HU19" s="135" t="s">
        <v>24</v>
      </c>
      <c r="HV19" s="132"/>
      <c r="HW19" s="133"/>
      <c r="HX19" s="183">
        <f>IFERROR((((COUNTIF('Elève (6ème2)'!HU19:HW19,"A"))*4)+((COUNTIF('Elève (6ème2)'!HU19:HW19,"B"))*3)+((COUNTIF('Elève (6ème2)'!HU19:HW19,"C"))*2)+((COUNTIF('Elève (6ème2)'!HU19:HW19,"D"))*1))/(COUNTA(HU19:HW19)),"")</f>
        <v>3</v>
      </c>
      <c r="HY19" s="184" t="str">
        <f t="shared" si="53"/>
        <v>B</v>
      </c>
      <c r="HZ19" s="136"/>
      <c r="IA19" s="137"/>
      <c r="IB19" s="138"/>
      <c r="IC19" s="183" t="str">
        <f>IFERROR((((COUNTIF('Elève (6ème2)'!HZ19:IB19,"A"))*4)+((COUNTIF('Elève (6ème2)'!HZ19:IB19,"B"))*3)+((COUNTIF('Elève (6ème2)'!HZ19:IB19,"C"))*2)+((COUNTIF('Elève (6ème2)'!HZ19:IB19,"D"))*1))/(COUNTA(HZ19:IB19)),"")</f>
        <v/>
      </c>
      <c r="ID19" s="184" t="str">
        <f t="shared" si="54"/>
        <v/>
      </c>
      <c r="IE19" s="183">
        <f>IF(COUNT(HS19,HX19,IC19)=0,"",SUM(HS19,HX19,IC19)/COUNT(HS19,HX19,IC19))</f>
        <v>3</v>
      </c>
      <c r="IF19" s="209" t="str">
        <f t="shared" si="55"/>
        <v>B</v>
      </c>
      <c r="IG19" s="131"/>
      <c r="IH19" s="132"/>
      <c r="II19" s="133"/>
      <c r="IJ19" s="189" t="str">
        <f>IFERROR((((COUNTIF('Elève (6ème2)'!IG19:II19,"A"))*4)+((COUNTIF('Elève (6ème2)'!IG19:II19,"B"))*3)+((COUNTIF('Elève (6ème2)'!IG19:II19,"C"))*2)+((COUNTIF('Elève (6ème2)'!IG19:II19,"D"))*1))/(COUNTA(IG19:II19)),"")</f>
        <v/>
      </c>
      <c r="IK19" s="187" t="str">
        <f t="shared" si="56"/>
        <v/>
      </c>
      <c r="IL19" s="135" t="s">
        <v>23</v>
      </c>
      <c r="IM19" s="132"/>
      <c r="IN19" s="133"/>
      <c r="IO19" s="183">
        <f>IFERROR((((COUNTIF('Elève (6ème2)'!IL19:IN19,"A"))*4)+((COUNTIF('Elève (6ème2)'!IL19:IN19,"B"))*3)+((COUNTIF('Elève (6ème2)'!IL19:IN19,"C"))*2)+((COUNTIF('Elève (6ème2)'!IL19:IN19,"D"))*1))/(COUNTA(IL19:IN19)),"")</f>
        <v>4</v>
      </c>
      <c r="IP19" s="184" t="str">
        <f t="shared" si="57"/>
        <v>A</v>
      </c>
      <c r="IQ19" s="136"/>
      <c r="IR19" s="137"/>
      <c r="IS19" s="138"/>
      <c r="IT19" s="183" t="str">
        <f>IFERROR((((COUNTIF('Elève (6ème2)'!IQ19:IS19,"A"))*4)+((COUNTIF('Elève (6ème2)'!IQ19:IS19,"B"))*3)+((COUNTIF('Elève (6ème2)'!IQ19:IS19,"C"))*2)+((COUNTIF('Elève (6ème2)'!IQ19:IS19,"D"))*1))/(COUNTA(IQ19:IS19)),"")</f>
        <v/>
      </c>
      <c r="IU19" s="184" t="str">
        <f t="shared" si="58"/>
        <v/>
      </c>
      <c r="IV19" s="183">
        <f>IF(COUNT(IJ19,IO19,IT19)=0,"",SUM(IJ19,IO19,IT19)/COUNT(IJ19,IO19,IT19))</f>
        <v>4</v>
      </c>
      <c r="IW19" s="209" t="str">
        <f t="shared" si="59"/>
        <v>A</v>
      </c>
      <c r="IX19" s="131"/>
      <c r="IY19" s="132"/>
      <c r="IZ19" s="133"/>
      <c r="JA19" s="189" t="str">
        <f>IFERROR((((COUNTIF('Elève (6ème2)'!IX19:IZ19,"A"))*4)+((COUNTIF('Elève (6ème2)'!IX19:IZ19,"B"))*3)+((COUNTIF('Elève (6ème2)'!IX19:IZ19,"C"))*2)+((COUNTIF('Elève (6ème2)'!IX19:IZ19,"D"))*1))/(COUNTA(IX19:IZ19)),"")</f>
        <v/>
      </c>
      <c r="JB19" s="187" t="str">
        <f t="shared" si="60"/>
        <v/>
      </c>
      <c r="JC19" s="135" t="s">
        <v>26</v>
      </c>
      <c r="JD19" s="132"/>
      <c r="JE19" s="133"/>
      <c r="JF19" s="183">
        <f>IFERROR((((COUNTIF('Elève (6ème2)'!JC19:JE19,"A"))*4)+((COUNTIF('Elève (6ème2)'!JC19:JE19,"B"))*3)+((COUNTIF('Elève (6ème2)'!JC19:JE19,"C"))*2)+((COUNTIF('Elève (6ème2)'!JC19:JE19,"D"))*1))/(COUNTA(JC19:JE19)),"")</f>
        <v>1</v>
      </c>
      <c r="JG19" s="184" t="str">
        <f t="shared" si="61"/>
        <v>D</v>
      </c>
      <c r="JH19" s="136"/>
      <c r="JI19" s="137"/>
      <c r="JJ19" s="138"/>
      <c r="JK19" s="183" t="str">
        <f>IFERROR((((COUNTIF('Elève (6ème2)'!JH19:JJ19,"A"))*4)+((COUNTIF('Elève (6ème2)'!JH19:JJ19,"B"))*3)+((COUNTIF('Elève (6ème2)'!JH19:JJ19,"C"))*2)+((COUNTIF('Elève (6ème2)'!JH19:JJ19,"D"))*1))/(COUNTA(JH19:JJ19)),"")</f>
        <v/>
      </c>
      <c r="JL19" s="184" t="str">
        <f t="shared" si="62"/>
        <v/>
      </c>
      <c r="JM19" s="183">
        <f>IF(COUNT(JA19,JF19,JK19)=0,"",SUM(JA19,JF19,JK19)/COUNT(JA19,JF19,JK19))</f>
        <v>1</v>
      </c>
      <c r="JN19" s="209" t="str">
        <f t="shared" si="63"/>
        <v>D</v>
      </c>
      <c r="JO19" s="131"/>
      <c r="JP19" s="132"/>
      <c r="JQ19" s="133"/>
      <c r="JR19" s="189" t="str">
        <f>IFERROR((((COUNTIF('Elève (6ème2)'!JO19:JQ19,"A"))*4)+((COUNTIF('Elève (6ème2)'!JO19:JQ19,"B"))*3)+((COUNTIF('Elève (6ème2)'!JO19:JQ19,"C"))*2)+((COUNTIF('Elève (6ème2)'!JO19:JQ19,"D"))*1))/(COUNTA(JO19:JQ19)),"")</f>
        <v/>
      </c>
      <c r="JS19" s="187" t="str">
        <f t="shared" si="64"/>
        <v/>
      </c>
      <c r="JT19" s="135" t="s">
        <v>25</v>
      </c>
      <c r="JU19" s="132"/>
      <c r="JV19" s="133"/>
      <c r="JW19" s="183">
        <f>IFERROR((((COUNTIF('Elève (6ème2)'!JT19:JV19,"A"))*4)+((COUNTIF('Elève (6ème2)'!JT19:JV19,"B"))*3)+((COUNTIF('Elève (6ème2)'!JT19:JV19,"C"))*2)+((COUNTIF('Elève (6ème2)'!JT19:JV19,"D"))*1))/(COUNTA(JT19:JV19)),"")</f>
        <v>2</v>
      </c>
      <c r="JX19" s="184" t="str">
        <f t="shared" si="65"/>
        <v>C</v>
      </c>
      <c r="JY19" s="136"/>
      <c r="JZ19" s="137"/>
      <c r="KA19" s="138"/>
      <c r="KB19" s="183" t="str">
        <f>IFERROR((((COUNTIF('Elève (6ème2)'!JY19:KA19,"A"))*4)+((COUNTIF('Elève (6ème2)'!JY19:KA19,"B"))*3)+((COUNTIF('Elève (6ème2)'!JY19:KA19,"C"))*2)+((COUNTIF('Elève (6ème2)'!JY19:KA19,"D"))*1))/(COUNTA(JY19:KA19)),"")</f>
        <v/>
      </c>
      <c r="KC19" s="184" t="str">
        <f t="shared" si="66"/>
        <v/>
      </c>
      <c r="KD19" s="183">
        <f>IF(COUNT(JR19,JW19,KB19)=0,"",SUM(JR19,JW19,KB19)/COUNT(JR19,JW19,KB19))</f>
        <v>2</v>
      </c>
      <c r="KE19" s="209" t="str">
        <f t="shared" si="67"/>
        <v>C</v>
      </c>
      <c r="KF19" s="131"/>
      <c r="KG19" s="132"/>
      <c r="KH19" s="133"/>
      <c r="KI19" s="189" t="str">
        <f>IFERROR((((COUNTIF('Elève (6ème2)'!KF19:KH19,"A"))*4)+((COUNTIF('Elève (6ème2)'!KF19:KH19,"B"))*3)+((COUNTIF('Elève (6ème2)'!KF19:KH19,"C"))*2)+((COUNTIF('Elève (6ème2)'!KF19:KH19,"D"))*1))/(COUNTA(KF19:KH19)),"")</f>
        <v/>
      </c>
      <c r="KJ19" s="187" t="str">
        <f t="shared" si="68"/>
        <v/>
      </c>
      <c r="KK19" s="135" t="s">
        <v>23</v>
      </c>
      <c r="KL19" s="132"/>
      <c r="KM19" s="133"/>
      <c r="KN19" s="183">
        <f>IFERROR((((COUNTIF('Elève (6ème2)'!KK19:KM19,"A"))*4)+((COUNTIF('Elève (6ème2)'!KK19:KM19,"B"))*3)+((COUNTIF('Elève (6ème2)'!KK19:KM19,"C"))*2)+((COUNTIF('Elève (6ème2)'!KK19:KM19,"D"))*1))/(COUNTA(KK19:KM19)),"")</f>
        <v>4</v>
      </c>
      <c r="KO19" s="184" t="str">
        <f t="shared" si="69"/>
        <v>A</v>
      </c>
      <c r="KP19" s="136"/>
      <c r="KQ19" s="137"/>
      <c r="KR19" s="138"/>
      <c r="KS19" s="183" t="str">
        <f>IFERROR((((COUNTIF('Elève (6ème2)'!KP19:KR19,"A"))*4)+((COUNTIF('Elève (6ème2)'!KP19:KR19,"B"))*3)+((COUNTIF('Elève (6ème2)'!KP19:KR19,"C"))*2)+((COUNTIF('Elève (6ème2)'!KP19:KR19,"D"))*1))/(COUNTA(KP19:KR19)),"")</f>
        <v/>
      </c>
      <c r="KT19" s="184" t="str">
        <f t="shared" si="70"/>
        <v/>
      </c>
      <c r="KU19" s="183">
        <f>IF(COUNT(KI19,KN19,KS19)=0,"",SUM(KI19,KN19,KS19)/COUNT(KI19,KN19,KS19))</f>
        <v>4</v>
      </c>
      <c r="KV19" s="209" t="str">
        <f t="shared" si="71"/>
        <v>A</v>
      </c>
      <c r="KW19" s="131"/>
      <c r="KX19" s="132"/>
      <c r="KY19" s="133"/>
      <c r="KZ19" s="189" t="str">
        <f>IFERROR((((COUNTIF('Elève (6ème2)'!KW19:KY19,"A"))*4)+((COUNTIF('Elève (6ème2)'!KW19:KY19,"B"))*3)+((COUNTIF('Elève (6ème2)'!KW19:KY19,"C"))*2)+((COUNTIF('Elève (6ème2)'!KW19:KY19,"D"))*1))/(COUNTA(KW19:KY19)),"")</f>
        <v/>
      </c>
      <c r="LA19" s="187" t="str">
        <f t="shared" si="72"/>
        <v/>
      </c>
      <c r="LB19" s="135" t="s">
        <v>25</v>
      </c>
      <c r="LC19" s="132"/>
      <c r="LD19" s="133"/>
      <c r="LE19" s="183">
        <f>IFERROR((((COUNTIF('Elève (6ème2)'!LB19:LD19,"A"))*4)+((COUNTIF('Elève (6ème2)'!LB19:LD19,"B"))*3)+((COUNTIF('Elève (6ème2)'!LB19:LD19,"C"))*2)+((COUNTIF('Elève (6ème2)'!LB19:LD19,"D"))*1))/(COUNTA(LB19:LD19)),"")</f>
        <v>2</v>
      </c>
      <c r="LF19" s="184" t="str">
        <f t="shared" si="73"/>
        <v>C</v>
      </c>
      <c r="LG19" s="136"/>
      <c r="LH19" s="137"/>
      <c r="LI19" s="138"/>
      <c r="LJ19" s="183" t="str">
        <f>IFERROR((((COUNTIF('Elève (6ème2)'!LG19:LI19,"A"))*4)+((COUNTIF('Elève (6ème2)'!LG19:LI19,"B"))*3)+((COUNTIF('Elève (6ème2)'!LG19:LI19,"C"))*2)+((COUNTIF('Elève (6ème2)'!LG19:LI19,"D"))*1))/(COUNTA(LG19:LI19)),"")</f>
        <v/>
      </c>
      <c r="LK19" s="184" t="str">
        <f t="shared" si="74"/>
        <v/>
      </c>
      <c r="LL19" s="183">
        <f>IF(COUNT(KZ19,LE19,LJ19)=0,"",SUM(KZ19,LE19,LJ19)/COUNT(KZ19,LE19,LJ19))</f>
        <v>2</v>
      </c>
      <c r="LM19" s="209" t="str">
        <f t="shared" si="75"/>
        <v>C</v>
      </c>
      <c r="LN19" s="131"/>
      <c r="LO19" s="132"/>
      <c r="LP19" s="133"/>
      <c r="LQ19" s="189" t="str">
        <f>IFERROR((((COUNTIF('Elève (6ème2)'!LN19:LP19,"A"))*4)+((COUNTIF('Elève (6ème2)'!LN19:LP19,"B"))*3)+((COUNTIF('Elève (6ème2)'!LN19:LP19,"C"))*2)+((COUNTIF('Elève (6ème2)'!LN19:LP19,"D"))*1))/(COUNTA(LN19:LP19)),"")</f>
        <v/>
      </c>
      <c r="LR19" s="187" t="str">
        <f t="shared" si="76"/>
        <v/>
      </c>
      <c r="LS19" s="135" t="s">
        <v>24</v>
      </c>
      <c r="LT19" s="132"/>
      <c r="LU19" s="133"/>
      <c r="LV19" s="183">
        <f>IFERROR((((COUNTIF('Elève (6ème2)'!LS19:LU19,"A"))*4)+((COUNTIF('Elève (6ème2)'!LS19:LU19,"B"))*3)+((COUNTIF('Elève (6ème2)'!LS19:LU19,"C"))*2)+((COUNTIF('Elève (6ème2)'!LS19:LU19,"D"))*1))/(COUNTA(LS19:LU19)),"")</f>
        <v>3</v>
      </c>
      <c r="LW19" s="184" t="str">
        <f t="shared" si="77"/>
        <v>B</v>
      </c>
      <c r="LX19" s="136"/>
      <c r="LY19" s="137"/>
      <c r="LZ19" s="138"/>
      <c r="MA19" s="183" t="str">
        <f>IFERROR((((COUNTIF('Elève (6ème2)'!LX19:LZ19,"A"))*4)+((COUNTIF('Elève (6ème2)'!LX19:LZ19,"B"))*3)+((COUNTIF('Elève (6ème2)'!LX19:LZ19,"C"))*2)+((COUNTIF('Elève (6ème2)'!LX19:LZ19,"D"))*1))/(COUNTA(LX19:LZ19)),"")</f>
        <v/>
      </c>
      <c r="MB19" s="184" t="str">
        <f t="shared" si="78"/>
        <v/>
      </c>
      <c r="MC19" s="183">
        <f>IF(COUNT(LQ19,LV19,MA19)=0,"",SUM(LQ19,LV19,MA19)/COUNT(LQ19,LV19,MA19))</f>
        <v>3</v>
      </c>
      <c r="MD19" s="209" t="str">
        <f t="shared" si="79"/>
        <v>B</v>
      </c>
      <c r="ME19" s="131"/>
      <c r="MF19" s="132"/>
      <c r="MG19" s="133"/>
      <c r="MH19" s="189" t="str">
        <f>IFERROR((((COUNTIF('Elève (6ème2)'!ME19:MG19,"A"))*4)+((COUNTIF('Elève (6ème2)'!ME19:MG19,"B"))*3)+((COUNTIF('Elève (6ème2)'!ME19:MG19,"C"))*2)+((COUNTIF('Elève (6ème2)'!ME19:MG19,"D"))*1))/(COUNTA(ME19:MG19)),"")</f>
        <v/>
      </c>
      <c r="MI19" s="187" t="str">
        <f t="shared" si="80"/>
        <v/>
      </c>
      <c r="MJ19" s="135" t="s">
        <v>24</v>
      </c>
      <c r="MK19" s="132"/>
      <c r="ML19" s="133"/>
      <c r="MM19" s="183">
        <f>IFERROR((((COUNTIF('Elève (6ème2)'!MJ19:ML19,"A"))*4)+((COUNTIF('Elève (6ème2)'!MJ19:ML19,"B"))*3)+((COUNTIF('Elève (6ème2)'!MJ19:ML19,"C"))*2)+((COUNTIF('Elève (6ème2)'!MJ19:ML19,"D"))*1))/(COUNTA(MJ19:ML19)),"")</f>
        <v>3</v>
      </c>
      <c r="MN19" s="184" t="str">
        <f t="shared" si="81"/>
        <v>B</v>
      </c>
      <c r="MO19" s="136"/>
      <c r="MP19" s="137"/>
      <c r="MQ19" s="138"/>
      <c r="MR19" s="183" t="str">
        <f>IFERROR((((COUNTIF('Elève (6ème2)'!MO19:MQ19,"A"))*4)+((COUNTIF('Elève (6ème2)'!MO19:MQ19,"B"))*3)+((COUNTIF('Elève (6ème2)'!MO19:MQ19,"C"))*2)+((COUNTIF('Elève (6ème2)'!MO19:MQ19,"D"))*1))/(COUNTA(MO19:MQ19)),"")</f>
        <v/>
      </c>
      <c r="MS19" s="184" t="str">
        <f t="shared" si="82"/>
        <v/>
      </c>
      <c r="MT19" s="183">
        <f>IF(COUNT(MH19,MM19,MR19)=0,"",SUM(MH19,MM19,MR19)/COUNT(MH19,MM19,MR19))</f>
        <v>3</v>
      </c>
      <c r="MU19" s="209" t="str">
        <f t="shared" si="83"/>
        <v>B</v>
      </c>
      <c r="MV19" s="131"/>
      <c r="MW19" s="132"/>
      <c r="MX19" s="133"/>
      <c r="MY19" s="189" t="str">
        <f>IFERROR((((COUNTIF('Elève (6ème2)'!MV19:MX19,"A"))*4)+((COUNTIF('Elève (6ème2)'!MV19:MX19,"B"))*3)+((COUNTIF('Elève (6ème2)'!MV19:MX19,"C"))*2)+((COUNTIF('Elève (6ème2)'!MV19:MX19,"D"))*1))/(COUNTA(MV19:MX19)),"")</f>
        <v/>
      </c>
      <c r="MZ19" s="187" t="str">
        <f t="shared" si="84"/>
        <v/>
      </c>
      <c r="NA19" s="135" t="s">
        <v>24</v>
      </c>
      <c r="NB19" s="132"/>
      <c r="NC19" s="133"/>
      <c r="ND19" s="183">
        <f>IFERROR((((COUNTIF('Elève (6ème2)'!NA19:NC19,"A"))*4)+((COUNTIF('Elève (6ème2)'!NA19:NC19,"B"))*3)+((COUNTIF('Elève (6ème2)'!NA19:NC19,"C"))*2)+((COUNTIF('Elève (6ème2)'!NA19:NC19,"D"))*1))/(COUNTA(NA19:NC19)),"")</f>
        <v>3</v>
      </c>
      <c r="NE19" s="184" t="str">
        <f t="shared" si="85"/>
        <v>B</v>
      </c>
      <c r="NF19" s="136"/>
      <c r="NG19" s="137"/>
      <c r="NH19" s="138"/>
      <c r="NI19" s="183" t="str">
        <f>IFERROR((((COUNTIF('Elève (6ème2)'!NF19:NH19,"A"))*4)+((COUNTIF('Elève (6ème2)'!NF19:NH19,"B"))*3)+((COUNTIF('Elève (6ème2)'!NF19:NH19,"C"))*2)+((COUNTIF('Elève (6ème2)'!NF19:NH19,"D"))*1))/(COUNTA(NF19:NH19)),"")</f>
        <v/>
      </c>
      <c r="NJ19" s="184" t="str">
        <f t="shared" si="86"/>
        <v/>
      </c>
      <c r="NK19" s="183">
        <f>IF(COUNT(MY19,ND19,NI19)=0,"",SUM(MY19,ND19,NI19)/COUNT(MY19,ND19,NI19))</f>
        <v>3</v>
      </c>
      <c r="NL19" s="209" t="str">
        <f t="shared" si="87"/>
        <v>B</v>
      </c>
      <c r="NM19" s="131"/>
      <c r="NN19" s="132"/>
      <c r="NO19" s="133"/>
      <c r="NP19" s="189" t="str">
        <f>IFERROR((((COUNTIF('Elève (6ème2)'!NM19:NO19,"A"))*4)+((COUNTIF('Elève (6ème2)'!NM19:NO19,"B"))*3)+((COUNTIF('Elève (6ème2)'!NM19:NO19,"C"))*2)+((COUNTIF('Elève (6ème2)'!NM19:NO19,"D"))*1))/(COUNTA(NM19:NO19)),"")</f>
        <v/>
      </c>
      <c r="NQ19" s="187" t="str">
        <f t="shared" si="88"/>
        <v/>
      </c>
      <c r="NR19" s="135" t="s">
        <v>24</v>
      </c>
      <c r="NS19" s="132"/>
      <c r="NT19" s="133"/>
      <c r="NU19" s="183">
        <f>IFERROR((((COUNTIF('Elève (6ème2)'!NR19:NT19,"A"))*4)+((COUNTIF('Elève (6ème2)'!NR19:NT19,"B"))*3)+((COUNTIF('Elève (6ème2)'!NR19:NT19,"C"))*2)+((COUNTIF('Elève (6ème2)'!NR19:NT19,"D"))*1))/(COUNTA(NR19:NT19)),"")</f>
        <v>3</v>
      </c>
      <c r="NV19" s="184" t="str">
        <f t="shared" si="89"/>
        <v>B</v>
      </c>
      <c r="NW19" s="136"/>
      <c r="NX19" s="137"/>
      <c r="NY19" s="138"/>
      <c r="NZ19" s="183" t="str">
        <f>IFERROR((((COUNTIF('Elève (6ème2)'!NW19:NY19,"A"))*4)+((COUNTIF('Elève (6ème2)'!NW19:NY19,"B"))*3)+((COUNTIF('Elève (6ème2)'!NW19:NY19,"C"))*2)+((COUNTIF('Elève (6ème2)'!NW19:NY19,"D"))*1))/(COUNTA(NW19:NY19)),"")</f>
        <v/>
      </c>
      <c r="OA19" s="184" t="str">
        <f t="shared" si="90"/>
        <v/>
      </c>
      <c r="OB19" s="183">
        <f>IF(COUNT(NP19,NU19,NZ19)=0,"",SUM(NP19,NU19,NZ19)/COUNT(NP19,NU19,NZ19))</f>
        <v>3</v>
      </c>
      <c r="OC19" s="209" t="str">
        <f t="shared" si="91"/>
        <v>B</v>
      </c>
      <c r="OD19" s="131"/>
      <c r="OE19" s="132"/>
      <c r="OF19" s="133"/>
      <c r="OG19" s="189" t="str">
        <f>IFERROR((((COUNTIF('Elève (6ème2)'!OD19:OF19,"A"))*4)+((COUNTIF('Elève (6ème2)'!OD19:OF19,"B"))*3)+((COUNTIF('Elève (6ème2)'!OD19:OF19,"C"))*2)+((COUNTIF('Elève (6ème2)'!OD19:OF19,"D"))*1))/(COUNTA(OD19:OF19)),"")</f>
        <v/>
      </c>
      <c r="OH19" s="187" t="str">
        <f t="shared" si="92"/>
        <v/>
      </c>
      <c r="OI19" s="135" t="s">
        <v>26</v>
      </c>
      <c r="OJ19" s="132"/>
      <c r="OK19" s="133"/>
      <c r="OL19" s="183">
        <f>IFERROR((((COUNTIF('Elève (6ème2)'!OI19:OK19,"A"))*4)+((COUNTIF('Elève (6ème2)'!OI19:OK19,"B"))*3)+((COUNTIF('Elève (6ème2)'!OI19:OK19,"C"))*2)+((COUNTIF('Elève (6ème2)'!OI19:OK19,"D"))*1))/(COUNTA(OI19:OK19)),"")</f>
        <v>1</v>
      </c>
      <c r="OM19" s="184" t="str">
        <f t="shared" si="93"/>
        <v>D</v>
      </c>
      <c r="ON19" s="136"/>
      <c r="OO19" s="137"/>
      <c r="OP19" s="138"/>
      <c r="OQ19" s="183" t="str">
        <f>IFERROR((((COUNTIF('Elève (6ème2)'!ON19:OP19,"A"))*4)+((COUNTIF('Elève (6ème2)'!ON19:OP19,"B"))*3)+((COUNTIF('Elève (6ème2)'!ON19:OP19,"C"))*2)+((COUNTIF('Elève (6ème2)'!ON19:OP19,"D"))*1))/(COUNTA(ON19:OP19)),"")</f>
        <v/>
      </c>
      <c r="OR19" s="184" t="str">
        <f t="shared" si="94"/>
        <v/>
      </c>
      <c r="OS19" s="183">
        <f>IF(COUNT(OG19,OL19,OQ19)=0,"",SUM(OG19,OL19,OQ19)/COUNT(OG19,OL19,OQ19))</f>
        <v>1</v>
      </c>
      <c r="OT19" s="209" t="str">
        <f t="shared" si="95"/>
        <v>D</v>
      </c>
      <c r="OU19" s="131"/>
      <c r="OV19" s="132"/>
      <c r="OW19" s="133"/>
      <c r="OX19" s="189" t="str">
        <f>IFERROR((((COUNTIF('Elève (6ème2)'!OU19:OW19,"A"))*4)+((COUNTIF('Elève (6ème2)'!OU19:OW19,"B"))*3)+((COUNTIF('Elève (6ème2)'!OU19:OW19,"C"))*2)+((COUNTIF('Elève (6ème2)'!OU19:OW19,"D"))*1))/(COUNTA(OU19:OW19)),"")</f>
        <v/>
      </c>
      <c r="OY19" s="187" t="str">
        <f t="shared" si="96"/>
        <v/>
      </c>
      <c r="OZ19" s="135" t="s">
        <v>25</v>
      </c>
      <c r="PA19" s="132"/>
      <c r="PB19" s="133"/>
      <c r="PC19" s="183">
        <f>IFERROR((((COUNTIF('Elève (6ème2)'!OZ19:PB19,"A"))*4)+((COUNTIF('Elève (6ème2)'!OZ19:PB19,"B"))*3)+((COUNTIF('Elève (6ème2)'!OZ19:PB19,"C"))*2)+((COUNTIF('Elève (6ème2)'!OZ19:PB19,"D"))*1))/(COUNTA(OZ19:PB19)),"")</f>
        <v>2</v>
      </c>
      <c r="PD19" s="184" t="str">
        <f t="shared" si="97"/>
        <v>C</v>
      </c>
      <c r="PE19" s="136"/>
      <c r="PF19" s="137"/>
      <c r="PG19" s="138"/>
      <c r="PH19" s="183" t="str">
        <f>IFERROR((((COUNTIF('Elève (6ème2)'!PE19:PG19,"A"))*4)+((COUNTIF('Elève (6ème2)'!PE19:PG19,"B"))*3)+((COUNTIF('Elève (6ème2)'!PE19:PG19,"C"))*2)+((COUNTIF('Elève (6ème2)'!PE19:PG19,"D"))*1))/(COUNTA(PE19:PG19)),"")</f>
        <v/>
      </c>
      <c r="PI19" s="184" t="str">
        <f t="shared" si="98"/>
        <v/>
      </c>
      <c r="PJ19" s="183">
        <f>IF(COUNT(OX19,PC19,PH19)=0,"",SUM(OX19,PC19,PH19)/COUNT(OX19,PC19,PH19))</f>
        <v>2</v>
      </c>
      <c r="PK19" s="209" t="str">
        <f t="shared" si="99"/>
        <v>C</v>
      </c>
      <c r="PL19" s="131"/>
      <c r="PM19" s="132"/>
      <c r="PN19" s="133"/>
      <c r="PO19" s="189" t="str">
        <f>IFERROR((((COUNTIF('Elève (6ème2)'!PL19:PN19,"A"))*4)+((COUNTIF('Elève (6ème2)'!PL19:PN19,"B"))*3)+((COUNTIF('Elève (6ème2)'!PL19:PN19,"C"))*2)+((COUNTIF('Elève (6ème2)'!PL19:PN19,"D"))*1))/(COUNTA(PL19:PN19)),"")</f>
        <v/>
      </c>
      <c r="PP19" s="187" t="str">
        <f t="shared" si="100"/>
        <v/>
      </c>
      <c r="PQ19" s="135" t="s">
        <v>24</v>
      </c>
      <c r="PR19" s="132"/>
      <c r="PS19" s="133"/>
      <c r="PT19" s="183">
        <f>IFERROR((((COUNTIF('Elève (6ème2)'!PQ19:PS19,"A"))*4)+((COUNTIF('Elève (6ème2)'!PQ19:PS19,"B"))*3)+((COUNTIF('Elève (6ème2)'!PQ19:PS19,"C"))*2)+((COUNTIF('Elève (6ème2)'!PQ19:PS19,"D"))*1))/(COUNTA(PQ19:PS19)),"")</f>
        <v>3</v>
      </c>
      <c r="PU19" s="184" t="str">
        <f t="shared" si="101"/>
        <v>B</v>
      </c>
      <c r="PV19" s="136"/>
      <c r="PW19" s="137"/>
      <c r="PX19" s="138"/>
      <c r="PY19" s="183" t="str">
        <f>IFERROR((((COUNTIF('Elève (6ème2)'!PV19:PX19,"A"))*4)+((COUNTIF('Elève (6ème2)'!PV19:PX19,"B"))*3)+((COUNTIF('Elève (6ème2)'!PV19:PX19,"C"))*2)+((COUNTIF('Elève (6ème2)'!PV19:PX19,"D"))*1))/(COUNTA(PV19:PX19)),"")</f>
        <v/>
      </c>
      <c r="PZ19" s="184" t="str">
        <f t="shared" si="102"/>
        <v/>
      </c>
      <c r="QA19" s="183">
        <f>IF(COUNT(PO19,PT19,PY19)=0,"",SUM(PO19,PT19,PY19)/COUNT(PO19,PT19,PY19))</f>
        <v>3</v>
      </c>
      <c r="QB19" s="209" t="str">
        <f t="shared" si="103"/>
        <v>B</v>
      </c>
      <c r="QC19" s="131"/>
      <c r="QD19" s="132"/>
      <c r="QE19" s="133"/>
      <c r="QF19" s="189" t="str">
        <f>IFERROR((((COUNTIF('Elève (6ème2)'!QC19:QE19,"A"))*4)+((COUNTIF('Elève (6ème2)'!QC19:QE19,"B"))*3)+((COUNTIF('Elève (6ème2)'!QC19:QE19,"C"))*2)+((COUNTIF('Elève (6ème2)'!QC19:QE19,"D"))*1))/(COUNTA(QC19:QE19)),"")</f>
        <v/>
      </c>
      <c r="QG19" s="187" t="str">
        <f t="shared" si="104"/>
        <v/>
      </c>
      <c r="QH19" s="135" t="s">
        <v>24</v>
      </c>
      <c r="QI19" s="132"/>
      <c r="QJ19" s="133"/>
      <c r="QK19" s="183">
        <f>IFERROR((((COUNTIF('Elève (6ème2)'!QH19:QJ19,"A"))*4)+((COUNTIF('Elève (6ème2)'!QH19:QJ19,"B"))*3)+((COUNTIF('Elève (6ème2)'!QH19:QJ19,"C"))*2)+((COUNTIF('Elève (6ème2)'!QH19:QJ19,"D"))*1))/(COUNTA(QH19:QJ19)),"")</f>
        <v>3</v>
      </c>
      <c r="QL19" s="184" t="str">
        <f t="shared" si="105"/>
        <v>B</v>
      </c>
      <c r="QM19" s="136"/>
      <c r="QN19" s="137"/>
      <c r="QO19" s="138"/>
      <c r="QP19" s="183" t="str">
        <f>IFERROR((((COUNTIF('Elève (6ème2)'!QM19:QO19,"A"))*4)+((COUNTIF('Elève (6ème2)'!QM19:QO19,"B"))*3)+((COUNTIF('Elève (6ème2)'!QM19:QO19,"C"))*2)+((COUNTIF('Elève (6ème2)'!QM19:QO19,"D"))*1))/(COUNTA(QM19:QO19)),"")</f>
        <v/>
      </c>
      <c r="QQ19" s="184" t="str">
        <f t="shared" si="106"/>
        <v/>
      </c>
      <c r="QR19" s="183">
        <f>IF(COUNT(QF19,QK19,QP19)=0,"",SUM(QF19,QK19,QP19)/COUNT(QF19,QK19,QP19))</f>
        <v>3</v>
      </c>
      <c r="QS19" s="209" t="str">
        <f t="shared" si="107"/>
        <v>B</v>
      </c>
      <c r="QT19" s="131"/>
      <c r="QU19" s="132"/>
      <c r="QV19" s="133"/>
      <c r="QW19" s="189" t="str">
        <f>IFERROR((((COUNTIF('Elève (6ème2)'!QT19:QV19,"A"))*4)+((COUNTIF('Elève (6ème2)'!QT19:QV19,"B"))*3)+((COUNTIF('Elève (6ème2)'!QT19:QV19,"C"))*2)+((COUNTIF('Elève (6ème2)'!QT19:QV19,"D"))*1))/(COUNTA(QT19:QV19)),"")</f>
        <v/>
      </c>
      <c r="QX19" s="187" t="str">
        <f t="shared" si="108"/>
        <v/>
      </c>
      <c r="QY19" s="135"/>
      <c r="QZ19" s="132"/>
      <c r="RA19" s="133"/>
      <c r="RB19" s="183" t="str">
        <f>IFERROR((((COUNTIF('Elève (6ème2)'!QY19:RA19,"A"))*4)+((COUNTIF('Elève (6ème2)'!QY19:RA19,"B"))*3)+((COUNTIF('Elève (6ème2)'!QY19:RA19,"C"))*2)+((COUNTIF('Elève (6ème2)'!QY19:RA19,"D"))*1))/(COUNTA(QY19:RA19)),"")</f>
        <v/>
      </c>
      <c r="RC19" s="184" t="str">
        <f t="shared" si="109"/>
        <v/>
      </c>
      <c r="RD19" s="136"/>
      <c r="RE19" s="137"/>
      <c r="RF19" s="138"/>
      <c r="RG19" s="183" t="str">
        <f>IFERROR((((COUNTIF('Elève (6ème2)'!RD19:RF19,"A"))*4)+((COUNTIF('Elève (6ème2)'!RD19:RF19,"B"))*3)+((COUNTIF('Elève (6ème2)'!RD19:RF19,"C"))*2)+((COUNTIF('Elève (6ème2)'!RD19:RF19,"D"))*1))/(COUNTA(RD19:RF19)),"")</f>
        <v/>
      </c>
      <c r="RH19" s="184" t="str">
        <f t="shared" si="110"/>
        <v/>
      </c>
      <c r="RI19" s="183" t="str">
        <f>IF(COUNT(QW19,RB19,RG19)=0,"",SUM(QW19,RB19,RG19)/COUNT(QW19,RB19,RG19))</f>
        <v/>
      </c>
      <c r="RJ19" s="209" t="str">
        <f t="shared" si="111"/>
        <v/>
      </c>
      <c r="RK19" s="131"/>
      <c r="RL19" s="132"/>
      <c r="RM19" s="133"/>
      <c r="RN19" s="189" t="str">
        <f>IFERROR((((COUNTIF('Elève (6ème2)'!RK19:RM19,"A"))*4)+((COUNTIF('Elève (6ème2)'!RK19:RM19,"B"))*3)+((COUNTIF('Elève (6ème2)'!RK19:RM19,"C"))*2)+((COUNTIF('Elève (6ème2)'!RK19:RM19,"D"))*1))/(COUNTA(RK19:RM19)),"")</f>
        <v/>
      </c>
      <c r="RO19" s="187" t="str">
        <f t="shared" si="112"/>
        <v/>
      </c>
      <c r="RP19" s="135" t="s">
        <v>24</v>
      </c>
      <c r="RQ19" s="132"/>
      <c r="RR19" s="133"/>
      <c r="RS19" s="183">
        <f>IFERROR((((COUNTIF('Elève (6ème2)'!RP19:RR19,"A"))*4)+((COUNTIF('Elève (6ème2)'!RP19:RR19,"B"))*3)+((COUNTIF('Elève (6ème2)'!RP19:RR19,"C"))*2)+((COUNTIF('Elève (6ème2)'!RP19:RR19,"D"))*1))/(COUNTA(RP19:RR19)),"")</f>
        <v>3</v>
      </c>
      <c r="RT19" s="184" t="str">
        <f t="shared" si="113"/>
        <v>B</v>
      </c>
      <c r="RU19" s="136"/>
      <c r="RV19" s="137"/>
      <c r="RW19" s="138"/>
      <c r="RX19" s="183" t="str">
        <f>IFERROR((((COUNTIF('Elève (6ème2)'!RU19:RW19,"A"))*4)+((COUNTIF('Elève (6ème2)'!RU19:RW19,"B"))*3)+((COUNTIF('Elève (6ème2)'!RU19:RW19,"C"))*2)+((COUNTIF('Elève (6ème2)'!RU19:RW19,"D"))*1))/(COUNTA(RU19:RW19)),"")</f>
        <v/>
      </c>
      <c r="RY19" s="184" t="str">
        <f t="shared" si="114"/>
        <v/>
      </c>
      <c r="RZ19" s="183">
        <f>IF(COUNT(RN19,RS19,RX19)=0,"",SUM(RN19,RS19,RX19)/COUNT(RN19,RS19,RX19))</f>
        <v>3</v>
      </c>
      <c r="SA19" s="209" t="str">
        <f t="shared" si="115"/>
        <v>B</v>
      </c>
      <c r="SB19" s="131"/>
      <c r="SC19" s="132"/>
      <c r="SD19" s="133"/>
      <c r="SE19" s="189" t="str">
        <f>IFERROR((((COUNTIF('Elève (6ème2)'!SB19:SD19,"A"))*4)+((COUNTIF('Elève (6ème2)'!SB19:SD19,"B"))*3)+((COUNTIF('Elève (6ème2)'!SB19:SD19,"C"))*2)+((COUNTIF('Elève (6ème2)'!SB19:SD19,"D"))*1))/(COUNTA(SB19:SD19)),"")</f>
        <v/>
      </c>
      <c r="SF19" s="187" t="str">
        <f t="shared" si="116"/>
        <v/>
      </c>
      <c r="SG19" s="135" t="s">
        <v>24</v>
      </c>
      <c r="SH19" s="132"/>
      <c r="SI19" s="133"/>
      <c r="SJ19" s="183">
        <f>IFERROR((((COUNTIF('Elève (6ème2)'!SG19:SI19,"A"))*4)+((COUNTIF('Elève (6ème2)'!SG19:SI19,"B"))*3)+((COUNTIF('Elève (6ème2)'!SG19:SI19,"C"))*2)+((COUNTIF('Elève (6ème2)'!SG19:SI19,"D"))*1))/(COUNTA(SG19:SI19)),"")</f>
        <v>3</v>
      </c>
      <c r="SK19" s="184" t="str">
        <f t="shared" si="117"/>
        <v>B</v>
      </c>
      <c r="SL19" s="136"/>
      <c r="SM19" s="137"/>
      <c r="SN19" s="138"/>
      <c r="SO19" s="183" t="str">
        <f>IFERROR((((COUNTIF('Elève (6ème2)'!SL19:SN19,"A"))*4)+((COUNTIF('Elève (6ème2)'!SL19:SN19,"B"))*3)+((COUNTIF('Elève (6ème2)'!SL19:SN19,"C"))*2)+((COUNTIF('Elève (6ème2)'!SL19:SN19,"D"))*1))/(COUNTA(SL19:SN19)),"")</f>
        <v/>
      </c>
      <c r="SP19" s="184" t="str">
        <f t="shared" si="118"/>
        <v/>
      </c>
      <c r="SQ19" s="183">
        <f>IF(COUNT(SE19,SJ19,SO19)=0,"",SUM(SE19,SJ19,SO19)/COUNT(SE19,SJ19,SO19))</f>
        <v>3</v>
      </c>
      <c r="SR19" s="209" t="str">
        <f t="shared" si="119"/>
        <v>B</v>
      </c>
      <c r="SS19" s="131"/>
      <c r="ST19" s="132"/>
      <c r="SU19" s="133"/>
      <c r="SV19" s="134" t="str">
        <f>IFERROR((((COUNTIF('Elève (6ème2)'!SS19:SU19,"A"))*4)+((COUNTIF('Elève (6ème2)'!SS19:SU19,"B"))*3)+((COUNTIF('Elève (6ème2)'!SS19:SU19,"C"))*2)+((COUNTIF('Elève (6ème2)'!SS19:SU19,"D"))*1))/(COUNTA(SS19:SU19)),"")</f>
        <v/>
      </c>
      <c r="SW19" s="118" t="str">
        <f t="shared" si="120"/>
        <v/>
      </c>
      <c r="SX19" s="135"/>
      <c r="SY19" s="132"/>
      <c r="SZ19" s="133"/>
      <c r="TA19" s="102" t="str">
        <f>IFERROR((((COUNTIF('Elève (6ème2)'!SX19:SZ19,"A"))*4)+((COUNTIF('Elève (6ème2)'!SX19:SZ19,"B"))*3)+((COUNTIF('Elève (6ème2)'!SX19:SZ19,"C"))*2)+((COUNTIF('Elève (6ème2)'!SX19:SZ19,"D"))*1))/(COUNTA(SX19:SZ19)),"")</f>
        <v/>
      </c>
      <c r="TB19" s="103" t="str">
        <f t="shared" si="121"/>
        <v/>
      </c>
      <c r="TC19" s="136"/>
      <c r="TD19" s="137"/>
      <c r="TE19" s="138"/>
      <c r="TF19" s="102" t="str">
        <f>IFERROR((((COUNTIF('Elève (6ème2)'!TC19:TE19,"A"))*4)+((COUNTIF('Elève (6ème2)'!TC19:TE19,"B"))*3)+((COUNTIF('Elève (6ème2)'!TC19:TE19,"C"))*2)+((COUNTIF('Elève (6ème2)'!TC19:TE19,"D"))*1))/(COUNTA(TC19:TE19)),"")</f>
        <v/>
      </c>
      <c r="TG19" s="103" t="str">
        <f t="shared" si="122"/>
        <v/>
      </c>
      <c r="TH19" s="102" t="str">
        <f>IF(COUNT(SV19,TA19,TF19)=0,"",SUM(SV19,TA19,TF19)/COUNT(SV19,TA19,TF19))</f>
        <v/>
      </c>
      <c r="TI19" s="117" t="str">
        <f t="shared" si="123"/>
        <v/>
      </c>
      <c r="TJ19" s="131"/>
      <c r="TK19" s="132"/>
      <c r="TL19" s="133"/>
      <c r="TM19" s="134" t="str">
        <f>IFERROR((((COUNTIF('Elève (6ème2)'!TJ19:TL19,"A"))*4)+((COUNTIF('Elève (6ème2)'!TJ19:TL19,"B"))*3)+((COUNTIF('Elève (6ème2)'!TJ19:TL19,"C"))*2)+((COUNTIF('Elève (6ème2)'!TJ19:TL19,"D"))*1))/(COUNTA(TJ19:TL19)),"")</f>
        <v/>
      </c>
      <c r="TN19" s="118" t="str">
        <f t="shared" si="124"/>
        <v/>
      </c>
      <c r="TO19" s="135"/>
      <c r="TP19" s="132"/>
      <c r="TQ19" s="133"/>
      <c r="TR19" s="102" t="str">
        <f>IFERROR((((COUNTIF('Elève (6ème2)'!TO19:TQ19,"A"))*4)+((COUNTIF('Elève (6ème2)'!TO19:TQ19,"B"))*3)+((COUNTIF('Elève (6ème2)'!TO19:TQ19,"C"))*2)+((COUNTIF('Elève (6ème2)'!TO19:TQ19,"D"))*1))/(COUNTA(TO19:TQ19)),"")</f>
        <v/>
      </c>
      <c r="TS19" s="103" t="str">
        <f t="shared" si="125"/>
        <v/>
      </c>
      <c r="TT19" s="136"/>
      <c r="TU19" s="137"/>
      <c r="TV19" s="138"/>
      <c r="TW19" s="102" t="str">
        <f>IFERROR((((COUNTIF('Elève (6ème2)'!TT19:TV19,"A"))*4)+((COUNTIF('Elève (6ème2)'!TT19:TV19,"B"))*3)+((COUNTIF('Elève (6ème2)'!TT19:TV19,"C"))*2)+((COUNTIF('Elève (6ème2)'!TT19:TV19,"D"))*1))/(COUNTA(TT19:TV19)),"")</f>
        <v/>
      </c>
      <c r="TX19" s="103" t="str">
        <f t="shared" si="126"/>
        <v/>
      </c>
      <c r="TY19" s="102" t="str">
        <f>IF(COUNT(TM19,TR19,TW19)=0,"",SUM(TM19,TR19,TW19)/COUNT(TM19,TR19,TW19))</f>
        <v/>
      </c>
      <c r="TZ19" s="117" t="str">
        <f t="shared" si="127"/>
        <v/>
      </c>
    </row>
    <row r="20" spans="1:546" ht="15.75" thickBot="1" x14ac:dyDescent="0.3">
      <c r="A20" s="166" t="s">
        <v>41</v>
      </c>
      <c r="B20" s="139"/>
      <c r="C20" s="174"/>
      <c r="D20" s="141"/>
      <c r="E20" s="142"/>
      <c r="F20" s="190" t="str">
        <f>IFERROR((((COUNTIF('Elève (6ème2)'!C20:E20,"A"))*4)+((COUNTIF('Elève (6ème2)'!C20:E20,"B"))*3)+((COUNTIF('Elève (6ème2)'!C20:E20,"C"))*2)+((COUNTIF('Elève (6ème2)'!C20:E20,"D"))*1))/(COUNTA(C20:E20)),"")</f>
        <v/>
      </c>
      <c r="G20" s="191" t="str">
        <f t="shared" si="0"/>
        <v/>
      </c>
      <c r="H20" s="174"/>
      <c r="I20" s="141"/>
      <c r="J20" s="142"/>
      <c r="K20" s="190" t="str">
        <f>IFERROR((((COUNTIF('Elève (6ème2)'!H20:J20,"A"))*4)+((COUNTIF('Elève (6ème2)'!H20:J20,"B"))*3)+((COUNTIF('Elève (6ème2)'!H20:J20,"C"))*2)+((COUNTIF('Elève (6ème2)'!H20:J20,"D"))*1))/(COUNTA(H20:J20)),"")</f>
        <v/>
      </c>
      <c r="L20" s="191" t="str">
        <f t="shared" si="1"/>
        <v/>
      </c>
      <c r="M20" s="174"/>
      <c r="N20" s="141"/>
      <c r="O20" s="142"/>
      <c r="P20" s="190" t="str">
        <f>IFERROR((((COUNTIF('Elève (6ème2)'!M20:O20,"A"))*4)+((COUNTIF('Elève (6ème2)'!M20:O20,"B"))*3)+((COUNTIF('Elève (6ème2)'!M20:O20,"C"))*2)+((COUNTIF('Elève (6ème2)'!M20:O20,"D"))*1))/(COUNTA(M20:O20)),"")</f>
        <v/>
      </c>
      <c r="Q20" s="191" t="str">
        <f t="shared" si="2"/>
        <v/>
      </c>
      <c r="R20" s="190" t="str">
        <f>IF(COUNT(F20,K20,P20)=0,"",SUM(F20,K20,P20)/COUNT(F20,K20,P20))</f>
        <v/>
      </c>
      <c r="S20" s="213" t="str">
        <f t="shared" si="3"/>
        <v/>
      </c>
      <c r="T20" s="219"/>
      <c r="U20" s="141"/>
      <c r="V20" s="142"/>
      <c r="W20" s="190" t="str">
        <f>IFERROR((((COUNTIF('Elève (6ème2)'!T20:V20,"A"))*4)+((COUNTIF('Elève (6ème2)'!T20:V20,"B"))*3)+((COUNTIF('Elève (6ème2)'!T20:V20,"C"))*2)+((COUNTIF('Elève (6ème2)'!T20:V20,"D"))*1))/(COUNTA(T20:V20)),"")</f>
        <v/>
      </c>
      <c r="X20" s="191" t="str">
        <f t="shared" si="4"/>
        <v/>
      </c>
      <c r="Y20" s="174"/>
      <c r="Z20" s="141"/>
      <c r="AA20" s="142"/>
      <c r="AB20" s="190" t="str">
        <f>IFERROR((((COUNTIF('Elève (6ème2)'!Y20:AA20,"A"))*4)+((COUNTIF('Elève (6ème2)'!Y20:AA20,"B"))*3)+((COUNTIF('Elève (6ème2)'!Y20:AA20,"C"))*2)+((COUNTIF('Elève (6ème2)'!Y20:AA20,"D"))*1))/(COUNTA(Y20:AA20)),"")</f>
        <v/>
      </c>
      <c r="AC20" s="191" t="str">
        <f t="shared" si="5"/>
        <v/>
      </c>
      <c r="AD20" s="174"/>
      <c r="AE20" s="141"/>
      <c r="AF20" s="142"/>
      <c r="AG20" s="190" t="str">
        <f>IFERROR((((COUNTIF('Elève (6ème2)'!AD20:AF20,"A"))*4)+((COUNTIF('Elève (6ème2)'!AD20:AF20,"B"))*3)+((COUNTIF('Elève (6ème2)'!AD20:AF20,"C"))*2)+((COUNTIF('Elève (6ème2)'!AD20:AF20,"D"))*1))/(COUNTA(AD20:AF20)),"")</f>
        <v/>
      </c>
      <c r="AH20" s="191" t="str">
        <f t="shared" si="6"/>
        <v/>
      </c>
      <c r="AI20" s="190" t="str">
        <f>IF(COUNT(W20,AB20,AG20)=0,"",SUM(W20,AB20,AG20)/COUNT(W20,AB20,AG20))</f>
        <v/>
      </c>
      <c r="AJ20" s="213" t="str">
        <f t="shared" si="7"/>
        <v/>
      </c>
      <c r="AK20" s="219"/>
      <c r="AL20" s="141"/>
      <c r="AM20" s="142"/>
      <c r="AN20" s="190" t="str">
        <f>IFERROR((((COUNTIF('Elève (6ème2)'!AK20:AM20,"A"))*4)+((COUNTIF('Elève (6ème2)'!AK20:AM20,"B"))*3)+((COUNTIF('Elève (6ème2)'!AK20:AM20,"C"))*2)+((COUNTIF('Elève (6ème2)'!AK20:AM20,"D"))*1))/(COUNTA(AK20:AM20)),"")</f>
        <v/>
      </c>
      <c r="AO20" s="191" t="str">
        <f t="shared" si="8"/>
        <v/>
      </c>
      <c r="AP20" s="174"/>
      <c r="AQ20" s="141"/>
      <c r="AR20" s="142"/>
      <c r="AS20" s="190" t="str">
        <f>IFERROR((((COUNTIF('Elève (6ème2)'!AP20:AR20,"A"))*4)+((COUNTIF('Elève (6ème2)'!AP20:AR20,"B"))*3)+((COUNTIF('Elève (6ème2)'!AP20:AR20,"C"))*2)+((COUNTIF('Elève (6ème2)'!AP20:AR20,"D"))*1))/(COUNTA(AP20:AR20)),"")</f>
        <v/>
      </c>
      <c r="AT20" s="191" t="str">
        <f t="shared" si="9"/>
        <v/>
      </c>
      <c r="AU20" s="174"/>
      <c r="AV20" s="141"/>
      <c r="AW20" s="142"/>
      <c r="AX20" s="190" t="str">
        <f>IFERROR((((COUNTIF('Elève (6ème2)'!AU20:AW20,"A"))*4)+((COUNTIF('Elève (6ème2)'!AU20:AW20,"B"))*3)+((COUNTIF('Elève (6ème2)'!AU20:AW20,"C"))*2)+((COUNTIF('Elève (6ème2)'!AU20:AW20,"D"))*1))/(COUNTA(AU20:AW20)),"")</f>
        <v/>
      </c>
      <c r="AY20" s="191" t="str">
        <f t="shared" si="10"/>
        <v/>
      </c>
      <c r="AZ20" s="190" t="str">
        <f>IF(COUNT(AN20,AS20,AX20)=0,"",SUM(AN20,AS20,AX20)/COUNT(AN20,AS20,AX20))</f>
        <v/>
      </c>
      <c r="BA20" s="213" t="str">
        <f t="shared" si="11"/>
        <v/>
      </c>
      <c r="BB20" s="219"/>
      <c r="BC20" s="141"/>
      <c r="BD20" s="142"/>
      <c r="BE20" s="190" t="str">
        <f>IFERROR((((COUNTIF('Elève (6ème2)'!BB20:BD20,"A"))*4)+((COUNTIF('Elève (6ème2)'!BB20:BD20,"B"))*3)+((COUNTIF('Elève (6ème2)'!BB20:BD20,"C"))*2)+((COUNTIF('Elève (6ème2)'!BB20:BD20,"D"))*1))/(COUNTA(BB20:BD20)),"")</f>
        <v/>
      </c>
      <c r="BF20" s="191" t="str">
        <f t="shared" si="12"/>
        <v/>
      </c>
      <c r="BG20" s="174"/>
      <c r="BH20" s="141"/>
      <c r="BI20" s="142"/>
      <c r="BJ20" s="190" t="str">
        <f>IFERROR((((COUNTIF('Elève (6ème2)'!BG20:BI20,"A"))*4)+((COUNTIF('Elève (6ème2)'!BG20:BI20,"B"))*3)+((COUNTIF('Elève (6ème2)'!BG20:BI20,"C"))*2)+((COUNTIF('Elève (6ème2)'!BG20:BI20,"D"))*1))/(COUNTA(BG20:BI20)),"")</f>
        <v/>
      </c>
      <c r="BK20" s="191" t="str">
        <f t="shared" si="13"/>
        <v/>
      </c>
      <c r="BL20" s="174"/>
      <c r="BM20" s="141"/>
      <c r="BN20" s="142"/>
      <c r="BO20" s="190" t="str">
        <f>IFERROR((((COUNTIF('Elève (6ème2)'!BL20:BN20,"A"))*4)+((COUNTIF('Elève (6ème2)'!BL20:BN20,"B"))*3)+((COUNTIF('Elève (6ème2)'!BL20:BN20,"C"))*2)+((COUNTIF('Elève (6ème2)'!BL20:BN20,"D"))*1))/(COUNTA(BL20:BN20)),"")</f>
        <v/>
      </c>
      <c r="BP20" s="191" t="str">
        <f t="shared" si="14"/>
        <v/>
      </c>
      <c r="BQ20" s="190" t="str">
        <f>IF(COUNT(BE20,BJ20,BO20)=0,"",SUM(BE20,BJ20,BO20)/COUNT(BE20,BJ20,BO20))</f>
        <v/>
      </c>
      <c r="BR20" s="213" t="str">
        <f t="shared" si="15"/>
        <v/>
      </c>
      <c r="BS20" s="219"/>
      <c r="BT20" s="141"/>
      <c r="BU20" s="142"/>
      <c r="BV20" s="190" t="str">
        <f>IFERROR((((COUNTIF('Elève (6ème2)'!BS20:BU20,"A"))*4)+((COUNTIF('Elève (6ème2)'!BS20:BU20,"B"))*3)+((COUNTIF('Elève (6ème2)'!BS20:BU20,"C"))*2)+((COUNTIF('Elève (6ème2)'!BS20:BU20,"D"))*1))/(COUNTA(BS20:BU20)),"")</f>
        <v/>
      </c>
      <c r="BW20" s="191" t="str">
        <f t="shared" si="16"/>
        <v/>
      </c>
      <c r="BX20" s="174"/>
      <c r="BY20" s="141"/>
      <c r="BZ20" s="142"/>
      <c r="CA20" s="190" t="str">
        <f>IFERROR((((COUNTIF('Elève (6ème2)'!BX20:BZ20,"A"))*4)+((COUNTIF('Elève (6ème2)'!BX20:BZ20,"B"))*3)+((COUNTIF('Elève (6ème2)'!BX20:BZ20,"C"))*2)+((COUNTIF('Elève (6ème2)'!BX20:BZ20,"D"))*1))/(COUNTA(BX20:BZ20)),"")</f>
        <v/>
      </c>
      <c r="CB20" s="191" t="str">
        <f t="shared" si="17"/>
        <v/>
      </c>
      <c r="CC20" s="174"/>
      <c r="CD20" s="141"/>
      <c r="CE20" s="142"/>
      <c r="CF20" s="190" t="str">
        <f>IFERROR((((COUNTIF('Elève (6ème2)'!CC20:CE20,"A"))*4)+((COUNTIF('Elève (6ème2)'!CC20:CE20,"B"))*3)+((COUNTIF('Elève (6ème2)'!CC20:CE20,"C"))*2)+((COUNTIF('Elève (6ème2)'!CC20:CE20,"D"))*1))/(COUNTA(CC20:CE20)),"")</f>
        <v/>
      </c>
      <c r="CG20" s="191" t="str">
        <f t="shared" si="18"/>
        <v/>
      </c>
      <c r="CH20" s="190" t="str">
        <f>IF(COUNT(BV20,CA20,CF20)=0,"",SUM(BV20,CA20,CF20)/COUNT(BV20,CA20,CF20))</f>
        <v/>
      </c>
      <c r="CI20" s="213" t="str">
        <f t="shared" si="19"/>
        <v/>
      </c>
      <c r="CJ20" s="219"/>
      <c r="CK20" s="141"/>
      <c r="CL20" s="142"/>
      <c r="CM20" s="190" t="str">
        <f>IFERROR((((COUNTIF('Elève (6ème2)'!CJ20:CL20,"A"))*4)+((COUNTIF('Elève (6ème2)'!CJ20:CL20,"B"))*3)+((COUNTIF('Elève (6ème2)'!CJ20:CL20,"C"))*2)+((COUNTIF('Elève (6ème2)'!CJ20:CL20,"D"))*1))/(COUNTA(CJ20:CL20)),"")</f>
        <v/>
      </c>
      <c r="CN20" s="191" t="str">
        <f t="shared" si="20"/>
        <v/>
      </c>
      <c r="CO20" s="174"/>
      <c r="CP20" s="141"/>
      <c r="CQ20" s="142"/>
      <c r="CR20" s="190" t="str">
        <f>IFERROR((((COUNTIF('Elève (6ème2)'!CO20:CQ20,"A"))*4)+((COUNTIF('Elève (6ème2)'!CO20:CQ20,"B"))*3)+((COUNTIF('Elève (6ème2)'!CO20:CQ20,"C"))*2)+((COUNTIF('Elève (6ème2)'!CO20:CQ20,"D"))*1))/(COUNTA(CO20:CQ20)),"")</f>
        <v/>
      </c>
      <c r="CS20" s="191" t="str">
        <f t="shared" si="21"/>
        <v/>
      </c>
      <c r="CT20" s="174"/>
      <c r="CU20" s="141"/>
      <c r="CV20" s="142"/>
      <c r="CW20" s="190" t="str">
        <f>IFERROR((((COUNTIF('Elève (6ème2)'!CT20:CV20,"A"))*4)+((COUNTIF('Elève (6ème2)'!CT20:CV20,"B"))*3)+((COUNTIF('Elève (6ème2)'!CT20:CV20,"C"))*2)+((COUNTIF('Elève (6ème2)'!CT20:CV20,"D"))*1))/(COUNTA(CT20:CV20)),"")</f>
        <v/>
      </c>
      <c r="CX20" s="191" t="str">
        <f t="shared" si="22"/>
        <v/>
      </c>
      <c r="CY20" s="190" t="str">
        <f>IF(COUNT(CM20,CR20,CW20)=0,"",SUM(CM20,CR20,CW20)/COUNT(CM20,CR20,CW20))</f>
        <v/>
      </c>
      <c r="CZ20" s="213" t="str">
        <f t="shared" si="23"/>
        <v/>
      </c>
      <c r="DA20" s="219"/>
      <c r="DB20" s="141"/>
      <c r="DC20" s="142"/>
      <c r="DD20" s="190" t="str">
        <f>IFERROR((((COUNTIF('Elève (6ème2)'!DA20:DC20,"A"))*4)+((COUNTIF('Elève (6ème2)'!DA20:DC20,"B"))*3)+((COUNTIF('Elève (6ème2)'!DA20:DC20,"C"))*2)+((COUNTIF('Elève (6ème2)'!DA20:DC20,"D"))*1))/(COUNTA(DA20:DC20)),"")</f>
        <v/>
      </c>
      <c r="DE20" s="191" t="str">
        <f t="shared" si="24"/>
        <v/>
      </c>
      <c r="DF20" s="174"/>
      <c r="DG20" s="141"/>
      <c r="DH20" s="142"/>
      <c r="DI20" s="190" t="str">
        <f>IFERROR((((COUNTIF('Elève (6ème2)'!DF20:DH20,"A"))*4)+((COUNTIF('Elève (6ème2)'!DF20:DH20,"B"))*3)+((COUNTIF('Elève (6ème2)'!DF20:DH20,"C"))*2)+((COUNTIF('Elève (6ème2)'!DF20:DH20,"D"))*1))/(COUNTA(DF20:DH20)),"")</f>
        <v/>
      </c>
      <c r="DJ20" s="191" t="str">
        <f t="shared" si="25"/>
        <v/>
      </c>
      <c r="DK20" s="174"/>
      <c r="DL20" s="141"/>
      <c r="DM20" s="142"/>
      <c r="DN20" s="190" t="str">
        <f>IFERROR((((COUNTIF('Elève (6ème2)'!DK20:DM20,"A"))*4)+((COUNTIF('Elève (6ème2)'!DK20:DM20,"B"))*3)+((COUNTIF('Elève (6ème2)'!DK20:DM20,"C"))*2)+((COUNTIF('Elève (6ème2)'!DK20:DM20,"D"))*1))/(COUNTA(DK20:DM20)),"")</f>
        <v/>
      </c>
      <c r="DO20" s="191" t="str">
        <f t="shared" si="26"/>
        <v/>
      </c>
      <c r="DP20" s="190" t="str">
        <f>IF(COUNT(DD20,DI20,DN20)=0,"",SUM(DD20,DI20,DN20)/COUNT(DD20,DI20,DN20))</f>
        <v/>
      </c>
      <c r="DQ20" s="213" t="str">
        <f t="shared" si="27"/>
        <v/>
      </c>
      <c r="DR20" s="219"/>
      <c r="DS20" s="141"/>
      <c r="DT20" s="142"/>
      <c r="DU20" s="190" t="str">
        <f>IFERROR((((COUNTIF('Elève (6ème2)'!DR20:DT20,"A"))*4)+((COUNTIF('Elève (6ème2)'!DR20:DT20,"B"))*3)+((COUNTIF('Elève (6ème2)'!DR20:DT20,"C"))*2)+((COUNTIF('Elève (6ème2)'!DR20:DT20,"D"))*1))/(COUNTA(DR20:DT20)),"")</f>
        <v/>
      </c>
      <c r="DV20" s="191" t="str">
        <f t="shared" si="28"/>
        <v/>
      </c>
      <c r="DW20" s="174"/>
      <c r="DX20" s="141"/>
      <c r="DY20" s="142"/>
      <c r="DZ20" s="190" t="str">
        <f>IFERROR((((COUNTIF('Elève (6ème2)'!DW20:DY20,"A"))*4)+((COUNTIF('Elève (6ème2)'!DW20:DY20,"B"))*3)+((COUNTIF('Elève (6ème2)'!DW20:DY20,"C"))*2)+((COUNTIF('Elève (6ème2)'!DW20:DY20,"D"))*1))/(COUNTA(DW20:DY20)),"")</f>
        <v/>
      </c>
      <c r="EA20" s="191" t="str">
        <f t="shared" si="29"/>
        <v/>
      </c>
      <c r="EB20" s="174"/>
      <c r="EC20" s="141"/>
      <c r="ED20" s="142"/>
      <c r="EE20" s="190" t="str">
        <f>IFERROR((((COUNTIF('Elève (6ème2)'!EB20:ED20,"A"))*4)+((COUNTIF('Elève (6ème2)'!EB20:ED20,"B"))*3)+((COUNTIF('Elève (6ème2)'!EB20:ED20,"C"))*2)+((COUNTIF('Elève (6ème2)'!EB20:ED20,"D"))*1))/(COUNTA(EB20:ED20)),"")</f>
        <v/>
      </c>
      <c r="EF20" s="191" t="str">
        <f t="shared" si="30"/>
        <v/>
      </c>
      <c r="EG20" s="190" t="str">
        <f>IF(COUNT(DU20,DZ20,EE20)=0,"",SUM(DU20,DZ20,EE20)/COUNT(DU20,DZ20,EE20))</f>
        <v/>
      </c>
      <c r="EH20" s="213" t="str">
        <f t="shared" si="31"/>
        <v/>
      </c>
      <c r="EI20" s="219"/>
      <c r="EJ20" s="141"/>
      <c r="EK20" s="142"/>
      <c r="EL20" s="190" t="str">
        <f>IFERROR((((COUNTIF('Elève (6ème2)'!EI20:EK20,"A"))*4)+((COUNTIF('Elève (6ème2)'!EI20:EK20,"B"))*3)+((COUNTIF('Elève (6ème2)'!EI20:EK20,"C"))*2)+((COUNTIF('Elève (6ème2)'!EI20:EK20,"D"))*1))/(COUNTA(EI20:EK20)),"")</f>
        <v/>
      </c>
      <c r="EM20" s="191" t="str">
        <f t="shared" si="32"/>
        <v/>
      </c>
      <c r="EN20" s="174"/>
      <c r="EO20" s="141"/>
      <c r="EP20" s="142"/>
      <c r="EQ20" s="190" t="str">
        <f>IFERROR((((COUNTIF('Elève (6ème2)'!EN20:EP20,"A"))*4)+((COUNTIF('Elève (6ème2)'!EN20:EP20,"B"))*3)+((COUNTIF('Elève (6ème2)'!EN20:EP20,"C"))*2)+((COUNTIF('Elève (6ème2)'!EN20:EP20,"D"))*1))/(COUNTA(EN20:EP20)),"")</f>
        <v/>
      </c>
      <c r="ER20" s="191" t="str">
        <f t="shared" si="33"/>
        <v/>
      </c>
      <c r="ES20" s="174"/>
      <c r="ET20" s="141"/>
      <c r="EU20" s="142"/>
      <c r="EV20" s="190" t="str">
        <f>IFERROR((((COUNTIF('Elève (6ème2)'!ES20:EU20,"A"))*4)+((COUNTIF('Elève (6ème2)'!ES20:EU20,"B"))*3)+((COUNTIF('Elève (6ème2)'!ES20:EU20,"C"))*2)+((COUNTIF('Elève (6ème2)'!ES20:EU20,"D"))*1))/(COUNTA(ES20:EU20)),"")</f>
        <v/>
      </c>
      <c r="EW20" s="191" t="str">
        <f t="shared" si="34"/>
        <v/>
      </c>
      <c r="EX20" s="190" t="str">
        <f>IF(COUNT(EL20,EQ20,EV20)=0,"",SUM(EL20,EQ20,EV20)/COUNT(EL20,EQ20,EV20))</f>
        <v/>
      </c>
      <c r="EY20" s="213" t="str">
        <f t="shared" si="35"/>
        <v/>
      </c>
      <c r="EZ20" s="219"/>
      <c r="FA20" s="141"/>
      <c r="FB20" s="142"/>
      <c r="FC20" s="190" t="str">
        <f>IFERROR((((COUNTIF('Elève (6ème2)'!EZ20:FB20,"A"))*4)+((COUNTIF('Elève (6ème2)'!EZ20:FB20,"B"))*3)+((COUNTIF('Elève (6ème2)'!EZ20:FB20,"C"))*2)+((COUNTIF('Elève (6ème2)'!EZ20:FB20,"D"))*1))/(COUNTA(EZ20:FB20)),"")</f>
        <v/>
      </c>
      <c r="FD20" s="191" t="str">
        <f t="shared" si="36"/>
        <v/>
      </c>
      <c r="FE20" s="174"/>
      <c r="FF20" s="141"/>
      <c r="FG20" s="142"/>
      <c r="FH20" s="190" t="str">
        <f>IFERROR((((COUNTIF('Elève (6ème2)'!FE20:FG20,"A"))*4)+((COUNTIF('Elève (6ème2)'!FE20:FG20,"B"))*3)+((COUNTIF('Elève (6ème2)'!FE20:FG20,"C"))*2)+((COUNTIF('Elève (6ème2)'!FE20:FG20,"D"))*1))/(COUNTA(FE20:FG20)),"")</f>
        <v/>
      </c>
      <c r="FI20" s="191" t="str">
        <f t="shared" si="37"/>
        <v/>
      </c>
      <c r="FJ20" s="174"/>
      <c r="FK20" s="141"/>
      <c r="FL20" s="142"/>
      <c r="FM20" s="190" t="str">
        <f>IFERROR((((COUNTIF('Elève (6ème2)'!FJ20:FL20,"A"))*4)+((COUNTIF('Elève (6ème2)'!FJ20:FL20,"B"))*3)+((COUNTIF('Elève (6ème2)'!FJ20:FL20,"C"))*2)+((COUNTIF('Elève (6ème2)'!FJ20:FL20,"D"))*1))/(COUNTA(FJ20:FL20)),"")</f>
        <v/>
      </c>
      <c r="FN20" s="191" t="str">
        <f t="shared" si="38"/>
        <v/>
      </c>
      <c r="FO20" s="190" t="str">
        <f>IF(COUNT(FC20,FH20,FM20)=0,"",SUM(FC20,FH20,FM20)/COUNT(FC20,FH20,FM20))</f>
        <v/>
      </c>
      <c r="FP20" s="213" t="str">
        <f t="shared" si="39"/>
        <v/>
      </c>
      <c r="FQ20" s="219"/>
      <c r="FR20" s="141"/>
      <c r="FS20" s="142"/>
      <c r="FT20" s="190" t="str">
        <f>IFERROR((((COUNTIF('Elève (6ème2)'!FQ20:FS20,"A"))*4)+((COUNTIF('Elève (6ème2)'!FQ20:FS20,"B"))*3)+((COUNTIF('Elève (6ème2)'!FQ20:FS20,"C"))*2)+((COUNTIF('Elève (6ème2)'!FQ20:FS20,"D"))*1))/(COUNTA(FQ20:FS20)),"")</f>
        <v/>
      </c>
      <c r="FU20" s="191" t="str">
        <f t="shared" si="40"/>
        <v/>
      </c>
      <c r="FV20" s="174"/>
      <c r="FW20" s="141"/>
      <c r="FX20" s="142"/>
      <c r="FY20" s="190" t="str">
        <f>IFERROR((((COUNTIF('Elève (6ème2)'!FV20:FX20,"A"))*4)+((COUNTIF('Elève (6ème2)'!FV20:FX20,"B"))*3)+((COUNTIF('Elève (6ème2)'!FV20:FX20,"C"))*2)+((COUNTIF('Elève (6ème2)'!FV20:FX20,"D"))*1))/(COUNTA(FV20:FX20)),"")</f>
        <v/>
      </c>
      <c r="FZ20" s="191" t="str">
        <f t="shared" si="41"/>
        <v/>
      </c>
      <c r="GA20" s="174"/>
      <c r="GB20" s="141"/>
      <c r="GC20" s="142"/>
      <c r="GD20" s="190" t="str">
        <f>IFERROR((((COUNTIF('Elève (6ème2)'!GA20:GC20,"A"))*4)+((COUNTIF('Elève (6ème2)'!GA20:GC20,"B"))*3)+((COUNTIF('Elève (6ème2)'!GA20:GC20,"C"))*2)+((COUNTIF('Elève (6ème2)'!GA20:GC20,"D"))*1))/(COUNTA(GA20:GC20)),"")</f>
        <v/>
      </c>
      <c r="GE20" s="191" t="str">
        <f t="shared" si="42"/>
        <v/>
      </c>
      <c r="GF20" s="190" t="str">
        <f>IF(COUNT(FT20,FY20,GD20)=0,"",SUM(FT20,FY20,GD20)/COUNT(FT20,FY20,GD20))</f>
        <v/>
      </c>
      <c r="GG20" s="213" t="str">
        <f t="shared" si="43"/>
        <v/>
      </c>
      <c r="GH20" s="219"/>
      <c r="GI20" s="141"/>
      <c r="GJ20" s="142"/>
      <c r="GK20" s="190" t="str">
        <f>IFERROR((((COUNTIF('Elève (6ème2)'!GH20:GJ20,"A"))*4)+((COUNTIF('Elève (6ème2)'!GH20:GJ20,"B"))*3)+((COUNTIF('Elève (6ème2)'!GH20:GJ20,"C"))*2)+((COUNTIF('Elève (6ème2)'!GH20:GJ20,"D"))*1))/(COUNTA(GH20:GJ20)),"")</f>
        <v/>
      </c>
      <c r="GL20" s="191" t="str">
        <f t="shared" si="44"/>
        <v/>
      </c>
      <c r="GM20" s="174"/>
      <c r="GN20" s="141"/>
      <c r="GO20" s="142"/>
      <c r="GP20" s="190" t="str">
        <f>IFERROR((((COUNTIF('Elève (6ème2)'!GM20:GO20,"A"))*4)+((COUNTIF('Elève (6ème2)'!GM20:GO20,"B"))*3)+((COUNTIF('Elève (6ème2)'!GM20:GO20,"C"))*2)+((COUNTIF('Elève (6ème2)'!GM20:GO20,"D"))*1))/(COUNTA(GM20:GO20)),"")</f>
        <v/>
      </c>
      <c r="GQ20" s="191" t="str">
        <f t="shared" si="45"/>
        <v/>
      </c>
      <c r="GR20" s="174"/>
      <c r="GS20" s="141"/>
      <c r="GT20" s="142"/>
      <c r="GU20" s="190" t="str">
        <f>IFERROR((((COUNTIF('Elève (6ème2)'!GR20:GT20,"A"))*4)+((COUNTIF('Elève (6ème2)'!GR20:GT20,"B"))*3)+((COUNTIF('Elève (6ème2)'!GR20:GT20,"C"))*2)+((COUNTIF('Elève (6ème2)'!GR20:GT20,"D"))*1))/(COUNTA(GR20:GT20)),"")</f>
        <v/>
      </c>
      <c r="GV20" s="191" t="str">
        <f t="shared" si="46"/>
        <v/>
      </c>
      <c r="GW20" s="190" t="str">
        <f>IF(COUNT(GK20,GP20,GU20)=0,"",SUM(GK20,GP20,GU20)/COUNT(GK20,GP20,GU20))</f>
        <v/>
      </c>
      <c r="GX20" s="213" t="str">
        <f t="shared" si="47"/>
        <v/>
      </c>
      <c r="GY20" s="219"/>
      <c r="GZ20" s="141"/>
      <c r="HA20" s="142"/>
      <c r="HB20" s="190" t="str">
        <f>IFERROR((((COUNTIF('Elève (6ème2)'!GY20:HA20,"A"))*4)+((COUNTIF('Elève (6ème2)'!GY20:HA20,"B"))*3)+((COUNTIF('Elève (6ème2)'!GY20:HA20,"C"))*2)+((COUNTIF('Elève (6ème2)'!GY20:HA20,"D"))*1))/(COUNTA(GY20:HA20)),"")</f>
        <v/>
      </c>
      <c r="HC20" s="191" t="str">
        <f t="shared" si="48"/>
        <v/>
      </c>
      <c r="HD20" s="174"/>
      <c r="HE20" s="141"/>
      <c r="HF20" s="142"/>
      <c r="HG20" s="190" t="str">
        <f>IFERROR((((COUNTIF('Elève (6ème2)'!HD20:HF20,"A"))*4)+((COUNTIF('Elève (6ème2)'!HD20:HF20,"B"))*3)+((COUNTIF('Elève (6ème2)'!HD20:HF20,"C"))*2)+((COUNTIF('Elève (6ème2)'!HD20:HF20,"D"))*1))/(COUNTA(HD20:HF20)),"")</f>
        <v/>
      </c>
      <c r="HH20" s="191" t="str">
        <f t="shared" si="49"/>
        <v/>
      </c>
      <c r="HI20" s="174"/>
      <c r="HJ20" s="141"/>
      <c r="HK20" s="142"/>
      <c r="HL20" s="190" t="str">
        <f>IFERROR((((COUNTIF('Elève (6ème2)'!HI20:HK20,"A"))*4)+((COUNTIF('Elève (6ème2)'!HI20:HK20,"B"))*3)+((COUNTIF('Elève (6ème2)'!HI20:HK20,"C"))*2)+((COUNTIF('Elève (6ème2)'!HI20:HK20,"D"))*1))/(COUNTA(HI20:HK20)),"")</f>
        <v/>
      </c>
      <c r="HM20" s="191" t="str">
        <f t="shared" si="50"/>
        <v/>
      </c>
      <c r="HN20" s="190" t="str">
        <f>IF(COUNT(HB20,HG20,HL20)=0,"",SUM(HB20,HG20,HL20)/COUNT(HB20,HG20,HL20))</f>
        <v/>
      </c>
      <c r="HO20" s="213" t="str">
        <f t="shared" si="51"/>
        <v/>
      </c>
      <c r="HP20" s="219"/>
      <c r="HQ20" s="141"/>
      <c r="HR20" s="142"/>
      <c r="HS20" s="190" t="str">
        <f>IFERROR((((COUNTIF('Elève (6ème2)'!HP20:HR20,"A"))*4)+((COUNTIF('Elève (6ème2)'!HP20:HR20,"B"))*3)+((COUNTIF('Elève (6ème2)'!HP20:HR20,"C"))*2)+((COUNTIF('Elève (6ème2)'!HP20:HR20,"D"))*1))/(COUNTA(HP20:HR20)),"")</f>
        <v/>
      </c>
      <c r="HT20" s="191" t="str">
        <f t="shared" si="52"/>
        <v/>
      </c>
      <c r="HU20" s="174"/>
      <c r="HV20" s="141"/>
      <c r="HW20" s="142"/>
      <c r="HX20" s="190" t="str">
        <f>IFERROR((((COUNTIF('Elève (6ème2)'!HU20:HW20,"A"))*4)+((COUNTIF('Elève (6ème2)'!HU20:HW20,"B"))*3)+((COUNTIF('Elève (6ème2)'!HU20:HW20,"C"))*2)+((COUNTIF('Elève (6ème2)'!HU20:HW20,"D"))*1))/(COUNTA(HU20:HW20)),"")</f>
        <v/>
      </c>
      <c r="HY20" s="191" t="str">
        <f t="shared" si="53"/>
        <v/>
      </c>
      <c r="HZ20" s="174"/>
      <c r="IA20" s="141"/>
      <c r="IB20" s="142"/>
      <c r="IC20" s="190" t="str">
        <f>IFERROR((((COUNTIF('Elève (6ème2)'!HZ20:IB20,"A"))*4)+((COUNTIF('Elève (6ème2)'!HZ20:IB20,"B"))*3)+((COUNTIF('Elève (6ème2)'!HZ20:IB20,"C"))*2)+((COUNTIF('Elève (6ème2)'!HZ20:IB20,"D"))*1))/(COUNTA(HZ20:IB20)),"")</f>
        <v/>
      </c>
      <c r="ID20" s="191" t="str">
        <f t="shared" si="54"/>
        <v/>
      </c>
      <c r="IE20" s="190" t="str">
        <f>IF(COUNT(HS20,HX20,IC20)=0,"",SUM(HS20,HX20,IC20)/COUNT(HS20,HX20,IC20))</f>
        <v/>
      </c>
      <c r="IF20" s="213" t="str">
        <f t="shared" si="55"/>
        <v/>
      </c>
      <c r="IG20" s="219"/>
      <c r="IH20" s="141"/>
      <c r="II20" s="142"/>
      <c r="IJ20" s="190" t="str">
        <f>IFERROR((((COUNTIF('Elève (6ème2)'!IG20:II20,"A"))*4)+((COUNTIF('Elève (6ème2)'!IG20:II20,"B"))*3)+((COUNTIF('Elève (6ème2)'!IG20:II20,"C"))*2)+((COUNTIF('Elève (6ème2)'!IG20:II20,"D"))*1))/(COUNTA(IG20:II20)),"")</f>
        <v/>
      </c>
      <c r="IK20" s="191" t="str">
        <f t="shared" si="56"/>
        <v/>
      </c>
      <c r="IL20" s="174"/>
      <c r="IM20" s="141"/>
      <c r="IN20" s="142"/>
      <c r="IO20" s="190" t="str">
        <f>IFERROR((((COUNTIF('Elève (6ème2)'!IL20:IN20,"A"))*4)+((COUNTIF('Elève (6ème2)'!IL20:IN20,"B"))*3)+((COUNTIF('Elève (6ème2)'!IL20:IN20,"C"))*2)+((COUNTIF('Elève (6ème2)'!IL20:IN20,"D"))*1))/(COUNTA(IL20:IN20)),"")</f>
        <v/>
      </c>
      <c r="IP20" s="191" t="str">
        <f t="shared" si="57"/>
        <v/>
      </c>
      <c r="IQ20" s="174"/>
      <c r="IR20" s="141"/>
      <c r="IS20" s="142"/>
      <c r="IT20" s="190" t="str">
        <f>IFERROR((((COUNTIF('Elève (6ème2)'!IQ20:IS20,"A"))*4)+((COUNTIF('Elève (6ème2)'!IQ20:IS20,"B"))*3)+((COUNTIF('Elève (6ème2)'!IQ20:IS20,"C"))*2)+((COUNTIF('Elève (6ème2)'!IQ20:IS20,"D"))*1))/(COUNTA(IQ20:IS20)),"")</f>
        <v/>
      </c>
      <c r="IU20" s="191" t="str">
        <f t="shared" si="58"/>
        <v/>
      </c>
      <c r="IV20" s="190" t="str">
        <f>IF(COUNT(IJ20,IO20,IT20)=0,"",SUM(IJ20,IO20,IT20)/COUNT(IJ20,IO20,IT20))</f>
        <v/>
      </c>
      <c r="IW20" s="213" t="str">
        <f t="shared" si="59"/>
        <v/>
      </c>
      <c r="IX20" s="219"/>
      <c r="IY20" s="141"/>
      <c r="IZ20" s="142"/>
      <c r="JA20" s="190" t="str">
        <f>IFERROR((((COUNTIF('Elève (6ème2)'!IX20:IZ20,"A"))*4)+((COUNTIF('Elève (6ème2)'!IX20:IZ20,"B"))*3)+((COUNTIF('Elève (6ème2)'!IX20:IZ20,"C"))*2)+((COUNTIF('Elève (6ème2)'!IX20:IZ20,"D"))*1))/(COUNTA(IX20:IZ20)),"")</f>
        <v/>
      </c>
      <c r="JB20" s="191" t="str">
        <f t="shared" si="60"/>
        <v/>
      </c>
      <c r="JC20" s="174"/>
      <c r="JD20" s="141"/>
      <c r="JE20" s="142"/>
      <c r="JF20" s="190" t="str">
        <f>IFERROR((((COUNTIF('Elève (6ème2)'!JC20:JE20,"A"))*4)+((COUNTIF('Elève (6ème2)'!JC20:JE20,"B"))*3)+((COUNTIF('Elève (6ème2)'!JC20:JE20,"C"))*2)+((COUNTIF('Elève (6ème2)'!JC20:JE20,"D"))*1))/(COUNTA(JC20:JE20)),"")</f>
        <v/>
      </c>
      <c r="JG20" s="191" t="str">
        <f t="shared" si="61"/>
        <v/>
      </c>
      <c r="JH20" s="174"/>
      <c r="JI20" s="141"/>
      <c r="JJ20" s="142"/>
      <c r="JK20" s="190" t="str">
        <f>IFERROR((((COUNTIF('Elève (6ème2)'!JH20:JJ20,"A"))*4)+((COUNTIF('Elève (6ème2)'!JH20:JJ20,"B"))*3)+((COUNTIF('Elève (6ème2)'!JH20:JJ20,"C"))*2)+((COUNTIF('Elève (6ème2)'!JH20:JJ20,"D"))*1))/(COUNTA(JH20:JJ20)),"")</f>
        <v/>
      </c>
      <c r="JL20" s="191" t="str">
        <f t="shared" si="62"/>
        <v/>
      </c>
      <c r="JM20" s="190" t="str">
        <f>IF(COUNT(JA20,JF20,JK20)=0,"",SUM(JA20,JF20,JK20)/COUNT(JA20,JF20,JK20))</f>
        <v/>
      </c>
      <c r="JN20" s="213" t="str">
        <f t="shared" si="63"/>
        <v/>
      </c>
      <c r="JO20" s="219"/>
      <c r="JP20" s="141"/>
      <c r="JQ20" s="142"/>
      <c r="JR20" s="190" t="str">
        <f>IFERROR((((COUNTIF('Elève (6ème2)'!JO20:JQ20,"A"))*4)+((COUNTIF('Elève (6ème2)'!JO20:JQ20,"B"))*3)+((COUNTIF('Elève (6ème2)'!JO20:JQ20,"C"))*2)+((COUNTIF('Elève (6ème2)'!JO20:JQ20,"D"))*1))/(COUNTA(JO20:JQ20)),"")</f>
        <v/>
      </c>
      <c r="JS20" s="191" t="str">
        <f t="shared" si="64"/>
        <v/>
      </c>
      <c r="JT20" s="174"/>
      <c r="JU20" s="141"/>
      <c r="JV20" s="142"/>
      <c r="JW20" s="190" t="str">
        <f>IFERROR((((COUNTIF('Elève (6ème2)'!JT20:JV20,"A"))*4)+((COUNTIF('Elève (6ème2)'!JT20:JV20,"B"))*3)+((COUNTIF('Elève (6ème2)'!JT20:JV20,"C"))*2)+((COUNTIF('Elève (6ème2)'!JT20:JV20,"D"))*1))/(COUNTA(JT20:JV20)),"")</f>
        <v/>
      </c>
      <c r="JX20" s="191" t="str">
        <f t="shared" si="65"/>
        <v/>
      </c>
      <c r="JY20" s="174"/>
      <c r="JZ20" s="141"/>
      <c r="KA20" s="142"/>
      <c r="KB20" s="190" t="str">
        <f>IFERROR((((COUNTIF('Elève (6ème2)'!JY20:KA20,"A"))*4)+((COUNTIF('Elève (6ème2)'!JY20:KA20,"B"))*3)+((COUNTIF('Elève (6ème2)'!JY20:KA20,"C"))*2)+((COUNTIF('Elève (6ème2)'!JY20:KA20,"D"))*1))/(COUNTA(JY20:KA20)),"")</f>
        <v/>
      </c>
      <c r="KC20" s="191" t="str">
        <f t="shared" si="66"/>
        <v/>
      </c>
      <c r="KD20" s="190" t="str">
        <f>IF(COUNT(JR20,JW20,KB20)=0,"",SUM(JR20,JW20,KB20)/COUNT(JR20,JW20,KB20))</f>
        <v/>
      </c>
      <c r="KE20" s="213" t="str">
        <f t="shared" si="67"/>
        <v/>
      </c>
      <c r="KF20" s="219"/>
      <c r="KG20" s="141"/>
      <c r="KH20" s="142"/>
      <c r="KI20" s="190" t="str">
        <f>IFERROR((((COUNTIF('Elève (6ème2)'!KF20:KH20,"A"))*4)+((COUNTIF('Elève (6ème2)'!KF20:KH20,"B"))*3)+((COUNTIF('Elève (6ème2)'!KF20:KH20,"C"))*2)+((COUNTIF('Elève (6ème2)'!KF20:KH20,"D"))*1))/(COUNTA(KF20:KH20)),"")</f>
        <v/>
      </c>
      <c r="KJ20" s="191" t="str">
        <f t="shared" si="68"/>
        <v/>
      </c>
      <c r="KK20" s="174"/>
      <c r="KL20" s="141"/>
      <c r="KM20" s="142"/>
      <c r="KN20" s="190" t="str">
        <f>IFERROR((((COUNTIF('Elève (6ème2)'!KK20:KM20,"A"))*4)+((COUNTIF('Elève (6ème2)'!KK20:KM20,"B"))*3)+((COUNTIF('Elève (6ème2)'!KK20:KM20,"C"))*2)+((COUNTIF('Elève (6ème2)'!KK20:KM20,"D"))*1))/(COUNTA(KK20:KM20)),"")</f>
        <v/>
      </c>
      <c r="KO20" s="191" t="str">
        <f t="shared" si="69"/>
        <v/>
      </c>
      <c r="KP20" s="174"/>
      <c r="KQ20" s="141"/>
      <c r="KR20" s="142"/>
      <c r="KS20" s="190" t="str">
        <f>IFERROR((((COUNTIF('Elève (6ème2)'!KP20:KR20,"A"))*4)+((COUNTIF('Elève (6ème2)'!KP20:KR20,"B"))*3)+((COUNTIF('Elève (6ème2)'!KP20:KR20,"C"))*2)+((COUNTIF('Elève (6ème2)'!KP20:KR20,"D"))*1))/(COUNTA(KP20:KR20)),"")</f>
        <v/>
      </c>
      <c r="KT20" s="191" t="str">
        <f t="shared" si="70"/>
        <v/>
      </c>
      <c r="KU20" s="190" t="str">
        <f>IF(COUNT(KI20,KN20,KS20)=0,"",SUM(KI20,KN20,KS20)/COUNT(KI20,KN20,KS20))</f>
        <v/>
      </c>
      <c r="KV20" s="213" t="str">
        <f t="shared" si="71"/>
        <v/>
      </c>
      <c r="KW20" s="219"/>
      <c r="KX20" s="141"/>
      <c r="KY20" s="142"/>
      <c r="KZ20" s="190" t="str">
        <f>IFERROR((((COUNTIF('Elève (6ème2)'!KW20:KY20,"A"))*4)+((COUNTIF('Elève (6ème2)'!KW20:KY20,"B"))*3)+((COUNTIF('Elève (6ème2)'!KW20:KY20,"C"))*2)+((COUNTIF('Elève (6ème2)'!KW20:KY20,"D"))*1))/(COUNTA(KW20:KY20)),"")</f>
        <v/>
      </c>
      <c r="LA20" s="191" t="str">
        <f t="shared" si="72"/>
        <v/>
      </c>
      <c r="LB20" s="174"/>
      <c r="LC20" s="141"/>
      <c r="LD20" s="142"/>
      <c r="LE20" s="190" t="str">
        <f>IFERROR((((COUNTIF('Elève (6ème2)'!LB20:LD20,"A"))*4)+((COUNTIF('Elève (6ème2)'!LB20:LD20,"B"))*3)+((COUNTIF('Elève (6ème2)'!LB20:LD20,"C"))*2)+((COUNTIF('Elève (6ème2)'!LB20:LD20,"D"))*1))/(COUNTA(LB20:LD20)),"")</f>
        <v/>
      </c>
      <c r="LF20" s="191" t="str">
        <f t="shared" si="73"/>
        <v/>
      </c>
      <c r="LG20" s="174"/>
      <c r="LH20" s="141"/>
      <c r="LI20" s="142"/>
      <c r="LJ20" s="190" t="str">
        <f>IFERROR((((COUNTIF('Elève (6ème2)'!LG20:LI20,"A"))*4)+((COUNTIF('Elève (6ème2)'!LG20:LI20,"B"))*3)+((COUNTIF('Elève (6ème2)'!LG20:LI20,"C"))*2)+((COUNTIF('Elève (6ème2)'!LG20:LI20,"D"))*1))/(COUNTA(LG20:LI20)),"")</f>
        <v/>
      </c>
      <c r="LK20" s="191" t="str">
        <f t="shared" si="74"/>
        <v/>
      </c>
      <c r="LL20" s="190" t="str">
        <f>IF(COUNT(KZ20,LE20,LJ20)=0,"",SUM(KZ20,LE20,LJ20)/COUNT(KZ20,LE20,LJ20))</f>
        <v/>
      </c>
      <c r="LM20" s="213" t="str">
        <f t="shared" si="75"/>
        <v/>
      </c>
      <c r="LN20" s="219"/>
      <c r="LO20" s="141"/>
      <c r="LP20" s="142"/>
      <c r="LQ20" s="190" t="str">
        <f>IFERROR((((COUNTIF('Elève (6ème2)'!LN20:LP20,"A"))*4)+((COUNTIF('Elève (6ème2)'!LN20:LP20,"B"))*3)+((COUNTIF('Elève (6ème2)'!LN20:LP20,"C"))*2)+((COUNTIF('Elève (6ème2)'!LN20:LP20,"D"))*1))/(COUNTA(LN20:LP20)),"")</f>
        <v/>
      </c>
      <c r="LR20" s="191" t="str">
        <f t="shared" si="76"/>
        <v/>
      </c>
      <c r="LS20" s="174"/>
      <c r="LT20" s="141"/>
      <c r="LU20" s="142"/>
      <c r="LV20" s="190" t="str">
        <f>IFERROR((((COUNTIF('Elève (6ème2)'!LS20:LU20,"A"))*4)+((COUNTIF('Elève (6ème2)'!LS20:LU20,"B"))*3)+((COUNTIF('Elève (6ème2)'!LS20:LU20,"C"))*2)+((COUNTIF('Elève (6ème2)'!LS20:LU20,"D"))*1))/(COUNTA(LS20:LU20)),"")</f>
        <v/>
      </c>
      <c r="LW20" s="191" t="str">
        <f t="shared" si="77"/>
        <v/>
      </c>
      <c r="LX20" s="174"/>
      <c r="LY20" s="141"/>
      <c r="LZ20" s="142"/>
      <c r="MA20" s="190" t="str">
        <f>IFERROR((((COUNTIF('Elève (6ème2)'!LX20:LZ20,"A"))*4)+((COUNTIF('Elève (6ème2)'!LX20:LZ20,"B"))*3)+((COUNTIF('Elève (6ème2)'!LX20:LZ20,"C"))*2)+((COUNTIF('Elève (6ème2)'!LX20:LZ20,"D"))*1))/(COUNTA(LX20:LZ20)),"")</f>
        <v/>
      </c>
      <c r="MB20" s="191" t="str">
        <f t="shared" si="78"/>
        <v/>
      </c>
      <c r="MC20" s="190" t="str">
        <f>IF(COUNT(LQ20,LV20,MA20)=0,"",SUM(LQ20,LV20,MA20)/COUNT(LQ20,LV20,MA20))</f>
        <v/>
      </c>
      <c r="MD20" s="213" t="str">
        <f t="shared" si="79"/>
        <v/>
      </c>
      <c r="ME20" s="219"/>
      <c r="MF20" s="141"/>
      <c r="MG20" s="142"/>
      <c r="MH20" s="190" t="str">
        <f>IFERROR((((COUNTIF('Elève (6ème2)'!ME20:MG20,"A"))*4)+((COUNTIF('Elève (6ème2)'!ME20:MG20,"B"))*3)+((COUNTIF('Elève (6ème2)'!ME20:MG20,"C"))*2)+((COUNTIF('Elève (6ème2)'!ME20:MG20,"D"))*1))/(COUNTA(ME20:MG20)),"")</f>
        <v/>
      </c>
      <c r="MI20" s="191" t="str">
        <f t="shared" si="80"/>
        <v/>
      </c>
      <c r="MJ20" s="174"/>
      <c r="MK20" s="141"/>
      <c r="ML20" s="142"/>
      <c r="MM20" s="190" t="str">
        <f>IFERROR((((COUNTIF('Elève (6ème2)'!MJ20:ML20,"A"))*4)+((COUNTIF('Elève (6ème2)'!MJ20:ML20,"B"))*3)+((COUNTIF('Elève (6ème2)'!MJ20:ML20,"C"))*2)+((COUNTIF('Elève (6ème2)'!MJ20:ML20,"D"))*1))/(COUNTA(MJ20:ML20)),"")</f>
        <v/>
      </c>
      <c r="MN20" s="191" t="str">
        <f t="shared" si="81"/>
        <v/>
      </c>
      <c r="MO20" s="174"/>
      <c r="MP20" s="141"/>
      <c r="MQ20" s="142"/>
      <c r="MR20" s="190" t="str">
        <f>IFERROR((((COUNTIF('Elève (6ème2)'!MO20:MQ20,"A"))*4)+((COUNTIF('Elève (6ème2)'!MO20:MQ20,"B"))*3)+((COUNTIF('Elève (6ème2)'!MO20:MQ20,"C"))*2)+((COUNTIF('Elève (6ème2)'!MO20:MQ20,"D"))*1))/(COUNTA(MO20:MQ20)),"")</f>
        <v/>
      </c>
      <c r="MS20" s="191" t="str">
        <f t="shared" si="82"/>
        <v/>
      </c>
      <c r="MT20" s="190" t="str">
        <f>IF(COUNT(MH20,MM20,MR20)=0,"",SUM(MH20,MM20,MR20)/COUNT(MH20,MM20,MR20))</f>
        <v/>
      </c>
      <c r="MU20" s="213" t="str">
        <f t="shared" si="83"/>
        <v/>
      </c>
      <c r="MV20" s="219"/>
      <c r="MW20" s="141"/>
      <c r="MX20" s="142"/>
      <c r="MY20" s="190" t="str">
        <f>IFERROR((((COUNTIF('Elève (6ème2)'!MV20:MX20,"A"))*4)+((COUNTIF('Elève (6ème2)'!MV20:MX20,"B"))*3)+((COUNTIF('Elève (6ème2)'!MV20:MX20,"C"))*2)+((COUNTIF('Elève (6ème2)'!MV20:MX20,"D"))*1))/(COUNTA(MV20:MX20)),"")</f>
        <v/>
      </c>
      <c r="MZ20" s="191" t="str">
        <f t="shared" si="84"/>
        <v/>
      </c>
      <c r="NA20" s="174"/>
      <c r="NB20" s="141"/>
      <c r="NC20" s="142"/>
      <c r="ND20" s="190" t="str">
        <f>IFERROR((((COUNTIF('Elève (6ème2)'!NA20:NC20,"A"))*4)+((COUNTIF('Elève (6ème2)'!NA20:NC20,"B"))*3)+((COUNTIF('Elève (6ème2)'!NA20:NC20,"C"))*2)+((COUNTIF('Elève (6ème2)'!NA20:NC20,"D"))*1))/(COUNTA(NA20:NC20)),"")</f>
        <v/>
      </c>
      <c r="NE20" s="191" t="str">
        <f t="shared" si="85"/>
        <v/>
      </c>
      <c r="NF20" s="174"/>
      <c r="NG20" s="141"/>
      <c r="NH20" s="142"/>
      <c r="NI20" s="190" t="str">
        <f>IFERROR((((COUNTIF('Elève (6ème2)'!NF20:NH20,"A"))*4)+((COUNTIF('Elève (6ème2)'!NF20:NH20,"B"))*3)+((COUNTIF('Elève (6ème2)'!NF20:NH20,"C"))*2)+((COUNTIF('Elève (6ème2)'!NF20:NH20,"D"))*1))/(COUNTA(NF20:NH20)),"")</f>
        <v/>
      </c>
      <c r="NJ20" s="191" t="str">
        <f t="shared" si="86"/>
        <v/>
      </c>
      <c r="NK20" s="190" t="str">
        <f>IF(COUNT(MY20,ND20,NI20)=0,"",SUM(MY20,ND20,NI20)/COUNT(MY20,ND20,NI20))</f>
        <v/>
      </c>
      <c r="NL20" s="213" t="str">
        <f t="shared" si="87"/>
        <v/>
      </c>
      <c r="NM20" s="219"/>
      <c r="NN20" s="141"/>
      <c r="NO20" s="142"/>
      <c r="NP20" s="190" t="str">
        <f>IFERROR((((COUNTIF('Elève (6ème2)'!NM20:NO20,"A"))*4)+((COUNTIF('Elève (6ème2)'!NM20:NO20,"B"))*3)+((COUNTIF('Elève (6ème2)'!NM20:NO20,"C"))*2)+((COUNTIF('Elève (6ème2)'!NM20:NO20,"D"))*1))/(COUNTA(NM20:NO20)),"")</f>
        <v/>
      </c>
      <c r="NQ20" s="191" t="str">
        <f t="shared" si="88"/>
        <v/>
      </c>
      <c r="NR20" s="174"/>
      <c r="NS20" s="141"/>
      <c r="NT20" s="142"/>
      <c r="NU20" s="190" t="str">
        <f>IFERROR((((COUNTIF('Elève (6ème2)'!NR20:NT20,"A"))*4)+((COUNTIF('Elève (6ème2)'!NR20:NT20,"B"))*3)+((COUNTIF('Elève (6ème2)'!NR20:NT20,"C"))*2)+((COUNTIF('Elève (6ème2)'!NR20:NT20,"D"))*1))/(COUNTA(NR20:NT20)),"")</f>
        <v/>
      </c>
      <c r="NV20" s="191" t="str">
        <f t="shared" si="89"/>
        <v/>
      </c>
      <c r="NW20" s="174"/>
      <c r="NX20" s="141"/>
      <c r="NY20" s="142"/>
      <c r="NZ20" s="190" t="str">
        <f>IFERROR((((COUNTIF('Elève (6ème2)'!NW20:NY20,"A"))*4)+((COUNTIF('Elève (6ème2)'!NW20:NY20,"B"))*3)+((COUNTIF('Elève (6ème2)'!NW20:NY20,"C"))*2)+((COUNTIF('Elève (6ème2)'!NW20:NY20,"D"))*1))/(COUNTA(NW20:NY20)),"")</f>
        <v/>
      </c>
      <c r="OA20" s="191" t="str">
        <f t="shared" si="90"/>
        <v/>
      </c>
      <c r="OB20" s="190" t="str">
        <f>IF(COUNT(NP20,NU20,NZ20)=0,"",SUM(NP20,NU20,NZ20)/COUNT(NP20,NU20,NZ20))</f>
        <v/>
      </c>
      <c r="OC20" s="213" t="str">
        <f t="shared" si="91"/>
        <v/>
      </c>
      <c r="OD20" s="219"/>
      <c r="OE20" s="141"/>
      <c r="OF20" s="142"/>
      <c r="OG20" s="190" t="str">
        <f>IFERROR((((COUNTIF('Elève (6ème2)'!OD20:OF20,"A"))*4)+((COUNTIF('Elève (6ème2)'!OD20:OF20,"B"))*3)+((COUNTIF('Elève (6ème2)'!OD20:OF20,"C"))*2)+((COUNTIF('Elève (6ème2)'!OD20:OF20,"D"))*1))/(COUNTA(OD20:OF20)),"")</f>
        <v/>
      </c>
      <c r="OH20" s="191" t="str">
        <f t="shared" si="92"/>
        <v/>
      </c>
      <c r="OI20" s="174"/>
      <c r="OJ20" s="141"/>
      <c r="OK20" s="142"/>
      <c r="OL20" s="190" t="str">
        <f>IFERROR((((COUNTIF('Elève (6ème2)'!OI20:OK20,"A"))*4)+((COUNTIF('Elève (6ème2)'!OI20:OK20,"B"))*3)+((COUNTIF('Elève (6ème2)'!OI20:OK20,"C"))*2)+((COUNTIF('Elève (6ème2)'!OI20:OK20,"D"))*1))/(COUNTA(OI20:OK20)),"")</f>
        <v/>
      </c>
      <c r="OM20" s="191" t="str">
        <f t="shared" si="93"/>
        <v/>
      </c>
      <c r="ON20" s="174"/>
      <c r="OO20" s="141"/>
      <c r="OP20" s="142"/>
      <c r="OQ20" s="190" t="str">
        <f>IFERROR((((COUNTIF('Elève (6ème2)'!ON20:OP20,"A"))*4)+((COUNTIF('Elève (6ème2)'!ON20:OP20,"B"))*3)+((COUNTIF('Elève (6ème2)'!ON20:OP20,"C"))*2)+((COUNTIF('Elève (6ème2)'!ON20:OP20,"D"))*1))/(COUNTA(ON20:OP20)),"")</f>
        <v/>
      </c>
      <c r="OR20" s="191" t="str">
        <f t="shared" si="94"/>
        <v/>
      </c>
      <c r="OS20" s="190" t="str">
        <f>IF(COUNT(OG20,OL20,OQ20)=0,"",SUM(OG20,OL20,OQ20)/COUNT(OG20,OL20,OQ20))</f>
        <v/>
      </c>
      <c r="OT20" s="213" t="str">
        <f t="shared" si="95"/>
        <v/>
      </c>
      <c r="OU20" s="219"/>
      <c r="OV20" s="141"/>
      <c r="OW20" s="142"/>
      <c r="OX20" s="190" t="str">
        <f>IFERROR((((COUNTIF('Elève (6ème2)'!OU20:OW20,"A"))*4)+((COUNTIF('Elève (6ème2)'!OU20:OW20,"B"))*3)+((COUNTIF('Elève (6ème2)'!OU20:OW20,"C"))*2)+((COUNTIF('Elève (6ème2)'!OU20:OW20,"D"))*1))/(COUNTA(OU20:OW20)),"")</f>
        <v/>
      </c>
      <c r="OY20" s="191" t="str">
        <f t="shared" si="96"/>
        <v/>
      </c>
      <c r="OZ20" s="174"/>
      <c r="PA20" s="141"/>
      <c r="PB20" s="142"/>
      <c r="PC20" s="190" t="str">
        <f>IFERROR((((COUNTIF('Elève (6ème2)'!OZ20:PB20,"A"))*4)+((COUNTIF('Elève (6ème2)'!OZ20:PB20,"B"))*3)+((COUNTIF('Elève (6ème2)'!OZ20:PB20,"C"))*2)+((COUNTIF('Elève (6ème2)'!OZ20:PB20,"D"))*1))/(COUNTA(OZ20:PB20)),"")</f>
        <v/>
      </c>
      <c r="PD20" s="191" t="str">
        <f t="shared" si="97"/>
        <v/>
      </c>
      <c r="PE20" s="174"/>
      <c r="PF20" s="141"/>
      <c r="PG20" s="142"/>
      <c r="PH20" s="190" t="str">
        <f>IFERROR((((COUNTIF('Elève (6ème2)'!PE20:PG20,"A"))*4)+((COUNTIF('Elève (6ème2)'!PE20:PG20,"B"))*3)+((COUNTIF('Elève (6ème2)'!PE20:PG20,"C"))*2)+((COUNTIF('Elève (6ème2)'!PE20:PG20,"D"))*1))/(COUNTA(PE20:PG20)),"")</f>
        <v/>
      </c>
      <c r="PI20" s="191" t="str">
        <f t="shared" si="98"/>
        <v/>
      </c>
      <c r="PJ20" s="190" t="str">
        <f>IF(COUNT(OX20,PC20,PH20)=0,"",SUM(OX20,PC20,PH20)/COUNT(OX20,PC20,PH20))</f>
        <v/>
      </c>
      <c r="PK20" s="213" t="str">
        <f t="shared" si="99"/>
        <v/>
      </c>
      <c r="PL20" s="219"/>
      <c r="PM20" s="141"/>
      <c r="PN20" s="142"/>
      <c r="PO20" s="190" t="str">
        <f>IFERROR((((COUNTIF('Elève (6ème2)'!PL20:PN20,"A"))*4)+((COUNTIF('Elève (6ème2)'!PL20:PN20,"B"))*3)+((COUNTIF('Elève (6ème2)'!PL20:PN20,"C"))*2)+((COUNTIF('Elève (6ème2)'!PL20:PN20,"D"))*1))/(COUNTA(PL20:PN20)),"")</f>
        <v/>
      </c>
      <c r="PP20" s="191" t="str">
        <f t="shared" si="100"/>
        <v/>
      </c>
      <c r="PQ20" s="174"/>
      <c r="PR20" s="141"/>
      <c r="PS20" s="142"/>
      <c r="PT20" s="190" t="str">
        <f>IFERROR((((COUNTIF('Elève (6ème2)'!PQ20:PS20,"A"))*4)+((COUNTIF('Elève (6ème2)'!PQ20:PS20,"B"))*3)+((COUNTIF('Elève (6ème2)'!PQ20:PS20,"C"))*2)+((COUNTIF('Elève (6ème2)'!PQ20:PS20,"D"))*1))/(COUNTA(PQ20:PS20)),"")</f>
        <v/>
      </c>
      <c r="PU20" s="191" t="str">
        <f t="shared" si="101"/>
        <v/>
      </c>
      <c r="PV20" s="174"/>
      <c r="PW20" s="141"/>
      <c r="PX20" s="142"/>
      <c r="PY20" s="190" t="str">
        <f>IFERROR((((COUNTIF('Elève (6ème2)'!PV20:PX20,"A"))*4)+((COUNTIF('Elève (6ème2)'!PV20:PX20,"B"))*3)+((COUNTIF('Elève (6ème2)'!PV20:PX20,"C"))*2)+((COUNTIF('Elève (6ème2)'!PV20:PX20,"D"))*1))/(COUNTA(PV20:PX20)),"")</f>
        <v/>
      </c>
      <c r="PZ20" s="191" t="str">
        <f t="shared" si="102"/>
        <v/>
      </c>
      <c r="QA20" s="190" t="str">
        <f>IF(COUNT(PO20,PT20,PY20)=0,"",SUM(PO20,PT20,PY20)/COUNT(PO20,PT20,PY20))</f>
        <v/>
      </c>
      <c r="QB20" s="213" t="str">
        <f t="shared" si="103"/>
        <v/>
      </c>
      <c r="QC20" s="219"/>
      <c r="QD20" s="141"/>
      <c r="QE20" s="142"/>
      <c r="QF20" s="190" t="str">
        <f>IFERROR((((COUNTIF('Elève (6ème2)'!QC20:QE20,"A"))*4)+((COUNTIF('Elève (6ème2)'!QC20:QE20,"B"))*3)+((COUNTIF('Elève (6ème2)'!QC20:QE20,"C"))*2)+((COUNTIF('Elève (6ème2)'!QC20:QE20,"D"))*1))/(COUNTA(QC20:QE20)),"")</f>
        <v/>
      </c>
      <c r="QG20" s="191" t="str">
        <f t="shared" si="104"/>
        <v/>
      </c>
      <c r="QH20" s="174"/>
      <c r="QI20" s="141"/>
      <c r="QJ20" s="142"/>
      <c r="QK20" s="190" t="str">
        <f>IFERROR((((COUNTIF('Elève (6ème2)'!QH20:QJ20,"A"))*4)+((COUNTIF('Elève (6ème2)'!QH20:QJ20,"B"))*3)+((COUNTIF('Elève (6ème2)'!QH20:QJ20,"C"))*2)+((COUNTIF('Elève (6ème2)'!QH20:QJ20,"D"))*1))/(COUNTA(QH20:QJ20)),"")</f>
        <v/>
      </c>
      <c r="QL20" s="191" t="str">
        <f t="shared" si="105"/>
        <v/>
      </c>
      <c r="QM20" s="174"/>
      <c r="QN20" s="141"/>
      <c r="QO20" s="142"/>
      <c r="QP20" s="190" t="str">
        <f>IFERROR((((COUNTIF('Elève (6ème2)'!QM20:QO20,"A"))*4)+((COUNTIF('Elève (6ème2)'!QM20:QO20,"B"))*3)+((COUNTIF('Elève (6ème2)'!QM20:QO20,"C"))*2)+((COUNTIF('Elève (6ème2)'!QM20:QO20,"D"))*1))/(COUNTA(QM20:QO20)),"")</f>
        <v/>
      </c>
      <c r="QQ20" s="191" t="str">
        <f t="shared" si="106"/>
        <v/>
      </c>
      <c r="QR20" s="190" t="str">
        <f>IF(COUNT(QF20,QK20,QP20)=0,"",SUM(QF20,QK20,QP20)/COUNT(QF20,QK20,QP20))</f>
        <v/>
      </c>
      <c r="QS20" s="213" t="str">
        <f t="shared" si="107"/>
        <v/>
      </c>
      <c r="QT20" s="219"/>
      <c r="QU20" s="141"/>
      <c r="QV20" s="142"/>
      <c r="QW20" s="190" t="str">
        <f>IFERROR((((COUNTIF('Elève (6ème2)'!QT20:QV20,"A"))*4)+((COUNTIF('Elève (6ème2)'!QT20:QV20,"B"))*3)+((COUNTIF('Elève (6ème2)'!QT20:QV20,"C"))*2)+((COUNTIF('Elève (6ème2)'!QT20:QV20,"D"))*1))/(COUNTA(QT20:QV20)),"")</f>
        <v/>
      </c>
      <c r="QX20" s="191" t="str">
        <f t="shared" si="108"/>
        <v/>
      </c>
      <c r="QY20" s="174"/>
      <c r="QZ20" s="141"/>
      <c r="RA20" s="142"/>
      <c r="RB20" s="190" t="str">
        <f>IFERROR((((COUNTIF('Elève (6ème2)'!QY20:RA20,"A"))*4)+((COUNTIF('Elève (6ème2)'!QY20:RA20,"B"))*3)+((COUNTIF('Elève (6ème2)'!QY20:RA20,"C"))*2)+((COUNTIF('Elève (6ème2)'!QY20:RA20,"D"))*1))/(COUNTA(QY20:RA20)),"")</f>
        <v/>
      </c>
      <c r="RC20" s="191" t="str">
        <f t="shared" si="109"/>
        <v/>
      </c>
      <c r="RD20" s="174"/>
      <c r="RE20" s="141"/>
      <c r="RF20" s="142"/>
      <c r="RG20" s="190" t="str">
        <f>IFERROR((((COUNTIF('Elève (6ème2)'!RD20:RF20,"A"))*4)+((COUNTIF('Elève (6ème2)'!RD20:RF20,"B"))*3)+((COUNTIF('Elève (6ème2)'!RD20:RF20,"C"))*2)+((COUNTIF('Elève (6ème2)'!RD20:RF20,"D"))*1))/(COUNTA(RD20:RF20)),"")</f>
        <v/>
      </c>
      <c r="RH20" s="191" t="str">
        <f t="shared" si="110"/>
        <v/>
      </c>
      <c r="RI20" s="190" t="str">
        <f>IF(COUNT(QW20,RB20,RG20)=0,"",SUM(QW20,RB20,RG20)/COUNT(QW20,RB20,RG20))</f>
        <v/>
      </c>
      <c r="RJ20" s="213" t="str">
        <f t="shared" si="111"/>
        <v/>
      </c>
      <c r="RK20" s="219"/>
      <c r="RL20" s="141"/>
      <c r="RM20" s="142"/>
      <c r="RN20" s="190" t="str">
        <f>IFERROR((((COUNTIF('Elève (6ème2)'!RK20:RM20,"A"))*4)+((COUNTIF('Elève (6ème2)'!RK20:RM20,"B"))*3)+((COUNTIF('Elève (6ème2)'!RK20:RM20,"C"))*2)+((COUNTIF('Elève (6ème2)'!RK20:RM20,"D"))*1))/(COUNTA(RK20:RM20)),"")</f>
        <v/>
      </c>
      <c r="RO20" s="191" t="str">
        <f t="shared" si="112"/>
        <v/>
      </c>
      <c r="RP20" s="174"/>
      <c r="RQ20" s="141"/>
      <c r="RR20" s="142"/>
      <c r="RS20" s="190" t="str">
        <f>IFERROR((((COUNTIF('Elève (6ème2)'!RP20:RR20,"A"))*4)+((COUNTIF('Elève (6ème2)'!RP20:RR20,"B"))*3)+((COUNTIF('Elève (6ème2)'!RP20:RR20,"C"))*2)+((COUNTIF('Elève (6ème2)'!RP20:RR20,"D"))*1))/(COUNTA(RP20:RR20)),"")</f>
        <v/>
      </c>
      <c r="RT20" s="191" t="str">
        <f t="shared" si="113"/>
        <v/>
      </c>
      <c r="RU20" s="174"/>
      <c r="RV20" s="141"/>
      <c r="RW20" s="142"/>
      <c r="RX20" s="190" t="str">
        <f>IFERROR((((COUNTIF('Elève (6ème2)'!RU20:RW20,"A"))*4)+((COUNTIF('Elève (6ème2)'!RU20:RW20,"B"))*3)+((COUNTIF('Elève (6ème2)'!RU20:RW20,"C"))*2)+((COUNTIF('Elève (6ème2)'!RU20:RW20,"D"))*1))/(COUNTA(RU20:RW20)),"")</f>
        <v/>
      </c>
      <c r="RY20" s="191" t="str">
        <f t="shared" si="114"/>
        <v/>
      </c>
      <c r="RZ20" s="190" t="str">
        <f>IF(COUNT(RN20,RS20,RX20)=0,"",SUM(RN20,RS20,RX20)/COUNT(RN20,RS20,RX20))</f>
        <v/>
      </c>
      <c r="SA20" s="213" t="str">
        <f t="shared" si="115"/>
        <v/>
      </c>
      <c r="SB20" s="219"/>
      <c r="SC20" s="141"/>
      <c r="SD20" s="142"/>
      <c r="SE20" s="190" t="str">
        <f>IFERROR((((COUNTIF('Elève (6ème2)'!SB20:SD20,"A"))*4)+((COUNTIF('Elève (6ème2)'!SB20:SD20,"B"))*3)+((COUNTIF('Elève (6ème2)'!SB20:SD20,"C"))*2)+((COUNTIF('Elève (6ème2)'!SB20:SD20,"D"))*1))/(COUNTA(SB20:SD20)),"")</f>
        <v/>
      </c>
      <c r="SF20" s="191" t="str">
        <f t="shared" si="116"/>
        <v/>
      </c>
      <c r="SG20" s="174"/>
      <c r="SH20" s="141"/>
      <c r="SI20" s="142"/>
      <c r="SJ20" s="190" t="str">
        <f>IFERROR((((COUNTIF('Elève (6ème2)'!SG20:SI20,"A"))*4)+((COUNTIF('Elève (6ème2)'!SG20:SI20,"B"))*3)+((COUNTIF('Elève (6ème2)'!SG20:SI20,"C"))*2)+((COUNTIF('Elève (6ème2)'!SG20:SI20,"D"))*1))/(COUNTA(SG20:SI20)),"")</f>
        <v/>
      </c>
      <c r="SK20" s="191" t="str">
        <f t="shared" si="117"/>
        <v/>
      </c>
      <c r="SL20" s="174"/>
      <c r="SM20" s="141"/>
      <c r="SN20" s="142"/>
      <c r="SO20" s="190" t="str">
        <f>IFERROR((((COUNTIF('Elève (6ème2)'!SL20:SN20,"A"))*4)+((COUNTIF('Elève (6ème2)'!SL20:SN20,"B"))*3)+((COUNTIF('Elève (6ème2)'!SL20:SN20,"C"))*2)+((COUNTIF('Elève (6ème2)'!SL20:SN20,"D"))*1))/(COUNTA(SL20:SN20)),"")</f>
        <v/>
      </c>
      <c r="SP20" s="191" t="str">
        <f t="shared" si="118"/>
        <v/>
      </c>
      <c r="SQ20" s="190" t="str">
        <f>IF(COUNT(SE20,SJ20,SO20)=0,"",SUM(SE20,SJ20,SO20)/COUNT(SE20,SJ20,SO20))</f>
        <v/>
      </c>
      <c r="SR20" s="213" t="str">
        <f t="shared" si="119"/>
        <v/>
      </c>
      <c r="SS20" s="146"/>
      <c r="ST20" s="141"/>
      <c r="SU20" s="142"/>
      <c r="SV20" s="143" t="str">
        <f>IFERROR((((COUNTIF('Elève (6ème2)'!SS20:SU20,"A"))*4)+((COUNTIF('Elève (6ème2)'!SS20:SU20,"B"))*3)+((COUNTIF('Elève (6ème2)'!SS20:SU20,"C"))*2)+((COUNTIF('Elève (6ème2)'!SS20:SU20,"D"))*1))/(COUNTA(SS20:SU20)),"")</f>
        <v/>
      </c>
      <c r="SW20" s="144" t="str">
        <f t="shared" si="120"/>
        <v/>
      </c>
      <c r="SX20" s="140"/>
      <c r="SY20" s="141"/>
      <c r="SZ20" s="142"/>
      <c r="TA20" s="143" t="str">
        <f>IFERROR((((COUNTIF('Elève (6ème2)'!SX20:SZ20,"A"))*4)+((COUNTIF('Elève (6ème2)'!SX20:SZ20,"B"))*3)+((COUNTIF('Elève (6ème2)'!SX20:SZ20,"C"))*2)+((COUNTIF('Elève (6ème2)'!SX20:SZ20,"D"))*1))/(COUNTA(SX20:SZ20)),"")</f>
        <v/>
      </c>
      <c r="TB20" s="144" t="str">
        <f t="shared" si="121"/>
        <v/>
      </c>
      <c r="TC20" s="140"/>
      <c r="TD20" s="141"/>
      <c r="TE20" s="142"/>
      <c r="TF20" s="143" t="str">
        <f>IFERROR((((COUNTIF('Elève (6ème2)'!TC20:TE20,"A"))*4)+((COUNTIF('Elève (6ème2)'!TC20:TE20,"B"))*3)+((COUNTIF('Elève (6ème2)'!TC20:TE20,"C"))*2)+((COUNTIF('Elève (6ème2)'!TC20:TE20,"D"))*1))/(COUNTA(TC20:TE20)),"")</f>
        <v/>
      </c>
      <c r="TG20" s="144" t="str">
        <f t="shared" si="122"/>
        <v/>
      </c>
      <c r="TH20" s="143" t="str">
        <f>IF(COUNT(SV20,TA20,TF20)=0,"",SUM(SV20,TA20,TF20)/COUNT(SV20,TA20,TF20))</f>
        <v/>
      </c>
      <c r="TI20" s="145" t="str">
        <f t="shared" si="123"/>
        <v/>
      </c>
      <c r="TJ20" s="146"/>
      <c r="TK20" s="141"/>
      <c r="TL20" s="142"/>
      <c r="TM20" s="143" t="str">
        <f>IFERROR((((COUNTIF('Elève (6ème2)'!TJ20:TL20,"A"))*4)+((COUNTIF('Elève (6ème2)'!TJ20:TL20,"B"))*3)+((COUNTIF('Elève (6ème2)'!TJ20:TL20,"C"))*2)+((COUNTIF('Elève (6ème2)'!TJ20:TL20,"D"))*1))/(COUNTA(TJ20:TL20)),"")</f>
        <v/>
      </c>
      <c r="TN20" s="144" t="str">
        <f t="shared" si="124"/>
        <v/>
      </c>
      <c r="TO20" s="140"/>
      <c r="TP20" s="141"/>
      <c r="TQ20" s="142"/>
      <c r="TR20" s="143" t="str">
        <f>IFERROR((((COUNTIF('Elève (6ème2)'!TO20:TQ20,"A"))*4)+((COUNTIF('Elève (6ème2)'!TO20:TQ20,"B"))*3)+((COUNTIF('Elève (6ème2)'!TO20:TQ20,"C"))*2)+((COUNTIF('Elève (6ème2)'!TO20:TQ20,"D"))*1))/(COUNTA(TO20:TQ20)),"")</f>
        <v/>
      </c>
      <c r="TS20" s="144" t="str">
        <f t="shared" si="125"/>
        <v/>
      </c>
      <c r="TT20" s="140"/>
      <c r="TU20" s="141"/>
      <c r="TV20" s="142"/>
      <c r="TW20" s="143" t="str">
        <f>IFERROR((((COUNTIF('Elève (6ème2)'!TT20:TV20,"A"))*4)+((COUNTIF('Elève (6ème2)'!TT20:TV20,"B"))*3)+((COUNTIF('Elève (6ème2)'!TT20:TV20,"C"))*2)+((COUNTIF('Elève (6ème2)'!TT20:TV20,"D"))*1))/(COUNTA(TT20:TV20)),"")</f>
        <v/>
      </c>
      <c r="TX20" s="144" t="str">
        <f t="shared" si="126"/>
        <v/>
      </c>
      <c r="TY20" s="143" t="str">
        <f>IF(COUNT(TM20,TR20,TW20)=0,"",SUM(TM20,TR20,TW20)/COUNT(TM20,TR20,TW20))</f>
        <v/>
      </c>
      <c r="TZ20" s="145" t="str">
        <f t="shared" si="127"/>
        <v/>
      </c>
    </row>
    <row r="21" spans="1:546" ht="15.75" thickBot="1" x14ac:dyDescent="0.3">
      <c r="A21" s="258" t="s">
        <v>22</v>
      </c>
      <c r="B21" s="259"/>
      <c r="C21" s="147"/>
      <c r="D21" s="147"/>
      <c r="E21" s="147"/>
      <c r="F21" s="192">
        <f>IF(COUNT(F18,F14,F12,F7,F4)=0,"",SUM($B$4*IF(COUNT(F4)=0,0,F4),$B$7*IF(COUNT(F7)=0,0,F7),$B$12*IF(COUNT(F12)=0,0,F12),$B$14*IF(COUNT(F14)=0,0,F14),$B$18*IF(COUNT(F18)=0,0,F18))/SUM($B$4*COUNT(F4),$B$7*COUNT(F7),$B$12*COUNT(F12),$B$14*COUNT(F14),$B$18*COUNT(F18)))</f>
        <v>2</v>
      </c>
      <c r="G21" s="193">
        <f>IF(F21="","",F21*5)</f>
        <v>10</v>
      </c>
      <c r="H21" s="150"/>
      <c r="I21" s="150"/>
      <c r="J21" s="150"/>
      <c r="K21" s="192">
        <f>IF(COUNT(K18,K14,K12,K7,K4)=0,"",SUM($B$4*IF(COUNT(K4)=0,0,K4),$B$7*IF(COUNT(K7)=0,0,K7),$B$12*IF(COUNT(K12)=0,0,K12),$B$14*IF(COUNT(K14)=0,0,K14),$B$18*IF(COUNT(K18)=0,0,K18))/SUM($B$4*COUNT(K4),$B$7*COUNT(K7),$B$12*COUNT(K12),$B$14*COUNT(K14),$B$18*COUNT(K18)))</f>
        <v>4.166666666666667</v>
      </c>
      <c r="L21" s="199">
        <f>IF(K21="","",K21*5)</f>
        <v>20.833333333333336</v>
      </c>
      <c r="M21" s="150"/>
      <c r="N21" s="150"/>
      <c r="O21" s="150"/>
      <c r="P21" s="192">
        <f>IF(COUNT(P18,P14,P12,P7,P4)=0,"",SUM($B$4*IF(COUNT(P4)=0,0,P4),$B$7*IF(COUNT(P7)=0,0,P7),$B$12*IF(COUNT(P12)=0,0,P12),$B$14*IF(COUNT(P14)=0,0,P14),$B$18*IF(COUNT(P18)=0,0,P18))/SUM($B$4*COUNT(P4),$B$7*COUNT(P7),$B$12*COUNT(P12),$B$14*COUNT(P14),$B$18*COUNT(P18)))</f>
        <v>4.625</v>
      </c>
      <c r="Q21" s="214">
        <f>IF(P21="","",P21*5)</f>
        <v>23.125</v>
      </c>
      <c r="R21" s="215"/>
      <c r="S21" s="215"/>
      <c r="T21" s="147"/>
      <c r="U21" s="147"/>
      <c r="V21" s="147"/>
      <c r="W21" s="192">
        <f>IF(COUNT(W18,W14,W12,W7,W4)=0,"",SUM($B$4*IF(COUNT(W4)=0,0,W4),$B$7*IF(COUNT(W7)=0,0,W7),$B$12*IF(COUNT(W12)=0,0,W12),$B$14*IF(COUNT(W14)=0,0,W14),$B$18*IF(COUNT(W18)=0,0,W18))/SUM($B$4*COUNT(W4),$B$7*COUNT(W7),$B$12*COUNT(W12),$B$14*COUNT(W14),$B$18*COUNT(W18)))</f>
        <v>1</v>
      </c>
      <c r="X21" s="193">
        <f>IF(W21="","",W21*5)</f>
        <v>5</v>
      </c>
      <c r="Y21" s="150"/>
      <c r="Z21" s="150"/>
      <c r="AA21" s="150"/>
      <c r="AB21" s="192">
        <f>IF(COUNT(AB18,AB14,AB12,AB7,AB4)=0,"",SUM($B$4*IF(COUNT(AB4)=0,0,AB4),$B$7*IF(COUNT(AB7)=0,0,AB7),$B$12*IF(COUNT(AB12)=0,0,AB12),$B$14*IF(COUNT(AB14)=0,0,AB14),$B$18*IF(COUNT(AB18)=0,0,AB18))/SUM($B$4*COUNT(AB4),$B$7*COUNT(AB7),$B$12*COUNT(AB12),$B$14*COUNT(AB14),$B$18*COUNT(AB18)))</f>
        <v>4.270833333333333</v>
      </c>
      <c r="AC21" s="199">
        <f>IF(AB21="","",AB21*5)</f>
        <v>21.354166666666664</v>
      </c>
      <c r="AD21" s="150"/>
      <c r="AE21" s="150"/>
      <c r="AF21" s="150"/>
      <c r="AG21" s="192">
        <f>IF(COUNT(AG18,AG14,AG12,AG7,AG4)=0,"",SUM($B$4*IF(COUNT(AG4)=0,0,AG4),$B$7*IF(COUNT(AG7)=0,0,AG7),$B$12*IF(COUNT(AG12)=0,0,AG12),$B$14*IF(COUNT(AG14)=0,0,AG14),$B$18*IF(COUNT(AG18)=0,0,AG18))/SUM($B$4*COUNT(AG4),$B$7*COUNT(AG7),$B$12*COUNT(AG12),$B$14*COUNT(AG14),$B$18*COUNT(AG18)))</f>
        <v>4.041666666666667</v>
      </c>
      <c r="AH21" s="214">
        <f>IF(AG21="","",AG21*5)</f>
        <v>20.208333333333336</v>
      </c>
      <c r="AI21" s="215"/>
      <c r="AJ21" s="215"/>
      <c r="AK21" s="147"/>
      <c r="AL21" s="147"/>
      <c r="AM21" s="147"/>
      <c r="AN21" s="192">
        <f>IF(COUNT(AN18,AN14,AN12,AN7,AN4)=0,"",SUM($B$4*IF(COUNT(AN4)=0,0,AN4),$B$7*IF(COUNT(AN7)=0,0,AN7),$B$12*IF(COUNT(AN12)=0,0,AN12),$B$14*IF(COUNT(AN14)=0,0,AN14),$B$18*IF(COUNT(AN18)=0,0,AN18))/SUM($B$4*COUNT(AN4),$B$7*COUNT(AN7),$B$12*COUNT(AN12),$B$14*COUNT(AN14),$B$18*COUNT(AN18)))</f>
        <v>1.5</v>
      </c>
      <c r="AO21" s="193">
        <f>IF(AN21="","",AN21*5)</f>
        <v>7.5</v>
      </c>
      <c r="AP21" s="150"/>
      <c r="AQ21" s="150"/>
      <c r="AR21" s="150"/>
      <c r="AS21" s="192">
        <f>IF(COUNT(AS18,AS14,AS12,AS7,AS4)=0,"",SUM($B$4*IF(COUNT(AS4)=0,0,AS4),$B$7*IF(COUNT(AS7)=0,0,AS7),$B$12*IF(COUNT(AS12)=0,0,AS12),$B$14*IF(COUNT(AS14)=0,0,AS14),$B$18*IF(COUNT(AS18)=0,0,AS18))/SUM($B$4*COUNT(AS4),$B$7*COUNT(AS7),$B$12*COUNT(AS12),$B$14*COUNT(AS14),$B$18*COUNT(AS18)))</f>
        <v>3.6458333333333335</v>
      </c>
      <c r="AT21" s="199">
        <f>IF(AS21="","",AS21*5)</f>
        <v>18.229166666666668</v>
      </c>
      <c r="AU21" s="150"/>
      <c r="AV21" s="150"/>
      <c r="AW21" s="150"/>
      <c r="AX21" s="192">
        <f>IF(COUNT(AX18,AX14,AX12,AX7,AX4)=0,"",SUM($B$4*IF(COUNT(AX4)=0,0,AX4),$B$7*IF(COUNT(AX7)=0,0,AX7),$B$12*IF(COUNT(AX12)=0,0,AX12),$B$14*IF(COUNT(AX14)=0,0,AX14),$B$18*IF(COUNT(AX18)=0,0,AX18))/SUM($B$4*COUNT(AX4),$B$7*COUNT(AX7),$B$12*COUNT(AX12),$B$14*COUNT(AX14),$B$18*COUNT(AX18)))</f>
        <v>4.270833333333333</v>
      </c>
      <c r="AY21" s="214">
        <f>IF(AX21="","",AX21*5)</f>
        <v>21.354166666666664</v>
      </c>
      <c r="AZ21" s="215"/>
      <c r="BA21" s="215"/>
      <c r="BB21" s="147"/>
      <c r="BC21" s="147"/>
      <c r="BD21" s="147"/>
      <c r="BE21" s="192">
        <f>IF(COUNT(BE18,BE14,BE12,BE7,BE4)=0,"",SUM($B$4*IF(COUNT(BE4)=0,0,BE4),$B$7*IF(COUNT(BE7)=0,0,BE7),$B$12*IF(COUNT(BE12)=0,0,BE12),$B$14*IF(COUNT(BE14)=0,0,BE14),$B$18*IF(COUNT(BE18)=0,0,BE18))/SUM($B$4*COUNT(BE4),$B$7*COUNT(BE7),$B$12*COUNT(BE12),$B$14*COUNT(BE14),$B$18*COUNT(BE18)))</f>
        <v>2.5</v>
      </c>
      <c r="BF21" s="193">
        <f>IF(BE21="","",BE21*5)</f>
        <v>12.5</v>
      </c>
      <c r="BG21" s="150"/>
      <c r="BH21" s="150"/>
      <c r="BI21" s="150"/>
      <c r="BJ21" s="192">
        <f>IF(COUNT(BJ18,BJ14,BJ12,BJ7,BJ4)=0,"",SUM($B$4*IF(COUNT(BJ4)=0,0,BJ4),$B$7*IF(COUNT(BJ7)=0,0,BJ7),$B$12*IF(COUNT(BJ12)=0,0,BJ12),$B$14*IF(COUNT(BJ14)=0,0,BJ14),$B$18*IF(COUNT(BJ18)=0,0,BJ18))/SUM($B$4*COUNT(BJ4),$B$7*COUNT(BJ7),$B$12*COUNT(BJ12),$B$14*COUNT(BJ14),$B$18*COUNT(BJ18)))</f>
        <v>4.166666666666667</v>
      </c>
      <c r="BK21" s="199">
        <f>IF(BJ21="","",BJ21*5)</f>
        <v>20.833333333333336</v>
      </c>
      <c r="BL21" s="150"/>
      <c r="BM21" s="150"/>
      <c r="BN21" s="150"/>
      <c r="BO21" s="192">
        <f>IF(COUNT(BO18,BO14,BO12,BO7,BO4)=0,"",SUM($B$4*IF(COUNT(BO4)=0,0,BO4),$B$7*IF(COUNT(BO7)=0,0,BO7),$B$12*IF(COUNT(BO12)=0,0,BO12),$B$14*IF(COUNT(BO14)=0,0,BO14),$B$18*IF(COUNT(BO18)=0,0,BO18))/SUM($B$4*COUNT(BO4),$B$7*COUNT(BO7),$B$12*COUNT(BO12),$B$14*COUNT(BO14),$B$18*COUNT(BO18)))</f>
        <v>4.5625</v>
      </c>
      <c r="BP21" s="214">
        <f>IF(BO21="","",BO21*5)</f>
        <v>22.8125</v>
      </c>
      <c r="BQ21" s="215"/>
      <c r="BR21" s="215"/>
      <c r="BS21" s="147"/>
      <c r="BT21" s="147"/>
      <c r="BU21" s="147"/>
      <c r="BV21" s="192">
        <f>IF(COUNT(BV18,BV14,BV12,BV7,BV4)=0,"",SUM($B$4*IF(COUNT(BV4)=0,0,BV4),$B$7*IF(COUNT(BV7)=0,0,BV7),$B$12*IF(COUNT(BV12)=0,0,BV12),$B$14*IF(COUNT(BV14)=0,0,BV14),$B$18*IF(COUNT(BV18)=0,0,BV18))/SUM($B$4*COUNT(BV4),$B$7*COUNT(BV7),$B$12*COUNT(BV12),$B$14*COUNT(BV14),$B$18*COUNT(BV18)))</f>
        <v>3</v>
      </c>
      <c r="BW21" s="193">
        <f>IF(BV21="","",BV21*5)</f>
        <v>15</v>
      </c>
      <c r="BX21" s="150"/>
      <c r="BY21" s="150"/>
      <c r="BZ21" s="150"/>
      <c r="CA21" s="192">
        <f>IF(COUNT(CA18,CA14,CA12,CA7,CA4)=0,"",SUM($B$4*IF(COUNT(CA4)=0,0,CA4),$B$7*IF(COUNT(CA7)=0,0,CA7),$B$12*IF(COUNT(CA12)=0,0,CA12),$B$14*IF(COUNT(CA14)=0,0,CA14),$B$18*IF(COUNT(CA18)=0,0,CA18))/SUM($B$4*COUNT(CA4),$B$7*COUNT(CA7),$B$12*COUNT(CA12),$B$14*COUNT(CA14),$B$18*COUNT(CA18)))</f>
        <v>4.3125</v>
      </c>
      <c r="CB21" s="199">
        <f>IF(CA21="","",CA21*5)</f>
        <v>21.5625</v>
      </c>
      <c r="CC21" s="150"/>
      <c r="CD21" s="150"/>
      <c r="CE21" s="150"/>
      <c r="CF21" s="192">
        <f>IF(COUNT(CF18,CF14,CF12,CF7,CF4)=0,"",SUM($B$4*IF(COUNT(CF4)=0,0,CF4),$B$7*IF(COUNT(CF7)=0,0,CF7),$B$12*IF(COUNT(CF12)=0,0,CF12),$B$14*IF(COUNT(CF14)=0,0,CF14),$B$18*IF(COUNT(CF18)=0,0,CF18))/SUM($B$4*COUNT(CF4),$B$7*COUNT(CF7),$B$12*COUNT(CF12),$B$14*COUNT(CF14),$B$18*COUNT(CF18)))</f>
        <v>4.479166666666667</v>
      </c>
      <c r="CG21" s="214">
        <f>IF(CF21="","",CF21*5)</f>
        <v>22.395833333333336</v>
      </c>
      <c r="CH21" s="215"/>
      <c r="CI21" s="215"/>
      <c r="CJ21" s="147"/>
      <c r="CK21" s="147"/>
      <c r="CL21" s="147"/>
      <c r="CM21" s="192">
        <f>IF(COUNT(CM18,CM14,CM12,CM7,CM4)=0,"",SUM($B$4*IF(COUNT(CM4)=0,0,CM4),$B$7*IF(COUNT(CM7)=0,0,CM7),$B$12*IF(COUNT(CM12)=0,0,CM12),$B$14*IF(COUNT(CM14)=0,0,CM14),$B$18*IF(COUNT(CM18)=0,0,CM18))/SUM($B$4*COUNT(CM4),$B$7*COUNT(CM7),$B$12*COUNT(CM12),$B$14*COUNT(CM14),$B$18*COUNT(CM18)))</f>
        <v>2.5</v>
      </c>
      <c r="CN21" s="193">
        <f>IF(CM21="","",CM21*5)</f>
        <v>12.5</v>
      </c>
      <c r="CO21" s="150"/>
      <c r="CP21" s="150"/>
      <c r="CQ21" s="150"/>
      <c r="CR21" s="192">
        <f>IF(COUNT(CR18,CR14,CR12,CR7,CR4)=0,"",SUM($B$4*IF(COUNT(CR4)=0,0,CR4),$B$7*IF(COUNT(CR7)=0,0,CR7),$B$12*IF(COUNT(CR12)=0,0,CR12),$B$14*IF(COUNT(CR14)=0,0,CR14),$B$18*IF(COUNT(CR18)=0,0,CR18))/SUM($B$4*COUNT(CR4),$B$7*COUNT(CR7),$B$12*COUNT(CR12),$B$14*COUNT(CR14),$B$18*COUNT(CR18)))</f>
        <v>3.5208333333333335</v>
      </c>
      <c r="CS21" s="199">
        <f>IF(CR21="","",CR21*5)</f>
        <v>17.604166666666668</v>
      </c>
      <c r="CT21" s="150"/>
      <c r="CU21" s="150"/>
      <c r="CV21" s="150"/>
      <c r="CW21" s="192">
        <f>IF(COUNT(CW18,CW14,CW12,CW7,CW4)=0,"",SUM($B$4*IF(COUNT(CW4)=0,0,CW4),$B$7*IF(COUNT(CW7)=0,0,CW7),$B$12*IF(COUNT(CW12)=0,0,CW12),$B$14*IF(COUNT(CW14)=0,0,CW14),$B$18*IF(COUNT(CW18)=0,0,CW18))/SUM($B$4*COUNT(CW4),$B$7*COUNT(CW7),$B$12*COUNT(CW12),$B$14*COUNT(CW14),$B$18*COUNT(CW18)))</f>
        <v>3.9375</v>
      </c>
      <c r="CX21" s="214">
        <f>IF(CW21="","",CW21*5)</f>
        <v>19.6875</v>
      </c>
      <c r="CY21" s="215"/>
      <c r="CZ21" s="215"/>
      <c r="DA21" s="147"/>
      <c r="DB21" s="147"/>
      <c r="DC21" s="147"/>
      <c r="DD21" s="192">
        <f>IF(COUNT(DD18,DD14,DD12,DD7,DD4)=0,"",SUM($B$4*IF(COUNT(DD4)=0,0,DD4),$B$7*IF(COUNT(DD7)=0,0,DD7),$B$12*IF(COUNT(DD12)=0,0,DD12),$B$14*IF(COUNT(DD14)=0,0,DD14),$B$18*IF(COUNT(DD18)=0,0,DD18))/SUM($B$4*COUNT(DD4),$B$7*COUNT(DD7),$B$12*COUNT(DD12),$B$14*COUNT(DD14),$B$18*COUNT(DD18)))</f>
        <v>1</v>
      </c>
      <c r="DE21" s="193">
        <f>IF(DD21="","",DD21*5)</f>
        <v>5</v>
      </c>
      <c r="DF21" s="150"/>
      <c r="DG21" s="150"/>
      <c r="DH21" s="150"/>
      <c r="DI21" s="192">
        <f>IF(COUNT(DI18,DI14,DI12,DI7,DI4)=0,"",SUM($B$4*IF(COUNT(DI4)=0,0,DI4),$B$7*IF(COUNT(DI7)=0,0,DI7),$B$12*IF(COUNT(DI12)=0,0,DI12),$B$14*IF(COUNT(DI14)=0,0,DI14),$B$18*IF(COUNT(DI18)=0,0,DI18))/SUM($B$4*COUNT(DI4),$B$7*COUNT(DI7),$B$12*COUNT(DI12),$B$14*COUNT(DI14),$B$18*COUNT(DI18)))</f>
        <v>3.9166666666666665</v>
      </c>
      <c r="DJ21" s="199">
        <f>IF(DI21="","",DI21*5)</f>
        <v>19.583333333333332</v>
      </c>
      <c r="DK21" s="150"/>
      <c r="DL21" s="150"/>
      <c r="DM21" s="150"/>
      <c r="DN21" s="192">
        <f>IF(COUNT(DN18,DN14,DN12,DN7,DN4)=0,"",SUM($B$4*IF(COUNT(DN4)=0,0,DN4),$B$7*IF(COUNT(DN7)=0,0,DN7),$B$12*IF(COUNT(DN12)=0,0,DN12),$B$14*IF(COUNT(DN14)=0,0,DN14),$B$18*IF(COUNT(DN18)=0,0,DN18))/SUM($B$4*COUNT(DN4),$B$7*COUNT(DN7),$B$12*COUNT(DN12),$B$14*COUNT(DN14),$B$18*COUNT(DN18)))</f>
        <v>4.0625</v>
      </c>
      <c r="DO21" s="214">
        <f>IF(DN21="","",DN21*5)</f>
        <v>20.3125</v>
      </c>
      <c r="DP21" s="215"/>
      <c r="DQ21" s="215"/>
      <c r="DR21" s="147"/>
      <c r="DS21" s="147"/>
      <c r="DT21" s="147"/>
      <c r="DU21" s="192">
        <f>IF(COUNT(DU18,DU14,DU12,DU7,DU4)=0,"",SUM($B$4*IF(COUNT(DU4)=0,0,DU4),$B$7*IF(COUNT(DU7)=0,0,DU7),$B$12*IF(COUNT(DU12)=0,0,DU12),$B$14*IF(COUNT(DU14)=0,0,DU14),$B$18*IF(COUNT(DU18)=0,0,DU18))/SUM($B$4*COUNT(DU4),$B$7*COUNT(DU7),$B$12*COUNT(DU12),$B$14*COUNT(DU14),$B$18*COUNT(DU18)))</f>
        <v>3</v>
      </c>
      <c r="DV21" s="193">
        <f>IF(DU21="","",DU21*5)</f>
        <v>15</v>
      </c>
      <c r="DW21" s="150"/>
      <c r="DX21" s="150"/>
      <c r="DY21" s="150"/>
      <c r="DZ21" s="192">
        <f>IF(COUNT(DZ18,DZ14,DZ12,DZ7,DZ4)=0,"",SUM($B$4*IF(COUNT(DZ4)=0,0,DZ4),$B$7*IF(COUNT(DZ7)=0,0,DZ7),$B$12*IF(COUNT(DZ12)=0,0,DZ12),$B$14*IF(COUNT(DZ14)=0,0,DZ14),$B$18*IF(COUNT(DZ18)=0,0,DZ18))/SUM($B$4*COUNT(DZ4),$B$7*COUNT(DZ7),$B$12*COUNT(DZ12),$B$14*COUNT(DZ14),$B$18*COUNT(DZ18)))</f>
        <v>3.8541666666666665</v>
      </c>
      <c r="EA21" s="199">
        <f>IF(DZ21="","",DZ21*5)</f>
        <v>19.270833333333332</v>
      </c>
      <c r="EB21" s="150"/>
      <c r="EC21" s="150"/>
      <c r="ED21" s="150"/>
      <c r="EE21" s="192">
        <f>IF(COUNT(EE18,EE14,EE12,EE7,EE4)=0,"",SUM($B$4*IF(COUNT(EE4)=0,0,EE4),$B$7*IF(COUNT(EE7)=0,0,EE7),$B$12*IF(COUNT(EE12)=0,0,EE12),$B$14*IF(COUNT(EE14)=0,0,EE14),$B$18*IF(COUNT(EE18)=0,0,EE18))/SUM($B$4*COUNT(EE4),$B$7*COUNT(EE7),$B$12*COUNT(EE12),$B$14*COUNT(EE14),$B$18*COUNT(EE18)))</f>
        <v>3.8333333333333335</v>
      </c>
      <c r="EF21" s="214">
        <f>IF(EE21="","",EE21*5)</f>
        <v>19.166666666666668</v>
      </c>
      <c r="EG21" s="215"/>
      <c r="EH21" s="215"/>
      <c r="EI21" s="147"/>
      <c r="EJ21" s="147"/>
      <c r="EK21" s="147"/>
      <c r="EL21" s="192">
        <f>IF(COUNT(EL18,EL14,EL12,EL7,EL4)=0,"",SUM($B$4*IF(COUNT(EL4)=0,0,EL4),$B$7*IF(COUNT(EL7)=0,0,EL7),$B$12*IF(COUNT(EL12)=0,0,EL12),$B$14*IF(COUNT(EL14)=0,0,EL14),$B$18*IF(COUNT(EL18)=0,0,EL18))/SUM($B$4*COUNT(EL4),$B$7*COUNT(EL7),$B$12*COUNT(EL12),$B$14*COUNT(EL14),$B$18*COUNT(EL18)))</f>
        <v>1.5</v>
      </c>
      <c r="EM21" s="193">
        <f>IF(EL21="","",EL21*5)</f>
        <v>7.5</v>
      </c>
      <c r="EN21" s="150"/>
      <c r="EO21" s="150"/>
      <c r="EP21" s="150"/>
      <c r="EQ21" s="192">
        <f>IF(COUNT(EQ18,EQ14,EQ12,EQ7,EQ4)=0,"",SUM($B$4*IF(COUNT(EQ4)=0,0,EQ4),$B$7*IF(COUNT(EQ7)=0,0,EQ7),$B$12*IF(COUNT(EQ12)=0,0,EQ12),$B$14*IF(COUNT(EQ14)=0,0,EQ14),$B$18*IF(COUNT(EQ18)=0,0,EQ18))/SUM($B$4*COUNT(EQ4),$B$7*COUNT(EQ7),$B$12*COUNT(EQ12),$B$14*COUNT(EQ14),$B$18*COUNT(EQ18)))</f>
        <v>4.083333333333333</v>
      </c>
      <c r="ER21" s="199">
        <f>IF(EQ21="","",EQ21*5)</f>
        <v>20.416666666666664</v>
      </c>
      <c r="ES21" s="150"/>
      <c r="ET21" s="150"/>
      <c r="EU21" s="150"/>
      <c r="EV21" s="192">
        <f>IF(COUNT(EV18,EV14,EV12,EV7,EV4)=0,"",SUM($B$4*IF(COUNT(EV4)=0,0,EV4),$B$7*IF(COUNT(EV7)=0,0,EV7),$B$12*IF(COUNT(EV12)=0,0,EV12),$B$14*IF(COUNT(EV14)=0,0,EV14),$B$18*IF(COUNT(EV18)=0,0,EV18))/SUM($B$4*COUNT(EV4),$B$7*COUNT(EV7),$B$12*COUNT(EV12),$B$14*COUNT(EV14),$B$18*COUNT(EV18)))</f>
        <v>4.0625</v>
      </c>
      <c r="EW21" s="214">
        <f>IF(EV21="","",EV21*5)</f>
        <v>20.3125</v>
      </c>
      <c r="EX21" s="215"/>
      <c r="EY21" s="215"/>
      <c r="EZ21" s="147"/>
      <c r="FA21" s="147"/>
      <c r="FB21" s="147"/>
      <c r="FC21" s="192">
        <f>IF(COUNT(FC18,FC14,FC12,FC7,FC4)=0,"",SUM($B$4*IF(COUNT(FC4)=0,0,FC4),$B$7*IF(COUNT(FC7)=0,0,FC7),$B$12*IF(COUNT(FC12)=0,0,FC12),$B$14*IF(COUNT(FC14)=0,0,FC14),$B$18*IF(COUNT(FC18)=0,0,FC18))/SUM($B$4*COUNT(FC4),$B$7*COUNT(FC7),$B$12*COUNT(FC12),$B$14*COUNT(FC14),$B$18*COUNT(FC18)))</f>
        <v>2.5</v>
      </c>
      <c r="FD21" s="193">
        <f>IF(FC21="","",FC21*5)</f>
        <v>12.5</v>
      </c>
      <c r="FE21" s="150"/>
      <c r="FF21" s="150"/>
      <c r="FG21" s="150"/>
      <c r="FH21" s="192">
        <f>IF(COUNT(FH18,FH14,FH12,FH7,FH4)=0,"",SUM($B$4*IF(COUNT(FH4)=0,0,FH4),$B$7*IF(COUNT(FH7)=0,0,FH7),$B$12*IF(COUNT(FH12)=0,0,FH12),$B$14*IF(COUNT(FH14)=0,0,FH14),$B$18*IF(COUNT(FH18)=0,0,FH18))/SUM($B$4*COUNT(FH4),$B$7*COUNT(FH7),$B$12*COUNT(FH12),$B$14*COUNT(FH14),$B$18*COUNT(FH18)))</f>
        <v>4.125</v>
      </c>
      <c r="FI21" s="199">
        <f>IF(FH21="","",FH21*5)</f>
        <v>20.625</v>
      </c>
      <c r="FJ21" s="150"/>
      <c r="FK21" s="150"/>
      <c r="FL21" s="150"/>
      <c r="FM21" s="192">
        <f>IF(COUNT(FM18,FM14,FM12,FM7,FM4)=0,"",SUM($B$4*IF(COUNT(FM4)=0,0,FM4),$B$7*IF(COUNT(FM7)=0,0,FM7),$B$12*IF(COUNT(FM12)=0,0,FM12),$B$14*IF(COUNT(FM14)=0,0,FM14),$B$18*IF(COUNT(FM18)=0,0,FM18))/SUM($B$4*COUNT(FM4),$B$7*COUNT(FM7),$B$12*COUNT(FM12),$B$14*COUNT(FM14),$B$18*COUNT(FM18)))</f>
        <v>4.333333333333333</v>
      </c>
      <c r="FN21" s="214">
        <f>IF(FM21="","",FM21*5)</f>
        <v>21.666666666666664</v>
      </c>
      <c r="FO21" s="215"/>
      <c r="FP21" s="215"/>
      <c r="FQ21" s="147"/>
      <c r="FR21" s="147"/>
      <c r="FS21" s="147"/>
      <c r="FT21" s="192">
        <f>IF(COUNT(FT18,FT14,FT12,FT7,FT4)=0,"",SUM($B$4*IF(COUNT(FT4)=0,0,FT4),$B$7*IF(COUNT(FT7)=0,0,FT7),$B$12*IF(COUNT(FT12)=0,0,FT12),$B$14*IF(COUNT(FT14)=0,0,FT14),$B$18*IF(COUNT(FT18)=0,0,FT18))/SUM($B$4*COUNT(FT4),$B$7*COUNT(FT7),$B$12*COUNT(FT12),$B$14*COUNT(FT14),$B$18*COUNT(FT18)))</f>
        <v>1.5</v>
      </c>
      <c r="FU21" s="193">
        <f>IF(FT21="","",FT21*5)</f>
        <v>7.5</v>
      </c>
      <c r="FV21" s="150"/>
      <c r="FW21" s="150"/>
      <c r="FX21" s="150"/>
      <c r="FY21" s="192">
        <f>IF(COUNT(FY18,FY14,FY12,FY7,FY4)=0,"",SUM($B$4*IF(COUNT(FY4)=0,0,FY4),$B$7*IF(COUNT(FY7)=0,0,FY7),$B$12*IF(COUNT(FY12)=0,0,FY12),$B$14*IF(COUNT(FY14)=0,0,FY14),$B$18*IF(COUNT(FY18)=0,0,FY18))/SUM($B$4*COUNT(FY4),$B$7*COUNT(FY7),$B$12*COUNT(FY12),$B$14*COUNT(FY14),$B$18*COUNT(FY18)))</f>
        <v>3.9166666666666665</v>
      </c>
      <c r="FZ21" s="199">
        <f>IF(FY21="","",FY21*5)</f>
        <v>19.583333333333332</v>
      </c>
      <c r="GA21" s="150"/>
      <c r="GB21" s="150"/>
      <c r="GC21" s="150"/>
      <c r="GD21" s="192">
        <f>IF(COUNT(GD18,GD14,GD12,GD7,GD4)=0,"",SUM($B$4*IF(COUNT(GD4)=0,0,GD4),$B$7*IF(COUNT(GD7)=0,0,GD7),$B$12*IF(COUNT(GD12)=0,0,GD12),$B$14*IF(COUNT(GD14)=0,0,GD14),$B$18*IF(COUNT(GD18)=0,0,GD18))/SUM($B$4*COUNT(GD4),$B$7*COUNT(GD7),$B$12*COUNT(GD12),$B$14*COUNT(GD14),$B$18*COUNT(GD18)))</f>
        <v>4.520833333333333</v>
      </c>
      <c r="GE21" s="214">
        <f>IF(GD21="","",GD21*5)</f>
        <v>22.604166666666664</v>
      </c>
      <c r="GF21" s="215"/>
      <c r="GG21" s="215"/>
      <c r="GH21" s="147"/>
      <c r="GI21" s="147"/>
      <c r="GJ21" s="147"/>
      <c r="GK21" s="192">
        <f>IF(COUNT(GK18,GK14,GK12,GK7,GK4)=0,"",SUM($B$4*IF(COUNT(GK4)=0,0,GK4),$B$7*IF(COUNT(GK7)=0,0,GK7),$B$12*IF(COUNT(GK12)=0,0,GK12),$B$14*IF(COUNT(GK14)=0,0,GK14),$B$18*IF(COUNT(GK18)=0,0,GK18))/SUM($B$4*COUNT(GK4),$B$7*COUNT(GK7),$B$12*COUNT(GK12),$B$14*COUNT(GK14),$B$18*COUNT(GK18)))</f>
        <v>2</v>
      </c>
      <c r="GL21" s="193">
        <f>IF(GK21="","",GK21*5)</f>
        <v>10</v>
      </c>
      <c r="GM21" s="150"/>
      <c r="GN21" s="150"/>
      <c r="GO21" s="150"/>
      <c r="GP21" s="192">
        <f>IF(COUNT(GP18,GP14,GP12,GP7,GP4)=0,"",SUM($B$4*IF(COUNT(GP4)=0,0,GP4),$B$7*IF(COUNT(GP7)=0,0,GP7),$B$12*IF(COUNT(GP12)=0,0,GP12),$B$14*IF(COUNT(GP14)=0,0,GP14),$B$18*IF(COUNT(GP18)=0,0,GP18))/SUM($B$4*COUNT(GP4),$B$7*COUNT(GP7),$B$12*COUNT(GP12),$B$14*COUNT(GP14),$B$18*COUNT(GP18)))</f>
        <v>4.166666666666667</v>
      </c>
      <c r="GQ21" s="199">
        <f>IF(GP21="","",GP21*5)</f>
        <v>20.833333333333336</v>
      </c>
      <c r="GR21" s="150"/>
      <c r="GS21" s="150"/>
      <c r="GT21" s="150"/>
      <c r="GU21" s="192">
        <f>IF(COUNT(GU18,GU14,GU12,GU7,GU4)=0,"",SUM($B$4*IF(COUNT(GU4)=0,0,GU4),$B$7*IF(COUNT(GU7)=0,0,GU7),$B$12*IF(COUNT(GU12)=0,0,GU12),$B$14*IF(COUNT(GU14)=0,0,GU14),$B$18*IF(COUNT(GU18)=0,0,GU18))/SUM($B$4*COUNT(GU4),$B$7*COUNT(GU7),$B$12*COUNT(GU12),$B$14*COUNT(GU14),$B$18*COUNT(GU18)))</f>
        <v>4.458333333333333</v>
      </c>
      <c r="GV21" s="214">
        <f>IF(GU21="","",GU21*5)</f>
        <v>22.291666666666664</v>
      </c>
      <c r="GW21" s="215"/>
      <c r="GX21" s="215"/>
      <c r="GY21" s="147"/>
      <c r="GZ21" s="147"/>
      <c r="HA21" s="147"/>
      <c r="HB21" s="192">
        <f>IF(COUNT(HB18,HB14,HB12,HB7,HB4)=0,"",SUM($B$4*IF(COUNT(HB4)=0,0,HB4),$B$7*IF(COUNT(HB7)=0,0,HB7),$B$12*IF(COUNT(HB12)=0,0,HB12),$B$14*IF(COUNT(HB14)=0,0,HB14),$B$18*IF(COUNT(HB18)=0,0,HB18))/SUM($B$4*COUNT(HB4),$B$7*COUNT(HB7),$B$12*COUNT(HB12),$B$14*COUNT(HB14),$B$18*COUNT(HB18)))</f>
        <v>1</v>
      </c>
      <c r="HC21" s="193">
        <f>IF(HB21="","",HB21*5)</f>
        <v>5</v>
      </c>
      <c r="HD21" s="150"/>
      <c r="HE21" s="150"/>
      <c r="HF21" s="150"/>
      <c r="HG21" s="192">
        <f>IF(COUNT(HG18,HG14,HG12,HG7,HG4)=0,"",SUM($B$4*IF(COUNT(HG4)=0,0,HG4),$B$7*IF(COUNT(HG7)=0,0,HG7),$B$12*IF(COUNT(HG12)=0,0,HG12),$B$14*IF(COUNT(HG14)=0,0,HG14),$B$18*IF(COUNT(HG18)=0,0,HG18))/SUM($B$4*COUNT(HG4),$B$7*COUNT(HG7),$B$12*COUNT(HG12),$B$14*COUNT(HG14),$B$18*COUNT(HG18)))</f>
        <v>4.3125</v>
      </c>
      <c r="HH21" s="199">
        <f>IF(HG21="","",HG21*5)</f>
        <v>21.5625</v>
      </c>
      <c r="HI21" s="150"/>
      <c r="HJ21" s="150"/>
      <c r="HK21" s="150"/>
      <c r="HL21" s="192">
        <f>IF(COUNT(HL18,HL14,HL12,HL7,HL4)=0,"",SUM($B$4*IF(COUNT(HL4)=0,0,HL4),$B$7*IF(COUNT(HL7)=0,0,HL7),$B$12*IF(COUNT(HL12)=0,0,HL12),$B$14*IF(COUNT(HL14)=0,0,HL14),$B$18*IF(COUNT(HL18)=0,0,HL18))/SUM($B$4*COUNT(HL4),$B$7*COUNT(HL7),$B$12*COUNT(HL12),$B$14*COUNT(HL14),$B$18*COUNT(HL18)))</f>
        <v>4.666666666666667</v>
      </c>
      <c r="HM21" s="214">
        <f>IF(HL21="","",HL21*5)</f>
        <v>23.333333333333336</v>
      </c>
      <c r="HN21" s="215"/>
      <c r="HO21" s="215"/>
      <c r="HP21" s="147"/>
      <c r="HQ21" s="147"/>
      <c r="HR21" s="147"/>
      <c r="HS21" s="192">
        <f>IF(COUNT(HS18,HS14,HS12,HS7,HS4)=0,"",SUM($B$4*IF(COUNT(HS4)=0,0,HS4),$B$7*IF(COUNT(HS7)=0,0,HS7),$B$12*IF(COUNT(HS12)=0,0,HS12),$B$14*IF(COUNT(HS14)=0,0,HS14),$B$18*IF(COUNT(HS18)=0,0,HS18))/SUM($B$4*COUNT(HS4),$B$7*COUNT(HS7),$B$12*COUNT(HS12),$B$14*COUNT(HS14),$B$18*COUNT(HS18)))</f>
        <v>3.5</v>
      </c>
      <c r="HT21" s="193">
        <f>IF(HS21="","",HS21*5)</f>
        <v>17.5</v>
      </c>
      <c r="HU21" s="150"/>
      <c r="HV21" s="150"/>
      <c r="HW21" s="150"/>
      <c r="HX21" s="192">
        <f>IF(COUNT(HX18,HX14,HX12,HX7,HX4)=0,"",SUM($B$4*IF(COUNT(HX4)=0,0,HX4),$B$7*IF(COUNT(HX7)=0,0,HX7),$B$12*IF(COUNT(HX12)=0,0,HX12),$B$14*IF(COUNT(HX14)=0,0,HX14),$B$18*IF(COUNT(HX18)=0,0,HX18))/SUM($B$4*COUNT(HX4),$B$7*COUNT(HX7),$B$12*COUNT(HX12),$B$14*COUNT(HX14),$B$18*COUNT(HX18)))</f>
        <v>4.375</v>
      </c>
      <c r="HY21" s="199">
        <f>IF(HX21="","",HX21*5)</f>
        <v>21.875</v>
      </c>
      <c r="HZ21" s="150"/>
      <c r="IA21" s="150"/>
      <c r="IB21" s="150"/>
      <c r="IC21" s="192">
        <f>IF(COUNT(IC18,IC14,IC12,IC7,IC4)=0,"",SUM($B$4*IF(COUNT(IC4)=0,0,IC4),$B$7*IF(COUNT(IC7)=0,0,IC7),$B$12*IF(COUNT(IC12)=0,0,IC12),$B$14*IF(COUNT(IC14)=0,0,IC14),$B$18*IF(COUNT(IC18)=0,0,IC18))/SUM($B$4*COUNT(IC4),$B$7*COUNT(IC7),$B$12*COUNT(IC12),$B$14*COUNT(IC14),$B$18*COUNT(IC18)))</f>
        <v>4.708333333333333</v>
      </c>
      <c r="ID21" s="214">
        <f>IF(IC21="","",IC21*5)</f>
        <v>23.541666666666664</v>
      </c>
      <c r="IE21" s="215"/>
      <c r="IF21" s="215"/>
      <c r="IG21" s="147"/>
      <c r="IH21" s="147"/>
      <c r="II21" s="147"/>
      <c r="IJ21" s="192">
        <f>IF(COUNT(IJ18,IJ14,IJ12,IJ7,IJ4)=0,"",SUM($B$4*IF(COUNT(IJ4)=0,0,IJ4),$B$7*IF(COUNT(IJ7)=0,0,IJ7),$B$12*IF(COUNT(IJ12)=0,0,IJ12),$B$14*IF(COUNT(IJ14)=0,0,IJ14),$B$18*IF(COUNT(IJ18)=0,0,IJ18))/SUM($B$4*COUNT(IJ4),$B$7*COUNT(IJ7),$B$12*COUNT(IJ12),$B$14*COUNT(IJ14),$B$18*COUNT(IJ18)))</f>
        <v>1.5</v>
      </c>
      <c r="IK21" s="193">
        <f>IF(IJ21="","",IJ21*5)</f>
        <v>7.5</v>
      </c>
      <c r="IL21" s="150"/>
      <c r="IM21" s="150"/>
      <c r="IN21" s="150"/>
      <c r="IO21" s="192">
        <f>IF(COUNT(IO18,IO14,IO12,IO7,IO4)=0,"",SUM($B$4*IF(COUNT(IO4)=0,0,IO4),$B$7*IF(COUNT(IO7)=0,0,IO7),$B$12*IF(COUNT(IO12)=0,0,IO12),$B$14*IF(COUNT(IO14)=0,0,IO14),$B$18*IF(COUNT(IO18)=0,0,IO18))/SUM($B$4*COUNT(IO4),$B$7*COUNT(IO7),$B$12*COUNT(IO12),$B$14*COUNT(IO14),$B$18*COUNT(IO18)))</f>
        <v>4.104166666666667</v>
      </c>
      <c r="IP21" s="199">
        <f>IF(IO21="","",IO21*5)</f>
        <v>20.520833333333336</v>
      </c>
      <c r="IQ21" s="150"/>
      <c r="IR21" s="150"/>
      <c r="IS21" s="150"/>
      <c r="IT21" s="192">
        <f>IF(COUNT(IT18,IT14,IT12,IT7,IT4)=0,"",SUM($B$4*IF(COUNT(IT4)=0,0,IT4),$B$7*IF(COUNT(IT7)=0,0,IT7),$B$12*IF(COUNT(IT12)=0,0,IT12),$B$14*IF(COUNT(IT14)=0,0,IT14),$B$18*IF(COUNT(IT18)=0,0,IT18))/SUM($B$4*COUNT(IT4),$B$7*COUNT(IT7),$B$12*COUNT(IT12),$B$14*COUNT(IT14),$B$18*COUNT(IT18)))</f>
        <v>5</v>
      </c>
      <c r="IU21" s="214">
        <f>IF(IT21="","",IT21*5)</f>
        <v>25</v>
      </c>
      <c r="IV21" s="215"/>
      <c r="IW21" s="215"/>
      <c r="IX21" s="147"/>
      <c r="IY21" s="147"/>
      <c r="IZ21" s="147"/>
      <c r="JA21" s="192">
        <f>IF(COUNT(JA18,JA14,JA12,JA7,JA4)=0,"",SUM($B$4*IF(COUNT(JA4)=0,0,JA4),$B$7*IF(COUNT(JA7)=0,0,JA7),$B$12*IF(COUNT(JA12)=0,0,JA12),$B$14*IF(COUNT(JA14)=0,0,JA14),$B$18*IF(COUNT(JA18)=0,0,JA18))/SUM($B$4*COUNT(JA4),$B$7*COUNT(JA7),$B$12*COUNT(JA12),$B$14*COUNT(JA14),$B$18*COUNT(JA18)))</f>
        <v>1.5</v>
      </c>
      <c r="JB21" s="193">
        <f>IF(JA21="","",JA21*5)</f>
        <v>7.5</v>
      </c>
      <c r="JC21" s="150"/>
      <c r="JD21" s="150"/>
      <c r="JE21" s="150"/>
      <c r="JF21" s="192">
        <f>IF(COUNT(JF18,JF14,JF12,JF7,JF4)=0,"",SUM($B$4*IF(COUNT(JF4)=0,0,JF4),$B$7*IF(COUNT(JF7)=0,0,JF7),$B$12*IF(COUNT(JF12)=0,0,JF12),$B$14*IF(COUNT(JF14)=0,0,JF14),$B$18*IF(COUNT(JF18)=0,0,JF18))/SUM($B$4*COUNT(JF4),$B$7*COUNT(JF7),$B$12*COUNT(JF12),$B$14*COUNT(JF14),$B$18*COUNT(JF18)))</f>
        <v>3.9166666666666665</v>
      </c>
      <c r="JG21" s="199">
        <f>IF(JF21="","",JF21*5)</f>
        <v>19.583333333333332</v>
      </c>
      <c r="JH21" s="150"/>
      <c r="JI21" s="150"/>
      <c r="JJ21" s="150"/>
      <c r="JK21" s="192">
        <f>IF(COUNT(JK18,JK14,JK12,JK7,JK4)=0,"",SUM($B$4*IF(COUNT(JK4)=0,0,JK4),$B$7*IF(COUNT(JK7)=0,0,JK7),$B$12*IF(COUNT(JK12)=0,0,JK12),$B$14*IF(COUNT(JK14)=0,0,JK14),$B$18*IF(COUNT(JK18)=0,0,JK18))/SUM($B$4*COUNT(JK4),$B$7*COUNT(JK7),$B$12*COUNT(JK12),$B$14*COUNT(JK14),$B$18*COUNT(JK18)))</f>
        <v>4.479166666666667</v>
      </c>
      <c r="JL21" s="214">
        <f>IF(JK21="","",JK21*5)</f>
        <v>22.395833333333336</v>
      </c>
      <c r="JM21" s="215"/>
      <c r="JN21" s="215"/>
      <c r="JO21" s="147"/>
      <c r="JP21" s="147"/>
      <c r="JQ21" s="147"/>
      <c r="JR21" s="192">
        <f>IF(COUNT(JR18,JR14,JR12,JR7,JR4)=0,"",SUM($B$4*IF(COUNT(JR4)=0,0,JR4),$B$7*IF(COUNT(JR7)=0,0,JR7),$B$12*IF(COUNT(JR12)=0,0,JR12),$B$14*IF(COUNT(JR14)=0,0,JR14),$B$18*IF(COUNT(JR18)=0,0,JR18))/SUM($B$4*COUNT(JR4),$B$7*COUNT(JR7),$B$12*COUNT(JR12),$B$14*COUNT(JR14),$B$18*COUNT(JR18)))</f>
        <v>2</v>
      </c>
      <c r="JS21" s="193">
        <f>IF(JR21="","",JR21*5)</f>
        <v>10</v>
      </c>
      <c r="JT21" s="150"/>
      <c r="JU21" s="150"/>
      <c r="JV21" s="150"/>
      <c r="JW21" s="192">
        <f>IF(COUNT(JW18,JW14,JW12,JW7,JW4)=0,"",SUM($B$4*IF(COUNT(JW4)=0,0,JW4),$B$7*IF(COUNT(JW7)=0,0,JW7),$B$12*IF(COUNT(JW12)=0,0,JW12),$B$14*IF(COUNT(JW14)=0,0,JW14),$B$18*IF(COUNT(JW18)=0,0,JW18))/SUM($B$4*COUNT(JW4),$B$7*COUNT(JW7),$B$12*COUNT(JW12),$B$14*COUNT(JW14),$B$18*COUNT(JW18)))</f>
        <v>3.875</v>
      </c>
      <c r="JX21" s="199">
        <f>IF(JW21="","",JW21*5)</f>
        <v>19.375</v>
      </c>
      <c r="JY21" s="150"/>
      <c r="JZ21" s="150"/>
      <c r="KA21" s="150"/>
      <c r="KB21" s="192">
        <f>IF(COUNT(KB18,KB14,KB12,KB7,KB4)=0,"",SUM($B$4*IF(COUNT(KB4)=0,0,KB4),$B$7*IF(COUNT(KB7)=0,0,KB7),$B$12*IF(COUNT(KB12)=0,0,KB12),$B$14*IF(COUNT(KB14)=0,0,KB14),$B$18*IF(COUNT(KB18)=0,0,KB18))/SUM($B$4*COUNT(KB4),$B$7*COUNT(KB7),$B$12*COUNT(KB12),$B$14*COUNT(KB14),$B$18*COUNT(KB18)))</f>
        <v>4.104166666666667</v>
      </c>
      <c r="KC21" s="214">
        <f>IF(KB21="","",KB21*5)</f>
        <v>20.520833333333336</v>
      </c>
      <c r="KD21" s="215"/>
      <c r="KE21" s="215"/>
      <c r="KF21" s="147"/>
      <c r="KG21" s="147"/>
      <c r="KH21" s="147"/>
      <c r="KI21" s="192">
        <f>IF(COUNT(KI18,KI14,KI12,KI7,KI4)=0,"",SUM($B$4*IF(COUNT(KI4)=0,0,KI4),$B$7*IF(COUNT(KI7)=0,0,KI7),$B$12*IF(COUNT(KI12)=0,0,KI12),$B$14*IF(COUNT(KI14)=0,0,KI14),$B$18*IF(COUNT(KI18)=0,0,KI18))/SUM($B$4*COUNT(KI4),$B$7*COUNT(KI7),$B$12*COUNT(KI12),$B$14*COUNT(KI14),$B$18*COUNT(KI18)))</f>
        <v>2.5</v>
      </c>
      <c r="KJ21" s="193">
        <f>IF(KI21="","",KI21*5)</f>
        <v>12.5</v>
      </c>
      <c r="KK21" s="150"/>
      <c r="KL21" s="150"/>
      <c r="KM21" s="150"/>
      <c r="KN21" s="192">
        <f>IF(COUNT(KN18,KN14,KN12,KN7,KN4)=0,"",SUM($B$4*IF(COUNT(KN4)=0,0,KN4),$B$7*IF(COUNT(KN7)=0,0,KN7),$B$12*IF(COUNT(KN12)=0,0,KN12),$B$14*IF(COUNT(KN14)=0,0,KN14),$B$18*IF(COUNT(KN18)=0,0,KN18))/SUM($B$4*COUNT(KN4),$B$7*COUNT(KN7),$B$12*COUNT(KN12),$B$14*COUNT(KN14),$B$18*COUNT(KN18)))</f>
        <v>4.208333333333333</v>
      </c>
      <c r="KO21" s="199">
        <f>IF(KN21="","",KN21*5)</f>
        <v>21.041666666666664</v>
      </c>
      <c r="KP21" s="150"/>
      <c r="KQ21" s="150"/>
      <c r="KR21" s="150"/>
      <c r="KS21" s="192">
        <f>IF(COUNT(KS18,KS14,KS12,KS7,KS4)=0,"",SUM($B$4*IF(COUNT(KS4)=0,0,KS4),$B$7*IF(COUNT(KS7)=0,0,KS7),$B$12*IF(COUNT(KS12)=0,0,KS12),$B$14*IF(COUNT(KS14)=0,0,KS14),$B$18*IF(COUNT(KS18)=0,0,KS18))/SUM($B$4*COUNT(KS4),$B$7*COUNT(KS7),$B$12*COUNT(KS12),$B$14*COUNT(KS14),$B$18*COUNT(KS18)))</f>
        <v>4.583333333333333</v>
      </c>
      <c r="KT21" s="214">
        <f>IF(KS21="","",KS21*5)</f>
        <v>22.916666666666664</v>
      </c>
      <c r="KU21" s="215"/>
      <c r="KV21" s="215"/>
      <c r="KW21" s="147"/>
      <c r="KX21" s="147"/>
      <c r="KY21" s="147"/>
      <c r="KZ21" s="192">
        <f>IF(COUNT(KZ18,KZ14,KZ12,KZ7,KZ4)=0,"",SUM($B$4*IF(COUNT(KZ4)=0,0,KZ4),$B$7*IF(COUNT(KZ7)=0,0,KZ7),$B$12*IF(COUNT(KZ12)=0,0,KZ12),$B$14*IF(COUNT(KZ14)=0,0,KZ14),$B$18*IF(COUNT(KZ18)=0,0,KZ18))/SUM($B$4*COUNT(KZ4),$B$7*COUNT(KZ7),$B$12*COUNT(KZ12),$B$14*COUNT(KZ14),$B$18*COUNT(KZ18)))</f>
        <v>1</v>
      </c>
      <c r="LA21" s="193">
        <f>IF(KZ21="","",KZ21*5)</f>
        <v>5</v>
      </c>
      <c r="LB21" s="150"/>
      <c r="LC21" s="150"/>
      <c r="LD21" s="150"/>
      <c r="LE21" s="192">
        <f>IF(COUNT(LE18,LE14,LE12,LE7,LE4)=0,"",SUM($B$4*IF(COUNT(LE4)=0,0,LE4),$B$7*IF(COUNT(LE7)=0,0,LE7),$B$12*IF(COUNT(LE12)=0,0,LE12),$B$14*IF(COUNT(LE14)=0,0,LE14),$B$18*IF(COUNT(LE18)=0,0,LE18))/SUM($B$4*COUNT(LE4),$B$7*COUNT(LE7),$B$12*COUNT(LE12),$B$14*COUNT(LE14),$B$18*COUNT(LE18)))</f>
        <v>4.0625</v>
      </c>
      <c r="LF21" s="199">
        <f>IF(LE21="","",LE21*5)</f>
        <v>20.3125</v>
      </c>
      <c r="LG21" s="150"/>
      <c r="LH21" s="150"/>
      <c r="LI21" s="150"/>
      <c r="LJ21" s="192">
        <f>IF(COUNT(LJ18,LJ14,LJ12,LJ7,LJ4)=0,"",SUM($B$4*IF(COUNT(LJ4)=0,0,LJ4),$B$7*IF(COUNT(LJ7)=0,0,LJ7),$B$12*IF(COUNT(LJ12)=0,0,LJ12),$B$14*IF(COUNT(LJ14)=0,0,LJ14),$B$18*IF(COUNT(LJ18)=0,0,LJ18))/SUM($B$4*COUNT(LJ4),$B$7*COUNT(LJ7),$B$12*COUNT(LJ12),$B$14*COUNT(LJ14),$B$18*COUNT(LJ18)))</f>
        <v>4.5</v>
      </c>
      <c r="LK21" s="214">
        <f>IF(LJ21="","",LJ21*5)</f>
        <v>22.5</v>
      </c>
      <c r="LL21" s="215"/>
      <c r="LM21" s="215"/>
      <c r="LN21" s="147"/>
      <c r="LO21" s="147"/>
      <c r="LP21" s="147"/>
      <c r="LQ21" s="192">
        <f>IF(COUNT(LQ18,LQ14,LQ12,LQ7,LQ4)=0,"",SUM($B$4*IF(COUNT(LQ4)=0,0,LQ4),$B$7*IF(COUNT(LQ7)=0,0,LQ7),$B$12*IF(COUNT(LQ12)=0,0,LQ12),$B$14*IF(COUNT(LQ14)=0,0,LQ14),$B$18*IF(COUNT(LQ18)=0,0,LQ18))/SUM($B$4*COUNT(LQ4),$B$7*COUNT(LQ7),$B$12*COUNT(LQ12),$B$14*COUNT(LQ14),$B$18*COUNT(LQ18)))</f>
        <v>2.5</v>
      </c>
      <c r="LR21" s="193">
        <f>IF(LQ21="","",LQ21*5)</f>
        <v>12.5</v>
      </c>
      <c r="LS21" s="150"/>
      <c r="LT21" s="150"/>
      <c r="LU21" s="150"/>
      <c r="LV21" s="192">
        <f>IF(COUNT(LV18,LV14,LV12,LV7,LV4)=0,"",SUM($B$4*IF(COUNT(LV4)=0,0,LV4),$B$7*IF(COUNT(LV7)=0,0,LV7),$B$12*IF(COUNT(LV12)=0,0,LV12),$B$14*IF(COUNT(LV14)=0,0,LV14),$B$18*IF(COUNT(LV18)=0,0,LV18))/SUM($B$4*COUNT(LV4),$B$7*COUNT(LV7),$B$12*COUNT(LV12),$B$14*COUNT(LV14),$B$18*COUNT(LV18)))</f>
        <v>3.8333333333333335</v>
      </c>
      <c r="LW21" s="199">
        <f>IF(LV21="","",LV21*5)</f>
        <v>19.166666666666668</v>
      </c>
      <c r="LX21" s="150"/>
      <c r="LY21" s="150"/>
      <c r="LZ21" s="150"/>
      <c r="MA21" s="192">
        <f>IF(COUNT(MA18,MA14,MA12,MA7,MA4)=0,"",SUM($B$4*IF(COUNT(MA4)=0,0,MA4),$B$7*IF(COUNT(MA7)=0,0,MA7),$B$12*IF(COUNT(MA12)=0,0,MA12),$B$14*IF(COUNT(MA14)=0,0,MA14),$B$18*IF(COUNT(MA18)=0,0,MA18))/SUM($B$4*COUNT(MA4),$B$7*COUNT(MA7),$B$12*COUNT(MA12),$B$14*COUNT(MA14),$B$18*COUNT(MA18)))</f>
        <v>4.9444444444444446</v>
      </c>
      <c r="MB21" s="214">
        <f>IF(MA21="","",MA21*5)</f>
        <v>24.722222222222221</v>
      </c>
      <c r="MC21" s="215"/>
      <c r="MD21" s="215"/>
      <c r="ME21" s="147"/>
      <c r="MF21" s="147"/>
      <c r="MG21" s="147"/>
      <c r="MH21" s="192">
        <f>IF(COUNT(MH18,MH14,MH12,MH7,MH4)=0,"",SUM($B$4*IF(COUNT(MH4)=0,0,MH4),$B$7*IF(COUNT(MH7)=0,0,MH7),$B$12*IF(COUNT(MH12)=0,0,MH12),$B$14*IF(COUNT(MH14)=0,0,MH14),$B$18*IF(COUNT(MH18)=0,0,MH18))/SUM($B$4*COUNT(MH4),$B$7*COUNT(MH7),$B$12*COUNT(MH12),$B$14*COUNT(MH14),$B$18*COUNT(MH18)))</f>
        <v>3</v>
      </c>
      <c r="MI21" s="193">
        <f>IF(MH21="","",MH21*5)</f>
        <v>15</v>
      </c>
      <c r="MJ21" s="150"/>
      <c r="MK21" s="150"/>
      <c r="ML21" s="150"/>
      <c r="MM21" s="192">
        <f>IF(COUNT(MM18,MM14,MM12,MM7,MM4)=0,"",SUM($B$4*IF(COUNT(MM4)=0,0,MM4),$B$7*IF(COUNT(MM7)=0,0,MM7),$B$12*IF(COUNT(MM12)=0,0,MM12),$B$14*IF(COUNT(MM14)=0,0,MM14),$B$18*IF(COUNT(MM18)=0,0,MM18))/SUM($B$4*COUNT(MM4),$B$7*COUNT(MM7),$B$12*COUNT(MM12),$B$14*COUNT(MM14),$B$18*COUNT(MM18)))</f>
        <v>4.3125</v>
      </c>
      <c r="MN21" s="199">
        <f>IF(MM21="","",MM21*5)</f>
        <v>21.5625</v>
      </c>
      <c r="MO21" s="150"/>
      <c r="MP21" s="150"/>
      <c r="MQ21" s="150"/>
      <c r="MR21" s="192">
        <f>IF(COUNT(MR18,MR14,MR12,MR7,MR4)=0,"",SUM($B$4*IF(COUNT(MR4)=0,0,MR4),$B$7*IF(COUNT(MR7)=0,0,MR7),$B$12*IF(COUNT(MR12)=0,0,MR12),$B$14*IF(COUNT(MR14)=0,0,MR14),$B$18*IF(COUNT(MR18)=0,0,MR18))/SUM($B$4*COUNT(MR4),$B$7*COUNT(MR7),$B$12*COUNT(MR12),$B$14*COUNT(MR14),$B$18*COUNT(MR18)))</f>
        <v>4.583333333333333</v>
      </c>
      <c r="MS21" s="214">
        <f>IF(MR21="","",MR21*5)</f>
        <v>22.916666666666664</v>
      </c>
      <c r="MT21" s="215"/>
      <c r="MU21" s="215"/>
      <c r="MV21" s="147"/>
      <c r="MW21" s="147"/>
      <c r="MX21" s="147"/>
      <c r="MY21" s="192">
        <f>IF(COUNT(MY18,MY14,MY12,MY7,MY4)=0,"",SUM($B$4*IF(COUNT(MY4)=0,0,MY4),$B$7*IF(COUNT(MY7)=0,0,MY7),$B$12*IF(COUNT(MY12)=0,0,MY12),$B$14*IF(COUNT(MY14)=0,0,MY14),$B$18*IF(COUNT(MY18)=0,0,MY18))/SUM($B$4*COUNT(MY4),$B$7*COUNT(MY7),$B$12*COUNT(MY12),$B$14*COUNT(MY14),$B$18*COUNT(MY18)))</f>
        <v>2</v>
      </c>
      <c r="MZ21" s="193">
        <f>IF(MY21="","",MY21*5)</f>
        <v>10</v>
      </c>
      <c r="NA21" s="150"/>
      <c r="NB21" s="150"/>
      <c r="NC21" s="150"/>
      <c r="ND21" s="192">
        <f>IF(COUNT(ND18,ND14,ND12,ND7,ND4)=0,"",SUM($B$4*IF(COUNT(ND4)=0,0,ND4),$B$7*IF(COUNT(ND7)=0,0,ND7),$B$12*IF(COUNT(ND12)=0,0,ND12),$B$14*IF(COUNT(ND14)=0,0,ND14),$B$18*IF(COUNT(ND18)=0,0,ND18))/SUM($B$4*COUNT(ND4),$B$7*COUNT(ND7),$B$12*COUNT(ND12),$B$14*COUNT(ND14),$B$18*COUNT(ND18)))</f>
        <v>3.9375</v>
      </c>
      <c r="NE21" s="199">
        <f>IF(ND21="","",ND21*5)</f>
        <v>19.6875</v>
      </c>
      <c r="NF21" s="150"/>
      <c r="NG21" s="150"/>
      <c r="NH21" s="150"/>
      <c r="NI21" s="192">
        <f>IF(COUNT(NI18,NI14,NI12,NI7,NI4)=0,"",SUM($B$4*IF(COUNT(NI4)=0,0,NI4),$B$7*IF(COUNT(NI7)=0,0,NI7),$B$12*IF(COUNT(NI12)=0,0,NI12),$B$14*IF(COUNT(NI14)=0,0,NI14),$B$18*IF(COUNT(NI18)=0,0,NI18))/SUM($B$4*COUNT(NI4),$B$7*COUNT(NI7),$B$12*COUNT(NI12),$B$14*COUNT(NI14),$B$18*COUNT(NI18)))</f>
        <v>3.75</v>
      </c>
      <c r="NJ21" s="214">
        <f>IF(NI21="","",NI21*5)</f>
        <v>18.75</v>
      </c>
      <c r="NK21" s="215"/>
      <c r="NL21" s="215"/>
      <c r="NM21" s="147"/>
      <c r="NN21" s="147"/>
      <c r="NO21" s="147"/>
      <c r="NP21" s="192">
        <f>IF(COUNT(NP18,NP14,NP12,NP7,NP4)=0,"",SUM($B$4*IF(COUNT(NP4)=0,0,NP4),$B$7*IF(COUNT(NP7)=0,0,NP7),$B$12*IF(COUNT(NP12)=0,0,NP12),$B$14*IF(COUNT(NP14)=0,0,NP14),$B$18*IF(COUNT(NP18)=0,0,NP18))/SUM($B$4*COUNT(NP4),$B$7*COUNT(NP7),$B$12*COUNT(NP12),$B$14*COUNT(NP14),$B$18*COUNT(NP18)))</f>
        <v>3</v>
      </c>
      <c r="NQ21" s="193">
        <f>IF(NP21="","",NP21*5)</f>
        <v>15</v>
      </c>
      <c r="NR21" s="150"/>
      <c r="NS21" s="150"/>
      <c r="NT21" s="150"/>
      <c r="NU21" s="192">
        <f>IF(COUNT(NU18,NU14,NU12,NU7,NU4)=0,"",SUM($B$4*IF(COUNT(NU4)=0,0,NU4),$B$7*IF(COUNT(NU7)=0,0,NU7),$B$12*IF(COUNT(NU12)=0,0,NU12),$B$14*IF(COUNT(NU14)=0,0,NU14),$B$18*IF(COUNT(NU18)=0,0,NU18))/SUM($B$4*COUNT(NU4),$B$7*COUNT(NU7),$B$12*COUNT(NU12),$B$14*COUNT(NU14),$B$18*COUNT(NU18)))</f>
        <v>4.125</v>
      </c>
      <c r="NV21" s="199">
        <f>IF(NU21="","",NU21*5)</f>
        <v>20.625</v>
      </c>
      <c r="NW21" s="150"/>
      <c r="NX21" s="150"/>
      <c r="NY21" s="150"/>
      <c r="NZ21" s="192">
        <f>IF(COUNT(NZ18,NZ14,NZ12,NZ7,NZ4)=0,"",SUM($B$4*IF(COUNT(NZ4)=0,0,NZ4),$B$7*IF(COUNT(NZ7)=0,0,NZ7),$B$12*IF(COUNT(NZ12)=0,0,NZ12),$B$14*IF(COUNT(NZ14)=0,0,NZ14),$B$18*IF(COUNT(NZ18)=0,0,NZ18))/SUM($B$4*COUNT(NZ4),$B$7*COUNT(NZ7),$B$12*COUNT(NZ12),$B$14*COUNT(NZ14),$B$18*COUNT(NZ18)))</f>
        <v>4.75</v>
      </c>
      <c r="OA21" s="214">
        <f>IF(NZ21="","",NZ21*5)</f>
        <v>23.75</v>
      </c>
      <c r="OB21" s="215"/>
      <c r="OC21" s="215"/>
      <c r="OD21" s="147"/>
      <c r="OE21" s="147"/>
      <c r="OF21" s="147"/>
      <c r="OG21" s="192">
        <f>IF(COUNT(OG18,OG14,OG12,OG7,OG4)=0,"",SUM($B$4*IF(COUNT(OG4)=0,0,OG4),$B$7*IF(COUNT(OG7)=0,0,OG7),$B$12*IF(COUNT(OG12)=0,0,OG12),$B$14*IF(COUNT(OG14)=0,0,OG14),$B$18*IF(COUNT(OG18)=0,0,OG18))/SUM($B$4*COUNT(OG4),$B$7*COUNT(OG7),$B$12*COUNT(OG12),$B$14*COUNT(OG14),$B$18*COUNT(OG18)))</f>
        <v>1</v>
      </c>
      <c r="OH21" s="193">
        <f>IF(OG21="","",OG21*5)</f>
        <v>5</v>
      </c>
      <c r="OI21" s="150"/>
      <c r="OJ21" s="150"/>
      <c r="OK21" s="150"/>
      <c r="OL21" s="192">
        <f>IF(COUNT(OL18,OL14,OL12,OL7,OL4)=0,"",SUM($B$4*IF(COUNT(OL4)=0,0,OL4),$B$7*IF(COUNT(OL7)=0,0,OL7),$B$12*IF(COUNT(OL12)=0,0,OL12),$B$14*IF(COUNT(OL14)=0,0,OL14),$B$18*IF(COUNT(OL18)=0,0,OL18))/SUM($B$4*COUNT(OL4),$B$7*COUNT(OL7),$B$12*COUNT(OL12),$B$14*COUNT(OL14),$B$18*COUNT(OL18)))</f>
        <v>3</v>
      </c>
      <c r="OM21" s="199">
        <f>IF(OL21="","",OL21*5)</f>
        <v>15</v>
      </c>
      <c r="ON21" s="150"/>
      <c r="OO21" s="150"/>
      <c r="OP21" s="150"/>
      <c r="OQ21" s="192">
        <f>IF(COUNT(OQ18,OQ14,OQ12,OQ7,OQ4)=0,"",SUM($B$4*IF(COUNT(OQ4)=0,0,OQ4),$B$7*IF(COUNT(OQ7)=0,0,OQ7),$B$12*IF(COUNT(OQ12)=0,0,OQ12),$B$14*IF(COUNT(OQ14)=0,0,OQ14),$B$18*IF(COUNT(OQ18)=0,0,OQ18))/SUM($B$4*COUNT(OQ4),$B$7*COUNT(OQ7),$B$12*COUNT(OQ12),$B$14*COUNT(OQ14),$B$18*COUNT(OQ18)))</f>
        <v>1.6666666666666667</v>
      </c>
      <c r="OR21" s="214">
        <f>IF(OQ21="","",OQ21*5)</f>
        <v>8.3333333333333339</v>
      </c>
      <c r="OS21" s="215"/>
      <c r="OT21" s="215"/>
      <c r="OU21" s="147"/>
      <c r="OV21" s="147"/>
      <c r="OW21" s="147"/>
      <c r="OX21" s="192">
        <f>IF(COUNT(OX18,OX14,OX12,OX7,OX4)=0,"",SUM($B$4*IF(COUNT(OX4)=0,0,OX4),$B$7*IF(COUNT(OX7)=0,0,OX7),$B$12*IF(COUNT(OX12)=0,0,OX12),$B$14*IF(COUNT(OX14)=0,0,OX14),$B$18*IF(COUNT(OX18)=0,0,OX18))/SUM($B$4*COUNT(OX4),$B$7*COUNT(OX7),$B$12*COUNT(OX12),$B$14*COUNT(OX14),$B$18*COUNT(OX18)))</f>
        <v>2</v>
      </c>
      <c r="OY21" s="193">
        <f>IF(OX21="","",OX21*5)</f>
        <v>10</v>
      </c>
      <c r="OZ21" s="150"/>
      <c r="PA21" s="150"/>
      <c r="PB21" s="150"/>
      <c r="PC21" s="192">
        <f>IF(COUNT(PC18,PC14,PC12,PC7,PC4)=0,"",SUM($B$4*IF(COUNT(PC4)=0,0,PC4),$B$7*IF(COUNT(PC7)=0,0,PC7),$B$12*IF(COUNT(PC12)=0,0,PC12),$B$14*IF(COUNT(PC14)=0,0,PC14),$B$18*IF(COUNT(PC18)=0,0,PC18))/SUM($B$4*COUNT(PC4),$B$7*COUNT(PC7),$B$12*COUNT(PC12),$B$14*COUNT(PC14),$B$18*COUNT(PC18)))</f>
        <v>4.479166666666667</v>
      </c>
      <c r="PD21" s="199">
        <f>IF(PC21="","",PC21*5)</f>
        <v>22.395833333333336</v>
      </c>
      <c r="PE21" s="150"/>
      <c r="PF21" s="150"/>
      <c r="PG21" s="150"/>
      <c r="PH21" s="192">
        <f>IF(COUNT(PH18,PH14,PH12,PH7,PH4)=0,"",SUM($B$4*IF(COUNT(PH4)=0,0,PH4),$B$7*IF(COUNT(PH7)=0,0,PH7),$B$12*IF(COUNT(PH12)=0,0,PH12),$B$14*IF(COUNT(PH14)=0,0,PH14),$B$18*IF(COUNT(PH18)=0,0,PH18))/SUM($B$4*COUNT(PH4),$B$7*COUNT(PH7),$B$12*COUNT(PH12),$B$14*COUNT(PH14),$B$18*COUNT(PH18)))</f>
        <v>4.520833333333333</v>
      </c>
      <c r="PI21" s="214">
        <f>IF(PH21="","",PH21*5)</f>
        <v>22.604166666666664</v>
      </c>
      <c r="PJ21" s="215"/>
      <c r="PK21" s="215"/>
      <c r="PL21" s="147"/>
      <c r="PM21" s="147"/>
      <c r="PN21" s="147"/>
      <c r="PO21" s="192">
        <f>IF(COUNT(PO18,PO14,PO12,PO7,PO4)=0,"",SUM($B$4*IF(COUNT(PO4)=0,0,PO4),$B$7*IF(COUNT(PO7)=0,0,PO7),$B$12*IF(COUNT(PO12)=0,0,PO12),$B$14*IF(COUNT(PO14)=0,0,PO14),$B$18*IF(COUNT(PO18)=0,0,PO18))/SUM($B$4*COUNT(PO4),$B$7*COUNT(PO7),$B$12*COUNT(PO12),$B$14*COUNT(PO14),$B$18*COUNT(PO18)))</f>
        <v>3</v>
      </c>
      <c r="PP21" s="193">
        <f>IF(PO21="","",PO21*5)</f>
        <v>15</v>
      </c>
      <c r="PQ21" s="150"/>
      <c r="PR21" s="150"/>
      <c r="PS21" s="150"/>
      <c r="PT21" s="192">
        <f>IF(COUNT(PT18,PT14,PT12,PT7,PT4)=0,"",SUM($B$4*IF(COUNT(PT4)=0,0,PT4),$B$7*IF(COUNT(PT7)=0,0,PT7),$B$12*IF(COUNT(PT12)=0,0,PT12),$B$14*IF(COUNT(PT14)=0,0,PT14),$B$18*IF(COUNT(PT18)=0,0,PT18))/SUM($B$4*COUNT(PT4),$B$7*COUNT(PT7),$B$12*COUNT(PT12),$B$14*COUNT(PT14),$B$18*COUNT(PT18)))</f>
        <v>4.3125</v>
      </c>
      <c r="PU21" s="199">
        <f>IF(PT21="","",PT21*5)</f>
        <v>21.5625</v>
      </c>
      <c r="PV21" s="150"/>
      <c r="PW21" s="150"/>
      <c r="PX21" s="150"/>
      <c r="PY21" s="192">
        <f>IF(COUNT(PY18,PY14,PY12,PY7,PY4)=0,"",SUM($B$4*IF(COUNT(PY4)=0,0,PY4),$B$7*IF(COUNT(PY7)=0,0,PY7),$B$12*IF(COUNT(PY12)=0,0,PY12),$B$14*IF(COUNT(PY14)=0,0,PY14),$B$18*IF(COUNT(PY18)=0,0,PY18))/SUM($B$4*COUNT(PY4),$B$7*COUNT(PY7),$B$12*COUNT(PY12),$B$14*COUNT(PY14),$B$18*COUNT(PY18)))</f>
        <v>4.583333333333333</v>
      </c>
      <c r="PZ21" s="214">
        <f>IF(PY21="","",PY21*5)</f>
        <v>22.916666666666664</v>
      </c>
      <c r="QA21" s="215"/>
      <c r="QB21" s="215"/>
      <c r="QC21" s="147"/>
      <c r="QD21" s="147"/>
      <c r="QE21" s="147"/>
      <c r="QF21" s="192" t="str">
        <f>IF(COUNT(QF18,QF14,QF12,QF7,QF4)=0,"",SUM($B$4*IF(COUNT(QF4)=0,0,QF4),$B$7*IF(COUNT(QF7)=0,0,QF7),$B$12*IF(COUNT(QF12)=0,0,QF12),$B$14*IF(COUNT(QF14)=0,0,QF14),$B$18*IF(COUNT(QF18)=0,0,QF18))/SUM($B$4*COUNT(QF4),$B$7*COUNT(QF7),$B$12*COUNT(QF12),$B$14*COUNT(QF14),$B$18*COUNT(QF18)))</f>
        <v/>
      </c>
      <c r="QG21" s="193" t="str">
        <f>IF(QF21="","",QF21*5)</f>
        <v/>
      </c>
      <c r="QH21" s="150"/>
      <c r="QI21" s="150"/>
      <c r="QJ21" s="150"/>
      <c r="QK21" s="192">
        <f>IF(COUNT(QK18,QK14,QK12,QK7,QK4)=0,"",SUM($B$4*IF(COUNT(QK4)=0,0,QK4),$B$7*IF(COUNT(QK7)=0,0,QK7),$B$12*IF(COUNT(QK12)=0,0,QK12),$B$14*IF(COUNT(QK14)=0,0,QK14),$B$18*IF(COUNT(QK18)=0,0,QK18))/SUM($B$4*COUNT(QK4),$B$7*COUNT(QK7),$B$12*COUNT(QK12),$B$14*COUNT(QK14),$B$18*COUNT(QK18)))</f>
        <v>3.8333333333333335</v>
      </c>
      <c r="QL21" s="199">
        <f>IF(QK21="","",QK21*5)</f>
        <v>19.166666666666668</v>
      </c>
      <c r="QM21" s="150"/>
      <c r="QN21" s="150"/>
      <c r="QO21" s="150"/>
      <c r="QP21" s="192">
        <f>IF(COUNT(QP18,QP14,QP12,QP7,QP4)=0,"",SUM($B$4*IF(COUNT(QP4)=0,0,QP4),$B$7*IF(COUNT(QP7)=0,0,QP7),$B$12*IF(COUNT(QP12)=0,0,QP12),$B$14*IF(COUNT(QP14)=0,0,QP14),$B$18*IF(COUNT(QP18)=0,0,QP18))/SUM($B$4*COUNT(QP4),$B$7*COUNT(QP7),$B$12*COUNT(QP12),$B$14*COUNT(QP14),$B$18*COUNT(QP18)))</f>
        <v>4</v>
      </c>
      <c r="QQ21" s="214">
        <f>IF(QP21="","",QP21*5)</f>
        <v>20</v>
      </c>
      <c r="QR21" s="215"/>
      <c r="QS21" s="215"/>
      <c r="QT21" s="147"/>
      <c r="QU21" s="147"/>
      <c r="QV21" s="147"/>
      <c r="QW21" s="192">
        <f>IF(COUNT(QW18,QW14,QW12,QW7,QW4)=0,"",SUM($B$4*IF(COUNT(QW4)=0,0,QW4),$B$7*IF(COUNT(QW7)=0,0,QW7),$B$12*IF(COUNT(QW12)=0,0,QW12),$B$14*IF(COUNT(QW14)=0,0,QW14),$B$18*IF(COUNT(QW18)=0,0,QW18))/SUM($B$4*COUNT(QW4),$B$7*COUNT(QW7),$B$12*COUNT(QW12),$B$14*COUNT(QW14),$B$18*COUNT(QW18)))</f>
        <v>2</v>
      </c>
      <c r="QX21" s="193">
        <f>IF(QW21="","",QW21*5)</f>
        <v>10</v>
      </c>
      <c r="QY21" s="150"/>
      <c r="QZ21" s="150"/>
      <c r="RA21" s="150"/>
      <c r="RB21" s="192" t="str">
        <f>IF(COUNT(RB18,RB14,RB12,RB7,RB4)=0,"",SUM($B$4*IF(COUNT(RB4)=0,0,RB4),$B$7*IF(COUNT(RB7)=0,0,RB7),$B$12*IF(COUNT(RB12)=0,0,RB12),$B$14*IF(COUNT(RB14)=0,0,RB14),$B$18*IF(COUNT(RB18)=0,0,RB18))/SUM($B$4*COUNT(RB4),$B$7*COUNT(RB7),$B$12*COUNT(RB12),$B$14*COUNT(RB14),$B$18*COUNT(RB18)))</f>
        <v/>
      </c>
      <c r="RC21" s="199" t="str">
        <f>IF(RB21="","",RB21*5)</f>
        <v/>
      </c>
      <c r="RD21" s="150"/>
      <c r="RE21" s="150"/>
      <c r="RF21" s="150"/>
      <c r="RG21" s="192" t="str">
        <f>IF(COUNT(RG18,RG14,RG12,RG7,RG4)=0,"",SUM($B$4*IF(COUNT(RG4)=0,0,RG4),$B$7*IF(COUNT(RG7)=0,0,RG7),$B$12*IF(COUNT(RG12)=0,0,RG12),$B$14*IF(COUNT(RG14)=0,0,RG14),$B$18*IF(COUNT(RG18)=0,0,RG18))/SUM($B$4*COUNT(RG4),$B$7*COUNT(RG7),$B$12*COUNT(RG12),$B$14*COUNT(RG14),$B$18*COUNT(RG18)))</f>
        <v/>
      </c>
      <c r="RH21" s="214" t="str">
        <f>IF(RG21="","",RG21*5)</f>
        <v/>
      </c>
      <c r="RI21" s="215"/>
      <c r="RJ21" s="215"/>
      <c r="RK21" s="147"/>
      <c r="RL21" s="147"/>
      <c r="RM21" s="147"/>
      <c r="RN21" s="192">
        <f>IF(COUNT(RN18,RN14,RN12,RN7,RN4)=0,"",SUM($B$4*IF(COUNT(RN4)=0,0,RN4),$B$7*IF(COUNT(RN7)=0,0,RN7),$B$12*IF(COUNT(RN12)=0,0,RN12),$B$14*IF(COUNT(RN14)=0,0,RN14),$B$18*IF(COUNT(RN18)=0,0,RN18))/SUM($B$4*COUNT(RN4),$B$7*COUNT(RN7),$B$12*COUNT(RN12),$B$14*COUNT(RN14),$B$18*COUNT(RN18)))</f>
        <v>3.5</v>
      </c>
      <c r="RO21" s="193">
        <f>IF(RN21="","",RN21*5)</f>
        <v>17.5</v>
      </c>
      <c r="RP21" s="150"/>
      <c r="RQ21" s="150"/>
      <c r="RR21" s="150"/>
      <c r="RS21" s="192">
        <f>IF(COUNT(RS18,RS14,RS12,RS7,RS4)=0,"",SUM($B$4*IF(COUNT(RS4)=0,0,RS4),$B$7*IF(COUNT(RS7)=0,0,RS7),$B$12*IF(COUNT(RS12)=0,0,RS12),$B$14*IF(COUNT(RS14)=0,0,RS14),$B$18*IF(COUNT(RS18)=0,0,RS18))/SUM($B$4*COUNT(RS4),$B$7*COUNT(RS7),$B$12*COUNT(RS12),$B$14*COUNT(RS14),$B$18*COUNT(RS18)))</f>
        <v>4</v>
      </c>
      <c r="RT21" s="199">
        <f>IF(RS21="","",RS21*5)</f>
        <v>20</v>
      </c>
      <c r="RU21" s="150"/>
      <c r="RV21" s="150"/>
      <c r="RW21" s="150"/>
      <c r="RX21" s="192">
        <f>IF(COUNT(RX18,RX14,RX12,RX7,RX4)=0,"",SUM($B$4*IF(COUNT(RX4)=0,0,RX4),$B$7*IF(COUNT(RX7)=0,0,RX7),$B$12*IF(COUNT(RX12)=0,0,RX12),$B$14*IF(COUNT(RX14)=0,0,RX14),$B$18*IF(COUNT(RX18)=0,0,RX18))/SUM($B$4*COUNT(RX4),$B$7*COUNT(RX7),$B$12*COUNT(RX12),$B$14*COUNT(RX14),$B$18*COUNT(RX18)))</f>
        <v>4.666666666666667</v>
      </c>
      <c r="RY21" s="214">
        <f>IF(RX21="","",RX21*5)</f>
        <v>23.333333333333336</v>
      </c>
      <c r="RZ21" s="215"/>
      <c r="SA21" s="215"/>
      <c r="SB21" s="147"/>
      <c r="SC21" s="147"/>
      <c r="SD21" s="147"/>
      <c r="SE21" s="192">
        <f>IF(COUNT(SE18,SE14,SE12,SE7,SE4)=0,"",SUM($B$4*IF(COUNT(SE4)=0,0,SE4),$B$7*IF(COUNT(SE7)=0,0,SE7),$B$12*IF(COUNT(SE12)=0,0,SE12),$B$14*IF(COUNT(SE14)=0,0,SE14),$B$18*IF(COUNT(SE18)=0,0,SE18))/SUM($B$4*COUNT(SE4),$B$7*COUNT(SE7),$B$12*COUNT(SE12),$B$14*COUNT(SE14),$B$18*COUNT(SE18)))</f>
        <v>3</v>
      </c>
      <c r="SF21" s="193">
        <f>IF(SE21="","",SE21*5)</f>
        <v>15</v>
      </c>
      <c r="SG21" s="150"/>
      <c r="SH21" s="150"/>
      <c r="SI21" s="150"/>
      <c r="SJ21" s="192">
        <f>IF(COUNT(SJ18,SJ14,SJ12,SJ7,SJ4)=0,"",SUM($B$4*IF(COUNT(SJ4)=0,0,SJ4),$B$7*IF(COUNT(SJ7)=0,0,SJ7),$B$12*IF(COUNT(SJ12)=0,0,SJ12),$B$14*IF(COUNT(SJ14)=0,0,SJ14),$B$18*IF(COUNT(SJ18)=0,0,SJ18))/SUM($B$4*COUNT(SJ4),$B$7*COUNT(SJ7),$B$12*COUNT(SJ12),$B$14*COUNT(SJ14),$B$18*COUNT(SJ18)))</f>
        <v>4.520833333333333</v>
      </c>
      <c r="SK21" s="199">
        <f>IF(SJ21="","",SJ21*5)</f>
        <v>22.604166666666664</v>
      </c>
      <c r="SL21" s="150"/>
      <c r="SM21" s="150"/>
      <c r="SN21" s="150"/>
      <c r="SO21" s="192">
        <f>IF(COUNT(SO18,SO14,SO12,SO7,SO4)=0,"",SUM($B$4*IF(COUNT(SO4)=0,0,SO4),$B$7*IF(COUNT(SO7)=0,0,SO7),$B$12*IF(COUNT(SO12)=0,0,SO12),$B$14*IF(COUNT(SO14)=0,0,SO14),$B$18*IF(COUNT(SO18)=0,0,SO18))/SUM($B$4*COUNT(SO4),$B$7*COUNT(SO7),$B$12*COUNT(SO12),$B$14*COUNT(SO14),$B$18*COUNT(SO18)))</f>
        <v>4.354166666666667</v>
      </c>
      <c r="SP21" s="214">
        <f>IF(SO21="","",SO21*5)</f>
        <v>21.770833333333336</v>
      </c>
      <c r="SQ21" s="215"/>
      <c r="SR21" s="215"/>
      <c r="SS21" s="147"/>
      <c r="ST21" s="147"/>
      <c r="SU21" s="147"/>
      <c r="SV21" s="148" t="str">
        <f>IF(COUNT(SV18,SV14,SV12,SV7,SV4)=0,"",SUM($B$4*IF(COUNT(SV4)=0,0,SV4),$B$7*IF(COUNT(SV7)=0,0,SV7),$B$12*IF(COUNT(SV12)=0,0,SV12),$B$14*IF(COUNT(SV14)=0,0,SV14),$B$18*IF(COUNT(SV18)=0,0,SV18))/SUM($B$4*COUNT(SV4),$B$7*COUNT(SV7),$B$12*COUNT(SV12),$B$14*COUNT(SV14),$B$18*COUNT(SV18)))</f>
        <v/>
      </c>
      <c r="SW21" s="149" t="str">
        <f>IF(SV21="","",SV21*5)</f>
        <v/>
      </c>
      <c r="SX21" s="150"/>
      <c r="SY21" s="150"/>
      <c r="SZ21" s="150"/>
      <c r="TA21" s="148">
        <f>IF(COUNT(TA18,TA14,TA12,TA7,TA4)=0,"",SUM($B$4*IF(COUNT(TA4)=0,0,TA4),$B$7*IF(COUNT(TA7)=0,0,TA7),$B$12*IF(COUNT(TA12)=0,0,TA12),$B$14*IF(COUNT(TA14)=0,0,TA14),$B$18*IF(COUNT(TA18)=0,0,TA18))/SUM($B$4*COUNT(TA4),$B$7*COUNT(TA7),$B$12*COUNT(TA12),$B$14*COUNT(TA14),$B$18*COUNT(TA18)))</f>
        <v>2.8888888888888888</v>
      </c>
      <c r="TB21" s="151">
        <f>IF(TA21="","",TA21*5)</f>
        <v>14.444444444444445</v>
      </c>
      <c r="TC21" s="150"/>
      <c r="TD21" s="150"/>
      <c r="TE21" s="150"/>
      <c r="TF21" s="148">
        <f>IF(COUNT(TF18,TF14,TF12,TF7,TF4)=0,"",SUM($B$4*IF(COUNT(TF4)=0,0,TF4),$B$7*IF(COUNT(TF7)=0,0,TF7),$B$12*IF(COUNT(TF12)=0,0,TF12),$B$14*IF(COUNT(TF14)=0,0,TF14),$B$18*IF(COUNT(TF18)=0,0,TF18))/SUM($B$4*COUNT(TF4),$B$7*COUNT(TF7),$B$12*COUNT(TF12),$B$14*COUNT(TF14),$B$18*COUNT(TF18)))</f>
        <v>4.270833333333333</v>
      </c>
      <c r="TG21" s="152">
        <f>IF(TF21="","",TF21*5)</f>
        <v>21.354166666666664</v>
      </c>
      <c r="TH21" s="153"/>
      <c r="TI21" s="153"/>
      <c r="TJ21" s="147"/>
      <c r="TK21" s="147"/>
      <c r="TL21" s="147"/>
      <c r="TM21" s="148" t="str">
        <f>IF(COUNT(TM18,TM14,TM12,TM7,TM4)=0,"",SUM($B$4*IF(COUNT(TM4)=0,0,TM4),$B$7*IF(COUNT(TM7)=0,0,TM7),$B$12*IF(COUNT(TM12)=0,0,TM12),$B$14*IF(COUNT(TM14)=0,0,TM14),$B$18*IF(COUNT(TM18)=0,0,TM18))/SUM($B$4*COUNT(TM4),$B$7*COUNT(TM7),$B$12*COUNT(TM12),$B$14*COUNT(TM14),$B$18*COUNT(TM18)))</f>
        <v/>
      </c>
      <c r="TN21" s="149" t="str">
        <f>IF(TM21="","",TM21*5)</f>
        <v/>
      </c>
      <c r="TO21" s="150"/>
      <c r="TP21" s="150"/>
      <c r="TQ21" s="150"/>
      <c r="TR21" s="148" t="str">
        <f>IF(COUNT(TR18,TR14,TR12,TR7,TR4)=0,"",SUM($B$4*IF(COUNT(TR4)=0,0,TR4),$B$7*IF(COUNT(TR7)=0,0,TR7),$B$12*IF(COUNT(TR12)=0,0,TR12),$B$14*IF(COUNT(TR14)=0,0,TR14),$B$18*IF(COUNT(TR18)=0,0,TR18))/SUM($B$4*COUNT(TR4),$B$7*COUNT(TR7),$B$12*COUNT(TR12),$B$14*COUNT(TR14),$B$18*COUNT(TR18)))</f>
        <v/>
      </c>
      <c r="TS21" s="151" t="str">
        <f>IF(TR21="","",TR21*5)</f>
        <v/>
      </c>
      <c r="TT21" s="150"/>
      <c r="TU21" s="150"/>
      <c r="TV21" s="150"/>
      <c r="TW21" s="148" t="str">
        <f>IF(COUNT(TW18,TW14,TW12,TW7,TW4)=0,"",SUM($B$4*IF(COUNT(TW4)=0,0,TW4),$B$7*IF(COUNT(TW7)=0,0,TW7),$B$12*IF(COUNT(TW12)=0,0,TW12),$B$14*IF(COUNT(TW14)=0,0,TW14),$B$18*IF(COUNT(TW18)=0,0,TW18))/SUM($B$4*COUNT(TW4),$B$7*COUNT(TW7),$B$12*COUNT(TW12),$B$14*COUNT(TW14),$B$18*COUNT(TW18)))</f>
        <v/>
      </c>
      <c r="TX21" s="152" t="str">
        <f>IF(TW21="","",TW21*5)</f>
        <v/>
      </c>
      <c r="TY21" s="153"/>
      <c r="TZ21" s="153"/>
    </row>
    <row r="22" spans="1:546" s="154" customFormat="1" ht="18" x14ac:dyDescent="0.35">
      <c r="A22" s="167"/>
      <c r="B22" s="167"/>
      <c r="F22" s="167"/>
      <c r="G22" s="167"/>
      <c r="K22" s="167"/>
      <c r="L22" s="167"/>
      <c r="P22" s="167"/>
      <c r="Q22" s="167"/>
      <c r="R22" s="195"/>
      <c r="S22" s="195"/>
      <c r="W22" s="167"/>
      <c r="X22" s="167"/>
      <c r="AB22" s="167"/>
      <c r="AC22" s="167"/>
      <c r="AG22" s="167"/>
      <c r="AH22" s="167"/>
      <c r="AI22" s="195"/>
      <c r="AJ22" s="195"/>
      <c r="AZ22" s="155"/>
      <c r="BA22" s="155"/>
      <c r="BQ22" s="155"/>
      <c r="BR22" s="155"/>
      <c r="CH22" s="155"/>
      <c r="CI22" s="155"/>
      <c r="CY22" s="155"/>
      <c r="CZ22" s="155"/>
      <c r="DP22" s="155"/>
      <c r="DQ22" s="155"/>
      <c r="EG22" s="155"/>
      <c r="EH22" s="155"/>
      <c r="EX22" s="155"/>
      <c r="EY22" s="155"/>
      <c r="FO22" s="155"/>
      <c r="FP22" s="155"/>
      <c r="GF22" s="155"/>
      <c r="GG22" s="155"/>
      <c r="GW22" s="155"/>
      <c r="GX22" s="155"/>
      <c r="HN22" s="155"/>
      <c r="HO22" s="155"/>
      <c r="IE22" s="155"/>
      <c r="IF22" s="155"/>
      <c r="IV22" s="155"/>
      <c r="IW22" s="155"/>
      <c r="JM22" s="155"/>
      <c r="JN22" s="155"/>
      <c r="KD22" s="155"/>
      <c r="KE22" s="155"/>
      <c r="KU22" s="155"/>
      <c r="KV22" s="155"/>
      <c r="LL22" s="155"/>
      <c r="LM22" s="155"/>
      <c r="MC22" s="155"/>
      <c r="MD22" s="155"/>
      <c r="MT22" s="155"/>
      <c r="MU22" s="155"/>
      <c r="NK22" s="155"/>
      <c r="NL22" s="155"/>
      <c r="OB22" s="155"/>
      <c r="OC22" s="155"/>
      <c r="OS22" s="155"/>
      <c r="OT22" s="155"/>
      <c r="PJ22" s="155"/>
      <c r="PK22" s="155"/>
      <c r="QA22" s="155"/>
      <c r="QB22" s="155"/>
      <c r="QR22" s="155"/>
      <c r="QS22" s="155"/>
      <c r="RI22" s="155"/>
      <c r="RJ22" s="155"/>
      <c r="RZ22" s="155"/>
      <c r="SA22" s="155"/>
      <c r="SQ22" s="155"/>
      <c r="SR22" s="155"/>
      <c r="TH22" s="155"/>
      <c r="TI22" s="155"/>
    </row>
    <row r="33" ht="18" x14ac:dyDescent="0.25"/>
  </sheetData>
  <sheetProtection insertColumns="0" deleteColumns="0" selectLockedCells="1"/>
  <dataConsolidate/>
  <mergeCells count="394">
    <mergeCell ref="TT18:TV18"/>
    <mergeCell ref="A19:B19"/>
    <mergeCell ref="A21:B21"/>
    <mergeCell ref="SL18:SN18"/>
    <mergeCell ref="SS18:SU18"/>
    <mergeCell ref="SX18:SZ18"/>
    <mergeCell ref="TC18:TE18"/>
    <mergeCell ref="TJ18:TL18"/>
    <mergeCell ref="TO18:TQ18"/>
    <mergeCell ref="RD18:RF18"/>
    <mergeCell ref="RK18:RM18"/>
    <mergeCell ref="RP18:RR18"/>
    <mergeCell ref="RU18:RW18"/>
    <mergeCell ref="SB18:SD18"/>
    <mergeCell ref="SG18:SI18"/>
    <mergeCell ref="PV18:PX18"/>
    <mergeCell ref="QC18:QE18"/>
    <mergeCell ref="QH18:QJ18"/>
    <mergeCell ref="QM18:QO18"/>
    <mergeCell ref="QT18:QV18"/>
    <mergeCell ref="QY18:RA18"/>
    <mergeCell ref="ON18:OP18"/>
    <mergeCell ref="OU18:OW18"/>
    <mergeCell ref="OZ18:PB18"/>
    <mergeCell ref="PE18:PG18"/>
    <mergeCell ref="PL18:PN18"/>
    <mergeCell ref="PQ18:PS18"/>
    <mergeCell ref="NF18:NH18"/>
    <mergeCell ref="NM18:NO18"/>
    <mergeCell ref="NR18:NT18"/>
    <mergeCell ref="NW18:NY18"/>
    <mergeCell ref="OD18:OF18"/>
    <mergeCell ref="OI18:OK18"/>
    <mergeCell ref="LX18:LZ18"/>
    <mergeCell ref="ME18:MG18"/>
    <mergeCell ref="MJ18:ML18"/>
    <mergeCell ref="MO18:MQ18"/>
    <mergeCell ref="MV18:MX18"/>
    <mergeCell ref="NA18:NC18"/>
    <mergeCell ref="KP18:KR18"/>
    <mergeCell ref="KW18:KY18"/>
    <mergeCell ref="LB18:LD18"/>
    <mergeCell ref="LG18:LI18"/>
    <mergeCell ref="LN18:LP18"/>
    <mergeCell ref="LS18:LU18"/>
    <mergeCell ref="JH18:JJ18"/>
    <mergeCell ref="JO18:JQ18"/>
    <mergeCell ref="JT18:JV18"/>
    <mergeCell ref="JY18:KA18"/>
    <mergeCell ref="KF18:KH18"/>
    <mergeCell ref="KK18:KM18"/>
    <mergeCell ref="HZ18:IB18"/>
    <mergeCell ref="IG18:II18"/>
    <mergeCell ref="IL18:IN18"/>
    <mergeCell ref="IQ18:IS18"/>
    <mergeCell ref="IX18:IZ18"/>
    <mergeCell ref="JC18:JE18"/>
    <mergeCell ref="GR18:GT18"/>
    <mergeCell ref="GY18:HA18"/>
    <mergeCell ref="HD18:HF18"/>
    <mergeCell ref="HI18:HK18"/>
    <mergeCell ref="HP18:HR18"/>
    <mergeCell ref="HU18:HW18"/>
    <mergeCell ref="FJ18:FL18"/>
    <mergeCell ref="FQ18:FS18"/>
    <mergeCell ref="FV18:FX18"/>
    <mergeCell ref="GA18:GC18"/>
    <mergeCell ref="GH18:GJ18"/>
    <mergeCell ref="GM18:GO18"/>
    <mergeCell ref="EB18:ED18"/>
    <mergeCell ref="EI18:EK18"/>
    <mergeCell ref="EN18:EP18"/>
    <mergeCell ref="ES18:EU18"/>
    <mergeCell ref="EZ18:FB18"/>
    <mergeCell ref="FE18:FG18"/>
    <mergeCell ref="CT18:CV18"/>
    <mergeCell ref="DA18:DC18"/>
    <mergeCell ref="DF18:DH18"/>
    <mergeCell ref="DK18:DM18"/>
    <mergeCell ref="DR18:DT18"/>
    <mergeCell ref="DW18:DY18"/>
    <mergeCell ref="BL18:BN18"/>
    <mergeCell ref="BS18:BU18"/>
    <mergeCell ref="BX18:BZ18"/>
    <mergeCell ref="CC18:CE18"/>
    <mergeCell ref="CJ18:CL18"/>
    <mergeCell ref="CO18:CQ18"/>
    <mergeCell ref="AD18:AF18"/>
    <mergeCell ref="AK18:AM18"/>
    <mergeCell ref="AP18:AR18"/>
    <mergeCell ref="AU18:AW18"/>
    <mergeCell ref="BB18:BD18"/>
    <mergeCell ref="BG18:BI18"/>
    <mergeCell ref="A17:B17"/>
    <mergeCell ref="C18:E18"/>
    <mergeCell ref="H18:J18"/>
    <mergeCell ref="M18:O18"/>
    <mergeCell ref="T18:V18"/>
    <mergeCell ref="Y18:AA18"/>
    <mergeCell ref="TC14:TE14"/>
    <mergeCell ref="TJ14:TL14"/>
    <mergeCell ref="TO14:TQ14"/>
    <mergeCell ref="ON14:OP14"/>
    <mergeCell ref="OU14:OW14"/>
    <mergeCell ref="OZ14:PB14"/>
    <mergeCell ref="MO14:MQ14"/>
    <mergeCell ref="MV14:MX14"/>
    <mergeCell ref="NA14:NC14"/>
    <mergeCell ref="NF14:NH14"/>
    <mergeCell ref="NM14:NO14"/>
    <mergeCell ref="NR14:NT14"/>
    <mergeCell ref="LG14:LI14"/>
    <mergeCell ref="LN14:LP14"/>
    <mergeCell ref="LS14:LU14"/>
    <mergeCell ref="LX14:LZ14"/>
    <mergeCell ref="ME14:MG14"/>
    <mergeCell ref="MJ14:ML14"/>
    <mergeCell ref="TT14:TV14"/>
    <mergeCell ref="A15:B15"/>
    <mergeCell ref="RU14:RW14"/>
    <mergeCell ref="SB14:SD14"/>
    <mergeCell ref="SG14:SI14"/>
    <mergeCell ref="SL14:SN14"/>
    <mergeCell ref="SS14:SU14"/>
    <mergeCell ref="SX14:SZ14"/>
    <mergeCell ref="QM14:QO14"/>
    <mergeCell ref="QT14:QV14"/>
    <mergeCell ref="QY14:RA14"/>
    <mergeCell ref="RD14:RF14"/>
    <mergeCell ref="RK14:RM14"/>
    <mergeCell ref="RP14:RR14"/>
    <mergeCell ref="PE14:PG14"/>
    <mergeCell ref="PL14:PN14"/>
    <mergeCell ref="PQ14:PS14"/>
    <mergeCell ref="PV14:PX14"/>
    <mergeCell ref="QC14:QE14"/>
    <mergeCell ref="QH14:QJ14"/>
    <mergeCell ref="NW14:NY14"/>
    <mergeCell ref="OD14:OF14"/>
    <mergeCell ref="OI14:OK14"/>
    <mergeCell ref="JY14:KA14"/>
    <mergeCell ref="KF14:KH14"/>
    <mergeCell ref="KK14:KM14"/>
    <mergeCell ref="KP14:KR14"/>
    <mergeCell ref="KW14:KY14"/>
    <mergeCell ref="LB14:LD14"/>
    <mergeCell ref="IQ14:IS14"/>
    <mergeCell ref="IX14:IZ14"/>
    <mergeCell ref="JC14:JE14"/>
    <mergeCell ref="JH14:JJ14"/>
    <mergeCell ref="JO14:JQ14"/>
    <mergeCell ref="JT14:JV14"/>
    <mergeCell ref="HI14:HK14"/>
    <mergeCell ref="HP14:HR14"/>
    <mergeCell ref="HU14:HW14"/>
    <mergeCell ref="HZ14:IB14"/>
    <mergeCell ref="IG14:II14"/>
    <mergeCell ref="IL14:IN14"/>
    <mergeCell ref="GA14:GC14"/>
    <mergeCell ref="GH14:GJ14"/>
    <mergeCell ref="GM14:GO14"/>
    <mergeCell ref="GR14:GT14"/>
    <mergeCell ref="GY14:HA14"/>
    <mergeCell ref="HD14:HF14"/>
    <mergeCell ref="ES14:EU14"/>
    <mergeCell ref="EZ14:FB14"/>
    <mergeCell ref="FE14:FG14"/>
    <mergeCell ref="FJ14:FL14"/>
    <mergeCell ref="FQ14:FS14"/>
    <mergeCell ref="FV14:FX14"/>
    <mergeCell ref="DK14:DM14"/>
    <mergeCell ref="DR14:DT14"/>
    <mergeCell ref="DW14:DY14"/>
    <mergeCell ref="EB14:ED14"/>
    <mergeCell ref="EI14:EK14"/>
    <mergeCell ref="EN14:EP14"/>
    <mergeCell ref="CC14:CE14"/>
    <mergeCell ref="CJ14:CL14"/>
    <mergeCell ref="CO14:CQ14"/>
    <mergeCell ref="CT14:CV14"/>
    <mergeCell ref="DA14:DC14"/>
    <mergeCell ref="DF14:DH14"/>
    <mergeCell ref="AU14:AW14"/>
    <mergeCell ref="BB14:BD14"/>
    <mergeCell ref="BG14:BI14"/>
    <mergeCell ref="BL14:BN14"/>
    <mergeCell ref="BS14:BU14"/>
    <mergeCell ref="BX14:BZ14"/>
    <mergeCell ref="TT12:TV12"/>
    <mergeCell ref="C14:E14"/>
    <mergeCell ref="H14:J14"/>
    <mergeCell ref="M14:O14"/>
    <mergeCell ref="T14:V14"/>
    <mergeCell ref="Y14:AA14"/>
    <mergeCell ref="AD14:AF14"/>
    <mergeCell ref="AK14:AM14"/>
    <mergeCell ref="AP14:AR14"/>
    <mergeCell ref="SL12:SN12"/>
    <mergeCell ref="SS12:SU12"/>
    <mergeCell ref="SX12:SZ12"/>
    <mergeCell ref="TC12:TE12"/>
    <mergeCell ref="TJ12:TL12"/>
    <mergeCell ref="TO12:TQ12"/>
    <mergeCell ref="RD12:RF12"/>
    <mergeCell ref="RK12:RM12"/>
    <mergeCell ref="RP12:RR12"/>
    <mergeCell ref="RU12:RW12"/>
    <mergeCell ref="SB12:SD12"/>
    <mergeCell ref="SG12:SI12"/>
    <mergeCell ref="PV12:PX12"/>
    <mergeCell ref="QC12:QE12"/>
    <mergeCell ref="QH12:QJ12"/>
    <mergeCell ref="QM12:QO12"/>
    <mergeCell ref="QT12:QV12"/>
    <mergeCell ref="QY12:RA12"/>
    <mergeCell ref="ON12:OP12"/>
    <mergeCell ref="OU12:OW12"/>
    <mergeCell ref="OZ12:PB12"/>
    <mergeCell ref="PE12:PG12"/>
    <mergeCell ref="PL12:PN12"/>
    <mergeCell ref="PQ12:PS12"/>
    <mergeCell ref="NF12:NH12"/>
    <mergeCell ref="NM12:NO12"/>
    <mergeCell ref="NR12:NT12"/>
    <mergeCell ref="NW12:NY12"/>
    <mergeCell ref="OD12:OF12"/>
    <mergeCell ref="OI12:OK12"/>
    <mergeCell ref="LX12:LZ12"/>
    <mergeCell ref="ME12:MG12"/>
    <mergeCell ref="MJ12:ML12"/>
    <mergeCell ref="MO12:MQ12"/>
    <mergeCell ref="MV12:MX12"/>
    <mergeCell ref="NA12:NC12"/>
    <mergeCell ref="KP12:KR12"/>
    <mergeCell ref="KW12:KY12"/>
    <mergeCell ref="LB12:LD12"/>
    <mergeCell ref="LG12:LI12"/>
    <mergeCell ref="LN12:LP12"/>
    <mergeCell ref="LS12:LU12"/>
    <mergeCell ref="JH12:JJ12"/>
    <mergeCell ref="JO12:JQ12"/>
    <mergeCell ref="JT12:JV12"/>
    <mergeCell ref="JY12:KA12"/>
    <mergeCell ref="KF12:KH12"/>
    <mergeCell ref="KK12:KM12"/>
    <mergeCell ref="HZ12:IB12"/>
    <mergeCell ref="IG12:II12"/>
    <mergeCell ref="IL12:IN12"/>
    <mergeCell ref="IQ12:IS12"/>
    <mergeCell ref="IX12:IZ12"/>
    <mergeCell ref="JC12:JE12"/>
    <mergeCell ref="GR12:GT12"/>
    <mergeCell ref="GY12:HA12"/>
    <mergeCell ref="HD12:HF12"/>
    <mergeCell ref="HI12:HK12"/>
    <mergeCell ref="HP12:HR12"/>
    <mergeCell ref="HU12:HW12"/>
    <mergeCell ref="FJ12:FL12"/>
    <mergeCell ref="FQ12:FS12"/>
    <mergeCell ref="FV12:FX12"/>
    <mergeCell ref="GA12:GC12"/>
    <mergeCell ref="GH12:GJ12"/>
    <mergeCell ref="GM12:GO12"/>
    <mergeCell ref="EB12:ED12"/>
    <mergeCell ref="EI12:EK12"/>
    <mergeCell ref="EN12:EP12"/>
    <mergeCell ref="ES12:EU12"/>
    <mergeCell ref="EZ12:FB12"/>
    <mergeCell ref="FE12:FG12"/>
    <mergeCell ref="CT12:CV12"/>
    <mergeCell ref="DA12:DC12"/>
    <mergeCell ref="DF12:DH12"/>
    <mergeCell ref="DK12:DM12"/>
    <mergeCell ref="DR12:DT12"/>
    <mergeCell ref="DW12:DY12"/>
    <mergeCell ref="BL12:BN12"/>
    <mergeCell ref="BS12:BU12"/>
    <mergeCell ref="BX12:BZ12"/>
    <mergeCell ref="CC12:CE12"/>
    <mergeCell ref="CJ12:CL12"/>
    <mergeCell ref="CO12:CQ12"/>
    <mergeCell ref="AD12:AF12"/>
    <mergeCell ref="AK12:AM12"/>
    <mergeCell ref="AP12:AR12"/>
    <mergeCell ref="AU12:AW12"/>
    <mergeCell ref="BB12:BD12"/>
    <mergeCell ref="BG12:BI12"/>
    <mergeCell ref="TT7:TV7"/>
    <mergeCell ref="A8:B8"/>
    <mergeCell ref="A9:B9"/>
    <mergeCell ref="A11:B11"/>
    <mergeCell ref="C12:E12"/>
    <mergeCell ref="H12:J12"/>
    <mergeCell ref="M12:O12"/>
    <mergeCell ref="T12:V12"/>
    <mergeCell ref="Y12:AA12"/>
    <mergeCell ref="SL7:SN7"/>
    <mergeCell ref="SS7:SU7"/>
    <mergeCell ref="SX7:SZ7"/>
    <mergeCell ref="TC7:TE7"/>
    <mergeCell ref="TJ7:TL7"/>
    <mergeCell ref="TO7:TQ7"/>
    <mergeCell ref="RD7:RF7"/>
    <mergeCell ref="RK7:RM7"/>
    <mergeCell ref="RP7:RR7"/>
    <mergeCell ref="RU7:RW7"/>
    <mergeCell ref="SB7:SD7"/>
    <mergeCell ref="SG7:SI7"/>
    <mergeCell ref="PV7:PX7"/>
    <mergeCell ref="QC7:QE7"/>
    <mergeCell ref="QH7:QJ7"/>
    <mergeCell ref="QM7:QO7"/>
    <mergeCell ref="QT7:QV7"/>
    <mergeCell ref="QY7:RA7"/>
    <mergeCell ref="ON7:OP7"/>
    <mergeCell ref="OU7:OW7"/>
    <mergeCell ref="OZ7:PB7"/>
    <mergeCell ref="PE7:PG7"/>
    <mergeCell ref="PL7:PN7"/>
    <mergeCell ref="PQ7:PS7"/>
    <mergeCell ref="NF7:NH7"/>
    <mergeCell ref="NM7:NO7"/>
    <mergeCell ref="NR7:NT7"/>
    <mergeCell ref="NW7:NY7"/>
    <mergeCell ref="OD7:OF7"/>
    <mergeCell ref="OI7:OK7"/>
    <mergeCell ref="LX7:LZ7"/>
    <mergeCell ref="ME7:MG7"/>
    <mergeCell ref="MJ7:ML7"/>
    <mergeCell ref="MO7:MQ7"/>
    <mergeCell ref="MV7:MX7"/>
    <mergeCell ref="NA7:NC7"/>
    <mergeCell ref="KP7:KR7"/>
    <mergeCell ref="KW7:KY7"/>
    <mergeCell ref="LB7:LD7"/>
    <mergeCell ref="LG7:LI7"/>
    <mergeCell ref="LN7:LP7"/>
    <mergeCell ref="LS7:LU7"/>
    <mergeCell ref="JH7:JJ7"/>
    <mergeCell ref="JO7:JQ7"/>
    <mergeCell ref="JT7:JV7"/>
    <mergeCell ref="JY7:KA7"/>
    <mergeCell ref="KF7:KH7"/>
    <mergeCell ref="KK7:KM7"/>
    <mergeCell ref="HZ7:IB7"/>
    <mergeCell ref="IG7:II7"/>
    <mergeCell ref="IL7:IN7"/>
    <mergeCell ref="IQ7:IS7"/>
    <mergeCell ref="IX7:IZ7"/>
    <mergeCell ref="JC7:JE7"/>
    <mergeCell ref="GR7:GT7"/>
    <mergeCell ref="GY7:HA7"/>
    <mergeCell ref="HD7:HF7"/>
    <mergeCell ref="HI7:HK7"/>
    <mergeCell ref="HP7:HR7"/>
    <mergeCell ref="HU7:HW7"/>
    <mergeCell ref="FJ7:FL7"/>
    <mergeCell ref="FQ7:FS7"/>
    <mergeCell ref="FV7:FX7"/>
    <mergeCell ref="GA7:GC7"/>
    <mergeCell ref="GH7:GJ7"/>
    <mergeCell ref="GM7:GO7"/>
    <mergeCell ref="EB7:ED7"/>
    <mergeCell ref="EI7:EK7"/>
    <mergeCell ref="EN7:EP7"/>
    <mergeCell ref="ES7:EU7"/>
    <mergeCell ref="EZ7:FB7"/>
    <mergeCell ref="FE7:FG7"/>
    <mergeCell ref="CT7:CV7"/>
    <mergeCell ref="DA7:DC7"/>
    <mergeCell ref="DF7:DH7"/>
    <mergeCell ref="DK7:DM7"/>
    <mergeCell ref="DR7:DT7"/>
    <mergeCell ref="DW7:DY7"/>
    <mergeCell ref="BS7:BU7"/>
    <mergeCell ref="BX7:BZ7"/>
    <mergeCell ref="CC7:CE7"/>
    <mergeCell ref="CJ7:CL7"/>
    <mergeCell ref="CO7:CQ7"/>
    <mergeCell ref="AD7:AF7"/>
    <mergeCell ref="AK7:AM7"/>
    <mergeCell ref="AP7:AR7"/>
    <mergeCell ref="AU7:AW7"/>
    <mergeCell ref="BB7:BD7"/>
    <mergeCell ref="BG7:BI7"/>
    <mergeCell ref="A5:B5"/>
    <mergeCell ref="A6:B6"/>
    <mergeCell ref="C7:E7"/>
    <mergeCell ref="H7:J7"/>
    <mergeCell ref="M7:O7"/>
    <mergeCell ref="T7:V7"/>
    <mergeCell ref="Y7:AA7"/>
    <mergeCell ref="A1:B1"/>
    <mergeCell ref="BL7:BN7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H5:J6 M5:O6 H8:J11 M8:O11 H13:J13 M13:O13 H15:J17 M15:O17 H20:J20 M20:O20 JT5:JV6 JY5:KA6 JT8:JV11 JY8:KA11 JT13:JV13 JY13:KA13 JT15:JV17 JY15:KA17 JT20:JV20 JY20:KA20 JO8:JQ11 JO13:JQ13 JO15:JQ17 JO20:JQ20 JO5:JQ6 LB5:LD6 LG5:LI6 LB8:LD11 LG8:LI11 LB13:LD13 LG13:LI13 LB15:LD17 LG15:LI17 LB20:LD20 LG20:LI20 KW8:KY11 KW13:KY13 KW15:KY17 KW20:KY20 KW5:KY6 KK5:KM6 KP5:KR6 KK8:KM11 KP8:KR11 KK13:KM13 KP13:KR13 KK15:KM17 KP15:KR17 KK20:KM20 KP20:KR20 KF8:KH11 KF13:KH13 KF15:KH17 KF20:KH20 KF5:KH6 MJ5:ML6 MO5:MQ6 MJ8:ML11 MO8:MQ11 MJ13:ML13 MO13:MQ13 MJ15:ML17 MO15:MQ17 MJ20:ML20 MO20:MQ20 ME8:MG11 ME13:MG13 ME15:MG17 ME20:MG20 ME5:MG6 OI5:OK6 ON5:OP6 OI8:OK11 ON8:OP11 OI13:OK13 ON13:OP13 OI15:OK17 ON15:OP17 OI20:OK20 ON20:OP20 OD8:OF11 OD13:OF13 OD15:OF17 OD20:OF20 OD5:OF6 SG5:SI6 SL5:SN6 SG8:SI11 SL8:SN11 SG13:SI13 SL13:SN13 SG15:SI17 SL15:SN17 SG20:SI20 SL20:SN20 SB8:SD11 SB13:SD13 SB15:SD17 SB20:SD20 SB5:SD6 C8:E11 C13:E13 C15:E17 C20:E20 C5:E6 OZ5:PB6 PE5:PG6 OZ8:PB11 PE8:PG11 OZ13:PB13 PE13:PG13 OZ15:PB17 PE15:PG17 OZ20:PB20 PE20:PG20 OU8:OW11 OU13:OW13 OU15:OW17 OU20:OW20 OU5:OW6 PQ5:PS6 PV5:PX6 PQ8:PS11 PV8:PX11 PQ13:PS13 PV13:PX13 PQ15:PS17 PV15:PX17 PQ20:PS20 PV20:PX20 PL8:PN11 PL13:PN13 PL15:PN17 PL20:PN20 PL5:PN6 QY5:RA6 RD5:RF6 QY8:RA11 RD8:RF11 QY13:RA13 RD13:RF13 QY15:RA17 RD15:RF17 QY20:RA20 RD20:RF20 QT8:QV11 QT13:QV13 QT15:QV17 QT20:QV20 QT5:QV6 RP5:RR6 RU5:RW6 RP8:RR11 RU8:RW11 RP13:RR13 RU13:RW13 RP15:RR17 RU15:RW17 RP20:RR20 RU20:RW20 RK8:RM11 RK13:RM13 RK15:RM17 RK20:RM20 RK5:RM6 Y5:AA6 AD5:AF6 Y8:AA11 AD8:AF11 Y13:AA13 AD13:AF13 Y15:AA17 AD15:AF17 Y20:AA20 AD20:AF20 T8:V11 T13:V13 T15:V17 T20:V20 T5:V6 LS5:LU6 LX5:LZ6 LS8:LU11 LX8:LZ11 LS13:LU13 LX13:LZ13 LS15:LU17 LX15:LZ17 LS20:LU20 LX20:LZ20 LN8:LP11 LN13:LP13 LN15:LP17 LN20:LP20 LN5:LP6 QH5:QJ6 QM5:QO6 QH8:QJ11 QM8:QO11 QH13:QJ13 QM13:QO13 QH15:QJ17 QM15:QO17 QH20:QJ20 QM20:QO20 QC8:QE11 QC13:QE13 QC15:QE17 QC20:QE20 QC5:QE6 SX5:SZ6 TC5:TE6 SX8:SZ11 TC8:TE11 SX13:SZ13 TC13:TE13 SX15:SZ17 TJ5:TL6 SX20:SZ20 TC20:TE20 SS8:SU11 SS13:SU13 SS15:SU17 SS20:SU20 SS5:SU6 AP5:AR6 AU5:AW6 AP8:AR11 AU8:AW11 AP13:AR13 AU13:AW13 AP15:AR17 AU15:AW17 AP20:AR20 AU20:AW20 AK8:AM11 AK13:AM13 AK15:AM17 AK20:AM20 AK5:AM6 BG5:BI6 BL5:BN6 BG8:BI11 BL8:BN11 BG13:BI13 BL13:BN13 BG15:BI17 BL15:BN17 BG20:BI20 BL20:BN20 BB8:BD11 BB13:BD13 BB15:BD17 BB20:BD20 BB5:BD6 BX5:BZ6 CC5:CE6 BX8:BZ11 CC8:CE11 BX13:BZ13 CC13:CE13 BX15:BZ17 CC15:CE17 BX20:BZ20 CC20:CE20 BS8:BU11 BS13:BU13 BS15:BU17 BS20:BU20 BS5:BU6 CO5:CQ6 CT5:CV6 CO8:CQ11 CT8:CV11 CO13:CQ13 CT13:CV13 CO15:CQ17 CT15:CV17 CO20:CQ20 CT20:CV20 CJ8:CL11 CJ13:CL13 CJ15:CL17 CJ20:CL20 CJ5:CL6 DF5:DH6 DK5:DM6 DF8:DH11 DK8:DM11 DF13:DH13 DK13:DM13 DF15:DH17 DK15:DM17 DF20:DH20 DK20:DM20 DA8:DC11 DA13:DC13 DA15:DC17 DA20:DC20 DA5:DC6 DW5:DY6 EB5:ED6 DW8:DY11 EB8:ED11 DW13:DY13 EB13:ED13 DW15:DY17 EB15:ED17 DW20:DY20 EB20:ED20 DR8:DT11 DR13:DT13 DR15:DT17 DR20:DT20 DR5:DT6 EN5:EP6 ES5:EU6 EN8:EP11 ES8:EU11 EN13:EP13 ES13:EU13 EN15:EP17 ES15:EU17 EN20:EP20 ES20:EU20 EI8:EK11 EI13:EK13 EI15:EK17 EI20:EK20 EI5:EK6 FE5:FG6 FJ5:FL6 FE8:FG11 FJ8:FL11 FE13:FG13 FJ13:FL13 FE15:FG17 FJ15:FL17 FE20:FG20 FJ20:FL20 EZ8:FB11 EZ13:FB13 EZ15:FB17 EZ20:FB20 EZ5:FB6 FV5:FX6 GA5:GC6 FV8:FX11 GA8:GC11 FV13:FX13 GA13:GC13 FV15:FX17 GA15:GC17 FV20:FX20 GA20:GC20 FQ8:FS11 FQ13:FS13 FQ15:FS17 FQ20:FS20 FQ5:FS6 GM5:GO6 GR5:GT6 GM8:GO11 GR8:GT11 GM13:GO13 GR13:GT13 GM15:GO17 GR15:GT17 GM20:GO20 GR20:GT20 GH8:GJ11 GH13:GJ13 GH15:GJ17 GH20:GJ20 GH5:GJ6 HD5:HF6 HI5:HK6 HD8:HF11 HI8:HK11 HD13:HF13 HI13:HK13 HD15:HF17 HI15:HK17 HD20:HF20 HI20:HK20 GY8:HA11 GY13:HA13 GY15:HA17 GY20:HA20 GY5:HA6 HU5:HW6 HZ5:IB6 HU8:HW11 HZ8:IB11 HU13:HW13 HZ13:IB13 HU15:HW17 HZ15:IB17 HU20:HW20 HZ20:IB20 HP8:HR11 HP13:HR13 HP15:HR17 HP20:HR20 HP5:HR6 IL5:IN6 IQ5:IS6 IL8:IN11 IQ8:IS11 IL13:IN13 IQ13:IS13 IL15:IN17 IQ15:IS17 IL20:IN20 IQ20:IS20 IG8:II11 IG13:II13 IG15:II17 IG20:II20 IG5:II6 JC5:JE6 JH5:JJ6 JC8:JE11 JH8:JJ11 JC13:JE13 JH13:JJ13 JC15:JE17 JH15:JJ17 JC20:JE20 JH20:JJ20 IX8:IZ11 IX13:IZ13 IX15:IZ17 IX20:IZ20 IX5:IZ6 NA5:NC6 NF5:NH6 NA8:NC11 NF8:NH11 NA13:NC13 NF13:NH13 NA15:NC17 NF15:NH17 NA20:NC20 NF20:NH20 MV8:MX11 MV13:MX13 MV15:MX17 MV20:MX20 MV5:MX6 NR5:NT6 NW5:NY6 NR8:NT11 NW8:NY11 NR13:NT13 NW13:NY13 NR15:NT17 NW15:NY17 NR20:NT20 NW20:NY20 NM8:NO11 NM13:NO13 NM15:NO17 NM20:NO20 NM5:NO6 TO5:TQ6 TT5:TV6 TO8:TQ11 TT8:TV11 TO13:TQ13 TT13:TV13 TO15:TQ17 TT15:TV17 TO20:TQ20 TT20:TV20 TJ8:TL11 TJ13:TL13 TJ15:TL17 TJ20:TL20 TC15:TE17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AA30"/>
  <sheetViews>
    <sheetView zoomScale="90" zoomScaleNormal="90" workbookViewId="0"/>
  </sheetViews>
  <sheetFormatPr baseColWidth="10" defaultRowHeight="15" x14ac:dyDescent="0.25"/>
  <cols>
    <col min="1" max="1" width="30.7109375" style="11" customWidth="1"/>
    <col min="2" max="25" width="6.7109375" style="11" customWidth="1"/>
    <col min="26" max="26" width="6" style="11" customWidth="1"/>
    <col min="27" max="27" width="23.85546875" style="11" customWidth="1"/>
    <col min="28" max="16384" width="11.42578125" style="11"/>
  </cols>
  <sheetData>
    <row r="1" spans="1:27" ht="31.5" customHeight="1" thickBot="1" x14ac:dyDescent="0.3">
      <c r="A1" s="60" t="s">
        <v>201</v>
      </c>
      <c r="B1" s="228" t="s">
        <v>0</v>
      </c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9"/>
      <c r="AA1" s="47" t="s">
        <v>42</v>
      </c>
    </row>
    <row r="2" spans="1:27" ht="24.95" customHeight="1" thickTop="1" x14ac:dyDescent="0.25">
      <c r="A2" s="230" t="s">
        <v>1</v>
      </c>
      <c r="B2" s="232" t="s">
        <v>2</v>
      </c>
      <c r="C2" s="232"/>
      <c r="D2" s="232"/>
      <c r="E2" s="233"/>
      <c r="F2" s="234" t="s">
        <v>3</v>
      </c>
      <c r="G2" s="235"/>
      <c r="H2" s="235"/>
      <c r="I2" s="236"/>
      <c r="J2" s="234" t="s">
        <v>4</v>
      </c>
      <c r="K2" s="235"/>
      <c r="L2" s="235"/>
      <c r="M2" s="236"/>
      <c r="N2" s="234" t="s">
        <v>5</v>
      </c>
      <c r="O2" s="235"/>
      <c r="P2" s="235"/>
      <c r="Q2" s="236"/>
      <c r="R2" s="234" t="s">
        <v>6</v>
      </c>
      <c r="S2" s="235"/>
      <c r="T2" s="235"/>
      <c r="U2" s="236"/>
      <c r="V2" s="237" t="s">
        <v>34</v>
      </c>
      <c r="W2" s="238"/>
      <c r="X2" s="239"/>
      <c r="Y2" s="35" t="s">
        <v>32</v>
      </c>
      <c r="AA2" s="61" t="s">
        <v>195</v>
      </c>
    </row>
    <row r="3" spans="1:27" ht="24.95" customHeight="1" thickBot="1" x14ac:dyDescent="0.3">
      <c r="A3" s="231"/>
      <c r="B3" s="23" t="s">
        <v>27</v>
      </c>
      <c r="C3" s="24" t="s">
        <v>28</v>
      </c>
      <c r="D3" s="23" t="s">
        <v>29</v>
      </c>
      <c r="E3" s="25" t="s">
        <v>10</v>
      </c>
      <c r="F3" s="26" t="s">
        <v>27</v>
      </c>
      <c r="G3" s="27" t="s">
        <v>28</v>
      </c>
      <c r="H3" s="28" t="s">
        <v>29</v>
      </c>
      <c r="I3" s="29" t="s">
        <v>10</v>
      </c>
      <c r="J3" s="30" t="s">
        <v>27</v>
      </c>
      <c r="K3" s="31" t="s">
        <v>28</v>
      </c>
      <c r="L3" s="28" t="s">
        <v>29</v>
      </c>
      <c r="M3" s="29" t="s">
        <v>10</v>
      </c>
      <c r="N3" s="26" t="s">
        <v>27</v>
      </c>
      <c r="O3" s="32" t="s">
        <v>28</v>
      </c>
      <c r="P3" s="28" t="s">
        <v>29</v>
      </c>
      <c r="Q3" s="29" t="s">
        <v>10</v>
      </c>
      <c r="R3" s="26" t="s">
        <v>27</v>
      </c>
      <c r="S3" s="32" t="s">
        <v>28</v>
      </c>
      <c r="T3" s="28" t="s">
        <v>29</v>
      </c>
      <c r="U3" s="29" t="s">
        <v>10</v>
      </c>
      <c r="V3" s="33" t="s">
        <v>27</v>
      </c>
      <c r="W3" s="34" t="s">
        <v>28</v>
      </c>
      <c r="X3" s="34" t="s">
        <v>29</v>
      </c>
      <c r="Y3" s="36" t="s">
        <v>33</v>
      </c>
      <c r="Z3" s="48"/>
      <c r="AA3" s="62" t="s">
        <v>46</v>
      </c>
    </row>
    <row r="4" spans="1:27" ht="15.75" customHeight="1" thickTop="1" x14ac:dyDescent="0.25">
      <c r="A4" s="59" t="str">
        <f ca="1">CELL("contenu",INDIRECT(ADDRESS(ROW()-2,5,1,,CELL("contenu",$AA$3))))</f>
        <v>ANDRE Gabrielle</v>
      </c>
      <c r="B4" s="2" t="str">
        <f ca="1">CELL("contenu",INDIRECT(ADDRESS(ref!$K$3,ref!E3,1,,CELL("contenu",$AA$2))))</f>
        <v/>
      </c>
      <c r="C4" s="3" t="str">
        <f ca="1">CELL("contenu",INDIRECT(ADDRESS(ref!$K$3,ref!F3,1,,CELL("contenu",$AA$2))))</f>
        <v>B</v>
      </c>
      <c r="D4" s="4" t="str">
        <f ca="1">CELL("contenu",INDIRECT(ADDRESS(ref!$K$3,ref!G3,1,,CELL("contenu",$AA$2))))</f>
        <v>A</v>
      </c>
      <c r="E4" s="5" t="str">
        <f ca="1">CELL("contenu",INDIRECT(ADDRESS(ref!$K$3,ref!H3,1,,CELL("contenu",$AA$2))))</f>
        <v>A</v>
      </c>
      <c r="F4" s="6" t="str">
        <f ca="1">CELL("contenu",INDIRECT(ADDRESS(ref!$K$4,ref!E3,1,,CELL("contenu",$AA$2))))</f>
        <v/>
      </c>
      <c r="G4" s="3" t="str">
        <f ca="1">CELL("contenu",INDIRECT(ADDRESS(ref!$K$4,ref!F3,1,,CELL("contenu",$AA$2))))</f>
        <v>B</v>
      </c>
      <c r="H4" s="4" t="str">
        <f ca="1">CELL("contenu",INDIRECT(ADDRESS(ref!$K$4,ref!G3,1,,CELL("contenu",$AA$2))))</f>
        <v>A</v>
      </c>
      <c r="I4" s="5" t="str">
        <f ca="1">CELL("contenu",INDIRECT(ADDRESS(ref!$K$4,ref!H3,1,,CELL("contenu",$AA$2))))</f>
        <v>B</v>
      </c>
      <c r="J4" s="6" t="str">
        <f ca="1">CELL("contenu",INDIRECT(ADDRESS(ref!$K$5,ref!E3,1,,CELL("contenu",$AA$2))))</f>
        <v>A</v>
      </c>
      <c r="K4" s="3" t="str">
        <f ca="1">CELL("contenu",INDIRECT(ADDRESS(ref!$K$5,ref!F3,1,,CELL("contenu",$AA$2))))</f>
        <v/>
      </c>
      <c r="L4" s="4" t="str">
        <f ca="1">CELL("contenu",INDIRECT(ADDRESS(ref!$K$5,ref!G3,1,,CELL("contenu",$AA$2))))</f>
        <v>C</v>
      </c>
      <c r="M4" s="5" t="str">
        <f ca="1">CELL("contenu",INDIRECT(ADDRESS(ref!$K$5,ref!H3,1,,CELL("contenu",$AA$2))))</f>
        <v>B</v>
      </c>
      <c r="N4" s="6" t="str">
        <f ca="1">CELL("contenu",INDIRECT(ADDRESS(ref!$K$6,ref!E3,1,,CELL("contenu",$AA$2))))</f>
        <v>C</v>
      </c>
      <c r="O4" s="3" t="str">
        <f ca="1">CELL("contenu",INDIRECT(ADDRESS(ref!$K$6,ref!F3,1,,CELL("contenu",$AA$2))))</f>
        <v>B</v>
      </c>
      <c r="P4" s="4" t="str">
        <f ca="1">CELL("contenu",INDIRECT(ADDRESS(ref!$K$6,ref!G3,1,,CELL("contenu",$AA$2))))</f>
        <v>C</v>
      </c>
      <c r="Q4" s="5" t="str">
        <f ca="1">CELL("contenu",INDIRECT(ADDRESS(ref!$K$6,ref!H3,1,,CELL("contenu",$AA$2))))</f>
        <v>C</v>
      </c>
      <c r="R4" s="6" t="str">
        <f ca="1">CELL("contenu",INDIRECT(ADDRESS(ref!$K$7,ref!E3,1,,CELL("contenu",$AA$2))))</f>
        <v/>
      </c>
      <c r="S4" s="3" t="str">
        <f ca="1">CELL("contenu",INDIRECT(ADDRESS(ref!$K$7,ref!F3,1,,CELL("contenu",$AA$2))))</f>
        <v>B</v>
      </c>
      <c r="T4" s="4" t="str">
        <f ca="1">CELL("contenu",INDIRECT(ADDRESS(ref!$K$7,ref!G3,1,,CELL("contenu",$AA$2))))</f>
        <v/>
      </c>
      <c r="U4" s="5" t="str">
        <f ca="1">CELL("contenu",INDIRECT(ADDRESS(ref!$K$7,ref!H3,1,,CELL("contenu",$AA$2))))</f>
        <v/>
      </c>
      <c r="V4" s="49">
        <f ca="1">CELL("contenu",INDIRECT(ADDRESS(ref!$K$8,ref!E3,1,,CELL("contenu",$AA$2))))</f>
        <v>15</v>
      </c>
      <c r="W4" s="50">
        <f ca="1">CELL("contenu",INDIRECT(ADDRESS(ref!$K$8,ref!F3,1,,CELL("contenu",$AA$2))))</f>
        <v>15.625</v>
      </c>
      <c r="X4" s="51">
        <f ca="1">CELL("contenu",INDIRECT(ADDRESS(ref!$K$8,ref!G3,1,,CELL("contenu",$AA$2))))</f>
        <v>18.020833333333332</v>
      </c>
      <c r="Y4" s="21" t="str">
        <f ca="1">CELL("contenu",INDIRECT(ADDRESS(ref!$K$9,ref!H3,1,,CELL("contenu",$AA$2))))</f>
        <v>C</v>
      </c>
    </row>
    <row r="5" spans="1:27" x14ac:dyDescent="0.25">
      <c r="A5" s="59" t="str">
        <f ca="1">CELL("contenu",INDIRECT(ADDRESS(ROW()-2,5,1,,CELL("contenu",$AA$3))))</f>
        <v>BORGYE Lisa</v>
      </c>
      <c r="B5" s="2" t="str">
        <f ca="1">CELL("contenu",INDIRECT(ADDRESS(ref!$K$3,ref!E4,1,,CELL("contenu",$AA$2))))</f>
        <v/>
      </c>
      <c r="C5" s="3" t="str">
        <f ca="1">CELL("contenu",INDIRECT(ADDRESS(ref!$K$3,ref!F4,1,,CELL("contenu",$AA$2))))</f>
        <v>A</v>
      </c>
      <c r="D5" s="4" t="str">
        <f ca="1">CELL("contenu",INDIRECT(ADDRESS(ref!$K$3,ref!G4,1,,CELL("contenu",$AA$2))))</f>
        <v>A</v>
      </c>
      <c r="E5" s="5" t="str">
        <f ca="1">CELL("contenu",INDIRECT(ADDRESS(ref!$K$3,ref!H4,1,,CELL("contenu",$AA$2))))</f>
        <v>A</v>
      </c>
      <c r="F5" s="6" t="str">
        <f ca="1">CELL("contenu",INDIRECT(ADDRESS(ref!$K$4,ref!E4,1,,CELL("contenu",$AA$2))))</f>
        <v/>
      </c>
      <c r="G5" s="3" t="str">
        <f ca="1">CELL("contenu",INDIRECT(ADDRESS(ref!$K$4,ref!F4,1,,CELL("contenu",$AA$2))))</f>
        <v>A</v>
      </c>
      <c r="H5" s="4" t="str">
        <f ca="1">CELL("contenu",INDIRECT(ADDRESS(ref!$K$4,ref!G4,1,,CELL("contenu",$AA$2))))</f>
        <v>A</v>
      </c>
      <c r="I5" s="5" t="str">
        <f ca="1">CELL("contenu",INDIRECT(ADDRESS(ref!$K$4,ref!H4,1,,CELL("contenu",$AA$2))))</f>
        <v>B</v>
      </c>
      <c r="J5" s="6" t="str">
        <f ca="1">CELL("contenu",INDIRECT(ADDRESS(ref!$K$5,ref!E4,1,,CELL("contenu",$AA$2))))</f>
        <v>B</v>
      </c>
      <c r="K5" s="3" t="str">
        <f ca="1">CELL("contenu",INDIRECT(ADDRESS(ref!$K$5,ref!F4,1,,CELL("contenu",$AA$2))))</f>
        <v/>
      </c>
      <c r="L5" s="4" t="str">
        <f ca="1">CELL("contenu",INDIRECT(ADDRESS(ref!$K$5,ref!G4,1,,CELL("contenu",$AA$2))))</f>
        <v>B</v>
      </c>
      <c r="M5" s="5" t="str">
        <f ca="1">CELL("contenu",INDIRECT(ADDRESS(ref!$K$5,ref!H4,1,,CELL("contenu",$AA$2))))</f>
        <v>B</v>
      </c>
      <c r="N5" s="6" t="str">
        <f ca="1">CELL("contenu",INDIRECT(ADDRESS(ref!$K$6,ref!E4,1,,CELL("contenu",$AA$2))))</f>
        <v>D</v>
      </c>
      <c r="O5" s="3" t="str">
        <f ca="1">CELL("contenu",INDIRECT(ADDRESS(ref!$K$6,ref!F4,1,,CELL("contenu",$AA$2))))</f>
        <v>A</v>
      </c>
      <c r="P5" s="4" t="str">
        <f ca="1">CELL("contenu",INDIRECT(ADDRESS(ref!$K$6,ref!G4,1,,CELL("contenu",$AA$2))))</f>
        <v>B</v>
      </c>
      <c r="Q5" s="5" t="str">
        <f ca="1">CELL("contenu",INDIRECT(ADDRESS(ref!$K$6,ref!H4,1,,CELL("contenu",$AA$2))))</f>
        <v>B</v>
      </c>
      <c r="R5" s="6" t="str">
        <f ca="1">CELL("contenu",INDIRECT(ADDRESS(ref!$K$7,ref!E4,1,,CELL("contenu",$AA$2))))</f>
        <v/>
      </c>
      <c r="S5" s="3" t="str">
        <f ca="1">CELL("contenu",INDIRECT(ADDRESS(ref!$K$7,ref!F4,1,,CELL("contenu",$AA$2))))</f>
        <v/>
      </c>
      <c r="T5" s="4" t="str">
        <f ca="1">CELL("contenu",INDIRECT(ADDRESS(ref!$K$7,ref!G4,1,,CELL("contenu",$AA$2))))</f>
        <v/>
      </c>
      <c r="U5" s="5" t="str">
        <f ca="1">CELL("contenu",INDIRECT(ADDRESS(ref!$K$7,ref!H4,1,,CELL("contenu",$AA$2))))</f>
        <v/>
      </c>
      <c r="V5" s="49">
        <f ca="1">CELL("contenu",INDIRECT(ADDRESS(ref!$K$8,ref!E4,1,,CELL("contenu",$AA$2))))</f>
        <v>10</v>
      </c>
      <c r="W5" s="50">
        <f ca="1">CELL("contenu",INDIRECT(ADDRESS(ref!$K$8,ref!F4,1,,CELL("contenu",$AA$2))))</f>
        <v>20</v>
      </c>
      <c r="X5" s="51">
        <f ca="1">CELL("contenu",INDIRECT(ADDRESS(ref!$K$8,ref!G4,1,,CELL("contenu",$AA$2))))</f>
        <v>21.354166666666664</v>
      </c>
      <c r="Y5" s="21" t="str">
        <f ca="1">CELL("contenu",INDIRECT(ADDRESS(ref!$K$9,ref!H4,1,,CELL("contenu",$AA$2))))</f>
        <v>A</v>
      </c>
    </row>
    <row r="6" spans="1:27" x14ac:dyDescent="0.25">
      <c r="A6" s="59" t="str">
        <f t="shared" ref="A6:A30" ca="1" si="0">CELL("contenu",INDIRECT(ADDRESS(ROW()-2,5,1,,CELL("contenu",$AA$3))))</f>
        <v>BOUE Lucie</v>
      </c>
      <c r="B6" s="2" t="str">
        <f ca="1">CELL("contenu",INDIRECT(ADDRESS(ref!$K$3,ref!E5,1,,CELL("contenu",$AA$2))))</f>
        <v/>
      </c>
      <c r="C6" s="3" t="str">
        <f ca="1">CELL("contenu",INDIRECT(ADDRESS(ref!$K$3,ref!F5,1,,CELL("contenu",$AA$2))))</f>
        <v>B</v>
      </c>
      <c r="D6" s="4" t="str">
        <f ca="1">CELL("contenu",INDIRECT(ADDRESS(ref!$K$3,ref!G5,1,,CELL("contenu",$AA$2))))</f>
        <v>A</v>
      </c>
      <c r="E6" s="5" t="str">
        <f ca="1">CELL("contenu",INDIRECT(ADDRESS(ref!$K$3,ref!H5,1,,CELL("contenu",$AA$2))))</f>
        <v>B</v>
      </c>
      <c r="F6" s="6" t="str">
        <f ca="1">CELL("contenu",INDIRECT(ADDRESS(ref!$K$4,ref!E5,1,,CELL("contenu",$AA$2))))</f>
        <v/>
      </c>
      <c r="G6" s="3" t="str">
        <f ca="1">CELL("contenu",INDIRECT(ADDRESS(ref!$K$4,ref!F5,1,,CELL("contenu",$AA$2))))</f>
        <v>A</v>
      </c>
      <c r="H6" s="4" t="str">
        <f ca="1">CELL("contenu",INDIRECT(ADDRESS(ref!$K$4,ref!G5,1,,CELL("contenu",$AA$2))))</f>
        <v>A</v>
      </c>
      <c r="I6" s="5" t="str">
        <f ca="1">CELL("contenu",INDIRECT(ADDRESS(ref!$K$4,ref!H5,1,,CELL("contenu",$AA$2))))</f>
        <v>B</v>
      </c>
      <c r="J6" s="6" t="str">
        <f ca="1">CELL("contenu",INDIRECT(ADDRESS(ref!$K$5,ref!E5,1,,CELL("contenu",$AA$2))))</f>
        <v>B</v>
      </c>
      <c r="K6" s="3" t="str">
        <f ca="1">CELL("contenu",INDIRECT(ADDRESS(ref!$K$5,ref!F5,1,,CELL("contenu",$AA$2))))</f>
        <v/>
      </c>
      <c r="L6" s="4" t="str">
        <f ca="1">CELL("contenu",INDIRECT(ADDRESS(ref!$K$5,ref!G5,1,,CELL("contenu",$AA$2))))</f>
        <v>C</v>
      </c>
      <c r="M6" s="5" t="str">
        <f ca="1">CELL("contenu",INDIRECT(ADDRESS(ref!$K$5,ref!H5,1,,CELL("contenu",$AA$2))))</f>
        <v>C</v>
      </c>
      <c r="N6" s="6" t="str">
        <f ca="1">CELL("contenu",INDIRECT(ADDRESS(ref!$K$6,ref!E5,1,,CELL("contenu",$AA$2))))</f>
        <v>B</v>
      </c>
      <c r="O6" s="3" t="str">
        <f ca="1">CELL("contenu",INDIRECT(ADDRESS(ref!$K$6,ref!F5,1,,CELL("contenu",$AA$2))))</f>
        <v>B</v>
      </c>
      <c r="P6" s="4" t="str">
        <f ca="1">CELL("contenu",INDIRECT(ADDRESS(ref!$K$6,ref!G5,1,,CELL("contenu",$AA$2))))</f>
        <v>B</v>
      </c>
      <c r="Q6" s="5" t="str">
        <f ca="1">CELL("contenu",INDIRECT(ADDRESS(ref!$K$6,ref!H5,1,,CELL("contenu",$AA$2))))</f>
        <v>B</v>
      </c>
      <c r="R6" s="6" t="str">
        <f ca="1">CELL("contenu",INDIRECT(ADDRESS(ref!$K$7,ref!E5,1,,CELL("contenu",$AA$2))))</f>
        <v/>
      </c>
      <c r="S6" s="3" t="str">
        <f ca="1">CELL("contenu",INDIRECT(ADDRESS(ref!$K$7,ref!F5,1,,CELL("contenu",$AA$2))))</f>
        <v/>
      </c>
      <c r="T6" s="4" t="str">
        <f ca="1">CELL("contenu",INDIRECT(ADDRESS(ref!$K$7,ref!G5,1,,CELL("contenu",$AA$2))))</f>
        <v/>
      </c>
      <c r="U6" s="5" t="str">
        <f ca="1">CELL("contenu",INDIRECT(ADDRESS(ref!$K$7,ref!H5,1,,CELL("contenu",$AA$2))))</f>
        <v/>
      </c>
      <c r="V6" s="49">
        <f ca="1">CELL("contenu",INDIRECT(ADDRESS(ref!$K$8,ref!E5,1,,CELL("contenu",$AA$2))))</f>
        <v>15</v>
      </c>
      <c r="W6" s="50">
        <f ca="1">CELL("contenu",INDIRECT(ADDRESS(ref!$K$8,ref!F5,1,,CELL("contenu",$AA$2))))</f>
        <v>18.333333333333332</v>
      </c>
      <c r="X6" s="51">
        <f ca="1">CELL("contenu",INDIRECT(ADDRESS(ref!$K$8,ref!G5,1,,CELL("contenu",$AA$2))))</f>
        <v>19.166666666666668</v>
      </c>
      <c r="Y6" s="21" t="str">
        <f ca="1">CELL("contenu",INDIRECT(ADDRESS(ref!$K$9,ref!H5,1,,CELL("contenu",$AA$2))))</f>
        <v>B</v>
      </c>
    </row>
    <row r="7" spans="1:27" x14ac:dyDescent="0.25">
      <c r="A7" s="59" t="str">
        <f t="shared" ca="1" si="0"/>
        <v>CHALAND Marine</v>
      </c>
      <c r="B7" s="2" t="str">
        <f ca="1">CELL("contenu",INDIRECT(ADDRESS(ref!$K$3,ref!E6,1,,CELL("contenu",$AA$2))))</f>
        <v/>
      </c>
      <c r="C7" s="3" t="str">
        <f ca="1">CELL("contenu",INDIRECT(ADDRESS(ref!$K$3,ref!F6,1,,CELL("contenu",$AA$2))))</f>
        <v>B</v>
      </c>
      <c r="D7" s="4" t="str">
        <f ca="1">CELL("contenu",INDIRECT(ADDRESS(ref!$K$3,ref!G6,1,,CELL("contenu",$AA$2))))</f>
        <v>C</v>
      </c>
      <c r="E7" s="5" t="str">
        <f ca="1">CELL("contenu",INDIRECT(ADDRESS(ref!$K$3,ref!H6,1,,CELL("contenu",$AA$2))))</f>
        <v>C</v>
      </c>
      <c r="F7" s="6" t="str">
        <f ca="1">CELL("contenu",INDIRECT(ADDRESS(ref!$K$4,ref!E6,1,,CELL("contenu",$AA$2))))</f>
        <v/>
      </c>
      <c r="G7" s="3" t="str">
        <f ca="1">CELL("contenu",INDIRECT(ADDRESS(ref!$K$4,ref!F6,1,,CELL("contenu",$AA$2))))</f>
        <v>A</v>
      </c>
      <c r="H7" s="4" t="str">
        <f ca="1">CELL("contenu",INDIRECT(ADDRESS(ref!$K$4,ref!G6,1,,CELL("contenu",$AA$2))))</f>
        <v>A</v>
      </c>
      <c r="I7" s="5" t="str">
        <f ca="1">CELL("contenu",INDIRECT(ADDRESS(ref!$K$4,ref!H6,1,,CELL("contenu",$AA$2))))</f>
        <v>B</v>
      </c>
      <c r="J7" s="6" t="str">
        <f ca="1">CELL("contenu",INDIRECT(ADDRESS(ref!$K$5,ref!E6,1,,CELL("contenu",$AA$2))))</f>
        <v>B</v>
      </c>
      <c r="K7" s="3" t="str">
        <f ca="1">CELL("contenu",INDIRECT(ADDRESS(ref!$K$5,ref!F6,1,,CELL("contenu",$AA$2))))</f>
        <v/>
      </c>
      <c r="L7" s="4" t="str">
        <f ca="1">CELL("contenu",INDIRECT(ADDRESS(ref!$K$5,ref!G6,1,,CELL("contenu",$AA$2))))</f>
        <v>B</v>
      </c>
      <c r="M7" s="5" t="str">
        <f ca="1">CELL("contenu",INDIRECT(ADDRESS(ref!$K$5,ref!H6,1,,CELL("contenu",$AA$2))))</f>
        <v>B</v>
      </c>
      <c r="N7" s="6" t="str">
        <f ca="1">CELL("contenu",INDIRECT(ADDRESS(ref!$K$6,ref!E6,1,,CELL("contenu",$AA$2))))</f>
        <v>C</v>
      </c>
      <c r="O7" s="3" t="str">
        <f ca="1">CELL("contenu",INDIRECT(ADDRESS(ref!$K$6,ref!F6,1,,CELL("contenu",$AA$2))))</f>
        <v>B</v>
      </c>
      <c r="P7" s="4" t="str">
        <f ca="1">CELL("contenu",INDIRECT(ADDRESS(ref!$K$6,ref!G6,1,,CELL("contenu",$AA$2))))</f>
        <v>C</v>
      </c>
      <c r="Q7" s="5" t="str">
        <f ca="1">CELL("contenu",INDIRECT(ADDRESS(ref!$K$6,ref!H6,1,,CELL("contenu",$AA$2))))</f>
        <v>C</v>
      </c>
      <c r="R7" s="6" t="str">
        <f ca="1">CELL("contenu",INDIRECT(ADDRESS(ref!$K$7,ref!E6,1,,CELL("contenu",$AA$2))))</f>
        <v/>
      </c>
      <c r="S7" s="3" t="str">
        <f ca="1">CELL("contenu",INDIRECT(ADDRESS(ref!$K$7,ref!F6,1,,CELL("contenu",$AA$2))))</f>
        <v/>
      </c>
      <c r="T7" s="4" t="str">
        <f ca="1">CELL("contenu",INDIRECT(ADDRESS(ref!$K$7,ref!G6,1,,CELL("contenu",$AA$2))))</f>
        <v/>
      </c>
      <c r="U7" s="5" t="str">
        <f ca="1">CELL("contenu",INDIRECT(ADDRESS(ref!$K$7,ref!H6,1,,CELL("contenu",$AA$2))))</f>
        <v/>
      </c>
      <c r="V7" s="49">
        <f ca="1">CELL("contenu",INDIRECT(ADDRESS(ref!$K$8,ref!E6,1,,CELL("contenu",$AA$2))))</f>
        <v>12.5</v>
      </c>
      <c r="W7" s="50">
        <f ca="1">CELL("contenu",INDIRECT(ADDRESS(ref!$K$8,ref!F6,1,,CELL("contenu",$AA$2))))</f>
        <v>17.5</v>
      </c>
      <c r="X7" s="51">
        <f ca="1">CELL("contenu",INDIRECT(ADDRESS(ref!$K$8,ref!G6,1,,CELL("contenu",$AA$2))))</f>
        <v>18.020833333333332</v>
      </c>
      <c r="Y7" s="21" t="str">
        <f ca="1">CELL("contenu",INDIRECT(ADDRESS(ref!$K$9,ref!H6,1,,CELL("contenu",$AA$2))))</f>
        <v>A</v>
      </c>
    </row>
    <row r="8" spans="1:27" x14ac:dyDescent="0.25">
      <c r="A8" s="59" t="str">
        <f t="shared" ca="1" si="0"/>
        <v>COFFI-BOTREAU Eloise</v>
      </c>
      <c r="B8" s="2" t="str">
        <f ca="1">CELL("contenu",INDIRECT(ADDRESS(ref!$K$3,ref!E7,1,,CELL("contenu",$AA$2))))</f>
        <v/>
      </c>
      <c r="C8" s="3" t="str">
        <f ca="1">CELL("contenu",INDIRECT(ADDRESS(ref!$K$3,ref!F7,1,,CELL("contenu",$AA$2))))</f>
        <v>B</v>
      </c>
      <c r="D8" s="4" t="str">
        <f ca="1">CELL("contenu",INDIRECT(ADDRESS(ref!$K$3,ref!G7,1,,CELL("contenu",$AA$2))))</f>
        <v>B</v>
      </c>
      <c r="E8" s="5" t="str">
        <f ca="1">CELL("contenu",INDIRECT(ADDRESS(ref!$K$3,ref!H7,1,,CELL("contenu",$AA$2))))</f>
        <v>B</v>
      </c>
      <c r="F8" s="6" t="str">
        <f ca="1">CELL("contenu",INDIRECT(ADDRESS(ref!$K$4,ref!E7,1,,CELL("contenu",$AA$2))))</f>
        <v/>
      </c>
      <c r="G8" s="3" t="str">
        <f ca="1">CELL("contenu",INDIRECT(ADDRESS(ref!$K$4,ref!F7,1,,CELL("contenu",$AA$2))))</f>
        <v>A</v>
      </c>
      <c r="H8" s="4" t="str">
        <f ca="1">CELL("contenu",INDIRECT(ADDRESS(ref!$K$4,ref!G7,1,,CELL("contenu",$AA$2))))</f>
        <v>A</v>
      </c>
      <c r="I8" s="5" t="str">
        <f ca="1">CELL("contenu",INDIRECT(ADDRESS(ref!$K$4,ref!H7,1,,CELL("contenu",$AA$2))))</f>
        <v>A</v>
      </c>
      <c r="J8" s="6" t="str">
        <f ca="1">CELL("contenu",INDIRECT(ADDRESS(ref!$K$5,ref!E7,1,,CELL("contenu",$AA$2))))</f>
        <v>D</v>
      </c>
      <c r="K8" s="3" t="str">
        <f ca="1">CELL("contenu",INDIRECT(ADDRESS(ref!$K$5,ref!F7,1,,CELL("contenu",$AA$2))))</f>
        <v/>
      </c>
      <c r="L8" s="4" t="str">
        <f ca="1">CELL("contenu",INDIRECT(ADDRESS(ref!$K$5,ref!G7,1,,CELL("contenu",$AA$2))))</f>
        <v>B</v>
      </c>
      <c r="M8" s="5" t="str">
        <f ca="1">CELL("contenu",INDIRECT(ADDRESS(ref!$K$5,ref!H7,1,,CELL("contenu",$AA$2))))</f>
        <v>C</v>
      </c>
      <c r="N8" s="6" t="str">
        <f ca="1">CELL("contenu",INDIRECT(ADDRESS(ref!$K$6,ref!E7,1,,CELL("contenu",$AA$2))))</f>
        <v>C</v>
      </c>
      <c r="O8" s="3" t="str">
        <f ca="1">CELL("contenu",INDIRECT(ADDRESS(ref!$K$6,ref!F7,1,,CELL("contenu",$AA$2))))</f>
        <v>B</v>
      </c>
      <c r="P8" s="4" t="str">
        <f ca="1">CELL("contenu",INDIRECT(ADDRESS(ref!$K$6,ref!G7,1,,CELL("contenu",$AA$2))))</f>
        <v>B</v>
      </c>
      <c r="Q8" s="5" t="str">
        <f ca="1">CELL("contenu",INDIRECT(ADDRESS(ref!$K$6,ref!H7,1,,CELL("contenu",$AA$2))))</f>
        <v>B</v>
      </c>
      <c r="R8" s="6" t="str">
        <f ca="1">CELL("contenu",INDIRECT(ADDRESS(ref!$K$7,ref!E7,1,,CELL("contenu",$AA$2))))</f>
        <v/>
      </c>
      <c r="S8" s="3" t="str">
        <f ca="1">CELL("contenu",INDIRECT(ADDRESS(ref!$K$7,ref!F7,1,,CELL("contenu",$AA$2))))</f>
        <v/>
      </c>
      <c r="T8" s="4" t="str">
        <f ca="1">CELL("contenu",INDIRECT(ADDRESS(ref!$K$7,ref!G7,1,,CELL("contenu",$AA$2))))</f>
        <v/>
      </c>
      <c r="U8" s="5" t="str">
        <f ca="1">CELL("contenu",INDIRECT(ADDRESS(ref!$K$7,ref!H7,1,,CELL("contenu",$AA$2))))</f>
        <v/>
      </c>
      <c r="V8" s="49">
        <f ca="1">CELL("contenu",INDIRECT(ADDRESS(ref!$K$8,ref!E7,1,,CELL("contenu",$AA$2))))</f>
        <v>7.5</v>
      </c>
      <c r="W8" s="50">
        <f ca="1">CELL("contenu",INDIRECT(ADDRESS(ref!$K$8,ref!F7,1,,CELL("contenu",$AA$2))))</f>
        <v>17.5</v>
      </c>
      <c r="X8" s="51">
        <f ca="1">CELL("contenu",INDIRECT(ADDRESS(ref!$K$8,ref!G7,1,,CELL("contenu",$AA$2))))</f>
        <v>20.625</v>
      </c>
      <c r="Y8" s="21" t="str">
        <f ca="1">CELL("contenu",INDIRECT(ADDRESS(ref!$K$9,ref!H7,1,,CELL("contenu",$AA$2))))</f>
        <v>A</v>
      </c>
    </row>
    <row r="9" spans="1:27" x14ac:dyDescent="0.25">
      <c r="A9" s="59" t="str">
        <f t="shared" ca="1" si="0"/>
        <v>COSTA Jose</v>
      </c>
      <c r="B9" s="2" t="str">
        <f ca="1">CELL("contenu",INDIRECT(ADDRESS(ref!$K$3,ref!E8,1,,CELL("contenu",$AA$2))))</f>
        <v/>
      </c>
      <c r="C9" s="3" t="str">
        <f ca="1">CELL("contenu",INDIRECT(ADDRESS(ref!$K$3,ref!F8,1,,CELL("contenu",$AA$2))))</f>
        <v>C</v>
      </c>
      <c r="D9" s="4" t="str">
        <f ca="1">CELL("contenu",INDIRECT(ADDRESS(ref!$K$3,ref!G8,1,,CELL("contenu",$AA$2))))</f>
        <v>D</v>
      </c>
      <c r="E9" s="5" t="str">
        <f ca="1">CELL("contenu",INDIRECT(ADDRESS(ref!$K$3,ref!H8,1,,CELL("contenu",$AA$2))))</f>
        <v>C</v>
      </c>
      <c r="F9" s="6" t="str">
        <f ca="1">CELL("contenu",INDIRECT(ADDRESS(ref!$K$4,ref!E8,1,,CELL("contenu",$AA$2))))</f>
        <v/>
      </c>
      <c r="G9" s="3" t="str">
        <f ca="1">CELL("contenu",INDIRECT(ADDRESS(ref!$K$4,ref!F8,1,,CELL("contenu",$AA$2))))</f>
        <v>C</v>
      </c>
      <c r="H9" s="4" t="str">
        <f ca="1">CELL("contenu",INDIRECT(ADDRESS(ref!$K$4,ref!G8,1,,CELL("contenu",$AA$2))))</f>
        <v>A</v>
      </c>
      <c r="I9" s="5" t="str">
        <f ca="1">CELL("contenu",INDIRECT(ADDRESS(ref!$K$4,ref!H8,1,,CELL("contenu",$AA$2))))</f>
        <v>C</v>
      </c>
      <c r="J9" s="6" t="str">
        <f ca="1">CELL("contenu",INDIRECT(ADDRESS(ref!$K$5,ref!E8,1,,CELL("contenu",$AA$2))))</f>
        <v>C</v>
      </c>
      <c r="K9" s="3" t="str">
        <f ca="1">CELL("contenu",INDIRECT(ADDRESS(ref!$K$5,ref!F8,1,,CELL("contenu",$AA$2))))</f>
        <v/>
      </c>
      <c r="L9" s="4" t="str">
        <f ca="1">CELL("contenu",INDIRECT(ADDRESS(ref!$K$5,ref!G8,1,,CELL("contenu",$AA$2))))</f>
        <v>B</v>
      </c>
      <c r="M9" s="5" t="str">
        <f ca="1">CELL("contenu",INDIRECT(ADDRESS(ref!$K$5,ref!H8,1,,CELL("contenu",$AA$2))))</f>
        <v>C</v>
      </c>
      <c r="N9" s="6" t="str">
        <f ca="1">CELL("contenu",INDIRECT(ADDRESS(ref!$K$6,ref!E8,1,,CELL("contenu",$AA$2))))</f>
        <v>D</v>
      </c>
      <c r="O9" s="3" t="str">
        <f ca="1">CELL("contenu",INDIRECT(ADDRESS(ref!$K$6,ref!F8,1,,CELL("contenu",$AA$2))))</f>
        <v>D</v>
      </c>
      <c r="P9" s="4" t="str">
        <f ca="1">CELL("contenu",INDIRECT(ADDRESS(ref!$K$6,ref!G8,1,,CELL("contenu",$AA$2))))</f>
        <v>C</v>
      </c>
      <c r="Q9" s="5" t="str">
        <f ca="1">CELL("contenu",INDIRECT(ADDRESS(ref!$K$6,ref!H8,1,,CELL("contenu",$AA$2))))</f>
        <v>C</v>
      </c>
      <c r="R9" s="6" t="str">
        <f ca="1">CELL("contenu",INDIRECT(ADDRESS(ref!$K$7,ref!E8,1,,CELL("contenu",$AA$2))))</f>
        <v/>
      </c>
      <c r="S9" s="3" t="str">
        <f ca="1">CELL("contenu",INDIRECT(ADDRESS(ref!$K$7,ref!F8,1,,CELL("contenu",$AA$2))))</f>
        <v/>
      </c>
      <c r="T9" s="4" t="str">
        <f ca="1">CELL("contenu",INDIRECT(ADDRESS(ref!$K$7,ref!G8,1,,CELL("contenu",$AA$2))))</f>
        <v/>
      </c>
      <c r="U9" s="5" t="str">
        <f ca="1">CELL("contenu",INDIRECT(ADDRESS(ref!$K$7,ref!H8,1,,CELL("contenu",$AA$2))))</f>
        <v/>
      </c>
      <c r="V9" s="49">
        <f ca="1">CELL("contenu",INDIRECT(ADDRESS(ref!$K$8,ref!E8,1,,CELL("contenu",$AA$2))))</f>
        <v>7.5</v>
      </c>
      <c r="W9" s="50">
        <f ca="1">CELL("contenu",INDIRECT(ADDRESS(ref!$K$8,ref!F8,1,,CELL("contenu",$AA$2))))</f>
        <v>10</v>
      </c>
      <c r="X9" s="51">
        <f ca="1">CELL("contenu",INDIRECT(ADDRESS(ref!$K$8,ref!G8,1,,CELL("contenu",$AA$2))))</f>
        <v>12.5</v>
      </c>
      <c r="Y9" s="21" t="str">
        <f ca="1">CELL("contenu",INDIRECT(ADDRESS(ref!$K$9,ref!H8,1,,CELL("contenu",$AA$2))))</f>
        <v>C</v>
      </c>
    </row>
    <row r="10" spans="1:27" x14ac:dyDescent="0.25">
      <c r="A10" s="59" t="str">
        <f t="shared" ca="1" si="0"/>
        <v>DE GERMAY Paul</v>
      </c>
      <c r="B10" s="2" t="str">
        <f ca="1">CELL("contenu",INDIRECT(ADDRESS(ref!$K$3,ref!E9,1,,CELL("contenu",$AA$2))))</f>
        <v/>
      </c>
      <c r="C10" s="3" t="str">
        <f ca="1">CELL("contenu",INDIRECT(ADDRESS(ref!$K$3,ref!F9,1,,CELL("contenu",$AA$2))))</f>
        <v>A</v>
      </c>
      <c r="D10" s="4" t="str">
        <f ca="1">CELL("contenu",INDIRECT(ADDRESS(ref!$K$3,ref!G9,1,,CELL("contenu",$AA$2))))</f>
        <v>C</v>
      </c>
      <c r="E10" s="5" t="str">
        <f ca="1">CELL("contenu",INDIRECT(ADDRESS(ref!$K$3,ref!H9,1,,CELL("contenu",$AA$2))))</f>
        <v>B</v>
      </c>
      <c r="F10" s="6" t="str">
        <f ca="1">CELL("contenu",INDIRECT(ADDRESS(ref!$K$4,ref!E9,1,,CELL("contenu",$AA$2))))</f>
        <v/>
      </c>
      <c r="G10" s="3" t="str">
        <f ca="1">CELL("contenu",INDIRECT(ADDRESS(ref!$K$4,ref!F9,1,,CELL("contenu",$AA$2))))</f>
        <v>A</v>
      </c>
      <c r="H10" s="4" t="str">
        <f ca="1">CELL("contenu",INDIRECT(ADDRESS(ref!$K$4,ref!G9,1,,CELL("contenu",$AA$2))))</f>
        <v>A</v>
      </c>
      <c r="I10" s="5" t="str">
        <f ca="1">CELL("contenu",INDIRECT(ADDRESS(ref!$K$4,ref!H9,1,,CELL("contenu",$AA$2))))</f>
        <v>B</v>
      </c>
      <c r="J10" s="6" t="str">
        <f ca="1">CELL("contenu",INDIRECT(ADDRESS(ref!$K$5,ref!E9,1,,CELL("contenu",$AA$2))))</f>
        <v>B</v>
      </c>
      <c r="K10" s="3" t="str">
        <f ca="1">CELL("contenu",INDIRECT(ADDRESS(ref!$K$5,ref!F9,1,,CELL("contenu",$AA$2))))</f>
        <v/>
      </c>
      <c r="L10" s="4" t="str">
        <f ca="1">CELL("contenu",INDIRECT(ADDRESS(ref!$K$5,ref!G9,1,,CELL("contenu",$AA$2))))</f>
        <v>B</v>
      </c>
      <c r="M10" s="5" t="str">
        <f ca="1">CELL("contenu",INDIRECT(ADDRESS(ref!$K$5,ref!H9,1,,CELL("contenu",$AA$2))))</f>
        <v>B</v>
      </c>
      <c r="N10" s="6" t="str">
        <f ca="1">CELL("contenu",INDIRECT(ADDRESS(ref!$K$6,ref!E9,1,,CELL("contenu",$AA$2))))</f>
        <v>A</v>
      </c>
      <c r="O10" s="3" t="str">
        <f ca="1">CELL("contenu",INDIRECT(ADDRESS(ref!$K$6,ref!F9,1,,CELL("contenu",$AA$2))))</f>
        <v>B</v>
      </c>
      <c r="P10" s="4" t="str">
        <f ca="1">CELL("contenu",INDIRECT(ADDRESS(ref!$K$6,ref!G9,1,,CELL("contenu",$AA$2))))</f>
        <v>B</v>
      </c>
      <c r="Q10" s="5" t="str">
        <f ca="1">CELL("contenu",INDIRECT(ADDRESS(ref!$K$6,ref!H9,1,,CELL("contenu",$AA$2))))</f>
        <v>B</v>
      </c>
      <c r="R10" s="6" t="str">
        <f ca="1">CELL("contenu",INDIRECT(ADDRESS(ref!$K$7,ref!E9,1,,CELL("contenu",$AA$2))))</f>
        <v/>
      </c>
      <c r="S10" s="3" t="str">
        <f ca="1">CELL("contenu",INDIRECT(ADDRESS(ref!$K$7,ref!F9,1,,CELL("contenu",$AA$2))))</f>
        <v/>
      </c>
      <c r="T10" s="4" t="str">
        <f ca="1">CELL("contenu",INDIRECT(ADDRESS(ref!$K$7,ref!G9,1,,CELL("contenu",$AA$2))))</f>
        <v/>
      </c>
      <c r="U10" s="5" t="str">
        <f ca="1">CELL("contenu",INDIRECT(ADDRESS(ref!$K$7,ref!H9,1,,CELL("contenu",$AA$2))))</f>
        <v/>
      </c>
      <c r="V10" s="49">
        <f ca="1">CELL("contenu",INDIRECT(ADDRESS(ref!$K$8,ref!E9,1,,CELL("contenu",$AA$2))))</f>
        <v>17.5</v>
      </c>
      <c r="W10" s="50">
        <f ca="1">CELL("contenu",INDIRECT(ADDRESS(ref!$K$8,ref!F9,1,,CELL("contenu",$AA$2))))</f>
        <v>19.166666666666668</v>
      </c>
      <c r="X10" s="51">
        <f ca="1">CELL("contenu",INDIRECT(ADDRESS(ref!$K$8,ref!G9,1,,CELL("contenu",$AA$2))))</f>
        <v>17.916666666666668</v>
      </c>
      <c r="Y10" s="21" t="str">
        <f ca="1">CELL("contenu",INDIRECT(ADDRESS(ref!$K$9,ref!H9,1,,CELL("contenu",$AA$2))))</f>
        <v>B</v>
      </c>
    </row>
    <row r="11" spans="1:27" x14ac:dyDescent="0.25">
      <c r="A11" s="59" t="str">
        <f t="shared" ca="1" si="0"/>
        <v>DE PONCHEVILLE Aliette</v>
      </c>
      <c r="B11" s="2" t="str">
        <f ca="1">CELL("contenu",INDIRECT(ADDRESS(ref!$K$3,ref!E10,1,,CELL("contenu",$AA$2))))</f>
        <v/>
      </c>
      <c r="C11" s="3" t="str">
        <f ca="1">CELL("contenu",INDIRECT(ADDRESS(ref!$K$3,ref!F10,1,,CELL("contenu",$AA$2))))</f>
        <v>A</v>
      </c>
      <c r="D11" s="4" t="str">
        <f ca="1">CELL("contenu",INDIRECT(ADDRESS(ref!$K$3,ref!G10,1,,CELL("contenu",$AA$2))))</f>
        <v>A</v>
      </c>
      <c r="E11" s="5" t="str">
        <f ca="1">CELL("contenu",INDIRECT(ADDRESS(ref!$K$3,ref!H10,1,,CELL("contenu",$AA$2))))</f>
        <v>A</v>
      </c>
      <c r="F11" s="6" t="str">
        <f ca="1">CELL("contenu",INDIRECT(ADDRESS(ref!$K$4,ref!E10,1,,CELL("contenu",$AA$2))))</f>
        <v/>
      </c>
      <c r="G11" s="3" t="str">
        <f ca="1">CELL("contenu",INDIRECT(ADDRESS(ref!$K$4,ref!F10,1,,CELL("contenu",$AA$2))))</f>
        <v>A</v>
      </c>
      <c r="H11" s="4" t="str">
        <f ca="1">CELL("contenu",INDIRECT(ADDRESS(ref!$K$4,ref!G10,1,,CELL("contenu",$AA$2))))</f>
        <v>A</v>
      </c>
      <c r="I11" s="5" t="str">
        <f ca="1">CELL("contenu",INDIRECT(ADDRESS(ref!$K$4,ref!H10,1,,CELL("contenu",$AA$2))))</f>
        <v>B</v>
      </c>
      <c r="J11" s="6" t="str">
        <f ca="1">CELL("contenu",INDIRECT(ADDRESS(ref!$K$5,ref!E10,1,,CELL("contenu",$AA$2))))</f>
        <v/>
      </c>
      <c r="K11" s="3" t="str">
        <f ca="1">CELL("contenu",INDIRECT(ADDRESS(ref!$K$5,ref!F10,1,,CELL("contenu",$AA$2))))</f>
        <v/>
      </c>
      <c r="L11" s="4" t="str">
        <f ca="1">CELL("contenu",INDIRECT(ADDRESS(ref!$K$5,ref!G10,1,,CELL("contenu",$AA$2))))</f>
        <v>B</v>
      </c>
      <c r="M11" s="5" t="str">
        <f ca="1">CELL("contenu",INDIRECT(ADDRESS(ref!$K$5,ref!H10,1,,CELL("contenu",$AA$2))))</f>
        <v>B</v>
      </c>
      <c r="N11" s="6" t="str">
        <f ca="1">CELL("contenu",INDIRECT(ADDRESS(ref!$K$6,ref!E10,1,,CELL("contenu",$AA$2))))</f>
        <v/>
      </c>
      <c r="O11" s="3" t="str">
        <f ca="1">CELL("contenu",INDIRECT(ADDRESS(ref!$K$6,ref!F10,1,,CELL("contenu",$AA$2))))</f>
        <v>A</v>
      </c>
      <c r="P11" s="4" t="str">
        <f ca="1">CELL("contenu",INDIRECT(ADDRESS(ref!$K$6,ref!G10,1,,CELL("contenu",$AA$2))))</f>
        <v>C</v>
      </c>
      <c r="Q11" s="5" t="str">
        <f ca="1">CELL("contenu",INDIRECT(ADDRESS(ref!$K$6,ref!H10,1,,CELL("contenu",$AA$2))))</f>
        <v>C</v>
      </c>
      <c r="R11" s="6" t="str">
        <f ca="1">CELL("contenu",INDIRECT(ADDRESS(ref!$K$7,ref!E10,1,,CELL("contenu",$AA$2))))</f>
        <v/>
      </c>
      <c r="S11" s="3" t="str">
        <f ca="1">CELL("contenu",INDIRECT(ADDRESS(ref!$K$7,ref!F10,1,,CELL("contenu",$AA$2))))</f>
        <v/>
      </c>
      <c r="T11" s="4" t="str">
        <f ca="1">CELL("contenu",INDIRECT(ADDRESS(ref!$K$7,ref!G10,1,,CELL("contenu",$AA$2))))</f>
        <v/>
      </c>
      <c r="U11" s="5" t="str">
        <f ca="1">CELL("contenu",INDIRECT(ADDRESS(ref!$K$7,ref!H10,1,,CELL("contenu",$AA$2))))</f>
        <v/>
      </c>
      <c r="V11" s="49" t="str">
        <f ca="1">CELL("contenu",INDIRECT(ADDRESS(ref!$K$8,ref!E10,1,,CELL("contenu",$AA$2))))</f>
        <v/>
      </c>
      <c r="W11" s="50">
        <f ca="1">CELL("contenu",INDIRECT(ADDRESS(ref!$K$8,ref!F10,1,,CELL("contenu",$AA$2))))</f>
        <v>20</v>
      </c>
      <c r="X11" s="51">
        <f ca="1">CELL("contenu",INDIRECT(ADDRESS(ref!$K$8,ref!G10,1,,CELL("contenu",$AA$2))))</f>
        <v>20.208333333333336</v>
      </c>
      <c r="Y11" s="21" t="str">
        <f ca="1">CELL("contenu",INDIRECT(ADDRESS(ref!$K$9,ref!H10,1,,CELL("contenu",$AA$2))))</f>
        <v>B</v>
      </c>
    </row>
    <row r="12" spans="1:27" x14ac:dyDescent="0.25">
      <c r="A12" s="59" t="str">
        <f t="shared" ca="1" si="0"/>
        <v>DUFOUR Nehemie</v>
      </c>
      <c r="B12" s="2" t="str">
        <f ca="1">CELL("contenu",INDIRECT(ADDRESS(ref!$K$3,ref!E11,1,,CELL("contenu",$AA$2))))</f>
        <v/>
      </c>
      <c r="C12" s="3" t="str">
        <f ca="1">CELL("contenu",INDIRECT(ADDRESS(ref!$K$3,ref!F11,1,,CELL("contenu",$AA$2))))</f>
        <v>B</v>
      </c>
      <c r="D12" s="4" t="str">
        <f ca="1">CELL("contenu",INDIRECT(ADDRESS(ref!$K$3,ref!G11,1,,CELL("contenu",$AA$2))))</f>
        <v>A</v>
      </c>
      <c r="E12" s="5" t="str">
        <f ca="1">CELL("contenu",INDIRECT(ADDRESS(ref!$K$3,ref!H11,1,,CELL("contenu",$AA$2))))</f>
        <v>A</v>
      </c>
      <c r="F12" s="6" t="str">
        <f ca="1">CELL("contenu",INDIRECT(ADDRESS(ref!$K$4,ref!E11,1,,CELL("contenu",$AA$2))))</f>
        <v/>
      </c>
      <c r="G12" s="3" t="str">
        <f ca="1">CELL("contenu",INDIRECT(ADDRESS(ref!$K$4,ref!F11,1,,CELL("contenu",$AA$2))))</f>
        <v>A</v>
      </c>
      <c r="H12" s="4" t="str">
        <f ca="1">CELL("contenu",INDIRECT(ADDRESS(ref!$K$4,ref!G11,1,,CELL("contenu",$AA$2))))</f>
        <v>A</v>
      </c>
      <c r="I12" s="5" t="str">
        <f ca="1">CELL("contenu",INDIRECT(ADDRESS(ref!$K$4,ref!H11,1,,CELL("contenu",$AA$2))))</f>
        <v>B</v>
      </c>
      <c r="J12" s="6" t="str">
        <f ca="1">CELL("contenu",INDIRECT(ADDRESS(ref!$K$5,ref!E11,1,,CELL("contenu",$AA$2))))</f>
        <v>C</v>
      </c>
      <c r="K12" s="3" t="str">
        <f ca="1">CELL("contenu",INDIRECT(ADDRESS(ref!$K$5,ref!F11,1,,CELL("contenu",$AA$2))))</f>
        <v/>
      </c>
      <c r="L12" s="4" t="str">
        <f ca="1">CELL("contenu",INDIRECT(ADDRESS(ref!$K$5,ref!G11,1,,CELL("contenu",$AA$2))))</f>
        <v>C</v>
      </c>
      <c r="M12" s="5" t="str">
        <f ca="1">CELL("contenu",INDIRECT(ADDRESS(ref!$K$5,ref!H11,1,,CELL("contenu",$AA$2))))</f>
        <v>C</v>
      </c>
      <c r="N12" s="6" t="str">
        <f ca="1">CELL("contenu",INDIRECT(ADDRESS(ref!$K$6,ref!E11,1,,CELL("contenu",$AA$2))))</f>
        <v>C</v>
      </c>
      <c r="O12" s="3" t="str">
        <f ca="1">CELL("contenu",INDIRECT(ADDRESS(ref!$K$6,ref!F11,1,,CELL("contenu",$AA$2))))</f>
        <v>B</v>
      </c>
      <c r="P12" s="4" t="str">
        <f ca="1">CELL("contenu",INDIRECT(ADDRESS(ref!$K$6,ref!G11,1,,CELL("contenu",$AA$2))))</f>
        <v>B</v>
      </c>
      <c r="Q12" s="5" t="str">
        <f ca="1">CELL("contenu",INDIRECT(ADDRESS(ref!$K$6,ref!H11,1,,CELL("contenu",$AA$2))))</f>
        <v>B</v>
      </c>
      <c r="R12" s="6" t="str">
        <f ca="1">CELL("contenu",INDIRECT(ADDRESS(ref!$K$7,ref!E11,1,,CELL("contenu",$AA$2))))</f>
        <v/>
      </c>
      <c r="S12" s="3" t="str">
        <f ca="1">CELL("contenu",INDIRECT(ADDRESS(ref!$K$7,ref!F11,1,,CELL("contenu",$AA$2))))</f>
        <v/>
      </c>
      <c r="T12" s="4" t="str">
        <f ca="1">CELL("contenu",INDIRECT(ADDRESS(ref!$K$7,ref!G11,1,,CELL("contenu",$AA$2))))</f>
        <v/>
      </c>
      <c r="U12" s="5" t="str">
        <f ca="1">CELL("contenu",INDIRECT(ADDRESS(ref!$K$7,ref!H11,1,,CELL("contenu",$AA$2))))</f>
        <v/>
      </c>
      <c r="V12" s="49">
        <f ca="1">CELL("contenu",INDIRECT(ADDRESS(ref!$K$8,ref!E11,1,,CELL("contenu",$AA$2))))</f>
        <v>10</v>
      </c>
      <c r="W12" s="50">
        <f ca="1">CELL("contenu",INDIRECT(ADDRESS(ref!$K$8,ref!F11,1,,CELL("contenu",$AA$2))))</f>
        <v>18.333333333333332</v>
      </c>
      <c r="X12" s="51">
        <f ca="1">CELL("contenu",INDIRECT(ADDRESS(ref!$K$8,ref!G11,1,,CELL("contenu",$AA$2))))</f>
        <v>19.6875</v>
      </c>
      <c r="Y12" s="21" t="str">
        <f ca="1">CELL("contenu",INDIRECT(ADDRESS(ref!$K$9,ref!H11,1,,CELL("contenu",$AA$2))))</f>
        <v>A</v>
      </c>
    </row>
    <row r="13" spans="1:27" x14ac:dyDescent="0.25">
      <c r="A13" s="59" t="str">
        <f t="shared" ca="1" si="0"/>
        <v>GALENNE--PARISOT Titouan</v>
      </c>
      <c r="B13" s="2" t="str">
        <f ca="1">CELL("contenu",INDIRECT(ADDRESS(ref!$K$3,ref!E12,1,,CELL("contenu",$AA$2))))</f>
        <v/>
      </c>
      <c r="C13" s="3" t="str">
        <f ca="1">CELL("contenu",INDIRECT(ADDRESS(ref!$K$3,ref!F12,1,,CELL("contenu",$AA$2))))</f>
        <v>A</v>
      </c>
      <c r="D13" s="4" t="str">
        <f ca="1">CELL("contenu",INDIRECT(ADDRESS(ref!$K$3,ref!G12,1,,CELL("contenu",$AA$2))))</f>
        <v>A</v>
      </c>
      <c r="E13" s="5" t="str">
        <f ca="1">CELL("contenu",INDIRECT(ADDRESS(ref!$K$3,ref!H12,1,,CELL("contenu",$AA$2))))</f>
        <v>A</v>
      </c>
      <c r="F13" s="6" t="str">
        <f ca="1">CELL("contenu",INDIRECT(ADDRESS(ref!$K$4,ref!E12,1,,CELL("contenu",$AA$2))))</f>
        <v/>
      </c>
      <c r="G13" s="3" t="str">
        <f ca="1">CELL("contenu",INDIRECT(ADDRESS(ref!$K$4,ref!F12,1,,CELL("contenu",$AA$2))))</f>
        <v>A</v>
      </c>
      <c r="H13" s="4" t="str">
        <f ca="1">CELL("contenu",INDIRECT(ADDRESS(ref!$K$4,ref!G12,1,,CELL("contenu",$AA$2))))</f>
        <v>A</v>
      </c>
      <c r="I13" s="5" t="str">
        <f ca="1">CELL("contenu",INDIRECT(ADDRESS(ref!$K$4,ref!H12,1,,CELL("contenu",$AA$2))))</f>
        <v>B</v>
      </c>
      <c r="J13" s="6" t="str">
        <f ca="1">CELL("contenu",INDIRECT(ADDRESS(ref!$K$5,ref!E12,1,,CELL("contenu",$AA$2))))</f>
        <v>B</v>
      </c>
      <c r="K13" s="3" t="str">
        <f ca="1">CELL("contenu",INDIRECT(ADDRESS(ref!$K$5,ref!F12,1,,CELL("contenu",$AA$2))))</f>
        <v/>
      </c>
      <c r="L13" s="4" t="str">
        <f ca="1">CELL("contenu",INDIRECT(ADDRESS(ref!$K$5,ref!G12,1,,CELL("contenu",$AA$2))))</f>
        <v>A</v>
      </c>
      <c r="M13" s="5" t="str">
        <f ca="1">CELL("contenu",INDIRECT(ADDRESS(ref!$K$5,ref!H12,1,,CELL("contenu",$AA$2))))</f>
        <v>B</v>
      </c>
      <c r="N13" s="6" t="str">
        <f ca="1">CELL("contenu",INDIRECT(ADDRESS(ref!$K$6,ref!E12,1,,CELL("contenu",$AA$2))))</f>
        <v>B</v>
      </c>
      <c r="O13" s="3" t="str">
        <f ca="1">CELL("contenu",INDIRECT(ADDRESS(ref!$K$6,ref!F12,1,,CELL("contenu",$AA$2))))</f>
        <v>B</v>
      </c>
      <c r="P13" s="4" t="str">
        <f ca="1">CELL("contenu",INDIRECT(ADDRESS(ref!$K$6,ref!G12,1,,CELL("contenu",$AA$2))))</f>
        <v>C</v>
      </c>
      <c r="Q13" s="5" t="str">
        <f ca="1">CELL("contenu",INDIRECT(ADDRESS(ref!$K$6,ref!H12,1,,CELL("contenu",$AA$2))))</f>
        <v>B</v>
      </c>
      <c r="R13" s="6" t="str">
        <f ca="1">CELL("contenu",INDIRECT(ADDRESS(ref!$K$7,ref!E12,1,,CELL("contenu",$AA$2))))</f>
        <v/>
      </c>
      <c r="S13" s="3" t="str">
        <f ca="1">CELL("contenu",INDIRECT(ADDRESS(ref!$K$7,ref!F12,1,,CELL("contenu",$AA$2))))</f>
        <v/>
      </c>
      <c r="T13" s="4" t="str">
        <f ca="1">CELL("contenu",INDIRECT(ADDRESS(ref!$K$7,ref!G12,1,,CELL("contenu",$AA$2))))</f>
        <v/>
      </c>
      <c r="U13" s="5" t="str">
        <f ca="1">CELL("contenu",INDIRECT(ADDRESS(ref!$K$7,ref!H12,1,,CELL("contenu",$AA$2))))</f>
        <v/>
      </c>
      <c r="V13" s="49">
        <f ca="1">CELL("contenu",INDIRECT(ADDRESS(ref!$K$8,ref!E12,1,,CELL("contenu",$AA$2))))</f>
        <v>15</v>
      </c>
      <c r="W13" s="50">
        <f ca="1">CELL("contenu",INDIRECT(ADDRESS(ref!$K$8,ref!F12,1,,CELL("contenu",$AA$2))))</f>
        <v>19.166666666666668</v>
      </c>
      <c r="X13" s="51">
        <f ca="1">CELL("contenu",INDIRECT(ADDRESS(ref!$K$8,ref!G12,1,,CELL("contenu",$AA$2))))</f>
        <v>22.395833333333336</v>
      </c>
      <c r="Y13" s="21" t="str">
        <f ca="1">CELL("contenu",INDIRECT(ADDRESS(ref!$K$9,ref!H12,1,,CELL("contenu",$AA$2))))</f>
        <v>A</v>
      </c>
    </row>
    <row r="14" spans="1:27" x14ac:dyDescent="0.25">
      <c r="A14" s="59" t="str">
        <f t="shared" ca="1" si="0"/>
        <v>IMHOFF Dorian</v>
      </c>
      <c r="B14" s="2" t="str">
        <f ca="1">CELL("contenu",INDIRECT(ADDRESS(ref!$K$3,ref!E13,1,,CELL("contenu",$AA$2))))</f>
        <v/>
      </c>
      <c r="C14" s="3" t="str">
        <f ca="1">CELL("contenu",INDIRECT(ADDRESS(ref!$K$3,ref!F13,1,,CELL("contenu",$AA$2))))</f>
        <v>C</v>
      </c>
      <c r="D14" s="4" t="str">
        <f ca="1">CELL("contenu",INDIRECT(ADDRESS(ref!$K$3,ref!G13,1,,CELL("contenu",$AA$2))))</f>
        <v>A</v>
      </c>
      <c r="E14" s="5" t="str">
        <f ca="1">CELL("contenu",INDIRECT(ADDRESS(ref!$K$3,ref!H13,1,,CELL("contenu",$AA$2))))</f>
        <v>C</v>
      </c>
      <c r="F14" s="6" t="str">
        <f ca="1">CELL("contenu",INDIRECT(ADDRESS(ref!$K$4,ref!E13,1,,CELL("contenu",$AA$2))))</f>
        <v/>
      </c>
      <c r="G14" s="3" t="str">
        <f ca="1">CELL("contenu",INDIRECT(ADDRESS(ref!$K$4,ref!F13,1,,CELL("contenu",$AA$2))))</f>
        <v>C</v>
      </c>
      <c r="H14" s="4" t="str">
        <f ca="1">CELL("contenu",INDIRECT(ADDRESS(ref!$K$4,ref!G13,1,,CELL("contenu",$AA$2))))</f>
        <v>A</v>
      </c>
      <c r="I14" s="5" t="str">
        <f ca="1">CELL("contenu",INDIRECT(ADDRESS(ref!$K$4,ref!H13,1,,CELL("contenu",$AA$2))))</f>
        <v>B</v>
      </c>
      <c r="J14" s="6" t="str">
        <f ca="1">CELL("contenu",INDIRECT(ADDRESS(ref!$K$5,ref!E13,1,,CELL("contenu",$AA$2))))</f>
        <v>C</v>
      </c>
      <c r="K14" s="3" t="str">
        <f ca="1">CELL("contenu",INDIRECT(ADDRESS(ref!$K$5,ref!F13,1,,CELL("contenu",$AA$2))))</f>
        <v/>
      </c>
      <c r="L14" s="4" t="str">
        <f ca="1">CELL("contenu",INDIRECT(ADDRESS(ref!$K$5,ref!G13,1,,CELL("contenu",$AA$2))))</f>
        <v>A</v>
      </c>
      <c r="M14" s="5" t="str">
        <f ca="1">CELL("contenu",INDIRECT(ADDRESS(ref!$K$5,ref!H13,1,,CELL("contenu",$AA$2))))</f>
        <v>B</v>
      </c>
      <c r="N14" s="6" t="str">
        <f ca="1">CELL("contenu",INDIRECT(ADDRESS(ref!$K$6,ref!E13,1,,CELL("contenu",$AA$2))))</f>
        <v>D</v>
      </c>
      <c r="O14" s="3" t="str">
        <f ca="1">CELL("contenu",INDIRECT(ADDRESS(ref!$K$6,ref!F13,1,,CELL("contenu",$AA$2))))</f>
        <v>D</v>
      </c>
      <c r="P14" s="4" t="str">
        <f ca="1">CELL("contenu",INDIRECT(ADDRESS(ref!$K$6,ref!G13,1,,CELL("contenu",$AA$2))))</f>
        <v>C</v>
      </c>
      <c r="Q14" s="5" t="str">
        <f ca="1">CELL("contenu",INDIRECT(ADDRESS(ref!$K$6,ref!H13,1,,CELL("contenu",$AA$2))))</f>
        <v>D</v>
      </c>
      <c r="R14" s="6" t="str">
        <f ca="1">CELL("contenu",INDIRECT(ADDRESS(ref!$K$7,ref!E13,1,,CELL("contenu",$AA$2))))</f>
        <v/>
      </c>
      <c r="S14" s="3" t="str">
        <f ca="1">CELL("contenu",INDIRECT(ADDRESS(ref!$K$7,ref!F13,1,,CELL("contenu",$AA$2))))</f>
        <v/>
      </c>
      <c r="T14" s="4" t="str">
        <f ca="1">CELL("contenu",INDIRECT(ADDRESS(ref!$K$7,ref!G13,1,,CELL("contenu",$AA$2))))</f>
        <v/>
      </c>
      <c r="U14" s="5" t="str">
        <f ca="1">CELL("contenu",INDIRECT(ADDRESS(ref!$K$7,ref!H13,1,,CELL("contenu",$AA$2))))</f>
        <v/>
      </c>
      <c r="V14" s="49">
        <f ca="1">CELL("contenu",INDIRECT(ADDRESS(ref!$K$8,ref!E13,1,,CELL("contenu",$AA$2))))</f>
        <v>7.5</v>
      </c>
      <c r="W14" s="50">
        <f ca="1">CELL("contenu",INDIRECT(ADDRESS(ref!$K$8,ref!F13,1,,CELL("contenu",$AA$2))))</f>
        <v>8.3333333333333339</v>
      </c>
      <c r="X14" s="51">
        <f ca="1">CELL("contenu",INDIRECT(ADDRESS(ref!$K$8,ref!G13,1,,CELL("contenu",$AA$2))))</f>
        <v>20.104166666666664</v>
      </c>
      <c r="Y14" s="21" t="str">
        <f ca="1">CELL("contenu",INDIRECT(ADDRESS(ref!$K$9,ref!H13,1,,CELL("contenu",$AA$2))))</f>
        <v>C</v>
      </c>
    </row>
    <row r="15" spans="1:27" x14ac:dyDescent="0.25">
      <c r="A15" s="59" t="str">
        <f t="shared" ca="1" si="0"/>
        <v>LANGLOIS Agathe</v>
      </c>
      <c r="B15" s="2" t="str">
        <f ca="1">CELL("contenu",INDIRECT(ADDRESS(ref!$K$3,ref!E14,1,,CELL("contenu",$AA$2))))</f>
        <v/>
      </c>
      <c r="C15" s="3" t="str">
        <f ca="1">CELL("contenu",INDIRECT(ADDRESS(ref!$K$3,ref!F14,1,,CELL("contenu",$AA$2))))</f>
        <v>A</v>
      </c>
      <c r="D15" s="4" t="str">
        <f ca="1">CELL("contenu",INDIRECT(ADDRESS(ref!$K$3,ref!G14,1,,CELL("contenu",$AA$2))))</f>
        <v>A</v>
      </c>
      <c r="E15" s="5" t="str">
        <f ca="1">CELL("contenu",INDIRECT(ADDRESS(ref!$K$3,ref!H14,1,,CELL("contenu",$AA$2))))</f>
        <v>A</v>
      </c>
      <c r="F15" s="6" t="str">
        <f ca="1">CELL("contenu",INDIRECT(ADDRESS(ref!$K$4,ref!E14,1,,CELL("contenu",$AA$2))))</f>
        <v/>
      </c>
      <c r="G15" s="3" t="str">
        <f ca="1">CELL("contenu",INDIRECT(ADDRESS(ref!$K$4,ref!F14,1,,CELL("contenu",$AA$2))))</f>
        <v>A</v>
      </c>
      <c r="H15" s="4" t="str">
        <f ca="1">CELL("contenu",INDIRECT(ADDRESS(ref!$K$4,ref!G14,1,,CELL("contenu",$AA$2))))</f>
        <v>A</v>
      </c>
      <c r="I15" s="5" t="str">
        <f ca="1">CELL("contenu",INDIRECT(ADDRESS(ref!$K$4,ref!H14,1,,CELL("contenu",$AA$2))))</f>
        <v>A</v>
      </c>
      <c r="J15" s="6" t="str">
        <f ca="1">CELL("contenu",INDIRECT(ADDRESS(ref!$K$5,ref!E14,1,,CELL("contenu",$AA$2))))</f>
        <v>B</v>
      </c>
      <c r="K15" s="3" t="str">
        <f ca="1">CELL("contenu",INDIRECT(ADDRESS(ref!$K$5,ref!F14,1,,CELL("contenu",$AA$2))))</f>
        <v/>
      </c>
      <c r="L15" s="4" t="str">
        <f ca="1">CELL("contenu",INDIRECT(ADDRESS(ref!$K$5,ref!G14,1,,CELL("contenu",$AA$2))))</f>
        <v>B</v>
      </c>
      <c r="M15" s="5" t="str">
        <f ca="1">CELL("contenu",INDIRECT(ADDRESS(ref!$K$5,ref!H14,1,,CELL("contenu",$AA$2))))</f>
        <v>B</v>
      </c>
      <c r="N15" s="6" t="str">
        <f ca="1">CELL("contenu",INDIRECT(ADDRESS(ref!$K$6,ref!E14,1,,CELL("contenu",$AA$2))))</f>
        <v>B</v>
      </c>
      <c r="O15" s="3" t="str">
        <f ca="1">CELL("contenu",INDIRECT(ADDRESS(ref!$K$6,ref!F14,1,,CELL("contenu",$AA$2))))</f>
        <v>A</v>
      </c>
      <c r="P15" s="4" t="str">
        <f ca="1">CELL("contenu",INDIRECT(ADDRESS(ref!$K$6,ref!G14,1,,CELL("contenu",$AA$2))))</f>
        <v>B</v>
      </c>
      <c r="Q15" s="5" t="str">
        <f ca="1">CELL("contenu",INDIRECT(ADDRESS(ref!$K$6,ref!H14,1,,CELL("contenu",$AA$2))))</f>
        <v>B</v>
      </c>
      <c r="R15" s="6" t="str">
        <f ca="1">CELL("contenu",INDIRECT(ADDRESS(ref!$K$7,ref!E14,1,,CELL("contenu",$AA$2))))</f>
        <v/>
      </c>
      <c r="S15" s="3" t="str">
        <f ca="1">CELL("contenu",INDIRECT(ADDRESS(ref!$K$7,ref!F14,1,,CELL("contenu",$AA$2))))</f>
        <v/>
      </c>
      <c r="T15" s="4" t="str">
        <f ca="1">CELL("contenu",INDIRECT(ADDRESS(ref!$K$7,ref!G14,1,,CELL("contenu",$AA$2))))</f>
        <v/>
      </c>
      <c r="U15" s="5" t="str">
        <f ca="1">CELL("contenu",INDIRECT(ADDRESS(ref!$K$7,ref!H14,1,,CELL("contenu",$AA$2))))</f>
        <v/>
      </c>
      <c r="V15" s="49">
        <f ca="1">CELL("contenu",INDIRECT(ADDRESS(ref!$K$8,ref!E14,1,,CELL("contenu",$AA$2))))</f>
        <v>15</v>
      </c>
      <c r="W15" s="50">
        <f ca="1">CELL("contenu",INDIRECT(ADDRESS(ref!$K$8,ref!F14,1,,CELL("contenu",$AA$2))))</f>
        <v>20</v>
      </c>
      <c r="X15" s="51">
        <f ca="1">CELL("contenu",INDIRECT(ADDRESS(ref!$K$8,ref!G14,1,,CELL("contenu",$AA$2))))</f>
        <v>23.125</v>
      </c>
      <c r="Y15" s="21" t="str">
        <f ca="1">CELL("contenu",INDIRECT(ADDRESS(ref!$K$9,ref!H14,1,,CELL("contenu",$AA$2))))</f>
        <v>A</v>
      </c>
    </row>
    <row r="16" spans="1:27" x14ac:dyDescent="0.25">
      <c r="A16" s="59" t="str">
        <f t="shared" ca="1" si="0"/>
        <v>LASNE Axel</v>
      </c>
      <c r="B16" s="2" t="str">
        <f ca="1">CELL("contenu",INDIRECT(ADDRESS(ref!$K$3,ref!E15,1,,CELL("contenu",$AA$2))))</f>
        <v/>
      </c>
      <c r="C16" s="3" t="str">
        <f ca="1">CELL("contenu",INDIRECT(ADDRESS(ref!$K$3,ref!F15,1,,CELL("contenu",$AA$2))))</f>
        <v>C</v>
      </c>
      <c r="D16" s="4" t="str">
        <f ca="1">CELL("contenu",INDIRECT(ADDRESS(ref!$K$3,ref!G15,1,,CELL("contenu",$AA$2))))</f>
        <v>A</v>
      </c>
      <c r="E16" s="5" t="str">
        <f ca="1">CELL("contenu",INDIRECT(ADDRESS(ref!$K$3,ref!H15,1,,CELL("contenu",$AA$2))))</f>
        <v>C</v>
      </c>
      <c r="F16" s="6" t="str">
        <f ca="1">CELL("contenu",INDIRECT(ADDRESS(ref!$K$4,ref!E15,1,,CELL("contenu",$AA$2))))</f>
        <v/>
      </c>
      <c r="G16" s="3" t="str">
        <f ca="1">CELL("contenu",INDIRECT(ADDRESS(ref!$K$4,ref!F15,1,,CELL("contenu",$AA$2))))</f>
        <v>C</v>
      </c>
      <c r="H16" s="4" t="str">
        <f ca="1">CELL("contenu",INDIRECT(ADDRESS(ref!$K$4,ref!G15,1,,CELL("contenu",$AA$2))))</f>
        <v>A</v>
      </c>
      <c r="I16" s="5" t="str">
        <f ca="1">CELL("contenu",INDIRECT(ADDRESS(ref!$K$4,ref!H15,1,,CELL("contenu",$AA$2))))</f>
        <v>B</v>
      </c>
      <c r="J16" s="6" t="str">
        <f ca="1">CELL("contenu",INDIRECT(ADDRESS(ref!$K$5,ref!E15,1,,CELL("contenu",$AA$2))))</f>
        <v>D</v>
      </c>
      <c r="K16" s="3" t="str">
        <f ca="1">CELL("contenu",INDIRECT(ADDRESS(ref!$K$5,ref!F15,1,,CELL("contenu",$AA$2))))</f>
        <v/>
      </c>
      <c r="L16" s="4" t="str">
        <f ca="1">CELL("contenu",INDIRECT(ADDRESS(ref!$K$5,ref!G15,1,,CELL("contenu",$AA$2))))</f>
        <v>C</v>
      </c>
      <c r="M16" s="5" t="str">
        <f ca="1">CELL("contenu",INDIRECT(ADDRESS(ref!$K$5,ref!H15,1,,CELL("contenu",$AA$2))))</f>
        <v>D</v>
      </c>
      <c r="N16" s="6" t="str">
        <f ca="1">CELL("contenu",INDIRECT(ADDRESS(ref!$K$6,ref!E15,1,,CELL("contenu",$AA$2))))</f>
        <v>D</v>
      </c>
      <c r="O16" s="3" t="str">
        <f ca="1">CELL("contenu",INDIRECT(ADDRESS(ref!$K$6,ref!F15,1,,CELL("contenu",$AA$2))))</f>
        <v>B</v>
      </c>
      <c r="P16" s="4" t="str">
        <f ca="1">CELL("contenu",INDIRECT(ADDRESS(ref!$K$6,ref!G15,1,,CELL("contenu",$AA$2))))</f>
        <v>C</v>
      </c>
      <c r="Q16" s="5" t="str">
        <f ca="1">CELL("contenu",INDIRECT(ADDRESS(ref!$K$6,ref!H15,1,,CELL("contenu",$AA$2))))</f>
        <v>C</v>
      </c>
      <c r="R16" s="6" t="str">
        <f ca="1">CELL("contenu",INDIRECT(ADDRESS(ref!$K$7,ref!E15,1,,CELL("contenu",$AA$2))))</f>
        <v/>
      </c>
      <c r="S16" s="3" t="str">
        <f ca="1">CELL("contenu",INDIRECT(ADDRESS(ref!$K$7,ref!F15,1,,CELL("contenu",$AA$2))))</f>
        <v/>
      </c>
      <c r="T16" s="4" t="str">
        <f ca="1">CELL("contenu",INDIRECT(ADDRESS(ref!$K$7,ref!G15,1,,CELL("contenu",$AA$2))))</f>
        <v/>
      </c>
      <c r="U16" s="5" t="str">
        <f ca="1">CELL("contenu",INDIRECT(ADDRESS(ref!$K$7,ref!H15,1,,CELL("contenu",$AA$2))))</f>
        <v/>
      </c>
      <c r="V16" s="49">
        <f ca="1">CELL("contenu",INDIRECT(ADDRESS(ref!$K$8,ref!E15,1,,CELL("contenu",$AA$2))))</f>
        <v>5</v>
      </c>
      <c r="W16" s="50">
        <f ca="1">CELL("contenu",INDIRECT(ADDRESS(ref!$K$8,ref!F15,1,,CELL("contenu",$AA$2))))</f>
        <v>12.5</v>
      </c>
      <c r="X16" s="51">
        <f ca="1">CELL("contenu",INDIRECT(ADDRESS(ref!$K$8,ref!G15,1,,CELL("contenu",$AA$2))))</f>
        <v>18.125</v>
      </c>
      <c r="Y16" s="21" t="str">
        <f ca="1">CELL("contenu",INDIRECT(ADDRESS(ref!$K$9,ref!H15,1,,CELL("contenu",$AA$2))))</f>
        <v>C</v>
      </c>
    </row>
    <row r="17" spans="1:25" x14ac:dyDescent="0.25">
      <c r="A17" s="59" t="str">
        <f t="shared" ca="1" si="0"/>
        <v>LAURENT Marie</v>
      </c>
      <c r="B17" s="2" t="str">
        <f ca="1">CELL("contenu",INDIRECT(ADDRESS(ref!$K$3,ref!E16,1,,CELL("contenu",$AA$2))))</f>
        <v/>
      </c>
      <c r="C17" s="3" t="str">
        <f ca="1">CELL("contenu",INDIRECT(ADDRESS(ref!$K$3,ref!F16,1,,CELL("contenu",$AA$2))))</f>
        <v>B</v>
      </c>
      <c r="D17" s="4" t="str">
        <f ca="1">CELL("contenu",INDIRECT(ADDRESS(ref!$K$3,ref!G16,1,,CELL("contenu",$AA$2))))</f>
        <v>A</v>
      </c>
      <c r="E17" s="5" t="str">
        <f ca="1">CELL("contenu",INDIRECT(ADDRESS(ref!$K$3,ref!H16,1,,CELL("contenu",$AA$2))))</f>
        <v>B</v>
      </c>
      <c r="F17" s="6" t="str">
        <f ca="1">CELL("contenu",INDIRECT(ADDRESS(ref!$K$4,ref!E16,1,,CELL("contenu",$AA$2))))</f>
        <v/>
      </c>
      <c r="G17" s="3" t="str">
        <f ca="1">CELL("contenu",INDIRECT(ADDRESS(ref!$K$4,ref!F16,1,,CELL("contenu",$AA$2))))</f>
        <v>A</v>
      </c>
      <c r="H17" s="4" t="str">
        <f ca="1">CELL("contenu",INDIRECT(ADDRESS(ref!$K$4,ref!G16,1,,CELL("contenu",$AA$2))))</f>
        <v>A</v>
      </c>
      <c r="I17" s="5" t="str">
        <f ca="1">CELL("contenu",INDIRECT(ADDRESS(ref!$K$4,ref!H16,1,,CELL("contenu",$AA$2))))</f>
        <v>B</v>
      </c>
      <c r="J17" s="6" t="str">
        <f ca="1">CELL("contenu",INDIRECT(ADDRESS(ref!$K$5,ref!E16,1,,CELL("contenu",$AA$2))))</f>
        <v>D</v>
      </c>
      <c r="K17" s="3" t="str">
        <f ca="1">CELL("contenu",INDIRECT(ADDRESS(ref!$K$5,ref!F16,1,,CELL("contenu",$AA$2))))</f>
        <v/>
      </c>
      <c r="L17" s="4" t="str">
        <f ca="1">CELL("contenu",INDIRECT(ADDRESS(ref!$K$5,ref!G16,1,,CELL("contenu",$AA$2))))</f>
        <v>C</v>
      </c>
      <c r="M17" s="5" t="str">
        <f ca="1">CELL("contenu",INDIRECT(ADDRESS(ref!$K$5,ref!H16,1,,CELL("contenu",$AA$2))))</f>
        <v>D</v>
      </c>
      <c r="N17" s="6" t="str">
        <f ca="1">CELL("contenu",INDIRECT(ADDRESS(ref!$K$6,ref!E16,1,,CELL("contenu",$AA$2))))</f>
        <v>C</v>
      </c>
      <c r="O17" s="3" t="str">
        <f ca="1">CELL("contenu",INDIRECT(ADDRESS(ref!$K$6,ref!F16,1,,CELL("contenu",$AA$2))))</f>
        <v>A</v>
      </c>
      <c r="P17" s="4" t="str">
        <f ca="1">CELL("contenu",INDIRECT(ADDRESS(ref!$K$6,ref!G16,1,,CELL("contenu",$AA$2))))</f>
        <v>B</v>
      </c>
      <c r="Q17" s="5" t="str">
        <f ca="1">CELL("contenu",INDIRECT(ADDRESS(ref!$K$6,ref!H16,1,,CELL("contenu",$AA$2))))</f>
        <v>B</v>
      </c>
      <c r="R17" s="6" t="str">
        <f ca="1">CELL("contenu",INDIRECT(ADDRESS(ref!$K$7,ref!E16,1,,CELL("contenu",$AA$2))))</f>
        <v/>
      </c>
      <c r="S17" s="3" t="str">
        <f ca="1">CELL("contenu",INDIRECT(ADDRESS(ref!$K$7,ref!F16,1,,CELL("contenu",$AA$2))))</f>
        <v/>
      </c>
      <c r="T17" s="4" t="str">
        <f ca="1">CELL("contenu",INDIRECT(ADDRESS(ref!$K$7,ref!G16,1,,CELL("contenu",$AA$2))))</f>
        <v/>
      </c>
      <c r="U17" s="5" t="str">
        <f ca="1">CELL("contenu",INDIRECT(ADDRESS(ref!$K$7,ref!H16,1,,CELL("contenu",$AA$2))))</f>
        <v/>
      </c>
      <c r="V17" s="49">
        <f ca="1">CELL("contenu",INDIRECT(ADDRESS(ref!$K$8,ref!E16,1,,CELL("contenu",$AA$2))))</f>
        <v>7.5</v>
      </c>
      <c r="W17" s="50">
        <f ca="1">CELL("contenu",INDIRECT(ADDRESS(ref!$K$8,ref!F16,1,,CELL("contenu",$AA$2))))</f>
        <v>18.333333333333332</v>
      </c>
      <c r="X17" s="51">
        <f ca="1">CELL("contenu",INDIRECT(ADDRESS(ref!$K$8,ref!G16,1,,CELL("contenu",$AA$2))))</f>
        <v>19.791666666666668</v>
      </c>
      <c r="Y17" s="21" t="str">
        <f ca="1">CELL("contenu",INDIRECT(ADDRESS(ref!$K$9,ref!H16,1,,CELL("contenu",$AA$2))))</f>
        <v>A</v>
      </c>
    </row>
    <row r="18" spans="1:25" x14ac:dyDescent="0.25">
      <c r="A18" s="59" t="str">
        <f t="shared" ca="1" si="0"/>
        <v>LAVALLEE Cedric</v>
      </c>
      <c r="B18" s="2" t="str">
        <f ca="1">CELL("contenu",INDIRECT(ADDRESS(ref!$K$3,ref!E17,1,,CELL("contenu",$AA$2))))</f>
        <v/>
      </c>
      <c r="C18" s="3" t="str">
        <f ca="1">CELL("contenu",INDIRECT(ADDRESS(ref!$K$3,ref!F17,1,,CELL("contenu",$AA$2))))</f>
        <v>A</v>
      </c>
      <c r="D18" s="4" t="str">
        <f ca="1">CELL("contenu",INDIRECT(ADDRESS(ref!$K$3,ref!G17,1,,CELL("contenu",$AA$2))))</f>
        <v>D</v>
      </c>
      <c r="E18" s="5" t="str">
        <f ca="1">CELL("contenu",INDIRECT(ADDRESS(ref!$K$3,ref!H17,1,,CELL("contenu",$AA$2))))</f>
        <v>B</v>
      </c>
      <c r="F18" s="6" t="str">
        <f ca="1">CELL("contenu",INDIRECT(ADDRESS(ref!$K$4,ref!E17,1,,CELL("contenu",$AA$2))))</f>
        <v/>
      </c>
      <c r="G18" s="3" t="str">
        <f ca="1">CELL("contenu",INDIRECT(ADDRESS(ref!$K$4,ref!F17,1,,CELL("contenu",$AA$2))))</f>
        <v>A</v>
      </c>
      <c r="H18" s="4" t="str">
        <f ca="1">CELL("contenu",INDIRECT(ADDRESS(ref!$K$4,ref!G17,1,,CELL("contenu",$AA$2))))</f>
        <v>A</v>
      </c>
      <c r="I18" s="5" t="str">
        <f ca="1">CELL("contenu",INDIRECT(ADDRESS(ref!$K$4,ref!H17,1,,CELL("contenu",$AA$2))))</f>
        <v>C</v>
      </c>
      <c r="J18" s="6" t="str">
        <f ca="1">CELL("contenu",INDIRECT(ADDRESS(ref!$K$5,ref!E17,1,,CELL("contenu",$AA$2))))</f>
        <v>B</v>
      </c>
      <c r="K18" s="3" t="str">
        <f ca="1">CELL("contenu",INDIRECT(ADDRESS(ref!$K$5,ref!F17,1,,CELL("contenu",$AA$2))))</f>
        <v/>
      </c>
      <c r="L18" s="4" t="str">
        <f ca="1">CELL("contenu",INDIRECT(ADDRESS(ref!$K$5,ref!G17,1,,CELL("contenu",$AA$2))))</f>
        <v>C</v>
      </c>
      <c r="M18" s="5" t="str">
        <f ca="1">CELL("contenu",INDIRECT(ADDRESS(ref!$K$5,ref!H17,1,,CELL("contenu",$AA$2))))</f>
        <v>C</v>
      </c>
      <c r="N18" s="6" t="str">
        <f ca="1">CELL("contenu",INDIRECT(ADDRESS(ref!$K$6,ref!E17,1,,CELL("contenu",$AA$2))))</f>
        <v>C</v>
      </c>
      <c r="O18" s="3" t="str">
        <f ca="1">CELL("contenu",INDIRECT(ADDRESS(ref!$K$6,ref!F17,1,,CELL("contenu",$AA$2))))</f>
        <v>B</v>
      </c>
      <c r="P18" s="4" t="str">
        <f ca="1">CELL("contenu",INDIRECT(ADDRESS(ref!$K$6,ref!G17,1,,CELL("contenu",$AA$2))))</f>
        <v>B</v>
      </c>
      <c r="Q18" s="5" t="str">
        <f ca="1">CELL("contenu",INDIRECT(ADDRESS(ref!$K$6,ref!H17,1,,CELL("contenu",$AA$2))))</f>
        <v>B</v>
      </c>
      <c r="R18" s="6" t="str">
        <f ca="1">CELL("contenu",INDIRECT(ADDRESS(ref!$K$7,ref!E17,1,,CELL("contenu",$AA$2))))</f>
        <v/>
      </c>
      <c r="S18" s="3" t="str">
        <f ca="1">CELL("contenu",INDIRECT(ADDRESS(ref!$K$7,ref!F17,1,,CELL("contenu",$AA$2))))</f>
        <v/>
      </c>
      <c r="T18" s="4" t="str">
        <f ca="1">CELL("contenu",INDIRECT(ADDRESS(ref!$K$7,ref!G17,1,,CELL("contenu",$AA$2))))</f>
        <v/>
      </c>
      <c r="U18" s="5" t="str">
        <f ca="1">CELL("contenu",INDIRECT(ADDRESS(ref!$K$7,ref!H17,1,,CELL("contenu",$AA$2))))</f>
        <v/>
      </c>
      <c r="V18" s="49">
        <f ca="1">CELL("contenu",INDIRECT(ADDRESS(ref!$K$8,ref!E17,1,,CELL("contenu",$AA$2))))</f>
        <v>12.5</v>
      </c>
      <c r="W18" s="50">
        <f ca="1">CELL("contenu",INDIRECT(ADDRESS(ref!$K$8,ref!F17,1,,CELL("contenu",$AA$2))))</f>
        <v>18.333333333333332</v>
      </c>
      <c r="X18" s="51">
        <f ca="1">CELL("contenu",INDIRECT(ADDRESS(ref!$K$8,ref!G17,1,,CELL("contenu",$AA$2))))</f>
        <v>12.5</v>
      </c>
      <c r="Y18" s="21" t="str">
        <f ca="1">CELL("contenu",INDIRECT(ADDRESS(ref!$K$9,ref!H17,1,,CELL("contenu",$AA$2))))</f>
        <v>B</v>
      </c>
    </row>
    <row r="19" spans="1:25" x14ac:dyDescent="0.25">
      <c r="A19" s="59" t="str">
        <f t="shared" ca="1" si="0"/>
        <v>LE GOUVELLO DE LA PORTE Armelle</v>
      </c>
      <c r="B19" s="2" t="str">
        <f ca="1">CELL("contenu",INDIRECT(ADDRESS(ref!$K$3,ref!E18,1,,CELL("contenu",$AA$2))))</f>
        <v/>
      </c>
      <c r="C19" s="3" t="str">
        <f ca="1">CELL("contenu",INDIRECT(ADDRESS(ref!$K$3,ref!F18,1,,CELL("contenu",$AA$2))))</f>
        <v>A</v>
      </c>
      <c r="D19" s="4" t="str">
        <f ca="1">CELL("contenu",INDIRECT(ADDRESS(ref!$K$3,ref!G18,1,,CELL("contenu",$AA$2))))</f>
        <v>A</v>
      </c>
      <c r="E19" s="5" t="str">
        <f ca="1">CELL("contenu",INDIRECT(ADDRESS(ref!$K$3,ref!H18,1,,CELL("contenu",$AA$2))))</f>
        <v>A</v>
      </c>
      <c r="F19" s="6" t="str">
        <f ca="1">CELL("contenu",INDIRECT(ADDRESS(ref!$K$4,ref!E18,1,,CELL("contenu",$AA$2))))</f>
        <v/>
      </c>
      <c r="G19" s="3" t="str">
        <f ca="1">CELL("contenu",INDIRECT(ADDRESS(ref!$K$4,ref!F18,1,,CELL("contenu",$AA$2))))</f>
        <v>A</v>
      </c>
      <c r="H19" s="4" t="str">
        <f ca="1">CELL("contenu",INDIRECT(ADDRESS(ref!$K$4,ref!G18,1,,CELL("contenu",$AA$2))))</f>
        <v>A</v>
      </c>
      <c r="I19" s="5" t="str">
        <f ca="1">CELL("contenu",INDIRECT(ADDRESS(ref!$K$4,ref!H18,1,,CELL("contenu",$AA$2))))</f>
        <v>B</v>
      </c>
      <c r="J19" s="6" t="str">
        <f ca="1">CELL("contenu",INDIRECT(ADDRESS(ref!$K$5,ref!E18,1,,CELL("contenu",$AA$2))))</f>
        <v>B</v>
      </c>
      <c r="K19" s="3" t="str">
        <f ca="1">CELL("contenu",INDIRECT(ADDRESS(ref!$K$5,ref!F18,1,,CELL("contenu",$AA$2))))</f>
        <v/>
      </c>
      <c r="L19" s="4" t="str">
        <f ca="1">CELL("contenu",INDIRECT(ADDRESS(ref!$K$5,ref!G18,1,,CELL("contenu",$AA$2))))</f>
        <v>B</v>
      </c>
      <c r="M19" s="5" t="str">
        <f ca="1">CELL("contenu",INDIRECT(ADDRESS(ref!$K$5,ref!H18,1,,CELL("contenu",$AA$2))))</f>
        <v>B</v>
      </c>
      <c r="N19" s="6" t="str">
        <f ca="1">CELL("contenu",INDIRECT(ADDRESS(ref!$K$6,ref!E18,1,,CELL("contenu",$AA$2))))</f>
        <v>C</v>
      </c>
      <c r="O19" s="3" t="str">
        <f ca="1">CELL("contenu",INDIRECT(ADDRESS(ref!$K$6,ref!F18,1,,CELL("contenu",$AA$2))))</f>
        <v>B</v>
      </c>
      <c r="P19" s="4" t="str">
        <f ca="1">CELL("contenu",INDIRECT(ADDRESS(ref!$K$6,ref!G18,1,,CELL("contenu",$AA$2))))</f>
        <v>B</v>
      </c>
      <c r="Q19" s="5" t="str">
        <f ca="1">CELL("contenu",INDIRECT(ADDRESS(ref!$K$6,ref!H18,1,,CELL("contenu",$AA$2))))</f>
        <v>B</v>
      </c>
      <c r="R19" s="6" t="str">
        <f ca="1">CELL("contenu",INDIRECT(ADDRESS(ref!$K$7,ref!E18,1,,CELL("contenu",$AA$2))))</f>
        <v/>
      </c>
      <c r="S19" s="3" t="str">
        <f ca="1">CELL("contenu",INDIRECT(ADDRESS(ref!$K$7,ref!F18,1,,CELL("contenu",$AA$2))))</f>
        <v/>
      </c>
      <c r="T19" s="4" t="str">
        <f ca="1">CELL("contenu",INDIRECT(ADDRESS(ref!$K$7,ref!G18,1,,CELL("contenu",$AA$2))))</f>
        <v/>
      </c>
      <c r="U19" s="5" t="str">
        <f ca="1">CELL("contenu",INDIRECT(ADDRESS(ref!$K$7,ref!H18,1,,CELL("contenu",$AA$2))))</f>
        <v/>
      </c>
      <c r="V19" s="49">
        <f ca="1">CELL("contenu",INDIRECT(ADDRESS(ref!$K$8,ref!E18,1,,CELL("contenu",$AA$2))))</f>
        <v>12.5</v>
      </c>
      <c r="W19" s="50">
        <f ca="1">CELL("contenu",INDIRECT(ADDRESS(ref!$K$8,ref!F18,1,,CELL("contenu",$AA$2))))</f>
        <v>19.166666666666668</v>
      </c>
      <c r="X19" s="51">
        <f ca="1">CELL("contenu",INDIRECT(ADDRESS(ref!$K$8,ref!G18,1,,CELL("contenu",$AA$2))))</f>
        <v>20.833333333333336</v>
      </c>
      <c r="Y19" s="21" t="str">
        <f ca="1">CELL("contenu",INDIRECT(ADDRESS(ref!$K$9,ref!H18,1,,CELL("contenu",$AA$2))))</f>
        <v>B</v>
      </c>
    </row>
    <row r="20" spans="1:25" x14ac:dyDescent="0.25">
      <c r="A20" s="59" t="str">
        <f t="shared" ca="1" si="0"/>
        <v>LE MINTIER Maixent</v>
      </c>
      <c r="B20" s="2" t="str">
        <f ca="1">CELL("contenu",INDIRECT(ADDRESS(ref!$K$3,ref!E19,1,,CELL("contenu",$AA$2))))</f>
        <v/>
      </c>
      <c r="C20" s="3" t="str">
        <f ca="1">CELL("contenu",INDIRECT(ADDRESS(ref!$K$3,ref!F19,1,,CELL("contenu",$AA$2))))</f>
        <v>A</v>
      </c>
      <c r="D20" s="4" t="str">
        <f ca="1">CELL("contenu",INDIRECT(ADDRESS(ref!$K$3,ref!G19,1,,CELL("contenu",$AA$2))))</f>
        <v>A</v>
      </c>
      <c r="E20" s="5" t="str">
        <f ca="1">CELL("contenu",INDIRECT(ADDRESS(ref!$K$3,ref!H19,1,,CELL("contenu",$AA$2))))</f>
        <v>A</v>
      </c>
      <c r="F20" s="6" t="str">
        <f ca="1">CELL("contenu",INDIRECT(ADDRESS(ref!$K$4,ref!E19,1,,CELL("contenu",$AA$2))))</f>
        <v/>
      </c>
      <c r="G20" s="3" t="str">
        <f ca="1">CELL("contenu",INDIRECT(ADDRESS(ref!$K$4,ref!F19,1,,CELL("contenu",$AA$2))))</f>
        <v>A</v>
      </c>
      <c r="H20" s="4" t="str">
        <f ca="1">CELL("contenu",INDIRECT(ADDRESS(ref!$K$4,ref!G19,1,,CELL("contenu",$AA$2))))</f>
        <v>A</v>
      </c>
      <c r="I20" s="5" t="str">
        <f ca="1">CELL("contenu",INDIRECT(ADDRESS(ref!$K$4,ref!H19,1,,CELL("contenu",$AA$2))))</f>
        <v>B</v>
      </c>
      <c r="J20" s="6" t="str">
        <f ca="1">CELL("contenu",INDIRECT(ADDRESS(ref!$K$5,ref!E19,1,,CELL("contenu",$AA$2))))</f>
        <v>B</v>
      </c>
      <c r="K20" s="3" t="str">
        <f ca="1">CELL("contenu",INDIRECT(ADDRESS(ref!$K$5,ref!F19,1,,CELL("contenu",$AA$2))))</f>
        <v/>
      </c>
      <c r="L20" s="4" t="str">
        <f ca="1">CELL("contenu",INDIRECT(ADDRESS(ref!$K$5,ref!G19,1,,CELL("contenu",$AA$2))))</f>
        <v>B</v>
      </c>
      <c r="M20" s="5" t="str">
        <f ca="1">CELL("contenu",INDIRECT(ADDRESS(ref!$K$5,ref!H19,1,,CELL("contenu",$AA$2))))</f>
        <v>B</v>
      </c>
      <c r="N20" s="6" t="str">
        <f ca="1">CELL("contenu",INDIRECT(ADDRESS(ref!$K$6,ref!E19,1,,CELL("contenu",$AA$2))))</f>
        <v>B</v>
      </c>
      <c r="O20" s="3" t="str">
        <f ca="1">CELL("contenu",INDIRECT(ADDRESS(ref!$K$6,ref!F19,1,,CELL("contenu",$AA$2))))</f>
        <v>A</v>
      </c>
      <c r="P20" s="4" t="str">
        <f ca="1">CELL("contenu",INDIRECT(ADDRESS(ref!$K$6,ref!G19,1,,CELL("contenu",$AA$2))))</f>
        <v>B</v>
      </c>
      <c r="Q20" s="5" t="str">
        <f ca="1">CELL("contenu",INDIRECT(ADDRESS(ref!$K$6,ref!H19,1,,CELL("contenu",$AA$2))))</f>
        <v>B</v>
      </c>
      <c r="R20" s="6" t="str">
        <f ca="1">CELL("contenu",INDIRECT(ADDRESS(ref!$K$7,ref!E19,1,,CELL("contenu",$AA$2))))</f>
        <v/>
      </c>
      <c r="S20" s="3" t="str">
        <f ca="1">CELL("contenu",INDIRECT(ADDRESS(ref!$K$7,ref!F19,1,,CELL("contenu",$AA$2))))</f>
        <v/>
      </c>
      <c r="T20" s="4" t="str">
        <f ca="1">CELL("contenu",INDIRECT(ADDRESS(ref!$K$7,ref!G19,1,,CELL("contenu",$AA$2))))</f>
        <v/>
      </c>
      <c r="U20" s="5" t="str">
        <f ca="1">CELL("contenu",INDIRECT(ADDRESS(ref!$K$7,ref!H19,1,,CELL("contenu",$AA$2))))</f>
        <v/>
      </c>
      <c r="V20" s="49">
        <f ca="1">CELL("contenu",INDIRECT(ADDRESS(ref!$K$8,ref!E19,1,,CELL("contenu",$AA$2))))</f>
        <v>15</v>
      </c>
      <c r="W20" s="50">
        <f ca="1">CELL("contenu",INDIRECT(ADDRESS(ref!$K$8,ref!F19,1,,CELL("contenu",$AA$2))))</f>
        <v>20</v>
      </c>
      <c r="X20" s="51">
        <f ca="1">CELL("contenu",INDIRECT(ADDRESS(ref!$K$8,ref!G19,1,,CELL("contenu",$AA$2))))</f>
        <v>21.5625</v>
      </c>
      <c r="Y20" s="21" t="str">
        <f ca="1">CELL("contenu",INDIRECT(ADDRESS(ref!$K$9,ref!H19,1,,CELL("contenu",$AA$2))))</f>
        <v>A</v>
      </c>
    </row>
    <row r="21" spans="1:25" x14ac:dyDescent="0.25">
      <c r="A21" s="59" t="str">
        <f t="shared" ca="1" si="0"/>
        <v>LEGAL Oriane</v>
      </c>
      <c r="B21" s="2" t="str">
        <f ca="1">CELL("contenu",INDIRECT(ADDRESS(ref!$K$3,ref!E20,1,,CELL("contenu",$AA$2))))</f>
        <v/>
      </c>
      <c r="C21" s="3" t="str">
        <f ca="1">CELL("contenu",INDIRECT(ADDRESS(ref!$K$3,ref!F20,1,,CELL("contenu",$AA$2))))</f>
        <v>A</v>
      </c>
      <c r="D21" s="4" t="str">
        <f ca="1">CELL("contenu",INDIRECT(ADDRESS(ref!$K$3,ref!G20,1,,CELL("contenu",$AA$2))))</f>
        <v>A</v>
      </c>
      <c r="E21" s="5" t="str">
        <f ca="1">CELL("contenu",INDIRECT(ADDRESS(ref!$K$3,ref!H20,1,,CELL("contenu",$AA$2))))</f>
        <v>A</v>
      </c>
      <c r="F21" s="6" t="str">
        <f ca="1">CELL("contenu",INDIRECT(ADDRESS(ref!$K$4,ref!E20,1,,CELL("contenu",$AA$2))))</f>
        <v/>
      </c>
      <c r="G21" s="3" t="str">
        <f ca="1">CELL("contenu",INDIRECT(ADDRESS(ref!$K$4,ref!F20,1,,CELL("contenu",$AA$2))))</f>
        <v>A</v>
      </c>
      <c r="H21" s="4" t="str">
        <f ca="1">CELL("contenu",INDIRECT(ADDRESS(ref!$K$4,ref!G20,1,,CELL("contenu",$AA$2))))</f>
        <v>A</v>
      </c>
      <c r="I21" s="5" t="str">
        <f ca="1">CELL("contenu",INDIRECT(ADDRESS(ref!$K$4,ref!H20,1,,CELL("contenu",$AA$2))))</f>
        <v>B</v>
      </c>
      <c r="J21" s="6" t="str">
        <f ca="1">CELL("contenu",INDIRECT(ADDRESS(ref!$K$5,ref!E20,1,,CELL("contenu",$AA$2))))</f>
        <v>B</v>
      </c>
      <c r="K21" s="3" t="str">
        <f ca="1">CELL("contenu",INDIRECT(ADDRESS(ref!$K$5,ref!F20,1,,CELL("contenu",$AA$2))))</f>
        <v/>
      </c>
      <c r="L21" s="4" t="str">
        <f ca="1">CELL("contenu",INDIRECT(ADDRESS(ref!$K$5,ref!G20,1,,CELL("contenu",$AA$2))))</f>
        <v>B</v>
      </c>
      <c r="M21" s="5" t="str">
        <f ca="1">CELL("contenu",INDIRECT(ADDRESS(ref!$K$5,ref!H20,1,,CELL("contenu",$AA$2))))</f>
        <v>B</v>
      </c>
      <c r="N21" s="6" t="str">
        <f ca="1">CELL("contenu",INDIRECT(ADDRESS(ref!$K$6,ref!E20,1,,CELL("contenu",$AA$2))))</f>
        <v>A</v>
      </c>
      <c r="O21" s="3" t="str">
        <f ca="1">CELL("contenu",INDIRECT(ADDRESS(ref!$K$6,ref!F20,1,,CELL("contenu",$AA$2))))</f>
        <v>A</v>
      </c>
      <c r="P21" s="4" t="str">
        <f ca="1">CELL("contenu",INDIRECT(ADDRESS(ref!$K$6,ref!G20,1,,CELL("contenu",$AA$2))))</f>
        <v>B</v>
      </c>
      <c r="Q21" s="5" t="str">
        <f ca="1">CELL("contenu",INDIRECT(ADDRESS(ref!$K$6,ref!H20,1,,CELL("contenu",$AA$2))))</f>
        <v>B</v>
      </c>
      <c r="R21" s="6" t="str">
        <f ca="1">CELL("contenu",INDIRECT(ADDRESS(ref!$K$7,ref!E20,1,,CELL("contenu",$AA$2))))</f>
        <v/>
      </c>
      <c r="S21" s="3" t="str">
        <f ca="1">CELL("contenu",INDIRECT(ADDRESS(ref!$K$7,ref!F20,1,,CELL("contenu",$AA$2))))</f>
        <v/>
      </c>
      <c r="T21" s="4" t="str">
        <f ca="1">CELL("contenu",INDIRECT(ADDRESS(ref!$K$7,ref!G20,1,,CELL("contenu",$AA$2))))</f>
        <v/>
      </c>
      <c r="U21" s="5" t="str">
        <f ca="1">CELL("contenu",INDIRECT(ADDRESS(ref!$K$7,ref!H20,1,,CELL("contenu",$AA$2))))</f>
        <v/>
      </c>
      <c r="V21" s="49">
        <f ca="1">CELL("contenu",INDIRECT(ADDRESS(ref!$K$8,ref!E20,1,,CELL("contenu",$AA$2))))</f>
        <v>17.5</v>
      </c>
      <c r="W21" s="50">
        <f ca="1">CELL("contenu",INDIRECT(ADDRESS(ref!$K$8,ref!F20,1,,CELL("contenu",$AA$2))))</f>
        <v>20</v>
      </c>
      <c r="X21" s="51">
        <f ca="1">CELL("contenu",INDIRECT(ADDRESS(ref!$K$8,ref!G20,1,,CELL("contenu",$AA$2))))</f>
        <v>20.9375</v>
      </c>
      <c r="Y21" s="21" t="str">
        <f ca="1">CELL("contenu",INDIRECT(ADDRESS(ref!$K$9,ref!H20,1,,CELL("contenu",$AA$2))))</f>
        <v>A</v>
      </c>
    </row>
    <row r="22" spans="1:25" x14ac:dyDescent="0.25">
      <c r="A22" s="59" t="str">
        <f t="shared" ca="1" si="0"/>
        <v>LERE Alicia</v>
      </c>
      <c r="B22" s="2" t="str">
        <f ca="1">CELL("contenu",INDIRECT(ADDRESS(ref!$K$3,ref!E21,1,,CELL("contenu",$AA$2))))</f>
        <v/>
      </c>
      <c r="C22" s="3" t="str">
        <f ca="1">CELL("contenu",INDIRECT(ADDRESS(ref!$K$3,ref!F21,1,,CELL("contenu",$AA$2))))</f>
        <v>C</v>
      </c>
      <c r="D22" s="4" t="str">
        <f ca="1">CELL("contenu",INDIRECT(ADDRESS(ref!$K$3,ref!G21,1,,CELL("contenu",$AA$2))))</f>
        <v>A</v>
      </c>
      <c r="E22" s="5" t="str">
        <f ca="1">CELL("contenu",INDIRECT(ADDRESS(ref!$K$3,ref!H21,1,,CELL("contenu",$AA$2))))</f>
        <v>C</v>
      </c>
      <c r="F22" s="6" t="str">
        <f ca="1">CELL("contenu",INDIRECT(ADDRESS(ref!$K$4,ref!E21,1,,CELL("contenu",$AA$2))))</f>
        <v/>
      </c>
      <c r="G22" s="3" t="str">
        <f ca="1">CELL("contenu",INDIRECT(ADDRESS(ref!$K$4,ref!F21,1,,CELL("contenu",$AA$2))))</f>
        <v>B</v>
      </c>
      <c r="H22" s="4" t="str">
        <f ca="1">CELL("contenu",INDIRECT(ADDRESS(ref!$K$4,ref!G21,1,,CELL("contenu",$AA$2))))</f>
        <v>A</v>
      </c>
      <c r="I22" s="5" t="str">
        <f ca="1">CELL("contenu",INDIRECT(ADDRESS(ref!$K$4,ref!H21,1,,CELL("contenu",$AA$2))))</f>
        <v>B</v>
      </c>
      <c r="J22" s="6" t="str">
        <f ca="1">CELL("contenu",INDIRECT(ADDRESS(ref!$K$5,ref!E21,1,,CELL("contenu",$AA$2))))</f>
        <v>D</v>
      </c>
      <c r="K22" s="3" t="str">
        <f ca="1">CELL("contenu",INDIRECT(ADDRESS(ref!$K$5,ref!F21,1,,CELL("contenu",$AA$2))))</f>
        <v/>
      </c>
      <c r="L22" s="4" t="str">
        <f ca="1">CELL("contenu",INDIRECT(ADDRESS(ref!$K$5,ref!G21,1,,CELL("contenu",$AA$2))))</f>
        <v>B</v>
      </c>
      <c r="M22" s="5" t="str">
        <f ca="1">CELL("contenu",INDIRECT(ADDRESS(ref!$K$5,ref!H21,1,,CELL("contenu",$AA$2))))</f>
        <v>C</v>
      </c>
      <c r="N22" s="6" t="str">
        <f ca="1">CELL("contenu",INDIRECT(ADDRESS(ref!$K$6,ref!E21,1,,CELL("contenu",$AA$2))))</f>
        <v>D</v>
      </c>
      <c r="O22" s="3" t="str">
        <f ca="1">CELL("contenu",INDIRECT(ADDRESS(ref!$K$6,ref!F21,1,,CELL("contenu",$AA$2))))</f>
        <v>C</v>
      </c>
      <c r="P22" s="4" t="str">
        <f ca="1">CELL("contenu",INDIRECT(ADDRESS(ref!$K$6,ref!G21,1,,CELL("contenu",$AA$2))))</f>
        <v>C</v>
      </c>
      <c r="Q22" s="5" t="str">
        <f ca="1">CELL("contenu",INDIRECT(ADDRESS(ref!$K$6,ref!H21,1,,CELL("contenu",$AA$2))))</f>
        <v>C</v>
      </c>
      <c r="R22" s="6" t="str">
        <f ca="1">CELL("contenu",INDIRECT(ADDRESS(ref!$K$7,ref!E21,1,,CELL("contenu",$AA$2))))</f>
        <v/>
      </c>
      <c r="S22" s="3" t="str">
        <f ca="1">CELL("contenu",INDIRECT(ADDRESS(ref!$K$7,ref!F21,1,,CELL("contenu",$AA$2))))</f>
        <v/>
      </c>
      <c r="T22" s="4" t="str">
        <f ca="1">CELL("contenu",INDIRECT(ADDRESS(ref!$K$7,ref!G21,1,,CELL("contenu",$AA$2))))</f>
        <v/>
      </c>
      <c r="U22" s="5" t="str">
        <f ca="1">CELL("contenu",INDIRECT(ADDRESS(ref!$K$7,ref!H21,1,,CELL("contenu",$AA$2))))</f>
        <v/>
      </c>
      <c r="V22" s="49">
        <f ca="1">CELL("contenu",INDIRECT(ADDRESS(ref!$K$8,ref!E21,1,,CELL("contenu",$AA$2))))</f>
        <v>5</v>
      </c>
      <c r="W22" s="50">
        <f ca="1">CELL("contenu",INDIRECT(ADDRESS(ref!$K$8,ref!F21,1,,CELL("contenu",$AA$2))))</f>
        <v>13.333333333333332</v>
      </c>
      <c r="X22" s="51">
        <f ca="1">CELL("contenu",INDIRECT(ADDRESS(ref!$K$8,ref!G21,1,,CELL("contenu",$AA$2))))</f>
        <v>20.3125</v>
      </c>
      <c r="Y22" s="21" t="str">
        <f ca="1">CELL("contenu",INDIRECT(ADDRESS(ref!$K$9,ref!H21,1,,CELL("contenu",$AA$2))))</f>
        <v>B</v>
      </c>
    </row>
    <row r="23" spans="1:25" x14ac:dyDescent="0.25">
      <c r="A23" s="59" t="str">
        <f t="shared" ca="1" si="0"/>
        <v>MAGNANT Leonie</v>
      </c>
      <c r="B23" s="2" t="str">
        <f ca="1">CELL("contenu",INDIRECT(ADDRESS(ref!$K$3,ref!E22,1,,CELL("contenu",$AA$2))))</f>
        <v/>
      </c>
      <c r="C23" s="3" t="str">
        <f ca="1">CELL("contenu",INDIRECT(ADDRESS(ref!$K$3,ref!F22,1,,CELL("contenu",$AA$2))))</f>
        <v>A</v>
      </c>
      <c r="D23" s="4" t="str">
        <f ca="1">CELL("contenu",INDIRECT(ADDRESS(ref!$K$3,ref!G22,1,,CELL("contenu",$AA$2))))</f>
        <v>A</v>
      </c>
      <c r="E23" s="5" t="str">
        <f ca="1">CELL("contenu",INDIRECT(ADDRESS(ref!$K$3,ref!H22,1,,CELL("contenu",$AA$2))))</f>
        <v>A</v>
      </c>
      <c r="F23" s="6" t="str">
        <f ca="1">CELL("contenu",INDIRECT(ADDRESS(ref!$K$4,ref!E22,1,,CELL("contenu",$AA$2))))</f>
        <v/>
      </c>
      <c r="G23" s="3" t="str">
        <f ca="1">CELL("contenu",INDIRECT(ADDRESS(ref!$K$4,ref!F22,1,,CELL("contenu",$AA$2))))</f>
        <v>A</v>
      </c>
      <c r="H23" s="4" t="str">
        <f ca="1">CELL("contenu",INDIRECT(ADDRESS(ref!$K$4,ref!G22,1,,CELL("contenu",$AA$2))))</f>
        <v>A</v>
      </c>
      <c r="I23" s="5" t="str">
        <f ca="1">CELL("contenu",INDIRECT(ADDRESS(ref!$K$4,ref!H22,1,,CELL("contenu",$AA$2))))</f>
        <v>B</v>
      </c>
      <c r="J23" s="6" t="str">
        <f ca="1">CELL("contenu",INDIRECT(ADDRESS(ref!$K$5,ref!E22,1,,CELL("contenu",$AA$2))))</f>
        <v>B</v>
      </c>
      <c r="K23" s="3" t="str">
        <f ca="1">CELL("contenu",INDIRECT(ADDRESS(ref!$K$5,ref!F22,1,,CELL("contenu",$AA$2))))</f>
        <v/>
      </c>
      <c r="L23" s="4" t="str">
        <f ca="1">CELL("contenu",INDIRECT(ADDRESS(ref!$K$5,ref!G22,1,,CELL("contenu",$AA$2))))</f>
        <v>B</v>
      </c>
      <c r="M23" s="5" t="str">
        <f ca="1">CELL("contenu",INDIRECT(ADDRESS(ref!$K$5,ref!H22,1,,CELL("contenu",$AA$2))))</f>
        <v>B</v>
      </c>
      <c r="N23" s="6" t="str">
        <f ca="1">CELL("contenu",INDIRECT(ADDRESS(ref!$K$6,ref!E22,1,,CELL("contenu",$AA$2))))</f>
        <v>B</v>
      </c>
      <c r="O23" s="3" t="str">
        <f ca="1">CELL("contenu",INDIRECT(ADDRESS(ref!$K$6,ref!F22,1,,CELL("contenu",$AA$2))))</f>
        <v>A</v>
      </c>
      <c r="P23" s="4" t="str">
        <f ca="1">CELL("contenu",INDIRECT(ADDRESS(ref!$K$6,ref!G22,1,,CELL("contenu",$AA$2))))</f>
        <v>B</v>
      </c>
      <c r="Q23" s="5" t="str">
        <f ca="1">CELL("contenu",INDIRECT(ADDRESS(ref!$K$6,ref!H22,1,,CELL("contenu",$AA$2))))</f>
        <v>B</v>
      </c>
      <c r="R23" s="6" t="str">
        <f ca="1">CELL("contenu",INDIRECT(ADDRESS(ref!$K$7,ref!E22,1,,CELL("contenu",$AA$2))))</f>
        <v/>
      </c>
      <c r="S23" s="3" t="str">
        <f ca="1">CELL("contenu",INDIRECT(ADDRESS(ref!$K$7,ref!F22,1,,CELL("contenu",$AA$2))))</f>
        <v/>
      </c>
      <c r="T23" s="4" t="str">
        <f ca="1">CELL("contenu",INDIRECT(ADDRESS(ref!$K$7,ref!G22,1,,CELL("contenu",$AA$2))))</f>
        <v/>
      </c>
      <c r="U23" s="5" t="str">
        <f ca="1">CELL("contenu",INDIRECT(ADDRESS(ref!$K$7,ref!H22,1,,CELL("contenu",$AA$2))))</f>
        <v/>
      </c>
      <c r="V23" s="49">
        <f ca="1">CELL("contenu",INDIRECT(ADDRESS(ref!$K$8,ref!E22,1,,CELL("contenu",$AA$2))))</f>
        <v>15</v>
      </c>
      <c r="W23" s="50">
        <f ca="1">CELL("contenu",INDIRECT(ADDRESS(ref!$K$8,ref!F22,1,,CELL("contenu",$AA$2))))</f>
        <v>20</v>
      </c>
      <c r="X23" s="51">
        <f ca="1">CELL("contenu",INDIRECT(ADDRESS(ref!$K$8,ref!G22,1,,CELL("contenu",$AA$2))))</f>
        <v>21.145833333333336</v>
      </c>
      <c r="Y23" s="21" t="str">
        <f ca="1">CELL("contenu",INDIRECT(ADDRESS(ref!$K$9,ref!H22,1,,CELL("contenu",$AA$2))))</f>
        <v>A</v>
      </c>
    </row>
    <row r="24" spans="1:25" x14ac:dyDescent="0.25">
      <c r="A24" s="59" t="str">
        <f t="shared" ca="1" si="0"/>
        <v>NEIGE--SARFATI Raphael</v>
      </c>
      <c r="B24" s="2" t="str">
        <f ca="1">CELL("contenu",INDIRECT(ADDRESS(ref!$K$3,ref!E23,1,,CELL("contenu",$AA$2))))</f>
        <v/>
      </c>
      <c r="C24" s="3" t="str">
        <f ca="1">CELL("contenu",INDIRECT(ADDRESS(ref!$K$3,ref!F23,1,,CELL("contenu",$AA$2))))</f>
        <v>A</v>
      </c>
      <c r="D24" s="4" t="str">
        <f ca="1">CELL("contenu",INDIRECT(ADDRESS(ref!$K$3,ref!G23,1,,CELL("contenu",$AA$2))))</f>
        <v>D</v>
      </c>
      <c r="E24" s="5" t="str">
        <f ca="1">CELL("contenu",INDIRECT(ADDRESS(ref!$K$3,ref!H23,1,,CELL("contenu",$AA$2))))</f>
        <v>B</v>
      </c>
      <c r="F24" s="6" t="str">
        <f ca="1">CELL("contenu",INDIRECT(ADDRESS(ref!$K$4,ref!E23,1,,CELL("contenu",$AA$2))))</f>
        <v/>
      </c>
      <c r="G24" s="3" t="str">
        <f ca="1">CELL("contenu",INDIRECT(ADDRESS(ref!$K$4,ref!F23,1,,CELL("contenu",$AA$2))))</f>
        <v>A</v>
      </c>
      <c r="H24" s="4" t="str">
        <f ca="1">CELL("contenu",INDIRECT(ADDRESS(ref!$K$4,ref!G23,1,,CELL("contenu",$AA$2))))</f>
        <v>A</v>
      </c>
      <c r="I24" s="5" t="str">
        <f ca="1">CELL("contenu",INDIRECT(ADDRESS(ref!$K$4,ref!H23,1,,CELL("contenu",$AA$2))))</f>
        <v>C</v>
      </c>
      <c r="J24" s="6" t="str">
        <f ca="1">CELL("contenu",INDIRECT(ADDRESS(ref!$K$5,ref!E23,1,,CELL("contenu",$AA$2))))</f>
        <v>B</v>
      </c>
      <c r="K24" s="3" t="str">
        <f ca="1">CELL("contenu",INDIRECT(ADDRESS(ref!$K$5,ref!F23,1,,CELL("contenu",$AA$2))))</f>
        <v/>
      </c>
      <c r="L24" s="4" t="str">
        <f ca="1">CELL("contenu",INDIRECT(ADDRESS(ref!$K$5,ref!G23,1,,CELL("contenu",$AA$2))))</f>
        <v>B</v>
      </c>
      <c r="M24" s="5" t="str">
        <f ca="1">CELL("contenu",INDIRECT(ADDRESS(ref!$K$5,ref!H23,1,,CELL("contenu",$AA$2))))</f>
        <v>B</v>
      </c>
      <c r="N24" s="6" t="str">
        <f ca="1">CELL("contenu",INDIRECT(ADDRESS(ref!$K$6,ref!E23,1,,CELL("contenu",$AA$2))))</f>
        <v>D</v>
      </c>
      <c r="O24" s="3" t="str">
        <f ca="1">CELL("contenu",INDIRECT(ADDRESS(ref!$K$6,ref!F23,1,,CELL("contenu",$AA$2))))</f>
        <v>A</v>
      </c>
      <c r="P24" s="4" t="str">
        <f ca="1">CELL("contenu",INDIRECT(ADDRESS(ref!$K$6,ref!G23,1,,CELL("contenu",$AA$2))))</f>
        <v>B</v>
      </c>
      <c r="Q24" s="5" t="str">
        <f ca="1">CELL("contenu",INDIRECT(ADDRESS(ref!$K$6,ref!H23,1,,CELL("contenu",$AA$2))))</f>
        <v>B</v>
      </c>
      <c r="R24" s="6" t="str">
        <f ca="1">CELL("contenu",INDIRECT(ADDRESS(ref!$K$7,ref!E23,1,,CELL("contenu",$AA$2))))</f>
        <v/>
      </c>
      <c r="S24" s="3" t="str">
        <f ca="1">CELL("contenu",INDIRECT(ADDRESS(ref!$K$7,ref!F23,1,,CELL("contenu",$AA$2))))</f>
        <v/>
      </c>
      <c r="T24" s="4" t="str">
        <f ca="1">CELL("contenu",INDIRECT(ADDRESS(ref!$K$7,ref!G23,1,,CELL("contenu",$AA$2))))</f>
        <v/>
      </c>
      <c r="U24" s="5" t="str">
        <f ca="1">CELL("contenu",INDIRECT(ADDRESS(ref!$K$7,ref!H23,1,,CELL("contenu",$AA$2))))</f>
        <v/>
      </c>
      <c r="V24" s="49">
        <f ca="1">CELL("contenu",INDIRECT(ADDRESS(ref!$K$8,ref!E23,1,,CELL("contenu",$AA$2))))</f>
        <v>10</v>
      </c>
      <c r="W24" s="50">
        <f ca="1">CELL("contenu",INDIRECT(ADDRESS(ref!$K$8,ref!F23,1,,CELL("contenu",$AA$2))))</f>
        <v>20</v>
      </c>
      <c r="X24" s="51">
        <f ca="1">CELL("contenu",INDIRECT(ADDRESS(ref!$K$8,ref!G23,1,,CELL("contenu",$AA$2))))</f>
        <v>13.75</v>
      </c>
      <c r="Y24" s="21" t="str">
        <f ca="1">CELL("contenu",INDIRECT(ADDRESS(ref!$K$9,ref!H23,1,,CELL("contenu",$AA$2))))</f>
        <v>B</v>
      </c>
    </row>
    <row r="25" spans="1:25" x14ac:dyDescent="0.25">
      <c r="A25" s="59" t="str">
        <f t="shared" ca="1" si="0"/>
        <v>POITRENAUD Lou-Ann</v>
      </c>
      <c r="B25" s="2" t="str">
        <f ca="1">CELL("contenu",INDIRECT(ADDRESS(ref!$K$3,ref!E24,1,,CELL("contenu",$AA$2))))</f>
        <v/>
      </c>
      <c r="C25" s="3" t="str">
        <f ca="1">CELL("contenu",INDIRECT(ADDRESS(ref!$K$3,ref!F24,1,,CELL("contenu",$AA$2))))</f>
        <v>A</v>
      </c>
      <c r="D25" s="4" t="str">
        <f ca="1">CELL("contenu",INDIRECT(ADDRESS(ref!$K$3,ref!G24,1,,CELL("contenu",$AA$2))))</f>
        <v>A</v>
      </c>
      <c r="E25" s="5" t="str">
        <f ca="1">CELL("contenu",INDIRECT(ADDRESS(ref!$K$3,ref!H24,1,,CELL("contenu",$AA$2))))</f>
        <v>A</v>
      </c>
      <c r="F25" s="6" t="str">
        <f ca="1">CELL("contenu",INDIRECT(ADDRESS(ref!$K$4,ref!E24,1,,CELL("contenu",$AA$2))))</f>
        <v/>
      </c>
      <c r="G25" s="3" t="str">
        <f ca="1">CELL("contenu",INDIRECT(ADDRESS(ref!$K$4,ref!F24,1,,CELL("contenu",$AA$2))))</f>
        <v>A</v>
      </c>
      <c r="H25" s="4" t="str">
        <f ca="1">CELL("contenu",INDIRECT(ADDRESS(ref!$K$4,ref!G24,1,,CELL("contenu",$AA$2))))</f>
        <v>A</v>
      </c>
      <c r="I25" s="5" t="str">
        <f ca="1">CELL("contenu",INDIRECT(ADDRESS(ref!$K$4,ref!H24,1,,CELL("contenu",$AA$2))))</f>
        <v>B</v>
      </c>
      <c r="J25" s="6" t="str">
        <f ca="1">CELL("contenu",INDIRECT(ADDRESS(ref!$K$5,ref!E24,1,,CELL("contenu",$AA$2))))</f>
        <v>C</v>
      </c>
      <c r="K25" s="3" t="str">
        <f ca="1">CELL("contenu",INDIRECT(ADDRESS(ref!$K$5,ref!F24,1,,CELL("contenu",$AA$2))))</f>
        <v/>
      </c>
      <c r="L25" s="4" t="str">
        <f ca="1">CELL("contenu",INDIRECT(ADDRESS(ref!$K$5,ref!G24,1,,CELL("contenu",$AA$2))))</f>
        <v>B</v>
      </c>
      <c r="M25" s="5" t="str">
        <f ca="1">CELL("contenu",INDIRECT(ADDRESS(ref!$K$5,ref!H24,1,,CELL("contenu",$AA$2))))</f>
        <v>C</v>
      </c>
      <c r="N25" s="6" t="str">
        <f ca="1">CELL("contenu",INDIRECT(ADDRESS(ref!$K$6,ref!E24,1,,CELL("contenu",$AA$2))))</f>
        <v>C</v>
      </c>
      <c r="O25" s="3" t="str">
        <f ca="1">CELL("contenu",INDIRECT(ADDRESS(ref!$K$6,ref!F24,1,,CELL("contenu",$AA$2))))</f>
        <v>B</v>
      </c>
      <c r="P25" s="4" t="str">
        <f ca="1">CELL("contenu",INDIRECT(ADDRESS(ref!$K$6,ref!G24,1,,CELL("contenu",$AA$2))))</f>
        <v>C</v>
      </c>
      <c r="Q25" s="5" t="str">
        <f ca="1">CELL("contenu",INDIRECT(ADDRESS(ref!$K$6,ref!H24,1,,CELL("contenu",$AA$2))))</f>
        <v>C</v>
      </c>
      <c r="R25" s="6" t="str">
        <f ca="1">CELL("contenu",INDIRECT(ADDRESS(ref!$K$7,ref!E24,1,,CELL("contenu",$AA$2))))</f>
        <v/>
      </c>
      <c r="S25" s="3" t="str">
        <f ca="1">CELL("contenu",INDIRECT(ADDRESS(ref!$K$7,ref!F24,1,,CELL("contenu",$AA$2))))</f>
        <v/>
      </c>
      <c r="T25" s="4" t="str">
        <f ca="1">CELL("contenu",INDIRECT(ADDRESS(ref!$K$7,ref!G24,1,,CELL("contenu",$AA$2))))</f>
        <v/>
      </c>
      <c r="U25" s="5" t="str">
        <f ca="1">CELL("contenu",INDIRECT(ADDRESS(ref!$K$7,ref!H24,1,,CELL("contenu",$AA$2))))</f>
        <v/>
      </c>
      <c r="V25" s="49">
        <f ca="1">CELL("contenu",INDIRECT(ADDRESS(ref!$K$8,ref!E24,1,,CELL("contenu",$AA$2))))</f>
        <v>10</v>
      </c>
      <c r="W25" s="50">
        <f ca="1">CELL("contenu",INDIRECT(ADDRESS(ref!$K$8,ref!F24,1,,CELL("contenu",$AA$2))))</f>
        <v>19.166666666666668</v>
      </c>
      <c r="X25" s="51">
        <f ca="1">CELL("contenu",INDIRECT(ADDRESS(ref!$K$8,ref!G24,1,,CELL("contenu",$AA$2))))</f>
        <v>20.625</v>
      </c>
      <c r="Y25" s="21" t="str">
        <f ca="1">CELL("contenu",INDIRECT(ADDRESS(ref!$K$9,ref!H24,1,,CELL("contenu",$AA$2))))</f>
        <v>A</v>
      </c>
    </row>
    <row r="26" spans="1:25" x14ac:dyDescent="0.25">
      <c r="A26" s="59" t="str">
        <f t="shared" ca="1" si="0"/>
        <v>RANCHOUX Louis</v>
      </c>
      <c r="B26" s="2" t="str">
        <f ca="1">CELL("contenu",INDIRECT(ADDRESS(ref!$K$3,ref!E25,1,,CELL("contenu",$AA$2))))</f>
        <v/>
      </c>
      <c r="C26" s="3" t="str">
        <f ca="1">CELL("contenu",INDIRECT(ADDRESS(ref!$K$3,ref!F25,1,,CELL("contenu",$AA$2))))</f>
        <v>A</v>
      </c>
      <c r="D26" s="4" t="str">
        <f ca="1">CELL("contenu",INDIRECT(ADDRESS(ref!$K$3,ref!G25,1,,CELL("contenu",$AA$2))))</f>
        <v>A</v>
      </c>
      <c r="E26" s="5" t="str">
        <f ca="1">CELL("contenu",INDIRECT(ADDRESS(ref!$K$3,ref!H25,1,,CELL("contenu",$AA$2))))</f>
        <v>A</v>
      </c>
      <c r="F26" s="6" t="str">
        <f ca="1">CELL("contenu",INDIRECT(ADDRESS(ref!$K$4,ref!E25,1,,CELL("contenu",$AA$2))))</f>
        <v/>
      </c>
      <c r="G26" s="3" t="str">
        <f ca="1">CELL("contenu",INDIRECT(ADDRESS(ref!$K$4,ref!F25,1,,CELL("contenu",$AA$2))))</f>
        <v>A</v>
      </c>
      <c r="H26" s="4" t="str">
        <f ca="1">CELL("contenu",INDIRECT(ADDRESS(ref!$K$4,ref!G25,1,,CELL("contenu",$AA$2))))</f>
        <v>A</v>
      </c>
      <c r="I26" s="5" t="str">
        <f ca="1">CELL("contenu",INDIRECT(ADDRESS(ref!$K$4,ref!H25,1,,CELL("contenu",$AA$2))))</f>
        <v>B</v>
      </c>
      <c r="J26" s="6" t="str">
        <f ca="1">CELL("contenu",INDIRECT(ADDRESS(ref!$K$5,ref!E25,1,,CELL("contenu",$AA$2))))</f>
        <v>B</v>
      </c>
      <c r="K26" s="3" t="str">
        <f ca="1">CELL("contenu",INDIRECT(ADDRESS(ref!$K$5,ref!F25,1,,CELL("contenu",$AA$2))))</f>
        <v/>
      </c>
      <c r="L26" s="4" t="str">
        <f ca="1">CELL("contenu",INDIRECT(ADDRESS(ref!$K$5,ref!G25,1,,CELL("contenu",$AA$2))))</f>
        <v>B</v>
      </c>
      <c r="M26" s="5" t="str">
        <f ca="1">CELL("contenu",INDIRECT(ADDRESS(ref!$K$5,ref!H25,1,,CELL("contenu",$AA$2))))</f>
        <v>B</v>
      </c>
      <c r="N26" s="6" t="str">
        <f ca="1">CELL("contenu",INDIRECT(ADDRESS(ref!$K$6,ref!E25,1,,CELL("contenu",$AA$2))))</f>
        <v>D</v>
      </c>
      <c r="O26" s="3" t="str">
        <f ca="1">CELL("contenu",INDIRECT(ADDRESS(ref!$K$6,ref!F25,1,,CELL("contenu",$AA$2))))</f>
        <v>A</v>
      </c>
      <c r="P26" s="4" t="str">
        <f ca="1">CELL("contenu",INDIRECT(ADDRESS(ref!$K$6,ref!G25,1,,CELL("contenu",$AA$2))))</f>
        <v>B</v>
      </c>
      <c r="Q26" s="5" t="str">
        <f ca="1">CELL("contenu",INDIRECT(ADDRESS(ref!$K$6,ref!H25,1,,CELL("contenu",$AA$2))))</f>
        <v>B</v>
      </c>
      <c r="R26" s="6" t="str">
        <f ca="1">CELL("contenu",INDIRECT(ADDRESS(ref!$K$7,ref!E25,1,,CELL("contenu",$AA$2))))</f>
        <v/>
      </c>
      <c r="S26" s="3" t="str">
        <f ca="1">CELL("contenu",INDIRECT(ADDRESS(ref!$K$7,ref!F25,1,,CELL("contenu",$AA$2))))</f>
        <v/>
      </c>
      <c r="T26" s="4" t="str">
        <f ca="1">CELL("contenu",INDIRECT(ADDRESS(ref!$K$7,ref!G25,1,,CELL("contenu",$AA$2))))</f>
        <v/>
      </c>
      <c r="U26" s="5" t="str">
        <f ca="1">CELL("contenu",INDIRECT(ADDRESS(ref!$K$7,ref!H25,1,,CELL("contenu",$AA$2))))</f>
        <v/>
      </c>
      <c r="V26" s="49">
        <f ca="1">CELL("contenu",INDIRECT(ADDRESS(ref!$K$8,ref!E25,1,,CELL("contenu",$AA$2))))</f>
        <v>10</v>
      </c>
      <c r="W26" s="50">
        <f ca="1">CELL("contenu",INDIRECT(ADDRESS(ref!$K$8,ref!F25,1,,CELL("contenu",$AA$2))))</f>
        <v>20</v>
      </c>
      <c r="X26" s="51">
        <f ca="1">CELL("contenu",INDIRECT(ADDRESS(ref!$K$8,ref!G25,1,,CELL("contenu",$AA$2))))</f>
        <v>20.3125</v>
      </c>
      <c r="Y26" s="21" t="str">
        <f ca="1">CELL("contenu",INDIRECT(ADDRESS(ref!$K$9,ref!H25,1,,CELL("contenu",$AA$2))))</f>
        <v>B</v>
      </c>
    </row>
    <row r="27" spans="1:25" x14ac:dyDescent="0.25">
      <c r="A27" s="59" t="str">
        <f t="shared" ca="1" si="0"/>
        <v>RIVIERE Thomas</v>
      </c>
      <c r="B27" s="2" t="str">
        <f ca="1">CELL("contenu",INDIRECT(ADDRESS(ref!$K$3,ref!E26,1,,CELL("contenu",$AA$2))))</f>
        <v/>
      </c>
      <c r="C27" s="3" t="str">
        <f ca="1">CELL("contenu",INDIRECT(ADDRESS(ref!$K$3,ref!F26,1,,CELL("contenu",$AA$2))))</f>
        <v>A</v>
      </c>
      <c r="D27" s="4" t="str">
        <f ca="1">CELL("contenu",INDIRECT(ADDRESS(ref!$K$3,ref!G26,1,,CELL("contenu",$AA$2))))</f>
        <v>A</v>
      </c>
      <c r="E27" s="5" t="str">
        <f ca="1">CELL("contenu",INDIRECT(ADDRESS(ref!$K$3,ref!H26,1,,CELL("contenu",$AA$2))))</f>
        <v>A</v>
      </c>
      <c r="F27" s="6" t="str">
        <f ca="1">CELL("contenu",INDIRECT(ADDRESS(ref!$K$4,ref!E26,1,,CELL("contenu",$AA$2))))</f>
        <v/>
      </c>
      <c r="G27" s="3" t="str">
        <f ca="1">CELL("contenu",INDIRECT(ADDRESS(ref!$K$4,ref!F26,1,,CELL("contenu",$AA$2))))</f>
        <v>C</v>
      </c>
      <c r="H27" s="4" t="str">
        <f ca="1">CELL("contenu",INDIRECT(ADDRESS(ref!$K$4,ref!G26,1,,CELL("contenu",$AA$2))))</f>
        <v>A</v>
      </c>
      <c r="I27" s="5" t="str">
        <f ca="1">CELL("contenu",INDIRECT(ADDRESS(ref!$K$4,ref!H26,1,,CELL("contenu",$AA$2))))</f>
        <v>B</v>
      </c>
      <c r="J27" s="6" t="str">
        <f ca="1">CELL("contenu",INDIRECT(ADDRESS(ref!$K$5,ref!E26,1,,CELL("contenu",$AA$2))))</f>
        <v/>
      </c>
      <c r="K27" s="3" t="str">
        <f ca="1">CELL("contenu",INDIRECT(ADDRESS(ref!$K$5,ref!F26,1,,CELL("contenu",$AA$2))))</f>
        <v/>
      </c>
      <c r="L27" s="4" t="str">
        <f ca="1">CELL("contenu",INDIRECT(ADDRESS(ref!$K$5,ref!G26,1,,CELL("contenu",$AA$2))))</f>
        <v>B</v>
      </c>
      <c r="M27" s="5" t="str">
        <f ca="1">CELL("contenu",INDIRECT(ADDRESS(ref!$K$5,ref!H26,1,,CELL("contenu",$AA$2))))</f>
        <v>B</v>
      </c>
      <c r="N27" s="6" t="str">
        <f ca="1">CELL("contenu",INDIRECT(ADDRESS(ref!$K$6,ref!E26,1,,CELL("contenu",$AA$2))))</f>
        <v/>
      </c>
      <c r="O27" s="3" t="str">
        <f ca="1">CELL("contenu",INDIRECT(ADDRESS(ref!$K$6,ref!F26,1,,CELL("contenu",$AA$2))))</f>
        <v>A</v>
      </c>
      <c r="P27" s="4" t="str">
        <f ca="1">CELL("contenu",INDIRECT(ADDRESS(ref!$K$6,ref!G26,1,,CELL("contenu",$AA$2))))</f>
        <v>C</v>
      </c>
      <c r="Q27" s="5" t="str">
        <f ca="1">CELL("contenu",INDIRECT(ADDRESS(ref!$K$6,ref!H26,1,,CELL("contenu",$AA$2))))</f>
        <v>B</v>
      </c>
      <c r="R27" s="6" t="str">
        <f ca="1">CELL("contenu",INDIRECT(ADDRESS(ref!$K$7,ref!E26,1,,CELL("contenu",$AA$2))))</f>
        <v/>
      </c>
      <c r="S27" s="3" t="str">
        <f ca="1">CELL("contenu",INDIRECT(ADDRESS(ref!$K$7,ref!F26,1,,CELL("contenu",$AA$2))))</f>
        <v/>
      </c>
      <c r="T27" s="4" t="str">
        <f ca="1">CELL("contenu",INDIRECT(ADDRESS(ref!$K$7,ref!G26,1,,CELL("contenu",$AA$2))))</f>
        <v/>
      </c>
      <c r="U27" s="5" t="str">
        <f ca="1">CELL("contenu",INDIRECT(ADDRESS(ref!$K$7,ref!H26,1,,CELL("contenu",$AA$2))))</f>
        <v/>
      </c>
      <c r="V27" s="49" t="str">
        <f ca="1">CELL("contenu",INDIRECT(ADDRESS(ref!$K$8,ref!E26,1,,CELL("contenu",$AA$2))))</f>
        <v/>
      </c>
      <c r="W27" s="50">
        <f ca="1">CELL("contenu",INDIRECT(ADDRESS(ref!$K$8,ref!F26,1,,CELL("contenu",$AA$2))))</f>
        <v>16.666666666666668</v>
      </c>
      <c r="X27" s="51">
        <f ca="1">CELL("contenu",INDIRECT(ADDRESS(ref!$K$8,ref!G26,1,,CELL("contenu",$AA$2))))</f>
        <v>20.208333333333336</v>
      </c>
      <c r="Y27" s="21" t="str">
        <f ca="1">CELL("contenu",INDIRECT(ADDRESS(ref!$K$9,ref!H26,1,,CELL("contenu",$AA$2))))</f>
        <v>C</v>
      </c>
    </row>
    <row r="28" spans="1:25" x14ac:dyDescent="0.25">
      <c r="A28" s="59" t="str">
        <f t="shared" ca="1" si="0"/>
        <v>ROS--BONNET Andrea</v>
      </c>
      <c r="B28" s="2" t="str">
        <f ca="1">CELL("contenu",INDIRECT(ADDRESS(ref!$K$3,ref!E27,1,,CELL("contenu",$AA$2))))</f>
        <v/>
      </c>
      <c r="C28" s="3" t="str">
        <f ca="1">CELL("contenu",INDIRECT(ADDRESS(ref!$K$3,ref!F27,1,,CELL("contenu",$AA$2))))</f>
        <v>B</v>
      </c>
      <c r="D28" s="4" t="str">
        <f ca="1">CELL("contenu",INDIRECT(ADDRESS(ref!$K$3,ref!G27,1,,CELL("contenu",$AA$2))))</f>
        <v>A</v>
      </c>
      <c r="E28" s="5" t="str">
        <f ca="1">CELL("contenu",INDIRECT(ADDRESS(ref!$K$3,ref!H27,1,,CELL("contenu",$AA$2))))</f>
        <v>A</v>
      </c>
      <c r="F28" s="6" t="str">
        <f ca="1">CELL("contenu",INDIRECT(ADDRESS(ref!$K$4,ref!E27,1,,CELL("contenu",$AA$2))))</f>
        <v/>
      </c>
      <c r="G28" s="3" t="str">
        <f ca="1">CELL("contenu",INDIRECT(ADDRESS(ref!$K$4,ref!F27,1,,CELL("contenu",$AA$2))))</f>
        <v>A</v>
      </c>
      <c r="H28" s="4" t="str">
        <f ca="1">CELL("contenu",INDIRECT(ADDRESS(ref!$K$4,ref!G27,1,,CELL("contenu",$AA$2))))</f>
        <v>A</v>
      </c>
      <c r="I28" s="5" t="str">
        <f ca="1">CELL("contenu",INDIRECT(ADDRESS(ref!$K$4,ref!H27,1,,CELL("contenu",$AA$2))))</f>
        <v>B</v>
      </c>
      <c r="J28" s="6" t="str">
        <f ca="1">CELL("contenu",INDIRECT(ADDRESS(ref!$K$5,ref!E27,1,,CELL("contenu",$AA$2))))</f>
        <v>B</v>
      </c>
      <c r="K28" s="3" t="str">
        <f ca="1">CELL("contenu",INDIRECT(ADDRESS(ref!$K$5,ref!F27,1,,CELL("contenu",$AA$2))))</f>
        <v/>
      </c>
      <c r="L28" s="4" t="str">
        <f ca="1">CELL("contenu",INDIRECT(ADDRESS(ref!$K$5,ref!G27,1,,CELL("contenu",$AA$2))))</f>
        <v>B</v>
      </c>
      <c r="M28" s="5" t="str">
        <f ca="1">CELL("contenu",INDIRECT(ADDRESS(ref!$K$5,ref!H27,1,,CELL("contenu",$AA$2))))</f>
        <v>B</v>
      </c>
      <c r="N28" s="6" t="str">
        <f ca="1">CELL("contenu",INDIRECT(ADDRESS(ref!$K$6,ref!E27,1,,CELL("contenu",$AA$2))))</f>
        <v>C</v>
      </c>
      <c r="O28" s="3" t="str">
        <f ca="1">CELL("contenu",INDIRECT(ADDRESS(ref!$K$6,ref!F27,1,,CELL("contenu",$AA$2))))</f>
        <v>A</v>
      </c>
      <c r="P28" s="4" t="str">
        <f ca="1">CELL("contenu",INDIRECT(ADDRESS(ref!$K$6,ref!G27,1,,CELL("contenu",$AA$2))))</f>
        <v>B</v>
      </c>
      <c r="Q28" s="5" t="str">
        <f ca="1">CELL("contenu",INDIRECT(ADDRESS(ref!$K$6,ref!H27,1,,CELL("contenu",$AA$2))))</f>
        <v>B</v>
      </c>
      <c r="R28" s="6" t="str">
        <f ca="1">CELL("contenu",INDIRECT(ADDRESS(ref!$K$7,ref!E27,1,,CELL("contenu",$AA$2))))</f>
        <v/>
      </c>
      <c r="S28" s="3" t="str">
        <f ca="1">CELL("contenu",INDIRECT(ADDRESS(ref!$K$7,ref!F27,1,,CELL("contenu",$AA$2))))</f>
        <v/>
      </c>
      <c r="T28" s="4" t="str">
        <f ca="1">CELL("contenu",INDIRECT(ADDRESS(ref!$K$7,ref!G27,1,,CELL("contenu",$AA$2))))</f>
        <v/>
      </c>
      <c r="U28" s="5" t="str">
        <f ca="1">CELL("contenu",INDIRECT(ADDRESS(ref!$K$7,ref!H27,1,,CELL("contenu",$AA$2))))</f>
        <v/>
      </c>
      <c r="V28" s="49">
        <f ca="1">CELL("contenu",INDIRECT(ADDRESS(ref!$K$8,ref!E27,1,,CELL("contenu",$AA$2))))</f>
        <v>12.5</v>
      </c>
      <c r="W28" s="50">
        <f ca="1">CELL("contenu",INDIRECT(ADDRESS(ref!$K$8,ref!F27,1,,CELL("contenu",$AA$2))))</f>
        <v>19.166666666666668</v>
      </c>
      <c r="X28" s="51">
        <f ca="1">CELL("contenu",INDIRECT(ADDRESS(ref!$K$8,ref!G27,1,,CELL("contenu",$AA$2))))</f>
        <v>20.625</v>
      </c>
      <c r="Y28" s="21" t="str">
        <f ca="1">CELL("contenu",INDIRECT(ADDRESS(ref!$K$9,ref!H27,1,,CELL("contenu",$AA$2))))</f>
        <v>B</v>
      </c>
    </row>
    <row r="29" spans="1:25" x14ac:dyDescent="0.25">
      <c r="A29" s="59" t="str">
        <f t="shared" ca="1" si="0"/>
        <v>SOULEZ Marion</v>
      </c>
      <c r="B29" s="2" t="str">
        <f ca="1">CELL("contenu",INDIRECT(ADDRESS(ref!$K$3,ref!E28,1,,CELL("contenu",$AA$2))))</f>
        <v/>
      </c>
      <c r="C29" s="3" t="str">
        <f ca="1">CELL("contenu",INDIRECT(ADDRESS(ref!$K$3,ref!F28,1,,CELL("contenu",$AA$2))))</f>
        <v>B</v>
      </c>
      <c r="D29" s="4" t="str">
        <f ca="1">CELL("contenu",INDIRECT(ADDRESS(ref!$K$3,ref!G28,1,,CELL("contenu",$AA$2))))</f>
        <v>A</v>
      </c>
      <c r="E29" s="5" t="str">
        <f ca="1">CELL("contenu",INDIRECT(ADDRESS(ref!$K$3,ref!H28,1,,CELL("contenu",$AA$2))))</f>
        <v>B</v>
      </c>
      <c r="F29" s="6" t="str">
        <f ca="1">CELL("contenu",INDIRECT(ADDRESS(ref!$K$4,ref!E28,1,,CELL("contenu",$AA$2))))</f>
        <v/>
      </c>
      <c r="G29" s="3" t="str">
        <f ca="1">CELL("contenu",INDIRECT(ADDRESS(ref!$K$4,ref!F28,1,,CELL("contenu",$AA$2))))</f>
        <v>A</v>
      </c>
      <c r="H29" s="4" t="str">
        <f ca="1">CELL("contenu",INDIRECT(ADDRESS(ref!$K$4,ref!G28,1,,CELL("contenu",$AA$2))))</f>
        <v>A</v>
      </c>
      <c r="I29" s="5" t="str">
        <f ca="1">CELL("contenu",INDIRECT(ADDRESS(ref!$K$4,ref!H28,1,,CELL("contenu",$AA$2))))</f>
        <v>B</v>
      </c>
      <c r="J29" s="6" t="str">
        <f ca="1">CELL("contenu",INDIRECT(ADDRESS(ref!$K$5,ref!E28,1,,CELL("contenu",$AA$2))))</f>
        <v>C</v>
      </c>
      <c r="K29" s="3" t="str">
        <f ca="1">CELL("contenu",INDIRECT(ADDRESS(ref!$K$5,ref!F28,1,,CELL("contenu",$AA$2))))</f>
        <v/>
      </c>
      <c r="L29" s="4" t="str">
        <f ca="1">CELL("contenu",INDIRECT(ADDRESS(ref!$K$5,ref!G28,1,,CELL("contenu",$AA$2))))</f>
        <v>B</v>
      </c>
      <c r="M29" s="5" t="str">
        <f ca="1">CELL("contenu",INDIRECT(ADDRESS(ref!$K$5,ref!H28,1,,CELL("contenu",$AA$2))))</f>
        <v>C</v>
      </c>
      <c r="N29" s="6" t="str">
        <f ca="1">CELL("contenu",INDIRECT(ADDRESS(ref!$K$6,ref!E28,1,,CELL("contenu",$AA$2))))</f>
        <v>C</v>
      </c>
      <c r="O29" s="3" t="str">
        <f ca="1">CELL("contenu",INDIRECT(ADDRESS(ref!$K$6,ref!F28,1,,CELL("contenu",$AA$2))))</f>
        <v>A</v>
      </c>
      <c r="P29" s="4" t="str">
        <f ca="1">CELL("contenu",INDIRECT(ADDRESS(ref!$K$6,ref!G28,1,,CELL("contenu",$AA$2))))</f>
        <v>C</v>
      </c>
      <c r="Q29" s="5" t="str">
        <f ca="1">CELL("contenu",INDIRECT(ADDRESS(ref!$K$6,ref!H28,1,,CELL("contenu",$AA$2))))</f>
        <v>C</v>
      </c>
      <c r="R29" s="6" t="str">
        <f ca="1">CELL("contenu",INDIRECT(ADDRESS(ref!$K$7,ref!E28,1,,CELL("contenu",$AA$2))))</f>
        <v/>
      </c>
      <c r="S29" s="3" t="str">
        <f ca="1">CELL("contenu",INDIRECT(ADDRESS(ref!$K$7,ref!F28,1,,CELL("contenu",$AA$2))))</f>
        <v/>
      </c>
      <c r="T29" s="4" t="str">
        <f ca="1">CELL("contenu",INDIRECT(ADDRESS(ref!$K$7,ref!G28,1,,CELL("contenu",$AA$2))))</f>
        <v/>
      </c>
      <c r="U29" s="5" t="str">
        <f ca="1">CELL("contenu",INDIRECT(ADDRESS(ref!$K$7,ref!H28,1,,CELL("contenu",$AA$2))))</f>
        <v/>
      </c>
      <c r="V29" s="49">
        <f ca="1">CELL("contenu",INDIRECT(ADDRESS(ref!$K$8,ref!E28,1,,CELL("contenu",$AA$2))))</f>
        <v>10</v>
      </c>
      <c r="W29" s="50">
        <f ca="1">CELL("contenu",INDIRECT(ADDRESS(ref!$K$8,ref!F28,1,,CELL("contenu",$AA$2))))</f>
        <v>18.333333333333332</v>
      </c>
      <c r="X29" s="51">
        <f ca="1">CELL("contenu",INDIRECT(ADDRESS(ref!$K$8,ref!G28,1,,CELL("contenu",$AA$2))))</f>
        <v>20</v>
      </c>
      <c r="Y29" s="21" t="str">
        <f ca="1">CELL("contenu",INDIRECT(ADDRESS(ref!$K$9,ref!H28,1,,CELL("contenu",$AA$2))))</f>
        <v>B</v>
      </c>
    </row>
    <row r="30" spans="1:25" x14ac:dyDescent="0.25">
      <c r="A30" s="59" t="str">
        <f t="shared" ca="1" si="0"/>
        <v>TOUSSAINT Pauline</v>
      </c>
      <c r="B30" s="2" t="str">
        <f ca="1">CELL("contenu",INDIRECT(ADDRESS(ref!$K$3,ref!E29,1,,CELL("contenu",$AA$2))))</f>
        <v/>
      </c>
      <c r="C30" s="3" t="str">
        <f ca="1">CELL("contenu",INDIRECT(ADDRESS(ref!$K$3,ref!F29,1,,CELL("contenu",$AA$2))))</f>
        <v>B</v>
      </c>
      <c r="D30" s="4" t="str">
        <f ca="1">CELL("contenu",INDIRECT(ADDRESS(ref!$K$3,ref!G29,1,,CELL("contenu",$AA$2))))</f>
        <v>A</v>
      </c>
      <c r="E30" s="5" t="str">
        <f ca="1">CELL("contenu",INDIRECT(ADDRESS(ref!$K$3,ref!H29,1,,CELL("contenu",$AA$2))))</f>
        <v>B</v>
      </c>
      <c r="F30" s="6" t="str">
        <f ca="1">CELL("contenu",INDIRECT(ADDRESS(ref!$K$4,ref!E29,1,,CELL("contenu",$AA$2))))</f>
        <v/>
      </c>
      <c r="G30" s="3" t="str">
        <f ca="1">CELL("contenu",INDIRECT(ADDRESS(ref!$K$4,ref!F29,1,,CELL("contenu",$AA$2))))</f>
        <v>A</v>
      </c>
      <c r="H30" s="4" t="str">
        <f ca="1">CELL("contenu",INDIRECT(ADDRESS(ref!$K$4,ref!G29,1,,CELL("contenu",$AA$2))))</f>
        <v>A</v>
      </c>
      <c r="I30" s="5" t="str">
        <f ca="1">CELL("contenu",INDIRECT(ADDRESS(ref!$K$4,ref!H29,1,,CELL("contenu",$AA$2))))</f>
        <v>B</v>
      </c>
      <c r="J30" s="6" t="str">
        <f ca="1">CELL("contenu",INDIRECT(ADDRESS(ref!$K$5,ref!E29,1,,CELL("contenu",$AA$2))))</f>
        <v>C</v>
      </c>
      <c r="K30" s="3" t="str">
        <f ca="1">CELL("contenu",INDIRECT(ADDRESS(ref!$K$5,ref!F29,1,,CELL("contenu",$AA$2))))</f>
        <v/>
      </c>
      <c r="L30" s="4" t="str">
        <f ca="1">CELL("contenu",INDIRECT(ADDRESS(ref!$K$5,ref!G29,1,,CELL("contenu",$AA$2))))</f>
        <v>B</v>
      </c>
      <c r="M30" s="5" t="str">
        <f ca="1">CELL("contenu",INDIRECT(ADDRESS(ref!$K$5,ref!H29,1,,CELL("contenu",$AA$2))))</f>
        <v>C</v>
      </c>
      <c r="N30" s="6" t="str">
        <f ca="1">CELL("contenu",INDIRECT(ADDRESS(ref!$K$6,ref!E29,1,,CELL("contenu",$AA$2))))</f>
        <v>C</v>
      </c>
      <c r="O30" s="3" t="str">
        <f ca="1">CELL("contenu",INDIRECT(ADDRESS(ref!$K$6,ref!F29,1,,CELL("contenu",$AA$2))))</f>
        <v>B</v>
      </c>
      <c r="P30" s="4" t="str">
        <f ca="1">CELL("contenu",INDIRECT(ADDRESS(ref!$K$6,ref!G29,1,,CELL("contenu",$AA$2))))</f>
        <v>C</v>
      </c>
      <c r="Q30" s="5" t="str">
        <f ca="1">CELL("contenu",INDIRECT(ADDRESS(ref!$K$6,ref!H29,1,,CELL("contenu",$AA$2))))</f>
        <v>C</v>
      </c>
      <c r="R30" s="6" t="str">
        <f ca="1">CELL("contenu",INDIRECT(ADDRESS(ref!$K$7,ref!E29,1,,CELL("contenu",$AA$2))))</f>
        <v/>
      </c>
      <c r="S30" s="3" t="str">
        <f ca="1">CELL("contenu",INDIRECT(ADDRESS(ref!$K$7,ref!F29,1,,CELL("contenu",$AA$2))))</f>
        <v/>
      </c>
      <c r="T30" s="4" t="str">
        <f ca="1">CELL("contenu",INDIRECT(ADDRESS(ref!$K$7,ref!G29,1,,CELL("contenu",$AA$2))))</f>
        <v/>
      </c>
      <c r="U30" s="5" t="str">
        <f ca="1">CELL("contenu",INDIRECT(ADDRESS(ref!$K$7,ref!H29,1,,CELL("contenu",$AA$2))))</f>
        <v/>
      </c>
      <c r="V30" s="49">
        <f ca="1">CELL("contenu",INDIRECT(ADDRESS(ref!$K$8,ref!E29,1,,CELL("contenu",$AA$2))))</f>
        <v>10</v>
      </c>
      <c r="W30" s="50">
        <f ca="1">CELL("contenu",INDIRECT(ADDRESS(ref!$K$8,ref!F29,1,,CELL("contenu",$AA$2))))</f>
        <v>17.5</v>
      </c>
      <c r="X30" s="51">
        <f ca="1">CELL("contenu",INDIRECT(ADDRESS(ref!$K$8,ref!G29,1,,CELL("contenu",$AA$2))))</f>
        <v>20.104166666666664</v>
      </c>
      <c r="Y30" s="21" t="str">
        <f ca="1">CELL("contenu",INDIRECT(ADDRESS(ref!$K$9,ref!H29,1,,CELL("contenu",$AA$2))))</f>
        <v>A</v>
      </c>
    </row>
  </sheetData>
  <sheetProtection algorithmName="SHA-512" hashValue="XyunHPp6X11DNHY695RDCsvYdvgEfHWPxlHHrLSSBPpsvL1OuYoNTp48qU1p5mjeD82aoBKrBV0d5EyAWRWSFQ==" saltValue="5RBQ5gr3IqN3+BRxf3KWIQ==" spinCount="100000" sheet="1" selectLockedCells="1"/>
  <mergeCells count="8">
    <mergeCell ref="B1:Y1"/>
    <mergeCell ref="A2:A3"/>
    <mergeCell ref="B2:E2"/>
    <mergeCell ref="F2:I2"/>
    <mergeCell ref="J2:M2"/>
    <mergeCell ref="N2:Q2"/>
    <mergeCell ref="R2:U2"/>
    <mergeCell ref="V2:X2"/>
  </mergeCells>
  <pageMargins left="0.39370078740157483" right="0.39370078740157483" top="0.39370078740157483" bottom="0.39370078740157483" header="0.11811023622047244" footer="0.11811023622047244"/>
  <pageSetup paperSize="9" fitToWidth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TZ33"/>
  <sheetViews>
    <sheetView zoomScale="70" zoomScaleNormal="70" workbookViewId="0">
      <pane xSplit="2" topLeftCell="LA1" activePane="topRight" state="frozen"/>
      <selection activeCell="A4" sqref="A4"/>
      <selection pane="topRight" activeCell="MO12" sqref="MO12:MQ12"/>
    </sheetView>
  </sheetViews>
  <sheetFormatPr baseColWidth="10" defaultColWidth="5.7109375" defaultRowHeight="15" x14ac:dyDescent="0.25"/>
  <cols>
    <col min="1" max="1" width="17.7109375" style="168" customWidth="1"/>
    <col min="2" max="2" width="13.7109375" style="168" customWidth="1"/>
    <col min="3" max="5" width="4.7109375" style="156" customWidth="1"/>
    <col min="6" max="6" width="4.7109375" style="194" customWidth="1"/>
    <col min="7" max="7" width="8.7109375" style="195" customWidth="1"/>
    <col min="8" max="10" width="4.7109375" style="157" customWidth="1"/>
    <col min="11" max="11" width="4.7109375" style="195" customWidth="1"/>
    <col min="12" max="12" width="8.7109375" style="195" customWidth="1"/>
    <col min="13" max="15" width="4.7109375" style="157" customWidth="1"/>
    <col min="16" max="16" width="4.7109375" style="195" customWidth="1"/>
    <col min="17" max="17" width="8.7109375" style="195" customWidth="1"/>
    <col min="18" max="18" width="4.7109375" style="195" customWidth="1"/>
    <col min="19" max="19" width="8.7109375" style="195" customWidth="1"/>
    <col min="20" max="22" width="4.7109375" style="156" customWidth="1"/>
    <col min="23" max="23" width="4.7109375" style="194" customWidth="1"/>
    <col min="24" max="24" width="8.7109375" style="195" customWidth="1"/>
    <col min="25" max="27" width="4.7109375" style="157" customWidth="1"/>
    <col min="28" max="28" width="4.7109375" style="195" customWidth="1"/>
    <col min="29" max="29" width="8.7109375" style="195" customWidth="1"/>
    <col min="30" max="32" width="4.7109375" style="157" customWidth="1"/>
    <col min="33" max="33" width="4.7109375" style="195" customWidth="1"/>
    <col min="34" max="34" width="8.7109375" style="195" customWidth="1"/>
    <col min="35" max="35" width="4.7109375" style="195" customWidth="1"/>
    <col min="36" max="36" width="8.7109375" style="195" customWidth="1"/>
    <col min="37" max="40" width="4.7109375" style="156" customWidth="1"/>
    <col min="41" max="41" width="8.7109375" style="155" customWidth="1"/>
    <col min="42" max="44" width="4.7109375" style="157" customWidth="1"/>
    <col min="45" max="45" width="4.7109375" style="155" customWidth="1"/>
    <col min="46" max="46" width="8.7109375" style="155" customWidth="1"/>
    <col min="47" max="49" width="4.7109375" style="157" customWidth="1"/>
    <col min="50" max="50" width="4.7109375" style="155" customWidth="1"/>
    <col min="51" max="51" width="8.7109375" style="155" customWidth="1"/>
    <col min="52" max="52" width="4.7109375" style="155" customWidth="1"/>
    <col min="53" max="53" width="8.7109375" style="155" customWidth="1"/>
    <col min="54" max="57" width="4.7109375" style="156" customWidth="1"/>
    <col min="58" max="58" width="8.7109375" style="155" customWidth="1"/>
    <col min="59" max="61" width="4.7109375" style="157" customWidth="1"/>
    <col min="62" max="62" width="4.7109375" style="155" customWidth="1"/>
    <col min="63" max="63" width="8.7109375" style="155" customWidth="1"/>
    <col min="64" max="66" width="4.7109375" style="157" customWidth="1"/>
    <col min="67" max="67" width="4.7109375" style="155" customWidth="1"/>
    <col min="68" max="68" width="8.7109375" style="155" customWidth="1"/>
    <col min="69" max="69" width="4.7109375" style="155" customWidth="1"/>
    <col min="70" max="70" width="8.7109375" style="155" customWidth="1"/>
    <col min="71" max="74" width="4.7109375" style="156" customWidth="1"/>
    <col min="75" max="75" width="8.7109375" style="155" customWidth="1"/>
    <col min="76" max="78" width="4.7109375" style="157" customWidth="1"/>
    <col min="79" max="79" width="4.7109375" style="155" customWidth="1"/>
    <col min="80" max="80" width="8.7109375" style="155" customWidth="1"/>
    <col min="81" max="83" width="4.7109375" style="157" customWidth="1"/>
    <col min="84" max="84" width="4.7109375" style="155" customWidth="1"/>
    <col min="85" max="85" width="8.7109375" style="155" customWidth="1"/>
    <col min="86" max="86" width="4.7109375" style="155" customWidth="1"/>
    <col min="87" max="87" width="8.7109375" style="155" customWidth="1"/>
    <col min="88" max="91" width="4.7109375" style="156" customWidth="1"/>
    <col min="92" max="92" width="8.7109375" style="155" customWidth="1"/>
    <col min="93" max="95" width="4.7109375" style="157" customWidth="1"/>
    <col min="96" max="96" width="4.7109375" style="155" customWidth="1"/>
    <col min="97" max="97" width="8.7109375" style="155" customWidth="1"/>
    <col min="98" max="100" width="4.7109375" style="157" customWidth="1"/>
    <col min="101" max="101" width="4.7109375" style="155" customWidth="1"/>
    <col min="102" max="102" width="8.7109375" style="155" customWidth="1"/>
    <col min="103" max="103" width="4.7109375" style="155" customWidth="1"/>
    <col min="104" max="104" width="8.7109375" style="155" customWidth="1"/>
    <col min="105" max="108" width="4.7109375" style="156" customWidth="1"/>
    <col min="109" max="109" width="8.7109375" style="155" customWidth="1"/>
    <col min="110" max="112" width="4.7109375" style="157" customWidth="1"/>
    <col min="113" max="113" width="4.7109375" style="155" customWidth="1"/>
    <col min="114" max="114" width="8.7109375" style="155" customWidth="1"/>
    <col min="115" max="117" width="4.7109375" style="157" customWidth="1"/>
    <col min="118" max="118" width="4.7109375" style="155" customWidth="1"/>
    <col min="119" max="119" width="8.7109375" style="155" customWidth="1"/>
    <col min="120" max="120" width="4.7109375" style="155" customWidth="1"/>
    <col min="121" max="121" width="8.7109375" style="155" customWidth="1"/>
    <col min="122" max="125" width="4.7109375" style="156" customWidth="1"/>
    <col min="126" max="126" width="8.7109375" style="155" customWidth="1"/>
    <col min="127" max="129" width="4.7109375" style="157" customWidth="1"/>
    <col min="130" max="130" width="4.7109375" style="155" customWidth="1"/>
    <col min="131" max="131" width="8.7109375" style="155" customWidth="1"/>
    <col min="132" max="134" width="4.7109375" style="157" customWidth="1"/>
    <col min="135" max="135" width="4.7109375" style="155" customWidth="1"/>
    <col min="136" max="136" width="8.7109375" style="155" customWidth="1"/>
    <col min="137" max="137" width="4.7109375" style="155" customWidth="1"/>
    <col min="138" max="138" width="8.7109375" style="155" customWidth="1"/>
    <col min="139" max="142" width="4.7109375" style="156" customWidth="1"/>
    <col min="143" max="143" width="8.7109375" style="155" customWidth="1"/>
    <col min="144" max="146" width="4.7109375" style="157" customWidth="1"/>
    <col min="147" max="147" width="4.7109375" style="155" customWidth="1"/>
    <col min="148" max="148" width="8.7109375" style="155" customWidth="1"/>
    <col min="149" max="151" width="4.7109375" style="157" customWidth="1"/>
    <col min="152" max="152" width="4.7109375" style="155" customWidth="1"/>
    <col min="153" max="153" width="8.7109375" style="155" customWidth="1"/>
    <col min="154" max="154" width="4.7109375" style="155" customWidth="1"/>
    <col min="155" max="155" width="8.7109375" style="155" customWidth="1"/>
    <col min="156" max="159" width="4.7109375" style="156" customWidth="1"/>
    <col min="160" max="160" width="8.7109375" style="155" customWidth="1"/>
    <col min="161" max="163" width="4.7109375" style="157" customWidth="1"/>
    <col min="164" max="164" width="4.7109375" style="155" customWidth="1"/>
    <col min="165" max="165" width="8.7109375" style="155" customWidth="1"/>
    <col min="166" max="168" width="4.7109375" style="157" customWidth="1"/>
    <col min="169" max="169" width="4.7109375" style="155" customWidth="1"/>
    <col min="170" max="170" width="8.7109375" style="155" customWidth="1"/>
    <col min="171" max="171" width="4.7109375" style="155" customWidth="1"/>
    <col min="172" max="172" width="8.7109375" style="155" customWidth="1"/>
    <col min="173" max="176" width="4.7109375" style="156" customWidth="1"/>
    <col min="177" max="177" width="8.7109375" style="155" customWidth="1"/>
    <col min="178" max="180" width="4.7109375" style="157" customWidth="1"/>
    <col min="181" max="181" width="4.7109375" style="155" customWidth="1"/>
    <col min="182" max="182" width="8.7109375" style="155" customWidth="1"/>
    <col min="183" max="185" width="4.7109375" style="157" customWidth="1"/>
    <col min="186" max="186" width="4.7109375" style="155" customWidth="1"/>
    <col min="187" max="187" width="8.7109375" style="155" customWidth="1"/>
    <col min="188" max="188" width="4.7109375" style="155" customWidth="1"/>
    <col min="189" max="189" width="8.7109375" style="155" customWidth="1"/>
    <col min="190" max="193" width="4.7109375" style="156" customWidth="1"/>
    <col min="194" max="194" width="8.7109375" style="155" customWidth="1"/>
    <col min="195" max="197" width="4.7109375" style="157" customWidth="1"/>
    <col min="198" max="198" width="4.7109375" style="155" customWidth="1"/>
    <col min="199" max="199" width="8.7109375" style="155" customWidth="1"/>
    <col min="200" max="202" width="4.7109375" style="157" customWidth="1"/>
    <col min="203" max="203" width="4.7109375" style="155" customWidth="1"/>
    <col min="204" max="204" width="8.7109375" style="155" customWidth="1"/>
    <col min="205" max="205" width="4.7109375" style="155" customWidth="1"/>
    <col min="206" max="206" width="8.7109375" style="155" customWidth="1"/>
    <col min="207" max="210" width="4.7109375" style="156" customWidth="1"/>
    <col min="211" max="211" width="8.7109375" style="155" customWidth="1"/>
    <col min="212" max="214" width="4.7109375" style="157" customWidth="1"/>
    <col min="215" max="215" width="4.7109375" style="155" customWidth="1"/>
    <col min="216" max="216" width="8.7109375" style="155" customWidth="1"/>
    <col min="217" max="219" width="4.7109375" style="157" customWidth="1"/>
    <col min="220" max="220" width="4.7109375" style="155" customWidth="1"/>
    <col min="221" max="221" width="8.7109375" style="155" customWidth="1"/>
    <col min="222" max="222" width="4.7109375" style="155" customWidth="1"/>
    <col min="223" max="223" width="8.7109375" style="155" customWidth="1"/>
    <col min="224" max="227" width="4.7109375" style="156" customWidth="1"/>
    <col min="228" max="228" width="8.7109375" style="155" customWidth="1"/>
    <col min="229" max="231" width="4.7109375" style="157" customWidth="1"/>
    <col min="232" max="232" width="4.7109375" style="155" customWidth="1"/>
    <col min="233" max="233" width="8.7109375" style="155" customWidth="1"/>
    <col min="234" max="236" width="4.7109375" style="157" customWidth="1"/>
    <col min="237" max="237" width="4.7109375" style="155" customWidth="1"/>
    <col min="238" max="238" width="8.7109375" style="155" customWidth="1"/>
    <col min="239" max="239" width="4.7109375" style="155" customWidth="1"/>
    <col min="240" max="240" width="8.7109375" style="155" customWidth="1"/>
    <col min="241" max="244" width="4.7109375" style="156" customWidth="1"/>
    <col min="245" max="245" width="8.7109375" style="155" customWidth="1"/>
    <col min="246" max="248" width="4.7109375" style="157" customWidth="1"/>
    <col min="249" max="249" width="4.7109375" style="155" customWidth="1"/>
    <col min="250" max="250" width="8.7109375" style="155" customWidth="1"/>
    <col min="251" max="253" width="4.7109375" style="157" customWidth="1"/>
    <col min="254" max="254" width="4.7109375" style="155" customWidth="1"/>
    <col min="255" max="255" width="8.7109375" style="155" customWidth="1"/>
    <col min="256" max="256" width="4.7109375" style="155" customWidth="1"/>
    <col min="257" max="257" width="8.7109375" style="155" customWidth="1"/>
    <col min="258" max="261" width="4.7109375" style="156" customWidth="1"/>
    <col min="262" max="262" width="8.7109375" style="155" customWidth="1"/>
    <col min="263" max="265" width="4.7109375" style="157" customWidth="1"/>
    <col min="266" max="266" width="4.7109375" style="155" customWidth="1"/>
    <col min="267" max="267" width="8.7109375" style="155" customWidth="1"/>
    <col min="268" max="270" width="4.7109375" style="157" customWidth="1"/>
    <col min="271" max="271" width="4.7109375" style="155" customWidth="1"/>
    <col min="272" max="272" width="8.7109375" style="155" customWidth="1"/>
    <col min="273" max="273" width="4.7109375" style="155" customWidth="1"/>
    <col min="274" max="274" width="8.7109375" style="155" customWidth="1"/>
    <col min="275" max="278" width="4.7109375" style="156" customWidth="1"/>
    <col min="279" max="279" width="8.7109375" style="155" customWidth="1"/>
    <col min="280" max="282" width="4.7109375" style="157" customWidth="1"/>
    <col min="283" max="283" width="4.7109375" style="155" customWidth="1"/>
    <col min="284" max="284" width="8.7109375" style="155" customWidth="1"/>
    <col min="285" max="287" width="4.7109375" style="157" customWidth="1"/>
    <col min="288" max="288" width="4.7109375" style="155" customWidth="1"/>
    <col min="289" max="289" width="8.7109375" style="155" customWidth="1"/>
    <col min="290" max="290" width="4.7109375" style="155" customWidth="1"/>
    <col min="291" max="291" width="8.7109375" style="155" customWidth="1"/>
    <col min="292" max="295" width="4.7109375" style="156" customWidth="1"/>
    <col min="296" max="296" width="8.7109375" style="155" customWidth="1"/>
    <col min="297" max="299" width="4.7109375" style="157" customWidth="1"/>
    <col min="300" max="300" width="4.7109375" style="155" customWidth="1"/>
    <col min="301" max="301" width="8.7109375" style="155" customWidth="1"/>
    <col min="302" max="304" width="4.7109375" style="157" customWidth="1"/>
    <col min="305" max="305" width="4.7109375" style="155" customWidth="1"/>
    <col min="306" max="306" width="8.7109375" style="155" customWidth="1"/>
    <col min="307" max="307" width="4.7109375" style="155" customWidth="1"/>
    <col min="308" max="308" width="8.7109375" style="155" customWidth="1"/>
    <col min="309" max="312" width="4.7109375" style="156" customWidth="1"/>
    <col min="313" max="313" width="8.7109375" style="155" customWidth="1"/>
    <col min="314" max="316" width="4.7109375" style="157" customWidth="1"/>
    <col min="317" max="317" width="4.7109375" style="155" customWidth="1"/>
    <col min="318" max="318" width="8.7109375" style="155" customWidth="1"/>
    <col min="319" max="321" width="4.7109375" style="157" customWidth="1"/>
    <col min="322" max="322" width="4.7109375" style="155" customWidth="1"/>
    <col min="323" max="323" width="8.7109375" style="155" customWidth="1"/>
    <col min="324" max="324" width="4.7109375" style="155" customWidth="1"/>
    <col min="325" max="325" width="8.7109375" style="155" customWidth="1"/>
    <col min="326" max="329" width="4.7109375" style="156" customWidth="1"/>
    <col min="330" max="330" width="8.7109375" style="155" customWidth="1"/>
    <col min="331" max="333" width="4.7109375" style="157" customWidth="1"/>
    <col min="334" max="334" width="4.7109375" style="155" customWidth="1"/>
    <col min="335" max="335" width="8.7109375" style="155" customWidth="1"/>
    <col min="336" max="338" width="4.7109375" style="157" customWidth="1"/>
    <col min="339" max="339" width="4.7109375" style="155" customWidth="1"/>
    <col min="340" max="340" width="8.7109375" style="155" customWidth="1"/>
    <col min="341" max="341" width="4.7109375" style="155" customWidth="1"/>
    <col min="342" max="342" width="8.7109375" style="155" customWidth="1"/>
    <col min="343" max="346" width="4.7109375" style="156" customWidth="1"/>
    <col min="347" max="347" width="8.7109375" style="155" customWidth="1"/>
    <col min="348" max="350" width="4.7109375" style="157" customWidth="1"/>
    <col min="351" max="351" width="4.7109375" style="155" customWidth="1"/>
    <col min="352" max="352" width="8.7109375" style="155" customWidth="1"/>
    <col min="353" max="355" width="4.7109375" style="157" customWidth="1"/>
    <col min="356" max="356" width="4.7109375" style="155" customWidth="1"/>
    <col min="357" max="357" width="8.7109375" style="155" customWidth="1"/>
    <col min="358" max="358" width="4.7109375" style="155" customWidth="1"/>
    <col min="359" max="359" width="8.7109375" style="155" customWidth="1"/>
    <col min="360" max="363" width="4.7109375" style="156" customWidth="1"/>
    <col min="364" max="364" width="8.7109375" style="155" customWidth="1"/>
    <col min="365" max="367" width="4.7109375" style="157" customWidth="1"/>
    <col min="368" max="368" width="4.7109375" style="155" customWidth="1"/>
    <col min="369" max="369" width="8.7109375" style="155" customWidth="1"/>
    <col min="370" max="372" width="4.7109375" style="157" customWidth="1"/>
    <col min="373" max="373" width="4.7109375" style="155" customWidth="1"/>
    <col min="374" max="374" width="8.7109375" style="155" customWidth="1"/>
    <col min="375" max="375" width="4.7109375" style="155" customWidth="1"/>
    <col min="376" max="376" width="8.7109375" style="155" customWidth="1"/>
    <col min="377" max="380" width="4.7109375" style="156" customWidth="1"/>
    <col min="381" max="381" width="8.7109375" style="155" customWidth="1"/>
    <col min="382" max="384" width="4.7109375" style="157" customWidth="1"/>
    <col min="385" max="385" width="4.7109375" style="155" customWidth="1"/>
    <col min="386" max="386" width="8.7109375" style="155" customWidth="1"/>
    <col min="387" max="389" width="4.7109375" style="157" customWidth="1"/>
    <col min="390" max="390" width="4.7109375" style="155" customWidth="1"/>
    <col min="391" max="391" width="8.7109375" style="155" customWidth="1"/>
    <col min="392" max="392" width="4.7109375" style="155" customWidth="1"/>
    <col min="393" max="393" width="8.7109375" style="155" customWidth="1"/>
    <col min="394" max="397" width="4.7109375" style="156" customWidth="1"/>
    <col min="398" max="398" width="8.7109375" style="155" customWidth="1"/>
    <col min="399" max="401" width="4.7109375" style="157" customWidth="1"/>
    <col min="402" max="402" width="4.7109375" style="155" customWidth="1"/>
    <col min="403" max="403" width="8.7109375" style="155" customWidth="1"/>
    <col min="404" max="406" width="4.7109375" style="157" customWidth="1"/>
    <col min="407" max="407" width="4.7109375" style="155" customWidth="1"/>
    <col min="408" max="408" width="8.7109375" style="155" customWidth="1"/>
    <col min="409" max="409" width="4.7109375" style="155" customWidth="1"/>
    <col min="410" max="410" width="8.7109375" style="155" customWidth="1"/>
    <col min="411" max="414" width="4.7109375" style="156" customWidth="1"/>
    <col min="415" max="415" width="8.7109375" style="155" customWidth="1"/>
    <col min="416" max="418" width="4.7109375" style="157" customWidth="1"/>
    <col min="419" max="419" width="4.7109375" style="155" customWidth="1"/>
    <col min="420" max="420" width="8.7109375" style="155" customWidth="1"/>
    <col min="421" max="423" width="4.7109375" style="157" customWidth="1"/>
    <col min="424" max="424" width="4.7109375" style="155" customWidth="1"/>
    <col min="425" max="425" width="8.7109375" style="155" customWidth="1"/>
    <col min="426" max="426" width="4.7109375" style="155" customWidth="1"/>
    <col min="427" max="427" width="8.7109375" style="155" customWidth="1"/>
    <col min="428" max="431" width="4.7109375" style="156" customWidth="1"/>
    <col min="432" max="432" width="8.7109375" style="155" customWidth="1"/>
    <col min="433" max="435" width="4.7109375" style="157" customWidth="1"/>
    <col min="436" max="436" width="4.7109375" style="155" customWidth="1"/>
    <col min="437" max="437" width="8.7109375" style="155" customWidth="1"/>
    <col min="438" max="440" width="4.7109375" style="157" customWidth="1"/>
    <col min="441" max="441" width="4.7109375" style="155" customWidth="1"/>
    <col min="442" max="442" width="8.7109375" style="155" customWidth="1"/>
    <col min="443" max="443" width="4.7109375" style="155" customWidth="1"/>
    <col min="444" max="444" width="8.7109375" style="155" customWidth="1"/>
    <col min="445" max="448" width="4.7109375" style="156" customWidth="1"/>
    <col min="449" max="449" width="8.7109375" style="155" customWidth="1"/>
    <col min="450" max="452" width="4.7109375" style="157" customWidth="1"/>
    <col min="453" max="453" width="4.7109375" style="155" customWidth="1"/>
    <col min="454" max="454" width="8.7109375" style="155" customWidth="1"/>
    <col min="455" max="457" width="4.7109375" style="157" customWidth="1"/>
    <col min="458" max="458" width="4.7109375" style="155" customWidth="1"/>
    <col min="459" max="459" width="8.7109375" style="155" customWidth="1"/>
    <col min="460" max="460" width="4.7109375" style="155" customWidth="1"/>
    <col min="461" max="461" width="8.7109375" style="155" customWidth="1"/>
    <col min="462" max="465" width="4.7109375" style="156" customWidth="1"/>
    <col min="466" max="466" width="8.7109375" style="155" customWidth="1"/>
    <col min="467" max="469" width="4.7109375" style="157" customWidth="1"/>
    <col min="470" max="470" width="4.7109375" style="155" customWidth="1"/>
    <col min="471" max="471" width="8.7109375" style="155" customWidth="1"/>
    <col min="472" max="474" width="4.7109375" style="157" customWidth="1"/>
    <col min="475" max="475" width="4.7109375" style="155" customWidth="1"/>
    <col min="476" max="476" width="8.7109375" style="155" customWidth="1"/>
    <col min="477" max="477" width="4.7109375" style="155" customWidth="1"/>
    <col min="478" max="478" width="8.7109375" style="155" customWidth="1"/>
    <col min="479" max="482" width="4.7109375" style="156" customWidth="1"/>
    <col min="483" max="483" width="8.7109375" style="155" customWidth="1"/>
    <col min="484" max="486" width="4.7109375" style="157" customWidth="1"/>
    <col min="487" max="487" width="4.7109375" style="155" customWidth="1"/>
    <col min="488" max="488" width="8.7109375" style="155" customWidth="1"/>
    <col min="489" max="491" width="4.7109375" style="157" customWidth="1"/>
    <col min="492" max="492" width="4.7109375" style="155" customWidth="1"/>
    <col min="493" max="493" width="8.7109375" style="155" customWidth="1"/>
    <col min="494" max="494" width="4.7109375" style="155" customWidth="1"/>
    <col min="495" max="495" width="8.7109375" style="155" customWidth="1"/>
    <col min="496" max="499" width="4.7109375" style="156" customWidth="1"/>
    <col min="500" max="500" width="8.7109375" style="155" customWidth="1"/>
    <col min="501" max="503" width="4.7109375" style="157" customWidth="1"/>
    <col min="504" max="504" width="4.7109375" style="155" customWidth="1"/>
    <col min="505" max="505" width="8.7109375" style="155" customWidth="1"/>
    <col min="506" max="508" width="4.7109375" style="157" customWidth="1"/>
    <col min="509" max="509" width="4.7109375" style="155" customWidth="1"/>
    <col min="510" max="510" width="8.7109375" style="155" customWidth="1"/>
    <col min="511" max="511" width="4.7109375" style="155" customWidth="1"/>
    <col min="512" max="512" width="8.7109375" style="155" customWidth="1"/>
    <col min="513" max="516" width="4.7109375" style="156" customWidth="1"/>
    <col min="517" max="517" width="8.7109375" style="155" customWidth="1"/>
    <col min="518" max="520" width="4.7109375" style="157" customWidth="1"/>
    <col min="521" max="521" width="4.7109375" style="155" customWidth="1"/>
    <col min="522" max="522" width="8.7109375" style="155" customWidth="1"/>
    <col min="523" max="525" width="4.7109375" style="157" customWidth="1"/>
    <col min="526" max="526" width="4.7109375" style="155" customWidth="1"/>
    <col min="527" max="527" width="8.7109375" style="155" customWidth="1"/>
    <col min="528" max="528" width="4.7109375" style="155" customWidth="1"/>
    <col min="529" max="529" width="8.7109375" style="155" customWidth="1"/>
    <col min="530" max="533" width="4.7109375" style="73" customWidth="1"/>
    <col min="534" max="534" width="8.7109375" style="73" customWidth="1"/>
    <col min="535" max="538" width="4.7109375" style="73" customWidth="1"/>
    <col min="539" max="539" width="8.7109375" style="73" customWidth="1"/>
    <col min="540" max="543" width="4.7109375" style="73" customWidth="1"/>
    <col min="544" max="544" width="8.7109375" style="73" customWidth="1"/>
    <col min="545" max="545" width="4.7109375" style="73" customWidth="1"/>
    <col min="546" max="546" width="8.7109375" style="73" customWidth="1"/>
    <col min="547" max="16384" width="5.7109375" style="73"/>
  </cols>
  <sheetData>
    <row r="1" spans="1:546" ht="15.75" thickBot="1" x14ac:dyDescent="0.3">
      <c r="A1" s="248" t="s">
        <v>43</v>
      </c>
      <c r="B1" s="249"/>
      <c r="C1" s="170">
        <v>4</v>
      </c>
      <c r="D1" s="70"/>
      <c r="E1" s="70"/>
      <c r="F1" s="177"/>
      <c r="G1" s="178"/>
      <c r="H1" s="175"/>
      <c r="I1" s="72"/>
      <c r="J1" s="72"/>
      <c r="K1" s="178"/>
      <c r="L1" s="178"/>
      <c r="M1" s="175"/>
      <c r="N1" s="72"/>
      <c r="O1" s="72"/>
      <c r="P1" s="178"/>
      <c r="Q1" s="178"/>
      <c r="R1" s="178"/>
      <c r="S1" s="178"/>
      <c r="T1" s="170">
        <f>C1+1</f>
        <v>5</v>
      </c>
      <c r="U1" s="70"/>
      <c r="V1" s="70"/>
      <c r="W1" s="177"/>
      <c r="X1" s="178"/>
      <c r="Y1" s="175"/>
      <c r="Z1" s="72"/>
      <c r="AA1" s="72"/>
      <c r="AB1" s="178"/>
      <c r="AC1" s="178"/>
      <c r="AD1" s="175"/>
      <c r="AE1" s="72"/>
      <c r="AF1" s="72"/>
      <c r="AG1" s="178"/>
      <c r="AH1" s="178"/>
      <c r="AI1" s="178"/>
      <c r="AJ1" s="178"/>
      <c r="AK1" s="170">
        <f>T1+1</f>
        <v>6</v>
      </c>
      <c r="AL1" s="70"/>
      <c r="AM1" s="70"/>
      <c r="AN1" s="177"/>
      <c r="AO1" s="178"/>
      <c r="AP1" s="175"/>
      <c r="AQ1" s="72"/>
      <c r="AR1" s="72"/>
      <c r="AS1" s="178"/>
      <c r="AT1" s="178"/>
      <c r="AU1" s="175"/>
      <c r="AV1" s="72"/>
      <c r="AW1" s="72"/>
      <c r="AX1" s="178"/>
      <c r="AY1" s="178"/>
      <c r="AZ1" s="178"/>
      <c r="BA1" s="178"/>
      <c r="BB1" s="170">
        <f>AK1+1</f>
        <v>7</v>
      </c>
      <c r="BC1" s="70"/>
      <c r="BD1" s="70"/>
      <c r="BE1" s="177"/>
      <c r="BF1" s="178"/>
      <c r="BG1" s="175"/>
      <c r="BH1" s="72"/>
      <c r="BI1" s="72"/>
      <c r="BJ1" s="178"/>
      <c r="BK1" s="178"/>
      <c r="BL1" s="175"/>
      <c r="BM1" s="72"/>
      <c r="BN1" s="72"/>
      <c r="BO1" s="178"/>
      <c r="BP1" s="178"/>
      <c r="BQ1" s="178"/>
      <c r="BR1" s="178"/>
      <c r="BS1" s="170">
        <f>BB1+1</f>
        <v>8</v>
      </c>
      <c r="BT1" s="70"/>
      <c r="BU1" s="70"/>
      <c r="BV1" s="177"/>
      <c r="BW1" s="178"/>
      <c r="BX1" s="175"/>
      <c r="BY1" s="72"/>
      <c r="BZ1" s="72"/>
      <c r="CA1" s="178"/>
      <c r="CB1" s="178"/>
      <c r="CC1" s="175"/>
      <c r="CD1" s="72"/>
      <c r="CE1" s="72"/>
      <c r="CF1" s="178"/>
      <c r="CG1" s="178"/>
      <c r="CH1" s="178"/>
      <c r="CI1" s="178"/>
      <c r="CJ1" s="170">
        <f>BS1+1</f>
        <v>9</v>
      </c>
      <c r="CK1" s="70"/>
      <c r="CL1" s="70"/>
      <c r="CM1" s="177"/>
      <c r="CN1" s="178"/>
      <c r="CO1" s="175"/>
      <c r="CP1" s="72"/>
      <c r="CQ1" s="72"/>
      <c r="CR1" s="178"/>
      <c r="CS1" s="178"/>
      <c r="CT1" s="175"/>
      <c r="CU1" s="72"/>
      <c r="CV1" s="72"/>
      <c r="CW1" s="178"/>
      <c r="CX1" s="178"/>
      <c r="CY1" s="178"/>
      <c r="CZ1" s="178"/>
      <c r="DA1" s="170">
        <f>CJ1+1</f>
        <v>10</v>
      </c>
      <c r="DB1" s="70"/>
      <c r="DC1" s="70"/>
      <c r="DD1" s="177"/>
      <c r="DE1" s="178"/>
      <c r="DF1" s="175"/>
      <c r="DG1" s="72"/>
      <c r="DH1" s="72"/>
      <c r="DI1" s="178"/>
      <c r="DJ1" s="178"/>
      <c r="DK1" s="175"/>
      <c r="DL1" s="72"/>
      <c r="DM1" s="72"/>
      <c r="DN1" s="178"/>
      <c r="DO1" s="178"/>
      <c r="DP1" s="178"/>
      <c r="DQ1" s="178"/>
      <c r="DR1" s="170">
        <f>DA1+1</f>
        <v>11</v>
      </c>
      <c r="DS1" s="70"/>
      <c r="DT1" s="70"/>
      <c r="DU1" s="177"/>
      <c r="DV1" s="178"/>
      <c r="DW1" s="175"/>
      <c r="DX1" s="72"/>
      <c r="DY1" s="72"/>
      <c r="DZ1" s="178"/>
      <c r="EA1" s="178"/>
      <c r="EB1" s="175"/>
      <c r="EC1" s="72"/>
      <c r="ED1" s="72"/>
      <c r="EE1" s="178"/>
      <c r="EF1" s="178"/>
      <c r="EG1" s="178"/>
      <c r="EH1" s="178"/>
      <c r="EI1" s="170">
        <f>DR1+1</f>
        <v>12</v>
      </c>
      <c r="EJ1" s="70"/>
      <c r="EK1" s="70"/>
      <c r="EL1" s="177"/>
      <c r="EM1" s="178"/>
      <c r="EN1" s="175"/>
      <c r="EO1" s="72"/>
      <c r="EP1" s="72"/>
      <c r="EQ1" s="178"/>
      <c r="ER1" s="178"/>
      <c r="ES1" s="175"/>
      <c r="ET1" s="72"/>
      <c r="EU1" s="72"/>
      <c r="EV1" s="178"/>
      <c r="EW1" s="178"/>
      <c r="EX1" s="178"/>
      <c r="EY1" s="178"/>
      <c r="EZ1" s="170">
        <f>EI1+1</f>
        <v>13</v>
      </c>
      <c r="FA1" s="70"/>
      <c r="FB1" s="70"/>
      <c r="FC1" s="177"/>
      <c r="FD1" s="178"/>
      <c r="FE1" s="175"/>
      <c r="FF1" s="72"/>
      <c r="FG1" s="72"/>
      <c r="FH1" s="178"/>
      <c r="FI1" s="178"/>
      <c r="FJ1" s="175"/>
      <c r="FK1" s="72"/>
      <c r="FL1" s="72"/>
      <c r="FM1" s="178"/>
      <c r="FN1" s="178"/>
      <c r="FO1" s="178"/>
      <c r="FP1" s="178"/>
      <c r="FQ1" s="170">
        <f>EZ1+1</f>
        <v>14</v>
      </c>
      <c r="FR1" s="70"/>
      <c r="FS1" s="70"/>
      <c r="FT1" s="177"/>
      <c r="FU1" s="178"/>
      <c r="FV1" s="175"/>
      <c r="FW1" s="72"/>
      <c r="FX1" s="72"/>
      <c r="FY1" s="178"/>
      <c r="FZ1" s="178"/>
      <c r="GA1" s="175"/>
      <c r="GB1" s="72"/>
      <c r="GC1" s="72"/>
      <c r="GD1" s="178"/>
      <c r="GE1" s="178"/>
      <c r="GF1" s="178"/>
      <c r="GG1" s="178"/>
      <c r="GH1" s="170">
        <f>FQ1+1</f>
        <v>15</v>
      </c>
      <c r="GI1" s="70"/>
      <c r="GJ1" s="70"/>
      <c r="GK1" s="177"/>
      <c r="GL1" s="178"/>
      <c r="GM1" s="175"/>
      <c r="GN1" s="72"/>
      <c r="GO1" s="72"/>
      <c r="GP1" s="178"/>
      <c r="GQ1" s="178"/>
      <c r="GR1" s="175"/>
      <c r="GS1" s="72"/>
      <c r="GT1" s="72"/>
      <c r="GU1" s="178"/>
      <c r="GV1" s="178"/>
      <c r="GW1" s="178"/>
      <c r="GX1" s="178"/>
      <c r="GY1" s="170">
        <f>GH1+1</f>
        <v>16</v>
      </c>
      <c r="GZ1" s="70"/>
      <c r="HA1" s="70"/>
      <c r="HB1" s="177"/>
      <c r="HC1" s="178"/>
      <c r="HD1" s="175"/>
      <c r="HE1" s="72"/>
      <c r="HF1" s="72"/>
      <c r="HG1" s="178"/>
      <c r="HH1" s="178"/>
      <c r="HI1" s="175"/>
      <c r="HJ1" s="72"/>
      <c r="HK1" s="72"/>
      <c r="HL1" s="178"/>
      <c r="HM1" s="178"/>
      <c r="HN1" s="178"/>
      <c r="HO1" s="178"/>
      <c r="HP1" s="170">
        <f>GY1+1</f>
        <v>17</v>
      </c>
      <c r="HQ1" s="70"/>
      <c r="HR1" s="70"/>
      <c r="HS1" s="177"/>
      <c r="HT1" s="178"/>
      <c r="HU1" s="175"/>
      <c r="HV1" s="72"/>
      <c r="HW1" s="72"/>
      <c r="HX1" s="178"/>
      <c r="HY1" s="178"/>
      <c r="HZ1" s="175"/>
      <c r="IA1" s="72"/>
      <c r="IB1" s="72"/>
      <c r="IC1" s="178"/>
      <c r="ID1" s="178"/>
      <c r="IE1" s="178"/>
      <c r="IF1" s="178"/>
      <c r="IG1" s="170">
        <f>HP1+1</f>
        <v>18</v>
      </c>
      <c r="IH1" s="70"/>
      <c r="II1" s="70"/>
      <c r="IJ1" s="177"/>
      <c r="IK1" s="178"/>
      <c r="IL1" s="175"/>
      <c r="IM1" s="72"/>
      <c r="IN1" s="72"/>
      <c r="IO1" s="178"/>
      <c r="IP1" s="178"/>
      <c r="IQ1" s="175"/>
      <c r="IR1" s="72"/>
      <c r="IS1" s="72"/>
      <c r="IT1" s="178"/>
      <c r="IU1" s="178"/>
      <c r="IV1" s="178"/>
      <c r="IW1" s="178"/>
      <c r="IX1" s="170">
        <f>IG1+1</f>
        <v>19</v>
      </c>
      <c r="IY1" s="70"/>
      <c r="IZ1" s="70"/>
      <c r="JA1" s="177"/>
      <c r="JB1" s="178"/>
      <c r="JC1" s="175"/>
      <c r="JD1" s="72"/>
      <c r="JE1" s="72"/>
      <c r="JF1" s="178"/>
      <c r="JG1" s="178"/>
      <c r="JH1" s="175"/>
      <c r="JI1" s="72"/>
      <c r="JJ1" s="72"/>
      <c r="JK1" s="178"/>
      <c r="JL1" s="178"/>
      <c r="JM1" s="178"/>
      <c r="JN1" s="178"/>
      <c r="JO1" s="170">
        <f>IX1+1</f>
        <v>20</v>
      </c>
      <c r="JP1" s="70"/>
      <c r="JQ1" s="70"/>
      <c r="JR1" s="177"/>
      <c r="JS1" s="178"/>
      <c r="JT1" s="175"/>
      <c r="JU1" s="72"/>
      <c r="JV1" s="72"/>
      <c r="JW1" s="178"/>
      <c r="JX1" s="178"/>
      <c r="JY1" s="175"/>
      <c r="JZ1" s="72"/>
      <c r="KA1" s="72"/>
      <c r="KB1" s="178"/>
      <c r="KC1" s="178"/>
      <c r="KD1" s="178"/>
      <c r="KE1" s="178"/>
      <c r="KF1" s="170">
        <f>JO1+1</f>
        <v>21</v>
      </c>
      <c r="KG1" s="70"/>
      <c r="KH1" s="70"/>
      <c r="KI1" s="177"/>
      <c r="KJ1" s="178"/>
      <c r="KK1" s="175"/>
      <c r="KL1" s="72"/>
      <c r="KM1" s="72"/>
      <c r="KN1" s="178"/>
      <c r="KO1" s="178"/>
      <c r="KP1" s="175"/>
      <c r="KQ1" s="72"/>
      <c r="KR1" s="72"/>
      <c r="KS1" s="178"/>
      <c r="KT1" s="178"/>
      <c r="KU1" s="178"/>
      <c r="KV1" s="178"/>
      <c r="KW1" s="170">
        <f>KF1+1</f>
        <v>22</v>
      </c>
      <c r="KX1" s="70"/>
      <c r="KY1" s="70"/>
      <c r="KZ1" s="177"/>
      <c r="LA1" s="178"/>
      <c r="LB1" s="175"/>
      <c r="LC1" s="72"/>
      <c r="LD1" s="72"/>
      <c r="LE1" s="178"/>
      <c r="LF1" s="178"/>
      <c r="LG1" s="175"/>
      <c r="LH1" s="72"/>
      <c r="LI1" s="72"/>
      <c r="LJ1" s="178"/>
      <c r="LK1" s="178"/>
      <c r="LL1" s="178"/>
      <c r="LM1" s="178"/>
      <c r="LN1" s="170">
        <f>KW1+1</f>
        <v>23</v>
      </c>
      <c r="LO1" s="70"/>
      <c r="LP1" s="70"/>
      <c r="LQ1" s="177"/>
      <c r="LR1" s="178"/>
      <c r="LS1" s="175"/>
      <c r="LT1" s="72"/>
      <c r="LU1" s="72"/>
      <c r="LV1" s="178"/>
      <c r="LW1" s="178"/>
      <c r="LX1" s="175"/>
      <c r="LY1" s="72"/>
      <c r="LZ1" s="72"/>
      <c r="MA1" s="178"/>
      <c r="MB1" s="178"/>
      <c r="MC1" s="178"/>
      <c r="MD1" s="178"/>
      <c r="ME1" s="170">
        <f>LN1+1</f>
        <v>24</v>
      </c>
      <c r="MF1" s="70"/>
      <c r="MG1" s="70"/>
      <c r="MH1" s="177"/>
      <c r="MI1" s="178"/>
      <c r="MJ1" s="175"/>
      <c r="MK1" s="72"/>
      <c r="ML1" s="72"/>
      <c r="MM1" s="178"/>
      <c r="MN1" s="178"/>
      <c r="MO1" s="175"/>
      <c r="MP1" s="72"/>
      <c r="MQ1" s="72"/>
      <c r="MR1" s="178"/>
      <c r="MS1" s="178"/>
      <c r="MT1" s="178"/>
      <c r="MU1" s="178"/>
      <c r="MV1" s="170">
        <f>ME1+1</f>
        <v>25</v>
      </c>
      <c r="MW1" s="70"/>
      <c r="MX1" s="70"/>
      <c r="MY1" s="177"/>
      <c r="MZ1" s="178"/>
      <c r="NA1" s="175"/>
      <c r="NB1" s="72"/>
      <c r="NC1" s="72"/>
      <c r="ND1" s="178"/>
      <c r="NE1" s="178"/>
      <c r="NF1" s="175"/>
      <c r="NG1" s="72"/>
      <c r="NH1" s="72"/>
      <c r="NI1" s="178"/>
      <c r="NJ1" s="178"/>
      <c r="NK1" s="178"/>
      <c r="NL1" s="178"/>
      <c r="NM1" s="170">
        <f>MV1+1</f>
        <v>26</v>
      </c>
      <c r="NN1" s="70"/>
      <c r="NO1" s="70"/>
      <c r="NP1" s="177"/>
      <c r="NQ1" s="178"/>
      <c r="NR1" s="175"/>
      <c r="NS1" s="72"/>
      <c r="NT1" s="72"/>
      <c r="NU1" s="178"/>
      <c r="NV1" s="178"/>
      <c r="NW1" s="175"/>
      <c r="NX1" s="72"/>
      <c r="NY1" s="72"/>
      <c r="NZ1" s="178"/>
      <c r="OA1" s="178"/>
      <c r="OB1" s="178"/>
      <c r="OC1" s="178"/>
      <c r="OD1" s="170">
        <f>NM1+1</f>
        <v>27</v>
      </c>
      <c r="OE1" s="70"/>
      <c r="OF1" s="70"/>
      <c r="OG1" s="177"/>
      <c r="OH1" s="178"/>
      <c r="OI1" s="175"/>
      <c r="OJ1" s="72"/>
      <c r="OK1" s="72"/>
      <c r="OL1" s="178"/>
      <c r="OM1" s="178"/>
      <c r="ON1" s="175"/>
      <c r="OO1" s="72"/>
      <c r="OP1" s="72"/>
      <c r="OQ1" s="178"/>
      <c r="OR1" s="178"/>
      <c r="OS1" s="178"/>
      <c r="OT1" s="178"/>
      <c r="OU1" s="170">
        <f>OD1+1</f>
        <v>28</v>
      </c>
      <c r="OV1" s="70"/>
      <c r="OW1" s="70"/>
      <c r="OX1" s="177"/>
      <c r="OY1" s="178"/>
      <c r="OZ1" s="175"/>
      <c r="PA1" s="72"/>
      <c r="PB1" s="72"/>
      <c r="PC1" s="178"/>
      <c r="PD1" s="178"/>
      <c r="PE1" s="175"/>
      <c r="PF1" s="72"/>
      <c r="PG1" s="72"/>
      <c r="PH1" s="178"/>
      <c r="PI1" s="178"/>
      <c r="PJ1" s="178"/>
      <c r="PK1" s="178"/>
      <c r="PL1" s="170">
        <f>OU1+1</f>
        <v>29</v>
      </c>
      <c r="PM1" s="70"/>
      <c r="PN1" s="70"/>
      <c r="PO1" s="177"/>
      <c r="PP1" s="178"/>
      <c r="PQ1" s="175"/>
      <c r="PR1" s="72"/>
      <c r="PS1" s="72"/>
      <c r="PT1" s="178"/>
      <c r="PU1" s="178"/>
      <c r="PV1" s="175"/>
      <c r="PW1" s="72"/>
      <c r="PX1" s="72"/>
      <c r="PY1" s="178"/>
      <c r="PZ1" s="178"/>
      <c r="QA1" s="178"/>
      <c r="QB1" s="178"/>
      <c r="QC1" s="170">
        <f>PL1+1</f>
        <v>30</v>
      </c>
      <c r="QD1" s="70"/>
      <c r="QE1" s="70"/>
      <c r="QF1" s="177"/>
      <c r="QG1" s="178"/>
      <c r="QH1" s="175"/>
      <c r="QI1" s="72"/>
      <c r="QJ1" s="72"/>
      <c r="QK1" s="178"/>
      <c r="QL1" s="178"/>
      <c r="QM1" s="175"/>
      <c r="QN1" s="72"/>
      <c r="QO1" s="72"/>
      <c r="QP1" s="178"/>
      <c r="QQ1" s="178"/>
      <c r="QR1" s="178"/>
      <c r="QS1" s="178"/>
      <c r="QT1" s="69">
        <f>QC1+1</f>
        <v>31</v>
      </c>
      <c r="QU1" s="70"/>
      <c r="QV1" s="70"/>
      <c r="QW1" s="70"/>
      <c r="QX1" s="71"/>
      <c r="QY1" s="72"/>
      <c r="QZ1" s="72"/>
      <c r="RA1" s="72"/>
      <c r="RB1" s="71"/>
      <c r="RC1" s="71"/>
      <c r="RD1" s="72"/>
      <c r="RE1" s="72"/>
      <c r="RF1" s="72"/>
      <c r="RG1" s="71"/>
      <c r="RH1" s="71"/>
      <c r="RI1" s="71"/>
      <c r="RJ1" s="71"/>
      <c r="RK1" s="69">
        <f>QT1+1</f>
        <v>32</v>
      </c>
      <c r="RL1" s="70"/>
      <c r="RM1" s="70"/>
      <c r="RN1" s="70"/>
      <c r="RO1" s="71"/>
      <c r="RP1" s="72"/>
      <c r="RQ1" s="72"/>
      <c r="RR1" s="72"/>
      <c r="RS1" s="71"/>
      <c r="RT1" s="71"/>
      <c r="RU1" s="72"/>
      <c r="RV1" s="72"/>
      <c r="RW1" s="72"/>
      <c r="RX1" s="71"/>
      <c r="RY1" s="71"/>
      <c r="RZ1" s="71"/>
      <c r="SA1" s="71"/>
      <c r="SB1" s="69">
        <f>RK1+1</f>
        <v>33</v>
      </c>
      <c r="SC1" s="70"/>
      <c r="SD1" s="70"/>
      <c r="SE1" s="70"/>
      <c r="SF1" s="71"/>
      <c r="SG1" s="72"/>
      <c r="SH1" s="72"/>
      <c r="SI1" s="72"/>
      <c r="SJ1" s="71"/>
      <c r="SK1" s="71"/>
      <c r="SL1" s="72"/>
      <c r="SM1" s="72"/>
      <c r="SN1" s="72"/>
      <c r="SO1" s="71"/>
      <c r="SP1" s="71"/>
      <c r="SQ1" s="71"/>
      <c r="SR1" s="71"/>
      <c r="SS1" s="69">
        <f>SB1+1</f>
        <v>34</v>
      </c>
      <c r="ST1" s="70"/>
      <c r="SU1" s="70"/>
      <c r="SV1" s="70"/>
      <c r="SW1" s="71"/>
      <c r="SX1" s="72"/>
      <c r="SY1" s="72"/>
      <c r="SZ1" s="72"/>
      <c r="TA1" s="71"/>
      <c r="TB1" s="71"/>
      <c r="TC1" s="72"/>
      <c r="TD1" s="72"/>
      <c r="TE1" s="72"/>
      <c r="TF1" s="71"/>
      <c r="TG1" s="71"/>
      <c r="TH1" s="71"/>
      <c r="TI1" s="71"/>
      <c r="TJ1" s="69">
        <f>SS1+1</f>
        <v>35</v>
      </c>
      <c r="TK1" s="70"/>
      <c r="TL1" s="70"/>
      <c r="TM1" s="70"/>
      <c r="TN1" s="71"/>
      <c r="TO1" s="72"/>
      <c r="TP1" s="72"/>
      <c r="TQ1" s="72"/>
      <c r="TR1" s="71"/>
      <c r="TS1" s="71"/>
      <c r="TT1" s="72"/>
      <c r="TU1" s="72"/>
      <c r="TV1" s="72"/>
      <c r="TW1" s="71"/>
      <c r="TX1" s="71"/>
      <c r="TY1" s="71"/>
      <c r="TZ1" s="71"/>
    </row>
    <row r="2" spans="1:546" ht="60" customHeight="1" thickBot="1" x14ac:dyDescent="0.3">
      <c r="A2" s="158" t="s">
        <v>42</v>
      </c>
      <c r="B2" s="159" t="s">
        <v>196</v>
      </c>
      <c r="C2" s="171" t="str">
        <f ca="1">IF(CELL("contenu",INDIRECT(ADDRESS(C1,1,1,1,CELL("contenu",$B$2))))="","----",CELL("contenu",INDIRECT(ADDRESS(C1,1,1,1,CELL("contenu",$B$2)))))</f>
        <v>ANDRE Gabrielle</v>
      </c>
      <c r="D2" s="169"/>
      <c r="E2" s="169"/>
      <c r="F2" s="171"/>
      <c r="G2" s="171"/>
      <c r="H2" s="171"/>
      <c r="I2" s="169"/>
      <c r="J2" s="169"/>
      <c r="K2" s="171"/>
      <c r="L2" s="171"/>
      <c r="M2" s="171"/>
      <c r="N2" s="169"/>
      <c r="O2" s="169"/>
      <c r="P2" s="171"/>
      <c r="Q2" s="171"/>
      <c r="R2" s="171"/>
      <c r="S2" s="200"/>
      <c r="T2" s="171" t="str">
        <f ca="1">IF(CELL("contenu",INDIRECT(ADDRESS(T1,1,1,1,CELL("contenu",$B$2))))="","----",CELL("contenu",INDIRECT(ADDRESS(T1,1,1,1,CELL("contenu",$B$2)))))</f>
        <v>BORGYE Lisa</v>
      </c>
      <c r="U2" s="169"/>
      <c r="V2" s="169"/>
      <c r="W2" s="171"/>
      <c r="X2" s="171"/>
      <c r="Y2" s="171"/>
      <c r="Z2" s="169"/>
      <c r="AA2" s="169"/>
      <c r="AB2" s="171"/>
      <c r="AC2" s="171"/>
      <c r="AD2" s="171"/>
      <c r="AE2" s="169"/>
      <c r="AF2" s="169"/>
      <c r="AG2" s="171"/>
      <c r="AH2" s="171"/>
      <c r="AI2" s="171"/>
      <c r="AJ2" s="200"/>
      <c r="AK2" s="171" t="str">
        <f ca="1">IF(CELL("contenu",INDIRECT(ADDRESS(AK1,1,1,1,CELL("contenu",$B$2))))="","----",CELL("contenu",INDIRECT(ADDRESS(AK1,1,1,1,CELL("contenu",$B$2)))))</f>
        <v>BOUE Lucie</v>
      </c>
      <c r="AL2" s="169"/>
      <c r="AM2" s="169"/>
      <c r="AN2" s="171"/>
      <c r="AO2" s="171"/>
      <c r="AP2" s="171"/>
      <c r="AQ2" s="169"/>
      <c r="AR2" s="169"/>
      <c r="AS2" s="171"/>
      <c r="AT2" s="171"/>
      <c r="AU2" s="171"/>
      <c r="AV2" s="169"/>
      <c r="AW2" s="169"/>
      <c r="AX2" s="171"/>
      <c r="AY2" s="171"/>
      <c r="AZ2" s="171"/>
      <c r="BA2" s="200"/>
      <c r="BB2" s="171" t="str">
        <f ca="1">IF(CELL("contenu",INDIRECT(ADDRESS(BB1,1,1,1,CELL("contenu",$B$2))))="","----",CELL("contenu",INDIRECT(ADDRESS(BB1,1,1,1,CELL("contenu",$B$2)))))</f>
        <v>CHALAND Marine</v>
      </c>
      <c r="BC2" s="169"/>
      <c r="BD2" s="169"/>
      <c r="BE2" s="171"/>
      <c r="BF2" s="171"/>
      <c r="BG2" s="171"/>
      <c r="BH2" s="169"/>
      <c r="BI2" s="169"/>
      <c r="BJ2" s="171"/>
      <c r="BK2" s="171"/>
      <c r="BL2" s="171"/>
      <c r="BM2" s="169"/>
      <c r="BN2" s="169"/>
      <c r="BO2" s="171"/>
      <c r="BP2" s="171"/>
      <c r="BQ2" s="171"/>
      <c r="BR2" s="200"/>
      <c r="BS2" s="171" t="str">
        <f ca="1">IF(CELL("contenu",INDIRECT(ADDRESS(BS1,1,1,1,CELL("contenu",$B$2))))="","----",CELL("contenu",INDIRECT(ADDRESS(BS1,1,1,1,CELL("contenu",$B$2)))))</f>
        <v>COFFI-BOTREAU Eloise</v>
      </c>
      <c r="BT2" s="169"/>
      <c r="BU2" s="169"/>
      <c r="BV2" s="171"/>
      <c r="BW2" s="171"/>
      <c r="BX2" s="171"/>
      <c r="BY2" s="169"/>
      <c r="BZ2" s="169"/>
      <c r="CA2" s="171"/>
      <c r="CB2" s="171"/>
      <c r="CC2" s="171"/>
      <c r="CD2" s="169"/>
      <c r="CE2" s="169"/>
      <c r="CF2" s="171"/>
      <c r="CG2" s="171"/>
      <c r="CH2" s="171"/>
      <c r="CI2" s="200"/>
      <c r="CJ2" s="171" t="str">
        <f ca="1">IF(CELL("contenu",INDIRECT(ADDRESS(CJ1,1,1,1,CELL("contenu",$B$2))))="","----",CELL("contenu",INDIRECT(ADDRESS(CJ1,1,1,1,CELL("contenu",$B$2)))))</f>
        <v>COSTA Jose</v>
      </c>
      <c r="CK2" s="169"/>
      <c r="CL2" s="169"/>
      <c r="CM2" s="171"/>
      <c r="CN2" s="171"/>
      <c r="CO2" s="171"/>
      <c r="CP2" s="169"/>
      <c r="CQ2" s="169"/>
      <c r="CR2" s="171"/>
      <c r="CS2" s="171"/>
      <c r="CT2" s="171"/>
      <c r="CU2" s="169"/>
      <c r="CV2" s="169"/>
      <c r="CW2" s="171"/>
      <c r="CX2" s="171"/>
      <c r="CY2" s="171"/>
      <c r="CZ2" s="200"/>
      <c r="DA2" s="171" t="str">
        <f ca="1">IF(CELL("contenu",INDIRECT(ADDRESS(DA1,1,1,1,CELL("contenu",$B$2))))="","----",CELL("contenu",INDIRECT(ADDRESS(DA1,1,1,1,CELL("contenu",$B$2)))))</f>
        <v>DE GERMAY Paul</v>
      </c>
      <c r="DB2" s="169"/>
      <c r="DC2" s="169"/>
      <c r="DD2" s="171"/>
      <c r="DE2" s="171"/>
      <c r="DF2" s="171"/>
      <c r="DG2" s="169"/>
      <c r="DH2" s="169"/>
      <c r="DI2" s="171"/>
      <c r="DJ2" s="171"/>
      <c r="DK2" s="171"/>
      <c r="DL2" s="169"/>
      <c r="DM2" s="169"/>
      <c r="DN2" s="171"/>
      <c r="DO2" s="171"/>
      <c r="DP2" s="171"/>
      <c r="DQ2" s="200"/>
      <c r="DR2" s="171" t="str">
        <f ca="1">IF(CELL("contenu",INDIRECT(ADDRESS(DR1,1,1,1,CELL("contenu",$B$2))))="","----",CELL("contenu",INDIRECT(ADDRESS(DR1,1,1,1,CELL("contenu",$B$2)))))</f>
        <v>DE PONCHEVILLE Aliette</v>
      </c>
      <c r="DS2" s="169"/>
      <c r="DT2" s="169"/>
      <c r="DU2" s="171"/>
      <c r="DV2" s="171"/>
      <c r="DW2" s="171"/>
      <c r="DX2" s="169"/>
      <c r="DY2" s="169"/>
      <c r="DZ2" s="171"/>
      <c r="EA2" s="171"/>
      <c r="EB2" s="171"/>
      <c r="EC2" s="169"/>
      <c r="ED2" s="169"/>
      <c r="EE2" s="171"/>
      <c r="EF2" s="171"/>
      <c r="EG2" s="171"/>
      <c r="EH2" s="200"/>
      <c r="EI2" s="171" t="str">
        <f ca="1">IF(CELL("contenu",INDIRECT(ADDRESS(EI1,1,1,1,CELL("contenu",$B$2))))="","----",CELL("contenu",INDIRECT(ADDRESS(EI1,1,1,1,CELL("contenu",$B$2)))))</f>
        <v>DUFOUR Nehemie</v>
      </c>
      <c r="EJ2" s="169"/>
      <c r="EK2" s="169"/>
      <c r="EL2" s="171"/>
      <c r="EM2" s="171"/>
      <c r="EN2" s="171"/>
      <c r="EO2" s="169"/>
      <c r="EP2" s="169"/>
      <c r="EQ2" s="171"/>
      <c r="ER2" s="171"/>
      <c r="ES2" s="171"/>
      <c r="ET2" s="169"/>
      <c r="EU2" s="169"/>
      <c r="EV2" s="171"/>
      <c r="EW2" s="171"/>
      <c r="EX2" s="171"/>
      <c r="EY2" s="200"/>
      <c r="EZ2" s="171" t="str">
        <f ca="1">IF(CELL("contenu",INDIRECT(ADDRESS(EZ1,1,1,1,CELL("contenu",$B$2))))="","----",CELL("contenu",INDIRECT(ADDRESS(EZ1,1,1,1,CELL("contenu",$B$2)))))</f>
        <v>GALENNE--PARISOT Titouan</v>
      </c>
      <c r="FA2" s="169"/>
      <c r="FB2" s="169"/>
      <c r="FC2" s="171"/>
      <c r="FD2" s="171"/>
      <c r="FE2" s="171"/>
      <c r="FF2" s="169"/>
      <c r="FG2" s="169"/>
      <c r="FH2" s="171"/>
      <c r="FI2" s="171"/>
      <c r="FJ2" s="171"/>
      <c r="FK2" s="169"/>
      <c r="FL2" s="169"/>
      <c r="FM2" s="171"/>
      <c r="FN2" s="171"/>
      <c r="FO2" s="171"/>
      <c r="FP2" s="200"/>
      <c r="FQ2" s="171" t="str">
        <f ca="1">IF(CELL("contenu",INDIRECT(ADDRESS(FQ1,1,1,1,CELL("contenu",$B$2))))="","----",CELL("contenu",INDIRECT(ADDRESS(FQ1,1,1,1,CELL("contenu",$B$2)))))</f>
        <v>IMHOFF Dorian</v>
      </c>
      <c r="FR2" s="169"/>
      <c r="FS2" s="169"/>
      <c r="FT2" s="171"/>
      <c r="FU2" s="171"/>
      <c r="FV2" s="171"/>
      <c r="FW2" s="169"/>
      <c r="FX2" s="169"/>
      <c r="FY2" s="171"/>
      <c r="FZ2" s="171"/>
      <c r="GA2" s="171"/>
      <c r="GB2" s="169"/>
      <c r="GC2" s="169"/>
      <c r="GD2" s="171"/>
      <c r="GE2" s="171"/>
      <c r="GF2" s="171"/>
      <c r="GG2" s="200"/>
      <c r="GH2" s="171" t="str">
        <f ca="1">IF(CELL("contenu",INDIRECT(ADDRESS(GH1,1,1,1,CELL("contenu",$B$2))))="","----",CELL("contenu",INDIRECT(ADDRESS(GH1,1,1,1,CELL("contenu",$B$2)))))</f>
        <v>LANGLOIS Agathe</v>
      </c>
      <c r="GI2" s="169"/>
      <c r="GJ2" s="169"/>
      <c r="GK2" s="171"/>
      <c r="GL2" s="171"/>
      <c r="GM2" s="171"/>
      <c r="GN2" s="169"/>
      <c r="GO2" s="169"/>
      <c r="GP2" s="171"/>
      <c r="GQ2" s="171"/>
      <c r="GR2" s="171"/>
      <c r="GS2" s="169"/>
      <c r="GT2" s="169"/>
      <c r="GU2" s="171"/>
      <c r="GV2" s="171"/>
      <c r="GW2" s="171"/>
      <c r="GX2" s="200"/>
      <c r="GY2" s="171" t="str">
        <f ca="1">IF(CELL("contenu",INDIRECT(ADDRESS(GY1,1,1,1,CELL("contenu",$B$2))))="","----",CELL("contenu",INDIRECT(ADDRESS(GY1,1,1,1,CELL("contenu",$B$2)))))</f>
        <v>LASNE Axel</v>
      </c>
      <c r="GZ2" s="169"/>
      <c r="HA2" s="169"/>
      <c r="HB2" s="171"/>
      <c r="HC2" s="171"/>
      <c r="HD2" s="171"/>
      <c r="HE2" s="169"/>
      <c r="HF2" s="169"/>
      <c r="HG2" s="171"/>
      <c r="HH2" s="171"/>
      <c r="HI2" s="171"/>
      <c r="HJ2" s="169"/>
      <c r="HK2" s="169"/>
      <c r="HL2" s="171"/>
      <c r="HM2" s="171"/>
      <c r="HN2" s="171"/>
      <c r="HO2" s="200"/>
      <c r="HP2" s="171" t="str">
        <f ca="1">IF(CELL("contenu",INDIRECT(ADDRESS(HP1,1,1,1,CELL("contenu",$B$2))))="","----",CELL("contenu",INDIRECT(ADDRESS(HP1,1,1,1,CELL("contenu",$B$2)))))</f>
        <v>LAURENT Marie</v>
      </c>
      <c r="HQ2" s="169"/>
      <c r="HR2" s="169"/>
      <c r="HS2" s="171"/>
      <c r="HT2" s="171"/>
      <c r="HU2" s="171"/>
      <c r="HV2" s="169"/>
      <c r="HW2" s="169"/>
      <c r="HX2" s="171"/>
      <c r="HY2" s="171"/>
      <c r="HZ2" s="171"/>
      <c r="IA2" s="169"/>
      <c r="IB2" s="169"/>
      <c r="IC2" s="171"/>
      <c r="ID2" s="171"/>
      <c r="IE2" s="171"/>
      <c r="IF2" s="200"/>
      <c r="IG2" s="171" t="str">
        <f ca="1">IF(CELL("contenu",INDIRECT(ADDRESS(IG1,1,1,1,CELL("contenu",$B$2))))="","----",CELL("contenu",INDIRECT(ADDRESS(IG1,1,1,1,CELL("contenu",$B$2)))))</f>
        <v>LAVALLEE Cedric</v>
      </c>
      <c r="IH2" s="169"/>
      <c r="II2" s="169"/>
      <c r="IJ2" s="171"/>
      <c r="IK2" s="171"/>
      <c r="IL2" s="171"/>
      <c r="IM2" s="169"/>
      <c r="IN2" s="169"/>
      <c r="IO2" s="171"/>
      <c r="IP2" s="171"/>
      <c r="IQ2" s="171"/>
      <c r="IR2" s="169"/>
      <c r="IS2" s="169"/>
      <c r="IT2" s="171"/>
      <c r="IU2" s="171"/>
      <c r="IV2" s="171"/>
      <c r="IW2" s="200"/>
      <c r="IX2" s="171" t="str">
        <f ca="1">IF(CELL("contenu",INDIRECT(ADDRESS(IX1,1,1,1,CELL("contenu",$B$2))))="","----",CELL("contenu",INDIRECT(ADDRESS(IX1,1,1,1,CELL("contenu",$B$2)))))</f>
        <v>LE GOUVELLO DE LA PORTE Armelle</v>
      </c>
      <c r="IY2" s="169"/>
      <c r="IZ2" s="169"/>
      <c r="JA2" s="171"/>
      <c r="JB2" s="171"/>
      <c r="JC2" s="171"/>
      <c r="JD2" s="169"/>
      <c r="JE2" s="169"/>
      <c r="JF2" s="171"/>
      <c r="JG2" s="171"/>
      <c r="JH2" s="171"/>
      <c r="JI2" s="169"/>
      <c r="JJ2" s="169"/>
      <c r="JK2" s="171"/>
      <c r="JL2" s="171"/>
      <c r="JM2" s="171"/>
      <c r="JN2" s="200"/>
      <c r="JO2" s="171" t="str">
        <f ca="1">IF(CELL("contenu",INDIRECT(ADDRESS(JO1,1,1,1,CELL("contenu",$B$2))))="","----",CELL("contenu",INDIRECT(ADDRESS(JO1,1,1,1,CELL("contenu",$B$2)))))</f>
        <v>LE MINTIER Maixent</v>
      </c>
      <c r="JP2" s="169"/>
      <c r="JQ2" s="169"/>
      <c r="JR2" s="171"/>
      <c r="JS2" s="171"/>
      <c r="JT2" s="171"/>
      <c r="JU2" s="169"/>
      <c r="JV2" s="169"/>
      <c r="JW2" s="171"/>
      <c r="JX2" s="171"/>
      <c r="JY2" s="171"/>
      <c r="JZ2" s="169"/>
      <c r="KA2" s="169"/>
      <c r="KB2" s="171"/>
      <c r="KC2" s="171"/>
      <c r="KD2" s="171"/>
      <c r="KE2" s="200"/>
      <c r="KF2" s="171" t="str">
        <f ca="1">IF(CELL("contenu",INDIRECT(ADDRESS(KF1,1,1,1,CELL("contenu",$B$2))))="","----",CELL("contenu",INDIRECT(ADDRESS(KF1,1,1,1,CELL("contenu",$B$2)))))</f>
        <v>LEGAL Oriane</v>
      </c>
      <c r="KG2" s="169"/>
      <c r="KH2" s="169"/>
      <c r="KI2" s="171"/>
      <c r="KJ2" s="171"/>
      <c r="KK2" s="171"/>
      <c r="KL2" s="169"/>
      <c r="KM2" s="169"/>
      <c r="KN2" s="171"/>
      <c r="KO2" s="171"/>
      <c r="KP2" s="171"/>
      <c r="KQ2" s="169"/>
      <c r="KR2" s="169"/>
      <c r="KS2" s="171"/>
      <c r="KT2" s="171"/>
      <c r="KU2" s="171"/>
      <c r="KV2" s="200"/>
      <c r="KW2" s="171" t="str">
        <f ca="1">IF(CELL("contenu",INDIRECT(ADDRESS(KW1,1,1,1,CELL("contenu",$B$2))))="","----",CELL("contenu",INDIRECT(ADDRESS(KW1,1,1,1,CELL("contenu",$B$2)))))</f>
        <v>LERE Alicia</v>
      </c>
      <c r="KX2" s="169"/>
      <c r="KY2" s="169"/>
      <c r="KZ2" s="171"/>
      <c r="LA2" s="171"/>
      <c r="LB2" s="171"/>
      <c r="LC2" s="169"/>
      <c r="LD2" s="169"/>
      <c r="LE2" s="171"/>
      <c r="LF2" s="171"/>
      <c r="LG2" s="171"/>
      <c r="LH2" s="169"/>
      <c r="LI2" s="169"/>
      <c r="LJ2" s="171"/>
      <c r="LK2" s="171"/>
      <c r="LL2" s="171"/>
      <c r="LM2" s="200"/>
      <c r="LN2" s="171" t="str">
        <f ca="1">IF(CELL("contenu",INDIRECT(ADDRESS(LN1,1,1,1,CELL("contenu",$B$2))))="","----",CELL("contenu",INDIRECT(ADDRESS(LN1,1,1,1,CELL("contenu",$B$2)))))</f>
        <v>MAGNANT Leonie</v>
      </c>
      <c r="LO2" s="169"/>
      <c r="LP2" s="169"/>
      <c r="LQ2" s="171"/>
      <c r="LR2" s="171"/>
      <c r="LS2" s="171"/>
      <c r="LT2" s="169"/>
      <c r="LU2" s="169"/>
      <c r="LV2" s="171"/>
      <c r="LW2" s="171"/>
      <c r="LX2" s="171"/>
      <c r="LY2" s="169"/>
      <c r="LZ2" s="169"/>
      <c r="MA2" s="171"/>
      <c r="MB2" s="171"/>
      <c r="MC2" s="171"/>
      <c r="MD2" s="200"/>
      <c r="ME2" s="171" t="str">
        <f ca="1">IF(CELL("contenu",INDIRECT(ADDRESS(ME1,1,1,1,CELL("contenu",$B$2))))="","----",CELL("contenu",INDIRECT(ADDRESS(ME1,1,1,1,CELL("contenu",$B$2)))))</f>
        <v>NEIGE--SARFATI Raphael</v>
      </c>
      <c r="MF2" s="169"/>
      <c r="MG2" s="169"/>
      <c r="MH2" s="171"/>
      <c r="MI2" s="171"/>
      <c r="MJ2" s="171"/>
      <c r="MK2" s="169"/>
      <c r="ML2" s="169"/>
      <c r="MM2" s="171"/>
      <c r="MN2" s="171"/>
      <c r="MO2" s="171"/>
      <c r="MP2" s="169"/>
      <c r="MQ2" s="169"/>
      <c r="MR2" s="171"/>
      <c r="MS2" s="171"/>
      <c r="MT2" s="171"/>
      <c r="MU2" s="200"/>
      <c r="MV2" s="171" t="str">
        <f ca="1">IF(CELL("contenu",INDIRECT(ADDRESS(MV1,1,1,1,CELL("contenu",$B$2))))="","----",CELL("contenu",INDIRECT(ADDRESS(MV1,1,1,1,CELL("contenu",$B$2)))))</f>
        <v>POITRENAUD Lou-Ann</v>
      </c>
      <c r="MW2" s="169"/>
      <c r="MX2" s="169"/>
      <c r="MY2" s="171"/>
      <c r="MZ2" s="171"/>
      <c r="NA2" s="171"/>
      <c r="NB2" s="169"/>
      <c r="NC2" s="169"/>
      <c r="ND2" s="171"/>
      <c r="NE2" s="171"/>
      <c r="NF2" s="171"/>
      <c r="NG2" s="169"/>
      <c r="NH2" s="169"/>
      <c r="NI2" s="171"/>
      <c r="NJ2" s="171"/>
      <c r="NK2" s="171"/>
      <c r="NL2" s="200"/>
      <c r="NM2" s="171" t="str">
        <f ca="1">IF(CELL("contenu",INDIRECT(ADDRESS(NM1,1,1,1,CELL("contenu",$B$2))))="","----",CELL("contenu",INDIRECT(ADDRESS(NM1,1,1,1,CELL("contenu",$B$2)))))</f>
        <v>RANCHOUX Louis</v>
      </c>
      <c r="NN2" s="169"/>
      <c r="NO2" s="169"/>
      <c r="NP2" s="171"/>
      <c r="NQ2" s="171"/>
      <c r="NR2" s="171"/>
      <c r="NS2" s="169"/>
      <c r="NT2" s="169"/>
      <c r="NU2" s="171"/>
      <c r="NV2" s="171"/>
      <c r="NW2" s="171"/>
      <c r="NX2" s="169"/>
      <c r="NY2" s="169"/>
      <c r="NZ2" s="171"/>
      <c r="OA2" s="171"/>
      <c r="OB2" s="171"/>
      <c r="OC2" s="200"/>
      <c r="OD2" s="171" t="str">
        <f ca="1">IF(CELL("contenu",INDIRECT(ADDRESS(OD1,1,1,1,CELL("contenu",$B$2))))="","----",CELL("contenu",INDIRECT(ADDRESS(OD1,1,1,1,CELL("contenu",$B$2)))))</f>
        <v>RIVIERE Thomas</v>
      </c>
      <c r="OE2" s="169"/>
      <c r="OF2" s="169"/>
      <c r="OG2" s="171"/>
      <c r="OH2" s="171"/>
      <c r="OI2" s="171"/>
      <c r="OJ2" s="169"/>
      <c r="OK2" s="169"/>
      <c r="OL2" s="171"/>
      <c r="OM2" s="171"/>
      <c r="ON2" s="171"/>
      <c r="OO2" s="169"/>
      <c r="OP2" s="169"/>
      <c r="OQ2" s="171"/>
      <c r="OR2" s="171"/>
      <c r="OS2" s="171"/>
      <c r="OT2" s="200"/>
      <c r="OU2" s="171" t="str">
        <f ca="1">IF(CELL("contenu",INDIRECT(ADDRESS(OU1,1,1,1,CELL("contenu",$B$2))))="","----",CELL("contenu",INDIRECT(ADDRESS(OU1,1,1,1,CELL("contenu",$B$2)))))</f>
        <v>ROS--BONNET Andrea</v>
      </c>
      <c r="OV2" s="169"/>
      <c r="OW2" s="169"/>
      <c r="OX2" s="171"/>
      <c r="OY2" s="171"/>
      <c r="OZ2" s="171"/>
      <c r="PA2" s="169"/>
      <c r="PB2" s="169"/>
      <c r="PC2" s="171"/>
      <c r="PD2" s="171"/>
      <c r="PE2" s="171"/>
      <c r="PF2" s="169"/>
      <c r="PG2" s="169"/>
      <c r="PH2" s="171"/>
      <c r="PI2" s="171"/>
      <c r="PJ2" s="171"/>
      <c r="PK2" s="200"/>
      <c r="PL2" s="171" t="str">
        <f ca="1">IF(CELL("contenu",INDIRECT(ADDRESS(PL1,1,1,1,CELL("contenu",$B$2))))="","----",CELL("contenu",INDIRECT(ADDRESS(PL1,1,1,1,CELL("contenu",$B$2)))))</f>
        <v>SOULEZ Marion</v>
      </c>
      <c r="PM2" s="169"/>
      <c r="PN2" s="169"/>
      <c r="PO2" s="171"/>
      <c r="PP2" s="171"/>
      <c r="PQ2" s="171"/>
      <c r="PR2" s="169"/>
      <c r="PS2" s="169"/>
      <c r="PT2" s="171"/>
      <c r="PU2" s="171"/>
      <c r="PV2" s="171"/>
      <c r="PW2" s="169"/>
      <c r="PX2" s="169"/>
      <c r="PY2" s="171"/>
      <c r="PZ2" s="171"/>
      <c r="QA2" s="171"/>
      <c r="QB2" s="200"/>
      <c r="QC2" s="171" t="str">
        <f ca="1">IF(CELL("contenu",INDIRECT(ADDRESS(QC1,1,1,1,CELL("contenu",$B$2))))="","----",CELL("contenu",INDIRECT(ADDRESS(QC1,1,1,1,CELL("contenu",$B$2)))))</f>
        <v>TOUSSAINT Pauline</v>
      </c>
      <c r="QD2" s="169"/>
      <c r="QE2" s="169"/>
      <c r="QF2" s="171"/>
      <c r="QG2" s="171"/>
      <c r="QH2" s="171"/>
      <c r="QI2" s="169"/>
      <c r="QJ2" s="169"/>
      <c r="QK2" s="171"/>
      <c r="QL2" s="171"/>
      <c r="QM2" s="171"/>
      <c r="QN2" s="169"/>
      <c r="QO2" s="169"/>
      <c r="QP2" s="171"/>
      <c r="QQ2" s="171"/>
      <c r="QR2" s="171"/>
      <c r="QS2" s="200"/>
      <c r="QT2" s="74" t="str">
        <f ca="1">IF(CELL("contenu",INDIRECT(ADDRESS(QT1,1,1,1,CELL("contenu",$B$2))))="","----",CELL("contenu",INDIRECT(ADDRESS(QT1,1,1,1,CELL("contenu",$B$2)))))</f>
        <v>----</v>
      </c>
      <c r="QU2" s="74"/>
      <c r="QV2" s="74"/>
      <c r="QW2" s="74"/>
      <c r="QX2" s="74"/>
      <c r="QY2" s="74"/>
      <c r="QZ2" s="74"/>
      <c r="RA2" s="74"/>
      <c r="RB2" s="74"/>
      <c r="RC2" s="74"/>
      <c r="RD2" s="74"/>
      <c r="RE2" s="74"/>
      <c r="RF2" s="74"/>
      <c r="RG2" s="74"/>
      <c r="RH2" s="74"/>
      <c r="RI2" s="74"/>
      <c r="RJ2" s="75"/>
      <c r="RK2" s="74" t="str">
        <f ca="1">IF(CELL("contenu",INDIRECT(ADDRESS(RK1,1,1,1,CELL("contenu",$B$2))))="","----",CELL("contenu",INDIRECT(ADDRESS(RK1,1,1,1,CELL("contenu",$B$2)))))</f>
        <v>----</v>
      </c>
      <c r="RL2" s="74"/>
      <c r="RM2" s="74"/>
      <c r="RN2" s="74"/>
      <c r="RO2" s="74"/>
      <c r="RP2" s="74"/>
      <c r="RQ2" s="74"/>
      <c r="RR2" s="74"/>
      <c r="RS2" s="74"/>
      <c r="RT2" s="74"/>
      <c r="RU2" s="74"/>
      <c r="RV2" s="74"/>
      <c r="RW2" s="74"/>
      <c r="RX2" s="74"/>
      <c r="RY2" s="74"/>
      <c r="RZ2" s="74"/>
      <c r="SA2" s="75"/>
      <c r="SB2" s="74" t="str">
        <f ca="1">IF(CELL("contenu",INDIRECT(ADDRESS(SB1,1,1,1,CELL("contenu",$B$2))))="","----",CELL("contenu",INDIRECT(ADDRESS(SB1,1,1,1,CELL("contenu",$B$2)))))</f>
        <v>----</v>
      </c>
      <c r="SC2" s="74"/>
      <c r="SD2" s="74"/>
      <c r="SE2" s="74"/>
      <c r="SF2" s="74"/>
      <c r="SG2" s="74"/>
      <c r="SH2" s="74"/>
      <c r="SI2" s="74"/>
      <c r="SJ2" s="74"/>
      <c r="SK2" s="74"/>
      <c r="SL2" s="74"/>
      <c r="SM2" s="74"/>
      <c r="SN2" s="74"/>
      <c r="SO2" s="74"/>
      <c r="SP2" s="74"/>
      <c r="SQ2" s="74"/>
      <c r="SR2" s="75"/>
      <c r="SS2" s="74" t="str">
        <f ca="1">IF(CELL("contenu",INDIRECT(ADDRESS(SS1,1,1,1,CELL("contenu",$B$2))))="","----",CELL("contenu",INDIRECT(ADDRESS(SS1,1,1,1,CELL("contenu",$B$2)))))</f>
        <v>----</v>
      </c>
      <c r="ST2" s="74"/>
      <c r="SU2" s="74"/>
      <c r="SV2" s="74"/>
      <c r="SW2" s="74"/>
      <c r="SX2" s="74"/>
      <c r="SY2" s="74"/>
      <c r="SZ2" s="74"/>
      <c r="TA2" s="74"/>
      <c r="TB2" s="74"/>
      <c r="TC2" s="74"/>
      <c r="TD2" s="74"/>
      <c r="TE2" s="74"/>
      <c r="TF2" s="74"/>
      <c r="TG2" s="74"/>
      <c r="TH2" s="74"/>
      <c r="TI2" s="75"/>
      <c r="TJ2" s="74" t="str">
        <f ca="1">IF(CELL("contenu",INDIRECT(ADDRESS(TJ1,1,1,1,CELL("contenu",$B$2))))="","----",CELL("contenu",INDIRECT(ADDRESS(TJ1,1,1,1,CELL("contenu",$B$2)))))</f>
        <v>----</v>
      </c>
      <c r="TK2" s="74"/>
      <c r="TL2" s="74"/>
      <c r="TM2" s="74"/>
      <c r="TN2" s="74"/>
      <c r="TO2" s="74"/>
      <c r="TP2" s="74"/>
      <c r="TQ2" s="74"/>
      <c r="TR2" s="74"/>
      <c r="TS2" s="74"/>
      <c r="TT2" s="74"/>
      <c r="TU2" s="74"/>
      <c r="TV2" s="74"/>
      <c r="TW2" s="74"/>
      <c r="TX2" s="74"/>
      <c r="TY2" s="74"/>
      <c r="TZ2" s="75"/>
    </row>
    <row r="3" spans="1:546" ht="60" customHeight="1" thickBot="1" x14ac:dyDescent="0.3">
      <c r="A3" s="160"/>
      <c r="B3" s="161" t="s">
        <v>30</v>
      </c>
      <c r="C3" s="76" t="s">
        <v>208</v>
      </c>
      <c r="D3" s="77"/>
      <c r="E3" s="78"/>
      <c r="F3" s="179" t="s">
        <v>7</v>
      </c>
      <c r="G3" s="180"/>
      <c r="H3" s="76" t="s">
        <v>211</v>
      </c>
      <c r="I3" s="80" t="s">
        <v>213</v>
      </c>
      <c r="J3" s="78"/>
      <c r="K3" s="196" t="s">
        <v>8</v>
      </c>
      <c r="L3" s="197"/>
      <c r="M3" s="76" t="s">
        <v>219</v>
      </c>
      <c r="N3" s="80" t="s">
        <v>223</v>
      </c>
      <c r="O3" s="78" t="s">
        <v>222</v>
      </c>
      <c r="P3" s="201" t="s">
        <v>9</v>
      </c>
      <c r="Q3" s="202"/>
      <c r="R3" s="203" t="s">
        <v>10</v>
      </c>
      <c r="S3" s="204"/>
      <c r="T3" s="86" t="str">
        <f>IF(C3="","",C3)</f>
        <v>EVAL 1</v>
      </c>
      <c r="U3" s="87" t="str">
        <f>IF(D3="","",D3)</f>
        <v/>
      </c>
      <c r="V3" s="88" t="str">
        <f>IF(E3="","",E3)</f>
        <v/>
      </c>
      <c r="W3" s="179" t="s">
        <v>7</v>
      </c>
      <c r="X3" s="220"/>
      <c r="Y3" s="90" t="str">
        <f>IF(H3="","",H3)</f>
        <v>EVAL M1</v>
      </c>
      <c r="Z3" s="87" t="str">
        <f>IF(I3="","",I3)</f>
        <v>EVAL M2</v>
      </c>
      <c r="AA3" s="88" t="str">
        <f>IF(J3="","",J3)</f>
        <v/>
      </c>
      <c r="AB3" s="196" t="s">
        <v>8</v>
      </c>
      <c r="AC3" s="221"/>
      <c r="AD3" s="90" t="str">
        <f>IF(M3="","",M3)</f>
        <v>Eval CH1</v>
      </c>
      <c r="AE3" s="87" t="str">
        <f>IF(N3="","",N3)</f>
        <v>fiche CH2/1</v>
      </c>
      <c r="AF3" s="88" t="str">
        <f>IF(O3="","",O3)</f>
        <v>fiche CH2/2</v>
      </c>
      <c r="AG3" s="201" t="s">
        <v>9</v>
      </c>
      <c r="AH3" s="202"/>
      <c r="AI3" s="203" t="s">
        <v>10</v>
      </c>
      <c r="AJ3" s="204"/>
      <c r="AK3" s="86" t="str">
        <f>IF(T3="","",T3)</f>
        <v>EVAL 1</v>
      </c>
      <c r="AL3" s="87" t="str">
        <f>IF(U3="","",U3)</f>
        <v/>
      </c>
      <c r="AM3" s="88" t="str">
        <f>IF(V3="","",V3)</f>
        <v/>
      </c>
      <c r="AN3" s="179" t="s">
        <v>7</v>
      </c>
      <c r="AO3" s="220"/>
      <c r="AP3" s="90" t="str">
        <f>IF(Y3="","",Y3)</f>
        <v>EVAL M1</v>
      </c>
      <c r="AQ3" s="87" t="str">
        <f>IF(Z3="","",Z3)</f>
        <v>EVAL M2</v>
      </c>
      <c r="AR3" s="88" t="str">
        <f>IF(AA3="","",AA3)</f>
        <v/>
      </c>
      <c r="AS3" s="196" t="s">
        <v>8</v>
      </c>
      <c r="AT3" s="221"/>
      <c r="AU3" s="90" t="str">
        <f>IF(AD3="","",AD3)</f>
        <v>Eval CH1</v>
      </c>
      <c r="AV3" s="87" t="str">
        <f>IF(AE3="","",AE3)</f>
        <v>fiche CH2/1</v>
      </c>
      <c r="AW3" s="88" t="str">
        <f>IF(AF3="","",AF3)</f>
        <v>fiche CH2/2</v>
      </c>
      <c r="AX3" s="201" t="s">
        <v>9</v>
      </c>
      <c r="AY3" s="202"/>
      <c r="AZ3" s="203" t="s">
        <v>10</v>
      </c>
      <c r="BA3" s="204"/>
      <c r="BB3" s="86" t="str">
        <f>IF(AK3="","",AK3)</f>
        <v>EVAL 1</v>
      </c>
      <c r="BC3" s="87" t="str">
        <f>IF(AL3="","",AL3)</f>
        <v/>
      </c>
      <c r="BD3" s="88" t="str">
        <f>IF(AM3="","",AM3)</f>
        <v/>
      </c>
      <c r="BE3" s="179" t="s">
        <v>7</v>
      </c>
      <c r="BF3" s="220"/>
      <c r="BG3" s="90" t="str">
        <f>IF(AP3="","",AP3)</f>
        <v>EVAL M1</v>
      </c>
      <c r="BH3" s="87" t="str">
        <f>IF(AQ3="","",AQ3)</f>
        <v>EVAL M2</v>
      </c>
      <c r="BI3" s="88" t="str">
        <f>IF(AR3="","",AR3)</f>
        <v/>
      </c>
      <c r="BJ3" s="196" t="s">
        <v>8</v>
      </c>
      <c r="BK3" s="221"/>
      <c r="BL3" s="90" t="str">
        <f>IF(AU3="","",AU3)</f>
        <v>Eval CH1</v>
      </c>
      <c r="BM3" s="87" t="str">
        <f>IF(AV3="","",AV3)</f>
        <v>fiche CH2/1</v>
      </c>
      <c r="BN3" s="88" t="str">
        <f>IF(AW3="","",AW3)</f>
        <v>fiche CH2/2</v>
      </c>
      <c r="BO3" s="201" t="s">
        <v>9</v>
      </c>
      <c r="BP3" s="202"/>
      <c r="BQ3" s="203" t="s">
        <v>10</v>
      </c>
      <c r="BR3" s="204"/>
      <c r="BS3" s="86" t="str">
        <f>IF(BB3="","",BB3)</f>
        <v>EVAL 1</v>
      </c>
      <c r="BT3" s="87" t="str">
        <f>IF(BC3="","",BC3)</f>
        <v/>
      </c>
      <c r="BU3" s="88" t="str">
        <f>IF(BD3="","",BD3)</f>
        <v/>
      </c>
      <c r="BV3" s="179" t="s">
        <v>7</v>
      </c>
      <c r="BW3" s="220"/>
      <c r="BX3" s="90" t="str">
        <f>IF(BG3="","",BG3)</f>
        <v>EVAL M1</v>
      </c>
      <c r="BY3" s="87" t="str">
        <f>IF(BH3="","",BH3)</f>
        <v>EVAL M2</v>
      </c>
      <c r="BZ3" s="88" t="str">
        <f>IF(BI3="","",BI3)</f>
        <v/>
      </c>
      <c r="CA3" s="196" t="s">
        <v>8</v>
      </c>
      <c r="CB3" s="221"/>
      <c r="CC3" s="90" t="str">
        <f>IF(BL3="","",BL3)</f>
        <v>Eval CH1</v>
      </c>
      <c r="CD3" s="87" t="str">
        <f>IF(BM3="","",BM3)</f>
        <v>fiche CH2/1</v>
      </c>
      <c r="CE3" s="88" t="str">
        <f>IF(BN3="","",BN3)</f>
        <v>fiche CH2/2</v>
      </c>
      <c r="CF3" s="201" t="s">
        <v>9</v>
      </c>
      <c r="CG3" s="202"/>
      <c r="CH3" s="203" t="s">
        <v>10</v>
      </c>
      <c r="CI3" s="204"/>
      <c r="CJ3" s="86" t="str">
        <f>IF(BS3="","",BS3)</f>
        <v>EVAL 1</v>
      </c>
      <c r="CK3" s="87" t="str">
        <f>IF(BT3="","",BT3)</f>
        <v/>
      </c>
      <c r="CL3" s="88" t="str">
        <f>IF(BU3="","",BU3)</f>
        <v/>
      </c>
      <c r="CM3" s="179" t="s">
        <v>7</v>
      </c>
      <c r="CN3" s="220"/>
      <c r="CO3" s="90" t="str">
        <f>IF(BX3="","",BX3)</f>
        <v>EVAL M1</v>
      </c>
      <c r="CP3" s="87" t="str">
        <f>IF(BY3="","",BY3)</f>
        <v>EVAL M2</v>
      </c>
      <c r="CQ3" s="88" t="str">
        <f>IF(BZ3="","",BZ3)</f>
        <v/>
      </c>
      <c r="CR3" s="196" t="s">
        <v>8</v>
      </c>
      <c r="CS3" s="221"/>
      <c r="CT3" s="90" t="str">
        <f>IF(CC3="","",CC3)</f>
        <v>Eval CH1</v>
      </c>
      <c r="CU3" s="87" t="str">
        <f>IF(CD3="","",CD3)</f>
        <v>fiche CH2/1</v>
      </c>
      <c r="CV3" s="88" t="str">
        <f>IF(CE3="","",CE3)</f>
        <v>fiche CH2/2</v>
      </c>
      <c r="CW3" s="201" t="s">
        <v>9</v>
      </c>
      <c r="CX3" s="202"/>
      <c r="CY3" s="203" t="s">
        <v>10</v>
      </c>
      <c r="CZ3" s="204"/>
      <c r="DA3" s="86" t="str">
        <f>IF(CJ3="","",CJ3)</f>
        <v>EVAL 1</v>
      </c>
      <c r="DB3" s="87" t="str">
        <f>IF(CK3="","",CK3)</f>
        <v/>
      </c>
      <c r="DC3" s="88" t="str">
        <f>IF(CL3="","",CL3)</f>
        <v/>
      </c>
      <c r="DD3" s="179" t="s">
        <v>7</v>
      </c>
      <c r="DE3" s="220"/>
      <c r="DF3" s="90" t="str">
        <f>IF(CO3="","",CO3)</f>
        <v>EVAL M1</v>
      </c>
      <c r="DG3" s="87" t="str">
        <f>IF(CP3="","",CP3)</f>
        <v>EVAL M2</v>
      </c>
      <c r="DH3" s="88" t="str">
        <f>IF(CQ3="","",CQ3)</f>
        <v/>
      </c>
      <c r="DI3" s="196" t="s">
        <v>8</v>
      </c>
      <c r="DJ3" s="221"/>
      <c r="DK3" s="90" t="str">
        <f>IF(CT3="","",CT3)</f>
        <v>Eval CH1</v>
      </c>
      <c r="DL3" s="87" t="str">
        <f>IF(CU3="","",CU3)</f>
        <v>fiche CH2/1</v>
      </c>
      <c r="DM3" s="88" t="str">
        <f>IF(CV3="","",CV3)</f>
        <v>fiche CH2/2</v>
      </c>
      <c r="DN3" s="201" t="s">
        <v>9</v>
      </c>
      <c r="DO3" s="202"/>
      <c r="DP3" s="203" t="s">
        <v>10</v>
      </c>
      <c r="DQ3" s="204"/>
      <c r="DR3" s="86" t="str">
        <f>IF(DA3="","",DA3)</f>
        <v>EVAL 1</v>
      </c>
      <c r="DS3" s="87" t="str">
        <f>IF(DB3="","",DB3)</f>
        <v/>
      </c>
      <c r="DT3" s="88" t="str">
        <f>IF(DC3="","",DC3)</f>
        <v/>
      </c>
      <c r="DU3" s="179" t="s">
        <v>7</v>
      </c>
      <c r="DV3" s="220"/>
      <c r="DW3" s="90" t="str">
        <f>IF(DF3="","",DF3)</f>
        <v>EVAL M1</v>
      </c>
      <c r="DX3" s="87" t="str">
        <f>IF(DG3="","",DG3)</f>
        <v>EVAL M2</v>
      </c>
      <c r="DY3" s="88" t="str">
        <f>IF(DH3="","",DH3)</f>
        <v/>
      </c>
      <c r="DZ3" s="196" t="s">
        <v>8</v>
      </c>
      <c r="EA3" s="221"/>
      <c r="EB3" s="90" t="str">
        <f>IF(DK3="","",DK3)</f>
        <v>Eval CH1</v>
      </c>
      <c r="EC3" s="87" t="str">
        <f>IF(DL3="","",DL3)</f>
        <v>fiche CH2/1</v>
      </c>
      <c r="ED3" s="88" t="str">
        <f>IF(DM3="","",DM3)</f>
        <v>fiche CH2/2</v>
      </c>
      <c r="EE3" s="201" t="s">
        <v>9</v>
      </c>
      <c r="EF3" s="202"/>
      <c r="EG3" s="203" t="s">
        <v>10</v>
      </c>
      <c r="EH3" s="204"/>
      <c r="EI3" s="86" t="str">
        <f>IF(DR3="","",DR3)</f>
        <v>EVAL 1</v>
      </c>
      <c r="EJ3" s="87" t="str">
        <f>IF(DS3="","",DS3)</f>
        <v/>
      </c>
      <c r="EK3" s="88" t="str">
        <f>IF(DT3="","",DT3)</f>
        <v/>
      </c>
      <c r="EL3" s="179" t="s">
        <v>7</v>
      </c>
      <c r="EM3" s="220"/>
      <c r="EN3" s="90" t="str">
        <f>IF(DW3="","",DW3)</f>
        <v>EVAL M1</v>
      </c>
      <c r="EO3" s="87" t="str">
        <f>IF(DX3="","",DX3)</f>
        <v>EVAL M2</v>
      </c>
      <c r="EP3" s="88" t="str">
        <f>IF(DY3="","",DY3)</f>
        <v/>
      </c>
      <c r="EQ3" s="196" t="s">
        <v>8</v>
      </c>
      <c r="ER3" s="221"/>
      <c r="ES3" s="90" t="str">
        <f>IF(EB3="","",EB3)</f>
        <v>Eval CH1</v>
      </c>
      <c r="ET3" s="87" t="str">
        <f>IF(EC3="","",EC3)</f>
        <v>fiche CH2/1</v>
      </c>
      <c r="EU3" s="88" t="str">
        <f>IF(ED3="","",ED3)</f>
        <v>fiche CH2/2</v>
      </c>
      <c r="EV3" s="201" t="s">
        <v>9</v>
      </c>
      <c r="EW3" s="202"/>
      <c r="EX3" s="203" t="s">
        <v>10</v>
      </c>
      <c r="EY3" s="204"/>
      <c r="EZ3" s="86" t="str">
        <f>IF(EI3="","",EI3)</f>
        <v>EVAL 1</v>
      </c>
      <c r="FA3" s="87" t="str">
        <f>IF(EJ3="","",EJ3)</f>
        <v/>
      </c>
      <c r="FB3" s="88" t="str">
        <f>IF(EK3="","",EK3)</f>
        <v/>
      </c>
      <c r="FC3" s="179" t="s">
        <v>7</v>
      </c>
      <c r="FD3" s="220"/>
      <c r="FE3" s="90" t="str">
        <f>IF(EN3="","",EN3)</f>
        <v>EVAL M1</v>
      </c>
      <c r="FF3" s="87" t="str">
        <f>IF(EO3="","",EO3)</f>
        <v>EVAL M2</v>
      </c>
      <c r="FG3" s="88" t="str">
        <f>IF(EP3="","",EP3)</f>
        <v/>
      </c>
      <c r="FH3" s="196" t="s">
        <v>8</v>
      </c>
      <c r="FI3" s="221"/>
      <c r="FJ3" s="90" t="str">
        <f>IF(ES3="","",ES3)</f>
        <v>Eval CH1</v>
      </c>
      <c r="FK3" s="87" t="str">
        <f>IF(ET3="","",ET3)</f>
        <v>fiche CH2/1</v>
      </c>
      <c r="FL3" s="88" t="str">
        <f>IF(EU3="","",EU3)</f>
        <v>fiche CH2/2</v>
      </c>
      <c r="FM3" s="201" t="s">
        <v>9</v>
      </c>
      <c r="FN3" s="202"/>
      <c r="FO3" s="203" t="s">
        <v>10</v>
      </c>
      <c r="FP3" s="204"/>
      <c r="FQ3" s="86" t="str">
        <f>IF(EZ3="","",EZ3)</f>
        <v>EVAL 1</v>
      </c>
      <c r="FR3" s="87" t="str">
        <f>IF(FA3="","",FA3)</f>
        <v/>
      </c>
      <c r="FS3" s="88" t="str">
        <f>IF(FB3="","",FB3)</f>
        <v/>
      </c>
      <c r="FT3" s="179" t="s">
        <v>7</v>
      </c>
      <c r="FU3" s="220"/>
      <c r="FV3" s="90" t="str">
        <f>IF(FE3="","",FE3)</f>
        <v>EVAL M1</v>
      </c>
      <c r="FW3" s="87" t="str">
        <f>IF(FF3="","",FF3)</f>
        <v>EVAL M2</v>
      </c>
      <c r="FX3" s="88" t="str">
        <f>IF(FG3="","",FG3)</f>
        <v/>
      </c>
      <c r="FY3" s="196" t="s">
        <v>8</v>
      </c>
      <c r="FZ3" s="221"/>
      <c r="GA3" s="90" t="str">
        <f>IF(FJ3="","",FJ3)</f>
        <v>Eval CH1</v>
      </c>
      <c r="GB3" s="87" t="str">
        <f>IF(FK3="","",FK3)</f>
        <v>fiche CH2/1</v>
      </c>
      <c r="GC3" s="88" t="str">
        <f>IF(FL3="","",FL3)</f>
        <v>fiche CH2/2</v>
      </c>
      <c r="GD3" s="201" t="s">
        <v>9</v>
      </c>
      <c r="GE3" s="202"/>
      <c r="GF3" s="203" t="s">
        <v>10</v>
      </c>
      <c r="GG3" s="204"/>
      <c r="GH3" s="86" t="str">
        <f>IF(FQ3="","",FQ3)</f>
        <v>EVAL 1</v>
      </c>
      <c r="GI3" s="87" t="str">
        <f>IF(FR3="","",FR3)</f>
        <v/>
      </c>
      <c r="GJ3" s="88" t="str">
        <f>IF(FS3="","",FS3)</f>
        <v/>
      </c>
      <c r="GK3" s="179" t="s">
        <v>7</v>
      </c>
      <c r="GL3" s="220"/>
      <c r="GM3" s="90" t="str">
        <f>IF(FV3="","",FV3)</f>
        <v>EVAL M1</v>
      </c>
      <c r="GN3" s="87" t="str">
        <f>IF(FW3="","",FW3)</f>
        <v>EVAL M2</v>
      </c>
      <c r="GO3" s="88" t="str">
        <f>IF(FX3="","",FX3)</f>
        <v/>
      </c>
      <c r="GP3" s="196" t="s">
        <v>8</v>
      </c>
      <c r="GQ3" s="221"/>
      <c r="GR3" s="90" t="str">
        <f>IF(GA3="","",GA3)</f>
        <v>Eval CH1</v>
      </c>
      <c r="GS3" s="87" t="str">
        <f>IF(GB3="","",GB3)</f>
        <v>fiche CH2/1</v>
      </c>
      <c r="GT3" s="88" t="str">
        <f>IF(GC3="","",GC3)</f>
        <v>fiche CH2/2</v>
      </c>
      <c r="GU3" s="201" t="s">
        <v>9</v>
      </c>
      <c r="GV3" s="202"/>
      <c r="GW3" s="203" t="s">
        <v>10</v>
      </c>
      <c r="GX3" s="204"/>
      <c r="GY3" s="86" t="str">
        <f>IF(GH3="","",GH3)</f>
        <v>EVAL 1</v>
      </c>
      <c r="GZ3" s="87" t="str">
        <f>IF(GI3="","",GI3)</f>
        <v/>
      </c>
      <c r="HA3" s="88" t="str">
        <f>IF(GJ3="","",GJ3)</f>
        <v/>
      </c>
      <c r="HB3" s="179" t="s">
        <v>7</v>
      </c>
      <c r="HC3" s="220"/>
      <c r="HD3" s="90" t="str">
        <f>IF(GM3="","",GM3)</f>
        <v>EVAL M1</v>
      </c>
      <c r="HE3" s="87" t="str">
        <f>IF(GN3="","",GN3)</f>
        <v>EVAL M2</v>
      </c>
      <c r="HF3" s="88" t="str">
        <f>IF(GO3="","",GO3)</f>
        <v/>
      </c>
      <c r="HG3" s="196" t="s">
        <v>8</v>
      </c>
      <c r="HH3" s="221"/>
      <c r="HI3" s="90" t="str">
        <f>IF(GR3="","",GR3)</f>
        <v>Eval CH1</v>
      </c>
      <c r="HJ3" s="87" t="str">
        <f>IF(GS3="","",GS3)</f>
        <v>fiche CH2/1</v>
      </c>
      <c r="HK3" s="88" t="str">
        <f>IF(GT3="","",GT3)</f>
        <v>fiche CH2/2</v>
      </c>
      <c r="HL3" s="201" t="s">
        <v>9</v>
      </c>
      <c r="HM3" s="202"/>
      <c r="HN3" s="203" t="s">
        <v>10</v>
      </c>
      <c r="HO3" s="204"/>
      <c r="HP3" s="86" t="str">
        <f>IF(GY3="","",GY3)</f>
        <v>EVAL 1</v>
      </c>
      <c r="HQ3" s="87" t="str">
        <f>IF(GZ3="","",GZ3)</f>
        <v/>
      </c>
      <c r="HR3" s="88" t="str">
        <f>IF(HA3="","",HA3)</f>
        <v/>
      </c>
      <c r="HS3" s="179" t="s">
        <v>7</v>
      </c>
      <c r="HT3" s="220"/>
      <c r="HU3" s="90" t="str">
        <f>IF(HD3="","",HD3)</f>
        <v>EVAL M1</v>
      </c>
      <c r="HV3" s="87" t="str">
        <f>IF(HE3="","",HE3)</f>
        <v>EVAL M2</v>
      </c>
      <c r="HW3" s="88" t="str">
        <f>IF(HF3="","",HF3)</f>
        <v/>
      </c>
      <c r="HX3" s="196" t="s">
        <v>8</v>
      </c>
      <c r="HY3" s="221"/>
      <c r="HZ3" s="90" t="str">
        <f>IF(HI3="","",HI3)</f>
        <v>Eval CH1</v>
      </c>
      <c r="IA3" s="87" t="str">
        <f>IF(HJ3="","",HJ3)</f>
        <v>fiche CH2/1</v>
      </c>
      <c r="IB3" s="88" t="str">
        <f>IF(HK3="","",HK3)</f>
        <v>fiche CH2/2</v>
      </c>
      <c r="IC3" s="201" t="s">
        <v>9</v>
      </c>
      <c r="ID3" s="202"/>
      <c r="IE3" s="203" t="s">
        <v>10</v>
      </c>
      <c r="IF3" s="204"/>
      <c r="IG3" s="86" t="str">
        <f>IF(HP3="","",HP3)</f>
        <v>EVAL 1</v>
      </c>
      <c r="IH3" s="87" t="str">
        <f>IF(HQ3="","",HQ3)</f>
        <v/>
      </c>
      <c r="II3" s="88" t="str">
        <f>IF(HR3="","",HR3)</f>
        <v/>
      </c>
      <c r="IJ3" s="179" t="s">
        <v>7</v>
      </c>
      <c r="IK3" s="220"/>
      <c r="IL3" s="90" t="str">
        <f>IF(HU3="","",HU3)</f>
        <v>EVAL M1</v>
      </c>
      <c r="IM3" s="87" t="str">
        <f>IF(HV3="","",HV3)</f>
        <v>EVAL M2</v>
      </c>
      <c r="IN3" s="88" t="str">
        <f>IF(HW3="","",HW3)</f>
        <v/>
      </c>
      <c r="IO3" s="196" t="s">
        <v>8</v>
      </c>
      <c r="IP3" s="221"/>
      <c r="IQ3" s="90" t="str">
        <f>IF(HZ3="","",HZ3)</f>
        <v>Eval CH1</v>
      </c>
      <c r="IR3" s="87" t="str">
        <f>IF(IA3="","",IA3)</f>
        <v>fiche CH2/1</v>
      </c>
      <c r="IS3" s="88" t="str">
        <f>IF(IB3="","",IB3)</f>
        <v>fiche CH2/2</v>
      </c>
      <c r="IT3" s="201" t="s">
        <v>9</v>
      </c>
      <c r="IU3" s="202"/>
      <c r="IV3" s="203" t="s">
        <v>10</v>
      </c>
      <c r="IW3" s="204"/>
      <c r="IX3" s="86" t="str">
        <f>IF(IG3="","",IG3)</f>
        <v>EVAL 1</v>
      </c>
      <c r="IY3" s="87" t="str">
        <f>IF(IH3="","",IH3)</f>
        <v/>
      </c>
      <c r="IZ3" s="88" t="str">
        <f>IF(II3="","",II3)</f>
        <v/>
      </c>
      <c r="JA3" s="179" t="s">
        <v>7</v>
      </c>
      <c r="JB3" s="220"/>
      <c r="JC3" s="90" t="str">
        <f>IF(IL3="","",IL3)</f>
        <v>EVAL M1</v>
      </c>
      <c r="JD3" s="87" t="str">
        <f>IF(IM3="","",IM3)</f>
        <v>EVAL M2</v>
      </c>
      <c r="JE3" s="88" t="str">
        <f>IF(IN3="","",IN3)</f>
        <v/>
      </c>
      <c r="JF3" s="196" t="s">
        <v>8</v>
      </c>
      <c r="JG3" s="221"/>
      <c r="JH3" s="90" t="str">
        <f>IF(IQ3="","",IQ3)</f>
        <v>Eval CH1</v>
      </c>
      <c r="JI3" s="87" t="str">
        <f>IF(IR3="","",IR3)</f>
        <v>fiche CH2/1</v>
      </c>
      <c r="JJ3" s="88" t="str">
        <f>IF(IS3="","",IS3)</f>
        <v>fiche CH2/2</v>
      </c>
      <c r="JK3" s="201" t="s">
        <v>9</v>
      </c>
      <c r="JL3" s="202"/>
      <c r="JM3" s="203" t="s">
        <v>10</v>
      </c>
      <c r="JN3" s="204"/>
      <c r="JO3" s="86" t="str">
        <f>IF(IX3="","",IX3)</f>
        <v>EVAL 1</v>
      </c>
      <c r="JP3" s="87" t="str">
        <f>IF(IY3="","",IY3)</f>
        <v/>
      </c>
      <c r="JQ3" s="88" t="str">
        <f>IF(IZ3="","",IZ3)</f>
        <v/>
      </c>
      <c r="JR3" s="179" t="s">
        <v>7</v>
      </c>
      <c r="JS3" s="220"/>
      <c r="JT3" s="90" t="str">
        <f>IF(JC3="","",JC3)</f>
        <v>EVAL M1</v>
      </c>
      <c r="JU3" s="87" t="str">
        <f>IF(JD3="","",JD3)</f>
        <v>EVAL M2</v>
      </c>
      <c r="JV3" s="88" t="str">
        <f>IF(JE3="","",JE3)</f>
        <v/>
      </c>
      <c r="JW3" s="196" t="s">
        <v>8</v>
      </c>
      <c r="JX3" s="221"/>
      <c r="JY3" s="90" t="str">
        <f>IF(JH3="","",JH3)</f>
        <v>Eval CH1</v>
      </c>
      <c r="JZ3" s="87" t="str">
        <f>IF(JI3="","",JI3)</f>
        <v>fiche CH2/1</v>
      </c>
      <c r="KA3" s="88" t="str">
        <f>IF(JJ3="","",JJ3)</f>
        <v>fiche CH2/2</v>
      </c>
      <c r="KB3" s="201" t="s">
        <v>9</v>
      </c>
      <c r="KC3" s="202"/>
      <c r="KD3" s="203" t="s">
        <v>10</v>
      </c>
      <c r="KE3" s="204"/>
      <c r="KF3" s="86" t="str">
        <f>IF(JO3="","",JO3)</f>
        <v>EVAL 1</v>
      </c>
      <c r="KG3" s="87" t="str">
        <f>IF(JP3="","",JP3)</f>
        <v/>
      </c>
      <c r="KH3" s="88" t="str">
        <f>IF(JQ3="","",JQ3)</f>
        <v/>
      </c>
      <c r="KI3" s="179" t="s">
        <v>7</v>
      </c>
      <c r="KJ3" s="220"/>
      <c r="KK3" s="90" t="str">
        <f>IF(JT3="","",JT3)</f>
        <v>EVAL M1</v>
      </c>
      <c r="KL3" s="87" t="str">
        <f>IF(JU3="","",JU3)</f>
        <v>EVAL M2</v>
      </c>
      <c r="KM3" s="88" t="str">
        <f>IF(JV3="","",JV3)</f>
        <v/>
      </c>
      <c r="KN3" s="196" t="s">
        <v>8</v>
      </c>
      <c r="KO3" s="221"/>
      <c r="KP3" s="90" t="str">
        <f>IF(JY3="","",JY3)</f>
        <v>Eval CH1</v>
      </c>
      <c r="KQ3" s="87" t="str">
        <f>IF(JZ3="","",JZ3)</f>
        <v>fiche CH2/1</v>
      </c>
      <c r="KR3" s="88" t="str">
        <f>IF(KA3="","",KA3)</f>
        <v>fiche CH2/2</v>
      </c>
      <c r="KS3" s="201" t="s">
        <v>9</v>
      </c>
      <c r="KT3" s="202"/>
      <c r="KU3" s="203" t="s">
        <v>10</v>
      </c>
      <c r="KV3" s="204"/>
      <c r="KW3" s="86" t="str">
        <f>IF(KF3="","",KF3)</f>
        <v>EVAL 1</v>
      </c>
      <c r="KX3" s="87" t="str">
        <f>IF(KG3="","",KG3)</f>
        <v/>
      </c>
      <c r="KY3" s="88" t="str">
        <f>IF(KH3="","",KH3)</f>
        <v/>
      </c>
      <c r="KZ3" s="179" t="s">
        <v>7</v>
      </c>
      <c r="LA3" s="220"/>
      <c r="LB3" s="90" t="str">
        <f>IF(KK3="","",KK3)</f>
        <v>EVAL M1</v>
      </c>
      <c r="LC3" s="87" t="str">
        <f>IF(KL3="","",KL3)</f>
        <v>EVAL M2</v>
      </c>
      <c r="LD3" s="88" t="str">
        <f>IF(KM3="","",KM3)</f>
        <v/>
      </c>
      <c r="LE3" s="196" t="s">
        <v>8</v>
      </c>
      <c r="LF3" s="221"/>
      <c r="LG3" s="90" t="str">
        <f>IF(KP3="","",KP3)</f>
        <v>Eval CH1</v>
      </c>
      <c r="LH3" s="87" t="str">
        <f>IF(KQ3="","",KQ3)</f>
        <v>fiche CH2/1</v>
      </c>
      <c r="LI3" s="88" t="str">
        <f>IF(KR3="","",KR3)</f>
        <v>fiche CH2/2</v>
      </c>
      <c r="LJ3" s="201" t="s">
        <v>9</v>
      </c>
      <c r="LK3" s="202"/>
      <c r="LL3" s="203" t="s">
        <v>10</v>
      </c>
      <c r="LM3" s="204"/>
      <c r="LN3" s="86" t="str">
        <f>IF(KW3="","",KW3)</f>
        <v>EVAL 1</v>
      </c>
      <c r="LO3" s="87" t="str">
        <f>IF(KX3="","",KX3)</f>
        <v/>
      </c>
      <c r="LP3" s="88" t="str">
        <f>IF(KY3="","",KY3)</f>
        <v/>
      </c>
      <c r="LQ3" s="179" t="s">
        <v>7</v>
      </c>
      <c r="LR3" s="220"/>
      <c r="LS3" s="90" t="str">
        <f>IF(LB3="","",LB3)</f>
        <v>EVAL M1</v>
      </c>
      <c r="LT3" s="87" t="str">
        <f>IF(LC3="","",LC3)</f>
        <v>EVAL M2</v>
      </c>
      <c r="LU3" s="88" t="str">
        <f>IF(LD3="","",LD3)</f>
        <v/>
      </c>
      <c r="LV3" s="196" t="s">
        <v>8</v>
      </c>
      <c r="LW3" s="221"/>
      <c r="LX3" s="90" t="str">
        <f>IF(LG3="","",LG3)</f>
        <v>Eval CH1</v>
      </c>
      <c r="LY3" s="87" t="str">
        <f>IF(LH3="","",LH3)</f>
        <v>fiche CH2/1</v>
      </c>
      <c r="LZ3" s="88" t="str">
        <f>IF(LI3="","",LI3)</f>
        <v>fiche CH2/2</v>
      </c>
      <c r="MA3" s="201" t="s">
        <v>9</v>
      </c>
      <c r="MB3" s="202"/>
      <c r="MC3" s="203" t="s">
        <v>10</v>
      </c>
      <c r="MD3" s="204"/>
      <c r="ME3" s="86" t="str">
        <f>IF(LN3="","",LN3)</f>
        <v>EVAL 1</v>
      </c>
      <c r="MF3" s="87" t="str">
        <f>IF(LO3="","",LO3)</f>
        <v/>
      </c>
      <c r="MG3" s="88" t="str">
        <f>IF(LP3="","",LP3)</f>
        <v/>
      </c>
      <c r="MH3" s="179" t="s">
        <v>7</v>
      </c>
      <c r="MI3" s="220"/>
      <c r="MJ3" s="90" t="str">
        <f>IF(LS3="","",LS3)</f>
        <v>EVAL M1</v>
      </c>
      <c r="MK3" s="87" t="str">
        <f>IF(LT3="","",LT3)</f>
        <v>EVAL M2</v>
      </c>
      <c r="ML3" s="88" t="str">
        <f>IF(LU3="","",LU3)</f>
        <v/>
      </c>
      <c r="MM3" s="196" t="s">
        <v>8</v>
      </c>
      <c r="MN3" s="221"/>
      <c r="MO3" s="90" t="str">
        <f>IF(LX3="","",LX3)</f>
        <v>Eval CH1</v>
      </c>
      <c r="MP3" s="87" t="str">
        <f>IF(LY3="","",LY3)</f>
        <v>fiche CH2/1</v>
      </c>
      <c r="MQ3" s="88" t="str">
        <f>IF(LZ3="","",LZ3)</f>
        <v>fiche CH2/2</v>
      </c>
      <c r="MR3" s="201" t="s">
        <v>9</v>
      </c>
      <c r="MS3" s="202"/>
      <c r="MT3" s="203" t="s">
        <v>10</v>
      </c>
      <c r="MU3" s="204"/>
      <c r="MV3" s="86" t="str">
        <f>IF(ME3="","",ME3)</f>
        <v>EVAL 1</v>
      </c>
      <c r="MW3" s="87" t="str">
        <f>IF(MF3="","",MF3)</f>
        <v/>
      </c>
      <c r="MX3" s="88" t="str">
        <f>IF(MG3="","",MG3)</f>
        <v/>
      </c>
      <c r="MY3" s="179" t="s">
        <v>7</v>
      </c>
      <c r="MZ3" s="220"/>
      <c r="NA3" s="90" t="str">
        <f>IF(MJ3="","",MJ3)</f>
        <v>EVAL M1</v>
      </c>
      <c r="NB3" s="87" t="str">
        <f>IF(MK3="","",MK3)</f>
        <v>EVAL M2</v>
      </c>
      <c r="NC3" s="88" t="str">
        <f>IF(ML3="","",ML3)</f>
        <v/>
      </c>
      <c r="ND3" s="196" t="s">
        <v>8</v>
      </c>
      <c r="NE3" s="221"/>
      <c r="NF3" s="90" t="str">
        <f>IF(MO3="","",MO3)</f>
        <v>Eval CH1</v>
      </c>
      <c r="NG3" s="87" t="str">
        <f>IF(MP3="","",MP3)</f>
        <v>fiche CH2/1</v>
      </c>
      <c r="NH3" s="88" t="str">
        <f>IF(MQ3="","",MQ3)</f>
        <v>fiche CH2/2</v>
      </c>
      <c r="NI3" s="201" t="s">
        <v>9</v>
      </c>
      <c r="NJ3" s="202"/>
      <c r="NK3" s="203" t="s">
        <v>10</v>
      </c>
      <c r="NL3" s="204"/>
      <c r="NM3" s="86" t="str">
        <f>IF(MV3="","",MV3)</f>
        <v>EVAL 1</v>
      </c>
      <c r="NN3" s="87" t="str">
        <f>IF(MW3="","",MW3)</f>
        <v/>
      </c>
      <c r="NO3" s="88" t="str">
        <f>IF(MX3="","",MX3)</f>
        <v/>
      </c>
      <c r="NP3" s="179" t="s">
        <v>7</v>
      </c>
      <c r="NQ3" s="220"/>
      <c r="NR3" s="90" t="str">
        <f>IF(NA3="","",NA3)</f>
        <v>EVAL M1</v>
      </c>
      <c r="NS3" s="87" t="str">
        <f>IF(NB3="","",NB3)</f>
        <v>EVAL M2</v>
      </c>
      <c r="NT3" s="88" t="str">
        <f>IF(NC3="","",NC3)</f>
        <v/>
      </c>
      <c r="NU3" s="196" t="s">
        <v>8</v>
      </c>
      <c r="NV3" s="221"/>
      <c r="NW3" s="90" t="str">
        <f>IF(NF3="","",NF3)</f>
        <v>Eval CH1</v>
      </c>
      <c r="NX3" s="87" t="str">
        <f>IF(NG3="","",NG3)</f>
        <v>fiche CH2/1</v>
      </c>
      <c r="NY3" s="88" t="str">
        <f>IF(NH3="","",NH3)</f>
        <v>fiche CH2/2</v>
      </c>
      <c r="NZ3" s="201" t="s">
        <v>9</v>
      </c>
      <c r="OA3" s="202"/>
      <c r="OB3" s="203" t="s">
        <v>10</v>
      </c>
      <c r="OC3" s="204"/>
      <c r="OD3" s="86" t="str">
        <f>IF(NM3="","",NM3)</f>
        <v>EVAL 1</v>
      </c>
      <c r="OE3" s="87" t="str">
        <f>IF(NN3="","",NN3)</f>
        <v/>
      </c>
      <c r="OF3" s="88" t="str">
        <f>IF(NO3="","",NO3)</f>
        <v/>
      </c>
      <c r="OG3" s="179" t="s">
        <v>7</v>
      </c>
      <c r="OH3" s="220"/>
      <c r="OI3" s="90" t="str">
        <f>IF(NR3="","",NR3)</f>
        <v>EVAL M1</v>
      </c>
      <c r="OJ3" s="87" t="str">
        <f>IF(NS3="","",NS3)</f>
        <v>EVAL M2</v>
      </c>
      <c r="OK3" s="88" t="str">
        <f>IF(NT3="","",NT3)</f>
        <v/>
      </c>
      <c r="OL3" s="196" t="s">
        <v>8</v>
      </c>
      <c r="OM3" s="221"/>
      <c r="ON3" s="90" t="str">
        <f>IF(NW3="","",NW3)</f>
        <v>Eval CH1</v>
      </c>
      <c r="OO3" s="87" t="str">
        <f>IF(NX3="","",NX3)</f>
        <v>fiche CH2/1</v>
      </c>
      <c r="OP3" s="88" t="str">
        <f>IF(NY3="","",NY3)</f>
        <v>fiche CH2/2</v>
      </c>
      <c r="OQ3" s="201" t="s">
        <v>9</v>
      </c>
      <c r="OR3" s="202"/>
      <c r="OS3" s="203" t="s">
        <v>10</v>
      </c>
      <c r="OT3" s="204"/>
      <c r="OU3" s="86" t="str">
        <f>IF(OD3="","",OD3)</f>
        <v>EVAL 1</v>
      </c>
      <c r="OV3" s="87" t="str">
        <f>IF(OE3="","",OE3)</f>
        <v/>
      </c>
      <c r="OW3" s="88" t="str">
        <f>IF(OF3="","",OF3)</f>
        <v/>
      </c>
      <c r="OX3" s="179" t="s">
        <v>7</v>
      </c>
      <c r="OY3" s="220"/>
      <c r="OZ3" s="90" t="str">
        <f>IF(OI3="","",OI3)</f>
        <v>EVAL M1</v>
      </c>
      <c r="PA3" s="87" t="str">
        <f>IF(OJ3="","",OJ3)</f>
        <v>EVAL M2</v>
      </c>
      <c r="PB3" s="88" t="str">
        <f>IF(OK3="","",OK3)</f>
        <v/>
      </c>
      <c r="PC3" s="196" t="s">
        <v>8</v>
      </c>
      <c r="PD3" s="221"/>
      <c r="PE3" s="90" t="str">
        <f>IF(ON3="","",ON3)</f>
        <v>Eval CH1</v>
      </c>
      <c r="PF3" s="87" t="str">
        <f>IF(OO3="","",OO3)</f>
        <v>fiche CH2/1</v>
      </c>
      <c r="PG3" s="88" t="str">
        <f>IF(OP3="","",OP3)</f>
        <v>fiche CH2/2</v>
      </c>
      <c r="PH3" s="201" t="s">
        <v>9</v>
      </c>
      <c r="PI3" s="202"/>
      <c r="PJ3" s="203" t="s">
        <v>10</v>
      </c>
      <c r="PK3" s="204"/>
      <c r="PL3" s="86" t="str">
        <f>IF(OU3="","",OU3)</f>
        <v>EVAL 1</v>
      </c>
      <c r="PM3" s="87" t="str">
        <f>IF(OV3="","",OV3)</f>
        <v/>
      </c>
      <c r="PN3" s="88" t="str">
        <f>IF(OW3="","",OW3)</f>
        <v/>
      </c>
      <c r="PO3" s="179" t="s">
        <v>7</v>
      </c>
      <c r="PP3" s="220"/>
      <c r="PQ3" s="90" t="str">
        <f>IF(OZ3="","",OZ3)</f>
        <v>EVAL M1</v>
      </c>
      <c r="PR3" s="87" t="str">
        <f>IF(PA3="","",PA3)</f>
        <v>EVAL M2</v>
      </c>
      <c r="PS3" s="88" t="str">
        <f>IF(PB3="","",PB3)</f>
        <v/>
      </c>
      <c r="PT3" s="196" t="s">
        <v>8</v>
      </c>
      <c r="PU3" s="221"/>
      <c r="PV3" s="90" t="str">
        <f>IF(PE3="","",PE3)</f>
        <v>Eval CH1</v>
      </c>
      <c r="PW3" s="87" t="str">
        <f>IF(PF3="","",PF3)</f>
        <v>fiche CH2/1</v>
      </c>
      <c r="PX3" s="88" t="str">
        <f>IF(PG3="","",PG3)</f>
        <v>fiche CH2/2</v>
      </c>
      <c r="PY3" s="201" t="s">
        <v>9</v>
      </c>
      <c r="PZ3" s="202"/>
      <c r="QA3" s="203" t="s">
        <v>10</v>
      </c>
      <c r="QB3" s="204"/>
      <c r="QC3" s="86" t="str">
        <f>IF(PL3="","",PL3)</f>
        <v>EVAL 1</v>
      </c>
      <c r="QD3" s="87" t="str">
        <f>IF(PM3="","",PM3)</f>
        <v/>
      </c>
      <c r="QE3" s="88" t="str">
        <f>IF(PN3="","",PN3)</f>
        <v/>
      </c>
      <c r="QF3" s="179" t="s">
        <v>7</v>
      </c>
      <c r="QG3" s="220"/>
      <c r="QH3" s="90" t="str">
        <f>IF(PQ3="","",PQ3)</f>
        <v>EVAL M1</v>
      </c>
      <c r="QI3" s="87" t="str">
        <f>IF(PR3="","",PR3)</f>
        <v>EVAL M2</v>
      </c>
      <c r="QJ3" s="88" t="str">
        <f>IF(PS3="","",PS3)</f>
        <v/>
      </c>
      <c r="QK3" s="196" t="s">
        <v>8</v>
      </c>
      <c r="QL3" s="221"/>
      <c r="QM3" s="90" t="str">
        <f>IF(PV3="","",PV3)</f>
        <v>Eval CH1</v>
      </c>
      <c r="QN3" s="87" t="str">
        <f>IF(PW3="","",PW3)</f>
        <v>fiche CH2/1</v>
      </c>
      <c r="QO3" s="88" t="str">
        <f>IF(PX3="","",PX3)</f>
        <v>fiche CH2/2</v>
      </c>
      <c r="QP3" s="201" t="s">
        <v>9</v>
      </c>
      <c r="QQ3" s="202"/>
      <c r="QR3" s="203" t="s">
        <v>10</v>
      </c>
      <c r="QS3" s="204"/>
      <c r="QT3" s="86" t="str">
        <f>IF(QC3="","",QC3)</f>
        <v>EVAL 1</v>
      </c>
      <c r="QU3" s="87" t="str">
        <f>IF(QD3="","",QD3)</f>
        <v/>
      </c>
      <c r="QV3" s="88" t="str">
        <f>IF(QE3="","",QE3)</f>
        <v/>
      </c>
      <c r="QW3" s="79" t="s">
        <v>7</v>
      </c>
      <c r="QX3" s="89"/>
      <c r="QY3" s="90" t="str">
        <f>IF(QH3="","",QH3)</f>
        <v>EVAL M1</v>
      </c>
      <c r="QZ3" s="87" t="str">
        <f>IF(QI3="","",QI3)</f>
        <v>EVAL M2</v>
      </c>
      <c r="RA3" s="88" t="str">
        <f>IF(QJ3="","",QJ3)</f>
        <v/>
      </c>
      <c r="RB3" s="81" t="s">
        <v>8</v>
      </c>
      <c r="RC3" s="91"/>
      <c r="RD3" s="90" t="str">
        <f>IF(QM3="","",QM3)</f>
        <v>Eval CH1</v>
      </c>
      <c r="RE3" s="87" t="str">
        <f>IF(QN3="","",QN3)</f>
        <v>fiche CH2/1</v>
      </c>
      <c r="RF3" s="88" t="str">
        <f>IF(QO3="","",QO3)</f>
        <v>fiche CH2/2</v>
      </c>
      <c r="RG3" s="82" t="s">
        <v>9</v>
      </c>
      <c r="RH3" s="83"/>
      <c r="RI3" s="84" t="s">
        <v>10</v>
      </c>
      <c r="RJ3" s="85"/>
      <c r="RK3" s="86" t="str">
        <f>IF(QT3="","",QT3)</f>
        <v>EVAL 1</v>
      </c>
      <c r="RL3" s="87" t="str">
        <f>IF(QU3="","",QU3)</f>
        <v/>
      </c>
      <c r="RM3" s="88" t="str">
        <f>IF(QV3="","",QV3)</f>
        <v/>
      </c>
      <c r="RN3" s="79" t="s">
        <v>7</v>
      </c>
      <c r="RO3" s="89"/>
      <c r="RP3" s="90" t="str">
        <f>IF(QY3="","",QY3)</f>
        <v>EVAL M1</v>
      </c>
      <c r="RQ3" s="87" t="str">
        <f>IF(QZ3="","",QZ3)</f>
        <v>EVAL M2</v>
      </c>
      <c r="RR3" s="88" t="str">
        <f>IF(RA3="","",RA3)</f>
        <v/>
      </c>
      <c r="RS3" s="81" t="s">
        <v>8</v>
      </c>
      <c r="RT3" s="91"/>
      <c r="RU3" s="90" t="str">
        <f>IF(RD3="","",RD3)</f>
        <v>Eval CH1</v>
      </c>
      <c r="RV3" s="87" t="str">
        <f>IF(RE3="","",RE3)</f>
        <v>fiche CH2/1</v>
      </c>
      <c r="RW3" s="88" t="str">
        <f>IF(RF3="","",RF3)</f>
        <v>fiche CH2/2</v>
      </c>
      <c r="RX3" s="82" t="s">
        <v>9</v>
      </c>
      <c r="RY3" s="83"/>
      <c r="RZ3" s="84" t="s">
        <v>10</v>
      </c>
      <c r="SA3" s="85"/>
      <c r="SB3" s="86" t="str">
        <f>IF(RK3="","",RK3)</f>
        <v>EVAL 1</v>
      </c>
      <c r="SC3" s="87" t="str">
        <f>IF(RL3="","",RL3)</f>
        <v/>
      </c>
      <c r="SD3" s="88" t="str">
        <f>IF(RM3="","",RM3)</f>
        <v/>
      </c>
      <c r="SE3" s="79" t="s">
        <v>7</v>
      </c>
      <c r="SF3" s="89"/>
      <c r="SG3" s="90" t="str">
        <f>IF(RP3="","",RP3)</f>
        <v>EVAL M1</v>
      </c>
      <c r="SH3" s="87" t="str">
        <f>IF(RQ3="","",RQ3)</f>
        <v>EVAL M2</v>
      </c>
      <c r="SI3" s="88" t="str">
        <f>IF(RR3="","",RR3)</f>
        <v/>
      </c>
      <c r="SJ3" s="81" t="s">
        <v>8</v>
      </c>
      <c r="SK3" s="91"/>
      <c r="SL3" s="90" t="str">
        <f>IF(RU3="","",RU3)</f>
        <v>Eval CH1</v>
      </c>
      <c r="SM3" s="87" t="str">
        <f>IF(RV3="","",RV3)</f>
        <v>fiche CH2/1</v>
      </c>
      <c r="SN3" s="88" t="str">
        <f>IF(RW3="","",RW3)</f>
        <v>fiche CH2/2</v>
      </c>
      <c r="SO3" s="82" t="s">
        <v>9</v>
      </c>
      <c r="SP3" s="83"/>
      <c r="SQ3" s="84" t="s">
        <v>10</v>
      </c>
      <c r="SR3" s="85"/>
      <c r="SS3" s="86" t="str">
        <f>IF(SB3="","",SB3)</f>
        <v>EVAL 1</v>
      </c>
      <c r="ST3" s="87" t="str">
        <f>IF(SC3="","",SC3)</f>
        <v/>
      </c>
      <c r="SU3" s="88" t="str">
        <f>IF(SD3="","",SD3)</f>
        <v/>
      </c>
      <c r="SV3" s="79" t="s">
        <v>7</v>
      </c>
      <c r="SW3" s="89"/>
      <c r="SX3" s="90" t="str">
        <f>IF(SG3="","",SG3)</f>
        <v>EVAL M1</v>
      </c>
      <c r="SY3" s="87" t="str">
        <f>IF(SH3="","",SH3)</f>
        <v>EVAL M2</v>
      </c>
      <c r="SZ3" s="88" t="str">
        <f>IF(SI3="","",SI3)</f>
        <v/>
      </c>
      <c r="TA3" s="81" t="s">
        <v>8</v>
      </c>
      <c r="TB3" s="91"/>
      <c r="TC3" s="90" t="str">
        <f>IF(SL3="","",SL3)</f>
        <v>Eval CH1</v>
      </c>
      <c r="TD3" s="87" t="str">
        <f>IF(SM3="","",SM3)</f>
        <v>fiche CH2/1</v>
      </c>
      <c r="TE3" s="88" t="str">
        <f>IF(SN3="","",SN3)</f>
        <v>fiche CH2/2</v>
      </c>
      <c r="TF3" s="82" t="s">
        <v>9</v>
      </c>
      <c r="TG3" s="83"/>
      <c r="TH3" s="84" t="s">
        <v>10</v>
      </c>
      <c r="TI3" s="85"/>
      <c r="TJ3" s="86" t="str">
        <f>IF(SS3="","",SS3)</f>
        <v>EVAL 1</v>
      </c>
      <c r="TK3" s="87" t="str">
        <f>IF(ST3="","",ST3)</f>
        <v/>
      </c>
      <c r="TL3" s="88" t="str">
        <f>IF(SU3="","",SU3)</f>
        <v/>
      </c>
      <c r="TM3" s="79" t="s">
        <v>7</v>
      </c>
      <c r="TN3" s="89"/>
      <c r="TO3" s="90" t="str">
        <f>IF(SX3="","",SX3)</f>
        <v>EVAL M1</v>
      </c>
      <c r="TP3" s="87" t="str">
        <f>IF(SY3="","",SY3)</f>
        <v>EVAL M2</v>
      </c>
      <c r="TQ3" s="88" t="str">
        <f>IF(SZ3="","",SZ3)</f>
        <v/>
      </c>
      <c r="TR3" s="81" t="s">
        <v>8</v>
      </c>
      <c r="TS3" s="91"/>
      <c r="TT3" s="90" t="str">
        <f>IF(TC3="","",TC3)</f>
        <v>Eval CH1</v>
      </c>
      <c r="TU3" s="87" t="str">
        <f>IF(TD3="","",TD3)</f>
        <v>fiche CH2/1</v>
      </c>
      <c r="TV3" s="88" t="str">
        <f>IF(TE3="","",TE3)</f>
        <v>fiche CH2/2</v>
      </c>
      <c r="TW3" s="82" t="s">
        <v>9</v>
      </c>
      <c r="TX3" s="83"/>
      <c r="TY3" s="84" t="s">
        <v>10</v>
      </c>
      <c r="TZ3" s="85"/>
    </row>
    <row r="4" spans="1:546" s="98" customFormat="1" ht="27.75" customHeight="1" thickBot="1" x14ac:dyDescent="0.3">
      <c r="A4" s="162" t="s">
        <v>11</v>
      </c>
      <c r="B4" s="92">
        <v>1</v>
      </c>
      <c r="C4" s="165"/>
      <c r="D4" s="126"/>
      <c r="E4" s="127"/>
      <c r="F4" s="181" t="str">
        <f>IF(COUNT(F5:F6)=0,"",SUM(F5:F6)/COUNT(F5:F6))</f>
        <v/>
      </c>
      <c r="G4" s="182" t="str">
        <f t="shared" ref="G4:G20" si="0">IF(F4="","",IF(F4&gt;3.7,"A",IF(F4&gt;2.8,"B",IF(F4&gt;1.5,"C",IF(F4&gt;0,"D",IF(F4=0,""))))))</f>
        <v/>
      </c>
      <c r="H4" s="165"/>
      <c r="I4" s="126"/>
      <c r="J4" s="127"/>
      <c r="K4" s="181">
        <f>IF(COUNT(K5:K6)=0,"",SUM(K5:K6)/COUNT(K5:K6))</f>
        <v>3.5</v>
      </c>
      <c r="L4" s="198" t="str">
        <f t="shared" ref="L4:L20" si="1">IF(K4="","",IF(K4&gt;3.7,"A",IF(K4&gt;2.8,"B",IF(K4&gt;1.5,"C",IF(K4&gt;0,"D",IF(K4=0,""))))))</f>
        <v>B</v>
      </c>
      <c r="M4" s="176"/>
      <c r="N4" s="113"/>
      <c r="O4" s="114"/>
      <c r="P4" s="181">
        <f>IF(COUNT(P5:P6)=0,"",SUM(P5:P6)/COUNT(P5:P6))</f>
        <v>4</v>
      </c>
      <c r="Q4" s="205" t="str">
        <f t="shared" ref="Q4:Q20" si="2">IF(P4="","",IF(P4&gt;3.7,"A",IF(P4&gt;2.8,"B",IF(P4&gt;1.5,"C",IF(P4&gt;0,"D",IF(P4=0,""))))))</f>
        <v>A</v>
      </c>
      <c r="R4" s="181">
        <f>IF(COUNT(R5:R6)=0,"",SUM(R5:R6)/COUNT(R5:R6))</f>
        <v>3.75</v>
      </c>
      <c r="S4" s="206" t="str">
        <f t="shared" ref="S4:S20" si="3">IF(R4="","",IF(R4&gt;3.7,"A",IF(R4&gt;2.8,"B",IF(R4&gt;1.5,"C",IF(R4&gt;0,"D",IF(R4=0,""))))))</f>
        <v>A</v>
      </c>
      <c r="T4" s="216"/>
      <c r="U4" s="126"/>
      <c r="V4" s="127"/>
      <c r="W4" s="181" t="str">
        <f>IF(COUNT(W5:W6)=0,"",SUM(W5:W6)/COUNT(W5:W6))</f>
        <v/>
      </c>
      <c r="X4" s="182" t="str">
        <f t="shared" ref="X4:X20" si="4">IF(W4="","",IF(W4&gt;3.7,"A",IF(W4&gt;2.8,"B",IF(W4&gt;1.5,"C",IF(W4&gt;0,"D",IF(W4=0,""))))))</f>
        <v/>
      </c>
      <c r="Y4" s="165"/>
      <c r="Z4" s="126"/>
      <c r="AA4" s="127"/>
      <c r="AB4" s="181">
        <f>IF(COUNT(AB5:AB6)=0,"",SUM(AB5:AB6)/COUNT(AB5:AB6))</f>
        <v>4</v>
      </c>
      <c r="AC4" s="198" t="str">
        <f t="shared" ref="AC4:AC20" si="5">IF(AB4="","",IF(AB4&gt;3.7,"A",IF(AB4&gt;2.8,"B",IF(AB4&gt;1.5,"C",IF(AB4&gt;0,"D",IF(AB4=0,""))))))</f>
        <v>A</v>
      </c>
      <c r="AD4" s="176"/>
      <c r="AE4" s="113"/>
      <c r="AF4" s="114"/>
      <c r="AG4" s="181">
        <f>IF(COUNT(AG5:AG6)=0,"",SUM(AG5:AG6)/COUNT(AG5:AG6))</f>
        <v>4</v>
      </c>
      <c r="AH4" s="205" t="str">
        <f t="shared" ref="AH4:AH20" si="6">IF(AG4="","",IF(AG4&gt;3.7,"A",IF(AG4&gt;2.8,"B",IF(AG4&gt;1.5,"C",IF(AG4&gt;0,"D",IF(AG4=0,""))))))</f>
        <v>A</v>
      </c>
      <c r="AI4" s="181">
        <f>IF(COUNT(AI5:AI6)=0,"",SUM(AI5:AI6)/COUNT(AI5:AI6))</f>
        <v>4</v>
      </c>
      <c r="AJ4" s="206" t="str">
        <f t="shared" ref="AJ4:AJ20" si="7">IF(AI4="","",IF(AI4&gt;3.7,"A",IF(AI4&gt;2.8,"B",IF(AI4&gt;1.5,"C",IF(AI4&gt;0,"D",IF(AI4=0,""))))))</f>
        <v>A</v>
      </c>
      <c r="AK4" s="216"/>
      <c r="AL4" s="126"/>
      <c r="AM4" s="127"/>
      <c r="AN4" s="181" t="str">
        <f>IF(COUNT(AN5:AN6)=0,"",SUM(AN5:AN6)/COUNT(AN5:AN6))</f>
        <v/>
      </c>
      <c r="AO4" s="182" t="str">
        <f t="shared" ref="AO4:AO20" si="8">IF(AN4="","",IF(AN4&gt;3.7,"A",IF(AN4&gt;2.8,"B",IF(AN4&gt;1.5,"C",IF(AN4&gt;0,"D",IF(AN4=0,""))))))</f>
        <v/>
      </c>
      <c r="AP4" s="165"/>
      <c r="AQ4" s="126"/>
      <c r="AR4" s="127"/>
      <c r="AS4" s="181">
        <f>IF(COUNT(AS5:AS6)=0,"",SUM(AS5:AS6)/COUNT(AS5:AS6))</f>
        <v>3.5</v>
      </c>
      <c r="AT4" s="198" t="str">
        <f t="shared" ref="AT4:AT20" si="9">IF(AS4="","",IF(AS4&gt;3.7,"A",IF(AS4&gt;2.8,"B",IF(AS4&gt;1.5,"C",IF(AS4&gt;0,"D",IF(AS4=0,""))))))</f>
        <v>B</v>
      </c>
      <c r="AU4" s="176"/>
      <c r="AV4" s="113"/>
      <c r="AW4" s="114"/>
      <c r="AX4" s="181">
        <f>IF(COUNT(AX5:AX6)=0,"",SUM(AX5:AX6)/COUNT(AX5:AX6))</f>
        <v>4</v>
      </c>
      <c r="AY4" s="205" t="str">
        <f t="shared" ref="AY4:AY20" si="10">IF(AX4="","",IF(AX4&gt;3.7,"A",IF(AX4&gt;2.8,"B",IF(AX4&gt;1.5,"C",IF(AX4&gt;0,"D",IF(AX4=0,""))))))</f>
        <v>A</v>
      </c>
      <c r="AZ4" s="181">
        <f>IF(COUNT(AZ5:AZ6)=0,"",SUM(AZ5:AZ6)/COUNT(AZ5:AZ6))</f>
        <v>3.5</v>
      </c>
      <c r="BA4" s="206" t="str">
        <f t="shared" ref="BA4:BA20" si="11">IF(AZ4="","",IF(AZ4&gt;3.7,"A",IF(AZ4&gt;2.8,"B",IF(AZ4&gt;1.5,"C",IF(AZ4&gt;0,"D",IF(AZ4=0,""))))))</f>
        <v>B</v>
      </c>
      <c r="BB4" s="216"/>
      <c r="BC4" s="126"/>
      <c r="BD4" s="127"/>
      <c r="BE4" s="181" t="str">
        <f>IF(COUNT(BE5:BE6)=0,"",SUM(BE5:BE6)/COUNT(BE5:BE6))</f>
        <v/>
      </c>
      <c r="BF4" s="182" t="str">
        <f t="shared" ref="BF4:BF20" si="12">IF(BE4="","",IF(BE4&gt;3.7,"A",IF(BE4&gt;2.8,"B",IF(BE4&gt;1.5,"C",IF(BE4&gt;0,"D",IF(BE4=0,""))))))</f>
        <v/>
      </c>
      <c r="BG4" s="165"/>
      <c r="BH4" s="126"/>
      <c r="BI4" s="127"/>
      <c r="BJ4" s="181">
        <f>IF(COUNT(BJ5:BJ6)=0,"",SUM(BJ5:BJ6)/COUNT(BJ5:BJ6))</f>
        <v>3</v>
      </c>
      <c r="BK4" s="198" t="str">
        <f t="shared" ref="BK4:BK20" si="13">IF(BJ4="","",IF(BJ4&gt;3.7,"A",IF(BJ4&gt;2.8,"B",IF(BJ4&gt;1.5,"C",IF(BJ4&gt;0,"D",IF(BJ4=0,""))))))</f>
        <v>B</v>
      </c>
      <c r="BL4" s="176"/>
      <c r="BM4" s="113"/>
      <c r="BN4" s="114"/>
      <c r="BO4" s="181">
        <f>IF(COUNT(BO5:BO6)=0,"",SUM(BO5:BO6)/COUNT(BO5:BO6))</f>
        <v>2</v>
      </c>
      <c r="BP4" s="205" t="str">
        <f t="shared" ref="BP4:BP20" si="14">IF(BO4="","",IF(BO4&gt;3.7,"A",IF(BO4&gt;2.8,"B",IF(BO4&gt;1.5,"C",IF(BO4&gt;0,"D",IF(BO4=0,""))))))</f>
        <v>C</v>
      </c>
      <c r="BQ4" s="181">
        <f>IF(COUNT(BQ5:BQ6)=0,"",SUM(BQ5:BQ6)/COUNT(BQ5:BQ6))</f>
        <v>2.75</v>
      </c>
      <c r="BR4" s="206" t="str">
        <f t="shared" ref="BR4:BR20" si="15">IF(BQ4="","",IF(BQ4&gt;3.7,"A",IF(BQ4&gt;2.8,"B",IF(BQ4&gt;1.5,"C",IF(BQ4&gt;0,"D",IF(BQ4=0,""))))))</f>
        <v>C</v>
      </c>
      <c r="BS4" s="216"/>
      <c r="BT4" s="126"/>
      <c r="BU4" s="127"/>
      <c r="BV4" s="181" t="str">
        <f>IF(COUNT(BV5:BV6)=0,"",SUM(BV5:BV6)/COUNT(BV5:BV6))</f>
        <v/>
      </c>
      <c r="BW4" s="182" t="str">
        <f t="shared" ref="BW4:BW20" si="16">IF(BV4="","",IF(BV4&gt;3.7,"A",IF(BV4&gt;2.8,"B",IF(BV4&gt;1.5,"C",IF(BV4&gt;0,"D",IF(BV4=0,""))))))</f>
        <v/>
      </c>
      <c r="BX4" s="165"/>
      <c r="BY4" s="126"/>
      <c r="BZ4" s="127"/>
      <c r="CA4" s="181">
        <f>IF(COUNT(CA5:CA6)=0,"",SUM(CA5:CA6)/COUNT(CA5:CA6))</f>
        <v>3.5</v>
      </c>
      <c r="CB4" s="198" t="str">
        <f t="shared" ref="CB4:CB20" si="17">IF(CA4="","",IF(CA4&gt;3.7,"A",IF(CA4&gt;2.8,"B",IF(CA4&gt;1.5,"C",IF(CA4&gt;0,"D",IF(CA4=0,""))))))</f>
        <v>B</v>
      </c>
      <c r="CC4" s="176"/>
      <c r="CD4" s="113"/>
      <c r="CE4" s="114"/>
      <c r="CF4" s="181">
        <f>IF(COUNT(CF5:CF6)=0,"",SUM(CF5:CF6)/COUNT(CF5:CF6))</f>
        <v>3</v>
      </c>
      <c r="CG4" s="205" t="str">
        <f t="shared" ref="CG4:CG20" si="18">IF(CF4="","",IF(CF4&gt;3.7,"A",IF(CF4&gt;2.8,"B",IF(CF4&gt;1.5,"C",IF(CF4&gt;0,"D",IF(CF4=0,""))))))</f>
        <v>B</v>
      </c>
      <c r="CH4" s="181">
        <f>IF(COUNT(CH5:CH6)=0,"",SUM(CH5:CH6)/COUNT(CH5:CH6))</f>
        <v>3.25</v>
      </c>
      <c r="CI4" s="206" t="str">
        <f t="shared" ref="CI4:CI20" si="19">IF(CH4="","",IF(CH4&gt;3.7,"A",IF(CH4&gt;2.8,"B",IF(CH4&gt;1.5,"C",IF(CH4&gt;0,"D",IF(CH4=0,""))))))</f>
        <v>B</v>
      </c>
      <c r="CJ4" s="216"/>
      <c r="CK4" s="126"/>
      <c r="CL4" s="127"/>
      <c r="CM4" s="181" t="str">
        <f>IF(COUNT(CM5:CM6)=0,"",SUM(CM5:CM6)/COUNT(CM5:CM6))</f>
        <v/>
      </c>
      <c r="CN4" s="182" t="str">
        <f t="shared" ref="CN4:CN20" si="20">IF(CM4="","",IF(CM4&gt;3.7,"A",IF(CM4&gt;2.8,"B",IF(CM4&gt;1.5,"C",IF(CM4&gt;0,"D",IF(CM4=0,""))))))</f>
        <v/>
      </c>
      <c r="CO4" s="165"/>
      <c r="CP4" s="126"/>
      <c r="CQ4" s="127"/>
      <c r="CR4" s="181">
        <f>IF(COUNT(CR5:CR6)=0,"",SUM(CR5:CR6)/COUNT(CR5:CR6))</f>
        <v>2.5</v>
      </c>
      <c r="CS4" s="198" t="str">
        <f t="shared" ref="CS4:CS20" si="21">IF(CR4="","",IF(CR4&gt;3.7,"A",IF(CR4&gt;2.8,"B",IF(CR4&gt;1.5,"C",IF(CR4&gt;0,"D",IF(CR4=0,""))))))</f>
        <v>C</v>
      </c>
      <c r="CT4" s="176"/>
      <c r="CU4" s="113"/>
      <c r="CV4" s="114"/>
      <c r="CW4" s="181">
        <f>IF(COUNT(CW5:CW6)=0,"",SUM(CW5:CW6)/COUNT(CW5:CW6))</f>
        <v>1</v>
      </c>
      <c r="CX4" s="205" t="str">
        <f t="shared" ref="CX4:CX20" si="22">IF(CW4="","",IF(CW4&gt;3.7,"A",IF(CW4&gt;2.8,"B",IF(CW4&gt;1.5,"C",IF(CW4&gt;0,"D",IF(CW4=0,""))))))</f>
        <v>D</v>
      </c>
      <c r="CY4" s="181">
        <f>IF(COUNT(CY5:CY6)=0,"",SUM(CY5:CY6)/COUNT(CY5:CY6))</f>
        <v>2.25</v>
      </c>
      <c r="CZ4" s="206" t="str">
        <f t="shared" ref="CZ4:CZ20" si="23">IF(CY4="","",IF(CY4&gt;3.7,"A",IF(CY4&gt;2.8,"B",IF(CY4&gt;1.5,"C",IF(CY4&gt;0,"D",IF(CY4=0,""))))))</f>
        <v>C</v>
      </c>
      <c r="DA4" s="216"/>
      <c r="DB4" s="126"/>
      <c r="DC4" s="127"/>
      <c r="DD4" s="181" t="str">
        <f>IF(COUNT(DD5:DD6)=0,"",SUM(DD5:DD6)/COUNT(DD5:DD6))</f>
        <v/>
      </c>
      <c r="DE4" s="182" t="str">
        <f t="shared" ref="DE4:DE20" si="24">IF(DD4="","",IF(DD4&gt;3.7,"A",IF(DD4&gt;2.8,"B",IF(DD4&gt;1.5,"C",IF(DD4&gt;0,"D",IF(DD4=0,""))))))</f>
        <v/>
      </c>
      <c r="DF4" s="165"/>
      <c r="DG4" s="126"/>
      <c r="DH4" s="127"/>
      <c r="DI4" s="181">
        <f>IF(COUNT(DI5:DI6)=0,"",SUM(DI5:DI6)/COUNT(DI5:DI6))</f>
        <v>4</v>
      </c>
      <c r="DJ4" s="198" t="str">
        <f t="shared" ref="DJ4:DJ20" si="25">IF(DI4="","",IF(DI4&gt;3.7,"A",IF(DI4&gt;2.8,"B",IF(DI4&gt;1.5,"C",IF(DI4&gt;0,"D",IF(DI4=0,""))))))</f>
        <v>A</v>
      </c>
      <c r="DK4" s="176"/>
      <c r="DL4" s="113"/>
      <c r="DM4" s="114"/>
      <c r="DN4" s="181">
        <f>IF(COUNT(DN5:DN6)=0,"",SUM(DN5:DN6)/COUNT(DN5:DN6))</f>
        <v>2</v>
      </c>
      <c r="DO4" s="205" t="str">
        <f t="shared" ref="DO4:DO20" si="26">IF(DN4="","",IF(DN4&gt;3.7,"A",IF(DN4&gt;2.8,"B",IF(DN4&gt;1.5,"C",IF(DN4&gt;0,"D",IF(DN4=0,""))))))</f>
        <v>C</v>
      </c>
      <c r="DP4" s="181">
        <f>IF(COUNT(DP5:DP6)=0,"",SUM(DP5:DP6)/COUNT(DP5:DP6))</f>
        <v>3.5</v>
      </c>
      <c r="DQ4" s="206" t="str">
        <f t="shared" ref="DQ4:DQ20" si="27">IF(DP4="","",IF(DP4&gt;3.7,"A",IF(DP4&gt;2.8,"B",IF(DP4&gt;1.5,"C",IF(DP4&gt;0,"D",IF(DP4=0,""))))))</f>
        <v>B</v>
      </c>
      <c r="DR4" s="216"/>
      <c r="DS4" s="126"/>
      <c r="DT4" s="127"/>
      <c r="DU4" s="181" t="str">
        <f>IF(COUNT(DU5:DU6)=0,"",SUM(DU5:DU6)/COUNT(DU5:DU6))</f>
        <v/>
      </c>
      <c r="DV4" s="182" t="str">
        <f t="shared" ref="DV4:DV20" si="28">IF(DU4="","",IF(DU4&gt;3.7,"A",IF(DU4&gt;2.8,"B",IF(DU4&gt;1.5,"C",IF(DU4&gt;0,"D",IF(DU4=0,""))))))</f>
        <v/>
      </c>
      <c r="DW4" s="165"/>
      <c r="DX4" s="126"/>
      <c r="DY4" s="127"/>
      <c r="DZ4" s="181">
        <f>IF(COUNT(DZ5:DZ6)=0,"",SUM(DZ5:DZ6)/COUNT(DZ5:DZ6))</f>
        <v>4</v>
      </c>
      <c r="EA4" s="198" t="str">
        <f t="shared" ref="EA4:EA20" si="29">IF(DZ4="","",IF(DZ4&gt;3.7,"A",IF(DZ4&gt;2.8,"B",IF(DZ4&gt;1.5,"C",IF(DZ4&gt;0,"D",IF(DZ4=0,""))))))</f>
        <v>A</v>
      </c>
      <c r="EB4" s="176"/>
      <c r="EC4" s="113"/>
      <c r="ED4" s="114"/>
      <c r="EE4" s="181">
        <f>IF(COUNT(EE5:EE6)=0,"",SUM(EE5:EE6)/COUNT(EE5:EE6))</f>
        <v>4</v>
      </c>
      <c r="EF4" s="205" t="str">
        <f t="shared" ref="EF4:EF20" si="30">IF(EE4="","",IF(EE4&gt;3.7,"A",IF(EE4&gt;2.8,"B",IF(EE4&gt;1.5,"C",IF(EE4&gt;0,"D",IF(EE4=0,""))))))</f>
        <v>A</v>
      </c>
      <c r="EG4" s="181">
        <f>IF(COUNT(EG5:EG6)=0,"",SUM(EG5:EG6)/COUNT(EG5:EG6))</f>
        <v>4</v>
      </c>
      <c r="EH4" s="206" t="str">
        <f t="shared" ref="EH4:EH20" si="31">IF(EG4="","",IF(EG4&gt;3.7,"A",IF(EG4&gt;2.8,"B",IF(EG4&gt;1.5,"C",IF(EG4&gt;0,"D",IF(EG4=0,""))))))</f>
        <v>A</v>
      </c>
      <c r="EI4" s="216"/>
      <c r="EJ4" s="126"/>
      <c r="EK4" s="127"/>
      <c r="EL4" s="181" t="str">
        <f>IF(COUNT(EL5:EL6)=0,"",SUM(EL5:EL6)/COUNT(EL5:EL6))</f>
        <v/>
      </c>
      <c r="EM4" s="182" t="str">
        <f t="shared" ref="EM4:EM20" si="32">IF(EL4="","",IF(EL4&gt;3.7,"A",IF(EL4&gt;2.8,"B",IF(EL4&gt;1.5,"C",IF(EL4&gt;0,"D",IF(EL4=0,""))))))</f>
        <v/>
      </c>
      <c r="EN4" s="165"/>
      <c r="EO4" s="126"/>
      <c r="EP4" s="127"/>
      <c r="EQ4" s="181">
        <f>IF(COUNT(EQ5:EQ6)=0,"",SUM(EQ5:EQ6)/COUNT(EQ5:EQ6))</f>
        <v>3.5</v>
      </c>
      <c r="ER4" s="198" t="str">
        <f t="shared" ref="ER4:ER20" si="33">IF(EQ4="","",IF(EQ4&gt;3.7,"A",IF(EQ4&gt;2.8,"B",IF(EQ4&gt;1.5,"C",IF(EQ4&gt;0,"D",IF(EQ4=0,""))))))</f>
        <v>B</v>
      </c>
      <c r="ES4" s="176"/>
      <c r="ET4" s="113"/>
      <c r="EU4" s="114"/>
      <c r="EV4" s="181">
        <f>IF(COUNT(EV5:EV6)=0,"",SUM(EV5:EV6)/COUNT(EV5:EV6))</f>
        <v>4</v>
      </c>
      <c r="EW4" s="205" t="str">
        <f t="shared" ref="EW4:EW20" si="34">IF(EV4="","",IF(EV4&gt;3.7,"A",IF(EV4&gt;2.8,"B",IF(EV4&gt;1.5,"C",IF(EV4&gt;0,"D",IF(EV4=0,""))))))</f>
        <v>A</v>
      </c>
      <c r="EX4" s="181">
        <f>IF(COUNT(EX5:EX6)=0,"",SUM(EX5:EX6)/COUNT(EX5:EX6))</f>
        <v>3.75</v>
      </c>
      <c r="EY4" s="206" t="str">
        <f t="shared" ref="EY4:EY20" si="35">IF(EX4="","",IF(EX4&gt;3.7,"A",IF(EX4&gt;2.8,"B",IF(EX4&gt;1.5,"C",IF(EX4&gt;0,"D",IF(EX4=0,""))))))</f>
        <v>A</v>
      </c>
      <c r="EZ4" s="216"/>
      <c r="FA4" s="126"/>
      <c r="FB4" s="127"/>
      <c r="FC4" s="181" t="str">
        <f>IF(COUNT(FC5:FC6)=0,"",SUM(FC5:FC6)/COUNT(FC5:FC6))</f>
        <v/>
      </c>
      <c r="FD4" s="182" t="str">
        <f t="shared" ref="FD4:FD20" si="36">IF(FC4="","",IF(FC4&gt;3.7,"A",IF(FC4&gt;2.8,"B",IF(FC4&gt;1.5,"C",IF(FC4&gt;0,"D",IF(FC4=0,""))))))</f>
        <v/>
      </c>
      <c r="FE4" s="165"/>
      <c r="FF4" s="126"/>
      <c r="FG4" s="127"/>
      <c r="FH4" s="181">
        <f>IF(COUNT(FH5:FH6)=0,"",SUM(FH5:FH6)/COUNT(FH5:FH6))</f>
        <v>4</v>
      </c>
      <c r="FI4" s="198" t="str">
        <f t="shared" ref="FI4:FI20" si="37">IF(FH4="","",IF(FH4&gt;3.7,"A",IF(FH4&gt;2.8,"B",IF(FH4&gt;1.5,"C",IF(FH4&gt;0,"D",IF(FH4=0,""))))))</f>
        <v>A</v>
      </c>
      <c r="FJ4" s="176"/>
      <c r="FK4" s="113"/>
      <c r="FL4" s="114"/>
      <c r="FM4" s="181">
        <f>IF(COUNT(FM5:FM6)=0,"",SUM(FM5:FM6)/COUNT(FM5:FM6))</f>
        <v>4</v>
      </c>
      <c r="FN4" s="205" t="str">
        <f t="shared" ref="FN4:FN20" si="38">IF(FM4="","",IF(FM4&gt;3.7,"A",IF(FM4&gt;2.8,"B",IF(FM4&gt;1.5,"C",IF(FM4&gt;0,"D",IF(FM4=0,""))))))</f>
        <v>A</v>
      </c>
      <c r="FO4" s="181">
        <f>IF(COUNT(FO5:FO6)=0,"",SUM(FO5:FO6)/COUNT(FO5:FO6))</f>
        <v>4</v>
      </c>
      <c r="FP4" s="206" t="str">
        <f t="shared" ref="FP4:FP20" si="39">IF(FO4="","",IF(FO4&gt;3.7,"A",IF(FO4&gt;2.8,"B",IF(FO4&gt;1.5,"C",IF(FO4&gt;0,"D",IF(FO4=0,""))))))</f>
        <v>A</v>
      </c>
      <c r="FQ4" s="216"/>
      <c r="FR4" s="126"/>
      <c r="FS4" s="127"/>
      <c r="FT4" s="181" t="str">
        <f>IF(COUNT(FT5:FT6)=0,"",SUM(FT5:FT6)/COUNT(FT5:FT6))</f>
        <v/>
      </c>
      <c r="FU4" s="182" t="str">
        <f t="shared" ref="FU4:FU20" si="40">IF(FT4="","",IF(FT4&gt;3.7,"A",IF(FT4&gt;2.8,"B",IF(FT4&gt;1.5,"C",IF(FT4&gt;0,"D",IF(FT4=0,""))))))</f>
        <v/>
      </c>
      <c r="FV4" s="165"/>
      <c r="FW4" s="126"/>
      <c r="FX4" s="127"/>
      <c r="FY4" s="181">
        <f>IF(COUNT(FY5:FY6)=0,"",SUM(FY5:FY6)/COUNT(FY5:FY6))</f>
        <v>2</v>
      </c>
      <c r="FZ4" s="198" t="str">
        <f t="shared" ref="FZ4:FZ20" si="41">IF(FY4="","",IF(FY4&gt;3.7,"A",IF(FY4&gt;2.8,"B",IF(FY4&gt;1.5,"C",IF(FY4&gt;0,"D",IF(FY4=0,""))))))</f>
        <v>C</v>
      </c>
      <c r="GA4" s="176"/>
      <c r="GB4" s="113"/>
      <c r="GC4" s="114"/>
      <c r="GD4" s="181">
        <f>IF(COUNT(GD5:GD6)=0,"",SUM(GD5:GD6)/COUNT(GD5:GD6))</f>
        <v>4</v>
      </c>
      <c r="GE4" s="205" t="str">
        <f t="shared" ref="GE4:GE20" si="42">IF(GD4="","",IF(GD4&gt;3.7,"A",IF(GD4&gt;2.8,"B",IF(GD4&gt;1.5,"C",IF(GD4&gt;0,"D",IF(GD4=0,""))))))</f>
        <v>A</v>
      </c>
      <c r="GF4" s="181">
        <f>IF(COUNT(GF5:GF6)=0,"",SUM(GF5:GF6)/COUNT(GF5:GF6))</f>
        <v>2.25</v>
      </c>
      <c r="GG4" s="206" t="str">
        <f t="shared" ref="GG4:GG20" si="43">IF(GF4="","",IF(GF4&gt;3.7,"A",IF(GF4&gt;2.8,"B",IF(GF4&gt;1.5,"C",IF(GF4&gt;0,"D",IF(GF4=0,""))))))</f>
        <v>C</v>
      </c>
      <c r="GH4" s="216"/>
      <c r="GI4" s="126"/>
      <c r="GJ4" s="127"/>
      <c r="GK4" s="181" t="str">
        <f>IF(COUNT(GK5:GK6)=0,"",SUM(GK5:GK6)/COUNT(GK5:GK6))</f>
        <v/>
      </c>
      <c r="GL4" s="182" t="str">
        <f t="shared" ref="GL4:GL20" si="44">IF(GK4="","",IF(GK4&gt;3.7,"A",IF(GK4&gt;2.8,"B",IF(GK4&gt;1.5,"C",IF(GK4&gt;0,"D",IF(GK4=0,""))))))</f>
        <v/>
      </c>
      <c r="GM4" s="165"/>
      <c r="GN4" s="126"/>
      <c r="GO4" s="127"/>
      <c r="GP4" s="181">
        <f>IF(COUNT(GP5:GP6)=0,"",SUM(GP5:GP6)/COUNT(GP5:GP6))</f>
        <v>4</v>
      </c>
      <c r="GQ4" s="198" t="str">
        <f t="shared" ref="GQ4:GQ20" si="45">IF(GP4="","",IF(GP4&gt;3.7,"A",IF(GP4&gt;2.8,"B",IF(GP4&gt;1.5,"C",IF(GP4&gt;0,"D",IF(GP4=0,""))))))</f>
        <v>A</v>
      </c>
      <c r="GR4" s="176"/>
      <c r="GS4" s="113"/>
      <c r="GT4" s="114"/>
      <c r="GU4" s="181">
        <f>IF(COUNT(GU5:GU6)=0,"",SUM(GU5:GU6)/COUNT(GU5:GU6))</f>
        <v>4</v>
      </c>
      <c r="GV4" s="205" t="str">
        <f t="shared" ref="GV4:GV20" si="46">IF(GU4="","",IF(GU4&gt;3.7,"A",IF(GU4&gt;2.8,"B",IF(GU4&gt;1.5,"C",IF(GU4&gt;0,"D",IF(GU4=0,""))))))</f>
        <v>A</v>
      </c>
      <c r="GW4" s="181">
        <f>IF(COUNT(GW5:GW6)=0,"",SUM(GW5:GW6)/COUNT(GW5:GW6))</f>
        <v>4</v>
      </c>
      <c r="GX4" s="206" t="str">
        <f t="shared" ref="GX4:GX20" si="47">IF(GW4="","",IF(GW4&gt;3.7,"A",IF(GW4&gt;2.8,"B",IF(GW4&gt;1.5,"C",IF(GW4&gt;0,"D",IF(GW4=0,""))))))</f>
        <v>A</v>
      </c>
      <c r="GY4" s="216"/>
      <c r="GZ4" s="126"/>
      <c r="HA4" s="127"/>
      <c r="HB4" s="181" t="str">
        <f>IF(COUNT(HB5:HB6)=0,"",SUM(HB5:HB6)/COUNT(HB5:HB6))</f>
        <v/>
      </c>
      <c r="HC4" s="182" t="str">
        <f t="shared" ref="HC4:HC20" si="48">IF(HB4="","",IF(HB4&gt;3.7,"A",IF(HB4&gt;2.8,"B",IF(HB4&gt;1.5,"C",IF(HB4&gt;0,"D",IF(HB4=0,""))))))</f>
        <v/>
      </c>
      <c r="HD4" s="165"/>
      <c r="HE4" s="126"/>
      <c r="HF4" s="127"/>
      <c r="HG4" s="181">
        <f>IF(COUNT(HG5:HG6)=0,"",SUM(HG5:HG6)/COUNT(HG5:HG6))</f>
        <v>2.5</v>
      </c>
      <c r="HH4" s="198" t="str">
        <f t="shared" ref="HH4:HH20" si="49">IF(HG4="","",IF(HG4&gt;3.7,"A",IF(HG4&gt;2.8,"B",IF(HG4&gt;1.5,"C",IF(HG4&gt;0,"D",IF(HG4=0,""))))))</f>
        <v>C</v>
      </c>
      <c r="HI4" s="176"/>
      <c r="HJ4" s="113"/>
      <c r="HK4" s="114"/>
      <c r="HL4" s="181">
        <f>IF(COUNT(HL5:HL6)=0,"",SUM(HL5:HL6)/COUNT(HL5:HL6))</f>
        <v>4</v>
      </c>
      <c r="HM4" s="205" t="str">
        <f t="shared" ref="HM4:HM20" si="50">IF(HL4="","",IF(HL4&gt;3.7,"A",IF(HL4&gt;2.8,"B",IF(HL4&gt;1.5,"C",IF(HL4&gt;0,"D",IF(HL4=0,""))))))</f>
        <v>A</v>
      </c>
      <c r="HN4" s="181">
        <f>IF(COUNT(HN5:HN6)=0,"",SUM(HN5:HN6)/COUNT(HN5:HN6))</f>
        <v>2.5</v>
      </c>
      <c r="HO4" s="206" t="str">
        <f t="shared" ref="HO4:HO20" si="51">IF(HN4="","",IF(HN4&gt;3.7,"A",IF(HN4&gt;2.8,"B",IF(HN4&gt;1.5,"C",IF(HN4&gt;0,"D",IF(HN4=0,""))))))</f>
        <v>C</v>
      </c>
      <c r="HP4" s="216"/>
      <c r="HQ4" s="126"/>
      <c r="HR4" s="127"/>
      <c r="HS4" s="181" t="str">
        <f>IF(COUNT(HS5:HS6)=0,"",SUM(HS5:HS6)/COUNT(HS5:HS6))</f>
        <v/>
      </c>
      <c r="HT4" s="182" t="str">
        <f t="shared" ref="HT4:HT20" si="52">IF(HS4="","",IF(HS4&gt;3.7,"A",IF(HS4&gt;2.8,"B",IF(HS4&gt;1.5,"C",IF(HS4&gt;0,"D",IF(HS4=0,""))))))</f>
        <v/>
      </c>
      <c r="HU4" s="165"/>
      <c r="HV4" s="126"/>
      <c r="HW4" s="127"/>
      <c r="HX4" s="181">
        <f>IF(COUNT(HX5:HX6)=0,"",SUM(HX5:HX6)/COUNT(HX5:HX6))</f>
        <v>3</v>
      </c>
      <c r="HY4" s="198" t="str">
        <f t="shared" ref="HY4:HY20" si="53">IF(HX4="","",IF(HX4&gt;3.7,"A",IF(HX4&gt;2.8,"B",IF(HX4&gt;1.5,"C",IF(HX4&gt;0,"D",IF(HX4=0,""))))))</f>
        <v>B</v>
      </c>
      <c r="HZ4" s="176"/>
      <c r="IA4" s="113"/>
      <c r="IB4" s="114"/>
      <c r="IC4" s="181">
        <f>IF(COUNT(IC5:IC6)=0,"",SUM(IC5:IC6)/COUNT(IC5:IC6))</f>
        <v>4</v>
      </c>
      <c r="ID4" s="205" t="str">
        <f t="shared" ref="ID4:ID20" si="54">IF(IC4="","",IF(IC4&gt;3.7,"A",IF(IC4&gt;2.8,"B",IF(IC4&gt;1.5,"C",IF(IC4&gt;0,"D",IF(IC4=0,""))))))</f>
        <v>A</v>
      </c>
      <c r="IE4" s="181">
        <f>IF(COUNT(IE5:IE6)=0,"",SUM(IE5:IE6)/COUNT(IE5:IE6))</f>
        <v>3.5</v>
      </c>
      <c r="IF4" s="206" t="str">
        <f t="shared" ref="IF4:IF20" si="55">IF(IE4="","",IF(IE4&gt;3.7,"A",IF(IE4&gt;2.8,"B",IF(IE4&gt;1.5,"C",IF(IE4&gt;0,"D",IF(IE4=0,""))))))</f>
        <v>B</v>
      </c>
      <c r="IG4" s="216"/>
      <c r="IH4" s="126"/>
      <c r="II4" s="127"/>
      <c r="IJ4" s="181" t="str">
        <f>IF(COUNT(IJ5:IJ6)=0,"",SUM(IJ5:IJ6)/COUNT(IJ5:IJ6))</f>
        <v/>
      </c>
      <c r="IK4" s="182" t="str">
        <f t="shared" ref="IK4:IK20" si="56">IF(IJ4="","",IF(IJ4&gt;3.7,"A",IF(IJ4&gt;2.8,"B",IF(IJ4&gt;1.5,"C",IF(IJ4&gt;0,"D",IF(IJ4=0,""))))))</f>
        <v/>
      </c>
      <c r="IL4" s="165"/>
      <c r="IM4" s="126"/>
      <c r="IN4" s="127"/>
      <c r="IO4" s="181">
        <f>IF(COUNT(IO5:IO6)=0,"",SUM(IO5:IO6)/COUNT(IO5:IO6))</f>
        <v>4</v>
      </c>
      <c r="IP4" s="198" t="str">
        <f t="shared" ref="IP4:IP20" si="57">IF(IO4="","",IF(IO4&gt;3.7,"A",IF(IO4&gt;2.8,"B",IF(IO4&gt;1.5,"C",IF(IO4&gt;0,"D",IF(IO4=0,""))))))</f>
        <v>A</v>
      </c>
      <c r="IQ4" s="176"/>
      <c r="IR4" s="113"/>
      <c r="IS4" s="114"/>
      <c r="IT4" s="181">
        <f>IF(COUNT(IT5:IT6)=0,"",SUM(IT5:IT6)/COUNT(IT5:IT6))</f>
        <v>1</v>
      </c>
      <c r="IU4" s="205" t="str">
        <f t="shared" ref="IU4:IU20" si="58">IF(IT4="","",IF(IT4&gt;3.7,"A",IF(IT4&gt;2.8,"B",IF(IT4&gt;1.5,"C",IF(IT4&gt;0,"D",IF(IT4=0,""))))))</f>
        <v>D</v>
      </c>
      <c r="IV4" s="181">
        <f>IF(COUNT(IV5:IV6)=0,"",SUM(IV5:IV6)/COUNT(IV5:IV6))</f>
        <v>3.25</v>
      </c>
      <c r="IW4" s="206" t="str">
        <f t="shared" ref="IW4:IW20" si="59">IF(IV4="","",IF(IV4&gt;3.7,"A",IF(IV4&gt;2.8,"B",IF(IV4&gt;1.5,"C",IF(IV4&gt;0,"D",IF(IV4=0,""))))))</f>
        <v>B</v>
      </c>
      <c r="IX4" s="216"/>
      <c r="IY4" s="126"/>
      <c r="IZ4" s="127"/>
      <c r="JA4" s="181" t="str">
        <f>IF(COUNT(JA5:JA6)=0,"",SUM(JA5:JA6)/COUNT(JA5:JA6))</f>
        <v/>
      </c>
      <c r="JB4" s="182" t="str">
        <f t="shared" ref="JB4:JB20" si="60">IF(JA4="","",IF(JA4&gt;3.7,"A",IF(JA4&gt;2.8,"B",IF(JA4&gt;1.5,"C",IF(JA4&gt;0,"D",IF(JA4=0,""))))))</f>
        <v/>
      </c>
      <c r="JC4" s="165"/>
      <c r="JD4" s="126"/>
      <c r="JE4" s="127"/>
      <c r="JF4" s="181">
        <f>IF(COUNT(JF5:JF6)=0,"",SUM(JF5:JF6)/COUNT(JF5:JF6))</f>
        <v>4</v>
      </c>
      <c r="JG4" s="198" t="str">
        <f t="shared" ref="JG4:JG20" si="61">IF(JF4="","",IF(JF4&gt;3.7,"A",IF(JF4&gt;2.8,"B",IF(JF4&gt;1.5,"C",IF(JF4&gt;0,"D",IF(JF4=0,""))))))</f>
        <v>A</v>
      </c>
      <c r="JH4" s="176"/>
      <c r="JI4" s="113"/>
      <c r="JJ4" s="114"/>
      <c r="JK4" s="181">
        <f>IF(COUNT(JK5:JK6)=0,"",SUM(JK5:JK6)/COUNT(JK5:JK6))</f>
        <v>4</v>
      </c>
      <c r="JL4" s="205" t="str">
        <f t="shared" ref="JL4:JL20" si="62">IF(JK4="","",IF(JK4&gt;3.7,"A",IF(JK4&gt;2.8,"B",IF(JK4&gt;1.5,"C",IF(JK4&gt;0,"D",IF(JK4=0,""))))))</f>
        <v>A</v>
      </c>
      <c r="JM4" s="181">
        <f>IF(COUNT(JM5:JM6)=0,"",SUM(JM5:JM6)/COUNT(JM5:JM6))</f>
        <v>4</v>
      </c>
      <c r="JN4" s="206" t="str">
        <f t="shared" ref="JN4:JN20" si="63">IF(JM4="","",IF(JM4&gt;3.7,"A",IF(JM4&gt;2.8,"B",IF(JM4&gt;1.5,"C",IF(JM4&gt;0,"D",IF(JM4=0,""))))))</f>
        <v>A</v>
      </c>
      <c r="JO4" s="216"/>
      <c r="JP4" s="126"/>
      <c r="JQ4" s="127"/>
      <c r="JR4" s="181" t="str">
        <f>IF(COUNT(JR5:JR6)=0,"",SUM(JR5:JR6)/COUNT(JR5:JR6))</f>
        <v/>
      </c>
      <c r="JS4" s="182" t="str">
        <f t="shared" ref="JS4:JS20" si="64">IF(JR4="","",IF(JR4&gt;3.7,"A",IF(JR4&gt;2.8,"B",IF(JR4&gt;1.5,"C",IF(JR4&gt;0,"D",IF(JR4=0,""))))))</f>
        <v/>
      </c>
      <c r="JT4" s="165"/>
      <c r="JU4" s="126"/>
      <c r="JV4" s="127"/>
      <c r="JW4" s="181">
        <f>IF(COUNT(JW5:JW6)=0,"",SUM(JW5:JW6)/COUNT(JW5:JW6))</f>
        <v>4</v>
      </c>
      <c r="JX4" s="198" t="str">
        <f t="shared" ref="JX4:JX20" si="65">IF(JW4="","",IF(JW4&gt;3.7,"A",IF(JW4&gt;2.8,"B",IF(JW4&gt;1.5,"C",IF(JW4&gt;0,"D",IF(JW4=0,""))))))</f>
        <v>A</v>
      </c>
      <c r="JY4" s="176"/>
      <c r="JZ4" s="113"/>
      <c r="KA4" s="114"/>
      <c r="KB4" s="181">
        <f>IF(COUNT(KB5:KB6)=0,"",SUM(KB5:KB6)/COUNT(KB5:KB6))</f>
        <v>4</v>
      </c>
      <c r="KC4" s="205" t="str">
        <f t="shared" ref="KC4:KC20" si="66">IF(KB4="","",IF(KB4&gt;3.7,"A",IF(KB4&gt;2.8,"B",IF(KB4&gt;1.5,"C",IF(KB4&gt;0,"D",IF(KB4=0,""))))))</f>
        <v>A</v>
      </c>
      <c r="KD4" s="181">
        <f>IF(COUNT(KD5:KD6)=0,"",SUM(KD5:KD6)/COUNT(KD5:KD6))</f>
        <v>4</v>
      </c>
      <c r="KE4" s="206" t="str">
        <f t="shared" ref="KE4:KE20" si="67">IF(KD4="","",IF(KD4&gt;3.7,"A",IF(KD4&gt;2.8,"B",IF(KD4&gt;1.5,"C",IF(KD4&gt;0,"D",IF(KD4=0,""))))))</f>
        <v>A</v>
      </c>
      <c r="KF4" s="216"/>
      <c r="KG4" s="126"/>
      <c r="KH4" s="127"/>
      <c r="KI4" s="181" t="str">
        <f>IF(COUNT(KI5:KI6)=0,"",SUM(KI5:KI6)/COUNT(KI5:KI6))</f>
        <v/>
      </c>
      <c r="KJ4" s="182" t="str">
        <f t="shared" ref="KJ4:KJ20" si="68">IF(KI4="","",IF(KI4&gt;3.7,"A",IF(KI4&gt;2.8,"B",IF(KI4&gt;1.5,"C",IF(KI4&gt;0,"D",IF(KI4=0,""))))))</f>
        <v/>
      </c>
      <c r="KK4" s="165"/>
      <c r="KL4" s="126"/>
      <c r="KM4" s="127"/>
      <c r="KN4" s="181">
        <f>IF(COUNT(KN5:KN6)=0,"",SUM(KN5:KN6)/COUNT(KN5:KN6))</f>
        <v>4</v>
      </c>
      <c r="KO4" s="198" t="str">
        <f t="shared" ref="KO4:KO20" si="69">IF(KN4="","",IF(KN4&gt;3.7,"A",IF(KN4&gt;2.8,"B",IF(KN4&gt;1.5,"C",IF(KN4&gt;0,"D",IF(KN4=0,""))))))</f>
        <v>A</v>
      </c>
      <c r="KP4" s="176"/>
      <c r="KQ4" s="113"/>
      <c r="KR4" s="114"/>
      <c r="KS4" s="181">
        <f>IF(COUNT(KS5:KS6)=0,"",SUM(KS5:KS6)/COUNT(KS5:KS6))</f>
        <v>4</v>
      </c>
      <c r="KT4" s="205" t="str">
        <f t="shared" ref="KT4:KT20" si="70">IF(KS4="","",IF(KS4&gt;3.7,"A",IF(KS4&gt;2.8,"B",IF(KS4&gt;1.5,"C",IF(KS4&gt;0,"D",IF(KS4=0,""))))))</f>
        <v>A</v>
      </c>
      <c r="KU4" s="181">
        <f>IF(COUNT(KU5:KU6)=0,"",SUM(KU5:KU6)/COUNT(KU5:KU6))</f>
        <v>4</v>
      </c>
      <c r="KV4" s="206" t="str">
        <f t="shared" ref="KV4:KV20" si="71">IF(KU4="","",IF(KU4&gt;3.7,"A",IF(KU4&gt;2.8,"B",IF(KU4&gt;1.5,"C",IF(KU4&gt;0,"D",IF(KU4=0,""))))))</f>
        <v>A</v>
      </c>
      <c r="KW4" s="216"/>
      <c r="KX4" s="126"/>
      <c r="KY4" s="127"/>
      <c r="KZ4" s="181" t="str">
        <f>IF(COUNT(KZ5:KZ6)=0,"",SUM(KZ5:KZ6)/COUNT(KZ5:KZ6))</f>
        <v/>
      </c>
      <c r="LA4" s="182" t="str">
        <f t="shared" ref="LA4:LA20" si="72">IF(KZ4="","",IF(KZ4&gt;3.7,"A",IF(KZ4&gt;2.8,"B",IF(KZ4&gt;1.5,"C",IF(KZ4&gt;0,"D",IF(KZ4=0,""))))))</f>
        <v/>
      </c>
      <c r="LB4" s="165"/>
      <c r="LC4" s="126"/>
      <c r="LD4" s="127"/>
      <c r="LE4" s="181">
        <f>IF(COUNT(LE5:LE6)=0,"",SUM(LE5:LE6)/COUNT(LE5:LE6))</f>
        <v>2.5</v>
      </c>
      <c r="LF4" s="198" t="str">
        <f t="shared" ref="LF4:LF20" si="73">IF(LE4="","",IF(LE4&gt;3.7,"A",IF(LE4&gt;2.8,"B",IF(LE4&gt;1.5,"C",IF(LE4&gt;0,"D",IF(LE4=0,""))))))</f>
        <v>C</v>
      </c>
      <c r="LG4" s="176"/>
      <c r="LH4" s="113"/>
      <c r="LI4" s="114"/>
      <c r="LJ4" s="181">
        <f>IF(COUNT(LJ5:LJ6)=0,"",SUM(LJ5:LJ6)/COUNT(LJ5:LJ6))</f>
        <v>4</v>
      </c>
      <c r="LK4" s="205" t="str">
        <f t="shared" ref="LK4:LK20" si="74">IF(LJ4="","",IF(LJ4&gt;3.7,"A",IF(LJ4&gt;2.8,"B",IF(LJ4&gt;1.5,"C",IF(LJ4&gt;0,"D",IF(LJ4=0,""))))))</f>
        <v>A</v>
      </c>
      <c r="LL4" s="181">
        <f>IF(COUNT(LL5:LL6)=0,"",SUM(LL5:LL6)/COUNT(LL5:LL6))</f>
        <v>2.75</v>
      </c>
      <c r="LM4" s="206" t="str">
        <f t="shared" ref="LM4:LM20" si="75">IF(LL4="","",IF(LL4&gt;3.7,"A",IF(LL4&gt;2.8,"B",IF(LL4&gt;1.5,"C",IF(LL4&gt;0,"D",IF(LL4=0,""))))))</f>
        <v>C</v>
      </c>
      <c r="LN4" s="216"/>
      <c r="LO4" s="126"/>
      <c r="LP4" s="127"/>
      <c r="LQ4" s="181" t="str">
        <f>IF(COUNT(LQ5:LQ6)=0,"",SUM(LQ5:LQ6)/COUNT(LQ5:LQ6))</f>
        <v/>
      </c>
      <c r="LR4" s="182" t="str">
        <f t="shared" ref="LR4:LR20" si="76">IF(LQ4="","",IF(LQ4&gt;3.7,"A",IF(LQ4&gt;2.8,"B",IF(LQ4&gt;1.5,"C",IF(LQ4&gt;0,"D",IF(LQ4=0,""))))))</f>
        <v/>
      </c>
      <c r="LS4" s="165"/>
      <c r="LT4" s="126"/>
      <c r="LU4" s="127"/>
      <c r="LV4" s="181">
        <f>IF(COUNT(LV5:LV6)=0,"",SUM(LV5:LV6)/COUNT(LV5:LV6))</f>
        <v>4</v>
      </c>
      <c r="LW4" s="198" t="str">
        <f t="shared" ref="LW4:LW20" si="77">IF(LV4="","",IF(LV4&gt;3.7,"A",IF(LV4&gt;2.8,"B",IF(LV4&gt;1.5,"C",IF(LV4&gt;0,"D",IF(LV4=0,""))))))</f>
        <v>A</v>
      </c>
      <c r="LX4" s="176"/>
      <c r="LY4" s="113"/>
      <c r="LZ4" s="114"/>
      <c r="MA4" s="181">
        <f>IF(COUNT(MA5:MA6)=0,"",SUM(MA5:MA6)/COUNT(MA5:MA6))</f>
        <v>4</v>
      </c>
      <c r="MB4" s="205" t="str">
        <f t="shared" ref="MB4:MB20" si="78">IF(MA4="","",IF(MA4&gt;3.7,"A",IF(MA4&gt;2.8,"B",IF(MA4&gt;1.5,"C",IF(MA4&gt;0,"D",IF(MA4=0,""))))))</f>
        <v>A</v>
      </c>
      <c r="MC4" s="181">
        <f>IF(COUNT(MC5:MC6)=0,"",SUM(MC5:MC6)/COUNT(MC5:MC6))</f>
        <v>4</v>
      </c>
      <c r="MD4" s="206" t="str">
        <f t="shared" ref="MD4:MD20" si="79">IF(MC4="","",IF(MC4&gt;3.7,"A",IF(MC4&gt;2.8,"B",IF(MC4&gt;1.5,"C",IF(MC4&gt;0,"D",IF(MC4=0,""))))))</f>
        <v>A</v>
      </c>
      <c r="ME4" s="216"/>
      <c r="MF4" s="126"/>
      <c r="MG4" s="127"/>
      <c r="MH4" s="181" t="str">
        <f>IF(COUNT(MH5:MH6)=0,"",SUM(MH5:MH6)/COUNT(MH5:MH6))</f>
        <v/>
      </c>
      <c r="MI4" s="182" t="str">
        <f t="shared" ref="MI4:MI20" si="80">IF(MH4="","",IF(MH4&gt;3.7,"A",IF(MH4&gt;2.8,"B",IF(MH4&gt;1.5,"C",IF(MH4&gt;0,"D",IF(MH4=0,""))))))</f>
        <v/>
      </c>
      <c r="MJ4" s="165"/>
      <c r="MK4" s="126"/>
      <c r="ML4" s="127"/>
      <c r="MM4" s="181">
        <f>IF(COUNT(MM5:MM6)=0,"",SUM(MM5:MM6)/COUNT(MM5:MM6))</f>
        <v>4</v>
      </c>
      <c r="MN4" s="198" t="str">
        <f t="shared" ref="MN4:MN20" si="81">IF(MM4="","",IF(MM4&gt;3.7,"A",IF(MM4&gt;2.8,"B",IF(MM4&gt;1.5,"C",IF(MM4&gt;0,"D",IF(MM4=0,""))))))</f>
        <v>A</v>
      </c>
      <c r="MO4" s="176"/>
      <c r="MP4" s="113"/>
      <c r="MQ4" s="114"/>
      <c r="MR4" s="181">
        <f>IF(COUNT(MR5:MR6)=0,"",SUM(MR5:MR6)/COUNT(MR5:MR6))</f>
        <v>1</v>
      </c>
      <c r="MS4" s="205" t="str">
        <f t="shared" ref="MS4:MS20" si="82">IF(MR4="","",IF(MR4&gt;3.7,"A",IF(MR4&gt;2.8,"B",IF(MR4&gt;1.5,"C",IF(MR4&gt;0,"D",IF(MR4=0,""))))))</f>
        <v>D</v>
      </c>
      <c r="MT4" s="181">
        <f>IF(COUNT(MT5:MT6)=0,"",SUM(MT5:MT6)/COUNT(MT5:MT6))</f>
        <v>3.25</v>
      </c>
      <c r="MU4" s="206" t="str">
        <f t="shared" ref="MU4:MU20" si="83">IF(MT4="","",IF(MT4&gt;3.7,"A",IF(MT4&gt;2.8,"B",IF(MT4&gt;1.5,"C",IF(MT4&gt;0,"D",IF(MT4=0,""))))))</f>
        <v>B</v>
      </c>
      <c r="MV4" s="216"/>
      <c r="MW4" s="126"/>
      <c r="MX4" s="127"/>
      <c r="MY4" s="181" t="str">
        <f>IF(COUNT(MY5:MY6)=0,"",SUM(MY5:MY6)/COUNT(MY5:MY6))</f>
        <v/>
      </c>
      <c r="MZ4" s="182" t="str">
        <f t="shared" ref="MZ4:MZ20" si="84">IF(MY4="","",IF(MY4&gt;3.7,"A",IF(MY4&gt;2.8,"B",IF(MY4&gt;1.5,"C",IF(MY4&gt;0,"D",IF(MY4=0,""))))))</f>
        <v/>
      </c>
      <c r="NA4" s="165"/>
      <c r="NB4" s="126"/>
      <c r="NC4" s="127"/>
      <c r="ND4" s="181">
        <f>IF(COUNT(ND5:ND6)=0,"",SUM(ND5:ND6)/COUNT(ND5:ND6))</f>
        <v>4</v>
      </c>
      <c r="NE4" s="198" t="str">
        <f t="shared" ref="NE4:NE20" si="85">IF(ND4="","",IF(ND4&gt;3.7,"A",IF(ND4&gt;2.8,"B",IF(ND4&gt;1.5,"C",IF(ND4&gt;0,"D",IF(ND4=0,""))))))</f>
        <v>A</v>
      </c>
      <c r="NF4" s="176"/>
      <c r="NG4" s="113"/>
      <c r="NH4" s="114"/>
      <c r="NI4" s="181">
        <f>IF(COUNT(NI5:NI6)=0,"",SUM(NI5:NI6)/COUNT(NI5:NI6))</f>
        <v>4</v>
      </c>
      <c r="NJ4" s="205" t="str">
        <f t="shared" ref="NJ4:NJ20" si="86">IF(NI4="","",IF(NI4&gt;3.7,"A",IF(NI4&gt;2.8,"B",IF(NI4&gt;1.5,"C",IF(NI4&gt;0,"D",IF(NI4=0,""))))))</f>
        <v>A</v>
      </c>
      <c r="NK4" s="181">
        <f>IF(COUNT(NK5:NK6)=0,"",SUM(NK5:NK6)/COUNT(NK5:NK6))</f>
        <v>4</v>
      </c>
      <c r="NL4" s="206" t="str">
        <f t="shared" ref="NL4:NL20" si="87">IF(NK4="","",IF(NK4&gt;3.7,"A",IF(NK4&gt;2.8,"B",IF(NK4&gt;1.5,"C",IF(NK4&gt;0,"D",IF(NK4=0,""))))))</f>
        <v>A</v>
      </c>
      <c r="NM4" s="216"/>
      <c r="NN4" s="126"/>
      <c r="NO4" s="127"/>
      <c r="NP4" s="181" t="str">
        <f>IF(COUNT(NP5:NP6)=0,"",SUM(NP5:NP6)/COUNT(NP5:NP6))</f>
        <v/>
      </c>
      <c r="NQ4" s="182" t="str">
        <f t="shared" ref="NQ4:NQ20" si="88">IF(NP4="","",IF(NP4&gt;3.7,"A",IF(NP4&gt;2.8,"B",IF(NP4&gt;1.5,"C",IF(NP4&gt;0,"D",IF(NP4=0,""))))))</f>
        <v/>
      </c>
      <c r="NR4" s="165"/>
      <c r="NS4" s="126"/>
      <c r="NT4" s="127"/>
      <c r="NU4" s="181">
        <f>IF(COUNT(NU5:NU6)=0,"",SUM(NU5:NU6)/COUNT(NU5:NU6))</f>
        <v>4</v>
      </c>
      <c r="NV4" s="198" t="str">
        <f t="shared" ref="NV4:NV20" si="89">IF(NU4="","",IF(NU4&gt;3.7,"A",IF(NU4&gt;2.8,"B",IF(NU4&gt;1.5,"C",IF(NU4&gt;0,"D",IF(NU4=0,""))))))</f>
        <v>A</v>
      </c>
      <c r="NW4" s="176"/>
      <c r="NX4" s="113"/>
      <c r="NY4" s="114"/>
      <c r="NZ4" s="181">
        <f>IF(COUNT(NZ5:NZ6)=0,"",SUM(NZ5:NZ6)/COUNT(NZ5:NZ6))</f>
        <v>4</v>
      </c>
      <c r="OA4" s="205" t="str">
        <f t="shared" ref="OA4:OA20" si="90">IF(NZ4="","",IF(NZ4&gt;3.7,"A",IF(NZ4&gt;2.8,"B",IF(NZ4&gt;1.5,"C",IF(NZ4&gt;0,"D",IF(NZ4=0,""))))))</f>
        <v>A</v>
      </c>
      <c r="OB4" s="181">
        <f>IF(COUNT(OB5:OB6)=0,"",SUM(OB5:OB6)/COUNT(OB5:OB6))</f>
        <v>4</v>
      </c>
      <c r="OC4" s="206" t="str">
        <f t="shared" ref="OC4:OC20" si="91">IF(OB4="","",IF(OB4&gt;3.7,"A",IF(OB4&gt;2.8,"B",IF(OB4&gt;1.5,"C",IF(OB4&gt;0,"D",IF(OB4=0,""))))))</f>
        <v>A</v>
      </c>
      <c r="OD4" s="216"/>
      <c r="OE4" s="126"/>
      <c r="OF4" s="127"/>
      <c r="OG4" s="181" t="str">
        <f>IF(COUNT(OG5:OG6)=0,"",SUM(OG5:OG6)/COUNT(OG5:OG6))</f>
        <v/>
      </c>
      <c r="OH4" s="182" t="str">
        <f t="shared" ref="OH4:OH20" si="92">IF(OG4="","",IF(OG4&gt;3.7,"A",IF(OG4&gt;2.8,"B",IF(OG4&gt;1.5,"C",IF(OG4&gt;0,"D",IF(OG4=0,""))))))</f>
        <v/>
      </c>
      <c r="OI4" s="165"/>
      <c r="OJ4" s="126"/>
      <c r="OK4" s="127"/>
      <c r="OL4" s="181">
        <f>IF(COUNT(OL5:OL6)=0,"",SUM(OL5:OL6)/COUNT(OL5:OL6))</f>
        <v>4</v>
      </c>
      <c r="OM4" s="198" t="str">
        <f t="shared" ref="OM4:OM20" si="93">IF(OL4="","",IF(OL4&gt;3.7,"A",IF(OL4&gt;2.8,"B",IF(OL4&gt;1.5,"C",IF(OL4&gt;0,"D",IF(OL4=0,""))))))</f>
        <v>A</v>
      </c>
      <c r="ON4" s="176"/>
      <c r="OO4" s="113"/>
      <c r="OP4" s="114"/>
      <c r="OQ4" s="181">
        <f>IF(COUNT(OQ5:OQ6)=0,"",SUM(OQ5:OQ6)/COUNT(OQ5:OQ6))</f>
        <v>4</v>
      </c>
      <c r="OR4" s="205" t="str">
        <f t="shared" ref="OR4:OR20" si="94">IF(OQ4="","",IF(OQ4&gt;3.7,"A",IF(OQ4&gt;2.8,"B",IF(OQ4&gt;1.5,"C",IF(OQ4&gt;0,"D",IF(OQ4=0,""))))))</f>
        <v>A</v>
      </c>
      <c r="OS4" s="181">
        <f>IF(COUNT(OS5:OS6)=0,"",SUM(OS5:OS6)/COUNT(OS5:OS6))</f>
        <v>4</v>
      </c>
      <c r="OT4" s="206" t="str">
        <f t="shared" ref="OT4:OT20" si="95">IF(OS4="","",IF(OS4&gt;3.7,"A",IF(OS4&gt;2.8,"B",IF(OS4&gt;1.5,"C",IF(OS4&gt;0,"D",IF(OS4=0,""))))))</f>
        <v>A</v>
      </c>
      <c r="OU4" s="216"/>
      <c r="OV4" s="126"/>
      <c r="OW4" s="127"/>
      <c r="OX4" s="181" t="str">
        <f>IF(COUNT(OX5:OX6)=0,"",SUM(OX5:OX6)/COUNT(OX5:OX6))</f>
        <v/>
      </c>
      <c r="OY4" s="182" t="str">
        <f t="shared" ref="OY4:OY20" si="96">IF(OX4="","",IF(OX4&gt;3.7,"A",IF(OX4&gt;2.8,"B",IF(OX4&gt;1.5,"C",IF(OX4&gt;0,"D",IF(OX4=0,""))))))</f>
        <v/>
      </c>
      <c r="OZ4" s="165"/>
      <c r="PA4" s="126"/>
      <c r="PB4" s="127"/>
      <c r="PC4" s="181">
        <f>IF(COUNT(PC5:PC6)=0,"",SUM(PC5:PC6)/COUNT(PC5:PC6))</f>
        <v>3.5</v>
      </c>
      <c r="PD4" s="198" t="str">
        <f t="shared" ref="PD4:PD20" si="97">IF(PC4="","",IF(PC4&gt;3.7,"A",IF(PC4&gt;2.8,"B",IF(PC4&gt;1.5,"C",IF(PC4&gt;0,"D",IF(PC4=0,""))))))</f>
        <v>B</v>
      </c>
      <c r="PE4" s="176"/>
      <c r="PF4" s="113"/>
      <c r="PG4" s="114"/>
      <c r="PH4" s="181">
        <f>IF(COUNT(PH5:PH6)=0,"",SUM(PH5:PH6)/COUNT(PH5:PH6))</f>
        <v>4</v>
      </c>
      <c r="PI4" s="205" t="str">
        <f t="shared" ref="PI4:PI20" si="98">IF(PH4="","",IF(PH4&gt;3.7,"A",IF(PH4&gt;2.8,"B",IF(PH4&gt;1.5,"C",IF(PH4&gt;0,"D",IF(PH4=0,""))))))</f>
        <v>A</v>
      </c>
      <c r="PJ4" s="181">
        <f>IF(COUNT(PJ5:PJ6)=0,"",SUM(PJ5:PJ6)/COUNT(PJ5:PJ6))</f>
        <v>3.75</v>
      </c>
      <c r="PK4" s="206" t="str">
        <f t="shared" ref="PK4:PK20" si="99">IF(PJ4="","",IF(PJ4&gt;3.7,"A",IF(PJ4&gt;2.8,"B",IF(PJ4&gt;1.5,"C",IF(PJ4&gt;0,"D",IF(PJ4=0,""))))))</f>
        <v>A</v>
      </c>
      <c r="PL4" s="216"/>
      <c r="PM4" s="126"/>
      <c r="PN4" s="127"/>
      <c r="PO4" s="181" t="str">
        <f>IF(COUNT(PO5:PO6)=0,"",SUM(PO5:PO6)/COUNT(PO5:PO6))</f>
        <v/>
      </c>
      <c r="PP4" s="182" t="str">
        <f t="shared" ref="PP4:PP20" si="100">IF(PO4="","",IF(PO4&gt;3.7,"A",IF(PO4&gt;2.8,"B",IF(PO4&gt;1.5,"C",IF(PO4&gt;0,"D",IF(PO4=0,""))))))</f>
        <v/>
      </c>
      <c r="PQ4" s="165"/>
      <c r="PR4" s="126"/>
      <c r="PS4" s="127"/>
      <c r="PT4" s="181">
        <f>IF(COUNT(PT5:PT6)=0,"",SUM(PT5:PT6)/COUNT(PT5:PT6))</f>
        <v>3</v>
      </c>
      <c r="PU4" s="198" t="str">
        <f t="shared" ref="PU4:PU20" si="101">IF(PT4="","",IF(PT4&gt;3.7,"A",IF(PT4&gt;2.8,"B",IF(PT4&gt;1.5,"C",IF(PT4&gt;0,"D",IF(PT4=0,""))))))</f>
        <v>B</v>
      </c>
      <c r="PV4" s="176"/>
      <c r="PW4" s="113"/>
      <c r="PX4" s="114"/>
      <c r="PY4" s="181">
        <f>IF(COUNT(PY5:PY6)=0,"",SUM(PY5:PY6)/COUNT(PY5:PY6))</f>
        <v>4</v>
      </c>
      <c r="PZ4" s="205" t="str">
        <f t="shared" ref="PZ4:PZ20" si="102">IF(PY4="","",IF(PY4&gt;3.7,"A",IF(PY4&gt;2.8,"B",IF(PY4&gt;1.5,"C",IF(PY4&gt;0,"D",IF(PY4=0,""))))))</f>
        <v>A</v>
      </c>
      <c r="QA4" s="181">
        <f>IF(COUNT(QA5:QA6)=0,"",SUM(QA5:QA6)/COUNT(QA5:QA6))</f>
        <v>3.25</v>
      </c>
      <c r="QB4" s="206" t="str">
        <f t="shared" ref="QB4:QB20" si="103">IF(QA4="","",IF(QA4&gt;3.7,"A",IF(QA4&gt;2.8,"B",IF(QA4&gt;1.5,"C",IF(QA4&gt;0,"D",IF(QA4=0,""))))))</f>
        <v>B</v>
      </c>
      <c r="QC4" s="216"/>
      <c r="QD4" s="126"/>
      <c r="QE4" s="127"/>
      <c r="QF4" s="181" t="str">
        <f>IF(COUNT(QF5:QF6)=0,"",SUM(QF5:QF6)/COUNT(QF5:QF6))</f>
        <v/>
      </c>
      <c r="QG4" s="182" t="str">
        <f t="shared" ref="QG4:QG20" si="104">IF(QF4="","",IF(QF4&gt;3.7,"A",IF(QF4&gt;2.8,"B",IF(QF4&gt;1.5,"C",IF(QF4&gt;0,"D",IF(QF4=0,""))))))</f>
        <v/>
      </c>
      <c r="QH4" s="165"/>
      <c r="QI4" s="126"/>
      <c r="QJ4" s="127"/>
      <c r="QK4" s="181">
        <f>IF(COUNT(QK5:QK6)=0,"",SUM(QK5:QK6)/COUNT(QK5:QK6))</f>
        <v>3.5</v>
      </c>
      <c r="QL4" s="198" t="str">
        <f t="shared" ref="QL4:QL20" si="105">IF(QK4="","",IF(QK4&gt;3.7,"A",IF(QK4&gt;2.8,"B",IF(QK4&gt;1.5,"C",IF(QK4&gt;0,"D",IF(QK4=0,""))))))</f>
        <v>B</v>
      </c>
      <c r="QM4" s="176"/>
      <c r="QN4" s="113"/>
      <c r="QO4" s="114"/>
      <c r="QP4" s="181">
        <f>IF(COUNT(QP5:QP6)=0,"",SUM(QP5:QP6)/COUNT(QP5:QP6))</f>
        <v>4</v>
      </c>
      <c r="QQ4" s="205" t="str">
        <f t="shared" ref="QQ4:QQ20" si="106">IF(QP4="","",IF(QP4&gt;3.7,"A",IF(QP4&gt;2.8,"B",IF(QP4&gt;1.5,"C",IF(QP4&gt;0,"D",IF(QP4=0,""))))))</f>
        <v>A</v>
      </c>
      <c r="QR4" s="181">
        <f>IF(COUNT(QR5:QR6)=0,"",SUM(QR5:QR6)/COUNT(QR5:QR6))</f>
        <v>3.5</v>
      </c>
      <c r="QS4" s="206" t="str">
        <f t="shared" ref="QS4:QS20" si="107">IF(QR4="","",IF(QR4&gt;3.7,"A",IF(QR4&gt;2.8,"B",IF(QR4&gt;1.5,"C",IF(QR4&gt;0,"D",IF(QR4=0,""))))))</f>
        <v>B</v>
      </c>
      <c r="QT4" s="126"/>
      <c r="QU4" s="126"/>
      <c r="QV4" s="127"/>
      <c r="QW4" s="93" t="str">
        <f>IF(COUNT(QW5:QW6)=0,"",SUM(QW5:QW6)/COUNT(QW5:QW6))</f>
        <v/>
      </c>
      <c r="QX4" s="94" t="str">
        <f t="shared" ref="QX4:QX20" si="108">IF(QW4="","",IF(QW4&gt;3.7,"A",IF(QW4&gt;2.8,"B",IF(QW4&gt;1.5,"C",IF(QW4&gt;0,"D",IF(QW4=0,""))))))</f>
        <v/>
      </c>
      <c r="QY4" s="128"/>
      <c r="QZ4" s="126"/>
      <c r="RA4" s="127"/>
      <c r="RB4" s="93" t="str">
        <f>IF(COUNT(RB5:RB6)=0,"",SUM(RB5:RB6)/COUNT(RB5:RB6))</f>
        <v/>
      </c>
      <c r="RC4" s="95" t="str">
        <f t="shared" ref="RC4:RC20" si="109">IF(RB4="","",IF(RB4&gt;3.7,"A",IF(RB4&gt;2.8,"B",IF(RB4&gt;1.5,"C",IF(RB4&gt;0,"D",IF(RB4=0,""))))))</f>
        <v/>
      </c>
      <c r="RD4" s="115"/>
      <c r="RE4" s="113"/>
      <c r="RF4" s="114"/>
      <c r="RG4" s="93" t="str">
        <f>IF(COUNT(RG5:RG6)=0,"",SUM(RG5:RG6)/COUNT(RG5:RG6))</f>
        <v/>
      </c>
      <c r="RH4" s="96" t="str">
        <f t="shared" ref="RH4:RH20" si="110">IF(RG4="","",IF(RG4&gt;3.7,"A",IF(RG4&gt;2.8,"B",IF(RG4&gt;1.5,"C",IF(RG4&gt;0,"D",IF(RG4=0,""))))))</f>
        <v/>
      </c>
      <c r="RI4" s="93" t="str">
        <f>IF(COUNT(RI5:RI6)=0,"",SUM(RI5:RI6)/COUNT(RI5:RI6))</f>
        <v/>
      </c>
      <c r="RJ4" s="97" t="str">
        <f t="shared" ref="RJ4:RJ20" si="111">IF(RI4="","",IF(RI4&gt;3.7,"A",IF(RI4&gt;2.8,"B",IF(RI4&gt;1.5,"C",IF(RI4&gt;0,"D",IF(RI4=0,""))))))</f>
        <v/>
      </c>
      <c r="RK4" s="126"/>
      <c r="RL4" s="126"/>
      <c r="RM4" s="127"/>
      <c r="RN4" s="93" t="str">
        <f>IF(COUNT(RN5:RN6)=0,"",SUM(RN5:RN6)/COUNT(RN5:RN6))</f>
        <v/>
      </c>
      <c r="RO4" s="94" t="str">
        <f t="shared" ref="RO4:RO20" si="112">IF(RN4="","",IF(RN4&gt;3.7,"A",IF(RN4&gt;2.8,"B",IF(RN4&gt;1.5,"C",IF(RN4&gt;0,"D",IF(RN4=0,""))))))</f>
        <v/>
      </c>
      <c r="RP4" s="128"/>
      <c r="RQ4" s="126"/>
      <c r="RR4" s="127"/>
      <c r="RS4" s="93" t="str">
        <f>IF(COUNT(RS5:RS6)=0,"",SUM(RS5:RS6)/COUNT(RS5:RS6))</f>
        <v/>
      </c>
      <c r="RT4" s="95" t="str">
        <f t="shared" ref="RT4:RT20" si="113">IF(RS4="","",IF(RS4&gt;3.7,"A",IF(RS4&gt;2.8,"B",IF(RS4&gt;1.5,"C",IF(RS4&gt;0,"D",IF(RS4=0,""))))))</f>
        <v/>
      </c>
      <c r="RU4" s="115"/>
      <c r="RV4" s="113"/>
      <c r="RW4" s="114"/>
      <c r="RX4" s="93" t="str">
        <f>IF(COUNT(RX5:RX6)=0,"",SUM(RX5:RX6)/COUNT(RX5:RX6))</f>
        <v/>
      </c>
      <c r="RY4" s="96" t="str">
        <f t="shared" ref="RY4:RY20" si="114">IF(RX4="","",IF(RX4&gt;3.7,"A",IF(RX4&gt;2.8,"B",IF(RX4&gt;1.5,"C",IF(RX4&gt;0,"D",IF(RX4=0,""))))))</f>
        <v/>
      </c>
      <c r="RZ4" s="93" t="str">
        <f>IF(COUNT(RZ5:RZ6)=0,"",SUM(RZ5:RZ6)/COUNT(RZ5:RZ6))</f>
        <v/>
      </c>
      <c r="SA4" s="97" t="str">
        <f t="shared" ref="SA4:SA20" si="115">IF(RZ4="","",IF(RZ4&gt;3.7,"A",IF(RZ4&gt;2.8,"B",IF(RZ4&gt;1.5,"C",IF(RZ4&gt;0,"D",IF(RZ4=0,""))))))</f>
        <v/>
      </c>
      <c r="SB4" s="126"/>
      <c r="SC4" s="126"/>
      <c r="SD4" s="127"/>
      <c r="SE4" s="93" t="str">
        <f>IF(COUNT(SE5:SE6)=0,"",SUM(SE5:SE6)/COUNT(SE5:SE6))</f>
        <v/>
      </c>
      <c r="SF4" s="94" t="str">
        <f t="shared" ref="SF4:SF20" si="116">IF(SE4="","",IF(SE4&gt;3.7,"A",IF(SE4&gt;2.8,"B",IF(SE4&gt;1.5,"C",IF(SE4&gt;0,"D",IF(SE4=0,""))))))</f>
        <v/>
      </c>
      <c r="SG4" s="128"/>
      <c r="SH4" s="126"/>
      <c r="SI4" s="127"/>
      <c r="SJ4" s="93" t="str">
        <f>IF(COUNT(SJ5:SJ6)=0,"",SUM(SJ5:SJ6)/COUNT(SJ5:SJ6))</f>
        <v/>
      </c>
      <c r="SK4" s="95" t="str">
        <f t="shared" ref="SK4:SK20" si="117">IF(SJ4="","",IF(SJ4&gt;3.7,"A",IF(SJ4&gt;2.8,"B",IF(SJ4&gt;1.5,"C",IF(SJ4&gt;0,"D",IF(SJ4=0,""))))))</f>
        <v/>
      </c>
      <c r="SL4" s="115"/>
      <c r="SM4" s="113"/>
      <c r="SN4" s="114"/>
      <c r="SO4" s="93" t="str">
        <f>IF(COUNT(SO5:SO6)=0,"",SUM(SO5:SO6)/COUNT(SO5:SO6))</f>
        <v/>
      </c>
      <c r="SP4" s="96" t="str">
        <f t="shared" ref="SP4:SP20" si="118">IF(SO4="","",IF(SO4&gt;3.7,"A",IF(SO4&gt;2.8,"B",IF(SO4&gt;1.5,"C",IF(SO4&gt;0,"D",IF(SO4=0,""))))))</f>
        <v/>
      </c>
      <c r="SQ4" s="93" t="str">
        <f>IF(COUNT(SQ5:SQ6)=0,"",SUM(SQ5:SQ6)/COUNT(SQ5:SQ6))</f>
        <v/>
      </c>
      <c r="SR4" s="97" t="str">
        <f t="shared" ref="SR4:SR20" si="119">IF(SQ4="","",IF(SQ4&gt;3.7,"A",IF(SQ4&gt;2.8,"B",IF(SQ4&gt;1.5,"C",IF(SQ4&gt;0,"D",IF(SQ4=0,""))))))</f>
        <v/>
      </c>
      <c r="SS4" s="126"/>
      <c r="ST4" s="126"/>
      <c r="SU4" s="127"/>
      <c r="SV4" s="93" t="str">
        <f>IF(COUNT(SV5:SV6)=0,"",SUM(SV5:SV6)/COUNT(SV5:SV6))</f>
        <v/>
      </c>
      <c r="SW4" s="94" t="str">
        <f t="shared" ref="SW4:SW20" si="120">IF(SV4="","",IF(SV4&gt;3.7,"A",IF(SV4&gt;2.8,"B",IF(SV4&gt;1.5,"C",IF(SV4&gt;0,"D",IF(SV4=0,""))))))</f>
        <v/>
      </c>
      <c r="SX4" s="128"/>
      <c r="SY4" s="126"/>
      <c r="SZ4" s="127"/>
      <c r="TA4" s="93" t="str">
        <f>IF(COUNT(TA5:TA6)=0,"",SUM(TA5:TA6)/COUNT(TA5:TA6))</f>
        <v/>
      </c>
      <c r="TB4" s="95" t="str">
        <f t="shared" ref="TB4:TB20" si="121">IF(TA4="","",IF(TA4&gt;3.7,"A",IF(TA4&gt;2.8,"B",IF(TA4&gt;1.5,"C",IF(TA4&gt;0,"D",IF(TA4=0,""))))))</f>
        <v/>
      </c>
      <c r="TC4" s="115"/>
      <c r="TD4" s="113"/>
      <c r="TE4" s="114"/>
      <c r="TF4" s="93" t="str">
        <f>IF(COUNT(TF5:TF6)=0,"",SUM(TF5:TF6)/COUNT(TF5:TF6))</f>
        <v/>
      </c>
      <c r="TG4" s="96" t="str">
        <f t="shared" ref="TG4:TG20" si="122">IF(TF4="","",IF(TF4&gt;3.7,"A",IF(TF4&gt;2.8,"B",IF(TF4&gt;1.5,"C",IF(TF4&gt;0,"D",IF(TF4=0,""))))))</f>
        <v/>
      </c>
      <c r="TH4" s="93" t="str">
        <f>IF(COUNT(TH5:TH6)=0,"",SUM(TH5:TH6)/COUNT(TH5:TH6))</f>
        <v/>
      </c>
      <c r="TI4" s="97" t="str">
        <f t="shared" ref="TI4:TI20" si="123">IF(TH4="","",IF(TH4&gt;3.7,"A",IF(TH4&gt;2.8,"B",IF(TH4&gt;1.5,"C",IF(TH4&gt;0,"D",IF(TH4=0,""))))))</f>
        <v/>
      </c>
      <c r="TJ4" s="126"/>
      <c r="TK4" s="126"/>
      <c r="TL4" s="127"/>
      <c r="TM4" s="93" t="str">
        <f>IF(COUNT(TM5:TM6)=0,"",SUM(TM5:TM6)/COUNT(TM5:TM6))</f>
        <v/>
      </c>
      <c r="TN4" s="94" t="str">
        <f t="shared" ref="TN4:TN20" si="124">IF(TM4="","",IF(TM4&gt;3.7,"A",IF(TM4&gt;2.8,"B",IF(TM4&gt;1.5,"C",IF(TM4&gt;0,"D",IF(TM4=0,""))))))</f>
        <v/>
      </c>
      <c r="TO4" s="128"/>
      <c r="TP4" s="126"/>
      <c r="TQ4" s="127"/>
      <c r="TR4" s="93" t="str">
        <f>IF(COUNT(TR5:TR6)=0,"",SUM(TR5:TR6)/COUNT(TR5:TR6))</f>
        <v/>
      </c>
      <c r="TS4" s="95" t="str">
        <f t="shared" ref="TS4:TS20" si="125">IF(TR4="","",IF(TR4&gt;3.7,"A",IF(TR4&gt;2.8,"B",IF(TR4&gt;1.5,"C",IF(TR4&gt;0,"D",IF(TR4=0,""))))))</f>
        <v/>
      </c>
      <c r="TT4" s="115"/>
      <c r="TU4" s="113"/>
      <c r="TV4" s="114"/>
      <c r="TW4" s="93" t="str">
        <f>IF(COUNT(TW5:TW6)=0,"",SUM(TW5:TW6)/COUNT(TW5:TW6))</f>
        <v/>
      </c>
      <c r="TX4" s="96" t="str">
        <f t="shared" ref="TX4:TX20" si="126">IF(TW4="","",IF(TW4&gt;3.7,"A",IF(TW4&gt;2.8,"B",IF(TW4&gt;1.5,"C",IF(TW4&gt;0,"D",IF(TW4=0,""))))))</f>
        <v/>
      </c>
      <c r="TY4" s="93" t="str">
        <f>IF(COUNT(TY5:TY6)=0,"",SUM(TY5:TY6)/COUNT(TY5:TY6))</f>
        <v/>
      </c>
      <c r="TZ4" s="97" t="str">
        <f t="shared" ref="TZ4:TZ20" si="127">IF(TY4="","",IF(TY4&gt;3.7,"A",IF(TY4&gt;2.8,"B",IF(TY4&gt;1.5,"C",IF(TY4&gt;0,"D",IF(TY4=0,""))))))</f>
        <v/>
      </c>
    </row>
    <row r="5" spans="1:546" x14ac:dyDescent="0.25">
      <c r="A5" s="240" t="s">
        <v>12</v>
      </c>
      <c r="B5" s="241"/>
      <c r="C5" s="99"/>
      <c r="D5" s="100"/>
      <c r="E5" s="101"/>
      <c r="F5" s="183" t="str">
        <f>IFERROR((((COUNTIF('Elève (6ème3)'!C5:E5,"A"))*4)+((COUNTIF('Elève (6ème3)'!C5:E5,"B"))*3)+((COUNTIF('Elève (6ème3)'!C5:E5,"C"))*2)+((COUNTIF('Elève (6ème3)'!C5:E5,"D"))*1))/(COUNTA(C5:E5)),"")</f>
        <v/>
      </c>
      <c r="G5" s="184" t="str">
        <f t="shared" si="0"/>
        <v/>
      </c>
      <c r="H5" s="99"/>
      <c r="I5" s="100" t="s">
        <v>23</v>
      </c>
      <c r="J5" s="101"/>
      <c r="K5" s="183">
        <f>IFERROR((((COUNTIF('Elève (6ème3)'!H5:J5,"A"))*4)+((COUNTIF('Elève (6ème3)'!H5:J5,"B"))*3)+((COUNTIF('Elève (6ème3)'!H5:J5,"C"))*2)+((COUNTIF('Elève (6ème3)'!H5:J5,"D"))*1))/(COUNTA(H5:J5)),"")</f>
        <v>4</v>
      </c>
      <c r="L5" s="184" t="str">
        <f t="shared" si="1"/>
        <v>A</v>
      </c>
      <c r="M5" s="99"/>
      <c r="N5" s="100"/>
      <c r="O5" s="101"/>
      <c r="P5" s="183" t="str">
        <f>IFERROR((((COUNTIF('Elève (6ème3)'!M5:O5,"A"))*4)+((COUNTIF('Elève (6ème3)'!M5:O5,"B"))*3)+((COUNTIF('Elève (6ème3)'!M5:O5,"C"))*2)+((COUNTIF('Elève (6ème3)'!M5:O5,"D"))*1))/(COUNTA(M5:O5)),"")</f>
        <v/>
      </c>
      <c r="Q5" s="184" t="str">
        <f t="shared" si="2"/>
        <v/>
      </c>
      <c r="R5" s="183">
        <f>IF(COUNT(F5,K5,P5)=0,"",SUM(F5,K5,P5)/COUNT(F5,K5,P5))</f>
        <v>4</v>
      </c>
      <c r="S5" s="207" t="str">
        <f t="shared" si="3"/>
        <v>A</v>
      </c>
      <c r="T5" s="105"/>
      <c r="U5" s="100"/>
      <c r="V5" s="101"/>
      <c r="W5" s="183" t="str">
        <f>IFERROR((((COUNTIF('Elève (6ème3)'!T5:V5,"A"))*4)+((COUNTIF('Elève (6ème3)'!T5:V5,"B"))*3)+((COUNTIF('Elève (6ème3)'!T5:V5,"C"))*2)+((COUNTIF('Elève (6ème3)'!T5:V5,"D"))*1))/(COUNTA(T5:V5)),"")</f>
        <v/>
      </c>
      <c r="X5" s="184" t="str">
        <f t="shared" si="4"/>
        <v/>
      </c>
      <c r="Y5" s="99"/>
      <c r="Z5" s="100" t="s">
        <v>23</v>
      </c>
      <c r="AA5" s="101"/>
      <c r="AB5" s="183">
        <f>IFERROR((((COUNTIF('Elève (6ème3)'!Y5:AA5,"A"))*4)+((COUNTIF('Elève (6ème3)'!Y5:AA5,"B"))*3)+((COUNTIF('Elève (6ème3)'!Y5:AA5,"C"))*2)+((COUNTIF('Elève (6ème3)'!Y5:AA5,"D"))*1))/(COUNTA(Y5:AA5)),"")</f>
        <v>4</v>
      </c>
      <c r="AC5" s="184" t="str">
        <f t="shared" si="5"/>
        <v>A</v>
      </c>
      <c r="AD5" s="99"/>
      <c r="AE5" s="100"/>
      <c r="AF5" s="101"/>
      <c r="AG5" s="183" t="str">
        <f>IFERROR((((COUNTIF('Elève (6ème3)'!AD5:AF5,"A"))*4)+((COUNTIF('Elève (6ème3)'!AD5:AF5,"B"))*3)+((COUNTIF('Elève (6ème3)'!AD5:AF5,"C"))*2)+((COUNTIF('Elève (6ème3)'!AD5:AF5,"D"))*1))/(COUNTA(AD5:AF5)),"")</f>
        <v/>
      </c>
      <c r="AH5" s="184" t="str">
        <f t="shared" si="6"/>
        <v/>
      </c>
      <c r="AI5" s="183">
        <f>IF(COUNT(W5,AB5,AG5)=0,"",SUM(W5,AB5,AG5)/COUNT(W5,AB5,AG5))</f>
        <v>4</v>
      </c>
      <c r="AJ5" s="207" t="str">
        <f t="shared" si="7"/>
        <v>A</v>
      </c>
      <c r="AK5" s="105"/>
      <c r="AL5" s="100"/>
      <c r="AM5" s="101"/>
      <c r="AN5" s="183" t="str">
        <f>IFERROR((((COUNTIF('Elève (6ème3)'!AK5:AM5,"A"))*4)+((COUNTIF('Elève (6ème3)'!AK5:AM5,"B"))*3)+((COUNTIF('Elève (6ème3)'!AK5:AM5,"C"))*2)+((COUNTIF('Elève (6ème3)'!AK5:AM5,"D"))*1))/(COUNTA(AK5:AM5)),"")</f>
        <v/>
      </c>
      <c r="AO5" s="184" t="str">
        <f t="shared" si="8"/>
        <v/>
      </c>
      <c r="AP5" s="99"/>
      <c r="AQ5" s="100" t="s">
        <v>24</v>
      </c>
      <c r="AR5" s="101"/>
      <c r="AS5" s="183">
        <f>IFERROR((((COUNTIF('Elève (6ème3)'!AP5:AR5,"A"))*4)+((COUNTIF('Elève (6ème3)'!AP5:AR5,"B"))*3)+((COUNTIF('Elève (6ème3)'!AP5:AR5,"C"))*2)+((COUNTIF('Elève (6ème3)'!AP5:AR5,"D"))*1))/(COUNTA(AP5:AR5)),"")</f>
        <v>3</v>
      </c>
      <c r="AT5" s="184" t="str">
        <f t="shared" si="9"/>
        <v>B</v>
      </c>
      <c r="AU5" s="99"/>
      <c r="AV5" s="100"/>
      <c r="AW5" s="101"/>
      <c r="AX5" s="183" t="str">
        <f>IFERROR((((COUNTIF('Elève (6ème3)'!AU5:AW5,"A"))*4)+((COUNTIF('Elève (6ème3)'!AU5:AW5,"B"))*3)+((COUNTIF('Elève (6ème3)'!AU5:AW5,"C"))*2)+((COUNTIF('Elève (6ème3)'!AU5:AW5,"D"))*1))/(COUNTA(AU5:AW5)),"")</f>
        <v/>
      </c>
      <c r="AY5" s="184" t="str">
        <f t="shared" si="10"/>
        <v/>
      </c>
      <c r="AZ5" s="183">
        <f>IF(COUNT(AN5,AS5,AX5)=0,"",SUM(AN5,AS5,AX5)/COUNT(AN5,AS5,AX5))</f>
        <v>3</v>
      </c>
      <c r="BA5" s="207" t="str">
        <f t="shared" si="11"/>
        <v>B</v>
      </c>
      <c r="BB5" s="105"/>
      <c r="BC5" s="100"/>
      <c r="BD5" s="101"/>
      <c r="BE5" s="183" t="str">
        <f>IFERROR((((COUNTIF('Elève (6ème3)'!BB5:BD5,"A"))*4)+((COUNTIF('Elève (6ème3)'!BB5:BD5,"B"))*3)+((COUNTIF('Elève (6ème3)'!BB5:BD5,"C"))*2)+((COUNTIF('Elève (6ème3)'!BB5:BD5,"D"))*1))/(COUNTA(BB5:BD5)),"")</f>
        <v/>
      </c>
      <c r="BF5" s="184" t="str">
        <f t="shared" si="12"/>
        <v/>
      </c>
      <c r="BG5" s="99"/>
      <c r="BH5" s="100" t="s">
        <v>24</v>
      </c>
      <c r="BI5" s="101"/>
      <c r="BJ5" s="183">
        <f>IFERROR((((COUNTIF('Elève (6ème3)'!BG5:BI5,"A"))*4)+((COUNTIF('Elève (6ème3)'!BG5:BI5,"B"))*3)+((COUNTIF('Elève (6ème3)'!BG5:BI5,"C"))*2)+((COUNTIF('Elève (6ème3)'!BG5:BI5,"D"))*1))/(COUNTA(BG5:BI5)),"")</f>
        <v>3</v>
      </c>
      <c r="BK5" s="184" t="str">
        <f t="shared" si="13"/>
        <v>B</v>
      </c>
      <c r="BL5" s="99"/>
      <c r="BM5" s="100"/>
      <c r="BN5" s="101"/>
      <c r="BO5" s="183" t="str">
        <f>IFERROR((((COUNTIF('Elève (6ème3)'!BL5:BN5,"A"))*4)+((COUNTIF('Elève (6ème3)'!BL5:BN5,"B"))*3)+((COUNTIF('Elève (6ème3)'!BL5:BN5,"C"))*2)+((COUNTIF('Elève (6ème3)'!BL5:BN5,"D"))*1))/(COUNTA(BL5:BN5)),"")</f>
        <v/>
      </c>
      <c r="BP5" s="184" t="str">
        <f t="shared" si="14"/>
        <v/>
      </c>
      <c r="BQ5" s="183">
        <f>IF(COUNT(BE5,BJ5,BO5)=0,"",SUM(BE5,BJ5,BO5)/COUNT(BE5,BJ5,BO5))</f>
        <v>3</v>
      </c>
      <c r="BR5" s="207" t="str">
        <f t="shared" si="15"/>
        <v>B</v>
      </c>
      <c r="BS5" s="105"/>
      <c r="BT5" s="100"/>
      <c r="BU5" s="101"/>
      <c r="BV5" s="183" t="str">
        <f>IFERROR((((COUNTIF('Elève (6ème3)'!BS5:BU5,"A"))*4)+((COUNTIF('Elève (6ème3)'!BS5:BU5,"B"))*3)+((COUNTIF('Elève (6ème3)'!BS5:BU5,"C"))*2)+((COUNTIF('Elève (6ème3)'!BS5:BU5,"D"))*1))/(COUNTA(BS5:BU5)),"")</f>
        <v/>
      </c>
      <c r="BW5" s="184" t="str">
        <f t="shared" si="16"/>
        <v/>
      </c>
      <c r="BX5" s="99"/>
      <c r="BY5" s="100" t="s">
        <v>24</v>
      </c>
      <c r="BZ5" s="101"/>
      <c r="CA5" s="183">
        <f>IFERROR((((COUNTIF('Elève (6ème3)'!BX5:BZ5,"A"))*4)+((COUNTIF('Elève (6ème3)'!BX5:BZ5,"B"))*3)+((COUNTIF('Elève (6ème3)'!BX5:BZ5,"C"))*2)+((COUNTIF('Elève (6ème3)'!BX5:BZ5,"D"))*1))/(COUNTA(BX5:BZ5)),"")</f>
        <v>3</v>
      </c>
      <c r="CB5" s="184" t="str">
        <f t="shared" si="17"/>
        <v>B</v>
      </c>
      <c r="CC5" s="99"/>
      <c r="CD5" s="100"/>
      <c r="CE5" s="101"/>
      <c r="CF5" s="183" t="str">
        <f>IFERROR((((COUNTIF('Elève (6ème3)'!CC5:CE5,"A"))*4)+((COUNTIF('Elève (6ème3)'!CC5:CE5,"B"))*3)+((COUNTIF('Elève (6ème3)'!CC5:CE5,"C"))*2)+((COUNTIF('Elève (6ème3)'!CC5:CE5,"D"))*1))/(COUNTA(CC5:CE5)),"")</f>
        <v/>
      </c>
      <c r="CG5" s="184" t="str">
        <f t="shared" si="18"/>
        <v/>
      </c>
      <c r="CH5" s="183">
        <f>IF(COUNT(BV5,CA5,CF5)=0,"",SUM(BV5,CA5,CF5)/COUNT(BV5,CA5,CF5))</f>
        <v>3</v>
      </c>
      <c r="CI5" s="207" t="str">
        <f t="shared" si="19"/>
        <v>B</v>
      </c>
      <c r="CJ5" s="105"/>
      <c r="CK5" s="100"/>
      <c r="CL5" s="101"/>
      <c r="CM5" s="183" t="str">
        <f>IFERROR((((COUNTIF('Elève (6ème3)'!CJ5:CL5,"A"))*4)+((COUNTIF('Elève (6ème3)'!CJ5:CL5,"B"))*3)+((COUNTIF('Elève (6ème3)'!CJ5:CL5,"C"))*2)+((COUNTIF('Elève (6ème3)'!CJ5:CL5,"D"))*1))/(COUNTA(CJ5:CL5)),"")</f>
        <v/>
      </c>
      <c r="CN5" s="184" t="str">
        <f t="shared" si="20"/>
        <v/>
      </c>
      <c r="CO5" s="99"/>
      <c r="CP5" s="100" t="s">
        <v>24</v>
      </c>
      <c r="CQ5" s="101"/>
      <c r="CR5" s="183">
        <f>IFERROR((((COUNTIF('Elève (6ème3)'!CO5:CQ5,"A"))*4)+((COUNTIF('Elève (6ème3)'!CO5:CQ5,"B"))*3)+((COUNTIF('Elève (6ème3)'!CO5:CQ5,"C"))*2)+((COUNTIF('Elève (6ème3)'!CO5:CQ5,"D"))*1))/(COUNTA(CO5:CQ5)),"")</f>
        <v>3</v>
      </c>
      <c r="CS5" s="184" t="str">
        <f t="shared" si="21"/>
        <v>B</v>
      </c>
      <c r="CT5" s="99"/>
      <c r="CU5" s="100"/>
      <c r="CV5" s="101"/>
      <c r="CW5" s="183" t="str">
        <f>IFERROR((((COUNTIF('Elève (6ème3)'!CT5:CV5,"A"))*4)+((COUNTIF('Elève (6ème3)'!CT5:CV5,"B"))*3)+((COUNTIF('Elève (6ème3)'!CT5:CV5,"C"))*2)+((COUNTIF('Elève (6ème3)'!CT5:CV5,"D"))*1))/(COUNTA(CT5:CV5)),"")</f>
        <v/>
      </c>
      <c r="CX5" s="184" t="str">
        <f t="shared" si="22"/>
        <v/>
      </c>
      <c r="CY5" s="183">
        <f>IF(COUNT(CM5,CR5,CW5)=0,"",SUM(CM5,CR5,CW5)/COUNT(CM5,CR5,CW5))</f>
        <v>3</v>
      </c>
      <c r="CZ5" s="207" t="str">
        <f t="shared" si="23"/>
        <v>B</v>
      </c>
      <c r="DA5" s="105"/>
      <c r="DB5" s="100"/>
      <c r="DC5" s="101"/>
      <c r="DD5" s="183" t="str">
        <f>IFERROR((((COUNTIF('Elève (6ème3)'!DA5:DC5,"A"))*4)+((COUNTIF('Elève (6ème3)'!DA5:DC5,"B"))*3)+((COUNTIF('Elève (6ème3)'!DA5:DC5,"C"))*2)+((COUNTIF('Elève (6ème3)'!DA5:DC5,"D"))*1))/(COUNTA(DA5:DC5)),"")</f>
        <v/>
      </c>
      <c r="DE5" s="184" t="str">
        <f t="shared" si="24"/>
        <v/>
      </c>
      <c r="DF5" s="99"/>
      <c r="DG5" s="100" t="s">
        <v>23</v>
      </c>
      <c r="DH5" s="101"/>
      <c r="DI5" s="183">
        <f>IFERROR((((COUNTIF('Elève (6ème3)'!DF5:DH5,"A"))*4)+((COUNTIF('Elève (6ème3)'!DF5:DH5,"B"))*3)+((COUNTIF('Elève (6ème3)'!DF5:DH5,"C"))*2)+((COUNTIF('Elève (6ème3)'!DF5:DH5,"D"))*1))/(COUNTA(DF5:DH5)),"")</f>
        <v>4</v>
      </c>
      <c r="DJ5" s="184" t="str">
        <f t="shared" si="25"/>
        <v>A</v>
      </c>
      <c r="DK5" s="99"/>
      <c r="DL5" s="100"/>
      <c r="DM5" s="101"/>
      <c r="DN5" s="183" t="str">
        <f>IFERROR((((COUNTIF('Elève (6ème3)'!DK5:DM5,"A"))*4)+((COUNTIF('Elève (6ème3)'!DK5:DM5,"B"))*3)+((COUNTIF('Elève (6ème3)'!DK5:DM5,"C"))*2)+((COUNTIF('Elève (6ème3)'!DK5:DM5,"D"))*1))/(COUNTA(DK5:DM5)),"")</f>
        <v/>
      </c>
      <c r="DO5" s="184" t="str">
        <f t="shared" si="26"/>
        <v/>
      </c>
      <c r="DP5" s="183">
        <f>IF(COUNT(DD5,DI5,DN5)=0,"",SUM(DD5,DI5,DN5)/COUNT(DD5,DI5,DN5))</f>
        <v>4</v>
      </c>
      <c r="DQ5" s="207" t="str">
        <f t="shared" si="27"/>
        <v>A</v>
      </c>
      <c r="DR5" s="105"/>
      <c r="DS5" s="100"/>
      <c r="DT5" s="101"/>
      <c r="DU5" s="183" t="str">
        <f>IFERROR((((COUNTIF('Elève (6ème3)'!DR5:DT5,"A"))*4)+((COUNTIF('Elève (6ème3)'!DR5:DT5,"B"))*3)+((COUNTIF('Elève (6ème3)'!DR5:DT5,"C"))*2)+((COUNTIF('Elève (6ème3)'!DR5:DT5,"D"))*1))/(COUNTA(DR5:DT5)),"")</f>
        <v/>
      </c>
      <c r="DV5" s="184" t="str">
        <f t="shared" si="28"/>
        <v/>
      </c>
      <c r="DW5" s="99"/>
      <c r="DX5" s="100" t="s">
        <v>23</v>
      </c>
      <c r="DY5" s="101"/>
      <c r="DZ5" s="183">
        <f>IFERROR((((COUNTIF('Elève (6ème3)'!DW5:DY5,"A"))*4)+((COUNTIF('Elève (6ème3)'!DW5:DY5,"B"))*3)+((COUNTIF('Elève (6ème3)'!DW5:DY5,"C"))*2)+((COUNTIF('Elève (6ème3)'!DW5:DY5,"D"))*1))/(COUNTA(DW5:DY5)),"")</f>
        <v>4</v>
      </c>
      <c r="EA5" s="184" t="str">
        <f t="shared" si="29"/>
        <v>A</v>
      </c>
      <c r="EB5" s="99"/>
      <c r="EC5" s="100"/>
      <c r="ED5" s="101"/>
      <c r="EE5" s="183" t="str">
        <f>IFERROR((((COUNTIF('Elève (6ème3)'!EB5:ED5,"A"))*4)+((COUNTIF('Elève (6ème3)'!EB5:ED5,"B"))*3)+((COUNTIF('Elève (6ème3)'!EB5:ED5,"C"))*2)+((COUNTIF('Elève (6ème3)'!EB5:ED5,"D"))*1))/(COUNTA(EB5:ED5)),"")</f>
        <v/>
      </c>
      <c r="EF5" s="184" t="str">
        <f t="shared" si="30"/>
        <v/>
      </c>
      <c r="EG5" s="183">
        <f>IF(COUNT(DU5,DZ5,EE5)=0,"",SUM(DU5,DZ5,EE5)/COUNT(DU5,DZ5,EE5))</f>
        <v>4</v>
      </c>
      <c r="EH5" s="207" t="str">
        <f t="shared" si="31"/>
        <v>A</v>
      </c>
      <c r="EI5" s="105"/>
      <c r="EJ5" s="100"/>
      <c r="EK5" s="101"/>
      <c r="EL5" s="183" t="str">
        <f>IFERROR((((COUNTIF('Elève (6ème3)'!EI5:EK5,"A"))*4)+((COUNTIF('Elève (6ème3)'!EI5:EK5,"B"))*3)+((COUNTIF('Elève (6ème3)'!EI5:EK5,"C"))*2)+((COUNTIF('Elève (6ème3)'!EI5:EK5,"D"))*1))/(COUNTA(EI5:EK5)),"")</f>
        <v/>
      </c>
      <c r="EM5" s="184" t="str">
        <f t="shared" si="32"/>
        <v/>
      </c>
      <c r="EN5" s="99"/>
      <c r="EO5" s="100" t="s">
        <v>23</v>
      </c>
      <c r="EP5" s="101"/>
      <c r="EQ5" s="183">
        <f>IFERROR((((COUNTIF('Elève (6ème3)'!EN5:EP5,"A"))*4)+((COUNTIF('Elève (6ème3)'!EN5:EP5,"B"))*3)+((COUNTIF('Elève (6ème3)'!EN5:EP5,"C"))*2)+((COUNTIF('Elève (6ème3)'!EN5:EP5,"D"))*1))/(COUNTA(EN5:EP5)),"")</f>
        <v>4</v>
      </c>
      <c r="ER5" s="184" t="str">
        <f t="shared" si="33"/>
        <v>A</v>
      </c>
      <c r="ES5" s="99"/>
      <c r="ET5" s="100"/>
      <c r="EU5" s="101"/>
      <c r="EV5" s="183" t="str">
        <f>IFERROR((((COUNTIF('Elève (6ème3)'!ES5:EU5,"A"))*4)+((COUNTIF('Elève (6ème3)'!ES5:EU5,"B"))*3)+((COUNTIF('Elève (6ème3)'!ES5:EU5,"C"))*2)+((COUNTIF('Elève (6ème3)'!ES5:EU5,"D"))*1))/(COUNTA(ES5:EU5)),"")</f>
        <v/>
      </c>
      <c r="EW5" s="184" t="str">
        <f t="shared" si="34"/>
        <v/>
      </c>
      <c r="EX5" s="183">
        <f>IF(COUNT(EL5,EQ5,EV5)=0,"",SUM(EL5,EQ5,EV5)/COUNT(EL5,EQ5,EV5))</f>
        <v>4</v>
      </c>
      <c r="EY5" s="207" t="str">
        <f t="shared" si="35"/>
        <v>A</v>
      </c>
      <c r="EZ5" s="105"/>
      <c r="FA5" s="100"/>
      <c r="FB5" s="101"/>
      <c r="FC5" s="183" t="str">
        <f>IFERROR((((COUNTIF('Elève (6ème3)'!EZ5:FB5,"A"))*4)+((COUNTIF('Elève (6ème3)'!EZ5:FB5,"B"))*3)+((COUNTIF('Elève (6ème3)'!EZ5:FB5,"C"))*2)+((COUNTIF('Elève (6ème3)'!EZ5:FB5,"D"))*1))/(COUNTA(EZ5:FB5)),"")</f>
        <v/>
      </c>
      <c r="FD5" s="184" t="str">
        <f t="shared" si="36"/>
        <v/>
      </c>
      <c r="FE5" s="99"/>
      <c r="FF5" s="100" t="s">
        <v>23</v>
      </c>
      <c r="FG5" s="101"/>
      <c r="FH5" s="183">
        <f>IFERROR((((COUNTIF('Elève (6ème3)'!FE5:FG5,"A"))*4)+((COUNTIF('Elève (6ème3)'!FE5:FG5,"B"))*3)+((COUNTIF('Elève (6ème3)'!FE5:FG5,"C"))*2)+((COUNTIF('Elève (6ème3)'!FE5:FG5,"D"))*1))/(COUNTA(FE5:FG5)),"")</f>
        <v>4</v>
      </c>
      <c r="FI5" s="184" t="str">
        <f t="shared" si="37"/>
        <v>A</v>
      </c>
      <c r="FJ5" s="99"/>
      <c r="FK5" s="100"/>
      <c r="FL5" s="101"/>
      <c r="FM5" s="183" t="str">
        <f>IFERROR((((COUNTIF('Elève (6ème3)'!FJ5:FL5,"A"))*4)+((COUNTIF('Elève (6ème3)'!FJ5:FL5,"B"))*3)+((COUNTIF('Elève (6ème3)'!FJ5:FL5,"C"))*2)+((COUNTIF('Elève (6ème3)'!FJ5:FL5,"D"))*1))/(COUNTA(FJ5:FL5)),"")</f>
        <v/>
      </c>
      <c r="FN5" s="184" t="str">
        <f t="shared" si="38"/>
        <v/>
      </c>
      <c r="FO5" s="183">
        <f>IF(COUNT(FC5,FH5,FM5)=0,"",SUM(FC5,FH5,FM5)/COUNT(FC5,FH5,FM5))</f>
        <v>4</v>
      </c>
      <c r="FP5" s="207" t="str">
        <f t="shared" si="39"/>
        <v>A</v>
      </c>
      <c r="FQ5" s="105"/>
      <c r="FR5" s="100"/>
      <c r="FS5" s="101"/>
      <c r="FT5" s="183" t="str">
        <f>IFERROR((((COUNTIF('Elève (6ème3)'!FQ5:FS5,"A"))*4)+((COUNTIF('Elève (6ème3)'!FQ5:FS5,"B"))*3)+((COUNTIF('Elève (6ème3)'!FQ5:FS5,"C"))*2)+((COUNTIF('Elève (6ème3)'!FQ5:FS5,"D"))*1))/(COUNTA(FQ5:FS5)),"")</f>
        <v/>
      </c>
      <c r="FU5" s="184" t="str">
        <f t="shared" si="40"/>
        <v/>
      </c>
      <c r="FV5" s="99"/>
      <c r="FW5" s="100" t="s">
        <v>26</v>
      </c>
      <c r="FX5" s="101"/>
      <c r="FY5" s="183">
        <f>IFERROR((((COUNTIF('Elève (6ème3)'!FV5:FX5,"A"))*4)+((COUNTIF('Elève (6ème3)'!FV5:FX5,"B"))*3)+((COUNTIF('Elève (6ème3)'!FV5:FX5,"C"))*2)+((COUNTIF('Elève (6ème3)'!FV5:FX5,"D"))*1))/(COUNTA(FV5:FX5)),"")</f>
        <v>1</v>
      </c>
      <c r="FZ5" s="184" t="str">
        <f t="shared" si="41"/>
        <v>D</v>
      </c>
      <c r="GA5" s="99"/>
      <c r="GB5" s="100"/>
      <c r="GC5" s="101"/>
      <c r="GD5" s="183" t="str">
        <f>IFERROR((((COUNTIF('Elève (6ème3)'!GA5:GC5,"A"))*4)+((COUNTIF('Elève (6ème3)'!GA5:GC5,"B"))*3)+((COUNTIF('Elève (6ème3)'!GA5:GC5,"C"))*2)+((COUNTIF('Elève (6ème3)'!GA5:GC5,"D"))*1))/(COUNTA(GA5:GC5)),"")</f>
        <v/>
      </c>
      <c r="GE5" s="184" t="str">
        <f t="shared" si="42"/>
        <v/>
      </c>
      <c r="GF5" s="183">
        <f>IF(COUNT(FT5,FY5,GD5)=0,"",SUM(FT5,FY5,GD5)/COUNT(FT5,FY5,GD5))</f>
        <v>1</v>
      </c>
      <c r="GG5" s="207" t="str">
        <f t="shared" si="43"/>
        <v>D</v>
      </c>
      <c r="GH5" s="105"/>
      <c r="GI5" s="100"/>
      <c r="GJ5" s="101"/>
      <c r="GK5" s="183" t="str">
        <f>IFERROR((((COUNTIF('Elève (6ème3)'!GH5:GJ5,"A"))*4)+((COUNTIF('Elève (6ème3)'!GH5:GJ5,"B"))*3)+((COUNTIF('Elève (6ème3)'!GH5:GJ5,"C"))*2)+((COUNTIF('Elève (6ème3)'!GH5:GJ5,"D"))*1))/(COUNTA(GH5:GJ5)),"")</f>
        <v/>
      </c>
      <c r="GL5" s="184" t="str">
        <f t="shared" si="44"/>
        <v/>
      </c>
      <c r="GM5" s="99"/>
      <c r="GN5" s="100" t="s">
        <v>23</v>
      </c>
      <c r="GO5" s="101"/>
      <c r="GP5" s="183">
        <f>IFERROR((((COUNTIF('Elève (6ème3)'!GM5:GO5,"A"))*4)+((COUNTIF('Elève (6ème3)'!GM5:GO5,"B"))*3)+((COUNTIF('Elève (6ème3)'!GM5:GO5,"C"))*2)+((COUNTIF('Elève (6ème3)'!GM5:GO5,"D"))*1))/(COUNTA(GM5:GO5)),"")</f>
        <v>4</v>
      </c>
      <c r="GQ5" s="184" t="str">
        <f t="shared" si="45"/>
        <v>A</v>
      </c>
      <c r="GR5" s="99"/>
      <c r="GS5" s="100"/>
      <c r="GT5" s="101"/>
      <c r="GU5" s="183" t="str">
        <f>IFERROR((((COUNTIF('Elève (6ème3)'!GR5:GT5,"A"))*4)+((COUNTIF('Elève (6ème3)'!GR5:GT5,"B"))*3)+((COUNTIF('Elève (6ème3)'!GR5:GT5,"C"))*2)+((COUNTIF('Elève (6ème3)'!GR5:GT5,"D"))*1))/(COUNTA(GR5:GT5)),"")</f>
        <v/>
      </c>
      <c r="GV5" s="184" t="str">
        <f t="shared" si="46"/>
        <v/>
      </c>
      <c r="GW5" s="183">
        <f>IF(COUNT(GK5,GP5,GU5)=0,"",SUM(GK5,GP5,GU5)/COUNT(GK5,GP5,GU5))</f>
        <v>4</v>
      </c>
      <c r="GX5" s="207" t="str">
        <f t="shared" si="47"/>
        <v>A</v>
      </c>
      <c r="GY5" s="105"/>
      <c r="GZ5" s="100"/>
      <c r="HA5" s="101"/>
      <c r="HB5" s="183" t="str">
        <f>IFERROR((((COUNTIF('Elève (6ème3)'!GY5:HA5,"A"))*4)+((COUNTIF('Elève (6ème3)'!GY5:HA5,"B"))*3)+((COUNTIF('Elève (6ème3)'!GY5:HA5,"C"))*2)+((COUNTIF('Elève (6ème3)'!GY5:HA5,"D"))*1))/(COUNTA(GY5:HA5)),"")</f>
        <v/>
      </c>
      <c r="HC5" s="184" t="str">
        <f t="shared" si="48"/>
        <v/>
      </c>
      <c r="HD5" s="99"/>
      <c r="HE5" s="100" t="s">
        <v>26</v>
      </c>
      <c r="HF5" s="101"/>
      <c r="HG5" s="183">
        <f>IFERROR((((COUNTIF('Elève (6ème3)'!HD5:HF5,"A"))*4)+((COUNTIF('Elève (6ème3)'!HD5:HF5,"B"))*3)+((COUNTIF('Elève (6ème3)'!HD5:HF5,"C"))*2)+((COUNTIF('Elève (6ème3)'!HD5:HF5,"D"))*1))/(COUNTA(HD5:HF5)),"")</f>
        <v>1</v>
      </c>
      <c r="HH5" s="184" t="str">
        <f t="shared" si="49"/>
        <v>D</v>
      </c>
      <c r="HI5" s="99"/>
      <c r="HJ5" s="100"/>
      <c r="HK5" s="101"/>
      <c r="HL5" s="183" t="str">
        <f>IFERROR((((COUNTIF('Elève (6ème3)'!HI5:HK5,"A"))*4)+((COUNTIF('Elève (6ème3)'!HI5:HK5,"B"))*3)+((COUNTIF('Elève (6ème3)'!HI5:HK5,"C"))*2)+((COUNTIF('Elève (6ème3)'!HI5:HK5,"D"))*1))/(COUNTA(HI5:HK5)),"")</f>
        <v/>
      </c>
      <c r="HM5" s="184" t="str">
        <f t="shared" si="50"/>
        <v/>
      </c>
      <c r="HN5" s="183">
        <f>IF(COUNT(HB5,HG5,HL5)=0,"",SUM(HB5,HG5,HL5)/COUNT(HB5,HG5,HL5))</f>
        <v>1</v>
      </c>
      <c r="HO5" s="207" t="str">
        <f t="shared" si="51"/>
        <v>D</v>
      </c>
      <c r="HP5" s="105"/>
      <c r="HQ5" s="100"/>
      <c r="HR5" s="101"/>
      <c r="HS5" s="183" t="str">
        <f>IFERROR((((COUNTIF('Elève (6ème3)'!HP5:HR5,"A"))*4)+((COUNTIF('Elève (6ème3)'!HP5:HR5,"B"))*3)+((COUNTIF('Elève (6ème3)'!HP5:HR5,"C"))*2)+((COUNTIF('Elève (6ème3)'!HP5:HR5,"D"))*1))/(COUNTA(HP5:HR5)),"")</f>
        <v/>
      </c>
      <c r="HT5" s="184" t="str">
        <f t="shared" si="52"/>
        <v/>
      </c>
      <c r="HU5" s="99"/>
      <c r="HV5" s="100" t="s">
        <v>23</v>
      </c>
      <c r="HW5" s="101"/>
      <c r="HX5" s="183">
        <f>IFERROR((((COUNTIF('Elève (6ème3)'!HU5:HW5,"A"))*4)+((COUNTIF('Elève (6ème3)'!HU5:HW5,"B"))*3)+((COUNTIF('Elève (6ème3)'!HU5:HW5,"C"))*2)+((COUNTIF('Elève (6ème3)'!HU5:HW5,"D"))*1))/(COUNTA(HU5:HW5)),"")</f>
        <v>4</v>
      </c>
      <c r="HY5" s="184" t="str">
        <f t="shared" si="53"/>
        <v>A</v>
      </c>
      <c r="HZ5" s="99"/>
      <c r="IA5" s="100"/>
      <c r="IB5" s="101"/>
      <c r="IC5" s="183" t="str">
        <f>IFERROR((((COUNTIF('Elève (6ème3)'!HZ5:IB5,"A"))*4)+((COUNTIF('Elève (6ème3)'!HZ5:IB5,"B"))*3)+((COUNTIF('Elève (6ème3)'!HZ5:IB5,"C"))*2)+((COUNTIF('Elève (6ème3)'!HZ5:IB5,"D"))*1))/(COUNTA(HZ5:IB5)),"")</f>
        <v/>
      </c>
      <c r="ID5" s="184" t="str">
        <f t="shared" si="54"/>
        <v/>
      </c>
      <c r="IE5" s="183">
        <f>IF(COUNT(HS5,HX5,IC5)=0,"",SUM(HS5,HX5,IC5)/COUNT(HS5,HX5,IC5))</f>
        <v>4</v>
      </c>
      <c r="IF5" s="207" t="str">
        <f t="shared" si="55"/>
        <v>A</v>
      </c>
      <c r="IG5" s="105"/>
      <c r="IH5" s="100"/>
      <c r="II5" s="101"/>
      <c r="IJ5" s="183" t="str">
        <f>IFERROR((((COUNTIF('Elève (6ème3)'!IG5:II5,"A"))*4)+((COUNTIF('Elève (6ème3)'!IG5:II5,"B"))*3)+((COUNTIF('Elève (6ème3)'!IG5:II5,"C"))*2)+((COUNTIF('Elève (6ème3)'!IG5:II5,"D"))*1))/(COUNTA(IG5:II5)),"")</f>
        <v/>
      </c>
      <c r="IK5" s="184" t="str">
        <f t="shared" si="56"/>
        <v/>
      </c>
      <c r="IL5" s="99"/>
      <c r="IM5" s="100" t="s">
        <v>23</v>
      </c>
      <c r="IN5" s="101"/>
      <c r="IO5" s="183">
        <f>IFERROR((((COUNTIF('Elève (6ème3)'!IL5:IN5,"A"))*4)+((COUNTIF('Elève (6ème3)'!IL5:IN5,"B"))*3)+((COUNTIF('Elève (6ème3)'!IL5:IN5,"C"))*2)+((COUNTIF('Elève (6ème3)'!IL5:IN5,"D"))*1))/(COUNTA(IL5:IN5)),"")</f>
        <v>4</v>
      </c>
      <c r="IP5" s="184" t="str">
        <f t="shared" si="57"/>
        <v>A</v>
      </c>
      <c r="IQ5" s="99"/>
      <c r="IR5" s="100"/>
      <c r="IS5" s="101"/>
      <c r="IT5" s="183" t="str">
        <f>IFERROR((((COUNTIF('Elève (6ème3)'!IQ5:IS5,"A"))*4)+((COUNTIF('Elève (6ème3)'!IQ5:IS5,"B"))*3)+((COUNTIF('Elève (6ème3)'!IQ5:IS5,"C"))*2)+((COUNTIF('Elève (6ème3)'!IQ5:IS5,"D"))*1))/(COUNTA(IQ5:IS5)),"")</f>
        <v/>
      </c>
      <c r="IU5" s="184" t="str">
        <f t="shared" si="58"/>
        <v/>
      </c>
      <c r="IV5" s="183">
        <f>IF(COUNT(IJ5,IO5,IT5)=0,"",SUM(IJ5,IO5,IT5)/COUNT(IJ5,IO5,IT5))</f>
        <v>4</v>
      </c>
      <c r="IW5" s="207" t="str">
        <f t="shared" si="59"/>
        <v>A</v>
      </c>
      <c r="IX5" s="105"/>
      <c r="IY5" s="100"/>
      <c r="IZ5" s="101"/>
      <c r="JA5" s="183" t="str">
        <f>IFERROR((((COUNTIF('Elève (6ème3)'!IX5:IZ5,"A"))*4)+((COUNTIF('Elève (6ème3)'!IX5:IZ5,"B"))*3)+((COUNTIF('Elève (6ème3)'!IX5:IZ5,"C"))*2)+((COUNTIF('Elève (6ème3)'!IX5:IZ5,"D"))*1))/(COUNTA(IX5:IZ5)),"")</f>
        <v/>
      </c>
      <c r="JB5" s="184" t="str">
        <f t="shared" si="60"/>
        <v/>
      </c>
      <c r="JC5" s="99"/>
      <c r="JD5" s="100" t="s">
        <v>23</v>
      </c>
      <c r="JE5" s="101"/>
      <c r="JF5" s="183">
        <f>IFERROR((((COUNTIF('Elève (6ème3)'!JC5:JE5,"A"))*4)+((COUNTIF('Elève (6ème3)'!JC5:JE5,"B"))*3)+((COUNTIF('Elève (6ème3)'!JC5:JE5,"C"))*2)+((COUNTIF('Elève (6ème3)'!JC5:JE5,"D"))*1))/(COUNTA(JC5:JE5)),"")</f>
        <v>4</v>
      </c>
      <c r="JG5" s="184" t="str">
        <f t="shared" si="61"/>
        <v>A</v>
      </c>
      <c r="JH5" s="99"/>
      <c r="JI5" s="100"/>
      <c r="JJ5" s="101"/>
      <c r="JK5" s="183" t="str">
        <f>IFERROR((((COUNTIF('Elève (6ème3)'!JH5:JJ5,"A"))*4)+((COUNTIF('Elève (6ème3)'!JH5:JJ5,"B"))*3)+((COUNTIF('Elève (6ème3)'!JH5:JJ5,"C"))*2)+((COUNTIF('Elève (6ème3)'!JH5:JJ5,"D"))*1))/(COUNTA(JH5:JJ5)),"")</f>
        <v/>
      </c>
      <c r="JL5" s="184" t="str">
        <f t="shared" si="62"/>
        <v/>
      </c>
      <c r="JM5" s="183">
        <f>IF(COUNT(JA5,JF5,JK5)=0,"",SUM(JA5,JF5,JK5)/COUNT(JA5,JF5,JK5))</f>
        <v>4</v>
      </c>
      <c r="JN5" s="207" t="str">
        <f t="shared" si="63"/>
        <v>A</v>
      </c>
      <c r="JO5" s="105"/>
      <c r="JP5" s="100"/>
      <c r="JQ5" s="101"/>
      <c r="JR5" s="183" t="str">
        <f>IFERROR((((COUNTIF('Elève (6ème3)'!JO5:JQ5,"A"))*4)+((COUNTIF('Elève (6ème3)'!JO5:JQ5,"B"))*3)+((COUNTIF('Elève (6ème3)'!JO5:JQ5,"C"))*2)+((COUNTIF('Elève (6ème3)'!JO5:JQ5,"D"))*1))/(COUNTA(JO5:JQ5)),"")</f>
        <v/>
      </c>
      <c r="JS5" s="184" t="str">
        <f t="shared" si="64"/>
        <v/>
      </c>
      <c r="JT5" s="99"/>
      <c r="JU5" s="100" t="s">
        <v>23</v>
      </c>
      <c r="JV5" s="101"/>
      <c r="JW5" s="183">
        <f>IFERROR((((COUNTIF('Elève (6ème3)'!JT5:JV5,"A"))*4)+((COUNTIF('Elève (6ème3)'!JT5:JV5,"B"))*3)+((COUNTIF('Elève (6ème3)'!JT5:JV5,"C"))*2)+((COUNTIF('Elève (6ème3)'!JT5:JV5,"D"))*1))/(COUNTA(JT5:JV5)),"")</f>
        <v>4</v>
      </c>
      <c r="JX5" s="184" t="str">
        <f t="shared" si="65"/>
        <v>A</v>
      </c>
      <c r="JY5" s="99"/>
      <c r="JZ5" s="100"/>
      <c r="KA5" s="101"/>
      <c r="KB5" s="183" t="str">
        <f>IFERROR((((COUNTIF('Elève (6ème3)'!JY5:KA5,"A"))*4)+((COUNTIF('Elève (6ème3)'!JY5:KA5,"B"))*3)+((COUNTIF('Elève (6ème3)'!JY5:KA5,"C"))*2)+((COUNTIF('Elève (6ème3)'!JY5:KA5,"D"))*1))/(COUNTA(JY5:KA5)),"")</f>
        <v/>
      </c>
      <c r="KC5" s="184" t="str">
        <f t="shared" si="66"/>
        <v/>
      </c>
      <c r="KD5" s="183">
        <f>IF(COUNT(JR5,JW5,KB5)=0,"",SUM(JR5,JW5,KB5)/COUNT(JR5,JW5,KB5))</f>
        <v>4</v>
      </c>
      <c r="KE5" s="207" t="str">
        <f t="shared" si="67"/>
        <v>A</v>
      </c>
      <c r="KF5" s="105"/>
      <c r="KG5" s="100"/>
      <c r="KH5" s="101"/>
      <c r="KI5" s="183" t="str">
        <f>IFERROR((((COUNTIF('Elève (6ème3)'!KF5:KH5,"A"))*4)+((COUNTIF('Elève (6ème3)'!KF5:KH5,"B"))*3)+((COUNTIF('Elève (6ème3)'!KF5:KH5,"C"))*2)+((COUNTIF('Elève (6ème3)'!KF5:KH5,"D"))*1))/(COUNTA(KF5:KH5)),"")</f>
        <v/>
      </c>
      <c r="KJ5" s="184" t="str">
        <f t="shared" si="68"/>
        <v/>
      </c>
      <c r="KK5" s="99"/>
      <c r="KL5" s="100" t="s">
        <v>23</v>
      </c>
      <c r="KM5" s="101"/>
      <c r="KN5" s="183">
        <f>IFERROR((((COUNTIF('Elève (6ème3)'!KK5:KM5,"A"))*4)+((COUNTIF('Elève (6ème3)'!KK5:KM5,"B"))*3)+((COUNTIF('Elève (6ème3)'!KK5:KM5,"C"))*2)+((COUNTIF('Elève (6ème3)'!KK5:KM5,"D"))*1))/(COUNTA(KK5:KM5)),"")</f>
        <v>4</v>
      </c>
      <c r="KO5" s="184" t="str">
        <f t="shared" si="69"/>
        <v>A</v>
      </c>
      <c r="KP5" s="99"/>
      <c r="KQ5" s="100"/>
      <c r="KR5" s="101"/>
      <c r="KS5" s="183" t="str">
        <f>IFERROR((((COUNTIF('Elève (6ème3)'!KP5:KR5,"A"))*4)+((COUNTIF('Elève (6ème3)'!KP5:KR5,"B"))*3)+((COUNTIF('Elève (6ème3)'!KP5:KR5,"C"))*2)+((COUNTIF('Elève (6ème3)'!KP5:KR5,"D"))*1))/(COUNTA(KP5:KR5)),"")</f>
        <v/>
      </c>
      <c r="KT5" s="184" t="str">
        <f t="shared" si="70"/>
        <v/>
      </c>
      <c r="KU5" s="183">
        <f>IF(COUNT(KI5,KN5,KS5)=0,"",SUM(KI5,KN5,KS5)/COUNT(KI5,KN5,KS5))</f>
        <v>4</v>
      </c>
      <c r="KV5" s="207" t="str">
        <f t="shared" si="71"/>
        <v>A</v>
      </c>
      <c r="KW5" s="105"/>
      <c r="KX5" s="100"/>
      <c r="KY5" s="101"/>
      <c r="KZ5" s="183" t="str">
        <f>IFERROR((((COUNTIF('Elève (6ème3)'!KW5:KY5,"A"))*4)+((COUNTIF('Elève (6ème3)'!KW5:KY5,"B"))*3)+((COUNTIF('Elève (6ème3)'!KW5:KY5,"C"))*2)+((COUNTIF('Elève (6ème3)'!KW5:KY5,"D"))*1))/(COUNTA(KW5:KY5)),"")</f>
        <v/>
      </c>
      <c r="LA5" s="184" t="str">
        <f t="shared" si="72"/>
        <v/>
      </c>
      <c r="LB5" s="99"/>
      <c r="LC5" s="100" t="s">
        <v>25</v>
      </c>
      <c r="LD5" s="101"/>
      <c r="LE5" s="183">
        <f>IFERROR((((COUNTIF('Elève (6ème3)'!LB5:LD5,"A"))*4)+((COUNTIF('Elève (6ème3)'!LB5:LD5,"B"))*3)+((COUNTIF('Elève (6ème3)'!LB5:LD5,"C"))*2)+((COUNTIF('Elève (6ème3)'!LB5:LD5,"D"))*1))/(COUNTA(LB5:LD5)),"")</f>
        <v>2</v>
      </c>
      <c r="LF5" s="184" t="str">
        <f t="shared" si="73"/>
        <v>C</v>
      </c>
      <c r="LG5" s="99"/>
      <c r="LH5" s="100"/>
      <c r="LI5" s="101"/>
      <c r="LJ5" s="183" t="str">
        <f>IFERROR((((COUNTIF('Elève (6ème3)'!LG5:LI5,"A"))*4)+((COUNTIF('Elève (6ème3)'!LG5:LI5,"B"))*3)+((COUNTIF('Elève (6ème3)'!LG5:LI5,"C"))*2)+((COUNTIF('Elève (6ème3)'!LG5:LI5,"D"))*1))/(COUNTA(LG5:LI5)),"")</f>
        <v/>
      </c>
      <c r="LK5" s="184" t="str">
        <f t="shared" si="74"/>
        <v/>
      </c>
      <c r="LL5" s="183">
        <f>IF(COUNT(KZ5,LE5,LJ5)=0,"",SUM(KZ5,LE5,LJ5)/COUNT(KZ5,LE5,LJ5))</f>
        <v>2</v>
      </c>
      <c r="LM5" s="207" t="str">
        <f t="shared" si="75"/>
        <v>C</v>
      </c>
      <c r="LN5" s="105"/>
      <c r="LO5" s="100"/>
      <c r="LP5" s="101"/>
      <c r="LQ5" s="183" t="str">
        <f>IFERROR((((COUNTIF('Elève (6ème3)'!LN5:LP5,"A"))*4)+((COUNTIF('Elève (6ème3)'!LN5:LP5,"B"))*3)+((COUNTIF('Elève (6ème3)'!LN5:LP5,"C"))*2)+((COUNTIF('Elève (6ème3)'!LN5:LP5,"D"))*1))/(COUNTA(LN5:LP5)),"")</f>
        <v/>
      </c>
      <c r="LR5" s="184" t="str">
        <f t="shared" si="76"/>
        <v/>
      </c>
      <c r="LS5" s="99"/>
      <c r="LT5" s="100" t="s">
        <v>23</v>
      </c>
      <c r="LU5" s="101"/>
      <c r="LV5" s="183">
        <f>IFERROR((((COUNTIF('Elève (6ème3)'!LS5:LU5,"A"))*4)+((COUNTIF('Elève (6ème3)'!LS5:LU5,"B"))*3)+((COUNTIF('Elève (6ème3)'!LS5:LU5,"C"))*2)+((COUNTIF('Elève (6ème3)'!LS5:LU5,"D"))*1))/(COUNTA(LS5:LU5)),"")</f>
        <v>4</v>
      </c>
      <c r="LW5" s="184" t="str">
        <f t="shared" si="77"/>
        <v>A</v>
      </c>
      <c r="LX5" s="99"/>
      <c r="LY5" s="100"/>
      <c r="LZ5" s="101"/>
      <c r="MA5" s="183" t="str">
        <f>IFERROR((((COUNTIF('Elève (6ème3)'!LX5:LZ5,"A"))*4)+((COUNTIF('Elève (6ème3)'!LX5:LZ5,"B"))*3)+((COUNTIF('Elève (6ème3)'!LX5:LZ5,"C"))*2)+((COUNTIF('Elève (6ème3)'!LX5:LZ5,"D"))*1))/(COUNTA(LX5:LZ5)),"")</f>
        <v/>
      </c>
      <c r="MB5" s="184" t="str">
        <f t="shared" si="78"/>
        <v/>
      </c>
      <c r="MC5" s="183">
        <f>IF(COUNT(LQ5,LV5,MA5)=0,"",SUM(LQ5,LV5,MA5)/COUNT(LQ5,LV5,MA5))</f>
        <v>4</v>
      </c>
      <c r="MD5" s="207" t="str">
        <f t="shared" si="79"/>
        <v>A</v>
      </c>
      <c r="ME5" s="105"/>
      <c r="MF5" s="100"/>
      <c r="MG5" s="101"/>
      <c r="MH5" s="183" t="str">
        <f>IFERROR((((COUNTIF('Elève (6ème3)'!ME5:MG5,"A"))*4)+((COUNTIF('Elève (6ème3)'!ME5:MG5,"B"))*3)+((COUNTIF('Elève (6ème3)'!ME5:MG5,"C"))*2)+((COUNTIF('Elève (6ème3)'!ME5:MG5,"D"))*1))/(COUNTA(ME5:MG5)),"")</f>
        <v/>
      </c>
      <c r="MI5" s="184" t="str">
        <f t="shared" si="80"/>
        <v/>
      </c>
      <c r="MJ5" s="99"/>
      <c r="MK5" s="100" t="s">
        <v>23</v>
      </c>
      <c r="ML5" s="101"/>
      <c r="MM5" s="183">
        <f>IFERROR((((COUNTIF('Elève (6ème3)'!MJ5:ML5,"A"))*4)+((COUNTIF('Elève (6ème3)'!MJ5:ML5,"B"))*3)+((COUNTIF('Elève (6ème3)'!MJ5:ML5,"C"))*2)+((COUNTIF('Elève (6ème3)'!MJ5:ML5,"D"))*1))/(COUNTA(MJ5:ML5)),"")</f>
        <v>4</v>
      </c>
      <c r="MN5" s="184" t="str">
        <f t="shared" si="81"/>
        <v>A</v>
      </c>
      <c r="MO5" s="99"/>
      <c r="MP5" s="100"/>
      <c r="MQ5" s="101"/>
      <c r="MR5" s="183" t="str">
        <f>IFERROR((((COUNTIF('Elève (6ème3)'!MO5:MQ5,"A"))*4)+((COUNTIF('Elève (6ème3)'!MO5:MQ5,"B"))*3)+((COUNTIF('Elève (6ème3)'!MO5:MQ5,"C"))*2)+((COUNTIF('Elève (6ème3)'!MO5:MQ5,"D"))*1))/(COUNTA(MO5:MQ5)),"")</f>
        <v/>
      </c>
      <c r="MS5" s="184" t="str">
        <f t="shared" si="82"/>
        <v/>
      </c>
      <c r="MT5" s="183">
        <f>IF(COUNT(MH5,MM5,MR5)=0,"",SUM(MH5,MM5,MR5)/COUNT(MH5,MM5,MR5))</f>
        <v>4</v>
      </c>
      <c r="MU5" s="207" t="str">
        <f t="shared" si="83"/>
        <v>A</v>
      </c>
      <c r="MV5" s="105"/>
      <c r="MW5" s="100"/>
      <c r="MX5" s="101"/>
      <c r="MY5" s="183" t="str">
        <f>IFERROR((((COUNTIF('Elève (6ème3)'!MV5:MX5,"A"))*4)+((COUNTIF('Elève (6ème3)'!MV5:MX5,"B"))*3)+((COUNTIF('Elève (6ème3)'!MV5:MX5,"C"))*2)+((COUNTIF('Elève (6ème3)'!MV5:MX5,"D"))*1))/(COUNTA(MV5:MX5)),"")</f>
        <v/>
      </c>
      <c r="MZ5" s="184" t="str">
        <f t="shared" si="84"/>
        <v/>
      </c>
      <c r="NA5" s="99"/>
      <c r="NB5" s="100" t="s">
        <v>23</v>
      </c>
      <c r="NC5" s="101"/>
      <c r="ND5" s="183">
        <f>IFERROR((((COUNTIF('Elève (6ème3)'!NA5:NC5,"A"))*4)+((COUNTIF('Elève (6ème3)'!NA5:NC5,"B"))*3)+((COUNTIF('Elève (6ème3)'!NA5:NC5,"C"))*2)+((COUNTIF('Elève (6ème3)'!NA5:NC5,"D"))*1))/(COUNTA(NA5:NC5)),"")</f>
        <v>4</v>
      </c>
      <c r="NE5" s="184" t="str">
        <f t="shared" si="85"/>
        <v>A</v>
      </c>
      <c r="NF5" s="99"/>
      <c r="NG5" s="100"/>
      <c r="NH5" s="101"/>
      <c r="NI5" s="183" t="str">
        <f>IFERROR((((COUNTIF('Elève (6ème3)'!NF5:NH5,"A"))*4)+((COUNTIF('Elève (6ème3)'!NF5:NH5,"B"))*3)+((COUNTIF('Elève (6ème3)'!NF5:NH5,"C"))*2)+((COUNTIF('Elève (6ème3)'!NF5:NH5,"D"))*1))/(COUNTA(NF5:NH5)),"")</f>
        <v/>
      </c>
      <c r="NJ5" s="184" t="str">
        <f t="shared" si="86"/>
        <v/>
      </c>
      <c r="NK5" s="183">
        <f>IF(COUNT(MY5,ND5,NI5)=0,"",SUM(MY5,ND5,NI5)/COUNT(MY5,ND5,NI5))</f>
        <v>4</v>
      </c>
      <c r="NL5" s="207" t="str">
        <f t="shared" si="87"/>
        <v>A</v>
      </c>
      <c r="NM5" s="105"/>
      <c r="NN5" s="100"/>
      <c r="NO5" s="101"/>
      <c r="NP5" s="183" t="str">
        <f>IFERROR((((COUNTIF('Elève (6ème3)'!NM5:NO5,"A"))*4)+((COUNTIF('Elève (6ème3)'!NM5:NO5,"B"))*3)+((COUNTIF('Elève (6ème3)'!NM5:NO5,"C"))*2)+((COUNTIF('Elève (6ème3)'!NM5:NO5,"D"))*1))/(COUNTA(NM5:NO5)),"")</f>
        <v/>
      </c>
      <c r="NQ5" s="184" t="str">
        <f t="shared" si="88"/>
        <v/>
      </c>
      <c r="NR5" s="99"/>
      <c r="NS5" s="100" t="s">
        <v>23</v>
      </c>
      <c r="NT5" s="101"/>
      <c r="NU5" s="183">
        <f>IFERROR((((COUNTIF('Elève (6ème3)'!NR5:NT5,"A"))*4)+((COUNTIF('Elève (6ème3)'!NR5:NT5,"B"))*3)+((COUNTIF('Elève (6ème3)'!NR5:NT5,"C"))*2)+((COUNTIF('Elève (6ème3)'!NR5:NT5,"D"))*1))/(COUNTA(NR5:NT5)),"")</f>
        <v>4</v>
      </c>
      <c r="NV5" s="184" t="str">
        <f t="shared" si="89"/>
        <v>A</v>
      </c>
      <c r="NW5" s="99"/>
      <c r="NX5" s="100"/>
      <c r="NY5" s="101"/>
      <c r="NZ5" s="183" t="str">
        <f>IFERROR((((COUNTIF('Elève (6ème3)'!NW5:NY5,"A"))*4)+((COUNTIF('Elève (6ème3)'!NW5:NY5,"B"))*3)+((COUNTIF('Elève (6ème3)'!NW5:NY5,"C"))*2)+((COUNTIF('Elève (6ème3)'!NW5:NY5,"D"))*1))/(COUNTA(NW5:NY5)),"")</f>
        <v/>
      </c>
      <c r="OA5" s="184" t="str">
        <f t="shared" si="90"/>
        <v/>
      </c>
      <c r="OB5" s="183">
        <f>IF(COUNT(NP5,NU5,NZ5)=0,"",SUM(NP5,NU5,NZ5)/COUNT(NP5,NU5,NZ5))</f>
        <v>4</v>
      </c>
      <c r="OC5" s="207" t="str">
        <f t="shared" si="91"/>
        <v>A</v>
      </c>
      <c r="OD5" s="105"/>
      <c r="OE5" s="100"/>
      <c r="OF5" s="101"/>
      <c r="OG5" s="183" t="str">
        <f>IFERROR((((COUNTIF('Elève (6ème3)'!OD5:OF5,"A"))*4)+((COUNTIF('Elève (6ème3)'!OD5:OF5,"B"))*3)+((COUNTIF('Elève (6ème3)'!OD5:OF5,"C"))*2)+((COUNTIF('Elève (6ème3)'!OD5:OF5,"D"))*1))/(COUNTA(OD5:OF5)),"")</f>
        <v/>
      </c>
      <c r="OH5" s="184" t="str">
        <f t="shared" si="92"/>
        <v/>
      </c>
      <c r="OI5" s="99"/>
      <c r="OJ5" s="100" t="s">
        <v>23</v>
      </c>
      <c r="OK5" s="101"/>
      <c r="OL5" s="183">
        <f>IFERROR((((COUNTIF('Elève (6ème3)'!OI5:OK5,"A"))*4)+((COUNTIF('Elève (6ème3)'!OI5:OK5,"B"))*3)+((COUNTIF('Elève (6ème3)'!OI5:OK5,"C"))*2)+((COUNTIF('Elève (6ème3)'!OI5:OK5,"D"))*1))/(COUNTA(OI5:OK5)),"")</f>
        <v>4</v>
      </c>
      <c r="OM5" s="184" t="str">
        <f t="shared" si="93"/>
        <v>A</v>
      </c>
      <c r="ON5" s="99"/>
      <c r="OO5" s="100"/>
      <c r="OP5" s="101"/>
      <c r="OQ5" s="183" t="str">
        <f>IFERROR((((COUNTIF('Elève (6ème3)'!ON5:OP5,"A"))*4)+((COUNTIF('Elève (6ème3)'!ON5:OP5,"B"))*3)+((COUNTIF('Elève (6ème3)'!ON5:OP5,"C"))*2)+((COUNTIF('Elève (6ème3)'!ON5:OP5,"D"))*1))/(COUNTA(ON5:OP5)),"")</f>
        <v/>
      </c>
      <c r="OR5" s="184" t="str">
        <f t="shared" si="94"/>
        <v/>
      </c>
      <c r="OS5" s="183">
        <f>IF(COUNT(OG5,OL5,OQ5)=0,"",SUM(OG5,OL5,OQ5)/COUNT(OG5,OL5,OQ5))</f>
        <v>4</v>
      </c>
      <c r="OT5" s="207" t="str">
        <f t="shared" si="95"/>
        <v>A</v>
      </c>
      <c r="OU5" s="105"/>
      <c r="OV5" s="100"/>
      <c r="OW5" s="101"/>
      <c r="OX5" s="183" t="str">
        <f>IFERROR((((COUNTIF('Elève (6ème3)'!OU5:OW5,"A"))*4)+((COUNTIF('Elève (6ème3)'!OU5:OW5,"B"))*3)+((COUNTIF('Elève (6ème3)'!OU5:OW5,"C"))*2)+((COUNTIF('Elève (6ème3)'!OU5:OW5,"D"))*1))/(COUNTA(OU5:OW5)),"")</f>
        <v/>
      </c>
      <c r="OY5" s="184" t="str">
        <f t="shared" si="96"/>
        <v/>
      </c>
      <c r="OZ5" s="99"/>
      <c r="PA5" s="100" t="s">
        <v>23</v>
      </c>
      <c r="PB5" s="101"/>
      <c r="PC5" s="183">
        <f>IFERROR((((COUNTIF('Elève (6ème3)'!OZ5:PB5,"A"))*4)+((COUNTIF('Elève (6ème3)'!OZ5:PB5,"B"))*3)+((COUNTIF('Elève (6ème3)'!OZ5:PB5,"C"))*2)+((COUNTIF('Elève (6ème3)'!OZ5:PB5,"D"))*1))/(COUNTA(OZ5:PB5)),"")</f>
        <v>4</v>
      </c>
      <c r="PD5" s="184" t="str">
        <f t="shared" si="97"/>
        <v>A</v>
      </c>
      <c r="PE5" s="99"/>
      <c r="PF5" s="100"/>
      <c r="PG5" s="101"/>
      <c r="PH5" s="183" t="str">
        <f>IFERROR((((COUNTIF('Elève (6ème3)'!PE5:PG5,"A"))*4)+((COUNTIF('Elève (6ème3)'!PE5:PG5,"B"))*3)+((COUNTIF('Elève (6ème3)'!PE5:PG5,"C"))*2)+((COUNTIF('Elève (6ème3)'!PE5:PG5,"D"))*1))/(COUNTA(PE5:PG5)),"")</f>
        <v/>
      </c>
      <c r="PI5" s="184" t="str">
        <f t="shared" si="98"/>
        <v/>
      </c>
      <c r="PJ5" s="183">
        <f>IF(COUNT(OX5,PC5,PH5)=0,"",SUM(OX5,PC5,PH5)/COUNT(OX5,PC5,PH5))</f>
        <v>4</v>
      </c>
      <c r="PK5" s="207" t="str">
        <f t="shared" si="99"/>
        <v>A</v>
      </c>
      <c r="PL5" s="105"/>
      <c r="PM5" s="100"/>
      <c r="PN5" s="101"/>
      <c r="PO5" s="183" t="str">
        <f>IFERROR((((COUNTIF('Elève (6ème3)'!PL5:PN5,"A"))*4)+((COUNTIF('Elève (6ème3)'!PL5:PN5,"B"))*3)+((COUNTIF('Elève (6ème3)'!PL5:PN5,"C"))*2)+((COUNTIF('Elève (6ème3)'!PL5:PN5,"D"))*1))/(COUNTA(PL5:PN5)),"")</f>
        <v/>
      </c>
      <c r="PP5" s="184" t="str">
        <f t="shared" si="100"/>
        <v/>
      </c>
      <c r="PQ5" s="99"/>
      <c r="PR5" s="100" t="s">
        <v>24</v>
      </c>
      <c r="PS5" s="101"/>
      <c r="PT5" s="183">
        <f>IFERROR((((COUNTIF('Elève (6ème3)'!PQ5:PS5,"A"))*4)+((COUNTIF('Elève (6ème3)'!PQ5:PS5,"B"))*3)+((COUNTIF('Elève (6ème3)'!PQ5:PS5,"C"))*2)+((COUNTIF('Elève (6ème3)'!PQ5:PS5,"D"))*1))/(COUNTA(PQ5:PS5)),"")</f>
        <v>3</v>
      </c>
      <c r="PU5" s="184" t="str">
        <f t="shared" si="101"/>
        <v>B</v>
      </c>
      <c r="PV5" s="99"/>
      <c r="PW5" s="100"/>
      <c r="PX5" s="101"/>
      <c r="PY5" s="183" t="str">
        <f>IFERROR((((COUNTIF('Elève (6ème3)'!PV5:PX5,"A"))*4)+((COUNTIF('Elève (6ème3)'!PV5:PX5,"B"))*3)+((COUNTIF('Elève (6ème3)'!PV5:PX5,"C"))*2)+((COUNTIF('Elève (6ème3)'!PV5:PX5,"D"))*1))/(COUNTA(PV5:PX5)),"")</f>
        <v/>
      </c>
      <c r="PZ5" s="184" t="str">
        <f t="shared" si="102"/>
        <v/>
      </c>
      <c r="QA5" s="183">
        <f>IF(COUNT(PO5,PT5,PY5)=0,"",SUM(PO5,PT5,PY5)/COUNT(PO5,PT5,PY5))</f>
        <v>3</v>
      </c>
      <c r="QB5" s="207" t="str">
        <f t="shared" si="103"/>
        <v>B</v>
      </c>
      <c r="QC5" s="105"/>
      <c r="QD5" s="100"/>
      <c r="QE5" s="101"/>
      <c r="QF5" s="183" t="str">
        <f>IFERROR((((COUNTIF('Elève (6ème3)'!QC5:QE5,"A"))*4)+((COUNTIF('Elève (6ème3)'!QC5:QE5,"B"))*3)+((COUNTIF('Elève (6ème3)'!QC5:QE5,"C"))*2)+((COUNTIF('Elève (6ème3)'!QC5:QE5,"D"))*1))/(COUNTA(QC5:QE5)),"")</f>
        <v/>
      </c>
      <c r="QG5" s="184" t="str">
        <f t="shared" si="104"/>
        <v/>
      </c>
      <c r="QH5" s="99"/>
      <c r="QI5" s="100" t="s">
        <v>24</v>
      </c>
      <c r="QJ5" s="101"/>
      <c r="QK5" s="183">
        <f>IFERROR((((COUNTIF('Elève (6ème3)'!QH5:QJ5,"A"))*4)+((COUNTIF('Elève (6ème3)'!QH5:QJ5,"B"))*3)+((COUNTIF('Elève (6ème3)'!QH5:QJ5,"C"))*2)+((COUNTIF('Elève (6ème3)'!QH5:QJ5,"D"))*1))/(COUNTA(QH5:QJ5)),"")</f>
        <v>3</v>
      </c>
      <c r="QL5" s="184" t="str">
        <f t="shared" si="105"/>
        <v>B</v>
      </c>
      <c r="QM5" s="99"/>
      <c r="QN5" s="100"/>
      <c r="QO5" s="101"/>
      <c r="QP5" s="183" t="str">
        <f>IFERROR((((COUNTIF('Elève (6ème3)'!QM5:QO5,"A"))*4)+((COUNTIF('Elève (6ème3)'!QM5:QO5,"B"))*3)+((COUNTIF('Elève (6ème3)'!QM5:QO5,"C"))*2)+((COUNTIF('Elève (6ème3)'!QM5:QO5,"D"))*1))/(COUNTA(QM5:QO5)),"")</f>
        <v/>
      </c>
      <c r="QQ5" s="184" t="str">
        <f t="shared" si="106"/>
        <v/>
      </c>
      <c r="QR5" s="183">
        <f>IF(COUNT(QF5,QK5,QP5)=0,"",SUM(QF5,QK5,QP5)/COUNT(QF5,QK5,QP5))</f>
        <v>3</v>
      </c>
      <c r="QS5" s="207" t="str">
        <f t="shared" si="107"/>
        <v>B</v>
      </c>
      <c r="QT5" s="105"/>
      <c r="QU5" s="100"/>
      <c r="QV5" s="101"/>
      <c r="QW5" s="102" t="str">
        <f>IFERROR((((COUNTIF('Elève (6ème3)'!QT5:QV5,"A"))*4)+((COUNTIF('Elève (6ème3)'!QT5:QV5,"B"))*3)+((COUNTIF('Elève (6ème3)'!QT5:QV5,"C"))*2)+((COUNTIF('Elève (6ème3)'!QT5:QV5,"D"))*1))/(COUNTA(QT5:QV5)),"")</f>
        <v/>
      </c>
      <c r="QX5" s="103" t="str">
        <f t="shared" si="108"/>
        <v/>
      </c>
      <c r="QY5" s="99"/>
      <c r="QZ5" s="100"/>
      <c r="RA5" s="101"/>
      <c r="RB5" s="102" t="str">
        <f>IFERROR((((COUNTIF('Elève (6ème3)'!QY5:RA5,"A"))*4)+((COUNTIF('Elève (6ème3)'!QY5:RA5,"B"))*3)+((COUNTIF('Elève (6ème3)'!QY5:RA5,"C"))*2)+((COUNTIF('Elève (6ème3)'!QY5:RA5,"D"))*1))/(COUNTA(QY5:RA5)),"")</f>
        <v/>
      </c>
      <c r="RC5" s="103" t="str">
        <f t="shared" si="109"/>
        <v/>
      </c>
      <c r="RD5" s="99"/>
      <c r="RE5" s="100"/>
      <c r="RF5" s="101"/>
      <c r="RG5" s="102" t="str">
        <f>IFERROR((((COUNTIF('Elève (6ème3)'!RD5:RF5,"A"))*4)+((COUNTIF('Elève (6ème3)'!RD5:RF5,"B"))*3)+((COUNTIF('Elève (6ème3)'!RD5:RF5,"C"))*2)+((COUNTIF('Elève (6ème3)'!RD5:RF5,"D"))*1))/(COUNTA(RD5:RF5)),"")</f>
        <v/>
      </c>
      <c r="RH5" s="103" t="str">
        <f t="shared" si="110"/>
        <v/>
      </c>
      <c r="RI5" s="102" t="str">
        <f>IF(COUNT(QW5,RB5,RG5)=0,"",SUM(QW5,RB5,RG5)/COUNT(QW5,RB5,RG5))</f>
        <v/>
      </c>
      <c r="RJ5" s="104" t="str">
        <f t="shared" si="111"/>
        <v/>
      </c>
      <c r="RK5" s="105"/>
      <c r="RL5" s="100"/>
      <c r="RM5" s="101"/>
      <c r="RN5" s="102" t="str">
        <f>IFERROR((((COUNTIF('Elève (6ème3)'!RK5:RM5,"A"))*4)+((COUNTIF('Elève (6ème3)'!RK5:RM5,"B"))*3)+((COUNTIF('Elève (6ème3)'!RK5:RM5,"C"))*2)+((COUNTIF('Elève (6ème3)'!RK5:RM5,"D"))*1))/(COUNTA(RK5:RM5)),"")</f>
        <v/>
      </c>
      <c r="RO5" s="103" t="str">
        <f t="shared" si="112"/>
        <v/>
      </c>
      <c r="RP5" s="99"/>
      <c r="RQ5" s="100"/>
      <c r="RR5" s="101"/>
      <c r="RS5" s="102" t="str">
        <f>IFERROR((((COUNTIF('Elève (6ème3)'!RP5:RR5,"A"))*4)+((COUNTIF('Elève (6ème3)'!RP5:RR5,"B"))*3)+((COUNTIF('Elève (6ème3)'!RP5:RR5,"C"))*2)+((COUNTIF('Elève (6ème3)'!RP5:RR5,"D"))*1))/(COUNTA(RP5:RR5)),"")</f>
        <v/>
      </c>
      <c r="RT5" s="103" t="str">
        <f t="shared" si="113"/>
        <v/>
      </c>
      <c r="RU5" s="99"/>
      <c r="RV5" s="100"/>
      <c r="RW5" s="101"/>
      <c r="RX5" s="102" t="str">
        <f>IFERROR((((COUNTIF('Elève (6ème3)'!RU5:RW5,"A"))*4)+((COUNTIF('Elève (6ème3)'!RU5:RW5,"B"))*3)+((COUNTIF('Elève (6ème3)'!RU5:RW5,"C"))*2)+((COUNTIF('Elève (6ème3)'!RU5:RW5,"D"))*1))/(COUNTA(RU5:RW5)),"")</f>
        <v/>
      </c>
      <c r="RY5" s="103" t="str">
        <f t="shared" si="114"/>
        <v/>
      </c>
      <c r="RZ5" s="102" t="str">
        <f>IF(COUNT(RN5,RS5,RX5)=0,"",SUM(RN5,RS5,RX5)/COUNT(RN5,RS5,RX5))</f>
        <v/>
      </c>
      <c r="SA5" s="104" t="str">
        <f t="shared" si="115"/>
        <v/>
      </c>
      <c r="SB5" s="105"/>
      <c r="SC5" s="100"/>
      <c r="SD5" s="101"/>
      <c r="SE5" s="102" t="str">
        <f>IFERROR((((COUNTIF('Elève (6ème3)'!SB5:SD5,"A"))*4)+((COUNTIF('Elève (6ème3)'!SB5:SD5,"B"))*3)+((COUNTIF('Elève (6ème3)'!SB5:SD5,"C"))*2)+((COUNTIF('Elève (6ème3)'!SB5:SD5,"D"))*1))/(COUNTA(SB5:SD5)),"")</f>
        <v/>
      </c>
      <c r="SF5" s="103" t="str">
        <f t="shared" si="116"/>
        <v/>
      </c>
      <c r="SG5" s="99"/>
      <c r="SH5" s="100"/>
      <c r="SI5" s="101"/>
      <c r="SJ5" s="102" t="str">
        <f>IFERROR((((COUNTIF('Elève (6ème3)'!SG5:SI5,"A"))*4)+((COUNTIF('Elève (6ème3)'!SG5:SI5,"B"))*3)+((COUNTIF('Elève (6ème3)'!SG5:SI5,"C"))*2)+((COUNTIF('Elève (6ème3)'!SG5:SI5,"D"))*1))/(COUNTA(SG5:SI5)),"")</f>
        <v/>
      </c>
      <c r="SK5" s="103" t="str">
        <f t="shared" si="117"/>
        <v/>
      </c>
      <c r="SL5" s="99"/>
      <c r="SM5" s="100"/>
      <c r="SN5" s="101"/>
      <c r="SO5" s="102" t="str">
        <f>IFERROR((((COUNTIF('Elève (6ème3)'!SL5:SN5,"A"))*4)+((COUNTIF('Elève (6ème3)'!SL5:SN5,"B"))*3)+((COUNTIF('Elève (6ème3)'!SL5:SN5,"C"))*2)+((COUNTIF('Elève (6ème3)'!SL5:SN5,"D"))*1))/(COUNTA(SL5:SN5)),"")</f>
        <v/>
      </c>
      <c r="SP5" s="103" t="str">
        <f t="shared" si="118"/>
        <v/>
      </c>
      <c r="SQ5" s="102" t="str">
        <f>IF(COUNT(SE5,SJ5,SO5)=0,"",SUM(SE5,SJ5,SO5)/COUNT(SE5,SJ5,SO5))</f>
        <v/>
      </c>
      <c r="SR5" s="104" t="str">
        <f t="shared" si="119"/>
        <v/>
      </c>
      <c r="SS5" s="105"/>
      <c r="ST5" s="100"/>
      <c r="SU5" s="101"/>
      <c r="SV5" s="102" t="str">
        <f>IFERROR((((COUNTIF('Elève (6ème3)'!SS5:SU5,"A"))*4)+((COUNTIF('Elève (6ème3)'!SS5:SU5,"B"))*3)+((COUNTIF('Elève (6ème3)'!SS5:SU5,"C"))*2)+((COUNTIF('Elève (6ème3)'!SS5:SU5,"D"))*1))/(COUNTA(SS5:SU5)),"")</f>
        <v/>
      </c>
      <c r="SW5" s="103" t="str">
        <f t="shared" si="120"/>
        <v/>
      </c>
      <c r="SX5" s="99"/>
      <c r="SY5" s="100"/>
      <c r="SZ5" s="101"/>
      <c r="TA5" s="102" t="str">
        <f>IFERROR((((COUNTIF('Elève (6ème3)'!SX5:SZ5,"A"))*4)+((COUNTIF('Elève (6ème3)'!SX5:SZ5,"B"))*3)+((COUNTIF('Elève (6ème3)'!SX5:SZ5,"C"))*2)+((COUNTIF('Elève (6ème3)'!SX5:SZ5,"D"))*1))/(COUNTA(SX5:SZ5)),"")</f>
        <v/>
      </c>
      <c r="TB5" s="103" t="str">
        <f t="shared" si="121"/>
        <v/>
      </c>
      <c r="TC5" s="99"/>
      <c r="TD5" s="100"/>
      <c r="TE5" s="101"/>
      <c r="TF5" s="102" t="str">
        <f>IFERROR((((COUNTIF('Elève (6ème3)'!TC5:TE5,"A"))*4)+((COUNTIF('Elève (6ème3)'!TC5:TE5,"B"))*3)+((COUNTIF('Elève (6ème3)'!TC5:TE5,"C"))*2)+((COUNTIF('Elève (6ème3)'!TC5:TE5,"D"))*1))/(COUNTA(TC5:TE5)),"")</f>
        <v/>
      </c>
      <c r="TG5" s="103" t="str">
        <f t="shared" si="122"/>
        <v/>
      </c>
      <c r="TH5" s="102" t="str">
        <f>IF(COUNT(SV5,TA5,TF5)=0,"",SUM(SV5,TA5,TF5)/COUNT(SV5,TA5,TF5))</f>
        <v/>
      </c>
      <c r="TI5" s="104" t="str">
        <f t="shared" si="123"/>
        <v/>
      </c>
      <c r="TJ5" s="105"/>
      <c r="TK5" s="100"/>
      <c r="TL5" s="101"/>
      <c r="TM5" s="102" t="str">
        <f>IFERROR((((COUNTIF('Elève (6ème3)'!TJ5:TL5,"A"))*4)+((COUNTIF('Elève (6ème3)'!TJ5:TL5,"B"))*3)+((COUNTIF('Elève (6ème3)'!TJ5:TL5,"C"))*2)+((COUNTIF('Elève (6ème3)'!TJ5:TL5,"D"))*1))/(COUNTA(TJ5:TL5)),"")</f>
        <v/>
      </c>
      <c r="TN5" s="103" t="str">
        <f t="shared" si="124"/>
        <v/>
      </c>
      <c r="TO5" s="99"/>
      <c r="TP5" s="100"/>
      <c r="TQ5" s="101"/>
      <c r="TR5" s="102" t="str">
        <f>IFERROR((((COUNTIF('Elève (6ème3)'!TO5:TQ5,"A"))*4)+((COUNTIF('Elève (6ème3)'!TO5:TQ5,"B"))*3)+((COUNTIF('Elève (6ème3)'!TO5:TQ5,"C"))*2)+((COUNTIF('Elève (6ème3)'!TO5:TQ5,"D"))*1))/(COUNTA(TO5:TQ5)),"")</f>
        <v/>
      </c>
      <c r="TS5" s="103" t="str">
        <f t="shared" si="125"/>
        <v/>
      </c>
      <c r="TT5" s="99"/>
      <c r="TU5" s="100"/>
      <c r="TV5" s="101"/>
      <c r="TW5" s="102" t="str">
        <f>IFERROR((((COUNTIF('Elève (6ème3)'!TT5:TV5,"A"))*4)+((COUNTIF('Elève (6ème3)'!TT5:TV5,"B"))*3)+((COUNTIF('Elève (6ème3)'!TT5:TV5,"C"))*2)+((COUNTIF('Elève (6ème3)'!TT5:TV5,"D"))*1))/(COUNTA(TT5:TV5)),"")</f>
        <v/>
      </c>
      <c r="TX5" s="103" t="str">
        <f t="shared" si="126"/>
        <v/>
      </c>
      <c r="TY5" s="102" t="str">
        <f>IF(COUNT(TM5,TR5,TW5)=0,"",SUM(TM5,TR5,TW5)/COUNT(TM5,TR5,TW5))</f>
        <v/>
      </c>
      <c r="TZ5" s="104" t="str">
        <f t="shared" si="127"/>
        <v/>
      </c>
    </row>
    <row r="6" spans="1:546" ht="15.75" thickBot="1" x14ac:dyDescent="0.3">
      <c r="A6" s="242" t="s">
        <v>13</v>
      </c>
      <c r="B6" s="243"/>
      <c r="C6" s="106"/>
      <c r="D6" s="107"/>
      <c r="E6" s="108"/>
      <c r="F6" s="185" t="str">
        <f>IFERROR((((COUNTIF('Elève (6ème3)'!C6:E6,"A"))*4)+((COUNTIF('Elève (6ème3)'!C6:E6,"B"))*3)+((COUNTIF('Elève (6ème3)'!C6:E6,"C"))*2)+((COUNTIF('Elève (6ème3)'!C6:E6,"D"))*1))/(COUNTA(C6:E6)),"")</f>
        <v/>
      </c>
      <c r="G6" s="186" t="str">
        <f t="shared" si="0"/>
        <v/>
      </c>
      <c r="H6" s="106" t="s">
        <v>24</v>
      </c>
      <c r="I6" s="107"/>
      <c r="J6" s="108"/>
      <c r="K6" s="185">
        <f>IFERROR((((COUNTIF('Elève (6ème3)'!H6:J6,"A"))*4)+((COUNTIF('Elève (6ème3)'!H6:J6,"B"))*3)+((COUNTIF('Elève (6ème3)'!H6:J6,"C"))*2)+((COUNTIF('Elève (6ème3)'!H6:J6,"D"))*1))/(COUNTA(H6:J6)),"")</f>
        <v>3</v>
      </c>
      <c r="L6" s="186" t="str">
        <f t="shared" si="1"/>
        <v>B</v>
      </c>
      <c r="M6" s="106"/>
      <c r="N6" s="107" t="s">
        <v>23</v>
      </c>
      <c r="O6" s="108"/>
      <c r="P6" s="185">
        <f>IFERROR((((COUNTIF('Elève (6ème3)'!M6:O6,"A"))*4)+((COUNTIF('Elève (6ème3)'!M6:O6,"B"))*3)+((COUNTIF('Elève (6ème3)'!M6:O6,"C"))*2)+((COUNTIF('Elève (6ème3)'!M6:O6,"D"))*1))/(COUNTA(M6:O6)),"")</f>
        <v>4</v>
      </c>
      <c r="Q6" s="186" t="str">
        <f t="shared" si="2"/>
        <v>A</v>
      </c>
      <c r="R6" s="185">
        <f>IF(COUNT(F6,K6,P6)=0,"",SUM(F6,K6,P6)/COUNT(F6,K6,P6))</f>
        <v>3.5</v>
      </c>
      <c r="S6" s="208" t="str">
        <f t="shared" si="3"/>
        <v>B</v>
      </c>
      <c r="T6" s="112"/>
      <c r="U6" s="107"/>
      <c r="V6" s="108"/>
      <c r="W6" s="185" t="str">
        <f>IFERROR((((COUNTIF('Elève (6ème3)'!T6:V6,"A"))*4)+((COUNTIF('Elève (6ème3)'!T6:V6,"B"))*3)+((COUNTIF('Elève (6ème3)'!T6:V6,"C"))*2)+((COUNTIF('Elève (6ème3)'!T6:V6,"D"))*1))/(COUNTA(T6:V6)),"")</f>
        <v/>
      </c>
      <c r="X6" s="186" t="str">
        <f t="shared" si="4"/>
        <v/>
      </c>
      <c r="Y6" s="106" t="s">
        <v>23</v>
      </c>
      <c r="Z6" s="107"/>
      <c r="AA6" s="108"/>
      <c r="AB6" s="185">
        <f>IFERROR((((COUNTIF('Elève (6ème3)'!Y6:AA6,"A"))*4)+((COUNTIF('Elève (6ème3)'!Y6:AA6,"B"))*3)+((COUNTIF('Elève (6ème3)'!Y6:AA6,"C"))*2)+((COUNTIF('Elève (6ème3)'!Y6:AA6,"D"))*1))/(COUNTA(Y6:AA6)),"")</f>
        <v>4</v>
      </c>
      <c r="AC6" s="186" t="str">
        <f t="shared" si="5"/>
        <v>A</v>
      </c>
      <c r="AD6" s="106"/>
      <c r="AE6" s="107" t="s">
        <v>23</v>
      </c>
      <c r="AF6" s="108"/>
      <c r="AG6" s="185">
        <f>IFERROR((((COUNTIF('Elève (6ème3)'!AD6:AF6,"A"))*4)+((COUNTIF('Elève (6ème3)'!AD6:AF6,"B"))*3)+((COUNTIF('Elève (6ème3)'!AD6:AF6,"C"))*2)+((COUNTIF('Elève (6ème3)'!AD6:AF6,"D"))*1))/(COUNTA(AD6:AF6)),"")</f>
        <v>4</v>
      </c>
      <c r="AH6" s="186" t="str">
        <f t="shared" si="6"/>
        <v>A</v>
      </c>
      <c r="AI6" s="185">
        <f>IF(COUNT(W6,AB6,AG6)=0,"",SUM(W6,AB6,AG6)/COUNT(W6,AB6,AG6))</f>
        <v>4</v>
      </c>
      <c r="AJ6" s="208" t="str">
        <f t="shared" si="7"/>
        <v>A</v>
      </c>
      <c r="AK6" s="112"/>
      <c r="AL6" s="107"/>
      <c r="AM6" s="108"/>
      <c r="AN6" s="185" t="str">
        <f>IFERROR((((COUNTIF('Elève (6ème3)'!AK6:AM6,"A"))*4)+((COUNTIF('Elève (6ème3)'!AK6:AM6,"B"))*3)+((COUNTIF('Elève (6ème3)'!AK6:AM6,"C"))*2)+((COUNTIF('Elève (6ème3)'!AK6:AM6,"D"))*1))/(COUNTA(AK6:AM6)),"")</f>
        <v/>
      </c>
      <c r="AO6" s="186" t="str">
        <f t="shared" si="8"/>
        <v/>
      </c>
      <c r="AP6" s="106" t="s">
        <v>23</v>
      </c>
      <c r="AQ6" s="107"/>
      <c r="AR6" s="108"/>
      <c r="AS6" s="185">
        <f>IFERROR((((COUNTIF('Elève (6ème3)'!AP6:AR6,"A"))*4)+((COUNTIF('Elève (6ème3)'!AP6:AR6,"B"))*3)+((COUNTIF('Elève (6ème3)'!AP6:AR6,"C"))*2)+((COUNTIF('Elève (6ème3)'!AP6:AR6,"D"))*1))/(COUNTA(AP6:AR6)),"")</f>
        <v>4</v>
      </c>
      <c r="AT6" s="186" t="str">
        <f t="shared" si="9"/>
        <v>A</v>
      </c>
      <c r="AU6" s="106"/>
      <c r="AV6" s="107" t="s">
        <v>23</v>
      </c>
      <c r="AW6" s="108"/>
      <c r="AX6" s="185">
        <f>IFERROR((((COUNTIF('Elève (6ème3)'!AU6:AW6,"A"))*4)+((COUNTIF('Elève (6ème3)'!AU6:AW6,"B"))*3)+((COUNTIF('Elève (6ème3)'!AU6:AW6,"C"))*2)+((COUNTIF('Elève (6ème3)'!AU6:AW6,"D"))*1))/(COUNTA(AU6:AW6)),"")</f>
        <v>4</v>
      </c>
      <c r="AY6" s="186" t="str">
        <f t="shared" si="10"/>
        <v>A</v>
      </c>
      <c r="AZ6" s="185">
        <f>IF(COUNT(AN6,AS6,AX6)=0,"",SUM(AN6,AS6,AX6)/COUNT(AN6,AS6,AX6))</f>
        <v>4</v>
      </c>
      <c r="BA6" s="208" t="str">
        <f t="shared" si="11"/>
        <v>A</v>
      </c>
      <c r="BB6" s="112"/>
      <c r="BC6" s="107"/>
      <c r="BD6" s="108"/>
      <c r="BE6" s="185" t="str">
        <f>IFERROR((((COUNTIF('Elève (6ème3)'!BB6:BD6,"A"))*4)+((COUNTIF('Elève (6ème3)'!BB6:BD6,"B"))*3)+((COUNTIF('Elève (6ème3)'!BB6:BD6,"C"))*2)+((COUNTIF('Elève (6ème3)'!BB6:BD6,"D"))*1))/(COUNTA(BB6:BD6)),"")</f>
        <v/>
      </c>
      <c r="BF6" s="186" t="str">
        <f t="shared" si="12"/>
        <v/>
      </c>
      <c r="BG6" s="106" t="s">
        <v>24</v>
      </c>
      <c r="BH6" s="107"/>
      <c r="BI6" s="108"/>
      <c r="BJ6" s="185">
        <f>IFERROR((((COUNTIF('Elève (6ème3)'!BG6:BI6,"A"))*4)+((COUNTIF('Elève (6ème3)'!BG6:BI6,"B"))*3)+((COUNTIF('Elève (6ème3)'!BG6:BI6,"C"))*2)+((COUNTIF('Elève (6ème3)'!BG6:BI6,"D"))*1))/(COUNTA(BG6:BI6)),"")</f>
        <v>3</v>
      </c>
      <c r="BK6" s="186" t="str">
        <f t="shared" si="13"/>
        <v>B</v>
      </c>
      <c r="BL6" s="106"/>
      <c r="BM6" s="107" t="s">
        <v>25</v>
      </c>
      <c r="BN6" s="108"/>
      <c r="BO6" s="185">
        <f>IFERROR((((COUNTIF('Elève (6ème3)'!BL6:BN6,"A"))*4)+((COUNTIF('Elève (6ème3)'!BL6:BN6,"B"))*3)+((COUNTIF('Elève (6ème3)'!BL6:BN6,"C"))*2)+((COUNTIF('Elève (6ème3)'!BL6:BN6,"D"))*1))/(COUNTA(BL6:BN6)),"")</f>
        <v>2</v>
      </c>
      <c r="BP6" s="186" t="str">
        <f t="shared" si="14"/>
        <v>C</v>
      </c>
      <c r="BQ6" s="185">
        <f>IF(COUNT(BE6,BJ6,BO6)=0,"",SUM(BE6,BJ6,BO6)/COUNT(BE6,BJ6,BO6))</f>
        <v>2.5</v>
      </c>
      <c r="BR6" s="208" t="str">
        <f t="shared" si="15"/>
        <v>C</v>
      </c>
      <c r="BS6" s="112"/>
      <c r="BT6" s="107"/>
      <c r="BU6" s="108"/>
      <c r="BV6" s="185" t="str">
        <f>IFERROR((((COUNTIF('Elève (6ème3)'!BS6:BU6,"A"))*4)+((COUNTIF('Elève (6ème3)'!BS6:BU6,"B"))*3)+((COUNTIF('Elève (6ème3)'!BS6:BU6,"C"))*2)+((COUNTIF('Elève (6ème3)'!BS6:BU6,"D"))*1))/(COUNTA(BS6:BU6)),"")</f>
        <v/>
      </c>
      <c r="BW6" s="186" t="str">
        <f t="shared" si="16"/>
        <v/>
      </c>
      <c r="BX6" s="106" t="s">
        <v>23</v>
      </c>
      <c r="BY6" s="107"/>
      <c r="BZ6" s="108"/>
      <c r="CA6" s="185">
        <f>IFERROR((((COUNTIF('Elève (6ème3)'!BX6:BZ6,"A"))*4)+((COUNTIF('Elève (6ème3)'!BX6:BZ6,"B"))*3)+((COUNTIF('Elève (6ème3)'!BX6:BZ6,"C"))*2)+((COUNTIF('Elève (6ème3)'!BX6:BZ6,"D"))*1))/(COUNTA(BX6:BZ6)),"")</f>
        <v>4</v>
      </c>
      <c r="CB6" s="186" t="str">
        <f t="shared" si="17"/>
        <v>A</v>
      </c>
      <c r="CC6" s="106"/>
      <c r="CD6" s="107" t="s">
        <v>24</v>
      </c>
      <c r="CE6" s="108"/>
      <c r="CF6" s="185">
        <f>IFERROR((((COUNTIF('Elève (6ème3)'!CC6:CE6,"A"))*4)+((COUNTIF('Elève (6ème3)'!CC6:CE6,"B"))*3)+((COUNTIF('Elève (6ème3)'!CC6:CE6,"C"))*2)+((COUNTIF('Elève (6ème3)'!CC6:CE6,"D"))*1))/(COUNTA(CC6:CE6)),"")</f>
        <v>3</v>
      </c>
      <c r="CG6" s="186" t="str">
        <f t="shared" si="18"/>
        <v>B</v>
      </c>
      <c r="CH6" s="185">
        <f>IF(COUNT(BV6,CA6,CF6)=0,"",SUM(BV6,CA6,CF6)/COUNT(BV6,CA6,CF6))</f>
        <v>3.5</v>
      </c>
      <c r="CI6" s="208" t="str">
        <f t="shared" si="19"/>
        <v>B</v>
      </c>
      <c r="CJ6" s="112"/>
      <c r="CK6" s="107"/>
      <c r="CL6" s="108"/>
      <c r="CM6" s="185" t="str">
        <f>IFERROR((((COUNTIF('Elève (6ème3)'!CJ6:CL6,"A"))*4)+((COUNTIF('Elève (6ème3)'!CJ6:CL6,"B"))*3)+((COUNTIF('Elève (6ème3)'!CJ6:CL6,"C"))*2)+((COUNTIF('Elève (6ème3)'!CJ6:CL6,"D"))*1))/(COUNTA(CJ6:CL6)),"")</f>
        <v/>
      </c>
      <c r="CN6" s="186" t="str">
        <f t="shared" si="20"/>
        <v/>
      </c>
      <c r="CO6" s="106" t="s">
        <v>25</v>
      </c>
      <c r="CP6" s="107"/>
      <c r="CQ6" s="108"/>
      <c r="CR6" s="185">
        <f>IFERROR((((COUNTIF('Elève (6ème3)'!CO6:CQ6,"A"))*4)+((COUNTIF('Elève (6ème3)'!CO6:CQ6,"B"))*3)+((COUNTIF('Elève (6ème3)'!CO6:CQ6,"C"))*2)+((COUNTIF('Elève (6ème3)'!CO6:CQ6,"D"))*1))/(COUNTA(CO6:CQ6)),"")</f>
        <v>2</v>
      </c>
      <c r="CS6" s="186" t="str">
        <f t="shared" si="21"/>
        <v>C</v>
      </c>
      <c r="CT6" s="106"/>
      <c r="CU6" s="107" t="s">
        <v>26</v>
      </c>
      <c r="CV6" s="108"/>
      <c r="CW6" s="185">
        <f>IFERROR((((COUNTIF('Elève (6ème3)'!CT6:CV6,"A"))*4)+((COUNTIF('Elève (6ème3)'!CT6:CV6,"B"))*3)+((COUNTIF('Elève (6ème3)'!CT6:CV6,"C"))*2)+((COUNTIF('Elève (6ème3)'!CT6:CV6,"D"))*1))/(COUNTA(CT6:CV6)),"")</f>
        <v>1</v>
      </c>
      <c r="CX6" s="186" t="str">
        <f t="shared" si="22"/>
        <v>D</v>
      </c>
      <c r="CY6" s="185">
        <f>IF(COUNT(CM6,CR6,CW6)=0,"",SUM(CM6,CR6,CW6)/COUNT(CM6,CR6,CW6))</f>
        <v>1.5</v>
      </c>
      <c r="CZ6" s="208" t="str">
        <f t="shared" si="23"/>
        <v>D</v>
      </c>
      <c r="DA6" s="112"/>
      <c r="DB6" s="107"/>
      <c r="DC6" s="108"/>
      <c r="DD6" s="185" t="str">
        <f>IFERROR((((COUNTIF('Elève (6ème3)'!DA6:DC6,"A"))*4)+((COUNTIF('Elève (6ème3)'!DA6:DC6,"B"))*3)+((COUNTIF('Elève (6ème3)'!DA6:DC6,"C"))*2)+((COUNTIF('Elève (6ème3)'!DA6:DC6,"D"))*1))/(COUNTA(DA6:DC6)),"")</f>
        <v/>
      </c>
      <c r="DE6" s="186" t="str">
        <f t="shared" si="24"/>
        <v/>
      </c>
      <c r="DF6" s="106" t="s">
        <v>23</v>
      </c>
      <c r="DG6" s="107"/>
      <c r="DH6" s="108"/>
      <c r="DI6" s="185">
        <f>IFERROR((((COUNTIF('Elève (6ème3)'!DF6:DH6,"A"))*4)+((COUNTIF('Elève (6ème3)'!DF6:DH6,"B"))*3)+((COUNTIF('Elève (6ème3)'!DF6:DH6,"C"))*2)+((COUNTIF('Elève (6ème3)'!DF6:DH6,"D"))*1))/(COUNTA(DF6:DH6)),"")</f>
        <v>4</v>
      </c>
      <c r="DJ6" s="186" t="str">
        <f t="shared" si="25"/>
        <v>A</v>
      </c>
      <c r="DK6" s="106"/>
      <c r="DL6" s="107" t="s">
        <v>25</v>
      </c>
      <c r="DM6" s="108"/>
      <c r="DN6" s="185">
        <f>IFERROR((((COUNTIF('Elève (6ème3)'!DK6:DM6,"A"))*4)+((COUNTIF('Elève (6ème3)'!DK6:DM6,"B"))*3)+((COUNTIF('Elève (6ème3)'!DK6:DM6,"C"))*2)+((COUNTIF('Elève (6ème3)'!DK6:DM6,"D"))*1))/(COUNTA(DK6:DM6)),"")</f>
        <v>2</v>
      </c>
      <c r="DO6" s="186" t="str">
        <f t="shared" si="26"/>
        <v>C</v>
      </c>
      <c r="DP6" s="185">
        <f>IF(COUNT(DD6,DI6,DN6)=0,"",SUM(DD6,DI6,DN6)/COUNT(DD6,DI6,DN6))</f>
        <v>3</v>
      </c>
      <c r="DQ6" s="208" t="str">
        <f t="shared" si="27"/>
        <v>B</v>
      </c>
      <c r="DR6" s="112"/>
      <c r="DS6" s="107"/>
      <c r="DT6" s="108"/>
      <c r="DU6" s="185" t="str">
        <f>IFERROR((((COUNTIF('Elève (6ème3)'!DR6:DT6,"A"))*4)+((COUNTIF('Elève (6ème3)'!DR6:DT6,"B"))*3)+((COUNTIF('Elève (6ème3)'!DR6:DT6,"C"))*2)+((COUNTIF('Elève (6ème3)'!DR6:DT6,"D"))*1))/(COUNTA(DR6:DT6)),"")</f>
        <v/>
      </c>
      <c r="DV6" s="186" t="str">
        <f t="shared" si="28"/>
        <v/>
      </c>
      <c r="DW6" s="106" t="s">
        <v>23</v>
      </c>
      <c r="DX6" s="107"/>
      <c r="DY6" s="108"/>
      <c r="DZ6" s="185">
        <f>IFERROR((((COUNTIF('Elève (6ème3)'!DW6:DY6,"A"))*4)+((COUNTIF('Elève (6ème3)'!DW6:DY6,"B"))*3)+((COUNTIF('Elève (6ème3)'!DW6:DY6,"C"))*2)+((COUNTIF('Elève (6ème3)'!DW6:DY6,"D"))*1))/(COUNTA(DW6:DY6)),"")</f>
        <v>4</v>
      </c>
      <c r="EA6" s="186" t="str">
        <f t="shared" si="29"/>
        <v>A</v>
      </c>
      <c r="EB6" s="106"/>
      <c r="EC6" s="107" t="s">
        <v>23</v>
      </c>
      <c r="ED6" s="108"/>
      <c r="EE6" s="185">
        <f>IFERROR((((COUNTIF('Elève (6ème3)'!EB6:ED6,"A"))*4)+((COUNTIF('Elève (6ème3)'!EB6:ED6,"B"))*3)+((COUNTIF('Elève (6ème3)'!EB6:ED6,"C"))*2)+((COUNTIF('Elève (6ème3)'!EB6:ED6,"D"))*1))/(COUNTA(EB6:ED6)),"")</f>
        <v>4</v>
      </c>
      <c r="EF6" s="186" t="str">
        <f t="shared" si="30"/>
        <v>A</v>
      </c>
      <c r="EG6" s="185">
        <f>IF(COUNT(DU6,DZ6,EE6)=0,"",SUM(DU6,DZ6,EE6)/COUNT(DU6,DZ6,EE6))</f>
        <v>4</v>
      </c>
      <c r="EH6" s="208" t="str">
        <f t="shared" si="31"/>
        <v>A</v>
      </c>
      <c r="EI6" s="112"/>
      <c r="EJ6" s="107"/>
      <c r="EK6" s="108"/>
      <c r="EL6" s="185" t="str">
        <f>IFERROR((((COUNTIF('Elève (6ème3)'!EI6:EK6,"A"))*4)+((COUNTIF('Elève (6ème3)'!EI6:EK6,"B"))*3)+((COUNTIF('Elève (6ème3)'!EI6:EK6,"C"))*2)+((COUNTIF('Elève (6ème3)'!EI6:EK6,"D"))*1))/(COUNTA(EI6:EK6)),"")</f>
        <v/>
      </c>
      <c r="EM6" s="186" t="str">
        <f t="shared" si="32"/>
        <v/>
      </c>
      <c r="EN6" s="106" t="s">
        <v>24</v>
      </c>
      <c r="EO6" s="107"/>
      <c r="EP6" s="108"/>
      <c r="EQ6" s="185">
        <f>IFERROR((((COUNTIF('Elève (6ème3)'!EN6:EP6,"A"))*4)+((COUNTIF('Elève (6ème3)'!EN6:EP6,"B"))*3)+((COUNTIF('Elève (6ème3)'!EN6:EP6,"C"))*2)+((COUNTIF('Elève (6ème3)'!EN6:EP6,"D"))*1))/(COUNTA(EN6:EP6)),"")</f>
        <v>3</v>
      </c>
      <c r="ER6" s="186" t="str">
        <f t="shared" si="33"/>
        <v>B</v>
      </c>
      <c r="ES6" s="106"/>
      <c r="ET6" s="107" t="s">
        <v>23</v>
      </c>
      <c r="EU6" s="108"/>
      <c r="EV6" s="185">
        <f>IFERROR((((COUNTIF('Elève (6ème3)'!ES6:EU6,"A"))*4)+((COUNTIF('Elève (6ème3)'!ES6:EU6,"B"))*3)+((COUNTIF('Elève (6ème3)'!ES6:EU6,"C"))*2)+((COUNTIF('Elève (6ème3)'!ES6:EU6,"D"))*1))/(COUNTA(ES6:EU6)),"")</f>
        <v>4</v>
      </c>
      <c r="EW6" s="186" t="str">
        <f t="shared" si="34"/>
        <v>A</v>
      </c>
      <c r="EX6" s="185">
        <f>IF(COUNT(EL6,EQ6,EV6)=0,"",SUM(EL6,EQ6,EV6)/COUNT(EL6,EQ6,EV6))</f>
        <v>3.5</v>
      </c>
      <c r="EY6" s="208" t="str">
        <f t="shared" si="35"/>
        <v>B</v>
      </c>
      <c r="EZ6" s="112"/>
      <c r="FA6" s="107"/>
      <c r="FB6" s="108"/>
      <c r="FC6" s="185" t="str">
        <f>IFERROR((((COUNTIF('Elève (6ème3)'!EZ6:FB6,"A"))*4)+((COUNTIF('Elève (6ème3)'!EZ6:FB6,"B"))*3)+((COUNTIF('Elève (6ème3)'!EZ6:FB6,"C"))*2)+((COUNTIF('Elève (6ème3)'!EZ6:FB6,"D"))*1))/(COUNTA(EZ6:FB6)),"")</f>
        <v/>
      </c>
      <c r="FD6" s="186" t="str">
        <f t="shared" si="36"/>
        <v/>
      </c>
      <c r="FE6" s="106" t="s">
        <v>23</v>
      </c>
      <c r="FF6" s="107"/>
      <c r="FG6" s="108"/>
      <c r="FH6" s="185">
        <f>IFERROR((((COUNTIF('Elève (6ème3)'!FE6:FG6,"A"))*4)+((COUNTIF('Elève (6ème3)'!FE6:FG6,"B"))*3)+((COUNTIF('Elève (6ème3)'!FE6:FG6,"C"))*2)+((COUNTIF('Elève (6ème3)'!FE6:FG6,"D"))*1))/(COUNTA(FE6:FG6)),"")</f>
        <v>4</v>
      </c>
      <c r="FI6" s="186" t="str">
        <f t="shared" si="37"/>
        <v>A</v>
      </c>
      <c r="FJ6" s="106"/>
      <c r="FK6" s="107" t="s">
        <v>23</v>
      </c>
      <c r="FL6" s="108"/>
      <c r="FM6" s="185">
        <f>IFERROR((((COUNTIF('Elève (6ème3)'!FJ6:FL6,"A"))*4)+((COUNTIF('Elève (6ème3)'!FJ6:FL6,"B"))*3)+((COUNTIF('Elève (6ème3)'!FJ6:FL6,"C"))*2)+((COUNTIF('Elève (6ème3)'!FJ6:FL6,"D"))*1))/(COUNTA(FJ6:FL6)),"")</f>
        <v>4</v>
      </c>
      <c r="FN6" s="186" t="str">
        <f t="shared" si="38"/>
        <v>A</v>
      </c>
      <c r="FO6" s="185">
        <f>IF(COUNT(FC6,FH6,FM6)=0,"",SUM(FC6,FH6,FM6)/COUNT(FC6,FH6,FM6))</f>
        <v>4</v>
      </c>
      <c r="FP6" s="208" t="str">
        <f t="shared" si="39"/>
        <v>A</v>
      </c>
      <c r="FQ6" s="112"/>
      <c r="FR6" s="107"/>
      <c r="FS6" s="108"/>
      <c r="FT6" s="185" t="str">
        <f>IFERROR((((COUNTIF('Elève (6ème3)'!FQ6:FS6,"A"))*4)+((COUNTIF('Elève (6ème3)'!FQ6:FS6,"B"))*3)+((COUNTIF('Elève (6ème3)'!FQ6:FS6,"C"))*2)+((COUNTIF('Elève (6ème3)'!FQ6:FS6,"D"))*1))/(COUNTA(FQ6:FS6)),"")</f>
        <v/>
      </c>
      <c r="FU6" s="186" t="str">
        <f t="shared" si="40"/>
        <v/>
      </c>
      <c r="FV6" s="106" t="s">
        <v>24</v>
      </c>
      <c r="FW6" s="107"/>
      <c r="FX6" s="108"/>
      <c r="FY6" s="185">
        <f>IFERROR((((COUNTIF('Elève (6ème3)'!FV6:FX6,"A"))*4)+((COUNTIF('Elève (6ème3)'!FV6:FX6,"B"))*3)+((COUNTIF('Elève (6ème3)'!FV6:FX6,"C"))*2)+((COUNTIF('Elève (6ème3)'!FV6:FX6,"D"))*1))/(COUNTA(FV6:FX6)),"")</f>
        <v>3</v>
      </c>
      <c r="FZ6" s="186" t="str">
        <f t="shared" si="41"/>
        <v>B</v>
      </c>
      <c r="GA6" s="106"/>
      <c r="GB6" s="107" t="s">
        <v>23</v>
      </c>
      <c r="GC6" s="108"/>
      <c r="GD6" s="185">
        <f>IFERROR((((COUNTIF('Elève (6ème3)'!GA6:GC6,"A"))*4)+((COUNTIF('Elève (6ème3)'!GA6:GC6,"B"))*3)+((COUNTIF('Elève (6ème3)'!GA6:GC6,"C"))*2)+((COUNTIF('Elève (6ème3)'!GA6:GC6,"D"))*1))/(COUNTA(GA6:GC6)),"")</f>
        <v>4</v>
      </c>
      <c r="GE6" s="186" t="str">
        <f t="shared" si="42"/>
        <v>A</v>
      </c>
      <c r="GF6" s="185">
        <f>IF(COUNT(FT6,FY6,GD6)=0,"",SUM(FT6,FY6,GD6)/COUNT(FT6,FY6,GD6))</f>
        <v>3.5</v>
      </c>
      <c r="GG6" s="208" t="str">
        <f t="shared" si="43"/>
        <v>B</v>
      </c>
      <c r="GH6" s="112"/>
      <c r="GI6" s="107"/>
      <c r="GJ6" s="108"/>
      <c r="GK6" s="185" t="str">
        <f>IFERROR((((COUNTIF('Elève (6ème3)'!GH6:GJ6,"A"))*4)+((COUNTIF('Elève (6ème3)'!GH6:GJ6,"B"))*3)+((COUNTIF('Elève (6ème3)'!GH6:GJ6,"C"))*2)+((COUNTIF('Elève (6ème3)'!GH6:GJ6,"D"))*1))/(COUNTA(GH6:GJ6)),"")</f>
        <v/>
      </c>
      <c r="GL6" s="186" t="str">
        <f t="shared" si="44"/>
        <v/>
      </c>
      <c r="GM6" s="106" t="s">
        <v>23</v>
      </c>
      <c r="GN6" s="107"/>
      <c r="GO6" s="108"/>
      <c r="GP6" s="185">
        <f>IFERROR((((COUNTIF('Elève (6ème3)'!GM6:GO6,"A"))*4)+((COUNTIF('Elève (6ème3)'!GM6:GO6,"B"))*3)+((COUNTIF('Elève (6ème3)'!GM6:GO6,"C"))*2)+((COUNTIF('Elève (6ème3)'!GM6:GO6,"D"))*1))/(COUNTA(GM6:GO6)),"")</f>
        <v>4</v>
      </c>
      <c r="GQ6" s="186" t="str">
        <f t="shared" si="45"/>
        <v>A</v>
      </c>
      <c r="GR6" s="106"/>
      <c r="GS6" s="107" t="s">
        <v>23</v>
      </c>
      <c r="GT6" s="108"/>
      <c r="GU6" s="185">
        <f>IFERROR((((COUNTIF('Elève (6ème3)'!GR6:GT6,"A"))*4)+((COUNTIF('Elève (6ème3)'!GR6:GT6,"B"))*3)+((COUNTIF('Elève (6ème3)'!GR6:GT6,"C"))*2)+((COUNTIF('Elève (6ème3)'!GR6:GT6,"D"))*1))/(COUNTA(GR6:GT6)),"")</f>
        <v>4</v>
      </c>
      <c r="GV6" s="186" t="str">
        <f t="shared" si="46"/>
        <v>A</v>
      </c>
      <c r="GW6" s="185">
        <f>IF(COUNT(GK6,GP6,GU6)=0,"",SUM(GK6,GP6,GU6)/COUNT(GK6,GP6,GU6))</f>
        <v>4</v>
      </c>
      <c r="GX6" s="208" t="str">
        <f t="shared" si="47"/>
        <v>A</v>
      </c>
      <c r="GY6" s="112"/>
      <c r="GZ6" s="107"/>
      <c r="HA6" s="108"/>
      <c r="HB6" s="185" t="str">
        <f>IFERROR((((COUNTIF('Elève (6ème3)'!GY6:HA6,"A"))*4)+((COUNTIF('Elève (6ème3)'!GY6:HA6,"B"))*3)+((COUNTIF('Elève (6ème3)'!GY6:HA6,"C"))*2)+((COUNTIF('Elève (6ème3)'!GY6:HA6,"D"))*1))/(COUNTA(GY6:HA6)),"")</f>
        <v/>
      </c>
      <c r="HC6" s="186" t="str">
        <f t="shared" si="48"/>
        <v/>
      </c>
      <c r="HD6" s="106" t="s">
        <v>23</v>
      </c>
      <c r="HE6" s="107"/>
      <c r="HF6" s="108"/>
      <c r="HG6" s="185">
        <f>IFERROR((((COUNTIF('Elève (6ème3)'!HD6:HF6,"A"))*4)+((COUNTIF('Elève (6ème3)'!HD6:HF6,"B"))*3)+((COUNTIF('Elève (6ème3)'!HD6:HF6,"C"))*2)+((COUNTIF('Elève (6ème3)'!HD6:HF6,"D"))*1))/(COUNTA(HD6:HF6)),"")</f>
        <v>4</v>
      </c>
      <c r="HH6" s="186" t="str">
        <f t="shared" si="49"/>
        <v>A</v>
      </c>
      <c r="HI6" s="106"/>
      <c r="HJ6" s="107" t="s">
        <v>23</v>
      </c>
      <c r="HK6" s="108"/>
      <c r="HL6" s="185">
        <f>IFERROR((((COUNTIF('Elève (6ème3)'!HI6:HK6,"A"))*4)+((COUNTIF('Elève (6ème3)'!HI6:HK6,"B"))*3)+((COUNTIF('Elève (6ème3)'!HI6:HK6,"C"))*2)+((COUNTIF('Elève (6ème3)'!HI6:HK6,"D"))*1))/(COUNTA(HI6:HK6)),"")</f>
        <v>4</v>
      </c>
      <c r="HM6" s="186" t="str">
        <f t="shared" si="50"/>
        <v>A</v>
      </c>
      <c r="HN6" s="185">
        <f>IF(COUNT(HB6,HG6,HL6)=0,"",SUM(HB6,HG6,HL6)/COUNT(HB6,HG6,HL6))</f>
        <v>4</v>
      </c>
      <c r="HO6" s="208" t="str">
        <f t="shared" si="51"/>
        <v>A</v>
      </c>
      <c r="HP6" s="112"/>
      <c r="HQ6" s="107"/>
      <c r="HR6" s="108"/>
      <c r="HS6" s="185" t="str">
        <f>IFERROR((((COUNTIF('Elève (6ème3)'!HP6:HR6,"A"))*4)+((COUNTIF('Elève (6ème3)'!HP6:HR6,"B"))*3)+((COUNTIF('Elève (6ème3)'!HP6:HR6,"C"))*2)+((COUNTIF('Elève (6ème3)'!HP6:HR6,"D"))*1))/(COUNTA(HP6:HR6)),"")</f>
        <v/>
      </c>
      <c r="HT6" s="186" t="str">
        <f t="shared" si="52"/>
        <v/>
      </c>
      <c r="HU6" s="106" t="s">
        <v>25</v>
      </c>
      <c r="HV6" s="107"/>
      <c r="HW6" s="108"/>
      <c r="HX6" s="185">
        <f>IFERROR((((COUNTIF('Elève (6ème3)'!HU6:HW6,"A"))*4)+((COUNTIF('Elève (6ème3)'!HU6:HW6,"B"))*3)+((COUNTIF('Elève (6ème3)'!HU6:HW6,"C"))*2)+((COUNTIF('Elève (6ème3)'!HU6:HW6,"D"))*1))/(COUNTA(HU6:HW6)),"")</f>
        <v>2</v>
      </c>
      <c r="HY6" s="186" t="str">
        <f t="shared" si="53"/>
        <v>C</v>
      </c>
      <c r="HZ6" s="106"/>
      <c r="IA6" s="107" t="s">
        <v>23</v>
      </c>
      <c r="IB6" s="108"/>
      <c r="IC6" s="185">
        <f>IFERROR((((COUNTIF('Elève (6ème3)'!HZ6:IB6,"A"))*4)+((COUNTIF('Elève (6ème3)'!HZ6:IB6,"B"))*3)+((COUNTIF('Elève (6ème3)'!HZ6:IB6,"C"))*2)+((COUNTIF('Elève (6ème3)'!HZ6:IB6,"D"))*1))/(COUNTA(HZ6:IB6)),"")</f>
        <v>4</v>
      </c>
      <c r="ID6" s="186" t="str">
        <f t="shared" si="54"/>
        <v>A</v>
      </c>
      <c r="IE6" s="185">
        <f>IF(COUNT(HS6,HX6,IC6)=0,"",SUM(HS6,HX6,IC6)/COUNT(HS6,HX6,IC6))</f>
        <v>3</v>
      </c>
      <c r="IF6" s="208" t="str">
        <f t="shared" si="55"/>
        <v>B</v>
      </c>
      <c r="IG6" s="112"/>
      <c r="IH6" s="107"/>
      <c r="II6" s="108"/>
      <c r="IJ6" s="185" t="str">
        <f>IFERROR((((COUNTIF('Elève (6ème3)'!IG6:II6,"A"))*4)+((COUNTIF('Elève (6ème3)'!IG6:II6,"B"))*3)+((COUNTIF('Elève (6ème3)'!IG6:II6,"C"))*2)+((COUNTIF('Elève (6ème3)'!IG6:II6,"D"))*1))/(COUNTA(IG6:II6)),"")</f>
        <v/>
      </c>
      <c r="IK6" s="186" t="str">
        <f t="shared" si="56"/>
        <v/>
      </c>
      <c r="IL6" s="106" t="s">
        <v>23</v>
      </c>
      <c r="IM6" s="107"/>
      <c r="IN6" s="108"/>
      <c r="IO6" s="185">
        <f>IFERROR((((COUNTIF('Elève (6ème3)'!IL6:IN6,"A"))*4)+((COUNTIF('Elève (6ème3)'!IL6:IN6,"B"))*3)+((COUNTIF('Elève (6ème3)'!IL6:IN6,"C"))*2)+((COUNTIF('Elève (6ème3)'!IL6:IN6,"D"))*1))/(COUNTA(IL6:IN6)),"")</f>
        <v>4</v>
      </c>
      <c r="IP6" s="186" t="str">
        <f t="shared" si="57"/>
        <v>A</v>
      </c>
      <c r="IQ6" s="106"/>
      <c r="IR6" s="107" t="s">
        <v>26</v>
      </c>
      <c r="IS6" s="108"/>
      <c r="IT6" s="185">
        <f>IFERROR((((COUNTIF('Elève (6ème3)'!IQ6:IS6,"A"))*4)+((COUNTIF('Elève (6ème3)'!IQ6:IS6,"B"))*3)+((COUNTIF('Elève (6ème3)'!IQ6:IS6,"C"))*2)+((COUNTIF('Elève (6ème3)'!IQ6:IS6,"D"))*1))/(COUNTA(IQ6:IS6)),"")</f>
        <v>1</v>
      </c>
      <c r="IU6" s="186" t="str">
        <f t="shared" si="58"/>
        <v>D</v>
      </c>
      <c r="IV6" s="185">
        <f>IF(COUNT(IJ6,IO6,IT6)=0,"",SUM(IJ6,IO6,IT6)/COUNT(IJ6,IO6,IT6))</f>
        <v>2.5</v>
      </c>
      <c r="IW6" s="208" t="str">
        <f t="shared" si="59"/>
        <v>C</v>
      </c>
      <c r="IX6" s="112"/>
      <c r="IY6" s="107"/>
      <c r="IZ6" s="108"/>
      <c r="JA6" s="185" t="str">
        <f>IFERROR((((COUNTIF('Elève (6ème3)'!IX6:IZ6,"A"))*4)+((COUNTIF('Elève (6ème3)'!IX6:IZ6,"B"))*3)+((COUNTIF('Elève (6ème3)'!IX6:IZ6,"C"))*2)+((COUNTIF('Elève (6ème3)'!IX6:IZ6,"D"))*1))/(COUNTA(IX6:IZ6)),"")</f>
        <v/>
      </c>
      <c r="JB6" s="186" t="str">
        <f t="shared" si="60"/>
        <v/>
      </c>
      <c r="JC6" s="106" t="s">
        <v>23</v>
      </c>
      <c r="JD6" s="107"/>
      <c r="JE6" s="108"/>
      <c r="JF6" s="185">
        <f>IFERROR((((COUNTIF('Elève (6ème3)'!JC6:JE6,"A"))*4)+((COUNTIF('Elève (6ème3)'!JC6:JE6,"B"))*3)+((COUNTIF('Elève (6ème3)'!JC6:JE6,"C"))*2)+((COUNTIF('Elève (6ème3)'!JC6:JE6,"D"))*1))/(COUNTA(JC6:JE6)),"")</f>
        <v>4</v>
      </c>
      <c r="JG6" s="186" t="str">
        <f t="shared" si="61"/>
        <v>A</v>
      </c>
      <c r="JH6" s="106"/>
      <c r="JI6" s="107" t="s">
        <v>23</v>
      </c>
      <c r="JJ6" s="108"/>
      <c r="JK6" s="185">
        <f>IFERROR((((COUNTIF('Elève (6ème3)'!JH6:JJ6,"A"))*4)+((COUNTIF('Elève (6ème3)'!JH6:JJ6,"B"))*3)+((COUNTIF('Elève (6ème3)'!JH6:JJ6,"C"))*2)+((COUNTIF('Elève (6ème3)'!JH6:JJ6,"D"))*1))/(COUNTA(JH6:JJ6)),"")</f>
        <v>4</v>
      </c>
      <c r="JL6" s="186" t="str">
        <f t="shared" si="62"/>
        <v>A</v>
      </c>
      <c r="JM6" s="185">
        <f>IF(COUNT(JA6,JF6,JK6)=0,"",SUM(JA6,JF6,JK6)/COUNT(JA6,JF6,JK6))</f>
        <v>4</v>
      </c>
      <c r="JN6" s="208" t="str">
        <f t="shared" si="63"/>
        <v>A</v>
      </c>
      <c r="JO6" s="112"/>
      <c r="JP6" s="107"/>
      <c r="JQ6" s="108"/>
      <c r="JR6" s="185" t="str">
        <f>IFERROR((((COUNTIF('Elève (6ème3)'!JO6:JQ6,"A"))*4)+((COUNTIF('Elève (6ème3)'!JO6:JQ6,"B"))*3)+((COUNTIF('Elève (6ème3)'!JO6:JQ6,"C"))*2)+((COUNTIF('Elève (6ème3)'!JO6:JQ6,"D"))*1))/(COUNTA(JO6:JQ6)),"")</f>
        <v/>
      </c>
      <c r="JS6" s="186" t="str">
        <f t="shared" si="64"/>
        <v/>
      </c>
      <c r="JT6" s="106" t="s">
        <v>23</v>
      </c>
      <c r="JU6" s="107"/>
      <c r="JV6" s="108"/>
      <c r="JW6" s="185">
        <f>IFERROR((((COUNTIF('Elève (6ème3)'!JT6:JV6,"A"))*4)+((COUNTIF('Elève (6ème3)'!JT6:JV6,"B"))*3)+((COUNTIF('Elève (6ème3)'!JT6:JV6,"C"))*2)+((COUNTIF('Elève (6ème3)'!JT6:JV6,"D"))*1))/(COUNTA(JT6:JV6)),"")</f>
        <v>4</v>
      </c>
      <c r="JX6" s="186" t="str">
        <f t="shared" si="65"/>
        <v>A</v>
      </c>
      <c r="JY6" s="106"/>
      <c r="JZ6" s="107" t="s">
        <v>23</v>
      </c>
      <c r="KA6" s="108"/>
      <c r="KB6" s="185">
        <f>IFERROR((((COUNTIF('Elève (6ème3)'!JY6:KA6,"A"))*4)+((COUNTIF('Elève (6ème3)'!JY6:KA6,"B"))*3)+((COUNTIF('Elève (6ème3)'!JY6:KA6,"C"))*2)+((COUNTIF('Elève (6ème3)'!JY6:KA6,"D"))*1))/(COUNTA(JY6:KA6)),"")</f>
        <v>4</v>
      </c>
      <c r="KC6" s="186" t="str">
        <f t="shared" si="66"/>
        <v>A</v>
      </c>
      <c r="KD6" s="185">
        <f>IF(COUNT(JR6,JW6,KB6)=0,"",SUM(JR6,JW6,KB6)/COUNT(JR6,JW6,KB6))</f>
        <v>4</v>
      </c>
      <c r="KE6" s="208" t="str">
        <f t="shared" si="67"/>
        <v>A</v>
      </c>
      <c r="KF6" s="112"/>
      <c r="KG6" s="107"/>
      <c r="KH6" s="108"/>
      <c r="KI6" s="185" t="str">
        <f>IFERROR((((COUNTIF('Elève (6ème3)'!KF6:KH6,"A"))*4)+((COUNTIF('Elève (6ème3)'!KF6:KH6,"B"))*3)+((COUNTIF('Elève (6ème3)'!KF6:KH6,"C"))*2)+((COUNTIF('Elève (6ème3)'!KF6:KH6,"D"))*1))/(COUNTA(KF6:KH6)),"")</f>
        <v/>
      </c>
      <c r="KJ6" s="186" t="str">
        <f t="shared" si="68"/>
        <v/>
      </c>
      <c r="KK6" s="106" t="s">
        <v>23</v>
      </c>
      <c r="KL6" s="107"/>
      <c r="KM6" s="108"/>
      <c r="KN6" s="185">
        <f>IFERROR((((COUNTIF('Elève (6ème3)'!KK6:KM6,"A"))*4)+((COUNTIF('Elève (6ème3)'!KK6:KM6,"B"))*3)+((COUNTIF('Elève (6ème3)'!KK6:KM6,"C"))*2)+((COUNTIF('Elève (6ème3)'!KK6:KM6,"D"))*1))/(COUNTA(KK6:KM6)),"")</f>
        <v>4</v>
      </c>
      <c r="KO6" s="186" t="str">
        <f t="shared" si="69"/>
        <v>A</v>
      </c>
      <c r="KP6" s="106"/>
      <c r="KQ6" s="107" t="s">
        <v>23</v>
      </c>
      <c r="KR6" s="108"/>
      <c r="KS6" s="185">
        <f>IFERROR((((COUNTIF('Elève (6ème3)'!KP6:KR6,"A"))*4)+((COUNTIF('Elève (6ème3)'!KP6:KR6,"B"))*3)+((COUNTIF('Elève (6ème3)'!KP6:KR6,"C"))*2)+((COUNTIF('Elève (6ème3)'!KP6:KR6,"D"))*1))/(COUNTA(KP6:KR6)),"")</f>
        <v>4</v>
      </c>
      <c r="KT6" s="186" t="str">
        <f t="shared" si="70"/>
        <v>A</v>
      </c>
      <c r="KU6" s="185">
        <f>IF(COUNT(KI6,KN6,KS6)=0,"",SUM(KI6,KN6,KS6)/COUNT(KI6,KN6,KS6))</f>
        <v>4</v>
      </c>
      <c r="KV6" s="208" t="str">
        <f t="shared" si="71"/>
        <v>A</v>
      </c>
      <c r="KW6" s="112"/>
      <c r="KX6" s="107"/>
      <c r="KY6" s="108"/>
      <c r="KZ6" s="185" t="str">
        <f>IFERROR((((COUNTIF('Elève (6ème3)'!KW6:KY6,"A"))*4)+((COUNTIF('Elève (6ème3)'!KW6:KY6,"B"))*3)+((COUNTIF('Elève (6ème3)'!KW6:KY6,"C"))*2)+((COUNTIF('Elève (6ème3)'!KW6:KY6,"D"))*1))/(COUNTA(KW6:KY6)),"")</f>
        <v/>
      </c>
      <c r="LA6" s="186" t="str">
        <f t="shared" si="72"/>
        <v/>
      </c>
      <c r="LB6" s="106" t="s">
        <v>24</v>
      </c>
      <c r="LC6" s="107"/>
      <c r="LD6" s="108"/>
      <c r="LE6" s="185">
        <f>IFERROR((((COUNTIF('Elève (6ème3)'!LB6:LD6,"A"))*4)+((COUNTIF('Elève (6ème3)'!LB6:LD6,"B"))*3)+((COUNTIF('Elève (6ème3)'!LB6:LD6,"C"))*2)+((COUNTIF('Elève (6ème3)'!LB6:LD6,"D"))*1))/(COUNTA(LB6:LD6)),"")</f>
        <v>3</v>
      </c>
      <c r="LF6" s="186" t="str">
        <f t="shared" si="73"/>
        <v>B</v>
      </c>
      <c r="LG6" s="106"/>
      <c r="LH6" s="107" t="s">
        <v>23</v>
      </c>
      <c r="LI6" s="108"/>
      <c r="LJ6" s="185">
        <f>IFERROR((((COUNTIF('Elève (6ème3)'!LG6:LI6,"A"))*4)+((COUNTIF('Elève (6ème3)'!LG6:LI6,"B"))*3)+((COUNTIF('Elève (6ème3)'!LG6:LI6,"C"))*2)+((COUNTIF('Elève (6ème3)'!LG6:LI6,"D"))*1))/(COUNTA(LG6:LI6)),"")</f>
        <v>4</v>
      </c>
      <c r="LK6" s="186" t="str">
        <f t="shared" si="74"/>
        <v>A</v>
      </c>
      <c r="LL6" s="185">
        <f>IF(COUNT(KZ6,LE6,LJ6)=0,"",SUM(KZ6,LE6,LJ6)/COUNT(KZ6,LE6,LJ6))</f>
        <v>3.5</v>
      </c>
      <c r="LM6" s="208" t="str">
        <f t="shared" si="75"/>
        <v>B</v>
      </c>
      <c r="LN6" s="112"/>
      <c r="LO6" s="107"/>
      <c r="LP6" s="108"/>
      <c r="LQ6" s="185" t="str">
        <f>IFERROR((((COUNTIF('Elève (6ème3)'!LN6:LP6,"A"))*4)+((COUNTIF('Elève (6ème3)'!LN6:LP6,"B"))*3)+((COUNTIF('Elève (6ème3)'!LN6:LP6,"C"))*2)+((COUNTIF('Elève (6ème3)'!LN6:LP6,"D"))*1))/(COUNTA(LN6:LP6)),"")</f>
        <v/>
      </c>
      <c r="LR6" s="186" t="str">
        <f t="shared" si="76"/>
        <v/>
      </c>
      <c r="LS6" s="106" t="s">
        <v>23</v>
      </c>
      <c r="LT6" s="107"/>
      <c r="LU6" s="108"/>
      <c r="LV6" s="185">
        <f>IFERROR((((COUNTIF('Elève (6ème3)'!LS6:LU6,"A"))*4)+((COUNTIF('Elève (6ème3)'!LS6:LU6,"B"))*3)+((COUNTIF('Elève (6ème3)'!LS6:LU6,"C"))*2)+((COUNTIF('Elève (6ème3)'!LS6:LU6,"D"))*1))/(COUNTA(LS6:LU6)),"")</f>
        <v>4</v>
      </c>
      <c r="LW6" s="186" t="str">
        <f t="shared" si="77"/>
        <v>A</v>
      </c>
      <c r="LX6" s="106"/>
      <c r="LY6" s="107" t="s">
        <v>23</v>
      </c>
      <c r="LZ6" s="108"/>
      <c r="MA6" s="185">
        <f>IFERROR((((COUNTIF('Elève (6ème3)'!LX6:LZ6,"A"))*4)+((COUNTIF('Elève (6ème3)'!LX6:LZ6,"B"))*3)+((COUNTIF('Elève (6ème3)'!LX6:LZ6,"C"))*2)+((COUNTIF('Elève (6ème3)'!LX6:LZ6,"D"))*1))/(COUNTA(LX6:LZ6)),"")</f>
        <v>4</v>
      </c>
      <c r="MB6" s="186" t="str">
        <f t="shared" si="78"/>
        <v>A</v>
      </c>
      <c r="MC6" s="185">
        <f>IF(COUNT(LQ6,LV6,MA6)=0,"",SUM(LQ6,LV6,MA6)/COUNT(LQ6,LV6,MA6))</f>
        <v>4</v>
      </c>
      <c r="MD6" s="208" t="str">
        <f t="shared" si="79"/>
        <v>A</v>
      </c>
      <c r="ME6" s="112"/>
      <c r="MF6" s="107"/>
      <c r="MG6" s="108"/>
      <c r="MH6" s="185" t="str">
        <f>IFERROR((((COUNTIF('Elève (6ème3)'!ME6:MG6,"A"))*4)+((COUNTIF('Elève (6ème3)'!ME6:MG6,"B"))*3)+((COUNTIF('Elève (6ème3)'!ME6:MG6,"C"))*2)+((COUNTIF('Elève (6ème3)'!ME6:MG6,"D"))*1))/(COUNTA(ME6:MG6)),"")</f>
        <v/>
      </c>
      <c r="MI6" s="186" t="str">
        <f t="shared" si="80"/>
        <v/>
      </c>
      <c r="MJ6" s="106" t="s">
        <v>23</v>
      </c>
      <c r="MK6" s="107"/>
      <c r="ML6" s="108"/>
      <c r="MM6" s="185">
        <f>IFERROR((((COUNTIF('Elève (6ème3)'!MJ6:ML6,"A"))*4)+((COUNTIF('Elève (6ème3)'!MJ6:ML6,"B"))*3)+((COUNTIF('Elève (6ème3)'!MJ6:ML6,"C"))*2)+((COUNTIF('Elève (6ème3)'!MJ6:ML6,"D"))*1))/(COUNTA(MJ6:ML6)),"")</f>
        <v>4</v>
      </c>
      <c r="MN6" s="186" t="str">
        <f t="shared" si="81"/>
        <v>A</v>
      </c>
      <c r="MO6" s="106"/>
      <c r="MP6" s="107" t="s">
        <v>26</v>
      </c>
      <c r="MQ6" s="108"/>
      <c r="MR6" s="185">
        <f>IFERROR((((COUNTIF('Elève (6ème3)'!MO6:MQ6,"A"))*4)+((COUNTIF('Elève (6ème3)'!MO6:MQ6,"B"))*3)+((COUNTIF('Elève (6ème3)'!MO6:MQ6,"C"))*2)+((COUNTIF('Elève (6ème3)'!MO6:MQ6,"D"))*1))/(COUNTA(MO6:MQ6)),"")</f>
        <v>1</v>
      </c>
      <c r="MS6" s="186" t="str">
        <f t="shared" si="82"/>
        <v>D</v>
      </c>
      <c r="MT6" s="185">
        <f>IF(COUNT(MH6,MM6,MR6)=0,"",SUM(MH6,MM6,MR6)/COUNT(MH6,MM6,MR6))</f>
        <v>2.5</v>
      </c>
      <c r="MU6" s="208" t="str">
        <f t="shared" si="83"/>
        <v>C</v>
      </c>
      <c r="MV6" s="112"/>
      <c r="MW6" s="107"/>
      <c r="MX6" s="108"/>
      <c r="MY6" s="185" t="str">
        <f>IFERROR((((COUNTIF('Elève (6ème3)'!MV6:MX6,"A"))*4)+((COUNTIF('Elève (6ème3)'!MV6:MX6,"B"))*3)+((COUNTIF('Elève (6ème3)'!MV6:MX6,"C"))*2)+((COUNTIF('Elève (6ème3)'!MV6:MX6,"D"))*1))/(COUNTA(MV6:MX6)),"")</f>
        <v/>
      </c>
      <c r="MZ6" s="186" t="str">
        <f t="shared" si="84"/>
        <v/>
      </c>
      <c r="NA6" s="106" t="s">
        <v>23</v>
      </c>
      <c r="NB6" s="107"/>
      <c r="NC6" s="108"/>
      <c r="ND6" s="185">
        <f>IFERROR((((COUNTIF('Elève (6ème3)'!NA6:NC6,"A"))*4)+((COUNTIF('Elève (6ème3)'!NA6:NC6,"B"))*3)+((COUNTIF('Elève (6ème3)'!NA6:NC6,"C"))*2)+((COUNTIF('Elève (6ème3)'!NA6:NC6,"D"))*1))/(COUNTA(NA6:NC6)),"")</f>
        <v>4</v>
      </c>
      <c r="NE6" s="186" t="str">
        <f t="shared" si="85"/>
        <v>A</v>
      </c>
      <c r="NF6" s="106"/>
      <c r="NG6" s="107" t="s">
        <v>23</v>
      </c>
      <c r="NH6" s="108"/>
      <c r="NI6" s="185">
        <f>IFERROR((((COUNTIF('Elève (6ème3)'!NF6:NH6,"A"))*4)+((COUNTIF('Elève (6ème3)'!NF6:NH6,"B"))*3)+((COUNTIF('Elève (6ème3)'!NF6:NH6,"C"))*2)+((COUNTIF('Elève (6ème3)'!NF6:NH6,"D"))*1))/(COUNTA(NF6:NH6)),"")</f>
        <v>4</v>
      </c>
      <c r="NJ6" s="186" t="str">
        <f t="shared" si="86"/>
        <v>A</v>
      </c>
      <c r="NK6" s="185">
        <f>IF(COUNT(MY6,ND6,NI6)=0,"",SUM(MY6,ND6,NI6)/COUNT(MY6,ND6,NI6))</f>
        <v>4</v>
      </c>
      <c r="NL6" s="208" t="str">
        <f t="shared" si="87"/>
        <v>A</v>
      </c>
      <c r="NM6" s="112"/>
      <c r="NN6" s="107"/>
      <c r="NO6" s="108"/>
      <c r="NP6" s="185" t="str">
        <f>IFERROR((((COUNTIF('Elève (6ème3)'!NM6:NO6,"A"))*4)+((COUNTIF('Elève (6ème3)'!NM6:NO6,"B"))*3)+((COUNTIF('Elève (6ème3)'!NM6:NO6,"C"))*2)+((COUNTIF('Elève (6ème3)'!NM6:NO6,"D"))*1))/(COUNTA(NM6:NO6)),"")</f>
        <v/>
      </c>
      <c r="NQ6" s="186" t="str">
        <f t="shared" si="88"/>
        <v/>
      </c>
      <c r="NR6" s="106" t="s">
        <v>23</v>
      </c>
      <c r="NS6" s="107"/>
      <c r="NT6" s="108"/>
      <c r="NU6" s="185">
        <f>IFERROR((((COUNTIF('Elève (6ème3)'!NR6:NT6,"A"))*4)+((COUNTIF('Elève (6ème3)'!NR6:NT6,"B"))*3)+((COUNTIF('Elève (6ème3)'!NR6:NT6,"C"))*2)+((COUNTIF('Elève (6ème3)'!NR6:NT6,"D"))*1))/(COUNTA(NR6:NT6)),"")</f>
        <v>4</v>
      </c>
      <c r="NV6" s="186" t="str">
        <f t="shared" si="89"/>
        <v>A</v>
      </c>
      <c r="NW6" s="106"/>
      <c r="NX6" s="107" t="s">
        <v>23</v>
      </c>
      <c r="NY6" s="108"/>
      <c r="NZ6" s="185">
        <f>IFERROR((((COUNTIF('Elève (6ème3)'!NW6:NY6,"A"))*4)+((COUNTIF('Elève (6ème3)'!NW6:NY6,"B"))*3)+((COUNTIF('Elève (6ème3)'!NW6:NY6,"C"))*2)+((COUNTIF('Elève (6ème3)'!NW6:NY6,"D"))*1))/(COUNTA(NW6:NY6)),"")</f>
        <v>4</v>
      </c>
      <c r="OA6" s="186" t="str">
        <f t="shared" si="90"/>
        <v>A</v>
      </c>
      <c r="OB6" s="185">
        <f>IF(COUNT(NP6,NU6,NZ6)=0,"",SUM(NP6,NU6,NZ6)/COUNT(NP6,NU6,NZ6))</f>
        <v>4</v>
      </c>
      <c r="OC6" s="208" t="str">
        <f t="shared" si="91"/>
        <v>A</v>
      </c>
      <c r="OD6" s="112"/>
      <c r="OE6" s="107"/>
      <c r="OF6" s="108"/>
      <c r="OG6" s="185" t="str">
        <f>IFERROR((((COUNTIF('Elève (6ème3)'!OD6:OF6,"A"))*4)+((COUNTIF('Elève (6ème3)'!OD6:OF6,"B"))*3)+((COUNTIF('Elève (6ème3)'!OD6:OF6,"C"))*2)+((COUNTIF('Elève (6ème3)'!OD6:OF6,"D"))*1))/(COUNTA(OD6:OF6)),"")</f>
        <v/>
      </c>
      <c r="OH6" s="186" t="str">
        <f t="shared" si="92"/>
        <v/>
      </c>
      <c r="OI6" s="106" t="s">
        <v>23</v>
      </c>
      <c r="OJ6" s="107"/>
      <c r="OK6" s="108"/>
      <c r="OL6" s="185">
        <f>IFERROR((((COUNTIF('Elève (6ème3)'!OI6:OK6,"A"))*4)+((COUNTIF('Elève (6ème3)'!OI6:OK6,"B"))*3)+((COUNTIF('Elève (6ème3)'!OI6:OK6,"C"))*2)+((COUNTIF('Elève (6ème3)'!OI6:OK6,"D"))*1))/(COUNTA(OI6:OK6)),"")</f>
        <v>4</v>
      </c>
      <c r="OM6" s="186" t="str">
        <f t="shared" si="93"/>
        <v>A</v>
      </c>
      <c r="ON6" s="106"/>
      <c r="OO6" s="107" t="s">
        <v>23</v>
      </c>
      <c r="OP6" s="108"/>
      <c r="OQ6" s="185">
        <f>IFERROR((((COUNTIF('Elève (6ème3)'!ON6:OP6,"A"))*4)+((COUNTIF('Elève (6ème3)'!ON6:OP6,"B"))*3)+((COUNTIF('Elève (6ème3)'!ON6:OP6,"C"))*2)+((COUNTIF('Elève (6ème3)'!ON6:OP6,"D"))*1))/(COUNTA(ON6:OP6)),"")</f>
        <v>4</v>
      </c>
      <c r="OR6" s="186" t="str">
        <f t="shared" si="94"/>
        <v>A</v>
      </c>
      <c r="OS6" s="185">
        <f>IF(COUNT(OG6,OL6,OQ6)=0,"",SUM(OG6,OL6,OQ6)/COUNT(OG6,OL6,OQ6))</f>
        <v>4</v>
      </c>
      <c r="OT6" s="208" t="str">
        <f t="shared" si="95"/>
        <v>A</v>
      </c>
      <c r="OU6" s="112"/>
      <c r="OV6" s="107"/>
      <c r="OW6" s="108"/>
      <c r="OX6" s="185" t="str">
        <f>IFERROR((((COUNTIF('Elève (6ème3)'!OU6:OW6,"A"))*4)+((COUNTIF('Elève (6ème3)'!OU6:OW6,"B"))*3)+((COUNTIF('Elève (6ème3)'!OU6:OW6,"C"))*2)+((COUNTIF('Elève (6ème3)'!OU6:OW6,"D"))*1))/(COUNTA(OU6:OW6)),"")</f>
        <v/>
      </c>
      <c r="OY6" s="186" t="str">
        <f t="shared" si="96"/>
        <v/>
      </c>
      <c r="OZ6" s="106" t="s">
        <v>24</v>
      </c>
      <c r="PA6" s="107"/>
      <c r="PB6" s="108"/>
      <c r="PC6" s="185">
        <f>IFERROR((((COUNTIF('Elève (6ème3)'!OZ6:PB6,"A"))*4)+((COUNTIF('Elève (6ème3)'!OZ6:PB6,"B"))*3)+((COUNTIF('Elève (6ème3)'!OZ6:PB6,"C"))*2)+((COUNTIF('Elève (6ème3)'!OZ6:PB6,"D"))*1))/(COUNTA(OZ6:PB6)),"")</f>
        <v>3</v>
      </c>
      <c r="PD6" s="186" t="str">
        <f t="shared" si="97"/>
        <v>B</v>
      </c>
      <c r="PE6" s="106"/>
      <c r="PF6" s="107" t="s">
        <v>23</v>
      </c>
      <c r="PG6" s="108"/>
      <c r="PH6" s="185">
        <f>IFERROR((((COUNTIF('Elève (6ème3)'!PE6:PG6,"A"))*4)+((COUNTIF('Elève (6ème3)'!PE6:PG6,"B"))*3)+((COUNTIF('Elève (6ème3)'!PE6:PG6,"C"))*2)+((COUNTIF('Elève (6ème3)'!PE6:PG6,"D"))*1))/(COUNTA(PE6:PG6)),"")</f>
        <v>4</v>
      </c>
      <c r="PI6" s="186" t="str">
        <f t="shared" si="98"/>
        <v>A</v>
      </c>
      <c r="PJ6" s="185">
        <f>IF(COUNT(OX6,PC6,PH6)=0,"",SUM(OX6,PC6,PH6)/COUNT(OX6,PC6,PH6))</f>
        <v>3.5</v>
      </c>
      <c r="PK6" s="208" t="str">
        <f t="shared" si="99"/>
        <v>B</v>
      </c>
      <c r="PL6" s="112"/>
      <c r="PM6" s="107"/>
      <c r="PN6" s="108"/>
      <c r="PO6" s="185" t="str">
        <f>IFERROR((((COUNTIF('Elève (6ème3)'!PL6:PN6,"A"))*4)+((COUNTIF('Elève (6ème3)'!PL6:PN6,"B"))*3)+((COUNTIF('Elève (6ème3)'!PL6:PN6,"C"))*2)+((COUNTIF('Elève (6ème3)'!PL6:PN6,"D"))*1))/(COUNTA(PL6:PN6)),"")</f>
        <v/>
      </c>
      <c r="PP6" s="186" t="str">
        <f t="shared" si="100"/>
        <v/>
      </c>
      <c r="PQ6" s="106" t="s">
        <v>24</v>
      </c>
      <c r="PR6" s="107"/>
      <c r="PS6" s="108"/>
      <c r="PT6" s="185">
        <f>IFERROR((((COUNTIF('Elève (6ème3)'!PQ6:PS6,"A"))*4)+((COUNTIF('Elève (6ème3)'!PQ6:PS6,"B"))*3)+((COUNTIF('Elève (6ème3)'!PQ6:PS6,"C"))*2)+((COUNTIF('Elève (6ème3)'!PQ6:PS6,"D"))*1))/(COUNTA(PQ6:PS6)),"")</f>
        <v>3</v>
      </c>
      <c r="PU6" s="186" t="str">
        <f t="shared" si="101"/>
        <v>B</v>
      </c>
      <c r="PV6" s="106"/>
      <c r="PW6" s="107" t="s">
        <v>23</v>
      </c>
      <c r="PX6" s="108"/>
      <c r="PY6" s="185">
        <f>IFERROR((((COUNTIF('Elève (6ème3)'!PV6:PX6,"A"))*4)+((COUNTIF('Elève (6ème3)'!PV6:PX6,"B"))*3)+((COUNTIF('Elève (6ème3)'!PV6:PX6,"C"))*2)+((COUNTIF('Elève (6ème3)'!PV6:PX6,"D"))*1))/(COUNTA(PV6:PX6)),"")</f>
        <v>4</v>
      </c>
      <c r="PZ6" s="186" t="str">
        <f t="shared" si="102"/>
        <v>A</v>
      </c>
      <c r="QA6" s="185">
        <f>IF(COUNT(PO6,PT6,PY6)=0,"",SUM(PO6,PT6,PY6)/COUNT(PO6,PT6,PY6))</f>
        <v>3.5</v>
      </c>
      <c r="QB6" s="208" t="str">
        <f t="shared" si="103"/>
        <v>B</v>
      </c>
      <c r="QC6" s="112"/>
      <c r="QD6" s="107"/>
      <c r="QE6" s="108"/>
      <c r="QF6" s="185" t="str">
        <f>IFERROR((((COUNTIF('Elève (6ème3)'!QC6:QE6,"A"))*4)+((COUNTIF('Elève (6ème3)'!QC6:QE6,"B"))*3)+((COUNTIF('Elève (6ème3)'!QC6:QE6,"C"))*2)+((COUNTIF('Elève (6ème3)'!QC6:QE6,"D"))*1))/(COUNTA(QC6:QE6)),"")</f>
        <v/>
      </c>
      <c r="QG6" s="186" t="str">
        <f t="shared" si="104"/>
        <v/>
      </c>
      <c r="QH6" s="106" t="s">
        <v>23</v>
      </c>
      <c r="QI6" s="107"/>
      <c r="QJ6" s="108"/>
      <c r="QK6" s="185">
        <f>IFERROR((((COUNTIF('Elève (6ème3)'!QH6:QJ6,"A"))*4)+((COUNTIF('Elève (6ème3)'!QH6:QJ6,"B"))*3)+((COUNTIF('Elève (6ème3)'!QH6:QJ6,"C"))*2)+((COUNTIF('Elève (6ème3)'!QH6:QJ6,"D"))*1))/(COUNTA(QH6:QJ6)),"")</f>
        <v>4</v>
      </c>
      <c r="QL6" s="186" t="str">
        <f t="shared" si="105"/>
        <v>A</v>
      </c>
      <c r="QM6" s="106"/>
      <c r="QN6" s="107" t="s">
        <v>23</v>
      </c>
      <c r="QO6" s="108"/>
      <c r="QP6" s="185">
        <f>IFERROR((((COUNTIF('Elève (6ème3)'!QM6:QO6,"A"))*4)+((COUNTIF('Elève (6ème3)'!QM6:QO6,"B"))*3)+((COUNTIF('Elève (6ème3)'!QM6:QO6,"C"))*2)+((COUNTIF('Elève (6ème3)'!QM6:QO6,"D"))*1))/(COUNTA(QM6:QO6)),"")</f>
        <v>4</v>
      </c>
      <c r="QQ6" s="186" t="str">
        <f t="shared" si="106"/>
        <v>A</v>
      </c>
      <c r="QR6" s="185">
        <f>IF(COUNT(QF6,QK6,QP6)=0,"",SUM(QF6,QK6,QP6)/COUNT(QF6,QK6,QP6))</f>
        <v>4</v>
      </c>
      <c r="QS6" s="208" t="str">
        <f t="shared" si="107"/>
        <v>A</v>
      </c>
      <c r="QT6" s="112"/>
      <c r="QU6" s="107"/>
      <c r="QV6" s="108"/>
      <c r="QW6" s="109" t="str">
        <f>IFERROR((((COUNTIF('Elève (6ème3)'!QT6:QV6,"A"))*4)+((COUNTIF('Elève (6ème3)'!QT6:QV6,"B"))*3)+((COUNTIF('Elève (6ème3)'!QT6:QV6,"C"))*2)+((COUNTIF('Elève (6ème3)'!QT6:QV6,"D"))*1))/(COUNTA(QT6:QV6)),"")</f>
        <v/>
      </c>
      <c r="QX6" s="110" t="str">
        <f t="shared" si="108"/>
        <v/>
      </c>
      <c r="QY6" s="106"/>
      <c r="QZ6" s="107"/>
      <c r="RA6" s="108"/>
      <c r="RB6" s="109" t="str">
        <f>IFERROR((((COUNTIF('Elève (6ème3)'!QY6:RA6,"A"))*4)+((COUNTIF('Elève (6ème3)'!QY6:RA6,"B"))*3)+((COUNTIF('Elève (6ème3)'!QY6:RA6,"C"))*2)+((COUNTIF('Elève (6ème3)'!QY6:RA6,"D"))*1))/(COUNTA(QY6:RA6)),"")</f>
        <v/>
      </c>
      <c r="RC6" s="110" t="str">
        <f t="shared" si="109"/>
        <v/>
      </c>
      <c r="RD6" s="106"/>
      <c r="RE6" s="107"/>
      <c r="RF6" s="108"/>
      <c r="RG6" s="109" t="str">
        <f>IFERROR((((COUNTIF('Elève (6ème3)'!RD6:RF6,"A"))*4)+((COUNTIF('Elève (6ème3)'!RD6:RF6,"B"))*3)+((COUNTIF('Elève (6ème3)'!RD6:RF6,"C"))*2)+((COUNTIF('Elève (6ème3)'!RD6:RF6,"D"))*1))/(COUNTA(RD6:RF6)),"")</f>
        <v/>
      </c>
      <c r="RH6" s="110" t="str">
        <f t="shared" si="110"/>
        <v/>
      </c>
      <c r="RI6" s="109" t="str">
        <f>IF(COUNT(QW6,RB6,RG6)=0,"",SUM(QW6,RB6,RG6)/COUNT(QW6,RB6,RG6))</f>
        <v/>
      </c>
      <c r="RJ6" s="111" t="str">
        <f t="shared" si="111"/>
        <v/>
      </c>
      <c r="RK6" s="112"/>
      <c r="RL6" s="107"/>
      <c r="RM6" s="108"/>
      <c r="RN6" s="109" t="str">
        <f>IFERROR((((COUNTIF('Elève (6ème3)'!RK6:RM6,"A"))*4)+((COUNTIF('Elève (6ème3)'!RK6:RM6,"B"))*3)+((COUNTIF('Elève (6ème3)'!RK6:RM6,"C"))*2)+((COUNTIF('Elève (6ème3)'!RK6:RM6,"D"))*1))/(COUNTA(RK6:RM6)),"")</f>
        <v/>
      </c>
      <c r="RO6" s="110" t="str">
        <f t="shared" si="112"/>
        <v/>
      </c>
      <c r="RP6" s="106"/>
      <c r="RQ6" s="107"/>
      <c r="RR6" s="108"/>
      <c r="RS6" s="109" t="str">
        <f>IFERROR((((COUNTIF('Elève (6ème3)'!RP6:RR6,"A"))*4)+((COUNTIF('Elève (6ème3)'!RP6:RR6,"B"))*3)+((COUNTIF('Elève (6ème3)'!RP6:RR6,"C"))*2)+((COUNTIF('Elève (6ème3)'!RP6:RR6,"D"))*1))/(COUNTA(RP6:RR6)),"")</f>
        <v/>
      </c>
      <c r="RT6" s="110" t="str">
        <f t="shared" si="113"/>
        <v/>
      </c>
      <c r="RU6" s="106"/>
      <c r="RV6" s="107"/>
      <c r="RW6" s="108"/>
      <c r="RX6" s="109" t="str">
        <f>IFERROR((((COUNTIF('Elève (6ème3)'!RU6:RW6,"A"))*4)+((COUNTIF('Elève (6ème3)'!RU6:RW6,"B"))*3)+((COUNTIF('Elève (6ème3)'!RU6:RW6,"C"))*2)+((COUNTIF('Elève (6ème3)'!RU6:RW6,"D"))*1))/(COUNTA(RU6:RW6)),"")</f>
        <v/>
      </c>
      <c r="RY6" s="110" t="str">
        <f t="shared" si="114"/>
        <v/>
      </c>
      <c r="RZ6" s="109" t="str">
        <f>IF(COUNT(RN6,RS6,RX6)=0,"",SUM(RN6,RS6,RX6)/COUNT(RN6,RS6,RX6))</f>
        <v/>
      </c>
      <c r="SA6" s="111" t="str">
        <f t="shared" si="115"/>
        <v/>
      </c>
      <c r="SB6" s="112"/>
      <c r="SC6" s="107"/>
      <c r="SD6" s="108"/>
      <c r="SE6" s="109" t="str">
        <f>IFERROR((((COUNTIF('Elève (6ème3)'!SB6:SD6,"A"))*4)+((COUNTIF('Elève (6ème3)'!SB6:SD6,"B"))*3)+((COUNTIF('Elève (6ème3)'!SB6:SD6,"C"))*2)+((COUNTIF('Elève (6ème3)'!SB6:SD6,"D"))*1))/(COUNTA(SB6:SD6)),"")</f>
        <v/>
      </c>
      <c r="SF6" s="110" t="str">
        <f t="shared" si="116"/>
        <v/>
      </c>
      <c r="SG6" s="106"/>
      <c r="SH6" s="107"/>
      <c r="SI6" s="108"/>
      <c r="SJ6" s="109" t="str">
        <f>IFERROR((((COUNTIF('Elève (6ème3)'!SG6:SI6,"A"))*4)+((COUNTIF('Elève (6ème3)'!SG6:SI6,"B"))*3)+((COUNTIF('Elève (6ème3)'!SG6:SI6,"C"))*2)+((COUNTIF('Elève (6ème3)'!SG6:SI6,"D"))*1))/(COUNTA(SG6:SI6)),"")</f>
        <v/>
      </c>
      <c r="SK6" s="110" t="str">
        <f t="shared" si="117"/>
        <v/>
      </c>
      <c r="SL6" s="106"/>
      <c r="SM6" s="107"/>
      <c r="SN6" s="108"/>
      <c r="SO6" s="109" t="str">
        <f>IFERROR((((COUNTIF('Elève (6ème3)'!SL6:SN6,"A"))*4)+((COUNTIF('Elève (6ème3)'!SL6:SN6,"B"))*3)+((COUNTIF('Elève (6ème3)'!SL6:SN6,"C"))*2)+((COUNTIF('Elève (6ème3)'!SL6:SN6,"D"))*1))/(COUNTA(SL6:SN6)),"")</f>
        <v/>
      </c>
      <c r="SP6" s="110" t="str">
        <f t="shared" si="118"/>
        <v/>
      </c>
      <c r="SQ6" s="109" t="str">
        <f>IF(COUNT(SE6,SJ6,SO6)=0,"",SUM(SE6,SJ6,SO6)/COUNT(SE6,SJ6,SO6))</f>
        <v/>
      </c>
      <c r="SR6" s="111" t="str">
        <f t="shared" si="119"/>
        <v/>
      </c>
      <c r="SS6" s="112"/>
      <c r="ST6" s="107"/>
      <c r="SU6" s="108"/>
      <c r="SV6" s="109" t="str">
        <f>IFERROR((((COUNTIF('Elève (6ème3)'!SS6:SU6,"A"))*4)+((COUNTIF('Elève (6ème3)'!SS6:SU6,"B"))*3)+((COUNTIF('Elève (6ème3)'!SS6:SU6,"C"))*2)+((COUNTIF('Elève (6ème3)'!SS6:SU6,"D"))*1))/(COUNTA(SS6:SU6)),"")</f>
        <v/>
      </c>
      <c r="SW6" s="110" t="str">
        <f t="shared" si="120"/>
        <v/>
      </c>
      <c r="SX6" s="106"/>
      <c r="SY6" s="107"/>
      <c r="SZ6" s="108"/>
      <c r="TA6" s="109" t="str">
        <f>IFERROR((((COUNTIF('Elève (6ème3)'!SX6:SZ6,"A"))*4)+((COUNTIF('Elève (6ème3)'!SX6:SZ6,"B"))*3)+((COUNTIF('Elève (6ème3)'!SX6:SZ6,"C"))*2)+((COUNTIF('Elève (6ème3)'!SX6:SZ6,"D"))*1))/(COUNTA(SX6:SZ6)),"")</f>
        <v/>
      </c>
      <c r="TB6" s="110" t="str">
        <f t="shared" si="121"/>
        <v/>
      </c>
      <c r="TC6" s="106"/>
      <c r="TD6" s="107"/>
      <c r="TE6" s="108"/>
      <c r="TF6" s="109" t="str">
        <f>IFERROR((((COUNTIF('Elève (6ème3)'!TC6:TE6,"A"))*4)+((COUNTIF('Elève (6ème3)'!TC6:TE6,"B"))*3)+((COUNTIF('Elève (6ème3)'!TC6:TE6,"C"))*2)+((COUNTIF('Elève (6ème3)'!TC6:TE6,"D"))*1))/(COUNTA(TC6:TE6)),"")</f>
        <v/>
      </c>
      <c r="TG6" s="110" t="str">
        <f t="shared" si="122"/>
        <v/>
      </c>
      <c r="TH6" s="109" t="str">
        <f>IF(COUNT(SV6,TA6,TF6)=0,"",SUM(SV6,TA6,TF6)/COUNT(SV6,TA6,TF6))</f>
        <v/>
      </c>
      <c r="TI6" s="111" t="str">
        <f t="shared" si="123"/>
        <v/>
      </c>
      <c r="TJ6" s="112"/>
      <c r="TK6" s="107"/>
      <c r="TL6" s="108"/>
      <c r="TM6" s="109" t="str">
        <f>IFERROR((((COUNTIF('Elève (6ème3)'!TJ6:TL6,"A"))*4)+((COUNTIF('Elève (6ème3)'!TJ6:TL6,"B"))*3)+((COUNTIF('Elève (6ème3)'!TJ6:TL6,"C"))*2)+((COUNTIF('Elève (6ème3)'!TJ6:TL6,"D"))*1))/(COUNTA(TJ6:TL6)),"")</f>
        <v/>
      </c>
      <c r="TN6" s="110" t="str">
        <f t="shared" si="124"/>
        <v/>
      </c>
      <c r="TO6" s="106"/>
      <c r="TP6" s="107"/>
      <c r="TQ6" s="108"/>
      <c r="TR6" s="109" t="str">
        <f>IFERROR((((COUNTIF('Elève (6ème3)'!TO6:TQ6,"A"))*4)+((COUNTIF('Elève (6ème3)'!TO6:TQ6,"B"))*3)+((COUNTIF('Elève (6ème3)'!TO6:TQ6,"C"))*2)+((COUNTIF('Elève (6ème3)'!TO6:TQ6,"D"))*1))/(COUNTA(TO6:TQ6)),"")</f>
        <v/>
      </c>
      <c r="TS6" s="110" t="str">
        <f t="shared" si="125"/>
        <v/>
      </c>
      <c r="TT6" s="106"/>
      <c r="TU6" s="107"/>
      <c r="TV6" s="108"/>
      <c r="TW6" s="109" t="str">
        <f>IFERROR((((COUNTIF('Elève (6ème3)'!TT6:TV6,"A"))*4)+((COUNTIF('Elève (6ème3)'!TT6:TV6,"B"))*3)+((COUNTIF('Elève (6ème3)'!TT6:TV6,"C"))*2)+((COUNTIF('Elève (6ème3)'!TT6:TV6,"D"))*1))/(COUNTA(TT6:TV6)),"")</f>
        <v/>
      </c>
      <c r="TX6" s="110" t="str">
        <f t="shared" si="126"/>
        <v/>
      </c>
      <c r="TY6" s="109" t="str">
        <f>IF(COUNT(TM6,TR6,TW6)=0,"",SUM(TM6,TR6,TW6)/COUNT(TM6,TR6,TW6))</f>
        <v/>
      </c>
      <c r="TZ6" s="111" t="str">
        <f t="shared" si="127"/>
        <v/>
      </c>
    </row>
    <row r="7" spans="1:546" s="116" customFormat="1" ht="17.25" customHeight="1" thickBot="1" x14ac:dyDescent="0.3">
      <c r="A7" s="162" t="s">
        <v>14</v>
      </c>
      <c r="B7" s="162">
        <v>1</v>
      </c>
      <c r="C7" s="244"/>
      <c r="D7" s="245"/>
      <c r="E7" s="246"/>
      <c r="F7" s="181" t="str">
        <f>IF(COUNT(F8:F11)=0,"",SUM(F8:F11)/COUNT(F8:F11))</f>
        <v/>
      </c>
      <c r="G7" s="182" t="str">
        <f t="shared" si="0"/>
        <v/>
      </c>
      <c r="H7" s="247"/>
      <c r="I7" s="245"/>
      <c r="J7" s="246"/>
      <c r="K7" s="181">
        <f>IF(COUNT(K8,K11)=0,"",SUM(K8:K11)/COUNT(K8,K11))</f>
        <v>3</v>
      </c>
      <c r="L7" s="198" t="str">
        <f t="shared" si="1"/>
        <v>B</v>
      </c>
      <c r="M7" s="247"/>
      <c r="N7" s="245"/>
      <c r="O7" s="246"/>
      <c r="P7" s="181">
        <f>IF(COUNT(P8,P11)=0,"",SUM(P8:P11)/COUNT(P8,P11))</f>
        <v>6.25</v>
      </c>
      <c r="Q7" s="205" t="str">
        <f t="shared" si="2"/>
        <v>A</v>
      </c>
      <c r="R7" s="181">
        <f>IF(COUNT(R8:R11)=0,"",SUM(R8:R11)/COUNT(R8:R11))</f>
        <v>3.1875</v>
      </c>
      <c r="S7" s="206" t="str">
        <f t="shared" si="3"/>
        <v>B</v>
      </c>
      <c r="T7" s="245"/>
      <c r="U7" s="245"/>
      <c r="V7" s="246"/>
      <c r="W7" s="181" t="str">
        <f>IF(COUNT(W8:W11)=0,"",SUM(W8:W11)/COUNT(W8:W11))</f>
        <v/>
      </c>
      <c r="X7" s="182" t="str">
        <f t="shared" si="4"/>
        <v/>
      </c>
      <c r="Y7" s="247"/>
      <c r="Z7" s="245"/>
      <c r="AA7" s="246"/>
      <c r="AB7" s="181">
        <f>IF(COUNT(AB8,AB11)=0,"",SUM(AB8:AB11)/COUNT(AB8,AB11))</f>
        <v>4</v>
      </c>
      <c r="AC7" s="198" t="str">
        <f t="shared" si="5"/>
        <v>A</v>
      </c>
      <c r="AD7" s="247"/>
      <c r="AE7" s="245"/>
      <c r="AF7" s="246"/>
      <c r="AG7" s="181">
        <f>IF(COUNT(AG8,AG11)=0,"",SUM(AG8:AG11)/COUNT(AG8,AG11))</f>
        <v>7.25</v>
      </c>
      <c r="AH7" s="205" t="str">
        <f t="shared" si="6"/>
        <v>A</v>
      </c>
      <c r="AI7" s="181">
        <f>IF(COUNT(AI8:AI11)=0,"",SUM(AI8:AI11)/COUNT(AI8:AI11))</f>
        <v>3.6875</v>
      </c>
      <c r="AJ7" s="206" t="str">
        <f t="shared" si="7"/>
        <v>B</v>
      </c>
      <c r="AK7" s="245"/>
      <c r="AL7" s="245"/>
      <c r="AM7" s="246"/>
      <c r="AN7" s="181" t="str">
        <f>IF(COUNT(AN8:AN11)=0,"",SUM(AN8:AN11)/COUNT(AN8:AN11))</f>
        <v/>
      </c>
      <c r="AO7" s="182" t="str">
        <f t="shared" si="8"/>
        <v/>
      </c>
      <c r="AP7" s="247"/>
      <c r="AQ7" s="245"/>
      <c r="AR7" s="246"/>
      <c r="AS7" s="181">
        <f>IF(COUNT(AS8,AS11)=0,"",SUM(AS8:AS11)/COUNT(AS8,AS11))</f>
        <v>4</v>
      </c>
      <c r="AT7" s="198" t="str">
        <f t="shared" si="9"/>
        <v>A</v>
      </c>
      <c r="AU7" s="247"/>
      <c r="AV7" s="245"/>
      <c r="AW7" s="246"/>
      <c r="AX7" s="181">
        <f>IF(COUNT(AX8,AX11)=0,"",SUM(AX8:AX11)/COUNT(AX8,AX11))</f>
        <v>6.5</v>
      </c>
      <c r="AY7" s="205" t="str">
        <f t="shared" si="10"/>
        <v>A</v>
      </c>
      <c r="AZ7" s="181">
        <f>IF(COUNT(AZ8:AZ11)=0,"",SUM(AZ8:AZ11)/COUNT(AZ8:AZ11))</f>
        <v>3.375</v>
      </c>
      <c r="BA7" s="206" t="str">
        <f t="shared" si="11"/>
        <v>B</v>
      </c>
      <c r="BB7" s="245"/>
      <c r="BC7" s="245"/>
      <c r="BD7" s="246"/>
      <c r="BE7" s="181" t="str">
        <f>IF(COUNT(BE8:BE11)=0,"",SUM(BE8:BE11)/COUNT(BE8:BE11))</f>
        <v/>
      </c>
      <c r="BF7" s="182" t="str">
        <f t="shared" si="12"/>
        <v/>
      </c>
      <c r="BG7" s="247"/>
      <c r="BH7" s="245"/>
      <c r="BI7" s="246"/>
      <c r="BJ7" s="181">
        <f>IF(COUNT(BJ8,BJ11)=0,"",SUM(BJ8:BJ11)/COUNT(BJ8,BJ11))</f>
        <v>4</v>
      </c>
      <c r="BK7" s="198" t="str">
        <f t="shared" si="13"/>
        <v>A</v>
      </c>
      <c r="BL7" s="247"/>
      <c r="BM7" s="245"/>
      <c r="BN7" s="246"/>
      <c r="BO7" s="181">
        <f>IF(COUNT(BO8,BO11)=0,"",SUM(BO8:BO11)/COUNT(BO8,BO11))</f>
        <v>6.75</v>
      </c>
      <c r="BP7" s="205" t="str">
        <f t="shared" si="14"/>
        <v>A</v>
      </c>
      <c r="BQ7" s="181">
        <f>IF(COUNT(BQ8:BQ11)=0,"",SUM(BQ8:BQ11)/COUNT(BQ8:BQ11))</f>
        <v>3.4375</v>
      </c>
      <c r="BR7" s="206" t="str">
        <f t="shared" si="15"/>
        <v>B</v>
      </c>
      <c r="BS7" s="245"/>
      <c r="BT7" s="245"/>
      <c r="BU7" s="246"/>
      <c r="BV7" s="181" t="str">
        <f>IF(COUNT(BV8:BV11)=0,"",SUM(BV8:BV11)/COUNT(BV8:BV11))</f>
        <v/>
      </c>
      <c r="BW7" s="182" t="str">
        <f t="shared" si="16"/>
        <v/>
      </c>
      <c r="BX7" s="247"/>
      <c r="BY7" s="245"/>
      <c r="BZ7" s="246"/>
      <c r="CA7" s="181">
        <f>IF(COUNT(CA8,CA11)=0,"",SUM(CA8:CA11)/COUNT(CA8,CA11))</f>
        <v>4</v>
      </c>
      <c r="CB7" s="198" t="str">
        <f t="shared" si="17"/>
        <v>A</v>
      </c>
      <c r="CC7" s="247"/>
      <c r="CD7" s="245"/>
      <c r="CE7" s="246"/>
      <c r="CF7" s="181">
        <f>IF(COUNT(CF8,CF11)=0,"",SUM(CF8:CF11)/COUNT(CF8,CF11))</f>
        <v>7.5</v>
      </c>
      <c r="CG7" s="205" t="str">
        <f t="shared" si="18"/>
        <v>A</v>
      </c>
      <c r="CH7" s="181">
        <f>IF(COUNT(CH8:CH11)=0,"",SUM(CH8:CH11)/COUNT(CH8:CH11))</f>
        <v>3.75</v>
      </c>
      <c r="CI7" s="206" t="str">
        <f t="shared" si="19"/>
        <v>A</v>
      </c>
      <c r="CJ7" s="245"/>
      <c r="CK7" s="245"/>
      <c r="CL7" s="246"/>
      <c r="CM7" s="181" t="str">
        <f>IF(COUNT(CM8:CM11)=0,"",SUM(CM8:CM11)/COUNT(CM8:CM11))</f>
        <v/>
      </c>
      <c r="CN7" s="182" t="str">
        <f t="shared" si="20"/>
        <v/>
      </c>
      <c r="CO7" s="247"/>
      <c r="CP7" s="245"/>
      <c r="CQ7" s="246"/>
      <c r="CR7" s="181">
        <f>IF(COUNT(CR8,CR11)=0,"",SUM(CR8:CR11)/COUNT(CR8,CR11))</f>
        <v>2</v>
      </c>
      <c r="CS7" s="198" t="str">
        <f t="shared" si="21"/>
        <v>C</v>
      </c>
      <c r="CT7" s="247"/>
      <c r="CU7" s="245"/>
      <c r="CV7" s="246"/>
      <c r="CW7" s="181">
        <f>IF(COUNT(CW8,CW11)=0,"",SUM(CW8:CW11)/COUNT(CW8,CW11))</f>
        <v>4</v>
      </c>
      <c r="CX7" s="205" t="str">
        <f t="shared" si="22"/>
        <v>A</v>
      </c>
      <c r="CY7" s="181">
        <f>IF(COUNT(CY8:CY11)=0,"",SUM(CY8:CY11)/COUNT(CY8:CY11))</f>
        <v>2</v>
      </c>
      <c r="CZ7" s="206" t="str">
        <f t="shared" si="23"/>
        <v>C</v>
      </c>
      <c r="DA7" s="245"/>
      <c r="DB7" s="245"/>
      <c r="DC7" s="246"/>
      <c r="DD7" s="181" t="str">
        <f>IF(COUNT(DD8:DD11)=0,"",SUM(DD8:DD11)/COUNT(DD8:DD11))</f>
        <v/>
      </c>
      <c r="DE7" s="182" t="str">
        <f t="shared" si="24"/>
        <v/>
      </c>
      <c r="DF7" s="247"/>
      <c r="DG7" s="245"/>
      <c r="DH7" s="246"/>
      <c r="DI7" s="181">
        <f>IF(COUNT(DI8,DI11)=0,"",SUM(DI8:DI11)/COUNT(DI8,DI11))</f>
        <v>4</v>
      </c>
      <c r="DJ7" s="198" t="str">
        <f t="shared" si="25"/>
        <v>A</v>
      </c>
      <c r="DK7" s="247"/>
      <c r="DL7" s="245"/>
      <c r="DM7" s="246"/>
      <c r="DN7" s="181">
        <f>IF(COUNT(DN8,DN11)=0,"",SUM(DN8:DN11)/COUNT(DN8,DN11))</f>
        <v>6</v>
      </c>
      <c r="DO7" s="205" t="str">
        <f t="shared" si="26"/>
        <v>A</v>
      </c>
      <c r="DP7" s="181">
        <f>IF(COUNT(DP8:DP11)=0,"",SUM(DP8:DP11)/COUNT(DP8:DP11))</f>
        <v>3.125</v>
      </c>
      <c r="DQ7" s="206" t="str">
        <f t="shared" si="27"/>
        <v>B</v>
      </c>
      <c r="DR7" s="245"/>
      <c r="DS7" s="245"/>
      <c r="DT7" s="246"/>
      <c r="DU7" s="181" t="str">
        <f>IF(COUNT(DU8:DU11)=0,"",SUM(DU8:DU11)/COUNT(DU8:DU11))</f>
        <v/>
      </c>
      <c r="DV7" s="182" t="str">
        <f t="shared" si="28"/>
        <v/>
      </c>
      <c r="DW7" s="247"/>
      <c r="DX7" s="245"/>
      <c r="DY7" s="246"/>
      <c r="DZ7" s="181">
        <f>IF(COUNT(DZ8,DZ11)=0,"",SUM(DZ8:DZ11)/COUNT(DZ8,DZ11))</f>
        <v>4</v>
      </c>
      <c r="EA7" s="198" t="str">
        <f t="shared" si="29"/>
        <v>A</v>
      </c>
      <c r="EB7" s="247"/>
      <c r="EC7" s="245"/>
      <c r="ED7" s="246"/>
      <c r="EE7" s="181">
        <f>IF(COUNT(EE8,EE11)=0,"",SUM(EE8:EE11)/COUNT(EE8,EE11))</f>
        <v>7</v>
      </c>
      <c r="EF7" s="205" t="str">
        <f t="shared" si="30"/>
        <v>A</v>
      </c>
      <c r="EG7" s="181">
        <f>IF(COUNT(EG8:EG11)=0,"",SUM(EG8:EG11)/COUNT(EG8:EG11))</f>
        <v>3.625</v>
      </c>
      <c r="EH7" s="206" t="str">
        <f t="shared" si="31"/>
        <v>B</v>
      </c>
      <c r="EI7" s="245"/>
      <c r="EJ7" s="245"/>
      <c r="EK7" s="246"/>
      <c r="EL7" s="181" t="str">
        <f>IF(COUNT(EL8:EL11)=0,"",SUM(EL8:EL11)/COUNT(EL8:EL11))</f>
        <v/>
      </c>
      <c r="EM7" s="182" t="str">
        <f t="shared" si="32"/>
        <v/>
      </c>
      <c r="EN7" s="247"/>
      <c r="EO7" s="245"/>
      <c r="EP7" s="246"/>
      <c r="EQ7" s="181">
        <f>IF(COUNT(EQ8,EQ11)=0,"",SUM(EQ8:EQ11)/COUNT(EQ8,EQ11))</f>
        <v>4</v>
      </c>
      <c r="ER7" s="198" t="str">
        <f t="shared" si="33"/>
        <v>A</v>
      </c>
      <c r="ES7" s="247"/>
      <c r="ET7" s="245"/>
      <c r="EU7" s="246"/>
      <c r="EV7" s="181">
        <f>IF(COUNT(EV8,EV11)=0,"",SUM(EV8:EV11)/COUNT(EV8,EV11))</f>
        <v>6.75</v>
      </c>
      <c r="EW7" s="205" t="str">
        <f t="shared" si="34"/>
        <v>A</v>
      </c>
      <c r="EX7" s="181">
        <f>IF(COUNT(EX8:EX11)=0,"",SUM(EX8:EX11)/COUNT(EX8:EX11))</f>
        <v>3.4375</v>
      </c>
      <c r="EY7" s="206" t="str">
        <f t="shared" si="35"/>
        <v>B</v>
      </c>
      <c r="EZ7" s="245"/>
      <c r="FA7" s="245"/>
      <c r="FB7" s="246"/>
      <c r="FC7" s="181" t="str">
        <f>IF(COUNT(FC8:FC11)=0,"",SUM(FC8:FC11)/COUNT(FC8:FC11))</f>
        <v/>
      </c>
      <c r="FD7" s="182" t="str">
        <f t="shared" si="36"/>
        <v/>
      </c>
      <c r="FE7" s="247"/>
      <c r="FF7" s="245"/>
      <c r="FG7" s="246"/>
      <c r="FH7" s="181">
        <f>IF(COUNT(FH8,FH11)=0,"",SUM(FH8:FH11)/COUNT(FH8,FH11))</f>
        <v>4</v>
      </c>
      <c r="FI7" s="198" t="str">
        <f t="shared" si="37"/>
        <v>A</v>
      </c>
      <c r="FJ7" s="247"/>
      <c r="FK7" s="245"/>
      <c r="FL7" s="246"/>
      <c r="FM7" s="181">
        <f>IF(COUNT(FM8,FM11)=0,"",SUM(FM8:FM11)/COUNT(FM8,FM11))</f>
        <v>7.25</v>
      </c>
      <c r="FN7" s="205" t="str">
        <f t="shared" si="38"/>
        <v>A</v>
      </c>
      <c r="FO7" s="181">
        <f>IF(COUNT(FO8:FO11)=0,"",SUM(FO8:FO11)/COUNT(FO8:FO11))</f>
        <v>3.6875</v>
      </c>
      <c r="FP7" s="206" t="str">
        <f t="shared" si="39"/>
        <v>B</v>
      </c>
      <c r="FQ7" s="245"/>
      <c r="FR7" s="245"/>
      <c r="FS7" s="246"/>
      <c r="FT7" s="181" t="str">
        <f>IF(COUNT(FT8:FT11)=0,"",SUM(FT8:FT11)/COUNT(FT8:FT11))</f>
        <v/>
      </c>
      <c r="FU7" s="182" t="str">
        <f t="shared" si="40"/>
        <v/>
      </c>
      <c r="FV7" s="247"/>
      <c r="FW7" s="245"/>
      <c r="FX7" s="246"/>
      <c r="FY7" s="181">
        <f>IF(COUNT(FY8,FY11)=0,"",SUM(FY8:FY11)/COUNT(FY8,FY11))</f>
        <v>2</v>
      </c>
      <c r="FZ7" s="198" t="str">
        <f t="shared" si="41"/>
        <v>C</v>
      </c>
      <c r="GA7" s="247"/>
      <c r="GB7" s="245"/>
      <c r="GC7" s="246"/>
      <c r="GD7" s="181">
        <f>IF(COUNT(GD8,GD11)=0,"",SUM(GD8:GD11)/COUNT(GD8,GD11))</f>
        <v>6.25</v>
      </c>
      <c r="GE7" s="205" t="str">
        <f t="shared" si="42"/>
        <v>A</v>
      </c>
      <c r="GF7" s="181">
        <f>IF(COUNT(GF8:GF11)=0,"",SUM(GF8:GF11)/COUNT(GF8:GF11))</f>
        <v>3.0625</v>
      </c>
      <c r="GG7" s="206" t="str">
        <f t="shared" si="43"/>
        <v>B</v>
      </c>
      <c r="GH7" s="245"/>
      <c r="GI7" s="245"/>
      <c r="GJ7" s="246"/>
      <c r="GK7" s="181" t="str">
        <f>IF(COUNT(GK8:GK11)=0,"",SUM(GK8:GK11)/COUNT(GK8:GK11))</f>
        <v/>
      </c>
      <c r="GL7" s="182" t="str">
        <f t="shared" si="44"/>
        <v/>
      </c>
      <c r="GM7" s="247"/>
      <c r="GN7" s="245"/>
      <c r="GO7" s="246"/>
      <c r="GP7" s="181">
        <f>IF(COUNT(GP8,GP11)=0,"",SUM(GP8:GP11)/COUNT(GP8,GP11))</f>
        <v>4</v>
      </c>
      <c r="GQ7" s="198" t="str">
        <f t="shared" si="45"/>
        <v>A</v>
      </c>
      <c r="GR7" s="247"/>
      <c r="GS7" s="245"/>
      <c r="GT7" s="246"/>
      <c r="GU7" s="181">
        <f>IF(COUNT(GU8,GU11)=0,"",SUM(GU8:GU11)/COUNT(GU8,GU11))</f>
        <v>8</v>
      </c>
      <c r="GV7" s="205" t="str">
        <f t="shared" si="46"/>
        <v>A</v>
      </c>
      <c r="GW7" s="181">
        <f>IF(COUNT(GW8:GW11)=0,"",SUM(GW8:GW11)/COUNT(GW8:GW11))</f>
        <v>4</v>
      </c>
      <c r="GX7" s="206" t="str">
        <f t="shared" si="47"/>
        <v>A</v>
      </c>
      <c r="GY7" s="245"/>
      <c r="GZ7" s="245"/>
      <c r="HA7" s="246"/>
      <c r="HB7" s="181" t="str">
        <f>IF(COUNT(HB8:HB11)=0,"",SUM(HB8:HB11)/COUNT(HB8:HB11))</f>
        <v/>
      </c>
      <c r="HC7" s="182" t="str">
        <f t="shared" si="48"/>
        <v/>
      </c>
      <c r="HD7" s="247"/>
      <c r="HE7" s="245"/>
      <c r="HF7" s="246"/>
      <c r="HG7" s="181">
        <f>IF(COUNT(HG8,HG11)=0,"",SUM(HG8:HG11)/COUNT(HG8,HG11))</f>
        <v>2</v>
      </c>
      <c r="HH7" s="198" t="str">
        <f t="shared" si="49"/>
        <v>C</v>
      </c>
      <c r="HI7" s="247"/>
      <c r="HJ7" s="245"/>
      <c r="HK7" s="246"/>
      <c r="HL7" s="181">
        <f>IF(COUNT(HL8,HL11)=0,"",SUM(HL8:HL11)/COUNT(HL8,HL11))</f>
        <v>6</v>
      </c>
      <c r="HM7" s="205" t="str">
        <f t="shared" si="50"/>
        <v>A</v>
      </c>
      <c r="HN7" s="181">
        <f>IF(COUNT(HN8:HN11)=0,"",SUM(HN8:HN11)/COUNT(HN8:HN11))</f>
        <v>3</v>
      </c>
      <c r="HO7" s="206" t="str">
        <f t="shared" si="51"/>
        <v>B</v>
      </c>
      <c r="HP7" s="245"/>
      <c r="HQ7" s="245"/>
      <c r="HR7" s="246"/>
      <c r="HS7" s="181" t="str">
        <f>IF(COUNT(HS8:HS11)=0,"",SUM(HS8:HS11)/COUNT(HS8:HS11))</f>
        <v/>
      </c>
      <c r="HT7" s="182" t="str">
        <f t="shared" si="52"/>
        <v/>
      </c>
      <c r="HU7" s="247"/>
      <c r="HV7" s="245"/>
      <c r="HW7" s="246"/>
      <c r="HX7" s="181">
        <f>IF(COUNT(HX8,HX11)=0,"",SUM(HX8:HX11)/COUNT(HX8,HX11))</f>
        <v>4</v>
      </c>
      <c r="HY7" s="198" t="str">
        <f t="shared" si="53"/>
        <v>A</v>
      </c>
      <c r="HZ7" s="247"/>
      <c r="IA7" s="245"/>
      <c r="IB7" s="246"/>
      <c r="IC7" s="181">
        <f>IF(COUNT(IC8,IC11)=0,"",SUM(IC8:IC11)/COUNT(IC8,IC11))</f>
        <v>7</v>
      </c>
      <c r="ID7" s="205" t="str">
        <f t="shared" si="54"/>
        <v>A</v>
      </c>
      <c r="IE7" s="181">
        <f>IF(COUNT(IE8:IE11)=0,"",SUM(IE8:IE11)/COUNT(IE8:IE11))</f>
        <v>3.5</v>
      </c>
      <c r="IF7" s="206" t="str">
        <f t="shared" si="55"/>
        <v>B</v>
      </c>
      <c r="IG7" s="245"/>
      <c r="IH7" s="245"/>
      <c r="II7" s="246"/>
      <c r="IJ7" s="181" t="str">
        <f>IF(COUNT(IJ8:IJ11)=0,"",SUM(IJ8:IJ11)/COUNT(IJ8:IJ11))</f>
        <v/>
      </c>
      <c r="IK7" s="182" t="str">
        <f t="shared" si="56"/>
        <v/>
      </c>
      <c r="IL7" s="247"/>
      <c r="IM7" s="245"/>
      <c r="IN7" s="246"/>
      <c r="IO7" s="181">
        <f>IF(COUNT(IO8,IO11)=0,"",SUM(IO8:IO11)/COUNT(IO8,IO11))</f>
        <v>4</v>
      </c>
      <c r="IP7" s="198" t="str">
        <f t="shared" si="57"/>
        <v>A</v>
      </c>
      <c r="IQ7" s="247"/>
      <c r="IR7" s="245"/>
      <c r="IS7" s="246"/>
      <c r="IT7" s="181">
        <f>IF(COUNT(IT8,IT11)=0,"",SUM(IT8:IT11)/COUNT(IT8,IT11))</f>
        <v>4</v>
      </c>
      <c r="IU7" s="205" t="str">
        <f t="shared" si="58"/>
        <v>A</v>
      </c>
      <c r="IV7" s="181">
        <f>IF(COUNT(IV8:IV11)=0,"",SUM(IV8:IV11)/COUNT(IV8:IV11))</f>
        <v>2.25</v>
      </c>
      <c r="IW7" s="206" t="str">
        <f t="shared" si="59"/>
        <v>C</v>
      </c>
      <c r="IX7" s="245"/>
      <c r="IY7" s="245"/>
      <c r="IZ7" s="246"/>
      <c r="JA7" s="181" t="str">
        <f>IF(COUNT(JA8:JA11)=0,"",SUM(JA8:JA11)/COUNT(JA8:JA11))</f>
        <v/>
      </c>
      <c r="JB7" s="182" t="str">
        <f t="shared" si="60"/>
        <v/>
      </c>
      <c r="JC7" s="247"/>
      <c r="JD7" s="245"/>
      <c r="JE7" s="246"/>
      <c r="JF7" s="181">
        <f>IF(COUNT(JF8,JF11)=0,"",SUM(JF8:JF11)/COUNT(JF8,JF11))</f>
        <v>4</v>
      </c>
      <c r="JG7" s="198" t="str">
        <f t="shared" si="61"/>
        <v>A</v>
      </c>
      <c r="JH7" s="247"/>
      <c r="JI7" s="245"/>
      <c r="JJ7" s="246"/>
      <c r="JK7" s="181">
        <f>IF(COUNT(JK8,JK11)=0,"",SUM(JK8:JK11)/COUNT(JK8,JK11))</f>
        <v>6.5</v>
      </c>
      <c r="JL7" s="205" t="str">
        <f t="shared" si="62"/>
        <v>A</v>
      </c>
      <c r="JM7" s="181">
        <f>IF(COUNT(JM8:JM11)=0,"",SUM(JM8:JM11)/COUNT(JM8:JM11))</f>
        <v>3.375</v>
      </c>
      <c r="JN7" s="206" t="str">
        <f t="shared" si="63"/>
        <v>B</v>
      </c>
      <c r="JO7" s="245"/>
      <c r="JP7" s="245"/>
      <c r="JQ7" s="246"/>
      <c r="JR7" s="181" t="str">
        <f>IF(COUNT(JR8:JR11)=0,"",SUM(JR8:JR11)/COUNT(JR8:JR11))</f>
        <v/>
      </c>
      <c r="JS7" s="182" t="str">
        <f t="shared" si="64"/>
        <v/>
      </c>
      <c r="JT7" s="247"/>
      <c r="JU7" s="245"/>
      <c r="JV7" s="246"/>
      <c r="JW7" s="181">
        <f>IF(COUNT(JW8,JW11)=0,"",SUM(JW8:JW11)/COUNT(JW8,JW11))</f>
        <v>4</v>
      </c>
      <c r="JX7" s="198" t="str">
        <f t="shared" si="65"/>
        <v>A</v>
      </c>
      <c r="JY7" s="247"/>
      <c r="JZ7" s="245"/>
      <c r="KA7" s="246"/>
      <c r="KB7" s="181">
        <f>IF(COUNT(KB8,KB11)=0,"",SUM(KB8:KB11)/COUNT(KB8,KB11))</f>
        <v>7.25</v>
      </c>
      <c r="KC7" s="205" t="str">
        <f t="shared" si="66"/>
        <v>A</v>
      </c>
      <c r="KD7" s="181">
        <f>IF(COUNT(KD8:KD11)=0,"",SUM(KD8:KD11)/COUNT(KD8:KD11))</f>
        <v>3.6875</v>
      </c>
      <c r="KE7" s="206" t="str">
        <f t="shared" si="67"/>
        <v>B</v>
      </c>
      <c r="KF7" s="245"/>
      <c r="KG7" s="245"/>
      <c r="KH7" s="246"/>
      <c r="KI7" s="181" t="str">
        <f>IF(COUNT(KI8:KI11)=0,"",SUM(KI8:KI11)/COUNT(KI8:KI11))</f>
        <v/>
      </c>
      <c r="KJ7" s="182" t="str">
        <f t="shared" si="68"/>
        <v/>
      </c>
      <c r="KK7" s="247"/>
      <c r="KL7" s="245"/>
      <c r="KM7" s="246"/>
      <c r="KN7" s="181">
        <f>IF(COUNT(KN8,KN11)=0,"",SUM(KN8:KN11)/COUNT(KN8,KN11))</f>
        <v>4</v>
      </c>
      <c r="KO7" s="198" t="str">
        <f t="shared" si="69"/>
        <v>A</v>
      </c>
      <c r="KP7" s="247"/>
      <c r="KQ7" s="245"/>
      <c r="KR7" s="246"/>
      <c r="KS7" s="181">
        <f>IF(COUNT(KS8,KS11)=0,"",SUM(KS8:KS11)/COUNT(KS8,KS11))</f>
        <v>6.75</v>
      </c>
      <c r="KT7" s="205" t="str">
        <f t="shared" si="70"/>
        <v>A</v>
      </c>
      <c r="KU7" s="181">
        <f>IF(COUNT(KU8:KU11)=0,"",SUM(KU8:KU11)/COUNT(KU8:KU11))</f>
        <v>3.4375</v>
      </c>
      <c r="KV7" s="206" t="str">
        <f t="shared" si="71"/>
        <v>B</v>
      </c>
      <c r="KW7" s="245"/>
      <c r="KX7" s="245"/>
      <c r="KY7" s="246"/>
      <c r="KZ7" s="181" t="str">
        <f>IF(COUNT(KZ8:KZ11)=0,"",SUM(KZ8:KZ11)/COUNT(KZ8:KZ11))</f>
        <v/>
      </c>
      <c r="LA7" s="182" t="str">
        <f t="shared" si="72"/>
        <v/>
      </c>
      <c r="LB7" s="247"/>
      <c r="LC7" s="245"/>
      <c r="LD7" s="246"/>
      <c r="LE7" s="181">
        <f>IF(COUNT(LE8,LE11)=0,"",SUM(LE8:LE11)/COUNT(LE8,LE11))</f>
        <v>3</v>
      </c>
      <c r="LF7" s="198" t="str">
        <f t="shared" si="73"/>
        <v>B</v>
      </c>
      <c r="LG7" s="247"/>
      <c r="LH7" s="245"/>
      <c r="LI7" s="246"/>
      <c r="LJ7" s="181">
        <f>IF(COUNT(LJ8,LJ11)=0,"",SUM(LJ8:LJ11)/COUNT(LJ8,LJ11))</f>
        <v>6.75</v>
      </c>
      <c r="LK7" s="205" t="str">
        <f t="shared" si="74"/>
        <v>A</v>
      </c>
      <c r="LL7" s="181">
        <f>IF(COUNT(LL8:LL11)=0,"",SUM(LL8:LL11)/COUNT(LL8:LL11))</f>
        <v>3.3125</v>
      </c>
      <c r="LM7" s="206" t="str">
        <f t="shared" si="75"/>
        <v>B</v>
      </c>
      <c r="LN7" s="245"/>
      <c r="LO7" s="245"/>
      <c r="LP7" s="246"/>
      <c r="LQ7" s="181" t="str">
        <f>IF(COUNT(LQ8:LQ11)=0,"",SUM(LQ8:LQ11)/COUNT(LQ8:LQ11))</f>
        <v/>
      </c>
      <c r="LR7" s="182" t="str">
        <f t="shared" si="76"/>
        <v/>
      </c>
      <c r="LS7" s="247"/>
      <c r="LT7" s="245"/>
      <c r="LU7" s="246"/>
      <c r="LV7" s="181">
        <f>IF(COUNT(LV8,LV11)=0,"",SUM(LV8:LV11)/COUNT(LV8,LV11))</f>
        <v>4</v>
      </c>
      <c r="LW7" s="198" t="str">
        <f t="shared" si="77"/>
        <v>A</v>
      </c>
      <c r="LX7" s="247"/>
      <c r="LY7" s="245"/>
      <c r="LZ7" s="246"/>
      <c r="MA7" s="181">
        <f>IF(COUNT(MA8,MA11)=0,"",SUM(MA8:MA11)/COUNT(MA8,MA11))</f>
        <v>6.75</v>
      </c>
      <c r="MB7" s="205" t="str">
        <f t="shared" si="78"/>
        <v>A</v>
      </c>
      <c r="MC7" s="181">
        <f>IF(COUNT(MC8:MC11)=0,"",SUM(MC8:MC11)/COUNT(MC8:MC11))</f>
        <v>3.4375</v>
      </c>
      <c r="MD7" s="206" t="str">
        <f t="shared" si="79"/>
        <v>B</v>
      </c>
      <c r="ME7" s="245"/>
      <c r="MF7" s="245"/>
      <c r="MG7" s="246"/>
      <c r="MH7" s="181" t="str">
        <f>IF(COUNT(MH8:MH11)=0,"",SUM(MH8:MH11)/COUNT(MH8:MH11))</f>
        <v/>
      </c>
      <c r="MI7" s="182" t="str">
        <f t="shared" si="80"/>
        <v/>
      </c>
      <c r="MJ7" s="247"/>
      <c r="MK7" s="245"/>
      <c r="ML7" s="246"/>
      <c r="MM7" s="181">
        <f>IF(COUNT(MM8,MM11)=0,"",SUM(MM8:MM11)/COUNT(MM8,MM11))</f>
        <v>4</v>
      </c>
      <c r="MN7" s="198" t="str">
        <f t="shared" si="81"/>
        <v>A</v>
      </c>
      <c r="MO7" s="247"/>
      <c r="MP7" s="245"/>
      <c r="MQ7" s="246"/>
      <c r="MR7" s="181">
        <f>IF(COUNT(MR8,MR11)=0,"",SUM(MR8:MR11)/COUNT(MR8,MR11))</f>
        <v>4</v>
      </c>
      <c r="MS7" s="205" t="str">
        <f t="shared" si="82"/>
        <v>A</v>
      </c>
      <c r="MT7" s="181">
        <f>IF(COUNT(MT8:MT11)=0,"",SUM(MT8:MT11)/COUNT(MT8:MT11))</f>
        <v>2.25</v>
      </c>
      <c r="MU7" s="206" t="str">
        <f t="shared" si="83"/>
        <v>C</v>
      </c>
      <c r="MV7" s="245"/>
      <c r="MW7" s="245"/>
      <c r="MX7" s="246"/>
      <c r="MY7" s="181" t="str">
        <f>IF(COUNT(MY8:MY11)=0,"",SUM(MY8:MY11)/COUNT(MY8:MY11))</f>
        <v/>
      </c>
      <c r="MZ7" s="182" t="str">
        <f t="shared" si="84"/>
        <v/>
      </c>
      <c r="NA7" s="247"/>
      <c r="NB7" s="245"/>
      <c r="NC7" s="246"/>
      <c r="ND7" s="181">
        <f>IF(COUNT(ND8,ND11)=0,"",SUM(ND8:ND11)/COUNT(ND8,ND11))</f>
        <v>4</v>
      </c>
      <c r="NE7" s="198" t="str">
        <f t="shared" si="85"/>
        <v>A</v>
      </c>
      <c r="NF7" s="247"/>
      <c r="NG7" s="245"/>
      <c r="NH7" s="246"/>
      <c r="NI7" s="181">
        <f>IF(COUNT(NI8,NI11)=0,"",SUM(NI8:NI11)/COUNT(NI8,NI11))</f>
        <v>7</v>
      </c>
      <c r="NJ7" s="205" t="str">
        <f t="shared" si="86"/>
        <v>A</v>
      </c>
      <c r="NK7" s="181">
        <f>IF(COUNT(NK8:NK11)=0,"",SUM(NK8:NK11)/COUNT(NK8:NK11))</f>
        <v>3.5</v>
      </c>
      <c r="NL7" s="206" t="str">
        <f t="shared" si="87"/>
        <v>B</v>
      </c>
      <c r="NM7" s="245"/>
      <c r="NN7" s="245"/>
      <c r="NO7" s="246"/>
      <c r="NP7" s="181" t="str">
        <f>IF(COUNT(NP8:NP11)=0,"",SUM(NP8:NP11)/COUNT(NP8:NP11))</f>
        <v/>
      </c>
      <c r="NQ7" s="182" t="str">
        <f t="shared" si="88"/>
        <v/>
      </c>
      <c r="NR7" s="247"/>
      <c r="NS7" s="245"/>
      <c r="NT7" s="246"/>
      <c r="NU7" s="181">
        <f>IF(COUNT(NU8,NU11)=0,"",SUM(NU8:NU11)/COUNT(NU8,NU11))</f>
        <v>4</v>
      </c>
      <c r="NV7" s="198" t="str">
        <f t="shared" si="89"/>
        <v>A</v>
      </c>
      <c r="NW7" s="247"/>
      <c r="NX7" s="245"/>
      <c r="NY7" s="246"/>
      <c r="NZ7" s="181">
        <f>IF(COUNT(NZ8,NZ11)=0,"",SUM(NZ8:NZ11)/COUNT(NZ8,NZ11))</f>
        <v>6.25</v>
      </c>
      <c r="OA7" s="205" t="str">
        <f t="shared" si="90"/>
        <v>A</v>
      </c>
      <c r="OB7" s="181">
        <f>IF(COUNT(OB8:OB11)=0,"",SUM(OB8:OB11)/COUNT(OB8:OB11))</f>
        <v>3.3125</v>
      </c>
      <c r="OC7" s="206" t="str">
        <f t="shared" si="91"/>
        <v>B</v>
      </c>
      <c r="OD7" s="245"/>
      <c r="OE7" s="245"/>
      <c r="OF7" s="246"/>
      <c r="OG7" s="181" t="str">
        <f>IF(COUNT(OG8:OG11)=0,"",SUM(OG8:OG11)/COUNT(OG8:OG11))</f>
        <v/>
      </c>
      <c r="OH7" s="182" t="str">
        <f t="shared" si="92"/>
        <v/>
      </c>
      <c r="OI7" s="247"/>
      <c r="OJ7" s="245"/>
      <c r="OK7" s="246"/>
      <c r="OL7" s="181">
        <f>IF(COUNT(OL8,OL11)=0,"",SUM(OL8:OL11)/COUNT(OL8,OL11))</f>
        <v>2</v>
      </c>
      <c r="OM7" s="198" t="str">
        <f t="shared" si="93"/>
        <v>C</v>
      </c>
      <c r="ON7" s="247"/>
      <c r="OO7" s="245"/>
      <c r="OP7" s="246"/>
      <c r="OQ7" s="181">
        <f>IF(COUNT(OQ8,OQ11)=0,"",SUM(OQ8:OQ11)/COUNT(OQ8,OQ11))</f>
        <v>6.5</v>
      </c>
      <c r="OR7" s="205" t="str">
        <f t="shared" si="94"/>
        <v>A</v>
      </c>
      <c r="OS7" s="181">
        <f>IF(COUNT(OS8:OS11)=0,"",SUM(OS8:OS11)/COUNT(OS8:OS11))</f>
        <v>3.125</v>
      </c>
      <c r="OT7" s="206" t="str">
        <f t="shared" si="95"/>
        <v>B</v>
      </c>
      <c r="OU7" s="245"/>
      <c r="OV7" s="245"/>
      <c r="OW7" s="246"/>
      <c r="OX7" s="181" t="str">
        <f>IF(COUNT(OX8:OX11)=0,"",SUM(OX8:OX11)/COUNT(OX8:OX11))</f>
        <v/>
      </c>
      <c r="OY7" s="182" t="str">
        <f t="shared" si="96"/>
        <v/>
      </c>
      <c r="OZ7" s="247"/>
      <c r="PA7" s="245"/>
      <c r="PB7" s="246"/>
      <c r="PC7" s="181">
        <f>IF(COUNT(PC8,PC11)=0,"",SUM(PC8:PC11)/COUNT(PC8,PC11))</f>
        <v>4</v>
      </c>
      <c r="PD7" s="198" t="str">
        <f t="shared" si="97"/>
        <v>A</v>
      </c>
      <c r="PE7" s="247"/>
      <c r="PF7" s="245"/>
      <c r="PG7" s="246"/>
      <c r="PH7" s="181">
        <f>IF(COUNT(PH8,PH11)=0,"",SUM(PH8:PH11)/COUNT(PH8,PH11))</f>
        <v>6.5</v>
      </c>
      <c r="PI7" s="205" t="str">
        <f t="shared" si="98"/>
        <v>A</v>
      </c>
      <c r="PJ7" s="181">
        <f>IF(COUNT(PJ8:PJ11)=0,"",SUM(PJ8:PJ11)/COUNT(PJ8:PJ11))</f>
        <v>3.375</v>
      </c>
      <c r="PK7" s="206" t="str">
        <f t="shared" si="99"/>
        <v>B</v>
      </c>
      <c r="PL7" s="245"/>
      <c r="PM7" s="245"/>
      <c r="PN7" s="246"/>
      <c r="PO7" s="181" t="str">
        <f>IF(COUNT(PO8:PO11)=0,"",SUM(PO8:PO11)/COUNT(PO8:PO11))</f>
        <v/>
      </c>
      <c r="PP7" s="182" t="str">
        <f t="shared" si="100"/>
        <v/>
      </c>
      <c r="PQ7" s="247"/>
      <c r="PR7" s="245"/>
      <c r="PS7" s="246"/>
      <c r="PT7" s="181">
        <f>IF(COUNT(PT8,PT11)=0,"",SUM(PT8:PT11)/COUNT(PT8,PT11))</f>
        <v>4</v>
      </c>
      <c r="PU7" s="198" t="str">
        <f t="shared" si="101"/>
        <v>A</v>
      </c>
      <c r="PV7" s="247"/>
      <c r="PW7" s="245"/>
      <c r="PX7" s="246"/>
      <c r="PY7" s="181">
        <f>IF(COUNT(PY8,PY11)=0,"",SUM(PY8:PY11)/COUNT(PY8,PY11))</f>
        <v>6.5</v>
      </c>
      <c r="PZ7" s="205" t="str">
        <f t="shared" si="102"/>
        <v>A</v>
      </c>
      <c r="QA7" s="181">
        <f>IF(COUNT(QA8:QA11)=0,"",SUM(QA8:QA11)/COUNT(QA8:QA11))</f>
        <v>3.375</v>
      </c>
      <c r="QB7" s="206" t="str">
        <f t="shared" si="103"/>
        <v>B</v>
      </c>
      <c r="QC7" s="245"/>
      <c r="QD7" s="245"/>
      <c r="QE7" s="246"/>
      <c r="QF7" s="181" t="str">
        <f>IF(COUNT(QF8:QF11)=0,"",SUM(QF8:QF11)/COUNT(QF8:QF11))</f>
        <v/>
      </c>
      <c r="QG7" s="182" t="str">
        <f t="shared" si="104"/>
        <v/>
      </c>
      <c r="QH7" s="247"/>
      <c r="QI7" s="245"/>
      <c r="QJ7" s="246"/>
      <c r="QK7" s="181">
        <f>IF(COUNT(QK8,QK11)=0,"",SUM(QK8:QK11)/COUNT(QK8,QK11))</f>
        <v>4</v>
      </c>
      <c r="QL7" s="198" t="str">
        <f t="shared" si="105"/>
        <v>A</v>
      </c>
      <c r="QM7" s="247"/>
      <c r="QN7" s="245"/>
      <c r="QO7" s="246"/>
      <c r="QP7" s="181">
        <f>IF(COUNT(QP8,QP11)=0,"",SUM(QP8:QP11)/COUNT(QP8,QP11))</f>
        <v>6.75</v>
      </c>
      <c r="QQ7" s="205" t="str">
        <f t="shared" si="106"/>
        <v>A</v>
      </c>
      <c r="QR7" s="181">
        <f>IF(COUNT(QR8:QR11)=0,"",SUM(QR8:QR11)/COUNT(QR8:QR11))</f>
        <v>3.4375</v>
      </c>
      <c r="QS7" s="206" t="str">
        <f t="shared" si="107"/>
        <v>B</v>
      </c>
      <c r="QT7" s="245"/>
      <c r="QU7" s="245"/>
      <c r="QV7" s="246"/>
      <c r="QW7" s="93" t="str">
        <f>IF(COUNT(QW8:QW11)=0,"",SUM(QW8:QW11)/COUNT(QW8:QW11))</f>
        <v/>
      </c>
      <c r="QX7" s="94" t="str">
        <f t="shared" si="108"/>
        <v/>
      </c>
      <c r="QY7" s="247"/>
      <c r="QZ7" s="245"/>
      <c r="RA7" s="246"/>
      <c r="RB7" s="93" t="str">
        <f>IF(COUNT(RB8,RB11)=0,"",SUM(RB8:RB11)/COUNT(RB8,RB11))</f>
        <v/>
      </c>
      <c r="RC7" s="95" t="str">
        <f t="shared" si="109"/>
        <v/>
      </c>
      <c r="RD7" s="247"/>
      <c r="RE7" s="245"/>
      <c r="RF7" s="246"/>
      <c r="RG7" s="93" t="str">
        <f>IF(COUNT(RG8,RG11)=0,"",SUM(RG8:RG11)/COUNT(RG8,RG11))</f>
        <v/>
      </c>
      <c r="RH7" s="96" t="str">
        <f t="shared" si="110"/>
        <v/>
      </c>
      <c r="RI7" s="93" t="str">
        <f>IF(COUNT(RI8:RI11)=0,"",SUM(RI8:RI11)/COUNT(RI8:RI11))</f>
        <v/>
      </c>
      <c r="RJ7" s="97" t="str">
        <f t="shared" si="111"/>
        <v/>
      </c>
      <c r="RK7" s="245"/>
      <c r="RL7" s="245"/>
      <c r="RM7" s="246"/>
      <c r="RN7" s="93" t="str">
        <f>IF(COUNT(RN8:RN11)=0,"",SUM(RN8:RN11)/COUNT(RN8:RN11))</f>
        <v/>
      </c>
      <c r="RO7" s="94" t="str">
        <f t="shared" si="112"/>
        <v/>
      </c>
      <c r="RP7" s="247"/>
      <c r="RQ7" s="245"/>
      <c r="RR7" s="246"/>
      <c r="RS7" s="93" t="str">
        <f>IF(COUNT(RS8,RS11)=0,"",SUM(RS8:RS11)/COUNT(RS8,RS11))</f>
        <v/>
      </c>
      <c r="RT7" s="95" t="str">
        <f t="shared" si="113"/>
        <v/>
      </c>
      <c r="RU7" s="247"/>
      <c r="RV7" s="245"/>
      <c r="RW7" s="246"/>
      <c r="RX7" s="93" t="str">
        <f>IF(COUNT(RX8,RX11)=0,"",SUM(RX8:RX11)/COUNT(RX8,RX11))</f>
        <v/>
      </c>
      <c r="RY7" s="96" t="str">
        <f t="shared" si="114"/>
        <v/>
      </c>
      <c r="RZ7" s="93" t="str">
        <f>IF(COUNT(RZ8:RZ11)=0,"",SUM(RZ8:RZ11)/COUNT(RZ8:RZ11))</f>
        <v/>
      </c>
      <c r="SA7" s="97" t="str">
        <f t="shared" si="115"/>
        <v/>
      </c>
      <c r="SB7" s="245"/>
      <c r="SC7" s="245"/>
      <c r="SD7" s="246"/>
      <c r="SE7" s="93" t="str">
        <f>IF(COUNT(SE8:SE11)=0,"",SUM(SE8:SE11)/COUNT(SE8:SE11))</f>
        <v/>
      </c>
      <c r="SF7" s="94" t="str">
        <f t="shared" si="116"/>
        <v/>
      </c>
      <c r="SG7" s="247"/>
      <c r="SH7" s="245"/>
      <c r="SI7" s="246"/>
      <c r="SJ7" s="93" t="str">
        <f>IF(COUNT(SJ8,SJ11)=0,"",SUM(SJ8:SJ11)/COUNT(SJ8,SJ11))</f>
        <v/>
      </c>
      <c r="SK7" s="95" t="str">
        <f t="shared" si="117"/>
        <v/>
      </c>
      <c r="SL7" s="247"/>
      <c r="SM7" s="245"/>
      <c r="SN7" s="246"/>
      <c r="SO7" s="93" t="str">
        <f>IF(COUNT(SO8,SO11)=0,"",SUM(SO8:SO11)/COUNT(SO8,SO11))</f>
        <v/>
      </c>
      <c r="SP7" s="96" t="str">
        <f t="shared" si="118"/>
        <v/>
      </c>
      <c r="SQ7" s="93" t="str">
        <f>IF(COUNT(SQ8:SQ11)=0,"",SUM(SQ8:SQ11)/COUNT(SQ8:SQ11))</f>
        <v/>
      </c>
      <c r="SR7" s="97" t="str">
        <f t="shared" si="119"/>
        <v/>
      </c>
      <c r="SS7" s="245"/>
      <c r="ST7" s="245"/>
      <c r="SU7" s="246"/>
      <c r="SV7" s="93" t="str">
        <f>IF(COUNT(SV8:SV11)=0,"",SUM(SV8:SV11)/COUNT(SV8:SV11))</f>
        <v/>
      </c>
      <c r="SW7" s="94" t="str">
        <f t="shared" si="120"/>
        <v/>
      </c>
      <c r="SX7" s="247"/>
      <c r="SY7" s="245"/>
      <c r="SZ7" s="246"/>
      <c r="TA7" s="93" t="str">
        <f>IF(COUNT(TA8,TA11)=0,"",SUM(TA8:TA11)/COUNT(TA8,TA11))</f>
        <v/>
      </c>
      <c r="TB7" s="95" t="str">
        <f t="shared" si="121"/>
        <v/>
      </c>
      <c r="TC7" s="247"/>
      <c r="TD7" s="245"/>
      <c r="TE7" s="246"/>
      <c r="TF7" s="93" t="str">
        <f>IF(COUNT(TF8,TF11)=0,"",SUM(TF8:TF11)/COUNT(TF8,TF11))</f>
        <v/>
      </c>
      <c r="TG7" s="96" t="str">
        <f t="shared" si="122"/>
        <v/>
      </c>
      <c r="TH7" s="93" t="str">
        <f>IF(COUNT(TH8:TH11)=0,"",SUM(TH8:TH11)/COUNT(TH8:TH11))</f>
        <v/>
      </c>
      <c r="TI7" s="97" t="str">
        <f t="shared" si="123"/>
        <v/>
      </c>
      <c r="TJ7" s="245"/>
      <c r="TK7" s="245"/>
      <c r="TL7" s="246"/>
      <c r="TM7" s="93" t="str">
        <f>IF(COUNT(TM8:TM11)=0,"",SUM(TM8:TM11)/COUNT(TM8:TM11))</f>
        <v/>
      </c>
      <c r="TN7" s="94" t="str">
        <f t="shared" si="124"/>
        <v/>
      </c>
      <c r="TO7" s="247"/>
      <c r="TP7" s="245"/>
      <c r="TQ7" s="246"/>
      <c r="TR7" s="93" t="str">
        <f>IF(COUNT(TR8,TR11)=0,"",SUM(TR8:TR11)/COUNT(TR8,TR11))</f>
        <v/>
      </c>
      <c r="TS7" s="95" t="str">
        <f t="shared" si="125"/>
        <v/>
      </c>
      <c r="TT7" s="247"/>
      <c r="TU7" s="245"/>
      <c r="TV7" s="246"/>
      <c r="TW7" s="93" t="str">
        <f>IF(COUNT(TW8,TW11)=0,"",SUM(TW8:TW11)/COUNT(TW8,TW11))</f>
        <v/>
      </c>
      <c r="TX7" s="96" t="str">
        <f t="shared" si="126"/>
        <v/>
      </c>
      <c r="TY7" s="93" t="str">
        <f>IF(COUNT(TY8:TY11)=0,"",SUM(TY8:TY11)/COUNT(TY8:TY11))</f>
        <v/>
      </c>
      <c r="TZ7" s="97" t="str">
        <f t="shared" si="127"/>
        <v/>
      </c>
    </row>
    <row r="8" spans="1:546" x14ac:dyDescent="0.25">
      <c r="A8" s="240" t="s">
        <v>39</v>
      </c>
      <c r="B8" s="241"/>
      <c r="C8" s="99"/>
      <c r="D8" s="100"/>
      <c r="E8" s="101"/>
      <c r="F8" s="183" t="str">
        <f>IFERROR((((COUNTIF('Elève (6ème3)'!C8:E8,"A"))*4)+((COUNTIF('Elève (6ème3)'!C8:E8,"B"))*3)+((COUNTIF('Elève (6ème3)'!C8:E8,"C"))*2)+((COUNTIF('Elève (6ème3)'!C8:E8,"D"))*1))/(COUNTA(C8:E8)),"")</f>
        <v/>
      </c>
      <c r="G8" s="184" t="str">
        <f t="shared" si="0"/>
        <v/>
      </c>
      <c r="H8" s="99" t="s">
        <v>24</v>
      </c>
      <c r="I8" s="100"/>
      <c r="J8" s="101"/>
      <c r="K8" s="183">
        <f>IFERROR((((COUNTIF('Elève (6ème3)'!H8:J8,"A"))*4)+((COUNTIF('Elève (6ème3)'!H8:J8,"B"))*3)+((COUNTIF('Elève (6ème3)'!H8:J8,"C"))*2)+((COUNTIF('Elève (6ème3)'!H8:J8,"D"))*1))/(COUNTA(H8:J8)),"")</f>
        <v>3</v>
      </c>
      <c r="L8" s="184" t="str">
        <f t="shared" si="1"/>
        <v>B</v>
      </c>
      <c r="M8" s="99"/>
      <c r="N8" s="100" t="s">
        <v>24</v>
      </c>
      <c r="O8" s="101" t="s">
        <v>25</v>
      </c>
      <c r="P8" s="183">
        <f>IFERROR((((COUNTIF('Elève (6ème3)'!M8:O8,"A"))*4)+((COUNTIF('Elève (6ème3)'!M8:O8,"B"))*3)+((COUNTIF('Elève (6ème3)'!M8:O8,"C"))*2)+((COUNTIF('Elève (6ème3)'!M8:O8,"D"))*1))/(COUNTA(M8:O8)),"")</f>
        <v>2.5</v>
      </c>
      <c r="Q8" s="184" t="str">
        <f t="shared" si="2"/>
        <v>C</v>
      </c>
      <c r="R8" s="183">
        <f>IF(COUNT(F8,K8,P8)=0,"",SUM(F8,K8,P8)/COUNT(F8,K8,P8))</f>
        <v>2.75</v>
      </c>
      <c r="S8" s="209" t="str">
        <f t="shared" si="3"/>
        <v>C</v>
      </c>
      <c r="T8" s="105"/>
      <c r="U8" s="100"/>
      <c r="V8" s="101"/>
      <c r="W8" s="183" t="str">
        <f>IFERROR((((COUNTIF('Elève (6ème3)'!T8:V8,"A"))*4)+((COUNTIF('Elève (6ème3)'!T8:V8,"B"))*3)+((COUNTIF('Elève (6ème3)'!T8:V8,"C"))*2)+((COUNTIF('Elève (6ème3)'!T8:V8,"D"))*1))/(COUNTA(T8:V8)),"")</f>
        <v/>
      </c>
      <c r="X8" s="184" t="str">
        <f t="shared" si="4"/>
        <v/>
      </c>
      <c r="Y8" s="99" t="s">
        <v>23</v>
      </c>
      <c r="Z8" s="100"/>
      <c r="AA8" s="101"/>
      <c r="AB8" s="183">
        <f>IFERROR((((COUNTIF('Elève (6ème3)'!Y8:AA8,"A"))*4)+((COUNTIF('Elève (6ème3)'!Y8:AA8,"B"))*3)+((COUNTIF('Elève (6ème3)'!Y8:AA8,"C"))*2)+((COUNTIF('Elève (6ème3)'!Y8:AA8,"D"))*1))/(COUNTA(Y8:AA8)),"")</f>
        <v>4</v>
      </c>
      <c r="AC8" s="184" t="str">
        <f t="shared" si="5"/>
        <v>A</v>
      </c>
      <c r="AD8" s="99"/>
      <c r="AE8" s="100" t="s">
        <v>24</v>
      </c>
      <c r="AF8" s="101" t="s">
        <v>23</v>
      </c>
      <c r="AG8" s="183">
        <f>IFERROR((((COUNTIF('Elève (6ème3)'!AD8:AF8,"A"))*4)+((COUNTIF('Elève (6ème3)'!AD8:AF8,"B"))*3)+((COUNTIF('Elève (6ème3)'!AD8:AF8,"C"))*2)+((COUNTIF('Elève (6ème3)'!AD8:AF8,"D"))*1))/(COUNTA(AD8:AF8)),"")</f>
        <v>3.5</v>
      </c>
      <c r="AH8" s="184" t="str">
        <f t="shared" si="6"/>
        <v>B</v>
      </c>
      <c r="AI8" s="183">
        <f>IF(COUNT(W8,AB8,AG8)=0,"",SUM(W8,AB8,AG8)/COUNT(W8,AB8,AG8))</f>
        <v>3.75</v>
      </c>
      <c r="AJ8" s="209" t="str">
        <f t="shared" si="7"/>
        <v>A</v>
      </c>
      <c r="AK8" s="105"/>
      <c r="AL8" s="100"/>
      <c r="AM8" s="101"/>
      <c r="AN8" s="183" t="str">
        <f>IFERROR((((COUNTIF('Elève (6ème3)'!AK8:AM8,"A"))*4)+((COUNTIF('Elève (6ème3)'!AK8:AM8,"B"))*3)+((COUNTIF('Elève (6ème3)'!AK8:AM8,"C"))*2)+((COUNTIF('Elève (6ème3)'!AK8:AM8,"D"))*1))/(COUNTA(AK8:AM8)),"")</f>
        <v/>
      </c>
      <c r="AO8" s="184" t="str">
        <f t="shared" si="8"/>
        <v/>
      </c>
      <c r="AP8" s="99" t="s">
        <v>23</v>
      </c>
      <c r="AQ8" s="100"/>
      <c r="AR8" s="101"/>
      <c r="AS8" s="183">
        <f>IFERROR((((COUNTIF('Elève (6ème3)'!AP8:AR8,"A"))*4)+((COUNTIF('Elève (6ème3)'!AP8:AR8,"B"))*3)+((COUNTIF('Elève (6ème3)'!AP8:AR8,"C"))*2)+((COUNTIF('Elève (6ème3)'!AP8:AR8,"D"))*1))/(COUNTA(AP8:AR8)),"")</f>
        <v>4</v>
      </c>
      <c r="AT8" s="184" t="str">
        <f t="shared" si="9"/>
        <v>A</v>
      </c>
      <c r="AU8" s="99"/>
      <c r="AV8" s="100" t="s">
        <v>24</v>
      </c>
      <c r="AW8" s="101" t="s">
        <v>24</v>
      </c>
      <c r="AX8" s="183">
        <f>IFERROR((((COUNTIF('Elève (6ème3)'!AU8:AW8,"A"))*4)+((COUNTIF('Elève (6ème3)'!AU8:AW8,"B"))*3)+((COUNTIF('Elève (6ème3)'!AU8:AW8,"C"))*2)+((COUNTIF('Elève (6ème3)'!AU8:AW8,"D"))*1))/(COUNTA(AU8:AW8)),"")</f>
        <v>3</v>
      </c>
      <c r="AY8" s="184" t="str">
        <f t="shared" si="10"/>
        <v>B</v>
      </c>
      <c r="AZ8" s="183">
        <f>IF(COUNT(AN8,AS8,AX8)=0,"",SUM(AN8,AS8,AX8)/COUNT(AN8,AS8,AX8))</f>
        <v>3.5</v>
      </c>
      <c r="BA8" s="209" t="str">
        <f t="shared" si="11"/>
        <v>B</v>
      </c>
      <c r="BB8" s="105"/>
      <c r="BC8" s="100"/>
      <c r="BD8" s="101"/>
      <c r="BE8" s="183" t="str">
        <f>IFERROR((((COUNTIF('Elève (6ème3)'!BB8:BD8,"A"))*4)+((COUNTIF('Elève (6ème3)'!BB8:BD8,"B"))*3)+((COUNTIF('Elève (6ème3)'!BB8:BD8,"C"))*2)+((COUNTIF('Elève (6ème3)'!BB8:BD8,"D"))*1))/(COUNTA(BB8:BD8)),"")</f>
        <v/>
      </c>
      <c r="BF8" s="184" t="str">
        <f t="shared" si="12"/>
        <v/>
      </c>
      <c r="BG8" s="99" t="s">
        <v>23</v>
      </c>
      <c r="BH8" s="100"/>
      <c r="BI8" s="101"/>
      <c r="BJ8" s="183">
        <f>IFERROR((((COUNTIF('Elève (6ème3)'!BG8:BI8,"A"))*4)+((COUNTIF('Elève (6ème3)'!BG8:BI8,"B"))*3)+((COUNTIF('Elève (6ème3)'!BG8:BI8,"C"))*2)+((COUNTIF('Elève (6ème3)'!BG8:BI8,"D"))*1))/(COUNTA(BG8:BI8)),"")</f>
        <v>4</v>
      </c>
      <c r="BK8" s="184" t="str">
        <f t="shared" si="13"/>
        <v>A</v>
      </c>
      <c r="BL8" s="99"/>
      <c r="BM8" s="100" t="s">
        <v>24</v>
      </c>
      <c r="BN8" s="101" t="s">
        <v>23</v>
      </c>
      <c r="BO8" s="183">
        <f>IFERROR((((COUNTIF('Elève (6ème3)'!BL8:BN8,"A"))*4)+((COUNTIF('Elève (6ème3)'!BL8:BN8,"B"))*3)+((COUNTIF('Elève (6ème3)'!BL8:BN8,"C"))*2)+((COUNTIF('Elève (6ème3)'!BL8:BN8,"D"))*1))/(COUNTA(BL8:BN8)),"")</f>
        <v>3.5</v>
      </c>
      <c r="BP8" s="184" t="str">
        <f t="shared" si="14"/>
        <v>B</v>
      </c>
      <c r="BQ8" s="183">
        <f>IF(COUNT(BE8,BJ8,BO8)=0,"",SUM(BE8,BJ8,BO8)/COUNT(BE8,BJ8,BO8))</f>
        <v>3.75</v>
      </c>
      <c r="BR8" s="209" t="str">
        <f t="shared" si="15"/>
        <v>A</v>
      </c>
      <c r="BS8" s="105"/>
      <c r="BT8" s="100"/>
      <c r="BU8" s="101"/>
      <c r="BV8" s="183" t="str">
        <f>IFERROR((((COUNTIF('Elève (6ème3)'!BS8:BU8,"A"))*4)+((COUNTIF('Elève (6ème3)'!BS8:BU8,"B"))*3)+((COUNTIF('Elève (6ème3)'!BS8:BU8,"C"))*2)+((COUNTIF('Elève (6ème3)'!BS8:BU8,"D"))*1))/(COUNTA(BS8:BU8)),"")</f>
        <v/>
      </c>
      <c r="BW8" s="184" t="str">
        <f t="shared" si="16"/>
        <v/>
      </c>
      <c r="BX8" s="99" t="s">
        <v>23</v>
      </c>
      <c r="BY8" s="100"/>
      <c r="BZ8" s="101"/>
      <c r="CA8" s="183">
        <f>IFERROR((((COUNTIF('Elève (6ème3)'!BX8:BZ8,"A"))*4)+((COUNTIF('Elève (6ème3)'!BX8:BZ8,"B"))*3)+((COUNTIF('Elève (6ème3)'!BX8:BZ8,"C"))*2)+((COUNTIF('Elève (6ème3)'!BX8:BZ8,"D"))*1))/(COUNTA(BX8:BZ8)),"")</f>
        <v>4</v>
      </c>
      <c r="CB8" s="184" t="str">
        <f t="shared" si="17"/>
        <v>A</v>
      </c>
      <c r="CC8" s="99"/>
      <c r="CD8" s="100" t="s">
        <v>23</v>
      </c>
      <c r="CE8" s="101" t="s">
        <v>23</v>
      </c>
      <c r="CF8" s="183">
        <f>IFERROR((((COUNTIF('Elève (6ème3)'!CC8:CE8,"A"))*4)+((COUNTIF('Elève (6ème3)'!CC8:CE8,"B"))*3)+((COUNTIF('Elève (6ème3)'!CC8:CE8,"C"))*2)+((COUNTIF('Elève (6ème3)'!CC8:CE8,"D"))*1))/(COUNTA(CC8:CE8)),"")</f>
        <v>4</v>
      </c>
      <c r="CG8" s="184" t="str">
        <f t="shared" si="18"/>
        <v>A</v>
      </c>
      <c r="CH8" s="183">
        <f>IF(COUNT(BV8,CA8,CF8)=0,"",SUM(BV8,CA8,CF8)/COUNT(BV8,CA8,CF8))</f>
        <v>4</v>
      </c>
      <c r="CI8" s="209" t="str">
        <f t="shared" si="19"/>
        <v>A</v>
      </c>
      <c r="CJ8" s="105"/>
      <c r="CK8" s="100"/>
      <c r="CL8" s="101"/>
      <c r="CM8" s="183" t="str">
        <f>IFERROR((((COUNTIF('Elève (6ème3)'!CJ8:CL8,"A"))*4)+((COUNTIF('Elève (6ème3)'!CJ8:CL8,"B"))*3)+((COUNTIF('Elève (6ème3)'!CJ8:CL8,"C"))*2)+((COUNTIF('Elève (6ème3)'!CJ8:CL8,"D"))*1))/(COUNTA(CJ8:CL8)),"")</f>
        <v/>
      </c>
      <c r="CN8" s="184" t="str">
        <f t="shared" si="20"/>
        <v/>
      </c>
      <c r="CO8" s="99" t="s">
        <v>25</v>
      </c>
      <c r="CP8" s="100"/>
      <c r="CQ8" s="101"/>
      <c r="CR8" s="183">
        <f>IFERROR((((COUNTIF('Elève (6ème3)'!CO8:CQ8,"A"))*4)+((COUNTIF('Elève (6ème3)'!CO8:CQ8,"B"))*3)+((COUNTIF('Elève (6ème3)'!CO8:CQ8,"C"))*2)+((COUNTIF('Elève (6ème3)'!CO8:CQ8,"D"))*1))/(COUNTA(CO8:CQ8)),"")</f>
        <v>2</v>
      </c>
      <c r="CS8" s="184" t="str">
        <f t="shared" si="21"/>
        <v>C</v>
      </c>
      <c r="CT8" s="99"/>
      <c r="CU8" s="100" t="s">
        <v>26</v>
      </c>
      <c r="CV8" s="101" t="s">
        <v>24</v>
      </c>
      <c r="CW8" s="183">
        <f>IFERROR((((COUNTIF('Elève (6ème3)'!CT8:CV8,"A"))*4)+((COUNTIF('Elève (6ème3)'!CT8:CV8,"B"))*3)+((COUNTIF('Elève (6ème3)'!CT8:CV8,"C"))*2)+((COUNTIF('Elève (6ème3)'!CT8:CV8,"D"))*1))/(COUNTA(CT8:CV8)),"")</f>
        <v>2</v>
      </c>
      <c r="CX8" s="184" t="str">
        <f t="shared" si="22"/>
        <v>C</v>
      </c>
      <c r="CY8" s="183">
        <f>IF(COUNT(CM8,CR8,CW8)=0,"",SUM(CM8,CR8,CW8)/COUNT(CM8,CR8,CW8))</f>
        <v>2</v>
      </c>
      <c r="CZ8" s="209" t="str">
        <f t="shared" si="23"/>
        <v>C</v>
      </c>
      <c r="DA8" s="105"/>
      <c r="DB8" s="100"/>
      <c r="DC8" s="101"/>
      <c r="DD8" s="183" t="str">
        <f>IFERROR((((COUNTIF('Elève (6ème3)'!DA8:DC8,"A"))*4)+((COUNTIF('Elève (6ème3)'!DA8:DC8,"B"))*3)+((COUNTIF('Elève (6ème3)'!DA8:DC8,"C"))*2)+((COUNTIF('Elève (6ème3)'!DA8:DC8,"D"))*1))/(COUNTA(DA8:DC8)),"")</f>
        <v/>
      </c>
      <c r="DE8" s="184" t="str">
        <f t="shared" si="24"/>
        <v/>
      </c>
      <c r="DF8" s="99" t="s">
        <v>23</v>
      </c>
      <c r="DG8" s="100"/>
      <c r="DH8" s="101"/>
      <c r="DI8" s="183">
        <f>IFERROR((((COUNTIF('Elève (6ème3)'!DF8:DH8,"A"))*4)+((COUNTIF('Elève (6ème3)'!DF8:DH8,"B"))*3)+((COUNTIF('Elève (6ème3)'!DF8:DH8,"C"))*2)+((COUNTIF('Elève (6ème3)'!DF8:DH8,"D"))*1))/(COUNTA(DF8:DH8)),"")</f>
        <v>4</v>
      </c>
      <c r="DJ8" s="184" t="str">
        <f t="shared" si="25"/>
        <v>A</v>
      </c>
      <c r="DK8" s="99"/>
      <c r="DL8" s="100" t="s">
        <v>25</v>
      </c>
      <c r="DM8" s="101" t="s">
        <v>23</v>
      </c>
      <c r="DN8" s="183">
        <f>IFERROR((((COUNTIF('Elève (6ème3)'!DK8:DM8,"A"))*4)+((COUNTIF('Elève (6ème3)'!DK8:DM8,"B"))*3)+((COUNTIF('Elève (6ème3)'!DK8:DM8,"C"))*2)+((COUNTIF('Elève (6ème3)'!DK8:DM8,"D"))*1))/(COUNTA(DK8:DM8)),"")</f>
        <v>3</v>
      </c>
      <c r="DO8" s="184" t="str">
        <f t="shared" si="26"/>
        <v>B</v>
      </c>
      <c r="DP8" s="183">
        <f>IF(COUNT(DD8,DI8,DN8)=0,"",SUM(DD8,DI8,DN8)/COUNT(DD8,DI8,DN8))</f>
        <v>3.5</v>
      </c>
      <c r="DQ8" s="209" t="str">
        <f t="shared" si="27"/>
        <v>B</v>
      </c>
      <c r="DR8" s="105"/>
      <c r="DS8" s="100"/>
      <c r="DT8" s="101"/>
      <c r="DU8" s="183" t="str">
        <f>IFERROR((((COUNTIF('Elève (6ème3)'!DR8:DT8,"A"))*4)+((COUNTIF('Elève (6ème3)'!DR8:DT8,"B"))*3)+((COUNTIF('Elève (6ème3)'!DR8:DT8,"C"))*2)+((COUNTIF('Elève (6ème3)'!DR8:DT8,"D"))*1))/(COUNTA(DR8:DT8)),"")</f>
        <v/>
      </c>
      <c r="DV8" s="184" t="str">
        <f t="shared" si="28"/>
        <v/>
      </c>
      <c r="DW8" s="99" t="s">
        <v>23</v>
      </c>
      <c r="DX8" s="100"/>
      <c r="DY8" s="101"/>
      <c r="DZ8" s="183">
        <f>IFERROR((((COUNTIF('Elève (6ème3)'!DW8:DY8,"A"))*4)+((COUNTIF('Elève (6ème3)'!DW8:DY8,"B"))*3)+((COUNTIF('Elève (6ème3)'!DW8:DY8,"C"))*2)+((COUNTIF('Elève (6ème3)'!DW8:DY8,"D"))*1))/(COUNTA(DW8:DY8)),"")</f>
        <v>4</v>
      </c>
      <c r="EA8" s="184" t="str">
        <f t="shared" si="29"/>
        <v>A</v>
      </c>
      <c r="EB8" s="99"/>
      <c r="EC8" s="100" t="s">
        <v>24</v>
      </c>
      <c r="ED8" s="101" t="s">
        <v>24</v>
      </c>
      <c r="EE8" s="183">
        <f>IFERROR((((COUNTIF('Elève (6ème3)'!EB8:ED8,"A"))*4)+((COUNTIF('Elève (6ème3)'!EB8:ED8,"B"))*3)+((COUNTIF('Elève (6ème3)'!EB8:ED8,"C"))*2)+((COUNTIF('Elève (6ème3)'!EB8:ED8,"D"))*1))/(COUNTA(EB8:ED8)),"")</f>
        <v>3</v>
      </c>
      <c r="EF8" s="184" t="str">
        <f t="shared" si="30"/>
        <v>B</v>
      </c>
      <c r="EG8" s="183">
        <f>IF(COUNT(DU8,DZ8,EE8)=0,"",SUM(DU8,DZ8,EE8)/COUNT(DU8,DZ8,EE8))</f>
        <v>3.5</v>
      </c>
      <c r="EH8" s="209" t="str">
        <f t="shared" si="31"/>
        <v>B</v>
      </c>
      <c r="EI8" s="105"/>
      <c r="EJ8" s="100"/>
      <c r="EK8" s="101"/>
      <c r="EL8" s="183" t="str">
        <f>IFERROR((((COUNTIF('Elève (6ème3)'!EI8:EK8,"A"))*4)+((COUNTIF('Elève (6ème3)'!EI8:EK8,"B"))*3)+((COUNTIF('Elève (6ème3)'!EI8:EK8,"C"))*2)+((COUNTIF('Elève (6ème3)'!EI8:EK8,"D"))*1))/(COUNTA(EI8:EK8)),"")</f>
        <v/>
      </c>
      <c r="EM8" s="184" t="str">
        <f t="shared" si="32"/>
        <v/>
      </c>
      <c r="EN8" s="99" t="s">
        <v>23</v>
      </c>
      <c r="EO8" s="100"/>
      <c r="EP8" s="101"/>
      <c r="EQ8" s="183">
        <f>IFERROR((((COUNTIF('Elève (6ème3)'!EN8:EP8,"A"))*4)+((COUNTIF('Elève (6ème3)'!EN8:EP8,"B"))*3)+((COUNTIF('Elève (6ème3)'!EN8:EP8,"C"))*2)+((COUNTIF('Elève (6ème3)'!EN8:EP8,"D"))*1))/(COUNTA(EN8:EP8)),"")</f>
        <v>4</v>
      </c>
      <c r="ER8" s="184" t="str">
        <f t="shared" si="33"/>
        <v>A</v>
      </c>
      <c r="ES8" s="99"/>
      <c r="ET8" s="100" t="s">
        <v>24</v>
      </c>
      <c r="EU8" s="101" t="s">
        <v>23</v>
      </c>
      <c r="EV8" s="183">
        <f>IFERROR((((COUNTIF('Elève (6ème3)'!ES8:EU8,"A"))*4)+((COUNTIF('Elève (6ème3)'!ES8:EU8,"B"))*3)+((COUNTIF('Elève (6ème3)'!ES8:EU8,"C"))*2)+((COUNTIF('Elève (6ème3)'!ES8:EU8,"D"))*1))/(COUNTA(ES8:EU8)),"")</f>
        <v>3.5</v>
      </c>
      <c r="EW8" s="184" t="str">
        <f t="shared" si="34"/>
        <v>B</v>
      </c>
      <c r="EX8" s="183">
        <f>IF(COUNT(EL8,EQ8,EV8)=0,"",SUM(EL8,EQ8,EV8)/COUNT(EL8,EQ8,EV8))</f>
        <v>3.75</v>
      </c>
      <c r="EY8" s="209" t="str">
        <f t="shared" si="35"/>
        <v>A</v>
      </c>
      <c r="EZ8" s="105"/>
      <c r="FA8" s="100"/>
      <c r="FB8" s="101"/>
      <c r="FC8" s="183" t="str">
        <f>IFERROR((((COUNTIF('Elève (6ème3)'!EZ8:FB8,"A"))*4)+((COUNTIF('Elève (6ème3)'!EZ8:FB8,"B"))*3)+((COUNTIF('Elève (6ème3)'!EZ8:FB8,"C"))*2)+((COUNTIF('Elève (6ème3)'!EZ8:FB8,"D"))*1))/(COUNTA(EZ8:FB8)),"")</f>
        <v/>
      </c>
      <c r="FD8" s="184" t="str">
        <f t="shared" si="36"/>
        <v/>
      </c>
      <c r="FE8" s="99" t="s">
        <v>23</v>
      </c>
      <c r="FF8" s="100"/>
      <c r="FG8" s="101"/>
      <c r="FH8" s="183">
        <f>IFERROR((((COUNTIF('Elève (6ème3)'!FE8:FG8,"A"))*4)+((COUNTIF('Elève (6ème3)'!FE8:FG8,"B"))*3)+((COUNTIF('Elève (6ème3)'!FE8:FG8,"C"))*2)+((COUNTIF('Elève (6ème3)'!FE8:FG8,"D"))*1))/(COUNTA(FE8:FG8)),"")</f>
        <v>4</v>
      </c>
      <c r="FI8" s="184" t="str">
        <f t="shared" si="37"/>
        <v>A</v>
      </c>
      <c r="FJ8" s="99"/>
      <c r="FK8" s="100" t="s">
        <v>23</v>
      </c>
      <c r="FL8" s="101" t="s">
        <v>24</v>
      </c>
      <c r="FM8" s="183">
        <f>IFERROR((((COUNTIF('Elève (6ème3)'!FJ8:FL8,"A"))*4)+((COUNTIF('Elève (6ème3)'!FJ8:FL8,"B"))*3)+((COUNTIF('Elève (6ème3)'!FJ8:FL8,"C"))*2)+((COUNTIF('Elève (6ème3)'!FJ8:FL8,"D"))*1))/(COUNTA(FJ8:FL8)),"")</f>
        <v>3.5</v>
      </c>
      <c r="FN8" s="184" t="str">
        <f t="shared" si="38"/>
        <v>B</v>
      </c>
      <c r="FO8" s="183">
        <f>IF(COUNT(FC8,FH8,FM8)=0,"",SUM(FC8,FH8,FM8)/COUNT(FC8,FH8,FM8))</f>
        <v>3.75</v>
      </c>
      <c r="FP8" s="209" t="str">
        <f t="shared" si="39"/>
        <v>A</v>
      </c>
      <c r="FQ8" s="105"/>
      <c r="FR8" s="100"/>
      <c r="FS8" s="101"/>
      <c r="FT8" s="183" t="str">
        <f>IFERROR((((COUNTIF('Elève (6ème3)'!FQ8:FS8,"A"))*4)+((COUNTIF('Elève (6ème3)'!FQ8:FS8,"B"))*3)+((COUNTIF('Elève (6ème3)'!FQ8:FS8,"C"))*2)+((COUNTIF('Elève (6ème3)'!FQ8:FS8,"D"))*1))/(COUNTA(FQ8:FS8)),"")</f>
        <v/>
      </c>
      <c r="FU8" s="184" t="str">
        <f t="shared" si="40"/>
        <v/>
      </c>
      <c r="FV8" s="99" t="s">
        <v>25</v>
      </c>
      <c r="FW8" s="100"/>
      <c r="FX8" s="101"/>
      <c r="FY8" s="183">
        <f>IFERROR((((COUNTIF('Elève (6ème3)'!FV8:FX8,"A"))*4)+((COUNTIF('Elève (6ème3)'!FV8:FX8,"B"))*3)+((COUNTIF('Elève (6ème3)'!FV8:FX8,"C"))*2)+((COUNTIF('Elève (6ème3)'!FV8:FX8,"D"))*1))/(COUNTA(FV8:FX8)),"")</f>
        <v>2</v>
      </c>
      <c r="FZ8" s="184" t="str">
        <f t="shared" si="41"/>
        <v>C</v>
      </c>
      <c r="GA8" s="99"/>
      <c r="GB8" s="100" t="s">
        <v>25</v>
      </c>
      <c r="GC8" s="101" t="s">
        <v>24</v>
      </c>
      <c r="GD8" s="183">
        <f>IFERROR((((COUNTIF('Elève (6ème3)'!GA8:GC8,"A"))*4)+((COUNTIF('Elève (6ème3)'!GA8:GC8,"B"))*3)+((COUNTIF('Elève (6ème3)'!GA8:GC8,"C"))*2)+((COUNTIF('Elève (6ème3)'!GA8:GC8,"D"))*1))/(COUNTA(GA8:GC8)),"")</f>
        <v>2.5</v>
      </c>
      <c r="GE8" s="184" t="str">
        <f t="shared" si="42"/>
        <v>C</v>
      </c>
      <c r="GF8" s="183">
        <f>IF(COUNT(FT8,FY8,GD8)=0,"",SUM(FT8,FY8,GD8)/COUNT(FT8,FY8,GD8))</f>
        <v>2.25</v>
      </c>
      <c r="GG8" s="209" t="str">
        <f t="shared" si="43"/>
        <v>C</v>
      </c>
      <c r="GH8" s="105"/>
      <c r="GI8" s="100"/>
      <c r="GJ8" s="101"/>
      <c r="GK8" s="183" t="str">
        <f>IFERROR((((COUNTIF('Elève (6ème3)'!GH8:GJ8,"A"))*4)+((COUNTIF('Elève (6ème3)'!GH8:GJ8,"B"))*3)+((COUNTIF('Elève (6ème3)'!GH8:GJ8,"C"))*2)+((COUNTIF('Elève (6ème3)'!GH8:GJ8,"D"))*1))/(COUNTA(GH8:GJ8)),"")</f>
        <v/>
      </c>
      <c r="GL8" s="184" t="str">
        <f t="shared" si="44"/>
        <v/>
      </c>
      <c r="GM8" s="99" t="s">
        <v>23</v>
      </c>
      <c r="GN8" s="100"/>
      <c r="GO8" s="101"/>
      <c r="GP8" s="183">
        <f>IFERROR((((COUNTIF('Elève (6ème3)'!GM8:GO8,"A"))*4)+((COUNTIF('Elève (6ème3)'!GM8:GO8,"B"))*3)+((COUNTIF('Elève (6ème3)'!GM8:GO8,"C"))*2)+((COUNTIF('Elève (6ème3)'!GM8:GO8,"D"))*1))/(COUNTA(GM8:GO8)),"")</f>
        <v>4</v>
      </c>
      <c r="GQ8" s="184" t="str">
        <f t="shared" si="45"/>
        <v>A</v>
      </c>
      <c r="GR8" s="99"/>
      <c r="GS8" s="100" t="s">
        <v>23</v>
      </c>
      <c r="GT8" s="101" t="s">
        <v>23</v>
      </c>
      <c r="GU8" s="183">
        <f>IFERROR((((COUNTIF('Elève (6ème3)'!GR8:GT8,"A"))*4)+((COUNTIF('Elève (6ème3)'!GR8:GT8,"B"))*3)+((COUNTIF('Elève (6ème3)'!GR8:GT8,"C"))*2)+((COUNTIF('Elève (6ème3)'!GR8:GT8,"D"))*1))/(COUNTA(GR8:GT8)),"")</f>
        <v>4</v>
      </c>
      <c r="GV8" s="184" t="str">
        <f t="shared" si="46"/>
        <v>A</v>
      </c>
      <c r="GW8" s="183">
        <f>IF(COUNT(GK8,GP8,GU8)=0,"",SUM(GK8,GP8,GU8)/COUNT(GK8,GP8,GU8))</f>
        <v>4</v>
      </c>
      <c r="GX8" s="209" t="str">
        <f t="shared" si="47"/>
        <v>A</v>
      </c>
      <c r="GY8" s="105"/>
      <c r="GZ8" s="100"/>
      <c r="HA8" s="101"/>
      <c r="HB8" s="183" t="str">
        <f>IFERROR((((COUNTIF('Elève (6ème3)'!GY8:HA8,"A"))*4)+((COUNTIF('Elève (6ème3)'!GY8:HA8,"B"))*3)+((COUNTIF('Elève (6ème3)'!GY8:HA8,"C"))*2)+((COUNTIF('Elève (6ème3)'!GY8:HA8,"D"))*1))/(COUNTA(GY8:HA8)),"")</f>
        <v/>
      </c>
      <c r="HC8" s="184" t="str">
        <f t="shared" si="48"/>
        <v/>
      </c>
      <c r="HD8" s="99" t="s">
        <v>25</v>
      </c>
      <c r="HE8" s="100"/>
      <c r="HF8" s="101"/>
      <c r="HG8" s="183">
        <f>IFERROR((((COUNTIF('Elève (6ème3)'!HD8:HF8,"A"))*4)+((COUNTIF('Elève (6ème3)'!HD8:HF8,"B"))*3)+((COUNTIF('Elève (6ème3)'!HD8:HF8,"C"))*2)+((COUNTIF('Elève (6ème3)'!HD8:HF8,"D"))*1))/(COUNTA(HD8:HF8)),"")</f>
        <v>2</v>
      </c>
      <c r="HH8" s="184" t="str">
        <f t="shared" si="49"/>
        <v>C</v>
      </c>
      <c r="HI8" s="99"/>
      <c r="HJ8" s="100" t="s">
        <v>25</v>
      </c>
      <c r="HK8" s="101" t="s">
        <v>25</v>
      </c>
      <c r="HL8" s="183">
        <f>IFERROR((((COUNTIF('Elève (6ème3)'!HI8:HK8,"A"))*4)+((COUNTIF('Elève (6ème3)'!HI8:HK8,"B"))*3)+((COUNTIF('Elève (6ème3)'!HI8:HK8,"C"))*2)+((COUNTIF('Elève (6ème3)'!HI8:HK8,"D"))*1))/(COUNTA(HI8:HK8)),"")</f>
        <v>2</v>
      </c>
      <c r="HM8" s="184" t="str">
        <f t="shared" si="50"/>
        <v>C</v>
      </c>
      <c r="HN8" s="183">
        <f>IF(COUNT(HB8,HG8,HL8)=0,"",SUM(HB8,HG8,HL8)/COUNT(HB8,HG8,HL8))</f>
        <v>2</v>
      </c>
      <c r="HO8" s="209" t="str">
        <f t="shared" si="51"/>
        <v>C</v>
      </c>
      <c r="HP8" s="105"/>
      <c r="HQ8" s="100"/>
      <c r="HR8" s="101"/>
      <c r="HS8" s="183" t="str">
        <f>IFERROR((((COUNTIF('Elève (6ème3)'!HP8:HR8,"A"))*4)+((COUNTIF('Elève (6ème3)'!HP8:HR8,"B"))*3)+((COUNTIF('Elève (6ème3)'!HP8:HR8,"C"))*2)+((COUNTIF('Elève (6ème3)'!HP8:HR8,"D"))*1))/(COUNTA(HP8:HR8)),"")</f>
        <v/>
      </c>
      <c r="HT8" s="184" t="str">
        <f t="shared" si="52"/>
        <v/>
      </c>
      <c r="HU8" s="99" t="s">
        <v>23</v>
      </c>
      <c r="HV8" s="100"/>
      <c r="HW8" s="101"/>
      <c r="HX8" s="183">
        <f>IFERROR((((COUNTIF('Elève (6ème3)'!HU8:HW8,"A"))*4)+((COUNTIF('Elève (6ème3)'!HU8:HW8,"B"))*3)+((COUNTIF('Elève (6ème3)'!HU8:HW8,"C"))*2)+((COUNTIF('Elève (6ème3)'!HU8:HW8,"D"))*1))/(COUNTA(HU8:HW8)),"")</f>
        <v>4</v>
      </c>
      <c r="HY8" s="184" t="str">
        <f t="shared" si="53"/>
        <v>A</v>
      </c>
      <c r="HZ8" s="99"/>
      <c r="IA8" s="100" t="s">
        <v>23</v>
      </c>
      <c r="IB8" s="101" t="s">
        <v>23</v>
      </c>
      <c r="IC8" s="183">
        <f>IFERROR((((COUNTIF('Elève (6ème3)'!HZ8:IB8,"A"))*4)+((COUNTIF('Elève (6ème3)'!HZ8:IB8,"B"))*3)+((COUNTIF('Elève (6ème3)'!HZ8:IB8,"C"))*2)+((COUNTIF('Elève (6ème3)'!HZ8:IB8,"D"))*1))/(COUNTA(HZ8:IB8)),"")</f>
        <v>4</v>
      </c>
      <c r="ID8" s="184" t="str">
        <f t="shared" si="54"/>
        <v>A</v>
      </c>
      <c r="IE8" s="183">
        <f>IF(COUNT(HS8,HX8,IC8)=0,"",SUM(HS8,HX8,IC8)/COUNT(HS8,HX8,IC8))</f>
        <v>4</v>
      </c>
      <c r="IF8" s="209" t="str">
        <f t="shared" si="55"/>
        <v>A</v>
      </c>
      <c r="IG8" s="105"/>
      <c r="IH8" s="100"/>
      <c r="II8" s="101"/>
      <c r="IJ8" s="183" t="str">
        <f>IFERROR((((COUNTIF('Elève (6ème3)'!IG8:II8,"A"))*4)+((COUNTIF('Elève (6ème3)'!IG8:II8,"B"))*3)+((COUNTIF('Elève (6ème3)'!IG8:II8,"C"))*2)+((COUNTIF('Elève (6ème3)'!IG8:II8,"D"))*1))/(COUNTA(IG8:II8)),"")</f>
        <v/>
      </c>
      <c r="IK8" s="184" t="str">
        <f t="shared" si="56"/>
        <v/>
      </c>
      <c r="IL8" s="99" t="s">
        <v>23</v>
      </c>
      <c r="IM8" s="100"/>
      <c r="IN8" s="101"/>
      <c r="IO8" s="183">
        <f>IFERROR((((COUNTIF('Elève (6ème3)'!IL8:IN8,"A"))*4)+((COUNTIF('Elève (6ème3)'!IL8:IN8,"B"))*3)+((COUNTIF('Elève (6ème3)'!IL8:IN8,"C"))*2)+((COUNTIF('Elève (6ème3)'!IL8:IN8,"D"))*1))/(COUNTA(IL8:IN8)),"")</f>
        <v>4</v>
      </c>
      <c r="IP8" s="184" t="str">
        <f t="shared" si="57"/>
        <v>A</v>
      </c>
      <c r="IQ8" s="99"/>
      <c r="IR8" s="100" t="s">
        <v>26</v>
      </c>
      <c r="IS8" s="101" t="s">
        <v>24</v>
      </c>
      <c r="IT8" s="183">
        <f>IFERROR((((COUNTIF('Elève (6ème3)'!IQ8:IS8,"A"))*4)+((COUNTIF('Elève (6ème3)'!IQ8:IS8,"B"))*3)+((COUNTIF('Elève (6ème3)'!IQ8:IS8,"C"))*2)+((COUNTIF('Elève (6ème3)'!IQ8:IS8,"D"))*1))/(COUNTA(IQ8:IS8)),"")</f>
        <v>2</v>
      </c>
      <c r="IU8" s="184" t="str">
        <f t="shared" si="58"/>
        <v>C</v>
      </c>
      <c r="IV8" s="183">
        <f>IF(COUNT(IJ8,IO8,IT8)=0,"",SUM(IJ8,IO8,IT8)/COUNT(IJ8,IO8,IT8))</f>
        <v>3</v>
      </c>
      <c r="IW8" s="209" t="str">
        <f t="shared" si="59"/>
        <v>B</v>
      </c>
      <c r="IX8" s="105"/>
      <c r="IY8" s="100"/>
      <c r="IZ8" s="101"/>
      <c r="JA8" s="183" t="str">
        <f>IFERROR((((COUNTIF('Elève (6ème3)'!IX8:IZ8,"A"))*4)+((COUNTIF('Elève (6ème3)'!IX8:IZ8,"B"))*3)+((COUNTIF('Elève (6ème3)'!IX8:IZ8,"C"))*2)+((COUNTIF('Elève (6ème3)'!IX8:IZ8,"D"))*1))/(COUNTA(IX8:IZ8)),"")</f>
        <v/>
      </c>
      <c r="JB8" s="184" t="str">
        <f t="shared" si="60"/>
        <v/>
      </c>
      <c r="JC8" s="99" t="s">
        <v>23</v>
      </c>
      <c r="JD8" s="100"/>
      <c r="JE8" s="101"/>
      <c r="JF8" s="183">
        <f>IFERROR((((COUNTIF('Elève (6ème3)'!JC8:JE8,"A"))*4)+((COUNTIF('Elève (6ème3)'!JC8:JE8,"B"))*3)+((COUNTIF('Elève (6ème3)'!JC8:JE8,"C"))*2)+((COUNTIF('Elève (6ème3)'!JC8:JE8,"D"))*1))/(COUNTA(JC8:JE8)),"")</f>
        <v>4</v>
      </c>
      <c r="JG8" s="184" t="str">
        <f t="shared" si="61"/>
        <v>A</v>
      </c>
      <c r="JH8" s="99"/>
      <c r="JI8" s="100" t="s">
        <v>25</v>
      </c>
      <c r="JJ8" s="101" t="s">
        <v>23</v>
      </c>
      <c r="JK8" s="183">
        <f>IFERROR((((COUNTIF('Elève (6ème3)'!JH8:JJ8,"A"))*4)+((COUNTIF('Elève (6ème3)'!JH8:JJ8,"B"))*3)+((COUNTIF('Elève (6ème3)'!JH8:JJ8,"C"))*2)+((COUNTIF('Elève (6ème3)'!JH8:JJ8,"D"))*1))/(COUNTA(JH8:JJ8)),"")</f>
        <v>3</v>
      </c>
      <c r="JL8" s="184" t="str">
        <f t="shared" si="62"/>
        <v>B</v>
      </c>
      <c r="JM8" s="183">
        <f>IF(COUNT(JA8,JF8,JK8)=0,"",SUM(JA8,JF8,JK8)/COUNT(JA8,JF8,JK8))</f>
        <v>3.5</v>
      </c>
      <c r="JN8" s="209" t="str">
        <f t="shared" si="63"/>
        <v>B</v>
      </c>
      <c r="JO8" s="105"/>
      <c r="JP8" s="100"/>
      <c r="JQ8" s="101"/>
      <c r="JR8" s="183" t="str">
        <f>IFERROR((((COUNTIF('Elève (6ème3)'!JO8:JQ8,"A"))*4)+((COUNTIF('Elève (6ème3)'!JO8:JQ8,"B"))*3)+((COUNTIF('Elève (6ème3)'!JO8:JQ8,"C"))*2)+((COUNTIF('Elève (6ème3)'!JO8:JQ8,"D"))*1))/(COUNTA(JO8:JQ8)),"")</f>
        <v/>
      </c>
      <c r="JS8" s="184" t="str">
        <f t="shared" si="64"/>
        <v/>
      </c>
      <c r="JT8" s="99" t="s">
        <v>23</v>
      </c>
      <c r="JU8" s="100"/>
      <c r="JV8" s="101"/>
      <c r="JW8" s="183">
        <f>IFERROR((((COUNTIF('Elève (6ème3)'!JT8:JV8,"A"))*4)+((COUNTIF('Elève (6ème3)'!JT8:JV8,"B"))*3)+((COUNTIF('Elève (6ème3)'!JT8:JV8,"C"))*2)+((COUNTIF('Elève (6ème3)'!JT8:JV8,"D"))*1))/(COUNTA(JT8:JV8)),"")</f>
        <v>4</v>
      </c>
      <c r="JX8" s="184" t="str">
        <f t="shared" si="65"/>
        <v>A</v>
      </c>
      <c r="JY8" s="99"/>
      <c r="JZ8" s="100" t="s">
        <v>24</v>
      </c>
      <c r="KA8" s="101" t="s">
        <v>23</v>
      </c>
      <c r="KB8" s="183">
        <f>IFERROR((((COUNTIF('Elève (6ème3)'!JY8:KA8,"A"))*4)+((COUNTIF('Elève (6ème3)'!JY8:KA8,"B"))*3)+((COUNTIF('Elève (6ème3)'!JY8:KA8,"C"))*2)+((COUNTIF('Elève (6ème3)'!JY8:KA8,"D"))*1))/(COUNTA(JY8:KA8)),"")</f>
        <v>3.5</v>
      </c>
      <c r="KC8" s="184" t="str">
        <f t="shared" si="66"/>
        <v>B</v>
      </c>
      <c r="KD8" s="183">
        <f>IF(COUNT(JR8,JW8,KB8)=0,"",SUM(JR8,JW8,KB8)/COUNT(JR8,JW8,KB8))</f>
        <v>3.75</v>
      </c>
      <c r="KE8" s="209" t="str">
        <f t="shared" si="67"/>
        <v>A</v>
      </c>
      <c r="KF8" s="105"/>
      <c r="KG8" s="100"/>
      <c r="KH8" s="101"/>
      <c r="KI8" s="183" t="str">
        <f>IFERROR((((COUNTIF('Elève (6ème3)'!KF8:KH8,"A"))*4)+((COUNTIF('Elève (6ème3)'!KF8:KH8,"B"))*3)+((COUNTIF('Elève (6ème3)'!KF8:KH8,"C"))*2)+((COUNTIF('Elève (6ème3)'!KF8:KH8,"D"))*1))/(COUNTA(KF8:KH8)),"")</f>
        <v/>
      </c>
      <c r="KJ8" s="184" t="str">
        <f t="shared" si="68"/>
        <v/>
      </c>
      <c r="KK8" s="99" t="s">
        <v>23</v>
      </c>
      <c r="KL8" s="100"/>
      <c r="KM8" s="101"/>
      <c r="KN8" s="183">
        <f>IFERROR((((COUNTIF('Elève (6ème3)'!KK8:KM8,"A"))*4)+((COUNTIF('Elève (6ème3)'!KK8:KM8,"B"))*3)+((COUNTIF('Elève (6ème3)'!KK8:KM8,"C"))*2)+((COUNTIF('Elève (6ème3)'!KK8:KM8,"D"))*1))/(COUNTA(KK8:KM8)),"")</f>
        <v>4</v>
      </c>
      <c r="KO8" s="184" t="str">
        <f t="shared" si="69"/>
        <v>A</v>
      </c>
      <c r="KP8" s="99"/>
      <c r="KQ8" s="100" t="s">
        <v>24</v>
      </c>
      <c r="KR8" s="101" t="s">
        <v>23</v>
      </c>
      <c r="KS8" s="183">
        <f>IFERROR((((COUNTIF('Elève (6ème3)'!KP8:KR8,"A"))*4)+((COUNTIF('Elève (6ème3)'!KP8:KR8,"B"))*3)+((COUNTIF('Elève (6ème3)'!KP8:KR8,"C"))*2)+((COUNTIF('Elève (6ème3)'!KP8:KR8,"D"))*1))/(COUNTA(KP8:KR8)),"")</f>
        <v>3.5</v>
      </c>
      <c r="KT8" s="184" t="str">
        <f t="shared" si="70"/>
        <v>B</v>
      </c>
      <c r="KU8" s="183">
        <f>IF(COUNT(KI8,KN8,KS8)=0,"",SUM(KI8,KN8,KS8)/COUNT(KI8,KN8,KS8))</f>
        <v>3.75</v>
      </c>
      <c r="KV8" s="209" t="str">
        <f t="shared" si="71"/>
        <v>A</v>
      </c>
      <c r="KW8" s="105"/>
      <c r="KX8" s="100"/>
      <c r="KY8" s="101"/>
      <c r="KZ8" s="183" t="str">
        <f>IFERROR((((COUNTIF('Elève (6ème3)'!KW8:KY8,"A"))*4)+((COUNTIF('Elève (6ème3)'!KW8:KY8,"B"))*3)+((COUNTIF('Elève (6ème3)'!KW8:KY8,"C"))*2)+((COUNTIF('Elève (6ème3)'!KW8:KY8,"D"))*1))/(COUNTA(KW8:KY8)),"")</f>
        <v/>
      </c>
      <c r="LA8" s="184" t="str">
        <f t="shared" si="72"/>
        <v/>
      </c>
      <c r="LB8" s="99" t="s">
        <v>24</v>
      </c>
      <c r="LC8" s="100"/>
      <c r="LD8" s="101"/>
      <c r="LE8" s="183">
        <f>IFERROR((((COUNTIF('Elève (6ème3)'!LB8:LD8,"A"))*4)+((COUNTIF('Elève (6ème3)'!LB8:LD8,"B"))*3)+((COUNTIF('Elève (6ème3)'!LB8:LD8,"C"))*2)+((COUNTIF('Elève (6ème3)'!LB8:LD8,"D"))*1))/(COUNTA(LB8:LD8)),"")</f>
        <v>3</v>
      </c>
      <c r="LF8" s="184" t="str">
        <f t="shared" si="73"/>
        <v>B</v>
      </c>
      <c r="LG8" s="99"/>
      <c r="LH8" s="100" t="s">
        <v>24</v>
      </c>
      <c r="LI8" s="101" t="s">
        <v>23</v>
      </c>
      <c r="LJ8" s="183">
        <f>IFERROR((((COUNTIF('Elève (6ème3)'!LG8:LI8,"A"))*4)+((COUNTIF('Elève (6ème3)'!LG8:LI8,"B"))*3)+((COUNTIF('Elève (6ème3)'!LG8:LI8,"C"))*2)+((COUNTIF('Elève (6ème3)'!LG8:LI8,"D"))*1))/(COUNTA(LG8:LI8)),"")</f>
        <v>3.5</v>
      </c>
      <c r="LK8" s="184" t="str">
        <f t="shared" si="74"/>
        <v>B</v>
      </c>
      <c r="LL8" s="183">
        <f>IF(COUNT(KZ8,LE8,LJ8)=0,"",SUM(KZ8,LE8,LJ8)/COUNT(KZ8,LE8,LJ8))</f>
        <v>3.25</v>
      </c>
      <c r="LM8" s="209" t="str">
        <f t="shared" si="75"/>
        <v>B</v>
      </c>
      <c r="LN8" s="105"/>
      <c r="LO8" s="100"/>
      <c r="LP8" s="101"/>
      <c r="LQ8" s="183" t="str">
        <f>IFERROR((((COUNTIF('Elève (6ème3)'!LN8:LP8,"A"))*4)+((COUNTIF('Elève (6ème3)'!LN8:LP8,"B"))*3)+((COUNTIF('Elève (6ème3)'!LN8:LP8,"C"))*2)+((COUNTIF('Elève (6ème3)'!LN8:LP8,"D"))*1))/(COUNTA(LN8:LP8)),"")</f>
        <v/>
      </c>
      <c r="LR8" s="184" t="str">
        <f t="shared" si="76"/>
        <v/>
      </c>
      <c r="LS8" s="99" t="s">
        <v>23</v>
      </c>
      <c r="LT8" s="100"/>
      <c r="LU8" s="101"/>
      <c r="LV8" s="183">
        <f>IFERROR((((COUNTIF('Elève (6ème3)'!LS8:LU8,"A"))*4)+((COUNTIF('Elève (6ème3)'!LS8:LU8,"B"))*3)+((COUNTIF('Elève (6ème3)'!LS8:LU8,"C"))*2)+((COUNTIF('Elève (6ème3)'!LS8:LU8,"D"))*1))/(COUNTA(LS8:LU8)),"")</f>
        <v>4</v>
      </c>
      <c r="LW8" s="184" t="str">
        <f t="shared" si="77"/>
        <v>A</v>
      </c>
      <c r="LX8" s="99"/>
      <c r="LY8" s="100" t="s">
        <v>24</v>
      </c>
      <c r="LZ8" s="101" t="s">
        <v>23</v>
      </c>
      <c r="MA8" s="183">
        <f>IFERROR((((COUNTIF('Elève (6ème3)'!LX8:LZ8,"A"))*4)+((COUNTIF('Elève (6ème3)'!LX8:LZ8,"B"))*3)+((COUNTIF('Elève (6ème3)'!LX8:LZ8,"C"))*2)+((COUNTIF('Elève (6ème3)'!LX8:LZ8,"D"))*1))/(COUNTA(LX8:LZ8)),"")</f>
        <v>3.5</v>
      </c>
      <c r="MB8" s="184" t="str">
        <f t="shared" si="78"/>
        <v>B</v>
      </c>
      <c r="MC8" s="183">
        <f>IF(COUNT(LQ8,LV8,MA8)=0,"",SUM(LQ8,LV8,MA8)/COUNT(LQ8,LV8,MA8))</f>
        <v>3.75</v>
      </c>
      <c r="MD8" s="209" t="str">
        <f t="shared" si="79"/>
        <v>A</v>
      </c>
      <c r="ME8" s="105"/>
      <c r="MF8" s="100"/>
      <c r="MG8" s="101"/>
      <c r="MH8" s="183" t="str">
        <f>IFERROR((((COUNTIF('Elève (6ème3)'!ME8:MG8,"A"))*4)+((COUNTIF('Elève (6ème3)'!ME8:MG8,"B"))*3)+((COUNTIF('Elève (6ème3)'!ME8:MG8,"C"))*2)+((COUNTIF('Elève (6ème3)'!ME8:MG8,"D"))*1))/(COUNTA(ME8:MG8)),"")</f>
        <v/>
      </c>
      <c r="MI8" s="184" t="str">
        <f t="shared" si="80"/>
        <v/>
      </c>
      <c r="MJ8" s="99" t="s">
        <v>23</v>
      </c>
      <c r="MK8" s="100"/>
      <c r="ML8" s="101"/>
      <c r="MM8" s="183">
        <f>IFERROR((((COUNTIF('Elève (6ème3)'!MJ8:ML8,"A"))*4)+((COUNTIF('Elève (6ème3)'!MJ8:ML8,"B"))*3)+((COUNTIF('Elève (6ème3)'!MJ8:ML8,"C"))*2)+((COUNTIF('Elève (6ème3)'!MJ8:ML8,"D"))*1))/(COUNTA(MJ8:ML8)),"")</f>
        <v>4</v>
      </c>
      <c r="MN8" s="184" t="str">
        <f t="shared" si="81"/>
        <v>A</v>
      </c>
      <c r="MO8" s="99"/>
      <c r="MP8" s="100" t="s">
        <v>26</v>
      </c>
      <c r="MQ8" s="101" t="s">
        <v>24</v>
      </c>
      <c r="MR8" s="183">
        <f>IFERROR((((COUNTIF('Elève (6ème3)'!MO8:MQ8,"A"))*4)+((COUNTIF('Elève (6ème3)'!MO8:MQ8,"B"))*3)+((COUNTIF('Elève (6ème3)'!MO8:MQ8,"C"))*2)+((COUNTIF('Elève (6ème3)'!MO8:MQ8,"D"))*1))/(COUNTA(MO8:MQ8)),"")</f>
        <v>2</v>
      </c>
      <c r="MS8" s="184" t="str">
        <f t="shared" si="82"/>
        <v>C</v>
      </c>
      <c r="MT8" s="183">
        <f>IF(COUNT(MH8,MM8,MR8)=0,"",SUM(MH8,MM8,MR8)/COUNT(MH8,MM8,MR8))</f>
        <v>3</v>
      </c>
      <c r="MU8" s="209" t="str">
        <f t="shared" si="83"/>
        <v>B</v>
      </c>
      <c r="MV8" s="105"/>
      <c r="MW8" s="100"/>
      <c r="MX8" s="101"/>
      <c r="MY8" s="183" t="str">
        <f>IFERROR((((COUNTIF('Elève (6ème3)'!MV8:MX8,"A"))*4)+((COUNTIF('Elève (6ème3)'!MV8:MX8,"B"))*3)+((COUNTIF('Elève (6ème3)'!MV8:MX8,"C"))*2)+((COUNTIF('Elève (6ème3)'!MV8:MX8,"D"))*1))/(COUNTA(MV8:MX8)),"")</f>
        <v/>
      </c>
      <c r="MZ8" s="184" t="str">
        <f t="shared" si="84"/>
        <v/>
      </c>
      <c r="NA8" s="99" t="s">
        <v>23</v>
      </c>
      <c r="NB8" s="100"/>
      <c r="NC8" s="101"/>
      <c r="ND8" s="183">
        <f>IFERROR((((COUNTIF('Elève (6ème3)'!NA8:NC8,"A"))*4)+((COUNTIF('Elève (6ème3)'!NA8:NC8,"B"))*3)+((COUNTIF('Elève (6ème3)'!NA8:NC8,"C"))*2)+((COUNTIF('Elève (6ème3)'!NA8:NC8,"D"))*1))/(COUNTA(NA8:NC8)),"")</f>
        <v>4</v>
      </c>
      <c r="NE8" s="184" t="str">
        <f t="shared" si="85"/>
        <v>A</v>
      </c>
      <c r="NF8" s="99"/>
      <c r="NG8" s="100" t="s">
        <v>23</v>
      </c>
      <c r="NH8" s="101" t="s">
        <v>23</v>
      </c>
      <c r="NI8" s="183">
        <f>IFERROR((((COUNTIF('Elève (6ème3)'!NF8:NH8,"A"))*4)+((COUNTIF('Elève (6ème3)'!NF8:NH8,"B"))*3)+((COUNTIF('Elève (6ème3)'!NF8:NH8,"C"))*2)+((COUNTIF('Elève (6ème3)'!NF8:NH8,"D"))*1))/(COUNTA(NF8:NH8)),"")</f>
        <v>4</v>
      </c>
      <c r="NJ8" s="184" t="str">
        <f t="shared" si="86"/>
        <v>A</v>
      </c>
      <c r="NK8" s="183">
        <f>IF(COUNT(MY8,ND8,NI8)=0,"",SUM(MY8,ND8,NI8)/COUNT(MY8,ND8,NI8))</f>
        <v>4</v>
      </c>
      <c r="NL8" s="209" t="str">
        <f t="shared" si="87"/>
        <v>A</v>
      </c>
      <c r="NM8" s="105"/>
      <c r="NN8" s="100"/>
      <c r="NO8" s="101"/>
      <c r="NP8" s="183" t="str">
        <f>IFERROR((((COUNTIF('Elève (6ème3)'!NM8:NO8,"A"))*4)+((COUNTIF('Elève (6ème3)'!NM8:NO8,"B"))*3)+((COUNTIF('Elève (6ème3)'!NM8:NO8,"C"))*2)+((COUNTIF('Elève (6ème3)'!NM8:NO8,"D"))*1))/(COUNTA(NM8:NO8)),"")</f>
        <v/>
      </c>
      <c r="NQ8" s="184" t="str">
        <f t="shared" si="88"/>
        <v/>
      </c>
      <c r="NR8" s="99" t="s">
        <v>23</v>
      </c>
      <c r="NS8" s="100"/>
      <c r="NT8" s="101"/>
      <c r="NU8" s="183">
        <f>IFERROR((((COUNTIF('Elève (6ème3)'!NR8:NT8,"A"))*4)+((COUNTIF('Elève (6ème3)'!NR8:NT8,"B"))*3)+((COUNTIF('Elève (6ème3)'!NR8:NT8,"C"))*2)+((COUNTIF('Elève (6ème3)'!NR8:NT8,"D"))*1))/(COUNTA(NR8:NT8)),"")</f>
        <v>4</v>
      </c>
      <c r="NV8" s="184" t="str">
        <f t="shared" si="89"/>
        <v>A</v>
      </c>
      <c r="NW8" s="99"/>
      <c r="NX8" s="100" t="s">
        <v>25</v>
      </c>
      <c r="NY8" s="101" t="s">
        <v>24</v>
      </c>
      <c r="NZ8" s="183">
        <f>IFERROR((((COUNTIF('Elève (6ème3)'!NW8:NY8,"A"))*4)+((COUNTIF('Elève (6ème3)'!NW8:NY8,"B"))*3)+((COUNTIF('Elève (6ème3)'!NW8:NY8,"C"))*2)+((COUNTIF('Elève (6ème3)'!NW8:NY8,"D"))*1))/(COUNTA(NW8:NY8)),"")</f>
        <v>2.5</v>
      </c>
      <c r="OA8" s="184" t="str">
        <f t="shared" si="90"/>
        <v>C</v>
      </c>
      <c r="OB8" s="183">
        <f>IF(COUNT(NP8,NU8,NZ8)=0,"",SUM(NP8,NU8,NZ8)/COUNT(NP8,NU8,NZ8))</f>
        <v>3.25</v>
      </c>
      <c r="OC8" s="209" t="str">
        <f t="shared" si="91"/>
        <v>B</v>
      </c>
      <c r="OD8" s="105"/>
      <c r="OE8" s="100"/>
      <c r="OF8" s="101"/>
      <c r="OG8" s="183" t="str">
        <f>IFERROR((((COUNTIF('Elève (6ème3)'!OD8:OF8,"A"))*4)+((COUNTIF('Elève (6ème3)'!OD8:OF8,"B"))*3)+((COUNTIF('Elève (6ème3)'!OD8:OF8,"C"))*2)+((COUNTIF('Elève (6ème3)'!OD8:OF8,"D"))*1))/(COUNTA(OD8:OF8)),"")</f>
        <v/>
      </c>
      <c r="OH8" s="184" t="str">
        <f t="shared" si="92"/>
        <v/>
      </c>
      <c r="OI8" s="99" t="s">
        <v>25</v>
      </c>
      <c r="OJ8" s="100"/>
      <c r="OK8" s="101"/>
      <c r="OL8" s="183">
        <f>IFERROR((((COUNTIF('Elève (6ème3)'!OI8:OK8,"A"))*4)+((COUNTIF('Elève (6ème3)'!OI8:OK8,"B"))*3)+((COUNTIF('Elève (6ème3)'!OI8:OK8,"C"))*2)+((COUNTIF('Elève (6ème3)'!OI8:OK8,"D"))*1))/(COUNTA(OI8:OK8)),"")</f>
        <v>2</v>
      </c>
      <c r="OM8" s="184" t="str">
        <f t="shared" si="93"/>
        <v>C</v>
      </c>
      <c r="ON8" s="99"/>
      <c r="OO8" s="100" t="s">
        <v>24</v>
      </c>
      <c r="OP8" s="101" t="s">
        <v>24</v>
      </c>
      <c r="OQ8" s="183">
        <f>IFERROR((((COUNTIF('Elève (6ème3)'!ON8:OP8,"A"))*4)+((COUNTIF('Elève (6ème3)'!ON8:OP8,"B"))*3)+((COUNTIF('Elève (6ème3)'!ON8:OP8,"C"))*2)+((COUNTIF('Elève (6ème3)'!ON8:OP8,"D"))*1))/(COUNTA(ON8:OP8)),"")</f>
        <v>3</v>
      </c>
      <c r="OR8" s="184" t="str">
        <f t="shared" si="94"/>
        <v>B</v>
      </c>
      <c r="OS8" s="183">
        <f>IF(COUNT(OG8,OL8,OQ8)=0,"",SUM(OG8,OL8,OQ8)/COUNT(OG8,OL8,OQ8))</f>
        <v>2.5</v>
      </c>
      <c r="OT8" s="209" t="str">
        <f t="shared" si="95"/>
        <v>C</v>
      </c>
      <c r="OU8" s="105"/>
      <c r="OV8" s="100"/>
      <c r="OW8" s="101"/>
      <c r="OX8" s="183" t="str">
        <f>IFERROR((((COUNTIF('Elève (6ème3)'!OU8:OW8,"A"))*4)+((COUNTIF('Elève (6ème3)'!OU8:OW8,"B"))*3)+((COUNTIF('Elève (6ème3)'!OU8:OW8,"C"))*2)+((COUNTIF('Elève (6ème3)'!OU8:OW8,"D"))*1))/(COUNTA(OU8:OW8)),"")</f>
        <v/>
      </c>
      <c r="OY8" s="184" t="str">
        <f t="shared" si="96"/>
        <v/>
      </c>
      <c r="OZ8" s="99" t="s">
        <v>23</v>
      </c>
      <c r="PA8" s="100"/>
      <c r="PB8" s="101"/>
      <c r="PC8" s="183">
        <f>IFERROR((((COUNTIF('Elève (6ème3)'!OZ8:PB8,"A"))*4)+((COUNTIF('Elève (6ème3)'!OZ8:PB8,"B"))*3)+((COUNTIF('Elève (6ème3)'!OZ8:PB8,"C"))*2)+((COUNTIF('Elève (6ème3)'!OZ8:PB8,"D"))*1))/(COUNTA(OZ8:PB8)),"")</f>
        <v>4</v>
      </c>
      <c r="PD8" s="184" t="str">
        <f t="shared" si="97"/>
        <v>A</v>
      </c>
      <c r="PE8" s="99"/>
      <c r="PF8" s="100" t="s">
        <v>25</v>
      </c>
      <c r="PG8" s="101" t="s">
        <v>23</v>
      </c>
      <c r="PH8" s="183">
        <f>IFERROR((((COUNTIF('Elève (6ème3)'!PE8:PG8,"A"))*4)+((COUNTIF('Elève (6ème3)'!PE8:PG8,"B"))*3)+((COUNTIF('Elève (6ème3)'!PE8:PG8,"C"))*2)+((COUNTIF('Elève (6ème3)'!PE8:PG8,"D"))*1))/(COUNTA(PE8:PG8)),"")</f>
        <v>3</v>
      </c>
      <c r="PI8" s="184" t="str">
        <f t="shared" si="98"/>
        <v>B</v>
      </c>
      <c r="PJ8" s="183">
        <f>IF(COUNT(OX8,PC8,PH8)=0,"",SUM(OX8,PC8,PH8)/COUNT(OX8,PC8,PH8))</f>
        <v>3.5</v>
      </c>
      <c r="PK8" s="209" t="str">
        <f t="shared" si="99"/>
        <v>B</v>
      </c>
      <c r="PL8" s="105"/>
      <c r="PM8" s="100"/>
      <c r="PN8" s="101"/>
      <c r="PO8" s="183" t="str">
        <f>IFERROR((((COUNTIF('Elève (6ème3)'!PL8:PN8,"A"))*4)+((COUNTIF('Elève (6ème3)'!PL8:PN8,"B"))*3)+((COUNTIF('Elève (6ème3)'!PL8:PN8,"C"))*2)+((COUNTIF('Elève (6ème3)'!PL8:PN8,"D"))*1))/(COUNTA(PL8:PN8)),"")</f>
        <v/>
      </c>
      <c r="PP8" s="184" t="str">
        <f t="shared" si="100"/>
        <v/>
      </c>
      <c r="PQ8" s="99" t="s">
        <v>23</v>
      </c>
      <c r="PR8" s="100"/>
      <c r="PS8" s="101"/>
      <c r="PT8" s="183">
        <f>IFERROR((((COUNTIF('Elève (6ème3)'!PQ8:PS8,"A"))*4)+((COUNTIF('Elève (6ème3)'!PQ8:PS8,"B"))*3)+((COUNTIF('Elève (6ème3)'!PQ8:PS8,"C"))*2)+((COUNTIF('Elève (6ème3)'!PQ8:PS8,"D"))*1))/(COUNTA(PQ8:PS8)),"")</f>
        <v>4</v>
      </c>
      <c r="PU8" s="184" t="str">
        <f t="shared" si="101"/>
        <v>A</v>
      </c>
      <c r="PV8" s="99"/>
      <c r="PW8" s="100" t="s">
        <v>25</v>
      </c>
      <c r="PX8" s="101" t="s">
        <v>23</v>
      </c>
      <c r="PY8" s="183">
        <f>IFERROR((((COUNTIF('Elève (6ème3)'!PV8:PX8,"A"))*4)+((COUNTIF('Elève (6ème3)'!PV8:PX8,"B"))*3)+((COUNTIF('Elève (6ème3)'!PV8:PX8,"C"))*2)+((COUNTIF('Elève (6ème3)'!PV8:PX8,"D"))*1))/(COUNTA(PV8:PX8)),"")</f>
        <v>3</v>
      </c>
      <c r="PZ8" s="184" t="str">
        <f t="shared" si="102"/>
        <v>B</v>
      </c>
      <c r="QA8" s="183">
        <f>IF(COUNT(PO8,PT8,PY8)=0,"",SUM(PO8,PT8,PY8)/COUNT(PO8,PT8,PY8))</f>
        <v>3.5</v>
      </c>
      <c r="QB8" s="209" t="str">
        <f t="shared" si="103"/>
        <v>B</v>
      </c>
      <c r="QC8" s="105"/>
      <c r="QD8" s="100"/>
      <c r="QE8" s="101"/>
      <c r="QF8" s="183" t="str">
        <f>IFERROR((((COUNTIF('Elève (6ème3)'!QC8:QE8,"A"))*4)+((COUNTIF('Elève (6ème3)'!QC8:QE8,"B"))*3)+((COUNTIF('Elève (6ème3)'!QC8:QE8,"C"))*2)+((COUNTIF('Elève (6ème3)'!QC8:QE8,"D"))*1))/(COUNTA(QC8:QE8)),"")</f>
        <v/>
      </c>
      <c r="QG8" s="184" t="str">
        <f t="shared" si="104"/>
        <v/>
      </c>
      <c r="QH8" s="99" t="s">
        <v>23</v>
      </c>
      <c r="QI8" s="100"/>
      <c r="QJ8" s="101"/>
      <c r="QK8" s="183">
        <f>IFERROR((((COUNTIF('Elève (6ème3)'!QH8:QJ8,"A"))*4)+((COUNTIF('Elève (6ème3)'!QH8:QJ8,"B"))*3)+((COUNTIF('Elève (6ème3)'!QH8:QJ8,"C"))*2)+((COUNTIF('Elève (6ème3)'!QH8:QJ8,"D"))*1))/(COUNTA(QH8:QJ8)),"")</f>
        <v>4</v>
      </c>
      <c r="QL8" s="184" t="str">
        <f t="shared" si="105"/>
        <v>A</v>
      </c>
      <c r="QM8" s="99"/>
      <c r="QN8" s="100" t="s">
        <v>24</v>
      </c>
      <c r="QO8" s="101" t="s">
        <v>23</v>
      </c>
      <c r="QP8" s="183">
        <f>IFERROR((((COUNTIF('Elève (6ème3)'!QM8:QO8,"A"))*4)+((COUNTIF('Elève (6ème3)'!QM8:QO8,"B"))*3)+((COUNTIF('Elève (6ème3)'!QM8:QO8,"C"))*2)+((COUNTIF('Elève (6ème3)'!QM8:QO8,"D"))*1))/(COUNTA(QM8:QO8)),"")</f>
        <v>3.5</v>
      </c>
      <c r="QQ8" s="184" t="str">
        <f t="shared" si="106"/>
        <v>B</v>
      </c>
      <c r="QR8" s="183">
        <f>IF(COUNT(QF8,QK8,QP8)=0,"",SUM(QF8,QK8,QP8)/COUNT(QF8,QK8,QP8))</f>
        <v>3.75</v>
      </c>
      <c r="QS8" s="209" t="str">
        <f t="shared" si="107"/>
        <v>A</v>
      </c>
      <c r="QT8" s="105"/>
      <c r="QU8" s="100"/>
      <c r="QV8" s="101"/>
      <c r="QW8" s="102" t="str">
        <f>IFERROR((((COUNTIF('Elève (6ème3)'!QT8:QV8,"A"))*4)+((COUNTIF('Elève (6ème3)'!QT8:QV8,"B"))*3)+((COUNTIF('Elève (6ème3)'!QT8:QV8,"C"))*2)+((COUNTIF('Elève (6ème3)'!QT8:QV8,"D"))*1))/(COUNTA(QT8:QV8)),"")</f>
        <v/>
      </c>
      <c r="QX8" s="103" t="str">
        <f t="shared" si="108"/>
        <v/>
      </c>
      <c r="QY8" s="99"/>
      <c r="QZ8" s="100"/>
      <c r="RA8" s="101"/>
      <c r="RB8" s="102" t="str">
        <f>IFERROR((((COUNTIF('Elève (6ème3)'!QY8:RA8,"A"))*4)+((COUNTIF('Elève (6ème3)'!QY8:RA8,"B"))*3)+((COUNTIF('Elève (6ème3)'!QY8:RA8,"C"))*2)+((COUNTIF('Elève (6ème3)'!QY8:RA8,"D"))*1))/(COUNTA(QY8:RA8)),"")</f>
        <v/>
      </c>
      <c r="RC8" s="103" t="str">
        <f t="shared" si="109"/>
        <v/>
      </c>
      <c r="RD8" s="99"/>
      <c r="RE8" s="100"/>
      <c r="RF8" s="101"/>
      <c r="RG8" s="102" t="str">
        <f>IFERROR((((COUNTIF('Elève (6ème3)'!RD8:RF8,"A"))*4)+((COUNTIF('Elève (6ème3)'!RD8:RF8,"B"))*3)+((COUNTIF('Elève (6ème3)'!RD8:RF8,"C"))*2)+((COUNTIF('Elève (6ème3)'!RD8:RF8,"D"))*1))/(COUNTA(RD8:RF8)),"")</f>
        <v/>
      </c>
      <c r="RH8" s="103" t="str">
        <f t="shared" si="110"/>
        <v/>
      </c>
      <c r="RI8" s="102" t="str">
        <f>IF(COUNT(QW8,RB8,RG8)=0,"",SUM(QW8,RB8,RG8)/COUNT(QW8,RB8,RG8))</f>
        <v/>
      </c>
      <c r="RJ8" s="117" t="str">
        <f t="shared" si="111"/>
        <v/>
      </c>
      <c r="RK8" s="105"/>
      <c r="RL8" s="100"/>
      <c r="RM8" s="101"/>
      <c r="RN8" s="102" t="str">
        <f>IFERROR((((COUNTIF('Elève (6ème3)'!RK8:RM8,"A"))*4)+((COUNTIF('Elève (6ème3)'!RK8:RM8,"B"))*3)+((COUNTIF('Elève (6ème3)'!RK8:RM8,"C"))*2)+((COUNTIF('Elève (6ème3)'!RK8:RM8,"D"))*1))/(COUNTA(RK8:RM8)),"")</f>
        <v/>
      </c>
      <c r="RO8" s="103" t="str">
        <f t="shared" si="112"/>
        <v/>
      </c>
      <c r="RP8" s="99"/>
      <c r="RQ8" s="100"/>
      <c r="RR8" s="101"/>
      <c r="RS8" s="102" t="str">
        <f>IFERROR((((COUNTIF('Elève (6ème3)'!RP8:RR8,"A"))*4)+((COUNTIF('Elève (6ème3)'!RP8:RR8,"B"))*3)+((COUNTIF('Elève (6ème3)'!RP8:RR8,"C"))*2)+((COUNTIF('Elève (6ème3)'!RP8:RR8,"D"))*1))/(COUNTA(RP8:RR8)),"")</f>
        <v/>
      </c>
      <c r="RT8" s="103" t="str">
        <f t="shared" si="113"/>
        <v/>
      </c>
      <c r="RU8" s="99"/>
      <c r="RV8" s="100"/>
      <c r="RW8" s="101"/>
      <c r="RX8" s="102" t="str">
        <f>IFERROR((((COUNTIF('Elève (6ème3)'!RU8:RW8,"A"))*4)+((COUNTIF('Elève (6ème3)'!RU8:RW8,"B"))*3)+((COUNTIF('Elève (6ème3)'!RU8:RW8,"C"))*2)+((COUNTIF('Elève (6ème3)'!RU8:RW8,"D"))*1))/(COUNTA(RU8:RW8)),"")</f>
        <v/>
      </c>
      <c r="RY8" s="103" t="str">
        <f t="shared" si="114"/>
        <v/>
      </c>
      <c r="RZ8" s="102" t="str">
        <f>IF(COUNT(RN8,RS8,RX8)=0,"",SUM(RN8,RS8,RX8)/COUNT(RN8,RS8,RX8))</f>
        <v/>
      </c>
      <c r="SA8" s="117" t="str">
        <f t="shared" si="115"/>
        <v/>
      </c>
      <c r="SB8" s="105"/>
      <c r="SC8" s="100"/>
      <c r="SD8" s="101"/>
      <c r="SE8" s="102" t="str">
        <f>IFERROR((((COUNTIF('Elève (6ème3)'!SB8:SD8,"A"))*4)+((COUNTIF('Elève (6ème3)'!SB8:SD8,"B"))*3)+((COUNTIF('Elève (6ème3)'!SB8:SD8,"C"))*2)+((COUNTIF('Elève (6ème3)'!SB8:SD8,"D"))*1))/(COUNTA(SB8:SD8)),"")</f>
        <v/>
      </c>
      <c r="SF8" s="103" t="str">
        <f t="shared" si="116"/>
        <v/>
      </c>
      <c r="SG8" s="99"/>
      <c r="SH8" s="100"/>
      <c r="SI8" s="101"/>
      <c r="SJ8" s="102" t="str">
        <f>IFERROR((((COUNTIF('Elève (6ème3)'!SG8:SI8,"A"))*4)+((COUNTIF('Elève (6ème3)'!SG8:SI8,"B"))*3)+((COUNTIF('Elève (6ème3)'!SG8:SI8,"C"))*2)+((COUNTIF('Elève (6ème3)'!SG8:SI8,"D"))*1))/(COUNTA(SG8:SI8)),"")</f>
        <v/>
      </c>
      <c r="SK8" s="103" t="str">
        <f t="shared" si="117"/>
        <v/>
      </c>
      <c r="SL8" s="99"/>
      <c r="SM8" s="100"/>
      <c r="SN8" s="101"/>
      <c r="SO8" s="102" t="str">
        <f>IFERROR((((COUNTIF('Elève (6ème3)'!SL8:SN8,"A"))*4)+((COUNTIF('Elève (6ème3)'!SL8:SN8,"B"))*3)+((COUNTIF('Elève (6ème3)'!SL8:SN8,"C"))*2)+((COUNTIF('Elève (6ème3)'!SL8:SN8,"D"))*1))/(COUNTA(SL8:SN8)),"")</f>
        <v/>
      </c>
      <c r="SP8" s="103" t="str">
        <f t="shared" si="118"/>
        <v/>
      </c>
      <c r="SQ8" s="102" t="str">
        <f>IF(COUNT(SE8,SJ8,SO8)=0,"",SUM(SE8,SJ8,SO8)/COUNT(SE8,SJ8,SO8))</f>
        <v/>
      </c>
      <c r="SR8" s="117" t="str">
        <f t="shared" si="119"/>
        <v/>
      </c>
      <c r="SS8" s="105"/>
      <c r="ST8" s="100"/>
      <c r="SU8" s="101"/>
      <c r="SV8" s="102" t="str">
        <f>IFERROR((((COUNTIF('Elève (6ème3)'!SS8:SU8,"A"))*4)+((COUNTIF('Elève (6ème3)'!SS8:SU8,"B"))*3)+((COUNTIF('Elève (6ème3)'!SS8:SU8,"C"))*2)+((COUNTIF('Elève (6ème3)'!SS8:SU8,"D"))*1))/(COUNTA(SS8:SU8)),"")</f>
        <v/>
      </c>
      <c r="SW8" s="103" t="str">
        <f t="shared" si="120"/>
        <v/>
      </c>
      <c r="SX8" s="99"/>
      <c r="SY8" s="100"/>
      <c r="SZ8" s="101"/>
      <c r="TA8" s="102" t="str">
        <f>IFERROR((((COUNTIF('Elève (6ème3)'!SX8:SZ8,"A"))*4)+((COUNTIF('Elève (6ème3)'!SX8:SZ8,"B"))*3)+((COUNTIF('Elève (6ème3)'!SX8:SZ8,"C"))*2)+((COUNTIF('Elève (6ème3)'!SX8:SZ8,"D"))*1))/(COUNTA(SX8:SZ8)),"")</f>
        <v/>
      </c>
      <c r="TB8" s="103" t="str">
        <f t="shared" si="121"/>
        <v/>
      </c>
      <c r="TC8" s="99"/>
      <c r="TD8" s="100"/>
      <c r="TE8" s="101"/>
      <c r="TF8" s="102" t="str">
        <f>IFERROR((((COUNTIF('Elève (6ème3)'!TC8:TE8,"A"))*4)+((COUNTIF('Elève (6ème3)'!TC8:TE8,"B"))*3)+((COUNTIF('Elève (6ème3)'!TC8:TE8,"C"))*2)+((COUNTIF('Elève (6ème3)'!TC8:TE8,"D"))*1))/(COUNTA(TC8:TE8)),"")</f>
        <v/>
      </c>
      <c r="TG8" s="103" t="str">
        <f t="shared" si="122"/>
        <v/>
      </c>
      <c r="TH8" s="102" t="str">
        <f>IF(COUNT(SV8,TA8,TF8)=0,"",SUM(SV8,TA8,TF8)/COUNT(SV8,TA8,TF8))</f>
        <v/>
      </c>
      <c r="TI8" s="117" t="str">
        <f t="shared" si="123"/>
        <v/>
      </c>
      <c r="TJ8" s="105"/>
      <c r="TK8" s="100"/>
      <c r="TL8" s="101"/>
      <c r="TM8" s="102" t="str">
        <f>IFERROR((((COUNTIF('Elève (6ème3)'!TJ8:TL8,"A"))*4)+((COUNTIF('Elève (6ème3)'!TJ8:TL8,"B"))*3)+((COUNTIF('Elève (6ème3)'!TJ8:TL8,"C"))*2)+((COUNTIF('Elève (6ème3)'!TJ8:TL8,"D"))*1))/(COUNTA(TJ8:TL8)),"")</f>
        <v/>
      </c>
      <c r="TN8" s="103" t="str">
        <f t="shared" si="124"/>
        <v/>
      </c>
      <c r="TO8" s="99"/>
      <c r="TP8" s="100"/>
      <c r="TQ8" s="101"/>
      <c r="TR8" s="102" t="str">
        <f>IFERROR((((COUNTIF('Elève (6ème3)'!TO8:TQ8,"A"))*4)+((COUNTIF('Elève (6ème3)'!TO8:TQ8,"B"))*3)+((COUNTIF('Elève (6ème3)'!TO8:TQ8,"C"))*2)+((COUNTIF('Elève (6ème3)'!TO8:TQ8,"D"))*1))/(COUNTA(TO8:TQ8)),"")</f>
        <v/>
      </c>
      <c r="TS8" s="103" t="str">
        <f t="shared" si="125"/>
        <v/>
      </c>
      <c r="TT8" s="99"/>
      <c r="TU8" s="100"/>
      <c r="TV8" s="101"/>
      <c r="TW8" s="102" t="str">
        <f>IFERROR((((COUNTIF('Elève (6ème3)'!TT8:TV8,"A"))*4)+((COUNTIF('Elève (6ème3)'!TT8:TV8,"B"))*3)+((COUNTIF('Elève (6ème3)'!TT8:TV8,"C"))*2)+((COUNTIF('Elève (6ème3)'!TT8:TV8,"D"))*1))/(COUNTA(TT8:TV8)),"")</f>
        <v/>
      </c>
      <c r="TX8" s="103" t="str">
        <f t="shared" si="126"/>
        <v/>
      </c>
      <c r="TY8" s="102" t="str">
        <f>IF(COUNT(TM8,TR8,TW8)=0,"",SUM(TM8,TR8,TW8)/COUNT(TM8,TR8,TW8))</f>
        <v/>
      </c>
      <c r="TZ8" s="117" t="str">
        <f t="shared" si="127"/>
        <v/>
      </c>
    </row>
    <row r="9" spans="1:546" x14ac:dyDescent="0.25">
      <c r="A9" s="253" t="s">
        <v>36</v>
      </c>
      <c r="B9" s="254"/>
      <c r="C9" s="106"/>
      <c r="D9" s="107"/>
      <c r="E9" s="108"/>
      <c r="F9" s="183" t="str">
        <f>IFERROR((((COUNTIF('Elève (6ème3)'!C9:E9,"A"))*4)+((COUNTIF('Elève (6ème3)'!C9:E9,"B"))*3)+((COUNTIF('Elève (6ème3)'!C9:E9,"C"))*2)+((COUNTIF('Elève (6ème3)'!C9:E9,"D"))*1))/(COUNTA(C9:E9)),"")</f>
        <v/>
      </c>
      <c r="G9" s="187" t="str">
        <f t="shared" si="0"/>
        <v/>
      </c>
      <c r="H9" s="106"/>
      <c r="I9" s="107"/>
      <c r="J9" s="108"/>
      <c r="K9" s="183" t="str">
        <f>IFERROR((((COUNTIF('Elève (6ème3)'!H9:J9,"A"))*4)+((COUNTIF('Elève (6ème3)'!H9:J9,"B"))*3)+((COUNTIF('Elève (6ème3)'!H9:J9,"C"))*2)+((COUNTIF('Elève (6ème3)'!H9:J9,"D"))*1))/(COUNTA(H9:J9)),"")</f>
        <v/>
      </c>
      <c r="L9" s="184" t="str">
        <f t="shared" si="1"/>
        <v/>
      </c>
      <c r="M9" s="106"/>
      <c r="N9" s="107"/>
      <c r="O9" s="108" t="s">
        <v>23</v>
      </c>
      <c r="P9" s="183">
        <f>IFERROR((((COUNTIF('Elève (6ème3)'!M9:O9,"A"))*4)+((COUNTIF('Elève (6ème3)'!M9:O9,"B"))*3)+((COUNTIF('Elève (6ème3)'!M9:O9,"C"))*2)+((COUNTIF('Elève (6ème3)'!M9:O9,"D"))*1))/(COUNTA(M9:O9)),"")</f>
        <v>4</v>
      </c>
      <c r="Q9" s="184" t="str">
        <f t="shared" si="2"/>
        <v>A</v>
      </c>
      <c r="R9" s="183">
        <f>IF(COUNT(F9,K9,P9)=0,"",SUM(F9,K9,P9)/COUNT(F9,K9,P9))</f>
        <v>4</v>
      </c>
      <c r="S9" s="209" t="str">
        <f t="shared" si="3"/>
        <v>A</v>
      </c>
      <c r="T9" s="112"/>
      <c r="U9" s="107"/>
      <c r="V9" s="108"/>
      <c r="W9" s="183" t="str">
        <f>IFERROR((((COUNTIF('Elève (6ème3)'!T9:V9,"A"))*4)+((COUNTIF('Elève (6ème3)'!T9:V9,"B"))*3)+((COUNTIF('Elève (6ème3)'!T9:V9,"C"))*2)+((COUNTIF('Elève (6ème3)'!T9:V9,"D"))*1))/(COUNTA(T9:V9)),"")</f>
        <v/>
      </c>
      <c r="X9" s="187" t="str">
        <f t="shared" si="4"/>
        <v/>
      </c>
      <c r="Y9" s="106"/>
      <c r="Z9" s="107"/>
      <c r="AA9" s="108"/>
      <c r="AB9" s="183" t="str">
        <f>IFERROR((((COUNTIF('Elève (6ème3)'!Y9:AA9,"A"))*4)+((COUNTIF('Elève (6ème3)'!Y9:AA9,"B"))*3)+((COUNTIF('Elève (6ème3)'!Y9:AA9,"C"))*2)+((COUNTIF('Elève (6ème3)'!Y9:AA9,"D"))*1))/(COUNTA(Y9:AA9)),"")</f>
        <v/>
      </c>
      <c r="AC9" s="184" t="str">
        <f t="shared" si="5"/>
        <v/>
      </c>
      <c r="AD9" s="106"/>
      <c r="AE9" s="107"/>
      <c r="AF9" s="108" t="s">
        <v>23</v>
      </c>
      <c r="AG9" s="183">
        <f>IFERROR((((COUNTIF('Elève (6ème3)'!AD9:AF9,"A"))*4)+((COUNTIF('Elève (6ème3)'!AD9:AF9,"B"))*3)+((COUNTIF('Elève (6ème3)'!AD9:AF9,"C"))*2)+((COUNTIF('Elève (6ème3)'!AD9:AF9,"D"))*1))/(COUNTA(AD9:AF9)),"")</f>
        <v>4</v>
      </c>
      <c r="AH9" s="184" t="str">
        <f t="shared" si="6"/>
        <v>A</v>
      </c>
      <c r="AI9" s="183">
        <f>IF(COUNT(W9,AB9,AG9)=0,"",SUM(W9,AB9,AG9)/COUNT(W9,AB9,AG9))</f>
        <v>4</v>
      </c>
      <c r="AJ9" s="209" t="str">
        <f t="shared" si="7"/>
        <v>A</v>
      </c>
      <c r="AK9" s="112"/>
      <c r="AL9" s="107"/>
      <c r="AM9" s="108"/>
      <c r="AN9" s="183" t="str">
        <f>IFERROR((((COUNTIF('Elève (6ème3)'!AK9:AM9,"A"))*4)+((COUNTIF('Elève (6ème3)'!AK9:AM9,"B"))*3)+((COUNTIF('Elève (6ème3)'!AK9:AM9,"C"))*2)+((COUNTIF('Elève (6ème3)'!AK9:AM9,"D"))*1))/(COUNTA(AK9:AM9)),"")</f>
        <v/>
      </c>
      <c r="AO9" s="187" t="str">
        <f t="shared" si="8"/>
        <v/>
      </c>
      <c r="AP9" s="106"/>
      <c r="AQ9" s="107"/>
      <c r="AR9" s="108"/>
      <c r="AS9" s="183" t="str">
        <f>IFERROR((((COUNTIF('Elève (6ème3)'!AP9:AR9,"A"))*4)+((COUNTIF('Elève (6ème3)'!AP9:AR9,"B"))*3)+((COUNTIF('Elève (6ème3)'!AP9:AR9,"C"))*2)+((COUNTIF('Elève (6ème3)'!AP9:AR9,"D"))*1))/(COUNTA(AP9:AR9)),"")</f>
        <v/>
      </c>
      <c r="AT9" s="184" t="str">
        <f t="shared" si="9"/>
        <v/>
      </c>
      <c r="AU9" s="106"/>
      <c r="AV9" s="107"/>
      <c r="AW9" s="108" t="s">
        <v>23</v>
      </c>
      <c r="AX9" s="183">
        <f>IFERROR((((COUNTIF('Elève (6ème3)'!AU9:AW9,"A"))*4)+((COUNTIF('Elève (6ème3)'!AU9:AW9,"B"))*3)+((COUNTIF('Elève (6ème3)'!AU9:AW9,"C"))*2)+((COUNTIF('Elève (6ème3)'!AU9:AW9,"D"))*1))/(COUNTA(AU9:AW9)),"")</f>
        <v>4</v>
      </c>
      <c r="AY9" s="184" t="str">
        <f t="shared" si="10"/>
        <v>A</v>
      </c>
      <c r="AZ9" s="183">
        <f>IF(COUNT(AN9,AS9,AX9)=0,"",SUM(AN9,AS9,AX9)/COUNT(AN9,AS9,AX9))</f>
        <v>4</v>
      </c>
      <c r="BA9" s="209" t="str">
        <f t="shared" si="11"/>
        <v>A</v>
      </c>
      <c r="BB9" s="112"/>
      <c r="BC9" s="107"/>
      <c r="BD9" s="108"/>
      <c r="BE9" s="183" t="str">
        <f>IFERROR((((COUNTIF('Elève (6ème3)'!BB9:BD9,"A"))*4)+((COUNTIF('Elève (6ème3)'!BB9:BD9,"B"))*3)+((COUNTIF('Elève (6ème3)'!BB9:BD9,"C"))*2)+((COUNTIF('Elève (6ème3)'!BB9:BD9,"D"))*1))/(COUNTA(BB9:BD9)),"")</f>
        <v/>
      </c>
      <c r="BF9" s="187" t="str">
        <f t="shared" si="12"/>
        <v/>
      </c>
      <c r="BG9" s="106"/>
      <c r="BH9" s="107"/>
      <c r="BI9" s="108"/>
      <c r="BJ9" s="183" t="str">
        <f>IFERROR((((COUNTIF('Elève (6ème3)'!BG9:BI9,"A"))*4)+((COUNTIF('Elève (6ème3)'!BG9:BI9,"B"))*3)+((COUNTIF('Elève (6ème3)'!BG9:BI9,"C"))*2)+((COUNTIF('Elève (6ème3)'!BG9:BI9,"D"))*1))/(COUNTA(BG9:BI9)),"")</f>
        <v/>
      </c>
      <c r="BK9" s="184" t="str">
        <f t="shared" si="13"/>
        <v/>
      </c>
      <c r="BL9" s="106"/>
      <c r="BM9" s="107"/>
      <c r="BN9" s="108" t="s">
        <v>23</v>
      </c>
      <c r="BO9" s="183">
        <f>IFERROR((((COUNTIF('Elève (6ème3)'!BL9:BN9,"A"))*4)+((COUNTIF('Elève (6ème3)'!BL9:BN9,"B"))*3)+((COUNTIF('Elève (6ème3)'!BL9:BN9,"C"))*2)+((COUNTIF('Elève (6ème3)'!BL9:BN9,"D"))*1))/(COUNTA(BL9:BN9)),"")</f>
        <v>4</v>
      </c>
      <c r="BP9" s="184" t="str">
        <f t="shared" si="14"/>
        <v>A</v>
      </c>
      <c r="BQ9" s="183">
        <f>IF(COUNT(BE9,BJ9,BO9)=0,"",SUM(BE9,BJ9,BO9)/COUNT(BE9,BJ9,BO9))</f>
        <v>4</v>
      </c>
      <c r="BR9" s="209" t="str">
        <f t="shared" si="15"/>
        <v>A</v>
      </c>
      <c r="BS9" s="112"/>
      <c r="BT9" s="107"/>
      <c r="BU9" s="108"/>
      <c r="BV9" s="183" t="str">
        <f>IFERROR((((COUNTIF('Elève (6ème3)'!BS9:BU9,"A"))*4)+((COUNTIF('Elève (6ème3)'!BS9:BU9,"B"))*3)+((COUNTIF('Elève (6ème3)'!BS9:BU9,"C"))*2)+((COUNTIF('Elève (6ème3)'!BS9:BU9,"D"))*1))/(COUNTA(BS9:BU9)),"")</f>
        <v/>
      </c>
      <c r="BW9" s="187" t="str">
        <f t="shared" si="16"/>
        <v/>
      </c>
      <c r="BX9" s="106"/>
      <c r="BY9" s="107"/>
      <c r="BZ9" s="108"/>
      <c r="CA9" s="183" t="str">
        <f>IFERROR((((COUNTIF('Elève (6ème3)'!BX9:BZ9,"A"))*4)+((COUNTIF('Elève (6ème3)'!BX9:BZ9,"B"))*3)+((COUNTIF('Elève (6ème3)'!BX9:BZ9,"C"))*2)+((COUNTIF('Elève (6ème3)'!BX9:BZ9,"D"))*1))/(COUNTA(BX9:BZ9)),"")</f>
        <v/>
      </c>
      <c r="CB9" s="184" t="str">
        <f t="shared" si="17"/>
        <v/>
      </c>
      <c r="CC9" s="106"/>
      <c r="CD9" s="107"/>
      <c r="CE9" s="108" t="s">
        <v>23</v>
      </c>
      <c r="CF9" s="183">
        <f>IFERROR((((COUNTIF('Elève (6ème3)'!CC9:CE9,"A"))*4)+((COUNTIF('Elève (6ème3)'!CC9:CE9,"B"))*3)+((COUNTIF('Elève (6ème3)'!CC9:CE9,"C"))*2)+((COUNTIF('Elève (6ème3)'!CC9:CE9,"D"))*1))/(COUNTA(CC9:CE9)),"")</f>
        <v>4</v>
      </c>
      <c r="CG9" s="184" t="str">
        <f t="shared" si="18"/>
        <v>A</v>
      </c>
      <c r="CH9" s="183">
        <f>IF(COUNT(BV9,CA9,CF9)=0,"",SUM(BV9,CA9,CF9)/COUNT(BV9,CA9,CF9))</f>
        <v>4</v>
      </c>
      <c r="CI9" s="209" t="str">
        <f t="shared" si="19"/>
        <v>A</v>
      </c>
      <c r="CJ9" s="112"/>
      <c r="CK9" s="107"/>
      <c r="CL9" s="108"/>
      <c r="CM9" s="183" t="str">
        <f>IFERROR((((COUNTIF('Elève (6ème3)'!CJ9:CL9,"A"))*4)+((COUNTIF('Elève (6ème3)'!CJ9:CL9,"B"))*3)+((COUNTIF('Elève (6ème3)'!CJ9:CL9,"C"))*2)+((COUNTIF('Elève (6ème3)'!CJ9:CL9,"D"))*1))/(COUNTA(CJ9:CL9)),"")</f>
        <v/>
      </c>
      <c r="CN9" s="187" t="str">
        <f t="shared" si="20"/>
        <v/>
      </c>
      <c r="CO9" s="106"/>
      <c r="CP9" s="107"/>
      <c r="CQ9" s="108"/>
      <c r="CR9" s="183" t="str">
        <f>IFERROR((((COUNTIF('Elève (6ème3)'!CO9:CQ9,"A"))*4)+((COUNTIF('Elève (6ème3)'!CO9:CQ9,"B"))*3)+((COUNTIF('Elève (6ème3)'!CO9:CQ9,"C"))*2)+((COUNTIF('Elève (6ème3)'!CO9:CQ9,"D"))*1))/(COUNTA(CO9:CQ9)),"")</f>
        <v/>
      </c>
      <c r="CS9" s="184" t="str">
        <f t="shared" si="21"/>
        <v/>
      </c>
      <c r="CT9" s="106"/>
      <c r="CU9" s="107"/>
      <c r="CV9" s="108" t="s">
        <v>23</v>
      </c>
      <c r="CW9" s="183">
        <f>IFERROR((((COUNTIF('Elève (6ème3)'!CT9:CV9,"A"))*4)+((COUNTIF('Elève (6ème3)'!CT9:CV9,"B"))*3)+((COUNTIF('Elève (6ème3)'!CT9:CV9,"C"))*2)+((COUNTIF('Elève (6ème3)'!CT9:CV9,"D"))*1))/(COUNTA(CT9:CV9)),"")</f>
        <v>4</v>
      </c>
      <c r="CX9" s="184" t="str">
        <f t="shared" si="22"/>
        <v>A</v>
      </c>
      <c r="CY9" s="183">
        <f>IF(COUNT(CM9,CR9,CW9)=0,"",SUM(CM9,CR9,CW9)/COUNT(CM9,CR9,CW9))</f>
        <v>4</v>
      </c>
      <c r="CZ9" s="209" t="str">
        <f t="shared" si="23"/>
        <v>A</v>
      </c>
      <c r="DA9" s="112"/>
      <c r="DB9" s="107"/>
      <c r="DC9" s="108"/>
      <c r="DD9" s="183" t="str">
        <f>IFERROR((((COUNTIF('Elève (6ème3)'!DA9:DC9,"A"))*4)+((COUNTIF('Elève (6ème3)'!DA9:DC9,"B"))*3)+((COUNTIF('Elève (6ème3)'!DA9:DC9,"C"))*2)+((COUNTIF('Elève (6ème3)'!DA9:DC9,"D"))*1))/(COUNTA(DA9:DC9)),"")</f>
        <v/>
      </c>
      <c r="DE9" s="187" t="str">
        <f t="shared" si="24"/>
        <v/>
      </c>
      <c r="DF9" s="106"/>
      <c r="DG9" s="107"/>
      <c r="DH9" s="108"/>
      <c r="DI9" s="183" t="str">
        <f>IFERROR((((COUNTIF('Elève (6ème3)'!DF9:DH9,"A"))*4)+((COUNTIF('Elève (6ème3)'!DF9:DH9,"B"))*3)+((COUNTIF('Elève (6ème3)'!DF9:DH9,"C"))*2)+((COUNTIF('Elève (6ème3)'!DF9:DH9,"D"))*1))/(COUNTA(DF9:DH9)),"")</f>
        <v/>
      </c>
      <c r="DJ9" s="184" t="str">
        <f t="shared" si="25"/>
        <v/>
      </c>
      <c r="DK9" s="106"/>
      <c r="DL9" s="107"/>
      <c r="DM9" s="108" t="s">
        <v>23</v>
      </c>
      <c r="DN9" s="183">
        <f>IFERROR((((COUNTIF('Elève (6ème3)'!DK9:DM9,"A"))*4)+((COUNTIF('Elève (6ème3)'!DK9:DM9,"B"))*3)+((COUNTIF('Elève (6ème3)'!DK9:DM9,"C"))*2)+((COUNTIF('Elève (6ème3)'!DK9:DM9,"D"))*1))/(COUNTA(DK9:DM9)),"")</f>
        <v>4</v>
      </c>
      <c r="DO9" s="184" t="str">
        <f t="shared" si="26"/>
        <v>A</v>
      </c>
      <c r="DP9" s="183">
        <f>IF(COUNT(DD9,DI9,DN9)=0,"",SUM(DD9,DI9,DN9)/COUNT(DD9,DI9,DN9))</f>
        <v>4</v>
      </c>
      <c r="DQ9" s="209" t="str">
        <f t="shared" si="27"/>
        <v>A</v>
      </c>
      <c r="DR9" s="112"/>
      <c r="DS9" s="107"/>
      <c r="DT9" s="108"/>
      <c r="DU9" s="183" t="str">
        <f>IFERROR((((COUNTIF('Elève (6ème3)'!DR9:DT9,"A"))*4)+((COUNTIF('Elève (6ème3)'!DR9:DT9,"B"))*3)+((COUNTIF('Elève (6ème3)'!DR9:DT9,"C"))*2)+((COUNTIF('Elève (6ème3)'!DR9:DT9,"D"))*1))/(COUNTA(DR9:DT9)),"")</f>
        <v/>
      </c>
      <c r="DV9" s="187" t="str">
        <f t="shared" si="28"/>
        <v/>
      </c>
      <c r="DW9" s="106"/>
      <c r="DX9" s="107"/>
      <c r="DY9" s="108"/>
      <c r="DZ9" s="183" t="str">
        <f>IFERROR((((COUNTIF('Elève (6ème3)'!DW9:DY9,"A"))*4)+((COUNTIF('Elève (6ème3)'!DW9:DY9,"B"))*3)+((COUNTIF('Elève (6ème3)'!DW9:DY9,"C"))*2)+((COUNTIF('Elève (6ème3)'!DW9:DY9,"D"))*1))/(COUNTA(DW9:DY9)),"")</f>
        <v/>
      </c>
      <c r="EA9" s="184" t="str">
        <f t="shared" si="29"/>
        <v/>
      </c>
      <c r="EB9" s="106"/>
      <c r="EC9" s="107"/>
      <c r="ED9" s="108" t="s">
        <v>23</v>
      </c>
      <c r="EE9" s="183">
        <f>IFERROR((((COUNTIF('Elève (6ème3)'!EB9:ED9,"A"))*4)+((COUNTIF('Elève (6ème3)'!EB9:ED9,"B"))*3)+((COUNTIF('Elève (6ème3)'!EB9:ED9,"C"))*2)+((COUNTIF('Elève (6ème3)'!EB9:ED9,"D"))*1))/(COUNTA(EB9:ED9)),"")</f>
        <v>4</v>
      </c>
      <c r="EF9" s="184" t="str">
        <f t="shared" si="30"/>
        <v>A</v>
      </c>
      <c r="EG9" s="183">
        <f>IF(COUNT(DU9,DZ9,EE9)=0,"",SUM(DU9,DZ9,EE9)/COUNT(DU9,DZ9,EE9))</f>
        <v>4</v>
      </c>
      <c r="EH9" s="209" t="str">
        <f t="shared" si="31"/>
        <v>A</v>
      </c>
      <c r="EI9" s="112"/>
      <c r="EJ9" s="107"/>
      <c r="EK9" s="108"/>
      <c r="EL9" s="183" t="str">
        <f>IFERROR((((COUNTIF('Elève (6ème3)'!EI9:EK9,"A"))*4)+((COUNTIF('Elève (6ème3)'!EI9:EK9,"B"))*3)+((COUNTIF('Elève (6ème3)'!EI9:EK9,"C"))*2)+((COUNTIF('Elève (6ème3)'!EI9:EK9,"D"))*1))/(COUNTA(EI9:EK9)),"")</f>
        <v/>
      </c>
      <c r="EM9" s="187" t="str">
        <f t="shared" si="32"/>
        <v/>
      </c>
      <c r="EN9" s="106"/>
      <c r="EO9" s="107"/>
      <c r="EP9" s="108"/>
      <c r="EQ9" s="183" t="str">
        <f>IFERROR((((COUNTIF('Elève (6ème3)'!EN9:EP9,"A"))*4)+((COUNTIF('Elève (6ème3)'!EN9:EP9,"B"))*3)+((COUNTIF('Elève (6ème3)'!EN9:EP9,"C"))*2)+((COUNTIF('Elève (6ème3)'!EN9:EP9,"D"))*1))/(COUNTA(EN9:EP9)),"")</f>
        <v/>
      </c>
      <c r="ER9" s="184" t="str">
        <f t="shared" si="33"/>
        <v/>
      </c>
      <c r="ES9" s="106"/>
      <c r="ET9" s="107"/>
      <c r="EU9" s="108" t="s">
        <v>23</v>
      </c>
      <c r="EV9" s="183">
        <f>IFERROR((((COUNTIF('Elève (6ème3)'!ES9:EU9,"A"))*4)+((COUNTIF('Elève (6ème3)'!ES9:EU9,"B"))*3)+((COUNTIF('Elève (6ème3)'!ES9:EU9,"C"))*2)+((COUNTIF('Elève (6ème3)'!ES9:EU9,"D"))*1))/(COUNTA(ES9:EU9)),"")</f>
        <v>4</v>
      </c>
      <c r="EW9" s="184" t="str">
        <f t="shared" si="34"/>
        <v>A</v>
      </c>
      <c r="EX9" s="183">
        <f>IF(COUNT(EL9,EQ9,EV9)=0,"",SUM(EL9,EQ9,EV9)/COUNT(EL9,EQ9,EV9))</f>
        <v>4</v>
      </c>
      <c r="EY9" s="209" t="str">
        <f t="shared" si="35"/>
        <v>A</v>
      </c>
      <c r="EZ9" s="112"/>
      <c r="FA9" s="107"/>
      <c r="FB9" s="108"/>
      <c r="FC9" s="183" t="str">
        <f>IFERROR((((COUNTIF('Elève (6ème3)'!EZ9:FB9,"A"))*4)+((COUNTIF('Elève (6ème3)'!EZ9:FB9,"B"))*3)+((COUNTIF('Elève (6ème3)'!EZ9:FB9,"C"))*2)+((COUNTIF('Elève (6ème3)'!EZ9:FB9,"D"))*1))/(COUNTA(EZ9:FB9)),"")</f>
        <v/>
      </c>
      <c r="FD9" s="187" t="str">
        <f t="shared" si="36"/>
        <v/>
      </c>
      <c r="FE9" s="106"/>
      <c r="FF9" s="107"/>
      <c r="FG9" s="108"/>
      <c r="FH9" s="183" t="str">
        <f>IFERROR((((COUNTIF('Elève (6ème3)'!FE9:FG9,"A"))*4)+((COUNTIF('Elève (6ème3)'!FE9:FG9,"B"))*3)+((COUNTIF('Elève (6ème3)'!FE9:FG9,"C"))*2)+((COUNTIF('Elève (6ème3)'!FE9:FG9,"D"))*1))/(COUNTA(FE9:FG9)),"")</f>
        <v/>
      </c>
      <c r="FI9" s="184" t="str">
        <f t="shared" si="37"/>
        <v/>
      </c>
      <c r="FJ9" s="106"/>
      <c r="FK9" s="107"/>
      <c r="FL9" s="108" t="s">
        <v>23</v>
      </c>
      <c r="FM9" s="183">
        <f>IFERROR((((COUNTIF('Elève (6ème3)'!FJ9:FL9,"A"))*4)+((COUNTIF('Elève (6ème3)'!FJ9:FL9,"B"))*3)+((COUNTIF('Elève (6ème3)'!FJ9:FL9,"C"))*2)+((COUNTIF('Elève (6ème3)'!FJ9:FL9,"D"))*1))/(COUNTA(FJ9:FL9)),"")</f>
        <v>4</v>
      </c>
      <c r="FN9" s="184" t="str">
        <f t="shared" si="38"/>
        <v>A</v>
      </c>
      <c r="FO9" s="183">
        <f>IF(COUNT(FC9,FH9,FM9)=0,"",SUM(FC9,FH9,FM9)/COUNT(FC9,FH9,FM9))</f>
        <v>4</v>
      </c>
      <c r="FP9" s="209" t="str">
        <f t="shared" si="39"/>
        <v>A</v>
      </c>
      <c r="FQ9" s="112"/>
      <c r="FR9" s="107"/>
      <c r="FS9" s="108"/>
      <c r="FT9" s="183" t="str">
        <f>IFERROR((((COUNTIF('Elève (6ème3)'!FQ9:FS9,"A"))*4)+((COUNTIF('Elève (6ème3)'!FQ9:FS9,"B"))*3)+((COUNTIF('Elève (6ème3)'!FQ9:FS9,"C"))*2)+((COUNTIF('Elève (6ème3)'!FQ9:FS9,"D"))*1))/(COUNTA(FQ9:FS9)),"")</f>
        <v/>
      </c>
      <c r="FU9" s="187" t="str">
        <f t="shared" si="40"/>
        <v/>
      </c>
      <c r="FV9" s="106"/>
      <c r="FW9" s="107"/>
      <c r="FX9" s="108"/>
      <c r="FY9" s="183" t="str">
        <f>IFERROR((((COUNTIF('Elève (6ème3)'!FV9:FX9,"A"))*4)+((COUNTIF('Elève (6ème3)'!FV9:FX9,"B"))*3)+((COUNTIF('Elève (6ème3)'!FV9:FX9,"C"))*2)+((COUNTIF('Elève (6ème3)'!FV9:FX9,"D"))*1))/(COUNTA(FV9:FX9)),"")</f>
        <v/>
      </c>
      <c r="FZ9" s="184" t="str">
        <f t="shared" si="41"/>
        <v/>
      </c>
      <c r="GA9" s="106"/>
      <c r="GB9" s="107"/>
      <c r="GC9" s="108" t="s">
        <v>23</v>
      </c>
      <c r="GD9" s="183">
        <f>IFERROR((((COUNTIF('Elève (6ème3)'!GA9:GC9,"A"))*4)+((COUNTIF('Elève (6ème3)'!GA9:GC9,"B"))*3)+((COUNTIF('Elève (6ème3)'!GA9:GC9,"C"))*2)+((COUNTIF('Elève (6ème3)'!GA9:GC9,"D"))*1))/(COUNTA(GA9:GC9)),"")</f>
        <v>4</v>
      </c>
      <c r="GE9" s="184" t="str">
        <f t="shared" si="42"/>
        <v>A</v>
      </c>
      <c r="GF9" s="183">
        <f>IF(COUNT(FT9,FY9,GD9)=0,"",SUM(FT9,FY9,GD9)/COUNT(FT9,FY9,GD9))</f>
        <v>4</v>
      </c>
      <c r="GG9" s="209" t="str">
        <f t="shared" si="43"/>
        <v>A</v>
      </c>
      <c r="GH9" s="112"/>
      <c r="GI9" s="107"/>
      <c r="GJ9" s="108"/>
      <c r="GK9" s="183" t="str">
        <f>IFERROR((((COUNTIF('Elève (6ème3)'!GH9:GJ9,"A"))*4)+((COUNTIF('Elève (6ème3)'!GH9:GJ9,"B"))*3)+((COUNTIF('Elève (6ème3)'!GH9:GJ9,"C"))*2)+((COUNTIF('Elève (6ème3)'!GH9:GJ9,"D"))*1))/(COUNTA(GH9:GJ9)),"")</f>
        <v/>
      </c>
      <c r="GL9" s="187" t="str">
        <f t="shared" si="44"/>
        <v/>
      </c>
      <c r="GM9" s="106"/>
      <c r="GN9" s="107"/>
      <c r="GO9" s="108"/>
      <c r="GP9" s="183" t="str">
        <f>IFERROR((((COUNTIF('Elève (6ème3)'!GM9:GO9,"A"))*4)+((COUNTIF('Elève (6ème3)'!GM9:GO9,"B"))*3)+((COUNTIF('Elève (6ème3)'!GM9:GO9,"C"))*2)+((COUNTIF('Elève (6ème3)'!GM9:GO9,"D"))*1))/(COUNTA(GM9:GO9)),"")</f>
        <v/>
      </c>
      <c r="GQ9" s="184" t="str">
        <f t="shared" si="45"/>
        <v/>
      </c>
      <c r="GR9" s="106"/>
      <c r="GS9" s="107"/>
      <c r="GT9" s="108" t="s">
        <v>23</v>
      </c>
      <c r="GU9" s="183">
        <f>IFERROR((((COUNTIF('Elève (6ème3)'!GR9:GT9,"A"))*4)+((COUNTIF('Elève (6ème3)'!GR9:GT9,"B"))*3)+((COUNTIF('Elève (6ème3)'!GR9:GT9,"C"))*2)+((COUNTIF('Elève (6ème3)'!GR9:GT9,"D"))*1))/(COUNTA(GR9:GT9)),"")</f>
        <v>4</v>
      </c>
      <c r="GV9" s="184" t="str">
        <f t="shared" si="46"/>
        <v>A</v>
      </c>
      <c r="GW9" s="183">
        <f>IF(COUNT(GK9,GP9,GU9)=0,"",SUM(GK9,GP9,GU9)/COUNT(GK9,GP9,GU9))</f>
        <v>4</v>
      </c>
      <c r="GX9" s="209" t="str">
        <f t="shared" si="47"/>
        <v>A</v>
      </c>
      <c r="GY9" s="112"/>
      <c r="GZ9" s="107"/>
      <c r="HA9" s="108"/>
      <c r="HB9" s="183" t="str">
        <f>IFERROR((((COUNTIF('Elève (6ème3)'!GY9:HA9,"A"))*4)+((COUNTIF('Elève (6ème3)'!GY9:HA9,"B"))*3)+((COUNTIF('Elève (6ème3)'!GY9:HA9,"C"))*2)+((COUNTIF('Elève (6ème3)'!GY9:HA9,"D"))*1))/(COUNTA(GY9:HA9)),"")</f>
        <v/>
      </c>
      <c r="HC9" s="187" t="str">
        <f t="shared" si="48"/>
        <v/>
      </c>
      <c r="HD9" s="106"/>
      <c r="HE9" s="107"/>
      <c r="HF9" s="108"/>
      <c r="HG9" s="183" t="str">
        <f>IFERROR((((COUNTIF('Elève (6ème3)'!HD9:HF9,"A"))*4)+((COUNTIF('Elève (6ème3)'!HD9:HF9,"B"))*3)+((COUNTIF('Elève (6ème3)'!HD9:HF9,"C"))*2)+((COUNTIF('Elève (6ème3)'!HD9:HF9,"D"))*1))/(COUNTA(HD9:HF9)),"")</f>
        <v/>
      </c>
      <c r="HH9" s="184" t="str">
        <f t="shared" si="49"/>
        <v/>
      </c>
      <c r="HI9" s="106"/>
      <c r="HJ9" s="107"/>
      <c r="HK9" s="108" t="s">
        <v>23</v>
      </c>
      <c r="HL9" s="183">
        <f>IFERROR((((COUNTIF('Elève (6ème3)'!HI9:HK9,"A"))*4)+((COUNTIF('Elève (6ème3)'!HI9:HK9,"B"))*3)+((COUNTIF('Elève (6ème3)'!HI9:HK9,"C"))*2)+((COUNTIF('Elève (6ème3)'!HI9:HK9,"D"))*1))/(COUNTA(HI9:HK9)),"")</f>
        <v>4</v>
      </c>
      <c r="HM9" s="184" t="str">
        <f t="shared" si="50"/>
        <v>A</v>
      </c>
      <c r="HN9" s="183">
        <f>IF(COUNT(HB9,HG9,HL9)=0,"",SUM(HB9,HG9,HL9)/COUNT(HB9,HG9,HL9))</f>
        <v>4</v>
      </c>
      <c r="HO9" s="209" t="str">
        <f t="shared" si="51"/>
        <v>A</v>
      </c>
      <c r="HP9" s="112"/>
      <c r="HQ9" s="107"/>
      <c r="HR9" s="108"/>
      <c r="HS9" s="183" t="str">
        <f>IFERROR((((COUNTIF('Elève (6ème3)'!HP9:HR9,"A"))*4)+((COUNTIF('Elève (6ème3)'!HP9:HR9,"B"))*3)+((COUNTIF('Elève (6ème3)'!HP9:HR9,"C"))*2)+((COUNTIF('Elève (6ème3)'!HP9:HR9,"D"))*1))/(COUNTA(HP9:HR9)),"")</f>
        <v/>
      </c>
      <c r="HT9" s="187" t="str">
        <f t="shared" si="52"/>
        <v/>
      </c>
      <c r="HU9" s="106"/>
      <c r="HV9" s="107"/>
      <c r="HW9" s="108"/>
      <c r="HX9" s="183" t="str">
        <f>IFERROR((((COUNTIF('Elève (6ème3)'!HU9:HW9,"A"))*4)+((COUNTIF('Elève (6ème3)'!HU9:HW9,"B"))*3)+((COUNTIF('Elève (6ème3)'!HU9:HW9,"C"))*2)+((COUNTIF('Elève (6ème3)'!HU9:HW9,"D"))*1))/(COUNTA(HU9:HW9)),"")</f>
        <v/>
      </c>
      <c r="HY9" s="184" t="str">
        <f t="shared" si="53"/>
        <v/>
      </c>
      <c r="HZ9" s="106"/>
      <c r="IA9" s="107"/>
      <c r="IB9" s="108" t="s">
        <v>23</v>
      </c>
      <c r="IC9" s="183">
        <f>IFERROR((((COUNTIF('Elève (6ème3)'!HZ9:IB9,"A"))*4)+((COUNTIF('Elève (6ème3)'!HZ9:IB9,"B"))*3)+((COUNTIF('Elève (6ème3)'!HZ9:IB9,"C"))*2)+((COUNTIF('Elève (6ème3)'!HZ9:IB9,"D"))*1))/(COUNTA(HZ9:IB9)),"")</f>
        <v>4</v>
      </c>
      <c r="ID9" s="184" t="str">
        <f t="shared" si="54"/>
        <v>A</v>
      </c>
      <c r="IE9" s="183">
        <f>IF(COUNT(HS9,HX9,IC9)=0,"",SUM(HS9,HX9,IC9)/COUNT(HS9,HX9,IC9))</f>
        <v>4</v>
      </c>
      <c r="IF9" s="209" t="str">
        <f t="shared" si="55"/>
        <v>A</v>
      </c>
      <c r="IG9" s="112"/>
      <c r="IH9" s="107"/>
      <c r="II9" s="108"/>
      <c r="IJ9" s="183" t="str">
        <f>IFERROR((((COUNTIF('Elève (6ème3)'!IG9:II9,"A"))*4)+((COUNTIF('Elève (6ème3)'!IG9:II9,"B"))*3)+((COUNTIF('Elève (6ème3)'!IG9:II9,"C"))*2)+((COUNTIF('Elève (6ème3)'!IG9:II9,"D"))*1))/(COUNTA(IG9:II9)),"")</f>
        <v/>
      </c>
      <c r="IK9" s="187" t="str">
        <f t="shared" si="56"/>
        <v/>
      </c>
      <c r="IL9" s="106"/>
      <c r="IM9" s="107"/>
      <c r="IN9" s="108"/>
      <c r="IO9" s="183" t="str">
        <f>IFERROR((((COUNTIF('Elève (6ème3)'!IL9:IN9,"A"))*4)+((COUNTIF('Elève (6ème3)'!IL9:IN9,"B"))*3)+((COUNTIF('Elève (6ème3)'!IL9:IN9,"C"))*2)+((COUNTIF('Elève (6ème3)'!IL9:IN9,"D"))*1))/(COUNTA(IL9:IN9)),"")</f>
        <v/>
      </c>
      <c r="IP9" s="184" t="str">
        <f t="shared" si="57"/>
        <v/>
      </c>
      <c r="IQ9" s="106"/>
      <c r="IR9" s="107"/>
      <c r="IS9" s="108" t="s">
        <v>23</v>
      </c>
      <c r="IT9" s="183">
        <f>IFERROR((((COUNTIF('Elève (6ème3)'!IQ9:IS9,"A"))*4)+((COUNTIF('Elève (6ème3)'!IQ9:IS9,"B"))*3)+((COUNTIF('Elève (6ème3)'!IQ9:IS9,"C"))*2)+((COUNTIF('Elève (6ème3)'!IQ9:IS9,"D"))*1))/(COUNTA(IQ9:IS9)),"")</f>
        <v>4</v>
      </c>
      <c r="IU9" s="184" t="str">
        <f t="shared" si="58"/>
        <v>A</v>
      </c>
      <c r="IV9" s="183">
        <f>IF(COUNT(IJ9,IO9,IT9)=0,"",SUM(IJ9,IO9,IT9)/COUNT(IJ9,IO9,IT9))</f>
        <v>4</v>
      </c>
      <c r="IW9" s="209" t="str">
        <f t="shared" si="59"/>
        <v>A</v>
      </c>
      <c r="IX9" s="112"/>
      <c r="IY9" s="107"/>
      <c r="IZ9" s="108"/>
      <c r="JA9" s="183" t="str">
        <f>IFERROR((((COUNTIF('Elève (6ème3)'!IX9:IZ9,"A"))*4)+((COUNTIF('Elève (6ème3)'!IX9:IZ9,"B"))*3)+((COUNTIF('Elève (6ème3)'!IX9:IZ9,"C"))*2)+((COUNTIF('Elève (6ème3)'!IX9:IZ9,"D"))*1))/(COUNTA(IX9:IZ9)),"")</f>
        <v/>
      </c>
      <c r="JB9" s="187" t="str">
        <f t="shared" si="60"/>
        <v/>
      </c>
      <c r="JC9" s="106"/>
      <c r="JD9" s="107"/>
      <c r="JE9" s="108"/>
      <c r="JF9" s="183" t="str">
        <f>IFERROR((((COUNTIF('Elève (6ème3)'!JC9:JE9,"A"))*4)+((COUNTIF('Elève (6ème3)'!JC9:JE9,"B"))*3)+((COUNTIF('Elève (6ème3)'!JC9:JE9,"C"))*2)+((COUNTIF('Elève (6ème3)'!JC9:JE9,"D"))*1))/(COUNTA(JC9:JE9)),"")</f>
        <v/>
      </c>
      <c r="JG9" s="184" t="str">
        <f t="shared" si="61"/>
        <v/>
      </c>
      <c r="JH9" s="106"/>
      <c r="JI9" s="107"/>
      <c r="JJ9" s="108" t="s">
        <v>23</v>
      </c>
      <c r="JK9" s="183">
        <f>IFERROR((((COUNTIF('Elève (6ème3)'!JH9:JJ9,"A"))*4)+((COUNTIF('Elève (6ème3)'!JH9:JJ9,"B"))*3)+((COUNTIF('Elève (6ème3)'!JH9:JJ9,"C"))*2)+((COUNTIF('Elève (6ème3)'!JH9:JJ9,"D"))*1))/(COUNTA(JH9:JJ9)),"")</f>
        <v>4</v>
      </c>
      <c r="JL9" s="184" t="str">
        <f t="shared" si="62"/>
        <v>A</v>
      </c>
      <c r="JM9" s="183">
        <f>IF(COUNT(JA9,JF9,JK9)=0,"",SUM(JA9,JF9,JK9)/COUNT(JA9,JF9,JK9))</f>
        <v>4</v>
      </c>
      <c r="JN9" s="209" t="str">
        <f t="shared" si="63"/>
        <v>A</v>
      </c>
      <c r="JO9" s="112"/>
      <c r="JP9" s="107"/>
      <c r="JQ9" s="108"/>
      <c r="JR9" s="183" t="str">
        <f>IFERROR((((COUNTIF('Elève (6ème3)'!JO9:JQ9,"A"))*4)+((COUNTIF('Elève (6ème3)'!JO9:JQ9,"B"))*3)+((COUNTIF('Elève (6ème3)'!JO9:JQ9,"C"))*2)+((COUNTIF('Elève (6ème3)'!JO9:JQ9,"D"))*1))/(COUNTA(JO9:JQ9)),"")</f>
        <v/>
      </c>
      <c r="JS9" s="187" t="str">
        <f t="shared" si="64"/>
        <v/>
      </c>
      <c r="JT9" s="106"/>
      <c r="JU9" s="107"/>
      <c r="JV9" s="108"/>
      <c r="JW9" s="183" t="str">
        <f>IFERROR((((COUNTIF('Elève (6ème3)'!JT9:JV9,"A"))*4)+((COUNTIF('Elève (6ème3)'!JT9:JV9,"B"))*3)+((COUNTIF('Elève (6ème3)'!JT9:JV9,"C"))*2)+((COUNTIF('Elève (6ème3)'!JT9:JV9,"D"))*1))/(COUNTA(JT9:JV9)),"")</f>
        <v/>
      </c>
      <c r="JX9" s="184" t="str">
        <f t="shared" si="65"/>
        <v/>
      </c>
      <c r="JY9" s="106"/>
      <c r="JZ9" s="107"/>
      <c r="KA9" s="108" t="s">
        <v>23</v>
      </c>
      <c r="KB9" s="183">
        <f>IFERROR((((COUNTIF('Elève (6ème3)'!JY9:KA9,"A"))*4)+((COUNTIF('Elève (6ème3)'!JY9:KA9,"B"))*3)+((COUNTIF('Elève (6ème3)'!JY9:KA9,"C"))*2)+((COUNTIF('Elève (6ème3)'!JY9:KA9,"D"))*1))/(COUNTA(JY9:KA9)),"")</f>
        <v>4</v>
      </c>
      <c r="KC9" s="184" t="str">
        <f t="shared" si="66"/>
        <v>A</v>
      </c>
      <c r="KD9" s="183">
        <f>IF(COUNT(JR9,JW9,KB9)=0,"",SUM(JR9,JW9,KB9)/COUNT(JR9,JW9,KB9))</f>
        <v>4</v>
      </c>
      <c r="KE9" s="209" t="str">
        <f t="shared" si="67"/>
        <v>A</v>
      </c>
      <c r="KF9" s="112"/>
      <c r="KG9" s="107"/>
      <c r="KH9" s="108"/>
      <c r="KI9" s="183" t="str">
        <f>IFERROR((((COUNTIF('Elève (6ème3)'!KF9:KH9,"A"))*4)+((COUNTIF('Elève (6ème3)'!KF9:KH9,"B"))*3)+((COUNTIF('Elève (6ème3)'!KF9:KH9,"C"))*2)+((COUNTIF('Elève (6ème3)'!KF9:KH9,"D"))*1))/(COUNTA(KF9:KH9)),"")</f>
        <v/>
      </c>
      <c r="KJ9" s="187" t="str">
        <f t="shared" si="68"/>
        <v/>
      </c>
      <c r="KK9" s="106"/>
      <c r="KL9" s="107"/>
      <c r="KM9" s="108"/>
      <c r="KN9" s="183" t="str">
        <f>IFERROR((((COUNTIF('Elève (6ème3)'!KK9:KM9,"A"))*4)+((COUNTIF('Elève (6ème3)'!KK9:KM9,"B"))*3)+((COUNTIF('Elève (6ème3)'!KK9:KM9,"C"))*2)+((COUNTIF('Elève (6ème3)'!KK9:KM9,"D"))*1))/(COUNTA(KK9:KM9)),"")</f>
        <v/>
      </c>
      <c r="KO9" s="184" t="str">
        <f t="shared" si="69"/>
        <v/>
      </c>
      <c r="KP9" s="106"/>
      <c r="KQ9" s="107"/>
      <c r="KR9" s="108" t="s">
        <v>23</v>
      </c>
      <c r="KS9" s="183">
        <f>IFERROR((((COUNTIF('Elève (6ème3)'!KP9:KR9,"A"))*4)+((COUNTIF('Elève (6ème3)'!KP9:KR9,"B"))*3)+((COUNTIF('Elève (6ème3)'!KP9:KR9,"C"))*2)+((COUNTIF('Elève (6ème3)'!KP9:KR9,"D"))*1))/(COUNTA(KP9:KR9)),"")</f>
        <v>4</v>
      </c>
      <c r="KT9" s="184" t="str">
        <f t="shared" si="70"/>
        <v>A</v>
      </c>
      <c r="KU9" s="183">
        <f>IF(COUNT(KI9,KN9,KS9)=0,"",SUM(KI9,KN9,KS9)/COUNT(KI9,KN9,KS9))</f>
        <v>4</v>
      </c>
      <c r="KV9" s="209" t="str">
        <f t="shared" si="71"/>
        <v>A</v>
      </c>
      <c r="KW9" s="112"/>
      <c r="KX9" s="107"/>
      <c r="KY9" s="108"/>
      <c r="KZ9" s="183" t="str">
        <f>IFERROR((((COUNTIF('Elève (6ème3)'!KW9:KY9,"A"))*4)+((COUNTIF('Elève (6ème3)'!KW9:KY9,"B"))*3)+((COUNTIF('Elève (6ème3)'!KW9:KY9,"C"))*2)+((COUNTIF('Elève (6ème3)'!KW9:KY9,"D"))*1))/(COUNTA(KW9:KY9)),"")</f>
        <v/>
      </c>
      <c r="LA9" s="187" t="str">
        <f t="shared" si="72"/>
        <v/>
      </c>
      <c r="LB9" s="106"/>
      <c r="LC9" s="107"/>
      <c r="LD9" s="108"/>
      <c r="LE9" s="183" t="str">
        <f>IFERROR((((COUNTIF('Elève (6ème3)'!LB9:LD9,"A"))*4)+((COUNTIF('Elève (6ème3)'!LB9:LD9,"B"))*3)+((COUNTIF('Elève (6ème3)'!LB9:LD9,"C"))*2)+((COUNTIF('Elève (6ème3)'!LB9:LD9,"D"))*1))/(COUNTA(LB9:LD9)),"")</f>
        <v/>
      </c>
      <c r="LF9" s="184" t="str">
        <f t="shared" si="73"/>
        <v/>
      </c>
      <c r="LG9" s="106"/>
      <c r="LH9" s="107"/>
      <c r="LI9" s="108" t="s">
        <v>23</v>
      </c>
      <c r="LJ9" s="183">
        <f>IFERROR((((COUNTIF('Elève (6ème3)'!LG9:LI9,"A"))*4)+((COUNTIF('Elève (6ème3)'!LG9:LI9,"B"))*3)+((COUNTIF('Elève (6ème3)'!LG9:LI9,"C"))*2)+((COUNTIF('Elève (6ème3)'!LG9:LI9,"D"))*1))/(COUNTA(LG9:LI9)),"")</f>
        <v>4</v>
      </c>
      <c r="LK9" s="184" t="str">
        <f t="shared" si="74"/>
        <v>A</v>
      </c>
      <c r="LL9" s="183">
        <f>IF(COUNT(KZ9,LE9,LJ9)=0,"",SUM(KZ9,LE9,LJ9)/COUNT(KZ9,LE9,LJ9))</f>
        <v>4</v>
      </c>
      <c r="LM9" s="209" t="str">
        <f t="shared" si="75"/>
        <v>A</v>
      </c>
      <c r="LN9" s="112"/>
      <c r="LO9" s="107"/>
      <c r="LP9" s="108"/>
      <c r="LQ9" s="183" t="str">
        <f>IFERROR((((COUNTIF('Elève (6ème3)'!LN9:LP9,"A"))*4)+((COUNTIF('Elève (6ème3)'!LN9:LP9,"B"))*3)+((COUNTIF('Elève (6ème3)'!LN9:LP9,"C"))*2)+((COUNTIF('Elève (6ème3)'!LN9:LP9,"D"))*1))/(COUNTA(LN9:LP9)),"")</f>
        <v/>
      </c>
      <c r="LR9" s="187" t="str">
        <f t="shared" si="76"/>
        <v/>
      </c>
      <c r="LS9" s="106"/>
      <c r="LT9" s="107"/>
      <c r="LU9" s="108"/>
      <c r="LV9" s="183" t="str">
        <f>IFERROR((((COUNTIF('Elève (6ème3)'!LS9:LU9,"A"))*4)+((COUNTIF('Elève (6ème3)'!LS9:LU9,"B"))*3)+((COUNTIF('Elève (6ème3)'!LS9:LU9,"C"))*2)+((COUNTIF('Elève (6ème3)'!LS9:LU9,"D"))*1))/(COUNTA(LS9:LU9)),"")</f>
        <v/>
      </c>
      <c r="LW9" s="184" t="str">
        <f t="shared" si="77"/>
        <v/>
      </c>
      <c r="LX9" s="106"/>
      <c r="LY9" s="107"/>
      <c r="LZ9" s="108" t="s">
        <v>23</v>
      </c>
      <c r="MA9" s="183">
        <f>IFERROR((((COUNTIF('Elève (6ème3)'!LX9:LZ9,"A"))*4)+((COUNTIF('Elève (6ème3)'!LX9:LZ9,"B"))*3)+((COUNTIF('Elève (6ème3)'!LX9:LZ9,"C"))*2)+((COUNTIF('Elève (6ème3)'!LX9:LZ9,"D"))*1))/(COUNTA(LX9:LZ9)),"")</f>
        <v>4</v>
      </c>
      <c r="MB9" s="184" t="str">
        <f t="shared" si="78"/>
        <v>A</v>
      </c>
      <c r="MC9" s="183">
        <f>IF(COUNT(LQ9,LV9,MA9)=0,"",SUM(LQ9,LV9,MA9)/COUNT(LQ9,LV9,MA9))</f>
        <v>4</v>
      </c>
      <c r="MD9" s="209" t="str">
        <f t="shared" si="79"/>
        <v>A</v>
      </c>
      <c r="ME9" s="112"/>
      <c r="MF9" s="107"/>
      <c r="MG9" s="108"/>
      <c r="MH9" s="183" t="str">
        <f>IFERROR((((COUNTIF('Elève (6ème3)'!ME9:MG9,"A"))*4)+((COUNTIF('Elève (6ème3)'!ME9:MG9,"B"))*3)+((COUNTIF('Elève (6ème3)'!ME9:MG9,"C"))*2)+((COUNTIF('Elève (6ème3)'!ME9:MG9,"D"))*1))/(COUNTA(ME9:MG9)),"")</f>
        <v/>
      </c>
      <c r="MI9" s="187" t="str">
        <f t="shared" si="80"/>
        <v/>
      </c>
      <c r="MJ9" s="106"/>
      <c r="MK9" s="107"/>
      <c r="ML9" s="108"/>
      <c r="MM9" s="183" t="str">
        <f>IFERROR((((COUNTIF('Elève (6ème3)'!MJ9:ML9,"A"))*4)+((COUNTIF('Elève (6ème3)'!MJ9:ML9,"B"))*3)+((COUNTIF('Elève (6ème3)'!MJ9:ML9,"C"))*2)+((COUNTIF('Elève (6ème3)'!MJ9:ML9,"D"))*1))/(COUNTA(MJ9:ML9)),"")</f>
        <v/>
      </c>
      <c r="MN9" s="184" t="str">
        <f t="shared" si="81"/>
        <v/>
      </c>
      <c r="MO9" s="106"/>
      <c r="MP9" s="107"/>
      <c r="MQ9" s="108" t="s">
        <v>23</v>
      </c>
      <c r="MR9" s="183">
        <f>IFERROR((((COUNTIF('Elève (6ème3)'!MO9:MQ9,"A"))*4)+((COUNTIF('Elève (6ème3)'!MO9:MQ9,"B"))*3)+((COUNTIF('Elève (6ème3)'!MO9:MQ9,"C"))*2)+((COUNTIF('Elève (6ème3)'!MO9:MQ9,"D"))*1))/(COUNTA(MO9:MQ9)),"")</f>
        <v>4</v>
      </c>
      <c r="MS9" s="184" t="str">
        <f t="shared" si="82"/>
        <v>A</v>
      </c>
      <c r="MT9" s="183">
        <f>IF(COUNT(MH9,MM9,MR9)=0,"",SUM(MH9,MM9,MR9)/COUNT(MH9,MM9,MR9))</f>
        <v>4</v>
      </c>
      <c r="MU9" s="209" t="str">
        <f t="shared" si="83"/>
        <v>A</v>
      </c>
      <c r="MV9" s="112"/>
      <c r="MW9" s="107"/>
      <c r="MX9" s="108"/>
      <c r="MY9" s="183" t="str">
        <f>IFERROR((((COUNTIF('Elève (6ème3)'!MV9:MX9,"A"))*4)+((COUNTIF('Elève (6ème3)'!MV9:MX9,"B"))*3)+((COUNTIF('Elève (6ème3)'!MV9:MX9,"C"))*2)+((COUNTIF('Elève (6ème3)'!MV9:MX9,"D"))*1))/(COUNTA(MV9:MX9)),"")</f>
        <v/>
      </c>
      <c r="MZ9" s="187" t="str">
        <f t="shared" si="84"/>
        <v/>
      </c>
      <c r="NA9" s="106"/>
      <c r="NB9" s="107"/>
      <c r="NC9" s="108"/>
      <c r="ND9" s="183" t="str">
        <f>IFERROR((((COUNTIF('Elève (6ème3)'!NA9:NC9,"A"))*4)+((COUNTIF('Elève (6ème3)'!NA9:NC9,"B"))*3)+((COUNTIF('Elève (6ème3)'!NA9:NC9,"C"))*2)+((COUNTIF('Elève (6ème3)'!NA9:NC9,"D"))*1))/(COUNTA(NA9:NC9)),"")</f>
        <v/>
      </c>
      <c r="NE9" s="184" t="str">
        <f t="shared" si="85"/>
        <v/>
      </c>
      <c r="NF9" s="106"/>
      <c r="NG9" s="107"/>
      <c r="NH9" s="108" t="s">
        <v>23</v>
      </c>
      <c r="NI9" s="183">
        <f>IFERROR((((COUNTIF('Elève (6ème3)'!NF9:NH9,"A"))*4)+((COUNTIF('Elève (6ème3)'!NF9:NH9,"B"))*3)+((COUNTIF('Elève (6ème3)'!NF9:NH9,"C"))*2)+((COUNTIF('Elève (6ème3)'!NF9:NH9,"D"))*1))/(COUNTA(NF9:NH9)),"")</f>
        <v>4</v>
      </c>
      <c r="NJ9" s="184" t="str">
        <f t="shared" si="86"/>
        <v>A</v>
      </c>
      <c r="NK9" s="183">
        <f>IF(COUNT(MY9,ND9,NI9)=0,"",SUM(MY9,ND9,NI9)/COUNT(MY9,ND9,NI9))</f>
        <v>4</v>
      </c>
      <c r="NL9" s="209" t="str">
        <f t="shared" si="87"/>
        <v>A</v>
      </c>
      <c r="NM9" s="112"/>
      <c r="NN9" s="107"/>
      <c r="NO9" s="108"/>
      <c r="NP9" s="183" t="str">
        <f>IFERROR((((COUNTIF('Elève (6ème3)'!NM9:NO9,"A"))*4)+((COUNTIF('Elève (6ème3)'!NM9:NO9,"B"))*3)+((COUNTIF('Elève (6ème3)'!NM9:NO9,"C"))*2)+((COUNTIF('Elève (6ème3)'!NM9:NO9,"D"))*1))/(COUNTA(NM9:NO9)),"")</f>
        <v/>
      </c>
      <c r="NQ9" s="187" t="str">
        <f t="shared" si="88"/>
        <v/>
      </c>
      <c r="NR9" s="106"/>
      <c r="NS9" s="107"/>
      <c r="NT9" s="108"/>
      <c r="NU9" s="183" t="str">
        <f>IFERROR((((COUNTIF('Elève (6ème3)'!NR9:NT9,"A"))*4)+((COUNTIF('Elève (6ème3)'!NR9:NT9,"B"))*3)+((COUNTIF('Elève (6ème3)'!NR9:NT9,"C"))*2)+((COUNTIF('Elève (6ème3)'!NR9:NT9,"D"))*1))/(COUNTA(NR9:NT9)),"")</f>
        <v/>
      </c>
      <c r="NV9" s="184" t="str">
        <f t="shared" si="89"/>
        <v/>
      </c>
      <c r="NW9" s="106"/>
      <c r="NX9" s="107"/>
      <c r="NY9" s="108" t="s">
        <v>23</v>
      </c>
      <c r="NZ9" s="183">
        <f>IFERROR((((COUNTIF('Elève (6ème3)'!NW9:NY9,"A"))*4)+((COUNTIF('Elève (6ème3)'!NW9:NY9,"B"))*3)+((COUNTIF('Elève (6ème3)'!NW9:NY9,"C"))*2)+((COUNTIF('Elève (6ème3)'!NW9:NY9,"D"))*1))/(COUNTA(NW9:NY9)),"")</f>
        <v>4</v>
      </c>
      <c r="OA9" s="184" t="str">
        <f t="shared" si="90"/>
        <v>A</v>
      </c>
      <c r="OB9" s="183">
        <f>IF(COUNT(NP9,NU9,NZ9)=0,"",SUM(NP9,NU9,NZ9)/COUNT(NP9,NU9,NZ9))</f>
        <v>4</v>
      </c>
      <c r="OC9" s="209" t="str">
        <f t="shared" si="91"/>
        <v>A</v>
      </c>
      <c r="OD9" s="112"/>
      <c r="OE9" s="107"/>
      <c r="OF9" s="108"/>
      <c r="OG9" s="183" t="str">
        <f>IFERROR((((COUNTIF('Elève (6ème3)'!OD9:OF9,"A"))*4)+((COUNTIF('Elève (6ème3)'!OD9:OF9,"B"))*3)+((COUNTIF('Elève (6ème3)'!OD9:OF9,"C"))*2)+((COUNTIF('Elève (6ème3)'!OD9:OF9,"D"))*1))/(COUNTA(OD9:OF9)),"")</f>
        <v/>
      </c>
      <c r="OH9" s="187" t="str">
        <f t="shared" si="92"/>
        <v/>
      </c>
      <c r="OI9" s="106"/>
      <c r="OJ9" s="107"/>
      <c r="OK9" s="108"/>
      <c r="OL9" s="183" t="str">
        <f>IFERROR((((COUNTIF('Elève (6ème3)'!OI9:OK9,"A"))*4)+((COUNTIF('Elève (6ème3)'!OI9:OK9,"B"))*3)+((COUNTIF('Elève (6ème3)'!OI9:OK9,"C"))*2)+((COUNTIF('Elève (6ème3)'!OI9:OK9,"D"))*1))/(COUNTA(OI9:OK9)),"")</f>
        <v/>
      </c>
      <c r="OM9" s="184" t="str">
        <f t="shared" si="93"/>
        <v/>
      </c>
      <c r="ON9" s="106"/>
      <c r="OO9" s="107"/>
      <c r="OP9" s="108" t="s">
        <v>23</v>
      </c>
      <c r="OQ9" s="183">
        <f>IFERROR((((COUNTIF('Elève (6ème3)'!ON9:OP9,"A"))*4)+((COUNTIF('Elève (6ème3)'!ON9:OP9,"B"))*3)+((COUNTIF('Elève (6ème3)'!ON9:OP9,"C"))*2)+((COUNTIF('Elève (6ème3)'!ON9:OP9,"D"))*1))/(COUNTA(ON9:OP9)),"")</f>
        <v>4</v>
      </c>
      <c r="OR9" s="184" t="str">
        <f t="shared" si="94"/>
        <v>A</v>
      </c>
      <c r="OS9" s="183">
        <f>IF(COUNT(OG9,OL9,OQ9)=0,"",SUM(OG9,OL9,OQ9)/COUNT(OG9,OL9,OQ9))</f>
        <v>4</v>
      </c>
      <c r="OT9" s="209" t="str">
        <f t="shared" si="95"/>
        <v>A</v>
      </c>
      <c r="OU9" s="112"/>
      <c r="OV9" s="107"/>
      <c r="OW9" s="108"/>
      <c r="OX9" s="183" t="str">
        <f>IFERROR((((COUNTIF('Elève (6ème3)'!OU9:OW9,"A"))*4)+((COUNTIF('Elève (6ème3)'!OU9:OW9,"B"))*3)+((COUNTIF('Elève (6ème3)'!OU9:OW9,"C"))*2)+((COUNTIF('Elève (6ème3)'!OU9:OW9,"D"))*1))/(COUNTA(OU9:OW9)),"")</f>
        <v/>
      </c>
      <c r="OY9" s="187" t="str">
        <f t="shared" si="96"/>
        <v/>
      </c>
      <c r="OZ9" s="106"/>
      <c r="PA9" s="107"/>
      <c r="PB9" s="108"/>
      <c r="PC9" s="183" t="str">
        <f>IFERROR((((COUNTIF('Elève (6ème3)'!OZ9:PB9,"A"))*4)+((COUNTIF('Elève (6ème3)'!OZ9:PB9,"B"))*3)+((COUNTIF('Elève (6ème3)'!OZ9:PB9,"C"))*2)+((COUNTIF('Elève (6ème3)'!OZ9:PB9,"D"))*1))/(COUNTA(OZ9:PB9)),"")</f>
        <v/>
      </c>
      <c r="PD9" s="184" t="str">
        <f t="shared" si="97"/>
        <v/>
      </c>
      <c r="PE9" s="106"/>
      <c r="PF9" s="107"/>
      <c r="PG9" s="108" t="s">
        <v>23</v>
      </c>
      <c r="PH9" s="183">
        <f>IFERROR((((COUNTIF('Elève (6ème3)'!PE9:PG9,"A"))*4)+((COUNTIF('Elève (6ème3)'!PE9:PG9,"B"))*3)+((COUNTIF('Elève (6ème3)'!PE9:PG9,"C"))*2)+((COUNTIF('Elève (6ème3)'!PE9:PG9,"D"))*1))/(COUNTA(PE9:PG9)),"")</f>
        <v>4</v>
      </c>
      <c r="PI9" s="184" t="str">
        <f t="shared" si="98"/>
        <v>A</v>
      </c>
      <c r="PJ9" s="183">
        <f>IF(COUNT(OX9,PC9,PH9)=0,"",SUM(OX9,PC9,PH9)/COUNT(OX9,PC9,PH9))</f>
        <v>4</v>
      </c>
      <c r="PK9" s="209" t="str">
        <f t="shared" si="99"/>
        <v>A</v>
      </c>
      <c r="PL9" s="112"/>
      <c r="PM9" s="107"/>
      <c r="PN9" s="108"/>
      <c r="PO9" s="183" t="str">
        <f>IFERROR((((COUNTIF('Elève (6ème3)'!PL9:PN9,"A"))*4)+((COUNTIF('Elève (6ème3)'!PL9:PN9,"B"))*3)+((COUNTIF('Elève (6ème3)'!PL9:PN9,"C"))*2)+((COUNTIF('Elève (6ème3)'!PL9:PN9,"D"))*1))/(COUNTA(PL9:PN9)),"")</f>
        <v/>
      </c>
      <c r="PP9" s="187" t="str">
        <f t="shared" si="100"/>
        <v/>
      </c>
      <c r="PQ9" s="106"/>
      <c r="PR9" s="107"/>
      <c r="PS9" s="108"/>
      <c r="PT9" s="183" t="str">
        <f>IFERROR((((COUNTIF('Elève (6ème3)'!PQ9:PS9,"A"))*4)+((COUNTIF('Elève (6ème3)'!PQ9:PS9,"B"))*3)+((COUNTIF('Elève (6ème3)'!PQ9:PS9,"C"))*2)+((COUNTIF('Elève (6ème3)'!PQ9:PS9,"D"))*1))/(COUNTA(PQ9:PS9)),"")</f>
        <v/>
      </c>
      <c r="PU9" s="184" t="str">
        <f t="shared" si="101"/>
        <v/>
      </c>
      <c r="PV9" s="106"/>
      <c r="PW9" s="107"/>
      <c r="PX9" s="108" t="s">
        <v>23</v>
      </c>
      <c r="PY9" s="183">
        <f>IFERROR((((COUNTIF('Elève (6ème3)'!PV9:PX9,"A"))*4)+((COUNTIF('Elève (6ème3)'!PV9:PX9,"B"))*3)+((COUNTIF('Elève (6ème3)'!PV9:PX9,"C"))*2)+((COUNTIF('Elève (6ème3)'!PV9:PX9,"D"))*1))/(COUNTA(PV9:PX9)),"")</f>
        <v>4</v>
      </c>
      <c r="PZ9" s="184" t="str">
        <f t="shared" si="102"/>
        <v>A</v>
      </c>
      <c r="QA9" s="183">
        <f>IF(COUNT(PO9,PT9,PY9)=0,"",SUM(PO9,PT9,PY9)/COUNT(PO9,PT9,PY9))</f>
        <v>4</v>
      </c>
      <c r="QB9" s="209" t="str">
        <f t="shared" si="103"/>
        <v>A</v>
      </c>
      <c r="QC9" s="112"/>
      <c r="QD9" s="107"/>
      <c r="QE9" s="108"/>
      <c r="QF9" s="183" t="str">
        <f>IFERROR((((COUNTIF('Elève (6ème3)'!QC9:QE9,"A"))*4)+((COUNTIF('Elève (6ème3)'!QC9:QE9,"B"))*3)+((COUNTIF('Elève (6ème3)'!QC9:QE9,"C"))*2)+((COUNTIF('Elève (6ème3)'!QC9:QE9,"D"))*1))/(COUNTA(QC9:QE9)),"")</f>
        <v/>
      </c>
      <c r="QG9" s="187" t="str">
        <f t="shared" si="104"/>
        <v/>
      </c>
      <c r="QH9" s="106"/>
      <c r="QI9" s="107"/>
      <c r="QJ9" s="108"/>
      <c r="QK9" s="183" t="str">
        <f>IFERROR((((COUNTIF('Elève (6ème3)'!QH9:QJ9,"A"))*4)+((COUNTIF('Elève (6ème3)'!QH9:QJ9,"B"))*3)+((COUNTIF('Elève (6ème3)'!QH9:QJ9,"C"))*2)+((COUNTIF('Elève (6ème3)'!QH9:QJ9,"D"))*1))/(COUNTA(QH9:QJ9)),"")</f>
        <v/>
      </c>
      <c r="QL9" s="184" t="str">
        <f t="shared" si="105"/>
        <v/>
      </c>
      <c r="QM9" s="106"/>
      <c r="QN9" s="107"/>
      <c r="QO9" s="108" t="s">
        <v>23</v>
      </c>
      <c r="QP9" s="183">
        <f>IFERROR((((COUNTIF('Elève (6ème3)'!QM9:QO9,"A"))*4)+((COUNTIF('Elève (6ème3)'!QM9:QO9,"B"))*3)+((COUNTIF('Elève (6ème3)'!QM9:QO9,"C"))*2)+((COUNTIF('Elève (6ème3)'!QM9:QO9,"D"))*1))/(COUNTA(QM9:QO9)),"")</f>
        <v>4</v>
      </c>
      <c r="QQ9" s="184" t="str">
        <f t="shared" si="106"/>
        <v>A</v>
      </c>
      <c r="QR9" s="183">
        <f>IF(COUNT(QF9,QK9,QP9)=0,"",SUM(QF9,QK9,QP9)/COUNT(QF9,QK9,QP9))</f>
        <v>4</v>
      </c>
      <c r="QS9" s="209" t="str">
        <f t="shared" si="107"/>
        <v>A</v>
      </c>
      <c r="QT9" s="112"/>
      <c r="QU9" s="107"/>
      <c r="QV9" s="108"/>
      <c r="QW9" s="102" t="str">
        <f>IFERROR((((COUNTIF('Elève (6ème3)'!QT9:QV9,"A"))*4)+((COUNTIF('Elève (6ème3)'!QT9:QV9,"B"))*3)+((COUNTIF('Elève (6ème3)'!QT9:QV9,"C"))*2)+((COUNTIF('Elève (6ème3)'!QT9:QV9,"D"))*1))/(COUNTA(QT9:QV9)),"")</f>
        <v/>
      </c>
      <c r="QX9" s="118" t="str">
        <f t="shared" si="108"/>
        <v/>
      </c>
      <c r="QY9" s="106"/>
      <c r="QZ9" s="107"/>
      <c r="RA9" s="108"/>
      <c r="RB9" s="102" t="str">
        <f>IFERROR((((COUNTIF('Elève (6ème3)'!QY9:RA9,"A"))*4)+((COUNTIF('Elève (6ème3)'!QY9:RA9,"B"))*3)+((COUNTIF('Elève (6ème3)'!QY9:RA9,"C"))*2)+((COUNTIF('Elève (6ème3)'!QY9:RA9,"D"))*1))/(COUNTA(QY9:RA9)),"")</f>
        <v/>
      </c>
      <c r="RC9" s="103" t="str">
        <f t="shared" si="109"/>
        <v/>
      </c>
      <c r="RD9" s="106"/>
      <c r="RE9" s="107"/>
      <c r="RF9" s="108"/>
      <c r="RG9" s="102" t="str">
        <f>IFERROR((((COUNTIF('Elève (6ème3)'!RD9:RF9,"A"))*4)+((COUNTIF('Elève (6ème3)'!RD9:RF9,"B"))*3)+((COUNTIF('Elève (6ème3)'!RD9:RF9,"C"))*2)+((COUNTIF('Elève (6ème3)'!RD9:RF9,"D"))*1))/(COUNTA(RD9:RF9)),"")</f>
        <v/>
      </c>
      <c r="RH9" s="103" t="str">
        <f t="shared" si="110"/>
        <v/>
      </c>
      <c r="RI9" s="102" t="str">
        <f>IF(COUNT(QW9,RB9,RG9)=0,"",SUM(QW9,RB9,RG9)/COUNT(QW9,RB9,RG9))</f>
        <v/>
      </c>
      <c r="RJ9" s="117" t="str">
        <f t="shared" si="111"/>
        <v/>
      </c>
      <c r="RK9" s="112"/>
      <c r="RL9" s="107"/>
      <c r="RM9" s="108"/>
      <c r="RN9" s="102" t="str">
        <f>IFERROR((((COUNTIF('Elève (6ème3)'!RK9:RM9,"A"))*4)+((COUNTIF('Elève (6ème3)'!RK9:RM9,"B"))*3)+((COUNTIF('Elève (6ème3)'!RK9:RM9,"C"))*2)+((COUNTIF('Elève (6ème3)'!RK9:RM9,"D"))*1))/(COUNTA(RK9:RM9)),"")</f>
        <v/>
      </c>
      <c r="RO9" s="118" t="str">
        <f t="shared" si="112"/>
        <v/>
      </c>
      <c r="RP9" s="106"/>
      <c r="RQ9" s="107"/>
      <c r="RR9" s="108"/>
      <c r="RS9" s="102" t="str">
        <f>IFERROR((((COUNTIF('Elève (6ème3)'!RP9:RR9,"A"))*4)+((COUNTIF('Elève (6ème3)'!RP9:RR9,"B"))*3)+((COUNTIF('Elève (6ème3)'!RP9:RR9,"C"))*2)+((COUNTIF('Elève (6ème3)'!RP9:RR9,"D"))*1))/(COUNTA(RP9:RR9)),"")</f>
        <v/>
      </c>
      <c r="RT9" s="103" t="str">
        <f t="shared" si="113"/>
        <v/>
      </c>
      <c r="RU9" s="106"/>
      <c r="RV9" s="107"/>
      <c r="RW9" s="108"/>
      <c r="RX9" s="102" t="str">
        <f>IFERROR((((COUNTIF('Elève (6ème3)'!RU9:RW9,"A"))*4)+((COUNTIF('Elève (6ème3)'!RU9:RW9,"B"))*3)+((COUNTIF('Elève (6ème3)'!RU9:RW9,"C"))*2)+((COUNTIF('Elève (6ème3)'!RU9:RW9,"D"))*1))/(COUNTA(RU9:RW9)),"")</f>
        <v/>
      </c>
      <c r="RY9" s="103" t="str">
        <f t="shared" si="114"/>
        <v/>
      </c>
      <c r="RZ9" s="102" t="str">
        <f>IF(COUNT(RN9,RS9,RX9)=0,"",SUM(RN9,RS9,RX9)/COUNT(RN9,RS9,RX9))</f>
        <v/>
      </c>
      <c r="SA9" s="117" t="str">
        <f t="shared" si="115"/>
        <v/>
      </c>
      <c r="SB9" s="112"/>
      <c r="SC9" s="107"/>
      <c r="SD9" s="108"/>
      <c r="SE9" s="102" t="str">
        <f>IFERROR((((COUNTIF('Elève (6ème3)'!SB9:SD9,"A"))*4)+((COUNTIF('Elève (6ème3)'!SB9:SD9,"B"))*3)+((COUNTIF('Elève (6ème3)'!SB9:SD9,"C"))*2)+((COUNTIF('Elève (6ème3)'!SB9:SD9,"D"))*1))/(COUNTA(SB9:SD9)),"")</f>
        <v/>
      </c>
      <c r="SF9" s="118" t="str">
        <f t="shared" si="116"/>
        <v/>
      </c>
      <c r="SG9" s="106"/>
      <c r="SH9" s="107"/>
      <c r="SI9" s="108"/>
      <c r="SJ9" s="102" t="str">
        <f>IFERROR((((COUNTIF('Elève (6ème3)'!SG9:SI9,"A"))*4)+((COUNTIF('Elève (6ème3)'!SG9:SI9,"B"))*3)+((COUNTIF('Elève (6ème3)'!SG9:SI9,"C"))*2)+((COUNTIF('Elève (6ème3)'!SG9:SI9,"D"))*1))/(COUNTA(SG9:SI9)),"")</f>
        <v/>
      </c>
      <c r="SK9" s="103" t="str">
        <f t="shared" si="117"/>
        <v/>
      </c>
      <c r="SL9" s="106"/>
      <c r="SM9" s="107"/>
      <c r="SN9" s="108"/>
      <c r="SO9" s="102" t="str">
        <f>IFERROR((((COUNTIF('Elève (6ème3)'!SL9:SN9,"A"))*4)+((COUNTIF('Elève (6ème3)'!SL9:SN9,"B"))*3)+((COUNTIF('Elève (6ème3)'!SL9:SN9,"C"))*2)+((COUNTIF('Elève (6ème3)'!SL9:SN9,"D"))*1))/(COUNTA(SL9:SN9)),"")</f>
        <v/>
      </c>
      <c r="SP9" s="103" t="str">
        <f t="shared" si="118"/>
        <v/>
      </c>
      <c r="SQ9" s="102" t="str">
        <f>IF(COUNT(SE9,SJ9,SO9)=0,"",SUM(SE9,SJ9,SO9)/COUNT(SE9,SJ9,SO9))</f>
        <v/>
      </c>
      <c r="SR9" s="117" t="str">
        <f t="shared" si="119"/>
        <v/>
      </c>
      <c r="SS9" s="112"/>
      <c r="ST9" s="107"/>
      <c r="SU9" s="108"/>
      <c r="SV9" s="102" t="str">
        <f>IFERROR((((COUNTIF('Elève (6ème3)'!SS9:SU9,"A"))*4)+((COUNTIF('Elève (6ème3)'!SS9:SU9,"B"))*3)+((COUNTIF('Elève (6ème3)'!SS9:SU9,"C"))*2)+((COUNTIF('Elève (6ème3)'!SS9:SU9,"D"))*1))/(COUNTA(SS9:SU9)),"")</f>
        <v/>
      </c>
      <c r="SW9" s="118" t="str">
        <f t="shared" si="120"/>
        <v/>
      </c>
      <c r="SX9" s="106"/>
      <c r="SY9" s="107"/>
      <c r="SZ9" s="108"/>
      <c r="TA9" s="102" t="str">
        <f>IFERROR((((COUNTIF('Elève (6ème3)'!SX9:SZ9,"A"))*4)+((COUNTIF('Elève (6ème3)'!SX9:SZ9,"B"))*3)+((COUNTIF('Elève (6ème3)'!SX9:SZ9,"C"))*2)+((COUNTIF('Elève (6ème3)'!SX9:SZ9,"D"))*1))/(COUNTA(SX9:SZ9)),"")</f>
        <v/>
      </c>
      <c r="TB9" s="103" t="str">
        <f t="shared" si="121"/>
        <v/>
      </c>
      <c r="TC9" s="106"/>
      <c r="TD9" s="107"/>
      <c r="TE9" s="108"/>
      <c r="TF9" s="102" t="str">
        <f>IFERROR((((COUNTIF('Elève (6ème3)'!TC9:TE9,"A"))*4)+((COUNTIF('Elève (6ème3)'!TC9:TE9,"B"))*3)+((COUNTIF('Elève (6ème3)'!TC9:TE9,"C"))*2)+((COUNTIF('Elève (6ème3)'!TC9:TE9,"D"))*1))/(COUNTA(TC9:TE9)),"")</f>
        <v/>
      </c>
      <c r="TG9" s="103" t="str">
        <f t="shared" si="122"/>
        <v/>
      </c>
      <c r="TH9" s="102" t="str">
        <f>IF(COUNT(SV9,TA9,TF9)=0,"",SUM(SV9,TA9,TF9)/COUNT(SV9,TA9,TF9))</f>
        <v/>
      </c>
      <c r="TI9" s="117" t="str">
        <f t="shared" si="123"/>
        <v/>
      </c>
      <c r="TJ9" s="112"/>
      <c r="TK9" s="107"/>
      <c r="TL9" s="108"/>
      <c r="TM9" s="102" t="str">
        <f>IFERROR((((COUNTIF('Elève (6ème3)'!TJ9:TL9,"A"))*4)+((COUNTIF('Elève (6ème3)'!TJ9:TL9,"B"))*3)+((COUNTIF('Elève (6ème3)'!TJ9:TL9,"C"))*2)+((COUNTIF('Elève (6ème3)'!TJ9:TL9,"D"))*1))/(COUNTA(TJ9:TL9)),"")</f>
        <v/>
      </c>
      <c r="TN9" s="118" t="str">
        <f t="shared" si="124"/>
        <v/>
      </c>
      <c r="TO9" s="106"/>
      <c r="TP9" s="107"/>
      <c r="TQ9" s="108"/>
      <c r="TR9" s="102" t="str">
        <f>IFERROR((((COUNTIF('Elève (6ème3)'!TO9:TQ9,"A"))*4)+((COUNTIF('Elève (6ème3)'!TO9:TQ9,"B"))*3)+((COUNTIF('Elève (6ème3)'!TO9:TQ9,"C"))*2)+((COUNTIF('Elève (6ème3)'!TO9:TQ9,"D"))*1))/(COUNTA(TO9:TQ9)),"")</f>
        <v/>
      </c>
      <c r="TS9" s="103" t="str">
        <f t="shared" si="125"/>
        <v/>
      </c>
      <c r="TT9" s="106"/>
      <c r="TU9" s="107"/>
      <c r="TV9" s="108"/>
      <c r="TW9" s="102" t="str">
        <f>IFERROR((((COUNTIF('Elève (6ème3)'!TT9:TV9,"A"))*4)+((COUNTIF('Elève (6ème3)'!TT9:TV9,"B"))*3)+((COUNTIF('Elève (6ème3)'!TT9:TV9,"C"))*2)+((COUNTIF('Elève (6ème3)'!TT9:TV9,"D"))*1))/(COUNTA(TT9:TV9)),"")</f>
        <v/>
      </c>
      <c r="TX9" s="103" t="str">
        <f t="shared" si="126"/>
        <v/>
      </c>
      <c r="TY9" s="102" t="str">
        <f>IF(COUNT(TM9,TR9,TW9)=0,"",SUM(TM9,TR9,TW9)/COUNT(TM9,TR9,TW9))</f>
        <v/>
      </c>
      <c r="TZ9" s="117" t="str">
        <f t="shared" si="127"/>
        <v/>
      </c>
    </row>
    <row r="10" spans="1:546" x14ac:dyDescent="0.25">
      <c r="A10" s="163" t="s">
        <v>37</v>
      </c>
      <c r="B10" s="119"/>
      <c r="C10" s="172"/>
      <c r="D10" s="107"/>
      <c r="E10" s="108"/>
      <c r="F10" s="183" t="str">
        <f>IFERROR((((COUNTIF('Elève (6ème3)'!C10:E10,"A"))*4)+((COUNTIF('Elève (6ème3)'!C10:E10,"B"))*3)+((COUNTIF('Elève (6ème3)'!C10:E10,"C"))*2)+((COUNTIF('Elève (6ème3)'!C10:E10,"D"))*1))/(COUNTA(C10:E10)),"")</f>
        <v/>
      </c>
      <c r="G10" s="187" t="str">
        <f t="shared" si="0"/>
        <v/>
      </c>
      <c r="H10" s="172"/>
      <c r="I10" s="107"/>
      <c r="J10" s="108"/>
      <c r="K10" s="183" t="str">
        <f>IFERROR((((COUNTIF('Elève (6ème3)'!H10:J10,"A"))*4)+((COUNTIF('Elève (6ème3)'!H10:J10,"B"))*3)+((COUNTIF('Elève (6ème3)'!H10:J10,"C"))*2)+((COUNTIF('Elève (6ème3)'!H10:J10,"D"))*1))/(COUNTA(H10:J10)),"")</f>
        <v/>
      </c>
      <c r="L10" s="184" t="str">
        <f t="shared" si="1"/>
        <v/>
      </c>
      <c r="M10" s="172"/>
      <c r="N10" s="107" t="s">
        <v>24</v>
      </c>
      <c r="O10" s="108"/>
      <c r="P10" s="183">
        <f>IFERROR((((COUNTIF('Elève (6ème3)'!M10:O10,"A"))*4)+((COUNTIF('Elève (6ème3)'!M10:O10,"B"))*3)+((COUNTIF('Elève (6ème3)'!M10:O10,"C"))*2)+((COUNTIF('Elève (6ème3)'!M10:O10,"D"))*1))/(COUNTA(M10:O10)),"")</f>
        <v>3</v>
      </c>
      <c r="Q10" s="184" t="str">
        <f t="shared" si="2"/>
        <v>B</v>
      </c>
      <c r="R10" s="183">
        <f>IF(COUNT(F10,K10,P10)=0,"",SUM(F10,K10,P10)/COUNT(F10,K10,P10))</f>
        <v>3</v>
      </c>
      <c r="S10" s="209" t="str">
        <f t="shared" si="3"/>
        <v>B</v>
      </c>
      <c r="T10" s="217"/>
      <c r="U10" s="107"/>
      <c r="V10" s="108"/>
      <c r="W10" s="183" t="str">
        <f>IFERROR((((COUNTIF('Elève (6ème3)'!T10:V10,"A"))*4)+((COUNTIF('Elève (6ème3)'!T10:V10,"B"))*3)+((COUNTIF('Elève (6ème3)'!T10:V10,"C"))*2)+((COUNTIF('Elève (6ème3)'!T10:V10,"D"))*1))/(COUNTA(T10:V10)),"")</f>
        <v/>
      </c>
      <c r="X10" s="187" t="str">
        <f t="shared" si="4"/>
        <v/>
      </c>
      <c r="Y10" s="172"/>
      <c r="Z10" s="107"/>
      <c r="AA10" s="108"/>
      <c r="AB10" s="183" t="str">
        <f>IFERROR((((COUNTIF('Elève (6ème3)'!Y10:AA10,"A"))*4)+((COUNTIF('Elève (6ème3)'!Y10:AA10,"B"))*3)+((COUNTIF('Elève (6ème3)'!Y10:AA10,"C"))*2)+((COUNTIF('Elève (6ème3)'!Y10:AA10,"D"))*1))/(COUNTA(Y10:AA10)),"")</f>
        <v/>
      </c>
      <c r="AC10" s="184" t="str">
        <f t="shared" si="5"/>
        <v/>
      </c>
      <c r="AD10" s="172"/>
      <c r="AE10" s="107" t="s">
        <v>24</v>
      </c>
      <c r="AF10" s="108"/>
      <c r="AG10" s="183">
        <f>IFERROR((((COUNTIF('Elève (6ème3)'!AD10:AF10,"A"))*4)+((COUNTIF('Elève (6ème3)'!AD10:AF10,"B"))*3)+((COUNTIF('Elève (6ème3)'!AD10:AF10,"C"))*2)+((COUNTIF('Elève (6ème3)'!AD10:AF10,"D"))*1))/(COUNTA(AD10:AF10)),"")</f>
        <v>3</v>
      </c>
      <c r="AH10" s="184" t="str">
        <f t="shared" si="6"/>
        <v>B</v>
      </c>
      <c r="AI10" s="183">
        <f>IF(COUNT(W10,AB10,AG10)=0,"",SUM(W10,AB10,AG10)/COUNT(W10,AB10,AG10))</f>
        <v>3</v>
      </c>
      <c r="AJ10" s="209" t="str">
        <f t="shared" si="7"/>
        <v>B</v>
      </c>
      <c r="AK10" s="217"/>
      <c r="AL10" s="107"/>
      <c r="AM10" s="108"/>
      <c r="AN10" s="183" t="str">
        <f>IFERROR((((COUNTIF('Elève (6ème3)'!AK10:AM10,"A"))*4)+((COUNTIF('Elève (6ème3)'!AK10:AM10,"B"))*3)+((COUNTIF('Elève (6ème3)'!AK10:AM10,"C"))*2)+((COUNTIF('Elève (6ème3)'!AK10:AM10,"D"))*1))/(COUNTA(AK10:AM10)),"")</f>
        <v/>
      </c>
      <c r="AO10" s="187" t="str">
        <f t="shared" si="8"/>
        <v/>
      </c>
      <c r="AP10" s="172"/>
      <c r="AQ10" s="107"/>
      <c r="AR10" s="108"/>
      <c r="AS10" s="183" t="str">
        <f>IFERROR((((COUNTIF('Elève (6ème3)'!AP10:AR10,"A"))*4)+((COUNTIF('Elève (6ème3)'!AP10:AR10,"B"))*3)+((COUNTIF('Elève (6ème3)'!AP10:AR10,"C"))*2)+((COUNTIF('Elève (6ème3)'!AP10:AR10,"D"))*1))/(COUNTA(AP10:AR10)),"")</f>
        <v/>
      </c>
      <c r="AT10" s="184" t="str">
        <f t="shared" si="9"/>
        <v/>
      </c>
      <c r="AU10" s="172"/>
      <c r="AV10" s="107" t="s">
        <v>24</v>
      </c>
      <c r="AW10" s="108"/>
      <c r="AX10" s="183">
        <f>IFERROR((((COUNTIF('Elève (6ème3)'!AU10:AW10,"A"))*4)+((COUNTIF('Elève (6ème3)'!AU10:AW10,"B"))*3)+((COUNTIF('Elève (6ème3)'!AU10:AW10,"C"))*2)+((COUNTIF('Elève (6ème3)'!AU10:AW10,"D"))*1))/(COUNTA(AU10:AW10)),"")</f>
        <v>3</v>
      </c>
      <c r="AY10" s="184" t="str">
        <f t="shared" si="10"/>
        <v>B</v>
      </c>
      <c r="AZ10" s="183">
        <f>IF(COUNT(AN10,AS10,AX10)=0,"",SUM(AN10,AS10,AX10)/COUNT(AN10,AS10,AX10))</f>
        <v>3</v>
      </c>
      <c r="BA10" s="209" t="str">
        <f t="shared" si="11"/>
        <v>B</v>
      </c>
      <c r="BB10" s="217"/>
      <c r="BC10" s="107"/>
      <c r="BD10" s="108"/>
      <c r="BE10" s="183" t="str">
        <f>IFERROR((((COUNTIF('Elève (6ème3)'!BB10:BD10,"A"))*4)+((COUNTIF('Elève (6ème3)'!BB10:BD10,"B"))*3)+((COUNTIF('Elève (6ème3)'!BB10:BD10,"C"))*2)+((COUNTIF('Elève (6ème3)'!BB10:BD10,"D"))*1))/(COUNTA(BB10:BD10)),"")</f>
        <v/>
      </c>
      <c r="BF10" s="187" t="str">
        <f t="shared" si="12"/>
        <v/>
      </c>
      <c r="BG10" s="172"/>
      <c r="BH10" s="107"/>
      <c r="BI10" s="108"/>
      <c r="BJ10" s="183" t="str">
        <f>IFERROR((((COUNTIF('Elève (6ème3)'!BG10:BI10,"A"))*4)+((COUNTIF('Elève (6ème3)'!BG10:BI10,"B"))*3)+((COUNTIF('Elève (6ème3)'!BG10:BI10,"C"))*2)+((COUNTIF('Elève (6ème3)'!BG10:BI10,"D"))*1))/(COUNTA(BG10:BI10)),"")</f>
        <v/>
      </c>
      <c r="BK10" s="184" t="str">
        <f t="shared" si="13"/>
        <v/>
      </c>
      <c r="BL10" s="172"/>
      <c r="BM10" s="107" t="s">
        <v>24</v>
      </c>
      <c r="BN10" s="108"/>
      <c r="BO10" s="183">
        <f>IFERROR((((COUNTIF('Elève (6ème3)'!BL10:BN10,"A"))*4)+((COUNTIF('Elève (6ème3)'!BL10:BN10,"B"))*3)+((COUNTIF('Elève (6ème3)'!BL10:BN10,"C"))*2)+((COUNTIF('Elève (6ème3)'!BL10:BN10,"D"))*1))/(COUNTA(BL10:BN10)),"")</f>
        <v>3</v>
      </c>
      <c r="BP10" s="184" t="str">
        <f t="shared" si="14"/>
        <v>B</v>
      </c>
      <c r="BQ10" s="183">
        <f>IF(COUNT(BE10,BJ10,BO10)=0,"",SUM(BE10,BJ10,BO10)/COUNT(BE10,BJ10,BO10))</f>
        <v>3</v>
      </c>
      <c r="BR10" s="209" t="str">
        <f t="shared" si="15"/>
        <v>B</v>
      </c>
      <c r="BS10" s="217"/>
      <c r="BT10" s="107"/>
      <c r="BU10" s="108"/>
      <c r="BV10" s="183" t="str">
        <f>IFERROR((((COUNTIF('Elève (6ème3)'!BS10:BU10,"A"))*4)+((COUNTIF('Elève (6ème3)'!BS10:BU10,"B"))*3)+((COUNTIF('Elève (6ème3)'!BS10:BU10,"C"))*2)+((COUNTIF('Elève (6ème3)'!BS10:BU10,"D"))*1))/(COUNTA(BS10:BU10)),"")</f>
        <v/>
      </c>
      <c r="BW10" s="187" t="str">
        <f t="shared" si="16"/>
        <v/>
      </c>
      <c r="BX10" s="172"/>
      <c r="BY10" s="107"/>
      <c r="BZ10" s="108"/>
      <c r="CA10" s="183" t="str">
        <f>IFERROR((((COUNTIF('Elève (6ème3)'!BX10:BZ10,"A"))*4)+((COUNTIF('Elève (6ème3)'!BX10:BZ10,"B"))*3)+((COUNTIF('Elève (6ème3)'!BX10:BZ10,"C"))*2)+((COUNTIF('Elève (6ème3)'!BX10:BZ10,"D"))*1))/(COUNTA(BX10:BZ10)),"")</f>
        <v/>
      </c>
      <c r="CB10" s="184" t="str">
        <f t="shared" si="17"/>
        <v/>
      </c>
      <c r="CC10" s="172"/>
      <c r="CD10" s="107" t="s">
        <v>24</v>
      </c>
      <c r="CE10" s="108"/>
      <c r="CF10" s="183">
        <f>IFERROR((((COUNTIF('Elève (6ème3)'!CC10:CE10,"A"))*4)+((COUNTIF('Elève (6ème3)'!CC10:CE10,"B"))*3)+((COUNTIF('Elève (6ème3)'!CC10:CE10,"C"))*2)+((COUNTIF('Elève (6ème3)'!CC10:CE10,"D"))*1))/(COUNTA(CC10:CE10)),"")</f>
        <v>3</v>
      </c>
      <c r="CG10" s="184" t="str">
        <f t="shared" si="18"/>
        <v>B</v>
      </c>
      <c r="CH10" s="183">
        <f>IF(COUNT(BV10,CA10,CF10)=0,"",SUM(BV10,CA10,CF10)/COUNT(BV10,CA10,CF10))</f>
        <v>3</v>
      </c>
      <c r="CI10" s="209" t="str">
        <f t="shared" si="19"/>
        <v>B</v>
      </c>
      <c r="CJ10" s="217"/>
      <c r="CK10" s="107"/>
      <c r="CL10" s="108"/>
      <c r="CM10" s="183" t="str">
        <f>IFERROR((((COUNTIF('Elève (6ème3)'!CJ10:CL10,"A"))*4)+((COUNTIF('Elève (6ème3)'!CJ10:CL10,"B"))*3)+((COUNTIF('Elève (6ème3)'!CJ10:CL10,"C"))*2)+((COUNTIF('Elève (6ème3)'!CJ10:CL10,"D"))*1))/(COUNTA(CJ10:CL10)),"")</f>
        <v/>
      </c>
      <c r="CN10" s="187" t="str">
        <f t="shared" si="20"/>
        <v/>
      </c>
      <c r="CO10" s="172"/>
      <c r="CP10" s="107"/>
      <c r="CQ10" s="108"/>
      <c r="CR10" s="183" t="str">
        <f>IFERROR((((COUNTIF('Elève (6ème3)'!CO10:CQ10,"A"))*4)+((COUNTIF('Elève (6ème3)'!CO10:CQ10,"B"))*3)+((COUNTIF('Elève (6ème3)'!CO10:CQ10,"C"))*2)+((COUNTIF('Elève (6ème3)'!CO10:CQ10,"D"))*1))/(COUNTA(CO10:CQ10)),"")</f>
        <v/>
      </c>
      <c r="CS10" s="184" t="str">
        <f t="shared" si="21"/>
        <v/>
      </c>
      <c r="CT10" s="172"/>
      <c r="CU10" s="107" t="s">
        <v>26</v>
      </c>
      <c r="CV10" s="108"/>
      <c r="CW10" s="183">
        <f>IFERROR((((COUNTIF('Elève (6ème3)'!CT10:CV10,"A"))*4)+((COUNTIF('Elève (6ème3)'!CT10:CV10,"B"))*3)+((COUNTIF('Elève (6ème3)'!CT10:CV10,"C"))*2)+((COUNTIF('Elève (6ème3)'!CT10:CV10,"D"))*1))/(COUNTA(CT10:CV10)),"")</f>
        <v>1</v>
      </c>
      <c r="CX10" s="184" t="str">
        <f t="shared" si="22"/>
        <v>D</v>
      </c>
      <c r="CY10" s="183">
        <f>IF(COUNT(CM10,CR10,CW10)=0,"",SUM(CM10,CR10,CW10)/COUNT(CM10,CR10,CW10))</f>
        <v>1</v>
      </c>
      <c r="CZ10" s="209" t="str">
        <f t="shared" si="23"/>
        <v>D</v>
      </c>
      <c r="DA10" s="217"/>
      <c r="DB10" s="107"/>
      <c r="DC10" s="108"/>
      <c r="DD10" s="183" t="str">
        <f>IFERROR((((COUNTIF('Elève (6ème3)'!DA10:DC10,"A"))*4)+((COUNTIF('Elève (6ème3)'!DA10:DC10,"B"))*3)+((COUNTIF('Elève (6ème3)'!DA10:DC10,"C"))*2)+((COUNTIF('Elève (6ème3)'!DA10:DC10,"D"))*1))/(COUNTA(DA10:DC10)),"")</f>
        <v/>
      </c>
      <c r="DE10" s="187" t="str">
        <f t="shared" si="24"/>
        <v/>
      </c>
      <c r="DF10" s="172"/>
      <c r="DG10" s="107"/>
      <c r="DH10" s="108"/>
      <c r="DI10" s="183" t="str">
        <f>IFERROR((((COUNTIF('Elève (6ème3)'!DF10:DH10,"A"))*4)+((COUNTIF('Elève (6ème3)'!DF10:DH10,"B"))*3)+((COUNTIF('Elève (6ème3)'!DF10:DH10,"C"))*2)+((COUNTIF('Elève (6ème3)'!DF10:DH10,"D"))*1))/(COUNTA(DF10:DH10)),"")</f>
        <v/>
      </c>
      <c r="DJ10" s="184" t="str">
        <f t="shared" si="25"/>
        <v/>
      </c>
      <c r="DK10" s="172"/>
      <c r="DL10" s="107" t="s">
        <v>25</v>
      </c>
      <c r="DM10" s="108"/>
      <c r="DN10" s="183">
        <f>IFERROR((((COUNTIF('Elève (6ème3)'!DK10:DM10,"A"))*4)+((COUNTIF('Elève (6ème3)'!DK10:DM10,"B"))*3)+((COUNTIF('Elève (6ème3)'!DK10:DM10,"C"))*2)+((COUNTIF('Elève (6ème3)'!DK10:DM10,"D"))*1))/(COUNTA(DK10:DM10)),"")</f>
        <v>2</v>
      </c>
      <c r="DO10" s="184" t="str">
        <f t="shared" si="26"/>
        <v>C</v>
      </c>
      <c r="DP10" s="183">
        <f>IF(COUNT(DD10,DI10,DN10)=0,"",SUM(DD10,DI10,DN10)/COUNT(DD10,DI10,DN10))</f>
        <v>2</v>
      </c>
      <c r="DQ10" s="209" t="str">
        <f t="shared" si="27"/>
        <v>C</v>
      </c>
      <c r="DR10" s="217"/>
      <c r="DS10" s="107"/>
      <c r="DT10" s="108"/>
      <c r="DU10" s="183" t="str">
        <f>IFERROR((((COUNTIF('Elève (6ème3)'!DR10:DT10,"A"))*4)+((COUNTIF('Elève (6ème3)'!DR10:DT10,"B"))*3)+((COUNTIF('Elève (6ème3)'!DR10:DT10,"C"))*2)+((COUNTIF('Elève (6ème3)'!DR10:DT10,"D"))*1))/(COUNTA(DR10:DT10)),"")</f>
        <v/>
      </c>
      <c r="DV10" s="187" t="str">
        <f t="shared" si="28"/>
        <v/>
      </c>
      <c r="DW10" s="172"/>
      <c r="DX10" s="107"/>
      <c r="DY10" s="108"/>
      <c r="DZ10" s="183" t="str">
        <f>IFERROR((((COUNTIF('Elève (6ème3)'!DW10:DY10,"A"))*4)+((COUNTIF('Elève (6ème3)'!DW10:DY10,"B"))*3)+((COUNTIF('Elève (6ème3)'!DW10:DY10,"C"))*2)+((COUNTIF('Elève (6ème3)'!DW10:DY10,"D"))*1))/(COUNTA(DW10:DY10)),"")</f>
        <v/>
      </c>
      <c r="EA10" s="184" t="str">
        <f t="shared" si="29"/>
        <v/>
      </c>
      <c r="EB10" s="172"/>
      <c r="EC10" s="107" t="s">
        <v>23</v>
      </c>
      <c r="ED10" s="108"/>
      <c r="EE10" s="183">
        <f>IFERROR((((COUNTIF('Elève (6ème3)'!EB10:ED10,"A"))*4)+((COUNTIF('Elève (6ème3)'!EB10:ED10,"B"))*3)+((COUNTIF('Elève (6ème3)'!EB10:ED10,"C"))*2)+((COUNTIF('Elève (6ème3)'!EB10:ED10,"D"))*1))/(COUNTA(EB10:ED10)),"")</f>
        <v>4</v>
      </c>
      <c r="EF10" s="184" t="str">
        <f t="shared" si="30"/>
        <v>A</v>
      </c>
      <c r="EG10" s="183">
        <f>IF(COUNT(DU10,DZ10,EE10)=0,"",SUM(DU10,DZ10,EE10)/COUNT(DU10,DZ10,EE10))</f>
        <v>4</v>
      </c>
      <c r="EH10" s="209" t="str">
        <f t="shared" si="31"/>
        <v>A</v>
      </c>
      <c r="EI10" s="217"/>
      <c r="EJ10" s="107"/>
      <c r="EK10" s="108"/>
      <c r="EL10" s="183" t="str">
        <f>IFERROR((((COUNTIF('Elève (6ème3)'!EI10:EK10,"A"))*4)+((COUNTIF('Elève (6ème3)'!EI10:EK10,"B"))*3)+((COUNTIF('Elève (6ème3)'!EI10:EK10,"C"))*2)+((COUNTIF('Elève (6ème3)'!EI10:EK10,"D"))*1))/(COUNTA(EI10:EK10)),"")</f>
        <v/>
      </c>
      <c r="EM10" s="187" t="str">
        <f t="shared" si="32"/>
        <v/>
      </c>
      <c r="EN10" s="172"/>
      <c r="EO10" s="107"/>
      <c r="EP10" s="108"/>
      <c r="EQ10" s="183" t="str">
        <f>IFERROR((((COUNTIF('Elève (6ème3)'!EN10:EP10,"A"))*4)+((COUNTIF('Elève (6ème3)'!EN10:EP10,"B"))*3)+((COUNTIF('Elève (6ème3)'!EN10:EP10,"C"))*2)+((COUNTIF('Elève (6ème3)'!EN10:EP10,"D"))*1))/(COUNTA(EN10:EP10)),"")</f>
        <v/>
      </c>
      <c r="ER10" s="184" t="str">
        <f t="shared" si="33"/>
        <v/>
      </c>
      <c r="ES10" s="172"/>
      <c r="ET10" s="107" t="s">
        <v>24</v>
      </c>
      <c r="EU10" s="108"/>
      <c r="EV10" s="183">
        <f>IFERROR((((COUNTIF('Elève (6ème3)'!ES10:EU10,"A"))*4)+((COUNTIF('Elève (6ème3)'!ES10:EU10,"B"))*3)+((COUNTIF('Elève (6ème3)'!ES10:EU10,"C"))*2)+((COUNTIF('Elève (6ème3)'!ES10:EU10,"D"))*1))/(COUNTA(ES10:EU10)),"")</f>
        <v>3</v>
      </c>
      <c r="EW10" s="184" t="str">
        <f t="shared" si="34"/>
        <v>B</v>
      </c>
      <c r="EX10" s="183">
        <f>IF(COUNT(EL10,EQ10,EV10)=0,"",SUM(EL10,EQ10,EV10)/COUNT(EL10,EQ10,EV10))</f>
        <v>3</v>
      </c>
      <c r="EY10" s="209" t="str">
        <f t="shared" si="35"/>
        <v>B</v>
      </c>
      <c r="EZ10" s="217"/>
      <c r="FA10" s="107"/>
      <c r="FB10" s="108"/>
      <c r="FC10" s="183" t="str">
        <f>IFERROR((((COUNTIF('Elève (6ème3)'!EZ10:FB10,"A"))*4)+((COUNTIF('Elève (6ème3)'!EZ10:FB10,"B"))*3)+((COUNTIF('Elève (6ème3)'!EZ10:FB10,"C"))*2)+((COUNTIF('Elève (6ème3)'!EZ10:FB10,"D"))*1))/(COUNTA(EZ10:FB10)),"")</f>
        <v/>
      </c>
      <c r="FD10" s="187" t="str">
        <f t="shared" si="36"/>
        <v/>
      </c>
      <c r="FE10" s="172"/>
      <c r="FF10" s="107"/>
      <c r="FG10" s="108"/>
      <c r="FH10" s="183" t="str">
        <f>IFERROR((((COUNTIF('Elève (6ème3)'!FE10:FG10,"A"))*4)+((COUNTIF('Elève (6ème3)'!FE10:FG10,"B"))*3)+((COUNTIF('Elève (6ème3)'!FE10:FG10,"C"))*2)+((COUNTIF('Elève (6ème3)'!FE10:FG10,"D"))*1))/(COUNTA(FE10:FG10)),"")</f>
        <v/>
      </c>
      <c r="FI10" s="184" t="str">
        <f t="shared" si="37"/>
        <v/>
      </c>
      <c r="FJ10" s="172"/>
      <c r="FK10" s="107" t="s">
        <v>24</v>
      </c>
      <c r="FL10" s="108"/>
      <c r="FM10" s="183">
        <f>IFERROR((((COUNTIF('Elève (6ème3)'!FJ10:FL10,"A"))*4)+((COUNTIF('Elève (6ème3)'!FJ10:FL10,"B"))*3)+((COUNTIF('Elève (6ème3)'!FJ10:FL10,"C"))*2)+((COUNTIF('Elève (6ème3)'!FJ10:FL10,"D"))*1))/(COUNTA(FJ10:FL10)),"")</f>
        <v>3</v>
      </c>
      <c r="FN10" s="184" t="str">
        <f t="shared" si="38"/>
        <v>B</v>
      </c>
      <c r="FO10" s="183">
        <f>IF(COUNT(FC10,FH10,FM10)=0,"",SUM(FC10,FH10,FM10)/COUNT(FC10,FH10,FM10))</f>
        <v>3</v>
      </c>
      <c r="FP10" s="209" t="str">
        <f t="shared" si="39"/>
        <v>B</v>
      </c>
      <c r="FQ10" s="217"/>
      <c r="FR10" s="107"/>
      <c r="FS10" s="108"/>
      <c r="FT10" s="183" t="str">
        <f>IFERROR((((COUNTIF('Elève (6ème3)'!FQ10:FS10,"A"))*4)+((COUNTIF('Elève (6ème3)'!FQ10:FS10,"B"))*3)+((COUNTIF('Elève (6ème3)'!FQ10:FS10,"C"))*2)+((COUNTIF('Elève (6ème3)'!FQ10:FS10,"D"))*1))/(COUNTA(FQ10:FS10)),"")</f>
        <v/>
      </c>
      <c r="FU10" s="187" t="str">
        <f t="shared" si="40"/>
        <v/>
      </c>
      <c r="FV10" s="172"/>
      <c r="FW10" s="107"/>
      <c r="FX10" s="108"/>
      <c r="FY10" s="183" t="str">
        <f>IFERROR((((COUNTIF('Elève (6ème3)'!FV10:FX10,"A"))*4)+((COUNTIF('Elève (6ème3)'!FV10:FX10,"B"))*3)+((COUNTIF('Elève (6ème3)'!FV10:FX10,"C"))*2)+((COUNTIF('Elève (6ème3)'!FV10:FX10,"D"))*1))/(COUNTA(FV10:FX10)),"")</f>
        <v/>
      </c>
      <c r="FZ10" s="184" t="str">
        <f t="shared" si="41"/>
        <v/>
      </c>
      <c r="GA10" s="172"/>
      <c r="GB10" s="107" t="s">
        <v>24</v>
      </c>
      <c r="GC10" s="108"/>
      <c r="GD10" s="183">
        <f>IFERROR((((COUNTIF('Elève (6ème3)'!GA10:GC10,"A"))*4)+((COUNTIF('Elève (6ème3)'!GA10:GC10,"B"))*3)+((COUNTIF('Elève (6ème3)'!GA10:GC10,"C"))*2)+((COUNTIF('Elève (6ème3)'!GA10:GC10,"D"))*1))/(COUNTA(GA10:GC10)),"")</f>
        <v>3</v>
      </c>
      <c r="GE10" s="184" t="str">
        <f t="shared" si="42"/>
        <v>B</v>
      </c>
      <c r="GF10" s="183">
        <f>IF(COUNT(FT10,FY10,GD10)=0,"",SUM(FT10,FY10,GD10)/COUNT(FT10,FY10,GD10))</f>
        <v>3</v>
      </c>
      <c r="GG10" s="209" t="str">
        <f t="shared" si="43"/>
        <v>B</v>
      </c>
      <c r="GH10" s="217"/>
      <c r="GI10" s="107"/>
      <c r="GJ10" s="108"/>
      <c r="GK10" s="183" t="str">
        <f>IFERROR((((COUNTIF('Elève (6ème3)'!GH10:GJ10,"A"))*4)+((COUNTIF('Elève (6ème3)'!GH10:GJ10,"B"))*3)+((COUNTIF('Elève (6ème3)'!GH10:GJ10,"C"))*2)+((COUNTIF('Elève (6ème3)'!GH10:GJ10,"D"))*1))/(COUNTA(GH10:GJ10)),"")</f>
        <v/>
      </c>
      <c r="GL10" s="187" t="str">
        <f t="shared" si="44"/>
        <v/>
      </c>
      <c r="GM10" s="172"/>
      <c r="GN10" s="107"/>
      <c r="GO10" s="108"/>
      <c r="GP10" s="183" t="str">
        <f>IFERROR((((COUNTIF('Elève (6ème3)'!GM10:GO10,"A"))*4)+((COUNTIF('Elève (6ème3)'!GM10:GO10,"B"))*3)+((COUNTIF('Elève (6ème3)'!GM10:GO10,"C"))*2)+((COUNTIF('Elève (6ème3)'!GM10:GO10,"D"))*1))/(COUNTA(GM10:GO10)),"")</f>
        <v/>
      </c>
      <c r="GQ10" s="184" t="str">
        <f t="shared" si="45"/>
        <v/>
      </c>
      <c r="GR10" s="172"/>
      <c r="GS10" s="107" t="s">
        <v>23</v>
      </c>
      <c r="GT10" s="108"/>
      <c r="GU10" s="183">
        <f>IFERROR((((COUNTIF('Elève (6ème3)'!GR10:GT10,"A"))*4)+((COUNTIF('Elève (6ème3)'!GR10:GT10,"B"))*3)+((COUNTIF('Elève (6ème3)'!GR10:GT10,"C"))*2)+((COUNTIF('Elève (6ème3)'!GR10:GT10,"D"))*1))/(COUNTA(GR10:GT10)),"")</f>
        <v>4</v>
      </c>
      <c r="GV10" s="184" t="str">
        <f t="shared" si="46"/>
        <v>A</v>
      </c>
      <c r="GW10" s="183">
        <f>IF(COUNT(GK10,GP10,GU10)=0,"",SUM(GK10,GP10,GU10)/COUNT(GK10,GP10,GU10))</f>
        <v>4</v>
      </c>
      <c r="GX10" s="209" t="str">
        <f t="shared" si="47"/>
        <v>A</v>
      </c>
      <c r="GY10" s="217"/>
      <c r="GZ10" s="107"/>
      <c r="HA10" s="108"/>
      <c r="HB10" s="183" t="str">
        <f>IFERROR((((COUNTIF('Elève (6ème3)'!GY10:HA10,"A"))*4)+((COUNTIF('Elève (6ème3)'!GY10:HA10,"B"))*3)+((COUNTIF('Elève (6ème3)'!GY10:HA10,"C"))*2)+((COUNTIF('Elève (6ème3)'!GY10:HA10,"D"))*1))/(COUNTA(GY10:HA10)),"")</f>
        <v/>
      </c>
      <c r="HC10" s="187" t="str">
        <f t="shared" si="48"/>
        <v/>
      </c>
      <c r="HD10" s="172"/>
      <c r="HE10" s="107"/>
      <c r="HF10" s="108"/>
      <c r="HG10" s="183" t="str">
        <f>IFERROR((((COUNTIF('Elève (6ème3)'!HD10:HF10,"A"))*4)+((COUNTIF('Elève (6ème3)'!HD10:HF10,"B"))*3)+((COUNTIF('Elève (6ème3)'!HD10:HF10,"C"))*2)+((COUNTIF('Elève (6ème3)'!HD10:HF10,"D"))*1))/(COUNTA(HD10:HF10)),"")</f>
        <v/>
      </c>
      <c r="HH10" s="184" t="str">
        <f t="shared" si="49"/>
        <v/>
      </c>
      <c r="HI10" s="172"/>
      <c r="HJ10" s="107" t="s">
        <v>25</v>
      </c>
      <c r="HK10" s="108"/>
      <c r="HL10" s="183">
        <f>IFERROR((((COUNTIF('Elève (6ème3)'!HI10:HK10,"A"))*4)+((COUNTIF('Elève (6ème3)'!HI10:HK10,"B"))*3)+((COUNTIF('Elève (6ème3)'!HI10:HK10,"C"))*2)+((COUNTIF('Elève (6ème3)'!HI10:HK10,"D"))*1))/(COUNTA(HI10:HK10)),"")</f>
        <v>2</v>
      </c>
      <c r="HM10" s="184" t="str">
        <f t="shared" si="50"/>
        <v>C</v>
      </c>
      <c r="HN10" s="183">
        <f>IF(COUNT(HB10,HG10,HL10)=0,"",SUM(HB10,HG10,HL10)/COUNT(HB10,HG10,HL10))</f>
        <v>2</v>
      </c>
      <c r="HO10" s="209" t="str">
        <f t="shared" si="51"/>
        <v>C</v>
      </c>
      <c r="HP10" s="217"/>
      <c r="HQ10" s="107"/>
      <c r="HR10" s="108"/>
      <c r="HS10" s="183" t="str">
        <f>IFERROR((((COUNTIF('Elève (6ème3)'!HP10:HR10,"A"))*4)+((COUNTIF('Elève (6ème3)'!HP10:HR10,"B"))*3)+((COUNTIF('Elève (6ème3)'!HP10:HR10,"C"))*2)+((COUNTIF('Elève (6ème3)'!HP10:HR10,"D"))*1))/(COUNTA(HP10:HR10)),"")</f>
        <v/>
      </c>
      <c r="HT10" s="187" t="str">
        <f t="shared" si="52"/>
        <v/>
      </c>
      <c r="HU10" s="172"/>
      <c r="HV10" s="107"/>
      <c r="HW10" s="108"/>
      <c r="HX10" s="183" t="str">
        <f>IFERROR((((COUNTIF('Elève (6ème3)'!HU10:HW10,"A"))*4)+((COUNTIF('Elève (6ème3)'!HU10:HW10,"B"))*3)+((COUNTIF('Elève (6ème3)'!HU10:HW10,"C"))*2)+((COUNTIF('Elève (6ème3)'!HU10:HW10,"D"))*1))/(COUNTA(HU10:HW10)),"")</f>
        <v/>
      </c>
      <c r="HY10" s="184" t="str">
        <f t="shared" si="53"/>
        <v/>
      </c>
      <c r="HZ10" s="172"/>
      <c r="IA10" s="107" t="s">
        <v>24</v>
      </c>
      <c r="IB10" s="108"/>
      <c r="IC10" s="183">
        <f>IFERROR((((COUNTIF('Elève (6ème3)'!HZ10:IB10,"A"))*4)+((COUNTIF('Elève (6ème3)'!HZ10:IB10,"B"))*3)+((COUNTIF('Elève (6ème3)'!HZ10:IB10,"C"))*2)+((COUNTIF('Elève (6ème3)'!HZ10:IB10,"D"))*1))/(COUNTA(HZ10:IB10)),"")</f>
        <v>3</v>
      </c>
      <c r="ID10" s="184" t="str">
        <f t="shared" si="54"/>
        <v>B</v>
      </c>
      <c r="IE10" s="183">
        <f>IF(COUNT(HS10,HX10,IC10)=0,"",SUM(HS10,HX10,IC10)/COUNT(HS10,HX10,IC10))</f>
        <v>3</v>
      </c>
      <c r="IF10" s="209" t="str">
        <f t="shared" si="55"/>
        <v>B</v>
      </c>
      <c r="IG10" s="217"/>
      <c r="IH10" s="107"/>
      <c r="II10" s="108"/>
      <c r="IJ10" s="183" t="str">
        <f>IFERROR((((COUNTIF('Elève (6ème3)'!IG10:II10,"A"))*4)+((COUNTIF('Elève (6ème3)'!IG10:II10,"B"))*3)+((COUNTIF('Elève (6ème3)'!IG10:II10,"C"))*2)+((COUNTIF('Elève (6ème3)'!IG10:II10,"D"))*1))/(COUNTA(IG10:II10)),"")</f>
        <v/>
      </c>
      <c r="IK10" s="187" t="str">
        <f t="shared" si="56"/>
        <v/>
      </c>
      <c r="IL10" s="172"/>
      <c r="IM10" s="107"/>
      <c r="IN10" s="108"/>
      <c r="IO10" s="183" t="str">
        <f>IFERROR((((COUNTIF('Elève (6ème3)'!IL10:IN10,"A"))*4)+((COUNTIF('Elève (6ème3)'!IL10:IN10,"B"))*3)+((COUNTIF('Elève (6ème3)'!IL10:IN10,"C"))*2)+((COUNTIF('Elève (6ème3)'!IL10:IN10,"D"))*1))/(COUNTA(IL10:IN10)),"")</f>
        <v/>
      </c>
      <c r="IP10" s="184" t="str">
        <f t="shared" si="57"/>
        <v/>
      </c>
      <c r="IQ10" s="172"/>
      <c r="IR10" s="107" t="s">
        <v>26</v>
      </c>
      <c r="IS10" s="108"/>
      <c r="IT10" s="183">
        <f>IFERROR((((COUNTIF('Elève (6ème3)'!IQ10:IS10,"A"))*4)+((COUNTIF('Elève (6ème3)'!IQ10:IS10,"B"))*3)+((COUNTIF('Elève (6ème3)'!IQ10:IS10,"C"))*2)+((COUNTIF('Elève (6ème3)'!IQ10:IS10,"D"))*1))/(COUNTA(IQ10:IS10)),"")</f>
        <v>1</v>
      </c>
      <c r="IU10" s="184" t="str">
        <f t="shared" si="58"/>
        <v>D</v>
      </c>
      <c r="IV10" s="183">
        <f>IF(COUNT(IJ10,IO10,IT10)=0,"",SUM(IJ10,IO10,IT10)/COUNT(IJ10,IO10,IT10))</f>
        <v>1</v>
      </c>
      <c r="IW10" s="209" t="str">
        <f t="shared" si="59"/>
        <v>D</v>
      </c>
      <c r="IX10" s="217"/>
      <c r="IY10" s="107"/>
      <c r="IZ10" s="108"/>
      <c r="JA10" s="183" t="str">
        <f>IFERROR((((COUNTIF('Elève (6ème3)'!IX10:IZ10,"A"))*4)+((COUNTIF('Elève (6ème3)'!IX10:IZ10,"B"))*3)+((COUNTIF('Elève (6ème3)'!IX10:IZ10,"C"))*2)+((COUNTIF('Elève (6ème3)'!IX10:IZ10,"D"))*1))/(COUNTA(IX10:IZ10)),"")</f>
        <v/>
      </c>
      <c r="JB10" s="187" t="str">
        <f t="shared" si="60"/>
        <v/>
      </c>
      <c r="JC10" s="172"/>
      <c r="JD10" s="107"/>
      <c r="JE10" s="108"/>
      <c r="JF10" s="183" t="str">
        <f>IFERROR((((COUNTIF('Elève (6ème3)'!JC10:JE10,"A"))*4)+((COUNTIF('Elève (6ème3)'!JC10:JE10,"B"))*3)+((COUNTIF('Elève (6ème3)'!JC10:JE10,"C"))*2)+((COUNTIF('Elève (6ème3)'!JC10:JE10,"D"))*1))/(COUNTA(JC10:JE10)),"")</f>
        <v/>
      </c>
      <c r="JG10" s="184" t="str">
        <f t="shared" si="61"/>
        <v/>
      </c>
      <c r="JH10" s="172"/>
      <c r="JI10" s="107" t="s">
        <v>24</v>
      </c>
      <c r="JJ10" s="108"/>
      <c r="JK10" s="183">
        <f>IFERROR((((COUNTIF('Elève (6ème3)'!JH10:JJ10,"A"))*4)+((COUNTIF('Elève (6ème3)'!JH10:JJ10,"B"))*3)+((COUNTIF('Elève (6ème3)'!JH10:JJ10,"C"))*2)+((COUNTIF('Elève (6ème3)'!JH10:JJ10,"D"))*1))/(COUNTA(JH10:JJ10)),"")</f>
        <v>3</v>
      </c>
      <c r="JL10" s="184" t="str">
        <f t="shared" si="62"/>
        <v>B</v>
      </c>
      <c r="JM10" s="183">
        <f>IF(COUNT(JA10,JF10,JK10)=0,"",SUM(JA10,JF10,JK10)/COUNT(JA10,JF10,JK10))</f>
        <v>3</v>
      </c>
      <c r="JN10" s="209" t="str">
        <f t="shared" si="63"/>
        <v>B</v>
      </c>
      <c r="JO10" s="217"/>
      <c r="JP10" s="107"/>
      <c r="JQ10" s="108"/>
      <c r="JR10" s="183" t="str">
        <f>IFERROR((((COUNTIF('Elève (6ème3)'!JO10:JQ10,"A"))*4)+((COUNTIF('Elève (6ème3)'!JO10:JQ10,"B"))*3)+((COUNTIF('Elève (6ème3)'!JO10:JQ10,"C"))*2)+((COUNTIF('Elève (6ème3)'!JO10:JQ10,"D"))*1))/(COUNTA(JO10:JQ10)),"")</f>
        <v/>
      </c>
      <c r="JS10" s="187" t="str">
        <f t="shared" si="64"/>
        <v/>
      </c>
      <c r="JT10" s="172"/>
      <c r="JU10" s="107"/>
      <c r="JV10" s="108"/>
      <c r="JW10" s="183" t="str">
        <f>IFERROR((((COUNTIF('Elève (6ème3)'!JT10:JV10,"A"))*4)+((COUNTIF('Elève (6ème3)'!JT10:JV10,"B"))*3)+((COUNTIF('Elève (6ème3)'!JT10:JV10,"C"))*2)+((COUNTIF('Elève (6ème3)'!JT10:JV10,"D"))*1))/(COUNTA(JT10:JV10)),"")</f>
        <v/>
      </c>
      <c r="JX10" s="184" t="str">
        <f t="shared" si="65"/>
        <v/>
      </c>
      <c r="JY10" s="172"/>
      <c r="JZ10" s="107" t="s">
        <v>24</v>
      </c>
      <c r="KA10" s="108"/>
      <c r="KB10" s="183">
        <f>IFERROR((((COUNTIF('Elève (6ème3)'!JY10:KA10,"A"))*4)+((COUNTIF('Elève (6ème3)'!JY10:KA10,"B"))*3)+((COUNTIF('Elève (6ème3)'!JY10:KA10,"C"))*2)+((COUNTIF('Elève (6ème3)'!JY10:KA10,"D"))*1))/(COUNTA(JY10:KA10)),"")</f>
        <v>3</v>
      </c>
      <c r="KC10" s="184" t="str">
        <f t="shared" si="66"/>
        <v>B</v>
      </c>
      <c r="KD10" s="183">
        <f>IF(COUNT(JR10,JW10,KB10)=0,"",SUM(JR10,JW10,KB10)/COUNT(JR10,JW10,KB10))</f>
        <v>3</v>
      </c>
      <c r="KE10" s="209" t="str">
        <f t="shared" si="67"/>
        <v>B</v>
      </c>
      <c r="KF10" s="217"/>
      <c r="KG10" s="107"/>
      <c r="KH10" s="108"/>
      <c r="KI10" s="183" t="str">
        <f>IFERROR((((COUNTIF('Elève (6ème3)'!KF10:KH10,"A"))*4)+((COUNTIF('Elève (6ème3)'!KF10:KH10,"B"))*3)+((COUNTIF('Elève (6ème3)'!KF10:KH10,"C"))*2)+((COUNTIF('Elève (6ème3)'!KF10:KH10,"D"))*1))/(COUNTA(KF10:KH10)),"")</f>
        <v/>
      </c>
      <c r="KJ10" s="187" t="str">
        <f t="shared" si="68"/>
        <v/>
      </c>
      <c r="KK10" s="172"/>
      <c r="KL10" s="107"/>
      <c r="KM10" s="108"/>
      <c r="KN10" s="183" t="str">
        <f>IFERROR((((COUNTIF('Elève (6ème3)'!KK10:KM10,"A"))*4)+((COUNTIF('Elève (6ème3)'!KK10:KM10,"B"))*3)+((COUNTIF('Elève (6ème3)'!KK10:KM10,"C"))*2)+((COUNTIF('Elève (6ème3)'!KK10:KM10,"D"))*1))/(COUNTA(KK10:KM10)),"")</f>
        <v/>
      </c>
      <c r="KO10" s="184" t="str">
        <f t="shared" si="69"/>
        <v/>
      </c>
      <c r="KP10" s="172"/>
      <c r="KQ10" s="107" t="s">
        <v>24</v>
      </c>
      <c r="KR10" s="108"/>
      <c r="KS10" s="183">
        <f>IFERROR((((COUNTIF('Elève (6ème3)'!KP10:KR10,"A"))*4)+((COUNTIF('Elève (6ème3)'!KP10:KR10,"B"))*3)+((COUNTIF('Elève (6ème3)'!KP10:KR10,"C"))*2)+((COUNTIF('Elève (6ème3)'!KP10:KR10,"D"))*1))/(COUNTA(KP10:KR10)),"")</f>
        <v>3</v>
      </c>
      <c r="KT10" s="184" t="str">
        <f t="shared" si="70"/>
        <v>B</v>
      </c>
      <c r="KU10" s="183">
        <f>IF(COUNT(KI10,KN10,KS10)=0,"",SUM(KI10,KN10,KS10)/COUNT(KI10,KN10,KS10))</f>
        <v>3</v>
      </c>
      <c r="KV10" s="209" t="str">
        <f t="shared" si="71"/>
        <v>B</v>
      </c>
      <c r="KW10" s="217"/>
      <c r="KX10" s="107"/>
      <c r="KY10" s="108"/>
      <c r="KZ10" s="183" t="str">
        <f>IFERROR((((COUNTIF('Elève (6ème3)'!KW10:KY10,"A"))*4)+((COUNTIF('Elève (6ème3)'!KW10:KY10,"B"))*3)+((COUNTIF('Elève (6ème3)'!KW10:KY10,"C"))*2)+((COUNTIF('Elève (6ème3)'!KW10:KY10,"D"))*1))/(COUNTA(KW10:KY10)),"")</f>
        <v/>
      </c>
      <c r="LA10" s="187" t="str">
        <f t="shared" si="72"/>
        <v/>
      </c>
      <c r="LB10" s="172"/>
      <c r="LC10" s="107"/>
      <c r="LD10" s="108"/>
      <c r="LE10" s="183" t="str">
        <f>IFERROR((((COUNTIF('Elève (6ème3)'!LB10:LD10,"A"))*4)+((COUNTIF('Elève (6ème3)'!LB10:LD10,"B"))*3)+((COUNTIF('Elève (6ème3)'!LB10:LD10,"C"))*2)+((COUNTIF('Elève (6ème3)'!LB10:LD10,"D"))*1))/(COUNTA(LB10:LD10)),"")</f>
        <v/>
      </c>
      <c r="LF10" s="184" t="str">
        <f t="shared" si="73"/>
        <v/>
      </c>
      <c r="LG10" s="172"/>
      <c r="LH10" s="107" t="s">
        <v>24</v>
      </c>
      <c r="LI10" s="108"/>
      <c r="LJ10" s="183">
        <f>IFERROR((((COUNTIF('Elève (6ème3)'!LG10:LI10,"A"))*4)+((COUNTIF('Elève (6ème3)'!LG10:LI10,"B"))*3)+((COUNTIF('Elève (6ème3)'!LG10:LI10,"C"))*2)+((COUNTIF('Elève (6ème3)'!LG10:LI10,"D"))*1))/(COUNTA(LG10:LI10)),"")</f>
        <v>3</v>
      </c>
      <c r="LK10" s="184" t="str">
        <f t="shared" si="74"/>
        <v>B</v>
      </c>
      <c r="LL10" s="183">
        <f>IF(COUNT(KZ10,LE10,LJ10)=0,"",SUM(KZ10,LE10,LJ10)/COUNT(KZ10,LE10,LJ10))</f>
        <v>3</v>
      </c>
      <c r="LM10" s="209" t="str">
        <f t="shared" si="75"/>
        <v>B</v>
      </c>
      <c r="LN10" s="217"/>
      <c r="LO10" s="107"/>
      <c r="LP10" s="108"/>
      <c r="LQ10" s="183" t="str">
        <f>IFERROR((((COUNTIF('Elève (6ème3)'!LN10:LP10,"A"))*4)+((COUNTIF('Elève (6ème3)'!LN10:LP10,"B"))*3)+((COUNTIF('Elève (6ème3)'!LN10:LP10,"C"))*2)+((COUNTIF('Elève (6ème3)'!LN10:LP10,"D"))*1))/(COUNTA(LN10:LP10)),"")</f>
        <v/>
      </c>
      <c r="LR10" s="187" t="str">
        <f t="shared" si="76"/>
        <v/>
      </c>
      <c r="LS10" s="172"/>
      <c r="LT10" s="107"/>
      <c r="LU10" s="108"/>
      <c r="LV10" s="183" t="str">
        <f>IFERROR((((COUNTIF('Elève (6ème3)'!LS10:LU10,"A"))*4)+((COUNTIF('Elève (6ème3)'!LS10:LU10,"B"))*3)+((COUNTIF('Elève (6ème3)'!LS10:LU10,"C"))*2)+((COUNTIF('Elève (6ème3)'!LS10:LU10,"D"))*1))/(COUNTA(LS10:LU10)),"")</f>
        <v/>
      </c>
      <c r="LW10" s="184" t="str">
        <f t="shared" si="77"/>
        <v/>
      </c>
      <c r="LX10" s="172"/>
      <c r="LY10" s="107" t="s">
        <v>24</v>
      </c>
      <c r="LZ10" s="108"/>
      <c r="MA10" s="183">
        <f>IFERROR((((COUNTIF('Elève (6ème3)'!LX10:LZ10,"A"))*4)+((COUNTIF('Elève (6ème3)'!LX10:LZ10,"B"))*3)+((COUNTIF('Elève (6ème3)'!LX10:LZ10,"C"))*2)+((COUNTIF('Elève (6ème3)'!LX10:LZ10,"D"))*1))/(COUNTA(LX10:LZ10)),"")</f>
        <v>3</v>
      </c>
      <c r="MB10" s="184" t="str">
        <f t="shared" si="78"/>
        <v>B</v>
      </c>
      <c r="MC10" s="183">
        <f>IF(COUNT(LQ10,LV10,MA10)=0,"",SUM(LQ10,LV10,MA10)/COUNT(LQ10,LV10,MA10))</f>
        <v>3</v>
      </c>
      <c r="MD10" s="209" t="str">
        <f t="shared" si="79"/>
        <v>B</v>
      </c>
      <c r="ME10" s="217"/>
      <c r="MF10" s="107"/>
      <c r="MG10" s="108"/>
      <c r="MH10" s="183" t="str">
        <f>IFERROR((((COUNTIF('Elève (6ème3)'!ME10:MG10,"A"))*4)+((COUNTIF('Elève (6ème3)'!ME10:MG10,"B"))*3)+((COUNTIF('Elève (6ème3)'!ME10:MG10,"C"))*2)+((COUNTIF('Elève (6ème3)'!ME10:MG10,"D"))*1))/(COUNTA(ME10:MG10)),"")</f>
        <v/>
      </c>
      <c r="MI10" s="187" t="str">
        <f t="shared" si="80"/>
        <v/>
      </c>
      <c r="MJ10" s="172"/>
      <c r="MK10" s="107"/>
      <c r="ML10" s="108"/>
      <c r="MM10" s="183" t="str">
        <f>IFERROR((((COUNTIF('Elève (6ème3)'!MJ10:ML10,"A"))*4)+((COUNTIF('Elève (6ème3)'!MJ10:ML10,"B"))*3)+((COUNTIF('Elève (6ème3)'!MJ10:ML10,"C"))*2)+((COUNTIF('Elève (6ème3)'!MJ10:ML10,"D"))*1))/(COUNTA(MJ10:ML10)),"")</f>
        <v/>
      </c>
      <c r="MN10" s="184" t="str">
        <f t="shared" si="81"/>
        <v/>
      </c>
      <c r="MO10" s="172"/>
      <c r="MP10" s="107" t="s">
        <v>26</v>
      </c>
      <c r="MQ10" s="108"/>
      <c r="MR10" s="183">
        <f>IFERROR((((COUNTIF('Elève (6ème3)'!MO10:MQ10,"A"))*4)+((COUNTIF('Elève (6ème3)'!MO10:MQ10,"B"))*3)+((COUNTIF('Elève (6ème3)'!MO10:MQ10,"C"))*2)+((COUNTIF('Elève (6ème3)'!MO10:MQ10,"D"))*1))/(COUNTA(MO10:MQ10)),"")</f>
        <v>1</v>
      </c>
      <c r="MS10" s="184" t="str">
        <f t="shared" si="82"/>
        <v>D</v>
      </c>
      <c r="MT10" s="183">
        <f>IF(COUNT(MH10,MM10,MR10)=0,"",SUM(MH10,MM10,MR10)/COUNT(MH10,MM10,MR10))</f>
        <v>1</v>
      </c>
      <c r="MU10" s="209" t="str">
        <f t="shared" si="83"/>
        <v>D</v>
      </c>
      <c r="MV10" s="217"/>
      <c r="MW10" s="107"/>
      <c r="MX10" s="108"/>
      <c r="MY10" s="183" t="str">
        <f>IFERROR((((COUNTIF('Elève (6ème3)'!MV10:MX10,"A"))*4)+((COUNTIF('Elève (6ème3)'!MV10:MX10,"B"))*3)+((COUNTIF('Elève (6ème3)'!MV10:MX10,"C"))*2)+((COUNTIF('Elève (6ème3)'!MV10:MX10,"D"))*1))/(COUNTA(MV10:MX10)),"")</f>
        <v/>
      </c>
      <c r="MZ10" s="187" t="str">
        <f t="shared" si="84"/>
        <v/>
      </c>
      <c r="NA10" s="172"/>
      <c r="NB10" s="107"/>
      <c r="NC10" s="108"/>
      <c r="ND10" s="183" t="str">
        <f>IFERROR((((COUNTIF('Elève (6ème3)'!NA10:NC10,"A"))*4)+((COUNTIF('Elève (6ème3)'!NA10:NC10,"B"))*3)+((COUNTIF('Elève (6ème3)'!NA10:NC10,"C"))*2)+((COUNTIF('Elève (6ème3)'!NA10:NC10,"D"))*1))/(COUNTA(NA10:NC10)),"")</f>
        <v/>
      </c>
      <c r="NE10" s="184" t="str">
        <f t="shared" si="85"/>
        <v/>
      </c>
      <c r="NF10" s="172"/>
      <c r="NG10" s="107" t="s">
        <v>24</v>
      </c>
      <c r="NH10" s="108"/>
      <c r="NI10" s="183">
        <f>IFERROR((((COUNTIF('Elève (6ème3)'!NF10:NH10,"A"))*4)+((COUNTIF('Elève (6ème3)'!NF10:NH10,"B"))*3)+((COUNTIF('Elève (6ème3)'!NF10:NH10,"C"))*2)+((COUNTIF('Elève (6ème3)'!NF10:NH10,"D"))*1))/(COUNTA(NF10:NH10)),"")</f>
        <v>3</v>
      </c>
      <c r="NJ10" s="184" t="str">
        <f t="shared" si="86"/>
        <v>B</v>
      </c>
      <c r="NK10" s="183">
        <f>IF(COUNT(MY10,ND10,NI10)=0,"",SUM(MY10,ND10,NI10)/COUNT(MY10,ND10,NI10))</f>
        <v>3</v>
      </c>
      <c r="NL10" s="209" t="str">
        <f t="shared" si="87"/>
        <v>B</v>
      </c>
      <c r="NM10" s="217"/>
      <c r="NN10" s="107"/>
      <c r="NO10" s="108"/>
      <c r="NP10" s="183" t="str">
        <f>IFERROR((((COUNTIF('Elève (6ème3)'!NM10:NO10,"A"))*4)+((COUNTIF('Elève (6ème3)'!NM10:NO10,"B"))*3)+((COUNTIF('Elève (6ème3)'!NM10:NO10,"C"))*2)+((COUNTIF('Elève (6ème3)'!NM10:NO10,"D"))*1))/(COUNTA(NM10:NO10)),"")</f>
        <v/>
      </c>
      <c r="NQ10" s="187" t="str">
        <f t="shared" si="88"/>
        <v/>
      </c>
      <c r="NR10" s="172"/>
      <c r="NS10" s="107"/>
      <c r="NT10" s="108"/>
      <c r="NU10" s="183" t="str">
        <f>IFERROR((((COUNTIF('Elève (6ème3)'!NR10:NT10,"A"))*4)+((COUNTIF('Elève (6ème3)'!NR10:NT10,"B"))*3)+((COUNTIF('Elève (6ème3)'!NR10:NT10,"C"))*2)+((COUNTIF('Elève (6ème3)'!NR10:NT10,"D"))*1))/(COUNTA(NR10:NT10)),"")</f>
        <v/>
      </c>
      <c r="NV10" s="184" t="str">
        <f t="shared" si="89"/>
        <v/>
      </c>
      <c r="NW10" s="172"/>
      <c r="NX10" s="107" t="s">
        <v>24</v>
      </c>
      <c r="NY10" s="108"/>
      <c r="NZ10" s="183">
        <f>IFERROR((((COUNTIF('Elève (6ème3)'!NW10:NY10,"A"))*4)+((COUNTIF('Elève (6ème3)'!NW10:NY10,"B"))*3)+((COUNTIF('Elève (6ème3)'!NW10:NY10,"C"))*2)+((COUNTIF('Elève (6ème3)'!NW10:NY10,"D"))*1))/(COUNTA(NW10:NY10)),"")</f>
        <v>3</v>
      </c>
      <c r="OA10" s="184" t="str">
        <f t="shared" si="90"/>
        <v>B</v>
      </c>
      <c r="OB10" s="183">
        <f>IF(COUNT(NP10,NU10,NZ10)=0,"",SUM(NP10,NU10,NZ10)/COUNT(NP10,NU10,NZ10))</f>
        <v>3</v>
      </c>
      <c r="OC10" s="209" t="str">
        <f t="shared" si="91"/>
        <v>B</v>
      </c>
      <c r="OD10" s="217"/>
      <c r="OE10" s="107"/>
      <c r="OF10" s="108"/>
      <c r="OG10" s="183" t="str">
        <f>IFERROR((((COUNTIF('Elève (6ème3)'!OD10:OF10,"A"))*4)+((COUNTIF('Elève (6ème3)'!OD10:OF10,"B"))*3)+((COUNTIF('Elève (6ème3)'!OD10:OF10,"C"))*2)+((COUNTIF('Elève (6ème3)'!OD10:OF10,"D"))*1))/(COUNTA(OD10:OF10)),"")</f>
        <v/>
      </c>
      <c r="OH10" s="187" t="str">
        <f t="shared" si="92"/>
        <v/>
      </c>
      <c r="OI10" s="172"/>
      <c r="OJ10" s="107"/>
      <c r="OK10" s="108"/>
      <c r="OL10" s="183" t="str">
        <f>IFERROR((((COUNTIF('Elève (6ème3)'!OI10:OK10,"A"))*4)+((COUNTIF('Elève (6ème3)'!OI10:OK10,"B"))*3)+((COUNTIF('Elève (6ème3)'!OI10:OK10,"C"))*2)+((COUNTIF('Elève (6ème3)'!OI10:OK10,"D"))*1))/(COUNTA(OI10:OK10)),"")</f>
        <v/>
      </c>
      <c r="OM10" s="184" t="str">
        <f t="shared" si="93"/>
        <v/>
      </c>
      <c r="ON10" s="172"/>
      <c r="OO10" s="107" t="s">
        <v>24</v>
      </c>
      <c r="OP10" s="108"/>
      <c r="OQ10" s="183">
        <f>IFERROR((((COUNTIF('Elève (6ème3)'!ON10:OP10,"A"))*4)+((COUNTIF('Elève (6ème3)'!ON10:OP10,"B"))*3)+((COUNTIF('Elève (6ème3)'!ON10:OP10,"C"))*2)+((COUNTIF('Elève (6ème3)'!ON10:OP10,"D"))*1))/(COUNTA(ON10:OP10)),"")</f>
        <v>3</v>
      </c>
      <c r="OR10" s="184" t="str">
        <f t="shared" si="94"/>
        <v>B</v>
      </c>
      <c r="OS10" s="183">
        <f>IF(COUNT(OG10,OL10,OQ10)=0,"",SUM(OG10,OL10,OQ10)/COUNT(OG10,OL10,OQ10))</f>
        <v>3</v>
      </c>
      <c r="OT10" s="209" t="str">
        <f t="shared" si="95"/>
        <v>B</v>
      </c>
      <c r="OU10" s="217"/>
      <c r="OV10" s="107"/>
      <c r="OW10" s="108"/>
      <c r="OX10" s="183" t="str">
        <f>IFERROR((((COUNTIF('Elève (6ème3)'!OU10:OW10,"A"))*4)+((COUNTIF('Elève (6ème3)'!OU10:OW10,"B"))*3)+((COUNTIF('Elève (6ème3)'!OU10:OW10,"C"))*2)+((COUNTIF('Elève (6ème3)'!OU10:OW10,"D"))*1))/(COUNTA(OU10:OW10)),"")</f>
        <v/>
      </c>
      <c r="OY10" s="187" t="str">
        <f t="shared" si="96"/>
        <v/>
      </c>
      <c r="OZ10" s="172"/>
      <c r="PA10" s="107"/>
      <c r="PB10" s="108"/>
      <c r="PC10" s="183" t="str">
        <f>IFERROR((((COUNTIF('Elève (6ème3)'!OZ10:PB10,"A"))*4)+((COUNTIF('Elève (6ème3)'!OZ10:PB10,"B"))*3)+((COUNTIF('Elève (6ème3)'!OZ10:PB10,"C"))*2)+((COUNTIF('Elève (6ème3)'!OZ10:PB10,"D"))*1))/(COUNTA(OZ10:PB10)),"")</f>
        <v/>
      </c>
      <c r="PD10" s="184" t="str">
        <f t="shared" si="97"/>
        <v/>
      </c>
      <c r="PE10" s="172"/>
      <c r="PF10" s="107" t="s">
        <v>24</v>
      </c>
      <c r="PG10" s="108"/>
      <c r="PH10" s="183">
        <f>IFERROR((((COUNTIF('Elève (6ème3)'!PE10:PG10,"A"))*4)+((COUNTIF('Elève (6ème3)'!PE10:PG10,"B"))*3)+((COUNTIF('Elève (6ème3)'!PE10:PG10,"C"))*2)+((COUNTIF('Elève (6ème3)'!PE10:PG10,"D"))*1))/(COUNTA(PE10:PG10)),"")</f>
        <v>3</v>
      </c>
      <c r="PI10" s="184" t="str">
        <f t="shared" si="98"/>
        <v>B</v>
      </c>
      <c r="PJ10" s="183">
        <f>IF(COUNT(OX10,PC10,PH10)=0,"",SUM(OX10,PC10,PH10)/COUNT(OX10,PC10,PH10))</f>
        <v>3</v>
      </c>
      <c r="PK10" s="209" t="str">
        <f t="shared" si="99"/>
        <v>B</v>
      </c>
      <c r="PL10" s="217"/>
      <c r="PM10" s="107"/>
      <c r="PN10" s="108"/>
      <c r="PO10" s="183" t="str">
        <f>IFERROR((((COUNTIF('Elève (6ème3)'!PL10:PN10,"A"))*4)+((COUNTIF('Elève (6ème3)'!PL10:PN10,"B"))*3)+((COUNTIF('Elève (6ème3)'!PL10:PN10,"C"))*2)+((COUNTIF('Elève (6ème3)'!PL10:PN10,"D"))*1))/(COUNTA(PL10:PN10)),"")</f>
        <v/>
      </c>
      <c r="PP10" s="187" t="str">
        <f t="shared" si="100"/>
        <v/>
      </c>
      <c r="PQ10" s="172"/>
      <c r="PR10" s="107"/>
      <c r="PS10" s="108"/>
      <c r="PT10" s="183" t="str">
        <f>IFERROR((((COUNTIF('Elève (6ème3)'!PQ10:PS10,"A"))*4)+((COUNTIF('Elève (6ème3)'!PQ10:PS10,"B"))*3)+((COUNTIF('Elève (6ème3)'!PQ10:PS10,"C"))*2)+((COUNTIF('Elève (6ème3)'!PQ10:PS10,"D"))*1))/(COUNTA(PQ10:PS10)),"")</f>
        <v/>
      </c>
      <c r="PU10" s="184" t="str">
        <f t="shared" si="101"/>
        <v/>
      </c>
      <c r="PV10" s="172"/>
      <c r="PW10" s="107" t="s">
        <v>24</v>
      </c>
      <c r="PX10" s="108"/>
      <c r="PY10" s="183">
        <f>IFERROR((((COUNTIF('Elève (6ème3)'!PV10:PX10,"A"))*4)+((COUNTIF('Elève (6ème3)'!PV10:PX10,"B"))*3)+((COUNTIF('Elève (6ème3)'!PV10:PX10,"C"))*2)+((COUNTIF('Elève (6ème3)'!PV10:PX10,"D"))*1))/(COUNTA(PV10:PX10)),"")</f>
        <v>3</v>
      </c>
      <c r="PZ10" s="184" t="str">
        <f t="shared" si="102"/>
        <v>B</v>
      </c>
      <c r="QA10" s="183">
        <f>IF(COUNT(PO10,PT10,PY10)=0,"",SUM(PO10,PT10,PY10)/COUNT(PO10,PT10,PY10))</f>
        <v>3</v>
      </c>
      <c r="QB10" s="209" t="str">
        <f t="shared" si="103"/>
        <v>B</v>
      </c>
      <c r="QC10" s="217"/>
      <c r="QD10" s="107"/>
      <c r="QE10" s="108"/>
      <c r="QF10" s="183" t="str">
        <f>IFERROR((((COUNTIF('Elève (6ème3)'!QC10:QE10,"A"))*4)+((COUNTIF('Elève (6ème3)'!QC10:QE10,"B"))*3)+((COUNTIF('Elève (6ème3)'!QC10:QE10,"C"))*2)+((COUNTIF('Elève (6ème3)'!QC10:QE10,"D"))*1))/(COUNTA(QC10:QE10)),"")</f>
        <v/>
      </c>
      <c r="QG10" s="187" t="str">
        <f t="shared" si="104"/>
        <v/>
      </c>
      <c r="QH10" s="172"/>
      <c r="QI10" s="107"/>
      <c r="QJ10" s="108"/>
      <c r="QK10" s="183" t="str">
        <f>IFERROR((((COUNTIF('Elève (6ème3)'!QH10:QJ10,"A"))*4)+((COUNTIF('Elève (6ème3)'!QH10:QJ10,"B"))*3)+((COUNTIF('Elève (6ème3)'!QH10:QJ10,"C"))*2)+((COUNTIF('Elève (6ème3)'!QH10:QJ10,"D"))*1))/(COUNTA(QH10:QJ10)),"")</f>
        <v/>
      </c>
      <c r="QL10" s="184" t="str">
        <f t="shared" si="105"/>
        <v/>
      </c>
      <c r="QM10" s="172"/>
      <c r="QN10" s="107" t="s">
        <v>24</v>
      </c>
      <c r="QO10" s="108"/>
      <c r="QP10" s="183">
        <f>IFERROR((((COUNTIF('Elève (6ème3)'!QM10:QO10,"A"))*4)+((COUNTIF('Elève (6ème3)'!QM10:QO10,"B"))*3)+((COUNTIF('Elève (6ème3)'!QM10:QO10,"C"))*2)+((COUNTIF('Elève (6ème3)'!QM10:QO10,"D"))*1))/(COUNTA(QM10:QO10)),"")</f>
        <v>3</v>
      </c>
      <c r="QQ10" s="184" t="str">
        <f t="shared" si="106"/>
        <v>B</v>
      </c>
      <c r="QR10" s="183">
        <f>IF(COUNT(QF10,QK10,QP10)=0,"",SUM(QF10,QK10,QP10)/COUNT(QF10,QK10,QP10))</f>
        <v>3</v>
      </c>
      <c r="QS10" s="209" t="str">
        <f t="shared" si="107"/>
        <v>B</v>
      </c>
      <c r="QT10" s="112"/>
      <c r="QU10" s="107"/>
      <c r="QV10" s="108"/>
      <c r="QW10" s="102" t="str">
        <f>IFERROR((((COUNTIF('Elève (6ème3)'!QT10:QV10,"A"))*4)+((COUNTIF('Elève (6ème3)'!QT10:QV10,"B"))*3)+((COUNTIF('Elève (6ème3)'!QT10:QV10,"C"))*2)+((COUNTIF('Elève (6ème3)'!QT10:QV10,"D"))*1))/(COUNTA(QT10:QV10)),"")</f>
        <v/>
      </c>
      <c r="QX10" s="118" t="str">
        <f t="shared" si="108"/>
        <v/>
      </c>
      <c r="QY10" s="106"/>
      <c r="QZ10" s="107"/>
      <c r="RA10" s="108"/>
      <c r="RB10" s="102" t="str">
        <f>IFERROR((((COUNTIF('Elève (6ème3)'!QY10:RA10,"A"))*4)+((COUNTIF('Elève (6ème3)'!QY10:RA10,"B"))*3)+((COUNTIF('Elève (6ème3)'!QY10:RA10,"C"))*2)+((COUNTIF('Elève (6ème3)'!QY10:RA10,"D"))*1))/(COUNTA(QY10:RA10)),"")</f>
        <v/>
      </c>
      <c r="RC10" s="103" t="str">
        <f t="shared" si="109"/>
        <v/>
      </c>
      <c r="RD10" s="106"/>
      <c r="RE10" s="107"/>
      <c r="RF10" s="108"/>
      <c r="RG10" s="102" t="str">
        <f>IFERROR((((COUNTIF('Elève (6ème3)'!RD10:RF10,"A"))*4)+((COUNTIF('Elève (6ème3)'!RD10:RF10,"B"))*3)+((COUNTIF('Elève (6ème3)'!RD10:RF10,"C"))*2)+((COUNTIF('Elève (6ème3)'!RD10:RF10,"D"))*1))/(COUNTA(RD10:RF10)),"")</f>
        <v/>
      </c>
      <c r="RH10" s="103" t="str">
        <f t="shared" si="110"/>
        <v/>
      </c>
      <c r="RI10" s="102" t="str">
        <f>IF(COUNT(QW10,RB10,RG10)=0,"",SUM(QW10,RB10,RG10)/COUNT(QW10,RB10,RG10))</f>
        <v/>
      </c>
      <c r="RJ10" s="117" t="str">
        <f t="shared" si="111"/>
        <v/>
      </c>
      <c r="RK10" s="112"/>
      <c r="RL10" s="107"/>
      <c r="RM10" s="108"/>
      <c r="RN10" s="102" t="str">
        <f>IFERROR((((COUNTIF('Elève (6ème3)'!RK10:RM10,"A"))*4)+((COUNTIF('Elève (6ème3)'!RK10:RM10,"B"))*3)+((COUNTIF('Elève (6ème3)'!RK10:RM10,"C"))*2)+((COUNTIF('Elève (6ème3)'!RK10:RM10,"D"))*1))/(COUNTA(RK10:RM10)),"")</f>
        <v/>
      </c>
      <c r="RO10" s="118" t="str">
        <f t="shared" si="112"/>
        <v/>
      </c>
      <c r="RP10" s="106"/>
      <c r="RQ10" s="107"/>
      <c r="RR10" s="108"/>
      <c r="RS10" s="102" t="str">
        <f>IFERROR((((COUNTIF('Elève (6ème3)'!RP10:RR10,"A"))*4)+((COUNTIF('Elève (6ème3)'!RP10:RR10,"B"))*3)+((COUNTIF('Elève (6ème3)'!RP10:RR10,"C"))*2)+((COUNTIF('Elève (6ème3)'!RP10:RR10,"D"))*1))/(COUNTA(RP10:RR10)),"")</f>
        <v/>
      </c>
      <c r="RT10" s="103" t="str">
        <f t="shared" si="113"/>
        <v/>
      </c>
      <c r="RU10" s="106"/>
      <c r="RV10" s="107"/>
      <c r="RW10" s="108"/>
      <c r="RX10" s="102" t="str">
        <f>IFERROR((((COUNTIF('Elève (6ème3)'!RU10:RW10,"A"))*4)+((COUNTIF('Elève (6ème3)'!RU10:RW10,"B"))*3)+((COUNTIF('Elève (6ème3)'!RU10:RW10,"C"))*2)+((COUNTIF('Elève (6ème3)'!RU10:RW10,"D"))*1))/(COUNTA(RU10:RW10)),"")</f>
        <v/>
      </c>
      <c r="RY10" s="103" t="str">
        <f t="shared" si="114"/>
        <v/>
      </c>
      <c r="RZ10" s="102" t="str">
        <f>IF(COUNT(RN10,RS10,RX10)=0,"",SUM(RN10,RS10,RX10)/COUNT(RN10,RS10,RX10))</f>
        <v/>
      </c>
      <c r="SA10" s="117" t="str">
        <f t="shared" si="115"/>
        <v/>
      </c>
      <c r="SB10" s="112"/>
      <c r="SC10" s="107"/>
      <c r="SD10" s="108"/>
      <c r="SE10" s="102" t="str">
        <f>IFERROR((((COUNTIF('Elève (6ème3)'!SB10:SD10,"A"))*4)+((COUNTIF('Elève (6ème3)'!SB10:SD10,"B"))*3)+((COUNTIF('Elève (6ème3)'!SB10:SD10,"C"))*2)+((COUNTIF('Elève (6ème3)'!SB10:SD10,"D"))*1))/(COUNTA(SB10:SD10)),"")</f>
        <v/>
      </c>
      <c r="SF10" s="118" t="str">
        <f t="shared" si="116"/>
        <v/>
      </c>
      <c r="SG10" s="106"/>
      <c r="SH10" s="107"/>
      <c r="SI10" s="108"/>
      <c r="SJ10" s="102" t="str">
        <f>IFERROR((((COUNTIF('Elève (6ème3)'!SG10:SI10,"A"))*4)+((COUNTIF('Elève (6ème3)'!SG10:SI10,"B"))*3)+((COUNTIF('Elève (6ème3)'!SG10:SI10,"C"))*2)+((COUNTIF('Elève (6ème3)'!SG10:SI10,"D"))*1))/(COUNTA(SG10:SI10)),"")</f>
        <v/>
      </c>
      <c r="SK10" s="103" t="str">
        <f t="shared" si="117"/>
        <v/>
      </c>
      <c r="SL10" s="106"/>
      <c r="SM10" s="107"/>
      <c r="SN10" s="108"/>
      <c r="SO10" s="102" t="str">
        <f>IFERROR((((COUNTIF('Elève (6ème3)'!SL10:SN10,"A"))*4)+((COUNTIF('Elève (6ème3)'!SL10:SN10,"B"))*3)+((COUNTIF('Elève (6ème3)'!SL10:SN10,"C"))*2)+((COUNTIF('Elève (6ème3)'!SL10:SN10,"D"))*1))/(COUNTA(SL10:SN10)),"")</f>
        <v/>
      </c>
      <c r="SP10" s="103" t="str">
        <f t="shared" si="118"/>
        <v/>
      </c>
      <c r="SQ10" s="102" t="str">
        <f>IF(COUNT(SE10,SJ10,SO10)=0,"",SUM(SE10,SJ10,SO10)/COUNT(SE10,SJ10,SO10))</f>
        <v/>
      </c>
      <c r="SR10" s="117" t="str">
        <f t="shared" si="119"/>
        <v/>
      </c>
      <c r="SS10" s="112"/>
      <c r="ST10" s="107"/>
      <c r="SU10" s="108"/>
      <c r="SV10" s="102" t="str">
        <f>IFERROR((((COUNTIF('Elève (6ème3)'!SS10:SU10,"A"))*4)+((COUNTIF('Elève (6ème3)'!SS10:SU10,"B"))*3)+((COUNTIF('Elève (6ème3)'!SS10:SU10,"C"))*2)+((COUNTIF('Elève (6ème3)'!SS10:SU10,"D"))*1))/(COUNTA(SS10:SU10)),"")</f>
        <v/>
      </c>
      <c r="SW10" s="118" t="str">
        <f t="shared" si="120"/>
        <v/>
      </c>
      <c r="SX10" s="106"/>
      <c r="SY10" s="107"/>
      <c r="SZ10" s="108"/>
      <c r="TA10" s="102" t="str">
        <f>IFERROR((((COUNTIF('Elève (6ème3)'!SX10:SZ10,"A"))*4)+((COUNTIF('Elève (6ème3)'!SX10:SZ10,"B"))*3)+((COUNTIF('Elève (6ème3)'!SX10:SZ10,"C"))*2)+((COUNTIF('Elève (6ème3)'!SX10:SZ10,"D"))*1))/(COUNTA(SX10:SZ10)),"")</f>
        <v/>
      </c>
      <c r="TB10" s="103" t="str">
        <f t="shared" si="121"/>
        <v/>
      </c>
      <c r="TC10" s="106"/>
      <c r="TD10" s="107"/>
      <c r="TE10" s="108"/>
      <c r="TF10" s="102" t="str">
        <f>IFERROR((((COUNTIF('Elève (6ème3)'!TC10:TE10,"A"))*4)+((COUNTIF('Elève (6ème3)'!TC10:TE10,"B"))*3)+((COUNTIF('Elève (6ème3)'!TC10:TE10,"C"))*2)+((COUNTIF('Elève (6ème3)'!TC10:TE10,"D"))*1))/(COUNTA(TC10:TE10)),"")</f>
        <v/>
      </c>
      <c r="TG10" s="103" t="str">
        <f t="shared" si="122"/>
        <v/>
      </c>
      <c r="TH10" s="102" t="str">
        <f>IF(COUNT(SV10,TA10,TF10)=0,"",SUM(SV10,TA10,TF10)/COUNT(SV10,TA10,TF10))</f>
        <v/>
      </c>
      <c r="TI10" s="117" t="str">
        <f t="shared" si="123"/>
        <v/>
      </c>
      <c r="TJ10" s="112"/>
      <c r="TK10" s="107"/>
      <c r="TL10" s="108"/>
      <c r="TM10" s="102" t="str">
        <f>IFERROR((((COUNTIF('Elève (6ème3)'!TJ10:TL10,"A"))*4)+((COUNTIF('Elève (6ème3)'!TJ10:TL10,"B"))*3)+((COUNTIF('Elève (6ème3)'!TJ10:TL10,"C"))*2)+((COUNTIF('Elève (6ème3)'!TJ10:TL10,"D"))*1))/(COUNTA(TJ10:TL10)),"")</f>
        <v/>
      </c>
      <c r="TN10" s="118" t="str">
        <f t="shared" si="124"/>
        <v/>
      </c>
      <c r="TO10" s="106"/>
      <c r="TP10" s="107"/>
      <c r="TQ10" s="108"/>
      <c r="TR10" s="102" t="str">
        <f>IFERROR((((COUNTIF('Elève (6ème3)'!TO10:TQ10,"A"))*4)+((COUNTIF('Elève (6ème3)'!TO10:TQ10,"B"))*3)+((COUNTIF('Elève (6ème3)'!TO10:TQ10,"C"))*2)+((COUNTIF('Elève (6ème3)'!TO10:TQ10,"D"))*1))/(COUNTA(TO10:TQ10)),"")</f>
        <v/>
      </c>
      <c r="TS10" s="103" t="str">
        <f t="shared" si="125"/>
        <v/>
      </c>
      <c r="TT10" s="106"/>
      <c r="TU10" s="107"/>
      <c r="TV10" s="108"/>
      <c r="TW10" s="102" t="str">
        <f>IFERROR((((COUNTIF('Elève (6ème3)'!TT10:TV10,"A"))*4)+((COUNTIF('Elève (6ème3)'!TT10:TV10,"B"))*3)+((COUNTIF('Elève (6ème3)'!TT10:TV10,"C"))*2)+((COUNTIF('Elève (6ème3)'!TT10:TV10,"D"))*1))/(COUNTA(TT10:TV10)),"")</f>
        <v/>
      </c>
      <c r="TX10" s="103" t="str">
        <f t="shared" si="126"/>
        <v/>
      </c>
      <c r="TY10" s="102" t="str">
        <f>IF(COUNT(TM10,TR10,TW10)=0,"",SUM(TM10,TR10,TW10)/COUNT(TM10,TR10,TW10))</f>
        <v/>
      </c>
      <c r="TZ10" s="117" t="str">
        <f t="shared" si="127"/>
        <v/>
      </c>
    </row>
    <row r="11" spans="1:546" ht="14.45" customHeight="1" thickBot="1" x14ac:dyDescent="0.3">
      <c r="A11" s="242" t="s">
        <v>38</v>
      </c>
      <c r="B11" s="243"/>
      <c r="C11" s="120"/>
      <c r="D11" s="121"/>
      <c r="E11" s="122"/>
      <c r="F11" s="188" t="str">
        <f>IFERROR((((COUNTIF('Elève (6ème3)'!C11:E11,"A"))*4)+((COUNTIF('Elève (6ème3)'!C11:E11,"B"))*3)+((COUNTIF('Elève (6ème3)'!C11:E11,"C"))*2)+((COUNTIF('Elève (6ème3)'!C11:E11,"D"))*1))/(COUNTA(C11:E11)),"")</f>
        <v/>
      </c>
      <c r="G11" s="187" t="str">
        <f t="shared" si="0"/>
        <v/>
      </c>
      <c r="H11" s="120"/>
      <c r="I11" s="121"/>
      <c r="J11" s="122"/>
      <c r="K11" s="188" t="str">
        <f>IFERROR((((COUNTIF('Elève (6ème3)'!H11:J11,"A"))*4)+((COUNTIF('Elève (6ème3)'!H11:J11,"B"))*3)+((COUNTIF('Elève (6ème3)'!H11:J11,"C"))*2)+((COUNTIF('Elève (6ème3)'!H11:J11,"D"))*1))/(COUNTA(H11:J11)),"")</f>
        <v/>
      </c>
      <c r="L11" s="187" t="str">
        <f t="shared" si="1"/>
        <v/>
      </c>
      <c r="M11" s="120"/>
      <c r="N11" s="121" t="s">
        <v>24</v>
      </c>
      <c r="O11" s="122"/>
      <c r="P11" s="188">
        <f>IFERROR((((COUNTIF('Elève (6ème3)'!M11:O11,"A"))*4)+((COUNTIF('Elève (6ème3)'!M11:O11,"B"))*3)+((COUNTIF('Elève (6ème3)'!M11:O11,"C"))*2)+((COUNTIF('Elève (6ème3)'!M11:O11,"D"))*1))/(COUNTA(M11:O11)),"")</f>
        <v>3</v>
      </c>
      <c r="Q11" s="187" t="str">
        <f t="shared" si="2"/>
        <v>B</v>
      </c>
      <c r="R11" s="188">
        <f>IF(COUNT(F11,K11,P11)=0,"",SUM(F11,K11,P11)/COUNT(F11,K11,P11))</f>
        <v>3</v>
      </c>
      <c r="S11" s="210" t="str">
        <f t="shared" si="3"/>
        <v>B</v>
      </c>
      <c r="T11" s="125"/>
      <c r="U11" s="121"/>
      <c r="V11" s="122"/>
      <c r="W11" s="188" t="str">
        <f>IFERROR((((COUNTIF('Elève (6ème3)'!T11:V11,"A"))*4)+((COUNTIF('Elève (6ème3)'!T11:V11,"B"))*3)+((COUNTIF('Elève (6ème3)'!T11:V11,"C"))*2)+((COUNTIF('Elève (6ème3)'!T11:V11,"D"))*1))/(COUNTA(T11:V11)),"")</f>
        <v/>
      </c>
      <c r="X11" s="187" t="str">
        <f t="shared" si="4"/>
        <v/>
      </c>
      <c r="Y11" s="120"/>
      <c r="Z11" s="121"/>
      <c r="AA11" s="122"/>
      <c r="AB11" s="188" t="str">
        <f>IFERROR((((COUNTIF('Elève (6ème3)'!Y11:AA11,"A"))*4)+((COUNTIF('Elève (6ème3)'!Y11:AA11,"B"))*3)+((COUNTIF('Elève (6ème3)'!Y11:AA11,"C"))*2)+((COUNTIF('Elève (6ème3)'!Y11:AA11,"D"))*1))/(COUNTA(Y11:AA11)),"")</f>
        <v/>
      </c>
      <c r="AC11" s="187" t="str">
        <f t="shared" si="5"/>
        <v/>
      </c>
      <c r="AD11" s="120"/>
      <c r="AE11" s="121" t="s">
        <v>23</v>
      </c>
      <c r="AF11" s="122"/>
      <c r="AG11" s="188">
        <f>IFERROR((((COUNTIF('Elève (6ème3)'!AD11:AF11,"A"))*4)+((COUNTIF('Elève (6ème3)'!AD11:AF11,"B"))*3)+((COUNTIF('Elève (6ème3)'!AD11:AF11,"C"))*2)+((COUNTIF('Elève (6ème3)'!AD11:AF11,"D"))*1))/(COUNTA(AD11:AF11)),"")</f>
        <v>4</v>
      </c>
      <c r="AH11" s="187" t="str">
        <f t="shared" si="6"/>
        <v>A</v>
      </c>
      <c r="AI11" s="188">
        <f>IF(COUNT(W11,AB11,AG11)=0,"",SUM(W11,AB11,AG11)/COUNT(W11,AB11,AG11))</f>
        <v>4</v>
      </c>
      <c r="AJ11" s="210" t="str">
        <f t="shared" si="7"/>
        <v>A</v>
      </c>
      <c r="AK11" s="125"/>
      <c r="AL11" s="121"/>
      <c r="AM11" s="122"/>
      <c r="AN11" s="188" t="str">
        <f>IFERROR((((COUNTIF('Elève (6ème3)'!AK11:AM11,"A"))*4)+((COUNTIF('Elève (6ème3)'!AK11:AM11,"B"))*3)+((COUNTIF('Elève (6ème3)'!AK11:AM11,"C"))*2)+((COUNTIF('Elève (6ème3)'!AK11:AM11,"D"))*1))/(COUNTA(AK11:AM11)),"")</f>
        <v/>
      </c>
      <c r="AO11" s="187" t="str">
        <f t="shared" si="8"/>
        <v/>
      </c>
      <c r="AP11" s="120"/>
      <c r="AQ11" s="121"/>
      <c r="AR11" s="122"/>
      <c r="AS11" s="188" t="str">
        <f>IFERROR((((COUNTIF('Elève (6ème3)'!AP11:AR11,"A"))*4)+((COUNTIF('Elève (6ème3)'!AP11:AR11,"B"))*3)+((COUNTIF('Elève (6ème3)'!AP11:AR11,"C"))*2)+((COUNTIF('Elève (6ème3)'!AP11:AR11,"D"))*1))/(COUNTA(AP11:AR11)),"")</f>
        <v/>
      </c>
      <c r="AT11" s="187" t="str">
        <f t="shared" si="9"/>
        <v/>
      </c>
      <c r="AU11" s="120"/>
      <c r="AV11" s="121" t="s">
        <v>24</v>
      </c>
      <c r="AW11" s="122"/>
      <c r="AX11" s="188">
        <f>IFERROR((((COUNTIF('Elève (6ème3)'!AU11:AW11,"A"))*4)+((COUNTIF('Elève (6ème3)'!AU11:AW11,"B"))*3)+((COUNTIF('Elève (6ème3)'!AU11:AW11,"C"))*2)+((COUNTIF('Elève (6ème3)'!AU11:AW11,"D"))*1))/(COUNTA(AU11:AW11)),"")</f>
        <v>3</v>
      </c>
      <c r="AY11" s="187" t="str">
        <f t="shared" si="10"/>
        <v>B</v>
      </c>
      <c r="AZ11" s="188">
        <f>IF(COUNT(AN11,AS11,AX11)=0,"",SUM(AN11,AS11,AX11)/COUNT(AN11,AS11,AX11))</f>
        <v>3</v>
      </c>
      <c r="BA11" s="210" t="str">
        <f t="shared" si="11"/>
        <v>B</v>
      </c>
      <c r="BB11" s="125"/>
      <c r="BC11" s="121"/>
      <c r="BD11" s="122"/>
      <c r="BE11" s="188" t="str">
        <f>IFERROR((((COUNTIF('Elève (6ème3)'!BB11:BD11,"A"))*4)+((COUNTIF('Elève (6ème3)'!BB11:BD11,"B"))*3)+((COUNTIF('Elève (6ème3)'!BB11:BD11,"C"))*2)+((COUNTIF('Elève (6ème3)'!BB11:BD11,"D"))*1))/(COUNTA(BB11:BD11)),"")</f>
        <v/>
      </c>
      <c r="BF11" s="187" t="str">
        <f t="shared" si="12"/>
        <v/>
      </c>
      <c r="BG11" s="120"/>
      <c r="BH11" s="121"/>
      <c r="BI11" s="122"/>
      <c r="BJ11" s="188" t="str">
        <f>IFERROR((((COUNTIF('Elève (6ème3)'!BG11:BI11,"A"))*4)+((COUNTIF('Elève (6ème3)'!BG11:BI11,"B"))*3)+((COUNTIF('Elève (6ème3)'!BG11:BI11,"C"))*2)+((COUNTIF('Elève (6ème3)'!BG11:BI11,"D"))*1))/(COUNTA(BG11:BI11)),"")</f>
        <v/>
      </c>
      <c r="BK11" s="187" t="str">
        <f t="shared" si="13"/>
        <v/>
      </c>
      <c r="BL11" s="120"/>
      <c r="BM11" s="121" t="s">
        <v>24</v>
      </c>
      <c r="BN11" s="122"/>
      <c r="BO11" s="188">
        <f>IFERROR((((COUNTIF('Elève (6ème3)'!BL11:BN11,"A"))*4)+((COUNTIF('Elève (6ème3)'!BL11:BN11,"B"))*3)+((COUNTIF('Elève (6ème3)'!BL11:BN11,"C"))*2)+((COUNTIF('Elève (6ème3)'!BL11:BN11,"D"))*1))/(COUNTA(BL11:BN11)),"")</f>
        <v>3</v>
      </c>
      <c r="BP11" s="187" t="str">
        <f t="shared" si="14"/>
        <v>B</v>
      </c>
      <c r="BQ11" s="188">
        <f>IF(COUNT(BE11,BJ11,BO11)=0,"",SUM(BE11,BJ11,BO11)/COUNT(BE11,BJ11,BO11))</f>
        <v>3</v>
      </c>
      <c r="BR11" s="210" t="str">
        <f t="shared" si="15"/>
        <v>B</v>
      </c>
      <c r="BS11" s="125"/>
      <c r="BT11" s="121"/>
      <c r="BU11" s="122"/>
      <c r="BV11" s="188" t="str">
        <f>IFERROR((((COUNTIF('Elève (6ème3)'!BS11:BU11,"A"))*4)+((COUNTIF('Elève (6ème3)'!BS11:BU11,"B"))*3)+((COUNTIF('Elève (6ème3)'!BS11:BU11,"C"))*2)+((COUNTIF('Elève (6ème3)'!BS11:BU11,"D"))*1))/(COUNTA(BS11:BU11)),"")</f>
        <v/>
      </c>
      <c r="BW11" s="187" t="str">
        <f t="shared" si="16"/>
        <v/>
      </c>
      <c r="BX11" s="120"/>
      <c r="BY11" s="121"/>
      <c r="BZ11" s="122"/>
      <c r="CA11" s="188" t="str">
        <f>IFERROR((((COUNTIF('Elève (6ème3)'!BX11:BZ11,"A"))*4)+((COUNTIF('Elève (6ème3)'!BX11:BZ11,"B"))*3)+((COUNTIF('Elève (6ème3)'!BX11:BZ11,"C"))*2)+((COUNTIF('Elève (6ème3)'!BX11:BZ11,"D"))*1))/(COUNTA(BX11:BZ11)),"")</f>
        <v/>
      </c>
      <c r="CB11" s="187" t="str">
        <f t="shared" si="17"/>
        <v/>
      </c>
      <c r="CC11" s="120"/>
      <c r="CD11" s="121" t="s">
        <v>23</v>
      </c>
      <c r="CE11" s="122"/>
      <c r="CF11" s="188">
        <f>IFERROR((((COUNTIF('Elève (6ème3)'!CC11:CE11,"A"))*4)+((COUNTIF('Elève (6ème3)'!CC11:CE11,"B"))*3)+((COUNTIF('Elève (6ème3)'!CC11:CE11,"C"))*2)+((COUNTIF('Elève (6ème3)'!CC11:CE11,"D"))*1))/(COUNTA(CC11:CE11)),"")</f>
        <v>4</v>
      </c>
      <c r="CG11" s="187" t="str">
        <f t="shared" si="18"/>
        <v>A</v>
      </c>
      <c r="CH11" s="188">
        <f>IF(COUNT(BV11,CA11,CF11)=0,"",SUM(BV11,CA11,CF11)/COUNT(BV11,CA11,CF11))</f>
        <v>4</v>
      </c>
      <c r="CI11" s="210" t="str">
        <f t="shared" si="19"/>
        <v>A</v>
      </c>
      <c r="CJ11" s="125"/>
      <c r="CK11" s="121"/>
      <c r="CL11" s="122"/>
      <c r="CM11" s="188" t="str">
        <f>IFERROR((((COUNTIF('Elève (6ème3)'!CJ11:CL11,"A"))*4)+((COUNTIF('Elève (6ème3)'!CJ11:CL11,"B"))*3)+((COUNTIF('Elève (6ème3)'!CJ11:CL11,"C"))*2)+((COUNTIF('Elève (6ème3)'!CJ11:CL11,"D"))*1))/(COUNTA(CJ11:CL11)),"")</f>
        <v/>
      </c>
      <c r="CN11" s="187" t="str">
        <f t="shared" si="20"/>
        <v/>
      </c>
      <c r="CO11" s="120"/>
      <c r="CP11" s="121"/>
      <c r="CQ11" s="122"/>
      <c r="CR11" s="188" t="str">
        <f>IFERROR((((COUNTIF('Elève (6ème3)'!CO11:CQ11,"A"))*4)+((COUNTIF('Elève (6ème3)'!CO11:CQ11,"B"))*3)+((COUNTIF('Elève (6ème3)'!CO11:CQ11,"C"))*2)+((COUNTIF('Elève (6ème3)'!CO11:CQ11,"D"))*1))/(COUNTA(CO11:CQ11)),"")</f>
        <v/>
      </c>
      <c r="CS11" s="187" t="str">
        <f t="shared" si="21"/>
        <v/>
      </c>
      <c r="CT11" s="120"/>
      <c r="CU11" s="121" t="s">
        <v>26</v>
      </c>
      <c r="CV11" s="122"/>
      <c r="CW11" s="188">
        <f>IFERROR((((COUNTIF('Elève (6ème3)'!CT11:CV11,"A"))*4)+((COUNTIF('Elève (6ème3)'!CT11:CV11,"B"))*3)+((COUNTIF('Elève (6ème3)'!CT11:CV11,"C"))*2)+((COUNTIF('Elève (6ème3)'!CT11:CV11,"D"))*1))/(COUNTA(CT11:CV11)),"")</f>
        <v>1</v>
      </c>
      <c r="CX11" s="187" t="str">
        <f t="shared" si="22"/>
        <v>D</v>
      </c>
      <c r="CY11" s="188">
        <f>IF(COUNT(CM11,CR11,CW11)=0,"",SUM(CM11,CR11,CW11)/COUNT(CM11,CR11,CW11))</f>
        <v>1</v>
      </c>
      <c r="CZ11" s="210" t="str">
        <f t="shared" si="23"/>
        <v>D</v>
      </c>
      <c r="DA11" s="125"/>
      <c r="DB11" s="121"/>
      <c r="DC11" s="122"/>
      <c r="DD11" s="188" t="str">
        <f>IFERROR((((COUNTIF('Elève (6ème3)'!DA11:DC11,"A"))*4)+((COUNTIF('Elève (6ème3)'!DA11:DC11,"B"))*3)+((COUNTIF('Elève (6ème3)'!DA11:DC11,"C"))*2)+((COUNTIF('Elève (6ème3)'!DA11:DC11,"D"))*1))/(COUNTA(DA11:DC11)),"")</f>
        <v/>
      </c>
      <c r="DE11" s="187" t="str">
        <f t="shared" si="24"/>
        <v/>
      </c>
      <c r="DF11" s="120"/>
      <c r="DG11" s="121"/>
      <c r="DH11" s="122"/>
      <c r="DI11" s="188" t="str">
        <f>IFERROR((((COUNTIF('Elève (6ème3)'!DF11:DH11,"A"))*4)+((COUNTIF('Elève (6ème3)'!DF11:DH11,"B"))*3)+((COUNTIF('Elève (6ème3)'!DF11:DH11,"C"))*2)+((COUNTIF('Elève (6ème3)'!DF11:DH11,"D"))*1))/(COUNTA(DF11:DH11)),"")</f>
        <v/>
      </c>
      <c r="DJ11" s="187" t="str">
        <f t="shared" si="25"/>
        <v/>
      </c>
      <c r="DK11" s="120"/>
      <c r="DL11" s="121" t="s">
        <v>24</v>
      </c>
      <c r="DM11" s="122"/>
      <c r="DN11" s="188">
        <f>IFERROR((((COUNTIF('Elève (6ème3)'!DK11:DM11,"A"))*4)+((COUNTIF('Elève (6ème3)'!DK11:DM11,"B"))*3)+((COUNTIF('Elève (6ème3)'!DK11:DM11,"C"))*2)+((COUNTIF('Elève (6ème3)'!DK11:DM11,"D"))*1))/(COUNTA(DK11:DM11)),"")</f>
        <v>3</v>
      </c>
      <c r="DO11" s="187" t="str">
        <f t="shared" si="26"/>
        <v>B</v>
      </c>
      <c r="DP11" s="188">
        <f>IF(COUNT(DD11,DI11,DN11)=0,"",SUM(DD11,DI11,DN11)/COUNT(DD11,DI11,DN11))</f>
        <v>3</v>
      </c>
      <c r="DQ11" s="210" t="str">
        <f t="shared" si="27"/>
        <v>B</v>
      </c>
      <c r="DR11" s="125"/>
      <c r="DS11" s="121"/>
      <c r="DT11" s="122"/>
      <c r="DU11" s="188" t="str">
        <f>IFERROR((((COUNTIF('Elève (6ème3)'!DR11:DT11,"A"))*4)+((COUNTIF('Elève (6ème3)'!DR11:DT11,"B"))*3)+((COUNTIF('Elève (6ème3)'!DR11:DT11,"C"))*2)+((COUNTIF('Elève (6ème3)'!DR11:DT11,"D"))*1))/(COUNTA(DR11:DT11)),"")</f>
        <v/>
      </c>
      <c r="DV11" s="187" t="str">
        <f t="shared" si="28"/>
        <v/>
      </c>
      <c r="DW11" s="120"/>
      <c r="DX11" s="121"/>
      <c r="DY11" s="122"/>
      <c r="DZ11" s="188" t="str">
        <f>IFERROR((((COUNTIF('Elève (6ème3)'!DW11:DY11,"A"))*4)+((COUNTIF('Elève (6ème3)'!DW11:DY11,"B"))*3)+((COUNTIF('Elève (6ème3)'!DW11:DY11,"C"))*2)+((COUNTIF('Elève (6ème3)'!DW11:DY11,"D"))*1))/(COUNTA(DW11:DY11)),"")</f>
        <v/>
      </c>
      <c r="EA11" s="187" t="str">
        <f t="shared" si="29"/>
        <v/>
      </c>
      <c r="EB11" s="120"/>
      <c r="EC11" s="121" t="s">
        <v>24</v>
      </c>
      <c r="ED11" s="122"/>
      <c r="EE11" s="188">
        <f>IFERROR((((COUNTIF('Elève (6ème3)'!EB11:ED11,"A"))*4)+((COUNTIF('Elève (6ème3)'!EB11:ED11,"B"))*3)+((COUNTIF('Elève (6ème3)'!EB11:ED11,"C"))*2)+((COUNTIF('Elève (6ème3)'!EB11:ED11,"D"))*1))/(COUNTA(EB11:ED11)),"")</f>
        <v>3</v>
      </c>
      <c r="EF11" s="187" t="str">
        <f t="shared" si="30"/>
        <v>B</v>
      </c>
      <c r="EG11" s="188">
        <f>IF(COUNT(DU11,DZ11,EE11)=0,"",SUM(DU11,DZ11,EE11)/COUNT(DU11,DZ11,EE11))</f>
        <v>3</v>
      </c>
      <c r="EH11" s="210" t="str">
        <f t="shared" si="31"/>
        <v>B</v>
      </c>
      <c r="EI11" s="125"/>
      <c r="EJ11" s="121"/>
      <c r="EK11" s="122"/>
      <c r="EL11" s="188" t="str">
        <f>IFERROR((((COUNTIF('Elève (6ème3)'!EI11:EK11,"A"))*4)+((COUNTIF('Elève (6ème3)'!EI11:EK11,"B"))*3)+((COUNTIF('Elève (6ème3)'!EI11:EK11,"C"))*2)+((COUNTIF('Elève (6ème3)'!EI11:EK11,"D"))*1))/(COUNTA(EI11:EK11)),"")</f>
        <v/>
      </c>
      <c r="EM11" s="187" t="str">
        <f t="shared" si="32"/>
        <v/>
      </c>
      <c r="EN11" s="120"/>
      <c r="EO11" s="121"/>
      <c r="EP11" s="122"/>
      <c r="EQ11" s="188" t="str">
        <f>IFERROR((((COUNTIF('Elève (6ème3)'!EN11:EP11,"A"))*4)+((COUNTIF('Elève (6ème3)'!EN11:EP11,"B"))*3)+((COUNTIF('Elève (6ème3)'!EN11:EP11,"C"))*2)+((COUNTIF('Elève (6ème3)'!EN11:EP11,"D"))*1))/(COUNTA(EN11:EP11)),"")</f>
        <v/>
      </c>
      <c r="ER11" s="187" t="str">
        <f t="shared" si="33"/>
        <v/>
      </c>
      <c r="ES11" s="120"/>
      <c r="ET11" s="121" t="s">
        <v>24</v>
      </c>
      <c r="EU11" s="122"/>
      <c r="EV11" s="188">
        <f>IFERROR((((COUNTIF('Elève (6ème3)'!ES11:EU11,"A"))*4)+((COUNTIF('Elève (6ème3)'!ES11:EU11,"B"))*3)+((COUNTIF('Elève (6ème3)'!ES11:EU11,"C"))*2)+((COUNTIF('Elève (6ème3)'!ES11:EU11,"D"))*1))/(COUNTA(ES11:EU11)),"")</f>
        <v>3</v>
      </c>
      <c r="EW11" s="187" t="str">
        <f t="shared" si="34"/>
        <v>B</v>
      </c>
      <c r="EX11" s="188">
        <f>IF(COUNT(EL11,EQ11,EV11)=0,"",SUM(EL11,EQ11,EV11)/COUNT(EL11,EQ11,EV11))</f>
        <v>3</v>
      </c>
      <c r="EY11" s="210" t="str">
        <f t="shared" si="35"/>
        <v>B</v>
      </c>
      <c r="EZ11" s="125"/>
      <c r="FA11" s="121"/>
      <c r="FB11" s="122"/>
      <c r="FC11" s="188" t="str">
        <f>IFERROR((((COUNTIF('Elève (6ème3)'!EZ11:FB11,"A"))*4)+((COUNTIF('Elève (6ème3)'!EZ11:FB11,"B"))*3)+((COUNTIF('Elève (6ème3)'!EZ11:FB11,"C"))*2)+((COUNTIF('Elève (6ème3)'!EZ11:FB11,"D"))*1))/(COUNTA(EZ11:FB11)),"")</f>
        <v/>
      </c>
      <c r="FD11" s="187" t="str">
        <f t="shared" si="36"/>
        <v/>
      </c>
      <c r="FE11" s="120"/>
      <c r="FF11" s="121"/>
      <c r="FG11" s="122"/>
      <c r="FH11" s="188" t="str">
        <f>IFERROR((((COUNTIF('Elève (6ème3)'!FE11:FG11,"A"))*4)+((COUNTIF('Elève (6ème3)'!FE11:FG11,"B"))*3)+((COUNTIF('Elève (6ème3)'!FE11:FG11,"C"))*2)+((COUNTIF('Elève (6ème3)'!FE11:FG11,"D"))*1))/(COUNTA(FE11:FG11)),"")</f>
        <v/>
      </c>
      <c r="FI11" s="187" t="str">
        <f t="shared" si="37"/>
        <v/>
      </c>
      <c r="FJ11" s="120"/>
      <c r="FK11" s="121" t="s">
        <v>23</v>
      </c>
      <c r="FL11" s="122"/>
      <c r="FM11" s="188">
        <f>IFERROR((((COUNTIF('Elève (6ème3)'!FJ11:FL11,"A"))*4)+((COUNTIF('Elève (6ème3)'!FJ11:FL11,"B"))*3)+((COUNTIF('Elève (6ème3)'!FJ11:FL11,"C"))*2)+((COUNTIF('Elève (6ème3)'!FJ11:FL11,"D"))*1))/(COUNTA(FJ11:FL11)),"")</f>
        <v>4</v>
      </c>
      <c r="FN11" s="187" t="str">
        <f t="shared" si="38"/>
        <v>A</v>
      </c>
      <c r="FO11" s="188">
        <f>IF(COUNT(FC11,FH11,FM11)=0,"",SUM(FC11,FH11,FM11)/COUNT(FC11,FH11,FM11))</f>
        <v>4</v>
      </c>
      <c r="FP11" s="210" t="str">
        <f t="shared" si="39"/>
        <v>A</v>
      </c>
      <c r="FQ11" s="125"/>
      <c r="FR11" s="121"/>
      <c r="FS11" s="122"/>
      <c r="FT11" s="188" t="str">
        <f>IFERROR((((COUNTIF('Elève (6ème3)'!FQ11:FS11,"A"))*4)+((COUNTIF('Elève (6ème3)'!FQ11:FS11,"B"))*3)+((COUNTIF('Elève (6ème3)'!FQ11:FS11,"C"))*2)+((COUNTIF('Elève (6ème3)'!FQ11:FS11,"D"))*1))/(COUNTA(FQ11:FS11)),"")</f>
        <v/>
      </c>
      <c r="FU11" s="187" t="str">
        <f t="shared" si="40"/>
        <v/>
      </c>
      <c r="FV11" s="120"/>
      <c r="FW11" s="121"/>
      <c r="FX11" s="122"/>
      <c r="FY11" s="188" t="str">
        <f>IFERROR((((COUNTIF('Elève (6ème3)'!FV11:FX11,"A"))*4)+((COUNTIF('Elève (6ème3)'!FV11:FX11,"B"))*3)+((COUNTIF('Elève (6ème3)'!FV11:FX11,"C"))*2)+((COUNTIF('Elève (6ème3)'!FV11:FX11,"D"))*1))/(COUNTA(FV11:FX11)),"")</f>
        <v/>
      </c>
      <c r="FZ11" s="187" t="str">
        <f t="shared" si="41"/>
        <v/>
      </c>
      <c r="GA11" s="120"/>
      <c r="GB11" s="121" t="s">
        <v>24</v>
      </c>
      <c r="GC11" s="122"/>
      <c r="GD11" s="188">
        <f>IFERROR((((COUNTIF('Elève (6ème3)'!GA11:GC11,"A"))*4)+((COUNTIF('Elève (6ème3)'!GA11:GC11,"B"))*3)+((COUNTIF('Elève (6ème3)'!GA11:GC11,"C"))*2)+((COUNTIF('Elève (6ème3)'!GA11:GC11,"D"))*1))/(COUNTA(GA11:GC11)),"")</f>
        <v>3</v>
      </c>
      <c r="GE11" s="187" t="str">
        <f t="shared" si="42"/>
        <v>B</v>
      </c>
      <c r="GF11" s="188">
        <f>IF(COUNT(FT11,FY11,GD11)=0,"",SUM(FT11,FY11,GD11)/COUNT(FT11,FY11,GD11))</f>
        <v>3</v>
      </c>
      <c r="GG11" s="210" t="str">
        <f t="shared" si="43"/>
        <v>B</v>
      </c>
      <c r="GH11" s="125"/>
      <c r="GI11" s="121"/>
      <c r="GJ11" s="122"/>
      <c r="GK11" s="188" t="str">
        <f>IFERROR((((COUNTIF('Elève (6ème3)'!GH11:GJ11,"A"))*4)+((COUNTIF('Elève (6ème3)'!GH11:GJ11,"B"))*3)+((COUNTIF('Elève (6ème3)'!GH11:GJ11,"C"))*2)+((COUNTIF('Elève (6ème3)'!GH11:GJ11,"D"))*1))/(COUNTA(GH11:GJ11)),"")</f>
        <v/>
      </c>
      <c r="GL11" s="187" t="str">
        <f t="shared" si="44"/>
        <v/>
      </c>
      <c r="GM11" s="120"/>
      <c r="GN11" s="121"/>
      <c r="GO11" s="122"/>
      <c r="GP11" s="188" t="str">
        <f>IFERROR((((COUNTIF('Elève (6ème3)'!GM11:GO11,"A"))*4)+((COUNTIF('Elève (6ème3)'!GM11:GO11,"B"))*3)+((COUNTIF('Elève (6ème3)'!GM11:GO11,"C"))*2)+((COUNTIF('Elève (6ème3)'!GM11:GO11,"D"))*1))/(COUNTA(GM11:GO11)),"")</f>
        <v/>
      </c>
      <c r="GQ11" s="187" t="str">
        <f t="shared" si="45"/>
        <v/>
      </c>
      <c r="GR11" s="120"/>
      <c r="GS11" s="121" t="s">
        <v>23</v>
      </c>
      <c r="GT11" s="122"/>
      <c r="GU11" s="188">
        <f>IFERROR((((COUNTIF('Elève (6ème3)'!GR11:GT11,"A"))*4)+((COUNTIF('Elève (6ème3)'!GR11:GT11,"B"))*3)+((COUNTIF('Elève (6ème3)'!GR11:GT11,"C"))*2)+((COUNTIF('Elève (6ème3)'!GR11:GT11,"D"))*1))/(COUNTA(GR11:GT11)),"")</f>
        <v>4</v>
      </c>
      <c r="GV11" s="187" t="str">
        <f t="shared" si="46"/>
        <v>A</v>
      </c>
      <c r="GW11" s="188">
        <f>IF(COUNT(GK11,GP11,GU11)=0,"",SUM(GK11,GP11,GU11)/COUNT(GK11,GP11,GU11))</f>
        <v>4</v>
      </c>
      <c r="GX11" s="210" t="str">
        <f t="shared" si="47"/>
        <v>A</v>
      </c>
      <c r="GY11" s="125"/>
      <c r="GZ11" s="121"/>
      <c r="HA11" s="122"/>
      <c r="HB11" s="188" t="str">
        <f>IFERROR((((COUNTIF('Elève (6ème3)'!GY11:HA11,"A"))*4)+((COUNTIF('Elève (6ème3)'!GY11:HA11,"B"))*3)+((COUNTIF('Elève (6ème3)'!GY11:HA11,"C"))*2)+((COUNTIF('Elève (6ème3)'!GY11:HA11,"D"))*1))/(COUNTA(GY11:HA11)),"")</f>
        <v/>
      </c>
      <c r="HC11" s="187" t="str">
        <f t="shared" si="48"/>
        <v/>
      </c>
      <c r="HD11" s="120"/>
      <c r="HE11" s="121"/>
      <c r="HF11" s="122"/>
      <c r="HG11" s="188" t="str">
        <f>IFERROR((((COUNTIF('Elève (6ème3)'!HD11:HF11,"A"))*4)+((COUNTIF('Elève (6ème3)'!HD11:HF11,"B"))*3)+((COUNTIF('Elève (6ème3)'!HD11:HF11,"C"))*2)+((COUNTIF('Elève (6ème3)'!HD11:HF11,"D"))*1))/(COUNTA(HD11:HF11)),"")</f>
        <v/>
      </c>
      <c r="HH11" s="187" t="str">
        <f t="shared" si="49"/>
        <v/>
      </c>
      <c r="HI11" s="120"/>
      <c r="HJ11" s="121" t="s">
        <v>23</v>
      </c>
      <c r="HK11" s="122"/>
      <c r="HL11" s="188">
        <f>IFERROR((((COUNTIF('Elève (6ème3)'!HI11:HK11,"A"))*4)+((COUNTIF('Elève (6ème3)'!HI11:HK11,"B"))*3)+((COUNTIF('Elève (6ème3)'!HI11:HK11,"C"))*2)+((COUNTIF('Elève (6ème3)'!HI11:HK11,"D"))*1))/(COUNTA(HI11:HK11)),"")</f>
        <v>4</v>
      </c>
      <c r="HM11" s="187" t="str">
        <f t="shared" si="50"/>
        <v>A</v>
      </c>
      <c r="HN11" s="188">
        <f>IF(COUNT(HB11,HG11,HL11)=0,"",SUM(HB11,HG11,HL11)/COUNT(HB11,HG11,HL11))</f>
        <v>4</v>
      </c>
      <c r="HO11" s="210" t="str">
        <f t="shared" si="51"/>
        <v>A</v>
      </c>
      <c r="HP11" s="125"/>
      <c r="HQ11" s="121"/>
      <c r="HR11" s="122"/>
      <c r="HS11" s="188" t="str">
        <f>IFERROR((((COUNTIF('Elève (6ème3)'!HP11:HR11,"A"))*4)+((COUNTIF('Elève (6ème3)'!HP11:HR11,"B"))*3)+((COUNTIF('Elève (6ème3)'!HP11:HR11,"C"))*2)+((COUNTIF('Elève (6ème3)'!HP11:HR11,"D"))*1))/(COUNTA(HP11:HR11)),"")</f>
        <v/>
      </c>
      <c r="HT11" s="187" t="str">
        <f t="shared" si="52"/>
        <v/>
      </c>
      <c r="HU11" s="120"/>
      <c r="HV11" s="121"/>
      <c r="HW11" s="122"/>
      <c r="HX11" s="188" t="str">
        <f>IFERROR((((COUNTIF('Elève (6ème3)'!HU11:HW11,"A"))*4)+((COUNTIF('Elève (6ème3)'!HU11:HW11,"B"))*3)+((COUNTIF('Elève (6ème3)'!HU11:HW11,"C"))*2)+((COUNTIF('Elève (6ème3)'!HU11:HW11,"D"))*1))/(COUNTA(HU11:HW11)),"")</f>
        <v/>
      </c>
      <c r="HY11" s="187" t="str">
        <f t="shared" si="53"/>
        <v/>
      </c>
      <c r="HZ11" s="120"/>
      <c r="IA11" s="121" t="s">
        <v>24</v>
      </c>
      <c r="IB11" s="122"/>
      <c r="IC11" s="188">
        <f>IFERROR((((COUNTIF('Elève (6ème3)'!HZ11:IB11,"A"))*4)+((COUNTIF('Elève (6ème3)'!HZ11:IB11,"B"))*3)+((COUNTIF('Elève (6ème3)'!HZ11:IB11,"C"))*2)+((COUNTIF('Elève (6ème3)'!HZ11:IB11,"D"))*1))/(COUNTA(HZ11:IB11)),"")</f>
        <v>3</v>
      </c>
      <c r="ID11" s="187" t="str">
        <f t="shared" si="54"/>
        <v>B</v>
      </c>
      <c r="IE11" s="188">
        <f>IF(COUNT(HS11,HX11,IC11)=0,"",SUM(HS11,HX11,IC11)/COUNT(HS11,HX11,IC11))</f>
        <v>3</v>
      </c>
      <c r="IF11" s="210" t="str">
        <f t="shared" si="55"/>
        <v>B</v>
      </c>
      <c r="IG11" s="125"/>
      <c r="IH11" s="121"/>
      <c r="II11" s="122"/>
      <c r="IJ11" s="188" t="str">
        <f>IFERROR((((COUNTIF('Elève (6ème3)'!IG11:II11,"A"))*4)+((COUNTIF('Elève (6ème3)'!IG11:II11,"B"))*3)+((COUNTIF('Elève (6ème3)'!IG11:II11,"C"))*2)+((COUNTIF('Elève (6ème3)'!IG11:II11,"D"))*1))/(COUNTA(IG11:II11)),"")</f>
        <v/>
      </c>
      <c r="IK11" s="187" t="str">
        <f t="shared" si="56"/>
        <v/>
      </c>
      <c r="IL11" s="120"/>
      <c r="IM11" s="121"/>
      <c r="IN11" s="122"/>
      <c r="IO11" s="188" t="str">
        <f>IFERROR((((COUNTIF('Elève (6ème3)'!IL11:IN11,"A"))*4)+((COUNTIF('Elève (6ème3)'!IL11:IN11,"B"))*3)+((COUNTIF('Elève (6ème3)'!IL11:IN11,"C"))*2)+((COUNTIF('Elève (6ème3)'!IL11:IN11,"D"))*1))/(COUNTA(IL11:IN11)),"")</f>
        <v/>
      </c>
      <c r="IP11" s="187" t="str">
        <f t="shared" si="57"/>
        <v/>
      </c>
      <c r="IQ11" s="120"/>
      <c r="IR11" s="121" t="s">
        <v>26</v>
      </c>
      <c r="IS11" s="122"/>
      <c r="IT11" s="188">
        <f>IFERROR((((COUNTIF('Elève (6ème3)'!IQ11:IS11,"A"))*4)+((COUNTIF('Elève (6ème3)'!IQ11:IS11,"B"))*3)+((COUNTIF('Elève (6ème3)'!IQ11:IS11,"C"))*2)+((COUNTIF('Elève (6ème3)'!IQ11:IS11,"D"))*1))/(COUNTA(IQ11:IS11)),"")</f>
        <v>1</v>
      </c>
      <c r="IU11" s="187" t="str">
        <f t="shared" si="58"/>
        <v>D</v>
      </c>
      <c r="IV11" s="188">
        <f>IF(COUNT(IJ11,IO11,IT11)=0,"",SUM(IJ11,IO11,IT11)/COUNT(IJ11,IO11,IT11))</f>
        <v>1</v>
      </c>
      <c r="IW11" s="210" t="str">
        <f t="shared" si="59"/>
        <v>D</v>
      </c>
      <c r="IX11" s="125"/>
      <c r="IY11" s="121"/>
      <c r="IZ11" s="122"/>
      <c r="JA11" s="188" t="str">
        <f>IFERROR((((COUNTIF('Elève (6ème3)'!IX11:IZ11,"A"))*4)+((COUNTIF('Elève (6ème3)'!IX11:IZ11,"B"))*3)+((COUNTIF('Elève (6ème3)'!IX11:IZ11,"C"))*2)+((COUNTIF('Elève (6ème3)'!IX11:IZ11,"D"))*1))/(COUNTA(IX11:IZ11)),"")</f>
        <v/>
      </c>
      <c r="JB11" s="187" t="str">
        <f t="shared" si="60"/>
        <v/>
      </c>
      <c r="JC11" s="120"/>
      <c r="JD11" s="121"/>
      <c r="JE11" s="122"/>
      <c r="JF11" s="188" t="str">
        <f>IFERROR((((COUNTIF('Elève (6ème3)'!JC11:JE11,"A"))*4)+((COUNTIF('Elève (6ème3)'!JC11:JE11,"B"))*3)+((COUNTIF('Elève (6ème3)'!JC11:JE11,"C"))*2)+((COUNTIF('Elève (6ème3)'!JC11:JE11,"D"))*1))/(COUNTA(JC11:JE11)),"")</f>
        <v/>
      </c>
      <c r="JG11" s="187" t="str">
        <f t="shared" si="61"/>
        <v/>
      </c>
      <c r="JH11" s="120"/>
      <c r="JI11" s="121" t="s">
        <v>24</v>
      </c>
      <c r="JJ11" s="122"/>
      <c r="JK11" s="188">
        <f>IFERROR((((COUNTIF('Elève (6ème3)'!JH11:JJ11,"A"))*4)+((COUNTIF('Elève (6ème3)'!JH11:JJ11,"B"))*3)+((COUNTIF('Elève (6ème3)'!JH11:JJ11,"C"))*2)+((COUNTIF('Elève (6ème3)'!JH11:JJ11,"D"))*1))/(COUNTA(JH11:JJ11)),"")</f>
        <v>3</v>
      </c>
      <c r="JL11" s="187" t="str">
        <f t="shared" si="62"/>
        <v>B</v>
      </c>
      <c r="JM11" s="188">
        <f>IF(COUNT(JA11,JF11,JK11)=0,"",SUM(JA11,JF11,JK11)/COUNT(JA11,JF11,JK11))</f>
        <v>3</v>
      </c>
      <c r="JN11" s="210" t="str">
        <f t="shared" si="63"/>
        <v>B</v>
      </c>
      <c r="JO11" s="125"/>
      <c r="JP11" s="121"/>
      <c r="JQ11" s="122"/>
      <c r="JR11" s="188" t="str">
        <f>IFERROR((((COUNTIF('Elève (6ème3)'!JO11:JQ11,"A"))*4)+((COUNTIF('Elève (6ème3)'!JO11:JQ11,"B"))*3)+((COUNTIF('Elève (6ème3)'!JO11:JQ11,"C"))*2)+((COUNTIF('Elève (6ème3)'!JO11:JQ11,"D"))*1))/(COUNTA(JO11:JQ11)),"")</f>
        <v/>
      </c>
      <c r="JS11" s="187" t="str">
        <f t="shared" si="64"/>
        <v/>
      </c>
      <c r="JT11" s="120"/>
      <c r="JU11" s="121"/>
      <c r="JV11" s="122"/>
      <c r="JW11" s="188" t="str">
        <f>IFERROR((((COUNTIF('Elève (6ème3)'!JT11:JV11,"A"))*4)+((COUNTIF('Elève (6ème3)'!JT11:JV11,"B"))*3)+((COUNTIF('Elève (6ème3)'!JT11:JV11,"C"))*2)+((COUNTIF('Elève (6ème3)'!JT11:JV11,"D"))*1))/(COUNTA(JT11:JV11)),"")</f>
        <v/>
      </c>
      <c r="JX11" s="187" t="str">
        <f t="shared" si="65"/>
        <v/>
      </c>
      <c r="JY11" s="120"/>
      <c r="JZ11" s="121" t="s">
        <v>23</v>
      </c>
      <c r="KA11" s="122"/>
      <c r="KB11" s="188">
        <f>IFERROR((((COUNTIF('Elève (6ème3)'!JY11:KA11,"A"))*4)+((COUNTIF('Elève (6ème3)'!JY11:KA11,"B"))*3)+((COUNTIF('Elève (6ème3)'!JY11:KA11,"C"))*2)+((COUNTIF('Elève (6ème3)'!JY11:KA11,"D"))*1))/(COUNTA(JY11:KA11)),"")</f>
        <v>4</v>
      </c>
      <c r="KC11" s="187" t="str">
        <f t="shared" si="66"/>
        <v>A</v>
      </c>
      <c r="KD11" s="188">
        <f>IF(COUNT(JR11,JW11,KB11)=0,"",SUM(JR11,JW11,KB11)/COUNT(JR11,JW11,KB11))</f>
        <v>4</v>
      </c>
      <c r="KE11" s="210" t="str">
        <f t="shared" si="67"/>
        <v>A</v>
      </c>
      <c r="KF11" s="125"/>
      <c r="KG11" s="121"/>
      <c r="KH11" s="122"/>
      <c r="KI11" s="188" t="str">
        <f>IFERROR((((COUNTIF('Elève (6ème3)'!KF11:KH11,"A"))*4)+((COUNTIF('Elève (6ème3)'!KF11:KH11,"B"))*3)+((COUNTIF('Elève (6ème3)'!KF11:KH11,"C"))*2)+((COUNTIF('Elève (6ème3)'!KF11:KH11,"D"))*1))/(COUNTA(KF11:KH11)),"")</f>
        <v/>
      </c>
      <c r="KJ11" s="187" t="str">
        <f t="shared" si="68"/>
        <v/>
      </c>
      <c r="KK11" s="120"/>
      <c r="KL11" s="121"/>
      <c r="KM11" s="122"/>
      <c r="KN11" s="188" t="str">
        <f>IFERROR((((COUNTIF('Elève (6ème3)'!KK11:KM11,"A"))*4)+((COUNTIF('Elève (6ème3)'!KK11:KM11,"B"))*3)+((COUNTIF('Elève (6ème3)'!KK11:KM11,"C"))*2)+((COUNTIF('Elève (6ème3)'!KK11:KM11,"D"))*1))/(COUNTA(KK11:KM11)),"")</f>
        <v/>
      </c>
      <c r="KO11" s="187" t="str">
        <f t="shared" si="69"/>
        <v/>
      </c>
      <c r="KP11" s="120"/>
      <c r="KQ11" s="121" t="s">
        <v>24</v>
      </c>
      <c r="KR11" s="122"/>
      <c r="KS11" s="188">
        <f>IFERROR((((COUNTIF('Elève (6ème3)'!KP11:KR11,"A"))*4)+((COUNTIF('Elève (6ème3)'!KP11:KR11,"B"))*3)+((COUNTIF('Elève (6ème3)'!KP11:KR11,"C"))*2)+((COUNTIF('Elève (6ème3)'!KP11:KR11,"D"))*1))/(COUNTA(KP11:KR11)),"")</f>
        <v>3</v>
      </c>
      <c r="KT11" s="187" t="str">
        <f t="shared" si="70"/>
        <v>B</v>
      </c>
      <c r="KU11" s="188">
        <f>IF(COUNT(KI11,KN11,KS11)=0,"",SUM(KI11,KN11,KS11)/COUNT(KI11,KN11,KS11))</f>
        <v>3</v>
      </c>
      <c r="KV11" s="210" t="str">
        <f t="shared" si="71"/>
        <v>B</v>
      </c>
      <c r="KW11" s="125"/>
      <c r="KX11" s="121"/>
      <c r="KY11" s="122"/>
      <c r="KZ11" s="188" t="str">
        <f>IFERROR((((COUNTIF('Elève (6ème3)'!KW11:KY11,"A"))*4)+((COUNTIF('Elève (6ème3)'!KW11:KY11,"B"))*3)+((COUNTIF('Elève (6ème3)'!KW11:KY11,"C"))*2)+((COUNTIF('Elève (6ème3)'!KW11:KY11,"D"))*1))/(COUNTA(KW11:KY11)),"")</f>
        <v/>
      </c>
      <c r="LA11" s="187" t="str">
        <f t="shared" si="72"/>
        <v/>
      </c>
      <c r="LB11" s="120"/>
      <c r="LC11" s="121"/>
      <c r="LD11" s="122"/>
      <c r="LE11" s="188" t="str">
        <f>IFERROR((((COUNTIF('Elève (6ème3)'!LB11:LD11,"A"))*4)+((COUNTIF('Elève (6ème3)'!LB11:LD11,"B"))*3)+((COUNTIF('Elève (6ème3)'!LB11:LD11,"C"))*2)+((COUNTIF('Elève (6ème3)'!LB11:LD11,"D"))*1))/(COUNTA(LB11:LD11)),"")</f>
        <v/>
      </c>
      <c r="LF11" s="187" t="str">
        <f t="shared" si="73"/>
        <v/>
      </c>
      <c r="LG11" s="120"/>
      <c r="LH11" s="121" t="s">
        <v>24</v>
      </c>
      <c r="LI11" s="122"/>
      <c r="LJ11" s="188">
        <f>IFERROR((((COUNTIF('Elève (6ème3)'!LG11:LI11,"A"))*4)+((COUNTIF('Elève (6ème3)'!LG11:LI11,"B"))*3)+((COUNTIF('Elève (6ème3)'!LG11:LI11,"C"))*2)+((COUNTIF('Elève (6ème3)'!LG11:LI11,"D"))*1))/(COUNTA(LG11:LI11)),"")</f>
        <v>3</v>
      </c>
      <c r="LK11" s="187" t="str">
        <f t="shared" si="74"/>
        <v>B</v>
      </c>
      <c r="LL11" s="188">
        <f>IF(COUNT(KZ11,LE11,LJ11)=0,"",SUM(KZ11,LE11,LJ11)/COUNT(KZ11,LE11,LJ11))</f>
        <v>3</v>
      </c>
      <c r="LM11" s="210" t="str">
        <f t="shared" si="75"/>
        <v>B</v>
      </c>
      <c r="LN11" s="125"/>
      <c r="LO11" s="121"/>
      <c r="LP11" s="122"/>
      <c r="LQ11" s="188" t="str">
        <f>IFERROR((((COUNTIF('Elève (6ème3)'!LN11:LP11,"A"))*4)+((COUNTIF('Elève (6ème3)'!LN11:LP11,"B"))*3)+((COUNTIF('Elève (6ème3)'!LN11:LP11,"C"))*2)+((COUNTIF('Elève (6ème3)'!LN11:LP11,"D"))*1))/(COUNTA(LN11:LP11)),"")</f>
        <v/>
      </c>
      <c r="LR11" s="187" t="str">
        <f t="shared" si="76"/>
        <v/>
      </c>
      <c r="LS11" s="120"/>
      <c r="LT11" s="121"/>
      <c r="LU11" s="122"/>
      <c r="LV11" s="188" t="str">
        <f>IFERROR((((COUNTIF('Elève (6ème3)'!LS11:LU11,"A"))*4)+((COUNTIF('Elève (6ème3)'!LS11:LU11,"B"))*3)+((COUNTIF('Elève (6ème3)'!LS11:LU11,"C"))*2)+((COUNTIF('Elève (6ème3)'!LS11:LU11,"D"))*1))/(COUNTA(LS11:LU11)),"")</f>
        <v/>
      </c>
      <c r="LW11" s="187" t="str">
        <f t="shared" si="77"/>
        <v/>
      </c>
      <c r="LX11" s="120"/>
      <c r="LY11" s="121" t="s">
        <v>24</v>
      </c>
      <c r="LZ11" s="122"/>
      <c r="MA11" s="188">
        <f>IFERROR((((COUNTIF('Elève (6ème3)'!LX11:LZ11,"A"))*4)+((COUNTIF('Elève (6ème3)'!LX11:LZ11,"B"))*3)+((COUNTIF('Elève (6ème3)'!LX11:LZ11,"C"))*2)+((COUNTIF('Elève (6ème3)'!LX11:LZ11,"D"))*1))/(COUNTA(LX11:LZ11)),"")</f>
        <v>3</v>
      </c>
      <c r="MB11" s="187" t="str">
        <f t="shared" si="78"/>
        <v>B</v>
      </c>
      <c r="MC11" s="188">
        <f>IF(COUNT(LQ11,LV11,MA11)=0,"",SUM(LQ11,LV11,MA11)/COUNT(LQ11,LV11,MA11))</f>
        <v>3</v>
      </c>
      <c r="MD11" s="210" t="str">
        <f t="shared" si="79"/>
        <v>B</v>
      </c>
      <c r="ME11" s="125"/>
      <c r="MF11" s="121"/>
      <c r="MG11" s="122"/>
      <c r="MH11" s="188" t="str">
        <f>IFERROR((((COUNTIF('Elève (6ème3)'!ME11:MG11,"A"))*4)+((COUNTIF('Elève (6ème3)'!ME11:MG11,"B"))*3)+((COUNTIF('Elève (6ème3)'!ME11:MG11,"C"))*2)+((COUNTIF('Elève (6ème3)'!ME11:MG11,"D"))*1))/(COUNTA(ME11:MG11)),"")</f>
        <v/>
      </c>
      <c r="MI11" s="187" t="str">
        <f t="shared" si="80"/>
        <v/>
      </c>
      <c r="MJ11" s="120"/>
      <c r="MK11" s="121"/>
      <c r="ML11" s="122"/>
      <c r="MM11" s="188" t="str">
        <f>IFERROR((((COUNTIF('Elève (6ème3)'!MJ11:ML11,"A"))*4)+((COUNTIF('Elève (6ème3)'!MJ11:ML11,"B"))*3)+((COUNTIF('Elève (6ème3)'!MJ11:ML11,"C"))*2)+((COUNTIF('Elève (6ème3)'!MJ11:ML11,"D"))*1))/(COUNTA(MJ11:ML11)),"")</f>
        <v/>
      </c>
      <c r="MN11" s="187" t="str">
        <f t="shared" si="81"/>
        <v/>
      </c>
      <c r="MO11" s="120"/>
      <c r="MP11" s="121" t="s">
        <v>26</v>
      </c>
      <c r="MQ11" s="122"/>
      <c r="MR11" s="188">
        <f>IFERROR((((COUNTIF('Elève (6ème3)'!MO11:MQ11,"A"))*4)+((COUNTIF('Elève (6ème3)'!MO11:MQ11,"B"))*3)+((COUNTIF('Elève (6ème3)'!MO11:MQ11,"C"))*2)+((COUNTIF('Elève (6ème3)'!MO11:MQ11,"D"))*1))/(COUNTA(MO11:MQ11)),"")</f>
        <v>1</v>
      </c>
      <c r="MS11" s="187" t="str">
        <f t="shared" si="82"/>
        <v>D</v>
      </c>
      <c r="MT11" s="188">
        <f>IF(COUNT(MH11,MM11,MR11)=0,"",SUM(MH11,MM11,MR11)/COUNT(MH11,MM11,MR11))</f>
        <v>1</v>
      </c>
      <c r="MU11" s="210" t="str">
        <f t="shared" si="83"/>
        <v>D</v>
      </c>
      <c r="MV11" s="125"/>
      <c r="MW11" s="121"/>
      <c r="MX11" s="122"/>
      <c r="MY11" s="188" t="str">
        <f>IFERROR((((COUNTIF('Elève (6ème3)'!MV11:MX11,"A"))*4)+((COUNTIF('Elève (6ème3)'!MV11:MX11,"B"))*3)+((COUNTIF('Elève (6ème3)'!MV11:MX11,"C"))*2)+((COUNTIF('Elève (6ème3)'!MV11:MX11,"D"))*1))/(COUNTA(MV11:MX11)),"")</f>
        <v/>
      </c>
      <c r="MZ11" s="187" t="str">
        <f t="shared" si="84"/>
        <v/>
      </c>
      <c r="NA11" s="120"/>
      <c r="NB11" s="121"/>
      <c r="NC11" s="122"/>
      <c r="ND11" s="188" t="str">
        <f>IFERROR((((COUNTIF('Elève (6ème3)'!NA11:NC11,"A"))*4)+((COUNTIF('Elève (6ème3)'!NA11:NC11,"B"))*3)+((COUNTIF('Elève (6ème3)'!NA11:NC11,"C"))*2)+((COUNTIF('Elève (6ème3)'!NA11:NC11,"D"))*1))/(COUNTA(NA11:NC11)),"")</f>
        <v/>
      </c>
      <c r="NE11" s="187" t="str">
        <f t="shared" si="85"/>
        <v/>
      </c>
      <c r="NF11" s="120"/>
      <c r="NG11" s="121" t="s">
        <v>24</v>
      </c>
      <c r="NH11" s="122"/>
      <c r="NI11" s="188">
        <f>IFERROR((((COUNTIF('Elève (6ème3)'!NF11:NH11,"A"))*4)+((COUNTIF('Elève (6ème3)'!NF11:NH11,"B"))*3)+((COUNTIF('Elève (6ème3)'!NF11:NH11,"C"))*2)+((COUNTIF('Elève (6ème3)'!NF11:NH11,"D"))*1))/(COUNTA(NF11:NH11)),"")</f>
        <v>3</v>
      </c>
      <c r="NJ11" s="187" t="str">
        <f t="shared" si="86"/>
        <v>B</v>
      </c>
      <c r="NK11" s="188">
        <f>IF(COUNT(MY11,ND11,NI11)=0,"",SUM(MY11,ND11,NI11)/COUNT(MY11,ND11,NI11))</f>
        <v>3</v>
      </c>
      <c r="NL11" s="210" t="str">
        <f t="shared" si="87"/>
        <v>B</v>
      </c>
      <c r="NM11" s="125"/>
      <c r="NN11" s="121"/>
      <c r="NO11" s="122"/>
      <c r="NP11" s="188" t="str">
        <f>IFERROR((((COUNTIF('Elève (6ème3)'!NM11:NO11,"A"))*4)+((COUNTIF('Elève (6ème3)'!NM11:NO11,"B"))*3)+((COUNTIF('Elève (6ème3)'!NM11:NO11,"C"))*2)+((COUNTIF('Elève (6ème3)'!NM11:NO11,"D"))*1))/(COUNTA(NM11:NO11)),"")</f>
        <v/>
      </c>
      <c r="NQ11" s="187" t="str">
        <f t="shared" si="88"/>
        <v/>
      </c>
      <c r="NR11" s="120"/>
      <c r="NS11" s="121"/>
      <c r="NT11" s="122"/>
      <c r="NU11" s="188" t="str">
        <f>IFERROR((((COUNTIF('Elève (6ème3)'!NR11:NT11,"A"))*4)+((COUNTIF('Elève (6ème3)'!NR11:NT11,"B"))*3)+((COUNTIF('Elève (6ème3)'!NR11:NT11,"C"))*2)+((COUNTIF('Elève (6ème3)'!NR11:NT11,"D"))*1))/(COUNTA(NR11:NT11)),"")</f>
        <v/>
      </c>
      <c r="NV11" s="187" t="str">
        <f t="shared" si="89"/>
        <v/>
      </c>
      <c r="NW11" s="120"/>
      <c r="NX11" s="121" t="s">
        <v>24</v>
      </c>
      <c r="NY11" s="122"/>
      <c r="NZ11" s="188">
        <f>IFERROR((((COUNTIF('Elève (6ème3)'!NW11:NY11,"A"))*4)+((COUNTIF('Elève (6ème3)'!NW11:NY11,"B"))*3)+((COUNTIF('Elève (6ème3)'!NW11:NY11,"C"))*2)+((COUNTIF('Elève (6ème3)'!NW11:NY11,"D"))*1))/(COUNTA(NW11:NY11)),"")</f>
        <v>3</v>
      </c>
      <c r="OA11" s="187" t="str">
        <f t="shared" si="90"/>
        <v>B</v>
      </c>
      <c r="OB11" s="188">
        <f>IF(COUNT(NP11,NU11,NZ11)=0,"",SUM(NP11,NU11,NZ11)/COUNT(NP11,NU11,NZ11))</f>
        <v>3</v>
      </c>
      <c r="OC11" s="210" t="str">
        <f t="shared" si="91"/>
        <v>B</v>
      </c>
      <c r="OD11" s="125"/>
      <c r="OE11" s="121"/>
      <c r="OF11" s="122"/>
      <c r="OG11" s="188" t="str">
        <f>IFERROR((((COUNTIF('Elève (6ème3)'!OD11:OF11,"A"))*4)+((COUNTIF('Elève (6ème3)'!OD11:OF11,"B"))*3)+((COUNTIF('Elève (6ème3)'!OD11:OF11,"C"))*2)+((COUNTIF('Elève (6ème3)'!OD11:OF11,"D"))*1))/(COUNTA(OD11:OF11)),"")</f>
        <v/>
      </c>
      <c r="OH11" s="187" t="str">
        <f t="shared" si="92"/>
        <v/>
      </c>
      <c r="OI11" s="120"/>
      <c r="OJ11" s="121"/>
      <c r="OK11" s="122"/>
      <c r="OL11" s="188" t="str">
        <f>IFERROR((((COUNTIF('Elève (6ème3)'!OI11:OK11,"A"))*4)+((COUNTIF('Elève (6ème3)'!OI11:OK11,"B"))*3)+((COUNTIF('Elève (6ème3)'!OI11:OK11,"C"))*2)+((COUNTIF('Elève (6ème3)'!OI11:OK11,"D"))*1))/(COUNTA(OI11:OK11)),"")</f>
        <v/>
      </c>
      <c r="OM11" s="187" t="str">
        <f t="shared" si="93"/>
        <v/>
      </c>
      <c r="ON11" s="120"/>
      <c r="OO11" s="121" t="s">
        <v>24</v>
      </c>
      <c r="OP11" s="122"/>
      <c r="OQ11" s="188">
        <f>IFERROR((((COUNTIF('Elève (6ème3)'!ON11:OP11,"A"))*4)+((COUNTIF('Elève (6ème3)'!ON11:OP11,"B"))*3)+((COUNTIF('Elève (6ème3)'!ON11:OP11,"C"))*2)+((COUNTIF('Elève (6ème3)'!ON11:OP11,"D"))*1))/(COUNTA(ON11:OP11)),"")</f>
        <v>3</v>
      </c>
      <c r="OR11" s="187" t="str">
        <f t="shared" si="94"/>
        <v>B</v>
      </c>
      <c r="OS11" s="188">
        <f>IF(COUNT(OG11,OL11,OQ11)=0,"",SUM(OG11,OL11,OQ11)/COUNT(OG11,OL11,OQ11))</f>
        <v>3</v>
      </c>
      <c r="OT11" s="210" t="str">
        <f t="shared" si="95"/>
        <v>B</v>
      </c>
      <c r="OU11" s="125"/>
      <c r="OV11" s="121"/>
      <c r="OW11" s="122"/>
      <c r="OX11" s="188" t="str">
        <f>IFERROR((((COUNTIF('Elève (6ème3)'!OU11:OW11,"A"))*4)+((COUNTIF('Elève (6ème3)'!OU11:OW11,"B"))*3)+((COUNTIF('Elève (6ème3)'!OU11:OW11,"C"))*2)+((COUNTIF('Elève (6ème3)'!OU11:OW11,"D"))*1))/(COUNTA(OU11:OW11)),"")</f>
        <v/>
      </c>
      <c r="OY11" s="187" t="str">
        <f t="shared" si="96"/>
        <v/>
      </c>
      <c r="OZ11" s="120"/>
      <c r="PA11" s="121"/>
      <c r="PB11" s="122"/>
      <c r="PC11" s="188" t="str">
        <f>IFERROR((((COUNTIF('Elève (6ème3)'!OZ11:PB11,"A"))*4)+((COUNTIF('Elève (6ème3)'!OZ11:PB11,"B"))*3)+((COUNTIF('Elève (6ème3)'!OZ11:PB11,"C"))*2)+((COUNTIF('Elève (6ème3)'!OZ11:PB11,"D"))*1))/(COUNTA(OZ11:PB11)),"")</f>
        <v/>
      </c>
      <c r="PD11" s="187" t="str">
        <f t="shared" si="97"/>
        <v/>
      </c>
      <c r="PE11" s="120"/>
      <c r="PF11" s="121" t="s">
        <v>24</v>
      </c>
      <c r="PG11" s="122"/>
      <c r="PH11" s="188">
        <f>IFERROR((((COUNTIF('Elève (6ème3)'!PE11:PG11,"A"))*4)+((COUNTIF('Elève (6ème3)'!PE11:PG11,"B"))*3)+((COUNTIF('Elève (6ème3)'!PE11:PG11,"C"))*2)+((COUNTIF('Elève (6ème3)'!PE11:PG11,"D"))*1))/(COUNTA(PE11:PG11)),"")</f>
        <v>3</v>
      </c>
      <c r="PI11" s="187" t="str">
        <f t="shared" si="98"/>
        <v>B</v>
      </c>
      <c r="PJ11" s="188">
        <f>IF(COUNT(OX11,PC11,PH11)=0,"",SUM(OX11,PC11,PH11)/COUNT(OX11,PC11,PH11))</f>
        <v>3</v>
      </c>
      <c r="PK11" s="210" t="str">
        <f t="shared" si="99"/>
        <v>B</v>
      </c>
      <c r="PL11" s="125"/>
      <c r="PM11" s="121"/>
      <c r="PN11" s="122"/>
      <c r="PO11" s="188" t="str">
        <f>IFERROR((((COUNTIF('Elève (6ème3)'!PL11:PN11,"A"))*4)+((COUNTIF('Elève (6ème3)'!PL11:PN11,"B"))*3)+((COUNTIF('Elève (6ème3)'!PL11:PN11,"C"))*2)+((COUNTIF('Elève (6ème3)'!PL11:PN11,"D"))*1))/(COUNTA(PL11:PN11)),"")</f>
        <v/>
      </c>
      <c r="PP11" s="187" t="str">
        <f t="shared" si="100"/>
        <v/>
      </c>
      <c r="PQ11" s="120"/>
      <c r="PR11" s="121"/>
      <c r="PS11" s="122"/>
      <c r="PT11" s="188" t="str">
        <f>IFERROR((((COUNTIF('Elève (6ème3)'!PQ11:PS11,"A"))*4)+((COUNTIF('Elève (6ème3)'!PQ11:PS11,"B"))*3)+((COUNTIF('Elève (6ème3)'!PQ11:PS11,"C"))*2)+((COUNTIF('Elève (6ème3)'!PQ11:PS11,"D"))*1))/(COUNTA(PQ11:PS11)),"")</f>
        <v/>
      </c>
      <c r="PU11" s="187" t="str">
        <f t="shared" si="101"/>
        <v/>
      </c>
      <c r="PV11" s="120"/>
      <c r="PW11" s="121" t="s">
        <v>24</v>
      </c>
      <c r="PX11" s="122"/>
      <c r="PY11" s="188">
        <f>IFERROR((((COUNTIF('Elève (6ème3)'!PV11:PX11,"A"))*4)+((COUNTIF('Elève (6ème3)'!PV11:PX11,"B"))*3)+((COUNTIF('Elève (6ème3)'!PV11:PX11,"C"))*2)+((COUNTIF('Elève (6ème3)'!PV11:PX11,"D"))*1))/(COUNTA(PV11:PX11)),"")</f>
        <v>3</v>
      </c>
      <c r="PZ11" s="187" t="str">
        <f t="shared" si="102"/>
        <v>B</v>
      </c>
      <c r="QA11" s="188">
        <f>IF(COUNT(PO11,PT11,PY11)=0,"",SUM(PO11,PT11,PY11)/COUNT(PO11,PT11,PY11))</f>
        <v>3</v>
      </c>
      <c r="QB11" s="210" t="str">
        <f t="shared" si="103"/>
        <v>B</v>
      </c>
      <c r="QC11" s="125"/>
      <c r="QD11" s="121"/>
      <c r="QE11" s="122"/>
      <c r="QF11" s="188" t="str">
        <f>IFERROR((((COUNTIF('Elève (6ème3)'!QC11:QE11,"A"))*4)+((COUNTIF('Elève (6ème3)'!QC11:QE11,"B"))*3)+((COUNTIF('Elève (6ème3)'!QC11:QE11,"C"))*2)+((COUNTIF('Elève (6ème3)'!QC11:QE11,"D"))*1))/(COUNTA(QC11:QE11)),"")</f>
        <v/>
      </c>
      <c r="QG11" s="187" t="str">
        <f t="shared" si="104"/>
        <v/>
      </c>
      <c r="QH11" s="120"/>
      <c r="QI11" s="121"/>
      <c r="QJ11" s="122"/>
      <c r="QK11" s="188" t="str">
        <f>IFERROR((((COUNTIF('Elève (6ème3)'!QH11:QJ11,"A"))*4)+((COUNTIF('Elève (6ème3)'!QH11:QJ11,"B"))*3)+((COUNTIF('Elève (6ème3)'!QH11:QJ11,"C"))*2)+((COUNTIF('Elève (6ème3)'!QH11:QJ11,"D"))*1))/(COUNTA(QH11:QJ11)),"")</f>
        <v/>
      </c>
      <c r="QL11" s="187" t="str">
        <f t="shared" si="105"/>
        <v/>
      </c>
      <c r="QM11" s="120"/>
      <c r="QN11" s="121" t="s">
        <v>24</v>
      </c>
      <c r="QO11" s="122"/>
      <c r="QP11" s="188">
        <f>IFERROR((((COUNTIF('Elève (6ème3)'!QM11:QO11,"A"))*4)+((COUNTIF('Elève (6ème3)'!QM11:QO11,"B"))*3)+((COUNTIF('Elève (6ème3)'!QM11:QO11,"C"))*2)+((COUNTIF('Elève (6ème3)'!QM11:QO11,"D"))*1))/(COUNTA(QM11:QO11)),"")</f>
        <v>3</v>
      </c>
      <c r="QQ11" s="187" t="str">
        <f t="shared" si="106"/>
        <v>B</v>
      </c>
      <c r="QR11" s="188">
        <f>IF(COUNT(QF11,QK11,QP11)=0,"",SUM(QF11,QK11,QP11)/COUNT(QF11,QK11,QP11))</f>
        <v>3</v>
      </c>
      <c r="QS11" s="210" t="str">
        <f t="shared" si="107"/>
        <v>B</v>
      </c>
      <c r="QT11" s="125"/>
      <c r="QU11" s="121"/>
      <c r="QV11" s="122"/>
      <c r="QW11" s="123" t="str">
        <f>IFERROR((((COUNTIF('Elève (6ème3)'!QT11:QV11,"A"))*4)+((COUNTIF('Elève (6ème3)'!QT11:QV11,"B"))*3)+((COUNTIF('Elève (6ème3)'!QT11:QV11,"C"))*2)+((COUNTIF('Elève (6ème3)'!QT11:QV11,"D"))*1))/(COUNTA(QT11:QV11)),"")</f>
        <v/>
      </c>
      <c r="QX11" s="118" t="str">
        <f t="shared" si="108"/>
        <v/>
      </c>
      <c r="QY11" s="120"/>
      <c r="QZ11" s="121"/>
      <c r="RA11" s="122"/>
      <c r="RB11" s="123" t="str">
        <f>IFERROR((((COUNTIF('Elève (6ème3)'!QY11:RA11,"A"))*4)+((COUNTIF('Elève (6ème3)'!QY11:RA11,"B"))*3)+((COUNTIF('Elève (6ème3)'!QY11:RA11,"C"))*2)+((COUNTIF('Elève (6ème3)'!QY11:RA11,"D"))*1))/(COUNTA(QY11:RA11)),"")</f>
        <v/>
      </c>
      <c r="RC11" s="118" t="str">
        <f t="shared" si="109"/>
        <v/>
      </c>
      <c r="RD11" s="120"/>
      <c r="RE11" s="121"/>
      <c r="RF11" s="122"/>
      <c r="RG11" s="123" t="str">
        <f>IFERROR((((COUNTIF('Elève (6ème3)'!RD11:RF11,"A"))*4)+((COUNTIF('Elève (6ème3)'!RD11:RF11,"B"))*3)+((COUNTIF('Elève (6ème3)'!RD11:RF11,"C"))*2)+((COUNTIF('Elève (6ème3)'!RD11:RF11,"D"))*1))/(COUNTA(RD11:RF11)),"")</f>
        <v/>
      </c>
      <c r="RH11" s="118" t="str">
        <f t="shared" si="110"/>
        <v/>
      </c>
      <c r="RI11" s="123" t="str">
        <f>IF(COUNT(QW11,RB11,RG11)=0,"",SUM(QW11,RB11,RG11)/COUNT(QW11,RB11,RG11))</f>
        <v/>
      </c>
      <c r="RJ11" s="124" t="str">
        <f t="shared" si="111"/>
        <v/>
      </c>
      <c r="RK11" s="125"/>
      <c r="RL11" s="121"/>
      <c r="RM11" s="122"/>
      <c r="RN11" s="123" t="str">
        <f>IFERROR((((COUNTIF('Elève (6ème3)'!RK11:RM11,"A"))*4)+((COUNTIF('Elève (6ème3)'!RK11:RM11,"B"))*3)+((COUNTIF('Elève (6ème3)'!RK11:RM11,"C"))*2)+((COUNTIF('Elève (6ème3)'!RK11:RM11,"D"))*1))/(COUNTA(RK11:RM11)),"")</f>
        <v/>
      </c>
      <c r="RO11" s="118" t="str">
        <f t="shared" si="112"/>
        <v/>
      </c>
      <c r="RP11" s="120"/>
      <c r="RQ11" s="121"/>
      <c r="RR11" s="122"/>
      <c r="RS11" s="123" t="str">
        <f>IFERROR((((COUNTIF('Elève (6ème3)'!RP11:RR11,"A"))*4)+((COUNTIF('Elève (6ème3)'!RP11:RR11,"B"))*3)+((COUNTIF('Elève (6ème3)'!RP11:RR11,"C"))*2)+((COUNTIF('Elève (6ème3)'!RP11:RR11,"D"))*1))/(COUNTA(RP11:RR11)),"")</f>
        <v/>
      </c>
      <c r="RT11" s="118" t="str">
        <f t="shared" si="113"/>
        <v/>
      </c>
      <c r="RU11" s="120"/>
      <c r="RV11" s="121"/>
      <c r="RW11" s="122"/>
      <c r="RX11" s="123" t="str">
        <f>IFERROR((((COUNTIF('Elève (6ème3)'!RU11:RW11,"A"))*4)+((COUNTIF('Elève (6ème3)'!RU11:RW11,"B"))*3)+((COUNTIF('Elève (6ème3)'!RU11:RW11,"C"))*2)+((COUNTIF('Elève (6ème3)'!RU11:RW11,"D"))*1))/(COUNTA(RU11:RW11)),"")</f>
        <v/>
      </c>
      <c r="RY11" s="118" t="str">
        <f t="shared" si="114"/>
        <v/>
      </c>
      <c r="RZ11" s="123" t="str">
        <f>IF(COUNT(RN11,RS11,RX11)=0,"",SUM(RN11,RS11,RX11)/COUNT(RN11,RS11,RX11))</f>
        <v/>
      </c>
      <c r="SA11" s="124" t="str">
        <f t="shared" si="115"/>
        <v/>
      </c>
      <c r="SB11" s="125"/>
      <c r="SC11" s="121"/>
      <c r="SD11" s="122"/>
      <c r="SE11" s="123" t="str">
        <f>IFERROR((((COUNTIF('Elève (6ème3)'!SB11:SD11,"A"))*4)+((COUNTIF('Elève (6ème3)'!SB11:SD11,"B"))*3)+((COUNTIF('Elève (6ème3)'!SB11:SD11,"C"))*2)+((COUNTIF('Elève (6ème3)'!SB11:SD11,"D"))*1))/(COUNTA(SB11:SD11)),"")</f>
        <v/>
      </c>
      <c r="SF11" s="118" t="str">
        <f t="shared" si="116"/>
        <v/>
      </c>
      <c r="SG11" s="120"/>
      <c r="SH11" s="121"/>
      <c r="SI11" s="122"/>
      <c r="SJ11" s="123" t="str">
        <f>IFERROR((((COUNTIF('Elève (6ème3)'!SG11:SI11,"A"))*4)+((COUNTIF('Elève (6ème3)'!SG11:SI11,"B"))*3)+((COUNTIF('Elève (6ème3)'!SG11:SI11,"C"))*2)+((COUNTIF('Elève (6ème3)'!SG11:SI11,"D"))*1))/(COUNTA(SG11:SI11)),"")</f>
        <v/>
      </c>
      <c r="SK11" s="118" t="str">
        <f t="shared" si="117"/>
        <v/>
      </c>
      <c r="SL11" s="120"/>
      <c r="SM11" s="121"/>
      <c r="SN11" s="122"/>
      <c r="SO11" s="123" t="str">
        <f>IFERROR((((COUNTIF('Elève (6ème3)'!SL11:SN11,"A"))*4)+((COUNTIF('Elève (6ème3)'!SL11:SN11,"B"))*3)+((COUNTIF('Elève (6ème3)'!SL11:SN11,"C"))*2)+((COUNTIF('Elève (6ème3)'!SL11:SN11,"D"))*1))/(COUNTA(SL11:SN11)),"")</f>
        <v/>
      </c>
      <c r="SP11" s="118" t="str">
        <f t="shared" si="118"/>
        <v/>
      </c>
      <c r="SQ11" s="123" t="str">
        <f>IF(COUNT(SE11,SJ11,SO11)=0,"",SUM(SE11,SJ11,SO11)/COUNT(SE11,SJ11,SO11))</f>
        <v/>
      </c>
      <c r="SR11" s="124" t="str">
        <f t="shared" si="119"/>
        <v/>
      </c>
      <c r="SS11" s="125"/>
      <c r="ST11" s="121"/>
      <c r="SU11" s="122"/>
      <c r="SV11" s="123" t="str">
        <f>IFERROR((((COUNTIF('Elève (6ème3)'!SS11:SU11,"A"))*4)+((COUNTIF('Elève (6ème3)'!SS11:SU11,"B"))*3)+((COUNTIF('Elève (6ème3)'!SS11:SU11,"C"))*2)+((COUNTIF('Elève (6ème3)'!SS11:SU11,"D"))*1))/(COUNTA(SS11:SU11)),"")</f>
        <v/>
      </c>
      <c r="SW11" s="118" t="str">
        <f t="shared" si="120"/>
        <v/>
      </c>
      <c r="SX11" s="120"/>
      <c r="SY11" s="121"/>
      <c r="SZ11" s="122"/>
      <c r="TA11" s="123" t="str">
        <f>IFERROR((((COUNTIF('Elève (6ème3)'!SX11:SZ11,"A"))*4)+((COUNTIF('Elève (6ème3)'!SX11:SZ11,"B"))*3)+((COUNTIF('Elève (6ème3)'!SX11:SZ11,"C"))*2)+((COUNTIF('Elève (6ème3)'!SX11:SZ11,"D"))*1))/(COUNTA(SX11:SZ11)),"")</f>
        <v/>
      </c>
      <c r="TB11" s="118" t="str">
        <f t="shared" si="121"/>
        <v/>
      </c>
      <c r="TC11" s="120"/>
      <c r="TD11" s="121"/>
      <c r="TE11" s="122"/>
      <c r="TF11" s="123" t="str">
        <f>IFERROR((((COUNTIF('Elève (6ème3)'!TC11:TE11,"A"))*4)+((COUNTIF('Elève (6ème3)'!TC11:TE11,"B"))*3)+((COUNTIF('Elève (6ème3)'!TC11:TE11,"C"))*2)+((COUNTIF('Elève (6ème3)'!TC11:TE11,"D"))*1))/(COUNTA(TC11:TE11)),"")</f>
        <v/>
      </c>
      <c r="TG11" s="118" t="str">
        <f t="shared" si="122"/>
        <v/>
      </c>
      <c r="TH11" s="123" t="str">
        <f>IF(COUNT(SV11,TA11,TF11)=0,"",SUM(SV11,TA11,TF11)/COUNT(SV11,TA11,TF11))</f>
        <v/>
      </c>
      <c r="TI11" s="124" t="str">
        <f t="shared" si="123"/>
        <v/>
      </c>
      <c r="TJ11" s="125"/>
      <c r="TK11" s="121"/>
      <c r="TL11" s="122"/>
      <c r="TM11" s="123" t="str">
        <f>IFERROR((((COUNTIF('Elève (6ème3)'!TJ11:TL11,"A"))*4)+((COUNTIF('Elève (6ème3)'!TJ11:TL11,"B"))*3)+((COUNTIF('Elève (6ème3)'!TJ11:TL11,"C"))*2)+((COUNTIF('Elève (6ème3)'!TJ11:TL11,"D"))*1))/(COUNTA(TJ11:TL11)),"")</f>
        <v/>
      </c>
      <c r="TN11" s="118" t="str">
        <f t="shared" si="124"/>
        <v/>
      </c>
      <c r="TO11" s="120"/>
      <c r="TP11" s="121"/>
      <c r="TQ11" s="122"/>
      <c r="TR11" s="123" t="str">
        <f>IFERROR((((COUNTIF('Elève (6ème3)'!TO11:TQ11,"A"))*4)+((COUNTIF('Elève (6ème3)'!TO11:TQ11,"B"))*3)+((COUNTIF('Elève (6ème3)'!TO11:TQ11,"C"))*2)+((COUNTIF('Elève (6ème3)'!TO11:TQ11,"D"))*1))/(COUNTA(TO11:TQ11)),"")</f>
        <v/>
      </c>
      <c r="TS11" s="118" t="str">
        <f t="shared" si="125"/>
        <v/>
      </c>
      <c r="TT11" s="120"/>
      <c r="TU11" s="121"/>
      <c r="TV11" s="122"/>
      <c r="TW11" s="123" t="str">
        <f>IFERROR((((COUNTIF('Elève (6ème3)'!TT11:TV11,"A"))*4)+((COUNTIF('Elève (6ème3)'!TT11:TV11,"B"))*3)+((COUNTIF('Elève (6ème3)'!TT11:TV11,"C"))*2)+((COUNTIF('Elève (6ème3)'!TT11:TV11,"D"))*1))/(COUNTA(TT11:TV11)),"")</f>
        <v/>
      </c>
      <c r="TX11" s="118" t="str">
        <f t="shared" si="126"/>
        <v/>
      </c>
      <c r="TY11" s="123" t="str">
        <f>IF(COUNT(TM11,TR11,TW11)=0,"",SUM(TM11,TR11,TW11)/COUNT(TM11,TR11,TW11))</f>
        <v/>
      </c>
      <c r="TZ11" s="124" t="str">
        <f t="shared" si="127"/>
        <v/>
      </c>
    </row>
    <row r="12" spans="1:546" s="98" customFormat="1" ht="16.5" customHeight="1" thickBot="1" x14ac:dyDescent="0.3">
      <c r="A12" s="164" t="s">
        <v>15</v>
      </c>
      <c r="B12" s="164">
        <v>1</v>
      </c>
      <c r="C12" s="255"/>
      <c r="D12" s="250"/>
      <c r="E12" s="251"/>
      <c r="F12" s="181">
        <f>IF(COUNT(F13:F13)=0,"",SUM(F13:F13)/COUNT(F13:F13))</f>
        <v>4</v>
      </c>
      <c r="G12" s="182" t="str">
        <f t="shared" si="0"/>
        <v>A</v>
      </c>
      <c r="H12" s="252"/>
      <c r="I12" s="250"/>
      <c r="J12" s="251"/>
      <c r="K12" s="181" t="str">
        <f>IF(COUNT(K13:K13)=0,"",SUM(K13:K13)/COUNT(K13:K13))</f>
        <v/>
      </c>
      <c r="L12" s="198" t="str">
        <f t="shared" si="1"/>
        <v/>
      </c>
      <c r="M12" s="247"/>
      <c r="N12" s="245"/>
      <c r="O12" s="246"/>
      <c r="P12" s="181">
        <f>IF(COUNT(P13,#REF!)=0,"",SUM(P13:P13)/COUNT(P13,#REF!))</f>
        <v>2</v>
      </c>
      <c r="Q12" s="205" t="str">
        <f t="shared" si="2"/>
        <v>C</v>
      </c>
      <c r="R12" s="181">
        <f>IF(COUNT(R13:R13)=0,"",SUM(R13:R13)/COUNT(R13:R13))</f>
        <v>3</v>
      </c>
      <c r="S12" s="206" t="str">
        <f t="shared" si="3"/>
        <v>B</v>
      </c>
      <c r="T12" s="250"/>
      <c r="U12" s="250"/>
      <c r="V12" s="251"/>
      <c r="W12" s="181">
        <f>IF(COUNT(W13:W13)=0,"",SUM(W13:W13)/COUNT(W13:W13))</f>
        <v>3</v>
      </c>
      <c r="X12" s="182" t="str">
        <f t="shared" si="4"/>
        <v>B</v>
      </c>
      <c r="Y12" s="252"/>
      <c r="Z12" s="250"/>
      <c r="AA12" s="251"/>
      <c r="AB12" s="181" t="str">
        <f>IF(COUNT(AB13,#REF!)=0,"",SUM(AB13:AB13)/COUNT(AB13,#REF!))</f>
        <v/>
      </c>
      <c r="AC12" s="198" t="str">
        <f t="shared" si="5"/>
        <v/>
      </c>
      <c r="AD12" s="247"/>
      <c r="AE12" s="245"/>
      <c r="AF12" s="246"/>
      <c r="AG12" s="181">
        <f>IF(COUNT(AG13,#REF!)=0,"",SUM(AG13:AG13)/COUNT(AG13,#REF!))</f>
        <v>3</v>
      </c>
      <c r="AH12" s="205" t="str">
        <f t="shared" si="6"/>
        <v>B</v>
      </c>
      <c r="AI12" s="181">
        <f>IF(COUNT(AI13:AI13)=0,"",SUM(AI13:AI13)/COUNT(AI13:AI13))</f>
        <v>3</v>
      </c>
      <c r="AJ12" s="206" t="str">
        <f t="shared" si="7"/>
        <v>B</v>
      </c>
      <c r="AK12" s="250"/>
      <c r="AL12" s="250"/>
      <c r="AM12" s="251"/>
      <c r="AN12" s="181">
        <f>IF(COUNT(AN13:AN13)=0,"",SUM(AN13:AN13)/COUNT(AN13:AN13))</f>
        <v>3</v>
      </c>
      <c r="AO12" s="182" t="str">
        <f t="shared" si="8"/>
        <v>B</v>
      </c>
      <c r="AP12" s="252"/>
      <c r="AQ12" s="250"/>
      <c r="AR12" s="251"/>
      <c r="AS12" s="181" t="str">
        <f>IF(COUNT(AS13,#REF!)=0,"",SUM(AS13:AS13)/COUNT(AS13,#REF!))</f>
        <v/>
      </c>
      <c r="AT12" s="198" t="str">
        <f t="shared" si="9"/>
        <v/>
      </c>
      <c r="AU12" s="247"/>
      <c r="AV12" s="245"/>
      <c r="AW12" s="246"/>
      <c r="AX12" s="181">
        <f>IF(COUNT(AX13,#REF!)=0,"",SUM(AX13:AX13)/COUNT(AX13,#REF!))</f>
        <v>2</v>
      </c>
      <c r="AY12" s="205" t="str">
        <f t="shared" si="10"/>
        <v>C</v>
      </c>
      <c r="AZ12" s="181">
        <f>IF(COUNT(AZ13:AZ13)=0,"",SUM(AZ13:AZ13)/COUNT(AZ13:AZ13))</f>
        <v>2.5</v>
      </c>
      <c r="BA12" s="206" t="str">
        <f t="shared" si="11"/>
        <v>C</v>
      </c>
      <c r="BB12" s="250"/>
      <c r="BC12" s="250"/>
      <c r="BD12" s="251"/>
      <c r="BE12" s="181">
        <f>IF(COUNT(BE13:BE13)=0,"",SUM(BE13:BE13)/COUNT(BE13:BE13))</f>
        <v>3</v>
      </c>
      <c r="BF12" s="182" t="str">
        <f t="shared" si="12"/>
        <v>B</v>
      </c>
      <c r="BG12" s="252"/>
      <c r="BH12" s="250"/>
      <c r="BI12" s="251"/>
      <c r="BJ12" s="181" t="str">
        <f>IF(COUNT(BJ13,#REF!)=0,"",SUM(BJ13:BJ13)/COUNT(BJ13,#REF!))</f>
        <v/>
      </c>
      <c r="BK12" s="198" t="str">
        <f t="shared" si="13"/>
        <v/>
      </c>
      <c r="BL12" s="247"/>
      <c r="BM12" s="245"/>
      <c r="BN12" s="246"/>
      <c r="BO12" s="181">
        <f>IF(COUNT(BO13,#REF!)=0,"",SUM(BO13:BO13)/COUNT(BO13,#REF!))</f>
        <v>3</v>
      </c>
      <c r="BP12" s="205" t="str">
        <f t="shared" si="14"/>
        <v>B</v>
      </c>
      <c r="BQ12" s="181">
        <f>IF(COUNT(BQ13:BQ13)=0,"",SUM(BQ13:BQ13)/COUNT(BQ13:BQ13))</f>
        <v>3</v>
      </c>
      <c r="BR12" s="206" t="str">
        <f t="shared" si="15"/>
        <v>B</v>
      </c>
      <c r="BS12" s="250"/>
      <c r="BT12" s="250"/>
      <c r="BU12" s="251"/>
      <c r="BV12" s="181">
        <f>IF(COUNT(BV13:BV13)=0,"",SUM(BV13:BV13)/COUNT(BV13:BV13))</f>
        <v>1</v>
      </c>
      <c r="BW12" s="182" t="str">
        <f t="shared" si="16"/>
        <v>D</v>
      </c>
      <c r="BX12" s="252"/>
      <c r="BY12" s="250"/>
      <c r="BZ12" s="251"/>
      <c r="CA12" s="181" t="str">
        <f>IF(COUNT(CA13,#REF!)=0,"",SUM(CA13:CA13)/COUNT(CA13,#REF!))</f>
        <v/>
      </c>
      <c r="CB12" s="198" t="str">
        <f t="shared" si="17"/>
        <v/>
      </c>
      <c r="CC12" s="247"/>
      <c r="CD12" s="245"/>
      <c r="CE12" s="246"/>
      <c r="CF12" s="181">
        <f>IF(COUNT(CF13,#REF!)=0,"",SUM(CF13:CF13)/COUNT(CF13,#REF!))</f>
        <v>3</v>
      </c>
      <c r="CG12" s="205" t="str">
        <f t="shared" si="18"/>
        <v>B</v>
      </c>
      <c r="CH12" s="181">
        <f>IF(COUNT(CH13:CH13)=0,"",SUM(CH13:CH13)/COUNT(CH13:CH13))</f>
        <v>2</v>
      </c>
      <c r="CI12" s="206" t="str">
        <f t="shared" si="19"/>
        <v>C</v>
      </c>
      <c r="CJ12" s="250"/>
      <c r="CK12" s="250"/>
      <c r="CL12" s="251"/>
      <c r="CM12" s="181">
        <f>IF(COUNT(CM13:CM13)=0,"",SUM(CM13:CM13)/COUNT(CM13:CM13))</f>
        <v>2</v>
      </c>
      <c r="CN12" s="182" t="str">
        <f t="shared" si="20"/>
        <v>C</v>
      </c>
      <c r="CO12" s="252"/>
      <c r="CP12" s="250"/>
      <c r="CQ12" s="251"/>
      <c r="CR12" s="181" t="str">
        <f>IF(COUNT(CR13,#REF!)=0,"",SUM(CR13:CR13)/COUNT(CR13,#REF!))</f>
        <v/>
      </c>
      <c r="CS12" s="198" t="str">
        <f t="shared" si="21"/>
        <v/>
      </c>
      <c r="CT12" s="247"/>
      <c r="CU12" s="245"/>
      <c r="CV12" s="246"/>
      <c r="CW12" s="181">
        <f>IF(COUNT(CW13,#REF!)=0,"",SUM(CW13:CW13)/COUNT(CW13,#REF!))</f>
        <v>3</v>
      </c>
      <c r="CX12" s="205" t="str">
        <f t="shared" si="22"/>
        <v>B</v>
      </c>
      <c r="CY12" s="181">
        <f>IF(COUNT(CY13:CY13)=0,"",SUM(CY13:CY13)/COUNT(CY13:CY13))</f>
        <v>2.5</v>
      </c>
      <c r="CZ12" s="206" t="str">
        <f t="shared" si="23"/>
        <v>C</v>
      </c>
      <c r="DA12" s="250"/>
      <c r="DB12" s="250"/>
      <c r="DC12" s="251"/>
      <c r="DD12" s="181">
        <f>IF(COUNT(DD13:DD13)=0,"",SUM(DD13:DD13)/COUNT(DD13:DD13))</f>
        <v>3</v>
      </c>
      <c r="DE12" s="182" t="str">
        <f t="shared" si="24"/>
        <v>B</v>
      </c>
      <c r="DF12" s="252"/>
      <c r="DG12" s="250"/>
      <c r="DH12" s="251"/>
      <c r="DI12" s="181" t="str">
        <f>IF(COUNT(DI13,#REF!)=0,"",SUM(DI13:DI13)/COUNT(DI13,#REF!))</f>
        <v/>
      </c>
      <c r="DJ12" s="198" t="str">
        <f t="shared" si="25"/>
        <v/>
      </c>
      <c r="DK12" s="247"/>
      <c r="DL12" s="245"/>
      <c r="DM12" s="246"/>
      <c r="DN12" s="181">
        <f>IF(COUNT(DN13,#REF!)=0,"",SUM(DN13:DN13)/COUNT(DN13,#REF!))</f>
        <v>3</v>
      </c>
      <c r="DO12" s="205" t="str">
        <f t="shared" si="26"/>
        <v>B</v>
      </c>
      <c r="DP12" s="181">
        <f>IF(COUNT(DP13:DP13)=0,"",SUM(DP13:DP13)/COUNT(DP13:DP13))</f>
        <v>3</v>
      </c>
      <c r="DQ12" s="206" t="str">
        <f t="shared" si="27"/>
        <v>B</v>
      </c>
      <c r="DR12" s="250"/>
      <c r="DS12" s="250"/>
      <c r="DT12" s="251"/>
      <c r="DU12" s="181" t="str">
        <f>IF(COUNT(DU13:DU13)=0,"",SUM(DU13:DU13)/COUNT(DU13:DU13))</f>
        <v/>
      </c>
      <c r="DV12" s="182" t="str">
        <f t="shared" si="28"/>
        <v/>
      </c>
      <c r="DW12" s="252"/>
      <c r="DX12" s="250"/>
      <c r="DY12" s="251"/>
      <c r="DZ12" s="181" t="str">
        <f>IF(COUNT(DZ13,#REF!)=0,"",SUM(DZ13:DZ13)/COUNT(DZ13,#REF!))</f>
        <v/>
      </c>
      <c r="EA12" s="198" t="str">
        <f t="shared" si="29"/>
        <v/>
      </c>
      <c r="EB12" s="247"/>
      <c r="EC12" s="245"/>
      <c r="ED12" s="246"/>
      <c r="EE12" s="181">
        <f>IF(COUNT(EE13,#REF!)=0,"",SUM(EE13:EE13)/COUNT(EE13,#REF!))</f>
        <v>3</v>
      </c>
      <c r="EF12" s="205" t="str">
        <f t="shared" si="30"/>
        <v>B</v>
      </c>
      <c r="EG12" s="181">
        <f>IF(COUNT(EG13:EG13)=0,"",SUM(EG13:EG13)/COUNT(EG13:EG13))</f>
        <v>3</v>
      </c>
      <c r="EH12" s="206" t="str">
        <f t="shared" si="31"/>
        <v>B</v>
      </c>
      <c r="EI12" s="250"/>
      <c r="EJ12" s="250"/>
      <c r="EK12" s="251"/>
      <c r="EL12" s="181">
        <f>IF(COUNT(EL13:EL13)=0,"",SUM(EL13:EL13)/COUNT(EL13:EL13))</f>
        <v>2</v>
      </c>
      <c r="EM12" s="182" t="str">
        <f t="shared" si="32"/>
        <v>C</v>
      </c>
      <c r="EN12" s="252"/>
      <c r="EO12" s="250"/>
      <c r="EP12" s="251"/>
      <c r="EQ12" s="181" t="str">
        <f>IF(COUNT(EQ13,#REF!)=0,"",SUM(EQ13:EQ13)/COUNT(EQ13,#REF!))</f>
        <v/>
      </c>
      <c r="ER12" s="198" t="str">
        <f t="shared" si="33"/>
        <v/>
      </c>
      <c r="ES12" s="247"/>
      <c r="ET12" s="245"/>
      <c r="EU12" s="246"/>
      <c r="EV12" s="181">
        <f>IF(COUNT(EV13,#REF!)=0,"",SUM(EV13:EV13)/COUNT(EV13,#REF!))</f>
        <v>2</v>
      </c>
      <c r="EW12" s="205" t="str">
        <f t="shared" si="34"/>
        <v>C</v>
      </c>
      <c r="EX12" s="181">
        <f>IF(COUNT(EX13:EX13)=0,"",SUM(EX13:EX13)/COUNT(EX13:EX13))</f>
        <v>2</v>
      </c>
      <c r="EY12" s="206" t="str">
        <f t="shared" si="35"/>
        <v>C</v>
      </c>
      <c r="EZ12" s="250"/>
      <c r="FA12" s="250"/>
      <c r="FB12" s="251"/>
      <c r="FC12" s="181">
        <f>IF(COUNT(FC13:FC13)=0,"",SUM(FC13:FC13)/COUNT(FC13:FC13))</f>
        <v>3</v>
      </c>
      <c r="FD12" s="182" t="str">
        <f t="shared" si="36"/>
        <v>B</v>
      </c>
      <c r="FE12" s="252"/>
      <c r="FF12" s="250"/>
      <c r="FG12" s="251"/>
      <c r="FH12" s="181" t="str">
        <f>IF(COUNT(FH13,#REF!)=0,"",SUM(FH13:FH13)/COUNT(FH13,#REF!))</f>
        <v/>
      </c>
      <c r="FI12" s="198" t="str">
        <f t="shared" si="37"/>
        <v/>
      </c>
      <c r="FJ12" s="247"/>
      <c r="FK12" s="245"/>
      <c r="FL12" s="246"/>
      <c r="FM12" s="181">
        <f>IF(COUNT(FM13,#REF!)=0,"",SUM(FM13:FM13)/COUNT(FM13,#REF!))</f>
        <v>4</v>
      </c>
      <c r="FN12" s="205" t="str">
        <f t="shared" si="38"/>
        <v>A</v>
      </c>
      <c r="FO12" s="181">
        <f>IF(COUNT(FO13:FO13)=0,"",SUM(FO13:FO13)/COUNT(FO13:FO13))</f>
        <v>3.5</v>
      </c>
      <c r="FP12" s="206" t="str">
        <f t="shared" si="39"/>
        <v>B</v>
      </c>
      <c r="FQ12" s="250"/>
      <c r="FR12" s="250"/>
      <c r="FS12" s="251"/>
      <c r="FT12" s="181">
        <f>IF(COUNT(FT13:FT13)=0,"",SUM(FT13:FT13)/COUNT(FT13:FT13))</f>
        <v>2</v>
      </c>
      <c r="FU12" s="182" t="str">
        <f t="shared" si="40"/>
        <v>C</v>
      </c>
      <c r="FV12" s="252"/>
      <c r="FW12" s="250"/>
      <c r="FX12" s="251"/>
      <c r="FY12" s="181" t="str">
        <f>IF(COUNT(FY13,#REF!)=0,"",SUM(FY13:FY13)/COUNT(FY13,#REF!))</f>
        <v/>
      </c>
      <c r="FZ12" s="198" t="str">
        <f t="shared" si="41"/>
        <v/>
      </c>
      <c r="GA12" s="247"/>
      <c r="GB12" s="245"/>
      <c r="GC12" s="246"/>
      <c r="GD12" s="181">
        <f>IF(COUNT(GD13,#REF!)=0,"",SUM(GD13:GD13)/COUNT(GD13,#REF!))</f>
        <v>4</v>
      </c>
      <c r="GE12" s="205" t="str">
        <f t="shared" si="42"/>
        <v>A</v>
      </c>
      <c r="GF12" s="181">
        <f>IF(COUNT(GF13:GF13)=0,"",SUM(GF13:GF13)/COUNT(GF13:GF13))</f>
        <v>3</v>
      </c>
      <c r="GG12" s="206" t="str">
        <f t="shared" si="43"/>
        <v>B</v>
      </c>
      <c r="GH12" s="250"/>
      <c r="GI12" s="250"/>
      <c r="GJ12" s="251"/>
      <c r="GK12" s="181">
        <f>IF(COUNT(GK13:GK13)=0,"",SUM(GK13:GK13)/COUNT(GK13:GK13))</f>
        <v>3</v>
      </c>
      <c r="GL12" s="182" t="str">
        <f t="shared" si="44"/>
        <v>B</v>
      </c>
      <c r="GM12" s="252"/>
      <c r="GN12" s="250"/>
      <c r="GO12" s="251"/>
      <c r="GP12" s="181" t="str">
        <f>IF(COUNT(GP13,#REF!)=0,"",SUM(GP13:GP13)/COUNT(GP13,#REF!))</f>
        <v/>
      </c>
      <c r="GQ12" s="198" t="str">
        <f t="shared" si="45"/>
        <v/>
      </c>
      <c r="GR12" s="247"/>
      <c r="GS12" s="245"/>
      <c r="GT12" s="246"/>
      <c r="GU12" s="181">
        <f>IF(COUNT(GU13,#REF!)=0,"",SUM(GU13:GU13)/COUNT(GU13,#REF!))</f>
        <v>3</v>
      </c>
      <c r="GV12" s="205" t="str">
        <f t="shared" si="46"/>
        <v>B</v>
      </c>
      <c r="GW12" s="181">
        <f>IF(COUNT(GW13:GW13)=0,"",SUM(GW13:GW13)/COUNT(GW13:GW13))</f>
        <v>3</v>
      </c>
      <c r="GX12" s="206" t="str">
        <f t="shared" si="47"/>
        <v>B</v>
      </c>
      <c r="GY12" s="250"/>
      <c r="GZ12" s="250"/>
      <c r="HA12" s="251"/>
      <c r="HB12" s="181">
        <f>IF(COUNT(HB13:HB13)=0,"",SUM(HB13:HB13)/COUNT(HB13:HB13))</f>
        <v>1</v>
      </c>
      <c r="HC12" s="182" t="str">
        <f t="shared" si="48"/>
        <v>D</v>
      </c>
      <c r="HD12" s="252"/>
      <c r="HE12" s="250"/>
      <c r="HF12" s="251"/>
      <c r="HG12" s="181" t="str">
        <f>IF(COUNT(HG13,#REF!)=0,"",SUM(HG13:HG13)/COUNT(HG13,#REF!))</f>
        <v/>
      </c>
      <c r="HH12" s="198" t="str">
        <f t="shared" si="49"/>
        <v/>
      </c>
      <c r="HI12" s="247"/>
      <c r="HJ12" s="245"/>
      <c r="HK12" s="246"/>
      <c r="HL12" s="181">
        <f>IF(COUNT(HL13,#REF!)=0,"",SUM(HL13:HL13)/COUNT(HL13,#REF!))</f>
        <v>2</v>
      </c>
      <c r="HM12" s="205" t="str">
        <f t="shared" si="50"/>
        <v>C</v>
      </c>
      <c r="HN12" s="181">
        <f>IF(COUNT(HN13:HN13)=0,"",SUM(HN13:HN13)/COUNT(HN13:HN13))</f>
        <v>1.5</v>
      </c>
      <c r="HO12" s="206" t="str">
        <f t="shared" si="51"/>
        <v>D</v>
      </c>
      <c r="HP12" s="250"/>
      <c r="HQ12" s="250"/>
      <c r="HR12" s="251"/>
      <c r="HS12" s="181">
        <f>IF(COUNT(HS13:HS13)=0,"",SUM(HS13:HS13)/COUNT(HS13:HS13))</f>
        <v>1</v>
      </c>
      <c r="HT12" s="182" t="str">
        <f t="shared" si="52"/>
        <v>D</v>
      </c>
      <c r="HU12" s="252"/>
      <c r="HV12" s="250"/>
      <c r="HW12" s="251"/>
      <c r="HX12" s="181" t="str">
        <f>IF(COUNT(HX13,#REF!)=0,"",SUM(HX13:HX13)/COUNT(HX13,#REF!))</f>
        <v/>
      </c>
      <c r="HY12" s="198" t="str">
        <f t="shared" si="53"/>
        <v/>
      </c>
      <c r="HZ12" s="247"/>
      <c r="IA12" s="245"/>
      <c r="IB12" s="246"/>
      <c r="IC12" s="181">
        <f>IF(COUNT(IC13,#REF!)=0,"",SUM(IC13:IC13)/COUNT(IC13,#REF!))</f>
        <v>2</v>
      </c>
      <c r="ID12" s="205" t="str">
        <f t="shared" si="54"/>
        <v>C</v>
      </c>
      <c r="IE12" s="181">
        <f>IF(COUNT(IE13:IE13)=0,"",SUM(IE13:IE13)/COUNT(IE13:IE13))</f>
        <v>1.5</v>
      </c>
      <c r="IF12" s="206" t="str">
        <f t="shared" si="55"/>
        <v>D</v>
      </c>
      <c r="IG12" s="250"/>
      <c r="IH12" s="250"/>
      <c r="II12" s="251"/>
      <c r="IJ12" s="181">
        <f>IF(COUNT(IJ13:IJ13)=0,"",SUM(IJ13:IJ13)/COUNT(IJ13:IJ13))</f>
        <v>3</v>
      </c>
      <c r="IK12" s="182" t="str">
        <f t="shared" si="56"/>
        <v>B</v>
      </c>
      <c r="IL12" s="252"/>
      <c r="IM12" s="250"/>
      <c r="IN12" s="251"/>
      <c r="IO12" s="181" t="str">
        <f>IF(COUNT(IO13,#REF!)=0,"",SUM(IO13:IO13)/COUNT(IO13,#REF!))</f>
        <v/>
      </c>
      <c r="IP12" s="198" t="str">
        <f t="shared" si="57"/>
        <v/>
      </c>
      <c r="IQ12" s="247"/>
      <c r="IR12" s="245"/>
      <c r="IS12" s="246"/>
      <c r="IT12" s="181">
        <f>IF(COUNT(IT13,#REF!)=0,"",SUM(IT13:IT13)/COUNT(IT13,#REF!))</f>
        <v>2</v>
      </c>
      <c r="IU12" s="205" t="str">
        <f t="shared" si="58"/>
        <v>C</v>
      </c>
      <c r="IV12" s="181">
        <f>IF(COUNT(IV13:IV13)=0,"",SUM(IV13:IV13)/COUNT(IV13:IV13))</f>
        <v>2.5</v>
      </c>
      <c r="IW12" s="206" t="str">
        <f t="shared" si="59"/>
        <v>C</v>
      </c>
      <c r="IX12" s="250"/>
      <c r="IY12" s="250"/>
      <c r="IZ12" s="251"/>
      <c r="JA12" s="181">
        <f>IF(COUNT(JA13:JA13)=0,"",SUM(JA13:JA13)/COUNT(JA13:JA13))</f>
        <v>3</v>
      </c>
      <c r="JB12" s="182" t="str">
        <f t="shared" si="60"/>
        <v>B</v>
      </c>
      <c r="JC12" s="252"/>
      <c r="JD12" s="250"/>
      <c r="JE12" s="251"/>
      <c r="JF12" s="181" t="str">
        <f>IF(COUNT(JF13,#REF!)=0,"",SUM(JF13:JF13)/COUNT(JF13,#REF!))</f>
        <v/>
      </c>
      <c r="JG12" s="198" t="str">
        <f t="shared" si="61"/>
        <v/>
      </c>
      <c r="JH12" s="247"/>
      <c r="JI12" s="245"/>
      <c r="JJ12" s="246"/>
      <c r="JK12" s="181">
        <f>IF(COUNT(JK13,#REF!)=0,"",SUM(JK13:JK13)/COUNT(JK13,#REF!))</f>
        <v>3</v>
      </c>
      <c r="JL12" s="205" t="str">
        <f t="shared" si="62"/>
        <v>B</v>
      </c>
      <c r="JM12" s="181">
        <f>IF(COUNT(JM13:JM13)=0,"",SUM(JM13:JM13)/COUNT(JM13:JM13))</f>
        <v>3</v>
      </c>
      <c r="JN12" s="206" t="str">
        <f t="shared" si="63"/>
        <v>B</v>
      </c>
      <c r="JO12" s="250"/>
      <c r="JP12" s="250"/>
      <c r="JQ12" s="251"/>
      <c r="JR12" s="181">
        <f>IF(COUNT(JR13:JR13)=0,"",SUM(JR13:JR13)/COUNT(JR13:JR13))</f>
        <v>3</v>
      </c>
      <c r="JS12" s="182" t="str">
        <f t="shared" si="64"/>
        <v>B</v>
      </c>
      <c r="JT12" s="252"/>
      <c r="JU12" s="250"/>
      <c r="JV12" s="251"/>
      <c r="JW12" s="181" t="str">
        <f>IF(COUNT(JW13,#REF!)=0,"",SUM(JW13:JW13)/COUNT(JW13,#REF!))</f>
        <v/>
      </c>
      <c r="JX12" s="198" t="str">
        <f t="shared" si="65"/>
        <v/>
      </c>
      <c r="JY12" s="247"/>
      <c r="JZ12" s="245"/>
      <c r="KA12" s="246"/>
      <c r="KB12" s="181">
        <f>IF(COUNT(KB13,#REF!)=0,"",SUM(KB13:KB13)/COUNT(KB13,#REF!))</f>
        <v>3</v>
      </c>
      <c r="KC12" s="205" t="str">
        <f t="shared" si="66"/>
        <v>B</v>
      </c>
      <c r="KD12" s="181">
        <f>IF(COUNT(KD13:KD13)=0,"",SUM(KD13:KD13)/COUNT(KD13:KD13))</f>
        <v>3</v>
      </c>
      <c r="KE12" s="206" t="str">
        <f t="shared" si="67"/>
        <v>B</v>
      </c>
      <c r="KF12" s="250"/>
      <c r="KG12" s="250"/>
      <c r="KH12" s="251"/>
      <c r="KI12" s="181">
        <f>IF(COUNT(KI13:KI13)=0,"",SUM(KI13:KI13)/COUNT(KI13:KI13))</f>
        <v>3</v>
      </c>
      <c r="KJ12" s="182" t="str">
        <f t="shared" si="68"/>
        <v>B</v>
      </c>
      <c r="KK12" s="252"/>
      <c r="KL12" s="250"/>
      <c r="KM12" s="251"/>
      <c r="KN12" s="181" t="str">
        <f>IF(COUNT(KN13,#REF!)=0,"",SUM(KN13:KN13)/COUNT(KN13,#REF!))</f>
        <v/>
      </c>
      <c r="KO12" s="198" t="str">
        <f t="shared" si="69"/>
        <v/>
      </c>
      <c r="KP12" s="247"/>
      <c r="KQ12" s="245"/>
      <c r="KR12" s="246"/>
      <c r="KS12" s="181">
        <f>IF(COUNT(KS13,#REF!)=0,"",SUM(KS13:KS13)/COUNT(KS13,#REF!))</f>
        <v>3</v>
      </c>
      <c r="KT12" s="205" t="str">
        <f t="shared" si="70"/>
        <v>B</v>
      </c>
      <c r="KU12" s="181">
        <f>IF(COUNT(KU13:KU13)=0,"",SUM(KU13:KU13)/COUNT(KU13:KU13))</f>
        <v>3</v>
      </c>
      <c r="KV12" s="206" t="str">
        <f t="shared" si="71"/>
        <v>B</v>
      </c>
      <c r="KW12" s="250"/>
      <c r="KX12" s="250"/>
      <c r="KY12" s="251"/>
      <c r="KZ12" s="181">
        <f>IF(COUNT(KZ13:KZ13)=0,"",SUM(KZ13:KZ13)/COUNT(KZ13:KZ13))</f>
        <v>1</v>
      </c>
      <c r="LA12" s="182" t="str">
        <f t="shared" si="72"/>
        <v>D</v>
      </c>
      <c r="LB12" s="252"/>
      <c r="LC12" s="250"/>
      <c r="LD12" s="251"/>
      <c r="LE12" s="181" t="str">
        <f>IF(COUNT(LE13,#REF!)=0,"",SUM(LE13:LE13)/COUNT(LE13,#REF!))</f>
        <v/>
      </c>
      <c r="LF12" s="198" t="str">
        <f t="shared" si="73"/>
        <v/>
      </c>
      <c r="LG12" s="247"/>
      <c r="LH12" s="245"/>
      <c r="LI12" s="246"/>
      <c r="LJ12" s="181">
        <f>IF(COUNT(LJ13,#REF!)=0,"",SUM(LJ13:LJ13)/COUNT(LJ13,#REF!))</f>
        <v>3</v>
      </c>
      <c r="LK12" s="205" t="str">
        <f t="shared" si="74"/>
        <v>B</v>
      </c>
      <c r="LL12" s="181">
        <f>IF(COUNT(LL13:LL13)=0,"",SUM(LL13:LL13)/COUNT(LL13:LL13))</f>
        <v>2</v>
      </c>
      <c r="LM12" s="206" t="str">
        <f t="shared" si="75"/>
        <v>C</v>
      </c>
      <c r="LN12" s="250"/>
      <c r="LO12" s="250"/>
      <c r="LP12" s="251"/>
      <c r="LQ12" s="181">
        <f>IF(COUNT(LQ13:LQ13)=0,"",SUM(LQ13:LQ13)/COUNT(LQ13:LQ13))</f>
        <v>3</v>
      </c>
      <c r="LR12" s="182" t="str">
        <f t="shared" si="76"/>
        <v>B</v>
      </c>
      <c r="LS12" s="252"/>
      <c r="LT12" s="250"/>
      <c r="LU12" s="251"/>
      <c r="LV12" s="181" t="str">
        <f>IF(COUNT(LV13,#REF!)=0,"",SUM(LV13:LV13)/COUNT(LV13,#REF!))</f>
        <v/>
      </c>
      <c r="LW12" s="198" t="str">
        <f t="shared" si="77"/>
        <v/>
      </c>
      <c r="LX12" s="247"/>
      <c r="LY12" s="245"/>
      <c r="LZ12" s="246"/>
      <c r="MA12" s="181">
        <f>IF(COUNT(MA13,#REF!)=0,"",SUM(MA13:MA13)/COUNT(MA13,#REF!))</f>
        <v>3</v>
      </c>
      <c r="MB12" s="205" t="str">
        <f t="shared" si="78"/>
        <v>B</v>
      </c>
      <c r="MC12" s="181">
        <f>IF(COUNT(MC13:MC13)=0,"",SUM(MC13:MC13)/COUNT(MC13:MC13))</f>
        <v>3</v>
      </c>
      <c r="MD12" s="206" t="str">
        <f t="shared" si="79"/>
        <v>B</v>
      </c>
      <c r="ME12" s="250"/>
      <c r="MF12" s="250"/>
      <c r="MG12" s="251"/>
      <c r="MH12" s="181">
        <f>IF(COUNT(MH13:MH13)=0,"",SUM(MH13:MH13)/COUNT(MH13:MH13))</f>
        <v>3</v>
      </c>
      <c r="MI12" s="182" t="str">
        <f t="shared" si="80"/>
        <v>B</v>
      </c>
      <c r="MJ12" s="252"/>
      <c r="MK12" s="250"/>
      <c r="ML12" s="251"/>
      <c r="MM12" s="181" t="str">
        <f>IF(COUNT(MM13,#REF!)=0,"",SUM(MM13:MM13)/COUNT(MM13,#REF!))</f>
        <v/>
      </c>
      <c r="MN12" s="198" t="str">
        <f t="shared" si="81"/>
        <v/>
      </c>
      <c r="MO12" s="247"/>
      <c r="MP12" s="245"/>
      <c r="MQ12" s="246"/>
      <c r="MR12" s="181">
        <f>IF(COUNT(MR13,#REF!)=0,"",SUM(MR13:MR13)/COUNT(MR13,#REF!))</f>
        <v>3</v>
      </c>
      <c r="MS12" s="205" t="str">
        <f t="shared" si="82"/>
        <v>B</v>
      </c>
      <c r="MT12" s="181">
        <f>IF(COUNT(MT13:MT13)=0,"",SUM(MT13:MT13)/COUNT(MT13:MT13))</f>
        <v>3</v>
      </c>
      <c r="MU12" s="206" t="str">
        <f t="shared" si="83"/>
        <v>B</v>
      </c>
      <c r="MV12" s="250"/>
      <c r="MW12" s="250"/>
      <c r="MX12" s="251"/>
      <c r="MY12" s="181">
        <f>IF(COUNT(MY13:MY13)=0,"",SUM(MY13:MY13)/COUNT(MY13:MY13))</f>
        <v>2</v>
      </c>
      <c r="MZ12" s="182" t="str">
        <f t="shared" si="84"/>
        <v>C</v>
      </c>
      <c r="NA12" s="252"/>
      <c r="NB12" s="250"/>
      <c r="NC12" s="251"/>
      <c r="ND12" s="181" t="str">
        <f>IF(COUNT(ND13,#REF!)=0,"",SUM(ND13:ND13)/COUNT(ND13,#REF!))</f>
        <v/>
      </c>
      <c r="NE12" s="198" t="str">
        <f t="shared" si="85"/>
        <v/>
      </c>
      <c r="NF12" s="247"/>
      <c r="NG12" s="245"/>
      <c r="NH12" s="246"/>
      <c r="NI12" s="181">
        <f>IF(COUNT(NI13,#REF!)=0,"",SUM(NI13:NI13)/COUNT(NI13,#REF!))</f>
        <v>3</v>
      </c>
      <c r="NJ12" s="205" t="str">
        <f t="shared" si="86"/>
        <v>B</v>
      </c>
      <c r="NK12" s="181">
        <f>IF(COUNT(NK13:NK13)=0,"",SUM(NK13:NK13)/COUNT(NK13:NK13))</f>
        <v>2.5</v>
      </c>
      <c r="NL12" s="206" t="str">
        <f t="shared" si="87"/>
        <v>C</v>
      </c>
      <c r="NM12" s="250"/>
      <c r="NN12" s="250"/>
      <c r="NO12" s="251"/>
      <c r="NP12" s="181">
        <f>IF(COUNT(NP13:NP13)=0,"",SUM(NP13:NP13)/COUNT(NP13:NP13))</f>
        <v>3</v>
      </c>
      <c r="NQ12" s="182" t="str">
        <f t="shared" si="88"/>
        <v>B</v>
      </c>
      <c r="NR12" s="252"/>
      <c r="NS12" s="250"/>
      <c r="NT12" s="251"/>
      <c r="NU12" s="181" t="str">
        <f>IF(COUNT(NU13,#REF!)=0,"",SUM(NU13:NU13)/COUNT(NU13,#REF!))</f>
        <v/>
      </c>
      <c r="NV12" s="198" t="str">
        <f t="shared" si="89"/>
        <v/>
      </c>
      <c r="NW12" s="247"/>
      <c r="NX12" s="245"/>
      <c r="NY12" s="246"/>
      <c r="NZ12" s="181">
        <f>IF(COUNT(NZ13,#REF!)=0,"",SUM(NZ13:NZ13)/COUNT(NZ13,#REF!))</f>
        <v>3</v>
      </c>
      <c r="OA12" s="205" t="str">
        <f t="shared" si="90"/>
        <v>B</v>
      </c>
      <c r="OB12" s="181">
        <f>IF(COUNT(OB13:OB13)=0,"",SUM(OB13:OB13)/COUNT(OB13:OB13))</f>
        <v>3</v>
      </c>
      <c r="OC12" s="206" t="str">
        <f t="shared" si="91"/>
        <v>B</v>
      </c>
      <c r="OD12" s="250"/>
      <c r="OE12" s="250"/>
      <c r="OF12" s="251"/>
      <c r="OG12" s="181" t="str">
        <f>IF(COUNT(OG13:OG13)=0,"",SUM(OG13:OG13)/COUNT(OG13:OG13))</f>
        <v/>
      </c>
      <c r="OH12" s="182" t="str">
        <f t="shared" si="92"/>
        <v/>
      </c>
      <c r="OI12" s="252"/>
      <c r="OJ12" s="250"/>
      <c r="OK12" s="251"/>
      <c r="OL12" s="181" t="str">
        <f>IF(COUNT(OL13,#REF!)=0,"",SUM(OL13:OL13)/COUNT(OL13,#REF!))</f>
        <v/>
      </c>
      <c r="OM12" s="198" t="str">
        <f t="shared" si="93"/>
        <v/>
      </c>
      <c r="ON12" s="247"/>
      <c r="OO12" s="245"/>
      <c r="OP12" s="246"/>
      <c r="OQ12" s="181">
        <f>IF(COUNT(OQ13,#REF!)=0,"",SUM(OQ13:OQ13)/COUNT(OQ13,#REF!))</f>
        <v>3</v>
      </c>
      <c r="OR12" s="205" t="str">
        <f t="shared" si="94"/>
        <v>B</v>
      </c>
      <c r="OS12" s="181">
        <f>IF(COUNT(OS13:OS13)=0,"",SUM(OS13:OS13)/COUNT(OS13:OS13))</f>
        <v>3</v>
      </c>
      <c r="OT12" s="206" t="str">
        <f t="shared" si="95"/>
        <v>B</v>
      </c>
      <c r="OU12" s="250"/>
      <c r="OV12" s="250"/>
      <c r="OW12" s="251"/>
      <c r="OX12" s="181">
        <f>IF(COUNT(OX13:OX13)=0,"",SUM(OX13:OX13)/COUNT(OX13:OX13))</f>
        <v>3</v>
      </c>
      <c r="OY12" s="182" t="str">
        <f t="shared" si="96"/>
        <v>B</v>
      </c>
      <c r="OZ12" s="252"/>
      <c r="PA12" s="250"/>
      <c r="PB12" s="251"/>
      <c r="PC12" s="181" t="str">
        <f>IF(COUNT(PC13,#REF!)=0,"",SUM(PC13:PC13)/COUNT(PC13,#REF!))</f>
        <v/>
      </c>
      <c r="PD12" s="198" t="str">
        <f t="shared" si="97"/>
        <v/>
      </c>
      <c r="PE12" s="247"/>
      <c r="PF12" s="245"/>
      <c r="PG12" s="246"/>
      <c r="PH12" s="181">
        <f>IF(COUNT(PH13,#REF!)=0,"",SUM(PH13:PH13)/COUNT(PH13,#REF!))</f>
        <v>3</v>
      </c>
      <c r="PI12" s="205" t="str">
        <f t="shared" si="98"/>
        <v>B</v>
      </c>
      <c r="PJ12" s="181">
        <f>IF(COUNT(PJ13:PJ13)=0,"",SUM(PJ13:PJ13)/COUNT(PJ13:PJ13))</f>
        <v>3</v>
      </c>
      <c r="PK12" s="206" t="str">
        <f t="shared" si="99"/>
        <v>B</v>
      </c>
      <c r="PL12" s="250"/>
      <c r="PM12" s="250"/>
      <c r="PN12" s="251"/>
      <c r="PO12" s="181">
        <f>IF(COUNT(PO13:PO13)=0,"",SUM(PO13:PO13)/COUNT(PO13:PO13))</f>
        <v>2</v>
      </c>
      <c r="PP12" s="182" t="str">
        <f t="shared" si="100"/>
        <v>C</v>
      </c>
      <c r="PQ12" s="252"/>
      <c r="PR12" s="250"/>
      <c r="PS12" s="251"/>
      <c r="PT12" s="181" t="str">
        <f>IF(COUNT(PT13,#REF!)=0,"",SUM(PT13:PT13)/COUNT(PT13,#REF!))</f>
        <v/>
      </c>
      <c r="PU12" s="198" t="str">
        <f t="shared" si="101"/>
        <v/>
      </c>
      <c r="PV12" s="247"/>
      <c r="PW12" s="245"/>
      <c r="PX12" s="246"/>
      <c r="PY12" s="181">
        <f>IF(COUNT(PY13,#REF!)=0,"",SUM(PY13:PY13)/COUNT(PY13,#REF!))</f>
        <v>3</v>
      </c>
      <c r="PZ12" s="205" t="str">
        <f t="shared" si="102"/>
        <v>B</v>
      </c>
      <c r="QA12" s="181">
        <f>IF(COUNT(QA13:QA13)=0,"",SUM(QA13:QA13)/COUNT(QA13:QA13))</f>
        <v>2.5</v>
      </c>
      <c r="QB12" s="206" t="str">
        <f t="shared" si="103"/>
        <v>C</v>
      </c>
      <c r="QC12" s="250"/>
      <c r="QD12" s="250"/>
      <c r="QE12" s="251"/>
      <c r="QF12" s="181">
        <f>IF(COUNT(QF13:QF13)=0,"",SUM(QF13:QF13)/COUNT(QF13:QF13))</f>
        <v>2</v>
      </c>
      <c r="QG12" s="182" t="str">
        <f t="shared" si="104"/>
        <v>C</v>
      </c>
      <c r="QH12" s="252"/>
      <c r="QI12" s="250"/>
      <c r="QJ12" s="251"/>
      <c r="QK12" s="181" t="str">
        <f>IF(COUNT(QK13,#REF!)=0,"",SUM(QK13:QK13)/COUNT(QK13,#REF!))</f>
        <v/>
      </c>
      <c r="QL12" s="198" t="str">
        <f t="shared" si="105"/>
        <v/>
      </c>
      <c r="QM12" s="247"/>
      <c r="QN12" s="245"/>
      <c r="QO12" s="246"/>
      <c r="QP12" s="181">
        <f>IF(COUNT(QP13,#REF!)=0,"",SUM(QP13:QP13)/COUNT(QP13,#REF!))</f>
        <v>3</v>
      </c>
      <c r="QQ12" s="205" t="str">
        <f t="shared" si="106"/>
        <v>B</v>
      </c>
      <c r="QR12" s="181">
        <f>IF(COUNT(QR13:QR13)=0,"",SUM(QR13:QR13)/COUNT(QR13:QR13))</f>
        <v>2.5</v>
      </c>
      <c r="QS12" s="206" t="str">
        <f t="shared" si="107"/>
        <v>C</v>
      </c>
      <c r="QT12" s="250"/>
      <c r="QU12" s="250"/>
      <c r="QV12" s="251"/>
      <c r="QW12" s="93" t="str">
        <f>IF(COUNT(QW13:QW13)=0,"",SUM(QW13:QW13)/COUNT(QW13:QW13))</f>
        <v/>
      </c>
      <c r="QX12" s="94" t="str">
        <f t="shared" si="108"/>
        <v/>
      </c>
      <c r="QY12" s="252"/>
      <c r="QZ12" s="250"/>
      <c r="RA12" s="251"/>
      <c r="RB12" s="93" t="str">
        <f>IF(COUNT(RB13,#REF!)=0,"",SUM(RB13:RB13)/COUNT(RB13,#REF!))</f>
        <v/>
      </c>
      <c r="RC12" s="95" t="str">
        <f t="shared" si="109"/>
        <v/>
      </c>
      <c r="RD12" s="247"/>
      <c r="RE12" s="245"/>
      <c r="RF12" s="246"/>
      <c r="RG12" s="93" t="str">
        <f>IF(COUNT(RG13,#REF!)=0,"",SUM(RG13:RG13)/COUNT(RG13,#REF!))</f>
        <v/>
      </c>
      <c r="RH12" s="96" t="str">
        <f t="shared" si="110"/>
        <v/>
      </c>
      <c r="RI12" s="93" t="str">
        <f>IF(COUNT(RI13:RI13)=0,"",SUM(RI13:RI13)/COUNT(RI13:RI13))</f>
        <v/>
      </c>
      <c r="RJ12" s="97" t="str">
        <f t="shared" si="111"/>
        <v/>
      </c>
      <c r="RK12" s="250"/>
      <c r="RL12" s="250"/>
      <c r="RM12" s="251"/>
      <c r="RN12" s="93" t="str">
        <f>IF(COUNT(RN13:RN13)=0,"",SUM(RN13:RN13)/COUNT(RN13:RN13))</f>
        <v/>
      </c>
      <c r="RO12" s="94" t="str">
        <f t="shared" si="112"/>
        <v/>
      </c>
      <c r="RP12" s="252"/>
      <c r="RQ12" s="250"/>
      <c r="RR12" s="251"/>
      <c r="RS12" s="93" t="str">
        <f>IF(COUNT(RS13,#REF!)=0,"",SUM(RS13:RS13)/COUNT(RS13,#REF!))</f>
        <v/>
      </c>
      <c r="RT12" s="95" t="str">
        <f t="shared" si="113"/>
        <v/>
      </c>
      <c r="RU12" s="247"/>
      <c r="RV12" s="245"/>
      <c r="RW12" s="246"/>
      <c r="RX12" s="93" t="str">
        <f>IF(COUNT(RX13,#REF!)=0,"",SUM(RX13:RX13)/COUNT(RX13,#REF!))</f>
        <v/>
      </c>
      <c r="RY12" s="96" t="str">
        <f t="shared" si="114"/>
        <v/>
      </c>
      <c r="RZ12" s="93" t="str">
        <f>IF(COUNT(RZ13:RZ13)=0,"",SUM(RZ13:RZ13)/COUNT(RZ13:RZ13))</f>
        <v/>
      </c>
      <c r="SA12" s="97" t="str">
        <f t="shared" si="115"/>
        <v/>
      </c>
      <c r="SB12" s="250"/>
      <c r="SC12" s="250"/>
      <c r="SD12" s="251"/>
      <c r="SE12" s="93" t="str">
        <f>IF(COUNT(SE13:SE13)=0,"",SUM(SE13:SE13)/COUNT(SE13:SE13))</f>
        <v/>
      </c>
      <c r="SF12" s="94" t="str">
        <f t="shared" si="116"/>
        <v/>
      </c>
      <c r="SG12" s="252"/>
      <c r="SH12" s="250"/>
      <c r="SI12" s="251"/>
      <c r="SJ12" s="93" t="str">
        <f>IF(COUNT(SJ13,#REF!)=0,"",SUM(SJ13:SJ13)/COUNT(SJ13,#REF!))</f>
        <v/>
      </c>
      <c r="SK12" s="95" t="str">
        <f t="shared" si="117"/>
        <v/>
      </c>
      <c r="SL12" s="247"/>
      <c r="SM12" s="245"/>
      <c r="SN12" s="246"/>
      <c r="SO12" s="93" t="str">
        <f>IF(COUNT(SO13,#REF!)=0,"",SUM(SO13:SO13)/COUNT(SO13,#REF!))</f>
        <v/>
      </c>
      <c r="SP12" s="96" t="str">
        <f t="shared" si="118"/>
        <v/>
      </c>
      <c r="SQ12" s="93" t="str">
        <f>IF(COUNT(SQ13:SQ13)=0,"",SUM(SQ13:SQ13)/COUNT(SQ13:SQ13))</f>
        <v/>
      </c>
      <c r="SR12" s="97" t="str">
        <f t="shared" si="119"/>
        <v/>
      </c>
      <c r="SS12" s="250"/>
      <c r="ST12" s="250"/>
      <c r="SU12" s="251"/>
      <c r="SV12" s="93" t="str">
        <f>IF(COUNT(SV13:SV13)=0,"",SUM(SV13:SV13)/COUNT(SV13:SV13))</f>
        <v/>
      </c>
      <c r="SW12" s="94" t="str">
        <f t="shared" si="120"/>
        <v/>
      </c>
      <c r="SX12" s="252"/>
      <c r="SY12" s="250"/>
      <c r="SZ12" s="251"/>
      <c r="TA12" s="93" t="str">
        <f>IF(COUNT(TA13,#REF!)=0,"",SUM(TA13:TA13)/COUNT(TA13,#REF!))</f>
        <v/>
      </c>
      <c r="TB12" s="95" t="str">
        <f t="shared" si="121"/>
        <v/>
      </c>
      <c r="TC12" s="247"/>
      <c r="TD12" s="245"/>
      <c r="TE12" s="246"/>
      <c r="TF12" s="93" t="str">
        <f>IF(COUNT(TF13,#REF!)=0,"",SUM(TF13:TF13)/COUNT(TF13,#REF!))</f>
        <v/>
      </c>
      <c r="TG12" s="96" t="str">
        <f t="shared" si="122"/>
        <v/>
      </c>
      <c r="TH12" s="93" t="str">
        <f>IF(COUNT(TH13:TH13)=0,"",SUM(TH13:TH13)/COUNT(TH13:TH13))</f>
        <v/>
      </c>
      <c r="TI12" s="97" t="str">
        <f t="shared" si="123"/>
        <v/>
      </c>
      <c r="TJ12" s="250"/>
      <c r="TK12" s="250"/>
      <c r="TL12" s="251"/>
      <c r="TM12" s="93" t="str">
        <f>IF(COUNT(TM13:TM13)=0,"",SUM(TM13:TM13)/COUNT(TM13:TM13))</f>
        <v/>
      </c>
      <c r="TN12" s="94" t="str">
        <f t="shared" si="124"/>
        <v/>
      </c>
      <c r="TO12" s="252"/>
      <c r="TP12" s="250"/>
      <c r="TQ12" s="251"/>
      <c r="TR12" s="93" t="str">
        <f>IF(COUNT(TR13,#REF!)=0,"",SUM(TR13:TR13)/COUNT(TR13,#REF!))</f>
        <v/>
      </c>
      <c r="TS12" s="95" t="str">
        <f t="shared" si="125"/>
        <v/>
      </c>
      <c r="TT12" s="247"/>
      <c r="TU12" s="245"/>
      <c r="TV12" s="246"/>
      <c r="TW12" s="93" t="str">
        <f>IF(COUNT(TW13,#REF!)=0,"",SUM(TW13:TW13)/COUNT(TW13,#REF!))</f>
        <v/>
      </c>
      <c r="TX12" s="96" t="str">
        <f t="shared" si="126"/>
        <v/>
      </c>
      <c r="TY12" s="93" t="str">
        <f>IF(COUNT(TY13:TY13)=0,"",SUM(TY13:TY13)/COUNT(TY13:TY13))</f>
        <v/>
      </c>
      <c r="TZ12" s="97" t="str">
        <f t="shared" si="127"/>
        <v/>
      </c>
    </row>
    <row r="13" spans="1:546" ht="14.65" customHeight="1" thickBot="1" x14ac:dyDescent="0.3">
      <c r="A13" s="165" t="s">
        <v>16</v>
      </c>
      <c r="B13" s="127"/>
      <c r="C13" s="173" t="s">
        <v>23</v>
      </c>
      <c r="D13" s="100"/>
      <c r="E13" s="101"/>
      <c r="F13" s="183">
        <f>IFERROR((((COUNTIF('Elève (6ème3)'!C13:E13,"A"))*4)+((COUNTIF('Elève (6ème3)'!C13:E13,"B"))*3)+((COUNTIF('Elève (6ème3)'!C13:E13,"C"))*2)+((COUNTIF('Elève (6ème3)'!C13:E13,"D"))*1))/(COUNTA(C13:E13)),"")</f>
        <v>4</v>
      </c>
      <c r="G13" s="184" t="str">
        <f t="shared" si="0"/>
        <v>A</v>
      </c>
      <c r="H13" s="173"/>
      <c r="I13" s="100"/>
      <c r="J13" s="101"/>
      <c r="K13" s="183" t="str">
        <f>IFERROR((((COUNTIF('Elève (6ème3)'!H13:J13,"A"))*4)+((COUNTIF('Elève (6ème3)'!H13:J13,"B"))*3)+((COUNTIF('Elève (6ème3)'!H13:J13,"C"))*2)+((COUNTIF('Elève (6ème3)'!H13:J13,"D"))*1))/(COUNTA(H13:J13)),"")</f>
        <v/>
      </c>
      <c r="L13" s="184" t="str">
        <f t="shared" si="1"/>
        <v/>
      </c>
      <c r="M13" s="173"/>
      <c r="N13" s="100"/>
      <c r="O13" s="101" t="s">
        <v>25</v>
      </c>
      <c r="P13" s="183">
        <f>IFERROR((((COUNTIF('Elève (6ème3)'!M13:O13,"A"))*4)+((COUNTIF('Elève (6ème3)'!M13:O13,"B"))*3)+((COUNTIF('Elève (6ème3)'!M13:O13,"C"))*2)+((COUNTIF('Elève (6ème3)'!M13:O13,"D"))*1))/(COUNTA(M13:O13)),"")</f>
        <v>2</v>
      </c>
      <c r="Q13" s="184" t="str">
        <f t="shared" si="2"/>
        <v>C</v>
      </c>
      <c r="R13" s="183">
        <f>IF(COUNT(F13,K13,P13)=0,"",SUM(F13,K13,P13)/COUNT(F13,K13,P13))</f>
        <v>3</v>
      </c>
      <c r="S13" s="207" t="str">
        <f t="shared" si="3"/>
        <v>B</v>
      </c>
      <c r="T13" s="218" t="s">
        <v>24</v>
      </c>
      <c r="U13" s="100"/>
      <c r="V13" s="101"/>
      <c r="W13" s="183">
        <f>IFERROR((((COUNTIF('Elève (6ème3)'!T13:V13,"A"))*4)+((COUNTIF('Elève (6ème3)'!T13:V13,"B"))*3)+((COUNTIF('Elève (6ème3)'!T13:V13,"C"))*2)+((COUNTIF('Elève (6ème3)'!T13:V13,"D"))*1))/(COUNTA(T13:V13)),"")</f>
        <v>3</v>
      </c>
      <c r="X13" s="184" t="str">
        <f t="shared" si="4"/>
        <v>B</v>
      </c>
      <c r="Y13" s="173"/>
      <c r="Z13" s="100"/>
      <c r="AA13" s="101"/>
      <c r="AB13" s="183" t="str">
        <f>IFERROR((((COUNTIF('Elève (6ème3)'!Y13:AA13,"A"))*4)+((COUNTIF('Elève (6ème3)'!Y13:AA13,"B"))*3)+((COUNTIF('Elève (6ème3)'!Y13:AA13,"C"))*2)+((COUNTIF('Elève (6ème3)'!Y13:AA13,"D"))*1))/(COUNTA(Y13:AA13)),"")</f>
        <v/>
      </c>
      <c r="AC13" s="184" t="str">
        <f t="shared" si="5"/>
        <v/>
      </c>
      <c r="AD13" s="173"/>
      <c r="AE13" s="100"/>
      <c r="AF13" s="101" t="s">
        <v>24</v>
      </c>
      <c r="AG13" s="183">
        <f>IFERROR((((COUNTIF('Elève (6ème3)'!AD13:AF13,"A"))*4)+((COUNTIF('Elève (6ème3)'!AD13:AF13,"B"))*3)+((COUNTIF('Elève (6ème3)'!AD13:AF13,"C"))*2)+((COUNTIF('Elève (6ème3)'!AD13:AF13,"D"))*1))/(COUNTA(AD13:AF13)),"")</f>
        <v>3</v>
      </c>
      <c r="AH13" s="184" t="str">
        <f t="shared" si="6"/>
        <v>B</v>
      </c>
      <c r="AI13" s="183">
        <f>IF(COUNT(W13,AB13,AG13)=0,"",SUM(W13,AB13,AG13)/COUNT(W13,AB13,AG13))</f>
        <v>3</v>
      </c>
      <c r="AJ13" s="207" t="str">
        <f t="shared" si="7"/>
        <v>B</v>
      </c>
      <c r="AK13" s="218" t="s">
        <v>24</v>
      </c>
      <c r="AL13" s="100"/>
      <c r="AM13" s="101"/>
      <c r="AN13" s="183">
        <f>IFERROR((((COUNTIF('Elève (6ème3)'!AK13:AM13,"A"))*4)+((COUNTIF('Elève (6ème3)'!AK13:AM13,"B"))*3)+((COUNTIF('Elève (6ème3)'!AK13:AM13,"C"))*2)+((COUNTIF('Elève (6ème3)'!AK13:AM13,"D"))*1))/(COUNTA(AK13:AM13)),"")</f>
        <v>3</v>
      </c>
      <c r="AO13" s="184" t="str">
        <f t="shared" si="8"/>
        <v>B</v>
      </c>
      <c r="AP13" s="173"/>
      <c r="AQ13" s="100"/>
      <c r="AR13" s="101"/>
      <c r="AS13" s="183" t="str">
        <f>IFERROR((((COUNTIF('Elève (6ème3)'!AP13:AR13,"A"))*4)+((COUNTIF('Elève (6ème3)'!AP13:AR13,"B"))*3)+((COUNTIF('Elève (6ème3)'!AP13:AR13,"C"))*2)+((COUNTIF('Elève (6ème3)'!AP13:AR13,"D"))*1))/(COUNTA(AP13:AR13)),"")</f>
        <v/>
      </c>
      <c r="AT13" s="184" t="str">
        <f t="shared" si="9"/>
        <v/>
      </c>
      <c r="AU13" s="173"/>
      <c r="AV13" s="100"/>
      <c r="AW13" s="101" t="s">
        <v>25</v>
      </c>
      <c r="AX13" s="183">
        <f>IFERROR((((COUNTIF('Elève (6ème3)'!AU13:AW13,"A"))*4)+((COUNTIF('Elève (6ème3)'!AU13:AW13,"B"))*3)+((COUNTIF('Elève (6ème3)'!AU13:AW13,"C"))*2)+((COUNTIF('Elève (6ème3)'!AU13:AW13,"D"))*1))/(COUNTA(AU13:AW13)),"")</f>
        <v>2</v>
      </c>
      <c r="AY13" s="184" t="str">
        <f t="shared" si="10"/>
        <v>C</v>
      </c>
      <c r="AZ13" s="183">
        <f>IF(COUNT(AN13,AS13,AX13)=0,"",SUM(AN13,AS13,AX13)/COUNT(AN13,AS13,AX13))</f>
        <v>2.5</v>
      </c>
      <c r="BA13" s="207" t="str">
        <f t="shared" si="11"/>
        <v>C</v>
      </c>
      <c r="BB13" s="218" t="s">
        <v>24</v>
      </c>
      <c r="BC13" s="100"/>
      <c r="BD13" s="101"/>
      <c r="BE13" s="183">
        <f>IFERROR((((COUNTIF('Elève (6ème3)'!BB13:BD13,"A"))*4)+((COUNTIF('Elève (6ème3)'!BB13:BD13,"B"))*3)+((COUNTIF('Elève (6ème3)'!BB13:BD13,"C"))*2)+((COUNTIF('Elève (6ème3)'!BB13:BD13,"D"))*1))/(COUNTA(BB13:BD13)),"")</f>
        <v>3</v>
      </c>
      <c r="BF13" s="184" t="str">
        <f t="shared" si="12"/>
        <v>B</v>
      </c>
      <c r="BG13" s="173"/>
      <c r="BH13" s="100"/>
      <c r="BI13" s="101"/>
      <c r="BJ13" s="183" t="str">
        <f>IFERROR((((COUNTIF('Elève (6ème3)'!BG13:BI13,"A"))*4)+((COUNTIF('Elève (6ème3)'!BG13:BI13,"B"))*3)+((COUNTIF('Elève (6ème3)'!BG13:BI13,"C"))*2)+((COUNTIF('Elève (6ème3)'!BG13:BI13,"D"))*1))/(COUNTA(BG13:BI13)),"")</f>
        <v/>
      </c>
      <c r="BK13" s="184" t="str">
        <f t="shared" si="13"/>
        <v/>
      </c>
      <c r="BL13" s="173"/>
      <c r="BM13" s="100"/>
      <c r="BN13" s="101" t="s">
        <v>24</v>
      </c>
      <c r="BO13" s="183">
        <f>IFERROR((((COUNTIF('Elève (6ème3)'!BL13:BN13,"A"))*4)+((COUNTIF('Elève (6ème3)'!BL13:BN13,"B"))*3)+((COUNTIF('Elève (6ème3)'!BL13:BN13,"C"))*2)+((COUNTIF('Elève (6ème3)'!BL13:BN13,"D"))*1))/(COUNTA(BL13:BN13)),"")</f>
        <v>3</v>
      </c>
      <c r="BP13" s="184" t="str">
        <f t="shared" si="14"/>
        <v>B</v>
      </c>
      <c r="BQ13" s="183">
        <f>IF(COUNT(BE13,BJ13,BO13)=0,"",SUM(BE13,BJ13,BO13)/COUNT(BE13,BJ13,BO13))</f>
        <v>3</v>
      </c>
      <c r="BR13" s="207" t="str">
        <f t="shared" si="15"/>
        <v>B</v>
      </c>
      <c r="BS13" s="218" t="s">
        <v>26</v>
      </c>
      <c r="BT13" s="100"/>
      <c r="BU13" s="101"/>
      <c r="BV13" s="183">
        <f>IFERROR((((COUNTIF('Elève (6ème3)'!BS13:BU13,"A"))*4)+((COUNTIF('Elève (6ème3)'!BS13:BU13,"B"))*3)+((COUNTIF('Elève (6ème3)'!BS13:BU13,"C"))*2)+((COUNTIF('Elève (6ème3)'!BS13:BU13,"D"))*1))/(COUNTA(BS13:BU13)),"")</f>
        <v>1</v>
      </c>
      <c r="BW13" s="184" t="str">
        <f t="shared" si="16"/>
        <v>D</v>
      </c>
      <c r="BX13" s="173"/>
      <c r="BY13" s="100"/>
      <c r="BZ13" s="101"/>
      <c r="CA13" s="183" t="str">
        <f>IFERROR((((COUNTIF('Elève (6ème3)'!BX13:BZ13,"A"))*4)+((COUNTIF('Elève (6ème3)'!BX13:BZ13,"B"))*3)+((COUNTIF('Elève (6ème3)'!BX13:BZ13,"C"))*2)+((COUNTIF('Elève (6ème3)'!BX13:BZ13,"D"))*1))/(COUNTA(BX13:BZ13)),"")</f>
        <v/>
      </c>
      <c r="CB13" s="184" t="str">
        <f t="shared" si="17"/>
        <v/>
      </c>
      <c r="CC13" s="173"/>
      <c r="CD13" s="100"/>
      <c r="CE13" s="101" t="s">
        <v>24</v>
      </c>
      <c r="CF13" s="183">
        <f>IFERROR((((COUNTIF('Elève (6ème3)'!CC13:CE13,"A"))*4)+((COUNTIF('Elève (6ème3)'!CC13:CE13,"B"))*3)+((COUNTIF('Elève (6ème3)'!CC13:CE13,"C"))*2)+((COUNTIF('Elève (6ème3)'!CC13:CE13,"D"))*1))/(COUNTA(CC13:CE13)),"")</f>
        <v>3</v>
      </c>
      <c r="CG13" s="184" t="str">
        <f t="shared" si="18"/>
        <v>B</v>
      </c>
      <c r="CH13" s="183">
        <f>IF(COUNT(BV13,CA13,CF13)=0,"",SUM(BV13,CA13,CF13)/COUNT(BV13,CA13,CF13))</f>
        <v>2</v>
      </c>
      <c r="CI13" s="207" t="str">
        <f t="shared" si="19"/>
        <v>C</v>
      </c>
      <c r="CJ13" s="218" t="s">
        <v>25</v>
      </c>
      <c r="CK13" s="100"/>
      <c r="CL13" s="101"/>
      <c r="CM13" s="183">
        <f>IFERROR((((COUNTIF('Elève (6ème3)'!CJ13:CL13,"A"))*4)+((COUNTIF('Elève (6ème3)'!CJ13:CL13,"B"))*3)+((COUNTIF('Elève (6ème3)'!CJ13:CL13,"C"))*2)+((COUNTIF('Elève (6ème3)'!CJ13:CL13,"D"))*1))/(COUNTA(CJ13:CL13)),"")</f>
        <v>2</v>
      </c>
      <c r="CN13" s="184" t="str">
        <f t="shared" si="20"/>
        <v>C</v>
      </c>
      <c r="CO13" s="173"/>
      <c r="CP13" s="100"/>
      <c r="CQ13" s="101"/>
      <c r="CR13" s="183" t="str">
        <f>IFERROR((((COUNTIF('Elève (6ème3)'!CO13:CQ13,"A"))*4)+((COUNTIF('Elève (6ème3)'!CO13:CQ13,"B"))*3)+((COUNTIF('Elève (6ème3)'!CO13:CQ13,"C"))*2)+((COUNTIF('Elève (6ème3)'!CO13:CQ13,"D"))*1))/(COUNTA(CO13:CQ13)),"")</f>
        <v/>
      </c>
      <c r="CS13" s="184" t="str">
        <f t="shared" si="21"/>
        <v/>
      </c>
      <c r="CT13" s="173"/>
      <c r="CU13" s="100"/>
      <c r="CV13" s="101" t="s">
        <v>24</v>
      </c>
      <c r="CW13" s="183">
        <f>IFERROR((((COUNTIF('Elève (6ème3)'!CT13:CV13,"A"))*4)+((COUNTIF('Elève (6ème3)'!CT13:CV13,"B"))*3)+((COUNTIF('Elève (6ème3)'!CT13:CV13,"C"))*2)+((COUNTIF('Elève (6ème3)'!CT13:CV13,"D"))*1))/(COUNTA(CT13:CV13)),"")</f>
        <v>3</v>
      </c>
      <c r="CX13" s="184" t="str">
        <f t="shared" si="22"/>
        <v>B</v>
      </c>
      <c r="CY13" s="183">
        <f>IF(COUNT(CM13,CR13,CW13)=0,"",SUM(CM13,CR13,CW13)/COUNT(CM13,CR13,CW13))</f>
        <v>2.5</v>
      </c>
      <c r="CZ13" s="207" t="str">
        <f t="shared" si="23"/>
        <v>C</v>
      </c>
      <c r="DA13" s="218" t="s">
        <v>24</v>
      </c>
      <c r="DB13" s="100"/>
      <c r="DC13" s="101"/>
      <c r="DD13" s="183">
        <f>IFERROR((((COUNTIF('Elève (6ème3)'!DA13:DC13,"A"))*4)+((COUNTIF('Elève (6ème3)'!DA13:DC13,"B"))*3)+((COUNTIF('Elève (6ème3)'!DA13:DC13,"C"))*2)+((COUNTIF('Elève (6ème3)'!DA13:DC13,"D"))*1))/(COUNTA(DA13:DC13)),"")</f>
        <v>3</v>
      </c>
      <c r="DE13" s="184" t="str">
        <f t="shared" si="24"/>
        <v>B</v>
      </c>
      <c r="DF13" s="173"/>
      <c r="DG13" s="100"/>
      <c r="DH13" s="101"/>
      <c r="DI13" s="183" t="str">
        <f>IFERROR((((COUNTIF('Elève (6ème3)'!DF13:DH13,"A"))*4)+((COUNTIF('Elève (6ème3)'!DF13:DH13,"B"))*3)+((COUNTIF('Elève (6ème3)'!DF13:DH13,"C"))*2)+((COUNTIF('Elève (6ème3)'!DF13:DH13,"D"))*1))/(COUNTA(DF13:DH13)),"")</f>
        <v/>
      </c>
      <c r="DJ13" s="184" t="str">
        <f t="shared" si="25"/>
        <v/>
      </c>
      <c r="DK13" s="173"/>
      <c r="DL13" s="100"/>
      <c r="DM13" s="101" t="s">
        <v>24</v>
      </c>
      <c r="DN13" s="183">
        <f>IFERROR((((COUNTIF('Elève (6ème3)'!DK13:DM13,"A"))*4)+((COUNTIF('Elève (6ème3)'!DK13:DM13,"B"))*3)+((COUNTIF('Elève (6ème3)'!DK13:DM13,"C"))*2)+((COUNTIF('Elève (6ème3)'!DK13:DM13,"D"))*1))/(COUNTA(DK13:DM13)),"")</f>
        <v>3</v>
      </c>
      <c r="DO13" s="184" t="str">
        <f t="shared" si="26"/>
        <v>B</v>
      </c>
      <c r="DP13" s="183">
        <f>IF(COUNT(DD13,DI13,DN13)=0,"",SUM(DD13,DI13,DN13)/COUNT(DD13,DI13,DN13))</f>
        <v>3</v>
      </c>
      <c r="DQ13" s="207" t="str">
        <f t="shared" si="27"/>
        <v>B</v>
      </c>
      <c r="DR13" s="218"/>
      <c r="DS13" s="100"/>
      <c r="DT13" s="101"/>
      <c r="DU13" s="183" t="str">
        <f>IFERROR((((COUNTIF('Elève (6ème3)'!DR13:DT13,"A"))*4)+((COUNTIF('Elève (6ème3)'!DR13:DT13,"B"))*3)+((COUNTIF('Elève (6ème3)'!DR13:DT13,"C"))*2)+((COUNTIF('Elève (6ème3)'!DR13:DT13,"D"))*1))/(COUNTA(DR13:DT13)),"")</f>
        <v/>
      </c>
      <c r="DV13" s="184" t="str">
        <f t="shared" si="28"/>
        <v/>
      </c>
      <c r="DW13" s="173"/>
      <c r="DX13" s="100"/>
      <c r="DY13" s="101"/>
      <c r="DZ13" s="183" t="str">
        <f>IFERROR((((COUNTIF('Elève (6ème3)'!DW13:DY13,"A"))*4)+((COUNTIF('Elève (6ème3)'!DW13:DY13,"B"))*3)+((COUNTIF('Elève (6ème3)'!DW13:DY13,"C"))*2)+((COUNTIF('Elève (6ème3)'!DW13:DY13,"D"))*1))/(COUNTA(DW13:DY13)),"")</f>
        <v/>
      </c>
      <c r="EA13" s="184" t="str">
        <f t="shared" si="29"/>
        <v/>
      </c>
      <c r="EB13" s="173"/>
      <c r="EC13" s="100"/>
      <c r="ED13" s="101" t="s">
        <v>24</v>
      </c>
      <c r="EE13" s="183">
        <f>IFERROR((((COUNTIF('Elève (6ème3)'!EB13:ED13,"A"))*4)+((COUNTIF('Elève (6ème3)'!EB13:ED13,"B"))*3)+((COUNTIF('Elève (6ème3)'!EB13:ED13,"C"))*2)+((COUNTIF('Elève (6ème3)'!EB13:ED13,"D"))*1))/(COUNTA(EB13:ED13)),"")</f>
        <v>3</v>
      </c>
      <c r="EF13" s="184" t="str">
        <f t="shared" si="30"/>
        <v>B</v>
      </c>
      <c r="EG13" s="183">
        <f>IF(COUNT(DU13,DZ13,EE13)=0,"",SUM(DU13,DZ13,EE13)/COUNT(DU13,DZ13,EE13))</f>
        <v>3</v>
      </c>
      <c r="EH13" s="207" t="str">
        <f t="shared" si="31"/>
        <v>B</v>
      </c>
      <c r="EI13" s="218" t="s">
        <v>25</v>
      </c>
      <c r="EJ13" s="100"/>
      <c r="EK13" s="101"/>
      <c r="EL13" s="183">
        <f>IFERROR((((COUNTIF('Elève (6ème3)'!EI13:EK13,"A"))*4)+((COUNTIF('Elève (6ème3)'!EI13:EK13,"B"))*3)+((COUNTIF('Elève (6ème3)'!EI13:EK13,"C"))*2)+((COUNTIF('Elève (6ème3)'!EI13:EK13,"D"))*1))/(COUNTA(EI13:EK13)),"")</f>
        <v>2</v>
      </c>
      <c r="EM13" s="184" t="str">
        <f t="shared" si="32"/>
        <v>C</v>
      </c>
      <c r="EN13" s="173"/>
      <c r="EO13" s="100"/>
      <c r="EP13" s="101"/>
      <c r="EQ13" s="183" t="str">
        <f>IFERROR((((COUNTIF('Elève (6ème3)'!EN13:EP13,"A"))*4)+((COUNTIF('Elève (6ème3)'!EN13:EP13,"B"))*3)+((COUNTIF('Elève (6ème3)'!EN13:EP13,"C"))*2)+((COUNTIF('Elève (6ème3)'!EN13:EP13,"D"))*1))/(COUNTA(EN13:EP13)),"")</f>
        <v/>
      </c>
      <c r="ER13" s="184" t="str">
        <f t="shared" si="33"/>
        <v/>
      </c>
      <c r="ES13" s="173"/>
      <c r="ET13" s="100"/>
      <c r="EU13" s="101" t="s">
        <v>25</v>
      </c>
      <c r="EV13" s="183">
        <f>IFERROR((((COUNTIF('Elève (6ème3)'!ES13:EU13,"A"))*4)+((COUNTIF('Elève (6ème3)'!ES13:EU13,"B"))*3)+((COUNTIF('Elève (6ème3)'!ES13:EU13,"C"))*2)+((COUNTIF('Elève (6ème3)'!ES13:EU13,"D"))*1))/(COUNTA(ES13:EU13)),"")</f>
        <v>2</v>
      </c>
      <c r="EW13" s="184" t="str">
        <f t="shared" si="34"/>
        <v>C</v>
      </c>
      <c r="EX13" s="183">
        <f>IF(COUNT(EL13,EQ13,EV13)=0,"",SUM(EL13,EQ13,EV13)/COUNT(EL13,EQ13,EV13))</f>
        <v>2</v>
      </c>
      <c r="EY13" s="207" t="str">
        <f t="shared" si="35"/>
        <v>C</v>
      </c>
      <c r="EZ13" s="218" t="s">
        <v>24</v>
      </c>
      <c r="FA13" s="100"/>
      <c r="FB13" s="101"/>
      <c r="FC13" s="183">
        <f>IFERROR((((COUNTIF('Elève (6ème3)'!EZ13:FB13,"A"))*4)+((COUNTIF('Elève (6ème3)'!EZ13:FB13,"B"))*3)+((COUNTIF('Elève (6ème3)'!EZ13:FB13,"C"))*2)+((COUNTIF('Elève (6ème3)'!EZ13:FB13,"D"))*1))/(COUNTA(EZ13:FB13)),"")</f>
        <v>3</v>
      </c>
      <c r="FD13" s="184" t="str">
        <f t="shared" si="36"/>
        <v>B</v>
      </c>
      <c r="FE13" s="173"/>
      <c r="FF13" s="100"/>
      <c r="FG13" s="101"/>
      <c r="FH13" s="183" t="str">
        <f>IFERROR((((COUNTIF('Elève (6ème3)'!FE13:FG13,"A"))*4)+((COUNTIF('Elève (6ème3)'!FE13:FG13,"B"))*3)+((COUNTIF('Elève (6ème3)'!FE13:FG13,"C"))*2)+((COUNTIF('Elève (6ème3)'!FE13:FG13,"D"))*1))/(COUNTA(FE13:FG13)),"")</f>
        <v/>
      </c>
      <c r="FI13" s="184" t="str">
        <f t="shared" si="37"/>
        <v/>
      </c>
      <c r="FJ13" s="173"/>
      <c r="FK13" s="100"/>
      <c r="FL13" s="101" t="s">
        <v>23</v>
      </c>
      <c r="FM13" s="183">
        <f>IFERROR((((COUNTIF('Elève (6ème3)'!FJ13:FL13,"A"))*4)+((COUNTIF('Elève (6ème3)'!FJ13:FL13,"B"))*3)+((COUNTIF('Elève (6ème3)'!FJ13:FL13,"C"))*2)+((COUNTIF('Elève (6ème3)'!FJ13:FL13,"D"))*1))/(COUNTA(FJ13:FL13)),"")</f>
        <v>4</v>
      </c>
      <c r="FN13" s="184" t="str">
        <f t="shared" si="38"/>
        <v>A</v>
      </c>
      <c r="FO13" s="183">
        <f>IF(COUNT(FC13,FH13,FM13)=0,"",SUM(FC13,FH13,FM13)/COUNT(FC13,FH13,FM13))</f>
        <v>3.5</v>
      </c>
      <c r="FP13" s="207" t="str">
        <f t="shared" si="39"/>
        <v>B</v>
      </c>
      <c r="FQ13" s="218" t="s">
        <v>25</v>
      </c>
      <c r="FR13" s="100"/>
      <c r="FS13" s="101"/>
      <c r="FT13" s="183">
        <f>IFERROR((((COUNTIF('Elève (6ème3)'!FQ13:FS13,"A"))*4)+((COUNTIF('Elève (6ème3)'!FQ13:FS13,"B"))*3)+((COUNTIF('Elève (6ème3)'!FQ13:FS13,"C"))*2)+((COUNTIF('Elève (6ème3)'!FQ13:FS13,"D"))*1))/(COUNTA(FQ13:FS13)),"")</f>
        <v>2</v>
      </c>
      <c r="FU13" s="184" t="str">
        <f t="shared" si="40"/>
        <v>C</v>
      </c>
      <c r="FV13" s="173"/>
      <c r="FW13" s="100"/>
      <c r="FX13" s="101"/>
      <c r="FY13" s="183" t="str">
        <f>IFERROR((((COUNTIF('Elève (6ème3)'!FV13:FX13,"A"))*4)+((COUNTIF('Elève (6ème3)'!FV13:FX13,"B"))*3)+((COUNTIF('Elève (6ème3)'!FV13:FX13,"C"))*2)+((COUNTIF('Elève (6ème3)'!FV13:FX13,"D"))*1))/(COUNTA(FV13:FX13)),"")</f>
        <v/>
      </c>
      <c r="FZ13" s="184" t="str">
        <f t="shared" si="41"/>
        <v/>
      </c>
      <c r="GA13" s="173"/>
      <c r="GB13" s="100"/>
      <c r="GC13" s="101" t="s">
        <v>23</v>
      </c>
      <c r="GD13" s="183">
        <f>IFERROR((((COUNTIF('Elève (6ème3)'!GA13:GC13,"A"))*4)+((COUNTIF('Elève (6ème3)'!GA13:GC13,"B"))*3)+((COUNTIF('Elève (6ème3)'!GA13:GC13,"C"))*2)+((COUNTIF('Elève (6ème3)'!GA13:GC13,"D"))*1))/(COUNTA(GA13:GC13)),"")</f>
        <v>4</v>
      </c>
      <c r="GE13" s="184" t="str">
        <f t="shared" si="42"/>
        <v>A</v>
      </c>
      <c r="GF13" s="183">
        <f>IF(COUNT(FT13,FY13,GD13)=0,"",SUM(FT13,FY13,GD13)/COUNT(FT13,FY13,GD13))</f>
        <v>3</v>
      </c>
      <c r="GG13" s="207" t="str">
        <f t="shared" si="43"/>
        <v>B</v>
      </c>
      <c r="GH13" s="218" t="s">
        <v>24</v>
      </c>
      <c r="GI13" s="100"/>
      <c r="GJ13" s="101"/>
      <c r="GK13" s="183">
        <f>IFERROR((((COUNTIF('Elève (6ème3)'!GH13:GJ13,"A"))*4)+((COUNTIF('Elève (6ème3)'!GH13:GJ13,"B"))*3)+((COUNTIF('Elève (6ème3)'!GH13:GJ13,"C"))*2)+((COUNTIF('Elève (6ème3)'!GH13:GJ13,"D"))*1))/(COUNTA(GH13:GJ13)),"")</f>
        <v>3</v>
      </c>
      <c r="GL13" s="184" t="str">
        <f t="shared" si="44"/>
        <v>B</v>
      </c>
      <c r="GM13" s="173"/>
      <c r="GN13" s="100"/>
      <c r="GO13" s="101"/>
      <c r="GP13" s="183" t="str">
        <f>IFERROR((((COUNTIF('Elève (6ème3)'!GM13:GO13,"A"))*4)+((COUNTIF('Elève (6ème3)'!GM13:GO13,"B"))*3)+((COUNTIF('Elève (6ème3)'!GM13:GO13,"C"))*2)+((COUNTIF('Elève (6ème3)'!GM13:GO13,"D"))*1))/(COUNTA(GM13:GO13)),"")</f>
        <v/>
      </c>
      <c r="GQ13" s="184" t="str">
        <f t="shared" si="45"/>
        <v/>
      </c>
      <c r="GR13" s="173"/>
      <c r="GS13" s="100"/>
      <c r="GT13" s="101" t="s">
        <v>24</v>
      </c>
      <c r="GU13" s="183">
        <f>IFERROR((((COUNTIF('Elève (6ème3)'!GR13:GT13,"A"))*4)+((COUNTIF('Elève (6ème3)'!GR13:GT13,"B"))*3)+((COUNTIF('Elève (6ème3)'!GR13:GT13,"C"))*2)+((COUNTIF('Elève (6ème3)'!GR13:GT13,"D"))*1))/(COUNTA(GR13:GT13)),"")</f>
        <v>3</v>
      </c>
      <c r="GV13" s="184" t="str">
        <f t="shared" si="46"/>
        <v>B</v>
      </c>
      <c r="GW13" s="183">
        <f>IF(COUNT(GK13,GP13,GU13)=0,"",SUM(GK13,GP13,GU13)/COUNT(GK13,GP13,GU13))</f>
        <v>3</v>
      </c>
      <c r="GX13" s="207" t="str">
        <f t="shared" si="47"/>
        <v>B</v>
      </c>
      <c r="GY13" s="218" t="s">
        <v>26</v>
      </c>
      <c r="GZ13" s="100"/>
      <c r="HA13" s="101"/>
      <c r="HB13" s="183">
        <f>IFERROR((((COUNTIF('Elève (6ème3)'!GY13:HA13,"A"))*4)+((COUNTIF('Elève (6ème3)'!GY13:HA13,"B"))*3)+((COUNTIF('Elève (6ème3)'!GY13:HA13,"C"))*2)+((COUNTIF('Elève (6ème3)'!GY13:HA13,"D"))*1))/(COUNTA(GY13:HA13)),"")</f>
        <v>1</v>
      </c>
      <c r="HC13" s="184" t="str">
        <f t="shared" si="48"/>
        <v>D</v>
      </c>
      <c r="HD13" s="173"/>
      <c r="HE13" s="100"/>
      <c r="HF13" s="101"/>
      <c r="HG13" s="183" t="str">
        <f>IFERROR((((COUNTIF('Elève (6ème3)'!HD13:HF13,"A"))*4)+((COUNTIF('Elève (6ème3)'!HD13:HF13,"B"))*3)+((COUNTIF('Elève (6ème3)'!HD13:HF13,"C"))*2)+((COUNTIF('Elève (6ème3)'!HD13:HF13,"D"))*1))/(COUNTA(HD13:HF13)),"")</f>
        <v/>
      </c>
      <c r="HH13" s="184" t="str">
        <f t="shared" si="49"/>
        <v/>
      </c>
      <c r="HI13" s="173"/>
      <c r="HJ13" s="100"/>
      <c r="HK13" s="101" t="s">
        <v>25</v>
      </c>
      <c r="HL13" s="183">
        <f>IFERROR((((COUNTIF('Elève (6ème3)'!HI13:HK13,"A"))*4)+((COUNTIF('Elève (6ème3)'!HI13:HK13,"B"))*3)+((COUNTIF('Elève (6ème3)'!HI13:HK13,"C"))*2)+((COUNTIF('Elève (6ème3)'!HI13:HK13,"D"))*1))/(COUNTA(HI13:HK13)),"")</f>
        <v>2</v>
      </c>
      <c r="HM13" s="184" t="str">
        <f t="shared" si="50"/>
        <v>C</v>
      </c>
      <c r="HN13" s="183">
        <f>IF(COUNT(HB13,HG13,HL13)=0,"",SUM(HB13,HG13,HL13)/COUNT(HB13,HG13,HL13))</f>
        <v>1.5</v>
      </c>
      <c r="HO13" s="207" t="str">
        <f t="shared" si="51"/>
        <v>D</v>
      </c>
      <c r="HP13" s="218" t="s">
        <v>26</v>
      </c>
      <c r="HQ13" s="100"/>
      <c r="HR13" s="101"/>
      <c r="HS13" s="183">
        <f>IFERROR((((COUNTIF('Elève (6ème3)'!HP13:HR13,"A"))*4)+((COUNTIF('Elève (6ème3)'!HP13:HR13,"B"))*3)+((COUNTIF('Elève (6ème3)'!HP13:HR13,"C"))*2)+((COUNTIF('Elève (6ème3)'!HP13:HR13,"D"))*1))/(COUNTA(HP13:HR13)),"")</f>
        <v>1</v>
      </c>
      <c r="HT13" s="184" t="str">
        <f t="shared" si="52"/>
        <v>D</v>
      </c>
      <c r="HU13" s="173"/>
      <c r="HV13" s="100"/>
      <c r="HW13" s="101"/>
      <c r="HX13" s="183" t="str">
        <f>IFERROR((((COUNTIF('Elève (6ème3)'!HU13:HW13,"A"))*4)+((COUNTIF('Elève (6ème3)'!HU13:HW13,"B"))*3)+((COUNTIF('Elève (6ème3)'!HU13:HW13,"C"))*2)+((COUNTIF('Elève (6ème3)'!HU13:HW13,"D"))*1))/(COUNTA(HU13:HW13)),"")</f>
        <v/>
      </c>
      <c r="HY13" s="184" t="str">
        <f t="shared" si="53"/>
        <v/>
      </c>
      <c r="HZ13" s="173"/>
      <c r="IA13" s="100"/>
      <c r="IB13" s="101" t="s">
        <v>25</v>
      </c>
      <c r="IC13" s="183">
        <f>IFERROR((((COUNTIF('Elève (6ème3)'!HZ13:IB13,"A"))*4)+((COUNTIF('Elève (6ème3)'!HZ13:IB13,"B"))*3)+((COUNTIF('Elève (6ème3)'!HZ13:IB13,"C"))*2)+((COUNTIF('Elève (6ème3)'!HZ13:IB13,"D"))*1))/(COUNTA(HZ13:IB13)),"")</f>
        <v>2</v>
      </c>
      <c r="ID13" s="184" t="str">
        <f t="shared" si="54"/>
        <v>C</v>
      </c>
      <c r="IE13" s="183">
        <f>IF(COUNT(HS13,HX13,IC13)=0,"",SUM(HS13,HX13,IC13)/COUNT(HS13,HX13,IC13))</f>
        <v>1.5</v>
      </c>
      <c r="IF13" s="207" t="str">
        <f t="shared" si="55"/>
        <v>D</v>
      </c>
      <c r="IG13" s="218" t="s">
        <v>24</v>
      </c>
      <c r="IH13" s="100"/>
      <c r="II13" s="101"/>
      <c r="IJ13" s="183">
        <f>IFERROR((((COUNTIF('Elève (6ème3)'!IG13:II13,"A"))*4)+((COUNTIF('Elève (6ème3)'!IG13:II13,"B"))*3)+((COUNTIF('Elève (6ème3)'!IG13:II13,"C"))*2)+((COUNTIF('Elève (6ème3)'!IG13:II13,"D"))*1))/(COUNTA(IG13:II13)),"")</f>
        <v>3</v>
      </c>
      <c r="IK13" s="184" t="str">
        <f t="shared" si="56"/>
        <v>B</v>
      </c>
      <c r="IL13" s="173"/>
      <c r="IM13" s="100"/>
      <c r="IN13" s="101"/>
      <c r="IO13" s="183" t="str">
        <f>IFERROR((((COUNTIF('Elève (6ème3)'!IL13:IN13,"A"))*4)+((COUNTIF('Elève (6ème3)'!IL13:IN13,"B"))*3)+((COUNTIF('Elève (6ème3)'!IL13:IN13,"C"))*2)+((COUNTIF('Elève (6ème3)'!IL13:IN13,"D"))*1))/(COUNTA(IL13:IN13)),"")</f>
        <v/>
      </c>
      <c r="IP13" s="184" t="str">
        <f t="shared" si="57"/>
        <v/>
      </c>
      <c r="IQ13" s="173"/>
      <c r="IR13" s="100"/>
      <c r="IS13" s="101" t="s">
        <v>25</v>
      </c>
      <c r="IT13" s="183">
        <f>IFERROR((((COUNTIF('Elève (6ème3)'!IQ13:IS13,"A"))*4)+((COUNTIF('Elève (6ème3)'!IQ13:IS13,"B"))*3)+((COUNTIF('Elève (6ème3)'!IQ13:IS13,"C"))*2)+((COUNTIF('Elève (6ème3)'!IQ13:IS13,"D"))*1))/(COUNTA(IQ13:IS13)),"")</f>
        <v>2</v>
      </c>
      <c r="IU13" s="184" t="str">
        <f t="shared" si="58"/>
        <v>C</v>
      </c>
      <c r="IV13" s="183">
        <f>IF(COUNT(IJ13,IO13,IT13)=0,"",SUM(IJ13,IO13,IT13)/COUNT(IJ13,IO13,IT13))</f>
        <v>2.5</v>
      </c>
      <c r="IW13" s="207" t="str">
        <f t="shared" si="59"/>
        <v>C</v>
      </c>
      <c r="IX13" s="218" t="s">
        <v>24</v>
      </c>
      <c r="IY13" s="100"/>
      <c r="IZ13" s="101"/>
      <c r="JA13" s="183">
        <f>IFERROR((((COUNTIF('Elève (6ème3)'!IX13:IZ13,"A"))*4)+((COUNTIF('Elève (6ème3)'!IX13:IZ13,"B"))*3)+((COUNTIF('Elève (6ème3)'!IX13:IZ13,"C"))*2)+((COUNTIF('Elève (6ème3)'!IX13:IZ13,"D"))*1))/(COUNTA(IX13:IZ13)),"")</f>
        <v>3</v>
      </c>
      <c r="JB13" s="184" t="str">
        <f t="shared" si="60"/>
        <v>B</v>
      </c>
      <c r="JC13" s="173"/>
      <c r="JD13" s="100"/>
      <c r="JE13" s="101"/>
      <c r="JF13" s="183" t="str">
        <f>IFERROR((((COUNTIF('Elève (6ème3)'!JC13:JE13,"A"))*4)+((COUNTIF('Elève (6ème3)'!JC13:JE13,"B"))*3)+((COUNTIF('Elève (6ème3)'!JC13:JE13,"C"))*2)+((COUNTIF('Elève (6ème3)'!JC13:JE13,"D"))*1))/(COUNTA(JC13:JE13)),"")</f>
        <v/>
      </c>
      <c r="JG13" s="184" t="str">
        <f t="shared" si="61"/>
        <v/>
      </c>
      <c r="JH13" s="173"/>
      <c r="JI13" s="100"/>
      <c r="JJ13" s="101" t="s">
        <v>24</v>
      </c>
      <c r="JK13" s="183">
        <f>IFERROR((((COUNTIF('Elève (6ème3)'!JH13:JJ13,"A"))*4)+((COUNTIF('Elève (6ème3)'!JH13:JJ13,"B"))*3)+((COUNTIF('Elève (6ème3)'!JH13:JJ13,"C"))*2)+((COUNTIF('Elève (6ème3)'!JH13:JJ13,"D"))*1))/(COUNTA(JH13:JJ13)),"")</f>
        <v>3</v>
      </c>
      <c r="JL13" s="184" t="str">
        <f t="shared" si="62"/>
        <v>B</v>
      </c>
      <c r="JM13" s="183">
        <f>IF(COUNT(JA13,JF13,JK13)=0,"",SUM(JA13,JF13,JK13)/COUNT(JA13,JF13,JK13))</f>
        <v>3</v>
      </c>
      <c r="JN13" s="207" t="str">
        <f t="shared" si="63"/>
        <v>B</v>
      </c>
      <c r="JO13" s="218" t="s">
        <v>24</v>
      </c>
      <c r="JP13" s="100"/>
      <c r="JQ13" s="101"/>
      <c r="JR13" s="183">
        <f>IFERROR((((COUNTIF('Elève (6ème3)'!JO13:JQ13,"A"))*4)+((COUNTIF('Elève (6ème3)'!JO13:JQ13,"B"))*3)+((COUNTIF('Elève (6ème3)'!JO13:JQ13,"C"))*2)+((COUNTIF('Elève (6ème3)'!JO13:JQ13,"D"))*1))/(COUNTA(JO13:JQ13)),"")</f>
        <v>3</v>
      </c>
      <c r="JS13" s="184" t="str">
        <f t="shared" si="64"/>
        <v>B</v>
      </c>
      <c r="JT13" s="173"/>
      <c r="JU13" s="100"/>
      <c r="JV13" s="101"/>
      <c r="JW13" s="183" t="str">
        <f>IFERROR((((COUNTIF('Elève (6ème3)'!JT13:JV13,"A"))*4)+((COUNTIF('Elève (6ème3)'!JT13:JV13,"B"))*3)+((COUNTIF('Elève (6ème3)'!JT13:JV13,"C"))*2)+((COUNTIF('Elève (6ème3)'!JT13:JV13,"D"))*1))/(COUNTA(JT13:JV13)),"")</f>
        <v/>
      </c>
      <c r="JX13" s="184" t="str">
        <f t="shared" si="65"/>
        <v/>
      </c>
      <c r="JY13" s="173"/>
      <c r="JZ13" s="100"/>
      <c r="KA13" s="101" t="s">
        <v>24</v>
      </c>
      <c r="KB13" s="183">
        <f>IFERROR((((COUNTIF('Elève (6ème3)'!JY13:KA13,"A"))*4)+((COUNTIF('Elève (6ème3)'!JY13:KA13,"B"))*3)+((COUNTIF('Elève (6ème3)'!JY13:KA13,"C"))*2)+((COUNTIF('Elève (6ème3)'!JY13:KA13,"D"))*1))/(COUNTA(JY13:KA13)),"")</f>
        <v>3</v>
      </c>
      <c r="KC13" s="184" t="str">
        <f t="shared" si="66"/>
        <v>B</v>
      </c>
      <c r="KD13" s="183">
        <f>IF(COUNT(JR13,JW13,KB13)=0,"",SUM(JR13,JW13,KB13)/COUNT(JR13,JW13,KB13))</f>
        <v>3</v>
      </c>
      <c r="KE13" s="207" t="str">
        <f t="shared" si="67"/>
        <v>B</v>
      </c>
      <c r="KF13" s="218" t="s">
        <v>24</v>
      </c>
      <c r="KG13" s="100"/>
      <c r="KH13" s="101"/>
      <c r="KI13" s="183">
        <f>IFERROR((((COUNTIF('Elève (6ème3)'!KF13:KH13,"A"))*4)+((COUNTIF('Elève (6ème3)'!KF13:KH13,"B"))*3)+((COUNTIF('Elève (6ème3)'!KF13:KH13,"C"))*2)+((COUNTIF('Elève (6ème3)'!KF13:KH13,"D"))*1))/(COUNTA(KF13:KH13)),"")</f>
        <v>3</v>
      </c>
      <c r="KJ13" s="184" t="str">
        <f t="shared" si="68"/>
        <v>B</v>
      </c>
      <c r="KK13" s="173"/>
      <c r="KL13" s="100"/>
      <c r="KM13" s="101"/>
      <c r="KN13" s="183" t="str">
        <f>IFERROR((((COUNTIF('Elève (6ème3)'!KK13:KM13,"A"))*4)+((COUNTIF('Elève (6ème3)'!KK13:KM13,"B"))*3)+((COUNTIF('Elève (6ème3)'!KK13:KM13,"C"))*2)+((COUNTIF('Elève (6ème3)'!KK13:KM13,"D"))*1))/(COUNTA(KK13:KM13)),"")</f>
        <v/>
      </c>
      <c r="KO13" s="184" t="str">
        <f t="shared" si="69"/>
        <v/>
      </c>
      <c r="KP13" s="173"/>
      <c r="KQ13" s="100"/>
      <c r="KR13" s="101" t="s">
        <v>24</v>
      </c>
      <c r="KS13" s="183">
        <f>IFERROR((((COUNTIF('Elève (6ème3)'!KP13:KR13,"A"))*4)+((COUNTIF('Elève (6ème3)'!KP13:KR13,"B"))*3)+((COUNTIF('Elève (6ème3)'!KP13:KR13,"C"))*2)+((COUNTIF('Elève (6ème3)'!KP13:KR13,"D"))*1))/(COUNTA(KP13:KR13)),"")</f>
        <v>3</v>
      </c>
      <c r="KT13" s="184" t="str">
        <f t="shared" si="70"/>
        <v>B</v>
      </c>
      <c r="KU13" s="183">
        <f>IF(COUNT(KI13,KN13,KS13)=0,"",SUM(KI13,KN13,KS13)/COUNT(KI13,KN13,KS13))</f>
        <v>3</v>
      </c>
      <c r="KV13" s="207" t="str">
        <f t="shared" si="71"/>
        <v>B</v>
      </c>
      <c r="KW13" s="218" t="s">
        <v>26</v>
      </c>
      <c r="KX13" s="100"/>
      <c r="KY13" s="101"/>
      <c r="KZ13" s="183">
        <f>IFERROR((((COUNTIF('Elève (6ème3)'!KW13:KY13,"A"))*4)+((COUNTIF('Elève (6ème3)'!KW13:KY13,"B"))*3)+((COUNTIF('Elève (6ème3)'!KW13:KY13,"C"))*2)+((COUNTIF('Elève (6ème3)'!KW13:KY13,"D"))*1))/(COUNTA(KW13:KY13)),"")</f>
        <v>1</v>
      </c>
      <c r="LA13" s="184" t="str">
        <f t="shared" si="72"/>
        <v>D</v>
      </c>
      <c r="LB13" s="173"/>
      <c r="LC13" s="100"/>
      <c r="LD13" s="101"/>
      <c r="LE13" s="183" t="str">
        <f>IFERROR((((COUNTIF('Elève (6ème3)'!LB13:LD13,"A"))*4)+((COUNTIF('Elève (6ème3)'!LB13:LD13,"B"))*3)+((COUNTIF('Elève (6ème3)'!LB13:LD13,"C"))*2)+((COUNTIF('Elève (6ème3)'!LB13:LD13,"D"))*1))/(COUNTA(LB13:LD13)),"")</f>
        <v/>
      </c>
      <c r="LF13" s="184" t="str">
        <f t="shared" si="73"/>
        <v/>
      </c>
      <c r="LG13" s="173"/>
      <c r="LH13" s="100"/>
      <c r="LI13" s="101" t="s">
        <v>24</v>
      </c>
      <c r="LJ13" s="183">
        <f>IFERROR((((COUNTIF('Elève (6ème3)'!LG13:LI13,"A"))*4)+((COUNTIF('Elève (6ème3)'!LG13:LI13,"B"))*3)+((COUNTIF('Elève (6ème3)'!LG13:LI13,"C"))*2)+((COUNTIF('Elève (6ème3)'!LG13:LI13,"D"))*1))/(COUNTA(LG13:LI13)),"")</f>
        <v>3</v>
      </c>
      <c r="LK13" s="184" t="str">
        <f t="shared" si="74"/>
        <v>B</v>
      </c>
      <c r="LL13" s="183">
        <f>IF(COUNT(KZ13,LE13,LJ13)=0,"",SUM(KZ13,LE13,LJ13)/COUNT(KZ13,LE13,LJ13))</f>
        <v>2</v>
      </c>
      <c r="LM13" s="207" t="str">
        <f t="shared" si="75"/>
        <v>C</v>
      </c>
      <c r="LN13" s="218" t="s">
        <v>24</v>
      </c>
      <c r="LO13" s="100"/>
      <c r="LP13" s="101"/>
      <c r="LQ13" s="183">
        <f>IFERROR((((COUNTIF('Elève (6ème3)'!LN13:LP13,"A"))*4)+((COUNTIF('Elève (6ème3)'!LN13:LP13,"B"))*3)+((COUNTIF('Elève (6ème3)'!LN13:LP13,"C"))*2)+((COUNTIF('Elève (6ème3)'!LN13:LP13,"D"))*1))/(COUNTA(LN13:LP13)),"")</f>
        <v>3</v>
      </c>
      <c r="LR13" s="184" t="str">
        <f t="shared" si="76"/>
        <v>B</v>
      </c>
      <c r="LS13" s="173"/>
      <c r="LT13" s="100"/>
      <c r="LU13" s="101"/>
      <c r="LV13" s="183" t="str">
        <f>IFERROR((((COUNTIF('Elève (6ème3)'!LS13:LU13,"A"))*4)+((COUNTIF('Elève (6ème3)'!LS13:LU13,"B"))*3)+((COUNTIF('Elève (6ème3)'!LS13:LU13,"C"))*2)+((COUNTIF('Elève (6ème3)'!LS13:LU13,"D"))*1))/(COUNTA(LS13:LU13)),"")</f>
        <v/>
      </c>
      <c r="LW13" s="184" t="str">
        <f t="shared" si="77"/>
        <v/>
      </c>
      <c r="LX13" s="173"/>
      <c r="LY13" s="100"/>
      <c r="LZ13" s="101" t="s">
        <v>24</v>
      </c>
      <c r="MA13" s="183">
        <f>IFERROR((((COUNTIF('Elève (6ème3)'!LX13:LZ13,"A"))*4)+((COUNTIF('Elève (6ème3)'!LX13:LZ13,"B"))*3)+((COUNTIF('Elève (6ème3)'!LX13:LZ13,"C"))*2)+((COUNTIF('Elève (6ème3)'!LX13:LZ13,"D"))*1))/(COUNTA(LX13:LZ13)),"")</f>
        <v>3</v>
      </c>
      <c r="MB13" s="184" t="str">
        <f t="shared" si="78"/>
        <v>B</v>
      </c>
      <c r="MC13" s="183">
        <f>IF(COUNT(LQ13,LV13,MA13)=0,"",SUM(LQ13,LV13,MA13)/COUNT(LQ13,LV13,MA13))</f>
        <v>3</v>
      </c>
      <c r="MD13" s="207" t="str">
        <f t="shared" si="79"/>
        <v>B</v>
      </c>
      <c r="ME13" s="218" t="s">
        <v>24</v>
      </c>
      <c r="MF13" s="100"/>
      <c r="MG13" s="101"/>
      <c r="MH13" s="183">
        <f>IFERROR((((COUNTIF('Elève (6ème3)'!ME13:MG13,"A"))*4)+((COUNTIF('Elève (6ème3)'!ME13:MG13,"B"))*3)+((COUNTIF('Elève (6ème3)'!ME13:MG13,"C"))*2)+((COUNTIF('Elève (6ème3)'!ME13:MG13,"D"))*1))/(COUNTA(ME13:MG13)),"")</f>
        <v>3</v>
      </c>
      <c r="MI13" s="184" t="str">
        <f t="shared" si="80"/>
        <v>B</v>
      </c>
      <c r="MJ13" s="173"/>
      <c r="MK13" s="100"/>
      <c r="ML13" s="101"/>
      <c r="MM13" s="183" t="str">
        <f>IFERROR((((COUNTIF('Elève (6ème3)'!MJ13:ML13,"A"))*4)+((COUNTIF('Elève (6ème3)'!MJ13:ML13,"B"))*3)+((COUNTIF('Elève (6ème3)'!MJ13:ML13,"C"))*2)+((COUNTIF('Elève (6ème3)'!MJ13:ML13,"D"))*1))/(COUNTA(MJ13:ML13)),"")</f>
        <v/>
      </c>
      <c r="MN13" s="184" t="str">
        <f t="shared" si="81"/>
        <v/>
      </c>
      <c r="MO13" s="173"/>
      <c r="MP13" s="100"/>
      <c r="MQ13" s="101" t="s">
        <v>24</v>
      </c>
      <c r="MR13" s="183">
        <f>IFERROR((((COUNTIF('Elève (6ème3)'!MO13:MQ13,"A"))*4)+((COUNTIF('Elève (6ème3)'!MO13:MQ13,"B"))*3)+((COUNTIF('Elève (6ème3)'!MO13:MQ13,"C"))*2)+((COUNTIF('Elève (6ème3)'!MO13:MQ13,"D"))*1))/(COUNTA(MO13:MQ13)),"")</f>
        <v>3</v>
      </c>
      <c r="MS13" s="184" t="str">
        <f t="shared" si="82"/>
        <v>B</v>
      </c>
      <c r="MT13" s="183">
        <f>IF(COUNT(MH13,MM13,MR13)=0,"",SUM(MH13,MM13,MR13)/COUNT(MH13,MM13,MR13))</f>
        <v>3</v>
      </c>
      <c r="MU13" s="207" t="str">
        <f t="shared" si="83"/>
        <v>B</v>
      </c>
      <c r="MV13" s="218" t="s">
        <v>25</v>
      </c>
      <c r="MW13" s="100"/>
      <c r="MX13" s="101"/>
      <c r="MY13" s="183">
        <f>IFERROR((((COUNTIF('Elève (6ème3)'!MV13:MX13,"A"))*4)+((COUNTIF('Elève (6ème3)'!MV13:MX13,"B"))*3)+((COUNTIF('Elève (6ème3)'!MV13:MX13,"C"))*2)+((COUNTIF('Elève (6ème3)'!MV13:MX13,"D"))*1))/(COUNTA(MV13:MX13)),"")</f>
        <v>2</v>
      </c>
      <c r="MZ13" s="184" t="str">
        <f t="shared" si="84"/>
        <v>C</v>
      </c>
      <c r="NA13" s="173"/>
      <c r="NB13" s="100"/>
      <c r="NC13" s="101"/>
      <c r="ND13" s="183" t="str">
        <f>IFERROR((((COUNTIF('Elève (6ème3)'!NA13:NC13,"A"))*4)+((COUNTIF('Elève (6ème3)'!NA13:NC13,"B"))*3)+((COUNTIF('Elève (6ème3)'!NA13:NC13,"C"))*2)+((COUNTIF('Elève (6ème3)'!NA13:NC13,"D"))*1))/(COUNTA(NA13:NC13)),"")</f>
        <v/>
      </c>
      <c r="NE13" s="184" t="str">
        <f t="shared" si="85"/>
        <v/>
      </c>
      <c r="NF13" s="173"/>
      <c r="NG13" s="100"/>
      <c r="NH13" s="101" t="s">
        <v>24</v>
      </c>
      <c r="NI13" s="183">
        <f>IFERROR((((COUNTIF('Elève (6ème3)'!NF13:NH13,"A"))*4)+((COUNTIF('Elève (6ème3)'!NF13:NH13,"B"))*3)+((COUNTIF('Elève (6ème3)'!NF13:NH13,"C"))*2)+((COUNTIF('Elève (6ème3)'!NF13:NH13,"D"))*1))/(COUNTA(NF13:NH13)),"")</f>
        <v>3</v>
      </c>
      <c r="NJ13" s="184" t="str">
        <f t="shared" si="86"/>
        <v>B</v>
      </c>
      <c r="NK13" s="183">
        <f>IF(COUNT(MY13,ND13,NI13)=0,"",SUM(MY13,ND13,NI13)/COUNT(MY13,ND13,NI13))</f>
        <v>2.5</v>
      </c>
      <c r="NL13" s="207" t="str">
        <f t="shared" si="87"/>
        <v>C</v>
      </c>
      <c r="NM13" s="218" t="s">
        <v>24</v>
      </c>
      <c r="NN13" s="100"/>
      <c r="NO13" s="101"/>
      <c r="NP13" s="183">
        <f>IFERROR((((COUNTIF('Elève (6ème3)'!NM13:NO13,"A"))*4)+((COUNTIF('Elève (6ème3)'!NM13:NO13,"B"))*3)+((COUNTIF('Elève (6ème3)'!NM13:NO13,"C"))*2)+((COUNTIF('Elève (6ème3)'!NM13:NO13,"D"))*1))/(COUNTA(NM13:NO13)),"")</f>
        <v>3</v>
      </c>
      <c r="NQ13" s="184" t="str">
        <f t="shared" si="88"/>
        <v>B</v>
      </c>
      <c r="NR13" s="173"/>
      <c r="NS13" s="100"/>
      <c r="NT13" s="101"/>
      <c r="NU13" s="183" t="str">
        <f>IFERROR((((COUNTIF('Elève (6ème3)'!NR13:NT13,"A"))*4)+((COUNTIF('Elève (6ème3)'!NR13:NT13,"B"))*3)+((COUNTIF('Elève (6ème3)'!NR13:NT13,"C"))*2)+((COUNTIF('Elève (6ème3)'!NR13:NT13,"D"))*1))/(COUNTA(NR13:NT13)),"")</f>
        <v/>
      </c>
      <c r="NV13" s="184" t="str">
        <f t="shared" si="89"/>
        <v/>
      </c>
      <c r="NW13" s="173"/>
      <c r="NX13" s="100"/>
      <c r="NY13" s="101" t="s">
        <v>24</v>
      </c>
      <c r="NZ13" s="183">
        <f>IFERROR((((COUNTIF('Elève (6ème3)'!NW13:NY13,"A"))*4)+((COUNTIF('Elève (6ème3)'!NW13:NY13,"B"))*3)+((COUNTIF('Elève (6ème3)'!NW13:NY13,"C"))*2)+((COUNTIF('Elève (6ème3)'!NW13:NY13,"D"))*1))/(COUNTA(NW13:NY13)),"")</f>
        <v>3</v>
      </c>
      <c r="OA13" s="184" t="str">
        <f t="shared" si="90"/>
        <v>B</v>
      </c>
      <c r="OB13" s="183">
        <f>IF(COUNT(NP13,NU13,NZ13)=0,"",SUM(NP13,NU13,NZ13)/COUNT(NP13,NU13,NZ13))</f>
        <v>3</v>
      </c>
      <c r="OC13" s="207" t="str">
        <f t="shared" si="91"/>
        <v>B</v>
      </c>
      <c r="OD13" s="218"/>
      <c r="OE13" s="100"/>
      <c r="OF13" s="101"/>
      <c r="OG13" s="183" t="str">
        <f>IFERROR((((COUNTIF('Elève (6ème3)'!OD13:OF13,"A"))*4)+((COUNTIF('Elève (6ème3)'!OD13:OF13,"B"))*3)+((COUNTIF('Elève (6ème3)'!OD13:OF13,"C"))*2)+((COUNTIF('Elève (6ème3)'!OD13:OF13,"D"))*1))/(COUNTA(OD13:OF13)),"")</f>
        <v/>
      </c>
      <c r="OH13" s="184" t="str">
        <f t="shared" si="92"/>
        <v/>
      </c>
      <c r="OI13" s="173"/>
      <c r="OJ13" s="100"/>
      <c r="OK13" s="101"/>
      <c r="OL13" s="183" t="str">
        <f>IFERROR((((COUNTIF('Elève (6ème3)'!OI13:OK13,"A"))*4)+((COUNTIF('Elève (6ème3)'!OI13:OK13,"B"))*3)+((COUNTIF('Elève (6ème3)'!OI13:OK13,"C"))*2)+((COUNTIF('Elève (6ème3)'!OI13:OK13,"D"))*1))/(COUNTA(OI13:OK13)),"")</f>
        <v/>
      </c>
      <c r="OM13" s="184" t="str">
        <f t="shared" si="93"/>
        <v/>
      </c>
      <c r="ON13" s="173"/>
      <c r="OO13" s="100"/>
      <c r="OP13" s="101" t="s">
        <v>24</v>
      </c>
      <c r="OQ13" s="183">
        <f>IFERROR((((COUNTIF('Elève (6ème3)'!ON13:OP13,"A"))*4)+((COUNTIF('Elève (6ème3)'!ON13:OP13,"B"))*3)+((COUNTIF('Elève (6ème3)'!ON13:OP13,"C"))*2)+((COUNTIF('Elève (6ème3)'!ON13:OP13,"D"))*1))/(COUNTA(ON13:OP13)),"")</f>
        <v>3</v>
      </c>
      <c r="OR13" s="184" t="str">
        <f t="shared" si="94"/>
        <v>B</v>
      </c>
      <c r="OS13" s="183">
        <f>IF(COUNT(OG13,OL13,OQ13)=0,"",SUM(OG13,OL13,OQ13)/COUNT(OG13,OL13,OQ13))</f>
        <v>3</v>
      </c>
      <c r="OT13" s="207" t="str">
        <f t="shared" si="95"/>
        <v>B</v>
      </c>
      <c r="OU13" s="218" t="s">
        <v>24</v>
      </c>
      <c r="OV13" s="100"/>
      <c r="OW13" s="101"/>
      <c r="OX13" s="183">
        <f>IFERROR((((COUNTIF('Elève (6ème3)'!OU13:OW13,"A"))*4)+((COUNTIF('Elève (6ème3)'!OU13:OW13,"B"))*3)+((COUNTIF('Elève (6ème3)'!OU13:OW13,"C"))*2)+((COUNTIF('Elève (6ème3)'!OU13:OW13,"D"))*1))/(COUNTA(OU13:OW13)),"")</f>
        <v>3</v>
      </c>
      <c r="OY13" s="184" t="str">
        <f t="shared" si="96"/>
        <v>B</v>
      </c>
      <c r="OZ13" s="173"/>
      <c r="PA13" s="100"/>
      <c r="PB13" s="101"/>
      <c r="PC13" s="183" t="str">
        <f>IFERROR((((COUNTIF('Elève (6ème3)'!OZ13:PB13,"A"))*4)+((COUNTIF('Elève (6ème3)'!OZ13:PB13,"B"))*3)+((COUNTIF('Elève (6ème3)'!OZ13:PB13,"C"))*2)+((COUNTIF('Elève (6ème3)'!OZ13:PB13,"D"))*1))/(COUNTA(OZ13:PB13)),"")</f>
        <v/>
      </c>
      <c r="PD13" s="184" t="str">
        <f t="shared" si="97"/>
        <v/>
      </c>
      <c r="PE13" s="173"/>
      <c r="PF13" s="100"/>
      <c r="PG13" s="101" t="s">
        <v>24</v>
      </c>
      <c r="PH13" s="183">
        <f>IFERROR((((COUNTIF('Elève (6ème3)'!PE13:PG13,"A"))*4)+((COUNTIF('Elève (6ème3)'!PE13:PG13,"B"))*3)+((COUNTIF('Elève (6ème3)'!PE13:PG13,"C"))*2)+((COUNTIF('Elève (6ème3)'!PE13:PG13,"D"))*1))/(COUNTA(PE13:PG13)),"")</f>
        <v>3</v>
      </c>
      <c r="PI13" s="184" t="str">
        <f t="shared" si="98"/>
        <v>B</v>
      </c>
      <c r="PJ13" s="183">
        <f>IF(COUNT(OX13,PC13,PH13)=0,"",SUM(OX13,PC13,PH13)/COUNT(OX13,PC13,PH13))</f>
        <v>3</v>
      </c>
      <c r="PK13" s="207" t="str">
        <f t="shared" si="99"/>
        <v>B</v>
      </c>
      <c r="PL13" s="218" t="s">
        <v>25</v>
      </c>
      <c r="PM13" s="100"/>
      <c r="PN13" s="101"/>
      <c r="PO13" s="183">
        <f>IFERROR((((COUNTIF('Elève (6ème3)'!PL13:PN13,"A"))*4)+((COUNTIF('Elève (6ème3)'!PL13:PN13,"B"))*3)+((COUNTIF('Elève (6ème3)'!PL13:PN13,"C"))*2)+((COUNTIF('Elève (6ème3)'!PL13:PN13,"D"))*1))/(COUNTA(PL13:PN13)),"")</f>
        <v>2</v>
      </c>
      <c r="PP13" s="184" t="str">
        <f t="shared" si="100"/>
        <v>C</v>
      </c>
      <c r="PQ13" s="173"/>
      <c r="PR13" s="100"/>
      <c r="PS13" s="101"/>
      <c r="PT13" s="183" t="str">
        <f>IFERROR((((COUNTIF('Elève (6ème3)'!PQ13:PS13,"A"))*4)+((COUNTIF('Elève (6ème3)'!PQ13:PS13,"B"))*3)+((COUNTIF('Elève (6ème3)'!PQ13:PS13,"C"))*2)+((COUNTIF('Elève (6ème3)'!PQ13:PS13,"D"))*1))/(COUNTA(PQ13:PS13)),"")</f>
        <v/>
      </c>
      <c r="PU13" s="184" t="str">
        <f t="shared" si="101"/>
        <v/>
      </c>
      <c r="PV13" s="173"/>
      <c r="PW13" s="100"/>
      <c r="PX13" s="101" t="s">
        <v>24</v>
      </c>
      <c r="PY13" s="183">
        <f>IFERROR((((COUNTIF('Elève (6ème3)'!PV13:PX13,"A"))*4)+((COUNTIF('Elève (6ème3)'!PV13:PX13,"B"))*3)+((COUNTIF('Elève (6ème3)'!PV13:PX13,"C"))*2)+((COUNTIF('Elève (6ème3)'!PV13:PX13,"D"))*1))/(COUNTA(PV13:PX13)),"")</f>
        <v>3</v>
      </c>
      <c r="PZ13" s="184" t="str">
        <f t="shared" si="102"/>
        <v>B</v>
      </c>
      <c r="QA13" s="183">
        <f>IF(COUNT(PO13,PT13,PY13)=0,"",SUM(PO13,PT13,PY13)/COUNT(PO13,PT13,PY13))</f>
        <v>2.5</v>
      </c>
      <c r="QB13" s="207" t="str">
        <f t="shared" si="103"/>
        <v>C</v>
      </c>
      <c r="QC13" s="218" t="s">
        <v>25</v>
      </c>
      <c r="QD13" s="100"/>
      <c r="QE13" s="101"/>
      <c r="QF13" s="183">
        <f>IFERROR((((COUNTIF('Elève (6ème3)'!QC13:QE13,"A"))*4)+((COUNTIF('Elève (6ème3)'!QC13:QE13,"B"))*3)+((COUNTIF('Elève (6ème3)'!QC13:QE13,"C"))*2)+((COUNTIF('Elève (6ème3)'!QC13:QE13,"D"))*1))/(COUNTA(QC13:QE13)),"")</f>
        <v>2</v>
      </c>
      <c r="QG13" s="184" t="str">
        <f t="shared" si="104"/>
        <v>C</v>
      </c>
      <c r="QH13" s="173"/>
      <c r="QI13" s="100"/>
      <c r="QJ13" s="101"/>
      <c r="QK13" s="183" t="str">
        <f>IFERROR((((COUNTIF('Elève (6ème3)'!QH13:QJ13,"A"))*4)+((COUNTIF('Elève (6ème3)'!QH13:QJ13,"B"))*3)+((COUNTIF('Elève (6ème3)'!QH13:QJ13,"C"))*2)+((COUNTIF('Elève (6ème3)'!QH13:QJ13,"D"))*1))/(COUNTA(QH13:QJ13)),"")</f>
        <v/>
      </c>
      <c r="QL13" s="184" t="str">
        <f t="shared" si="105"/>
        <v/>
      </c>
      <c r="QM13" s="173"/>
      <c r="QN13" s="100"/>
      <c r="QO13" s="101" t="s">
        <v>24</v>
      </c>
      <c r="QP13" s="183">
        <f>IFERROR((((COUNTIF('Elève (6ème3)'!QM13:QO13,"A"))*4)+((COUNTIF('Elève (6ème3)'!QM13:QO13,"B"))*3)+((COUNTIF('Elève (6ème3)'!QM13:QO13,"C"))*2)+((COUNTIF('Elève (6ème3)'!QM13:QO13,"D"))*1))/(COUNTA(QM13:QO13)),"")</f>
        <v>3</v>
      </c>
      <c r="QQ13" s="184" t="str">
        <f t="shared" si="106"/>
        <v>B</v>
      </c>
      <c r="QR13" s="183">
        <f>IF(COUNT(QF13,QK13,QP13)=0,"",SUM(QF13,QK13,QP13)/COUNT(QF13,QK13,QP13))</f>
        <v>2.5</v>
      </c>
      <c r="QS13" s="207" t="str">
        <f t="shared" si="107"/>
        <v>C</v>
      </c>
      <c r="QT13" s="105"/>
      <c r="QU13" s="100"/>
      <c r="QV13" s="101"/>
      <c r="QW13" s="102" t="str">
        <f>IFERROR((((COUNTIF('Elève (6ème3)'!QT13:QV13,"A"))*4)+((COUNTIF('Elève (6ème3)'!QT13:QV13,"B"))*3)+((COUNTIF('Elève (6ème3)'!QT13:QV13,"C"))*2)+((COUNTIF('Elève (6ème3)'!QT13:QV13,"D"))*1))/(COUNTA(QT13:QV13)),"")</f>
        <v/>
      </c>
      <c r="QX13" s="103" t="str">
        <f t="shared" si="108"/>
        <v/>
      </c>
      <c r="QY13" s="99"/>
      <c r="QZ13" s="100"/>
      <c r="RA13" s="101"/>
      <c r="RB13" s="102" t="str">
        <f>IFERROR((((COUNTIF('Elève (6ème3)'!QY13:RA13,"A"))*4)+((COUNTIF('Elève (6ème3)'!QY13:RA13,"B"))*3)+((COUNTIF('Elève (6ème3)'!QY13:RA13,"C"))*2)+((COUNTIF('Elève (6ème3)'!QY13:RA13,"D"))*1))/(COUNTA(QY13:RA13)),"")</f>
        <v/>
      </c>
      <c r="RC13" s="103" t="str">
        <f t="shared" si="109"/>
        <v/>
      </c>
      <c r="RD13" s="99"/>
      <c r="RE13" s="100"/>
      <c r="RF13" s="101"/>
      <c r="RG13" s="102" t="str">
        <f>IFERROR((((COUNTIF('Elève (6ème3)'!RD13:RF13,"A"))*4)+((COUNTIF('Elève (6ème3)'!RD13:RF13,"B"))*3)+((COUNTIF('Elève (6ème3)'!RD13:RF13,"C"))*2)+((COUNTIF('Elève (6ème3)'!RD13:RF13,"D"))*1))/(COUNTA(RD13:RF13)),"")</f>
        <v/>
      </c>
      <c r="RH13" s="103" t="str">
        <f t="shared" si="110"/>
        <v/>
      </c>
      <c r="RI13" s="102" t="str">
        <f>IF(COUNT(QW13,RB13,RG13)=0,"",SUM(QW13,RB13,RG13)/COUNT(QW13,RB13,RG13))</f>
        <v/>
      </c>
      <c r="RJ13" s="104" t="str">
        <f t="shared" si="111"/>
        <v/>
      </c>
      <c r="RK13" s="105"/>
      <c r="RL13" s="100"/>
      <c r="RM13" s="101"/>
      <c r="RN13" s="102" t="str">
        <f>IFERROR((((COUNTIF('Elève (6ème3)'!RK13:RM13,"A"))*4)+((COUNTIF('Elève (6ème3)'!RK13:RM13,"B"))*3)+((COUNTIF('Elève (6ème3)'!RK13:RM13,"C"))*2)+((COUNTIF('Elève (6ème3)'!RK13:RM13,"D"))*1))/(COUNTA(RK13:RM13)),"")</f>
        <v/>
      </c>
      <c r="RO13" s="103" t="str">
        <f t="shared" si="112"/>
        <v/>
      </c>
      <c r="RP13" s="99"/>
      <c r="RQ13" s="100"/>
      <c r="RR13" s="101"/>
      <c r="RS13" s="102" t="str">
        <f>IFERROR((((COUNTIF('Elève (6ème3)'!RP13:RR13,"A"))*4)+((COUNTIF('Elève (6ème3)'!RP13:RR13,"B"))*3)+((COUNTIF('Elève (6ème3)'!RP13:RR13,"C"))*2)+((COUNTIF('Elève (6ème3)'!RP13:RR13,"D"))*1))/(COUNTA(RP13:RR13)),"")</f>
        <v/>
      </c>
      <c r="RT13" s="103" t="str">
        <f t="shared" si="113"/>
        <v/>
      </c>
      <c r="RU13" s="99"/>
      <c r="RV13" s="100"/>
      <c r="RW13" s="101"/>
      <c r="RX13" s="102" t="str">
        <f>IFERROR((((COUNTIF('Elève (6ème3)'!RU13:RW13,"A"))*4)+((COUNTIF('Elève (6ème3)'!RU13:RW13,"B"))*3)+((COUNTIF('Elève (6ème3)'!RU13:RW13,"C"))*2)+((COUNTIF('Elève (6ème3)'!RU13:RW13,"D"))*1))/(COUNTA(RU13:RW13)),"")</f>
        <v/>
      </c>
      <c r="RY13" s="103" t="str">
        <f t="shared" si="114"/>
        <v/>
      </c>
      <c r="RZ13" s="102" t="str">
        <f>IF(COUNT(RN13,RS13,RX13)=0,"",SUM(RN13,RS13,RX13)/COUNT(RN13,RS13,RX13))</f>
        <v/>
      </c>
      <c r="SA13" s="104" t="str">
        <f t="shared" si="115"/>
        <v/>
      </c>
      <c r="SB13" s="105"/>
      <c r="SC13" s="100"/>
      <c r="SD13" s="101"/>
      <c r="SE13" s="102" t="str">
        <f>IFERROR((((COUNTIF('Elève (6ème3)'!SB13:SD13,"A"))*4)+((COUNTIF('Elève (6ème3)'!SB13:SD13,"B"))*3)+((COUNTIF('Elève (6ème3)'!SB13:SD13,"C"))*2)+((COUNTIF('Elève (6ème3)'!SB13:SD13,"D"))*1))/(COUNTA(SB13:SD13)),"")</f>
        <v/>
      </c>
      <c r="SF13" s="103" t="str">
        <f t="shared" si="116"/>
        <v/>
      </c>
      <c r="SG13" s="99"/>
      <c r="SH13" s="100"/>
      <c r="SI13" s="101"/>
      <c r="SJ13" s="102" t="str">
        <f>IFERROR((((COUNTIF('Elève (6ème3)'!SG13:SI13,"A"))*4)+((COUNTIF('Elève (6ème3)'!SG13:SI13,"B"))*3)+((COUNTIF('Elève (6ème3)'!SG13:SI13,"C"))*2)+((COUNTIF('Elève (6ème3)'!SG13:SI13,"D"))*1))/(COUNTA(SG13:SI13)),"")</f>
        <v/>
      </c>
      <c r="SK13" s="103" t="str">
        <f t="shared" si="117"/>
        <v/>
      </c>
      <c r="SL13" s="99"/>
      <c r="SM13" s="100"/>
      <c r="SN13" s="101"/>
      <c r="SO13" s="102" t="str">
        <f>IFERROR((((COUNTIF('Elève (6ème3)'!SL13:SN13,"A"))*4)+((COUNTIF('Elève (6ème3)'!SL13:SN13,"B"))*3)+((COUNTIF('Elève (6ème3)'!SL13:SN13,"C"))*2)+((COUNTIF('Elève (6ème3)'!SL13:SN13,"D"))*1))/(COUNTA(SL13:SN13)),"")</f>
        <v/>
      </c>
      <c r="SP13" s="103" t="str">
        <f t="shared" si="118"/>
        <v/>
      </c>
      <c r="SQ13" s="102" t="str">
        <f>IF(COUNT(SE13,SJ13,SO13)=0,"",SUM(SE13,SJ13,SO13)/COUNT(SE13,SJ13,SO13))</f>
        <v/>
      </c>
      <c r="SR13" s="104" t="str">
        <f t="shared" si="119"/>
        <v/>
      </c>
      <c r="SS13" s="105"/>
      <c r="ST13" s="100"/>
      <c r="SU13" s="101"/>
      <c r="SV13" s="102" t="str">
        <f>IFERROR((((COUNTIF('Elève (6ème3)'!SS13:SU13,"A"))*4)+((COUNTIF('Elève (6ème3)'!SS13:SU13,"B"))*3)+((COUNTIF('Elève (6ème3)'!SS13:SU13,"C"))*2)+((COUNTIF('Elève (6ème3)'!SS13:SU13,"D"))*1))/(COUNTA(SS13:SU13)),"")</f>
        <v/>
      </c>
      <c r="SW13" s="103" t="str">
        <f t="shared" si="120"/>
        <v/>
      </c>
      <c r="SX13" s="99"/>
      <c r="SY13" s="100"/>
      <c r="SZ13" s="101"/>
      <c r="TA13" s="102" t="str">
        <f>IFERROR((((COUNTIF('Elève (6ème3)'!SX13:SZ13,"A"))*4)+((COUNTIF('Elève (6ème3)'!SX13:SZ13,"B"))*3)+((COUNTIF('Elève (6ème3)'!SX13:SZ13,"C"))*2)+((COUNTIF('Elève (6ème3)'!SX13:SZ13,"D"))*1))/(COUNTA(SX13:SZ13)),"")</f>
        <v/>
      </c>
      <c r="TB13" s="103" t="str">
        <f t="shared" si="121"/>
        <v/>
      </c>
      <c r="TC13" s="99"/>
      <c r="TD13" s="100"/>
      <c r="TE13" s="101"/>
      <c r="TF13" s="102" t="str">
        <f>IFERROR((((COUNTIF('Elève (6ème3)'!TC13:TE13,"A"))*4)+((COUNTIF('Elève (6ème3)'!TC13:TE13,"B"))*3)+((COUNTIF('Elève (6ème3)'!TC13:TE13,"C"))*2)+((COUNTIF('Elève (6ème3)'!TC13:TE13,"D"))*1))/(COUNTA(TC13:TE13)),"")</f>
        <v/>
      </c>
      <c r="TG13" s="103" t="str">
        <f t="shared" si="122"/>
        <v/>
      </c>
      <c r="TH13" s="102" t="str">
        <f>IF(COUNT(SV13,TA13,TF13)=0,"",SUM(SV13,TA13,TF13)/COUNT(SV13,TA13,TF13))</f>
        <v/>
      </c>
      <c r="TI13" s="104" t="str">
        <f t="shared" si="123"/>
        <v/>
      </c>
      <c r="TJ13" s="105"/>
      <c r="TK13" s="100"/>
      <c r="TL13" s="101"/>
      <c r="TM13" s="102" t="str">
        <f>IFERROR((((COUNTIF('Elève (6ème3)'!TJ13:TL13,"A"))*4)+((COUNTIF('Elève (6ème3)'!TJ13:TL13,"B"))*3)+((COUNTIF('Elève (6ème3)'!TJ13:TL13,"C"))*2)+((COUNTIF('Elève (6ème3)'!TJ13:TL13,"D"))*1))/(COUNTA(TJ13:TL13)),"")</f>
        <v/>
      </c>
      <c r="TN13" s="103" t="str">
        <f t="shared" si="124"/>
        <v/>
      </c>
      <c r="TO13" s="99"/>
      <c r="TP13" s="100"/>
      <c r="TQ13" s="101"/>
      <c r="TR13" s="102" t="str">
        <f>IFERROR((((COUNTIF('Elève (6ème3)'!TO13:TQ13,"A"))*4)+((COUNTIF('Elève (6ème3)'!TO13:TQ13,"B"))*3)+((COUNTIF('Elève (6ème3)'!TO13:TQ13,"C"))*2)+((COUNTIF('Elève (6ème3)'!TO13:TQ13,"D"))*1))/(COUNTA(TO13:TQ13)),"")</f>
        <v/>
      </c>
      <c r="TS13" s="103" t="str">
        <f t="shared" si="125"/>
        <v/>
      </c>
      <c r="TT13" s="99"/>
      <c r="TU13" s="100"/>
      <c r="TV13" s="101"/>
      <c r="TW13" s="102" t="str">
        <f>IFERROR((((COUNTIF('Elève (6ème3)'!TT13:TV13,"A"))*4)+((COUNTIF('Elève (6ème3)'!TT13:TV13,"B"))*3)+((COUNTIF('Elève (6ème3)'!TT13:TV13,"C"))*2)+((COUNTIF('Elève (6ème3)'!TT13:TV13,"D"))*1))/(COUNTA(TT13:TV13)),"")</f>
        <v/>
      </c>
      <c r="TX13" s="103" t="str">
        <f t="shared" si="126"/>
        <v/>
      </c>
      <c r="TY13" s="102" t="str">
        <f>IF(COUNT(TM13,TR13,TW13)=0,"",SUM(TM13,TR13,TW13)/COUNT(TM13,TR13,TW13))</f>
        <v/>
      </c>
      <c r="TZ13" s="104" t="str">
        <f t="shared" si="127"/>
        <v/>
      </c>
    </row>
    <row r="14" spans="1:546" s="98" customFormat="1" ht="16.5" customHeight="1" thickBot="1" x14ac:dyDescent="0.3">
      <c r="A14" s="164" t="s">
        <v>17</v>
      </c>
      <c r="B14" s="164">
        <v>1</v>
      </c>
      <c r="C14" s="255"/>
      <c r="D14" s="250"/>
      <c r="E14" s="251"/>
      <c r="F14" s="181">
        <f>IF(COUNT(F15:F17)=0,"",SUM(F15:F17)/COUNT(F15:F17))</f>
        <v>2</v>
      </c>
      <c r="G14" s="182" t="str">
        <f t="shared" si="0"/>
        <v>C</v>
      </c>
      <c r="H14" s="252"/>
      <c r="I14" s="250"/>
      <c r="J14" s="251"/>
      <c r="K14" s="181">
        <f>IF(COUNT(K15:K17)=0,"",SUM(K15:K17)/COUNT(K15:K17))</f>
        <v>3</v>
      </c>
      <c r="L14" s="198" t="str">
        <f t="shared" si="1"/>
        <v>B</v>
      </c>
      <c r="M14" s="247"/>
      <c r="N14" s="245"/>
      <c r="O14" s="246"/>
      <c r="P14" s="181">
        <f>IF(COUNT(P15:P17)=0,"",SUM(P15:P17)/COUNT(P15:P17))</f>
        <v>2.1666666666666665</v>
      </c>
      <c r="Q14" s="205" t="str">
        <f t="shared" si="2"/>
        <v>C</v>
      </c>
      <c r="R14" s="181">
        <f>IF(COUNT(R15:R17)=0,"",SUM(R15:R17)/COUNT(R15:R17))</f>
        <v>2.4166666666666665</v>
      </c>
      <c r="S14" s="206" t="str">
        <f t="shared" si="3"/>
        <v>C</v>
      </c>
      <c r="T14" s="250"/>
      <c r="U14" s="250"/>
      <c r="V14" s="251"/>
      <c r="W14" s="181">
        <f>IF(COUNT(W15:W17)=0,"",SUM(W15:W17)/COUNT(W15:W17))</f>
        <v>1</v>
      </c>
      <c r="X14" s="182" t="str">
        <f t="shared" si="4"/>
        <v>D</v>
      </c>
      <c r="Y14" s="252"/>
      <c r="Z14" s="250"/>
      <c r="AA14" s="251"/>
      <c r="AB14" s="181">
        <f>IF(COUNT(AB15:AB17)=0,"",SUM(AB15:AB17)/COUNT(AB15:AB17))</f>
        <v>4</v>
      </c>
      <c r="AC14" s="198" t="str">
        <f t="shared" si="5"/>
        <v>A</v>
      </c>
      <c r="AD14" s="247"/>
      <c r="AE14" s="245"/>
      <c r="AF14" s="246"/>
      <c r="AG14" s="181">
        <f>IF(COUNT(AG15:AG17)=0,"",SUM(AG15:AG17)/COUNT(AG15:AG17))</f>
        <v>2.8333333333333335</v>
      </c>
      <c r="AH14" s="205" t="str">
        <f t="shared" si="6"/>
        <v>B</v>
      </c>
      <c r="AI14" s="181">
        <f>IF(COUNT(AI15:AI17)=0,"",SUM(AI15:AI17)/COUNT(AI15:AI17))</f>
        <v>2.8888888888888888</v>
      </c>
      <c r="AJ14" s="206" t="str">
        <f t="shared" si="7"/>
        <v>B</v>
      </c>
      <c r="AK14" s="250"/>
      <c r="AL14" s="250"/>
      <c r="AM14" s="251"/>
      <c r="AN14" s="181">
        <f>IF(COUNT(AN15:AN17)=0,"",SUM(AN15:AN17)/COUNT(AN15:AN17))</f>
        <v>3</v>
      </c>
      <c r="AO14" s="182" t="str">
        <f t="shared" si="8"/>
        <v>B</v>
      </c>
      <c r="AP14" s="252"/>
      <c r="AQ14" s="250"/>
      <c r="AR14" s="251"/>
      <c r="AS14" s="181">
        <f>IF(COUNT(AS15:AS17)=0,"",SUM(AS15:AS17)/COUNT(AS15:AS17))</f>
        <v>3.5</v>
      </c>
      <c r="AT14" s="198" t="str">
        <f t="shared" si="9"/>
        <v>B</v>
      </c>
      <c r="AU14" s="247"/>
      <c r="AV14" s="245"/>
      <c r="AW14" s="246"/>
      <c r="AX14" s="181">
        <f>IF(COUNT(AX15:AX17)=0,"",SUM(AX15:AX17)/COUNT(AX15:AX17))</f>
        <v>2.8333333333333335</v>
      </c>
      <c r="AY14" s="205" t="str">
        <f t="shared" si="10"/>
        <v>B</v>
      </c>
      <c r="AZ14" s="181">
        <f>IF(COUNT(AZ15:AZ17)=0,"",SUM(AZ15:AZ17)/COUNT(AZ15:AZ17))</f>
        <v>2.9722222222222219</v>
      </c>
      <c r="BA14" s="206" t="str">
        <f t="shared" si="11"/>
        <v>B</v>
      </c>
      <c r="BB14" s="250"/>
      <c r="BC14" s="250"/>
      <c r="BD14" s="251"/>
      <c r="BE14" s="181">
        <f>IF(COUNT(BE15:BE17)=0,"",SUM(BE15:BE17)/COUNT(BE15:BE17))</f>
        <v>2</v>
      </c>
      <c r="BF14" s="182" t="str">
        <f t="shared" si="12"/>
        <v>C</v>
      </c>
      <c r="BG14" s="252"/>
      <c r="BH14" s="250"/>
      <c r="BI14" s="251"/>
      <c r="BJ14" s="181">
        <f>IF(COUNT(BJ15:BJ17)=0,"",SUM(BJ15:BJ17)/COUNT(BJ15:BJ17))</f>
        <v>3.5</v>
      </c>
      <c r="BK14" s="198" t="str">
        <f t="shared" si="13"/>
        <v>B</v>
      </c>
      <c r="BL14" s="247"/>
      <c r="BM14" s="245"/>
      <c r="BN14" s="246"/>
      <c r="BO14" s="181">
        <f>IF(COUNT(BO15:BO17)=0,"",SUM(BO15:BO17)/COUNT(BO15:BO17))</f>
        <v>2.6666666666666665</v>
      </c>
      <c r="BP14" s="205" t="str">
        <f t="shared" si="14"/>
        <v>C</v>
      </c>
      <c r="BQ14" s="181">
        <f>IF(COUNT(BQ15:BQ17)=0,"",SUM(BQ15:BQ17)/COUNT(BQ15:BQ17))</f>
        <v>2.6666666666666665</v>
      </c>
      <c r="BR14" s="206" t="str">
        <f t="shared" si="15"/>
        <v>C</v>
      </c>
      <c r="BS14" s="250"/>
      <c r="BT14" s="250"/>
      <c r="BU14" s="251"/>
      <c r="BV14" s="181">
        <f>IF(COUNT(BV15:BV17)=0,"",SUM(BV15:BV17)/COUNT(BV15:BV17))</f>
        <v>2</v>
      </c>
      <c r="BW14" s="182" t="str">
        <f t="shared" si="16"/>
        <v>C</v>
      </c>
      <c r="BX14" s="252"/>
      <c r="BY14" s="250"/>
      <c r="BZ14" s="251"/>
      <c r="CA14" s="181">
        <f>IF(COUNT(CA15:CA17)=0,"",SUM(CA15:CA17)/COUNT(CA15:CA17))</f>
        <v>3</v>
      </c>
      <c r="CB14" s="198" t="str">
        <f t="shared" si="17"/>
        <v>B</v>
      </c>
      <c r="CC14" s="247"/>
      <c r="CD14" s="245"/>
      <c r="CE14" s="246"/>
      <c r="CF14" s="181">
        <f>IF(COUNT(CF15:CF17)=0,"",SUM(CF15:CF17)/COUNT(CF15:CF17))</f>
        <v>3</v>
      </c>
      <c r="CG14" s="205" t="str">
        <f t="shared" si="18"/>
        <v>B</v>
      </c>
      <c r="CH14" s="181">
        <f>IF(COUNT(CH15:CH17)=0,"",SUM(CH15:CH17)/COUNT(CH15:CH17))</f>
        <v>2.8055555555555554</v>
      </c>
      <c r="CI14" s="206" t="str">
        <f t="shared" si="19"/>
        <v>B</v>
      </c>
      <c r="CJ14" s="250"/>
      <c r="CK14" s="250"/>
      <c r="CL14" s="251"/>
      <c r="CM14" s="181">
        <f>IF(COUNT(CM15:CM17)=0,"",SUM(CM15:CM17)/COUNT(CM15:CM17))</f>
        <v>1</v>
      </c>
      <c r="CN14" s="182" t="str">
        <f t="shared" si="20"/>
        <v>D</v>
      </c>
      <c r="CO14" s="252"/>
      <c r="CP14" s="250"/>
      <c r="CQ14" s="251"/>
      <c r="CR14" s="181">
        <f>IF(COUNT(CR15:CR17)=0,"",SUM(CR15:CR17)/COUNT(CR15:CR17))</f>
        <v>1.5</v>
      </c>
      <c r="CS14" s="198" t="str">
        <f t="shared" si="21"/>
        <v>D</v>
      </c>
      <c r="CT14" s="247"/>
      <c r="CU14" s="245"/>
      <c r="CV14" s="246"/>
      <c r="CW14" s="181">
        <f>IF(COUNT(CW15:CW17)=0,"",SUM(CW15:CW17)/COUNT(CW15:CW17))</f>
        <v>2</v>
      </c>
      <c r="CX14" s="205" t="str">
        <f t="shared" si="22"/>
        <v>C</v>
      </c>
      <c r="CY14" s="181">
        <f>IF(COUNT(CY15:CY17)=0,"",SUM(CY15:CY17)/COUNT(CY15:CY17))</f>
        <v>1.6111111111111109</v>
      </c>
      <c r="CZ14" s="206" t="str">
        <f t="shared" si="23"/>
        <v>C</v>
      </c>
      <c r="DA14" s="250"/>
      <c r="DB14" s="250"/>
      <c r="DC14" s="251"/>
      <c r="DD14" s="181">
        <f>IF(COUNT(DD15:DD17)=0,"",SUM(DD15:DD17)/COUNT(DD15:DD17))</f>
        <v>4</v>
      </c>
      <c r="DE14" s="182" t="str">
        <f t="shared" si="24"/>
        <v>A</v>
      </c>
      <c r="DF14" s="252"/>
      <c r="DG14" s="250"/>
      <c r="DH14" s="251"/>
      <c r="DI14" s="181">
        <f>IF(COUNT(DI15:DI17)=0,"",SUM(DI15:DI17)/COUNT(DI15:DI17))</f>
        <v>3.5</v>
      </c>
      <c r="DJ14" s="198" t="str">
        <f t="shared" si="25"/>
        <v>B</v>
      </c>
      <c r="DK14" s="247"/>
      <c r="DL14" s="245"/>
      <c r="DM14" s="246"/>
      <c r="DN14" s="181">
        <f>IF(COUNT(DN15:DN17)=0,"",SUM(DN15:DN17)/COUNT(DN15:DN17))</f>
        <v>3.3333333333333335</v>
      </c>
      <c r="DO14" s="205" t="str">
        <f t="shared" si="26"/>
        <v>B</v>
      </c>
      <c r="DP14" s="181">
        <f>IF(COUNT(DP15:DP17)=0,"",SUM(DP15:DP17)/COUNT(DP15:DP17))</f>
        <v>3.4166666666666665</v>
      </c>
      <c r="DQ14" s="206" t="str">
        <f t="shared" si="27"/>
        <v>B</v>
      </c>
      <c r="DR14" s="250"/>
      <c r="DS14" s="250"/>
      <c r="DT14" s="251"/>
      <c r="DU14" s="181" t="str">
        <f>IF(COUNT(DU15:DU17)=0,"",SUM(DU15:DU17)/COUNT(DU15:DU17))</f>
        <v/>
      </c>
      <c r="DV14" s="182" t="str">
        <f t="shared" si="28"/>
        <v/>
      </c>
      <c r="DW14" s="252"/>
      <c r="DX14" s="250"/>
      <c r="DY14" s="251"/>
      <c r="DZ14" s="181">
        <f>IF(COUNT(DZ15:DZ17)=0,"",SUM(DZ15:DZ17)/COUNT(DZ15:DZ17))</f>
        <v>4</v>
      </c>
      <c r="EA14" s="198" t="str">
        <f t="shared" si="29"/>
        <v>A</v>
      </c>
      <c r="EB14" s="247"/>
      <c r="EC14" s="245"/>
      <c r="ED14" s="246"/>
      <c r="EE14" s="181">
        <f>IF(COUNT(EE15:EE17)=0,"",SUM(EE15:EE17)/COUNT(EE15:EE17))</f>
        <v>2.1666666666666665</v>
      </c>
      <c r="EF14" s="205" t="str">
        <f t="shared" si="30"/>
        <v>C</v>
      </c>
      <c r="EG14" s="181">
        <f>IF(COUNT(EG15:EG17)=0,"",SUM(EG15:EG17)/COUNT(EG15:EG17))</f>
        <v>2.6666666666666665</v>
      </c>
      <c r="EH14" s="206" t="str">
        <f t="shared" si="31"/>
        <v>C</v>
      </c>
      <c r="EI14" s="250"/>
      <c r="EJ14" s="250"/>
      <c r="EK14" s="251"/>
      <c r="EL14" s="181">
        <f>IF(COUNT(EL15:EL17)=0,"",SUM(EL15:EL17)/COUNT(EL15:EL17))</f>
        <v>2</v>
      </c>
      <c r="EM14" s="182" t="str">
        <f t="shared" si="32"/>
        <v>C</v>
      </c>
      <c r="EN14" s="252"/>
      <c r="EO14" s="250"/>
      <c r="EP14" s="251"/>
      <c r="EQ14" s="181">
        <f>IF(COUNT(EQ15:EQ17)=0,"",SUM(EQ15:EQ17)/COUNT(EQ15:EQ17))</f>
        <v>3.5</v>
      </c>
      <c r="ER14" s="198" t="str">
        <f t="shared" si="33"/>
        <v>B</v>
      </c>
      <c r="ES14" s="247"/>
      <c r="ET14" s="245"/>
      <c r="EU14" s="246"/>
      <c r="EV14" s="181">
        <f>IF(COUNT(EV15:EV17)=0,"",SUM(EV15:EV17)/COUNT(EV15:EV17))</f>
        <v>3</v>
      </c>
      <c r="EW14" s="205" t="str">
        <f t="shared" si="34"/>
        <v>B</v>
      </c>
      <c r="EX14" s="181">
        <f>IF(COUNT(EX15:EX17)=0,"",SUM(EX15:EX17)/COUNT(EX15:EX17))</f>
        <v>2.8611111111111112</v>
      </c>
      <c r="EY14" s="206" t="str">
        <f t="shared" si="35"/>
        <v>B</v>
      </c>
      <c r="EZ14" s="250"/>
      <c r="FA14" s="250"/>
      <c r="FB14" s="251"/>
      <c r="FC14" s="181">
        <f>IF(COUNT(FC15:FC17)=0,"",SUM(FC15:FC17)/COUNT(FC15:FC17))</f>
        <v>3</v>
      </c>
      <c r="FD14" s="182" t="str">
        <f t="shared" si="36"/>
        <v>B</v>
      </c>
      <c r="FE14" s="252"/>
      <c r="FF14" s="250"/>
      <c r="FG14" s="251"/>
      <c r="FH14" s="181">
        <f>IF(COUNT(FH15:FH17)=0,"",SUM(FH15:FH17)/COUNT(FH15:FH17))</f>
        <v>3.5</v>
      </c>
      <c r="FI14" s="198" t="str">
        <f t="shared" si="37"/>
        <v>B</v>
      </c>
      <c r="FJ14" s="247"/>
      <c r="FK14" s="245"/>
      <c r="FL14" s="246"/>
      <c r="FM14" s="181">
        <f>IF(COUNT(FM15:FM17)=0,"",SUM(FM15:FM17)/COUNT(FM15:FM17))</f>
        <v>2.6666666666666665</v>
      </c>
      <c r="FN14" s="205" t="str">
        <f t="shared" si="38"/>
        <v>C</v>
      </c>
      <c r="FO14" s="181">
        <f>IF(COUNT(FO15:FO17)=0,"",SUM(FO15:FO17)/COUNT(FO15:FO17))</f>
        <v>2.9444444444444446</v>
      </c>
      <c r="FP14" s="206" t="str">
        <f t="shared" si="39"/>
        <v>B</v>
      </c>
      <c r="FQ14" s="250"/>
      <c r="FR14" s="250"/>
      <c r="FS14" s="251"/>
      <c r="FT14" s="181">
        <f>IF(COUNT(FT15:FT17)=0,"",SUM(FT15:FT17)/COUNT(FT15:FT17))</f>
        <v>1</v>
      </c>
      <c r="FU14" s="182" t="str">
        <f t="shared" si="40"/>
        <v>D</v>
      </c>
      <c r="FV14" s="252"/>
      <c r="FW14" s="250"/>
      <c r="FX14" s="251"/>
      <c r="FY14" s="181">
        <f>IF(COUNT(FY15:FY17)=0,"",SUM(FY15:FY17)/COUNT(FY15:FY17))</f>
        <v>1</v>
      </c>
      <c r="FZ14" s="198" t="str">
        <f t="shared" si="41"/>
        <v>D</v>
      </c>
      <c r="GA14" s="247"/>
      <c r="GB14" s="245"/>
      <c r="GC14" s="246"/>
      <c r="GD14" s="181">
        <f>IF(COUNT(GD15:GD17)=0,"",SUM(GD15:GD17)/COUNT(GD15:GD17))</f>
        <v>1.8333333333333333</v>
      </c>
      <c r="GE14" s="205" t="str">
        <f t="shared" si="42"/>
        <v>C</v>
      </c>
      <c r="GF14" s="181">
        <f>IF(COUNT(GF15:GF17)=0,"",SUM(GF15:GF17)/COUNT(GF15:GF17))</f>
        <v>1.4722222222222223</v>
      </c>
      <c r="GG14" s="206" t="str">
        <f t="shared" si="43"/>
        <v>D</v>
      </c>
      <c r="GH14" s="250"/>
      <c r="GI14" s="250"/>
      <c r="GJ14" s="251"/>
      <c r="GK14" s="181">
        <f>IF(COUNT(GK15:GK17)=0,"",SUM(GK15:GK17)/COUNT(GK15:GK17))</f>
        <v>3</v>
      </c>
      <c r="GL14" s="182" t="str">
        <f t="shared" si="44"/>
        <v>B</v>
      </c>
      <c r="GM14" s="252"/>
      <c r="GN14" s="250"/>
      <c r="GO14" s="251"/>
      <c r="GP14" s="181">
        <f>IF(COUNT(GP15:GP17)=0,"",SUM(GP15:GP17)/COUNT(GP15:GP17))</f>
        <v>4</v>
      </c>
      <c r="GQ14" s="198" t="str">
        <f t="shared" si="45"/>
        <v>A</v>
      </c>
      <c r="GR14" s="247"/>
      <c r="GS14" s="245"/>
      <c r="GT14" s="246"/>
      <c r="GU14" s="181">
        <f>IF(COUNT(GU15:GU17)=0,"",SUM(GU15:GU17)/COUNT(GU15:GU17))</f>
        <v>3.5</v>
      </c>
      <c r="GV14" s="205" t="str">
        <f t="shared" si="46"/>
        <v>B</v>
      </c>
      <c r="GW14" s="181">
        <f>IF(COUNT(GW15:GW17)=0,"",SUM(GW15:GW17)/COUNT(GW15:GW17))</f>
        <v>3.5833333333333335</v>
      </c>
      <c r="GX14" s="206" t="str">
        <f t="shared" si="47"/>
        <v>B</v>
      </c>
      <c r="GY14" s="250"/>
      <c r="GZ14" s="250"/>
      <c r="HA14" s="251"/>
      <c r="HB14" s="181">
        <f>IF(COUNT(HB15:HB17)=0,"",SUM(HB15:HB17)/COUNT(HB15:HB17))</f>
        <v>1</v>
      </c>
      <c r="HC14" s="182" t="str">
        <f t="shared" si="48"/>
        <v>D</v>
      </c>
      <c r="HD14" s="252"/>
      <c r="HE14" s="250"/>
      <c r="HF14" s="251"/>
      <c r="HG14" s="181">
        <f>IF(COUNT(HG15:HG17)=0,"",SUM(HG15:HG17)/COUNT(HG15:HG17))</f>
        <v>3</v>
      </c>
      <c r="HH14" s="198" t="str">
        <f t="shared" si="49"/>
        <v>B</v>
      </c>
      <c r="HI14" s="247"/>
      <c r="HJ14" s="245"/>
      <c r="HK14" s="246"/>
      <c r="HL14" s="181">
        <f>IF(COUNT(HL15:HL17)=0,"",SUM(HL15:HL17)/COUNT(HL15:HL17))</f>
        <v>2.5</v>
      </c>
      <c r="HM14" s="205" t="str">
        <f t="shared" si="50"/>
        <v>C</v>
      </c>
      <c r="HN14" s="181">
        <f>IF(COUNT(HN15:HN17)=0,"",SUM(HN15:HN17)/COUNT(HN15:HN17))</f>
        <v>2.3055555555555554</v>
      </c>
      <c r="HO14" s="206" t="str">
        <f t="shared" si="51"/>
        <v>C</v>
      </c>
      <c r="HP14" s="250"/>
      <c r="HQ14" s="250"/>
      <c r="HR14" s="251"/>
      <c r="HS14" s="181">
        <f>IF(COUNT(HS15:HS17)=0,"",SUM(HS15:HS17)/COUNT(HS15:HS17))</f>
        <v>2</v>
      </c>
      <c r="HT14" s="182" t="str">
        <f t="shared" si="52"/>
        <v>C</v>
      </c>
      <c r="HU14" s="252"/>
      <c r="HV14" s="250"/>
      <c r="HW14" s="251"/>
      <c r="HX14" s="181">
        <f>IF(COUNT(HX15:HX17)=0,"",SUM(HX15:HX17)/COUNT(HX15:HX17))</f>
        <v>4</v>
      </c>
      <c r="HY14" s="198" t="str">
        <f t="shared" si="53"/>
        <v>A</v>
      </c>
      <c r="HZ14" s="247"/>
      <c r="IA14" s="245"/>
      <c r="IB14" s="246"/>
      <c r="IC14" s="181">
        <f>IF(COUNT(IC15:IC17)=0,"",SUM(IC15:IC17)/COUNT(IC15:IC17))</f>
        <v>2.8333333333333335</v>
      </c>
      <c r="ID14" s="205" t="str">
        <f t="shared" si="54"/>
        <v>B</v>
      </c>
      <c r="IE14" s="181">
        <f>IF(COUNT(IE15:IE17)=0,"",SUM(IE15:IE17)/COUNT(IE15:IE17))</f>
        <v>2.9166666666666665</v>
      </c>
      <c r="IF14" s="206" t="str">
        <f t="shared" si="55"/>
        <v>B</v>
      </c>
      <c r="IG14" s="250"/>
      <c r="IH14" s="250"/>
      <c r="II14" s="251"/>
      <c r="IJ14" s="181">
        <f>IF(COUNT(IJ15:IJ17)=0,"",SUM(IJ15:IJ17)/COUNT(IJ15:IJ17))</f>
        <v>2</v>
      </c>
      <c r="IK14" s="182" t="str">
        <f t="shared" si="56"/>
        <v>C</v>
      </c>
      <c r="IL14" s="252"/>
      <c r="IM14" s="250"/>
      <c r="IN14" s="251"/>
      <c r="IO14" s="181">
        <f>IF(COUNT(IO15:IO17)=0,"",SUM(IO15:IO17)/COUNT(IO15:IO17))</f>
        <v>3</v>
      </c>
      <c r="IP14" s="198" t="str">
        <f t="shared" si="57"/>
        <v>B</v>
      </c>
      <c r="IQ14" s="247"/>
      <c r="IR14" s="245"/>
      <c r="IS14" s="246"/>
      <c r="IT14" s="181">
        <f>IF(COUNT(IT15:IT17)=0,"",SUM(IT15:IT17)/COUNT(IT15:IT17))</f>
        <v>3</v>
      </c>
      <c r="IU14" s="205" t="str">
        <f t="shared" si="58"/>
        <v>B</v>
      </c>
      <c r="IV14" s="181">
        <f>IF(COUNT(IV15:IV17)=0,"",SUM(IV15:IV17)/COUNT(IV15:IV17))</f>
        <v>2.8611111111111112</v>
      </c>
      <c r="IW14" s="206" t="str">
        <f t="shared" si="59"/>
        <v>B</v>
      </c>
      <c r="IX14" s="250"/>
      <c r="IY14" s="250"/>
      <c r="IZ14" s="251"/>
      <c r="JA14" s="181">
        <f>IF(COUNT(JA15:JA17)=0,"",SUM(JA15:JA17)/COUNT(JA15:JA17))</f>
        <v>2</v>
      </c>
      <c r="JB14" s="182" t="str">
        <f t="shared" si="60"/>
        <v>C</v>
      </c>
      <c r="JC14" s="252"/>
      <c r="JD14" s="250"/>
      <c r="JE14" s="251"/>
      <c r="JF14" s="181">
        <f>IF(COUNT(JF15:JF17)=0,"",SUM(JF15:JF17)/COUNT(JF15:JF17))</f>
        <v>3.5</v>
      </c>
      <c r="JG14" s="198" t="str">
        <f t="shared" si="61"/>
        <v>B</v>
      </c>
      <c r="JH14" s="247"/>
      <c r="JI14" s="245"/>
      <c r="JJ14" s="246"/>
      <c r="JK14" s="181">
        <f>IF(COUNT(JK15:JK17)=0,"",SUM(JK15:JK17)/COUNT(JK15:JK17))</f>
        <v>3.1666666666666665</v>
      </c>
      <c r="JL14" s="205" t="str">
        <f t="shared" si="62"/>
        <v>B</v>
      </c>
      <c r="JM14" s="181">
        <f>IF(COUNT(JM15:JM17)=0,"",SUM(JM15:JM17)/COUNT(JM15:JM17))</f>
        <v>3.1111111111111112</v>
      </c>
      <c r="JN14" s="206" t="str">
        <f t="shared" si="63"/>
        <v>B</v>
      </c>
      <c r="JO14" s="250"/>
      <c r="JP14" s="250"/>
      <c r="JQ14" s="251"/>
      <c r="JR14" s="181">
        <f>IF(COUNT(JR15:JR17)=0,"",SUM(JR15:JR17)/COUNT(JR15:JR17))</f>
        <v>3</v>
      </c>
      <c r="JS14" s="182" t="str">
        <f t="shared" si="64"/>
        <v>B</v>
      </c>
      <c r="JT14" s="252"/>
      <c r="JU14" s="250"/>
      <c r="JV14" s="251"/>
      <c r="JW14" s="181">
        <f>IF(COUNT(JW15:JW17)=0,"",SUM(JW15:JW17)/COUNT(JW15:JW17))</f>
        <v>4</v>
      </c>
      <c r="JX14" s="198" t="str">
        <f t="shared" si="65"/>
        <v>A</v>
      </c>
      <c r="JY14" s="247"/>
      <c r="JZ14" s="245"/>
      <c r="KA14" s="246"/>
      <c r="KB14" s="181">
        <f>IF(COUNT(KB15:KB17)=0,"",SUM(KB15:KB17)/COUNT(KB15:KB17))</f>
        <v>3</v>
      </c>
      <c r="KC14" s="205" t="str">
        <f t="shared" si="66"/>
        <v>B</v>
      </c>
      <c r="KD14" s="181">
        <f>IF(COUNT(KD15:KD17)=0,"",SUM(KD15:KD17)/COUNT(KD15:KD17))</f>
        <v>3.1666666666666665</v>
      </c>
      <c r="KE14" s="206" t="str">
        <f t="shared" si="67"/>
        <v>B</v>
      </c>
      <c r="KF14" s="250"/>
      <c r="KG14" s="250"/>
      <c r="KH14" s="251"/>
      <c r="KI14" s="181">
        <f>IF(COUNT(KI15:KI17)=0,"",SUM(KI15:KI17)/COUNT(KI15:KI17))</f>
        <v>4</v>
      </c>
      <c r="KJ14" s="182" t="str">
        <f t="shared" si="68"/>
        <v>A</v>
      </c>
      <c r="KK14" s="252"/>
      <c r="KL14" s="250"/>
      <c r="KM14" s="251"/>
      <c r="KN14" s="181">
        <f>IF(COUNT(KN15:KN17)=0,"",SUM(KN15:KN17)/COUNT(KN15:KN17))</f>
        <v>4</v>
      </c>
      <c r="KO14" s="198" t="str">
        <f t="shared" si="69"/>
        <v>A</v>
      </c>
      <c r="KP14" s="247"/>
      <c r="KQ14" s="245"/>
      <c r="KR14" s="246"/>
      <c r="KS14" s="181">
        <f>IF(COUNT(KS15:KS17)=0,"",SUM(KS15:KS17)/COUNT(KS15:KS17))</f>
        <v>3</v>
      </c>
      <c r="KT14" s="205" t="str">
        <f t="shared" si="70"/>
        <v>B</v>
      </c>
      <c r="KU14" s="181">
        <f>IF(COUNT(KU15:KU17)=0,"",SUM(KU15:KU17)/COUNT(KU15:KU17))</f>
        <v>3.3055555555555554</v>
      </c>
      <c r="KV14" s="206" t="str">
        <f t="shared" si="71"/>
        <v>B</v>
      </c>
      <c r="KW14" s="250"/>
      <c r="KX14" s="250"/>
      <c r="KY14" s="251"/>
      <c r="KZ14" s="181">
        <f>IF(COUNT(KZ15:KZ17)=0,"",SUM(KZ15:KZ17)/COUNT(KZ15:KZ17))</f>
        <v>1</v>
      </c>
      <c r="LA14" s="182" t="str">
        <f t="shared" si="72"/>
        <v>D</v>
      </c>
      <c r="LB14" s="252"/>
      <c r="LC14" s="250"/>
      <c r="LD14" s="251"/>
      <c r="LE14" s="181">
        <f>IF(COUNT(LE15:LE17)=0,"",SUM(LE15:LE17)/COUNT(LE15:LE17))</f>
        <v>2.5</v>
      </c>
      <c r="LF14" s="198" t="str">
        <f t="shared" si="73"/>
        <v>C</v>
      </c>
      <c r="LG14" s="247"/>
      <c r="LH14" s="245"/>
      <c r="LI14" s="246"/>
      <c r="LJ14" s="181">
        <f>IF(COUNT(LJ15:LJ17)=0,"",SUM(LJ15:LJ17)/COUNT(LJ15:LJ17))</f>
        <v>2.5</v>
      </c>
      <c r="LK14" s="205" t="str">
        <f t="shared" si="74"/>
        <v>C</v>
      </c>
      <c r="LL14" s="181">
        <f>IF(COUNT(LL15:LL17)=0,"",SUM(LL15:LL17)/COUNT(LL15:LL17))</f>
        <v>2.1388888888888888</v>
      </c>
      <c r="LM14" s="206" t="str">
        <f t="shared" si="75"/>
        <v>C</v>
      </c>
      <c r="LN14" s="250"/>
      <c r="LO14" s="250"/>
      <c r="LP14" s="251"/>
      <c r="LQ14" s="181">
        <f>IF(COUNT(LQ15:LQ17)=0,"",SUM(LQ15:LQ17)/COUNT(LQ15:LQ17))</f>
        <v>3</v>
      </c>
      <c r="LR14" s="182" t="str">
        <f t="shared" si="76"/>
        <v>B</v>
      </c>
      <c r="LS14" s="252"/>
      <c r="LT14" s="250"/>
      <c r="LU14" s="251"/>
      <c r="LV14" s="181">
        <f>IF(COUNT(LV15:LV17)=0,"",SUM(LV15:LV17)/COUNT(LV15:LV17))</f>
        <v>4</v>
      </c>
      <c r="LW14" s="198" t="str">
        <f t="shared" si="77"/>
        <v>A</v>
      </c>
      <c r="LX14" s="247"/>
      <c r="LY14" s="245"/>
      <c r="LZ14" s="246"/>
      <c r="MA14" s="181">
        <f>IF(COUNT(MA15:MA17)=0,"",SUM(MA15:MA17)/COUNT(MA15:MA17))</f>
        <v>3.1666666666666665</v>
      </c>
      <c r="MB14" s="205" t="str">
        <f t="shared" si="78"/>
        <v>B</v>
      </c>
      <c r="MC14" s="181">
        <f>IF(COUNT(MC15:MC17)=0,"",SUM(MC15:MC17)/COUNT(MC15:MC17))</f>
        <v>3.25</v>
      </c>
      <c r="MD14" s="206" t="str">
        <f t="shared" si="79"/>
        <v>B</v>
      </c>
      <c r="ME14" s="250"/>
      <c r="MF14" s="250"/>
      <c r="MG14" s="251"/>
      <c r="MH14" s="181">
        <f>IF(COUNT(MH15:MH17)=0,"",SUM(MH15:MH17)/COUNT(MH15:MH17))</f>
        <v>1</v>
      </c>
      <c r="MI14" s="182" t="str">
        <f t="shared" si="80"/>
        <v>D</v>
      </c>
      <c r="MJ14" s="252"/>
      <c r="MK14" s="250"/>
      <c r="ML14" s="251"/>
      <c r="MM14" s="181">
        <f>IF(COUNT(MM15:MM17)=0,"",SUM(MM15:MM17)/COUNT(MM15:MM17))</f>
        <v>4</v>
      </c>
      <c r="MN14" s="198" t="str">
        <f t="shared" si="81"/>
        <v>A</v>
      </c>
      <c r="MO14" s="247"/>
      <c r="MP14" s="245"/>
      <c r="MQ14" s="246"/>
      <c r="MR14" s="181">
        <f>IF(COUNT(MR15:MR17)=0,"",SUM(MR15:MR17)/COUNT(MR15:MR17))</f>
        <v>3</v>
      </c>
      <c r="MS14" s="205" t="str">
        <f t="shared" si="82"/>
        <v>B</v>
      </c>
      <c r="MT14" s="181">
        <f>IF(COUNT(MT15:MT17)=0,"",SUM(MT15:MT17)/COUNT(MT15:MT17))</f>
        <v>2.8611111111111112</v>
      </c>
      <c r="MU14" s="206" t="str">
        <f t="shared" si="83"/>
        <v>B</v>
      </c>
      <c r="MV14" s="250"/>
      <c r="MW14" s="250"/>
      <c r="MX14" s="251"/>
      <c r="MY14" s="181">
        <f>IF(COUNT(MY15:MY17)=0,"",SUM(MY15:MY17)/COUNT(MY15:MY17))</f>
        <v>2</v>
      </c>
      <c r="MZ14" s="182" t="str">
        <f t="shared" si="84"/>
        <v>C</v>
      </c>
      <c r="NA14" s="252"/>
      <c r="NB14" s="250"/>
      <c r="NC14" s="251"/>
      <c r="ND14" s="181">
        <f>IF(COUNT(ND15:ND17)=0,"",SUM(ND15:ND17)/COUNT(ND15:ND17))</f>
        <v>3.5</v>
      </c>
      <c r="NE14" s="198" t="str">
        <f t="shared" si="85"/>
        <v>B</v>
      </c>
      <c r="NF14" s="247"/>
      <c r="NG14" s="245"/>
      <c r="NH14" s="246"/>
      <c r="NI14" s="181">
        <f>IF(COUNT(NI15:NI17)=0,"",SUM(NI15:NI17)/COUNT(NI15:NI17))</f>
        <v>2.5</v>
      </c>
      <c r="NJ14" s="205" t="str">
        <f t="shared" si="86"/>
        <v>C</v>
      </c>
      <c r="NK14" s="181">
        <f>IF(COUNT(NK15:NK17)=0,"",SUM(NK15:NK17)/COUNT(NK15:NK17))</f>
        <v>2.6666666666666665</v>
      </c>
      <c r="NL14" s="206" t="str">
        <f t="shared" si="87"/>
        <v>C</v>
      </c>
      <c r="NM14" s="250"/>
      <c r="NN14" s="250"/>
      <c r="NO14" s="251"/>
      <c r="NP14" s="181">
        <f>IF(COUNT(NP15:NP17)=0,"",SUM(NP15:NP17)/COUNT(NP15:NP17))</f>
        <v>1</v>
      </c>
      <c r="NQ14" s="182" t="str">
        <f t="shared" si="88"/>
        <v>D</v>
      </c>
      <c r="NR14" s="252"/>
      <c r="NS14" s="250"/>
      <c r="NT14" s="251"/>
      <c r="NU14" s="181">
        <f>IF(COUNT(NU15:NU17)=0,"",SUM(NU15:NU17)/COUNT(NU15:NU17))</f>
        <v>4</v>
      </c>
      <c r="NV14" s="198" t="str">
        <f t="shared" si="89"/>
        <v>A</v>
      </c>
      <c r="NW14" s="247"/>
      <c r="NX14" s="245"/>
      <c r="NY14" s="246"/>
      <c r="NZ14" s="181">
        <f>IF(COUNT(NZ15:NZ17)=0,"",SUM(NZ15:NZ17)/COUNT(NZ15:NZ17))</f>
        <v>3</v>
      </c>
      <c r="OA14" s="205" t="str">
        <f t="shared" si="90"/>
        <v>B</v>
      </c>
      <c r="OB14" s="181">
        <f>IF(COUNT(OB15:OB17)=0,"",SUM(OB15:OB17)/COUNT(OB15:OB17))</f>
        <v>2.9722222222222219</v>
      </c>
      <c r="OC14" s="206" t="str">
        <f t="shared" si="91"/>
        <v>B</v>
      </c>
      <c r="OD14" s="250"/>
      <c r="OE14" s="250"/>
      <c r="OF14" s="251"/>
      <c r="OG14" s="181" t="str">
        <f>IF(COUNT(OG15:OG17)=0,"",SUM(OG15:OG17)/COUNT(OG15:OG17))</f>
        <v/>
      </c>
      <c r="OH14" s="182" t="str">
        <f t="shared" si="92"/>
        <v/>
      </c>
      <c r="OI14" s="252"/>
      <c r="OJ14" s="250"/>
      <c r="OK14" s="251"/>
      <c r="OL14" s="181">
        <f>IF(COUNT(OL15:OL17)=0,"",SUM(OL15:OL17)/COUNT(OL15:OL17))</f>
        <v>4</v>
      </c>
      <c r="OM14" s="198" t="str">
        <f t="shared" si="93"/>
        <v>A</v>
      </c>
      <c r="ON14" s="247"/>
      <c r="OO14" s="245"/>
      <c r="OP14" s="246"/>
      <c r="OQ14" s="181">
        <f>IF(COUNT(OQ15:OQ17)=0,"",SUM(OQ15:OQ17)/COUNT(OQ15:OQ17))</f>
        <v>2.6666666666666665</v>
      </c>
      <c r="OR14" s="205" t="str">
        <f t="shared" si="94"/>
        <v>C</v>
      </c>
      <c r="OS14" s="181">
        <f>IF(COUNT(OS15:OS17)=0,"",SUM(OS15:OS17)/COUNT(OS15:OS17))</f>
        <v>3.0833333333333335</v>
      </c>
      <c r="OT14" s="206" t="str">
        <f t="shared" si="95"/>
        <v>B</v>
      </c>
      <c r="OU14" s="250"/>
      <c r="OV14" s="250"/>
      <c r="OW14" s="251"/>
      <c r="OX14" s="181">
        <f>IF(COUNT(OX15:OX17)=0,"",SUM(OX15:OX17)/COUNT(OX15:OX17))</f>
        <v>2</v>
      </c>
      <c r="OY14" s="182" t="str">
        <f t="shared" si="96"/>
        <v>C</v>
      </c>
      <c r="OZ14" s="252"/>
      <c r="PA14" s="250"/>
      <c r="PB14" s="251"/>
      <c r="PC14" s="181">
        <f>IF(COUNT(PC15:PC17)=0,"",SUM(PC15:PC17)/COUNT(PC15:PC17))</f>
        <v>4</v>
      </c>
      <c r="PD14" s="198" t="str">
        <f t="shared" si="97"/>
        <v>A</v>
      </c>
      <c r="PE14" s="247"/>
      <c r="PF14" s="245"/>
      <c r="PG14" s="246"/>
      <c r="PH14" s="181">
        <f>IF(COUNT(PH15:PH17)=0,"",SUM(PH15:PH17)/COUNT(PH15:PH17))</f>
        <v>3</v>
      </c>
      <c r="PI14" s="205" t="str">
        <f t="shared" si="98"/>
        <v>B</v>
      </c>
      <c r="PJ14" s="181">
        <f>IF(COUNT(PJ15:PJ17)=0,"",SUM(PJ15:PJ17)/COUNT(PJ15:PJ17))</f>
        <v>3.1388888888888888</v>
      </c>
      <c r="PK14" s="206" t="str">
        <f t="shared" si="99"/>
        <v>B</v>
      </c>
      <c r="PL14" s="250"/>
      <c r="PM14" s="250"/>
      <c r="PN14" s="251"/>
      <c r="PO14" s="181">
        <f>IF(COUNT(PO15:PO17)=0,"",SUM(PO15:PO17)/COUNT(PO15:PO17))</f>
        <v>2</v>
      </c>
      <c r="PP14" s="182" t="str">
        <f t="shared" si="100"/>
        <v>C</v>
      </c>
      <c r="PQ14" s="252"/>
      <c r="PR14" s="250"/>
      <c r="PS14" s="251"/>
      <c r="PT14" s="181">
        <f>IF(COUNT(PT15:PT17)=0,"",SUM(PT15:PT17)/COUNT(PT15:PT17))</f>
        <v>4</v>
      </c>
      <c r="PU14" s="198" t="str">
        <f t="shared" si="101"/>
        <v>A</v>
      </c>
      <c r="PV14" s="247"/>
      <c r="PW14" s="245"/>
      <c r="PX14" s="246"/>
      <c r="PY14" s="181">
        <f>IF(COUNT(PY15:PY17)=0,"",SUM(PY15:PY17)/COUNT(PY15:PY17))</f>
        <v>2.5</v>
      </c>
      <c r="PZ14" s="205" t="str">
        <f t="shared" si="102"/>
        <v>C</v>
      </c>
      <c r="QA14" s="181">
        <f>IF(COUNT(QA15:QA17)=0,"",SUM(QA15:QA17)/COUNT(QA15:QA17))</f>
        <v>2.7777777777777781</v>
      </c>
      <c r="QB14" s="206" t="str">
        <f t="shared" si="103"/>
        <v>C</v>
      </c>
      <c r="QC14" s="250"/>
      <c r="QD14" s="250"/>
      <c r="QE14" s="251"/>
      <c r="QF14" s="181">
        <f>IF(COUNT(QF15:QF17)=0,"",SUM(QF15:QF17)/COUNT(QF15:QF17))</f>
        <v>2</v>
      </c>
      <c r="QG14" s="182" t="str">
        <f t="shared" si="104"/>
        <v>C</v>
      </c>
      <c r="QH14" s="252"/>
      <c r="QI14" s="250"/>
      <c r="QJ14" s="251"/>
      <c r="QK14" s="181">
        <f>IF(COUNT(QK15:QK17)=0,"",SUM(QK15:QK17)/COUNT(QK15:QK17))</f>
        <v>3</v>
      </c>
      <c r="QL14" s="198" t="str">
        <f t="shared" si="105"/>
        <v>B</v>
      </c>
      <c r="QM14" s="247"/>
      <c r="QN14" s="245"/>
      <c r="QO14" s="246"/>
      <c r="QP14" s="181">
        <f>IF(COUNT(QP15:QP17)=0,"",SUM(QP15:QP17)/COUNT(QP15:QP17))</f>
        <v>2.3333333333333335</v>
      </c>
      <c r="QQ14" s="205" t="str">
        <f t="shared" si="106"/>
        <v>C</v>
      </c>
      <c r="QR14" s="181">
        <f>IF(COUNT(QR15:QR17)=0,"",SUM(QR15:QR17)/COUNT(QR15:QR17))</f>
        <v>2.4166666666666665</v>
      </c>
      <c r="QS14" s="206" t="str">
        <f t="shared" si="107"/>
        <v>C</v>
      </c>
      <c r="QT14" s="250"/>
      <c r="QU14" s="250"/>
      <c r="QV14" s="251"/>
      <c r="QW14" s="93" t="str">
        <f>IF(COUNT(QW15:QW17)=0,"",SUM(QW15:QW17)/COUNT(QW15:QW17))</f>
        <v/>
      </c>
      <c r="QX14" s="94" t="str">
        <f t="shared" si="108"/>
        <v/>
      </c>
      <c r="QY14" s="252"/>
      <c r="QZ14" s="250"/>
      <c r="RA14" s="251"/>
      <c r="RB14" s="93" t="str">
        <f>IF(COUNT(RB15:RB17)=0,"",SUM(RB15:RB17)/COUNT(RB15:RB17))</f>
        <v/>
      </c>
      <c r="RC14" s="95" t="str">
        <f t="shared" si="109"/>
        <v/>
      </c>
      <c r="RD14" s="247"/>
      <c r="RE14" s="245"/>
      <c r="RF14" s="246"/>
      <c r="RG14" s="93" t="str">
        <f>IF(COUNT(RG15:RG17)=0,"",SUM(RG15:RG17)/COUNT(RG15:RG17))</f>
        <v/>
      </c>
      <c r="RH14" s="96" t="str">
        <f t="shared" si="110"/>
        <v/>
      </c>
      <c r="RI14" s="93" t="str">
        <f>IF(COUNT(RI15:RI17)=0,"",SUM(RI15:RI17)/COUNT(RI15:RI17))</f>
        <v/>
      </c>
      <c r="RJ14" s="97" t="str">
        <f t="shared" si="111"/>
        <v/>
      </c>
      <c r="RK14" s="250"/>
      <c r="RL14" s="250"/>
      <c r="RM14" s="251"/>
      <c r="RN14" s="93" t="str">
        <f>IF(COUNT(RN15:RN17)=0,"",SUM(RN15:RN17)/COUNT(RN15:RN17))</f>
        <v/>
      </c>
      <c r="RO14" s="94" t="str">
        <f t="shared" si="112"/>
        <v/>
      </c>
      <c r="RP14" s="252"/>
      <c r="RQ14" s="250"/>
      <c r="RR14" s="251"/>
      <c r="RS14" s="93" t="str">
        <f>IF(COUNT(RS15:RS17)=0,"",SUM(RS15:RS17)/COUNT(RS15:RS17))</f>
        <v/>
      </c>
      <c r="RT14" s="95" t="str">
        <f t="shared" si="113"/>
        <v/>
      </c>
      <c r="RU14" s="247"/>
      <c r="RV14" s="245"/>
      <c r="RW14" s="246"/>
      <c r="RX14" s="93" t="str">
        <f>IF(COUNT(RX15:RX17)=0,"",SUM(RX15:RX17)/COUNT(RX15:RX17))</f>
        <v/>
      </c>
      <c r="RY14" s="96" t="str">
        <f t="shared" si="114"/>
        <v/>
      </c>
      <c r="RZ14" s="93" t="str">
        <f>IF(COUNT(RZ15:RZ17)=0,"",SUM(RZ15:RZ17)/COUNT(RZ15:RZ17))</f>
        <v/>
      </c>
      <c r="SA14" s="97" t="str">
        <f t="shared" si="115"/>
        <v/>
      </c>
      <c r="SB14" s="250"/>
      <c r="SC14" s="250"/>
      <c r="SD14" s="251"/>
      <c r="SE14" s="93" t="str">
        <f>IF(COUNT(SE15:SE17)=0,"",SUM(SE15:SE17)/COUNT(SE15:SE17))</f>
        <v/>
      </c>
      <c r="SF14" s="94" t="str">
        <f t="shared" si="116"/>
        <v/>
      </c>
      <c r="SG14" s="252"/>
      <c r="SH14" s="250"/>
      <c r="SI14" s="251"/>
      <c r="SJ14" s="93" t="str">
        <f>IF(COUNT(SJ15:SJ17)=0,"",SUM(SJ15:SJ17)/COUNT(SJ15:SJ17))</f>
        <v/>
      </c>
      <c r="SK14" s="95" t="str">
        <f t="shared" si="117"/>
        <v/>
      </c>
      <c r="SL14" s="247"/>
      <c r="SM14" s="245"/>
      <c r="SN14" s="246"/>
      <c r="SO14" s="93" t="str">
        <f>IF(COUNT(SO15:SO17)=0,"",SUM(SO15:SO17)/COUNT(SO15:SO17))</f>
        <v/>
      </c>
      <c r="SP14" s="96" t="str">
        <f t="shared" si="118"/>
        <v/>
      </c>
      <c r="SQ14" s="93" t="str">
        <f>IF(COUNT(SQ15:SQ17)=0,"",SUM(SQ15:SQ17)/COUNT(SQ15:SQ17))</f>
        <v/>
      </c>
      <c r="SR14" s="97" t="str">
        <f t="shared" si="119"/>
        <v/>
      </c>
      <c r="SS14" s="250"/>
      <c r="ST14" s="250"/>
      <c r="SU14" s="251"/>
      <c r="SV14" s="93" t="str">
        <f>IF(COUNT(SV15:SV17)=0,"",SUM(SV15:SV17)/COUNT(SV15:SV17))</f>
        <v/>
      </c>
      <c r="SW14" s="94" t="str">
        <f t="shared" si="120"/>
        <v/>
      </c>
      <c r="SX14" s="252"/>
      <c r="SY14" s="250"/>
      <c r="SZ14" s="251"/>
      <c r="TA14" s="93" t="str">
        <f>IF(COUNT(TA15:TA17)=0,"",SUM(TA15:TA17)/COUNT(TA15:TA17))</f>
        <v/>
      </c>
      <c r="TB14" s="95" t="str">
        <f t="shared" si="121"/>
        <v/>
      </c>
      <c r="TC14" s="247"/>
      <c r="TD14" s="245"/>
      <c r="TE14" s="246"/>
      <c r="TF14" s="93" t="str">
        <f>IF(COUNT(TF15:TF17)=0,"",SUM(TF15:TF17)/COUNT(TF15:TF17))</f>
        <v/>
      </c>
      <c r="TG14" s="96" t="str">
        <f t="shared" si="122"/>
        <v/>
      </c>
      <c r="TH14" s="93" t="str">
        <f>IF(COUNT(TH15:TH17)=0,"",SUM(TH15:TH17)/COUNT(TH15:TH17))</f>
        <v/>
      </c>
      <c r="TI14" s="97" t="str">
        <f t="shared" si="123"/>
        <v/>
      </c>
      <c r="TJ14" s="250"/>
      <c r="TK14" s="250"/>
      <c r="TL14" s="251"/>
      <c r="TM14" s="93" t="str">
        <f>IF(COUNT(TM15:TM17)=0,"",SUM(TM15:TM17)/COUNT(TM15:TM17))</f>
        <v/>
      </c>
      <c r="TN14" s="94" t="str">
        <f t="shared" si="124"/>
        <v/>
      </c>
      <c r="TO14" s="252"/>
      <c r="TP14" s="250"/>
      <c r="TQ14" s="251"/>
      <c r="TR14" s="93" t="str">
        <f>IF(COUNT(TR15:TR17)=0,"",SUM(TR15:TR17)/COUNT(TR15:TR17))</f>
        <v/>
      </c>
      <c r="TS14" s="95" t="str">
        <f t="shared" si="125"/>
        <v/>
      </c>
      <c r="TT14" s="247"/>
      <c r="TU14" s="245"/>
      <c r="TV14" s="246"/>
      <c r="TW14" s="93" t="str">
        <f>IF(COUNT(TW15:TW17)=0,"",SUM(TW15:TW17)/COUNT(TW15:TW17))</f>
        <v/>
      </c>
      <c r="TX14" s="96" t="str">
        <f t="shared" si="126"/>
        <v/>
      </c>
      <c r="TY14" s="93" t="str">
        <f>IF(COUNT(TY15:TY17)=0,"",SUM(TY15:TY17)/COUNT(TY15:TY17))</f>
        <v/>
      </c>
      <c r="TZ14" s="97" t="str">
        <f t="shared" si="127"/>
        <v/>
      </c>
    </row>
    <row r="15" spans="1:546" ht="15" customHeight="1" x14ac:dyDescent="0.25">
      <c r="A15" s="240" t="s">
        <v>18</v>
      </c>
      <c r="B15" s="241"/>
      <c r="C15" s="99" t="s">
        <v>25</v>
      </c>
      <c r="D15" s="100"/>
      <c r="E15" s="101"/>
      <c r="F15" s="183">
        <f>IFERROR((((COUNTIF('Elève (6ème3)'!C15:E15,"A"))*4)+((COUNTIF('Elève (6ème3)'!C15:E15,"B"))*3)+((COUNTIF('Elève (6ème3)'!C15:E15,"C"))*2)+((COUNTIF('Elève (6ème3)'!C15:E15,"D"))*1))/(COUNTA(C15:E15)),"")</f>
        <v>2</v>
      </c>
      <c r="G15" s="184" t="str">
        <f t="shared" si="0"/>
        <v>C</v>
      </c>
      <c r="H15" s="99" t="s">
        <v>25</v>
      </c>
      <c r="I15" s="100"/>
      <c r="J15" s="101"/>
      <c r="K15" s="183">
        <f>IFERROR((((COUNTIF('Elève (6ème3)'!H15:J15,"A"))*4)+((COUNTIF('Elève (6ème3)'!H15:J15,"B"))*3)+((COUNTIF('Elève (6ème3)'!H15:J15,"C"))*2)+((COUNTIF('Elève (6ème3)'!H15:J15,"D"))*1))/(COUNTA(H15:J15)),"")</f>
        <v>2</v>
      </c>
      <c r="L15" s="184" t="str">
        <f t="shared" si="1"/>
        <v>C</v>
      </c>
      <c r="M15" s="99" t="s">
        <v>25</v>
      </c>
      <c r="N15" s="100"/>
      <c r="O15" s="101" t="s">
        <v>25</v>
      </c>
      <c r="P15" s="183">
        <f>IFERROR((((COUNTIF('Elève (6ème3)'!M15:O15,"A"))*4)+((COUNTIF('Elève (6ème3)'!M15:O15,"B"))*3)+((COUNTIF('Elève (6ème3)'!M15:O15,"C"))*2)+((COUNTIF('Elève (6ème3)'!M15:O15,"D"))*1))/(COUNTA(M15:O15)),"")</f>
        <v>2</v>
      </c>
      <c r="Q15" s="184" t="str">
        <f t="shared" si="2"/>
        <v>C</v>
      </c>
      <c r="R15" s="183">
        <f>IF(COUNT(F15,K15,P15)=0,"",SUM(F15,K15,P15)/COUNT(F15,K15,P15))</f>
        <v>2</v>
      </c>
      <c r="S15" s="211" t="str">
        <f t="shared" si="3"/>
        <v>C</v>
      </c>
      <c r="T15" s="105" t="s">
        <v>26</v>
      </c>
      <c r="U15" s="100"/>
      <c r="V15" s="101"/>
      <c r="W15" s="183">
        <f>IFERROR((((COUNTIF('Elève (6ème3)'!T15:V15,"A"))*4)+((COUNTIF('Elève (6ème3)'!T15:V15,"B"))*3)+((COUNTIF('Elève (6ème3)'!T15:V15,"C"))*2)+((COUNTIF('Elève (6ème3)'!T15:V15,"D"))*1))/(COUNTA(T15:V15)),"")</f>
        <v>1</v>
      </c>
      <c r="X15" s="184" t="str">
        <f t="shared" si="4"/>
        <v>D</v>
      </c>
      <c r="Y15" s="99" t="s">
        <v>23</v>
      </c>
      <c r="Z15" s="100"/>
      <c r="AA15" s="101"/>
      <c r="AB15" s="183">
        <f>IFERROR((((COUNTIF('Elève (6ème3)'!Y15:AA15,"A"))*4)+((COUNTIF('Elève (6ème3)'!Y15:AA15,"B"))*3)+((COUNTIF('Elève (6ème3)'!Y15:AA15,"C"))*2)+((COUNTIF('Elève (6ème3)'!Y15:AA15,"D"))*1))/(COUNTA(Y15:AA15)),"")</f>
        <v>4</v>
      </c>
      <c r="AC15" s="184" t="str">
        <f t="shared" si="5"/>
        <v>A</v>
      </c>
      <c r="AD15" s="99" t="s">
        <v>24</v>
      </c>
      <c r="AE15" s="100"/>
      <c r="AF15" s="101" t="s">
        <v>24</v>
      </c>
      <c r="AG15" s="183">
        <f>IFERROR((((COUNTIF('Elève (6ème3)'!AD15:AF15,"A"))*4)+((COUNTIF('Elève (6ème3)'!AD15:AF15,"B"))*3)+((COUNTIF('Elève (6ème3)'!AD15:AF15,"C"))*2)+((COUNTIF('Elève (6ème3)'!AD15:AF15,"D"))*1))/(COUNTA(AD15:AF15)),"")</f>
        <v>3</v>
      </c>
      <c r="AH15" s="184" t="str">
        <f t="shared" si="6"/>
        <v>B</v>
      </c>
      <c r="AI15" s="183">
        <f>IF(COUNT(W15,AB15,AG15)=0,"",SUM(W15,AB15,AG15)/COUNT(W15,AB15,AG15))</f>
        <v>2.6666666666666665</v>
      </c>
      <c r="AJ15" s="211" t="str">
        <f t="shared" si="7"/>
        <v>C</v>
      </c>
      <c r="AK15" s="105" t="s">
        <v>24</v>
      </c>
      <c r="AL15" s="100"/>
      <c r="AM15" s="101"/>
      <c r="AN15" s="183">
        <f>IFERROR((((COUNTIF('Elève (6ème3)'!AK15:AM15,"A"))*4)+((COUNTIF('Elève (6ème3)'!AK15:AM15,"B"))*3)+((COUNTIF('Elève (6ème3)'!AK15:AM15,"C"))*2)+((COUNTIF('Elève (6ème3)'!AK15:AM15,"D"))*1))/(COUNTA(AK15:AM15)),"")</f>
        <v>3</v>
      </c>
      <c r="AO15" s="184" t="str">
        <f t="shared" si="8"/>
        <v>B</v>
      </c>
      <c r="AP15" s="99" t="s">
        <v>24</v>
      </c>
      <c r="AQ15" s="100"/>
      <c r="AR15" s="101"/>
      <c r="AS15" s="183">
        <f>IFERROR((((COUNTIF('Elève (6ème3)'!AP15:AR15,"A"))*4)+((COUNTIF('Elève (6ème3)'!AP15:AR15,"B"))*3)+((COUNTIF('Elève (6ème3)'!AP15:AR15,"C"))*2)+((COUNTIF('Elève (6ème3)'!AP15:AR15,"D"))*1))/(COUNTA(AP15:AR15)),"")</f>
        <v>3</v>
      </c>
      <c r="AT15" s="184" t="str">
        <f t="shared" si="9"/>
        <v>B</v>
      </c>
      <c r="AU15" s="99" t="s">
        <v>23</v>
      </c>
      <c r="AV15" s="100"/>
      <c r="AW15" s="101" t="s">
        <v>24</v>
      </c>
      <c r="AX15" s="183">
        <f>IFERROR((((COUNTIF('Elève (6ème3)'!AU15:AW15,"A"))*4)+((COUNTIF('Elève (6ème3)'!AU15:AW15,"B"))*3)+((COUNTIF('Elève (6ème3)'!AU15:AW15,"C"))*2)+((COUNTIF('Elève (6ème3)'!AU15:AW15,"D"))*1))/(COUNTA(AU15:AW15)),"")</f>
        <v>3.5</v>
      </c>
      <c r="AY15" s="184" t="str">
        <f t="shared" si="10"/>
        <v>B</v>
      </c>
      <c r="AZ15" s="183">
        <f>IF(COUNT(AN15,AS15,AX15)=0,"",SUM(AN15,AS15,AX15)/COUNT(AN15,AS15,AX15))</f>
        <v>3.1666666666666665</v>
      </c>
      <c r="BA15" s="211" t="str">
        <f t="shared" si="11"/>
        <v>B</v>
      </c>
      <c r="BB15" s="105" t="s">
        <v>25</v>
      </c>
      <c r="BC15" s="100"/>
      <c r="BD15" s="101"/>
      <c r="BE15" s="183">
        <f>IFERROR((((COUNTIF('Elève (6ème3)'!BB15:BD15,"A"))*4)+((COUNTIF('Elève (6ème3)'!BB15:BD15,"B"))*3)+((COUNTIF('Elève (6ème3)'!BB15:BD15,"C"))*2)+((COUNTIF('Elève (6ème3)'!BB15:BD15,"D"))*1))/(COUNTA(BB15:BD15)),"")</f>
        <v>2</v>
      </c>
      <c r="BF15" s="184" t="str">
        <f t="shared" si="12"/>
        <v>C</v>
      </c>
      <c r="BG15" s="99" t="s">
        <v>23</v>
      </c>
      <c r="BH15" s="100"/>
      <c r="BI15" s="101"/>
      <c r="BJ15" s="183">
        <f>IFERROR((((COUNTIF('Elève (6ème3)'!BG15:BI15,"A"))*4)+((COUNTIF('Elève (6ème3)'!BG15:BI15,"B"))*3)+((COUNTIF('Elève (6ème3)'!BG15:BI15,"C"))*2)+((COUNTIF('Elève (6ème3)'!BG15:BI15,"D"))*1))/(COUNTA(BG15:BI15)),"")</f>
        <v>4</v>
      </c>
      <c r="BK15" s="184" t="str">
        <f t="shared" si="13"/>
        <v>A</v>
      </c>
      <c r="BL15" s="99" t="s">
        <v>24</v>
      </c>
      <c r="BM15" s="100"/>
      <c r="BN15" s="101" t="s">
        <v>24</v>
      </c>
      <c r="BO15" s="183">
        <f>IFERROR((((COUNTIF('Elève (6ème3)'!BL15:BN15,"A"))*4)+((COUNTIF('Elève (6ème3)'!BL15:BN15,"B"))*3)+((COUNTIF('Elève (6ème3)'!BL15:BN15,"C"))*2)+((COUNTIF('Elève (6ème3)'!BL15:BN15,"D"))*1))/(COUNTA(BL15:BN15)),"")</f>
        <v>3</v>
      </c>
      <c r="BP15" s="184" t="str">
        <f t="shared" si="14"/>
        <v>B</v>
      </c>
      <c r="BQ15" s="183">
        <f>IF(COUNT(BE15,BJ15,BO15)=0,"",SUM(BE15,BJ15,BO15)/COUNT(BE15,BJ15,BO15))</f>
        <v>3</v>
      </c>
      <c r="BR15" s="211" t="str">
        <f t="shared" si="15"/>
        <v>B</v>
      </c>
      <c r="BS15" s="105" t="s">
        <v>25</v>
      </c>
      <c r="BT15" s="100"/>
      <c r="BU15" s="101"/>
      <c r="BV15" s="183">
        <f>IFERROR((((COUNTIF('Elève (6ème3)'!BS15:BU15,"A"))*4)+((COUNTIF('Elève (6ème3)'!BS15:BU15,"B"))*3)+((COUNTIF('Elève (6ème3)'!BS15:BU15,"C"))*2)+((COUNTIF('Elève (6ème3)'!BS15:BU15,"D"))*1))/(COUNTA(BS15:BU15)),"")</f>
        <v>2</v>
      </c>
      <c r="BW15" s="184" t="str">
        <f t="shared" si="16"/>
        <v>C</v>
      </c>
      <c r="BX15" s="99" t="s">
        <v>24</v>
      </c>
      <c r="BY15" s="100"/>
      <c r="BZ15" s="101"/>
      <c r="CA15" s="183">
        <f>IFERROR((((COUNTIF('Elève (6ème3)'!BX15:BZ15,"A"))*4)+((COUNTIF('Elève (6ème3)'!BX15:BZ15,"B"))*3)+((COUNTIF('Elève (6ème3)'!BX15:BZ15,"C"))*2)+((COUNTIF('Elève (6ème3)'!BX15:BZ15,"D"))*1))/(COUNTA(BX15:BZ15)),"")</f>
        <v>3</v>
      </c>
      <c r="CB15" s="184" t="str">
        <f t="shared" si="17"/>
        <v>B</v>
      </c>
      <c r="CC15" s="99" t="s">
        <v>24</v>
      </c>
      <c r="CD15" s="100"/>
      <c r="CE15" s="101" t="s">
        <v>24</v>
      </c>
      <c r="CF15" s="183">
        <f>IFERROR((((COUNTIF('Elève (6ème3)'!CC15:CE15,"A"))*4)+((COUNTIF('Elève (6ème3)'!CC15:CE15,"B"))*3)+((COUNTIF('Elève (6ème3)'!CC15:CE15,"C"))*2)+((COUNTIF('Elève (6ème3)'!CC15:CE15,"D"))*1))/(COUNTA(CC15:CE15)),"")</f>
        <v>3</v>
      </c>
      <c r="CG15" s="184" t="str">
        <f t="shared" si="18"/>
        <v>B</v>
      </c>
      <c r="CH15" s="183">
        <f>IF(COUNT(BV15,CA15,CF15)=0,"",SUM(BV15,CA15,CF15)/COUNT(BV15,CA15,CF15))</f>
        <v>2.6666666666666665</v>
      </c>
      <c r="CI15" s="211" t="str">
        <f t="shared" si="19"/>
        <v>C</v>
      </c>
      <c r="CJ15" s="105" t="s">
        <v>26</v>
      </c>
      <c r="CK15" s="100"/>
      <c r="CL15" s="101"/>
      <c r="CM15" s="183">
        <f>IFERROR((((COUNTIF('Elève (6ème3)'!CJ15:CL15,"A"))*4)+((COUNTIF('Elève (6ème3)'!CJ15:CL15,"B"))*3)+((COUNTIF('Elève (6ème3)'!CJ15:CL15,"C"))*2)+((COUNTIF('Elève (6ème3)'!CJ15:CL15,"D"))*1))/(COUNTA(CJ15:CL15)),"")</f>
        <v>1</v>
      </c>
      <c r="CN15" s="184" t="str">
        <f t="shared" si="20"/>
        <v>D</v>
      </c>
      <c r="CO15" s="99" t="s">
        <v>26</v>
      </c>
      <c r="CP15" s="100"/>
      <c r="CQ15" s="101"/>
      <c r="CR15" s="183">
        <f>IFERROR((((COUNTIF('Elève (6ème3)'!CO15:CQ15,"A"))*4)+((COUNTIF('Elève (6ème3)'!CO15:CQ15,"B"))*3)+((COUNTIF('Elève (6ème3)'!CO15:CQ15,"C"))*2)+((COUNTIF('Elève (6ème3)'!CO15:CQ15,"D"))*1))/(COUNTA(CO15:CQ15)),"")</f>
        <v>1</v>
      </c>
      <c r="CS15" s="184" t="str">
        <f t="shared" si="21"/>
        <v>D</v>
      </c>
      <c r="CT15" s="99"/>
      <c r="CU15" s="100"/>
      <c r="CV15" s="101" t="s">
        <v>25</v>
      </c>
      <c r="CW15" s="183">
        <f>IFERROR((((COUNTIF('Elève (6ème3)'!CT15:CV15,"A"))*4)+((COUNTIF('Elève (6ème3)'!CT15:CV15,"B"))*3)+((COUNTIF('Elève (6ème3)'!CT15:CV15,"C"))*2)+((COUNTIF('Elève (6ème3)'!CT15:CV15,"D"))*1))/(COUNTA(CT15:CV15)),"")</f>
        <v>2</v>
      </c>
      <c r="CX15" s="184" t="str">
        <f t="shared" si="22"/>
        <v>C</v>
      </c>
      <c r="CY15" s="183">
        <f>IF(COUNT(CM15,CR15,CW15)=0,"",SUM(CM15,CR15,CW15)/COUNT(CM15,CR15,CW15))</f>
        <v>1.3333333333333333</v>
      </c>
      <c r="CZ15" s="211" t="str">
        <f t="shared" si="23"/>
        <v>D</v>
      </c>
      <c r="DA15" s="105" t="s">
        <v>23</v>
      </c>
      <c r="DB15" s="100"/>
      <c r="DC15" s="101"/>
      <c r="DD15" s="183">
        <f>IFERROR((((COUNTIF('Elève (6ème3)'!DA15:DC15,"A"))*4)+((COUNTIF('Elève (6ème3)'!DA15:DC15,"B"))*3)+((COUNTIF('Elève (6ème3)'!DA15:DC15,"C"))*2)+((COUNTIF('Elève (6ème3)'!DA15:DC15,"D"))*1))/(COUNTA(DA15:DC15)),"")</f>
        <v>4</v>
      </c>
      <c r="DE15" s="184" t="str">
        <f t="shared" si="24"/>
        <v>A</v>
      </c>
      <c r="DF15" s="99" t="s">
        <v>24</v>
      </c>
      <c r="DG15" s="100"/>
      <c r="DH15" s="101"/>
      <c r="DI15" s="183">
        <f>IFERROR((((COUNTIF('Elève (6ème3)'!DF15:DH15,"A"))*4)+((COUNTIF('Elève (6ème3)'!DF15:DH15,"B"))*3)+((COUNTIF('Elève (6ème3)'!DF15:DH15,"C"))*2)+((COUNTIF('Elève (6ème3)'!DF15:DH15,"D"))*1))/(COUNTA(DF15:DH15)),"")</f>
        <v>3</v>
      </c>
      <c r="DJ15" s="184" t="str">
        <f t="shared" si="25"/>
        <v>B</v>
      </c>
      <c r="DK15" s="99" t="s">
        <v>23</v>
      </c>
      <c r="DL15" s="100"/>
      <c r="DM15" s="101" t="s">
        <v>24</v>
      </c>
      <c r="DN15" s="183">
        <f>IFERROR((((COUNTIF('Elève (6ème3)'!DK15:DM15,"A"))*4)+((COUNTIF('Elève (6ème3)'!DK15:DM15,"B"))*3)+((COUNTIF('Elève (6ème3)'!DK15:DM15,"C"))*2)+((COUNTIF('Elève (6ème3)'!DK15:DM15,"D"))*1))/(COUNTA(DK15:DM15)),"")</f>
        <v>3.5</v>
      </c>
      <c r="DO15" s="184" t="str">
        <f t="shared" si="26"/>
        <v>B</v>
      </c>
      <c r="DP15" s="183">
        <f>IF(COUNT(DD15,DI15,DN15)=0,"",SUM(DD15,DI15,DN15)/COUNT(DD15,DI15,DN15))</f>
        <v>3.5</v>
      </c>
      <c r="DQ15" s="211" t="str">
        <f t="shared" si="27"/>
        <v>B</v>
      </c>
      <c r="DR15" s="105"/>
      <c r="DS15" s="100"/>
      <c r="DT15" s="101"/>
      <c r="DU15" s="183" t="str">
        <f>IFERROR((((COUNTIF('Elève (6ème3)'!DR15:DT15,"A"))*4)+((COUNTIF('Elève (6ème3)'!DR15:DT15,"B"))*3)+((COUNTIF('Elève (6ème3)'!DR15:DT15,"C"))*2)+((COUNTIF('Elève (6ème3)'!DR15:DT15,"D"))*1))/(COUNTA(DR15:DT15)),"")</f>
        <v/>
      </c>
      <c r="DV15" s="184" t="str">
        <f t="shared" si="28"/>
        <v/>
      </c>
      <c r="DW15" s="99" t="s">
        <v>23</v>
      </c>
      <c r="DX15" s="100"/>
      <c r="DY15" s="101"/>
      <c r="DZ15" s="183">
        <f>IFERROR((((COUNTIF('Elève (6ème3)'!DW15:DY15,"A"))*4)+((COUNTIF('Elève (6ème3)'!DW15:DY15,"B"))*3)+((COUNTIF('Elève (6ème3)'!DW15:DY15,"C"))*2)+((COUNTIF('Elève (6ème3)'!DW15:DY15,"D"))*1))/(COUNTA(DW15:DY15)),"")</f>
        <v>4</v>
      </c>
      <c r="EA15" s="184" t="str">
        <f t="shared" si="29"/>
        <v>A</v>
      </c>
      <c r="EB15" s="99" t="s">
        <v>24</v>
      </c>
      <c r="EC15" s="100"/>
      <c r="ED15" s="101" t="s">
        <v>25</v>
      </c>
      <c r="EE15" s="183">
        <f>IFERROR((((COUNTIF('Elève (6ème3)'!EB15:ED15,"A"))*4)+((COUNTIF('Elève (6ème3)'!EB15:ED15,"B"))*3)+((COUNTIF('Elève (6ème3)'!EB15:ED15,"C"))*2)+((COUNTIF('Elève (6ème3)'!EB15:ED15,"D"))*1))/(COUNTA(EB15:ED15)),"")</f>
        <v>2.5</v>
      </c>
      <c r="EF15" s="184" t="str">
        <f t="shared" si="30"/>
        <v>C</v>
      </c>
      <c r="EG15" s="183">
        <f>IF(COUNT(DU15,DZ15,EE15)=0,"",SUM(DU15,DZ15,EE15)/COUNT(DU15,DZ15,EE15))</f>
        <v>3.25</v>
      </c>
      <c r="EH15" s="211" t="str">
        <f t="shared" si="31"/>
        <v>B</v>
      </c>
      <c r="EI15" s="105" t="s">
        <v>25</v>
      </c>
      <c r="EJ15" s="100"/>
      <c r="EK15" s="101"/>
      <c r="EL15" s="183">
        <f>IFERROR((((COUNTIF('Elève (6ème3)'!EI15:EK15,"A"))*4)+((COUNTIF('Elève (6ème3)'!EI15:EK15,"B"))*3)+((COUNTIF('Elève (6ème3)'!EI15:EK15,"C"))*2)+((COUNTIF('Elève (6ème3)'!EI15:EK15,"D"))*1))/(COUNTA(EI15:EK15)),"")</f>
        <v>2</v>
      </c>
      <c r="EM15" s="184" t="str">
        <f t="shared" si="32"/>
        <v>C</v>
      </c>
      <c r="EN15" s="99" t="s">
        <v>24</v>
      </c>
      <c r="EO15" s="100"/>
      <c r="EP15" s="101"/>
      <c r="EQ15" s="183">
        <f>IFERROR((((COUNTIF('Elève (6ème3)'!EN15:EP15,"A"))*4)+((COUNTIF('Elève (6ème3)'!EN15:EP15,"B"))*3)+((COUNTIF('Elève (6ème3)'!EN15:EP15,"C"))*2)+((COUNTIF('Elève (6ème3)'!EN15:EP15,"D"))*1))/(COUNTA(EN15:EP15)),"")</f>
        <v>3</v>
      </c>
      <c r="ER15" s="184" t="str">
        <f t="shared" si="33"/>
        <v>B</v>
      </c>
      <c r="ES15" s="99" t="s">
        <v>23</v>
      </c>
      <c r="ET15" s="100"/>
      <c r="EU15" s="101" t="s">
        <v>24</v>
      </c>
      <c r="EV15" s="183">
        <f>IFERROR((((COUNTIF('Elève (6ème3)'!ES15:EU15,"A"))*4)+((COUNTIF('Elève (6ème3)'!ES15:EU15,"B"))*3)+((COUNTIF('Elève (6ème3)'!ES15:EU15,"C"))*2)+((COUNTIF('Elève (6ème3)'!ES15:EU15,"D"))*1))/(COUNTA(ES15:EU15)),"")</f>
        <v>3.5</v>
      </c>
      <c r="EW15" s="184" t="str">
        <f t="shared" si="34"/>
        <v>B</v>
      </c>
      <c r="EX15" s="183">
        <f>IF(COUNT(EL15,EQ15,EV15)=0,"",SUM(EL15,EQ15,EV15)/COUNT(EL15,EQ15,EV15))</f>
        <v>2.8333333333333335</v>
      </c>
      <c r="EY15" s="211" t="str">
        <f t="shared" si="35"/>
        <v>B</v>
      </c>
      <c r="EZ15" s="105" t="s">
        <v>24</v>
      </c>
      <c r="FA15" s="100"/>
      <c r="FB15" s="101"/>
      <c r="FC15" s="183">
        <f>IFERROR((((COUNTIF('Elève (6ème3)'!EZ15:FB15,"A"))*4)+((COUNTIF('Elève (6ème3)'!EZ15:FB15,"B"))*3)+((COUNTIF('Elève (6ème3)'!EZ15:FB15,"C"))*2)+((COUNTIF('Elève (6ème3)'!EZ15:FB15,"D"))*1))/(COUNTA(EZ15:FB15)),"")</f>
        <v>3</v>
      </c>
      <c r="FD15" s="184" t="str">
        <f t="shared" si="36"/>
        <v>B</v>
      </c>
      <c r="FE15" s="99" t="s">
        <v>24</v>
      </c>
      <c r="FF15" s="100"/>
      <c r="FG15" s="101"/>
      <c r="FH15" s="183">
        <f>IFERROR((((COUNTIF('Elève (6ème3)'!FE15:FG15,"A"))*4)+((COUNTIF('Elève (6ème3)'!FE15:FG15,"B"))*3)+((COUNTIF('Elève (6ème3)'!FE15:FG15,"C"))*2)+((COUNTIF('Elève (6ème3)'!FE15:FG15,"D"))*1))/(COUNTA(FE15:FG15)),"")</f>
        <v>3</v>
      </c>
      <c r="FI15" s="184" t="str">
        <f t="shared" si="37"/>
        <v>B</v>
      </c>
      <c r="FJ15" s="99" t="s">
        <v>25</v>
      </c>
      <c r="FK15" s="100"/>
      <c r="FL15" s="101" t="s">
        <v>24</v>
      </c>
      <c r="FM15" s="183">
        <f>IFERROR((((COUNTIF('Elève (6ème3)'!FJ15:FL15,"A"))*4)+((COUNTIF('Elève (6ème3)'!FJ15:FL15,"B"))*3)+((COUNTIF('Elève (6ème3)'!FJ15:FL15,"C"))*2)+((COUNTIF('Elève (6ème3)'!FJ15:FL15,"D"))*1))/(COUNTA(FJ15:FL15)),"")</f>
        <v>2.5</v>
      </c>
      <c r="FN15" s="184" t="str">
        <f t="shared" si="38"/>
        <v>C</v>
      </c>
      <c r="FO15" s="183">
        <f>IF(COUNT(FC15,FH15,FM15)=0,"",SUM(FC15,FH15,FM15)/COUNT(FC15,FH15,FM15))</f>
        <v>2.8333333333333335</v>
      </c>
      <c r="FP15" s="211" t="str">
        <f t="shared" si="39"/>
        <v>B</v>
      </c>
      <c r="FQ15" s="105" t="s">
        <v>26</v>
      </c>
      <c r="FR15" s="100"/>
      <c r="FS15" s="101"/>
      <c r="FT15" s="183">
        <f>IFERROR((((COUNTIF('Elève (6ème3)'!FQ15:FS15,"A"))*4)+((COUNTIF('Elève (6ème3)'!FQ15:FS15,"B"))*3)+((COUNTIF('Elève (6ème3)'!FQ15:FS15,"C"))*2)+((COUNTIF('Elève (6ème3)'!FQ15:FS15,"D"))*1))/(COUNTA(FQ15:FS15)),"")</f>
        <v>1</v>
      </c>
      <c r="FU15" s="184" t="str">
        <f t="shared" si="40"/>
        <v>D</v>
      </c>
      <c r="FV15" s="99" t="s">
        <v>26</v>
      </c>
      <c r="FW15" s="100"/>
      <c r="FX15" s="101"/>
      <c r="FY15" s="183">
        <f>IFERROR((((COUNTIF('Elève (6ème3)'!FV15:FX15,"A"))*4)+((COUNTIF('Elève (6ème3)'!FV15:FX15,"B"))*3)+((COUNTIF('Elève (6ème3)'!FV15:FX15,"C"))*2)+((COUNTIF('Elève (6ème3)'!FV15:FX15,"D"))*1))/(COUNTA(FV15:FX15)),"")</f>
        <v>1</v>
      </c>
      <c r="FZ15" s="184" t="str">
        <f t="shared" si="41"/>
        <v>D</v>
      </c>
      <c r="GA15" s="99" t="s">
        <v>26</v>
      </c>
      <c r="GB15" s="100"/>
      <c r="GC15" s="101" t="s">
        <v>25</v>
      </c>
      <c r="GD15" s="183">
        <f>IFERROR((((COUNTIF('Elève (6ème3)'!GA15:GC15,"A"))*4)+((COUNTIF('Elève (6ème3)'!GA15:GC15,"B"))*3)+((COUNTIF('Elève (6ème3)'!GA15:GC15,"C"))*2)+((COUNTIF('Elève (6ème3)'!GA15:GC15,"D"))*1))/(COUNTA(GA15:GC15)),"")</f>
        <v>1.5</v>
      </c>
      <c r="GE15" s="184" t="str">
        <f t="shared" si="42"/>
        <v>D</v>
      </c>
      <c r="GF15" s="183">
        <f>IF(COUNT(FT15,FY15,GD15)=0,"",SUM(FT15,FY15,GD15)/COUNT(FT15,FY15,GD15))</f>
        <v>1.1666666666666667</v>
      </c>
      <c r="GG15" s="211" t="str">
        <f t="shared" si="43"/>
        <v>D</v>
      </c>
      <c r="GH15" s="105" t="s">
        <v>24</v>
      </c>
      <c r="GI15" s="100"/>
      <c r="GJ15" s="101"/>
      <c r="GK15" s="183">
        <f>IFERROR((((COUNTIF('Elève (6ème3)'!GH15:GJ15,"A"))*4)+((COUNTIF('Elève (6ème3)'!GH15:GJ15,"B"))*3)+((COUNTIF('Elève (6ème3)'!GH15:GJ15,"C"))*2)+((COUNTIF('Elève (6ème3)'!GH15:GJ15,"D"))*1))/(COUNTA(GH15:GJ15)),"")</f>
        <v>3</v>
      </c>
      <c r="GL15" s="184" t="str">
        <f t="shared" si="44"/>
        <v>B</v>
      </c>
      <c r="GM15" s="99" t="s">
        <v>23</v>
      </c>
      <c r="GN15" s="100"/>
      <c r="GO15" s="101"/>
      <c r="GP15" s="183">
        <f>IFERROR((((COUNTIF('Elève (6ème3)'!GM15:GO15,"A"))*4)+((COUNTIF('Elève (6ème3)'!GM15:GO15,"B"))*3)+((COUNTIF('Elève (6ème3)'!GM15:GO15,"C"))*2)+((COUNTIF('Elève (6ème3)'!GM15:GO15,"D"))*1))/(COUNTA(GM15:GO15)),"")</f>
        <v>4</v>
      </c>
      <c r="GQ15" s="184" t="str">
        <f t="shared" si="45"/>
        <v>A</v>
      </c>
      <c r="GR15" s="99" t="s">
        <v>23</v>
      </c>
      <c r="GS15" s="100"/>
      <c r="GT15" s="101" t="s">
        <v>24</v>
      </c>
      <c r="GU15" s="183">
        <f>IFERROR((((COUNTIF('Elève (6ème3)'!GR15:GT15,"A"))*4)+((COUNTIF('Elève (6ème3)'!GR15:GT15,"B"))*3)+((COUNTIF('Elève (6ème3)'!GR15:GT15,"C"))*2)+((COUNTIF('Elève (6ème3)'!GR15:GT15,"D"))*1))/(COUNTA(GR15:GT15)),"")</f>
        <v>3.5</v>
      </c>
      <c r="GV15" s="184" t="str">
        <f t="shared" si="46"/>
        <v>B</v>
      </c>
      <c r="GW15" s="183">
        <f>IF(COUNT(GK15,GP15,GU15)=0,"",SUM(GK15,GP15,GU15)/COUNT(GK15,GP15,GU15))</f>
        <v>3.5</v>
      </c>
      <c r="GX15" s="211" t="str">
        <f t="shared" si="47"/>
        <v>B</v>
      </c>
      <c r="GY15" s="105" t="s">
        <v>26</v>
      </c>
      <c r="GZ15" s="100"/>
      <c r="HA15" s="101"/>
      <c r="HB15" s="183">
        <f>IFERROR((((COUNTIF('Elève (6ème3)'!GY15:HA15,"A"))*4)+((COUNTIF('Elève (6ème3)'!GY15:HA15,"B"))*3)+((COUNTIF('Elève (6ème3)'!GY15:HA15,"C"))*2)+((COUNTIF('Elève (6ème3)'!GY15:HA15,"D"))*1))/(COUNTA(GY15:HA15)),"")</f>
        <v>1</v>
      </c>
      <c r="HC15" s="184" t="str">
        <f t="shared" si="48"/>
        <v>D</v>
      </c>
      <c r="HD15" s="99" t="s">
        <v>24</v>
      </c>
      <c r="HE15" s="100"/>
      <c r="HF15" s="101"/>
      <c r="HG15" s="183">
        <f>IFERROR((((COUNTIF('Elève (6ème3)'!HD15:HF15,"A"))*4)+((COUNTIF('Elève (6ème3)'!HD15:HF15,"B"))*3)+((COUNTIF('Elève (6ème3)'!HD15:HF15,"C"))*2)+((COUNTIF('Elève (6ème3)'!HD15:HF15,"D"))*1))/(COUNTA(HD15:HF15)),"")</f>
        <v>3</v>
      </c>
      <c r="HH15" s="184" t="str">
        <f t="shared" si="49"/>
        <v>B</v>
      </c>
      <c r="HI15" s="99" t="s">
        <v>24</v>
      </c>
      <c r="HJ15" s="100"/>
      <c r="HK15" s="101" t="s">
        <v>25</v>
      </c>
      <c r="HL15" s="183">
        <f>IFERROR((((COUNTIF('Elève (6ème3)'!HI15:HK15,"A"))*4)+((COUNTIF('Elève (6ème3)'!HI15:HK15,"B"))*3)+((COUNTIF('Elève (6ème3)'!HI15:HK15,"C"))*2)+((COUNTIF('Elève (6ème3)'!HI15:HK15,"D"))*1))/(COUNTA(HI15:HK15)),"")</f>
        <v>2.5</v>
      </c>
      <c r="HM15" s="184" t="str">
        <f t="shared" si="50"/>
        <v>C</v>
      </c>
      <c r="HN15" s="183">
        <f>IF(COUNT(HB15,HG15,HL15)=0,"",SUM(HB15,HG15,HL15)/COUNT(HB15,HG15,HL15))</f>
        <v>2.1666666666666665</v>
      </c>
      <c r="HO15" s="211" t="str">
        <f t="shared" si="51"/>
        <v>C</v>
      </c>
      <c r="HP15" s="105" t="s">
        <v>25</v>
      </c>
      <c r="HQ15" s="100"/>
      <c r="HR15" s="101"/>
      <c r="HS15" s="183">
        <f>IFERROR((((COUNTIF('Elève (6ème3)'!HP15:HR15,"A"))*4)+((COUNTIF('Elève (6ème3)'!HP15:HR15,"B"))*3)+((COUNTIF('Elève (6ème3)'!HP15:HR15,"C"))*2)+((COUNTIF('Elève (6ème3)'!HP15:HR15,"D"))*1))/(COUNTA(HP15:HR15)),"")</f>
        <v>2</v>
      </c>
      <c r="HT15" s="184" t="str">
        <f t="shared" si="52"/>
        <v>C</v>
      </c>
      <c r="HU15" s="99" t="s">
        <v>23</v>
      </c>
      <c r="HV15" s="100"/>
      <c r="HW15" s="101"/>
      <c r="HX15" s="183">
        <f>IFERROR((((COUNTIF('Elève (6ème3)'!HU15:HW15,"A"))*4)+((COUNTIF('Elève (6ème3)'!HU15:HW15,"B"))*3)+((COUNTIF('Elève (6ème3)'!HU15:HW15,"C"))*2)+((COUNTIF('Elève (6ème3)'!HU15:HW15,"D"))*1))/(COUNTA(HU15:HW15)),"")</f>
        <v>4</v>
      </c>
      <c r="HY15" s="184" t="str">
        <f t="shared" si="53"/>
        <v>A</v>
      </c>
      <c r="HZ15" s="99" t="s">
        <v>24</v>
      </c>
      <c r="IA15" s="100"/>
      <c r="IB15" s="101" t="s">
        <v>24</v>
      </c>
      <c r="IC15" s="183">
        <f>IFERROR((((COUNTIF('Elève (6ème3)'!HZ15:IB15,"A"))*4)+((COUNTIF('Elève (6ème3)'!HZ15:IB15,"B"))*3)+((COUNTIF('Elève (6ème3)'!HZ15:IB15,"C"))*2)+((COUNTIF('Elève (6ème3)'!HZ15:IB15,"D"))*1))/(COUNTA(HZ15:IB15)),"")</f>
        <v>3</v>
      </c>
      <c r="ID15" s="184" t="str">
        <f t="shared" si="54"/>
        <v>B</v>
      </c>
      <c r="IE15" s="183">
        <f>IF(COUNT(HS15,HX15,IC15)=0,"",SUM(HS15,HX15,IC15)/COUNT(HS15,HX15,IC15))</f>
        <v>3</v>
      </c>
      <c r="IF15" s="211" t="str">
        <f t="shared" si="55"/>
        <v>B</v>
      </c>
      <c r="IG15" s="105" t="s">
        <v>25</v>
      </c>
      <c r="IH15" s="100"/>
      <c r="II15" s="101"/>
      <c r="IJ15" s="183">
        <f>IFERROR((((COUNTIF('Elève (6ème3)'!IG15:II15,"A"))*4)+((COUNTIF('Elève (6ème3)'!IG15:II15,"B"))*3)+((COUNTIF('Elève (6ème3)'!IG15:II15,"C"))*2)+((COUNTIF('Elève (6ème3)'!IG15:II15,"D"))*1))/(COUNTA(IG15:II15)),"")</f>
        <v>2</v>
      </c>
      <c r="IK15" s="184" t="str">
        <f t="shared" si="56"/>
        <v>C</v>
      </c>
      <c r="IL15" s="99" t="s">
        <v>25</v>
      </c>
      <c r="IM15" s="100"/>
      <c r="IN15" s="101"/>
      <c r="IO15" s="183">
        <f>IFERROR((((COUNTIF('Elève (6ème3)'!IL15:IN15,"A"))*4)+((COUNTIF('Elève (6ème3)'!IL15:IN15,"B"))*3)+((COUNTIF('Elève (6ème3)'!IL15:IN15,"C"))*2)+((COUNTIF('Elève (6ème3)'!IL15:IN15,"D"))*1))/(COUNTA(IL15:IN15)),"")</f>
        <v>2</v>
      </c>
      <c r="IP15" s="184" t="str">
        <f t="shared" si="57"/>
        <v>C</v>
      </c>
      <c r="IQ15" s="99" t="s">
        <v>24</v>
      </c>
      <c r="IR15" s="100"/>
      <c r="IS15" s="101" t="s">
        <v>24</v>
      </c>
      <c r="IT15" s="183">
        <f>IFERROR((((COUNTIF('Elève (6ème3)'!IQ15:IS15,"A"))*4)+((COUNTIF('Elève (6ème3)'!IQ15:IS15,"B"))*3)+((COUNTIF('Elève (6ème3)'!IQ15:IS15,"C"))*2)+((COUNTIF('Elève (6ème3)'!IQ15:IS15,"D"))*1))/(COUNTA(IQ15:IS15)),"")</f>
        <v>3</v>
      </c>
      <c r="IU15" s="184" t="str">
        <f t="shared" si="58"/>
        <v>B</v>
      </c>
      <c r="IV15" s="183">
        <f>IF(COUNT(IJ15,IO15,IT15)=0,"",SUM(IJ15,IO15,IT15)/COUNT(IJ15,IO15,IT15))</f>
        <v>2.3333333333333335</v>
      </c>
      <c r="IW15" s="211" t="str">
        <f t="shared" si="59"/>
        <v>C</v>
      </c>
      <c r="IX15" s="105" t="s">
        <v>25</v>
      </c>
      <c r="IY15" s="100"/>
      <c r="IZ15" s="101"/>
      <c r="JA15" s="183">
        <f>IFERROR((((COUNTIF('Elève (6ème3)'!IX15:IZ15,"A"))*4)+((COUNTIF('Elève (6ème3)'!IX15:IZ15,"B"))*3)+((COUNTIF('Elève (6ème3)'!IX15:IZ15,"C"))*2)+((COUNTIF('Elève (6ème3)'!IX15:IZ15,"D"))*1))/(COUNTA(IX15:IZ15)),"")</f>
        <v>2</v>
      </c>
      <c r="JB15" s="184" t="str">
        <f t="shared" si="60"/>
        <v>C</v>
      </c>
      <c r="JC15" s="99" t="s">
        <v>24</v>
      </c>
      <c r="JD15" s="100"/>
      <c r="JE15" s="101"/>
      <c r="JF15" s="183">
        <f>IFERROR((((COUNTIF('Elève (6ème3)'!JC15:JE15,"A"))*4)+((COUNTIF('Elève (6ème3)'!JC15:JE15,"B"))*3)+((COUNTIF('Elève (6ème3)'!JC15:JE15,"C"))*2)+((COUNTIF('Elève (6ème3)'!JC15:JE15,"D"))*1))/(COUNTA(JC15:JE15)),"")</f>
        <v>3</v>
      </c>
      <c r="JG15" s="184" t="str">
        <f t="shared" si="61"/>
        <v>B</v>
      </c>
      <c r="JH15" s="99" t="s">
        <v>23</v>
      </c>
      <c r="JI15" s="100"/>
      <c r="JJ15" s="101" t="s">
        <v>24</v>
      </c>
      <c r="JK15" s="183">
        <f>IFERROR((((COUNTIF('Elève (6ème3)'!JH15:JJ15,"A"))*4)+((COUNTIF('Elève (6ème3)'!JH15:JJ15,"B"))*3)+((COUNTIF('Elève (6ème3)'!JH15:JJ15,"C"))*2)+((COUNTIF('Elève (6ème3)'!JH15:JJ15,"D"))*1))/(COUNTA(JH15:JJ15)),"")</f>
        <v>3.5</v>
      </c>
      <c r="JL15" s="184" t="str">
        <f t="shared" si="62"/>
        <v>B</v>
      </c>
      <c r="JM15" s="183">
        <f>IF(COUNT(JA15,JF15,JK15)=0,"",SUM(JA15,JF15,JK15)/COUNT(JA15,JF15,JK15))</f>
        <v>2.8333333333333335</v>
      </c>
      <c r="JN15" s="211" t="str">
        <f t="shared" si="63"/>
        <v>B</v>
      </c>
      <c r="JO15" s="105" t="s">
        <v>24</v>
      </c>
      <c r="JP15" s="100"/>
      <c r="JQ15" s="101"/>
      <c r="JR15" s="183">
        <f>IFERROR((((COUNTIF('Elève (6ème3)'!JO15:JQ15,"A"))*4)+((COUNTIF('Elève (6ème3)'!JO15:JQ15,"B"))*3)+((COUNTIF('Elève (6ème3)'!JO15:JQ15,"C"))*2)+((COUNTIF('Elève (6ème3)'!JO15:JQ15,"D"))*1))/(COUNTA(JO15:JQ15)),"")</f>
        <v>3</v>
      </c>
      <c r="JS15" s="184" t="str">
        <f t="shared" si="64"/>
        <v>B</v>
      </c>
      <c r="JT15" s="99" t="s">
        <v>23</v>
      </c>
      <c r="JU15" s="100"/>
      <c r="JV15" s="101"/>
      <c r="JW15" s="183">
        <f>IFERROR((((COUNTIF('Elève (6ème3)'!JT15:JV15,"A"))*4)+((COUNTIF('Elève (6ème3)'!JT15:JV15,"B"))*3)+((COUNTIF('Elève (6ème3)'!JT15:JV15,"C"))*2)+((COUNTIF('Elève (6ème3)'!JT15:JV15,"D"))*1))/(COUNTA(JT15:JV15)),"")</f>
        <v>4</v>
      </c>
      <c r="JX15" s="184" t="str">
        <f t="shared" si="65"/>
        <v>A</v>
      </c>
      <c r="JY15" s="99" t="s">
        <v>23</v>
      </c>
      <c r="JZ15" s="100"/>
      <c r="KA15" s="101" t="s">
        <v>24</v>
      </c>
      <c r="KB15" s="183">
        <f>IFERROR((((COUNTIF('Elève (6ème3)'!JY15:KA15,"A"))*4)+((COUNTIF('Elève (6ème3)'!JY15:KA15,"B"))*3)+((COUNTIF('Elève (6ème3)'!JY15:KA15,"C"))*2)+((COUNTIF('Elève (6ème3)'!JY15:KA15,"D"))*1))/(COUNTA(JY15:KA15)),"")</f>
        <v>3.5</v>
      </c>
      <c r="KC15" s="184" t="str">
        <f t="shared" si="66"/>
        <v>B</v>
      </c>
      <c r="KD15" s="183">
        <f>IF(COUNT(JR15,JW15,KB15)=0,"",SUM(JR15,JW15,KB15)/COUNT(JR15,JW15,KB15))</f>
        <v>3.5</v>
      </c>
      <c r="KE15" s="211" t="str">
        <f t="shared" si="67"/>
        <v>B</v>
      </c>
      <c r="KF15" s="105" t="s">
        <v>23</v>
      </c>
      <c r="KG15" s="100"/>
      <c r="KH15" s="101"/>
      <c r="KI15" s="183">
        <f>IFERROR((((COUNTIF('Elève (6ème3)'!KF15:KH15,"A"))*4)+((COUNTIF('Elève (6ème3)'!KF15:KH15,"B"))*3)+((COUNTIF('Elève (6ème3)'!KF15:KH15,"C"))*2)+((COUNTIF('Elève (6ème3)'!KF15:KH15,"D"))*1))/(COUNTA(KF15:KH15)),"")</f>
        <v>4</v>
      </c>
      <c r="KJ15" s="184" t="str">
        <f t="shared" si="68"/>
        <v>A</v>
      </c>
      <c r="KK15" s="99" t="s">
        <v>23</v>
      </c>
      <c r="KL15" s="100"/>
      <c r="KM15" s="101"/>
      <c r="KN15" s="183">
        <f>IFERROR((((COUNTIF('Elève (6ème3)'!KK15:KM15,"A"))*4)+((COUNTIF('Elève (6ème3)'!KK15:KM15,"B"))*3)+((COUNTIF('Elève (6ème3)'!KK15:KM15,"C"))*2)+((COUNTIF('Elève (6ème3)'!KK15:KM15,"D"))*1))/(COUNTA(KK15:KM15)),"")</f>
        <v>4</v>
      </c>
      <c r="KO15" s="184" t="str">
        <f t="shared" si="69"/>
        <v>A</v>
      </c>
      <c r="KP15" s="99" t="s">
        <v>24</v>
      </c>
      <c r="KQ15" s="100"/>
      <c r="KR15" s="101" t="s">
        <v>24</v>
      </c>
      <c r="KS15" s="183">
        <f>IFERROR((((COUNTIF('Elève (6ème3)'!KP15:KR15,"A"))*4)+((COUNTIF('Elève (6ème3)'!KP15:KR15,"B"))*3)+((COUNTIF('Elève (6ème3)'!KP15:KR15,"C"))*2)+((COUNTIF('Elève (6ème3)'!KP15:KR15,"D"))*1))/(COUNTA(KP15:KR15)),"")</f>
        <v>3</v>
      </c>
      <c r="KT15" s="184" t="str">
        <f t="shared" si="70"/>
        <v>B</v>
      </c>
      <c r="KU15" s="183">
        <f>IF(COUNT(KI15,KN15,KS15)=0,"",SUM(KI15,KN15,KS15)/COUNT(KI15,KN15,KS15))</f>
        <v>3.6666666666666665</v>
      </c>
      <c r="KV15" s="211" t="str">
        <f t="shared" si="71"/>
        <v>B</v>
      </c>
      <c r="KW15" s="105" t="s">
        <v>26</v>
      </c>
      <c r="KX15" s="100"/>
      <c r="KY15" s="101"/>
      <c r="KZ15" s="183">
        <f>IFERROR((((COUNTIF('Elève (6ème3)'!KW15:KY15,"A"))*4)+((COUNTIF('Elève (6ème3)'!KW15:KY15,"B"))*3)+((COUNTIF('Elève (6ème3)'!KW15:KY15,"C"))*2)+((COUNTIF('Elève (6ème3)'!KW15:KY15,"D"))*1))/(COUNTA(KW15:KY15)),"")</f>
        <v>1</v>
      </c>
      <c r="LA15" s="184" t="str">
        <f t="shared" si="72"/>
        <v>D</v>
      </c>
      <c r="LB15" s="99" t="s">
        <v>24</v>
      </c>
      <c r="LC15" s="100"/>
      <c r="LD15" s="101"/>
      <c r="LE15" s="183">
        <f>IFERROR((((COUNTIF('Elève (6ème3)'!LB15:LD15,"A"))*4)+((COUNTIF('Elève (6ème3)'!LB15:LD15,"B"))*3)+((COUNTIF('Elève (6ème3)'!LB15:LD15,"C"))*2)+((COUNTIF('Elève (6ème3)'!LB15:LD15,"D"))*1))/(COUNTA(LB15:LD15)),"")</f>
        <v>3</v>
      </c>
      <c r="LF15" s="184" t="str">
        <f t="shared" si="73"/>
        <v>B</v>
      </c>
      <c r="LG15" s="99" t="s">
        <v>25</v>
      </c>
      <c r="LH15" s="100"/>
      <c r="LI15" s="101" t="s">
        <v>24</v>
      </c>
      <c r="LJ15" s="183">
        <f>IFERROR((((COUNTIF('Elève (6ème3)'!LG15:LI15,"A"))*4)+((COUNTIF('Elève (6ème3)'!LG15:LI15,"B"))*3)+((COUNTIF('Elève (6ème3)'!LG15:LI15,"C"))*2)+((COUNTIF('Elève (6ème3)'!LG15:LI15,"D"))*1))/(COUNTA(LG15:LI15)),"")</f>
        <v>2.5</v>
      </c>
      <c r="LK15" s="184" t="str">
        <f t="shared" si="74"/>
        <v>C</v>
      </c>
      <c r="LL15" s="183">
        <f>IF(COUNT(KZ15,LE15,LJ15)=0,"",SUM(KZ15,LE15,LJ15)/COUNT(KZ15,LE15,LJ15))</f>
        <v>2.1666666666666665</v>
      </c>
      <c r="LM15" s="211" t="str">
        <f t="shared" si="75"/>
        <v>C</v>
      </c>
      <c r="LN15" s="105" t="s">
        <v>24</v>
      </c>
      <c r="LO15" s="100"/>
      <c r="LP15" s="101"/>
      <c r="LQ15" s="183">
        <f>IFERROR((((COUNTIF('Elève (6ème3)'!LN15:LP15,"A"))*4)+((COUNTIF('Elève (6ème3)'!LN15:LP15,"B"))*3)+((COUNTIF('Elève (6ème3)'!LN15:LP15,"C"))*2)+((COUNTIF('Elève (6ème3)'!LN15:LP15,"D"))*1))/(COUNTA(LN15:LP15)),"")</f>
        <v>3</v>
      </c>
      <c r="LR15" s="184" t="str">
        <f t="shared" si="76"/>
        <v>B</v>
      </c>
      <c r="LS15" s="99" t="s">
        <v>23</v>
      </c>
      <c r="LT15" s="100"/>
      <c r="LU15" s="101"/>
      <c r="LV15" s="183">
        <f>IFERROR((((COUNTIF('Elève (6ème3)'!LS15:LU15,"A"))*4)+((COUNTIF('Elève (6ème3)'!LS15:LU15,"B"))*3)+((COUNTIF('Elève (6ème3)'!LS15:LU15,"C"))*2)+((COUNTIF('Elève (6ème3)'!LS15:LU15,"D"))*1))/(COUNTA(LS15:LU15)),"")</f>
        <v>4</v>
      </c>
      <c r="LW15" s="184" t="str">
        <f t="shared" si="77"/>
        <v>A</v>
      </c>
      <c r="LX15" s="99" t="s">
        <v>23</v>
      </c>
      <c r="LY15" s="100"/>
      <c r="LZ15" s="101" t="s">
        <v>24</v>
      </c>
      <c r="MA15" s="183">
        <f>IFERROR((((COUNTIF('Elève (6ème3)'!LX15:LZ15,"A"))*4)+((COUNTIF('Elève (6ème3)'!LX15:LZ15,"B"))*3)+((COUNTIF('Elève (6ème3)'!LX15:LZ15,"C"))*2)+((COUNTIF('Elève (6ème3)'!LX15:LZ15,"D"))*1))/(COUNTA(LX15:LZ15)),"")</f>
        <v>3.5</v>
      </c>
      <c r="MB15" s="184" t="str">
        <f t="shared" si="78"/>
        <v>B</v>
      </c>
      <c r="MC15" s="183">
        <f>IF(COUNT(LQ15,LV15,MA15)=0,"",SUM(LQ15,LV15,MA15)/COUNT(LQ15,LV15,MA15))</f>
        <v>3.5</v>
      </c>
      <c r="MD15" s="211" t="str">
        <f t="shared" si="79"/>
        <v>B</v>
      </c>
      <c r="ME15" s="105" t="s">
        <v>26</v>
      </c>
      <c r="MF15" s="100"/>
      <c r="MG15" s="101"/>
      <c r="MH15" s="183">
        <f>IFERROR((((COUNTIF('Elève (6ème3)'!ME15:MG15,"A"))*4)+((COUNTIF('Elève (6ème3)'!ME15:MG15,"B"))*3)+((COUNTIF('Elève (6ème3)'!ME15:MG15,"C"))*2)+((COUNTIF('Elève (6ème3)'!ME15:MG15,"D"))*1))/(COUNTA(ME15:MG15)),"")</f>
        <v>1</v>
      </c>
      <c r="MI15" s="184" t="str">
        <f t="shared" si="80"/>
        <v>D</v>
      </c>
      <c r="MJ15" s="99" t="s">
        <v>23</v>
      </c>
      <c r="MK15" s="100"/>
      <c r="ML15" s="101"/>
      <c r="MM15" s="183">
        <f>IFERROR((((COUNTIF('Elève (6ème3)'!MJ15:ML15,"A"))*4)+((COUNTIF('Elève (6ème3)'!MJ15:ML15,"B"))*3)+((COUNTIF('Elève (6ème3)'!MJ15:ML15,"C"))*2)+((COUNTIF('Elève (6ème3)'!MJ15:ML15,"D"))*1))/(COUNTA(MJ15:ML15)),"")</f>
        <v>4</v>
      </c>
      <c r="MN15" s="184" t="str">
        <f t="shared" si="81"/>
        <v>A</v>
      </c>
      <c r="MO15" s="99" t="s">
        <v>23</v>
      </c>
      <c r="MP15" s="100"/>
      <c r="MQ15" s="101" t="s">
        <v>24</v>
      </c>
      <c r="MR15" s="183">
        <f>IFERROR((((COUNTIF('Elève (6ème3)'!MO15:MQ15,"A"))*4)+((COUNTIF('Elève (6ème3)'!MO15:MQ15,"B"))*3)+((COUNTIF('Elève (6ème3)'!MO15:MQ15,"C"))*2)+((COUNTIF('Elève (6ème3)'!MO15:MQ15,"D"))*1))/(COUNTA(MO15:MQ15)),"")</f>
        <v>3.5</v>
      </c>
      <c r="MS15" s="184" t="str">
        <f t="shared" si="82"/>
        <v>B</v>
      </c>
      <c r="MT15" s="183">
        <f>IF(COUNT(MH15,MM15,MR15)=0,"",SUM(MH15,MM15,MR15)/COUNT(MH15,MM15,MR15))</f>
        <v>2.8333333333333335</v>
      </c>
      <c r="MU15" s="211" t="str">
        <f t="shared" si="83"/>
        <v>B</v>
      </c>
      <c r="MV15" s="105" t="s">
        <v>25</v>
      </c>
      <c r="MW15" s="100"/>
      <c r="MX15" s="101"/>
      <c r="MY15" s="183">
        <f>IFERROR((((COUNTIF('Elève (6ème3)'!MV15:MX15,"A"))*4)+((COUNTIF('Elève (6ème3)'!MV15:MX15,"B"))*3)+((COUNTIF('Elève (6ème3)'!MV15:MX15,"C"))*2)+((COUNTIF('Elève (6ème3)'!MV15:MX15,"D"))*1))/(COUNTA(MV15:MX15)),"")</f>
        <v>2</v>
      </c>
      <c r="MZ15" s="184" t="str">
        <f t="shared" si="84"/>
        <v>C</v>
      </c>
      <c r="NA15" s="99" t="s">
        <v>24</v>
      </c>
      <c r="NB15" s="100"/>
      <c r="NC15" s="101"/>
      <c r="ND15" s="183">
        <f>IFERROR((((COUNTIF('Elève (6ème3)'!NA15:NC15,"A"))*4)+((COUNTIF('Elève (6ème3)'!NA15:NC15,"B"))*3)+((COUNTIF('Elève (6ème3)'!NA15:NC15,"C"))*2)+((COUNTIF('Elève (6ème3)'!NA15:NC15,"D"))*1))/(COUNTA(NA15:NC15)),"")</f>
        <v>3</v>
      </c>
      <c r="NE15" s="184" t="str">
        <f t="shared" si="85"/>
        <v>B</v>
      </c>
      <c r="NF15" s="99" t="s">
        <v>25</v>
      </c>
      <c r="NG15" s="100"/>
      <c r="NH15" s="101" t="s">
        <v>24</v>
      </c>
      <c r="NI15" s="183">
        <f>IFERROR((((COUNTIF('Elève (6ème3)'!NF15:NH15,"A"))*4)+((COUNTIF('Elève (6ème3)'!NF15:NH15,"B"))*3)+((COUNTIF('Elève (6ème3)'!NF15:NH15,"C"))*2)+((COUNTIF('Elève (6ème3)'!NF15:NH15,"D"))*1))/(COUNTA(NF15:NH15)),"")</f>
        <v>2.5</v>
      </c>
      <c r="NJ15" s="184" t="str">
        <f t="shared" si="86"/>
        <v>C</v>
      </c>
      <c r="NK15" s="183">
        <f>IF(COUNT(MY15,ND15,NI15)=0,"",SUM(MY15,ND15,NI15)/COUNT(MY15,ND15,NI15))</f>
        <v>2.5</v>
      </c>
      <c r="NL15" s="211" t="str">
        <f t="shared" si="87"/>
        <v>C</v>
      </c>
      <c r="NM15" s="105" t="s">
        <v>26</v>
      </c>
      <c r="NN15" s="100"/>
      <c r="NO15" s="101"/>
      <c r="NP15" s="183">
        <f>IFERROR((((COUNTIF('Elève (6ème3)'!NM15:NO15,"A"))*4)+((COUNTIF('Elève (6ème3)'!NM15:NO15,"B"))*3)+((COUNTIF('Elève (6ème3)'!NM15:NO15,"C"))*2)+((COUNTIF('Elève (6ème3)'!NM15:NO15,"D"))*1))/(COUNTA(NM15:NO15)),"")</f>
        <v>1</v>
      </c>
      <c r="NQ15" s="184" t="str">
        <f t="shared" si="88"/>
        <v>D</v>
      </c>
      <c r="NR15" s="99" t="s">
        <v>23</v>
      </c>
      <c r="NS15" s="100"/>
      <c r="NT15" s="101"/>
      <c r="NU15" s="183">
        <f>IFERROR((((COUNTIF('Elève (6ème3)'!NR15:NT15,"A"))*4)+((COUNTIF('Elève (6ème3)'!NR15:NT15,"B"))*3)+((COUNTIF('Elève (6ème3)'!NR15:NT15,"C"))*2)+((COUNTIF('Elève (6ème3)'!NR15:NT15,"D"))*1))/(COUNTA(NR15:NT15)),"")</f>
        <v>4</v>
      </c>
      <c r="NV15" s="184" t="str">
        <f t="shared" si="89"/>
        <v>A</v>
      </c>
      <c r="NW15" s="99" t="s">
        <v>24</v>
      </c>
      <c r="NX15" s="100"/>
      <c r="NY15" s="101" t="s">
        <v>24</v>
      </c>
      <c r="NZ15" s="183">
        <f>IFERROR((((COUNTIF('Elève (6ème3)'!NW15:NY15,"A"))*4)+((COUNTIF('Elève (6ème3)'!NW15:NY15,"B"))*3)+((COUNTIF('Elève (6ème3)'!NW15:NY15,"C"))*2)+((COUNTIF('Elève (6ème3)'!NW15:NY15,"D"))*1))/(COUNTA(NW15:NY15)),"")</f>
        <v>3</v>
      </c>
      <c r="OA15" s="184" t="str">
        <f t="shared" si="90"/>
        <v>B</v>
      </c>
      <c r="OB15" s="183">
        <f>IF(COUNT(NP15,NU15,NZ15)=0,"",SUM(NP15,NU15,NZ15)/COUNT(NP15,NU15,NZ15))</f>
        <v>2.6666666666666665</v>
      </c>
      <c r="OC15" s="211" t="str">
        <f t="shared" si="91"/>
        <v>C</v>
      </c>
      <c r="OD15" s="105"/>
      <c r="OE15" s="100"/>
      <c r="OF15" s="101"/>
      <c r="OG15" s="183" t="str">
        <f>IFERROR((((COUNTIF('Elève (6ème3)'!OD15:OF15,"A"))*4)+((COUNTIF('Elève (6ème3)'!OD15:OF15,"B"))*3)+((COUNTIF('Elève (6ème3)'!OD15:OF15,"C"))*2)+((COUNTIF('Elève (6ème3)'!OD15:OF15,"D"))*1))/(COUNTA(OD15:OF15)),"")</f>
        <v/>
      </c>
      <c r="OH15" s="184" t="str">
        <f t="shared" si="92"/>
        <v/>
      </c>
      <c r="OI15" s="99" t="s">
        <v>23</v>
      </c>
      <c r="OJ15" s="100"/>
      <c r="OK15" s="101"/>
      <c r="OL15" s="183">
        <f>IFERROR((((COUNTIF('Elève (6ème3)'!OI15:OK15,"A"))*4)+((COUNTIF('Elève (6ème3)'!OI15:OK15,"B"))*3)+((COUNTIF('Elève (6ème3)'!OI15:OK15,"C"))*2)+((COUNTIF('Elève (6ème3)'!OI15:OK15,"D"))*1))/(COUNTA(OI15:OK15)),"")</f>
        <v>4</v>
      </c>
      <c r="OM15" s="184" t="str">
        <f t="shared" si="93"/>
        <v>A</v>
      </c>
      <c r="ON15" s="99" t="s">
        <v>24</v>
      </c>
      <c r="OO15" s="100"/>
      <c r="OP15" s="101" t="s">
        <v>24</v>
      </c>
      <c r="OQ15" s="183">
        <f>IFERROR((((COUNTIF('Elève (6ème3)'!ON15:OP15,"A"))*4)+((COUNTIF('Elève (6ème3)'!ON15:OP15,"B"))*3)+((COUNTIF('Elève (6ème3)'!ON15:OP15,"C"))*2)+((COUNTIF('Elève (6ème3)'!ON15:OP15,"D"))*1))/(COUNTA(ON15:OP15)),"")</f>
        <v>3</v>
      </c>
      <c r="OR15" s="184" t="str">
        <f t="shared" si="94"/>
        <v>B</v>
      </c>
      <c r="OS15" s="183">
        <f>IF(COUNT(OG15,OL15,OQ15)=0,"",SUM(OG15,OL15,OQ15)/COUNT(OG15,OL15,OQ15))</f>
        <v>3.5</v>
      </c>
      <c r="OT15" s="211" t="str">
        <f t="shared" si="95"/>
        <v>B</v>
      </c>
      <c r="OU15" s="105" t="s">
        <v>25</v>
      </c>
      <c r="OV15" s="100"/>
      <c r="OW15" s="101"/>
      <c r="OX15" s="183">
        <f>IFERROR((((COUNTIF('Elève (6ème3)'!OU15:OW15,"A"))*4)+((COUNTIF('Elève (6ème3)'!OU15:OW15,"B"))*3)+((COUNTIF('Elève (6ème3)'!OU15:OW15,"C"))*2)+((COUNTIF('Elève (6ème3)'!OU15:OW15,"D"))*1))/(COUNTA(OU15:OW15)),"")</f>
        <v>2</v>
      </c>
      <c r="OY15" s="184" t="str">
        <f t="shared" si="96"/>
        <v>C</v>
      </c>
      <c r="OZ15" s="99" t="s">
        <v>23</v>
      </c>
      <c r="PA15" s="100"/>
      <c r="PB15" s="101"/>
      <c r="PC15" s="183">
        <f>IFERROR((((COUNTIF('Elève (6ème3)'!OZ15:PB15,"A"))*4)+((COUNTIF('Elève (6ème3)'!OZ15:PB15,"B"))*3)+((COUNTIF('Elève (6ème3)'!OZ15:PB15,"C"))*2)+((COUNTIF('Elève (6ème3)'!OZ15:PB15,"D"))*1))/(COUNTA(OZ15:PB15)),"")</f>
        <v>4</v>
      </c>
      <c r="PD15" s="184" t="str">
        <f t="shared" si="97"/>
        <v>A</v>
      </c>
      <c r="PE15" s="99" t="s">
        <v>23</v>
      </c>
      <c r="PF15" s="100"/>
      <c r="PG15" s="101" t="s">
        <v>24</v>
      </c>
      <c r="PH15" s="183">
        <f>IFERROR((((COUNTIF('Elève (6ème3)'!PE15:PG15,"A"))*4)+((COUNTIF('Elève (6ème3)'!PE15:PG15,"B"))*3)+((COUNTIF('Elève (6ème3)'!PE15:PG15,"C"))*2)+((COUNTIF('Elève (6ème3)'!PE15:PG15,"D"))*1))/(COUNTA(PE15:PG15)),"")</f>
        <v>3.5</v>
      </c>
      <c r="PI15" s="184" t="str">
        <f t="shared" si="98"/>
        <v>B</v>
      </c>
      <c r="PJ15" s="183">
        <f>IF(COUNT(OX15,PC15,PH15)=0,"",SUM(OX15,PC15,PH15)/COUNT(OX15,PC15,PH15))</f>
        <v>3.1666666666666665</v>
      </c>
      <c r="PK15" s="211" t="str">
        <f t="shared" si="99"/>
        <v>B</v>
      </c>
      <c r="PL15" s="105" t="s">
        <v>25</v>
      </c>
      <c r="PM15" s="100"/>
      <c r="PN15" s="101"/>
      <c r="PO15" s="183">
        <f>IFERROR((((COUNTIF('Elève (6ème3)'!PL15:PN15,"A"))*4)+((COUNTIF('Elève (6ème3)'!PL15:PN15,"B"))*3)+((COUNTIF('Elève (6ème3)'!PL15:PN15,"C"))*2)+((COUNTIF('Elève (6ème3)'!PL15:PN15,"D"))*1))/(COUNTA(PL15:PN15)),"")</f>
        <v>2</v>
      </c>
      <c r="PP15" s="184" t="str">
        <f t="shared" si="100"/>
        <v>C</v>
      </c>
      <c r="PQ15" s="99" t="s">
        <v>23</v>
      </c>
      <c r="PR15" s="100"/>
      <c r="PS15" s="101"/>
      <c r="PT15" s="183">
        <f>IFERROR((((COUNTIF('Elève (6ème3)'!PQ15:PS15,"A"))*4)+((COUNTIF('Elève (6ème3)'!PQ15:PS15,"B"))*3)+((COUNTIF('Elève (6ème3)'!PQ15:PS15,"C"))*2)+((COUNTIF('Elève (6ème3)'!PQ15:PS15,"D"))*1))/(COUNTA(PQ15:PS15)),"")</f>
        <v>4</v>
      </c>
      <c r="PU15" s="184" t="str">
        <f t="shared" si="101"/>
        <v>A</v>
      </c>
      <c r="PV15" s="99" t="s">
        <v>25</v>
      </c>
      <c r="PW15" s="100"/>
      <c r="PX15" s="101" t="s">
        <v>24</v>
      </c>
      <c r="PY15" s="183">
        <f>IFERROR((((COUNTIF('Elève (6ème3)'!PV15:PX15,"A"))*4)+((COUNTIF('Elève (6ème3)'!PV15:PX15,"B"))*3)+((COUNTIF('Elève (6ème3)'!PV15:PX15,"C"))*2)+((COUNTIF('Elève (6ème3)'!PV15:PX15,"D"))*1))/(COUNTA(PV15:PX15)),"")</f>
        <v>2.5</v>
      </c>
      <c r="PZ15" s="184" t="str">
        <f t="shared" si="102"/>
        <v>C</v>
      </c>
      <c r="QA15" s="183">
        <f>IF(COUNT(PO15,PT15,PY15)=0,"",SUM(PO15,PT15,PY15)/COUNT(PO15,PT15,PY15))</f>
        <v>2.8333333333333335</v>
      </c>
      <c r="QB15" s="211" t="str">
        <f t="shared" si="103"/>
        <v>B</v>
      </c>
      <c r="QC15" s="105" t="s">
        <v>25</v>
      </c>
      <c r="QD15" s="100"/>
      <c r="QE15" s="101"/>
      <c r="QF15" s="183">
        <f>IFERROR((((COUNTIF('Elève (6ème3)'!QC15:QE15,"A"))*4)+((COUNTIF('Elève (6ème3)'!QC15:QE15,"B"))*3)+((COUNTIF('Elève (6ème3)'!QC15:QE15,"C"))*2)+((COUNTIF('Elève (6ème3)'!QC15:QE15,"D"))*1))/(COUNTA(QC15:QE15)),"")</f>
        <v>2</v>
      </c>
      <c r="QG15" s="184" t="str">
        <f t="shared" si="104"/>
        <v>C</v>
      </c>
      <c r="QH15" s="99" t="s">
        <v>24</v>
      </c>
      <c r="QI15" s="100"/>
      <c r="QJ15" s="101"/>
      <c r="QK15" s="183">
        <f>IFERROR((((COUNTIF('Elève (6ème3)'!QH15:QJ15,"A"))*4)+((COUNTIF('Elève (6ème3)'!QH15:QJ15,"B"))*3)+((COUNTIF('Elève (6ème3)'!QH15:QJ15,"C"))*2)+((COUNTIF('Elève (6ème3)'!QH15:QJ15,"D"))*1))/(COUNTA(QH15:QJ15)),"")</f>
        <v>3</v>
      </c>
      <c r="QL15" s="184" t="str">
        <f t="shared" si="105"/>
        <v>B</v>
      </c>
      <c r="QM15" s="99" t="s">
        <v>25</v>
      </c>
      <c r="QN15" s="100"/>
      <c r="QO15" s="101" t="s">
        <v>24</v>
      </c>
      <c r="QP15" s="183">
        <f>IFERROR((((COUNTIF('Elève (6ème3)'!QM15:QO15,"A"))*4)+((COUNTIF('Elève (6ème3)'!QM15:QO15,"B"))*3)+((COUNTIF('Elève (6ème3)'!QM15:QO15,"C"))*2)+((COUNTIF('Elève (6ème3)'!QM15:QO15,"D"))*1))/(COUNTA(QM15:QO15)),"")</f>
        <v>2.5</v>
      </c>
      <c r="QQ15" s="184" t="str">
        <f t="shared" si="106"/>
        <v>C</v>
      </c>
      <c r="QR15" s="183">
        <f>IF(COUNT(QF15,QK15,QP15)=0,"",SUM(QF15,QK15,QP15)/COUNT(QF15,QK15,QP15))</f>
        <v>2.5</v>
      </c>
      <c r="QS15" s="211" t="str">
        <f t="shared" si="107"/>
        <v>C</v>
      </c>
      <c r="QT15" s="105"/>
      <c r="QU15" s="100"/>
      <c r="QV15" s="101"/>
      <c r="QW15" s="102" t="str">
        <f>IFERROR((((COUNTIF('Elève (6ème3)'!QT15:QV15,"A"))*4)+((COUNTIF('Elève (6ème3)'!QT15:QV15,"B"))*3)+((COUNTIF('Elève (6ème3)'!QT15:QV15,"C"))*2)+((COUNTIF('Elève (6ème3)'!QT15:QV15,"D"))*1))/(COUNTA(QT15:QV15)),"")</f>
        <v/>
      </c>
      <c r="QX15" s="103" t="str">
        <f t="shared" si="108"/>
        <v/>
      </c>
      <c r="QY15" s="99"/>
      <c r="QZ15" s="100"/>
      <c r="RA15" s="101"/>
      <c r="RB15" s="102" t="str">
        <f>IFERROR((((COUNTIF('Elève (6ème3)'!QY15:RA15,"A"))*4)+((COUNTIF('Elève (6ème3)'!QY15:RA15,"B"))*3)+((COUNTIF('Elève (6ème3)'!QY15:RA15,"C"))*2)+((COUNTIF('Elève (6ème3)'!QY15:RA15,"D"))*1))/(COUNTA(QY15:RA15)),"")</f>
        <v/>
      </c>
      <c r="RC15" s="103" t="str">
        <f t="shared" si="109"/>
        <v/>
      </c>
      <c r="RD15" s="99"/>
      <c r="RE15" s="100"/>
      <c r="RF15" s="101"/>
      <c r="RG15" s="102" t="str">
        <f>IFERROR((((COUNTIF('Elève (6ème3)'!RD15:RF15,"A"))*4)+((COUNTIF('Elève (6ème3)'!RD15:RF15,"B"))*3)+((COUNTIF('Elève (6ème3)'!RD15:RF15,"C"))*2)+((COUNTIF('Elève (6ème3)'!RD15:RF15,"D"))*1))/(COUNTA(RD15:RF15)),"")</f>
        <v/>
      </c>
      <c r="RH15" s="103" t="str">
        <f t="shared" si="110"/>
        <v/>
      </c>
      <c r="RI15" s="102" t="str">
        <f>IF(COUNT(QW15,RB15,RG15)=0,"",SUM(QW15,RB15,RG15)/COUNT(QW15,RB15,RG15))</f>
        <v/>
      </c>
      <c r="RJ15" s="129" t="str">
        <f t="shared" si="111"/>
        <v/>
      </c>
      <c r="RK15" s="105"/>
      <c r="RL15" s="100"/>
      <c r="RM15" s="101"/>
      <c r="RN15" s="102" t="str">
        <f>IFERROR((((COUNTIF('Elève (6ème3)'!RK15:RM15,"A"))*4)+((COUNTIF('Elève (6ème3)'!RK15:RM15,"B"))*3)+((COUNTIF('Elève (6ème3)'!RK15:RM15,"C"))*2)+((COUNTIF('Elève (6ème3)'!RK15:RM15,"D"))*1))/(COUNTA(RK15:RM15)),"")</f>
        <v/>
      </c>
      <c r="RO15" s="103" t="str">
        <f t="shared" si="112"/>
        <v/>
      </c>
      <c r="RP15" s="99"/>
      <c r="RQ15" s="100"/>
      <c r="RR15" s="101"/>
      <c r="RS15" s="102" t="str">
        <f>IFERROR((((COUNTIF('Elève (6ème3)'!RP15:RR15,"A"))*4)+((COUNTIF('Elève (6ème3)'!RP15:RR15,"B"))*3)+((COUNTIF('Elève (6ème3)'!RP15:RR15,"C"))*2)+((COUNTIF('Elève (6ème3)'!RP15:RR15,"D"))*1))/(COUNTA(RP15:RR15)),"")</f>
        <v/>
      </c>
      <c r="RT15" s="103" t="str">
        <f t="shared" si="113"/>
        <v/>
      </c>
      <c r="RU15" s="99"/>
      <c r="RV15" s="100"/>
      <c r="RW15" s="101"/>
      <c r="RX15" s="102" t="str">
        <f>IFERROR((((COUNTIF('Elève (6ème3)'!RU15:RW15,"A"))*4)+((COUNTIF('Elève (6ème3)'!RU15:RW15,"B"))*3)+((COUNTIF('Elève (6ème3)'!RU15:RW15,"C"))*2)+((COUNTIF('Elève (6ème3)'!RU15:RW15,"D"))*1))/(COUNTA(RU15:RW15)),"")</f>
        <v/>
      </c>
      <c r="RY15" s="103" t="str">
        <f t="shared" si="114"/>
        <v/>
      </c>
      <c r="RZ15" s="102" t="str">
        <f>IF(COUNT(RN15,RS15,RX15)=0,"",SUM(RN15,RS15,RX15)/COUNT(RN15,RS15,RX15))</f>
        <v/>
      </c>
      <c r="SA15" s="129" t="str">
        <f t="shared" si="115"/>
        <v/>
      </c>
      <c r="SB15" s="105"/>
      <c r="SC15" s="100"/>
      <c r="SD15" s="101"/>
      <c r="SE15" s="102" t="str">
        <f>IFERROR((((COUNTIF('Elève (6ème3)'!SB15:SD15,"A"))*4)+((COUNTIF('Elève (6ème3)'!SB15:SD15,"B"))*3)+((COUNTIF('Elève (6ème3)'!SB15:SD15,"C"))*2)+((COUNTIF('Elève (6ème3)'!SB15:SD15,"D"))*1))/(COUNTA(SB15:SD15)),"")</f>
        <v/>
      </c>
      <c r="SF15" s="103" t="str">
        <f t="shared" si="116"/>
        <v/>
      </c>
      <c r="SG15" s="99"/>
      <c r="SH15" s="100"/>
      <c r="SI15" s="101"/>
      <c r="SJ15" s="102" t="str">
        <f>IFERROR((((COUNTIF('Elève (6ème3)'!SG15:SI15,"A"))*4)+((COUNTIF('Elève (6ème3)'!SG15:SI15,"B"))*3)+((COUNTIF('Elève (6ème3)'!SG15:SI15,"C"))*2)+((COUNTIF('Elève (6ème3)'!SG15:SI15,"D"))*1))/(COUNTA(SG15:SI15)),"")</f>
        <v/>
      </c>
      <c r="SK15" s="103" t="str">
        <f t="shared" si="117"/>
        <v/>
      </c>
      <c r="SL15" s="99"/>
      <c r="SM15" s="100"/>
      <c r="SN15" s="101"/>
      <c r="SO15" s="102" t="str">
        <f>IFERROR((((COUNTIF('Elève (6ème3)'!SL15:SN15,"A"))*4)+((COUNTIF('Elève (6ème3)'!SL15:SN15,"B"))*3)+((COUNTIF('Elève (6ème3)'!SL15:SN15,"C"))*2)+((COUNTIF('Elève (6ème3)'!SL15:SN15,"D"))*1))/(COUNTA(SL15:SN15)),"")</f>
        <v/>
      </c>
      <c r="SP15" s="103" t="str">
        <f t="shared" si="118"/>
        <v/>
      </c>
      <c r="SQ15" s="102" t="str">
        <f>IF(COUNT(SE15,SJ15,SO15)=0,"",SUM(SE15,SJ15,SO15)/COUNT(SE15,SJ15,SO15))</f>
        <v/>
      </c>
      <c r="SR15" s="129" t="str">
        <f t="shared" si="119"/>
        <v/>
      </c>
      <c r="SS15" s="105"/>
      <c r="ST15" s="100"/>
      <c r="SU15" s="101"/>
      <c r="SV15" s="102" t="str">
        <f>IFERROR((((COUNTIF('Elève (6ème3)'!SS15:SU15,"A"))*4)+((COUNTIF('Elève (6ème3)'!SS15:SU15,"B"))*3)+((COUNTIF('Elève (6ème3)'!SS15:SU15,"C"))*2)+((COUNTIF('Elève (6ème3)'!SS15:SU15,"D"))*1))/(COUNTA(SS15:SU15)),"")</f>
        <v/>
      </c>
      <c r="SW15" s="103" t="str">
        <f t="shared" si="120"/>
        <v/>
      </c>
      <c r="SX15" s="99"/>
      <c r="SY15" s="100"/>
      <c r="SZ15" s="101"/>
      <c r="TA15" s="102" t="str">
        <f>IFERROR((((COUNTIF('Elève (6ème3)'!SX15:SZ15,"A"))*4)+((COUNTIF('Elève (6ème3)'!SX15:SZ15,"B"))*3)+((COUNTIF('Elève (6ème3)'!SX15:SZ15,"C"))*2)+((COUNTIF('Elève (6ème3)'!SX15:SZ15,"D"))*1))/(COUNTA(SX15:SZ15)),"")</f>
        <v/>
      </c>
      <c r="TB15" s="103" t="str">
        <f t="shared" si="121"/>
        <v/>
      </c>
      <c r="TC15" s="99"/>
      <c r="TD15" s="100"/>
      <c r="TE15" s="101"/>
      <c r="TF15" s="102" t="str">
        <f>IFERROR((((COUNTIF('Elève (6ème3)'!TC15:TE15,"A"))*4)+((COUNTIF('Elève (6ème3)'!TC15:TE15,"B"))*3)+((COUNTIF('Elève (6ème3)'!TC15:TE15,"C"))*2)+((COUNTIF('Elève (6ème3)'!TC15:TE15,"D"))*1))/(COUNTA(TC15:TE15)),"")</f>
        <v/>
      </c>
      <c r="TG15" s="103" t="str">
        <f t="shared" si="122"/>
        <v/>
      </c>
      <c r="TH15" s="102" t="str">
        <f>IF(COUNT(SV15,TA15,TF15)=0,"",SUM(SV15,TA15,TF15)/COUNT(SV15,TA15,TF15))</f>
        <v/>
      </c>
      <c r="TI15" s="129" t="str">
        <f t="shared" si="123"/>
        <v/>
      </c>
      <c r="TJ15" s="105"/>
      <c r="TK15" s="100"/>
      <c r="TL15" s="101"/>
      <c r="TM15" s="102" t="str">
        <f>IFERROR((((COUNTIF('Elève (6ème3)'!TJ15:TL15,"A"))*4)+((COUNTIF('Elève (6ème3)'!TJ15:TL15,"B"))*3)+((COUNTIF('Elève (6ème3)'!TJ15:TL15,"C"))*2)+((COUNTIF('Elève (6ème3)'!TJ15:TL15,"D"))*1))/(COUNTA(TJ15:TL15)),"")</f>
        <v/>
      </c>
      <c r="TN15" s="103" t="str">
        <f t="shared" si="124"/>
        <v/>
      </c>
      <c r="TO15" s="99"/>
      <c r="TP15" s="100"/>
      <c r="TQ15" s="101"/>
      <c r="TR15" s="102" t="str">
        <f>IFERROR((((COUNTIF('Elève (6ème3)'!TO15:TQ15,"A"))*4)+((COUNTIF('Elève (6ème3)'!TO15:TQ15,"B"))*3)+((COUNTIF('Elève (6ème3)'!TO15:TQ15,"C"))*2)+((COUNTIF('Elève (6ème3)'!TO15:TQ15,"D"))*1))/(COUNTA(TO15:TQ15)),"")</f>
        <v/>
      </c>
      <c r="TS15" s="103" t="str">
        <f t="shared" si="125"/>
        <v/>
      </c>
      <c r="TT15" s="99"/>
      <c r="TU15" s="100"/>
      <c r="TV15" s="101"/>
      <c r="TW15" s="102" t="str">
        <f>IFERROR((((COUNTIF('Elève (6ème3)'!TT15:TV15,"A"))*4)+((COUNTIF('Elève (6ème3)'!TT15:TV15,"B"))*3)+((COUNTIF('Elève (6ème3)'!TT15:TV15,"C"))*2)+((COUNTIF('Elève (6ème3)'!TT15:TV15,"D"))*1))/(COUNTA(TT15:TV15)),"")</f>
        <v/>
      </c>
      <c r="TX15" s="103" t="str">
        <f t="shared" si="126"/>
        <v/>
      </c>
      <c r="TY15" s="102" t="str">
        <f>IF(COUNT(TM15,TR15,TW15)=0,"",SUM(TM15,TR15,TW15)/COUNT(TM15,TR15,TW15))</f>
        <v/>
      </c>
      <c r="TZ15" s="129" t="str">
        <f t="shared" si="127"/>
        <v/>
      </c>
    </row>
    <row r="16" spans="1:546" x14ac:dyDescent="0.25">
      <c r="A16" s="163" t="s">
        <v>19</v>
      </c>
      <c r="B16" s="119"/>
      <c r="C16" s="172"/>
      <c r="D16" s="107"/>
      <c r="E16" s="108"/>
      <c r="F16" s="185" t="str">
        <f>IFERROR((((COUNTIF('Elève (6ème3)'!C16:E16,"A"))*4)+((COUNTIF('Elève (6ème3)'!C16:E16,"B"))*3)+((COUNTIF('Elève (6ème3)'!C16:E16,"C"))*2)+((COUNTIF('Elève (6ème3)'!C16:E16,"D"))*1))/(COUNTA(C16:E16)),"")</f>
        <v/>
      </c>
      <c r="G16" s="186" t="str">
        <f t="shared" si="0"/>
        <v/>
      </c>
      <c r="H16" s="172"/>
      <c r="I16" s="107" t="s">
        <v>23</v>
      </c>
      <c r="J16" s="108"/>
      <c r="K16" s="185">
        <f>IFERROR((((COUNTIF('Elève (6ème3)'!H16:J16,"A"))*4)+((COUNTIF('Elève (6ème3)'!H16:J16,"B"))*3)+((COUNTIF('Elève (6ème3)'!H16:J16,"C"))*2)+((COUNTIF('Elève (6ème3)'!H16:J16,"D"))*1))/(COUNTA(H16:J16)),"")</f>
        <v>4</v>
      </c>
      <c r="L16" s="186" t="str">
        <f t="shared" si="1"/>
        <v>A</v>
      </c>
      <c r="M16" s="172" t="s">
        <v>24</v>
      </c>
      <c r="N16" s="107"/>
      <c r="O16" s="108" t="s">
        <v>25</v>
      </c>
      <c r="P16" s="185">
        <f>IFERROR((((COUNTIF('Elève (6ème3)'!M16:O16,"A"))*4)+((COUNTIF('Elève (6ème3)'!M16:O16,"B"))*3)+((COUNTIF('Elève (6ème3)'!M16:O16,"C"))*2)+((COUNTIF('Elève (6ème3)'!M16:O16,"D"))*1))/(COUNTA(M16:O16)),"")</f>
        <v>2.5</v>
      </c>
      <c r="Q16" s="186" t="str">
        <f t="shared" si="2"/>
        <v>C</v>
      </c>
      <c r="R16" s="185">
        <f>IF(COUNT(F16,K16,P16)=0,"",SUM(F16,K16,P16)/COUNT(F16,K16,P16))</f>
        <v>3.25</v>
      </c>
      <c r="S16" s="208" t="str">
        <f t="shared" si="3"/>
        <v>B</v>
      </c>
      <c r="T16" s="217"/>
      <c r="U16" s="107"/>
      <c r="V16" s="108"/>
      <c r="W16" s="185" t="str">
        <f>IFERROR((((COUNTIF('Elève (6ème3)'!T16:V16,"A"))*4)+((COUNTIF('Elève (6ème3)'!T16:V16,"B"))*3)+((COUNTIF('Elève (6ème3)'!T16:V16,"C"))*2)+((COUNTIF('Elève (6ème3)'!T16:V16,"D"))*1))/(COUNTA(T16:V16)),"")</f>
        <v/>
      </c>
      <c r="X16" s="186" t="str">
        <f t="shared" si="4"/>
        <v/>
      </c>
      <c r="Y16" s="172"/>
      <c r="Z16" s="107" t="s">
        <v>23</v>
      </c>
      <c r="AA16" s="108"/>
      <c r="AB16" s="185">
        <f>IFERROR((((COUNTIF('Elève (6ème3)'!Y16:AA16,"A"))*4)+((COUNTIF('Elève (6ème3)'!Y16:AA16,"B"))*3)+((COUNTIF('Elève (6ème3)'!Y16:AA16,"C"))*2)+((COUNTIF('Elève (6ème3)'!Y16:AA16,"D"))*1))/(COUNTA(Y16:AA16)),"")</f>
        <v>4</v>
      </c>
      <c r="AC16" s="186" t="str">
        <f t="shared" si="5"/>
        <v>A</v>
      </c>
      <c r="AD16" s="172" t="s">
        <v>23</v>
      </c>
      <c r="AE16" s="107"/>
      <c r="AF16" s="108" t="s">
        <v>25</v>
      </c>
      <c r="AG16" s="185">
        <f>IFERROR((((COUNTIF('Elève (6ème3)'!AD16:AF16,"A"))*4)+((COUNTIF('Elève (6ème3)'!AD16:AF16,"B"))*3)+((COUNTIF('Elève (6ème3)'!AD16:AF16,"C"))*2)+((COUNTIF('Elève (6ème3)'!AD16:AF16,"D"))*1))/(COUNTA(AD16:AF16)),"")</f>
        <v>3</v>
      </c>
      <c r="AH16" s="186" t="str">
        <f t="shared" si="6"/>
        <v>B</v>
      </c>
      <c r="AI16" s="185">
        <f>IF(COUNT(W16,AB16,AG16)=0,"",SUM(W16,AB16,AG16)/COUNT(W16,AB16,AG16))</f>
        <v>3.5</v>
      </c>
      <c r="AJ16" s="208" t="str">
        <f t="shared" si="7"/>
        <v>B</v>
      </c>
      <c r="AK16" s="217"/>
      <c r="AL16" s="107"/>
      <c r="AM16" s="108"/>
      <c r="AN16" s="185" t="str">
        <f>IFERROR((((COUNTIF('Elève (6ème3)'!AK16:AM16,"A"))*4)+((COUNTIF('Elève (6ème3)'!AK16:AM16,"B"))*3)+((COUNTIF('Elève (6ème3)'!AK16:AM16,"C"))*2)+((COUNTIF('Elève (6ème3)'!AK16:AM16,"D"))*1))/(COUNTA(AK16:AM16)),"")</f>
        <v/>
      </c>
      <c r="AO16" s="186" t="str">
        <f t="shared" si="8"/>
        <v/>
      </c>
      <c r="AP16" s="172"/>
      <c r="AQ16" s="107" t="s">
        <v>23</v>
      </c>
      <c r="AR16" s="108"/>
      <c r="AS16" s="185">
        <f>IFERROR((((COUNTIF('Elève (6ème3)'!AP16:AR16,"A"))*4)+((COUNTIF('Elève (6ème3)'!AP16:AR16,"B"))*3)+((COUNTIF('Elève (6ème3)'!AP16:AR16,"C"))*2)+((COUNTIF('Elève (6ème3)'!AP16:AR16,"D"))*1))/(COUNTA(AP16:AR16)),"")</f>
        <v>4</v>
      </c>
      <c r="AT16" s="186" t="str">
        <f t="shared" si="9"/>
        <v>A</v>
      </c>
      <c r="AU16" s="172" t="s">
        <v>25</v>
      </c>
      <c r="AV16" s="107"/>
      <c r="AW16" s="108" t="s">
        <v>24</v>
      </c>
      <c r="AX16" s="185">
        <f>IFERROR((((COUNTIF('Elève (6ème3)'!AU16:AW16,"A"))*4)+((COUNTIF('Elève (6ème3)'!AU16:AW16,"B"))*3)+((COUNTIF('Elève (6ème3)'!AU16:AW16,"C"))*2)+((COUNTIF('Elève (6ème3)'!AU16:AW16,"D"))*1))/(COUNTA(AU16:AW16)),"")</f>
        <v>2.5</v>
      </c>
      <c r="AY16" s="186" t="str">
        <f t="shared" si="10"/>
        <v>C</v>
      </c>
      <c r="AZ16" s="185">
        <f>IF(COUNT(AN16,AS16,AX16)=0,"",SUM(AN16,AS16,AX16)/COUNT(AN16,AS16,AX16))</f>
        <v>3.25</v>
      </c>
      <c r="BA16" s="208" t="str">
        <f t="shared" si="11"/>
        <v>B</v>
      </c>
      <c r="BB16" s="217"/>
      <c r="BC16" s="107"/>
      <c r="BD16" s="108"/>
      <c r="BE16" s="185" t="str">
        <f>IFERROR((((COUNTIF('Elève (6ème3)'!BB16:BD16,"A"))*4)+((COUNTIF('Elève (6ème3)'!BB16:BD16,"B"))*3)+((COUNTIF('Elève (6ème3)'!BB16:BD16,"C"))*2)+((COUNTIF('Elève (6ème3)'!BB16:BD16,"D"))*1))/(COUNTA(BB16:BD16)),"")</f>
        <v/>
      </c>
      <c r="BF16" s="186" t="str">
        <f t="shared" si="12"/>
        <v/>
      </c>
      <c r="BG16" s="172"/>
      <c r="BH16" s="107" t="s">
        <v>24</v>
      </c>
      <c r="BI16" s="108"/>
      <c r="BJ16" s="185">
        <f>IFERROR((((COUNTIF('Elève (6ème3)'!BG16:BI16,"A"))*4)+((COUNTIF('Elève (6ème3)'!BG16:BI16,"B"))*3)+((COUNTIF('Elève (6ème3)'!BG16:BI16,"C"))*2)+((COUNTIF('Elève (6ème3)'!BG16:BI16,"D"))*1))/(COUNTA(BG16:BI16)),"")</f>
        <v>3</v>
      </c>
      <c r="BK16" s="186" t="str">
        <f t="shared" si="13"/>
        <v>B</v>
      </c>
      <c r="BL16" s="172" t="s">
        <v>24</v>
      </c>
      <c r="BM16" s="107"/>
      <c r="BN16" s="108" t="s">
        <v>24</v>
      </c>
      <c r="BO16" s="185">
        <f>IFERROR((((COUNTIF('Elève (6ème3)'!BL16:BN16,"A"))*4)+((COUNTIF('Elève (6ème3)'!BL16:BN16,"B"))*3)+((COUNTIF('Elève (6ème3)'!BL16:BN16,"C"))*2)+((COUNTIF('Elève (6ème3)'!BL16:BN16,"D"))*1))/(COUNTA(BL16:BN16)),"")</f>
        <v>3</v>
      </c>
      <c r="BP16" s="186" t="str">
        <f t="shared" si="14"/>
        <v>B</v>
      </c>
      <c r="BQ16" s="185">
        <f>IF(COUNT(BE16,BJ16,BO16)=0,"",SUM(BE16,BJ16,BO16)/COUNT(BE16,BJ16,BO16))</f>
        <v>3</v>
      </c>
      <c r="BR16" s="208" t="str">
        <f t="shared" si="15"/>
        <v>B</v>
      </c>
      <c r="BS16" s="217"/>
      <c r="BT16" s="107"/>
      <c r="BU16" s="108"/>
      <c r="BV16" s="185" t="str">
        <f>IFERROR((((COUNTIF('Elève (6ème3)'!BS16:BU16,"A"))*4)+((COUNTIF('Elève (6ème3)'!BS16:BU16,"B"))*3)+((COUNTIF('Elève (6ème3)'!BS16:BU16,"C"))*2)+((COUNTIF('Elève (6ème3)'!BS16:BU16,"D"))*1))/(COUNTA(BS16:BU16)),"")</f>
        <v/>
      </c>
      <c r="BW16" s="186" t="str">
        <f t="shared" si="16"/>
        <v/>
      </c>
      <c r="BX16" s="172"/>
      <c r="BY16" s="107" t="s">
        <v>24</v>
      </c>
      <c r="BZ16" s="108"/>
      <c r="CA16" s="185">
        <f>IFERROR((((COUNTIF('Elève (6ème3)'!BX16:BZ16,"A"))*4)+((COUNTIF('Elève (6ème3)'!BX16:BZ16,"B"))*3)+((COUNTIF('Elève (6ème3)'!BX16:BZ16,"C"))*2)+((COUNTIF('Elève (6ème3)'!BX16:BZ16,"D"))*1))/(COUNTA(BX16:BZ16)),"")</f>
        <v>3</v>
      </c>
      <c r="CB16" s="186" t="str">
        <f t="shared" si="17"/>
        <v>B</v>
      </c>
      <c r="CC16" s="172" t="s">
        <v>23</v>
      </c>
      <c r="CD16" s="107"/>
      <c r="CE16" s="108" t="s">
        <v>24</v>
      </c>
      <c r="CF16" s="185">
        <f>IFERROR((((COUNTIF('Elève (6ème3)'!CC16:CE16,"A"))*4)+((COUNTIF('Elève (6ème3)'!CC16:CE16,"B"))*3)+((COUNTIF('Elève (6ème3)'!CC16:CE16,"C"))*2)+((COUNTIF('Elève (6ème3)'!CC16:CE16,"D"))*1))/(COUNTA(CC16:CE16)),"")</f>
        <v>3.5</v>
      </c>
      <c r="CG16" s="186" t="str">
        <f t="shared" si="18"/>
        <v>B</v>
      </c>
      <c r="CH16" s="185">
        <f>IF(COUNT(BV16,CA16,CF16)=0,"",SUM(BV16,CA16,CF16)/COUNT(BV16,CA16,CF16))</f>
        <v>3.25</v>
      </c>
      <c r="CI16" s="208" t="str">
        <f t="shared" si="19"/>
        <v>B</v>
      </c>
      <c r="CJ16" s="217"/>
      <c r="CK16" s="107"/>
      <c r="CL16" s="108"/>
      <c r="CM16" s="185" t="str">
        <f>IFERROR((((COUNTIF('Elève (6ème3)'!CJ16:CL16,"A"))*4)+((COUNTIF('Elève (6ème3)'!CJ16:CL16,"B"))*3)+((COUNTIF('Elève (6ème3)'!CJ16:CL16,"C"))*2)+((COUNTIF('Elève (6ème3)'!CJ16:CL16,"D"))*1))/(COUNTA(CJ16:CL16)),"")</f>
        <v/>
      </c>
      <c r="CN16" s="186" t="str">
        <f t="shared" si="20"/>
        <v/>
      </c>
      <c r="CO16" s="172"/>
      <c r="CP16" s="107" t="s">
        <v>25</v>
      </c>
      <c r="CQ16" s="108"/>
      <c r="CR16" s="185">
        <f>IFERROR((((COUNTIF('Elève (6ème3)'!CO16:CQ16,"A"))*4)+((COUNTIF('Elève (6ème3)'!CO16:CQ16,"B"))*3)+((COUNTIF('Elève (6ème3)'!CO16:CQ16,"C"))*2)+((COUNTIF('Elève (6ème3)'!CO16:CQ16,"D"))*1))/(COUNTA(CO16:CQ16)),"")</f>
        <v>2</v>
      </c>
      <c r="CS16" s="186" t="str">
        <f t="shared" si="21"/>
        <v>C</v>
      </c>
      <c r="CT16" s="172"/>
      <c r="CU16" s="107"/>
      <c r="CV16" s="108" t="s">
        <v>24</v>
      </c>
      <c r="CW16" s="185">
        <f>IFERROR((((COUNTIF('Elève (6ème3)'!CT16:CV16,"A"))*4)+((COUNTIF('Elève (6ème3)'!CT16:CV16,"B"))*3)+((COUNTIF('Elève (6ème3)'!CT16:CV16,"C"))*2)+((COUNTIF('Elève (6ème3)'!CT16:CV16,"D"))*1))/(COUNTA(CT16:CV16)),"")</f>
        <v>3</v>
      </c>
      <c r="CX16" s="186" t="str">
        <f t="shared" si="22"/>
        <v>B</v>
      </c>
      <c r="CY16" s="185">
        <f>IF(COUNT(CM16,CR16,CW16)=0,"",SUM(CM16,CR16,CW16)/COUNT(CM16,CR16,CW16))</f>
        <v>2.5</v>
      </c>
      <c r="CZ16" s="208" t="str">
        <f t="shared" si="23"/>
        <v>C</v>
      </c>
      <c r="DA16" s="217"/>
      <c r="DB16" s="107"/>
      <c r="DC16" s="108"/>
      <c r="DD16" s="185" t="str">
        <f>IFERROR((((COUNTIF('Elève (6ème3)'!DA16:DC16,"A"))*4)+((COUNTIF('Elève (6ème3)'!DA16:DC16,"B"))*3)+((COUNTIF('Elève (6ème3)'!DA16:DC16,"C"))*2)+((COUNTIF('Elève (6ème3)'!DA16:DC16,"D"))*1))/(COUNTA(DA16:DC16)),"")</f>
        <v/>
      </c>
      <c r="DE16" s="186" t="str">
        <f t="shared" si="24"/>
        <v/>
      </c>
      <c r="DF16" s="172"/>
      <c r="DG16" s="107" t="s">
        <v>23</v>
      </c>
      <c r="DH16" s="108"/>
      <c r="DI16" s="185">
        <f>IFERROR((((COUNTIF('Elève (6ème3)'!DF16:DH16,"A"))*4)+((COUNTIF('Elève (6ème3)'!DF16:DH16,"B"))*3)+((COUNTIF('Elève (6ème3)'!DF16:DH16,"C"))*2)+((COUNTIF('Elève (6ème3)'!DF16:DH16,"D"))*1))/(COUNTA(DF16:DH16)),"")</f>
        <v>4</v>
      </c>
      <c r="DJ16" s="186" t="str">
        <f t="shared" si="25"/>
        <v>A</v>
      </c>
      <c r="DK16" s="172" t="s">
        <v>23</v>
      </c>
      <c r="DL16" s="107"/>
      <c r="DM16" s="108" t="s">
        <v>24</v>
      </c>
      <c r="DN16" s="185">
        <f>IFERROR((((COUNTIF('Elève (6ème3)'!DK16:DM16,"A"))*4)+((COUNTIF('Elève (6ème3)'!DK16:DM16,"B"))*3)+((COUNTIF('Elève (6ème3)'!DK16:DM16,"C"))*2)+((COUNTIF('Elève (6ème3)'!DK16:DM16,"D"))*1))/(COUNTA(DK16:DM16)),"")</f>
        <v>3.5</v>
      </c>
      <c r="DO16" s="186" t="str">
        <f t="shared" si="26"/>
        <v>B</v>
      </c>
      <c r="DP16" s="185">
        <f>IF(COUNT(DD16,DI16,DN16)=0,"",SUM(DD16,DI16,DN16)/COUNT(DD16,DI16,DN16))</f>
        <v>3.75</v>
      </c>
      <c r="DQ16" s="208" t="str">
        <f t="shared" si="27"/>
        <v>A</v>
      </c>
      <c r="DR16" s="217"/>
      <c r="DS16" s="107"/>
      <c r="DT16" s="108"/>
      <c r="DU16" s="185" t="str">
        <f>IFERROR((((COUNTIF('Elève (6ème3)'!DR16:DT16,"A"))*4)+((COUNTIF('Elève (6ème3)'!DR16:DT16,"B"))*3)+((COUNTIF('Elève (6ème3)'!DR16:DT16,"C"))*2)+((COUNTIF('Elève (6ème3)'!DR16:DT16,"D"))*1))/(COUNTA(DR16:DT16)),"")</f>
        <v/>
      </c>
      <c r="DV16" s="186" t="str">
        <f t="shared" si="28"/>
        <v/>
      </c>
      <c r="DW16" s="172"/>
      <c r="DX16" s="107" t="s">
        <v>23</v>
      </c>
      <c r="DY16" s="108"/>
      <c r="DZ16" s="185">
        <f>IFERROR((((COUNTIF('Elève (6ème3)'!DW16:DY16,"A"))*4)+((COUNTIF('Elève (6ème3)'!DW16:DY16,"B"))*3)+((COUNTIF('Elève (6ème3)'!DW16:DY16,"C"))*2)+((COUNTIF('Elève (6ème3)'!DW16:DY16,"D"))*1))/(COUNTA(DW16:DY16)),"")</f>
        <v>4</v>
      </c>
      <c r="EA16" s="186" t="str">
        <f t="shared" si="29"/>
        <v>A</v>
      </c>
      <c r="EB16" s="172" t="s">
        <v>24</v>
      </c>
      <c r="EC16" s="107"/>
      <c r="ED16" s="108" t="s">
        <v>25</v>
      </c>
      <c r="EE16" s="185">
        <f>IFERROR((((COUNTIF('Elève (6ème3)'!EB16:ED16,"A"))*4)+((COUNTIF('Elève (6ème3)'!EB16:ED16,"B"))*3)+((COUNTIF('Elève (6ème3)'!EB16:ED16,"C"))*2)+((COUNTIF('Elève (6ème3)'!EB16:ED16,"D"))*1))/(COUNTA(EB16:ED16)),"")</f>
        <v>2.5</v>
      </c>
      <c r="EF16" s="186" t="str">
        <f t="shared" si="30"/>
        <v>C</v>
      </c>
      <c r="EG16" s="185">
        <f>IF(COUNT(DU16,DZ16,EE16)=0,"",SUM(DU16,DZ16,EE16)/COUNT(DU16,DZ16,EE16))</f>
        <v>3.25</v>
      </c>
      <c r="EH16" s="208" t="str">
        <f t="shared" si="31"/>
        <v>B</v>
      </c>
      <c r="EI16" s="217"/>
      <c r="EJ16" s="107"/>
      <c r="EK16" s="108"/>
      <c r="EL16" s="185" t="str">
        <f>IFERROR((((COUNTIF('Elève (6ème3)'!EI16:EK16,"A"))*4)+((COUNTIF('Elève (6ème3)'!EI16:EK16,"B"))*3)+((COUNTIF('Elève (6ème3)'!EI16:EK16,"C"))*2)+((COUNTIF('Elève (6ème3)'!EI16:EK16,"D"))*1))/(COUNTA(EI16:EK16)),"")</f>
        <v/>
      </c>
      <c r="EM16" s="186" t="str">
        <f t="shared" si="32"/>
        <v/>
      </c>
      <c r="EN16" s="172"/>
      <c r="EO16" s="107" t="s">
        <v>23</v>
      </c>
      <c r="EP16" s="108"/>
      <c r="EQ16" s="185">
        <f>IFERROR((((COUNTIF('Elève (6ème3)'!EN16:EP16,"A"))*4)+((COUNTIF('Elève (6ème3)'!EN16:EP16,"B"))*3)+((COUNTIF('Elève (6ème3)'!EN16:EP16,"C"))*2)+((COUNTIF('Elève (6ème3)'!EN16:EP16,"D"))*1))/(COUNTA(EN16:EP16)),"")</f>
        <v>4</v>
      </c>
      <c r="ER16" s="186" t="str">
        <f t="shared" si="33"/>
        <v>A</v>
      </c>
      <c r="ES16" s="172" t="s">
        <v>23</v>
      </c>
      <c r="ET16" s="107"/>
      <c r="EU16" s="108" t="s">
        <v>24</v>
      </c>
      <c r="EV16" s="185">
        <f>IFERROR((((COUNTIF('Elève (6ème3)'!ES16:EU16,"A"))*4)+((COUNTIF('Elève (6ème3)'!ES16:EU16,"B"))*3)+((COUNTIF('Elève (6ème3)'!ES16:EU16,"C"))*2)+((COUNTIF('Elève (6ème3)'!ES16:EU16,"D"))*1))/(COUNTA(ES16:EU16)),"")</f>
        <v>3.5</v>
      </c>
      <c r="EW16" s="186" t="str">
        <f t="shared" si="34"/>
        <v>B</v>
      </c>
      <c r="EX16" s="185">
        <f>IF(COUNT(EL16,EQ16,EV16)=0,"",SUM(EL16,EQ16,EV16)/COUNT(EL16,EQ16,EV16))</f>
        <v>3.75</v>
      </c>
      <c r="EY16" s="208" t="str">
        <f t="shared" si="35"/>
        <v>A</v>
      </c>
      <c r="EZ16" s="217"/>
      <c r="FA16" s="107"/>
      <c r="FB16" s="108"/>
      <c r="FC16" s="185" t="str">
        <f>IFERROR((((COUNTIF('Elève (6ème3)'!EZ16:FB16,"A"))*4)+((COUNTIF('Elève (6ème3)'!EZ16:FB16,"B"))*3)+((COUNTIF('Elève (6ème3)'!EZ16:FB16,"C"))*2)+((COUNTIF('Elève (6ème3)'!EZ16:FB16,"D"))*1))/(COUNTA(EZ16:FB16)),"")</f>
        <v/>
      </c>
      <c r="FD16" s="186" t="str">
        <f t="shared" si="36"/>
        <v/>
      </c>
      <c r="FE16" s="172"/>
      <c r="FF16" s="107" t="s">
        <v>23</v>
      </c>
      <c r="FG16" s="108"/>
      <c r="FH16" s="185">
        <f>IFERROR((((COUNTIF('Elève (6ème3)'!FE16:FG16,"A"))*4)+((COUNTIF('Elève (6ème3)'!FE16:FG16,"B"))*3)+((COUNTIF('Elève (6ème3)'!FE16:FG16,"C"))*2)+((COUNTIF('Elève (6ème3)'!FE16:FG16,"D"))*1))/(COUNTA(FE16:FG16)),"")</f>
        <v>4</v>
      </c>
      <c r="FI16" s="186" t="str">
        <f t="shared" si="37"/>
        <v>A</v>
      </c>
      <c r="FJ16" s="172" t="s">
        <v>24</v>
      </c>
      <c r="FK16" s="107"/>
      <c r="FL16" s="108" t="s">
        <v>24</v>
      </c>
      <c r="FM16" s="185">
        <f>IFERROR((((COUNTIF('Elève (6ème3)'!FJ16:FL16,"A"))*4)+((COUNTIF('Elève (6ème3)'!FJ16:FL16,"B"))*3)+((COUNTIF('Elève (6ème3)'!FJ16:FL16,"C"))*2)+((COUNTIF('Elève (6ème3)'!FJ16:FL16,"D"))*1))/(COUNTA(FJ16:FL16)),"")</f>
        <v>3</v>
      </c>
      <c r="FN16" s="186" t="str">
        <f t="shared" si="38"/>
        <v>B</v>
      </c>
      <c r="FO16" s="185">
        <f>IF(COUNT(FC16,FH16,FM16)=0,"",SUM(FC16,FH16,FM16)/COUNT(FC16,FH16,FM16))</f>
        <v>3.5</v>
      </c>
      <c r="FP16" s="208" t="str">
        <f t="shared" si="39"/>
        <v>B</v>
      </c>
      <c r="FQ16" s="217"/>
      <c r="FR16" s="107"/>
      <c r="FS16" s="108"/>
      <c r="FT16" s="185" t="str">
        <f>IFERROR((((COUNTIF('Elève (6ème3)'!FQ16:FS16,"A"))*4)+((COUNTIF('Elève (6ème3)'!FQ16:FS16,"B"))*3)+((COUNTIF('Elève (6ème3)'!FQ16:FS16,"C"))*2)+((COUNTIF('Elève (6ème3)'!FQ16:FS16,"D"))*1))/(COUNTA(FQ16:FS16)),"")</f>
        <v/>
      </c>
      <c r="FU16" s="186" t="str">
        <f t="shared" si="40"/>
        <v/>
      </c>
      <c r="FV16" s="172"/>
      <c r="FW16" s="107" t="s">
        <v>26</v>
      </c>
      <c r="FX16" s="108"/>
      <c r="FY16" s="185">
        <f>IFERROR((((COUNTIF('Elève (6ème3)'!FV16:FX16,"A"))*4)+((COUNTIF('Elève (6ème3)'!FV16:FX16,"B"))*3)+((COUNTIF('Elève (6ème3)'!FV16:FX16,"C"))*2)+((COUNTIF('Elève (6ème3)'!FV16:FX16,"D"))*1))/(COUNTA(FV16:FX16)),"")</f>
        <v>1</v>
      </c>
      <c r="FZ16" s="186" t="str">
        <f t="shared" si="41"/>
        <v>D</v>
      </c>
      <c r="GA16" s="172" t="s">
        <v>25</v>
      </c>
      <c r="GB16" s="107"/>
      <c r="GC16" s="108" t="s">
        <v>24</v>
      </c>
      <c r="GD16" s="185">
        <f>IFERROR((((COUNTIF('Elève (6ème3)'!GA16:GC16,"A"))*4)+((COUNTIF('Elève (6ème3)'!GA16:GC16,"B"))*3)+((COUNTIF('Elève (6ème3)'!GA16:GC16,"C"))*2)+((COUNTIF('Elève (6ème3)'!GA16:GC16,"D"))*1))/(COUNTA(GA16:GC16)),"")</f>
        <v>2.5</v>
      </c>
      <c r="GE16" s="186" t="str">
        <f t="shared" si="42"/>
        <v>C</v>
      </c>
      <c r="GF16" s="185">
        <f>IF(COUNT(FT16,FY16,GD16)=0,"",SUM(FT16,FY16,GD16)/COUNT(FT16,FY16,GD16))</f>
        <v>1.75</v>
      </c>
      <c r="GG16" s="208" t="str">
        <f t="shared" si="43"/>
        <v>C</v>
      </c>
      <c r="GH16" s="217"/>
      <c r="GI16" s="107"/>
      <c r="GJ16" s="108"/>
      <c r="GK16" s="185" t="str">
        <f>IFERROR((((COUNTIF('Elève (6ème3)'!GH16:GJ16,"A"))*4)+((COUNTIF('Elève (6ème3)'!GH16:GJ16,"B"))*3)+((COUNTIF('Elève (6ème3)'!GH16:GJ16,"C"))*2)+((COUNTIF('Elève (6ème3)'!GH16:GJ16,"D"))*1))/(COUNTA(GH16:GJ16)),"")</f>
        <v/>
      </c>
      <c r="GL16" s="186" t="str">
        <f t="shared" si="44"/>
        <v/>
      </c>
      <c r="GM16" s="172"/>
      <c r="GN16" s="107" t="s">
        <v>23</v>
      </c>
      <c r="GO16" s="108"/>
      <c r="GP16" s="185">
        <f>IFERROR((((COUNTIF('Elève (6ème3)'!GM16:GO16,"A"))*4)+((COUNTIF('Elève (6ème3)'!GM16:GO16,"B"))*3)+((COUNTIF('Elève (6ème3)'!GM16:GO16,"C"))*2)+((COUNTIF('Elève (6ème3)'!GM16:GO16,"D"))*1))/(COUNTA(GM16:GO16)),"")</f>
        <v>4</v>
      </c>
      <c r="GQ16" s="186" t="str">
        <f t="shared" si="45"/>
        <v>A</v>
      </c>
      <c r="GR16" s="172" t="s">
        <v>23</v>
      </c>
      <c r="GS16" s="107"/>
      <c r="GT16" s="108" t="s">
        <v>24</v>
      </c>
      <c r="GU16" s="185">
        <f>IFERROR((((COUNTIF('Elève (6ème3)'!GR16:GT16,"A"))*4)+((COUNTIF('Elève (6ème3)'!GR16:GT16,"B"))*3)+((COUNTIF('Elève (6ème3)'!GR16:GT16,"C"))*2)+((COUNTIF('Elève (6ème3)'!GR16:GT16,"D"))*1))/(COUNTA(GR16:GT16)),"")</f>
        <v>3.5</v>
      </c>
      <c r="GV16" s="186" t="str">
        <f t="shared" si="46"/>
        <v>B</v>
      </c>
      <c r="GW16" s="185">
        <f>IF(COUNT(GK16,GP16,GU16)=0,"",SUM(GK16,GP16,GU16)/COUNT(GK16,GP16,GU16))</f>
        <v>3.75</v>
      </c>
      <c r="GX16" s="208" t="str">
        <f t="shared" si="47"/>
        <v>A</v>
      </c>
      <c r="GY16" s="217"/>
      <c r="GZ16" s="107"/>
      <c r="HA16" s="108"/>
      <c r="HB16" s="185" t="str">
        <f>IFERROR((((COUNTIF('Elève (6ème3)'!GY16:HA16,"A"))*4)+((COUNTIF('Elève (6ème3)'!GY16:HA16,"B"))*3)+((COUNTIF('Elève (6ème3)'!GY16:HA16,"C"))*2)+((COUNTIF('Elève (6ème3)'!GY16:HA16,"D"))*1))/(COUNTA(GY16:HA16)),"")</f>
        <v/>
      </c>
      <c r="HC16" s="186" t="str">
        <f t="shared" si="48"/>
        <v/>
      </c>
      <c r="HD16" s="172"/>
      <c r="HE16" s="107" t="s">
        <v>24</v>
      </c>
      <c r="HF16" s="108"/>
      <c r="HG16" s="185">
        <f>IFERROR((((COUNTIF('Elève (6ème3)'!HD16:HF16,"A"))*4)+((COUNTIF('Elève (6ème3)'!HD16:HF16,"B"))*3)+((COUNTIF('Elève (6ème3)'!HD16:HF16,"C"))*2)+((COUNTIF('Elève (6ème3)'!HD16:HF16,"D"))*1))/(COUNTA(HD16:HF16)),"")</f>
        <v>3</v>
      </c>
      <c r="HH16" s="186" t="str">
        <f t="shared" si="49"/>
        <v>B</v>
      </c>
      <c r="HI16" s="172" t="s">
        <v>23</v>
      </c>
      <c r="HJ16" s="107"/>
      <c r="HK16" s="108" t="s">
        <v>24</v>
      </c>
      <c r="HL16" s="185">
        <f>IFERROR((((COUNTIF('Elève (6ème3)'!HI16:HK16,"A"))*4)+((COUNTIF('Elève (6ème3)'!HI16:HK16,"B"))*3)+((COUNTIF('Elève (6ème3)'!HI16:HK16,"C"))*2)+((COUNTIF('Elève (6ème3)'!HI16:HK16,"D"))*1))/(COUNTA(HI16:HK16)),"")</f>
        <v>3.5</v>
      </c>
      <c r="HM16" s="186" t="str">
        <f t="shared" si="50"/>
        <v>B</v>
      </c>
      <c r="HN16" s="185">
        <f>IF(COUNT(HB16,HG16,HL16)=0,"",SUM(HB16,HG16,HL16)/COUNT(HB16,HG16,HL16))</f>
        <v>3.25</v>
      </c>
      <c r="HO16" s="208" t="str">
        <f t="shared" si="51"/>
        <v>B</v>
      </c>
      <c r="HP16" s="217"/>
      <c r="HQ16" s="107"/>
      <c r="HR16" s="108"/>
      <c r="HS16" s="185" t="str">
        <f>IFERROR((((COUNTIF('Elève (6ème3)'!HP16:HR16,"A"))*4)+((COUNTIF('Elève (6ème3)'!HP16:HR16,"B"))*3)+((COUNTIF('Elève (6ème3)'!HP16:HR16,"C"))*2)+((COUNTIF('Elève (6ème3)'!HP16:HR16,"D"))*1))/(COUNTA(HP16:HR16)),"")</f>
        <v/>
      </c>
      <c r="HT16" s="186" t="str">
        <f t="shared" si="52"/>
        <v/>
      </c>
      <c r="HU16" s="172"/>
      <c r="HV16" s="107" t="s">
        <v>23</v>
      </c>
      <c r="HW16" s="108"/>
      <c r="HX16" s="185">
        <f>IFERROR((((COUNTIF('Elève (6ème3)'!HU16:HW16,"A"))*4)+((COUNTIF('Elève (6ème3)'!HU16:HW16,"B"))*3)+((COUNTIF('Elève (6ème3)'!HU16:HW16,"C"))*2)+((COUNTIF('Elève (6ème3)'!HU16:HW16,"D"))*1))/(COUNTA(HU16:HW16)),"")</f>
        <v>4</v>
      </c>
      <c r="HY16" s="186" t="str">
        <f t="shared" si="53"/>
        <v>A</v>
      </c>
      <c r="HZ16" s="172" t="s">
        <v>23</v>
      </c>
      <c r="IA16" s="107"/>
      <c r="IB16" s="108" t="s">
        <v>24</v>
      </c>
      <c r="IC16" s="185">
        <f>IFERROR((((COUNTIF('Elève (6ème3)'!HZ16:IB16,"A"))*4)+((COUNTIF('Elève (6ème3)'!HZ16:IB16,"B"))*3)+((COUNTIF('Elève (6ème3)'!HZ16:IB16,"C"))*2)+((COUNTIF('Elève (6ème3)'!HZ16:IB16,"D"))*1))/(COUNTA(HZ16:IB16)),"")</f>
        <v>3.5</v>
      </c>
      <c r="ID16" s="186" t="str">
        <f t="shared" si="54"/>
        <v>B</v>
      </c>
      <c r="IE16" s="185">
        <f>IF(COUNT(HS16,HX16,IC16)=0,"",SUM(HS16,HX16,IC16)/COUNT(HS16,HX16,IC16))</f>
        <v>3.75</v>
      </c>
      <c r="IF16" s="208" t="str">
        <f t="shared" si="55"/>
        <v>A</v>
      </c>
      <c r="IG16" s="217"/>
      <c r="IH16" s="107"/>
      <c r="II16" s="108"/>
      <c r="IJ16" s="185" t="str">
        <f>IFERROR((((COUNTIF('Elève (6ème3)'!IG16:II16,"A"))*4)+((COUNTIF('Elève (6ème3)'!IG16:II16,"B"))*3)+((COUNTIF('Elève (6ème3)'!IG16:II16,"C"))*2)+((COUNTIF('Elève (6ème3)'!IG16:II16,"D"))*1))/(COUNTA(IG16:II16)),"")</f>
        <v/>
      </c>
      <c r="IK16" s="186" t="str">
        <f t="shared" si="56"/>
        <v/>
      </c>
      <c r="IL16" s="172"/>
      <c r="IM16" s="107" t="s">
        <v>23</v>
      </c>
      <c r="IN16" s="108"/>
      <c r="IO16" s="185">
        <f>IFERROR((((COUNTIF('Elève (6ème3)'!IL16:IN16,"A"))*4)+((COUNTIF('Elève (6ème3)'!IL16:IN16,"B"))*3)+((COUNTIF('Elève (6ème3)'!IL16:IN16,"C"))*2)+((COUNTIF('Elève (6ème3)'!IL16:IN16,"D"))*1))/(COUNTA(IL16:IN16)),"")</f>
        <v>4</v>
      </c>
      <c r="IP16" s="186" t="str">
        <f t="shared" si="57"/>
        <v>A</v>
      </c>
      <c r="IQ16" s="172" t="s">
        <v>23</v>
      </c>
      <c r="IR16" s="107"/>
      <c r="IS16" s="108" t="s">
        <v>24</v>
      </c>
      <c r="IT16" s="185">
        <f>IFERROR((((COUNTIF('Elève (6ème3)'!IQ16:IS16,"A"))*4)+((COUNTIF('Elève (6ème3)'!IQ16:IS16,"B"))*3)+((COUNTIF('Elève (6ème3)'!IQ16:IS16,"C"))*2)+((COUNTIF('Elève (6ème3)'!IQ16:IS16,"D"))*1))/(COUNTA(IQ16:IS16)),"")</f>
        <v>3.5</v>
      </c>
      <c r="IU16" s="186" t="str">
        <f t="shared" si="58"/>
        <v>B</v>
      </c>
      <c r="IV16" s="185">
        <f>IF(COUNT(IJ16,IO16,IT16)=0,"",SUM(IJ16,IO16,IT16)/COUNT(IJ16,IO16,IT16))</f>
        <v>3.75</v>
      </c>
      <c r="IW16" s="208" t="str">
        <f t="shared" si="59"/>
        <v>A</v>
      </c>
      <c r="IX16" s="217"/>
      <c r="IY16" s="107"/>
      <c r="IZ16" s="108"/>
      <c r="JA16" s="185" t="str">
        <f>IFERROR((((COUNTIF('Elève (6ème3)'!IX16:IZ16,"A"))*4)+((COUNTIF('Elève (6ème3)'!IX16:IZ16,"B"))*3)+((COUNTIF('Elève (6ème3)'!IX16:IZ16,"C"))*2)+((COUNTIF('Elève (6ème3)'!IX16:IZ16,"D"))*1))/(COUNTA(IX16:IZ16)),"")</f>
        <v/>
      </c>
      <c r="JB16" s="186" t="str">
        <f t="shared" si="60"/>
        <v/>
      </c>
      <c r="JC16" s="172"/>
      <c r="JD16" s="107" t="s">
        <v>23</v>
      </c>
      <c r="JE16" s="108"/>
      <c r="JF16" s="185">
        <f>IFERROR((((COUNTIF('Elève (6ème3)'!JC16:JE16,"A"))*4)+((COUNTIF('Elève (6ème3)'!JC16:JE16,"B"))*3)+((COUNTIF('Elève (6ème3)'!JC16:JE16,"C"))*2)+((COUNTIF('Elève (6ème3)'!JC16:JE16,"D"))*1))/(COUNTA(JC16:JE16)),"")</f>
        <v>4</v>
      </c>
      <c r="JG16" s="186" t="str">
        <f t="shared" si="61"/>
        <v>A</v>
      </c>
      <c r="JH16" s="172" t="s">
        <v>24</v>
      </c>
      <c r="JI16" s="107"/>
      <c r="JJ16" s="108" t="s">
        <v>24</v>
      </c>
      <c r="JK16" s="185">
        <f>IFERROR((((COUNTIF('Elève (6ème3)'!JH16:JJ16,"A"))*4)+((COUNTIF('Elève (6ème3)'!JH16:JJ16,"B"))*3)+((COUNTIF('Elève (6ème3)'!JH16:JJ16,"C"))*2)+((COUNTIF('Elève (6ème3)'!JH16:JJ16,"D"))*1))/(COUNTA(JH16:JJ16)),"")</f>
        <v>3</v>
      </c>
      <c r="JL16" s="186" t="str">
        <f t="shared" si="62"/>
        <v>B</v>
      </c>
      <c r="JM16" s="185">
        <f>IF(COUNT(JA16,JF16,JK16)=0,"",SUM(JA16,JF16,JK16)/COUNT(JA16,JF16,JK16))</f>
        <v>3.5</v>
      </c>
      <c r="JN16" s="208" t="str">
        <f t="shared" si="63"/>
        <v>B</v>
      </c>
      <c r="JO16" s="217"/>
      <c r="JP16" s="107"/>
      <c r="JQ16" s="108"/>
      <c r="JR16" s="185" t="str">
        <f>IFERROR((((COUNTIF('Elève (6ème3)'!JO16:JQ16,"A"))*4)+((COUNTIF('Elève (6ème3)'!JO16:JQ16,"B"))*3)+((COUNTIF('Elève (6ème3)'!JO16:JQ16,"C"))*2)+((COUNTIF('Elève (6ème3)'!JO16:JQ16,"D"))*1))/(COUNTA(JO16:JQ16)),"")</f>
        <v/>
      </c>
      <c r="JS16" s="186" t="str">
        <f t="shared" si="64"/>
        <v/>
      </c>
      <c r="JT16" s="172"/>
      <c r="JU16" s="107" t="s">
        <v>23</v>
      </c>
      <c r="JV16" s="108"/>
      <c r="JW16" s="185">
        <f>IFERROR((((COUNTIF('Elève (6ème3)'!JT16:JV16,"A"))*4)+((COUNTIF('Elève (6ème3)'!JT16:JV16,"B"))*3)+((COUNTIF('Elève (6ème3)'!JT16:JV16,"C"))*2)+((COUNTIF('Elève (6ème3)'!JT16:JV16,"D"))*1))/(COUNTA(JT16:JV16)),"")</f>
        <v>4</v>
      </c>
      <c r="JX16" s="186" t="str">
        <f t="shared" si="65"/>
        <v>A</v>
      </c>
      <c r="JY16" s="172" t="s">
        <v>24</v>
      </c>
      <c r="JZ16" s="107"/>
      <c r="KA16" s="108" t="s">
        <v>24</v>
      </c>
      <c r="KB16" s="185">
        <f>IFERROR((((COUNTIF('Elève (6ème3)'!JY16:KA16,"A"))*4)+((COUNTIF('Elève (6ème3)'!JY16:KA16,"B"))*3)+((COUNTIF('Elève (6ème3)'!JY16:KA16,"C"))*2)+((COUNTIF('Elève (6ème3)'!JY16:KA16,"D"))*1))/(COUNTA(JY16:KA16)),"")</f>
        <v>3</v>
      </c>
      <c r="KC16" s="186" t="str">
        <f t="shared" si="66"/>
        <v>B</v>
      </c>
      <c r="KD16" s="185">
        <f>IF(COUNT(JR16,JW16,KB16)=0,"",SUM(JR16,JW16,KB16)/COUNT(JR16,JW16,KB16))</f>
        <v>3.5</v>
      </c>
      <c r="KE16" s="208" t="str">
        <f t="shared" si="67"/>
        <v>B</v>
      </c>
      <c r="KF16" s="217"/>
      <c r="KG16" s="107"/>
      <c r="KH16" s="108"/>
      <c r="KI16" s="185" t="str">
        <f>IFERROR((((COUNTIF('Elève (6ème3)'!KF16:KH16,"A"))*4)+((COUNTIF('Elève (6ème3)'!KF16:KH16,"B"))*3)+((COUNTIF('Elève (6ème3)'!KF16:KH16,"C"))*2)+((COUNTIF('Elève (6ème3)'!KF16:KH16,"D"))*1))/(COUNTA(KF16:KH16)),"")</f>
        <v/>
      </c>
      <c r="KJ16" s="186" t="str">
        <f t="shared" si="68"/>
        <v/>
      </c>
      <c r="KK16" s="172"/>
      <c r="KL16" s="107" t="s">
        <v>23</v>
      </c>
      <c r="KM16" s="108"/>
      <c r="KN16" s="185">
        <f>IFERROR((((COUNTIF('Elève (6ème3)'!KK16:KM16,"A"))*4)+((COUNTIF('Elève (6ème3)'!KK16:KM16,"B"))*3)+((COUNTIF('Elève (6ème3)'!KK16:KM16,"C"))*2)+((COUNTIF('Elève (6ème3)'!KK16:KM16,"D"))*1))/(COUNTA(KK16:KM16)),"")</f>
        <v>4</v>
      </c>
      <c r="KO16" s="186" t="str">
        <f t="shared" si="69"/>
        <v>A</v>
      </c>
      <c r="KP16" s="172" t="s">
        <v>23</v>
      </c>
      <c r="KQ16" s="107"/>
      <c r="KR16" s="108" t="s">
        <v>24</v>
      </c>
      <c r="KS16" s="185">
        <f>IFERROR((((COUNTIF('Elève (6ème3)'!KP16:KR16,"A"))*4)+((COUNTIF('Elève (6ème3)'!KP16:KR16,"B"))*3)+((COUNTIF('Elève (6ème3)'!KP16:KR16,"C"))*2)+((COUNTIF('Elève (6ème3)'!KP16:KR16,"D"))*1))/(COUNTA(KP16:KR16)),"")</f>
        <v>3.5</v>
      </c>
      <c r="KT16" s="186" t="str">
        <f t="shared" si="70"/>
        <v>B</v>
      </c>
      <c r="KU16" s="185">
        <f>IF(COUNT(KI16,KN16,KS16)=0,"",SUM(KI16,KN16,KS16)/COUNT(KI16,KN16,KS16))</f>
        <v>3.75</v>
      </c>
      <c r="KV16" s="208" t="str">
        <f t="shared" si="71"/>
        <v>A</v>
      </c>
      <c r="KW16" s="217"/>
      <c r="KX16" s="107"/>
      <c r="KY16" s="108"/>
      <c r="KZ16" s="185" t="str">
        <f>IFERROR((((COUNTIF('Elève (6ème3)'!KW16:KY16,"A"))*4)+((COUNTIF('Elève (6ème3)'!KW16:KY16,"B"))*3)+((COUNTIF('Elève (6ème3)'!KW16:KY16,"C"))*2)+((COUNTIF('Elève (6ème3)'!KW16:KY16,"D"))*1))/(COUNTA(KW16:KY16)),"")</f>
        <v/>
      </c>
      <c r="LA16" s="186" t="str">
        <f t="shared" si="72"/>
        <v/>
      </c>
      <c r="LB16" s="172"/>
      <c r="LC16" s="107" t="s">
        <v>25</v>
      </c>
      <c r="LD16" s="108"/>
      <c r="LE16" s="185">
        <f>IFERROR((((COUNTIF('Elève (6ème3)'!LB16:LD16,"A"))*4)+((COUNTIF('Elève (6ème3)'!LB16:LD16,"B"))*3)+((COUNTIF('Elève (6ème3)'!LB16:LD16,"C"))*2)+((COUNTIF('Elève (6ème3)'!LB16:LD16,"D"))*1))/(COUNTA(LB16:LD16)),"")</f>
        <v>2</v>
      </c>
      <c r="LF16" s="186" t="str">
        <f t="shared" si="73"/>
        <v>C</v>
      </c>
      <c r="LG16" s="172" t="s">
        <v>23</v>
      </c>
      <c r="LH16" s="107"/>
      <c r="LI16" s="108" t="s">
        <v>24</v>
      </c>
      <c r="LJ16" s="185">
        <f>IFERROR((((COUNTIF('Elève (6ème3)'!LG16:LI16,"A"))*4)+((COUNTIF('Elève (6ème3)'!LG16:LI16,"B"))*3)+((COUNTIF('Elève (6ème3)'!LG16:LI16,"C"))*2)+((COUNTIF('Elève (6ème3)'!LG16:LI16,"D"))*1))/(COUNTA(LG16:LI16)),"")</f>
        <v>3.5</v>
      </c>
      <c r="LK16" s="186" t="str">
        <f t="shared" si="74"/>
        <v>B</v>
      </c>
      <c r="LL16" s="185">
        <f>IF(COUNT(KZ16,LE16,LJ16)=0,"",SUM(KZ16,LE16,LJ16)/COUNT(KZ16,LE16,LJ16))</f>
        <v>2.75</v>
      </c>
      <c r="LM16" s="208" t="str">
        <f t="shared" si="75"/>
        <v>C</v>
      </c>
      <c r="LN16" s="217"/>
      <c r="LO16" s="107"/>
      <c r="LP16" s="108"/>
      <c r="LQ16" s="185" t="str">
        <f>IFERROR((((COUNTIF('Elève (6ème3)'!LN16:LP16,"A"))*4)+((COUNTIF('Elève (6ème3)'!LN16:LP16,"B"))*3)+((COUNTIF('Elève (6ème3)'!LN16:LP16,"C"))*2)+((COUNTIF('Elève (6ème3)'!LN16:LP16,"D"))*1))/(COUNTA(LN16:LP16)),"")</f>
        <v/>
      </c>
      <c r="LR16" s="186" t="str">
        <f t="shared" si="76"/>
        <v/>
      </c>
      <c r="LS16" s="172"/>
      <c r="LT16" s="107" t="s">
        <v>23</v>
      </c>
      <c r="LU16" s="108"/>
      <c r="LV16" s="185">
        <f>IFERROR((((COUNTIF('Elève (6ème3)'!LS16:LU16,"A"))*4)+((COUNTIF('Elève (6ème3)'!LS16:LU16,"B"))*3)+((COUNTIF('Elève (6ème3)'!LS16:LU16,"C"))*2)+((COUNTIF('Elève (6ème3)'!LS16:LU16,"D"))*1))/(COUNTA(LS16:LU16)),"")</f>
        <v>4</v>
      </c>
      <c r="LW16" s="186" t="str">
        <f t="shared" si="77"/>
        <v>A</v>
      </c>
      <c r="LX16" s="172" t="s">
        <v>23</v>
      </c>
      <c r="LY16" s="107"/>
      <c r="LZ16" s="108" t="s">
        <v>24</v>
      </c>
      <c r="MA16" s="185">
        <f>IFERROR((((COUNTIF('Elève (6ème3)'!LX16:LZ16,"A"))*4)+((COUNTIF('Elève (6ème3)'!LX16:LZ16,"B"))*3)+((COUNTIF('Elève (6ème3)'!LX16:LZ16,"C"))*2)+((COUNTIF('Elève (6ème3)'!LX16:LZ16,"D"))*1))/(COUNTA(LX16:LZ16)),"")</f>
        <v>3.5</v>
      </c>
      <c r="MB16" s="186" t="str">
        <f t="shared" si="78"/>
        <v>B</v>
      </c>
      <c r="MC16" s="185">
        <f>IF(COUNT(LQ16,LV16,MA16)=0,"",SUM(LQ16,LV16,MA16)/COUNT(LQ16,LV16,MA16))</f>
        <v>3.75</v>
      </c>
      <c r="MD16" s="208" t="str">
        <f t="shared" si="79"/>
        <v>A</v>
      </c>
      <c r="ME16" s="217"/>
      <c r="MF16" s="107"/>
      <c r="MG16" s="108"/>
      <c r="MH16" s="185" t="str">
        <f>IFERROR((((COUNTIF('Elève (6ème3)'!ME16:MG16,"A"))*4)+((COUNTIF('Elève (6ème3)'!ME16:MG16,"B"))*3)+((COUNTIF('Elève (6ème3)'!ME16:MG16,"C"))*2)+((COUNTIF('Elève (6ème3)'!ME16:MG16,"D"))*1))/(COUNTA(ME16:MG16)),"")</f>
        <v/>
      </c>
      <c r="MI16" s="186" t="str">
        <f t="shared" si="80"/>
        <v/>
      </c>
      <c r="MJ16" s="172"/>
      <c r="MK16" s="107" t="s">
        <v>23</v>
      </c>
      <c r="ML16" s="108"/>
      <c r="MM16" s="185">
        <f>IFERROR((((COUNTIF('Elève (6ème3)'!MJ16:ML16,"A"))*4)+((COUNTIF('Elève (6ème3)'!MJ16:ML16,"B"))*3)+((COUNTIF('Elève (6ème3)'!MJ16:ML16,"C"))*2)+((COUNTIF('Elève (6ème3)'!MJ16:ML16,"D"))*1))/(COUNTA(MJ16:ML16)),"")</f>
        <v>4</v>
      </c>
      <c r="MN16" s="186" t="str">
        <f t="shared" si="81"/>
        <v>A</v>
      </c>
      <c r="MO16" s="172" t="s">
        <v>23</v>
      </c>
      <c r="MP16" s="107"/>
      <c r="MQ16" s="108" t="s">
        <v>24</v>
      </c>
      <c r="MR16" s="185">
        <f>IFERROR((((COUNTIF('Elève (6ème3)'!MO16:MQ16,"A"))*4)+((COUNTIF('Elève (6ème3)'!MO16:MQ16,"B"))*3)+((COUNTIF('Elève (6ème3)'!MO16:MQ16,"C"))*2)+((COUNTIF('Elève (6ème3)'!MO16:MQ16,"D"))*1))/(COUNTA(MO16:MQ16)),"")</f>
        <v>3.5</v>
      </c>
      <c r="MS16" s="186" t="str">
        <f t="shared" si="82"/>
        <v>B</v>
      </c>
      <c r="MT16" s="185">
        <f>IF(COUNT(MH16,MM16,MR16)=0,"",SUM(MH16,MM16,MR16)/COUNT(MH16,MM16,MR16))</f>
        <v>3.75</v>
      </c>
      <c r="MU16" s="208" t="str">
        <f t="shared" si="83"/>
        <v>A</v>
      </c>
      <c r="MV16" s="217"/>
      <c r="MW16" s="107"/>
      <c r="MX16" s="108"/>
      <c r="MY16" s="185" t="str">
        <f>IFERROR((((COUNTIF('Elève (6ème3)'!MV16:MX16,"A"))*4)+((COUNTIF('Elève (6ème3)'!MV16:MX16,"B"))*3)+((COUNTIF('Elève (6ème3)'!MV16:MX16,"C"))*2)+((COUNTIF('Elève (6ème3)'!MV16:MX16,"D"))*1))/(COUNTA(MV16:MX16)),"")</f>
        <v/>
      </c>
      <c r="MZ16" s="186" t="str">
        <f t="shared" si="84"/>
        <v/>
      </c>
      <c r="NA16" s="172"/>
      <c r="NB16" s="107" t="s">
        <v>23</v>
      </c>
      <c r="NC16" s="108"/>
      <c r="ND16" s="185">
        <f>IFERROR((((COUNTIF('Elève (6ème3)'!NA16:NC16,"A"))*4)+((COUNTIF('Elève (6ème3)'!NA16:NC16,"B"))*3)+((COUNTIF('Elève (6ème3)'!NA16:NC16,"C"))*2)+((COUNTIF('Elève (6ème3)'!NA16:NC16,"D"))*1))/(COUNTA(NA16:NC16)),"")</f>
        <v>4</v>
      </c>
      <c r="NE16" s="186" t="str">
        <f t="shared" si="85"/>
        <v>A</v>
      </c>
      <c r="NF16" s="172" t="s">
        <v>24</v>
      </c>
      <c r="NG16" s="107"/>
      <c r="NH16" s="108" t="s">
        <v>24</v>
      </c>
      <c r="NI16" s="185">
        <f>IFERROR((((COUNTIF('Elève (6ème3)'!NF16:NH16,"A"))*4)+((COUNTIF('Elève (6ème3)'!NF16:NH16,"B"))*3)+((COUNTIF('Elève (6ème3)'!NF16:NH16,"C"))*2)+((COUNTIF('Elève (6ème3)'!NF16:NH16,"D"))*1))/(COUNTA(NF16:NH16)),"")</f>
        <v>3</v>
      </c>
      <c r="NJ16" s="186" t="str">
        <f t="shared" si="86"/>
        <v>B</v>
      </c>
      <c r="NK16" s="185">
        <f>IF(COUNT(MY16,ND16,NI16)=0,"",SUM(MY16,ND16,NI16)/COUNT(MY16,ND16,NI16))</f>
        <v>3.5</v>
      </c>
      <c r="NL16" s="208" t="str">
        <f t="shared" si="87"/>
        <v>B</v>
      </c>
      <c r="NM16" s="217"/>
      <c r="NN16" s="107"/>
      <c r="NO16" s="108"/>
      <c r="NP16" s="185" t="str">
        <f>IFERROR((((COUNTIF('Elève (6ème3)'!NM16:NO16,"A"))*4)+((COUNTIF('Elève (6ème3)'!NM16:NO16,"B"))*3)+((COUNTIF('Elève (6ème3)'!NM16:NO16,"C"))*2)+((COUNTIF('Elève (6ème3)'!NM16:NO16,"D"))*1))/(COUNTA(NM16:NO16)),"")</f>
        <v/>
      </c>
      <c r="NQ16" s="186" t="str">
        <f t="shared" si="88"/>
        <v/>
      </c>
      <c r="NR16" s="172"/>
      <c r="NS16" s="107" t="s">
        <v>23</v>
      </c>
      <c r="NT16" s="108"/>
      <c r="NU16" s="185">
        <f>IFERROR((((COUNTIF('Elève (6ème3)'!NR16:NT16,"A"))*4)+((COUNTIF('Elève (6ème3)'!NR16:NT16,"B"))*3)+((COUNTIF('Elève (6ème3)'!NR16:NT16,"C"))*2)+((COUNTIF('Elève (6ème3)'!NR16:NT16,"D"))*1))/(COUNTA(NR16:NT16)),"")</f>
        <v>4</v>
      </c>
      <c r="NV16" s="186" t="str">
        <f t="shared" si="89"/>
        <v>A</v>
      </c>
      <c r="NW16" s="172" t="s">
        <v>23</v>
      </c>
      <c r="NX16" s="107"/>
      <c r="NY16" s="108" t="s">
        <v>24</v>
      </c>
      <c r="NZ16" s="185">
        <f>IFERROR((((COUNTIF('Elève (6ème3)'!NW16:NY16,"A"))*4)+((COUNTIF('Elève (6ème3)'!NW16:NY16,"B"))*3)+((COUNTIF('Elève (6ème3)'!NW16:NY16,"C"))*2)+((COUNTIF('Elève (6ème3)'!NW16:NY16,"D"))*1))/(COUNTA(NW16:NY16)),"")</f>
        <v>3.5</v>
      </c>
      <c r="OA16" s="186" t="str">
        <f t="shared" si="90"/>
        <v>B</v>
      </c>
      <c r="OB16" s="185">
        <f>IF(COUNT(NP16,NU16,NZ16)=0,"",SUM(NP16,NU16,NZ16)/COUNT(NP16,NU16,NZ16))</f>
        <v>3.75</v>
      </c>
      <c r="OC16" s="208" t="str">
        <f t="shared" si="91"/>
        <v>A</v>
      </c>
      <c r="OD16" s="217"/>
      <c r="OE16" s="107"/>
      <c r="OF16" s="108"/>
      <c r="OG16" s="185" t="str">
        <f>IFERROR((((COUNTIF('Elève (6ème3)'!OD16:OF16,"A"))*4)+((COUNTIF('Elève (6ème3)'!OD16:OF16,"B"))*3)+((COUNTIF('Elève (6ème3)'!OD16:OF16,"C"))*2)+((COUNTIF('Elève (6ème3)'!OD16:OF16,"D"))*1))/(COUNTA(OD16:OF16)),"")</f>
        <v/>
      </c>
      <c r="OH16" s="186" t="str">
        <f t="shared" si="92"/>
        <v/>
      </c>
      <c r="OI16" s="172"/>
      <c r="OJ16" s="107" t="s">
        <v>23</v>
      </c>
      <c r="OK16" s="108"/>
      <c r="OL16" s="185">
        <f>IFERROR((((COUNTIF('Elève (6ème3)'!OI16:OK16,"A"))*4)+((COUNTIF('Elève (6ème3)'!OI16:OK16,"B"))*3)+((COUNTIF('Elève (6ème3)'!OI16:OK16,"C"))*2)+((COUNTIF('Elève (6ème3)'!OI16:OK16,"D"))*1))/(COUNTA(OI16:OK16)),"")</f>
        <v>4</v>
      </c>
      <c r="OM16" s="186" t="str">
        <f t="shared" si="93"/>
        <v>A</v>
      </c>
      <c r="ON16" s="172" t="s">
        <v>23</v>
      </c>
      <c r="OO16" s="107"/>
      <c r="OP16" s="108" t="s">
        <v>26</v>
      </c>
      <c r="OQ16" s="185">
        <f>IFERROR((((COUNTIF('Elève (6ème3)'!ON16:OP16,"A"))*4)+((COUNTIF('Elève (6ème3)'!ON16:OP16,"B"))*3)+((COUNTIF('Elève (6ème3)'!ON16:OP16,"C"))*2)+((COUNTIF('Elève (6ème3)'!ON16:OP16,"D"))*1))/(COUNTA(ON16:OP16)),"")</f>
        <v>2.5</v>
      </c>
      <c r="OR16" s="186" t="str">
        <f t="shared" si="94"/>
        <v>C</v>
      </c>
      <c r="OS16" s="185">
        <f>IF(COUNT(OG16,OL16,OQ16)=0,"",SUM(OG16,OL16,OQ16)/COUNT(OG16,OL16,OQ16))</f>
        <v>3.25</v>
      </c>
      <c r="OT16" s="208" t="str">
        <f t="shared" si="95"/>
        <v>B</v>
      </c>
      <c r="OU16" s="217"/>
      <c r="OV16" s="107"/>
      <c r="OW16" s="108"/>
      <c r="OX16" s="185" t="str">
        <f>IFERROR((((COUNTIF('Elève (6ème3)'!OU16:OW16,"A"))*4)+((COUNTIF('Elève (6ème3)'!OU16:OW16,"B"))*3)+((COUNTIF('Elève (6ème3)'!OU16:OW16,"C"))*2)+((COUNTIF('Elève (6ème3)'!OU16:OW16,"D"))*1))/(COUNTA(OU16:OW16)),"")</f>
        <v/>
      </c>
      <c r="OY16" s="186" t="str">
        <f t="shared" si="96"/>
        <v/>
      </c>
      <c r="OZ16" s="172"/>
      <c r="PA16" s="107" t="s">
        <v>23</v>
      </c>
      <c r="PB16" s="108"/>
      <c r="PC16" s="185">
        <f>IFERROR((((COUNTIF('Elève (6ème3)'!OZ16:PB16,"A"))*4)+((COUNTIF('Elève (6ème3)'!OZ16:PB16,"B"))*3)+((COUNTIF('Elève (6ème3)'!OZ16:PB16,"C"))*2)+((COUNTIF('Elève (6ème3)'!OZ16:PB16,"D"))*1))/(COUNTA(OZ16:PB16)),"")</f>
        <v>4</v>
      </c>
      <c r="PD16" s="186" t="str">
        <f t="shared" si="97"/>
        <v>A</v>
      </c>
      <c r="PE16" s="172" t="s">
        <v>25</v>
      </c>
      <c r="PF16" s="107"/>
      <c r="PG16" s="108" t="s">
        <v>24</v>
      </c>
      <c r="PH16" s="185">
        <f>IFERROR((((COUNTIF('Elève (6ème3)'!PE16:PG16,"A"))*4)+((COUNTIF('Elève (6ème3)'!PE16:PG16,"B"))*3)+((COUNTIF('Elève (6ème3)'!PE16:PG16,"C"))*2)+((COUNTIF('Elève (6ème3)'!PE16:PG16,"D"))*1))/(COUNTA(PE16:PG16)),"")</f>
        <v>2.5</v>
      </c>
      <c r="PI16" s="186" t="str">
        <f t="shared" si="98"/>
        <v>C</v>
      </c>
      <c r="PJ16" s="185">
        <f>IF(COUNT(OX16,PC16,PH16)=0,"",SUM(OX16,PC16,PH16)/COUNT(OX16,PC16,PH16))</f>
        <v>3.25</v>
      </c>
      <c r="PK16" s="208" t="str">
        <f t="shared" si="99"/>
        <v>B</v>
      </c>
      <c r="PL16" s="217"/>
      <c r="PM16" s="107"/>
      <c r="PN16" s="108"/>
      <c r="PO16" s="185" t="str">
        <f>IFERROR((((COUNTIF('Elève (6ème3)'!PL16:PN16,"A"))*4)+((COUNTIF('Elève (6ème3)'!PL16:PN16,"B"))*3)+((COUNTIF('Elève (6ème3)'!PL16:PN16,"C"))*2)+((COUNTIF('Elève (6ème3)'!PL16:PN16,"D"))*1))/(COUNTA(PL16:PN16)),"")</f>
        <v/>
      </c>
      <c r="PP16" s="186" t="str">
        <f t="shared" si="100"/>
        <v/>
      </c>
      <c r="PQ16" s="172"/>
      <c r="PR16" s="107" t="s">
        <v>23</v>
      </c>
      <c r="PS16" s="108"/>
      <c r="PT16" s="185">
        <f>IFERROR((((COUNTIF('Elève (6ème3)'!PQ16:PS16,"A"))*4)+((COUNTIF('Elève (6ème3)'!PQ16:PS16,"B"))*3)+((COUNTIF('Elève (6ème3)'!PQ16:PS16,"C"))*2)+((COUNTIF('Elève (6ème3)'!PQ16:PS16,"D"))*1))/(COUNTA(PQ16:PS16)),"")</f>
        <v>4</v>
      </c>
      <c r="PU16" s="186" t="str">
        <f t="shared" si="101"/>
        <v>A</v>
      </c>
      <c r="PV16" s="172" t="s">
        <v>24</v>
      </c>
      <c r="PW16" s="107"/>
      <c r="PX16" s="108" t="s">
        <v>24</v>
      </c>
      <c r="PY16" s="185">
        <f>IFERROR((((COUNTIF('Elève (6ème3)'!PV16:PX16,"A"))*4)+((COUNTIF('Elève (6ème3)'!PV16:PX16,"B"))*3)+((COUNTIF('Elève (6ème3)'!PV16:PX16,"C"))*2)+((COUNTIF('Elève (6ème3)'!PV16:PX16,"D"))*1))/(COUNTA(PV16:PX16)),"")</f>
        <v>3</v>
      </c>
      <c r="PZ16" s="186" t="str">
        <f t="shared" si="102"/>
        <v>B</v>
      </c>
      <c r="QA16" s="185">
        <f>IF(COUNT(PO16,PT16,PY16)=0,"",SUM(PO16,PT16,PY16)/COUNT(PO16,PT16,PY16))</f>
        <v>3.5</v>
      </c>
      <c r="QB16" s="208" t="str">
        <f t="shared" si="103"/>
        <v>B</v>
      </c>
      <c r="QC16" s="217"/>
      <c r="QD16" s="107"/>
      <c r="QE16" s="108"/>
      <c r="QF16" s="185" t="str">
        <f>IFERROR((((COUNTIF('Elève (6ème3)'!QC16:QE16,"A"))*4)+((COUNTIF('Elève (6ème3)'!QC16:QE16,"B"))*3)+((COUNTIF('Elève (6ème3)'!QC16:QE16,"C"))*2)+((COUNTIF('Elève (6ème3)'!QC16:QE16,"D"))*1))/(COUNTA(QC16:QE16)),"")</f>
        <v/>
      </c>
      <c r="QG16" s="186" t="str">
        <f t="shared" si="104"/>
        <v/>
      </c>
      <c r="QH16" s="172"/>
      <c r="QI16" s="107" t="s">
        <v>24</v>
      </c>
      <c r="QJ16" s="108"/>
      <c r="QK16" s="185">
        <f>IFERROR((((COUNTIF('Elève (6ème3)'!QH16:QJ16,"A"))*4)+((COUNTIF('Elève (6ème3)'!QH16:QJ16,"B"))*3)+((COUNTIF('Elève (6ème3)'!QH16:QJ16,"C"))*2)+((COUNTIF('Elève (6ème3)'!QH16:QJ16,"D"))*1))/(COUNTA(QH16:QJ16)),"")</f>
        <v>3</v>
      </c>
      <c r="QL16" s="186" t="str">
        <f t="shared" si="105"/>
        <v>B</v>
      </c>
      <c r="QM16" s="172" t="s">
        <v>25</v>
      </c>
      <c r="QN16" s="107"/>
      <c r="QO16" s="108" t="s">
        <v>24</v>
      </c>
      <c r="QP16" s="185">
        <f>IFERROR((((COUNTIF('Elève (6ème3)'!QM16:QO16,"A"))*4)+((COUNTIF('Elève (6ème3)'!QM16:QO16,"B"))*3)+((COUNTIF('Elève (6ème3)'!QM16:QO16,"C"))*2)+((COUNTIF('Elève (6ème3)'!QM16:QO16,"D"))*1))/(COUNTA(QM16:QO16)),"")</f>
        <v>2.5</v>
      </c>
      <c r="QQ16" s="186" t="str">
        <f t="shared" si="106"/>
        <v>C</v>
      </c>
      <c r="QR16" s="185">
        <f>IF(COUNT(QF16,QK16,QP16)=0,"",SUM(QF16,QK16,QP16)/COUNT(QF16,QK16,QP16))</f>
        <v>2.75</v>
      </c>
      <c r="QS16" s="208" t="str">
        <f t="shared" si="107"/>
        <v>C</v>
      </c>
      <c r="QT16" s="112"/>
      <c r="QU16" s="107"/>
      <c r="QV16" s="108"/>
      <c r="QW16" s="109" t="str">
        <f>IFERROR((((COUNTIF('Elève (6ème3)'!QT16:QV16,"A"))*4)+((COUNTIF('Elève (6ème3)'!QT16:QV16,"B"))*3)+((COUNTIF('Elève (6ème3)'!QT16:QV16,"C"))*2)+((COUNTIF('Elève (6ème3)'!QT16:QV16,"D"))*1))/(COUNTA(QT16:QV16)),"")</f>
        <v/>
      </c>
      <c r="QX16" s="110" t="str">
        <f t="shared" si="108"/>
        <v/>
      </c>
      <c r="QY16" s="106"/>
      <c r="QZ16" s="107"/>
      <c r="RA16" s="108"/>
      <c r="RB16" s="109" t="str">
        <f>IFERROR((((COUNTIF('Elève (6ème3)'!QY16:RA16,"A"))*4)+((COUNTIF('Elève (6ème3)'!QY16:RA16,"B"))*3)+((COUNTIF('Elève (6ème3)'!QY16:RA16,"C"))*2)+((COUNTIF('Elève (6ème3)'!QY16:RA16,"D"))*1))/(COUNTA(QY16:RA16)),"")</f>
        <v/>
      </c>
      <c r="RC16" s="110" t="str">
        <f t="shared" si="109"/>
        <v/>
      </c>
      <c r="RD16" s="106"/>
      <c r="RE16" s="107"/>
      <c r="RF16" s="108"/>
      <c r="RG16" s="109" t="str">
        <f>IFERROR((((COUNTIF('Elève (6ème3)'!RD16:RF16,"A"))*4)+((COUNTIF('Elève (6ème3)'!RD16:RF16,"B"))*3)+((COUNTIF('Elève (6ème3)'!RD16:RF16,"C"))*2)+((COUNTIF('Elève (6ème3)'!RD16:RF16,"D"))*1))/(COUNTA(RD16:RF16)),"")</f>
        <v/>
      </c>
      <c r="RH16" s="110" t="str">
        <f t="shared" si="110"/>
        <v/>
      </c>
      <c r="RI16" s="109" t="str">
        <f>IF(COUNT(QW16,RB16,RG16)=0,"",SUM(QW16,RB16,RG16)/COUNT(QW16,RB16,RG16))</f>
        <v/>
      </c>
      <c r="RJ16" s="111" t="str">
        <f t="shared" si="111"/>
        <v/>
      </c>
      <c r="RK16" s="112"/>
      <c r="RL16" s="107"/>
      <c r="RM16" s="108"/>
      <c r="RN16" s="109" t="str">
        <f>IFERROR((((COUNTIF('Elève (6ème3)'!RK16:RM16,"A"))*4)+((COUNTIF('Elève (6ème3)'!RK16:RM16,"B"))*3)+((COUNTIF('Elève (6ème3)'!RK16:RM16,"C"))*2)+((COUNTIF('Elève (6ème3)'!RK16:RM16,"D"))*1))/(COUNTA(RK16:RM16)),"")</f>
        <v/>
      </c>
      <c r="RO16" s="110" t="str">
        <f t="shared" si="112"/>
        <v/>
      </c>
      <c r="RP16" s="106"/>
      <c r="RQ16" s="107"/>
      <c r="RR16" s="108"/>
      <c r="RS16" s="109" t="str">
        <f>IFERROR((((COUNTIF('Elève (6ème3)'!RP16:RR16,"A"))*4)+((COUNTIF('Elève (6ème3)'!RP16:RR16,"B"))*3)+((COUNTIF('Elève (6ème3)'!RP16:RR16,"C"))*2)+((COUNTIF('Elève (6ème3)'!RP16:RR16,"D"))*1))/(COUNTA(RP16:RR16)),"")</f>
        <v/>
      </c>
      <c r="RT16" s="110" t="str">
        <f t="shared" si="113"/>
        <v/>
      </c>
      <c r="RU16" s="106"/>
      <c r="RV16" s="107"/>
      <c r="RW16" s="108"/>
      <c r="RX16" s="109" t="str">
        <f>IFERROR((((COUNTIF('Elève (6ème3)'!RU16:RW16,"A"))*4)+((COUNTIF('Elève (6ème3)'!RU16:RW16,"B"))*3)+((COUNTIF('Elève (6ème3)'!RU16:RW16,"C"))*2)+((COUNTIF('Elève (6ème3)'!RU16:RW16,"D"))*1))/(COUNTA(RU16:RW16)),"")</f>
        <v/>
      </c>
      <c r="RY16" s="110" t="str">
        <f t="shared" si="114"/>
        <v/>
      </c>
      <c r="RZ16" s="109" t="str">
        <f>IF(COUNT(RN16,RS16,RX16)=0,"",SUM(RN16,RS16,RX16)/COUNT(RN16,RS16,RX16))</f>
        <v/>
      </c>
      <c r="SA16" s="111" t="str">
        <f t="shared" si="115"/>
        <v/>
      </c>
      <c r="SB16" s="112"/>
      <c r="SC16" s="107"/>
      <c r="SD16" s="108"/>
      <c r="SE16" s="109" t="str">
        <f>IFERROR((((COUNTIF('Elève (6ème3)'!SB16:SD16,"A"))*4)+((COUNTIF('Elève (6ème3)'!SB16:SD16,"B"))*3)+((COUNTIF('Elève (6ème3)'!SB16:SD16,"C"))*2)+((COUNTIF('Elève (6ème3)'!SB16:SD16,"D"))*1))/(COUNTA(SB16:SD16)),"")</f>
        <v/>
      </c>
      <c r="SF16" s="110" t="str">
        <f t="shared" si="116"/>
        <v/>
      </c>
      <c r="SG16" s="106"/>
      <c r="SH16" s="107"/>
      <c r="SI16" s="108"/>
      <c r="SJ16" s="109" t="str">
        <f>IFERROR((((COUNTIF('Elève (6ème3)'!SG16:SI16,"A"))*4)+((COUNTIF('Elève (6ème3)'!SG16:SI16,"B"))*3)+((COUNTIF('Elève (6ème3)'!SG16:SI16,"C"))*2)+((COUNTIF('Elève (6ème3)'!SG16:SI16,"D"))*1))/(COUNTA(SG16:SI16)),"")</f>
        <v/>
      </c>
      <c r="SK16" s="110" t="str">
        <f t="shared" si="117"/>
        <v/>
      </c>
      <c r="SL16" s="106"/>
      <c r="SM16" s="107"/>
      <c r="SN16" s="108"/>
      <c r="SO16" s="109" t="str">
        <f>IFERROR((((COUNTIF('Elève (6ème3)'!SL16:SN16,"A"))*4)+((COUNTIF('Elève (6ème3)'!SL16:SN16,"B"))*3)+((COUNTIF('Elève (6ème3)'!SL16:SN16,"C"))*2)+((COUNTIF('Elève (6ème3)'!SL16:SN16,"D"))*1))/(COUNTA(SL16:SN16)),"")</f>
        <v/>
      </c>
      <c r="SP16" s="110" t="str">
        <f t="shared" si="118"/>
        <v/>
      </c>
      <c r="SQ16" s="109" t="str">
        <f>IF(COUNT(SE16,SJ16,SO16)=0,"",SUM(SE16,SJ16,SO16)/COUNT(SE16,SJ16,SO16))</f>
        <v/>
      </c>
      <c r="SR16" s="111" t="str">
        <f t="shared" si="119"/>
        <v/>
      </c>
      <c r="SS16" s="112"/>
      <c r="ST16" s="107"/>
      <c r="SU16" s="108"/>
      <c r="SV16" s="109" t="str">
        <f>IFERROR((((COUNTIF('Elève (6ème3)'!SS16:SU16,"A"))*4)+((COUNTIF('Elève (6ème3)'!SS16:SU16,"B"))*3)+((COUNTIF('Elève (6ème3)'!SS16:SU16,"C"))*2)+((COUNTIF('Elève (6ème3)'!SS16:SU16,"D"))*1))/(COUNTA(SS16:SU16)),"")</f>
        <v/>
      </c>
      <c r="SW16" s="110" t="str">
        <f t="shared" si="120"/>
        <v/>
      </c>
      <c r="SX16" s="106"/>
      <c r="SY16" s="107"/>
      <c r="SZ16" s="108"/>
      <c r="TA16" s="109" t="str">
        <f>IFERROR((((COUNTIF('Elève (6ème3)'!SX16:SZ16,"A"))*4)+((COUNTIF('Elève (6ème3)'!SX16:SZ16,"B"))*3)+((COUNTIF('Elève (6ème3)'!SX16:SZ16,"C"))*2)+((COUNTIF('Elève (6ème3)'!SX16:SZ16,"D"))*1))/(COUNTA(SX16:SZ16)),"")</f>
        <v/>
      </c>
      <c r="TB16" s="110" t="str">
        <f t="shared" si="121"/>
        <v/>
      </c>
      <c r="TC16" s="106"/>
      <c r="TD16" s="107"/>
      <c r="TE16" s="108"/>
      <c r="TF16" s="109" t="str">
        <f>IFERROR((((COUNTIF('Elève (6ème3)'!TC16:TE16,"A"))*4)+((COUNTIF('Elève (6ème3)'!TC16:TE16,"B"))*3)+((COUNTIF('Elève (6ème3)'!TC16:TE16,"C"))*2)+((COUNTIF('Elève (6ème3)'!TC16:TE16,"D"))*1))/(COUNTA(TC16:TE16)),"")</f>
        <v/>
      </c>
      <c r="TG16" s="110" t="str">
        <f t="shared" si="122"/>
        <v/>
      </c>
      <c r="TH16" s="109" t="str">
        <f>IF(COUNT(SV16,TA16,TF16)=0,"",SUM(SV16,TA16,TF16)/COUNT(SV16,TA16,TF16))</f>
        <v/>
      </c>
      <c r="TI16" s="111" t="str">
        <f t="shared" si="123"/>
        <v/>
      </c>
      <c r="TJ16" s="112"/>
      <c r="TK16" s="107"/>
      <c r="TL16" s="108"/>
      <c r="TM16" s="109" t="str">
        <f>IFERROR((((COUNTIF('Elève (6ème3)'!TJ16:TL16,"A"))*4)+((COUNTIF('Elève (6ème3)'!TJ16:TL16,"B"))*3)+((COUNTIF('Elève (6ème3)'!TJ16:TL16,"C"))*2)+((COUNTIF('Elève (6ème3)'!TJ16:TL16,"D"))*1))/(COUNTA(TJ16:TL16)),"")</f>
        <v/>
      </c>
      <c r="TN16" s="110" t="str">
        <f t="shared" si="124"/>
        <v/>
      </c>
      <c r="TO16" s="106"/>
      <c r="TP16" s="107"/>
      <c r="TQ16" s="108"/>
      <c r="TR16" s="109" t="str">
        <f>IFERROR((((COUNTIF('Elève (6ème3)'!TO16:TQ16,"A"))*4)+((COUNTIF('Elève (6ème3)'!TO16:TQ16,"B"))*3)+((COUNTIF('Elève (6ème3)'!TO16:TQ16,"C"))*2)+((COUNTIF('Elève (6ème3)'!TO16:TQ16,"D"))*1))/(COUNTA(TO16:TQ16)),"")</f>
        <v/>
      </c>
      <c r="TS16" s="110" t="str">
        <f t="shared" si="125"/>
        <v/>
      </c>
      <c r="TT16" s="106"/>
      <c r="TU16" s="107"/>
      <c r="TV16" s="108"/>
      <c r="TW16" s="109" t="str">
        <f>IFERROR((((COUNTIF('Elève (6ème3)'!TT16:TV16,"A"))*4)+((COUNTIF('Elève (6ème3)'!TT16:TV16,"B"))*3)+((COUNTIF('Elève (6ème3)'!TT16:TV16,"C"))*2)+((COUNTIF('Elève (6ème3)'!TT16:TV16,"D"))*1))/(COUNTA(TT16:TV16)),"")</f>
        <v/>
      </c>
      <c r="TX16" s="110" t="str">
        <f t="shared" si="126"/>
        <v/>
      </c>
      <c r="TY16" s="109" t="str">
        <f>IF(COUNT(TM16,TR16,TW16)=0,"",SUM(TM16,TR16,TW16)/COUNT(TM16,TR16,TW16))</f>
        <v/>
      </c>
      <c r="TZ16" s="111" t="str">
        <f t="shared" si="127"/>
        <v/>
      </c>
    </row>
    <row r="17" spans="1:546" ht="15.75" thickBot="1" x14ac:dyDescent="0.3">
      <c r="A17" s="242" t="s">
        <v>20</v>
      </c>
      <c r="B17" s="243"/>
      <c r="C17" s="120"/>
      <c r="D17" s="121"/>
      <c r="E17" s="122"/>
      <c r="F17" s="188" t="str">
        <f>IFERROR((((COUNTIF('Elève (6ème3)'!C17:E17,"A"))*4)+((COUNTIF('Elève (6ème3)'!C17:E17,"B"))*3)+((COUNTIF('Elève (6ème3)'!C17:E17,"C"))*2)+((COUNTIF('Elève (6ème3)'!C17:E17,"D"))*1))/(COUNTA(C17:E17)),"")</f>
        <v/>
      </c>
      <c r="G17" s="187" t="str">
        <f t="shared" si="0"/>
        <v/>
      </c>
      <c r="H17" s="120"/>
      <c r="I17" s="121"/>
      <c r="J17" s="122"/>
      <c r="K17" s="188" t="str">
        <f>IFERROR((((COUNTIF('Elève (6ème3)'!H17:J17,"A"))*4)+((COUNTIF('Elève (6ème3)'!H17:J17,"B"))*3)+((COUNTIF('Elève (6ème3)'!H17:J17,"C"))*2)+((COUNTIF('Elève (6ème3)'!H17:J17,"D"))*1))/(COUNTA(H17:J17)),"")</f>
        <v/>
      </c>
      <c r="L17" s="187" t="str">
        <f t="shared" si="1"/>
        <v/>
      </c>
      <c r="M17" s="120" t="s">
        <v>24</v>
      </c>
      <c r="N17" s="121"/>
      <c r="O17" s="122" t="s">
        <v>26</v>
      </c>
      <c r="P17" s="188">
        <f>IFERROR((((COUNTIF('Elève (6ème3)'!M17:O17,"A"))*4)+((COUNTIF('Elève (6ème3)'!M17:O17,"B"))*3)+((COUNTIF('Elève (6ème3)'!M17:O17,"C"))*2)+((COUNTIF('Elève (6ème3)'!M17:O17,"D"))*1))/(COUNTA(M17:O17)),"")</f>
        <v>2</v>
      </c>
      <c r="Q17" s="187" t="str">
        <f t="shared" si="2"/>
        <v>C</v>
      </c>
      <c r="R17" s="188">
        <f>IF(COUNT(F17,K17,P17)=0,"",SUM(F17,K17,P17)/COUNT(F17,K17,P17))</f>
        <v>2</v>
      </c>
      <c r="S17" s="212" t="str">
        <f t="shared" si="3"/>
        <v>C</v>
      </c>
      <c r="T17" s="125"/>
      <c r="U17" s="121"/>
      <c r="V17" s="122"/>
      <c r="W17" s="188" t="str">
        <f>IFERROR((((COUNTIF('Elève (6ème3)'!T17:V17,"A"))*4)+((COUNTIF('Elève (6ème3)'!T17:V17,"B"))*3)+((COUNTIF('Elève (6ème3)'!T17:V17,"C"))*2)+((COUNTIF('Elève (6ème3)'!T17:V17,"D"))*1))/(COUNTA(T17:V17)),"")</f>
        <v/>
      </c>
      <c r="X17" s="187" t="str">
        <f t="shared" si="4"/>
        <v/>
      </c>
      <c r="Y17" s="120"/>
      <c r="Z17" s="121"/>
      <c r="AA17" s="122"/>
      <c r="AB17" s="188" t="str">
        <f>IFERROR((((COUNTIF('Elève (6ème3)'!Y17:AA17,"A"))*4)+((COUNTIF('Elève (6ème3)'!Y17:AA17,"B"))*3)+((COUNTIF('Elève (6ème3)'!Y17:AA17,"C"))*2)+((COUNTIF('Elève (6ème3)'!Y17:AA17,"D"))*1))/(COUNTA(Y17:AA17)),"")</f>
        <v/>
      </c>
      <c r="AC17" s="187" t="str">
        <f t="shared" si="5"/>
        <v/>
      </c>
      <c r="AD17" s="120" t="s">
        <v>24</v>
      </c>
      <c r="AE17" s="121"/>
      <c r="AF17" s="122" t="s">
        <v>25</v>
      </c>
      <c r="AG17" s="188">
        <f>IFERROR((((COUNTIF('Elève (6ème3)'!AD17:AF17,"A"))*4)+((COUNTIF('Elève (6ème3)'!AD17:AF17,"B"))*3)+((COUNTIF('Elève (6ème3)'!AD17:AF17,"C"))*2)+((COUNTIF('Elève (6ème3)'!AD17:AF17,"D"))*1))/(COUNTA(AD17:AF17)),"")</f>
        <v>2.5</v>
      </c>
      <c r="AH17" s="187" t="str">
        <f t="shared" si="6"/>
        <v>C</v>
      </c>
      <c r="AI17" s="188">
        <f>IF(COUNT(W17,AB17,AG17)=0,"",SUM(W17,AB17,AG17)/COUNT(W17,AB17,AG17))</f>
        <v>2.5</v>
      </c>
      <c r="AJ17" s="212" t="str">
        <f t="shared" si="7"/>
        <v>C</v>
      </c>
      <c r="AK17" s="125"/>
      <c r="AL17" s="121"/>
      <c r="AM17" s="122"/>
      <c r="AN17" s="188" t="str">
        <f>IFERROR((((COUNTIF('Elève (6ème3)'!AK17:AM17,"A"))*4)+((COUNTIF('Elève (6ème3)'!AK17:AM17,"B"))*3)+((COUNTIF('Elève (6ème3)'!AK17:AM17,"C"))*2)+((COUNTIF('Elève (6ème3)'!AK17:AM17,"D"))*1))/(COUNTA(AK17:AM17)),"")</f>
        <v/>
      </c>
      <c r="AO17" s="187" t="str">
        <f t="shared" si="8"/>
        <v/>
      </c>
      <c r="AP17" s="120"/>
      <c r="AQ17" s="121"/>
      <c r="AR17" s="122"/>
      <c r="AS17" s="188" t="str">
        <f>IFERROR((((COUNTIF('Elève (6ème3)'!AP17:AR17,"A"))*4)+((COUNTIF('Elève (6ème3)'!AP17:AR17,"B"))*3)+((COUNTIF('Elève (6ème3)'!AP17:AR17,"C"))*2)+((COUNTIF('Elève (6ème3)'!AP17:AR17,"D"))*1))/(COUNTA(AP17:AR17)),"")</f>
        <v/>
      </c>
      <c r="AT17" s="187" t="str">
        <f t="shared" si="9"/>
        <v/>
      </c>
      <c r="AU17" s="120" t="s">
        <v>24</v>
      </c>
      <c r="AV17" s="121"/>
      <c r="AW17" s="122" t="s">
        <v>25</v>
      </c>
      <c r="AX17" s="188">
        <f>IFERROR((((COUNTIF('Elève (6ème3)'!AU17:AW17,"A"))*4)+((COUNTIF('Elève (6ème3)'!AU17:AW17,"B"))*3)+((COUNTIF('Elève (6ème3)'!AU17:AW17,"C"))*2)+((COUNTIF('Elève (6ème3)'!AU17:AW17,"D"))*1))/(COUNTA(AU17:AW17)),"")</f>
        <v>2.5</v>
      </c>
      <c r="AY17" s="187" t="str">
        <f t="shared" si="10"/>
        <v>C</v>
      </c>
      <c r="AZ17" s="188">
        <f>IF(COUNT(AN17,AS17,AX17)=0,"",SUM(AN17,AS17,AX17)/COUNT(AN17,AS17,AX17))</f>
        <v>2.5</v>
      </c>
      <c r="BA17" s="212" t="str">
        <f t="shared" si="11"/>
        <v>C</v>
      </c>
      <c r="BB17" s="125"/>
      <c r="BC17" s="121"/>
      <c r="BD17" s="122"/>
      <c r="BE17" s="188" t="str">
        <f>IFERROR((((COUNTIF('Elève (6ème3)'!BB17:BD17,"A"))*4)+((COUNTIF('Elève (6ème3)'!BB17:BD17,"B"))*3)+((COUNTIF('Elève (6ème3)'!BB17:BD17,"C"))*2)+((COUNTIF('Elève (6ème3)'!BB17:BD17,"D"))*1))/(COUNTA(BB17:BD17)),"")</f>
        <v/>
      </c>
      <c r="BF17" s="187" t="str">
        <f t="shared" si="12"/>
        <v/>
      </c>
      <c r="BG17" s="120"/>
      <c r="BH17" s="121"/>
      <c r="BI17" s="122"/>
      <c r="BJ17" s="188" t="str">
        <f>IFERROR((((COUNTIF('Elève (6ème3)'!BG17:BI17,"A"))*4)+((COUNTIF('Elève (6ème3)'!BG17:BI17,"B"))*3)+((COUNTIF('Elève (6ème3)'!BG17:BI17,"C"))*2)+((COUNTIF('Elève (6ème3)'!BG17:BI17,"D"))*1))/(COUNTA(BG17:BI17)),"")</f>
        <v/>
      </c>
      <c r="BK17" s="187" t="str">
        <f t="shared" si="13"/>
        <v/>
      </c>
      <c r="BL17" s="120" t="s">
        <v>24</v>
      </c>
      <c r="BM17" s="121"/>
      <c r="BN17" s="122" t="s">
        <v>26</v>
      </c>
      <c r="BO17" s="188">
        <f>IFERROR((((COUNTIF('Elève (6ème3)'!BL17:BN17,"A"))*4)+((COUNTIF('Elève (6ème3)'!BL17:BN17,"B"))*3)+((COUNTIF('Elève (6ème3)'!BL17:BN17,"C"))*2)+((COUNTIF('Elève (6ème3)'!BL17:BN17,"D"))*1))/(COUNTA(BL17:BN17)),"")</f>
        <v>2</v>
      </c>
      <c r="BP17" s="187" t="str">
        <f t="shared" si="14"/>
        <v>C</v>
      </c>
      <c r="BQ17" s="188">
        <f>IF(COUNT(BE17,BJ17,BO17)=0,"",SUM(BE17,BJ17,BO17)/COUNT(BE17,BJ17,BO17))</f>
        <v>2</v>
      </c>
      <c r="BR17" s="212" t="str">
        <f t="shared" si="15"/>
        <v>C</v>
      </c>
      <c r="BS17" s="125"/>
      <c r="BT17" s="121"/>
      <c r="BU17" s="122"/>
      <c r="BV17" s="188" t="str">
        <f>IFERROR((((COUNTIF('Elève (6ème3)'!BS17:BU17,"A"))*4)+((COUNTIF('Elève (6ème3)'!BS17:BU17,"B"))*3)+((COUNTIF('Elève (6ème3)'!BS17:BU17,"C"))*2)+((COUNTIF('Elève (6ème3)'!BS17:BU17,"D"))*1))/(COUNTA(BS17:BU17)),"")</f>
        <v/>
      </c>
      <c r="BW17" s="187" t="str">
        <f t="shared" si="16"/>
        <v/>
      </c>
      <c r="BX17" s="120"/>
      <c r="BY17" s="121"/>
      <c r="BZ17" s="122"/>
      <c r="CA17" s="188" t="str">
        <f>IFERROR((((COUNTIF('Elève (6ème3)'!BX17:BZ17,"A"))*4)+((COUNTIF('Elève (6ème3)'!BX17:BZ17,"B"))*3)+((COUNTIF('Elève (6ème3)'!BX17:BZ17,"C"))*2)+((COUNTIF('Elève (6ème3)'!BX17:BZ17,"D"))*1))/(COUNTA(BX17:BZ17)),"")</f>
        <v/>
      </c>
      <c r="CB17" s="187" t="str">
        <f t="shared" si="17"/>
        <v/>
      </c>
      <c r="CC17" s="120" t="s">
        <v>24</v>
      </c>
      <c r="CD17" s="121"/>
      <c r="CE17" s="122" t="s">
        <v>25</v>
      </c>
      <c r="CF17" s="188">
        <f>IFERROR((((COUNTIF('Elève (6ème3)'!CC17:CE17,"A"))*4)+((COUNTIF('Elève (6ème3)'!CC17:CE17,"B"))*3)+((COUNTIF('Elève (6ème3)'!CC17:CE17,"C"))*2)+((COUNTIF('Elève (6ème3)'!CC17:CE17,"D"))*1))/(COUNTA(CC17:CE17)),"")</f>
        <v>2.5</v>
      </c>
      <c r="CG17" s="187" t="str">
        <f t="shared" si="18"/>
        <v>C</v>
      </c>
      <c r="CH17" s="188">
        <f>IF(COUNT(BV17,CA17,CF17)=0,"",SUM(BV17,CA17,CF17)/COUNT(BV17,CA17,CF17))</f>
        <v>2.5</v>
      </c>
      <c r="CI17" s="212" t="str">
        <f t="shared" si="19"/>
        <v>C</v>
      </c>
      <c r="CJ17" s="125"/>
      <c r="CK17" s="121"/>
      <c r="CL17" s="122"/>
      <c r="CM17" s="188" t="str">
        <f>IFERROR((((COUNTIF('Elève (6ème3)'!CJ17:CL17,"A"))*4)+((COUNTIF('Elève (6ème3)'!CJ17:CL17,"B"))*3)+((COUNTIF('Elève (6ème3)'!CJ17:CL17,"C"))*2)+((COUNTIF('Elève (6ème3)'!CJ17:CL17,"D"))*1))/(COUNTA(CJ17:CL17)),"")</f>
        <v/>
      </c>
      <c r="CN17" s="187" t="str">
        <f t="shared" si="20"/>
        <v/>
      </c>
      <c r="CO17" s="120"/>
      <c r="CP17" s="121"/>
      <c r="CQ17" s="122"/>
      <c r="CR17" s="188" t="str">
        <f>IFERROR((((COUNTIF('Elève (6ème3)'!CO17:CQ17,"A"))*4)+((COUNTIF('Elève (6ème3)'!CO17:CQ17,"B"))*3)+((COUNTIF('Elève (6ème3)'!CO17:CQ17,"C"))*2)+((COUNTIF('Elève (6ème3)'!CO17:CQ17,"D"))*1))/(COUNTA(CO17:CQ17)),"")</f>
        <v/>
      </c>
      <c r="CS17" s="187" t="str">
        <f t="shared" si="21"/>
        <v/>
      </c>
      <c r="CT17" s="120"/>
      <c r="CU17" s="121"/>
      <c r="CV17" s="122" t="s">
        <v>26</v>
      </c>
      <c r="CW17" s="188">
        <f>IFERROR((((COUNTIF('Elève (6ème3)'!CT17:CV17,"A"))*4)+((COUNTIF('Elève (6ème3)'!CT17:CV17,"B"))*3)+((COUNTIF('Elève (6ème3)'!CT17:CV17,"C"))*2)+((COUNTIF('Elève (6ème3)'!CT17:CV17,"D"))*1))/(COUNTA(CT17:CV17)),"")</f>
        <v>1</v>
      </c>
      <c r="CX17" s="187" t="str">
        <f t="shared" si="22"/>
        <v>D</v>
      </c>
      <c r="CY17" s="188">
        <f>IF(COUNT(CM17,CR17,CW17)=0,"",SUM(CM17,CR17,CW17)/COUNT(CM17,CR17,CW17))</f>
        <v>1</v>
      </c>
      <c r="CZ17" s="212" t="str">
        <f t="shared" si="23"/>
        <v>D</v>
      </c>
      <c r="DA17" s="125"/>
      <c r="DB17" s="121"/>
      <c r="DC17" s="122"/>
      <c r="DD17" s="188" t="str">
        <f>IFERROR((((COUNTIF('Elève (6ème3)'!DA17:DC17,"A"))*4)+((COUNTIF('Elève (6ème3)'!DA17:DC17,"B"))*3)+((COUNTIF('Elève (6ème3)'!DA17:DC17,"C"))*2)+((COUNTIF('Elève (6ème3)'!DA17:DC17,"D"))*1))/(COUNTA(DA17:DC17)),"")</f>
        <v/>
      </c>
      <c r="DE17" s="187" t="str">
        <f t="shared" si="24"/>
        <v/>
      </c>
      <c r="DF17" s="120"/>
      <c r="DG17" s="121"/>
      <c r="DH17" s="122"/>
      <c r="DI17" s="188" t="str">
        <f>IFERROR((((COUNTIF('Elève (6ème3)'!DF17:DH17,"A"))*4)+((COUNTIF('Elève (6ème3)'!DF17:DH17,"B"))*3)+((COUNTIF('Elève (6ème3)'!DF17:DH17,"C"))*2)+((COUNTIF('Elève (6ème3)'!DF17:DH17,"D"))*1))/(COUNTA(DF17:DH17)),"")</f>
        <v/>
      </c>
      <c r="DJ17" s="187" t="str">
        <f t="shared" si="25"/>
        <v/>
      </c>
      <c r="DK17" s="120" t="s">
        <v>24</v>
      </c>
      <c r="DL17" s="121"/>
      <c r="DM17" s="122" t="s">
        <v>24</v>
      </c>
      <c r="DN17" s="188">
        <f>IFERROR((((COUNTIF('Elève (6ème3)'!DK17:DM17,"A"))*4)+((COUNTIF('Elève (6ème3)'!DK17:DM17,"B"))*3)+((COUNTIF('Elève (6ème3)'!DK17:DM17,"C"))*2)+((COUNTIF('Elève (6ème3)'!DK17:DM17,"D"))*1))/(COUNTA(DK17:DM17)),"")</f>
        <v>3</v>
      </c>
      <c r="DO17" s="187" t="str">
        <f t="shared" si="26"/>
        <v>B</v>
      </c>
      <c r="DP17" s="188">
        <f>IF(COUNT(DD17,DI17,DN17)=0,"",SUM(DD17,DI17,DN17)/COUNT(DD17,DI17,DN17))</f>
        <v>3</v>
      </c>
      <c r="DQ17" s="212" t="str">
        <f t="shared" si="27"/>
        <v>B</v>
      </c>
      <c r="DR17" s="125"/>
      <c r="DS17" s="121"/>
      <c r="DT17" s="122"/>
      <c r="DU17" s="188" t="str">
        <f>IFERROR((((COUNTIF('Elève (6ème3)'!DR17:DT17,"A"))*4)+((COUNTIF('Elève (6ème3)'!DR17:DT17,"B"))*3)+((COUNTIF('Elève (6ème3)'!DR17:DT17,"C"))*2)+((COUNTIF('Elève (6ème3)'!DR17:DT17,"D"))*1))/(COUNTA(DR17:DT17)),"")</f>
        <v/>
      </c>
      <c r="DV17" s="187" t="str">
        <f t="shared" si="28"/>
        <v/>
      </c>
      <c r="DW17" s="120"/>
      <c r="DX17" s="121"/>
      <c r="DY17" s="122"/>
      <c r="DZ17" s="188" t="str">
        <f>IFERROR((((COUNTIF('Elève (6ème3)'!DW17:DY17,"A"))*4)+((COUNTIF('Elève (6ème3)'!DW17:DY17,"B"))*3)+((COUNTIF('Elève (6ème3)'!DW17:DY17,"C"))*2)+((COUNTIF('Elève (6ème3)'!DW17:DY17,"D"))*1))/(COUNTA(DW17:DY17)),"")</f>
        <v/>
      </c>
      <c r="EA17" s="187" t="str">
        <f t="shared" si="29"/>
        <v/>
      </c>
      <c r="EB17" s="120" t="s">
        <v>25</v>
      </c>
      <c r="EC17" s="121"/>
      <c r="ED17" s="122" t="s">
        <v>26</v>
      </c>
      <c r="EE17" s="188">
        <f>IFERROR((((COUNTIF('Elève (6ème3)'!EB17:ED17,"A"))*4)+((COUNTIF('Elève (6ème3)'!EB17:ED17,"B"))*3)+((COUNTIF('Elève (6ème3)'!EB17:ED17,"C"))*2)+((COUNTIF('Elève (6ème3)'!EB17:ED17,"D"))*1))/(COUNTA(EB17:ED17)),"")</f>
        <v>1.5</v>
      </c>
      <c r="EF17" s="187" t="str">
        <f t="shared" si="30"/>
        <v>D</v>
      </c>
      <c r="EG17" s="188">
        <f>IF(COUNT(DU17,DZ17,EE17)=0,"",SUM(DU17,DZ17,EE17)/COUNT(DU17,DZ17,EE17))</f>
        <v>1.5</v>
      </c>
      <c r="EH17" s="212" t="str">
        <f t="shared" si="31"/>
        <v>D</v>
      </c>
      <c r="EI17" s="125"/>
      <c r="EJ17" s="121"/>
      <c r="EK17" s="122"/>
      <c r="EL17" s="188" t="str">
        <f>IFERROR((((COUNTIF('Elève (6ème3)'!EI17:EK17,"A"))*4)+((COUNTIF('Elève (6ème3)'!EI17:EK17,"B"))*3)+((COUNTIF('Elève (6ème3)'!EI17:EK17,"C"))*2)+((COUNTIF('Elève (6ème3)'!EI17:EK17,"D"))*1))/(COUNTA(EI17:EK17)),"")</f>
        <v/>
      </c>
      <c r="EM17" s="187" t="str">
        <f t="shared" si="32"/>
        <v/>
      </c>
      <c r="EN17" s="120"/>
      <c r="EO17" s="121"/>
      <c r="EP17" s="122"/>
      <c r="EQ17" s="188" t="str">
        <f>IFERROR((((COUNTIF('Elève (6ème3)'!EN17:EP17,"A"))*4)+((COUNTIF('Elève (6ème3)'!EN17:EP17,"B"))*3)+((COUNTIF('Elève (6ème3)'!EN17:EP17,"C"))*2)+((COUNTIF('Elève (6ème3)'!EN17:EP17,"D"))*1))/(COUNTA(EN17:EP17)),"")</f>
        <v/>
      </c>
      <c r="ER17" s="187" t="str">
        <f t="shared" si="33"/>
        <v/>
      </c>
      <c r="ES17" s="120" t="s">
        <v>25</v>
      </c>
      <c r="ET17" s="121"/>
      <c r="EU17" s="122" t="s">
        <v>25</v>
      </c>
      <c r="EV17" s="188">
        <f>IFERROR((((COUNTIF('Elève (6ème3)'!ES17:EU17,"A"))*4)+((COUNTIF('Elève (6ème3)'!ES17:EU17,"B"))*3)+((COUNTIF('Elève (6ème3)'!ES17:EU17,"C"))*2)+((COUNTIF('Elève (6ème3)'!ES17:EU17,"D"))*1))/(COUNTA(ES17:EU17)),"")</f>
        <v>2</v>
      </c>
      <c r="EW17" s="187" t="str">
        <f t="shared" si="34"/>
        <v>C</v>
      </c>
      <c r="EX17" s="188">
        <f>IF(COUNT(EL17,EQ17,EV17)=0,"",SUM(EL17,EQ17,EV17)/COUNT(EL17,EQ17,EV17))</f>
        <v>2</v>
      </c>
      <c r="EY17" s="212" t="str">
        <f t="shared" si="35"/>
        <v>C</v>
      </c>
      <c r="EZ17" s="125"/>
      <c r="FA17" s="121"/>
      <c r="FB17" s="122"/>
      <c r="FC17" s="188" t="str">
        <f>IFERROR((((COUNTIF('Elève (6ème3)'!EZ17:FB17,"A"))*4)+((COUNTIF('Elève (6ème3)'!EZ17:FB17,"B"))*3)+((COUNTIF('Elève (6ème3)'!EZ17:FB17,"C"))*2)+((COUNTIF('Elève (6ème3)'!EZ17:FB17,"D"))*1))/(COUNTA(EZ17:FB17)),"")</f>
        <v/>
      </c>
      <c r="FD17" s="187" t="str">
        <f t="shared" si="36"/>
        <v/>
      </c>
      <c r="FE17" s="120"/>
      <c r="FF17" s="121"/>
      <c r="FG17" s="122"/>
      <c r="FH17" s="188" t="str">
        <f>IFERROR((((COUNTIF('Elève (6ème3)'!FE17:FG17,"A"))*4)+((COUNTIF('Elève (6ème3)'!FE17:FG17,"B"))*3)+((COUNTIF('Elève (6ème3)'!FE17:FG17,"C"))*2)+((COUNTIF('Elève (6ème3)'!FE17:FG17,"D"))*1))/(COUNTA(FE17:FG17)),"")</f>
        <v/>
      </c>
      <c r="FI17" s="187" t="str">
        <f t="shared" si="37"/>
        <v/>
      </c>
      <c r="FJ17" s="120" t="s">
        <v>23</v>
      </c>
      <c r="FK17" s="121"/>
      <c r="FL17" s="122" t="s">
        <v>26</v>
      </c>
      <c r="FM17" s="188">
        <f>IFERROR((((COUNTIF('Elève (6ème3)'!FJ17:FL17,"A"))*4)+((COUNTIF('Elève (6ème3)'!FJ17:FL17,"B"))*3)+((COUNTIF('Elève (6ème3)'!FJ17:FL17,"C"))*2)+((COUNTIF('Elève (6ème3)'!FJ17:FL17,"D"))*1))/(COUNTA(FJ17:FL17)),"")</f>
        <v>2.5</v>
      </c>
      <c r="FN17" s="187" t="str">
        <f t="shared" si="38"/>
        <v>C</v>
      </c>
      <c r="FO17" s="188">
        <f>IF(COUNT(FC17,FH17,FM17)=0,"",SUM(FC17,FH17,FM17)/COUNT(FC17,FH17,FM17))</f>
        <v>2.5</v>
      </c>
      <c r="FP17" s="212" t="str">
        <f t="shared" si="39"/>
        <v>C</v>
      </c>
      <c r="FQ17" s="125"/>
      <c r="FR17" s="121"/>
      <c r="FS17" s="122"/>
      <c r="FT17" s="188" t="str">
        <f>IFERROR((((COUNTIF('Elève (6ème3)'!FQ17:FS17,"A"))*4)+((COUNTIF('Elève (6ème3)'!FQ17:FS17,"B"))*3)+((COUNTIF('Elève (6ème3)'!FQ17:FS17,"C"))*2)+((COUNTIF('Elève (6ème3)'!FQ17:FS17,"D"))*1))/(COUNTA(FQ17:FS17)),"")</f>
        <v/>
      </c>
      <c r="FU17" s="187" t="str">
        <f t="shared" si="40"/>
        <v/>
      </c>
      <c r="FV17" s="120"/>
      <c r="FW17" s="121"/>
      <c r="FX17" s="122"/>
      <c r="FY17" s="188" t="str">
        <f>IFERROR((((COUNTIF('Elève (6ème3)'!FV17:FX17,"A"))*4)+((COUNTIF('Elève (6ème3)'!FV17:FX17,"B"))*3)+((COUNTIF('Elève (6ème3)'!FV17:FX17,"C"))*2)+((COUNTIF('Elève (6ème3)'!FV17:FX17,"D"))*1))/(COUNTA(FV17:FX17)),"")</f>
        <v/>
      </c>
      <c r="FZ17" s="187" t="str">
        <f t="shared" si="41"/>
        <v/>
      </c>
      <c r="GA17" s="120" t="s">
        <v>25</v>
      </c>
      <c r="GB17" s="121"/>
      <c r="GC17" s="122" t="s">
        <v>26</v>
      </c>
      <c r="GD17" s="188">
        <f>IFERROR((((COUNTIF('Elève (6ème3)'!GA17:GC17,"A"))*4)+((COUNTIF('Elève (6ème3)'!GA17:GC17,"B"))*3)+((COUNTIF('Elève (6ème3)'!GA17:GC17,"C"))*2)+((COUNTIF('Elève (6ème3)'!GA17:GC17,"D"))*1))/(COUNTA(GA17:GC17)),"")</f>
        <v>1.5</v>
      </c>
      <c r="GE17" s="187" t="str">
        <f t="shared" si="42"/>
        <v>D</v>
      </c>
      <c r="GF17" s="188">
        <f>IF(COUNT(FT17,FY17,GD17)=0,"",SUM(FT17,FY17,GD17)/COUNT(FT17,FY17,GD17))</f>
        <v>1.5</v>
      </c>
      <c r="GG17" s="212" t="str">
        <f t="shared" si="43"/>
        <v>D</v>
      </c>
      <c r="GH17" s="125"/>
      <c r="GI17" s="121"/>
      <c r="GJ17" s="122"/>
      <c r="GK17" s="188" t="str">
        <f>IFERROR((((COUNTIF('Elève (6ème3)'!GH17:GJ17,"A"))*4)+((COUNTIF('Elève (6ème3)'!GH17:GJ17,"B"))*3)+((COUNTIF('Elève (6ème3)'!GH17:GJ17,"C"))*2)+((COUNTIF('Elève (6ème3)'!GH17:GJ17,"D"))*1))/(COUNTA(GH17:GJ17)),"")</f>
        <v/>
      </c>
      <c r="GL17" s="187" t="str">
        <f t="shared" si="44"/>
        <v/>
      </c>
      <c r="GM17" s="120"/>
      <c r="GN17" s="121"/>
      <c r="GO17" s="122"/>
      <c r="GP17" s="188" t="str">
        <f>IFERROR((((COUNTIF('Elève (6ème3)'!GM17:GO17,"A"))*4)+((COUNTIF('Elève (6ème3)'!GM17:GO17,"B"))*3)+((COUNTIF('Elève (6ème3)'!GM17:GO17,"C"))*2)+((COUNTIF('Elève (6ème3)'!GM17:GO17,"D"))*1))/(COUNTA(GM17:GO17)),"")</f>
        <v/>
      </c>
      <c r="GQ17" s="187" t="str">
        <f t="shared" si="45"/>
        <v/>
      </c>
      <c r="GR17" s="120" t="s">
        <v>23</v>
      </c>
      <c r="GS17" s="121"/>
      <c r="GT17" s="122" t="s">
        <v>24</v>
      </c>
      <c r="GU17" s="188">
        <f>IFERROR((((COUNTIF('Elève (6ème3)'!GR17:GT17,"A"))*4)+((COUNTIF('Elève (6ème3)'!GR17:GT17,"B"))*3)+((COUNTIF('Elève (6ème3)'!GR17:GT17,"C"))*2)+((COUNTIF('Elève (6ème3)'!GR17:GT17,"D"))*1))/(COUNTA(GR17:GT17)),"")</f>
        <v>3.5</v>
      </c>
      <c r="GV17" s="187" t="str">
        <f t="shared" si="46"/>
        <v>B</v>
      </c>
      <c r="GW17" s="188">
        <f>IF(COUNT(GK17,GP17,GU17)=0,"",SUM(GK17,GP17,GU17)/COUNT(GK17,GP17,GU17))</f>
        <v>3.5</v>
      </c>
      <c r="GX17" s="212" t="str">
        <f t="shared" si="47"/>
        <v>B</v>
      </c>
      <c r="GY17" s="125"/>
      <c r="GZ17" s="121"/>
      <c r="HA17" s="122"/>
      <c r="HB17" s="188" t="str">
        <f>IFERROR((((COUNTIF('Elève (6ème3)'!GY17:HA17,"A"))*4)+((COUNTIF('Elève (6ème3)'!GY17:HA17,"B"))*3)+((COUNTIF('Elève (6ème3)'!GY17:HA17,"C"))*2)+((COUNTIF('Elève (6ème3)'!GY17:HA17,"D"))*1))/(COUNTA(GY17:HA17)),"")</f>
        <v/>
      </c>
      <c r="HC17" s="187" t="str">
        <f t="shared" si="48"/>
        <v/>
      </c>
      <c r="HD17" s="120"/>
      <c r="HE17" s="121"/>
      <c r="HF17" s="122"/>
      <c r="HG17" s="188" t="str">
        <f>IFERROR((((COUNTIF('Elève (6ème3)'!HD17:HF17,"A"))*4)+((COUNTIF('Elève (6ème3)'!HD17:HF17,"B"))*3)+((COUNTIF('Elève (6ème3)'!HD17:HF17,"C"))*2)+((COUNTIF('Elève (6ème3)'!HD17:HF17,"D"))*1))/(COUNTA(HD17:HF17)),"")</f>
        <v/>
      </c>
      <c r="HH17" s="187" t="str">
        <f t="shared" si="49"/>
        <v/>
      </c>
      <c r="HI17" s="120" t="s">
        <v>25</v>
      </c>
      <c r="HJ17" s="121"/>
      <c r="HK17" s="122" t="s">
        <v>26</v>
      </c>
      <c r="HL17" s="188">
        <f>IFERROR((((COUNTIF('Elève (6ème3)'!HI17:HK17,"A"))*4)+((COUNTIF('Elève (6ème3)'!HI17:HK17,"B"))*3)+((COUNTIF('Elève (6ème3)'!HI17:HK17,"C"))*2)+((COUNTIF('Elève (6ème3)'!HI17:HK17,"D"))*1))/(COUNTA(HI17:HK17)),"")</f>
        <v>1.5</v>
      </c>
      <c r="HM17" s="187" t="str">
        <f t="shared" si="50"/>
        <v>D</v>
      </c>
      <c r="HN17" s="188">
        <f>IF(COUNT(HB17,HG17,HL17)=0,"",SUM(HB17,HG17,HL17)/COUNT(HB17,HG17,HL17))</f>
        <v>1.5</v>
      </c>
      <c r="HO17" s="212" t="str">
        <f t="shared" si="51"/>
        <v>D</v>
      </c>
      <c r="HP17" s="125"/>
      <c r="HQ17" s="121"/>
      <c r="HR17" s="122"/>
      <c r="HS17" s="188" t="str">
        <f>IFERROR((((COUNTIF('Elève (6ème3)'!HP17:HR17,"A"))*4)+((COUNTIF('Elève (6ème3)'!HP17:HR17,"B"))*3)+((COUNTIF('Elève (6ème3)'!HP17:HR17,"C"))*2)+((COUNTIF('Elève (6ème3)'!HP17:HR17,"D"))*1))/(COUNTA(HP17:HR17)),"")</f>
        <v/>
      </c>
      <c r="HT17" s="187" t="str">
        <f t="shared" si="52"/>
        <v/>
      </c>
      <c r="HU17" s="120"/>
      <c r="HV17" s="121"/>
      <c r="HW17" s="122"/>
      <c r="HX17" s="188" t="str">
        <f>IFERROR((((COUNTIF('Elève (6ème3)'!HU17:HW17,"A"))*4)+((COUNTIF('Elève (6ème3)'!HU17:HW17,"B"))*3)+((COUNTIF('Elève (6ème3)'!HU17:HW17,"C"))*2)+((COUNTIF('Elève (6ème3)'!HU17:HW17,"D"))*1))/(COUNTA(HU17:HW17)),"")</f>
        <v/>
      </c>
      <c r="HY17" s="187" t="str">
        <f t="shared" si="53"/>
        <v/>
      </c>
      <c r="HZ17" s="120" t="s">
        <v>24</v>
      </c>
      <c r="IA17" s="121"/>
      <c r="IB17" s="122" t="s">
        <v>26</v>
      </c>
      <c r="IC17" s="188">
        <f>IFERROR((((COUNTIF('Elève (6ème3)'!HZ17:IB17,"A"))*4)+((COUNTIF('Elève (6ème3)'!HZ17:IB17,"B"))*3)+((COUNTIF('Elève (6ème3)'!HZ17:IB17,"C"))*2)+((COUNTIF('Elève (6ème3)'!HZ17:IB17,"D"))*1))/(COUNTA(HZ17:IB17)),"")</f>
        <v>2</v>
      </c>
      <c r="ID17" s="187" t="str">
        <f t="shared" si="54"/>
        <v>C</v>
      </c>
      <c r="IE17" s="188">
        <f>IF(COUNT(HS17,HX17,IC17)=0,"",SUM(HS17,HX17,IC17)/COUNT(HS17,HX17,IC17))</f>
        <v>2</v>
      </c>
      <c r="IF17" s="212" t="str">
        <f t="shared" si="55"/>
        <v>C</v>
      </c>
      <c r="IG17" s="125"/>
      <c r="IH17" s="121"/>
      <c r="II17" s="122"/>
      <c r="IJ17" s="188" t="str">
        <f>IFERROR((((COUNTIF('Elève (6ème3)'!IG17:II17,"A"))*4)+((COUNTIF('Elève (6ème3)'!IG17:II17,"B"))*3)+((COUNTIF('Elève (6ème3)'!IG17:II17,"C"))*2)+((COUNTIF('Elève (6ème3)'!IG17:II17,"D"))*1))/(COUNTA(IG17:II17)),"")</f>
        <v/>
      </c>
      <c r="IK17" s="187" t="str">
        <f t="shared" si="56"/>
        <v/>
      </c>
      <c r="IL17" s="120"/>
      <c r="IM17" s="121"/>
      <c r="IN17" s="122"/>
      <c r="IO17" s="188" t="str">
        <f>IFERROR((((COUNTIF('Elève (6ème3)'!IL17:IN17,"A"))*4)+((COUNTIF('Elève (6ème3)'!IL17:IN17,"B"))*3)+((COUNTIF('Elève (6ème3)'!IL17:IN17,"C"))*2)+((COUNTIF('Elève (6ème3)'!IL17:IN17,"D"))*1))/(COUNTA(IL17:IN17)),"")</f>
        <v/>
      </c>
      <c r="IP17" s="187" t="str">
        <f t="shared" si="57"/>
        <v/>
      </c>
      <c r="IQ17" s="120" t="s">
        <v>24</v>
      </c>
      <c r="IR17" s="121"/>
      <c r="IS17" s="122" t="s">
        <v>25</v>
      </c>
      <c r="IT17" s="188">
        <f>IFERROR((((COUNTIF('Elève (6ème3)'!IQ17:IS17,"A"))*4)+((COUNTIF('Elève (6ème3)'!IQ17:IS17,"B"))*3)+((COUNTIF('Elève (6ème3)'!IQ17:IS17,"C"))*2)+((COUNTIF('Elève (6ème3)'!IQ17:IS17,"D"))*1))/(COUNTA(IQ17:IS17)),"")</f>
        <v>2.5</v>
      </c>
      <c r="IU17" s="187" t="str">
        <f t="shared" si="58"/>
        <v>C</v>
      </c>
      <c r="IV17" s="188">
        <f>IF(COUNT(IJ17,IO17,IT17)=0,"",SUM(IJ17,IO17,IT17)/COUNT(IJ17,IO17,IT17))</f>
        <v>2.5</v>
      </c>
      <c r="IW17" s="212" t="str">
        <f t="shared" si="59"/>
        <v>C</v>
      </c>
      <c r="IX17" s="125"/>
      <c r="IY17" s="121"/>
      <c r="IZ17" s="122"/>
      <c r="JA17" s="188" t="str">
        <f>IFERROR((((COUNTIF('Elève (6ème3)'!IX17:IZ17,"A"))*4)+((COUNTIF('Elève (6ème3)'!IX17:IZ17,"B"))*3)+((COUNTIF('Elève (6ème3)'!IX17:IZ17,"C"))*2)+((COUNTIF('Elève (6ème3)'!IX17:IZ17,"D"))*1))/(COUNTA(IX17:IZ17)),"")</f>
        <v/>
      </c>
      <c r="JB17" s="187" t="str">
        <f t="shared" si="60"/>
        <v/>
      </c>
      <c r="JC17" s="120"/>
      <c r="JD17" s="121"/>
      <c r="JE17" s="122"/>
      <c r="JF17" s="188" t="str">
        <f>IFERROR((((COUNTIF('Elève (6ème3)'!JC17:JE17,"A"))*4)+((COUNTIF('Elève (6ème3)'!JC17:JE17,"B"))*3)+((COUNTIF('Elève (6ème3)'!JC17:JE17,"C"))*2)+((COUNTIF('Elève (6ème3)'!JC17:JE17,"D"))*1))/(COUNTA(JC17:JE17)),"")</f>
        <v/>
      </c>
      <c r="JG17" s="187" t="str">
        <f t="shared" si="61"/>
        <v/>
      </c>
      <c r="JH17" s="120" t="s">
        <v>24</v>
      </c>
      <c r="JI17" s="121"/>
      <c r="JJ17" s="122" t="s">
        <v>24</v>
      </c>
      <c r="JK17" s="188">
        <f>IFERROR((((COUNTIF('Elève (6ème3)'!JH17:JJ17,"A"))*4)+((COUNTIF('Elève (6ème3)'!JH17:JJ17,"B"))*3)+((COUNTIF('Elève (6ème3)'!JH17:JJ17,"C"))*2)+((COUNTIF('Elève (6ème3)'!JH17:JJ17,"D"))*1))/(COUNTA(JH17:JJ17)),"")</f>
        <v>3</v>
      </c>
      <c r="JL17" s="187" t="str">
        <f t="shared" si="62"/>
        <v>B</v>
      </c>
      <c r="JM17" s="188">
        <f>IF(COUNT(JA17,JF17,JK17)=0,"",SUM(JA17,JF17,JK17)/COUNT(JA17,JF17,JK17))</f>
        <v>3</v>
      </c>
      <c r="JN17" s="212" t="str">
        <f t="shared" si="63"/>
        <v>B</v>
      </c>
      <c r="JO17" s="125"/>
      <c r="JP17" s="121"/>
      <c r="JQ17" s="122"/>
      <c r="JR17" s="188" t="str">
        <f>IFERROR((((COUNTIF('Elève (6ème3)'!JO17:JQ17,"A"))*4)+((COUNTIF('Elève (6ème3)'!JO17:JQ17,"B"))*3)+((COUNTIF('Elève (6ème3)'!JO17:JQ17,"C"))*2)+((COUNTIF('Elève (6ème3)'!JO17:JQ17,"D"))*1))/(COUNTA(JO17:JQ17)),"")</f>
        <v/>
      </c>
      <c r="JS17" s="187" t="str">
        <f t="shared" si="64"/>
        <v/>
      </c>
      <c r="JT17" s="120"/>
      <c r="JU17" s="121"/>
      <c r="JV17" s="122"/>
      <c r="JW17" s="188" t="str">
        <f>IFERROR((((COUNTIF('Elève (6ème3)'!JT17:JV17,"A"))*4)+((COUNTIF('Elève (6ème3)'!JT17:JV17,"B"))*3)+((COUNTIF('Elève (6ème3)'!JT17:JV17,"C"))*2)+((COUNTIF('Elève (6ème3)'!JT17:JV17,"D"))*1))/(COUNTA(JT17:JV17)),"")</f>
        <v/>
      </c>
      <c r="JX17" s="187" t="str">
        <f t="shared" si="65"/>
        <v/>
      </c>
      <c r="JY17" s="120" t="s">
        <v>24</v>
      </c>
      <c r="JZ17" s="121"/>
      <c r="KA17" s="122" t="s">
        <v>25</v>
      </c>
      <c r="KB17" s="188">
        <f>IFERROR((((COUNTIF('Elève (6ème3)'!JY17:KA17,"A"))*4)+((COUNTIF('Elève (6ème3)'!JY17:KA17,"B"))*3)+((COUNTIF('Elève (6ème3)'!JY17:KA17,"C"))*2)+((COUNTIF('Elève (6ème3)'!JY17:KA17,"D"))*1))/(COUNTA(JY17:KA17)),"")</f>
        <v>2.5</v>
      </c>
      <c r="KC17" s="187" t="str">
        <f t="shared" si="66"/>
        <v>C</v>
      </c>
      <c r="KD17" s="188">
        <f>IF(COUNT(JR17,JW17,KB17)=0,"",SUM(JR17,JW17,KB17)/COUNT(JR17,JW17,KB17))</f>
        <v>2.5</v>
      </c>
      <c r="KE17" s="212" t="str">
        <f t="shared" si="67"/>
        <v>C</v>
      </c>
      <c r="KF17" s="125"/>
      <c r="KG17" s="121"/>
      <c r="KH17" s="122"/>
      <c r="KI17" s="188" t="str">
        <f>IFERROR((((COUNTIF('Elève (6ème3)'!KF17:KH17,"A"))*4)+((COUNTIF('Elève (6ème3)'!KF17:KH17,"B"))*3)+((COUNTIF('Elève (6ème3)'!KF17:KH17,"C"))*2)+((COUNTIF('Elève (6ème3)'!KF17:KH17,"D"))*1))/(COUNTA(KF17:KH17)),"")</f>
        <v/>
      </c>
      <c r="KJ17" s="187" t="str">
        <f t="shared" si="68"/>
        <v/>
      </c>
      <c r="KK17" s="120"/>
      <c r="KL17" s="121"/>
      <c r="KM17" s="122"/>
      <c r="KN17" s="188" t="str">
        <f>IFERROR((((COUNTIF('Elève (6ème3)'!KK17:KM17,"A"))*4)+((COUNTIF('Elève (6ème3)'!KK17:KM17,"B"))*3)+((COUNTIF('Elève (6ème3)'!KK17:KM17,"C"))*2)+((COUNTIF('Elève (6ème3)'!KK17:KM17,"D"))*1))/(COUNTA(KK17:KM17)),"")</f>
        <v/>
      </c>
      <c r="KO17" s="187" t="str">
        <f t="shared" si="69"/>
        <v/>
      </c>
      <c r="KP17" s="120" t="s">
        <v>24</v>
      </c>
      <c r="KQ17" s="121"/>
      <c r="KR17" s="122" t="s">
        <v>25</v>
      </c>
      <c r="KS17" s="188">
        <f>IFERROR((((COUNTIF('Elève (6ème3)'!KP17:KR17,"A"))*4)+((COUNTIF('Elève (6ème3)'!KP17:KR17,"B"))*3)+((COUNTIF('Elève (6ème3)'!KP17:KR17,"C"))*2)+((COUNTIF('Elève (6ème3)'!KP17:KR17,"D"))*1))/(COUNTA(KP17:KR17)),"")</f>
        <v>2.5</v>
      </c>
      <c r="KT17" s="187" t="str">
        <f t="shared" si="70"/>
        <v>C</v>
      </c>
      <c r="KU17" s="188">
        <f>IF(COUNT(KI17,KN17,KS17)=0,"",SUM(KI17,KN17,KS17)/COUNT(KI17,KN17,KS17))</f>
        <v>2.5</v>
      </c>
      <c r="KV17" s="212" t="str">
        <f t="shared" si="71"/>
        <v>C</v>
      </c>
      <c r="KW17" s="125"/>
      <c r="KX17" s="121"/>
      <c r="KY17" s="122"/>
      <c r="KZ17" s="188" t="str">
        <f>IFERROR((((COUNTIF('Elève (6ème3)'!KW17:KY17,"A"))*4)+((COUNTIF('Elève (6ème3)'!KW17:KY17,"B"))*3)+((COUNTIF('Elève (6ème3)'!KW17:KY17,"C"))*2)+((COUNTIF('Elève (6ème3)'!KW17:KY17,"D"))*1))/(COUNTA(KW17:KY17)),"")</f>
        <v/>
      </c>
      <c r="LA17" s="187" t="str">
        <f t="shared" si="72"/>
        <v/>
      </c>
      <c r="LB17" s="120"/>
      <c r="LC17" s="121"/>
      <c r="LD17" s="122"/>
      <c r="LE17" s="188" t="str">
        <f>IFERROR((((COUNTIF('Elève (6ème3)'!LB17:LD17,"A"))*4)+((COUNTIF('Elève (6ème3)'!LB17:LD17,"B"))*3)+((COUNTIF('Elève (6ème3)'!LB17:LD17,"C"))*2)+((COUNTIF('Elève (6ème3)'!LB17:LD17,"D"))*1))/(COUNTA(LB17:LD17)),"")</f>
        <v/>
      </c>
      <c r="LF17" s="187" t="str">
        <f t="shared" si="73"/>
        <v/>
      </c>
      <c r="LG17" s="120" t="s">
        <v>26</v>
      </c>
      <c r="LH17" s="121"/>
      <c r="LI17" s="122" t="s">
        <v>25</v>
      </c>
      <c r="LJ17" s="188">
        <f>IFERROR((((COUNTIF('Elève (6ème3)'!LG17:LI17,"A"))*4)+((COUNTIF('Elève (6ème3)'!LG17:LI17,"B"))*3)+((COUNTIF('Elève (6ème3)'!LG17:LI17,"C"))*2)+((COUNTIF('Elève (6ème3)'!LG17:LI17,"D"))*1))/(COUNTA(LG17:LI17)),"")</f>
        <v>1.5</v>
      </c>
      <c r="LK17" s="187" t="str">
        <f t="shared" si="74"/>
        <v>D</v>
      </c>
      <c r="LL17" s="188">
        <f>IF(COUNT(KZ17,LE17,LJ17)=0,"",SUM(KZ17,LE17,LJ17)/COUNT(KZ17,LE17,LJ17))</f>
        <v>1.5</v>
      </c>
      <c r="LM17" s="212" t="str">
        <f t="shared" si="75"/>
        <v>D</v>
      </c>
      <c r="LN17" s="125"/>
      <c r="LO17" s="121"/>
      <c r="LP17" s="122"/>
      <c r="LQ17" s="188" t="str">
        <f>IFERROR((((COUNTIF('Elève (6ème3)'!LN17:LP17,"A"))*4)+((COUNTIF('Elève (6ème3)'!LN17:LP17,"B"))*3)+((COUNTIF('Elève (6ème3)'!LN17:LP17,"C"))*2)+((COUNTIF('Elève (6ème3)'!LN17:LP17,"D"))*1))/(COUNTA(LN17:LP17)),"")</f>
        <v/>
      </c>
      <c r="LR17" s="187" t="str">
        <f t="shared" si="76"/>
        <v/>
      </c>
      <c r="LS17" s="120"/>
      <c r="LT17" s="121"/>
      <c r="LU17" s="122"/>
      <c r="LV17" s="188" t="str">
        <f>IFERROR((((COUNTIF('Elève (6ème3)'!LS17:LU17,"A"))*4)+((COUNTIF('Elève (6ème3)'!LS17:LU17,"B"))*3)+((COUNTIF('Elève (6ème3)'!LS17:LU17,"C"))*2)+((COUNTIF('Elève (6ème3)'!LS17:LU17,"D"))*1))/(COUNTA(LS17:LU17)),"")</f>
        <v/>
      </c>
      <c r="LW17" s="187" t="str">
        <f t="shared" si="77"/>
        <v/>
      </c>
      <c r="LX17" s="120" t="s">
        <v>24</v>
      </c>
      <c r="LY17" s="121"/>
      <c r="LZ17" s="122" t="s">
        <v>25</v>
      </c>
      <c r="MA17" s="188">
        <f>IFERROR((((COUNTIF('Elève (6ème3)'!LX17:LZ17,"A"))*4)+((COUNTIF('Elève (6ème3)'!LX17:LZ17,"B"))*3)+((COUNTIF('Elève (6ème3)'!LX17:LZ17,"C"))*2)+((COUNTIF('Elève (6ème3)'!LX17:LZ17,"D"))*1))/(COUNTA(LX17:LZ17)),"")</f>
        <v>2.5</v>
      </c>
      <c r="MB17" s="187" t="str">
        <f t="shared" si="78"/>
        <v>C</v>
      </c>
      <c r="MC17" s="188">
        <f>IF(COUNT(LQ17,LV17,MA17)=0,"",SUM(LQ17,LV17,MA17)/COUNT(LQ17,LV17,MA17))</f>
        <v>2.5</v>
      </c>
      <c r="MD17" s="212" t="str">
        <f t="shared" si="79"/>
        <v>C</v>
      </c>
      <c r="ME17" s="125"/>
      <c r="MF17" s="121"/>
      <c r="MG17" s="122"/>
      <c r="MH17" s="188" t="str">
        <f>IFERROR((((COUNTIF('Elève (6ème3)'!ME17:MG17,"A"))*4)+((COUNTIF('Elève (6ème3)'!ME17:MG17,"B"))*3)+((COUNTIF('Elève (6ème3)'!ME17:MG17,"C"))*2)+((COUNTIF('Elève (6ème3)'!ME17:MG17,"D"))*1))/(COUNTA(ME17:MG17)),"")</f>
        <v/>
      </c>
      <c r="MI17" s="187" t="str">
        <f t="shared" si="80"/>
        <v/>
      </c>
      <c r="MJ17" s="120"/>
      <c r="MK17" s="121"/>
      <c r="ML17" s="122"/>
      <c r="MM17" s="188" t="str">
        <f>IFERROR((((COUNTIF('Elève (6ème3)'!MJ17:ML17,"A"))*4)+((COUNTIF('Elève (6ème3)'!MJ17:ML17,"B"))*3)+((COUNTIF('Elève (6ème3)'!MJ17:ML17,"C"))*2)+((COUNTIF('Elève (6ème3)'!MJ17:ML17,"D"))*1))/(COUNTA(MJ17:ML17)),"")</f>
        <v/>
      </c>
      <c r="MN17" s="187" t="str">
        <f t="shared" si="81"/>
        <v/>
      </c>
      <c r="MO17" s="120" t="s">
        <v>24</v>
      </c>
      <c r="MP17" s="121"/>
      <c r="MQ17" s="122" t="s">
        <v>26</v>
      </c>
      <c r="MR17" s="188">
        <f>IFERROR((((COUNTIF('Elève (6ème3)'!MO17:MQ17,"A"))*4)+((COUNTIF('Elève (6ème3)'!MO17:MQ17,"B"))*3)+((COUNTIF('Elève (6ème3)'!MO17:MQ17,"C"))*2)+((COUNTIF('Elève (6ème3)'!MO17:MQ17,"D"))*1))/(COUNTA(MO17:MQ17)),"")</f>
        <v>2</v>
      </c>
      <c r="MS17" s="187" t="str">
        <f t="shared" si="82"/>
        <v>C</v>
      </c>
      <c r="MT17" s="188">
        <f>IF(COUNT(MH17,MM17,MR17)=0,"",SUM(MH17,MM17,MR17)/COUNT(MH17,MM17,MR17))</f>
        <v>2</v>
      </c>
      <c r="MU17" s="212" t="str">
        <f t="shared" si="83"/>
        <v>C</v>
      </c>
      <c r="MV17" s="125"/>
      <c r="MW17" s="121"/>
      <c r="MX17" s="122"/>
      <c r="MY17" s="188" t="str">
        <f>IFERROR((((COUNTIF('Elève (6ème3)'!MV17:MX17,"A"))*4)+((COUNTIF('Elève (6ème3)'!MV17:MX17,"B"))*3)+((COUNTIF('Elève (6ème3)'!MV17:MX17,"C"))*2)+((COUNTIF('Elève (6ème3)'!MV17:MX17,"D"))*1))/(COUNTA(MV17:MX17)),"")</f>
        <v/>
      </c>
      <c r="MZ17" s="187" t="str">
        <f t="shared" si="84"/>
        <v/>
      </c>
      <c r="NA17" s="120"/>
      <c r="NB17" s="121"/>
      <c r="NC17" s="122"/>
      <c r="ND17" s="188" t="str">
        <f>IFERROR((((COUNTIF('Elève (6ème3)'!NA17:NC17,"A"))*4)+((COUNTIF('Elève (6ème3)'!NA17:NC17,"B"))*3)+((COUNTIF('Elève (6ème3)'!NA17:NC17,"C"))*2)+((COUNTIF('Elève (6ème3)'!NA17:NC17,"D"))*1))/(COUNTA(NA17:NC17)),"")</f>
        <v/>
      </c>
      <c r="NE17" s="187" t="str">
        <f t="shared" si="85"/>
        <v/>
      </c>
      <c r="NF17" s="120" t="s">
        <v>25</v>
      </c>
      <c r="NG17" s="121"/>
      <c r="NH17" s="122" t="s">
        <v>25</v>
      </c>
      <c r="NI17" s="188">
        <f>IFERROR((((COUNTIF('Elève (6ème3)'!NF17:NH17,"A"))*4)+((COUNTIF('Elève (6ème3)'!NF17:NH17,"B"))*3)+((COUNTIF('Elève (6ème3)'!NF17:NH17,"C"))*2)+((COUNTIF('Elève (6ème3)'!NF17:NH17,"D"))*1))/(COUNTA(NF17:NH17)),"")</f>
        <v>2</v>
      </c>
      <c r="NJ17" s="187" t="str">
        <f t="shared" si="86"/>
        <v>C</v>
      </c>
      <c r="NK17" s="188">
        <f>IF(COUNT(MY17,ND17,NI17)=0,"",SUM(MY17,ND17,NI17)/COUNT(MY17,ND17,NI17))</f>
        <v>2</v>
      </c>
      <c r="NL17" s="212" t="str">
        <f t="shared" si="87"/>
        <v>C</v>
      </c>
      <c r="NM17" s="125"/>
      <c r="NN17" s="121"/>
      <c r="NO17" s="122"/>
      <c r="NP17" s="188" t="str">
        <f>IFERROR((((COUNTIF('Elève (6ème3)'!NM17:NO17,"A"))*4)+((COUNTIF('Elève (6ème3)'!NM17:NO17,"B"))*3)+((COUNTIF('Elève (6ème3)'!NM17:NO17,"C"))*2)+((COUNTIF('Elève (6ème3)'!NM17:NO17,"D"))*1))/(COUNTA(NM17:NO17)),"")</f>
        <v/>
      </c>
      <c r="NQ17" s="187" t="str">
        <f t="shared" si="88"/>
        <v/>
      </c>
      <c r="NR17" s="120"/>
      <c r="NS17" s="121"/>
      <c r="NT17" s="122"/>
      <c r="NU17" s="188" t="str">
        <f>IFERROR((((COUNTIF('Elève (6ème3)'!NR17:NT17,"A"))*4)+((COUNTIF('Elève (6ème3)'!NR17:NT17,"B"))*3)+((COUNTIF('Elève (6ème3)'!NR17:NT17,"C"))*2)+((COUNTIF('Elève (6ème3)'!NR17:NT17,"D"))*1))/(COUNTA(NR17:NT17)),"")</f>
        <v/>
      </c>
      <c r="NV17" s="187" t="str">
        <f t="shared" si="89"/>
        <v/>
      </c>
      <c r="NW17" s="120" t="s">
        <v>24</v>
      </c>
      <c r="NX17" s="121"/>
      <c r="NY17" s="122" t="s">
        <v>25</v>
      </c>
      <c r="NZ17" s="188">
        <f>IFERROR((((COUNTIF('Elève (6ème3)'!NW17:NY17,"A"))*4)+((COUNTIF('Elève (6ème3)'!NW17:NY17,"B"))*3)+((COUNTIF('Elève (6ème3)'!NW17:NY17,"C"))*2)+((COUNTIF('Elève (6ème3)'!NW17:NY17,"D"))*1))/(COUNTA(NW17:NY17)),"")</f>
        <v>2.5</v>
      </c>
      <c r="OA17" s="187" t="str">
        <f t="shared" si="90"/>
        <v>C</v>
      </c>
      <c r="OB17" s="188">
        <f>IF(COUNT(NP17,NU17,NZ17)=0,"",SUM(NP17,NU17,NZ17)/COUNT(NP17,NU17,NZ17))</f>
        <v>2.5</v>
      </c>
      <c r="OC17" s="212" t="str">
        <f t="shared" si="91"/>
        <v>C</v>
      </c>
      <c r="OD17" s="125"/>
      <c r="OE17" s="121"/>
      <c r="OF17" s="122"/>
      <c r="OG17" s="188" t="str">
        <f>IFERROR((((COUNTIF('Elève (6ème3)'!OD17:OF17,"A"))*4)+((COUNTIF('Elève (6ème3)'!OD17:OF17,"B"))*3)+((COUNTIF('Elève (6ème3)'!OD17:OF17,"C"))*2)+((COUNTIF('Elève (6ème3)'!OD17:OF17,"D"))*1))/(COUNTA(OD17:OF17)),"")</f>
        <v/>
      </c>
      <c r="OH17" s="187" t="str">
        <f t="shared" si="92"/>
        <v/>
      </c>
      <c r="OI17" s="120"/>
      <c r="OJ17" s="121"/>
      <c r="OK17" s="122"/>
      <c r="OL17" s="188" t="str">
        <f>IFERROR((((COUNTIF('Elève (6ème3)'!OI17:OK17,"A"))*4)+((COUNTIF('Elève (6ème3)'!OI17:OK17,"B"))*3)+((COUNTIF('Elève (6ème3)'!OI17:OK17,"C"))*2)+((COUNTIF('Elève (6ème3)'!OI17:OK17,"D"))*1))/(COUNTA(OI17:OK17)),"")</f>
        <v/>
      </c>
      <c r="OM17" s="187" t="str">
        <f t="shared" si="93"/>
        <v/>
      </c>
      <c r="ON17" s="120" t="s">
        <v>24</v>
      </c>
      <c r="OO17" s="121"/>
      <c r="OP17" s="122" t="s">
        <v>25</v>
      </c>
      <c r="OQ17" s="188">
        <f>IFERROR((((COUNTIF('Elève (6ème3)'!ON17:OP17,"A"))*4)+((COUNTIF('Elève (6ème3)'!ON17:OP17,"B"))*3)+((COUNTIF('Elève (6ème3)'!ON17:OP17,"C"))*2)+((COUNTIF('Elève (6ème3)'!ON17:OP17,"D"))*1))/(COUNTA(ON17:OP17)),"")</f>
        <v>2.5</v>
      </c>
      <c r="OR17" s="187" t="str">
        <f t="shared" si="94"/>
        <v>C</v>
      </c>
      <c r="OS17" s="188">
        <f>IF(COUNT(OG17,OL17,OQ17)=0,"",SUM(OG17,OL17,OQ17)/COUNT(OG17,OL17,OQ17))</f>
        <v>2.5</v>
      </c>
      <c r="OT17" s="212" t="str">
        <f t="shared" si="95"/>
        <v>C</v>
      </c>
      <c r="OU17" s="125"/>
      <c r="OV17" s="121"/>
      <c r="OW17" s="122"/>
      <c r="OX17" s="188" t="str">
        <f>IFERROR((((COUNTIF('Elève (6ème3)'!OU17:OW17,"A"))*4)+((COUNTIF('Elève (6ème3)'!OU17:OW17,"B"))*3)+((COUNTIF('Elève (6ème3)'!OU17:OW17,"C"))*2)+((COUNTIF('Elève (6ème3)'!OU17:OW17,"D"))*1))/(COUNTA(OU17:OW17)),"")</f>
        <v/>
      </c>
      <c r="OY17" s="187" t="str">
        <f t="shared" si="96"/>
        <v/>
      </c>
      <c r="OZ17" s="120"/>
      <c r="PA17" s="121"/>
      <c r="PB17" s="122"/>
      <c r="PC17" s="188" t="str">
        <f>IFERROR((((COUNTIF('Elève (6ème3)'!OZ17:PB17,"A"))*4)+((COUNTIF('Elève (6ème3)'!OZ17:PB17,"B"))*3)+((COUNTIF('Elève (6ème3)'!OZ17:PB17,"C"))*2)+((COUNTIF('Elève (6ème3)'!OZ17:PB17,"D"))*1))/(COUNTA(OZ17:PB17)),"")</f>
        <v/>
      </c>
      <c r="PD17" s="187" t="str">
        <f t="shared" si="97"/>
        <v/>
      </c>
      <c r="PE17" s="120" t="s">
        <v>24</v>
      </c>
      <c r="PF17" s="121"/>
      <c r="PG17" s="122" t="s">
        <v>24</v>
      </c>
      <c r="PH17" s="188">
        <f>IFERROR((((COUNTIF('Elève (6ème3)'!PE17:PG17,"A"))*4)+((COUNTIF('Elève (6ème3)'!PE17:PG17,"B"))*3)+((COUNTIF('Elève (6ème3)'!PE17:PG17,"C"))*2)+((COUNTIF('Elève (6ème3)'!PE17:PG17,"D"))*1))/(COUNTA(PE17:PG17)),"")</f>
        <v>3</v>
      </c>
      <c r="PI17" s="187" t="str">
        <f t="shared" si="98"/>
        <v>B</v>
      </c>
      <c r="PJ17" s="188">
        <f>IF(COUNT(OX17,PC17,PH17)=0,"",SUM(OX17,PC17,PH17)/COUNT(OX17,PC17,PH17))</f>
        <v>3</v>
      </c>
      <c r="PK17" s="212" t="str">
        <f t="shared" si="99"/>
        <v>B</v>
      </c>
      <c r="PL17" s="125"/>
      <c r="PM17" s="121"/>
      <c r="PN17" s="122"/>
      <c r="PO17" s="188" t="str">
        <f>IFERROR((((COUNTIF('Elève (6ème3)'!PL17:PN17,"A"))*4)+((COUNTIF('Elève (6ème3)'!PL17:PN17,"B"))*3)+((COUNTIF('Elève (6ème3)'!PL17:PN17,"C"))*2)+((COUNTIF('Elève (6ème3)'!PL17:PN17,"D"))*1))/(COUNTA(PL17:PN17)),"")</f>
        <v/>
      </c>
      <c r="PP17" s="187" t="str">
        <f t="shared" si="100"/>
        <v/>
      </c>
      <c r="PQ17" s="120"/>
      <c r="PR17" s="121"/>
      <c r="PS17" s="122"/>
      <c r="PT17" s="188" t="str">
        <f>IFERROR((((COUNTIF('Elève (6ème3)'!PQ17:PS17,"A"))*4)+((COUNTIF('Elève (6ème3)'!PQ17:PS17,"B"))*3)+((COUNTIF('Elève (6ème3)'!PQ17:PS17,"C"))*2)+((COUNTIF('Elève (6ème3)'!PQ17:PS17,"D"))*1))/(COUNTA(PQ17:PS17)),"")</f>
        <v/>
      </c>
      <c r="PU17" s="187" t="str">
        <f t="shared" si="101"/>
        <v/>
      </c>
      <c r="PV17" s="120" t="s">
        <v>25</v>
      </c>
      <c r="PW17" s="121"/>
      <c r="PX17" s="122" t="s">
        <v>25</v>
      </c>
      <c r="PY17" s="188">
        <f>IFERROR((((COUNTIF('Elève (6ème3)'!PV17:PX17,"A"))*4)+((COUNTIF('Elève (6ème3)'!PV17:PX17,"B"))*3)+((COUNTIF('Elève (6ème3)'!PV17:PX17,"C"))*2)+((COUNTIF('Elève (6ème3)'!PV17:PX17,"D"))*1))/(COUNTA(PV17:PX17)),"")</f>
        <v>2</v>
      </c>
      <c r="PZ17" s="187" t="str">
        <f t="shared" si="102"/>
        <v>C</v>
      </c>
      <c r="QA17" s="188">
        <f>IF(COUNT(PO17,PT17,PY17)=0,"",SUM(PO17,PT17,PY17)/COUNT(PO17,PT17,PY17))</f>
        <v>2</v>
      </c>
      <c r="QB17" s="212" t="str">
        <f t="shared" si="103"/>
        <v>C</v>
      </c>
      <c r="QC17" s="125"/>
      <c r="QD17" s="121"/>
      <c r="QE17" s="122"/>
      <c r="QF17" s="188" t="str">
        <f>IFERROR((((COUNTIF('Elève (6ème3)'!QC17:QE17,"A"))*4)+((COUNTIF('Elève (6ème3)'!QC17:QE17,"B"))*3)+((COUNTIF('Elève (6ème3)'!QC17:QE17,"C"))*2)+((COUNTIF('Elève (6ème3)'!QC17:QE17,"D"))*1))/(COUNTA(QC17:QE17)),"")</f>
        <v/>
      </c>
      <c r="QG17" s="187" t="str">
        <f t="shared" si="104"/>
        <v/>
      </c>
      <c r="QH17" s="120"/>
      <c r="QI17" s="121"/>
      <c r="QJ17" s="122"/>
      <c r="QK17" s="188" t="str">
        <f>IFERROR((((COUNTIF('Elève (6ème3)'!QH17:QJ17,"A"))*4)+((COUNTIF('Elève (6ème3)'!QH17:QJ17,"B"))*3)+((COUNTIF('Elève (6ème3)'!QH17:QJ17,"C"))*2)+((COUNTIF('Elève (6ème3)'!QH17:QJ17,"D"))*1))/(COUNTA(QH17:QJ17)),"")</f>
        <v/>
      </c>
      <c r="QL17" s="187" t="str">
        <f t="shared" si="105"/>
        <v/>
      </c>
      <c r="QM17" s="120" t="s">
        <v>25</v>
      </c>
      <c r="QN17" s="121"/>
      <c r="QO17" s="122" t="s">
        <v>25</v>
      </c>
      <c r="QP17" s="188">
        <f>IFERROR((((COUNTIF('Elève (6ème3)'!QM17:QO17,"A"))*4)+((COUNTIF('Elève (6ème3)'!QM17:QO17,"B"))*3)+((COUNTIF('Elève (6ème3)'!QM17:QO17,"C"))*2)+((COUNTIF('Elève (6ème3)'!QM17:QO17,"D"))*1))/(COUNTA(QM17:QO17)),"")</f>
        <v>2</v>
      </c>
      <c r="QQ17" s="187" t="str">
        <f t="shared" si="106"/>
        <v>C</v>
      </c>
      <c r="QR17" s="188">
        <f>IF(COUNT(QF17,QK17,QP17)=0,"",SUM(QF17,QK17,QP17)/COUNT(QF17,QK17,QP17))</f>
        <v>2</v>
      </c>
      <c r="QS17" s="212" t="str">
        <f t="shared" si="107"/>
        <v>C</v>
      </c>
      <c r="QT17" s="125"/>
      <c r="QU17" s="121"/>
      <c r="QV17" s="122"/>
      <c r="QW17" s="123" t="str">
        <f>IFERROR((((COUNTIF('Elève (6ème3)'!QT17:QV17,"A"))*4)+((COUNTIF('Elève (6ème3)'!QT17:QV17,"B"))*3)+((COUNTIF('Elève (6ème3)'!QT17:QV17,"C"))*2)+((COUNTIF('Elève (6ème3)'!QT17:QV17,"D"))*1))/(COUNTA(QT17:QV17)),"")</f>
        <v/>
      </c>
      <c r="QX17" s="118" t="str">
        <f t="shared" si="108"/>
        <v/>
      </c>
      <c r="QY17" s="120"/>
      <c r="QZ17" s="121"/>
      <c r="RA17" s="122"/>
      <c r="RB17" s="123" t="str">
        <f>IFERROR((((COUNTIF('Elève (6ème3)'!QY17:RA17,"A"))*4)+((COUNTIF('Elève (6ème3)'!QY17:RA17,"B"))*3)+((COUNTIF('Elève (6ème3)'!QY17:RA17,"C"))*2)+((COUNTIF('Elève (6ème3)'!QY17:RA17,"D"))*1))/(COUNTA(QY17:RA17)),"")</f>
        <v/>
      </c>
      <c r="RC17" s="118" t="str">
        <f t="shared" si="109"/>
        <v/>
      </c>
      <c r="RD17" s="120"/>
      <c r="RE17" s="121"/>
      <c r="RF17" s="122"/>
      <c r="RG17" s="123" t="str">
        <f>IFERROR((((COUNTIF('Elève (6ème3)'!RD17:RF17,"A"))*4)+((COUNTIF('Elève (6ème3)'!RD17:RF17,"B"))*3)+((COUNTIF('Elève (6ème3)'!RD17:RF17,"C"))*2)+((COUNTIF('Elève (6ème3)'!RD17:RF17,"D"))*1))/(COUNTA(RD17:RF17)),"")</f>
        <v/>
      </c>
      <c r="RH17" s="118" t="str">
        <f t="shared" si="110"/>
        <v/>
      </c>
      <c r="RI17" s="123" t="str">
        <f>IF(COUNT(QW17,RB17,RG17)=0,"",SUM(QW17,RB17,RG17)/COUNT(QW17,RB17,RG17))</f>
        <v/>
      </c>
      <c r="RJ17" s="130" t="str">
        <f t="shared" si="111"/>
        <v/>
      </c>
      <c r="RK17" s="125"/>
      <c r="RL17" s="121"/>
      <c r="RM17" s="122"/>
      <c r="RN17" s="123" t="str">
        <f>IFERROR((((COUNTIF('Elève (6ème3)'!RK17:RM17,"A"))*4)+((COUNTIF('Elève (6ème3)'!RK17:RM17,"B"))*3)+((COUNTIF('Elève (6ème3)'!RK17:RM17,"C"))*2)+((COUNTIF('Elève (6ème3)'!RK17:RM17,"D"))*1))/(COUNTA(RK17:RM17)),"")</f>
        <v/>
      </c>
      <c r="RO17" s="118" t="str">
        <f t="shared" si="112"/>
        <v/>
      </c>
      <c r="RP17" s="120"/>
      <c r="RQ17" s="121"/>
      <c r="RR17" s="122"/>
      <c r="RS17" s="123" t="str">
        <f>IFERROR((((COUNTIF('Elève (6ème3)'!RP17:RR17,"A"))*4)+((COUNTIF('Elève (6ème3)'!RP17:RR17,"B"))*3)+((COUNTIF('Elève (6ème3)'!RP17:RR17,"C"))*2)+((COUNTIF('Elève (6ème3)'!RP17:RR17,"D"))*1))/(COUNTA(RP17:RR17)),"")</f>
        <v/>
      </c>
      <c r="RT17" s="118" t="str">
        <f t="shared" si="113"/>
        <v/>
      </c>
      <c r="RU17" s="120"/>
      <c r="RV17" s="121"/>
      <c r="RW17" s="122"/>
      <c r="RX17" s="123" t="str">
        <f>IFERROR((((COUNTIF('Elève (6ème3)'!RU17:RW17,"A"))*4)+((COUNTIF('Elève (6ème3)'!RU17:RW17,"B"))*3)+((COUNTIF('Elève (6ème3)'!RU17:RW17,"C"))*2)+((COUNTIF('Elève (6ème3)'!RU17:RW17,"D"))*1))/(COUNTA(RU17:RW17)),"")</f>
        <v/>
      </c>
      <c r="RY17" s="118" t="str">
        <f t="shared" si="114"/>
        <v/>
      </c>
      <c r="RZ17" s="123" t="str">
        <f>IF(COUNT(RN17,RS17,RX17)=0,"",SUM(RN17,RS17,RX17)/COUNT(RN17,RS17,RX17))</f>
        <v/>
      </c>
      <c r="SA17" s="130" t="str">
        <f t="shared" si="115"/>
        <v/>
      </c>
      <c r="SB17" s="125"/>
      <c r="SC17" s="121"/>
      <c r="SD17" s="122"/>
      <c r="SE17" s="123" t="str">
        <f>IFERROR((((COUNTIF('Elève (6ème3)'!SB17:SD17,"A"))*4)+((COUNTIF('Elève (6ème3)'!SB17:SD17,"B"))*3)+((COUNTIF('Elève (6ème3)'!SB17:SD17,"C"))*2)+((COUNTIF('Elève (6ème3)'!SB17:SD17,"D"))*1))/(COUNTA(SB17:SD17)),"")</f>
        <v/>
      </c>
      <c r="SF17" s="118" t="str">
        <f t="shared" si="116"/>
        <v/>
      </c>
      <c r="SG17" s="120"/>
      <c r="SH17" s="121"/>
      <c r="SI17" s="122"/>
      <c r="SJ17" s="123" t="str">
        <f>IFERROR((((COUNTIF('Elève (6ème3)'!SG17:SI17,"A"))*4)+((COUNTIF('Elève (6ème3)'!SG17:SI17,"B"))*3)+((COUNTIF('Elève (6ème3)'!SG17:SI17,"C"))*2)+((COUNTIF('Elève (6ème3)'!SG17:SI17,"D"))*1))/(COUNTA(SG17:SI17)),"")</f>
        <v/>
      </c>
      <c r="SK17" s="118" t="str">
        <f t="shared" si="117"/>
        <v/>
      </c>
      <c r="SL17" s="120"/>
      <c r="SM17" s="121"/>
      <c r="SN17" s="122"/>
      <c r="SO17" s="123" t="str">
        <f>IFERROR((((COUNTIF('Elève (6ème3)'!SL17:SN17,"A"))*4)+((COUNTIF('Elève (6ème3)'!SL17:SN17,"B"))*3)+((COUNTIF('Elève (6ème3)'!SL17:SN17,"C"))*2)+((COUNTIF('Elève (6ème3)'!SL17:SN17,"D"))*1))/(COUNTA(SL17:SN17)),"")</f>
        <v/>
      </c>
      <c r="SP17" s="118" t="str">
        <f t="shared" si="118"/>
        <v/>
      </c>
      <c r="SQ17" s="123" t="str">
        <f>IF(COUNT(SE17,SJ17,SO17)=0,"",SUM(SE17,SJ17,SO17)/COUNT(SE17,SJ17,SO17))</f>
        <v/>
      </c>
      <c r="SR17" s="130" t="str">
        <f t="shared" si="119"/>
        <v/>
      </c>
      <c r="SS17" s="125"/>
      <c r="ST17" s="121"/>
      <c r="SU17" s="122"/>
      <c r="SV17" s="123" t="str">
        <f>IFERROR((((COUNTIF('Elève (6ème3)'!SS17:SU17,"A"))*4)+((COUNTIF('Elève (6ème3)'!SS17:SU17,"B"))*3)+((COUNTIF('Elève (6ème3)'!SS17:SU17,"C"))*2)+((COUNTIF('Elève (6ème3)'!SS17:SU17,"D"))*1))/(COUNTA(SS17:SU17)),"")</f>
        <v/>
      </c>
      <c r="SW17" s="118" t="str">
        <f t="shared" si="120"/>
        <v/>
      </c>
      <c r="SX17" s="120"/>
      <c r="SY17" s="121"/>
      <c r="SZ17" s="122"/>
      <c r="TA17" s="123" t="str">
        <f>IFERROR((((COUNTIF('Elève (6ème3)'!SX17:SZ17,"A"))*4)+((COUNTIF('Elève (6ème3)'!SX17:SZ17,"B"))*3)+((COUNTIF('Elève (6ème3)'!SX17:SZ17,"C"))*2)+((COUNTIF('Elève (6ème3)'!SX17:SZ17,"D"))*1))/(COUNTA(SX17:SZ17)),"")</f>
        <v/>
      </c>
      <c r="TB17" s="118" t="str">
        <f t="shared" si="121"/>
        <v/>
      </c>
      <c r="TC17" s="120"/>
      <c r="TD17" s="121"/>
      <c r="TE17" s="122"/>
      <c r="TF17" s="123" t="str">
        <f>IFERROR((((COUNTIF('Elève (6ème3)'!TC17:TE17,"A"))*4)+((COUNTIF('Elève (6ème3)'!TC17:TE17,"B"))*3)+((COUNTIF('Elève (6ème3)'!TC17:TE17,"C"))*2)+((COUNTIF('Elève (6ème3)'!TC17:TE17,"D"))*1))/(COUNTA(TC17:TE17)),"")</f>
        <v/>
      </c>
      <c r="TG17" s="118" t="str">
        <f t="shared" si="122"/>
        <v/>
      </c>
      <c r="TH17" s="123" t="str">
        <f>IF(COUNT(SV17,TA17,TF17)=0,"",SUM(SV17,TA17,TF17)/COUNT(SV17,TA17,TF17))</f>
        <v/>
      </c>
      <c r="TI17" s="130" t="str">
        <f t="shared" si="123"/>
        <v/>
      </c>
      <c r="TJ17" s="125"/>
      <c r="TK17" s="121"/>
      <c r="TL17" s="122"/>
      <c r="TM17" s="123" t="str">
        <f>IFERROR((((COUNTIF('Elève (6ème3)'!TJ17:TL17,"A"))*4)+((COUNTIF('Elève (6ème3)'!TJ17:TL17,"B"))*3)+((COUNTIF('Elève (6ème3)'!TJ17:TL17,"C"))*2)+((COUNTIF('Elève (6ème3)'!TJ17:TL17,"D"))*1))/(COUNTA(TJ17:TL17)),"")</f>
        <v/>
      </c>
      <c r="TN17" s="118" t="str">
        <f t="shared" si="124"/>
        <v/>
      </c>
      <c r="TO17" s="120"/>
      <c r="TP17" s="121"/>
      <c r="TQ17" s="122"/>
      <c r="TR17" s="123" t="str">
        <f>IFERROR((((COUNTIF('Elève (6ème3)'!TO17:TQ17,"A"))*4)+((COUNTIF('Elève (6ème3)'!TO17:TQ17,"B"))*3)+((COUNTIF('Elève (6ème3)'!TO17:TQ17,"C"))*2)+((COUNTIF('Elève (6ème3)'!TO17:TQ17,"D"))*1))/(COUNTA(TO17:TQ17)),"")</f>
        <v/>
      </c>
      <c r="TS17" s="118" t="str">
        <f t="shared" si="125"/>
        <v/>
      </c>
      <c r="TT17" s="120"/>
      <c r="TU17" s="121"/>
      <c r="TV17" s="122"/>
      <c r="TW17" s="123" t="str">
        <f>IFERROR((((COUNTIF('Elève (6ème3)'!TT17:TV17,"A"))*4)+((COUNTIF('Elève (6ème3)'!TT17:TV17,"B"))*3)+((COUNTIF('Elève (6ème3)'!TT17:TV17,"C"))*2)+((COUNTIF('Elève (6ème3)'!TT17:TV17,"D"))*1))/(COUNTA(TT17:TV17)),"")</f>
        <v/>
      </c>
      <c r="TX17" s="118" t="str">
        <f t="shared" si="126"/>
        <v/>
      </c>
      <c r="TY17" s="123" t="str">
        <f>IF(COUNT(TM17,TR17,TW17)=0,"",SUM(TM17,TR17,TW17)/COUNT(TM17,TR17,TW17))</f>
        <v/>
      </c>
      <c r="TZ17" s="130" t="str">
        <f t="shared" si="127"/>
        <v/>
      </c>
    </row>
    <row r="18" spans="1:546" s="98" customFormat="1" ht="16.5" customHeight="1" thickBot="1" x14ac:dyDescent="0.3">
      <c r="A18" s="164" t="s">
        <v>21</v>
      </c>
      <c r="B18" s="164">
        <v>1</v>
      </c>
      <c r="C18" s="255"/>
      <c r="D18" s="250"/>
      <c r="E18" s="251"/>
      <c r="F18" s="181" t="str">
        <f>IF(COUNT(F19:F20)=0,"",SUM(F19:F20)/COUNT(F19:F20))</f>
        <v/>
      </c>
      <c r="G18" s="182" t="str">
        <f t="shared" si="0"/>
        <v/>
      </c>
      <c r="H18" s="252"/>
      <c r="I18" s="250"/>
      <c r="J18" s="251"/>
      <c r="K18" s="181">
        <f>IF(COUNT(K19:K20)=0,"",SUM(K19:K20)/COUNT(K19:K20))</f>
        <v>3</v>
      </c>
      <c r="L18" s="198" t="str">
        <f t="shared" si="1"/>
        <v>B</v>
      </c>
      <c r="M18" s="247"/>
      <c r="N18" s="245"/>
      <c r="O18" s="246"/>
      <c r="P18" s="181" t="str">
        <f>IF(COUNT(P19:P20)=0,"",SUM(P19:P20)/COUNT(P19:P20))</f>
        <v/>
      </c>
      <c r="Q18" s="205" t="str">
        <f t="shared" si="2"/>
        <v/>
      </c>
      <c r="R18" s="181" t="str">
        <f>IF(COUNT(R20)=0,"",SUM(R20)/COUNT(R20))</f>
        <v/>
      </c>
      <c r="S18" s="206" t="str">
        <f t="shared" si="3"/>
        <v/>
      </c>
      <c r="T18" s="250"/>
      <c r="U18" s="250"/>
      <c r="V18" s="251"/>
      <c r="W18" s="181" t="str">
        <f>IF(COUNT(W19:W20)=0,"",SUM(W19:W20)/COUNT(W19:W20))</f>
        <v/>
      </c>
      <c r="X18" s="182" t="str">
        <f t="shared" si="4"/>
        <v/>
      </c>
      <c r="Y18" s="252"/>
      <c r="Z18" s="250"/>
      <c r="AA18" s="251"/>
      <c r="AB18" s="181" t="str">
        <f>IF(COUNT(AB20)=0,"",SUM(AB20)/COUNT(AB20))</f>
        <v/>
      </c>
      <c r="AC18" s="198" t="str">
        <f t="shared" si="5"/>
        <v/>
      </c>
      <c r="AD18" s="247"/>
      <c r="AE18" s="245"/>
      <c r="AF18" s="246"/>
      <c r="AG18" s="181" t="str">
        <f>IF(COUNT(AG20)=0,"",SUM(AG20)/COUNT(AG20))</f>
        <v/>
      </c>
      <c r="AH18" s="205" t="str">
        <f t="shared" si="6"/>
        <v/>
      </c>
      <c r="AI18" s="181" t="str">
        <f>IF(COUNT(AI20)=0,"",SUM(AI20)/COUNT(AI20))</f>
        <v/>
      </c>
      <c r="AJ18" s="206" t="str">
        <f t="shared" si="7"/>
        <v/>
      </c>
      <c r="AK18" s="250"/>
      <c r="AL18" s="250"/>
      <c r="AM18" s="251"/>
      <c r="AN18" s="181" t="str">
        <f>IF(COUNT(AN19:AN20)=0,"",SUM(AN19:AN20)/COUNT(AN19:AN20))</f>
        <v/>
      </c>
      <c r="AO18" s="182" t="str">
        <f t="shared" si="8"/>
        <v/>
      </c>
      <c r="AP18" s="252"/>
      <c r="AQ18" s="250"/>
      <c r="AR18" s="251"/>
      <c r="AS18" s="181" t="str">
        <f>IF(COUNT(AS20)=0,"",SUM(AS20)/COUNT(AS20))</f>
        <v/>
      </c>
      <c r="AT18" s="198" t="str">
        <f t="shared" si="9"/>
        <v/>
      </c>
      <c r="AU18" s="247"/>
      <c r="AV18" s="245"/>
      <c r="AW18" s="246"/>
      <c r="AX18" s="181" t="str">
        <f>IF(COUNT(AX20)=0,"",SUM(AX20)/COUNT(AX20))</f>
        <v/>
      </c>
      <c r="AY18" s="205" t="str">
        <f t="shared" si="10"/>
        <v/>
      </c>
      <c r="AZ18" s="181" t="str">
        <f>IF(COUNT(AZ20)=0,"",SUM(AZ20)/COUNT(AZ20))</f>
        <v/>
      </c>
      <c r="BA18" s="206" t="str">
        <f t="shared" si="11"/>
        <v/>
      </c>
      <c r="BB18" s="250"/>
      <c r="BC18" s="250"/>
      <c r="BD18" s="251"/>
      <c r="BE18" s="181" t="str">
        <f>IF(COUNT(BE19:BE20)=0,"",SUM(BE19:BE20)/COUNT(BE19:BE20))</f>
        <v/>
      </c>
      <c r="BF18" s="182" t="str">
        <f t="shared" si="12"/>
        <v/>
      </c>
      <c r="BG18" s="252"/>
      <c r="BH18" s="250"/>
      <c r="BI18" s="251"/>
      <c r="BJ18" s="181" t="str">
        <f>IF(COUNT(BJ20)=0,"",SUM(BJ20)/COUNT(BJ20))</f>
        <v/>
      </c>
      <c r="BK18" s="198" t="str">
        <f t="shared" si="13"/>
        <v/>
      </c>
      <c r="BL18" s="247"/>
      <c r="BM18" s="245"/>
      <c r="BN18" s="246"/>
      <c r="BO18" s="181" t="str">
        <f>IF(COUNT(BO20)=0,"",SUM(BO20)/COUNT(BO20))</f>
        <v/>
      </c>
      <c r="BP18" s="205" t="str">
        <f t="shared" si="14"/>
        <v/>
      </c>
      <c r="BQ18" s="181" t="str">
        <f>IF(COUNT(BQ20)=0,"",SUM(BQ20)/COUNT(BQ20))</f>
        <v/>
      </c>
      <c r="BR18" s="206" t="str">
        <f t="shared" si="15"/>
        <v/>
      </c>
      <c r="BS18" s="250"/>
      <c r="BT18" s="250"/>
      <c r="BU18" s="251"/>
      <c r="BV18" s="181" t="str">
        <f>IF(COUNT(BV19:BV20)=0,"",SUM(BV19:BV20)/COUNT(BV19:BV20))</f>
        <v/>
      </c>
      <c r="BW18" s="182" t="str">
        <f t="shared" si="16"/>
        <v/>
      </c>
      <c r="BX18" s="252"/>
      <c r="BY18" s="250"/>
      <c r="BZ18" s="251"/>
      <c r="CA18" s="181" t="str">
        <f>IF(COUNT(CA20)=0,"",SUM(CA20)/COUNT(CA20))</f>
        <v/>
      </c>
      <c r="CB18" s="198" t="str">
        <f t="shared" si="17"/>
        <v/>
      </c>
      <c r="CC18" s="247"/>
      <c r="CD18" s="245"/>
      <c r="CE18" s="246"/>
      <c r="CF18" s="181" t="str">
        <f>IF(COUNT(CF20)=0,"",SUM(CF20)/COUNT(CF20))</f>
        <v/>
      </c>
      <c r="CG18" s="205" t="str">
        <f t="shared" si="18"/>
        <v/>
      </c>
      <c r="CH18" s="181" t="str">
        <f>IF(COUNT(CH20)=0,"",SUM(CH20)/COUNT(CH20))</f>
        <v/>
      </c>
      <c r="CI18" s="206" t="str">
        <f t="shared" si="19"/>
        <v/>
      </c>
      <c r="CJ18" s="250"/>
      <c r="CK18" s="250"/>
      <c r="CL18" s="251"/>
      <c r="CM18" s="181" t="str">
        <f>IF(COUNT(CM19:CM20)=0,"",SUM(CM19:CM20)/COUNT(CM19:CM20))</f>
        <v/>
      </c>
      <c r="CN18" s="182" t="str">
        <f t="shared" si="20"/>
        <v/>
      </c>
      <c r="CO18" s="252"/>
      <c r="CP18" s="250"/>
      <c r="CQ18" s="251"/>
      <c r="CR18" s="181" t="str">
        <f>IF(COUNT(CR20)=0,"",SUM(CR20)/COUNT(CR20))</f>
        <v/>
      </c>
      <c r="CS18" s="198" t="str">
        <f t="shared" si="21"/>
        <v/>
      </c>
      <c r="CT18" s="247"/>
      <c r="CU18" s="245"/>
      <c r="CV18" s="246"/>
      <c r="CW18" s="181" t="str">
        <f>IF(COUNT(CW20)=0,"",SUM(CW20)/COUNT(CW20))</f>
        <v/>
      </c>
      <c r="CX18" s="205" t="str">
        <f t="shared" si="22"/>
        <v/>
      </c>
      <c r="CY18" s="181" t="str">
        <f>IF(COUNT(CY20)=0,"",SUM(CY20)/COUNT(CY20))</f>
        <v/>
      </c>
      <c r="CZ18" s="206" t="str">
        <f t="shared" si="23"/>
        <v/>
      </c>
      <c r="DA18" s="250"/>
      <c r="DB18" s="250"/>
      <c r="DC18" s="251"/>
      <c r="DD18" s="181" t="str">
        <f>IF(COUNT(DD19:DD20)=0,"",SUM(DD19:DD20)/COUNT(DD19:DD20))</f>
        <v/>
      </c>
      <c r="DE18" s="182" t="str">
        <f t="shared" si="24"/>
        <v/>
      </c>
      <c r="DF18" s="252"/>
      <c r="DG18" s="250"/>
      <c r="DH18" s="251"/>
      <c r="DI18" s="181" t="str">
        <f>IF(COUNT(DI20)=0,"",SUM(DI20)/COUNT(DI20))</f>
        <v/>
      </c>
      <c r="DJ18" s="198" t="str">
        <f t="shared" si="25"/>
        <v/>
      </c>
      <c r="DK18" s="247"/>
      <c r="DL18" s="245"/>
      <c r="DM18" s="246"/>
      <c r="DN18" s="181" t="str">
        <f>IF(COUNT(DN20)=0,"",SUM(DN20)/COUNT(DN20))</f>
        <v/>
      </c>
      <c r="DO18" s="205" t="str">
        <f t="shared" si="26"/>
        <v/>
      </c>
      <c r="DP18" s="181" t="str">
        <f>IF(COUNT(DP20)=0,"",SUM(DP20)/COUNT(DP20))</f>
        <v/>
      </c>
      <c r="DQ18" s="206" t="str">
        <f t="shared" si="27"/>
        <v/>
      </c>
      <c r="DR18" s="250"/>
      <c r="DS18" s="250"/>
      <c r="DT18" s="251"/>
      <c r="DU18" s="181" t="str">
        <f>IF(COUNT(DU19:DU20)=0,"",SUM(DU19:DU20)/COUNT(DU19:DU20))</f>
        <v/>
      </c>
      <c r="DV18" s="182" t="str">
        <f t="shared" si="28"/>
        <v/>
      </c>
      <c r="DW18" s="252"/>
      <c r="DX18" s="250"/>
      <c r="DY18" s="251"/>
      <c r="DZ18" s="181" t="str">
        <f>IF(COUNT(DZ20)=0,"",SUM(DZ20)/COUNT(DZ20))</f>
        <v/>
      </c>
      <c r="EA18" s="198" t="str">
        <f t="shared" si="29"/>
        <v/>
      </c>
      <c r="EB18" s="247"/>
      <c r="EC18" s="245"/>
      <c r="ED18" s="246"/>
      <c r="EE18" s="181" t="str">
        <f>IF(COUNT(EE20)=0,"",SUM(EE20)/COUNT(EE20))</f>
        <v/>
      </c>
      <c r="EF18" s="205" t="str">
        <f t="shared" si="30"/>
        <v/>
      </c>
      <c r="EG18" s="181" t="str">
        <f>IF(COUNT(EG20)=0,"",SUM(EG20)/COUNT(EG20))</f>
        <v/>
      </c>
      <c r="EH18" s="206" t="str">
        <f t="shared" si="31"/>
        <v/>
      </c>
      <c r="EI18" s="250"/>
      <c r="EJ18" s="250"/>
      <c r="EK18" s="251"/>
      <c r="EL18" s="181" t="str">
        <f>IF(COUNT(EL19:EL20)=0,"",SUM(EL19:EL20)/COUNT(EL19:EL20))</f>
        <v/>
      </c>
      <c r="EM18" s="182" t="str">
        <f t="shared" si="32"/>
        <v/>
      </c>
      <c r="EN18" s="252"/>
      <c r="EO18" s="250"/>
      <c r="EP18" s="251"/>
      <c r="EQ18" s="181" t="str">
        <f>IF(COUNT(EQ20)=0,"",SUM(EQ20)/COUNT(EQ20))</f>
        <v/>
      </c>
      <c r="ER18" s="198" t="str">
        <f t="shared" si="33"/>
        <v/>
      </c>
      <c r="ES18" s="247"/>
      <c r="ET18" s="245"/>
      <c r="EU18" s="246"/>
      <c r="EV18" s="181" t="str">
        <f>IF(COUNT(EV20)=0,"",SUM(EV20)/COUNT(EV20))</f>
        <v/>
      </c>
      <c r="EW18" s="205" t="str">
        <f t="shared" si="34"/>
        <v/>
      </c>
      <c r="EX18" s="181" t="str">
        <f>IF(COUNT(EX20)=0,"",SUM(EX20)/COUNT(EX20))</f>
        <v/>
      </c>
      <c r="EY18" s="206" t="str">
        <f t="shared" si="35"/>
        <v/>
      </c>
      <c r="EZ18" s="250"/>
      <c r="FA18" s="250"/>
      <c r="FB18" s="251"/>
      <c r="FC18" s="181" t="str">
        <f>IF(COUNT(FC19:FC20)=0,"",SUM(FC19:FC20)/COUNT(FC19:FC20))</f>
        <v/>
      </c>
      <c r="FD18" s="182" t="str">
        <f t="shared" si="36"/>
        <v/>
      </c>
      <c r="FE18" s="252"/>
      <c r="FF18" s="250"/>
      <c r="FG18" s="251"/>
      <c r="FH18" s="181" t="str">
        <f>IF(COUNT(FH20)=0,"",SUM(FH20)/COUNT(FH20))</f>
        <v/>
      </c>
      <c r="FI18" s="198" t="str">
        <f t="shared" si="37"/>
        <v/>
      </c>
      <c r="FJ18" s="247"/>
      <c r="FK18" s="245"/>
      <c r="FL18" s="246"/>
      <c r="FM18" s="181" t="str">
        <f>IF(COUNT(FM20)=0,"",SUM(FM20)/COUNT(FM20))</f>
        <v/>
      </c>
      <c r="FN18" s="205" t="str">
        <f t="shared" si="38"/>
        <v/>
      </c>
      <c r="FO18" s="181" t="str">
        <f>IF(COUNT(FO20)=0,"",SUM(FO20)/COUNT(FO20))</f>
        <v/>
      </c>
      <c r="FP18" s="206" t="str">
        <f t="shared" si="39"/>
        <v/>
      </c>
      <c r="FQ18" s="250"/>
      <c r="FR18" s="250"/>
      <c r="FS18" s="251"/>
      <c r="FT18" s="181" t="str">
        <f>IF(COUNT(FT19:FT20)=0,"",SUM(FT19:FT20)/COUNT(FT19:FT20))</f>
        <v/>
      </c>
      <c r="FU18" s="182" t="str">
        <f t="shared" si="40"/>
        <v/>
      </c>
      <c r="FV18" s="252"/>
      <c r="FW18" s="250"/>
      <c r="FX18" s="251"/>
      <c r="FY18" s="181" t="str">
        <f>IF(COUNT(FY20)=0,"",SUM(FY20)/COUNT(FY20))</f>
        <v/>
      </c>
      <c r="FZ18" s="198" t="str">
        <f t="shared" si="41"/>
        <v/>
      </c>
      <c r="GA18" s="247"/>
      <c r="GB18" s="245"/>
      <c r="GC18" s="246"/>
      <c r="GD18" s="181" t="str">
        <f>IF(COUNT(GD20)=0,"",SUM(GD20)/COUNT(GD20))</f>
        <v/>
      </c>
      <c r="GE18" s="205" t="str">
        <f t="shared" si="42"/>
        <v/>
      </c>
      <c r="GF18" s="181" t="str">
        <f>IF(COUNT(GF20)=0,"",SUM(GF20)/COUNT(GF20))</f>
        <v/>
      </c>
      <c r="GG18" s="206" t="str">
        <f t="shared" si="43"/>
        <v/>
      </c>
      <c r="GH18" s="250"/>
      <c r="GI18" s="250"/>
      <c r="GJ18" s="251"/>
      <c r="GK18" s="181" t="str">
        <f>IF(COUNT(GK19:GK20)=0,"",SUM(GK19:GK20)/COUNT(GK19:GK20))</f>
        <v/>
      </c>
      <c r="GL18" s="182" t="str">
        <f t="shared" si="44"/>
        <v/>
      </c>
      <c r="GM18" s="252"/>
      <c r="GN18" s="250"/>
      <c r="GO18" s="251"/>
      <c r="GP18" s="181" t="str">
        <f>IF(COUNT(GP20)=0,"",SUM(GP20)/COUNT(GP20))</f>
        <v/>
      </c>
      <c r="GQ18" s="198" t="str">
        <f t="shared" si="45"/>
        <v/>
      </c>
      <c r="GR18" s="247"/>
      <c r="GS18" s="245"/>
      <c r="GT18" s="246"/>
      <c r="GU18" s="181" t="str">
        <f>IF(COUNT(GU20)=0,"",SUM(GU20)/COUNT(GU20))</f>
        <v/>
      </c>
      <c r="GV18" s="205" t="str">
        <f t="shared" si="46"/>
        <v/>
      </c>
      <c r="GW18" s="181" t="str">
        <f>IF(COUNT(GW20)=0,"",SUM(GW20)/COUNT(GW20))</f>
        <v/>
      </c>
      <c r="GX18" s="206" t="str">
        <f t="shared" si="47"/>
        <v/>
      </c>
      <c r="GY18" s="250"/>
      <c r="GZ18" s="250"/>
      <c r="HA18" s="251"/>
      <c r="HB18" s="181" t="str">
        <f>IF(COUNT(HB19:HB20)=0,"",SUM(HB19:HB20)/COUNT(HB19:HB20))</f>
        <v/>
      </c>
      <c r="HC18" s="182" t="str">
        <f t="shared" si="48"/>
        <v/>
      </c>
      <c r="HD18" s="252"/>
      <c r="HE18" s="250"/>
      <c r="HF18" s="251"/>
      <c r="HG18" s="181" t="str">
        <f>IF(COUNT(HG20)=0,"",SUM(HG20)/COUNT(HG20))</f>
        <v/>
      </c>
      <c r="HH18" s="198" t="str">
        <f t="shared" si="49"/>
        <v/>
      </c>
      <c r="HI18" s="247"/>
      <c r="HJ18" s="245"/>
      <c r="HK18" s="246"/>
      <c r="HL18" s="181" t="str">
        <f>IF(COUNT(HL20)=0,"",SUM(HL20)/COUNT(HL20))</f>
        <v/>
      </c>
      <c r="HM18" s="205" t="str">
        <f t="shared" si="50"/>
        <v/>
      </c>
      <c r="HN18" s="181" t="str">
        <f>IF(COUNT(HN20)=0,"",SUM(HN20)/COUNT(HN20))</f>
        <v/>
      </c>
      <c r="HO18" s="206" t="str">
        <f t="shared" si="51"/>
        <v/>
      </c>
      <c r="HP18" s="250"/>
      <c r="HQ18" s="250"/>
      <c r="HR18" s="251"/>
      <c r="HS18" s="181" t="str">
        <f>IF(COUNT(HS19:HS20)=0,"",SUM(HS19:HS20)/COUNT(HS19:HS20))</f>
        <v/>
      </c>
      <c r="HT18" s="182" t="str">
        <f t="shared" si="52"/>
        <v/>
      </c>
      <c r="HU18" s="252"/>
      <c r="HV18" s="250"/>
      <c r="HW18" s="251"/>
      <c r="HX18" s="181" t="str">
        <f>IF(COUNT(HX20)=0,"",SUM(HX20)/COUNT(HX20))</f>
        <v/>
      </c>
      <c r="HY18" s="198" t="str">
        <f t="shared" si="53"/>
        <v/>
      </c>
      <c r="HZ18" s="247"/>
      <c r="IA18" s="245"/>
      <c r="IB18" s="246"/>
      <c r="IC18" s="181" t="str">
        <f>IF(COUNT(IC20)=0,"",SUM(IC20)/COUNT(IC20))</f>
        <v/>
      </c>
      <c r="ID18" s="205" t="str">
        <f t="shared" si="54"/>
        <v/>
      </c>
      <c r="IE18" s="181" t="str">
        <f>IF(COUNT(IE20)=0,"",SUM(IE20)/COUNT(IE20))</f>
        <v/>
      </c>
      <c r="IF18" s="206" t="str">
        <f t="shared" si="55"/>
        <v/>
      </c>
      <c r="IG18" s="250"/>
      <c r="IH18" s="250"/>
      <c r="II18" s="251"/>
      <c r="IJ18" s="181" t="str">
        <f>IF(COUNT(IJ19:IJ20)=0,"",SUM(IJ19:IJ20)/COUNT(IJ19:IJ20))</f>
        <v/>
      </c>
      <c r="IK18" s="182" t="str">
        <f t="shared" si="56"/>
        <v/>
      </c>
      <c r="IL18" s="252"/>
      <c r="IM18" s="250"/>
      <c r="IN18" s="251"/>
      <c r="IO18" s="181" t="str">
        <f>IF(COUNT(IO20)=0,"",SUM(IO20)/COUNT(IO20))</f>
        <v/>
      </c>
      <c r="IP18" s="198" t="str">
        <f t="shared" si="57"/>
        <v/>
      </c>
      <c r="IQ18" s="247"/>
      <c r="IR18" s="245"/>
      <c r="IS18" s="246"/>
      <c r="IT18" s="181" t="str">
        <f>IF(COUNT(IT20)=0,"",SUM(IT20)/COUNT(IT20))</f>
        <v/>
      </c>
      <c r="IU18" s="205" t="str">
        <f t="shared" si="58"/>
        <v/>
      </c>
      <c r="IV18" s="181" t="str">
        <f>IF(COUNT(IV20)=0,"",SUM(IV20)/COUNT(IV20))</f>
        <v/>
      </c>
      <c r="IW18" s="206" t="str">
        <f t="shared" si="59"/>
        <v/>
      </c>
      <c r="IX18" s="250"/>
      <c r="IY18" s="250"/>
      <c r="IZ18" s="251"/>
      <c r="JA18" s="181" t="str">
        <f>IF(COUNT(JA19:JA20)=0,"",SUM(JA19:JA20)/COUNT(JA19:JA20))</f>
        <v/>
      </c>
      <c r="JB18" s="182" t="str">
        <f t="shared" si="60"/>
        <v/>
      </c>
      <c r="JC18" s="252"/>
      <c r="JD18" s="250"/>
      <c r="JE18" s="251"/>
      <c r="JF18" s="181" t="str">
        <f>IF(COUNT(JF20)=0,"",SUM(JF20)/COUNT(JF20))</f>
        <v/>
      </c>
      <c r="JG18" s="198" t="str">
        <f t="shared" si="61"/>
        <v/>
      </c>
      <c r="JH18" s="247"/>
      <c r="JI18" s="245"/>
      <c r="JJ18" s="246"/>
      <c r="JK18" s="181" t="str">
        <f>IF(COUNT(JK20)=0,"",SUM(JK20)/COUNT(JK20))</f>
        <v/>
      </c>
      <c r="JL18" s="205" t="str">
        <f t="shared" si="62"/>
        <v/>
      </c>
      <c r="JM18" s="181" t="str">
        <f>IF(COUNT(JM20)=0,"",SUM(JM20)/COUNT(JM20))</f>
        <v/>
      </c>
      <c r="JN18" s="206" t="str">
        <f t="shared" si="63"/>
        <v/>
      </c>
      <c r="JO18" s="250"/>
      <c r="JP18" s="250"/>
      <c r="JQ18" s="251"/>
      <c r="JR18" s="181" t="str">
        <f>IF(COUNT(JR19:JR20)=0,"",SUM(JR19:JR20)/COUNT(JR19:JR20))</f>
        <v/>
      </c>
      <c r="JS18" s="182" t="str">
        <f t="shared" si="64"/>
        <v/>
      </c>
      <c r="JT18" s="252"/>
      <c r="JU18" s="250"/>
      <c r="JV18" s="251"/>
      <c r="JW18" s="181" t="str">
        <f>IF(COUNT(JW20)=0,"",SUM(JW20)/COUNT(JW20))</f>
        <v/>
      </c>
      <c r="JX18" s="198" t="str">
        <f t="shared" si="65"/>
        <v/>
      </c>
      <c r="JY18" s="247"/>
      <c r="JZ18" s="245"/>
      <c r="KA18" s="246"/>
      <c r="KB18" s="181" t="str">
        <f>IF(COUNT(KB20)=0,"",SUM(KB20)/COUNT(KB20))</f>
        <v/>
      </c>
      <c r="KC18" s="205" t="str">
        <f t="shared" si="66"/>
        <v/>
      </c>
      <c r="KD18" s="181" t="str">
        <f>IF(COUNT(KD20)=0,"",SUM(KD20)/COUNT(KD20))</f>
        <v/>
      </c>
      <c r="KE18" s="206" t="str">
        <f t="shared" si="67"/>
        <v/>
      </c>
      <c r="KF18" s="250"/>
      <c r="KG18" s="250"/>
      <c r="KH18" s="251"/>
      <c r="KI18" s="181" t="str">
        <f>IF(COUNT(KI19:KI20)=0,"",SUM(KI19:KI20)/COUNT(KI19:KI20))</f>
        <v/>
      </c>
      <c r="KJ18" s="182" t="str">
        <f t="shared" si="68"/>
        <v/>
      </c>
      <c r="KK18" s="252"/>
      <c r="KL18" s="250"/>
      <c r="KM18" s="251"/>
      <c r="KN18" s="181" t="str">
        <f>IF(COUNT(KN20)=0,"",SUM(KN20)/COUNT(KN20))</f>
        <v/>
      </c>
      <c r="KO18" s="198" t="str">
        <f t="shared" si="69"/>
        <v/>
      </c>
      <c r="KP18" s="247"/>
      <c r="KQ18" s="245"/>
      <c r="KR18" s="246"/>
      <c r="KS18" s="181" t="str">
        <f>IF(COUNT(KS20)=0,"",SUM(KS20)/COUNT(KS20))</f>
        <v/>
      </c>
      <c r="KT18" s="205" t="str">
        <f t="shared" si="70"/>
        <v/>
      </c>
      <c r="KU18" s="181" t="str">
        <f>IF(COUNT(KU20)=0,"",SUM(KU20)/COUNT(KU20))</f>
        <v/>
      </c>
      <c r="KV18" s="206" t="str">
        <f t="shared" si="71"/>
        <v/>
      </c>
      <c r="KW18" s="250"/>
      <c r="KX18" s="250"/>
      <c r="KY18" s="251"/>
      <c r="KZ18" s="181" t="str">
        <f>IF(COUNT(KZ19:KZ20)=0,"",SUM(KZ19:KZ20)/COUNT(KZ19:KZ20))</f>
        <v/>
      </c>
      <c r="LA18" s="182" t="str">
        <f t="shared" si="72"/>
        <v/>
      </c>
      <c r="LB18" s="252"/>
      <c r="LC18" s="250"/>
      <c r="LD18" s="251"/>
      <c r="LE18" s="181" t="str">
        <f>IF(COUNT(LE20)=0,"",SUM(LE20)/COUNT(LE20))</f>
        <v/>
      </c>
      <c r="LF18" s="198" t="str">
        <f t="shared" si="73"/>
        <v/>
      </c>
      <c r="LG18" s="247"/>
      <c r="LH18" s="245"/>
      <c r="LI18" s="246"/>
      <c r="LJ18" s="181" t="str">
        <f>IF(COUNT(LJ20)=0,"",SUM(LJ20)/COUNT(LJ20))</f>
        <v/>
      </c>
      <c r="LK18" s="205" t="str">
        <f t="shared" si="74"/>
        <v/>
      </c>
      <c r="LL18" s="181" t="str">
        <f>IF(COUNT(LL20)=0,"",SUM(LL20)/COUNT(LL20))</f>
        <v/>
      </c>
      <c r="LM18" s="206" t="str">
        <f t="shared" si="75"/>
        <v/>
      </c>
      <c r="LN18" s="250"/>
      <c r="LO18" s="250"/>
      <c r="LP18" s="251"/>
      <c r="LQ18" s="181" t="str">
        <f>IF(COUNT(LQ19:LQ20)=0,"",SUM(LQ19:LQ20)/COUNT(LQ19:LQ20))</f>
        <v/>
      </c>
      <c r="LR18" s="182" t="str">
        <f t="shared" si="76"/>
        <v/>
      </c>
      <c r="LS18" s="252"/>
      <c r="LT18" s="250"/>
      <c r="LU18" s="251"/>
      <c r="LV18" s="181" t="str">
        <f>IF(COUNT(LV20)=0,"",SUM(LV20)/COUNT(LV20))</f>
        <v/>
      </c>
      <c r="LW18" s="198" t="str">
        <f t="shared" si="77"/>
        <v/>
      </c>
      <c r="LX18" s="247"/>
      <c r="LY18" s="245"/>
      <c r="LZ18" s="246"/>
      <c r="MA18" s="181" t="str">
        <f>IF(COUNT(MA20)=0,"",SUM(MA20)/COUNT(MA20))</f>
        <v/>
      </c>
      <c r="MB18" s="205" t="str">
        <f t="shared" si="78"/>
        <v/>
      </c>
      <c r="MC18" s="181" t="str">
        <f>IF(COUNT(MC20)=0,"",SUM(MC20)/COUNT(MC20))</f>
        <v/>
      </c>
      <c r="MD18" s="206" t="str">
        <f t="shared" si="79"/>
        <v/>
      </c>
      <c r="ME18" s="250"/>
      <c r="MF18" s="250"/>
      <c r="MG18" s="251"/>
      <c r="MH18" s="181" t="str">
        <f>IF(COUNT(MH19:MH20)=0,"",SUM(MH19:MH20)/COUNT(MH19:MH20))</f>
        <v/>
      </c>
      <c r="MI18" s="182" t="str">
        <f t="shared" si="80"/>
        <v/>
      </c>
      <c r="MJ18" s="252"/>
      <c r="MK18" s="250"/>
      <c r="ML18" s="251"/>
      <c r="MM18" s="181" t="str">
        <f>IF(COUNT(MM20)=0,"",SUM(MM20)/COUNT(MM20))</f>
        <v/>
      </c>
      <c r="MN18" s="198" t="str">
        <f t="shared" si="81"/>
        <v/>
      </c>
      <c r="MO18" s="247"/>
      <c r="MP18" s="245"/>
      <c r="MQ18" s="246"/>
      <c r="MR18" s="181" t="str">
        <f>IF(COUNT(MR20)=0,"",SUM(MR20)/COUNT(MR20))</f>
        <v/>
      </c>
      <c r="MS18" s="205" t="str">
        <f t="shared" si="82"/>
        <v/>
      </c>
      <c r="MT18" s="181" t="str">
        <f>IF(COUNT(MT20)=0,"",SUM(MT20)/COUNT(MT20))</f>
        <v/>
      </c>
      <c r="MU18" s="206" t="str">
        <f t="shared" si="83"/>
        <v/>
      </c>
      <c r="MV18" s="250"/>
      <c r="MW18" s="250"/>
      <c r="MX18" s="251"/>
      <c r="MY18" s="181" t="str">
        <f>IF(COUNT(MY19:MY20)=0,"",SUM(MY19:MY20)/COUNT(MY19:MY20))</f>
        <v/>
      </c>
      <c r="MZ18" s="182" t="str">
        <f t="shared" si="84"/>
        <v/>
      </c>
      <c r="NA18" s="252"/>
      <c r="NB18" s="250"/>
      <c r="NC18" s="251"/>
      <c r="ND18" s="181" t="str">
        <f>IF(COUNT(ND20)=0,"",SUM(ND20)/COUNT(ND20))</f>
        <v/>
      </c>
      <c r="NE18" s="198" t="str">
        <f t="shared" si="85"/>
        <v/>
      </c>
      <c r="NF18" s="247"/>
      <c r="NG18" s="245"/>
      <c r="NH18" s="246"/>
      <c r="NI18" s="181" t="str">
        <f>IF(COUNT(NI20)=0,"",SUM(NI20)/COUNT(NI20))</f>
        <v/>
      </c>
      <c r="NJ18" s="205" t="str">
        <f t="shared" si="86"/>
        <v/>
      </c>
      <c r="NK18" s="181" t="str">
        <f>IF(COUNT(NK20)=0,"",SUM(NK20)/COUNT(NK20))</f>
        <v/>
      </c>
      <c r="NL18" s="206" t="str">
        <f t="shared" si="87"/>
        <v/>
      </c>
      <c r="NM18" s="250"/>
      <c r="NN18" s="250"/>
      <c r="NO18" s="251"/>
      <c r="NP18" s="181" t="str">
        <f>IF(COUNT(NP19:NP20)=0,"",SUM(NP19:NP20)/COUNT(NP19:NP20))</f>
        <v/>
      </c>
      <c r="NQ18" s="182" t="str">
        <f t="shared" si="88"/>
        <v/>
      </c>
      <c r="NR18" s="252"/>
      <c r="NS18" s="250"/>
      <c r="NT18" s="251"/>
      <c r="NU18" s="181" t="str">
        <f>IF(COUNT(NU20)=0,"",SUM(NU20)/COUNT(NU20))</f>
        <v/>
      </c>
      <c r="NV18" s="198" t="str">
        <f t="shared" si="89"/>
        <v/>
      </c>
      <c r="NW18" s="247"/>
      <c r="NX18" s="245"/>
      <c r="NY18" s="246"/>
      <c r="NZ18" s="181" t="str">
        <f>IF(COUNT(NZ20)=0,"",SUM(NZ20)/COUNT(NZ20))</f>
        <v/>
      </c>
      <c r="OA18" s="205" t="str">
        <f t="shared" si="90"/>
        <v/>
      </c>
      <c r="OB18" s="181" t="str">
        <f>IF(COUNT(OB20)=0,"",SUM(OB20)/COUNT(OB20))</f>
        <v/>
      </c>
      <c r="OC18" s="206" t="str">
        <f t="shared" si="91"/>
        <v/>
      </c>
      <c r="OD18" s="250"/>
      <c r="OE18" s="250"/>
      <c r="OF18" s="251"/>
      <c r="OG18" s="181" t="str">
        <f>IF(COUNT(OG19:OG20)=0,"",SUM(OG19:OG20)/COUNT(OG19:OG20))</f>
        <v/>
      </c>
      <c r="OH18" s="182" t="str">
        <f t="shared" si="92"/>
        <v/>
      </c>
      <c r="OI18" s="252"/>
      <c r="OJ18" s="250"/>
      <c r="OK18" s="251"/>
      <c r="OL18" s="181" t="str">
        <f>IF(COUNT(OL20)=0,"",SUM(OL20)/COUNT(OL20))</f>
        <v/>
      </c>
      <c r="OM18" s="198" t="str">
        <f t="shared" si="93"/>
        <v/>
      </c>
      <c r="ON18" s="247"/>
      <c r="OO18" s="245"/>
      <c r="OP18" s="246"/>
      <c r="OQ18" s="181" t="str">
        <f>IF(COUNT(OQ20)=0,"",SUM(OQ20)/COUNT(OQ20))</f>
        <v/>
      </c>
      <c r="OR18" s="205" t="str">
        <f t="shared" si="94"/>
        <v/>
      </c>
      <c r="OS18" s="181" t="str">
        <f>IF(COUNT(OS20)=0,"",SUM(OS20)/COUNT(OS20))</f>
        <v/>
      </c>
      <c r="OT18" s="206" t="str">
        <f t="shared" si="95"/>
        <v/>
      </c>
      <c r="OU18" s="250"/>
      <c r="OV18" s="250"/>
      <c r="OW18" s="251"/>
      <c r="OX18" s="181" t="str">
        <f>IF(COUNT(OX19:OX20)=0,"",SUM(OX19:OX20)/COUNT(OX19:OX20))</f>
        <v/>
      </c>
      <c r="OY18" s="182" t="str">
        <f t="shared" si="96"/>
        <v/>
      </c>
      <c r="OZ18" s="252"/>
      <c r="PA18" s="250"/>
      <c r="PB18" s="251"/>
      <c r="PC18" s="181" t="str">
        <f>IF(COUNT(PC20)=0,"",SUM(PC20)/COUNT(PC20))</f>
        <v/>
      </c>
      <c r="PD18" s="198" t="str">
        <f t="shared" si="97"/>
        <v/>
      </c>
      <c r="PE18" s="247"/>
      <c r="PF18" s="245"/>
      <c r="PG18" s="246"/>
      <c r="PH18" s="181" t="str">
        <f>IF(COUNT(PH20)=0,"",SUM(PH20)/COUNT(PH20))</f>
        <v/>
      </c>
      <c r="PI18" s="205" t="str">
        <f t="shared" si="98"/>
        <v/>
      </c>
      <c r="PJ18" s="181" t="str">
        <f>IF(COUNT(PJ20)=0,"",SUM(PJ20)/COUNT(PJ20))</f>
        <v/>
      </c>
      <c r="PK18" s="206" t="str">
        <f t="shared" si="99"/>
        <v/>
      </c>
      <c r="PL18" s="250"/>
      <c r="PM18" s="250"/>
      <c r="PN18" s="251"/>
      <c r="PO18" s="181" t="str">
        <f>IF(COUNT(PO19:PO20)=0,"",SUM(PO19:PO20)/COUNT(PO19:PO20))</f>
        <v/>
      </c>
      <c r="PP18" s="182" t="str">
        <f t="shared" si="100"/>
        <v/>
      </c>
      <c r="PQ18" s="252"/>
      <c r="PR18" s="250"/>
      <c r="PS18" s="251"/>
      <c r="PT18" s="181" t="str">
        <f>IF(COUNT(PT20)=0,"",SUM(PT20)/COUNT(PT20))</f>
        <v/>
      </c>
      <c r="PU18" s="198" t="str">
        <f t="shared" si="101"/>
        <v/>
      </c>
      <c r="PV18" s="247"/>
      <c r="PW18" s="245"/>
      <c r="PX18" s="246"/>
      <c r="PY18" s="181" t="str">
        <f>IF(COUNT(PY20)=0,"",SUM(PY20)/COUNT(PY20))</f>
        <v/>
      </c>
      <c r="PZ18" s="205" t="str">
        <f t="shared" si="102"/>
        <v/>
      </c>
      <c r="QA18" s="181" t="str">
        <f>IF(COUNT(QA20)=0,"",SUM(QA20)/COUNT(QA20))</f>
        <v/>
      </c>
      <c r="QB18" s="206" t="str">
        <f t="shared" si="103"/>
        <v/>
      </c>
      <c r="QC18" s="250"/>
      <c r="QD18" s="250"/>
      <c r="QE18" s="251"/>
      <c r="QF18" s="181" t="str">
        <f>IF(COUNT(QF19:QF20)=0,"",SUM(QF19:QF20)/COUNT(QF19:QF20))</f>
        <v/>
      </c>
      <c r="QG18" s="182" t="str">
        <f t="shared" si="104"/>
        <v/>
      </c>
      <c r="QH18" s="252"/>
      <c r="QI18" s="250"/>
      <c r="QJ18" s="251"/>
      <c r="QK18" s="181" t="str">
        <f>IF(COUNT(QK20)=0,"",SUM(QK20)/COUNT(QK20))</f>
        <v/>
      </c>
      <c r="QL18" s="198" t="str">
        <f t="shared" si="105"/>
        <v/>
      </c>
      <c r="QM18" s="247"/>
      <c r="QN18" s="245"/>
      <c r="QO18" s="246"/>
      <c r="QP18" s="181" t="str">
        <f>IF(COUNT(QP20)=0,"",SUM(QP20)/COUNT(QP20))</f>
        <v/>
      </c>
      <c r="QQ18" s="205" t="str">
        <f t="shared" si="106"/>
        <v/>
      </c>
      <c r="QR18" s="181" t="str">
        <f>IF(COUNT(QR20)=0,"",SUM(QR20)/COUNT(QR20))</f>
        <v/>
      </c>
      <c r="QS18" s="206" t="str">
        <f t="shared" si="107"/>
        <v/>
      </c>
      <c r="QT18" s="250"/>
      <c r="QU18" s="250"/>
      <c r="QV18" s="251"/>
      <c r="QW18" s="93" t="str">
        <f>IF(COUNT(QW19:QW20)=0,"",SUM(QW19:QW20)/COUNT(QW19:QW20))</f>
        <v/>
      </c>
      <c r="QX18" s="94" t="str">
        <f t="shared" si="108"/>
        <v/>
      </c>
      <c r="QY18" s="252"/>
      <c r="QZ18" s="250"/>
      <c r="RA18" s="251"/>
      <c r="RB18" s="93" t="str">
        <f>IF(COUNT(RB20)=0,"",SUM(RB20)/COUNT(RB20))</f>
        <v/>
      </c>
      <c r="RC18" s="95" t="str">
        <f t="shared" si="109"/>
        <v/>
      </c>
      <c r="RD18" s="247"/>
      <c r="RE18" s="245"/>
      <c r="RF18" s="246"/>
      <c r="RG18" s="93" t="str">
        <f>IF(COUNT(RG20)=0,"",SUM(RG20)/COUNT(RG20))</f>
        <v/>
      </c>
      <c r="RH18" s="96" t="str">
        <f t="shared" si="110"/>
        <v/>
      </c>
      <c r="RI18" s="93" t="str">
        <f>IF(COUNT(RI20)=0,"",SUM(RI20)/COUNT(RI20))</f>
        <v/>
      </c>
      <c r="RJ18" s="97" t="str">
        <f t="shared" si="111"/>
        <v/>
      </c>
      <c r="RK18" s="250"/>
      <c r="RL18" s="250"/>
      <c r="RM18" s="251"/>
      <c r="RN18" s="93" t="str">
        <f>IF(COUNT(RN19:RN20)=0,"",SUM(RN19:RN20)/COUNT(RN19:RN20))</f>
        <v/>
      </c>
      <c r="RO18" s="94" t="str">
        <f t="shared" si="112"/>
        <v/>
      </c>
      <c r="RP18" s="252"/>
      <c r="RQ18" s="250"/>
      <c r="RR18" s="251"/>
      <c r="RS18" s="93" t="str">
        <f>IF(COUNT(RS20)=0,"",SUM(RS20)/COUNT(RS20))</f>
        <v/>
      </c>
      <c r="RT18" s="95" t="str">
        <f t="shared" si="113"/>
        <v/>
      </c>
      <c r="RU18" s="247"/>
      <c r="RV18" s="245"/>
      <c r="RW18" s="246"/>
      <c r="RX18" s="93" t="str">
        <f>IF(COUNT(RX20)=0,"",SUM(RX20)/COUNT(RX20))</f>
        <v/>
      </c>
      <c r="RY18" s="96" t="str">
        <f t="shared" si="114"/>
        <v/>
      </c>
      <c r="RZ18" s="93" t="str">
        <f>IF(COUNT(RZ20)=0,"",SUM(RZ20)/COUNT(RZ20))</f>
        <v/>
      </c>
      <c r="SA18" s="97" t="str">
        <f t="shared" si="115"/>
        <v/>
      </c>
      <c r="SB18" s="250"/>
      <c r="SC18" s="250"/>
      <c r="SD18" s="251"/>
      <c r="SE18" s="93" t="str">
        <f>IF(COUNT(SE19:SE20)=0,"",SUM(SE19:SE20)/COUNT(SE19:SE20))</f>
        <v/>
      </c>
      <c r="SF18" s="94" t="str">
        <f t="shared" si="116"/>
        <v/>
      </c>
      <c r="SG18" s="252"/>
      <c r="SH18" s="250"/>
      <c r="SI18" s="251"/>
      <c r="SJ18" s="93" t="str">
        <f>IF(COUNT(SJ20)=0,"",SUM(SJ20)/COUNT(SJ20))</f>
        <v/>
      </c>
      <c r="SK18" s="95" t="str">
        <f t="shared" si="117"/>
        <v/>
      </c>
      <c r="SL18" s="247"/>
      <c r="SM18" s="245"/>
      <c r="SN18" s="246"/>
      <c r="SO18" s="93" t="str">
        <f>IF(COUNT(SO20)=0,"",SUM(SO20)/COUNT(SO20))</f>
        <v/>
      </c>
      <c r="SP18" s="96" t="str">
        <f t="shared" si="118"/>
        <v/>
      </c>
      <c r="SQ18" s="93" t="str">
        <f>IF(COUNT(SQ20)=0,"",SUM(SQ20)/COUNT(SQ20))</f>
        <v/>
      </c>
      <c r="SR18" s="97" t="str">
        <f t="shared" si="119"/>
        <v/>
      </c>
      <c r="SS18" s="250"/>
      <c r="ST18" s="250"/>
      <c r="SU18" s="251"/>
      <c r="SV18" s="93" t="str">
        <f>IF(COUNT(SV19:SV20)=0,"",SUM(SV19:SV20)/COUNT(SV19:SV20))</f>
        <v/>
      </c>
      <c r="SW18" s="94" t="str">
        <f t="shared" si="120"/>
        <v/>
      </c>
      <c r="SX18" s="252"/>
      <c r="SY18" s="250"/>
      <c r="SZ18" s="251"/>
      <c r="TA18" s="93" t="str">
        <f>IF(COUNT(TA20)=0,"",SUM(TA20)/COUNT(TA20))</f>
        <v/>
      </c>
      <c r="TB18" s="95" t="str">
        <f t="shared" si="121"/>
        <v/>
      </c>
      <c r="TC18" s="247"/>
      <c r="TD18" s="245"/>
      <c r="TE18" s="246"/>
      <c r="TF18" s="93" t="str">
        <f>IF(COUNT(TF20)=0,"",SUM(TF20)/COUNT(TF20))</f>
        <v/>
      </c>
      <c r="TG18" s="96" t="str">
        <f t="shared" si="122"/>
        <v/>
      </c>
      <c r="TH18" s="93" t="str">
        <f>IF(COUNT(TH20)=0,"",SUM(TH20)/COUNT(TH20))</f>
        <v/>
      </c>
      <c r="TI18" s="97" t="str">
        <f t="shared" si="123"/>
        <v/>
      </c>
      <c r="TJ18" s="250"/>
      <c r="TK18" s="250"/>
      <c r="TL18" s="251"/>
      <c r="TM18" s="93" t="str">
        <f>IF(COUNT(TM19:TM20)=0,"",SUM(TM19:TM20)/COUNT(TM19:TM20))</f>
        <v/>
      </c>
      <c r="TN18" s="94" t="str">
        <f t="shared" si="124"/>
        <v/>
      </c>
      <c r="TO18" s="252"/>
      <c r="TP18" s="250"/>
      <c r="TQ18" s="251"/>
      <c r="TR18" s="93" t="str">
        <f>IF(COUNT(TR20)=0,"",SUM(TR20)/COUNT(TR20))</f>
        <v/>
      </c>
      <c r="TS18" s="95" t="str">
        <f t="shared" si="125"/>
        <v/>
      </c>
      <c r="TT18" s="247"/>
      <c r="TU18" s="245"/>
      <c r="TV18" s="246"/>
      <c r="TW18" s="93" t="str">
        <f>IF(COUNT(TW20)=0,"",SUM(TW20)/COUNT(TW20))</f>
        <v/>
      </c>
      <c r="TX18" s="96" t="str">
        <f t="shared" si="126"/>
        <v/>
      </c>
      <c r="TY18" s="93" t="str">
        <f>IF(COUNT(TY20)=0,"",SUM(TY20)/COUNT(TY20))</f>
        <v/>
      </c>
      <c r="TZ18" s="97" t="str">
        <f t="shared" si="127"/>
        <v/>
      </c>
    </row>
    <row r="19" spans="1:546" s="98" customFormat="1" ht="16.5" customHeight="1" x14ac:dyDescent="0.25">
      <c r="A19" s="256" t="s">
        <v>40</v>
      </c>
      <c r="B19" s="257"/>
      <c r="C19" s="131"/>
      <c r="D19" s="132"/>
      <c r="E19" s="133"/>
      <c r="F19" s="189" t="str">
        <f>IFERROR((((COUNTIF('Elève (6ème3)'!C19:E19,"A"))*4)+((COUNTIF('Elève (6ème3)'!C19:E19,"B"))*3)+((COUNTIF('Elève (6ème3)'!C19:E19,"C"))*2)+((COUNTIF('Elève (6ème3)'!C19:E19,"D"))*1))/(COUNTA(C19:E19)),"")</f>
        <v/>
      </c>
      <c r="G19" s="187" t="str">
        <f t="shared" si="0"/>
        <v/>
      </c>
      <c r="H19" s="135" t="s">
        <v>24</v>
      </c>
      <c r="I19" s="132"/>
      <c r="J19" s="133"/>
      <c r="K19" s="183">
        <f>IFERROR((((COUNTIF('Elève (6ème3)'!H19:J19,"A"))*4)+((COUNTIF('Elève (6ème3)'!H19:J19,"B"))*3)+((COUNTIF('Elève (6ème3)'!H19:J19,"C"))*2)+((COUNTIF('Elève (6ème3)'!H19:J19,"D"))*1))/(COUNTA(H19:J19)),"")</f>
        <v>3</v>
      </c>
      <c r="L19" s="184" t="str">
        <f t="shared" si="1"/>
        <v>B</v>
      </c>
      <c r="M19" s="136"/>
      <c r="N19" s="137"/>
      <c r="O19" s="138"/>
      <c r="P19" s="183" t="str">
        <f>IFERROR((((COUNTIF('Elève (6ème3)'!M19:O19,"A"))*4)+((COUNTIF('Elève (6ème3)'!M19:O19,"B"))*3)+((COUNTIF('Elève (6ème3)'!M19:O19,"C"))*2)+((COUNTIF('Elève (6ème3)'!M19:O19,"D"))*1))/(COUNTA(M19:O19)),"")</f>
        <v/>
      </c>
      <c r="Q19" s="184" t="str">
        <f t="shared" si="2"/>
        <v/>
      </c>
      <c r="R19" s="183">
        <f>IF(COUNT(F19,K19,P19)=0,"",SUM(F19,K19,P19)/COUNT(F19,K19,P19))</f>
        <v>3</v>
      </c>
      <c r="S19" s="209" t="str">
        <f t="shared" si="3"/>
        <v>B</v>
      </c>
      <c r="T19" s="131"/>
      <c r="U19" s="132"/>
      <c r="V19" s="133"/>
      <c r="W19" s="189" t="str">
        <f>IFERROR((((COUNTIF('Elève (6ème3)'!T19:V19,"A"))*4)+((COUNTIF('Elève (6ème3)'!T19:V19,"B"))*3)+((COUNTIF('Elève (6ème3)'!T19:V19,"C"))*2)+((COUNTIF('Elève (6ème3)'!T19:V19,"D"))*1))/(COUNTA(T19:V19)),"")</f>
        <v/>
      </c>
      <c r="X19" s="187" t="str">
        <f t="shared" si="4"/>
        <v/>
      </c>
      <c r="Y19" s="135" t="s">
        <v>24</v>
      </c>
      <c r="Z19" s="132"/>
      <c r="AA19" s="133"/>
      <c r="AB19" s="183">
        <f>IFERROR((((COUNTIF('Elève (6ème3)'!Y19:AA19,"A"))*4)+((COUNTIF('Elève (6ème3)'!Y19:AA19,"B"))*3)+((COUNTIF('Elève (6ème3)'!Y19:AA19,"C"))*2)+((COUNTIF('Elève (6ème3)'!Y19:AA19,"D"))*1))/(COUNTA(Y19:AA19)),"")</f>
        <v>3</v>
      </c>
      <c r="AC19" s="184" t="str">
        <f t="shared" si="5"/>
        <v>B</v>
      </c>
      <c r="AD19" s="136"/>
      <c r="AE19" s="137"/>
      <c r="AF19" s="138"/>
      <c r="AG19" s="183" t="str">
        <f>IFERROR((((COUNTIF('Elève (6ème3)'!AD19:AF19,"A"))*4)+((COUNTIF('Elève (6ème3)'!AD19:AF19,"B"))*3)+((COUNTIF('Elève (6ème3)'!AD19:AF19,"C"))*2)+((COUNTIF('Elève (6ème3)'!AD19:AF19,"D"))*1))/(COUNTA(AD19:AF19)),"")</f>
        <v/>
      </c>
      <c r="AH19" s="184" t="str">
        <f t="shared" si="6"/>
        <v/>
      </c>
      <c r="AI19" s="183">
        <f>IF(COUNT(W19,AB19,AG19)=0,"",SUM(W19,AB19,AG19)/COUNT(W19,AB19,AG19))</f>
        <v>3</v>
      </c>
      <c r="AJ19" s="209" t="str">
        <f t="shared" si="7"/>
        <v>B</v>
      </c>
      <c r="AK19" s="131"/>
      <c r="AL19" s="132"/>
      <c r="AM19" s="133"/>
      <c r="AN19" s="189" t="str">
        <f>IFERROR((((COUNTIF('Elève (6ème3)'!AK19:AM19,"A"))*4)+((COUNTIF('Elève (6ème3)'!AK19:AM19,"B"))*3)+((COUNTIF('Elève (6ème3)'!AK19:AM19,"C"))*2)+((COUNTIF('Elève (6ème3)'!AK19:AM19,"D"))*1))/(COUNTA(AK19:AM19)),"")</f>
        <v/>
      </c>
      <c r="AO19" s="187" t="str">
        <f t="shared" si="8"/>
        <v/>
      </c>
      <c r="AP19" s="135" t="s">
        <v>24</v>
      </c>
      <c r="AQ19" s="132"/>
      <c r="AR19" s="133"/>
      <c r="AS19" s="183">
        <f>IFERROR((((COUNTIF('Elève (6ème3)'!AP19:AR19,"A"))*4)+((COUNTIF('Elève (6ème3)'!AP19:AR19,"B"))*3)+((COUNTIF('Elève (6ème3)'!AP19:AR19,"C"))*2)+((COUNTIF('Elève (6ème3)'!AP19:AR19,"D"))*1))/(COUNTA(AP19:AR19)),"")</f>
        <v>3</v>
      </c>
      <c r="AT19" s="184" t="str">
        <f t="shared" si="9"/>
        <v>B</v>
      </c>
      <c r="AU19" s="136"/>
      <c r="AV19" s="137"/>
      <c r="AW19" s="138"/>
      <c r="AX19" s="183" t="str">
        <f>IFERROR((((COUNTIF('Elève (6ème3)'!AU19:AW19,"A"))*4)+((COUNTIF('Elève (6ème3)'!AU19:AW19,"B"))*3)+((COUNTIF('Elève (6ème3)'!AU19:AW19,"C"))*2)+((COUNTIF('Elève (6ème3)'!AU19:AW19,"D"))*1))/(COUNTA(AU19:AW19)),"")</f>
        <v/>
      </c>
      <c r="AY19" s="184" t="str">
        <f t="shared" si="10"/>
        <v/>
      </c>
      <c r="AZ19" s="183">
        <f>IF(COUNT(AN19,AS19,AX19)=0,"",SUM(AN19,AS19,AX19)/COUNT(AN19,AS19,AX19))</f>
        <v>3</v>
      </c>
      <c r="BA19" s="209" t="str">
        <f t="shared" si="11"/>
        <v>B</v>
      </c>
      <c r="BB19" s="131"/>
      <c r="BC19" s="132"/>
      <c r="BD19" s="133"/>
      <c r="BE19" s="189" t="str">
        <f>IFERROR((((COUNTIF('Elève (6ème3)'!BB19:BD19,"A"))*4)+((COUNTIF('Elève (6ème3)'!BB19:BD19,"B"))*3)+((COUNTIF('Elève (6ème3)'!BB19:BD19,"C"))*2)+((COUNTIF('Elève (6ème3)'!BB19:BD19,"D"))*1))/(COUNTA(BB19:BD19)),"")</f>
        <v/>
      </c>
      <c r="BF19" s="187" t="str">
        <f t="shared" si="12"/>
        <v/>
      </c>
      <c r="BG19" s="135" t="s">
        <v>24</v>
      </c>
      <c r="BH19" s="132"/>
      <c r="BI19" s="133"/>
      <c r="BJ19" s="183">
        <f>IFERROR((((COUNTIF('Elève (6ème3)'!BG19:BI19,"A"))*4)+((COUNTIF('Elève (6ème3)'!BG19:BI19,"B"))*3)+((COUNTIF('Elève (6ème3)'!BG19:BI19,"C"))*2)+((COUNTIF('Elève (6ème3)'!BG19:BI19,"D"))*1))/(COUNTA(BG19:BI19)),"")</f>
        <v>3</v>
      </c>
      <c r="BK19" s="184" t="str">
        <f t="shared" si="13"/>
        <v>B</v>
      </c>
      <c r="BL19" s="136"/>
      <c r="BM19" s="137"/>
      <c r="BN19" s="138"/>
      <c r="BO19" s="183" t="str">
        <f>IFERROR((((COUNTIF('Elève (6ème3)'!BL19:BN19,"A"))*4)+((COUNTIF('Elève (6ème3)'!BL19:BN19,"B"))*3)+((COUNTIF('Elève (6ème3)'!BL19:BN19,"C"))*2)+((COUNTIF('Elève (6ème3)'!BL19:BN19,"D"))*1))/(COUNTA(BL19:BN19)),"")</f>
        <v/>
      </c>
      <c r="BP19" s="184" t="str">
        <f t="shared" si="14"/>
        <v/>
      </c>
      <c r="BQ19" s="183">
        <f>IF(COUNT(BE19,BJ19,BO19)=0,"",SUM(BE19,BJ19,BO19)/COUNT(BE19,BJ19,BO19))</f>
        <v>3</v>
      </c>
      <c r="BR19" s="209" t="str">
        <f t="shared" si="15"/>
        <v>B</v>
      </c>
      <c r="BS19" s="131"/>
      <c r="BT19" s="132"/>
      <c r="BU19" s="133"/>
      <c r="BV19" s="189" t="str">
        <f>IFERROR((((COUNTIF('Elève (6ème3)'!BS19:BU19,"A"))*4)+((COUNTIF('Elève (6ème3)'!BS19:BU19,"B"))*3)+((COUNTIF('Elève (6ème3)'!BS19:BU19,"C"))*2)+((COUNTIF('Elève (6ème3)'!BS19:BU19,"D"))*1))/(COUNTA(BS19:BU19)),"")</f>
        <v/>
      </c>
      <c r="BW19" s="187" t="str">
        <f t="shared" si="16"/>
        <v/>
      </c>
      <c r="BX19" s="135" t="s">
        <v>25</v>
      </c>
      <c r="BY19" s="132"/>
      <c r="BZ19" s="133"/>
      <c r="CA19" s="183">
        <f>IFERROR((((COUNTIF('Elève (6ème3)'!BX19:BZ19,"A"))*4)+((COUNTIF('Elève (6ème3)'!BX19:BZ19,"B"))*3)+((COUNTIF('Elève (6ème3)'!BX19:BZ19,"C"))*2)+((COUNTIF('Elève (6ème3)'!BX19:BZ19,"D"))*1))/(COUNTA(BX19:BZ19)),"")</f>
        <v>2</v>
      </c>
      <c r="CB19" s="184" t="str">
        <f t="shared" si="17"/>
        <v>C</v>
      </c>
      <c r="CC19" s="136"/>
      <c r="CD19" s="137"/>
      <c r="CE19" s="138"/>
      <c r="CF19" s="183" t="str">
        <f>IFERROR((((COUNTIF('Elève (6ème3)'!CC19:CE19,"A"))*4)+((COUNTIF('Elève (6ème3)'!CC19:CE19,"B"))*3)+((COUNTIF('Elève (6ème3)'!CC19:CE19,"C"))*2)+((COUNTIF('Elève (6ème3)'!CC19:CE19,"D"))*1))/(COUNTA(CC19:CE19)),"")</f>
        <v/>
      </c>
      <c r="CG19" s="184" t="str">
        <f t="shared" si="18"/>
        <v/>
      </c>
      <c r="CH19" s="183">
        <f>IF(COUNT(BV19,CA19,CF19)=0,"",SUM(BV19,CA19,CF19)/COUNT(BV19,CA19,CF19))</f>
        <v>2</v>
      </c>
      <c r="CI19" s="209" t="str">
        <f t="shared" si="19"/>
        <v>C</v>
      </c>
      <c r="CJ19" s="131"/>
      <c r="CK19" s="132"/>
      <c r="CL19" s="133"/>
      <c r="CM19" s="189" t="str">
        <f>IFERROR((((COUNTIF('Elève (6ème3)'!CJ19:CL19,"A"))*4)+((COUNTIF('Elève (6ème3)'!CJ19:CL19,"B"))*3)+((COUNTIF('Elève (6ème3)'!CJ19:CL19,"C"))*2)+((COUNTIF('Elève (6ème3)'!CJ19:CL19,"D"))*1))/(COUNTA(CJ19:CL19)),"")</f>
        <v/>
      </c>
      <c r="CN19" s="187" t="str">
        <f t="shared" si="20"/>
        <v/>
      </c>
      <c r="CO19" s="135" t="s">
        <v>26</v>
      </c>
      <c r="CP19" s="132"/>
      <c r="CQ19" s="133"/>
      <c r="CR19" s="183">
        <f>IFERROR((((COUNTIF('Elève (6ème3)'!CO19:CQ19,"A"))*4)+((COUNTIF('Elève (6ème3)'!CO19:CQ19,"B"))*3)+((COUNTIF('Elève (6ème3)'!CO19:CQ19,"C"))*2)+((COUNTIF('Elève (6ème3)'!CO19:CQ19,"D"))*1))/(COUNTA(CO19:CQ19)),"")</f>
        <v>1</v>
      </c>
      <c r="CS19" s="184" t="str">
        <f t="shared" si="21"/>
        <v>D</v>
      </c>
      <c r="CT19" s="136"/>
      <c r="CU19" s="137"/>
      <c r="CV19" s="138"/>
      <c r="CW19" s="183" t="str">
        <f>IFERROR((((COUNTIF('Elève (6ème3)'!CT19:CV19,"A"))*4)+((COUNTIF('Elève (6ème3)'!CT19:CV19,"B"))*3)+((COUNTIF('Elève (6ème3)'!CT19:CV19,"C"))*2)+((COUNTIF('Elève (6ème3)'!CT19:CV19,"D"))*1))/(COUNTA(CT19:CV19)),"")</f>
        <v/>
      </c>
      <c r="CX19" s="184" t="str">
        <f t="shared" si="22"/>
        <v/>
      </c>
      <c r="CY19" s="183">
        <f>IF(COUNT(CM19,CR19,CW19)=0,"",SUM(CM19,CR19,CW19)/COUNT(CM19,CR19,CW19))</f>
        <v>1</v>
      </c>
      <c r="CZ19" s="209" t="str">
        <f t="shared" si="23"/>
        <v>D</v>
      </c>
      <c r="DA19" s="131"/>
      <c r="DB19" s="132"/>
      <c r="DC19" s="133"/>
      <c r="DD19" s="189" t="str">
        <f>IFERROR((((COUNTIF('Elève (6ème3)'!DA19:DC19,"A"))*4)+((COUNTIF('Elève (6ème3)'!DA19:DC19,"B"))*3)+((COUNTIF('Elève (6ème3)'!DA19:DC19,"C"))*2)+((COUNTIF('Elève (6ème3)'!DA19:DC19,"D"))*1))/(COUNTA(DA19:DC19)),"")</f>
        <v/>
      </c>
      <c r="DE19" s="187" t="str">
        <f t="shared" si="24"/>
        <v/>
      </c>
      <c r="DF19" s="135" t="s">
        <v>24</v>
      </c>
      <c r="DG19" s="132"/>
      <c r="DH19" s="133"/>
      <c r="DI19" s="183">
        <f>IFERROR((((COUNTIF('Elève (6ème3)'!DF19:DH19,"A"))*4)+((COUNTIF('Elève (6ème3)'!DF19:DH19,"B"))*3)+((COUNTIF('Elève (6ème3)'!DF19:DH19,"C"))*2)+((COUNTIF('Elève (6ème3)'!DF19:DH19,"D"))*1))/(COUNTA(DF19:DH19)),"")</f>
        <v>3</v>
      </c>
      <c r="DJ19" s="184" t="str">
        <f t="shared" si="25"/>
        <v>B</v>
      </c>
      <c r="DK19" s="136"/>
      <c r="DL19" s="137"/>
      <c r="DM19" s="138"/>
      <c r="DN19" s="183" t="str">
        <f>IFERROR((((COUNTIF('Elève (6ème3)'!DK19:DM19,"A"))*4)+((COUNTIF('Elève (6ème3)'!DK19:DM19,"B"))*3)+((COUNTIF('Elève (6ème3)'!DK19:DM19,"C"))*2)+((COUNTIF('Elève (6ème3)'!DK19:DM19,"D"))*1))/(COUNTA(DK19:DM19)),"")</f>
        <v/>
      </c>
      <c r="DO19" s="184" t="str">
        <f t="shared" si="26"/>
        <v/>
      </c>
      <c r="DP19" s="183">
        <f>IF(COUNT(DD19,DI19,DN19)=0,"",SUM(DD19,DI19,DN19)/COUNT(DD19,DI19,DN19))</f>
        <v>3</v>
      </c>
      <c r="DQ19" s="209" t="str">
        <f t="shared" si="27"/>
        <v>B</v>
      </c>
      <c r="DR19" s="131"/>
      <c r="DS19" s="132"/>
      <c r="DT19" s="133"/>
      <c r="DU19" s="189" t="str">
        <f>IFERROR((((COUNTIF('Elève (6ème3)'!DR19:DT19,"A"))*4)+((COUNTIF('Elève (6ème3)'!DR19:DT19,"B"))*3)+((COUNTIF('Elève (6ème3)'!DR19:DT19,"C"))*2)+((COUNTIF('Elève (6ème3)'!DR19:DT19,"D"))*1))/(COUNTA(DR19:DT19)),"")</f>
        <v/>
      </c>
      <c r="DV19" s="187" t="str">
        <f t="shared" si="28"/>
        <v/>
      </c>
      <c r="DW19" s="135" t="s">
        <v>24</v>
      </c>
      <c r="DX19" s="132"/>
      <c r="DY19" s="133"/>
      <c r="DZ19" s="183">
        <f>IFERROR((((COUNTIF('Elève (6ème3)'!DW19:DY19,"A"))*4)+((COUNTIF('Elève (6ème3)'!DW19:DY19,"B"))*3)+((COUNTIF('Elève (6ème3)'!DW19:DY19,"C"))*2)+((COUNTIF('Elève (6ème3)'!DW19:DY19,"D"))*1))/(COUNTA(DW19:DY19)),"")</f>
        <v>3</v>
      </c>
      <c r="EA19" s="184" t="str">
        <f t="shared" si="29"/>
        <v>B</v>
      </c>
      <c r="EB19" s="136"/>
      <c r="EC19" s="137"/>
      <c r="ED19" s="138"/>
      <c r="EE19" s="183" t="str">
        <f>IFERROR((((COUNTIF('Elève (6ème3)'!EB19:ED19,"A"))*4)+((COUNTIF('Elève (6ème3)'!EB19:ED19,"B"))*3)+((COUNTIF('Elève (6ème3)'!EB19:ED19,"C"))*2)+((COUNTIF('Elève (6ème3)'!EB19:ED19,"D"))*1))/(COUNTA(EB19:ED19)),"")</f>
        <v/>
      </c>
      <c r="EF19" s="184" t="str">
        <f t="shared" si="30"/>
        <v/>
      </c>
      <c r="EG19" s="183">
        <f>IF(COUNT(DU19,DZ19,EE19)=0,"",SUM(DU19,DZ19,EE19)/COUNT(DU19,DZ19,EE19))</f>
        <v>3</v>
      </c>
      <c r="EH19" s="209" t="str">
        <f t="shared" si="31"/>
        <v>B</v>
      </c>
      <c r="EI19" s="131"/>
      <c r="EJ19" s="132"/>
      <c r="EK19" s="133"/>
      <c r="EL19" s="189" t="str">
        <f>IFERROR((((COUNTIF('Elève (6ème3)'!EI19:EK19,"A"))*4)+((COUNTIF('Elève (6ème3)'!EI19:EK19,"B"))*3)+((COUNTIF('Elève (6ème3)'!EI19:EK19,"C"))*2)+((COUNTIF('Elève (6ème3)'!EI19:EK19,"D"))*1))/(COUNTA(EI19:EK19)),"")</f>
        <v/>
      </c>
      <c r="EM19" s="187" t="str">
        <f t="shared" si="32"/>
        <v/>
      </c>
      <c r="EN19" s="135" t="s">
        <v>24</v>
      </c>
      <c r="EO19" s="132"/>
      <c r="EP19" s="133"/>
      <c r="EQ19" s="183">
        <f>IFERROR((((COUNTIF('Elève (6ème3)'!EN19:EP19,"A"))*4)+((COUNTIF('Elève (6ème3)'!EN19:EP19,"B"))*3)+((COUNTIF('Elève (6ème3)'!EN19:EP19,"C"))*2)+((COUNTIF('Elève (6ème3)'!EN19:EP19,"D"))*1))/(COUNTA(EN19:EP19)),"")</f>
        <v>3</v>
      </c>
      <c r="ER19" s="184" t="str">
        <f t="shared" si="33"/>
        <v>B</v>
      </c>
      <c r="ES19" s="136"/>
      <c r="ET19" s="137"/>
      <c r="EU19" s="138"/>
      <c r="EV19" s="183" t="str">
        <f>IFERROR((((COUNTIF('Elève (6ème3)'!ES19:EU19,"A"))*4)+((COUNTIF('Elève (6ème3)'!ES19:EU19,"B"))*3)+((COUNTIF('Elève (6ème3)'!ES19:EU19,"C"))*2)+((COUNTIF('Elève (6ème3)'!ES19:EU19,"D"))*1))/(COUNTA(ES19:EU19)),"")</f>
        <v/>
      </c>
      <c r="EW19" s="184" t="str">
        <f t="shared" si="34"/>
        <v/>
      </c>
      <c r="EX19" s="183">
        <f>IF(COUNT(EL19,EQ19,EV19)=0,"",SUM(EL19,EQ19,EV19)/COUNT(EL19,EQ19,EV19))</f>
        <v>3</v>
      </c>
      <c r="EY19" s="209" t="str">
        <f t="shared" si="35"/>
        <v>B</v>
      </c>
      <c r="EZ19" s="131"/>
      <c r="FA19" s="132"/>
      <c r="FB19" s="133"/>
      <c r="FC19" s="189" t="str">
        <f>IFERROR((((COUNTIF('Elève (6ème3)'!EZ19:FB19,"A"))*4)+((COUNTIF('Elève (6ème3)'!EZ19:FB19,"B"))*3)+((COUNTIF('Elève (6ème3)'!EZ19:FB19,"C"))*2)+((COUNTIF('Elève (6ème3)'!EZ19:FB19,"D"))*1))/(COUNTA(EZ19:FB19)),"")</f>
        <v/>
      </c>
      <c r="FD19" s="187" t="str">
        <f t="shared" si="36"/>
        <v/>
      </c>
      <c r="FE19" s="135" t="s">
        <v>24</v>
      </c>
      <c r="FF19" s="132"/>
      <c r="FG19" s="133"/>
      <c r="FH19" s="183">
        <f>IFERROR((((COUNTIF('Elève (6ème3)'!FE19:FG19,"A"))*4)+((COUNTIF('Elève (6ème3)'!FE19:FG19,"B"))*3)+((COUNTIF('Elève (6ème3)'!FE19:FG19,"C"))*2)+((COUNTIF('Elève (6ème3)'!FE19:FG19,"D"))*1))/(COUNTA(FE19:FG19)),"")</f>
        <v>3</v>
      </c>
      <c r="FI19" s="184" t="str">
        <f t="shared" si="37"/>
        <v>B</v>
      </c>
      <c r="FJ19" s="136"/>
      <c r="FK19" s="137"/>
      <c r="FL19" s="138"/>
      <c r="FM19" s="183" t="str">
        <f>IFERROR((((COUNTIF('Elève (6ème3)'!FJ19:FL19,"A"))*4)+((COUNTIF('Elève (6ème3)'!FJ19:FL19,"B"))*3)+((COUNTIF('Elève (6ème3)'!FJ19:FL19,"C"))*2)+((COUNTIF('Elève (6ème3)'!FJ19:FL19,"D"))*1))/(COUNTA(FJ19:FL19)),"")</f>
        <v/>
      </c>
      <c r="FN19" s="184" t="str">
        <f t="shared" si="38"/>
        <v/>
      </c>
      <c r="FO19" s="183">
        <f>IF(COUNT(FC19,FH19,FM19)=0,"",SUM(FC19,FH19,FM19)/COUNT(FC19,FH19,FM19))</f>
        <v>3</v>
      </c>
      <c r="FP19" s="209" t="str">
        <f t="shared" si="39"/>
        <v>B</v>
      </c>
      <c r="FQ19" s="131"/>
      <c r="FR19" s="132"/>
      <c r="FS19" s="133"/>
      <c r="FT19" s="189" t="str">
        <f>IFERROR((((COUNTIF('Elève (6ème3)'!FQ19:FS19,"A"))*4)+((COUNTIF('Elève (6ème3)'!FQ19:FS19,"B"))*3)+((COUNTIF('Elève (6ème3)'!FQ19:FS19,"C"))*2)+((COUNTIF('Elève (6ème3)'!FQ19:FS19,"D"))*1))/(COUNTA(FQ19:FS19)),"")</f>
        <v/>
      </c>
      <c r="FU19" s="187" t="str">
        <f t="shared" si="40"/>
        <v/>
      </c>
      <c r="FV19" s="135" t="s">
        <v>26</v>
      </c>
      <c r="FW19" s="132"/>
      <c r="FX19" s="133"/>
      <c r="FY19" s="183">
        <f>IFERROR((((COUNTIF('Elève (6ème3)'!FV19:FX19,"A"))*4)+((COUNTIF('Elève (6ème3)'!FV19:FX19,"B"))*3)+((COUNTIF('Elève (6ème3)'!FV19:FX19,"C"))*2)+((COUNTIF('Elève (6ème3)'!FV19:FX19,"D"))*1))/(COUNTA(FV19:FX19)),"")</f>
        <v>1</v>
      </c>
      <c r="FZ19" s="184" t="str">
        <f t="shared" si="41"/>
        <v>D</v>
      </c>
      <c r="GA19" s="136"/>
      <c r="GB19" s="137"/>
      <c r="GC19" s="138"/>
      <c r="GD19" s="183" t="str">
        <f>IFERROR((((COUNTIF('Elève (6ème3)'!GA19:GC19,"A"))*4)+((COUNTIF('Elève (6ème3)'!GA19:GC19,"B"))*3)+((COUNTIF('Elève (6ème3)'!GA19:GC19,"C"))*2)+((COUNTIF('Elève (6ème3)'!GA19:GC19,"D"))*1))/(COUNTA(GA19:GC19)),"")</f>
        <v/>
      </c>
      <c r="GE19" s="184" t="str">
        <f t="shared" si="42"/>
        <v/>
      </c>
      <c r="GF19" s="183">
        <f>IF(COUNT(FT19,FY19,GD19)=0,"",SUM(FT19,FY19,GD19)/COUNT(FT19,FY19,GD19))</f>
        <v>1</v>
      </c>
      <c r="GG19" s="209" t="str">
        <f t="shared" si="43"/>
        <v>D</v>
      </c>
      <c r="GH19" s="131"/>
      <c r="GI19" s="132"/>
      <c r="GJ19" s="133"/>
      <c r="GK19" s="189" t="str">
        <f>IFERROR((((COUNTIF('Elève (6ème3)'!GH19:GJ19,"A"))*4)+((COUNTIF('Elève (6ème3)'!GH19:GJ19,"B"))*3)+((COUNTIF('Elève (6ème3)'!GH19:GJ19,"C"))*2)+((COUNTIF('Elève (6ème3)'!GH19:GJ19,"D"))*1))/(COUNTA(GH19:GJ19)),"")</f>
        <v/>
      </c>
      <c r="GL19" s="187" t="str">
        <f t="shared" si="44"/>
        <v/>
      </c>
      <c r="GM19" s="135" t="s">
        <v>24</v>
      </c>
      <c r="GN19" s="132"/>
      <c r="GO19" s="133"/>
      <c r="GP19" s="183">
        <f>IFERROR((((COUNTIF('Elève (6ème3)'!GM19:GO19,"A"))*4)+((COUNTIF('Elève (6ème3)'!GM19:GO19,"B"))*3)+((COUNTIF('Elève (6ème3)'!GM19:GO19,"C"))*2)+((COUNTIF('Elève (6ème3)'!GM19:GO19,"D"))*1))/(COUNTA(GM19:GO19)),"")</f>
        <v>3</v>
      </c>
      <c r="GQ19" s="184" t="str">
        <f t="shared" si="45"/>
        <v>B</v>
      </c>
      <c r="GR19" s="136"/>
      <c r="GS19" s="137"/>
      <c r="GT19" s="138"/>
      <c r="GU19" s="183" t="str">
        <f>IFERROR((((COUNTIF('Elève (6ème3)'!GR19:GT19,"A"))*4)+((COUNTIF('Elève (6ème3)'!GR19:GT19,"B"))*3)+((COUNTIF('Elève (6ème3)'!GR19:GT19,"C"))*2)+((COUNTIF('Elève (6ème3)'!GR19:GT19,"D"))*1))/(COUNTA(GR19:GT19)),"")</f>
        <v/>
      </c>
      <c r="GV19" s="184" t="str">
        <f t="shared" si="46"/>
        <v/>
      </c>
      <c r="GW19" s="183">
        <f>IF(COUNT(GK19,GP19,GU19)=0,"",SUM(GK19,GP19,GU19)/COUNT(GK19,GP19,GU19))</f>
        <v>3</v>
      </c>
      <c r="GX19" s="209" t="str">
        <f t="shared" si="47"/>
        <v>B</v>
      </c>
      <c r="GY19" s="131"/>
      <c r="GZ19" s="132"/>
      <c r="HA19" s="133"/>
      <c r="HB19" s="189" t="str">
        <f>IFERROR((((COUNTIF('Elève (6ème3)'!GY19:HA19,"A"))*4)+((COUNTIF('Elève (6ème3)'!GY19:HA19,"B"))*3)+((COUNTIF('Elève (6ème3)'!GY19:HA19,"C"))*2)+((COUNTIF('Elève (6ème3)'!GY19:HA19,"D"))*1))/(COUNTA(GY19:HA19)),"")</f>
        <v/>
      </c>
      <c r="HC19" s="187" t="str">
        <f t="shared" si="48"/>
        <v/>
      </c>
      <c r="HD19" s="135" t="s">
        <v>25</v>
      </c>
      <c r="HE19" s="132"/>
      <c r="HF19" s="133"/>
      <c r="HG19" s="183">
        <f>IFERROR((((COUNTIF('Elève (6ème3)'!HD19:HF19,"A"))*4)+((COUNTIF('Elève (6ème3)'!HD19:HF19,"B"))*3)+((COUNTIF('Elève (6ème3)'!HD19:HF19,"C"))*2)+((COUNTIF('Elève (6ème3)'!HD19:HF19,"D"))*1))/(COUNTA(HD19:HF19)),"")</f>
        <v>2</v>
      </c>
      <c r="HH19" s="184" t="str">
        <f t="shared" si="49"/>
        <v>C</v>
      </c>
      <c r="HI19" s="136"/>
      <c r="HJ19" s="137"/>
      <c r="HK19" s="138"/>
      <c r="HL19" s="183" t="str">
        <f>IFERROR((((COUNTIF('Elève (6ème3)'!HI19:HK19,"A"))*4)+((COUNTIF('Elève (6ème3)'!HI19:HK19,"B"))*3)+((COUNTIF('Elève (6ème3)'!HI19:HK19,"C"))*2)+((COUNTIF('Elève (6ème3)'!HI19:HK19,"D"))*1))/(COUNTA(HI19:HK19)),"")</f>
        <v/>
      </c>
      <c r="HM19" s="184" t="str">
        <f t="shared" si="50"/>
        <v/>
      </c>
      <c r="HN19" s="183">
        <f>IF(COUNT(HB19,HG19,HL19)=0,"",SUM(HB19,HG19,HL19)/COUNT(HB19,HG19,HL19))</f>
        <v>2</v>
      </c>
      <c r="HO19" s="209" t="str">
        <f t="shared" si="51"/>
        <v>C</v>
      </c>
      <c r="HP19" s="131"/>
      <c r="HQ19" s="132"/>
      <c r="HR19" s="133"/>
      <c r="HS19" s="189" t="str">
        <f>IFERROR((((COUNTIF('Elève (6ème3)'!HP19:HR19,"A"))*4)+((COUNTIF('Elève (6ème3)'!HP19:HR19,"B"))*3)+((COUNTIF('Elève (6ème3)'!HP19:HR19,"C"))*2)+((COUNTIF('Elève (6ème3)'!HP19:HR19,"D"))*1))/(COUNTA(HP19:HR19)),"")</f>
        <v/>
      </c>
      <c r="HT19" s="187" t="str">
        <f t="shared" si="52"/>
        <v/>
      </c>
      <c r="HU19" s="135" t="s">
        <v>24</v>
      </c>
      <c r="HV19" s="132"/>
      <c r="HW19" s="133"/>
      <c r="HX19" s="183">
        <f>IFERROR((((COUNTIF('Elève (6ème3)'!HU19:HW19,"A"))*4)+((COUNTIF('Elève (6ème3)'!HU19:HW19,"B"))*3)+((COUNTIF('Elève (6ème3)'!HU19:HW19,"C"))*2)+((COUNTIF('Elève (6ème3)'!HU19:HW19,"D"))*1))/(COUNTA(HU19:HW19)),"")</f>
        <v>3</v>
      </c>
      <c r="HY19" s="184" t="str">
        <f t="shared" si="53"/>
        <v>B</v>
      </c>
      <c r="HZ19" s="136"/>
      <c r="IA19" s="137"/>
      <c r="IB19" s="138"/>
      <c r="IC19" s="183" t="str">
        <f>IFERROR((((COUNTIF('Elève (6ème3)'!HZ19:IB19,"A"))*4)+((COUNTIF('Elève (6ème3)'!HZ19:IB19,"B"))*3)+((COUNTIF('Elève (6ème3)'!HZ19:IB19,"C"))*2)+((COUNTIF('Elève (6ème3)'!HZ19:IB19,"D"))*1))/(COUNTA(HZ19:IB19)),"")</f>
        <v/>
      </c>
      <c r="ID19" s="184" t="str">
        <f t="shared" si="54"/>
        <v/>
      </c>
      <c r="IE19" s="183">
        <f>IF(COUNT(HS19,HX19,IC19)=0,"",SUM(HS19,HX19,IC19)/COUNT(HS19,HX19,IC19))</f>
        <v>3</v>
      </c>
      <c r="IF19" s="209" t="str">
        <f t="shared" si="55"/>
        <v>B</v>
      </c>
      <c r="IG19" s="131"/>
      <c r="IH19" s="132"/>
      <c r="II19" s="133"/>
      <c r="IJ19" s="189" t="str">
        <f>IFERROR((((COUNTIF('Elève (6ème3)'!IG19:II19,"A"))*4)+((COUNTIF('Elève (6ème3)'!IG19:II19,"B"))*3)+((COUNTIF('Elève (6ème3)'!IG19:II19,"C"))*2)+((COUNTIF('Elève (6ème3)'!IG19:II19,"D"))*1))/(COUNTA(IG19:II19)),"")</f>
        <v/>
      </c>
      <c r="IK19" s="187" t="str">
        <f t="shared" si="56"/>
        <v/>
      </c>
      <c r="IL19" s="135" t="s">
        <v>25</v>
      </c>
      <c r="IM19" s="132"/>
      <c r="IN19" s="133"/>
      <c r="IO19" s="183">
        <f>IFERROR((((COUNTIF('Elève (6ème3)'!IL19:IN19,"A"))*4)+((COUNTIF('Elève (6ème3)'!IL19:IN19,"B"))*3)+((COUNTIF('Elève (6ème3)'!IL19:IN19,"C"))*2)+((COUNTIF('Elève (6ème3)'!IL19:IN19,"D"))*1))/(COUNTA(IL19:IN19)),"")</f>
        <v>2</v>
      </c>
      <c r="IP19" s="184" t="str">
        <f t="shared" si="57"/>
        <v>C</v>
      </c>
      <c r="IQ19" s="136"/>
      <c r="IR19" s="137"/>
      <c r="IS19" s="138"/>
      <c r="IT19" s="183" t="str">
        <f>IFERROR((((COUNTIF('Elève (6ème3)'!IQ19:IS19,"A"))*4)+((COUNTIF('Elève (6ème3)'!IQ19:IS19,"B"))*3)+((COUNTIF('Elève (6ème3)'!IQ19:IS19,"C"))*2)+((COUNTIF('Elève (6ème3)'!IQ19:IS19,"D"))*1))/(COUNTA(IQ19:IS19)),"")</f>
        <v/>
      </c>
      <c r="IU19" s="184" t="str">
        <f t="shared" si="58"/>
        <v/>
      </c>
      <c r="IV19" s="183">
        <f>IF(COUNT(IJ19,IO19,IT19)=0,"",SUM(IJ19,IO19,IT19)/COUNT(IJ19,IO19,IT19))</f>
        <v>2</v>
      </c>
      <c r="IW19" s="209" t="str">
        <f t="shared" si="59"/>
        <v>C</v>
      </c>
      <c r="IX19" s="131"/>
      <c r="IY19" s="132"/>
      <c r="IZ19" s="133"/>
      <c r="JA19" s="189" t="str">
        <f>IFERROR((((COUNTIF('Elève (6ème3)'!IX19:IZ19,"A"))*4)+((COUNTIF('Elève (6ème3)'!IX19:IZ19,"B"))*3)+((COUNTIF('Elève (6ème3)'!IX19:IZ19,"C"))*2)+((COUNTIF('Elève (6ème3)'!IX19:IZ19,"D"))*1))/(COUNTA(IX19:IZ19)),"")</f>
        <v/>
      </c>
      <c r="JB19" s="187" t="str">
        <f t="shared" si="60"/>
        <v/>
      </c>
      <c r="JC19" s="135" t="s">
        <v>23</v>
      </c>
      <c r="JD19" s="132"/>
      <c r="JE19" s="133"/>
      <c r="JF19" s="183">
        <f>IFERROR((((COUNTIF('Elève (6ème3)'!JC19:JE19,"A"))*4)+((COUNTIF('Elève (6ème3)'!JC19:JE19,"B"))*3)+((COUNTIF('Elève (6ème3)'!JC19:JE19,"C"))*2)+((COUNTIF('Elève (6ème3)'!JC19:JE19,"D"))*1))/(COUNTA(JC19:JE19)),"")</f>
        <v>4</v>
      </c>
      <c r="JG19" s="184" t="str">
        <f t="shared" si="61"/>
        <v>A</v>
      </c>
      <c r="JH19" s="136"/>
      <c r="JI19" s="137"/>
      <c r="JJ19" s="138"/>
      <c r="JK19" s="183" t="str">
        <f>IFERROR((((COUNTIF('Elève (6ème3)'!JH19:JJ19,"A"))*4)+((COUNTIF('Elève (6ème3)'!JH19:JJ19,"B"))*3)+((COUNTIF('Elève (6ème3)'!JH19:JJ19,"C"))*2)+((COUNTIF('Elève (6ème3)'!JH19:JJ19,"D"))*1))/(COUNTA(JH19:JJ19)),"")</f>
        <v/>
      </c>
      <c r="JL19" s="184" t="str">
        <f t="shared" si="62"/>
        <v/>
      </c>
      <c r="JM19" s="183">
        <f>IF(COUNT(JA19,JF19,JK19)=0,"",SUM(JA19,JF19,JK19)/COUNT(JA19,JF19,JK19))</f>
        <v>4</v>
      </c>
      <c r="JN19" s="209" t="str">
        <f t="shared" si="63"/>
        <v>A</v>
      </c>
      <c r="JO19" s="131"/>
      <c r="JP19" s="132"/>
      <c r="JQ19" s="133"/>
      <c r="JR19" s="189" t="str">
        <f>IFERROR((((COUNTIF('Elève (6ème3)'!JO19:JQ19,"A"))*4)+((COUNTIF('Elève (6ème3)'!JO19:JQ19,"B"))*3)+((COUNTIF('Elève (6ème3)'!JO19:JQ19,"C"))*2)+((COUNTIF('Elève (6ème3)'!JO19:JQ19,"D"))*1))/(COUNTA(JO19:JQ19)),"")</f>
        <v/>
      </c>
      <c r="JS19" s="187" t="str">
        <f t="shared" si="64"/>
        <v/>
      </c>
      <c r="JT19" s="135" t="s">
        <v>24</v>
      </c>
      <c r="JU19" s="132"/>
      <c r="JV19" s="133"/>
      <c r="JW19" s="183">
        <f>IFERROR((((COUNTIF('Elève (6ème3)'!JT19:JV19,"A"))*4)+((COUNTIF('Elève (6ème3)'!JT19:JV19,"B"))*3)+((COUNTIF('Elève (6ème3)'!JT19:JV19,"C"))*2)+((COUNTIF('Elève (6ème3)'!JT19:JV19,"D"))*1))/(COUNTA(JT19:JV19)),"")</f>
        <v>3</v>
      </c>
      <c r="JX19" s="184" t="str">
        <f t="shared" si="65"/>
        <v>B</v>
      </c>
      <c r="JY19" s="136"/>
      <c r="JZ19" s="137"/>
      <c r="KA19" s="138"/>
      <c r="KB19" s="183" t="str">
        <f>IFERROR((((COUNTIF('Elève (6ème3)'!JY19:KA19,"A"))*4)+((COUNTIF('Elève (6ème3)'!JY19:KA19,"B"))*3)+((COUNTIF('Elève (6ème3)'!JY19:KA19,"C"))*2)+((COUNTIF('Elève (6ème3)'!JY19:KA19,"D"))*1))/(COUNTA(JY19:KA19)),"")</f>
        <v/>
      </c>
      <c r="KC19" s="184" t="str">
        <f t="shared" si="66"/>
        <v/>
      </c>
      <c r="KD19" s="183">
        <f>IF(COUNT(JR19,JW19,KB19)=0,"",SUM(JR19,JW19,KB19)/COUNT(JR19,JW19,KB19))</f>
        <v>3</v>
      </c>
      <c r="KE19" s="209" t="str">
        <f t="shared" si="67"/>
        <v>B</v>
      </c>
      <c r="KF19" s="131"/>
      <c r="KG19" s="132"/>
      <c r="KH19" s="133"/>
      <c r="KI19" s="189" t="str">
        <f>IFERROR((((COUNTIF('Elève (6ème3)'!KF19:KH19,"A"))*4)+((COUNTIF('Elève (6ème3)'!KF19:KH19,"B"))*3)+((COUNTIF('Elève (6ème3)'!KF19:KH19,"C"))*2)+((COUNTIF('Elève (6ème3)'!KF19:KH19,"D"))*1))/(COUNTA(KF19:KH19)),"")</f>
        <v/>
      </c>
      <c r="KJ19" s="187" t="str">
        <f t="shared" si="68"/>
        <v/>
      </c>
      <c r="KK19" s="135" t="s">
        <v>24</v>
      </c>
      <c r="KL19" s="132"/>
      <c r="KM19" s="133"/>
      <c r="KN19" s="183">
        <f>IFERROR((((COUNTIF('Elève (6ème3)'!KK19:KM19,"A"))*4)+((COUNTIF('Elève (6ème3)'!KK19:KM19,"B"))*3)+((COUNTIF('Elève (6ème3)'!KK19:KM19,"C"))*2)+((COUNTIF('Elève (6ème3)'!KK19:KM19,"D"))*1))/(COUNTA(KK19:KM19)),"")</f>
        <v>3</v>
      </c>
      <c r="KO19" s="184" t="str">
        <f t="shared" si="69"/>
        <v>B</v>
      </c>
      <c r="KP19" s="136"/>
      <c r="KQ19" s="137"/>
      <c r="KR19" s="138"/>
      <c r="KS19" s="183" t="str">
        <f>IFERROR((((COUNTIF('Elève (6ème3)'!KP19:KR19,"A"))*4)+((COUNTIF('Elève (6ème3)'!KP19:KR19,"B"))*3)+((COUNTIF('Elève (6ème3)'!KP19:KR19,"C"))*2)+((COUNTIF('Elève (6ème3)'!KP19:KR19,"D"))*1))/(COUNTA(KP19:KR19)),"")</f>
        <v/>
      </c>
      <c r="KT19" s="184" t="str">
        <f t="shared" si="70"/>
        <v/>
      </c>
      <c r="KU19" s="183">
        <f>IF(COUNT(KI19,KN19,KS19)=0,"",SUM(KI19,KN19,KS19)/COUNT(KI19,KN19,KS19))</f>
        <v>3</v>
      </c>
      <c r="KV19" s="209" t="str">
        <f t="shared" si="71"/>
        <v>B</v>
      </c>
      <c r="KW19" s="131"/>
      <c r="KX19" s="132"/>
      <c r="KY19" s="133"/>
      <c r="KZ19" s="189" t="str">
        <f>IFERROR((((COUNTIF('Elève (6ème3)'!KW19:KY19,"A"))*4)+((COUNTIF('Elève (6ème3)'!KW19:KY19,"B"))*3)+((COUNTIF('Elève (6ème3)'!KW19:KY19,"C"))*2)+((COUNTIF('Elève (6ème3)'!KW19:KY19,"D"))*1))/(COUNTA(KW19:KY19)),"")</f>
        <v/>
      </c>
      <c r="LA19" s="187" t="str">
        <f t="shared" si="72"/>
        <v/>
      </c>
      <c r="LB19" s="135" t="s">
        <v>25</v>
      </c>
      <c r="LC19" s="132"/>
      <c r="LD19" s="133"/>
      <c r="LE19" s="183">
        <f>IFERROR((((COUNTIF('Elève (6ème3)'!LB19:LD19,"A"))*4)+((COUNTIF('Elève (6ème3)'!LB19:LD19,"B"))*3)+((COUNTIF('Elève (6ème3)'!LB19:LD19,"C"))*2)+((COUNTIF('Elève (6ème3)'!LB19:LD19,"D"))*1))/(COUNTA(LB19:LD19)),"")</f>
        <v>2</v>
      </c>
      <c r="LF19" s="184" t="str">
        <f t="shared" si="73"/>
        <v>C</v>
      </c>
      <c r="LG19" s="136"/>
      <c r="LH19" s="137"/>
      <c r="LI19" s="138"/>
      <c r="LJ19" s="183" t="str">
        <f>IFERROR((((COUNTIF('Elève (6ème3)'!LG19:LI19,"A"))*4)+((COUNTIF('Elève (6ème3)'!LG19:LI19,"B"))*3)+((COUNTIF('Elève (6ème3)'!LG19:LI19,"C"))*2)+((COUNTIF('Elève (6ème3)'!LG19:LI19,"D"))*1))/(COUNTA(LG19:LI19)),"")</f>
        <v/>
      </c>
      <c r="LK19" s="184" t="str">
        <f t="shared" si="74"/>
        <v/>
      </c>
      <c r="LL19" s="183">
        <f>IF(COUNT(KZ19,LE19,LJ19)=0,"",SUM(KZ19,LE19,LJ19)/COUNT(KZ19,LE19,LJ19))</f>
        <v>2</v>
      </c>
      <c r="LM19" s="209" t="str">
        <f t="shared" si="75"/>
        <v>C</v>
      </c>
      <c r="LN19" s="131"/>
      <c r="LO19" s="132"/>
      <c r="LP19" s="133"/>
      <c r="LQ19" s="189" t="str">
        <f>IFERROR((((COUNTIF('Elève (6ème3)'!LN19:LP19,"A"))*4)+((COUNTIF('Elève (6ème3)'!LN19:LP19,"B"))*3)+((COUNTIF('Elève (6ème3)'!LN19:LP19,"C"))*2)+((COUNTIF('Elève (6ème3)'!LN19:LP19,"D"))*1))/(COUNTA(LN19:LP19)),"")</f>
        <v/>
      </c>
      <c r="LR19" s="187" t="str">
        <f t="shared" si="76"/>
        <v/>
      </c>
      <c r="LS19" s="135" t="s">
        <v>24</v>
      </c>
      <c r="LT19" s="132"/>
      <c r="LU19" s="133"/>
      <c r="LV19" s="183">
        <f>IFERROR((((COUNTIF('Elève (6ème3)'!LS19:LU19,"A"))*4)+((COUNTIF('Elève (6ème3)'!LS19:LU19,"B"))*3)+((COUNTIF('Elève (6ème3)'!LS19:LU19,"C"))*2)+((COUNTIF('Elève (6ème3)'!LS19:LU19,"D"))*1))/(COUNTA(LS19:LU19)),"")</f>
        <v>3</v>
      </c>
      <c r="LW19" s="184" t="str">
        <f t="shared" si="77"/>
        <v>B</v>
      </c>
      <c r="LX19" s="136"/>
      <c r="LY19" s="137"/>
      <c r="LZ19" s="138"/>
      <c r="MA19" s="183" t="str">
        <f>IFERROR((((COUNTIF('Elève (6ème3)'!LX19:LZ19,"A"))*4)+((COUNTIF('Elève (6ème3)'!LX19:LZ19,"B"))*3)+((COUNTIF('Elève (6ème3)'!LX19:LZ19,"C"))*2)+((COUNTIF('Elève (6ème3)'!LX19:LZ19,"D"))*1))/(COUNTA(LX19:LZ19)),"")</f>
        <v/>
      </c>
      <c r="MB19" s="184" t="str">
        <f t="shared" si="78"/>
        <v/>
      </c>
      <c r="MC19" s="183">
        <f>IF(COUNT(LQ19,LV19,MA19)=0,"",SUM(LQ19,LV19,MA19)/COUNT(LQ19,LV19,MA19))</f>
        <v>3</v>
      </c>
      <c r="MD19" s="209" t="str">
        <f t="shared" si="79"/>
        <v>B</v>
      </c>
      <c r="ME19" s="131"/>
      <c r="MF19" s="132"/>
      <c r="MG19" s="133"/>
      <c r="MH19" s="189" t="str">
        <f>IFERROR((((COUNTIF('Elève (6ème3)'!ME19:MG19,"A"))*4)+((COUNTIF('Elève (6ème3)'!ME19:MG19,"B"))*3)+((COUNTIF('Elève (6ème3)'!ME19:MG19,"C"))*2)+((COUNTIF('Elève (6ème3)'!ME19:MG19,"D"))*1))/(COUNTA(ME19:MG19)),"")</f>
        <v/>
      </c>
      <c r="MI19" s="187" t="str">
        <f t="shared" si="80"/>
        <v/>
      </c>
      <c r="MJ19" s="135" t="s">
        <v>23</v>
      </c>
      <c r="MK19" s="132"/>
      <c r="ML19" s="133"/>
      <c r="MM19" s="183">
        <f>IFERROR((((COUNTIF('Elève (6ème3)'!MJ19:ML19,"A"))*4)+((COUNTIF('Elève (6ème3)'!MJ19:ML19,"B"))*3)+((COUNTIF('Elève (6ème3)'!MJ19:ML19,"C"))*2)+((COUNTIF('Elève (6ème3)'!MJ19:ML19,"D"))*1))/(COUNTA(MJ19:ML19)),"")</f>
        <v>4</v>
      </c>
      <c r="MN19" s="184" t="str">
        <f t="shared" si="81"/>
        <v>A</v>
      </c>
      <c r="MO19" s="136"/>
      <c r="MP19" s="137"/>
      <c r="MQ19" s="138"/>
      <c r="MR19" s="183" t="str">
        <f>IFERROR((((COUNTIF('Elève (6ème3)'!MO19:MQ19,"A"))*4)+((COUNTIF('Elève (6ème3)'!MO19:MQ19,"B"))*3)+((COUNTIF('Elève (6ème3)'!MO19:MQ19,"C"))*2)+((COUNTIF('Elève (6ème3)'!MO19:MQ19,"D"))*1))/(COUNTA(MO19:MQ19)),"")</f>
        <v/>
      </c>
      <c r="MS19" s="184" t="str">
        <f t="shared" si="82"/>
        <v/>
      </c>
      <c r="MT19" s="183">
        <f>IF(COUNT(MH19,MM19,MR19)=0,"",SUM(MH19,MM19,MR19)/COUNT(MH19,MM19,MR19))</f>
        <v>4</v>
      </c>
      <c r="MU19" s="209" t="str">
        <f t="shared" si="83"/>
        <v>A</v>
      </c>
      <c r="MV19" s="131"/>
      <c r="MW19" s="132"/>
      <c r="MX19" s="133"/>
      <c r="MY19" s="189" t="str">
        <f>IFERROR((((COUNTIF('Elève (6ème3)'!MV19:MX19,"A"))*4)+((COUNTIF('Elève (6ème3)'!MV19:MX19,"B"))*3)+((COUNTIF('Elève (6ème3)'!MV19:MX19,"C"))*2)+((COUNTIF('Elève (6ème3)'!MV19:MX19,"D"))*1))/(COUNTA(MV19:MX19)),"")</f>
        <v/>
      </c>
      <c r="MZ19" s="187" t="str">
        <f t="shared" si="84"/>
        <v/>
      </c>
      <c r="NA19" s="135" t="s">
        <v>25</v>
      </c>
      <c r="NB19" s="132"/>
      <c r="NC19" s="133"/>
      <c r="ND19" s="183">
        <f>IFERROR((((COUNTIF('Elève (6ème3)'!NA19:NC19,"A"))*4)+((COUNTIF('Elève (6ème3)'!NA19:NC19,"B"))*3)+((COUNTIF('Elève (6ème3)'!NA19:NC19,"C"))*2)+((COUNTIF('Elève (6ème3)'!NA19:NC19,"D"))*1))/(COUNTA(NA19:NC19)),"")</f>
        <v>2</v>
      </c>
      <c r="NE19" s="184" t="str">
        <f t="shared" si="85"/>
        <v>C</v>
      </c>
      <c r="NF19" s="136"/>
      <c r="NG19" s="137"/>
      <c r="NH19" s="138"/>
      <c r="NI19" s="183" t="str">
        <f>IFERROR((((COUNTIF('Elève (6ème3)'!NF19:NH19,"A"))*4)+((COUNTIF('Elève (6ème3)'!NF19:NH19,"B"))*3)+((COUNTIF('Elève (6ème3)'!NF19:NH19,"C"))*2)+((COUNTIF('Elève (6ème3)'!NF19:NH19,"D"))*1))/(COUNTA(NF19:NH19)),"")</f>
        <v/>
      </c>
      <c r="NJ19" s="184" t="str">
        <f t="shared" si="86"/>
        <v/>
      </c>
      <c r="NK19" s="183">
        <f>IF(COUNT(MY19,ND19,NI19)=0,"",SUM(MY19,ND19,NI19)/COUNT(MY19,ND19,NI19))</f>
        <v>2</v>
      </c>
      <c r="NL19" s="209" t="str">
        <f t="shared" si="87"/>
        <v>C</v>
      </c>
      <c r="NM19" s="131"/>
      <c r="NN19" s="132"/>
      <c r="NO19" s="133"/>
      <c r="NP19" s="189" t="str">
        <f>IFERROR((((COUNTIF('Elève (6ème3)'!NM19:NO19,"A"))*4)+((COUNTIF('Elève (6ème3)'!NM19:NO19,"B"))*3)+((COUNTIF('Elève (6ème3)'!NM19:NO19,"C"))*2)+((COUNTIF('Elève (6ème3)'!NM19:NO19,"D"))*1))/(COUNTA(NM19:NO19)),"")</f>
        <v/>
      </c>
      <c r="NQ19" s="187" t="str">
        <f t="shared" si="88"/>
        <v/>
      </c>
      <c r="NR19" s="135" t="s">
        <v>24</v>
      </c>
      <c r="NS19" s="132"/>
      <c r="NT19" s="133"/>
      <c r="NU19" s="183">
        <f>IFERROR((((COUNTIF('Elève (6ème3)'!NR19:NT19,"A"))*4)+((COUNTIF('Elève (6ème3)'!NR19:NT19,"B"))*3)+((COUNTIF('Elève (6ème3)'!NR19:NT19,"C"))*2)+((COUNTIF('Elève (6ème3)'!NR19:NT19,"D"))*1))/(COUNTA(NR19:NT19)),"")</f>
        <v>3</v>
      </c>
      <c r="NV19" s="184" t="str">
        <f t="shared" si="89"/>
        <v>B</v>
      </c>
      <c r="NW19" s="136"/>
      <c r="NX19" s="137"/>
      <c r="NY19" s="138"/>
      <c r="NZ19" s="183" t="str">
        <f>IFERROR((((COUNTIF('Elève (6ème3)'!NW19:NY19,"A"))*4)+((COUNTIF('Elève (6ème3)'!NW19:NY19,"B"))*3)+((COUNTIF('Elève (6ème3)'!NW19:NY19,"C"))*2)+((COUNTIF('Elève (6ème3)'!NW19:NY19,"D"))*1))/(COUNTA(NW19:NY19)),"")</f>
        <v/>
      </c>
      <c r="OA19" s="184" t="str">
        <f t="shared" si="90"/>
        <v/>
      </c>
      <c r="OB19" s="183">
        <f>IF(COUNT(NP19,NU19,NZ19)=0,"",SUM(NP19,NU19,NZ19)/COUNT(NP19,NU19,NZ19))</f>
        <v>3</v>
      </c>
      <c r="OC19" s="209" t="str">
        <f t="shared" si="91"/>
        <v>B</v>
      </c>
      <c r="OD19" s="131"/>
      <c r="OE19" s="132"/>
      <c r="OF19" s="133"/>
      <c r="OG19" s="189" t="str">
        <f>IFERROR((((COUNTIF('Elève (6ème3)'!OD19:OF19,"A"))*4)+((COUNTIF('Elève (6ème3)'!OD19:OF19,"B"))*3)+((COUNTIF('Elève (6ème3)'!OD19:OF19,"C"))*2)+((COUNTIF('Elève (6ème3)'!OD19:OF19,"D"))*1))/(COUNTA(OD19:OF19)),"")</f>
        <v/>
      </c>
      <c r="OH19" s="187" t="str">
        <f t="shared" si="92"/>
        <v/>
      </c>
      <c r="OI19" s="135" t="s">
        <v>24</v>
      </c>
      <c r="OJ19" s="132"/>
      <c r="OK19" s="133"/>
      <c r="OL19" s="183">
        <f>IFERROR((((COUNTIF('Elève (6ème3)'!OI19:OK19,"A"))*4)+((COUNTIF('Elève (6ème3)'!OI19:OK19,"B"))*3)+((COUNTIF('Elève (6ème3)'!OI19:OK19,"C"))*2)+((COUNTIF('Elève (6ème3)'!OI19:OK19,"D"))*1))/(COUNTA(OI19:OK19)),"")</f>
        <v>3</v>
      </c>
      <c r="OM19" s="184" t="str">
        <f t="shared" si="93"/>
        <v>B</v>
      </c>
      <c r="ON19" s="136"/>
      <c r="OO19" s="137"/>
      <c r="OP19" s="138"/>
      <c r="OQ19" s="183" t="str">
        <f>IFERROR((((COUNTIF('Elève (6ème3)'!ON19:OP19,"A"))*4)+((COUNTIF('Elève (6ème3)'!ON19:OP19,"B"))*3)+((COUNTIF('Elève (6ème3)'!ON19:OP19,"C"))*2)+((COUNTIF('Elève (6ème3)'!ON19:OP19,"D"))*1))/(COUNTA(ON19:OP19)),"")</f>
        <v/>
      </c>
      <c r="OR19" s="184" t="str">
        <f t="shared" si="94"/>
        <v/>
      </c>
      <c r="OS19" s="183">
        <f>IF(COUNT(OG19,OL19,OQ19)=0,"",SUM(OG19,OL19,OQ19)/COUNT(OG19,OL19,OQ19))</f>
        <v>3</v>
      </c>
      <c r="OT19" s="209" t="str">
        <f t="shared" si="95"/>
        <v>B</v>
      </c>
      <c r="OU19" s="131"/>
      <c r="OV19" s="132"/>
      <c r="OW19" s="133"/>
      <c r="OX19" s="189" t="str">
        <f>IFERROR((((COUNTIF('Elève (6ème3)'!OU19:OW19,"A"))*4)+((COUNTIF('Elève (6ème3)'!OU19:OW19,"B"))*3)+((COUNTIF('Elève (6ème3)'!OU19:OW19,"C"))*2)+((COUNTIF('Elève (6ème3)'!OU19:OW19,"D"))*1))/(COUNTA(OU19:OW19)),"")</f>
        <v/>
      </c>
      <c r="OY19" s="187" t="str">
        <f t="shared" si="96"/>
        <v/>
      </c>
      <c r="OZ19" s="135" t="s">
        <v>24</v>
      </c>
      <c r="PA19" s="132"/>
      <c r="PB19" s="133"/>
      <c r="PC19" s="183">
        <f>IFERROR((((COUNTIF('Elève (6ème3)'!OZ19:PB19,"A"))*4)+((COUNTIF('Elève (6ème3)'!OZ19:PB19,"B"))*3)+((COUNTIF('Elève (6ème3)'!OZ19:PB19,"C"))*2)+((COUNTIF('Elève (6ème3)'!OZ19:PB19,"D"))*1))/(COUNTA(OZ19:PB19)),"")</f>
        <v>3</v>
      </c>
      <c r="PD19" s="184" t="str">
        <f t="shared" si="97"/>
        <v>B</v>
      </c>
      <c r="PE19" s="136"/>
      <c r="PF19" s="137"/>
      <c r="PG19" s="138"/>
      <c r="PH19" s="183" t="str">
        <f>IFERROR((((COUNTIF('Elève (6ème3)'!PE19:PG19,"A"))*4)+((COUNTIF('Elève (6ème3)'!PE19:PG19,"B"))*3)+((COUNTIF('Elève (6ème3)'!PE19:PG19,"C"))*2)+((COUNTIF('Elève (6ème3)'!PE19:PG19,"D"))*1))/(COUNTA(PE19:PG19)),"")</f>
        <v/>
      </c>
      <c r="PI19" s="184" t="str">
        <f t="shared" si="98"/>
        <v/>
      </c>
      <c r="PJ19" s="183">
        <f>IF(COUNT(OX19,PC19,PH19)=0,"",SUM(OX19,PC19,PH19)/COUNT(OX19,PC19,PH19))</f>
        <v>3</v>
      </c>
      <c r="PK19" s="209" t="str">
        <f t="shared" si="99"/>
        <v>B</v>
      </c>
      <c r="PL19" s="131"/>
      <c r="PM19" s="132"/>
      <c r="PN19" s="133"/>
      <c r="PO19" s="189" t="str">
        <f>IFERROR((((COUNTIF('Elève (6ème3)'!PL19:PN19,"A"))*4)+((COUNTIF('Elève (6ème3)'!PL19:PN19,"B"))*3)+((COUNTIF('Elève (6ème3)'!PL19:PN19,"C"))*2)+((COUNTIF('Elève (6ème3)'!PL19:PN19,"D"))*1))/(COUNTA(PL19:PN19)),"")</f>
        <v/>
      </c>
      <c r="PP19" s="187" t="str">
        <f t="shared" si="100"/>
        <v/>
      </c>
      <c r="PQ19" s="135" t="s">
        <v>25</v>
      </c>
      <c r="PR19" s="132"/>
      <c r="PS19" s="133"/>
      <c r="PT19" s="183">
        <f>IFERROR((((COUNTIF('Elève (6ème3)'!PQ19:PS19,"A"))*4)+((COUNTIF('Elève (6ème3)'!PQ19:PS19,"B"))*3)+((COUNTIF('Elève (6ème3)'!PQ19:PS19,"C"))*2)+((COUNTIF('Elève (6ème3)'!PQ19:PS19,"D"))*1))/(COUNTA(PQ19:PS19)),"")</f>
        <v>2</v>
      </c>
      <c r="PU19" s="184" t="str">
        <f t="shared" si="101"/>
        <v>C</v>
      </c>
      <c r="PV19" s="136"/>
      <c r="PW19" s="137"/>
      <c r="PX19" s="138"/>
      <c r="PY19" s="183" t="str">
        <f>IFERROR((((COUNTIF('Elève (6ème3)'!PV19:PX19,"A"))*4)+((COUNTIF('Elève (6ème3)'!PV19:PX19,"B"))*3)+((COUNTIF('Elève (6ème3)'!PV19:PX19,"C"))*2)+((COUNTIF('Elève (6ème3)'!PV19:PX19,"D"))*1))/(COUNTA(PV19:PX19)),"")</f>
        <v/>
      </c>
      <c r="PZ19" s="184" t="str">
        <f t="shared" si="102"/>
        <v/>
      </c>
      <c r="QA19" s="183">
        <f>IF(COUNT(PO19,PT19,PY19)=0,"",SUM(PO19,PT19,PY19)/COUNT(PO19,PT19,PY19))</f>
        <v>2</v>
      </c>
      <c r="QB19" s="209" t="str">
        <f t="shared" si="103"/>
        <v>C</v>
      </c>
      <c r="QC19" s="131"/>
      <c r="QD19" s="132"/>
      <c r="QE19" s="133"/>
      <c r="QF19" s="189" t="str">
        <f>IFERROR((((COUNTIF('Elève (6ème3)'!QC19:QE19,"A"))*4)+((COUNTIF('Elève (6ème3)'!QC19:QE19,"B"))*3)+((COUNTIF('Elève (6ème3)'!QC19:QE19,"C"))*2)+((COUNTIF('Elève (6ème3)'!QC19:QE19,"D"))*1))/(COUNTA(QC19:QE19)),"")</f>
        <v/>
      </c>
      <c r="QG19" s="187" t="str">
        <f t="shared" si="104"/>
        <v/>
      </c>
      <c r="QH19" s="135" t="s">
        <v>25</v>
      </c>
      <c r="QI19" s="132"/>
      <c r="QJ19" s="133"/>
      <c r="QK19" s="183">
        <f>IFERROR((((COUNTIF('Elève (6ème3)'!QH19:QJ19,"A"))*4)+((COUNTIF('Elève (6ème3)'!QH19:QJ19,"B"))*3)+((COUNTIF('Elève (6ème3)'!QH19:QJ19,"C"))*2)+((COUNTIF('Elève (6ème3)'!QH19:QJ19,"D"))*1))/(COUNTA(QH19:QJ19)),"")</f>
        <v>2</v>
      </c>
      <c r="QL19" s="184" t="str">
        <f t="shared" si="105"/>
        <v>C</v>
      </c>
      <c r="QM19" s="136"/>
      <c r="QN19" s="137"/>
      <c r="QO19" s="138"/>
      <c r="QP19" s="183" t="str">
        <f>IFERROR((((COUNTIF('Elève (6ème3)'!QM19:QO19,"A"))*4)+((COUNTIF('Elève (6ème3)'!QM19:QO19,"B"))*3)+((COUNTIF('Elève (6ème3)'!QM19:QO19,"C"))*2)+((COUNTIF('Elève (6ème3)'!QM19:QO19,"D"))*1))/(COUNTA(QM19:QO19)),"")</f>
        <v/>
      </c>
      <c r="QQ19" s="184" t="str">
        <f t="shared" si="106"/>
        <v/>
      </c>
      <c r="QR19" s="183">
        <f>IF(COUNT(QF19,QK19,QP19)=0,"",SUM(QF19,QK19,QP19)/COUNT(QF19,QK19,QP19))</f>
        <v>2</v>
      </c>
      <c r="QS19" s="209" t="str">
        <f t="shared" si="107"/>
        <v>C</v>
      </c>
      <c r="QT19" s="131"/>
      <c r="QU19" s="132"/>
      <c r="QV19" s="133"/>
      <c r="QW19" s="134" t="str">
        <f>IFERROR((((COUNTIF('Elève (6ème3)'!QT19:QV19,"A"))*4)+((COUNTIF('Elève (6ème3)'!QT19:QV19,"B"))*3)+((COUNTIF('Elève (6ème3)'!QT19:QV19,"C"))*2)+((COUNTIF('Elève (6ème3)'!QT19:QV19,"D"))*1))/(COUNTA(QT19:QV19)),"")</f>
        <v/>
      </c>
      <c r="QX19" s="118" t="str">
        <f t="shared" si="108"/>
        <v/>
      </c>
      <c r="QY19" s="135"/>
      <c r="QZ19" s="132"/>
      <c r="RA19" s="133"/>
      <c r="RB19" s="102" t="str">
        <f>IFERROR((((COUNTIF('Elève (6ème3)'!QY19:RA19,"A"))*4)+((COUNTIF('Elève (6ème3)'!QY19:RA19,"B"))*3)+((COUNTIF('Elève (6ème3)'!QY19:RA19,"C"))*2)+((COUNTIF('Elève (6ème3)'!QY19:RA19,"D"))*1))/(COUNTA(QY19:RA19)),"")</f>
        <v/>
      </c>
      <c r="RC19" s="103" t="str">
        <f t="shared" si="109"/>
        <v/>
      </c>
      <c r="RD19" s="136"/>
      <c r="RE19" s="137"/>
      <c r="RF19" s="138"/>
      <c r="RG19" s="102" t="str">
        <f>IFERROR((((COUNTIF('Elève (6ème3)'!RD19:RF19,"A"))*4)+((COUNTIF('Elève (6ème3)'!RD19:RF19,"B"))*3)+((COUNTIF('Elève (6ème3)'!RD19:RF19,"C"))*2)+((COUNTIF('Elève (6ème3)'!RD19:RF19,"D"))*1))/(COUNTA(RD19:RF19)),"")</f>
        <v/>
      </c>
      <c r="RH19" s="103" t="str">
        <f t="shared" si="110"/>
        <v/>
      </c>
      <c r="RI19" s="102" t="str">
        <f>IF(COUNT(QW19,RB19,RG19)=0,"",SUM(QW19,RB19,RG19)/COUNT(QW19,RB19,RG19))</f>
        <v/>
      </c>
      <c r="RJ19" s="117" t="str">
        <f t="shared" si="111"/>
        <v/>
      </c>
      <c r="RK19" s="131"/>
      <c r="RL19" s="132"/>
      <c r="RM19" s="133"/>
      <c r="RN19" s="134" t="str">
        <f>IFERROR((((COUNTIF('Elève (6ème3)'!RK19:RM19,"A"))*4)+((COUNTIF('Elève (6ème3)'!RK19:RM19,"B"))*3)+((COUNTIF('Elève (6ème3)'!RK19:RM19,"C"))*2)+((COUNTIF('Elève (6ème3)'!RK19:RM19,"D"))*1))/(COUNTA(RK19:RM19)),"")</f>
        <v/>
      </c>
      <c r="RO19" s="118" t="str">
        <f t="shared" si="112"/>
        <v/>
      </c>
      <c r="RP19" s="135"/>
      <c r="RQ19" s="132"/>
      <c r="RR19" s="133"/>
      <c r="RS19" s="102" t="str">
        <f>IFERROR((((COUNTIF('Elève (6ème3)'!RP19:RR19,"A"))*4)+((COUNTIF('Elève (6ème3)'!RP19:RR19,"B"))*3)+((COUNTIF('Elève (6ème3)'!RP19:RR19,"C"))*2)+((COUNTIF('Elève (6ème3)'!RP19:RR19,"D"))*1))/(COUNTA(RP19:RR19)),"")</f>
        <v/>
      </c>
      <c r="RT19" s="103" t="str">
        <f t="shared" si="113"/>
        <v/>
      </c>
      <c r="RU19" s="136"/>
      <c r="RV19" s="137"/>
      <c r="RW19" s="138"/>
      <c r="RX19" s="102" t="str">
        <f>IFERROR((((COUNTIF('Elève (6ème3)'!RU19:RW19,"A"))*4)+((COUNTIF('Elève (6ème3)'!RU19:RW19,"B"))*3)+((COUNTIF('Elève (6ème3)'!RU19:RW19,"C"))*2)+((COUNTIF('Elève (6ème3)'!RU19:RW19,"D"))*1))/(COUNTA(RU19:RW19)),"")</f>
        <v/>
      </c>
      <c r="RY19" s="103" t="str">
        <f t="shared" si="114"/>
        <v/>
      </c>
      <c r="RZ19" s="102" t="str">
        <f>IF(COUNT(RN19,RS19,RX19)=0,"",SUM(RN19,RS19,RX19)/COUNT(RN19,RS19,RX19))</f>
        <v/>
      </c>
      <c r="SA19" s="117" t="str">
        <f t="shared" si="115"/>
        <v/>
      </c>
      <c r="SB19" s="131"/>
      <c r="SC19" s="132"/>
      <c r="SD19" s="133"/>
      <c r="SE19" s="134" t="str">
        <f>IFERROR((((COUNTIF('Elève (6ème3)'!SB19:SD19,"A"))*4)+((COUNTIF('Elève (6ème3)'!SB19:SD19,"B"))*3)+((COUNTIF('Elève (6ème3)'!SB19:SD19,"C"))*2)+((COUNTIF('Elève (6ème3)'!SB19:SD19,"D"))*1))/(COUNTA(SB19:SD19)),"")</f>
        <v/>
      </c>
      <c r="SF19" s="118" t="str">
        <f t="shared" si="116"/>
        <v/>
      </c>
      <c r="SG19" s="135"/>
      <c r="SH19" s="132"/>
      <c r="SI19" s="133"/>
      <c r="SJ19" s="102" t="str">
        <f>IFERROR((((COUNTIF('Elève (6ème3)'!SG19:SI19,"A"))*4)+((COUNTIF('Elève (6ème3)'!SG19:SI19,"B"))*3)+((COUNTIF('Elève (6ème3)'!SG19:SI19,"C"))*2)+((COUNTIF('Elève (6ème3)'!SG19:SI19,"D"))*1))/(COUNTA(SG19:SI19)),"")</f>
        <v/>
      </c>
      <c r="SK19" s="103" t="str">
        <f t="shared" si="117"/>
        <v/>
      </c>
      <c r="SL19" s="136"/>
      <c r="SM19" s="137"/>
      <c r="SN19" s="138"/>
      <c r="SO19" s="102" t="str">
        <f>IFERROR((((COUNTIF('Elève (6ème3)'!SL19:SN19,"A"))*4)+((COUNTIF('Elève (6ème3)'!SL19:SN19,"B"))*3)+((COUNTIF('Elève (6ème3)'!SL19:SN19,"C"))*2)+((COUNTIF('Elève (6ème3)'!SL19:SN19,"D"))*1))/(COUNTA(SL19:SN19)),"")</f>
        <v/>
      </c>
      <c r="SP19" s="103" t="str">
        <f t="shared" si="118"/>
        <v/>
      </c>
      <c r="SQ19" s="102" t="str">
        <f>IF(COUNT(SE19,SJ19,SO19)=0,"",SUM(SE19,SJ19,SO19)/COUNT(SE19,SJ19,SO19))</f>
        <v/>
      </c>
      <c r="SR19" s="117" t="str">
        <f t="shared" si="119"/>
        <v/>
      </c>
      <c r="SS19" s="131"/>
      <c r="ST19" s="132"/>
      <c r="SU19" s="133"/>
      <c r="SV19" s="134" t="str">
        <f>IFERROR((((COUNTIF('Elève (6ème3)'!SS19:SU19,"A"))*4)+((COUNTIF('Elève (6ème3)'!SS19:SU19,"B"))*3)+((COUNTIF('Elève (6ème3)'!SS19:SU19,"C"))*2)+((COUNTIF('Elève (6ème3)'!SS19:SU19,"D"))*1))/(COUNTA(SS19:SU19)),"")</f>
        <v/>
      </c>
      <c r="SW19" s="118" t="str">
        <f t="shared" si="120"/>
        <v/>
      </c>
      <c r="SX19" s="135"/>
      <c r="SY19" s="132"/>
      <c r="SZ19" s="133"/>
      <c r="TA19" s="102" t="str">
        <f>IFERROR((((COUNTIF('Elève (6ème3)'!SX19:SZ19,"A"))*4)+((COUNTIF('Elève (6ème3)'!SX19:SZ19,"B"))*3)+((COUNTIF('Elève (6ème3)'!SX19:SZ19,"C"))*2)+((COUNTIF('Elève (6ème3)'!SX19:SZ19,"D"))*1))/(COUNTA(SX19:SZ19)),"")</f>
        <v/>
      </c>
      <c r="TB19" s="103" t="str">
        <f t="shared" si="121"/>
        <v/>
      </c>
      <c r="TC19" s="136"/>
      <c r="TD19" s="137"/>
      <c r="TE19" s="138"/>
      <c r="TF19" s="102" t="str">
        <f>IFERROR((((COUNTIF('Elève (6ème3)'!TC19:TE19,"A"))*4)+((COUNTIF('Elève (6ème3)'!TC19:TE19,"B"))*3)+((COUNTIF('Elève (6ème3)'!TC19:TE19,"C"))*2)+((COUNTIF('Elève (6ème3)'!TC19:TE19,"D"))*1))/(COUNTA(TC19:TE19)),"")</f>
        <v/>
      </c>
      <c r="TG19" s="103" t="str">
        <f t="shared" si="122"/>
        <v/>
      </c>
      <c r="TH19" s="102" t="str">
        <f>IF(COUNT(SV19,TA19,TF19)=0,"",SUM(SV19,TA19,TF19)/COUNT(SV19,TA19,TF19))</f>
        <v/>
      </c>
      <c r="TI19" s="117" t="str">
        <f t="shared" si="123"/>
        <v/>
      </c>
      <c r="TJ19" s="131"/>
      <c r="TK19" s="132"/>
      <c r="TL19" s="133"/>
      <c r="TM19" s="134" t="str">
        <f>IFERROR((((COUNTIF('Elève (6ème3)'!TJ19:TL19,"A"))*4)+((COUNTIF('Elève (6ème3)'!TJ19:TL19,"B"))*3)+((COUNTIF('Elève (6ème3)'!TJ19:TL19,"C"))*2)+((COUNTIF('Elève (6ème3)'!TJ19:TL19,"D"))*1))/(COUNTA(TJ19:TL19)),"")</f>
        <v/>
      </c>
      <c r="TN19" s="118" t="str">
        <f t="shared" si="124"/>
        <v/>
      </c>
      <c r="TO19" s="135"/>
      <c r="TP19" s="132"/>
      <c r="TQ19" s="133"/>
      <c r="TR19" s="102" t="str">
        <f>IFERROR((((COUNTIF('Elève (6ème3)'!TO19:TQ19,"A"))*4)+((COUNTIF('Elève (6ème3)'!TO19:TQ19,"B"))*3)+((COUNTIF('Elève (6ème3)'!TO19:TQ19,"C"))*2)+((COUNTIF('Elève (6ème3)'!TO19:TQ19,"D"))*1))/(COUNTA(TO19:TQ19)),"")</f>
        <v/>
      </c>
      <c r="TS19" s="103" t="str">
        <f t="shared" si="125"/>
        <v/>
      </c>
      <c r="TT19" s="136"/>
      <c r="TU19" s="137"/>
      <c r="TV19" s="138"/>
      <c r="TW19" s="102" t="str">
        <f>IFERROR((((COUNTIF('Elève (6ème3)'!TT19:TV19,"A"))*4)+((COUNTIF('Elève (6ème3)'!TT19:TV19,"B"))*3)+((COUNTIF('Elève (6ème3)'!TT19:TV19,"C"))*2)+((COUNTIF('Elève (6ème3)'!TT19:TV19,"D"))*1))/(COUNTA(TT19:TV19)),"")</f>
        <v/>
      </c>
      <c r="TX19" s="103" t="str">
        <f t="shared" si="126"/>
        <v/>
      </c>
      <c r="TY19" s="102" t="str">
        <f>IF(COUNT(TM19,TR19,TW19)=0,"",SUM(TM19,TR19,TW19)/COUNT(TM19,TR19,TW19))</f>
        <v/>
      </c>
      <c r="TZ19" s="117" t="str">
        <f t="shared" si="127"/>
        <v/>
      </c>
    </row>
    <row r="20" spans="1:546" ht="15.75" thickBot="1" x14ac:dyDescent="0.3">
      <c r="A20" s="166" t="s">
        <v>41</v>
      </c>
      <c r="B20" s="139"/>
      <c r="C20" s="174"/>
      <c r="D20" s="141"/>
      <c r="E20" s="142"/>
      <c r="F20" s="190" t="str">
        <f>IFERROR((((COUNTIF('Elève (6ème3)'!C20:E20,"A"))*4)+((COUNTIF('Elève (6ème3)'!C20:E20,"B"))*3)+((COUNTIF('Elève (6ème3)'!C20:E20,"C"))*2)+((COUNTIF('Elève (6ème3)'!C20:E20,"D"))*1))/(COUNTA(C20:E20)),"")</f>
        <v/>
      </c>
      <c r="G20" s="191" t="str">
        <f t="shared" si="0"/>
        <v/>
      </c>
      <c r="H20" s="174"/>
      <c r="I20" s="141"/>
      <c r="J20" s="142"/>
      <c r="K20" s="190" t="str">
        <f>IFERROR((((COUNTIF('Elève (6ème3)'!H20:J20,"A"))*4)+((COUNTIF('Elève (6ème3)'!H20:J20,"B"))*3)+((COUNTIF('Elève (6ème3)'!H20:J20,"C"))*2)+((COUNTIF('Elève (6ème3)'!H20:J20,"D"))*1))/(COUNTA(H20:J20)),"")</f>
        <v/>
      </c>
      <c r="L20" s="191" t="str">
        <f t="shared" si="1"/>
        <v/>
      </c>
      <c r="M20" s="174"/>
      <c r="N20" s="141"/>
      <c r="O20" s="142"/>
      <c r="P20" s="190" t="str">
        <f>IFERROR((((COUNTIF('Elève (6ème3)'!M20:O20,"A"))*4)+((COUNTIF('Elève (6ème3)'!M20:O20,"B"))*3)+((COUNTIF('Elève (6ème3)'!M20:O20,"C"))*2)+((COUNTIF('Elève (6ème3)'!M20:O20,"D"))*1))/(COUNTA(M20:O20)),"")</f>
        <v/>
      </c>
      <c r="Q20" s="191" t="str">
        <f t="shared" si="2"/>
        <v/>
      </c>
      <c r="R20" s="190" t="str">
        <f>IF(COUNT(F20,K20,P20)=0,"",SUM(F20,K20,P20)/COUNT(F20,K20,P20))</f>
        <v/>
      </c>
      <c r="S20" s="213" t="str">
        <f t="shared" si="3"/>
        <v/>
      </c>
      <c r="T20" s="219"/>
      <c r="U20" s="141"/>
      <c r="V20" s="142"/>
      <c r="W20" s="190" t="str">
        <f>IFERROR((((COUNTIF('Elève (6ème3)'!T20:V20,"A"))*4)+((COUNTIF('Elève (6ème3)'!T20:V20,"B"))*3)+((COUNTIF('Elève (6ème3)'!T20:V20,"C"))*2)+((COUNTIF('Elève (6ème3)'!T20:V20,"D"))*1))/(COUNTA(T20:V20)),"")</f>
        <v/>
      </c>
      <c r="X20" s="191" t="str">
        <f t="shared" si="4"/>
        <v/>
      </c>
      <c r="Y20" s="174"/>
      <c r="Z20" s="141"/>
      <c r="AA20" s="142"/>
      <c r="AB20" s="190" t="str">
        <f>IFERROR((((COUNTIF('Elève (6ème3)'!Y20:AA20,"A"))*4)+((COUNTIF('Elève (6ème3)'!Y20:AA20,"B"))*3)+((COUNTIF('Elève (6ème3)'!Y20:AA20,"C"))*2)+((COUNTIF('Elève (6ème3)'!Y20:AA20,"D"))*1))/(COUNTA(Y20:AA20)),"")</f>
        <v/>
      </c>
      <c r="AC20" s="191" t="str">
        <f t="shared" si="5"/>
        <v/>
      </c>
      <c r="AD20" s="174"/>
      <c r="AE20" s="141"/>
      <c r="AF20" s="142"/>
      <c r="AG20" s="190" t="str">
        <f>IFERROR((((COUNTIF('Elève (6ème3)'!AD20:AF20,"A"))*4)+((COUNTIF('Elève (6ème3)'!AD20:AF20,"B"))*3)+((COUNTIF('Elève (6ème3)'!AD20:AF20,"C"))*2)+((COUNTIF('Elève (6ème3)'!AD20:AF20,"D"))*1))/(COUNTA(AD20:AF20)),"")</f>
        <v/>
      </c>
      <c r="AH20" s="191" t="str">
        <f t="shared" si="6"/>
        <v/>
      </c>
      <c r="AI20" s="190" t="str">
        <f>IF(COUNT(W20,AB20,AG20)=0,"",SUM(W20,AB20,AG20)/COUNT(W20,AB20,AG20))</f>
        <v/>
      </c>
      <c r="AJ20" s="213" t="str">
        <f t="shared" si="7"/>
        <v/>
      </c>
      <c r="AK20" s="219"/>
      <c r="AL20" s="141"/>
      <c r="AM20" s="142"/>
      <c r="AN20" s="190" t="str">
        <f>IFERROR((((COUNTIF('Elève (6ème3)'!AK20:AM20,"A"))*4)+((COUNTIF('Elève (6ème3)'!AK20:AM20,"B"))*3)+((COUNTIF('Elève (6ème3)'!AK20:AM20,"C"))*2)+((COUNTIF('Elève (6ème3)'!AK20:AM20,"D"))*1))/(COUNTA(AK20:AM20)),"")</f>
        <v/>
      </c>
      <c r="AO20" s="191" t="str">
        <f t="shared" si="8"/>
        <v/>
      </c>
      <c r="AP20" s="174"/>
      <c r="AQ20" s="141"/>
      <c r="AR20" s="142"/>
      <c r="AS20" s="190" t="str">
        <f>IFERROR((((COUNTIF('Elève (6ème3)'!AP20:AR20,"A"))*4)+((COUNTIF('Elève (6ème3)'!AP20:AR20,"B"))*3)+((COUNTIF('Elève (6ème3)'!AP20:AR20,"C"))*2)+((COUNTIF('Elève (6ème3)'!AP20:AR20,"D"))*1))/(COUNTA(AP20:AR20)),"")</f>
        <v/>
      </c>
      <c r="AT20" s="191" t="str">
        <f t="shared" si="9"/>
        <v/>
      </c>
      <c r="AU20" s="174"/>
      <c r="AV20" s="141"/>
      <c r="AW20" s="142"/>
      <c r="AX20" s="190" t="str">
        <f>IFERROR((((COUNTIF('Elève (6ème3)'!AU20:AW20,"A"))*4)+((COUNTIF('Elève (6ème3)'!AU20:AW20,"B"))*3)+((COUNTIF('Elève (6ème3)'!AU20:AW20,"C"))*2)+((COUNTIF('Elève (6ème3)'!AU20:AW20,"D"))*1))/(COUNTA(AU20:AW20)),"")</f>
        <v/>
      </c>
      <c r="AY20" s="191" t="str">
        <f t="shared" si="10"/>
        <v/>
      </c>
      <c r="AZ20" s="190" t="str">
        <f>IF(COUNT(AN20,AS20,AX20)=0,"",SUM(AN20,AS20,AX20)/COUNT(AN20,AS20,AX20))</f>
        <v/>
      </c>
      <c r="BA20" s="213" t="str">
        <f t="shared" si="11"/>
        <v/>
      </c>
      <c r="BB20" s="219"/>
      <c r="BC20" s="141"/>
      <c r="BD20" s="142"/>
      <c r="BE20" s="190" t="str">
        <f>IFERROR((((COUNTIF('Elève (6ème3)'!BB20:BD20,"A"))*4)+((COUNTIF('Elève (6ème3)'!BB20:BD20,"B"))*3)+((COUNTIF('Elève (6ème3)'!BB20:BD20,"C"))*2)+((COUNTIF('Elève (6ème3)'!BB20:BD20,"D"))*1))/(COUNTA(BB20:BD20)),"")</f>
        <v/>
      </c>
      <c r="BF20" s="191" t="str">
        <f t="shared" si="12"/>
        <v/>
      </c>
      <c r="BG20" s="174"/>
      <c r="BH20" s="141"/>
      <c r="BI20" s="142"/>
      <c r="BJ20" s="190" t="str">
        <f>IFERROR((((COUNTIF('Elève (6ème3)'!BG20:BI20,"A"))*4)+((COUNTIF('Elève (6ème3)'!BG20:BI20,"B"))*3)+((COUNTIF('Elève (6ème3)'!BG20:BI20,"C"))*2)+((COUNTIF('Elève (6ème3)'!BG20:BI20,"D"))*1))/(COUNTA(BG20:BI20)),"")</f>
        <v/>
      </c>
      <c r="BK20" s="191" t="str">
        <f t="shared" si="13"/>
        <v/>
      </c>
      <c r="BL20" s="174"/>
      <c r="BM20" s="141"/>
      <c r="BN20" s="142"/>
      <c r="BO20" s="190" t="str">
        <f>IFERROR((((COUNTIF('Elève (6ème3)'!BL20:BN20,"A"))*4)+((COUNTIF('Elève (6ème3)'!BL20:BN20,"B"))*3)+((COUNTIF('Elève (6ème3)'!BL20:BN20,"C"))*2)+((COUNTIF('Elève (6ème3)'!BL20:BN20,"D"))*1))/(COUNTA(BL20:BN20)),"")</f>
        <v/>
      </c>
      <c r="BP20" s="191" t="str">
        <f t="shared" si="14"/>
        <v/>
      </c>
      <c r="BQ20" s="190" t="str">
        <f>IF(COUNT(BE20,BJ20,BO20)=0,"",SUM(BE20,BJ20,BO20)/COUNT(BE20,BJ20,BO20))</f>
        <v/>
      </c>
      <c r="BR20" s="213" t="str">
        <f t="shared" si="15"/>
        <v/>
      </c>
      <c r="BS20" s="219"/>
      <c r="BT20" s="141"/>
      <c r="BU20" s="142"/>
      <c r="BV20" s="190" t="str">
        <f>IFERROR((((COUNTIF('Elève (6ème3)'!BS20:BU20,"A"))*4)+((COUNTIF('Elève (6ème3)'!BS20:BU20,"B"))*3)+((COUNTIF('Elève (6ème3)'!BS20:BU20,"C"))*2)+((COUNTIF('Elève (6ème3)'!BS20:BU20,"D"))*1))/(COUNTA(BS20:BU20)),"")</f>
        <v/>
      </c>
      <c r="BW20" s="191" t="str">
        <f t="shared" si="16"/>
        <v/>
      </c>
      <c r="BX20" s="174"/>
      <c r="BY20" s="141"/>
      <c r="BZ20" s="142"/>
      <c r="CA20" s="190" t="str">
        <f>IFERROR((((COUNTIF('Elève (6ème3)'!BX20:BZ20,"A"))*4)+((COUNTIF('Elève (6ème3)'!BX20:BZ20,"B"))*3)+((COUNTIF('Elève (6ème3)'!BX20:BZ20,"C"))*2)+((COUNTIF('Elève (6ème3)'!BX20:BZ20,"D"))*1))/(COUNTA(BX20:BZ20)),"")</f>
        <v/>
      </c>
      <c r="CB20" s="191" t="str">
        <f t="shared" si="17"/>
        <v/>
      </c>
      <c r="CC20" s="174"/>
      <c r="CD20" s="141"/>
      <c r="CE20" s="142"/>
      <c r="CF20" s="190" t="str">
        <f>IFERROR((((COUNTIF('Elève (6ème3)'!CC20:CE20,"A"))*4)+((COUNTIF('Elève (6ème3)'!CC20:CE20,"B"))*3)+((COUNTIF('Elève (6ème3)'!CC20:CE20,"C"))*2)+((COUNTIF('Elève (6ème3)'!CC20:CE20,"D"))*1))/(COUNTA(CC20:CE20)),"")</f>
        <v/>
      </c>
      <c r="CG20" s="191" t="str">
        <f t="shared" si="18"/>
        <v/>
      </c>
      <c r="CH20" s="190" t="str">
        <f>IF(COUNT(BV20,CA20,CF20)=0,"",SUM(BV20,CA20,CF20)/COUNT(BV20,CA20,CF20))</f>
        <v/>
      </c>
      <c r="CI20" s="213" t="str">
        <f t="shared" si="19"/>
        <v/>
      </c>
      <c r="CJ20" s="219"/>
      <c r="CK20" s="141"/>
      <c r="CL20" s="142"/>
      <c r="CM20" s="190" t="str">
        <f>IFERROR((((COUNTIF('Elève (6ème3)'!CJ20:CL20,"A"))*4)+((COUNTIF('Elève (6ème3)'!CJ20:CL20,"B"))*3)+((COUNTIF('Elève (6ème3)'!CJ20:CL20,"C"))*2)+((COUNTIF('Elève (6ème3)'!CJ20:CL20,"D"))*1))/(COUNTA(CJ20:CL20)),"")</f>
        <v/>
      </c>
      <c r="CN20" s="191" t="str">
        <f t="shared" si="20"/>
        <v/>
      </c>
      <c r="CO20" s="174"/>
      <c r="CP20" s="141"/>
      <c r="CQ20" s="142"/>
      <c r="CR20" s="190" t="str">
        <f>IFERROR((((COUNTIF('Elève (6ème3)'!CO20:CQ20,"A"))*4)+((COUNTIF('Elève (6ème3)'!CO20:CQ20,"B"))*3)+((COUNTIF('Elève (6ème3)'!CO20:CQ20,"C"))*2)+((COUNTIF('Elève (6ème3)'!CO20:CQ20,"D"))*1))/(COUNTA(CO20:CQ20)),"")</f>
        <v/>
      </c>
      <c r="CS20" s="191" t="str">
        <f t="shared" si="21"/>
        <v/>
      </c>
      <c r="CT20" s="174"/>
      <c r="CU20" s="141"/>
      <c r="CV20" s="142"/>
      <c r="CW20" s="190" t="str">
        <f>IFERROR((((COUNTIF('Elève (6ème3)'!CT20:CV20,"A"))*4)+((COUNTIF('Elève (6ème3)'!CT20:CV20,"B"))*3)+((COUNTIF('Elève (6ème3)'!CT20:CV20,"C"))*2)+((COUNTIF('Elève (6ème3)'!CT20:CV20,"D"))*1))/(COUNTA(CT20:CV20)),"")</f>
        <v/>
      </c>
      <c r="CX20" s="191" t="str">
        <f t="shared" si="22"/>
        <v/>
      </c>
      <c r="CY20" s="190" t="str">
        <f>IF(COUNT(CM20,CR20,CW20)=0,"",SUM(CM20,CR20,CW20)/COUNT(CM20,CR20,CW20))</f>
        <v/>
      </c>
      <c r="CZ20" s="213" t="str">
        <f t="shared" si="23"/>
        <v/>
      </c>
      <c r="DA20" s="219"/>
      <c r="DB20" s="141"/>
      <c r="DC20" s="142"/>
      <c r="DD20" s="190" t="str">
        <f>IFERROR((((COUNTIF('Elève (6ème3)'!DA20:DC20,"A"))*4)+((COUNTIF('Elève (6ème3)'!DA20:DC20,"B"))*3)+((COUNTIF('Elève (6ème3)'!DA20:DC20,"C"))*2)+((COUNTIF('Elève (6ème3)'!DA20:DC20,"D"))*1))/(COUNTA(DA20:DC20)),"")</f>
        <v/>
      </c>
      <c r="DE20" s="191" t="str">
        <f t="shared" si="24"/>
        <v/>
      </c>
      <c r="DF20" s="174"/>
      <c r="DG20" s="141"/>
      <c r="DH20" s="142"/>
      <c r="DI20" s="190" t="str">
        <f>IFERROR((((COUNTIF('Elève (6ème3)'!DF20:DH20,"A"))*4)+((COUNTIF('Elève (6ème3)'!DF20:DH20,"B"))*3)+((COUNTIF('Elève (6ème3)'!DF20:DH20,"C"))*2)+((COUNTIF('Elève (6ème3)'!DF20:DH20,"D"))*1))/(COUNTA(DF20:DH20)),"")</f>
        <v/>
      </c>
      <c r="DJ20" s="191" t="str">
        <f t="shared" si="25"/>
        <v/>
      </c>
      <c r="DK20" s="174"/>
      <c r="DL20" s="141"/>
      <c r="DM20" s="142"/>
      <c r="DN20" s="190" t="str">
        <f>IFERROR((((COUNTIF('Elève (6ème3)'!DK20:DM20,"A"))*4)+((COUNTIF('Elève (6ème3)'!DK20:DM20,"B"))*3)+((COUNTIF('Elève (6ème3)'!DK20:DM20,"C"))*2)+((COUNTIF('Elève (6ème3)'!DK20:DM20,"D"))*1))/(COUNTA(DK20:DM20)),"")</f>
        <v/>
      </c>
      <c r="DO20" s="191" t="str">
        <f t="shared" si="26"/>
        <v/>
      </c>
      <c r="DP20" s="190" t="str">
        <f>IF(COUNT(DD20,DI20,DN20)=0,"",SUM(DD20,DI20,DN20)/COUNT(DD20,DI20,DN20))</f>
        <v/>
      </c>
      <c r="DQ20" s="213" t="str">
        <f t="shared" si="27"/>
        <v/>
      </c>
      <c r="DR20" s="219"/>
      <c r="DS20" s="141"/>
      <c r="DT20" s="142"/>
      <c r="DU20" s="190" t="str">
        <f>IFERROR((((COUNTIF('Elève (6ème3)'!DR20:DT20,"A"))*4)+((COUNTIF('Elève (6ème3)'!DR20:DT20,"B"))*3)+((COUNTIF('Elève (6ème3)'!DR20:DT20,"C"))*2)+((COUNTIF('Elève (6ème3)'!DR20:DT20,"D"))*1))/(COUNTA(DR20:DT20)),"")</f>
        <v/>
      </c>
      <c r="DV20" s="191" t="str">
        <f t="shared" si="28"/>
        <v/>
      </c>
      <c r="DW20" s="174"/>
      <c r="DX20" s="141"/>
      <c r="DY20" s="142"/>
      <c r="DZ20" s="190" t="str">
        <f>IFERROR((((COUNTIF('Elève (6ème3)'!DW20:DY20,"A"))*4)+((COUNTIF('Elève (6ème3)'!DW20:DY20,"B"))*3)+((COUNTIF('Elève (6ème3)'!DW20:DY20,"C"))*2)+((COUNTIF('Elève (6ème3)'!DW20:DY20,"D"))*1))/(COUNTA(DW20:DY20)),"")</f>
        <v/>
      </c>
      <c r="EA20" s="191" t="str">
        <f t="shared" si="29"/>
        <v/>
      </c>
      <c r="EB20" s="174"/>
      <c r="EC20" s="141"/>
      <c r="ED20" s="142"/>
      <c r="EE20" s="190" t="str">
        <f>IFERROR((((COUNTIF('Elève (6ème3)'!EB20:ED20,"A"))*4)+((COUNTIF('Elève (6ème3)'!EB20:ED20,"B"))*3)+((COUNTIF('Elève (6ème3)'!EB20:ED20,"C"))*2)+((COUNTIF('Elève (6ème3)'!EB20:ED20,"D"))*1))/(COUNTA(EB20:ED20)),"")</f>
        <v/>
      </c>
      <c r="EF20" s="191" t="str">
        <f t="shared" si="30"/>
        <v/>
      </c>
      <c r="EG20" s="190" t="str">
        <f>IF(COUNT(DU20,DZ20,EE20)=0,"",SUM(DU20,DZ20,EE20)/COUNT(DU20,DZ20,EE20))</f>
        <v/>
      </c>
      <c r="EH20" s="213" t="str">
        <f t="shared" si="31"/>
        <v/>
      </c>
      <c r="EI20" s="219"/>
      <c r="EJ20" s="141"/>
      <c r="EK20" s="142"/>
      <c r="EL20" s="190" t="str">
        <f>IFERROR((((COUNTIF('Elève (6ème3)'!EI20:EK20,"A"))*4)+((COUNTIF('Elève (6ème3)'!EI20:EK20,"B"))*3)+((COUNTIF('Elève (6ème3)'!EI20:EK20,"C"))*2)+((COUNTIF('Elève (6ème3)'!EI20:EK20,"D"))*1))/(COUNTA(EI20:EK20)),"")</f>
        <v/>
      </c>
      <c r="EM20" s="191" t="str">
        <f t="shared" si="32"/>
        <v/>
      </c>
      <c r="EN20" s="174"/>
      <c r="EO20" s="141"/>
      <c r="EP20" s="142"/>
      <c r="EQ20" s="190" t="str">
        <f>IFERROR((((COUNTIF('Elève (6ème3)'!EN20:EP20,"A"))*4)+((COUNTIF('Elève (6ème3)'!EN20:EP20,"B"))*3)+((COUNTIF('Elève (6ème3)'!EN20:EP20,"C"))*2)+((COUNTIF('Elève (6ème3)'!EN20:EP20,"D"))*1))/(COUNTA(EN20:EP20)),"")</f>
        <v/>
      </c>
      <c r="ER20" s="191" t="str">
        <f t="shared" si="33"/>
        <v/>
      </c>
      <c r="ES20" s="174"/>
      <c r="ET20" s="141"/>
      <c r="EU20" s="142"/>
      <c r="EV20" s="190" t="str">
        <f>IFERROR((((COUNTIF('Elève (6ème3)'!ES20:EU20,"A"))*4)+((COUNTIF('Elève (6ème3)'!ES20:EU20,"B"))*3)+((COUNTIF('Elève (6ème3)'!ES20:EU20,"C"))*2)+((COUNTIF('Elève (6ème3)'!ES20:EU20,"D"))*1))/(COUNTA(ES20:EU20)),"")</f>
        <v/>
      </c>
      <c r="EW20" s="191" t="str">
        <f t="shared" si="34"/>
        <v/>
      </c>
      <c r="EX20" s="190" t="str">
        <f>IF(COUNT(EL20,EQ20,EV20)=0,"",SUM(EL20,EQ20,EV20)/COUNT(EL20,EQ20,EV20))</f>
        <v/>
      </c>
      <c r="EY20" s="213" t="str">
        <f t="shared" si="35"/>
        <v/>
      </c>
      <c r="EZ20" s="219"/>
      <c r="FA20" s="141"/>
      <c r="FB20" s="142"/>
      <c r="FC20" s="190" t="str">
        <f>IFERROR((((COUNTIF('Elève (6ème3)'!EZ20:FB20,"A"))*4)+((COUNTIF('Elève (6ème3)'!EZ20:FB20,"B"))*3)+((COUNTIF('Elève (6ème3)'!EZ20:FB20,"C"))*2)+((COUNTIF('Elève (6ème3)'!EZ20:FB20,"D"))*1))/(COUNTA(EZ20:FB20)),"")</f>
        <v/>
      </c>
      <c r="FD20" s="191" t="str">
        <f t="shared" si="36"/>
        <v/>
      </c>
      <c r="FE20" s="174"/>
      <c r="FF20" s="141"/>
      <c r="FG20" s="142"/>
      <c r="FH20" s="190" t="str">
        <f>IFERROR((((COUNTIF('Elève (6ème3)'!FE20:FG20,"A"))*4)+((COUNTIF('Elève (6ème3)'!FE20:FG20,"B"))*3)+((COUNTIF('Elève (6ème3)'!FE20:FG20,"C"))*2)+((COUNTIF('Elève (6ème3)'!FE20:FG20,"D"))*1))/(COUNTA(FE20:FG20)),"")</f>
        <v/>
      </c>
      <c r="FI20" s="191" t="str">
        <f t="shared" si="37"/>
        <v/>
      </c>
      <c r="FJ20" s="174"/>
      <c r="FK20" s="141"/>
      <c r="FL20" s="142"/>
      <c r="FM20" s="190" t="str">
        <f>IFERROR((((COUNTIF('Elève (6ème3)'!FJ20:FL20,"A"))*4)+((COUNTIF('Elève (6ème3)'!FJ20:FL20,"B"))*3)+((COUNTIF('Elève (6ème3)'!FJ20:FL20,"C"))*2)+((COUNTIF('Elève (6ème3)'!FJ20:FL20,"D"))*1))/(COUNTA(FJ20:FL20)),"")</f>
        <v/>
      </c>
      <c r="FN20" s="191" t="str">
        <f t="shared" si="38"/>
        <v/>
      </c>
      <c r="FO20" s="190" t="str">
        <f>IF(COUNT(FC20,FH20,FM20)=0,"",SUM(FC20,FH20,FM20)/COUNT(FC20,FH20,FM20))</f>
        <v/>
      </c>
      <c r="FP20" s="213" t="str">
        <f t="shared" si="39"/>
        <v/>
      </c>
      <c r="FQ20" s="219"/>
      <c r="FR20" s="141"/>
      <c r="FS20" s="142"/>
      <c r="FT20" s="190" t="str">
        <f>IFERROR((((COUNTIF('Elève (6ème3)'!FQ20:FS20,"A"))*4)+((COUNTIF('Elève (6ème3)'!FQ20:FS20,"B"))*3)+((COUNTIF('Elève (6ème3)'!FQ20:FS20,"C"))*2)+((COUNTIF('Elève (6ème3)'!FQ20:FS20,"D"))*1))/(COUNTA(FQ20:FS20)),"")</f>
        <v/>
      </c>
      <c r="FU20" s="191" t="str">
        <f t="shared" si="40"/>
        <v/>
      </c>
      <c r="FV20" s="174"/>
      <c r="FW20" s="141"/>
      <c r="FX20" s="142"/>
      <c r="FY20" s="190" t="str">
        <f>IFERROR((((COUNTIF('Elève (6ème3)'!FV20:FX20,"A"))*4)+((COUNTIF('Elève (6ème3)'!FV20:FX20,"B"))*3)+((COUNTIF('Elève (6ème3)'!FV20:FX20,"C"))*2)+((COUNTIF('Elève (6ème3)'!FV20:FX20,"D"))*1))/(COUNTA(FV20:FX20)),"")</f>
        <v/>
      </c>
      <c r="FZ20" s="191" t="str">
        <f t="shared" si="41"/>
        <v/>
      </c>
      <c r="GA20" s="174"/>
      <c r="GB20" s="141"/>
      <c r="GC20" s="142"/>
      <c r="GD20" s="190" t="str">
        <f>IFERROR((((COUNTIF('Elève (6ème3)'!GA20:GC20,"A"))*4)+((COUNTIF('Elève (6ème3)'!GA20:GC20,"B"))*3)+((COUNTIF('Elève (6ème3)'!GA20:GC20,"C"))*2)+((COUNTIF('Elève (6ème3)'!GA20:GC20,"D"))*1))/(COUNTA(GA20:GC20)),"")</f>
        <v/>
      </c>
      <c r="GE20" s="191" t="str">
        <f t="shared" si="42"/>
        <v/>
      </c>
      <c r="GF20" s="190" t="str">
        <f>IF(COUNT(FT20,FY20,GD20)=0,"",SUM(FT20,FY20,GD20)/COUNT(FT20,FY20,GD20))</f>
        <v/>
      </c>
      <c r="GG20" s="213" t="str">
        <f t="shared" si="43"/>
        <v/>
      </c>
      <c r="GH20" s="219"/>
      <c r="GI20" s="141"/>
      <c r="GJ20" s="142"/>
      <c r="GK20" s="190" t="str">
        <f>IFERROR((((COUNTIF('Elève (6ème3)'!GH20:GJ20,"A"))*4)+((COUNTIF('Elève (6ème3)'!GH20:GJ20,"B"))*3)+((COUNTIF('Elève (6ème3)'!GH20:GJ20,"C"))*2)+((COUNTIF('Elève (6ème3)'!GH20:GJ20,"D"))*1))/(COUNTA(GH20:GJ20)),"")</f>
        <v/>
      </c>
      <c r="GL20" s="191" t="str">
        <f t="shared" si="44"/>
        <v/>
      </c>
      <c r="GM20" s="174"/>
      <c r="GN20" s="141"/>
      <c r="GO20" s="142"/>
      <c r="GP20" s="190" t="str">
        <f>IFERROR((((COUNTIF('Elève (6ème3)'!GM20:GO20,"A"))*4)+((COUNTIF('Elève (6ème3)'!GM20:GO20,"B"))*3)+((COUNTIF('Elève (6ème3)'!GM20:GO20,"C"))*2)+((COUNTIF('Elève (6ème3)'!GM20:GO20,"D"))*1))/(COUNTA(GM20:GO20)),"")</f>
        <v/>
      </c>
      <c r="GQ20" s="191" t="str">
        <f t="shared" si="45"/>
        <v/>
      </c>
      <c r="GR20" s="174"/>
      <c r="GS20" s="141"/>
      <c r="GT20" s="142"/>
      <c r="GU20" s="190" t="str">
        <f>IFERROR((((COUNTIF('Elève (6ème3)'!GR20:GT20,"A"))*4)+((COUNTIF('Elève (6ème3)'!GR20:GT20,"B"))*3)+((COUNTIF('Elève (6ème3)'!GR20:GT20,"C"))*2)+((COUNTIF('Elève (6ème3)'!GR20:GT20,"D"))*1))/(COUNTA(GR20:GT20)),"")</f>
        <v/>
      </c>
      <c r="GV20" s="191" t="str">
        <f t="shared" si="46"/>
        <v/>
      </c>
      <c r="GW20" s="190" t="str">
        <f>IF(COUNT(GK20,GP20,GU20)=0,"",SUM(GK20,GP20,GU20)/COUNT(GK20,GP20,GU20))</f>
        <v/>
      </c>
      <c r="GX20" s="213" t="str">
        <f t="shared" si="47"/>
        <v/>
      </c>
      <c r="GY20" s="219"/>
      <c r="GZ20" s="141"/>
      <c r="HA20" s="142"/>
      <c r="HB20" s="190" t="str">
        <f>IFERROR((((COUNTIF('Elève (6ème3)'!GY20:HA20,"A"))*4)+((COUNTIF('Elève (6ème3)'!GY20:HA20,"B"))*3)+((COUNTIF('Elève (6ème3)'!GY20:HA20,"C"))*2)+((COUNTIF('Elève (6ème3)'!GY20:HA20,"D"))*1))/(COUNTA(GY20:HA20)),"")</f>
        <v/>
      </c>
      <c r="HC20" s="191" t="str">
        <f t="shared" si="48"/>
        <v/>
      </c>
      <c r="HD20" s="174"/>
      <c r="HE20" s="141"/>
      <c r="HF20" s="142"/>
      <c r="HG20" s="190" t="str">
        <f>IFERROR((((COUNTIF('Elève (6ème3)'!HD20:HF20,"A"))*4)+((COUNTIF('Elève (6ème3)'!HD20:HF20,"B"))*3)+((COUNTIF('Elève (6ème3)'!HD20:HF20,"C"))*2)+((COUNTIF('Elève (6ème3)'!HD20:HF20,"D"))*1))/(COUNTA(HD20:HF20)),"")</f>
        <v/>
      </c>
      <c r="HH20" s="191" t="str">
        <f t="shared" si="49"/>
        <v/>
      </c>
      <c r="HI20" s="174"/>
      <c r="HJ20" s="141"/>
      <c r="HK20" s="142"/>
      <c r="HL20" s="190" t="str">
        <f>IFERROR((((COUNTIF('Elève (6ème3)'!HI20:HK20,"A"))*4)+((COUNTIF('Elève (6ème3)'!HI20:HK20,"B"))*3)+((COUNTIF('Elève (6ème3)'!HI20:HK20,"C"))*2)+((COUNTIF('Elève (6ème3)'!HI20:HK20,"D"))*1))/(COUNTA(HI20:HK20)),"")</f>
        <v/>
      </c>
      <c r="HM20" s="191" t="str">
        <f t="shared" si="50"/>
        <v/>
      </c>
      <c r="HN20" s="190" t="str">
        <f>IF(COUNT(HB20,HG20,HL20)=0,"",SUM(HB20,HG20,HL20)/COUNT(HB20,HG20,HL20))</f>
        <v/>
      </c>
      <c r="HO20" s="213" t="str">
        <f t="shared" si="51"/>
        <v/>
      </c>
      <c r="HP20" s="219"/>
      <c r="HQ20" s="141"/>
      <c r="HR20" s="142"/>
      <c r="HS20" s="190" t="str">
        <f>IFERROR((((COUNTIF('Elève (6ème3)'!HP20:HR20,"A"))*4)+((COUNTIF('Elève (6ème3)'!HP20:HR20,"B"))*3)+((COUNTIF('Elève (6ème3)'!HP20:HR20,"C"))*2)+((COUNTIF('Elève (6ème3)'!HP20:HR20,"D"))*1))/(COUNTA(HP20:HR20)),"")</f>
        <v/>
      </c>
      <c r="HT20" s="191" t="str">
        <f t="shared" si="52"/>
        <v/>
      </c>
      <c r="HU20" s="174"/>
      <c r="HV20" s="141"/>
      <c r="HW20" s="142"/>
      <c r="HX20" s="190" t="str">
        <f>IFERROR((((COUNTIF('Elève (6ème3)'!HU20:HW20,"A"))*4)+((COUNTIF('Elève (6ème3)'!HU20:HW20,"B"))*3)+((COUNTIF('Elève (6ème3)'!HU20:HW20,"C"))*2)+((COUNTIF('Elève (6ème3)'!HU20:HW20,"D"))*1))/(COUNTA(HU20:HW20)),"")</f>
        <v/>
      </c>
      <c r="HY20" s="191" t="str">
        <f t="shared" si="53"/>
        <v/>
      </c>
      <c r="HZ20" s="174"/>
      <c r="IA20" s="141"/>
      <c r="IB20" s="142"/>
      <c r="IC20" s="190" t="str">
        <f>IFERROR((((COUNTIF('Elève (6ème3)'!HZ20:IB20,"A"))*4)+((COUNTIF('Elève (6ème3)'!HZ20:IB20,"B"))*3)+((COUNTIF('Elève (6ème3)'!HZ20:IB20,"C"))*2)+((COUNTIF('Elève (6ème3)'!HZ20:IB20,"D"))*1))/(COUNTA(HZ20:IB20)),"")</f>
        <v/>
      </c>
      <c r="ID20" s="191" t="str">
        <f t="shared" si="54"/>
        <v/>
      </c>
      <c r="IE20" s="190" t="str">
        <f>IF(COUNT(HS20,HX20,IC20)=0,"",SUM(HS20,HX20,IC20)/COUNT(HS20,HX20,IC20))</f>
        <v/>
      </c>
      <c r="IF20" s="213" t="str">
        <f t="shared" si="55"/>
        <v/>
      </c>
      <c r="IG20" s="219"/>
      <c r="IH20" s="141"/>
      <c r="II20" s="142"/>
      <c r="IJ20" s="190" t="str">
        <f>IFERROR((((COUNTIF('Elève (6ème3)'!IG20:II20,"A"))*4)+((COUNTIF('Elève (6ème3)'!IG20:II20,"B"))*3)+((COUNTIF('Elève (6ème3)'!IG20:II20,"C"))*2)+((COUNTIF('Elève (6ème3)'!IG20:II20,"D"))*1))/(COUNTA(IG20:II20)),"")</f>
        <v/>
      </c>
      <c r="IK20" s="191" t="str">
        <f t="shared" si="56"/>
        <v/>
      </c>
      <c r="IL20" s="174"/>
      <c r="IM20" s="141"/>
      <c r="IN20" s="142"/>
      <c r="IO20" s="190" t="str">
        <f>IFERROR((((COUNTIF('Elève (6ème3)'!IL20:IN20,"A"))*4)+((COUNTIF('Elève (6ème3)'!IL20:IN20,"B"))*3)+((COUNTIF('Elève (6ème3)'!IL20:IN20,"C"))*2)+((COUNTIF('Elève (6ème3)'!IL20:IN20,"D"))*1))/(COUNTA(IL20:IN20)),"")</f>
        <v/>
      </c>
      <c r="IP20" s="191" t="str">
        <f t="shared" si="57"/>
        <v/>
      </c>
      <c r="IQ20" s="174"/>
      <c r="IR20" s="141"/>
      <c r="IS20" s="142"/>
      <c r="IT20" s="190" t="str">
        <f>IFERROR((((COUNTIF('Elève (6ème3)'!IQ20:IS20,"A"))*4)+((COUNTIF('Elève (6ème3)'!IQ20:IS20,"B"))*3)+((COUNTIF('Elève (6ème3)'!IQ20:IS20,"C"))*2)+((COUNTIF('Elève (6ème3)'!IQ20:IS20,"D"))*1))/(COUNTA(IQ20:IS20)),"")</f>
        <v/>
      </c>
      <c r="IU20" s="191" t="str">
        <f t="shared" si="58"/>
        <v/>
      </c>
      <c r="IV20" s="190" t="str">
        <f>IF(COUNT(IJ20,IO20,IT20)=0,"",SUM(IJ20,IO20,IT20)/COUNT(IJ20,IO20,IT20))</f>
        <v/>
      </c>
      <c r="IW20" s="213" t="str">
        <f t="shared" si="59"/>
        <v/>
      </c>
      <c r="IX20" s="219"/>
      <c r="IY20" s="141"/>
      <c r="IZ20" s="142"/>
      <c r="JA20" s="190" t="str">
        <f>IFERROR((((COUNTIF('Elève (6ème3)'!IX20:IZ20,"A"))*4)+((COUNTIF('Elève (6ème3)'!IX20:IZ20,"B"))*3)+((COUNTIF('Elève (6ème3)'!IX20:IZ20,"C"))*2)+((COUNTIF('Elève (6ème3)'!IX20:IZ20,"D"))*1))/(COUNTA(IX20:IZ20)),"")</f>
        <v/>
      </c>
      <c r="JB20" s="191" t="str">
        <f t="shared" si="60"/>
        <v/>
      </c>
      <c r="JC20" s="174"/>
      <c r="JD20" s="141"/>
      <c r="JE20" s="142"/>
      <c r="JF20" s="190" t="str">
        <f>IFERROR((((COUNTIF('Elève (6ème3)'!JC20:JE20,"A"))*4)+((COUNTIF('Elève (6ème3)'!JC20:JE20,"B"))*3)+((COUNTIF('Elève (6ème3)'!JC20:JE20,"C"))*2)+((COUNTIF('Elève (6ème3)'!JC20:JE20,"D"))*1))/(COUNTA(JC20:JE20)),"")</f>
        <v/>
      </c>
      <c r="JG20" s="191" t="str">
        <f t="shared" si="61"/>
        <v/>
      </c>
      <c r="JH20" s="174"/>
      <c r="JI20" s="141"/>
      <c r="JJ20" s="142"/>
      <c r="JK20" s="190" t="str">
        <f>IFERROR((((COUNTIF('Elève (6ème3)'!JH20:JJ20,"A"))*4)+((COUNTIF('Elève (6ème3)'!JH20:JJ20,"B"))*3)+((COUNTIF('Elève (6ème3)'!JH20:JJ20,"C"))*2)+((COUNTIF('Elève (6ème3)'!JH20:JJ20,"D"))*1))/(COUNTA(JH20:JJ20)),"")</f>
        <v/>
      </c>
      <c r="JL20" s="191" t="str">
        <f t="shared" si="62"/>
        <v/>
      </c>
      <c r="JM20" s="190" t="str">
        <f>IF(COUNT(JA20,JF20,JK20)=0,"",SUM(JA20,JF20,JK20)/COUNT(JA20,JF20,JK20))</f>
        <v/>
      </c>
      <c r="JN20" s="213" t="str">
        <f t="shared" si="63"/>
        <v/>
      </c>
      <c r="JO20" s="219"/>
      <c r="JP20" s="141"/>
      <c r="JQ20" s="142"/>
      <c r="JR20" s="190" t="str">
        <f>IFERROR((((COUNTIF('Elève (6ème3)'!JO20:JQ20,"A"))*4)+((COUNTIF('Elève (6ème3)'!JO20:JQ20,"B"))*3)+((COUNTIF('Elève (6ème3)'!JO20:JQ20,"C"))*2)+((COUNTIF('Elève (6ème3)'!JO20:JQ20,"D"))*1))/(COUNTA(JO20:JQ20)),"")</f>
        <v/>
      </c>
      <c r="JS20" s="191" t="str">
        <f t="shared" si="64"/>
        <v/>
      </c>
      <c r="JT20" s="174"/>
      <c r="JU20" s="141"/>
      <c r="JV20" s="142"/>
      <c r="JW20" s="190" t="str">
        <f>IFERROR((((COUNTIF('Elève (6ème3)'!JT20:JV20,"A"))*4)+((COUNTIF('Elève (6ème3)'!JT20:JV20,"B"))*3)+((COUNTIF('Elève (6ème3)'!JT20:JV20,"C"))*2)+((COUNTIF('Elève (6ème3)'!JT20:JV20,"D"))*1))/(COUNTA(JT20:JV20)),"")</f>
        <v/>
      </c>
      <c r="JX20" s="191" t="str">
        <f t="shared" si="65"/>
        <v/>
      </c>
      <c r="JY20" s="174"/>
      <c r="JZ20" s="141"/>
      <c r="KA20" s="142"/>
      <c r="KB20" s="190" t="str">
        <f>IFERROR((((COUNTIF('Elève (6ème3)'!JY20:KA20,"A"))*4)+((COUNTIF('Elève (6ème3)'!JY20:KA20,"B"))*3)+((COUNTIF('Elève (6ème3)'!JY20:KA20,"C"))*2)+((COUNTIF('Elève (6ème3)'!JY20:KA20,"D"))*1))/(COUNTA(JY20:KA20)),"")</f>
        <v/>
      </c>
      <c r="KC20" s="191" t="str">
        <f t="shared" si="66"/>
        <v/>
      </c>
      <c r="KD20" s="190" t="str">
        <f>IF(COUNT(JR20,JW20,KB20)=0,"",SUM(JR20,JW20,KB20)/COUNT(JR20,JW20,KB20))</f>
        <v/>
      </c>
      <c r="KE20" s="213" t="str">
        <f t="shared" si="67"/>
        <v/>
      </c>
      <c r="KF20" s="219"/>
      <c r="KG20" s="141"/>
      <c r="KH20" s="142"/>
      <c r="KI20" s="190" t="str">
        <f>IFERROR((((COUNTIF('Elève (6ème3)'!KF20:KH20,"A"))*4)+((COUNTIF('Elève (6ème3)'!KF20:KH20,"B"))*3)+((COUNTIF('Elève (6ème3)'!KF20:KH20,"C"))*2)+((COUNTIF('Elève (6ème3)'!KF20:KH20,"D"))*1))/(COUNTA(KF20:KH20)),"")</f>
        <v/>
      </c>
      <c r="KJ20" s="191" t="str">
        <f t="shared" si="68"/>
        <v/>
      </c>
      <c r="KK20" s="174"/>
      <c r="KL20" s="141"/>
      <c r="KM20" s="142"/>
      <c r="KN20" s="190" t="str">
        <f>IFERROR((((COUNTIF('Elève (6ème3)'!KK20:KM20,"A"))*4)+((COUNTIF('Elève (6ème3)'!KK20:KM20,"B"))*3)+((COUNTIF('Elève (6ème3)'!KK20:KM20,"C"))*2)+((COUNTIF('Elève (6ème3)'!KK20:KM20,"D"))*1))/(COUNTA(KK20:KM20)),"")</f>
        <v/>
      </c>
      <c r="KO20" s="191" t="str">
        <f t="shared" si="69"/>
        <v/>
      </c>
      <c r="KP20" s="174"/>
      <c r="KQ20" s="141"/>
      <c r="KR20" s="142"/>
      <c r="KS20" s="190" t="str">
        <f>IFERROR((((COUNTIF('Elève (6ème3)'!KP20:KR20,"A"))*4)+((COUNTIF('Elève (6ème3)'!KP20:KR20,"B"))*3)+((COUNTIF('Elève (6ème3)'!KP20:KR20,"C"))*2)+((COUNTIF('Elève (6ème3)'!KP20:KR20,"D"))*1))/(COUNTA(KP20:KR20)),"")</f>
        <v/>
      </c>
      <c r="KT20" s="191" t="str">
        <f t="shared" si="70"/>
        <v/>
      </c>
      <c r="KU20" s="190" t="str">
        <f>IF(COUNT(KI20,KN20,KS20)=0,"",SUM(KI20,KN20,KS20)/COUNT(KI20,KN20,KS20))</f>
        <v/>
      </c>
      <c r="KV20" s="213" t="str">
        <f t="shared" si="71"/>
        <v/>
      </c>
      <c r="KW20" s="219"/>
      <c r="KX20" s="141"/>
      <c r="KY20" s="142"/>
      <c r="KZ20" s="190" t="str">
        <f>IFERROR((((COUNTIF('Elève (6ème3)'!KW20:KY20,"A"))*4)+((COUNTIF('Elève (6ème3)'!KW20:KY20,"B"))*3)+((COUNTIF('Elève (6ème3)'!KW20:KY20,"C"))*2)+((COUNTIF('Elève (6ème3)'!KW20:KY20,"D"))*1))/(COUNTA(KW20:KY20)),"")</f>
        <v/>
      </c>
      <c r="LA20" s="191" t="str">
        <f t="shared" si="72"/>
        <v/>
      </c>
      <c r="LB20" s="174"/>
      <c r="LC20" s="141"/>
      <c r="LD20" s="142"/>
      <c r="LE20" s="190" t="str">
        <f>IFERROR((((COUNTIF('Elève (6ème3)'!LB20:LD20,"A"))*4)+((COUNTIF('Elève (6ème3)'!LB20:LD20,"B"))*3)+((COUNTIF('Elève (6ème3)'!LB20:LD20,"C"))*2)+((COUNTIF('Elève (6ème3)'!LB20:LD20,"D"))*1))/(COUNTA(LB20:LD20)),"")</f>
        <v/>
      </c>
      <c r="LF20" s="191" t="str">
        <f t="shared" si="73"/>
        <v/>
      </c>
      <c r="LG20" s="174"/>
      <c r="LH20" s="141"/>
      <c r="LI20" s="142"/>
      <c r="LJ20" s="190" t="str">
        <f>IFERROR((((COUNTIF('Elève (6ème3)'!LG20:LI20,"A"))*4)+((COUNTIF('Elève (6ème3)'!LG20:LI20,"B"))*3)+((COUNTIF('Elève (6ème3)'!LG20:LI20,"C"))*2)+((COUNTIF('Elève (6ème3)'!LG20:LI20,"D"))*1))/(COUNTA(LG20:LI20)),"")</f>
        <v/>
      </c>
      <c r="LK20" s="191" t="str">
        <f t="shared" si="74"/>
        <v/>
      </c>
      <c r="LL20" s="190" t="str">
        <f>IF(COUNT(KZ20,LE20,LJ20)=0,"",SUM(KZ20,LE20,LJ20)/COUNT(KZ20,LE20,LJ20))</f>
        <v/>
      </c>
      <c r="LM20" s="213" t="str">
        <f t="shared" si="75"/>
        <v/>
      </c>
      <c r="LN20" s="219"/>
      <c r="LO20" s="141"/>
      <c r="LP20" s="142"/>
      <c r="LQ20" s="190" t="str">
        <f>IFERROR((((COUNTIF('Elève (6ème3)'!LN20:LP20,"A"))*4)+((COUNTIF('Elève (6ème3)'!LN20:LP20,"B"))*3)+((COUNTIF('Elève (6ème3)'!LN20:LP20,"C"))*2)+((COUNTIF('Elève (6ème3)'!LN20:LP20,"D"))*1))/(COUNTA(LN20:LP20)),"")</f>
        <v/>
      </c>
      <c r="LR20" s="191" t="str">
        <f t="shared" si="76"/>
        <v/>
      </c>
      <c r="LS20" s="174"/>
      <c r="LT20" s="141"/>
      <c r="LU20" s="142"/>
      <c r="LV20" s="190" t="str">
        <f>IFERROR((((COUNTIF('Elève (6ème3)'!LS20:LU20,"A"))*4)+((COUNTIF('Elève (6ème3)'!LS20:LU20,"B"))*3)+((COUNTIF('Elève (6ème3)'!LS20:LU20,"C"))*2)+((COUNTIF('Elève (6ème3)'!LS20:LU20,"D"))*1))/(COUNTA(LS20:LU20)),"")</f>
        <v/>
      </c>
      <c r="LW20" s="191" t="str">
        <f t="shared" si="77"/>
        <v/>
      </c>
      <c r="LX20" s="174"/>
      <c r="LY20" s="141"/>
      <c r="LZ20" s="142"/>
      <c r="MA20" s="190" t="str">
        <f>IFERROR((((COUNTIF('Elève (6ème3)'!LX20:LZ20,"A"))*4)+((COUNTIF('Elève (6ème3)'!LX20:LZ20,"B"))*3)+((COUNTIF('Elève (6ème3)'!LX20:LZ20,"C"))*2)+((COUNTIF('Elève (6ème3)'!LX20:LZ20,"D"))*1))/(COUNTA(LX20:LZ20)),"")</f>
        <v/>
      </c>
      <c r="MB20" s="191" t="str">
        <f t="shared" si="78"/>
        <v/>
      </c>
      <c r="MC20" s="190" t="str">
        <f>IF(COUNT(LQ20,LV20,MA20)=0,"",SUM(LQ20,LV20,MA20)/COUNT(LQ20,LV20,MA20))</f>
        <v/>
      </c>
      <c r="MD20" s="213" t="str">
        <f t="shared" si="79"/>
        <v/>
      </c>
      <c r="ME20" s="219"/>
      <c r="MF20" s="141"/>
      <c r="MG20" s="142"/>
      <c r="MH20" s="190" t="str">
        <f>IFERROR((((COUNTIF('Elève (6ème3)'!ME20:MG20,"A"))*4)+((COUNTIF('Elève (6ème3)'!ME20:MG20,"B"))*3)+((COUNTIF('Elève (6ème3)'!ME20:MG20,"C"))*2)+((COUNTIF('Elève (6ème3)'!ME20:MG20,"D"))*1))/(COUNTA(ME20:MG20)),"")</f>
        <v/>
      </c>
      <c r="MI20" s="191" t="str">
        <f t="shared" si="80"/>
        <v/>
      </c>
      <c r="MJ20" s="174"/>
      <c r="MK20" s="141"/>
      <c r="ML20" s="142"/>
      <c r="MM20" s="190" t="str">
        <f>IFERROR((((COUNTIF('Elève (6ème3)'!MJ20:ML20,"A"))*4)+((COUNTIF('Elève (6ème3)'!MJ20:ML20,"B"))*3)+((COUNTIF('Elève (6ème3)'!MJ20:ML20,"C"))*2)+((COUNTIF('Elève (6ème3)'!MJ20:ML20,"D"))*1))/(COUNTA(MJ20:ML20)),"")</f>
        <v/>
      </c>
      <c r="MN20" s="191" t="str">
        <f t="shared" si="81"/>
        <v/>
      </c>
      <c r="MO20" s="174"/>
      <c r="MP20" s="141"/>
      <c r="MQ20" s="142"/>
      <c r="MR20" s="190" t="str">
        <f>IFERROR((((COUNTIF('Elève (6ème3)'!MO20:MQ20,"A"))*4)+((COUNTIF('Elève (6ème3)'!MO20:MQ20,"B"))*3)+((COUNTIF('Elève (6ème3)'!MO20:MQ20,"C"))*2)+((COUNTIF('Elève (6ème3)'!MO20:MQ20,"D"))*1))/(COUNTA(MO20:MQ20)),"")</f>
        <v/>
      </c>
      <c r="MS20" s="191" t="str">
        <f t="shared" si="82"/>
        <v/>
      </c>
      <c r="MT20" s="190" t="str">
        <f>IF(COUNT(MH20,MM20,MR20)=0,"",SUM(MH20,MM20,MR20)/COUNT(MH20,MM20,MR20))</f>
        <v/>
      </c>
      <c r="MU20" s="213" t="str">
        <f t="shared" si="83"/>
        <v/>
      </c>
      <c r="MV20" s="219"/>
      <c r="MW20" s="141"/>
      <c r="MX20" s="142"/>
      <c r="MY20" s="190" t="str">
        <f>IFERROR((((COUNTIF('Elève (6ème3)'!MV20:MX20,"A"))*4)+((COUNTIF('Elève (6ème3)'!MV20:MX20,"B"))*3)+((COUNTIF('Elève (6ème3)'!MV20:MX20,"C"))*2)+((COUNTIF('Elève (6ème3)'!MV20:MX20,"D"))*1))/(COUNTA(MV20:MX20)),"")</f>
        <v/>
      </c>
      <c r="MZ20" s="191" t="str">
        <f t="shared" si="84"/>
        <v/>
      </c>
      <c r="NA20" s="174"/>
      <c r="NB20" s="141"/>
      <c r="NC20" s="142"/>
      <c r="ND20" s="190" t="str">
        <f>IFERROR((((COUNTIF('Elève (6ème3)'!NA20:NC20,"A"))*4)+((COUNTIF('Elève (6ème3)'!NA20:NC20,"B"))*3)+((COUNTIF('Elève (6ème3)'!NA20:NC20,"C"))*2)+((COUNTIF('Elève (6ème3)'!NA20:NC20,"D"))*1))/(COUNTA(NA20:NC20)),"")</f>
        <v/>
      </c>
      <c r="NE20" s="191" t="str">
        <f t="shared" si="85"/>
        <v/>
      </c>
      <c r="NF20" s="174"/>
      <c r="NG20" s="141"/>
      <c r="NH20" s="142"/>
      <c r="NI20" s="190" t="str">
        <f>IFERROR((((COUNTIF('Elève (6ème3)'!NF20:NH20,"A"))*4)+((COUNTIF('Elève (6ème3)'!NF20:NH20,"B"))*3)+((COUNTIF('Elève (6ème3)'!NF20:NH20,"C"))*2)+((COUNTIF('Elève (6ème3)'!NF20:NH20,"D"))*1))/(COUNTA(NF20:NH20)),"")</f>
        <v/>
      </c>
      <c r="NJ20" s="191" t="str">
        <f t="shared" si="86"/>
        <v/>
      </c>
      <c r="NK20" s="190" t="str">
        <f>IF(COUNT(MY20,ND20,NI20)=0,"",SUM(MY20,ND20,NI20)/COUNT(MY20,ND20,NI20))</f>
        <v/>
      </c>
      <c r="NL20" s="213" t="str">
        <f t="shared" si="87"/>
        <v/>
      </c>
      <c r="NM20" s="219"/>
      <c r="NN20" s="141"/>
      <c r="NO20" s="142"/>
      <c r="NP20" s="190" t="str">
        <f>IFERROR((((COUNTIF('Elève (6ème3)'!NM20:NO20,"A"))*4)+((COUNTIF('Elève (6ème3)'!NM20:NO20,"B"))*3)+((COUNTIF('Elève (6ème3)'!NM20:NO20,"C"))*2)+((COUNTIF('Elève (6ème3)'!NM20:NO20,"D"))*1))/(COUNTA(NM20:NO20)),"")</f>
        <v/>
      </c>
      <c r="NQ20" s="191" t="str">
        <f t="shared" si="88"/>
        <v/>
      </c>
      <c r="NR20" s="174"/>
      <c r="NS20" s="141"/>
      <c r="NT20" s="142"/>
      <c r="NU20" s="190" t="str">
        <f>IFERROR((((COUNTIF('Elève (6ème3)'!NR20:NT20,"A"))*4)+((COUNTIF('Elève (6ème3)'!NR20:NT20,"B"))*3)+((COUNTIF('Elève (6ème3)'!NR20:NT20,"C"))*2)+((COUNTIF('Elève (6ème3)'!NR20:NT20,"D"))*1))/(COUNTA(NR20:NT20)),"")</f>
        <v/>
      </c>
      <c r="NV20" s="191" t="str">
        <f t="shared" si="89"/>
        <v/>
      </c>
      <c r="NW20" s="174"/>
      <c r="NX20" s="141"/>
      <c r="NY20" s="142"/>
      <c r="NZ20" s="190" t="str">
        <f>IFERROR((((COUNTIF('Elève (6ème3)'!NW20:NY20,"A"))*4)+((COUNTIF('Elève (6ème3)'!NW20:NY20,"B"))*3)+((COUNTIF('Elève (6ème3)'!NW20:NY20,"C"))*2)+((COUNTIF('Elève (6ème3)'!NW20:NY20,"D"))*1))/(COUNTA(NW20:NY20)),"")</f>
        <v/>
      </c>
      <c r="OA20" s="191" t="str">
        <f t="shared" si="90"/>
        <v/>
      </c>
      <c r="OB20" s="190" t="str">
        <f>IF(COUNT(NP20,NU20,NZ20)=0,"",SUM(NP20,NU20,NZ20)/COUNT(NP20,NU20,NZ20))</f>
        <v/>
      </c>
      <c r="OC20" s="213" t="str">
        <f t="shared" si="91"/>
        <v/>
      </c>
      <c r="OD20" s="219"/>
      <c r="OE20" s="141"/>
      <c r="OF20" s="142"/>
      <c r="OG20" s="190" t="str">
        <f>IFERROR((((COUNTIF('Elève (6ème3)'!OD20:OF20,"A"))*4)+((COUNTIF('Elève (6ème3)'!OD20:OF20,"B"))*3)+((COUNTIF('Elève (6ème3)'!OD20:OF20,"C"))*2)+((COUNTIF('Elève (6ème3)'!OD20:OF20,"D"))*1))/(COUNTA(OD20:OF20)),"")</f>
        <v/>
      </c>
      <c r="OH20" s="191" t="str">
        <f t="shared" si="92"/>
        <v/>
      </c>
      <c r="OI20" s="174"/>
      <c r="OJ20" s="141"/>
      <c r="OK20" s="142"/>
      <c r="OL20" s="190" t="str">
        <f>IFERROR((((COUNTIF('Elève (6ème3)'!OI20:OK20,"A"))*4)+((COUNTIF('Elève (6ème3)'!OI20:OK20,"B"))*3)+((COUNTIF('Elève (6ème3)'!OI20:OK20,"C"))*2)+((COUNTIF('Elève (6ème3)'!OI20:OK20,"D"))*1))/(COUNTA(OI20:OK20)),"")</f>
        <v/>
      </c>
      <c r="OM20" s="191" t="str">
        <f t="shared" si="93"/>
        <v/>
      </c>
      <c r="ON20" s="174"/>
      <c r="OO20" s="141"/>
      <c r="OP20" s="142"/>
      <c r="OQ20" s="190" t="str">
        <f>IFERROR((((COUNTIF('Elève (6ème3)'!ON20:OP20,"A"))*4)+((COUNTIF('Elève (6ème3)'!ON20:OP20,"B"))*3)+((COUNTIF('Elève (6ème3)'!ON20:OP20,"C"))*2)+((COUNTIF('Elève (6ème3)'!ON20:OP20,"D"))*1))/(COUNTA(ON20:OP20)),"")</f>
        <v/>
      </c>
      <c r="OR20" s="191" t="str">
        <f t="shared" si="94"/>
        <v/>
      </c>
      <c r="OS20" s="190" t="str">
        <f>IF(COUNT(OG20,OL20,OQ20)=0,"",SUM(OG20,OL20,OQ20)/COUNT(OG20,OL20,OQ20))</f>
        <v/>
      </c>
      <c r="OT20" s="213" t="str">
        <f t="shared" si="95"/>
        <v/>
      </c>
      <c r="OU20" s="219"/>
      <c r="OV20" s="141"/>
      <c r="OW20" s="142"/>
      <c r="OX20" s="190" t="str">
        <f>IFERROR((((COUNTIF('Elève (6ème3)'!OU20:OW20,"A"))*4)+((COUNTIF('Elève (6ème3)'!OU20:OW20,"B"))*3)+((COUNTIF('Elève (6ème3)'!OU20:OW20,"C"))*2)+((COUNTIF('Elève (6ème3)'!OU20:OW20,"D"))*1))/(COUNTA(OU20:OW20)),"")</f>
        <v/>
      </c>
      <c r="OY20" s="191" t="str">
        <f t="shared" si="96"/>
        <v/>
      </c>
      <c r="OZ20" s="174"/>
      <c r="PA20" s="141"/>
      <c r="PB20" s="142"/>
      <c r="PC20" s="190" t="str">
        <f>IFERROR((((COUNTIF('Elève (6ème3)'!OZ20:PB20,"A"))*4)+((COUNTIF('Elève (6ème3)'!OZ20:PB20,"B"))*3)+((COUNTIF('Elève (6ème3)'!OZ20:PB20,"C"))*2)+((COUNTIF('Elève (6ème3)'!OZ20:PB20,"D"))*1))/(COUNTA(OZ20:PB20)),"")</f>
        <v/>
      </c>
      <c r="PD20" s="191" t="str">
        <f t="shared" si="97"/>
        <v/>
      </c>
      <c r="PE20" s="174"/>
      <c r="PF20" s="141"/>
      <c r="PG20" s="142"/>
      <c r="PH20" s="190" t="str">
        <f>IFERROR((((COUNTIF('Elève (6ème3)'!PE20:PG20,"A"))*4)+((COUNTIF('Elève (6ème3)'!PE20:PG20,"B"))*3)+((COUNTIF('Elève (6ème3)'!PE20:PG20,"C"))*2)+((COUNTIF('Elève (6ème3)'!PE20:PG20,"D"))*1))/(COUNTA(PE20:PG20)),"")</f>
        <v/>
      </c>
      <c r="PI20" s="191" t="str">
        <f t="shared" si="98"/>
        <v/>
      </c>
      <c r="PJ20" s="190" t="str">
        <f>IF(COUNT(OX20,PC20,PH20)=0,"",SUM(OX20,PC20,PH20)/COUNT(OX20,PC20,PH20))</f>
        <v/>
      </c>
      <c r="PK20" s="213" t="str">
        <f t="shared" si="99"/>
        <v/>
      </c>
      <c r="PL20" s="219"/>
      <c r="PM20" s="141"/>
      <c r="PN20" s="142"/>
      <c r="PO20" s="190" t="str">
        <f>IFERROR((((COUNTIF('Elève (6ème3)'!PL20:PN20,"A"))*4)+((COUNTIF('Elève (6ème3)'!PL20:PN20,"B"))*3)+((COUNTIF('Elève (6ème3)'!PL20:PN20,"C"))*2)+((COUNTIF('Elève (6ème3)'!PL20:PN20,"D"))*1))/(COUNTA(PL20:PN20)),"")</f>
        <v/>
      </c>
      <c r="PP20" s="191" t="str">
        <f t="shared" si="100"/>
        <v/>
      </c>
      <c r="PQ20" s="174"/>
      <c r="PR20" s="141"/>
      <c r="PS20" s="142"/>
      <c r="PT20" s="190" t="str">
        <f>IFERROR((((COUNTIF('Elève (6ème3)'!PQ20:PS20,"A"))*4)+((COUNTIF('Elève (6ème3)'!PQ20:PS20,"B"))*3)+((COUNTIF('Elève (6ème3)'!PQ20:PS20,"C"))*2)+((COUNTIF('Elève (6ème3)'!PQ20:PS20,"D"))*1))/(COUNTA(PQ20:PS20)),"")</f>
        <v/>
      </c>
      <c r="PU20" s="191" t="str">
        <f t="shared" si="101"/>
        <v/>
      </c>
      <c r="PV20" s="174"/>
      <c r="PW20" s="141"/>
      <c r="PX20" s="142"/>
      <c r="PY20" s="190" t="str">
        <f>IFERROR((((COUNTIF('Elève (6ème3)'!PV20:PX20,"A"))*4)+((COUNTIF('Elève (6ème3)'!PV20:PX20,"B"))*3)+((COUNTIF('Elève (6ème3)'!PV20:PX20,"C"))*2)+((COUNTIF('Elève (6ème3)'!PV20:PX20,"D"))*1))/(COUNTA(PV20:PX20)),"")</f>
        <v/>
      </c>
      <c r="PZ20" s="191" t="str">
        <f t="shared" si="102"/>
        <v/>
      </c>
      <c r="QA20" s="190" t="str">
        <f>IF(COUNT(PO20,PT20,PY20)=0,"",SUM(PO20,PT20,PY20)/COUNT(PO20,PT20,PY20))</f>
        <v/>
      </c>
      <c r="QB20" s="213" t="str">
        <f t="shared" si="103"/>
        <v/>
      </c>
      <c r="QC20" s="219"/>
      <c r="QD20" s="141"/>
      <c r="QE20" s="142"/>
      <c r="QF20" s="190" t="str">
        <f>IFERROR((((COUNTIF('Elève (6ème3)'!QC20:QE20,"A"))*4)+((COUNTIF('Elève (6ème3)'!QC20:QE20,"B"))*3)+((COUNTIF('Elève (6ème3)'!QC20:QE20,"C"))*2)+((COUNTIF('Elève (6ème3)'!QC20:QE20,"D"))*1))/(COUNTA(QC20:QE20)),"")</f>
        <v/>
      </c>
      <c r="QG20" s="191" t="str">
        <f t="shared" si="104"/>
        <v/>
      </c>
      <c r="QH20" s="174"/>
      <c r="QI20" s="141"/>
      <c r="QJ20" s="142"/>
      <c r="QK20" s="190" t="str">
        <f>IFERROR((((COUNTIF('Elève (6ème3)'!QH20:QJ20,"A"))*4)+((COUNTIF('Elève (6ème3)'!QH20:QJ20,"B"))*3)+((COUNTIF('Elève (6ème3)'!QH20:QJ20,"C"))*2)+((COUNTIF('Elève (6ème3)'!QH20:QJ20,"D"))*1))/(COUNTA(QH20:QJ20)),"")</f>
        <v/>
      </c>
      <c r="QL20" s="191" t="str">
        <f t="shared" si="105"/>
        <v/>
      </c>
      <c r="QM20" s="174"/>
      <c r="QN20" s="141"/>
      <c r="QO20" s="142"/>
      <c r="QP20" s="190" t="str">
        <f>IFERROR((((COUNTIF('Elève (6ème3)'!QM20:QO20,"A"))*4)+((COUNTIF('Elève (6ème3)'!QM20:QO20,"B"))*3)+((COUNTIF('Elève (6ème3)'!QM20:QO20,"C"))*2)+((COUNTIF('Elève (6ème3)'!QM20:QO20,"D"))*1))/(COUNTA(QM20:QO20)),"")</f>
        <v/>
      </c>
      <c r="QQ20" s="191" t="str">
        <f t="shared" si="106"/>
        <v/>
      </c>
      <c r="QR20" s="190" t="str">
        <f>IF(COUNT(QF20,QK20,QP20)=0,"",SUM(QF20,QK20,QP20)/COUNT(QF20,QK20,QP20))</f>
        <v/>
      </c>
      <c r="QS20" s="213" t="str">
        <f t="shared" si="107"/>
        <v/>
      </c>
      <c r="QT20" s="146"/>
      <c r="QU20" s="141"/>
      <c r="QV20" s="142"/>
      <c r="QW20" s="143" t="str">
        <f>IFERROR((((COUNTIF('Elève (6ème3)'!QT20:QV20,"A"))*4)+((COUNTIF('Elève (6ème3)'!QT20:QV20,"B"))*3)+((COUNTIF('Elève (6ème3)'!QT20:QV20,"C"))*2)+((COUNTIF('Elève (6ème3)'!QT20:QV20,"D"))*1))/(COUNTA(QT20:QV20)),"")</f>
        <v/>
      </c>
      <c r="QX20" s="144" t="str">
        <f t="shared" si="108"/>
        <v/>
      </c>
      <c r="QY20" s="140"/>
      <c r="QZ20" s="141"/>
      <c r="RA20" s="142"/>
      <c r="RB20" s="143" t="str">
        <f>IFERROR((((COUNTIF('Elève (6ème3)'!QY20:RA20,"A"))*4)+((COUNTIF('Elève (6ème3)'!QY20:RA20,"B"))*3)+((COUNTIF('Elève (6ème3)'!QY20:RA20,"C"))*2)+((COUNTIF('Elève (6ème3)'!QY20:RA20,"D"))*1))/(COUNTA(QY20:RA20)),"")</f>
        <v/>
      </c>
      <c r="RC20" s="144" t="str">
        <f t="shared" si="109"/>
        <v/>
      </c>
      <c r="RD20" s="140"/>
      <c r="RE20" s="141"/>
      <c r="RF20" s="142"/>
      <c r="RG20" s="143" t="str">
        <f>IFERROR((((COUNTIF('Elève (6ème3)'!RD20:RF20,"A"))*4)+((COUNTIF('Elève (6ème3)'!RD20:RF20,"B"))*3)+((COUNTIF('Elève (6ème3)'!RD20:RF20,"C"))*2)+((COUNTIF('Elève (6ème3)'!RD20:RF20,"D"))*1))/(COUNTA(RD20:RF20)),"")</f>
        <v/>
      </c>
      <c r="RH20" s="144" t="str">
        <f t="shared" si="110"/>
        <v/>
      </c>
      <c r="RI20" s="143" t="str">
        <f>IF(COUNT(QW20,RB20,RG20)=0,"",SUM(QW20,RB20,RG20)/COUNT(QW20,RB20,RG20))</f>
        <v/>
      </c>
      <c r="RJ20" s="145" t="str">
        <f t="shared" si="111"/>
        <v/>
      </c>
      <c r="RK20" s="146"/>
      <c r="RL20" s="141"/>
      <c r="RM20" s="142"/>
      <c r="RN20" s="143" t="str">
        <f>IFERROR((((COUNTIF('Elève (6ème3)'!RK20:RM20,"A"))*4)+((COUNTIF('Elève (6ème3)'!RK20:RM20,"B"))*3)+((COUNTIF('Elève (6ème3)'!RK20:RM20,"C"))*2)+((COUNTIF('Elève (6ème3)'!RK20:RM20,"D"))*1))/(COUNTA(RK20:RM20)),"")</f>
        <v/>
      </c>
      <c r="RO20" s="144" t="str">
        <f t="shared" si="112"/>
        <v/>
      </c>
      <c r="RP20" s="140"/>
      <c r="RQ20" s="141"/>
      <c r="RR20" s="142"/>
      <c r="RS20" s="143" t="str">
        <f>IFERROR((((COUNTIF('Elève (6ème3)'!RP20:RR20,"A"))*4)+((COUNTIF('Elève (6ème3)'!RP20:RR20,"B"))*3)+((COUNTIF('Elève (6ème3)'!RP20:RR20,"C"))*2)+((COUNTIF('Elève (6ème3)'!RP20:RR20,"D"))*1))/(COUNTA(RP20:RR20)),"")</f>
        <v/>
      </c>
      <c r="RT20" s="144" t="str">
        <f t="shared" si="113"/>
        <v/>
      </c>
      <c r="RU20" s="140"/>
      <c r="RV20" s="141"/>
      <c r="RW20" s="142"/>
      <c r="RX20" s="143" t="str">
        <f>IFERROR((((COUNTIF('Elève (6ème3)'!RU20:RW20,"A"))*4)+((COUNTIF('Elève (6ème3)'!RU20:RW20,"B"))*3)+((COUNTIF('Elève (6ème3)'!RU20:RW20,"C"))*2)+((COUNTIF('Elève (6ème3)'!RU20:RW20,"D"))*1))/(COUNTA(RU20:RW20)),"")</f>
        <v/>
      </c>
      <c r="RY20" s="144" t="str">
        <f t="shared" si="114"/>
        <v/>
      </c>
      <c r="RZ20" s="143" t="str">
        <f>IF(COUNT(RN20,RS20,RX20)=0,"",SUM(RN20,RS20,RX20)/COUNT(RN20,RS20,RX20))</f>
        <v/>
      </c>
      <c r="SA20" s="145" t="str">
        <f t="shared" si="115"/>
        <v/>
      </c>
      <c r="SB20" s="146"/>
      <c r="SC20" s="141"/>
      <c r="SD20" s="142"/>
      <c r="SE20" s="143" t="str">
        <f>IFERROR((((COUNTIF('Elève (6ème3)'!SB20:SD20,"A"))*4)+((COUNTIF('Elève (6ème3)'!SB20:SD20,"B"))*3)+((COUNTIF('Elève (6ème3)'!SB20:SD20,"C"))*2)+((COUNTIF('Elève (6ème3)'!SB20:SD20,"D"))*1))/(COUNTA(SB20:SD20)),"")</f>
        <v/>
      </c>
      <c r="SF20" s="144" t="str">
        <f t="shared" si="116"/>
        <v/>
      </c>
      <c r="SG20" s="140"/>
      <c r="SH20" s="141"/>
      <c r="SI20" s="142"/>
      <c r="SJ20" s="143" t="str">
        <f>IFERROR((((COUNTIF('Elève (6ème3)'!SG20:SI20,"A"))*4)+((COUNTIF('Elève (6ème3)'!SG20:SI20,"B"))*3)+((COUNTIF('Elève (6ème3)'!SG20:SI20,"C"))*2)+((COUNTIF('Elève (6ème3)'!SG20:SI20,"D"))*1))/(COUNTA(SG20:SI20)),"")</f>
        <v/>
      </c>
      <c r="SK20" s="144" t="str">
        <f t="shared" si="117"/>
        <v/>
      </c>
      <c r="SL20" s="140"/>
      <c r="SM20" s="141"/>
      <c r="SN20" s="142"/>
      <c r="SO20" s="143" t="str">
        <f>IFERROR((((COUNTIF('Elève (6ème3)'!SL20:SN20,"A"))*4)+((COUNTIF('Elève (6ème3)'!SL20:SN20,"B"))*3)+((COUNTIF('Elève (6ème3)'!SL20:SN20,"C"))*2)+((COUNTIF('Elève (6ème3)'!SL20:SN20,"D"))*1))/(COUNTA(SL20:SN20)),"")</f>
        <v/>
      </c>
      <c r="SP20" s="144" t="str">
        <f t="shared" si="118"/>
        <v/>
      </c>
      <c r="SQ20" s="143" t="str">
        <f>IF(COUNT(SE20,SJ20,SO20)=0,"",SUM(SE20,SJ20,SO20)/COUNT(SE20,SJ20,SO20))</f>
        <v/>
      </c>
      <c r="SR20" s="145" t="str">
        <f t="shared" si="119"/>
        <v/>
      </c>
      <c r="SS20" s="146"/>
      <c r="ST20" s="141"/>
      <c r="SU20" s="142"/>
      <c r="SV20" s="143" t="str">
        <f>IFERROR((((COUNTIF('Elève (6ème3)'!SS20:SU20,"A"))*4)+((COUNTIF('Elève (6ème3)'!SS20:SU20,"B"))*3)+((COUNTIF('Elève (6ème3)'!SS20:SU20,"C"))*2)+((COUNTIF('Elève (6ème3)'!SS20:SU20,"D"))*1))/(COUNTA(SS20:SU20)),"")</f>
        <v/>
      </c>
      <c r="SW20" s="144" t="str">
        <f t="shared" si="120"/>
        <v/>
      </c>
      <c r="SX20" s="140"/>
      <c r="SY20" s="141"/>
      <c r="SZ20" s="142"/>
      <c r="TA20" s="143" t="str">
        <f>IFERROR((((COUNTIF('Elève (6ème3)'!SX20:SZ20,"A"))*4)+((COUNTIF('Elève (6ème3)'!SX20:SZ20,"B"))*3)+((COUNTIF('Elève (6ème3)'!SX20:SZ20,"C"))*2)+((COUNTIF('Elève (6ème3)'!SX20:SZ20,"D"))*1))/(COUNTA(SX20:SZ20)),"")</f>
        <v/>
      </c>
      <c r="TB20" s="144" t="str">
        <f t="shared" si="121"/>
        <v/>
      </c>
      <c r="TC20" s="140"/>
      <c r="TD20" s="141"/>
      <c r="TE20" s="142"/>
      <c r="TF20" s="143" t="str">
        <f>IFERROR((((COUNTIF('Elève (6ème3)'!TC20:TE20,"A"))*4)+((COUNTIF('Elève (6ème3)'!TC20:TE20,"B"))*3)+((COUNTIF('Elève (6ème3)'!TC20:TE20,"C"))*2)+((COUNTIF('Elève (6ème3)'!TC20:TE20,"D"))*1))/(COUNTA(TC20:TE20)),"")</f>
        <v/>
      </c>
      <c r="TG20" s="144" t="str">
        <f t="shared" si="122"/>
        <v/>
      </c>
      <c r="TH20" s="143" t="str">
        <f>IF(COUNT(SV20,TA20,TF20)=0,"",SUM(SV20,TA20,TF20)/COUNT(SV20,TA20,TF20))</f>
        <v/>
      </c>
      <c r="TI20" s="145" t="str">
        <f t="shared" si="123"/>
        <v/>
      </c>
      <c r="TJ20" s="146"/>
      <c r="TK20" s="141"/>
      <c r="TL20" s="142"/>
      <c r="TM20" s="143" t="str">
        <f>IFERROR((((COUNTIF('Elève (6ème3)'!TJ20:TL20,"A"))*4)+((COUNTIF('Elève (6ème3)'!TJ20:TL20,"B"))*3)+((COUNTIF('Elève (6ème3)'!TJ20:TL20,"C"))*2)+((COUNTIF('Elève (6ème3)'!TJ20:TL20,"D"))*1))/(COUNTA(TJ20:TL20)),"")</f>
        <v/>
      </c>
      <c r="TN20" s="144" t="str">
        <f t="shared" si="124"/>
        <v/>
      </c>
      <c r="TO20" s="140"/>
      <c r="TP20" s="141"/>
      <c r="TQ20" s="142"/>
      <c r="TR20" s="143" t="str">
        <f>IFERROR((((COUNTIF('Elève (6ème3)'!TO20:TQ20,"A"))*4)+((COUNTIF('Elève (6ème3)'!TO20:TQ20,"B"))*3)+((COUNTIF('Elève (6ème3)'!TO20:TQ20,"C"))*2)+((COUNTIF('Elève (6ème3)'!TO20:TQ20,"D"))*1))/(COUNTA(TO20:TQ20)),"")</f>
        <v/>
      </c>
      <c r="TS20" s="144" t="str">
        <f t="shared" si="125"/>
        <v/>
      </c>
      <c r="TT20" s="140"/>
      <c r="TU20" s="141"/>
      <c r="TV20" s="142"/>
      <c r="TW20" s="143" t="str">
        <f>IFERROR((((COUNTIF('Elève (6ème3)'!TT20:TV20,"A"))*4)+((COUNTIF('Elève (6ème3)'!TT20:TV20,"B"))*3)+((COUNTIF('Elève (6ème3)'!TT20:TV20,"C"))*2)+((COUNTIF('Elève (6ème3)'!TT20:TV20,"D"))*1))/(COUNTA(TT20:TV20)),"")</f>
        <v/>
      </c>
      <c r="TX20" s="144" t="str">
        <f t="shared" si="126"/>
        <v/>
      </c>
      <c r="TY20" s="143" t="str">
        <f>IF(COUNT(TM20,TR20,TW20)=0,"",SUM(TM20,TR20,TW20)/COUNT(TM20,TR20,TW20))</f>
        <v/>
      </c>
      <c r="TZ20" s="145" t="str">
        <f t="shared" si="127"/>
        <v/>
      </c>
    </row>
    <row r="21" spans="1:546" ht="15.75" thickBot="1" x14ac:dyDescent="0.3">
      <c r="A21" s="258" t="s">
        <v>22</v>
      </c>
      <c r="B21" s="259"/>
      <c r="C21" s="147"/>
      <c r="D21" s="147"/>
      <c r="E21" s="147"/>
      <c r="F21" s="192">
        <f>IF(COUNT(F18,F14,F12,F7,F4)=0,"",SUM($B$4*IF(COUNT(F4)=0,0,F4),$B$7*IF(COUNT(F7)=0,0,F7),$B$12*IF(COUNT(F12)=0,0,F12),$B$14*IF(COUNT(F14)=0,0,F14),$B$18*IF(COUNT(F18)=0,0,F18))/SUM($B$4*COUNT(F4),$B$7*COUNT(F7),$B$12*COUNT(F12),$B$14*COUNT(F14),$B$18*COUNT(F18)))</f>
        <v>3</v>
      </c>
      <c r="G21" s="193">
        <f>IF(F21="","",F21*5)</f>
        <v>15</v>
      </c>
      <c r="H21" s="150"/>
      <c r="I21" s="150"/>
      <c r="J21" s="150"/>
      <c r="K21" s="192">
        <f>IF(COUNT(K18,K14,K12,K7,K4)=0,"",SUM($B$4*IF(COUNT(K4)=0,0,K4),$B$7*IF(COUNT(K7)=0,0,K7),$B$12*IF(COUNT(K12)=0,0,K12),$B$14*IF(COUNT(K14)=0,0,K14),$B$18*IF(COUNT(K18)=0,0,K18))/SUM($B$4*COUNT(K4),$B$7*COUNT(K7),$B$12*COUNT(K12),$B$14*COUNT(K14),$B$18*COUNT(K18)))</f>
        <v>3.125</v>
      </c>
      <c r="L21" s="199">
        <f>IF(K21="","",K21*5)</f>
        <v>15.625</v>
      </c>
      <c r="M21" s="150"/>
      <c r="N21" s="150"/>
      <c r="O21" s="150"/>
      <c r="P21" s="192">
        <f>IF(COUNT(P18,P14,P12,P7,P4)=0,"",SUM($B$4*IF(COUNT(P4)=0,0,P4),$B$7*IF(COUNT(P7)=0,0,P7),$B$12*IF(COUNT(P12)=0,0,P12),$B$14*IF(COUNT(P14)=0,0,P14),$B$18*IF(COUNT(P18)=0,0,P18))/SUM($B$4*COUNT(P4),$B$7*COUNT(P7),$B$12*COUNT(P12),$B$14*COUNT(P14),$B$18*COUNT(P18)))</f>
        <v>3.6041666666666665</v>
      </c>
      <c r="Q21" s="214">
        <f>IF(P21="","",P21*5)</f>
        <v>18.020833333333332</v>
      </c>
      <c r="R21" s="215"/>
      <c r="S21" s="215"/>
      <c r="T21" s="147"/>
      <c r="U21" s="147"/>
      <c r="V21" s="147"/>
      <c r="W21" s="192">
        <f>IF(COUNT(W18,W14,W12,W7,W4)=0,"",SUM($B$4*IF(COUNT(W4)=0,0,W4),$B$7*IF(COUNT(W7)=0,0,W7),$B$12*IF(COUNT(W12)=0,0,W12),$B$14*IF(COUNT(W14)=0,0,W14),$B$18*IF(COUNT(W18)=0,0,W18))/SUM($B$4*COUNT(W4),$B$7*COUNT(W7),$B$12*COUNT(W12),$B$14*COUNT(W14),$B$18*COUNT(W18)))</f>
        <v>2</v>
      </c>
      <c r="X21" s="193">
        <f>IF(W21="","",W21*5)</f>
        <v>10</v>
      </c>
      <c r="Y21" s="150"/>
      <c r="Z21" s="150"/>
      <c r="AA21" s="150"/>
      <c r="AB21" s="192">
        <f>IF(COUNT(AB18,AB14,AB12,AB7,AB4)=0,"",SUM($B$4*IF(COUNT(AB4)=0,0,AB4),$B$7*IF(COUNT(AB7)=0,0,AB7),$B$12*IF(COUNT(AB12)=0,0,AB12),$B$14*IF(COUNT(AB14)=0,0,AB14),$B$18*IF(COUNT(AB18)=0,0,AB18))/SUM($B$4*COUNT(AB4),$B$7*COUNT(AB7),$B$12*COUNT(AB12),$B$14*COUNT(AB14),$B$18*COUNT(AB18)))</f>
        <v>4</v>
      </c>
      <c r="AC21" s="199">
        <f>IF(AB21="","",AB21*5)</f>
        <v>20</v>
      </c>
      <c r="AD21" s="150"/>
      <c r="AE21" s="150"/>
      <c r="AF21" s="150"/>
      <c r="AG21" s="192">
        <f>IF(COUNT(AG18,AG14,AG12,AG7,AG4)=0,"",SUM($B$4*IF(COUNT(AG4)=0,0,AG4),$B$7*IF(COUNT(AG7)=0,0,AG7),$B$12*IF(COUNT(AG12)=0,0,AG12),$B$14*IF(COUNT(AG14)=0,0,AG14),$B$18*IF(COUNT(AG18)=0,0,AG18))/SUM($B$4*COUNT(AG4),$B$7*COUNT(AG7),$B$12*COUNT(AG12),$B$14*COUNT(AG14),$B$18*COUNT(AG18)))</f>
        <v>4.270833333333333</v>
      </c>
      <c r="AH21" s="214">
        <f>IF(AG21="","",AG21*5)</f>
        <v>21.354166666666664</v>
      </c>
      <c r="AI21" s="215"/>
      <c r="AJ21" s="215"/>
      <c r="AK21" s="147"/>
      <c r="AL21" s="147"/>
      <c r="AM21" s="147"/>
      <c r="AN21" s="192">
        <f>IF(COUNT(AN18,AN14,AN12,AN7,AN4)=0,"",SUM($B$4*IF(COUNT(AN4)=0,0,AN4),$B$7*IF(COUNT(AN7)=0,0,AN7),$B$12*IF(COUNT(AN12)=0,0,AN12),$B$14*IF(COUNT(AN14)=0,0,AN14),$B$18*IF(COUNT(AN18)=0,0,AN18))/SUM($B$4*COUNT(AN4),$B$7*COUNT(AN7),$B$12*COUNT(AN12),$B$14*COUNT(AN14),$B$18*COUNT(AN18)))</f>
        <v>3</v>
      </c>
      <c r="AO21" s="193">
        <f>IF(AN21="","",AN21*5)</f>
        <v>15</v>
      </c>
      <c r="AP21" s="150"/>
      <c r="AQ21" s="150"/>
      <c r="AR21" s="150"/>
      <c r="AS21" s="192">
        <f>IF(COUNT(AS18,AS14,AS12,AS7,AS4)=0,"",SUM($B$4*IF(COUNT(AS4)=0,0,AS4),$B$7*IF(COUNT(AS7)=0,0,AS7),$B$12*IF(COUNT(AS12)=0,0,AS12),$B$14*IF(COUNT(AS14)=0,0,AS14),$B$18*IF(COUNT(AS18)=0,0,AS18))/SUM($B$4*COUNT(AS4),$B$7*COUNT(AS7),$B$12*COUNT(AS12),$B$14*COUNT(AS14),$B$18*COUNT(AS18)))</f>
        <v>3.6666666666666665</v>
      </c>
      <c r="AT21" s="199">
        <f>IF(AS21="","",AS21*5)</f>
        <v>18.333333333333332</v>
      </c>
      <c r="AU21" s="150"/>
      <c r="AV21" s="150"/>
      <c r="AW21" s="150"/>
      <c r="AX21" s="192">
        <f>IF(COUNT(AX18,AX14,AX12,AX7,AX4)=0,"",SUM($B$4*IF(COUNT(AX4)=0,0,AX4),$B$7*IF(COUNT(AX7)=0,0,AX7),$B$12*IF(COUNT(AX12)=0,0,AX12),$B$14*IF(COUNT(AX14)=0,0,AX14),$B$18*IF(COUNT(AX18)=0,0,AX18))/SUM($B$4*COUNT(AX4),$B$7*COUNT(AX7),$B$12*COUNT(AX12),$B$14*COUNT(AX14),$B$18*COUNT(AX18)))</f>
        <v>3.8333333333333335</v>
      </c>
      <c r="AY21" s="214">
        <f>IF(AX21="","",AX21*5)</f>
        <v>19.166666666666668</v>
      </c>
      <c r="AZ21" s="215"/>
      <c r="BA21" s="215"/>
      <c r="BB21" s="147"/>
      <c r="BC21" s="147"/>
      <c r="BD21" s="147"/>
      <c r="BE21" s="192">
        <f>IF(COUNT(BE18,BE14,BE12,BE7,BE4)=0,"",SUM($B$4*IF(COUNT(BE4)=0,0,BE4),$B$7*IF(COUNT(BE7)=0,0,BE7),$B$12*IF(COUNT(BE12)=0,0,BE12),$B$14*IF(COUNT(BE14)=0,0,BE14),$B$18*IF(COUNT(BE18)=0,0,BE18))/SUM($B$4*COUNT(BE4),$B$7*COUNT(BE7),$B$12*COUNT(BE12),$B$14*COUNT(BE14),$B$18*COUNT(BE18)))</f>
        <v>2.5</v>
      </c>
      <c r="BF21" s="193">
        <f>IF(BE21="","",BE21*5)</f>
        <v>12.5</v>
      </c>
      <c r="BG21" s="150"/>
      <c r="BH21" s="150"/>
      <c r="BI21" s="150"/>
      <c r="BJ21" s="192">
        <f>IF(COUNT(BJ18,BJ14,BJ12,BJ7,BJ4)=0,"",SUM($B$4*IF(COUNT(BJ4)=0,0,BJ4),$B$7*IF(COUNT(BJ7)=0,0,BJ7),$B$12*IF(COUNT(BJ12)=0,0,BJ12),$B$14*IF(COUNT(BJ14)=0,0,BJ14),$B$18*IF(COUNT(BJ18)=0,0,BJ18))/SUM($B$4*COUNT(BJ4),$B$7*COUNT(BJ7),$B$12*COUNT(BJ12),$B$14*COUNT(BJ14),$B$18*COUNT(BJ18)))</f>
        <v>3.5</v>
      </c>
      <c r="BK21" s="199">
        <f>IF(BJ21="","",BJ21*5)</f>
        <v>17.5</v>
      </c>
      <c r="BL21" s="150"/>
      <c r="BM21" s="150"/>
      <c r="BN21" s="150"/>
      <c r="BO21" s="192">
        <f>IF(COUNT(BO18,BO14,BO12,BO7,BO4)=0,"",SUM($B$4*IF(COUNT(BO4)=0,0,BO4),$B$7*IF(COUNT(BO7)=0,0,BO7),$B$12*IF(COUNT(BO12)=0,0,BO12),$B$14*IF(COUNT(BO14)=0,0,BO14),$B$18*IF(COUNT(BO18)=0,0,BO18))/SUM($B$4*COUNT(BO4),$B$7*COUNT(BO7),$B$12*COUNT(BO12),$B$14*COUNT(BO14),$B$18*COUNT(BO18)))</f>
        <v>3.6041666666666665</v>
      </c>
      <c r="BP21" s="214">
        <f>IF(BO21="","",BO21*5)</f>
        <v>18.020833333333332</v>
      </c>
      <c r="BQ21" s="215"/>
      <c r="BR21" s="215"/>
      <c r="BS21" s="147"/>
      <c r="BT21" s="147"/>
      <c r="BU21" s="147"/>
      <c r="BV21" s="192">
        <f>IF(COUNT(BV18,BV14,BV12,BV7,BV4)=0,"",SUM($B$4*IF(COUNT(BV4)=0,0,BV4),$B$7*IF(COUNT(BV7)=0,0,BV7),$B$12*IF(COUNT(BV12)=0,0,BV12),$B$14*IF(COUNT(BV14)=0,0,BV14),$B$18*IF(COUNT(BV18)=0,0,BV18))/SUM($B$4*COUNT(BV4),$B$7*COUNT(BV7),$B$12*COUNT(BV12),$B$14*COUNT(BV14),$B$18*COUNT(BV18)))</f>
        <v>1.5</v>
      </c>
      <c r="BW21" s="193">
        <f>IF(BV21="","",BV21*5)</f>
        <v>7.5</v>
      </c>
      <c r="BX21" s="150"/>
      <c r="BY21" s="150"/>
      <c r="BZ21" s="150"/>
      <c r="CA21" s="192">
        <f>IF(COUNT(CA18,CA14,CA12,CA7,CA4)=0,"",SUM($B$4*IF(COUNT(CA4)=0,0,CA4),$B$7*IF(COUNT(CA7)=0,0,CA7),$B$12*IF(COUNT(CA12)=0,0,CA12),$B$14*IF(COUNT(CA14)=0,0,CA14),$B$18*IF(COUNT(CA18)=0,0,CA18))/SUM($B$4*COUNT(CA4),$B$7*COUNT(CA7),$B$12*COUNT(CA12),$B$14*COUNT(CA14),$B$18*COUNT(CA18)))</f>
        <v>3.5</v>
      </c>
      <c r="CB21" s="199">
        <f>IF(CA21="","",CA21*5)</f>
        <v>17.5</v>
      </c>
      <c r="CC21" s="150"/>
      <c r="CD21" s="150"/>
      <c r="CE21" s="150"/>
      <c r="CF21" s="192">
        <f>IF(COUNT(CF18,CF14,CF12,CF7,CF4)=0,"",SUM($B$4*IF(COUNT(CF4)=0,0,CF4),$B$7*IF(COUNT(CF7)=0,0,CF7),$B$12*IF(COUNT(CF12)=0,0,CF12),$B$14*IF(COUNT(CF14)=0,0,CF14),$B$18*IF(COUNT(CF18)=0,0,CF18))/SUM($B$4*COUNT(CF4),$B$7*COUNT(CF7),$B$12*COUNT(CF12),$B$14*COUNT(CF14),$B$18*COUNT(CF18)))</f>
        <v>4.125</v>
      </c>
      <c r="CG21" s="214">
        <f>IF(CF21="","",CF21*5)</f>
        <v>20.625</v>
      </c>
      <c r="CH21" s="215"/>
      <c r="CI21" s="215"/>
      <c r="CJ21" s="147"/>
      <c r="CK21" s="147"/>
      <c r="CL21" s="147"/>
      <c r="CM21" s="192">
        <f>IF(COUNT(CM18,CM14,CM12,CM7,CM4)=0,"",SUM($B$4*IF(COUNT(CM4)=0,0,CM4),$B$7*IF(COUNT(CM7)=0,0,CM7),$B$12*IF(COUNT(CM12)=0,0,CM12),$B$14*IF(COUNT(CM14)=0,0,CM14),$B$18*IF(COUNT(CM18)=0,0,CM18))/SUM($B$4*COUNT(CM4),$B$7*COUNT(CM7),$B$12*COUNT(CM12),$B$14*COUNT(CM14),$B$18*COUNT(CM18)))</f>
        <v>1.5</v>
      </c>
      <c r="CN21" s="193">
        <f>IF(CM21="","",CM21*5)</f>
        <v>7.5</v>
      </c>
      <c r="CO21" s="150"/>
      <c r="CP21" s="150"/>
      <c r="CQ21" s="150"/>
      <c r="CR21" s="192">
        <f>IF(COUNT(CR18,CR14,CR12,CR7,CR4)=0,"",SUM($B$4*IF(COUNT(CR4)=0,0,CR4),$B$7*IF(COUNT(CR7)=0,0,CR7),$B$12*IF(COUNT(CR12)=0,0,CR12),$B$14*IF(COUNT(CR14)=0,0,CR14),$B$18*IF(COUNT(CR18)=0,0,CR18))/SUM($B$4*COUNT(CR4),$B$7*COUNT(CR7),$B$12*COUNT(CR12),$B$14*COUNT(CR14),$B$18*COUNT(CR18)))</f>
        <v>2</v>
      </c>
      <c r="CS21" s="199">
        <f>IF(CR21="","",CR21*5)</f>
        <v>10</v>
      </c>
      <c r="CT21" s="150"/>
      <c r="CU21" s="150"/>
      <c r="CV21" s="150"/>
      <c r="CW21" s="192">
        <f>IF(COUNT(CW18,CW14,CW12,CW7,CW4)=0,"",SUM($B$4*IF(COUNT(CW4)=0,0,CW4),$B$7*IF(COUNT(CW7)=0,0,CW7),$B$12*IF(COUNT(CW12)=0,0,CW12),$B$14*IF(COUNT(CW14)=0,0,CW14),$B$18*IF(COUNT(CW18)=0,0,CW18))/SUM($B$4*COUNT(CW4),$B$7*COUNT(CW7),$B$12*COUNT(CW12),$B$14*COUNT(CW14),$B$18*COUNT(CW18)))</f>
        <v>2.5</v>
      </c>
      <c r="CX21" s="214">
        <f>IF(CW21="","",CW21*5)</f>
        <v>12.5</v>
      </c>
      <c r="CY21" s="215"/>
      <c r="CZ21" s="215"/>
      <c r="DA21" s="147"/>
      <c r="DB21" s="147"/>
      <c r="DC21" s="147"/>
      <c r="DD21" s="192">
        <f>IF(COUNT(DD18,DD14,DD12,DD7,DD4)=0,"",SUM($B$4*IF(COUNT(DD4)=0,0,DD4),$B$7*IF(COUNT(DD7)=0,0,DD7),$B$12*IF(COUNT(DD12)=0,0,DD12),$B$14*IF(COUNT(DD14)=0,0,DD14),$B$18*IF(COUNT(DD18)=0,0,DD18))/SUM($B$4*COUNT(DD4),$B$7*COUNT(DD7),$B$12*COUNT(DD12),$B$14*COUNT(DD14),$B$18*COUNT(DD18)))</f>
        <v>3.5</v>
      </c>
      <c r="DE21" s="193">
        <f>IF(DD21="","",DD21*5)</f>
        <v>17.5</v>
      </c>
      <c r="DF21" s="150"/>
      <c r="DG21" s="150"/>
      <c r="DH21" s="150"/>
      <c r="DI21" s="192">
        <f>IF(COUNT(DI18,DI14,DI12,DI7,DI4)=0,"",SUM($B$4*IF(COUNT(DI4)=0,0,DI4),$B$7*IF(COUNT(DI7)=0,0,DI7),$B$12*IF(COUNT(DI12)=0,0,DI12),$B$14*IF(COUNT(DI14)=0,0,DI14),$B$18*IF(COUNT(DI18)=0,0,DI18))/SUM($B$4*COUNT(DI4),$B$7*COUNT(DI7),$B$12*COUNT(DI12),$B$14*COUNT(DI14),$B$18*COUNT(DI18)))</f>
        <v>3.8333333333333335</v>
      </c>
      <c r="DJ21" s="199">
        <f>IF(DI21="","",DI21*5)</f>
        <v>19.166666666666668</v>
      </c>
      <c r="DK21" s="150"/>
      <c r="DL21" s="150"/>
      <c r="DM21" s="150"/>
      <c r="DN21" s="192">
        <f>IF(COUNT(DN18,DN14,DN12,DN7,DN4)=0,"",SUM($B$4*IF(COUNT(DN4)=0,0,DN4),$B$7*IF(COUNT(DN7)=0,0,DN7),$B$12*IF(COUNT(DN12)=0,0,DN12),$B$14*IF(COUNT(DN14)=0,0,DN14),$B$18*IF(COUNT(DN18)=0,0,DN18))/SUM($B$4*COUNT(DN4),$B$7*COUNT(DN7),$B$12*COUNT(DN12),$B$14*COUNT(DN14),$B$18*COUNT(DN18)))</f>
        <v>3.5833333333333335</v>
      </c>
      <c r="DO21" s="214">
        <f>IF(DN21="","",DN21*5)</f>
        <v>17.916666666666668</v>
      </c>
      <c r="DP21" s="215"/>
      <c r="DQ21" s="215"/>
      <c r="DR21" s="147"/>
      <c r="DS21" s="147"/>
      <c r="DT21" s="147"/>
      <c r="DU21" s="192" t="str">
        <f>IF(COUNT(DU18,DU14,DU12,DU7,DU4)=0,"",SUM($B$4*IF(COUNT(DU4)=0,0,DU4),$B$7*IF(COUNT(DU7)=0,0,DU7),$B$12*IF(COUNT(DU12)=0,0,DU12),$B$14*IF(COUNT(DU14)=0,0,DU14),$B$18*IF(COUNT(DU18)=0,0,DU18))/SUM($B$4*COUNT(DU4),$B$7*COUNT(DU7),$B$12*COUNT(DU12),$B$14*COUNT(DU14),$B$18*COUNT(DU18)))</f>
        <v/>
      </c>
      <c r="DV21" s="193" t="str">
        <f>IF(DU21="","",DU21*5)</f>
        <v/>
      </c>
      <c r="DW21" s="150"/>
      <c r="DX21" s="150"/>
      <c r="DY21" s="150"/>
      <c r="DZ21" s="192">
        <f>IF(COUNT(DZ18,DZ14,DZ12,DZ7,DZ4)=0,"",SUM($B$4*IF(COUNT(DZ4)=0,0,DZ4),$B$7*IF(COUNT(DZ7)=0,0,DZ7),$B$12*IF(COUNT(DZ12)=0,0,DZ12),$B$14*IF(COUNT(DZ14)=0,0,DZ14),$B$18*IF(COUNT(DZ18)=0,0,DZ18))/SUM($B$4*COUNT(DZ4),$B$7*COUNT(DZ7),$B$12*COUNT(DZ12),$B$14*COUNT(DZ14),$B$18*COUNT(DZ18)))</f>
        <v>4</v>
      </c>
      <c r="EA21" s="199">
        <f>IF(DZ21="","",DZ21*5)</f>
        <v>20</v>
      </c>
      <c r="EB21" s="150"/>
      <c r="EC21" s="150"/>
      <c r="ED21" s="150"/>
      <c r="EE21" s="192">
        <f>IF(COUNT(EE18,EE14,EE12,EE7,EE4)=0,"",SUM($B$4*IF(COUNT(EE4)=0,0,EE4),$B$7*IF(COUNT(EE7)=0,0,EE7),$B$12*IF(COUNT(EE12)=0,0,EE12),$B$14*IF(COUNT(EE14)=0,0,EE14),$B$18*IF(COUNT(EE18)=0,0,EE18))/SUM($B$4*COUNT(EE4),$B$7*COUNT(EE7),$B$12*COUNT(EE12),$B$14*COUNT(EE14),$B$18*COUNT(EE18)))</f>
        <v>4.041666666666667</v>
      </c>
      <c r="EF21" s="214">
        <f>IF(EE21="","",EE21*5)</f>
        <v>20.208333333333336</v>
      </c>
      <c r="EG21" s="215"/>
      <c r="EH21" s="215"/>
      <c r="EI21" s="147"/>
      <c r="EJ21" s="147"/>
      <c r="EK21" s="147"/>
      <c r="EL21" s="192">
        <f>IF(COUNT(EL18,EL14,EL12,EL7,EL4)=0,"",SUM($B$4*IF(COUNT(EL4)=0,0,EL4),$B$7*IF(COUNT(EL7)=0,0,EL7),$B$12*IF(COUNT(EL12)=0,0,EL12),$B$14*IF(COUNT(EL14)=0,0,EL14),$B$18*IF(COUNT(EL18)=0,0,EL18))/SUM($B$4*COUNT(EL4),$B$7*COUNT(EL7),$B$12*COUNT(EL12),$B$14*COUNT(EL14),$B$18*COUNT(EL18)))</f>
        <v>2</v>
      </c>
      <c r="EM21" s="193">
        <f>IF(EL21="","",EL21*5)</f>
        <v>10</v>
      </c>
      <c r="EN21" s="150"/>
      <c r="EO21" s="150"/>
      <c r="EP21" s="150"/>
      <c r="EQ21" s="192">
        <f>IF(COUNT(EQ18,EQ14,EQ12,EQ7,EQ4)=0,"",SUM($B$4*IF(COUNT(EQ4)=0,0,EQ4),$B$7*IF(COUNT(EQ7)=0,0,EQ7),$B$12*IF(COUNT(EQ12)=0,0,EQ12),$B$14*IF(COUNT(EQ14)=0,0,EQ14),$B$18*IF(COUNT(EQ18)=0,0,EQ18))/SUM($B$4*COUNT(EQ4),$B$7*COUNT(EQ7),$B$12*COUNT(EQ12),$B$14*COUNT(EQ14),$B$18*COUNT(EQ18)))</f>
        <v>3.6666666666666665</v>
      </c>
      <c r="ER21" s="199">
        <f>IF(EQ21="","",EQ21*5)</f>
        <v>18.333333333333332</v>
      </c>
      <c r="ES21" s="150"/>
      <c r="ET21" s="150"/>
      <c r="EU21" s="150"/>
      <c r="EV21" s="192">
        <f>IF(COUNT(EV18,EV14,EV12,EV7,EV4)=0,"",SUM($B$4*IF(COUNT(EV4)=0,0,EV4),$B$7*IF(COUNT(EV7)=0,0,EV7),$B$12*IF(COUNT(EV12)=0,0,EV12),$B$14*IF(COUNT(EV14)=0,0,EV14),$B$18*IF(COUNT(EV18)=0,0,EV18))/SUM($B$4*COUNT(EV4),$B$7*COUNT(EV7),$B$12*COUNT(EV12),$B$14*COUNT(EV14),$B$18*COUNT(EV18)))</f>
        <v>3.9375</v>
      </c>
      <c r="EW21" s="214">
        <f>IF(EV21="","",EV21*5)</f>
        <v>19.6875</v>
      </c>
      <c r="EX21" s="215"/>
      <c r="EY21" s="215"/>
      <c r="EZ21" s="147"/>
      <c r="FA21" s="147"/>
      <c r="FB21" s="147"/>
      <c r="FC21" s="192">
        <f>IF(COUNT(FC18,FC14,FC12,FC7,FC4)=0,"",SUM($B$4*IF(COUNT(FC4)=0,0,FC4),$B$7*IF(COUNT(FC7)=0,0,FC7),$B$12*IF(COUNT(FC12)=0,0,FC12),$B$14*IF(COUNT(FC14)=0,0,FC14),$B$18*IF(COUNT(FC18)=0,0,FC18))/SUM($B$4*COUNT(FC4),$B$7*COUNT(FC7),$B$12*COUNT(FC12),$B$14*COUNT(FC14),$B$18*COUNT(FC18)))</f>
        <v>3</v>
      </c>
      <c r="FD21" s="193">
        <f>IF(FC21="","",FC21*5)</f>
        <v>15</v>
      </c>
      <c r="FE21" s="150"/>
      <c r="FF21" s="150"/>
      <c r="FG21" s="150"/>
      <c r="FH21" s="192">
        <f>IF(COUNT(FH18,FH14,FH12,FH7,FH4)=0,"",SUM($B$4*IF(COUNT(FH4)=0,0,FH4),$B$7*IF(COUNT(FH7)=0,0,FH7),$B$12*IF(COUNT(FH12)=0,0,FH12),$B$14*IF(COUNT(FH14)=0,0,FH14),$B$18*IF(COUNT(FH18)=0,0,FH18))/SUM($B$4*COUNT(FH4),$B$7*COUNT(FH7),$B$12*COUNT(FH12),$B$14*COUNT(FH14),$B$18*COUNT(FH18)))</f>
        <v>3.8333333333333335</v>
      </c>
      <c r="FI21" s="199">
        <f>IF(FH21="","",FH21*5)</f>
        <v>19.166666666666668</v>
      </c>
      <c r="FJ21" s="150"/>
      <c r="FK21" s="150"/>
      <c r="FL21" s="150"/>
      <c r="FM21" s="192">
        <f>IF(COUNT(FM18,FM14,FM12,FM7,FM4)=0,"",SUM($B$4*IF(COUNT(FM4)=0,0,FM4),$B$7*IF(COUNT(FM7)=0,0,FM7),$B$12*IF(COUNT(FM12)=0,0,FM12),$B$14*IF(COUNT(FM14)=0,0,FM14),$B$18*IF(COUNT(FM18)=0,0,FM18))/SUM($B$4*COUNT(FM4),$B$7*COUNT(FM7),$B$12*COUNT(FM12),$B$14*COUNT(FM14),$B$18*COUNT(FM18)))</f>
        <v>4.479166666666667</v>
      </c>
      <c r="FN21" s="214">
        <f>IF(FM21="","",FM21*5)</f>
        <v>22.395833333333336</v>
      </c>
      <c r="FO21" s="215"/>
      <c r="FP21" s="215"/>
      <c r="FQ21" s="147"/>
      <c r="FR21" s="147"/>
      <c r="FS21" s="147"/>
      <c r="FT21" s="192">
        <f>IF(COUNT(FT18,FT14,FT12,FT7,FT4)=0,"",SUM($B$4*IF(COUNT(FT4)=0,0,FT4),$B$7*IF(COUNT(FT7)=0,0,FT7),$B$12*IF(COUNT(FT12)=0,0,FT12),$B$14*IF(COUNT(FT14)=0,0,FT14),$B$18*IF(COUNT(FT18)=0,0,FT18))/SUM($B$4*COUNT(FT4),$B$7*COUNT(FT7),$B$12*COUNT(FT12),$B$14*COUNT(FT14),$B$18*COUNT(FT18)))</f>
        <v>1.5</v>
      </c>
      <c r="FU21" s="193">
        <f>IF(FT21="","",FT21*5)</f>
        <v>7.5</v>
      </c>
      <c r="FV21" s="150"/>
      <c r="FW21" s="150"/>
      <c r="FX21" s="150"/>
      <c r="FY21" s="192">
        <f>IF(COUNT(FY18,FY14,FY12,FY7,FY4)=0,"",SUM($B$4*IF(COUNT(FY4)=0,0,FY4),$B$7*IF(COUNT(FY7)=0,0,FY7),$B$12*IF(COUNT(FY12)=0,0,FY12),$B$14*IF(COUNT(FY14)=0,0,FY14),$B$18*IF(COUNT(FY18)=0,0,FY18))/SUM($B$4*COUNT(FY4),$B$7*COUNT(FY7),$B$12*COUNT(FY12),$B$14*COUNT(FY14),$B$18*COUNT(FY18)))</f>
        <v>1.6666666666666667</v>
      </c>
      <c r="FZ21" s="199">
        <f>IF(FY21="","",FY21*5)</f>
        <v>8.3333333333333339</v>
      </c>
      <c r="GA21" s="150"/>
      <c r="GB21" s="150"/>
      <c r="GC21" s="150"/>
      <c r="GD21" s="192">
        <f>IF(COUNT(GD18,GD14,GD12,GD7,GD4)=0,"",SUM($B$4*IF(COUNT(GD4)=0,0,GD4),$B$7*IF(COUNT(GD7)=0,0,GD7),$B$12*IF(COUNT(GD12)=0,0,GD12),$B$14*IF(COUNT(GD14)=0,0,GD14),$B$18*IF(COUNT(GD18)=0,0,GD18))/SUM($B$4*COUNT(GD4),$B$7*COUNT(GD7),$B$12*COUNT(GD12),$B$14*COUNT(GD14),$B$18*COUNT(GD18)))</f>
        <v>4.020833333333333</v>
      </c>
      <c r="GE21" s="214">
        <f>IF(GD21="","",GD21*5)</f>
        <v>20.104166666666664</v>
      </c>
      <c r="GF21" s="215"/>
      <c r="GG21" s="215"/>
      <c r="GH21" s="147"/>
      <c r="GI21" s="147"/>
      <c r="GJ21" s="147"/>
      <c r="GK21" s="192">
        <f>IF(COUNT(GK18,GK14,GK12,GK7,GK4)=0,"",SUM($B$4*IF(COUNT(GK4)=0,0,GK4),$B$7*IF(COUNT(GK7)=0,0,GK7),$B$12*IF(COUNT(GK12)=0,0,GK12),$B$14*IF(COUNT(GK14)=0,0,GK14),$B$18*IF(COUNT(GK18)=0,0,GK18))/SUM($B$4*COUNT(GK4),$B$7*COUNT(GK7),$B$12*COUNT(GK12),$B$14*COUNT(GK14),$B$18*COUNT(GK18)))</f>
        <v>3</v>
      </c>
      <c r="GL21" s="193">
        <f>IF(GK21="","",GK21*5)</f>
        <v>15</v>
      </c>
      <c r="GM21" s="150"/>
      <c r="GN21" s="150"/>
      <c r="GO21" s="150"/>
      <c r="GP21" s="192">
        <f>IF(COUNT(GP18,GP14,GP12,GP7,GP4)=0,"",SUM($B$4*IF(COUNT(GP4)=0,0,GP4),$B$7*IF(COUNT(GP7)=0,0,GP7),$B$12*IF(COUNT(GP12)=0,0,GP12),$B$14*IF(COUNT(GP14)=0,0,GP14),$B$18*IF(COUNT(GP18)=0,0,GP18))/SUM($B$4*COUNT(GP4),$B$7*COUNT(GP7),$B$12*COUNT(GP12),$B$14*COUNT(GP14),$B$18*COUNT(GP18)))</f>
        <v>4</v>
      </c>
      <c r="GQ21" s="199">
        <f>IF(GP21="","",GP21*5)</f>
        <v>20</v>
      </c>
      <c r="GR21" s="150"/>
      <c r="GS21" s="150"/>
      <c r="GT21" s="150"/>
      <c r="GU21" s="192">
        <f>IF(COUNT(GU18,GU14,GU12,GU7,GU4)=0,"",SUM($B$4*IF(COUNT(GU4)=0,0,GU4),$B$7*IF(COUNT(GU7)=0,0,GU7),$B$12*IF(COUNT(GU12)=0,0,GU12),$B$14*IF(COUNT(GU14)=0,0,GU14),$B$18*IF(COUNT(GU18)=0,0,GU18))/SUM($B$4*COUNT(GU4),$B$7*COUNT(GU7),$B$12*COUNT(GU12),$B$14*COUNT(GU14),$B$18*COUNT(GU18)))</f>
        <v>4.625</v>
      </c>
      <c r="GV21" s="214">
        <f>IF(GU21="","",GU21*5)</f>
        <v>23.125</v>
      </c>
      <c r="GW21" s="215"/>
      <c r="GX21" s="215"/>
      <c r="GY21" s="147"/>
      <c r="GZ21" s="147"/>
      <c r="HA21" s="147"/>
      <c r="HB21" s="192">
        <f>IF(COUNT(HB18,HB14,HB12,HB7,HB4)=0,"",SUM($B$4*IF(COUNT(HB4)=0,0,HB4),$B$7*IF(COUNT(HB7)=0,0,HB7),$B$12*IF(COUNT(HB12)=0,0,HB12),$B$14*IF(COUNT(HB14)=0,0,HB14),$B$18*IF(COUNT(HB18)=0,0,HB18))/SUM($B$4*COUNT(HB4),$B$7*COUNT(HB7),$B$12*COUNT(HB12),$B$14*COUNT(HB14),$B$18*COUNT(HB18)))</f>
        <v>1</v>
      </c>
      <c r="HC21" s="193">
        <f>IF(HB21="","",HB21*5)</f>
        <v>5</v>
      </c>
      <c r="HD21" s="150"/>
      <c r="HE21" s="150"/>
      <c r="HF21" s="150"/>
      <c r="HG21" s="192">
        <f>IF(COUNT(HG18,HG14,HG12,HG7,HG4)=0,"",SUM($B$4*IF(COUNT(HG4)=0,0,HG4),$B$7*IF(COUNT(HG7)=0,0,HG7),$B$12*IF(COUNT(HG12)=0,0,HG12),$B$14*IF(COUNT(HG14)=0,0,HG14),$B$18*IF(COUNT(HG18)=0,0,HG18))/SUM($B$4*COUNT(HG4),$B$7*COUNT(HG7),$B$12*COUNT(HG12),$B$14*COUNT(HG14),$B$18*COUNT(HG18)))</f>
        <v>2.5</v>
      </c>
      <c r="HH21" s="199">
        <f>IF(HG21="","",HG21*5)</f>
        <v>12.5</v>
      </c>
      <c r="HI21" s="150"/>
      <c r="HJ21" s="150"/>
      <c r="HK21" s="150"/>
      <c r="HL21" s="192">
        <f>IF(COUNT(HL18,HL14,HL12,HL7,HL4)=0,"",SUM($B$4*IF(COUNT(HL4)=0,0,HL4),$B$7*IF(COUNT(HL7)=0,0,HL7),$B$12*IF(COUNT(HL12)=0,0,HL12),$B$14*IF(COUNT(HL14)=0,0,HL14),$B$18*IF(COUNT(HL18)=0,0,HL18))/SUM($B$4*COUNT(HL4),$B$7*COUNT(HL7),$B$12*COUNT(HL12),$B$14*COUNT(HL14),$B$18*COUNT(HL18)))</f>
        <v>3.625</v>
      </c>
      <c r="HM21" s="214">
        <f>IF(HL21="","",HL21*5)</f>
        <v>18.125</v>
      </c>
      <c r="HN21" s="215"/>
      <c r="HO21" s="215"/>
      <c r="HP21" s="147"/>
      <c r="HQ21" s="147"/>
      <c r="HR21" s="147"/>
      <c r="HS21" s="192">
        <f>IF(COUNT(HS18,HS14,HS12,HS7,HS4)=0,"",SUM($B$4*IF(COUNT(HS4)=0,0,HS4),$B$7*IF(COUNT(HS7)=0,0,HS7),$B$12*IF(COUNT(HS12)=0,0,HS12),$B$14*IF(COUNT(HS14)=0,0,HS14),$B$18*IF(COUNT(HS18)=0,0,HS18))/SUM($B$4*COUNT(HS4),$B$7*COUNT(HS7),$B$12*COUNT(HS12),$B$14*COUNT(HS14),$B$18*COUNT(HS18)))</f>
        <v>1.5</v>
      </c>
      <c r="HT21" s="193">
        <f>IF(HS21="","",HS21*5)</f>
        <v>7.5</v>
      </c>
      <c r="HU21" s="150"/>
      <c r="HV21" s="150"/>
      <c r="HW21" s="150"/>
      <c r="HX21" s="192">
        <f>IF(COUNT(HX18,HX14,HX12,HX7,HX4)=0,"",SUM($B$4*IF(COUNT(HX4)=0,0,HX4),$B$7*IF(COUNT(HX7)=0,0,HX7),$B$12*IF(COUNT(HX12)=0,0,HX12),$B$14*IF(COUNT(HX14)=0,0,HX14),$B$18*IF(COUNT(HX18)=0,0,HX18))/SUM($B$4*COUNT(HX4),$B$7*COUNT(HX7),$B$12*COUNT(HX12),$B$14*COUNT(HX14),$B$18*COUNT(HX18)))</f>
        <v>3.6666666666666665</v>
      </c>
      <c r="HY21" s="199">
        <f>IF(HX21="","",HX21*5)</f>
        <v>18.333333333333332</v>
      </c>
      <c r="HZ21" s="150"/>
      <c r="IA21" s="150"/>
      <c r="IB21" s="150"/>
      <c r="IC21" s="192">
        <f>IF(COUNT(IC18,IC14,IC12,IC7,IC4)=0,"",SUM($B$4*IF(COUNT(IC4)=0,0,IC4),$B$7*IF(COUNT(IC7)=0,0,IC7),$B$12*IF(COUNT(IC12)=0,0,IC12),$B$14*IF(COUNT(IC14)=0,0,IC14),$B$18*IF(COUNT(IC18)=0,0,IC18))/SUM($B$4*COUNT(IC4),$B$7*COUNT(IC7),$B$12*COUNT(IC12),$B$14*COUNT(IC14),$B$18*COUNT(IC18)))</f>
        <v>3.9583333333333335</v>
      </c>
      <c r="ID21" s="214">
        <f>IF(IC21="","",IC21*5)</f>
        <v>19.791666666666668</v>
      </c>
      <c r="IE21" s="215"/>
      <c r="IF21" s="215"/>
      <c r="IG21" s="147"/>
      <c r="IH21" s="147"/>
      <c r="II21" s="147"/>
      <c r="IJ21" s="192">
        <f>IF(COUNT(IJ18,IJ14,IJ12,IJ7,IJ4)=0,"",SUM($B$4*IF(COUNT(IJ4)=0,0,IJ4),$B$7*IF(COUNT(IJ7)=0,0,IJ7),$B$12*IF(COUNT(IJ12)=0,0,IJ12),$B$14*IF(COUNT(IJ14)=0,0,IJ14),$B$18*IF(COUNT(IJ18)=0,0,IJ18))/SUM($B$4*COUNT(IJ4),$B$7*COUNT(IJ7),$B$12*COUNT(IJ12),$B$14*COUNT(IJ14),$B$18*COUNT(IJ18)))</f>
        <v>2.5</v>
      </c>
      <c r="IK21" s="193">
        <f>IF(IJ21="","",IJ21*5)</f>
        <v>12.5</v>
      </c>
      <c r="IL21" s="150"/>
      <c r="IM21" s="150"/>
      <c r="IN21" s="150"/>
      <c r="IO21" s="192">
        <f>IF(COUNT(IO18,IO14,IO12,IO7,IO4)=0,"",SUM($B$4*IF(COUNT(IO4)=0,0,IO4),$B$7*IF(COUNT(IO7)=0,0,IO7),$B$12*IF(COUNT(IO12)=0,0,IO12),$B$14*IF(COUNT(IO14)=0,0,IO14),$B$18*IF(COUNT(IO18)=0,0,IO18))/SUM($B$4*COUNT(IO4),$B$7*COUNT(IO7),$B$12*COUNT(IO12),$B$14*COUNT(IO14),$B$18*COUNT(IO18)))</f>
        <v>3.6666666666666665</v>
      </c>
      <c r="IP21" s="199">
        <f>IF(IO21="","",IO21*5)</f>
        <v>18.333333333333332</v>
      </c>
      <c r="IQ21" s="150"/>
      <c r="IR21" s="150"/>
      <c r="IS21" s="150"/>
      <c r="IT21" s="192">
        <f>IF(COUNT(IT18,IT14,IT12,IT7,IT4)=0,"",SUM($B$4*IF(COUNT(IT4)=0,0,IT4),$B$7*IF(COUNT(IT7)=0,0,IT7),$B$12*IF(COUNT(IT12)=0,0,IT12),$B$14*IF(COUNT(IT14)=0,0,IT14),$B$18*IF(COUNT(IT18)=0,0,IT18))/SUM($B$4*COUNT(IT4),$B$7*COUNT(IT7),$B$12*COUNT(IT12),$B$14*COUNT(IT14),$B$18*COUNT(IT18)))</f>
        <v>2.5</v>
      </c>
      <c r="IU21" s="214">
        <f>IF(IT21="","",IT21*5)</f>
        <v>12.5</v>
      </c>
      <c r="IV21" s="215"/>
      <c r="IW21" s="215"/>
      <c r="IX21" s="147"/>
      <c r="IY21" s="147"/>
      <c r="IZ21" s="147"/>
      <c r="JA21" s="192">
        <f>IF(COUNT(JA18,JA14,JA12,JA7,JA4)=0,"",SUM($B$4*IF(COUNT(JA4)=0,0,JA4),$B$7*IF(COUNT(JA7)=0,0,JA7),$B$12*IF(COUNT(JA12)=0,0,JA12),$B$14*IF(COUNT(JA14)=0,0,JA14),$B$18*IF(COUNT(JA18)=0,0,JA18))/SUM($B$4*COUNT(JA4),$B$7*COUNT(JA7),$B$12*COUNT(JA12),$B$14*COUNT(JA14),$B$18*COUNT(JA18)))</f>
        <v>2.5</v>
      </c>
      <c r="JB21" s="193">
        <f>IF(JA21="","",JA21*5)</f>
        <v>12.5</v>
      </c>
      <c r="JC21" s="150"/>
      <c r="JD21" s="150"/>
      <c r="JE21" s="150"/>
      <c r="JF21" s="192">
        <f>IF(COUNT(JF18,JF14,JF12,JF7,JF4)=0,"",SUM($B$4*IF(COUNT(JF4)=0,0,JF4),$B$7*IF(COUNT(JF7)=0,0,JF7),$B$12*IF(COUNT(JF12)=0,0,JF12),$B$14*IF(COUNT(JF14)=0,0,JF14),$B$18*IF(COUNT(JF18)=0,0,JF18))/SUM($B$4*COUNT(JF4),$B$7*COUNT(JF7),$B$12*COUNT(JF12),$B$14*COUNT(JF14),$B$18*COUNT(JF18)))</f>
        <v>3.8333333333333335</v>
      </c>
      <c r="JG21" s="199">
        <f>IF(JF21="","",JF21*5)</f>
        <v>19.166666666666668</v>
      </c>
      <c r="JH21" s="150"/>
      <c r="JI21" s="150"/>
      <c r="JJ21" s="150"/>
      <c r="JK21" s="192">
        <f>IF(COUNT(JK18,JK14,JK12,JK7,JK4)=0,"",SUM($B$4*IF(COUNT(JK4)=0,0,JK4),$B$7*IF(COUNT(JK7)=0,0,JK7),$B$12*IF(COUNT(JK12)=0,0,JK12),$B$14*IF(COUNT(JK14)=0,0,JK14),$B$18*IF(COUNT(JK18)=0,0,JK18))/SUM($B$4*COUNT(JK4),$B$7*COUNT(JK7),$B$12*COUNT(JK12),$B$14*COUNT(JK14),$B$18*COUNT(JK18)))</f>
        <v>4.166666666666667</v>
      </c>
      <c r="JL21" s="214">
        <f>IF(JK21="","",JK21*5)</f>
        <v>20.833333333333336</v>
      </c>
      <c r="JM21" s="215"/>
      <c r="JN21" s="215"/>
      <c r="JO21" s="147"/>
      <c r="JP21" s="147"/>
      <c r="JQ21" s="147"/>
      <c r="JR21" s="192">
        <f>IF(COUNT(JR18,JR14,JR12,JR7,JR4)=0,"",SUM($B$4*IF(COUNT(JR4)=0,0,JR4),$B$7*IF(COUNT(JR7)=0,0,JR7),$B$12*IF(COUNT(JR12)=0,0,JR12),$B$14*IF(COUNT(JR14)=0,0,JR14),$B$18*IF(COUNT(JR18)=0,0,JR18))/SUM($B$4*COUNT(JR4),$B$7*COUNT(JR7),$B$12*COUNT(JR12),$B$14*COUNT(JR14),$B$18*COUNT(JR18)))</f>
        <v>3</v>
      </c>
      <c r="JS21" s="193">
        <f>IF(JR21="","",JR21*5)</f>
        <v>15</v>
      </c>
      <c r="JT21" s="150"/>
      <c r="JU21" s="150"/>
      <c r="JV21" s="150"/>
      <c r="JW21" s="192">
        <f>IF(COUNT(JW18,JW14,JW12,JW7,JW4)=0,"",SUM($B$4*IF(COUNT(JW4)=0,0,JW4),$B$7*IF(COUNT(JW7)=0,0,JW7),$B$12*IF(COUNT(JW12)=0,0,JW12),$B$14*IF(COUNT(JW14)=0,0,JW14),$B$18*IF(COUNT(JW18)=0,0,JW18))/SUM($B$4*COUNT(JW4),$B$7*COUNT(JW7),$B$12*COUNT(JW12),$B$14*COUNT(JW14),$B$18*COUNT(JW18)))</f>
        <v>4</v>
      </c>
      <c r="JX21" s="199">
        <f>IF(JW21="","",JW21*5)</f>
        <v>20</v>
      </c>
      <c r="JY21" s="150"/>
      <c r="JZ21" s="150"/>
      <c r="KA21" s="150"/>
      <c r="KB21" s="192">
        <f>IF(COUNT(KB18,KB14,KB12,KB7,KB4)=0,"",SUM($B$4*IF(COUNT(KB4)=0,0,KB4),$B$7*IF(COUNT(KB7)=0,0,KB7),$B$12*IF(COUNT(KB12)=0,0,KB12),$B$14*IF(COUNT(KB14)=0,0,KB14),$B$18*IF(COUNT(KB18)=0,0,KB18))/SUM($B$4*COUNT(KB4),$B$7*COUNT(KB7),$B$12*COUNT(KB12),$B$14*COUNT(KB14),$B$18*COUNT(KB18)))</f>
        <v>4.3125</v>
      </c>
      <c r="KC21" s="214">
        <f>IF(KB21="","",KB21*5)</f>
        <v>21.5625</v>
      </c>
      <c r="KD21" s="215"/>
      <c r="KE21" s="215"/>
      <c r="KF21" s="147"/>
      <c r="KG21" s="147"/>
      <c r="KH21" s="147"/>
      <c r="KI21" s="192">
        <f>IF(COUNT(KI18,KI14,KI12,KI7,KI4)=0,"",SUM($B$4*IF(COUNT(KI4)=0,0,KI4),$B$7*IF(COUNT(KI7)=0,0,KI7),$B$12*IF(COUNT(KI12)=0,0,KI12),$B$14*IF(COUNT(KI14)=0,0,KI14),$B$18*IF(COUNT(KI18)=0,0,KI18))/SUM($B$4*COUNT(KI4),$B$7*COUNT(KI7),$B$12*COUNT(KI12),$B$14*COUNT(KI14),$B$18*COUNT(KI18)))</f>
        <v>3.5</v>
      </c>
      <c r="KJ21" s="193">
        <f>IF(KI21="","",KI21*5)</f>
        <v>17.5</v>
      </c>
      <c r="KK21" s="150"/>
      <c r="KL21" s="150"/>
      <c r="KM21" s="150"/>
      <c r="KN21" s="192">
        <f>IF(COUNT(KN18,KN14,KN12,KN7,KN4)=0,"",SUM($B$4*IF(COUNT(KN4)=0,0,KN4),$B$7*IF(COUNT(KN7)=0,0,KN7),$B$12*IF(COUNT(KN12)=0,0,KN12),$B$14*IF(COUNT(KN14)=0,0,KN14),$B$18*IF(COUNT(KN18)=0,0,KN18))/SUM($B$4*COUNT(KN4),$B$7*COUNT(KN7),$B$12*COUNT(KN12),$B$14*COUNT(KN14),$B$18*COUNT(KN18)))</f>
        <v>4</v>
      </c>
      <c r="KO21" s="199">
        <f>IF(KN21="","",KN21*5)</f>
        <v>20</v>
      </c>
      <c r="KP21" s="150"/>
      <c r="KQ21" s="150"/>
      <c r="KR21" s="150"/>
      <c r="KS21" s="192">
        <f>IF(COUNT(KS18,KS14,KS12,KS7,KS4)=0,"",SUM($B$4*IF(COUNT(KS4)=0,0,KS4),$B$7*IF(COUNT(KS7)=0,0,KS7),$B$12*IF(COUNT(KS12)=0,0,KS12),$B$14*IF(COUNT(KS14)=0,0,KS14),$B$18*IF(COUNT(KS18)=0,0,KS18))/SUM($B$4*COUNT(KS4),$B$7*COUNT(KS7),$B$12*COUNT(KS12),$B$14*COUNT(KS14),$B$18*COUNT(KS18)))</f>
        <v>4.1875</v>
      </c>
      <c r="KT21" s="214">
        <f>IF(KS21="","",KS21*5)</f>
        <v>20.9375</v>
      </c>
      <c r="KU21" s="215"/>
      <c r="KV21" s="215"/>
      <c r="KW21" s="147"/>
      <c r="KX21" s="147"/>
      <c r="KY21" s="147"/>
      <c r="KZ21" s="192">
        <f>IF(COUNT(KZ18,KZ14,KZ12,KZ7,KZ4)=0,"",SUM($B$4*IF(COUNT(KZ4)=0,0,KZ4),$B$7*IF(COUNT(KZ7)=0,0,KZ7),$B$12*IF(COUNT(KZ12)=0,0,KZ12),$B$14*IF(COUNT(KZ14)=0,0,KZ14),$B$18*IF(COUNT(KZ18)=0,0,KZ18))/SUM($B$4*COUNT(KZ4),$B$7*COUNT(KZ7),$B$12*COUNT(KZ12),$B$14*COUNT(KZ14),$B$18*COUNT(KZ18)))</f>
        <v>1</v>
      </c>
      <c r="LA21" s="193">
        <f>IF(KZ21="","",KZ21*5)</f>
        <v>5</v>
      </c>
      <c r="LB21" s="150"/>
      <c r="LC21" s="150"/>
      <c r="LD21" s="150"/>
      <c r="LE21" s="192">
        <f>IF(COUNT(LE18,LE14,LE12,LE7,LE4)=0,"",SUM($B$4*IF(COUNT(LE4)=0,0,LE4),$B$7*IF(COUNT(LE7)=0,0,LE7),$B$12*IF(COUNT(LE12)=0,0,LE12),$B$14*IF(COUNT(LE14)=0,0,LE14),$B$18*IF(COUNT(LE18)=0,0,LE18))/SUM($B$4*COUNT(LE4),$B$7*COUNT(LE7),$B$12*COUNT(LE12),$B$14*COUNT(LE14),$B$18*COUNT(LE18)))</f>
        <v>2.6666666666666665</v>
      </c>
      <c r="LF21" s="199">
        <f>IF(LE21="","",LE21*5)</f>
        <v>13.333333333333332</v>
      </c>
      <c r="LG21" s="150"/>
      <c r="LH21" s="150"/>
      <c r="LI21" s="150"/>
      <c r="LJ21" s="192">
        <f>IF(COUNT(LJ18,LJ14,LJ12,LJ7,LJ4)=0,"",SUM($B$4*IF(COUNT(LJ4)=0,0,LJ4),$B$7*IF(COUNT(LJ7)=0,0,LJ7),$B$12*IF(COUNT(LJ12)=0,0,LJ12),$B$14*IF(COUNT(LJ14)=0,0,LJ14),$B$18*IF(COUNT(LJ18)=0,0,LJ18))/SUM($B$4*COUNT(LJ4),$B$7*COUNT(LJ7),$B$12*COUNT(LJ12),$B$14*COUNT(LJ14),$B$18*COUNT(LJ18)))</f>
        <v>4.0625</v>
      </c>
      <c r="LK21" s="214">
        <f>IF(LJ21="","",LJ21*5)</f>
        <v>20.3125</v>
      </c>
      <c r="LL21" s="215"/>
      <c r="LM21" s="215"/>
      <c r="LN21" s="147"/>
      <c r="LO21" s="147"/>
      <c r="LP21" s="147"/>
      <c r="LQ21" s="192">
        <f>IF(COUNT(LQ18,LQ14,LQ12,LQ7,LQ4)=0,"",SUM($B$4*IF(COUNT(LQ4)=0,0,LQ4),$B$7*IF(COUNT(LQ7)=0,0,LQ7),$B$12*IF(COUNT(LQ12)=0,0,LQ12),$B$14*IF(COUNT(LQ14)=0,0,LQ14),$B$18*IF(COUNT(LQ18)=0,0,LQ18))/SUM($B$4*COUNT(LQ4),$B$7*COUNT(LQ7),$B$12*COUNT(LQ12),$B$14*COUNT(LQ14),$B$18*COUNT(LQ18)))</f>
        <v>3</v>
      </c>
      <c r="LR21" s="193">
        <f>IF(LQ21="","",LQ21*5)</f>
        <v>15</v>
      </c>
      <c r="LS21" s="150"/>
      <c r="LT21" s="150"/>
      <c r="LU21" s="150"/>
      <c r="LV21" s="192">
        <f>IF(COUNT(LV18,LV14,LV12,LV7,LV4)=0,"",SUM($B$4*IF(COUNT(LV4)=0,0,LV4),$B$7*IF(COUNT(LV7)=0,0,LV7),$B$12*IF(COUNT(LV12)=0,0,LV12),$B$14*IF(COUNT(LV14)=0,0,LV14),$B$18*IF(COUNT(LV18)=0,0,LV18))/SUM($B$4*COUNT(LV4),$B$7*COUNT(LV7),$B$12*COUNT(LV12),$B$14*COUNT(LV14),$B$18*COUNT(LV18)))</f>
        <v>4</v>
      </c>
      <c r="LW21" s="199">
        <f>IF(LV21="","",LV21*5)</f>
        <v>20</v>
      </c>
      <c r="LX21" s="150"/>
      <c r="LY21" s="150"/>
      <c r="LZ21" s="150"/>
      <c r="MA21" s="192">
        <f>IF(COUNT(MA18,MA14,MA12,MA7,MA4)=0,"",SUM($B$4*IF(COUNT(MA4)=0,0,MA4),$B$7*IF(COUNT(MA7)=0,0,MA7),$B$12*IF(COUNT(MA12)=0,0,MA12),$B$14*IF(COUNT(MA14)=0,0,MA14),$B$18*IF(COUNT(MA18)=0,0,MA18))/SUM($B$4*COUNT(MA4),$B$7*COUNT(MA7),$B$12*COUNT(MA12),$B$14*COUNT(MA14),$B$18*COUNT(MA18)))</f>
        <v>4.229166666666667</v>
      </c>
      <c r="MB21" s="214">
        <f>IF(MA21="","",MA21*5)</f>
        <v>21.145833333333336</v>
      </c>
      <c r="MC21" s="215"/>
      <c r="MD21" s="215"/>
      <c r="ME21" s="147"/>
      <c r="MF21" s="147"/>
      <c r="MG21" s="147"/>
      <c r="MH21" s="192">
        <f>IF(COUNT(MH18,MH14,MH12,MH7,MH4)=0,"",SUM($B$4*IF(COUNT(MH4)=0,0,MH4),$B$7*IF(COUNT(MH7)=0,0,MH7),$B$12*IF(COUNT(MH12)=0,0,MH12),$B$14*IF(COUNT(MH14)=0,0,MH14),$B$18*IF(COUNT(MH18)=0,0,MH18))/SUM($B$4*COUNT(MH4),$B$7*COUNT(MH7),$B$12*COUNT(MH12),$B$14*COUNT(MH14),$B$18*COUNT(MH18)))</f>
        <v>2</v>
      </c>
      <c r="MI21" s="193">
        <f>IF(MH21="","",MH21*5)</f>
        <v>10</v>
      </c>
      <c r="MJ21" s="150"/>
      <c r="MK21" s="150"/>
      <c r="ML21" s="150"/>
      <c r="MM21" s="192">
        <f>IF(COUNT(MM18,MM14,MM12,MM7,MM4)=0,"",SUM($B$4*IF(COUNT(MM4)=0,0,MM4),$B$7*IF(COUNT(MM7)=0,0,MM7),$B$12*IF(COUNT(MM12)=0,0,MM12),$B$14*IF(COUNT(MM14)=0,0,MM14),$B$18*IF(COUNT(MM18)=0,0,MM18))/SUM($B$4*COUNT(MM4),$B$7*COUNT(MM7),$B$12*COUNT(MM12),$B$14*COUNT(MM14),$B$18*COUNT(MM18)))</f>
        <v>4</v>
      </c>
      <c r="MN21" s="199">
        <f>IF(MM21="","",MM21*5)</f>
        <v>20</v>
      </c>
      <c r="MO21" s="150"/>
      <c r="MP21" s="150"/>
      <c r="MQ21" s="150"/>
      <c r="MR21" s="192">
        <f>IF(COUNT(MR18,MR14,MR12,MR7,MR4)=0,"",SUM($B$4*IF(COUNT(MR4)=0,0,MR4),$B$7*IF(COUNT(MR7)=0,0,MR7),$B$12*IF(COUNT(MR12)=0,0,MR12),$B$14*IF(COUNT(MR14)=0,0,MR14),$B$18*IF(COUNT(MR18)=0,0,MR18))/SUM($B$4*COUNT(MR4),$B$7*COUNT(MR7),$B$12*COUNT(MR12),$B$14*COUNT(MR14),$B$18*COUNT(MR18)))</f>
        <v>2.75</v>
      </c>
      <c r="MS21" s="214">
        <f>IF(MR21="","",MR21*5)</f>
        <v>13.75</v>
      </c>
      <c r="MT21" s="215"/>
      <c r="MU21" s="215"/>
      <c r="MV21" s="147"/>
      <c r="MW21" s="147"/>
      <c r="MX21" s="147"/>
      <c r="MY21" s="192">
        <f>IF(COUNT(MY18,MY14,MY12,MY7,MY4)=0,"",SUM($B$4*IF(COUNT(MY4)=0,0,MY4),$B$7*IF(COUNT(MY7)=0,0,MY7),$B$12*IF(COUNT(MY12)=0,0,MY12),$B$14*IF(COUNT(MY14)=0,0,MY14),$B$18*IF(COUNT(MY18)=0,0,MY18))/SUM($B$4*COUNT(MY4),$B$7*COUNT(MY7),$B$12*COUNT(MY12),$B$14*COUNT(MY14),$B$18*COUNT(MY18)))</f>
        <v>2</v>
      </c>
      <c r="MZ21" s="193">
        <f>IF(MY21="","",MY21*5)</f>
        <v>10</v>
      </c>
      <c r="NA21" s="150"/>
      <c r="NB21" s="150"/>
      <c r="NC21" s="150"/>
      <c r="ND21" s="192">
        <f>IF(COUNT(ND18,ND14,ND12,ND7,ND4)=0,"",SUM($B$4*IF(COUNT(ND4)=0,0,ND4),$B$7*IF(COUNT(ND7)=0,0,ND7),$B$12*IF(COUNT(ND12)=0,0,ND12),$B$14*IF(COUNT(ND14)=0,0,ND14),$B$18*IF(COUNT(ND18)=0,0,ND18))/SUM($B$4*COUNT(ND4),$B$7*COUNT(ND7),$B$12*COUNT(ND12),$B$14*COUNT(ND14),$B$18*COUNT(ND18)))</f>
        <v>3.8333333333333335</v>
      </c>
      <c r="NE21" s="199">
        <f>IF(ND21="","",ND21*5)</f>
        <v>19.166666666666668</v>
      </c>
      <c r="NF21" s="150"/>
      <c r="NG21" s="150"/>
      <c r="NH21" s="150"/>
      <c r="NI21" s="192">
        <f>IF(COUNT(NI18,NI14,NI12,NI7,NI4)=0,"",SUM($B$4*IF(COUNT(NI4)=0,0,NI4),$B$7*IF(COUNT(NI7)=0,0,NI7),$B$12*IF(COUNT(NI12)=0,0,NI12),$B$14*IF(COUNT(NI14)=0,0,NI14),$B$18*IF(COUNT(NI18)=0,0,NI18))/SUM($B$4*COUNT(NI4),$B$7*COUNT(NI7),$B$12*COUNT(NI12),$B$14*COUNT(NI14),$B$18*COUNT(NI18)))</f>
        <v>4.125</v>
      </c>
      <c r="NJ21" s="214">
        <f>IF(NI21="","",NI21*5)</f>
        <v>20.625</v>
      </c>
      <c r="NK21" s="215"/>
      <c r="NL21" s="215"/>
      <c r="NM21" s="147"/>
      <c r="NN21" s="147"/>
      <c r="NO21" s="147"/>
      <c r="NP21" s="192">
        <f>IF(COUNT(NP18,NP14,NP12,NP7,NP4)=0,"",SUM($B$4*IF(COUNT(NP4)=0,0,NP4),$B$7*IF(COUNT(NP7)=0,0,NP7),$B$12*IF(COUNT(NP12)=0,0,NP12),$B$14*IF(COUNT(NP14)=0,0,NP14),$B$18*IF(COUNT(NP18)=0,0,NP18))/SUM($B$4*COUNT(NP4),$B$7*COUNT(NP7),$B$12*COUNT(NP12),$B$14*COUNT(NP14),$B$18*COUNT(NP18)))</f>
        <v>2</v>
      </c>
      <c r="NQ21" s="193">
        <f>IF(NP21="","",NP21*5)</f>
        <v>10</v>
      </c>
      <c r="NR21" s="150"/>
      <c r="NS21" s="150"/>
      <c r="NT21" s="150"/>
      <c r="NU21" s="192">
        <f>IF(COUNT(NU18,NU14,NU12,NU7,NU4)=0,"",SUM($B$4*IF(COUNT(NU4)=0,0,NU4),$B$7*IF(COUNT(NU7)=0,0,NU7),$B$12*IF(COUNT(NU12)=0,0,NU12),$B$14*IF(COUNT(NU14)=0,0,NU14),$B$18*IF(COUNT(NU18)=0,0,NU18))/SUM($B$4*COUNT(NU4),$B$7*COUNT(NU7),$B$12*COUNT(NU12),$B$14*COUNT(NU14),$B$18*COUNT(NU18)))</f>
        <v>4</v>
      </c>
      <c r="NV21" s="199">
        <f>IF(NU21="","",NU21*5)</f>
        <v>20</v>
      </c>
      <c r="NW21" s="150"/>
      <c r="NX21" s="150"/>
      <c r="NY21" s="150"/>
      <c r="NZ21" s="192">
        <f>IF(COUNT(NZ18,NZ14,NZ12,NZ7,NZ4)=0,"",SUM($B$4*IF(COUNT(NZ4)=0,0,NZ4),$B$7*IF(COUNT(NZ7)=0,0,NZ7),$B$12*IF(COUNT(NZ12)=0,0,NZ12),$B$14*IF(COUNT(NZ14)=0,0,NZ14),$B$18*IF(COUNT(NZ18)=0,0,NZ18))/SUM($B$4*COUNT(NZ4),$B$7*COUNT(NZ7),$B$12*COUNT(NZ12),$B$14*COUNT(NZ14),$B$18*COUNT(NZ18)))</f>
        <v>4.0625</v>
      </c>
      <c r="OA21" s="214">
        <f>IF(NZ21="","",NZ21*5)</f>
        <v>20.3125</v>
      </c>
      <c r="OB21" s="215"/>
      <c r="OC21" s="215"/>
      <c r="OD21" s="147"/>
      <c r="OE21" s="147"/>
      <c r="OF21" s="147"/>
      <c r="OG21" s="192" t="str">
        <f>IF(COUNT(OG18,OG14,OG12,OG7,OG4)=0,"",SUM($B$4*IF(COUNT(OG4)=0,0,OG4),$B$7*IF(COUNT(OG7)=0,0,OG7),$B$12*IF(COUNT(OG12)=0,0,OG12),$B$14*IF(COUNT(OG14)=0,0,OG14),$B$18*IF(COUNT(OG18)=0,0,OG18))/SUM($B$4*COUNT(OG4),$B$7*COUNT(OG7),$B$12*COUNT(OG12),$B$14*COUNT(OG14),$B$18*COUNT(OG18)))</f>
        <v/>
      </c>
      <c r="OH21" s="193" t="str">
        <f>IF(OG21="","",OG21*5)</f>
        <v/>
      </c>
      <c r="OI21" s="150"/>
      <c r="OJ21" s="150"/>
      <c r="OK21" s="150"/>
      <c r="OL21" s="192">
        <f>IF(COUNT(OL18,OL14,OL12,OL7,OL4)=0,"",SUM($B$4*IF(COUNT(OL4)=0,0,OL4),$B$7*IF(COUNT(OL7)=0,0,OL7),$B$12*IF(COUNT(OL12)=0,0,OL12),$B$14*IF(COUNT(OL14)=0,0,OL14),$B$18*IF(COUNT(OL18)=0,0,OL18))/SUM($B$4*COUNT(OL4),$B$7*COUNT(OL7),$B$12*COUNT(OL12),$B$14*COUNT(OL14),$B$18*COUNT(OL18)))</f>
        <v>3.3333333333333335</v>
      </c>
      <c r="OM21" s="199">
        <f>IF(OL21="","",OL21*5)</f>
        <v>16.666666666666668</v>
      </c>
      <c r="ON21" s="150"/>
      <c r="OO21" s="150"/>
      <c r="OP21" s="150"/>
      <c r="OQ21" s="192">
        <f>IF(COUNT(OQ18,OQ14,OQ12,OQ7,OQ4)=0,"",SUM($B$4*IF(COUNT(OQ4)=0,0,OQ4),$B$7*IF(COUNT(OQ7)=0,0,OQ7),$B$12*IF(COUNT(OQ12)=0,0,OQ12),$B$14*IF(COUNT(OQ14)=0,0,OQ14),$B$18*IF(COUNT(OQ18)=0,0,OQ18))/SUM($B$4*COUNT(OQ4),$B$7*COUNT(OQ7),$B$12*COUNT(OQ12),$B$14*COUNT(OQ14),$B$18*COUNT(OQ18)))</f>
        <v>4.041666666666667</v>
      </c>
      <c r="OR21" s="214">
        <f>IF(OQ21="","",OQ21*5)</f>
        <v>20.208333333333336</v>
      </c>
      <c r="OS21" s="215"/>
      <c r="OT21" s="215"/>
      <c r="OU21" s="147"/>
      <c r="OV21" s="147"/>
      <c r="OW21" s="147"/>
      <c r="OX21" s="192">
        <f>IF(COUNT(OX18,OX14,OX12,OX7,OX4)=0,"",SUM($B$4*IF(COUNT(OX4)=0,0,OX4),$B$7*IF(COUNT(OX7)=0,0,OX7),$B$12*IF(COUNT(OX12)=0,0,OX12),$B$14*IF(COUNT(OX14)=0,0,OX14),$B$18*IF(COUNT(OX18)=0,0,OX18))/SUM($B$4*COUNT(OX4),$B$7*COUNT(OX7),$B$12*COUNT(OX12),$B$14*COUNT(OX14),$B$18*COUNT(OX18)))</f>
        <v>2.5</v>
      </c>
      <c r="OY21" s="193">
        <f>IF(OX21="","",OX21*5)</f>
        <v>12.5</v>
      </c>
      <c r="OZ21" s="150"/>
      <c r="PA21" s="150"/>
      <c r="PB21" s="150"/>
      <c r="PC21" s="192">
        <f>IF(COUNT(PC18,PC14,PC12,PC7,PC4)=0,"",SUM($B$4*IF(COUNT(PC4)=0,0,PC4),$B$7*IF(COUNT(PC7)=0,0,PC7),$B$12*IF(COUNT(PC12)=0,0,PC12),$B$14*IF(COUNT(PC14)=0,0,PC14),$B$18*IF(COUNT(PC18)=0,0,PC18))/SUM($B$4*COUNT(PC4),$B$7*COUNT(PC7),$B$12*COUNT(PC12),$B$14*COUNT(PC14),$B$18*COUNT(PC18)))</f>
        <v>3.8333333333333335</v>
      </c>
      <c r="PD21" s="199">
        <f>IF(PC21="","",PC21*5)</f>
        <v>19.166666666666668</v>
      </c>
      <c r="PE21" s="150"/>
      <c r="PF21" s="150"/>
      <c r="PG21" s="150"/>
      <c r="PH21" s="192">
        <f>IF(COUNT(PH18,PH14,PH12,PH7,PH4)=0,"",SUM($B$4*IF(COUNT(PH4)=0,0,PH4),$B$7*IF(COUNT(PH7)=0,0,PH7),$B$12*IF(COUNT(PH12)=0,0,PH12),$B$14*IF(COUNT(PH14)=0,0,PH14),$B$18*IF(COUNT(PH18)=0,0,PH18))/SUM($B$4*COUNT(PH4),$B$7*COUNT(PH7),$B$12*COUNT(PH12),$B$14*COUNT(PH14),$B$18*COUNT(PH18)))</f>
        <v>4.125</v>
      </c>
      <c r="PI21" s="214">
        <f>IF(PH21="","",PH21*5)</f>
        <v>20.625</v>
      </c>
      <c r="PJ21" s="215"/>
      <c r="PK21" s="215"/>
      <c r="PL21" s="147"/>
      <c r="PM21" s="147"/>
      <c r="PN21" s="147"/>
      <c r="PO21" s="192">
        <f>IF(COUNT(PO18,PO14,PO12,PO7,PO4)=0,"",SUM($B$4*IF(COUNT(PO4)=0,0,PO4),$B$7*IF(COUNT(PO7)=0,0,PO7),$B$12*IF(COUNT(PO12)=0,0,PO12),$B$14*IF(COUNT(PO14)=0,0,PO14),$B$18*IF(COUNT(PO18)=0,0,PO18))/SUM($B$4*COUNT(PO4),$B$7*COUNT(PO7),$B$12*COUNT(PO12),$B$14*COUNT(PO14),$B$18*COUNT(PO18)))</f>
        <v>2</v>
      </c>
      <c r="PP21" s="193">
        <f>IF(PO21="","",PO21*5)</f>
        <v>10</v>
      </c>
      <c r="PQ21" s="150"/>
      <c r="PR21" s="150"/>
      <c r="PS21" s="150"/>
      <c r="PT21" s="192">
        <f>IF(COUNT(PT18,PT14,PT12,PT7,PT4)=0,"",SUM($B$4*IF(COUNT(PT4)=0,0,PT4),$B$7*IF(COUNT(PT7)=0,0,PT7),$B$12*IF(COUNT(PT12)=0,0,PT12),$B$14*IF(COUNT(PT14)=0,0,PT14),$B$18*IF(COUNT(PT18)=0,0,PT18))/SUM($B$4*COUNT(PT4),$B$7*COUNT(PT7),$B$12*COUNT(PT12),$B$14*COUNT(PT14),$B$18*COUNT(PT18)))</f>
        <v>3.6666666666666665</v>
      </c>
      <c r="PU21" s="199">
        <f>IF(PT21="","",PT21*5)</f>
        <v>18.333333333333332</v>
      </c>
      <c r="PV21" s="150"/>
      <c r="PW21" s="150"/>
      <c r="PX21" s="150"/>
      <c r="PY21" s="192">
        <f>IF(COUNT(PY18,PY14,PY12,PY7,PY4)=0,"",SUM($B$4*IF(COUNT(PY4)=0,0,PY4),$B$7*IF(COUNT(PY7)=0,0,PY7),$B$12*IF(COUNT(PY12)=0,0,PY12),$B$14*IF(COUNT(PY14)=0,0,PY14),$B$18*IF(COUNT(PY18)=0,0,PY18))/SUM($B$4*COUNT(PY4),$B$7*COUNT(PY7),$B$12*COUNT(PY12),$B$14*COUNT(PY14),$B$18*COUNT(PY18)))</f>
        <v>4</v>
      </c>
      <c r="PZ21" s="214">
        <f>IF(PY21="","",PY21*5)</f>
        <v>20</v>
      </c>
      <c r="QA21" s="215"/>
      <c r="QB21" s="215"/>
      <c r="QC21" s="147"/>
      <c r="QD21" s="147"/>
      <c r="QE21" s="147"/>
      <c r="QF21" s="192">
        <f>IF(COUNT(QF18,QF14,QF12,QF7,QF4)=0,"",SUM($B$4*IF(COUNT(QF4)=0,0,QF4),$B$7*IF(COUNT(QF7)=0,0,QF7),$B$12*IF(COUNT(QF12)=0,0,QF12),$B$14*IF(COUNT(QF14)=0,0,QF14),$B$18*IF(COUNT(QF18)=0,0,QF18))/SUM($B$4*COUNT(QF4),$B$7*COUNT(QF7),$B$12*COUNT(QF12),$B$14*COUNT(QF14),$B$18*COUNT(QF18)))</f>
        <v>2</v>
      </c>
      <c r="QG21" s="193">
        <f>IF(QF21="","",QF21*5)</f>
        <v>10</v>
      </c>
      <c r="QH21" s="150"/>
      <c r="QI21" s="150"/>
      <c r="QJ21" s="150"/>
      <c r="QK21" s="192">
        <f>IF(COUNT(QK18,QK14,QK12,QK7,QK4)=0,"",SUM($B$4*IF(COUNT(QK4)=0,0,QK4),$B$7*IF(COUNT(QK7)=0,0,QK7),$B$12*IF(COUNT(QK12)=0,0,QK12),$B$14*IF(COUNT(QK14)=0,0,QK14),$B$18*IF(COUNT(QK18)=0,0,QK18))/SUM($B$4*COUNT(QK4),$B$7*COUNT(QK7),$B$12*COUNT(QK12),$B$14*COUNT(QK14),$B$18*COUNT(QK18)))</f>
        <v>3.5</v>
      </c>
      <c r="QL21" s="199">
        <f>IF(QK21="","",QK21*5)</f>
        <v>17.5</v>
      </c>
      <c r="QM21" s="150"/>
      <c r="QN21" s="150"/>
      <c r="QO21" s="150"/>
      <c r="QP21" s="192">
        <f>IF(COUNT(QP18,QP14,QP12,QP7,QP4)=0,"",SUM($B$4*IF(COUNT(QP4)=0,0,QP4),$B$7*IF(COUNT(QP7)=0,0,QP7),$B$12*IF(COUNT(QP12)=0,0,QP12),$B$14*IF(COUNT(QP14)=0,0,QP14),$B$18*IF(COUNT(QP18)=0,0,QP18))/SUM($B$4*COUNT(QP4),$B$7*COUNT(QP7),$B$12*COUNT(QP12),$B$14*COUNT(QP14),$B$18*COUNT(QP18)))</f>
        <v>4.020833333333333</v>
      </c>
      <c r="QQ21" s="214">
        <f>IF(QP21="","",QP21*5)</f>
        <v>20.104166666666664</v>
      </c>
      <c r="QR21" s="215"/>
      <c r="QS21" s="215"/>
      <c r="QT21" s="147"/>
      <c r="QU21" s="147"/>
      <c r="QV21" s="147"/>
      <c r="QW21" s="148" t="str">
        <f>IF(COUNT(QW18,QW14,QW12,QW7,QW4)=0,"",SUM($B$4*IF(COUNT(QW4)=0,0,QW4),$B$7*IF(COUNT(QW7)=0,0,QW7),$B$12*IF(COUNT(QW12)=0,0,QW12),$B$14*IF(COUNT(QW14)=0,0,QW14),$B$18*IF(COUNT(QW18)=0,0,QW18))/SUM($B$4*COUNT(QW4),$B$7*COUNT(QW7),$B$12*COUNT(QW12),$B$14*COUNT(QW14),$B$18*COUNT(QW18)))</f>
        <v/>
      </c>
      <c r="QX21" s="149" t="str">
        <f>IF(QW21="","",QW21*5)</f>
        <v/>
      </c>
      <c r="QY21" s="150"/>
      <c r="QZ21" s="150"/>
      <c r="RA21" s="150"/>
      <c r="RB21" s="148" t="str">
        <f>IF(COUNT(RB18,RB14,RB12,RB7,RB4)=0,"",SUM($B$4*IF(COUNT(RB4)=0,0,RB4),$B$7*IF(COUNT(RB7)=0,0,RB7),$B$12*IF(COUNT(RB12)=0,0,RB12),$B$14*IF(COUNT(RB14)=0,0,RB14),$B$18*IF(COUNT(RB18)=0,0,RB18))/SUM($B$4*COUNT(RB4),$B$7*COUNT(RB7),$B$12*COUNT(RB12),$B$14*COUNT(RB14),$B$18*COUNT(RB18)))</f>
        <v/>
      </c>
      <c r="RC21" s="151" t="str">
        <f>IF(RB21="","",RB21*5)</f>
        <v/>
      </c>
      <c r="RD21" s="150"/>
      <c r="RE21" s="150"/>
      <c r="RF21" s="150"/>
      <c r="RG21" s="148" t="str">
        <f>IF(COUNT(RG18,RG14,RG12,RG7,RG4)=0,"",SUM($B$4*IF(COUNT(RG4)=0,0,RG4),$B$7*IF(COUNT(RG7)=0,0,RG7),$B$12*IF(COUNT(RG12)=0,0,RG12),$B$14*IF(COUNT(RG14)=0,0,RG14),$B$18*IF(COUNT(RG18)=0,0,RG18))/SUM($B$4*COUNT(RG4),$B$7*COUNT(RG7),$B$12*COUNT(RG12),$B$14*COUNT(RG14),$B$18*COUNT(RG18)))</f>
        <v/>
      </c>
      <c r="RH21" s="152" t="str">
        <f>IF(RG21="","",RG21*5)</f>
        <v/>
      </c>
      <c r="RI21" s="153"/>
      <c r="RJ21" s="153"/>
      <c r="RK21" s="147"/>
      <c r="RL21" s="147"/>
      <c r="RM21" s="147"/>
      <c r="RN21" s="148" t="str">
        <f>IF(COUNT(RN18,RN14,RN12,RN7,RN4)=0,"",SUM($B$4*IF(COUNT(RN4)=0,0,RN4),$B$7*IF(COUNT(RN7)=0,0,RN7),$B$12*IF(COUNT(RN12)=0,0,RN12),$B$14*IF(COUNT(RN14)=0,0,RN14),$B$18*IF(COUNT(RN18)=0,0,RN18))/SUM($B$4*COUNT(RN4),$B$7*COUNT(RN7),$B$12*COUNT(RN12),$B$14*COUNT(RN14),$B$18*COUNT(RN18)))</f>
        <v/>
      </c>
      <c r="RO21" s="149" t="str">
        <f>IF(RN21="","",RN21*5)</f>
        <v/>
      </c>
      <c r="RP21" s="150"/>
      <c r="RQ21" s="150"/>
      <c r="RR21" s="150"/>
      <c r="RS21" s="148" t="str">
        <f>IF(COUNT(RS18,RS14,RS12,RS7,RS4)=0,"",SUM($B$4*IF(COUNT(RS4)=0,0,RS4),$B$7*IF(COUNT(RS7)=0,0,RS7),$B$12*IF(COUNT(RS12)=0,0,RS12),$B$14*IF(COUNT(RS14)=0,0,RS14),$B$18*IF(COUNT(RS18)=0,0,RS18))/SUM($B$4*COUNT(RS4),$B$7*COUNT(RS7),$B$12*COUNT(RS12),$B$14*COUNT(RS14),$B$18*COUNT(RS18)))</f>
        <v/>
      </c>
      <c r="RT21" s="151" t="str">
        <f>IF(RS21="","",RS21*5)</f>
        <v/>
      </c>
      <c r="RU21" s="150"/>
      <c r="RV21" s="150"/>
      <c r="RW21" s="150"/>
      <c r="RX21" s="148" t="str">
        <f>IF(COUNT(RX18,RX14,RX12,RX7,RX4)=0,"",SUM($B$4*IF(COUNT(RX4)=0,0,RX4),$B$7*IF(COUNT(RX7)=0,0,RX7),$B$12*IF(COUNT(RX12)=0,0,RX12),$B$14*IF(COUNT(RX14)=0,0,RX14),$B$18*IF(COUNT(RX18)=0,0,RX18))/SUM($B$4*COUNT(RX4),$B$7*COUNT(RX7),$B$12*COUNT(RX12),$B$14*COUNT(RX14),$B$18*COUNT(RX18)))</f>
        <v/>
      </c>
      <c r="RY21" s="152" t="str">
        <f>IF(RX21="","",RX21*5)</f>
        <v/>
      </c>
      <c r="RZ21" s="153"/>
      <c r="SA21" s="153"/>
      <c r="SB21" s="147"/>
      <c r="SC21" s="147"/>
      <c r="SD21" s="147"/>
      <c r="SE21" s="148" t="str">
        <f>IF(COUNT(SE18,SE14,SE12,SE7,SE4)=0,"",SUM($B$4*IF(COUNT(SE4)=0,0,SE4),$B$7*IF(COUNT(SE7)=0,0,SE7),$B$12*IF(COUNT(SE12)=0,0,SE12),$B$14*IF(COUNT(SE14)=0,0,SE14),$B$18*IF(COUNT(SE18)=0,0,SE18))/SUM($B$4*COUNT(SE4),$B$7*COUNT(SE7),$B$12*COUNT(SE12),$B$14*COUNT(SE14),$B$18*COUNT(SE18)))</f>
        <v/>
      </c>
      <c r="SF21" s="149" t="str">
        <f>IF(SE21="","",SE21*5)</f>
        <v/>
      </c>
      <c r="SG21" s="150"/>
      <c r="SH21" s="150"/>
      <c r="SI21" s="150"/>
      <c r="SJ21" s="148" t="str">
        <f>IF(COUNT(SJ18,SJ14,SJ12,SJ7,SJ4)=0,"",SUM($B$4*IF(COUNT(SJ4)=0,0,SJ4),$B$7*IF(COUNT(SJ7)=0,0,SJ7),$B$12*IF(COUNT(SJ12)=0,0,SJ12),$B$14*IF(COUNT(SJ14)=0,0,SJ14),$B$18*IF(COUNT(SJ18)=0,0,SJ18))/SUM($B$4*COUNT(SJ4),$B$7*COUNT(SJ7),$B$12*COUNT(SJ12),$B$14*COUNT(SJ14),$B$18*COUNT(SJ18)))</f>
        <v/>
      </c>
      <c r="SK21" s="151" t="str">
        <f>IF(SJ21="","",SJ21*5)</f>
        <v/>
      </c>
      <c r="SL21" s="150"/>
      <c r="SM21" s="150"/>
      <c r="SN21" s="150"/>
      <c r="SO21" s="148" t="str">
        <f>IF(COUNT(SO18,SO14,SO12,SO7,SO4)=0,"",SUM($B$4*IF(COUNT(SO4)=0,0,SO4),$B$7*IF(COUNT(SO7)=0,0,SO7),$B$12*IF(COUNT(SO12)=0,0,SO12),$B$14*IF(COUNT(SO14)=0,0,SO14),$B$18*IF(COUNT(SO18)=0,0,SO18))/SUM($B$4*COUNT(SO4),$B$7*COUNT(SO7),$B$12*COUNT(SO12),$B$14*COUNT(SO14),$B$18*COUNT(SO18)))</f>
        <v/>
      </c>
      <c r="SP21" s="152" t="str">
        <f>IF(SO21="","",SO21*5)</f>
        <v/>
      </c>
      <c r="SQ21" s="153"/>
      <c r="SR21" s="153"/>
      <c r="SS21" s="147"/>
      <c r="ST21" s="147"/>
      <c r="SU21" s="147"/>
      <c r="SV21" s="148" t="str">
        <f>IF(COUNT(SV18,SV14,SV12,SV7,SV4)=0,"",SUM($B$4*IF(COUNT(SV4)=0,0,SV4),$B$7*IF(COUNT(SV7)=0,0,SV7),$B$12*IF(COUNT(SV12)=0,0,SV12),$B$14*IF(COUNT(SV14)=0,0,SV14),$B$18*IF(COUNT(SV18)=0,0,SV18))/SUM($B$4*COUNT(SV4),$B$7*COUNT(SV7),$B$12*COUNT(SV12),$B$14*COUNT(SV14),$B$18*COUNT(SV18)))</f>
        <v/>
      </c>
      <c r="SW21" s="149" t="str">
        <f>IF(SV21="","",SV21*5)</f>
        <v/>
      </c>
      <c r="SX21" s="150"/>
      <c r="SY21" s="150"/>
      <c r="SZ21" s="150"/>
      <c r="TA21" s="148" t="str">
        <f>IF(COUNT(TA18,TA14,TA12,TA7,TA4)=0,"",SUM($B$4*IF(COUNT(TA4)=0,0,TA4),$B$7*IF(COUNT(TA7)=0,0,TA7),$B$12*IF(COUNT(TA12)=0,0,TA12),$B$14*IF(COUNT(TA14)=0,0,TA14),$B$18*IF(COUNT(TA18)=0,0,TA18))/SUM($B$4*COUNT(TA4),$B$7*COUNT(TA7),$B$12*COUNT(TA12),$B$14*COUNT(TA14),$B$18*COUNT(TA18)))</f>
        <v/>
      </c>
      <c r="TB21" s="151" t="str">
        <f>IF(TA21="","",TA21*5)</f>
        <v/>
      </c>
      <c r="TC21" s="150"/>
      <c r="TD21" s="150"/>
      <c r="TE21" s="150"/>
      <c r="TF21" s="148" t="str">
        <f>IF(COUNT(TF18,TF14,TF12,TF7,TF4)=0,"",SUM($B$4*IF(COUNT(TF4)=0,0,TF4),$B$7*IF(COUNT(TF7)=0,0,TF7),$B$12*IF(COUNT(TF12)=0,0,TF12),$B$14*IF(COUNT(TF14)=0,0,TF14),$B$18*IF(COUNT(TF18)=0,0,TF18))/SUM($B$4*COUNT(TF4),$B$7*COUNT(TF7),$B$12*COUNT(TF12),$B$14*COUNT(TF14),$B$18*COUNT(TF18)))</f>
        <v/>
      </c>
      <c r="TG21" s="152" t="str">
        <f>IF(TF21="","",TF21*5)</f>
        <v/>
      </c>
      <c r="TH21" s="153"/>
      <c r="TI21" s="153"/>
      <c r="TJ21" s="147"/>
      <c r="TK21" s="147"/>
      <c r="TL21" s="147"/>
      <c r="TM21" s="148" t="str">
        <f>IF(COUNT(TM18,TM14,TM12,TM7,TM4)=0,"",SUM($B$4*IF(COUNT(TM4)=0,0,TM4),$B$7*IF(COUNT(TM7)=0,0,TM7),$B$12*IF(COUNT(TM12)=0,0,TM12),$B$14*IF(COUNT(TM14)=0,0,TM14),$B$18*IF(COUNT(TM18)=0,0,TM18))/SUM($B$4*COUNT(TM4),$B$7*COUNT(TM7),$B$12*COUNT(TM12),$B$14*COUNT(TM14),$B$18*COUNT(TM18)))</f>
        <v/>
      </c>
      <c r="TN21" s="149" t="str">
        <f>IF(TM21="","",TM21*5)</f>
        <v/>
      </c>
      <c r="TO21" s="150"/>
      <c r="TP21" s="150"/>
      <c r="TQ21" s="150"/>
      <c r="TR21" s="148" t="str">
        <f>IF(COUNT(TR18,TR14,TR12,TR7,TR4)=0,"",SUM($B$4*IF(COUNT(TR4)=0,0,TR4),$B$7*IF(COUNT(TR7)=0,0,TR7),$B$12*IF(COUNT(TR12)=0,0,TR12),$B$14*IF(COUNT(TR14)=0,0,TR14),$B$18*IF(COUNT(TR18)=0,0,TR18))/SUM($B$4*COUNT(TR4),$B$7*COUNT(TR7),$B$12*COUNT(TR12),$B$14*COUNT(TR14),$B$18*COUNT(TR18)))</f>
        <v/>
      </c>
      <c r="TS21" s="151" t="str">
        <f>IF(TR21="","",TR21*5)</f>
        <v/>
      </c>
      <c r="TT21" s="150"/>
      <c r="TU21" s="150"/>
      <c r="TV21" s="150"/>
      <c r="TW21" s="148" t="str">
        <f>IF(COUNT(TW18,TW14,TW12,TW7,TW4)=0,"",SUM($B$4*IF(COUNT(TW4)=0,0,TW4),$B$7*IF(COUNT(TW7)=0,0,TW7),$B$12*IF(COUNT(TW12)=0,0,TW12),$B$14*IF(COUNT(TW14)=0,0,TW14),$B$18*IF(COUNT(TW18)=0,0,TW18))/SUM($B$4*COUNT(TW4),$B$7*COUNT(TW7),$B$12*COUNT(TW12),$B$14*COUNT(TW14),$B$18*COUNT(TW18)))</f>
        <v/>
      </c>
      <c r="TX21" s="152" t="str">
        <f>IF(TW21="","",TW21*5)</f>
        <v/>
      </c>
      <c r="TY21" s="153"/>
      <c r="TZ21" s="153"/>
    </row>
    <row r="22" spans="1:546" s="154" customFormat="1" ht="18" x14ac:dyDescent="0.35">
      <c r="A22" s="167"/>
      <c r="B22" s="167"/>
      <c r="F22" s="167"/>
      <c r="G22" s="167"/>
      <c r="K22" s="167"/>
      <c r="L22" s="167"/>
      <c r="P22" s="167"/>
      <c r="Q22" s="167"/>
      <c r="R22" s="195"/>
      <c r="S22" s="195"/>
      <c r="W22" s="167"/>
      <c r="X22" s="167"/>
      <c r="AB22" s="167"/>
      <c r="AC22" s="167"/>
      <c r="AG22" s="167"/>
      <c r="AH22" s="167"/>
      <c r="AI22" s="195"/>
      <c r="AJ22" s="195"/>
      <c r="AZ22" s="155"/>
      <c r="BA22" s="155"/>
      <c r="BQ22" s="155"/>
      <c r="BR22" s="155"/>
      <c r="CH22" s="155"/>
      <c r="CI22" s="155"/>
      <c r="CY22" s="155"/>
      <c r="CZ22" s="155"/>
      <c r="DP22" s="155"/>
      <c r="DQ22" s="155"/>
      <c r="EG22" s="155"/>
      <c r="EH22" s="155"/>
      <c r="EX22" s="155"/>
      <c r="EY22" s="155"/>
      <c r="FO22" s="155"/>
      <c r="FP22" s="155"/>
      <c r="GF22" s="155"/>
      <c r="GG22" s="155"/>
      <c r="GW22" s="155"/>
      <c r="GX22" s="155"/>
      <c r="HN22" s="155"/>
      <c r="HO22" s="155"/>
      <c r="IE22" s="155"/>
      <c r="IF22" s="155"/>
      <c r="IV22" s="155"/>
      <c r="IW22" s="155"/>
      <c r="JM22" s="155"/>
      <c r="JN22" s="155"/>
      <c r="KD22" s="155"/>
      <c r="KE22" s="155"/>
      <c r="KU22" s="155"/>
      <c r="KV22" s="155"/>
      <c r="LL22" s="155"/>
      <c r="LM22" s="155"/>
      <c r="MC22" s="155"/>
      <c r="MD22" s="155"/>
      <c r="MT22" s="155"/>
      <c r="MU22" s="155"/>
      <c r="NK22" s="155"/>
      <c r="NL22" s="155"/>
      <c r="OB22" s="155"/>
      <c r="OC22" s="155"/>
      <c r="OS22" s="155"/>
      <c r="OT22" s="155"/>
      <c r="PJ22" s="155"/>
      <c r="PK22" s="155"/>
      <c r="QA22" s="155"/>
      <c r="QB22" s="155"/>
      <c r="QR22" s="155"/>
      <c r="QS22" s="155"/>
      <c r="RI22" s="155"/>
      <c r="RJ22" s="155"/>
      <c r="RZ22" s="155"/>
      <c r="SA22" s="155"/>
      <c r="SQ22" s="155"/>
      <c r="SR22" s="155"/>
      <c r="TH22" s="155"/>
      <c r="TI22" s="155"/>
    </row>
    <row r="33" ht="18" x14ac:dyDescent="0.25"/>
  </sheetData>
  <sheetProtection insertColumns="0" deleteColumns="0" selectLockedCells="1"/>
  <dataConsolidate/>
  <mergeCells count="394">
    <mergeCell ref="TT18:TV18"/>
    <mergeCell ref="A19:B19"/>
    <mergeCell ref="A21:B21"/>
    <mergeCell ref="SL18:SN18"/>
    <mergeCell ref="SS18:SU18"/>
    <mergeCell ref="SX18:SZ18"/>
    <mergeCell ref="TC18:TE18"/>
    <mergeCell ref="TJ18:TL18"/>
    <mergeCell ref="TO18:TQ18"/>
    <mergeCell ref="RD18:RF18"/>
    <mergeCell ref="RK18:RM18"/>
    <mergeCell ref="RP18:RR18"/>
    <mergeCell ref="RU18:RW18"/>
    <mergeCell ref="SB18:SD18"/>
    <mergeCell ref="SG18:SI18"/>
    <mergeCell ref="PV18:PX18"/>
    <mergeCell ref="QC18:QE18"/>
    <mergeCell ref="QH18:QJ18"/>
    <mergeCell ref="QM18:QO18"/>
    <mergeCell ref="QT18:QV18"/>
    <mergeCell ref="QY18:RA18"/>
    <mergeCell ref="ON18:OP18"/>
    <mergeCell ref="OU18:OW18"/>
    <mergeCell ref="OZ18:PB18"/>
    <mergeCell ref="PE18:PG18"/>
    <mergeCell ref="PL18:PN18"/>
    <mergeCell ref="PQ18:PS18"/>
    <mergeCell ref="NF18:NH18"/>
    <mergeCell ref="NM18:NO18"/>
    <mergeCell ref="NR18:NT18"/>
    <mergeCell ref="NW18:NY18"/>
    <mergeCell ref="OD18:OF18"/>
    <mergeCell ref="OI18:OK18"/>
    <mergeCell ref="LX18:LZ18"/>
    <mergeCell ref="ME18:MG18"/>
    <mergeCell ref="MJ18:ML18"/>
    <mergeCell ref="MO18:MQ18"/>
    <mergeCell ref="MV18:MX18"/>
    <mergeCell ref="NA18:NC18"/>
    <mergeCell ref="KP18:KR18"/>
    <mergeCell ref="KW18:KY18"/>
    <mergeCell ref="LB18:LD18"/>
    <mergeCell ref="LG18:LI18"/>
    <mergeCell ref="LN18:LP18"/>
    <mergeCell ref="LS18:LU18"/>
    <mergeCell ref="JH18:JJ18"/>
    <mergeCell ref="JO18:JQ18"/>
    <mergeCell ref="JT18:JV18"/>
    <mergeCell ref="JY18:KA18"/>
    <mergeCell ref="KF18:KH18"/>
    <mergeCell ref="KK18:KM18"/>
    <mergeCell ref="HZ18:IB18"/>
    <mergeCell ref="IG18:II18"/>
    <mergeCell ref="IL18:IN18"/>
    <mergeCell ref="IQ18:IS18"/>
    <mergeCell ref="IX18:IZ18"/>
    <mergeCell ref="JC18:JE18"/>
    <mergeCell ref="GR18:GT18"/>
    <mergeCell ref="GY18:HA18"/>
    <mergeCell ref="HD18:HF18"/>
    <mergeCell ref="HI18:HK18"/>
    <mergeCell ref="HP18:HR18"/>
    <mergeCell ref="HU18:HW18"/>
    <mergeCell ref="FJ18:FL18"/>
    <mergeCell ref="FQ18:FS18"/>
    <mergeCell ref="FV18:FX18"/>
    <mergeCell ref="GA18:GC18"/>
    <mergeCell ref="GH18:GJ18"/>
    <mergeCell ref="GM18:GO18"/>
    <mergeCell ref="EB18:ED18"/>
    <mergeCell ref="EI18:EK18"/>
    <mergeCell ref="EN18:EP18"/>
    <mergeCell ref="ES18:EU18"/>
    <mergeCell ref="EZ18:FB18"/>
    <mergeCell ref="FE18:FG18"/>
    <mergeCell ref="CT18:CV18"/>
    <mergeCell ref="DA18:DC18"/>
    <mergeCell ref="DF18:DH18"/>
    <mergeCell ref="DK18:DM18"/>
    <mergeCell ref="DR18:DT18"/>
    <mergeCell ref="DW18:DY18"/>
    <mergeCell ref="BL18:BN18"/>
    <mergeCell ref="BS18:BU18"/>
    <mergeCell ref="BX18:BZ18"/>
    <mergeCell ref="CC18:CE18"/>
    <mergeCell ref="CJ18:CL18"/>
    <mergeCell ref="CO18:CQ18"/>
    <mergeCell ref="AD18:AF18"/>
    <mergeCell ref="AK18:AM18"/>
    <mergeCell ref="AP18:AR18"/>
    <mergeCell ref="AU18:AW18"/>
    <mergeCell ref="BB18:BD18"/>
    <mergeCell ref="BG18:BI18"/>
    <mergeCell ref="A17:B17"/>
    <mergeCell ref="C18:E18"/>
    <mergeCell ref="H18:J18"/>
    <mergeCell ref="M18:O18"/>
    <mergeCell ref="T18:V18"/>
    <mergeCell ref="Y18:AA18"/>
    <mergeCell ref="TC14:TE14"/>
    <mergeCell ref="TJ14:TL14"/>
    <mergeCell ref="TO14:TQ14"/>
    <mergeCell ref="ON14:OP14"/>
    <mergeCell ref="OU14:OW14"/>
    <mergeCell ref="OZ14:PB14"/>
    <mergeCell ref="MO14:MQ14"/>
    <mergeCell ref="MV14:MX14"/>
    <mergeCell ref="NA14:NC14"/>
    <mergeCell ref="NF14:NH14"/>
    <mergeCell ref="NM14:NO14"/>
    <mergeCell ref="NR14:NT14"/>
    <mergeCell ref="LG14:LI14"/>
    <mergeCell ref="LN14:LP14"/>
    <mergeCell ref="LS14:LU14"/>
    <mergeCell ref="LX14:LZ14"/>
    <mergeCell ref="ME14:MG14"/>
    <mergeCell ref="MJ14:ML14"/>
    <mergeCell ref="TT14:TV14"/>
    <mergeCell ref="A15:B15"/>
    <mergeCell ref="RU14:RW14"/>
    <mergeCell ref="SB14:SD14"/>
    <mergeCell ref="SG14:SI14"/>
    <mergeCell ref="SL14:SN14"/>
    <mergeCell ref="SS14:SU14"/>
    <mergeCell ref="SX14:SZ14"/>
    <mergeCell ref="QM14:QO14"/>
    <mergeCell ref="QT14:QV14"/>
    <mergeCell ref="QY14:RA14"/>
    <mergeCell ref="RD14:RF14"/>
    <mergeCell ref="RK14:RM14"/>
    <mergeCell ref="RP14:RR14"/>
    <mergeCell ref="PE14:PG14"/>
    <mergeCell ref="PL14:PN14"/>
    <mergeCell ref="PQ14:PS14"/>
    <mergeCell ref="PV14:PX14"/>
    <mergeCell ref="QC14:QE14"/>
    <mergeCell ref="QH14:QJ14"/>
    <mergeCell ref="NW14:NY14"/>
    <mergeCell ref="OD14:OF14"/>
    <mergeCell ref="OI14:OK14"/>
    <mergeCell ref="JY14:KA14"/>
    <mergeCell ref="KF14:KH14"/>
    <mergeCell ref="KK14:KM14"/>
    <mergeCell ref="KP14:KR14"/>
    <mergeCell ref="KW14:KY14"/>
    <mergeCell ref="LB14:LD14"/>
    <mergeCell ref="IQ14:IS14"/>
    <mergeCell ref="IX14:IZ14"/>
    <mergeCell ref="JC14:JE14"/>
    <mergeCell ref="JH14:JJ14"/>
    <mergeCell ref="JO14:JQ14"/>
    <mergeCell ref="JT14:JV14"/>
    <mergeCell ref="HI14:HK14"/>
    <mergeCell ref="HP14:HR14"/>
    <mergeCell ref="HU14:HW14"/>
    <mergeCell ref="HZ14:IB14"/>
    <mergeCell ref="IG14:II14"/>
    <mergeCell ref="IL14:IN14"/>
    <mergeCell ref="GA14:GC14"/>
    <mergeCell ref="GH14:GJ14"/>
    <mergeCell ref="GM14:GO14"/>
    <mergeCell ref="GR14:GT14"/>
    <mergeCell ref="GY14:HA14"/>
    <mergeCell ref="HD14:HF14"/>
    <mergeCell ref="ES14:EU14"/>
    <mergeCell ref="EZ14:FB14"/>
    <mergeCell ref="FE14:FG14"/>
    <mergeCell ref="FJ14:FL14"/>
    <mergeCell ref="FQ14:FS14"/>
    <mergeCell ref="FV14:FX14"/>
    <mergeCell ref="DK14:DM14"/>
    <mergeCell ref="DR14:DT14"/>
    <mergeCell ref="DW14:DY14"/>
    <mergeCell ref="EB14:ED14"/>
    <mergeCell ref="EI14:EK14"/>
    <mergeCell ref="EN14:EP14"/>
    <mergeCell ref="CC14:CE14"/>
    <mergeCell ref="CJ14:CL14"/>
    <mergeCell ref="CO14:CQ14"/>
    <mergeCell ref="CT14:CV14"/>
    <mergeCell ref="DA14:DC14"/>
    <mergeCell ref="DF14:DH14"/>
    <mergeCell ref="AU14:AW14"/>
    <mergeCell ref="BB14:BD14"/>
    <mergeCell ref="BG14:BI14"/>
    <mergeCell ref="BL14:BN14"/>
    <mergeCell ref="BS14:BU14"/>
    <mergeCell ref="BX14:BZ14"/>
    <mergeCell ref="TT12:TV12"/>
    <mergeCell ref="C14:E14"/>
    <mergeCell ref="H14:J14"/>
    <mergeCell ref="M14:O14"/>
    <mergeCell ref="T14:V14"/>
    <mergeCell ref="Y14:AA14"/>
    <mergeCell ref="AD14:AF14"/>
    <mergeCell ref="AK14:AM14"/>
    <mergeCell ref="AP14:AR14"/>
    <mergeCell ref="SL12:SN12"/>
    <mergeCell ref="SS12:SU12"/>
    <mergeCell ref="SX12:SZ12"/>
    <mergeCell ref="TC12:TE12"/>
    <mergeCell ref="TJ12:TL12"/>
    <mergeCell ref="TO12:TQ12"/>
    <mergeCell ref="RD12:RF12"/>
    <mergeCell ref="RK12:RM12"/>
    <mergeCell ref="RP12:RR12"/>
    <mergeCell ref="RU12:RW12"/>
    <mergeCell ref="SB12:SD12"/>
    <mergeCell ref="SG12:SI12"/>
    <mergeCell ref="PV12:PX12"/>
    <mergeCell ref="QC12:QE12"/>
    <mergeCell ref="QH12:QJ12"/>
    <mergeCell ref="QM12:QO12"/>
    <mergeCell ref="QT12:QV12"/>
    <mergeCell ref="QY12:RA12"/>
    <mergeCell ref="ON12:OP12"/>
    <mergeCell ref="OU12:OW12"/>
    <mergeCell ref="OZ12:PB12"/>
    <mergeCell ref="PE12:PG12"/>
    <mergeCell ref="PL12:PN12"/>
    <mergeCell ref="PQ12:PS12"/>
    <mergeCell ref="NF12:NH12"/>
    <mergeCell ref="NM12:NO12"/>
    <mergeCell ref="NR12:NT12"/>
    <mergeCell ref="NW12:NY12"/>
    <mergeCell ref="OD12:OF12"/>
    <mergeCell ref="OI12:OK12"/>
    <mergeCell ref="LX12:LZ12"/>
    <mergeCell ref="ME12:MG12"/>
    <mergeCell ref="MJ12:ML12"/>
    <mergeCell ref="MO12:MQ12"/>
    <mergeCell ref="MV12:MX12"/>
    <mergeCell ref="NA12:NC12"/>
    <mergeCell ref="KP12:KR12"/>
    <mergeCell ref="KW12:KY12"/>
    <mergeCell ref="LB12:LD12"/>
    <mergeCell ref="LG12:LI12"/>
    <mergeCell ref="LN12:LP12"/>
    <mergeCell ref="LS12:LU12"/>
    <mergeCell ref="JH12:JJ12"/>
    <mergeCell ref="JO12:JQ12"/>
    <mergeCell ref="JT12:JV12"/>
    <mergeCell ref="JY12:KA12"/>
    <mergeCell ref="KF12:KH12"/>
    <mergeCell ref="KK12:KM12"/>
    <mergeCell ref="HZ12:IB12"/>
    <mergeCell ref="IG12:II12"/>
    <mergeCell ref="IL12:IN12"/>
    <mergeCell ref="IQ12:IS12"/>
    <mergeCell ref="IX12:IZ12"/>
    <mergeCell ref="JC12:JE12"/>
    <mergeCell ref="GR12:GT12"/>
    <mergeCell ref="GY12:HA12"/>
    <mergeCell ref="HD12:HF12"/>
    <mergeCell ref="HI12:HK12"/>
    <mergeCell ref="HP12:HR12"/>
    <mergeCell ref="HU12:HW12"/>
    <mergeCell ref="FJ12:FL12"/>
    <mergeCell ref="FQ12:FS12"/>
    <mergeCell ref="FV12:FX12"/>
    <mergeCell ref="GA12:GC12"/>
    <mergeCell ref="GH12:GJ12"/>
    <mergeCell ref="GM12:GO12"/>
    <mergeCell ref="EB12:ED12"/>
    <mergeCell ref="EI12:EK12"/>
    <mergeCell ref="EN12:EP12"/>
    <mergeCell ref="ES12:EU12"/>
    <mergeCell ref="EZ12:FB12"/>
    <mergeCell ref="FE12:FG12"/>
    <mergeCell ref="CT12:CV12"/>
    <mergeCell ref="DA12:DC12"/>
    <mergeCell ref="DF12:DH12"/>
    <mergeCell ref="DK12:DM12"/>
    <mergeCell ref="DR12:DT12"/>
    <mergeCell ref="DW12:DY12"/>
    <mergeCell ref="BL12:BN12"/>
    <mergeCell ref="BS12:BU12"/>
    <mergeCell ref="BX12:BZ12"/>
    <mergeCell ref="CC12:CE12"/>
    <mergeCell ref="CJ12:CL12"/>
    <mergeCell ref="CO12:CQ12"/>
    <mergeCell ref="AD12:AF12"/>
    <mergeCell ref="AK12:AM12"/>
    <mergeCell ref="AP12:AR12"/>
    <mergeCell ref="AU12:AW12"/>
    <mergeCell ref="BB12:BD12"/>
    <mergeCell ref="BG12:BI12"/>
    <mergeCell ref="TT7:TV7"/>
    <mergeCell ref="A8:B8"/>
    <mergeCell ref="A9:B9"/>
    <mergeCell ref="A11:B11"/>
    <mergeCell ref="C12:E12"/>
    <mergeCell ref="H12:J12"/>
    <mergeCell ref="M12:O12"/>
    <mergeCell ref="T12:V12"/>
    <mergeCell ref="Y12:AA12"/>
    <mergeCell ref="SL7:SN7"/>
    <mergeCell ref="SS7:SU7"/>
    <mergeCell ref="SX7:SZ7"/>
    <mergeCell ref="TC7:TE7"/>
    <mergeCell ref="TJ7:TL7"/>
    <mergeCell ref="TO7:TQ7"/>
    <mergeCell ref="RD7:RF7"/>
    <mergeCell ref="RK7:RM7"/>
    <mergeCell ref="RP7:RR7"/>
    <mergeCell ref="RU7:RW7"/>
    <mergeCell ref="SB7:SD7"/>
    <mergeCell ref="SG7:SI7"/>
    <mergeCell ref="PV7:PX7"/>
    <mergeCell ref="QC7:QE7"/>
    <mergeCell ref="QH7:QJ7"/>
    <mergeCell ref="QM7:QO7"/>
    <mergeCell ref="QT7:QV7"/>
    <mergeCell ref="QY7:RA7"/>
    <mergeCell ref="ON7:OP7"/>
    <mergeCell ref="OU7:OW7"/>
    <mergeCell ref="OZ7:PB7"/>
    <mergeCell ref="PE7:PG7"/>
    <mergeCell ref="PL7:PN7"/>
    <mergeCell ref="PQ7:PS7"/>
    <mergeCell ref="NF7:NH7"/>
    <mergeCell ref="NM7:NO7"/>
    <mergeCell ref="NR7:NT7"/>
    <mergeCell ref="NW7:NY7"/>
    <mergeCell ref="OD7:OF7"/>
    <mergeCell ref="OI7:OK7"/>
    <mergeCell ref="LX7:LZ7"/>
    <mergeCell ref="ME7:MG7"/>
    <mergeCell ref="MJ7:ML7"/>
    <mergeCell ref="MO7:MQ7"/>
    <mergeCell ref="MV7:MX7"/>
    <mergeCell ref="NA7:NC7"/>
    <mergeCell ref="KP7:KR7"/>
    <mergeCell ref="KW7:KY7"/>
    <mergeCell ref="LB7:LD7"/>
    <mergeCell ref="LG7:LI7"/>
    <mergeCell ref="LN7:LP7"/>
    <mergeCell ref="LS7:LU7"/>
    <mergeCell ref="JH7:JJ7"/>
    <mergeCell ref="JO7:JQ7"/>
    <mergeCell ref="JT7:JV7"/>
    <mergeCell ref="JY7:KA7"/>
    <mergeCell ref="KF7:KH7"/>
    <mergeCell ref="KK7:KM7"/>
    <mergeCell ref="HZ7:IB7"/>
    <mergeCell ref="IG7:II7"/>
    <mergeCell ref="IL7:IN7"/>
    <mergeCell ref="IQ7:IS7"/>
    <mergeCell ref="IX7:IZ7"/>
    <mergeCell ref="JC7:JE7"/>
    <mergeCell ref="GR7:GT7"/>
    <mergeCell ref="GY7:HA7"/>
    <mergeCell ref="HD7:HF7"/>
    <mergeCell ref="HI7:HK7"/>
    <mergeCell ref="HP7:HR7"/>
    <mergeCell ref="HU7:HW7"/>
    <mergeCell ref="FJ7:FL7"/>
    <mergeCell ref="FQ7:FS7"/>
    <mergeCell ref="FV7:FX7"/>
    <mergeCell ref="GA7:GC7"/>
    <mergeCell ref="GH7:GJ7"/>
    <mergeCell ref="GM7:GO7"/>
    <mergeCell ref="EB7:ED7"/>
    <mergeCell ref="EI7:EK7"/>
    <mergeCell ref="EN7:EP7"/>
    <mergeCell ref="ES7:EU7"/>
    <mergeCell ref="EZ7:FB7"/>
    <mergeCell ref="FE7:FG7"/>
    <mergeCell ref="CT7:CV7"/>
    <mergeCell ref="DA7:DC7"/>
    <mergeCell ref="DF7:DH7"/>
    <mergeCell ref="DK7:DM7"/>
    <mergeCell ref="DR7:DT7"/>
    <mergeCell ref="DW7:DY7"/>
    <mergeCell ref="BS7:BU7"/>
    <mergeCell ref="BX7:BZ7"/>
    <mergeCell ref="CC7:CE7"/>
    <mergeCell ref="CJ7:CL7"/>
    <mergeCell ref="CO7:CQ7"/>
    <mergeCell ref="AD7:AF7"/>
    <mergeCell ref="AK7:AM7"/>
    <mergeCell ref="AP7:AR7"/>
    <mergeCell ref="AU7:AW7"/>
    <mergeCell ref="BB7:BD7"/>
    <mergeCell ref="BG7:BI7"/>
    <mergeCell ref="A5:B5"/>
    <mergeCell ref="A6:B6"/>
    <mergeCell ref="C7:E7"/>
    <mergeCell ref="H7:J7"/>
    <mergeCell ref="M7:O7"/>
    <mergeCell ref="T7:V7"/>
    <mergeCell ref="Y7:AA7"/>
    <mergeCell ref="A1:B1"/>
    <mergeCell ref="BL7:BN7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H5:J6 M5:O6 H8:J11 M8:O11 H13:J13 M13:O13 H15:J17 M15:O17 H20:J20 M20:O20 JT5:JV6 JY5:KA6 JT8:JV11 JY8:KA11 JT13:JV13 JY13:KA13 JT15:JV17 JY15:KA17 JT20:JV20 JY20:KA20 JO8:JQ11 JO13:JQ13 JO15:JQ17 JO20:JQ20 JO5:JQ6 LB5:LD6 LG5:LI6 LB8:LD11 LG8:LI11 LB13:LD13 LG13:LI13 LB15:LD17 LG15:LI17 LB20:LD20 LG20:LI20 KW8:KY11 KW13:KY13 KW15:KY17 KW20:KY20 KW5:KY6 KK5:KM6 KP5:KR6 KK8:KM11 KP8:KR11 KK13:KM13 KP13:KR13 KK15:KM17 KP15:KR17 KK20:KM20 KP20:KR20 KF8:KH11 KF13:KH13 KF15:KH17 KF20:KH20 KF5:KH6 MJ5:ML6 MO5:MQ6 MJ8:ML11 MO8:MQ11 MJ13:ML13 MO13:MQ13 MJ15:ML17 MO15:MQ17 MJ20:ML20 MO20:MQ20 ME8:MG11 ME13:MG13 ME15:MG17 ME20:MG20 ME5:MG6 OI5:OK6 ON5:OP6 OI8:OK11 ON8:OP11 OI13:OK13 ON13:OP13 OI15:OK17 ON15:OP17 OI20:OK20 ON20:OP20 OD8:OF11 OD13:OF13 OD15:OF17 OD20:OF20 OD5:OF6 SG5:SI6 SL5:SN6 SG8:SI11 SL8:SN11 SG13:SI13 SL13:SN13 SG15:SI17 SL15:SN17 SG20:SI20 SL20:SN20 SB8:SD11 SB13:SD13 SB15:SD17 SB20:SD20 SB5:SD6 C8:E11 C13:E13 C15:E17 C20:E20 C5:E6 OZ5:PB6 PE5:PG6 OZ8:PB11 PE8:PG11 OZ13:PB13 PE13:PG13 OZ15:PB17 PE15:PG17 OZ20:PB20 PE20:PG20 OU8:OW11 OU13:OW13 OU15:OW17 OU20:OW20 OU5:OW6 PQ5:PS6 PV5:PX6 PQ8:PS11 PV8:PX11 PQ13:PS13 PV13:PX13 PQ15:PS17 PV15:PX17 PQ20:PS20 PV20:PX20 PL8:PN11 PL13:PN13 PL15:PN17 PL20:PN20 PL5:PN6 QY5:RA6 RD5:RF6 QY8:RA11 RD8:RF11 QY13:RA13 RD13:RF13 QY15:RA17 RD15:RF17 QY20:RA20 RD20:RF20 QT8:QV11 QT13:QV13 QT15:QV17 QT20:QV20 QT5:QV6 RP5:RR6 RU5:RW6 RP8:RR11 RU8:RW11 RP13:RR13 RU13:RW13 RP15:RR17 RU15:RW17 RP20:RR20 RU20:RW20 RK8:RM11 RK13:RM13 RK15:RM17 RK20:RM20 RK5:RM6 Y5:AA6 AD5:AF6 Y8:AA11 AD8:AF11 Y13:AA13 AD13:AF13 Y15:AA17 AD15:AF17 Y20:AA20 AD20:AF20 T8:V11 T13:V13 T15:V17 T20:V20 T5:V6 LS5:LU6 LX5:LZ6 LS8:LU11 LX8:LZ11 LS13:LU13 LX13:LZ13 LS15:LU17 LX15:LZ17 LS20:LU20 LX20:LZ20 LN8:LP11 LN13:LP13 LN15:LP17 LN20:LP20 LN5:LP6 QH5:QJ6 QM5:QO6 QH8:QJ11 QM8:QO11 QH13:QJ13 QM13:QO13 QH15:QJ17 QM15:QO17 QH20:QJ20 QM20:QO20 QC8:QE11 QC13:QE13 QC15:QE17 QC20:QE20 QC5:QE6 SX5:SZ6 TC5:TE6 SX8:SZ11 TC8:TE11 SX13:SZ13 TC13:TE13 SX15:SZ17 TC15:TE17 SX20:SZ20 TC20:TE20 SS8:SU11 SS13:SU13 SS15:SU17 SS20:SU20 SS5:SU6 AP5:AR6 AU5:AW6 AP8:AR11 AU8:AW11 AP13:AR13 AU13:AW13 AP15:AR17 AU15:AW17 AP20:AR20 AU20:AW20 AK8:AM11 AK13:AM13 AK15:AM17 AK20:AM20 AK5:AM6 BG5:BI6 BL5:BN6 BG8:BI11 BL8:BN11 BG13:BI13 BL13:BN13 BG15:BI17 BL15:BN17 BG20:BI20 BL20:BN20 BB8:BD11 BB13:BD13 BB15:BD17 BB20:BD20 BB5:BD6 BX5:BZ6 CC5:CE6 BX8:BZ11 CC8:CE11 BX13:BZ13 CC13:CE13 BX15:BZ17 CC15:CE17 BX20:BZ20 CC20:CE20 BS8:BU11 BS13:BU13 BS15:BU17 BS20:BU20 BS5:BU6 CO5:CQ6 CT5:CV6 CO8:CQ11 CT8:CV11 CO13:CQ13 CT13:CV13 CO15:CQ17 CT15:CV17 CO20:CQ20 CT20:CV20 CJ8:CL11 CJ13:CL13 CJ15:CL17 CJ20:CL20 CJ5:CL6 DF5:DH6 DK5:DM6 DF8:DH11 DK8:DM11 DF13:DH13 DK13:DM13 DF15:DH17 DK15:DM17 DF20:DH20 DK20:DM20 DA8:DC11 DA13:DC13 DA15:DC17 DA20:DC20 DA5:DC6 DW5:DY6 EB5:ED6 DW8:DY11 EB8:ED11 DW13:DY13 EB13:ED13 DW15:DY17 EB15:ED17 DW20:DY20 EB20:ED20 DR8:DT11 DR13:DT13 DR15:DT17 DR20:DT20 DR5:DT6 EN5:EP6 ES5:EU6 EN8:EP11 ES8:EU11 EN13:EP13 ES13:EU13 EN15:EP17 ES15:EU17 EN20:EP20 ES20:EU20 EI8:EK11 EI13:EK13 EI15:EK17 EI20:EK20 EI5:EK6 FE5:FG6 FJ5:FL6 FE8:FG11 FJ8:FL11 FE13:FG13 FJ13:FL13 FE15:FG17 FJ15:FL17 FE20:FG20 FJ20:FL20 EZ8:FB11 EZ13:FB13 EZ15:FB17 EZ20:FB20 EZ5:FB6 FV5:FX6 GA5:GC6 FV8:FX11 GA8:GC11 FV13:FX13 GA13:GC13 FV15:FX17 GA15:GC17 FV20:FX20 GA20:GC20 FQ8:FS11 FQ13:FS13 FQ15:FS17 FQ20:FS20 FQ5:FS6 GM5:GO6 GR5:GT6 GM8:GO11 GR8:GT11 GM13:GO13 GR13:GT13 GM15:GO17 GR15:GT17 GM20:GO20 GR20:GT20 GH8:GJ11 GH13:GJ13 GH15:GJ17 GH20:GJ20 GH5:GJ6 HD5:HF6 HI5:HK6 HD8:HF11 HI8:HK11 HD13:HF13 HI13:HK13 HD15:HF17 HI15:HK17 HD20:HF20 HI20:HK20 GY8:HA11 GY13:HA13 GY15:HA17 GY20:HA20 GY5:HA6 HU5:HW6 HZ5:IB6 HU8:HW11 HZ8:IB11 HU13:HW13 HZ13:IB13 HU15:HW17 HZ15:IB17 HU20:HW20 HZ20:IB20 HP8:HR11 HP13:HR13 HP15:HR17 HP20:HR20 HP5:HR6 IL5:IN6 IQ5:IS6 IL8:IN11 IQ8:IS11 IL13:IN13 IQ13:IS13 IL15:IN17 IQ15:IS17 IL20:IN20 IQ20:IS20 IG8:II11 IG13:II13 IG15:II17 IG20:II20 IG5:II6 JC5:JE6 JH5:JJ6 JC8:JE11 JH8:JJ11 JC13:JE13 JH13:JJ13 JC15:JE17 JH15:JJ17 JC20:JE20 JH20:JJ20 IX8:IZ11 IX13:IZ13 IX15:IZ17 IX20:IZ20 IX5:IZ6 NA5:NC6 NF5:NH6 NA8:NC11 NF8:NH11 NA13:NC13 NF13:NH13 NA15:NC17 NF15:NH17 NA20:NC20 NF20:NH20 MV8:MX11 MV13:MX13 MV15:MX17 MV20:MX20 MV5:MX6 NR5:NT6 NW5:NY6 NR8:NT11 NW8:NY11 NR13:NT13 NW13:NY13 NR15:NT17 NW15:NY17 NR20:NT20 NW20:NY20 NM8:NO11 NM13:NO13 NM15:NO17 NM20:NO20 NM5:NO6 TO5:TQ6 TT5:TV6 TO8:TQ11 TT8:TV11 TO13:TQ13 TT13:TV13 TO15:TQ17 TT15:TV17 TO20:TQ20 TT20:TV20 TJ8:TL11 TJ13:TL13 TJ15:TL17 TJ20:TL20 TJ5:TL6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A30"/>
  <sheetViews>
    <sheetView zoomScale="90" zoomScaleNormal="90" workbookViewId="0"/>
  </sheetViews>
  <sheetFormatPr baseColWidth="10" defaultRowHeight="15" x14ac:dyDescent="0.25"/>
  <cols>
    <col min="1" max="1" width="30.7109375" style="11" customWidth="1"/>
    <col min="2" max="25" width="6.7109375" style="11" customWidth="1"/>
    <col min="26" max="26" width="6" style="11" customWidth="1"/>
    <col min="27" max="27" width="23.85546875" style="11" customWidth="1"/>
    <col min="28" max="16384" width="11.42578125" style="11"/>
  </cols>
  <sheetData>
    <row r="1" spans="1:27" ht="31.5" customHeight="1" thickBot="1" x14ac:dyDescent="0.3">
      <c r="A1" s="60" t="s">
        <v>202</v>
      </c>
      <c r="B1" s="228" t="s">
        <v>0</v>
      </c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9"/>
      <c r="AA1" s="47" t="s">
        <v>42</v>
      </c>
    </row>
    <row r="2" spans="1:27" ht="24.95" customHeight="1" thickTop="1" x14ac:dyDescent="0.25">
      <c r="A2" s="230" t="s">
        <v>1</v>
      </c>
      <c r="B2" s="232" t="s">
        <v>2</v>
      </c>
      <c r="C2" s="232"/>
      <c r="D2" s="232"/>
      <c r="E2" s="233"/>
      <c r="F2" s="234" t="s">
        <v>3</v>
      </c>
      <c r="G2" s="235"/>
      <c r="H2" s="235"/>
      <c r="I2" s="236"/>
      <c r="J2" s="234" t="s">
        <v>4</v>
      </c>
      <c r="K2" s="235"/>
      <c r="L2" s="235"/>
      <c r="M2" s="236"/>
      <c r="N2" s="234" t="s">
        <v>5</v>
      </c>
      <c r="O2" s="235"/>
      <c r="P2" s="235"/>
      <c r="Q2" s="236"/>
      <c r="R2" s="234" t="s">
        <v>6</v>
      </c>
      <c r="S2" s="235"/>
      <c r="T2" s="235"/>
      <c r="U2" s="236"/>
      <c r="V2" s="237" t="s">
        <v>34</v>
      </c>
      <c r="W2" s="238"/>
      <c r="X2" s="239"/>
      <c r="Y2" s="35" t="s">
        <v>32</v>
      </c>
      <c r="AA2" s="61" t="s">
        <v>197</v>
      </c>
    </row>
    <row r="3" spans="1:27" ht="24.95" customHeight="1" thickBot="1" x14ac:dyDescent="0.3">
      <c r="A3" s="231"/>
      <c r="B3" s="23" t="s">
        <v>27</v>
      </c>
      <c r="C3" s="24" t="s">
        <v>28</v>
      </c>
      <c r="D3" s="23" t="s">
        <v>29</v>
      </c>
      <c r="E3" s="25" t="s">
        <v>10</v>
      </c>
      <c r="F3" s="26" t="s">
        <v>27</v>
      </c>
      <c r="G3" s="27" t="s">
        <v>28</v>
      </c>
      <c r="H3" s="28" t="s">
        <v>29</v>
      </c>
      <c r="I3" s="29" t="s">
        <v>10</v>
      </c>
      <c r="J3" s="30" t="s">
        <v>27</v>
      </c>
      <c r="K3" s="31" t="s">
        <v>28</v>
      </c>
      <c r="L3" s="28" t="s">
        <v>29</v>
      </c>
      <c r="M3" s="29" t="s">
        <v>10</v>
      </c>
      <c r="N3" s="26" t="s">
        <v>27</v>
      </c>
      <c r="O3" s="32" t="s">
        <v>28</v>
      </c>
      <c r="P3" s="28" t="s">
        <v>29</v>
      </c>
      <c r="Q3" s="29" t="s">
        <v>10</v>
      </c>
      <c r="R3" s="26" t="s">
        <v>27</v>
      </c>
      <c r="S3" s="32" t="s">
        <v>28</v>
      </c>
      <c r="T3" s="28" t="s">
        <v>29</v>
      </c>
      <c r="U3" s="29" t="s">
        <v>10</v>
      </c>
      <c r="V3" s="33" t="s">
        <v>27</v>
      </c>
      <c r="W3" s="34" t="s">
        <v>28</v>
      </c>
      <c r="X3" s="34" t="s">
        <v>29</v>
      </c>
      <c r="Y3" s="36" t="s">
        <v>33</v>
      </c>
      <c r="Z3" s="48"/>
      <c r="AA3" s="62" t="s">
        <v>46</v>
      </c>
    </row>
    <row r="4" spans="1:27" ht="15.75" customHeight="1" thickTop="1" x14ac:dyDescent="0.25">
      <c r="A4" s="59" t="str">
        <f ca="1">CELL("contenu",INDIRECT(ADDRESS(ROW()-2,7,1,,CELL("contenu",$AA$3))))</f>
        <v>ANTIGNY Arthur</v>
      </c>
      <c r="B4" s="2" t="str">
        <f ca="1">CELL("contenu",INDIRECT(ADDRESS(ref!$K$3,ref!E3,1,,CELL("contenu",$AA$2))))</f>
        <v>C</v>
      </c>
      <c r="C4" s="3" t="str">
        <f ca="1">CELL("contenu",INDIRECT(ADDRESS(ref!$K$3,ref!F3,1,,CELL("contenu",$AA$2))))</f>
        <v>A</v>
      </c>
      <c r="D4" s="4" t="str">
        <f ca="1">CELL("contenu",INDIRECT(ADDRESS(ref!$K$3,ref!G3,1,,CELL("contenu",$AA$2))))</f>
        <v>A</v>
      </c>
      <c r="E4" s="5" t="str">
        <f ca="1">CELL("contenu",INDIRECT(ADDRESS(ref!$K$3,ref!H3,1,,CELL("contenu",$AA$2))))</f>
        <v>B</v>
      </c>
      <c r="F4" s="6" t="str">
        <f ca="1">CELL("contenu",INDIRECT(ADDRESS(ref!$K$4,ref!E3,1,,CELL("contenu",$AA$2))))</f>
        <v>B</v>
      </c>
      <c r="G4" s="3" t="str">
        <f ca="1">CELL("contenu",INDIRECT(ADDRESS(ref!$K$4,ref!F3,1,,CELL("contenu",$AA$2))))</f>
        <v/>
      </c>
      <c r="H4" s="4" t="str">
        <f ca="1">CELL("contenu",INDIRECT(ADDRESS(ref!$K$4,ref!G3,1,,CELL("contenu",$AA$2))))</f>
        <v>A</v>
      </c>
      <c r="I4" s="5" t="str">
        <f ca="1">CELL("contenu",INDIRECT(ADDRESS(ref!$K$4,ref!H3,1,,CELL("contenu",$AA$2))))</f>
        <v>B</v>
      </c>
      <c r="J4" s="6" t="str">
        <f ca="1">CELL("contenu",INDIRECT(ADDRESS(ref!$K$5,ref!E3,1,,CELL("contenu",$AA$2))))</f>
        <v>B</v>
      </c>
      <c r="K4" s="3" t="str">
        <f ca="1">CELL("contenu",INDIRECT(ADDRESS(ref!$K$5,ref!F3,1,,CELL("contenu",$AA$2))))</f>
        <v/>
      </c>
      <c r="L4" s="4" t="str">
        <f ca="1">CELL("contenu",INDIRECT(ADDRESS(ref!$K$5,ref!G3,1,,CELL("contenu",$AA$2))))</f>
        <v>B</v>
      </c>
      <c r="M4" s="5" t="str">
        <f ca="1">CELL("contenu",INDIRECT(ADDRESS(ref!$K$5,ref!H3,1,,CELL("contenu",$AA$2))))</f>
        <v>B</v>
      </c>
      <c r="N4" s="6" t="str">
        <f ca="1">CELL("contenu",INDIRECT(ADDRESS(ref!$K$6,ref!E3,1,,CELL("contenu",$AA$2))))</f>
        <v>C</v>
      </c>
      <c r="O4" s="3" t="str">
        <f ca="1">CELL("contenu",INDIRECT(ADDRESS(ref!$K$6,ref!F3,1,,CELL("contenu",$AA$2))))</f>
        <v>A</v>
      </c>
      <c r="P4" s="4" t="str">
        <f ca="1">CELL("contenu",INDIRECT(ADDRESS(ref!$K$6,ref!G3,1,,CELL("contenu",$AA$2))))</f>
        <v>B</v>
      </c>
      <c r="Q4" s="5" t="str">
        <f ca="1">CELL("contenu",INDIRECT(ADDRESS(ref!$K$6,ref!H3,1,,CELL("contenu",$AA$2))))</f>
        <v>C</v>
      </c>
      <c r="R4" s="6" t="str">
        <f ca="1">CELL("contenu",INDIRECT(ADDRESS(ref!$K$7,ref!E3,1,,CELL("contenu",$AA$2))))</f>
        <v/>
      </c>
      <c r="S4" s="3" t="str">
        <f ca="1">CELL("contenu",INDIRECT(ADDRESS(ref!$K$7,ref!F3,1,,CELL("contenu",$AA$2))))</f>
        <v/>
      </c>
      <c r="T4" s="4" t="str">
        <f ca="1">CELL("contenu",INDIRECT(ADDRESS(ref!$K$7,ref!G3,1,,CELL("contenu",$AA$2))))</f>
        <v/>
      </c>
      <c r="U4" s="5" t="str">
        <f ca="1">CELL("contenu",INDIRECT(ADDRESS(ref!$K$7,ref!H3,1,,CELL("contenu",$AA$2))))</f>
        <v/>
      </c>
      <c r="V4" s="49">
        <f ca="1">CELL("contenu",INDIRECT(ADDRESS(ref!$K$8,ref!E3,1,,CELL("contenu",$AA$2))))</f>
        <v>12.5</v>
      </c>
      <c r="W4" s="50">
        <f ca="1">CELL("contenu",INDIRECT(ADDRESS(ref!$K$8,ref!F3,1,,CELL("contenu",$AA$2))))</f>
        <v>20</v>
      </c>
      <c r="X4" s="51">
        <f ca="1">CELL("contenu",INDIRECT(ADDRESS(ref!$K$8,ref!G3,1,,CELL("contenu",$AA$2))))</f>
        <v>20.104166666666664</v>
      </c>
      <c r="Y4" s="21" t="str">
        <f ca="1">CELL("contenu",INDIRECT(ADDRESS(ref!$K$9,ref!H3,1,,CELL("contenu",$AA$2))))</f>
        <v>B</v>
      </c>
    </row>
    <row r="5" spans="1:27" x14ac:dyDescent="0.25">
      <c r="A5" s="59" t="str">
        <f ca="1">CELL("contenu",INDIRECT(ADDRESS(ROW()-2,7,1,,CELL("contenu",$AA$3))))</f>
        <v>BIDAULT Camille</v>
      </c>
      <c r="B5" s="2" t="str">
        <f ca="1">CELL("contenu",INDIRECT(ADDRESS(ref!$K$3,ref!E4,1,,CELL("contenu",$AA$2))))</f>
        <v>C</v>
      </c>
      <c r="C5" s="3" t="str">
        <f ca="1">CELL("contenu",INDIRECT(ADDRESS(ref!$K$3,ref!F4,1,,CELL("contenu",$AA$2))))</f>
        <v>A</v>
      </c>
      <c r="D5" s="4" t="str">
        <f ca="1">CELL("contenu",INDIRECT(ADDRESS(ref!$K$3,ref!G4,1,,CELL("contenu",$AA$2))))</f>
        <v>A</v>
      </c>
      <c r="E5" s="5" t="str">
        <f ca="1">CELL("contenu",INDIRECT(ADDRESS(ref!$K$3,ref!H4,1,,CELL("contenu",$AA$2))))</f>
        <v>B</v>
      </c>
      <c r="F5" s="6" t="str">
        <f ca="1">CELL("contenu",INDIRECT(ADDRESS(ref!$K$4,ref!E4,1,,CELL("contenu",$AA$2))))</f>
        <v>B</v>
      </c>
      <c r="G5" s="3" t="str">
        <f ca="1">CELL("contenu",INDIRECT(ADDRESS(ref!$K$4,ref!F4,1,,CELL("contenu",$AA$2))))</f>
        <v/>
      </c>
      <c r="H5" s="4" t="str">
        <f ca="1">CELL("contenu",INDIRECT(ADDRESS(ref!$K$4,ref!G4,1,,CELL("contenu",$AA$2))))</f>
        <v>A</v>
      </c>
      <c r="I5" s="5" t="str">
        <f ca="1">CELL("contenu",INDIRECT(ADDRESS(ref!$K$4,ref!H4,1,,CELL("contenu",$AA$2))))</f>
        <v>B</v>
      </c>
      <c r="J5" s="6" t="str">
        <f ca="1">CELL("contenu",INDIRECT(ADDRESS(ref!$K$5,ref!E4,1,,CELL("contenu",$AA$2))))</f>
        <v>C</v>
      </c>
      <c r="K5" s="3" t="str">
        <f ca="1">CELL("contenu",INDIRECT(ADDRESS(ref!$K$5,ref!F4,1,,CELL("contenu",$AA$2))))</f>
        <v/>
      </c>
      <c r="L5" s="4" t="str">
        <f ca="1">CELL("contenu",INDIRECT(ADDRESS(ref!$K$5,ref!G4,1,,CELL("contenu",$AA$2))))</f>
        <v>B</v>
      </c>
      <c r="M5" s="5" t="str">
        <f ca="1">CELL("contenu",INDIRECT(ADDRESS(ref!$K$5,ref!H4,1,,CELL("contenu",$AA$2))))</f>
        <v>C</v>
      </c>
      <c r="N5" s="6" t="str">
        <f ca="1">CELL("contenu",INDIRECT(ADDRESS(ref!$K$6,ref!E4,1,,CELL("contenu",$AA$2))))</f>
        <v>C</v>
      </c>
      <c r="O5" s="3" t="str">
        <f ca="1">CELL("contenu",INDIRECT(ADDRESS(ref!$K$6,ref!F4,1,,CELL("contenu",$AA$2))))</f>
        <v>A</v>
      </c>
      <c r="P5" s="4" t="str">
        <f ca="1">CELL("contenu",INDIRECT(ADDRESS(ref!$K$6,ref!G4,1,,CELL("contenu",$AA$2))))</f>
        <v>B</v>
      </c>
      <c r="Q5" s="5" t="str">
        <f ca="1">CELL("contenu",INDIRECT(ADDRESS(ref!$K$6,ref!H4,1,,CELL("contenu",$AA$2))))</f>
        <v>B</v>
      </c>
      <c r="R5" s="6" t="str">
        <f ca="1">CELL("contenu",INDIRECT(ADDRESS(ref!$K$7,ref!E4,1,,CELL("contenu",$AA$2))))</f>
        <v/>
      </c>
      <c r="S5" s="3" t="str">
        <f ca="1">CELL("contenu",INDIRECT(ADDRESS(ref!$K$7,ref!F4,1,,CELL("contenu",$AA$2))))</f>
        <v/>
      </c>
      <c r="T5" s="4" t="str">
        <f ca="1">CELL("contenu",INDIRECT(ADDRESS(ref!$K$7,ref!G4,1,,CELL("contenu",$AA$2))))</f>
        <v/>
      </c>
      <c r="U5" s="5" t="str">
        <f ca="1">CELL("contenu",INDIRECT(ADDRESS(ref!$K$7,ref!H4,1,,CELL("contenu",$AA$2))))</f>
        <v/>
      </c>
      <c r="V5" s="49">
        <f ca="1">CELL("contenu",INDIRECT(ADDRESS(ref!$K$8,ref!E4,1,,CELL("contenu",$AA$2))))</f>
        <v>12.708333333333332</v>
      </c>
      <c r="W5" s="50">
        <f ca="1">CELL("contenu",INDIRECT(ADDRESS(ref!$K$8,ref!F4,1,,CELL("contenu",$AA$2))))</f>
        <v>20</v>
      </c>
      <c r="X5" s="51">
        <f ca="1">CELL("contenu",INDIRECT(ADDRESS(ref!$K$8,ref!G4,1,,CELL("contenu",$AA$2))))</f>
        <v>20.729166666666664</v>
      </c>
      <c r="Y5" s="21" t="str">
        <f ca="1">CELL("contenu",INDIRECT(ADDRESS(ref!$K$9,ref!H4,1,,CELL("contenu",$AA$2))))</f>
        <v>B</v>
      </c>
    </row>
    <row r="6" spans="1:27" x14ac:dyDescent="0.25">
      <c r="A6" s="59" t="str">
        <f t="shared" ref="A6:A30" ca="1" si="0">CELL("contenu",INDIRECT(ADDRESS(ROW()-2,7,1,,CELL("contenu",$AA$3))))</f>
        <v>BOUCHER Hortense</v>
      </c>
      <c r="B6" s="2" t="str">
        <f ca="1">CELL("contenu",INDIRECT(ADDRESS(ref!$K$3,ref!E5,1,,CELL("contenu",$AA$2))))</f>
        <v>C</v>
      </c>
      <c r="C6" s="3" t="str">
        <f ca="1">CELL("contenu",INDIRECT(ADDRESS(ref!$K$3,ref!F5,1,,CELL("contenu",$AA$2))))</f>
        <v>A</v>
      </c>
      <c r="D6" s="4" t="str">
        <f ca="1">CELL("contenu",INDIRECT(ADDRESS(ref!$K$3,ref!G5,1,,CELL("contenu",$AA$2))))</f>
        <v>A</v>
      </c>
      <c r="E6" s="5" t="str">
        <f ca="1">CELL("contenu",INDIRECT(ADDRESS(ref!$K$3,ref!H5,1,,CELL("contenu",$AA$2))))</f>
        <v>B</v>
      </c>
      <c r="F6" s="6" t="str">
        <f ca="1">CELL("contenu",INDIRECT(ADDRESS(ref!$K$4,ref!E5,1,,CELL("contenu",$AA$2))))</f>
        <v>B</v>
      </c>
      <c r="G6" s="3" t="str">
        <f ca="1">CELL("contenu",INDIRECT(ADDRESS(ref!$K$4,ref!F5,1,,CELL("contenu",$AA$2))))</f>
        <v/>
      </c>
      <c r="H6" s="4" t="str">
        <f ca="1">CELL("contenu",INDIRECT(ADDRESS(ref!$K$4,ref!G5,1,,CELL("contenu",$AA$2))))</f>
        <v>A</v>
      </c>
      <c r="I6" s="5" t="str">
        <f ca="1">CELL("contenu",INDIRECT(ADDRESS(ref!$K$4,ref!H5,1,,CELL("contenu",$AA$2))))</f>
        <v>B</v>
      </c>
      <c r="J6" s="6" t="str">
        <f ca="1">CELL("contenu",INDIRECT(ADDRESS(ref!$K$5,ref!E5,1,,CELL("contenu",$AA$2))))</f>
        <v>B</v>
      </c>
      <c r="K6" s="3" t="str">
        <f ca="1">CELL("contenu",INDIRECT(ADDRESS(ref!$K$5,ref!F5,1,,CELL("contenu",$AA$2))))</f>
        <v/>
      </c>
      <c r="L6" s="4" t="str">
        <f ca="1">CELL("contenu",INDIRECT(ADDRESS(ref!$K$5,ref!G5,1,,CELL("contenu",$AA$2))))</f>
        <v>B</v>
      </c>
      <c r="M6" s="5" t="str">
        <f ca="1">CELL("contenu",INDIRECT(ADDRESS(ref!$K$5,ref!H5,1,,CELL("contenu",$AA$2))))</f>
        <v>B</v>
      </c>
      <c r="N6" s="6" t="str">
        <f ca="1">CELL("contenu",INDIRECT(ADDRESS(ref!$K$6,ref!E5,1,,CELL("contenu",$AA$2))))</f>
        <v>B</v>
      </c>
      <c r="O6" s="3" t="str">
        <f ca="1">CELL("contenu",INDIRECT(ADDRESS(ref!$K$6,ref!F5,1,,CELL("contenu",$AA$2))))</f>
        <v>A</v>
      </c>
      <c r="P6" s="4" t="str">
        <f ca="1">CELL("contenu",INDIRECT(ADDRESS(ref!$K$6,ref!G5,1,,CELL("contenu",$AA$2))))</f>
        <v>B</v>
      </c>
      <c r="Q6" s="5" t="str">
        <f ca="1">CELL("contenu",INDIRECT(ADDRESS(ref!$K$6,ref!H5,1,,CELL("contenu",$AA$2))))</f>
        <v>B</v>
      </c>
      <c r="R6" s="6" t="str">
        <f ca="1">CELL("contenu",INDIRECT(ADDRESS(ref!$K$7,ref!E5,1,,CELL("contenu",$AA$2))))</f>
        <v/>
      </c>
      <c r="S6" s="3" t="str">
        <f ca="1">CELL("contenu",INDIRECT(ADDRESS(ref!$K$7,ref!F5,1,,CELL("contenu",$AA$2))))</f>
        <v/>
      </c>
      <c r="T6" s="4" t="str">
        <f ca="1">CELL("contenu",INDIRECT(ADDRESS(ref!$K$7,ref!G5,1,,CELL("contenu",$AA$2))))</f>
        <v/>
      </c>
      <c r="U6" s="5" t="str">
        <f ca="1">CELL("contenu",INDIRECT(ADDRESS(ref!$K$7,ref!H5,1,,CELL("contenu",$AA$2))))</f>
        <v/>
      </c>
      <c r="V6" s="49">
        <f ca="1">CELL("contenu",INDIRECT(ADDRESS(ref!$K$8,ref!E5,1,,CELL("contenu",$AA$2))))</f>
        <v>14.375</v>
      </c>
      <c r="W6" s="50">
        <f ca="1">CELL("contenu",INDIRECT(ADDRESS(ref!$K$8,ref!F5,1,,CELL("contenu",$AA$2))))</f>
        <v>20</v>
      </c>
      <c r="X6" s="51">
        <f ca="1">CELL("contenu",INDIRECT(ADDRESS(ref!$K$8,ref!G5,1,,CELL("contenu",$AA$2))))</f>
        <v>21.458333333333336</v>
      </c>
      <c r="Y6" s="21" t="str">
        <f ca="1">CELL("contenu",INDIRECT(ADDRESS(ref!$K$9,ref!H5,1,,CELL("contenu",$AA$2))))</f>
        <v>A</v>
      </c>
    </row>
    <row r="7" spans="1:27" x14ac:dyDescent="0.25">
      <c r="A7" s="59" t="str">
        <f t="shared" ca="1" si="0"/>
        <v>BRAULT Amaury</v>
      </c>
      <c r="B7" s="2" t="str">
        <f ca="1">CELL("contenu",INDIRECT(ADDRESS(ref!$K$3,ref!E6,1,,CELL("contenu",$AA$2))))</f>
        <v>B</v>
      </c>
      <c r="C7" s="3" t="str">
        <f ca="1">CELL("contenu",INDIRECT(ADDRESS(ref!$K$3,ref!F6,1,,CELL("contenu",$AA$2))))</f>
        <v>A</v>
      </c>
      <c r="D7" s="4" t="str">
        <f ca="1">CELL("contenu",INDIRECT(ADDRESS(ref!$K$3,ref!G6,1,,CELL("contenu",$AA$2))))</f>
        <v/>
      </c>
      <c r="E7" s="5" t="str">
        <f ca="1">CELL("contenu",INDIRECT(ADDRESS(ref!$K$3,ref!H6,1,,CELL("contenu",$AA$2))))</f>
        <v>B</v>
      </c>
      <c r="F7" s="6" t="str">
        <f ca="1">CELL("contenu",INDIRECT(ADDRESS(ref!$K$4,ref!E6,1,,CELL("contenu",$AA$2))))</f>
        <v>B</v>
      </c>
      <c r="G7" s="3" t="str">
        <f ca="1">CELL("contenu",INDIRECT(ADDRESS(ref!$K$4,ref!F6,1,,CELL("contenu",$AA$2))))</f>
        <v/>
      </c>
      <c r="H7" s="4" t="str">
        <f ca="1">CELL("contenu",INDIRECT(ADDRESS(ref!$K$4,ref!G6,1,,CELL("contenu",$AA$2))))</f>
        <v>A</v>
      </c>
      <c r="I7" s="5" t="str">
        <f ca="1">CELL("contenu",INDIRECT(ADDRESS(ref!$K$4,ref!H6,1,,CELL("contenu",$AA$2))))</f>
        <v>B</v>
      </c>
      <c r="J7" s="6" t="str">
        <f ca="1">CELL("contenu",INDIRECT(ADDRESS(ref!$K$5,ref!E6,1,,CELL("contenu",$AA$2))))</f>
        <v>C</v>
      </c>
      <c r="K7" s="3" t="str">
        <f ca="1">CELL("contenu",INDIRECT(ADDRESS(ref!$K$5,ref!F6,1,,CELL("contenu",$AA$2))))</f>
        <v/>
      </c>
      <c r="L7" s="4" t="str">
        <f ca="1">CELL("contenu",INDIRECT(ADDRESS(ref!$K$5,ref!G6,1,,CELL("contenu",$AA$2))))</f>
        <v>C</v>
      </c>
      <c r="M7" s="5" t="str">
        <f ca="1">CELL("contenu",INDIRECT(ADDRESS(ref!$K$5,ref!H6,1,,CELL("contenu",$AA$2))))</f>
        <v>C</v>
      </c>
      <c r="N7" s="6" t="str">
        <f ca="1">CELL("contenu",INDIRECT(ADDRESS(ref!$K$6,ref!E6,1,,CELL("contenu",$AA$2))))</f>
        <v>B</v>
      </c>
      <c r="O7" s="3" t="str">
        <f ca="1">CELL("contenu",INDIRECT(ADDRESS(ref!$K$6,ref!F6,1,,CELL("contenu",$AA$2))))</f>
        <v>A</v>
      </c>
      <c r="P7" s="4" t="str">
        <f ca="1">CELL("contenu",INDIRECT(ADDRESS(ref!$K$6,ref!G6,1,,CELL("contenu",$AA$2))))</f>
        <v>B</v>
      </c>
      <c r="Q7" s="5" t="str">
        <f ca="1">CELL("contenu",INDIRECT(ADDRESS(ref!$K$6,ref!H6,1,,CELL("contenu",$AA$2))))</f>
        <v>B</v>
      </c>
      <c r="R7" s="6" t="str">
        <f ca="1">CELL("contenu",INDIRECT(ADDRESS(ref!$K$7,ref!E6,1,,CELL("contenu",$AA$2))))</f>
        <v/>
      </c>
      <c r="S7" s="3" t="str">
        <f ca="1">CELL("contenu",INDIRECT(ADDRESS(ref!$K$7,ref!F6,1,,CELL("contenu",$AA$2))))</f>
        <v/>
      </c>
      <c r="T7" s="4" t="str">
        <f ca="1">CELL("contenu",INDIRECT(ADDRESS(ref!$K$7,ref!G6,1,,CELL("contenu",$AA$2))))</f>
        <v/>
      </c>
      <c r="U7" s="5" t="str">
        <f ca="1">CELL("contenu",INDIRECT(ADDRESS(ref!$K$7,ref!H6,1,,CELL("contenu",$AA$2))))</f>
        <v/>
      </c>
      <c r="V7" s="49">
        <f ca="1">CELL("contenu",INDIRECT(ADDRESS(ref!$K$8,ref!E6,1,,CELL("contenu",$AA$2))))</f>
        <v>13.541666666666668</v>
      </c>
      <c r="W7" s="50">
        <f ca="1">CELL("contenu",INDIRECT(ADDRESS(ref!$K$8,ref!F6,1,,CELL("contenu",$AA$2))))</f>
        <v>20</v>
      </c>
      <c r="X7" s="51">
        <f ca="1">CELL("contenu",INDIRECT(ADDRESS(ref!$K$8,ref!G6,1,,CELL("contenu",$AA$2))))</f>
        <v>19.722222222222221</v>
      </c>
      <c r="Y7" s="21" t="str">
        <f ca="1">CELL("contenu",INDIRECT(ADDRESS(ref!$K$9,ref!H6,1,,CELL("contenu",$AA$2))))</f>
        <v>A</v>
      </c>
    </row>
    <row r="8" spans="1:27" x14ac:dyDescent="0.25">
      <c r="A8" s="59" t="str">
        <f t="shared" ca="1" si="0"/>
        <v>CHAPRON Elise</v>
      </c>
      <c r="B8" s="2" t="str">
        <f ca="1">CELL("contenu",INDIRECT(ADDRESS(ref!$K$3,ref!E7,1,,CELL("contenu",$AA$2))))</f>
        <v>C</v>
      </c>
      <c r="C8" s="3" t="str">
        <f ca="1">CELL("contenu",INDIRECT(ADDRESS(ref!$K$3,ref!F7,1,,CELL("contenu",$AA$2))))</f>
        <v>C</v>
      </c>
      <c r="D8" s="4" t="str">
        <f ca="1">CELL("contenu",INDIRECT(ADDRESS(ref!$K$3,ref!G7,1,,CELL("contenu",$AA$2))))</f>
        <v>A</v>
      </c>
      <c r="E8" s="5" t="str">
        <f ca="1">CELL("contenu",INDIRECT(ADDRESS(ref!$K$3,ref!H7,1,,CELL("contenu",$AA$2))))</f>
        <v>B</v>
      </c>
      <c r="F8" s="6" t="str">
        <f ca="1">CELL("contenu",INDIRECT(ADDRESS(ref!$K$4,ref!E7,1,,CELL("contenu",$AA$2))))</f>
        <v>B</v>
      </c>
      <c r="G8" s="3" t="str">
        <f ca="1">CELL("contenu",INDIRECT(ADDRESS(ref!$K$4,ref!F7,1,,CELL("contenu",$AA$2))))</f>
        <v/>
      </c>
      <c r="H8" s="4" t="str">
        <f ca="1">CELL("contenu",INDIRECT(ADDRESS(ref!$K$4,ref!G7,1,,CELL("contenu",$AA$2))))</f>
        <v>A</v>
      </c>
      <c r="I8" s="5" t="str">
        <f ca="1">CELL("contenu",INDIRECT(ADDRESS(ref!$K$4,ref!H7,1,,CELL("contenu",$AA$2))))</f>
        <v>B</v>
      </c>
      <c r="J8" s="6" t="str">
        <f ca="1">CELL("contenu",INDIRECT(ADDRESS(ref!$K$5,ref!E7,1,,CELL("contenu",$AA$2))))</f>
        <v>C</v>
      </c>
      <c r="K8" s="3" t="str">
        <f ca="1">CELL("contenu",INDIRECT(ADDRESS(ref!$K$5,ref!F7,1,,CELL("contenu",$AA$2))))</f>
        <v/>
      </c>
      <c r="L8" s="4" t="str">
        <f ca="1">CELL("contenu",INDIRECT(ADDRESS(ref!$K$5,ref!G7,1,,CELL("contenu",$AA$2))))</f>
        <v>B</v>
      </c>
      <c r="M8" s="5" t="str">
        <f ca="1">CELL("contenu",INDIRECT(ADDRESS(ref!$K$5,ref!H7,1,,CELL("contenu",$AA$2))))</f>
        <v>C</v>
      </c>
      <c r="N8" s="6" t="str">
        <f ca="1">CELL("contenu",INDIRECT(ADDRESS(ref!$K$6,ref!E7,1,,CELL("contenu",$AA$2))))</f>
        <v>B</v>
      </c>
      <c r="O8" s="3" t="str">
        <f ca="1">CELL("contenu",INDIRECT(ADDRESS(ref!$K$6,ref!F7,1,,CELL("contenu",$AA$2))))</f>
        <v>C</v>
      </c>
      <c r="P8" s="4" t="str">
        <f ca="1">CELL("contenu",INDIRECT(ADDRESS(ref!$K$6,ref!G7,1,,CELL("contenu",$AA$2))))</f>
        <v>C</v>
      </c>
      <c r="Q8" s="5" t="str">
        <f ca="1">CELL("contenu",INDIRECT(ADDRESS(ref!$K$6,ref!H7,1,,CELL("contenu",$AA$2))))</f>
        <v>C</v>
      </c>
      <c r="R8" s="6" t="str">
        <f ca="1">CELL("contenu",INDIRECT(ADDRESS(ref!$K$7,ref!E7,1,,CELL("contenu",$AA$2))))</f>
        <v/>
      </c>
      <c r="S8" s="3" t="str">
        <f ca="1">CELL("contenu",INDIRECT(ADDRESS(ref!$K$7,ref!F7,1,,CELL("contenu",$AA$2))))</f>
        <v/>
      </c>
      <c r="T8" s="4" t="str">
        <f ca="1">CELL("contenu",INDIRECT(ADDRESS(ref!$K$7,ref!G7,1,,CELL("contenu",$AA$2))))</f>
        <v/>
      </c>
      <c r="U8" s="5" t="str">
        <f ca="1">CELL("contenu",INDIRECT(ADDRESS(ref!$K$7,ref!H7,1,,CELL("contenu",$AA$2))))</f>
        <v/>
      </c>
      <c r="V8" s="49">
        <f ca="1">CELL("contenu",INDIRECT(ADDRESS(ref!$K$8,ref!E7,1,,CELL("contenu",$AA$2))))</f>
        <v>12.291666666666668</v>
      </c>
      <c r="W8" s="50">
        <f ca="1">CELL("contenu",INDIRECT(ADDRESS(ref!$K$8,ref!F7,1,,CELL("contenu",$AA$2))))</f>
        <v>10</v>
      </c>
      <c r="X8" s="51">
        <f ca="1">CELL("contenu",INDIRECT(ADDRESS(ref!$K$8,ref!G7,1,,CELL("contenu",$AA$2))))</f>
        <v>19.0625</v>
      </c>
      <c r="Y8" s="21" t="str">
        <f ca="1">CELL("contenu",INDIRECT(ADDRESS(ref!$K$9,ref!H7,1,,CELL("contenu",$AA$2))))</f>
        <v>B</v>
      </c>
    </row>
    <row r="9" spans="1:27" x14ac:dyDescent="0.25">
      <c r="A9" s="59" t="str">
        <f t="shared" ca="1" si="0"/>
        <v>DE LA RUE DU CAN Baptiste</v>
      </c>
      <c r="B9" s="2" t="str">
        <f ca="1">CELL("contenu",INDIRECT(ADDRESS(ref!$K$3,ref!E8,1,,CELL("contenu",$AA$2))))</f>
        <v>C</v>
      </c>
      <c r="C9" s="3" t="str">
        <f ca="1">CELL("contenu",INDIRECT(ADDRESS(ref!$K$3,ref!F8,1,,CELL("contenu",$AA$2))))</f>
        <v>A</v>
      </c>
      <c r="D9" s="4" t="str">
        <f ca="1">CELL("contenu",INDIRECT(ADDRESS(ref!$K$3,ref!G8,1,,CELL("contenu",$AA$2))))</f>
        <v>A</v>
      </c>
      <c r="E9" s="5" t="str">
        <f ca="1">CELL("contenu",INDIRECT(ADDRESS(ref!$K$3,ref!H8,1,,CELL("contenu",$AA$2))))</f>
        <v>B</v>
      </c>
      <c r="F9" s="6" t="str">
        <f ca="1">CELL("contenu",INDIRECT(ADDRESS(ref!$K$4,ref!E8,1,,CELL("contenu",$AA$2))))</f>
        <v>B</v>
      </c>
      <c r="G9" s="3" t="str">
        <f ca="1">CELL("contenu",INDIRECT(ADDRESS(ref!$K$4,ref!F8,1,,CELL("contenu",$AA$2))))</f>
        <v/>
      </c>
      <c r="H9" s="4" t="str">
        <f ca="1">CELL("contenu",INDIRECT(ADDRESS(ref!$K$4,ref!G8,1,,CELL("contenu",$AA$2))))</f>
        <v>A</v>
      </c>
      <c r="I9" s="5" t="str">
        <f ca="1">CELL("contenu",INDIRECT(ADDRESS(ref!$K$4,ref!H8,1,,CELL("contenu",$AA$2))))</f>
        <v>B</v>
      </c>
      <c r="J9" s="6" t="str">
        <f ca="1">CELL("contenu",INDIRECT(ADDRESS(ref!$K$5,ref!E8,1,,CELL("contenu",$AA$2))))</f>
        <v>B</v>
      </c>
      <c r="K9" s="3" t="str">
        <f ca="1">CELL("contenu",INDIRECT(ADDRESS(ref!$K$5,ref!F8,1,,CELL("contenu",$AA$2))))</f>
        <v/>
      </c>
      <c r="L9" s="4" t="str">
        <f ca="1">CELL("contenu",INDIRECT(ADDRESS(ref!$K$5,ref!G8,1,,CELL("contenu",$AA$2))))</f>
        <v>B</v>
      </c>
      <c r="M9" s="5" t="str">
        <f ca="1">CELL("contenu",INDIRECT(ADDRESS(ref!$K$5,ref!H8,1,,CELL("contenu",$AA$2))))</f>
        <v>B</v>
      </c>
      <c r="N9" s="6" t="str">
        <f ca="1">CELL("contenu",INDIRECT(ADDRESS(ref!$K$6,ref!E8,1,,CELL("contenu",$AA$2))))</f>
        <v>B</v>
      </c>
      <c r="O9" s="3" t="str">
        <f ca="1">CELL("contenu",INDIRECT(ADDRESS(ref!$K$6,ref!F8,1,,CELL("contenu",$AA$2))))</f>
        <v>A</v>
      </c>
      <c r="P9" s="4" t="str">
        <f ca="1">CELL("contenu",INDIRECT(ADDRESS(ref!$K$6,ref!G8,1,,CELL("contenu",$AA$2))))</f>
        <v>B</v>
      </c>
      <c r="Q9" s="5" t="str">
        <f ca="1">CELL("contenu",INDIRECT(ADDRESS(ref!$K$6,ref!H8,1,,CELL("contenu",$AA$2))))</f>
        <v>B</v>
      </c>
      <c r="R9" s="6" t="str">
        <f ca="1">CELL("contenu",INDIRECT(ADDRESS(ref!$K$7,ref!E8,1,,CELL("contenu",$AA$2))))</f>
        <v/>
      </c>
      <c r="S9" s="3" t="str">
        <f ca="1">CELL("contenu",INDIRECT(ADDRESS(ref!$K$7,ref!F8,1,,CELL("contenu",$AA$2))))</f>
        <v/>
      </c>
      <c r="T9" s="4" t="str">
        <f ca="1">CELL("contenu",INDIRECT(ADDRESS(ref!$K$7,ref!G8,1,,CELL("contenu",$AA$2))))</f>
        <v/>
      </c>
      <c r="U9" s="5" t="str">
        <f ca="1">CELL("contenu",INDIRECT(ADDRESS(ref!$K$7,ref!H8,1,,CELL("contenu",$AA$2))))</f>
        <v/>
      </c>
      <c r="V9" s="49">
        <f ca="1">CELL("contenu",INDIRECT(ADDRESS(ref!$K$8,ref!E8,1,,CELL("contenu",$AA$2))))</f>
        <v>14.166666666666668</v>
      </c>
      <c r="W9" s="50">
        <f ca="1">CELL("contenu",INDIRECT(ADDRESS(ref!$K$8,ref!F8,1,,CELL("contenu",$AA$2))))</f>
        <v>20</v>
      </c>
      <c r="X9" s="51">
        <f ca="1">CELL("contenu",INDIRECT(ADDRESS(ref!$K$8,ref!G8,1,,CELL("contenu",$AA$2))))</f>
        <v>21.041666666666664</v>
      </c>
      <c r="Y9" s="21" t="str">
        <f ca="1">CELL("contenu",INDIRECT(ADDRESS(ref!$K$9,ref!H8,1,,CELL("contenu",$AA$2))))</f>
        <v>A</v>
      </c>
    </row>
    <row r="10" spans="1:27" x14ac:dyDescent="0.25">
      <c r="A10" s="59" t="str">
        <f t="shared" ca="1" si="0"/>
        <v>DESECOT Marie-Clemence</v>
      </c>
      <c r="B10" s="2" t="str">
        <f ca="1">CELL("contenu",INDIRECT(ADDRESS(ref!$K$3,ref!E9,1,,CELL("contenu",$AA$2))))</f>
        <v>B</v>
      </c>
      <c r="C10" s="3" t="str">
        <f ca="1">CELL("contenu",INDIRECT(ADDRESS(ref!$K$3,ref!F9,1,,CELL("contenu",$AA$2))))</f>
        <v>C</v>
      </c>
      <c r="D10" s="4" t="str">
        <f ca="1">CELL("contenu",INDIRECT(ADDRESS(ref!$K$3,ref!G9,1,,CELL("contenu",$AA$2))))</f>
        <v>A</v>
      </c>
      <c r="E10" s="5" t="str">
        <f ca="1">CELL("contenu",INDIRECT(ADDRESS(ref!$K$3,ref!H9,1,,CELL("contenu",$AA$2))))</f>
        <v>B</v>
      </c>
      <c r="F10" s="6" t="str">
        <f ca="1">CELL("contenu",INDIRECT(ADDRESS(ref!$K$4,ref!E9,1,,CELL("contenu",$AA$2))))</f>
        <v>B</v>
      </c>
      <c r="G10" s="3" t="str">
        <f ca="1">CELL("contenu",INDIRECT(ADDRESS(ref!$K$4,ref!F9,1,,CELL("contenu",$AA$2))))</f>
        <v/>
      </c>
      <c r="H10" s="4" t="str">
        <f ca="1">CELL("contenu",INDIRECT(ADDRESS(ref!$K$4,ref!G9,1,,CELL("contenu",$AA$2))))</f>
        <v>A</v>
      </c>
      <c r="I10" s="5" t="str">
        <f ca="1">CELL("contenu",INDIRECT(ADDRESS(ref!$K$4,ref!H9,1,,CELL("contenu",$AA$2))))</f>
        <v>B</v>
      </c>
      <c r="J10" s="6" t="str">
        <f ca="1">CELL("contenu",INDIRECT(ADDRESS(ref!$K$5,ref!E9,1,,CELL("contenu",$AA$2))))</f>
        <v>B</v>
      </c>
      <c r="K10" s="3" t="str">
        <f ca="1">CELL("contenu",INDIRECT(ADDRESS(ref!$K$5,ref!F9,1,,CELL("contenu",$AA$2))))</f>
        <v/>
      </c>
      <c r="L10" s="4" t="str">
        <f ca="1">CELL("contenu",INDIRECT(ADDRESS(ref!$K$5,ref!G9,1,,CELL("contenu",$AA$2))))</f>
        <v>B</v>
      </c>
      <c r="M10" s="5" t="str">
        <f ca="1">CELL("contenu",INDIRECT(ADDRESS(ref!$K$5,ref!H9,1,,CELL("contenu",$AA$2))))</f>
        <v>B</v>
      </c>
      <c r="N10" s="6" t="str">
        <f ca="1">CELL("contenu",INDIRECT(ADDRESS(ref!$K$6,ref!E9,1,,CELL("contenu",$AA$2))))</f>
        <v>C</v>
      </c>
      <c r="O10" s="3" t="str">
        <f ca="1">CELL("contenu",INDIRECT(ADDRESS(ref!$K$6,ref!F9,1,,CELL("contenu",$AA$2))))</f>
        <v>C</v>
      </c>
      <c r="P10" s="4" t="str">
        <f ca="1">CELL("contenu",INDIRECT(ADDRESS(ref!$K$6,ref!G9,1,,CELL("contenu",$AA$2))))</f>
        <v>C</v>
      </c>
      <c r="Q10" s="5" t="str">
        <f ca="1">CELL("contenu",INDIRECT(ADDRESS(ref!$K$6,ref!H9,1,,CELL("contenu",$AA$2))))</f>
        <v>C</v>
      </c>
      <c r="R10" s="6" t="str">
        <f ca="1">CELL("contenu",INDIRECT(ADDRESS(ref!$K$7,ref!E9,1,,CELL("contenu",$AA$2))))</f>
        <v/>
      </c>
      <c r="S10" s="3" t="str">
        <f ca="1">CELL("contenu",INDIRECT(ADDRESS(ref!$K$7,ref!F9,1,,CELL("contenu",$AA$2))))</f>
        <v/>
      </c>
      <c r="T10" s="4" t="str">
        <f ca="1">CELL("contenu",INDIRECT(ADDRESS(ref!$K$7,ref!G9,1,,CELL("contenu",$AA$2))))</f>
        <v/>
      </c>
      <c r="U10" s="5" t="str">
        <f ca="1">CELL("contenu",INDIRECT(ADDRESS(ref!$K$7,ref!H9,1,,CELL("contenu",$AA$2))))</f>
        <v/>
      </c>
      <c r="V10" s="49">
        <f ca="1">CELL("contenu",INDIRECT(ADDRESS(ref!$K$8,ref!E9,1,,CELL("contenu",$AA$2))))</f>
        <v>13.75</v>
      </c>
      <c r="W10" s="50">
        <f ca="1">CELL("contenu",INDIRECT(ADDRESS(ref!$K$8,ref!F9,1,,CELL("contenu",$AA$2))))</f>
        <v>10</v>
      </c>
      <c r="X10" s="51">
        <f ca="1">CELL("contenu",INDIRECT(ADDRESS(ref!$K$8,ref!G9,1,,CELL("contenu",$AA$2))))</f>
        <v>18.854166666666668</v>
      </c>
      <c r="Y10" s="21" t="str">
        <f ca="1">CELL("contenu",INDIRECT(ADDRESS(ref!$K$9,ref!H9,1,,CELL("contenu",$AA$2))))</f>
        <v>B</v>
      </c>
    </row>
    <row r="11" spans="1:27" x14ac:dyDescent="0.25">
      <c r="A11" s="59" t="str">
        <f t="shared" ca="1" si="0"/>
        <v>FAROOQ ELIAS Mathyus</v>
      </c>
      <c r="B11" s="2" t="str">
        <f ca="1">CELL("contenu",INDIRECT(ADDRESS(ref!$K$3,ref!E10,1,,CELL("contenu",$AA$2))))</f>
        <v>D</v>
      </c>
      <c r="C11" s="3" t="str">
        <f ca="1">CELL("contenu",INDIRECT(ADDRESS(ref!$K$3,ref!F10,1,,CELL("contenu",$AA$2))))</f>
        <v>A</v>
      </c>
      <c r="D11" s="4" t="str">
        <f ca="1">CELL("contenu",INDIRECT(ADDRESS(ref!$K$3,ref!G10,1,,CELL("contenu",$AA$2))))</f>
        <v>A</v>
      </c>
      <c r="E11" s="5" t="str">
        <f ca="1">CELL("contenu",INDIRECT(ADDRESS(ref!$K$3,ref!H10,1,,CELL("contenu",$AA$2))))</f>
        <v>B</v>
      </c>
      <c r="F11" s="6" t="str">
        <f ca="1">CELL("contenu",INDIRECT(ADDRESS(ref!$K$4,ref!E10,1,,CELL("contenu",$AA$2))))</f>
        <v>B</v>
      </c>
      <c r="G11" s="3" t="str">
        <f ca="1">CELL("contenu",INDIRECT(ADDRESS(ref!$K$4,ref!F10,1,,CELL("contenu",$AA$2))))</f>
        <v/>
      </c>
      <c r="H11" s="4" t="str">
        <f ca="1">CELL("contenu",INDIRECT(ADDRESS(ref!$K$4,ref!G10,1,,CELL("contenu",$AA$2))))</f>
        <v>A</v>
      </c>
      <c r="I11" s="5" t="str">
        <f ca="1">CELL("contenu",INDIRECT(ADDRESS(ref!$K$4,ref!H10,1,,CELL("contenu",$AA$2))))</f>
        <v>C</v>
      </c>
      <c r="J11" s="6" t="str">
        <f ca="1">CELL("contenu",INDIRECT(ADDRESS(ref!$K$5,ref!E10,1,,CELL("contenu",$AA$2))))</f>
        <v>C</v>
      </c>
      <c r="K11" s="3" t="str">
        <f ca="1">CELL("contenu",INDIRECT(ADDRESS(ref!$K$5,ref!F10,1,,CELL("contenu",$AA$2))))</f>
        <v/>
      </c>
      <c r="L11" s="4" t="str">
        <f ca="1">CELL("contenu",INDIRECT(ADDRESS(ref!$K$5,ref!G10,1,,CELL("contenu",$AA$2))))</f>
        <v>B</v>
      </c>
      <c r="M11" s="5" t="str">
        <f ca="1">CELL("contenu",INDIRECT(ADDRESS(ref!$K$5,ref!H10,1,,CELL("contenu",$AA$2))))</f>
        <v>C</v>
      </c>
      <c r="N11" s="6" t="str">
        <f ca="1">CELL("contenu",INDIRECT(ADDRESS(ref!$K$6,ref!E10,1,,CELL("contenu",$AA$2))))</f>
        <v>C</v>
      </c>
      <c r="O11" s="3" t="str">
        <f ca="1">CELL("contenu",INDIRECT(ADDRESS(ref!$K$6,ref!F10,1,,CELL("contenu",$AA$2))))</f>
        <v>A</v>
      </c>
      <c r="P11" s="4" t="str">
        <f ca="1">CELL("contenu",INDIRECT(ADDRESS(ref!$K$6,ref!G10,1,,CELL("contenu",$AA$2))))</f>
        <v>C</v>
      </c>
      <c r="Q11" s="5" t="str">
        <f ca="1">CELL("contenu",INDIRECT(ADDRESS(ref!$K$6,ref!H10,1,,CELL("contenu",$AA$2))))</f>
        <v>C</v>
      </c>
      <c r="R11" s="6" t="str">
        <f ca="1">CELL("contenu",INDIRECT(ADDRESS(ref!$K$7,ref!E10,1,,CELL("contenu",$AA$2))))</f>
        <v/>
      </c>
      <c r="S11" s="3" t="str">
        <f ca="1">CELL("contenu",INDIRECT(ADDRESS(ref!$K$7,ref!F10,1,,CELL("contenu",$AA$2))))</f>
        <v/>
      </c>
      <c r="T11" s="4" t="str">
        <f ca="1">CELL("contenu",INDIRECT(ADDRESS(ref!$K$7,ref!G10,1,,CELL("contenu",$AA$2))))</f>
        <v/>
      </c>
      <c r="U11" s="5" t="str">
        <f ca="1">CELL("contenu",INDIRECT(ADDRESS(ref!$K$7,ref!H10,1,,CELL("contenu",$AA$2))))</f>
        <v/>
      </c>
      <c r="V11" s="49">
        <f ca="1">CELL("contenu",INDIRECT(ADDRESS(ref!$K$8,ref!E10,1,,CELL("contenu",$AA$2))))</f>
        <v>10.208333333333332</v>
      </c>
      <c r="W11" s="50">
        <f ca="1">CELL("contenu",INDIRECT(ADDRESS(ref!$K$8,ref!F10,1,,CELL("contenu",$AA$2))))</f>
        <v>20</v>
      </c>
      <c r="X11" s="51">
        <f ca="1">CELL("contenu",INDIRECT(ADDRESS(ref!$K$8,ref!G10,1,,CELL("contenu",$AA$2))))</f>
        <v>17.083333333333332</v>
      </c>
      <c r="Y11" s="21" t="str">
        <f ca="1">CELL("contenu",INDIRECT(ADDRESS(ref!$K$9,ref!H10,1,,CELL("contenu",$AA$2))))</f>
        <v>B</v>
      </c>
    </row>
    <row r="12" spans="1:27" x14ac:dyDescent="0.25">
      <c r="A12" s="59" t="str">
        <f t="shared" ca="1" si="0"/>
        <v>GATINE Martin</v>
      </c>
      <c r="B12" s="2" t="str">
        <f ca="1">CELL("contenu",INDIRECT(ADDRESS(ref!$K$3,ref!E11,1,,CELL("contenu",$AA$2))))</f>
        <v>C</v>
      </c>
      <c r="C12" s="3" t="str">
        <f ca="1">CELL("contenu",INDIRECT(ADDRESS(ref!$K$3,ref!F11,1,,CELL("contenu",$AA$2))))</f>
        <v>A</v>
      </c>
      <c r="D12" s="4" t="str">
        <f ca="1">CELL("contenu",INDIRECT(ADDRESS(ref!$K$3,ref!G11,1,,CELL("contenu",$AA$2))))</f>
        <v>A</v>
      </c>
      <c r="E12" s="5" t="str">
        <f ca="1">CELL("contenu",INDIRECT(ADDRESS(ref!$K$3,ref!H11,1,,CELL("contenu",$AA$2))))</f>
        <v>B</v>
      </c>
      <c r="F12" s="6" t="str">
        <f ca="1">CELL("contenu",INDIRECT(ADDRESS(ref!$K$4,ref!E11,1,,CELL("contenu",$AA$2))))</f>
        <v>B</v>
      </c>
      <c r="G12" s="3" t="str">
        <f ca="1">CELL("contenu",INDIRECT(ADDRESS(ref!$K$4,ref!F11,1,,CELL("contenu",$AA$2))))</f>
        <v/>
      </c>
      <c r="H12" s="4" t="str">
        <f ca="1">CELL("contenu",INDIRECT(ADDRESS(ref!$K$4,ref!G11,1,,CELL("contenu",$AA$2))))</f>
        <v>A</v>
      </c>
      <c r="I12" s="5" t="str">
        <f ca="1">CELL("contenu",INDIRECT(ADDRESS(ref!$K$4,ref!H11,1,,CELL("contenu",$AA$2))))</f>
        <v>B</v>
      </c>
      <c r="J12" s="6" t="str">
        <f ca="1">CELL("contenu",INDIRECT(ADDRESS(ref!$K$5,ref!E11,1,,CELL("contenu",$AA$2))))</f>
        <v>D</v>
      </c>
      <c r="K12" s="3" t="str">
        <f ca="1">CELL("contenu",INDIRECT(ADDRESS(ref!$K$5,ref!F11,1,,CELL("contenu",$AA$2))))</f>
        <v/>
      </c>
      <c r="L12" s="4" t="str">
        <f ca="1">CELL("contenu",INDIRECT(ADDRESS(ref!$K$5,ref!G11,1,,CELL("contenu",$AA$2))))</f>
        <v>B</v>
      </c>
      <c r="M12" s="5" t="str">
        <f ca="1">CELL("contenu",INDIRECT(ADDRESS(ref!$K$5,ref!H11,1,,CELL("contenu",$AA$2))))</f>
        <v>C</v>
      </c>
      <c r="N12" s="6" t="str">
        <f ca="1">CELL("contenu",INDIRECT(ADDRESS(ref!$K$6,ref!E11,1,,CELL("contenu",$AA$2))))</f>
        <v>B</v>
      </c>
      <c r="O12" s="3" t="str">
        <f ca="1">CELL("contenu",INDIRECT(ADDRESS(ref!$K$6,ref!F11,1,,CELL("contenu",$AA$2))))</f>
        <v>A</v>
      </c>
      <c r="P12" s="4" t="str">
        <f ca="1">CELL("contenu",INDIRECT(ADDRESS(ref!$K$6,ref!G11,1,,CELL("contenu",$AA$2))))</f>
        <v>B</v>
      </c>
      <c r="Q12" s="5" t="str">
        <f ca="1">CELL("contenu",INDIRECT(ADDRESS(ref!$K$6,ref!H11,1,,CELL("contenu",$AA$2))))</f>
        <v>B</v>
      </c>
      <c r="R12" s="6" t="str">
        <f ca="1">CELL("contenu",INDIRECT(ADDRESS(ref!$K$7,ref!E11,1,,CELL("contenu",$AA$2))))</f>
        <v/>
      </c>
      <c r="S12" s="3" t="str">
        <f ca="1">CELL("contenu",INDIRECT(ADDRESS(ref!$K$7,ref!F11,1,,CELL("contenu",$AA$2))))</f>
        <v/>
      </c>
      <c r="T12" s="4" t="str">
        <f ca="1">CELL("contenu",INDIRECT(ADDRESS(ref!$K$7,ref!G11,1,,CELL("contenu",$AA$2))))</f>
        <v/>
      </c>
      <c r="U12" s="5" t="str">
        <f ca="1">CELL("contenu",INDIRECT(ADDRESS(ref!$K$7,ref!H11,1,,CELL("contenu",$AA$2))))</f>
        <v/>
      </c>
      <c r="V12" s="49">
        <f ca="1">CELL("contenu",INDIRECT(ADDRESS(ref!$K$8,ref!E11,1,,CELL("contenu",$AA$2))))</f>
        <v>12.291666666666668</v>
      </c>
      <c r="W12" s="50">
        <f ca="1">CELL("contenu",INDIRECT(ADDRESS(ref!$K$8,ref!F11,1,,CELL("contenu",$AA$2))))</f>
        <v>20</v>
      </c>
      <c r="X12" s="51">
        <f ca="1">CELL("contenu",INDIRECT(ADDRESS(ref!$K$8,ref!G11,1,,CELL("contenu",$AA$2))))</f>
        <v>21.458333333333336</v>
      </c>
      <c r="Y12" s="21" t="str">
        <f ca="1">CELL("contenu",INDIRECT(ADDRESS(ref!$K$9,ref!H11,1,,CELL("contenu",$AA$2))))</f>
        <v>A</v>
      </c>
    </row>
    <row r="13" spans="1:27" x14ac:dyDescent="0.25">
      <c r="A13" s="59" t="str">
        <f t="shared" ca="1" si="0"/>
        <v>GODON Maximilien</v>
      </c>
      <c r="B13" s="2" t="str">
        <f ca="1">CELL("contenu",INDIRECT(ADDRESS(ref!$K$3,ref!E12,1,,CELL("contenu",$AA$2))))</f>
        <v>B</v>
      </c>
      <c r="C13" s="3" t="str">
        <f ca="1">CELL("contenu",INDIRECT(ADDRESS(ref!$K$3,ref!F12,1,,CELL("contenu",$AA$2))))</f>
        <v>A</v>
      </c>
      <c r="D13" s="4" t="str">
        <f ca="1">CELL("contenu",INDIRECT(ADDRESS(ref!$K$3,ref!G12,1,,CELL("contenu",$AA$2))))</f>
        <v>A</v>
      </c>
      <c r="E13" s="5" t="str">
        <f ca="1">CELL("contenu",INDIRECT(ADDRESS(ref!$K$3,ref!H12,1,,CELL("contenu",$AA$2))))</f>
        <v>A</v>
      </c>
      <c r="F13" s="6" t="str">
        <f ca="1">CELL("contenu",INDIRECT(ADDRESS(ref!$K$4,ref!E12,1,,CELL("contenu",$AA$2))))</f>
        <v>B</v>
      </c>
      <c r="G13" s="3" t="str">
        <f ca="1">CELL("contenu",INDIRECT(ADDRESS(ref!$K$4,ref!F12,1,,CELL("contenu",$AA$2))))</f>
        <v/>
      </c>
      <c r="H13" s="4" t="str">
        <f ca="1">CELL("contenu",INDIRECT(ADDRESS(ref!$K$4,ref!G12,1,,CELL("contenu",$AA$2))))</f>
        <v>A</v>
      </c>
      <c r="I13" s="5" t="str">
        <f ca="1">CELL("contenu",INDIRECT(ADDRESS(ref!$K$4,ref!H12,1,,CELL("contenu",$AA$2))))</f>
        <v>B</v>
      </c>
      <c r="J13" s="6" t="str">
        <f ca="1">CELL("contenu",INDIRECT(ADDRESS(ref!$K$5,ref!E12,1,,CELL("contenu",$AA$2))))</f>
        <v>B</v>
      </c>
      <c r="K13" s="3" t="str">
        <f ca="1">CELL("contenu",INDIRECT(ADDRESS(ref!$K$5,ref!F12,1,,CELL("contenu",$AA$2))))</f>
        <v/>
      </c>
      <c r="L13" s="4" t="str">
        <f ca="1">CELL("contenu",INDIRECT(ADDRESS(ref!$K$5,ref!G12,1,,CELL("contenu",$AA$2))))</f>
        <v>B</v>
      </c>
      <c r="M13" s="5" t="str">
        <f ca="1">CELL("contenu",INDIRECT(ADDRESS(ref!$K$5,ref!H12,1,,CELL("contenu",$AA$2))))</f>
        <v>B</v>
      </c>
      <c r="N13" s="6" t="str">
        <f ca="1">CELL("contenu",INDIRECT(ADDRESS(ref!$K$6,ref!E12,1,,CELL("contenu",$AA$2))))</f>
        <v>B</v>
      </c>
      <c r="O13" s="3" t="str">
        <f ca="1">CELL("contenu",INDIRECT(ADDRESS(ref!$K$6,ref!F12,1,,CELL("contenu",$AA$2))))</f>
        <v>A</v>
      </c>
      <c r="P13" s="4" t="str">
        <f ca="1">CELL("contenu",INDIRECT(ADDRESS(ref!$K$6,ref!G12,1,,CELL("contenu",$AA$2))))</f>
        <v>B</v>
      </c>
      <c r="Q13" s="5" t="str">
        <f ca="1">CELL("contenu",INDIRECT(ADDRESS(ref!$K$6,ref!H12,1,,CELL("contenu",$AA$2))))</f>
        <v>B</v>
      </c>
      <c r="R13" s="6" t="str">
        <f ca="1">CELL("contenu",INDIRECT(ADDRESS(ref!$K$7,ref!E12,1,,CELL("contenu",$AA$2))))</f>
        <v/>
      </c>
      <c r="S13" s="3" t="str">
        <f ca="1">CELL("contenu",INDIRECT(ADDRESS(ref!$K$7,ref!F12,1,,CELL("contenu",$AA$2))))</f>
        <v/>
      </c>
      <c r="T13" s="4" t="str">
        <f ca="1">CELL("contenu",INDIRECT(ADDRESS(ref!$K$7,ref!G12,1,,CELL("contenu",$AA$2))))</f>
        <v/>
      </c>
      <c r="U13" s="5" t="str">
        <f ca="1">CELL("contenu",INDIRECT(ADDRESS(ref!$K$7,ref!H12,1,,CELL("contenu",$AA$2))))</f>
        <v/>
      </c>
      <c r="V13" s="49">
        <f ca="1">CELL("contenu",INDIRECT(ADDRESS(ref!$K$8,ref!E12,1,,CELL("contenu",$AA$2))))</f>
        <v>15</v>
      </c>
      <c r="W13" s="50">
        <f ca="1">CELL("contenu",INDIRECT(ADDRESS(ref!$K$8,ref!F12,1,,CELL("contenu",$AA$2))))</f>
        <v>20</v>
      </c>
      <c r="X13" s="51">
        <f ca="1">CELL("contenu",INDIRECT(ADDRESS(ref!$K$8,ref!G12,1,,CELL("contenu",$AA$2))))</f>
        <v>20.416666666666664</v>
      </c>
      <c r="Y13" s="21" t="str">
        <f ca="1">CELL("contenu",INDIRECT(ADDRESS(ref!$K$9,ref!H12,1,,CELL("contenu",$AA$2))))</f>
        <v>A</v>
      </c>
    </row>
    <row r="14" spans="1:27" x14ac:dyDescent="0.25">
      <c r="A14" s="59" t="str">
        <f t="shared" ca="1" si="0"/>
        <v>GOUVAZE Aristide</v>
      </c>
      <c r="B14" s="2" t="str">
        <f ca="1">CELL("contenu",INDIRECT(ADDRESS(ref!$K$3,ref!E13,1,,CELL("contenu",$AA$2))))</f>
        <v>C</v>
      </c>
      <c r="C14" s="3" t="str">
        <f ca="1">CELL("contenu",INDIRECT(ADDRESS(ref!$K$3,ref!F13,1,,CELL("contenu",$AA$2))))</f>
        <v>A</v>
      </c>
      <c r="D14" s="4" t="str">
        <f ca="1">CELL("contenu",INDIRECT(ADDRESS(ref!$K$3,ref!G13,1,,CELL("contenu",$AA$2))))</f>
        <v>A</v>
      </c>
      <c r="E14" s="5" t="str">
        <f ca="1">CELL("contenu",INDIRECT(ADDRESS(ref!$K$3,ref!H13,1,,CELL("contenu",$AA$2))))</f>
        <v>B</v>
      </c>
      <c r="F14" s="6" t="str">
        <f ca="1">CELL("contenu",INDIRECT(ADDRESS(ref!$K$4,ref!E13,1,,CELL("contenu",$AA$2))))</f>
        <v>B</v>
      </c>
      <c r="G14" s="3" t="str">
        <f ca="1">CELL("contenu",INDIRECT(ADDRESS(ref!$K$4,ref!F13,1,,CELL("contenu",$AA$2))))</f>
        <v/>
      </c>
      <c r="H14" s="4" t="str">
        <f ca="1">CELL("contenu",INDIRECT(ADDRESS(ref!$K$4,ref!G13,1,,CELL("contenu",$AA$2))))</f>
        <v>A</v>
      </c>
      <c r="I14" s="5" t="str">
        <f ca="1">CELL("contenu",INDIRECT(ADDRESS(ref!$K$4,ref!H13,1,,CELL("contenu",$AA$2))))</f>
        <v>B</v>
      </c>
      <c r="J14" s="6" t="str">
        <f ca="1">CELL("contenu",INDIRECT(ADDRESS(ref!$K$5,ref!E13,1,,CELL("contenu",$AA$2))))</f>
        <v>C</v>
      </c>
      <c r="K14" s="3" t="str">
        <f ca="1">CELL("contenu",INDIRECT(ADDRESS(ref!$K$5,ref!F13,1,,CELL("contenu",$AA$2))))</f>
        <v/>
      </c>
      <c r="L14" s="4" t="str">
        <f ca="1">CELL("contenu",INDIRECT(ADDRESS(ref!$K$5,ref!G13,1,,CELL("contenu",$AA$2))))</f>
        <v>B</v>
      </c>
      <c r="M14" s="5" t="str">
        <f ca="1">CELL("contenu",INDIRECT(ADDRESS(ref!$K$5,ref!H13,1,,CELL("contenu",$AA$2))))</f>
        <v>C</v>
      </c>
      <c r="N14" s="6" t="str">
        <f ca="1">CELL("contenu",INDIRECT(ADDRESS(ref!$K$6,ref!E13,1,,CELL("contenu",$AA$2))))</f>
        <v>C</v>
      </c>
      <c r="O14" s="3" t="str">
        <f ca="1">CELL("contenu",INDIRECT(ADDRESS(ref!$K$6,ref!F13,1,,CELL("contenu",$AA$2))))</f>
        <v>A</v>
      </c>
      <c r="P14" s="4" t="str">
        <f ca="1">CELL("contenu",INDIRECT(ADDRESS(ref!$K$6,ref!G13,1,,CELL("contenu",$AA$2))))</f>
        <v>B</v>
      </c>
      <c r="Q14" s="5" t="str">
        <f ca="1">CELL("contenu",INDIRECT(ADDRESS(ref!$K$6,ref!H13,1,,CELL("contenu",$AA$2))))</f>
        <v>B</v>
      </c>
      <c r="R14" s="6" t="str">
        <f ca="1">CELL("contenu",INDIRECT(ADDRESS(ref!$K$7,ref!E13,1,,CELL("contenu",$AA$2))))</f>
        <v/>
      </c>
      <c r="S14" s="3" t="str">
        <f ca="1">CELL("contenu",INDIRECT(ADDRESS(ref!$K$7,ref!F13,1,,CELL("contenu",$AA$2))))</f>
        <v/>
      </c>
      <c r="T14" s="4" t="str">
        <f ca="1">CELL("contenu",INDIRECT(ADDRESS(ref!$K$7,ref!G13,1,,CELL("contenu",$AA$2))))</f>
        <v/>
      </c>
      <c r="U14" s="5" t="str">
        <f ca="1">CELL("contenu",INDIRECT(ADDRESS(ref!$K$7,ref!H13,1,,CELL("contenu",$AA$2))))</f>
        <v/>
      </c>
      <c r="V14" s="49">
        <f ca="1">CELL("contenu",INDIRECT(ADDRESS(ref!$K$8,ref!E13,1,,CELL("contenu",$AA$2))))</f>
        <v>12.708333333333332</v>
      </c>
      <c r="W14" s="50">
        <f ca="1">CELL("contenu",INDIRECT(ADDRESS(ref!$K$8,ref!F13,1,,CELL("contenu",$AA$2))))</f>
        <v>20</v>
      </c>
      <c r="X14" s="51">
        <f ca="1">CELL("contenu",INDIRECT(ADDRESS(ref!$K$8,ref!G13,1,,CELL("contenu",$AA$2))))</f>
        <v>20.625</v>
      </c>
      <c r="Y14" s="21" t="str">
        <f ca="1">CELL("contenu",INDIRECT(ADDRESS(ref!$K$9,ref!H13,1,,CELL("contenu",$AA$2))))</f>
        <v>A</v>
      </c>
    </row>
    <row r="15" spans="1:27" x14ac:dyDescent="0.25">
      <c r="A15" s="59" t="str">
        <f t="shared" ca="1" si="0"/>
        <v>HALLAIS Louis</v>
      </c>
      <c r="B15" s="2" t="str">
        <f ca="1">CELL("contenu",INDIRECT(ADDRESS(ref!$K$3,ref!E14,1,,CELL("contenu",$AA$2))))</f>
        <v>B</v>
      </c>
      <c r="C15" s="3" t="str">
        <f ca="1">CELL("contenu",INDIRECT(ADDRESS(ref!$K$3,ref!F14,1,,CELL("contenu",$AA$2))))</f>
        <v>A</v>
      </c>
      <c r="D15" s="4" t="str">
        <f ca="1">CELL("contenu",INDIRECT(ADDRESS(ref!$K$3,ref!G14,1,,CELL("contenu",$AA$2))))</f>
        <v>A</v>
      </c>
      <c r="E15" s="5" t="str">
        <f ca="1">CELL("contenu",INDIRECT(ADDRESS(ref!$K$3,ref!H14,1,,CELL("contenu",$AA$2))))</f>
        <v>A</v>
      </c>
      <c r="F15" s="6" t="str">
        <f ca="1">CELL("contenu",INDIRECT(ADDRESS(ref!$K$4,ref!E14,1,,CELL("contenu",$AA$2))))</f>
        <v>B</v>
      </c>
      <c r="G15" s="3" t="str">
        <f ca="1">CELL("contenu",INDIRECT(ADDRESS(ref!$K$4,ref!F14,1,,CELL("contenu",$AA$2))))</f>
        <v/>
      </c>
      <c r="H15" s="4" t="str">
        <f ca="1">CELL("contenu",INDIRECT(ADDRESS(ref!$K$4,ref!G14,1,,CELL("contenu",$AA$2))))</f>
        <v>A</v>
      </c>
      <c r="I15" s="5" t="str">
        <f ca="1">CELL("contenu",INDIRECT(ADDRESS(ref!$K$4,ref!H14,1,,CELL("contenu",$AA$2))))</f>
        <v>B</v>
      </c>
      <c r="J15" s="6" t="str">
        <f ca="1">CELL("contenu",INDIRECT(ADDRESS(ref!$K$5,ref!E14,1,,CELL("contenu",$AA$2))))</f>
        <v>C</v>
      </c>
      <c r="K15" s="3" t="str">
        <f ca="1">CELL("contenu",INDIRECT(ADDRESS(ref!$K$5,ref!F14,1,,CELL("contenu",$AA$2))))</f>
        <v/>
      </c>
      <c r="L15" s="4" t="str">
        <f ca="1">CELL("contenu",INDIRECT(ADDRESS(ref!$K$5,ref!G14,1,,CELL("contenu",$AA$2))))</f>
        <v>C</v>
      </c>
      <c r="M15" s="5" t="str">
        <f ca="1">CELL("contenu",INDIRECT(ADDRESS(ref!$K$5,ref!H14,1,,CELL("contenu",$AA$2))))</f>
        <v>C</v>
      </c>
      <c r="N15" s="6" t="str">
        <f ca="1">CELL("contenu",INDIRECT(ADDRESS(ref!$K$6,ref!E14,1,,CELL("contenu",$AA$2))))</f>
        <v>B</v>
      </c>
      <c r="O15" s="3" t="str">
        <f ca="1">CELL("contenu",INDIRECT(ADDRESS(ref!$K$6,ref!F14,1,,CELL("contenu",$AA$2))))</f>
        <v>A</v>
      </c>
      <c r="P15" s="4" t="str">
        <f ca="1">CELL("contenu",INDIRECT(ADDRESS(ref!$K$6,ref!G14,1,,CELL("contenu",$AA$2))))</f>
        <v>B</v>
      </c>
      <c r="Q15" s="5" t="str">
        <f ca="1">CELL("contenu",INDIRECT(ADDRESS(ref!$K$6,ref!H14,1,,CELL("contenu",$AA$2))))</f>
        <v>B</v>
      </c>
      <c r="R15" s="6" t="str">
        <f ca="1">CELL("contenu",INDIRECT(ADDRESS(ref!$K$7,ref!E14,1,,CELL("contenu",$AA$2))))</f>
        <v/>
      </c>
      <c r="S15" s="3" t="str">
        <f ca="1">CELL("contenu",INDIRECT(ADDRESS(ref!$K$7,ref!F14,1,,CELL("contenu",$AA$2))))</f>
        <v/>
      </c>
      <c r="T15" s="4" t="str">
        <f ca="1">CELL("contenu",INDIRECT(ADDRESS(ref!$K$7,ref!G14,1,,CELL("contenu",$AA$2))))</f>
        <v/>
      </c>
      <c r="U15" s="5" t="str">
        <f ca="1">CELL("contenu",INDIRECT(ADDRESS(ref!$K$7,ref!H14,1,,CELL("contenu",$AA$2))))</f>
        <v/>
      </c>
      <c r="V15" s="49">
        <f ca="1">CELL("contenu",INDIRECT(ADDRESS(ref!$K$8,ref!E14,1,,CELL("contenu",$AA$2))))</f>
        <v>14.583333333333332</v>
      </c>
      <c r="W15" s="50">
        <f ca="1">CELL("contenu",INDIRECT(ADDRESS(ref!$K$8,ref!F14,1,,CELL("contenu",$AA$2))))</f>
        <v>20</v>
      </c>
      <c r="X15" s="51">
        <f ca="1">CELL("contenu",INDIRECT(ADDRESS(ref!$K$8,ref!G14,1,,CELL("contenu",$AA$2))))</f>
        <v>19.583333333333332</v>
      </c>
      <c r="Y15" s="21" t="str">
        <f ca="1">CELL("contenu",INDIRECT(ADDRESS(ref!$K$9,ref!H14,1,,CELL("contenu",$AA$2))))</f>
        <v>A</v>
      </c>
    </row>
    <row r="16" spans="1:27" x14ac:dyDescent="0.25">
      <c r="A16" s="59" t="str">
        <f t="shared" ca="1" si="0"/>
        <v>HERON LANGLOIS Valentin</v>
      </c>
      <c r="B16" s="2" t="str">
        <f ca="1">CELL("contenu",INDIRECT(ADDRESS(ref!$K$3,ref!E15,1,,CELL("contenu",$AA$2))))</f>
        <v>B</v>
      </c>
      <c r="C16" s="3" t="str">
        <f ca="1">CELL("contenu",INDIRECT(ADDRESS(ref!$K$3,ref!F15,1,,CELL("contenu",$AA$2))))</f>
        <v>A</v>
      </c>
      <c r="D16" s="4" t="str">
        <f ca="1">CELL("contenu",INDIRECT(ADDRESS(ref!$K$3,ref!G15,1,,CELL("contenu",$AA$2))))</f>
        <v>A</v>
      </c>
      <c r="E16" s="5" t="str">
        <f ca="1">CELL("contenu",INDIRECT(ADDRESS(ref!$K$3,ref!H15,1,,CELL("contenu",$AA$2))))</f>
        <v>A</v>
      </c>
      <c r="F16" s="6" t="str">
        <f ca="1">CELL("contenu",INDIRECT(ADDRESS(ref!$K$4,ref!E15,1,,CELL("contenu",$AA$2))))</f>
        <v>B</v>
      </c>
      <c r="G16" s="3" t="str">
        <f ca="1">CELL("contenu",INDIRECT(ADDRESS(ref!$K$4,ref!F15,1,,CELL("contenu",$AA$2))))</f>
        <v/>
      </c>
      <c r="H16" s="4" t="str">
        <f ca="1">CELL("contenu",INDIRECT(ADDRESS(ref!$K$4,ref!G15,1,,CELL("contenu",$AA$2))))</f>
        <v>A</v>
      </c>
      <c r="I16" s="5" t="str">
        <f ca="1">CELL("contenu",INDIRECT(ADDRESS(ref!$K$4,ref!H15,1,,CELL("contenu",$AA$2))))</f>
        <v>B</v>
      </c>
      <c r="J16" s="6" t="str">
        <f ca="1">CELL("contenu",INDIRECT(ADDRESS(ref!$K$5,ref!E15,1,,CELL("contenu",$AA$2))))</f>
        <v>C</v>
      </c>
      <c r="K16" s="3" t="str">
        <f ca="1">CELL("contenu",INDIRECT(ADDRESS(ref!$K$5,ref!F15,1,,CELL("contenu",$AA$2))))</f>
        <v/>
      </c>
      <c r="L16" s="4" t="str">
        <f ca="1">CELL("contenu",INDIRECT(ADDRESS(ref!$K$5,ref!G15,1,,CELL("contenu",$AA$2))))</f>
        <v>C</v>
      </c>
      <c r="M16" s="5" t="str">
        <f ca="1">CELL("contenu",INDIRECT(ADDRESS(ref!$K$5,ref!H15,1,,CELL("contenu",$AA$2))))</f>
        <v>C</v>
      </c>
      <c r="N16" s="6" t="str">
        <f ca="1">CELL("contenu",INDIRECT(ADDRESS(ref!$K$6,ref!E15,1,,CELL("contenu",$AA$2))))</f>
        <v>B</v>
      </c>
      <c r="O16" s="3" t="str">
        <f ca="1">CELL("contenu",INDIRECT(ADDRESS(ref!$K$6,ref!F15,1,,CELL("contenu",$AA$2))))</f>
        <v>A</v>
      </c>
      <c r="P16" s="4" t="str">
        <f ca="1">CELL("contenu",INDIRECT(ADDRESS(ref!$K$6,ref!G15,1,,CELL("contenu",$AA$2))))</f>
        <v>C</v>
      </c>
      <c r="Q16" s="5" t="str">
        <f ca="1">CELL("contenu",INDIRECT(ADDRESS(ref!$K$6,ref!H15,1,,CELL("contenu",$AA$2))))</f>
        <v>B</v>
      </c>
      <c r="R16" s="6" t="str">
        <f ca="1">CELL("contenu",INDIRECT(ADDRESS(ref!$K$7,ref!E15,1,,CELL("contenu",$AA$2))))</f>
        <v/>
      </c>
      <c r="S16" s="3" t="str">
        <f ca="1">CELL("contenu",INDIRECT(ADDRESS(ref!$K$7,ref!F15,1,,CELL("contenu",$AA$2))))</f>
        <v/>
      </c>
      <c r="T16" s="4" t="str">
        <f ca="1">CELL("contenu",INDIRECT(ADDRESS(ref!$K$7,ref!G15,1,,CELL("contenu",$AA$2))))</f>
        <v/>
      </c>
      <c r="U16" s="5" t="str">
        <f ca="1">CELL("contenu",INDIRECT(ADDRESS(ref!$K$7,ref!H15,1,,CELL("contenu",$AA$2))))</f>
        <v/>
      </c>
      <c r="V16" s="49">
        <f ca="1">CELL("contenu",INDIRECT(ADDRESS(ref!$K$8,ref!E15,1,,CELL("contenu",$AA$2))))</f>
        <v>14.166666666666668</v>
      </c>
      <c r="W16" s="50">
        <f ca="1">CELL("contenu",INDIRECT(ADDRESS(ref!$K$8,ref!F15,1,,CELL("contenu",$AA$2))))</f>
        <v>20</v>
      </c>
      <c r="X16" s="51">
        <f ca="1">CELL("contenu",INDIRECT(ADDRESS(ref!$K$8,ref!G15,1,,CELL("contenu",$AA$2))))</f>
        <v>19.583333333333332</v>
      </c>
      <c r="Y16" s="21" t="str">
        <f ca="1">CELL("contenu",INDIRECT(ADDRESS(ref!$K$9,ref!H15,1,,CELL("contenu",$AA$2))))</f>
        <v>A</v>
      </c>
    </row>
    <row r="17" spans="1:25" x14ac:dyDescent="0.25">
      <c r="A17" s="59" t="str">
        <f t="shared" ca="1" si="0"/>
        <v>JEANDEMANGE Marc</v>
      </c>
      <c r="B17" s="2" t="str">
        <f ca="1">CELL("contenu",INDIRECT(ADDRESS(ref!$K$3,ref!E16,1,,CELL("contenu",$AA$2))))</f>
        <v>C</v>
      </c>
      <c r="C17" s="3" t="str">
        <f ca="1">CELL("contenu",INDIRECT(ADDRESS(ref!$K$3,ref!F16,1,,CELL("contenu",$AA$2))))</f>
        <v>A</v>
      </c>
      <c r="D17" s="4" t="str">
        <f ca="1">CELL("contenu",INDIRECT(ADDRESS(ref!$K$3,ref!G16,1,,CELL("contenu",$AA$2))))</f>
        <v>A</v>
      </c>
      <c r="E17" s="5" t="str">
        <f ca="1">CELL("contenu",INDIRECT(ADDRESS(ref!$K$3,ref!H16,1,,CELL("contenu",$AA$2))))</f>
        <v>B</v>
      </c>
      <c r="F17" s="6" t="str">
        <f ca="1">CELL("contenu",INDIRECT(ADDRESS(ref!$K$4,ref!E16,1,,CELL("contenu",$AA$2))))</f>
        <v>B</v>
      </c>
      <c r="G17" s="3" t="str">
        <f ca="1">CELL("contenu",INDIRECT(ADDRESS(ref!$K$4,ref!F16,1,,CELL("contenu",$AA$2))))</f>
        <v/>
      </c>
      <c r="H17" s="4" t="str">
        <f ca="1">CELL("contenu",INDIRECT(ADDRESS(ref!$K$4,ref!G16,1,,CELL("contenu",$AA$2))))</f>
        <v>A</v>
      </c>
      <c r="I17" s="5" t="str">
        <f ca="1">CELL("contenu",INDIRECT(ADDRESS(ref!$K$4,ref!H16,1,,CELL("contenu",$AA$2))))</f>
        <v>B</v>
      </c>
      <c r="J17" s="6" t="str">
        <f ca="1">CELL("contenu",INDIRECT(ADDRESS(ref!$K$5,ref!E16,1,,CELL("contenu",$AA$2))))</f>
        <v>C</v>
      </c>
      <c r="K17" s="3" t="str">
        <f ca="1">CELL("contenu",INDIRECT(ADDRESS(ref!$K$5,ref!F16,1,,CELL("contenu",$AA$2))))</f>
        <v/>
      </c>
      <c r="L17" s="4" t="str">
        <f ca="1">CELL("contenu",INDIRECT(ADDRESS(ref!$K$5,ref!G16,1,,CELL("contenu",$AA$2))))</f>
        <v>C</v>
      </c>
      <c r="M17" s="5" t="str">
        <f ca="1">CELL("contenu",INDIRECT(ADDRESS(ref!$K$5,ref!H16,1,,CELL("contenu",$AA$2))))</f>
        <v>C</v>
      </c>
      <c r="N17" s="6" t="str">
        <f ca="1">CELL("contenu",INDIRECT(ADDRESS(ref!$K$6,ref!E16,1,,CELL("contenu",$AA$2))))</f>
        <v>C</v>
      </c>
      <c r="O17" s="3" t="str">
        <f ca="1">CELL("contenu",INDIRECT(ADDRESS(ref!$K$6,ref!F16,1,,CELL("contenu",$AA$2))))</f>
        <v>A</v>
      </c>
      <c r="P17" s="4" t="str">
        <f ca="1">CELL("contenu",INDIRECT(ADDRESS(ref!$K$6,ref!G16,1,,CELL("contenu",$AA$2))))</f>
        <v>B</v>
      </c>
      <c r="Q17" s="5" t="str">
        <f ca="1">CELL("contenu",INDIRECT(ADDRESS(ref!$K$6,ref!H16,1,,CELL("contenu",$AA$2))))</f>
        <v>C</v>
      </c>
      <c r="R17" s="6" t="str">
        <f ca="1">CELL("contenu",INDIRECT(ADDRESS(ref!$K$7,ref!E16,1,,CELL("contenu",$AA$2))))</f>
        <v/>
      </c>
      <c r="S17" s="3" t="str">
        <f ca="1">CELL("contenu",INDIRECT(ADDRESS(ref!$K$7,ref!F16,1,,CELL("contenu",$AA$2))))</f>
        <v/>
      </c>
      <c r="T17" s="4" t="str">
        <f ca="1">CELL("contenu",INDIRECT(ADDRESS(ref!$K$7,ref!G16,1,,CELL("contenu",$AA$2))))</f>
        <v/>
      </c>
      <c r="U17" s="5" t="str">
        <f ca="1">CELL("contenu",INDIRECT(ADDRESS(ref!$K$7,ref!H16,1,,CELL("contenu",$AA$2))))</f>
        <v/>
      </c>
      <c r="V17" s="49">
        <f ca="1">CELL("contenu",INDIRECT(ADDRESS(ref!$K$8,ref!E16,1,,CELL("contenu",$AA$2))))</f>
        <v>11.875</v>
      </c>
      <c r="W17" s="50">
        <f ca="1">CELL("contenu",INDIRECT(ADDRESS(ref!$K$8,ref!F16,1,,CELL("contenu",$AA$2))))</f>
        <v>20</v>
      </c>
      <c r="X17" s="51">
        <f ca="1">CELL("contenu",INDIRECT(ADDRESS(ref!$K$8,ref!G16,1,,CELL("contenu",$AA$2))))</f>
        <v>19.479166666666668</v>
      </c>
      <c r="Y17" s="21" t="str">
        <f ca="1">CELL("contenu",INDIRECT(ADDRESS(ref!$K$9,ref!H16,1,,CELL("contenu",$AA$2))))</f>
        <v>B</v>
      </c>
    </row>
    <row r="18" spans="1:25" x14ac:dyDescent="0.25">
      <c r="A18" s="59" t="str">
        <f t="shared" ca="1" si="0"/>
        <v>JIANG Leo</v>
      </c>
      <c r="B18" s="2" t="str">
        <f ca="1">CELL("contenu",INDIRECT(ADDRESS(ref!$K$3,ref!E17,1,,CELL("contenu",$AA$2))))</f>
        <v>C</v>
      </c>
      <c r="C18" s="3" t="str">
        <f ca="1">CELL("contenu",INDIRECT(ADDRESS(ref!$K$3,ref!F17,1,,CELL("contenu",$AA$2))))</f>
        <v>A</v>
      </c>
      <c r="D18" s="4" t="str">
        <f ca="1">CELL("contenu",INDIRECT(ADDRESS(ref!$K$3,ref!G17,1,,CELL("contenu",$AA$2))))</f>
        <v>A</v>
      </c>
      <c r="E18" s="5" t="str">
        <f ca="1">CELL("contenu",INDIRECT(ADDRESS(ref!$K$3,ref!H17,1,,CELL("contenu",$AA$2))))</f>
        <v>B</v>
      </c>
      <c r="F18" s="6" t="str">
        <f ca="1">CELL("contenu",INDIRECT(ADDRESS(ref!$K$4,ref!E17,1,,CELL("contenu",$AA$2))))</f>
        <v>B</v>
      </c>
      <c r="G18" s="3" t="str">
        <f ca="1">CELL("contenu",INDIRECT(ADDRESS(ref!$K$4,ref!F17,1,,CELL("contenu",$AA$2))))</f>
        <v/>
      </c>
      <c r="H18" s="4" t="str">
        <f ca="1">CELL("contenu",INDIRECT(ADDRESS(ref!$K$4,ref!G17,1,,CELL("contenu",$AA$2))))</f>
        <v>A</v>
      </c>
      <c r="I18" s="5" t="str">
        <f ca="1">CELL("contenu",INDIRECT(ADDRESS(ref!$K$4,ref!H17,1,,CELL("contenu",$AA$2))))</f>
        <v>B</v>
      </c>
      <c r="J18" s="6" t="str">
        <f ca="1">CELL("contenu",INDIRECT(ADDRESS(ref!$K$5,ref!E17,1,,CELL("contenu",$AA$2))))</f>
        <v>C</v>
      </c>
      <c r="K18" s="3" t="str">
        <f ca="1">CELL("contenu",INDIRECT(ADDRESS(ref!$K$5,ref!F17,1,,CELL("contenu",$AA$2))))</f>
        <v/>
      </c>
      <c r="L18" s="4" t="str">
        <f ca="1">CELL("contenu",INDIRECT(ADDRESS(ref!$K$5,ref!G17,1,,CELL("contenu",$AA$2))))</f>
        <v>B</v>
      </c>
      <c r="M18" s="5" t="str">
        <f ca="1">CELL("contenu",INDIRECT(ADDRESS(ref!$K$5,ref!H17,1,,CELL("contenu",$AA$2))))</f>
        <v>C</v>
      </c>
      <c r="N18" s="6" t="str">
        <f ca="1">CELL("contenu",INDIRECT(ADDRESS(ref!$K$6,ref!E17,1,,CELL("contenu",$AA$2))))</f>
        <v>C</v>
      </c>
      <c r="O18" s="3" t="str">
        <f ca="1">CELL("contenu",INDIRECT(ADDRESS(ref!$K$6,ref!F17,1,,CELL("contenu",$AA$2))))</f>
        <v>A</v>
      </c>
      <c r="P18" s="4" t="str">
        <f ca="1">CELL("contenu",INDIRECT(ADDRESS(ref!$K$6,ref!G17,1,,CELL("contenu",$AA$2))))</f>
        <v>C</v>
      </c>
      <c r="Q18" s="5" t="str">
        <f ca="1">CELL("contenu",INDIRECT(ADDRESS(ref!$K$6,ref!H17,1,,CELL("contenu",$AA$2))))</f>
        <v>C</v>
      </c>
      <c r="R18" s="6" t="str">
        <f ca="1">CELL("contenu",INDIRECT(ADDRESS(ref!$K$7,ref!E17,1,,CELL("contenu",$AA$2))))</f>
        <v/>
      </c>
      <c r="S18" s="3" t="str">
        <f ca="1">CELL("contenu",INDIRECT(ADDRESS(ref!$K$7,ref!F17,1,,CELL("contenu",$AA$2))))</f>
        <v/>
      </c>
      <c r="T18" s="4" t="str">
        <f ca="1">CELL("contenu",INDIRECT(ADDRESS(ref!$K$7,ref!G17,1,,CELL("contenu",$AA$2))))</f>
        <v/>
      </c>
      <c r="U18" s="5" t="str">
        <f ca="1">CELL("contenu",INDIRECT(ADDRESS(ref!$K$7,ref!H17,1,,CELL("contenu",$AA$2))))</f>
        <v/>
      </c>
      <c r="V18" s="49">
        <f ca="1">CELL("contenu",INDIRECT(ADDRESS(ref!$K$8,ref!E17,1,,CELL("contenu",$AA$2))))</f>
        <v>11.666666666666668</v>
      </c>
      <c r="W18" s="50">
        <f ca="1">CELL("contenu",INDIRECT(ADDRESS(ref!$K$8,ref!F17,1,,CELL("contenu",$AA$2))))</f>
        <v>20</v>
      </c>
      <c r="X18" s="51">
        <f ca="1">CELL("contenu",INDIRECT(ADDRESS(ref!$K$8,ref!G17,1,,CELL("contenu",$AA$2))))</f>
        <v>20.208333333333336</v>
      </c>
      <c r="Y18" s="21" t="str">
        <f ca="1">CELL("contenu",INDIRECT(ADDRESS(ref!$K$9,ref!H17,1,,CELL("contenu",$AA$2))))</f>
        <v>B</v>
      </c>
    </row>
    <row r="19" spans="1:25" x14ac:dyDescent="0.25">
      <c r="A19" s="59" t="str">
        <f t="shared" ca="1" si="0"/>
        <v>KADRIC Lina</v>
      </c>
      <c r="B19" s="2" t="str">
        <f ca="1">CELL("contenu",INDIRECT(ADDRESS(ref!$K$3,ref!E18,1,,CELL("contenu",$AA$2))))</f>
        <v>C</v>
      </c>
      <c r="C19" s="3" t="str">
        <f ca="1">CELL("contenu",INDIRECT(ADDRESS(ref!$K$3,ref!F18,1,,CELL("contenu",$AA$2))))</f>
        <v>A</v>
      </c>
      <c r="D19" s="4" t="str">
        <f ca="1">CELL("contenu",INDIRECT(ADDRESS(ref!$K$3,ref!G18,1,,CELL("contenu",$AA$2))))</f>
        <v>B</v>
      </c>
      <c r="E19" s="5" t="str">
        <f ca="1">CELL("contenu",INDIRECT(ADDRESS(ref!$K$3,ref!H18,1,,CELL("contenu",$AA$2))))</f>
        <v>B</v>
      </c>
      <c r="F19" s="6" t="str">
        <f ca="1">CELL("contenu",INDIRECT(ADDRESS(ref!$K$4,ref!E18,1,,CELL("contenu",$AA$2))))</f>
        <v>B</v>
      </c>
      <c r="G19" s="3" t="str">
        <f ca="1">CELL("contenu",INDIRECT(ADDRESS(ref!$K$4,ref!F18,1,,CELL("contenu",$AA$2))))</f>
        <v/>
      </c>
      <c r="H19" s="4" t="str">
        <f ca="1">CELL("contenu",INDIRECT(ADDRESS(ref!$K$4,ref!G18,1,,CELL("contenu",$AA$2))))</f>
        <v>A</v>
      </c>
      <c r="I19" s="5" t="str">
        <f ca="1">CELL("contenu",INDIRECT(ADDRESS(ref!$K$4,ref!H18,1,,CELL("contenu",$AA$2))))</f>
        <v>B</v>
      </c>
      <c r="J19" s="6" t="str">
        <f ca="1">CELL("contenu",INDIRECT(ADDRESS(ref!$K$5,ref!E18,1,,CELL("contenu",$AA$2))))</f>
        <v>B</v>
      </c>
      <c r="K19" s="3" t="str">
        <f ca="1">CELL("contenu",INDIRECT(ADDRESS(ref!$K$5,ref!F18,1,,CELL("contenu",$AA$2))))</f>
        <v/>
      </c>
      <c r="L19" s="4" t="str">
        <f ca="1">CELL("contenu",INDIRECT(ADDRESS(ref!$K$5,ref!G18,1,,CELL("contenu",$AA$2))))</f>
        <v>B</v>
      </c>
      <c r="M19" s="5" t="str">
        <f ca="1">CELL("contenu",INDIRECT(ADDRESS(ref!$K$5,ref!H18,1,,CELL("contenu",$AA$2))))</f>
        <v>B</v>
      </c>
      <c r="N19" s="6" t="str">
        <f ca="1">CELL("contenu",INDIRECT(ADDRESS(ref!$K$6,ref!E18,1,,CELL("contenu",$AA$2))))</f>
        <v>B</v>
      </c>
      <c r="O19" s="3" t="str">
        <f ca="1">CELL("contenu",INDIRECT(ADDRESS(ref!$K$6,ref!F18,1,,CELL("contenu",$AA$2))))</f>
        <v>B</v>
      </c>
      <c r="P19" s="4" t="str">
        <f ca="1">CELL("contenu",INDIRECT(ADDRESS(ref!$K$6,ref!G18,1,,CELL("contenu",$AA$2))))</f>
        <v>C</v>
      </c>
      <c r="Q19" s="5" t="str">
        <f ca="1">CELL("contenu",INDIRECT(ADDRESS(ref!$K$6,ref!H18,1,,CELL("contenu",$AA$2))))</f>
        <v>C</v>
      </c>
      <c r="R19" s="6" t="str">
        <f ca="1">CELL("contenu",INDIRECT(ADDRESS(ref!$K$7,ref!E18,1,,CELL("contenu",$AA$2))))</f>
        <v/>
      </c>
      <c r="S19" s="3" t="str">
        <f ca="1">CELL("contenu",INDIRECT(ADDRESS(ref!$K$7,ref!F18,1,,CELL("contenu",$AA$2))))</f>
        <v/>
      </c>
      <c r="T19" s="4" t="str">
        <f ca="1">CELL("contenu",INDIRECT(ADDRESS(ref!$K$7,ref!G18,1,,CELL("contenu",$AA$2))))</f>
        <v/>
      </c>
      <c r="U19" s="5" t="str">
        <f ca="1">CELL("contenu",INDIRECT(ADDRESS(ref!$K$7,ref!H18,1,,CELL("contenu",$AA$2))))</f>
        <v/>
      </c>
      <c r="V19" s="49">
        <f ca="1">CELL("contenu",INDIRECT(ADDRESS(ref!$K$8,ref!E18,1,,CELL("contenu",$AA$2))))</f>
        <v>13.541666666666668</v>
      </c>
      <c r="W19" s="50">
        <f ca="1">CELL("contenu",INDIRECT(ADDRESS(ref!$K$8,ref!F18,1,,CELL("contenu",$AA$2))))</f>
        <v>17.5</v>
      </c>
      <c r="X19" s="51">
        <f ca="1">CELL("contenu",INDIRECT(ADDRESS(ref!$K$8,ref!G18,1,,CELL("contenu",$AA$2))))</f>
        <v>18.75</v>
      </c>
      <c r="Y19" s="21" t="str">
        <f ca="1">CELL("contenu",INDIRECT(ADDRESS(ref!$K$9,ref!H18,1,,CELL("contenu",$AA$2))))</f>
        <v>A</v>
      </c>
    </row>
    <row r="20" spans="1:25" x14ac:dyDescent="0.25">
      <c r="A20" s="59" t="str">
        <f t="shared" ca="1" si="0"/>
        <v>LE CLEZIO Olivia</v>
      </c>
      <c r="B20" s="2" t="str">
        <f ca="1">CELL("contenu",INDIRECT(ADDRESS(ref!$K$3,ref!E19,1,,CELL("contenu",$AA$2))))</f>
        <v>C</v>
      </c>
      <c r="C20" s="3" t="str">
        <f ca="1">CELL("contenu",INDIRECT(ADDRESS(ref!$K$3,ref!F19,1,,CELL("contenu",$AA$2))))</f>
        <v>A</v>
      </c>
      <c r="D20" s="4" t="str">
        <f ca="1">CELL("contenu",INDIRECT(ADDRESS(ref!$K$3,ref!G19,1,,CELL("contenu",$AA$2))))</f>
        <v>A</v>
      </c>
      <c r="E20" s="5" t="str">
        <f ca="1">CELL("contenu",INDIRECT(ADDRESS(ref!$K$3,ref!H19,1,,CELL("contenu",$AA$2))))</f>
        <v>B</v>
      </c>
      <c r="F20" s="6" t="str">
        <f ca="1">CELL("contenu",INDIRECT(ADDRESS(ref!$K$4,ref!E19,1,,CELL("contenu",$AA$2))))</f>
        <v>B</v>
      </c>
      <c r="G20" s="3" t="str">
        <f ca="1">CELL("contenu",INDIRECT(ADDRESS(ref!$K$4,ref!F19,1,,CELL("contenu",$AA$2))))</f>
        <v/>
      </c>
      <c r="H20" s="4" t="str">
        <f ca="1">CELL("contenu",INDIRECT(ADDRESS(ref!$K$4,ref!G19,1,,CELL("contenu",$AA$2))))</f>
        <v>A</v>
      </c>
      <c r="I20" s="5" t="str">
        <f ca="1">CELL("contenu",INDIRECT(ADDRESS(ref!$K$4,ref!H19,1,,CELL("contenu",$AA$2))))</f>
        <v>B</v>
      </c>
      <c r="J20" s="6" t="str">
        <f ca="1">CELL("contenu",INDIRECT(ADDRESS(ref!$K$5,ref!E19,1,,CELL("contenu",$AA$2))))</f>
        <v>D</v>
      </c>
      <c r="K20" s="3" t="str">
        <f ca="1">CELL("contenu",INDIRECT(ADDRESS(ref!$K$5,ref!F19,1,,CELL("contenu",$AA$2))))</f>
        <v/>
      </c>
      <c r="L20" s="4" t="str">
        <f ca="1">CELL("contenu",INDIRECT(ADDRESS(ref!$K$5,ref!G19,1,,CELL("contenu",$AA$2))))</f>
        <v>B</v>
      </c>
      <c r="M20" s="5" t="str">
        <f ca="1">CELL("contenu",INDIRECT(ADDRESS(ref!$K$5,ref!H19,1,,CELL("contenu",$AA$2))))</f>
        <v>C</v>
      </c>
      <c r="N20" s="6" t="str">
        <f ca="1">CELL("contenu",INDIRECT(ADDRESS(ref!$K$6,ref!E19,1,,CELL("contenu",$AA$2))))</f>
        <v>C</v>
      </c>
      <c r="O20" s="3" t="str">
        <f ca="1">CELL("contenu",INDIRECT(ADDRESS(ref!$K$6,ref!F19,1,,CELL("contenu",$AA$2))))</f>
        <v>A</v>
      </c>
      <c r="P20" s="4" t="str">
        <f ca="1">CELL("contenu",INDIRECT(ADDRESS(ref!$K$6,ref!G19,1,,CELL("contenu",$AA$2))))</f>
        <v>C</v>
      </c>
      <c r="Q20" s="5" t="str">
        <f ca="1">CELL("contenu",INDIRECT(ADDRESS(ref!$K$6,ref!H19,1,,CELL("contenu",$AA$2))))</f>
        <v>C</v>
      </c>
      <c r="R20" s="6" t="str">
        <f ca="1">CELL("contenu",INDIRECT(ADDRESS(ref!$K$7,ref!E19,1,,CELL("contenu",$AA$2))))</f>
        <v/>
      </c>
      <c r="S20" s="3" t="str">
        <f ca="1">CELL("contenu",INDIRECT(ADDRESS(ref!$K$7,ref!F19,1,,CELL("contenu",$AA$2))))</f>
        <v/>
      </c>
      <c r="T20" s="4" t="str">
        <f ca="1">CELL("contenu",INDIRECT(ADDRESS(ref!$K$7,ref!G19,1,,CELL("contenu",$AA$2))))</f>
        <v/>
      </c>
      <c r="U20" s="5" t="str">
        <f ca="1">CELL("contenu",INDIRECT(ADDRESS(ref!$K$7,ref!H19,1,,CELL("contenu",$AA$2))))</f>
        <v/>
      </c>
      <c r="V20" s="49">
        <f ca="1">CELL("contenu",INDIRECT(ADDRESS(ref!$K$8,ref!E19,1,,CELL("contenu",$AA$2))))</f>
        <v>10.208333333333332</v>
      </c>
      <c r="W20" s="50">
        <f ca="1">CELL("contenu",INDIRECT(ADDRESS(ref!$K$8,ref!F19,1,,CELL("contenu",$AA$2))))</f>
        <v>20</v>
      </c>
      <c r="X20" s="51">
        <f ca="1">CELL("contenu",INDIRECT(ADDRESS(ref!$K$8,ref!G19,1,,CELL("contenu",$AA$2))))</f>
        <v>20</v>
      </c>
      <c r="Y20" s="21" t="str">
        <f ca="1">CELL("contenu",INDIRECT(ADDRESS(ref!$K$9,ref!H19,1,,CELL("contenu",$AA$2))))</f>
        <v>B</v>
      </c>
    </row>
    <row r="21" spans="1:25" x14ac:dyDescent="0.25">
      <c r="A21" s="59" t="str">
        <f t="shared" ca="1" si="0"/>
        <v>LECONTE Ziyed</v>
      </c>
      <c r="B21" s="2" t="str">
        <f ca="1">CELL("contenu",INDIRECT(ADDRESS(ref!$K$3,ref!E20,1,,CELL("contenu",$AA$2))))</f>
        <v>C</v>
      </c>
      <c r="C21" s="3" t="str">
        <f ca="1">CELL("contenu",INDIRECT(ADDRESS(ref!$K$3,ref!F20,1,,CELL("contenu",$AA$2))))</f>
        <v>A</v>
      </c>
      <c r="D21" s="4" t="str">
        <f ca="1">CELL("contenu",INDIRECT(ADDRESS(ref!$K$3,ref!G20,1,,CELL("contenu",$AA$2))))</f>
        <v>A</v>
      </c>
      <c r="E21" s="5" t="str">
        <f ca="1">CELL("contenu",INDIRECT(ADDRESS(ref!$K$3,ref!H20,1,,CELL("contenu",$AA$2))))</f>
        <v>B</v>
      </c>
      <c r="F21" s="6" t="str">
        <f ca="1">CELL("contenu",INDIRECT(ADDRESS(ref!$K$4,ref!E20,1,,CELL("contenu",$AA$2))))</f>
        <v>B</v>
      </c>
      <c r="G21" s="3" t="str">
        <f ca="1">CELL("contenu",INDIRECT(ADDRESS(ref!$K$4,ref!F20,1,,CELL("contenu",$AA$2))))</f>
        <v/>
      </c>
      <c r="H21" s="4" t="str">
        <f ca="1">CELL("contenu",INDIRECT(ADDRESS(ref!$K$4,ref!G20,1,,CELL("contenu",$AA$2))))</f>
        <v>A</v>
      </c>
      <c r="I21" s="5" t="str">
        <f ca="1">CELL("contenu",INDIRECT(ADDRESS(ref!$K$4,ref!H20,1,,CELL("contenu",$AA$2))))</f>
        <v>B</v>
      </c>
      <c r="J21" s="6" t="str">
        <f ca="1">CELL("contenu",INDIRECT(ADDRESS(ref!$K$5,ref!E20,1,,CELL("contenu",$AA$2))))</f>
        <v>D</v>
      </c>
      <c r="K21" s="3" t="str">
        <f ca="1">CELL("contenu",INDIRECT(ADDRESS(ref!$K$5,ref!F20,1,,CELL("contenu",$AA$2))))</f>
        <v/>
      </c>
      <c r="L21" s="4" t="str">
        <f ca="1">CELL("contenu",INDIRECT(ADDRESS(ref!$K$5,ref!G20,1,,CELL("contenu",$AA$2))))</f>
        <v>C</v>
      </c>
      <c r="M21" s="5" t="str">
        <f ca="1">CELL("contenu",INDIRECT(ADDRESS(ref!$K$5,ref!H20,1,,CELL("contenu",$AA$2))))</f>
        <v>C</v>
      </c>
      <c r="N21" s="6" t="str">
        <f ca="1">CELL("contenu",INDIRECT(ADDRESS(ref!$K$6,ref!E20,1,,CELL("contenu",$AA$2))))</f>
        <v>B</v>
      </c>
      <c r="O21" s="3" t="str">
        <f ca="1">CELL("contenu",INDIRECT(ADDRESS(ref!$K$6,ref!F20,1,,CELL("contenu",$AA$2))))</f>
        <v>A</v>
      </c>
      <c r="P21" s="4" t="str">
        <f ca="1">CELL("contenu",INDIRECT(ADDRESS(ref!$K$6,ref!G20,1,,CELL("contenu",$AA$2))))</f>
        <v>C</v>
      </c>
      <c r="Q21" s="5" t="str">
        <f ca="1">CELL("contenu",INDIRECT(ADDRESS(ref!$K$6,ref!H20,1,,CELL("contenu",$AA$2))))</f>
        <v>B</v>
      </c>
      <c r="R21" s="6" t="str">
        <f ca="1">CELL("contenu",INDIRECT(ADDRESS(ref!$K$7,ref!E20,1,,CELL("contenu",$AA$2))))</f>
        <v/>
      </c>
      <c r="S21" s="3" t="str">
        <f ca="1">CELL("contenu",INDIRECT(ADDRESS(ref!$K$7,ref!F20,1,,CELL("contenu",$AA$2))))</f>
        <v/>
      </c>
      <c r="T21" s="4" t="str">
        <f ca="1">CELL("contenu",INDIRECT(ADDRESS(ref!$K$7,ref!G20,1,,CELL("contenu",$AA$2))))</f>
        <v/>
      </c>
      <c r="U21" s="5" t="str">
        <f ca="1">CELL("contenu",INDIRECT(ADDRESS(ref!$K$7,ref!H20,1,,CELL("contenu",$AA$2))))</f>
        <v/>
      </c>
      <c r="V21" s="49">
        <f ca="1">CELL("contenu",INDIRECT(ADDRESS(ref!$K$8,ref!E20,1,,CELL("contenu",$AA$2))))</f>
        <v>11.875</v>
      </c>
      <c r="W21" s="50">
        <f ca="1">CELL("contenu",INDIRECT(ADDRESS(ref!$K$8,ref!F20,1,,CELL("contenu",$AA$2))))</f>
        <v>20</v>
      </c>
      <c r="X21" s="51">
        <f ca="1">CELL("contenu",INDIRECT(ADDRESS(ref!$K$8,ref!G20,1,,CELL("contenu",$AA$2))))</f>
        <v>19.583333333333332</v>
      </c>
      <c r="Y21" s="21" t="str">
        <f ca="1">CELL("contenu",INDIRECT(ADDRESS(ref!$K$9,ref!H20,1,,CELL("contenu",$AA$2))))</f>
        <v>A</v>
      </c>
    </row>
    <row r="22" spans="1:25" x14ac:dyDescent="0.25">
      <c r="A22" s="59" t="str">
        <f t="shared" ca="1" si="0"/>
        <v>MARCHAND Antoine</v>
      </c>
      <c r="B22" s="2" t="str">
        <f ca="1">CELL("contenu",INDIRECT(ADDRESS(ref!$K$3,ref!E21,1,,CELL("contenu",$AA$2))))</f>
        <v>B</v>
      </c>
      <c r="C22" s="3" t="str">
        <f ca="1">CELL("contenu",INDIRECT(ADDRESS(ref!$K$3,ref!F21,1,,CELL("contenu",$AA$2))))</f>
        <v>A</v>
      </c>
      <c r="D22" s="4" t="str">
        <f ca="1">CELL("contenu",INDIRECT(ADDRESS(ref!$K$3,ref!G21,1,,CELL("contenu",$AA$2))))</f>
        <v>A</v>
      </c>
      <c r="E22" s="5" t="str">
        <f ca="1">CELL("contenu",INDIRECT(ADDRESS(ref!$K$3,ref!H21,1,,CELL("contenu",$AA$2))))</f>
        <v>A</v>
      </c>
      <c r="F22" s="6" t="str">
        <f ca="1">CELL("contenu",INDIRECT(ADDRESS(ref!$K$4,ref!E21,1,,CELL("contenu",$AA$2))))</f>
        <v>B</v>
      </c>
      <c r="G22" s="3" t="str">
        <f ca="1">CELL("contenu",INDIRECT(ADDRESS(ref!$K$4,ref!F21,1,,CELL("contenu",$AA$2))))</f>
        <v/>
      </c>
      <c r="H22" s="4" t="str">
        <f ca="1">CELL("contenu",INDIRECT(ADDRESS(ref!$K$4,ref!G21,1,,CELL("contenu",$AA$2))))</f>
        <v>A</v>
      </c>
      <c r="I22" s="5" t="str">
        <f ca="1">CELL("contenu",INDIRECT(ADDRESS(ref!$K$4,ref!H21,1,,CELL("contenu",$AA$2))))</f>
        <v>B</v>
      </c>
      <c r="J22" s="6" t="str">
        <f ca="1">CELL("contenu",INDIRECT(ADDRESS(ref!$K$5,ref!E21,1,,CELL("contenu",$AA$2))))</f>
        <v>B</v>
      </c>
      <c r="K22" s="3" t="str">
        <f ca="1">CELL("contenu",INDIRECT(ADDRESS(ref!$K$5,ref!F21,1,,CELL("contenu",$AA$2))))</f>
        <v/>
      </c>
      <c r="L22" s="4" t="str">
        <f ca="1">CELL("contenu",INDIRECT(ADDRESS(ref!$K$5,ref!G21,1,,CELL("contenu",$AA$2))))</f>
        <v>B</v>
      </c>
      <c r="M22" s="5" t="str">
        <f ca="1">CELL("contenu",INDIRECT(ADDRESS(ref!$K$5,ref!H21,1,,CELL("contenu",$AA$2))))</f>
        <v>B</v>
      </c>
      <c r="N22" s="6" t="str">
        <f ca="1">CELL("contenu",INDIRECT(ADDRESS(ref!$K$6,ref!E21,1,,CELL("contenu",$AA$2))))</f>
        <v>B</v>
      </c>
      <c r="O22" s="3" t="str">
        <f ca="1">CELL("contenu",INDIRECT(ADDRESS(ref!$K$6,ref!F21,1,,CELL("contenu",$AA$2))))</f>
        <v>A</v>
      </c>
      <c r="P22" s="4" t="str">
        <f ca="1">CELL("contenu",INDIRECT(ADDRESS(ref!$K$6,ref!G21,1,,CELL("contenu",$AA$2))))</f>
        <v>B</v>
      </c>
      <c r="Q22" s="5" t="str">
        <f ca="1">CELL("contenu",INDIRECT(ADDRESS(ref!$K$6,ref!H21,1,,CELL("contenu",$AA$2))))</f>
        <v>B</v>
      </c>
      <c r="R22" s="6" t="str">
        <f ca="1">CELL("contenu",INDIRECT(ADDRESS(ref!$K$7,ref!E21,1,,CELL("contenu",$AA$2))))</f>
        <v/>
      </c>
      <c r="S22" s="3" t="str">
        <f ca="1">CELL("contenu",INDIRECT(ADDRESS(ref!$K$7,ref!F21,1,,CELL("contenu",$AA$2))))</f>
        <v/>
      </c>
      <c r="T22" s="4" t="str">
        <f ca="1">CELL("contenu",INDIRECT(ADDRESS(ref!$K$7,ref!G21,1,,CELL("contenu",$AA$2))))</f>
        <v/>
      </c>
      <c r="U22" s="5" t="str">
        <f ca="1">CELL("contenu",INDIRECT(ADDRESS(ref!$K$7,ref!H21,1,,CELL("contenu",$AA$2))))</f>
        <v/>
      </c>
      <c r="V22" s="49">
        <f ca="1">CELL("contenu",INDIRECT(ADDRESS(ref!$K$8,ref!E21,1,,CELL("contenu",$AA$2))))</f>
        <v>15.416666666666668</v>
      </c>
      <c r="W22" s="50">
        <f ca="1">CELL("contenu",INDIRECT(ADDRESS(ref!$K$8,ref!F21,1,,CELL("contenu",$AA$2))))</f>
        <v>20</v>
      </c>
      <c r="X22" s="51">
        <f ca="1">CELL("contenu",INDIRECT(ADDRESS(ref!$K$8,ref!G21,1,,CELL("contenu",$AA$2))))</f>
        <v>21.458333333333336</v>
      </c>
      <c r="Y22" s="21" t="str">
        <f ca="1">CELL("contenu",INDIRECT(ADDRESS(ref!$K$9,ref!H21,1,,CELL("contenu",$AA$2))))</f>
        <v>A</v>
      </c>
    </row>
    <row r="23" spans="1:25" x14ac:dyDescent="0.25">
      <c r="A23" s="59" t="str">
        <f t="shared" ca="1" si="0"/>
        <v>MARTINAT Antoine</v>
      </c>
      <c r="B23" s="2" t="str">
        <f ca="1">CELL("contenu",INDIRECT(ADDRESS(ref!$K$3,ref!E22,1,,CELL("contenu",$AA$2))))</f>
        <v>B</v>
      </c>
      <c r="C23" s="3" t="str">
        <f ca="1">CELL("contenu",INDIRECT(ADDRESS(ref!$K$3,ref!F22,1,,CELL("contenu",$AA$2))))</f>
        <v>A</v>
      </c>
      <c r="D23" s="4" t="str">
        <f ca="1">CELL("contenu",INDIRECT(ADDRESS(ref!$K$3,ref!G22,1,,CELL("contenu",$AA$2))))</f>
        <v>A</v>
      </c>
      <c r="E23" s="5" t="str">
        <f ca="1">CELL("contenu",INDIRECT(ADDRESS(ref!$K$3,ref!H22,1,,CELL("contenu",$AA$2))))</f>
        <v>A</v>
      </c>
      <c r="F23" s="6" t="str">
        <f ca="1">CELL("contenu",INDIRECT(ADDRESS(ref!$K$4,ref!E22,1,,CELL("contenu",$AA$2))))</f>
        <v>B</v>
      </c>
      <c r="G23" s="3" t="str">
        <f ca="1">CELL("contenu",INDIRECT(ADDRESS(ref!$K$4,ref!F22,1,,CELL("contenu",$AA$2))))</f>
        <v/>
      </c>
      <c r="H23" s="4" t="str">
        <f ca="1">CELL("contenu",INDIRECT(ADDRESS(ref!$K$4,ref!G22,1,,CELL("contenu",$AA$2))))</f>
        <v>A</v>
      </c>
      <c r="I23" s="5" t="str">
        <f ca="1">CELL("contenu",INDIRECT(ADDRESS(ref!$K$4,ref!H22,1,,CELL("contenu",$AA$2))))</f>
        <v>B</v>
      </c>
      <c r="J23" s="6" t="str">
        <f ca="1">CELL("contenu",INDIRECT(ADDRESS(ref!$K$5,ref!E22,1,,CELL("contenu",$AA$2))))</f>
        <v>B</v>
      </c>
      <c r="K23" s="3" t="str">
        <f ca="1">CELL("contenu",INDIRECT(ADDRESS(ref!$K$5,ref!F22,1,,CELL("contenu",$AA$2))))</f>
        <v/>
      </c>
      <c r="L23" s="4" t="str">
        <f ca="1">CELL("contenu",INDIRECT(ADDRESS(ref!$K$5,ref!G22,1,,CELL("contenu",$AA$2))))</f>
        <v>B</v>
      </c>
      <c r="M23" s="5" t="str">
        <f ca="1">CELL("contenu",INDIRECT(ADDRESS(ref!$K$5,ref!H22,1,,CELL("contenu",$AA$2))))</f>
        <v>B</v>
      </c>
      <c r="N23" s="6" t="str">
        <f ca="1">CELL("contenu",INDIRECT(ADDRESS(ref!$K$6,ref!E22,1,,CELL("contenu",$AA$2))))</f>
        <v>C</v>
      </c>
      <c r="O23" s="3" t="str">
        <f ca="1">CELL("contenu",INDIRECT(ADDRESS(ref!$K$6,ref!F22,1,,CELL("contenu",$AA$2))))</f>
        <v>B</v>
      </c>
      <c r="P23" s="4" t="str">
        <f ca="1">CELL("contenu",INDIRECT(ADDRESS(ref!$K$6,ref!G22,1,,CELL("contenu",$AA$2))))</f>
        <v>B</v>
      </c>
      <c r="Q23" s="5" t="str">
        <f ca="1">CELL("contenu",INDIRECT(ADDRESS(ref!$K$6,ref!H22,1,,CELL("contenu",$AA$2))))</f>
        <v>C</v>
      </c>
      <c r="R23" s="6" t="str">
        <f ca="1">CELL("contenu",INDIRECT(ADDRESS(ref!$K$7,ref!E22,1,,CELL("contenu",$AA$2))))</f>
        <v/>
      </c>
      <c r="S23" s="3" t="str">
        <f ca="1">CELL("contenu",INDIRECT(ADDRESS(ref!$K$7,ref!F22,1,,CELL("contenu",$AA$2))))</f>
        <v/>
      </c>
      <c r="T23" s="4" t="str">
        <f ca="1">CELL("contenu",INDIRECT(ADDRESS(ref!$K$7,ref!G22,1,,CELL("contenu",$AA$2))))</f>
        <v/>
      </c>
      <c r="U23" s="5" t="str">
        <f ca="1">CELL("contenu",INDIRECT(ADDRESS(ref!$K$7,ref!H22,1,,CELL("contenu",$AA$2))))</f>
        <v/>
      </c>
      <c r="V23" s="49">
        <f ca="1">CELL("contenu",INDIRECT(ADDRESS(ref!$K$8,ref!E22,1,,CELL("contenu",$AA$2))))</f>
        <v>14.375</v>
      </c>
      <c r="W23" s="50">
        <f ca="1">CELL("contenu",INDIRECT(ADDRESS(ref!$K$8,ref!F22,1,,CELL("contenu",$AA$2))))</f>
        <v>17.5</v>
      </c>
      <c r="X23" s="51">
        <f ca="1">CELL("contenu",INDIRECT(ADDRESS(ref!$K$8,ref!G22,1,,CELL("contenu",$AA$2))))</f>
        <v>21.25</v>
      </c>
      <c r="Y23" s="21" t="str">
        <f ca="1">CELL("contenu",INDIRECT(ADDRESS(ref!$K$9,ref!H22,1,,CELL("contenu",$AA$2))))</f>
        <v>B</v>
      </c>
    </row>
    <row r="24" spans="1:25" x14ac:dyDescent="0.25">
      <c r="A24" s="59" t="str">
        <f t="shared" ca="1" si="0"/>
        <v>NORGUET Andrea</v>
      </c>
      <c r="B24" s="2" t="str">
        <f ca="1">CELL("contenu",INDIRECT(ADDRESS(ref!$K$3,ref!E23,1,,CELL("contenu",$AA$2))))</f>
        <v>C</v>
      </c>
      <c r="C24" s="3" t="str">
        <f ca="1">CELL("contenu",INDIRECT(ADDRESS(ref!$K$3,ref!F23,1,,CELL("contenu",$AA$2))))</f>
        <v>A</v>
      </c>
      <c r="D24" s="4" t="str">
        <f ca="1">CELL("contenu",INDIRECT(ADDRESS(ref!$K$3,ref!G23,1,,CELL("contenu",$AA$2))))</f>
        <v>A</v>
      </c>
      <c r="E24" s="5" t="str">
        <f ca="1">CELL("contenu",INDIRECT(ADDRESS(ref!$K$3,ref!H23,1,,CELL("contenu",$AA$2))))</f>
        <v>B</v>
      </c>
      <c r="F24" s="6" t="str">
        <f ca="1">CELL("contenu",INDIRECT(ADDRESS(ref!$K$4,ref!E23,1,,CELL("contenu",$AA$2))))</f>
        <v>B</v>
      </c>
      <c r="G24" s="3" t="str">
        <f ca="1">CELL("contenu",INDIRECT(ADDRESS(ref!$K$4,ref!F23,1,,CELL("contenu",$AA$2))))</f>
        <v/>
      </c>
      <c r="H24" s="4" t="str">
        <f ca="1">CELL("contenu",INDIRECT(ADDRESS(ref!$K$4,ref!G23,1,,CELL("contenu",$AA$2))))</f>
        <v>A</v>
      </c>
      <c r="I24" s="5" t="str">
        <f ca="1">CELL("contenu",INDIRECT(ADDRESS(ref!$K$4,ref!H23,1,,CELL("contenu",$AA$2))))</f>
        <v>B</v>
      </c>
      <c r="J24" s="6" t="str">
        <f ca="1">CELL("contenu",INDIRECT(ADDRESS(ref!$K$5,ref!E23,1,,CELL("contenu",$AA$2))))</f>
        <v>B</v>
      </c>
      <c r="K24" s="3" t="str">
        <f ca="1">CELL("contenu",INDIRECT(ADDRESS(ref!$K$5,ref!F23,1,,CELL("contenu",$AA$2))))</f>
        <v/>
      </c>
      <c r="L24" s="4" t="str">
        <f ca="1">CELL("contenu",INDIRECT(ADDRESS(ref!$K$5,ref!G23,1,,CELL("contenu",$AA$2))))</f>
        <v>B</v>
      </c>
      <c r="M24" s="5" t="str">
        <f ca="1">CELL("contenu",INDIRECT(ADDRESS(ref!$K$5,ref!H23,1,,CELL("contenu",$AA$2))))</f>
        <v>B</v>
      </c>
      <c r="N24" s="6" t="str">
        <f ca="1">CELL("contenu",INDIRECT(ADDRESS(ref!$K$6,ref!E23,1,,CELL("contenu",$AA$2))))</f>
        <v>C</v>
      </c>
      <c r="O24" s="3" t="str">
        <f ca="1">CELL("contenu",INDIRECT(ADDRESS(ref!$K$6,ref!F23,1,,CELL("contenu",$AA$2))))</f>
        <v>A</v>
      </c>
      <c r="P24" s="4" t="str">
        <f ca="1">CELL("contenu",INDIRECT(ADDRESS(ref!$K$6,ref!G23,1,,CELL("contenu",$AA$2))))</f>
        <v>B</v>
      </c>
      <c r="Q24" s="5" t="str">
        <f ca="1">CELL("contenu",INDIRECT(ADDRESS(ref!$K$6,ref!H23,1,,CELL("contenu",$AA$2))))</f>
        <v>C</v>
      </c>
      <c r="R24" s="6" t="str">
        <f ca="1">CELL("contenu",INDIRECT(ADDRESS(ref!$K$7,ref!E23,1,,CELL("contenu",$AA$2))))</f>
        <v/>
      </c>
      <c r="S24" s="3" t="str">
        <f ca="1">CELL("contenu",INDIRECT(ADDRESS(ref!$K$7,ref!F23,1,,CELL("contenu",$AA$2))))</f>
        <v/>
      </c>
      <c r="T24" s="4" t="str">
        <f ca="1">CELL("contenu",INDIRECT(ADDRESS(ref!$K$7,ref!G23,1,,CELL("contenu",$AA$2))))</f>
        <v/>
      </c>
      <c r="U24" s="5" t="str">
        <f ca="1">CELL("contenu",INDIRECT(ADDRESS(ref!$K$7,ref!H23,1,,CELL("contenu",$AA$2))))</f>
        <v/>
      </c>
      <c r="V24" s="49">
        <f ca="1">CELL("contenu",INDIRECT(ADDRESS(ref!$K$8,ref!E23,1,,CELL("contenu",$AA$2))))</f>
        <v>13.541666666666668</v>
      </c>
      <c r="W24" s="50">
        <f ca="1">CELL("contenu",INDIRECT(ADDRESS(ref!$K$8,ref!F23,1,,CELL("contenu",$AA$2))))</f>
        <v>20</v>
      </c>
      <c r="X24" s="51">
        <f ca="1">CELL("contenu",INDIRECT(ADDRESS(ref!$K$8,ref!G23,1,,CELL("contenu",$AA$2))))</f>
        <v>21.25</v>
      </c>
      <c r="Y24" s="21" t="str">
        <f ca="1">CELL("contenu",INDIRECT(ADDRESS(ref!$K$9,ref!H23,1,,CELL("contenu",$AA$2))))</f>
        <v>A</v>
      </c>
    </row>
    <row r="25" spans="1:25" x14ac:dyDescent="0.25">
      <c r="A25" s="59" t="str">
        <f t="shared" ca="1" si="0"/>
        <v>NOSMAS Clement</v>
      </c>
      <c r="B25" s="2" t="str">
        <f ca="1">CELL("contenu",INDIRECT(ADDRESS(ref!$K$3,ref!E24,1,,CELL("contenu",$AA$2))))</f>
        <v>C</v>
      </c>
      <c r="C25" s="3" t="str">
        <f ca="1">CELL("contenu",INDIRECT(ADDRESS(ref!$K$3,ref!F24,1,,CELL("contenu",$AA$2))))</f>
        <v>A</v>
      </c>
      <c r="D25" s="4" t="str">
        <f ca="1">CELL("contenu",INDIRECT(ADDRESS(ref!$K$3,ref!G24,1,,CELL("contenu",$AA$2))))</f>
        <v>A</v>
      </c>
      <c r="E25" s="5" t="str">
        <f ca="1">CELL("contenu",INDIRECT(ADDRESS(ref!$K$3,ref!H24,1,,CELL("contenu",$AA$2))))</f>
        <v>B</v>
      </c>
      <c r="F25" s="6" t="str">
        <f ca="1">CELL("contenu",INDIRECT(ADDRESS(ref!$K$4,ref!E24,1,,CELL("contenu",$AA$2))))</f>
        <v>B</v>
      </c>
      <c r="G25" s="3" t="str">
        <f ca="1">CELL("contenu",INDIRECT(ADDRESS(ref!$K$4,ref!F24,1,,CELL("contenu",$AA$2))))</f>
        <v/>
      </c>
      <c r="H25" s="4" t="str">
        <f ca="1">CELL("contenu",INDIRECT(ADDRESS(ref!$K$4,ref!G24,1,,CELL("contenu",$AA$2))))</f>
        <v>A</v>
      </c>
      <c r="I25" s="5" t="str">
        <f ca="1">CELL("contenu",INDIRECT(ADDRESS(ref!$K$4,ref!H24,1,,CELL("contenu",$AA$2))))</f>
        <v>B</v>
      </c>
      <c r="J25" s="6" t="str">
        <f ca="1">CELL("contenu",INDIRECT(ADDRESS(ref!$K$5,ref!E24,1,,CELL("contenu",$AA$2))))</f>
        <v>C</v>
      </c>
      <c r="K25" s="3" t="str">
        <f ca="1">CELL("contenu",INDIRECT(ADDRESS(ref!$K$5,ref!F24,1,,CELL("contenu",$AA$2))))</f>
        <v/>
      </c>
      <c r="L25" s="4" t="str">
        <f ca="1">CELL("contenu",INDIRECT(ADDRESS(ref!$K$5,ref!G24,1,,CELL("contenu",$AA$2))))</f>
        <v>B</v>
      </c>
      <c r="M25" s="5" t="str">
        <f ca="1">CELL("contenu",INDIRECT(ADDRESS(ref!$K$5,ref!H24,1,,CELL("contenu",$AA$2))))</f>
        <v>C</v>
      </c>
      <c r="N25" s="6" t="str">
        <f ca="1">CELL("contenu",INDIRECT(ADDRESS(ref!$K$6,ref!E24,1,,CELL("contenu",$AA$2))))</f>
        <v>C</v>
      </c>
      <c r="O25" s="3" t="str">
        <f ca="1">CELL("contenu",INDIRECT(ADDRESS(ref!$K$6,ref!F24,1,,CELL("contenu",$AA$2))))</f>
        <v>B</v>
      </c>
      <c r="P25" s="4" t="str">
        <f ca="1">CELL("contenu",INDIRECT(ADDRESS(ref!$K$6,ref!G24,1,,CELL("contenu",$AA$2))))</f>
        <v>B</v>
      </c>
      <c r="Q25" s="5" t="str">
        <f ca="1">CELL("contenu",INDIRECT(ADDRESS(ref!$K$6,ref!H24,1,,CELL("contenu",$AA$2))))</f>
        <v>C</v>
      </c>
      <c r="R25" s="6" t="str">
        <f ca="1">CELL("contenu",INDIRECT(ADDRESS(ref!$K$7,ref!E24,1,,CELL("contenu",$AA$2))))</f>
        <v/>
      </c>
      <c r="S25" s="3" t="str">
        <f ca="1">CELL("contenu",INDIRECT(ADDRESS(ref!$K$7,ref!F24,1,,CELL("contenu",$AA$2))))</f>
        <v/>
      </c>
      <c r="T25" s="4" t="str">
        <f ca="1">CELL("contenu",INDIRECT(ADDRESS(ref!$K$7,ref!G24,1,,CELL("contenu",$AA$2))))</f>
        <v/>
      </c>
      <c r="U25" s="5" t="str">
        <f ca="1">CELL("contenu",INDIRECT(ADDRESS(ref!$K$7,ref!H24,1,,CELL("contenu",$AA$2))))</f>
        <v/>
      </c>
      <c r="V25" s="49">
        <f ca="1">CELL("contenu",INDIRECT(ADDRESS(ref!$K$8,ref!E24,1,,CELL("contenu",$AA$2))))</f>
        <v>11.875</v>
      </c>
      <c r="W25" s="50">
        <f ca="1">CELL("contenu",INDIRECT(ADDRESS(ref!$K$8,ref!F24,1,,CELL("contenu",$AA$2))))</f>
        <v>17.5</v>
      </c>
      <c r="X25" s="51">
        <f ca="1">CELL("contenu",INDIRECT(ADDRESS(ref!$K$8,ref!G24,1,,CELL("contenu",$AA$2))))</f>
        <v>20.3125</v>
      </c>
      <c r="Y25" s="21" t="str">
        <f ca="1">CELL("contenu",INDIRECT(ADDRESS(ref!$K$9,ref!H24,1,,CELL("contenu",$AA$2))))</f>
        <v>B</v>
      </c>
    </row>
    <row r="26" spans="1:25" x14ac:dyDescent="0.25">
      <c r="A26" s="59" t="str">
        <f t="shared" ca="1" si="0"/>
        <v>POUPAULT Sasha</v>
      </c>
      <c r="B26" s="2" t="str">
        <f ca="1">CELL("contenu",INDIRECT(ADDRESS(ref!$K$3,ref!E25,1,,CELL("contenu",$AA$2))))</f>
        <v>B</v>
      </c>
      <c r="C26" s="3" t="str">
        <f ca="1">CELL("contenu",INDIRECT(ADDRESS(ref!$K$3,ref!F25,1,,CELL("contenu",$AA$2))))</f>
        <v>B</v>
      </c>
      <c r="D26" s="4" t="str">
        <f ca="1">CELL("contenu",INDIRECT(ADDRESS(ref!$K$3,ref!G25,1,,CELL("contenu",$AA$2))))</f>
        <v>A</v>
      </c>
      <c r="E26" s="5" t="str">
        <f ca="1">CELL("contenu",INDIRECT(ADDRESS(ref!$K$3,ref!H25,1,,CELL("contenu",$AA$2))))</f>
        <v>B</v>
      </c>
      <c r="F26" s="6" t="str">
        <f ca="1">CELL("contenu",INDIRECT(ADDRESS(ref!$K$4,ref!E25,1,,CELL("contenu",$AA$2))))</f>
        <v>B</v>
      </c>
      <c r="G26" s="3" t="str">
        <f ca="1">CELL("contenu",INDIRECT(ADDRESS(ref!$K$4,ref!F25,1,,CELL("contenu",$AA$2))))</f>
        <v/>
      </c>
      <c r="H26" s="4" t="str">
        <f ca="1">CELL("contenu",INDIRECT(ADDRESS(ref!$K$4,ref!G25,1,,CELL("contenu",$AA$2))))</f>
        <v>A</v>
      </c>
      <c r="I26" s="5" t="str">
        <f ca="1">CELL("contenu",INDIRECT(ADDRESS(ref!$K$4,ref!H25,1,,CELL("contenu",$AA$2))))</f>
        <v>B</v>
      </c>
      <c r="J26" s="6" t="str">
        <f ca="1">CELL("contenu",INDIRECT(ADDRESS(ref!$K$5,ref!E25,1,,CELL("contenu",$AA$2))))</f>
        <v>C</v>
      </c>
      <c r="K26" s="3" t="str">
        <f ca="1">CELL("contenu",INDIRECT(ADDRESS(ref!$K$5,ref!F25,1,,CELL("contenu",$AA$2))))</f>
        <v/>
      </c>
      <c r="L26" s="4" t="str">
        <f ca="1">CELL("contenu",INDIRECT(ADDRESS(ref!$K$5,ref!G25,1,,CELL("contenu",$AA$2))))</f>
        <v>B</v>
      </c>
      <c r="M26" s="5" t="str">
        <f ca="1">CELL("contenu",INDIRECT(ADDRESS(ref!$K$5,ref!H25,1,,CELL("contenu",$AA$2))))</f>
        <v>C</v>
      </c>
      <c r="N26" s="6" t="str">
        <f ca="1">CELL("contenu",INDIRECT(ADDRESS(ref!$K$6,ref!E25,1,,CELL("contenu",$AA$2))))</f>
        <v>C</v>
      </c>
      <c r="O26" s="3" t="str">
        <f ca="1">CELL("contenu",INDIRECT(ADDRESS(ref!$K$6,ref!F25,1,,CELL("contenu",$AA$2))))</f>
        <v>C</v>
      </c>
      <c r="P26" s="4" t="str">
        <f ca="1">CELL("contenu",INDIRECT(ADDRESS(ref!$K$6,ref!G25,1,,CELL("contenu",$AA$2))))</f>
        <v>C</v>
      </c>
      <c r="Q26" s="5" t="str">
        <f ca="1">CELL("contenu",INDIRECT(ADDRESS(ref!$K$6,ref!H25,1,,CELL("contenu",$AA$2))))</f>
        <v>C</v>
      </c>
      <c r="R26" s="6" t="str">
        <f ca="1">CELL("contenu",INDIRECT(ADDRESS(ref!$K$7,ref!E25,1,,CELL("contenu",$AA$2))))</f>
        <v/>
      </c>
      <c r="S26" s="3" t="str">
        <f ca="1">CELL("contenu",INDIRECT(ADDRESS(ref!$K$7,ref!F25,1,,CELL("contenu",$AA$2))))</f>
        <v/>
      </c>
      <c r="T26" s="4" t="str">
        <f ca="1">CELL("contenu",INDIRECT(ADDRESS(ref!$K$7,ref!G25,1,,CELL("contenu",$AA$2))))</f>
        <v/>
      </c>
      <c r="U26" s="5" t="str">
        <f ca="1">CELL("contenu",INDIRECT(ADDRESS(ref!$K$7,ref!H25,1,,CELL("contenu",$AA$2))))</f>
        <v/>
      </c>
      <c r="V26" s="49">
        <f ca="1">CELL("contenu",INDIRECT(ADDRESS(ref!$K$8,ref!E25,1,,CELL("contenu",$AA$2))))</f>
        <v>13.75</v>
      </c>
      <c r="W26" s="50">
        <f ca="1">CELL("contenu",INDIRECT(ADDRESS(ref!$K$8,ref!F25,1,,CELL("contenu",$AA$2))))</f>
        <v>12.5</v>
      </c>
      <c r="X26" s="51">
        <f ca="1">CELL("contenu",INDIRECT(ADDRESS(ref!$K$8,ref!G25,1,,CELL("contenu",$AA$2))))</f>
        <v>19.375</v>
      </c>
      <c r="Y26" s="21" t="str">
        <f ca="1">CELL("contenu",INDIRECT(ADDRESS(ref!$K$9,ref!H25,1,,CELL("contenu",$AA$2))))</f>
        <v>A</v>
      </c>
    </row>
    <row r="27" spans="1:25" x14ac:dyDescent="0.25">
      <c r="A27" s="59" t="str">
        <f t="shared" ca="1" si="0"/>
        <v>RICARD Samuel</v>
      </c>
      <c r="B27" s="2" t="str">
        <f ca="1">CELL("contenu",INDIRECT(ADDRESS(ref!$K$3,ref!E26,1,,CELL("contenu",$AA$2))))</f>
        <v>B</v>
      </c>
      <c r="C27" s="3" t="str">
        <f ca="1">CELL("contenu",INDIRECT(ADDRESS(ref!$K$3,ref!F26,1,,CELL("contenu",$AA$2))))</f>
        <v>A</v>
      </c>
      <c r="D27" s="4" t="str">
        <f ca="1">CELL("contenu",INDIRECT(ADDRESS(ref!$K$3,ref!G26,1,,CELL("contenu",$AA$2))))</f>
        <v>A</v>
      </c>
      <c r="E27" s="5" t="str">
        <f ca="1">CELL("contenu",INDIRECT(ADDRESS(ref!$K$3,ref!H26,1,,CELL("contenu",$AA$2))))</f>
        <v>A</v>
      </c>
      <c r="F27" s="6" t="str">
        <f ca="1">CELL("contenu",INDIRECT(ADDRESS(ref!$K$4,ref!E26,1,,CELL("contenu",$AA$2))))</f>
        <v>B</v>
      </c>
      <c r="G27" s="3" t="str">
        <f ca="1">CELL("contenu",INDIRECT(ADDRESS(ref!$K$4,ref!F26,1,,CELL("contenu",$AA$2))))</f>
        <v/>
      </c>
      <c r="H27" s="4" t="str">
        <f ca="1">CELL("contenu",INDIRECT(ADDRESS(ref!$K$4,ref!G26,1,,CELL("contenu",$AA$2))))</f>
        <v>A</v>
      </c>
      <c r="I27" s="5" t="str">
        <f ca="1">CELL("contenu",INDIRECT(ADDRESS(ref!$K$4,ref!H26,1,,CELL("contenu",$AA$2))))</f>
        <v>B</v>
      </c>
      <c r="J27" s="6" t="str">
        <f ca="1">CELL("contenu",INDIRECT(ADDRESS(ref!$K$5,ref!E26,1,,CELL("contenu",$AA$2))))</f>
        <v>B</v>
      </c>
      <c r="K27" s="3" t="str">
        <f ca="1">CELL("contenu",INDIRECT(ADDRESS(ref!$K$5,ref!F26,1,,CELL("contenu",$AA$2))))</f>
        <v/>
      </c>
      <c r="L27" s="4" t="str">
        <f ca="1">CELL("contenu",INDIRECT(ADDRESS(ref!$K$5,ref!G26,1,,CELL("contenu",$AA$2))))</f>
        <v>B</v>
      </c>
      <c r="M27" s="5" t="str">
        <f ca="1">CELL("contenu",INDIRECT(ADDRESS(ref!$K$5,ref!H26,1,,CELL("contenu",$AA$2))))</f>
        <v>B</v>
      </c>
      <c r="N27" s="6" t="str">
        <f ca="1">CELL("contenu",INDIRECT(ADDRESS(ref!$K$6,ref!E26,1,,CELL("contenu",$AA$2))))</f>
        <v>C</v>
      </c>
      <c r="O27" s="3" t="str">
        <f ca="1">CELL("contenu",INDIRECT(ADDRESS(ref!$K$6,ref!F26,1,,CELL("contenu",$AA$2))))</f>
        <v>A</v>
      </c>
      <c r="P27" s="4" t="str">
        <f ca="1">CELL("contenu",INDIRECT(ADDRESS(ref!$K$6,ref!G26,1,,CELL("contenu",$AA$2))))</f>
        <v>B</v>
      </c>
      <c r="Q27" s="5" t="str">
        <f ca="1">CELL("contenu",INDIRECT(ADDRESS(ref!$K$6,ref!H26,1,,CELL("contenu",$AA$2))))</f>
        <v>C</v>
      </c>
      <c r="R27" s="6" t="str">
        <f ca="1">CELL("contenu",INDIRECT(ADDRESS(ref!$K$7,ref!E26,1,,CELL("contenu",$AA$2))))</f>
        <v/>
      </c>
      <c r="S27" s="3" t="str">
        <f ca="1">CELL("contenu",INDIRECT(ADDRESS(ref!$K$7,ref!F26,1,,CELL("contenu",$AA$2))))</f>
        <v/>
      </c>
      <c r="T27" s="4" t="str">
        <f ca="1">CELL("contenu",INDIRECT(ADDRESS(ref!$K$7,ref!G26,1,,CELL("contenu",$AA$2))))</f>
        <v/>
      </c>
      <c r="U27" s="5" t="str">
        <f ca="1">CELL("contenu",INDIRECT(ADDRESS(ref!$K$7,ref!H26,1,,CELL("contenu",$AA$2))))</f>
        <v/>
      </c>
      <c r="V27" s="49">
        <f ca="1">CELL("contenu",INDIRECT(ADDRESS(ref!$K$8,ref!E26,1,,CELL("contenu",$AA$2))))</f>
        <v>13.75</v>
      </c>
      <c r="W27" s="50">
        <f ca="1">CELL("contenu",INDIRECT(ADDRESS(ref!$K$8,ref!F26,1,,CELL("contenu",$AA$2))))</f>
        <v>20</v>
      </c>
      <c r="X27" s="51">
        <f ca="1">CELL("contenu",INDIRECT(ADDRESS(ref!$K$8,ref!G26,1,,CELL("contenu",$AA$2))))</f>
        <v>21.25</v>
      </c>
      <c r="Y27" s="21" t="str">
        <f ca="1">CELL("contenu",INDIRECT(ADDRESS(ref!$K$9,ref!H26,1,,CELL("contenu",$AA$2))))</f>
        <v>A</v>
      </c>
    </row>
    <row r="28" spans="1:25" x14ac:dyDescent="0.25">
      <c r="A28" s="59" t="str">
        <f t="shared" ca="1" si="0"/>
        <v>ROBIN Paul-Armand</v>
      </c>
      <c r="B28" s="2" t="str">
        <f ca="1">CELL("contenu",INDIRECT(ADDRESS(ref!$K$3,ref!E27,1,,CELL("contenu",$AA$2))))</f>
        <v>B</v>
      </c>
      <c r="C28" s="3" t="str">
        <f ca="1">CELL("contenu",INDIRECT(ADDRESS(ref!$K$3,ref!F27,1,,CELL("contenu",$AA$2))))</f>
        <v>A</v>
      </c>
      <c r="D28" s="4" t="str">
        <f ca="1">CELL("contenu",INDIRECT(ADDRESS(ref!$K$3,ref!G27,1,,CELL("contenu",$AA$2))))</f>
        <v>A</v>
      </c>
      <c r="E28" s="5" t="str">
        <f ca="1">CELL("contenu",INDIRECT(ADDRESS(ref!$K$3,ref!H27,1,,CELL("contenu",$AA$2))))</f>
        <v>A</v>
      </c>
      <c r="F28" s="6" t="str">
        <f ca="1">CELL("contenu",INDIRECT(ADDRESS(ref!$K$4,ref!E27,1,,CELL("contenu",$AA$2))))</f>
        <v>B</v>
      </c>
      <c r="G28" s="3" t="str">
        <f ca="1">CELL("contenu",INDIRECT(ADDRESS(ref!$K$4,ref!F27,1,,CELL("contenu",$AA$2))))</f>
        <v/>
      </c>
      <c r="H28" s="4" t="str">
        <f ca="1">CELL("contenu",INDIRECT(ADDRESS(ref!$K$4,ref!G27,1,,CELL("contenu",$AA$2))))</f>
        <v>A</v>
      </c>
      <c r="I28" s="5" t="str">
        <f ca="1">CELL("contenu",INDIRECT(ADDRESS(ref!$K$4,ref!H27,1,,CELL("contenu",$AA$2))))</f>
        <v>B</v>
      </c>
      <c r="J28" s="6" t="str">
        <f ca="1">CELL("contenu",INDIRECT(ADDRESS(ref!$K$5,ref!E27,1,,CELL("contenu",$AA$2))))</f>
        <v>B</v>
      </c>
      <c r="K28" s="3" t="str">
        <f ca="1">CELL("contenu",INDIRECT(ADDRESS(ref!$K$5,ref!F27,1,,CELL("contenu",$AA$2))))</f>
        <v/>
      </c>
      <c r="L28" s="4" t="str">
        <f ca="1">CELL("contenu",INDIRECT(ADDRESS(ref!$K$5,ref!G27,1,,CELL("contenu",$AA$2))))</f>
        <v>B</v>
      </c>
      <c r="M28" s="5" t="str">
        <f ca="1">CELL("contenu",INDIRECT(ADDRESS(ref!$K$5,ref!H27,1,,CELL("contenu",$AA$2))))</f>
        <v>B</v>
      </c>
      <c r="N28" s="6" t="str">
        <f ca="1">CELL("contenu",INDIRECT(ADDRESS(ref!$K$6,ref!E27,1,,CELL("contenu",$AA$2))))</f>
        <v>B</v>
      </c>
      <c r="O28" s="3" t="str">
        <f ca="1">CELL("contenu",INDIRECT(ADDRESS(ref!$K$6,ref!F27,1,,CELL("contenu",$AA$2))))</f>
        <v>A</v>
      </c>
      <c r="P28" s="4" t="str">
        <f ca="1">CELL("contenu",INDIRECT(ADDRESS(ref!$K$6,ref!G27,1,,CELL("contenu",$AA$2))))</f>
        <v>B</v>
      </c>
      <c r="Q28" s="5" t="str">
        <f ca="1">CELL("contenu",INDIRECT(ADDRESS(ref!$K$6,ref!H27,1,,CELL("contenu",$AA$2))))</f>
        <v>B</v>
      </c>
      <c r="R28" s="6" t="str">
        <f ca="1">CELL("contenu",INDIRECT(ADDRESS(ref!$K$7,ref!E27,1,,CELL("contenu",$AA$2))))</f>
        <v/>
      </c>
      <c r="S28" s="3" t="str">
        <f ca="1">CELL("contenu",INDIRECT(ADDRESS(ref!$K$7,ref!F27,1,,CELL("contenu",$AA$2))))</f>
        <v/>
      </c>
      <c r="T28" s="4" t="str">
        <f ca="1">CELL("contenu",INDIRECT(ADDRESS(ref!$K$7,ref!G27,1,,CELL("contenu",$AA$2))))</f>
        <v/>
      </c>
      <c r="U28" s="5" t="str">
        <f ca="1">CELL("contenu",INDIRECT(ADDRESS(ref!$K$7,ref!H27,1,,CELL("contenu",$AA$2))))</f>
        <v/>
      </c>
      <c r="V28" s="49">
        <f ca="1">CELL("contenu",INDIRECT(ADDRESS(ref!$K$8,ref!E27,1,,CELL("contenu",$AA$2))))</f>
        <v>16.041666666666668</v>
      </c>
      <c r="W28" s="50">
        <f ca="1">CELL("contenu",INDIRECT(ADDRESS(ref!$K$8,ref!F27,1,,CELL("contenu",$AA$2))))</f>
        <v>20</v>
      </c>
      <c r="X28" s="51">
        <f ca="1">CELL("contenu",INDIRECT(ADDRESS(ref!$K$8,ref!G27,1,,CELL("contenu",$AA$2))))</f>
        <v>21.25</v>
      </c>
      <c r="Y28" s="21" t="str">
        <f ca="1">CELL("contenu",INDIRECT(ADDRESS(ref!$K$9,ref!H27,1,,CELL("contenu",$AA$2))))</f>
        <v>A</v>
      </c>
    </row>
    <row r="29" spans="1:25" x14ac:dyDescent="0.25">
      <c r="A29" s="59" t="str">
        <f t="shared" ca="1" si="0"/>
        <v>STEPHANT Marius</v>
      </c>
      <c r="B29" s="2" t="str">
        <f ca="1">CELL("contenu",INDIRECT(ADDRESS(ref!$K$3,ref!E28,1,,CELL("contenu",$AA$2))))</f>
        <v/>
      </c>
      <c r="C29" s="3" t="str">
        <f ca="1">CELL("contenu",INDIRECT(ADDRESS(ref!$K$3,ref!F28,1,,CELL("contenu",$AA$2))))</f>
        <v>A</v>
      </c>
      <c r="D29" s="4" t="str">
        <f ca="1">CELL("contenu",INDIRECT(ADDRESS(ref!$K$3,ref!G28,1,,CELL("contenu",$AA$2))))</f>
        <v/>
      </c>
      <c r="E29" s="5" t="str">
        <f ca="1">CELL("contenu",INDIRECT(ADDRESS(ref!$K$3,ref!H28,1,,CELL("contenu",$AA$2))))</f>
        <v>A</v>
      </c>
      <c r="F29" s="6" t="str">
        <f ca="1">CELL("contenu",INDIRECT(ADDRESS(ref!$K$4,ref!E28,1,,CELL("contenu",$AA$2))))</f>
        <v/>
      </c>
      <c r="G29" s="3" t="str">
        <f ca="1">CELL("contenu",INDIRECT(ADDRESS(ref!$K$4,ref!F28,1,,CELL("contenu",$AA$2))))</f>
        <v/>
      </c>
      <c r="H29" s="4" t="str">
        <f ca="1">CELL("contenu",INDIRECT(ADDRESS(ref!$K$4,ref!G28,1,,CELL("contenu",$AA$2))))</f>
        <v/>
      </c>
      <c r="I29" s="5" t="str">
        <f ca="1">CELL("contenu",INDIRECT(ADDRESS(ref!$K$4,ref!H28,1,,CELL("contenu",$AA$2))))</f>
        <v/>
      </c>
      <c r="J29" s="6" t="str">
        <f ca="1">CELL("contenu",INDIRECT(ADDRESS(ref!$K$5,ref!E28,1,,CELL("contenu",$AA$2))))</f>
        <v>C</v>
      </c>
      <c r="K29" s="3" t="str">
        <f ca="1">CELL("contenu",INDIRECT(ADDRESS(ref!$K$5,ref!F28,1,,CELL("contenu",$AA$2))))</f>
        <v/>
      </c>
      <c r="L29" s="4" t="str">
        <f ca="1">CELL("contenu",INDIRECT(ADDRESS(ref!$K$5,ref!G28,1,,CELL("contenu",$AA$2))))</f>
        <v/>
      </c>
      <c r="M29" s="5" t="str">
        <f ca="1">CELL("contenu",INDIRECT(ADDRESS(ref!$K$5,ref!H28,1,,CELL("contenu",$AA$2))))</f>
        <v>C</v>
      </c>
      <c r="N29" s="6" t="str">
        <f ca="1">CELL("contenu",INDIRECT(ADDRESS(ref!$K$6,ref!E28,1,,CELL("contenu",$AA$2))))</f>
        <v>D</v>
      </c>
      <c r="O29" s="3" t="str">
        <f ca="1">CELL("contenu",INDIRECT(ADDRESS(ref!$K$6,ref!F28,1,,CELL("contenu",$AA$2))))</f>
        <v>B</v>
      </c>
      <c r="P29" s="4" t="str">
        <f ca="1">CELL("contenu",INDIRECT(ADDRESS(ref!$K$6,ref!G28,1,,CELL("contenu",$AA$2))))</f>
        <v>C</v>
      </c>
      <c r="Q29" s="5" t="str">
        <f ca="1">CELL("contenu",INDIRECT(ADDRESS(ref!$K$6,ref!H28,1,,CELL("contenu",$AA$2))))</f>
        <v>C</v>
      </c>
      <c r="R29" s="6" t="str">
        <f ca="1">CELL("contenu",INDIRECT(ADDRESS(ref!$K$7,ref!E28,1,,CELL("contenu",$AA$2))))</f>
        <v/>
      </c>
      <c r="S29" s="3" t="str">
        <f ca="1">CELL("contenu",INDIRECT(ADDRESS(ref!$K$7,ref!F28,1,,CELL("contenu",$AA$2))))</f>
        <v/>
      </c>
      <c r="T29" s="4" t="str">
        <f ca="1">CELL("contenu",INDIRECT(ADDRESS(ref!$K$7,ref!G28,1,,CELL("contenu",$AA$2))))</f>
        <v/>
      </c>
      <c r="U29" s="5" t="str">
        <f ca="1">CELL("contenu",INDIRECT(ADDRESS(ref!$K$7,ref!H28,1,,CELL("contenu",$AA$2))))</f>
        <v/>
      </c>
      <c r="V29" s="49">
        <f ca="1">CELL("contenu",INDIRECT(ADDRESS(ref!$K$8,ref!E28,1,,CELL("contenu",$AA$2))))</f>
        <v>7.5</v>
      </c>
      <c r="W29" s="50">
        <f ca="1">CELL("contenu",INDIRECT(ADDRESS(ref!$K$8,ref!F28,1,,CELL("contenu",$AA$2))))</f>
        <v>17.5</v>
      </c>
      <c r="X29" s="51">
        <f ca="1">CELL("contenu",INDIRECT(ADDRESS(ref!$K$8,ref!G28,1,,CELL("contenu",$AA$2))))</f>
        <v>13.333333333333332</v>
      </c>
      <c r="Y29" s="21" t="str">
        <f ca="1">CELL("contenu",INDIRECT(ADDRESS(ref!$K$9,ref!H28,1,,CELL("contenu",$AA$2))))</f>
        <v/>
      </c>
    </row>
    <row r="30" spans="1:25" x14ac:dyDescent="0.25">
      <c r="A30" s="59" t="str">
        <f t="shared" ca="1" si="0"/>
        <v>VUILLEMIN Oriane</v>
      </c>
      <c r="B30" s="2" t="str">
        <f ca="1">CELL("contenu",INDIRECT(ADDRESS(ref!$K$3,ref!E29,1,,CELL("contenu",$AA$2))))</f>
        <v>C</v>
      </c>
      <c r="C30" s="3" t="str">
        <f ca="1">CELL("contenu",INDIRECT(ADDRESS(ref!$K$3,ref!F29,1,,CELL("contenu",$AA$2))))</f>
        <v>A</v>
      </c>
      <c r="D30" s="4" t="str">
        <f ca="1">CELL("contenu",INDIRECT(ADDRESS(ref!$K$3,ref!G29,1,,CELL("contenu",$AA$2))))</f>
        <v>A</v>
      </c>
      <c r="E30" s="5" t="str">
        <f ca="1">CELL("contenu",INDIRECT(ADDRESS(ref!$K$3,ref!H29,1,,CELL("contenu",$AA$2))))</f>
        <v>B</v>
      </c>
      <c r="F30" s="6" t="str">
        <f ca="1">CELL("contenu",INDIRECT(ADDRESS(ref!$K$4,ref!E29,1,,CELL("contenu",$AA$2))))</f>
        <v>B</v>
      </c>
      <c r="G30" s="3" t="str">
        <f ca="1">CELL("contenu",INDIRECT(ADDRESS(ref!$K$4,ref!F29,1,,CELL("contenu",$AA$2))))</f>
        <v/>
      </c>
      <c r="H30" s="4" t="str">
        <f ca="1">CELL("contenu",INDIRECT(ADDRESS(ref!$K$4,ref!G29,1,,CELL("contenu",$AA$2))))</f>
        <v>A</v>
      </c>
      <c r="I30" s="5" t="str">
        <f ca="1">CELL("contenu",INDIRECT(ADDRESS(ref!$K$4,ref!H29,1,,CELL("contenu",$AA$2))))</f>
        <v>B</v>
      </c>
      <c r="J30" s="6" t="str">
        <f ca="1">CELL("contenu",INDIRECT(ADDRESS(ref!$K$5,ref!E29,1,,CELL("contenu",$AA$2))))</f>
        <v>C</v>
      </c>
      <c r="K30" s="3" t="str">
        <f ca="1">CELL("contenu",INDIRECT(ADDRESS(ref!$K$5,ref!F29,1,,CELL("contenu",$AA$2))))</f>
        <v/>
      </c>
      <c r="L30" s="4" t="str">
        <f ca="1">CELL("contenu",INDIRECT(ADDRESS(ref!$K$5,ref!G29,1,,CELL("contenu",$AA$2))))</f>
        <v>B</v>
      </c>
      <c r="M30" s="5" t="str">
        <f ca="1">CELL("contenu",INDIRECT(ADDRESS(ref!$K$5,ref!H29,1,,CELL("contenu",$AA$2))))</f>
        <v>C</v>
      </c>
      <c r="N30" s="6" t="str">
        <f ca="1">CELL("contenu",INDIRECT(ADDRESS(ref!$K$6,ref!E29,1,,CELL("contenu",$AA$2))))</f>
        <v>B</v>
      </c>
      <c r="O30" s="3" t="str">
        <f ca="1">CELL("contenu",INDIRECT(ADDRESS(ref!$K$6,ref!F29,1,,CELL("contenu",$AA$2))))</f>
        <v>A</v>
      </c>
      <c r="P30" s="4" t="str">
        <f ca="1">CELL("contenu",INDIRECT(ADDRESS(ref!$K$6,ref!G29,1,,CELL("contenu",$AA$2))))</f>
        <v>B</v>
      </c>
      <c r="Q30" s="5" t="str">
        <f ca="1">CELL("contenu",INDIRECT(ADDRESS(ref!$K$6,ref!H29,1,,CELL("contenu",$AA$2))))</f>
        <v>B</v>
      </c>
      <c r="R30" s="6" t="str">
        <f ca="1">CELL("contenu",INDIRECT(ADDRESS(ref!$K$7,ref!E29,1,,CELL("contenu",$AA$2))))</f>
        <v/>
      </c>
      <c r="S30" s="3" t="str">
        <f ca="1">CELL("contenu",INDIRECT(ADDRESS(ref!$K$7,ref!F29,1,,CELL("contenu",$AA$2))))</f>
        <v/>
      </c>
      <c r="T30" s="4" t="str">
        <f ca="1">CELL("contenu",INDIRECT(ADDRESS(ref!$K$7,ref!G29,1,,CELL("contenu",$AA$2))))</f>
        <v/>
      </c>
      <c r="U30" s="5" t="str">
        <f ca="1">CELL("contenu",INDIRECT(ADDRESS(ref!$K$7,ref!H29,1,,CELL("contenu",$AA$2))))</f>
        <v/>
      </c>
      <c r="V30" s="49">
        <f ca="1">CELL("contenu",INDIRECT(ADDRESS(ref!$K$8,ref!E29,1,,CELL("contenu",$AA$2))))</f>
        <v>13.125</v>
      </c>
      <c r="W30" s="50">
        <f ca="1">CELL("contenu",INDIRECT(ADDRESS(ref!$K$8,ref!F29,1,,CELL("contenu",$AA$2))))</f>
        <v>20</v>
      </c>
      <c r="X30" s="51">
        <f ca="1">CELL("contenu",INDIRECT(ADDRESS(ref!$K$8,ref!G29,1,,CELL("contenu",$AA$2))))</f>
        <v>20.833333333333336</v>
      </c>
      <c r="Y30" s="21" t="str">
        <f ca="1">CELL("contenu",INDIRECT(ADDRESS(ref!$K$9,ref!H29,1,,CELL("contenu",$AA$2))))</f>
        <v>A</v>
      </c>
    </row>
  </sheetData>
  <sheetProtection algorithmName="SHA-512" hashValue="c8WrjAjujjRLk6MFwrK0VqZB+JJbltS0x58yTOiUqT2T08cYT8jIGU+RIM//cYZNw4SzL9Pif/repXkM4ijEWQ==" saltValue="HnoU+uupUMvqbSysUyVu8A==" spinCount="100000" sheet="1" selectLockedCells="1"/>
  <mergeCells count="8">
    <mergeCell ref="B1:Y1"/>
    <mergeCell ref="A2:A3"/>
    <mergeCell ref="B2:E2"/>
    <mergeCell ref="F2:I2"/>
    <mergeCell ref="J2:M2"/>
    <mergeCell ref="N2:Q2"/>
    <mergeCell ref="R2:U2"/>
    <mergeCell ref="V2:X2"/>
  </mergeCells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Z33"/>
  <sheetViews>
    <sheetView tabSelected="1" zoomScale="70" zoomScaleNormal="70" workbookViewId="0">
      <pane xSplit="2" topLeftCell="PM1" activePane="topRight" state="frozen"/>
      <selection activeCell="A4" sqref="A4"/>
      <selection pane="topRight" activeCell="QV23" sqref="QV23"/>
    </sheetView>
  </sheetViews>
  <sheetFormatPr baseColWidth="10" defaultColWidth="5.7109375" defaultRowHeight="15" x14ac:dyDescent="0.25"/>
  <cols>
    <col min="1" max="1" width="17.7109375" style="168" customWidth="1"/>
    <col min="2" max="2" width="13.7109375" style="168" customWidth="1"/>
    <col min="3" max="5" width="4.7109375" style="156" customWidth="1"/>
    <col min="6" max="6" width="4.7109375" style="194" customWidth="1"/>
    <col min="7" max="7" width="8.7109375" style="195" customWidth="1"/>
    <col min="8" max="10" width="4.7109375" style="157" customWidth="1"/>
    <col min="11" max="11" width="4.7109375" style="195" customWidth="1"/>
    <col min="12" max="12" width="8.7109375" style="195" customWidth="1"/>
    <col min="13" max="15" width="4.7109375" style="157" customWidth="1"/>
    <col min="16" max="16" width="4.7109375" style="195" customWidth="1"/>
    <col min="17" max="17" width="8.7109375" style="195" customWidth="1"/>
    <col min="18" max="18" width="4.7109375" style="195" customWidth="1"/>
    <col min="19" max="19" width="8.7109375" style="195" customWidth="1"/>
    <col min="20" max="22" width="4.7109375" style="156" customWidth="1"/>
    <col min="23" max="23" width="4.7109375" style="194" customWidth="1"/>
    <col min="24" max="24" width="8.7109375" style="195" customWidth="1"/>
    <col min="25" max="27" width="4.7109375" style="157" customWidth="1"/>
    <col min="28" max="28" width="4.7109375" style="195" customWidth="1"/>
    <col min="29" max="29" width="8.7109375" style="195" customWidth="1"/>
    <col min="30" max="32" width="4.7109375" style="157" customWidth="1"/>
    <col min="33" max="33" width="4.7109375" style="195" customWidth="1"/>
    <col min="34" max="34" width="8.7109375" style="195" customWidth="1"/>
    <col min="35" max="35" width="4.7109375" style="195" customWidth="1"/>
    <col min="36" max="36" width="8.7109375" style="195" customWidth="1"/>
    <col min="37" max="40" width="4.7109375" style="156" customWidth="1"/>
    <col min="41" max="41" width="8.7109375" style="155" customWidth="1"/>
    <col min="42" max="44" width="4.7109375" style="157" customWidth="1"/>
    <col min="45" max="45" width="4.7109375" style="155" customWidth="1"/>
    <col min="46" max="46" width="8.7109375" style="155" customWidth="1"/>
    <col min="47" max="49" width="4.7109375" style="157" customWidth="1"/>
    <col min="50" max="50" width="4.7109375" style="155" customWidth="1"/>
    <col min="51" max="51" width="8.7109375" style="155" customWidth="1"/>
    <col min="52" max="52" width="4.7109375" style="155" customWidth="1"/>
    <col min="53" max="53" width="8.7109375" style="155" customWidth="1"/>
    <col min="54" max="57" width="4.7109375" style="156" customWidth="1"/>
    <col min="58" max="58" width="8.7109375" style="155" customWidth="1"/>
    <col min="59" max="61" width="4.7109375" style="157" customWidth="1"/>
    <col min="62" max="62" width="4.7109375" style="155" customWidth="1"/>
    <col min="63" max="63" width="8.7109375" style="155" customWidth="1"/>
    <col min="64" max="66" width="4.7109375" style="157" customWidth="1"/>
    <col min="67" max="67" width="4.7109375" style="155" customWidth="1"/>
    <col min="68" max="68" width="8.7109375" style="155" customWidth="1"/>
    <col min="69" max="69" width="4.7109375" style="155" customWidth="1"/>
    <col min="70" max="70" width="8.7109375" style="155" customWidth="1"/>
    <col min="71" max="74" width="4.7109375" style="156" customWidth="1"/>
    <col min="75" max="75" width="8.7109375" style="155" customWidth="1"/>
    <col min="76" max="78" width="4.7109375" style="157" customWidth="1"/>
    <col min="79" max="79" width="4.7109375" style="155" customWidth="1"/>
    <col min="80" max="80" width="8.7109375" style="155" customWidth="1"/>
    <col min="81" max="83" width="4.7109375" style="157" customWidth="1"/>
    <col min="84" max="84" width="4.7109375" style="155" customWidth="1"/>
    <col min="85" max="85" width="8.7109375" style="155" customWidth="1"/>
    <col min="86" max="86" width="4.7109375" style="155" customWidth="1"/>
    <col min="87" max="87" width="8.7109375" style="155" customWidth="1"/>
    <col min="88" max="91" width="4.7109375" style="156" customWidth="1"/>
    <col min="92" max="92" width="8.7109375" style="155" customWidth="1"/>
    <col min="93" max="95" width="4.7109375" style="157" customWidth="1"/>
    <col min="96" max="96" width="4.7109375" style="155" customWidth="1"/>
    <col min="97" max="97" width="8.7109375" style="155" customWidth="1"/>
    <col min="98" max="100" width="4.7109375" style="157" customWidth="1"/>
    <col min="101" max="101" width="4.7109375" style="155" customWidth="1"/>
    <col min="102" max="102" width="8.7109375" style="155" customWidth="1"/>
    <col min="103" max="103" width="4.7109375" style="155" customWidth="1"/>
    <col min="104" max="104" width="8.7109375" style="155" customWidth="1"/>
    <col min="105" max="108" width="4.7109375" style="156" customWidth="1"/>
    <col min="109" max="109" width="8.7109375" style="155" customWidth="1"/>
    <col min="110" max="112" width="4.7109375" style="157" customWidth="1"/>
    <col min="113" max="113" width="4.7109375" style="155" customWidth="1"/>
    <col min="114" max="114" width="8.7109375" style="155" customWidth="1"/>
    <col min="115" max="117" width="4.7109375" style="157" customWidth="1"/>
    <col min="118" max="118" width="4.7109375" style="155" customWidth="1"/>
    <col min="119" max="119" width="8.7109375" style="155" customWidth="1"/>
    <col min="120" max="120" width="4.7109375" style="155" customWidth="1"/>
    <col min="121" max="121" width="8.7109375" style="155" customWidth="1"/>
    <col min="122" max="125" width="4.7109375" style="156" customWidth="1"/>
    <col min="126" max="126" width="8.7109375" style="155" customWidth="1"/>
    <col min="127" max="129" width="4.7109375" style="157" customWidth="1"/>
    <col min="130" max="130" width="4.7109375" style="155" customWidth="1"/>
    <col min="131" max="131" width="8.7109375" style="155" customWidth="1"/>
    <col min="132" max="134" width="4.7109375" style="157" customWidth="1"/>
    <col min="135" max="135" width="4.7109375" style="155" customWidth="1"/>
    <col min="136" max="136" width="8.7109375" style="155" customWidth="1"/>
    <col min="137" max="137" width="4.7109375" style="155" customWidth="1"/>
    <col min="138" max="138" width="8.7109375" style="155" customWidth="1"/>
    <col min="139" max="142" width="4.7109375" style="156" customWidth="1"/>
    <col min="143" max="143" width="8.7109375" style="155" customWidth="1"/>
    <col min="144" max="146" width="4.7109375" style="157" customWidth="1"/>
    <col min="147" max="147" width="4.7109375" style="155" customWidth="1"/>
    <col min="148" max="148" width="8.7109375" style="155" customWidth="1"/>
    <col min="149" max="151" width="4.7109375" style="157" customWidth="1"/>
    <col min="152" max="152" width="4.7109375" style="155" customWidth="1"/>
    <col min="153" max="153" width="8.7109375" style="155" customWidth="1"/>
    <col min="154" max="154" width="4.7109375" style="155" customWidth="1"/>
    <col min="155" max="155" width="8.7109375" style="155" customWidth="1"/>
    <col min="156" max="159" width="4.7109375" style="156" customWidth="1"/>
    <col min="160" max="160" width="8.7109375" style="155" customWidth="1"/>
    <col min="161" max="163" width="4.7109375" style="157" customWidth="1"/>
    <col min="164" max="164" width="4.7109375" style="155" customWidth="1"/>
    <col min="165" max="165" width="8.7109375" style="155" customWidth="1"/>
    <col min="166" max="168" width="4.7109375" style="157" customWidth="1"/>
    <col min="169" max="169" width="4.7109375" style="155" customWidth="1"/>
    <col min="170" max="170" width="8.7109375" style="155" customWidth="1"/>
    <col min="171" max="171" width="4.7109375" style="155" customWidth="1"/>
    <col min="172" max="172" width="8.7109375" style="155" customWidth="1"/>
    <col min="173" max="176" width="4.7109375" style="156" customWidth="1"/>
    <col min="177" max="177" width="8.7109375" style="155" customWidth="1"/>
    <col min="178" max="180" width="4.7109375" style="157" customWidth="1"/>
    <col min="181" max="181" width="4.7109375" style="155" customWidth="1"/>
    <col min="182" max="182" width="8.7109375" style="155" customWidth="1"/>
    <col min="183" max="185" width="4.7109375" style="157" customWidth="1"/>
    <col min="186" max="186" width="4.7109375" style="155" customWidth="1"/>
    <col min="187" max="187" width="8.7109375" style="155" customWidth="1"/>
    <col min="188" max="188" width="4.7109375" style="155" customWidth="1"/>
    <col min="189" max="189" width="8.7109375" style="155" customWidth="1"/>
    <col min="190" max="193" width="4.7109375" style="156" customWidth="1"/>
    <col min="194" max="194" width="8.7109375" style="155" customWidth="1"/>
    <col min="195" max="197" width="4.7109375" style="157" customWidth="1"/>
    <col min="198" max="198" width="4.7109375" style="155" customWidth="1"/>
    <col min="199" max="199" width="8.7109375" style="155" customWidth="1"/>
    <col min="200" max="202" width="4.7109375" style="157" customWidth="1"/>
    <col min="203" max="203" width="4.7109375" style="155" customWidth="1"/>
    <col min="204" max="204" width="8.7109375" style="155" customWidth="1"/>
    <col min="205" max="205" width="4.7109375" style="155" customWidth="1"/>
    <col min="206" max="206" width="8.7109375" style="155" customWidth="1"/>
    <col min="207" max="210" width="4.7109375" style="156" customWidth="1"/>
    <col min="211" max="211" width="8.7109375" style="155" customWidth="1"/>
    <col min="212" max="214" width="4.7109375" style="157" customWidth="1"/>
    <col min="215" max="215" width="4.7109375" style="155" customWidth="1"/>
    <col min="216" max="216" width="8.7109375" style="155" customWidth="1"/>
    <col min="217" max="219" width="4.7109375" style="157" customWidth="1"/>
    <col min="220" max="220" width="4.7109375" style="155" customWidth="1"/>
    <col min="221" max="221" width="8.7109375" style="155" customWidth="1"/>
    <col min="222" max="222" width="4.7109375" style="155" customWidth="1"/>
    <col min="223" max="223" width="8.7109375" style="155" customWidth="1"/>
    <col min="224" max="227" width="4.7109375" style="156" customWidth="1"/>
    <col min="228" max="228" width="8.7109375" style="155" customWidth="1"/>
    <col min="229" max="231" width="4.7109375" style="157" customWidth="1"/>
    <col min="232" max="232" width="4.7109375" style="155" customWidth="1"/>
    <col min="233" max="233" width="8.7109375" style="155" customWidth="1"/>
    <col min="234" max="236" width="4.7109375" style="157" customWidth="1"/>
    <col min="237" max="237" width="4.7109375" style="155" customWidth="1"/>
    <col min="238" max="238" width="8.7109375" style="155" customWidth="1"/>
    <col min="239" max="239" width="4.7109375" style="155" customWidth="1"/>
    <col min="240" max="240" width="8.7109375" style="155" customWidth="1"/>
    <col min="241" max="244" width="4.7109375" style="156" customWidth="1"/>
    <col min="245" max="245" width="8.7109375" style="155" customWidth="1"/>
    <col min="246" max="248" width="4.7109375" style="157" customWidth="1"/>
    <col min="249" max="249" width="4.7109375" style="155" customWidth="1"/>
    <col min="250" max="250" width="8.7109375" style="155" customWidth="1"/>
    <col min="251" max="253" width="4.7109375" style="157" customWidth="1"/>
    <col min="254" max="254" width="4.7109375" style="155" customWidth="1"/>
    <col min="255" max="255" width="8.7109375" style="155" customWidth="1"/>
    <col min="256" max="256" width="4.7109375" style="155" customWidth="1"/>
    <col min="257" max="257" width="8.7109375" style="155" customWidth="1"/>
    <col min="258" max="261" width="4.7109375" style="156" customWidth="1"/>
    <col min="262" max="262" width="8.7109375" style="155" customWidth="1"/>
    <col min="263" max="265" width="4.7109375" style="157" customWidth="1"/>
    <col min="266" max="266" width="4.7109375" style="155" customWidth="1"/>
    <col min="267" max="267" width="8.7109375" style="155" customWidth="1"/>
    <col min="268" max="270" width="4.7109375" style="157" customWidth="1"/>
    <col min="271" max="271" width="4.7109375" style="155" customWidth="1"/>
    <col min="272" max="272" width="8.7109375" style="155" customWidth="1"/>
    <col min="273" max="273" width="4.7109375" style="155" customWidth="1"/>
    <col min="274" max="274" width="8.7109375" style="155" customWidth="1"/>
    <col min="275" max="278" width="4.7109375" style="156" customWidth="1"/>
    <col min="279" max="279" width="8.7109375" style="155" customWidth="1"/>
    <col min="280" max="282" width="4.7109375" style="157" customWidth="1"/>
    <col min="283" max="283" width="4.7109375" style="155" customWidth="1"/>
    <col min="284" max="284" width="8.7109375" style="155" customWidth="1"/>
    <col min="285" max="287" width="4.7109375" style="157" customWidth="1"/>
    <col min="288" max="288" width="4.7109375" style="155" customWidth="1"/>
    <col min="289" max="289" width="8.7109375" style="155" customWidth="1"/>
    <col min="290" max="290" width="4.7109375" style="155" customWidth="1"/>
    <col min="291" max="291" width="8.7109375" style="155" customWidth="1"/>
    <col min="292" max="295" width="4.7109375" style="156" customWidth="1"/>
    <col min="296" max="296" width="8.7109375" style="155" customWidth="1"/>
    <col min="297" max="299" width="4.7109375" style="157" customWidth="1"/>
    <col min="300" max="300" width="4.7109375" style="155" customWidth="1"/>
    <col min="301" max="301" width="8.7109375" style="155" customWidth="1"/>
    <col min="302" max="304" width="4.7109375" style="157" customWidth="1"/>
    <col min="305" max="305" width="4.7109375" style="155" customWidth="1"/>
    <col min="306" max="306" width="8.7109375" style="155" customWidth="1"/>
    <col min="307" max="307" width="4.7109375" style="155" customWidth="1"/>
    <col min="308" max="308" width="8.7109375" style="155" customWidth="1"/>
    <col min="309" max="312" width="4.7109375" style="156" customWidth="1"/>
    <col min="313" max="313" width="8.7109375" style="155" customWidth="1"/>
    <col min="314" max="316" width="4.7109375" style="157" customWidth="1"/>
    <col min="317" max="317" width="4.7109375" style="155" customWidth="1"/>
    <col min="318" max="318" width="8.7109375" style="155" customWidth="1"/>
    <col min="319" max="321" width="4.7109375" style="157" customWidth="1"/>
    <col min="322" max="322" width="4.7109375" style="155" customWidth="1"/>
    <col min="323" max="323" width="8.7109375" style="155" customWidth="1"/>
    <col min="324" max="324" width="4.7109375" style="155" customWidth="1"/>
    <col min="325" max="325" width="8.7109375" style="155" customWidth="1"/>
    <col min="326" max="329" width="4.7109375" style="156" customWidth="1"/>
    <col min="330" max="330" width="8.7109375" style="155" customWidth="1"/>
    <col min="331" max="333" width="4.7109375" style="157" customWidth="1"/>
    <col min="334" max="334" width="4.7109375" style="155" customWidth="1"/>
    <col min="335" max="335" width="8.7109375" style="155" customWidth="1"/>
    <col min="336" max="338" width="4.7109375" style="157" customWidth="1"/>
    <col min="339" max="339" width="4.7109375" style="155" customWidth="1"/>
    <col min="340" max="340" width="8.7109375" style="155" customWidth="1"/>
    <col min="341" max="341" width="4.7109375" style="155" customWidth="1"/>
    <col min="342" max="342" width="8.7109375" style="155" customWidth="1"/>
    <col min="343" max="346" width="4.7109375" style="156" customWidth="1"/>
    <col min="347" max="347" width="8.7109375" style="155" customWidth="1"/>
    <col min="348" max="350" width="4.7109375" style="157" customWidth="1"/>
    <col min="351" max="351" width="4.7109375" style="155" customWidth="1"/>
    <col min="352" max="352" width="8.7109375" style="155" customWidth="1"/>
    <col min="353" max="355" width="4.7109375" style="157" customWidth="1"/>
    <col min="356" max="356" width="4.7109375" style="155" customWidth="1"/>
    <col min="357" max="357" width="8.7109375" style="155" customWidth="1"/>
    <col min="358" max="358" width="4.7109375" style="155" customWidth="1"/>
    <col min="359" max="359" width="8.7109375" style="155" customWidth="1"/>
    <col min="360" max="363" width="4.7109375" style="156" customWidth="1"/>
    <col min="364" max="364" width="8.7109375" style="155" customWidth="1"/>
    <col min="365" max="367" width="4.7109375" style="157" customWidth="1"/>
    <col min="368" max="368" width="4.7109375" style="155" customWidth="1"/>
    <col min="369" max="369" width="8.7109375" style="155" customWidth="1"/>
    <col min="370" max="372" width="4.7109375" style="157" customWidth="1"/>
    <col min="373" max="373" width="4.7109375" style="155" customWidth="1"/>
    <col min="374" max="374" width="8.7109375" style="155" customWidth="1"/>
    <col min="375" max="375" width="4.7109375" style="155" customWidth="1"/>
    <col min="376" max="376" width="8.7109375" style="155" customWidth="1"/>
    <col min="377" max="380" width="4.7109375" style="156" customWidth="1"/>
    <col min="381" max="381" width="8.7109375" style="155" customWidth="1"/>
    <col min="382" max="384" width="4.7109375" style="157" customWidth="1"/>
    <col min="385" max="385" width="4.7109375" style="155" customWidth="1"/>
    <col min="386" max="386" width="8.7109375" style="155" customWidth="1"/>
    <col min="387" max="389" width="4.7109375" style="157" customWidth="1"/>
    <col min="390" max="390" width="4.7109375" style="155" customWidth="1"/>
    <col min="391" max="391" width="8.7109375" style="155" customWidth="1"/>
    <col min="392" max="392" width="4.7109375" style="155" customWidth="1"/>
    <col min="393" max="393" width="8.7109375" style="155" customWidth="1"/>
    <col min="394" max="397" width="4.7109375" style="156" customWidth="1"/>
    <col min="398" max="398" width="8.7109375" style="155" customWidth="1"/>
    <col min="399" max="401" width="4.7109375" style="157" customWidth="1"/>
    <col min="402" max="402" width="4.7109375" style="155" customWidth="1"/>
    <col min="403" max="403" width="8.7109375" style="155" customWidth="1"/>
    <col min="404" max="406" width="4.7109375" style="157" customWidth="1"/>
    <col min="407" max="407" width="4.7109375" style="155" customWidth="1"/>
    <col min="408" max="408" width="8.7109375" style="155" customWidth="1"/>
    <col min="409" max="409" width="4.7109375" style="155" customWidth="1"/>
    <col min="410" max="410" width="8.7109375" style="155" customWidth="1"/>
    <col min="411" max="414" width="4.7109375" style="156" customWidth="1"/>
    <col min="415" max="415" width="8.7109375" style="155" customWidth="1"/>
    <col min="416" max="418" width="4.7109375" style="157" customWidth="1"/>
    <col min="419" max="419" width="4.7109375" style="155" customWidth="1"/>
    <col min="420" max="420" width="8.7109375" style="155" customWidth="1"/>
    <col min="421" max="423" width="4.7109375" style="157" customWidth="1"/>
    <col min="424" max="424" width="4.7109375" style="155" customWidth="1"/>
    <col min="425" max="425" width="8.7109375" style="155" customWidth="1"/>
    <col min="426" max="426" width="4.7109375" style="155" customWidth="1"/>
    <col min="427" max="427" width="8.7109375" style="155" customWidth="1"/>
    <col min="428" max="431" width="4.7109375" style="156" customWidth="1"/>
    <col min="432" max="432" width="8.7109375" style="155" customWidth="1"/>
    <col min="433" max="435" width="4.7109375" style="157" customWidth="1"/>
    <col min="436" max="436" width="4.7109375" style="155" customWidth="1"/>
    <col min="437" max="437" width="8.7109375" style="155" customWidth="1"/>
    <col min="438" max="440" width="4.7109375" style="157" customWidth="1"/>
    <col min="441" max="441" width="4.7109375" style="155" customWidth="1"/>
    <col min="442" max="442" width="8.7109375" style="155" customWidth="1"/>
    <col min="443" max="443" width="4.7109375" style="155" customWidth="1"/>
    <col min="444" max="444" width="8.7109375" style="155" customWidth="1"/>
    <col min="445" max="448" width="4.7109375" style="156" customWidth="1"/>
    <col min="449" max="449" width="8.7109375" style="155" customWidth="1"/>
    <col min="450" max="452" width="4.7109375" style="157" customWidth="1"/>
    <col min="453" max="453" width="4.7109375" style="155" customWidth="1"/>
    <col min="454" max="454" width="8.7109375" style="155" customWidth="1"/>
    <col min="455" max="457" width="4.7109375" style="157" customWidth="1"/>
    <col min="458" max="458" width="4.7109375" style="155" customWidth="1"/>
    <col min="459" max="459" width="8.7109375" style="155" customWidth="1"/>
    <col min="460" max="460" width="4.7109375" style="155" customWidth="1"/>
    <col min="461" max="461" width="8.7109375" style="155" customWidth="1"/>
    <col min="462" max="465" width="4.7109375" style="156" customWidth="1"/>
    <col min="466" max="466" width="8.7109375" style="155" customWidth="1"/>
    <col min="467" max="469" width="4.7109375" style="157" customWidth="1"/>
    <col min="470" max="470" width="4.7109375" style="155" customWidth="1"/>
    <col min="471" max="471" width="8.7109375" style="155" customWidth="1"/>
    <col min="472" max="474" width="4.7109375" style="157" customWidth="1"/>
    <col min="475" max="475" width="4.7109375" style="155" customWidth="1"/>
    <col min="476" max="476" width="8.7109375" style="155" customWidth="1"/>
    <col min="477" max="477" width="4.7109375" style="155" customWidth="1"/>
    <col min="478" max="478" width="8.7109375" style="155" customWidth="1"/>
    <col min="479" max="482" width="4.7109375" style="156" customWidth="1"/>
    <col min="483" max="483" width="8.7109375" style="155" customWidth="1"/>
    <col min="484" max="486" width="4.7109375" style="157" customWidth="1"/>
    <col min="487" max="487" width="4.7109375" style="155" customWidth="1"/>
    <col min="488" max="488" width="8.7109375" style="155" customWidth="1"/>
    <col min="489" max="491" width="4.7109375" style="157" customWidth="1"/>
    <col min="492" max="492" width="4.7109375" style="155" customWidth="1"/>
    <col min="493" max="493" width="8.7109375" style="155" customWidth="1"/>
    <col min="494" max="494" width="4.7109375" style="155" customWidth="1"/>
    <col min="495" max="495" width="8.7109375" style="155" customWidth="1"/>
    <col min="496" max="499" width="4.7109375" style="156" customWidth="1"/>
    <col min="500" max="500" width="8.7109375" style="155" customWidth="1"/>
    <col min="501" max="503" width="4.7109375" style="157" customWidth="1"/>
    <col min="504" max="504" width="4.7109375" style="155" customWidth="1"/>
    <col min="505" max="505" width="8.7109375" style="155" customWidth="1"/>
    <col min="506" max="508" width="4.7109375" style="157" customWidth="1"/>
    <col min="509" max="509" width="4.7109375" style="155" customWidth="1"/>
    <col min="510" max="510" width="8.7109375" style="155" customWidth="1"/>
    <col min="511" max="511" width="4.7109375" style="155" customWidth="1"/>
    <col min="512" max="512" width="8.7109375" style="155" customWidth="1"/>
    <col min="513" max="516" width="4.7109375" style="156" customWidth="1"/>
    <col min="517" max="517" width="8.7109375" style="155" customWidth="1"/>
    <col min="518" max="520" width="4.7109375" style="157" customWidth="1"/>
    <col min="521" max="521" width="4.7109375" style="155" customWidth="1"/>
    <col min="522" max="522" width="8.7109375" style="155" customWidth="1"/>
    <col min="523" max="525" width="4.7109375" style="157" customWidth="1"/>
    <col min="526" max="526" width="4.7109375" style="155" customWidth="1"/>
    <col min="527" max="527" width="8.7109375" style="155" customWidth="1"/>
    <col min="528" max="528" width="4.7109375" style="155" customWidth="1"/>
    <col min="529" max="529" width="8.7109375" style="155" customWidth="1"/>
    <col min="530" max="533" width="4.7109375" style="73" customWidth="1"/>
    <col min="534" max="534" width="8.7109375" style="73" customWidth="1"/>
    <col min="535" max="538" width="4.7109375" style="73" customWidth="1"/>
    <col min="539" max="539" width="8.7109375" style="73" customWidth="1"/>
    <col min="540" max="543" width="4.7109375" style="73" customWidth="1"/>
    <col min="544" max="544" width="8.7109375" style="73" customWidth="1"/>
    <col min="545" max="545" width="4.7109375" style="73" customWidth="1"/>
    <col min="546" max="546" width="8.7109375" style="73" customWidth="1"/>
    <col min="547" max="16384" width="5.7109375" style="73"/>
  </cols>
  <sheetData>
    <row r="1" spans="1:546" ht="15.75" thickBot="1" x14ac:dyDescent="0.3">
      <c r="A1" s="248" t="s">
        <v>43</v>
      </c>
      <c r="B1" s="249"/>
      <c r="C1" s="170">
        <v>4</v>
      </c>
      <c r="D1" s="70"/>
      <c r="E1" s="70"/>
      <c r="F1" s="177"/>
      <c r="G1" s="178"/>
      <c r="H1" s="175"/>
      <c r="I1" s="72"/>
      <c r="J1" s="72"/>
      <c r="K1" s="178"/>
      <c r="L1" s="178"/>
      <c r="M1" s="175"/>
      <c r="N1" s="72"/>
      <c r="O1" s="72"/>
      <c r="P1" s="178"/>
      <c r="Q1" s="178"/>
      <c r="R1" s="178"/>
      <c r="S1" s="178"/>
      <c r="T1" s="170">
        <f>C1+1</f>
        <v>5</v>
      </c>
      <c r="U1" s="70"/>
      <c r="V1" s="70"/>
      <c r="W1" s="177"/>
      <c r="X1" s="178"/>
      <c r="Y1" s="175"/>
      <c r="Z1" s="72"/>
      <c r="AA1" s="72"/>
      <c r="AB1" s="178"/>
      <c r="AC1" s="178"/>
      <c r="AD1" s="175"/>
      <c r="AE1" s="72"/>
      <c r="AF1" s="72"/>
      <c r="AG1" s="178"/>
      <c r="AH1" s="178"/>
      <c r="AI1" s="178"/>
      <c r="AJ1" s="178"/>
      <c r="AK1" s="170">
        <f>T1+1</f>
        <v>6</v>
      </c>
      <c r="AL1" s="70"/>
      <c r="AM1" s="70"/>
      <c r="AN1" s="177"/>
      <c r="AO1" s="178"/>
      <c r="AP1" s="175"/>
      <c r="AQ1" s="72"/>
      <c r="AR1" s="72"/>
      <c r="AS1" s="178"/>
      <c r="AT1" s="178"/>
      <c r="AU1" s="175"/>
      <c r="AV1" s="72"/>
      <c r="AW1" s="72"/>
      <c r="AX1" s="178"/>
      <c r="AY1" s="178"/>
      <c r="AZ1" s="178"/>
      <c r="BA1" s="178"/>
      <c r="BB1" s="170">
        <f>AK1+1</f>
        <v>7</v>
      </c>
      <c r="BC1" s="70"/>
      <c r="BD1" s="70"/>
      <c r="BE1" s="177"/>
      <c r="BF1" s="178"/>
      <c r="BG1" s="175"/>
      <c r="BH1" s="72"/>
      <c r="BI1" s="72"/>
      <c r="BJ1" s="178"/>
      <c r="BK1" s="178"/>
      <c r="BL1" s="175"/>
      <c r="BM1" s="72"/>
      <c r="BN1" s="72"/>
      <c r="BO1" s="178"/>
      <c r="BP1" s="178"/>
      <c r="BQ1" s="178"/>
      <c r="BR1" s="178"/>
      <c r="BS1" s="170">
        <f>BB1+1</f>
        <v>8</v>
      </c>
      <c r="BT1" s="70"/>
      <c r="BU1" s="70"/>
      <c r="BV1" s="177"/>
      <c r="BW1" s="178"/>
      <c r="BX1" s="175"/>
      <c r="BY1" s="72"/>
      <c r="BZ1" s="72"/>
      <c r="CA1" s="178"/>
      <c r="CB1" s="178"/>
      <c r="CC1" s="175"/>
      <c r="CD1" s="72"/>
      <c r="CE1" s="72"/>
      <c r="CF1" s="178"/>
      <c r="CG1" s="178"/>
      <c r="CH1" s="178"/>
      <c r="CI1" s="178"/>
      <c r="CJ1" s="170">
        <f>BS1+1</f>
        <v>9</v>
      </c>
      <c r="CK1" s="70"/>
      <c r="CL1" s="70"/>
      <c r="CM1" s="177"/>
      <c r="CN1" s="178"/>
      <c r="CO1" s="175"/>
      <c r="CP1" s="72"/>
      <c r="CQ1" s="72"/>
      <c r="CR1" s="178"/>
      <c r="CS1" s="178"/>
      <c r="CT1" s="175"/>
      <c r="CU1" s="72"/>
      <c r="CV1" s="72"/>
      <c r="CW1" s="178"/>
      <c r="CX1" s="178"/>
      <c r="CY1" s="178"/>
      <c r="CZ1" s="178"/>
      <c r="DA1" s="170">
        <f>CJ1+1</f>
        <v>10</v>
      </c>
      <c r="DB1" s="70"/>
      <c r="DC1" s="70"/>
      <c r="DD1" s="177"/>
      <c r="DE1" s="178"/>
      <c r="DF1" s="175"/>
      <c r="DG1" s="72"/>
      <c r="DH1" s="72"/>
      <c r="DI1" s="178"/>
      <c r="DJ1" s="178"/>
      <c r="DK1" s="175"/>
      <c r="DL1" s="72"/>
      <c r="DM1" s="72"/>
      <c r="DN1" s="178"/>
      <c r="DO1" s="178"/>
      <c r="DP1" s="178"/>
      <c r="DQ1" s="178"/>
      <c r="DR1" s="170">
        <f>DA1+1</f>
        <v>11</v>
      </c>
      <c r="DS1" s="70"/>
      <c r="DT1" s="70"/>
      <c r="DU1" s="177"/>
      <c r="DV1" s="178"/>
      <c r="DW1" s="175"/>
      <c r="DX1" s="72"/>
      <c r="DY1" s="72"/>
      <c r="DZ1" s="178"/>
      <c r="EA1" s="178"/>
      <c r="EB1" s="175"/>
      <c r="EC1" s="72"/>
      <c r="ED1" s="72"/>
      <c r="EE1" s="178"/>
      <c r="EF1" s="178"/>
      <c r="EG1" s="178"/>
      <c r="EH1" s="178"/>
      <c r="EI1" s="170">
        <f>DR1+1</f>
        <v>12</v>
      </c>
      <c r="EJ1" s="70"/>
      <c r="EK1" s="70"/>
      <c r="EL1" s="177"/>
      <c r="EM1" s="178"/>
      <c r="EN1" s="175"/>
      <c r="EO1" s="72"/>
      <c r="EP1" s="72"/>
      <c r="EQ1" s="178"/>
      <c r="ER1" s="178"/>
      <c r="ES1" s="175"/>
      <c r="ET1" s="72"/>
      <c r="EU1" s="72"/>
      <c r="EV1" s="178"/>
      <c r="EW1" s="178"/>
      <c r="EX1" s="178"/>
      <c r="EY1" s="178"/>
      <c r="EZ1" s="170">
        <f>EI1+1</f>
        <v>13</v>
      </c>
      <c r="FA1" s="70"/>
      <c r="FB1" s="70"/>
      <c r="FC1" s="177"/>
      <c r="FD1" s="178"/>
      <c r="FE1" s="175"/>
      <c r="FF1" s="72"/>
      <c r="FG1" s="72"/>
      <c r="FH1" s="178"/>
      <c r="FI1" s="178"/>
      <c r="FJ1" s="175"/>
      <c r="FK1" s="72"/>
      <c r="FL1" s="72"/>
      <c r="FM1" s="178"/>
      <c r="FN1" s="178"/>
      <c r="FO1" s="178"/>
      <c r="FP1" s="178"/>
      <c r="FQ1" s="170">
        <f>EZ1+1</f>
        <v>14</v>
      </c>
      <c r="FR1" s="70"/>
      <c r="FS1" s="70"/>
      <c r="FT1" s="177"/>
      <c r="FU1" s="178"/>
      <c r="FV1" s="175"/>
      <c r="FW1" s="72"/>
      <c r="FX1" s="72"/>
      <c r="FY1" s="178"/>
      <c r="FZ1" s="178"/>
      <c r="GA1" s="175"/>
      <c r="GB1" s="72"/>
      <c r="GC1" s="72"/>
      <c r="GD1" s="178"/>
      <c r="GE1" s="178"/>
      <c r="GF1" s="178"/>
      <c r="GG1" s="178"/>
      <c r="GH1" s="170">
        <f>FQ1+1</f>
        <v>15</v>
      </c>
      <c r="GI1" s="70"/>
      <c r="GJ1" s="70"/>
      <c r="GK1" s="177"/>
      <c r="GL1" s="178"/>
      <c r="GM1" s="175"/>
      <c r="GN1" s="72"/>
      <c r="GO1" s="72"/>
      <c r="GP1" s="178"/>
      <c r="GQ1" s="178"/>
      <c r="GR1" s="175"/>
      <c r="GS1" s="72"/>
      <c r="GT1" s="72"/>
      <c r="GU1" s="178"/>
      <c r="GV1" s="178"/>
      <c r="GW1" s="178"/>
      <c r="GX1" s="178"/>
      <c r="GY1" s="170">
        <f>GH1+1</f>
        <v>16</v>
      </c>
      <c r="GZ1" s="70"/>
      <c r="HA1" s="70"/>
      <c r="HB1" s="177"/>
      <c r="HC1" s="178"/>
      <c r="HD1" s="175"/>
      <c r="HE1" s="72"/>
      <c r="HF1" s="72"/>
      <c r="HG1" s="178"/>
      <c r="HH1" s="178"/>
      <c r="HI1" s="175"/>
      <c r="HJ1" s="72"/>
      <c r="HK1" s="72"/>
      <c r="HL1" s="178"/>
      <c r="HM1" s="178"/>
      <c r="HN1" s="178"/>
      <c r="HO1" s="178"/>
      <c r="HP1" s="170">
        <f>GY1+1</f>
        <v>17</v>
      </c>
      <c r="HQ1" s="70"/>
      <c r="HR1" s="70"/>
      <c r="HS1" s="177"/>
      <c r="HT1" s="178"/>
      <c r="HU1" s="175"/>
      <c r="HV1" s="72"/>
      <c r="HW1" s="72"/>
      <c r="HX1" s="178"/>
      <c r="HY1" s="178"/>
      <c r="HZ1" s="175"/>
      <c r="IA1" s="72"/>
      <c r="IB1" s="72"/>
      <c r="IC1" s="178"/>
      <c r="ID1" s="178"/>
      <c r="IE1" s="178"/>
      <c r="IF1" s="178"/>
      <c r="IG1" s="170">
        <f>HP1+1</f>
        <v>18</v>
      </c>
      <c r="IH1" s="70"/>
      <c r="II1" s="70"/>
      <c r="IJ1" s="177"/>
      <c r="IK1" s="178"/>
      <c r="IL1" s="175"/>
      <c r="IM1" s="72"/>
      <c r="IN1" s="72"/>
      <c r="IO1" s="178"/>
      <c r="IP1" s="178"/>
      <c r="IQ1" s="175"/>
      <c r="IR1" s="72"/>
      <c r="IS1" s="72"/>
      <c r="IT1" s="178"/>
      <c r="IU1" s="178"/>
      <c r="IV1" s="178"/>
      <c r="IW1" s="178"/>
      <c r="IX1" s="170">
        <f>IG1+1</f>
        <v>19</v>
      </c>
      <c r="IY1" s="70"/>
      <c r="IZ1" s="70"/>
      <c r="JA1" s="177"/>
      <c r="JB1" s="178"/>
      <c r="JC1" s="175"/>
      <c r="JD1" s="72"/>
      <c r="JE1" s="72"/>
      <c r="JF1" s="178"/>
      <c r="JG1" s="178"/>
      <c r="JH1" s="175"/>
      <c r="JI1" s="72"/>
      <c r="JJ1" s="72"/>
      <c r="JK1" s="178"/>
      <c r="JL1" s="178"/>
      <c r="JM1" s="178"/>
      <c r="JN1" s="178"/>
      <c r="JO1" s="170">
        <f>IX1+1</f>
        <v>20</v>
      </c>
      <c r="JP1" s="70"/>
      <c r="JQ1" s="70"/>
      <c r="JR1" s="177"/>
      <c r="JS1" s="178"/>
      <c r="JT1" s="175"/>
      <c r="JU1" s="72"/>
      <c r="JV1" s="72"/>
      <c r="JW1" s="178"/>
      <c r="JX1" s="178"/>
      <c r="JY1" s="175"/>
      <c r="JZ1" s="72"/>
      <c r="KA1" s="72"/>
      <c r="KB1" s="178"/>
      <c r="KC1" s="178"/>
      <c r="KD1" s="178"/>
      <c r="KE1" s="178"/>
      <c r="KF1" s="170">
        <f>JO1+1</f>
        <v>21</v>
      </c>
      <c r="KG1" s="70"/>
      <c r="KH1" s="70"/>
      <c r="KI1" s="177"/>
      <c r="KJ1" s="178"/>
      <c r="KK1" s="175"/>
      <c r="KL1" s="72"/>
      <c r="KM1" s="72"/>
      <c r="KN1" s="178"/>
      <c r="KO1" s="178"/>
      <c r="KP1" s="175"/>
      <c r="KQ1" s="72"/>
      <c r="KR1" s="72"/>
      <c r="KS1" s="178"/>
      <c r="KT1" s="178"/>
      <c r="KU1" s="178"/>
      <c r="KV1" s="178"/>
      <c r="KW1" s="170">
        <f>KF1+1</f>
        <v>22</v>
      </c>
      <c r="KX1" s="70"/>
      <c r="KY1" s="70"/>
      <c r="KZ1" s="177"/>
      <c r="LA1" s="178"/>
      <c r="LB1" s="175"/>
      <c r="LC1" s="72"/>
      <c r="LD1" s="72"/>
      <c r="LE1" s="178"/>
      <c r="LF1" s="178"/>
      <c r="LG1" s="175"/>
      <c r="LH1" s="72"/>
      <c r="LI1" s="72"/>
      <c r="LJ1" s="178"/>
      <c r="LK1" s="178"/>
      <c r="LL1" s="178"/>
      <c r="LM1" s="178"/>
      <c r="LN1" s="170">
        <f>KW1+1</f>
        <v>23</v>
      </c>
      <c r="LO1" s="70"/>
      <c r="LP1" s="70"/>
      <c r="LQ1" s="177"/>
      <c r="LR1" s="178"/>
      <c r="LS1" s="175"/>
      <c r="LT1" s="72"/>
      <c r="LU1" s="72"/>
      <c r="LV1" s="178"/>
      <c r="LW1" s="178"/>
      <c r="LX1" s="175"/>
      <c r="LY1" s="72"/>
      <c r="LZ1" s="72"/>
      <c r="MA1" s="178"/>
      <c r="MB1" s="178"/>
      <c r="MC1" s="178"/>
      <c r="MD1" s="178"/>
      <c r="ME1" s="170">
        <f>LN1+1</f>
        <v>24</v>
      </c>
      <c r="MF1" s="70"/>
      <c r="MG1" s="70"/>
      <c r="MH1" s="177"/>
      <c r="MI1" s="178"/>
      <c r="MJ1" s="175"/>
      <c r="MK1" s="72"/>
      <c r="ML1" s="72"/>
      <c r="MM1" s="178"/>
      <c r="MN1" s="178"/>
      <c r="MO1" s="175"/>
      <c r="MP1" s="72"/>
      <c r="MQ1" s="72"/>
      <c r="MR1" s="178"/>
      <c r="MS1" s="178"/>
      <c r="MT1" s="178"/>
      <c r="MU1" s="178"/>
      <c r="MV1" s="170">
        <f>ME1+1</f>
        <v>25</v>
      </c>
      <c r="MW1" s="70"/>
      <c r="MX1" s="70"/>
      <c r="MY1" s="177"/>
      <c r="MZ1" s="178"/>
      <c r="NA1" s="175"/>
      <c r="NB1" s="72"/>
      <c r="NC1" s="72"/>
      <c r="ND1" s="178"/>
      <c r="NE1" s="178"/>
      <c r="NF1" s="175"/>
      <c r="NG1" s="72"/>
      <c r="NH1" s="72"/>
      <c r="NI1" s="178"/>
      <c r="NJ1" s="178"/>
      <c r="NK1" s="178"/>
      <c r="NL1" s="178"/>
      <c r="NM1" s="170">
        <f>MV1+1</f>
        <v>26</v>
      </c>
      <c r="NN1" s="70"/>
      <c r="NO1" s="70"/>
      <c r="NP1" s="177"/>
      <c r="NQ1" s="178"/>
      <c r="NR1" s="175"/>
      <c r="NS1" s="72"/>
      <c r="NT1" s="72"/>
      <c r="NU1" s="178"/>
      <c r="NV1" s="178"/>
      <c r="NW1" s="175"/>
      <c r="NX1" s="72"/>
      <c r="NY1" s="72"/>
      <c r="NZ1" s="178"/>
      <c r="OA1" s="178"/>
      <c r="OB1" s="178"/>
      <c r="OC1" s="178"/>
      <c r="OD1" s="170">
        <f>NM1+1</f>
        <v>27</v>
      </c>
      <c r="OE1" s="70"/>
      <c r="OF1" s="70"/>
      <c r="OG1" s="177"/>
      <c r="OH1" s="178"/>
      <c r="OI1" s="175"/>
      <c r="OJ1" s="72"/>
      <c r="OK1" s="72"/>
      <c r="OL1" s="178"/>
      <c r="OM1" s="178"/>
      <c r="ON1" s="175"/>
      <c r="OO1" s="72"/>
      <c r="OP1" s="72"/>
      <c r="OQ1" s="178"/>
      <c r="OR1" s="178"/>
      <c r="OS1" s="178"/>
      <c r="OT1" s="178"/>
      <c r="OU1" s="170">
        <f>OD1+1</f>
        <v>28</v>
      </c>
      <c r="OV1" s="70"/>
      <c r="OW1" s="70"/>
      <c r="OX1" s="177"/>
      <c r="OY1" s="178"/>
      <c r="OZ1" s="175"/>
      <c r="PA1" s="72"/>
      <c r="PB1" s="72"/>
      <c r="PC1" s="178"/>
      <c r="PD1" s="178"/>
      <c r="PE1" s="175"/>
      <c r="PF1" s="72"/>
      <c r="PG1" s="72"/>
      <c r="PH1" s="178"/>
      <c r="PI1" s="178"/>
      <c r="PJ1" s="178"/>
      <c r="PK1" s="178"/>
      <c r="PL1" s="170">
        <f>OU1+1</f>
        <v>29</v>
      </c>
      <c r="PM1" s="70"/>
      <c r="PN1" s="70"/>
      <c r="PO1" s="177"/>
      <c r="PP1" s="178"/>
      <c r="PQ1" s="175"/>
      <c r="PR1" s="72"/>
      <c r="PS1" s="72"/>
      <c r="PT1" s="178"/>
      <c r="PU1" s="178"/>
      <c r="PV1" s="175"/>
      <c r="PW1" s="72"/>
      <c r="PX1" s="72"/>
      <c r="PY1" s="178"/>
      <c r="PZ1" s="178"/>
      <c r="QA1" s="178"/>
      <c r="QB1" s="178"/>
      <c r="QC1" s="170">
        <f>PL1+1</f>
        <v>30</v>
      </c>
      <c r="QD1" s="70"/>
      <c r="QE1" s="70"/>
      <c r="QF1" s="177"/>
      <c r="QG1" s="178"/>
      <c r="QH1" s="175"/>
      <c r="QI1" s="72"/>
      <c r="QJ1" s="72"/>
      <c r="QK1" s="178"/>
      <c r="QL1" s="178"/>
      <c r="QM1" s="175"/>
      <c r="QN1" s="72"/>
      <c r="QO1" s="72"/>
      <c r="QP1" s="178"/>
      <c r="QQ1" s="178"/>
      <c r="QR1" s="178"/>
      <c r="QS1" s="178"/>
      <c r="QT1" s="69">
        <f>QC1+1</f>
        <v>31</v>
      </c>
      <c r="QU1" s="70"/>
      <c r="QV1" s="70"/>
      <c r="QW1" s="70"/>
      <c r="QX1" s="71"/>
      <c r="QY1" s="72"/>
      <c r="QZ1" s="72"/>
      <c r="RA1" s="72"/>
      <c r="RB1" s="71"/>
      <c r="RC1" s="71"/>
      <c r="RD1" s="72"/>
      <c r="RE1" s="72"/>
      <c r="RF1" s="72"/>
      <c r="RG1" s="71"/>
      <c r="RH1" s="71"/>
      <c r="RI1" s="71"/>
      <c r="RJ1" s="71"/>
      <c r="RK1" s="69">
        <f>QT1+1</f>
        <v>32</v>
      </c>
      <c r="RL1" s="70"/>
      <c r="RM1" s="70"/>
      <c r="RN1" s="70"/>
      <c r="RO1" s="71"/>
      <c r="RP1" s="72"/>
      <c r="RQ1" s="72"/>
      <c r="RR1" s="72"/>
      <c r="RS1" s="71"/>
      <c r="RT1" s="71"/>
      <c r="RU1" s="72"/>
      <c r="RV1" s="72"/>
      <c r="RW1" s="72"/>
      <c r="RX1" s="71"/>
      <c r="RY1" s="71"/>
      <c r="RZ1" s="71"/>
      <c r="SA1" s="71"/>
      <c r="SB1" s="69">
        <f>RK1+1</f>
        <v>33</v>
      </c>
      <c r="SC1" s="70"/>
      <c r="SD1" s="70"/>
      <c r="SE1" s="70"/>
      <c r="SF1" s="71"/>
      <c r="SG1" s="72"/>
      <c r="SH1" s="72"/>
      <c r="SI1" s="72"/>
      <c r="SJ1" s="71"/>
      <c r="SK1" s="71"/>
      <c r="SL1" s="72"/>
      <c r="SM1" s="72"/>
      <c r="SN1" s="72"/>
      <c r="SO1" s="71"/>
      <c r="SP1" s="71"/>
      <c r="SQ1" s="71"/>
      <c r="SR1" s="71"/>
      <c r="SS1" s="69">
        <f>SB1+1</f>
        <v>34</v>
      </c>
      <c r="ST1" s="70"/>
      <c r="SU1" s="70"/>
      <c r="SV1" s="70"/>
      <c r="SW1" s="71"/>
      <c r="SX1" s="72"/>
      <c r="SY1" s="72"/>
      <c r="SZ1" s="72"/>
      <c r="TA1" s="71"/>
      <c r="TB1" s="71"/>
      <c r="TC1" s="72"/>
      <c r="TD1" s="72"/>
      <c r="TE1" s="72"/>
      <c r="TF1" s="71"/>
      <c r="TG1" s="71"/>
      <c r="TH1" s="71"/>
      <c r="TI1" s="71"/>
      <c r="TJ1" s="69">
        <f>SS1+1</f>
        <v>35</v>
      </c>
      <c r="TK1" s="70"/>
      <c r="TL1" s="70"/>
      <c r="TM1" s="70"/>
      <c r="TN1" s="71"/>
      <c r="TO1" s="72"/>
      <c r="TP1" s="72"/>
      <c r="TQ1" s="72"/>
      <c r="TR1" s="71"/>
      <c r="TS1" s="71"/>
      <c r="TT1" s="72"/>
      <c r="TU1" s="72"/>
      <c r="TV1" s="72"/>
      <c r="TW1" s="71"/>
      <c r="TX1" s="71"/>
      <c r="TY1" s="71"/>
      <c r="TZ1" s="71"/>
    </row>
    <row r="2" spans="1:546" ht="60" customHeight="1" thickBot="1" x14ac:dyDescent="0.3">
      <c r="A2" s="158" t="s">
        <v>42</v>
      </c>
      <c r="B2" s="159" t="s">
        <v>198</v>
      </c>
      <c r="C2" s="171" t="str">
        <f ca="1">IF(CELL("contenu",INDIRECT(ADDRESS(C1,1,1,1,CELL("contenu",$B$2))))="","----",CELL("contenu",INDIRECT(ADDRESS(C1,1,1,1,CELL("contenu",$B$2)))))</f>
        <v>ANTIGNY Arthur</v>
      </c>
      <c r="D2" s="169"/>
      <c r="E2" s="169"/>
      <c r="F2" s="171"/>
      <c r="G2" s="171"/>
      <c r="H2" s="171"/>
      <c r="I2" s="169"/>
      <c r="J2" s="169"/>
      <c r="K2" s="171"/>
      <c r="L2" s="171"/>
      <c r="M2" s="171"/>
      <c r="N2" s="169"/>
      <c r="O2" s="169"/>
      <c r="P2" s="171"/>
      <c r="Q2" s="171"/>
      <c r="R2" s="171"/>
      <c r="S2" s="200"/>
      <c r="T2" s="171" t="str">
        <f ca="1">IF(CELL("contenu",INDIRECT(ADDRESS(T1,1,1,1,CELL("contenu",$B$2))))="","----",CELL("contenu",INDIRECT(ADDRESS(T1,1,1,1,CELL("contenu",$B$2)))))</f>
        <v>BIDAULT Camille</v>
      </c>
      <c r="U2" s="169"/>
      <c r="V2" s="169"/>
      <c r="W2" s="171"/>
      <c r="X2" s="171"/>
      <c r="Y2" s="171"/>
      <c r="Z2" s="169"/>
      <c r="AA2" s="169"/>
      <c r="AB2" s="171"/>
      <c r="AC2" s="171"/>
      <c r="AD2" s="171"/>
      <c r="AE2" s="169"/>
      <c r="AF2" s="169"/>
      <c r="AG2" s="171"/>
      <c r="AH2" s="171"/>
      <c r="AI2" s="171"/>
      <c r="AJ2" s="200"/>
      <c r="AK2" s="171" t="str">
        <f ca="1">IF(CELL("contenu",INDIRECT(ADDRESS(AK1,1,1,1,CELL("contenu",$B$2))))="","----",CELL("contenu",INDIRECT(ADDRESS(AK1,1,1,1,CELL("contenu",$B$2)))))</f>
        <v>BOUCHER Hortense</v>
      </c>
      <c r="AL2" s="169"/>
      <c r="AM2" s="169"/>
      <c r="AN2" s="171"/>
      <c r="AO2" s="171"/>
      <c r="AP2" s="171"/>
      <c r="AQ2" s="169"/>
      <c r="AR2" s="169"/>
      <c r="AS2" s="171"/>
      <c r="AT2" s="171"/>
      <c r="AU2" s="171"/>
      <c r="AV2" s="169"/>
      <c r="AW2" s="169"/>
      <c r="AX2" s="171"/>
      <c r="AY2" s="171"/>
      <c r="AZ2" s="171"/>
      <c r="BA2" s="200"/>
      <c r="BB2" s="171" t="str">
        <f ca="1">IF(CELL("contenu",INDIRECT(ADDRESS(BB1,1,1,1,CELL("contenu",$B$2))))="","----",CELL("contenu",INDIRECT(ADDRESS(BB1,1,1,1,CELL("contenu",$B$2)))))</f>
        <v>BRAULT Amaury</v>
      </c>
      <c r="BC2" s="169"/>
      <c r="BD2" s="169"/>
      <c r="BE2" s="171"/>
      <c r="BF2" s="171"/>
      <c r="BG2" s="171"/>
      <c r="BH2" s="169"/>
      <c r="BI2" s="169"/>
      <c r="BJ2" s="171"/>
      <c r="BK2" s="171"/>
      <c r="BL2" s="171"/>
      <c r="BM2" s="169"/>
      <c r="BN2" s="169"/>
      <c r="BO2" s="171"/>
      <c r="BP2" s="171"/>
      <c r="BQ2" s="171"/>
      <c r="BR2" s="200"/>
      <c r="BS2" s="171" t="str">
        <f ca="1">IF(CELL("contenu",INDIRECT(ADDRESS(BS1,1,1,1,CELL("contenu",$B$2))))="","----",CELL("contenu",INDIRECT(ADDRESS(BS1,1,1,1,CELL("contenu",$B$2)))))</f>
        <v>CHAPRON Elise</v>
      </c>
      <c r="BT2" s="169"/>
      <c r="BU2" s="169"/>
      <c r="BV2" s="171"/>
      <c r="BW2" s="171"/>
      <c r="BX2" s="171"/>
      <c r="BY2" s="169"/>
      <c r="BZ2" s="169"/>
      <c r="CA2" s="171"/>
      <c r="CB2" s="171"/>
      <c r="CC2" s="171"/>
      <c r="CD2" s="169"/>
      <c r="CE2" s="169"/>
      <c r="CF2" s="171"/>
      <c r="CG2" s="171"/>
      <c r="CH2" s="171"/>
      <c r="CI2" s="200"/>
      <c r="CJ2" s="171" t="str">
        <f ca="1">IF(CELL("contenu",INDIRECT(ADDRESS(CJ1,1,1,1,CELL("contenu",$B$2))))="","----",CELL("contenu",INDIRECT(ADDRESS(CJ1,1,1,1,CELL("contenu",$B$2)))))</f>
        <v>DE LA RUE DU CAN Baptiste</v>
      </c>
      <c r="CK2" s="169"/>
      <c r="CL2" s="169"/>
      <c r="CM2" s="171"/>
      <c r="CN2" s="171"/>
      <c r="CO2" s="171"/>
      <c r="CP2" s="169"/>
      <c r="CQ2" s="169"/>
      <c r="CR2" s="171"/>
      <c r="CS2" s="171"/>
      <c r="CT2" s="171"/>
      <c r="CU2" s="169"/>
      <c r="CV2" s="169"/>
      <c r="CW2" s="171"/>
      <c r="CX2" s="171"/>
      <c r="CY2" s="171"/>
      <c r="CZ2" s="200"/>
      <c r="DA2" s="171" t="str">
        <f ca="1">IF(CELL("contenu",INDIRECT(ADDRESS(DA1,1,1,1,CELL("contenu",$B$2))))="","----",CELL("contenu",INDIRECT(ADDRESS(DA1,1,1,1,CELL("contenu",$B$2)))))</f>
        <v>DESECOT Marie-Clemence</v>
      </c>
      <c r="DB2" s="169"/>
      <c r="DC2" s="169"/>
      <c r="DD2" s="171"/>
      <c r="DE2" s="171"/>
      <c r="DF2" s="171"/>
      <c r="DG2" s="169"/>
      <c r="DH2" s="169"/>
      <c r="DI2" s="171"/>
      <c r="DJ2" s="171"/>
      <c r="DK2" s="171"/>
      <c r="DL2" s="169"/>
      <c r="DM2" s="169"/>
      <c r="DN2" s="171"/>
      <c r="DO2" s="171"/>
      <c r="DP2" s="171"/>
      <c r="DQ2" s="200"/>
      <c r="DR2" s="171" t="str">
        <f ca="1">IF(CELL("contenu",INDIRECT(ADDRESS(DR1,1,1,1,CELL("contenu",$B$2))))="","----",CELL("contenu",INDIRECT(ADDRESS(DR1,1,1,1,CELL("contenu",$B$2)))))</f>
        <v>FAROOQ ELIAS Mathyus</v>
      </c>
      <c r="DS2" s="169"/>
      <c r="DT2" s="169"/>
      <c r="DU2" s="171"/>
      <c r="DV2" s="171"/>
      <c r="DW2" s="171"/>
      <c r="DX2" s="169"/>
      <c r="DY2" s="169"/>
      <c r="DZ2" s="171"/>
      <c r="EA2" s="171"/>
      <c r="EB2" s="171"/>
      <c r="EC2" s="169"/>
      <c r="ED2" s="169"/>
      <c r="EE2" s="171"/>
      <c r="EF2" s="171"/>
      <c r="EG2" s="171"/>
      <c r="EH2" s="200"/>
      <c r="EI2" s="171" t="str">
        <f ca="1">IF(CELL("contenu",INDIRECT(ADDRESS(EI1,1,1,1,CELL("contenu",$B$2))))="","----",CELL("contenu",INDIRECT(ADDRESS(EI1,1,1,1,CELL("contenu",$B$2)))))</f>
        <v>GATINE Martin</v>
      </c>
      <c r="EJ2" s="169"/>
      <c r="EK2" s="169"/>
      <c r="EL2" s="171"/>
      <c r="EM2" s="171"/>
      <c r="EN2" s="171"/>
      <c r="EO2" s="169"/>
      <c r="EP2" s="169"/>
      <c r="EQ2" s="171"/>
      <c r="ER2" s="171"/>
      <c r="ES2" s="171"/>
      <c r="ET2" s="169"/>
      <c r="EU2" s="169"/>
      <c r="EV2" s="171"/>
      <c r="EW2" s="171"/>
      <c r="EX2" s="171"/>
      <c r="EY2" s="200"/>
      <c r="EZ2" s="171" t="str">
        <f ca="1">IF(CELL("contenu",INDIRECT(ADDRESS(EZ1,1,1,1,CELL("contenu",$B$2))))="","----",CELL("contenu",INDIRECT(ADDRESS(EZ1,1,1,1,CELL("contenu",$B$2)))))</f>
        <v>GODON Maximilien</v>
      </c>
      <c r="FA2" s="169"/>
      <c r="FB2" s="169"/>
      <c r="FC2" s="171"/>
      <c r="FD2" s="171"/>
      <c r="FE2" s="171"/>
      <c r="FF2" s="169"/>
      <c r="FG2" s="169"/>
      <c r="FH2" s="171"/>
      <c r="FI2" s="171"/>
      <c r="FJ2" s="171"/>
      <c r="FK2" s="169"/>
      <c r="FL2" s="169"/>
      <c r="FM2" s="171"/>
      <c r="FN2" s="171"/>
      <c r="FO2" s="171"/>
      <c r="FP2" s="200"/>
      <c r="FQ2" s="171" t="str">
        <f ca="1">IF(CELL("contenu",INDIRECT(ADDRESS(FQ1,1,1,1,CELL("contenu",$B$2))))="","----",CELL("contenu",INDIRECT(ADDRESS(FQ1,1,1,1,CELL("contenu",$B$2)))))</f>
        <v>GOUVAZE Aristide</v>
      </c>
      <c r="FR2" s="169"/>
      <c r="FS2" s="169"/>
      <c r="FT2" s="171"/>
      <c r="FU2" s="171"/>
      <c r="FV2" s="171"/>
      <c r="FW2" s="169"/>
      <c r="FX2" s="169"/>
      <c r="FY2" s="171"/>
      <c r="FZ2" s="171"/>
      <c r="GA2" s="171"/>
      <c r="GB2" s="169"/>
      <c r="GC2" s="169"/>
      <c r="GD2" s="171"/>
      <c r="GE2" s="171"/>
      <c r="GF2" s="171"/>
      <c r="GG2" s="200"/>
      <c r="GH2" s="171" t="str">
        <f ca="1">IF(CELL("contenu",INDIRECT(ADDRESS(GH1,1,1,1,CELL("contenu",$B$2))))="","----",CELL("contenu",INDIRECT(ADDRESS(GH1,1,1,1,CELL("contenu",$B$2)))))</f>
        <v>HALLAIS Louis</v>
      </c>
      <c r="GI2" s="169"/>
      <c r="GJ2" s="169"/>
      <c r="GK2" s="171"/>
      <c r="GL2" s="171"/>
      <c r="GM2" s="171"/>
      <c r="GN2" s="169"/>
      <c r="GO2" s="169"/>
      <c r="GP2" s="171"/>
      <c r="GQ2" s="171"/>
      <c r="GR2" s="171"/>
      <c r="GS2" s="169"/>
      <c r="GT2" s="169"/>
      <c r="GU2" s="171"/>
      <c r="GV2" s="171"/>
      <c r="GW2" s="171"/>
      <c r="GX2" s="200"/>
      <c r="GY2" s="171" t="str">
        <f ca="1">IF(CELL("contenu",INDIRECT(ADDRESS(GY1,1,1,1,CELL("contenu",$B$2))))="","----",CELL("contenu",INDIRECT(ADDRESS(GY1,1,1,1,CELL("contenu",$B$2)))))</f>
        <v>HERON LANGLOIS Valentin</v>
      </c>
      <c r="GZ2" s="169"/>
      <c r="HA2" s="169"/>
      <c r="HB2" s="171"/>
      <c r="HC2" s="171"/>
      <c r="HD2" s="171"/>
      <c r="HE2" s="169"/>
      <c r="HF2" s="169"/>
      <c r="HG2" s="171"/>
      <c r="HH2" s="171"/>
      <c r="HI2" s="171"/>
      <c r="HJ2" s="169"/>
      <c r="HK2" s="169"/>
      <c r="HL2" s="171"/>
      <c r="HM2" s="171"/>
      <c r="HN2" s="171"/>
      <c r="HO2" s="200"/>
      <c r="HP2" s="171" t="str">
        <f ca="1">IF(CELL("contenu",INDIRECT(ADDRESS(HP1,1,1,1,CELL("contenu",$B$2))))="","----",CELL("contenu",INDIRECT(ADDRESS(HP1,1,1,1,CELL("contenu",$B$2)))))</f>
        <v>JEANDEMANGE Marc</v>
      </c>
      <c r="HQ2" s="169"/>
      <c r="HR2" s="169"/>
      <c r="HS2" s="171"/>
      <c r="HT2" s="171"/>
      <c r="HU2" s="171"/>
      <c r="HV2" s="169"/>
      <c r="HW2" s="169"/>
      <c r="HX2" s="171"/>
      <c r="HY2" s="171"/>
      <c r="HZ2" s="171"/>
      <c r="IA2" s="169"/>
      <c r="IB2" s="169"/>
      <c r="IC2" s="171"/>
      <c r="ID2" s="171"/>
      <c r="IE2" s="171"/>
      <c r="IF2" s="200"/>
      <c r="IG2" s="171" t="str">
        <f ca="1">IF(CELL("contenu",INDIRECT(ADDRESS(IG1,1,1,1,CELL("contenu",$B$2))))="","----",CELL("contenu",INDIRECT(ADDRESS(IG1,1,1,1,CELL("contenu",$B$2)))))</f>
        <v>JIANG Leo</v>
      </c>
      <c r="IH2" s="169"/>
      <c r="II2" s="169"/>
      <c r="IJ2" s="171"/>
      <c r="IK2" s="171"/>
      <c r="IL2" s="171"/>
      <c r="IM2" s="169"/>
      <c r="IN2" s="169"/>
      <c r="IO2" s="171"/>
      <c r="IP2" s="171"/>
      <c r="IQ2" s="171"/>
      <c r="IR2" s="169"/>
      <c r="IS2" s="169"/>
      <c r="IT2" s="171"/>
      <c r="IU2" s="171"/>
      <c r="IV2" s="171"/>
      <c r="IW2" s="200"/>
      <c r="IX2" s="171" t="str">
        <f ca="1">IF(CELL("contenu",INDIRECT(ADDRESS(IX1,1,1,1,CELL("contenu",$B$2))))="","----",CELL("contenu",INDIRECT(ADDRESS(IX1,1,1,1,CELL("contenu",$B$2)))))</f>
        <v>KADRIC Lina</v>
      </c>
      <c r="IY2" s="169"/>
      <c r="IZ2" s="169"/>
      <c r="JA2" s="171"/>
      <c r="JB2" s="171"/>
      <c r="JC2" s="171"/>
      <c r="JD2" s="169"/>
      <c r="JE2" s="169"/>
      <c r="JF2" s="171"/>
      <c r="JG2" s="171"/>
      <c r="JH2" s="171"/>
      <c r="JI2" s="169"/>
      <c r="JJ2" s="169"/>
      <c r="JK2" s="171"/>
      <c r="JL2" s="171"/>
      <c r="JM2" s="171"/>
      <c r="JN2" s="200"/>
      <c r="JO2" s="171" t="str">
        <f ca="1">IF(CELL("contenu",INDIRECT(ADDRESS(JO1,1,1,1,CELL("contenu",$B$2))))="","----",CELL("contenu",INDIRECT(ADDRESS(JO1,1,1,1,CELL("contenu",$B$2)))))</f>
        <v>LE CLEZIO Olivia</v>
      </c>
      <c r="JP2" s="169"/>
      <c r="JQ2" s="169"/>
      <c r="JR2" s="171"/>
      <c r="JS2" s="171"/>
      <c r="JT2" s="171"/>
      <c r="JU2" s="169"/>
      <c r="JV2" s="169"/>
      <c r="JW2" s="171"/>
      <c r="JX2" s="171"/>
      <c r="JY2" s="171"/>
      <c r="JZ2" s="169"/>
      <c r="KA2" s="169"/>
      <c r="KB2" s="171"/>
      <c r="KC2" s="171"/>
      <c r="KD2" s="171"/>
      <c r="KE2" s="200"/>
      <c r="KF2" s="171" t="str">
        <f ca="1">IF(CELL("contenu",INDIRECT(ADDRESS(KF1,1,1,1,CELL("contenu",$B$2))))="","----",CELL("contenu",INDIRECT(ADDRESS(KF1,1,1,1,CELL("contenu",$B$2)))))</f>
        <v>LECONTE Ziyed</v>
      </c>
      <c r="KG2" s="169"/>
      <c r="KH2" s="169"/>
      <c r="KI2" s="171"/>
      <c r="KJ2" s="171"/>
      <c r="KK2" s="171"/>
      <c r="KL2" s="169"/>
      <c r="KM2" s="169"/>
      <c r="KN2" s="171"/>
      <c r="KO2" s="171"/>
      <c r="KP2" s="171"/>
      <c r="KQ2" s="169"/>
      <c r="KR2" s="169"/>
      <c r="KS2" s="171"/>
      <c r="KT2" s="171"/>
      <c r="KU2" s="171"/>
      <c r="KV2" s="200"/>
      <c r="KW2" s="171" t="str">
        <f ca="1">IF(CELL("contenu",INDIRECT(ADDRESS(KW1,1,1,1,CELL("contenu",$B$2))))="","----",CELL("contenu",INDIRECT(ADDRESS(KW1,1,1,1,CELL("contenu",$B$2)))))</f>
        <v>MARCHAND Antoine</v>
      </c>
      <c r="KX2" s="169"/>
      <c r="KY2" s="169"/>
      <c r="KZ2" s="171"/>
      <c r="LA2" s="171"/>
      <c r="LB2" s="171"/>
      <c r="LC2" s="169"/>
      <c r="LD2" s="169"/>
      <c r="LE2" s="171"/>
      <c r="LF2" s="171"/>
      <c r="LG2" s="171"/>
      <c r="LH2" s="169"/>
      <c r="LI2" s="169"/>
      <c r="LJ2" s="171"/>
      <c r="LK2" s="171"/>
      <c r="LL2" s="171"/>
      <c r="LM2" s="200"/>
      <c r="LN2" s="171" t="str">
        <f ca="1">IF(CELL("contenu",INDIRECT(ADDRESS(LN1,1,1,1,CELL("contenu",$B$2))))="","----",CELL("contenu",INDIRECT(ADDRESS(LN1,1,1,1,CELL("contenu",$B$2)))))</f>
        <v>MARTINAT Antoine</v>
      </c>
      <c r="LO2" s="169"/>
      <c r="LP2" s="169"/>
      <c r="LQ2" s="171"/>
      <c r="LR2" s="171"/>
      <c r="LS2" s="171"/>
      <c r="LT2" s="169"/>
      <c r="LU2" s="169"/>
      <c r="LV2" s="171"/>
      <c r="LW2" s="171"/>
      <c r="LX2" s="171"/>
      <c r="LY2" s="169"/>
      <c r="LZ2" s="169"/>
      <c r="MA2" s="171"/>
      <c r="MB2" s="171"/>
      <c r="MC2" s="171"/>
      <c r="MD2" s="200"/>
      <c r="ME2" s="171" t="str">
        <f ca="1">IF(CELL("contenu",INDIRECT(ADDRESS(ME1,1,1,1,CELL("contenu",$B$2))))="","----",CELL("contenu",INDIRECT(ADDRESS(ME1,1,1,1,CELL("contenu",$B$2)))))</f>
        <v>NORGUET Andrea</v>
      </c>
      <c r="MF2" s="169"/>
      <c r="MG2" s="169"/>
      <c r="MH2" s="171"/>
      <c r="MI2" s="171"/>
      <c r="MJ2" s="171"/>
      <c r="MK2" s="169"/>
      <c r="ML2" s="169"/>
      <c r="MM2" s="171"/>
      <c r="MN2" s="171"/>
      <c r="MO2" s="171"/>
      <c r="MP2" s="169"/>
      <c r="MQ2" s="169"/>
      <c r="MR2" s="171"/>
      <c r="MS2" s="171"/>
      <c r="MT2" s="171"/>
      <c r="MU2" s="200"/>
      <c r="MV2" s="171" t="str">
        <f ca="1">IF(CELL("contenu",INDIRECT(ADDRESS(MV1,1,1,1,CELL("contenu",$B$2))))="","----",CELL("contenu",INDIRECT(ADDRESS(MV1,1,1,1,CELL("contenu",$B$2)))))</f>
        <v>NOSMAS Clement</v>
      </c>
      <c r="MW2" s="169"/>
      <c r="MX2" s="169"/>
      <c r="MY2" s="171"/>
      <c r="MZ2" s="171"/>
      <c r="NA2" s="171"/>
      <c r="NB2" s="169"/>
      <c r="NC2" s="169"/>
      <c r="ND2" s="171"/>
      <c r="NE2" s="171"/>
      <c r="NF2" s="171"/>
      <c r="NG2" s="169"/>
      <c r="NH2" s="169"/>
      <c r="NI2" s="171"/>
      <c r="NJ2" s="171"/>
      <c r="NK2" s="171"/>
      <c r="NL2" s="200"/>
      <c r="NM2" s="171" t="str">
        <f ca="1">IF(CELL("contenu",INDIRECT(ADDRESS(NM1,1,1,1,CELL("contenu",$B$2))))="","----",CELL("contenu",INDIRECT(ADDRESS(NM1,1,1,1,CELL("contenu",$B$2)))))</f>
        <v>POUPAULT Sasha</v>
      </c>
      <c r="NN2" s="169"/>
      <c r="NO2" s="169"/>
      <c r="NP2" s="171"/>
      <c r="NQ2" s="171"/>
      <c r="NR2" s="171"/>
      <c r="NS2" s="169"/>
      <c r="NT2" s="169"/>
      <c r="NU2" s="171"/>
      <c r="NV2" s="171"/>
      <c r="NW2" s="171"/>
      <c r="NX2" s="169"/>
      <c r="NY2" s="169"/>
      <c r="NZ2" s="171"/>
      <c r="OA2" s="171"/>
      <c r="OB2" s="171"/>
      <c r="OC2" s="200"/>
      <c r="OD2" s="171" t="str">
        <f ca="1">IF(CELL("contenu",INDIRECT(ADDRESS(OD1,1,1,1,CELL("contenu",$B$2))))="","----",CELL("contenu",INDIRECT(ADDRESS(OD1,1,1,1,CELL("contenu",$B$2)))))</f>
        <v>RICARD Samuel</v>
      </c>
      <c r="OE2" s="169"/>
      <c r="OF2" s="169"/>
      <c r="OG2" s="171"/>
      <c r="OH2" s="171"/>
      <c r="OI2" s="171"/>
      <c r="OJ2" s="169"/>
      <c r="OK2" s="169"/>
      <c r="OL2" s="171"/>
      <c r="OM2" s="171"/>
      <c r="ON2" s="171"/>
      <c r="OO2" s="169"/>
      <c r="OP2" s="169"/>
      <c r="OQ2" s="171"/>
      <c r="OR2" s="171"/>
      <c r="OS2" s="171"/>
      <c r="OT2" s="200"/>
      <c r="OU2" s="171" t="str">
        <f ca="1">IF(CELL("contenu",INDIRECT(ADDRESS(OU1,1,1,1,CELL("contenu",$B$2))))="","----",CELL("contenu",INDIRECT(ADDRESS(OU1,1,1,1,CELL("contenu",$B$2)))))</f>
        <v>ROBIN Paul-Armand</v>
      </c>
      <c r="OV2" s="169"/>
      <c r="OW2" s="169"/>
      <c r="OX2" s="171"/>
      <c r="OY2" s="171"/>
      <c r="OZ2" s="171"/>
      <c r="PA2" s="169"/>
      <c r="PB2" s="169"/>
      <c r="PC2" s="171"/>
      <c r="PD2" s="171"/>
      <c r="PE2" s="171"/>
      <c r="PF2" s="169"/>
      <c r="PG2" s="169"/>
      <c r="PH2" s="171"/>
      <c r="PI2" s="171"/>
      <c r="PJ2" s="171"/>
      <c r="PK2" s="200"/>
      <c r="PL2" s="171" t="str">
        <f ca="1">IF(CELL("contenu",INDIRECT(ADDRESS(PL1,1,1,1,CELL("contenu",$B$2))))="","----",CELL("contenu",INDIRECT(ADDRESS(PL1,1,1,1,CELL("contenu",$B$2)))))</f>
        <v>STEPHANT Marius</v>
      </c>
      <c r="PM2" s="169"/>
      <c r="PN2" s="169"/>
      <c r="PO2" s="171"/>
      <c r="PP2" s="171"/>
      <c r="PQ2" s="171"/>
      <c r="PR2" s="169"/>
      <c r="PS2" s="169"/>
      <c r="PT2" s="171"/>
      <c r="PU2" s="171"/>
      <c r="PV2" s="171"/>
      <c r="PW2" s="169"/>
      <c r="PX2" s="169"/>
      <c r="PY2" s="171"/>
      <c r="PZ2" s="171"/>
      <c r="QA2" s="171"/>
      <c r="QB2" s="200"/>
      <c r="QC2" s="171" t="str">
        <f ca="1">IF(CELL("contenu",INDIRECT(ADDRESS(QC1,1,1,1,CELL("contenu",$B$2))))="","----",CELL("contenu",INDIRECT(ADDRESS(QC1,1,1,1,CELL("contenu",$B$2)))))</f>
        <v>VUILLEMIN Oriane</v>
      </c>
      <c r="QD2" s="169"/>
      <c r="QE2" s="169"/>
      <c r="QF2" s="171"/>
      <c r="QG2" s="171"/>
      <c r="QH2" s="171"/>
      <c r="QI2" s="169"/>
      <c r="QJ2" s="169"/>
      <c r="QK2" s="171"/>
      <c r="QL2" s="171"/>
      <c r="QM2" s="171"/>
      <c r="QN2" s="169"/>
      <c r="QO2" s="169"/>
      <c r="QP2" s="171"/>
      <c r="QQ2" s="171"/>
      <c r="QR2" s="171"/>
      <c r="QS2" s="200"/>
      <c r="QT2" s="74" t="s">
        <v>218</v>
      </c>
      <c r="QU2" s="74"/>
      <c r="QV2" s="74"/>
      <c r="QW2" s="74"/>
      <c r="QX2" s="74"/>
      <c r="QY2" s="74"/>
      <c r="QZ2" s="74"/>
      <c r="RA2" s="74"/>
      <c r="RB2" s="74"/>
      <c r="RC2" s="74"/>
      <c r="RD2" s="74"/>
      <c r="RE2" s="74"/>
      <c r="RF2" s="74"/>
      <c r="RG2" s="74"/>
      <c r="RH2" s="74"/>
      <c r="RI2" s="74"/>
      <c r="RJ2" s="75"/>
      <c r="RK2" s="74" t="str">
        <f ca="1">IF(CELL("contenu",INDIRECT(ADDRESS(RK1,1,1,1,CELL("contenu",$B$2))))="","----",CELL("contenu",INDIRECT(ADDRESS(RK1,1,1,1,CELL("contenu",$B$2)))))</f>
        <v>----</v>
      </c>
      <c r="RL2" s="74"/>
      <c r="RM2" s="74"/>
      <c r="RN2" s="74"/>
      <c r="RO2" s="74"/>
      <c r="RP2" s="74"/>
      <c r="RQ2" s="74"/>
      <c r="RR2" s="74"/>
      <c r="RS2" s="74"/>
      <c r="RT2" s="74"/>
      <c r="RU2" s="74"/>
      <c r="RV2" s="74"/>
      <c r="RW2" s="74"/>
      <c r="RX2" s="74"/>
      <c r="RY2" s="74"/>
      <c r="RZ2" s="74"/>
      <c r="SA2" s="75"/>
      <c r="SB2" s="74" t="str">
        <f ca="1">IF(CELL("contenu",INDIRECT(ADDRESS(SB1,1,1,1,CELL("contenu",$B$2))))="","----",CELL("contenu",INDIRECT(ADDRESS(SB1,1,1,1,CELL("contenu",$B$2)))))</f>
        <v>----</v>
      </c>
      <c r="SC2" s="74"/>
      <c r="SD2" s="74"/>
      <c r="SE2" s="74"/>
      <c r="SF2" s="74"/>
      <c r="SG2" s="74"/>
      <c r="SH2" s="74"/>
      <c r="SI2" s="74"/>
      <c r="SJ2" s="74"/>
      <c r="SK2" s="74"/>
      <c r="SL2" s="74"/>
      <c r="SM2" s="74"/>
      <c r="SN2" s="74"/>
      <c r="SO2" s="74"/>
      <c r="SP2" s="74"/>
      <c r="SQ2" s="74"/>
      <c r="SR2" s="75"/>
      <c r="SS2" s="74" t="str">
        <f ca="1">IF(CELL("contenu",INDIRECT(ADDRESS(SS1,1,1,1,CELL("contenu",$B$2))))="","----",CELL("contenu",INDIRECT(ADDRESS(SS1,1,1,1,CELL("contenu",$B$2)))))</f>
        <v>----</v>
      </c>
      <c r="ST2" s="74"/>
      <c r="SU2" s="74"/>
      <c r="SV2" s="74"/>
      <c r="SW2" s="74"/>
      <c r="SX2" s="74"/>
      <c r="SY2" s="74"/>
      <c r="SZ2" s="74"/>
      <c r="TA2" s="74"/>
      <c r="TB2" s="74"/>
      <c r="TC2" s="74"/>
      <c r="TD2" s="74"/>
      <c r="TE2" s="74"/>
      <c r="TF2" s="74"/>
      <c r="TG2" s="74"/>
      <c r="TH2" s="74"/>
      <c r="TI2" s="75"/>
      <c r="TJ2" s="74" t="str">
        <f ca="1">IF(CELL("contenu",INDIRECT(ADDRESS(TJ1,1,1,1,CELL("contenu",$B$2))))="","----",CELL("contenu",INDIRECT(ADDRESS(TJ1,1,1,1,CELL("contenu",$B$2)))))</f>
        <v>----</v>
      </c>
      <c r="TK2" s="74"/>
      <c r="TL2" s="74"/>
      <c r="TM2" s="74"/>
      <c r="TN2" s="74"/>
      <c r="TO2" s="74"/>
      <c r="TP2" s="74"/>
      <c r="TQ2" s="74"/>
      <c r="TR2" s="74"/>
      <c r="TS2" s="74"/>
      <c r="TT2" s="74"/>
      <c r="TU2" s="74"/>
      <c r="TV2" s="74"/>
      <c r="TW2" s="74"/>
      <c r="TX2" s="74"/>
      <c r="TY2" s="74"/>
      <c r="TZ2" s="75"/>
    </row>
    <row r="3" spans="1:546" ht="60" customHeight="1" thickBot="1" x14ac:dyDescent="0.3">
      <c r="A3" s="160"/>
      <c r="B3" s="161" t="s">
        <v>30</v>
      </c>
      <c r="C3" s="76"/>
      <c r="D3" s="77"/>
      <c r="E3" s="78" t="s">
        <v>224</v>
      </c>
      <c r="F3" s="179" t="s">
        <v>7</v>
      </c>
      <c r="G3" s="180"/>
      <c r="H3" s="76" t="s">
        <v>212</v>
      </c>
      <c r="I3" s="80"/>
      <c r="J3" s="78"/>
      <c r="K3" s="196" t="s">
        <v>8</v>
      </c>
      <c r="L3" s="197"/>
      <c r="M3" s="76" t="s">
        <v>216</v>
      </c>
      <c r="N3" s="80" t="s">
        <v>220</v>
      </c>
      <c r="O3" s="78" t="s">
        <v>221</v>
      </c>
      <c r="P3" s="201" t="s">
        <v>9</v>
      </c>
      <c r="Q3" s="202"/>
      <c r="R3" s="203" t="s">
        <v>10</v>
      </c>
      <c r="S3" s="204"/>
      <c r="T3" s="86" t="str">
        <f>IF(C3="","",C3)</f>
        <v/>
      </c>
      <c r="U3" s="87" t="str">
        <f>IF(D3="","",D3)</f>
        <v/>
      </c>
      <c r="V3" s="88" t="str">
        <f>IF(E3="","",E3)</f>
        <v>Fiche CH2/3</v>
      </c>
      <c r="W3" s="179" t="s">
        <v>7</v>
      </c>
      <c r="X3" s="220"/>
      <c r="Y3" s="90" t="str">
        <f>IF(H3="","",H3)</f>
        <v>eval M2</v>
      </c>
      <c r="Z3" s="87" t="str">
        <f>IF(I3="","",I3)</f>
        <v/>
      </c>
      <c r="AA3" s="88" t="str">
        <f>IF(J3="","",J3)</f>
        <v/>
      </c>
      <c r="AB3" s="196" t="s">
        <v>8</v>
      </c>
      <c r="AC3" s="221"/>
      <c r="AD3" s="90" t="str">
        <f>IF(M3="","",M3)</f>
        <v>eval CH1</v>
      </c>
      <c r="AE3" s="87" t="str">
        <f>IF(N3="","",N3)</f>
        <v>Fiche CH2/2</v>
      </c>
      <c r="AF3" s="88" t="str">
        <f>IF(O3="","",O3)</f>
        <v>Fiche CH2/1</v>
      </c>
      <c r="AG3" s="201" t="s">
        <v>9</v>
      </c>
      <c r="AH3" s="202"/>
      <c r="AI3" s="203" t="s">
        <v>10</v>
      </c>
      <c r="AJ3" s="204"/>
      <c r="AK3" s="86" t="str">
        <f>IF(T3="","",T3)</f>
        <v/>
      </c>
      <c r="AL3" s="87" t="str">
        <f>IF(U3="","",U3)</f>
        <v/>
      </c>
      <c r="AM3" s="88" t="str">
        <f>IF(V3="","",V3)</f>
        <v>Fiche CH2/3</v>
      </c>
      <c r="AN3" s="179" t="s">
        <v>7</v>
      </c>
      <c r="AO3" s="220"/>
      <c r="AP3" s="90" t="str">
        <f>IF(Y3="","",Y3)</f>
        <v>eval M2</v>
      </c>
      <c r="AQ3" s="87" t="str">
        <f>IF(Z3="","",Z3)</f>
        <v/>
      </c>
      <c r="AR3" s="88" t="str">
        <f>IF(AA3="","",AA3)</f>
        <v/>
      </c>
      <c r="AS3" s="196" t="s">
        <v>8</v>
      </c>
      <c r="AT3" s="221"/>
      <c r="AU3" s="90" t="str">
        <f>IF(AD3="","",AD3)</f>
        <v>eval CH1</v>
      </c>
      <c r="AV3" s="87" t="str">
        <f>IF(AE3="","",AE3)</f>
        <v>Fiche CH2/2</v>
      </c>
      <c r="AW3" s="88" t="str">
        <f>IF(AF3="","",AF3)</f>
        <v>Fiche CH2/1</v>
      </c>
      <c r="AX3" s="201" t="s">
        <v>9</v>
      </c>
      <c r="AY3" s="202"/>
      <c r="AZ3" s="203" t="s">
        <v>10</v>
      </c>
      <c r="BA3" s="204"/>
      <c r="BB3" s="86" t="str">
        <f>IF(AK3="","",AK3)</f>
        <v/>
      </c>
      <c r="BC3" s="87" t="str">
        <f>IF(AL3="","",AL3)</f>
        <v/>
      </c>
      <c r="BD3" s="88" t="str">
        <f>IF(AM3="","",AM3)</f>
        <v>Fiche CH2/3</v>
      </c>
      <c r="BE3" s="179" t="s">
        <v>7</v>
      </c>
      <c r="BF3" s="220"/>
      <c r="BG3" s="90" t="str">
        <f>IF(AP3="","",AP3)</f>
        <v>eval M2</v>
      </c>
      <c r="BH3" s="87" t="str">
        <f>IF(AQ3="","",AQ3)</f>
        <v/>
      </c>
      <c r="BI3" s="88" t="str">
        <f>IF(AR3="","",AR3)</f>
        <v/>
      </c>
      <c r="BJ3" s="196" t="s">
        <v>8</v>
      </c>
      <c r="BK3" s="221"/>
      <c r="BL3" s="90" t="str">
        <f>IF(AU3="","",AU3)</f>
        <v>eval CH1</v>
      </c>
      <c r="BM3" s="87" t="str">
        <f>IF(AV3="","",AV3)</f>
        <v>Fiche CH2/2</v>
      </c>
      <c r="BN3" s="88" t="str">
        <f>IF(AW3="","",AW3)</f>
        <v>Fiche CH2/1</v>
      </c>
      <c r="BO3" s="201" t="s">
        <v>9</v>
      </c>
      <c r="BP3" s="202"/>
      <c r="BQ3" s="203" t="s">
        <v>10</v>
      </c>
      <c r="BR3" s="204"/>
      <c r="BS3" s="86" t="str">
        <f>IF(BB3="","",BB3)</f>
        <v/>
      </c>
      <c r="BT3" s="87" t="str">
        <f>IF(BC3="","",BC3)</f>
        <v/>
      </c>
      <c r="BU3" s="88" t="str">
        <f>IF(BD3="","",BD3)</f>
        <v>Fiche CH2/3</v>
      </c>
      <c r="BV3" s="179" t="s">
        <v>7</v>
      </c>
      <c r="BW3" s="220"/>
      <c r="BX3" s="90" t="str">
        <f>IF(BG3="","",BG3)</f>
        <v>eval M2</v>
      </c>
      <c r="BY3" s="87" t="str">
        <f>IF(BH3="","",BH3)</f>
        <v/>
      </c>
      <c r="BZ3" s="88" t="str">
        <f>IF(BI3="","",BI3)</f>
        <v/>
      </c>
      <c r="CA3" s="196" t="s">
        <v>8</v>
      </c>
      <c r="CB3" s="221"/>
      <c r="CC3" s="90" t="str">
        <f>IF(BL3="","",BL3)</f>
        <v>eval CH1</v>
      </c>
      <c r="CD3" s="87" t="str">
        <f>IF(BM3="","",BM3)</f>
        <v>Fiche CH2/2</v>
      </c>
      <c r="CE3" s="88" t="str">
        <f>IF(BN3="","",BN3)</f>
        <v>Fiche CH2/1</v>
      </c>
      <c r="CF3" s="201" t="s">
        <v>9</v>
      </c>
      <c r="CG3" s="202"/>
      <c r="CH3" s="203" t="s">
        <v>10</v>
      </c>
      <c r="CI3" s="204"/>
      <c r="CJ3" s="86" t="str">
        <f>IF(BS3="","",BS3)</f>
        <v/>
      </c>
      <c r="CK3" s="87" t="str">
        <f>IF(BT3="","",BT3)</f>
        <v/>
      </c>
      <c r="CL3" s="88" t="str">
        <f>IF(BU3="","",BU3)</f>
        <v>Fiche CH2/3</v>
      </c>
      <c r="CM3" s="179" t="s">
        <v>7</v>
      </c>
      <c r="CN3" s="220"/>
      <c r="CO3" s="90" t="str">
        <f>IF(BX3="","",BX3)</f>
        <v>eval M2</v>
      </c>
      <c r="CP3" s="87" t="str">
        <f>IF(BY3="","",BY3)</f>
        <v/>
      </c>
      <c r="CQ3" s="88" t="str">
        <f>IF(BZ3="","",BZ3)</f>
        <v/>
      </c>
      <c r="CR3" s="196" t="s">
        <v>8</v>
      </c>
      <c r="CS3" s="221"/>
      <c r="CT3" s="90" t="str">
        <f>IF(CC3="","",CC3)</f>
        <v>eval CH1</v>
      </c>
      <c r="CU3" s="87" t="str">
        <f>IF(CD3="","",CD3)</f>
        <v>Fiche CH2/2</v>
      </c>
      <c r="CV3" s="88" t="str">
        <f>IF(CE3="","",CE3)</f>
        <v>Fiche CH2/1</v>
      </c>
      <c r="CW3" s="201" t="s">
        <v>9</v>
      </c>
      <c r="CX3" s="202"/>
      <c r="CY3" s="203" t="s">
        <v>10</v>
      </c>
      <c r="CZ3" s="204"/>
      <c r="DA3" s="86" t="str">
        <f>IF(CJ3="","",CJ3)</f>
        <v/>
      </c>
      <c r="DB3" s="87" t="str">
        <f>IF(CK3="","",CK3)</f>
        <v/>
      </c>
      <c r="DC3" s="88" t="str">
        <f>IF(CL3="","",CL3)</f>
        <v>Fiche CH2/3</v>
      </c>
      <c r="DD3" s="179" t="s">
        <v>7</v>
      </c>
      <c r="DE3" s="220"/>
      <c r="DF3" s="90" t="str">
        <f>IF(CO3="","",CO3)</f>
        <v>eval M2</v>
      </c>
      <c r="DG3" s="87" t="str">
        <f>IF(CP3="","",CP3)</f>
        <v/>
      </c>
      <c r="DH3" s="88" t="str">
        <f>IF(CQ3="","",CQ3)</f>
        <v/>
      </c>
      <c r="DI3" s="196" t="s">
        <v>8</v>
      </c>
      <c r="DJ3" s="221"/>
      <c r="DK3" s="90" t="str">
        <f>IF(CT3="","",CT3)</f>
        <v>eval CH1</v>
      </c>
      <c r="DL3" s="87" t="str">
        <f>IF(CU3="","",CU3)</f>
        <v>Fiche CH2/2</v>
      </c>
      <c r="DM3" s="88" t="str">
        <f>IF(CV3="","",CV3)</f>
        <v>Fiche CH2/1</v>
      </c>
      <c r="DN3" s="201" t="s">
        <v>9</v>
      </c>
      <c r="DO3" s="202"/>
      <c r="DP3" s="203" t="s">
        <v>10</v>
      </c>
      <c r="DQ3" s="204"/>
      <c r="DR3" s="86" t="str">
        <f>IF(DA3="","",DA3)</f>
        <v/>
      </c>
      <c r="DS3" s="87" t="str">
        <f>IF(DB3="","",DB3)</f>
        <v/>
      </c>
      <c r="DT3" s="88" t="str">
        <f>IF(DC3="","",DC3)</f>
        <v>Fiche CH2/3</v>
      </c>
      <c r="DU3" s="179" t="s">
        <v>7</v>
      </c>
      <c r="DV3" s="220"/>
      <c r="DW3" s="90" t="str">
        <f>IF(DF3="","",DF3)</f>
        <v>eval M2</v>
      </c>
      <c r="DX3" s="87" t="str">
        <f>IF(DG3="","",DG3)</f>
        <v/>
      </c>
      <c r="DY3" s="88" t="str">
        <f>IF(DH3="","",DH3)</f>
        <v/>
      </c>
      <c r="DZ3" s="196" t="s">
        <v>8</v>
      </c>
      <c r="EA3" s="221"/>
      <c r="EB3" s="90" t="str">
        <f>IF(DK3="","",DK3)</f>
        <v>eval CH1</v>
      </c>
      <c r="EC3" s="87" t="str">
        <f>IF(DL3="","",DL3)</f>
        <v>Fiche CH2/2</v>
      </c>
      <c r="ED3" s="88" t="str">
        <f>IF(DM3="","",DM3)</f>
        <v>Fiche CH2/1</v>
      </c>
      <c r="EE3" s="201" t="s">
        <v>9</v>
      </c>
      <c r="EF3" s="202"/>
      <c r="EG3" s="203" t="s">
        <v>10</v>
      </c>
      <c r="EH3" s="204"/>
      <c r="EI3" s="86" t="str">
        <f>IF(DR3="","",DR3)</f>
        <v/>
      </c>
      <c r="EJ3" s="87" t="str">
        <f>IF(DS3="","",DS3)</f>
        <v/>
      </c>
      <c r="EK3" s="88" t="str">
        <f>IF(DT3="","",DT3)</f>
        <v>Fiche CH2/3</v>
      </c>
      <c r="EL3" s="179" t="s">
        <v>7</v>
      </c>
      <c r="EM3" s="220"/>
      <c r="EN3" s="90" t="str">
        <f>IF(DW3="","",DW3)</f>
        <v>eval M2</v>
      </c>
      <c r="EO3" s="87" t="str">
        <f>IF(DX3="","",DX3)</f>
        <v/>
      </c>
      <c r="EP3" s="88" t="str">
        <f>IF(DY3="","",DY3)</f>
        <v/>
      </c>
      <c r="EQ3" s="196" t="s">
        <v>8</v>
      </c>
      <c r="ER3" s="221"/>
      <c r="ES3" s="90" t="str">
        <f>IF(EB3="","",EB3)</f>
        <v>eval CH1</v>
      </c>
      <c r="ET3" s="87" t="str">
        <f>IF(EC3="","",EC3)</f>
        <v>Fiche CH2/2</v>
      </c>
      <c r="EU3" s="88" t="str">
        <f>IF(ED3="","",ED3)</f>
        <v>Fiche CH2/1</v>
      </c>
      <c r="EV3" s="201" t="s">
        <v>9</v>
      </c>
      <c r="EW3" s="202"/>
      <c r="EX3" s="203" t="s">
        <v>10</v>
      </c>
      <c r="EY3" s="204"/>
      <c r="EZ3" s="86" t="str">
        <f>IF(EI3="","",EI3)</f>
        <v/>
      </c>
      <c r="FA3" s="87" t="str">
        <f>IF(EJ3="","",EJ3)</f>
        <v/>
      </c>
      <c r="FB3" s="88" t="str">
        <f>IF(EK3="","",EK3)</f>
        <v>Fiche CH2/3</v>
      </c>
      <c r="FC3" s="179" t="s">
        <v>7</v>
      </c>
      <c r="FD3" s="220"/>
      <c r="FE3" s="90" t="str">
        <f>IF(EN3="","",EN3)</f>
        <v>eval M2</v>
      </c>
      <c r="FF3" s="87" t="str">
        <f>IF(EO3="","",EO3)</f>
        <v/>
      </c>
      <c r="FG3" s="88" t="str">
        <f>IF(EP3="","",EP3)</f>
        <v/>
      </c>
      <c r="FH3" s="196" t="s">
        <v>8</v>
      </c>
      <c r="FI3" s="221"/>
      <c r="FJ3" s="90" t="str">
        <f>IF(ES3="","",ES3)</f>
        <v>eval CH1</v>
      </c>
      <c r="FK3" s="87" t="str">
        <f>IF(ET3="","",ET3)</f>
        <v>Fiche CH2/2</v>
      </c>
      <c r="FL3" s="88" t="str">
        <f>IF(EU3="","",EU3)</f>
        <v>Fiche CH2/1</v>
      </c>
      <c r="FM3" s="201" t="s">
        <v>9</v>
      </c>
      <c r="FN3" s="202"/>
      <c r="FO3" s="203" t="s">
        <v>10</v>
      </c>
      <c r="FP3" s="204"/>
      <c r="FQ3" s="86" t="str">
        <f>IF(EZ3="","",EZ3)</f>
        <v/>
      </c>
      <c r="FR3" s="87" t="str">
        <f>IF(FA3="","",FA3)</f>
        <v/>
      </c>
      <c r="FS3" s="88" t="str">
        <f>IF(FB3="","",FB3)</f>
        <v>Fiche CH2/3</v>
      </c>
      <c r="FT3" s="179" t="s">
        <v>7</v>
      </c>
      <c r="FU3" s="220"/>
      <c r="FV3" s="90" t="str">
        <f>IF(FE3="","",FE3)</f>
        <v>eval M2</v>
      </c>
      <c r="FW3" s="87" t="str">
        <f>IF(FF3="","",FF3)</f>
        <v/>
      </c>
      <c r="FX3" s="88" t="str">
        <f>IF(FG3="","",FG3)</f>
        <v/>
      </c>
      <c r="FY3" s="196" t="s">
        <v>8</v>
      </c>
      <c r="FZ3" s="221"/>
      <c r="GA3" s="90" t="str">
        <f>IF(FJ3="","",FJ3)</f>
        <v>eval CH1</v>
      </c>
      <c r="GB3" s="87" t="str">
        <f>IF(FK3="","",FK3)</f>
        <v>Fiche CH2/2</v>
      </c>
      <c r="GC3" s="88" t="str">
        <f>IF(FL3="","",FL3)</f>
        <v>Fiche CH2/1</v>
      </c>
      <c r="GD3" s="201" t="s">
        <v>9</v>
      </c>
      <c r="GE3" s="202"/>
      <c r="GF3" s="203" t="s">
        <v>10</v>
      </c>
      <c r="GG3" s="204"/>
      <c r="GH3" s="86" t="str">
        <f>IF(FQ3="","",FQ3)</f>
        <v/>
      </c>
      <c r="GI3" s="87" t="str">
        <f>IF(FR3="","",FR3)</f>
        <v/>
      </c>
      <c r="GJ3" s="88" t="str">
        <f>IF(FS3="","",FS3)</f>
        <v>Fiche CH2/3</v>
      </c>
      <c r="GK3" s="179" t="s">
        <v>7</v>
      </c>
      <c r="GL3" s="220"/>
      <c r="GM3" s="90" t="str">
        <f>IF(FV3="","",FV3)</f>
        <v>eval M2</v>
      </c>
      <c r="GN3" s="87" t="str">
        <f>IF(FW3="","",FW3)</f>
        <v/>
      </c>
      <c r="GO3" s="88" t="str">
        <f>IF(FX3="","",FX3)</f>
        <v/>
      </c>
      <c r="GP3" s="196" t="s">
        <v>8</v>
      </c>
      <c r="GQ3" s="221"/>
      <c r="GR3" s="90" t="str">
        <f>IF(GA3="","",GA3)</f>
        <v>eval CH1</v>
      </c>
      <c r="GS3" s="87" t="str">
        <f>IF(GB3="","",GB3)</f>
        <v>Fiche CH2/2</v>
      </c>
      <c r="GT3" s="88" t="str">
        <f>IF(GC3="","",GC3)</f>
        <v>Fiche CH2/1</v>
      </c>
      <c r="GU3" s="201" t="s">
        <v>9</v>
      </c>
      <c r="GV3" s="202"/>
      <c r="GW3" s="203" t="s">
        <v>10</v>
      </c>
      <c r="GX3" s="204"/>
      <c r="GY3" s="86" t="str">
        <f>IF(GH3="","",GH3)</f>
        <v/>
      </c>
      <c r="GZ3" s="87" t="str">
        <f>IF(GI3="","",GI3)</f>
        <v/>
      </c>
      <c r="HA3" s="88" t="str">
        <f>IF(GJ3="","",GJ3)</f>
        <v>Fiche CH2/3</v>
      </c>
      <c r="HB3" s="179" t="s">
        <v>7</v>
      </c>
      <c r="HC3" s="220"/>
      <c r="HD3" s="90" t="str">
        <f>IF(GM3="","",GM3)</f>
        <v>eval M2</v>
      </c>
      <c r="HE3" s="87" t="str">
        <f>IF(GN3="","",GN3)</f>
        <v/>
      </c>
      <c r="HF3" s="88" t="str">
        <f>IF(GO3="","",GO3)</f>
        <v/>
      </c>
      <c r="HG3" s="196" t="s">
        <v>8</v>
      </c>
      <c r="HH3" s="221"/>
      <c r="HI3" s="90" t="str">
        <f>IF(GR3="","",GR3)</f>
        <v>eval CH1</v>
      </c>
      <c r="HJ3" s="87" t="str">
        <f>IF(GS3="","",GS3)</f>
        <v>Fiche CH2/2</v>
      </c>
      <c r="HK3" s="88" t="str">
        <f>IF(GT3="","",GT3)</f>
        <v>Fiche CH2/1</v>
      </c>
      <c r="HL3" s="201" t="s">
        <v>9</v>
      </c>
      <c r="HM3" s="202"/>
      <c r="HN3" s="203" t="s">
        <v>10</v>
      </c>
      <c r="HO3" s="204"/>
      <c r="HP3" s="86" t="str">
        <f>IF(GY3="","",GY3)</f>
        <v/>
      </c>
      <c r="HQ3" s="87" t="str">
        <f>IF(GZ3="","",GZ3)</f>
        <v/>
      </c>
      <c r="HR3" s="88" t="str">
        <f>IF(HA3="","",HA3)</f>
        <v>Fiche CH2/3</v>
      </c>
      <c r="HS3" s="179" t="s">
        <v>7</v>
      </c>
      <c r="HT3" s="220"/>
      <c r="HU3" s="90" t="str">
        <f>IF(HD3="","",HD3)</f>
        <v>eval M2</v>
      </c>
      <c r="HV3" s="87" t="str">
        <f>IF(HE3="","",HE3)</f>
        <v/>
      </c>
      <c r="HW3" s="88" t="str">
        <f>IF(HF3="","",HF3)</f>
        <v/>
      </c>
      <c r="HX3" s="196" t="s">
        <v>8</v>
      </c>
      <c r="HY3" s="221"/>
      <c r="HZ3" s="90" t="str">
        <f>IF(HI3="","",HI3)</f>
        <v>eval CH1</v>
      </c>
      <c r="IA3" s="87" t="str">
        <f>IF(HJ3="","",HJ3)</f>
        <v>Fiche CH2/2</v>
      </c>
      <c r="IB3" s="88" t="str">
        <f>IF(HK3="","",HK3)</f>
        <v>Fiche CH2/1</v>
      </c>
      <c r="IC3" s="201" t="s">
        <v>9</v>
      </c>
      <c r="ID3" s="202"/>
      <c r="IE3" s="203" t="s">
        <v>10</v>
      </c>
      <c r="IF3" s="204"/>
      <c r="IG3" s="86" t="str">
        <f>IF(HP3="","",HP3)</f>
        <v/>
      </c>
      <c r="IH3" s="87" t="str">
        <f>IF(HQ3="","",HQ3)</f>
        <v/>
      </c>
      <c r="II3" s="88" t="str">
        <f>IF(HR3="","",HR3)</f>
        <v>Fiche CH2/3</v>
      </c>
      <c r="IJ3" s="179" t="s">
        <v>7</v>
      </c>
      <c r="IK3" s="220"/>
      <c r="IL3" s="90" t="str">
        <f>IF(HU3="","",HU3)</f>
        <v>eval M2</v>
      </c>
      <c r="IM3" s="87" t="str">
        <f>IF(HV3="","",HV3)</f>
        <v/>
      </c>
      <c r="IN3" s="88" t="str">
        <f>IF(HW3="","",HW3)</f>
        <v/>
      </c>
      <c r="IO3" s="196" t="s">
        <v>8</v>
      </c>
      <c r="IP3" s="221"/>
      <c r="IQ3" s="90" t="str">
        <f>IF(HZ3="","",HZ3)</f>
        <v>eval CH1</v>
      </c>
      <c r="IR3" s="87" t="str">
        <f>IF(IA3="","",IA3)</f>
        <v>Fiche CH2/2</v>
      </c>
      <c r="IS3" s="88" t="str">
        <f>IF(IB3="","",IB3)</f>
        <v>Fiche CH2/1</v>
      </c>
      <c r="IT3" s="201" t="s">
        <v>9</v>
      </c>
      <c r="IU3" s="202"/>
      <c r="IV3" s="203" t="s">
        <v>10</v>
      </c>
      <c r="IW3" s="204"/>
      <c r="IX3" s="86" t="str">
        <f>IF(IG3="","",IG3)</f>
        <v/>
      </c>
      <c r="IY3" s="87" t="str">
        <f>IF(IH3="","",IH3)</f>
        <v/>
      </c>
      <c r="IZ3" s="88" t="str">
        <f>IF(II3="","",II3)</f>
        <v>Fiche CH2/3</v>
      </c>
      <c r="JA3" s="179" t="s">
        <v>7</v>
      </c>
      <c r="JB3" s="220"/>
      <c r="JC3" s="90" t="str">
        <f>IF(IL3="","",IL3)</f>
        <v>eval M2</v>
      </c>
      <c r="JD3" s="87" t="str">
        <f>IF(IM3="","",IM3)</f>
        <v/>
      </c>
      <c r="JE3" s="88" t="str">
        <f>IF(IN3="","",IN3)</f>
        <v/>
      </c>
      <c r="JF3" s="196" t="s">
        <v>8</v>
      </c>
      <c r="JG3" s="221"/>
      <c r="JH3" s="90" t="str">
        <f>IF(IQ3="","",IQ3)</f>
        <v>eval CH1</v>
      </c>
      <c r="JI3" s="87" t="str">
        <f>IF(IR3="","",IR3)</f>
        <v>Fiche CH2/2</v>
      </c>
      <c r="JJ3" s="88" t="str">
        <f>IF(IS3="","",IS3)</f>
        <v>Fiche CH2/1</v>
      </c>
      <c r="JK3" s="201" t="s">
        <v>9</v>
      </c>
      <c r="JL3" s="202"/>
      <c r="JM3" s="203" t="s">
        <v>10</v>
      </c>
      <c r="JN3" s="204"/>
      <c r="JO3" s="86" t="str">
        <f>IF(IX3="","",IX3)</f>
        <v/>
      </c>
      <c r="JP3" s="87" t="str">
        <f>IF(IY3="","",IY3)</f>
        <v/>
      </c>
      <c r="JQ3" s="88" t="str">
        <f>IF(IZ3="","",IZ3)</f>
        <v>Fiche CH2/3</v>
      </c>
      <c r="JR3" s="179" t="s">
        <v>7</v>
      </c>
      <c r="JS3" s="220"/>
      <c r="JT3" s="90" t="str">
        <f>IF(JC3="","",JC3)</f>
        <v>eval M2</v>
      </c>
      <c r="JU3" s="87" t="str">
        <f>IF(JD3="","",JD3)</f>
        <v/>
      </c>
      <c r="JV3" s="88" t="str">
        <f>IF(JE3="","",JE3)</f>
        <v/>
      </c>
      <c r="JW3" s="196" t="s">
        <v>8</v>
      </c>
      <c r="JX3" s="221"/>
      <c r="JY3" s="90" t="str">
        <f>IF(JH3="","",JH3)</f>
        <v>eval CH1</v>
      </c>
      <c r="JZ3" s="87" t="str">
        <f>IF(JI3="","",JI3)</f>
        <v>Fiche CH2/2</v>
      </c>
      <c r="KA3" s="88" t="str">
        <f>IF(JJ3="","",JJ3)</f>
        <v>Fiche CH2/1</v>
      </c>
      <c r="KB3" s="201" t="s">
        <v>9</v>
      </c>
      <c r="KC3" s="202"/>
      <c r="KD3" s="203" t="s">
        <v>10</v>
      </c>
      <c r="KE3" s="204"/>
      <c r="KF3" s="86" t="str">
        <f>IF(JO3="","",JO3)</f>
        <v/>
      </c>
      <c r="KG3" s="87" t="str">
        <f>IF(JP3="","",JP3)</f>
        <v/>
      </c>
      <c r="KH3" s="88" t="str">
        <f>IF(JQ3="","",JQ3)</f>
        <v>Fiche CH2/3</v>
      </c>
      <c r="KI3" s="179" t="s">
        <v>7</v>
      </c>
      <c r="KJ3" s="220"/>
      <c r="KK3" s="90" t="str">
        <f>IF(JT3="","",JT3)</f>
        <v>eval M2</v>
      </c>
      <c r="KL3" s="87" t="str">
        <f>IF(JU3="","",JU3)</f>
        <v/>
      </c>
      <c r="KM3" s="88" t="str">
        <f>IF(JV3="","",JV3)</f>
        <v/>
      </c>
      <c r="KN3" s="196" t="s">
        <v>8</v>
      </c>
      <c r="KO3" s="221"/>
      <c r="KP3" s="90" t="str">
        <f>IF(JY3="","",JY3)</f>
        <v>eval CH1</v>
      </c>
      <c r="KQ3" s="87" t="str">
        <f>IF(JZ3="","",JZ3)</f>
        <v>Fiche CH2/2</v>
      </c>
      <c r="KR3" s="88" t="str">
        <f>IF(KA3="","",KA3)</f>
        <v>Fiche CH2/1</v>
      </c>
      <c r="KS3" s="201" t="s">
        <v>9</v>
      </c>
      <c r="KT3" s="202"/>
      <c r="KU3" s="203" t="s">
        <v>10</v>
      </c>
      <c r="KV3" s="204"/>
      <c r="KW3" s="86" t="str">
        <f>IF(KF3="","",KF3)</f>
        <v/>
      </c>
      <c r="KX3" s="87" t="str">
        <f>IF(KG3="","",KG3)</f>
        <v/>
      </c>
      <c r="KY3" s="88" t="str">
        <f>IF(KH3="","",KH3)</f>
        <v>Fiche CH2/3</v>
      </c>
      <c r="KZ3" s="179" t="s">
        <v>7</v>
      </c>
      <c r="LA3" s="220"/>
      <c r="LB3" s="90" t="str">
        <f>IF(KK3="","",KK3)</f>
        <v>eval M2</v>
      </c>
      <c r="LC3" s="87" t="str">
        <f>IF(KL3="","",KL3)</f>
        <v/>
      </c>
      <c r="LD3" s="88" t="str">
        <f>IF(KM3="","",KM3)</f>
        <v/>
      </c>
      <c r="LE3" s="196" t="s">
        <v>8</v>
      </c>
      <c r="LF3" s="221"/>
      <c r="LG3" s="90" t="str">
        <f>IF(KP3="","",KP3)</f>
        <v>eval CH1</v>
      </c>
      <c r="LH3" s="87" t="str">
        <f>IF(KQ3="","",KQ3)</f>
        <v>Fiche CH2/2</v>
      </c>
      <c r="LI3" s="88" t="s">
        <v>221</v>
      </c>
      <c r="LJ3" s="201" t="s">
        <v>9</v>
      </c>
      <c r="LK3" s="202"/>
      <c r="LL3" s="203" t="s">
        <v>10</v>
      </c>
      <c r="LM3" s="204"/>
      <c r="LN3" s="86" t="str">
        <f>IF(KW3="","",KW3)</f>
        <v/>
      </c>
      <c r="LO3" s="87" t="str">
        <f>IF(KX3="","",KX3)</f>
        <v/>
      </c>
      <c r="LP3" s="88" t="str">
        <f>IF(KY3="","",KY3)</f>
        <v>Fiche CH2/3</v>
      </c>
      <c r="LQ3" s="179" t="s">
        <v>7</v>
      </c>
      <c r="LR3" s="220"/>
      <c r="LS3" s="90" t="str">
        <f>IF(LB3="","",LB3)</f>
        <v>eval M2</v>
      </c>
      <c r="LT3" s="87" t="str">
        <f>IF(LC3="","",LC3)</f>
        <v/>
      </c>
      <c r="LU3" s="88" t="str">
        <f>IF(LD3="","",LD3)</f>
        <v/>
      </c>
      <c r="LV3" s="196" t="s">
        <v>8</v>
      </c>
      <c r="LW3" s="221"/>
      <c r="LX3" s="90" t="str">
        <f>IF(LG3="","",LG3)</f>
        <v>eval CH1</v>
      </c>
      <c r="LY3" s="87" t="str">
        <f>IF(LH3="","",LH3)</f>
        <v>Fiche CH2/2</v>
      </c>
      <c r="LZ3" s="88" t="str">
        <f>IF(LI3="","",LI3)</f>
        <v>Fiche CH2/1</v>
      </c>
      <c r="MA3" s="201" t="s">
        <v>9</v>
      </c>
      <c r="MB3" s="202"/>
      <c r="MC3" s="203" t="s">
        <v>10</v>
      </c>
      <c r="MD3" s="204"/>
      <c r="ME3" s="86" t="str">
        <f>IF(LN3="","",LN3)</f>
        <v/>
      </c>
      <c r="MF3" s="87" t="str">
        <f>IF(LO3="","",LO3)</f>
        <v/>
      </c>
      <c r="MG3" s="88" t="str">
        <f>IF(LP3="","",LP3)</f>
        <v>Fiche CH2/3</v>
      </c>
      <c r="MH3" s="179" t="s">
        <v>7</v>
      </c>
      <c r="MI3" s="220"/>
      <c r="MJ3" s="90" t="str">
        <f>IF(LS3="","",LS3)</f>
        <v>eval M2</v>
      </c>
      <c r="MK3" s="87" t="str">
        <f>IF(LT3="","",LT3)</f>
        <v/>
      </c>
      <c r="ML3" s="88" t="str">
        <f>IF(LU3="","",LU3)</f>
        <v/>
      </c>
      <c r="MM3" s="196" t="s">
        <v>8</v>
      </c>
      <c r="MN3" s="221"/>
      <c r="MO3" s="90" t="str">
        <f>IF(LX3="","",LX3)</f>
        <v>eval CH1</v>
      </c>
      <c r="MP3" s="87" t="str">
        <f>IF(LY3="","",LY3)</f>
        <v>Fiche CH2/2</v>
      </c>
      <c r="MQ3" s="88" t="str">
        <f>IF(LZ3="","",LZ3)</f>
        <v>Fiche CH2/1</v>
      </c>
      <c r="MR3" s="201" t="s">
        <v>9</v>
      </c>
      <c r="MS3" s="202"/>
      <c r="MT3" s="203" t="s">
        <v>10</v>
      </c>
      <c r="MU3" s="204"/>
      <c r="MV3" s="86" t="str">
        <f>IF(ME3="","",ME3)</f>
        <v/>
      </c>
      <c r="MW3" s="87" t="str">
        <f>IF(MF3="","",MF3)</f>
        <v/>
      </c>
      <c r="MX3" s="88" t="str">
        <f>IF(MG3="","",MG3)</f>
        <v>Fiche CH2/3</v>
      </c>
      <c r="MY3" s="179" t="s">
        <v>7</v>
      </c>
      <c r="MZ3" s="220"/>
      <c r="NA3" s="90" t="str">
        <f>IF(MJ3="","",MJ3)</f>
        <v>eval M2</v>
      </c>
      <c r="NB3" s="87" t="str">
        <f>IF(MK3="","",MK3)</f>
        <v/>
      </c>
      <c r="NC3" s="88" t="str">
        <f>IF(ML3="","",ML3)</f>
        <v/>
      </c>
      <c r="ND3" s="196" t="s">
        <v>8</v>
      </c>
      <c r="NE3" s="221"/>
      <c r="NF3" s="90" t="str">
        <f>IF(MO3="","",MO3)</f>
        <v>eval CH1</v>
      </c>
      <c r="NG3" s="87" t="str">
        <f>IF(MP3="","",MP3)</f>
        <v>Fiche CH2/2</v>
      </c>
      <c r="NH3" s="88" t="str">
        <f>IF(MQ3="","",MQ3)</f>
        <v>Fiche CH2/1</v>
      </c>
      <c r="NI3" s="201" t="s">
        <v>9</v>
      </c>
      <c r="NJ3" s="202"/>
      <c r="NK3" s="203" t="s">
        <v>10</v>
      </c>
      <c r="NL3" s="204"/>
      <c r="NM3" s="86" t="str">
        <f>IF(MV3="","",MV3)</f>
        <v/>
      </c>
      <c r="NN3" s="87" t="str">
        <f>IF(MW3="","",MW3)</f>
        <v/>
      </c>
      <c r="NO3" s="88" t="str">
        <f>IF(MX3="","",MX3)</f>
        <v>Fiche CH2/3</v>
      </c>
      <c r="NP3" s="179" t="s">
        <v>7</v>
      </c>
      <c r="NQ3" s="220"/>
      <c r="NR3" s="90" t="str">
        <f>IF(NA3="","",NA3)</f>
        <v>eval M2</v>
      </c>
      <c r="NS3" s="87" t="str">
        <f>IF(NB3="","",NB3)</f>
        <v/>
      </c>
      <c r="NT3" s="88" t="str">
        <f>IF(NC3="","",NC3)</f>
        <v/>
      </c>
      <c r="NU3" s="196" t="s">
        <v>8</v>
      </c>
      <c r="NV3" s="221"/>
      <c r="NW3" s="90" t="str">
        <f>IF(NF3="","",NF3)</f>
        <v>eval CH1</v>
      </c>
      <c r="NX3" s="87" t="str">
        <f>IF(NG3="","",NG3)</f>
        <v>Fiche CH2/2</v>
      </c>
      <c r="NY3" s="88" t="str">
        <f>IF(NH3="","",NH3)</f>
        <v>Fiche CH2/1</v>
      </c>
      <c r="NZ3" s="201" t="s">
        <v>9</v>
      </c>
      <c r="OA3" s="202"/>
      <c r="OB3" s="203" t="s">
        <v>10</v>
      </c>
      <c r="OC3" s="204"/>
      <c r="OD3" s="86" t="str">
        <f>IF(NM3="","",NM3)</f>
        <v/>
      </c>
      <c r="OE3" s="87" t="str">
        <f>IF(NN3="","",NN3)</f>
        <v/>
      </c>
      <c r="OF3" s="88" t="str">
        <f>IF(NO3="","",NO3)</f>
        <v>Fiche CH2/3</v>
      </c>
      <c r="OG3" s="179" t="s">
        <v>7</v>
      </c>
      <c r="OH3" s="220"/>
      <c r="OI3" s="90" t="str">
        <f>IF(NR3="","",NR3)</f>
        <v>eval M2</v>
      </c>
      <c r="OJ3" s="87" t="str">
        <f>IF(NS3="","",NS3)</f>
        <v/>
      </c>
      <c r="OK3" s="88" t="str">
        <f>IF(NT3="","",NT3)</f>
        <v/>
      </c>
      <c r="OL3" s="196" t="s">
        <v>8</v>
      </c>
      <c r="OM3" s="221"/>
      <c r="ON3" s="90" t="str">
        <f>IF(NW3="","",NW3)</f>
        <v>eval CH1</v>
      </c>
      <c r="OO3" s="87" t="str">
        <f>IF(NX3="","",NX3)</f>
        <v>Fiche CH2/2</v>
      </c>
      <c r="OP3" s="88" t="str">
        <f>IF(NY3="","",NY3)</f>
        <v>Fiche CH2/1</v>
      </c>
      <c r="OQ3" s="201" t="s">
        <v>9</v>
      </c>
      <c r="OR3" s="202"/>
      <c r="OS3" s="203" t="s">
        <v>10</v>
      </c>
      <c r="OT3" s="204"/>
      <c r="OU3" s="86" t="str">
        <f>IF(OD3="","",OD3)</f>
        <v/>
      </c>
      <c r="OV3" s="87" t="str">
        <f>IF(OE3="","",OE3)</f>
        <v/>
      </c>
      <c r="OW3" s="88" t="str">
        <f>IF(OF3="","",OF3)</f>
        <v>Fiche CH2/3</v>
      </c>
      <c r="OX3" s="179" t="s">
        <v>7</v>
      </c>
      <c r="OY3" s="220"/>
      <c r="OZ3" s="90" t="str">
        <f>IF(OI3="","",OI3)</f>
        <v>eval M2</v>
      </c>
      <c r="PA3" s="87" t="str">
        <f>IF(OJ3="","",OJ3)</f>
        <v/>
      </c>
      <c r="PB3" s="88" t="str">
        <f>IF(OK3="","",OK3)</f>
        <v/>
      </c>
      <c r="PC3" s="196" t="s">
        <v>8</v>
      </c>
      <c r="PD3" s="221"/>
      <c r="PE3" s="90" t="str">
        <f>IF(ON3="","",ON3)</f>
        <v>eval CH1</v>
      </c>
      <c r="PF3" s="87" t="str">
        <f>IF(OO3="","",OO3)</f>
        <v>Fiche CH2/2</v>
      </c>
      <c r="PG3" s="88" t="str">
        <f>IF(OP3="","",OP3)</f>
        <v>Fiche CH2/1</v>
      </c>
      <c r="PH3" s="201" t="s">
        <v>9</v>
      </c>
      <c r="PI3" s="202"/>
      <c r="PJ3" s="203" t="s">
        <v>10</v>
      </c>
      <c r="PK3" s="204"/>
      <c r="PL3" s="86" t="str">
        <f>IF(OU3="","",OU3)</f>
        <v/>
      </c>
      <c r="PM3" s="87" t="str">
        <f>IF(OV3="","",OV3)</f>
        <v/>
      </c>
      <c r="PN3" s="88" t="str">
        <f>IF(OW3="","",OW3)</f>
        <v>Fiche CH2/3</v>
      </c>
      <c r="PO3" s="179" t="s">
        <v>7</v>
      </c>
      <c r="PP3" s="220"/>
      <c r="PQ3" s="90" t="str">
        <f>IF(OZ3="","",OZ3)</f>
        <v>eval M2</v>
      </c>
      <c r="PR3" s="87" t="str">
        <f>IF(PA3="","",PA3)</f>
        <v/>
      </c>
      <c r="PS3" s="88" t="str">
        <f>IF(PB3="","",PB3)</f>
        <v/>
      </c>
      <c r="PT3" s="196" t="s">
        <v>8</v>
      </c>
      <c r="PU3" s="221"/>
      <c r="PV3" s="90" t="str">
        <f>IF(PE3="","",PE3)</f>
        <v>eval CH1</v>
      </c>
      <c r="PW3" s="87" t="str">
        <f>IF(PF3="","",PF3)</f>
        <v>Fiche CH2/2</v>
      </c>
      <c r="PX3" s="88" t="str">
        <f>IF(PG3="","",PG3)</f>
        <v>Fiche CH2/1</v>
      </c>
      <c r="PY3" s="201" t="s">
        <v>9</v>
      </c>
      <c r="PZ3" s="202"/>
      <c r="QA3" s="203" t="s">
        <v>10</v>
      </c>
      <c r="QB3" s="204"/>
      <c r="QC3" s="86" t="str">
        <f>IF(PL3="","",PL3)</f>
        <v/>
      </c>
      <c r="QD3" s="87" t="str">
        <f>IF(PM3="","",PM3)</f>
        <v/>
      </c>
      <c r="QE3" s="88" t="str">
        <f>IF(PN3="","",PN3)</f>
        <v>Fiche CH2/3</v>
      </c>
      <c r="QF3" s="179" t="s">
        <v>7</v>
      </c>
      <c r="QG3" s="220"/>
      <c r="QH3" s="90" t="str">
        <f>IF(PQ3="","",PQ3)</f>
        <v>eval M2</v>
      </c>
      <c r="QI3" s="87" t="str">
        <f>IF(PR3="","",PR3)</f>
        <v/>
      </c>
      <c r="QJ3" s="88" t="str">
        <f>IF(PS3="","",PS3)</f>
        <v/>
      </c>
      <c r="QK3" s="196" t="s">
        <v>8</v>
      </c>
      <c r="QL3" s="221"/>
      <c r="QM3" s="90" t="str">
        <f>IF(PV3="","",PV3)</f>
        <v>eval CH1</v>
      </c>
      <c r="QN3" s="87" t="str">
        <f>IF(PW3="","",PW3)</f>
        <v>Fiche CH2/2</v>
      </c>
      <c r="QO3" s="88" t="str">
        <f>IF(PX3="","",PX3)</f>
        <v>Fiche CH2/1</v>
      </c>
      <c r="QP3" s="201" t="s">
        <v>9</v>
      </c>
      <c r="QQ3" s="202"/>
      <c r="QR3" s="203" t="s">
        <v>10</v>
      </c>
      <c r="QS3" s="204"/>
      <c r="QT3" s="86" t="str">
        <f>IF(QC3="","",QC3)</f>
        <v/>
      </c>
      <c r="QU3" s="87" t="str">
        <f>IF(QD3="","",QD3)</f>
        <v/>
      </c>
      <c r="QV3" s="88" t="str">
        <f>IF(QE3="","",QE3)</f>
        <v>Fiche CH2/3</v>
      </c>
      <c r="QW3" s="79" t="s">
        <v>7</v>
      </c>
      <c r="QX3" s="89"/>
      <c r="QY3" s="90" t="str">
        <f>IF(QH3="","",QH3)</f>
        <v>eval M2</v>
      </c>
      <c r="QZ3" s="87" t="str">
        <f>IF(QI3="","",QI3)</f>
        <v/>
      </c>
      <c r="RA3" s="88" t="str">
        <f>IF(QJ3="","",QJ3)</f>
        <v/>
      </c>
      <c r="RB3" s="81" t="s">
        <v>8</v>
      </c>
      <c r="RC3" s="91"/>
      <c r="RD3" s="90" t="str">
        <f>IF(QM3="","",QM3)</f>
        <v>eval CH1</v>
      </c>
      <c r="RE3" s="87" t="str">
        <f>IF(QN3="","",QN3)</f>
        <v>Fiche CH2/2</v>
      </c>
      <c r="RF3" s="88" t="str">
        <f>IF(QO3="","",QO3)</f>
        <v>Fiche CH2/1</v>
      </c>
      <c r="RG3" s="82" t="s">
        <v>9</v>
      </c>
      <c r="RH3" s="83"/>
      <c r="RI3" s="84" t="s">
        <v>10</v>
      </c>
      <c r="RJ3" s="85"/>
      <c r="RK3" s="86" t="str">
        <f>IF(QT3="","",QT3)</f>
        <v/>
      </c>
      <c r="RL3" s="87" t="str">
        <f>IF(QU3="","",QU3)</f>
        <v/>
      </c>
      <c r="RM3" s="88" t="str">
        <f>IF(QV3="","",QV3)</f>
        <v>Fiche CH2/3</v>
      </c>
      <c r="RN3" s="79" t="s">
        <v>7</v>
      </c>
      <c r="RO3" s="89"/>
      <c r="RP3" s="90" t="str">
        <f>IF(QY3="","",QY3)</f>
        <v>eval M2</v>
      </c>
      <c r="RQ3" s="87" t="str">
        <f>IF(QZ3="","",QZ3)</f>
        <v/>
      </c>
      <c r="RR3" s="88" t="str">
        <f>IF(RA3="","",RA3)</f>
        <v/>
      </c>
      <c r="RS3" s="81" t="s">
        <v>8</v>
      </c>
      <c r="RT3" s="91"/>
      <c r="RU3" s="90" t="str">
        <f>IF(RD3="","",RD3)</f>
        <v>eval CH1</v>
      </c>
      <c r="RV3" s="87" t="str">
        <f>IF(RE3="","",RE3)</f>
        <v>Fiche CH2/2</v>
      </c>
      <c r="RW3" s="88" t="str">
        <f>IF(RF3="","",RF3)</f>
        <v>Fiche CH2/1</v>
      </c>
      <c r="RX3" s="82" t="s">
        <v>9</v>
      </c>
      <c r="RY3" s="83"/>
      <c r="RZ3" s="84" t="s">
        <v>10</v>
      </c>
      <c r="SA3" s="85"/>
      <c r="SB3" s="86" t="str">
        <f>IF(RK3="","",RK3)</f>
        <v/>
      </c>
      <c r="SC3" s="87" t="str">
        <f>IF(RL3="","",RL3)</f>
        <v/>
      </c>
      <c r="SD3" s="88" t="str">
        <f>IF(RM3="","",RM3)</f>
        <v>Fiche CH2/3</v>
      </c>
      <c r="SE3" s="79" t="s">
        <v>7</v>
      </c>
      <c r="SF3" s="89"/>
      <c r="SG3" s="90" t="str">
        <f>IF(RP3="","",RP3)</f>
        <v>eval M2</v>
      </c>
      <c r="SH3" s="87" t="str">
        <f>IF(RQ3="","",RQ3)</f>
        <v/>
      </c>
      <c r="SI3" s="88" t="str">
        <f>IF(RR3="","",RR3)</f>
        <v/>
      </c>
      <c r="SJ3" s="81" t="s">
        <v>8</v>
      </c>
      <c r="SK3" s="91"/>
      <c r="SL3" s="90" t="str">
        <f>IF(RU3="","",RU3)</f>
        <v>eval CH1</v>
      </c>
      <c r="SM3" s="87" t="str">
        <f>IF(RV3="","",RV3)</f>
        <v>Fiche CH2/2</v>
      </c>
      <c r="SN3" s="88" t="str">
        <f>IF(RW3="","",RW3)</f>
        <v>Fiche CH2/1</v>
      </c>
      <c r="SO3" s="82" t="s">
        <v>9</v>
      </c>
      <c r="SP3" s="83"/>
      <c r="SQ3" s="84" t="s">
        <v>10</v>
      </c>
      <c r="SR3" s="85"/>
      <c r="SS3" s="86" t="str">
        <f>IF(SB3="","",SB3)</f>
        <v/>
      </c>
      <c r="ST3" s="87" t="str">
        <f>IF(SC3="","",SC3)</f>
        <v/>
      </c>
      <c r="SU3" s="88" t="str">
        <f>IF(SD3="","",SD3)</f>
        <v>Fiche CH2/3</v>
      </c>
      <c r="SV3" s="79" t="s">
        <v>7</v>
      </c>
      <c r="SW3" s="89"/>
      <c r="SX3" s="90" t="str">
        <f>IF(SG3="","",SG3)</f>
        <v>eval M2</v>
      </c>
      <c r="SY3" s="87" t="str">
        <f>IF(SH3="","",SH3)</f>
        <v/>
      </c>
      <c r="SZ3" s="88" t="str">
        <f>IF(SI3="","",SI3)</f>
        <v/>
      </c>
      <c r="TA3" s="81" t="s">
        <v>8</v>
      </c>
      <c r="TB3" s="91"/>
      <c r="TC3" s="90" t="str">
        <f>IF(SL3="","",SL3)</f>
        <v>eval CH1</v>
      </c>
      <c r="TD3" s="87" t="str">
        <f>IF(SM3="","",SM3)</f>
        <v>Fiche CH2/2</v>
      </c>
      <c r="TE3" s="88" t="str">
        <f>IF(SN3="","",SN3)</f>
        <v>Fiche CH2/1</v>
      </c>
      <c r="TF3" s="82" t="s">
        <v>9</v>
      </c>
      <c r="TG3" s="83"/>
      <c r="TH3" s="84" t="s">
        <v>10</v>
      </c>
      <c r="TI3" s="85"/>
      <c r="TJ3" s="86" t="str">
        <f>IF(SS3="","",SS3)</f>
        <v/>
      </c>
      <c r="TK3" s="87" t="str">
        <f>IF(ST3="","",ST3)</f>
        <v/>
      </c>
      <c r="TL3" s="88" t="str">
        <f>IF(SU3="","",SU3)</f>
        <v>Fiche CH2/3</v>
      </c>
      <c r="TM3" s="79" t="s">
        <v>7</v>
      </c>
      <c r="TN3" s="89"/>
      <c r="TO3" s="90" t="str">
        <f>IF(SX3="","",SX3)</f>
        <v>eval M2</v>
      </c>
      <c r="TP3" s="87" t="str">
        <f>IF(SY3="","",SY3)</f>
        <v/>
      </c>
      <c r="TQ3" s="88" t="str">
        <f>IF(SZ3="","",SZ3)</f>
        <v/>
      </c>
      <c r="TR3" s="81" t="s">
        <v>8</v>
      </c>
      <c r="TS3" s="91"/>
      <c r="TT3" s="90" t="str">
        <f>IF(TC3="","",TC3)</f>
        <v>eval CH1</v>
      </c>
      <c r="TU3" s="87" t="str">
        <f>IF(TD3="","",TD3)</f>
        <v>Fiche CH2/2</v>
      </c>
      <c r="TV3" s="88" t="str">
        <f>IF(TE3="","",TE3)</f>
        <v>Fiche CH2/1</v>
      </c>
      <c r="TW3" s="82" t="s">
        <v>9</v>
      </c>
      <c r="TX3" s="83"/>
      <c r="TY3" s="84" t="s">
        <v>10</v>
      </c>
      <c r="TZ3" s="85"/>
    </row>
    <row r="4" spans="1:546" s="98" customFormat="1" ht="27.75" customHeight="1" thickBot="1" x14ac:dyDescent="0.3">
      <c r="A4" s="162" t="s">
        <v>11</v>
      </c>
      <c r="B4" s="92">
        <v>1</v>
      </c>
      <c r="C4" s="165"/>
      <c r="D4" s="126"/>
      <c r="E4" s="127"/>
      <c r="F4" s="181">
        <f>IF(COUNT(F5:F6)=0,"",SUM(F5:F6)/COUNT(F5:F6))</f>
        <v>2</v>
      </c>
      <c r="G4" s="182" t="str">
        <f t="shared" ref="G4:G20" si="0">IF(F4="","",IF(F4&gt;3.7,"A",IF(F4&gt;2.8,"B",IF(F4&gt;1.5,"C",IF(F4&gt;0,"D",IF(F4=0,""))))))</f>
        <v>C</v>
      </c>
      <c r="H4" s="165"/>
      <c r="I4" s="126"/>
      <c r="J4" s="127"/>
      <c r="K4" s="181">
        <f>IF(COUNT(K5:K6)=0,"",SUM(K5:K6)/COUNT(K5:K6))</f>
        <v>4</v>
      </c>
      <c r="L4" s="198" t="str">
        <f t="shared" ref="L4:L20" si="1">IF(K4="","",IF(K4&gt;3.7,"A",IF(K4&gt;2.8,"B",IF(K4&gt;1.5,"C",IF(K4&gt;0,"D",IF(K4=0,""))))))</f>
        <v>A</v>
      </c>
      <c r="M4" s="176"/>
      <c r="N4" s="113"/>
      <c r="O4" s="114"/>
      <c r="P4" s="181">
        <f>IF(COUNT(P5:P6)=0,"",SUM(P5:P6)/COUNT(P5:P6))</f>
        <v>4</v>
      </c>
      <c r="Q4" s="205" t="str">
        <f t="shared" ref="Q4:Q20" si="2">IF(P4="","",IF(P4&gt;3.7,"A",IF(P4&gt;2.8,"B",IF(P4&gt;1.5,"C",IF(P4&gt;0,"D",IF(P4=0,""))))))</f>
        <v>A</v>
      </c>
      <c r="R4" s="181">
        <f>IF(COUNT(R5:R6)=0,"",SUM(R5:R6)/COUNT(R5:R6))</f>
        <v>3.5</v>
      </c>
      <c r="S4" s="206" t="str">
        <f t="shared" ref="S4:S20" si="3">IF(R4="","",IF(R4&gt;3.7,"A",IF(R4&gt;2.8,"B",IF(R4&gt;1.5,"C",IF(R4&gt;0,"D",IF(R4=0,""))))))</f>
        <v>B</v>
      </c>
      <c r="T4" s="216"/>
      <c r="U4" s="126"/>
      <c r="V4" s="127"/>
      <c r="W4" s="181">
        <f>IF(COUNT(W5:W6)=0,"",SUM(W5:W6)/COUNT(W5:W6))</f>
        <v>2</v>
      </c>
      <c r="X4" s="182" t="str">
        <f t="shared" ref="X4:X20" si="4">IF(W4="","",IF(W4&gt;3.7,"A",IF(W4&gt;2.8,"B",IF(W4&gt;1.5,"C",IF(W4&gt;0,"D",IF(W4=0,""))))))</f>
        <v>C</v>
      </c>
      <c r="Y4" s="165"/>
      <c r="Z4" s="126"/>
      <c r="AA4" s="127"/>
      <c r="AB4" s="181">
        <f>IF(COUNT(AB5:AB6)=0,"",SUM(AB5:AB6)/COUNT(AB5:AB6))</f>
        <v>4</v>
      </c>
      <c r="AC4" s="198" t="str">
        <f t="shared" ref="AC4:AC20" si="5">IF(AB4="","",IF(AB4&gt;3.7,"A",IF(AB4&gt;2.8,"B",IF(AB4&gt;1.5,"C",IF(AB4&gt;0,"D",IF(AB4=0,""))))))</f>
        <v>A</v>
      </c>
      <c r="AD4" s="176"/>
      <c r="AE4" s="113"/>
      <c r="AF4" s="114"/>
      <c r="AG4" s="181">
        <f>IF(COUNT(AG5:AG6)=0,"",SUM(AG5:AG6)/COUNT(AG5:AG6))</f>
        <v>4</v>
      </c>
      <c r="AH4" s="205" t="str">
        <f t="shared" ref="AH4:AH20" si="6">IF(AG4="","",IF(AG4&gt;3.7,"A",IF(AG4&gt;2.8,"B",IF(AG4&gt;1.5,"C",IF(AG4&gt;0,"D",IF(AG4=0,""))))))</f>
        <v>A</v>
      </c>
      <c r="AI4" s="181">
        <f>IF(COUNT(AI5:AI6)=0,"",SUM(AI5:AI6)/COUNT(AI5:AI6))</f>
        <v>3.5</v>
      </c>
      <c r="AJ4" s="206" t="str">
        <f t="shared" ref="AJ4:AJ20" si="7">IF(AI4="","",IF(AI4&gt;3.7,"A",IF(AI4&gt;2.8,"B",IF(AI4&gt;1.5,"C",IF(AI4&gt;0,"D",IF(AI4=0,""))))))</f>
        <v>B</v>
      </c>
      <c r="AK4" s="216"/>
      <c r="AL4" s="126"/>
      <c r="AM4" s="127"/>
      <c r="AN4" s="181">
        <f>IF(COUNT(AN5:AN6)=0,"",SUM(AN5:AN6)/COUNT(AN5:AN6))</f>
        <v>2</v>
      </c>
      <c r="AO4" s="182" t="str">
        <f t="shared" ref="AO4:AO20" si="8">IF(AN4="","",IF(AN4&gt;3.7,"A",IF(AN4&gt;2.8,"B",IF(AN4&gt;1.5,"C",IF(AN4&gt;0,"D",IF(AN4=0,""))))))</f>
        <v>C</v>
      </c>
      <c r="AP4" s="165"/>
      <c r="AQ4" s="126"/>
      <c r="AR4" s="127"/>
      <c r="AS4" s="181">
        <f>IF(COUNT(AS5:AS6)=0,"",SUM(AS5:AS6)/COUNT(AS5:AS6))</f>
        <v>4</v>
      </c>
      <c r="AT4" s="198" t="str">
        <f t="shared" ref="AT4:AT20" si="9">IF(AS4="","",IF(AS4&gt;3.7,"A",IF(AS4&gt;2.8,"B",IF(AS4&gt;1.5,"C",IF(AS4&gt;0,"D",IF(AS4=0,""))))))</f>
        <v>A</v>
      </c>
      <c r="AU4" s="176"/>
      <c r="AV4" s="113"/>
      <c r="AW4" s="114"/>
      <c r="AX4" s="181">
        <f>IF(COUNT(AX5:AX6)=0,"",SUM(AX5:AX6)/COUNT(AX5:AX6))</f>
        <v>4</v>
      </c>
      <c r="AY4" s="205" t="str">
        <f t="shared" ref="AY4:AY20" si="10">IF(AX4="","",IF(AX4&gt;3.7,"A",IF(AX4&gt;2.8,"B",IF(AX4&gt;1.5,"C",IF(AX4&gt;0,"D",IF(AX4=0,""))))))</f>
        <v>A</v>
      </c>
      <c r="AZ4" s="181">
        <f>IF(COUNT(AZ5:AZ6)=0,"",SUM(AZ5:AZ6)/COUNT(AZ5:AZ6))</f>
        <v>3.5</v>
      </c>
      <c r="BA4" s="206" t="str">
        <f t="shared" ref="BA4:BA20" si="11">IF(AZ4="","",IF(AZ4&gt;3.7,"A",IF(AZ4&gt;2.8,"B",IF(AZ4&gt;1.5,"C",IF(AZ4&gt;0,"D",IF(AZ4=0,""))))))</f>
        <v>B</v>
      </c>
      <c r="BB4" s="216"/>
      <c r="BC4" s="126"/>
      <c r="BD4" s="127"/>
      <c r="BE4" s="181">
        <f>IF(COUNT(BE5:BE6)=0,"",SUM(BE5:BE6)/COUNT(BE5:BE6))</f>
        <v>3</v>
      </c>
      <c r="BF4" s="182" t="str">
        <f t="shared" ref="BF4:BF20" si="12">IF(BE4="","",IF(BE4&gt;3.7,"A",IF(BE4&gt;2.8,"B",IF(BE4&gt;1.5,"C",IF(BE4&gt;0,"D",IF(BE4=0,""))))))</f>
        <v>B</v>
      </c>
      <c r="BG4" s="165"/>
      <c r="BH4" s="126"/>
      <c r="BI4" s="127"/>
      <c r="BJ4" s="181">
        <f>IF(COUNT(BJ5:BJ6)=0,"",SUM(BJ5:BJ6)/COUNT(BJ5:BJ6))</f>
        <v>4</v>
      </c>
      <c r="BK4" s="198" t="str">
        <f t="shared" ref="BK4:BK20" si="13">IF(BJ4="","",IF(BJ4&gt;3.7,"A",IF(BJ4&gt;2.8,"B",IF(BJ4&gt;1.5,"C",IF(BJ4&gt;0,"D",IF(BJ4=0,""))))))</f>
        <v>A</v>
      </c>
      <c r="BL4" s="176"/>
      <c r="BM4" s="113"/>
      <c r="BN4" s="114"/>
      <c r="BO4" s="181" t="str">
        <f>IF(COUNT(BO5:BO6)=0,"",SUM(BO5:BO6)/COUNT(BO5:BO6))</f>
        <v/>
      </c>
      <c r="BP4" s="205" t="str">
        <f t="shared" ref="BP4:BP20" si="14">IF(BO4="","",IF(BO4&gt;3.7,"A",IF(BO4&gt;2.8,"B",IF(BO4&gt;1.5,"C",IF(BO4&gt;0,"D",IF(BO4=0,""))))))</f>
        <v/>
      </c>
      <c r="BQ4" s="181">
        <f>IF(COUNT(BQ5:BQ6)=0,"",SUM(BQ5:BQ6)/COUNT(BQ5:BQ6))</f>
        <v>3.5</v>
      </c>
      <c r="BR4" s="206" t="str">
        <f t="shared" ref="BR4:BR20" si="15">IF(BQ4="","",IF(BQ4&gt;3.7,"A",IF(BQ4&gt;2.8,"B",IF(BQ4&gt;1.5,"C",IF(BQ4&gt;0,"D",IF(BQ4=0,""))))))</f>
        <v>B</v>
      </c>
      <c r="BS4" s="216"/>
      <c r="BT4" s="126"/>
      <c r="BU4" s="127"/>
      <c r="BV4" s="181">
        <f>IF(COUNT(BV5:BV6)=0,"",SUM(BV5:BV6)/COUNT(BV5:BV6))</f>
        <v>2</v>
      </c>
      <c r="BW4" s="182" t="str">
        <f t="shared" ref="BW4:BW20" si="16">IF(BV4="","",IF(BV4&gt;3.7,"A",IF(BV4&gt;2.8,"B",IF(BV4&gt;1.5,"C",IF(BV4&gt;0,"D",IF(BV4=0,""))))))</f>
        <v>C</v>
      </c>
      <c r="BX4" s="165"/>
      <c r="BY4" s="126"/>
      <c r="BZ4" s="127"/>
      <c r="CA4" s="181">
        <f>IF(COUNT(CA5:CA6)=0,"",SUM(CA5:CA6)/COUNT(CA5:CA6))</f>
        <v>2</v>
      </c>
      <c r="CB4" s="198" t="str">
        <f t="shared" ref="CB4:CB20" si="17">IF(CA4="","",IF(CA4&gt;3.7,"A",IF(CA4&gt;2.8,"B",IF(CA4&gt;1.5,"C",IF(CA4&gt;0,"D",IF(CA4=0,""))))))</f>
        <v>C</v>
      </c>
      <c r="CC4" s="176"/>
      <c r="CD4" s="113"/>
      <c r="CE4" s="114"/>
      <c r="CF4" s="181">
        <f>IF(COUNT(CF5:CF6)=0,"",SUM(CF5:CF6)/COUNT(CF5:CF6))</f>
        <v>4</v>
      </c>
      <c r="CG4" s="205" t="str">
        <f t="shared" ref="CG4:CG20" si="18">IF(CF4="","",IF(CF4&gt;3.7,"A",IF(CF4&gt;2.8,"B",IF(CF4&gt;1.5,"C",IF(CF4&gt;0,"D",IF(CF4=0,""))))))</f>
        <v>A</v>
      </c>
      <c r="CH4" s="181">
        <f>IF(COUNT(CH5:CH6)=0,"",SUM(CH5:CH6)/COUNT(CH5:CH6))</f>
        <v>3</v>
      </c>
      <c r="CI4" s="206" t="str">
        <f t="shared" ref="CI4:CI20" si="19">IF(CH4="","",IF(CH4&gt;3.7,"A",IF(CH4&gt;2.8,"B",IF(CH4&gt;1.5,"C",IF(CH4&gt;0,"D",IF(CH4=0,""))))))</f>
        <v>B</v>
      </c>
      <c r="CJ4" s="216"/>
      <c r="CK4" s="126"/>
      <c r="CL4" s="127"/>
      <c r="CM4" s="181">
        <f>IF(COUNT(CM5:CM6)=0,"",SUM(CM5:CM6)/COUNT(CM5:CM6))</f>
        <v>2</v>
      </c>
      <c r="CN4" s="182" t="str">
        <f t="shared" ref="CN4:CN20" si="20">IF(CM4="","",IF(CM4&gt;3.7,"A",IF(CM4&gt;2.8,"B",IF(CM4&gt;1.5,"C",IF(CM4&gt;0,"D",IF(CM4=0,""))))))</f>
        <v>C</v>
      </c>
      <c r="CO4" s="165"/>
      <c r="CP4" s="126"/>
      <c r="CQ4" s="127"/>
      <c r="CR4" s="181">
        <f>IF(COUNT(CR5:CR6)=0,"",SUM(CR5:CR6)/COUNT(CR5:CR6))</f>
        <v>4</v>
      </c>
      <c r="CS4" s="198" t="str">
        <f t="shared" ref="CS4:CS20" si="21">IF(CR4="","",IF(CR4&gt;3.7,"A",IF(CR4&gt;2.8,"B",IF(CR4&gt;1.5,"C",IF(CR4&gt;0,"D",IF(CR4=0,""))))))</f>
        <v>A</v>
      </c>
      <c r="CT4" s="176"/>
      <c r="CU4" s="113"/>
      <c r="CV4" s="114"/>
      <c r="CW4" s="181">
        <f>IF(COUNT(CW5:CW6)=0,"",SUM(CW5:CW6)/COUNT(CW5:CW6))</f>
        <v>4</v>
      </c>
      <c r="CX4" s="205" t="str">
        <f t="shared" ref="CX4:CX20" si="22">IF(CW4="","",IF(CW4&gt;3.7,"A",IF(CW4&gt;2.8,"B",IF(CW4&gt;1.5,"C",IF(CW4&gt;0,"D",IF(CW4=0,""))))))</f>
        <v>A</v>
      </c>
      <c r="CY4" s="181">
        <f>IF(COUNT(CY5:CY6)=0,"",SUM(CY5:CY6)/COUNT(CY5:CY6))</f>
        <v>3.5</v>
      </c>
      <c r="CZ4" s="206" t="str">
        <f t="shared" ref="CZ4:CZ20" si="23">IF(CY4="","",IF(CY4&gt;3.7,"A",IF(CY4&gt;2.8,"B",IF(CY4&gt;1.5,"C",IF(CY4&gt;0,"D",IF(CY4=0,""))))))</f>
        <v>B</v>
      </c>
      <c r="DA4" s="216"/>
      <c r="DB4" s="126"/>
      <c r="DC4" s="127"/>
      <c r="DD4" s="181">
        <f>IF(COUNT(DD5:DD6)=0,"",SUM(DD5:DD6)/COUNT(DD5:DD6))</f>
        <v>3</v>
      </c>
      <c r="DE4" s="182" t="str">
        <f t="shared" ref="DE4:DE20" si="24">IF(DD4="","",IF(DD4&gt;3.7,"A",IF(DD4&gt;2.8,"B",IF(DD4&gt;1.5,"C",IF(DD4&gt;0,"D",IF(DD4=0,""))))))</f>
        <v>B</v>
      </c>
      <c r="DF4" s="165"/>
      <c r="DG4" s="126"/>
      <c r="DH4" s="127"/>
      <c r="DI4" s="181">
        <f>IF(COUNT(DI5:DI6)=0,"",SUM(DI5:DI6)/COUNT(DI5:DI6))</f>
        <v>2</v>
      </c>
      <c r="DJ4" s="198" t="str">
        <f t="shared" ref="DJ4:DJ20" si="25">IF(DI4="","",IF(DI4&gt;3.7,"A",IF(DI4&gt;2.8,"B",IF(DI4&gt;1.5,"C",IF(DI4&gt;0,"D",IF(DI4=0,""))))))</f>
        <v>C</v>
      </c>
      <c r="DK4" s="176"/>
      <c r="DL4" s="113"/>
      <c r="DM4" s="114"/>
      <c r="DN4" s="181">
        <f>IF(COUNT(DN5:DN6)=0,"",SUM(DN5:DN6)/COUNT(DN5:DN6))</f>
        <v>4</v>
      </c>
      <c r="DO4" s="205" t="str">
        <f t="shared" ref="DO4:DO20" si="26">IF(DN4="","",IF(DN4&gt;3.7,"A",IF(DN4&gt;2.8,"B",IF(DN4&gt;1.5,"C",IF(DN4&gt;0,"D",IF(DN4=0,""))))))</f>
        <v>A</v>
      </c>
      <c r="DP4" s="181">
        <f>IF(COUNT(DP5:DP6)=0,"",SUM(DP5:DP6)/COUNT(DP5:DP6))</f>
        <v>3.25</v>
      </c>
      <c r="DQ4" s="206" t="str">
        <f t="shared" ref="DQ4:DQ20" si="27">IF(DP4="","",IF(DP4&gt;3.7,"A",IF(DP4&gt;2.8,"B",IF(DP4&gt;1.5,"C",IF(DP4&gt;0,"D",IF(DP4=0,""))))))</f>
        <v>B</v>
      </c>
      <c r="DR4" s="216"/>
      <c r="DS4" s="126"/>
      <c r="DT4" s="127"/>
      <c r="DU4" s="181">
        <f>IF(COUNT(DU5:DU6)=0,"",SUM(DU5:DU6)/COUNT(DU5:DU6))</f>
        <v>1</v>
      </c>
      <c r="DV4" s="182" t="str">
        <f t="shared" ref="DV4:DV20" si="28">IF(DU4="","",IF(DU4&gt;3.7,"A",IF(DU4&gt;2.8,"B",IF(DU4&gt;1.5,"C",IF(DU4&gt;0,"D",IF(DU4=0,""))))))</f>
        <v>D</v>
      </c>
      <c r="DW4" s="165"/>
      <c r="DX4" s="126"/>
      <c r="DY4" s="127"/>
      <c r="DZ4" s="181">
        <f>IF(COUNT(DZ5:DZ6)=0,"",SUM(DZ5:DZ6)/COUNT(DZ5:DZ6))</f>
        <v>4</v>
      </c>
      <c r="EA4" s="198" t="str">
        <f t="shared" ref="EA4:EA20" si="29">IF(DZ4="","",IF(DZ4&gt;3.7,"A",IF(DZ4&gt;2.8,"B",IF(DZ4&gt;1.5,"C",IF(DZ4&gt;0,"D",IF(DZ4=0,""))))))</f>
        <v>A</v>
      </c>
      <c r="EB4" s="176"/>
      <c r="EC4" s="113"/>
      <c r="ED4" s="114"/>
      <c r="EE4" s="181">
        <f>IF(COUNT(EE5:EE6)=0,"",SUM(EE5:EE6)/COUNT(EE5:EE6))</f>
        <v>4</v>
      </c>
      <c r="EF4" s="205" t="str">
        <f t="shared" ref="EF4:EF20" si="30">IF(EE4="","",IF(EE4&gt;3.7,"A",IF(EE4&gt;2.8,"B",IF(EE4&gt;1.5,"C",IF(EE4&gt;0,"D",IF(EE4=0,""))))))</f>
        <v>A</v>
      </c>
      <c r="EG4" s="181">
        <f>IF(COUNT(EG5:EG6)=0,"",SUM(EG5:EG6)/COUNT(EG5:EG6))</f>
        <v>3.25</v>
      </c>
      <c r="EH4" s="206" t="str">
        <f t="shared" ref="EH4:EH20" si="31">IF(EG4="","",IF(EG4&gt;3.7,"A",IF(EG4&gt;2.8,"B",IF(EG4&gt;1.5,"C",IF(EG4&gt;0,"D",IF(EG4=0,""))))))</f>
        <v>B</v>
      </c>
      <c r="EI4" s="216"/>
      <c r="EJ4" s="126"/>
      <c r="EK4" s="127"/>
      <c r="EL4" s="181">
        <f>IF(COUNT(EL5:EL6)=0,"",SUM(EL5:EL6)/COUNT(EL5:EL6))</f>
        <v>2</v>
      </c>
      <c r="EM4" s="182" t="str">
        <f t="shared" ref="EM4:EM20" si="32">IF(EL4="","",IF(EL4&gt;3.7,"A",IF(EL4&gt;2.8,"B",IF(EL4&gt;1.5,"C",IF(EL4&gt;0,"D",IF(EL4=0,""))))))</f>
        <v>C</v>
      </c>
      <c r="EN4" s="165"/>
      <c r="EO4" s="126"/>
      <c r="EP4" s="127"/>
      <c r="EQ4" s="181">
        <f>IF(COUNT(EQ5:EQ6)=0,"",SUM(EQ5:EQ6)/COUNT(EQ5:EQ6))</f>
        <v>4</v>
      </c>
      <c r="ER4" s="198" t="str">
        <f t="shared" ref="ER4:ER20" si="33">IF(EQ4="","",IF(EQ4&gt;3.7,"A",IF(EQ4&gt;2.8,"B",IF(EQ4&gt;1.5,"C",IF(EQ4&gt;0,"D",IF(EQ4=0,""))))))</f>
        <v>A</v>
      </c>
      <c r="ES4" s="176"/>
      <c r="ET4" s="113"/>
      <c r="EU4" s="114"/>
      <c r="EV4" s="181">
        <f>IF(COUNT(EV5:EV6)=0,"",SUM(EV5:EV6)/COUNT(EV5:EV6))</f>
        <v>4</v>
      </c>
      <c r="EW4" s="205" t="str">
        <f t="shared" ref="EW4:EW20" si="34">IF(EV4="","",IF(EV4&gt;3.7,"A",IF(EV4&gt;2.8,"B",IF(EV4&gt;1.5,"C",IF(EV4&gt;0,"D",IF(EV4=0,""))))))</f>
        <v>A</v>
      </c>
      <c r="EX4" s="181">
        <f>IF(COUNT(EX5:EX6)=0,"",SUM(EX5:EX6)/COUNT(EX5:EX6))</f>
        <v>3.5</v>
      </c>
      <c r="EY4" s="206" t="str">
        <f t="shared" ref="EY4:EY20" si="35">IF(EX4="","",IF(EX4&gt;3.7,"A",IF(EX4&gt;2.8,"B",IF(EX4&gt;1.5,"C",IF(EX4&gt;0,"D",IF(EX4=0,""))))))</f>
        <v>B</v>
      </c>
      <c r="EZ4" s="216"/>
      <c r="FA4" s="126"/>
      <c r="FB4" s="127"/>
      <c r="FC4" s="181">
        <f>IF(COUNT(FC5:FC6)=0,"",SUM(FC5:FC6)/COUNT(FC5:FC6))</f>
        <v>3</v>
      </c>
      <c r="FD4" s="182" t="str">
        <f t="shared" ref="FD4:FD20" si="36">IF(FC4="","",IF(FC4&gt;3.7,"A",IF(FC4&gt;2.8,"B",IF(FC4&gt;1.5,"C",IF(FC4&gt;0,"D",IF(FC4=0,""))))))</f>
        <v>B</v>
      </c>
      <c r="FE4" s="165"/>
      <c r="FF4" s="126"/>
      <c r="FG4" s="127"/>
      <c r="FH4" s="181">
        <f>IF(COUNT(FH5:FH6)=0,"",SUM(FH5:FH6)/COUNT(FH5:FH6))</f>
        <v>4</v>
      </c>
      <c r="FI4" s="198" t="str">
        <f t="shared" ref="FI4:FI20" si="37">IF(FH4="","",IF(FH4&gt;3.7,"A",IF(FH4&gt;2.8,"B",IF(FH4&gt;1.5,"C",IF(FH4&gt;0,"D",IF(FH4=0,""))))))</f>
        <v>A</v>
      </c>
      <c r="FJ4" s="176"/>
      <c r="FK4" s="113"/>
      <c r="FL4" s="114"/>
      <c r="FM4" s="181">
        <f>IF(COUNT(FM5:FM6)=0,"",SUM(FM5:FM6)/COUNT(FM5:FM6))</f>
        <v>4</v>
      </c>
      <c r="FN4" s="205" t="str">
        <f t="shared" ref="FN4:FN20" si="38">IF(FM4="","",IF(FM4&gt;3.7,"A",IF(FM4&gt;2.8,"B",IF(FM4&gt;1.5,"C",IF(FM4&gt;0,"D",IF(FM4=0,""))))))</f>
        <v>A</v>
      </c>
      <c r="FO4" s="181">
        <f>IF(COUNT(FO5:FO6)=0,"",SUM(FO5:FO6)/COUNT(FO5:FO6))</f>
        <v>3.75</v>
      </c>
      <c r="FP4" s="206" t="str">
        <f t="shared" ref="FP4:FP20" si="39">IF(FO4="","",IF(FO4&gt;3.7,"A",IF(FO4&gt;2.8,"B",IF(FO4&gt;1.5,"C",IF(FO4&gt;0,"D",IF(FO4=0,""))))))</f>
        <v>A</v>
      </c>
      <c r="FQ4" s="216"/>
      <c r="FR4" s="126"/>
      <c r="FS4" s="127"/>
      <c r="FT4" s="181">
        <f>IF(COUNT(FT5:FT6)=0,"",SUM(FT5:FT6)/COUNT(FT5:FT6))</f>
        <v>2</v>
      </c>
      <c r="FU4" s="182" t="str">
        <f t="shared" ref="FU4:FU20" si="40">IF(FT4="","",IF(FT4&gt;3.7,"A",IF(FT4&gt;2.8,"B",IF(FT4&gt;1.5,"C",IF(FT4&gt;0,"D",IF(FT4=0,""))))))</f>
        <v>C</v>
      </c>
      <c r="FV4" s="165"/>
      <c r="FW4" s="126"/>
      <c r="FX4" s="127"/>
      <c r="FY4" s="181">
        <f>IF(COUNT(FY5:FY6)=0,"",SUM(FY5:FY6)/COUNT(FY5:FY6))</f>
        <v>4</v>
      </c>
      <c r="FZ4" s="198" t="str">
        <f t="shared" ref="FZ4:FZ20" si="41">IF(FY4="","",IF(FY4&gt;3.7,"A",IF(FY4&gt;2.8,"B",IF(FY4&gt;1.5,"C",IF(FY4&gt;0,"D",IF(FY4=0,""))))))</f>
        <v>A</v>
      </c>
      <c r="GA4" s="176"/>
      <c r="GB4" s="113"/>
      <c r="GC4" s="114"/>
      <c r="GD4" s="181">
        <f>IF(COUNT(GD5:GD6)=0,"",SUM(GD5:GD6)/COUNT(GD5:GD6))</f>
        <v>4</v>
      </c>
      <c r="GE4" s="205" t="str">
        <f t="shared" ref="GE4:GE20" si="42">IF(GD4="","",IF(GD4&gt;3.7,"A",IF(GD4&gt;2.8,"B",IF(GD4&gt;1.5,"C",IF(GD4&gt;0,"D",IF(GD4=0,""))))))</f>
        <v>A</v>
      </c>
      <c r="GF4" s="181">
        <f>IF(COUNT(GF5:GF6)=0,"",SUM(GF5:GF6)/COUNT(GF5:GF6))</f>
        <v>3.5</v>
      </c>
      <c r="GG4" s="206" t="str">
        <f t="shared" ref="GG4:GG20" si="43">IF(GF4="","",IF(GF4&gt;3.7,"A",IF(GF4&gt;2.8,"B",IF(GF4&gt;1.5,"C",IF(GF4&gt;0,"D",IF(GF4=0,""))))))</f>
        <v>B</v>
      </c>
      <c r="GH4" s="216"/>
      <c r="GI4" s="126"/>
      <c r="GJ4" s="127"/>
      <c r="GK4" s="181">
        <f>IF(COUNT(GK5:GK6)=0,"",SUM(GK5:GK6)/COUNT(GK5:GK6))</f>
        <v>3</v>
      </c>
      <c r="GL4" s="182" t="str">
        <f t="shared" ref="GL4:GL20" si="44">IF(GK4="","",IF(GK4&gt;3.7,"A",IF(GK4&gt;2.8,"B",IF(GK4&gt;1.5,"C",IF(GK4&gt;0,"D",IF(GK4=0,""))))))</f>
        <v>B</v>
      </c>
      <c r="GM4" s="165"/>
      <c r="GN4" s="126"/>
      <c r="GO4" s="127"/>
      <c r="GP4" s="181">
        <f>IF(COUNT(GP5:GP6)=0,"",SUM(GP5:GP6)/COUNT(GP5:GP6))</f>
        <v>4</v>
      </c>
      <c r="GQ4" s="198" t="str">
        <f t="shared" ref="GQ4:GQ20" si="45">IF(GP4="","",IF(GP4&gt;3.7,"A",IF(GP4&gt;2.8,"B",IF(GP4&gt;1.5,"C",IF(GP4&gt;0,"D",IF(GP4=0,""))))))</f>
        <v>A</v>
      </c>
      <c r="GR4" s="176"/>
      <c r="GS4" s="113"/>
      <c r="GT4" s="114"/>
      <c r="GU4" s="181">
        <f>IF(COUNT(GU5:GU6)=0,"",SUM(GU5:GU6)/COUNT(GU5:GU6))</f>
        <v>4</v>
      </c>
      <c r="GV4" s="205" t="str">
        <f t="shared" ref="GV4:GV20" si="46">IF(GU4="","",IF(GU4&gt;3.7,"A",IF(GU4&gt;2.8,"B",IF(GU4&gt;1.5,"C",IF(GU4&gt;0,"D",IF(GU4=0,""))))))</f>
        <v>A</v>
      </c>
      <c r="GW4" s="181">
        <f>IF(COUNT(GW5:GW6)=0,"",SUM(GW5:GW6)/COUNT(GW5:GW6))</f>
        <v>3.75</v>
      </c>
      <c r="GX4" s="206" t="str">
        <f t="shared" ref="GX4:GX20" si="47">IF(GW4="","",IF(GW4&gt;3.7,"A",IF(GW4&gt;2.8,"B",IF(GW4&gt;1.5,"C",IF(GW4&gt;0,"D",IF(GW4=0,""))))))</f>
        <v>A</v>
      </c>
      <c r="GY4" s="216"/>
      <c r="GZ4" s="126"/>
      <c r="HA4" s="127"/>
      <c r="HB4" s="181">
        <f>IF(COUNT(HB5:HB6)=0,"",SUM(HB5:HB6)/COUNT(HB5:HB6))</f>
        <v>3</v>
      </c>
      <c r="HC4" s="182" t="str">
        <f t="shared" ref="HC4:HC20" si="48">IF(HB4="","",IF(HB4&gt;3.7,"A",IF(HB4&gt;2.8,"B",IF(HB4&gt;1.5,"C",IF(HB4&gt;0,"D",IF(HB4=0,""))))))</f>
        <v>B</v>
      </c>
      <c r="HD4" s="165"/>
      <c r="HE4" s="126"/>
      <c r="HF4" s="127"/>
      <c r="HG4" s="181">
        <f>IF(COUNT(HG5:HG6)=0,"",SUM(HG5:HG6)/COUNT(HG5:HG6))</f>
        <v>4</v>
      </c>
      <c r="HH4" s="198" t="str">
        <f t="shared" ref="HH4:HH20" si="49">IF(HG4="","",IF(HG4&gt;3.7,"A",IF(HG4&gt;2.8,"B",IF(HG4&gt;1.5,"C",IF(HG4&gt;0,"D",IF(HG4=0,""))))))</f>
        <v>A</v>
      </c>
      <c r="HI4" s="176"/>
      <c r="HJ4" s="113"/>
      <c r="HK4" s="114"/>
      <c r="HL4" s="181">
        <f>IF(COUNT(HL5:HL6)=0,"",SUM(HL5:HL6)/COUNT(HL5:HL6))</f>
        <v>4</v>
      </c>
      <c r="HM4" s="205" t="str">
        <f t="shared" ref="HM4:HM20" si="50">IF(HL4="","",IF(HL4&gt;3.7,"A",IF(HL4&gt;2.8,"B",IF(HL4&gt;1.5,"C",IF(HL4&gt;0,"D",IF(HL4=0,""))))))</f>
        <v>A</v>
      </c>
      <c r="HN4" s="181">
        <f>IF(COUNT(HN5:HN6)=0,"",SUM(HN5:HN6)/COUNT(HN5:HN6))</f>
        <v>3.75</v>
      </c>
      <c r="HO4" s="206" t="str">
        <f t="shared" ref="HO4:HO20" si="51">IF(HN4="","",IF(HN4&gt;3.7,"A",IF(HN4&gt;2.8,"B",IF(HN4&gt;1.5,"C",IF(HN4&gt;0,"D",IF(HN4=0,""))))))</f>
        <v>A</v>
      </c>
      <c r="HP4" s="216"/>
      <c r="HQ4" s="126"/>
      <c r="HR4" s="127"/>
      <c r="HS4" s="181">
        <f>IF(COUNT(HS5:HS6)=0,"",SUM(HS5:HS6)/COUNT(HS5:HS6))</f>
        <v>2</v>
      </c>
      <c r="HT4" s="182" t="str">
        <f t="shared" ref="HT4:HT20" si="52">IF(HS4="","",IF(HS4&gt;3.7,"A",IF(HS4&gt;2.8,"B",IF(HS4&gt;1.5,"C",IF(HS4&gt;0,"D",IF(HS4=0,""))))))</f>
        <v>C</v>
      </c>
      <c r="HU4" s="165"/>
      <c r="HV4" s="126"/>
      <c r="HW4" s="127"/>
      <c r="HX4" s="181">
        <f>IF(COUNT(HX5:HX6)=0,"",SUM(HX5:HX6)/COUNT(HX5:HX6))</f>
        <v>4</v>
      </c>
      <c r="HY4" s="198" t="str">
        <f t="shared" ref="HY4:HY20" si="53">IF(HX4="","",IF(HX4&gt;3.7,"A",IF(HX4&gt;2.8,"B",IF(HX4&gt;1.5,"C",IF(HX4&gt;0,"D",IF(HX4=0,""))))))</f>
        <v>A</v>
      </c>
      <c r="HZ4" s="176"/>
      <c r="IA4" s="113"/>
      <c r="IB4" s="114"/>
      <c r="IC4" s="181">
        <f>IF(COUNT(IC5:IC6)=0,"",SUM(IC5:IC6)/COUNT(IC5:IC6))</f>
        <v>4</v>
      </c>
      <c r="ID4" s="205" t="str">
        <f t="shared" ref="ID4:ID20" si="54">IF(IC4="","",IF(IC4&gt;3.7,"A",IF(IC4&gt;2.8,"B",IF(IC4&gt;1.5,"C",IF(IC4&gt;0,"D",IF(IC4=0,""))))))</f>
        <v>A</v>
      </c>
      <c r="IE4" s="181">
        <f>IF(COUNT(IE5:IE6)=0,"",SUM(IE5:IE6)/COUNT(IE5:IE6))</f>
        <v>3.5</v>
      </c>
      <c r="IF4" s="206" t="str">
        <f t="shared" ref="IF4:IF20" si="55">IF(IE4="","",IF(IE4&gt;3.7,"A",IF(IE4&gt;2.8,"B",IF(IE4&gt;1.5,"C",IF(IE4&gt;0,"D",IF(IE4=0,""))))))</f>
        <v>B</v>
      </c>
      <c r="IG4" s="216"/>
      <c r="IH4" s="126"/>
      <c r="II4" s="127"/>
      <c r="IJ4" s="181">
        <f>IF(COUNT(IJ5:IJ6)=0,"",SUM(IJ5:IJ6)/COUNT(IJ5:IJ6))</f>
        <v>2</v>
      </c>
      <c r="IK4" s="182" t="str">
        <f t="shared" ref="IK4:IK20" si="56">IF(IJ4="","",IF(IJ4&gt;3.7,"A",IF(IJ4&gt;2.8,"B",IF(IJ4&gt;1.5,"C",IF(IJ4&gt;0,"D",IF(IJ4=0,""))))))</f>
        <v>C</v>
      </c>
      <c r="IL4" s="165"/>
      <c r="IM4" s="126"/>
      <c r="IN4" s="127"/>
      <c r="IO4" s="181">
        <f>IF(COUNT(IO5:IO6)=0,"",SUM(IO5:IO6)/COUNT(IO5:IO6))</f>
        <v>4</v>
      </c>
      <c r="IP4" s="198" t="str">
        <f t="shared" ref="IP4:IP20" si="57">IF(IO4="","",IF(IO4&gt;3.7,"A",IF(IO4&gt;2.8,"B",IF(IO4&gt;1.5,"C",IF(IO4&gt;0,"D",IF(IO4=0,""))))))</f>
        <v>A</v>
      </c>
      <c r="IQ4" s="176"/>
      <c r="IR4" s="113"/>
      <c r="IS4" s="114"/>
      <c r="IT4" s="181">
        <f>IF(COUNT(IT5:IT6)=0,"",SUM(IT5:IT6)/COUNT(IT5:IT6))</f>
        <v>4</v>
      </c>
      <c r="IU4" s="205" t="str">
        <f t="shared" ref="IU4:IU20" si="58">IF(IT4="","",IF(IT4&gt;3.7,"A",IF(IT4&gt;2.8,"B",IF(IT4&gt;1.5,"C",IF(IT4&gt;0,"D",IF(IT4=0,""))))))</f>
        <v>A</v>
      </c>
      <c r="IV4" s="181">
        <f>IF(COUNT(IV5:IV6)=0,"",SUM(IV5:IV6)/COUNT(IV5:IV6))</f>
        <v>3.5</v>
      </c>
      <c r="IW4" s="206" t="str">
        <f t="shared" ref="IW4:IW20" si="59">IF(IV4="","",IF(IV4&gt;3.7,"A",IF(IV4&gt;2.8,"B",IF(IV4&gt;1.5,"C",IF(IV4&gt;0,"D",IF(IV4=0,""))))))</f>
        <v>B</v>
      </c>
      <c r="IX4" s="216"/>
      <c r="IY4" s="126"/>
      <c r="IZ4" s="127"/>
      <c r="JA4" s="181">
        <f>IF(COUNT(JA5:JA6)=0,"",SUM(JA5:JA6)/COUNT(JA5:JA6))</f>
        <v>2</v>
      </c>
      <c r="JB4" s="182" t="str">
        <f t="shared" ref="JB4:JB20" si="60">IF(JA4="","",IF(JA4&gt;3.7,"A",IF(JA4&gt;2.8,"B",IF(JA4&gt;1.5,"C",IF(JA4&gt;0,"D",IF(JA4=0,""))))))</f>
        <v>C</v>
      </c>
      <c r="JC4" s="165"/>
      <c r="JD4" s="126"/>
      <c r="JE4" s="127"/>
      <c r="JF4" s="181">
        <f>IF(COUNT(JF5:JF6)=0,"",SUM(JF5:JF6)/COUNT(JF5:JF6))</f>
        <v>4</v>
      </c>
      <c r="JG4" s="198" t="str">
        <f t="shared" ref="JG4:JG20" si="61">IF(JF4="","",IF(JF4&gt;3.7,"A",IF(JF4&gt;2.8,"B",IF(JF4&gt;1.5,"C",IF(JF4&gt;0,"D",IF(JF4=0,""))))))</f>
        <v>A</v>
      </c>
      <c r="JH4" s="176"/>
      <c r="JI4" s="113"/>
      <c r="JJ4" s="114"/>
      <c r="JK4" s="181">
        <f>IF(COUNT(JK5:JK6)=0,"",SUM(JK5:JK6)/COUNT(JK5:JK6))</f>
        <v>3</v>
      </c>
      <c r="JL4" s="205" t="str">
        <f t="shared" ref="JL4:JL20" si="62">IF(JK4="","",IF(JK4&gt;3.7,"A",IF(JK4&gt;2.8,"B",IF(JK4&gt;1.5,"C",IF(JK4&gt;0,"D",IF(JK4=0,""))))))</f>
        <v>B</v>
      </c>
      <c r="JM4" s="181">
        <f>IF(COUNT(JM5:JM6)=0,"",SUM(JM5:JM6)/COUNT(JM5:JM6))</f>
        <v>3</v>
      </c>
      <c r="JN4" s="206" t="str">
        <f t="shared" ref="JN4:JN20" si="63">IF(JM4="","",IF(JM4&gt;3.7,"A",IF(JM4&gt;2.8,"B",IF(JM4&gt;1.5,"C",IF(JM4&gt;0,"D",IF(JM4=0,""))))))</f>
        <v>B</v>
      </c>
      <c r="JO4" s="216"/>
      <c r="JP4" s="126"/>
      <c r="JQ4" s="127"/>
      <c r="JR4" s="181">
        <f>IF(COUNT(JR5:JR6)=0,"",SUM(JR5:JR6)/COUNT(JR5:JR6))</f>
        <v>2</v>
      </c>
      <c r="JS4" s="182" t="str">
        <f t="shared" ref="JS4:JS20" si="64">IF(JR4="","",IF(JR4&gt;3.7,"A",IF(JR4&gt;2.8,"B",IF(JR4&gt;1.5,"C",IF(JR4&gt;0,"D",IF(JR4=0,""))))))</f>
        <v>C</v>
      </c>
      <c r="JT4" s="165"/>
      <c r="JU4" s="126"/>
      <c r="JV4" s="127"/>
      <c r="JW4" s="181">
        <f>IF(COUNT(JW5:JW6)=0,"",SUM(JW5:JW6)/COUNT(JW5:JW6))</f>
        <v>4</v>
      </c>
      <c r="JX4" s="198" t="str">
        <f t="shared" ref="JX4:JX20" si="65">IF(JW4="","",IF(JW4&gt;3.7,"A",IF(JW4&gt;2.8,"B",IF(JW4&gt;1.5,"C",IF(JW4&gt;0,"D",IF(JW4=0,""))))))</f>
        <v>A</v>
      </c>
      <c r="JY4" s="176"/>
      <c r="JZ4" s="113"/>
      <c r="KA4" s="114"/>
      <c r="KB4" s="181">
        <f>IF(COUNT(KB5:KB6)=0,"",SUM(KB5:KB6)/COUNT(KB5:KB6))</f>
        <v>4</v>
      </c>
      <c r="KC4" s="205" t="str">
        <f t="shared" ref="KC4:KC20" si="66">IF(KB4="","",IF(KB4&gt;3.7,"A",IF(KB4&gt;2.8,"B",IF(KB4&gt;1.5,"C",IF(KB4&gt;0,"D",IF(KB4=0,""))))))</f>
        <v>A</v>
      </c>
      <c r="KD4" s="181">
        <f>IF(COUNT(KD5:KD6)=0,"",SUM(KD5:KD6)/COUNT(KD5:KD6))</f>
        <v>3.5</v>
      </c>
      <c r="KE4" s="206" t="str">
        <f t="shared" ref="KE4:KE20" si="67">IF(KD4="","",IF(KD4&gt;3.7,"A",IF(KD4&gt;2.8,"B",IF(KD4&gt;1.5,"C",IF(KD4&gt;0,"D",IF(KD4=0,""))))))</f>
        <v>B</v>
      </c>
      <c r="KF4" s="216"/>
      <c r="KG4" s="126"/>
      <c r="KH4" s="127"/>
      <c r="KI4" s="181">
        <f>IF(COUNT(KI5:KI6)=0,"",SUM(KI5:KI6)/COUNT(KI5:KI6))</f>
        <v>2</v>
      </c>
      <c r="KJ4" s="182" t="str">
        <f t="shared" ref="KJ4:KJ20" si="68">IF(KI4="","",IF(KI4&gt;3.7,"A",IF(KI4&gt;2.8,"B",IF(KI4&gt;1.5,"C",IF(KI4&gt;0,"D",IF(KI4=0,""))))))</f>
        <v>C</v>
      </c>
      <c r="KK4" s="165"/>
      <c r="KL4" s="126"/>
      <c r="KM4" s="127"/>
      <c r="KN4" s="181">
        <f>IF(COUNT(KN5:KN6)=0,"",SUM(KN5:KN6)/COUNT(KN5:KN6))</f>
        <v>4</v>
      </c>
      <c r="KO4" s="198" t="str">
        <f t="shared" ref="KO4:KO20" si="69">IF(KN4="","",IF(KN4&gt;3.7,"A",IF(KN4&gt;2.8,"B",IF(KN4&gt;1.5,"C",IF(KN4&gt;0,"D",IF(KN4=0,""))))))</f>
        <v>A</v>
      </c>
      <c r="KP4" s="176"/>
      <c r="KQ4" s="113"/>
      <c r="KR4" s="114"/>
      <c r="KS4" s="181">
        <f>IF(COUNT(KS5:KS6)=0,"",SUM(KS5:KS6)/COUNT(KS5:KS6))</f>
        <v>4</v>
      </c>
      <c r="KT4" s="205" t="str">
        <f t="shared" ref="KT4:KT20" si="70">IF(KS4="","",IF(KS4&gt;3.7,"A",IF(KS4&gt;2.8,"B",IF(KS4&gt;1.5,"C",IF(KS4&gt;0,"D",IF(KS4=0,""))))))</f>
        <v>A</v>
      </c>
      <c r="KU4" s="181">
        <f>IF(COUNT(KU5:KU6)=0,"",SUM(KU5:KU6)/COUNT(KU5:KU6))</f>
        <v>3.5</v>
      </c>
      <c r="KV4" s="206" t="str">
        <f t="shared" ref="KV4:KV20" si="71">IF(KU4="","",IF(KU4&gt;3.7,"A",IF(KU4&gt;2.8,"B",IF(KU4&gt;1.5,"C",IF(KU4&gt;0,"D",IF(KU4=0,""))))))</f>
        <v>B</v>
      </c>
      <c r="KW4" s="216"/>
      <c r="KX4" s="126"/>
      <c r="KY4" s="127"/>
      <c r="KZ4" s="181">
        <f>IF(COUNT(KZ5:KZ6)=0,"",SUM(KZ5:KZ6)/COUNT(KZ5:KZ6))</f>
        <v>3</v>
      </c>
      <c r="LA4" s="182" t="str">
        <f t="shared" ref="LA4:LA20" si="72">IF(KZ4="","",IF(KZ4&gt;3.7,"A",IF(KZ4&gt;2.8,"B",IF(KZ4&gt;1.5,"C",IF(KZ4&gt;0,"D",IF(KZ4=0,""))))))</f>
        <v>B</v>
      </c>
      <c r="LB4" s="165"/>
      <c r="LC4" s="126"/>
      <c r="LD4" s="127"/>
      <c r="LE4" s="181">
        <f>IF(COUNT(LE5:LE6)=0,"",SUM(LE5:LE6)/COUNT(LE5:LE6))</f>
        <v>4</v>
      </c>
      <c r="LF4" s="198" t="str">
        <f t="shared" ref="LF4:LF20" si="73">IF(LE4="","",IF(LE4&gt;3.7,"A",IF(LE4&gt;2.8,"B",IF(LE4&gt;1.5,"C",IF(LE4&gt;0,"D",IF(LE4=0,""))))))</f>
        <v>A</v>
      </c>
      <c r="LG4" s="176"/>
      <c r="LH4" s="113"/>
      <c r="LI4" s="114"/>
      <c r="LJ4" s="181">
        <f>IF(COUNT(LJ5:LJ6)=0,"",SUM(LJ5:LJ6)/COUNT(LJ5:LJ6))</f>
        <v>4</v>
      </c>
      <c r="LK4" s="205" t="str">
        <f t="shared" ref="LK4:LK20" si="74">IF(LJ4="","",IF(LJ4&gt;3.7,"A",IF(LJ4&gt;2.8,"B",IF(LJ4&gt;1.5,"C",IF(LJ4&gt;0,"D",IF(LJ4=0,""))))))</f>
        <v>A</v>
      </c>
      <c r="LL4" s="181">
        <f>IF(COUNT(LL5:LL6)=0,"",SUM(LL5:LL6)/COUNT(LL5:LL6))</f>
        <v>3.75</v>
      </c>
      <c r="LM4" s="206" t="str">
        <f t="shared" ref="LM4:LM20" si="75">IF(LL4="","",IF(LL4&gt;3.7,"A",IF(LL4&gt;2.8,"B",IF(LL4&gt;1.5,"C",IF(LL4&gt;0,"D",IF(LL4=0,""))))))</f>
        <v>A</v>
      </c>
      <c r="LN4" s="216"/>
      <c r="LO4" s="126"/>
      <c r="LP4" s="127"/>
      <c r="LQ4" s="181">
        <f>IF(COUNT(LQ5:LQ6)=0,"",SUM(LQ5:LQ6)/COUNT(LQ5:LQ6))</f>
        <v>3</v>
      </c>
      <c r="LR4" s="182" t="str">
        <f t="shared" ref="LR4:LR20" si="76">IF(LQ4="","",IF(LQ4&gt;3.7,"A",IF(LQ4&gt;2.8,"B",IF(LQ4&gt;1.5,"C",IF(LQ4&gt;0,"D",IF(LQ4=0,""))))))</f>
        <v>B</v>
      </c>
      <c r="LS4" s="165"/>
      <c r="LT4" s="126"/>
      <c r="LU4" s="127"/>
      <c r="LV4" s="181">
        <f>IF(COUNT(LV5:LV6)=0,"",SUM(LV5:LV6)/COUNT(LV5:LV6))</f>
        <v>4</v>
      </c>
      <c r="LW4" s="198" t="str">
        <f t="shared" ref="LW4:LW20" si="77">IF(LV4="","",IF(LV4&gt;3.7,"A",IF(LV4&gt;2.8,"B",IF(LV4&gt;1.5,"C",IF(LV4&gt;0,"D",IF(LV4=0,""))))))</f>
        <v>A</v>
      </c>
      <c r="LX4" s="176"/>
      <c r="LY4" s="113"/>
      <c r="LZ4" s="114"/>
      <c r="MA4" s="181">
        <f>IF(COUNT(MA5:MA6)=0,"",SUM(MA5:MA6)/COUNT(MA5:MA6))</f>
        <v>4</v>
      </c>
      <c r="MB4" s="205" t="str">
        <f t="shared" ref="MB4:MB20" si="78">IF(MA4="","",IF(MA4&gt;3.7,"A",IF(MA4&gt;2.8,"B",IF(MA4&gt;1.5,"C",IF(MA4&gt;0,"D",IF(MA4=0,""))))))</f>
        <v>A</v>
      </c>
      <c r="MC4" s="181">
        <f>IF(COUNT(MC5:MC6)=0,"",SUM(MC5:MC6)/COUNT(MC5:MC6))</f>
        <v>3.75</v>
      </c>
      <c r="MD4" s="206" t="str">
        <f t="shared" ref="MD4:MD20" si="79">IF(MC4="","",IF(MC4&gt;3.7,"A",IF(MC4&gt;2.8,"B",IF(MC4&gt;1.5,"C",IF(MC4&gt;0,"D",IF(MC4=0,""))))))</f>
        <v>A</v>
      </c>
      <c r="ME4" s="216"/>
      <c r="MF4" s="126"/>
      <c r="MG4" s="127"/>
      <c r="MH4" s="181">
        <f>IF(COUNT(MH5:MH6)=0,"",SUM(MH5:MH6)/COUNT(MH5:MH6))</f>
        <v>2</v>
      </c>
      <c r="MI4" s="182" t="str">
        <f t="shared" ref="MI4:MI20" si="80">IF(MH4="","",IF(MH4&gt;3.7,"A",IF(MH4&gt;2.8,"B",IF(MH4&gt;1.5,"C",IF(MH4&gt;0,"D",IF(MH4=0,""))))))</f>
        <v>C</v>
      </c>
      <c r="MJ4" s="165"/>
      <c r="MK4" s="126"/>
      <c r="ML4" s="127"/>
      <c r="MM4" s="181">
        <f>IF(COUNT(MM5:MM6)=0,"",SUM(MM5:MM6)/COUNT(MM5:MM6))</f>
        <v>4</v>
      </c>
      <c r="MN4" s="198" t="str">
        <f t="shared" ref="MN4:MN20" si="81">IF(MM4="","",IF(MM4&gt;3.7,"A",IF(MM4&gt;2.8,"B",IF(MM4&gt;1.5,"C",IF(MM4&gt;0,"D",IF(MM4=0,""))))))</f>
        <v>A</v>
      </c>
      <c r="MO4" s="176"/>
      <c r="MP4" s="113"/>
      <c r="MQ4" s="114"/>
      <c r="MR4" s="181">
        <f>IF(COUNT(MR5:MR6)=0,"",SUM(MR5:MR6)/COUNT(MR5:MR6))</f>
        <v>4</v>
      </c>
      <c r="MS4" s="205" t="str">
        <f t="shared" ref="MS4:MS20" si="82">IF(MR4="","",IF(MR4&gt;3.7,"A",IF(MR4&gt;2.8,"B",IF(MR4&gt;1.5,"C",IF(MR4&gt;0,"D",IF(MR4=0,""))))))</f>
        <v>A</v>
      </c>
      <c r="MT4" s="181">
        <f>IF(COUNT(MT5:MT6)=0,"",SUM(MT5:MT6)/COUNT(MT5:MT6))</f>
        <v>3.5</v>
      </c>
      <c r="MU4" s="206" t="str">
        <f t="shared" ref="MU4:MU20" si="83">IF(MT4="","",IF(MT4&gt;3.7,"A",IF(MT4&gt;2.8,"B",IF(MT4&gt;1.5,"C",IF(MT4&gt;0,"D",IF(MT4=0,""))))))</f>
        <v>B</v>
      </c>
      <c r="MV4" s="216"/>
      <c r="MW4" s="126"/>
      <c r="MX4" s="127"/>
      <c r="MY4" s="181">
        <f>IF(COUNT(MY5:MY6)=0,"",SUM(MY5:MY6)/COUNT(MY5:MY6))</f>
        <v>2</v>
      </c>
      <c r="MZ4" s="182" t="str">
        <f t="shared" ref="MZ4:MZ20" si="84">IF(MY4="","",IF(MY4&gt;3.7,"A",IF(MY4&gt;2.8,"B",IF(MY4&gt;1.5,"C",IF(MY4&gt;0,"D",IF(MY4=0,""))))))</f>
        <v>C</v>
      </c>
      <c r="NA4" s="165"/>
      <c r="NB4" s="126"/>
      <c r="NC4" s="127"/>
      <c r="ND4" s="181">
        <f>IF(COUNT(ND5:ND6)=0,"",SUM(ND5:ND6)/COUNT(ND5:ND6))</f>
        <v>4</v>
      </c>
      <c r="NE4" s="198" t="str">
        <f t="shared" ref="NE4:NE20" si="85">IF(ND4="","",IF(ND4&gt;3.7,"A",IF(ND4&gt;2.8,"B",IF(ND4&gt;1.5,"C",IF(ND4&gt;0,"D",IF(ND4=0,""))))))</f>
        <v>A</v>
      </c>
      <c r="NF4" s="176"/>
      <c r="NG4" s="113"/>
      <c r="NH4" s="114"/>
      <c r="NI4" s="181">
        <f>IF(COUNT(NI5:NI6)=0,"",SUM(NI5:NI6)/COUNT(NI5:NI6))</f>
        <v>4</v>
      </c>
      <c r="NJ4" s="205" t="str">
        <f t="shared" ref="NJ4:NJ20" si="86">IF(NI4="","",IF(NI4&gt;3.7,"A",IF(NI4&gt;2.8,"B",IF(NI4&gt;1.5,"C",IF(NI4&gt;0,"D",IF(NI4=0,""))))))</f>
        <v>A</v>
      </c>
      <c r="NK4" s="181">
        <f>IF(COUNT(NK5:NK6)=0,"",SUM(NK5:NK6)/COUNT(NK5:NK6))</f>
        <v>3.5</v>
      </c>
      <c r="NL4" s="206" t="str">
        <f t="shared" ref="NL4:NL20" si="87">IF(NK4="","",IF(NK4&gt;3.7,"A",IF(NK4&gt;2.8,"B",IF(NK4&gt;1.5,"C",IF(NK4&gt;0,"D",IF(NK4=0,""))))))</f>
        <v>B</v>
      </c>
      <c r="NM4" s="216"/>
      <c r="NN4" s="126"/>
      <c r="NO4" s="127"/>
      <c r="NP4" s="181">
        <f>IF(COUNT(NP5:NP6)=0,"",SUM(NP5:NP6)/COUNT(NP5:NP6))</f>
        <v>3</v>
      </c>
      <c r="NQ4" s="182" t="str">
        <f t="shared" ref="NQ4:NQ20" si="88">IF(NP4="","",IF(NP4&gt;3.7,"A",IF(NP4&gt;2.8,"B",IF(NP4&gt;1.5,"C",IF(NP4&gt;0,"D",IF(NP4=0,""))))))</f>
        <v>B</v>
      </c>
      <c r="NR4" s="165"/>
      <c r="NS4" s="126"/>
      <c r="NT4" s="127"/>
      <c r="NU4" s="181">
        <f>IF(COUNT(NU5:NU6)=0,"",SUM(NU5:NU6)/COUNT(NU5:NU6))</f>
        <v>3</v>
      </c>
      <c r="NV4" s="198" t="str">
        <f t="shared" ref="NV4:NV20" si="89">IF(NU4="","",IF(NU4&gt;3.7,"A",IF(NU4&gt;2.8,"B",IF(NU4&gt;1.5,"C",IF(NU4&gt;0,"D",IF(NU4=0,""))))))</f>
        <v>B</v>
      </c>
      <c r="NW4" s="176"/>
      <c r="NX4" s="113"/>
      <c r="NY4" s="114"/>
      <c r="NZ4" s="181">
        <f>IF(COUNT(NZ5:NZ6)=0,"",SUM(NZ5:NZ6)/COUNT(NZ5:NZ6))</f>
        <v>4</v>
      </c>
      <c r="OA4" s="205" t="str">
        <f t="shared" ref="OA4:OA20" si="90">IF(NZ4="","",IF(NZ4&gt;3.7,"A",IF(NZ4&gt;2.8,"B",IF(NZ4&gt;1.5,"C",IF(NZ4&gt;0,"D",IF(NZ4=0,""))))))</f>
        <v>A</v>
      </c>
      <c r="OB4" s="181">
        <f>IF(COUNT(OB5:OB6)=0,"",SUM(OB5:OB6)/COUNT(OB5:OB6))</f>
        <v>3.5</v>
      </c>
      <c r="OC4" s="206" t="str">
        <f t="shared" ref="OC4:OC20" si="91">IF(OB4="","",IF(OB4&gt;3.7,"A",IF(OB4&gt;2.8,"B",IF(OB4&gt;1.5,"C",IF(OB4&gt;0,"D",IF(OB4=0,""))))))</f>
        <v>B</v>
      </c>
      <c r="OD4" s="216"/>
      <c r="OE4" s="126"/>
      <c r="OF4" s="127"/>
      <c r="OG4" s="181">
        <f>IF(COUNT(OG5:OG6)=0,"",SUM(OG5:OG6)/COUNT(OG5:OG6))</f>
        <v>3</v>
      </c>
      <c r="OH4" s="182" t="str">
        <f t="shared" ref="OH4:OH20" si="92">IF(OG4="","",IF(OG4&gt;3.7,"A",IF(OG4&gt;2.8,"B",IF(OG4&gt;1.5,"C",IF(OG4&gt;0,"D",IF(OG4=0,""))))))</f>
        <v>B</v>
      </c>
      <c r="OI4" s="165"/>
      <c r="OJ4" s="126"/>
      <c r="OK4" s="127"/>
      <c r="OL4" s="181">
        <f>IF(COUNT(OL5:OL6)=0,"",SUM(OL5:OL6)/COUNT(OL5:OL6))</f>
        <v>4</v>
      </c>
      <c r="OM4" s="198" t="str">
        <f t="shared" ref="OM4:OM20" si="93">IF(OL4="","",IF(OL4&gt;3.7,"A",IF(OL4&gt;2.8,"B",IF(OL4&gt;1.5,"C",IF(OL4&gt;0,"D",IF(OL4=0,""))))))</f>
        <v>A</v>
      </c>
      <c r="ON4" s="176"/>
      <c r="OO4" s="113"/>
      <c r="OP4" s="114"/>
      <c r="OQ4" s="181">
        <f>IF(COUNT(OQ5:OQ6)=0,"",SUM(OQ5:OQ6)/COUNT(OQ5:OQ6))</f>
        <v>4</v>
      </c>
      <c r="OR4" s="205" t="str">
        <f t="shared" ref="OR4:OR20" si="94">IF(OQ4="","",IF(OQ4&gt;3.7,"A",IF(OQ4&gt;2.8,"B",IF(OQ4&gt;1.5,"C",IF(OQ4&gt;0,"D",IF(OQ4=0,""))))))</f>
        <v>A</v>
      </c>
      <c r="OS4" s="181">
        <f>IF(COUNT(OS5:OS6)=0,"",SUM(OS5:OS6)/COUNT(OS5:OS6))</f>
        <v>3.75</v>
      </c>
      <c r="OT4" s="206" t="str">
        <f t="shared" ref="OT4:OT20" si="95">IF(OS4="","",IF(OS4&gt;3.7,"A",IF(OS4&gt;2.8,"B",IF(OS4&gt;1.5,"C",IF(OS4&gt;0,"D",IF(OS4=0,""))))))</f>
        <v>A</v>
      </c>
      <c r="OU4" s="216"/>
      <c r="OV4" s="126"/>
      <c r="OW4" s="127"/>
      <c r="OX4" s="181">
        <f>IF(COUNT(OX5:OX6)=0,"",SUM(OX5:OX6)/COUNT(OX5:OX6))</f>
        <v>3</v>
      </c>
      <c r="OY4" s="182" t="str">
        <f t="shared" ref="OY4:OY20" si="96">IF(OX4="","",IF(OX4&gt;3.7,"A",IF(OX4&gt;2.8,"B",IF(OX4&gt;1.5,"C",IF(OX4&gt;0,"D",IF(OX4=0,""))))))</f>
        <v>B</v>
      </c>
      <c r="OZ4" s="165"/>
      <c r="PA4" s="126"/>
      <c r="PB4" s="127"/>
      <c r="PC4" s="181">
        <f>IF(COUNT(PC5:PC6)=0,"",SUM(PC5:PC6)/COUNT(PC5:PC6))</f>
        <v>4</v>
      </c>
      <c r="PD4" s="198" t="str">
        <f t="shared" ref="PD4:PD20" si="97">IF(PC4="","",IF(PC4&gt;3.7,"A",IF(PC4&gt;2.8,"B",IF(PC4&gt;1.5,"C",IF(PC4&gt;0,"D",IF(PC4=0,""))))))</f>
        <v>A</v>
      </c>
      <c r="PE4" s="176"/>
      <c r="PF4" s="113"/>
      <c r="PG4" s="114"/>
      <c r="PH4" s="181">
        <f>IF(COUNT(PH5:PH6)=0,"",SUM(PH5:PH6)/COUNT(PH5:PH6))</f>
        <v>4</v>
      </c>
      <c r="PI4" s="205" t="str">
        <f t="shared" ref="PI4:PI20" si="98">IF(PH4="","",IF(PH4&gt;3.7,"A",IF(PH4&gt;2.8,"B",IF(PH4&gt;1.5,"C",IF(PH4&gt;0,"D",IF(PH4=0,""))))))</f>
        <v>A</v>
      </c>
      <c r="PJ4" s="181">
        <f>IF(COUNT(PJ5:PJ6)=0,"",SUM(PJ5:PJ6)/COUNT(PJ5:PJ6))</f>
        <v>3.75</v>
      </c>
      <c r="PK4" s="206" t="str">
        <f t="shared" ref="PK4:PK20" si="99">IF(PJ4="","",IF(PJ4&gt;3.7,"A",IF(PJ4&gt;2.8,"B",IF(PJ4&gt;1.5,"C",IF(PJ4&gt;0,"D",IF(PJ4=0,""))))))</f>
        <v>A</v>
      </c>
      <c r="PL4" s="216"/>
      <c r="PM4" s="126"/>
      <c r="PN4" s="127"/>
      <c r="PO4" s="181" t="str">
        <f>IF(COUNT(PO5:PO6)=0,"",SUM(PO5:PO6)/COUNT(PO5:PO6))</f>
        <v/>
      </c>
      <c r="PP4" s="182" t="str">
        <f t="shared" ref="PP4:PP20" si="100">IF(PO4="","",IF(PO4&gt;3.7,"A",IF(PO4&gt;2.8,"B",IF(PO4&gt;1.5,"C",IF(PO4&gt;0,"D",IF(PO4=0,""))))))</f>
        <v/>
      </c>
      <c r="PQ4" s="165"/>
      <c r="PR4" s="126"/>
      <c r="PS4" s="127"/>
      <c r="PT4" s="181">
        <f>IF(COUNT(PT5:PT6)=0,"",SUM(PT5:PT6)/COUNT(PT5:PT6))</f>
        <v>4</v>
      </c>
      <c r="PU4" s="198" t="str">
        <f t="shared" ref="PU4:PU20" si="101">IF(PT4="","",IF(PT4&gt;3.7,"A",IF(PT4&gt;2.8,"B",IF(PT4&gt;1.5,"C",IF(PT4&gt;0,"D",IF(PT4=0,""))))))</f>
        <v>A</v>
      </c>
      <c r="PV4" s="176"/>
      <c r="PW4" s="113"/>
      <c r="PX4" s="114"/>
      <c r="PY4" s="181" t="str">
        <f>IF(COUNT(PY5:PY6)=0,"",SUM(PY5:PY6)/COUNT(PY5:PY6))</f>
        <v/>
      </c>
      <c r="PZ4" s="205" t="str">
        <f t="shared" ref="PZ4:PZ20" si="102">IF(PY4="","",IF(PY4&gt;3.7,"A",IF(PY4&gt;2.8,"B",IF(PY4&gt;1.5,"C",IF(PY4&gt;0,"D",IF(PY4=0,""))))))</f>
        <v/>
      </c>
      <c r="QA4" s="181">
        <f>IF(COUNT(QA5:QA6)=0,"",SUM(QA5:QA6)/COUNT(QA5:QA6))</f>
        <v>4</v>
      </c>
      <c r="QB4" s="206" t="str">
        <f t="shared" ref="QB4:QB20" si="103">IF(QA4="","",IF(QA4&gt;3.7,"A",IF(QA4&gt;2.8,"B",IF(QA4&gt;1.5,"C",IF(QA4&gt;0,"D",IF(QA4=0,""))))))</f>
        <v>A</v>
      </c>
      <c r="QC4" s="216"/>
      <c r="QD4" s="126"/>
      <c r="QE4" s="127"/>
      <c r="QF4" s="181">
        <f>IF(COUNT(QF5:QF6)=0,"",SUM(QF5:QF6)/COUNT(QF5:QF6))</f>
        <v>2</v>
      </c>
      <c r="QG4" s="182" t="str">
        <f t="shared" ref="QG4:QG20" si="104">IF(QF4="","",IF(QF4&gt;3.7,"A",IF(QF4&gt;2.8,"B",IF(QF4&gt;1.5,"C",IF(QF4&gt;0,"D",IF(QF4=0,""))))))</f>
        <v>C</v>
      </c>
      <c r="QH4" s="165"/>
      <c r="QI4" s="126"/>
      <c r="QJ4" s="127"/>
      <c r="QK4" s="181">
        <f>IF(COUNT(QK5:QK6)=0,"",SUM(QK5:QK6)/COUNT(QK5:QK6))</f>
        <v>4</v>
      </c>
      <c r="QL4" s="198" t="str">
        <f t="shared" ref="QL4:QL20" si="105">IF(QK4="","",IF(QK4&gt;3.7,"A",IF(QK4&gt;2.8,"B",IF(QK4&gt;1.5,"C",IF(QK4&gt;0,"D",IF(QK4=0,""))))))</f>
        <v>A</v>
      </c>
      <c r="QM4" s="176"/>
      <c r="QN4" s="113"/>
      <c r="QO4" s="114"/>
      <c r="QP4" s="181">
        <f>IF(COUNT(QP5:QP6)=0,"",SUM(QP5:QP6)/COUNT(QP5:QP6))</f>
        <v>4</v>
      </c>
      <c r="QQ4" s="205" t="str">
        <f t="shared" ref="QQ4:QQ20" si="106">IF(QP4="","",IF(QP4&gt;3.7,"A",IF(QP4&gt;2.8,"B",IF(QP4&gt;1.5,"C",IF(QP4&gt;0,"D",IF(QP4=0,""))))))</f>
        <v>A</v>
      </c>
      <c r="QR4" s="181">
        <f>IF(COUNT(QR5:QR6)=0,"",SUM(QR5:QR6)/COUNT(QR5:QR6))</f>
        <v>3.5</v>
      </c>
      <c r="QS4" s="206" t="str">
        <f t="shared" ref="QS4:QS20" si="107">IF(QR4="","",IF(QR4&gt;3.7,"A",IF(QR4&gt;2.8,"B",IF(QR4&gt;1.5,"C",IF(QR4&gt;0,"D",IF(QR4=0,""))))))</f>
        <v>B</v>
      </c>
      <c r="QT4" s="126"/>
      <c r="QU4" s="126"/>
      <c r="QV4" s="127"/>
      <c r="QW4" s="93">
        <f>IF(COUNT(QW5:QW6)=0,"",SUM(QW5:QW6)/COUNT(QW5:QW6))</f>
        <v>2</v>
      </c>
      <c r="QX4" s="94" t="str">
        <f t="shared" ref="QX4:QX20" si="108">IF(QW4="","",IF(QW4&gt;3.7,"A",IF(QW4&gt;2.8,"B",IF(QW4&gt;1.5,"C",IF(QW4&gt;0,"D",IF(QW4=0,""))))))</f>
        <v>C</v>
      </c>
      <c r="QY4" s="128"/>
      <c r="QZ4" s="126"/>
      <c r="RA4" s="127"/>
      <c r="RB4" s="93">
        <f>IF(COUNT(RB5:RB6)=0,"",SUM(RB5:RB6)/COUNT(RB5:RB6))</f>
        <v>2</v>
      </c>
      <c r="RC4" s="95" t="str">
        <f t="shared" ref="RC4:RC20" si="109">IF(RB4="","",IF(RB4&gt;3.7,"A",IF(RB4&gt;2.8,"B",IF(RB4&gt;1.5,"C",IF(RB4&gt;0,"D",IF(RB4=0,""))))))</f>
        <v>C</v>
      </c>
      <c r="RD4" s="115"/>
      <c r="RE4" s="113"/>
      <c r="RF4" s="114"/>
      <c r="RG4" s="93">
        <f>IF(COUNT(RG5:RG6)=0,"",SUM(RG5:RG6)/COUNT(RG5:RG6))</f>
        <v>4</v>
      </c>
      <c r="RH4" s="96" t="str">
        <f t="shared" ref="RH4:RH20" si="110">IF(RG4="","",IF(RG4&gt;3.7,"A",IF(RG4&gt;2.8,"B",IF(RG4&gt;1.5,"C",IF(RG4&gt;0,"D",IF(RG4=0,""))))))</f>
        <v>A</v>
      </c>
      <c r="RI4" s="93">
        <f>IF(COUNT(RI5:RI6)=0,"",SUM(RI5:RI6)/COUNT(RI5:RI6))</f>
        <v>3</v>
      </c>
      <c r="RJ4" s="97" t="str">
        <f t="shared" ref="RJ4:RJ20" si="111">IF(RI4="","",IF(RI4&gt;3.7,"A",IF(RI4&gt;2.8,"B",IF(RI4&gt;1.5,"C",IF(RI4&gt;0,"D",IF(RI4=0,""))))))</f>
        <v>B</v>
      </c>
      <c r="RK4" s="126"/>
      <c r="RL4" s="126"/>
      <c r="RM4" s="127"/>
      <c r="RN4" s="93" t="str">
        <f>IF(COUNT(RN5:RN6)=0,"",SUM(RN5:RN6)/COUNT(RN5:RN6))</f>
        <v/>
      </c>
      <c r="RO4" s="94" t="str">
        <f t="shared" ref="RO4:RO20" si="112">IF(RN4="","",IF(RN4&gt;3.7,"A",IF(RN4&gt;2.8,"B",IF(RN4&gt;1.5,"C",IF(RN4&gt;0,"D",IF(RN4=0,""))))))</f>
        <v/>
      </c>
      <c r="RP4" s="128"/>
      <c r="RQ4" s="126"/>
      <c r="RR4" s="127"/>
      <c r="RS4" s="93" t="str">
        <f>IF(COUNT(RS5:RS6)=0,"",SUM(RS5:RS6)/COUNT(RS5:RS6))</f>
        <v/>
      </c>
      <c r="RT4" s="95" t="str">
        <f t="shared" ref="RT4:RT20" si="113">IF(RS4="","",IF(RS4&gt;3.7,"A",IF(RS4&gt;2.8,"B",IF(RS4&gt;1.5,"C",IF(RS4&gt;0,"D",IF(RS4=0,""))))))</f>
        <v/>
      </c>
      <c r="RU4" s="115"/>
      <c r="RV4" s="113"/>
      <c r="RW4" s="114"/>
      <c r="RX4" s="93" t="str">
        <f>IF(COUNT(RX5:RX6)=0,"",SUM(RX5:RX6)/COUNT(RX5:RX6))</f>
        <v/>
      </c>
      <c r="RY4" s="96" t="str">
        <f t="shared" ref="RY4:RY20" si="114">IF(RX4="","",IF(RX4&gt;3.7,"A",IF(RX4&gt;2.8,"B",IF(RX4&gt;1.5,"C",IF(RX4&gt;0,"D",IF(RX4=0,""))))))</f>
        <v/>
      </c>
      <c r="RZ4" s="93" t="str">
        <f>IF(COUNT(RZ5:RZ6)=0,"",SUM(RZ5:RZ6)/COUNT(RZ5:RZ6))</f>
        <v/>
      </c>
      <c r="SA4" s="97" t="str">
        <f t="shared" ref="SA4:SA20" si="115">IF(RZ4="","",IF(RZ4&gt;3.7,"A",IF(RZ4&gt;2.8,"B",IF(RZ4&gt;1.5,"C",IF(RZ4&gt;0,"D",IF(RZ4=0,""))))))</f>
        <v/>
      </c>
      <c r="SB4" s="126"/>
      <c r="SC4" s="126"/>
      <c r="SD4" s="127"/>
      <c r="SE4" s="93" t="str">
        <f>IF(COUNT(SE5:SE6)=0,"",SUM(SE5:SE6)/COUNT(SE5:SE6))</f>
        <v/>
      </c>
      <c r="SF4" s="94" t="str">
        <f t="shared" ref="SF4:SF20" si="116">IF(SE4="","",IF(SE4&gt;3.7,"A",IF(SE4&gt;2.8,"B",IF(SE4&gt;1.5,"C",IF(SE4&gt;0,"D",IF(SE4=0,""))))))</f>
        <v/>
      </c>
      <c r="SG4" s="128"/>
      <c r="SH4" s="126"/>
      <c r="SI4" s="127"/>
      <c r="SJ4" s="93" t="str">
        <f>IF(COUNT(SJ5:SJ6)=0,"",SUM(SJ5:SJ6)/COUNT(SJ5:SJ6))</f>
        <v/>
      </c>
      <c r="SK4" s="95" t="str">
        <f t="shared" ref="SK4:SK20" si="117">IF(SJ4="","",IF(SJ4&gt;3.7,"A",IF(SJ4&gt;2.8,"B",IF(SJ4&gt;1.5,"C",IF(SJ4&gt;0,"D",IF(SJ4=0,""))))))</f>
        <v/>
      </c>
      <c r="SL4" s="115"/>
      <c r="SM4" s="113"/>
      <c r="SN4" s="114"/>
      <c r="SO4" s="93" t="str">
        <f>IF(COUNT(SO5:SO6)=0,"",SUM(SO5:SO6)/COUNT(SO5:SO6))</f>
        <v/>
      </c>
      <c r="SP4" s="96" t="str">
        <f t="shared" ref="SP4:SP20" si="118">IF(SO4="","",IF(SO4&gt;3.7,"A",IF(SO4&gt;2.8,"B",IF(SO4&gt;1.5,"C",IF(SO4&gt;0,"D",IF(SO4=0,""))))))</f>
        <v/>
      </c>
      <c r="SQ4" s="93" t="str">
        <f>IF(COUNT(SQ5:SQ6)=0,"",SUM(SQ5:SQ6)/COUNT(SQ5:SQ6))</f>
        <v/>
      </c>
      <c r="SR4" s="97" t="str">
        <f t="shared" ref="SR4:SR20" si="119">IF(SQ4="","",IF(SQ4&gt;3.7,"A",IF(SQ4&gt;2.8,"B",IF(SQ4&gt;1.5,"C",IF(SQ4&gt;0,"D",IF(SQ4=0,""))))))</f>
        <v/>
      </c>
      <c r="SS4" s="126"/>
      <c r="ST4" s="126"/>
      <c r="SU4" s="127"/>
      <c r="SV4" s="93" t="str">
        <f>IF(COUNT(SV5:SV6)=0,"",SUM(SV5:SV6)/COUNT(SV5:SV6))</f>
        <v/>
      </c>
      <c r="SW4" s="94" t="str">
        <f t="shared" ref="SW4:SW20" si="120">IF(SV4="","",IF(SV4&gt;3.7,"A",IF(SV4&gt;2.8,"B",IF(SV4&gt;1.5,"C",IF(SV4&gt;0,"D",IF(SV4=0,""))))))</f>
        <v/>
      </c>
      <c r="SX4" s="128"/>
      <c r="SY4" s="126"/>
      <c r="SZ4" s="127"/>
      <c r="TA4" s="93" t="str">
        <f>IF(COUNT(TA5:TA6)=0,"",SUM(TA5:TA6)/COUNT(TA5:TA6))</f>
        <v/>
      </c>
      <c r="TB4" s="95" t="str">
        <f t="shared" ref="TB4:TB20" si="121">IF(TA4="","",IF(TA4&gt;3.7,"A",IF(TA4&gt;2.8,"B",IF(TA4&gt;1.5,"C",IF(TA4&gt;0,"D",IF(TA4=0,""))))))</f>
        <v/>
      </c>
      <c r="TC4" s="115"/>
      <c r="TD4" s="113"/>
      <c r="TE4" s="114"/>
      <c r="TF4" s="93" t="str">
        <f>IF(COUNT(TF5:TF6)=0,"",SUM(TF5:TF6)/COUNT(TF5:TF6))</f>
        <v/>
      </c>
      <c r="TG4" s="96" t="str">
        <f t="shared" ref="TG4:TG20" si="122">IF(TF4="","",IF(TF4&gt;3.7,"A",IF(TF4&gt;2.8,"B",IF(TF4&gt;1.5,"C",IF(TF4&gt;0,"D",IF(TF4=0,""))))))</f>
        <v/>
      </c>
      <c r="TH4" s="93" t="str">
        <f>IF(COUNT(TH5:TH6)=0,"",SUM(TH5:TH6)/COUNT(TH5:TH6))</f>
        <v/>
      </c>
      <c r="TI4" s="97" t="str">
        <f t="shared" ref="TI4:TI20" si="123">IF(TH4="","",IF(TH4&gt;3.7,"A",IF(TH4&gt;2.8,"B",IF(TH4&gt;1.5,"C",IF(TH4&gt;0,"D",IF(TH4=0,""))))))</f>
        <v/>
      </c>
      <c r="TJ4" s="126"/>
      <c r="TK4" s="126"/>
      <c r="TL4" s="127"/>
      <c r="TM4" s="93" t="str">
        <f>IF(COUNT(TM5:TM6)=0,"",SUM(TM5:TM6)/COUNT(TM5:TM6))</f>
        <v/>
      </c>
      <c r="TN4" s="94" t="str">
        <f t="shared" ref="TN4:TN20" si="124">IF(TM4="","",IF(TM4&gt;3.7,"A",IF(TM4&gt;2.8,"B",IF(TM4&gt;1.5,"C",IF(TM4&gt;0,"D",IF(TM4=0,""))))))</f>
        <v/>
      </c>
      <c r="TO4" s="128"/>
      <c r="TP4" s="126"/>
      <c r="TQ4" s="127"/>
      <c r="TR4" s="93" t="str">
        <f>IF(COUNT(TR5:TR6)=0,"",SUM(TR5:TR6)/COUNT(TR5:TR6))</f>
        <v/>
      </c>
      <c r="TS4" s="95" t="str">
        <f t="shared" ref="TS4:TS20" si="125">IF(TR4="","",IF(TR4&gt;3.7,"A",IF(TR4&gt;2.8,"B",IF(TR4&gt;1.5,"C",IF(TR4&gt;0,"D",IF(TR4=0,""))))))</f>
        <v/>
      </c>
      <c r="TT4" s="115"/>
      <c r="TU4" s="113"/>
      <c r="TV4" s="114"/>
      <c r="TW4" s="93" t="str">
        <f>IF(COUNT(TW5:TW6)=0,"",SUM(TW5:TW6)/COUNT(TW5:TW6))</f>
        <v/>
      </c>
      <c r="TX4" s="96" t="str">
        <f t="shared" ref="TX4:TX20" si="126">IF(TW4="","",IF(TW4&gt;3.7,"A",IF(TW4&gt;2.8,"B",IF(TW4&gt;1.5,"C",IF(TW4&gt;0,"D",IF(TW4=0,""))))))</f>
        <v/>
      </c>
      <c r="TY4" s="93" t="str">
        <f>IF(COUNT(TY5:TY6)=0,"",SUM(TY5:TY6)/COUNT(TY5:TY6))</f>
        <v/>
      </c>
      <c r="TZ4" s="97" t="str">
        <f t="shared" ref="TZ4:TZ20" si="127">IF(TY4="","",IF(TY4&gt;3.7,"A",IF(TY4&gt;2.8,"B",IF(TY4&gt;1.5,"C",IF(TY4&gt;0,"D",IF(TY4=0,""))))))</f>
        <v/>
      </c>
    </row>
    <row r="5" spans="1:546" x14ac:dyDescent="0.25">
      <c r="A5" s="240" t="s">
        <v>12</v>
      </c>
      <c r="B5" s="241"/>
      <c r="C5" s="99"/>
      <c r="D5" s="100"/>
      <c r="E5" s="101" t="s">
        <v>25</v>
      </c>
      <c r="F5" s="183">
        <f>IFERROR((((COUNTIF('Elève (6ème4)'!C5:E5,"A"))*4)+((COUNTIF('Elève (6ème4)'!C5:E5,"B"))*3)+((COUNTIF('Elève (6ème4)'!C5:E5,"C"))*2)+((COUNTIF('Elève (6ème4)'!C5:E5,"D"))*1))/(COUNTA(C5:E5)),"")</f>
        <v>2</v>
      </c>
      <c r="G5" s="184" t="str">
        <f t="shared" si="0"/>
        <v>C</v>
      </c>
      <c r="H5" s="99" t="s">
        <v>23</v>
      </c>
      <c r="I5" s="100"/>
      <c r="J5" s="101"/>
      <c r="K5" s="183">
        <f>IFERROR((((COUNTIF('Elève (6ème4)'!H5:J5,"A"))*4)+((COUNTIF('Elève (6ème4)'!H5:J5,"B"))*3)+((COUNTIF('Elève (6ème4)'!H5:J5,"C"))*2)+((COUNTIF('Elève (6ème4)'!H5:J5,"D"))*1))/(COUNTA(H5:J5)),"")</f>
        <v>4</v>
      </c>
      <c r="L5" s="184" t="str">
        <f t="shared" si="1"/>
        <v>A</v>
      </c>
      <c r="M5" s="99"/>
      <c r="N5" s="100"/>
      <c r="O5" s="101"/>
      <c r="P5" s="183" t="str">
        <f>IFERROR((((COUNTIF('Elève (6ème4)'!M5:O5,"A"))*4)+((COUNTIF('Elève (6ème4)'!M5:O5,"B"))*3)+((COUNTIF('Elève (6ème4)'!M5:O5,"C"))*2)+((COUNTIF('Elève (6ème4)'!M5:O5,"D"))*1))/(COUNTA(M5:O5)),"")</f>
        <v/>
      </c>
      <c r="Q5" s="184" t="str">
        <f t="shared" si="2"/>
        <v/>
      </c>
      <c r="R5" s="183">
        <f>IF(COUNT(F5,K5,P5)=0,"",SUM(F5,K5,P5)/COUNT(F5,K5,P5))</f>
        <v>3</v>
      </c>
      <c r="S5" s="207" t="str">
        <f t="shared" si="3"/>
        <v>B</v>
      </c>
      <c r="T5" s="105"/>
      <c r="U5" s="100"/>
      <c r="V5" s="101" t="s">
        <v>25</v>
      </c>
      <c r="W5" s="183">
        <f>IFERROR((((COUNTIF('Elève (6ème4)'!T5:V5,"A"))*4)+((COUNTIF('Elève (6ème4)'!T5:V5,"B"))*3)+((COUNTIF('Elève (6ème4)'!T5:V5,"C"))*2)+((COUNTIF('Elève (6ème4)'!T5:V5,"D"))*1))/(COUNTA(T5:V5)),"")</f>
        <v>2</v>
      </c>
      <c r="X5" s="184" t="str">
        <f t="shared" si="4"/>
        <v>C</v>
      </c>
      <c r="Y5" s="99" t="s">
        <v>23</v>
      </c>
      <c r="Z5" s="100"/>
      <c r="AA5" s="101"/>
      <c r="AB5" s="183">
        <f>IFERROR((((COUNTIF('Elève (6ème4)'!Y5:AA5,"A"))*4)+((COUNTIF('Elève (6ème4)'!Y5:AA5,"B"))*3)+((COUNTIF('Elève (6ème4)'!Y5:AA5,"C"))*2)+((COUNTIF('Elève (6ème4)'!Y5:AA5,"D"))*1))/(COUNTA(Y5:AA5)),"")</f>
        <v>4</v>
      </c>
      <c r="AC5" s="184" t="str">
        <f t="shared" si="5"/>
        <v>A</v>
      </c>
      <c r="AD5" s="99"/>
      <c r="AE5" s="100"/>
      <c r="AF5" s="101"/>
      <c r="AG5" s="183" t="str">
        <f>IFERROR((((COUNTIF('Elève (6ème4)'!AD5:AF5,"A"))*4)+((COUNTIF('Elève (6ème4)'!AD5:AF5,"B"))*3)+((COUNTIF('Elève (6ème4)'!AD5:AF5,"C"))*2)+((COUNTIF('Elève (6ème4)'!AD5:AF5,"D"))*1))/(COUNTA(AD5:AF5)),"")</f>
        <v/>
      </c>
      <c r="AH5" s="184" t="str">
        <f t="shared" si="6"/>
        <v/>
      </c>
      <c r="AI5" s="183">
        <f>IF(COUNT(W5,AB5,AG5)=0,"",SUM(W5,AB5,AG5)/COUNT(W5,AB5,AG5))</f>
        <v>3</v>
      </c>
      <c r="AJ5" s="207" t="str">
        <f t="shared" si="7"/>
        <v>B</v>
      </c>
      <c r="AK5" s="105"/>
      <c r="AL5" s="100"/>
      <c r="AM5" s="101" t="s">
        <v>25</v>
      </c>
      <c r="AN5" s="183">
        <f>IFERROR((((COUNTIF('Elève (6ème4)'!AK5:AM5,"A"))*4)+((COUNTIF('Elève (6ème4)'!AK5:AM5,"B"))*3)+((COUNTIF('Elève (6ème4)'!AK5:AM5,"C"))*2)+((COUNTIF('Elève (6ème4)'!AK5:AM5,"D"))*1))/(COUNTA(AK5:AM5)),"")</f>
        <v>2</v>
      </c>
      <c r="AO5" s="184" t="str">
        <f t="shared" si="8"/>
        <v>C</v>
      </c>
      <c r="AP5" s="99" t="s">
        <v>23</v>
      </c>
      <c r="AQ5" s="100"/>
      <c r="AR5" s="101"/>
      <c r="AS5" s="183">
        <f>IFERROR((((COUNTIF('Elève (6ème4)'!AP5:AR5,"A"))*4)+((COUNTIF('Elève (6ème4)'!AP5:AR5,"B"))*3)+((COUNTIF('Elève (6ème4)'!AP5:AR5,"C"))*2)+((COUNTIF('Elève (6ème4)'!AP5:AR5,"D"))*1))/(COUNTA(AP5:AR5)),"")</f>
        <v>4</v>
      </c>
      <c r="AT5" s="184" t="str">
        <f t="shared" si="9"/>
        <v>A</v>
      </c>
      <c r="AU5" s="99"/>
      <c r="AV5" s="100"/>
      <c r="AW5" s="101"/>
      <c r="AX5" s="183" t="str">
        <f>IFERROR((((COUNTIF('Elève (6ème4)'!AU5:AW5,"A"))*4)+((COUNTIF('Elève (6ème4)'!AU5:AW5,"B"))*3)+((COUNTIF('Elève (6ème4)'!AU5:AW5,"C"))*2)+((COUNTIF('Elève (6ème4)'!AU5:AW5,"D"))*1))/(COUNTA(AU5:AW5)),"")</f>
        <v/>
      </c>
      <c r="AY5" s="184" t="str">
        <f t="shared" si="10"/>
        <v/>
      </c>
      <c r="AZ5" s="183">
        <f>IF(COUNT(AN5,AS5,AX5)=0,"",SUM(AN5,AS5,AX5)/COUNT(AN5,AS5,AX5))</f>
        <v>3</v>
      </c>
      <c r="BA5" s="207" t="str">
        <f t="shared" si="11"/>
        <v>B</v>
      </c>
      <c r="BB5" s="105"/>
      <c r="BC5" s="100"/>
      <c r="BD5" s="101" t="s">
        <v>24</v>
      </c>
      <c r="BE5" s="183">
        <f>IFERROR((((COUNTIF('Elève (6ème4)'!BB5:BD5,"A"))*4)+((COUNTIF('Elève (6ème4)'!BB5:BD5,"B"))*3)+((COUNTIF('Elève (6ème4)'!BB5:BD5,"C"))*2)+((COUNTIF('Elève (6ème4)'!BB5:BD5,"D"))*1))/(COUNTA(BB5:BD5)),"")</f>
        <v>3</v>
      </c>
      <c r="BF5" s="184" t="str">
        <f t="shared" si="12"/>
        <v>B</v>
      </c>
      <c r="BG5" s="99" t="s">
        <v>23</v>
      </c>
      <c r="BH5" s="100"/>
      <c r="BI5" s="101"/>
      <c r="BJ5" s="183">
        <f>IFERROR((((COUNTIF('Elève (6ème4)'!BG5:BI5,"A"))*4)+((COUNTIF('Elève (6ème4)'!BG5:BI5,"B"))*3)+((COUNTIF('Elève (6ème4)'!BG5:BI5,"C"))*2)+((COUNTIF('Elève (6ème4)'!BG5:BI5,"D"))*1))/(COUNTA(BG5:BI5)),"")</f>
        <v>4</v>
      </c>
      <c r="BK5" s="184" t="str">
        <f t="shared" si="13"/>
        <v>A</v>
      </c>
      <c r="BL5" s="99"/>
      <c r="BM5" s="100"/>
      <c r="BN5" s="101"/>
      <c r="BO5" s="183" t="str">
        <f>IFERROR((((COUNTIF('Elève (6ème4)'!BL5:BN5,"A"))*4)+((COUNTIF('Elève (6ème4)'!BL5:BN5,"B"))*3)+((COUNTIF('Elève (6ème4)'!BL5:BN5,"C"))*2)+((COUNTIF('Elève (6ème4)'!BL5:BN5,"D"))*1))/(COUNTA(BL5:BN5)),"")</f>
        <v/>
      </c>
      <c r="BP5" s="184" t="str">
        <f t="shared" si="14"/>
        <v/>
      </c>
      <c r="BQ5" s="183">
        <f>IF(COUNT(BE5,BJ5,BO5)=0,"",SUM(BE5,BJ5,BO5)/COUNT(BE5,BJ5,BO5))</f>
        <v>3.5</v>
      </c>
      <c r="BR5" s="207" t="str">
        <f t="shared" si="15"/>
        <v>B</v>
      </c>
      <c r="BS5" s="105"/>
      <c r="BT5" s="100"/>
      <c r="BU5" s="101" t="s">
        <v>25</v>
      </c>
      <c r="BV5" s="183">
        <f>IFERROR((((COUNTIF('Elève (6ème4)'!BS5:BU5,"A"))*4)+((COUNTIF('Elève (6ème4)'!BS5:BU5,"B"))*3)+((COUNTIF('Elève (6ème4)'!BS5:BU5,"C"))*2)+((COUNTIF('Elève (6ème4)'!BS5:BU5,"D"))*1))/(COUNTA(BS5:BU5)),"")</f>
        <v>2</v>
      </c>
      <c r="BW5" s="184" t="str">
        <f t="shared" si="16"/>
        <v>C</v>
      </c>
      <c r="BX5" s="99" t="s">
        <v>25</v>
      </c>
      <c r="BY5" s="100"/>
      <c r="BZ5" s="101"/>
      <c r="CA5" s="183">
        <f>IFERROR((((COUNTIF('Elève (6ème4)'!BX5:BZ5,"A"))*4)+((COUNTIF('Elève (6ème4)'!BX5:BZ5,"B"))*3)+((COUNTIF('Elève (6ème4)'!BX5:BZ5,"C"))*2)+((COUNTIF('Elève (6ème4)'!BX5:BZ5,"D"))*1))/(COUNTA(BX5:BZ5)),"")</f>
        <v>2</v>
      </c>
      <c r="CB5" s="184" t="str">
        <f t="shared" si="17"/>
        <v>C</v>
      </c>
      <c r="CC5" s="99"/>
      <c r="CD5" s="100"/>
      <c r="CE5" s="101"/>
      <c r="CF5" s="183" t="str">
        <f>IFERROR((((COUNTIF('Elève (6ème4)'!CC5:CE5,"A"))*4)+((COUNTIF('Elève (6ème4)'!CC5:CE5,"B"))*3)+((COUNTIF('Elève (6ème4)'!CC5:CE5,"C"))*2)+((COUNTIF('Elève (6ème4)'!CC5:CE5,"D"))*1))/(COUNTA(CC5:CE5)),"")</f>
        <v/>
      </c>
      <c r="CG5" s="184" t="str">
        <f t="shared" si="18"/>
        <v/>
      </c>
      <c r="CH5" s="183">
        <f>IF(COUNT(BV5,CA5,CF5)=0,"",SUM(BV5,CA5,CF5)/COUNT(BV5,CA5,CF5))</f>
        <v>2</v>
      </c>
      <c r="CI5" s="207" t="str">
        <f t="shared" si="19"/>
        <v>C</v>
      </c>
      <c r="CJ5" s="105"/>
      <c r="CK5" s="100"/>
      <c r="CL5" s="101" t="s">
        <v>25</v>
      </c>
      <c r="CM5" s="183">
        <f>IFERROR((((COUNTIF('Elève (6ème4)'!CJ5:CL5,"A"))*4)+((COUNTIF('Elève (6ème4)'!CJ5:CL5,"B"))*3)+((COUNTIF('Elève (6ème4)'!CJ5:CL5,"C"))*2)+((COUNTIF('Elève (6ème4)'!CJ5:CL5,"D"))*1))/(COUNTA(CJ5:CL5)),"")</f>
        <v>2</v>
      </c>
      <c r="CN5" s="184" t="str">
        <f t="shared" si="20"/>
        <v>C</v>
      </c>
      <c r="CO5" s="99" t="s">
        <v>23</v>
      </c>
      <c r="CP5" s="100"/>
      <c r="CQ5" s="101"/>
      <c r="CR5" s="183">
        <f>IFERROR((((COUNTIF('Elève (6ème4)'!CO5:CQ5,"A"))*4)+((COUNTIF('Elève (6ème4)'!CO5:CQ5,"B"))*3)+((COUNTIF('Elève (6ème4)'!CO5:CQ5,"C"))*2)+((COUNTIF('Elève (6ème4)'!CO5:CQ5,"D"))*1))/(COUNTA(CO5:CQ5)),"")</f>
        <v>4</v>
      </c>
      <c r="CS5" s="184" t="str">
        <f t="shared" si="21"/>
        <v>A</v>
      </c>
      <c r="CT5" s="99"/>
      <c r="CU5" s="100"/>
      <c r="CV5" s="101"/>
      <c r="CW5" s="183" t="str">
        <f>IFERROR((((COUNTIF('Elève (6ème4)'!CT5:CV5,"A"))*4)+((COUNTIF('Elève (6ème4)'!CT5:CV5,"B"))*3)+((COUNTIF('Elève (6ème4)'!CT5:CV5,"C"))*2)+((COUNTIF('Elève (6ème4)'!CT5:CV5,"D"))*1))/(COUNTA(CT5:CV5)),"")</f>
        <v/>
      </c>
      <c r="CX5" s="184" t="str">
        <f t="shared" si="22"/>
        <v/>
      </c>
      <c r="CY5" s="183">
        <f>IF(COUNT(CM5,CR5,CW5)=0,"",SUM(CM5,CR5,CW5)/COUNT(CM5,CR5,CW5))</f>
        <v>3</v>
      </c>
      <c r="CZ5" s="207" t="str">
        <f t="shared" si="23"/>
        <v>B</v>
      </c>
      <c r="DA5" s="105"/>
      <c r="DB5" s="100"/>
      <c r="DC5" s="101" t="s">
        <v>24</v>
      </c>
      <c r="DD5" s="183">
        <f>IFERROR((((COUNTIF('Elève (6ème4)'!DA5:DC5,"A"))*4)+((COUNTIF('Elève (6ème4)'!DA5:DC5,"B"))*3)+((COUNTIF('Elève (6ème4)'!DA5:DC5,"C"))*2)+((COUNTIF('Elève (6ème4)'!DA5:DC5,"D"))*1))/(COUNTA(DA5:DC5)),"")</f>
        <v>3</v>
      </c>
      <c r="DE5" s="184" t="str">
        <f t="shared" si="24"/>
        <v>B</v>
      </c>
      <c r="DF5" s="99" t="s">
        <v>25</v>
      </c>
      <c r="DG5" s="100"/>
      <c r="DH5" s="101"/>
      <c r="DI5" s="183">
        <f>IFERROR((((COUNTIF('Elève (6ème4)'!DF5:DH5,"A"))*4)+((COUNTIF('Elève (6ème4)'!DF5:DH5,"B"))*3)+((COUNTIF('Elève (6ème4)'!DF5:DH5,"C"))*2)+((COUNTIF('Elève (6ème4)'!DF5:DH5,"D"))*1))/(COUNTA(DF5:DH5)),"")</f>
        <v>2</v>
      </c>
      <c r="DJ5" s="184" t="str">
        <f t="shared" si="25"/>
        <v>C</v>
      </c>
      <c r="DK5" s="99"/>
      <c r="DL5" s="100"/>
      <c r="DM5" s="101"/>
      <c r="DN5" s="183" t="str">
        <f>IFERROR((((COUNTIF('Elève (6ème4)'!DK5:DM5,"A"))*4)+((COUNTIF('Elève (6ème4)'!DK5:DM5,"B"))*3)+((COUNTIF('Elève (6ème4)'!DK5:DM5,"C"))*2)+((COUNTIF('Elève (6ème4)'!DK5:DM5,"D"))*1))/(COUNTA(DK5:DM5)),"")</f>
        <v/>
      </c>
      <c r="DO5" s="184" t="str">
        <f t="shared" si="26"/>
        <v/>
      </c>
      <c r="DP5" s="183">
        <f>IF(COUNT(DD5,DI5,DN5)=0,"",SUM(DD5,DI5,DN5)/COUNT(DD5,DI5,DN5))</f>
        <v>2.5</v>
      </c>
      <c r="DQ5" s="207" t="str">
        <f t="shared" si="27"/>
        <v>C</v>
      </c>
      <c r="DR5" s="105"/>
      <c r="DS5" s="100"/>
      <c r="DT5" s="101" t="s">
        <v>26</v>
      </c>
      <c r="DU5" s="183">
        <f>IFERROR((((COUNTIF('Elève (6ème4)'!DR5:DT5,"A"))*4)+((COUNTIF('Elève (6ème4)'!DR5:DT5,"B"))*3)+((COUNTIF('Elève (6ème4)'!DR5:DT5,"C"))*2)+((COUNTIF('Elève (6ème4)'!DR5:DT5,"D"))*1))/(COUNTA(DR5:DT5)),"")</f>
        <v>1</v>
      </c>
      <c r="DV5" s="184" t="str">
        <f t="shared" si="28"/>
        <v>D</v>
      </c>
      <c r="DW5" s="99" t="s">
        <v>23</v>
      </c>
      <c r="DX5" s="100"/>
      <c r="DY5" s="101"/>
      <c r="DZ5" s="183">
        <f>IFERROR((((COUNTIF('Elève (6ème4)'!DW5:DY5,"A"))*4)+((COUNTIF('Elève (6ème4)'!DW5:DY5,"B"))*3)+((COUNTIF('Elève (6ème4)'!DW5:DY5,"C"))*2)+((COUNTIF('Elève (6ème4)'!DW5:DY5,"D"))*1))/(COUNTA(DW5:DY5)),"")</f>
        <v>4</v>
      </c>
      <c r="EA5" s="184" t="str">
        <f t="shared" si="29"/>
        <v>A</v>
      </c>
      <c r="EB5" s="99"/>
      <c r="EC5" s="100"/>
      <c r="ED5" s="101"/>
      <c r="EE5" s="183" t="str">
        <f>IFERROR((((COUNTIF('Elève (6ème4)'!EB5:ED5,"A"))*4)+((COUNTIF('Elève (6ème4)'!EB5:ED5,"B"))*3)+((COUNTIF('Elève (6ème4)'!EB5:ED5,"C"))*2)+((COUNTIF('Elève (6ème4)'!EB5:ED5,"D"))*1))/(COUNTA(EB5:ED5)),"")</f>
        <v/>
      </c>
      <c r="EF5" s="184" t="str">
        <f t="shared" si="30"/>
        <v/>
      </c>
      <c r="EG5" s="183">
        <f>IF(COUNT(DU5,DZ5,EE5)=0,"",SUM(DU5,DZ5,EE5)/COUNT(DU5,DZ5,EE5))</f>
        <v>2.5</v>
      </c>
      <c r="EH5" s="207" t="str">
        <f t="shared" si="31"/>
        <v>C</v>
      </c>
      <c r="EI5" s="105"/>
      <c r="EJ5" s="100"/>
      <c r="EK5" s="101" t="s">
        <v>25</v>
      </c>
      <c r="EL5" s="183">
        <f>IFERROR((((COUNTIF('Elève (6ème4)'!EI5:EK5,"A"))*4)+((COUNTIF('Elève (6ème4)'!EI5:EK5,"B"))*3)+((COUNTIF('Elève (6ème4)'!EI5:EK5,"C"))*2)+((COUNTIF('Elève (6ème4)'!EI5:EK5,"D"))*1))/(COUNTA(EI5:EK5)),"")</f>
        <v>2</v>
      </c>
      <c r="EM5" s="184" t="str">
        <f t="shared" si="32"/>
        <v>C</v>
      </c>
      <c r="EN5" s="99" t="s">
        <v>23</v>
      </c>
      <c r="EO5" s="100"/>
      <c r="EP5" s="101"/>
      <c r="EQ5" s="183">
        <f>IFERROR((((COUNTIF('Elève (6ème4)'!EN5:EP5,"A"))*4)+((COUNTIF('Elève (6ème4)'!EN5:EP5,"B"))*3)+((COUNTIF('Elève (6ème4)'!EN5:EP5,"C"))*2)+((COUNTIF('Elève (6ème4)'!EN5:EP5,"D"))*1))/(COUNTA(EN5:EP5)),"")</f>
        <v>4</v>
      </c>
      <c r="ER5" s="184" t="str">
        <f t="shared" si="33"/>
        <v>A</v>
      </c>
      <c r="ES5" s="99"/>
      <c r="ET5" s="100"/>
      <c r="EU5" s="101"/>
      <c r="EV5" s="183" t="str">
        <f>IFERROR((((COUNTIF('Elève (6ème4)'!ES5:EU5,"A"))*4)+((COUNTIF('Elève (6ème4)'!ES5:EU5,"B"))*3)+((COUNTIF('Elève (6ème4)'!ES5:EU5,"C"))*2)+((COUNTIF('Elève (6ème4)'!ES5:EU5,"D"))*1))/(COUNTA(ES5:EU5)),"")</f>
        <v/>
      </c>
      <c r="EW5" s="184" t="str">
        <f t="shared" si="34"/>
        <v/>
      </c>
      <c r="EX5" s="183">
        <f>IF(COUNT(EL5,EQ5,EV5)=0,"",SUM(EL5,EQ5,EV5)/COUNT(EL5,EQ5,EV5))</f>
        <v>3</v>
      </c>
      <c r="EY5" s="207" t="str">
        <f t="shared" si="35"/>
        <v>B</v>
      </c>
      <c r="EZ5" s="105"/>
      <c r="FA5" s="100"/>
      <c r="FB5" s="101" t="s">
        <v>24</v>
      </c>
      <c r="FC5" s="183">
        <f>IFERROR((((COUNTIF('Elève (6ème4)'!EZ5:FB5,"A"))*4)+((COUNTIF('Elève (6ème4)'!EZ5:FB5,"B"))*3)+((COUNTIF('Elève (6ème4)'!EZ5:FB5,"C"))*2)+((COUNTIF('Elève (6ème4)'!EZ5:FB5,"D"))*1))/(COUNTA(EZ5:FB5)),"")</f>
        <v>3</v>
      </c>
      <c r="FD5" s="184" t="str">
        <f t="shared" si="36"/>
        <v>B</v>
      </c>
      <c r="FE5" s="99" t="s">
        <v>23</v>
      </c>
      <c r="FF5" s="100"/>
      <c r="FG5" s="101"/>
      <c r="FH5" s="183">
        <f>IFERROR((((COUNTIF('Elève (6ème4)'!FE5:FG5,"A"))*4)+((COUNTIF('Elève (6ème4)'!FE5:FG5,"B"))*3)+((COUNTIF('Elève (6ème4)'!FE5:FG5,"C"))*2)+((COUNTIF('Elève (6ème4)'!FE5:FG5,"D"))*1))/(COUNTA(FE5:FG5)),"")</f>
        <v>4</v>
      </c>
      <c r="FI5" s="184" t="str">
        <f t="shared" si="37"/>
        <v>A</v>
      </c>
      <c r="FJ5" s="99"/>
      <c r="FK5" s="100"/>
      <c r="FL5" s="101"/>
      <c r="FM5" s="183" t="str">
        <f>IFERROR((((COUNTIF('Elève (6ème4)'!FJ5:FL5,"A"))*4)+((COUNTIF('Elève (6ème4)'!FJ5:FL5,"B"))*3)+((COUNTIF('Elève (6ème4)'!FJ5:FL5,"C"))*2)+((COUNTIF('Elève (6ème4)'!FJ5:FL5,"D"))*1))/(COUNTA(FJ5:FL5)),"")</f>
        <v/>
      </c>
      <c r="FN5" s="184" t="str">
        <f t="shared" si="38"/>
        <v/>
      </c>
      <c r="FO5" s="183">
        <f>IF(COUNT(FC5,FH5,FM5)=0,"",SUM(FC5,FH5,FM5)/COUNT(FC5,FH5,FM5))</f>
        <v>3.5</v>
      </c>
      <c r="FP5" s="207" t="str">
        <f t="shared" si="39"/>
        <v>B</v>
      </c>
      <c r="FQ5" s="105"/>
      <c r="FR5" s="100"/>
      <c r="FS5" s="101" t="s">
        <v>25</v>
      </c>
      <c r="FT5" s="183">
        <f>IFERROR((((COUNTIF('Elève (6ème4)'!FQ5:FS5,"A"))*4)+((COUNTIF('Elève (6ème4)'!FQ5:FS5,"B"))*3)+((COUNTIF('Elève (6ème4)'!FQ5:FS5,"C"))*2)+((COUNTIF('Elève (6ème4)'!FQ5:FS5,"D"))*1))/(COUNTA(FQ5:FS5)),"")</f>
        <v>2</v>
      </c>
      <c r="FU5" s="184" t="str">
        <f t="shared" si="40"/>
        <v>C</v>
      </c>
      <c r="FV5" s="99" t="s">
        <v>23</v>
      </c>
      <c r="FW5" s="100"/>
      <c r="FX5" s="101"/>
      <c r="FY5" s="183">
        <f>IFERROR((((COUNTIF('Elève (6ème4)'!FV5:FX5,"A"))*4)+((COUNTIF('Elève (6ème4)'!FV5:FX5,"B"))*3)+((COUNTIF('Elève (6ème4)'!FV5:FX5,"C"))*2)+((COUNTIF('Elève (6ème4)'!FV5:FX5,"D"))*1))/(COUNTA(FV5:FX5)),"")</f>
        <v>4</v>
      </c>
      <c r="FZ5" s="184" t="str">
        <f t="shared" si="41"/>
        <v>A</v>
      </c>
      <c r="GA5" s="99"/>
      <c r="GB5" s="100"/>
      <c r="GC5" s="101"/>
      <c r="GD5" s="183" t="str">
        <f>IFERROR((((COUNTIF('Elève (6ème4)'!GA5:GC5,"A"))*4)+((COUNTIF('Elève (6ème4)'!GA5:GC5,"B"))*3)+((COUNTIF('Elève (6ème4)'!GA5:GC5,"C"))*2)+((COUNTIF('Elève (6ème4)'!GA5:GC5,"D"))*1))/(COUNTA(GA5:GC5)),"")</f>
        <v/>
      </c>
      <c r="GE5" s="184" t="str">
        <f t="shared" si="42"/>
        <v/>
      </c>
      <c r="GF5" s="183">
        <f>IF(COUNT(FT5,FY5,GD5)=0,"",SUM(FT5,FY5,GD5)/COUNT(FT5,FY5,GD5))</f>
        <v>3</v>
      </c>
      <c r="GG5" s="207" t="str">
        <f t="shared" si="43"/>
        <v>B</v>
      </c>
      <c r="GH5" s="105"/>
      <c r="GI5" s="100"/>
      <c r="GJ5" s="101" t="s">
        <v>24</v>
      </c>
      <c r="GK5" s="183">
        <f>IFERROR((((COUNTIF('Elève (6ème4)'!GH5:GJ5,"A"))*4)+((COUNTIF('Elève (6ème4)'!GH5:GJ5,"B"))*3)+((COUNTIF('Elève (6ème4)'!GH5:GJ5,"C"))*2)+((COUNTIF('Elève (6ème4)'!GH5:GJ5,"D"))*1))/(COUNTA(GH5:GJ5)),"")</f>
        <v>3</v>
      </c>
      <c r="GL5" s="184" t="str">
        <f t="shared" si="44"/>
        <v>B</v>
      </c>
      <c r="GM5" s="99" t="s">
        <v>23</v>
      </c>
      <c r="GN5" s="100"/>
      <c r="GO5" s="101"/>
      <c r="GP5" s="183">
        <f>IFERROR((((COUNTIF('Elève (6ème4)'!GM5:GO5,"A"))*4)+((COUNTIF('Elève (6ème4)'!GM5:GO5,"B"))*3)+((COUNTIF('Elève (6ème4)'!GM5:GO5,"C"))*2)+((COUNTIF('Elève (6ème4)'!GM5:GO5,"D"))*1))/(COUNTA(GM5:GO5)),"")</f>
        <v>4</v>
      </c>
      <c r="GQ5" s="184" t="str">
        <f t="shared" si="45"/>
        <v>A</v>
      </c>
      <c r="GR5" s="99"/>
      <c r="GS5" s="100"/>
      <c r="GT5" s="101"/>
      <c r="GU5" s="183" t="str">
        <f>IFERROR((((COUNTIF('Elève (6ème4)'!GR5:GT5,"A"))*4)+((COUNTIF('Elève (6ème4)'!GR5:GT5,"B"))*3)+((COUNTIF('Elève (6ème4)'!GR5:GT5,"C"))*2)+((COUNTIF('Elève (6ème4)'!GR5:GT5,"D"))*1))/(COUNTA(GR5:GT5)),"")</f>
        <v/>
      </c>
      <c r="GV5" s="184" t="str">
        <f t="shared" si="46"/>
        <v/>
      </c>
      <c r="GW5" s="183">
        <f>IF(COUNT(GK5,GP5,GU5)=0,"",SUM(GK5,GP5,GU5)/COUNT(GK5,GP5,GU5))</f>
        <v>3.5</v>
      </c>
      <c r="GX5" s="207" t="str">
        <f t="shared" si="47"/>
        <v>B</v>
      </c>
      <c r="GY5" s="105"/>
      <c r="GZ5" s="100"/>
      <c r="HA5" s="101" t="s">
        <v>24</v>
      </c>
      <c r="HB5" s="183">
        <f>IFERROR((((COUNTIF('Elève (6ème4)'!GY5:HA5,"A"))*4)+((COUNTIF('Elève (6ème4)'!GY5:HA5,"B"))*3)+((COUNTIF('Elève (6ème4)'!GY5:HA5,"C"))*2)+((COUNTIF('Elève (6ème4)'!GY5:HA5,"D"))*1))/(COUNTA(GY5:HA5)),"")</f>
        <v>3</v>
      </c>
      <c r="HC5" s="184" t="str">
        <f t="shared" si="48"/>
        <v>B</v>
      </c>
      <c r="HD5" s="99" t="s">
        <v>23</v>
      </c>
      <c r="HE5" s="100"/>
      <c r="HF5" s="101"/>
      <c r="HG5" s="183">
        <f>IFERROR((((COUNTIF('Elève (6ème4)'!HD5:HF5,"A"))*4)+((COUNTIF('Elève (6ème4)'!HD5:HF5,"B"))*3)+((COUNTIF('Elève (6ème4)'!HD5:HF5,"C"))*2)+((COUNTIF('Elève (6ème4)'!HD5:HF5,"D"))*1))/(COUNTA(HD5:HF5)),"")</f>
        <v>4</v>
      </c>
      <c r="HH5" s="184" t="str">
        <f t="shared" si="49"/>
        <v>A</v>
      </c>
      <c r="HI5" s="99"/>
      <c r="HJ5" s="100"/>
      <c r="HK5" s="101"/>
      <c r="HL5" s="183" t="str">
        <f>IFERROR((((COUNTIF('Elève (6ème4)'!HI5:HK5,"A"))*4)+((COUNTIF('Elève (6ème4)'!HI5:HK5,"B"))*3)+((COUNTIF('Elève (6ème4)'!HI5:HK5,"C"))*2)+((COUNTIF('Elève (6ème4)'!HI5:HK5,"D"))*1))/(COUNTA(HI5:HK5)),"")</f>
        <v/>
      </c>
      <c r="HM5" s="184" t="str">
        <f t="shared" si="50"/>
        <v/>
      </c>
      <c r="HN5" s="183">
        <f>IF(COUNT(HB5,HG5,HL5)=0,"",SUM(HB5,HG5,HL5)/COUNT(HB5,HG5,HL5))</f>
        <v>3.5</v>
      </c>
      <c r="HO5" s="207" t="str">
        <f t="shared" si="51"/>
        <v>B</v>
      </c>
      <c r="HP5" s="105"/>
      <c r="HQ5" s="100"/>
      <c r="HR5" s="101" t="s">
        <v>25</v>
      </c>
      <c r="HS5" s="183">
        <f>IFERROR((((COUNTIF('Elève (6ème4)'!HP5:HR5,"A"))*4)+((COUNTIF('Elève (6ème4)'!HP5:HR5,"B"))*3)+((COUNTIF('Elève (6ème4)'!HP5:HR5,"C"))*2)+((COUNTIF('Elève (6ème4)'!HP5:HR5,"D"))*1))/(COUNTA(HP5:HR5)),"")</f>
        <v>2</v>
      </c>
      <c r="HT5" s="184" t="str">
        <f t="shared" si="52"/>
        <v>C</v>
      </c>
      <c r="HU5" s="99" t="s">
        <v>23</v>
      </c>
      <c r="HV5" s="100"/>
      <c r="HW5" s="101"/>
      <c r="HX5" s="183">
        <f>IFERROR((((COUNTIF('Elève (6ème4)'!HU5:HW5,"A"))*4)+((COUNTIF('Elève (6ème4)'!HU5:HW5,"B"))*3)+((COUNTIF('Elève (6ème4)'!HU5:HW5,"C"))*2)+((COUNTIF('Elève (6ème4)'!HU5:HW5,"D"))*1))/(COUNTA(HU5:HW5)),"")</f>
        <v>4</v>
      </c>
      <c r="HY5" s="184" t="str">
        <f t="shared" si="53"/>
        <v>A</v>
      </c>
      <c r="HZ5" s="99"/>
      <c r="IA5" s="100"/>
      <c r="IB5" s="101"/>
      <c r="IC5" s="183" t="str">
        <f>IFERROR((((COUNTIF('Elève (6ème4)'!HZ5:IB5,"A"))*4)+((COUNTIF('Elève (6ème4)'!HZ5:IB5,"B"))*3)+((COUNTIF('Elève (6ème4)'!HZ5:IB5,"C"))*2)+((COUNTIF('Elève (6ème4)'!HZ5:IB5,"D"))*1))/(COUNTA(HZ5:IB5)),"")</f>
        <v/>
      </c>
      <c r="ID5" s="184" t="str">
        <f t="shared" si="54"/>
        <v/>
      </c>
      <c r="IE5" s="183">
        <f>IF(COUNT(HS5,HX5,IC5)=0,"",SUM(HS5,HX5,IC5)/COUNT(HS5,HX5,IC5))</f>
        <v>3</v>
      </c>
      <c r="IF5" s="207" t="str">
        <f t="shared" si="55"/>
        <v>B</v>
      </c>
      <c r="IG5" s="105"/>
      <c r="IH5" s="100"/>
      <c r="II5" s="101" t="s">
        <v>25</v>
      </c>
      <c r="IJ5" s="183">
        <f>IFERROR((((COUNTIF('Elève (6ème4)'!IG5:II5,"A"))*4)+((COUNTIF('Elève (6ème4)'!IG5:II5,"B"))*3)+((COUNTIF('Elève (6ème4)'!IG5:II5,"C"))*2)+((COUNTIF('Elève (6ème4)'!IG5:II5,"D"))*1))/(COUNTA(IG5:II5)),"")</f>
        <v>2</v>
      </c>
      <c r="IK5" s="184" t="str">
        <f t="shared" si="56"/>
        <v>C</v>
      </c>
      <c r="IL5" s="99" t="s">
        <v>23</v>
      </c>
      <c r="IM5" s="100"/>
      <c r="IN5" s="101"/>
      <c r="IO5" s="183">
        <f>IFERROR((((COUNTIF('Elève (6ème4)'!IL5:IN5,"A"))*4)+((COUNTIF('Elève (6ème4)'!IL5:IN5,"B"))*3)+((COUNTIF('Elève (6ème4)'!IL5:IN5,"C"))*2)+((COUNTIF('Elève (6ème4)'!IL5:IN5,"D"))*1))/(COUNTA(IL5:IN5)),"")</f>
        <v>4</v>
      </c>
      <c r="IP5" s="184" t="str">
        <f t="shared" si="57"/>
        <v>A</v>
      </c>
      <c r="IQ5" s="99"/>
      <c r="IR5" s="100"/>
      <c r="IS5" s="101"/>
      <c r="IT5" s="183" t="str">
        <f>IFERROR((((COUNTIF('Elève (6ème4)'!IQ5:IS5,"A"))*4)+((COUNTIF('Elève (6ème4)'!IQ5:IS5,"B"))*3)+((COUNTIF('Elève (6ème4)'!IQ5:IS5,"C"))*2)+((COUNTIF('Elève (6ème4)'!IQ5:IS5,"D"))*1))/(COUNTA(IQ5:IS5)),"")</f>
        <v/>
      </c>
      <c r="IU5" s="184" t="str">
        <f t="shared" si="58"/>
        <v/>
      </c>
      <c r="IV5" s="183">
        <f>IF(COUNT(IJ5,IO5,IT5)=0,"",SUM(IJ5,IO5,IT5)/COUNT(IJ5,IO5,IT5))</f>
        <v>3</v>
      </c>
      <c r="IW5" s="207" t="str">
        <f t="shared" si="59"/>
        <v>B</v>
      </c>
      <c r="IX5" s="105"/>
      <c r="IY5" s="100"/>
      <c r="IZ5" s="101" t="s">
        <v>25</v>
      </c>
      <c r="JA5" s="183">
        <f>IFERROR((((COUNTIF('Elève (6ème4)'!IX5:IZ5,"A"))*4)+((COUNTIF('Elève (6ème4)'!IX5:IZ5,"B"))*3)+((COUNTIF('Elève (6ème4)'!IX5:IZ5,"C"))*2)+((COUNTIF('Elève (6ème4)'!IX5:IZ5,"D"))*1))/(COUNTA(IX5:IZ5)),"")</f>
        <v>2</v>
      </c>
      <c r="JB5" s="184" t="str">
        <f t="shared" si="60"/>
        <v>C</v>
      </c>
      <c r="JC5" s="99" t="s">
        <v>23</v>
      </c>
      <c r="JD5" s="100"/>
      <c r="JE5" s="101"/>
      <c r="JF5" s="183">
        <f>IFERROR((((COUNTIF('Elève (6ème4)'!JC5:JE5,"A"))*4)+((COUNTIF('Elève (6ème4)'!JC5:JE5,"B"))*3)+((COUNTIF('Elève (6ème4)'!JC5:JE5,"C"))*2)+((COUNTIF('Elève (6ème4)'!JC5:JE5,"D"))*1))/(COUNTA(JC5:JE5)),"")</f>
        <v>4</v>
      </c>
      <c r="JG5" s="184" t="str">
        <f t="shared" si="61"/>
        <v>A</v>
      </c>
      <c r="JH5" s="99"/>
      <c r="JI5" s="100"/>
      <c r="JJ5" s="101"/>
      <c r="JK5" s="183" t="str">
        <f>IFERROR((((COUNTIF('Elève (6ème4)'!JH5:JJ5,"A"))*4)+((COUNTIF('Elève (6ème4)'!JH5:JJ5,"B"))*3)+((COUNTIF('Elève (6ème4)'!JH5:JJ5,"C"))*2)+((COUNTIF('Elève (6ème4)'!JH5:JJ5,"D"))*1))/(COUNTA(JH5:JJ5)),"")</f>
        <v/>
      </c>
      <c r="JL5" s="184" t="str">
        <f t="shared" si="62"/>
        <v/>
      </c>
      <c r="JM5" s="183">
        <f>IF(COUNT(JA5,JF5,JK5)=0,"",SUM(JA5,JF5,JK5)/COUNT(JA5,JF5,JK5))</f>
        <v>3</v>
      </c>
      <c r="JN5" s="207" t="str">
        <f t="shared" si="63"/>
        <v>B</v>
      </c>
      <c r="JO5" s="105"/>
      <c r="JP5" s="100"/>
      <c r="JQ5" s="101" t="s">
        <v>25</v>
      </c>
      <c r="JR5" s="183">
        <f>IFERROR((((COUNTIF('Elève (6ème4)'!JO5:JQ5,"A"))*4)+((COUNTIF('Elève (6ème4)'!JO5:JQ5,"B"))*3)+((COUNTIF('Elève (6ème4)'!JO5:JQ5,"C"))*2)+((COUNTIF('Elève (6ème4)'!JO5:JQ5,"D"))*1))/(COUNTA(JO5:JQ5)),"")</f>
        <v>2</v>
      </c>
      <c r="JS5" s="184" t="str">
        <f t="shared" si="64"/>
        <v>C</v>
      </c>
      <c r="JT5" s="99" t="s">
        <v>23</v>
      </c>
      <c r="JU5" s="100"/>
      <c r="JV5" s="101"/>
      <c r="JW5" s="183">
        <f>IFERROR((((COUNTIF('Elève (6ème4)'!JT5:JV5,"A"))*4)+((COUNTIF('Elève (6ème4)'!JT5:JV5,"B"))*3)+((COUNTIF('Elève (6ème4)'!JT5:JV5,"C"))*2)+((COUNTIF('Elève (6ème4)'!JT5:JV5,"D"))*1))/(COUNTA(JT5:JV5)),"")</f>
        <v>4</v>
      </c>
      <c r="JX5" s="184" t="str">
        <f t="shared" si="65"/>
        <v>A</v>
      </c>
      <c r="JY5" s="99"/>
      <c r="JZ5" s="100"/>
      <c r="KA5" s="101"/>
      <c r="KB5" s="183" t="str">
        <f>IFERROR((((COUNTIF('Elève (6ème4)'!JY5:KA5,"A"))*4)+((COUNTIF('Elève (6ème4)'!JY5:KA5,"B"))*3)+((COUNTIF('Elève (6ème4)'!JY5:KA5,"C"))*2)+((COUNTIF('Elève (6ème4)'!JY5:KA5,"D"))*1))/(COUNTA(JY5:KA5)),"")</f>
        <v/>
      </c>
      <c r="KC5" s="184" t="str">
        <f t="shared" si="66"/>
        <v/>
      </c>
      <c r="KD5" s="183">
        <f>IF(COUNT(JR5,JW5,KB5)=0,"",SUM(JR5,JW5,KB5)/COUNT(JR5,JW5,KB5))</f>
        <v>3</v>
      </c>
      <c r="KE5" s="207" t="str">
        <f t="shared" si="67"/>
        <v>B</v>
      </c>
      <c r="KF5" s="105"/>
      <c r="KG5" s="100"/>
      <c r="KH5" s="101" t="s">
        <v>25</v>
      </c>
      <c r="KI5" s="183">
        <f>IFERROR((((COUNTIF('Elève (6ème4)'!KF5:KH5,"A"))*4)+((COUNTIF('Elève (6ème4)'!KF5:KH5,"B"))*3)+((COUNTIF('Elève (6ème4)'!KF5:KH5,"C"))*2)+((COUNTIF('Elève (6ème4)'!KF5:KH5,"D"))*1))/(COUNTA(KF5:KH5)),"")</f>
        <v>2</v>
      </c>
      <c r="KJ5" s="184" t="str">
        <f t="shared" si="68"/>
        <v>C</v>
      </c>
      <c r="KK5" s="99" t="s">
        <v>23</v>
      </c>
      <c r="KL5" s="100"/>
      <c r="KM5" s="101"/>
      <c r="KN5" s="183">
        <f>IFERROR((((COUNTIF('Elève (6ème4)'!KK5:KM5,"A"))*4)+((COUNTIF('Elève (6ème4)'!KK5:KM5,"B"))*3)+((COUNTIF('Elève (6ème4)'!KK5:KM5,"C"))*2)+((COUNTIF('Elève (6ème4)'!KK5:KM5,"D"))*1))/(COUNTA(KK5:KM5)),"")</f>
        <v>4</v>
      </c>
      <c r="KO5" s="184" t="str">
        <f t="shared" si="69"/>
        <v>A</v>
      </c>
      <c r="KP5" s="99"/>
      <c r="KQ5" s="100"/>
      <c r="KR5" s="101"/>
      <c r="KS5" s="183" t="str">
        <f>IFERROR((((COUNTIF('Elève (6ème4)'!KP5:KR5,"A"))*4)+((COUNTIF('Elève (6ème4)'!KP5:KR5,"B"))*3)+((COUNTIF('Elève (6ème4)'!KP5:KR5,"C"))*2)+((COUNTIF('Elève (6ème4)'!KP5:KR5,"D"))*1))/(COUNTA(KP5:KR5)),"")</f>
        <v/>
      </c>
      <c r="KT5" s="184" t="str">
        <f t="shared" si="70"/>
        <v/>
      </c>
      <c r="KU5" s="183">
        <f>IF(COUNT(KI5,KN5,KS5)=0,"",SUM(KI5,KN5,KS5)/COUNT(KI5,KN5,KS5))</f>
        <v>3</v>
      </c>
      <c r="KV5" s="207" t="str">
        <f t="shared" si="71"/>
        <v>B</v>
      </c>
      <c r="KW5" s="105"/>
      <c r="KX5" s="100"/>
      <c r="KY5" s="101" t="s">
        <v>24</v>
      </c>
      <c r="KZ5" s="183">
        <f>IFERROR((((COUNTIF('Elève (6ème4)'!KW5:KY5,"A"))*4)+((COUNTIF('Elève (6ème4)'!KW5:KY5,"B"))*3)+((COUNTIF('Elève (6ème4)'!KW5:KY5,"C"))*2)+((COUNTIF('Elève (6ème4)'!KW5:KY5,"D"))*1))/(COUNTA(KW5:KY5)),"")</f>
        <v>3</v>
      </c>
      <c r="LA5" s="184" t="str">
        <f t="shared" si="72"/>
        <v>B</v>
      </c>
      <c r="LB5" s="99" t="s">
        <v>23</v>
      </c>
      <c r="LC5" s="100"/>
      <c r="LD5" s="101"/>
      <c r="LE5" s="183">
        <f>IFERROR((((COUNTIF('Elève (6ème4)'!LB5:LD5,"A"))*4)+((COUNTIF('Elève (6ème4)'!LB5:LD5,"B"))*3)+((COUNTIF('Elève (6ème4)'!LB5:LD5,"C"))*2)+((COUNTIF('Elève (6ème4)'!LB5:LD5,"D"))*1))/(COUNTA(LB5:LD5)),"")</f>
        <v>4</v>
      </c>
      <c r="LF5" s="184" t="str">
        <f t="shared" si="73"/>
        <v>A</v>
      </c>
      <c r="LG5" s="99"/>
      <c r="LH5" s="100"/>
      <c r="LI5" s="101"/>
      <c r="LJ5" s="183" t="str">
        <f>IFERROR((((COUNTIF('Elève (6ème4)'!LG5:LI5,"A"))*4)+((COUNTIF('Elève (6ème4)'!LG5:LI5,"B"))*3)+((COUNTIF('Elève (6ème4)'!LG5:LI5,"C"))*2)+((COUNTIF('Elève (6ème4)'!LG5:LI5,"D"))*1))/(COUNTA(LG5:LI5)),"")</f>
        <v/>
      </c>
      <c r="LK5" s="184" t="str">
        <f t="shared" si="74"/>
        <v/>
      </c>
      <c r="LL5" s="183">
        <f>IF(COUNT(KZ5,LE5,LJ5)=0,"",SUM(KZ5,LE5,LJ5)/COUNT(KZ5,LE5,LJ5))</f>
        <v>3.5</v>
      </c>
      <c r="LM5" s="207" t="str">
        <f t="shared" si="75"/>
        <v>B</v>
      </c>
      <c r="LN5" s="105"/>
      <c r="LO5" s="100"/>
      <c r="LP5" s="101" t="s">
        <v>24</v>
      </c>
      <c r="LQ5" s="183">
        <f>IFERROR((((COUNTIF('Elève (6ème4)'!LN5:LP5,"A"))*4)+((COUNTIF('Elève (6ème4)'!LN5:LP5,"B"))*3)+((COUNTIF('Elève (6ème4)'!LN5:LP5,"C"))*2)+((COUNTIF('Elève (6ème4)'!LN5:LP5,"D"))*1))/(COUNTA(LN5:LP5)),"")</f>
        <v>3</v>
      </c>
      <c r="LR5" s="184" t="str">
        <f t="shared" si="76"/>
        <v>B</v>
      </c>
      <c r="LS5" s="99" t="s">
        <v>23</v>
      </c>
      <c r="LT5" s="100"/>
      <c r="LU5" s="101"/>
      <c r="LV5" s="183">
        <f>IFERROR((((COUNTIF('Elève (6ème4)'!LS5:LU5,"A"))*4)+((COUNTIF('Elève (6ème4)'!LS5:LU5,"B"))*3)+((COUNTIF('Elève (6ème4)'!LS5:LU5,"C"))*2)+((COUNTIF('Elève (6ème4)'!LS5:LU5,"D"))*1))/(COUNTA(LS5:LU5)),"")</f>
        <v>4</v>
      </c>
      <c r="LW5" s="184" t="str">
        <f t="shared" si="77"/>
        <v>A</v>
      </c>
      <c r="LX5" s="99"/>
      <c r="LY5" s="100"/>
      <c r="LZ5" s="101"/>
      <c r="MA5" s="183" t="str">
        <f>IFERROR((((COUNTIF('Elève (6ème4)'!LX5:LZ5,"A"))*4)+((COUNTIF('Elève (6ème4)'!LX5:LZ5,"B"))*3)+((COUNTIF('Elève (6ème4)'!LX5:LZ5,"C"))*2)+((COUNTIF('Elève (6ème4)'!LX5:LZ5,"D"))*1))/(COUNTA(LX5:LZ5)),"")</f>
        <v/>
      </c>
      <c r="MB5" s="184" t="str">
        <f t="shared" si="78"/>
        <v/>
      </c>
      <c r="MC5" s="183">
        <f>IF(COUNT(LQ5,LV5,MA5)=0,"",SUM(LQ5,LV5,MA5)/COUNT(LQ5,LV5,MA5))</f>
        <v>3.5</v>
      </c>
      <c r="MD5" s="207" t="str">
        <f t="shared" si="79"/>
        <v>B</v>
      </c>
      <c r="ME5" s="105"/>
      <c r="MF5" s="100"/>
      <c r="MG5" s="101" t="s">
        <v>25</v>
      </c>
      <c r="MH5" s="183">
        <f>IFERROR((((COUNTIF('Elève (6ème4)'!ME5:MG5,"A"))*4)+((COUNTIF('Elève (6ème4)'!ME5:MG5,"B"))*3)+((COUNTIF('Elève (6ème4)'!ME5:MG5,"C"))*2)+((COUNTIF('Elève (6ème4)'!ME5:MG5,"D"))*1))/(COUNTA(ME5:MG5)),"")</f>
        <v>2</v>
      </c>
      <c r="MI5" s="184" t="str">
        <f t="shared" si="80"/>
        <v>C</v>
      </c>
      <c r="MJ5" s="99" t="s">
        <v>23</v>
      </c>
      <c r="MK5" s="100"/>
      <c r="ML5" s="101"/>
      <c r="MM5" s="183">
        <f>IFERROR((((COUNTIF('Elève (6ème4)'!MJ5:ML5,"A"))*4)+((COUNTIF('Elève (6ème4)'!MJ5:ML5,"B"))*3)+((COUNTIF('Elève (6ème4)'!MJ5:ML5,"C"))*2)+((COUNTIF('Elève (6ème4)'!MJ5:ML5,"D"))*1))/(COUNTA(MJ5:ML5)),"")</f>
        <v>4</v>
      </c>
      <c r="MN5" s="184" t="str">
        <f t="shared" si="81"/>
        <v>A</v>
      </c>
      <c r="MO5" s="99"/>
      <c r="MP5" s="100"/>
      <c r="MQ5" s="101"/>
      <c r="MR5" s="183" t="str">
        <f>IFERROR((((COUNTIF('Elève (6ème4)'!MO5:MQ5,"A"))*4)+((COUNTIF('Elève (6ème4)'!MO5:MQ5,"B"))*3)+((COUNTIF('Elève (6ème4)'!MO5:MQ5,"C"))*2)+((COUNTIF('Elève (6ème4)'!MO5:MQ5,"D"))*1))/(COUNTA(MO5:MQ5)),"")</f>
        <v/>
      </c>
      <c r="MS5" s="184" t="str">
        <f t="shared" si="82"/>
        <v/>
      </c>
      <c r="MT5" s="183">
        <f>IF(COUNT(MH5,MM5,MR5)=0,"",SUM(MH5,MM5,MR5)/COUNT(MH5,MM5,MR5))</f>
        <v>3</v>
      </c>
      <c r="MU5" s="207" t="str">
        <f t="shared" si="83"/>
        <v>B</v>
      </c>
      <c r="MV5" s="105"/>
      <c r="MW5" s="100"/>
      <c r="MX5" s="101" t="s">
        <v>25</v>
      </c>
      <c r="MY5" s="183">
        <f>IFERROR((((COUNTIF('Elève (6ème4)'!MV5:MX5,"A"))*4)+((COUNTIF('Elève (6ème4)'!MV5:MX5,"B"))*3)+((COUNTIF('Elève (6ème4)'!MV5:MX5,"C"))*2)+((COUNTIF('Elève (6ème4)'!MV5:MX5,"D"))*1))/(COUNTA(MV5:MX5)),"")</f>
        <v>2</v>
      </c>
      <c r="MZ5" s="184" t="str">
        <f t="shared" si="84"/>
        <v>C</v>
      </c>
      <c r="NA5" s="99" t="s">
        <v>23</v>
      </c>
      <c r="NB5" s="100"/>
      <c r="NC5" s="101"/>
      <c r="ND5" s="183">
        <f>IFERROR((((COUNTIF('Elève (6ème4)'!NA5:NC5,"A"))*4)+((COUNTIF('Elève (6ème4)'!NA5:NC5,"B"))*3)+((COUNTIF('Elève (6ème4)'!NA5:NC5,"C"))*2)+((COUNTIF('Elève (6ème4)'!NA5:NC5,"D"))*1))/(COUNTA(NA5:NC5)),"")</f>
        <v>4</v>
      </c>
      <c r="NE5" s="184" t="str">
        <f t="shared" si="85"/>
        <v>A</v>
      </c>
      <c r="NF5" s="99"/>
      <c r="NG5" s="100"/>
      <c r="NH5" s="101"/>
      <c r="NI5" s="183" t="str">
        <f>IFERROR((((COUNTIF('Elève (6ème4)'!NF5:NH5,"A"))*4)+((COUNTIF('Elève (6ème4)'!NF5:NH5,"B"))*3)+((COUNTIF('Elève (6ème4)'!NF5:NH5,"C"))*2)+((COUNTIF('Elève (6ème4)'!NF5:NH5,"D"))*1))/(COUNTA(NF5:NH5)),"")</f>
        <v/>
      </c>
      <c r="NJ5" s="184" t="str">
        <f t="shared" si="86"/>
        <v/>
      </c>
      <c r="NK5" s="183">
        <f>IF(COUNT(MY5,ND5,NI5)=0,"",SUM(MY5,ND5,NI5)/COUNT(MY5,ND5,NI5))</f>
        <v>3</v>
      </c>
      <c r="NL5" s="207" t="str">
        <f t="shared" si="87"/>
        <v>B</v>
      </c>
      <c r="NM5" s="105"/>
      <c r="NN5" s="100"/>
      <c r="NO5" s="101" t="s">
        <v>24</v>
      </c>
      <c r="NP5" s="183">
        <f>IFERROR((((COUNTIF('Elève (6ème4)'!NM5:NO5,"A"))*4)+((COUNTIF('Elève (6ème4)'!NM5:NO5,"B"))*3)+((COUNTIF('Elève (6ème4)'!NM5:NO5,"C"))*2)+((COUNTIF('Elève (6ème4)'!NM5:NO5,"D"))*1))/(COUNTA(NM5:NO5)),"")</f>
        <v>3</v>
      </c>
      <c r="NQ5" s="184" t="str">
        <f t="shared" si="88"/>
        <v>B</v>
      </c>
      <c r="NR5" s="99" t="s">
        <v>24</v>
      </c>
      <c r="NS5" s="100"/>
      <c r="NT5" s="101"/>
      <c r="NU5" s="183">
        <f>IFERROR((((COUNTIF('Elève (6ème4)'!NR5:NT5,"A"))*4)+((COUNTIF('Elève (6ème4)'!NR5:NT5,"B"))*3)+((COUNTIF('Elève (6ème4)'!NR5:NT5,"C"))*2)+((COUNTIF('Elève (6ème4)'!NR5:NT5,"D"))*1))/(COUNTA(NR5:NT5)),"")</f>
        <v>3</v>
      </c>
      <c r="NV5" s="184" t="str">
        <f t="shared" si="89"/>
        <v>B</v>
      </c>
      <c r="NW5" s="99"/>
      <c r="NX5" s="100"/>
      <c r="NY5" s="101"/>
      <c r="NZ5" s="183" t="str">
        <f>IFERROR((((COUNTIF('Elève (6ème4)'!NW5:NY5,"A"))*4)+((COUNTIF('Elève (6ème4)'!NW5:NY5,"B"))*3)+((COUNTIF('Elève (6ème4)'!NW5:NY5,"C"))*2)+((COUNTIF('Elève (6ème4)'!NW5:NY5,"D"))*1))/(COUNTA(NW5:NY5)),"")</f>
        <v/>
      </c>
      <c r="OA5" s="184" t="str">
        <f t="shared" si="90"/>
        <v/>
      </c>
      <c r="OB5" s="183">
        <f>IF(COUNT(NP5,NU5,NZ5)=0,"",SUM(NP5,NU5,NZ5)/COUNT(NP5,NU5,NZ5))</f>
        <v>3</v>
      </c>
      <c r="OC5" s="207" t="str">
        <f t="shared" si="91"/>
        <v>B</v>
      </c>
      <c r="OD5" s="105"/>
      <c r="OE5" s="100"/>
      <c r="OF5" s="101" t="s">
        <v>24</v>
      </c>
      <c r="OG5" s="183">
        <f>IFERROR((((COUNTIF('Elève (6ème4)'!OD5:OF5,"A"))*4)+((COUNTIF('Elève (6ème4)'!OD5:OF5,"B"))*3)+((COUNTIF('Elève (6ème4)'!OD5:OF5,"C"))*2)+((COUNTIF('Elève (6ème4)'!OD5:OF5,"D"))*1))/(COUNTA(OD5:OF5)),"")</f>
        <v>3</v>
      </c>
      <c r="OH5" s="184" t="str">
        <f t="shared" si="92"/>
        <v>B</v>
      </c>
      <c r="OI5" s="99" t="s">
        <v>23</v>
      </c>
      <c r="OJ5" s="100"/>
      <c r="OK5" s="101"/>
      <c r="OL5" s="183">
        <f>IFERROR((((COUNTIF('Elève (6ème4)'!OI5:OK5,"A"))*4)+((COUNTIF('Elève (6ème4)'!OI5:OK5,"B"))*3)+((COUNTIF('Elève (6ème4)'!OI5:OK5,"C"))*2)+((COUNTIF('Elève (6ème4)'!OI5:OK5,"D"))*1))/(COUNTA(OI5:OK5)),"")</f>
        <v>4</v>
      </c>
      <c r="OM5" s="184" t="str">
        <f t="shared" si="93"/>
        <v>A</v>
      </c>
      <c r="ON5" s="99"/>
      <c r="OO5" s="100"/>
      <c r="OP5" s="101"/>
      <c r="OQ5" s="183" t="str">
        <f>IFERROR((((COUNTIF('Elève (6ème4)'!ON5:OP5,"A"))*4)+((COUNTIF('Elève (6ème4)'!ON5:OP5,"B"))*3)+((COUNTIF('Elève (6ème4)'!ON5:OP5,"C"))*2)+((COUNTIF('Elève (6ème4)'!ON5:OP5,"D"))*1))/(COUNTA(ON5:OP5)),"")</f>
        <v/>
      </c>
      <c r="OR5" s="184" t="str">
        <f t="shared" si="94"/>
        <v/>
      </c>
      <c r="OS5" s="183">
        <f>IF(COUNT(OG5,OL5,OQ5)=0,"",SUM(OG5,OL5,OQ5)/COUNT(OG5,OL5,OQ5))</f>
        <v>3.5</v>
      </c>
      <c r="OT5" s="207" t="str">
        <f t="shared" si="95"/>
        <v>B</v>
      </c>
      <c r="OU5" s="105"/>
      <c r="OV5" s="100"/>
      <c r="OW5" s="101" t="s">
        <v>24</v>
      </c>
      <c r="OX5" s="183">
        <f>IFERROR((((COUNTIF('Elève (6ème4)'!OU5:OW5,"A"))*4)+((COUNTIF('Elève (6ème4)'!OU5:OW5,"B"))*3)+((COUNTIF('Elève (6ème4)'!OU5:OW5,"C"))*2)+((COUNTIF('Elève (6ème4)'!OU5:OW5,"D"))*1))/(COUNTA(OU5:OW5)),"")</f>
        <v>3</v>
      </c>
      <c r="OY5" s="184" t="str">
        <f t="shared" si="96"/>
        <v>B</v>
      </c>
      <c r="OZ5" s="99" t="s">
        <v>23</v>
      </c>
      <c r="PA5" s="100"/>
      <c r="PB5" s="101"/>
      <c r="PC5" s="183">
        <f>IFERROR((((COUNTIF('Elève (6ème4)'!OZ5:PB5,"A"))*4)+((COUNTIF('Elève (6ème4)'!OZ5:PB5,"B"))*3)+((COUNTIF('Elève (6ème4)'!OZ5:PB5,"C"))*2)+((COUNTIF('Elève (6ème4)'!OZ5:PB5,"D"))*1))/(COUNTA(OZ5:PB5)),"")</f>
        <v>4</v>
      </c>
      <c r="PD5" s="184" t="str">
        <f t="shared" si="97"/>
        <v>A</v>
      </c>
      <c r="PE5" s="99"/>
      <c r="PF5" s="100"/>
      <c r="PG5" s="101"/>
      <c r="PH5" s="183" t="str">
        <f>IFERROR((((COUNTIF('Elève (6ème4)'!PE5:PG5,"A"))*4)+((COUNTIF('Elève (6ème4)'!PE5:PG5,"B"))*3)+((COUNTIF('Elève (6ème4)'!PE5:PG5,"C"))*2)+((COUNTIF('Elève (6ème4)'!PE5:PG5,"D"))*1))/(COUNTA(PE5:PG5)),"")</f>
        <v/>
      </c>
      <c r="PI5" s="184" t="str">
        <f t="shared" si="98"/>
        <v/>
      </c>
      <c r="PJ5" s="183">
        <f>IF(COUNT(OX5,PC5,PH5)=0,"",SUM(OX5,PC5,PH5)/COUNT(OX5,PC5,PH5))</f>
        <v>3.5</v>
      </c>
      <c r="PK5" s="207" t="str">
        <f t="shared" si="99"/>
        <v>B</v>
      </c>
      <c r="PL5" s="105"/>
      <c r="PM5" s="100"/>
      <c r="PN5" s="101"/>
      <c r="PO5" s="183" t="str">
        <f>IFERROR((((COUNTIF('Elève (6ème4)'!PL5:PN5,"A"))*4)+((COUNTIF('Elève (6ème4)'!PL5:PN5,"B"))*3)+((COUNTIF('Elève (6ème4)'!PL5:PN5,"C"))*2)+((COUNTIF('Elève (6ème4)'!PL5:PN5,"D"))*1))/(COUNTA(PL5:PN5)),"")</f>
        <v/>
      </c>
      <c r="PP5" s="184" t="str">
        <f t="shared" si="100"/>
        <v/>
      </c>
      <c r="PQ5" s="99" t="s">
        <v>23</v>
      </c>
      <c r="PR5" s="100"/>
      <c r="PS5" s="101"/>
      <c r="PT5" s="183">
        <f>IFERROR((((COUNTIF('Elève (6ème4)'!PQ5:PS5,"A"))*4)+((COUNTIF('Elève (6ème4)'!PQ5:PS5,"B"))*3)+((COUNTIF('Elève (6ème4)'!PQ5:PS5,"C"))*2)+((COUNTIF('Elève (6ème4)'!PQ5:PS5,"D"))*1))/(COUNTA(PQ5:PS5)),"")</f>
        <v>4</v>
      </c>
      <c r="PU5" s="184" t="str">
        <f t="shared" si="101"/>
        <v>A</v>
      </c>
      <c r="PV5" s="99"/>
      <c r="PW5" s="100"/>
      <c r="PX5" s="101"/>
      <c r="PY5" s="183" t="str">
        <f>IFERROR((((COUNTIF('Elève (6ème4)'!PV5:PX5,"A"))*4)+((COUNTIF('Elève (6ème4)'!PV5:PX5,"B"))*3)+((COUNTIF('Elève (6ème4)'!PV5:PX5,"C"))*2)+((COUNTIF('Elève (6ème4)'!PV5:PX5,"D"))*1))/(COUNTA(PV5:PX5)),"")</f>
        <v/>
      </c>
      <c r="PZ5" s="184" t="str">
        <f t="shared" si="102"/>
        <v/>
      </c>
      <c r="QA5" s="183">
        <f>IF(COUNT(PO5,PT5,PY5)=0,"",SUM(PO5,PT5,PY5)/COUNT(PO5,PT5,PY5))</f>
        <v>4</v>
      </c>
      <c r="QB5" s="207" t="str">
        <f t="shared" si="103"/>
        <v>A</v>
      </c>
      <c r="QC5" s="105"/>
      <c r="QD5" s="100"/>
      <c r="QE5" s="101" t="s">
        <v>25</v>
      </c>
      <c r="QF5" s="183">
        <f>IFERROR((((COUNTIF('Elève (6ème4)'!QC5:QE5,"A"))*4)+((COUNTIF('Elève (6ème4)'!QC5:QE5,"B"))*3)+((COUNTIF('Elève (6ème4)'!QC5:QE5,"C"))*2)+((COUNTIF('Elève (6ème4)'!QC5:QE5,"D"))*1))/(COUNTA(QC5:QE5)),"")</f>
        <v>2</v>
      </c>
      <c r="QG5" s="184" t="str">
        <f t="shared" si="104"/>
        <v>C</v>
      </c>
      <c r="QH5" s="99" t="s">
        <v>23</v>
      </c>
      <c r="QI5" s="100"/>
      <c r="QJ5" s="101"/>
      <c r="QK5" s="183">
        <f>IFERROR((((COUNTIF('Elève (6ème4)'!QH5:QJ5,"A"))*4)+((COUNTIF('Elève (6ème4)'!QH5:QJ5,"B"))*3)+((COUNTIF('Elève (6ème4)'!QH5:QJ5,"C"))*2)+((COUNTIF('Elève (6ème4)'!QH5:QJ5,"D"))*1))/(COUNTA(QH5:QJ5)),"")</f>
        <v>4</v>
      </c>
      <c r="QL5" s="184" t="str">
        <f t="shared" si="105"/>
        <v>A</v>
      </c>
      <c r="QM5" s="99"/>
      <c r="QN5" s="100"/>
      <c r="QO5" s="101"/>
      <c r="QP5" s="183" t="str">
        <f>IFERROR((((COUNTIF('Elève (6ème4)'!QM5:QO5,"A"))*4)+((COUNTIF('Elève (6ème4)'!QM5:QO5,"B"))*3)+((COUNTIF('Elève (6ème4)'!QM5:QO5,"C"))*2)+((COUNTIF('Elève (6ème4)'!QM5:QO5,"D"))*1))/(COUNTA(QM5:QO5)),"")</f>
        <v/>
      </c>
      <c r="QQ5" s="184" t="str">
        <f t="shared" si="106"/>
        <v/>
      </c>
      <c r="QR5" s="183">
        <f>IF(COUNT(QF5,QK5,QP5)=0,"",SUM(QF5,QK5,QP5)/COUNT(QF5,QK5,QP5))</f>
        <v>3</v>
      </c>
      <c r="QS5" s="207" t="str">
        <f t="shared" si="107"/>
        <v>B</v>
      </c>
      <c r="QT5" s="105"/>
      <c r="QU5" s="100"/>
      <c r="QV5" s="101" t="s">
        <v>25</v>
      </c>
      <c r="QW5" s="102">
        <f>IFERROR((((COUNTIF('Elève (6ème4)'!QT5:QV5,"A"))*4)+((COUNTIF('Elève (6ème4)'!QT5:QV5,"B"))*3)+((COUNTIF('Elève (6ème4)'!QT5:QV5,"C"))*2)+((COUNTIF('Elève (6ème4)'!QT5:QV5,"D"))*1))/(COUNTA(QT5:QV5)),"")</f>
        <v>2</v>
      </c>
      <c r="QX5" s="103" t="str">
        <f t="shared" si="108"/>
        <v>C</v>
      </c>
      <c r="QY5" s="99" t="s">
        <v>25</v>
      </c>
      <c r="QZ5" s="100"/>
      <c r="RA5" s="101"/>
      <c r="RB5" s="102">
        <f>IFERROR((((COUNTIF('Elève (6ème4)'!QY5:RA5,"A"))*4)+((COUNTIF('Elève (6ème4)'!QY5:RA5,"B"))*3)+((COUNTIF('Elève (6ème4)'!QY5:RA5,"C"))*2)+((COUNTIF('Elève (6ème4)'!QY5:RA5,"D"))*1))/(COUNTA(QY5:RA5)),"")</f>
        <v>2</v>
      </c>
      <c r="RC5" s="103" t="str">
        <f t="shared" si="109"/>
        <v>C</v>
      </c>
      <c r="RD5" s="99"/>
      <c r="RE5" s="100"/>
      <c r="RF5" s="101"/>
      <c r="RG5" s="102" t="str">
        <f>IFERROR((((COUNTIF('Elève (6ème4)'!RD5:RF5,"A"))*4)+((COUNTIF('Elève (6ème4)'!RD5:RF5,"B"))*3)+((COUNTIF('Elève (6ème4)'!RD5:RF5,"C"))*2)+((COUNTIF('Elève (6ème4)'!RD5:RF5,"D"))*1))/(COUNTA(RD5:RF5)),"")</f>
        <v/>
      </c>
      <c r="RH5" s="103" t="str">
        <f t="shared" si="110"/>
        <v/>
      </c>
      <c r="RI5" s="102">
        <f>IF(COUNT(QW5,RB5,RG5)=0,"",SUM(QW5,RB5,RG5)/COUNT(QW5,RB5,RG5))</f>
        <v>2</v>
      </c>
      <c r="RJ5" s="104" t="str">
        <f t="shared" si="111"/>
        <v>C</v>
      </c>
      <c r="RK5" s="105"/>
      <c r="RL5" s="100"/>
      <c r="RM5" s="101"/>
      <c r="RN5" s="102" t="str">
        <f>IFERROR((((COUNTIF('Elève (6ème4)'!RK5:RM5,"A"))*4)+((COUNTIF('Elève (6ème4)'!RK5:RM5,"B"))*3)+((COUNTIF('Elève (6ème4)'!RK5:RM5,"C"))*2)+((COUNTIF('Elève (6ème4)'!RK5:RM5,"D"))*1))/(COUNTA(RK5:RM5)),"")</f>
        <v/>
      </c>
      <c r="RO5" s="103" t="str">
        <f t="shared" si="112"/>
        <v/>
      </c>
      <c r="RP5" s="99"/>
      <c r="RQ5" s="100"/>
      <c r="RR5" s="101"/>
      <c r="RS5" s="102" t="str">
        <f>IFERROR((((COUNTIF('Elève (6ème4)'!RP5:RR5,"A"))*4)+((COUNTIF('Elève (6ème4)'!RP5:RR5,"B"))*3)+((COUNTIF('Elève (6ème4)'!RP5:RR5,"C"))*2)+((COUNTIF('Elève (6ème4)'!RP5:RR5,"D"))*1))/(COUNTA(RP5:RR5)),"")</f>
        <v/>
      </c>
      <c r="RT5" s="103" t="str">
        <f t="shared" si="113"/>
        <v/>
      </c>
      <c r="RU5" s="99"/>
      <c r="RV5" s="100"/>
      <c r="RW5" s="101"/>
      <c r="RX5" s="102" t="str">
        <f>IFERROR((((COUNTIF('Elève (6ème4)'!RU5:RW5,"A"))*4)+((COUNTIF('Elève (6ème4)'!RU5:RW5,"B"))*3)+((COUNTIF('Elève (6ème4)'!RU5:RW5,"C"))*2)+((COUNTIF('Elève (6ème4)'!RU5:RW5,"D"))*1))/(COUNTA(RU5:RW5)),"")</f>
        <v/>
      </c>
      <c r="RY5" s="103" t="str">
        <f t="shared" si="114"/>
        <v/>
      </c>
      <c r="RZ5" s="102" t="str">
        <f>IF(COUNT(RN5,RS5,RX5)=0,"",SUM(RN5,RS5,RX5)/COUNT(RN5,RS5,RX5))</f>
        <v/>
      </c>
      <c r="SA5" s="104" t="str">
        <f t="shared" si="115"/>
        <v/>
      </c>
      <c r="SB5" s="105"/>
      <c r="SC5" s="100"/>
      <c r="SD5" s="101"/>
      <c r="SE5" s="102" t="str">
        <f>IFERROR((((COUNTIF('Elève (6ème4)'!SB5:SD5,"A"))*4)+((COUNTIF('Elève (6ème4)'!SB5:SD5,"B"))*3)+((COUNTIF('Elève (6ème4)'!SB5:SD5,"C"))*2)+((COUNTIF('Elève (6ème4)'!SB5:SD5,"D"))*1))/(COUNTA(SB5:SD5)),"")</f>
        <v/>
      </c>
      <c r="SF5" s="103" t="str">
        <f t="shared" si="116"/>
        <v/>
      </c>
      <c r="SG5" s="99"/>
      <c r="SH5" s="100"/>
      <c r="SI5" s="101"/>
      <c r="SJ5" s="102" t="str">
        <f>IFERROR((((COUNTIF('Elève (6ème4)'!SG5:SI5,"A"))*4)+((COUNTIF('Elève (6ème4)'!SG5:SI5,"B"))*3)+((COUNTIF('Elève (6ème4)'!SG5:SI5,"C"))*2)+((COUNTIF('Elève (6ème4)'!SG5:SI5,"D"))*1))/(COUNTA(SG5:SI5)),"")</f>
        <v/>
      </c>
      <c r="SK5" s="103" t="str">
        <f t="shared" si="117"/>
        <v/>
      </c>
      <c r="SL5" s="99"/>
      <c r="SM5" s="100"/>
      <c r="SN5" s="101"/>
      <c r="SO5" s="102" t="str">
        <f>IFERROR((((COUNTIF('Elève (6ème4)'!SL5:SN5,"A"))*4)+((COUNTIF('Elève (6ème4)'!SL5:SN5,"B"))*3)+((COUNTIF('Elève (6ème4)'!SL5:SN5,"C"))*2)+((COUNTIF('Elève (6ème4)'!SL5:SN5,"D"))*1))/(COUNTA(SL5:SN5)),"")</f>
        <v/>
      </c>
      <c r="SP5" s="103" t="str">
        <f t="shared" si="118"/>
        <v/>
      </c>
      <c r="SQ5" s="102" t="str">
        <f>IF(COUNT(SE5,SJ5,SO5)=0,"",SUM(SE5,SJ5,SO5)/COUNT(SE5,SJ5,SO5))</f>
        <v/>
      </c>
      <c r="SR5" s="104" t="str">
        <f t="shared" si="119"/>
        <v/>
      </c>
      <c r="SS5" s="105"/>
      <c r="ST5" s="100"/>
      <c r="SU5" s="101"/>
      <c r="SV5" s="102" t="str">
        <f>IFERROR((((COUNTIF('Elève (6ème4)'!SS5:SU5,"A"))*4)+((COUNTIF('Elève (6ème4)'!SS5:SU5,"B"))*3)+((COUNTIF('Elève (6ème4)'!SS5:SU5,"C"))*2)+((COUNTIF('Elève (6ème4)'!SS5:SU5,"D"))*1))/(COUNTA(SS5:SU5)),"")</f>
        <v/>
      </c>
      <c r="SW5" s="103" t="str">
        <f t="shared" si="120"/>
        <v/>
      </c>
      <c r="SX5" s="99"/>
      <c r="SY5" s="100"/>
      <c r="SZ5" s="101"/>
      <c r="TA5" s="102" t="str">
        <f>IFERROR((((COUNTIF('Elève (6ème4)'!SX5:SZ5,"A"))*4)+((COUNTIF('Elève (6ème4)'!SX5:SZ5,"B"))*3)+((COUNTIF('Elève (6ème4)'!SX5:SZ5,"C"))*2)+((COUNTIF('Elève (6ème4)'!SX5:SZ5,"D"))*1))/(COUNTA(SX5:SZ5)),"")</f>
        <v/>
      </c>
      <c r="TB5" s="103" t="str">
        <f t="shared" si="121"/>
        <v/>
      </c>
      <c r="TC5" s="99"/>
      <c r="TD5" s="100"/>
      <c r="TE5" s="101"/>
      <c r="TF5" s="102" t="str">
        <f>IFERROR((((COUNTIF('Elève (6ème4)'!TC5:TE5,"A"))*4)+((COUNTIF('Elève (6ème4)'!TC5:TE5,"B"))*3)+((COUNTIF('Elève (6ème4)'!TC5:TE5,"C"))*2)+((COUNTIF('Elève (6ème4)'!TC5:TE5,"D"))*1))/(COUNTA(TC5:TE5)),"")</f>
        <v/>
      </c>
      <c r="TG5" s="103" t="str">
        <f t="shared" si="122"/>
        <v/>
      </c>
      <c r="TH5" s="102" t="str">
        <f>IF(COUNT(SV5,TA5,TF5)=0,"",SUM(SV5,TA5,TF5)/COUNT(SV5,TA5,TF5))</f>
        <v/>
      </c>
      <c r="TI5" s="104" t="str">
        <f t="shared" si="123"/>
        <v/>
      </c>
      <c r="TJ5" s="105"/>
      <c r="TK5" s="100"/>
      <c r="TL5" s="101"/>
      <c r="TM5" s="102" t="str">
        <f>IFERROR((((COUNTIF('Elève (6ème4)'!TJ5:TL5,"A"))*4)+((COUNTIF('Elève (6ème4)'!TJ5:TL5,"B"))*3)+((COUNTIF('Elève (6ème4)'!TJ5:TL5,"C"))*2)+((COUNTIF('Elève (6ème4)'!TJ5:TL5,"D"))*1))/(COUNTA(TJ5:TL5)),"")</f>
        <v/>
      </c>
      <c r="TN5" s="103" t="str">
        <f t="shared" si="124"/>
        <v/>
      </c>
      <c r="TO5" s="99"/>
      <c r="TP5" s="100"/>
      <c r="TQ5" s="101"/>
      <c r="TR5" s="102" t="str">
        <f>IFERROR((((COUNTIF('Elève (6ème4)'!TO5:TQ5,"A"))*4)+((COUNTIF('Elève (6ème4)'!TO5:TQ5,"B"))*3)+((COUNTIF('Elève (6ème4)'!TO5:TQ5,"C"))*2)+((COUNTIF('Elève (6ème4)'!TO5:TQ5,"D"))*1))/(COUNTA(TO5:TQ5)),"")</f>
        <v/>
      </c>
      <c r="TS5" s="103" t="str">
        <f t="shared" si="125"/>
        <v/>
      </c>
      <c r="TT5" s="99"/>
      <c r="TU5" s="100"/>
      <c r="TV5" s="101"/>
      <c r="TW5" s="102" t="str">
        <f>IFERROR((((COUNTIF('Elève (6ème4)'!TT5:TV5,"A"))*4)+((COUNTIF('Elève (6ème4)'!TT5:TV5,"B"))*3)+((COUNTIF('Elève (6ème4)'!TT5:TV5,"C"))*2)+((COUNTIF('Elève (6ème4)'!TT5:TV5,"D"))*1))/(COUNTA(TT5:TV5)),"")</f>
        <v/>
      </c>
      <c r="TX5" s="103" t="str">
        <f t="shared" si="126"/>
        <v/>
      </c>
      <c r="TY5" s="102" t="str">
        <f>IF(COUNT(TM5,TR5,TW5)=0,"",SUM(TM5,TR5,TW5)/COUNT(TM5,TR5,TW5))</f>
        <v/>
      </c>
      <c r="TZ5" s="104" t="str">
        <f t="shared" si="127"/>
        <v/>
      </c>
    </row>
    <row r="6" spans="1:546" ht="15.75" thickBot="1" x14ac:dyDescent="0.3">
      <c r="A6" s="242" t="s">
        <v>13</v>
      </c>
      <c r="B6" s="243"/>
      <c r="C6" s="106"/>
      <c r="D6" s="107"/>
      <c r="E6" s="108"/>
      <c r="F6" s="185" t="str">
        <f>IFERROR((((COUNTIF('Elève (6ème4)'!C6:E6,"A"))*4)+((COUNTIF('Elève (6ème4)'!C6:E6,"B"))*3)+((COUNTIF('Elève (6ème4)'!C6:E6,"C"))*2)+((COUNTIF('Elève (6ème4)'!C6:E6,"D"))*1))/(COUNTA(C6:E6)),"")</f>
        <v/>
      </c>
      <c r="G6" s="186" t="str">
        <f t="shared" si="0"/>
        <v/>
      </c>
      <c r="H6" s="106"/>
      <c r="I6" s="107"/>
      <c r="J6" s="108"/>
      <c r="K6" s="185" t="str">
        <f>IFERROR((((COUNTIF('Elève (6ème4)'!H6:J6,"A"))*4)+((COUNTIF('Elève (6ème4)'!H6:J6,"B"))*3)+((COUNTIF('Elève (6ème4)'!H6:J6,"C"))*2)+((COUNTIF('Elève (6ème4)'!H6:J6,"D"))*1))/(COUNTA(H6:J6)),"")</f>
        <v/>
      </c>
      <c r="L6" s="186" t="str">
        <f t="shared" si="1"/>
        <v/>
      </c>
      <c r="M6" s="106"/>
      <c r="N6" s="107"/>
      <c r="O6" s="108" t="s">
        <v>23</v>
      </c>
      <c r="P6" s="185">
        <f>IFERROR((((COUNTIF('Elève (6ème4)'!M6:O6,"A"))*4)+((COUNTIF('Elève (6ème4)'!M6:O6,"B"))*3)+((COUNTIF('Elève (6ème4)'!M6:O6,"C"))*2)+((COUNTIF('Elève (6ème4)'!M6:O6,"D"))*1))/(COUNTA(M6:O6)),"")</f>
        <v>4</v>
      </c>
      <c r="Q6" s="186" t="str">
        <f t="shared" si="2"/>
        <v>A</v>
      </c>
      <c r="R6" s="185">
        <f>IF(COUNT(F6,K6,P6)=0,"",SUM(F6,K6,P6)/COUNT(F6,K6,P6))</f>
        <v>4</v>
      </c>
      <c r="S6" s="208" t="str">
        <f t="shared" si="3"/>
        <v>A</v>
      </c>
      <c r="T6" s="112"/>
      <c r="U6" s="107"/>
      <c r="V6" s="108"/>
      <c r="W6" s="185" t="str">
        <f>IFERROR((((COUNTIF('Elève (6ème4)'!T6:V6,"A"))*4)+((COUNTIF('Elève (6ème4)'!T6:V6,"B"))*3)+((COUNTIF('Elève (6ème4)'!T6:V6,"C"))*2)+((COUNTIF('Elève (6ème4)'!T6:V6,"D"))*1))/(COUNTA(T6:V6)),"")</f>
        <v/>
      </c>
      <c r="X6" s="186" t="str">
        <f t="shared" si="4"/>
        <v/>
      </c>
      <c r="Y6" s="106"/>
      <c r="Z6" s="107"/>
      <c r="AA6" s="108"/>
      <c r="AB6" s="185" t="str">
        <f>IFERROR((((COUNTIF('Elève (6ème4)'!Y6:AA6,"A"))*4)+((COUNTIF('Elève (6ème4)'!Y6:AA6,"B"))*3)+((COUNTIF('Elève (6ème4)'!Y6:AA6,"C"))*2)+((COUNTIF('Elève (6ème4)'!Y6:AA6,"D"))*1))/(COUNTA(Y6:AA6)),"")</f>
        <v/>
      </c>
      <c r="AC6" s="186" t="str">
        <f t="shared" si="5"/>
        <v/>
      </c>
      <c r="AD6" s="106"/>
      <c r="AE6" s="107"/>
      <c r="AF6" s="108" t="s">
        <v>23</v>
      </c>
      <c r="AG6" s="185">
        <f>IFERROR((((COUNTIF('Elève (6ème4)'!AD6:AF6,"A"))*4)+((COUNTIF('Elève (6ème4)'!AD6:AF6,"B"))*3)+((COUNTIF('Elève (6ème4)'!AD6:AF6,"C"))*2)+((COUNTIF('Elève (6ème4)'!AD6:AF6,"D"))*1))/(COUNTA(AD6:AF6)),"")</f>
        <v>4</v>
      </c>
      <c r="AH6" s="186" t="str">
        <f t="shared" si="6"/>
        <v>A</v>
      </c>
      <c r="AI6" s="185">
        <f>IF(COUNT(W6,AB6,AG6)=0,"",SUM(W6,AB6,AG6)/COUNT(W6,AB6,AG6))</f>
        <v>4</v>
      </c>
      <c r="AJ6" s="208" t="str">
        <f t="shared" si="7"/>
        <v>A</v>
      </c>
      <c r="AK6" s="112"/>
      <c r="AL6" s="107"/>
      <c r="AM6" s="108"/>
      <c r="AN6" s="185" t="str">
        <f>IFERROR((((COUNTIF('Elève (6ème4)'!AK6:AM6,"A"))*4)+((COUNTIF('Elève (6ème4)'!AK6:AM6,"B"))*3)+((COUNTIF('Elève (6ème4)'!AK6:AM6,"C"))*2)+((COUNTIF('Elève (6ème4)'!AK6:AM6,"D"))*1))/(COUNTA(AK6:AM6)),"")</f>
        <v/>
      </c>
      <c r="AO6" s="186" t="str">
        <f t="shared" si="8"/>
        <v/>
      </c>
      <c r="AP6" s="106"/>
      <c r="AQ6" s="107"/>
      <c r="AR6" s="108"/>
      <c r="AS6" s="185" t="str">
        <f>IFERROR((((COUNTIF('Elève (6ème4)'!AP6:AR6,"A"))*4)+((COUNTIF('Elève (6ème4)'!AP6:AR6,"B"))*3)+((COUNTIF('Elève (6ème4)'!AP6:AR6,"C"))*2)+((COUNTIF('Elève (6ème4)'!AP6:AR6,"D"))*1))/(COUNTA(AP6:AR6)),"")</f>
        <v/>
      </c>
      <c r="AT6" s="186" t="str">
        <f t="shared" si="9"/>
        <v/>
      </c>
      <c r="AU6" s="106"/>
      <c r="AV6" s="107"/>
      <c r="AW6" s="108" t="s">
        <v>23</v>
      </c>
      <c r="AX6" s="185">
        <f>IFERROR((((COUNTIF('Elève (6ème4)'!AU6:AW6,"A"))*4)+((COUNTIF('Elève (6ème4)'!AU6:AW6,"B"))*3)+((COUNTIF('Elève (6ème4)'!AU6:AW6,"C"))*2)+((COUNTIF('Elève (6ème4)'!AU6:AW6,"D"))*1))/(COUNTA(AU6:AW6)),"")</f>
        <v>4</v>
      </c>
      <c r="AY6" s="186" t="str">
        <f t="shared" si="10"/>
        <v>A</v>
      </c>
      <c r="AZ6" s="185">
        <f>IF(COUNT(AN6,AS6,AX6)=0,"",SUM(AN6,AS6,AX6)/COUNT(AN6,AS6,AX6))</f>
        <v>4</v>
      </c>
      <c r="BA6" s="208" t="str">
        <f t="shared" si="11"/>
        <v>A</v>
      </c>
      <c r="BB6" s="112"/>
      <c r="BC6" s="107"/>
      <c r="BD6" s="108"/>
      <c r="BE6" s="185" t="str">
        <f>IFERROR((((COUNTIF('Elève (6ème4)'!BB6:BD6,"A"))*4)+((COUNTIF('Elève (6ème4)'!BB6:BD6,"B"))*3)+((COUNTIF('Elève (6ème4)'!BB6:BD6,"C"))*2)+((COUNTIF('Elève (6ème4)'!BB6:BD6,"D"))*1))/(COUNTA(BB6:BD6)),"")</f>
        <v/>
      </c>
      <c r="BF6" s="186" t="str">
        <f t="shared" si="12"/>
        <v/>
      </c>
      <c r="BG6" s="106"/>
      <c r="BH6" s="107"/>
      <c r="BI6" s="108"/>
      <c r="BJ6" s="185" t="str">
        <f>IFERROR((((COUNTIF('Elève (6ème4)'!BG6:BI6,"A"))*4)+((COUNTIF('Elève (6ème4)'!BG6:BI6,"B"))*3)+((COUNTIF('Elève (6ème4)'!BG6:BI6,"C"))*2)+((COUNTIF('Elève (6ème4)'!BG6:BI6,"D"))*1))/(COUNTA(BG6:BI6)),"")</f>
        <v/>
      </c>
      <c r="BK6" s="186" t="str">
        <f t="shared" si="13"/>
        <v/>
      </c>
      <c r="BL6" s="106"/>
      <c r="BM6" s="107"/>
      <c r="BN6" s="108"/>
      <c r="BO6" s="185" t="str">
        <f>IFERROR((((COUNTIF('Elève (6ème4)'!BL6:BN6,"A"))*4)+((COUNTIF('Elève (6ème4)'!BL6:BN6,"B"))*3)+((COUNTIF('Elève (6ème4)'!BL6:BN6,"C"))*2)+((COUNTIF('Elève (6ème4)'!BL6:BN6,"D"))*1))/(COUNTA(BL6:BN6)),"")</f>
        <v/>
      </c>
      <c r="BP6" s="186" t="str">
        <f t="shared" si="14"/>
        <v/>
      </c>
      <c r="BQ6" s="185" t="str">
        <f>IF(COUNT(BE6,BJ6,BO6)=0,"",SUM(BE6,BJ6,BO6)/COUNT(BE6,BJ6,BO6))</f>
        <v/>
      </c>
      <c r="BR6" s="208" t="str">
        <f t="shared" si="15"/>
        <v/>
      </c>
      <c r="BS6" s="112"/>
      <c r="BT6" s="107"/>
      <c r="BU6" s="108"/>
      <c r="BV6" s="185" t="str">
        <f>IFERROR((((COUNTIF('Elève (6ème4)'!BS6:BU6,"A"))*4)+((COUNTIF('Elève (6ème4)'!BS6:BU6,"B"))*3)+((COUNTIF('Elève (6ème4)'!BS6:BU6,"C"))*2)+((COUNTIF('Elève (6ème4)'!BS6:BU6,"D"))*1))/(COUNTA(BS6:BU6)),"")</f>
        <v/>
      </c>
      <c r="BW6" s="186" t="str">
        <f t="shared" si="16"/>
        <v/>
      </c>
      <c r="BX6" s="106"/>
      <c r="BY6" s="107"/>
      <c r="BZ6" s="108"/>
      <c r="CA6" s="185" t="str">
        <f>IFERROR((((COUNTIF('Elève (6ème4)'!BX6:BZ6,"A"))*4)+((COUNTIF('Elève (6ème4)'!BX6:BZ6,"B"))*3)+((COUNTIF('Elève (6ème4)'!BX6:BZ6,"C"))*2)+((COUNTIF('Elève (6ème4)'!BX6:BZ6,"D"))*1))/(COUNTA(BX6:BZ6)),"")</f>
        <v/>
      </c>
      <c r="CB6" s="186" t="str">
        <f t="shared" si="17"/>
        <v/>
      </c>
      <c r="CC6" s="106"/>
      <c r="CD6" s="107"/>
      <c r="CE6" s="108" t="s">
        <v>23</v>
      </c>
      <c r="CF6" s="185">
        <f>IFERROR((((COUNTIF('Elève (6ème4)'!CC6:CE6,"A"))*4)+((COUNTIF('Elève (6ème4)'!CC6:CE6,"B"))*3)+((COUNTIF('Elève (6ème4)'!CC6:CE6,"C"))*2)+((COUNTIF('Elève (6ème4)'!CC6:CE6,"D"))*1))/(COUNTA(CC6:CE6)),"")</f>
        <v>4</v>
      </c>
      <c r="CG6" s="186" t="str">
        <f t="shared" si="18"/>
        <v>A</v>
      </c>
      <c r="CH6" s="185">
        <f>IF(COUNT(BV6,CA6,CF6)=0,"",SUM(BV6,CA6,CF6)/COUNT(BV6,CA6,CF6))</f>
        <v>4</v>
      </c>
      <c r="CI6" s="208" t="str">
        <f t="shared" si="19"/>
        <v>A</v>
      </c>
      <c r="CJ6" s="112"/>
      <c r="CK6" s="107"/>
      <c r="CL6" s="108"/>
      <c r="CM6" s="185" t="str">
        <f>IFERROR((((COUNTIF('Elève (6ème4)'!CJ6:CL6,"A"))*4)+((COUNTIF('Elève (6ème4)'!CJ6:CL6,"B"))*3)+((COUNTIF('Elève (6ème4)'!CJ6:CL6,"C"))*2)+((COUNTIF('Elève (6ème4)'!CJ6:CL6,"D"))*1))/(COUNTA(CJ6:CL6)),"")</f>
        <v/>
      </c>
      <c r="CN6" s="186" t="str">
        <f t="shared" si="20"/>
        <v/>
      </c>
      <c r="CO6" s="106"/>
      <c r="CP6" s="107"/>
      <c r="CQ6" s="108"/>
      <c r="CR6" s="185" t="str">
        <f>IFERROR((((COUNTIF('Elève (6ème4)'!CO6:CQ6,"A"))*4)+((COUNTIF('Elève (6ème4)'!CO6:CQ6,"B"))*3)+((COUNTIF('Elève (6ème4)'!CO6:CQ6,"C"))*2)+((COUNTIF('Elève (6ème4)'!CO6:CQ6,"D"))*1))/(COUNTA(CO6:CQ6)),"")</f>
        <v/>
      </c>
      <c r="CS6" s="186" t="str">
        <f t="shared" si="21"/>
        <v/>
      </c>
      <c r="CT6" s="106"/>
      <c r="CU6" s="107"/>
      <c r="CV6" s="108" t="s">
        <v>23</v>
      </c>
      <c r="CW6" s="185">
        <f>IFERROR((((COUNTIF('Elève (6ème4)'!CT6:CV6,"A"))*4)+((COUNTIF('Elève (6ème4)'!CT6:CV6,"B"))*3)+((COUNTIF('Elève (6ème4)'!CT6:CV6,"C"))*2)+((COUNTIF('Elève (6ème4)'!CT6:CV6,"D"))*1))/(COUNTA(CT6:CV6)),"")</f>
        <v>4</v>
      </c>
      <c r="CX6" s="186" t="str">
        <f t="shared" si="22"/>
        <v>A</v>
      </c>
      <c r="CY6" s="185">
        <f>IF(COUNT(CM6,CR6,CW6)=0,"",SUM(CM6,CR6,CW6)/COUNT(CM6,CR6,CW6))</f>
        <v>4</v>
      </c>
      <c r="CZ6" s="208" t="str">
        <f t="shared" si="23"/>
        <v>A</v>
      </c>
      <c r="DA6" s="112"/>
      <c r="DB6" s="107"/>
      <c r="DC6" s="108"/>
      <c r="DD6" s="185" t="str">
        <f>IFERROR((((COUNTIF('Elève (6ème4)'!DA6:DC6,"A"))*4)+((COUNTIF('Elève (6ème4)'!DA6:DC6,"B"))*3)+((COUNTIF('Elève (6ème4)'!DA6:DC6,"C"))*2)+((COUNTIF('Elève (6ème4)'!DA6:DC6,"D"))*1))/(COUNTA(DA6:DC6)),"")</f>
        <v/>
      </c>
      <c r="DE6" s="186" t="str">
        <f t="shared" si="24"/>
        <v/>
      </c>
      <c r="DF6" s="106"/>
      <c r="DG6" s="107"/>
      <c r="DH6" s="108"/>
      <c r="DI6" s="185" t="str">
        <f>IFERROR((((COUNTIF('Elève (6ème4)'!DF6:DH6,"A"))*4)+((COUNTIF('Elève (6ème4)'!DF6:DH6,"B"))*3)+((COUNTIF('Elève (6ème4)'!DF6:DH6,"C"))*2)+((COUNTIF('Elève (6ème4)'!DF6:DH6,"D"))*1))/(COUNTA(DF6:DH6)),"")</f>
        <v/>
      </c>
      <c r="DJ6" s="186" t="str">
        <f t="shared" si="25"/>
        <v/>
      </c>
      <c r="DK6" s="106"/>
      <c r="DL6" s="107"/>
      <c r="DM6" s="108" t="s">
        <v>23</v>
      </c>
      <c r="DN6" s="185">
        <f>IFERROR((((COUNTIF('Elève (6ème4)'!DK6:DM6,"A"))*4)+((COUNTIF('Elève (6ème4)'!DK6:DM6,"B"))*3)+((COUNTIF('Elève (6ème4)'!DK6:DM6,"C"))*2)+((COUNTIF('Elève (6ème4)'!DK6:DM6,"D"))*1))/(COUNTA(DK6:DM6)),"")</f>
        <v>4</v>
      </c>
      <c r="DO6" s="186" t="str">
        <f t="shared" si="26"/>
        <v>A</v>
      </c>
      <c r="DP6" s="185">
        <f>IF(COUNT(DD6,DI6,DN6)=0,"",SUM(DD6,DI6,DN6)/COUNT(DD6,DI6,DN6))</f>
        <v>4</v>
      </c>
      <c r="DQ6" s="208" t="str">
        <f t="shared" si="27"/>
        <v>A</v>
      </c>
      <c r="DR6" s="112"/>
      <c r="DS6" s="107"/>
      <c r="DT6" s="108"/>
      <c r="DU6" s="185" t="str">
        <f>IFERROR((((COUNTIF('Elève (6ème4)'!DR6:DT6,"A"))*4)+((COUNTIF('Elève (6ème4)'!DR6:DT6,"B"))*3)+((COUNTIF('Elève (6ème4)'!DR6:DT6,"C"))*2)+((COUNTIF('Elève (6ème4)'!DR6:DT6,"D"))*1))/(COUNTA(DR6:DT6)),"")</f>
        <v/>
      </c>
      <c r="DV6" s="186" t="str">
        <f t="shared" si="28"/>
        <v/>
      </c>
      <c r="DW6" s="106"/>
      <c r="DX6" s="107"/>
      <c r="DY6" s="108"/>
      <c r="DZ6" s="185" t="str">
        <f>IFERROR((((COUNTIF('Elève (6ème4)'!DW6:DY6,"A"))*4)+((COUNTIF('Elève (6ème4)'!DW6:DY6,"B"))*3)+((COUNTIF('Elève (6ème4)'!DW6:DY6,"C"))*2)+((COUNTIF('Elève (6ème4)'!DW6:DY6,"D"))*1))/(COUNTA(DW6:DY6)),"")</f>
        <v/>
      </c>
      <c r="EA6" s="186" t="str">
        <f t="shared" si="29"/>
        <v/>
      </c>
      <c r="EB6" s="106"/>
      <c r="EC6" s="107"/>
      <c r="ED6" s="108" t="s">
        <v>23</v>
      </c>
      <c r="EE6" s="185">
        <f>IFERROR((((COUNTIF('Elève (6ème4)'!EB6:ED6,"A"))*4)+((COUNTIF('Elève (6ème4)'!EB6:ED6,"B"))*3)+((COUNTIF('Elève (6ème4)'!EB6:ED6,"C"))*2)+((COUNTIF('Elève (6ème4)'!EB6:ED6,"D"))*1))/(COUNTA(EB6:ED6)),"")</f>
        <v>4</v>
      </c>
      <c r="EF6" s="186" t="str">
        <f t="shared" si="30"/>
        <v>A</v>
      </c>
      <c r="EG6" s="185">
        <f>IF(COUNT(DU6,DZ6,EE6)=0,"",SUM(DU6,DZ6,EE6)/COUNT(DU6,DZ6,EE6))</f>
        <v>4</v>
      </c>
      <c r="EH6" s="208" t="str">
        <f t="shared" si="31"/>
        <v>A</v>
      </c>
      <c r="EI6" s="112"/>
      <c r="EJ6" s="107"/>
      <c r="EK6" s="108"/>
      <c r="EL6" s="185" t="str">
        <f>IFERROR((((COUNTIF('Elève (6ème4)'!EI6:EK6,"A"))*4)+((COUNTIF('Elève (6ème4)'!EI6:EK6,"B"))*3)+((COUNTIF('Elève (6ème4)'!EI6:EK6,"C"))*2)+((COUNTIF('Elève (6ème4)'!EI6:EK6,"D"))*1))/(COUNTA(EI6:EK6)),"")</f>
        <v/>
      </c>
      <c r="EM6" s="186" t="str">
        <f t="shared" si="32"/>
        <v/>
      </c>
      <c r="EN6" s="106"/>
      <c r="EO6" s="107"/>
      <c r="EP6" s="108"/>
      <c r="EQ6" s="185" t="str">
        <f>IFERROR((((COUNTIF('Elève (6ème4)'!EN6:EP6,"A"))*4)+((COUNTIF('Elève (6ème4)'!EN6:EP6,"B"))*3)+((COUNTIF('Elève (6ème4)'!EN6:EP6,"C"))*2)+((COUNTIF('Elève (6ème4)'!EN6:EP6,"D"))*1))/(COUNTA(EN6:EP6)),"")</f>
        <v/>
      </c>
      <c r="ER6" s="186" t="str">
        <f t="shared" si="33"/>
        <v/>
      </c>
      <c r="ES6" s="106"/>
      <c r="ET6" s="107"/>
      <c r="EU6" s="108" t="s">
        <v>23</v>
      </c>
      <c r="EV6" s="185">
        <f>IFERROR((((COUNTIF('Elève (6ème4)'!ES6:EU6,"A"))*4)+((COUNTIF('Elève (6ème4)'!ES6:EU6,"B"))*3)+((COUNTIF('Elève (6ème4)'!ES6:EU6,"C"))*2)+((COUNTIF('Elève (6ème4)'!ES6:EU6,"D"))*1))/(COUNTA(ES6:EU6)),"")</f>
        <v>4</v>
      </c>
      <c r="EW6" s="186" t="str">
        <f t="shared" si="34"/>
        <v>A</v>
      </c>
      <c r="EX6" s="185">
        <f>IF(COUNT(EL6,EQ6,EV6)=0,"",SUM(EL6,EQ6,EV6)/COUNT(EL6,EQ6,EV6))</f>
        <v>4</v>
      </c>
      <c r="EY6" s="208" t="str">
        <f t="shared" si="35"/>
        <v>A</v>
      </c>
      <c r="EZ6" s="112"/>
      <c r="FA6" s="107"/>
      <c r="FB6" s="108"/>
      <c r="FC6" s="185" t="str">
        <f>IFERROR((((COUNTIF('Elève (6ème4)'!EZ6:FB6,"A"))*4)+((COUNTIF('Elève (6ème4)'!EZ6:FB6,"B"))*3)+((COUNTIF('Elève (6ème4)'!EZ6:FB6,"C"))*2)+((COUNTIF('Elève (6ème4)'!EZ6:FB6,"D"))*1))/(COUNTA(EZ6:FB6)),"")</f>
        <v/>
      </c>
      <c r="FD6" s="186" t="str">
        <f t="shared" si="36"/>
        <v/>
      </c>
      <c r="FE6" s="106"/>
      <c r="FF6" s="107"/>
      <c r="FG6" s="108"/>
      <c r="FH6" s="185" t="str">
        <f>IFERROR((((COUNTIF('Elève (6ème4)'!FE6:FG6,"A"))*4)+((COUNTIF('Elève (6ème4)'!FE6:FG6,"B"))*3)+((COUNTIF('Elève (6ème4)'!FE6:FG6,"C"))*2)+((COUNTIF('Elève (6ème4)'!FE6:FG6,"D"))*1))/(COUNTA(FE6:FG6)),"")</f>
        <v/>
      </c>
      <c r="FI6" s="186" t="str">
        <f t="shared" si="37"/>
        <v/>
      </c>
      <c r="FJ6" s="106"/>
      <c r="FK6" s="107"/>
      <c r="FL6" s="108" t="s">
        <v>23</v>
      </c>
      <c r="FM6" s="185">
        <f>IFERROR((((COUNTIF('Elève (6ème4)'!FJ6:FL6,"A"))*4)+((COUNTIF('Elève (6ème4)'!FJ6:FL6,"B"))*3)+((COUNTIF('Elève (6ème4)'!FJ6:FL6,"C"))*2)+((COUNTIF('Elève (6ème4)'!FJ6:FL6,"D"))*1))/(COUNTA(FJ6:FL6)),"")</f>
        <v>4</v>
      </c>
      <c r="FN6" s="186" t="str">
        <f t="shared" si="38"/>
        <v>A</v>
      </c>
      <c r="FO6" s="185">
        <f>IF(COUNT(FC6,FH6,FM6)=0,"",SUM(FC6,FH6,FM6)/COUNT(FC6,FH6,FM6))</f>
        <v>4</v>
      </c>
      <c r="FP6" s="208" t="str">
        <f t="shared" si="39"/>
        <v>A</v>
      </c>
      <c r="FQ6" s="112"/>
      <c r="FR6" s="107"/>
      <c r="FS6" s="108"/>
      <c r="FT6" s="185" t="str">
        <f>IFERROR((((COUNTIF('Elève (6ème4)'!FQ6:FS6,"A"))*4)+((COUNTIF('Elève (6ème4)'!FQ6:FS6,"B"))*3)+((COUNTIF('Elève (6ème4)'!FQ6:FS6,"C"))*2)+((COUNTIF('Elève (6ème4)'!FQ6:FS6,"D"))*1))/(COUNTA(FQ6:FS6)),"")</f>
        <v/>
      </c>
      <c r="FU6" s="186" t="str">
        <f t="shared" si="40"/>
        <v/>
      </c>
      <c r="FV6" s="106"/>
      <c r="FW6" s="107"/>
      <c r="FX6" s="108"/>
      <c r="FY6" s="185" t="str">
        <f>IFERROR((((COUNTIF('Elève (6ème4)'!FV6:FX6,"A"))*4)+((COUNTIF('Elève (6ème4)'!FV6:FX6,"B"))*3)+((COUNTIF('Elève (6ème4)'!FV6:FX6,"C"))*2)+((COUNTIF('Elève (6ème4)'!FV6:FX6,"D"))*1))/(COUNTA(FV6:FX6)),"")</f>
        <v/>
      </c>
      <c r="FZ6" s="186" t="str">
        <f t="shared" si="41"/>
        <v/>
      </c>
      <c r="GA6" s="106"/>
      <c r="GB6" s="107"/>
      <c r="GC6" s="108" t="s">
        <v>23</v>
      </c>
      <c r="GD6" s="185">
        <f>IFERROR((((COUNTIF('Elève (6ème4)'!GA6:GC6,"A"))*4)+((COUNTIF('Elève (6ème4)'!GA6:GC6,"B"))*3)+((COUNTIF('Elève (6ème4)'!GA6:GC6,"C"))*2)+((COUNTIF('Elève (6ème4)'!GA6:GC6,"D"))*1))/(COUNTA(GA6:GC6)),"")</f>
        <v>4</v>
      </c>
      <c r="GE6" s="186" t="str">
        <f t="shared" si="42"/>
        <v>A</v>
      </c>
      <c r="GF6" s="185">
        <f>IF(COUNT(FT6,FY6,GD6)=0,"",SUM(FT6,FY6,GD6)/COUNT(FT6,FY6,GD6))</f>
        <v>4</v>
      </c>
      <c r="GG6" s="208" t="str">
        <f t="shared" si="43"/>
        <v>A</v>
      </c>
      <c r="GH6" s="112"/>
      <c r="GI6" s="107"/>
      <c r="GJ6" s="108"/>
      <c r="GK6" s="185" t="str">
        <f>IFERROR((((COUNTIF('Elève (6ème4)'!GH6:GJ6,"A"))*4)+((COUNTIF('Elève (6ème4)'!GH6:GJ6,"B"))*3)+((COUNTIF('Elève (6ème4)'!GH6:GJ6,"C"))*2)+((COUNTIF('Elève (6ème4)'!GH6:GJ6,"D"))*1))/(COUNTA(GH6:GJ6)),"")</f>
        <v/>
      </c>
      <c r="GL6" s="186" t="str">
        <f t="shared" si="44"/>
        <v/>
      </c>
      <c r="GM6" s="106"/>
      <c r="GN6" s="107"/>
      <c r="GO6" s="108"/>
      <c r="GP6" s="185" t="str">
        <f>IFERROR((((COUNTIF('Elève (6ème4)'!GM6:GO6,"A"))*4)+((COUNTIF('Elève (6ème4)'!GM6:GO6,"B"))*3)+((COUNTIF('Elève (6ème4)'!GM6:GO6,"C"))*2)+((COUNTIF('Elève (6ème4)'!GM6:GO6,"D"))*1))/(COUNTA(GM6:GO6)),"")</f>
        <v/>
      </c>
      <c r="GQ6" s="186" t="str">
        <f t="shared" si="45"/>
        <v/>
      </c>
      <c r="GR6" s="106"/>
      <c r="GS6" s="107"/>
      <c r="GT6" s="108" t="s">
        <v>23</v>
      </c>
      <c r="GU6" s="185">
        <f>IFERROR((((COUNTIF('Elève (6ème4)'!GR6:GT6,"A"))*4)+((COUNTIF('Elève (6ème4)'!GR6:GT6,"B"))*3)+((COUNTIF('Elève (6ème4)'!GR6:GT6,"C"))*2)+((COUNTIF('Elève (6ème4)'!GR6:GT6,"D"))*1))/(COUNTA(GR6:GT6)),"")</f>
        <v>4</v>
      </c>
      <c r="GV6" s="186" t="str">
        <f t="shared" si="46"/>
        <v>A</v>
      </c>
      <c r="GW6" s="185">
        <f>IF(COUNT(GK6,GP6,GU6)=0,"",SUM(GK6,GP6,GU6)/COUNT(GK6,GP6,GU6))</f>
        <v>4</v>
      </c>
      <c r="GX6" s="208" t="str">
        <f t="shared" si="47"/>
        <v>A</v>
      </c>
      <c r="GY6" s="112"/>
      <c r="GZ6" s="107"/>
      <c r="HA6" s="108"/>
      <c r="HB6" s="185" t="str">
        <f>IFERROR((((COUNTIF('Elève (6ème4)'!GY6:HA6,"A"))*4)+((COUNTIF('Elève (6ème4)'!GY6:HA6,"B"))*3)+((COUNTIF('Elève (6ème4)'!GY6:HA6,"C"))*2)+((COUNTIF('Elève (6ème4)'!GY6:HA6,"D"))*1))/(COUNTA(GY6:HA6)),"")</f>
        <v/>
      </c>
      <c r="HC6" s="186" t="str">
        <f t="shared" si="48"/>
        <v/>
      </c>
      <c r="HD6" s="106"/>
      <c r="HE6" s="107"/>
      <c r="HF6" s="108"/>
      <c r="HG6" s="185" t="str">
        <f>IFERROR((((COUNTIF('Elève (6ème4)'!HD6:HF6,"A"))*4)+((COUNTIF('Elève (6ème4)'!HD6:HF6,"B"))*3)+((COUNTIF('Elève (6ème4)'!HD6:HF6,"C"))*2)+((COUNTIF('Elève (6ème4)'!HD6:HF6,"D"))*1))/(COUNTA(HD6:HF6)),"")</f>
        <v/>
      </c>
      <c r="HH6" s="186" t="str">
        <f t="shared" si="49"/>
        <v/>
      </c>
      <c r="HI6" s="106"/>
      <c r="HJ6" s="107"/>
      <c r="HK6" s="108" t="s">
        <v>23</v>
      </c>
      <c r="HL6" s="185">
        <f>IFERROR((((COUNTIF('Elève (6ème4)'!HI6:HK6,"A"))*4)+((COUNTIF('Elève (6ème4)'!HI6:HK6,"B"))*3)+((COUNTIF('Elève (6ème4)'!HI6:HK6,"C"))*2)+((COUNTIF('Elève (6ème4)'!HI6:HK6,"D"))*1))/(COUNTA(HI6:HK6)),"")</f>
        <v>4</v>
      </c>
      <c r="HM6" s="186" t="str">
        <f t="shared" si="50"/>
        <v>A</v>
      </c>
      <c r="HN6" s="185">
        <f>IF(COUNT(HB6,HG6,HL6)=0,"",SUM(HB6,HG6,HL6)/COUNT(HB6,HG6,HL6))</f>
        <v>4</v>
      </c>
      <c r="HO6" s="208" t="str">
        <f t="shared" si="51"/>
        <v>A</v>
      </c>
      <c r="HP6" s="112"/>
      <c r="HQ6" s="107"/>
      <c r="HR6" s="108"/>
      <c r="HS6" s="185" t="str">
        <f>IFERROR((((COUNTIF('Elève (6ème4)'!HP6:HR6,"A"))*4)+((COUNTIF('Elève (6ème4)'!HP6:HR6,"B"))*3)+((COUNTIF('Elève (6ème4)'!HP6:HR6,"C"))*2)+((COUNTIF('Elève (6ème4)'!HP6:HR6,"D"))*1))/(COUNTA(HP6:HR6)),"")</f>
        <v/>
      </c>
      <c r="HT6" s="186" t="str">
        <f t="shared" si="52"/>
        <v/>
      </c>
      <c r="HU6" s="106"/>
      <c r="HV6" s="107"/>
      <c r="HW6" s="108"/>
      <c r="HX6" s="185" t="str">
        <f>IFERROR((((COUNTIF('Elève (6ème4)'!HU6:HW6,"A"))*4)+((COUNTIF('Elève (6ème4)'!HU6:HW6,"B"))*3)+((COUNTIF('Elève (6ème4)'!HU6:HW6,"C"))*2)+((COUNTIF('Elève (6ème4)'!HU6:HW6,"D"))*1))/(COUNTA(HU6:HW6)),"")</f>
        <v/>
      </c>
      <c r="HY6" s="186" t="str">
        <f t="shared" si="53"/>
        <v/>
      </c>
      <c r="HZ6" s="106"/>
      <c r="IA6" s="107"/>
      <c r="IB6" s="108" t="s">
        <v>23</v>
      </c>
      <c r="IC6" s="185">
        <f>IFERROR((((COUNTIF('Elève (6ème4)'!HZ6:IB6,"A"))*4)+((COUNTIF('Elève (6ème4)'!HZ6:IB6,"B"))*3)+((COUNTIF('Elève (6ème4)'!HZ6:IB6,"C"))*2)+((COUNTIF('Elève (6ème4)'!HZ6:IB6,"D"))*1))/(COUNTA(HZ6:IB6)),"")</f>
        <v>4</v>
      </c>
      <c r="ID6" s="186" t="str">
        <f t="shared" si="54"/>
        <v>A</v>
      </c>
      <c r="IE6" s="185">
        <f>IF(COUNT(HS6,HX6,IC6)=0,"",SUM(HS6,HX6,IC6)/COUNT(HS6,HX6,IC6))</f>
        <v>4</v>
      </c>
      <c r="IF6" s="208" t="str">
        <f t="shared" si="55"/>
        <v>A</v>
      </c>
      <c r="IG6" s="112"/>
      <c r="IH6" s="107"/>
      <c r="II6" s="108"/>
      <c r="IJ6" s="185" t="str">
        <f>IFERROR((((COUNTIF('Elève (6ème4)'!IG6:II6,"A"))*4)+((COUNTIF('Elève (6ème4)'!IG6:II6,"B"))*3)+((COUNTIF('Elève (6ème4)'!IG6:II6,"C"))*2)+((COUNTIF('Elève (6ème4)'!IG6:II6,"D"))*1))/(COUNTA(IG6:II6)),"")</f>
        <v/>
      </c>
      <c r="IK6" s="186" t="str">
        <f t="shared" si="56"/>
        <v/>
      </c>
      <c r="IL6" s="106"/>
      <c r="IM6" s="107"/>
      <c r="IN6" s="108"/>
      <c r="IO6" s="185" t="str">
        <f>IFERROR((((COUNTIF('Elève (6ème4)'!IL6:IN6,"A"))*4)+((COUNTIF('Elève (6ème4)'!IL6:IN6,"B"))*3)+((COUNTIF('Elève (6ème4)'!IL6:IN6,"C"))*2)+((COUNTIF('Elève (6ème4)'!IL6:IN6,"D"))*1))/(COUNTA(IL6:IN6)),"")</f>
        <v/>
      </c>
      <c r="IP6" s="186" t="str">
        <f t="shared" si="57"/>
        <v/>
      </c>
      <c r="IQ6" s="106"/>
      <c r="IR6" s="107"/>
      <c r="IS6" s="108" t="s">
        <v>23</v>
      </c>
      <c r="IT6" s="185">
        <f>IFERROR((((COUNTIF('Elève (6ème4)'!IQ6:IS6,"A"))*4)+((COUNTIF('Elève (6ème4)'!IQ6:IS6,"B"))*3)+((COUNTIF('Elève (6ème4)'!IQ6:IS6,"C"))*2)+((COUNTIF('Elève (6ème4)'!IQ6:IS6,"D"))*1))/(COUNTA(IQ6:IS6)),"")</f>
        <v>4</v>
      </c>
      <c r="IU6" s="186" t="str">
        <f t="shared" si="58"/>
        <v>A</v>
      </c>
      <c r="IV6" s="185">
        <f>IF(COUNT(IJ6,IO6,IT6)=0,"",SUM(IJ6,IO6,IT6)/COUNT(IJ6,IO6,IT6))</f>
        <v>4</v>
      </c>
      <c r="IW6" s="208" t="str">
        <f t="shared" si="59"/>
        <v>A</v>
      </c>
      <c r="IX6" s="112"/>
      <c r="IY6" s="107"/>
      <c r="IZ6" s="108"/>
      <c r="JA6" s="185" t="str">
        <f>IFERROR((((COUNTIF('Elève (6ème4)'!IX6:IZ6,"A"))*4)+((COUNTIF('Elève (6ème4)'!IX6:IZ6,"B"))*3)+((COUNTIF('Elève (6ème4)'!IX6:IZ6,"C"))*2)+((COUNTIF('Elève (6ème4)'!IX6:IZ6,"D"))*1))/(COUNTA(IX6:IZ6)),"")</f>
        <v/>
      </c>
      <c r="JB6" s="186" t="str">
        <f t="shared" si="60"/>
        <v/>
      </c>
      <c r="JC6" s="106"/>
      <c r="JD6" s="107"/>
      <c r="JE6" s="108"/>
      <c r="JF6" s="185" t="str">
        <f>IFERROR((((COUNTIF('Elève (6ème4)'!JC6:JE6,"A"))*4)+((COUNTIF('Elève (6ème4)'!JC6:JE6,"B"))*3)+((COUNTIF('Elève (6ème4)'!JC6:JE6,"C"))*2)+((COUNTIF('Elève (6ème4)'!JC6:JE6,"D"))*1))/(COUNTA(JC6:JE6)),"")</f>
        <v/>
      </c>
      <c r="JG6" s="186" t="str">
        <f t="shared" si="61"/>
        <v/>
      </c>
      <c r="JH6" s="106"/>
      <c r="JI6" s="107"/>
      <c r="JJ6" s="108" t="s">
        <v>24</v>
      </c>
      <c r="JK6" s="185">
        <f>IFERROR((((COUNTIF('Elève (6ème4)'!JH6:JJ6,"A"))*4)+((COUNTIF('Elève (6ème4)'!JH6:JJ6,"B"))*3)+((COUNTIF('Elève (6ème4)'!JH6:JJ6,"C"))*2)+((COUNTIF('Elève (6ème4)'!JH6:JJ6,"D"))*1))/(COUNTA(JH6:JJ6)),"")</f>
        <v>3</v>
      </c>
      <c r="JL6" s="186" t="str">
        <f t="shared" si="62"/>
        <v>B</v>
      </c>
      <c r="JM6" s="185">
        <f>IF(COUNT(JA6,JF6,JK6)=0,"",SUM(JA6,JF6,JK6)/COUNT(JA6,JF6,JK6))</f>
        <v>3</v>
      </c>
      <c r="JN6" s="208" t="str">
        <f t="shared" si="63"/>
        <v>B</v>
      </c>
      <c r="JO6" s="112"/>
      <c r="JP6" s="107"/>
      <c r="JQ6" s="108"/>
      <c r="JR6" s="185" t="str">
        <f>IFERROR((((COUNTIF('Elève (6ème4)'!JO6:JQ6,"A"))*4)+((COUNTIF('Elève (6ème4)'!JO6:JQ6,"B"))*3)+((COUNTIF('Elève (6ème4)'!JO6:JQ6,"C"))*2)+((COUNTIF('Elève (6ème4)'!JO6:JQ6,"D"))*1))/(COUNTA(JO6:JQ6)),"")</f>
        <v/>
      </c>
      <c r="JS6" s="186" t="str">
        <f t="shared" si="64"/>
        <v/>
      </c>
      <c r="JT6" s="106"/>
      <c r="JU6" s="107"/>
      <c r="JV6" s="108"/>
      <c r="JW6" s="185" t="str">
        <f>IFERROR((((COUNTIF('Elève (6ème4)'!JT6:JV6,"A"))*4)+((COUNTIF('Elève (6ème4)'!JT6:JV6,"B"))*3)+((COUNTIF('Elève (6ème4)'!JT6:JV6,"C"))*2)+((COUNTIF('Elève (6ème4)'!JT6:JV6,"D"))*1))/(COUNTA(JT6:JV6)),"")</f>
        <v/>
      </c>
      <c r="JX6" s="186" t="str">
        <f t="shared" si="65"/>
        <v/>
      </c>
      <c r="JY6" s="106"/>
      <c r="JZ6" s="107"/>
      <c r="KA6" s="108" t="s">
        <v>23</v>
      </c>
      <c r="KB6" s="185">
        <f>IFERROR((((COUNTIF('Elève (6ème4)'!JY6:KA6,"A"))*4)+((COUNTIF('Elève (6ème4)'!JY6:KA6,"B"))*3)+((COUNTIF('Elève (6ème4)'!JY6:KA6,"C"))*2)+((COUNTIF('Elève (6ème4)'!JY6:KA6,"D"))*1))/(COUNTA(JY6:KA6)),"")</f>
        <v>4</v>
      </c>
      <c r="KC6" s="186" t="str">
        <f t="shared" si="66"/>
        <v>A</v>
      </c>
      <c r="KD6" s="185">
        <f>IF(COUNT(JR6,JW6,KB6)=0,"",SUM(JR6,JW6,KB6)/COUNT(JR6,JW6,KB6))</f>
        <v>4</v>
      </c>
      <c r="KE6" s="208" t="str">
        <f t="shared" si="67"/>
        <v>A</v>
      </c>
      <c r="KF6" s="112"/>
      <c r="KG6" s="107"/>
      <c r="KH6" s="108"/>
      <c r="KI6" s="185" t="str">
        <f>IFERROR((((COUNTIF('Elève (6ème4)'!KF6:KH6,"A"))*4)+((COUNTIF('Elève (6ème4)'!KF6:KH6,"B"))*3)+((COUNTIF('Elève (6ème4)'!KF6:KH6,"C"))*2)+((COUNTIF('Elève (6ème4)'!KF6:KH6,"D"))*1))/(COUNTA(KF6:KH6)),"")</f>
        <v/>
      </c>
      <c r="KJ6" s="186" t="str">
        <f t="shared" si="68"/>
        <v/>
      </c>
      <c r="KK6" s="106"/>
      <c r="KL6" s="107"/>
      <c r="KM6" s="108"/>
      <c r="KN6" s="185" t="str">
        <f>IFERROR((((COUNTIF('Elève (6ème4)'!KK6:KM6,"A"))*4)+((COUNTIF('Elève (6ème4)'!KK6:KM6,"B"))*3)+((COUNTIF('Elève (6ème4)'!KK6:KM6,"C"))*2)+((COUNTIF('Elève (6ème4)'!KK6:KM6,"D"))*1))/(COUNTA(KK6:KM6)),"")</f>
        <v/>
      </c>
      <c r="KO6" s="186" t="str">
        <f t="shared" si="69"/>
        <v/>
      </c>
      <c r="KP6" s="106"/>
      <c r="KQ6" s="107"/>
      <c r="KR6" s="108" t="s">
        <v>23</v>
      </c>
      <c r="KS6" s="185">
        <f>IFERROR((((COUNTIF('Elève (6ème4)'!KP6:KR6,"A"))*4)+((COUNTIF('Elève (6ème4)'!KP6:KR6,"B"))*3)+((COUNTIF('Elève (6ème4)'!KP6:KR6,"C"))*2)+((COUNTIF('Elève (6ème4)'!KP6:KR6,"D"))*1))/(COUNTA(KP6:KR6)),"")</f>
        <v>4</v>
      </c>
      <c r="KT6" s="186" t="str">
        <f t="shared" si="70"/>
        <v>A</v>
      </c>
      <c r="KU6" s="185">
        <f>IF(COUNT(KI6,KN6,KS6)=0,"",SUM(KI6,KN6,KS6)/COUNT(KI6,KN6,KS6))</f>
        <v>4</v>
      </c>
      <c r="KV6" s="208" t="str">
        <f t="shared" si="71"/>
        <v>A</v>
      </c>
      <c r="KW6" s="112"/>
      <c r="KX6" s="107"/>
      <c r="KY6" s="108"/>
      <c r="KZ6" s="185" t="str">
        <f>IFERROR((((COUNTIF('Elève (6ème4)'!KW6:KY6,"A"))*4)+((COUNTIF('Elève (6ème4)'!KW6:KY6,"B"))*3)+((COUNTIF('Elève (6ème4)'!KW6:KY6,"C"))*2)+((COUNTIF('Elève (6ème4)'!KW6:KY6,"D"))*1))/(COUNTA(KW6:KY6)),"")</f>
        <v/>
      </c>
      <c r="LA6" s="186" t="str">
        <f t="shared" si="72"/>
        <v/>
      </c>
      <c r="LB6" s="106"/>
      <c r="LC6" s="107"/>
      <c r="LD6" s="108"/>
      <c r="LE6" s="185" t="str">
        <f>IFERROR((((COUNTIF('Elève (6ème4)'!LB6:LD6,"A"))*4)+((COUNTIF('Elève (6ème4)'!LB6:LD6,"B"))*3)+((COUNTIF('Elève (6ème4)'!LB6:LD6,"C"))*2)+((COUNTIF('Elève (6ème4)'!LB6:LD6,"D"))*1))/(COUNTA(LB6:LD6)),"")</f>
        <v/>
      </c>
      <c r="LF6" s="186" t="str">
        <f t="shared" si="73"/>
        <v/>
      </c>
      <c r="LG6" s="106"/>
      <c r="LH6" s="107"/>
      <c r="LI6" s="108" t="s">
        <v>23</v>
      </c>
      <c r="LJ6" s="185">
        <f>IFERROR((((COUNTIF('Elève (6ème4)'!LG6:LI6,"A"))*4)+((COUNTIF('Elève (6ème4)'!LG6:LI6,"B"))*3)+((COUNTIF('Elève (6ème4)'!LG6:LI6,"C"))*2)+((COUNTIF('Elève (6ème4)'!LG6:LI6,"D"))*1))/(COUNTA(LG6:LI6)),"")</f>
        <v>4</v>
      </c>
      <c r="LK6" s="186" t="str">
        <f t="shared" si="74"/>
        <v>A</v>
      </c>
      <c r="LL6" s="185">
        <f>IF(COUNT(KZ6,LE6,LJ6)=0,"",SUM(KZ6,LE6,LJ6)/COUNT(KZ6,LE6,LJ6))</f>
        <v>4</v>
      </c>
      <c r="LM6" s="208" t="str">
        <f t="shared" si="75"/>
        <v>A</v>
      </c>
      <c r="LN6" s="112"/>
      <c r="LO6" s="107"/>
      <c r="LP6" s="108"/>
      <c r="LQ6" s="185" t="str">
        <f>IFERROR((((COUNTIF('Elève (6ème4)'!LN6:LP6,"A"))*4)+((COUNTIF('Elève (6ème4)'!LN6:LP6,"B"))*3)+((COUNTIF('Elève (6ème4)'!LN6:LP6,"C"))*2)+((COUNTIF('Elève (6ème4)'!LN6:LP6,"D"))*1))/(COUNTA(LN6:LP6)),"")</f>
        <v/>
      </c>
      <c r="LR6" s="186" t="str">
        <f t="shared" si="76"/>
        <v/>
      </c>
      <c r="LS6" s="106"/>
      <c r="LT6" s="107"/>
      <c r="LU6" s="108"/>
      <c r="LV6" s="185" t="str">
        <f>IFERROR((((COUNTIF('Elève (6ème4)'!LS6:LU6,"A"))*4)+((COUNTIF('Elève (6ème4)'!LS6:LU6,"B"))*3)+((COUNTIF('Elève (6ème4)'!LS6:LU6,"C"))*2)+((COUNTIF('Elève (6ème4)'!LS6:LU6,"D"))*1))/(COUNTA(LS6:LU6)),"")</f>
        <v/>
      </c>
      <c r="LW6" s="186" t="str">
        <f t="shared" si="77"/>
        <v/>
      </c>
      <c r="LX6" s="106"/>
      <c r="LY6" s="107"/>
      <c r="LZ6" s="108" t="s">
        <v>23</v>
      </c>
      <c r="MA6" s="185">
        <f>IFERROR((((COUNTIF('Elève (6ème4)'!LX6:LZ6,"A"))*4)+((COUNTIF('Elève (6ème4)'!LX6:LZ6,"B"))*3)+((COUNTIF('Elève (6ème4)'!LX6:LZ6,"C"))*2)+((COUNTIF('Elève (6ème4)'!LX6:LZ6,"D"))*1))/(COUNTA(LX6:LZ6)),"")</f>
        <v>4</v>
      </c>
      <c r="MB6" s="186" t="str">
        <f t="shared" si="78"/>
        <v>A</v>
      </c>
      <c r="MC6" s="185">
        <f>IF(COUNT(LQ6,LV6,MA6)=0,"",SUM(LQ6,LV6,MA6)/COUNT(LQ6,LV6,MA6))</f>
        <v>4</v>
      </c>
      <c r="MD6" s="208" t="str">
        <f t="shared" si="79"/>
        <v>A</v>
      </c>
      <c r="ME6" s="112"/>
      <c r="MF6" s="107"/>
      <c r="MG6" s="108"/>
      <c r="MH6" s="185" t="str">
        <f>IFERROR((((COUNTIF('Elève (6ème4)'!ME6:MG6,"A"))*4)+((COUNTIF('Elève (6ème4)'!ME6:MG6,"B"))*3)+((COUNTIF('Elève (6ème4)'!ME6:MG6,"C"))*2)+((COUNTIF('Elève (6ème4)'!ME6:MG6,"D"))*1))/(COUNTA(ME6:MG6)),"")</f>
        <v/>
      </c>
      <c r="MI6" s="186" t="str">
        <f t="shared" si="80"/>
        <v/>
      </c>
      <c r="MJ6" s="106"/>
      <c r="MK6" s="107"/>
      <c r="ML6" s="108"/>
      <c r="MM6" s="185" t="str">
        <f>IFERROR((((COUNTIF('Elève (6ème4)'!MJ6:ML6,"A"))*4)+((COUNTIF('Elève (6ème4)'!MJ6:ML6,"B"))*3)+((COUNTIF('Elève (6ème4)'!MJ6:ML6,"C"))*2)+((COUNTIF('Elève (6ème4)'!MJ6:ML6,"D"))*1))/(COUNTA(MJ6:ML6)),"")</f>
        <v/>
      </c>
      <c r="MN6" s="186" t="str">
        <f t="shared" si="81"/>
        <v/>
      </c>
      <c r="MO6" s="106"/>
      <c r="MP6" s="107"/>
      <c r="MQ6" s="108" t="s">
        <v>23</v>
      </c>
      <c r="MR6" s="185">
        <f>IFERROR((((COUNTIF('Elève (6ème4)'!MO6:MQ6,"A"))*4)+((COUNTIF('Elève (6ème4)'!MO6:MQ6,"B"))*3)+((COUNTIF('Elève (6ème4)'!MO6:MQ6,"C"))*2)+((COUNTIF('Elève (6ème4)'!MO6:MQ6,"D"))*1))/(COUNTA(MO6:MQ6)),"")</f>
        <v>4</v>
      </c>
      <c r="MS6" s="186" t="str">
        <f t="shared" si="82"/>
        <v>A</v>
      </c>
      <c r="MT6" s="185">
        <f>IF(COUNT(MH6,MM6,MR6)=0,"",SUM(MH6,MM6,MR6)/COUNT(MH6,MM6,MR6))</f>
        <v>4</v>
      </c>
      <c r="MU6" s="208" t="str">
        <f t="shared" si="83"/>
        <v>A</v>
      </c>
      <c r="MV6" s="112"/>
      <c r="MW6" s="107"/>
      <c r="MX6" s="108"/>
      <c r="MY6" s="185" t="str">
        <f>IFERROR((((COUNTIF('Elève (6ème4)'!MV6:MX6,"A"))*4)+((COUNTIF('Elève (6ème4)'!MV6:MX6,"B"))*3)+((COUNTIF('Elève (6ème4)'!MV6:MX6,"C"))*2)+((COUNTIF('Elève (6ème4)'!MV6:MX6,"D"))*1))/(COUNTA(MV6:MX6)),"")</f>
        <v/>
      </c>
      <c r="MZ6" s="186" t="str">
        <f t="shared" si="84"/>
        <v/>
      </c>
      <c r="NA6" s="106"/>
      <c r="NB6" s="107"/>
      <c r="NC6" s="108"/>
      <c r="ND6" s="185" t="str">
        <f>IFERROR((((COUNTIF('Elève (6ème4)'!NA6:NC6,"A"))*4)+((COUNTIF('Elève (6ème4)'!NA6:NC6,"B"))*3)+((COUNTIF('Elève (6ème4)'!NA6:NC6,"C"))*2)+((COUNTIF('Elève (6ème4)'!NA6:NC6,"D"))*1))/(COUNTA(NA6:NC6)),"")</f>
        <v/>
      </c>
      <c r="NE6" s="186" t="str">
        <f t="shared" si="85"/>
        <v/>
      </c>
      <c r="NF6" s="106"/>
      <c r="NG6" s="107"/>
      <c r="NH6" s="108" t="s">
        <v>23</v>
      </c>
      <c r="NI6" s="185">
        <f>IFERROR((((COUNTIF('Elève (6ème4)'!NF6:NH6,"A"))*4)+((COUNTIF('Elève (6ème4)'!NF6:NH6,"B"))*3)+((COUNTIF('Elève (6ème4)'!NF6:NH6,"C"))*2)+((COUNTIF('Elève (6ème4)'!NF6:NH6,"D"))*1))/(COUNTA(NF6:NH6)),"")</f>
        <v>4</v>
      </c>
      <c r="NJ6" s="186" t="str">
        <f t="shared" si="86"/>
        <v>A</v>
      </c>
      <c r="NK6" s="185">
        <f>IF(COUNT(MY6,ND6,NI6)=0,"",SUM(MY6,ND6,NI6)/COUNT(MY6,ND6,NI6))</f>
        <v>4</v>
      </c>
      <c r="NL6" s="208" t="str">
        <f t="shared" si="87"/>
        <v>A</v>
      </c>
      <c r="NM6" s="112"/>
      <c r="NN6" s="107"/>
      <c r="NO6" s="108"/>
      <c r="NP6" s="185" t="str">
        <f>IFERROR((((COUNTIF('Elève (6ème4)'!NM6:NO6,"A"))*4)+((COUNTIF('Elève (6ème4)'!NM6:NO6,"B"))*3)+((COUNTIF('Elève (6ème4)'!NM6:NO6,"C"))*2)+((COUNTIF('Elève (6ème4)'!NM6:NO6,"D"))*1))/(COUNTA(NM6:NO6)),"")</f>
        <v/>
      </c>
      <c r="NQ6" s="186" t="str">
        <f t="shared" si="88"/>
        <v/>
      </c>
      <c r="NR6" s="106"/>
      <c r="NS6" s="107"/>
      <c r="NT6" s="108"/>
      <c r="NU6" s="185" t="str">
        <f>IFERROR((((COUNTIF('Elève (6ème4)'!NR6:NT6,"A"))*4)+((COUNTIF('Elève (6ème4)'!NR6:NT6,"B"))*3)+((COUNTIF('Elève (6ème4)'!NR6:NT6,"C"))*2)+((COUNTIF('Elève (6ème4)'!NR6:NT6,"D"))*1))/(COUNTA(NR6:NT6)),"")</f>
        <v/>
      </c>
      <c r="NV6" s="186" t="str">
        <f t="shared" si="89"/>
        <v/>
      </c>
      <c r="NW6" s="106"/>
      <c r="NX6" s="107"/>
      <c r="NY6" s="108" t="s">
        <v>23</v>
      </c>
      <c r="NZ6" s="185">
        <f>IFERROR((((COUNTIF('Elève (6ème4)'!NW6:NY6,"A"))*4)+((COUNTIF('Elève (6ème4)'!NW6:NY6,"B"))*3)+((COUNTIF('Elève (6ème4)'!NW6:NY6,"C"))*2)+((COUNTIF('Elève (6ème4)'!NW6:NY6,"D"))*1))/(COUNTA(NW6:NY6)),"")</f>
        <v>4</v>
      </c>
      <c r="OA6" s="186" t="str">
        <f t="shared" si="90"/>
        <v>A</v>
      </c>
      <c r="OB6" s="185">
        <f>IF(COUNT(NP6,NU6,NZ6)=0,"",SUM(NP6,NU6,NZ6)/COUNT(NP6,NU6,NZ6))</f>
        <v>4</v>
      </c>
      <c r="OC6" s="208" t="str">
        <f t="shared" si="91"/>
        <v>A</v>
      </c>
      <c r="OD6" s="112"/>
      <c r="OE6" s="107"/>
      <c r="OF6" s="108"/>
      <c r="OG6" s="185" t="str">
        <f>IFERROR((((COUNTIF('Elève (6ème4)'!OD6:OF6,"A"))*4)+((COUNTIF('Elève (6ème4)'!OD6:OF6,"B"))*3)+((COUNTIF('Elève (6ème4)'!OD6:OF6,"C"))*2)+((COUNTIF('Elève (6ème4)'!OD6:OF6,"D"))*1))/(COUNTA(OD6:OF6)),"")</f>
        <v/>
      </c>
      <c r="OH6" s="186" t="str">
        <f t="shared" si="92"/>
        <v/>
      </c>
      <c r="OI6" s="106"/>
      <c r="OJ6" s="107"/>
      <c r="OK6" s="108"/>
      <c r="OL6" s="185" t="str">
        <f>IFERROR((((COUNTIF('Elève (6ème4)'!OI6:OK6,"A"))*4)+((COUNTIF('Elève (6ème4)'!OI6:OK6,"B"))*3)+((COUNTIF('Elève (6ème4)'!OI6:OK6,"C"))*2)+((COUNTIF('Elève (6ème4)'!OI6:OK6,"D"))*1))/(COUNTA(OI6:OK6)),"")</f>
        <v/>
      </c>
      <c r="OM6" s="186" t="str">
        <f t="shared" si="93"/>
        <v/>
      </c>
      <c r="ON6" s="106"/>
      <c r="OO6" s="107"/>
      <c r="OP6" s="108" t="s">
        <v>23</v>
      </c>
      <c r="OQ6" s="185">
        <f>IFERROR((((COUNTIF('Elève (6ème4)'!ON6:OP6,"A"))*4)+((COUNTIF('Elève (6ème4)'!ON6:OP6,"B"))*3)+((COUNTIF('Elève (6ème4)'!ON6:OP6,"C"))*2)+((COUNTIF('Elève (6ème4)'!ON6:OP6,"D"))*1))/(COUNTA(ON6:OP6)),"")</f>
        <v>4</v>
      </c>
      <c r="OR6" s="186" t="str">
        <f t="shared" si="94"/>
        <v>A</v>
      </c>
      <c r="OS6" s="185">
        <f>IF(COUNT(OG6,OL6,OQ6)=0,"",SUM(OG6,OL6,OQ6)/COUNT(OG6,OL6,OQ6))</f>
        <v>4</v>
      </c>
      <c r="OT6" s="208" t="str">
        <f t="shared" si="95"/>
        <v>A</v>
      </c>
      <c r="OU6" s="112"/>
      <c r="OV6" s="107"/>
      <c r="OW6" s="108"/>
      <c r="OX6" s="185" t="str">
        <f>IFERROR((((COUNTIF('Elève (6ème4)'!OU6:OW6,"A"))*4)+((COUNTIF('Elève (6ème4)'!OU6:OW6,"B"))*3)+((COUNTIF('Elève (6ème4)'!OU6:OW6,"C"))*2)+((COUNTIF('Elève (6ème4)'!OU6:OW6,"D"))*1))/(COUNTA(OU6:OW6)),"")</f>
        <v/>
      </c>
      <c r="OY6" s="186" t="str">
        <f t="shared" si="96"/>
        <v/>
      </c>
      <c r="OZ6" s="106"/>
      <c r="PA6" s="107"/>
      <c r="PB6" s="108"/>
      <c r="PC6" s="185" t="str">
        <f>IFERROR((((COUNTIF('Elève (6ème4)'!OZ6:PB6,"A"))*4)+((COUNTIF('Elève (6ème4)'!OZ6:PB6,"B"))*3)+((COUNTIF('Elève (6ème4)'!OZ6:PB6,"C"))*2)+((COUNTIF('Elève (6ème4)'!OZ6:PB6,"D"))*1))/(COUNTA(OZ6:PB6)),"")</f>
        <v/>
      </c>
      <c r="PD6" s="186" t="str">
        <f t="shared" si="97"/>
        <v/>
      </c>
      <c r="PE6" s="106"/>
      <c r="PF6" s="107"/>
      <c r="PG6" s="108" t="s">
        <v>23</v>
      </c>
      <c r="PH6" s="185">
        <f>IFERROR((((COUNTIF('Elève (6ème4)'!PE6:PG6,"A"))*4)+((COUNTIF('Elève (6ème4)'!PE6:PG6,"B"))*3)+((COUNTIF('Elève (6ème4)'!PE6:PG6,"C"))*2)+((COUNTIF('Elève (6ème4)'!PE6:PG6,"D"))*1))/(COUNTA(PE6:PG6)),"")</f>
        <v>4</v>
      </c>
      <c r="PI6" s="186" t="str">
        <f t="shared" si="98"/>
        <v>A</v>
      </c>
      <c r="PJ6" s="185">
        <f>IF(COUNT(OX6,PC6,PH6)=0,"",SUM(OX6,PC6,PH6)/COUNT(OX6,PC6,PH6))</f>
        <v>4</v>
      </c>
      <c r="PK6" s="208" t="str">
        <f t="shared" si="99"/>
        <v>A</v>
      </c>
      <c r="PL6" s="112"/>
      <c r="PM6" s="107"/>
      <c r="PN6" s="108"/>
      <c r="PO6" s="185" t="str">
        <f>IFERROR((((COUNTIF('Elève (6ème4)'!PL6:PN6,"A"))*4)+((COUNTIF('Elève (6ème4)'!PL6:PN6,"B"))*3)+((COUNTIF('Elève (6ème4)'!PL6:PN6,"C"))*2)+((COUNTIF('Elève (6ème4)'!PL6:PN6,"D"))*1))/(COUNTA(PL6:PN6)),"")</f>
        <v/>
      </c>
      <c r="PP6" s="186" t="str">
        <f t="shared" si="100"/>
        <v/>
      </c>
      <c r="PQ6" s="106"/>
      <c r="PR6" s="107"/>
      <c r="PS6" s="108"/>
      <c r="PT6" s="185" t="str">
        <f>IFERROR((((COUNTIF('Elève (6ème4)'!PQ6:PS6,"A"))*4)+((COUNTIF('Elève (6ème4)'!PQ6:PS6,"B"))*3)+((COUNTIF('Elève (6ème4)'!PQ6:PS6,"C"))*2)+((COUNTIF('Elève (6ème4)'!PQ6:PS6,"D"))*1))/(COUNTA(PQ6:PS6)),"")</f>
        <v/>
      </c>
      <c r="PU6" s="186" t="str">
        <f t="shared" si="101"/>
        <v/>
      </c>
      <c r="PV6" s="106"/>
      <c r="PW6" s="107"/>
      <c r="PX6" s="108"/>
      <c r="PY6" s="185" t="str">
        <f>IFERROR((((COUNTIF('Elève (6ème4)'!PV6:PX6,"A"))*4)+((COUNTIF('Elève (6ème4)'!PV6:PX6,"B"))*3)+((COUNTIF('Elève (6ème4)'!PV6:PX6,"C"))*2)+((COUNTIF('Elève (6ème4)'!PV6:PX6,"D"))*1))/(COUNTA(PV6:PX6)),"")</f>
        <v/>
      </c>
      <c r="PZ6" s="186" t="str">
        <f t="shared" si="102"/>
        <v/>
      </c>
      <c r="QA6" s="185" t="str">
        <f>IF(COUNT(PO6,PT6,PY6)=0,"",SUM(PO6,PT6,PY6)/COUNT(PO6,PT6,PY6))</f>
        <v/>
      </c>
      <c r="QB6" s="208" t="str">
        <f t="shared" si="103"/>
        <v/>
      </c>
      <c r="QC6" s="112"/>
      <c r="QD6" s="107"/>
      <c r="QE6" s="108"/>
      <c r="QF6" s="185" t="str">
        <f>IFERROR((((COUNTIF('Elève (6ème4)'!QC6:QE6,"A"))*4)+((COUNTIF('Elève (6ème4)'!QC6:QE6,"B"))*3)+((COUNTIF('Elève (6ème4)'!QC6:QE6,"C"))*2)+((COUNTIF('Elève (6ème4)'!QC6:QE6,"D"))*1))/(COUNTA(QC6:QE6)),"")</f>
        <v/>
      </c>
      <c r="QG6" s="186" t="str">
        <f t="shared" si="104"/>
        <v/>
      </c>
      <c r="QH6" s="106"/>
      <c r="QI6" s="107"/>
      <c r="QJ6" s="108"/>
      <c r="QK6" s="185" t="str">
        <f>IFERROR((((COUNTIF('Elève (6ème4)'!QH6:QJ6,"A"))*4)+((COUNTIF('Elève (6ème4)'!QH6:QJ6,"B"))*3)+((COUNTIF('Elève (6ème4)'!QH6:QJ6,"C"))*2)+((COUNTIF('Elève (6ème4)'!QH6:QJ6,"D"))*1))/(COUNTA(QH6:QJ6)),"")</f>
        <v/>
      </c>
      <c r="QL6" s="186" t="str">
        <f t="shared" si="105"/>
        <v/>
      </c>
      <c r="QM6" s="106"/>
      <c r="QN6" s="107"/>
      <c r="QO6" s="108" t="s">
        <v>23</v>
      </c>
      <c r="QP6" s="185">
        <f>IFERROR((((COUNTIF('Elève (6ème4)'!QM6:QO6,"A"))*4)+((COUNTIF('Elève (6ème4)'!QM6:QO6,"B"))*3)+((COUNTIF('Elève (6ème4)'!QM6:QO6,"C"))*2)+((COUNTIF('Elève (6ème4)'!QM6:QO6,"D"))*1))/(COUNTA(QM6:QO6)),"")</f>
        <v>4</v>
      </c>
      <c r="QQ6" s="186" t="str">
        <f t="shared" si="106"/>
        <v>A</v>
      </c>
      <c r="QR6" s="185">
        <f>IF(COUNT(QF6,QK6,QP6)=0,"",SUM(QF6,QK6,QP6)/COUNT(QF6,QK6,QP6))</f>
        <v>4</v>
      </c>
      <c r="QS6" s="208" t="str">
        <f t="shared" si="107"/>
        <v>A</v>
      </c>
      <c r="QT6" s="112"/>
      <c r="QU6" s="107"/>
      <c r="QV6" s="108"/>
      <c r="QW6" s="109" t="str">
        <f>IFERROR((((COUNTIF('Elève (6ème4)'!QT6:QV6,"A"))*4)+((COUNTIF('Elève (6ème4)'!QT6:QV6,"B"))*3)+((COUNTIF('Elève (6ème4)'!QT6:QV6,"C"))*2)+((COUNTIF('Elève (6ème4)'!QT6:QV6,"D"))*1))/(COUNTA(QT6:QV6)),"")</f>
        <v/>
      </c>
      <c r="QX6" s="110" t="str">
        <f t="shared" si="108"/>
        <v/>
      </c>
      <c r="QY6" s="106"/>
      <c r="QZ6" s="107"/>
      <c r="RA6" s="108"/>
      <c r="RB6" s="109" t="str">
        <f>IFERROR((((COUNTIF('Elève (6ème4)'!QY6:RA6,"A"))*4)+((COUNTIF('Elève (6ème4)'!QY6:RA6,"B"))*3)+((COUNTIF('Elève (6ème4)'!QY6:RA6,"C"))*2)+((COUNTIF('Elève (6ème4)'!QY6:RA6,"D"))*1))/(COUNTA(QY6:RA6)),"")</f>
        <v/>
      </c>
      <c r="RC6" s="110" t="str">
        <f t="shared" si="109"/>
        <v/>
      </c>
      <c r="RD6" s="106"/>
      <c r="RE6" s="107"/>
      <c r="RF6" s="108" t="s">
        <v>23</v>
      </c>
      <c r="RG6" s="109">
        <f>IFERROR((((COUNTIF('Elève (6ème4)'!RD6:RF6,"A"))*4)+((COUNTIF('Elève (6ème4)'!RD6:RF6,"B"))*3)+((COUNTIF('Elève (6ème4)'!RD6:RF6,"C"))*2)+((COUNTIF('Elève (6ème4)'!RD6:RF6,"D"))*1))/(COUNTA(RD6:RF6)),"")</f>
        <v>4</v>
      </c>
      <c r="RH6" s="110" t="str">
        <f t="shared" si="110"/>
        <v>A</v>
      </c>
      <c r="RI6" s="109">
        <f>IF(COUNT(QW6,RB6,RG6)=0,"",SUM(QW6,RB6,RG6)/COUNT(QW6,RB6,RG6))</f>
        <v>4</v>
      </c>
      <c r="RJ6" s="111" t="str">
        <f t="shared" si="111"/>
        <v>A</v>
      </c>
      <c r="RK6" s="112"/>
      <c r="RL6" s="107"/>
      <c r="RM6" s="108"/>
      <c r="RN6" s="109" t="str">
        <f>IFERROR((((COUNTIF('Elève (6ème4)'!RK6:RM6,"A"))*4)+((COUNTIF('Elève (6ème4)'!RK6:RM6,"B"))*3)+((COUNTIF('Elève (6ème4)'!RK6:RM6,"C"))*2)+((COUNTIF('Elève (6ème4)'!RK6:RM6,"D"))*1))/(COUNTA(RK6:RM6)),"")</f>
        <v/>
      </c>
      <c r="RO6" s="110" t="str">
        <f t="shared" si="112"/>
        <v/>
      </c>
      <c r="RP6" s="106"/>
      <c r="RQ6" s="107"/>
      <c r="RR6" s="108"/>
      <c r="RS6" s="109" t="str">
        <f>IFERROR((((COUNTIF('Elève (6ème4)'!RP6:RR6,"A"))*4)+((COUNTIF('Elève (6ème4)'!RP6:RR6,"B"))*3)+((COUNTIF('Elève (6ème4)'!RP6:RR6,"C"))*2)+((COUNTIF('Elève (6ème4)'!RP6:RR6,"D"))*1))/(COUNTA(RP6:RR6)),"")</f>
        <v/>
      </c>
      <c r="RT6" s="110" t="str">
        <f t="shared" si="113"/>
        <v/>
      </c>
      <c r="RU6" s="106"/>
      <c r="RV6" s="107"/>
      <c r="RW6" s="108"/>
      <c r="RX6" s="109" t="str">
        <f>IFERROR((((COUNTIF('Elève (6ème4)'!RU6:RW6,"A"))*4)+((COUNTIF('Elève (6ème4)'!RU6:RW6,"B"))*3)+((COUNTIF('Elève (6ème4)'!RU6:RW6,"C"))*2)+((COUNTIF('Elève (6ème4)'!RU6:RW6,"D"))*1))/(COUNTA(RU6:RW6)),"")</f>
        <v/>
      </c>
      <c r="RY6" s="110" t="str">
        <f t="shared" si="114"/>
        <v/>
      </c>
      <c r="RZ6" s="109" t="str">
        <f>IF(COUNT(RN6,RS6,RX6)=0,"",SUM(RN6,RS6,RX6)/COUNT(RN6,RS6,RX6))</f>
        <v/>
      </c>
      <c r="SA6" s="111" t="str">
        <f t="shared" si="115"/>
        <v/>
      </c>
      <c r="SB6" s="112"/>
      <c r="SC6" s="107"/>
      <c r="SD6" s="108"/>
      <c r="SE6" s="109" t="str">
        <f>IFERROR((((COUNTIF('Elève (6ème4)'!SB6:SD6,"A"))*4)+((COUNTIF('Elève (6ème4)'!SB6:SD6,"B"))*3)+((COUNTIF('Elève (6ème4)'!SB6:SD6,"C"))*2)+((COUNTIF('Elève (6ème4)'!SB6:SD6,"D"))*1))/(COUNTA(SB6:SD6)),"")</f>
        <v/>
      </c>
      <c r="SF6" s="110" t="str">
        <f t="shared" si="116"/>
        <v/>
      </c>
      <c r="SG6" s="106"/>
      <c r="SH6" s="107"/>
      <c r="SI6" s="108"/>
      <c r="SJ6" s="109" t="str">
        <f>IFERROR((((COUNTIF('Elève (6ème4)'!SG6:SI6,"A"))*4)+((COUNTIF('Elève (6ème4)'!SG6:SI6,"B"))*3)+((COUNTIF('Elève (6ème4)'!SG6:SI6,"C"))*2)+((COUNTIF('Elève (6ème4)'!SG6:SI6,"D"))*1))/(COUNTA(SG6:SI6)),"")</f>
        <v/>
      </c>
      <c r="SK6" s="110" t="str">
        <f t="shared" si="117"/>
        <v/>
      </c>
      <c r="SL6" s="106"/>
      <c r="SM6" s="107"/>
      <c r="SN6" s="108"/>
      <c r="SO6" s="109" t="str">
        <f>IFERROR((((COUNTIF('Elève (6ème4)'!SL6:SN6,"A"))*4)+((COUNTIF('Elève (6ème4)'!SL6:SN6,"B"))*3)+((COUNTIF('Elève (6ème4)'!SL6:SN6,"C"))*2)+((COUNTIF('Elève (6ème4)'!SL6:SN6,"D"))*1))/(COUNTA(SL6:SN6)),"")</f>
        <v/>
      </c>
      <c r="SP6" s="110" t="str">
        <f t="shared" si="118"/>
        <v/>
      </c>
      <c r="SQ6" s="109" t="str">
        <f>IF(COUNT(SE6,SJ6,SO6)=0,"",SUM(SE6,SJ6,SO6)/COUNT(SE6,SJ6,SO6))</f>
        <v/>
      </c>
      <c r="SR6" s="111" t="str">
        <f t="shared" si="119"/>
        <v/>
      </c>
      <c r="SS6" s="112"/>
      <c r="ST6" s="107"/>
      <c r="SU6" s="108"/>
      <c r="SV6" s="109" t="str">
        <f>IFERROR((((COUNTIF('Elève (6ème4)'!SS6:SU6,"A"))*4)+((COUNTIF('Elève (6ème4)'!SS6:SU6,"B"))*3)+((COUNTIF('Elève (6ème4)'!SS6:SU6,"C"))*2)+((COUNTIF('Elève (6ème4)'!SS6:SU6,"D"))*1))/(COUNTA(SS6:SU6)),"")</f>
        <v/>
      </c>
      <c r="SW6" s="110" t="str">
        <f t="shared" si="120"/>
        <v/>
      </c>
      <c r="SX6" s="106"/>
      <c r="SY6" s="107"/>
      <c r="SZ6" s="108"/>
      <c r="TA6" s="109" t="str">
        <f>IFERROR((((COUNTIF('Elève (6ème4)'!SX6:SZ6,"A"))*4)+((COUNTIF('Elève (6ème4)'!SX6:SZ6,"B"))*3)+((COUNTIF('Elève (6ème4)'!SX6:SZ6,"C"))*2)+((COUNTIF('Elève (6ème4)'!SX6:SZ6,"D"))*1))/(COUNTA(SX6:SZ6)),"")</f>
        <v/>
      </c>
      <c r="TB6" s="110" t="str">
        <f t="shared" si="121"/>
        <v/>
      </c>
      <c r="TC6" s="106"/>
      <c r="TD6" s="107"/>
      <c r="TE6" s="108"/>
      <c r="TF6" s="109" t="str">
        <f>IFERROR((((COUNTIF('Elève (6ème4)'!TC6:TE6,"A"))*4)+((COUNTIF('Elève (6ème4)'!TC6:TE6,"B"))*3)+((COUNTIF('Elève (6ème4)'!TC6:TE6,"C"))*2)+((COUNTIF('Elève (6ème4)'!TC6:TE6,"D"))*1))/(COUNTA(TC6:TE6)),"")</f>
        <v/>
      </c>
      <c r="TG6" s="110" t="str">
        <f t="shared" si="122"/>
        <v/>
      </c>
      <c r="TH6" s="109" t="str">
        <f>IF(COUNT(SV6,TA6,TF6)=0,"",SUM(SV6,TA6,TF6)/COUNT(SV6,TA6,TF6))</f>
        <v/>
      </c>
      <c r="TI6" s="111" t="str">
        <f t="shared" si="123"/>
        <v/>
      </c>
      <c r="TJ6" s="112"/>
      <c r="TK6" s="107"/>
      <c r="TL6" s="108"/>
      <c r="TM6" s="109" t="str">
        <f>IFERROR((((COUNTIF('Elève (6ème4)'!TJ6:TL6,"A"))*4)+((COUNTIF('Elève (6ème4)'!TJ6:TL6,"B"))*3)+((COUNTIF('Elève (6ème4)'!TJ6:TL6,"C"))*2)+((COUNTIF('Elève (6ème4)'!TJ6:TL6,"D"))*1))/(COUNTA(TJ6:TL6)),"")</f>
        <v/>
      </c>
      <c r="TN6" s="110" t="str">
        <f t="shared" si="124"/>
        <v/>
      </c>
      <c r="TO6" s="106"/>
      <c r="TP6" s="107"/>
      <c r="TQ6" s="108"/>
      <c r="TR6" s="109" t="str">
        <f>IFERROR((((COUNTIF('Elève (6ème4)'!TO6:TQ6,"A"))*4)+((COUNTIF('Elève (6ème4)'!TO6:TQ6,"B"))*3)+((COUNTIF('Elève (6ème4)'!TO6:TQ6,"C"))*2)+((COUNTIF('Elève (6ème4)'!TO6:TQ6,"D"))*1))/(COUNTA(TO6:TQ6)),"")</f>
        <v/>
      </c>
      <c r="TS6" s="110" t="str">
        <f t="shared" si="125"/>
        <v/>
      </c>
      <c r="TT6" s="106"/>
      <c r="TU6" s="107"/>
      <c r="TV6" s="108"/>
      <c r="TW6" s="109" t="str">
        <f>IFERROR((((COUNTIF('Elève (6ème4)'!TT6:TV6,"A"))*4)+((COUNTIF('Elève (6ème4)'!TT6:TV6,"B"))*3)+((COUNTIF('Elève (6ème4)'!TT6:TV6,"C"))*2)+((COUNTIF('Elève (6ème4)'!TT6:TV6,"D"))*1))/(COUNTA(TT6:TV6)),"")</f>
        <v/>
      </c>
      <c r="TX6" s="110" t="str">
        <f t="shared" si="126"/>
        <v/>
      </c>
      <c r="TY6" s="109" t="str">
        <f>IF(COUNT(TM6,TR6,TW6)=0,"",SUM(TM6,TR6,TW6)/COUNT(TM6,TR6,TW6))</f>
        <v/>
      </c>
      <c r="TZ6" s="111" t="str">
        <f t="shared" si="127"/>
        <v/>
      </c>
    </row>
    <row r="7" spans="1:546" s="116" customFormat="1" ht="17.25" customHeight="1" thickBot="1" x14ac:dyDescent="0.3">
      <c r="A7" s="162" t="s">
        <v>14</v>
      </c>
      <c r="B7" s="162">
        <v>1</v>
      </c>
      <c r="C7" s="244"/>
      <c r="D7" s="245"/>
      <c r="E7" s="246"/>
      <c r="F7" s="181">
        <f>IF(COUNT(F8:F11)=0,"",SUM(F8:F11)/COUNT(F8:F11))</f>
        <v>3</v>
      </c>
      <c r="G7" s="182" t="str">
        <f t="shared" si="0"/>
        <v>B</v>
      </c>
      <c r="H7" s="247"/>
      <c r="I7" s="245"/>
      <c r="J7" s="246"/>
      <c r="K7" s="181" t="str">
        <f>IF(COUNT(K8,K11)=0,"",SUM(K8:K11)/COUNT(K8,K11))</f>
        <v/>
      </c>
      <c r="L7" s="198" t="str">
        <f t="shared" si="1"/>
        <v/>
      </c>
      <c r="M7" s="247"/>
      <c r="N7" s="245"/>
      <c r="O7" s="246"/>
      <c r="P7" s="181">
        <f>IF(COUNT(P8,P11)=0,"",SUM(P8:P11)/COUNT(P8,P11))</f>
        <v>6.25</v>
      </c>
      <c r="Q7" s="205" t="str">
        <f t="shared" si="2"/>
        <v>A</v>
      </c>
      <c r="R7" s="181">
        <f>IF(COUNT(R8:R11)=0,"",SUM(R8:R11)/COUNT(R8:R11))</f>
        <v>3.125</v>
      </c>
      <c r="S7" s="206" t="str">
        <f t="shared" si="3"/>
        <v>B</v>
      </c>
      <c r="T7" s="245"/>
      <c r="U7" s="245"/>
      <c r="V7" s="246"/>
      <c r="W7" s="181">
        <f>IF(COUNT(W8:W11)=0,"",SUM(W8:W11)/COUNT(W8:W11))</f>
        <v>3</v>
      </c>
      <c r="X7" s="182" t="str">
        <f t="shared" si="4"/>
        <v>B</v>
      </c>
      <c r="Y7" s="247"/>
      <c r="Z7" s="245"/>
      <c r="AA7" s="246"/>
      <c r="AB7" s="181" t="str">
        <f>IF(COUNT(AB8,AB11)=0,"",SUM(AB8:AB11)/COUNT(AB8,AB11))</f>
        <v/>
      </c>
      <c r="AC7" s="198" t="str">
        <f t="shared" si="5"/>
        <v/>
      </c>
      <c r="AD7" s="247"/>
      <c r="AE7" s="245"/>
      <c r="AF7" s="246"/>
      <c r="AG7" s="181">
        <f>IF(COUNT(AG8,AG11)=0,"",SUM(AG8:AG11)/COUNT(AG8,AG11))</f>
        <v>6.75</v>
      </c>
      <c r="AH7" s="205" t="str">
        <f t="shared" si="6"/>
        <v>A</v>
      </c>
      <c r="AI7" s="181">
        <f>IF(COUNT(AI8:AI11)=0,"",SUM(AI8:AI11)/COUNT(AI8:AI11))</f>
        <v>3.375</v>
      </c>
      <c r="AJ7" s="206" t="str">
        <f t="shared" si="7"/>
        <v>B</v>
      </c>
      <c r="AK7" s="245"/>
      <c r="AL7" s="245"/>
      <c r="AM7" s="246"/>
      <c r="AN7" s="181">
        <f>IF(COUNT(AN8:AN11)=0,"",SUM(AN8:AN11)/COUNT(AN8:AN11))</f>
        <v>3</v>
      </c>
      <c r="AO7" s="182" t="str">
        <f t="shared" si="8"/>
        <v>B</v>
      </c>
      <c r="AP7" s="247"/>
      <c r="AQ7" s="245"/>
      <c r="AR7" s="246"/>
      <c r="AS7" s="181" t="str">
        <f>IF(COUNT(AS8,AS11)=0,"",SUM(AS8:AS11)/COUNT(AS8,AS11))</f>
        <v/>
      </c>
      <c r="AT7" s="198" t="str">
        <f t="shared" si="9"/>
        <v/>
      </c>
      <c r="AU7" s="247"/>
      <c r="AV7" s="245"/>
      <c r="AW7" s="246"/>
      <c r="AX7" s="181">
        <f>IF(COUNT(AX8,AX11)=0,"",SUM(AX8:AX11)/COUNT(AX8,AX11))</f>
        <v>7</v>
      </c>
      <c r="AY7" s="205" t="str">
        <f t="shared" si="10"/>
        <v>A</v>
      </c>
      <c r="AZ7" s="181">
        <f>IF(COUNT(AZ8:AZ11)=0,"",SUM(AZ8:AZ11)/COUNT(AZ8:AZ11))</f>
        <v>3.5</v>
      </c>
      <c r="BA7" s="206" t="str">
        <f t="shared" si="11"/>
        <v>B</v>
      </c>
      <c r="BB7" s="245"/>
      <c r="BC7" s="245"/>
      <c r="BD7" s="246"/>
      <c r="BE7" s="181">
        <f>IF(COUNT(BE8:BE11)=0,"",SUM(BE8:BE11)/COUNT(BE8:BE11))</f>
        <v>3</v>
      </c>
      <c r="BF7" s="182" t="str">
        <f t="shared" si="12"/>
        <v>B</v>
      </c>
      <c r="BG7" s="247"/>
      <c r="BH7" s="245"/>
      <c r="BI7" s="246"/>
      <c r="BJ7" s="181" t="str">
        <f>IF(COUNT(BJ8,BJ11)=0,"",SUM(BJ8:BJ11)/COUNT(BJ8,BJ11))</f>
        <v/>
      </c>
      <c r="BK7" s="198" t="str">
        <f t="shared" si="13"/>
        <v/>
      </c>
      <c r="BL7" s="247"/>
      <c r="BM7" s="245"/>
      <c r="BN7" s="246"/>
      <c r="BO7" s="181">
        <f>IF(COUNT(BO8,BO11)=0,"",SUM(BO8:BO11)/COUNT(BO8,BO11))</f>
        <v>7</v>
      </c>
      <c r="BP7" s="205" t="str">
        <f t="shared" si="14"/>
        <v>A</v>
      </c>
      <c r="BQ7" s="181">
        <f>IF(COUNT(BQ8:BQ11)=0,"",SUM(BQ8:BQ11)/COUNT(BQ8:BQ11))</f>
        <v>3.5</v>
      </c>
      <c r="BR7" s="206" t="str">
        <f t="shared" si="15"/>
        <v>B</v>
      </c>
      <c r="BS7" s="245"/>
      <c r="BT7" s="245"/>
      <c r="BU7" s="246"/>
      <c r="BV7" s="181">
        <f>IF(COUNT(BV8:BV11)=0,"",SUM(BV8:BV11)/COUNT(BV8:BV11))</f>
        <v>3</v>
      </c>
      <c r="BW7" s="182" t="str">
        <f t="shared" si="16"/>
        <v>B</v>
      </c>
      <c r="BX7" s="247"/>
      <c r="BY7" s="245"/>
      <c r="BZ7" s="246"/>
      <c r="CA7" s="181" t="str">
        <f>IF(COUNT(CA8,CA11)=0,"",SUM(CA8:CA11)/COUNT(CA8,CA11))</f>
        <v/>
      </c>
      <c r="CB7" s="198" t="str">
        <f t="shared" si="17"/>
        <v/>
      </c>
      <c r="CC7" s="247"/>
      <c r="CD7" s="245"/>
      <c r="CE7" s="246"/>
      <c r="CF7" s="181">
        <f>IF(COUNT(CF8,CF11)=0,"",SUM(CF8:CF11)/COUNT(CF8,CF11))</f>
        <v>6.25</v>
      </c>
      <c r="CG7" s="205" t="str">
        <f t="shared" si="18"/>
        <v>A</v>
      </c>
      <c r="CH7" s="181">
        <f>IF(COUNT(CH8:CH11)=0,"",SUM(CH8:CH11)/COUNT(CH8:CH11))</f>
        <v>3.125</v>
      </c>
      <c r="CI7" s="206" t="str">
        <f t="shared" si="19"/>
        <v>B</v>
      </c>
      <c r="CJ7" s="245"/>
      <c r="CK7" s="245"/>
      <c r="CL7" s="246"/>
      <c r="CM7" s="181">
        <f>IF(COUNT(CM8:CM11)=0,"",SUM(CM8:CM11)/COUNT(CM8:CM11))</f>
        <v>3</v>
      </c>
      <c r="CN7" s="182" t="str">
        <f t="shared" si="20"/>
        <v>B</v>
      </c>
      <c r="CO7" s="247"/>
      <c r="CP7" s="245"/>
      <c r="CQ7" s="246"/>
      <c r="CR7" s="181" t="str">
        <f>IF(COUNT(CR8,CR11)=0,"",SUM(CR8:CR11)/COUNT(CR8,CR11))</f>
        <v/>
      </c>
      <c r="CS7" s="198" t="str">
        <f t="shared" si="21"/>
        <v/>
      </c>
      <c r="CT7" s="247"/>
      <c r="CU7" s="245"/>
      <c r="CV7" s="246"/>
      <c r="CW7" s="181">
        <f>IF(COUNT(CW8,CW11)=0,"",SUM(CW8:CW11)/COUNT(CW8,CW11))</f>
        <v>6.5</v>
      </c>
      <c r="CX7" s="205" t="str">
        <f t="shared" si="22"/>
        <v>A</v>
      </c>
      <c r="CY7" s="181">
        <f>IF(COUNT(CY8:CY11)=0,"",SUM(CY8:CY11)/COUNT(CY8:CY11))</f>
        <v>3.25</v>
      </c>
      <c r="CZ7" s="206" t="str">
        <f t="shared" si="23"/>
        <v>B</v>
      </c>
      <c r="DA7" s="245"/>
      <c r="DB7" s="245"/>
      <c r="DC7" s="246"/>
      <c r="DD7" s="181">
        <f>IF(COUNT(DD8:DD11)=0,"",SUM(DD8:DD11)/COUNT(DD8:DD11))</f>
        <v>3</v>
      </c>
      <c r="DE7" s="182" t="str">
        <f t="shared" si="24"/>
        <v>B</v>
      </c>
      <c r="DF7" s="247"/>
      <c r="DG7" s="245"/>
      <c r="DH7" s="246"/>
      <c r="DI7" s="181" t="str">
        <f>IF(COUNT(DI8,DI11)=0,"",SUM(DI8:DI11)/COUNT(DI8,DI11))</f>
        <v/>
      </c>
      <c r="DJ7" s="198" t="str">
        <f t="shared" si="25"/>
        <v/>
      </c>
      <c r="DK7" s="247"/>
      <c r="DL7" s="245"/>
      <c r="DM7" s="246"/>
      <c r="DN7" s="181">
        <f>IF(COUNT(DN8,DN11)=0,"",SUM(DN8:DN11)/COUNT(DN8,DN11))</f>
        <v>6.25</v>
      </c>
      <c r="DO7" s="205" t="str">
        <f t="shared" si="26"/>
        <v>A</v>
      </c>
      <c r="DP7" s="181">
        <f>IF(COUNT(DP8:DP11)=0,"",SUM(DP8:DP11)/COUNT(DP8:DP11))</f>
        <v>3.125</v>
      </c>
      <c r="DQ7" s="206" t="str">
        <f t="shared" si="27"/>
        <v>B</v>
      </c>
      <c r="DR7" s="245"/>
      <c r="DS7" s="245"/>
      <c r="DT7" s="246"/>
      <c r="DU7" s="181">
        <f>IF(COUNT(DU8:DU11)=0,"",SUM(DU8:DU11)/COUNT(DU8:DU11))</f>
        <v>3</v>
      </c>
      <c r="DV7" s="182" t="str">
        <f t="shared" si="28"/>
        <v>B</v>
      </c>
      <c r="DW7" s="247"/>
      <c r="DX7" s="245"/>
      <c r="DY7" s="246"/>
      <c r="DZ7" s="181" t="str">
        <f>IF(COUNT(DZ8,DZ11)=0,"",SUM(DZ8:DZ11)/COUNT(DZ8,DZ11))</f>
        <v/>
      </c>
      <c r="EA7" s="198" t="str">
        <f t="shared" si="29"/>
        <v/>
      </c>
      <c r="EB7" s="247"/>
      <c r="EC7" s="245"/>
      <c r="ED7" s="246"/>
      <c r="EE7" s="181">
        <f>IF(COUNT(EE8,EE11)=0,"",SUM(EE8:EE11)/COUNT(EE8,EE11))</f>
        <v>4.5</v>
      </c>
      <c r="EF7" s="205" t="str">
        <f t="shared" si="30"/>
        <v>A</v>
      </c>
      <c r="EG7" s="181">
        <f>IF(COUNT(EG8:EG11)=0,"",SUM(EG8:EG11)/COUNT(EG8:EG11))</f>
        <v>2.25</v>
      </c>
      <c r="EH7" s="206" t="str">
        <f t="shared" si="31"/>
        <v>C</v>
      </c>
      <c r="EI7" s="245"/>
      <c r="EJ7" s="245"/>
      <c r="EK7" s="246"/>
      <c r="EL7" s="181">
        <f>IF(COUNT(EL8:EL11)=0,"",SUM(EL8:EL11)/COUNT(EL8:EL11))</f>
        <v>3</v>
      </c>
      <c r="EM7" s="182" t="str">
        <f t="shared" si="32"/>
        <v>B</v>
      </c>
      <c r="EN7" s="247"/>
      <c r="EO7" s="245"/>
      <c r="EP7" s="246"/>
      <c r="EQ7" s="181" t="str">
        <f>IF(COUNT(EQ8,EQ11)=0,"",SUM(EQ8:EQ11)/COUNT(EQ8,EQ11))</f>
        <v/>
      </c>
      <c r="ER7" s="198" t="str">
        <f t="shared" si="33"/>
        <v/>
      </c>
      <c r="ES7" s="247"/>
      <c r="ET7" s="245"/>
      <c r="EU7" s="246"/>
      <c r="EV7" s="181">
        <f>IF(COUNT(EV8,EV11)=0,"",SUM(EV8:EV11)/COUNT(EV8,EV11))</f>
        <v>7</v>
      </c>
      <c r="EW7" s="205" t="str">
        <f t="shared" si="34"/>
        <v>A</v>
      </c>
      <c r="EX7" s="181">
        <f>IF(COUNT(EX8:EX11)=0,"",SUM(EX8:EX11)/COUNT(EX8:EX11))</f>
        <v>3.5</v>
      </c>
      <c r="EY7" s="206" t="str">
        <f t="shared" si="35"/>
        <v>B</v>
      </c>
      <c r="EZ7" s="245"/>
      <c r="FA7" s="245"/>
      <c r="FB7" s="246"/>
      <c r="FC7" s="181">
        <f>IF(COUNT(FC8:FC11)=0,"",SUM(FC8:FC11)/COUNT(FC8:FC11))</f>
        <v>3</v>
      </c>
      <c r="FD7" s="182" t="str">
        <f t="shared" si="36"/>
        <v>B</v>
      </c>
      <c r="FE7" s="247"/>
      <c r="FF7" s="245"/>
      <c r="FG7" s="246"/>
      <c r="FH7" s="181" t="str">
        <f>IF(COUNT(FH8,FH11)=0,"",SUM(FH8:FH11)/COUNT(FH8,FH11))</f>
        <v/>
      </c>
      <c r="FI7" s="198" t="str">
        <f t="shared" si="37"/>
        <v/>
      </c>
      <c r="FJ7" s="247"/>
      <c r="FK7" s="245"/>
      <c r="FL7" s="246"/>
      <c r="FM7" s="181">
        <f>IF(COUNT(FM8,FM11)=0,"",SUM(FM8:FM11)/COUNT(FM8,FM11))</f>
        <v>6.5</v>
      </c>
      <c r="FN7" s="205" t="str">
        <f t="shared" si="38"/>
        <v>A</v>
      </c>
      <c r="FO7" s="181">
        <f>IF(COUNT(FO8:FO11)=0,"",SUM(FO8:FO11)/COUNT(FO8:FO11))</f>
        <v>3.25</v>
      </c>
      <c r="FP7" s="206" t="str">
        <f t="shared" si="39"/>
        <v>B</v>
      </c>
      <c r="FQ7" s="245"/>
      <c r="FR7" s="245"/>
      <c r="FS7" s="246"/>
      <c r="FT7" s="181">
        <f>IF(COUNT(FT8:FT11)=0,"",SUM(FT8:FT11)/COUNT(FT8:FT11))</f>
        <v>3</v>
      </c>
      <c r="FU7" s="182" t="str">
        <f t="shared" si="40"/>
        <v>B</v>
      </c>
      <c r="FV7" s="247"/>
      <c r="FW7" s="245"/>
      <c r="FX7" s="246"/>
      <c r="FY7" s="181" t="str">
        <f>IF(COUNT(FY8,FY11)=0,"",SUM(FY8:FY11)/COUNT(FY8,FY11))</f>
        <v/>
      </c>
      <c r="FZ7" s="198" t="str">
        <f t="shared" si="41"/>
        <v/>
      </c>
      <c r="GA7" s="247"/>
      <c r="GB7" s="245"/>
      <c r="GC7" s="246"/>
      <c r="GD7" s="181">
        <f>IF(COUNT(GD8,GD11)=0,"",SUM(GD8:GD11)/COUNT(GD8,GD11))</f>
        <v>6.5</v>
      </c>
      <c r="GE7" s="205" t="str">
        <f t="shared" si="42"/>
        <v>A</v>
      </c>
      <c r="GF7" s="181">
        <f>IF(COUNT(GF8:GF11)=0,"",SUM(GF8:GF11)/COUNT(GF8:GF11))</f>
        <v>3.25</v>
      </c>
      <c r="GG7" s="206" t="str">
        <f t="shared" si="43"/>
        <v>B</v>
      </c>
      <c r="GH7" s="245"/>
      <c r="GI7" s="245"/>
      <c r="GJ7" s="246"/>
      <c r="GK7" s="181">
        <f>IF(COUNT(GK8:GK11)=0,"",SUM(GK8:GK11)/COUNT(GK8:GK11))</f>
        <v>3</v>
      </c>
      <c r="GL7" s="182" t="str">
        <f t="shared" si="44"/>
        <v>B</v>
      </c>
      <c r="GM7" s="247"/>
      <c r="GN7" s="245"/>
      <c r="GO7" s="246"/>
      <c r="GP7" s="181" t="str">
        <f>IF(COUNT(GP8,GP11)=0,"",SUM(GP8:GP11)/COUNT(GP8,GP11))</f>
        <v/>
      </c>
      <c r="GQ7" s="198" t="str">
        <f t="shared" si="45"/>
        <v/>
      </c>
      <c r="GR7" s="247"/>
      <c r="GS7" s="245"/>
      <c r="GT7" s="246"/>
      <c r="GU7" s="181">
        <f>IF(COUNT(GU8,GU11)=0,"",SUM(GU8:GU11)/COUNT(GU8,GU11))</f>
        <v>6.5</v>
      </c>
      <c r="GV7" s="205" t="str">
        <f t="shared" si="46"/>
        <v>A</v>
      </c>
      <c r="GW7" s="181">
        <f>IF(COUNT(GW8:GW11)=0,"",SUM(GW8:GW11)/COUNT(GW8:GW11))</f>
        <v>3.25</v>
      </c>
      <c r="GX7" s="206" t="str">
        <f t="shared" si="47"/>
        <v>B</v>
      </c>
      <c r="GY7" s="245"/>
      <c r="GZ7" s="245"/>
      <c r="HA7" s="246"/>
      <c r="HB7" s="181">
        <f>IF(COUNT(HB8:HB11)=0,"",SUM(HB8:HB11)/COUNT(HB8:HB11))</f>
        <v>3</v>
      </c>
      <c r="HC7" s="182" t="str">
        <f t="shared" si="48"/>
        <v>B</v>
      </c>
      <c r="HD7" s="247"/>
      <c r="HE7" s="245"/>
      <c r="HF7" s="246"/>
      <c r="HG7" s="181" t="str">
        <f>IF(COUNT(HG8,HG11)=0,"",SUM(HG8:HG11)/COUNT(HG8,HG11))</f>
        <v/>
      </c>
      <c r="HH7" s="198" t="str">
        <f t="shared" si="49"/>
        <v/>
      </c>
      <c r="HI7" s="247"/>
      <c r="HJ7" s="245"/>
      <c r="HK7" s="246"/>
      <c r="HL7" s="181">
        <f>IF(COUNT(HL8,HL11)=0,"",SUM(HL8:HL11)/COUNT(HL8,HL11))</f>
        <v>7</v>
      </c>
      <c r="HM7" s="205" t="str">
        <f t="shared" si="50"/>
        <v>A</v>
      </c>
      <c r="HN7" s="181">
        <f>IF(COUNT(HN8:HN11)=0,"",SUM(HN8:HN11)/COUNT(HN8:HN11))</f>
        <v>3.5</v>
      </c>
      <c r="HO7" s="206" t="str">
        <f t="shared" si="51"/>
        <v>B</v>
      </c>
      <c r="HP7" s="245"/>
      <c r="HQ7" s="245"/>
      <c r="HR7" s="246"/>
      <c r="HS7" s="181">
        <f>IF(COUNT(HS8:HS11)=0,"",SUM(HS8:HS11)/COUNT(HS8:HS11))</f>
        <v>3</v>
      </c>
      <c r="HT7" s="182" t="str">
        <f t="shared" si="52"/>
        <v>B</v>
      </c>
      <c r="HU7" s="247"/>
      <c r="HV7" s="245"/>
      <c r="HW7" s="246"/>
      <c r="HX7" s="181" t="str">
        <f>IF(COUNT(HX8,HX11)=0,"",SUM(HX8:HX11)/COUNT(HX8,HX11))</f>
        <v/>
      </c>
      <c r="HY7" s="198" t="str">
        <f t="shared" si="53"/>
        <v/>
      </c>
      <c r="HZ7" s="247"/>
      <c r="IA7" s="245"/>
      <c r="IB7" s="246"/>
      <c r="IC7" s="181">
        <f>IF(COUNT(IC8,IC11)=0,"",SUM(IC8:IC11)/COUNT(IC8,IC11))</f>
        <v>6.75</v>
      </c>
      <c r="ID7" s="205" t="str">
        <f t="shared" si="54"/>
        <v>A</v>
      </c>
      <c r="IE7" s="181">
        <f>IF(COUNT(IE8:IE11)=0,"",SUM(IE8:IE11)/COUNT(IE8:IE11))</f>
        <v>3.375</v>
      </c>
      <c r="IF7" s="206" t="str">
        <f t="shared" si="55"/>
        <v>B</v>
      </c>
      <c r="IG7" s="245"/>
      <c r="IH7" s="245"/>
      <c r="II7" s="246"/>
      <c r="IJ7" s="181">
        <f>IF(COUNT(IJ8:IJ11)=0,"",SUM(IJ8:IJ11)/COUNT(IJ8:IJ11))</f>
        <v>3</v>
      </c>
      <c r="IK7" s="182" t="str">
        <f t="shared" si="56"/>
        <v>B</v>
      </c>
      <c r="IL7" s="247"/>
      <c r="IM7" s="245"/>
      <c r="IN7" s="246"/>
      <c r="IO7" s="181" t="str">
        <f>IF(COUNT(IO8,IO11)=0,"",SUM(IO8:IO11)/COUNT(IO8,IO11))</f>
        <v/>
      </c>
      <c r="IP7" s="198" t="str">
        <f t="shared" si="57"/>
        <v/>
      </c>
      <c r="IQ7" s="247"/>
      <c r="IR7" s="245"/>
      <c r="IS7" s="246"/>
      <c r="IT7" s="181">
        <f>IF(COUNT(IT8,IT11)=0,"",SUM(IT8:IT11)/COUNT(IT8,IT11))</f>
        <v>6.5</v>
      </c>
      <c r="IU7" s="205" t="str">
        <f t="shared" si="58"/>
        <v>A</v>
      </c>
      <c r="IV7" s="181">
        <f>IF(COUNT(IV8:IV11)=0,"",SUM(IV8:IV11)/COUNT(IV8:IV11))</f>
        <v>3.25</v>
      </c>
      <c r="IW7" s="206" t="str">
        <f t="shared" si="59"/>
        <v>B</v>
      </c>
      <c r="IX7" s="245"/>
      <c r="IY7" s="245"/>
      <c r="IZ7" s="246"/>
      <c r="JA7" s="181">
        <f>IF(COUNT(JA8:JA11)=0,"",SUM(JA8:JA11)/COUNT(JA8:JA11))</f>
        <v>3</v>
      </c>
      <c r="JB7" s="182" t="str">
        <f t="shared" si="60"/>
        <v>B</v>
      </c>
      <c r="JC7" s="247"/>
      <c r="JD7" s="245"/>
      <c r="JE7" s="246"/>
      <c r="JF7" s="181" t="str">
        <f>IF(COUNT(JF8,JF11)=0,"",SUM(JF8:JF11)/COUNT(JF8,JF11))</f>
        <v/>
      </c>
      <c r="JG7" s="198" t="str">
        <f t="shared" si="61"/>
        <v/>
      </c>
      <c r="JH7" s="247"/>
      <c r="JI7" s="245"/>
      <c r="JJ7" s="246"/>
      <c r="JK7" s="181">
        <f>IF(COUNT(JK8,JK11)=0,"",SUM(JK8:JK11)/COUNT(JK8,JK11))</f>
        <v>6.5</v>
      </c>
      <c r="JL7" s="205" t="str">
        <f t="shared" si="62"/>
        <v>A</v>
      </c>
      <c r="JM7" s="181">
        <f>IF(COUNT(JM8:JM11)=0,"",SUM(JM8:JM11)/COUNT(JM8:JM11))</f>
        <v>3.25</v>
      </c>
      <c r="JN7" s="206" t="str">
        <f t="shared" si="63"/>
        <v>B</v>
      </c>
      <c r="JO7" s="245"/>
      <c r="JP7" s="245"/>
      <c r="JQ7" s="246"/>
      <c r="JR7" s="181">
        <f>IF(COUNT(JR8:JR11)=0,"",SUM(JR8:JR11)/COUNT(JR8:JR11))</f>
        <v>3</v>
      </c>
      <c r="JS7" s="182" t="str">
        <f t="shared" si="64"/>
        <v>B</v>
      </c>
      <c r="JT7" s="247"/>
      <c r="JU7" s="245"/>
      <c r="JV7" s="246"/>
      <c r="JW7" s="181" t="str">
        <f>IF(COUNT(JW8,JW11)=0,"",SUM(JW8:JW11)/COUNT(JW8,JW11))</f>
        <v/>
      </c>
      <c r="JX7" s="198" t="str">
        <f t="shared" si="65"/>
        <v/>
      </c>
      <c r="JY7" s="247"/>
      <c r="JZ7" s="245"/>
      <c r="KA7" s="246"/>
      <c r="KB7" s="181">
        <f>IF(COUNT(KB8,KB11)=0,"",SUM(KB8:KB11)/COUNT(KB8,KB11))</f>
        <v>6.5</v>
      </c>
      <c r="KC7" s="205" t="str">
        <f t="shared" si="66"/>
        <v>A</v>
      </c>
      <c r="KD7" s="181">
        <f>IF(COUNT(KD8:KD11)=0,"",SUM(KD8:KD11)/COUNT(KD8:KD11))</f>
        <v>3.25</v>
      </c>
      <c r="KE7" s="206" t="str">
        <f t="shared" si="67"/>
        <v>B</v>
      </c>
      <c r="KF7" s="245"/>
      <c r="KG7" s="245"/>
      <c r="KH7" s="246"/>
      <c r="KI7" s="181">
        <f>IF(COUNT(KI8:KI11)=0,"",SUM(KI8:KI11)/COUNT(KI8:KI11))</f>
        <v>3</v>
      </c>
      <c r="KJ7" s="182" t="str">
        <f t="shared" si="68"/>
        <v>B</v>
      </c>
      <c r="KK7" s="247"/>
      <c r="KL7" s="245"/>
      <c r="KM7" s="246"/>
      <c r="KN7" s="181" t="str">
        <f>IF(COUNT(KN8,KN11)=0,"",SUM(KN8:KN11)/COUNT(KN8,KN11))</f>
        <v/>
      </c>
      <c r="KO7" s="198" t="str">
        <f t="shared" si="69"/>
        <v/>
      </c>
      <c r="KP7" s="247"/>
      <c r="KQ7" s="245"/>
      <c r="KR7" s="246"/>
      <c r="KS7" s="181">
        <f>IF(COUNT(KS8,KS11)=0,"",SUM(KS8:KS11)/COUNT(KS8,KS11))</f>
        <v>7</v>
      </c>
      <c r="KT7" s="205" t="str">
        <f t="shared" si="70"/>
        <v>A</v>
      </c>
      <c r="KU7" s="181">
        <f>IF(COUNT(KU8:KU11)=0,"",SUM(KU8:KU11)/COUNT(KU8:KU11))</f>
        <v>3.5</v>
      </c>
      <c r="KV7" s="206" t="str">
        <f t="shared" si="71"/>
        <v>B</v>
      </c>
      <c r="KW7" s="245"/>
      <c r="KX7" s="245"/>
      <c r="KY7" s="246"/>
      <c r="KZ7" s="181">
        <f>IF(COUNT(KZ8:KZ11)=0,"",SUM(KZ8:KZ11)/COUNT(KZ8:KZ11))</f>
        <v>3</v>
      </c>
      <c r="LA7" s="182" t="str">
        <f t="shared" si="72"/>
        <v>B</v>
      </c>
      <c r="LB7" s="247"/>
      <c r="LC7" s="245"/>
      <c r="LD7" s="246"/>
      <c r="LE7" s="181" t="str">
        <f>IF(COUNT(LE8,LE11)=0,"",SUM(LE8:LE11)/COUNT(LE8,LE11))</f>
        <v/>
      </c>
      <c r="LF7" s="198" t="str">
        <f t="shared" si="73"/>
        <v/>
      </c>
      <c r="LG7" s="247"/>
      <c r="LH7" s="245"/>
      <c r="LI7" s="246"/>
      <c r="LJ7" s="181">
        <f>IF(COUNT(LJ8,LJ11)=0,"",SUM(LJ8:LJ11)/COUNT(LJ8,LJ11))</f>
        <v>7</v>
      </c>
      <c r="LK7" s="205" t="str">
        <f t="shared" si="74"/>
        <v>A</v>
      </c>
      <c r="LL7" s="181">
        <f>IF(COUNT(LL8:LL11)=0,"",SUM(LL8:LL11)/COUNT(LL8:LL11))</f>
        <v>3.5</v>
      </c>
      <c r="LM7" s="206" t="str">
        <f t="shared" si="75"/>
        <v>B</v>
      </c>
      <c r="LN7" s="245"/>
      <c r="LO7" s="245"/>
      <c r="LP7" s="246"/>
      <c r="LQ7" s="181">
        <f>IF(COUNT(LQ8:LQ11)=0,"",SUM(LQ8:LQ11)/COUNT(LQ8:LQ11))</f>
        <v>3</v>
      </c>
      <c r="LR7" s="182" t="str">
        <f t="shared" si="76"/>
        <v>B</v>
      </c>
      <c r="LS7" s="247"/>
      <c r="LT7" s="245"/>
      <c r="LU7" s="246"/>
      <c r="LV7" s="181" t="str">
        <f>IF(COUNT(LV8,LV11)=0,"",SUM(LV8:LV11)/COUNT(LV8,LV11))</f>
        <v/>
      </c>
      <c r="LW7" s="198" t="str">
        <f t="shared" si="77"/>
        <v/>
      </c>
      <c r="LX7" s="247"/>
      <c r="LY7" s="245"/>
      <c r="LZ7" s="246"/>
      <c r="MA7" s="181">
        <f>IF(COUNT(MA8,MA11)=0,"",SUM(MA8:MA11)/COUNT(MA8,MA11))</f>
        <v>7</v>
      </c>
      <c r="MB7" s="205" t="str">
        <f t="shared" si="78"/>
        <v>A</v>
      </c>
      <c r="MC7" s="181">
        <f>IF(COUNT(MC8:MC11)=0,"",SUM(MC8:MC11)/COUNT(MC8:MC11))</f>
        <v>3.375</v>
      </c>
      <c r="MD7" s="206" t="str">
        <f t="shared" si="79"/>
        <v>B</v>
      </c>
      <c r="ME7" s="245"/>
      <c r="MF7" s="245"/>
      <c r="MG7" s="246"/>
      <c r="MH7" s="181">
        <f>IF(COUNT(MH8:MH11)=0,"",SUM(MH8:MH11)/COUNT(MH8:MH11))</f>
        <v>3</v>
      </c>
      <c r="MI7" s="182" t="str">
        <f t="shared" si="80"/>
        <v>B</v>
      </c>
      <c r="MJ7" s="247"/>
      <c r="MK7" s="245"/>
      <c r="ML7" s="246"/>
      <c r="MM7" s="181" t="str">
        <f>IF(COUNT(MM8,MM11)=0,"",SUM(MM8:MM11)/COUNT(MM8,MM11))</f>
        <v/>
      </c>
      <c r="MN7" s="198" t="str">
        <f t="shared" si="81"/>
        <v/>
      </c>
      <c r="MO7" s="247"/>
      <c r="MP7" s="245"/>
      <c r="MQ7" s="246"/>
      <c r="MR7" s="181">
        <f>IF(COUNT(MR8,MR11)=0,"",SUM(MR8:MR11)/COUNT(MR8,MR11))</f>
        <v>7</v>
      </c>
      <c r="MS7" s="205" t="str">
        <f t="shared" si="82"/>
        <v>A</v>
      </c>
      <c r="MT7" s="181">
        <f>IF(COUNT(MT8:MT11)=0,"",SUM(MT8:MT11)/COUNT(MT8:MT11))</f>
        <v>3.5</v>
      </c>
      <c r="MU7" s="206" t="str">
        <f t="shared" si="83"/>
        <v>B</v>
      </c>
      <c r="MV7" s="245"/>
      <c r="MW7" s="245"/>
      <c r="MX7" s="246"/>
      <c r="MY7" s="181">
        <f>IF(COUNT(MY8:MY11)=0,"",SUM(MY8:MY11)/COUNT(MY8:MY11))</f>
        <v>3</v>
      </c>
      <c r="MZ7" s="182" t="str">
        <f t="shared" si="84"/>
        <v>B</v>
      </c>
      <c r="NA7" s="247"/>
      <c r="NB7" s="245"/>
      <c r="NC7" s="246"/>
      <c r="ND7" s="181" t="str">
        <f>IF(COUNT(ND8,ND11)=0,"",SUM(ND8:ND11)/COUNT(ND8,ND11))</f>
        <v/>
      </c>
      <c r="NE7" s="198" t="str">
        <f t="shared" si="85"/>
        <v/>
      </c>
      <c r="NF7" s="247"/>
      <c r="NG7" s="245"/>
      <c r="NH7" s="246"/>
      <c r="NI7" s="181">
        <f>IF(COUNT(NI8,NI11)=0,"",SUM(NI8:NI11)/COUNT(NI8,NI11))</f>
        <v>6.25</v>
      </c>
      <c r="NJ7" s="205" t="str">
        <f t="shared" si="86"/>
        <v>A</v>
      </c>
      <c r="NK7" s="181">
        <f>IF(COUNT(NK8:NK11)=0,"",SUM(NK8:NK11)/COUNT(NK8:NK11))</f>
        <v>3.125</v>
      </c>
      <c r="NL7" s="206" t="str">
        <f t="shared" si="87"/>
        <v>B</v>
      </c>
      <c r="NM7" s="245"/>
      <c r="NN7" s="245"/>
      <c r="NO7" s="246"/>
      <c r="NP7" s="181">
        <f>IF(COUNT(NP8:NP11)=0,"",SUM(NP8:NP11)/COUNT(NP8:NP11))</f>
        <v>3</v>
      </c>
      <c r="NQ7" s="182" t="str">
        <f t="shared" si="88"/>
        <v>B</v>
      </c>
      <c r="NR7" s="247"/>
      <c r="NS7" s="245"/>
      <c r="NT7" s="246"/>
      <c r="NU7" s="181" t="str">
        <f>IF(COUNT(NU8,NU11)=0,"",SUM(NU8:NU11)/COUNT(NU8,NU11))</f>
        <v/>
      </c>
      <c r="NV7" s="198" t="str">
        <f t="shared" si="89"/>
        <v/>
      </c>
      <c r="NW7" s="247"/>
      <c r="NX7" s="245"/>
      <c r="NY7" s="246"/>
      <c r="NZ7" s="181">
        <f>IF(COUNT(NZ8,NZ11)=0,"",SUM(NZ8:NZ11)/COUNT(NZ8,NZ11))</f>
        <v>6.5</v>
      </c>
      <c r="OA7" s="205" t="str">
        <f t="shared" si="90"/>
        <v>A</v>
      </c>
      <c r="OB7" s="181">
        <f>IF(COUNT(OB8:OB11)=0,"",SUM(OB8:OB11)/COUNT(OB8:OB11))</f>
        <v>3.25</v>
      </c>
      <c r="OC7" s="206" t="str">
        <f t="shared" si="91"/>
        <v>B</v>
      </c>
      <c r="OD7" s="245"/>
      <c r="OE7" s="245"/>
      <c r="OF7" s="246"/>
      <c r="OG7" s="181">
        <f>IF(COUNT(OG8:OG11)=0,"",SUM(OG8:OG11)/COUNT(OG8:OG11))</f>
        <v>3</v>
      </c>
      <c r="OH7" s="182" t="str">
        <f t="shared" si="92"/>
        <v>B</v>
      </c>
      <c r="OI7" s="247"/>
      <c r="OJ7" s="245"/>
      <c r="OK7" s="246"/>
      <c r="OL7" s="181" t="str">
        <f>IF(COUNT(OL8,OL11)=0,"",SUM(OL8:OL11)/COUNT(OL8,OL11))</f>
        <v/>
      </c>
      <c r="OM7" s="198" t="str">
        <f t="shared" si="93"/>
        <v/>
      </c>
      <c r="ON7" s="247"/>
      <c r="OO7" s="245"/>
      <c r="OP7" s="246"/>
      <c r="OQ7" s="181">
        <f>IF(COUNT(OQ8,OQ11)=0,"",SUM(OQ8:OQ11)/COUNT(OQ8,OQ11))</f>
        <v>7</v>
      </c>
      <c r="OR7" s="205" t="str">
        <f t="shared" si="94"/>
        <v>A</v>
      </c>
      <c r="OS7" s="181">
        <f>IF(COUNT(OS8:OS11)=0,"",SUM(OS8:OS11)/COUNT(OS8:OS11))</f>
        <v>3.5</v>
      </c>
      <c r="OT7" s="206" t="str">
        <f t="shared" si="95"/>
        <v>B</v>
      </c>
      <c r="OU7" s="245"/>
      <c r="OV7" s="245"/>
      <c r="OW7" s="246"/>
      <c r="OX7" s="181">
        <f>IF(COUNT(OX8:OX11)=0,"",SUM(OX8:OX11)/COUNT(OX8:OX11))</f>
        <v>3</v>
      </c>
      <c r="OY7" s="182" t="str">
        <f t="shared" si="96"/>
        <v>B</v>
      </c>
      <c r="OZ7" s="247"/>
      <c r="PA7" s="245"/>
      <c r="PB7" s="246"/>
      <c r="PC7" s="181" t="str">
        <f>IF(COUNT(PC8,PC11)=0,"",SUM(PC8:PC11)/COUNT(PC8,PC11))</f>
        <v/>
      </c>
      <c r="PD7" s="198" t="str">
        <f t="shared" si="97"/>
        <v/>
      </c>
      <c r="PE7" s="247"/>
      <c r="PF7" s="245"/>
      <c r="PG7" s="246"/>
      <c r="PH7" s="181">
        <f>IF(COUNT(PH8,PH11)=0,"",SUM(PH8:PH11)/COUNT(PH8,PH11))</f>
        <v>7</v>
      </c>
      <c r="PI7" s="205" t="str">
        <f t="shared" si="98"/>
        <v>A</v>
      </c>
      <c r="PJ7" s="181">
        <f>IF(COUNT(PJ8:PJ11)=0,"",SUM(PJ8:PJ11)/COUNT(PJ8:PJ11))</f>
        <v>3.5</v>
      </c>
      <c r="PK7" s="206" t="str">
        <f t="shared" si="99"/>
        <v>B</v>
      </c>
      <c r="PL7" s="245"/>
      <c r="PM7" s="245"/>
      <c r="PN7" s="246"/>
      <c r="PO7" s="181" t="str">
        <f>IF(COUNT(PO8:PO11)=0,"",SUM(PO8:PO11)/COUNT(PO8:PO11))</f>
        <v/>
      </c>
      <c r="PP7" s="182" t="str">
        <f t="shared" si="100"/>
        <v/>
      </c>
      <c r="PQ7" s="247"/>
      <c r="PR7" s="245"/>
      <c r="PS7" s="246"/>
      <c r="PT7" s="181" t="str">
        <f>IF(COUNT(PT8,PT11)=0,"",SUM(PT8:PT11)/COUNT(PT8,PT11))</f>
        <v/>
      </c>
      <c r="PU7" s="198" t="str">
        <f t="shared" si="101"/>
        <v/>
      </c>
      <c r="PV7" s="247"/>
      <c r="PW7" s="245"/>
      <c r="PX7" s="246"/>
      <c r="PY7" s="181" t="str">
        <f>IF(COUNT(PY8,PY11)=0,"",SUM(PY8:PY11)/COUNT(PY8,PY11))</f>
        <v/>
      </c>
      <c r="PZ7" s="205" t="str">
        <f t="shared" si="102"/>
        <v/>
      </c>
      <c r="QA7" s="181" t="str">
        <f>IF(COUNT(QA8:QA11)=0,"",SUM(QA8:QA11)/COUNT(QA8:QA11))</f>
        <v/>
      </c>
      <c r="QB7" s="206" t="str">
        <f t="shared" si="103"/>
        <v/>
      </c>
      <c r="QC7" s="245"/>
      <c r="QD7" s="245"/>
      <c r="QE7" s="246"/>
      <c r="QF7" s="181">
        <f>IF(COUNT(QF8:QF11)=0,"",SUM(QF8:QF11)/COUNT(QF8:QF11))</f>
        <v>3</v>
      </c>
      <c r="QG7" s="182" t="str">
        <f t="shared" si="104"/>
        <v>B</v>
      </c>
      <c r="QH7" s="247"/>
      <c r="QI7" s="245"/>
      <c r="QJ7" s="246"/>
      <c r="QK7" s="181" t="str">
        <f>IF(COUNT(QK8,QK11)=0,"",SUM(QK8:QK11)/COUNT(QK8,QK11))</f>
        <v/>
      </c>
      <c r="QL7" s="198" t="str">
        <f t="shared" si="105"/>
        <v/>
      </c>
      <c r="QM7" s="247"/>
      <c r="QN7" s="245"/>
      <c r="QO7" s="246"/>
      <c r="QP7" s="181">
        <f>IF(COUNT(QP8,QP11)=0,"",SUM(QP8:QP11)/COUNT(QP8,QP11))</f>
        <v>6.5</v>
      </c>
      <c r="QQ7" s="205" t="str">
        <f t="shared" si="106"/>
        <v>A</v>
      </c>
      <c r="QR7" s="181">
        <f>IF(COUNT(QR8:QR11)=0,"",SUM(QR8:QR11)/COUNT(QR8:QR11))</f>
        <v>3.25</v>
      </c>
      <c r="QS7" s="206" t="str">
        <f t="shared" si="107"/>
        <v>B</v>
      </c>
      <c r="QT7" s="245"/>
      <c r="QU7" s="245"/>
      <c r="QV7" s="246"/>
      <c r="QW7" s="93">
        <f>IF(COUNT(QW8:QW11)=0,"",SUM(QW8:QW11)/COUNT(QW8:QW11))</f>
        <v>3</v>
      </c>
      <c r="QX7" s="94" t="str">
        <f t="shared" si="108"/>
        <v>B</v>
      </c>
      <c r="QY7" s="247"/>
      <c r="QZ7" s="245"/>
      <c r="RA7" s="246"/>
      <c r="RB7" s="93" t="str">
        <f>IF(COUNT(RB8,RB11)=0,"",SUM(RB8:RB11)/COUNT(RB8,RB11))</f>
        <v/>
      </c>
      <c r="RC7" s="95" t="str">
        <f t="shared" si="109"/>
        <v/>
      </c>
      <c r="RD7" s="247"/>
      <c r="RE7" s="245"/>
      <c r="RF7" s="246"/>
      <c r="RG7" s="93">
        <f>IF(COUNT(RG8,RG11)=0,"",SUM(RG8:RG11)/COUNT(RG8,RG11))</f>
        <v>6</v>
      </c>
      <c r="RH7" s="96" t="str">
        <f t="shared" si="110"/>
        <v>A</v>
      </c>
      <c r="RI7" s="93">
        <f>IF(COUNT(RI8:RI11)=0,"",SUM(RI8:RI11)/COUNT(RI8:RI11))</f>
        <v>3</v>
      </c>
      <c r="RJ7" s="97" t="str">
        <f t="shared" si="111"/>
        <v>B</v>
      </c>
      <c r="RK7" s="245"/>
      <c r="RL7" s="245"/>
      <c r="RM7" s="246"/>
      <c r="RN7" s="93" t="str">
        <f>IF(COUNT(RN8:RN11)=0,"",SUM(RN8:RN11)/COUNT(RN8:RN11))</f>
        <v/>
      </c>
      <c r="RO7" s="94" t="str">
        <f t="shared" si="112"/>
        <v/>
      </c>
      <c r="RP7" s="247"/>
      <c r="RQ7" s="245"/>
      <c r="RR7" s="246"/>
      <c r="RS7" s="93" t="str">
        <f>IF(COUNT(RS8,RS11)=0,"",SUM(RS8:RS11)/COUNT(RS8,RS11))</f>
        <v/>
      </c>
      <c r="RT7" s="95" t="str">
        <f t="shared" si="113"/>
        <v/>
      </c>
      <c r="RU7" s="247"/>
      <c r="RV7" s="245"/>
      <c r="RW7" s="246"/>
      <c r="RX7" s="93" t="str">
        <f>IF(COUNT(RX8,RX11)=0,"",SUM(RX8:RX11)/COUNT(RX8,RX11))</f>
        <v/>
      </c>
      <c r="RY7" s="96" t="str">
        <f t="shared" si="114"/>
        <v/>
      </c>
      <c r="RZ7" s="93" t="str">
        <f>IF(COUNT(RZ8:RZ11)=0,"",SUM(RZ8:RZ11)/COUNT(RZ8:RZ11))</f>
        <v/>
      </c>
      <c r="SA7" s="97" t="str">
        <f t="shared" si="115"/>
        <v/>
      </c>
      <c r="SB7" s="245"/>
      <c r="SC7" s="245"/>
      <c r="SD7" s="246"/>
      <c r="SE7" s="93" t="str">
        <f>IF(COUNT(SE8:SE11)=0,"",SUM(SE8:SE11)/COUNT(SE8:SE11))</f>
        <v/>
      </c>
      <c r="SF7" s="94" t="str">
        <f t="shared" si="116"/>
        <v/>
      </c>
      <c r="SG7" s="247"/>
      <c r="SH7" s="245"/>
      <c r="SI7" s="246"/>
      <c r="SJ7" s="93" t="str">
        <f>IF(COUNT(SJ8,SJ11)=0,"",SUM(SJ8:SJ11)/COUNT(SJ8,SJ11))</f>
        <v/>
      </c>
      <c r="SK7" s="95" t="str">
        <f t="shared" si="117"/>
        <v/>
      </c>
      <c r="SL7" s="247"/>
      <c r="SM7" s="245"/>
      <c r="SN7" s="246"/>
      <c r="SO7" s="93" t="str">
        <f>IF(COUNT(SO8,SO11)=0,"",SUM(SO8:SO11)/COUNT(SO8,SO11))</f>
        <v/>
      </c>
      <c r="SP7" s="96" t="str">
        <f t="shared" si="118"/>
        <v/>
      </c>
      <c r="SQ7" s="93" t="str">
        <f>IF(COUNT(SQ8:SQ11)=0,"",SUM(SQ8:SQ11)/COUNT(SQ8:SQ11))</f>
        <v/>
      </c>
      <c r="SR7" s="97" t="str">
        <f t="shared" si="119"/>
        <v/>
      </c>
      <c r="SS7" s="245"/>
      <c r="ST7" s="245"/>
      <c r="SU7" s="246"/>
      <c r="SV7" s="93" t="str">
        <f>IF(COUNT(SV8:SV11)=0,"",SUM(SV8:SV11)/COUNT(SV8:SV11))</f>
        <v/>
      </c>
      <c r="SW7" s="94" t="str">
        <f t="shared" si="120"/>
        <v/>
      </c>
      <c r="SX7" s="247"/>
      <c r="SY7" s="245"/>
      <c r="SZ7" s="246"/>
      <c r="TA7" s="93" t="str">
        <f>IF(COUNT(TA8,TA11)=0,"",SUM(TA8:TA11)/COUNT(TA8,TA11))</f>
        <v/>
      </c>
      <c r="TB7" s="95" t="str">
        <f t="shared" si="121"/>
        <v/>
      </c>
      <c r="TC7" s="247"/>
      <c r="TD7" s="245"/>
      <c r="TE7" s="246"/>
      <c r="TF7" s="93" t="str">
        <f>IF(COUNT(TF8,TF11)=0,"",SUM(TF8:TF11)/COUNT(TF8,TF11))</f>
        <v/>
      </c>
      <c r="TG7" s="96" t="str">
        <f t="shared" si="122"/>
        <v/>
      </c>
      <c r="TH7" s="93" t="str">
        <f>IF(COUNT(TH8:TH11)=0,"",SUM(TH8:TH11)/COUNT(TH8:TH11))</f>
        <v/>
      </c>
      <c r="TI7" s="97" t="str">
        <f t="shared" si="123"/>
        <v/>
      </c>
      <c r="TJ7" s="245"/>
      <c r="TK7" s="245"/>
      <c r="TL7" s="246"/>
      <c r="TM7" s="93" t="str">
        <f>IF(COUNT(TM8:TM11)=0,"",SUM(TM8:TM11)/COUNT(TM8:TM11))</f>
        <v/>
      </c>
      <c r="TN7" s="94" t="str">
        <f t="shared" si="124"/>
        <v/>
      </c>
      <c r="TO7" s="247"/>
      <c r="TP7" s="245"/>
      <c r="TQ7" s="246"/>
      <c r="TR7" s="93" t="str">
        <f>IF(COUNT(TR8,TR11)=0,"",SUM(TR8:TR11)/COUNT(TR8,TR11))</f>
        <v/>
      </c>
      <c r="TS7" s="95" t="str">
        <f t="shared" si="125"/>
        <v/>
      </c>
      <c r="TT7" s="247"/>
      <c r="TU7" s="245"/>
      <c r="TV7" s="246"/>
      <c r="TW7" s="93" t="str">
        <f>IF(COUNT(TW8,TW11)=0,"",SUM(TW8:TW11)/COUNT(TW8,TW11))</f>
        <v/>
      </c>
      <c r="TX7" s="96" t="str">
        <f t="shared" si="126"/>
        <v/>
      </c>
      <c r="TY7" s="93" t="str">
        <f>IF(COUNT(TY8:TY11)=0,"",SUM(TY8:TY11)/COUNT(TY8:TY11))</f>
        <v/>
      </c>
      <c r="TZ7" s="97" t="str">
        <f t="shared" si="127"/>
        <v/>
      </c>
    </row>
    <row r="8" spans="1:546" x14ac:dyDescent="0.25">
      <c r="A8" s="240" t="s">
        <v>39</v>
      </c>
      <c r="B8" s="241"/>
      <c r="C8" s="99"/>
      <c r="D8" s="100"/>
      <c r="E8" s="101"/>
      <c r="F8" s="183" t="str">
        <f>IFERROR((((COUNTIF('Elève (6ème4)'!C8:E8,"A"))*4)+((COUNTIF('Elève (6ème4)'!C8:E8,"B"))*3)+((COUNTIF('Elève (6ème4)'!C8:E8,"C"))*2)+((COUNTIF('Elève (6ème4)'!C8:E8,"D"))*1))/(COUNTA(C8:E8)),"")</f>
        <v/>
      </c>
      <c r="G8" s="184" t="str">
        <f t="shared" si="0"/>
        <v/>
      </c>
      <c r="H8" s="99"/>
      <c r="I8" s="100"/>
      <c r="J8" s="101"/>
      <c r="K8" s="183" t="str">
        <f>IFERROR((((COUNTIF('Elève (6ème4)'!H8:J8,"A"))*4)+((COUNTIF('Elève (6ème4)'!H8:J8,"B"))*3)+((COUNTIF('Elève (6ème4)'!H8:J8,"C"))*2)+((COUNTIF('Elève (6ème4)'!H8:J8,"D"))*1))/(COUNTA(H8:J8)),"")</f>
        <v/>
      </c>
      <c r="L8" s="184" t="str">
        <f t="shared" si="1"/>
        <v/>
      </c>
      <c r="M8" s="99"/>
      <c r="N8" s="100" t="s">
        <v>24</v>
      </c>
      <c r="O8" s="101" t="s">
        <v>23</v>
      </c>
      <c r="P8" s="183">
        <f>IFERROR((((COUNTIF('Elève (6ème4)'!M8:O8,"A"))*4)+((COUNTIF('Elève (6ème4)'!M8:O8,"B"))*3)+((COUNTIF('Elève (6ème4)'!M8:O8,"C"))*2)+((COUNTIF('Elève (6ème4)'!M8:O8,"D"))*1))/(COUNTA(M8:O8)),"")</f>
        <v>3.5</v>
      </c>
      <c r="Q8" s="184" t="str">
        <f t="shared" si="2"/>
        <v>B</v>
      </c>
      <c r="R8" s="183">
        <f>IF(COUNT(F8,K8,P8)=0,"",SUM(F8,K8,P8)/COUNT(F8,K8,P8))</f>
        <v>3.5</v>
      </c>
      <c r="S8" s="209" t="str">
        <f t="shared" si="3"/>
        <v>B</v>
      </c>
      <c r="T8" s="105"/>
      <c r="U8" s="100"/>
      <c r="V8" s="101"/>
      <c r="W8" s="183" t="str">
        <f>IFERROR((((COUNTIF('Elève (6ème4)'!T8:V8,"A"))*4)+((COUNTIF('Elève (6ème4)'!T8:V8,"B"))*3)+((COUNTIF('Elève (6ème4)'!T8:V8,"C"))*2)+((COUNTIF('Elève (6ème4)'!T8:V8,"D"))*1))/(COUNTA(T8:V8)),"")</f>
        <v/>
      </c>
      <c r="X8" s="184" t="str">
        <f t="shared" si="4"/>
        <v/>
      </c>
      <c r="Y8" s="99"/>
      <c r="Z8" s="100"/>
      <c r="AA8" s="101"/>
      <c r="AB8" s="183" t="str">
        <f>IFERROR((((COUNTIF('Elève (6ème4)'!Y8:AA8,"A"))*4)+((COUNTIF('Elève (6ème4)'!Y8:AA8,"B"))*3)+((COUNTIF('Elève (6ème4)'!Y8:AA8,"C"))*2)+((COUNTIF('Elève (6ème4)'!Y8:AA8,"D"))*1))/(COUNTA(Y8:AA8)),"")</f>
        <v/>
      </c>
      <c r="AC8" s="184" t="str">
        <f t="shared" si="5"/>
        <v/>
      </c>
      <c r="AD8" s="99"/>
      <c r="AE8" s="100" t="s">
        <v>23</v>
      </c>
      <c r="AF8" s="101" t="s">
        <v>24</v>
      </c>
      <c r="AG8" s="183">
        <f>IFERROR((((COUNTIF('Elève (6ème4)'!AD8:AF8,"A"))*4)+((COUNTIF('Elève (6ème4)'!AD8:AF8,"B"))*3)+((COUNTIF('Elève (6ème4)'!AD8:AF8,"C"))*2)+((COUNTIF('Elève (6ème4)'!AD8:AF8,"D"))*1))/(COUNTA(AD8:AF8)),"")</f>
        <v>3.5</v>
      </c>
      <c r="AH8" s="184" t="str">
        <f t="shared" si="6"/>
        <v>B</v>
      </c>
      <c r="AI8" s="183">
        <f>IF(COUNT(W8,AB8,AG8)=0,"",SUM(W8,AB8,AG8)/COUNT(W8,AB8,AG8))</f>
        <v>3.5</v>
      </c>
      <c r="AJ8" s="209" t="str">
        <f t="shared" si="7"/>
        <v>B</v>
      </c>
      <c r="AK8" s="105"/>
      <c r="AL8" s="100"/>
      <c r="AM8" s="101"/>
      <c r="AN8" s="183" t="str">
        <f>IFERROR((((COUNTIF('Elève (6ème4)'!AK8:AM8,"A"))*4)+((COUNTIF('Elève (6ème4)'!AK8:AM8,"B"))*3)+((COUNTIF('Elève (6ème4)'!AK8:AM8,"C"))*2)+((COUNTIF('Elève (6ème4)'!AK8:AM8,"D"))*1))/(COUNTA(AK8:AM8)),"")</f>
        <v/>
      </c>
      <c r="AO8" s="184" t="str">
        <f t="shared" si="8"/>
        <v/>
      </c>
      <c r="AP8" s="99"/>
      <c r="AQ8" s="100"/>
      <c r="AR8" s="101"/>
      <c r="AS8" s="183" t="str">
        <f>IFERROR((((COUNTIF('Elève (6ème4)'!AP8:AR8,"A"))*4)+((COUNTIF('Elève (6ème4)'!AP8:AR8,"B"))*3)+((COUNTIF('Elève (6ème4)'!AP8:AR8,"C"))*2)+((COUNTIF('Elève (6ème4)'!AP8:AR8,"D"))*1))/(COUNTA(AP8:AR8)),"")</f>
        <v/>
      </c>
      <c r="AT8" s="184" t="str">
        <f t="shared" si="9"/>
        <v/>
      </c>
      <c r="AU8" s="99"/>
      <c r="AV8" s="100" t="s">
        <v>23</v>
      </c>
      <c r="AW8" s="101" t="s">
        <v>23</v>
      </c>
      <c r="AX8" s="183">
        <f>IFERROR((((COUNTIF('Elève (6ème4)'!AU8:AW8,"A"))*4)+((COUNTIF('Elève (6ème4)'!AU8:AW8,"B"))*3)+((COUNTIF('Elève (6ème4)'!AU8:AW8,"C"))*2)+((COUNTIF('Elève (6ème4)'!AU8:AW8,"D"))*1))/(COUNTA(AU8:AW8)),"")</f>
        <v>4</v>
      </c>
      <c r="AY8" s="184" t="str">
        <f t="shared" si="10"/>
        <v>A</v>
      </c>
      <c r="AZ8" s="183">
        <f>IF(COUNT(AN8,AS8,AX8)=0,"",SUM(AN8,AS8,AX8)/COUNT(AN8,AS8,AX8))</f>
        <v>4</v>
      </c>
      <c r="BA8" s="209" t="str">
        <f t="shared" si="11"/>
        <v>A</v>
      </c>
      <c r="BB8" s="105"/>
      <c r="BC8" s="100"/>
      <c r="BD8" s="101"/>
      <c r="BE8" s="183" t="str">
        <f>IFERROR((((COUNTIF('Elève (6ème4)'!BB8:BD8,"A"))*4)+((COUNTIF('Elève (6ème4)'!BB8:BD8,"B"))*3)+((COUNTIF('Elève (6ème4)'!BB8:BD8,"C"))*2)+((COUNTIF('Elève (6ème4)'!BB8:BD8,"D"))*1))/(COUNTA(BB8:BD8)),"")</f>
        <v/>
      </c>
      <c r="BF8" s="184" t="str">
        <f t="shared" si="12"/>
        <v/>
      </c>
      <c r="BG8" s="99"/>
      <c r="BH8" s="100"/>
      <c r="BI8" s="101"/>
      <c r="BJ8" s="183" t="str">
        <f>IFERROR((((COUNTIF('Elève (6ème4)'!BG8:BI8,"A"))*4)+((COUNTIF('Elève (6ème4)'!BG8:BI8,"B"))*3)+((COUNTIF('Elève (6ème4)'!BG8:BI8,"C"))*2)+((COUNTIF('Elève (6ème4)'!BG8:BI8,"D"))*1))/(COUNTA(BG8:BI8)),"")</f>
        <v/>
      </c>
      <c r="BK8" s="184" t="str">
        <f t="shared" si="13"/>
        <v/>
      </c>
      <c r="BL8" s="99"/>
      <c r="BM8" s="100" t="s">
        <v>23</v>
      </c>
      <c r="BN8" s="101"/>
      <c r="BO8" s="183">
        <f>IFERROR((((COUNTIF('Elève (6ème4)'!BL8:BN8,"A"))*4)+((COUNTIF('Elève (6ème4)'!BL8:BN8,"B"))*3)+((COUNTIF('Elève (6ème4)'!BL8:BN8,"C"))*2)+((COUNTIF('Elève (6ème4)'!BL8:BN8,"D"))*1))/(COUNTA(BL8:BN8)),"")</f>
        <v>4</v>
      </c>
      <c r="BP8" s="184" t="str">
        <f t="shared" si="14"/>
        <v>A</v>
      </c>
      <c r="BQ8" s="183">
        <f>IF(COUNT(BE8,BJ8,BO8)=0,"",SUM(BE8,BJ8,BO8)/COUNT(BE8,BJ8,BO8))</f>
        <v>4</v>
      </c>
      <c r="BR8" s="209" t="str">
        <f t="shared" si="15"/>
        <v>A</v>
      </c>
      <c r="BS8" s="105"/>
      <c r="BT8" s="100"/>
      <c r="BU8" s="101"/>
      <c r="BV8" s="183" t="str">
        <f>IFERROR((((COUNTIF('Elève (6ème4)'!BS8:BU8,"A"))*4)+((COUNTIF('Elève (6ème4)'!BS8:BU8,"B"))*3)+((COUNTIF('Elève (6ème4)'!BS8:BU8,"C"))*2)+((COUNTIF('Elève (6ème4)'!BS8:BU8,"D"))*1))/(COUNTA(BS8:BU8)),"")</f>
        <v/>
      </c>
      <c r="BW8" s="184" t="str">
        <f t="shared" si="16"/>
        <v/>
      </c>
      <c r="BX8" s="99"/>
      <c r="BY8" s="100"/>
      <c r="BZ8" s="101"/>
      <c r="CA8" s="183" t="str">
        <f>IFERROR((((COUNTIF('Elève (6ème4)'!BX8:BZ8,"A"))*4)+((COUNTIF('Elève (6ème4)'!BX8:BZ8,"B"))*3)+((COUNTIF('Elève (6ème4)'!BX8:BZ8,"C"))*2)+((COUNTIF('Elève (6ème4)'!BX8:BZ8,"D"))*1))/(COUNTA(BX8:BZ8)),"")</f>
        <v/>
      </c>
      <c r="CB8" s="184" t="str">
        <f t="shared" si="17"/>
        <v/>
      </c>
      <c r="CC8" s="99"/>
      <c r="CD8" s="100" t="s">
        <v>23</v>
      </c>
      <c r="CE8" s="101" t="s">
        <v>24</v>
      </c>
      <c r="CF8" s="183">
        <f>IFERROR((((COUNTIF('Elève (6ème4)'!CC8:CE8,"A"))*4)+((COUNTIF('Elève (6ème4)'!CC8:CE8,"B"))*3)+((COUNTIF('Elève (6ème4)'!CC8:CE8,"C"))*2)+((COUNTIF('Elève (6ème4)'!CC8:CE8,"D"))*1))/(COUNTA(CC8:CE8)),"")</f>
        <v>3.5</v>
      </c>
      <c r="CG8" s="184" t="str">
        <f t="shared" si="18"/>
        <v>B</v>
      </c>
      <c r="CH8" s="183">
        <f>IF(COUNT(BV8,CA8,CF8)=0,"",SUM(BV8,CA8,CF8)/COUNT(BV8,CA8,CF8))</f>
        <v>3.5</v>
      </c>
      <c r="CI8" s="209" t="str">
        <f t="shared" si="19"/>
        <v>B</v>
      </c>
      <c r="CJ8" s="105"/>
      <c r="CK8" s="100"/>
      <c r="CL8" s="101"/>
      <c r="CM8" s="183" t="str">
        <f>IFERROR((((COUNTIF('Elève (6ème4)'!CJ8:CL8,"A"))*4)+((COUNTIF('Elève (6ème4)'!CJ8:CL8,"B"))*3)+((COUNTIF('Elève (6ème4)'!CJ8:CL8,"C"))*2)+((COUNTIF('Elève (6ème4)'!CJ8:CL8,"D"))*1))/(COUNTA(CJ8:CL8)),"")</f>
        <v/>
      </c>
      <c r="CN8" s="184" t="str">
        <f t="shared" si="20"/>
        <v/>
      </c>
      <c r="CO8" s="99"/>
      <c r="CP8" s="100"/>
      <c r="CQ8" s="101"/>
      <c r="CR8" s="183" t="str">
        <f>IFERROR((((COUNTIF('Elève (6ème4)'!CO8:CQ8,"A"))*4)+((COUNTIF('Elève (6ème4)'!CO8:CQ8,"B"))*3)+((COUNTIF('Elève (6ème4)'!CO8:CQ8,"C"))*2)+((COUNTIF('Elève (6ème4)'!CO8:CQ8,"D"))*1))/(COUNTA(CO8:CQ8)),"")</f>
        <v/>
      </c>
      <c r="CS8" s="184" t="str">
        <f t="shared" si="21"/>
        <v/>
      </c>
      <c r="CT8" s="99"/>
      <c r="CU8" s="100" t="s">
        <v>23</v>
      </c>
      <c r="CV8" s="101" t="s">
        <v>23</v>
      </c>
      <c r="CW8" s="183">
        <f>IFERROR((((COUNTIF('Elève (6ème4)'!CT8:CV8,"A"))*4)+((COUNTIF('Elève (6ème4)'!CT8:CV8,"B"))*3)+((COUNTIF('Elève (6ème4)'!CT8:CV8,"C"))*2)+((COUNTIF('Elève (6ème4)'!CT8:CV8,"D"))*1))/(COUNTA(CT8:CV8)),"")</f>
        <v>4</v>
      </c>
      <c r="CX8" s="184" t="str">
        <f t="shared" si="22"/>
        <v>A</v>
      </c>
      <c r="CY8" s="183">
        <f>IF(COUNT(CM8,CR8,CW8)=0,"",SUM(CM8,CR8,CW8)/COUNT(CM8,CR8,CW8))</f>
        <v>4</v>
      </c>
      <c r="CZ8" s="209" t="str">
        <f t="shared" si="23"/>
        <v>A</v>
      </c>
      <c r="DA8" s="105"/>
      <c r="DB8" s="100"/>
      <c r="DC8" s="101"/>
      <c r="DD8" s="183" t="str">
        <f>IFERROR((((COUNTIF('Elève (6ème4)'!DA8:DC8,"A"))*4)+((COUNTIF('Elève (6ème4)'!DA8:DC8,"B"))*3)+((COUNTIF('Elève (6ème4)'!DA8:DC8,"C"))*2)+((COUNTIF('Elève (6ème4)'!DA8:DC8,"D"))*1))/(COUNTA(DA8:DC8)),"")</f>
        <v/>
      </c>
      <c r="DE8" s="184" t="str">
        <f t="shared" si="24"/>
        <v/>
      </c>
      <c r="DF8" s="99"/>
      <c r="DG8" s="100"/>
      <c r="DH8" s="101"/>
      <c r="DI8" s="183" t="str">
        <f>IFERROR((((COUNTIF('Elève (6ème4)'!DF8:DH8,"A"))*4)+((COUNTIF('Elève (6ème4)'!DF8:DH8,"B"))*3)+((COUNTIF('Elève (6ème4)'!DF8:DH8,"C"))*2)+((COUNTIF('Elève (6ème4)'!DF8:DH8,"D"))*1))/(COUNTA(DF8:DH8)),"")</f>
        <v/>
      </c>
      <c r="DJ8" s="184" t="str">
        <f t="shared" si="25"/>
        <v/>
      </c>
      <c r="DK8" s="99"/>
      <c r="DL8" s="100" t="s">
        <v>23</v>
      </c>
      <c r="DM8" s="101" t="s">
        <v>24</v>
      </c>
      <c r="DN8" s="183">
        <f>IFERROR((((COUNTIF('Elève (6ème4)'!DK8:DM8,"A"))*4)+((COUNTIF('Elève (6ème4)'!DK8:DM8,"B"))*3)+((COUNTIF('Elève (6ème4)'!DK8:DM8,"C"))*2)+((COUNTIF('Elève (6ème4)'!DK8:DM8,"D"))*1))/(COUNTA(DK8:DM8)),"")</f>
        <v>3.5</v>
      </c>
      <c r="DO8" s="184" t="str">
        <f t="shared" si="26"/>
        <v>B</v>
      </c>
      <c r="DP8" s="183">
        <f>IF(COUNT(DD8,DI8,DN8)=0,"",SUM(DD8,DI8,DN8)/COUNT(DD8,DI8,DN8))</f>
        <v>3.5</v>
      </c>
      <c r="DQ8" s="209" t="str">
        <f t="shared" si="27"/>
        <v>B</v>
      </c>
      <c r="DR8" s="105"/>
      <c r="DS8" s="100"/>
      <c r="DT8" s="101"/>
      <c r="DU8" s="183" t="str">
        <f>IFERROR((((COUNTIF('Elève (6ème4)'!DR8:DT8,"A"))*4)+((COUNTIF('Elève (6ème4)'!DR8:DT8,"B"))*3)+((COUNTIF('Elève (6ème4)'!DR8:DT8,"C"))*2)+((COUNTIF('Elève (6ème4)'!DR8:DT8,"D"))*1))/(COUNTA(DR8:DT8)),"")</f>
        <v/>
      </c>
      <c r="DV8" s="184" t="str">
        <f t="shared" si="28"/>
        <v/>
      </c>
      <c r="DW8" s="99"/>
      <c r="DX8" s="100"/>
      <c r="DY8" s="101"/>
      <c r="DZ8" s="183" t="str">
        <f>IFERROR((((COUNTIF('Elève (6ème4)'!DW8:DY8,"A"))*4)+((COUNTIF('Elève (6ème4)'!DW8:DY8,"B"))*3)+((COUNTIF('Elève (6ème4)'!DW8:DY8,"C"))*2)+((COUNTIF('Elève (6ème4)'!DW8:DY8,"D"))*1))/(COUNTA(DW8:DY8)),"")</f>
        <v/>
      </c>
      <c r="EA8" s="184" t="str">
        <f t="shared" si="29"/>
        <v/>
      </c>
      <c r="EB8" s="99"/>
      <c r="EC8" s="100" t="s">
        <v>24</v>
      </c>
      <c r="ED8" s="101" t="s">
        <v>24</v>
      </c>
      <c r="EE8" s="183">
        <f>IFERROR((((COUNTIF('Elève (6ème4)'!EB8:ED8,"A"))*4)+((COUNTIF('Elève (6ème4)'!EB8:ED8,"B"))*3)+((COUNTIF('Elève (6ème4)'!EB8:ED8,"C"))*2)+((COUNTIF('Elève (6ème4)'!EB8:ED8,"D"))*1))/(COUNTA(EB8:ED8)),"")</f>
        <v>3</v>
      </c>
      <c r="EF8" s="184" t="str">
        <f t="shared" si="30"/>
        <v>B</v>
      </c>
      <c r="EG8" s="183">
        <f>IF(COUNT(DU8,DZ8,EE8)=0,"",SUM(DU8,DZ8,EE8)/COUNT(DU8,DZ8,EE8))</f>
        <v>3</v>
      </c>
      <c r="EH8" s="209" t="str">
        <f t="shared" si="31"/>
        <v>B</v>
      </c>
      <c r="EI8" s="105"/>
      <c r="EJ8" s="100"/>
      <c r="EK8" s="101"/>
      <c r="EL8" s="183" t="str">
        <f>IFERROR((((COUNTIF('Elève (6ème4)'!EI8:EK8,"A"))*4)+((COUNTIF('Elève (6ème4)'!EI8:EK8,"B"))*3)+((COUNTIF('Elève (6ème4)'!EI8:EK8,"C"))*2)+((COUNTIF('Elève (6ème4)'!EI8:EK8,"D"))*1))/(COUNTA(EI8:EK8)),"")</f>
        <v/>
      </c>
      <c r="EM8" s="184" t="str">
        <f t="shared" si="32"/>
        <v/>
      </c>
      <c r="EN8" s="99"/>
      <c r="EO8" s="100"/>
      <c r="EP8" s="101"/>
      <c r="EQ8" s="183" t="str">
        <f>IFERROR((((COUNTIF('Elève (6ème4)'!EN8:EP8,"A"))*4)+((COUNTIF('Elève (6ème4)'!EN8:EP8,"B"))*3)+((COUNTIF('Elève (6ème4)'!EN8:EP8,"C"))*2)+((COUNTIF('Elève (6ème4)'!EN8:EP8,"D"))*1))/(COUNTA(EN8:EP8)),"")</f>
        <v/>
      </c>
      <c r="ER8" s="184" t="str">
        <f t="shared" si="33"/>
        <v/>
      </c>
      <c r="ES8" s="99"/>
      <c r="ET8" s="100" t="s">
        <v>23</v>
      </c>
      <c r="EU8" s="101" t="s">
        <v>23</v>
      </c>
      <c r="EV8" s="183">
        <f>IFERROR((((COUNTIF('Elève (6ème4)'!ES8:EU8,"A"))*4)+((COUNTIF('Elève (6ème4)'!ES8:EU8,"B"))*3)+((COUNTIF('Elève (6ème4)'!ES8:EU8,"C"))*2)+((COUNTIF('Elève (6ème4)'!ES8:EU8,"D"))*1))/(COUNTA(ES8:EU8)),"")</f>
        <v>4</v>
      </c>
      <c r="EW8" s="184" t="str">
        <f t="shared" si="34"/>
        <v>A</v>
      </c>
      <c r="EX8" s="183">
        <f>IF(COUNT(EL8,EQ8,EV8)=0,"",SUM(EL8,EQ8,EV8)/COUNT(EL8,EQ8,EV8))</f>
        <v>4</v>
      </c>
      <c r="EY8" s="209" t="str">
        <f t="shared" si="35"/>
        <v>A</v>
      </c>
      <c r="EZ8" s="105"/>
      <c r="FA8" s="100"/>
      <c r="FB8" s="101"/>
      <c r="FC8" s="183" t="str">
        <f>IFERROR((((COUNTIF('Elève (6ème4)'!EZ8:FB8,"A"))*4)+((COUNTIF('Elève (6ème4)'!EZ8:FB8,"B"))*3)+((COUNTIF('Elève (6ème4)'!EZ8:FB8,"C"))*2)+((COUNTIF('Elève (6ème4)'!EZ8:FB8,"D"))*1))/(COUNTA(EZ8:FB8)),"")</f>
        <v/>
      </c>
      <c r="FD8" s="184" t="str">
        <f t="shared" si="36"/>
        <v/>
      </c>
      <c r="FE8" s="99"/>
      <c r="FF8" s="100"/>
      <c r="FG8" s="101"/>
      <c r="FH8" s="183" t="str">
        <f>IFERROR((((COUNTIF('Elève (6ème4)'!FE8:FG8,"A"))*4)+((COUNTIF('Elève (6ème4)'!FE8:FG8,"B"))*3)+((COUNTIF('Elève (6ème4)'!FE8:FG8,"C"))*2)+((COUNTIF('Elève (6ème4)'!FE8:FG8,"D"))*1))/(COUNTA(FE8:FG8)),"")</f>
        <v/>
      </c>
      <c r="FI8" s="184" t="str">
        <f t="shared" si="37"/>
        <v/>
      </c>
      <c r="FJ8" s="99"/>
      <c r="FK8" s="100" t="s">
        <v>23</v>
      </c>
      <c r="FL8" s="101" t="s">
        <v>23</v>
      </c>
      <c r="FM8" s="183">
        <f>IFERROR((((COUNTIF('Elève (6ème4)'!FJ8:FL8,"A"))*4)+((COUNTIF('Elève (6ème4)'!FJ8:FL8,"B"))*3)+((COUNTIF('Elève (6ème4)'!FJ8:FL8,"C"))*2)+((COUNTIF('Elève (6ème4)'!FJ8:FL8,"D"))*1))/(COUNTA(FJ8:FL8)),"")</f>
        <v>4</v>
      </c>
      <c r="FN8" s="184" t="str">
        <f t="shared" si="38"/>
        <v>A</v>
      </c>
      <c r="FO8" s="183">
        <f>IF(COUNT(FC8,FH8,FM8)=0,"",SUM(FC8,FH8,FM8)/COUNT(FC8,FH8,FM8))</f>
        <v>4</v>
      </c>
      <c r="FP8" s="209" t="str">
        <f t="shared" si="39"/>
        <v>A</v>
      </c>
      <c r="FQ8" s="105"/>
      <c r="FR8" s="100"/>
      <c r="FS8" s="101"/>
      <c r="FT8" s="183" t="str">
        <f>IFERROR((((COUNTIF('Elève (6ème4)'!FQ8:FS8,"A"))*4)+((COUNTIF('Elève (6ème4)'!FQ8:FS8,"B"))*3)+((COUNTIF('Elève (6ème4)'!FQ8:FS8,"C"))*2)+((COUNTIF('Elève (6ème4)'!FQ8:FS8,"D"))*1))/(COUNTA(FQ8:FS8)),"")</f>
        <v/>
      </c>
      <c r="FU8" s="184" t="str">
        <f t="shared" si="40"/>
        <v/>
      </c>
      <c r="FV8" s="99"/>
      <c r="FW8" s="100"/>
      <c r="FX8" s="101"/>
      <c r="FY8" s="183" t="str">
        <f>IFERROR((((COUNTIF('Elève (6ème4)'!FV8:FX8,"A"))*4)+((COUNTIF('Elève (6ème4)'!FV8:FX8,"B"))*3)+((COUNTIF('Elève (6ème4)'!FV8:FX8,"C"))*2)+((COUNTIF('Elève (6ème4)'!FV8:FX8,"D"))*1))/(COUNTA(FV8:FX8)),"")</f>
        <v/>
      </c>
      <c r="FZ8" s="184" t="str">
        <f t="shared" si="41"/>
        <v/>
      </c>
      <c r="GA8" s="99"/>
      <c r="GB8" s="100" t="s">
        <v>23</v>
      </c>
      <c r="GC8" s="101" t="s">
        <v>23</v>
      </c>
      <c r="GD8" s="183">
        <f>IFERROR((((COUNTIF('Elève (6ème4)'!GA8:GC8,"A"))*4)+((COUNTIF('Elève (6ème4)'!GA8:GC8,"B"))*3)+((COUNTIF('Elève (6ème4)'!GA8:GC8,"C"))*2)+((COUNTIF('Elève (6ème4)'!GA8:GC8,"D"))*1))/(COUNTA(GA8:GC8)),"")</f>
        <v>4</v>
      </c>
      <c r="GE8" s="184" t="str">
        <f t="shared" si="42"/>
        <v>A</v>
      </c>
      <c r="GF8" s="183">
        <f>IF(COUNT(FT8,FY8,GD8)=0,"",SUM(FT8,FY8,GD8)/COUNT(FT8,FY8,GD8))</f>
        <v>4</v>
      </c>
      <c r="GG8" s="209" t="str">
        <f t="shared" si="43"/>
        <v>A</v>
      </c>
      <c r="GH8" s="105"/>
      <c r="GI8" s="100"/>
      <c r="GJ8" s="101"/>
      <c r="GK8" s="183" t="str">
        <f>IFERROR((((COUNTIF('Elève (6ème4)'!GH8:GJ8,"A"))*4)+((COUNTIF('Elève (6ème4)'!GH8:GJ8,"B"))*3)+((COUNTIF('Elève (6ème4)'!GH8:GJ8,"C"))*2)+((COUNTIF('Elève (6ème4)'!GH8:GJ8,"D"))*1))/(COUNTA(GH8:GJ8)),"")</f>
        <v/>
      </c>
      <c r="GL8" s="184" t="str">
        <f t="shared" si="44"/>
        <v/>
      </c>
      <c r="GM8" s="99"/>
      <c r="GN8" s="100"/>
      <c r="GO8" s="101"/>
      <c r="GP8" s="183" t="str">
        <f>IFERROR((((COUNTIF('Elève (6ème4)'!GM8:GO8,"A"))*4)+((COUNTIF('Elève (6ème4)'!GM8:GO8,"B"))*3)+((COUNTIF('Elève (6ème4)'!GM8:GO8,"C"))*2)+((COUNTIF('Elève (6ème4)'!GM8:GO8,"D"))*1))/(COUNTA(GM8:GO8)),"")</f>
        <v/>
      </c>
      <c r="GQ8" s="184" t="str">
        <f t="shared" si="45"/>
        <v/>
      </c>
      <c r="GR8" s="99"/>
      <c r="GS8" s="100" t="s">
        <v>23</v>
      </c>
      <c r="GT8" s="101" t="s">
        <v>23</v>
      </c>
      <c r="GU8" s="183">
        <f>IFERROR((((COUNTIF('Elève (6ème4)'!GR8:GT8,"A"))*4)+((COUNTIF('Elève (6ème4)'!GR8:GT8,"B"))*3)+((COUNTIF('Elève (6ème4)'!GR8:GT8,"C"))*2)+((COUNTIF('Elève (6ème4)'!GR8:GT8,"D"))*1))/(COUNTA(GR8:GT8)),"")</f>
        <v>4</v>
      </c>
      <c r="GV8" s="184" t="str">
        <f t="shared" si="46"/>
        <v>A</v>
      </c>
      <c r="GW8" s="183">
        <f>IF(COUNT(GK8,GP8,GU8)=0,"",SUM(GK8,GP8,GU8)/COUNT(GK8,GP8,GU8))</f>
        <v>4</v>
      </c>
      <c r="GX8" s="209" t="str">
        <f t="shared" si="47"/>
        <v>A</v>
      </c>
      <c r="GY8" s="105"/>
      <c r="GZ8" s="100"/>
      <c r="HA8" s="101"/>
      <c r="HB8" s="183" t="str">
        <f>IFERROR((((COUNTIF('Elève (6ème4)'!GY8:HA8,"A"))*4)+((COUNTIF('Elève (6ème4)'!GY8:HA8,"B"))*3)+((COUNTIF('Elève (6ème4)'!GY8:HA8,"C"))*2)+((COUNTIF('Elève (6ème4)'!GY8:HA8,"D"))*1))/(COUNTA(GY8:HA8)),"")</f>
        <v/>
      </c>
      <c r="HC8" s="184" t="str">
        <f t="shared" si="48"/>
        <v/>
      </c>
      <c r="HD8" s="99"/>
      <c r="HE8" s="100"/>
      <c r="HF8" s="101"/>
      <c r="HG8" s="183" t="str">
        <f>IFERROR((((COUNTIF('Elève (6ème4)'!HD8:HF8,"A"))*4)+((COUNTIF('Elève (6ème4)'!HD8:HF8,"B"))*3)+((COUNTIF('Elève (6ème4)'!HD8:HF8,"C"))*2)+((COUNTIF('Elève (6ème4)'!HD8:HF8,"D"))*1))/(COUNTA(HD8:HF8)),"")</f>
        <v/>
      </c>
      <c r="HH8" s="184" t="str">
        <f t="shared" si="49"/>
        <v/>
      </c>
      <c r="HI8" s="99"/>
      <c r="HJ8" s="100" t="s">
        <v>23</v>
      </c>
      <c r="HK8" s="101" t="s">
        <v>23</v>
      </c>
      <c r="HL8" s="183">
        <f>IFERROR((((COUNTIF('Elève (6ème4)'!HI8:HK8,"A"))*4)+((COUNTIF('Elève (6ème4)'!HI8:HK8,"B"))*3)+((COUNTIF('Elève (6ème4)'!HI8:HK8,"C"))*2)+((COUNTIF('Elève (6ème4)'!HI8:HK8,"D"))*1))/(COUNTA(HI8:HK8)),"")</f>
        <v>4</v>
      </c>
      <c r="HM8" s="184" t="str">
        <f t="shared" si="50"/>
        <v>A</v>
      </c>
      <c r="HN8" s="183">
        <f>IF(COUNT(HB8,HG8,HL8)=0,"",SUM(HB8,HG8,HL8)/COUNT(HB8,HG8,HL8))</f>
        <v>4</v>
      </c>
      <c r="HO8" s="209" t="str">
        <f t="shared" si="51"/>
        <v>A</v>
      </c>
      <c r="HP8" s="105"/>
      <c r="HQ8" s="100"/>
      <c r="HR8" s="101"/>
      <c r="HS8" s="183" t="str">
        <f>IFERROR((((COUNTIF('Elève (6ème4)'!HP8:HR8,"A"))*4)+((COUNTIF('Elève (6ème4)'!HP8:HR8,"B"))*3)+((COUNTIF('Elève (6ème4)'!HP8:HR8,"C"))*2)+((COUNTIF('Elève (6ème4)'!HP8:HR8,"D"))*1))/(COUNTA(HP8:HR8)),"")</f>
        <v/>
      </c>
      <c r="HT8" s="184" t="str">
        <f t="shared" si="52"/>
        <v/>
      </c>
      <c r="HU8" s="99"/>
      <c r="HV8" s="100"/>
      <c r="HW8" s="101"/>
      <c r="HX8" s="183" t="str">
        <f>IFERROR((((COUNTIF('Elève (6ème4)'!HU8:HW8,"A"))*4)+((COUNTIF('Elève (6ème4)'!HU8:HW8,"B"))*3)+((COUNTIF('Elève (6ème4)'!HU8:HW8,"C"))*2)+((COUNTIF('Elève (6ème4)'!HU8:HW8,"D"))*1))/(COUNTA(HU8:HW8)),"")</f>
        <v/>
      </c>
      <c r="HY8" s="184" t="str">
        <f t="shared" si="53"/>
        <v/>
      </c>
      <c r="HZ8" s="99"/>
      <c r="IA8" s="100" t="s">
        <v>24</v>
      </c>
      <c r="IB8" s="101" t="s">
        <v>23</v>
      </c>
      <c r="IC8" s="183">
        <f>IFERROR((((COUNTIF('Elève (6ème4)'!HZ8:IB8,"A"))*4)+((COUNTIF('Elève (6ème4)'!HZ8:IB8,"B"))*3)+((COUNTIF('Elève (6ème4)'!HZ8:IB8,"C"))*2)+((COUNTIF('Elève (6ème4)'!HZ8:IB8,"D"))*1))/(COUNTA(HZ8:IB8)),"")</f>
        <v>3.5</v>
      </c>
      <c r="ID8" s="184" t="str">
        <f t="shared" si="54"/>
        <v>B</v>
      </c>
      <c r="IE8" s="183">
        <f>IF(COUNT(HS8,HX8,IC8)=0,"",SUM(HS8,HX8,IC8)/COUNT(HS8,HX8,IC8))</f>
        <v>3.5</v>
      </c>
      <c r="IF8" s="209" t="str">
        <f t="shared" si="55"/>
        <v>B</v>
      </c>
      <c r="IG8" s="105"/>
      <c r="IH8" s="100"/>
      <c r="II8" s="101"/>
      <c r="IJ8" s="183" t="str">
        <f>IFERROR((((COUNTIF('Elève (6ème4)'!IG8:II8,"A"))*4)+((COUNTIF('Elève (6ème4)'!IG8:II8,"B"))*3)+((COUNTIF('Elève (6ème4)'!IG8:II8,"C"))*2)+((COUNTIF('Elève (6ème4)'!IG8:II8,"D"))*1))/(COUNTA(IG8:II8)),"")</f>
        <v/>
      </c>
      <c r="IK8" s="184" t="str">
        <f t="shared" si="56"/>
        <v/>
      </c>
      <c r="IL8" s="99"/>
      <c r="IM8" s="100"/>
      <c r="IN8" s="101"/>
      <c r="IO8" s="183" t="str">
        <f>IFERROR((((COUNTIF('Elève (6ème4)'!IL8:IN8,"A"))*4)+((COUNTIF('Elève (6ème4)'!IL8:IN8,"B"))*3)+((COUNTIF('Elève (6ème4)'!IL8:IN8,"C"))*2)+((COUNTIF('Elève (6ème4)'!IL8:IN8,"D"))*1))/(COUNTA(IL8:IN8)),"")</f>
        <v/>
      </c>
      <c r="IP8" s="184" t="str">
        <f t="shared" si="57"/>
        <v/>
      </c>
      <c r="IQ8" s="99"/>
      <c r="IR8" s="100" t="s">
        <v>24</v>
      </c>
      <c r="IS8" s="101" t="s">
        <v>24</v>
      </c>
      <c r="IT8" s="183">
        <f>IFERROR((((COUNTIF('Elève (6ème4)'!IQ8:IS8,"A"))*4)+((COUNTIF('Elève (6ème4)'!IQ8:IS8,"B"))*3)+((COUNTIF('Elève (6ème4)'!IQ8:IS8,"C"))*2)+((COUNTIF('Elève (6ème4)'!IQ8:IS8,"D"))*1))/(COUNTA(IQ8:IS8)),"")</f>
        <v>3</v>
      </c>
      <c r="IU8" s="184" t="str">
        <f t="shared" si="58"/>
        <v>B</v>
      </c>
      <c r="IV8" s="183">
        <f>IF(COUNT(IJ8,IO8,IT8)=0,"",SUM(IJ8,IO8,IT8)/COUNT(IJ8,IO8,IT8))</f>
        <v>3</v>
      </c>
      <c r="IW8" s="209" t="str">
        <f t="shared" si="59"/>
        <v>B</v>
      </c>
      <c r="IX8" s="105"/>
      <c r="IY8" s="100"/>
      <c r="IZ8" s="101"/>
      <c r="JA8" s="183" t="str">
        <f>IFERROR((((COUNTIF('Elève (6ème4)'!IX8:IZ8,"A"))*4)+((COUNTIF('Elève (6ème4)'!IX8:IZ8,"B"))*3)+((COUNTIF('Elève (6ème4)'!IX8:IZ8,"C"))*2)+((COUNTIF('Elève (6ème4)'!IX8:IZ8,"D"))*1))/(COUNTA(IX8:IZ8)),"")</f>
        <v/>
      </c>
      <c r="JB8" s="184" t="str">
        <f t="shared" si="60"/>
        <v/>
      </c>
      <c r="JC8" s="99"/>
      <c r="JD8" s="100"/>
      <c r="JE8" s="101"/>
      <c r="JF8" s="183" t="str">
        <f>IFERROR((((COUNTIF('Elève (6ème4)'!JC8:JE8,"A"))*4)+((COUNTIF('Elève (6ème4)'!JC8:JE8,"B"))*3)+((COUNTIF('Elève (6ème4)'!JC8:JE8,"C"))*2)+((COUNTIF('Elève (6ème4)'!JC8:JE8,"D"))*1))/(COUNTA(JC8:JE8)),"")</f>
        <v/>
      </c>
      <c r="JG8" s="184" t="str">
        <f t="shared" si="61"/>
        <v/>
      </c>
      <c r="JH8" s="99"/>
      <c r="JI8" s="100" t="s">
        <v>23</v>
      </c>
      <c r="JJ8" s="101" t="s">
        <v>23</v>
      </c>
      <c r="JK8" s="183">
        <f>IFERROR((((COUNTIF('Elève (6ème4)'!JH8:JJ8,"A"))*4)+((COUNTIF('Elève (6ème4)'!JH8:JJ8,"B"))*3)+((COUNTIF('Elève (6ème4)'!JH8:JJ8,"C"))*2)+((COUNTIF('Elève (6ème4)'!JH8:JJ8,"D"))*1))/(COUNTA(JH8:JJ8)),"")</f>
        <v>4</v>
      </c>
      <c r="JL8" s="184" t="str">
        <f t="shared" si="62"/>
        <v>A</v>
      </c>
      <c r="JM8" s="183">
        <f>IF(COUNT(JA8,JF8,JK8)=0,"",SUM(JA8,JF8,JK8)/COUNT(JA8,JF8,JK8))</f>
        <v>4</v>
      </c>
      <c r="JN8" s="209" t="str">
        <f t="shared" si="63"/>
        <v>A</v>
      </c>
      <c r="JO8" s="105"/>
      <c r="JP8" s="100"/>
      <c r="JQ8" s="101"/>
      <c r="JR8" s="183" t="str">
        <f>IFERROR((((COUNTIF('Elève (6ème4)'!JO8:JQ8,"A"))*4)+((COUNTIF('Elève (6ème4)'!JO8:JQ8,"B"))*3)+((COUNTIF('Elève (6ème4)'!JO8:JQ8,"C"))*2)+((COUNTIF('Elève (6ème4)'!JO8:JQ8,"D"))*1))/(COUNTA(JO8:JQ8)),"")</f>
        <v/>
      </c>
      <c r="JS8" s="184" t="str">
        <f t="shared" si="64"/>
        <v/>
      </c>
      <c r="JT8" s="99"/>
      <c r="JU8" s="100"/>
      <c r="JV8" s="101"/>
      <c r="JW8" s="183" t="str">
        <f>IFERROR((((COUNTIF('Elève (6ème4)'!JT8:JV8,"A"))*4)+((COUNTIF('Elève (6ème4)'!JT8:JV8,"B"))*3)+((COUNTIF('Elève (6ème4)'!JT8:JV8,"C"))*2)+((COUNTIF('Elève (6ème4)'!JT8:JV8,"D"))*1))/(COUNTA(JT8:JV8)),"")</f>
        <v/>
      </c>
      <c r="JX8" s="184" t="str">
        <f t="shared" si="65"/>
        <v/>
      </c>
      <c r="JY8" s="99"/>
      <c r="JZ8" s="100" t="s">
        <v>24</v>
      </c>
      <c r="KA8" s="101" t="s">
        <v>24</v>
      </c>
      <c r="KB8" s="183">
        <f>IFERROR((((COUNTIF('Elève (6ème4)'!JY8:KA8,"A"))*4)+((COUNTIF('Elève (6ème4)'!JY8:KA8,"B"))*3)+((COUNTIF('Elève (6ème4)'!JY8:KA8,"C"))*2)+((COUNTIF('Elève (6ème4)'!JY8:KA8,"D"))*1))/(COUNTA(JY8:KA8)),"")</f>
        <v>3</v>
      </c>
      <c r="KC8" s="184" t="str">
        <f t="shared" si="66"/>
        <v>B</v>
      </c>
      <c r="KD8" s="183">
        <f>IF(COUNT(JR8,JW8,KB8)=0,"",SUM(JR8,JW8,KB8)/COUNT(JR8,JW8,KB8))</f>
        <v>3</v>
      </c>
      <c r="KE8" s="209" t="str">
        <f t="shared" si="67"/>
        <v>B</v>
      </c>
      <c r="KF8" s="105"/>
      <c r="KG8" s="100"/>
      <c r="KH8" s="101"/>
      <c r="KI8" s="183" t="str">
        <f>IFERROR((((COUNTIF('Elève (6ème4)'!KF8:KH8,"A"))*4)+((COUNTIF('Elève (6ème4)'!KF8:KH8,"B"))*3)+((COUNTIF('Elève (6ème4)'!KF8:KH8,"C"))*2)+((COUNTIF('Elève (6ème4)'!KF8:KH8,"D"))*1))/(COUNTA(KF8:KH8)),"")</f>
        <v/>
      </c>
      <c r="KJ8" s="184" t="str">
        <f t="shared" si="68"/>
        <v/>
      </c>
      <c r="KK8" s="99"/>
      <c r="KL8" s="100"/>
      <c r="KM8" s="101"/>
      <c r="KN8" s="183" t="str">
        <f>IFERROR((((COUNTIF('Elève (6ème4)'!KK8:KM8,"A"))*4)+((COUNTIF('Elève (6ème4)'!KK8:KM8,"B"))*3)+((COUNTIF('Elève (6ème4)'!KK8:KM8,"C"))*2)+((COUNTIF('Elève (6ème4)'!KK8:KM8,"D"))*1))/(COUNTA(KK8:KM8)),"")</f>
        <v/>
      </c>
      <c r="KO8" s="184" t="str">
        <f t="shared" si="69"/>
        <v/>
      </c>
      <c r="KP8" s="99"/>
      <c r="KQ8" s="100" t="s">
        <v>23</v>
      </c>
      <c r="KR8" s="101" t="s">
        <v>23</v>
      </c>
      <c r="KS8" s="183">
        <f>IFERROR((((COUNTIF('Elève (6ème4)'!KP8:KR8,"A"))*4)+((COUNTIF('Elève (6ème4)'!KP8:KR8,"B"))*3)+((COUNTIF('Elève (6ème4)'!KP8:KR8,"C"))*2)+((COUNTIF('Elève (6ème4)'!KP8:KR8,"D"))*1))/(COUNTA(KP8:KR8)),"")</f>
        <v>4</v>
      </c>
      <c r="KT8" s="184" t="str">
        <f t="shared" si="70"/>
        <v>A</v>
      </c>
      <c r="KU8" s="183">
        <f>IF(COUNT(KI8,KN8,KS8)=0,"",SUM(KI8,KN8,KS8)/COUNT(KI8,KN8,KS8))</f>
        <v>4</v>
      </c>
      <c r="KV8" s="209" t="str">
        <f t="shared" si="71"/>
        <v>A</v>
      </c>
      <c r="KW8" s="105"/>
      <c r="KX8" s="100"/>
      <c r="KY8" s="101"/>
      <c r="KZ8" s="183" t="str">
        <f>IFERROR((((COUNTIF('Elève (6ème4)'!KW8:KY8,"A"))*4)+((COUNTIF('Elève (6ème4)'!KW8:KY8,"B"))*3)+((COUNTIF('Elève (6ème4)'!KW8:KY8,"C"))*2)+((COUNTIF('Elève (6ème4)'!KW8:KY8,"D"))*1))/(COUNTA(KW8:KY8)),"")</f>
        <v/>
      </c>
      <c r="LA8" s="184" t="str">
        <f t="shared" si="72"/>
        <v/>
      </c>
      <c r="LB8" s="99"/>
      <c r="LC8" s="100"/>
      <c r="LD8" s="101"/>
      <c r="LE8" s="183" t="str">
        <f>IFERROR((((COUNTIF('Elève (6ème4)'!LB8:LD8,"A"))*4)+((COUNTIF('Elève (6ème4)'!LB8:LD8,"B"))*3)+((COUNTIF('Elève (6ème4)'!LB8:LD8,"C"))*2)+((COUNTIF('Elève (6ème4)'!LB8:LD8,"D"))*1))/(COUNTA(LB8:LD8)),"")</f>
        <v/>
      </c>
      <c r="LF8" s="184" t="str">
        <f t="shared" si="73"/>
        <v/>
      </c>
      <c r="LG8" s="99"/>
      <c r="LH8" s="100" t="s">
        <v>23</v>
      </c>
      <c r="LI8" s="101" t="s">
        <v>23</v>
      </c>
      <c r="LJ8" s="183">
        <f>IFERROR((((COUNTIF('Elève (6ème4)'!LG8:LI8,"A"))*4)+((COUNTIF('Elève (6ème4)'!LG8:LI8,"B"))*3)+((COUNTIF('Elève (6ème4)'!LG8:LI8,"C"))*2)+((COUNTIF('Elève (6ème4)'!LG8:LI8,"D"))*1))/(COUNTA(LG8:LI8)),"")</f>
        <v>4</v>
      </c>
      <c r="LK8" s="184" t="str">
        <f t="shared" si="74"/>
        <v>A</v>
      </c>
      <c r="LL8" s="183">
        <f>IF(COUNT(KZ8,LE8,LJ8)=0,"",SUM(KZ8,LE8,LJ8)/COUNT(KZ8,LE8,LJ8))</f>
        <v>4</v>
      </c>
      <c r="LM8" s="209" t="str">
        <f t="shared" si="75"/>
        <v>A</v>
      </c>
      <c r="LN8" s="105"/>
      <c r="LO8" s="100"/>
      <c r="LP8" s="101"/>
      <c r="LQ8" s="183" t="str">
        <f>IFERROR((((COUNTIF('Elève (6ème4)'!LN8:LP8,"A"))*4)+((COUNTIF('Elève (6ème4)'!LN8:LP8,"B"))*3)+((COUNTIF('Elève (6ème4)'!LN8:LP8,"C"))*2)+((COUNTIF('Elève (6ème4)'!LN8:LP8,"D"))*1))/(COUNTA(LN8:LP8)),"")</f>
        <v/>
      </c>
      <c r="LR8" s="184" t="str">
        <f t="shared" si="76"/>
        <v/>
      </c>
      <c r="LS8" s="99"/>
      <c r="LT8" s="100"/>
      <c r="LU8" s="101"/>
      <c r="LV8" s="183" t="str">
        <f>IFERROR((((COUNTIF('Elève (6ème4)'!LS8:LU8,"A"))*4)+((COUNTIF('Elève (6ème4)'!LS8:LU8,"B"))*3)+((COUNTIF('Elève (6ème4)'!LS8:LU8,"C"))*2)+((COUNTIF('Elève (6ème4)'!LS8:LU8,"D"))*1))/(COUNTA(LS8:LU8)),"")</f>
        <v/>
      </c>
      <c r="LW8" s="184" t="str">
        <f t="shared" si="77"/>
        <v/>
      </c>
      <c r="LX8" s="99"/>
      <c r="LY8" s="100" t="s">
        <v>24</v>
      </c>
      <c r="LZ8" s="101" t="s">
        <v>24</v>
      </c>
      <c r="MA8" s="183">
        <f>IFERROR((((COUNTIF('Elève (6ème4)'!LX8:LZ8,"A"))*4)+((COUNTIF('Elève (6ème4)'!LX8:LZ8,"B"))*3)+((COUNTIF('Elève (6ème4)'!LX8:LZ8,"C"))*2)+((COUNTIF('Elève (6ème4)'!LX8:LZ8,"D"))*1))/(COUNTA(LX8:LZ8)),"")</f>
        <v>3</v>
      </c>
      <c r="MB8" s="184" t="str">
        <f t="shared" si="78"/>
        <v>B</v>
      </c>
      <c r="MC8" s="183">
        <f>IF(COUNT(LQ8,LV8,MA8)=0,"",SUM(LQ8,LV8,MA8)/COUNT(LQ8,LV8,MA8))</f>
        <v>3</v>
      </c>
      <c r="MD8" s="209" t="str">
        <f t="shared" si="79"/>
        <v>B</v>
      </c>
      <c r="ME8" s="105"/>
      <c r="MF8" s="100"/>
      <c r="MG8" s="101"/>
      <c r="MH8" s="183" t="str">
        <f>IFERROR((((COUNTIF('Elève (6ème4)'!ME8:MG8,"A"))*4)+((COUNTIF('Elève (6ème4)'!ME8:MG8,"B"))*3)+((COUNTIF('Elève (6ème4)'!ME8:MG8,"C"))*2)+((COUNTIF('Elève (6ème4)'!ME8:MG8,"D"))*1))/(COUNTA(ME8:MG8)),"")</f>
        <v/>
      </c>
      <c r="MI8" s="184" t="str">
        <f t="shared" si="80"/>
        <v/>
      </c>
      <c r="MJ8" s="99"/>
      <c r="MK8" s="100"/>
      <c r="ML8" s="101"/>
      <c r="MM8" s="183" t="str">
        <f>IFERROR((((COUNTIF('Elève (6ème4)'!MJ8:ML8,"A"))*4)+((COUNTIF('Elève (6ème4)'!MJ8:ML8,"B"))*3)+((COUNTIF('Elève (6ème4)'!MJ8:ML8,"C"))*2)+((COUNTIF('Elève (6ème4)'!MJ8:ML8,"D"))*1))/(COUNTA(MJ8:ML8)),"")</f>
        <v/>
      </c>
      <c r="MN8" s="184" t="str">
        <f t="shared" si="81"/>
        <v/>
      </c>
      <c r="MO8" s="99"/>
      <c r="MP8" s="100" t="s">
        <v>23</v>
      </c>
      <c r="MQ8" s="101" t="s">
        <v>23</v>
      </c>
      <c r="MR8" s="183">
        <f>IFERROR((((COUNTIF('Elève (6ème4)'!MO8:MQ8,"A"))*4)+((COUNTIF('Elève (6ème4)'!MO8:MQ8,"B"))*3)+((COUNTIF('Elève (6ème4)'!MO8:MQ8,"C"))*2)+((COUNTIF('Elève (6ème4)'!MO8:MQ8,"D"))*1))/(COUNTA(MO8:MQ8)),"")</f>
        <v>4</v>
      </c>
      <c r="MS8" s="184" t="str">
        <f t="shared" si="82"/>
        <v>A</v>
      </c>
      <c r="MT8" s="183">
        <f>IF(COUNT(MH8,MM8,MR8)=0,"",SUM(MH8,MM8,MR8)/COUNT(MH8,MM8,MR8))</f>
        <v>4</v>
      </c>
      <c r="MU8" s="209" t="str">
        <f t="shared" si="83"/>
        <v>A</v>
      </c>
      <c r="MV8" s="105"/>
      <c r="MW8" s="100"/>
      <c r="MX8" s="101"/>
      <c r="MY8" s="183" t="str">
        <f>IFERROR((((COUNTIF('Elève (6ème4)'!MV8:MX8,"A"))*4)+((COUNTIF('Elève (6ème4)'!MV8:MX8,"B"))*3)+((COUNTIF('Elève (6ème4)'!MV8:MX8,"C"))*2)+((COUNTIF('Elève (6ème4)'!MV8:MX8,"D"))*1))/(COUNTA(MV8:MX8)),"")</f>
        <v/>
      </c>
      <c r="MZ8" s="184" t="str">
        <f t="shared" si="84"/>
        <v/>
      </c>
      <c r="NA8" s="99"/>
      <c r="NB8" s="100"/>
      <c r="NC8" s="101"/>
      <c r="ND8" s="183" t="str">
        <f>IFERROR((((COUNTIF('Elève (6ème4)'!NA8:NC8,"A"))*4)+((COUNTIF('Elève (6ème4)'!NA8:NC8,"B"))*3)+((COUNTIF('Elève (6ème4)'!NA8:NC8,"C"))*2)+((COUNTIF('Elève (6ème4)'!NA8:NC8,"D"))*1))/(COUNTA(NA8:NC8)),"")</f>
        <v/>
      </c>
      <c r="NE8" s="184" t="str">
        <f t="shared" si="85"/>
        <v/>
      </c>
      <c r="NF8" s="99"/>
      <c r="NG8" s="100" t="s">
        <v>23</v>
      </c>
      <c r="NH8" s="101" t="s">
        <v>24</v>
      </c>
      <c r="NI8" s="183">
        <f>IFERROR((((COUNTIF('Elève (6ème4)'!NF8:NH8,"A"))*4)+((COUNTIF('Elève (6ème4)'!NF8:NH8,"B"))*3)+((COUNTIF('Elève (6ème4)'!NF8:NH8,"C"))*2)+((COUNTIF('Elève (6ème4)'!NF8:NH8,"D"))*1))/(COUNTA(NF8:NH8)),"")</f>
        <v>3.5</v>
      </c>
      <c r="NJ8" s="184" t="str">
        <f t="shared" si="86"/>
        <v>B</v>
      </c>
      <c r="NK8" s="183">
        <f>IF(COUNT(MY8,ND8,NI8)=0,"",SUM(MY8,ND8,NI8)/COUNT(MY8,ND8,NI8))</f>
        <v>3.5</v>
      </c>
      <c r="NL8" s="209" t="str">
        <f t="shared" si="87"/>
        <v>B</v>
      </c>
      <c r="NM8" s="105"/>
      <c r="NN8" s="100"/>
      <c r="NO8" s="101"/>
      <c r="NP8" s="183" t="str">
        <f>IFERROR((((COUNTIF('Elève (6ème4)'!NM8:NO8,"A"))*4)+((COUNTIF('Elève (6ème4)'!NM8:NO8,"B"))*3)+((COUNTIF('Elève (6ème4)'!NM8:NO8,"C"))*2)+((COUNTIF('Elève (6ème4)'!NM8:NO8,"D"))*1))/(COUNTA(NM8:NO8)),"")</f>
        <v/>
      </c>
      <c r="NQ8" s="184" t="str">
        <f t="shared" si="88"/>
        <v/>
      </c>
      <c r="NR8" s="99"/>
      <c r="NS8" s="100"/>
      <c r="NT8" s="101"/>
      <c r="NU8" s="183" t="str">
        <f>IFERROR((((COUNTIF('Elève (6ème4)'!NR8:NT8,"A"))*4)+((COUNTIF('Elève (6ème4)'!NR8:NT8,"B"))*3)+((COUNTIF('Elève (6ème4)'!NR8:NT8,"C"))*2)+((COUNTIF('Elève (6ème4)'!NR8:NT8,"D"))*1))/(COUNTA(NR8:NT8)),"")</f>
        <v/>
      </c>
      <c r="NV8" s="184" t="str">
        <f t="shared" si="89"/>
        <v/>
      </c>
      <c r="NW8" s="99"/>
      <c r="NX8" s="100" t="s">
        <v>23</v>
      </c>
      <c r="NY8" s="101" t="s">
        <v>23</v>
      </c>
      <c r="NZ8" s="183">
        <f>IFERROR((((COUNTIF('Elève (6ème4)'!NW8:NY8,"A"))*4)+((COUNTIF('Elève (6ème4)'!NW8:NY8,"B"))*3)+((COUNTIF('Elève (6ème4)'!NW8:NY8,"C"))*2)+((COUNTIF('Elève (6ème4)'!NW8:NY8,"D"))*1))/(COUNTA(NW8:NY8)),"")</f>
        <v>4</v>
      </c>
      <c r="OA8" s="184" t="str">
        <f t="shared" si="90"/>
        <v>A</v>
      </c>
      <c r="OB8" s="183">
        <f>IF(COUNT(NP8,NU8,NZ8)=0,"",SUM(NP8,NU8,NZ8)/COUNT(NP8,NU8,NZ8))</f>
        <v>4</v>
      </c>
      <c r="OC8" s="209" t="str">
        <f t="shared" si="91"/>
        <v>A</v>
      </c>
      <c r="OD8" s="105"/>
      <c r="OE8" s="100"/>
      <c r="OF8" s="101"/>
      <c r="OG8" s="183" t="str">
        <f>IFERROR((((COUNTIF('Elève (6ème4)'!OD8:OF8,"A"))*4)+((COUNTIF('Elève (6ème4)'!OD8:OF8,"B"))*3)+((COUNTIF('Elève (6ème4)'!OD8:OF8,"C"))*2)+((COUNTIF('Elève (6ème4)'!OD8:OF8,"D"))*1))/(COUNTA(OD8:OF8)),"")</f>
        <v/>
      </c>
      <c r="OH8" s="184" t="str">
        <f t="shared" si="92"/>
        <v/>
      </c>
      <c r="OI8" s="99"/>
      <c r="OJ8" s="100"/>
      <c r="OK8" s="101"/>
      <c r="OL8" s="183" t="str">
        <f>IFERROR((((COUNTIF('Elève (6ème4)'!OI8:OK8,"A"))*4)+((COUNTIF('Elève (6ème4)'!OI8:OK8,"B"))*3)+((COUNTIF('Elève (6ème4)'!OI8:OK8,"C"))*2)+((COUNTIF('Elève (6ème4)'!OI8:OK8,"D"))*1))/(COUNTA(OI8:OK8)),"")</f>
        <v/>
      </c>
      <c r="OM8" s="184" t="str">
        <f t="shared" si="93"/>
        <v/>
      </c>
      <c r="ON8" s="99"/>
      <c r="OO8" s="100" t="s">
        <v>23</v>
      </c>
      <c r="OP8" s="101" t="s">
        <v>23</v>
      </c>
      <c r="OQ8" s="183">
        <f>IFERROR((((COUNTIF('Elève (6ème4)'!ON8:OP8,"A"))*4)+((COUNTIF('Elève (6ème4)'!ON8:OP8,"B"))*3)+((COUNTIF('Elève (6ème4)'!ON8:OP8,"C"))*2)+((COUNTIF('Elève (6ème4)'!ON8:OP8,"D"))*1))/(COUNTA(ON8:OP8)),"")</f>
        <v>4</v>
      </c>
      <c r="OR8" s="184" t="str">
        <f t="shared" si="94"/>
        <v>A</v>
      </c>
      <c r="OS8" s="183">
        <f>IF(COUNT(OG8,OL8,OQ8)=0,"",SUM(OG8,OL8,OQ8)/COUNT(OG8,OL8,OQ8))</f>
        <v>4</v>
      </c>
      <c r="OT8" s="209" t="str">
        <f t="shared" si="95"/>
        <v>A</v>
      </c>
      <c r="OU8" s="105"/>
      <c r="OV8" s="100"/>
      <c r="OW8" s="101"/>
      <c r="OX8" s="183" t="str">
        <f>IFERROR((((COUNTIF('Elève (6ème4)'!OU8:OW8,"A"))*4)+((COUNTIF('Elève (6ème4)'!OU8:OW8,"B"))*3)+((COUNTIF('Elève (6ème4)'!OU8:OW8,"C"))*2)+((COUNTIF('Elève (6ème4)'!OU8:OW8,"D"))*1))/(COUNTA(OU8:OW8)),"")</f>
        <v/>
      </c>
      <c r="OY8" s="184" t="str">
        <f t="shared" si="96"/>
        <v/>
      </c>
      <c r="OZ8" s="99"/>
      <c r="PA8" s="100"/>
      <c r="PB8" s="101"/>
      <c r="PC8" s="183" t="str">
        <f>IFERROR((((COUNTIF('Elève (6ème4)'!OZ8:PB8,"A"))*4)+((COUNTIF('Elève (6ème4)'!OZ8:PB8,"B"))*3)+((COUNTIF('Elève (6ème4)'!OZ8:PB8,"C"))*2)+((COUNTIF('Elève (6ème4)'!OZ8:PB8,"D"))*1))/(COUNTA(OZ8:PB8)),"")</f>
        <v/>
      </c>
      <c r="PD8" s="184" t="str">
        <f t="shared" si="97"/>
        <v/>
      </c>
      <c r="PE8" s="99"/>
      <c r="PF8" s="100" t="s">
        <v>23</v>
      </c>
      <c r="PG8" s="101" t="s">
        <v>23</v>
      </c>
      <c r="PH8" s="183">
        <f>IFERROR((((COUNTIF('Elève (6ème4)'!PE8:PG8,"A"))*4)+((COUNTIF('Elève (6ème4)'!PE8:PG8,"B"))*3)+((COUNTIF('Elève (6ème4)'!PE8:PG8,"C"))*2)+((COUNTIF('Elève (6ème4)'!PE8:PG8,"D"))*1))/(COUNTA(PE8:PG8)),"")</f>
        <v>4</v>
      </c>
      <c r="PI8" s="184" t="str">
        <f t="shared" si="98"/>
        <v>A</v>
      </c>
      <c r="PJ8" s="183">
        <f>IF(COUNT(OX8,PC8,PH8)=0,"",SUM(OX8,PC8,PH8)/COUNT(OX8,PC8,PH8))</f>
        <v>4</v>
      </c>
      <c r="PK8" s="209" t="str">
        <f t="shared" si="99"/>
        <v>A</v>
      </c>
      <c r="PL8" s="105"/>
      <c r="PM8" s="100"/>
      <c r="PN8" s="101"/>
      <c r="PO8" s="183" t="str">
        <f>IFERROR((((COUNTIF('Elève (6ème4)'!PL8:PN8,"A"))*4)+((COUNTIF('Elève (6ème4)'!PL8:PN8,"B"))*3)+((COUNTIF('Elève (6ème4)'!PL8:PN8,"C"))*2)+((COUNTIF('Elève (6ème4)'!PL8:PN8,"D"))*1))/(COUNTA(PL8:PN8)),"")</f>
        <v/>
      </c>
      <c r="PP8" s="184" t="str">
        <f t="shared" si="100"/>
        <v/>
      </c>
      <c r="PQ8" s="99"/>
      <c r="PR8" s="100"/>
      <c r="PS8" s="101"/>
      <c r="PT8" s="183" t="str">
        <f>IFERROR((((COUNTIF('Elève (6ème4)'!PQ8:PS8,"A"))*4)+((COUNTIF('Elève (6ème4)'!PQ8:PS8,"B"))*3)+((COUNTIF('Elève (6ème4)'!PQ8:PS8,"C"))*2)+((COUNTIF('Elève (6ème4)'!PQ8:PS8,"D"))*1))/(COUNTA(PQ8:PS8)),"")</f>
        <v/>
      </c>
      <c r="PU8" s="184" t="str">
        <f t="shared" si="101"/>
        <v/>
      </c>
      <c r="PV8" s="99"/>
      <c r="PW8" s="100"/>
      <c r="PX8" s="101"/>
      <c r="PY8" s="183" t="str">
        <f>IFERROR((((COUNTIF('Elève (6ème4)'!PV8:PX8,"A"))*4)+((COUNTIF('Elève (6ème4)'!PV8:PX8,"B"))*3)+((COUNTIF('Elève (6ème4)'!PV8:PX8,"C"))*2)+((COUNTIF('Elève (6ème4)'!PV8:PX8,"D"))*1))/(COUNTA(PV8:PX8)),"")</f>
        <v/>
      </c>
      <c r="PZ8" s="184" t="str">
        <f t="shared" si="102"/>
        <v/>
      </c>
      <c r="QA8" s="183" t="str">
        <f>IF(COUNT(PO8,PT8,PY8)=0,"",SUM(PO8,PT8,PY8)/COUNT(PO8,PT8,PY8))</f>
        <v/>
      </c>
      <c r="QB8" s="209" t="str">
        <f t="shared" si="103"/>
        <v/>
      </c>
      <c r="QC8" s="105"/>
      <c r="QD8" s="100"/>
      <c r="QE8" s="101"/>
      <c r="QF8" s="183" t="str">
        <f>IFERROR((((COUNTIF('Elève (6ème4)'!QC8:QE8,"A"))*4)+((COUNTIF('Elève (6ème4)'!QC8:QE8,"B"))*3)+((COUNTIF('Elève (6ème4)'!QC8:QE8,"C"))*2)+((COUNTIF('Elève (6ème4)'!QC8:QE8,"D"))*1))/(COUNTA(QC8:QE8)),"")</f>
        <v/>
      </c>
      <c r="QG8" s="184" t="str">
        <f t="shared" si="104"/>
        <v/>
      </c>
      <c r="QH8" s="99"/>
      <c r="QI8" s="100"/>
      <c r="QJ8" s="101"/>
      <c r="QK8" s="183" t="str">
        <f>IFERROR((((COUNTIF('Elève (6ème4)'!QH8:QJ8,"A"))*4)+((COUNTIF('Elève (6ème4)'!QH8:QJ8,"B"))*3)+((COUNTIF('Elève (6ème4)'!QH8:QJ8,"C"))*2)+((COUNTIF('Elève (6ème4)'!QH8:QJ8,"D"))*1))/(COUNTA(QH8:QJ8)),"")</f>
        <v/>
      </c>
      <c r="QL8" s="184" t="str">
        <f t="shared" si="105"/>
        <v/>
      </c>
      <c r="QM8" s="99"/>
      <c r="QN8" s="100" t="s">
        <v>23</v>
      </c>
      <c r="QO8" s="101" t="s">
        <v>23</v>
      </c>
      <c r="QP8" s="183">
        <f>IFERROR((((COUNTIF('Elève (6ème4)'!QM8:QO8,"A"))*4)+((COUNTIF('Elève (6ème4)'!QM8:QO8,"B"))*3)+((COUNTIF('Elève (6ème4)'!QM8:QO8,"C"))*2)+((COUNTIF('Elève (6ème4)'!QM8:QO8,"D"))*1))/(COUNTA(QM8:QO8)),"")</f>
        <v>4</v>
      </c>
      <c r="QQ8" s="184" t="str">
        <f t="shared" si="106"/>
        <v>A</v>
      </c>
      <c r="QR8" s="183">
        <f>IF(COUNT(QF8,QK8,QP8)=0,"",SUM(QF8,QK8,QP8)/COUNT(QF8,QK8,QP8))</f>
        <v>4</v>
      </c>
      <c r="QS8" s="209" t="str">
        <f t="shared" si="107"/>
        <v>A</v>
      </c>
      <c r="QT8" s="105"/>
      <c r="QU8" s="100"/>
      <c r="QV8" s="101"/>
      <c r="QW8" s="102" t="str">
        <f>IFERROR((((COUNTIF('Elève (6ème4)'!QT8:QV8,"A"))*4)+((COUNTIF('Elève (6ème4)'!QT8:QV8,"B"))*3)+((COUNTIF('Elève (6ème4)'!QT8:QV8,"C"))*2)+((COUNTIF('Elève (6ème4)'!QT8:QV8,"D"))*1))/(COUNTA(QT8:QV8)),"")</f>
        <v/>
      </c>
      <c r="QX8" s="103" t="str">
        <f t="shared" si="108"/>
        <v/>
      </c>
      <c r="QY8" s="99"/>
      <c r="QZ8" s="100"/>
      <c r="RA8" s="101"/>
      <c r="RB8" s="102" t="str">
        <f>IFERROR((((COUNTIF('Elève (6ème4)'!QY8:RA8,"A"))*4)+((COUNTIF('Elève (6ème4)'!QY8:RA8,"B"))*3)+((COUNTIF('Elève (6ème4)'!QY8:RA8,"C"))*2)+((COUNTIF('Elève (6ème4)'!QY8:RA8,"D"))*1))/(COUNTA(QY8:RA8)),"")</f>
        <v/>
      </c>
      <c r="RC8" s="103" t="str">
        <f t="shared" si="109"/>
        <v/>
      </c>
      <c r="RD8" s="99"/>
      <c r="RE8" s="100" t="s">
        <v>23</v>
      </c>
      <c r="RF8" s="101" t="s">
        <v>23</v>
      </c>
      <c r="RG8" s="102">
        <f>IFERROR((((COUNTIF('Elève (6ème4)'!RD8:RF8,"A"))*4)+((COUNTIF('Elève (6ème4)'!RD8:RF8,"B"))*3)+((COUNTIF('Elève (6ème4)'!RD8:RF8,"C"))*2)+((COUNTIF('Elève (6ème4)'!RD8:RF8,"D"))*1))/(COUNTA(RD8:RF8)),"")</f>
        <v>4</v>
      </c>
      <c r="RH8" s="103" t="str">
        <f t="shared" si="110"/>
        <v>A</v>
      </c>
      <c r="RI8" s="102">
        <f>IF(COUNT(QW8,RB8,RG8)=0,"",SUM(QW8,RB8,RG8)/COUNT(QW8,RB8,RG8))</f>
        <v>4</v>
      </c>
      <c r="RJ8" s="117" t="str">
        <f t="shared" si="111"/>
        <v>A</v>
      </c>
      <c r="RK8" s="105"/>
      <c r="RL8" s="100"/>
      <c r="RM8" s="101"/>
      <c r="RN8" s="102" t="str">
        <f>IFERROR((((COUNTIF('Elève (6ème4)'!RK8:RM8,"A"))*4)+((COUNTIF('Elève (6ème4)'!RK8:RM8,"B"))*3)+((COUNTIF('Elève (6ème4)'!RK8:RM8,"C"))*2)+((COUNTIF('Elève (6ème4)'!RK8:RM8,"D"))*1))/(COUNTA(RK8:RM8)),"")</f>
        <v/>
      </c>
      <c r="RO8" s="103" t="str">
        <f t="shared" si="112"/>
        <v/>
      </c>
      <c r="RP8" s="99"/>
      <c r="RQ8" s="100"/>
      <c r="RR8" s="101"/>
      <c r="RS8" s="102" t="str">
        <f>IFERROR((((COUNTIF('Elève (6ème4)'!RP8:RR8,"A"))*4)+((COUNTIF('Elève (6ème4)'!RP8:RR8,"B"))*3)+((COUNTIF('Elève (6ème4)'!RP8:RR8,"C"))*2)+((COUNTIF('Elève (6ème4)'!RP8:RR8,"D"))*1))/(COUNTA(RP8:RR8)),"")</f>
        <v/>
      </c>
      <c r="RT8" s="103" t="str">
        <f t="shared" si="113"/>
        <v/>
      </c>
      <c r="RU8" s="99"/>
      <c r="RV8" s="100"/>
      <c r="RW8" s="101"/>
      <c r="RX8" s="102" t="str">
        <f>IFERROR((((COUNTIF('Elève (6ème4)'!RU8:RW8,"A"))*4)+((COUNTIF('Elève (6ème4)'!RU8:RW8,"B"))*3)+((COUNTIF('Elève (6ème4)'!RU8:RW8,"C"))*2)+((COUNTIF('Elève (6ème4)'!RU8:RW8,"D"))*1))/(COUNTA(RU8:RW8)),"")</f>
        <v/>
      </c>
      <c r="RY8" s="103" t="str">
        <f t="shared" si="114"/>
        <v/>
      </c>
      <c r="RZ8" s="102" t="str">
        <f>IF(COUNT(RN8,RS8,RX8)=0,"",SUM(RN8,RS8,RX8)/COUNT(RN8,RS8,RX8))</f>
        <v/>
      </c>
      <c r="SA8" s="117" t="str">
        <f t="shared" si="115"/>
        <v/>
      </c>
      <c r="SB8" s="105"/>
      <c r="SC8" s="100"/>
      <c r="SD8" s="101"/>
      <c r="SE8" s="102" t="str">
        <f>IFERROR((((COUNTIF('Elève (6ème4)'!SB8:SD8,"A"))*4)+((COUNTIF('Elève (6ème4)'!SB8:SD8,"B"))*3)+((COUNTIF('Elève (6ème4)'!SB8:SD8,"C"))*2)+((COUNTIF('Elève (6ème4)'!SB8:SD8,"D"))*1))/(COUNTA(SB8:SD8)),"")</f>
        <v/>
      </c>
      <c r="SF8" s="103" t="str">
        <f t="shared" si="116"/>
        <v/>
      </c>
      <c r="SG8" s="99"/>
      <c r="SH8" s="100"/>
      <c r="SI8" s="101"/>
      <c r="SJ8" s="102" t="str">
        <f>IFERROR((((COUNTIF('Elève (6ème4)'!SG8:SI8,"A"))*4)+((COUNTIF('Elève (6ème4)'!SG8:SI8,"B"))*3)+((COUNTIF('Elève (6ème4)'!SG8:SI8,"C"))*2)+((COUNTIF('Elève (6ème4)'!SG8:SI8,"D"))*1))/(COUNTA(SG8:SI8)),"")</f>
        <v/>
      </c>
      <c r="SK8" s="103" t="str">
        <f t="shared" si="117"/>
        <v/>
      </c>
      <c r="SL8" s="99"/>
      <c r="SM8" s="100"/>
      <c r="SN8" s="101"/>
      <c r="SO8" s="102" t="str">
        <f>IFERROR((((COUNTIF('Elève (6ème4)'!SL8:SN8,"A"))*4)+((COUNTIF('Elève (6ème4)'!SL8:SN8,"B"))*3)+((COUNTIF('Elève (6ème4)'!SL8:SN8,"C"))*2)+((COUNTIF('Elève (6ème4)'!SL8:SN8,"D"))*1))/(COUNTA(SL8:SN8)),"")</f>
        <v/>
      </c>
      <c r="SP8" s="103" t="str">
        <f t="shared" si="118"/>
        <v/>
      </c>
      <c r="SQ8" s="102" t="str">
        <f>IF(COUNT(SE8,SJ8,SO8)=0,"",SUM(SE8,SJ8,SO8)/COUNT(SE8,SJ8,SO8))</f>
        <v/>
      </c>
      <c r="SR8" s="117" t="str">
        <f t="shared" si="119"/>
        <v/>
      </c>
      <c r="SS8" s="105"/>
      <c r="ST8" s="100"/>
      <c r="SU8" s="101"/>
      <c r="SV8" s="102" t="str">
        <f>IFERROR((((COUNTIF('Elève (6ème4)'!SS8:SU8,"A"))*4)+((COUNTIF('Elève (6ème4)'!SS8:SU8,"B"))*3)+((COUNTIF('Elève (6ème4)'!SS8:SU8,"C"))*2)+((COUNTIF('Elève (6ème4)'!SS8:SU8,"D"))*1))/(COUNTA(SS8:SU8)),"")</f>
        <v/>
      </c>
      <c r="SW8" s="103" t="str">
        <f t="shared" si="120"/>
        <v/>
      </c>
      <c r="SX8" s="99"/>
      <c r="SY8" s="100"/>
      <c r="SZ8" s="101"/>
      <c r="TA8" s="102" t="str">
        <f>IFERROR((((COUNTIF('Elève (6ème4)'!SX8:SZ8,"A"))*4)+((COUNTIF('Elève (6ème4)'!SX8:SZ8,"B"))*3)+((COUNTIF('Elève (6ème4)'!SX8:SZ8,"C"))*2)+((COUNTIF('Elève (6ème4)'!SX8:SZ8,"D"))*1))/(COUNTA(SX8:SZ8)),"")</f>
        <v/>
      </c>
      <c r="TB8" s="103" t="str">
        <f t="shared" si="121"/>
        <v/>
      </c>
      <c r="TC8" s="99"/>
      <c r="TD8" s="100"/>
      <c r="TE8" s="101"/>
      <c r="TF8" s="102" t="str">
        <f>IFERROR((((COUNTIF('Elève (6ème4)'!TC8:TE8,"A"))*4)+((COUNTIF('Elève (6ème4)'!TC8:TE8,"B"))*3)+((COUNTIF('Elève (6ème4)'!TC8:TE8,"C"))*2)+((COUNTIF('Elève (6ème4)'!TC8:TE8,"D"))*1))/(COUNTA(TC8:TE8)),"")</f>
        <v/>
      </c>
      <c r="TG8" s="103" t="str">
        <f t="shared" si="122"/>
        <v/>
      </c>
      <c r="TH8" s="102" t="str">
        <f>IF(COUNT(SV8,TA8,TF8)=0,"",SUM(SV8,TA8,TF8)/COUNT(SV8,TA8,TF8))</f>
        <v/>
      </c>
      <c r="TI8" s="117" t="str">
        <f t="shared" si="123"/>
        <v/>
      </c>
      <c r="TJ8" s="105"/>
      <c r="TK8" s="100"/>
      <c r="TL8" s="101"/>
      <c r="TM8" s="102" t="str">
        <f>IFERROR((((COUNTIF('Elève (6ème4)'!TJ8:TL8,"A"))*4)+((COUNTIF('Elève (6ème4)'!TJ8:TL8,"B"))*3)+((COUNTIF('Elève (6ème4)'!TJ8:TL8,"C"))*2)+((COUNTIF('Elève (6ème4)'!TJ8:TL8,"D"))*1))/(COUNTA(TJ8:TL8)),"")</f>
        <v/>
      </c>
      <c r="TN8" s="103" t="str">
        <f t="shared" si="124"/>
        <v/>
      </c>
      <c r="TO8" s="99"/>
      <c r="TP8" s="100"/>
      <c r="TQ8" s="101"/>
      <c r="TR8" s="102" t="str">
        <f>IFERROR((((COUNTIF('Elève (6ème4)'!TO8:TQ8,"A"))*4)+((COUNTIF('Elève (6ème4)'!TO8:TQ8,"B"))*3)+((COUNTIF('Elève (6ème4)'!TO8:TQ8,"C"))*2)+((COUNTIF('Elève (6ème4)'!TO8:TQ8,"D"))*1))/(COUNTA(TO8:TQ8)),"")</f>
        <v/>
      </c>
      <c r="TS8" s="103" t="str">
        <f t="shared" si="125"/>
        <v/>
      </c>
      <c r="TT8" s="99"/>
      <c r="TU8" s="100"/>
      <c r="TV8" s="101"/>
      <c r="TW8" s="102" t="str">
        <f>IFERROR((((COUNTIF('Elève (6ème4)'!TT8:TV8,"A"))*4)+((COUNTIF('Elève (6ème4)'!TT8:TV8,"B"))*3)+((COUNTIF('Elève (6ème4)'!TT8:TV8,"C"))*2)+((COUNTIF('Elève (6ème4)'!TT8:TV8,"D"))*1))/(COUNTA(TT8:TV8)),"")</f>
        <v/>
      </c>
      <c r="TX8" s="103" t="str">
        <f t="shared" si="126"/>
        <v/>
      </c>
      <c r="TY8" s="102" t="str">
        <f>IF(COUNT(TM8,TR8,TW8)=0,"",SUM(TM8,TR8,TW8)/COUNT(TM8,TR8,TW8))</f>
        <v/>
      </c>
      <c r="TZ8" s="117" t="str">
        <f t="shared" si="127"/>
        <v/>
      </c>
    </row>
    <row r="9" spans="1:546" x14ac:dyDescent="0.25">
      <c r="A9" s="253" t="s">
        <v>36</v>
      </c>
      <c r="B9" s="254"/>
      <c r="C9" s="106"/>
      <c r="D9" s="107"/>
      <c r="E9" s="108" t="s">
        <v>24</v>
      </c>
      <c r="F9" s="183">
        <f>IFERROR((((COUNTIF('Elève (6ème4)'!C9:E9,"A"))*4)+((COUNTIF('Elève (6ème4)'!C9:E9,"B"))*3)+((COUNTIF('Elève (6ème4)'!C9:E9,"C"))*2)+((COUNTIF('Elève (6ème4)'!C9:E9,"D"))*1))/(COUNTA(C9:E9)),"")</f>
        <v>3</v>
      </c>
      <c r="G9" s="187" t="str">
        <f t="shared" si="0"/>
        <v>B</v>
      </c>
      <c r="H9" s="106"/>
      <c r="I9" s="107"/>
      <c r="J9" s="108"/>
      <c r="K9" s="183" t="str">
        <f>IFERROR((((COUNTIF('Elève (6ème4)'!H9:J9,"A"))*4)+((COUNTIF('Elève (6ème4)'!H9:J9,"B"))*3)+((COUNTIF('Elève (6ème4)'!H9:J9,"C"))*2)+((COUNTIF('Elève (6ème4)'!H9:J9,"D"))*1))/(COUNTA(H9:J9)),"")</f>
        <v/>
      </c>
      <c r="L9" s="184" t="str">
        <f t="shared" si="1"/>
        <v/>
      </c>
      <c r="M9" s="106"/>
      <c r="N9" s="107" t="s">
        <v>24</v>
      </c>
      <c r="O9" s="108"/>
      <c r="P9" s="183">
        <f>IFERROR((((COUNTIF('Elève (6ème4)'!M9:O9,"A"))*4)+((COUNTIF('Elève (6ème4)'!M9:O9,"B"))*3)+((COUNTIF('Elève (6ème4)'!M9:O9,"C"))*2)+((COUNTIF('Elève (6ème4)'!M9:O9,"D"))*1))/(COUNTA(M9:O9)),"")</f>
        <v>3</v>
      </c>
      <c r="Q9" s="184" t="str">
        <f t="shared" si="2"/>
        <v>B</v>
      </c>
      <c r="R9" s="183">
        <f>IF(COUNT(F9,K9,P9)=0,"",SUM(F9,K9,P9)/COUNT(F9,K9,P9))</f>
        <v>3</v>
      </c>
      <c r="S9" s="209" t="str">
        <f t="shared" si="3"/>
        <v>B</v>
      </c>
      <c r="T9" s="112"/>
      <c r="U9" s="107"/>
      <c r="V9" s="108" t="s">
        <v>24</v>
      </c>
      <c r="W9" s="183">
        <f>IFERROR((((COUNTIF('Elève (6ème4)'!T9:V9,"A"))*4)+((COUNTIF('Elève (6ème4)'!T9:V9,"B"))*3)+((COUNTIF('Elève (6ème4)'!T9:V9,"C"))*2)+((COUNTIF('Elève (6ème4)'!T9:V9,"D"))*1))/(COUNTA(T9:V9)),"")</f>
        <v>3</v>
      </c>
      <c r="X9" s="187" t="str">
        <f t="shared" si="4"/>
        <v>B</v>
      </c>
      <c r="Y9" s="106"/>
      <c r="Z9" s="107"/>
      <c r="AA9" s="108"/>
      <c r="AB9" s="183" t="str">
        <f>IFERROR((((COUNTIF('Elève (6ème4)'!Y9:AA9,"A"))*4)+((COUNTIF('Elève (6ème4)'!Y9:AA9,"B"))*3)+((COUNTIF('Elève (6ème4)'!Y9:AA9,"C"))*2)+((COUNTIF('Elève (6ème4)'!Y9:AA9,"D"))*1))/(COUNTA(Y9:AA9)),"")</f>
        <v/>
      </c>
      <c r="AC9" s="184" t="str">
        <f t="shared" si="5"/>
        <v/>
      </c>
      <c r="AD9" s="106"/>
      <c r="AE9" s="107" t="s">
        <v>24</v>
      </c>
      <c r="AF9" s="108"/>
      <c r="AG9" s="183">
        <f>IFERROR((((COUNTIF('Elève (6ème4)'!AD9:AF9,"A"))*4)+((COUNTIF('Elève (6ème4)'!AD9:AF9,"B"))*3)+((COUNTIF('Elève (6ème4)'!AD9:AF9,"C"))*2)+((COUNTIF('Elève (6ème4)'!AD9:AF9,"D"))*1))/(COUNTA(AD9:AF9)),"")</f>
        <v>3</v>
      </c>
      <c r="AH9" s="184" t="str">
        <f t="shared" si="6"/>
        <v>B</v>
      </c>
      <c r="AI9" s="183">
        <f>IF(COUNT(W9,AB9,AG9)=0,"",SUM(W9,AB9,AG9)/COUNT(W9,AB9,AG9))</f>
        <v>3</v>
      </c>
      <c r="AJ9" s="209" t="str">
        <f t="shared" si="7"/>
        <v>B</v>
      </c>
      <c r="AK9" s="112"/>
      <c r="AL9" s="107"/>
      <c r="AM9" s="108" t="s">
        <v>24</v>
      </c>
      <c r="AN9" s="183">
        <f>IFERROR((((COUNTIF('Elève (6ème4)'!AK9:AM9,"A"))*4)+((COUNTIF('Elève (6ème4)'!AK9:AM9,"B"))*3)+((COUNTIF('Elève (6ème4)'!AK9:AM9,"C"))*2)+((COUNTIF('Elève (6ème4)'!AK9:AM9,"D"))*1))/(COUNTA(AK9:AM9)),"")</f>
        <v>3</v>
      </c>
      <c r="AO9" s="187" t="str">
        <f t="shared" si="8"/>
        <v>B</v>
      </c>
      <c r="AP9" s="106"/>
      <c r="AQ9" s="107"/>
      <c r="AR9" s="108"/>
      <c r="AS9" s="183" t="str">
        <f>IFERROR((((COUNTIF('Elève (6ème4)'!AP9:AR9,"A"))*4)+((COUNTIF('Elève (6ème4)'!AP9:AR9,"B"))*3)+((COUNTIF('Elève (6ème4)'!AP9:AR9,"C"))*2)+((COUNTIF('Elève (6ème4)'!AP9:AR9,"D"))*1))/(COUNTA(AP9:AR9)),"")</f>
        <v/>
      </c>
      <c r="AT9" s="184" t="str">
        <f t="shared" si="9"/>
        <v/>
      </c>
      <c r="AU9" s="106"/>
      <c r="AV9" s="107" t="s">
        <v>24</v>
      </c>
      <c r="AW9" s="108"/>
      <c r="AX9" s="183">
        <f>IFERROR((((COUNTIF('Elève (6ème4)'!AU9:AW9,"A"))*4)+((COUNTIF('Elève (6ème4)'!AU9:AW9,"B"))*3)+((COUNTIF('Elève (6ème4)'!AU9:AW9,"C"))*2)+((COUNTIF('Elève (6ème4)'!AU9:AW9,"D"))*1))/(COUNTA(AU9:AW9)),"")</f>
        <v>3</v>
      </c>
      <c r="AY9" s="184" t="str">
        <f t="shared" si="10"/>
        <v>B</v>
      </c>
      <c r="AZ9" s="183">
        <f>IF(COUNT(AN9,AS9,AX9)=0,"",SUM(AN9,AS9,AX9)/COUNT(AN9,AS9,AX9))</f>
        <v>3</v>
      </c>
      <c r="BA9" s="209" t="str">
        <f t="shared" si="11"/>
        <v>B</v>
      </c>
      <c r="BB9" s="112"/>
      <c r="BC9" s="107"/>
      <c r="BD9" s="108" t="s">
        <v>24</v>
      </c>
      <c r="BE9" s="183">
        <f>IFERROR((((COUNTIF('Elève (6ème4)'!BB9:BD9,"A"))*4)+((COUNTIF('Elève (6ème4)'!BB9:BD9,"B"))*3)+((COUNTIF('Elève (6ème4)'!BB9:BD9,"C"))*2)+((COUNTIF('Elève (6ème4)'!BB9:BD9,"D"))*1))/(COUNTA(BB9:BD9)),"")</f>
        <v>3</v>
      </c>
      <c r="BF9" s="187" t="str">
        <f t="shared" si="12"/>
        <v>B</v>
      </c>
      <c r="BG9" s="106"/>
      <c r="BH9" s="107"/>
      <c r="BI9" s="108"/>
      <c r="BJ9" s="183" t="str">
        <f>IFERROR((((COUNTIF('Elève (6ème4)'!BG9:BI9,"A"))*4)+((COUNTIF('Elève (6ème4)'!BG9:BI9,"B"))*3)+((COUNTIF('Elève (6ème4)'!BG9:BI9,"C"))*2)+((COUNTIF('Elève (6ème4)'!BG9:BI9,"D"))*1))/(COUNTA(BG9:BI9)),"")</f>
        <v/>
      </c>
      <c r="BK9" s="184" t="str">
        <f t="shared" si="13"/>
        <v/>
      </c>
      <c r="BL9" s="106"/>
      <c r="BM9" s="107" t="s">
        <v>24</v>
      </c>
      <c r="BN9" s="108"/>
      <c r="BO9" s="183">
        <f>IFERROR((((COUNTIF('Elève (6ème4)'!BL9:BN9,"A"))*4)+((COUNTIF('Elève (6ème4)'!BL9:BN9,"B"))*3)+((COUNTIF('Elève (6ème4)'!BL9:BN9,"C"))*2)+((COUNTIF('Elève (6ème4)'!BL9:BN9,"D"))*1))/(COUNTA(BL9:BN9)),"")</f>
        <v>3</v>
      </c>
      <c r="BP9" s="184" t="str">
        <f t="shared" si="14"/>
        <v>B</v>
      </c>
      <c r="BQ9" s="183">
        <f>IF(COUNT(BE9,BJ9,BO9)=0,"",SUM(BE9,BJ9,BO9)/COUNT(BE9,BJ9,BO9))</f>
        <v>3</v>
      </c>
      <c r="BR9" s="209" t="str">
        <f t="shared" si="15"/>
        <v>B</v>
      </c>
      <c r="BS9" s="112"/>
      <c r="BT9" s="107"/>
      <c r="BU9" s="108" t="s">
        <v>24</v>
      </c>
      <c r="BV9" s="183">
        <f>IFERROR((((COUNTIF('Elève (6ème4)'!BS9:BU9,"A"))*4)+((COUNTIF('Elève (6ème4)'!BS9:BU9,"B"))*3)+((COUNTIF('Elève (6ème4)'!BS9:BU9,"C"))*2)+((COUNTIF('Elève (6ème4)'!BS9:BU9,"D"))*1))/(COUNTA(BS9:BU9)),"")</f>
        <v>3</v>
      </c>
      <c r="BW9" s="187" t="str">
        <f t="shared" si="16"/>
        <v>B</v>
      </c>
      <c r="BX9" s="106"/>
      <c r="BY9" s="107"/>
      <c r="BZ9" s="108"/>
      <c r="CA9" s="183" t="str">
        <f>IFERROR((((COUNTIF('Elève (6ème4)'!BX9:BZ9,"A"))*4)+((COUNTIF('Elève (6ème4)'!BX9:BZ9,"B"))*3)+((COUNTIF('Elève (6ème4)'!BX9:BZ9,"C"))*2)+((COUNTIF('Elève (6ème4)'!BX9:BZ9,"D"))*1))/(COUNTA(BX9:BZ9)),"")</f>
        <v/>
      </c>
      <c r="CB9" s="184" t="str">
        <f t="shared" si="17"/>
        <v/>
      </c>
      <c r="CC9" s="106"/>
      <c r="CD9" s="107" t="s">
        <v>24</v>
      </c>
      <c r="CE9" s="108"/>
      <c r="CF9" s="183">
        <f>IFERROR((((COUNTIF('Elève (6ème4)'!CC9:CE9,"A"))*4)+((COUNTIF('Elève (6ème4)'!CC9:CE9,"B"))*3)+((COUNTIF('Elève (6ème4)'!CC9:CE9,"C"))*2)+((COUNTIF('Elève (6ème4)'!CC9:CE9,"D"))*1))/(COUNTA(CC9:CE9)),"")</f>
        <v>3</v>
      </c>
      <c r="CG9" s="184" t="str">
        <f t="shared" si="18"/>
        <v>B</v>
      </c>
      <c r="CH9" s="183">
        <f>IF(COUNT(BV9,CA9,CF9)=0,"",SUM(BV9,CA9,CF9)/COUNT(BV9,CA9,CF9))</f>
        <v>3</v>
      </c>
      <c r="CI9" s="209" t="str">
        <f t="shared" si="19"/>
        <v>B</v>
      </c>
      <c r="CJ9" s="112"/>
      <c r="CK9" s="107"/>
      <c r="CL9" s="108" t="s">
        <v>24</v>
      </c>
      <c r="CM9" s="183">
        <f>IFERROR((((COUNTIF('Elève (6ème4)'!CJ9:CL9,"A"))*4)+((COUNTIF('Elève (6ème4)'!CJ9:CL9,"B"))*3)+((COUNTIF('Elève (6ème4)'!CJ9:CL9,"C"))*2)+((COUNTIF('Elève (6ème4)'!CJ9:CL9,"D"))*1))/(COUNTA(CJ9:CL9)),"")</f>
        <v>3</v>
      </c>
      <c r="CN9" s="187" t="str">
        <f t="shared" si="20"/>
        <v>B</v>
      </c>
      <c r="CO9" s="106"/>
      <c r="CP9" s="107"/>
      <c r="CQ9" s="108"/>
      <c r="CR9" s="183" t="str">
        <f>IFERROR((((COUNTIF('Elève (6ème4)'!CO9:CQ9,"A"))*4)+((COUNTIF('Elève (6ème4)'!CO9:CQ9,"B"))*3)+((COUNTIF('Elève (6ème4)'!CO9:CQ9,"C"))*2)+((COUNTIF('Elève (6ème4)'!CO9:CQ9,"D"))*1))/(COUNTA(CO9:CQ9)),"")</f>
        <v/>
      </c>
      <c r="CS9" s="184" t="str">
        <f t="shared" si="21"/>
        <v/>
      </c>
      <c r="CT9" s="106"/>
      <c r="CU9" s="107" t="s">
        <v>24</v>
      </c>
      <c r="CV9" s="108"/>
      <c r="CW9" s="183">
        <f>IFERROR((((COUNTIF('Elève (6ème4)'!CT9:CV9,"A"))*4)+((COUNTIF('Elève (6ème4)'!CT9:CV9,"B"))*3)+((COUNTIF('Elève (6ème4)'!CT9:CV9,"C"))*2)+((COUNTIF('Elève (6ème4)'!CT9:CV9,"D"))*1))/(COUNTA(CT9:CV9)),"")</f>
        <v>3</v>
      </c>
      <c r="CX9" s="184" t="str">
        <f t="shared" si="22"/>
        <v>B</v>
      </c>
      <c r="CY9" s="183">
        <f>IF(COUNT(CM9,CR9,CW9)=0,"",SUM(CM9,CR9,CW9)/COUNT(CM9,CR9,CW9))</f>
        <v>3</v>
      </c>
      <c r="CZ9" s="209" t="str">
        <f t="shared" si="23"/>
        <v>B</v>
      </c>
      <c r="DA9" s="112"/>
      <c r="DB9" s="107"/>
      <c r="DC9" s="108" t="s">
        <v>24</v>
      </c>
      <c r="DD9" s="183">
        <f>IFERROR((((COUNTIF('Elève (6ème4)'!DA9:DC9,"A"))*4)+((COUNTIF('Elève (6ème4)'!DA9:DC9,"B"))*3)+((COUNTIF('Elève (6ème4)'!DA9:DC9,"C"))*2)+((COUNTIF('Elève (6ème4)'!DA9:DC9,"D"))*1))/(COUNTA(DA9:DC9)),"")</f>
        <v>3</v>
      </c>
      <c r="DE9" s="187" t="str">
        <f t="shared" si="24"/>
        <v>B</v>
      </c>
      <c r="DF9" s="106"/>
      <c r="DG9" s="107"/>
      <c r="DH9" s="108"/>
      <c r="DI9" s="183" t="str">
        <f>IFERROR((((COUNTIF('Elève (6ème4)'!DF9:DH9,"A"))*4)+((COUNTIF('Elève (6ème4)'!DF9:DH9,"B"))*3)+((COUNTIF('Elève (6ème4)'!DF9:DH9,"C"))*2)+((COUNTIF('Elève (6ème4)'!DF9:DH9,"D"))*1))/(COUNTA(DF9:DH9)),"")</f>
        <v/>
      </c>
      <c r="DJ9" s="184" t="str">
        <f t="shared" si="25"/>
        <v/>
      </c>
      <c r="DK9" s="106"/>
      <c r="DL9" s="107" t="s">
        <v>24</v>
      </c>
      <c r="DM9" s="108"/>
      <c r="DN9" s="183">
        <f>IFERROR((((COUNTIF('Elève (6ème4)'!DK9:DM9,"A"))*4)+((COUNTIF('Elève (6ème4)'!DK9:DM9,"B"))*3)+((COUNTIF('Elève (6ème4)'!DK9:DM9,"C"))*2)+((COUNTIF('Elève (6ème4)'!DK9:DM9,"D"))*1))/(COUNTA(DK9:DM9)),"")</f>
        <v>3</v>
      </c>
      <c r="DO9" s="184" t="str">
        <f t="shared" si="26"/>
        <v>B</v>
      </c>
      <c r="DP9" s="183">
        <f>IF(COUNT(DD9,DI9,DN9)=0,"",SUM(DD9,DI9,DN9)/COUNT(DD9,DI9,DN9))</f>
        <v>3</v>
      </c>
      <c r="DQ9" s="209" t="str">
        <f t="shared" si="27"/>
        <v>B</v>
      </c>
      <c r="DR9" s="112"/>
      <c r="DS9" s="107"/>
      <c r="DT9" s="108" t="s">
        <v>24</v>
      </c>
      <c r="DU9" s="183">
        <f>IFERROR((((COUNTIF('Elève (6ème4)'!DR9:DT9,"A"))*4)+((COUNTIF('Elève (6ème4)'!DR9:DT9,"B"))*3)+((COUNTIF('Elève (6ème4)'!DR9:DT9,"C"))*2)+((COUNTIF('Elève (6ème4)'!DR9:DT9,"D"))*1))/(COUNTA(DR9:DT9)),"")</f>
        <v>3</v>
      </c>
      <c r="DV9" s="187" t="str">
        <f t="shared" si="28"/>
        <v>B</v>
      </c>
      <c r="DW9" s="106"/>
      <c r="DX9" s="107"/>
      <c r="DY9" s="108"/>
      <c r="DZ9" s="183" t="str">
        <f>IFERROR((((COUNTIF('Elève (6ème4)'!DW9:DY9,"A"))*4)+((COUNTIF('Elève (6ème4)'!DW9:DY9,"B"))*3)+((COUNTIF('Elève (6ème4)'!DW9:DY9,"C"))*2)+((COUNTIF('Elève (6ème4)'!DW9:DY9,"D"))*1))/(COUNTA(DW9:DY9)),"")</f>
        <v/>
      </c>
      <c r="EA9" s="184" t="str">
        <f t="shared" si="29"/>
        <v/>
      </c>
      <c r="EB9" s="106"/>
      <c r="EC9" s="107" t="s">
        <v>24</v>
      </c>
      <c r="ED9" s="108"/>
      <c r="EE9" s="183">
        <f>IFERROR((((COUNTIF('Elève (6ème4)'!EB9:ED9,"A"))*4)+((COUNTIF('Elève (6ème4)'!EB9:ED9,"B"))*3)+((COUNTIF('Elève (6ème4)'!EB9:ED9,"C"))*2)+((COUNTIF('Elève (6ème4)'!EB9:ED9,"D"))*1))/(COUNTA(EB9:ED9)),"")</f>
        <v>3</v>
      </c>
      <c r="EF9" s="184" t="str">
        <f t="shared" si="30"/>
        <v>B</v>
      </c>
      <c r="EG9" s="183">
        <f>IF(COUNT(DU9,DZ9,EE9)=0,"",SUM(DU9,DZ9,EE9)/COUNT(DU9,DZ9,EE9))</f>
        <v>3</v>
      </c>
      <c r="EH9" s="209" t="str">
        <f t="shared" si="31"/>
        <v>B</v>
      </c>
      <c r="EI9" s="112"/>
      <c r="EJ9" s="107"/>
      <c r="EK9" s="108" t="s">
        <v>24</v>
      </c>
      <c r="EL9" s="183">
        <f>IFERROR((((COUNTIF('Elève (6ème4)'!EI9:EK9,"A"))*4)+((COUNTIF('Elève (6ème4)'!EI9:EK9,"B"))*3)+((COUNTIF('Elève (6ème4)'!EI9:EK9,"C"))*2)+((COUNTIF('Elève (6ème4)'!EI9:EK9,"D"))*1))/(COUNTA(EI9:EK9)),"")</f>
        <v>3</v>
      </c>
      <c r="EM9" s="187" t="str">
        <f t="shared" si="32"/>
        <v>B</v>
      </c>
      <c r="EN9" s="106"/>
      <c r="EO9" s="107"/>
      <c r="EP9" s="108"/>
      <c r="EQ9" s="183" t="str">
        <f>IFERROR((((COUNTIF('Elève (6ème4)'!EN9:EP9,"A"))*4)+((COUNTIF('Elève (6ème4)'!EN9:EP9,"B"))*3)+((COUNTIF('Elève (6ème4)'!EN9:EP9,"C"))*2)+((COUNTIF('Elève (6ème4)'!EN9:EP9,"D"))*1))/(COUNTA(EN9:EP9)),"")</f>
        <v/>
      </c>
      <c r="ER9" s="184" t="str">
        <f t="shared" si="33"/>
        <v/>
      </c>
      <c r="ES9" s="106"/>
      <c r="ET9" s="107" t="s">
        <v>24</v>
      </c>
      <c r="EU9" s="108"/>
      <c r="EV9" s="183">
        <f>IFERROR((((COUNTIF('Elève (6ème4)'!ES9:EU9,"A"))*4)+((COUNTIF('Elève (6ème4)'!ES9:EU9,"B"))*3)+((COUNTIF('Elève (6ème4)'!ES9:EU9,"C"))*2)+((COUNTIF('Elève (6ème4)'!ES9:EU9,"D"))*1))/(COUNTA(ES9:EU9)),"")</f>
        <v>3</v>
      </c>
      <c r="EW9" s="184" t="str">
        <f t="shared" si="34"/>
        <v>B</v>
      </c>
      <c r="EX9" s="183">
        <f>IF(COUNT(EL9,EQ9,EV9)=0,"",SUM(EL9,EQ9,EV9)/COUNT(EL9,EQ9,EV9))</f>
        <v>3</v>
      </c>
      <c r="EY9" s="209" t="str">
        <f t="shared" si="35"/>
        <v>B</v>
      </c>
      <c r="EZ9" s="112"/>
      <c r="FA9" s="107"/>
      <c r="FB9" s="108" t="s">
        <v>24</v>
      </c>
      <c r="FC9" s="183">
        <f>IFERROR((((COUNTIF('Elève (6ème4)'!EZ9:FB9,"A"))*4)+((COUNTIF('Elève (6ème4)'!EZ9:FB9,"B"))*3)+((COUNTIF('Elève (6ème4)'!EZ9:FB9,"C"))*2)+((COUNTIF('Elève (6ème4)'!EZ9:FB9,"D"))*1))/(COUNTA(EZ9:FB9)),"")</f>
        <v>3</v>
      </c>
      <c r="FD9" s="187" t="str">
        <f t="shared" si="36"/>
        <v>B</v>
      </c>
      <c r="FE9" s="106"/>
      <c r="FF9" s="107"/>
      <c r="FG9" s="108"/>
      <c r="FH9" s="183" t="str">
        <f>IFERROR((((COUNTIF('Elève (6ème4)'!FE9:FG9,"A"))*4)+((COUNTIF('Elève (6ème4)'!FE9:FG9,"B"))*3)+((COUNTIF('Elève (6ème4)'!FE9:FG9,"C"))*2)+((COUNTIF('Elève (6ème4)'!FE9:FG9,"D"))*1))/(COUNTA(FE9:FG9)),"")</f>
        <v/>
      </c>
      <c r="FI9" s="184" t="str">
        <f t="shared" si="37"/>
        <v/>
      </c>
      <c r="FJ9" s="106"/>
      <c r="FK9" s="107" t="s">
        <v>24</v>
      </c>
      <c r="FL9" s="108"/>
      <c r="FM9" s="183">
        <f>IFERROR((((COUNTIF('Elève (6ème4)'!FJ9:FL9,"A"))*4)+((COUNTIF('Elève (6ème4)'!FJ9:FL9,"B"))*3)+((COUNTIF('Elève (6ème4)'!FJ9:FL9,"C"))*2)+((COUNTIF('Elève (6ème4)'!FJ9:FL9,"D"))*1))/(COUNTA(FJ9:FL9)),"")</f>
        <v>3</v>
      </c>
      <c r="FN9" s="184" t="str">
        <f t="shared" si="38"/>
        <v>B</v>
      </c>
      <c r="FO9" s="183">
        <f>IF(COUNT(FC9,FH9,FM9)=0,"",SUM(FC9,FH9,FM9)/COUNT(FC9,FH9,FM9))</f>
        <v>3</v>
      </c>
      <c r="FP9" s="209" t="str">
        <f t="shared" si="39"/>
        <v>B</v>
      </c>
      <c r="FQ9" s="112"/>
      <c r="FR9" s="107"/>
      <c r="FS9" s="108" t="s">
        <v>24</v>
      </c>
      <c r="FT9" s="183">
        <f>IFERROR((((COUNTIF('Elève (6ème4)'!FQ9:FS9,"A"))*4)+((COUNTIF('Elève (6ème4)'!FQ9:FS9,"B"))*3)+((COUNTIF('Elève (6ème4)'!FQ9:FS9,"C"))*2)+((COUNTIF('Elève (6ème4)'!FQ9:FS9,"D"))*1))/(COUNTA(FQ9:FS9)),"")</f>
        <v>3</v>
      </c>
      <c r="FU9" s="187" t="str">
        <f t="shared" si="40"/>
        <v>B</v>
      </c>
      <c r="FV9" s="106"/>
      <c r="FW9" s="107"/>
      <c r="FX9" s="108"/>
      <c r="FY9" s="183" t="str">
        <f>IFERROR((((COUNTIF('Elève (6ème4)'!FV9:FX9,"A"))*4)+((COUNTIF('Elève (6ème4)'!FV9:FX9,"B"))*3)+((COUNTIF('Elève (6ème4)'!FV9:FX9,"C"))*2)+((COUNTIF('Elève (6ème4)'!FV9:FX9,"D"))*1))/(COUNTA(FV9:FX9)),"")</f>
        <v/>
      </c>
      <c r="FZ9" s="184" t="str">
        <f t="shared" si="41"/>
        <v/>
      </c>
      <c r="GA9" s="106"/>
      <c r="GB9" s="107" t="s">
        <v>24</v>
      </c>
      <c r="GC9" s="108"/>
      <c r="GD9" s="183">
        <f>IFERROR((((COUNTIF('Elève (6ème4)'!GA9:GC9,"A"))*4)+((COUNTIF('Elève (6ème4)'!GA9:GC9,"B"))*3)+((COUNTIF('Elève (6ème4)'!GA9:GC9,"C"))*2)+((COUNTIF('Elève (6ème4)'!GA9:GC9,"D"))*1))/(COUNTA(GA9:GC9)),"")</f>
        <v>3</v>
      </c>
      <c r="GE9" s="184" t="str">
        <f t="shared" si="42"/>
        <v>B</v>
      </c>
      <c r="GF9" s="183">
        <f>IF(COUNT(FT9,FY9,GD9)=0,"",SUM(FT9,FY9,GD9)/COUNT(FT9,FY9,GD9))</f>
        <v>3</v>
      </c>
      <c r="GG9" s="209" t="str">
        <f t="shared" si="43"/>
        <v>B</v>
      </c>
      <c r="GH9" s="112"/>
      <c r="GI9" s="107"/>
      <c r="GJ9" s="108" t="s">
        <v>24</v>
      </c>
      <c r="GK9" s="183">
        <f>IFERROR((((COUNTIF('Elève (6ème4)'!GH9:GJ9,"A"))*4)+((COUNTIF('Elève (6ème4)'!GH9:GJ9,"B"))*3)+((COUNTIF('Elève (6ème4)'!GH9:GJ9,"C"))*2)+((COUNTIF('Elève (6ème4)'!GH9:GJ9,"D"))*1))/(COUNTA(GH9:GJ9)),"")</f>
        <v>3</v>
      </c>
      <c r="GL9" s="187" t="str">
        <f t="shared" si="44"/>
        <v>B</v>
      </c>
      <c r="GM9" s="106"/>
      <c r="GN9" s="107"/>
      <c r="GO9" s="108"/>
      <c r="GP9" s="183" t="str">
        <f>IFERROR((((COUNTIF('Elève (6ème4)'!GM9:GO9,"A"))*4)+((COUNTIF('Elève (6ème4)'!GM9:GO9,"B"))*3)+((COUNTIF('Elève (6ème4)'!GM9:GO9,"C"))*2)+((COUNTIF('Elève (6ème4)'!GM9:GO9,"D"))*1))/(COUNTA(GM9:GO9)),"")</f>
        <v/>
      </c>
      <c r="GQ9" s="184" t="str">
        <f t="shared" si="45"/>
        <v/>
      </c>
      <c r="GR9" s="106"/>
      <c r="GS9" s="107" t="s">
        <v>24</v>
      </c>
      <c r="GT9" s="108"/>
      <c r="GU9" s="183">
        <f>IFERROR((((COUNTIF('Elève (6ème4)'!GR9:GT9,"A"))*4)+((COUNTIF('Elève (6ème4)'!GR9:GT9,"B"))*3)+((COUNTIF('Elève (6ème4)'!GR9:GT9,"C"))*2)+((COUNTIF('Elève (6ème4)'!GR9:GT9,"D"))*1))/(COUNTA(GR9:GT9)),"")</f>
        <v>3</v>
      </c>
      <c r="GV9" s="184" t="str">
        <f t="shared" si="46"/>
        <v>B</v>
      </c>
      <c r="GW9" s="183">
        <f>IF(COUNT(GK9,GP9,GU9)=0,"",SUM(GK9,GP9,GU9)/COUNT(GK9,GP9,GU9))</f>
        <v>3</v>
      </c>
      <c r="GX9" s="209" t="str">
        <f t="shared" si="47"/>
        <v>B</v>
      </c>
      <c r="GY9" s="112"/>
      <c r="GZ9" s="107"/>
      <c r="HA9" s="108" t="s">
        <v>24</v>
      </c>
      <c r="HB9" s="183">
        <f>IFERROR((((COUNTIF('Elève (6ème4)'!GY9:HA9,"A"))*4)+((COUNTIF('Elève (6ème4)'!GY9:HA9,"B"))*3)+((COUNTIF('Elève (6ème4)'!GY9:HA9,"C"))*2)+((COUNTIF('Elève (6ème4)'!GY9:HA9,"D"))*1))/(COUNTA(GY9:HA9)),"")</f>
        <v>3</v>
      </c>
      <c r="HC9" s="187" t="str">
        <f t="shared" si="48"/>
        <v>B</v>
      </c>
      <c r="HD9" s="106"/>
      <c r="HE9" s="107"/>
      <c r="HF9" s="108"/>
      <c r="HG9" s="183" t="str">
        <f>IFERROR((((COUNTIF('Elève (6ème4)'!HD9:HF9,"A"))*4)+((COUNTIF('Elève (6ème4)'!HD9:HF9,"B"))*3)+((COUNTIF('Elève (6ème4)'!HD9:HF9,"C"))*2)+((COUNTIF('Elève (6ème4)'!HD9:HF9,"D"))*1))/(COUNTA(HD9:HF9)),"")</f>
        <v/>
      </c>
      <c r="HH9" s="184" t="str">
        <f t="shared" si="49"/>
        <v/>
      </c>
      <c r="HI9" s="106"/>
      <c r="HJ9" s="107" t="s">
        <v>24</v>
      </c>
      <c r="HK9" s="108"/>
      <c r="HL9" s="183">
        <f>IFERROR((((COUNTIF('Elève (6ème4)'!HI9:HK9,"A"))*4)+((COUNTIF('Elève (6ème4)'!HI9:HK9,"B"))*3)+((COUNTIF('Elève (6ème4)'!HI9:HK9,"C"))*2)+((COUNTIF('Elève (6ème4)'!HI9:HK9,"D"))*1))/(COUNTA(HI9:HK9)),"")</f>
        <v>3</v>
      </c>
      <c r="HM9" s="184" t="str">
        <f t="shared" si="50"/>
        <v>B</v>
      </c>
      <c r="HN9" s="183">
        <f>IF(COUNT(HB9,HG9,HL9)=0,"",SUM(HB9,HG9,HL9)/COUNT(HB9,HG9,HL9))</f>
        <v>3</v>
      </c>
      <c r="HO9" s="209" t="str">
        <f t="shared" si="51"/>
        <v>B</v>
      </c>
      <c r="HP9" s="112"/>
      <c r="HQ9" s="107"/>
      <c r="HR9" s="108" t="s">
        <v>24</v>
      </c>
      <c r="HS9" s="183">
        <f>IFERROR((((COUNTIF('Elève (6ème4)'!HP9:HR9,"A"))*4)+((COUNTIF('Elève (6ème4)'!HP9:HR9,"B"))*3)+((COUNTIF('Elève (6ème4)'!HP9:HR9,"C"))*2)+((COUNTIF('Elève (6ème4)'!HP9:HR9,"D"))*1))/(COUNTA(HP9:HR9)),"")</f>
        <v>3</v>
      </c>
      <c r="HT9" s="187" t="str">
        <f t="shared" si="52"/>
        <v>B</v>
      </c>
      <c r="HU9" s="106"/>
      <c r="HV9" s="107"/>
      <c r="HW9" s="108"/>
      <c r="HX9" s="183" t="str">
        <f>IFERROR((((COUNTIF('Elève (6ème4)'!HU9:HW9,"A"))*4)+((COUNTIF('Elève (6ème4)'!HU9:HW9,"B"))*3)+((COUNTIF('Elève (6ème4)'!HU9:HW9,"C"))*2)+((COUNTIF('Elève (6ème4)'!HU9:HW9,"D"))*1))/(COUNTA(HU9:HW9)),"")</f>
        <v/>
      </c>
      <c r="HY9" s="184" t="str">
        <f t="shared" si="53"/>
        <v/>
      </c>
      <c r="HZ9" s="106"/>
      <c r="IA9" s="107" t="s">
        <v>24</v>
      </c>
      <c r="IB9" s="108"/>
      <c r="IC9" s="183">
        <f>IFERROR((((COUNTIF('Elève (6ème4)'!HZ9:IB9,"A"))*4)+((COUNTIF('Elève (6ème4)'!HZ9:IB9,"B"))*3)+((COUNTIF('Elève (6ème4)'!HZ9:IB9,"C"))*2)+((COUNTIF('Elève (6ème4)'!HZ9:IB9,"D"))*1))/(COUNTA(HZ9:IB9)),"")</f>
        <v>3</v>
      </c>
      <c r="ID9" s="184" t="str">
        <f t="shared" si="54"/>
        <v>B</v>
      </c>
      <c r="IE9" s="183">
        <f>IF(COUNT(HS9,HX9,IC9)=0,"",SUM(HS9,HX9,IC9)/COUNT(HS9,HX9,IC9))</f>
        <v>3</v>
      </c>
      <c r="IF9" s="209" t="str">
        <f t="shared" si="55"/>
        <v>B</v>
      </c>
      <c r="IG9" s="112"/>
      <c r="IH9" s="107"/>
      <c r="II9" s="108" t="s">
        <v>24</v>
      </c>
      <c r="IJ9" s="183">
        <f>IFERROR((((COUNTIF('Elève (6ème4)'!IG9:II9,"A"))*4)+((COUNTIF('Elève (6ème4)'!IG9:II9,"B"))*3)+((COUNTIF('Elève (6ème4)'!IG9:II9,"C"))*2)+((COUNTIF('Elève (6ème4)'!IG9:II9,"D"))*1))/(COUNTA(IG9:II9)),"")</f>
        <v>3</v>
      </c>
      <c r="IK9" s="187" t="str">
        <f t="shared" si="56"/>
        <v>B</v>
      </c>
      <c r="IL9" s="106"/>
      <c r="IM9" s="107"/>
      <c r="IN9" s="108"/>
      <c r="IO9" s="183" t="str">
        <f>IFERROR((((COUNTIF('Elève (6ème4)'!IL9:IN9,"A"))*4)+((COUNTIF('Elève (6ème4)'!IL9:IN9,"B"))*3)+((COUNTIF('Elève (6ème4)'!IL9:IN9,"C"))*2)+((COUNTIF('Elève (6ème4)'!IL9:IN9,"D"))*1))/(COUNTA(IL9:IN9)),"")</f>
        <v/>
      </c>
      <c r="IP9" s="184" t="str">
        <f t="shared" si="57"/>
        <v/>
      </c>
      <c r="IQ9" s="106"/>
      <c r="IR9" s="107" t="s">
        <v>24</v>
      </c>
      <c r="IS9" s="108"/>
      <c r="IT9" s="183">
        <f>IFERROR((((COUNTIF('Elève (6ème4)'!IQ9:IS9,"A"))*4)+((COUNTIF('Elève (6ème4)'!IQ9:IS9,"B"))*3)+((COUNTIF('Elève (6ème4)'!IQ9:IS9,"C"))*2)+((COUNTIF('Elève (6ème4)'!IQ9:IS9,"D"))*1))/(COUNTA(IQ9:IS9)),"")</f>
        <v>3</v>
      </c>
      <c r="IU9" s="184" t="str">
        <f t="shared" si="58"/>
        <v>B</v>
      </c>
      <c r="IV9" s="183">
        <f>IF(COUNT(IJ9,IO9,IT9)=0,"",SUM(IJ9,IO9,IT9)/COUNT(IJ9,IO9,IT9))</f>
        <v>3</v>
      </c>
      <c r="IW9" s="209" t="str">
        <f t="shared" si="59"/>
        <v>B</v>
      </c>
      <c r="IX9" s="112"/>
      <c r="IY9" s="107"/>
      <c r="IZ9" s="108" t="s">
        <v>24</v>
      </c>
      <c r="JA9" s="183">
        <f>IFERROR((((COUNTIF('Elève (6ème4)'!IX9:IZ9,"A"))*4)+((COUNTIF('Elève (6ème4)'!IX9:IZ9,"B"))*3)+((COUNTIF('Elève (6ème4)'!IX9:IZ9,"C"))*2)+((COUNTIF('Elève (6ème4)'!IX9:IZ9,"D"))*1))/(COUNTA(IX9:IZ9)),"")</f>
        <v>3</v>
      </c>
      <c r="JB9" s="187" t="str">
        <f t="shared" si="60"/>
        <v>B</v>
      </c>
      <c r="JC9" s="106"/>
      <c r="JD9" s="107"/>
      <c r="JE9" s="108"/>
      <c r="JF9" s="183" t="str">
        <f>IFERROR((((COUNTIF('Elève (6ème4)'!JC9:JE9,"A"))*4)+((COUNTIF('Elève (6ème4)'!JC9:JE9,"B"))*3)+((COUNTIF('Elève (6ème4)'!JC9:JE9,"C"))*2)+((COUNTIF('Elève (6ème4)'!JC9:JE9,"D"))*1))/(COUNTA(JC9:JE9)),"")</f>
        <v/>
      </c>
      <c r="JG9" s="184" t="str">
        <f t="shared" si="61"/>
        <v/>
      </c>
      <c r="JH9" s="106"/>
      <c r="JI9" s="107" t="s">
        <v>24</v>
      </c>
      <c r="JJ9" s="108"/>
      <c r="JK9" s="183">
        <f>IFERROR((((COUNTIF('Elève (6ème4)'!JH9:JJ9,"A"))*4)+((COUNTIF('Elève (6ème4)'!JH9:JJ9,"B"))*3)+((COUNTIF('Elève (6ème4)'!JH9:JJ9,"C"))*2)+((COUNTIF('Elève (6ème4)'!JH9:JJ9,"D"))*1))/(COUNTA(JH9:JJ9)),"")</f>
        <v>3</v>
      </c>
      <c r="JL9" s="184" t="str">
        <f t="shared" si="62"/>
        <v>B</v>
      </c>
      <c r="JM9" s="183">
        <f>IF(COUNT(JA9,JF9,JK9)=0,"",SUM(JA9,JF9,JK9)/COUNT(JA9,JF9,JK9))</f>
        <v>3</v>
      </c>
      <c r="JN9" s="209" t="str">
        <f t="shared" si="63"/>
        <v>B</v>
      </c>
      <c r="JO9" s="112"/>
      <c r="JP9" s="107"/>
      <c r="JQ9" s="108" t="s">
        <v>24</v>
      </c>
      <c r="JR9" s="183">
        <f>IFERROR((((COUNTIF('Elève (6ème4)'!JO9:JQ9,"A"))*4)+((COUNTIF('Elève (6ème4)'!JO9:JQ9,"B"))*3)+((COUNTIF('Elève (6ème4)'!JO9:JQ9,"C"))*2)+((COUNTIF('Elève (6ème4)'!JO9:JQ9,"D"))*1))/(COUNTA(JO9:JQ9)),"")</f>
        <v>3</v>
      </c>
      <c r="JS9" s="187" t="str">
        <f t="shared" si="64"/>
        <v>B</v>
      </c>
      <c r="JT9" s="106"/>
      <c r="JU9" s="107"/>
      <c r="JV9" s="108"/>
      <c r="JW9" s="183" t="str">
        <f>IFERROR((((COUNTIF('Elève (6ème4)'!JT9:JV9,"A"))*4)+((COUNTIF('Elève (6ème4)'!JT9:JV9,"B"))*3)+((COUNTIF('Elève (6ème4)'!JT9:JV9,"C"))*2)+((COUNTIF('Elève (6ème4)'!JT9:JV9,"D"))*1))/(COUNTA(JT9:JV9)),"")</f>
        <v/>
      </c>
      <c r="JX9" s="184" t="str">
        <f t="shared" si="65"/>
        <v/>
      </c>
      <c r="JY9" s="106"/>
      <c r="JZ9" s="107" t="s">
        <v>24</v>
      </c>
      <c r="KA9" s="108"/>
      <c r="KB9" s="183">
        <f>IFERROR((((COUNTIF('Elève (6ème4)'!JY9:KA9,"A"))*4)+((COUNTIF('Elève (6ème4)'!JY9:KA9,"B"))*3)+((COUNTIF('Elève (6ème4)'!JY9:KA9,"C"))*2)+((COUNTIF('Elève (6ème4)'!JY9:KA9,"D"))*1))/(COUNTA(JY9:KA9)),"")</f>
        <v>3</v>
      </c>
      <c r="KC9" s="184" t="str">
        <f t="shared" si="66"/>
        <v>B</v>
      </c>
      <c r="KD9" s="183">
        <f>IF(COUNT(JR9,JW9,KB9)=0,"",SUM(JR9,JW9,KB9)/COUNT(JR9,JW9,KB9))</f>
        <v>3</v>
      </c>
      <c r="KE9" s="209" t="str">
        <f t="shared" si="67"/>
        <v>B</v>
      </c>
      <c r="KF9" s="112"/>
      <c r="KG9" s="107"/>
      <c r="KH9" s="108" t="s">
        <v>24</v>
      </c>
      <c r="KI9" s="183">
        <f>IFERROR((((COUNTIF('Elève (6ème4)'!KF9:KH9,"A"))*4)+((COUNTIF('Elève (6ème4)'!KF9:KH9,"B"))*3)+((COUNTIF('Elève (6ème4)'!KF9:KH9,"C"))*2)+((COUNTIF('Elève (6ème4)'!KF9:KH9,"D"))*1))/(COUNTA(KF9:KH9)),"")</f>
        <v>3</v>
      </c>
      <c r="KJ9" s="187" t="str">
        <f t="shared" si="68"/>
        <v>B</v>
      </c>
      <c r="KK9" s="106"/>
      <c r="KL9" s="107"/>
      <c r="KM9" s="108"/>
      <c r="KN9" s="183" t="str">
        <f>IFERROR((((COUNTIF('Elève (6ème4)'!KK9:KM9,"A"))*4)+((COUNTIF('Elève (6ème4)'!KK9:KM9,"B"))*3)+((COUNTIF('Elève (6ème4)'!KK9:KM9,"C"))*2)+((COUNTIF('Elève (6ème4)'!KK9:KM9,"D"))*1))/(COUNTA(KK9:KM9)),"")</f>
        <v/>
      </c>
      <c r="KO9" s="184" t="str">
        <f t="shared" si="69"/>
        <v/>
      </c>
      <c r="KP9" s="106"/>
      <c r="KQ9" s="107" t="s">
        <v>24</v>
      </c>
      <c r="KR9" s="108"/>
      <c r="KS9" s="183">
        <f>IFERROR((((COUNTIF('Elève (6ème4)'!KP9:KR9,"A"))*4)+((COUNTIF('Elève (6ème4)'!KP9:KR9,"B"))*3)+((COUNTIF('Elève (6ème4)'!KP9:KR9,"C"))*2)+((COUNTIF('Elève (6ème4)'!KP9:KR9,"D"))*1))/(COUNTA(KP9:KR9)),"")</f>
        <v>3</v>
      </c>
      <c r="KT9" s="184" t="str">
        <f t="shared" si="70"/>
        <v>B</v>
      </c>
      <c r="KU9" s="183">
        <f>IF(COUNT(KI9,KN9,KS9)=0,"",SUM(KI9,KN9,KS9)/COUNT(KI9,KN9,KS9))</f>
        <v>3</v>
      </c>
      <c r="KV9" s="209" t="str">
        <f t="shared" si="71"/>
        <v>B</v>
      </c>
      <c r="KW9" s="112"/>
      <c r="KX9" s="107"/>
      <c r="KY9" s="108" t="s">
        <v>24</v>
      </c>
      <c r="KZ9" s="183">
        <f>IFERROR((((COUNTIF('Elève (6ème4)'!KW9:KY9,"A"))*4)+((COUNTIF('Elève (6ème4)'!KW9:KY9,"B"))*3)+((COUNTIF('Elève (6ème4)'!KW9:KY9,"C"))*2)+((COUNTIF('Elève (6ème4)'!KW9:KY9,"D"))*1))/(COUNTA(KW9:KY9)),"")</f>
        <v>3</v>
      </c>
      <c r="LA9" s="187" t="str">
        <f t="shared" si="72"/>
        <v>B</v>
      </c>
      <c r="LB9" s="106"/>
      <c r="LC9" s="107"/>
      <c r="LD9" s="108"/>
      <c r="LE9" s="183" t="str">
        <f>IFERROR((((COUNTIF('Elève (6ème4)'!LB9:LD9,"A"))*4)+((COUNTIF('Elève (6ème4)'!LB9:LD9,"B"))*3)+((COUNTIF('Elève (6ème4)'!LB9:LD9,"C"))*2)+((COUNTIF('Elève (6ème4)'!LB9:LD9,"D"))*1))/(COUNTA(LB9:LD9)),"")</f>
        <v/>
      </c>
      <c r="LF9" s="184" t="str">
        <f t="shared" si="73"/>
        <v/>
      </c>
      <c r="LG9" s="106"/>
      <c r="LH9" s="107" t="s">
        <v>24</v>
      </c>
      <c r="LI9" s="108"/>
      <c r="LJ9" s="183">
        <f>IFERROR((((COUNTIF('Elève (6ème4)'!LG9:LI9,"A"))*4)+((COUNTIF('Elève (6ème4)'!LG9:LI9,"B"))*3)+((COUNTIF('Elève (6ème4)'!LG9:LI9,"C"))*2)+((COUNTIF('Elève (6ème4)'!LG9:LI9,"D"))*1))/(COUNTA(LG9:LI9)),"")</f>
        <v>3</v>
      </c>
      <c r="LK9" s="184" t="str">
        <f t="shared" si="74"/>
        <v>B</v>
      </c>
      <c r="LL9" s="183">
        <f>IF(COUNT(KZ9,LE9,LJ9)=0,"",SUM(KZ9,LE9,LJ9)/COUNT(KZ9,LE9,LJ9))</f>
        <v>3</v>
      </c>
      <c r="LM9" s="209" t="str">
        <f t="shared" si="75"/>
        <v>B</v>
      </c>
      <c r="LN9" s="112"/>
      <c r="LO9" s="107"/>
      <c r="LP9" s="108" t="s">
        <v>24</v>
      </c>
      <c r="LQ9" s="183">
        <f>IFERROR((((COUNTIF('Elève (6ème4)'!LN9:LP9,"A"))*4)+((COUNTIF('Elève (6ème4)'!LN9:LP9,"B"))*3)+((COUNTIF('Elève (6ème4)'!LN9:LP9,"C"))*2)+((COUNTIF('Elève (6ème4)'!LN9:LP9,"D"))*1))/(COUNTA(LN9:LP9)),"")</f>
        <v>3</v>
      </c>
      <c r="LR9" s="187" t="str">
        <f t="shared" si="76"/>
        <v>B</v>
      </c>
      <c r="LS9" s="106"/>
      <c r="LT9" s="107"/>
      <c r="LU9" s="108"/>
      <c r="LV9" s="183" t="str">
        <f>IFERROR((((COUNTIF('Elève (6ème4)'!LS9:LU9,"A"))*4)+((COUNTIF('Elève (6ème4)'!LS9:LU9,"B"))*3)+((COUNTIF('Elève (6ème4)'!LS9:LU9,"C"))*2)+((COUNTIF('Elève (6ème4)'!LS9:LU9,"D"))*1))/(COUNTA(LS9:LU9)),"")</f>
        <v/>
      </c>
      <c r="LW9" s="184" t="str">
        <f t="shared" si="77"/>
        <v/>
      </c>
      <c r="LX9" s="106"/>
      <c r="LY9" s="107" t="s">
        <v>23</v>
      </c>
      <c r="LZ9" s="108"/>
      <c r="MA9" s="183">
        <f>IFERROR((((COUNTIF('Elève (6ème4)'!LX9:LZ9,"A"))*4)+((COUNTIF('Elève (6ème4)'!LX9:LZ9,"B"))*3)+((COUNTIF('Elève (6ème4)'!LX9:LZ9,"C"))*2)+((COUNTIF('Elève (6ème4)'!LX9:LZ9,"D"))*1))/(COUNTA(LX9:LZ9)),"")</f>
        <v>4</v>
      </c>
      <c r="MB9" s="184" t="str">
        <f t="shared" si="78"/>
        <v>A</v>
      </c>
      <c r="MC9" s="183">
        <f>IF(COUNT(LQ9,LV9,MA9)=0,"",SUM(LQ9,LV9,MA9)/COUNT(LQ9,LV9,MA9))</f>
        <v>3.5</v>
      </c>
      <c r="MD9" s="209" t="str">
        <f t="shared" si="79"/>
        <v>B</v>
      </c>
      <c r="ME9" s="112"/>
      <c r="MF9" s="107"/>
      <c r="MG9" s="108" t="s">
        <v>24</v>
      </c>
      <c r="MH9" s="183">
        <f>IFERROR((((COUNTIF('Elève (6ème4)'!ME9:MG9,"A"))*4)+((COUNTIF('Elève (6ème4)'!ME9:MG9,"B"))*3)+((COUNTIF('Elève (6ème4)'!ME9:MG9,"C"))*2)+((COUNTIF('Elève (6ème4)'!ME9:MG9,"D"))*1))/(COUNTA(ME9:MG9)),"")</f>
        <v>3</v>
      </c>
      <c r="MI9" s="187" t="str">
        <f t="shared" si="80"/>
        <v>B</v>
      </c>
      <c r="MJ9" s="106"/>
      <c r="MK9" s="107"/>
      <c r="ML9" s="108"/>
      <c r="MM9" s="183" t="str">
        <f>IFERROR((((COUNTIF('Elève (6ème4)'!MJ9:ML9,"A"))*4)+((COUNTIF('Elève (6ème4)'!MJ9:ML9,"B"))*3)+((COUNTIF('Elève (6ème4)'!MJ9:ML9,"C"))*2)+((COUNTIF('Elève (6ème4)'!MJ9:ML9,"D"))*1))/(COUNTA(MJ9:ML9)),"")</f>
        <v/>
      </c>
      <c r="MN9" s="184" t="str">
        <f t="shared" si="81"/>
        <v/>
      </c>
      <c r="MO9" s="106"/>
      <c r="MP9" s="107" t="s">
        <v>24</v>
      </c>
      <c r="MQ9" s="108"/>
      <c r="MR9" s="183">
        <f>IFERROR((((COUNTIF('Elève (6ème4)'!MO9:MQ9,"A"))*4)+((COUNTIF('Elève (6ème4)'!MO9:MQ9,"B"))*3)+((COUNTIF('Elève (6ème4)'!MO9:MQ9,"C"))*2)+((COUNTIF('Elève (6ème4)'!MO9:MQ9,"D"))*1))/(COUNTA(MO9:MQ9)),"")</f>
        <v>3</v>
      </c>
      <c r="MS9" s="184" t="str">
        <f t="shared" si="82"/>
        <v>B</v>
      </c>
      <c r="MT9" s="183">
        <f>IF(COUNT(MH9,MM9,MR9)=0,"",SUM(MH9,MM9,MR9)/COUNT(MH9,MM9,MR9))</f>
        <v>3</v>
      </c>
      <c r="MU9" s="209" t="str">
        <f t="shared" si="83"/>
        <v>B</v>
      </c>
      <c r="MV9" s="112"/>
      <c r="MW9" s="107"/>
      <c r="MX9" s="108" t="s">
        <v>24</v>
      </c>
      <c r="MY9" s="183">
        <f>IFERROR((((COUNTIF('Elève (6ème4)'!MV9:MX9,"A"))*4)+((COUNTIF('Elève (6ème4)'!MV9:MX9,"B"))*3)+((COUNTIF('Elève (6ème4)'!MV9:MX9,"C"))*2)+((COUNTIF('Elève (6ème4)'!MV9:MX9,"D"))*1))/(COUNTA(MV9:MX9)),"")</f>
        <v>3</v>
      </c>
      <c r="MZ9" s="187" t="str">
        <f t="shared" si="84"/>
        <v>B</v>
      </c>
      <c r="NA9" s="106"/>
      <c r="NB9" s="107"/>
      <c r="NC9" s="108"/>
      <c r="ND9" s="183" t="str">
        <f>IFERROR((((COUNTIF('Elève (6ème4)'!NA9:NC9,"A"))*4)+((COUNTIF('Elève (6ème4)'!NA9:NC9,"B"))*3)+((COUNTIF('Elève (6ème4)'!NA9:NC9,"C"))*2)+((COUNTIF('Elève (6ème4)'!NA9:NC9,"D"))*1))/(COUNTA(NA9:NC9)),"")</f>
        <v/>
      </c>
      <c r="NE9" s="184" t="str">
        <f t="shared" si="85"/>
        <v/>
      </c>
      <c r="NF9" s="106"/>
      <c r="NG9" s="107" t="s">
        <v>24</v>
      </c>
      <c r="NH9" s="108"/>
      <c r="NI9" s="183">
        <f>IFERROR((((COUNTIF('Elève (6ème4)'!NF9:NH9,"A"))*4)+((COUNTIF('Elève (6ème4)'!NF9:NH9,"B"))*3)+((COUNTIF('Elève (6ème4)'!NF9:NH9,"C"))*2)+((COUNTIF('Elève (6ème4)'!NF9:NH9,"D"))*1))/(COUNTA(NF9:NH9)),"")</f>
        <v>3</v>
      </c>
      <c r="NJ9" s="184" t="str">
        <f t="shared" si="86"/>
        <v>B</v>
      </c>
      <c r="NK9" s="183">
        <f>IF(COUNT(MY9,ND9,NI9)=0,"",SUM(MY9,ND9,NI9)/COUNT(MY9,ND9,NI9))</f>
        <v>3</v>
      </c>
      <c r="NL9" s="209" t="str">
        <f t="shared" si="87"/>
        <v>B</v>
      </c>
      <c r="NM9" s="112"/>
      <c r="NN9" s="107"/>
      <c r="NO9" s="108" t="s">
        <v>24</v>
      </c>
      <c r="NP9" s="183">
        <f>IFERROR((((COUNTIF('Elève (6ème4)'!NM9:NO9,"A"))*4)+((COUNTIF('Elève (6ème4)'!NM9:NO9,"B"))*3)+((COUNTIF('Elève (6ème4)'!NM9:NO9,"C"))*2)+((COUNTIF('Elève (6ème4)'!NM9:NO9,"D"))*1))/(COUNTA(NM9:NO9)),"")</f>
        <v>3</v>
      </c>
      <c r="NQ9" s="187" t="str">
        <f t="shared" si="88"/>
        <v>B</v>
      </c>
      <c r="NR9" s="106"/>
      <c r="NS9" s="107"/>
      <c r="NT9" s="108"/>
      <c r="NU9" s="183" t="str">
        <f>IFERROR((((COUNTIF('Elève (6ème4)'!NR9:NT9,"A"))*4)+((COUNTIF('Elève (6ème4)'!NR9:NT9,"B"))*3)+((COUNTIF('Elève (6ème4)'!NR9:NT9,"C"))*2)+((COUNTIF('Elève (6ème4)'!NR9:NT9,"D"))*1))/(COUNTA(NR9:NT9)),"")</f>
        <v/>
      </c>
      <c r="NV9" s="184" t="str">
        <f t="shared" si="89"/>
        <v/>
      </c>
      <c r="NW9" s="106"/>
      <c r="NX9" s="107" t="s">
        <v>24</v>
      </c>
      <c r="NY9" s="108"/>
      <c r="NZ9" s="183">
        <f>IFERROR((((COUNTIF('Elève (6ème4)'!NW9:NY9,"A"))*4)+((COUNTIF('Elève (6ème4)'!NW9:NY9,"B"))*3)+((COUNTIF('Elève (6ème4)'!NW9:NY9,"C"))*2)+((COUNTIF('Elève (6ème4)'!NW9:NY9,"D"))*1))/(COUNTA(NW9:NY9)),"")</f>
        <v>3</v>
      </c>
      <c r="OA9" s="184" t="str">
        <f t="shared" si="90"/>
        <v>B</v>
      </c>
      <c r="OB9" s="183">
        <f>IF(COUNT(NP9,NU9,NZ9)=0,"",SUM(NP9,NU9,NZ9)/COUNT(NP9,NU9,NZ9))</f>
        <v>3</v>
      </c>
      <c r="OC9" s="209" t="str">
        <f t="shared" si="91"/>
        <v>B</v>
      </c>
      <c r="OD9" s="112"/>
      <c r="OE9" s="107"/>
      <c r="OF9" s="108" t="s">
        <v>24</v>
      </c>
      <c r="OG9" s="183">
        <f>IFERROR((((COUNTIF('Elève (6ème4)'!OD9:OF9,"A"))*4)+((COUNTIF('Elève (6ème4)'!OD9:OF9,"B"))*3)+((COUNTIF('Elève (6ème4)'!OD9:OF9,"C"))*2)+((COUNTIF('Elève (6ème4)'!OD9:OF9,"D"))*1))/(COUNTA(OD9:OF9)),"")</f>
        <v>3</v>
      </c>
      <c r="OH9" s="187" t="str">
        <f t="shared" si="92"/>
        <v>B</v>
      </c>
      <c r="OI9" s="106"/>
      <c r="OJ9" s="107"/>
      <c r="OK9" s="108"/>
      <c r="OL9" s="183" t="str">
        <f>IFERROR((((COUNTIF('Elève (6ème4)'!OI9:OK9,"A"))*4)+((COUNTIF('Elève (6ème4)'!OI9:OK9,"B"))*3)+((COUNTIF('Elève (6ème4)'!OI9:OK9,"C"))*2)+((COUNTIF('Elève (6ème4)'!OI9:OK9,"D"))*1))/(COUNTA(OI9:OK9)),"")</f>
        <v/>
      </c>
      <c r="OM9" s="184" t="str">
        <f t="shared" si="93"/>
        <v/>
      </c>
      <c r="ON9" s="106"/>
      <c r="OO9" s="107" t="s">
        <v>24</v>
      </c>
      <c r="OP9" s="108"/>
      <c r="OQ9" s="183">
        <f>IFERROR((((COUNTIF('Elève (6ème4)'!ON9:OP9,"A"))*4)+((COUNTIF('Elève (6ème4)'!ON9:OP9,"B"))*3)+((COUNTIF('Elève (6ème4)'!ON9:OP9,"C"))*2)+((COUNTIF('Elève (6ème4)'!ON9:OP9,"D"))*1))/(COUNTA(ON9:OP9)),"")</f>
        <v>3</v>
      </c>
      <c r="OR9" s="184" t="str">
        <f t="shared" si="94"/>
        <v>B</v>
      </c>
      <c r="OS9" s="183">
        <f>IF(COUNT(OG9,OL9,OQ9)=0,"",SUM(OG9,OL9,OQ9)/COUNT(OG9,OL9,OQ9))</f>
        <v>3</v>
      </c>
      <c r="OT9" s="209" t="str">
        <f t="shared" si="95"/>
        <v>B</v>
      </c>
      <c r="OU9" s="112"/>
      <c r="OV9" s="107"/>
      <c r="OW9" s="108" t="s">
        <v>24</v>
      </c>
      <c r="OX9" s="183">
        <f>IFERROR((((COUNTIF('Elève (6ème4)'!OU9:OW9,"A"))*4)+((COUNTIF('Elève (6ème4)'!OU9:OW9,"B"))*3)+((COUNTIF('Elève (6ème4)'!OU9:OW9,"C"))*2)+((COUNTIF('Elève (6ème4)'!OU9:OW9,"D"))*1))/(COUNTA(OU9:OW9)),"")</f>
        <v>3</v>
      </c>
      <c r="OY9" s="187" t="str">
        <f t="shared" si="96"/>
        <v>B</v>
      </c>
      <c r="OZ9" s="106"/>
      <c r="PA9" s="107"/>
      <c r="PB9" s="108"/>
      <c r="PC9" s="183" t="str">
        <f>IFERROR((((COUNTIF('Elève (6ème4)'!OZ9:PB9,"A"))*4)+((COUNTIF('Elève (6ème4)'!OZ9:PB9,"B"))*3)+((COUNTIF('Elève (6ème4)'!OZ9:PB9,"C"))*2)+((COUNTIF('Elève (6ème4)'!OZ9:PB9,"D"))*1))/(COUNTA(OZ9:PB9)),"")</f>
        <v/>
      </c>
      <c r="PD9" s="184" t="str">
        <f t="shared" si="97"/>
        <v/>
      </c>
      <c r="PE9" s="106"/>
      <c r="PF9" s="107" t="s">
        <v>24</v>
      </c>
      <c r="PG9" s="108"/>
      <c r="PH9" s="183">
        <f>IFERROR((((COUNTIF('Elève (6ème4)'!PE9:PG9,"A"))*4)+((COUNTIF('Elève (6ème4)'!PE9:PG9,"B"))*3)+((COUNTIF('Elève (6ème4)'!PE9:PG9,"C"))*2)+((COUNTIF('Elève (6ème4)'!PE9:PG9,"D"))*1))/(COUNTA(PE9:PG9)),"")</f>
        <v>3</v>
      </c>
      <c r="PI9" s="184" t="str">
        <f t="shared" si="98"/>
        <v>B</v>
      </c>
      <c r="PJ9" s="183">
        <f>IF(COUNT(OX9,PC9,PH9)=0,"",SUM(OX9,PC9,PH9)/COUNT(OX9,PC9,PH9))</f>
        <v>3</v>
      </c>
      <c r="PK9" s="209" t="str">
        <f t="shared" si="99"/>
        <v>B</v>
      </c>
      <c r="PL9" s="112"/>
      <c r="PM9" s="107"/>
      <c r="PN9" s="108"/>
      <c r="PO9" s="183" t="str">
        <f>IFERROR((((COUNTIF('Elève (6ème4)'!PL9:PN9,"A"))*4)+((COUNTIF('Elève (6ème4)'!PL9:PN9,"B"))*3)+((COUNTIF('Elève (6ème4)'!PL9:PN9,"C"))*2)+((COUNTIF('Elève (6ème4)'!PL9:PN9,"D"))*1))/(COUNTA(PL9:PN9)),"")</f>
        <v/>
      </c>
      <c r="PP9" s="187" t="str">
        <f t="shared" si="100"/>
        <v/>
      </c>
      <c r="PQ9" s="106"/>
      <c r="PR9" s="107"/>
      <c r="PS9" s="108"/>
      <c r="PT9" s="183" t="str">
        <f>IFERROR((((COUNTIF('Elève (6ème4)'!PQ9:PS9,"A"))*4)+((COUNTIF('Elève (6ème4)'!PQ9:PS9,"B"))*3)+((COUNTIF('Elève (6ème4)'!PQ9:PS9,"C"))*2)+((COUNTIF('Elève (6ème4)'!PQ9:PS9,"D"))*1))/(COUNTA(PQ9:PS9)),"")</f>
        <v/>
      </c>
      <c r="PU9" s="184" t="str">
        <f t="shared" si="101"/>
        <v/>
      </c>
      <c r="PV9" s="106"/>
      <c r="PW9" s="107"/>
      <c r="PX9" s="108"/>
      <c r="PY9" s="183" t="str">
        <f>IFERROR((((COUNTIF('Elève (6ème4)'!PV9:PX9,"A"))*4)+((COUNTIF('Elève (6ème4)'!PV9:PX9,"B"))*3)+((COUNTIF('Elève (6ème4)'!PV9:PX9,"C"))*2)+((COUNTIF('Elève (6ème4)'!PV9:PX9,"D"))*1))/(COUNTA(PV9:PX9)),"")</f>
        <v/>
      </c>
      <c r="PZ9" s="184" t="str">
        <f t="shared" si="102"/>
        <v/>
      </c>
      <c r="QA9" s="183" t="str">
        <f>IF(COUNT(PO9,PT9,PY9)=0,"",SUM(PO9,PT9,PY9)/COUNT(PO9,PT9,PY9))</f>
        <v/>
      </c>
      <c r="QB9" s="209" t="str">
        <f t="shared" si="103"/>
        <v/>
      </c>
      <c r="QC9" s="112"/>
      <c r="QD9" s="107"/>
      <c r="QE9" s="108" t="s">
        <v>24</v>
      </c>
      <c r="QF9" s="183">
        <f>IFERROR((((COUNTIF('Elève (6ème4)'!QC9:QE9,"A"))*4)+((COUNTIF('Elève (6ème4)'!QC9:QE9,"B"))*3)+((COUNTIF('Elève (6ème4)'!QC9:QE9,"C"))*2)+((COUNTIF('Elève (6ème4)'!QC9:QE9,"D"))*1))/(COUNTA(QC9:QE9)),"")</f>
        <v>3</v>
      </c>
      <c r="QG9" s="187" t="str">
        <f t="shared" si="104"/>
        <v>B</v>
      </c>
      <c r="QH9" s="106"/>
      <c r="QI9" s="107"/>
      <c r="QJ9" s="108"/>
      <c r="QK9" s="183" t="str">
        <f>IFERROR((((COUNTIF('Elève (6ème4)'!QH9:QJ9,"A"))*4)+((COUNTIF('Elève (6ème4)'!QH9:QJ9,"B"))*3)+((COUNTIF('Elève (6ème4)'!QH9:QJ9,"C"))*2)+((COUNTIF('Elève (6ème4)'!QH9:QJ9,"D"))*1))/(COUNTA(QH9:QJ9)),"")</f>
        <v/>
      </c>
      <c r="QL9" s="184" t="str">
        <f t="shared" si="105"/>
        <v/>
      </c>
      <c r="QM9" s="106"/>
      <c r="QN9" s="107" t="s">
        <v>24</v>
      </c>
      <c r="QO9" s="108"/>
      <c r="QP9" s="183">
        <f>IFERROR((((COUNTIF('Elève (6ème4)'!QM9:QO9,"A"))*4)+((COUNTIF('Elève (6ème4)'!QM9:QO9,"B"))*3)+((COUNTIF('Elève (6ème4)'!QM9:QO9,"C"))*2)+((COUNTIF('Elève (6ème4)'!QM9:QO9,"D"))*1))/(COUNTA(QM9:QO9)),"")</f>
        <v>3</v>
      </c>
      <c r="QQ9" s="184" t="str">
        <f t="shared" si="106"/>
        <v>B</v>
      </c>
      <c r="QR9" s="183">
        <f>IF(COUNT(QF9,QK9,QP9)=0,"",SUM(QF9,QK9,QP9)/COUNT(QF9,QK9,QP9))</f>
        <v>3</v>
      </c>
      <c r="QS9" s="209" t="str">
        <f t="shared" si="107"/>
        <v>B</v>
      </c>
      <c r="QT9" s="112"/>
      <c r="QU9" s="107"/>
      <c r="QV9" s="108" t="s">
        <v>24</v>
      </c>
      <c r="QW9" s="102">
        <f>IFERROR((((COUNTIF('Elève (6ème4)'!QT9:QV9,"A"))*4)+((COUNTIF('Elève (6ème4)'!QT9:QV9,"B"))*3)+((COUNTIF('Elève (6ème4)'!QT9:QV9,"C"))*2)+((COUNTIF('Elève (6ème4)'!QT9:QV9,"D"))*1))/(COUNTA(QT9:QV9)),"")</f>
        <v>3</v>
      </c>
      <c r="QX9" s="118" t="str">
        <f t="shared" si="108"/>
        <v>B</v>
      </c>
      <c r="QY9" s="106"/>
      <c r="QZ9" s="107"/>
      <c r="RA9" s="108"/>
      <c r="RB9" s="102" t="str">
        <f>IFERROR((((COUNTIF('Elève (6ème4)'!QY9:RA9,"A"))*4)+((COUNTIF('Elève (6ème4)'!QY9:RA9,"B"))*3)+((COUNTIF('Elève (6ème4)'!QY9:RA9,"C"))*2)+((COUNTIF('Elève (6ème4)'!QY9:RA9,"D"))*1))/(COUNTA(QY9:RA9)),"")</f>
        <v/>
      </c>
      <c r="RC9" s="103" t="str">
        <f t="shared" si="109"/>
        <v/>
      </c>
      <c r="RD9" s="106"/>
      <c r="RE9" s="107" t="s">
        <v>24</v>
      </c>
      <c r="RF9" s="108"/>
      <c r="RG9" s="102">
        <f>IFERROR((((COUNTIF('Elève (6ème4)'!RD9:RF9,"A"))*4)+((COUNTIF('Elève (6ème4)'!RD9:RF9,"B"))*3)+((COUNTIF('Elève (6ème4)'!RD9:RF9,"C"))*2)+((COUNTIF('Elève (6ème4)'!RD9:RF9,"D"))*1))/(COUNTA(RD9:RF9)),"")</f>
        <v>3</v>
      </c>
      <c r="RH9" s="103" t="str">
        <f t="shared" si="110"/>
        <v>B</v>
      </c>
      <c r="RI9" s="102">
        <f>IF(COUNT(QW9,RB9,RG9)=0,"",SUM(QW9,RB9,RG9)/COUNT(QW9,RB9,RG9))</f>
        <v>3</v>
      </c>
      <c r="RJ9" s="117" t="str">
        <f t="shared" si="111"/>
        <v>B</v>
      </c>
      <c r="RK9" s="112"/>
      <c r="RL9" s="107"/>
      <c r="RM9" s="108"/>
      <c r="RN9" s="102" t="str">
        <f>IFERROR((((COUNTIF('Elève (6ème4)'!RK9:RM9,"A"))*4)+((COUNTIF('Elève (6ème4)'!RK9:RM9,"B"))*3)+((COUNTIF('Elève (6ème4)'!RK9:RM9,"C"))*2)+((COUNTIF('Elève (6ème4)'!RK9:RM9,"D"))*1))/(COUNTA(RK9:RM9)),"")</f>
        <v/>
      </c>
      <c r="RO9" s="118" t="str">
        <f t="shared" si="112"/>
        <v/>
      </c>
      <c r="RP9" s="106"/>
      <c r="RQ9" s="107"/>
      <c r="RR9" s="108"/>
      <c r="RS9" s="102" t="str">
        <f>IFERROR((((COUNTIF('Elève (6ème4)'!RP9:RR9,"A"))*4)+((COUNTIF('Elève (6ème4)'!RP9:RR9,"B"))*3)+((COUNTIF('Elève (6ème4)'!RP9:RR9,"C"))*2)+((COUNTIF('Elève (6ème4)'!RP9:RR9,"D"))*1))/(COUNTA(RP9:RR9)),"")</f>
        <v/>
      </c>
      <c r="RT9" s="103" t="str">
        <f t="shared" si="113"/>
        <v/>
      </c>
      <c r="RU9" s="106"/>
      <c r="RV9" s="107"/>
      <c r="RW9" s="108"/>
      <c r="RX9" s="102" t="str">
        <f>IFERROR((((COUNTIF('Elève (6ème4)'!RU9:RW9,"A"))*4)+((COUNTIF('Elève (6ème4)'!RU9:RW9,"B"))*3)+((COUNTIF('Elève (6ème4)'!RU9:RW9,"C"))*2)+((COUNTIF('Elève (6ème4)'!RU9:RW9,"D"))*1))/(COUNTA(RU9:RW9)),"")</f>
        <v/>
      </c>
      <c r="RY9" s="103" t="str">
        <f t="shared" si="114"/>
        <v/>
      </c>
      <c r="RZ9" s="102" t="str">
        <f>IF(COUNT(RN9,RS9,RX9)=0,"",SUM(RN9,RS9,RX9)/COUNT(RN9,RS9,RX9))</f>
        <v/>
      </c>
      <c r="SA9" s="117" t="str">
        <f t="shared" si="115"/>
        <v/>
      </c>
      <c r="SB9" s="112"/>
      <c r="SC9" s="107"/>
      <c r="SD9" s="108"/>
      <c r="SE9" s="102" t="str">
        <f>IFERROR((((COUNTIF('Elève (6ème4)'!SB9:SD9,"A"))*4)+((COUNTIF('Elève (6ème4)'!SB9:SD9,"B"))*3)+((COUNTIF('Elève (6ème4)'!SB9:SD9,"C"))*2)+((COUNTIF('Elève (6ème4)'!SB9:SD9,"D"))*1))/(COUNTA(SB9:SD9)),"")</f>
        <v/>
      </c>
      <c r="SF9" s="118" t="str">
        <f t="shared" si="116"/>
        <v/>
      </c>
      <c r="SG9" s="106"/>
      <c r="SH9" s="107"/>
      <c r="SI9" s="108"/>
      <c r="SJ9" s="102" t="str">
        <f>IFERROR((((COUNTIF('Elève (6ème4)'!SG9:SI9,"A"))*4)+((COUNTIF('Elève (6ème4)'!SG9:SI9,"B"))*3)+((COUNTIF('Elève (6ème4)'!SG9:SI9,"C"))*2)+((COUNTIF('Elève (6ème4)'!SG9:SI9,"D"))*1))/(COUNTA(SG9:SI9)),"")</f>
        <v/>
      </c>
      <c r="SK9" s="103" t="str">
        <f t="shared" si="117"/>
        <v/>
      </c>
      <c r="SL9" s="106"/>
      <c r="SM9" s="107"/>
      <c r="SN9" s="108"/>
      <c r="SO9" s="102" t="str">
        <f>IFERROR((((COUNTIF('Elève (6ème4)'!SL9:SN9,"A"))*4)+((COUNTIF('Elève (6ème4)'!SL9:SN9,"B"))*3)+((COUNTIF('Elève (6ème4)'!SL9:SN9,"C"))*2)+((COUNTIF('Elève (6ème4)'!SL9:SN9,"D"))*1))/(COUNTA(SL9:SN9)),"")</f>
        <v/>
      </c>
      <c r="SP9" s="103" t="str">
        <f t="shared" si="118"/>
        <v/>
      </c>
      <c r="SQ9" s="102" t="str">
        <f>IF(COUNT(SE9,SJ9,SO9)=0,"",SUM(SE9,SJ9,SO9)/COUNT(SE9,SJ9,SO9))</f>
        <v/>
      </c>
      <c r="SR9" s="117" t="str">
        <f t="shared" si="119"/>
        <v/>
      </c>
      <c r="SS9" s="112"/>
      <c r="ST9" s="107"/>
      <c r="SU9" s="108"/>
      <c r="SV9" s="102" t="str">
        <f>IFERROR((((COUNTIF('Elève (6ème4)'!SS9:SU9,"A"))*4)+((COUNTIF('Elève (6ème4)'!SS9:SU9,"B"))*3)+((COUNTIF('Elève (6ème4)'!SS9:SU9,"C"))*2)+((COUNTIF('Elève (6ème4)'!SS9:SU9,"D"))*1))/(COUNTA(SS9:SU9)),"")</f>
        <v/>
      </c>
      <c r="SW9" s="118" t="str">
        <f t="shared" si="120"/>
        <v/>
      </c>
      <c r="SX9" s="106"/>
      <c r="SY9" s="107"/>
      <c r="SZ9" s="108"/>
      <c r="TA9" s="102" t="str">
        <f>IFERROR((((COUNTIF('Elève (6ème4)'!SX9:SZ9,"A"))*4)+((COUNTIF('Elève (6ème4)'!SX9:SZ9,"B"))*3)+((COUNTIF('Elève (6ème4)'!SX9:SZ9,"C"))*2)+((COUNTIF('Elève (6ème4)'!SX9:SZ9,"D"))*1))/(COUNTA(SX9:SZ9)),"")</f>
        <v/>
      </c>
      <c r="TB9" s="103" t="str">
        <f t="shared" si="121"/>
        <v/>
      </c>
      <c r="TC9" s="106"/>
      <c r="TD9" s="107"/>
      <c r="TE9" s="108"/>
      <c r="TF9" s="102" t="str">
        <f>IFERROR((((COUNTIF('Elève (6ème4)'!TC9:TE9,"A"))*4)+((COUNTIF('Elève (6ème4)'!TC9:TE9,"B"))*3)+((COUNTIF('Elève (6ème4)'!TC9:TE9,"C"))*2)+((COUNTIF('Elève (6ème4)'!TC9:TE9,"D"))*1))/(COUNTA(TC9:TE9)),"")</f>
        <v/>
      </c>
      <c r="TG9" s="103" t="str">
        <f t="shared" si="122"/>
        <v/>
      </c>
      <c r="TH9" s="102" t="str">
        <f>IF(COUNT(SV9,TA9,TF9)=0,"",SUM(SV9,TA9,TF9)/COUNT(SV9,TA9,TF9))</f>
        <v/>
      </c>
      <c r="TI9" s="117" t="str">
        <f t="shared" si="123"/>
        <v/>
      </c>
      <c r="TJ9" s="112"/>
      <c r="TK9" s="107"/>
      <c r="TL9" s="108"/>
      <c r="TM9" s="102" t="str">
        <f>IFERROR((((COUNTIF('Elève (6ème4)'!TJ9:TL9,"A"))*4)+((COUNTIF('Elève (6ème4)'!TJ9:TL9,"B"))*3)+((COUNTIF('Elève (6ème4)'!TJ9:TL9,"C"))*2)+((COUNTIF('Elève (6ème4)'!TJ9:TL9,"D"))*1))/(COUNTA(TJ9:TL9)),"")</f>
        <v/>
      </c>
      <c r="TN9" s="118" t="str">
        <f t="shared" si="124"/>
        <v/>
      </c>
      <c r="TO9" s="106"/>
      <c r="TP9" s="107"/>
      <c r="TQ9" s="108"/>
      <c r="TR9" s="102" t="str">
        <f>IFERROR((((COUNTIF('Elève (6ème4)'!TO9:TQ9,"A"))*4)+((COUNTIF('Elève (6ème4)'!TO9:TQ9,"B"))*3)+((COUNTIF('Elève (6ème4)'!TO9:TQ9,"C"))*2)+((COUNTIF('Elève (6ème4)'!TO9:TQ9,"D"))*1))/(COUNTA(TO9:TQ9)),"")</f>
        <v/>
      </c>
      <c r="TS9" s="103" t="str">
        <f t="shared" si="125"/>
        <v/>
      </c>
      <c r="TT9" s="106"/>
      <c r="TU9" s="107"/>
      <c r="TV9" s="108"/>
      <c r="TW9" s="102" t="str">
        <f>IFERROR((((COUNTIF('Elève (6ème4)'!TT9:TV9,"A"))*4)+((COUNTIF('Elève (6ème4)'!TT9:TV9,"B"))*3)+((COUNTIF('Elève (6ème4)'!TT9:TV9,"C"))*2)+((COUNTIF('Elève (6ème4)'!TT9:TV9,"D"))*1))/(COUNTA(TT9:TV9)),"")</f>
        <v/>
      </c>
      <c r="TX9" s="103" t="str">
        <f t="shared" si="126"/>
        <v/>
      </c>
      <c r="TY9" s="102" t="str">
        <f>IF(COUNT(TM9,TR9,TW9)=0,"",SUM(TM9,TR9,TW9)/COUNT(TM9,TR9,TW9))</f>
        <v/>
      </c>
      <c r="TZ9" s="117" t="str">
        <f t="shared" si="127"/>
        <v/>
      </c>
    </row>
    <row r="10" spans="1:546" x14ac:dyDescent="0.25">
      <c r="A10" s="163" t="s">
        <v>37</v>
      </c>
      <c r="B10" s="119"/>
      <c r="C10" s="172"/>
      <c r="D10" s="107"/>
      <c r="E10" s="108"/>
      <c r="F10" s="183" t="str">
        <f>IFERROR((((COUNTIF('Elève (6ème4)'!C10:E10,"A"))*4)+((COUNTIF('Elève (6ème4)'!C10:E10,"B"))*3)+((COUNTIF('Elève (6ème4)'!C10:E10,"C"))*2)+((COUNTIF('Elève (6ème4)'!C10:E10,"D"))*1))/(COUNTA(C10:E10)),"")</f>
        <v/>
      </c>
      <c r="G10" s="187" t="str">
        <f t="shared" si="0"/>
        <v/>
      </c>
      <c r="H10" s="172"/>
      <c r="I10" s="107"/>
      <c r="J10" s="108"/>
      <c r="K10" s="183" t="str">
        <f>IFERROR((((COUNTIF('Elève (6ème4)'!H10:J10,"A"))*4)+((COUNTIF('Elève (6ème4)'!H10:J10,"B"))*3)+((COUNTIF('Elève (6ème4)'!H10:J10,"C"))*2)+((COUNTIF('Elève (6ème4)'!H10:J10,"D"))*1))/(COUNTA(H10:J10)),"")</f>
        <v/>
      </c>
      <c r="L10" s="184" t="str">
        <f t="shared" si="1"/>
        <v/>
      </c>
      <c r="M10" s="172"/>
      <c r="N10" s="107"/>
      <c r="O10" s="108" t="s">
        <v>24</v>
      </c>
      <c r="P10" s="183">
        <f>IFERROR((((COUNTIF('Elève (6ème4)'!M10:O10,"A"))*4)+((COUNTIF('Elève (6ème4)'!M10:O10,"B"))*3)+((COUNTIF('Elève (6ème4)'!M10:O10,"C"))*2)+((COUNTIF('Elève (6ème4)'!M10:O10,"D"))*1))/(COUNTA(M10:O10)),"")</f>
        <v>3</v>
      </c>
      <c r="Q10" s="184" t="str">
        <f t="shared" si="2"/>
        <v>B</v>
      </c>
      <c r="R10" s="183">
        <f>IF(COUNT(F10,K10,P10)=0,"",SUM(F10,K10,P10)/COUNT(F10,K10,P10))</f>
        <v>3</v>
      </c>
      <c r="S10" s="209" t="str">
        <f t="shared" si="3"/>
        <v>B</v>
      </c>
      <c r="T10" s="217"/>
      <c r="U10" s="107"/>
      <c r="V10" s="108"/>
      <c r="W10" s="183" t="str">
        <f>IFERROR((((COUNTIF('Elève (6ème4)'!T10:V10,"A"))*4)+((COUNTIF('Elève (6ème4)'!T10:V10,"B"))*3)+((COUNTIF('Elève (6ème4)'!T10:V10,"C"))*2)+((COUNTIF('Elève (6ème4)'!T10:V10,"D"))*1))/(COUNTA(T10:V10)),"")</f>
        <v/>
      </c>
      <c r="X10" s="187" t="str">
        <f t="shared" si="4"/>
        <v/>
      </c>
      <c r="Y10" s="172"/>
      <c r="Z10" s="107"/>
      <c r="AA10" s="108"/>
      <c r="AB10" s="183" t="str">
        <f>IFERROR((((COUNTIF('Elève (6ème4)'!Y10:AA10,"A"))*4)+((COUNTIF('Elève (6ème4)'!Y10:AA10,"B"))*3)+((COUNTIF('Elève (6ème4)'!Y10:AA10,"C"))*2)+((COUNTIF('Elève (6ème4)'!Y10:AA10,"D"))*1))/(COUNTA(Y10:AA10)),"")</f>
        <v/>
      </c>
      <c r="AC10" s="184" t="str">
        <f t="shared" si="5"/>
        <v/>
      </c>
      <c r="AD10" s="172"/>
      <c r="AE10" s="107"/>
      <c r="AF10" s="108" t="s">
        <v>23</v>
      </c>
      <c r="AG10" s="183">
        <f>IFERROR((((COUNTIF('Elève (6ème4)'!AD10:AF10,"A"))*4)+((COUNTIF('Elève (6ème4)'!AD10:AF10,"B"))*3)+((COUNTIF('Elève (6ème4)'!AD10:AF10,"C"))*2)+((COUNTIF('Elève (6ème4)'!AD10:AF10,"D"))*1))/(COUNTA(AD10:AF10)),"")</f>
        <v>4</v>
      </c>
      <c r="AH10" s="184" t="str">
        <f t="shared" si="6"/>
        <v>A</v>
      </c>
      <c r="AI10" s="183">
        <f>IF(COUNT(W10,AB10,AG10)=0,"",SUM(W10,AB10,AG10)/COUNT(W10,AB10,AG10))</f>
        <v>4</v>
      </c>
      <c r="AJ10" s="209" t="str">
        <f t="shared" si="7"/>
        <v>A</v>
      </c>
      <c r="AK10" s="217"/>
      <c r="AL10" s="107"/>
      <c r="AM10" s="108"/>
      <c r="AN10" s="183" t="str">
        <f>IFERROR((((COUNTIF('Elève (6ème4)'!AK10:AM10,"A"))*4)+((COUNTIF('Elève (6ème4)'!AK10:AM10,"B"))*3)+((COUNTIF('Elève (6ème4)'!AK10:AM10,"C"))*2)+((COUNTIF('Elève (6ème4)'!AK10:AM10,"D"))*1))/(COUNTA(AK10:AM10)),"")</f>
        <v/>
      </c>
      <c r="AO10" s="187" t="str">
        <f t="shared" si="8"/>
        <v/>
      </c>
      <c r="AP10" s="172"/>
      <c r="AQ10" s="107"/>
      <c r="AR10" s="108"/>
      <c r="AS10" s="183" t="str">
        <f>IFERROR((((COUNTIF('Elève (6ème4)'!AP10:AR10,"A"))*4)+((COUNTIF('Elève (6ème4)'!AP10:AR10,"B"))*3)+((COUNTIF('Elève (6ème4)'!AP10:AR10,"C"))*2)+((COUNTIF('Elève (6ème4)'!AP10:AR10,"D"))*1))/(COUNTA(AP10:AR10)),"")</f>
        <v/>
      </c>
      <c r="AT10" s="184" t="str">
        <f t="shared" si="9"/>
        <v/>
      </c>
      <c r="AU10" s="172"/>
      <c r="AV10" s="107"/>
      <c r="AW10" s="108" t="s">
        <v>24</v>
      </c>
      <c r="AX10" s="183">
        <f>IFERROR((((COUNTIF('Elève (6ème4)'!AU10:AW10,"A"))*4)+((COUNTIF('Elève (6ème4)'!AU10:AW10,"B"))*3)+((COUNTIF('Elève (6ème4)'!AU10:AW10,"C"))*2)+((COUNTIF('Elève (6ème4)'!AU10:AW10,"D"))*1))/(COUNTA(AU10:AW10)),"")</f>
        <v>3</v>
      </c>
      <c r="AY10" s="184" t="str">
        <f t="shared" si="10"/>
        <v>B</v>
      </c>
      <c r="AZ10" s="183">
        <f>IF(COUNT(AN10,AS10,AX10)=0,"",SUM(AN10,AS10,AX10)/COUNT(AN10,AS10,AX10))</f>
        <v>3</v>
      </c>
      <c r="BA10" s="209" t="str">
        <f t="shared" si="11"/>
        <v>B</v>
      </c>
      <c r="BB10" s="217"/>
      <c r="BC10" s="107"/>
      <c r="BD10" s="108"/>
      <c r="BE10" s="183" t="str">
        <f>IFERROR((((COUNTIF('Elève (6ème4)'!BB10:BD10,"A"))*4)+((COUNTIF('Elève (6ème4)'!BB10:BD10,"B"))*3)+((COUNTIF('Elève (6ème4)'!BB10:BD10,"C"))*2)+((COUNTIF('Elève (6ème4)'!BB10:BD10,"D"))*1))/(COUNTA(BB10:BD10)),"")</f>
        <v/>
      </c>
      <c r="BF10" s="187" t="str">
        <f t="shared" si="12"/>
        <v/>
      </c>
      <c r="BG10" s="172"/>
      <c r="BH10" s="107"/>
      <c r="BI10" s="108"/>
      <c r="BJ10" s="183" t="str">
        <f>IFERROR((((COUNTIF('Elève (6ème4)'!BG10:BI10,"A"))*4)+((COUNTIF('Elève (6ème4)'!BG10:BI10,"B"))*3)+((COUNTIF('Elève (6ème4)'!BG10:BI10,"C"))*2)+((COUNTIF('Elève (6ème4)'!BG10:BI10,"D"))*1))/(COUNTA(BG10:BI10)),"")</f>
        <v/>
      </c>
      <c r="BK10" s="184" t="str">
        <f t="shared" si="13"/>
        <v/>
      </c>
      <c r="BL10" s="172"/>
      <c r="BM10" s="107"/>
      <c r="BN10" s="108"/>
      <c r="BO10" s="183" t="str">
        <f>IFERROR((((COUNTIF('Elève (6ème4)'!BL10:BN10,"A"))*4)+((COUNTIF('Elève (6ème4)'!BL10:BN10,"B"))*3)+((COUNTIF('Elève (6ème4)'!BL10:BN10,"C"))*2)+((COUNTIF('Elève (6ème4)'!BL10:BN10,"D"))*1))/(COUNTA(BL10:BN10)),"")</f>
        <v/>
      </c>
      <c r="BP10" s="184" t="str">
        <f t="shared" si="14"/>
        <v/>
      </c>
      <c r="BQ10" s="183" t="str">
        <f>IF(COUNT(BE10,BJ10,BO10)=0,"",SUM(BE10,BJ10,BO10)/COUNT(BE10,BJ10,BO10))</f>
        <v/>
      </c>
      <c r="BR10" s="209" t="str">
        <f t="shared" si="15"/>
        <v/>
      </c>
      <c r="BS10" s="217"/>
      <c r="BT10" s="107"/>
      <c r="BU10" s="108"/>
      <c r="BV10" s="183" t="str">
        <f>IFERROR((((COUNTIF('Elève (6ème4)'!BS10:BU10,"A"))*4)+((COUNTIF('Elève (6ème4)'!BS10:BU10,"B"))*3)+((COUNTIF('Elève (6ème4)'!BS10:BU10,"C"))*2)+((COUNTIF('Elève (6ème4)'!BS10:BU10,"D"))*1))/(COUNTA(BS10:BU10)),"")</f>
        <v/>
      </c>
      <c r="BW10" s="187" t="str">
        <f t="shared" si="16"/>
        <v/>
      </c>
      <c r="BX10" s="172"/>
      <c r="BY10" s="107"/>
      <c r="BZ10" s="108"/>
      <c r="CA10" s="183" t="str">
        <f>IFERROR((((COUNTIF('Elève (6ème4)'!BX10:BZ10,"A"))*4)+((COUNTIF('Elève (6ème4)'!BX10:BZ10,"B"))*3)+((COUNTIF('Elève (6ème4)'!BX10:BZ10,"C"))*2)+((COUNTIF('Elève (6ème4)'!BX10:BZ10,"D"))*1))/(COUNTA(BX10:BZ10)),"")</f>
        <v/>
      </c>
      <c r="CB10" s="184" t="str">
        <f t="shared" si="17"/>
        <v/>
      </c>
      <c r="CC10" s="172"/>
      <c r="CD10" s="107"/>
      <c r="CE10" s="108" t="s">
        <v>24</v>
      </c>
      <c r="CF10" s="183">
        <f>IFERROR((((COUNTIF('Elève (6ème4)'!CC10:CE10,"A"))*4)+((COUNTIF('Elève (6ème4)'!CC10:CE10,"B"))*3)+((COUNTIF('Elève (6ème4)'!CC10:CE10,"C"))*2)+((COUNTIF('Elève (6ème4)'!CC10:CE10,"D"))*1))/(COUNTA(CC10:CE10)),"")</f>
        <v>3</v>
      </c>
      <c r="CG10" s="184" t="str">
        <f t="shared" si="18"/>
        <v>B</v>
      </c>
      <c r="CH10" s="183">
        <f>IF(COUNT(BV10,CA10,CF10)=0,"",SUM(BV10,CA10,CF10)/COUNT(BV10,CA10,CF10))</f>
        <v>3</v>
      </c>
      <c r="CI10" s="209" t="str">
        <f t="shared" si="19"/>
        <v>B</v>
      </c>
      <c r="CJ10" s="217"/>
      <c r="CK10" s="107"/>
      <c r="CL10" s="108"/>
      <c r="CM10" s="183" t="str">
        <f>IFERROR((((COUNTIF('Elève (6ème4)'!CJ10:CL10,"A"))*4)+((COUNTIF('Elève (6ème4)'!CJ10:CL10,"B"))*3)+((COUNTIF('Elève (6ème4)'!CJ10:CL10,"C"))*2)+((COUNTIF('Elève (6ème4)'!CJ10:CL10,"D"))*1))/(COUNTA(CJ10:CL10)),"")</f>
        <v/>
      </c>
      <c r="CN10" s="187" t="str">
        <f t="shared" si="20"/>
        <v/>
      </c>
      <c r="CO10" s="172"/>
      <c r="CP10" s="107"/>
      <c r="CQ10" s="108"/>
      <c r="CR10" s="183" t="str">
        <f>IFERROR((((COUNTIF('Elève (6ème4)'!CO10:CQ10,"A"))*4)+((COUNTIF('Elève (6ème4)'!CO10:CQ10,"B"))*3)+((COUNTIF('Elève (6ème4)'!CO10:CQ10,"C"))*2)+((COUNTIF('Elève (6ème4)'!CO10:CQ10,"D"))*1))/(COUNTA(CO10:CQ10)),"")</f>
        <v/>
      </c>
      <c r="CS10" s="184" t="str">
        <f t="shared" si="21"/>
        <v/>
      </c>
      <c r="CT10" s="172"/>
      <c r="CU10" s="107"/>
      <c r="CV10" s="108" t="s">
        <v>24</v>
      </c>
      <c r="CW10" s="183">
        <f>IFERROR((((COUNTIF('Elève (6ème4)'!CT10:CV10,"A"))*4)+((COUNTIF('Elève (6ème4)'!CT10:CV10,"B"))*3)+((COUNTIF('Elève (6ème4)'!CT10:CV10,"C"))*2)+((COUNTIF('Elève (6ème4)'!CT10:CV10,"D"))*1))/(COUNTA(CT10:CV10)),"")</f>
        <v>3</v>
      </c>
      <c r="CX10" s="184" t="str">
        <f t="shared" si="22"/>
        <v>B</v>
      </c>
      <c r="CY10" s="183">
        <f>IF(COUNT(CM10,CR10,CW10)=0,"",SUM(CM10,CR10,CW10)/COUNT(CM10,CR10,CW10))</f>
        <v>3</v>
      </c>
      <c r="CZ10" s="209" t="str">
        <f t="shared" si="23"/>
        <v>B</v>
      </c>
      <c r="DA10" s="217"/>
      <c r="DB10" s="107"/>
      <c r="DC10" s="108"/>
      <c r="DD10" s="183" t="str">
        <f>IFERROR((((COUNTIF('Elève (6ème4)'!DA10:DC10,"A"))*4)+((COUNTIF('Elève (6ème4)'!DA10:DC10,"B"))*3)+((COUNTIF('Elève (6ème4)'!DA10:DC10,"C"))*2)+((COUNTIF('Elève (6ème4)'!DA10:DC10,"D"))*1))/(COUNTA(DA10:DC10)),"")</f>
        <v/>
      </c>
      <c r="DE10" s="187" t="str">
        <f t="shared" si="24"/>
        <v/>
      </c>
      <c r="DF10" s="172"/>
      <c r="DG10" s="107"/>
      <c r="DH10" s="108"/>
      <c r="DI10" s="183" t="str">
        <f>IFERROR((((COUNTIF('Elève (6ème4)'!DF10:DH10,"A"))*4)+((COUNTIF('Elève (6ème4)'!DF10:DH10,"B"))*3)+((COUNTIF('Elève (6ème4)'!DF10:DH10,"C"))*2)+((COUNTIF('Elève (6ème4)'!DF10:DH10,"D"))*1))/(COUNTA(DF10:DH10)),"")</f>
        <v/>
      </c>
      <c r="DJ10" s="184" t="str">
        <f t="shared" si="25"/>
        <v/>
      </c>
      <c r="DK10" s="172"/>
      <c r="DL10" s="107"/>
      <c r="DM10" s="108" t="s">
        <v>24</v>
      </c>
      <c r="DN10" s="183">
        <f>IFERROR((((COUNTIF('Elève (6ème4)'!DK10:DM10,"A"))*4)+((COUNTIF('Elève (6ème4)'!DK10:DM10,"B"))*3)+((COUNTIF('Elève (6ème4)'!DK10:DM10,"C"))*2)+((COUNTIF('Elève (6ème4)'!DK10:DM10,"D"))*1))/(COUNTA(DK10:DM10)),"")</f>
        <v>3</v>
      </c>
      <c r="DO10" s="184" t="str">
        <f t="shared" si="26"/>
        <v>B</v>
      </c>
      <c r="DP10" s="183">
        <f>IF(COUNT(DD10,DI10,DN10)=0,"",SUM(DD10,DI10,DN10)/COUNT(DD10,DI10,DN10))</f>
        <v>3</v>
      </c>
      <c r="DQ10" s="209" t="str">
        <f t="shared" si="27"/>
        <v>B</v>
      </c>
      <c r="DR10" s="217"/>
      <c r="DS10" s="107"/>
      <c r="DT10" s="108"/>
      <c r="DU10" s="183" t="str">
        <f>IFERROR((((COUNTIF('Elève (6ème4)'!DR10:DT10,"A"))*4)+((COUNTIF('Elève (6ème4)'!DR10:DT10,"B"))*3)+((COUNTIF('Elève (6ème4)'!DR10:DT10,"C"))*2)+((COUNTIF('Elève (6ème4)'!DR10:DT10,"D"))*1))/(COUNTA(DR10:DT10)),"")</f>
        <v/>
      </c>
      <c r="DV10" s="187" t="str">
        <f t="shared" si="28"/>
        <v/>
      </c>
      <c r="DW10" s="172"/>
      <c r="DX10" s="107"/>
      <c r="DY10" s="108"/>
      <c r="DZ10" s="183" t="str">
        <f>IFERROR((((COUNTIF('Elève (6ème4)'!DW10:DY10,"A"))*4)+((COUNTIF('Elève (6ème4)'!DW10:DY10,"B"))*3)+((COUNTIF('Elève (6ème4)'!DW10:DY10,"C"))*2)+((COUNTIF('Elève (6ème4)'!DW10:DY10,"D"))*1))/(COUNTA(DW10:DY10)),"")</f>
        <v/>
      </c>
      <c r="EA10" s="184" t="str">
        <f t="shared" si="29"/>
        <v/>
      </c>
      <c r="EB10" s="172"/>
      <c r="EC10" s="107"/>
      <c r="ED10" s="108" t="s">
        <v>25</v>
      </c>
      <c r="EE10" s="183">
        <f>IFERROR((((COUNTIF('Elève (6ème4)'!EB10:ED10,"A"))*4)+((COUNTIF('Elève (6ème4)'!EB10:ED10,"B"))*3)+((COUNTIF('Elève (6ème4)'!EB10:ED10,"C"))*2)+((COUNTIF('Elève (6ème4)'!EB10:ED10,"D"))*1))/(COUNTA(EB10:ED10)),"")</f>
        <v>2</v>
      </c>
      <c r="EF10" s="184" t="str">
        <f t="shared" si="30"/>
        <v>C</v>
      </c>
      <c r="EG10" s="183">
        <f>IF(COUNT(DU10,DZ10,EE10)=0,"",SUM(DU10,DZ10,EE10)/COUNT(DU10,DZ10,EE10))</f>
        <v>2</v>
      </c>
      <c r="EH10" s="209" t="str">
        <f t="shared" si="31"/>
        <v>C</v>
      </c>
      <c r="EI10" s="217"/>
      <c r="EJ10" s="107"/>
      <c r="EK10" s="108"/>
      <c r="EL10" s="183" t="str">
        <f>IFERROR((((COUNTIF('Elève (6ème4)'!EI10:EK10,"A"))*4)+((COUNTIF('Elève (6ème4)'!EI10:EK10,"B"))*3)+((COUNTIF('Elève (6ème4)'!EI10:EK10,"C"))*2)+((COUNTIF('Elève (6ème4)'!EI10:EK10,"D"))*1))/(COUNTA(EI10:EK10)),"")</f>
        <v/>
      </c>
      <c r="EM10" s="187" t="str">
        <f t="shared" si="32"/>
        <v/>
      </c>
      <c r="EN10" s="172"/>
      <c r="EO10" s="107"/>
      <c r="EP10" s="108"/>
      <c r="EQ10" s="183" t="str">
        <f>IFERROR((((COUNTIF('Elève (6ème4)'!EN10:EP10,"A"))*4)+((COUNTIF('Elève (6ème4)'!EN10:EP10,"B"))*3)+((COUNTIF('Elève (6ème4)'!EN10:EP10,"C"))*2)+((COUNTIF('Elève (6ème4)'!EN10:EP10,"D"))*1))/(COUNTA(EN10:EP10)),"")</f>
        <v/>
      </c>
      <c r="ER10" s="184" t="str">
        <f t="shared" si="33"/>
        <v/>
      </c>
      <c r="ES10" s="172"/>
      <c r="ET10" s="107"/>
      <c r="EU10" s="108" t="s">
        <v>24</v>
      </c>
      <c r="EV10" s="183">
        <f>IFERROR((((COUNTIF('Elève (6ème4)'!ES10:EU10,"A"))*4)+((COUNTIF('Elève (6ème4)'!ES10:EU10,"B"))*3)+((COUNTIF('Elève (6ème4)'!ES10:EU10,"C"))*2)+((COUNTIF('Elève (6ème4)'!ES10:EU10,"D"))*1))/(COUNTA(ES10:EU10)),"")</f>
        <v>3</v>
      </c>
      <c r="EW10" s="184" t="str">
        <f t="shared" si="34"/>
        <v>B</v>
      </c>
      <c r="EX10" s="183">
        <f>IF(COUNT(EL10,EQ10,EV10)=0,"",SUM(EL10,EQ10,EV10)/COUNT(EL10,EQ10,EV10))</f>
        <v>3</v>
      </c>
      <c r="EY10" s="209" t="str">
        <f t="shared" si="35"/>
        <v>B</v>
      </c>
      <c r="EZ10" s="217"/>
      <c r="FA10" s="107"/>
      <c r="FB10" s="108"/>
      <c r="FC10" s="183" t="str">
        <f>IFERROR((((COUNTIF('Elève (6ème4)'!EZ10:FB10,"A"))*4)+((COUNTIF('Elève (6ème4)'!EZ10:FB10,"B"))*3)+((COUNTIF('Elève (6ème4)'!EZ10:FB10,"C"))*2)+((COUNTIF('Elève (6ème4)'!EZ10:FB10,"D"))*1))/(COUNTA(EZ10:FB10)),"")</f>
        <v/>
      </c>
      <c r="FD10" s="187" t="str">
        <f t="shared" si="36"/>
        <v/>
      </c>
      <c r="FE10" s="172"/>
      <c r="FF10" s="107"/>
      <c r="FG10" s="108"/>
      <c r="FH10" s="183" t="str">
        <f>IFERROR((((COUNTIF('Elève (6ème4)'!FE10:FG10,"A"))*4)+((COUNTIF('Elève (6ème4)'!FE10:FG10,"B"))*3)+((COUNTIF('Elève (6ème4)'!FE10:FG10,"C"))*2)+((COUNTIF('Elève (6ème4)'!FE10:FG10,"D"))*1))/(COUNTA(FE10:FG10)),"")</f>
        <v/>
      </c>
      <c r="FI10" s="184" t="str">
        <f t="shared" si="37"/>
        <v/>
      </c>
      <c r="FJ10" s="172"/>
      <c r="FK10" s="107"/>
      <c r="FL10" s="108" t="s">
        <v>24</v>
      </c>
      <c r="FM10" s="183">
        <f>IFERROR((((COUNTIF('Elève (6ème4)'!FJ10:FL10,"A"))*4)+((COUNTIF('Elève (6ème4)'!FJ10:FL10,"B"))*3)+((COUNTIF('Elève (6ème4)'!FJ10:FL10,"C"))*2)+((COUNTIF('Elève (6ème4)'!FJ10:FL10,"D"))*1))/(COUNTA(FJ10:FL10)),"")</f>
        <v>3</v>
      </c>
      <c r="FN10" s="184" t="str">
        <f t="shared" si="38"/>
        <v>B</v>
      </c>
      <c r="FO10" s="183">
        <f>IF(COUNT(FC10,FH10,FM10)=0,"",SUM(FC10,FH10,FM10)/COUNT(FC10,FH10,FM10))</f>
        <v>3</v>
      </c>
      <c r="FP10" s="209" t="str">
        <f t="shared" si="39"/>
        <v>B</v>
      </c>
      <c r="FQ10" s="217"/>
      <c r="FR10" s="107"/>
      <c r="FS10" s="108"/>
      <c r="FT10" s="183" t="str">
        <f>IFERROR((((COUNTIF('Elève (6ème4)'!FQ10:FS10,"A"))*4)+((COUNTIF('Elève (6ème4)'!FQ10:FS10,"B"))*3)+((COUNTIF('Elève (6ème4)'!FQ10:FS10,"C"))*2)+((COUNTIF('Elève (6ème4)'!FQ10:FS10,"D"))*1))/(COUNTA(FQ10:FS10)),"")</f>
        <v/>
      </c>
      <c r="FU10" s="187" t="str">
        <f t="shared" si="40"/>
        <v/>
      </c>
      <c r="FV10" s="172"/>
      <c r="FW10" s="107"/>
      <c r="FX10" s="108"/>
      <c r="FY10" s="183" t="str">
        <f>IFERROR((((COUNTIF('Elève (6ème4)'!FV10:FX10,"A"))*4)+((COUNTIF('Elève (6ème4)'!FV10:FX10,"B"))*3)+((COUNTIF('Elève (6ème4)'!FV10:FX10,"C"))*2)+((COUNTIF('Elève (6ème4)'!FV10:FX10,"D"))*1))/(COUNTA(FV10:FX10)),"")</f>
        <v/>
      </c>
      <c r="FZ10" s="184" t="str">
        <f t="shared" si="41"/>
        <v/>
      </c>
      <c r="GA10" s="172"/>
      <c r="GB10" s="107"/>
      <c r="GC10" s="108" t="s">
        <v>24</v>
      </c>
      <c r="GD10" s="183">
        <f>IFERROR((((COUNTIF('Elève (6ème4)'!GA10:GC10,"A"))*4)+((COUNTIF('Elève (6ème4)'!GA10:GC10,"B"))*3)+((COUNTIF('Elève (6ème4)'!GA10:GC10,"C"))*2)+((COUNTIF('Elève (6ème4)'!GA10:GC10,"D"))*1))/(COUNTA(GA10:GC10)),"")</f>
        <v>3</v>
      </c>
      <c r="GE10" s="184" t="str">
        <f t="shared" si="42"/>
        <v>B</v>
      </c>
      <c r="GF10" s="183">
        <f>IF(COUNT(FT10,FY10,GD10)=0,"",SUM(FT10,FY10,GD10)/COUNT(FT10,FY10,GD10))</f>
        <v>3</v>
      </c>
      <c r="GG10" s="209" t="str">
        <f t="shared" si="43"/>
        <v>B</v>
      </c>
      <c r="GH10" s="217"/>
      <c r="GI10" s="107"/>
      <c r="GJ10" s="108"/>
      <c r="GK10" s="183" t="str">
        <f>IFERROR((((COUNTIF('Elève (6ème4)'!GH10:GJ10,"A"))*4)+((COUNTIF('Elève (6ème4)'!GH10:GJ10,"B"))*3)+((COUNTIF('Elève (6ème4)'!GH10:GJ10,"C"))*2)+((COUNTIF('Elève (6ème4)'!GH10:GJ10,"D"))*1))/(COUNTA(GH10:GJ10)),"")</f>
        <v/>
      </c>
      <c r="GL10" s="187" t="str">
        <f t="shared" si="44"/>
        <v/>
      </c>
      <c r="GM10" s="172"/>
      <c r="GN10" s="107"/>
      <c r="GO10" s="108"/>
      <c r="GP10" s="183" t="str">
        <f>IFERROR((((COUNTIF('Elève (6ème4)'!GM10:GO10,"A"))*4)+((COUNTIF('Elève (6ème4)'!GM10:GO10,"B"))*3)+((COUNTIF('Elève (6ème4)'!GM10:GO10,"C"))*2)+((COUNTIF('Elève (6ème4)'!GM10:GO10,"D"))*1))/(COUNTA(GM10:GO10)),"")</f>
        <v/>
      </c>
      <c r="GQ10" s="184" t="str">
        <f t="shared" si="45"/>
        <v/>
      </c>
      <c r="GR10" s="172"/>
      <c r="GS10" s="107"/>
      <c r="GT10" s="108" t="s">
        <v>24</v>
      </c>
      <c r="GU10" s="183">
        <f>IFERROR((((COUNTIF('Elève (6ème4)'!GR10:GT10,"A"))*4)+((COUNTIF('Elève (6ème4)'!GR10:GT10,"B"))*3)+((COUNTIF('Elève (6ème4)'!GR10:GT10,"C"))*2)+((COUNTIF('Elève (6ème4)'!GR10:GT10,"D"))*1))/(COUNTA(GR10:GT10)),"")</f>
        <v>3</v>
      </c>
      <c r="GV10" s="184" t="str">
        <f t="shared" si="46"/>
        <v>B</v>
      </c>
      <c r="GW10" s="183">
        <f>IF(COUNT(GK10,GP10,GU10)=0,"",SUM(GK10,GP10,GU10)/COUNT(GK10,GP10,GU10))</f>
        <v>3</v>
      </c>
      <c r="GX10" s="209" t="str">
        <f t="shared" si="47"/>
        <v>B</v>
      </c>
      <c r="GY10" s="217"/>
      <c r="GZ10" s="107"/>
      <c r="HA10" s="108"/>
      <c r="HB10" s="183" t="str">
        <f>IFERROR((((COUNTIF('Elève (6ème4)'!GY10:HA10,"A"))*4)+((COUNTIF('Elève (6ème4)'!GY10:HA10,"B"))*3)+((COUNTIF('Elève (6ème4)'!GY10:HA10,"C"))*2)+((COUNTIF('Elève (6ème4)'!GY10:HA10,"D"))*1))/(COUNTA(GY10:HA10)),"")</f>
        <v/>
      </c>
      <c r="HC10" s="187" t="str">
        <f t="shared" si="48"/>
        <v/>
      </c>
      <c r="HD10" s="172"/>
      <c r="HE10" s="107"/>
      <c r="HF10" s="108"/>
      <c r="HG10" s="183" t="str">
        <f>IFERROR((((COUNTIF('Elève (6ème4)'!HD10:HF10,"A"))*4)+((COUNTIF('Elève (6ème4)'!HD10:HF10,"B"))*3)+((COUNTIF('Elève (6ème4)'!HD10:HF10,"C"))*2)+((COUNTIF('Elève (6ème4)'!HD10:HF10,"D"))*1))/(COUNTA(HD10:HF10)),"")</f>
        <v/>
      </c>
      <c r="HH10" s="184" t="str">
        <f t="shared" si="49"/>
        <v/>
      </c>
      <c r="HI10" s="172"/>
      <c r="HJ10" s="107"/>
      <c r="HK10" s="108" t="s">
        <v>24</v>
      </c>
      <c r="HL10" s="183">
        <f>IFERROR((((COUNTIF('Elève (6ème4)'!HI10:HK10,"A"))*4)+((COUNTIF('Elève (6ème4)'!HI10:HK10,"B"))*3)+((COUNTIF('Elève (6ème4)'!HI10:HK10,"C"))*2)+((COUNTIF('Elève (6ème4)'!HI10:HK10,"D"))*1))/(COUNTA(HI10:HK10)),"")</f>
        <v>3</v>
      </c>
      <c r="HM10" s="184" t="str">
        <f t="shared" si="50"/>
        <v>B</v>
      </c>
      <c r="HN10" s="183">
        <f>IF(COUNT(HB10,HG10,HL10)=0,"",SUM(HB10,HG10,HL10)/COUNT(HB10,HG10,HL10))</f>
        <v>3</v>
      </c>
      <c r="HO10" s="209" t="str">
        <f t="shared" si="51"/>
        <v>B</v>
      </c>
      <c r="HP10" s="217"/>
      <c r="HQ10" s="107"/>
      <c r="HR10" s="108"/>
      <c r="HS10" s="183" t="str">
        <f>IFERROR((((COUNTIF('Elève (6ème4)'!HP10:HR10,"A"))*4)+((COUNTIF('Elève (6ème4)'!HP10:HR10,"B"))*3)+((COUNTIF('Elève (6ème4)'!HP10:HR10,"C"))*2)+((COUNTIF('Elève (6ème4)'!HP10:HR10,"D"))*1))/(COUNTA(HP10:HR10)),"")</f>
        <v/>
      </c>
      <c r="HT10" s="187" t="str">
        <f t="shared" si="52"/>
        <v/>
      </c>
      <c r="HU10" s="172"/>
      <c r="HV10" s="107"/>
      <c r="HW10" s="108"/>
      <c r="HX10" s="183" t="str">
        <f>IFERROR((((COUNTIF('Elève (6ème4)'!HU10:HW10,"A"))*4)+((COUNTIF('Elève (6ème4)'!HU10:HW10,"B"))*3)+((COUNTIF('Elève (6ème4)'!HU10:HW10,"C"))*2)+((COUNTIF('Elève (6ème4)'!HU10:HW10,"D"))*1))/(COUNTA(HU10:HW10)),"")</f>
        <v/>
      </c>
      <c r="HY10" s="184" t="str">
        <f t="shared" si="53"/>
        <v/>
      </c>
      <c r="HZ10" s="172"/>
      <c r="IA10" s="107"/>
      <c r="IB10" s="108" t="s">
        <v>24</v>
      </c>
      <c r="IC10" s="183">
        <f>IFERROR((((COUNTIF('Elève (6ème4)'!HZ10:IB10,"A"))*4)+((COUNTIF('Elève (6ème4)'!HZ10:IB10,"B"))*3)+((COUNTIF('Elève (6ème4)'!HZ10:IB10,"C"))*2)+((COUNTIF('Elève (6ème4)'!HZ10:IB10,"D"))*1))/(COUNTA(HZ10:IB10)),"")</f>
        <v>3</v>
      </c>
      <c r="ID10" s="184" t="str">
        <f t="shared" si="54"/>
        <v>B</v>
      </c>
      <c r="IE10" s="183">
        <f>IF(COUNT(HS10,HX10,IC10)=0,"",SUM(HS10,HX10,IC10)/COUNT(HS10,HX10,IC10))</f>
        <v>3</v>
      </c>
      <c r="IF10" s="209" t="str">
        <f t="shared" si="55"/>
        <v>B</v>
      </c>
      <c r="IG10" s="217"/>
      <c r="IH10" s="107"/>
      <c r="II10" s="108"/>
      <c r="IJ10" s="183" t="str">
        <f>IFERROR((((COUNTIF('Elève (6ème4)'!IG10:II10,"A"))*4)+((COUNTIF('Elève (6ème4)'!IG10:II10,"B"))*3)+((COUNTIF('Elève (6ème4)'!IG10:II10,"C"))*2)+((COUNTIF('Elève (6ème4)'!IG10:II10,"D"))*1))/(COUNTA(IG10:II10)),"")</f>
        <v/>
      </c>
      <c r="IK10" s="187" t="str">
        <f t="shared" si="56"/>
        <v/>
      </c>
      <c r="IL10" s="172"/>
      <c r="IM10" s="107"/>
      <c r="IN10" s="108"/>
      <c r="IO10" s="183" t="str">
        <f>IFERROR((((COUNTIF('Elève (6ème4)'!IL10:IN10,"A"))*4)+((COUNTIF('Elève (6ème4)'!IL10:IN10,"B"))*3)+((COUNTIF('Elève (6ème4)'!IL10:IN10,"C"))*2)+((COUNTIF('Elève (6ème4)'!IL10:IN10,"D"))*1))/(COUNTA(IL10:IN10)),"")</f>
        <v/>
      </c>
      <c r="IP10" s="184" t="str">
        <f t="shared" si="57"/>
        <v/>
      </c>
      <c r="IQ10" s="172"/>
      <c r="IR10" s="107"/>
      <c r="IS10" s="108" t="s">
        <v>24</v>
      </c>
      <c r="IT10" s="183">
        <f>IFERROR((((COUNTIF('Elève (6ème4)'!IQ10:IS10,"A"))*4)+((COUNTIF('Elève (6ème4)'!IQ10:IS10,"B"))*3)+((COUNTIF('Elève (6ème4)'!IQ10:IS10,"C"))*2)+((COUNTIF('Elève (6ème4)'!IQ10:IS10,"D"))*1))/(COUNTA(IQ10:IS10)),"")</f>
        <v>3</v>
      </c>
      <c r="IU10" s="184" t="str">
        <f t="shared" si="58"/>
        <v>B</v>
      </c>
      <c r="IV10" s="183">
        <f>IF(COUNT(IJ10,IO10,IT10)=0,"",SUM(IJ10,IO10,IT10)/COUNT(IJ10,IO10,IT10))</f>
        <v>3</v>
      </c>
      <c r="IW10" s="209" t="str">
        <f t="shared" si="59"/>
        <v>B</v>
      </c>
      <c r="IX10" s="217"/>
      <c r="IY10" s="107"/>
      <c r="IZ10" s="108"/>
      <c r="JA10" s="183" t="str">
        <f>IFERROR((((COUNTIF('Elève (6ème4)'!IX10:IZ10,"A"))*4)+((COUNTIF('Elève (6ème4)'!IX10:IZ10,"B"))*3)+((COUNTIF('Elève (6ème4)'!IX10:IZ10,"C"))*2)+((COUNTIF('Elève (6ème4)'!IX10:IZ10,"D"))*1))/(COUNTA(IX10:IZ10)),"")</f>
        <v/>
      </c>
      <c r="JB10" s="187" t="str">
        <f t="shared" si="60"/>
        <v/>
      </c>
      <c r="JC10" s="172"/>
      <c r="JD10" s="107"/>
      <c r="JE10" s="108"/>
      <c r="JF10" s="183" t="str">
        <f>IFERROR((((COUNTIF('Elève (6ème4)'!JC10:JE10,"A"))*4)+((COUNTIF('Elève (6ème4)'!JC10:JE10,"B"))*3)+((COUNTIF('Elève (6ème4)'!JC10:JE10,"C"))*2)+((COUNTIF('Elève (6ème4)'!JC10:JE10,"D"))*1))/(COUNTA(JC10:JE10)),"")</f>
        <v/>
      </c>
      <c r="JG10" s="184" t="str">
        <f t="shared" si="61"/>
        <v/>
      </c>
      <c r="JH10" s="172"/>
      <c r="JI10" s="107"/>
      <c r="JJ10" s="108" t="s">
        <v>24</v>
      </c>
      <c r="JK10" s="183">
        <f>IFERROR((((COUNTIF('Elève (6ème4)'!JH10:JJ10,"A"))*4)+((COUNTIF('Elève (6ème4)'!JH10:JJ10,"B"))*3)+((COUNTIF('Elève (6ème4)'!JH10:JJ10,"C"))*2)+((COUNTIF('Elève (6ème4)'!JH10:JJ10,"D"))*1))/(COUNTA(JH10:JJ10)),"")</f>
        <v>3</v>
      </c>
      <c r="JL10" s="184" t="str">
        <f t="shared" si="62"/>
        <v>B</v>
      </c>
      <c r="JM10" s="183">
        <f>IF(COUNT(JA10,JF10,JK10)=0,"",SUM(JA10,JF10,JK10)/COUNT(JA10,JF10,JK10))</f>
        <v>3</v>
      </c>
      <c r="JN10" s="209" t="str">
        <f t="shared" si="63"/>
        <v>B</v>
      </c>
      <c r="JO10" s="217"/>
      <c r="JP10" s="107"/>
      <c r="JQ10" s="108"/>
      <c r="JR10" s="183" t="str">
        <f>IFERROR((((COUNTIF('Elève (6ème4)'!JO10:JQ10,"A"))*4)+((COUNTIF('Elève (6ème4)'!JO10:JQ10,"B"))*3)+((COUNTIF('Elève (6ème4)'!JO10:JQ10,"C"))*2)+((COUNTIF('Elève (6ème4)'!JO10:JQ10,"D"))*1))/(COUNTA(JO10:JQ10)),"")</f>
        <v/>
      </c>
      <c r="JS10" s="187" t="str">
        <f t="shared" si="64"/>
        <v/>
      </c>
      <c r="JT10" s="172"/>
      <c r="JU10" s="107"/>
      <c r="JV10" s="108"/>
      <c r="JW10" s="183" t="str">
        <f>IFERROR((((COUNTIF('Elève (6ème4)'!JT10:JV10,"A"))*4)+((COUNTIF('Elève (6ème4)'!JT10:JV10,"B"))*3)+((COUNTIF('Elève (6ème4)'!JT10:JV10,"C"))*2)+((COUNTIF('Elève (6ème4)'!JT10:JV10,"D"))*1))/(COUNTA(JT10:JV10)),"")</f>
        <v/>
      </c>
      <c r="JX10" s="184" t="str">
        <f t="shared" si="65"/>
        <v/>
      </c>
      <c r="JY10" s="172"/>
      <c r="JZ10" s="107"/>
      <c r="KA10" s="108" t="s">
        <v>23</v>
      </c>
      <c r="KB10" s="183">
        <f>IFERROR((((COUNTIF('Elève (6ème4)'!JY10:KA10,"A"))*4)+((COUNTIF('Elève (6ème4)'!JY10:KA10,"B"))*3)+((COUNTIF('Elève (6ème4)'!JY10:KA10,"C"))*2)+((COUNTIF('Elève (6ème4)'!JY10:KA10,"D"))*1))/(COUNTA(JY10:KA10)),"")</f>
        <v>4</v>
      </c>
      <c r="KC10" s="184" t="str">
        <f t="shared" si="66"/>
        <v>A</v>
      </c>
      <c r="KD10" s="183">
        <f>IF(COUNT(JR10,JW10,KB10)=0,"",SUM(JR10,JW10,KB10)/COUNT(JR10,JW10,KB10))</f>
        <v>4</v>
      </c>
      <c r="KE10" s="209" t="str">
        <f t="shared" si="67"/>
        <v>A</v>
      </c>
      <c r="KF10" s="217"/>
      <c r="KG10" s="107"/>
      <c r="KH10" s="108"/>
      <c r="KI10" s="183" t="str">
        <f>IFERROR((((COUNTIF('Elève (6ème4)'!KF10:KH10,"A"))*4)+((COUNTIF('Elève (6ème4)'!KF10:KH10,"B"))*3)+((COUNTIF('Elève (6ème4)'!KF10:KH10,"C"))*2)+((COUNTIF('Elève (6ème4)'!KF10:KH10,"D"))*1))/(COUNTA(KF10:KH10)),"")</f>
        <v/>
      </c>
      <c r="KJ10" s="187" t="str">
        <f t="shared" si="68"/>
        <v/>
      </c>
      <c r="KK10" s="172"/>
      <c r="KL10" s="107"/>
      <c r="KM10" s="108"/>
      <c r="KN10" s="183" t="str">
        <f>IFERROR((((COUNTIF('Elève (6ème4)'!KK10:KM10,"A"))*4)+((COUNTIF('Elève (6ème4)'!KK10:KM10,"B"))*3)+((COUNTIF('Elève (6ème4)'!KK10:KM10,"C"))*2)+((COUNTIF('Elève (6ème4)'!KK10:KM10,"D"))*1))/(COUNTA(KK10:KM10)),"")</f>
        <v/>
      </c>
      <c r="KO10" s="184" t="str">
        <f t="shared" si="69"/>
        <v/>
      </c>
      <c r="KP10" s="172"/>
      <c r="KQ10" s="107"/>
      <c r="KR10" s="108" t="s">
        <v>23</v>
      </c>
      <c r="KS10" s="183">
        <f>IFERROR((((COUNTIF('Elève (6ème4)'!KP10:KR10,"A"))*4)+((COUNTIF('Elève (6ème4)'!KP10:KR10,"B"))*3)+((COUNTIF('Elève (6ème4)'!KP10:KR10,"C"))*2)+((COUNTIF('Elève (6ème4)'!KP10:KR10,"D"))*1))/(COUNTA(KP10:KR10)),"")</f>
        <v>4</v>
      </c>
      <c r="KT10" s="184" t="str">
        <f t="shared" si="70"/>
        <v>A</v>
      </c>
      <c r="KU10" s="183">
        <f>IF(COUNT(KI10,KN10,KS10)=0,"",SUM(KI10,KN10,KS10)/COUNT(KI10,KN10,KS10))</f>
        <v>4</v>
      </c>
      <c r="KV10" s="209" t="str">
        <f t="shared" si="71"/>
        <v>A</v>
      </c>
      <c r="KW10" s="217"/>
      <c r="KX10" s="107"/>
      <c r="KY10" s="108"/>
      <c r="KZ10" s="183" t="str">
        <f>IFERROR((((COUNTIF('Elève (6ème4)'!KW10:KY10,"A"))*4)+((COUNTIF('Elève (6ème4)'!KW10:KY10,"B"))*3)+((COUNTIF('Elève (6ème4)'!KW10:KY10,"C"))*2)+((COUNTIF('Elève (6ème4)'!KW10:KY10,"D"))*1))/(COUNTA(KW10:KY10)),"")</f>
        <v/>
      </c>
      <c r="LA10" s="187" t="str">
        <f t="shared" si="72"/>
        <v/>
      </c>
      <c r="LB10" s="172"/>
      <c r="LC10" s="107"/>
      <c r="LD10" s="108"/>
      <c r="LE10" s="183" t="str">
        <f>IFERROR((((COUNTIF('Elève (6ème4)'!LB10:LD10,"A"))*4)+((COUNTIF('Elève (6ème4)'!LB10:LD10,"B"))*3)+((COUNTIF('Elève (6ème4)'!LB10:LD10,"C"))*2)+((COUNTIF('Elève (6ème4)'!LB10:LD10,"D"))*1))/(COUNTA(LB10:LD10)),"")</f>
        <v/>
      </c>
      <c r="LF10" s="184" t="str">
        <f t="shared" si="73"/>
        <v/>
      </c>
      <c r="LG10" s="172"/>
      <c r="LH10" s="107"/>
      <c r="LI10" s="108" t="s">
        <v>24</v>
      </c>
      <c r="LJ10" s="183">
        <f>IFERROR((((COUNTIF('Elève (6ème4)'!LG10:LI10,"A"))*4)+((COUNTIF('Elève (6ème4)'!LG10:LI10,"B"))*3)+((COUNTIF('Elève (6ème4)'!LG10:LI10,"C"))*2)+((COUNTIF('Elève (6ème4)'!LG10:LI10,"D"))*1))/(COUNTA(LG10:LI10)),"")</f>
        <v>3</v>
      </c>
      <c r="LK10" s="184" t="str">
        <f t="shared" si="74"/>
        <v>B</v>
      </c>
      <c r="LL10" s="183">
        <f>IF(COUNT(KZ10,LE10,LJ10)=0,"",SUM(KZ10,LE10,LJ10)/COUNT(KZ10,LE10,LJ10))</f>
        <v>3</v>
      </c>
      <c r="LM10" s="209" t="str">
        <f t="shared" si="75"/>
        <v>B</v>
      </c>
      <c r="LN10" s="217"/>
      <c r="LO10" s="107"/>
      <c r="LP10" s="108"/>
      <c r="LQ10" s="183" t="str">
        <f>IFERROR((((COUNTIF('Elève (6ème4)'!LN10:LP10,"A"))*4)+((COUNTIF('Elève (6ème4)'!LN10:LP10,"B"))*3)+((COUNTIF('Elève (6ème4)'!LN10:LP10,"C"))*2)+((COUNTIF('Elève (6ème4)'!LN10:LP10,"D"))*1))/(COUNTA(LN10:LP10)),"")</f>
        <v/>
      </c>
      <c r="LR10" s="187" t="str">
        <f t="shared" si="76"/>
        <v/>
      </c>
      <c r="LS10" s="172"/>
      <c r="LT10" s="107"/>
      <c r="LU10" s="108"/>
      <c r="LV10" s="183" t="str">
        <f>IFERROR((((COUNTIF('Elève (6ème4)'!LS10:LU10,"A"))*4)+((COUNTIF('Elève (6ème4)'!LS10:LU10,"B"))*3)+((COUNTIF('Elève (6ème4)'!LS10:LU10,"C"))*2)+((COUNTIF('Elève (6ème4)'!LS10:LU10,"D"))*1))/(COUNTA(LS10:LU10)),"")</f>
        <v/>
      </c>
      <c r="LW10" s="184" t="str">
        <f t="shared" si="77"/>
        <v/>
      </c>
      <c r="LX10" s="172"/>
      <c r="LY10" s="107"/>
      <c r="LZ10" s="108" t="s">
        <v>24</v>
      </c>
      <c r="MA10" s="183">
        <f>IFERROR((((COUNTIF('Elève (6ème4)'!LX10:LZ10,"A"))*4)+((COUNTIF('Elève (6ème4)'!LX10:LZ10,"B"))*3)+((COUNTIF('Elève (6ème4)'!LX10:LZ10,"C"))*2)+((COUNTIF('Elève (6ème4)'!LX10:LZ10,"D"))*1))/(COUNTA(LX10:LZ10)),"")</f>
        <v>3</v>
      </c>
      <c r="MB10" s="184" t="str">
        <f t="shared" si="78"/>
        <v>B</v>
      </c>
      <c r="MC10" s="183">
        <f>IF(COUNT(LQ10,LV10,MA10)=0,"",SUM(LQ10,LV10,MA10)/COUNT(LQ10,LV10,MA10))</f>
        <v>3</v>
      </c>
      <c r="MD10" s="209" t="str">
        <f t="shared" si="79"/>
        <v>B</v>
      </c>
      <c r="ME10" s="217"/>
      <c r="MF10" s="107"/>
      <c r="MG10" s="108"/>
      <c r="MH10" s="183" t="str">
        <f>IFERROR((((COUNTIF('Elève (6ème4)'!ME10:MG10,"A"))*4)+((COUNTIF('Elève (6ème4)'!ME10:MG10,"B"))*3)+((COUNTIF('Elève (6ème4)'!ME10:MG10,"C"))*2)+((COUNTIF('Elève (6ème4)'!ME10:MG10,"D"))*1))/(COUNTA(ME10:MG10)),"")</f>
        <v/>
      </c>
      <c r="MI10" s="187" t="str">
        <f t="shared" si="80"/>
        <v/>
      </c>
      <c r="MJ10" s="172"/>
      <c r="MK10" s="107"/>
      <c r="ML10" s="108"/>
      <c r="MM10" s="183" t="str">
        <f>IFERROR((((COUNTIF('Elève (6ème4)'!MJ10:ML10,"A"))*4)+((COUNTIF('Elève (6ème4)'!MJ10:ML10,"B"))*3)+((COUNTIF('Elève (6ème4)'!MJ10:ML10,"C"))*2)+((COUNTIF('Elève (6ème4)'!MJ10:ML10,"D"))*1))/(COUNTA(MJ10:ML10)),"")</f>
        <v/>
      </c>
      <c r="MN10" s="184" t="str">
        <f t="shared" si="81"/>
        <v/>
      </c>
      <c r="MO10" s="172"/>
      <c r="MP10" s="107"/>
      <c r="MQ10" s="108" t="s">
        <v>24</v>
      </c>
      <c r="MR10" s="183">
        <f>IFERROR((((COUNTIF('Elève (6ème4)'!MO10:MQ10,"A"))*4)+((COUNTIF('Elève (6ème4)'!MO10:MQ10,"B"))*3)+((COUNTIF('Elève (6ème4)'!MO10:MQ10,"C"))*2)+((COUNTIF('Elève (6ème4)'!MO10:MQ10,"D"))*1))/(COUNTA(MO10:MQ10)),"")</f>
        <v>3</v>
      </c>
      <c r="MS10" s="184" t="str">
        <f t="shared" si="82"/>
        <v>B</v>
      </c>
      <c r="MT10" s="183">
        <f>IF(COUNT(MH10,MM10,MR10)=0,"",SUM(MH10,MM10,MR10)/COUNT(MH10,MM10,MR10))</f>
        <v>3</v>
      </c>
      <c r="MU10" s="209" t="str">
        <f t="shared" si="83"/>
        <v>B</v>
      </c>
      <c r="MV10" s="217"/>
      <c r="MW10" s="107"/>
      <c r="MX10" s="108"/>
      <c r="MY10" s="183" t="str">
        <f>IFERROR((((COUNTIF('Elève (6ème4)'!MV10:MX10,"A"))*4)+((COUNTIF('Elève (6ème4)'!MV10:MX10,"B"))*3)+((COUNTIF('Elève (6ème4)'!MV10:MX10,"C"))*2)+((COUNTIF('Elève (6ème4)'!MV10:MX10,"D"))*1))/(COUNTA(MV10:MX10)),"")</f>
        <v/>
      </c>
      <c r="MZ10" s="187" t="str">
        <f t="shared" si="84"/>
        <v/>
      </c>
      <c r="NA10" s="172"/>
      <c r="NB10" s="107"/>
      <c r="NC10" s="108"/>
      <c r="ND10" s="183" t="str">
        <f>IFERROR((((COUNTIF('Elève (6ème4)'!NA10:NC10,"A"))*4)+((COUNTIF('Elève (6ème4)'!NA10:NC10,"B"))*3)+((COUNTIF('Elève (6ème4)'!NA10:NC10,"C"))*2)+((COUNTIF('Elève (6ème4)'!NA10:NC10,"D"))*1))/(COUNTA(NA10:NC10)),"")</f>
        <v/>
      </c>
      <c r="NE10" s="184" t="str">
        <f t="shared" si="85"/>
        <v/>
      </c>
      <c r="NF10" s="172"/>
      <c r="NG10" s="107"/>
      <c r="NH10" s="108" t="s">
        <v>24</v>
      </c>
      <c r="NI10" s="183">
        <f>IFERROR((((COUNTIF('Elève (6ème4)'!NF10:NH10,"A"))*4)+((COUNTIF('Elève (6ème4)'!NF10:NH10,"B"))*3)+((COUNTIF('Elève (6ème4)'!NF10:NH10,"C"))*2)+((COUNTIF('Elève (6ème4)'!NF10:NH10,"D"))*1))/(COUNTA(NF10:NH10)),"")</f>
        <v>3</v>
      </c>
      <c r="NJ10" s="184" t="str">
        <f t="shared" si="86"/>
        <v>B</v>
      </c>
      <c r="NK10" s="183">
        <f>IF(COUNT(MY10,ND10,NI10)=0,"",SUM(MY10,ND10,NI10)/COUNT(MY10,ND10,NI10))</f>
        <v>3</v>
      </c>
      <c r="NL10" s="209" t="str">
        <f t="shared" si="87"/>
        <v>B</v>
      </c>
      <c r="NM10" s="217"/>
      <c r="NN10" s="107"/>
      <c r="NO10" s="108"/>
      <c r="NP10" s="183" t="str">
        <f>IFERROR((((COUNTIF('Elève (6ème4)'!NM10:NO10,"A"))*4)+((COUNTIF('Elève (6ème4)'!NM10:NO10,"B"))*3)+((COUNTIF('Elève (6ème4)'!NM10:NO10,"C"))*2)+((COUNTIF('Elève (6ème4)'!NM10:NO10,"D"))*1))/(COUNTA(NM10:NO10)),"")</f>
        <v/>
      </c>
      <c r="NQ10" s="187" t="str">
        <f t="shared" si="88"/>
        <v/>
      </c>
      <c r="NR10" s="172"/>
      <c r="NS10" s="107"/>
      <c r="NT10" s="108"/>
      <c r="NU10" s="183" t="str">
        <f>IFERROR((((COUNTIF('Elève (6ème4)'!NR10:NT10,"A"))*4)+((COUNTIF('Elève (6ème4)'!NR10:NT10,"B"))*3)+((COUNTIF('Elève (6ème4)'!NR10:NT10,"C"))*2)+((COUNTIF('Elève (6ème4)'!NR10:NT10,"D"))*1))/(COUNTA(NR10:NT10)),"")</f>
        <v/>
      </c>
      <c r="NV10" s="184" t="str">
        <f t="shared" si="89"/>
        <v/>
      </c>
      <c r="NW10" s="172"/>
      <c r="NX10" s="107"/>
      <c r="NY10" s="108" t="s">
        <v>24</v>
      </c>
      <c r="NZ10" s="183">
        <f>IFERROR((((COUNTIF('Elève (6ème4)'!NW10:NY10,"A"))*4)+((COUNTIF('Elève (6ème4)'!NW10:NY10,"B"))*3)+((COUNTIF('Elève (6ème4)'!NW10:NY10,"C"))*2)+((COUNTIF('Elève (6ème4)'!NW10:NY10,"D"))*1))/(COUNTA(NW10:NY10)),"")</f>
        <v>3</v>
      </c>
      <c r="OA10" s="184" t="str">
        <f t="shared" si="90"/>
        <v>B</v>
      </c>
      <c r="OB10" s="183">
        <f>IF(COUNT(NP10,NU10,NZ10)=0,"",SUM(NP10,NU10,NZ10)/COUNT(NP10,NU10,NZ10))</f>
        <v>3</v>
      </c>
      <c r="OC10" s="209" t="str">
        <f t="shared" si="91"/>
        <v>B</v>
      </c>
      <c r="OD10" s="217"/>
      <c r="OE10" s="107"/>
      <c r="OF10" s="108"/>
      <c r="OG10" s="183" t="str">
        <f>IFERROR((((COUNTIF('Elève (6ème4)'!OD10:OF10,"A"))*4)+((COUNTIF('Elève (6ème4)'!OD10:OF10,"B"))*3)+((COUNTIF('Elève (6ème4)'!OD10:OF10,"C"))*2)+((COUNTIF('Elève (6ème4)'!OD10:OF10,"D"))*1))/(COUNTA(OD10:OF10)),"")</f>
        <v/>
      </c>
      <c r="OH10" s="187" t="str">
        <f t="shared" si="92"/>
        <v/>
      </c>
      <c r="OI10" s="172"/>
      <c r="OJ10" s="107"/>
      <c r="OK10" s="108"/>
      <c r="OL10" s="183" t="str">
        <f>IFERROR((((COUNTIF('Elève (6ème4)'!OI10:OK10,"A"))*4)+((COUNTIF('Elève (6ème4)'!OI10:OK10,"B"))*3)+((COUNTIF('Elève (6ème4)'!OI10:OK10,"C"))*2)+((COUNTIF('Elève (6ème4)'!OI10:OK10,"D"))*1))/(COUNTA(OI10:OK10)),"")</f>
        <v/>
      </c>
      <c r="OM10" s="184" t="str">
        <f t="shared" si="93"/>
        <v/>
      </c>
      <c r="ON10" s="172"/>
      <c r="OO10" s="107"/>
      <c r="OP10" s="108" t="s">
        <v>23</v>
      </c>
      <c r="OQ10" s="183">
        <f>IFERROR((((COUNTIF('Elève (6ème4)'!ON10:OP10,"A"))*4)+((COUNTIF('Elève (6ème4)'!ON10:OP10,"B"))*3)+((COUNTIF('Elève (6ème4)'!ON10:OP10,"C"))*2)+((COUNTIF('Elève (6ème4)'!ON10:OP10,"D"))*1))/(COUNTA(ON10:OP10)),"")</f>
        <v>4</v>
      </c>
      <c r="OR10" s="184" t="str">
        <f t="shared" si="94"/>
        <v>A</v>
      </c>
      <c r="OS10" s="183">
        <f>IF(COUNT(OG10,OL10,OQ10)=0,"",SUM(OG10,OL10,OQ10)/COUNT(OG10,OL10,OQ10))</f>
        <v>4</v>
      </c>
      <c r="OT10" s="209" t="str">
        <f t="shared" si="95"/>
        <v>A</v>
      </c>
      <c r="OU10" s="217"/>
      <c r="OV10" s="107"/>
      <c r="OW10" s="108"/>
      <c r="OX10" s="183" t="str">
        <f>IFERROR((((COUNTIF('Elève (6ème4)'!OU10:OW10,"A"))*4)+((COUNTIF('Elève (6ème4)'!OU10:OW10,"B"))*3)+((COUNTIF('Elève (6ème4)'!OU10:OW10,"C"))*2)+((COUNTIF('Elève (6ème4)'!OU10:OW10,"D"))*1))/(COUNTA(OU10:OW10)),"")</f>
        <v/>
      </c>
      <c r="OY10" s="187" t="str">
        <f t="shared" si="96"/>
        <v/>
      </c>
      <c r="OZ10" s="172"/>
      <c r="PA10" s="107"/>
      <c r="PB10" s="108"/>
      <c r="PC10" s="183" t="str">
        <f>IFERROR((((COUNTIF('Elève (6ème4)'!OZ10:PB10,"A"))*4)+((COUNTIF('Elève (6ème4)'!OZ10:PB10,"B"))*3)+((COUNTIF('Elève (6ème4)'!OZ10:PB10,"C"))*2)+((COUNTIF('Elève (6ème4)'!OZ10:PB10,"D"))*1))/(COUNTA(OZ10:PB10)),"")</f>
        <v/>
      </c>
      <c r="PD10" s="184" t="str">
        <f t="shared" si="97"/>
        <v/>
      </c>
      <c r="PE10" s="172"/>
      <c r="PF10" s="107"/>
      <c r="PG10" s="108" t="s">
        <v>24</v>
      </c>
      <c r="PH10" s="183">
        <f>IFERROR((((COUNTIF('Elève (6ème4)'!PE10:PG10,"A"))*4)+((COUNTIF('Elève (6ème4)'!PE10:PG10,"B"))*3)+((COUNTIF('Elève (6ème4)'!PE10:PG10,"C"))*2)+((COUNTIF('Elève (6ème4)'!PE10:PG10,"D"))*1))/(COUNTA(PE10:PG10)),"")</f>
        <v>3</v>
      </c>
      <c r="PI10" s="184" t="str">
        <f t="shared" si="98"/>
        <v>B</v>
      </c>
      <c r="PJ10" s="183">
        <f>IF(COUNT(OX10,PC10,PH10)=0,"",SUM(OX10,PC10,PH10)/COUNT(OX10,PC10,PH10))</f>
        <v>3</v>
      </c>
      <c r="PK10" s="209" t="str">
        <f t="shared" si="99"/>
        <v>B</v>
      </c>
      <c r="PL10" s="217"/>
      <c r="PM10" s="107"/>
      <c r="PN10" s="108"/>
      <c r="PO10" s="183" t="str">
        <f>IFERROR((((COUNTIF('Elève (6ème4)'!PL10:PN10,"A"))*4)+((COUNTIF('Elève (6ème4)'!PL10:PN10,"B"))*3)+((COUNTIF('Elève (6ème4)'!PL10:PN10,"C"))*2)+((COUNTIF('Elève (6ème4)'!PL10:PN10,"D"))*1))/(COUNTA(PL10:PN10)),"")</f>
        <v/>
      </c>
      <c r="PP10" s="187" t="str">
        <f t="shared" si="100"/>
        <v/>
      </c>
      <c r="PQ10" s="172"/>
      <c r="PR10" s="107"/>
      <c r="PS10" s="108"/>
      <c r="PT10" s="183" t="str">
        <f>IFERROR((((COUNTIF('Elève (6ème4)'!PQ10:PS10,"A"))*4)+((COUNTIF('Elève (6ème4)'!PQ10:PS10,"B"))*3)+((COUNTIF('Elève (6ème4)'!PQ10:PS10,"C"))*2)+((COUNTIF('Elève (6ème4)'!PQ10:PS10,"D"))*1))/(COUNTA(PQ10:PS10)),"")</f>
        <v/>
      </c>
      <c r="PU10" s="184" t="str">
        <f t="shared" si="101"/>
        <v/>
      </c>
      <c r="PV10" s="172"/>
      <c r="PW10" s="107"/>
      <c r="PX10" s="108"/>
      <c r="PY10" s="183" t="str">
        <f>IFERROR((((COUNTIF('Elève (6ème4)'!PV10:PX10,"A"))*4)+((COUNTIF('Elève (6ème4)'!PV10:PX10,"B"))*3)+((COUNTIF('Elève (6ème4)'!PV10:PX10,"C"))*2)+((COUNTIF('Elève (6ème4)'!PV10:PX10,"D"))*1))/(COUNTA(PV10:PX10)),"")</f>
        <v/>
      </c>
      <c r="PZ10" s="184" t="str">
        <f t="shared" si="102"/>
        <v/>
      </c>
      <c r="QA10" s="183" t="str">
        <f>IF(COUNT(PO10,PT10,PY10)=0,"",SUM(PO10,PT10,PY10)/COUNT(PO10,PT10,PY10))</f>
        <v/>
      </c>
      <c r="QB10" s="209" t="str">
        <f t="shared" si="103"/>
        <v/>
      </c>
      <c r="QC10" s="217"/>
      <c r="QD10" s="107"/>
      <c r="QE10" s="108"/>
      <c r="QF10" s="183" t="str">
        <f>IFERROR((((COUNTIF('Elève (6ème4)'!QC10:QE10,"A"))*4)+((COUNTIF('Elève (6ème4)'!QC10:QE10,"B"))*3)+((COUNTIF('Elève (6ème4)'!QC10:QE10,"C"))*2)+((COUNTIF('Elève (6ème4)'!QC10:QE10,"D"))*1))/(COUNTA(QC10:QE10)),"")</f>
        <v/>
      </c>
      <c r="QG10" s="187" t="str">
        <f t="shared" si="104"/>
        <v/>
      </c>
      <c r="QH10" s="172"/>
      <c r="QI10" s="107"/>
      <c r="QJ10" s="108"/>
      <c r="QK10" s="183" t="str">
        <f>IFERROR((((COUNTIF('Elève (6ème4)'!QH10:QJ10,"A"))*4)+((COUNTIF('Elève (6ème4)'!QH10:QJ10,"B"))*3)+((COUNTIF('Elève (6ème4)'!QH10:QJ10,"C"))*2)+((COUNTIF('Elève (6ème4)'!QH10:QJ10,"D"))*1))/(COUNTA(QH10:QJ10)),"")</f>
        <v/>
      </c>
      <c r="QL10" s="184" t="str">
        <f t="shared" si="105"/>
        <v/>
      </c>
      <c r="QM10" s="172"/>
      <c r="QN10" s="107"/>
      <c r="QO10" s="108" t="s">
        <v>24</v>
      </c>
      <c r="QP10" s="183">
        <f>IFERROR((((COUNTIF('Elève (6ème4)'!QM10:QO10,"A"))*4)+((COUNTIF('Elève (6ème4)'!QM10:QO10,"B"))*3)+((COUNTIF('Elève (6ème4)'!QM10:QO10,"C"))*2)+((COUNTIF('Elève (6ème4)'!QM10:QO10,"D"))*1))/(COUNTA(QM10:QO10)),"")</f>
        <v>3</v>
      </c>
      <c r="QQ10" s="184" t="str">
        <f t="shared" si="106"/>
        <v>B</v>
      </c>
      <c r="QR10" s="183">
        <f>IF(COUNT(QF10,QK10,QP10)=0,"",SUM(QF10,QK10,QP10)/COUNT(QF10,QK10,QP10))</f>
        <v>3</v>
      </c>
      <c r="QS10" s="209" t="str">
        <f t="shared" si="107"/>
        <v>B</v>
      </c>
      <c r="QT10" s="112"/>
      <c r="QU10" s="107"/>
      <c r="QV10" s="108"/>
      <c r="QW10" s="102" t="str">
        <f>IFERROR((((COUNTIF('Elève (6ème4)'!QT10:QV10,"A"))*4)+((COUNTIF('Elève (6ème4)'!QT10:QV10,"B"))*3)+((COUNTIF('Elève (6ème4)'!QT10:QV10,"C"))*2)+((COUNTIF('Elève (6ème4)'!QT10:QV10,"D"))*1))/(COUNTA(QT10:QV10)),"")</f>
        <v/>
      </c>
      <c r="QX10" s="118" t="str">
        <f t="shared" si="108"/>
        <v/>
      </c>
      <c r="QY10" s="106"/>
      <c r="QZ10" s="107"/>
      <c r="RA10" s="108"/>
      <c r="RB10" s="102" t="str">
        <f>IFERROR((((COUNTIF('Elève (6ème4)'!QY10:RA10,"A"))*4)+((COUNTIF('Elève (6ème4)'!QY10:RA10,"B"))*3)+((COUNTIF('Elève (6ème4)'!QY10:RA10,"C"))*2)+((COUNTIF('Elève (6ème4)'!QY10:RA10,"D"))*1))/(COUNTA(QY10:RA10)),"")</f>
        <v/>
      </c>
      <c r="RC10" s="103" t="str">
        <f t="shared" si="109"/>
        <v/>
      </c>
      <c r="RD10" s="106"/>
      <c r="RE10" s="107"/>
      <c r="RF10" s="108" t="s">
        <v>24</v>
      </c>
      <c r="RG10" s="102">
        <f>IFERROR((((COUNTIF('Elève (6ème4)'!RD10:RF10,"A"))*4)+((COUNTIF('Elève (6ème4)'!RD10:RF10,"B"))*3)+((COUNTIF('Elève (6ème4)'!RD10:RF10,"C"))*2)+((COUNTIF('Elève (6ème4)'!RD10:RF10,"D"))*1))/(COUNTA(RD10:RF10)),"")</f>
        <v>3</v>
      </c>
      <c r="RH10" s="103" t="str">
        <f t="shared" si="110"/>
        <v>B</v>
      </c>
      <c r="RI10" s="102">
        <f>IF(COUNT(QW10,RB10,RG10)=0,"",SUM(QW10,RB10,RG10)/COUNT(QW10,RB10,RG10))</f>
        <v>3</v>
      </c>
      <c r="RJ10" s="117" t="str">
        <f t="shared" si="111"/>
        <v>B</v>
      </c>
      <c r="RK10" s="112"/>
      <c r="RL10" s="107"/>
      <c r="RM10" s="108"/>
      <c r="RN10" s="102" t="str">
        <f>IFERROR((((COUNTIF('Elève (6ème4)'!RK10:RM10,"A"))*4)+((COUNTIF('Elève (6ème4)'!RK10:RM10,"B"))*3)+((COUNTIF('Elève (6ème4)'!RK10:RM10,"C"))*2)+((COUNTIF('Elève (6ème4)'!RK10:RM10,"D"))*1))/(COUNTA(RK10:RM10)),"")</f>
        <v/>
      </c>
      <c r="RO10" s="118" t="str">
        <f t="shared" si="112"/>
        <v/>
      </c>
      <c r="RP10" s="106"/>
      <c r="RQ10" s="107"/>
      <c r="RR10" s="108"/>
      <c r="RS10" s="102" t="str">
        <f>IFERROR((((COUNTIF('Elève (6ème4)'!RP10:RR10,"A"))*4)+((COUNTIF('Elève (6ème4)'!RP10:RR10,"B"))*3)+((COUNTIF('Elève (6ème4)'!RP10:RR10,"C"))*2)+((COUNTIF('Elève (6ème4)'!RP10:RR10,"D"))*1))/(COUNTA(RP10:RR10)),"")</f>
        <v/>
      </c>
      <c r="RT10" s="103" t="str">
        <f t="shared" si="113"/>
        <v/>
      </c>
      <c r="RU10" s="106"/>
      <c r="RV10" s="107"/>
      <c r="RW10" s="108"/>
      <c r="RX10" s="102" t="str">
        <f>IFERROR((((COUNTIF('Elève (6ème4)'!RU10:RW10,"A"))*4)+((COUNTIF('Elève (6ème4)'!RU10:RW10,"B"))*3)+((COUNTIF('Elève (6ème4)'!RU10:RW10,"C"))*2)+((COUNTIF('Elève (6ème4)'!RU10:RW10,"D"))*1))/(COUNTA(RU10:RW10)),"")</f>
        <v/>
      </c>
      <c r="RY10" s="103" t="str">
        <f t="shared" si="114"/>
        <v/>
      </c>
      <c r="RZ10" s="102" t="str">
        <f>IF(COUNT(RN10,RS10,RX10)=0,"",SUM(RN10,RS10,RX10)/COUNT(RN10,RS10,RX10))</f>
        <v/>
      </c>
      <c r="SA10" s="117" t="str">
        <f t="shared" si="115"/>
        <v/>
      </c>
      <c r="SB10" s="112"/>
      <c r="SC10" s="107"/>
      <c r="SD10" s="108"/>
      <c r="SE10" s="102" t="str">
        <f>IFERROR((((COUNTIF('Elève (6ème4)'!SB10:SD10,"A"))*4)+((COUNTIF('Elève (6ème4)'!SB10:SD10,"B"))*3)+((COUNTIF('Elève (6ème4)'!SB10:SD10,"C"))*2)+((COUNTIF('Elève (6ème4)'!SB10:SD10,"D"))*1))/(COUNTA(SB10:SD10)),"")</f>
        <v/>
      </c>
      <c r="SF10" s="118" t="str">
        <f t="shared" si="116"/>
        <v/>
      </c>
      <c r="SG10" s="106"/>
      <c r="SH10" s="107"/>
      <c r="SI10" s="108"/>
      <c r="SJ10" s="102" t="str">
        <f>IFERROR((((COUNTIF('Elève (6ème4)'!SG10:SI10,"A"))*4)+((COUNTIF('Elève (6ème4)'!SG10:SI10,"B"))*3)+((COUNTIF('Elève (6ème4)'!SG10:SI10,"C"))*2)+((COUNTIF('Elève (6ème4)'!SG10:SI10,"D"))*1))/(COUNTA(SG10:SI10)),"")</f>
        <v/>
      </c>
      <c r="SK10" s="103" t="str">
        <f t="shared" si="117"/>
        <v/>
      </c>
      <c r="SL10" s="106"/>
      <c r="SM10" s="107"/>
      <c r="SN10" s="108"/>
      <c r="SO10" s="102" t="str">
        <f>IFERROR((((COUNTIF('Elève (6ème4)'!SL10:SN10,"A"))*4)+((COUNTIF('Elève (6ème4)'!SL10:SN10,"B"))*3)+((COUNTIF('Elève (6ème4)'!SL10:SN10,"C"))*2)+((COUNTIF('Elève (6ème4)'!SL10:SN10,"D"))*1))/(COUNTA(SL10:SN10)),"")</f>
        <v/>
      </c>
      <c r="SP10" s="103" t="str">
        <f t="shared" si="118"/>
        <v/>
      </c>
      <c r="SQ10" s="102" t="str">
        <f>IF(COUNT(SE10,SJ10,SO10)=0,"",SUM(SE10,SJ10,SO10)/COUNT(SE10,SJ10,SO10))</f>
        <v/>
      </c>
      <c r="SR10" s="117" t="str">
        <f t="shared" si="119"/>
        <v/>
      </c>
      <c r="SS10" s="112"/>
      <c r="ST10" s="107"/>
      <c r="SU10" s="108"/>
      <c r="SV10" s="102" t="str">
        <f>IFERROR((((COUNTIF('Elève (6ème4)'!SS10:SU10,"A"))*4)+((COUNTIF('Elève (6ème4)'!SS10:SU10,"B"))*3)+((COUNTIF('Elève (6ème4)'!SS10:SU10,"C"))*2)+((COUNTIF('Elève (6ème4)'!SS10:SU10,"D"))*1))/(COUNTA(SS10:SU10)),"")</f>
        <v/>
      </c>
      <c r="SW10" s="118" t="str">
        <f t="shared" si="120"/>
        <v/>
      </c>
      <c r="SX10" s="106"/>
      <c r="SY10" s="107"/>
      <c r="SZ10" s="108"/>
      <c r="TA10" s="102" t="str">
        <f>IFERROR((((COUNTIF('Elève (6ème4)'!SX10:SZ10,"A"))*4)+((COUNTIF('Elève (6ème4)'!SX10:SZ10,"B"))*3)+((COUNTIF('Elève (6ème4)'!SX10:SZ10,"C"))*2)+((COUNTIF('Elève (6ème4)'!SX10:SZ10,"D"))*1))/(COUNTA(SX10:SZ10)),"")</f>
        <v/>
      </c>
      <c r="TB10" s="103" t="str">
        <f t="shared" si="121"/>
        <v/>
      </c>
      <c r="TC10" s="106"/>
      <c r="TD10" s="107"/>
      <c r="TE10" s="108"/>
      <c r="TF10" s="102" t="str">
        <f>IFERROR((((COUNTIF('Elève (6ème4)'!TC10:TE10,"A"))*4)+((COUNTIF('Elève (6ème4)'!TC10:TE10,"B"))*3)+((COUNTIF('Elève (6ème4)'!TC10:TE10,"C"))*2)+((COUNTIF('Elève (6ème4)'!TC10:TE10,"D"))*1))/(COUNTA(TC10:TE10)),"")</f>
        <v/>
      </c>
      <c r="TG10" s="103" t="str">
        <f t="shared" si="122"/>
        <v/>
      </c>
      <c r="TH10" s="102" t="str">
        <f>IF(COUNT(SV10,TA10,TF10)=0,"",SUM(SV10,TA10,TF10)/COUNT(SV10,TA10,TF10))</f>
        <v/>
      </c>
      <c r="TI10" s="117" t="str">
        <f t="shared" si="123"/>
        <v/>
      </c>
      <c r="TJ10" s="112"/>
      <c r="TK10" s="107"/>
      <c r="TL10" s="108"/>
      <c r="TM10" s="102" t="str">
        <f>IFERROR((((COUNTIF('Elève (6ème4)'!TJ10:TL10,"A"))*4)+((COUNTIF('Elève (6ème4)'!TJ10:TL10,"B"))*3)+((COUNTIF('Elève (6ème4)'!TJ10:TL10,"C"))*2)+((COUNTIF('Elève (6ème4)'!TJ10:TL10,"D"))*1))/(COUNTA(TJ10:TL10)),"")</f>
        <v/>
      </c>
      <c r="TN10" s="118" t="str">
        <f t="shared" si="124"/>
        <v/>
      </c>
      <c r="TO10" s="106"/>
      <c r="TP10" s="107"/>
      <c r="TQ10" s="108"/>
      <c r="TR10" s="102" t="str">
        <f>IFERROR((((COUNTIF('Elève (6ème4)'!TO10:TQ10,"A"))*4)+((COUNTIF('Elève (6ème4)'!TO10:TQ10,"B"))*3)+((COUNTIF('Elève (6ème4)'!TO10:TQ10,"C"))*2)+((COUNTIF('Elève (6ème4)'!TO10:TQ10,"D"))*1))/(COUNTA(TO10:TQ10)),"")</f>
        <v/>
      </c>
      <c r="TS10" s="103" t="str">
        <f t="shared" si="125"/>
        <v/>
      </c>
      <c r="TT10" s="106"/>
      <c r="TU10" s="107"/>
      <c r="TV10" s="108"/>
      <c r="TW10" s="102" t="str">
        <f>IFERROR((((COUNTIF('Elève (6ème4)'!TT10:TV10,"A"))*4)+((COUNTIF('Elève (6ème4)'!TT10:TV10,"B"))*3)+((COUNTIF('Elève (6ème4)'!TT10:TV10,"C"))*2)+((COUNTIF('Elève (6ème4)'!TT10:TV10,"D"))*1))/(COUNTA(TT10:TV10)),"")</f>
        <v/>
      </c>
      <c r="TX10" s="103" t="str">
        <f t="shared" si="126"/>
        <v/>
      </c>
      <c r="TY10" s="102" t="str">
        <f>IF(COUNT(TM10,TR10,TW10)=0,"",SUM(TM10,TR10,TW10)/COUNT(TM10,TR10,TW10))</f>
        <v/>
      </c>
      <c r="TZ10" s="117" t="str">
        <f t="shared" si="127"/>
        <v/>
      </c>
    </row>
    <row r="11" spans="1:546" ht="14.45" customHeight="1" thickBot="1" x14ac:dyDescent="0.3">
      <c r="A11" s="242" t="s">
        <v>38</v>
      </c>
      <c r="B11" s="243"/>
      <c r="C11" s="120"/>
      <c r="D11" s="121"/>
      <c r="E11" s="122"/>
      <c r="F11" s="188" t="str">
        <f>IFERROR((((COUNTIF('Elève (6ème4)'!C11:E11,"A"))*4)+((COUNTIF('Elève (6ème4)'!C11:E11,"B"))*3)+((COUNTIF('Elève (6ème4)'!C11:E11,"C"))*2)+((COUNTIF('Elève (6ème4)'!C11:E11,"D"))*1))/(COUNTA(C11:E11)),"")</f>
        <v/>
      </c>
      <c r="G11" s="187" t="str">
        <f t="shared" si="0"/>
        <v/>
      </c>
      <c r="H11" s="120"/>
      <c r="I11" s="121"/>
      <c r="J11" s="122"/>
      <c r="K11" s="188" t="str">
        <f>IFERROR((((COUNTIF('Elève (6ème4)'!H11:J11,"A"))*4)+((COUNTIF('Elève (6ème4)'!H11:J11,"B"))*3)+((COUNTIF('Elève (6ème4)'!H11:J11,"C"))*2)+((COUNTIF('Elève (6ème4)'!H11:J11,"D"))*1))/(COUNTA(H11:J11)),"")</f>
        <v/>
      </c>
      <c r="L11" s="187" t="str">
        <f t="shared" si="1"/>
        <v/>
      </c>
      <c r="M11" s="120"/>
      <c r="N11" s="121"/>
      <c r="O11" s="122" t="s">
        <v>24</v>
      </c>
      <c r="P11" s="188">
        <f>IFERROR((((COUNTIF('Elève (6ème4)'!M11:O11,"A"))*4)+((COUNTIF('Elève (6ème4)'!M11:O11,"B"))*3)+((COUNTIF('Elève (6ème4)'!M11:O11,"C"))*2)+((COUNTIF('Elève (6ème4)'!M11:O11,"D"))*1))/(COUNTA(M11:O11)),"")</f>
        <v>3</v>
      </c>
      <c r="Q11" s="187" t="str">
        <f t="shared" si="2"/>
        <v>B</v>
      </c>
      <c r="R11" s="188">
        <f>IF(COUNT(F11,K11,P11)=0,"",SUM(F11,K11,P11)/COUNT(F11,K11,P11))</f>
        <v>3</v>
      </c>
      <c r="S11" s="210" t="str">
        <f t="shared" si="3"/>
        <v>B</v>
      </c>
      <c r="T11" s="125"/>
      <c r="U11" s="121"/>
      <c r="V11" s="122"/>
      <c r="W11" s="188" t="str">
        <f>IFERROR((((COUNTIF('Elève (6ème4)'!T11:V11,"A"))*4)+((COUNTIF('Elève (6ème4)'!T11:V11,"B"))*3)+((COUNTIF('Elève (6ème4)'!T11:V11,"C"))*2)+((COUNTIF('Elève (6ème4)'!T11:V11,"D"))*1))/(COUNTA(T11:V11)),"")</f>
        <v/>
      </c>
      <c r="X11" s="187" t="str">
        <f t="shared" si="4"/>
        <v/>
      </c>
      <c r="Y11" s="120"/>
      <c r="Z11" s="121"/>
      <c r="AA11" s="122"/>
      <c r="AB11" s="188" t="str">
        <f>IFERROR((((COUNTIF('Elève (6ème4)'!Y11:AA11,"A"))*4)+((COUNTIF('Elève (6ème4)'!Y11:AA11,"B"))*3)+((COUNTIF('Elève (6ème4)'!Y11:AA11,"C"))*2)+((COUNTIF('Elève (6ème4)'!Y11:AA11,"D"))*1))/(COUNTA(Y11:AA11)),"")</f>
        <v/>
      </c>
      <c r="AC11" s="187" t="str">
        <f t="shared" si="5"/>
        <v/>
      </c>
      <c r="AD11" s="120"/>
      <c r="AE11" s="121"/>
      <c r="AF11" s="122" t="s">
        <v>24</v>
      </c>
      <c r="AG11" s="188">
        <f>IFERROR((((COUNTIF('Elève (6ème4)'!AD11:AF11,"A"))*4)+((COUNTIF('Elève (6ème4)'!AD11:AF11,"B"))*3)+((COUNTIF('Elève (6ème4)'!AD11:AF11,"C"))*2)+((COUNTIF('Elève (6ème4)'!AD11:AF11,"D"))*1))/(COUNTA(AD11:AF11)),"")</f>
        <v>3</v>
      </c>
      <c r="AH11" s="187" t="str">
        <f t="shared" si="6"/>
        <v>B</v>
      </c>
      <c r="AI11" s="188">
        <f>IF(COUNT(W11,AB11,AG11)=0,"",SUM(W11,AB11,AG11)/COUNT(W11,AB11,AG11))</f>
        <v>3</v>
      </c>
      <c r="AJ11" s="210" t="str">
        <f t="shared" si="7"/>
        <v>B</v>
      </c>
      <c r="AK11" s="125"/>
      <c r="AL11" s="121"/>
      <c r="AM11" s="122"/>
      <c r="AN11" s="188" t="str">
        <f>IFERROR((((COUNTIF('Elève (6ème4)'!AK11:AM11,"A"))*4)+((COUNTIF('Elève (6ème4)'!AK11:AM11,"B"))*3)+((COUNTIF('Elève (6ème4)'!AK11:AM11,"C"))*2)+((COUNTIF('Elève (6ème4)'!AK11:AM11,"D"))*1))/(COUNTA(AK11:AM11)),"")</f>
        <v/>
      </c>
      <c r="AO11" s="187" t="str">
        <f t="shared" si="8"/>
        <v/>
      </c>
      <c r="AP11" s="120"/>
      <c r="AQ11" s="121"/>
      <c r="AR11" s="122"/>
      <c r="AS11" s="188" t="str">
        <f>IFERROR((((COUNTIF('Elève (6ème4)'!AP11:AR11,"A"))*4)+((COUNTIF('Elève (6ème4)'!AP11:AR11,"B"))*3)+((COUNTIF('Elève (6ème4)'!AP11:AR11,"C"))*2)+((COUNTIF('Elève (6ème4)'!AP11:AR11,"D"))*1))/(COUNTA(AP11:AR11)),"")</f>
        <v/>
      </c>
      <c r="AT11" s="187" t="str">
        <f t="shared" si="9"/>
        <v/>
      </c>
      <c r="AU11" s="120"/>
      <c r="AV11" s="121"/>
      <c r="AW11" s="122" t="s">
        <v>23</v>
      </c>
      <c r="AX11" s="188">
        <f>IFERROR((((COUNTIF('Elève (6ème4)'!AU11:AW11,"A"))*4)+((COUNTIF('Elève (6ème4)'!AU11:AW11,"B"))*3)+((COUNTIF('Elève (6ème4)'!AU11:AW11,"C"))*2)+((COUNTIF('Elève (6ème4)'!AU11:AW11,"D"))*1))/(COUNTA(AU11:AW11)),"")</f>
        <v>4</v>
      </c>
      <c r="AY11" s="187" t="str">
        <f t="shared" si="10"/>
        <v>A</v>
      </c>
      <c r="AZ11" s="188">
        <f>IF(COUNT(AN11,AS11,AX11)=0,"",SUM(AN11,AS11,AX11)/COUNT(AN11,AS11,AX11))</f>
        <v>4</v>
      </c>
      <c r="BA11" s="210" t="str">
        <f t="shared" si="11"/>
        <v>A</v>
      </c>
      <c r="BB11" s="125"/>
      <c r="BC11" s="121"/>
      <c r="BD11" s="122"/>
      <c r="BE11" s="188" t="str">
        <f>IFERROR((((COUNTIF('Elève (6ème4)'!BB11:BD11,"A"))*4)+((COUNTIF('Elève (6ème4)'!BB11:BD11,"B"))*3)+((COUNTIF('Elève (6ème4)'!BB11:BD11,"C"))*2)+((COUNTIF('Elève (6ème4)'!BB11:BD11,"D"))*1))/(COUNTA(BB11:BD11)),"")</f>
        <v/>
      </c>
      <c r="BF11" s="187" t="str">
        <f t="shared" si="12"/>
        <v/>
      </c>
      <c r="BG11" s="120"/>
      <c r="BH11" s="121"/>
      <c r="BI11" s="122"/>
      <c r="BJ11" s="188" t="str">
        <f>IFERROR((((COUNTIF('Elève (6ème4)'!BG11:BI11,"A"))*4)+((COUNTIF('Elève (6ème4)'!BG11:BI11,"B"))*3)+((COUNTIF('Elève (6ème4)'!BG11:BI11,"C"))*2)+((COUNTIF('Elève (6ème4)'!BG11:BI11,"D"))*1))/(COUNTA(BG11:BI11)),"")</f>
        <v/>
      </c>
      <c r="BK11" s="187" t="str">
        <f t="shared" si="13"/>
        <v/>
      </c>
      <c r="BL11" s="120"/>
      <c r="BM11" s="121"/>
      <c r="BN11" s="122"/>
      <c r="BO11" s="188" t="str">
        <f>IFERROR((((COUNTIF('Elève (6ème4)'!BL11:BN11,"A"))*4)+((COUNTIF('Elève (6ème4)'!BL11:BN11,"B"))*3)+((COUNTIF('Elève (6ème4)'!BL11:BN11,"C"))*2)+((COUNTIF('Elève (6ème4)'!BL11:BN11,"D"))*1))/(COUNTA(BL11:BN11)),"")</f>
        <v/>
      </c>
      <c r="BP11" s="187" t="str">
        <f t="shared" si="14"/>
        <v/>
      </c>
      <c r="BQ11" s="188" t="str">
        <f>IF(COUNT(BE11,BJ11,BO11)=0,"",SUM(BE11,BJ11,BO11)/COUNT(BE11,BJ11,BO11))</f>
        <v/>
      </c>
      <c r="BR11" s="210" t="str">
        <f t="shared" si="15"/>
        <v/>
      </c>
      <c r="BS11" s="125"/>
      <c r="BT11" s="121"/>
      <c r="BU11" s="122"/>
      <c r="BV11" s="188" t="str">
        <f>IFERROR((((COUNTIF('Elève (6ème4)'!BS11:BU11,"A"))*4)+((COUNTIF('Elève (6ème4)'!BS11:BU11,"B"))*3)+((COUNTIF('Elève (6ème4)'!BS11:BU11,"C"))*2)+((COUNTIF('Elève (6ème4)'!BS11:BU11,"D"))*1))/(COUNTA(BS11:BU11)),"")</f>
        <v/>
      </c>
      <c r="BW11" s="187" t="str">
        <f t="shared" si="16"/>
        <v/>
      </c>
      <c r="BX11" s="120"/>
      <c r="BY11" s="121"/>
      <c r="BZ11" s="122"/>
      <c r="CA11" s="188" t="str">
        <f>IFERROR((((COUNTIF('Elève (6ème4)'!BX11:BZ11,"A"))*4)+((COUNTIF('Elève (6ème4)'!BX11:BZ11,"B"))*3)+((COUNTIF('Elève (6ème4)'!BX11:BZ11,"C"))*2)+((COUNTIF('Elève (6ème4)'!BX11:BZ11,"D"))*1))/(COUNTA(BX11:BZ11)),"")</f>
        <v/>
      </c>
      <c r="CB11" s="187" t="str">
        <f t="shared" si="17"/>
        <v/>
      </c>
      <c r="CC11" s="120"/>
      <c r="CD11" s="121"/>
      <c r="CE11" s="122" t="s">
        <v>24</v>
      </c>
      <c r="CF11" s="188">
        <f>IFERROR((((COUNTIF('Elève (6ème4)'!CC11:CE11,"A"))*4)+((COUNTIF('Elève (6ème4)'!CC11:CE11,"B"))*3)+((COUNTIF('Elève (6ème4)'!CC11:CE11,"C"))*2)+((COUNTIF('Elève (6ème4)'!CC11:CE11,"D"))*1))/(COUNTA(CC11:CE11)),"")</f>
        <v>3</v>
      </c>
      <c r="CG11" s="187" t="str">
        <f t="shared" si="18"/>
        <v>B</v>
      </c>
      <c r="CH11" s="188">
        <f>IF(COUNT(BV11,CA11,CF11)=0,"",SUM(BV11,CA11,CF11)/COUNT(BV11,CA11,CF11))</f>
        <v>3</v>
      </c>
      <c r="CI11" s="210" t="str">
        <f t="shared" si="19"/>
        <v>B</v>
      </c>
      <c r="CJ11" s="125"/>
      <c r="CK11" s="121"/>
      <c r="CL11" s="122"/>
      <c r="CM11" s="188" t="str">
        <f>IFERROR((((COUNTIF('Elève (6ème4)'!CJ11:CL11,"A"))*4)+((COUNTIF('Elève (6ème4)'!CJ11:CL11,"B"))*3)+((COUNTIF('Elève (6ème4)'!CJ11:CL11,"C"))*2)+((COUNTIF('Elève (6ème4)'!CJ11:CL11,"D"))*1))/(COUNTA(CJ11:CL11)),"")</f>
        <v/>
      </c>
      <c r="CN11" s="187" t="str">
        <f t="shared" si="20"/>
        <v/>
      </c>
      <c r="CO11" s="120"/>
      <c r="CP11" s="121"/>
      <c r="CQ11" s="122"/>
      <c r="CR11" s="188" t="str">
        <f>IFERROR((((COUNTIF('Elève (6ème4)'!CO11:CQ11,"A"))*4)+((COUNTIF('Elève (6ème4)'!CO11:CQ11,"B"))*3)+((COUNTIF('Elève (6ème4)'!CO11:CQ11,"C"))*2)+((COUNTIF('Elève (6ème4)'!CO11:CQ11,"D"))*1))/(COUNTA(CO11:CQ11)),"")</f>
        <v/>
      </c>
      <c r="CS11" s="187" t="str">
        <f t="shared" si="21"/>
        <v/>
      </c>
      <c r="CT11" s="120"/>
      <c r="CU11" s="121"/>
      <c r="CV11" s="122" t="s">
        <v>24</v>
      </c>
      <c r="CW11" s="188">
        <f>IFERROR((((COUNTIF('Elève (6ème4)'!CT11:CV11,"A"))*4)+((COUNTIF('Elève (6ème4)'!CT11:CV11,"B"))*3)+((COUNTIF('Elève (6ème4)'!CT11:CV11,"C"))*2)+((COUNTIF('Elève (6ème4)'!CT11:CV11,"D"))*1))/(COUNTA(CT11:CV11)),"")</f>
        <v>3</v>
      </c>
      <c r="CX11" s="187" t="str">
        <f t="shared" si="22"/>
        <v>B</v>
      </c>
      <c r="CY11" s="188">
        <f>IF(COUNT(CM11,CR11,CW11)=0,"",SUM(CM11,CR11,CW11)/COUNT(CM11,CR11,CW11))</f>
        <v>3</v>
      </c>
      <c r="CZ11" s="210" t="str">
        <f t="shared" si="23"/>
        <v>B</v>
      </c>
      <c r="DA11" s="125"/>
      <c r="DB11" s="121"/>
      <c r="DC11" s="122"/>
      <c r="DD11" s="188" t="str">
        <f>IFERROR((((COUNTIF('Elève (6ème4)'!DA11:DC11,"A"))*4)+((COUNTIF('Elève (6ème4)'!DA11:DC11,"B"))*3)+((COUNTIF('Elève (6ème4)'!DA11:DC11,"C"))*2)+((COUNTIF('Elève (6ème4)'!DA11:DC11,"D"))*1))/(COUNTA(DA11:DC11)),"")</f>
        <v/>
      </c>
      <c r="DE11" s="187" t="str">
        <f t="shared" si="24"/>
        <v/>
      </c>
      <c r="DF11" s="120"/>
      <c r="DG11" s="121"/>
      <c r="DH11" s="122"/>
      <c r="DI11" s="188" t="str">
        <f>IFERROR((((COUNTIF('Elève (6ème4)'!DF11:DH11,"A"))*4)+((COUNTIF('Elève (6ème4)'!DF11:DH11,"B"))*3)+((COUNTIF('Elève (6ème4)'!DF11:DH11,"C"))*2)+((COUNTIF('Elève (6ème4)'!DF11:DH11,"D"))*1))/(COUNTA(DF11:DH11)),"")</f>
        <v/>
      </c>
      <c r="DJ11" s="187" t="str">
        <f t="shared" si="25"/>
        <v/>
      </c>
      <c r="DK11" s="120"/>
      <c r="DL11" s="121"/>
      <c r="DM11" s="122" t="s">
        <v>24</v>
      </c>
      <c r="DN11" s="188">
        <f>IFERROR((((COUNTIF('Elève (6ème4)'!DK11:DM11,"A"))*4)+((COUNTIF('Elève (6ème4)'!DK11:DM11,"B"))*3)+((COUNTIF('Elève (6ème4)'!DK11:DM11,"C"))*2)+((COUNTIF('Elève (6ème4)'!DK11:DM11,"D"))*1))/(COUNTA(DK11:DM11)),"")</f>
        <v>3</v>
      </c>
      <c r="DO11" s="187" t="str">
        <f t="shared" si="26"/>
        <v>B</v>
      </c>
      <c r="DP11" s="188">
        <f>IF(COUNT(DD11,DI11,DN11)=0,"",SUM(DD11,DI11,DN11)/COUNT(DD11,DI11,DN11))</f>
        <v>3</v>
      </c>
      <c r="DQ11" s="210" t="str">
        <f t="shared" si="27"/>
        <v>B</v>
      </c>
      <c r="DR11" s="125"/>
      <c r="DS11" s="121"/>
      <c r="DT11" s="122"/>
      <c r="DU11" s="188" t="str">
        <f>IFERROR((((COUNTIF('Elève (6ème4)'!DR11:DT11,"A"))*4)+((COUNTIF('Elève (6ème4)'!DR11:DT11,"B"))*3)+((COUNTIF('Elève (6ème4)'!DR11:DT11,"C"))*2)+((COUNTIF('Elève (6ème4)'!DR11:DT11,"D"))*1))/(COUNTA(DR11:DT11)),"")</f>
        <v/>
      </c>
      <c r="DV11" s="187" t="str">
        <f t="shared" si="28"/>
        <v/>
      </c>
      <c r="DW11" s="120"/>
      <c r="DX11" s="121"/>
      <c r="DY11" s="122"/>
      <c r="DZ11" s="188" t="str">
        <f>IFERROR((((COUNTIF('Elève (6ème4)'!DW11:DY11,"A"))*4)+((COUNTIF('Elève (6ème4)'!DW11:DY11,"B"))*3)+((COUNTIF('Elève (6ème4)'!DW11:DY11,"C"))*2)+((COUNTIF('Elève (6ème4)'!DW11:DY11,"D"))*1))/(COUNTA(DW11:DY11)),"")</f>
        <v/>
      </c>
      <c r="EA11" s="187" t="str">
        <f t="shared" si="29"/>
        <v/>
      </c>
      <c r="EB11" s="120"/>
      <c r="EC11" s="121"/>
      <c r="ED11" s="122" t="s">
        <v>26</v>
      </c>
      <c r="EE11" s="188">
        <f>IFERROR((((COUNTIF('Elève (6ème4)'!EB11:ED11,"A"))*4)+((COUNTIF('Elève (6ème4)'!EB11:ED11,"B"))*3)+((COUNTIF('Elève (6ème4)'!EB11:ED11,"C"))*2)+((COUNTIF('Elève (6ème4)'!EB11:ED11,"D"))*1))/(COUNTA(EB11:ED11)),"")</f>
        <v>1</v>
      </c>
      <c r="EF11" s="187" t="str">
        <f t="shared" si="30"/>
        <v>D</v>
      </c>
      <c r="EG11" s="188">
        <f>IF(COUNT(DU11,DZ11,EE11)=0,"",SUM(DU11,DZ11,EE11)/COUNT(DU11,DZ11,EE11))</f>
        <v>1</v>
      </c>
      <c r="EH11" s="210" t="str">
        <f t="shared" si="31"/>
        <v>D</v>
      </c>
      <c r="EI11" s="125"/>
      <c r="EJ11" s="121"/>
      <c r="EK11" s="122"/>
      <c r="EL11" s="188" t="str">
        <f>IFERROR((((COUNTIF('Elève (6ème4)'!EI11:EK11,"A"))*4)+((COUNTIF('Elève (6ème4)'!EI11:EK11,"B"))*3)+((COUNTIF('Elève (6ème4)'!EI11:EK11,"C"))*2)+((COUNTIF('Elève (6ème4)'!EI11:EK11,"D"))*1))/(COUNTA(EI11:EK11)),"")</f>
        <v/>
      </c>
      <c r="EM11" s="187" t="str">
        <f t="shared" si="32"/>
        <v/>
      </c>
      <c r="EN11" s="120"/>
      <c r="EO11" s="121"/>
      <c r="EP11" s="122"/>
      <c r="EQ11" s="188" t="str">
        <f>IFERROR((((COUNTIF('Elève (6ème4)'!EN11:EP11,"A"))*4)+((COUNTIF('Elève (6ème4)'!EN11:EP11,"B"))*3)+((COUNTIF('Elève (6ème4)'!EN11:EP11,"C"))*2)+((COUNTIF('Elève (6ème4)'!EN11:EP11,"D"))*1))/(COUNTA(EN11:EP11)),"")</f>
        <v/>
      </c>
      <c r="ER11" s="187" t="str">
        <f t="shared" si="33"/>
        <v/>
      </c>
      <c r="ES11" s="120"/>
      <c r="ET11" s="121"/>
      <c r="EU11" s="122" t="s">
        <v>23</v>
      </c>
      <c r="EV11" s="188">
        <f>IFERROR((((COUNTIF('Elève (6ème4)'!ES11:EU11,"A"))*4)+((COUNTIF('Elève (6ème4)'!ES11:EU11,"B"))*3)+((COUNTIF('Elève (6ème4)'!ES11:EU11,"C"))*2)+((COUNTIF('Elève (6ème4)'!ES11:EU11,"D"))*1))/(COUNTA(ES11:EU11)),"")</f>
        <v>4</v>
      </c>
      <c r="EW11" s="187" t="str">
        <f t="shared" si="34"/>
        <v>A</v>
      </c>
      <c r="EX11" s="188">
        <f>IF(COUNT(EL11,EQ11,EV11)=0,"",SUM(EL11,EQ11,EV11)/COUNT(EL11,EQ11,EV11))</f>
        <v>4</v>
      </c>
      <c r="EY11" s="210" t="str">
        <f t="shared" si="35"/>
        <v>A</v>
      </c>
      <c r="EZ11" s="125"/>
      <c r="FA11" s="121"/>
      <c r="FB11" s="122"/>
      <c r="FC11" s="188" t="str">
        <f>IFERROR((((COUNTIF('Elève (6ème4)'!EZ11:FB11,"A"))*4)+((COUNTIF('Elève (6ème4)'!EZ11:FB11,"B"))*3)+((COUNTIF('Elève (6ème4)'!EZ11:FB11,"C"))*2)+((COUNTIF('Elève (6ème4)'!EZ11:FB11,"D"))*1))/(COUNTA(EZ11:FB11)),"")</f>
        <v/>
      </c>
      <c r="FD11" s="187" t="str">
        <f t="shared" si="36"/>
        <v/>
      </c>
      <c r="FE11" s="120"/>
      <c r="FF11" s="121"/>
      <c r="FG11" s="122"/>
      <c r="FH11" s="188" t="str">
        <f>IFERROR((((COUNTIF('Elève (6ème4)'!FE11:FG11,"A"))*4)+((COUNTIF('Elève (6ème4)'!FE11:FG11,"B"))*3)+((COUNTIF('Elève (6ème4)'!FE11:FG11,"C"))*2)+((COUNTIF('Elève (6ème4)'!FE11:FG11,"D"))*1))/(COUNTA(FE11:FG11)),"")</f>
        <v/>
      </c>
      <c r="FI11" s="187" t="str">
        <f t="shared" si="37"/>
        <v/>
      </c>
      <c r="FJ11" s="120"/>
      <c r="FK11" s="121"/>
      <c r="FL11" s="122" t="s">
        <v>24</v>
      </c>
      <c r="FM11" s="188">
        <f>IFERROR((((COUNTIF('Elève (6ème4)'!FJ11:FL11,"A"))*4)+((COUNTIF('Elève (6ème4)'!FJ11:FL11,"B"))*3)+((COUNTIF('Elève (6ème4)'!FJ11:FL11,"C"))*2)+((COUNTIF('Elève (6ème4)'!FJ11:FL11,"D"))*1))/(COUNTA(FJ11:FL11)),"")</f>
        <v>3</v>
      </c>
      <c r="FN11" s="187" t="str">
        <f t="shared" si="38"/>
        <v>B</v>
      </c>
      <c r="FO11" s="188">
        <f>IF(COUNT(FC11,FH11,FM11)=0,"",SUM(FC11,FH11,FM11)/COUNT(FC11,FH11,FM11))</f>
        <v>3</v>
      </c>
      <c r="FP11" s="210" t="str">
        <f t="shared" si="39"/>
        <v>B</v>
      </c>
      <c r="FQ11" s="125"/>
      <c r="FR11" s="121"/>
      <c r="FS11" s="122"/>
      <c r="FT11" s="188" t="str">
        <f>IFERROR((((COUNTIF('Elève (6ème4)'!FQ11:FS11,"A"))*4)+((COUNTIF('Elève (6ème4)'!FQ11:FS11,"B"))*3)+((COUNTIF('Elève (6ème4)'!FQ11:FS11,"C"))*2)+((COUNTIF('Elève (6ème4)'!FQ11:FS11,"D"))*1))/(COUNTA(FQ11:FS11)),"")</f>
        <v/>
      </c>
      <c r="FU11" s="187" t="str">
        <f t="shared" si="40"/>
        <v/>
      </c>
      <c r="FV11" s="120"/>
      <c r="FW11" s="121"/>
      <c r="FX11" s="122"/>
      <c r="FY11" s="188" t="str">
        <f>IFERROR((((COUNTIF('Elève (6ème4)'!FV11:FX11,"A"))*4)+((COUNTIF('Elève (6ème4)'!FV11:FX11,"B"))*3)+((COUNTIF('Elève (6ème4)'!FV11:FX11,"C"))*2)+((COUNTIF('Elève (6ème4)'!FV11:FX11,"D"))*1))/(COUNTA(FV11:FX11)),"")</f>
        <v/>
      </c>
      <c r="FZ11" s="187" t="str">
        <f t="shared" si="41"/>
        <v/>
      </c>
      <c r="GA11" s="120"/>
      <c r="GB11" s="121"/>
      <c r="GC11" s="122" t="s">
        <v>24</v>
      </c>
      <c r="GD11" s="188">
        <f>IFERROR((((COUNTIF('Elève (6ème4)'!GA11:GC11,"A"))*4)+((COUNTIF('Elève (6ème4)'!GA11:GC11,"B"))*3)+((COUNTIF('Elève (6ème4)'!GA11:GC11,"C"))*2)+((COUNTIF('Elève (6ème4)'!GA11:GC11,"D"))*1))/(COUNTA(GA11:GC11)),"")</f>
        <v>3</v>
      </c>
      <c r="GE11" s="187" t="str">
        <f t="shared" si="42"/>
        <v>B</v>
      </c>
      <c r="GF11" s="188">
        <f>IF(COUNT(FT11,FY11,GD11)=0,"",SUM(FT11,FY11,GD11)/COUNT(FT11,FY11,GD11))</f>
        <v>3</v>
      </c>
      <c r="GG11" s="210" t="str">
        <f t="shared" si="43"/>
        <v>B</v>
      </c>
      <c r="GH11" s="125"/>
      <c r="GI11" s="121"/>
      <c r="GJ11" s="122"/>
      <c r="GK11" s="188" t="str">
        <f>IFERROR((((COUNTIF('Elève (6ème4)'!GH11:GJ11,"A"))*4)+((COUNTIF('Elève (6ème4)'!GH11:GJ11,"B"))*3)+((COUNTIF('Elève (6ème4)'!GH11:GJ11,"C"))*2)+((COUNTIF('Elève (6ème4)'!GH11:GJ11,"D"))*1))/(COUNTA(GH11:GJ11)),"")</f>
        <v/>
      </c>
      <c r="GL11" s="187" t="str">
        <f t="shared" si="44"/>
        <v/>
      </c>
      <c r="GM11" s="120"/>
      <c r="GN11" s="121"/>
      <c r="GO11" s="122"/>
      <c r="GP11" s="188" t="str">
        <f>IFERROR((((COUNTIF('Elève (6ème4)'!GM11:GO11,"A"))*4)+((COUNTIF('Elève (6ème4)'!GM11:GO11,"B"))*3)+((COUNTIF('Elève (6ème4)'!GM11:GO11,"C"))*2)+((COUNTIF('Elève (6ème4)'!GM11:GO11,"D"))*1))/(COUNTA(GM11:GO11)),"")</f>
        <v/>
      </c>
      <c r="GQ11" s="187" t="str">
        <f t="shared" si="45"/>
        <v/>
      </c>
      <c r="GR11" s="120"/>
      <c r="GS11" s="121"/>
      <c r="GT11" s="122" t="s">
        <v>24</v>
      </c>
      <c r="GU11" s="188">
        <f>IFERROR((((COUNTIF('Elève (6ème4)'!GR11:GT11,"A"))*4)+((COUNTIF('Elève (6ème4)'!GR11:GT11,"B"))*3)+((COUNTIF('Elève (6ème4)'!GR11:GT11,"C"))*2)+((COUNTIF('Elève (6ème4)'!GR11:GT11,"D"))*1))/(COUNTA(GR11:GT11)),"")</f>
        <v>3</v>
      </c>
      <c r="GV11" s="187" t="str">
        <f t="shared" si="46"/>
        <v>B</v>
      </c>
      <c r="GW11" s="188">
        <f>IF(COUNT(GK11,GP11,GU11)=0,"",SUM(GK11,GP11,GU11)/COUNT(GK11,GP11,GU11))</f>
        <v>3</v>
      </c>
      <c r="GX11" s="210" t="str">
        <f t="shared" si="47"/>
        <v>B</v>
      </c>
      <c r="GY11" s="125"/>
      <c r="GZ11" s="121"/>
      <c r="HA11" s="122"/>
      <c r="HB11" s="188" t="str">
        <f>IFERROR((((COUNTIF('Elève (6ème4)'!GY11:HA11,"A"))*4)+((COUNTIF('Elève (6ème4)'!GY11:HA11,"B"))*3)+((COUNTIF('Elève (6ème4)'!GY11:HA11,"C"))*2)+((COUNTIF('Elève (6ème4)'!GY11:HA11,"D"))*1))/(COUNTA(GY11:HA11)),"")</f>
        <v/>
      </c>
      <c r="HC11" s="187" t="str">
        <f t="shared" si="48"/>
        <v/>
      </c>
      <c r="HD11" s="120"/>
      <c r="HE11" s="121"/>
      <c r="HF11" s="122"/>
      <c r="HG11" s="188" t="str">
        <f>IFERROR((((COUNTIF('Elève (6ème4)'!HD11:HF11,"A"))*4)+((COUNTIF('Elève (6ème4)'!HD11:HF11,"B"))*3)+((COUNTIF('Elève (6ème4)'!HD11:HF11,"C"))*2)+((COUNTIF('Elève (6ème4)'!HD11:HF11,"D"))*1))/(COUNTA(HD11:HF11)),"")</f>
        <v/>
      </c>
      <c r="HH11" s="187" t="str">
        <f t="shared" si="49"/>
        <v/>
      </c>
      <c r="HI11" s="120"/>
      <c r="HJ11" s="121"/>
      <c r="HK11" s="122" t="s">
        <v>23</v>
      </c>
      <c r="HL11" s="188">
        <f>IFERROR((((COUNTIF('Elève (6ème4)'!HI11:HK11,"A"))*4)+((COUNTIF('Elève (6ème4)'!HI11:HK11,"B"))*3)+((COUNTIF('Elève (6ème4)'!HI11:HK11,"C"))*2)+((COUNTIF('Elève (6ème4)'!HI11:HK11,"D"))*1))/(COUNTA(HI11:HK11)),"")</f>
        <v>4</v>
      </c>
      <c r="HM11" s="187" t="str">
        <f t="shared" si="50"/>
        <v>A</v>
      </c>
      <c r="HN11" s="188">
        <f>IF(COUNT(HB11,HG11,HL11)=0,"",SUM(HB11,HG11,HL11)/COUNT(HB11,HG11,HL11))</f>
        <v>4</v>
      </c>
      <c r="HO11" s="210" t="str">
        <f t="shared" si="51"/>
        <v>A</v>
      </c>
      <c r="HP11" s="125"/>
      <c r="HQ11" s="121"/>
      <c r="HR11" s="122"/>
      <c r="HS11" s="188" t="str">
        <f>IFERROR((((COUNTIF('Elève (6ème4)'!HP11:HR11,"A"))*4)+((COUNTIF('Elève (6ème4)'!HP11:HR11,"B"))*3)+((COUNTIF('Elève (6ème4)'!HP11:HR11,"C"))*2)+((COUNTIF('Elève (6ème4)'!HP11:HR11,"D"))*1))/(COUNTA(HP11:HR11)),"")</f>
        <v/>
      </c>
      <c r="HT11" s="187" t="str">
        <f t="shared" si="52"/>
        <v/>
      </c>
      <c r="HU11" s="120"/>
      <c r="HV11" s="121"/>
      <c r="HW11" s="122"/>
      <c r="HX11" s="188" t="str">
        <f>IFERROR((((COUNTIF('Elève (6ème4)'!HU11:HW11,"A"))*4)+((COUNTIF('Elève (6ème4)'!HU11:HW11,"B"))*3)+((COUNTIF('Elève (6ème4)'!HU11:HW11,"C"))*2)+((COUNTIF('Elève (6ème4)'!HU11:HW11,"D"))*1))/(COUNTA(HU11:HW11)),"")</f>
        <v/>
      </c>
      <c r="HY11" s="187" t="str">
        <f t="shared" si="53"/>
        <v/>
      </c>
      <c r="HZ11" s="120"/>
      <c r="IA11" s="121"/>
      <c r="IB11" s="122" t="s">
        <v>23</v>
      </c>
      <c r="IC11" s="188">
        <f>IFERROR((((COUNTIF('Elève (6ème4)'!HZ11:IB11,"A"))*4)+((COUNTIF('Elève (6ème4)'!HZ11:IB11,"B"))*3)+((COUNTIF('Elève (6ème4)'!HZ11:IB11,"C"))*2)+((COUNTIF('Elève (6ème4)'!HZ11:IB11,"D"))*1))/(COUNTA(HZ11:IB11)),"")</f>
        <v>4</v>
      </c>
      <c r="ID11" s="187" t="str">
        <f t="shared" si="54"/>
        <v>A</v>
      </c>
      <c r="IE11" s="188">
        <f>IF(COUNT(HS11,HX11,IC11)=0,"",SUM(HS11,HX11,IC11)/COUNT(HS11,HX11,IC11))</f>
        <v>4</v>
      </c>
      <c r="IF11" s="210" t="str">
        <f t="shared" si="55"/>
        <v>A</v>
      </c>
      <c r="IG11" s="125"/>
      <c r="IH11" s="121"/>
      <c r="II11" s="122"/>
      <c r="IJ11" s="188" t="str">
        <f>IFERROR((((COUNTIF('Elève (6ème4)'!IG11:II11,"A"))*4)+((COUNTIF('Elève (6ème4)'!IG11:II11,"B"))*3)+((COUNTIF('Elève (6ème4)'!IG11:II11,"C"))*2)+((COUNTIF('Elève (6ème4)'!IG11:II11,"D"))*1))/(COUNTA(IG11:II11)),"")</f>
        <v/>
      </c>
      <c r="IK11" s="187" t="str">
        <f t="shared" si="56"/>
        <v/>
      </c>
      <c r="IL11" s="120"/>
      <c r="IM11" s="121"/>
      <c r="IN11" s="122"/>
      <c r="IO11" s="188" t="str">
        <f>IFERROR((((COUNTIF('Elève (6ème4)'!IL11:IN11,"A"))*4)+((COUNTIF('Elève (6ème4)'!IL11:IN11,"B"))*3)+((COUNTIF('Elève (6ème4)'!IL11:IN11,"C"))*2)+((COUNTIF('Elève (6ème4)'!IL11:IN11,"D"))*1))/(COUNTA(IL11:IN11)),"")</f>
        <v/>
      </c>
      <c r="IP11" s="187" t="str">
        <f t="shared" si="57"/>
        <v/>
      </c>
      <c r="IQ11" s="120"/>
      <c r="IR11" s="121"/>
      <c r="IS11" s="122" t="s">
        <v>23</v>
      </c>
      <c r="IT11" s="188">
        <f>IFERROR((((COUNTIF('Elève (6ème4)'!IQ11:IS11,"A"))*4)+((COUNTIF('Elève (6ème4)'!IQ11:IS11,"B"))*3)+((COUNTIF('Elève (6ème4)'!IQ11:IS11,"C"))*2)+((COUNTIF('Elève (6ème4)'!IQ11:IS11,"D"))*1))/(COUNTA(IQ11:IS11)),"")</f>
        <v>4</v>
      </c>
      <c r="IU11" s="187" t="str">
        <f t="shared" si="58"/>
        <v>A</v>
      </c>
      <c r="IV11" s="188">
        <f>IF(COUNT(IJ11,IO11,IT11)=0,"",SUM(IJ11,IO11,IT11)/COUNT(IJ11,IO11,IT11))</f>
        <v>4</v>
      </c>
      <c r="IW11" s="210" t="str">
        <f t="shared" si="59"/>
        <v>A</v>
      </c>
      <c r="IX11" s="125"/>
      <c r="IY11" s="121"/>
      <c r="IZ11" s="122"/>
      <c r="JA11" s="188" t="str">
        <f>IFERROR((((COUNTIF('Elève (6ème4)'!IX11:IZ11,"A"))*4)+((COUNTIF('Elève (6ème4)'!IX11:IZ11,"B"))*3)+((COUNTIF('Elève (6ème4)'!IX11:IZ11,"C"))*2)+((COUNTIF('Elève (6ème4)'!IX11:IZ11,"D"))*1))/(COUNTA(IX11:IZ11)),"")</f>
        <v/>
      </c>
      <c r="JB11" s="187" t="str">
        <f t="shared" si="60"/>
        <v/>
      </c>
      <c r="JC11" s="120"/>
      <c r="JD11" s="121"/>
      <c r="JE11" s="122"/>
      <c r="JF11" s="188" t="str">
        <f>IFERROR((((COUNTIF('Elève (6ème4)'!JC11:JE11,"A"))*4)+((COUNTIF('Elève (6ème4)'!JC11:JE11,"B"))*3)+((COUNTIF('Elève (6ème4)'!JC11:JE11,"C"))*2)+((COUNTIF('Elève (6ème4)'!JC11:JE11,"D"))*1))/(COUNTA(JC11:JE11)),"")</f>
        <v/>
      </c>
      <c r="JG11" s="187" t="str">
        <f t="shared" si="61"/>
        <v/>
      </c>
      <c r="JH11" s="120"/>
      <c r="JI11" s="121"/>
      <c r="JJ11" s="122" t="s">
        <v>24</v>
      </c>
      <c r="JK11" s="188">
        <f>IFERROR((((COUNTIF('Elève (6ème4)'!JH11:JJ11,"A"))*4)+((COUNTIF('Elève (6ème4)'!JH11:JJ11,"B"))*3)+((COUNTIF('Elève (6ème4)'!JH11:JJ11,"C"))*2)+((COUNTIF('Elève (6ème4)'!JH11:JJ11,"D"))*1))/(COUNTA(JH11:JJ11)),"")</f>
        <v>3</v>
      </c>
      <c r="JL11" s="187" t="str">
        <f t="shared" si="62"/>
        <v>B</v>
      </c>
      <c r="JM11" s="188">
        <f>IF(COUNT(JA11,JF11,JK11)=0,"",SUM(JA11,JF11,JK11)/COUNT(JA11,JF11,JK11))</f>
        <v>3</v>
      </c>
      <c r="JN11" s="210" t="str">
        <f t="shared" si="63"/>
        <v>B</v>
      </c>
      <c r="JO11" s="125"/>
      <c r="JP11" s="121"/>
      <c r="JQ11" s="122"/>
      <c r="JR11" s="188" t="str">
        <f>IFERROR((((COUNTIF('Elève (6ème4)'!JO11:JQ11,"A"))*4)+((COUNTIF('Elève (6ème4)'!JO11:JQ11,"B"))*3)+((COUNTIF('Elève (6ème4)'!JO11:JQ11,"C"))*2)+((COUNTIF('Elève (6ème4)'!JO11:JQ11,"D"))*1))/(COUNTA(JO11:JQ11)),"")</f>
        <v/>
      </c>
      <c r="JS11" s="187" t="str">
        <f t="shared" si="64"/>
        <v/>
      </c>
      <c r="JT11" s="120"/>
      <c r="JU11" s="121"/>
      <c r="JV11" s="122"/>
      <c r="JW11" s="188" t="str">
        <f>IFERROR((((COUNTIF('Elève (6ème4)'!JT11:JV11,"A"))*4)+((COUNTIF('Elève (6ème4)'!JT11:JV11,"B"))*3)+((COUNTIF('Elève (6ème4)'!JT11:JV11,"C"))*2)+((COUNTIF('Elève (6ème4)'!JT11:JV11,"D"))*1))/(COUNTA(JT11:JV11)),"")</f>
        <v/>
      </c>
      <c r="JX11" s="187" t="str">
        <f t="shared" si="65"/>
        <v/>
      </c>
      <c r="JY11" s="120"/>
      <c r="JZ11" s="121"/>
      <c r="KA11" s="122" t="s">
        <v>24</v>
      </c>
      <c r="KB11" s="188">
        <f>IFERROR((((COUNTIF('Elève (6ème4)'!JY11:KA11,"A"))*4)+((COUNTIF('Elève (6ème4)'!JY11:KA11,"B"))*3)+((COUNTIF('Elève (6ème4)'!JY11:KA11,"C"))*2)+((COUNTIF('Elève (6ème4)'!JY11:KA11,"D"))*1))/(COUNTA(JY11:KA11)),"")</f>
        <v>3</v>
      </c>
      <c r="KC11" s="187" t="str">
        <f t="shared" si="66"/>
        <v>B</v>
      </c>
      <c r="KD11" s="188">
        <f>IF(COUNT(JR11,JW11,KB11)=0,"",SUM(JR11,JW11,KB11)/COUNT(JR11,JW11,KB11))</f>
        <v>3</v>
      </c>
      <c r="KE11" s="210" t="str">
        <f t="shared" si="67"/>
        <v>B</v>
      </c>
      <c r="KF11" s="125"/>
      <c r="KG11" s="121"/>
      <c r="KH11" s="122"/>
      <c r="KI11" s="188" t="str">
        <f>IFERROR((((COUNTIF('Elève (6ème4)'!KF11:KH11,"A"))*4)+((COUNTIF('Elève (6ème4)'!KF11:KH11,"B"))*3)+((COUNTIF('Elève (6ème4)'!KF11:KH11,"C"))*2)+((COUNTIF('Elève (6ème4)'!KF11:KH11,"D"))*1))/(COUNTA(KF11:KH11)),"")</f>
        <v/>
      </c>
      <c r="KJ11" s="187" t="str">
        <f t="shared" si="68"/>
        <v/>
      </c>
      <c r="KK11" s="120"/>
      <c r="KL11" s="121"/>
      <c r="KM11" s="122"/>
      <c r="KN11" s="188" t="str">
        <f>IFERROR((((COUNTIF('Elève (6ème4)'!KK11:KM11,"A"))*4)+((COUNTIF('Elève (6ème4)'!KK11:KM11,"B"))*3)+((COUNTIF('Elève (6ème4)'!KK11:KM11,"C"))*2)+((COUNTIF('Elève (6ème4)'!KK11:KM11,"D"))*1))/(COUNTA(KK11:KM11)),"")</f>
        <v/>
      </c>
      <c r="KO11" s="187" t="str">
        <f t="shared" si="69"/>
        <v/>
      </c>
      <c r="KP11" s="120"/>
      <c r="KQ11" s="121"/>
      <c r="KR11" s="122" t="s">
        <v>24</v>
      </c>
      <c r="KS11" s="188">
        <f>IFERROR((((COUNTIF('Elève (6ème4)'!KP11:KR11,"A"))*4)+((COUNTIF('Elève (6ème4)'!KP11:KR11,"B"))*3)+((COUNTIF('Elève (6ème4)'!KP11:KR11,"C"))*2)+((COUNTIF('Elève (6ème4)'!KP11:KR11,"D"))*1))/(COUNTA(KP11:KR11)),"")</f>
        <v>3</v>
      </c>
      <c r="KT11" s="187" t="str">
        <f t="shared" si="70"/>
        <v>B</v>
      </c>
      <c r="KU11" s="188">
        <f>IF(COUNT(KI11,KN11,KS11)=0,"",SUM(KI11,KN11,KS11)/COUNT(KI11,KN11,KS11))</f>
        <v>3</v>
      </c>
      <c r="KV11" s="210" t="str">
        <f t="shared" si="71"/>
        <v>B</v>
      </c>
      <c r="KW11" s="125"/>
      <c r="KX11" s="121"/>
      <c r="KY11" s="122"/>
      <c r="KZ11" s="188" t="str">
        <f>IFERROR((((COUNTIF('Elève (6ème4)'!KW11:KY11,"A"))*4)+((COUNTIF('Elève (6ème4)'!KW11:KY11,"B"))*3)+((COUNTIF('Elève (6ème4)'!KW11:KY11,"C"))*2)+((COUNTIF('Elève (6ème4)'!KW11:KY11,"D"))*1))/(COUNTA(KW11:KY11)),"")</f>
        <v/>
      </c>
      <c r="LA11" s="187" t="str">
        <f t="shared" si="72"/>
        <v/>
      </c>
      <c r="LB11" s="120"/>
      <c r="LC11" s="121"/>
      <c r="LD11" s="122"/>
      <c r="LE11" s="188" t="str">
        <f>IFERROR((((COUNTIF('Elève (6ème4)'!LB11:LD11,"A"))*4)+((COUNTIF('Elève (6ème4)'!LB11:LD11,"B"))*3)+((COUNTIF('Elève (6ème4)'!LB11:LD11,"C"))*2)+((COUNTIF('Elève (6ème4)'!LB11:LD11,"D"))*1))/(COUNTA(LB11:LD11)),"")</f>
        <v/>
      </c>
      <c r="LF11" s="187" t="str">
        <f t="shared" si="73"/>
        <v/>
      </c>
      <c r="LG11" s="120"/>
      <c r="LH11" s="121"/>
      <c r="LI11" s="122" t="s">
        <v>23</v>
      </c>
      <c r="LJ11" s="188">
        <f>IFERROR((((COUNTIF('Elève (6ème4)'!LG11:LI11,"A"))*4)+((COUNTIF('Elève (6ème4)'!LG11:LI11,"B"))*3)+((COUNTIF('Elève (6ème4)'!LG11:LI11,"C"))*2)+((COUNTIF('Elève (6ème4)'!LG11:LI11,"D"))*1))/(COUNTA(LG11:LI11)),"")</f>
        <v>4</v>
      </c>
      <c r="LK11" s="187" t="str">
        <f t="shared" si="74"/>
        <v>A</v>
      </c>
      <c r="LL11" s="188">
        <f>IF(COUNT(KZ11,LE11,LJ11)=0,"",SUM(KZ11,LE11,LJ11)/COUNT(KZ11,LE11,LJ11))</f>
        <v>4</v>
      </c>
      <c r="LM11" s="210" t="str">
        <f t="shared" si="75"/>
        <v>A</v>
      </c>
      <c r="LN11" s="125"/>
      <c r="LO11" s="121"/>
      <c r="LP11" s="122"/>
      <c r="LQ11" s="188" t="str">
        <f>IFERROR((((COUNTIF('Elève (6ème4)'!LN11:LP11,"A"))*4)+((COUNTIF('Elève (6ème4)'!LN11:LP11,"B"))*3)+((COUNTIF('Elève (6ème4)'!LN11:LP11,"C"))*2)+((COUNTIF('Elève (6ème4)'!LN11:LP11,"D"))*1))/(COUNTA(LN11:LP11)),"")</f>
        <v/>
      </c>
      <c r="LR11" s="187" t="str">
        <f t="shared" si="76"/>
        <v/>
      </c>
      <c r="LS11" s="120"/>
      <c r="LT11" s="121"/>
      <c r="LU11" s="122"/>
      <c r="LV11" s="188" t="str">
        <f>IFERROR((((COUNTIF('Elève (6ème4)'!LS11:LU11,"A"))*4)+((COUNTIF('Elève (6ème4)'!LS11:LU11,"B"))*3)+((COUNTIF('Elève (6ème4)'!LS11:LU11,"C"))*2)+((COUNTIF('Elève (6ème4)'!LS11:LU11,"D"))*1))/(COUNTA(LS11:LU11)),"")</f>
        <v/>
      </c>
      <c r="LW11" s="187" t="str">
        <f t="shared" si="77"/>
        <v/>
      </c>
      <c r="LX11" s="120"/>
      <c r="LY11" s="121"/>
      <c r="LZ11" s="122" t="s">
        <v>23</v>
      </c>
      <c r="MA11" s="188">
        <f>IFERROR((((COUNTIF('Elève (6ème4)'!LX11:LZ11,"A"))*4)+((COUNTIF('Elève (6ème4)'!LX11:LZ11,"B"))*3)+((COUNTIF('Elève (6ème4)'!LX11:LZ11,"C"))*2)+((COUNTIF('Elève (6ème4)'!LX11:LZ11,"D"))*1))/(COUNTA(LX11:LZ11)),"")</f>
        <v>4</v>
      </c>
      <c r="MB11" s="187" t="str">
        <f t="shared" si="78"/>
        <v>A</v>
      </c>
      <c r="MC11" s="188">
        <f>IF(COUNT(LQ11,LV11,MA11)=0,"",SUM(LQ11,LV11,MA11)/COUNT(LQ11,LV11,MA11))</f>
        <v>4</v>
      </c>
      <c r="MD11" s="210" t="str">
        <f t="shared" si="79"/>
        <v>A</v>
      </c>
      <c r="ME11" s="125"/>
      <c r="MF11" s="121"/>
      <c r="MG11" s="122"/>
      <c r="MH11" s="188" t="str">
        <f>IFERROR((((COUNTIF('Elève (6ème4)'!ME11:MG11,"A"))*4)+((COUNTIF('Elève (6ème4)'!ME11:MG11,"B"))*3)+((COUNTIF('Elève (6ème4)'!ME11:MG11,"C"))*2)+((COUNTIF('Elève (6ème4)'!ME11:MG11,"D"))*1))/(COUNTA(ME11:MG11)),"")</f>
        <v/>
      </c>
      <c r="MI11" s="187" t="str">
        <f t="shared" si="80"/>
        <v/>
      </c>
      <c r="MJ11" s="120"/>
      <c r="MK11" s="121"/>
      <c r="ML11" s="122"/>
      <c r="MM11" s="188" t="str">
        <f>IFERROR((((COUNTIF('Elève (6ème4)'!MJ11:ML11,"A"))*4)+((COUNTIF('Elève (6ème4)'!MJ11:ML11,"B"))*3)+((COUNTIF('Elève (6ème4)'!MJ11:ML11,"C"))*2)+((COUNTIF('Elève (6ème4)'!MJ11:ML11,"D"))*1))/(COUNTA(MJ11:ML11)),"")</f>
        <v/>
      </c>
      <c r="MN11" s="187" t="str">
        <f t="shared" si="81"/>
        <v/>
      </c>
      <c r="MO11" s="120"/>
      <c r="MP11" s="121"/>
      <c r="MQ11" s="122" t="s">
        <v>23</v>
      </c>
      <c r="MR11" s="188">
        <f>IFERROR((((COUNTIF('Elève (6ème4)'!MO11:MQ11,"A"))*4)+((COUNTIF('Elève (6ème4)'!MO11:MQ11,"B"))*3)+((COUNTIF('Elève (6ème4)'!MO11:MQ11,"C"))*2)+((COUNTIF('Elève (6ème4)'!MO11:MQ11,"D"))*1))/(COUNTA(MO11:MQ11)),"")</f>
        <v>4</v>
      </c>
      <c r="MS11" s="187" t="str">
        <f t="shared" si="82"/>
        <v>A</v>
      </c>
      <c r="MT11" s="188">
        <f>IF(COUNT(MH11,MM11,MR11)=0,"",SUM(MH11,MM11,MR11)/COUNT(MH11,MM11,MR11))</f>
        <v>4</v>
      </c>
      <c r="MU11" s="210" t="str">
        <f t="shared" si="83"/>
        <v>A</v>
      </c>
      <c r="MV11" s="125"/>
      <c r="MW11" s="121"/>
      <c r="MX11" s="122"/>
      <c r="MY11" s="188" t="str">
        <f>IFERROR((((COUNTIF('Elève (6ème4)'!MV11:MX11,"A"))*4)+((COUNTIF('Elève (6ème4)'!MV11:MX11,"B"))*3)+((COUNTIF('Elève (6ème4)'!MV11:MX11,"C"))*2)+((COUNTIF('Elève (6ème4)'!MV11:MX11,"D"))*1))/(COUNTA(MV11:MX11)),"")</f>
        <v/>
      </c>
      <c r="MZ11" s="187" t="str">
        <f t="shared" si="84"/>
        <v/>
      </c>
      <c r="NA11" s="120"/>
      <c r="NB11" s="121"/>
      <c r="NC11" s="122"/>
      <c r="ND11" s="188" t="str">
        <f>IFERROR((((COUNTIF('Elève (6ème4)'!NA11:NC11,"A"))*4)+((COUNTIF('Elève (6ème4)'!NA11:NC11,"B"))*3)+((COUNTIF('Elève (6ème4)'!NA11:NC11,"C"))*2)+((COUNTIF('Elève (6ème4)'!NA11:NC11,"D"))*1))/(COUNTA(NA11:NC11)),"")</f>
        <v/>
      </c>
      <c r="NE11" s="187" t="str">
        <f t="shared" si="85"/>
        <v/>
      </c>
      <c r="NF11" s="120"/>
      <c r="NG11" s="121"/>
      <c r="NH11" s="122" t="s">
        <v>24</v>
      </c>
      <c r="NI11" s="188">
        <f>IFERROR((((COUNTIF('Elève (6ème4)'!NF11:NH11,"A"))*4)+((COUNTIF('Elève (6ème4)'!NF11:NH11,"B"))*3)+((COUNTIF('Elève (6ème4)'!NF11:NH11,"C"))*2)+((COUNTIF('Elève (6ème4)'!NF11:NH11,"D"))*1))/(COUNTA(NF11:NH11)),"")</f>
        <v>3</v>
      </c>
      <c r="NJ11" s="187" t="str">
        <f t="shared" si="86"/>
        <v>B</v>
      </c>
      <c r="NK11" s="188">
        <f>IF(COUNT(MY11,ND11,NI11)=0,"",SUM(MY11,ND11,NI11)/COUNT(MY11,ND11,NI11))</f>
        <v>3</v>
      </c>
      <c r="NL11" s="210" t="str">
        <f t="shared" si="87"/>
        <v>B</v>
      </c>
      <c r="NM11" s="125"/>
      <c r="NN11" s="121"/>
      <c r="NO11" s="122"/>
      <c r="NP11" s="188" t="str">
        <f>IFERROR((((COUNTIF('Elève (6ème4)'!NM11:NO11,"A"))*4)+((COUNTIF('Elève (6ème4)'!NM11:NO11,"B"))*3)+((COUNTIF('Elève (6ème4)'!NM11:NO11,"C"))*2)+((COUNTIF('Elève (6ème4)'!NM11:NO11,"D"))*1))/(COUNTA(NM11:NO11)),"")</f>
        <v/>
      </c>
      <c r="NQ11" s="187" t="str">
        <f t="shared" si="88"/>
        <v/>
      </c>
      <c r="NR11" s="120"/>
      <c r="NS11" s="121"/>
      <c r="NT11" s="122"/>
      <c r="NU11" s="188" t="str">
        <f>IFERROR((((COUNTIF('Elève (6ème4)'!NR11:NT11,"A"))*4)+((COUNTIF('Elève (6ème4)'!NR11:NT11,"B"))*3)+((COUNTIF('Elève (6ème4)'!NR11:NT11,"C"))*2)+((COUNTIF('Elève (6ème4)'!NR11:NT11,"D"))*1))/(COUNTA(NR11:NT11)),"")</f>
        <v/>
      </c>
      <c r="NV11" s="187" t="str">
        <f t="shared" si="89"/>
        <v/>
      </c>
      <c r="NW11" s="120"/>
      <c r="NX11" s="121"/>
      <c r="NY11" s="122" t="s">
        <v>24</v>
      </c>
      <c r="NZ11" s="188">
        <f>IFERROR((((COUNTIF('Elève (6ème4)'!NW11:NY11,"A"))*4)+((COUNTIF('Elève (6ème4)'!NW11:NY11,"B"))*3)+((COUNTIF('Elève (6ème4)'!NW11:NY11,"C"))*2)+((COUNTIF('Elève (6ème4)'!NW11:NY11,"D"))*1))/(COUNTA(NW11:NY11)),"")</f>
        <v>3</v>
      </c>
      <c r="OA11" s="187" t="str">
        <f t="shared" si="90"/>
        <v>B</v>
      </c>
      <c r="OB11" s="188">
        <f>IF(COUNT(NP11,NU11,NZ11)=0,"",SUM(NP11,NU11,NZ11)/COUNT(NP11,NU11,NZ11))</f>
        <v>3</v>
      </c>
      <c r="OC11" s="210" t="str">
        <f t="shared" si="91"/>
        <v>B</v>
      </c>
      <c r="OD11" s="125"/>
      <c r="OE11" s="121"/>
      <c r="OF11" s="122"/>
      <c r="OG11" s="188" t="str">
        <f>IFERROR((((COUNTIF('Elève (6ème4)'!OD11:OF11,"A"))*4)+((COUNTIF('Elève (6ème4)'!OD11:OF11,"B"))*3)+((COUNTIF('Elève (6ème4)'!OD11:OF11,"C"))*2)+((COUNTIF('Elève (6ème4)'!OD11:OF11,"D"))*1))/(COUNTA(OD11:OF11)),"")</f>
        <v/>
      </c>
      <c r="OH11" s="187" t="str">
        <f t="shared" si="92"/>
        <v/>
      </c>
      <c r="OI11" s="120"/>
      <c r="OJ11" s="121"/>
      <c r="OK11" s="122"/>
      <c r="OL11" s="188" t="str">
        <f>IFERROR((((COUNTIF('Elève (6ème4)'!OI11:OK11,"A"))*4)+((COUNTIF('Elève (6ème4)'!OI11:OK11,"B"))*3)+((COUNTIF('Elève (6ème4)'!OI11:OK11,"C"))*2)+((COUNTIF('Elève (6ème4)'!OI11:OK11,"D"))*1))/(COUNTA(OI11:OK11)),"")</f>
        <v/>
      </c>
      <c r="OM11" s="187" t="str">
        <f t="shared" si="93"/>
        <v/>
      </c>
      <c r="ON11" s="120"/>
      <c r="OO11" s="121"/>
      <c r="OP11" s="122" t="s">
        <v>24</v>
      </c>
      <c r="OQ11" s="188">
        <f>IFERROR((((COUNTIF('Elève (6ème4)'!ON11:OP11,"A"))*4)+((COUNTIF('Elève (6ème4)'!ON11:OP11,"B"))*3)+((COUNTIF('Elève (6ème4)'!ON11:OP11,"C"))*2)+((COUNTIF('Elève (6ème4)'!ON11:OP11,"D"))*1))/(COUNTA(ON11:OP11)),"")</f>
        <v>3</v>
      </c>
      <c r="OR11" s="187" t="str">
        <f t="shared" si="94"/>
        <v>B</v>
      </c>
      <c r="OS11" s="188">
        <f>IF(COUNT(OG11,OL11,OQ11)=0,"",SUM(OG11,OL11,OQ11)/COUNT(OG11,OL11,OQ11))</f>
        <v>3</v>
      </c>
      <c r="OT11" s="210" t="str">
        <f t="shared" si="95"/>
        <v>B</v>
      </c>
      <c r="OU11" s="125"/>
      <c r="OV11" s="121"/>
      <c r="OW11" s="122"/>
      <c r="OX11" s="188" t="str">
        <f>IFERROR((((COUNTIF('Elève (6ème4)'!OU11:OW11,"A"))*4)+((COUNTIF('Elève (6ème4)'!OU11:OW11,"B"))*3)+((COUNTIF('Elève (6ème4)'!OU11:OW11,"C"))*2)+((COUNTIF('Elève (6ème4)'!OU11:OW11,"D"))*1))/(COUNTA(OU11:OW11)),"")</f>
        <v/>
      </c>
      <c r="OY11" s="187" t="str">
        <f t="shared" si="96"/>
        <v/>
      </c>
      <c r="OZ11" s="120"/>
      <c r="PA11" s="121"/>
      <c r="PB11" s="122"/>
      <c r="PC11" s="188" t="str">
        <f>IFERROR((((COUNTIF('Elève (6ème4)'!OZ11:PB11,"A"))*4)+((COUNTIF('Elève (6ème4)'!OZ11:PB11,"B"))*3)+((COUNTIF('Elève (6ème4)'!OZ11:PB11,"C"))*2)+((COUNTIF('Elève (6ème4)'!OZ11:PB11,"D"))*1))/(COUNTA(OZ11:PB11)),"")</f>
        <v/>
      </c>
      <c r="PD11" s="187" t="str">
        <f t="shared" si="97"/>
        <v/>
      </c>
      <c r="PE11" s="120"/>
      <c r="PF11" s="121"/>
      <c r="PG11" s="122" t="s">
        <v>23</v>
      </c>
      <c r="PH11" s="188">
        <f>IFERROR((((COUNTIF('Elève (6ème4)'!PE11:PG11,"A"))*4)+((COUNTIF('Elève (6ème4)'!PE11:PG11,"B"))*3)+((COUNTIF('Elève (6ème4)'!PE11:PG11,"C"))*2)+((COUNTIF('Elève (6ème4)'!PE11:PG11,"D"))*1))/(COUNTA(PE11:PG11)),"")</f>
        <v>4</v>
      </c>
      <c r="PI11" s="187" t="str">
        <f t="shared" si="98"/>
        <v>A</v>
      </c>
      <c r="PJ11" s="188">
        <f>IF(COUNT(OX11,PC11,PH11)=0,"",SUM(OX11,PC11,PH11)/COUNT(OX11,PC11,PH11))</f>
        <v>4</v>
      </c>
      <c r="PK11" s="210" t="str">
        <f t="shared" si="99"/>
        <v>A</v>
      </c>
      <c r="PL11" s="125"/>
      <c r="PM11" s="121"/>
      <c r="PN11" s="122"/>
      <c r="PO11" s="188" t="str">
        <f>IFERROR((((COUNTIF('Elève (6ème4)'!PL11:PN11,"A"))*4)+((COUNTIF('Elève (6ème4)'!PL11:PN11,"B"))*3)+((COUNTIF('Elève (6ème4)'!PL11:PN11,"C"))*2)+((COUNTIF('Elève (6ème4)'!PL11:PN11,"D"))*1))/(COUNTA(PL11:PN11)),"")</f>
        <v/>
      </c>
      <c r="PP11" s="187" t="str">
        <f t="shared" si="100"/>
        <v/>
      </c>
      <c r="PQ11" s="120"/>
      <c r="PR11" s="121"/>
      <c r="PS11" s="122"/>
      <c r="PT11" s="188" t="str">
        <f>IFERROR((((COUNTIF('Elève (6ème4)'!PQ11:PS11,"A"))*4)+((COUNTIF('Elève (6ème4)'!PQ11:PS11,"B"))*3)+((COUNTIF('Elève (6ème4)'!PQ11:PS11,"C"))*2)+((COUNTIF('Elève (6ème4)'!PQ11:PS11,"D"))*1))/(COUNTA(PQ11:PS11)),"")</f>
        <v/>
      </c>
      <c r="PU11" s="187" t="str">
        <f t="shared" si="101"/>
        <v/>
      </c>
      <c r="PV11" s="120"/>
      <c r="PW11" s="121"/>
      <c r="PX11" s="122"/>
      <c r="PY11" s="188" t="str">
        <f>IFERROR((((COUNTIF('Elève (6ème4)'!PV11:PX11,"A"))*4)+((COUNTIF('Elève (6ème4)'!PV11:PX11,"B"))*3)+((COUNTIF('Elève (6ème4)'!PV11:PX11,"C"))*2)+((COUNTIF('Elève (6ème4)'!PV11:PX11,"D"))*1))/(COUNTA(PV11:PX11)),"")</f>
        <v/>
      </c>
      <c r="PZ11" s="187" t="str">
        <f t="shared" si="102"/>
        <v/>
      </c>
      <c r="QA11" s="188" t="str">
        <f>IF(COUNT(PO11,PT11,PY11)=0,"",SUM(PO11,PT11,PY11)/COUNT(PO11,PT11,PY11))</f>
        <v/>
      </c>
      <c r="QB11" s="210" t="str">
        <f t="shared" si="103"/>
        <v/>
      </c>
      <c r="QC11" s="125"/>
      <c r="QD11" s="121"/>
      <c r="QE11" s="122"/>
      <c r="QF11" s="188" t="str">
        <f>IFERROR((((COUNTIF('Elève (6ème4)'!QC11:QE11,"A"))*4)+((COUNTIF('Elève (6ème4)'!QC11:QE11,"B"))*3)+((COUNTIF('Elève (6ème4)'!QC11:QE11,"C"))*2)+((COUNTIF('Elève (6ème4)'!QC11:QE11,"D"))*1))/(COUNTA(QC11:QE11)),"")</f>
        <v/>
      </c>
      <c r="QG11" s="187" t="str">
        <f t="shared" si="104"/>
        <v/>
      </c>
      <c r="QH11" s="120"/>
      <c r="QI11" s="121"/>
      <c r="QJ11" s="122"/>
      <c r="QK11" s="188" t="str">
        <f>IFERROR((((COUNTIF('Elève (6ème4)'!QH11:QJ11,"A"))*4)+((COUNTIF('Elève (6ème4)'!QH11:QJ11,"B"))*3)+((COUNTIF('Elève (6ème4)'!QH11:QJ11,"C"))*2)+((COUNTIF('Elève (6ème4)'!QH11:QJ11,"D"))*1))/(COUNTA(QH11:QJ11)),"")</f>
        <v/>
      </c>
      <c r="QL11" s="187" t="str">
        <f t="shared" si="105"/>
        <v/>
      </c>
      <c r="QM11" s="120"/>
      <c r="QN11" s="121"/>
      <c r="QO11" s="122" t="s">
        <v>24</v>
      </c>
      <c r="QP11" s="188">
        <f>IFERROR((((COUNTIF('Elève (6ème4)'!QM11:QO11,"A"))*4)+((COUNTIF('Elève (6ème4)'!QM11:QO11,"B"))*3)+((COUNTIF('Elève (6ème4)'!QM11:QO11,"C"))*2)+((COUNTIF('Elève (6ème4)'!QM11:QO11,"D"))*1))/(COUNTA(QM11:QO11)),"")</f>
        <v>3</v>
      </c>
      <c r="QQ11" s="187" t="str">
        <f t="shared" si="106"/>
        <v>B</v>
      </c>
      <c r="QR11" s="188">
        <f>IF(COUNT(QF11,QK11,QP11)=0,"",SUM(QF11,QK11,QP11)/COUNT(QF11,QK11,QP11))</f>
        <v>3</v>
      </c>
      <c r="QS11" s="210" t="str">
        <f t="shared" si="107"/>
        <v>B</v>
      </c>
      <c r="QT11" s="125"/>
      <c r="QU11" s="121"/>
      <c r="QV11" s="122"/>
      <c r="QW11" s="123" t="str">
        <f>IFERROR((((COUNTIF('Elève (6ème4)'!QT11:QV11,"A"))*4)+((COUNTIF('Elève (6ème4)'!QT11:QV11,"B"))*3)+((COUNTIF('Elève (6ème4)'!QT11:QV11,"C"))*2)+((COUNTIF('Elève (6ème4)'!QT11:QV11,"D"))*1))/(COUNTA(QT11:QV11)),"")</f>
        <v/>
      </c>
      <c r="QX11" s="118" t="str">
        <f t="shared" si="108"/>
        <v/>
      </c>
      <c r="QY11" s="120"/>
      <c r="QZ11" s="121"/>
      <c r="RA11" s="122"/>
      <c r="RB11" s="123" t="str">
        <f>IFERROR((((COUNTIF('Elève (6ème4)'!QY11:RA11,"A"))*4)+((COUNTIF('Elève (6ème4)'!QY11:RA11,"B"))*3)+((COUNTIF('Elève (6ème4)'!QY11:RA11,"C"))*2)+((COUNTIF('Elève (6ème4)'!QY11:RA11,"D"))*1))/(COUNTA(QY11:RA11)),"")</f>
        <v/>
      </c>
      <c r="RC11" s="118" t="str">
        <f t="shared" si="109"/>
        <v/>
      </c>
      <c r="RD11" s="120"/>
      <c r="RE11" s="121"/>
      <c r="RF11" s="122" t="s">
        <v>25</v>
      </c>
      <c r="RG11" s="123">
        <f>IFERROR((((COUNTIF('Elève (6ème4)'!RD11:RF11,"A"))*4)+((COUNTIF('Elève (6ème4)'!RD11:RF11,"B"))*3)+((COUNTIF('Elève (6ème4)'!RD11:RF11,"C"))*2)+((COUNTIF('Elève (6ème4)'!RD11:RF11,"D"))*1))/(COUNTA(RD11:RF11)),"")</f>
        <v>2</v>
      </c>
      <c r="RH11" s="118" t="str">
        <f t="shared" si="110"/>
        <v>C</v>
      </c>
      <c r="RI11" s="123">
        <f>IF(COUNT(QW11,RB11,RG11)=0,"",SUM(QW11,RB11,RG11)/COUNT(QW11,RB11,RG11))</f>
        <v>2</v>
      </c>
      <c r="RJ11" s="124" t="str">
        <f t="shared" si="111"/>
        <v>C</v>
      </c>
      <c r="RK11" s="125"/>
      <c r="RL11" s="121"/>
      <c r="RM11" s="122"/>
      <c r="RN11" s="123" t="str">
        <f>IFERROR((((COUNTIF('Elève (6ème4)'!RK11:RM11,"A"))*4)+((COUNTIF('Elève (6ème4)'!RK11:RM11,"B"))*3)+((COUNTIF('Elève (6ème4)'!RK11:RM11,"C"))*2)+((COUNTIF('Elève (6ème4)'!RK11:RM11,"D"))*1))/(COUNTA(RK11:RM11)),"")</f>
        <v/>
      </c>
      <c r="RO11" s="118" t="str">
        <f t="shared" si="112"/>
        <v/>
      </c>
      <c r="RP11" s="120"/>
      <c r="RQ11" s="121"/>
      <c r="RR11" s="122"/>
      <c r="RS11" s="123" t="str">
        <f>IFERROR((((COUNTIF('Elève (6ème4)'!RP11:RR11,"A"))*4)+((COUNTIF('Elève (6ème4)'!RP11:RR11,"B"))*3)+((COUNTIF('Elève (6ème4)'!RP11:RR11,"C"))*2)+((COUNTIF('Elève (6ème4)'!RP11:RR11,"D"))*1))/(COUNTA(RP11:RR11)),"")</f>
        <v/>
      </c>
      <c r="RT11" s="118" t="str">
        <f t="shared" si="113"/>
        <v/>
      </c>
      <c r="RU11" s="120"/>
      <c r="RV11" s="121"/>
      <c r="RW11" s="122"/>
      <c r="RX11" s="123" t="str">
        <f>IFERROR((((COUNTIF('Elève (6ème4)'!RU11:RW11,"A"))*4)+((COUNTIF('Elève (6ème4)'!RU11:RW11,"B"))*3)+((COUNTIF('Elève (6ème4)'!RU11:RW11,"C"))*2)+((COUNTIF('Elève (6ème4)'!RU11:RW11,"D"))*1))/(COUNTA(RU11:RW11)),"")</f>
        <v/>
      </c>
      <c r="RY11" s="118" t="str">
        <f t="shared" si="114"/>
        <v/>
      </c>
      <c r="RZ11" s="123" t="str">
        <f>IF(COUNT(RN11,RS11,RX11)=0,"",SUM(RN11,RS11,RX11)/COUNT(RN11,RS11,RX11))</f>
        <v/>
      </c>
      <c r="SA11" s="124" t="str">
        <f t="shared" si="115"/>
        <v/>
      </c>
      <c r="SB11" s="125"/>
      <c r="SC11" s="121"/>
      <c r="SD11" s="122"/>
      <c r="SE11" s="123" t="str">
        <f>IFERROR((((COUNTIF('Elève (6ème4)'!SB11:SD11,"A"))*4)+((COUNTIF('Elève (6ème4)'!SB11:SD11,"B"))*3)+((COUNTIF('Elève (6ème4)'!SB11:SD11,"C"))*2)+((COUNTIF('Elève (6ème4)'!SB11:SD11,"D"))*1))/(COUNTA(SB11:SD11)),"")</f>
        <v/>
      </c>
      <c r="SF11" s="118" t="str">
        <f t="shared" si="116"/>
        <v/>
      </c>
      <c r="SG11" s="120"/>
      <c r="SH11" s="121"/>
      <c r="SI11" s="122"/>
      <c r="SJ11" s="123" t="str">
        <f>IFERROR((((COUNTIF('Elève (6ème4)'!SG11:SI11,"A"))*4)+((COUNTIF('Elève (6ème4)'!SG11:SI11,"B"))*3)+((COUNTIF('Elève (6ème4)'!SG11:SI11,"C"))*2)+((COUNTIF('Elève (6ème4)'!SG11:SI11,"D"))*1))/(COUNTA(SG11:SI11)),"")</f>
        <v/>
      </c>
      <c r="SK11" s="118" t="str">
        <f t="shared" si="117"/>
        <v/>
      </c>
      <c r="SL11" s="120"/>
      <c r="SM11" s="121"/>
      <c r="SN11" s="122"/>
      <c r="SO11" s="123" t="str">
        <f>IFERROR((((COUNTIF('Elève (6ème4)'!SL11:SN11,"A"))*4)+((COUNTIF('Elève (6ème4)'!SL11:SN11,"B"))*3)+((COUNTIF('Elève (6ème4)'!SL11:SN11,"C"))*2)+((COUNTIF('Elève (6ème4)'!SL11:SN11,"D"))*1))/(COUNTA(SL11:SN11)),"")</f>
        <v/>
      </c>
      <c r="SP11" s="118" t="str">
        <f t="shared" si="118"/>
        <v/>
      </c>
      <c r="SQ11" s="123" t="str">
        <f>IF(COUNT(SE11,SJ11,SO11)=0,"",SUM(SE11,SJ11,SO11)/COUNT(SE11,SJ11,SO11))</f>
        <v/>
      </c>
      <c r="SR11" s="124" t="str">
        <f t="shared" si="119"/>
        <v/>
      </c>
      <c r="SS11" s="125"/>
      <c r="ST11" s="121"/>
      <c r="SU11" s="122"/>
      <c r="SV11" s="123" t="str">
        <f>IFERROR((((COUNTIF('Elève (6ème4)'!SS11:SU11,"A"))*4)+((COUNTIF('Elève (6ème4)'!SS11:SU11,"B"))*3)+((COUNTIF('Elève (6ème4)'!SS11:SU11,"C"))*2)+((COUNTIF('Elève (6ème4)'!SS11:SU11,"D"))*1))/(COUNTA(SS11:SU11)),"")</f>
        <v/>
      </c>
      <c r="SW11" s="118" t="str">
        <f t="shared" si="120"/>
        <v/>
      </c>
      <c r="SX11" s="120"/>
      <c r="SY11" s="121"/>
      <c r="SZ11" s="122"/>
      <c r="TA11" s="123" t="str">
        <f>IFERROR((((COUNTIF('Elève (6ème4)'!SX11:SZ11,"A"))*4)+((COUNTIF('Elève (6ème4)'!SX11:SZ11,"B"))*3)+((COUNTIF('Elève (6ème4)'!SX11:SZ11,"C"))*2)+((COUNTIF('Elève (6ème4)'!SX11:SZ11,"D"))*1))/(COUNTA(SX11:SZ11)),"")</f>
        <v/>
      </c>
      <c r="TB11" s="118" t="str">
        <f t="shared" si="121"/>
        <v/>
      </c>
      <c r="TC11" s="120"/>
      <c r="TD11" s="121"/>
      <c r="TE11" s="122"/>
      <c r="TF11" s="123" t="str">
        <f>IFERROR((((COUNTIF('Elève (6ème4)'!TC11:TE11,"A"))*4)+((COUNTIF('Elève (6ème4)'!TC11:TE11,"B"))*3)+((COUNTIF('Elève (6ème4)'!TC11:TE11,"C"))*2)+((COUNTIF('Elève (6ème4)'!TC11:TE11,"D"))*1))/(COUNTA(TC11:TE11)),"")</f>
        <v/>
      </c>
      <c r="TG11" s="118" t="str">
        <f t="shared" si="122"/>
        <v/>
      </c>
      <c r="TH11" s="123" t="str">
        <f>IF(COUNT(SV11,TA11,TF11)=0,"",SUM(SV11,TA11,TF11)/COUNT(SV11,TA11,TF11))</f>
        <v/>
      </c>
      <c r="TI11" s="124" t="str">
        <f t="shared" si="123"/>
        <v/>
      </c>
      <c r="TJ11" s="125"/>
      <c r="TK11" s="121"/>
      <c r="TL11" s="122"/>
      <c r="TM11" s="123" t="str">
        <f>IFERROR((((COUNTIF('Elève (6ème4)'!TJ11:TL11,"A"))*4)+((COUNTIF('Elève (6ème4)'!TJ11:TL11,"B"))*3)+((COUNTIF('Elève (6ème4)'!TJ11:TL11,"C"))*2)+((COUNTIF('Elève (6ème4)'!TJ11:TL11,"D"))*1))/(COUNTA(TJ11:TL11)),"")</f>
        <v/>
      </c>
      <c r="TN11" s="118" t="str">
        <f t="shared" si="124"/>
        <v/>
      </c>
      <c r="TO11" s="120"/>
      <c r="TP11" s="121"/>
      <c r="TQ11" s="122"/>
      <c r="TR11" s="123" t="str">
        <f>IFERROR((((COUNTIF('Elève (6ème4)'!TO11:TQ11,"A"))*4)+((COUNTIF('Elève (6ème4)'!TO11:TQ11,"B"))*3)+((COUNTIF('Elève (6ème4)'!TO11:TQ11,"C"))*2)+((COUNTIF('Elève (6ème4)'!TO11:TQ11,"D"))*1))/(COUNTA(TO11:TQ11)),"")</f>
        <v/>
      </c>
      <c r="TS11" s="118" t="str">
        <f t="shared" si="125"/>
        <v/>
      </c>
      <c r="TT11" s="120"/>
      <c r="TU11" s="121"/>
      <c r="TV11" s="122"/>
      <c r="TW11" s="123" t="str">
        <f>IFERROR((((COUNTIF('Elève (6ème4)'!TT11:TV11,"A"))*4)+((COUNTIF('Elève (6ème4)'!TT11:TV11,"B"))*3)+((COUNTIF('Elève (6ème4)'!TT11:TV11,"C"))*2)+((COUNTIF('Elève (6ème4)'!TT11:TV11,"D"))*1))/(COUNTA(TT11:TV11)),"")</f>
        <v/>
      </c>
      <c r="TX11" s="118" t="str">
        <f t="shared" si="126"/>
        <v/>
      </c>
      <c r="TY11" s="123" t="str">
        <f>IF(COUNT(TM11,TR11,TW11)=0,"",SUM(TM11,TR11,TW11)/COUNT(TM11,TR11,TW11))</f>
        <v/>
      </c>
      <c r="TZ11" s="124" t="str">
        <f t="shared" si="127"/>
        <v/>
      </c>
    </row>
    <row r="12" spans="1:546" s="98" customFormat="1" ht="16.5" customHeight="1" thickBot="1" x14ac:dyDescent="0.3">
      <c r="A12" s="164" t="s">
        <v>15</v>
      </c>
      <c r="B12" s="164">
        <v>1</v>
      </c>
      <c r="C12" s="255"/>
      <c r="D12" s="250"/>
      <c r="E12" s="251"/>
      <c r="F12" s="181">
        <f>IF(COUNT(F13:F13)=0,"",SUM(F13:F13)/COUNT(F13:F13))</f>
        <v>3</v>
      </c>
      <c r="G12" s="182" t="str">
        <f t="shared" si="0"/>
        <v>B</v>
      </c>
      <c r="H12" s="252"/>
      <c r="I12" s="250"/>
      <c r="J12" s="251"/>
      <c r="K12" s="181" t="str">
        <f>IF(COUNT(K13,#REF!)=0,"",SUM(K13:K13)/COUNT(K13,#REF!))</f>
        <v/>
      </c>
      <c r="L12" s="198" t="str">
        <f t="shared" si="1"/>
        <v/>
      </c>
      <c r="M12" s="247"/>
      <c r="N12" s="245"/>
      <c r="O12" s="246"/>
      <c r="P12" s="181">
        <f>IF(COUNT(P13,#REF!)=0,"",SUM(P13:P13)/COUNT(P13,#REF!))</f>
        <v>3</v>
      </c>
      <c r="Q12" s="205" t="str">
        <f t="shared" si="2"/>
        <v>B</v>
      </c>
      <c r="R12" s="181">
        <f>IF(COUNT(R13:R13)=0,"",SUM(R13:R13)/COUNT(R13:R13))</f>
        <v>3</v>
      </c>
      <c r="S12" s="206" t="str">
        <f t="shared" si="3"/>
        <v>B</v>
      </c>
      <c r="T12" s="250"/>
      <c r="U12" s="250"/>
      <c r="V12" s="251"/>
      <c r="W12" s="181">
        <f>IF(COUNT(W13:W13)=0,"",SUM(W13:W13)/COUNT(W13:W13))</f>
        <v>2.5</v>
      </c>
      <c r="X12" s="182" t="str">
        <f t="shared" si="4"/>
        <v>C</v>
      </c>
      <c r="Y12" s="252"/>
      <c r="Z12" s="250"/>
      <c r="AA12" s="251"/>
      <c r="AB12" s="181" t="str">
        <f>IF(COUNT(AB13,#REF!)=0,"",SUM(AB13:AB13)/COUNT(AB13,#REF!))</f>
        <v/>
      </c>
      <c r="AC12" s="198" t="str">
        <f t="shared" si="5"/>
        <v/>
      </c>
      <c r="AD12" s="247"/>
      <c r="AE12" s="245"/>
      <c r="AF12" s="246"/>
      <c r="AG12" s="181">
        <f>IF(COUNT(AG13,#REF!)=0,"",SUM(AG13:AG13)/COUNT(AG13,#REF!))</f>
        <v>3</v>
      </c>
      <c r="AH12" s="205" t="str">
        <f t="shared" si="6"/>
        <v>B</v>
      </c>
      <c r="AI12" s="181">
        <f>IF(COUNT(AI13:AI13)=0,"",SUM(AI13:AI13)/COUNT(AI13:AI13))</f>
        <v>2.75</v>
      </c>
      <c r="AJ12" s="206" t="str">
        <f t="shared" si="7"/>
        <v>C</v>
      </c>
      <c r="AK12" s="250"/>
      <c r="AL12" s="250"/>
      <c r="AM12" s="251"/>
      <c r="AN12" s="181">
        <f>IF(COUNT(AN13:AN13)=0,"",SUM(AN13:AN13)/COUNT(AN13:AN13))</f>
        <v>3</v>
      </c>
      <c r="AO12" s="182" t="str">
        <f t="shared" si="8"/>
        <v>B</v>
      </c>
      <c r="AP12" s="252"/>
      <c r="AQ12" s="250"/>
      <c r="AR12" s="251"/>
      <c r="AS12" s="181" t="str">
        <f>IF(COUNT(AS13,#REF!)=0,"",SUM(AS13:AS13)/COUNT(AS13,#REF!))</f>
        <v/>
      </c>
      <c r="AT12" s="198" t="str">
        <f t="shared" si="9"/>
        <v/>
      </c>
      <c r="AU12" s="247"/>
      <c r="AV12" s="245"/>
      <c r="AW12" s="246"/>
      <c r="AX12" s="181">
        <f>IF(COUNT(AX13,#REF!)=0,"",SUM(AX13:AX13)/COUNT(AX13,#REF!))</f>
        <v>3</v>
      </c>
      <c r="AY12" s="205" t="str">
        <f t="shared" si="10"/>
        <v>B</v>
      </c>
      <c r="AZ12" s="181">
        <f>IF(COUNT(AZ13:AZ13)=0,"",SUM(AZ13:AZ13)/COUNT(AZ13:AZ13))</f>
        <v>3</v>
      </c>
      <c r="BA12" s="206" t="str">
        <f t="shared" si="11"/>
        <v>B</v>
      </c>
      <c r="BB12" s="250"/>
      <c r="BC12" s="250"/>
      <c r="BD12" s="251"/>
      <c r="BE12" s="181">
        <f>IF(COUNT(BE13:BE13)=0,"",SUM(BE13:BE13)/COUNT(BE13:BE13))</f>
        <v>2</v>
      </c>
      <c r="BF12" s="182" t="str">
        <f t="shared" si="12"/>
        <v>C</v>
      </c>
      <c r="BG12" s="252"/>
      <c r="BH12" s="250"/>
      <c r="BI12" s="251"/>
      <c r="BJ12" s="181" t="str">
        <f>IF(COUNT(BJ13,#REF!)=0,"",SUM(BJ13:BJ13)/COUNT(BJ13,#REF!))</f>
        <v/>
      </c>
      <c r="BK12" s="198" t="str">
        <f t="shared" si="13"/>
        <v/>
      </c>
      <c r="BL12" s="247"/>
      <c r="BM12" s="245"/>
      <c r="BN12" s="246"/>
      <c r="BO12" s="181">
        <f>IF(COUNT(BO13,#REF!)=0,"",SUM(BO13:BO13)/COUNT(BO13,#REF!))</f>
        <v>2</v>
      </c>
      <c r="BP12" s="205" t="str">
        <f t="shared" si="14"/>
        <v>C</v>
      </c>
      <c r="BQ12" s="181">
        <f>IF(COUNT(BQ13:BQ13)=0,"",SUM(BQ13:BQ13)/COUNT(BQ13:BQ13))</f>
        <v>2</v>
      </c>
      <c r="BR12" s="206" t="str">
        <f t="shared" si="15"/>
        <v>C</v>
      </c>
      <c r="BS12" s="250"/>
      <c r="BT12" s="250"/>
      <c r="BU12" s="251"/>
      <c r="BV12" s="181">
        <f>IF(COUNT(BV13:BV13)=0,"",SUM(BV13:BV13)/COUNT(BV13:BV13))</f>
        <v>2</v>
      </c>
      <c r="BW12" s="182" t="str">
        <f t="shared" si="16"/>
        <v>C</v>
      </c>
      <c r="BX12" s="252"/>
      <c r="BY12" s="250"/>
      <c r="BZ12" s="251"/>
      <c r="CA12" s="181" t="str">
        <f>IF(COUNT(CA13,#REF!)=0,"",SUM(CA13:CA13)/COUNT(CA13,#REF!))</f>
        <v/>
      </c>
      <c r="CB12" s="198" t="str">
        <f t="shared" si="17"/>
        <v/>
      </c>
      <c r="CC12" s="247"/>
      <c r="CD12" s="245"/>
      <c r="CE12" s="246"/>
      <c r="CF12" s="181">
        <f>IF(COUNT(CF13,#REF!)=0,"",SUM(CF13:CF13)/COUNT(CF13,#REF!))</f>
        <v>3</v>
      </c>
      <c r="CG12" s="205" t="str">
        <f t="shared" si="18"/>
        <v>B</v>
      </c>
      <c r="CH12" s="181">
        <f>IF(COUNT(CH13:CH13)=0,"",SUM(CH13:CH13)/COUNT(CH13:CH13))</f>
        <v>2.5</v>
      </c>
      <c r="CI12" s="206" t="str">
        <f t="shared" si="19"/>
        <v>C</v>
      </c>
      <c r="CJ12" s="250"/>
      <c r="CK12" s="250"/>
      <c r="CL12" s="251"/>
      <c r="CM12" s="181">
        <f>IF(COUNT(CM13:CM13)=0,"",SUM(CM13:CM13)/COUNT(CM13:CM13))</f>
        <v>3</v>
      </c>
      <c r="CN12" s="182" t="str">
        <f t="shared" si="20"/>
        <v>B</v>
      </c>
      <c r="CO12" s="252"/>
      <c r="CP12" s="250"/>
      <c r="CQ12" s="251"/>
      <c r="CR12" s="181" t="str">
        <f>IF(COUNT(CR13,#REF!)=0,"",SUM(CR13:CR13)/COUNT(CR13,#REF!))</f>
        <v/>
      </c>
      <c r="CS12" s="198" t="str">
        <f t="shared" si="21"/>
        <v/>
      </c>
      <c r="CT12" s="247"/>
      <c r="CU12" s="245"/>
      <c r="CV12" s="246"/>
      <c r="CW12" s="181">
        <f>IF(COUNT(CW13,#REF!)=0,"",SUM(CW13:CW13)/COUNT(CW13,#REF!))</f>
        <v>3</v>
      </c>
      <c r="CX12" s="205" t="str">
        <f t="shared" si="22"/>
        <v>B</v>
      </c>
      <c r="CY12" s="181">
        <f>IF(COUNT(CY13:CY13)=0,"",SUM(CY13:CY13)/COUNT(CY13:CY13))</f>
        <v>3</v>
      </c>
      <c r="CZ12" s="206" t="str">
        <f t="shared" si="23"/>
        <v>B</v>
      </c>
      <c r="DA12" s="250"/>
      <c r="DB12" s="250"/>
      <c r="DC12" s="251"/>
      <c r="DD12" s="181">
        <f>IF(COUNT(DD13:DD13)=0,"",SUM(DD13:DD13)/COUNT(DD13:DD13))</f>
        <v>3</v>
      </c>
      <c r="DE12" s="182" t="str">
        <f t="shared" si="24"/>
        <v>B</v>
      </c>
      <c r="DF12" s="252"/>
      <c r="DG12" s="250"/>
      <c r="DH12" s="251"/>
      <c r="DI12" s="181" t="str">
        <f>IF(COUNT(DI13,#REF!)=0,"",SUM(DI13:DI13)/COUNT(DI13,#REF!))</f>
        <v/>
      </c>
      <c r="DJ12" s="198" t="str">
        <f t="shared" si="25"/>
        <v/>
      </c>
      <c r="DK12" s="247"/>
      <c r="DL12" s="245"/>
      <c r="DM12" s="246"/>
      <c r="DN12" s="181">
        <f>IF(COUNT(DN13,#REF!)=0,"",SUM(DN13:DN13)/COUNT(DN13,#REF!))</f>
        <v>3</v>
      </c>
      <c r="DO12" s="205" t="str">
        <f t="shared" si="26"/>
        <v>B</v>
      </c>
      <c r="DP12" s="181">
        <f>IF(COUNT(DP13:DP13)=0,"",SUM(DP13:DP13)/COUNT(DP13:DP13))</f>
        <v>3</v>
      </c>
      <c r="DQ12" s="206" t="str">
        <f t="shared" si="27"/>
        <v>B</v>
      </c>
      <c r="DR12" s="250"/>
      <c r="DS12" s="250"/>
      <c r="DT12" s="251"/>
      <c r="DU12" s="181">
        <f>IF(COUNT(DU13:DU13)=0,"",SUM(DU13:DU13)/COUNT(DU13:DU13))</f>
        <v>2</v>
      </c>
      <c r="DV12" s="182" t="str">
        <f t="shared" si="28"/>
        <v>C</v>
      </c>
      <c r="DW12" s="252"/>
      <c r="DX12" s="250"/>
      <c r="DY12" s="251"/>
      <c r="DZ12" s="181" t="str">
        <f>IF(COUNT(DZ13,#REF!)=0,"",SUM(DZ13:DZ13)/COUNT(DZ13,#REF!))</f>
        <v/>
      </c>
      <c r="EA12" s="198" t="str">
        <f t="shared" si="29"/>
        <v/>
      </c>
      <c r="EB12" s="247"/>
      <c r="EC12" s="245"/>
      <c r="ED12" s="246"/>
      <c r="EE12" s="181">
        <f>IF(COUNT(EE13,#REF!)=0,"",SUM(EE13:EE13)/COUNT(EE13,#REF!))</f>
        <v>3</v>
      </c>
      <c r="EF12" s="205" t="str">
        <f t="shared" si="30"/>
        <v>B</v>
      </c>
      <c r="EG12" s="181">
        <f>IF(COUNT(EG13:EG13)=0,"",SUM(EG13:EG13)/COUNT(EG13:EG13))</f>
        <v>2.5</v>
      </c>
      <c r="EH12" s="206" t="str">
        <f t="shared" si="31"/>
        <v>C</v>
      </c>
      <c r="EI12" s="250"/>
      <c r="EJ12" s="250"/>
      <c r="EK12" s="251"/>
      <c r="EL12" s="181">
        <f>IF(COUNT(EL13:EL13)=0,"",SUM(EL13:EL13)/COUNT(EL13:EL13))</f>
        <v>1.5</v>
      </c>
      <c r="EM12" s="182" t="str">
        <f t="shared" si="32"/>
        <v>D</v>
      </c>
      <c r="EN12" s="252"/>
      <c r="EO12" s="250"/>
      <c r="EP12" s="251"/>
      <c r="EQ12" s="181" t="str">
        <f>IF(COUNT(EQ13,#REF!)=0,"",SUM(EQ13:EQ13)/COUNT(EQ13,#REF!))</f>
        <v/>
      </c>
      <c r="ER12" s="198" t="str">
        <f t="shared" si="33"/>
        <v/>
      </c>
      <c r="ES12" s="247"/>
      <c r="ET12" s="245"/>
      <c r="EU12" s="246"/>
      <c r="EV12" s="181">
        <f>IF(COUNT(EV13,#REF!)=0,"",SUM(EV13:EV13)/COUNT(EV13,#REF!))</f>
        <v>3</v>
      </c>
      <c r="EW12" s="205" t="str">
        <f t="shared" si="34"/>
        <v>B</v>
      </c>
      <c r="EX12" s="181">
        <f>IF(COUNT(EX13:EX13)=0,"",SUM(EX13:EX13)/COUNT(EX13:EX13))</f>
        <v>2.25</v>
      </c>
      <c r="EY12" s="206" t="str">
        <f t="shared" si="35"/>
        <v>C</v>
      </c>
      <c r="EZ12" s="250"/>
      <c r="FA12" s="250"/>
      <c r="FB12" s="251"/>
      <c r="FC12" s="181">
        <f>IF(COUNT(FC13:FC13)=0,"",SUM(FC13:FC13)/COUNT(FC13:FC13))</f>
        <v>3</v>
      </c>
      <c r="FD12" s="182" t="str">
        <f t="shared" si="36"/>
        <v>B</v>
      </c>
      <c r="FE12" s="252"/>
      <c r="FF12" s="250"/>
      <c r="FG12" s="251"/>
      <c r="FH12" s="181" t="str">
        <f>IF(COUNT(FH13,#REF!)=0,"",SUM(FH13:FH13)/COUNT(FH13,#REF!))</f>
        <v/>
      </c>
      <c r="FI12" s="198" t="str">
        <f t="shared" si="37"/>
        <v/>
      </c>
      <c r="FJ12" s="247"/>
      <c r="FK12" s="245"/>
      <c r="FL12" s="246"/>
      <c r="FM12" s="181">
        <f>IF(COUNT(FM13,#REF!)=0,"",SUM(FM13:FM13)/COUNT(FM13,#REF!))</f>
        <v>3</v>
      </c>
      <c r="FN12" s="205" t="str">
        <f t="shared" si="38"/>
        <v>B</v>
      </c>
      <c r="FO12" s="181">
        <f>IF(COUNT(FO13:FO13)=0,"",SUM(FO13:FO13)/COUNT(FO13:FO13))</f>
        <v>3</v>
      </c>
      <c r="FP12" s="206" t="str">
        <f t="shared" si="39"/>
        <v>B</v>
      </c>
      <c r="FQ12" s="250"/>
      <c r="FR12" s="250"/>
      <c r="FS12" s="251"/>
      <c r="FT12" s="181">
        <f>IF(COUNT(FT13:FT13)=0,"",SUM(FT13:FT13)/COUNT(FT13:FT13))</f>
        <v>2.5</v>
      </c>
      <c r="FU12" s="182" t="str">
        <f t="shared" si="40"/>
        <v>C</v>
      </c>
      <c r="FV12" s="252"/>
      <c r="FW12" s="250"/>
      <c r="FX12" s="251"/>
      <c r="FY12" s="181" t="str">
        <f>IF(COUNT(FY13,#REF!)=0,"",SUM(FY13:FY13)/COUNT(FY13,#REF!))</f>
        <v/>
      </c>
      <c r="FZ12" s="198" t="str">
        <f t="shared" si="41"/>
        <v/>
      </c>
      <c r="GA12" s="247"/>
      <c r="GB12" s="245"/>
      <c r="GC12" s="246"/>
      <c r="GD12" s="181">
        <f>IF(COUNT(GD13,#REF!)=0,"",SUM(GD13:GD13)/COUNT(GD13,#REF!))</f>
        <v>3</v>
      </c>
      <c r="GE12" s="205" t="str">
        <f t="shared" si="42"/>
        <v>B</v>
      </c>
      <c r="GF12" s="181">
        <f>IF(COUNT(GF13:GF13)=0,"",SUM(GF13:GF13)/COUNT(GF13:GF13))</f>
        <v>2.75</v>
      </c>
      <c r="GG12" s="206" t="str">
        <f t="shared" si="43"/>
        <v>C</v>
      </c>
      <c r="GH12" s="250"/>
      <c r="GI12" s="250"/>
      <c r="GJ12" s="251"/>
      <c r="GK12" s="181">
        <f>IF(COUNT(GK13:GK13)=0,"",SUM(GK13:GK13)/COUNT(GK13:GK13))</f>
        <v>2.5</v>
      </c>
      <c r="GL12" s="182" t="str">
        <f t="shared" si="44"/>
        <v>C</v>
      </c>
      <c r="GM12" s="252"/>
      <c r="GN12" s="250"/>
      <c r="GO12" s="251"/>
      <c r="GP12" s="181" t="str">
        <f>IF(COUNT(GP13,#REF!)=0,"",SUM(GP13:GP13)/COUNT(GP13,#REF!))</f>
        <v/>
      </c>
      <c r="GQ12" s="198" t="str">
        <f t="shared" si="45"/>
        <v/>
      </c>
      <c r="GR12" s="247"/>
      <c r="GS12" s="245"/>
      <c r="GT12" s="246"/>
      <c r="GU12" s="181">
        <f>IF(COUNT(GU13,#REF!)=0,"",SUM(GU13:GU13)/COUNT(GU13,#REF!))</f>
        <v>2</v>
      </c>
      <c r="GV12" s="205" t="str">
        <f t="shared" si="46"/>
        <v>C</v>
      </c>
      <c r="GW12" s="181">
        <f>IF(COUNT(GW13:GW13)=0,"",SUM(GW13:GW13)/COUNT(GW13:GW13))</f>
        <v>2.25</v>
      </c>
      <c r="GX12" s="206" t="str">
        <f t="shared" si="47"/>
        <v>C</v>
      </c>
      <c r="GY12" s="250"/>
      <c r="GZ12" s="250"/>
      <c r="HA12" s="251"/>
      <c r="HB12" s="181">
        <f>IF(COUNT(HB13:HB13)=0,"",SUM(HB13:HB13)/COUNT(HB13:HB13))</f>
        <v>2.5</v>
      </c>
      <c r="HC12" s="182" t="str">
        <f t="shared" si="48"/>
        <v>C</v>
      </c>
      <c r="HD12" s="252"/>
      <c r="HE12" s="250"/>
      <c r="HF12" s="251"/>
      <c r="HG12" s="181" t="str">
        <f>IF(COUNT(HG13,#REF!)=0,"",SUM(HG13:HG13)/COUNT(HG13,#REF!))</f>
        <v/>
      </c>
      <c r="HH12" s="198" t="str">
        <f t="shared" si="49"/>
        <v/>
      </c>
      <c r="HI12" s="247"/>
      <c r="HJ12" s="245"/>
      <c r="HK12" s="246"/>
      <c r="HL12" s="181">
        <f>IF(COUNT(HL13,#REF!)=0,"",SUM(HL13:HL13)/COUNT(HL13,#REF!))</f>
        <v>2</v>
      </c>
      <c r="HM12" s="205" t="str">
        <f t="shared" si="50"/>
        <v>C</v>
      </c>
      <c r="HN12" s="181">
        <f>IF(COUNT(HN13:HN13)=0,"",SUM(HN13:HN13)/COUNT(HN13:HN13))</f>
        <v>2.25</v>
      </c>
      <c r="HO12" s="206" t="str">
        <f t="shared" si="51"/>
        <v>C</v>
      </c>
      <c r="HP12" s="250"/>
      <c r="HQ12" s="250"/>
      <c r="HR12" s="251"/>
      <c r="HS12" s="181">
        <f>IF(COUNT(HS13:HS13)=0,"",SUM(HS13:HS13)/COUNT(HS13:HS13))</f>
        <v>2</v>
      </c>
      <c r="HT12" s="182" t="str">
        <f t="shared" si="52"/>
        <v>C</v>
      </c>
      <c r="HU12" s="252"/>
      <c r="HV12" s="250"/>
      <c r="HW12" s="251"/>
      <c r="HX12" s="181" t="str">
        <f>IF(COUNT(HX13,#REF!)=0,"",SUM(HX13:HX13)/COUNT(HX13,#REF!))</f>
        <v/>
      </c>
      <c r="HY12" s="198" t="str">
        <f t="shared" si="53"/>
        <v/>
      </c>
      <c r="HZ12" s="247"/>
      <c r="IA12" s="245"/>
      <c r="IB12" s="246"/>
      <c r="IC12" s="181">
        <f>IF(COUNT(IC13,#REF!)=0,"",SUM(IC13:IC13)/COUNT(IC13,#REF!))</f>
        <v>2</v>
      </c>
      <c r="ID12" s="205" t="str">
        <f t="shared" si="54"/>
        <v>C</v>
      </c>
      <c r="IE12" s="181">
        <f>IF(COUNT(IE13:IE13)=0,"",SUM(IE13:IE13)/COUNT(IE13:IE13))</f>
        <v>2</v>
      </c>
      <c r="IF12" s="206" t="str">
        <f t="shared" si="55"/>
        <v>C</v>
      </c>
      <c r="IG12" s="250"/>
      <c r="IH12" s="250"/>
      <c r="II12" s="251"/>
      <c r="IJ12" s="181">
        <f>IF(COUNT(IJ13:IJ13)=0,"",SUM(IJ13:IJ13)/COUNT(IJ13:IJ13))</f>
        <v>2.5</v>
      </c>
      <c r="IK12" s="182" t="str">
        <f t="shared" si="56"/>
        <v>C</v>
      </c>
      <c r="IL12" s="252"/>
      <c r="IM12" s="250"/>
      <c r="IN12" s="251"/>
      <c r="IO12" s="181" t="str">
        <f>IF(COUNT(IO13,#REF!)=0,"",SUM(IO13:IO13)/COUNT(IO13,#REF!))</f>
        <v/>
      </c>
      <c r="IP12" s="198" t="str">
        <f t="shared" si="57"/>
        <v/>
      </c>
      <c r="IQ12" s="247"/>
      <c r="IR12" s="245"/>
      <c r="IS12" s="246"/>
      <c r="IT12" s="181">
        <f>IF(COUNT(IT13,#REF!)=0,"",SUM(IT13:IT13)/COUNT(IT13,#REF!))</f>
        <v>3</v>
      </c>
      <c r="IU12" s="205" t="str">
        <f t="shared" si="58"/>
        <v>B</v>
      </c>
      <c r="IV12" s="181">
        <f>IF(COUNT(IV13:IV13)=0,"",SUM(IV13:IV13)/COUNT(IV13:IV13))</f>
        <v>2.75</v>
      </c>
      <c r="IW12" s="206" t="str">
        <f t="shared" si="59"/>
        <v>C</v>
      </c>
      <c r="IX12" s="250"/>
      <c r="IY12" s="250"/>
      <c r="IZ12" s="251"/>
      <c r="JA12" s="181">
        <f>IF(COUNT(JA13:JA13)=0,"",SUM(JA13:JA13)/COUNT(JA13:JA13))</f>
        <v>3</v>
      </c>
      <c r="JB12" s="182" t="str">
        <f t="shared" si="60"/>
        <v>B</v>
      </c>
      <c r="JC12" s="252"/>
      <c r="JD12" s="250"/>
      <c r="JE12" s="251"/>
      <c r="JF12" s="181" t="str">
        <f>IF(COUNT(JF13,#REF!)=0,"",SUM(JF13:JF13)/COUNT(JF13,#REF!))</f>
        <v/>
      </c>
      <c r="JG12" s="198" t="str">
        <f t="shared" si="61"/>
        <v/>
      </c>
      <c r="JH12" s="247"/>
      <c r="JI12" s="245"/>
      <c r="JJ12" s="246"/>
      <c r="JK12" s="181">
        <f>IF(COUNT(JK13,#REF!)=0,"",SUM(JK13:JK13)/COUNT(JK13,#REF!))</f>
        <v>3</v>
      </c>
      <c r="JL12" s="205" t="str">
        <f t="shared" si="62"/>
        <v>B</v>
      </c>
      <c r="JM12" s="181">
        <f>IF(COUNT(JM13:JM13)=0,"",SUM(JM13:JM13)/COUNT(JM13:JM13))</f>
        <v>3</v>
      </c>
      <c r="JN12" s="206" t="str">
        <f t="shared" si="63"/>
        <v>B</v>
      </c>
      <c r="JO12" s="250"/>
      <c r="JP12" s="250"/>
      <c r="JQ12" s="251"/>
      <c r="JR12" s="181">
        <f>IF(COUNT(JR13:JR13)=0,"",SUM(JR13:JR13)/COUNT(JR13:JR13))</f>
        <v>1</v>
      </c>
      <c r="JS12" s="182" t="str">
        <f t="shared" si="64"/>
        <v>D</v>
      </c>
      <c r="JT12" s="252"/>
      <c r="JU12" s="250"/>
      <c r="JV12" s="251"/>
      <c r="JW12" s="181" t="str">
        <f>IF(COUNT(JW13,#REF!)=0,"",SUM(JW13:JW13)/COUNT(JW13,#REF!))</f>
        <v/>
      </c>
      <c r="JX12" s="198" t="str">
        <f t="shared" si="65"/>
        <v/>
      </c>
      <c r="JY12" s="247"/>
      <c r="JZ12" s="245"/>
      <c r="KA12" s="246"/>
      <c r="KB12" s="181">
        <f>IF(COUNT(KB13,#REF!)=0,"",SUM(KB13:KB13)/COUNT(KB13,#REF!))</f>
        <v>3</v>
      </c>
      <c r="KC12" s="205" t="str">
        <f t="shared" si="66"/>
        <v>B</v>
      </c>
      <c r="KD12" s="181">
        <f>IF(COUNT(KD13:KD13)=0,"",SUM(KD13:KD13)/COUNT(KD13:KD13))</f>
        <v>2</v>
      </c>
      <c r="KE12" s="206" t="str">
        <f t="shared" si="67"/>
        <v>C</v>
      </c>
      <c r="KF12" s="250"/>
      <c r="KG12" s="250"/>
      <c r="KH12" s="251"/>
      <c r="KI12" s="181">
        <f>IF(COUNT(KI13:KI13)=0,"",SUM(KI13:KI13)/COUNT(KI13:KI13))</f>
        <v>1.5</v>
      </c>
      <c r="KJ12" s="182" t="str">
        <f t="shared" si="68"/>
        <v>D</v>
      </c>
      <c r="KK12" s="252"/>
      <c r="KL12" s="250"/>
      <c r="KM12" s="251"/>
      <c r="KN12" s="181" t="str">
        <f>IF(COUNT(KN13,#REF!)=0,"",SUM(KN13:KN13)/COUNT(KN13,#REF!))</f>
        <v/>
      </c>
      <c r="KO12" s="198" t="str">
        <f t="shared" si="69"/>
        <v/>
      </c>
      <c r="KP12" s="247"/>
      <c r="KQ12" s="245"/>
      <c r="KR12" s="246"/>
      <c r="KS12" s="181">
        <f>IF(COUNT(KS13,#REF!)=0,"",SUM(KS13:KS13)/COUNT(KS13,#REF!))</f>
        <v>2</v>
      </c>
      <c r="KT12" s="205" t="str">
        <f t="shared" si="70"/>
        <v>C</v>
      </c>
      <c r="KU12" s="181">
        <f>IF(COUNT(KU13:KU13)=0,"",SUM(KU13:KU13)/COUNT(KU13:KU13))</f>
        <v>1.75</v>
      </c>
      <c r="KV12" s="206" t="str">
        <f t="shared" si="71"/>
        <v>C</v>
      </c>
      <c r="KW12" s="250"/>
      <c r="KX12" s="250"/>
      <c r="KY12" s="251"/>
      <c r="KZ12" s="181">
        <f>IF(COUNT(KZ13:KZ13)=0,"",SUM(KZ13:KZ13)/COUNT(KZ13:KZ13))</f>
        <v>3</v>
      </c>
      <c r="LA12" s="182" t="str">
        <f t="shared" si="72"/>
        <v>B</v>
      </c>
      <c r="LB12" s="252"/>
      <c r="LC12" s="250"/>
      <c r="LD12" s="251"/>
      <c r="LE12" s="181" t="str">
        <f>IF(COUNT(LE13,#REF!)=0,"",SUM(LE13:LE13)/COUNT(LE13,#REF!))</f>
        <v/>
      </c>
      <c r="LF12" s="198" t="str">
        <f t="shared" si="73"/>
        <v/>
      </c>
      <c r="LG12" s="247"/>
      <c r="LH12" s="245"/>
      <c r="LI12" s="246"/>
      <c r="LJ12" s="181">
        <f>IF(COUNT(LJ13,#REF!)=0,"",SUM(LJ13:LJ13)/COUNT(LJ13,#REF!))</f>
        <v>3</v>
      </c>
      <c r="LK12" s="205" t="str">
        <f t="shared" si="74"/>
        <v>B</v>
      </c>
      <c r="LL12" s="181">
        <f>IF(COUNT(LL13:LL13)=0,"",SUM(LL13:LL13)/COUNT(LL13:LL13))</f>
        <v>3</v>
      </c>
      <c r="LM12" s="206" t="str">
        <f t="shared" si="75"/>
        <v>B</v>
      </c>
      <c r="LN12" s="250"/>
      <c r="LO12" s="250"/>
      <c r="LP12" s="251"/>
      <c r="LQ12" s="181">
        <f>IF(COUNT(LQ13:LQ13)=0,"",SUM(LQ13:LQ13)/COUNT(LQ13:LQ13))</f>
        <v>3</v>
      </c>
      <c r="LR12" s="182" t="str">
        <f t="shared" si="76"/>
        <v>B</v>
      </c>
      <c r="LS12" s="252"/>
      <c r="LT12" s="250"/>
      <c r="LU12" s="251"/>
      <c r="LV12" s="181" t="str">
        <f>IF(COUNT(LV13,#REF!)=0,"",SUM(LV13:LV13)/COUNT(LV13,#REF!))</f>
        <v/>
      </c>
      <c r="LW12" s="198" t="str">
        <f t="shared" si="77"/>
        <v/>
      </c>
      <c r="LX12" s="247"/>
      <c r="LY12" s="245"/>
      <c r="LZ12" s="246"/>
      <c r="MA12" s="181">
        <f>IF(COUNT(MA13,#REF!)=0,"",SUM(MA13:MA13)/COUNT(MA13,#REF!))</f>
        <v>3</v>
      </c>
      <c r="MB12" s="205" t="str">
        <f t="shared" si="78"/>
        <v>B</v>
      </c>
      <c r="MC12" s="181">
        <f>IF(COUNT(MC13:MC13)=0,"",SUM(MC13:MC13)/COUNT(MC13:MC13))</f>
        <v>3</v>
      </c>
      <c r="MD12" s="206" t="str">
        <f t="shared" si="79"/>
        <v>B</v>
      </c>
      <c r="ME12" s="250"/>
      <c r="MF12" s="250"/>
      <c r="MG12" s="251"/>
      <c r="MH12" s="181">
        <f>IF(COUNT(MH13:MH13)=0,"",SUM(MH13:MH13)/COUNT(MH13:MH13))</f>
        <v>3.5</v>
      </c>
      <c r="MI12" s="182" t="str">
        <f t="shared" si="80"/>
        <v>B</v>
      </c>
      <c r="MJ12" s="252"/>
      <c r="MK12" s="250"/>
      <c r="ML12" s="251"/>
      <c r="MM12" s="181" t="str">
        <f>IF(COUNT(MM13,#REF!)=0,"",SUM(MM13:MM13)/COUNT(MM13,#REF!))</f>
        <v/>
      </c>
      <c r="MN12" s="198" t="str">
        <f t="shared" si="81"/>
        <v/>
      </c>
      <c r="MO12" s="247"/>
      <c r="MP12" s="245"/>
      <c r="MQ12" s="246"/>
      <c r="MR12" s="181">
        <f>IF(COUNT(MR13,#REF!)=0,"",SUM(MR13:MR13)/COUNT(MR13,#REF!))</f>
        <v>3</v>
      </c>
      <c r="MS12" s="205" t="str">
        <f t="shared" si="82"/>
        <v>B</v>
      </c>
      <c r="MT12" s="181">
        <f>IF(COUNT(MT13:MT13)=0,"",SUM(MT13:MT13)/COUNT(MT13:MT13))</f>
        <v>3.25</v>
      </c>
      <c r="MU12" s="206" t="str">
        <f t="shared" si="83"/>
        <v>B</v>
      </c>
      <c r="MV12" s="250"/>
      <c r="MW12" s="250"/>
      <c r="MX12" s="251"/>
      <c r="MY12" s="181">
        <f>IF(COUNT(MY13:MY13)=0,"",SUM(MY13:MY13)/COUNT(MY13:MY13))</f>
        <v>2</v>
      </c>
      <c r="MZ12" s="182" t="str">
        <f t="shared" si="84"/>
        <v>C</v>
      </c>
      <c r="NA12" s="252"/>
      <c r="NB12" s="250"/>
      <c r="NC12" s="251"/>
      <c r="ND12" s="181" t="str">
        <f>IF(COUNT(ND13,#REF!)=0,"",SUM(ND13:ND13)/COUNT(ND13,#REF!))</f>
        <v/>
      </c>
      <c r="NE12" s="198" t="str">
        <f t="shared" si="85"/>
        <v/>
      </c>
      <c r="NF12" s="247"/>
      <c r="NG12" s="245"/>
      <c r="NH12" s="246"/>
      <c r="NI12" s="181">
        <f>IF(COUNT(NI13,#REF!)=0,"",SUM(NI13:NI13)/COUNT(NI13,#REF!))</f>
        <v>3</v>
      </c>
      <c r="NJ12" s="205" t="str">
        <f t="shared" si="86"/>
        <v>B</v>
      </c>
      <c r="NK12" s="181">
        <f>IF(COUNT(NK13:NK13)=0,"",SUM(NK13:NK13)/COUNT(NK13:NK13))</f>
        <v>2.5</v>
      </c>
      <c r="NL12" s="206" t="str">
        <f t="shared" si="87"/>
        <v>C</v>
      </c>
      <c r="NM12" s="250"/>
      <c r="NN12" s="250"/>
      <c r="NO12" s="251"/>
      <c r="NP12" s="181">
        <f>IF(COUNT(NP13:NP13)=0,"",SUM(NP13:NP13)/COUNT(NP13:NP13))</f>
        <v>2.5</v>
      </c>
      <c r="NQ12" s="182" t="str">
        <f t="shared" si="88"/>
        <v>C</v>
      </c>
      <c r="NR12" s="252"/>
      <c r="NS12" s="250"/>
      <c r="NT12" s="251"/>
      <c r="NU12" s="181" t="str">
        <f>IF(COUNT(NU13,#REF!)=0,"",SUM(NU13:NU13)/COUNT(NU13,#REF!))</f>
        <v/>
      </c>
      <c r="NV12" s="198" t="str">
        <f t="shared" si="89"/>
        <v/>
      </c>
      <c r="NW12" s="247"/>
      <c r="NX12" s="245"/>
      <c r="NY12" s="246"/>
      <c r="NZ12" s="181">
        <f>IF(COUNT(NZ13,#REF!)=0,"",SUM(NZ13:NZ13)/COUNT(NZ13,#REF!))</f>
        <v>3</v>
      </c>
      <c r="OA12" s="205" t="str">
        <f t="shared" si="90"/>
        <v>B</v>
      </c>
      <c r="OB12" s="181">
        <f>IF(COUNT(OB13:OB13)=0,"",SUM(OB13:OB13)/COUNT(OB13:OB13))</f>
        <v>2.75</v>
      </c>
      <c r="OC12" s="206" t="str">
        <f t="shared" si="91"/>
        <v>C</v>
      </c>
      <c r="OD12" s="250"/>
      <c r="OE12" s="250"/>
      <c r="OF12" s="251"/>
      <c r="OG12" s="181">
        <f>IF(COUNT(OG13:OG13)=0,"",SUM(OG13:OG13)/COUNT(OG13:OG13))</f>
        <v>3</v>
      </c>
      <c r="OH12" s="182" t="str">
        <f t="shared" si="92"/>
        <v>B</v>
      </c>
      <c r="OI12" s="252"/>
      <c r="OJ12" s="250"/>
      <c r="OK12" s="251"/>
      <c r="OL12" s="181" t="str">
        <f>IF(COUNT(OL13,#REF!)=0,"",SUM(OL13:OL13)/COUNT(OL13,#REF!))</f>
        <v/>
      </c>
      <c r="OM12" s="198" t="str">
        <f t="shared" si="93"/>
        <v/>
      </c>
      <c r="ON12" s="247"/>
      <c r="OO12" s="245"/>
      <c r="OP12" s="246"/>
      <c r="OQ12" s="181">
        <f>IF(COUNT(OQ13,#REF!)=0,"",SUM(OQ13:OQ13)/COUNT(OQ13,#REF!))</f>
        <v>3</v>
      </c>
      <c r="OR12" s="205" t="str">
        <f t="shared" si="94"/>
        <v>B</v>
      </c>
      <c r="OS12" s="181">
        <f>IF(COUNT(OS13:OS13)=0,"",SUM(OS13:OS13)/COUNT(OS13:OS13))</f>
        <v>3</v>
      </c>
      <c r="OT12" s="206" t="str">
        <f t="shared" si="95"/>
        <v>B</v>
      </c>
      <c r="OU12" s="250"/>
      <c r="OV12" s="250"/>
      <c r="OW12" s="251"/>
      <c r="OX12" s="181">
        <f>IF(COUNT(OX13:OX13)=0,"",SUM(OX13:OX13)/COUNT(OX13:OX13))</f>
        <v>3.5</v>
      </c>
      <c r="OY12" s="182" t="str">
        <f t="shared" si="96"/>
        <v>B</v>
      </c>
      <c r="OZ12" s="252"/>
      <c r="PA12" s="250"/>
      <c r="PB12" s="251"/>
      <c r="PC12" s="181" t="str">
        <f>IF(COUNT(PC13,#REF!)=0,"",SUM(PC13:PC13)/COUNT(PC13,#REF!))</f>
        <v/>
      </c>
      <c r="PD12" s="198" t="str">
        <f t="shared" si="97"/>
        <v/>
      </c>
      <c r="PE12" s="247"/>
      <c r="PF12" s="245"/>
      <c r="PG12" s="246"/>
      <c r="PH12" s="181">
        <f>IF(COUNT(PH13,#REF!)=0,"",SUM(PH13:PH13)/COUNT(PH13,#REF!))</f>
        <v>3</v>
      </c>
      <c r="PI12" s="205" t="str">
        <f t="shared" si="98"/>
        <v>B</v>
      </c>
      <c r="PJ12" s="181">
        <f>IF(COUNT(PJ13:PJ13)=0,"",SUM(PJ13:PJ13)/COUNT(PJ13:PJ13))</f>
        <v>3.25</v>
      </c>
      <c r="PK12" s="206" t="str">
        <f t="shared" si="99"/>
        <v>B</v>
      </c>
      <c r="PL12" s="250"/>
      <c r="PM12" s="250"/>
      <c r="PN12" s="251"/>
      <c r="PO12" s="181">
        <f>IF(COUNT(PO13:PO13)=0,"",SUM(PO13:PO13)/COUNT(PO13:PO13))</f>
        <v>2</v>
      </c>
      <c r="PP12" s="182" t="str">
        <f t="shared" si="100"/>
        <v>C</v>
      </c>
      <c r="PQ12" s="252"/>
      <c r="PR12" s="250"/>
      <c r="PS12" s="251"/>
      <c r="PT12" s="181" t="str">
        <f>IF(COUNT(PT13,#REF!)=0,"",SUM(PT13:PT13)/COUNT(PT13,#REF!))</f>
        <v/>
      </c>
      <c r="PU12" s="198" t="str">
        <f t="shared" si="101"/>
        <v/>
      </c>
      <c r="PV12" s="247"/>
      <c r="PW12" s="245"/>
      <c r="PX12" s="246"/>
      <c r="PY12" s="181" t="str">
        <f>IF(COUNT(PY13,#REF!)=0,"",SUM(PY13:PY13)/COUNT(PY13,#REF!))</f>
        <v/>
      </c>
      <c r="PZ12" s="205" t="str">
        <f t="shared" si="102"/>
        <v/>
      </c>
      <c r="QA12" s="181">
        <f>IF(COUNT(QA13:QA13)=0,"",SUM(QA13:QA13)/COUNT(QA13:QA13))</f>
        <v>2</v>
      </c>
      <c r="QB12" s="206" t="str">
        <f t="shared" si="103"/>
        <v>C</v>
      </c>
      <c r="QC12" s="250"/>
      <c r="QD12" s="250"/>
      <c r="QE12" s="251"/>
      <c r="QF12" s="181">
        <f>IF(COUNT(QF13:QF13)=0,"",SUM(QF13:QF13)/COUNT(QF13:QF13))</f>
        <v>2.5</v>
      </c>
      <c r="QG12" s="182" t="str">
        <f t="shared" si="104"/>
        <v>C</v>
      </c>
      <c r="QH12" s="252"/>
      <c r="QI12" s="250"/>
      <c r="QJ12" s="251"/>
      <c r="QK12" s="181" t="str">
        <f>IF(COUNT(QK13,#REF!)=0,"",SUM(QK13:QK13)/COUNT(QK13,#REF!))</f>
        <v/>
      </c>
      <c r="QL12" s="198" t="str">
        <f t="shared" si="105"/>
        <v/>
      </c>
      <c r="QM12" s="247"/>
      <c r="QN12" s="245"/>
      <c r="QO12" s="246"/>
      <c r="QP12" s="181">
        <f>IF(COUNT(QP13,#REF!)=0,"",SUM(QP13:QP13)/COUNT(QP13,#REF!))</f>
        <v>3</v>
      </c>
      <c r="QQ12" s="205" t="str">
        <f t="shared" si="106"/>
        <v>B</v>
      </c>
      <c r="QR12" s="181">
        <f>IF(COUNT(QR13:QR13)=0,"",SUM(QR13:QR13)/COUNT(QR13:QR13))</f>
        <v>2.75</v>
      </c>
      <c r="QS12" s="206" t="str">
        <f t="shared" si="107"/>
        <v>C</v>
      </c>
      <c r="QT12" s="250"/>
      <c r="QU12" s="250"/>
      <c r="QV12" s="251"/>
      <c r="QW12" s="93">
        <f>IF(COUNT(QW13:QW13)=0,"",SUM(QW13:QW13)/COUNT(QW13:QW13))</f>
        <v>3</v>
      </c>
      <c r="QX12" s="94" t="str">
        <f t="shared" si="108"/>
        <v>B</v>
      </c>
      <c r="QY12" s="252"/>
      <c r="QZ12" s="250"/>
      <c r="RA12" s="251"/>
      <c r="RB12" s="93" t="str">
        <f>IF(COUNT(RB13,#REF!)=0,"",SUM(RB13:RB13)/COUNT(RB13,#REF!))</f>
        <v/>
      </c>
      <c r="RC12" s="95" t="str">
        <f t="shared" si="109"/>
        <v/>
      </c>
      <c r="RD12" s="247"/>
      <c r="RE12" s="245"/>
      <c r="RF12" s="246"/>
      <c r="RG12" s="93">
        <f>IF(COUNT(RG13,#REF!)=0,"",SUM(RG13:RG13)/COUNT(RG13,#REF!))</f>
        <v>3</v>
      </c>
      <c r="RH12" s="96" t="str">
        <f t="shared" si="110"/>
        <v>B</v>
      </c>
      <c r="RI12" s="93">
        <f>IF(COUNT(RI13:RI13)=0,"",SUM(RI13:RI13)/COUNT(RI13:RI13))</f>
        <v>3</v>
      </c>
      <c r="RJ12" s="97" t="str">
        <f t="shared" si="111"/>
        <v>B</v>
      </c>
      <c r="RK12" s="250"/>
      <c r="RL12" s="250"/>
      <c r="RM12" s="251"/>
      <c r="RN12" s="93" t="str">
        <f>IF(COUNT(RN13:RN13)=0,"",SUM(RN13:RN13)/COUNT(RN13:RN13))</f>
        <v/>
      </c>
      <c r="RO12" s="94" t="str">
        <f t="shared" si="112"/>
        <v/>
      </c>
      <c r="RP12" s="252"/>
      <c r="RQ12" s="250"/>
      <c r="RR12" s="251"/>
      <c r="RS12" s="93" t="str">
        <f>IF(COUNT(RS13,#REF!)=0,"",SUM(RS13:RS13)/COUNT(RS13,#REF!))</f>
        <v/>
      </c>
      <c r="RT12" s="95" t="str">
        <f t="shared" si="113"/>
        <v/>
      </c>
      <c r="RU12" s="247"/>
      <c r="RV12" s="245"/>
      <c r="RW12" s="246"/>
      <c r="RX12" s="93" t="str">
        <f>IF(COUNT(RX13,#REF!)=0,"",SUM(RX13:RX13)/COUNT(RX13,#REF!))</f>
        <v/>
      </c>
      <c r="RY12" s="96" t="str">
        <f t="shared" si="114"/>
        <v/>
      </c>
      <c r="RZ12" s="93" t="str">
        <f>IF(COUNT(RZ13:RZ13)=0,"",SUM(RZ13:RZ13)/COUNT(RZ13:RZ13))</f>
        <v/>
      </c>
      <c r="SA12" s="97" t="str">
        <f t="shared" si="115"/>
        <v/>
      </c>
      <c r="SB12" s="250"/>
      <c r="SC12" s="250"/>
      <c r="SD12" s="251"/>
      <c r="SE12" s="93" t="str">
        <f>IF(COUNT(SE13:SE13)=0,"",SUM(SE13:SE13)/COUNT(SE13:SE13))</f>
        <v/>
      </c>
      <c r="SF12" s="94" t="str">
        <f t="shared" si="116"/>
        <v/>
      </c>
      <c r="SG12" s="252"/>
      <c r="SH12" s="250"/>
      <c r="SI12" s="251"/>
      <c r="SJ12" s="93" t="str">
        <f>IF(COUNT(SJ13,#REF!)=0,"",SUM(SJ13:SJ13)/COUNT(SJ13,#REF!))</f>
        <v/>
      </c>
      <c r="SK12" s="95" t="str">
        <f t="shared" si="117"/>
        <v/>
      </c>
      <c r="SL12" s="247"/>
      <c r="SM12" s="245"/>
      <c r="SN12" s="246"/>
      <c r="SO12" s="93" t="str">
        <f>IF(COUNT(SO13,#REF!)=0,"",SUM(SO13:SO13)/COUNT(SO13,#REF!))</f>
        <v/>
      </c>
      <c r="SP12" s="96" t="str">
        <f t="shared" si="118"/>
        <v/>
      </c>
      <c r="SQ12" s="93" t="str">
        <f>IF(COUNT(SQ13:SQ13)=0,"",SUM(SQ13:SQ13)/COUNT(SQ13:SQ13))</f>
        <v/>
      </c>
      <c r="SR12" s="97" t="str">
        <f t="shared" si="119"/>
        <v/>
      </c>
      <c r="SS12" s="250"/>
      <c r="ST12" s="250"/>
      <c r="SU12" s="251"/>
      <c r="SV12" s="93" t="str">
        <f>IF(COUNT(SV13:SV13)=0,"",SUM(SV13:SV13)/COUNT(SV13:SV13))</f>
        <v/>
      </c>
      <c r="SW12" s="94" t="str">
        <f t="shared" si="120"/>
        <v/>
      </c>
      <c r="SX12" s="252"/>
      <c r="SY12" s="250"/>
      <c r="SZ12" s="251"/>
      <c r="TA12" s="93" t="str">
        <f>IF(COUNT(TA13,#REF!)=0,"",SUM(TA13:TA13)/COUNT(TA13,#REF!))</f>
        <v/>
      </c>
      <c r="TB12" s="95" t="str">
        <f t="shared" si="121"/>
        <v/>
      </c>
      <c r="TC12" s="247"/>
      <c r="TD12" s="245"/>
      <c r="TE12" s="246"/>
      <c r="TF12" s="93" t="str">
        <f>IF(COUNT(TF13,#REF!)=0,"",SUM(TF13:TF13)/COUNT(TF13,#REF!))</f>
        <v/>
      </c>
      <c r="TG12" s="96" t="str">
        <f t="shared" si="122"/>
        <v/>
      </c>
      <c r="TH12" s="93" t="str">
        <f>IF(COUNT(TH13:TH13)=0,"",SUM(TH13:TH13)/COUNT(TH13:TH13))</f>
        <v/>
      </c>
      <c r="TI12" s="97" t="str">
        <f t="shared" si="123"/>
        <v/>
      </c>
      <c r="TJ12" s="250"/>
      <c r="TK12" s="250"/>
      <c r="TL12" s="251"/>
      <c r="TM12" s="93" t="str">
        <f>IF(COUNT(TM13:TM13)=0,"",SUM(TM13:TM13)/COUNT(TM13:TM13))</f>
        <v/>
      </c>
      <c r="TN12" s="94" t="str">
        <f t="shared" si="124"/>
        <v/>
      </c>
      <c r="TO12" s="252"/>
      <c r="TP12" s="250"/>
      <c r="TQ12" s="251"/>
      <c r="TR12" s="93" t="str">
        <f>IF(COUNT(TR13,#REF!)=0,"",SUM(TR13:TR13)/COUNT(TR13,#REF!))</f>
        <v/>
      </c>
      <c r="TS12" s="95" t="str">
        <f t="shared" si="125"/>
        <v/>
      </c>
      <c r="TT12" s="247"/>
      <c r="TU12" s="245"/>
      <c r="TV12" s="246"/>
      <c r="TW12" s="93" t="str">
        <f>IF(COUNT(TW13,#REF!)=0,"",SUM(TW13:TW13)/COUNT(TW13,#REF!))</f>
        <v/>
      </c>
      <c r="TX12" s="96" t="str">
        <f t="shared" si="126"/>
        <v/>
      </c>
      <c r="TY12" s="93" t="str">
        <f>IF(COUNT(TY13:TY13)=0,"",SUM(TY13:TY13)/COUNT(TY13:TY13))</f>
        <v/>
      </c>
      <c r="TZ12" s="97" t="str">
        <f t="shared" si="127"/>
        <v/>
      </c>
    </row>
    <row r="13" spans="1:546" ht="14.65" customHeight="1" thickBot="1" x14ac:dyDescent="0.3">
      <c r="A13" s="165" t="s">
        <v>16</v>
      </c>
      <c r="B13" s="127"/>
      <c r="C13" s="173" t="s">
        <v>25</v>
      </c>
      <c r="D13" s="100"/>
      <c r="E13" s="101" t="s">
        <v>23</v>
      </c>
      <c r="F13" s="183">
        <f>IFERROR((((COUNTIF('Elève (6ème4)'!C13:E13,"A"))*4)+((COUNTIF('Elève (6ème4)'!C13:E13,"B"))*3)+((COUNTIF('Elève (6ème4)'!C13:E13,"C"))*2)+((COUNTIF('Elève (6ème4)'!C13:E13,"D"))*1))/(COUNTA(C13:E13)),"")</f>
        <v>3</v>
      </c>
      <c r="G13" s="184" t="str">
        <f t="shared" si="0"/>
        <v>B</v>
      </c>
      <c r="H13" s="173"/>
      <c r="I13" s="100"/>
      <c r="J13" s="101"/>
      <c r="K13" s="183" t="str">
        <f>IFERROR((((COUNTIF('Elève (6ème4)'!H13:J13,"A"))*4)+((COUNTIF('Elève (6ème4)'!H13:J13,"B"))*3)+((COUNTIF('Elève (6ème4)'!H13:J13,"C"))*2)+((COUNTIF('Elève (6ème4)'!H13:J13,"D"))*1))/(COUNTA(H13:J13)),"")</f>
        <v/>
      </c>
      <c r="L13" s="184" t="str">
        <f t="shared" si="1"/>
        <v/>
      </c>
      <c r="M13" s="173"/>
      <c r="N13" s="100" t="s">
        <v>24</v>
      </c>
      <c r="O13" s="101"/>
      <c r="P13" s="183">
        <f>IFERROR((((COUNTIF('Elève (6ème4)'!M13:O13,"A"))*4)+((COUNTIF('Elève (6ème4)'!M13:O13,"B"))*3)+((COUNTIF('Elève (6ème4)'!M13:O13,"C"))*2)+((COUNTIF('Elève (6ème4)'!M13:O13,"D"))*1))/(COUNTA(M13:O13)),"")</f>
        <v>3</v>
      </c>
      <c r="Q13" s="184" t="str">
        <f t="shared" si="2"/>
        <v>B</v>
      </c>
      <c r="R13" s="183">
        <f>IF(COUNT(F13,K13,P13)=0,"",SUM(F13,K13,P13)/COUNT(F13,K13,P13))</f>
        <v>3</v>
      </c>
      <c r="S13" s="207" t="str">
        <f t="shared" si="3"/>
        <v>B</v>
      </c>
      <c r="T13" s="218" t="s">
        <v>25</v>
      </c>
      <c r="U13" s="100"/>
      <c r="V13" s="101" t="s">
        <v>24</v>
      </c>
      <c r="W13" s="183">
        <f>IFERROR((((COUNTIF('Elève (6ème4)'!T13:V13,"A"))*4)+((COUNTIF('Elève (6ème4)'!T13:V13,"B"))*3)+((COUNTIF('Elève (6ème4)'!T13:V13,"C"))*2)+((COUNTIF('Elève (6ème4)'!T13:V13,"D"))*1))/(COUNTA(T13:V13)),"")</f>
        <v>2.5</v>
      </c>
      <c r="X13" s="184" t="str">
        <f t="shared" si="4"/>
        <v>C</v>
      </c>
      <c r="Y13" s="173"/>
      <c r="Z13" s="100"/>
      <c r="AA13" s="101"/>
      <c r="AB13" s="183" t="str">
        <f>IFERROR((((COUNTIF('Elève (6ème4)'!Y13:AA13,"A"))*4)+((COUNTIF('Elève (6ème4)'!Y13:AA13,"B"))*3)+((COUNTIF('Elève (6ème4)'!Y13:AA13,"C"))*2)+((COUNTIF('Elève (6ème4)'!Y13:AA13,"D"))*1))/(COUNTA(Y13:AA13)),"")</f>
        <v/>
      </c>
      <c r="AC13" s="184" t="str">
        <f t="shared" si="5"/>
        <v/>
      </c>
      <c r="AD13" s="173"/>
      <c r="AE13" s="100" t="s">
        <v>24</v>
      </c>
      <c r="AF13" s="101"/>
      <c r="AG13" s="183">
        <f>IFERROR((((COUNTIF('Elève (6ème4)'!AD13:AF13,"A"))*4)+((COUNTIF('Elève (6ème4)'!AD13:AF13,"B"))*3)+((COUNTIF('Elève (6ème4)'!AD13:AF13,"C"))*2)+((COUNTIF('Elève (6ème4)'!AD13:AF13,"D"))*1))/(COUNTA(AD13:AF13)),"")</f>
        <v>3</v>
      </c>
      <c r="AH13" s="184" t="str">
        <f t="shared" si="6"/>
        <v>B</v>
      </c>
      <c r="AI13" s="183">
        <f>IF(COUNT(W13,AB13,AG13)=0,"",SUM(W13,AB13,AG13)/COUNT(W13,AB13,AG13))</f>
        <v>2.75</v>
      </c>
      <c r="AJ13" s="207" t="str">
        <f t="shared" si="7"/>
        <v>C</v>
      </c>
      <c r="AK13" s="218" t="s">
        <v>24</v>
      </c>
      <c r="AL13" s="100"/>
      <c r="AM13" s="101" t="s">
        <v>24</v>
      </c>
      <c r="AN13" s="183">
        <f>IFERROR((((COUNTIF('Elève (6ème4)'!AK13:AM13,"A"))*4)+((COUNTIF('Elève (6ème4)'!AK13:AM13,"B"))*3)+((COUNTIF('Elève (6ème4)'!AK13:AM13,"C"))*2)+((COUNTIF('Elève (6ème4)'!AK13:AM13,"D"))*1))/(COUNTA(AK13:AM13)),"")</f>
        <v>3</v>
      </c>
      <c r="AO13" s="184" t="str">
        <f t="shared" si="8"/>
        <v>B</v>
      </c>
      <c r="AP13" s="173"/>
      <c r="AQ13" s="100"/>
      <c r="AR13" s="101"/>
      <c r="AS13" s="183" t="str">
        <f>IFERROR((((COUNTIF('Elève (6ème4)'!AP13:AR13,"A"))*4)+((COUNTIF('Elève (6ème4)'!AP13:AR13,"B"))*3)+((COUNTIF('Elève (6ème4)'!AP13:AR13,"C"))*2)+((COUNTIF('Elève (6ème4)'!AP13:AR13,"D"))*1))/(COUNTA(AP13:AR13)),"")</f>
        <v/>
      </c>
      <c r="AT13" s="184" t="str">
        <f t="shared" si="9"/>
        <v/>
      </c>
      <c r="AU13" s="173"/>
      <c r="AV13" s="100" t="s">
        <v>24</v>
      </c>
      <c r="AW13" s="101"/>
      <c r="AX13" s="183">
        <f>IFERROR((((COUNTIF('Elève (6ème4)'!AU13:AW13,"A"))*4)+((COUNTIF('Elève (6ème4)'!AU13:AW13,"B"))*3)+((COUNTIF('Elève (6ème4)'!AU13:AW13,"C"))*2)+((COUNTIF('Elève (6ème4)'!AU13:AW13,"D"))*1))/(COUNTA(AU13:AW13)),"")</f>
        <v>3</v>
      </c>
      <c r="AY13" s="184" t="str">
        <f t="shared" si="10"/>
        <v>B</v>
      </c>
      <c r="AZ13" s="183">
        <f>IF(COUNT(AN13,AS13,AX13)=0,"",SUM(AN13,AS13,AX13)/COUNT(AN13,AS13,AX13))</f>
        <v>3</v>
      </c>
      <c r="BA13" s="207" t="str">
        <f t="shared" si="11"/>
        <v>B</v>
      </c>
      <c r="BB13" s="218" t="s">
        <v>25</v>
      </c>
      <c r="BC13" s="100"/>
      <c r="BD13" s="101" t="s">
        <v>25</v>
      </c>
      <c r="BE13" s="183">
        <f>IFERROR((((COUNTIF('Elève (6ème4)'!BB13:BD13,"A"))*4)+((COUNTIF('Elève (6ème4)'!BB13:BD13,"B"))*3)+((COUNTIF('Elève (6ème4)'!BB13:BD13,"C"))*2)+((COUNTIF('Elève (6ème4)'!BB13:BD13,"D"))*1))/(COUNTA(BB13:BD13)),"")</f>
        <v>2</v>
      </c>
      <c r="BF13" s="184" t="str">
        <f t="shared" si="12"/>
        <v>C</v>
      </c>
      <c r="BG13" s="173"/>
      <c r="BH13" s="100"/>
      <c r="BI13" s="101"/>
      <c r="BJ13" s="183" t="str">
        <f>IFERROR((((COUNTIF('Elève (6ème4)'!BG13:BI13,"A"))*4)+((COUNTIF('Elève (6ème4)'!BG13:BI13,"B"))*3)+((COUNTIF('Elève (6ème4)'!BG13:BI13,"C"))*2)+((COUNTIF('Elève (6ème4)'!BG13:BI13,"D"))*1))/(COUNTA(BG13:BI13)),"")</f>
        <v/>
      </c>
      <c r="BK13" s="184" t="str">
        <f t="shared" si="13"/>
        <v/>
      </c>
      <c r="BL13" s="173"/>
      <c r="BM13" s="100" t="s">
        <v>25</v>
      </c>
      <c r="BN13" s="101"/>
      <c r="BO13" s="183">
        <f>IFERROR((((COUNTIF('Elève (6ème4)'!BL13:BN13,"A"))*4)+((COUNTIF('Elève (6ème4)'!BL13:BN13,"B"))*3)+((COUNTIF('Elève (6ème4)'!BL13:BN13,"C"))*2)+((COUNTIF('Elève (6ème4)'!BL13:BN13,"D"))*1))/(COUNTA(BL13:BN13)),"")</f>
        <v>2</v>
      </c>
      <c r="BP13" s="184" t="str">
        <f t="shared" si="14"/>
        <v>C</v>
      </c>
      <c r="BQ13" s="183">
        <f>IF(COUNT(BE13,BJ13,BO13)=0,"",SUM(BE13,BJ13,BO13)/COUNT(BE13,BJ13,BO13))</f>
        <v>2</v>
      </c>
      <c r="BR13" s="207" t="str">
        <f t="shared" si="15"/>
        <v>C</v>
      </c>
      <c r="BS13" s="218" t="s">
        <v>25</v>
      </c>
      <c r="BT13" s="100"/>
      <c r="BU13" s="101" t="s">
        <v>25</v>
      </c>
      <c r="BV13" s="183">
        <f>IFERROR((((COUNTIF('Elève (6ème4)'!BS13:BU13,"A"))*4)+((COUNTIF('Elève (6ème4)'!BS13:BU13,"B"))*3)+((COUNTIF('Elève (6ème4)'!BS13:BU13,"C"))*2)+((COUNTIF('Elève (6ème4)'!BS13:BU13,"D"))*1))/(COUNTA(BS13:BU13)),"")</f>
        <v>2</v>
      </c>
      <c r="BW13" s="184" t="str">
        <f t="shared" si="16"/>
        <v>C</v>
      </c>
      <c r="BX13" s="173"/>
      <c r="BY13" s="100"/>
      <c r="BZ13" s="101"/>
      <c r="CA13" s="183" t="str">
        <f>IFERROR((((COUNTIF('Elève (6ème4)'!BX13:BZ13,"A"))*4)+((COUNTIF('Elève (6ème4)'!BX13:BZ13,"B"))*3)+((COUNTIF('Elève (6ème4)'!BX13:BZ13,"C"))*2)+((COUNTIF('Elève (6ème4)'!BX13:BZ13,"D"))*1))/(COUNTA(BX13:BZ13)),"")</f>
        <v/>
      </c>
      <c r="CB13" s="184" t="str">
        <f t="shared" si="17"/>
        <v/>
      </c>
      <c r="CC13" s="173"/>
      <c r="CD13" s="100" t="s">
        <v>24</v>
      </c>
      <c r="CE13" s="101"/>
      <c r="CF13" s="183">
        <f>IFERROR((((COUNTIF('Elève (6ème4)'!CC13:CE13,"A"))*4)+((COUNTIF('Elève (6ème4)'!CC13:CE13,"B"))*3)+((COUNTIF('Elève (6ème4)'!CC13:CE13,"C"))*2)+((COUNTIF('Elève (6ème4)'!CC13:CE13,"D"))*1))/(COUNTA(CC13:CE13)),"")</f>
        <v>3</v>
      </c>
      <c r="CG13" s="184" t="str">
        <f t="shared" si="18"/>
        <v>B</v>
      </c>
      <c r="CH13" s="183">
        <f>IF(COUNT(BV13,CA13,CF13)=0,"",SUM(BV13,CA13,CF13)/COUNT(BV13,CA13,CF13))</f>
        <v>2.5</v>
      </c>
      <c r="CI13" s="207" t="str">
        <f t="shared" si="19"/>
        <v>C</v>
      </c>
      <c r="CJ13" s="218" t="s">
        <v>24</v>
      </c>
      <c r="CK13" s="100"/>
      <c r="CL13" s="101" t="s">
        <v>24</v>
      </c>
      <c r="CM13" s="183">
        <f>IFERROR((((COUNTIF('Elève (6ème4)'!CJ13:CL13,"A"))*4)+((COUNTIF('Elève (6ème4)'!CJ13:CL13,"B"))*3)+((COUNTIF('Elève (6ème4)'!CJ13:CL13,"C"))*2)+((COUNTIF('Elève (6ème4)'!CJ13:CL13,"D"))*1))/(COUNTA(CJ13:CL13)),"")</f>
        <v>3</v>
      </c>
      <c r="CN13" s="184" t="str">
        <f t="shared" si="20"/>
        <v>B</v>
      </c>
      <c r="CO13" s="173"/>
      <c r="CP13" s="100"/>
      <c r="CQ13" s="101"/>
      <c r="CR13" s="183" t="str">
        <f>IFERROR((((COUNTIF('Elève (6ème4)'!CO13:CQ13,"A"))*4)+((COUNTIF('Elève (6ème4)'!CO13:CQ13,"B"))*3)+((COUNTIF('Elève (6ème4)'!CO13:CQ13,"C"))*2)+((COUNTIF('Elève (6ème4)'!CO13:CQ13,"D"))*1))/(COUNTA(CO13:CQ13)),"")</f>
        <v/>
      </c>
      <c r="CS13" s="184" t="str">
        <f t="shared" si="21"/>
        <v/>
      </c>
      <c r="CT13" s="173"/>
      <c r="CU13" s="100" t="s">
        <v>24</v>
      </c>
      <c r="CV13" s="101"/>
      <c r="CW13" s="183">
        <f>IFERROR((((COUNTIF('Elève (6ème4)'!CT13:CV13,"A"))*4)+((COUNTIF('Elève (6ème4)'!CT13:CV13,"B"))*3)+((COUNTIF('Elève (6ème4)'!CT13:CV13,"C"))*2)+((COUNTIF('Elève (6ème4)'!CT13:CV13,"D"))*1))/(COUNTA(CT13:CV13)),"")</f>
        <v>3</v>
      </c>
      <c r="CX13" s="184" t="str">
        <f t="shared" si="22"/>
        <v>B</v>
      </c>
      <c r="CY13" s="183">
        <f>IF(COUNT(CM13,CR13,CW13)=0,"",SUM(CM13,CR13,CW13)/COUNT(CM13,CR13,CW13))</f>
        <v>3</v>
      </c>
      <c r="CZ13" s="207" t="str">
        <f t="shared" si="23"/>
        <v>B</v>
      </c>
      <c r="DA13" s="218" t="s">
        <v>25</v>
      </c>
      <c r="DB13" s="100"/>
      <c r="DC13" s="101" t="s">
        <v>23</v>
      </c>
      <c r="DD13" s="183">
        <f>IFERROR((((COUNTIF('Elève (6ème4)'!DA13:DC13,"A"))*4)+((COUNTIF('Elève (6ème4)'!DA13:DC13,"B"))*3)+((COUNTIF('Elève (6ème4)'!DA13:DC13,"C"))*2)+((COUNTIF('Elève (6ème4)'!DA13:DC13,"D"))*1))/(COUNTA(DA13:DC13)),"")</f>
        <v>3</v>
      </c>
      <c r="DE13" s="184" t="str">
        <f t="shared" si="24"/>
        <v>B</v>
      </c>
      <c r="DF13" s="173"/>
      <c r="DG13" s="100"/>
      <c r="DH13" s="101"/>
      <c r="DI13" s="183" t="str">
        <f>IFERROR((((COUNTIF('Elève (6ème4)'!DF13:DH13,"A"))*4)+((COUNTIF('Elève (6ème4)'!DF13:DH13,"B"))*3)+((COUNTIF('Elève (6ème4)'!DF13:DH13,"C"))*2)+((COUNTIF('Elève (6ème4)'!DF13:DH13,"D"))*1))/(COUNTA(DF13:DH13)),"")</f>
        <v/>
      </c>
      <c r="DJ13" s="184" t="str">
        <f t="shared" si="25"/>
        <v/>
      </c>
      <c r="DK13" s="173"/>
      <c r="DL13" s="100" t="s">
        <v>24</v>
      </c>
      <c r="DM13" s="101"/>
      <c r="DN13" s="183">
        <f>IFERROR((((COUNTIF('Elève (6ème4)'!DK13:DM13,"A"))*4)+((COUNTIF('Elève (6ème4)'!DK13:DM13,"B"))*3)+((COUNTIF('Elève (6ème4)'!DK13:DM13,"C"))*2)+((COUNTIF('Elève (6ème4)'!DK13:DM13,"D"))*1))/(COUNTA(DK13:DM13)),"")</f>
        <v>3</v>
      </c>
      <c r="DO13" s="184" t="str">
        <f t="shared" si="26"/>
        <v>B</v>
      </c>
      <c r="DP13" s="183">
        <f>IF(COUNT(DD13,DI13,DN13)=0,"",SUM(DD13,DI13,DN13)/COUNT(DD13,DI13,DN13))</f>
        <v>3</v>
      </c>
      <c r="DQ13" s="207" t="str">
        <f t="shared" si="27"/>
        <v>B</v>
      </c>
      <c r="DR13" s="218" t="s">
        <v>26</v>
      </c>
      <c r="DS13" s="100"/>
      <c r="DT13" s="101" t="s">
        <v>24</v>
      </c>
      <c r="DU13" s="183">
        <f>IFERROR((((COUNTIF('Elève (6ème4)'!DR13:DT13,"A"))*4)+((COUNTIF('Elève (6ème4)'!DR13:DT13,"B"))*3)+((COUNTIF('Elève (6ème4)'!DR13:DT13,"C"))*2)+((COUNTIF('Elève (6ème4)'!DR13:DT13,"D"))*1))/(COUNTA(DR13:DT13)),"")</f>
        <v>2</v>
      </c>
      <c r="DV13" s="184" t="str">
        <f t="shared" si="28"/>
        <v>C</v>
      </c>
      <c r="DW13" s="173"/>
      <c r="DX13" s="100"/>
      <c r="DY13" s="101"/>
      <c r="DZ13" s="183" t="str">
        <f>IFERROR((((COUNTIF('Elève (6ème4)'!DW13:DY13,"A"))*4)+((COUNTIF('Elève (6ème4)'!DW13:DY13,"B"))*3)+((COUNTIF('Elève (6ème4)'!DW13:DY13,"C"))*2)+((COUNTIF('Elève (6ème4)'!DW13:DY13,"D"))*1))/(COUNTA(DW13:DY13)),"")</f>
        <v/>
      </c>
      <c r="EA13" s="184" t="str">
        <f t="shared" si="29"/>
        <v/>
      </c>
      <c r="EB13" s="173"/>
      <c r="EC13" s="100" t="s">
        <v>24</v>
      </c>
      <c r="ED13" s="101"/>
      <c r="EE13" s="183">
        <f>IFERROR((((COUNTIF('Elève (6ème4)'!EB13:ED13,"A"))*4)+((COUNTIF('Elève (6ème4)'!EB13:ED13,"B"))*3)+((COUNTIF('Elève (6ème4)'!EB13:ED13,"C"))*2)+((COUNTIF('Elève (6ème4)'!EB13:ED13,"D"))*1))/(COUNTA(EB13:ED13)),"")</f>
        <v>3</v>
      </c>
      <c r="EF13" s="184" t="str">
        <f t="shared" si="30"/>
        <v>B</v>
      </c>
      <c r="EG13" s="183">
        <f>IF(COUNT(DU13,DZ13,EE13)=0,"",SUM(DU13,DZ13,EE13)/COUNT(DU13,DZ13,EE13))</f>
        <v>2.5</v>
      </c>
      <c r="EH13" s="207" t="str">
        <f t="shared" si="31"/>
        <v>C</v>
      </c>
      <c r="EI13" s="218" t="s">
        <v>26</v>
      </c>
      <c r="EJ13" s="100"/>
      <c r="EK13" s="101" t="s">
        <v>25</v>
      </c>
      <c r="EL13" s="183">
        <f>IFERROR((((COUNTIF('Elève (6ème4)'!EI13:EK13,"A"))*4)+((COUNTIF('Elève (6ème4)'!EI13:EK13,"B"))*3)+((COUNTIF('Elève (6ème4)'!EI13:EK13,"C"))*2)+((COUNTIF('Elève (6ème4)'!EI13:EK13,"D"))*1))/(COUNTA(EI13:EK13)),"")</f>
        <v>1.5</v>
      </c>
      <c r="EM13" s="184" t="str">
        <f t="shared" si="32"/>
        <v>D</v>
      </c>
      <c r="EN13" s="173"/>
      <c r="EO13" s="100"/>
      <c r="EP13" s="101"/>
      <c r="EQ13" s="183" t="str">
        <f>IFERROR((((COUNTIF('Elève (6ème4)'!EN13:EP13,"A"))*4)+((COUNTIF('Elève (6ème4)'!EN13:EP13,"B"))*3)+((COUNTIF('Elève (6ème4)'!EN13:EP13,"C"))*2)+((COUNTIF('Elève (6ème4)'!EN13:EP13,"D"))*1))/(COUNTA(EN13:EP13)),"")</f>
        <v/>
      </c>
      <c r="ER13" s="184" t="str">
        <f t="shared" si="33"/>
        <v/>
      </c>
      <c r="ES13" s="173"/>
      <c r="ET13" s="100" t="s">
        <v>24</v>
      </c>
      <c r="EU13" s="101"/>
      <c r="EV13" s="183">
        <f>IFERROR((((COUNTIF('Elève (6ème4)'!ES13:EU13,"A"))*4)+((COUNTIF('Elève (6ème4)'!ES13:EU13,"B"))*3)+((COUNTIF('Elève (6ème4)'!ES13:EU13,"C"))*2)+((COUNTIF('Elève (6ème4)'!ES13:EU13,"D"))*1))/(COUNTA(ES13:EU13)),"")</f>
        <v>3</v>
      </c>
      <c r="EW13" s="184" t="str">
        <f t="shared" si="34"/>
        <v>B</v>
      </c>
      <c r="EX13" s="183">
        <f>IF(COUNT(EL13,EQ13,EV13)=0,"",SUM(EL13,EQ13,EV13)/COUNT(EL13,EQ13,EV13))</f>
        <v>2.25</v>
      </c>
      <c r="EY13" s="207" t="str">
        <f t="shared" si="35"/>
        <v>C</v>
      </c>
      <c r="EZ13" s="218" t="s">
        <v>25</v>
      </c>
      <c r="FA13" s="100"/>
      <c r="FB13" s="101" t="s">
        <v>23</v>
      </c>
      <c r="FC13" s="183">
        <f>IFERROR((((COUNTIF('Elève (6ème4)'!EZ13:FB13,"A"))*4)+((COUNTIF('Elève (6ème4)'!EZ13:FB13,"B"))*3)+((COUNTIF('Elève (6ème4)'!EZ13:FB13,"C"))*2)+((COUNTIF('Elève (6ème4)'!EZ13:FB13,"D"))*1))/(COUNTA(EZ13:FB13)),"")</f>
        <v>3</v>
      </c>
      <c r="FD13" s="184" t="str">
        <f t="shared" si="36"/>
        <v>B</v>
      </c>
      <c r="FE13" s="173"/>
      <c r="FF13" s="100"/>
      <c r="FG13" s="101"/>
      <c r="FH13" s="183" t="str">
        <f>IFERROR((((COUNTIF('Elève (6ème4)'!FE13:FG13,"A"))*4)+((COUNTIF('Elève (6ème4)'!FE13:FG13,"B"))*3)+((COUNTIF('Elève (6ème4)'!FE13:FG13,"C"))*2)+((COUNTIF('Elève (6ème4)'!FE13:FG13,"D"))*1))/(COUNTA(FE13:FG13)),"")</f>
        <v/>
      </c>
      <c r="FI13" s="184" t="str">
        <f t="shared" si="37"/>
        <v/>
      </c>
      <c r="FJ13" s="173"/>
      <c r="FK13" s="100" t="s">
        <v>24</v>
      </c>
      <c r="FL13" s="101"/>
      <c r="FM13" s="183">
        <f>IFERROR((((COUNTIF('Elève (6ème4)'!FJ13:FL13,"A"))*4)+((COUNTIF('Elève (6ème4)'!FJ13:FL13,"B"))*3)+((COUNTIF('Elève (6ème4)'!FJ13:FL13,"C"))*2)+((COUNTIF('Elève (6ème4)'!FJ13:FL13,"D"))*1))/(COUNTA(FJ13:FL13)),"")</f>
        <v>3</v>
      </c>
      <c r="FN13" s="184" t="str">
        <f t="shared" si="38"/>
        <v>B</v>
      </c>
      <c r="FO13" s="183">
        <f>IF(COUNT(FC13,FH13,FM13)=0,"",SUM(FC13,FH13,FM13)/COUNT(FC13,FH13,FM13))</f>
        <v>3</v>
      </c>
      <c r="FP13" s="207" t="str">
        <f t="shared" si="39"/>
        <v>B</v>
      </c>
      <c r="FQ13" s="218" t="s">
        <v>24</v>
      </c>
      <c r="FR13" s="100"/>
      <c r="FS13" s="101" t="s">
        <v>25</v>
      </c>
      <c r="FT13" s="183">
        <f>IFERROR((((COUNTIF('Elève (6ème4)'!FQ13:FS13,"A"))*4)+((COUNTIF('Elève (6ème4)'!FQ13:FS13,"B"))*3)+((COUNTIF('Elève (6ème4)'!FQ13:FS13,"C"))*2)+((COUNTIF('Elève (6ème4)'!FQ13:FS13,"D"))*1))/(COUNTA(FQ13:FS13)),"")</f>
        <v>2.5</v>
      </c>
      <c r="FU13" s="184" t="str">
        <f t="shared" si="40"/>
        <v>C</v>
      </c>
      <c r="FV13" s="173"/>
      <c r="FW13" s="100"/>
      <c r="FX13" s="101"/>
      <c r="FY13" s="183" t="str">
        <f>IFERROR((((COUNTIF('Elève (6ème4)'!FV13:FX13,"A"))*4)+((COUNTIF('Elève (6ème4)'!FV13:FX13,"B"))*3)+((COUNTIF('Elève (6ème4)'!FV13:FX13,"C"))*2)+((COUNTIF('Elève (6ème4)'!FV13:FX13,"D"))*1))/(COUNTA(FV13:FX13)),"")</f>
        <v/>
      </c>
      <c r="FZ13" s="184" t="str">
        <f t="shared" si="41"/>
        <v/>
      </c>
      <c r="GA13" s="173"/>
      <c r="GB13" s="100" t="s">
        <v>24</v>
      </c>
      <c r="GC13" s="101"/>
      <c r="GD13" s="183">
        <f>IFERROR((((COUNTIF('Elève (6ème4)'!GA13:GC13,"A"))*4)+((COUNTIF('Elève (6ème4)'!GA13:GC13,"B"))*3)+((COUNTIF('Elève (6ème4)'!GA13:GC13,"C"))*2)+((COUNTIF('Elève (6ème4)'!GA13:GC13,"D"))*1))/(COUNTA(GA13:GC13)),"")</f>
        <v>3</v>
      </c>
      <c r="GE13" s="184" t="str">
        <f t="shared" si="42"/>
        <v>B</v>
      </c>
      <c r="GF13" s="183">
        <f>IF(COUNT(FT13,FY13,GD13)=0,"",SUM(FT13,FY13,GD13)/COUNT(FT13,FY13,GD13))</f>
        <v>2.75</v>
      </c>
      <c r="GG13" s="207" t="str">
        <f t="shared" si="43"/>
        <v>C</v>
      </c>
      <c r="GH13" s="218" t="s">
        <v>25</v>
      </c>
      <c r="GI13" s="100"/>
      <c r="GJ13" s="101" t="s">
        <v>24</v>
      </c>
      <c r="GK13" s="183">
        <f>IFERROR((((COUNTIF('Elève (6ème4)'!GH13:GJ13,"A"))*4)+((COUNTIF('Elève (6ème4)'!GH13:GJ13,"B"))*3)+((COUNTIF('Elève (6ème4)'!GH13:GJ13,"C"))*2)+((COUNTIF('Elève (6ème4)'!GH13:GJ13,"D"))*1))/(COUNTA(GH13:GJ13)),"")</f>
        <v>2.5</v>
      </c>
      <c r="GL13" s="184" t="str">
        <f t="shared" si="44"/>
        <v>C</v>
      </c>
      <c r="GM13" s="173"/>
      <c r="GN13" s="100"/>
      <c r="GO13" s="101"/>
      <c r="GP13" s="183" t="str">
        <f>IFERROR((((COUNTIF('Elève (6ème4)'!GM13:GO13,"A"))*4)+((COUNTIF('Elève (6ème4)'!GM13:GO13,"B"))*3)+((COUNTIF('Elève (6ème4)'!GM13:GO13,"C"))*2)+((COUNTIF('Elève (6ème4)'!GM13:GO13,"D"))*1))/(COUNTA(GM13:GO13)),"")</f>
        <v/>
      </c>
      <c r="GQ13" s="184" t="str">
        <f t="shared" si="45"/>
        <v/>
      </c>
      <c r="GR13" s="173"/>
      <c r="GS13" s="100" t="s">
        <v>25</v>
      </c>
      <c r="GT13" s="101"/>
      <c r="GU13" s="183">
        <f>IFERROR((((COUNTIF('Elève (6ème4)'!GR13:GT13,"A"))*4)+((COUNTIF('Elève (6ème4)'!GR13:GT13,"B"))*3)+((COUNTIF('Elève (6ème4)'!GR13:GT13,"C"))*2)+((COUNTIF('Elève (6ème4)'!GR13:GT13,"D"))*1))/(COUNTA(GR13:GT13)),"")</f>
        <v>2</v>
      </c>
      <c r="GV13" s="184" t="str">
        <f t="shared" si="46"/>
        <v>C</v>
      </c>
      <c r="GW13" s="183">
        <f>IF(COUNT(GK13,GP13,GU13)=0,"",SUM(GK13,GP13,GU13)/COUNT(GK13,GP13,GU13))</f>
        <v>2.25</v>
      </c>
      <c r="GX13" s="207" t="str">
        <f t="shared" si="47"/>
        <v>C</v>
      </c>
      <c r="GY13" s="218" t="s">
        <v>24</v>
      </c>
      <c r="GZ13" s="100"/>
      <c r="HA13" s="101" t="s">
        <v>25</v>
      </c>
      <c r="HB13" s="183">
        <f>IFERROR((((COUNTIF('Elève (6ème4)'!GY13:HA13,"A"))*4)+((COUNTIF('Elève (6ème4)'!GY13:HA13,"B"))*3)+((COUNTIF('Elève (6ème4)'!GY13:HA13,"C"))*2)+((COUNTIF('Elève (6ème4)'!GY13:HA13,"D"))*1))/(COUNTA(GY13:HA13)),"")</f>
        <v>2.5</v>
      </c>
      <c r="HC13" s="184" t="str">
        <f t="shared" si="48"/>
        <v>C</v>
      </c>
      <c r="HD13" s="173"/>
      <c r="HE13" s="100"/>
      <c r="HF13" s="101"/>
      <c r="HG13" s="183" t="str">
        <f>IFERROR((((COUNTIF('Elève (6ème4)'!HD13:HF13,"A"))*4)+((COUNTIF('Elève (6ème4)'!HD13:HF13,"B"))*3)+((COUNTIF('Elève (6ème4)'!HD13:HF13,"C"))*2)+((COUNTIF('Elève (6ème4)'!HD13:HF13,"D"))*1))/(COUNTA(HD13:HF13)),"")</f>
        <v/>
      </c>
      <c r="HH13" s="184" t="str">
        <f t="shared" si="49"/>
        <v/>
      </c>
      <c r="HI13" s="173"/>
      <c r="HJ13" s="100" t="s">
        <v>25</v>
      </c>
      <c r="HK13" s="101"/>
      <c r="HL13" s="183">
        <f>IFERROR((((COUNTIF('Elève (6ème4)'!HI13:HK13,"A"))*4)+((COUNTIF('Elève (6ème4)'!HI13:HK13,"B"))*3)+((COUNTIF('Elève (6ème4)'!HI13:HK13,"C"))*2)+((COUNTIF('Elève (6ème4)'!HI13:HK13,"D"))*1))/(COUNTA(HI13:HK13)),"")</f>
        <v>2</v>
      </c>
      <c r="HM13" s="184" t="str">
        <f t="shared" si="50"/>
        <v>C</v>
      </c>
      <c r="HN13" s="183">
        <f>IF(COUNT(HB13,HG13,HL13)=0,"",SUM(HB13,HG13,HL13)/COUNT(HB13,HG13,HL13))</f>
        <v>2.25</v>
      </c>
      <c r="HO13" s="207" t="str">
        <f t="shared" si="51"/>
        <v>C</v>
      </c>
      <c r="HP13" s="218" t="s">
        <v>25</v>
      </c>
      <c r="HQ13" s="100"/>
      <c r="HR13" s="101" t="s">
        <v>25</v>
      </c>
      <c r="HS13" s="183">
        <f>IFERROR((((COUNTIF('Elève (6ème4)'!HP13:HR13,"A"))*4)+((COUNTIF('Elève (6ème4)'!HP13:HR13,"B"))*3)+((COUNTIF('Elève (6ème4)'!HP13:HR13,"C"))*2)+((COUNTIF('Elève (6ème4)'!HP13:HR13,"D"))*1))/(COUNTA(HP13:HR13)),"")</f>
        <v>2</v>
      </c>
      <c r="HT13" s="184" t="str">
        <f t="shared" si="52"/>
        <v>C</v>
      </c>
      <c r="HU13" s="173"/>
      <c r="HV13" s="100"/>
      <c r="HW13" s="101"/>
      <c r="HX13" s="183" t="str">
        <f>IFERROR((((COUNTIF('Elève (6ème4)'!HU13:HW13,"A"))*4)+((COUNTIF('Elève (6ème4)'!HU13:HW13,"B"))*3)+((COUNTIF('Elève (6ème4)'!HU13:HW13,"C"))*2)+((COUNTIF('Elève (6ème4)'!HU13:HW13,"D"))*1))/(COUNTA(HU13:HW13)),"")</f>
        <v/>
      </c>
      <c r="HY13" s="184" t="str">
        <f t="shared" si="53"/>
        <v/>
      </c>
      <c r="HZ13" s="173"/>
      <c r="IA13" s="100" t="s">
        <v>25</v>
      </c>
      <c r="IB13" s="101"/>
      <c r="IC13" s="183">
        <f>IFERROR((((COUNTIF('Elève (6ème4)'!HZ13:IB13,"A"))*4)+((COUNTIF('Elève (6ème4)'!HZ13:IB13,"B"))*3)+((COUNTIF('Elève (6ème4)'!HZ13:IB13,"C"))*2)+((COUNTIF('Elève (6ème4)'!HZ13:IB13,"D"))*1))/(COUNTA(HZ13:IB13)),"")</f>
        <v>2</v>
      </c>
      <c r="ID13" s="184" t="str">
        <f t="shared" si="54"/>
        <v>C</v>
      </c>
      <c r="IE13" s="183">
        <f>IF(COUNT(HS13,HX13,IC13)=0,"",SUM(HS13,HX13,IC13)/COUNT(HS13,HX13,IC13))</f>
        <v>2</v>
      </c>
      <c r="IF13" s="207" t="str">
        <f t="shared" si="55"/>
        <v>C</v>
      </c>
      <c r="IG13" s="218" t="s">
        <v>24</v>
      </c>
      <c r="IH13" s="100"/>
      <c r="II13" s="101" t="s">
        <v>25</v>
      </c>
      <c r="IJ13" s="183">
        <f>IFERROR((((COUNTIF('Elève (6ème4)'!IG13:II13,"A"))*4)+((COUNTIF('Elève (6ème4)'!IG13:II13,"B"))*3)+((COUNTIF('Elève (6ème4)'!IG13:II13,"C"))*2)+((COUNTIF('Elève (6ème4)'!IG13:II13,"D"))*1))/(COUNTA(IG13:II13)),"")</f>
        <v>2.5</v>
      </c>
      <c r="IK13" s="184" t="str">
        <f t="shared" si="56"/>
        <v>C</v>
      </c>
      <c r="IL13" s="173"/>
      <c r="IM13" s="100"/>
      <c r="IN13" s="101"/>
      <c r="IO13" s="183" t="str">
        <f>IFERROR((((COUNTIF('Elève (6ème4)'!IL13:IN13,"A"))*4)+((COUNTIF('Elève (6ème4)'!IL13:IN13,"B"))*3)+((COUNTIF('Elève (6ème4)'!IL13:IN13,"C"))*2)+((COUNTIF('Elève (6ème4)'!IL13:IN13,"D"))*1))/(COUNTA(IL13:IN13)),"")</f>
        <v/>
      </c>
      <c r="IP13" s="184" t="str">
        <f t="shared" si="57"/>
        <v/>
      </c>
      <c r="IQ13" s="173"/>
      <c r="IR13" s="100" t="s">
        <v>24</v>
      </c>
      <c r="IS13" s="101"/>
      <c r="IT13" s="183">
        <f>IFERROR((((COUNTIF('Elève (6ème4)'!IQ13:IS13,"A"))*4)+((COUNTIF('Elève (6ème4)'!IQ13:IS13,"B"))*3)+((COUNTIF('Elève (6ème4)'!IQ13:IS13,"C"))*2)+((COUNTIF('Elève (6ème4)'!IQ13:IS13,"D"))*1))/(COUNTA(IQ13:IS13)),"")</f>
        <v>3</v>
      </c>
      <c r="IU13" s="184" t="str">
        <f t="shared" si="58"/>
        <v>B</v>
      </c>
      <c r="IV13" s="183">
        <f>IF(COUNT(IJ13,IO13,IT13)=0,"",SUM(IJ13,IO13,IT13)/COUNT(IJ13,IO13,IT13))</f>
        <v>2.75</v>
      </c>
      <c r="IW13" s="207" t="str">
        <f t="shared" si="59"/>
        <v>C</v>
      </c>
      <c r="IX13" s="218" t="s">
        <v>25</v>
      </c>
      <c r="IY13" s="100"/>
      <c r="IZ13" s="101" t="s">
        <v>23</v>
      </c>
      <c r="JA13" s="183">
        <f>IFERROR((((COUNTIF('Elève (6ème4)'!IX13:IZ13,"A"))*4)+((COUNTIF('Elève (6ème4)'!IX13:IZ13,"B"))*3)+((COUNTIF('Elève (6ème4)'!IX13:IZ13,"C"))*2)+((COUNTIF('Elève (6ème4)'!IX13:IZ13,"D"))*1))/(COUNTA(IX13:IZ13)),"")</f>
        <v>3</v>
      </c>
      <c r="JB13" s="184" t="str">
        <f t="shared" si="60"/>
        <v>B</v>
      </c>
      <c r="JC13" s="173"/>
      <c r="JD13" s="100"/>
      <c r="JE13" s="101"/>
      <c r="JF13" s="183" t="str">
        <f>IFERROR((((COUNTIF('Elève (6ème4)'!JC13:JE13,"A"))*4)+((COUNTIF('Elève (6ème4)'!JC13:JE13,"B"))*3)+((COUNTIF('Elève (6ème4)'!JC13:JE13,"C"))*2)+((COUNTIF('Elève (6ème4)'!JC13:JE13,"D"))*1))/(COUNTA(JC13:JE13)),"")</f>
        <v/>
      </c>
      <c r="JG13" s="184" t="str">
        <f t="shared" si="61"/>
        <v/>
      </c>
      <c r="JH13" s="173"/>
      <c r="JI13" s="100" t="s">
        <v>24</v>
      </c>
      <c r="JJ13" s="101"/>
      <c r="JK13" s="183">
        <f>IFERROR((((COUNTIF('Elève (6ème4)'!JH13:JJ13,"A"))*4)+((COUNTIF('Elève (6ème4)'!JH13:JJ13,"B"))*3)+((COUNTIF('Elève (6ème4)'!JH13:JJ13,"C"))*2)+((COUNTIF('Elève (6ème4)'!JH13:JJ13,"D"))*1))/(COUNTA(JH13:JJ13)),"")</f>
        <v>3</v>
      </c>
      <c r="JL13" s="184" t="str">
        <f t="shared" si="62"/>
        <v>B</v>
      </c>
      <c r="JM13" s="183">
        <f>IF(COUNT(JA13,JF13,JK13)=0,"",SUM(JA13,JF13,JK13)/COUNT(JA13,JF13,JK13))</f>
        <v>3</v>
      </c>
      <c r="JN13" s="207" t="str">
        <f t="shared" si="63"/>
        <v>B</v>
      </c>
      <c r="JO13" s="218" t="s">
        <v>26</v>
      </c>
      <c r="JP13" s="100"/>
      <c r="JQ13" s="101"/>
      <c r="JR13" s="183">
        <f>IFERROR((((COUNTIF('Elève (6ème4)'!JO13:JQ13,"A"))*4)+((COUNTIF('Elève (6ème4)'!JO13:JQ13,"B"))*3)+((COUNTIF('Elève (6ème4)'!JO13:JQ13,"C"))*2)+((COUNTIF('Elève (6ème4)'!JO13:JQ13,"D"))*1))/(COUNTA(JO13:JQ13)),"")</f>
        <v>1</v>
      </c>
      <c r="JS13" s="184" t="str">
        <f t="shared" si="64"/>
        <v>D</v>
      </c>
      <c r="JT13" s="173"/>
      <c r="JU13" s="100"/>
      <c r="JV13" s="101"/>
      <c r="JW13" s="183" t="str">
        <f>IFERROR((((COUNTIF('Elève (6ème4)'!JT13:JV13,"A"))*4)+((COUNTIF('Elève (6ème4)'!JT13:JV13,"B"))*3)+((COUNTIF('Elève (6ème4)'!JT13:JV13,"C"))*2)+((COUNTIF('Elève (6ème4)'!JT13:JV13,"D"))*1))/(COUNTA(JT13:JV13)),"")</f>
        <v/>
      </c>
      <c r="JX13" s="184" t="str">
        <f t="shared" si="65"/>
        <v/>
      </c>
      <c r="JY13" s="173"/>
      <c r="JZ13" s="100" t="s">
        <v>24</v>
      </c>
      <c r="KA13" s="101"/>
      <c r="KB13" s="183">
        <f>IFERROR((((COUNTIF('Elève (6ème4)'!JY13:KA13,"A"))*4)+((COUNTIF('Elève (6ème4)'!JY13:KA13,"B"))*3)+((COUNTIF('Elève (6ème4)'!JY13:KA13,"C"))*2)+((COUNTIF('Elève (6ème4)'!JY13:KA13,"D"))*1))/(COUNTA(JY13:KA13)),"")</f>
        <v>3</v>
      </c>
      <c r="KC13" s="184" t="str">
        <f t="shared" si="66"/>
        <v>B</v>
      </c>
      <c r="KD13" s="183">
        <f>IF(COUNT(JR13,JW13,KB13)=0,"",SUM(JR13,JW13,KB13)/COUNT(JR13,JW13,KB13))</f>
        <v>2</v>
      </c>
      <c r="KE13" s="207" t="str">
        <f t="shared" si="67"/>
        <v>C</v>
      </c>
      <c r="KF13" s="218" t="s">
        <v>26</v>
      </c>
      <c r="KG13" s="100"/>
      <c r="KH13" s="101" t="s">
        <v>25</v>
      </c>
      <c r="KI13" s="183">
        <f>IFERROR((((COUNTIF('Elève (6ème4)'!KF13:KH13,"A"))*4)+((COUNTIF('Elève (6ème4)'!KF13:KH13,"B"))*3)+((COUNTIF('Elève (6ème4)'!KF13:KH13,"C"))*2)+((COUNTIF('Elève (6ème4)'!KF13:KH13,"D"))*1))/(COUNTA(KF13:KH13)),"")</f>
        <v>1.5</v>
      </c>
      <c r="KJ13" s="184" t="str">
        <f t="shared" si="68"/>
        <v>D</v>
      </c>
      <c r="KK13" s="173"/>
      <c r="KL13" s="100"/>
      <c r="KM13" s="101"/>
      <c r="KN13" s="183" t="str">
        <f>IFERROR((((COUNTIF('Elève (6ème4)'!KK13:KM13,"A"))*4)+((COUNTIF('Elève (6ème4)'!KK13:KM13,"B"))*3)+((COUNTIF('Elève (6ème4)'!KK13:KM13,"C"))*2)+((COUNTIF('Elève (6ème4)'!KK13:KM13,"D"))*1))/(COUNTA(KK13:KM13)),"")</f>
        <v/>
      </c>
      <c r="KO13" s="184" t="str">
        <f t="shared" si="69"/>
        <v/>
      </c>
      <c r="KP13" s="173"/>
      <c r="KQ13" s="100" t="s">
        <v>25</v>
      </c>
      <c r="KR13" s="101"/>
      <c r="KS13" s="183">
        <f>IFERROR((((COUNTIF('Elève (6ème4)'!KP13:KR13,"A"))*4)+((COUNTIF('Elève (6ème4)'!KP13:KR13,"B"))*3)+((COUNTIF('Elève (6ème4)'!KP13:KR13,"C"))*2)+((COUNTIF('Elève (6ème4)'!KP13:KR13,"D"))*1))/(COUNTA(KP13:KR13)),"")</f>
        <v>2</v>
      </c>
      <c r="KT13" s="184" t="str">
        <f t="shared" si="70"/>
        <v>C</v>
      </c>
      <c r="KU13" s="183">
        <f>IF(COUNT(KI13,KN13,KS13)=0,"",SUM(KI13,KN13,KS13)/COUNT(KI13,KN13,KS13))</f>
        <v>1.75</v>
      </c>
      <c r="KV13" s="207" t="str">
        <f t="shared" si="71"/>
        <v>C</v>
      </c>
      <c r="KW13" s="218" t="s">
        <v>24</v>
      </c>
      <c r="KX13" s="100"/>
      <c r="KY13" s="101" t="s">
        <v>24</v>
      </c>
      <c r="KZ13" s="183">
        <f>IFERROR((((COUNTIF('Elève (6ème4)'!KW13:KY13,"A"))*4)+((COUNTIF('Elève (6ème4)'!KW13:KY13,"B"))*3)+((COUNTIF('Elève (6ème4)'!KW13:KY13,"C"))*2)+((COUNTIF('Elève (6ème4)'!KW13:KY13,"D"))*1))/(COUNTA(KW13:KY13)),"")</f>
        <v>3</v>
      </c>
      <c r="LA13" s="184" t="str">
        <f t="shared" si="72"/>
        <v>B</v>
      </c>
      <c r="LB13" s="173"/>
      <c r="LC13" s="100"/>
      <c r="LD13" s="101"/>
      <c r="LE13" s="183" t="str">
        <f>IFERROR((((COUNTIF('Elève (6ème4)'!LB13:LD13,"A"))*4)+((COUNTIF('Elève (6ème4)'!LB13:LD13,"B"))*3)+((COUNTIF('Elève (6ème4)'!LB13:LD13,"C"))*2)+((COUNTIF('Elève (6ème4)'!LB13:LD13,"D"))*1))/(COUNTA(LB13:LD13)),"")</f>
        <v/>
      </c>
      <c r="LF13" s="184" t="str">
        <f t="shared" si="73"/>
        <v/>
      </c>
      <c r="LG13" s="173"/>
      <c r="LH13" s="100" t="s">
        <v>24</v>
      </c>
      <c r="LI13" s="101"/>
      <c r="LJ13" s="183">
        <f>IFERROR((((COUNTIF('Elève (6ème4)'!LG13:LI13,"A"))*4)+((COUNTIF('Elève (6ème4)'!LG13:LI13,"B"))*3)+((COUNTIF('Elève (6ème4)'!LG13:LI13,"C"))*2)+((COUNTIF('Elève (6ème4)'!LG13:LI13,"D"))*1))/(COUNTA(LG13:LI13)),"")</f>
        <v>3</v>
      </c>
      <c r="LK13" s="184" t="str">
        <f t="shared" si="74"/>
        <v>B</v>
      </c>
      <c r="LL13" s="183">
        <f>IF(COUNT(KZ13,LE13,LJ13)=0,"",SUM(KZ13,LE13,LJ13)/COUNT(KZ13,LE13,LJ13))</f>
        <v>3</v>
      </c>
      <c r="LM13" s="207" t="str">
        <f t="shared" si="75"/>
        <v>B</v>
      </c>
      <c r="LN13" s="218" t="s">
        <v>24</v>
      </c>
      <c r="LO13" s="100"/>
      <c r="LP13" s="101" t="s">
        <v>24</v>
      </c>
      <c r="LQ13" s="183">
        <f>IFERROR((((COUNTIF('Elève (6ème4)'!LN13:LP13,"A"))*4)+((COUNTIF('Elève (6ème4)'!LN13:LP13,"B"))*3)+((COUNTIF('Elève (6ème4)'!LN13:LP13,"C"))*2)+((COUNTIF('Elève (6ème4)'!LN13:LP13,"D"))*1))/(COUNTA(LN13:LP13)),"")</f>
        <v>3</v>
      </c>
      <c r="LR13" s="184" t="str">
        <f t="shared" si="76"/>
        <v>B</v>
      </c>
      <c r="LS13" s="173"/>
      <c r="LT13" s="100"/>
      <c r="LU13" s="101"/>
      <c r="LV13" s="183" t="str">
        <f>IFERROR((((COUNTIF('Elève (6ème4)'!LS13:LU13,"A"))*4)+((COUNTIF('Elève (6ème4)'!LS13:LU13,"B"))*3)+((COUNTIF('Elève (6ème4)'!LS13:LU13,"C"))*2)+((COUNTIF('Elève (6ème4)'!LS13:LU13,"D"))*1))/(COUNTA(LS13:LU13)),"")</f>
        <v/>
      </c>
      <c r="LW13" s="184" t="str">
        <f t="shared" si="77"/>
        <v/>
      </c>
      <c r="LX13" s="173"/>
      <c r="LY13" s="100" t="s">
        <v>24</v>
      </c>
      <c r="LZ13" s="101"/>
      <c r="MA13" s="183">
        <f>IFERROR((((COUNTIF('Elève (6ème4)'!LX13:LZ13,"A"))*4)+((COUNTIF('Elève (6ème4)'!LX13:LZ13,"B"))*3)+((COUNTIF('Elève (6ème4)'!LX13:LZ13,"C"))*2)+((COUNTIF('Elève (6ème4)'!LX13:LZ13,"D"))*1))/(COUNTA(LX13:LZ13)),"")</f>
        <v>3</v>
      </c>
      <c r="MB13" s="184" t="str">
        <f t="shared" si="78"/>
        <v>B</v>
      </c>
      <c r="MC13" s="183">
        <f>IF(COUNT(LQ13,LV13,MA13)=0,"",SUM(LQ13,LV13,MA13)/COUNT(LQ13,LV13,MA13))</f>
        <v>3</v>
      </c>
      <c r="MD13" s="207" t="str">
        <f t="shared" si="79"/>
        <v>B</v>
      </c>
      <c r="ME13" s="218" t="s">
        <v>24</v>
      </c>
      <c r="MF13" s="100"/>
      <c r="MG13" s="101" t="s">
        <v>23</v>
      </c>
      <c r="MH13" s="183">
        <f>IFERROR((((COUNTIF('Elève (6ème4)'!ME13:MG13,"A"))*4)+((COUNTIF('Elève (6ème4)'!ME13:MG13,"B"))*3)+((COUNTIF('Elève (6ème4)'!ME13:MG13,"C"))*2)+((COUNTIF('Elève (6ème4)'!ME13:MG13,"D"))*1))/(COUNTA(ME13:MG13)),"")</f>
        <v>3.5</v>
      </c>
      <c r="MI13" s="184" t="str">
        <f t="shared" si="80"/>
        <v>B</v>
      </c>
      <c r="MJ13" s="173"/>
      <c r="MK13" s="100"/>
      <c r="ML13" s="101"/>
      <c r="MM13" s="183" t="str">
        <f>IFERROR((((COUNTIF('Elève (6ème4)'!MJ13:ML13,"A"))*4)+((COUNTIF('Elève (6ème4)'!MJ13:ML13,"B"))*3)+((COUNTIF('Elève (6ème4)'!MJ13:ML13,"C"))*2)+((COUNTIF('Elève (6ème4)'!MJ13:ML13,"D"))*1))/(COUNTA(MJ13:ML13)),"")</f>
        <v/>
      </c>
      <c r="MN13" s="184" t="str">
        <f t="shared" si="81"/>
        <v/>
      </c>
      <c r="MO13" s="173"/>
      <c r="MP13" s="100" t="s">
        <v>24</v>
      </c>
      <c r="MQ13" s="101"/>
      <c r="MR13" s="183">
        <f>IFERROR((((COUNTIF('Elève (6ème4)'!MO13:MQ13,"A"))*4)+((COUNTIF('Elève (6ème4)'!MO13:MQ13,"B"))*3)+((COUNTIF('Elève (6ème4)'!MO13:MQ13,"C"))*2)+((COUNTIF('Elève (6ème4)'!MO13:MQ13,"D"))*1))/(COUNTA(MO13:MQ13)),"")</f>
        <v>3</v>
      </c>
      <c r="MS13" s="184" t="str">
        <f t="shared" si="82"/>
        <v>B</v>
      </c>
      <c r="MT13" s="183">
        <f>IF(COUNT(MH13,MM13,MR13)=0,"",SUM(MH13,MM13,MR13)/COUNT(MH13,MM13,MR13))</f>
        <v>3.25</v>
      </c>
      <c r="MU13" s="207" t="str">
        <f t="shared" si="83"/>
        <v>B</v>
      </c>
      <c r="MV13" s="218" t="s">
        <v>25</v>
      </c>
      <c r="MW13" s="100"/>
      <c r="MX13" s="101" t="s">
        <v>25</v>
      </c>
      <c r="MY13" s="183">
        <f>IFERROR((((COUNTIF('Elève (6ème4)'!MV13:MX13,"A"))*4)+((COUNTIF('Elève (6ème4)'!MV13:MX13,"B"))*3)+((COUNTIF('Elève (6ème4)'!MV13:MX13,"C"))*2)+((COUNTIF('Elève (6ème4)'!MV13:MX13,"D"))*1))/(COUNTA(MV13:MX13)),"")</f>
        <v>2</v>
      </c>
      <c r="MZ13" s="184" t="str">
        <f t="shared" si="84"/>
        <v>C</v>
      </c>
      <c r="NA13" s="173"/>
      <c r="NB13" s="100"/>
      <c r="NC13" s="101"/>
      <c r="ND13" s="183" t="str">
        <f>IFERROR((((COUNTIF('Elève (6ème4)'!NA13:NC13,"A"))*4)+((COUNTIF('Elève (6ème4)'!NA13:NC13,"B"))*3)+((COUNTIF('Elève (6ème4)'!NA13:NC13,"C"))*2)+((COUNTIF('Elève (6ème4)'!NA13:NC13,"D"))*1))/(COUNTA(NA13:NC13)),"")</f>
        <v/>
      </c>
      <c r="NE13" s="184" t="str">
        <f t="shared" si="85"/>
        <v/>
      </c>
      <c r="NF13" s="173"/>
      <c r="NG13" s="100" t="s">
        <v>24</v>
      </c>
      <c r="NH13" s="101"/>
      <c r="NI13" s="183">
        <f>IFERROR((((COUNTIF('Elève (6ème4)'!NF13:NH13,"A"))*4)+((COUNTIF('Elève (6ème4)'!NF13:NH13,"B"))*3)+((COUNTIF('Elève (6ème4)'!NF13:NH13,"C"))*2)+((COUNTIF('Elève (6ème4)'!NF13:NH13,"D"))*1))/(COUNTA(NF13:NH13)),"")</f>
        <v>3</v>
      </c>
      <c r="NJ13" s="184" t="str">
        <f t="shared" si="86"/>
        <v>B</v>
      </c>
      <c r="NK13" s="183">
        <f>IF(COUNT(MY13,ND13,NI13)=0,"",SUM(MY13,ND13,NI13)/COUNT(MY13,ND13,NI13))</f>
        <v>2.5</v>
      </c>
      <c r="NL13" s="207" t="str">
        <f t="shared" si="87"/>
        <v>C</v>
      </c>
      <c r="NM13" s="218" t="s">
        <v>26</v>
      </c>
      <c r="NN13" s="100"/>
      <c r="NO13" s="101" t="s">
        <v>23</v>
      </c>
      <c r="NP13" s="183">
        <f>IFERROR((((COUNTIF('Elève (6ème4)'!NM13:NO13,"A"))*4)+((COUNTIF('Elève (6ème4)'!NM13:NO13,"B"))*3)+((COUNTIF('Elève (6ème4)'!NM13:NO13,"C"))*2)+((COUNTIF('Elève (6ème4)'!NM13:NO13,"D"))*1))/(COUNTA(NM13:NO13)),"")</f>
        <v>2.5</v>
      </c>
      <c r="NQ13" s="184" t="str">
        <f t="shared" si="88"/>
        <v>C</v>
      </c>
      <c r="NR13" s="173"/>
      <c r="NS13" s="100"/>
      <c r="NT13" s="101"/>
      <c r="NU13" s="183" t="str">
        <f>IFERROR((((COUNTIF('Elève (6ème4)'!NR13:NT13,"A"))*4)+((COUNTIF('Elève (6ème4)'!NR13:NT13,"B"))*3)+((COUNTIF('Elève (6ème4)'!NR13:NT13,"C"))*2)+((COUNTIF('Elève (6ème4)'!NR13:NT13,"D"))*1))/(COUNTA(NR13:NT13)),"")</f>
        <v/>
      </c>
      <c r="NV13" s="184" t="str">
        <f t="shared" si="89"/>
        <v/>
      </c>
      <c r="NW13" s="173"/>
      <c r="NX13" s="100" t="s">
        <v>24</v>
      </c>
      <c r="NY13" s="101"/>
      <c r="NZ13" s="183">
        <f>IFERROR((((COUNTIF('Elève (6ème4)'!NW13:NY13,"A"))*4)+((COUNTIF('Elève (6ème4)'!NW13:NY13,"B"))*3)+((COUNTIF('Elève (6ème4)'!NW13:NY13,"C"))*2)+((COUNTIF('Elève (6ème4)'!NW13:NY13,"D"))*1))/(COUNTA(NW13:NY13)),"")</f>
        <v>3</v>
      </c>
      <c r="OA13" s="184" t="str">
        <f t="shared" si="90"/>
        <v>B</v>
      </c>
      <c r="OB13" s="183">
        <f>IF(COUNT(NP13,NU13,NZ13)=0,"",SUM(NP13,NU13,NZ13)/COUNT(NP13,NU13,NZ13))</f>
        <v>2.75</v>
      </c>
      <c r="OC13" s="207" t="str">
        <f t="shared" si="91"/>
        <v>C</v>
      </c>
      <c r="OD13" s="218" t="s">
        <v>25</v>
      </c>
      <c r="OE13" s="100"/>
      <c r="OF13" s="101" t="s">
        <v>23</v>
      </c>
      <c r="OG13" s="183">
        <f>IFERROR((((COUNTIF('Elève (6ème4)'!OD13:OF13,"A"))*4)+((COUNTIF('Elève (6ème4)'!OD13:OF13,"B"))*3)+((COUNTIF('Elève (6ème4)'!OD13:OF13,"C"))*2)+((COUNTIF('Elève (6ème4)'!OD13:OF13,"D"))*1))/(COUNTA(OD13:OF13)),"")</f>
        <v>3</v>
      </c>
      <c r="OH13" s="184" t="str">
        <f t="shared" si="92"/>
        <v>B</v>
      </c>
      <c r="OI13" s="173"/>
      <c r="OJ13" s="100"/>
      <c r="OK13" s="101"/>
      <c r="OL13" s="183" t="str">
        <f>IFERROR((((COUNTIF('Elève (6ème4)'!OI13:OK13,"A"))*4)+((COUNTIF('Elève (6ème4)'!OI13:OK13,"B"))*3)+((COUNTIF('Elève (6ème4)'!OI13:OK13,"C"))*2)+((COUNTIF('Elève (6ème4)'!OI13:OK13,"D"))*1))/(COUNTA(OI13:OK13)),"")</f>
        <v/>
      </c>
      <c r="OM13" s="184" t="str">
        <f t="shared" si="93"/>
        <v/>
      </c>
      <c r="ON13" s="173"/>
      <c r="OO13" s="100" t="s">
        <v>24</v>
      </c>
      <c r="OP13" s="101"/>
      <c r="OQ13" s="183">
        <f>IFERROR((((COUNTIF('Elève (6ème4)'!ON13:OP13,"A"))*4)+((COUNTIF('Elève (6ème4)'!ON13:OP13,"B"))*3)+((COUNTIF('Elève (6ème4)'!ON13:OP13,"C"))*2)+((COUNTIF('Elève (6ème4)'!ON13:OP13,"D"))*1))/(COUNTA(ON13:OP13)),"")</f>
        <v>3</v>
      </c>
      <c r="OR13" s="184" t="str">
        <f t="shared" si="94"/>
        <v>B</v>
      </c>
      <c r="OS13" s="183">
        <f>IF(COUNT(OG13,OL13,OQ13)=0,"",SUM(OG13,OL13,OQ13)/COUNT(OG13,OL13,OQ13))</f>
        <v>3</v>
      </c>
      <c r="OT13" s="207" t="str">
        <f t="shared" si="95"/>
        <v>B</v>
      </c>
      <c r="OU13" s="218" t="s">
        <v>24</v>
      </c>
      <c r="OV13" s="100"/>
      <c r="OW13" s="101" t="s">
        <v>23</v>
      </c>
      <c r="OX13" s="183">
        <f>IFERROR((((COUNTIF('Elève (6ème4)'!OU13:OW13,"A"))*4)+((COUNTIF('Elève (6ème4)'!OU13:OW13,"B"))*3)+((COUNTIF('Elève (6ème4)'!OU13:OW13,"C"))*2)+((COUNTIF('Elève (6ème4)'!OU13:OW13,"D"))*1))/(COUNTA(OU13:OW13)),"")</f>
        <v>3.5</v>
      </c>
      <c r="OY13" s="184" t="str">
        <f t="shared" si="96"/>
        <v>B</v>
      </c>
      <c r="OZ13" s="173"/>
      <c r="PA13" s="100"/>
      <c r="PB13" s="101"/>
      <c r="PC13" s="183" t="str">
        <f>IFERROR((((COUNTIF('Elève (6ème4)'!OZ13:PB13,"A"))*4)+((COUNTIF('Elève (6ème4)'!OZ13:PB13,"B"))*3)+((COUNTIF('Elève (6ème4)'!OZ13:PB13,"C"))*2)+((COUNTIF('Elève (6ème4)'!OZ13:PB13,"D"))*1))/(COUNTA(OZ13:PB13)),"")</f>
        <v/>
      </c>
      <c r="PD13" s="184" t="str">
        <f t="shared" si="97"/>
        <v/>
      </c>
      <c r="PE13" s="173"/>
      <c r="PF13" s="100" t="s">
        <v>24</v>
      </c>
      <c r="PG13" s="101"/>
      <c r="PH13" s="183">
        <f>IFERROR((((COUNTIF('Elève (6ème4)'!PE13:PG13,"A"))*4)+((COUNTIF('Elève (6ème4)'!PE13:PG13,"B"))*3)+((COUNTIF('Elève (6ème4)'!PE13:PG13,"C"))*2)+((COUNTIF('Elève (6ème4)'!PE13:PG13,"D"))*1))/(COUNTA(PE13:PG13)),"")</f>
        <v>3</v>
      </c>
      <c r="PI13" s="184" t="str">
        <f t="shared" si="98"/>
        <v>B</v>
      </c>
      <c r="PJ13" s="183">
        <f>IF(COUNT(OX13,PC13,PH13)=0,"",SUM(OX13,PC13,PH13)/COUNT(OX13,PC13,PH13))</f>
        <v>3.25</v>
      </c>
      <c r="PK13" s="207" t="str">
        <f t="shared" si="99"/>
        <v>B</v>
      </c>
      <c r="PL13" s="218" t="s">
        <v>25</v>
      </c>
      <c r="PM13" s="100"/>
      <c r="PN13" s="101"/>
      <c r="PO13" s="183">
        <f>IFERROR((((COUNTIF('Elève (6ème4)'!PL13:PN13,"A"))*4)+((COUNTIF('Elève (6ème4)'!PL13:PN13,"B"))*3)+((COUNTIF('Elève (6ème4)'!PL13:PN13,"C"))*2)+((COUNTIF('Elève (6ème4)'!PL13:PN13,"D"))*1))/(COUNTA(PL13:PN13)),"")</f>
        <v>2</v>
      </c>
      <c r="PP13" s="184" t="str">
        <f t="shared" si="100"/>
        <v>C</v>
      </c>
      <c r="PQ13" s="173"/>
      <c r="PR13" s="100"/>
      <c r="PS13" s="101"/>
      <c r="PT13" s="183" t="str">
        <f>IFERROR((((COUNTIF('Elève (6ème4)'!PQ13:PS13,"A"))*4)+((COUNTIF('Elève (6ème4)'!PQ13:PS13,"B"))*3)+((COUNTIF('Elève (6ème4)'!PQ13:PS13,"C"))*2)+((COUNTIF('Elève (6ème4)'!PQ13:PS13,"D"))*1))/(COUNTA(PQ13:PS13)),"")</f>
        <v/>
      </c>
      <c r="PU13" s="184" t="str">
        <f t="shared" si="101"/>
        <v/>
      </c>
      <c r="PV13" s="173"/>
      <c r="PW13" s="100"/>
      <c r="PX13" s="101"/>
      <c r="PY13" s="183" t="str">
        <f>IFERROR((((COUNTIF('Elève (6ème4)'!PV13:PX13,"A"))*4)+((COUNTIF('Elève (6ème4)'!PV13:PX13,"B"))*3)+((COUNTIF('Elève (6ème4)'!PV13:PX13,"C"))*2)+((COUNTIF('Elève (6ème4)'!PV13:PX13,"D"))*1))/(COUNTA(PV13:PX13)),"")</f>
        <v/>
      </c>
      <c r="PZ13" s="184" t="str">
        <f t="shared" si="102"/>
        <v/>
      </c>
      <c r="QA13" s="183">
        <f>IF(COUNT(PO13,PT13,PY13)=0,"",SUM(PO13,PT13,PY13)/COUNT(PO13,PT13,PY13))</f>
        <v>2</v>
      </c>
      <c r="QB13" s="207" t="str">
        <f t="shared" si="103"/>
        <v>C</v>
      </c>
      <c r="QC13" s="218" t="s">
        <v>25</v>
      </c>
      <c r="QD13" s="100"/>
      <c r="QE13" s="101" t="s">
        <v>24</v>
      </c>
      <c r="QF13" s="183">
        <f>IFERROR((((COUNTIF('Elève (6ème4)'!QC13:QE13,"A"))*4)+((COUNTIF('Elève (6ème4)'!QC13:QE13,"B"))*3)+((COUNTIF('Elève (6ème4)'!QC13:QE13,"C"))*2)+((COUNTIF('Elève (6ème4)'!QC13:QE13,"D"))*1))/(COUNTA(QC13:QE13)),"")</f>
        <v>2.5</v>
      </c>
      <c r="QG13" s="184" t="str">
        <f t="shared" si="104"/>
        <v>C</v>
      </c>
      <c r="QH13" s="173"/>
      <c r="QI13" s="100"/>
      <c r="QJ13" s="101"/>
      <c r="QK13" s="183" t="str">
        <f>IFERROR((((COUNTIF('Elève (6ème4)'!QH13:QJ13,"A"))*4)+((COUNTIF('Elève (6ème4)'!QH13:QJ13,"B"))*3)+((COUNTIF('Elève (6ème4)'!QH13:QJ13,"C"))*2)+((COUNTIF('Elève (6ème4)'!QH13:QJ13,"D"))*1))/(COUNTA(QH13:QJ13)),"")</f>
        <v/>
      </c>
      <c r="QL13" s="184" t="str">
        <f t="shared" si="105"/>
        <v/>
      </c>
      <c r="QM13" s="173"/>
      <c r="QN13" s="100" t="s">
        <v>24</v>
      </c>
      <c r="QO13" s="101"/>
      <c r="QP13" s="183">
        <f>IFERROR((((COUNTIF('Elève (6ème4)'!QM13:QO13,"A"))*4)+((COUNTIF('Elève (6ème4)'!QM13:QO13,"B"))*3)+((COUNTIF('Elève (6ème4)'!QM13:QO13,"C"))*2)+((COUNTIF('Elève (6ème4)'!QM13:QO13,"D"))*1))/(COUNTA(QM13:QO13)),"")</f>
        <v>3</v>
      </c>
      <c r="QQ13" s="184" t="str">
        <f t="shared" si="106"/>
        <v>B</v>
      </c>
      <c r="QR13" s="183">
        <f>IF(COUNT(QF13,QK13,QP13)=0,"",SUM(QF13,QK13,QP13)/COUNT(QF13,QK13,QP13))</f>
        <v>2.75</v>
      </c>
      <c r="QS13" s="207" t="str">
        <f t="shared" si="107"/>
        <v>C</v>
      </c>
      <c r="QT13" s="105"/>
      <c r="QU13" s="100"/>
      <c r="QV13" s="101" t="s">
        <v>24</v>
      </c>
      <c r="QW13" s="102">
        <f>IFERROR((((COUNTIF('Elève (6ème4)'!QT13:QV13,"A"))*4)+((COUNTIF('Elève (6ème4)'!QT13:QV13,"B"))*3)+((COUNTIF('Elève (6ème4)'!QT13:QV13,"C"))*2)+((COUNTIF('Elève (6ème4)'!QT13:QV13,"D"))*1))/(COUNTA(QT13:QV13)),"")</f>
        <v>3</v>
      </c>
      <c r="QX13" s="103" t="str">
        <f t="shared" si="108"/>
        <v>B</v>
      </c>
      <c r="QY13" s="99"/>
      <c r="QZ13" s="100"/>
      <c r="RA13" s="101"/>
      <c r="RB13" s="102" t="str">
        <f>IFERROR((((COUNTIF('Elève (6ème4)'!QY13:RA13,"A"))*4)+((COUNTIF('Elève (6ème4)'!QY13:RA13,"B"))*3)+((COUNTIF('Elève (6ème4)'!QY13:RA13,"C"))*2)+((COUNTIF('Elève (6ème4)'!QY13:RA13,"D"))*1))/(COUNTA(QY13:RA13)),"")</f>
        <v/>
      </c>
      <c r="RC13" s="103" t="str">
        <f t="shared" si="109"/>
        <v/>
      </c>
      <c r="RD13" s="99"/>
      <c r="RE13" s="100" t="s">
        <v>24</v>
      </c>
      <c r="RF13" s="101"/>
      <c r="RG13" s="102">
        <f>IFERROR((((COUNTIF('Elève (6ème4)'!RD13:RF13,"A"))*4)+((COUNTIF('Elève (6ème4)'!RD13:RF13,"B"))*3)+((COUNTIF('Elève (6ème4)'!RD13:RF13,"C"))*2)+((COUNTIF('Elève (6ème4)'!RD13:RF13,"D"))*1))/(COUNTA(RD13:RF13)),"")</f>
        <v>3</v>
      </c>
      <c r="RH13" s="103" t="str">
        <f t="shared" si="110"/>
        <v>B</v>
      </c>
      <c r="RI13" s="102">
        <f>IF(COUNT(QW13,RB13,RG13)=0,"",SUM(QW13,RB13,RG13)/COUNT(QW13,RB13,RG13))</f>
        <v>3</v>
      </c>
      <c r="RJ13" s="104" t="str">
        <f t="shared" si="111"/>
        <v>B</v>
      </c>
      <c r="RK13" s="105"/>
      <c r="RL13" s="100"/>
      <c r="RM13" s="101"/>
      <c r="RN13" s="102" t="str">
        <f>IFERROR((((COUNTIF('Elève (6ème4)'!RK13:RM13,"A"))*4)+((COUNTIF('Elève (6ème4)'!RK13:RM13,"B"))*3)+((COUNTIF('Elève (6ème4)'!RK13:RM13,"C"))*2)+((COUNTIF('Elève (6ème4)'!RK13:RM13,"D"))*1))/(COUNTA(RK13:RM13)),"")</f>
        <v/>
      </c>
      <c r="RO13" s="103" t="str">
        <f t="shared" si="112"/>
        <v/>
      </c>
      <c r="RP13" s="99"/>
      <c r="RQ13" s="100"/>
      <c r="RR13" s="101"/>
      <c r="RS13" s="102" t="str">
        <f>IFERROR((((COUNTIF('Elève (6ème4)'!RP13:RR13,"A"))*4)+((COUNTIF('Elève (6ème4)'!RP13:RR13,"B"))*3)+((COUNTIF('Elève (6ème4)'!RP13:RR13,"C"))*2)+((COUNTIF('Elève (6ème4)'!RP13:RR13,"D"))*1))/(COUNTA(RP13:RR13)),"")</f>
        <v/>
      </c>
      <c r="RT13" s="103" t="str">
        <f t="shared" si="113"/>
        <v/>
      </c>
      <c r="RU13" s="99"/>
      <c r="RV13" s="100"/>
      <c r="RW13" s="101"/>
      <c r="RX13" s="102" t="str">
        <f>IFERROR((((COUNTIF('Elève (6ème4)'!RU13:RW13,"A"))*4)+((COUNTIF('Elève (6ème4)'!RU13:RW13,"B"))*3)+((COUNTIF('Elève (6ème4)'!RU13:RW13,"C"))*2)+((COUNTIF('Elève (6ème4)'!RU13:RW13,"D"))*1))/(COUNTA(RU13:RW13)),"")</f>
        <v/>
      </c>
      <c r="RY13" s="103" t="str">
        <f t="shared" si="114"/>
        <v/>
      </c>
      <c r="RZ13" s="102" t="str">
        <f>IF(COUNT(RN13,RS13,RX13)=0,"",SUM(RN13,RS13,RX13)/COUNT(RN13,RS13,RX13))</f>
        <v/>
      </c>
      <c r="SA13" s="104" t="str">
        <f t="shared" si="115"/>
        <v/>
      </c>
      <c r="SB13" s="105"/>
      <c r="SC13" s="100"/>
      <c r="SD13" s="101"/>
      <c r="SE13" s="102" t="str">
        <f>IFERROR((((COUNTIF('Elève (6ème4)'!SB13:SD13,"A"))*4)+((COUNTIF('Elève (6ème4)'!SB13:SD13,"B"))*3)+((COUNTIF('Elève (6ème4)'!SB13:SD13,"C"))*2)+((COUNTIF('Elève (6ème4)'!SB13:SD13,"D"))*1))/(COUNTA(SB13:SD13)),"")</f>
        <v/>
      </c>
      <c r="SF13" s="103" t="str">
        <f t="shared" si="116"/>
        <v/>
      </c>
      <c r="SG13" s="99"/>
      <c r="SH13" s="100"/>
      <c r="SI13" s="101"/>
      <c r="SJ13" s="102" t="str">
        <f>IFERROR((((COUNTIF('Elève (6ème4)'!SG13:SI13,"A"))*4)+((COUNTIF('Elève (6ème4)'!SG13:SI13,"B"))*3)+((COUNTIF('Elève (6ème4)'!SG13:SI13,"C"))*2)+((COUNTIF('Elève (6ème4)'!SG13:SI13,"D"))*1))/(COUNTA(SG13:SI13)),"")</f>
        <v/>
      </c>
      <c r="SK13" s="103" t="str">
        <f t="shared" si="117"/>
        <v/>
      </c>
      <c r="SL13" s="99"/>
      <c r="SM13" s="100"/>
      <c r="SN13" s="101"/>
      <c r="SO13" s="102" t="str">
        <f>IFERROR((((COUNTIF('Elève (6ème4)'!SL13:SN13,"A"))*4)+((COUNTIF('Elève (6ème4)'!SL13:SN13,"B"))*3)+((COUNTIF('Elève (6ème4)'!SL13:SN13,"C"))*2)+((COUNTIF('Elève (6ème4)'!SL13:SN13,"D"))*1))/(COUNTA(SL13:SN13)),"")</f>
        <v/>
      </c>
      <c r="SP13" s="103" t="str">
        <f t="shared" si="118"/>
        <v/>
      </c>
      <c r="SQ13" s="102" t="str">
        <f>IF(COUNT(SE13,SJ13,SO13)=0,"",SUM(SE13,SJ13,SO13)/COUNT(SE13,SJ13,SO13))</f>
        <v/>
      </c>
      <c r="SR13" s="104" t="str">
        <f t="shared" si="119"/>
        <v/>
      </c>
      <c r="SS13" s="105"/>
      <c r="ST13" s="100"/>
      <c r="SU13" s="101"/>
      <c r="SV13" s="102" t="str">
        <f>IFERROR((((COUNTIF('Elève (6ème4)'!SS13:SU13,"A"))*4)+((COUNTIF('Elève (6ème4)'!SS13:SU13,"B"))*3)+((COUNTIF('Elève (6ème4)'!SS13:SU13,"C"))*2)+((COUNTIF('Elève (6ème4)'!SS13:SU13,"D"))*1))/(COUNTA(SS13:SU13)),"")</f>
        <v/>
      </c>
      <c r="SW13" s="103" t="str">
        <f t="shared" si="120"/>
        <v/>
      </c>
      <c r="SX13" s="99"/>
      <c r="SY13" s="100"/>
      <c r="SZ13" s="101"/>
      <c r="TA13" s="102" t="str">
        <f>IFERROR((((COUNTIF('Elève (6ème4)'!SX13:SZ13,"A"))*4)+((COUNTIF('Elève (6ème4)'!SX13:SZ13,"B"))*3)+((COUNTIF('Elève (6ème4)'!SX13:SZ13,"C"))*2)+((COUNTIF('Elève (6ème4)'!SX13:SZ13,"D"))*1))/(COUNTA(SX13:SZ13)),"")</f>
        <v/>
      </c>
      <c r="TB13" s="103" t="str">
        <f t="shared" si="121"/>
        <v/>
      </c>
      <c r="TC13" s="99"/>
      <c r="TD13" s="100"/>
      <c r="TE13" s="101"/>
      <c r="TF13" s="102" t="str">
        <f>IFERROR((((COUNTIF('Elève (6ème4)'!TC13:TE13,"A"))*4)+((COUNTIF('Elève (6ème4)'!TC13:TE13,"B"))*3)+((COUNTIF('Elève (6ème4)'!TC13:TE13,"C"))*2)+((COUNTIF('Elève (6ème4)'!TC13:TE13,"D"))*1))/(COUNTA(TC13:TE13)),"")</f>
        <v/>
      </c>
      <c r="TG13" s="103" t="str">
        <f t="shared" si="122"/>
        <v/>
      </c>
      <c r="TH13" s="102" t="str">
        <f>IF(COUNT(SV13,TA13,TF13)=0,"",SUM(SV13,TA13,TF13)/COUNT(SV13,TA13,TF13))</f>
        <v/>
      </c>
      <c r="TI13" s="104" t="str">
        <f t="shared" si="123"/>
        <v/>
      </c>
      <c r="TJ13" s="105"/>
      <c r="TK13" s="100"/>
      <c r="TL13" s="101"/>
      <c r="TM13" s="102" t="str">
        <f>IFERROR((((COUNTIF('Elève (6ème4)'!TJ13:TL13,"A"))*4)+((COUNTIF('Elève (6ème4)'!TJ13:TL13,"B"))*3)+((COUNTIF('Elève (6ème4)'!TJ13:TL13,"C"))*2)+((COUNTIF('Elève (6ème4)'!TJ13:TL13,"D"))*1))/(COUNTA(TJ13:TL13)),"")</f>
        <v/>
      </c>
      <c r="TN13" s="103" t="str">
        <f t="shared" si="124"/>
        <v/>
      </c>
      <c r="TO13" s="99"/>
      <c r="TP13" s="100"/>
      <c r="TQ13" s="101"/>
      <c r="TR13" s="102" t="str">
        <f>IFERROR((((COUNTIF('Elève (6ème4)'!TO13:TQ13,"A"))*4)+((COUNTIF('Elève (6ème4)'!TO13:TQ13,"B"))*3)+((COUNTIF('Elève (6ème4)'!TO13:TQ13,"C"))*2)+((COUNTIF('Elève (6ème4)'!TO13:TQ13,"D"))*1))/(COUNTA(TO13:TQ13)),"")</f>
        <v/>
      </c>
      <c r="TS13" s="103" t="str">
        <f t="shared" si="125"/>
        <v/>
      </c>
      <c r="TT13" s="99"/>
      <c r="TU13" s="100"/>
      <c r="TV13" s="101"/>
      <c r="TW13" s="102" t="str">
        <f>IFERROR((((COUNTIF('Elève (6ème4)'!TT13:TV13,"A"))*4)+((COUNTIF('Elève (6ème4)'!TT13:TV13,"B"))*3)+((COUNTIF('Elève (6ème4)'!TT13:TV13,"C"))*2)+((COUNTIF('Elève (6ème4)'!TT13:TV13,"D"))*1))/(COUNTA(TT13:TV13)),"")</f>
        <v/>
      </c>
      <c r="TX13" s="103" t="str">
        <f t="shared" si="126"/>
        <v/>
      </c>
      <c r="TY13" s="102" t="str">
        <f>IF(COUNT(TM13,TR13,TW13)=0,"",SUM(TM13,TR13,TW13)/COUNT(TM13,TR13,TW13))</f>
        <v/>
      </c>
      <c r="TZ13" s="104" t="str">
        <f t="shared" si="127"/>
        <v/>
      </c>
    </row>
    <row r="14" spans="1:546" s="98" customFormat="1" ht="16.5" customHeight="1" thickBot="1" x14ac:dyDescent="0.3">
      <c r="A14" s="164" t="s">
        <v>17</v>
      </c>
      <c r="B14" s="164">
        <v>1</v>
      </c>
      <c r="C14" s="255"/>
      <c r="D14" s="250"/>
      <c r="E14" s="251"/>
      <c r="F14" s="181">
        <f>IF(COUNT(F15:F17)=0,"",SUM(F15:F17)/COUNT(F15:F17))</f>
        <v>2</v>
      </c>
      <c r="G14" s="182" t="str">
        <f t="shared" si="0"/>
        <v>C</v>
      </c>
      <c r="H14" s="252"/>
      <c r="I14" s="250"/>
      <c r="J14" s="251"/>
      <c r="K14" s="181">
        <f>IF(COUNT(K15:K17)=0,"",SUM(K15:K17)/COUNT(K15:K17))</f>
        <v>4</v>
      </c>
      <c r="L14" s="198" t="str">
        <f t="shared" si="1"/>
        <v>A</v>
      </c>
      <c r="M14" s="247"/>
      <c r="N14" s="245"/>
      <c r="O14" s="246"/>
      <c r="P14" s="181">
        <f>IF(COUNT(P15:P17)=0,"",SUM(P15:P17)/COUNT(P15:P17))</f>
        <v>2.8333333333333335</v>
      </c>
      <c r="Q14" s="205" t="str">
        <f t="shared" si="2"/>
        <v>B</v>
      </c>
      <c r="R14" s="181">
        <f>IF(COUNT(R15:R17)=0,"",SUM(R15:R17)/COUNT(R15:R17))</f>
        <v>2.6388888888888888</v>
      </c>
      <c r="S14" s="206" t="str">
        <f t="shared" si="3"/>
        <v>C</v>
      </c>
      <c r="T14" s="250"/>
      <c r="U14" s="250"/>
      <c r="V14" s="251"/>
      <c r="W14" s="181">
        <f>IF(COUNT(W15:W17)=0,"",SUM(W15:W17)/COUNT(W15:W17))</f>
        <v>2.6666666666666665</v>
      </c>
      <c r="X14" s="182" t="str">
        <f t="shared" si="4"/>
        <v>C</v>
      </c>
      <c r="Y14" s="252"/>
      <c r="Z14" s="250"/>
      <c r="AA14" s="251"/>
      <c r="AB14" s="181">
        <f>IF(COUNT(AB15:AB17)=0,"",SUM(AB15:AB17)/COUNT(AB15:AB17))</f>
        <v>4</v>
      </c>
      <c r="AC14" s="198" t="str">
        <f t="shared" si="5"/>
        <v>A</v>
      </c>
      <c r="AD14" s="247"/>
      <c r="AE14" s="245"/>
      <c r="AF14" s="246"/>
      <c r="AG14" s="181">
        <f>IF(COUNT(AG15:AG17)=0,"",SUM(AG15:AG17)/COUNT(AG15:AG17))</f>
        <v>2.8333333333333335</v>
      </c>
      <c r="AH14" s="205" t="str">
        <f t="shared" si="6"/>
        <v>B</v>
      </c>
      <c r="AI14" s="181">
        <f>IF(COUNT(AI15:AI17)=0,"",SUM(AI15:AI17)/COUNT(AI15:AI17))</f>
        <v>2.8055555555555554</v>
      </c>
      <c r="AJ14" s="206" t="str">
        <f t="shared" si="7"/>
        <v>B</v>
      </c>
      <c r="AK14" s="250"/>
      <c r="AL14" s="250"/>
      <c r="AM14" s="251"/>
      <c r="AN14" s="181">
        <f>IF(COUNT(AN15:AN17)=0,"",SUM(AN15:AN17)/COUNT(AN15:AN17))</f>
        <v>3.5</v>
      </c>
      <c r="AO14" s="182" t="str">
        <f t="shared" si="8"/>
        <v>B</v>
      </c>
      <c r="AP14" s="252"/>
      <c r="AQ14" s="250"/>
      <c r="AR14" s="251"/>
      <c r="AS14" s="181">
        <f>IF(COUNT(AS15:AS17)=0,"",SUM(AS15:AS17)/COUNT(AS15:AS17))</f>
        <v>4</v>
      </c>
      <c r="AT14" s="198" t="str">
        <f t="shared" si="9"/>
        <v>A</v>
      </c>
      <c r="AU14" s="247"/>
      <c r="AV14" s="245"/>
      <c r="AW14" s="246"/>
      <c r="AX14" s="181">
        <f>IF(COUNT(AX15:AX17)=0,"",SUM(AX15:AX17)/COUNT(AX15:AX17))</f>
        <v>3.1666666666666665</v>
      </c>
      <c r="AY14" s="205" t="str">
        <f t="shared" si="10"/>
        <v>B</v>
      </c>
      <c r="AZ14" s="181">
        <f>IF(COUNT(AZ15:AZ17)=0,"",SUM(AZ15:AZ17)/COUNT(AZ15:AZ17))</f>
        <v>3.3611111111111112</v>
      </c>
      <c r="BA14" s="206" t="str">
        <f t="shared" si="11"/>
        <v>B</v>
      </c>
      <c r="BB14" s="250"/>
      <c r="BC14" s="250"/>
      <c r="BD14" s="251"/>
      <c r="BE14" s="181">
        <f>IF(COUNT(BE15:BE17)=0,"",SUM(BE15:BE17)/COUNT(BE15:BE17))</f>
        <v>2.8333333333333335</v>
      </c>
      <c r="BF14" s="182" t="str">
        <f t="shared" si="12"/>
        <v>B</v>
      </c>
      <c r="BG14" s="252"/>
      <c r="BH14" s="250"/>
      <c r="BI14" s="251"/>
      <c r="BJ14" s="181">
        <f>IF(COUNT(BJ15:BJ17)=0,"",SUM(BJ15:BJ17)/COUNT(BJ15:BJ17))</f>
        <v>4</v>
      </c>
      <c r="BK14" s="198" t="str">
        <f t="shared" si="13"/>
        <v>A</v>
      </c>
      <c r="BL14" s="247"/>
      <c r="BM14" s="245"/>
      <c r="BN14" s="246"/>
      <c r="BO14" s="181">
        <f>IF(COUNT(BO15:BO17)=0,"",SUM(BO15:BO17)/COUNT(BO15:BO17))</f>
        <v>2.8333333333333335</v>
      </c>
      <c r="BP14" s="205" t="str">
        <f t="shared" si="14"/>
        <v>B</v>
      </c>
      <c r="BQ14" s="181">
        <f>IF(COUNT(BQ15:BQ17)=0,"",SUM(BQ15:BQ17)/COUNT(BQ15:BQ17))</f>
        <v>2.9166666666666665</v>
      </c>
      <c r="BR14" s="206" t="str">
        <f t="shared" si="15"/>
        <v>B</v>
      </c>
      <c r="BS14" s="250"/>
      <c r="BT14" s="250"/>
      <c r="BU14" s="251"/>
      <c r="BV14" s="181">
        <f>IF(COUNT(BV15:BV17)=0,"",SUM(BV15:BV17)/COUNT(BV15:BV17))</f>
        <v>2.8333333333333335</v>
      </c>
      <c r="BW14" s="182" t="str">
        <f t="shared" si="16"/>
        <v>B</v>
      </c>
      <c r="BX14" s="252"/>
      <c r="BY14" s="250"/>
      <c r="BZ14" s="251"/>
      <c r="CA14" s="181">
        <f>IF(COUNT(CA15:CA17)=0,"",SUM(CA15:CA17)/COUNT(CA15:CA17))</f>
        <v>2</v>
      </c>
      <c r="CB14" s="198" t="str">
        <f t="shared" si="17"/>
        <v>C</v>
      </c>
      <c r="CC14" s="247"/>
      <c r="CD14" s="245"/>
      <c r="CE14" s="246"/>
      <c r="CF14" s="181">
        <f>IF(COUNT(CF15:CF17)=0,"",SUM(CF15:CF17)/COUNT(CF15:CF17))</f>
        <v>2</v>
      </c>
      <c r="CG14" s="205" t="str">
        <f t="shared" si="18"/>
        <v>C</v>
      </c>
      <c r="CH14" s="181">
        <f>IF(COUNT(CH15:CH17)=0,"",SUM(CH15:CH17)/COUNT(CH15:CH17))</f>
        <v>2.3055555555555554</v>
      </c>
      <c r="CI14" s="206" t="str">
        <f t="shared" si="19"/>
        <v>C</v>
      </c>
      <c r="CJ14" s="250"/>
      <c r="CK14" s="250"/>
      <c r="CL14" s="251"/>
      <c r="CM14" s="181">
        <f>IF(COUNT(CM15:CM17)=0,"",SUM(CM15:CM17)/COUNT(CM15:CM17))</f>
        <v>3.3333333333333335</v>
      </c>
      <c r="CN14" s="182" t="str">
        <f t="shared" si="20"/>
        <v>B</v>
      </c>
      <c r="CO14" s="252"/>
      <c r="CP14" s="250"/>
      <c r="CQ14" s="251"/>
      <c r="CR14" s="181">
        <f>IF(COUNT(CR15:CR17)=0,"",SUM(CR15:CR17)/COUNT(CR15:CR17))</f>
        <v>4</v>
      </c>
      <c r="CS14" s="198" t="str">
        <f t="shared" si="21"/>
        <v>A</v>
      </c>
      <c r="CT14" s="247"/>
      <c r="CU14" s="245"/>
      <c r="CV14" s="246"/>
      <c r="CW14" s="181">
        <f>IF(COUNT(CW15:CW17)=0,"",SUM(CW15:CW17)/COUNT(CW15:CW17))</f>
        <v>3.3333333333333335</v>
      </c>
      <c r="CX14" s="205" t="str">
        <f t="shared" si="22"/>
        <v>B</v>
      </c>
      <c r="CY14" s="181">
        <f>IF(COUNT(CY15:CY17)=0,"",SUM(CY15:CY17)/COUNT(CY15:CY17))</f>
        <v>3.4166666666666665</v>
      </c>
      <c r="CZ14" s="206" t="str">
        <f t="shared" si="23"/>
        <v>B</v>
      </c>
      <c r="DA14" s="250"/>
      <c r="DB14" s="250"/>
      <c r="DC14" s="251"/>
      <c r="DD14" s="181">
        <f>IF(COUNT(DD15:DD17)=0,"",SUM(DD15:DD17)/COUNT(DD15:DD17))</f>
        <v>2</v>
      </c>
      <c r="DE14" s="182" t="str">
        <f t="shared" si="24"/>
        <v>C</v>
      </c>
      <c r="DF14" s="252"/>
      <c r="DG14" s="250"/>
      <c r="DH14" s="251"/>
      <c r="DI14" s="181">
        <f>IF(COUNT(DI15:DI17)=0,"",SUM(DI15:DI17)/COUNT(DI15:DI17))</f>
        <v>2</v>
      </c>
      <c r="DJ14" s="198" t="str">
        <f t="shared" si="25"/>
        <v>C</v>
      </c>
      <c r="DK14" s="247"/>
      <c r="DL14" s="245"/>
      <c r="DM14" s="246"/>
      <c r="DN14" s="181">
        <f>IF(COUNT(DN15:DN17)=0,"",SUM(DN15:DN17)/COUNT(DN15:DN17))</f>
        <v>1.8333333333333333</v>
      </c>
      <c r="DO14" s="205" t="str">
        <f t="shared" si="26"/>
        <v>C</v>
      </c>
      <c r="DP14" s="181">
        <f>IF(COUNT(DP15:DP17)=0,"",SUM(DP15:DP17)/COUNT(DP15:DP17))</f>
        <v>1.9722222222222223</v>
      </c>
      <c r="DQ14" s="206" t="str">
        <f t="shared" si="27"/>
        <v>C</v>
      </c>
      <c r="DR14" s="250"/>
      <c r="DS14" s="250"/>
      <c r="DT14" s="251"/>
      <c r="DU14" s="181">
        <f>IF(COUNT(DU15:DU17)=0,"",SUM(DU15:DU17)/COUNT(DU15:DU17))</f>
        <v>2.1666666666666665</v>
      </c>
      <c r="DV14" s="182" t="str">
        <f t="shared" si="28"/>
        <v>C</v>
      </c>
      <c r="DW14" s="252"/>
      <c r="DX14" s="250"/>
      <c r="DY14" s="251"/>
      <c r="DZ14" s="181">
        <f>IF(COUNT(DZ15:DZ17)=0,"",SUM(DZ15:DZ17)/COUNT(DZ15:DZ17))</f>
        <v>4</v>
      </c>
      <c r="EA14" s="198" t="str">
        <f t="shared" si="29"/>
        <v>A</v>
      </c>
      <c r="EB14" s="247"/>
      <c r="EC14" s="245"/>
      <c r="ED14" s="246"/>
      <c r="EE14" s="181">
        <f>IF(COUNT(EE15:EE17)=0,"",SUM(EE15:EE17)/COUNT(EE15:EE17))</f>
        <v>2.1666666666666665</v>
      </c>
      <c r="EF14" s="205" t="str">
        <f t="shared" si="30"/>
        <v>C</v>
      </c>
      <c r="EG14" s="181">
        <f>IF(COUNT(EG15:EG17)=0,"",SUM(EG15:EG17)/COUNT(EG15:EG17))</f>
        <v>2.2777777777777781</v>
      </c>
      <c r="EH14" s="206" t="str">
        <f t="shared" si="31"/>
        <v>C</v>
      </c>
      <c r="EI14" s="250"/>
      <c r="EJ14" s="250"/>
      <c r="EK14" s="251"/>
      <c r="EL14" s="181">
        <f>IF(COUNT(EL15:EL17)=0,"",SUM(EL15:EL17)/COUNT(EL15:EL17))</f>
        <v>3.3333333333333335</v>
      </c>
      <c r="EM14" s="182" t="str">
        <f t="shared" si="32"/>
        <v>B</v>
      </c>
      <c r="EN14" s="252"/>
      <c r="EO14" s="250"/>
      <c r="EP14" s="251"/>
      <c r="EQ14" s="181">
        <f>IF(COUNT(EQ15:EQ17)=0,"",SUM(EQ15:EQ17)/COUNT(EQ15:EQ17))</f>
        <v>4</v>
      </c>
      <c r="ER14" s="198" t="str">
        <f t="shared" si="33"/>
        <v>A</v>
      </c>
      <c r="ES14" s="247"/>
      <c r="ET14" s="245"/>
      <c r="EU14" s="246"/>
      <c r="EV14" s="181">
        <f>IF(COUNT(EV15:EV17)=0,"",SUM(EV15:EV17)/COUNT(EV15:EV17))</f>
        <v>3.1666666666666665</v>
      </c>
      <c r="EW14" s="205" t="str">
        <f t="shared" si="34"/>
        <v>B</v>
      </c>
      <c r="EX14" s="181">
        <f>IF(COUNT(EX15:EX17)=0,"",SUM(EX15:EX17)/COUNT(EX15:EX17))</f>
        <v>3.2777777777777781</v>
      </c>
      <c r="EY14" s="206" t="str">
        <f t="shared" si="35"/>
        <v>B</v>
      </c>
      <c r="EZ14" s="250"/>
      <c r="FA14" s="250"/>
      <c r="FB14" s="251"/>
      <c r="FC14" s="181">
        <f>IF(COUNT(FC15:FC17)=0,"",SUM(FC15:FC17)/COUNT(FC15:FC17))</f>
        <v>3</v>
      </c>
      <c r="FD14" s="182" t="str">
        <f t="shared" si="36"/>
        <v>B</v>
      </c>
      <c r="FE14" s="252"/>
      <c r="FF14" s="250"/>
      <c r="FG14" s="251"/>
      <c r="FH14" s="181">
        <f>IF(COUNT(FH15:FH17)=0,"",SUM(FH15:FH17)/COUNT(FH15:FH17))</f>
        <v>4</v>
      </c>
      <c r="FI14" s="198" t="str">
        <f t="shared" si="37"/>
        <v>A</v>
      </c>
      <c r="FJ14" s="247"/>
      <c r="FK14" s="245"/>
      <c r="FL14" s="246"/>
      <c r="FM14" s="181">
        <f>IF(COUNT(FM15:FM17)=0,"",SUM(FM15:FM17)/COUNT(FM15:FM17))</f>
        <v>2.8333333333333335</v>
      </c>
      <c r="FN14" s="205" t="str">
        <f t="shared" si="38"/>
        <v>B</v>
      </c>
      <c r="FO14" s="181">
        <f>IF(COUNT(FO15:FO17)=0,"",SUM(FO15:FO17)/COUNT(FO15:FO17))</f>
        <v>2.9444444444444446</v>
      </c>
      <c r="FP14" s="206" t="str">
        <f t="shared" si="39"/>
        <v>B</v>
      </c>
      <c r="FQ14" s="250"/>
      <c r="FR14" s="250"/>
      <c r="FS14" s="251"/>
      <c r="FT14" s="181">
        <f>IF(COUNT(FT15:FT17)=0,"",SUM(FT15:FT17)/COUNT(FT15:FT17))</f>
        <v>2.6666666666666665</v>
      </c>
      <c r="FU14" s="182" t="str">
        <f t="shared" si="40"/>
        <v>C</v>
      </c>
      <c r="FV14" s="252"/>
      <c r="FW14" s="250"/>
      <c r="FX14" s="251"/>
      <c r="FY14" s="181">
        <f>IF(COUNT(FY15:FY17)=0,"",SUM(FY15:FY17)/COUNT(FY15:FY17))</f>
        <v>4</v>
      </c>
      <c r="FZ14" s="198" t="str">
        <f t="shared" si="41"/>
        <v>A</v>
      </c>
      <c r="GA14" s="247"/>
      <c r="GB14" s="245"/>
      <c r="GC14" s="246"/>
      <c r="GD14" s="181">
        <f>IF(COUNT(GD15:GD17)=0,"",SUM(GD15:GD17)/COUNT(GD15:GD17))</f>
        <v>3</v>
      </c>
      <c r="GE14" s="205" t="str">
        <f t="shared" si="42"/>
        <v>B</v>
      </c>
      <c r="GF14" s="181">
        <f>IF(COUNT(GF15:GF17)=0,"",SUM(GF15:GF17)/COUNT(GF15:GF17))</f>
        <v>2.8611111111111112</v>
      </c>
      <c r="GG14" s="206" t="str">
        <f t="shared" si="43"/>
        <v>B</v>
      </c>
      <c r="GH14" s="250"/>
      <c r="GI14" s="250"/>
      <c r="GJ14" s="251"/>
      <c r="GK14" s="181">
        <f>IF(COUNT(GK15:GK17)=0,"",SUM(GK15:GK17)/COUNT(GK15:GK17))</f>
        <v>3.1666666666666665</v>
      </c>
      <c r="GL14" s="182" t="str">
        <f t="shared" si="44"/>
        <v>B</v>
      </c>
      <c r="GM14" s="252"/>
      <c r="GN14" s="250"/>
      <c r="GO14" s="251"/>
      <c r="GP14" s="181">
        <f>IF(COUNT(GP15:GP17)=0,"",SUM(GP15:GP17)/COUNT(GP15:GP17))</f>
        <v>4</v>
      </c>
      <c r="GQ14" s="198" t="str">
        <f t="shared" si="45"/>
        <v>A</v>
      </c>
      <c r="GR14" s="247"/>
      <c r="GS14" s="245"/>
      <c r="GT14" s="246"/>
      <c r="GU14" s="181">
        <f>IF(COUNT(GU15:GU17)=0,"",SUM(GU15:GU17)/COUNT(GU15:GU17))</f>
        <v>3.1666666666666665</v>
      </c>
      <c r="GV14" s="205" t="str">
        <f t="shared" si="46"/>
        <v>B</v>
      </c>
      <c r="GW14" s="181">
        <f>IF(COUNT(GW15:GW17)=0,"",SUM(GW15:GW17)/COUNT(GW15:GW17))</f>
        <v>3.1944444444444446</v>
      </c>
      <c r="GX14" s="206" t="str">
        <f t="shared" si="47"/>
        <v>B</v>
      </c>
      <c r="GY14" s="250"/>
      <c r="GZ14" s="250"/>
      <c r="HA14" s="251"/>
      <c r="HB14" s="181">
        <f>IF(COUNT(HB15:HB17)=0,"",SUM(HB15:HB17)/COUNT(HB15:HB17))</f>
        <v>2.8333333333333335</v>
      </c>
      <c r="HC14" s="182" t="str">
        <f t="shared" si="48"/>
        <v>B</v>
      </c>
      <c r="HD14" s="252"/>
      <c r="HE14" s="250"/>
      <c r="HF14" s="251"/>
      <c r="HG14" s="181">
        <f>IF(COUNT(HG15:HG17)=0,"",SUM(HG15:HG17)/COUNT(HG15:HG17))</f>
        <v>4</v>
      </c>
      <c r="HH14" s="198" t="str">
        <f t="shared" si="49"/>
        <v>A</v>
      </c>
      <c r="HI14" s="247"/>
      <c r="HJ14" s="245"/>
      <c r="HK14" s="246"/>
      <c r="HL14" s="181">
        <f>IF(COUNT(HL15:HL17)=0,"",SUM(HL15:HL17)/COUNT(HL15:HL17))</f>
        <v>2.6666666666666665</v>
      </c>
      <c r="HM14" s="205" t="str">
        <f t="shared" si="50"/>
        <v>C</v>
      </c>
      <c r="HN14" s="181">
        <f>IF(COUNT(HN15:HN17)=0,"",SUM(HN15:HN17)/COUNT(HN15:HN17))</f>
        <v>2.8055555555555554</v>
      </c>
      <c r="HO14" s="206" t="str">
        <f t="shared" si="51"/>
        <v>B</v>
      </c>
      <c r="HP14" s="250"/>
      <c r="HQ14" s="250"/>
      <c r="HR14" s="251"/>
      <c r="HS14" s="181">
        <f>IF(COUNT(HS15:HS17)=0,"",SUM(HS15:HS17)/COUNT(HS15:HS17))</f>
        <v>2.5</v>
      </c>
      <c r="HT14" s="182" t="str">
        <f t="shared" si="52"/>
        <v>C</v>
      </c>
      <c r="HU14" s="252"/>
      <c r="HV14" s="250"/>
      <c r="HW14" s="251"/>
      <c r="HX14" s="181">
        <f>IF(COUNT(HX15:HX17)=0,"",SUM(HX15:HX17)/COUNT(HX15:HX17))</f>
        <v>4</v>
      </c>
      <c r="HY14" s="198" t="str">
        <f t="shared" si="53"/>
        <v>A</v>
      </c>
      <c r="HZ14" s="247"/>
      <c r="IA14" s="245"/>
      <c r="IB14" s="246"/>
      <c r="IC14" s="181">
        <f>IF(COUNT(IC15:IC17)=0,"",SUM(IC15:IC17)/COUNT(IC15:IC17))</f>
        <v>2.8333333333333335</v>
      </c>
      <c r="ID14" s="205" t="str">
        <f t="shared" si="54"/>
        <v>B</v>
      </c>
      <c r="IE14" s="181">
        <f>IF(COUNT(IE15:IE17)=0,"",SUM(IE15:IE17)/COUNT(IE15:IE17))</f>
        <v>2.7777777777777781</v>
      </c>
      <c r="IF14" s="206" t="str">
        <f t="shared" si="55"/>
        <v>C</v>
      </c>
      <c r="IG14" s="250"/>
      <c r="IH14" s="250"/>
      <c r="II14" s="251"/>
      <c r="IJ14" s="181">
        <f>IF(COUNT(IJ15:IJ17)=0,"",SUM(IJ15:IJ17)/COUNT(IJ15:IJ17))</f>
        <v>1.8333333333333333</v>
      </c>
      <c r="IK14" s="182" t="str">
        <f t="shared" si="56"/>
        <v>C</v>
      </c>
      <c r="IL14" s="252"/>
      <c r="IM14" s="250"/>
      <c r="IN14" s="251"/>
      <c r="IO14" s="181">
        <f>IF(COUNT(IO15:IO17)=0,"",SUM(IO15:IO17)/COUNT(IO15:IO17))</f>
        <v>4</v>
      </c>
      <c r="IP14" s="198" t="str">
        <f t="shared" si="57"/>
        <v>A</v>
      </c>
      <c r="IQ14" s="247"/>
      <c r="IR14" s="245"/>
      <c r="IS14" s="246"/>
      <c r="IT14" s="181">
        <f>IF(COUNT(IT15:IT17)=0,"",SUM(IT15:IT17)/COUNT(IT15:IT17))</f>
        <v>2.6666666666666665</v>
      </c>
      <c r="IU14" s="205" t="str">
        <f t="shared" si="58"/>
        <v>C</v>
      </c>
      <c r="IV14" s="181">
        <f>IF(COUNT(IV15:IV17)=0,"",SUM(IV15:IV17)/COUNT(IV15:IV17))</f>
        <v>2.4722222222222219</v>
      </c>
      <c r="IW14" s="206" t="str">
        <f t="shared" si="59"/>
        <v>C</v>
      </c>
      <c r="IX14" s="250"/>
      <c r="IY14" s="250"/>
      <c r="IZ14" s="251"/>
      <c r="JA14" s="181">
        <f>IF(COUNT(JA15:JA17)=0,"",SUM(JA15:JA17)/COUNT(JA15:JA17))</f>
        <v>2.8333333333333335</v>
      </c>
      <c r="JB14" s="182" t="str">
        <f t="shared" si="60"/>
        <v>B</v>
      </c>
      <c r="JC14" s="252"/>
      <c r="JD14" s="250"/>
      <c r="JE14" s="251"/>
      <c r="JF14" s="181">
        <f>IF(COUNT(JF15:JF17)=0,"",SUM(JF15:JF17)/COUNT(JF15:JF17))</f>
        <v>3</v>
      </c>
      <c r="JG14" s="198" t="str">
        <f t="shared" si="61"/>
        <v>B</v>
      </c>
      <c r="JH14" s="247"/>
      <c r="JI14" s="245"/>
      <c r="JJ14" s="246"/>
      <c r="JK14" s="181">
        <f>IF(COUNT(JK15:JK17)=0,"",SUM(JK15:JK17)/COUNT(JK15:JK17))</f>
        <v>2.5</v>
      </c>
      <c r="JL14" s="205" t="str">
        <f t="shared" si="62"/>
        <v>C</v>
      </c>
      <c r="JM14" s="181">
        <f>IF(COUNT(JM15:JM17)=0,"",SUM(JM15:JM17)/COUNT(JM15:JM17))</f>
        <v>2.6388888888888888</v>
      </c>
      <c r="JN14" s="206" t="str">
        <f t="shared" si="63"/>
        <v>C</v>
      </c>
      <c r="JO14" s="250"/>
      <c r="JP14" s="250"/>
      <c r="JQ14" s="251"/>
      <c r="JR14" s="181">
        <f>IF(COUNT(JR15:JR17)=0,"",SUM(JR15:JR17)/COUNT(JR15:JR17))</f>
        <v>2.1666666666666665</v>
      </c>
      <c r="JS14" s="182" t="str">
        <f t="shared" si="64"/>
        <v>C</v>
      </c>
      <c r="JT14" s="252"/>
      <c r="JU14" s="250"/>
      <c r="JV14" s="251"/>
      <c r="JW14" s="181">
        <f>IF(COUNT(JW15:JW17)=0,"",SUM(JW15:JW17)/COUNT(JW15:JW17))</f>
        <v>4</v>
      </c>
      <c r="JX14" s="198" t="str">
        <f t="shared" si="65"/>
        <v>A</v>
      </c>
      <c r="JY14" s="247"/>
      <c r="JZ14" s="245"/>
      <c r="KA14" s="246"/>
      <c r="KB14" s="181">
        <f>IF(COUNT(KB15:KB17)=0,"",SUM(KB15:KB17)/COUNT(KB15:KB17))</f>
        <v>2.5</v>
      </c>
      <c r="KC14" s="205" t="str">
        <f t="shared" si="66"/>
        <v>C</v>
      </c>
      <c r="KD14" s="181">
        <f>IF(COUNT(KD15:KD17)=0,"",SUM(KD15:KD17)/COUNT(KD15:KD17))</f>
        <v>2.4444444444444446</v>
      </c>
      <c r="KE14" s="206" t="str">
        <f t="shared" si="67"/>
        <v>C</v>
      </c>
      <c r="KF14" s="250"/>
      <c r="KG14" s="250"/>
      <c r="KH14" s="251"/>
      <c r="KI14" s="181">
        <f>IF(COUNT(KI15:KI17)=0,"",SUM(KI15:KI17)/COUNT(KI15:KI17))</f>
        <v>3</v>
      </c>
      <c r="KJ14" s="182" t="str">
        <f t="shared" si="68"/>
        <v>B</v>
      </c>
      <c r="KK14" s="252"/>
      <c r="KL14" s="250"/>
      <c r="KM14" s="251"/>
      <c r="KN14" s="181">
        <f>IF(COUNT(KN15:KN17)=0,"",SUM(KN15:KN17)/COUNT(KN15:KN17))</f>
        <v>4</v>
      </c>
      <c r="KO14" s="198" t="str">
        <f t="shared" si="69"/>
        <v>A</v>
      </c>
      <c r="KP14" s="247"/>
      <c r="KQ14" s="245"/>
      <c r="KR14" s="246"/>
      <c r="KS14" s="181">
        <f>IF(COUNT(KS15:KS17)=0,"",SUM(KS15:KS17)/COUNT(KS15:KS17))</f>
        <v>2.6666666666666665</v>
      </c>
      <c r="KT14" s="205" t="str">
        <f t="shared" si="70"/>
        <v>C</v>
      </c>
      <c r="KU14" s="181">
        <f>IF(COUNT(KU15:KU17)=0,"",SUM(KU15:KU17)/COUNT(KU15:KU17))</f>
        <v>2.8611111111111112</v>
      </c>
      <c r="KV14" s="206" t="str">
        <f t="shared" si="71"/>
        <v>B</v>
      </c>
      <c r="KW14" s="250"/>
      <c r="KX14" s="250"/>
      <c r="KY14" s="251"/>
      <c r="KZ14" s="181">
        <f>IF(COUNT(KZ15:KZ17)=0,"",SUM(KZ15:KZ17)/COUNT(KZ15:KZ17))</f>
        <v>3.3333333333333335</v>
      </c>
      <c r="LA14" s="182" t="str">
        <f t="shared" si="72"/>
        <v>B</v>
      </c>
      <c r="LB14" s="252"/>
      <c r="LC14" s="250"/>
      <c r="LD14" s="251"/>
      <c r="LE14" s="181">
        <f>IF(COUNT(LE15:LE17)=0,"",SUM(LE15:LE17)/COUNT(LE15:LE17))</f>
        <v>4</v>
      </c>
      <c r="LF14" s="198" t="str">
        <f t="shared" si="73"/>
        <v>A</v>
      </c>
      <c r="LG14" s="247"/>
      <c r="LH14" s="245"/>
      <c r="LI14" s="246"/>
      <c r="LJ14" s="181">
        <f>IF(COUNT(LJ15:LJ17)=0,"",SUM(LJ15:LJ17)/COUNT(LJ15:LJ17))</f>
        <v>3.1666666666666665</v>
      </c>
      <c r="LK14" s="205" t="str">
        <f t="shared" si="74"/>
        <v>B</v>
      </c>
      <c r="LL14" s="181">
        <f>IF(COUNT(LL15:LL17)=0,"",SUM(LL15:LL17)/COUNT(LL15:LL17))</f>
        <v>3.2777777777777781</v>
      </c>
      <c r="LM14" s="206" t="str">
        <f t="shared" si="75"/>
        <v>B</v>
      </c>
      <c r="LN14" s="250"/>
      <c r="LO14" s="250"/>
      <c r="LP14" s="251"/>
      <c r="LQ14" s="181">
        <f>IF(COUNT(LQ15:LQ17)=0,"",SUM(LQ15:LQ17)/COUNT(LQ15:LQ17))</f>
        <v>2.5</v>
      </c>
      <c r="LR14" s="182" t="str">
        <f t="shared" si="76"/>
        <v>C</v>
      </c>
      <c r="LS14" s="252"/>
      <c r="LT14" s="250"/>
      <c r="LU14" s="251"/>
      <c r="LV14" s="181">
        <f>IF(COUNT(LV15:LV17)=0,"",SUM(LV15:LV17)/COUNT(LV15:LV17))</f>
        <v>3</v>
      </c>
      <c r="LW14" s="198" t="str">
        <f t="shared" si="77"/>
        <v>B</v>
      </c>
      <c r="LX14" s="247"/>
      <c r="LY14" s="245"/>
      <c r="LZ14" s="246"/>
      <c r="MA14" s="181">
        <f>IF(COUNT(MA15:MA17)=0,"",SUM(MA15:MA17)/COUNT(MA15:MA17))</f>
        <v>3</v>
      </c>
      <c r="MB14" s="205" t="str">
        <f t="shared" si="78"/>
        <v>B</v>
      </c>
      <c r="MC14" s="181">
        <f>IF(COUNT(MC15:MC17)=0,"",SUM(MC15:MC17)/COUNT(MC15:MC17))</f>
        <v>2.6944444444444446</v>
      </c>
      <c r="MD14" s="206" t="str">
        <f t="shared" si="79"/>
        <v>C</v>
      </c>
      <c r="ME14" s="250"/>
      <c r="MF14" s="250"/>
      <c r="MG14" s="251"/>
      <c r="MH14" s="181">
        <f>IF(COUNT(MH15:MH17)=0,"",SUM(MH15:MH17)/COUNT(MH15:MH17))</f>
        <v>2.3333333333333335</v>
      </c>
      <c r="MI14" s="182" t="str">
        <f t="shared" si="80"/>
        <v>C</v>
      </c>
      <c r="MJ14" s="252"/>
      <c r="MK14" s="250"/>
      <c r="ML14" s="251"/>
      <c r="MM14" s="181">
        <f>IF(COUNT(MM15:MM17)=0,"",SUM(MM15:MM17)/COUNT(MM15:MM17))</f>
        <v>4</v>
      </c>
      <c r="MN14" s="198" t="str">
        <f t="shared" si="81"/>
        <v>A</v>
      </c>
      <c r="MO14" s="247"/>
      <c r="MP14" s="245"/>
      <c r="MQ14" s="246"/>
      <c r="MR14" s="181">
        <f>IF(COUNT(MR15:MR17)=0,"",SUM(MR15:MR17)/COUNT(MR15:MR17))</f>
        <v>3</v>
      </c>
      <c r="MS14" s="205" t="str">
        <f t="shared" si="82"/>
        <v>B</v>
      </c>
      <c r="MT14" s="181">
        <f>IF(COUNT(MT15:MT17)=0,"",SUM(MT15:MT17)/COUNT(MT15:MT17))</f>
        <v>2.75</v>
      </c>
      <c r="MU14" s="206" t="str">
        <f t="shared" si="83"/>
        <v>C</v>
      </c>
      <c r="MV14" s="250"/>
      <c r="MW14" s="250"/>
      <c r="MX14" s="251"/>
      <c r="MY14" s="181">
        <f>IF(COUNT(MY15:MY17)=0,"",SUM(MY15:MY17)/COUNT(MY15:MY17))</f>
        <v>2.5</v>
      </c>
      <c r="MZ14" s="182" t="str">
        <f t="shared" si="84"/>
        <v>C</v>
      </c>
      <c r="NA14" s="252"/>
      <c r="NB14" s="250"/>
      <c r="NC14" s="251"/>
      <c r="ND14" s="181">
        <f>IF(COUNT(ND15:ND17)=0,"",SUM(ND15:ND17)/COUNT(ND15:ND17))</f>
        <v>3</v>
      </c>
      <c r="NE14" s="198" t="str">
        <f t="shared" si="85"/>
        <v>B</v>
      </c>
      <c r="NF14" s="247"/>
      <c r="NG14" s="245"/>
      <c r="NH14" s="246"/>
      <c r="NI14" s="181">
        <f>IF(COUNT(NI15:NI17)=0,"",SUM(NI15:NI17)/COUNT(NI15:NI17))</f>
        <v>3</v>
      </c>
      <c r="NJ14" s="205" t="str">
        <f t="shared" si="86"/>
        <v>B</v>
      </c>
      <c r="NK14" s="181">
        <f>IF(COUNT(NK15:NK17)=0,"",SUM(NK15:NK17)/COUNT(NK15:NK17))</f>
        <v>2.6666666666666665</v>
      </c>
      <c r="NL14" s="206" t="str">
        <f t="shared" si="87"/>
        <v>C</v>
      </c>
      <c r="NM14" s="250"/>
      <c r="NN14" s="250"/>
      <c r="NO14" s="251"/>
      <c r="NP14" s="181">
        <f>IF(COUNT(NP15:NP17)=0,"",SUM(NP15:NP17)/COUNT(NP15:NP17))</f>
        <v>2.5</v>
      </c>
      <c r="NQ14" s="182" t="str">
        <f t="shared" si="88"/>
        <v>C</v>
      </c>
      <c r="NR14" s="252"/>
      <c r="NS14" s="250"/>
      <c r="NT14" s="251"/>
      <c r="NU14" s="181">
        <f>IF(COUNT(NU15:NU17)=0,"",SUM(NU15:NU17)/COUNT(NU15:NU17))</f>
        <v>2</v>
      </c>
      <c r="NV14" s="198" t="str">
        <f t="shared" si="89"/>
        <v>C</v>
      </c>
      <c r="NW14" s="247"/>
      <c r="NX14" s="245"/>
      <c r="NY14" s="246"/>
      <c r="NZ14" s="181">
        <f>IF(COUNT(NZ15:NZ17)=0,"",SUM(NZ15:NZ17)/COUNT(NZ15:NZ17))</f>
        <v>2</v>
      </c>
      <c r="OA14" s="205" t="str">
        <f t="shared" si="90"/>
        <v>C</v>
      </c>
      <c r="OB14" s="181">
        <f>IF(COUNT(OB15:OB17)=0,"",SUM(OB15:OB17)/COUNT(OB15:OB17))</f>
        <v>2.1388888888888888</v>
      </c>
      <c r="OC14" s="206" t="str">
        <f t="shared" si="91"/>
        <v>C</v>
      </c>
      <c r="OD14" s="250"/>
      <c r="OE14" s="250"/>
      <c r="OF14" s="251"/>
      <c r="OG14" s="181">
        <f>IF(COUNT(OG15:OG17)=0,"",SUM(OG15:OG17)/COUNT(OG15:OG17))</f>
        <v>2</v>
      </c>
      <c r="OH14" s="182" t="str">
        <f t="shared" si="92"/>
        <v>C</v>
      </c>
      <c r="OI14" s="252"/>
      <c r="OJ14" s="250"/>
      <c r="OK14" s="251"/>
      <c r="OL14" s="181">
        <f>IF(COUNT(OL15:OL17)=0,"",SUM(OL15:OL17)/COUNT(OL15:OL17))</f>
        <v>4</v>
      </c>
      <c r="OM14" s="198" t="str">
        <f t="shared" si="93"/>
        <v>A</v>
      </c>
      <c r="ON14" s="247"/>
      <c r="OO14" s="245"/>
      <c r="OP14" s="246"/>
      <c r="OQ14" s="181">
        <f>IF(COUNT(OQ15:OQ17)=0,"",SUM(OQ15:OQ17)/COUNT(OQ15:OQ17))</f>
        <v>3</v>
      </c>
      <c r="OR14" s="205" t="str">
        <f t="shared" si="94"/>
        <v>B</v>
      </c>
      <c r="OS14" s="181">
        <f>IF(COUNT(OS15:OS17)=0,"",SUM(OS15:OS17)/COUNT(OS15:OS17))</f>
        <v>2.6944444444444446</v>
      </c>
      <c r="OT14" s="206" t="str">
        <f t="shared" si="95"/>
        <v>C</v>
      </c>
      <c r="OU14" s="250"/>
      <c r="OV14" s="250"/>
      <c r="OW14" s="251"/>
      <c r="OX14" s="181">
        <f>IF(COUNT(OX15:OX17)=0,"",SUM(OX15:OX17)/COUNT(OX15:OX17))</f>
        <v>3.3333333333333335</v>
      </c>
      <c r="OY14" s="182" t="str">
        <f t="shared" si="96"/>
        <v>B</v>
      </c>
      <c r="OZ14" s="252"/>
      <c r="PA14" s="250"/>
      <c r="PB14" s="251"/>
      <c r="PC14" s="181">
        <f>IF(COUNT(PC15:PC17)=0,"",SUM(PC15:PC17)/COUNT(PC15:PC17))</f>
        <v>4</v>
      </c>
      <c r="PD14" s="198" t="str">
        <f t="shared" si="97"/>
        <v>A</v>
      </c>
      <c r="PE14" s="247"/>
      <c r="PF14" s="245"/>
      <c r="PG14" s="246"/>
      <c r="PH14" s="181">
        <f>IF(COUNT(PH15:PH17)=0,"",SUM(PH15:PH17)/COUNT(PH15:PH17))</f>
        <v>3</v>
      </c>
      <c r="PI14" s="205" t="str">
        <f t="shared" si="98"/>
        <v>B</v>
      </c>
      <c r="PJ14" s="181">
        <f>IF(COUNT(PJ15:PJ17)=0,"",SUM(PJ15:PJ17)/COUNT(PJ15:PJ17))</f>
        <v>3.1944444444444446</v>
      </c>
      <c r="PK14" s="206" t="str">
        <f t="shared" si="99"/>
        <v>B</v>
      </c>
      <c r="PL14" s="250"/>
      <c r="PM14" s="250"/>
      <c r="PN14" s="251"/>
      <c r="PO14" s="181">
        <f>IF(COUNT(PO15:PO17)=0,"",SUM(PO15:PO17)/COUNT(PO15:PO17))</f>
        <v>1</v>
      </c>
      <c r="PP14" s="182" t="str">
        <f t="shared" si="100"/>
        <v>D</v>
      </c>
      <c r="PQ14" s="252"/>
      <c r="PR14" s="250"/>
      <c r="PS14" s="251"/>
      <c r="PT14" s="181">
        <f>IF(COUNT(PT15:PT17)=0,"",SUM(PT15:PT17)/COUNT(PT15:PT17))</f>
        <v>3</v>
      </c>
      <c r="PU14" s="198" t="str">
        <f t="shared" si="101"/>
        <v>B</v>
      </c>
      <c r="PV14" s="247"/>
      <c r="PW14" s="245"/>
      <c r="PX14" s="246"/>
      <c r="PY14" s="181">
        <f>IF(COUNT(PY15:PY17)=0,"",SUM(PY15:PY17)/COUNT(PY15:PY17))</f>
        <v>2.6666666666666665</v>
      </c>
      <c r="PZ14" s="205" t="str">
        <f t="shared" si="102"/>
        <v>C</v>
      </c>
      <c r="QA14" s="181">
        <f>IF(COUNT(QA15:QA17)=0,"",SUM(QA15:QA17)/COUNT(QA15:QA17))</f>
        <v>2.3333333333333335</v>
      </c>
      <c r="QB14" s="206" t="str">
        <f t="shared" si="103"/>
        <v>C</v>
      </c>
      <c r="QC14" s="250"/>
      <c r="QD14" s="250"/>
      <c r="QE14" s="251"/>
      <c r="QF14" s="181">
        <f>IF(COUNT(QF15:QF17)=0,"",SUM(QF15:QF17)/COUNT(QF15:QF17))</f>
        <v>3</v>
      </c>
      <c r="QG14" s="182" t="str">
        <f t="shared" si="104"/>
        <v>B</v>
      </c>
      <c r="QH14" s="252"/>
      <c r="QI14" s="250"/>
      <c r="QJ14" s="251"/>
      <c r="QK14" s="181">
        <f>IF(COUNT(QK15:QK17)=0,"",SUM(QK15:QK17)/COUNT(QK15:QK17))</f>
        <v>4</v>
      </c>
      <c r="QL14" s="198" t="str">
        <f t="shared" si="105"/>
        <v>A</v>
      </c>
      <c r="QM14" s="247"/>
      <c r="QN14" s="245"/>
      <c r="QO14" s="246"/>
      <c r="QP14" s="181">
        <f>IF(COUNT(QP15:QP17)=0,"",SUM(QP15:QP17)/COUNT(QP15:QP17))</f>
        <v>3.1666666666666665</v>
      </c>
      <c r="QQ14" s="205" t="str">
        <f t="shared" si="106"/>
        <v>B</v>
      </c>
      <c r="QR14" s="181">
        <f>IF(COUNT(QR15:QR17)=0,"",SUM(QR15:QR17)/COUNT(QR15:QR17))</f>
        <v>3.1388888888888888</v>
      </c>
      <c r="QS14" s="206" t="str">
        <f t="shared" si="107"/>
        <v>B</v>
      </c>
      <c r="QT14" s="250"/>
      <c r="QU14" s="250"/>
      <c r="QV14" s="251"/>
      <c r="QW14" s="93">
        <f>IF(COUNT(QW15:QW17)=0,"",SUM(QW15:QW17)/COUNT(QW15:QW17))</f>
        <v>1.3333333333333333</v>
      </c>
      <c r="QX14" s="94" t="str">
        <f t="shared" si="108"/>
        <v>D</v>
      </c>
      <c r="QY14" s="252"/>
      <c r="QZ14" s="250"/>
      <c r="RA14" s="251"/>
      <c r="RB14" s="93">
        <f>IF(COUNT(RB15:RB17)=0,"",SUM(RB15:RB17)/COUNT(RB15:RB17))</f>
        <v>3</v>
      </c>
      <c r="RC14" s="95" t="str">
        <f t="shared" si="109"/>
        <v>B</v>
      </c>
      <c r="RD14" s="247"/>
      <c r="RE14" s="245"/>
      <c r="RF14" s="246"/>
      <c r="RG14" s="93">
        <f>IF(COUNT(RG15:RG17)=0,"",SUM(RG15:RG17)/COUNT(RG15:RG17))</f>
        <v>2.8333333333333335</v>
      </c>
      <c r="RH14" s="96" t="str">
        <f t="shared" si="110"/>
        <v>B</v>
      </c>
      <c r="RI14" s="93">
        <f>IF(COUNT(RI15:RI17)=0,"",SUM(RI15:RI17)/COUNT(RI15:RI17))</f>
        <v>2.1666666666666665</v>
      </c>
      <c r="RJ14" s="97" t="str">
        <f t="shared" si="111"/>
        <v>C</v>
      </c>
      <c r="RK14" s="250"/>
      <c r="RL14" s="250"/>
      <c r="RM14" s="251"/>
      <c r="RN14" s="93" t="str">
        <f>IF(COUNT(RN15:RN17)=0,"",SUM(RN15:RN17)/COUNT(RN15:RN17))</f>
        <v/>
      </c>
      <c r="RO14" s="94" t="str">
        <f t="shared" si="112"/>
        <v/>
      </c>
      <c r="RP14" s="252"/>
      <c r="RQ14" s="250"/>
      <c r="RR14" s="251"/>
      <c r="RS14" s="93" t="str">
        <f>IF(COUNT(RS15:RS17)=0,"",SUM(RS15:RS17)/COUNT(RS15:RS17))</f>
        <v/>
      </c>
      <c r="RT14" s="95" t="str">
        <f t="shared" si="113"/>
        <v/>
      </c>
      <c r="RU14" s="247"/>
      <c r="RV14" s="245"/>
      <c r="RW14" s="246"/>
      <c r="RX14" s="93" t="str">
        <f>IF(COUNT(RX15:RX17)=0,"",SUM(RX15:RX17)/COUNT(RX15:RX17))</f>
        <v/>
      </c>
      <c r="RY14" s="96" t="str">
        <f t="shared" si="114"/>
        <v/>
      </c>
      <c r="RZ14" s="93" t="str">
        <f>IF(COUNT(RZ15:RZ17)=0,"",SUM(RZ15:RZ17)/COUNT(RZ15:RZ17))</f>
        <v/>
      </c>
      <c r="SA14" s="97" t="str">
        <f t="shared" si="115"/>
        <v/>
      </c>
      <c r="SB14" s="250"/>
      <c r="SC14" s="250"/>
      <c r="SD14" s="251"/>
      <c r="SE14" s="93" t="str">
        <f>IF(COUNT(SE15:SE17)=0,"",SUM(SE15:SE17)/COUNT(SE15:SE17))</f>
        <v/>
      </c>
      <c r="SF14" s="94" t="str">
        <f t="shared" si="116"/>
        <v/>
      </c>
      <c r="SG14" s="252"/>
      <c r="SH14" s="250"/>
      <c r="SI14" s="251"/>
      <c r="SJ14" s="93" t="str">
        <f>IF(COUNT(SJ15:SJ17)=0,"",SUM(SJ15:SJ17)/COUNT(SJ15:SJ17))</f>
        <v/>
      </c>
      <c r="SK14" s="95" t="str">
        <f t="shared" si="117"/>
        <v/>
      </c>
      <c r="SL14" s="247"/>
      <c r="SM14" s="245"/>
      <c r="SN14" s="246"/>
      <c r="SO14" s="93" t="str">
        <f>IF(COUNT(SO15:SO17)=0,"",SUM(SO15:SO17)/COUNT(SO15:SO17))</f>
        <v/>
      </c>
      <c r="SP14" s="96" t="str">
        <f t="shared" si="118"/>
        <v/>
      </c>
      <c r="SQ14" s="93" t="str">
        <f>IF(COUNT(SQ15:SQ17)=0,"",SUM(SQ15:SQ17)/COUNT(SQ15:SQ17))</f>
        <v/>
      </c>
      <c r="SR14" s="97" t="str">
        <f t="shared" si="119"/>
        <v/>
      </c>
      <c r="SS14" s="250"/>
      <c r="ST14" s="250"/>
      <c r="SU14" s="251"/>
      <c r="SV14" s="93" t="str">
        <f>IF(COUNT(SV15:SV17)=0,"",SUM(SV15:SV17)/COUNT(SV15:SV17))</f>
        <v/>
      </c>
      <c r="SW14" s="94" t="str">
        <f t="shared" si="120"/>
        <v/>
      </c>
      <c r="SX14" s="252"/>
      <c r="SY14" s="250"/>
      <c r="SZ14" s="251"/>
      <c r="TA14" s="93" t="str">
        <f>IF(COUNT(TA15:TA17)=0,"",SUM(TA15:TA17)/COUNT(TA15:TA17))</f>
        <v/>
      </c>
      <c r="TB14" s="95" t="str">
        <f t="shared" si="121"/>
        <v/>
      </c>
      <c r="TC14" s="247"/>
      <c r="TD14" s="245"/>
      <c r="TE14" s="246"/>
      <c r="TF14" s="93" t="str">
        <f>IF(COUNT(TF15:TF17)=0,"",SUM(TF15:TF17)/COUNT(TF15:TF17))</f>
        <v/>
      </c>
      <c r="TG14" s="96" t="str">
        <f t="shared" si="122"/>
        <v/>
      </c>
      <c r="TH14" s="93" t="str">
        <f>IF(COUNT(TH15:TH17)=0,"",SUM(TH15:TH17)/COUNT(TH15:TH17))</f>
        <v/>
      </c>
      <c r="TI14" s="97" t="str">
        <f t="shared" si="123"/>
        <v/>
      </c>
      <c r="TJ14" s="250"/>
      <c r="TK14" s="250"/>
      <c r="TL14" s="251"/>
      <c r="TM14" s="93" t="str">
        <f>IF(COUNT(TM15:TM17)=0,"",SUM(TM15:TM17)/COUNT(TM15:TM17))</f>
        <v/>
      </c>
      <c r="TN14" s="94" t="str">
        <f t="shared" si="124"/>
        <v/>
      </c>
      <c r="TO14" s="252"/>
      <c r="TP14" s="250"/>
      <c r="TQ14" s="251"/>
      <c r="TR14" s="93" t="str">
        <f>IF(COUNT(TR15:TR17)=0,"",SUM(TR15:TR17)/COUNT(TR15:TR17))</f>
        <v/>
      </c>
      <c r="TS14" s="95" t="str">
        <f t="shared" si="125"/>
        <v/>
      </c>
      <c r="TT14" s="247"/>
      <c r="TU14" s="245"/>
      <c r="TV14" s="246"/>
      <c r="TW14" s="93" t="str">
        <f>IF(COUNT(TW15:TW17)=0,"",SUM(TW15:TW17)/COUNT(TW15:TW17))</f>
        <v/>
      </c>
      <c r="TX14" s="96" t="str">
        <f t="shared" si="126"/>
        <v/>
      </c>
      <c r="TY14" s="93" t="str">
        <f>IF(COUNT(TY15:TY17)=0,"",SUM(TY15:TY17)/COUNT(TY15:TY17))</f>
        <v/>
      </c>
      <c r="TZ14" s="97" t="str">
        <f t="shared" si="127"/>
        <v/>
      </c>
    </row>
    <row r="15" spans="1:546" ht="15" customHeight="1" x14ac:dyDescent="0.25">
      <c r="A15" s="240" t="s">
        <v>18</v>
      </c>
      <c r="B15" s="241"/>
      <c r="C15" s="99" t="s">
        <v>25</v>
      </c>
      <c r="D15" s="100"/>
      <c r="E15" s="101" t="s">
        <v>25</v>
      </c>
      <c r="F15" s="183">
        <f>IFERROR((((COUNTIF('Elève (6ème4)'!C15:E15,"A"))*4)+((COUNTIF('Elève (6ème4)'!C15:E15,"B"))*3)+((COUNTIF('Elève (6ème4)'!C15:E15,"C"))*2)+((COUNTIF('Elève (6ème4)'!C15:E15,"D"))*1))/(COUNTA(C15:E15)),"")</f>
        <v>2</v>
      </c>
      <c r="G15" s="184" t="str">
        <f t="shared" si="0"/>
        <v>C</v>
      </c>
      <c r="H15" s="99"/>
      <c r="I15" s="100"/>
      <c r="J15" s="101"/>
      <c r="K15" s="183" t="str">
        <f>IFERROR((((COUNTIF('Elève (6ème4)'!H15:J15,"A"))*4)+((COUNTIF('Elève (6ème4)'!H15:J15,"B"))*3)+((COUNTIF('Elève (6ème4)'!H15:J15,"C"))*2)+((COUNTIF('Elève (6ème4)'!H15:J15,"D"))*1))/(COUNTA(H15:J15)),"")</f>
        <v/>
      </c>
      <c r="L15" s="184" t="str">
        <f t="shared" si="1"/>
        <v/>
      </c>
      <c r="M15" s="99" t="s">
        <v>23</v>
      </c>
      <c r="N15" s="100" t="s">
        <v>26</v>
      </c>
      <c r="O15" s="101"/>
      <c r="P15" s="183">
        <f>IFERROR((((COUNTIF('Elève (6ème4)'!M15:O15,"A"))*4)+((COUNTIF('Elève (6ème4)'!M15:O15,"B"))*3)+((COUNTIF('Elève (6ème4)'!M15:O15,"C"))*2)+((COUNTIF('Elève (6ème4)'!M15:O15,"D"))*1))/(COUNTA(M15:O15)),"")</f>
        <v>2.5</v>
      </c>
      <c r="Q15" s="184" t="str">
        <f t="shared" si="2"/>
        <v>C</v>
      </c>
      <c r="R15" s="183">
        <f>IF(COUNT(F15,K15,P15)=0,"",SUM(F15,K15,P15)/COUNT(F15,K15,P15))</f>
        <v>2.25</v>
      </c>
      <c r="S15" s="211" t="str">
        <f t="shared" si="3"/>
        <v>C</v>
      </c>
      <c r="T15" s="105" t="s">
        <v>26</v>
      </c>
      <c r="U15" s="100"/>
      <c r="V15" s="101" t="s">
        <v>24</v>
      </c>
      <c r="W15" s="183">
        <f>IFERROR((((COUNTIF('Elève (6ème4)'!T15:V15,"A"))*4)+((COUNTIF('Elève (6ème4)'!T15:V15,"B"))*3)+((COUNTIF('Elève (6ème4)'!T15:V15,"C"))*2)+((COUNTIF('Elève (6ème4)'!T15:V15,"D"))*1))/(COUNTA(T15:V15)),"")</f>
        <v>2</v>
      </c>
      <c r="X15" s="184" t="str">
        <f t="shared" si="4"/>
        <v>C</v>
      </c>
      <c r="Y15" s="99"/>
      <c r="Z15" s="100"/>
      <c r="AA15" s="101"/>
      <c r="AB15" s="183" t="str">
        <f>IFERROR((((COUNTIF('Elève (6ème4)'!Y15:AA15,"A"))*4)+((COUNTIF('Elève (6ème4)'!Y15:AA15,"B"))*3)+((COUNTIF('Elève (6ème4)'!Y15:AA15,"C"))*2)+((COUNTIF('Elève (6ème4)'!Y15:AA15,"D"))*1))/(COUNTA(Y15:AA15)),"")</f>
        <v/>
      </c>
      <c r="AC15" s="184" t="str">
        <f t="shared" si="5"/>
        <v/>
      </c>
      <c r="AD15" s="99" t="s">
        <v>24</v>
      </c>
      <c r="AE15" s="100" t="s">
        <v>24</v>
      </c>
      <c r="AF15" s="101"/>
      <c r="AG15" s="183">
        <f>IFERROR((((COUNTIF('Elève (6ème4)'!AD15:AF15,"A"))*4)+((COUNTIF('Elève (6ème4)'!AD15:AF15,"B"))*3)+((COUNTIF('Elève (6ème4)'!AD15:AF15,"C"))*2)+((COUNTIF('Elève (6ème4)'!AD15:AF15,"D"))*1))/(COUNTA(AD15:AF15)),"")</f>
        <v>3</v>
      </c>
      <c r="AH15" s="184" t="str">
        <f t="shared" si="6"/>
        <v>B</v>
      </c>
      <c r="AI15" s="183">
        <f>IF(COUNT(W15,AB15,AG15)=0,"",SUM(W15,AB15,AG15)/COUNT(W15,AB15,AG15))</f>
        <v>2.5</v>
      </c>
      <c r="AJ15" s="211" t="str">
        <f t="shared" si="7"/>
        <v>C</v>
      </c>
      <c r="AK15" s="105" t="s">
        <v>25</v>
      </c>
      <c r="AL15" s="100"/>
      <c r="AM15" s="101" t="s">
        <v>24</v>
      </c>
      <c r="AN15" s="183">
        <f>IFERROR((((COUNTIF('Elève (6ème4)'!AK15:AM15,"A"))*4)+((COUNTIF('Elève (6ème4)'!AK15:AM15,"B"))*3)+((COUNTIF('Elève (6ème4)'!AK15:AM15,"C"))*2)+((COUNTIF('Elève (6ème4)'!AK15:AM15,"D"))*1))/(COUNTA(AK15:AM15)),"")</f>
        <v>2.5</v>
      </c>
      <c r="AO15" s="184" t="str">
        <f t="shared" si="8"/>
        <v>C</v>
      </c>
      <c r="AP15" s="99"/>
      <c r="AQ15" s="100"/>
      <c r="AR15" s="101"/>
      <c r="AS15" s="183" t="str">
        <f>IFERROR((((COUNTIF('Elève (6ème4)'!AP15:AR15,"A"))*4)+((COUNTIF('Elève (6ème4)'!AP15:AR15,"B"))*3)+((COUNTIF('Elève (6ème4)'!AP15:AR15,"C"))*2)+((COUNTIF('Elève (6ème4)'!AP15:AR15,"D"))*1))/(COUNTA(AP15:AR15)),"")</f>
        <v/>
      </c>
      <c r="AT15" s="184" t="str">
        <f t="shared" si="9"/>
        <v/>
      </c>
      <c r="AU15" s="99" t="s">
        <v>23</v>
      </c>
      <c r="AV15" s="100" t="s">
        <v>24</v>
      </c>
      <c r="AW15" s="101"/>
      <c r="AX15" s="183">
        <f>IFERROR((((COUNTIF('Elève (6ème4)'!AU15:AW15,"A"))*4)+((COUNTIF('Elève (6ème4)'!AU15:AW15,"B"))*3)+((COUNTIF('Elève (6ème4)'!AU15:AW15,"C"))*2)+((COUNTIF('Elève (6ème4)'!AU15:AW15,"D"))*1))/(COUNTA(AU15:AW15)),"")</f>
        <v>3.5</v>
      </c>
      <c r="AY15" s="184" t="str">
        <f t="shared" si="10"/>
        <v>B</v>
      </c>
      <c r="AZ15" s="183">
        <f>IF(COUNT(AN15,AS15,AX15)=0,"",SUM(AN15,AS15,AX15)/COUNT(AN15,AS15,AX15))</f>
        <v>3</v>
      </c>
      <c r="BA15" s="211" t="str">
        <f t="shared" si="11"/>
        <v>B</v>
      </c>
      <c r="BB15" s="105" t="s">
        <v>25</v>
      </c>
      <c r="BC15" s="100"/>
      <c r="BD15" s="101" t="s">
        <v>24</v>
      </c>
      <c r="BE15" s="183">
        <f>IFERROR((((COUNTIF('Elève (6ème4)'!BB15:BD15,"A"))*4)+((COUNTIF('Elève (6ème4)'!BB15:BD15,"B"))*3)+((COUNTIF('Elève (6ème4)'!BB15:BD15,"C"))*2)+((COUNTIF('Elève (6ème4)'!BB15:BD15,"D"))*1))/(COUNTA(BB15:BD15)),"")</f>
        <v>2.5</v>
      </c>
      <c r="BF15" s="184" t="str">
        <f t="shared" si="12"/>
        <v>C</v>
      </c>
      <c r="BG15" s="99"/>
      <c r="BH15" s="100"/>
      <c r="BI15" s="101"/>
      <c r="BJ15" s="183" t="str">
        <f>IFERROR((((COUNTIF('Elève (6ème4)'!BG15:BI15,"A"))*4)+((COUNTIF('Elève (6ème4)'!BG15:BI15,"B"))*3)+((COUNTIF('Elève (6ème4)'!BG15:BI15,"C"))*2)+((COUNTIF('Elève (6ème4)'!BG15:BI15,"D"))*1))/(COUNTA(BG15:BI15)),"")</f>
        <v/>
      </c>
      <c r="BK15" s="184" t="str">
        <f t="shared" si="13"/>
        <v/>
      </c>
      <c r="BL15" s="99" t="s">
        <v>24</v>
      </c>
      <c r="BM15" s="100" t="s">
        <v>24</v>
      </c>
      <c r="BN15" s="101"/>
      <c r="BO15" s="183">
        <f>IFERROR((((COUNTIF('Elève (6ème4)'!BL15:BN15,"A"))*4)+((COUNTIF('Elève (6ème4)'!BL15:BN15,"B"))*3)+((COUNTIF('Elève (6ème4)'!BL15:BN15,"C"))*2)+((COUNTIF('Elève (6ème4)'!BL15:BN15,"D"))*1))/(COUNTA(BL15:BN15)),"")</f>
        <v>3</v>
      </c>
      <c r="BP15" s="184" t="str">
        <f t="shared" si="14"/>
        <v>B</v>
      </c>
      <c r="BQ15" s="183">
        <f>IF(COUNT(BE15,BJ15,BO15)=0,"",SUM(BE15,BJ15,BO15)/COUNT(BE15,BJ15,BO15))</f>
        <v>2.75</v>
      </c>
      <c r="BR15" s="211" t="str">
        <f t="shared" si="15"/>
        <v>C</v>
      </c>
      <c r="BS15" s="105" t="s">
        <v>25</v>
      </c>
      <c r="BT15" s="100"/>
      <c r="BU15" s="101" t="s">
        <v>24</v>
      </c>
      <c r="BV15" s="183">
        <f>IFERROR((((COUNTIF('Elève (6ème4)'!BS15:BU15,"A"))*4)+((COUNTIF('Elève (6ème4)'!BS15:BU15,"B"))*3)+((COUNTIF('Elève (6ème4)'!BS15:BU15,"C"))*2)+((COUNTIF('Elève (6ème4)'!BS15:BU15,"D"))*1))/(COUNTA(BS15:BU15)),"")</f>
        <v>2.5</v>
      </c>
      <c r="BW15" s="184" t="str">
        <f t="shared" si="16"/>
        <v>C</v>
      </c>
      <c r="BX15" s="99"/>
      <c r="BY15" s="100"/>
      <c r="BZ15" s="101"/>
      <c r="CA15" s="183" t="str">
        <f>IFERROR((((COUNTIF('Elève (6ème4)'!BX15:BZ15,"A"))*4)+((COUNTIF('Elève (6ème4)'!BX15:BZ15,"B"))*3)+((COUNTIF('Elève (6ème4)'!BX15:BZ15,"C"))*2)+((COUNTIF('Elève (6ème4)'!BX15:BZ15,"D"))*1))/(COUNTA(BX15:BZ15)),"")</f>
        <v/>
      </c>
      <c r="CB15" s="184" t="str">
        <f t="shared" si="17"/>
        <v/>
      </c>
      <c r="CC15" s="99" t="s">
        <v>24</v>
      </c>
      <c r="CD15" s="100" t="s">
        <v>26</v>
      </c>
      <c r="CE15" s="101"/>
      <c r="CF15" s="183">
        <f>IFERROR((((COUNTIF('Elève (6ème4)'!CC15:CE15,"A"))*4)+((COUNTIF('Elève (6ème4)'!CC15:CE15,"B"))*3)+((COUNTIF('Elève (6ème4)'!CC15:CE15,"C"))*2)+((COUNTIF('Elève (6ème4)'!CC15:CE15,"D"))*1))/(COUNTA(CC15:CE15)),"")</f>
        <v>2</v>
      </c>
      <c r="CG15" s="184" t="str">
        <f t="shared" si="18"/>
        <v>C</v>
      </c>
      <c r="CH15" s="183">
        <f>IF(COUNT(BV15,CA15,CF15)=0,"",SUM(BV15,CA15,CF15)/COUNT(BV15,CA15,CF15))</f>
        <v>2.25</v>
      </c>
      <c r="CI15" s="211" t="str">
        <f t="shared" si="19"/>
        <v>C</v>
      </c>
      <c r="CJ15" s="105" t="s">
        <v>24</v>
      </c>
      <c r="CK15" s="100"/>
      <c r="CL15" s="101" t="s">
        <v>24</v>
      </c>
      <c r="CM15" s="183">
        <f>IFERROR((((COUNTIF('Elève (6ème4)'!CJ15:CL15,"A"))*4)+((COUNTIF('Elève (6ème4)'!CJ15:CL15,"B"))*3)+((COUNTIF('Elève (6ème4)'!CJ15:CL15,"C"))*2)+((COUNTIF('Elève (6ème4)'!CJ15:CL15,"D"))*1))/(COUNTA(CJ15:CL15)),"")</f>
        <v>3</v>
      </c>
      <c r="CN15" s="184" t="str">
        <f t="shared" si="20"/>
        <v>B</v>
      </c>
      <c r="CO15" s="99"/>
      <c r="CP15" s="100"/>
      <c r="CQ15" s="101"/>
      <c r="CR15" s="183" t="str">
        <f>IFERROR((((COUNTIF('Elève (6ème4)'!CO15:CQ15,"A"))*4)+((COUNTIF('Elève (6ème4)'!CO15:CQ15,"B"))*3)+((COUNTIF('Elève (6ème4)'!CO15:CQ15,"C"))*2)+((COUNTIF('Elève (6ème4)'!CO15:CQ15,"D"))*1))/(COUNTA(CO15:CQ15)),"")</f>
        <v/>
      </c>
      <c r="CS15" s="184" t="str">
        <f t="shared" si="21"/>
        <v/>
      </c>
      <c r="CT15" s="99" t="s">
        <v>23</v>
      </c>
      <c r="CU15" s="100" t="s">
        <v>24</v>
      </c>
      <c r="CV15" s="101"/>
      <c r="CW15" s="183">
        <f>IFERROR((((COUNTIF('Elève (6ème4)'!CT15:CV15,"A"))*4)+((COUNTIF('Elève (6ème4)'!CT15:CV15,"B"))*3)+((COUNTIF('Elève (6ème4)'!CT15:CV15,"C"))*2)+((COUNTIF('Elève (6ème4)'!CT15:CV15,"D"))*1))/(COUNTA(CT15:CV15)),"")</f>
        <v>3.5</v>
      </c>
      <c r="CX15" s="184" t="str">
        <f t="shared" si="22"/>
        <v>B</v>
      </c>
      <c r="CY15" s="183">
        <f>IF(COUNT(CM15,CR15,CW15)=0,"",SUM(CM15,CR15,CW15)/COUNT(CM15,CR15,CW15))</f>
        <v>3.25</v>
      </c>
      <c r="CZ15" s="211" t="str">
        <f t="shared" si="23"/>
        <v>B</v>
      </c>
      <c r="DA15" s="105" t="s">
        <v>25</v>
      </c>
      <c r="DB15" s="100"/>
      <c r="DC15" s="101" t="s">
        <v>25</v>
      </c>
      <c r="DD15" s="183">
        <f>IFERROR((((COUNTIF('Elève (6ème4)'!DA15:DC15,"A"))*4)+((COUNTIF('Elève (6ème4)'!DA15:DC15,"B"))*3)+((COUNTIF('Elève (6ème4)'!DA15:DC15,"C"))*2)+((COUNTIF('Elève (6ème4)'!DA15:DC15,"D"))*1))/(COUNTA(DA15:DC15)),"")</f>
        <v>2</v>
      </c>
      <c r="DE15" s="184" t="str">
        <f t="shared" si="24"/>
        <v>C</v>
      </c>
      <c r="DF15" s="99"/>
      <c r="DG15" s="100"/>
      <c r="DH15" s="101"/>
      <c r="DI15" s="183" t="str">
        <f>IFERROR((((COUNTIF('Elève (6ème4)'!DF15:DH15,"A"))*4)+((COUNTIF('Elève (6ème4)'!DF15:DH15,"B"))*3)+((COUNTIF('Elève (6ème4)'!DF15:DH15,"C"))*2)+((COUNTIF('Elève (6ème4)'!DF15:DH15,"D"))*1))/(COUNTA(DF15:DH15)),"")</f>
        <v/>
      </c>
      <c r="DJ15" s="184" t="str">
        <f t="shared" si="25"/>
        <v/>
      </c>
      <c r="DK15" s="99" t="s">
        <v>25</v>
      </c>
      <c r="DL15" s="100" t="s">
        <v>26</v>
      </c>
      <c r="DM15" s="101"/>
      <c r="DN15" s="183">
        <f>IFERROR((((COUNTIF('Elève (6ème4)'!DK15:DM15,"A"))*4)+((COUNTIF('Elève (6ème4)'!DK15:DM15,"B"))*3)+((COUNTIF('Elève (6ème4)'!DK15:DM15,"C"))*2)+((COUNTIF('Elève (6ème4)'!DK15:DM15,"D"))*1))/(COUNTA(DK15:DM15)),"")</f>
        <v>1.5</v>
      </c>
      <c r="DO15" s="184" t="str">
        <f t="shared" si="26"/>
        <v>D</v>
      </c>
      <c r="DP15" s="183">
        <f>IF(COUNT(DD15,DI15,DN15)=0,"",SUM(DD15,DI15,DN15)/COUNT(DD15,DI15,DN15))</f>
        <v>1.75</v>
      </c>
      <c r="DQ15" s="211" t="str">
        <f t="shared" si="27"/>
        <v>C</v>
      </c>
      <c r="DR15" s="105" t="s">
        <v>26</v>
      </c>
      <c r="DS15" s="100"/>
      <c r="DT15" s="101" t="s">
        <v>25</v>
      </c>
      <c r="DU15" s="183">
        <f>IFERROR((((COUNTIF('Elève (6ème4)'!DR15:DT15,"A"))*4)+((COUNTIF('Elève (6ème4)'!DR15:DT15,"B"))*3)+((COUNTIF('Elève (6ème4)'!DR15:DT15,"C"))*2)+((COUNTIF('Elève (6ème4)'!DR15:DT15,"D"))*1))/(COUNTA(DR15:DT15)),"")</f>
        <v>1.5</v>
      </c>
      <c r="DV15" s="184" t="str">
        <f t="shared" si="28"/>
        <v>D</v>
      </c>
      <c r="DW15" s="99"/>
      <c r="DX15" s="100"/>
      <c r="DY15" s="101"/>
      <c r="DZ15" s="183" t="str">
        <f>IFERROR((((COUNTIF('Elève (6ème4)'!DW15:DY15,"A"))*4)+((COUNTIF('Elève (6ème4)'!DW15:DY15,"B"))*3)+((COUNTIF('Elève (6ème4)'!DW15:DY15,"C"))*2)+((COUNTIF('Elève (6ème4)'!DW15:DY15,"D"))*1))/(COUNTA(DW15:DY15)),"")</f>
        <v/>
      </c>
      <c r="EA15" s="184" t="str">
        <f t="shared" si="29"/>
        <v/>
      </c>
      <c r="EB15" s="99" t="s">
        <v>24</v>
      </c>
      <c r="EC15" s="100" t="s">
        <v>26</v>
      </c>
      <c r="ED15" s="101"/>
      <c r="EE15" s="183">
        <f>IFERROR((((COUNTIF('Elève (6ème4)'!EB15:ED15,"A"))*4)+((COUNTIF('Elève (6ème4)'!EB15:ED15,"B"))*3)+((COUNTIF('Elève (6ème4)'!EB15:ED15,"C"))*2)+((COUNTIF('Elève (6ème4)'!EB15:ED15,"D"))*1))/(COUNTA(EB15:ED15)),"")</f>
        <v>2</v>
      </c>
      <c r="EF15" s="184" t="str">
        <f t="shared" si="30"/>
        <v>C</v>
      </c>
      <c r="EG15" s="183">
        <f>IF(COUNT(DU15,DZ15,EE15)=0,"",SUM(DU15,DZ15,EE15)/COUNT(DU15,DZ15,EE15))</f>
        <v>1.75</v>
      </c>
      <c r="EH15" s="211" t="str">
        <f t="shared" si="31"/>
        <v>C</v>
      </c>
      <c r="EI15" s="105" t="s">
        <v>26</v>
      </c>
      <c r="EJ15" s="100"/>
      <c r="EK15" s="101" t="s">
        <v>24</v>
      </c>
      <c r="EL15" s="183">
        <f>IFERROR((((COUNTIF('Elève (6ème4)'!EI15:EK15,"A"))*4)+((COUNTIF('Elève (6ème4)'!EI15:EK15,"B"))*3)+((COUNTIF('Elève (6ème4)'!EI15:EK15,"C"))*2)+((COUNTIF('Elève (6ème4)'!EI15:EK15,"D"))*1))/(COUNTA(EI15:EK15)),"")</f>
        <v>2</v>
      </c>
      <c r="EM15" s="184" t="str">
        <f t="shared" si="32"/>
        <v>C</v>
      </c>
      <c r="EN15" s="99"/>
      <c r="EO15" s="100"/>
      <c r="EP15" s="101"/>
      <c r="EQ15" s="183" t="str">
        <f>IFERROR((((COUNTIF('Elève (6ème4)'!EN15:EP15,"A"))*4)+((COUNTIF('Elève (6ème4)'!EN15:EP15,"B"))*3)+((COUNTIF('Elève (6ème4)'!EN15:EP15,"C"))*2)+((COUNTIF('Elève (6ème4)'!EN15:EP15,"D"))*1))/(COUNTA(EN15:EP15)),"")</f>
        <v/>
      </c>
      <c r="ER15" s="184" t="str">
        <f t="shared" si="33"/>
        <v/>
      </c>
      <c r="ES15" s="99" t="s">
        <v>24</v>
      </c>
      <c r="ET15" s="100" t="s">
        <v>24</v>
      </c>
      <c r="EU15" s="101"/>
      <c r="EV15" s="183">
        <f>IFERROR((((COUNTIF('Elève (6ème4)'!ES15:EU15,"A"))*4)+((COUNTIF('Elève (6ème4)'!ES15:EU15,"B"))*3)+((COUNTIF('Elève (6ème4)'!ES15:EU15,"C"))*2)+((COUNTIF('Elève (6ème4)'!ES15:EU15,"D"))*1))/(COUNTA(ES15:EU15)),"")</f>
        <v>3</v>
      </c>
      <c r="EW15" s="184" t="str">
        <f t="shared" si="34"/>
        <v>B</v>
      </c>
      <c r="EX15" s="183">
        <f>IF(COUNT(EL15,EQ15,EV15)=0,"",SUM(EL15,EQ15,EV15)/COUNT(EL15,EQ15,EV15))</f>
        <v>2.5</v>
      </c>
      <c r="EY15" s="211" t="str">
        <f t="shared" si="35"/>
        <v>C</v>
      </c>
      <c r="EZ15" s="105" t="s">
        <v>26</v>
      </c>
      <c r="FA15" s="100"/>
      <c r="FB15" s="101" t="s">
        <v>24</v>
      </c>
      <c r="FC15" s="183">
        <f>IFERROR((((COUNTIF('Elève (6ème4)'!EZ15:FB15,"A"))*4)+((COUNTIF('Elève (6ème4)'!EZ15:FB15,"B"))*3)+((COUNTIF('Elève (6ème4)'!EZ15:FB15,"C"))*2)+((COUNTIF('Elève (6ème4)'!EZ15:FB15,"D"))*1))/(COUNTA(EZ15:FB15)),"")</f>
        <v>2</v>
      </c>
      <c r="FD15" s="184" t="str">
        <f t="shared" si="36"/>
        <v>C</v>
      </c>
      <c r="FE15" s="99"/>
      <c r="FF15" s="100"/>
      <c r="FG15" s="101"/>
      <c r="FH15" s="183" t="str">
        <f>IFERROR((((COUNTIF('Elève (6ème4)'!FE15:FG15,"A"))*4)+((COUNTIF('Elève (6ème4)'!FE15:FG15,"B"))*3)+((COUNTIF('Elève (6ème4)'!FE15:FG15,"C"))*2)+((COUNTIF('Elève (6ème4)'!FE15:FG15,"D"))*1))/(COUNTA(FE15:FG15)),"")</f>
        <v/>
      </c>
      <c r="FI15" s="184" t="str">
        <f t="shared" si="37"/>
        <v/>
      </c>
      <c r="FJ15" s="99" t="s">
        <v>23</v>
      </c>
      <c r="FK15" s="100" t="s">
        <v>26</v>
      </c>
      <c r="FL15" s="101"/>
      <c r="FM15" s="183">
        <f>IFERROR((((COUNTIF('Elève (6ème4)'!FJ15:FL15,"A"))*4)+((COUNTIF('Elève (6ème4)'!FJ15:FL15,"B"))*3)+((COUNTIF('Elève (6ème4)'!FJ15:FL15,"C"))*2)+((COUNTIF('Elève (6ème4)'!FJ15:FL15,"D"))*1))/(COUNTA(FJ15:FL15)),"")</f>
        <v>2.5</v>
      </c>
      <c r="FN15" s="184" t="str">
        <f t="shared" si="38"/>
        <v>C</v>
      </c>
      <c r="FO15" s="183">
        <f>IF(COUNT(FC15,FH15,FM15)=0,"",SUM(FC15,FH15,FM15)/COUNT(FC15,FH15,FM15))</f>
        <v>2.25</v>
      </c>
      <c r="FP15" s="211" t="str">
        <f t="shared" si="39"/>
        <v>C</v>
      </c>
      <c r="FQ15" s="105" t="s">
        <v>25</v>
      </c>
      <c r="FR15" s="100"/>
      <c r="FS15" s="101"/>
      <c r="FT15" s="183">
        <f>IFERROR((((COUNTIF('Elève (6ème4)'!FQ15:FS15,"A"))*4)+((COUNTIF('Elève (6ème4)'!FQ15:FS15,"B"))*3)+((COUNTIF('Elève (6ème4)'!FQ15:FS15,"C"))*2)+((COUNTIF('Elève (6ème4)'!FQ15:FS15,"D"))*1))/(COUNTA(FQ15:FS15)),"")</f>
        <v>2</v>
      </c>
      <c r="FU15" s="184" t="str">
        <f t="shared" si="40"/>
        <v>C</v>
      </c>
      <c r="FV15" s="99"/>
      <c r="FW15" s="100"/>
      <c r="FX15" s="101"/>
      <c r="FY15" s="183" t="str">
        <f>IFERROR((((COUNTIF('Elève (6ème4)'!FV15:FX15,"A"))*4)+((COUNTIF('Elève (6ème4)'!FV15:FX15,"B"))*3)+((COUNTIF('Elève (6ème4)'!FV15:FX15,"C"))*2)+((COUNTIF('Elève (6ème4)'!FV15:FX15,"D"))*1))/(COUNTA(FV15:FX15)),"")</f>
        <v/>
      </c>
      <c r="FZ15" s="184" t="str">
        <f t="shared" si="41"/>
        <v/>
      </c>
      <c r="GA15" s="99" t="s">
        <v>24</v>
      </c>
      <c r="GB15" s="100" t="s">
        <v>24</v>
      </c>
      <c r="GC15" s="101"/>
      <c r="GD15" s="183">
        <f>IFERROR((((COUNTIF('Elève (6ème4)'!GA15:GC15,"A"))*4)+((COUNTIF('Elève (6ème4)'!GA15:GC15,"B"))*3)+((COUNTIF('Elève (6ème4)'!GA15:GC15,"C"))*2)+((COUNTIF('Elève (6ème4)'!GA15:GC15,"D"))*1))/(COUNTA(GA15:GC15)),"")</f>
        <v>3</v>
      </c>
      <c r="GE15" s="184" t="str">
        <f t="shared" si="42"/>
        <v>B</v>
      </c>
      <c r="GF15" s="183">
        <f>IF(COUNT(FT15,FY15,GD15)=0,"",SUM(FT15,FY15,GD15)/COUNT(FT15,FY15,GD15))</f>
        <v>2.5</v>
      </c>
      <c r="GG15" s="211" t="str">
        <f t="shared" si="43"/>
        <v>C</v>
      </c>
      <c r="GH15" s="105" t="s">
        <v>25</v>
      </c>
      <c r="GI15" s="100"/>
      <c r="GJ15" s="101" t="s">
        <v>24</v>
      </c>
      <c r="GK15" s="183">
        <f>IFERROR((((COUNTIF('Elève (6ème4)'!GH15:GJ15,"A"))*4)+((COUNTIF('Elève (6ème4)'!GH15:GJ15,"B"))*3)+((COUNTIF('Elève (6ème4)'!GH15:GJ15,"C"))*2)+((COUNTIF('Elève (6ème4)'!GH15:GJ15,"D"))*1))/(COUNTA(GH15:GJ15)),"")</f>
        <v>2.5</v>
      </c>
      <c r="GL15" s="184" t="str">
        <f t="shared" si="44"/>
        <v>C</v>
      </c>
      <c r="GM15" s="99"/>
      <c r="GN15" s="100"/>
      <c r="GO15" s="101"/>
      <c r="GP15" s="183" t="str">
        <f>IFERROR((((COUNTIF('Elève (6ème4)'!GM15:GO15,"A"))*4)+((COUNTIF('Elève (6ème4)'!GM15:GO15,"B"))*3)+((COUNTIF('Elève (6ème4)'!GM15:GO15,"C"))*2)+((COUNTIF('Elève (6ème4)'!GM15:GO15,"D"))*1))/(COUNTA(GM15:GO15)),"")</f>
        <v/>
      </c>
      <c r="GQ15" s="184" t="str">
        <f t="shared" si="45"/>
        <v/>
      </c>
      <c r="GR15" s="99" t="s">
        <v>24</v>
      </c>
      <c r="GS15" s="100" t="s">
        <v>24</v>
      </c>
      <c r="GT15" s="101"/>
      <c r="GU15" s="183">
        <f>IFERROR((((COUNTIF('Elève (6ème4)'!GR15:GT15,"A"))*4)+((COUNTIF('Elève (6ème4)'!GR15:GT15,"B"))*3)+((COUNTIF('Elève (6ème4)'!GR15:GT15,"C"))*2)+((COUNTIF('Elève (6ème4)'!GR15:GT15,"D"))*1))/(COUNTA(GR15:GT15)),"")</f>
        <v>3</v>
      </c>
      <c r="GV15" s="184" t="str">
        <f t="shared" si="46"/>
        <v>B</v>
      </c>
      <c r="GW15" s="183">
        <f>IF(COUNT(GK15,GP15,GU15)=0,"",SUM(GK15,GP15,GU15)/COUNT(GK15,GP15,GU15))</f>
        <v>2.75</v>
      </c>
      <c r="GX15" s="211" t="str">
        <f t="shared" si="47"/>
        <v>C</v>
      </c>
      <c r="GY15" s="105" t="s">
        <v>26</v>
      </c>
      <c r="GZ15" s="100"/>
      <c r="HA15" s="101" t="s">
        <v>25</v>
      </c>
      <c r="HB15" s="183">
        <f>IFERROR((((COUNTIF('Elève (6ème4)'!GY15:HA15,"A"))*4)+((COUNTIF('Elève (6ème4)'!GY15:HA15,"B"))*3)+((COUNTIF('Elève (6ème4)'!GY15:HA15,"C"))*2)+((COUNTIF('Elève (6ème4)'!GY15:HA15,"D"))*1))/(COUNTA(GY15:HA15)),"")</f>
        <v>1.5</v>
      </c>
      <c r="HC15" s="184" t="str">
        <f t="shared" si="48"/>
        <v>D</v>
      </c>
      <c r="HD15" s="99"/>
      <c r="HE15" s="100"/>
      <c r="HF15" s="101"/>
      <c r="HG15" s="183" t="str">
        <f>IFERROR((((COUNTIF('Elève (6ème4)'!HD15:HF15,"A"))*4)+((COUNTIF('Elève (6ème4)'!HD15:HF15,"B"))*3)+((COUNTIF('Elève (6ème4)'!HD15:HF15,"C"))*2)+((COUNTIF('Elève (6ème4)'!HD15:HF15,"D"))*1))/(COUNTA(HD15:HF15)),"")</f>
        <v/>
      </c>
      <c r="HH15" s="184" t="str">
        <f t="shared" si="49"/>
        <v/>
      </c>
      <c r="HI15" s="99" t="s">
        <v>24</v>
      </c>
      <c r="HJ15" s="100" t="s">
        <v>24</v>
      </c>
      <c r="HK15" s="101"/>
      <c r="HL15" s="183">
        <f>IFERROR((((COUNTIF('Elève (6ème4)'!HI15:HK15,"A"))*4)+((COUNTIF('Elève (6ème4)'!HI15:HK15,"B"))*3)+((COUNTIF('Elève (6ème4)'!HI15:HK15,"C"))*2)+((COUNTIF('Elève (6ème4)'!HI15:HK15,"D"))*1))/(COUNTA(HI15:HK15)),"")</f>
        <v>3</v>
      </c>
      <c r="HM15" s="184" t="str">
        <f t="shared" si="50"/>
        <v>B</v>
      </c>
      <c r="HN15" s="183">
        <f>IF(COUNT(HB15,HG15,HL15)=0,"",SUM(HB15,HG15,HL15)/COUNT(HB15,HG15,HL15))</f>
        <v>2.25</v>
      </c>
      <c r="HO15" s="211" t="str">
        <f t="shared" si="51"/>
        <v>C</v>
      </c>
      <c r="HP15" s="105" t="s">
        <v>26</v>
      </c>
      <c r="HQ15" s="100"/>
      <c r="HR15" s="101" t="s">
        <v>25</v>
      </c>
      <c r="HS15" s="183">
        <f>IFERROR((((COUNTIF('Elève (6ème4)'!HP15:HR15,"A"))*4)+((COUNTIF('Elève (6ème4)'!HP15:HR15,"B"))*3)+((COUNTIF('Elève (6ème4)'!HP15:HR15,"C"))*2)+((COUNTIF('Elève (6ème4)'!HP15:HR15,"D"))*1))/(COUNTA(HP15:HR15)),"")</f>
        <v>1.5</v>
      </c>
      <c r="HT15" s="184" t="str">
        <f t="shared" si="52"/>
        <v>D</v>
      </c>
      <c r="HU15" s="99"/>
      <c r="HV15" s="100"/>
      <c r="HW15" s="101"/>
      <c r="HX15" s="183" t="str">
        <f>IFERROR((((COUNTIF('Elève (6ème4)'!HU15:HW15,"A"))*4)+((COUNTIF('Elève (6ème4)'!HU15:HW15,"B"))*3)+((COUNTIF('Elève (6ème4)'!HU15:HW15,"C"))*2)+((COUNTIF('Elève (6ème4)'!HU15:HW15,"D"))*1))/(COUNTA(HU15:HW15)),"")</f>
        <v/>
      </c>
      <c r="HY15" s="184" t="str">
        <f t="shared" si="53"/>
        <v/>
      </c>
      <c r="HZ15" s="99" t="s">
        <v>25</v>
      </c>
      <c r="IA15" s="100" t="s">
        <v>24</v>
      </c>
      <c r="IB15" s="101"/>
      <c r="IC15" s="183">
        <f>IFERROR((((COUNTIF('Elève (6ème4)'!HZ15:IB15,"A"))*4)+((COUNTIF('Elève (6ème4)'!HZ15:IB15,"B"))*3)+((COUNTIF('Elève (6ème4)'!HZ15:IB15,"C"))*2)+((COUNTIF('Elève (6ème4)'!HZ15:IB15,"D"))*1))/(COUNTA(HZ15:IB15)),"")</f>
        <v>2.5</v>
      </c>
      <c r="ID15" s="184" t="str">
        <f t="shared" si="54"/>
        <v>C</v>
      </c>
      <c r="IE15" s="183">
        <f>IF(COUNT(HS15,HX15,IC15)=0,"",SUM(HS15,HX15,IC15)/COUNT(HS15,HX15,IC15))</f>
        <v>2</v>
      </c>
      <c r="IF15" s="211" t="str">
        <f t="shared" si="55"/>
        <v>C</v>
      </c>
      <c r="IG15" s="105" t="s">
        <v>26</v>
      </c>
      <c r="IH15" s="100"/>
      <c r="II15" s="101" t="s">
        <v>25</v>
      </c>
      <c r="IJ15" s="183">
        <f>IFERROR((((COUNTIF('Elève (6ème4)'!IG15:II15,"A"))*4)+((COUNTIF('Elève (6ème4)'!IG15:II15,"B"))*3)+((COUNTIF('Elève (6ème4)'!IG15:II15,"C"))*2)+((COUNTIF('Elève (6ème4)'!IG15:II15,"D"))*1))/(COUNTA(IG15:II15)),"")</f>
        <v>1.5</v>
      </c>
      <c r="IK15" s="184" t="str">
        <f t="shared" si="56"/>
        <v>D</v>
      </c>
      <c r="IL15" s="99"/>
      <c r="IM15" s="100"/>
      <c r="IN15" s="101"/>
      <c r="IO15" s="183" t="str">
        <f>IFERROR((((COUNTIF('Elève (6ème4)'!IL15:IN15,"A"))*4)+((COUNTIF('Elève (6ème4)'!IL15:IN15,"B"))*3)+((COUNTIF('Elève (6ème4)'!IL15:IN15,"C"))*2)+((COUNTIF('Elève (6ème4)'!IL15:IN15,"D"))*1))/(COUNTA(IL15:IN15)),"")</f>
        <v/>
      </c>
      <c r="IP15" s="184" t="str">
        <f t="shared" si="57"/>
        <v/>
      </c>
      <c r="IQ15" s="99" t="s">
        <v>24</v>
      </c>
      <c r="IR15" s="100" t="s">
        <v>24</v>
      </c>
      <c r="IS15" s="101"/>
      <c r="IT15" s="183">
        <f>IFERROR((((COUNTIF('Elève (6ème4)'!IQ15:IS15,"A"))*4)+((COUNTIF('Elève (6ème4)'!IQ15:IS15,"B"))*3)+((COUNTIF('Elève (6ème4)'!IQ15:IS15,"C"))*2)+((COUNTIF('Elève (6ème4)'!IQ15:IS15,"D"))*1))/(COUNTA(IQ15:IS15)),"")</f>
        <v>3</v>
      </c>
      <c r="IU15" s="184" t="str">
        <f t="shared" si="58"/>
        <v>B</v>
      </c>
      <c r="IV15" s="183">
        <f>IF(COUNT(IJ15,IO15,IT15)=0,"",SUM(IJ15,IO15,IT15)/COUNT(IJ15,IO15,IT15))</f>
        <v>2.25</v>
      </c>
      <c r="IW15" s="211" t="str">
        <f t="shared" si="59"/>
        <v>C</v>
      </c>
      <c r="IX15" s="105" t="s">
        <v>25</v>
      </c>
      <c r="IY15" s="100"/>
      <c r="IZ15" s="101" t="s">
        <v>24</v>
      </c>
      <c r="JA15" s="183">
        <f>IFERROR((((COUNTIF('Elève (6ème4)'!IX15:IZ15,"A"))*4)+((COUNTIF('Elève (6ème4)'!IX15:IZ15,"B"))*3)+((COUNTIF('Elève (6ème4)'!IX15:IZ15,"C"))*2)+((COUNTIF('Elève (6ème4)'!IX15:IZ15,"D"))*1))/(COUNTA(IX15:IZ15)),"")</f>
        <v>2.5</v>
      </c>
      <c r="JB15" s="184" t="str">
        <f t="shared" si="60"/>
        <v>C</v>
      </c>
      <c r="JC15" s="99"/>
      <c r="JD15" s="100"/>
      <c r="JE15" s="101"/>
      <c r="JF15" s="183" t="str">
        <f>IFERROR((((COUNTIF('Elève (6ème4)'!JC15:JE15,"A"))*4)+((COUNTIF('Elève (6ème4)'!JC15:JE15,"B"))*3)+((COUNTIF('Elève (6ème4)'!JC15:JE15,"C"))*2)+((COUNTIF('Elève (6ème4)'!JC15:JE15,"D"))*1))/(COUNTA(JC15:JE15)),"")</f>
        <v/>
      </c>
      <c r="JG15" s="184" t="str">
        <f t="shared" si="61"/>
        <v/>
      </c>
      <c r="JH15" s="99" t="s">
        <v>24</v>
      </c>
      <c r="JI15" s="100" t="s">
        <v>24</v>
      </c>
      <c r="JJ15" s="101"/>
      <c r="JK15" s="183">
        <f>IFERROR((((COUNTIF('Elève (6ème4)'!JH15:JJ15,"A"))*4)+((COUNTIF('Elève (6ème4)'!JH15:JJ15,"B"))*3)+((COUNTIF('Elève (6ème4)'!JH15:JJ15,"C"))*2)+((COUNTIF('Elève (6ème4)'!JH15:JJ15,"D"))*1))/(COUNTA(JH15:JJ15)),"")</f>
        <v>3</v>
      </c>
      <c r="JL15" s="184" t="str">
        <f t="shared" si="62"/>
        <v>B</v>
      </c>
      <c r="JM15" s="183">
        <f>IF(COUNT(JA15,JF15,JK15)=0,"",SUM(JA15,JF15,JK15)/COUNT(JA15,JF15,JK15))</f>
        <v>2.75</v>
      </c>
      <c r="JN15" s="211" t="str">
        <f t="shared" si="63"/>
        <v>C</v>
      </c>
      <c r="JO15" s="105" t="s">
        <v>26</v>
      </c>
      <c r="JP15" s="100"/>
      <c r="JQ15" s="101" t="s">
        <v>25</v>
      </c>
      <c r="JR15" s="183">
        <f>IFERROR((((COUNTIF('Elève (6ème4)'!JO15:JQ15,"A"))*4)+((COUNTIF('Elève (6ème4)'!JO15:JQ15,"B"))*3)+((COUNTIF('Elève (6ème4)'!JO15:JQ15,"C"))*2)+((COUNTIF('Elève (6ème4)'!JO15:JQ15,"D"))*1))/(COUNTA(JO15:JQ15)),"")</f>
        <v>1.5</v>
      </c>
      <c r="JS15" s="184" t="str">
        <f t="shared" si="64"/>
        <v>D</v>
      </c>
      <c r="JT15" s="99"/>
      <c r="JU15" s="100"/>
      <c r="JV15" s="101"/>
      <c r="JW15" s="183" t="str">
        <f>IFERROR((((COUNTIF('Elève (6ème4)'!JT15:JV15,"A"))*4)+((COUNTIF('Elève (6ème4)'!JT15:JV15,"B"))*3)+((COUNTIF('Elève (6ème4)'!JT15:JV15,"C"))*2)+((COUNTIF('Elève (6ème4)'!JT15:JV15,"D"))*1))/(COUNTA(JT15:JV15)),"")</f>
        <v/>
      </c>
      <c r="JX15" s="184" t="str">
        <f t="shared" si="65"/>
        <v/>
      </c>
      <c r="JY15" s="99" t="s">
        <v>25</v>
      </c>
      <c r="JZ15" s="100" t="s">
        <v>24</v>
      </c>
      <c r="KA15" s="101"/>
      <c r="KB15" s="183">
        <f>IFERROR((((COUNTIF('Elève (6ème4)'!JY15:KA15,"A"))*4)+((COUNTIF('Elève (6ème4)'!JY15:KA15,"B"))*3)+((COUNTIF('Elève (6ème4)'!JY15:KA15,"C"))*2)+((COUNTIF('Elève (6ème4)'!JY15:KA15,"D"))*1))/(COUNTA(JY15:KA15)),"")</f>
        <v>2.5</v>
      </c>
      <c r="KC15" s="184" t="str">
        <f t="shared" si="66"/>
        <v>C</v>
      </c>
      <c r="KD15" s="183">
        <f>IF(COUNT(JR15,JW15,KB15)=0,"",SUM(JR15,JW15,KB15)/COUNT(JR15,JW15,KB15))</f>
        <v>2</v>
      </c>
      <c r="KE15" s="211" t="str">
        <f t="shared" si="67"/>
        <v>C</v>
      </c>
      <c r="KF15" s="105" t="s">
        <v>25</v>
      </c>
      <c r="KG15" s="100"/>
      <c r="KH15" s="101" t="s">
        <v>25</v>
      </c>
      <c r="KI15" s="183">
        <f>IFERROR((((COUNTIF('Elève (6ème4)'!KF15:KH15,"A"))*4)+((COUNTIF('Elève (6ème4)'!KF15:KH15,"B"))*3)+((COUNTIF('Elève (6ème4)'!KF15:KH15,"C"))*2)+((COUNTIF('Elève (6ème4)'!KF15:KH15,"D"))*1))/(COUNTA(KF15:KH15)),"")</f>
        <v>2</v>
      </c>
      <c r="KJ15" s="184" t="str">
        <f t="shared" si="68"/>
        <v>C</v>
      </c>
      <c r="KK15" s="99"/>
      <c r="KL15" s="100"/>
      <c r="KM15" s="101"/>
      <c r="KN15" s="183" t="str">
        <f>IFERROR((((COUNTIF('Elève (6ème4)'!KK15:KM15,"A"))*4)+((COUNTIF('Elève (6ème4)'!KK15:KM15,"B"))*3)+((COUNTIF('Elève (6ème4)'!KK15:KM15,"C"))*2)+((COUNTIF('Elève (6ème4)'!KK15:KM15,"D"))*1))/(COUNTA(KK15:KM15)),"")</f>
        <v/>
      </c>
      <c r="KO15" s="184" t="str">
        <f t="shared" si="69"/>
        <v/>
      </c>
      <c r="KP15" s="99" t="s">
        <v>24</v>
      </c>
      <c r="KQ15" s="100" t="s">
        <v>25</v>
      </c>
      <c r="KR15" s="101"/>
      <c r="KS15" s="183">
        <f>IFERROR((((COUNTIF('Elève (6ème4)'!KP15:KR15,"A"))*4)+((COUNTIF('Elève (6ème4)'!KP15:KR15,"B"))*3)+((COUNTIF('Elève (6ème4)'!KP15:KR15,"C"))*2)+((COUNTIF('Elève (6ème4)'!KP15:KR15,"D"))*1))/(COUNTA(KP15:KR15)),"")</f>
        <v>2.5</v>
      </c>
      <c r="KT15" s="184" t="str">
        <f t="shared" si="70"/>
        <v>C</v>
      </c>
      <c r="KU15" s="183">
        <f>IF(COUNT(KI15,KN15,KS15)=0,"",SUM(KI15,KN15,KS15)/COUNT(KI15,KN15,KS15))</f>
        <v>2.25</v>
      </c>
      <c r="KV15" s="211" t="str">
        <f t="shared" si="71"/>
        <v>C</v>
      </c>
      <c r="KW15" s="105" t="s">
        <v>24</v>
      </c>
      <c r="KX15" s="100"/>
      <c r="KY15" s="101" t="s">
        <v>24</v>
      </c>
      <c r="KZ15" s="183">
        <f>IFERROR((((COUNTIF('Elève (6ème4)'!KW15:KY15,"A"))*4)+((COUNTIF('Elève (6ème4)'!KW15:KY15,"B"))*3)+((COUNTIF('Elève (6ème4)'!KW15:KY15,"C"))*2)+((COUNTIF('Elève (6ème4)'!KW15:KY15,"D"))*1))/(COUNTA(KW15:KY15)),"")</f>
        <v>3</v>
      </c>
      <c r="LA15" s="184" t="str">
        <f t="shared" si="72"/>
        <v>B</v>
      </c>
      <c r="LB15" s="99"/>
      <c r="LC15" s="100"/>
      <c r="LD15" s="101"/>
      <c r="LE15" s="183" t="str">
        <f>IFERROR((((COUNTIF('Elève (6ème4)'!LB15:LD15,"A"))*4)+((COUNTIF('Elève (6ème4)'!LB15:LD15,"B"))*3)+((COUNTIF('Elève (6ème4)'!LB15:LD15,"C"))*2)+((COUNTIF('Elève (6ème4)'!LB15:LD15,"D"))*1))/(COUNTA(LB15:LD15)),"")</f>
        <v/>
      </c>
      <c r="LF15" s="184" t="str">
        <f t="shared" si="73"/>
        <v/>
      </c>
      <c r="LG15" s="99" t="s">
        <v>24</v>
      </c>
      <c r="LH15" s="100" t="s">
        <v>24</v>
      </c>
      <c r="LI15" s="101"/>
      <c r="LJ15" s="183">
        <f>IFERROR((((COUNTIF('Elève (6ème4)'!LG15:LI15,"A"))*4)+((COUNTIF('Elève (6ème4)'!LG15:LI15,"B"))*3)+((COUNTIF('Elève (6ème4)'!LG15:LI15,"C"))*2)+((COUNTIF('Elève (6ème4)'!LG15:LI15,"D"))*1))/(COUNTA(LG15:LI15)),"")</f>
        <v>3</v>
      </c>
      <c r="LK15" s="184" t="str">
        <f t="shared" si="74"/>
        <v>B</v>
      </c>
      <c r="LL15" s="183">
        <f>IF(COUNT(KZ15,LE15,LJ15)=0,"",SUM(KZ15,LE15,LJ15)/COUNT(KZ15,LE15,LJ15))</f>
        <v>3</v>
      </c>
      <c r="LM15" s="211" t="str">
        <f t="shared" si="75"/>
        <v>B</v>
      </c>
      <c r="LN15" s="105" t="s">
        <v>26</v>
      </c>
      <c r="LO15" s="100"/>
      <c r="LP15" s="101" t="s">
        <v>25</v>
      </c>
      <c r="LQ15" s="183">
        <f>IFERROR((((COUNTIF('Elève (6ème4)'!LN15:LP15,"A"))*4)+((COUNTIF('Elève (6ème4)'!LN15:LP15,"B"))*3)+((COUNTIF('Elève (6ème4)'!LN15:LP15,"C"))*2)+((COUNTIF('Elève (6ème4)'!LN15:LP15,"D"))*1))/(COUNTA(LN15:LP15)),"")</f>
        <v>1.5</v>
      </c>
      <c r="LR15" s="184" t="str">
        <f t="shared" si="76"/>
        <v>D</v>
      </c>
      <c r="LS15" s="99"/>
      <c r="LT15" s="100"/>
      <c r="LU15" s="101"/>
      <c r="LV15" s="183" t="str">
        <f>IFERROR((((COUNTIF('Elève (6ème4)'!LS15:LU15,"A"))*4)+((COUNTIF('Elève (6ème4)'!LS15:LU15,"B"))*3)+((COUNTIF('Elève (6ème4)'!LS15:LU15,"C"))*2)+((COUNTIF('Elève (6ème4)'!LS15:LU15,"D"))*1))/(COUNTA(LS15:LU15)),"")</f>
        <v/>
      </c>
      <c r="LW15" s="184" t="str">
        <f t="shared" si="77"/>
        <v/>
      </c>
      <c r="LX15" s="99" t="s">
        <v>23</v>
      </c>
      <c r="LY15" s="100" t="s">
        <v>24</v>
      </c>
      <c r="LZ15" s="101"/>
      <c r="MA15" s="183">
        <f>IFERROR((((COUNTIF('Elève (6ème4)'!LX15:LZ15,"A"))*4)+((COUNTIF('Elève (6ème4)'!LX15:LZ15,"B"))*3)+((COUNTIF('Elève (6ème4)'!LX15:LZ15,"C"))*2)+((COUNTIF('Elève (6ème4)'!LX15:LZ15,"D"))*1))/(COUNTA(LX15:LZ15)),"")</f>
        <v>3.5</v>
      </c>
      <c r="MB15" s="184" t="str">
        <f t="shared" si="78"/>
        <v>B</v>
      </c>
      <c r="MC15" s="183">
        <f>IF(COUNT(LQ15,LV15,MA15)=0,"",SUM(LQ15,LV15,MA15)/COUNT(LQ15,LV15,MA15))</f>
        <v>2.5</v>
      </c>
      <c r="MD15" s="211" t="str">
        <f t="shared" si="79"/>
        <v>C</v>
      </c>
      <c r="ME15" s="105" t="s">
        <v>26</v>
      </c>
      <c r="MF15" s="100"/>
      <c r="MG15" s="101" t="s">
        <v>24</v>
      </c>
      <c r="MH15" s="183">
        <f>IFERROR((((COUNTIF('Elève (6ème4)'!ME15:MG15,"A"))*4)+((COUNTIF('Elève (6ème4)'!ME15:MG15,"B"))*3)+((COUNTIF('Elève (6ème4)'!ME15:MG15,"C"))*2)+((COUNTIF('Elève (6ème4)'!ME15:MG15,"D"))*1))/(COUNTA(ME15:MG15)),"")</f>
        <v>2</v>
      </c>
      <c r="MI15" s="184" t="str">
        <f t="shared" si="80"/>
        <v>C</v>
      </c>
      <c r="MJ15" s="99"/>
      <c r="MK15" s="100"/>
      <c r="ML15" s="101"/>
      <c r="MM15" s="183" t="str">
        <f>IFERROR((((COUNTIF('Elève (6ème4)'!MJ15:ML15,"A"))*4)+((COUNTIF('Elève (6ème4)'!MJ15:ML15,"B"))*3)+((COUNTIF('Elève (6ème4)'!MJ15:ML15,"C"))*2)+((COUNTIF('Elève (6ème4)'!MJ15:ML15,"D"))*1))/(COUNTA(MJ15:ML15)),"")</f>
        <v/>
      </c>
      <c r="MN15" s="184" t="str">
        <f t="shared" si="81"/>
        <v/>
      </c>
      <c r="MO15" s="99" t="s">
        <v>24</v>
      </c>
      <c r="MP15" s="100" t="s">
        <v>24</v>
      </c>
      <c r="MQ15" s="101"/>
      <c r="MR15" s="183">
        <f>IFERROR((((COUNTIF('Elève (6ème4)'!MO15:MQ15,"A"))*4)+((COUNTIF('Elève (6ème4)'!MO15:MQ15,"B"))*3)+((COUNTIF('Elève (6ème4)'!MO15:MQ15,"C"))*2)+((COUNTIF('Elève (6ème4)'!MO15:MQ15,"D"))*1))/(COUNTA(MO15:MQ15)),"")</f>
        <v>3</v>
      </c>
      <c r="MS15" s="184" t="str">
        <f t="shared" si="82"/>
        <v>B</v>
      </c>
      <c r="MT15" s="183">
        <f>IF(COUNT(MH15,MM15,MR15)=0,"",SUM(MH15,MM15,MR15)/COUNT(MH15,MM15,MR15))</f>
        <v>2.5</v>
      </c>
      <c r="MU15" s="211" t="str">
        <f t="shared" si="83"/>
        <v>C</v>
      </c>
      <c r="MV15" s="105" t="s">
        <v>26</v>
      </c>
      <c r="MW15" s="100"/>
      <c r="MX15" s="101" t="s">
        <v>25</v>
      </c>
      <c r="MY15" s="183">
        <f>IFERROR((((COUNTIF('Elève (6ème4)'!MV15:MX15,"A"))*4)+((COUNTIF('Elève (6ème4)'!MV15:MX15,"B"))*3)+((COUNTIF('Elève (6ème4)'!MV15:MX15,"C"))*2)+((COUNTIF('Elève (6ème4)'!MV15:MX15,"D"))*1))/(COUNTA(MV15:MX15)),"")</f>
        <v>1.5</v>
      </c>
      <c r="MZ15" s="184" t="str">
        <f t="shared" si="84"/>
        <v>D</v>
      </c>
      <c r="NA15" s="99"/>
      <c r="NB15" s="100"/>
      <c r="NC15" s="101"/>
      <c r="ND15" s="183" t="str">
        <f>IFERROR((((COUNTIF('Elève (6ème4)'!NA15:NC15,"A"))*4)+((COUNTIF('Elève (6ème4)'!NA15:NC15,"B"))*3)+((COUNTIF('Elève (6ème4)'!NA15:NC15,"C"))*2)+((COUNTIF('Elève (6ème4)'!NA15:NC15,"D"))*1))/(COUNTA(NA15:NC15)),"")</f>
        <v/>
      </c>
      <c r="NE15" s="184" t="str">
        <f t="shared" si="85"/>
        <v/>
      </c>
      <c r="NF15" s="99" t="s">
        <v>24</v>
      </c>
      <c r="NG15" s="100" t="s">
        <v>24</v>
      </c>
      <c r="NH15" s="101"/>
      <c r="NI15" s="183">
        <f>IFERROR((((COUNTIF('Elève (6ème4)'!NF15:NH15,"A"))*4)+((COUNTIF('Elève (6ème4)'!NF15:NH15,"B"))*3)+((COUNTIF('Elève (6ème4)'!NF15:NH15,"C"))*2)+((COUNTIF('Elève (6ème4)'!NF15:NH15,"D"))*1))/(COUNTA(NF15:NH15)),"")</f>
        <v>3</v>
      </c>
      <c r="NJ15" s="184" t="str">
        <f t="shared" si="86"/>
        <v>B</v>
      </c>
      <c r="NK15" s="183">
        <f>IF(COUNT(MY15,ND15,NI15)=0,"",SUM(MY15,ND15,NI15)/COUNT(MY15,ND15,NI15))</f>
        <v>2.25</v>
      </c>
      <c r="NL15" s="211" t="str">
        <f t="shared" si="87"/>
        <v>C</v>
      </c>
      <c r="NM15" s="105" t="s">
        <v>25</v>
      </c>
      <c r="NN15" s="100"/>
      <c r="NO15" s="101" t="s">
        <v>24</v>
      </c>
      <c r="NP15" s="183">
        <f>IFERROR((((COUNTIF('Elève (6ème4)'!NM15:NO15,"A"))*4)+((COUNTIF('Elève (6ème4)'!NM15:NO15,"B"))*3)+((COUNTIF('Elève (6ème4)'!NM15:NO15,"C"))*2)+((COUNTIF('Elève (6ème4)'!NM15:NO15,"D"))*1))/(COUNTA(NM15:NO15)),"")</f>
        <v>2.5</v>
      </c>
      <c r="NQ15" s="184" t="str">
        <f t="shared" si="88"/>
        <v>C</v>
      </c>
      <c r="NR15" s="99"/>
      <c r="NS15" s="100"/>
      <c r="NT15" s="101"/>
      <c r="NU15" s="183" t="str">
        <f>IFERROR((((COUNTIF('Elève (6ème4)'!NR15:NT15,"A"))*4)+((COUNTIF('Elève (6ème4)'!NR15:NT15,"B"))*3)+((COUNTIF('Elève (6ème4)'!NR15:NT15,"C"))*2)+((COUNTIF('Elève (6ème4)'!NR15:NT15,"D"))*1))/(COUNTA(NR15:NT15)),"")</f>
        <v/>
      </c>
      <c r="NV15" s="184" t="str">
        <f t="shared" si="89"/>
        <v/>
      </c>
      <c r="NW15" s="99" t="s">
        <v>25</v>
      </c>
      <c r="NX15" s="100" t="s">
        <v>26</v>
      </c>
      <c r="NY15" s="101"/>
      <c r="NZ15" s="183">
        <f>IFERROR((((COUNTIF('Elève (6ème4)'!NW15:NY15,"A"))*4)+((COUNTIF('Elève (6ème4)'!NW15:NY15,"B"))*3)+((COUNTIF('Elève (6ème4)'!NW15:NY15,"C"))*2)+((COUNTIF('Elève (6ème4)'!NW15:NY15,"D"))*1))/(COUNTA(NW15:NY15)),"")</f>
        <v>1.5</v>
      </c>
      <c r="OA15" s="184" t="str">
        <f t="shared" si="90"/>
        <v>D</v>
      </c>
      <c r="OB15" s="183">
        <f>IF(COUNT(NP15,NU15,NZ15)=0,"",SUM(NP15,NU15,NZ15)/COUNT(NP15,NU15,NZ15))</f>
        <v>2</v>
      </c>
      <c r="OC15" s="211" t="str">
        <f t="shared" si="91"/>
        <v>C</v>
      </c>
      <c r="OD15" s="105" t="s">
        <v>25</v>
      </c>
      <c r="OE15" s="100"/>
      <c r="OF15" s="101" t="s">
        <v>25</v>
      </c>
      <c r="OG15" s="183">
        <f>IFERROR((((COUNTIF('Elève (6ème4)'!OD15:OF15,"A"))*4)+((COUNTIF('Elève (6ème4)'!OD15:OF15,"B"))*3)+((COUNTIF('Elève (6ème4)'!OD15:OF15,"C"))*2)+((COUNTIF('Elève (6ème4)'!OD15:OF15,"D"))*1))/(COUNTA(OD15:OF15)),"")</f>
        <v>2</v>
      </c>
      <c r="OH15" s="184" t="str">
        <f t="shared" si="92"/>
        <v>C</v>
      </c>
      <c r="OI15" s="99"/>
      <c r="OJ15" s="100"/>
      <c r="OK15" s="101"/>
      <c r="OL15" s="183" t="str">
        <f>IFERROR((((COUNTIF('Elève (6ème4)'!OI15:OK15,"A"))*4)+((COUNTIF('Elève (6ème4)'!OI15:OK15,"B"))*3)+((COUNTIF('Elève (6ème4)'!OI15:OK15,"C"))*2)+((COUNTIF('Elève (6ème4)'!OI15:OK15,"D"))*1))/(COUNTA(OI15:OK15)),"")</f>
        <v/>
      </c>
      <c r="OM15" s="184" t="str">
        <f t="shared" si="93"/>
        <v/>
      </c>
      <c r="ON15" s="99" t="s">
        <v>24</v>
      </c>
      <c r="OO15" s="100" t="s">
        <v>24</v>
      </c>
      <c r="OP15" s="101"/>
      <c r="OQ15" s="183">
        <f>IFERROR((((COUNTIF('Elève (6ème4)'!ON15:OP15,"A"))*4)+((COUNTIF('Elève (6ème4)'!ON15:OP15,"B"))*3)+((COUNTIF('Elève (6ème4)'!ON15:OP15,"C"))*2)+((COUNTIF('Elève (6ème4)'!ON15:OP15,"D"))*1))/(COUNTA(ON15:OP15)),"")</f>
        <v>3</v>
      </c>
      <c r="OR15" s="184" t="str">
        <f t="shared" si="94"/>
        <v>B</v>
      </c>
      <c r="OS15" s="183">
        <f>IF(COUNT(OG15,OL15,OQ15)=0,"",SUM(OG15,OL15,OQ15)/COUNT(OG15,OL15,OQ15))</f>
        <v>2.5</v>
      </c>
      <c r="OT15" s="211" t="str">
        <f t="shared" si="95"/>
        <v>C</v>
      </c>
      <c r="OU15" s="105" t="s">
        <v>24</v>
      </c>
      <c r="OV15" s="100"/>
      <c r="OW15" s="101" t="s">
        <v>24</v>
      </c>
      <c r="OX15" s="183">
        <f>IFERROR((((COUNTIF('Elève (6ème4)'!OU15:OW15,"A"))*4)+((COUNTIF('Elève (6ème4)'!OU15:OW15,"B"))*3)+((COUNTIF('Elève (6ème4)'!OU15:OW15,"C"))*2)+((COUNTIF('Elève (6ème4)'!OU15:OW15,"D"))*1))/(COUNTA(OU15:OW15)),"")</f>
        <v>3</v>
      </c>
      <c r="OY15" s="184" t="str">
        <f t="shared" si="96"/>
        <v>B</v>
      </c>
      <c r="OZ15" s="99"/>
      <c r="PA15" s="100"/>
      <c r="PB15" s="101"/>
      <c r="PC15" s="183" t="str">
        <f>IFERROR((((COUNTIF('Elève (6ème4)'!OZ15:PB15,"A"))*4)+((COUNTIF('Elève (6ème4)'!OZ15:PB15,"B"))*3)+((COUNTIF('Elève (6ème4)'!OZ15:PB15,"C"))*2)+((COUNTIF('Elève (6ème4)'!OZ15:PB15,"D"))*1))/(COUNTA(OZ15:PB15)),"")</f>
        <v/>
      </c>
      <c r="PD15" s="184" t="str">
        <f t="shared" si="97"/>
        <v/>
      </c>
      <c r="PE15" s="99" t="s">
        <v>23</v>
      </c>
      <c r="PF15" s="100" t="s">
        <v>26</v>
      </c>
      <c r="PG15" s="101"/>
      <c r="PH15" s="183">
        <f>IFERROR((((COUNTIF('Elève (6ème4)'!PE15:PG15,"A"))*4)+((COUNTIF('Elève (6ème4)'!PE15:PG15,"B"))*3)+((COUNTIF('Elève (6ème4)'!PE15:PG15,"C"))*2)+((COUNTIF('Elève (6ème4)'!PE15:PG15,"D"))*1))/(COUNTA(PE15:PG15)),"")</f>
        <v>2.5</v>
      </c>
      <c r="PI15" s="184" t="str">
        <f t="shared" si="98"/>
        <v>C</v>
      </c>
      <c r="PJ15" s="183">
        <f>IF(COUNT(OX15,PC15,PH15)=0,"",SUM(OX15,PC15,PH15)/COUNT(OX15,PC15,PH15))</f>
        <v>2.75</v>
      </c>
      <c r="PK15" s="211" t="str">
        <f t="shared" si="99"/>
        <v>C</v>
      </c>
      <c r="PL15" s="105" t="s">
        <v>26</v>
      </c>
      <c r="PM15" s="100"/>
      <c r="PN15" s="101"/>
      <c r="PO15" s="183">
        <f>IFERROR((((COUNTIF('Elève (6ème4)'!PL15:PN15,"A"))*4)+((COUNTIF('Elève (6ème4)'!PL15:PN15,"B"))*3)+((COUNTIF('Elève (6ème4)'!PL15:PN15,"C"))*2)+((COUNTIF('Elève (6ème4)'!PL15:PN15,"D"))*1))/(COUNTA(PL15:PN15)),"")</f>
        <v>1</v>
      </c>
      <c r="PP15" s="184" t="str">
        <f t="shared" si="100"/>
        <v>D</v>
      </c>
      <c r="PQ15" s="99"/>
      <c r="PR15" s="100"/>
      <c r="PS15" s="101"/>
      <c r="PT15" s="183" t="str">
        <f>IFERROR((((COUNTIF('Elève (6ème4)'!PQ15:PS15,"A"))*4)+((COUNTIF('Elève (6ème4)'!PQ15:PS15,"B"))*3)+((COUNTIF('Elève (6ème4)'!PQ15:PS15,"C"))*2)+((COUNTIF('Elève (6ème4)'!PQ15:PS15,"D"))*1))/(COUNTA(PQ15:PS15)),"")</f>
        <v/>
      </c>
      <c r="PU15" s="184" t="str">
        <f t="shared" si="101"/>
        <v/>
      </c>
      <c r="PV15" s="99" t="s">
        <v>25</v>
      </c>
      <c r="PW15" s="100"/>
      <c r="PX15" s="101"/>
      <c r="PY15" s="183">
        <f>IFERROR((((COUNTIF('Elève (6ème4)'!PV15:PX15,"A"))*4)+((COUNTIF('Elève (6ème4)'!PV15:PX15,"B"))*3)+((COUNTIF('Elève (6ème4)'!PV15:PX15,"C"))*2)+((COUNTIF('Elève (6ème4)'!PV15:PX15,"D"))*1))/(COUNTA(PV15:PX15)),"")</f>
        <v>2</v>
      </c>
      <c r="PZ15" s="184" t="str">
        <f t="shared" si="102"/>
        <v>C</v>
      </c>
      <c r="QA15" s="183">
        <f>IF(COUNT(PO15,PT15,PY15)=0,"",SUM(PO15,PT15,PY15)/COUNT(PO15,PT15,PY15))</f>
        <v>1.5</v>
      </c>
      <c r="QB15" s="211" t="str">
        <f t="shared" si="103"/>
        <v>D</v>
      </c>
      <c r="QC15" s="105" t="s">
        <v>24</v>
      </c>
      <c r="QD15" s="100"/>
      <c r="QE15" s="101" t="s">
        <v>24</v>
      </c>
      <c r="QF15" s="183">
        <f>IFERROR((((COUNTIF('Elève (6ème4)'!QC15:QE15,"A"))*4)+((COUNTIF('Elève (6ème4)'!QC15:QE15,"B"))*3)+((COUNTIF('Elève (6ème4)'!QC15:QE15,"C"))*2)+((COUNTIF('Elève (6ème4)'!QC15:QE15,"D"))*1))/(COUNTA(QC15:QE15)),"")</f>
        <v>3</v>
      </c>
      <c r="QG15" s="184" t="str">
        <f t="shared" si="104"/>
        <v>B</v>
      </c>
      <c r="QH15" s="99"/>
      <c r="QI15" s="100"/>
      <c r="QJ15" s="101"/>
      <c r="QK15" s="183" t="str">
        <f>IFERROR((((COUNTIF('Elève (6ème4)'!QH15:QJ15,"A"))*4)+((COUNTIF('Elève (6ème4)'!QH15:QJ15,"B"))*3)+((COUNTIF('Elève (6ème4)'!QH15:QJ15,"C"))*2)+((COUNTIF('Elève (6ème4)'!QH15:QJ15,"D"))*1))/(COUNTA(QH15:QJ15)),"")</f>
        <v/>
      </c>
      <c r="QL15" s="184" t="str">
        <f t="shared" si="105"/>
        <v/>
      </c>
      <c r="QM15" s="99" t="s">
        <v>24</v>
      </c>
      <c r="QN15" s="100" t="s">
        <v>24</v>
      </c>
      <c r="QO15" s="101"/>
      <c r="QP15" s="183">
        <f>IFERROR((((COUNTIF('Elève (6ème4)'!QM15:QO15,"A"))*4)+((COUNTIF('Elève (6ème4)'!QM15:QO15,"B"))*3)+((COUNTIF('Elève (6ème4)'!QM15:QO15,"C"))*2)+((COUNTIF('Elève (6ème4)'!QM15:QO15,"D"))*1))/(COUNTA(QM15:QO15)),"")</f>
        <v>3</v>
      </c>
      <c r="QQ15" s="184" t="str">
        <f t="shared" si="106"/>
        <v>B</v>
      </c>
      <c r="QR15" s="183">
        <f>IF(COUNT(QF15,QK15,QP15)=0,"",SUM(QF15,QK15,QP15)/COUNT(QF15,QK15,QP15))</f>
        <v>3</v>
      </c>
      <c r="QS15" s="211" t="str">
        <f t="shared" si="107"/>
        <v>B</v>
      </c>
      <c r="QT15" s="105"/>
      <c r="QU15" s="100"/>
      <c r="QV15" s="101" t="s">
        <v>25</v>
      </c>
      <c r="QW15" s="102">
        <f>IFERROR((((COUNTIF('Elève (6ème4)'!QT15:QV15,"A"))*4)+((COUNTIF('Elève (6ème4)'!QT15:QV15,"B"))*3)+((COUNTIF('Elève (6ème4)'!QT15:QV15,"C"))*2)+((COUNTIF('Elève (6ème4)'!QT15:QV15,"D"))*1))/(COUNTA(QT15:QV15)),"")</f>
        <v>2</v>
      </c>
      <c r="QX15" s="103" t="str">
        <f t="shared" si="108"/>
        <v>C</v>
      </c>
      <c r="QY15" s="99"/>
      <c r="QZ15" s="100"/>
      <c r="RA15" s="101"/>
      <c r="RB15" s="102" t="str">
        <f>IFERROR((((COUNTIF('Elève (6ème4)'!QY15:RA15,"A"))*4)+((COUNTIF('Elève (6ème4)'!QY15:RA15,"B"))*3)+((COUNTIF('Elève (6ème4)'!QY15:RA15,"C"))*2)+((COUNTIF('Elève (6ème4)'!QY15:RA15,"D"))*1))/(COUNTA(QY15:RA15)),"")</f>
        <v/>
      </c>
      <c r="RC15" s="103" t="str">
        <f t="shared" si="109"/>
        <v/>
      </c>
      <c r="RD15" s="99" t="s">
        <v>24</v>
      </c>
      <c r="RE15" s="100" t="s">
        <v>24</v>
      </c>
      <c r="RF15" s="101"/>
      <c r="RG15" s="102">
        <f>IFERROR((((COUNTIF('Elève (6ème4)'!RD15:RF15,"A"))*4)+((COUNTIF('Elève (6ème4)'!RD15:RF15,"B"))*3)+((COUNTIF('Elève (6ème4)'!RD15:RF15,"C"))*2)+((COUNTIF('Elève (6ème4)'!RD15:RF15,"D"))*1))/(COUNTA(RD15:RF15)),"")</f>
        <v>3</v>
      </c>
      <c r="RH15" s="103" t="str">
        <f t="shared" si="110"/>
        <v>B</v>
      </c>
      <c r="RI15" s="102">
        <f>IF(COUNT(QW15,RB15,RG15)=0,"",SUM(QW15,RB15,RG15)/COUNT(QW15,RB15,RG15))</f>
        <v>2.5</v>
      </c>
      <c r="RJ15" s="129" t="str">
        <f t="shared" si="111"/>
        <v>C</v>
      </c>
      <c r="RK15" s="105"/>
      <c r="RL15" s="100"/>
      <c r="RM15" s="101"/>
      <c r="RN15" s="102" t="str">
        <f>IFERROR((((COUNTIF('Elève (6ème4)'!RK15:RM15,"A"))*4)+((COUNTIF('Elève (6ème4)'!RK15:RM15,"B"))*3)+((COUNTIF('Elève (6ème4)'!RK15:RM15,"C"))*2)+((COUNTIF('Elève (6ème4)'!RK15:RM15,"D"))*1))/(COUNTA(RK15:RM15)),"")</f>
        <v/>
      </c>
      <c r="RO15" s="103" t="str">
        <f t="shared" si="112"/>
        <v/>
      </c>
      <c r="RP15" s="99"/>
      <c r="RQ15" s="100"/>
      <c r="RR15" s="101"/>
      <c r="RS15" s="102" t="str">
        <f>IFERROR((((COUNTIF('Elève (6ème4)'!RP15:RR15,"A"))*4)+((COUNTIF('Elève (6ème4)'!RP15:RR15,"B"))*3)+((COUNTIF('Elève (6ème4)'!RP15:RR15,"C"))*2)+((COUNTIF('Elève (6ème4)'!RP15:RR15,"D"))*1))/(COUNTA(RP15:RR15)),"")</f>
        <v/>
      </c>
      <c r="RT15" s="103" t="str">
        <f t="shared" si="113"/>
        <v/>
      </c>
      <c r="RU15" s="99"/>
      <c r="RV15" s="100"/>
      <c r="RW15" s="101"/>
      <c r="RX15" s="102" t="str">
        <f>IFERROR((((COUNTIF('Elève (6ème4)'!RU15:RW15,"A"))*4)+((COUNTIF('Elève (6ème4)'!RU15:RW15,"B"))*3)+((COUNTIF('Elève (6ème4)'!RU15:RW15,"C"))*2)+((COUNTIF('Elève (6ème4)'!RU15:RW15,"D"))*1))/(COUNTA(RU15:RW15)),"")</f>
        <v/>
      </c>
      <c r="RY15" s="103" t="str">
        <f t="shared" si="114"/>
        <v/>
      </c>
      <c r="RZ15" s="102" t="str">
        <f>IF(COUNT(RN15,RS15,RX15)=0,"",SUM(RN15,RS15,RX15)/COUNT(RN15,RS15,RX15))</f>
        <v/>
      </c>
      <c r="SA15" s="129" t="str">
        <f t="shared" si="115"/>
        <v/>
      </c>
      <c r="SB15" s="105"/>
      <c r="SC15" s="100"/>
      <c r="SD15" s="101"/>
      <c r="SE15" s="102" t="str">
        <f>IFERROR((((COUNTIF('Elève (6ème4)'!SB15:SD15,"A"))*4)+((COUNTIF('Elève (6ème4)'!SB15:SD15,"B"))*3)+((COUNTIF('Elève (6ème4)'!SB15:SD15,"C"))*2)+((COUNTIF('Elève (6ème4)'!SB15:SD15,"D"))*1))/(COUNTA(SB15:SD15)),"")</f>
        <v/>
      </c>
      <c r="SF15" s="103" t="str">
        <f t="shared" si="116"/>
        <v/>
      </c>
      <c r="SG15" s="99"/>
      <c r="SH15" s="100"/>
      <c r="SI15" s="101"/>
      <c r="SJ15" s="102" t="str">
        <f>IFERROR((((COUNTIF('Elève (6ème4)'!SG15:SI15,"A"))*4)+((COUNTIF('Elève (6ème4)'!SG15:SI15,"B"))*3)+((COUNTIF('Elève (6ème4)'!SG15:SI15,"C"))*2)+((COUNTIF('Elève (6ème4)'!SG15:SI15,"D"))*1))/(COUNTA(SG15:SI15)),"")</f>
        <v/>
      </c>
      <c r="SK15" s="103" t="str">
        <f t="shared" si="117"/>
        <v/>
      </c>
      <c r="SL15" s="99"/>
      <c r="SM15" s="100"/>
      <c r="SN15" s="101"/>
      <c r="SO15" s="102" t="str">
        <f>IFERROR((((COUNTIF('Elève (6ème4)'!SL15:SN15,"A"))*4)+((COUNTIF('Elève (6ème4)'!SL15:SN15,"B"))*3)+((COUNTIF('Elève (6ème4)'!SL15:SN15,"C"))*2)+((COUNTIF('Elève (6ème4)'!SL15:SN15,"D"))*1))/(COUNTA(SL15:SN15)),"")</f>
        <v/>
      </c>
      <c r="SP15" s="103" t="str">
        <f t="shared" si="118"/>
        <v/>
      </c>
      <c r="SQ15" s="102" t="str">
        <f>IF(COUNT(SE15,SJ15,SO15)=0,"",SUM(SE15,SJ15,SO15)/COUNT(SE15,SJ15,SO15))</f>
        <v/>
      </c>
      <c r="SR15" s="129" t="str">
        <f t="shared" si="119"/>
        <v/>
      </c>
      <c r="SS15" s="105"/>
      <c r="ST15" s="100"/>
      <c r="SU15" s="101"/>
      <c r="SV15" s="102" t="str">
        <f>IFERROR((((COUNTIF('Elève (6ème4)'!SS15:SU15,"A"))*4)+((COUNTIF('Elève (6ème4)'!SS15:SU15,"B"))*3)+((COUNTIF('Elève (6ème4)'!SS15:SU15,"C"))*2)+((COUNTIF('Elève (6ème4)'!SS15:SU15,"D"))*1))/(COUNTA(SS15:SU15)),"")</f>
        <v/>
      </c>
      <c r="SW15" s="103" t="str">
        <f t="shared" si="120"/>
        <v/>
      </c>
      <c r="SX15" s="99"/>
      <c r="SY15" s="100"/>
      <c r="SZ15" s="101"/>
      <c r="TA15" s="102" t="str">
        <f>IFERROR((((COUNTIF('Elève (6ème4)'!SX15:SZ15,"A"))*4)+((COUNTIF('Elève (6ème4)'!SX15:SZ15,"B"))*3)+((COUNTIF('Elève (6ème4)'!SX15:SZ15,"C"))*2)+((COUNTIF('Elève (6ème4)'!SX15:SZ15,"D"))*1))/(COUNTA(SX15:SZ15)),"")</f>
        <v/>
      </c>
      <c r="TB15" s="103" t="str">
        <f t="shared" si="121"/>
        <v/>
      </c>
      <c r="TC15" s="99"/>
      <c r="TD15" s="100"/>
      <c r="TE15" s="101"/>
      <c r="TF15" s="102" t="str">
        <f>IFERROR((((COUNTIF('Elève (6ème4)'!TC15:TE15,"A"))*4)+((COUNTIF('Elève (6ème4)'!TC15:TE15,"B"))*3)+((COUNTIF('Elève (6ème4)'!TC15:TE15,"C"))*2)+((COUNTIF('Elève (6ème4)'!TC15:TE15,"D"))*1))/(COUNTA(TC15:TE15)),"")</f>
        <v/>
      </c>
      <c r="TG15" s="103" t="str">
        <f t="shared" si="122"/>
        <v/>
      </c>
      <c r="TH15" s="102" t="str">
        <f>IF(COUNT(SV15,TA15,TF15)=0,"",SUM(SV15,TA15,TF15)/COUNT(SV15,TA15,TF15))</f>
        <v/>
      </c>
      <c r="TI15" s="129" t="str">
        <f t="shared" si="123"/>
        <v/>
      </c>
      <c r="TJ15" s="105"/>
      <c r="TK15" s="100"/>
      <c r="TL15" s="101"/>
      <c r="TM15" s="102" t="str">
        <f>IFERROR((((COUNTIF('Elève (6ème4)'!TJ15:TL15,"A"))*4)+((COUNTIF('Elève (6ème4)'!TJ15:TL15,"B"))*3)+((COUNTIF('Elève (6ème4)'!TJ15:TL15,"C"))*2)+((COUNTIF('Elève (6ème4)'!TJ15:TL15,"D"))*1))/(COUNTA(TJ15:TL15)),"")</f>
        <v/>
      </c>
      <c r="TN15" s="103" t="str">
        <f t="shared" si="124"/>
        <v/>
      </c>
      <c r="TO15" s="99"/>
      <c r="TP15" s="100"/>
      <c r="TQ15" s="101"/>
      <c r="TR15" s="102" t="str">
        <f>IFERROR((((COUNTIF('Elève (6ème4)'!TO15:TQ15,"A"))*4)+((COUNTIF('Elève (6ème4)'!TO15:TQ15,"B"))*3)+((COUNTIF('Elève (6ème4)'!TO15:TQ15,"C"))*2)+((COUNTIF('Elève (6ème4)'!TO15:TQ15,"D"))*1))/(COUNTA(TO15:TQ15)),"")</f>
        <v/>
      </c>
      <c r="TS15" s="103" t="str">
        <f t="shared" si="125"/>
        <v/>
      </c>
      <c r="TT15" s="99"/>
      <c r="TU15" s="100"/>
      <c r="TV15" s="101"/>
      <c r="TW15" s="102" t="str">
        <f>IFERROR((((COUNTIF('Elève (6ème4)'!TT15:TV15,"A"))*4)+((COUNTIF('Elève (6ème4)'!TT15:TV15,"B"))*3)+((COUNTIF('Elève (6ème4)'!TT15:TV15,"C"))*2)+((COUNTIF('Elève (6ème4)'!TT15:TV15,"D"))*1))/(COUNTA(TT15:TV15)),"")</f>
        <v/>
      </c>
      <c r="TX15" s="103" t="str">
        <f t="shared" si="126"/>
        <v/>
      </c>
      <c r="TY15" s="102" t="str">
        <f>IF(COUNT(TM15,TR15,TW15)=0,"",SUM(TM15,TR15,TW15)/COUNT(TM15,TR15,TW15))</f>
        <v/>
      </c>
      <c r="TZ15" s="129" t="str">
        <f t="shared" si="127"/>
        <v/>
      </c>
    </row>
    <row r="16" spans="1:546" x14ac:dyDescent="0.25">
      <c r="A16" s="163" t="s">
        <v>19</v>
      </c>
      <c r="B16" s="119"/>
      <c r="C16" s="172"/>
      <c r="D16" s="107"/>
      <c r="E16" s="108" t="s">
        <v>26</v>
      </c>
      <c r="F16" s="185">
        <f>IFERROR((((COUNTIF('Elève (6ème4)'!C16:E16,"A"))*4)+((COUNTIF('Elève (6ème4)'!C16:E16,"B"))*3)+((COUNTIF('Elève (6ème4)'!C16:E16,"C"))*2)+((COUNTIF('Elève (6ème4)'!C16:E16,"D"))*1))/(COUNTA(C16:E16)),"")</f>
        <v>1</v>
      </c>
      <c r="G16" s="186" t="str">
        <f t="shared" si="0"/>
        <v>D</v>
      </c>
      <c r="H16" s="172" t="s">
        <v>23</v>
      </c>
      <c r="I16" s="107"/>
      <c r="J16" s="108"/>
      <c r="K16" s="185">
        <f>IFERROR((((COUNTIF('Elève (6ème4)'!H16:J16,"A"))*4)+((COUNTIF('Elève (6ème4)'!H16:J16,"B"))*3)+((COUNTIF('Elève (6ème4)'!H16:J16,"C"))*2)+((COUNTIF('Elève (6ème4)'!H16:J16,"D"))*1))/(COUNTA(H16:J16)),"")</f>
        <v>4</v>
      </c>
      <c r="L16" s="186" t="str">
        <f t="shared" si="1"/>
        <v>A</v>
      </c>
      <c r="M16" s="172" t="s">
        <v>23</v>
      </c>
      <c r="N16" s="107" t="s">
        <v>25</v>
      </c>
      <c r="O16" s="108"/>
      <c r="P16" s="185">
        <f>IFERROR((((COUNTIF('Elève (6ème4)'!M16:O16,"A"))*4)+((COUNTIF('Elève (6ème4)'!M16:O16,"B"))*3)+((COUNTIF('Elève (6ème4)'!M16:O16,"C"))*2)+((COUNTIF('Elève (6ème4)'!M16:O16,"D"))*1))/(COUNTA(M16:O16)),"")</f>
        <v>3</v>
      </c>
      <c r="Q16" s="186" t="str">
        <f t="shared" si="2"/>
        <v>B</v>
      </c>
      <c r="R16" s="185">
        <f>IF(COUNT(F16,K16,P16)=0,"",SUM(F16,K16,P16)/COUNT(F16,K16,P16))</f>
        <v>2.6666666666666665</v>
      </c>
      <c r="S16" s="208" t="str">
        <f t="shared" si="3"/>
        <v>C</v>
      </c>
      <c r="T16" s="217"/>
      <c r="U16" s="107"/>
      <c r="V16" s="108" t="s">
        <v>23</v>
      </c>
      <c r="W16" s="185">
        <f>IFERROR((((COUNTIF('Elève (6ème4)'!T16:V16,"A"))*4)+((COUNTIF('Elève (6ème4)'!T16:V16,"B"))*3)+((COUNTIF('Elève (6ème4)'!T16:V16,"C"))*2)+((COUNTIF('Elève (6ème4)'!T16:V16,"D"))*1))/(COUNTA(T16:V16)),"")</f>
        <v>4</v>
      </c>
      <c r="X16" s="186" t="str">
        <f t="shared" si="4"/>
        <v>A</v>
      </c>
      <c r="Y16" s="172" t="s">
        <v>23</v>
      </c>
      <c r="Z16" s="107"/>
      <c r="AA16" s="108"/>
      <c r="AB16" s="185">
        <f>IFERROR((((COUNTIF('Elève (6ème4)'!Y16:AA16,"A"))*4)+((COUNTIF('Elève (6ème4)'!Y16:AA16,"B"))*3)+((COUNTIF('Elève (6ème4)'!Y16:AA16,"C"))*2)+((COUNTIF('Elève (6ème4)'!Y16:AA16,"D"))*1))/(COUNTA(Y16:AA16)),"")</f>
        <v>4</v>
      </c>
      <c r="AC16" s="186" t="str">
        <f t="shared" si="5"/>
        <v>A</v>
      </c>
      <c r="AD16" s="172" t="s">
        <v>23</v>
      </c>
      <c r="AE16" s="107" t="s">
        <v>25</v>
      </c>
      <c r="AF16" s="108"/>
      <c r="AG16" s="185">
        <f>IFERROR((((COUNTIF('Elève (6ème4)'!AD16:AF16,"A"))*4)+((COUNTIF('Elève (6ème4)'!AD16:AF16,"B"))*3)+((COUNTIF('Elève (6ème4)'!AD16:AF16,"C"))*2)+((COUNTIF('Elève (6ème4)'!AD16:AF16,"D"))*1))/(COUNTA(AD16:AF16)),"")</f>
        <v>3</v>
      </c>
      <c r="AH16" s="186" t="str">
        <f t="shared" si="6"/>
        <v>B</v>
      </c>
      <c r="AI16" s="185">
        <f>IF(COUNT(W16,AB16,AG16)=0,"",SUM(W16,AB16,AG16)/COUNT(W16,AB16,AG16))</f>
        <v>3.6666666666666665</v>
      </c>
      <c r="AJ16" s="208" t="str">
        <f t="shared" si="7"/>
        <v>B</v>
      </c>
      <c r="AK16" s="217"/>
      <c r="AL16" s="107"/>
      <c r="AM16" s="108" t="s">
        <v>23</v>
      </c>
      <c r="AN16" s="185">
        <f>IFERROR((((COUNTIF('Elève (6ème4)'!AK16:AM16,"A"))*4)+((COUNTIF('Elève (6ème4)'!AK16:AM16,"B"))*3)+((COUNTIF('Elève (6ème4)'!AK16:AM16,"C"))*2)+((COUNTIF('Elève (6ème4)'!AK16:AM16,"D"))*1))/(COUNTA(AK16:AM16)),"")</f>
        <v>4</v>
      </c>
      <c r="AO16" s="186" t="str">
        <f t="shared" si="8"/>
        <v>A</v>
      </c>
      <c r="AP16" s="172" t="s">
        <v>23</v>
      </c>
      <c r="AQ16" s="107"/>
      <c r="AR16" s="108"/>
      <c r="AS16" s="185">
        <f>IFERROR((((COUNTIF('Elève (6ème4)'!AP16:AR16,"A"))*4)+((COUNTIF('Elève (6ème4)'!AP16:AR16,"B"))*3)+((COUNTIF('Elève (6ème4)'!AP16:AR16,"C"))*2)+((COUNTIF('Elève (6ème4)'!AP16:AR16,"D"))*1))/(COUNTA(AP16:AR16)),"")</f>
        <v>4</v>
      </c>
      <c r="AT16" s="186" t="str">
        <f t="shared" si="9"/>
        <v>A</v>
      </c>
      <c r="AU16" s="172" t="s">
        <v>23</v>
      </c>
      <c r="AV16" s="107" t="s">
        <v>24</v>
      </c>
      <c r="AW16" s="108"/>
      <c r="AX16" s="185">
        <f>IFERROR((((COUNTIF('Elève (6ème4)'!AU16:AW16,"A"))*4)+((COUNTIF('Elève (6ème4)'!AU16:AW16,"B"))*3)+((COUNTIF('Elève (6ème4)'!AU16:AW16,"C"))*2)+((COUNTIF('Elève (6ème4)'!AU16:AW16,"D"))*1))/(COUNTA(AU16:AW16)),"")</f>
        <v>3.5</v>
      </c>
      <c r="AY16" s="186" t="str">
        <f t="shared" si="10"/>
        <v>B</v>
      </c>
      <c r="AZ16" s="185">
        <f>IF(COUNT(AN16,AS16,AX16)=0,"",SUM(AN16,AS16,AX16)/COUNT(AN16,AS16,AX16))</f>
        <v>3.8333333333333335</v>
      </c>
      <c r="BA16" s="208" t="str">
        <f t="shared" si="11"/>
        <v>A</v>
      </c>
      <c r="BB16" s="217"/>
      <c r="BC16" s="107"/>
      <c r="BD16" s="108" t="s">
        <v>23</v>
      </c>
      <c r="BE16" s="185">
        <f>IFERROR((((COUNTIF('Elève (6ème4)'!BB16:BD16,"A"))*4)+((COUNTIF('Elève (6ème4)'!BB16:BD16,"B"))*3)+((COUNTIF('Elève (6ème4)'!BB16:BD16,"C"))*2)+((COUNTIF('Elève (6ème4)'!BB16:BD16,"D"))*1))/(COUNTA(BB16:BD16)),"")</f>
        <v>4</v>
      </c>
      <c r="BF16" s="186" t="str">
        <f t="shared" si="12"/>
        <v>A</v>
      </c>
      <c r="BG16" s="172" t="s">
        <v>23</v>
      </c>
      <c r="BH16" s="107"/>
      <c r="BI16" s="108"/>
      <c r="BJ16" s="185">
        <f>IFERROR((((COUNTIF('Elève (6ème4)'!BG16:BI16,"A"))*4)+((COUNTIF('Elève (6ème4)'!BG16:BI16,"B"))*3)+((COUNTIF('Elève (6ème4)'!BG16:BI16,"C"))*2)+((COUNTIF('Elève (6ème4)'!BG16:BI16,"D"))*1))/(COUNTA(BG16:BI16)),"")</f>
        <v>4</v>
      </c>
      <c r="BK16" s="186" t="str">
        <f t="shared" si="13"/>
        <v>A</v>
      </c>
      <c r="BL16" s="172" t="s">
        <v>24</v>
      </c>
      <c r="BM16" s="107" t="s">
        <v>25</v>
      </c>
      <c r="BN16" s="108"/>
      <c r="BO16" s="185">
        <f>IFERROR((((COUNTIF('Elève (6ème4)'!BL16:BN16,"A"))*4)+((COUNTIF('Elève (6ème4)'!BL16:BN16,"B"))*3)+((COUNTIF('Elève (6ème4)'!BL16:BN16,"C"))*2)+((COUNTIF('Elève (6ème4)'!BL16:BN16,"D"))*1))/(COUNTA(BL16:BN16)),"")</f>
        <v>2.5</v>
      </c>
      <c r="BP16" s="186" t="str">
        <f t="shared" si="14"/>
        <v>C</v>
      </c>
      <c r="BQ16" s="185">
        <f>IF(COUNT(BE16,BJ16,BO16)=0,"",SUM(BE16,BJ16,BO16)/COUNT(BE16,BJ16,BO16))</f>
        <v>3.5</v>
      </c>
      <c r="BR16" s="208" t="str">
        <f t="shared" si="15"/>
        <v>B</v>
      </c>
      <c r="BS16" s="217"/>
      <c r="BT16" s="107"/>
      <c r="BU16" s="108" t="s">
        <v>23</v>
      </c>
      <c r="BV16" s="185">
        <f>IFERROR((((COUNTIF('Elève (6ème4)'!BS16:BU16,"A"))*4)+((COUNTIF('Elève (6ème4)'!BS16:BU16,"B"))*3)+((COUNTIF('Elève (6ème4)'!BS16:BU16,"C"))*2)+((COUNTIF('Elève (6ème4)'!BS16:BU16,"D"))*1))/(COUNTA(BS16:BU16)),"")</f>
        <v>4</v>
      </c>
      <c r="BW16" s="186" t="str">
        <f t="shared" si="16"/>
        <v>A</v>
      </c>
      <c r="BX16" s="172" t="s">
        <v>25</v>
      </c>
      <c r="BY16" s="107"/>
      <c r="BZ16" s="108"/>
      <c r="CA16" s="185">
        <f>IFERROR((((COUNTIF('Elève (6ème4)'!BX16:BZ16,"A"))*4)+((COUNTIF('Elève (6ème4)'!BX16:BZ16,"B"))*3)+((COUNTIF('Elève (6ème4)'!BX16:BZ16,"C"))*2)+((COUNTIF('Elève (6ème4)'!BX16:BZ16,"D"))*1))/(COUNTA(BX16:BZ16)),"")</f>
        <v>2</v>
      </c>
      <c r="CB16" s="186" t="str">
        <f t="shared" si="17"/>
        <v>C</v>
      </c>
      <c r="CC16" s="172" t="s">
        <v>25</v>
      </c>
      <c r="CD16" s="107" t="s">
        <v>25</v>
      </c>
      <c r="CE16" s="108"/>
      <c r="CF16" s="185">
        <f>IFERROR((((COUNTIF('Elève (6ème4)'!CC16:CE16,"A"))*4)+((COUNTIF('Elève (6ème4)'!CC16:CE16,"B"))*3)+((COUNTIF('Elève (6ème4)'!CC16:CE16,"C"))*2)+((COUNTIF('Elève (6ème4)'!CC16:CE16,"D"))*1))/(COUNTA(CC16:CE16)),"")</f>
        <v>2</v>
      </c>
      <c r="CG16" s="186" t="str">
        <f t="shared" si="18"/>
        <v>C</v>
      </c>
      <c r="CH16" s="185">
        <f>IF(COUNT(BV16,CA16,CF16)=0,"",SUM(BV16,CA16,CF16)/COUNT(BV16,CA16,CF16))</f>
        <v>2.6666666666666665</v>
      </c>
      <c r="CI16" s="208" t="str">
        <f t="shared" si="19"/>
        <v>C</v>
      </c>
      <c r="CJ16" s="217"/>
      <c r="CK16" s="107"/>
      <c r="CL16" s="108" t="s">
        <v>24</v>
      </c>
      <c r="CM16" s="185">
        <f>IFERROR((((COUNTIF('Elève (6ème4)'!CJ16:CL16,"A"))*4)+((COUNTIF('Elève (6ème4)'!CJ16:CL16,"B"))*3)+((COUNTIF('Elève (6ème4)'!CJ16:CL16,"C"))*2)+((COUNTIF('Elève (6ème4)'!CJ16:CL16,"D"))*1))/(COUNTA(CJ16:CL16)),"")</f>
        <v>3</v>
      </c>
      <c r="CN16" s="186" t="str">
        <f t="shared" si="20"/>
        <v>B</v>
      </c>
      <c r="CO16" s="172" t="s">
        <v>23</v>
      </c>
      <c r="CP16" s="107"/>
      <c r="CQ16" s="108"/>
      <c r="CR16" s="185">
        <f>IFERROR((((COUNTIF('Elève (6ème4)'!CO16:CQ16,"A"))*4)+((COUNTIF('Elève (6ème4)'!CO16:CQ16,"B"))*3)+((COUNTIF('Elève (6ème4)'!CO16:CQ16,"C"))*2)+((COUNTIF('Elève (6ème4)'!CO16:CQ16,"D"))*1))/(COUNTA(CO16:CQ16)),"")</f>
        <v>4</v>
      </c>
      <c r="CS16" s="186" t="str">
        <f t="shared" si="21"/>
        <v>A</v>
      </c>
      <c r="CT16" s="172" t="s">
        <v>23</v>
      </c>
      <c r="CU16" s="107" t="s">
        <v>24</v>
      </c>
      <c r="CV16" s="108"/>
      <c r="CW16" s="185">
        <f>IFERROR((((COUNTIF('Elève (6ème4)'!CT16:CV16,"A"))*4)+((COUNTIF('Elève (6ème4)'!CT16:CV16,"B"))*3)+((COUNTIF('Elève (6ème4)'!CT16:CV16,"C"))*2)+((COUNTIF('Elève (6ème4)'!CT16:CV16,"D"))*1))/(COUNTA(CT16:CV16)),"")</f>
        <v>3.5</v>
      </c>
      <c r="CX16" s="186" t="str">
        <f t="shared" si="22"/>
        <v>B</v>
      </c>
      <c r="CY16" s="185">
        <f>IF(COUNT(CM16,CR16,CW16)=0,"",SUM(CM16,CR16,CW16)/COUNT(CM16,CR16,CW16))</f>
        <v>3.5</v>
      </c>
      <c r="CZ16" s="208" t="str">
        <f t="shared" si="23"/>
        <v>B</v>
      </c>
      <c r="DA16" s="217"/>
      <c r="DB16" s="107"/>
      <c r="DC16" s="108" t="s">
        <v>26</v>
      </c>
      <c r="DD16" s="185">
        <f>IFERROR((((COUNTIF('Elève (6ème4)'!DA16:DC16,"A"))*4)+((COUNTIF('Elève (6ème4)'!DA16:DC16,"B"))*3)+((COUNTIF('Elève (6ème4)'!DA16:DC16,"C"))*2)+((COUNTIF('Elève (6ème4)'!DA16:DC16,"D"))*1))/(COUNTA(DA16:DC16)),"")</f>
        <v>1</v>
      </c>
      <c r="DE16" s="186" t="str">
        <f t="shared" si="24"/>
        <v>D</v>
      </c>
      <c r="DF16" s="172" t="s">
        <v>25</v>
      </c>
      <c r="DG16" s="107"/>
      <c r="DH16" s="108"/>
      <c r="DI16" s="185">
        <f>IFERROR((((COUNTIF('Elève (6ème4)'!DF16:DH16,"A"))*4)+((COUNTIF('Elève (6ème4)'!DF16:DH16,"B"))*3)+((COUNTIF('Elève (6ème4)'!DF16:DH16,"C"))*2)+((COUNTIF('Elève (6ème4)'!DF16:DH16,"D"))*1))/(COUNTA(DF16:DH16)),"")</f>
        <v>2</v>
      </c>
      <c r="DJ16" s="186" t="str">
        <f t="shared" si="25"/>
        <v>C</v>
      </c>
      <c r="DK16" s="172" t="s">
        <v>26</v>
      </c>
      <c r="DL16" s="107" t="s">
        <v>24</v>
      </c>
      <c r="DM16" s="108"/>
      <c r="DN16" s="185">
        <f>IFERROR((((COUNTIF('Elève (6ème4)'!DK16:DM16,"A"))*4)+((COUNTIF('Elève (6ème4)'!DK16:DM16,"B"))*3)+((COUNTIF('Elève (6ème4)'!DK16:DM16,"C"))*2)+((COUNTIF('Elève (6ème4)'!DK16:DM16,"D"))*1))/(COUNTA(DK16:DM16)),"")</f>
        <v>2</v>
      </c>
      <c r="DO16" s="186" t="str">
        <f t="shared" si="26"/>
        <v>C</v>
      </c>
      <c r="DP16" s="185">
        <f>IF(COUNT(DD16,DI16,DN16)=0,"",SUM(DD16,DI16,DN16)/COUNT(DD16,DI16,DN16))</f>
        <v>1.6666666666666667</v>
      </c>
      <c r="DQ16" s="208" t="str">
        <f t="shared" si="27"/>
        <v>C</v>
      </c>
      <c r="DR16" s="217"/>
      <c r="DS16" s="107"/>
      <c r="DT16" s="108" t="s">
        <v>24</v>
      </c>
      <c r="DU16" s="185">
        <f>IFERROR((((COUNTIF('Elève (6ème4)'!DR16:DT16,"A"))*4)+((COUNTIF('Elève (6ème4)'!DR16:DT16,"B"))*3)+((COUNTIF('Elève (6ème4)'!DR16:DT16,"C"))*2)+((COUNTIF('Elève (6ème4)'!DR16:DT16,"D"))*1))/(COUNTA(DR16:DT16)),"")</f>
        <v>3</v>
      </c>
      <c r="DV16" s="186" t="str">
        <f t="shared" si="28"/>
        <v>B</v>
      </c>
      <c r="DW16" s="172" t="s">
        <v>23</v>
      </c>
      <c r="DX16" s="107"/>
      <c r="DY16" s="108"/>
      <c r="DZ16" s="185">
        <f>IFERROR((((COUNTIF('Elève (6ème4)'!DW16:DY16,"A"))*4)+((COUNTIF('Elève (6ème4)'!DW16:DY16,"B"))*3)+((COUNTIF('Elève (6ème4)'!DW16:DY16,"C"))*2)+((COUNTIF('Elève (6ème4)'!DW16:DY16,"D"))*1))/(COUNTA(DW16:DY16)),"")</f>
        <v>4</v>
      </c>
      <c r="EA16" s="186" t="str">
        <f t="shared" si="29"/>
        <v>A</v>
      </c>
      <c r="EB16" s="172" t="s">
        <v>24</v>
      </c>
      <c r="EC16" s="107" t="s">
        <v>24</v>
      </c>
      <c r="ED16" s="108"/>
      <c r="EE16" s="185">
        <f>IFERROR((((COUNTIF('Elève (6ème4)'!EB16:ED16,"A"))*4)+((COUNTIF('Elève (6ème4)'!EB16:ED16,"B"))*3)+((COUNTIF('Elève (6ème4)'!EB16:ED16,"C"))*2)+((COUNTIF('Elève (6ème4)'!EB16:ED16,"D"))*1))/(COUNTA(EB16:ED16)),"")</f>
        <v>3</v>
      </c>
      <c r="EF16" s="186" t="str">
        <f t="shared" si="30"/>
        <v>B</v>
      </c>
      <c r="EG16" s="185">
        <f>IF(COUNT(DU16,DZ16,EE16)=0,"",SUM(DU16,DZ16,EE16)/COUNT(DU16,DZ16,EE16))</f>
        <v>3.3333333333333335</v>
      </c>
      <c r="EH16" s="208" t="str">
        <f t="shared" si="31"/>
        <v>B</v>
      </c>
      <c r="EI16" s="217"/>
      <c r="EJ16" s="107"/>
      <c r="EK16" s="108" t="s">
        <v>23</v>
      </c>
      <c r="EL16" s="185">
        <f>IFERROR((((COUNTIF('Elève (6ème4)'!EI16:EK16,"A"))*4)+((COUNTIF('Elève (6ème4)'!EI16:EK16,"B"))*3)+((COUNTIF('Elève (6ème4)'!EI16:EK16,"C"))*2)+((COUNTIF('Elève (6ème4)'!EI16:EK16,"D"))*1))/(COUNTA(EI16:EK16)),"")</f>
        <v>4</v>
      </c>
      <c r="EM16" s="186" t="str">
        <f t="shared" si="32"/>
        <v>A</v>
      </c>
      <c r="EN16" s="172" t="s">
        <v>23</v>
      </c>
      <c r="EO16" s="107"/>
      <c r="EP16" s="108"/>
      <c r="EQ16" s="185">
        <f>IFERROR((((COUNTIF('Elève (6ème4)'!EN16:EP16,"A"))*4)+((COUNTIF('Elève (6ème4)'!EN16:EP16,"B"))*3)+((COUNTIF('Elève (6ème4)'!EN16:EP16,"C"))*2)+((COUNTIF('Elève (6ème4)'!EN16:EP16,"D"))*1))/(COUNTA(EN16:EP16)),"")</f>
        <v>4</v>
      </c>
      <c r="ER16" s="186" t="str">
        <f t="shared" si="33"/>
        <v>A</v>
      </c>
      <c r="ES16" s="172" t="s">
        <v>23</v>
      </c>
      <c r="ET16" s="107" t="s">
        <v>24</v>
      </c>
      <c r="EU16" s="108"/>
      <c r="EV16" s="185">
        <f>IFERROR((((COUNTIF('Elève (6ème4)'!ES16:EU16,"A"))*4)+((COUNTIF('Elève (6ème4)'!ES16:EU16,"B"))*3)+((COUNTIF('Elève (6ème4)'!ES16:EU16,"C"))*2)+((COUNTIF('Elève (6ème4)'!ES16:EU16,"D"))*1))/(COUNTA(ES16:EU16)),"")</f>
        <v>3.5</v>
      </c>
      <c r="EW16" s="186" t="str">
        <f t="shared" si="34"/>
        <v>B</v>
      </c>
      <c r="EX16" s="185">
        <f>IF(COUNT(EL16,EQ16,EV16)=0,"",SUM(EL16,EQ16,EV16)/COUNT(EL16,EQ16,EV16))</f>
        <v>3.8333333333333335</v>
      </c>
      <c r="EY16" s="208" t="str">
        <f t="shared" si="35"/>
        <v>A</v>
      </c>
      <c r="EZ16" s="217"/>
      <c r="FA16" s="107"/>
      <c r="FB16" s="108" t="s">
        <v>23</v>
      </c>
      <c r="FC16" s="185">
        <f>IFERROR((((COUNTIF('Elève (6ème4)'!EZ16:FB16,"A"))*4)+((COUNTIF('Elève (6ème4)'!EZ16:FB16,"B"))*3)+((COUNTIF('Elève (6ème4)'!EZ16:FB16,"C"))*2)+((COUNTIF('Elève (6ème4)'!EZ16:FB16,"D"))*1))/(COUNTA(EZ16:FB16)),"")</f>
        <v>4</v>
      </c>
      <c r="FD16" s="186" t="str">
        <f t="shared" si="36"/>
        <v>A</v>
      </c>
      <c r="FE16" s="172" t="s">
        <v>23</v>
      </c>
      <c r="FF16" s="107"/>
      <c r="FG16" s="108"/>
      <c r="FH16" s="185">
        <f>IFERROR((((COUNTIF('Elève (6ème4)'!FE16:FG16,"A"))*4)+((COUNTIF('Elève (6ème4)'!FE16:FG16,"B"))*3)+((COUNTIF('Elève (6ème4)'!FE16:FG16,"C"))*2)+((COUNTIF('Elève (6ème4)'!FE16:FG16,"D"))*1))/(COUNTA(FE16:FG16)),"")</f>
        <v>4</v>
      </c>
      <c r="FI16" s="186" t="str">
        <f t="shared" si="37"/>
        <v>A</v>
      </c>
      <c r="FJ16" s="172" t="s">
        <v>23</v>
      </c>
      <c r="FK16" s="107" t="s">
        <v>24</v>
      </c>
      <c r="FL16" s="108"/>
      <c r="FM16" s="185">
        <f>IFERROR((((COUNTIF('Elève (6ème4)'!FJ16:FL16,"A"))*4)+((COUNTIF('Elève (6ème4)'!FJ16:FL16,"B"))*3)+((COUNTIF('Elève (6ème4)'!FJ16:FL16,"C"))*2)+((COUNTIF('Elève (6ème4)'!FJ16:FL16,"D"))*1))/(COUNTA(FJ16:FL16)),"")</f>
        <v>3.5</v>
      </c>
      <c r="FN16" s="186" t="str">
        <f t="shared" si="38"/>
        <v>B</v>
      </c>
      <c r="FO16" s="185">
        <f>IF(COUNT(FC16,FH16,FM16)=0,"",SUM(FC16,FH16,FM16)/COUNT(FC16,FH16,FM16))</f>
        <v>3.8333333333333335</v>
      </c>
      <c r="FP16" s="208" t="str">
        <f t="shared" si="39"/>
        <v>A</v>
      </c>
      <c r="FQ16" s="217"/>
      <c r="FR16" s="107"/>
      <c r="FS16" s="108" t="s">
        <v>23</v>
      </c>
      <c r="FT16" s="185">
        <f>IFERROR((((COUNTIF('Elève (6ème4)'!FQ16:FS16,"A"))*4)+((COUNTIF('Elève (6ème4)'!FQ16:FS16,"B"))*3)+((COUNTIF('Elève (6ème4)'!FQ16:FS16,"C"))*2)+((COUNTIF('Elève (6ème4)'!FQ16:FS16,"D"))*1))/(COUNTA(FQ16:FS16)),"")</f>
        <v>4</v>
      </c>
      <c r="FU16" s="186" t="str">
        <f t="shared" si="40"/>
        <v>A</v>
      </c>
      <c r="FV16" s="172" t="s">
        <v>23</v>
      </c>
      <c r="FW16" s="107"/>
      <c r="FX16" s="108"/>
      <c r="FY16" s="185">
        <f>IFERROR((((COUNTIF('Elève (6ème4)'!FV16:FX16,"A"))*4)+((COUNTIF('Elève (6ème4)'!FV16:FX16,"B"))*3)+((COUNTIF('Elève (6ème4)'!FV16:FX16,"C"))*2)+((COUNTIF('Elève (6ème4)'!FV16:FX16,"D"))*1))/(COUNTA(FV16:FX16)),"")</f>
        <v>4</v>
      </c>
      <c r="FZ16" s="186" t="str">
        <f t="shared" si="41"/>
        <v>A</v>
      </c>
      <c r="GA16" s="172" t="s">
        <v>23</v>
      </c>
      <c r="GB16" s="107" t="s">
        <v>24</v>
      </c>
      <c r="GC16" s="108"/>
      <c r="GD16" s="185">
        <f>IFERROR((((COUNTIF('Elève (6ème4)'!GA16:GC16,"A"))*4)+((COUNTIF('Elève (6ème4)'!GA16:GC16,"B"))*3)+((COUNTIF('Elève (6ème4)'!GA16:GC16,"C"))*2)+((COUNTIF('Elève (6ème4)'!GA16:GC16,"D"))*1))/(COUNTA(GA16:GC16)),"")</f>
        <v>3.5</v>
      </c>
      <c r="GE16" s="186" t="str">
        <f t="shared" si="42"/>
        <v>B</v>
      </c>
      <c r="GF16" s="185">
        <f>IF(COUNT(FT16,FY16,GD16)=0,"",SUM(FT16,FY16,GD16)/COUNT(FT16,FY16,GD16))</f>
        <v>3.8333333333333335</v>
      </c>
      <c r="GG16" s="208" t="str">
        <f t="shared" si="43"/>
        <v>A</v>
      </c>
      <c r="GH16" s="217"/>
      <c r="GI16" s="107"/>
      <c r="GJ16" s="108" t="s">
        <v>23</v>
      </c>
      <c r="GK16" s="185">
        <f>IFERROR((((COUNTIF('Elève (6ème4)'!GH16:GJ16,"A"))*4)+((COUNTIF('Elève (6ème4)'!GH16:GJ16,"B"))*3)+((COUNTIF('Elève (6ème4)'!GH16:GJ16,"C"))*2)+((COUNTIF('Elève (6ème4)'!GH16:GJ16,"D"))*1))/(COUNTA(GH16:GJ16)),"")</f>
        <v>4</v>
      </c>
      <c r="GL16" s="186" t="str">
        <f t="shared" si="44"/>
        <v>A</v>
      </c>
      <c r="GM16" s="172" t="s">
        <v>23</v>
      </c>
      <c r="GN16" s="107"/>
      <c r="GO16" s="108"/>
      <c r="GP16" s="185">
        <f>IFERROR((((COUNTIF('Elève (6ème4)'!GM16:GO16,"A"))*4)+((COUNTIF('Elève (6ème4)'!GM16:GO16,"B"))*3)+((COUNTIF('Elève (6ème4)'!GM16:GO16,"C"))*2)+((COUNTIF('Elève (6ème4)'!GM16:GO16,"D"))*1))/(COUNTA(GM16:GO16)),"")</f>
        <v>4</v>
      </c>
      <c r="GQ16" s="186" t="str">
        <f t="shared" si="45"/>
        <v>A</v>
      </c>
      <c r="GR16" s="172" t="s">
        <v>23</v>
      </c>
      <c r="GS16" s="107" t="s">
        <v>24</v>
      </c>
      <c r="GT16" s="108"/>
      <c r="GU16" s="185">
        <f>IFERROR((((COUNTIF('Elève (6ème4)'!GR16:GT16,"A"))*4)+((COUNTIF('Elève (6ème4)'!GR16:GT16,"B"))*3)+((COUNTIF('Elève (6ème4)'!GR16:GT16,"C"))*2)+((COUNTIF('Elève (6ème4)'!GR16:GT16,"D"))*1))/(COUNTA(GR16:GT16)),"")</f>
        <v>3.5</v>
      </c>
      <c r="GV16" s="186" t="str">
        <f t="shared" si="46"/>
        <v>B</v>
      </c>
      <c r="GW16" s="185">
        <f>IF(COUNT(GK16,GP16,GU16)=0,"",SUM(GK16,GP16,GU16)/COUNT(GK16,GP16,GU16))</f>
        <v>3.8333333333333335</v>
      </c>
      <c r="GX16" s="208" t="str">
        <f t="shared" si="47"/>
        <v>A</v>
      </c>
      <c r="GY16" s="217"/>
      <c r="GZ16" s="107"/>
      <c r="HA16" s="108" t="s">
        <v>23</v>
      </c>
      <c r="HB16" s="185">
        <f>IFERROR((((COUNTIF('Elève (6ème4)'!GY16:HA16,"A"))*4)+((COUNTIF('Elève (6ème4)'!GY16:HA16,"B"))*3)+((COUNTIF('Elève (6ème4)'!GY16:HA16,"C"))*2)+((COUNTIF('Elève (6ème4)'!GY16:HA16,"D"))*1))/(COUNTA(GY16:HA16)),"")</f>
        <v>4</v>
      </c>
      <c r="HC16" s="186" t="str">
        <f t="shared" si="48"/>
        <v>A</v>
      </c>
      <c r="HD16" s="172" t="s">
        <v>23</v>
      </c>
      <c r="HE16" s="107"/>
      <c r="HF16" s="108"/>
      <c r="HG16" s="185">
        <f>IFERROR((((COUNTIF('Elève (6ème4)'!HD16:HF16,"A"))*4)+((COUNTIF('Elève (6ème4)'!HD16:HF16,"B"))*3)+((COUNTIF('Elève (6ème4)'!HD16:HF16,"C"))*2)+((COUNTIF('Elève (6ème4)'!HD16:HF16,"D"))*1))/(COUNTA(HD16:HF16)),"")</f>
        <v>4</v>
      </c>
      <c r="HH16" s="186" t="str">
        <f t="shared" si="49"/>
        <v>A</v>
      </c>
      <c r="HI16" s="172" t="s">
        <v>24</v>
      </c>
      <c r="HJ16" s="107" t="s">
        <v>24</v>
      </c>
      <c r="HK16" s="108"/>
      <c r="HL16" s="185">
        <f>IFERROR((((COUNTIF('Elève (6ème4)'!HI16:HK16,"A"))*4)+((COUNTIF('Elève (6ème4)'!HI16:HK16,"B"))*3)+((COUNTIF('Elève (6ème4)'!HI16:HK16,"C"))*2)+((COUNTIF('Elève (6ème4)'!HI16:HK16,"D"))*1))/(COUNTA(HI16:HK16)),"")</f>
        <v>3</v>
      </c>
      <c r="HM16" s="186" t="str">
        <f t="shared" si="50"/>
        <v>B</v>
      </c>
      <c r="HN16" s="185">
        <f>IF(COUNT(HB16,HG16,HL16)=0,"",SUM(HB16,HG16,HL16)/COUNT(HB16,HG16,HL16))</f>
        <v>3.6666666666666665</v>
      </c>
      <c r="HO16" s="208" t="str">
        <f t="shared" si="51"/>
        <v>B</v>
      </c>
      <c r="HP16" s="217"/>
      <c r="HQ16" s="107"/>
      <c r="HR16" s="108" t="s">
        <v>24</v>
      </c>
      <c r="HS16" s="185">
        <f>IFERROR((((COUNTIF('Elève (6ème4)'!HP16:HR16,"A"))*4)+((COUNTIF('Elève (6ème4)'!HP16:HR16,"B"))*3)+((COUNTIF('Elève (6ème4)'!HP16:HR16,"C"))*2)+((COUNTIF('Elève (6ème4)'!HP16:HR16,"D"))*1))/(COUNTA(HP16:HR16)),"")</f>
        <v>3</v>
      </c>
      <c r="HT16" s="186" t="str">
        <f t="shared" si="52"/>
        <v>B</v>
      </c>
      <c r="HU16" s="172" t="s">
        <v>23</v>
      </c>
      <c r="HV16" s="107"/>
      <c r="HW16" s="108"/>
      <c r="HX16" s="185">
        <f>IFERROR((((COUNTIF('Elève (6ème4)'!HU16:HW16,"A"))*4)+((COUNTIF('Elève (6ème4)'!HU16:HW16,"B"))*3)+((COUNTIF('Elève (6ème4)'!HU16:HW16,"C"))*2)+((COUNTIF('Elève (6ème4)'!HU16:HW16,"D"))*1))/(COUNTA(HU16:HW16)),"")</f>
        <v>4</v>
      </c>
      <c r="HY16" s="186" t="str">
        <f t="shared" si="53"/>
        <v>A</v>
      </c>
      <c r="HZ16" s="172" t="s">
        <v>24</v>
      </c>
      <c r="IA16" s="107" t="s">
        <v>24</v>
      </c>
      <c r="IB16" s="108"/>
      <c r="IC16" s="185">
        <f>IFERROR((((COUNTIF('Elève (6ème4)'!HZ16:IB16,"A"))*4)+((COUNTIF('Elève (6ème4)'!HZ16:IB16,"B"))*3)+((COUNTIF('Elève (6ème4)'!HZ16:IB16,"C"))*2)+((COUNTIF('Elève (6ème4)'!HZ16:IB16,"D"))*1))/(COUNTA(HZ16:IB16)),"")</f>
        <v>3</v>
      </c>
      <c r="ID16" s="186" t="str">
        <f t="shared" si="54"/>
        <v>B</v>
      </c>
      <c r="IE16" s="185">
        <f>IF(COUNT(HS16,HX16,IC16)=0,"",SUM(HS16,HX16,IC16)/COUNT(HS16,HX16,IC16))</f>
        <v>3.3333333333333335</v>
      </c>
      <c r="IF16" s="208" t="str">
        <f t="shared" si="55"/>
        <v>B</v>
      </c>
      <c r="IG16" s="217"/>
      <c r="IH16" s="107"/>
      <c r="II16" s="108" t="s">
        <v>25</v>
      </c>
      <c r="IJ16" s="185">
        <f>IFERROR((((COUNTIF('Elève (6ème4)'!IG16:II16,"A"))*4)+((COUNTIF('Elève (6ème4)'!IG16:II16,"B"))*3)+((COUNTIF('Elève (6ème4)'!IG16:II16,"C"))*2)+((COUNTIF('Elève (6ème4)'!IG16:II16,"D"))*1))/(COUNTA(IG16:II16)),"")</f>
        <v>2</v>
      </c>
      <c r="IK16" s="186" t="str">
        <f t="shared" si="56"/>
        <v>C</v>
      </c>
      <c r="IL16" s="172" t="s">
        <v>23</v>
      </c>
      <c r="IM16" s="107"/>
      <c r="IN16" s="108"/>
      <c r="IO16" s="185">
        <f>IFERROR((((COUNTIF('Elève (6ème4)'!IL16:IN16,"A"))*4)+((COUNTIF('Elève (6ème4)'!IL16:IN16,"B"))*3)+((COUNTIF('Elève (6ème4)'!IL16:IN16,"C"))*2)+((COUNTIF('Elève (6ème4)'!IL16:IN16,"D"))*1))/(COUNTA(IL16:IN16)),"")</f>
        <v>4</v>
      </c>
      <c r="IP16" s="186" t="str">
        <f t="shared" si="57"/>
        <v>A</v>
      </c>
      <c r="IQ16" s="172" t="s">
        <v>25</v>
      </c>
      <c r="IR16" s="107" t="s">
        <v>25</v>
      </c>
      <c r="IS16" s="108"/>
      <c r="IT16" s="185">
        <f>IFERROR((((COUNTIF('Elève (6ème4)'!IQ16:IS16,"A"))*4)+((COUNTIF('Elève (6ème4)'!IQ16:IS16,"B"))*3)+((COUNTIF('Elève (6ème4)'!IQ16:IS16,"C"))*2)+((COUNTIF('Elève (6ème4)'!IQ16:IS16,"D"))*1))/(COUNTA(IQ16:IS16)),"")</f>
        <v>2</v>
      </c>
      <c r="IU16" s="186" t="str">
        <f t="shared" si="58"/>
        <v>C</v>
      </c>
      <c r="IV16" s="185">
        <f>IF(COUNT(IJ16,IO16,IT16)=0,"",SUM(IJ16,IO16,IT16)/COUNT(IJ16,IO16,IT16))</f>
        <v>2.6666666666666665</v>
      </c>
      <c r="IW16" s="208" t="str">
        <f t="shared" si="59"/>
        <v>C</v>
      </c>
      <c r="IX16" s="217"/>
      <c r="IY16" s="107"/>
      <c r="IZ16" s="108" t="s">
        <v>23</v>
      </c>
      <c r="JA16" s="185">
        <f>IFERROR((((COUNTIF('Elève (6ème4)'!IX16:IZ16,"A"))*4)+((COUNTIF('Elève (6ème4)'!IX16:IZ16,"B"))*3)+((COUNTIF('Elève (6ème4)'!IX16:IZ16,"C"))*2)+((COUNTIF('Elève (6ème4)'!IX16:IZ16,"D"))*1))/(COUNTA(IX16:IZ16)),"")</f>
        <v>4</v>
      </c>
      <c r="JB16" s="186" t="str">
        <f t="shared" si="60"/>
        <v>A</v>
      </c>
      <c r="JC16" s="172" t="s">
        <v>24</v>
      </c>
      <c r="JD16" s="107"/>
      <c r="JE16" s="108"/>
      <c r="JF16" s="185">
        <f>IFERROR((((COUNTIF('Elève (6ème4)'!JC16:JE16,"A"))*4)+((COUNTIF('Elève (6ème4)'!JC16:JE16,"B"))*3)+((COUNTIF('Elève (6ème4)'!JC16:JE16,"C"))*2)+((COUNTIF('Elève (6ème4)'!JC16:JE16,"D"))*1))/(COUNTA(JC16:JE16)),"")</f>
        <v>3</v>
      </c>
      <c r="JG16" s="186" t="str">
        <f t="shared" si="61"/>
        <v>B</v>
      </c>
      <c r="JH16" s="172" t="s">
        <v>25</v>
      </c>
      <c r="JI16" s="107" t="s">
        <v>24</v>
      </c>
      <c r="JJ16" s="108"/>
      <c r="JK16" s="185">
        <f>IFERROR((((COUNTIF('Elève (6ème4)'!JH16:JJ16,"A"))*4)+((COUNTIF('Elève (6ème4)'!JH16:JJ16,"B"))*3)+((COUNTIF('Elève (6ème4)'!JH16:JJ16,"C"))*2)+((COUNTIF('Elève (6ème4)'!JH16:JJ16,"D"))*1))/(COUNTA(JH16:JJ16)),"")</f>
        <v>2.5</v>
      </c>
      <c r="JL16" s="186" t="str">
        <f t="shared" si="62"/>
        <v>C</v>
      </c>
      <c r="JM16" s="185">
        <f>IF(COUNT(JA16,JF16,JK16)=0,"",SUM(JA16,JF16,JK16)/COUNT(JA16,JF16,JK16))</f>
        <v>3.1666666666666665</v>
      </c>
      <c r="JN16" s="208" t="str">
        <f t="shared" si="63"/>
        <v>B</v>
      </c>
      <c r="JO16" s="217"/>
      <c r="JP16" s="107"/>
      <c r="JQ16" s="108" t="s">
        <v>24</v>
      </c>
      <c r="JR16" s="185">
        <f>IFERROR((((COUNTIF('Elève (6ème4)'!JO16:JQ16,"A"))*4)+((COUNTIF('Elève (6ème4)'!JO16:JQ16,"B"))*3)+((COUNTIF('Elève (6ème4)'!JO16:JQ16,"C"))*2)+((COUNTIF('Elève (6ème4)'!JO16:JQ16,"D"))*1))/(COUNTA(JO16:JQ16)),"")</f>
        <v>3</v>
      </c>
      <c r="JS16" s="186" t="str">
        <f t="shared" si="64"/>
        <v>B</v>
      </c>
      <c r="JT16" s="172" t="s">
        <v>23</v>
      </c>
      <c r="JU16" s="107"/>
      <c r="JV16" s="108"/>
      <c r="JW16" s="185">
        <f>IFERROR((((COUNTIF('Elève (6ème4)'!JT16:JV16,"A"))*4)+((COUNTIF('Elève (6ème4)'!JT16:JV16,"B"))*3)+((COUNTIF('Elève (6ème4)'!JT16:JV16,"C"))*2)+((COUNTIF('Elève (6ème4)'!JT16:JV16,"D"))*1))/(COUNTA(JT16:JV16)),"")</f>
        <v>4</v>
      </c>
      <c r="JX16" s="186" t="str">
        <f t="shared" si="65"/>
        <v>A</v>
      </c>
      <c r="JY16" s="172" t="s">
        <v>24</v>
      </c>
      <c r="JZ16" s="107" t="s">
        <v>24</v>
      </c>
      <c r="KA16" s="108"/>
      <c r="KB16" s="185">
        <f>IFERROR((((COUNTIF('Elève (6ème4)'!JY16:KA16,"A"))*4)+((COUNTIF('Elève (6ème4)'!JY16:KA16,"B"))*3)+((COUNTIF('Elève (6ème4)'!JY16:KA16,"C"))*2)+((COUNTIF('Elève (6ème4)'!JY16:KA16,"D"))*1))/(COUNTA(JY16:KA16)),"")</f>
        <v>3</v>
      </c>
      <c r="KC16" s="186" t="str">
        <f t="shared" si="66"/>
        <v>B</v>
      </c>
      <c r="KD16" s="185">
        <f>IF(COUNT(JR16,JW16,KB16)=0,"",SUM(JR16,JW16,KB16)/COUNT(JR16,JW16,KB16))</f>
        <v>3.3333333333333335</v>
      </c>
      <c r="KE16" s="208" t="str">
        <f t="shared" si="67"/>
        <v>B</v>
      </c>
      <c r="KF16" s="217"/>
      <c r="KG16" s="107"/>
      <c r="KH16" s="108" t="s">
        <v>23</v>
      </c>
      <c r="KI16" s="185">
        <f>IFERROR((((COUNTIF('Elève (6ème4)'!KF16:KH16,"A"))*4)+((COUNTIF('Elève (6ème4)'!KF16:KH16,"B"))*3)+((COUNTIF('Elève (6ème4)'!KF16:KH16,"C"))*2)+((COUNTIF('Elève (6ème4)'!KF16:KH16,"D"))*1))/(COUNTA(KF16:KH16)),"")</f>
        <v>4</v>
      </c>
      <c r="KJ16" s="186" t="str">
        <f t="shared" si="68"/>
        <v>A</v>
      </c>
      <c r="KK16" s="172" t="s">
        <v>23</v>
      </c>
      <c r="KL16" s="107"/>
      <c r="KM16" s="108"/>
      <c r="KN16" s="185">
        <f>IFERROR((((COUNTIF('Elève (6ème4)'!KK16:KM16,"A"))*4)+((COUNTIF('Elève (6ème4)'!KK16:KM16,"B"))*3)+((COUNTIF('Elève (6ème4)'!KK16:KM16,"C"))*2)+((COUNTIF('Elève (6ème4)'!KK16:KM16,"D"))*1))/(COUNTA(KK16:KM16)),"")</f>
        <v>4</v>
      </c>
      <c r="KO16" s="186" t="str">
        <f t="shared" si="69"/>
        <v>A</v>
      </c>
      <c r="KP16" s="172" t="s">
        <v>23</v>
      </c>
      <c r="KQ16" s="107" t="s">
        <v>24</v>
      </c>
      <c r="KR16" s="108"/>
      <c r="KS16" s="185">
        <f>IFERROR((((COUNTIF('Elève (6ème4)'!KP16:KR16,"A"))*4)+((COUNTIF('Elève (6ème4)'!KP16:KR16,"B"))*3)+((COUNTIF('Elève (6ème4)'!KP16:KR16,"C"))*2)+((COUNTIF('Elève (6ème4)'!KP16:KR16,"D"))*1))/(COUNTA(KP16:KR16)),"")</f>
        <v>3.5</v>
      </c>
      <c r="KT16" s="186" t="str">
        <f t="shared" si="70"/>
        <v>B</v>
      </c>
      <c r="KU16" s="185">
        <f>IF(COUNT(KI16,KN16,KS16)=0,"",SUM(KI16,KN16,KS16)/COUNT(KI16,KN16,KS16))</f>
        <v>3.8333333333333335</v>
      </c>
      <c r="KV16" s="208" t="str">
        <f t="shared" si="71"/>
        <v>A</v>
      </c>
      <c r="KW16" s="217"/>
      <c r="KX16" s="107"/>
      <c r="KY16" s="108" t="s">
        <v>23</v>
      </c>
      <c r="KZ16" s="185">
        <f>IFERROR((((COUNTIF('Elève (6ème4)'!KW16:KY16,"A"))*4)+((COUNTIF('Elève (6ème4)'!KW16:KY16,"B"))*3)+((COUNTIF('Elève (6ème4)'!KW16:KY16,"C"))*2)+((COUNTIF('Elève (6ème4)'!KW16:KY16,"D"))*1))/(COUNTA(KW16:KY16)),"")</f>
        <v>4</v>
      </c>
      <c r="LA16" s="186" t="str">
        <f t="shared" si="72"/>
        <v>A</v>
      </c>
      <c r="LB16" s="172" t="s">
        <v>23</v>
      </c>
      <c r="LC16" s="107"/>
      <c r="LD16" s="108"/>
      <c r="LE16" s="185">
        <f>IFERROR((((COUNTIF('Elève (6ème4)'!LB16:LD16,"A"))*4)+((COUNTIF('Elève (6ème4)'!LB16:LD16,"B"))*3)+((COUNTIF('Elève (6ème4)'!LB16:LD16,"C"))*2)+((COUNTIF('Elève (6ème4)'!LB16:LD16,"D"))*1))/(COUNTA(LB16:LD16)),"")</f>
        <v>4</v>
      </c>
      <c r="LF16" s="186" t="str">
        <f t="shared" si="73"/>
        <v>A</v>
      </c>
      <c r="LG16" s="172" t="s">
        <v>23</v>
      </c>
      <c r="LH16" s="107" t="s">
        <v>24</v>
      </c>
      <c r="LI16" s="108"/>
      <c r="LJ16" s="185">
        <f>IFERROR((((COUNTIF('Elève (6ème4)'!LG16:LI16,"A"))*4)+((COUNTIF('Elève (6ème4)'!LG16:LI16,"B"))*3)+((COUNTIF('Elève (6ème4)'!LG16:LI16,"C"))*2)+((COUNTIF('Elève (6ème4)'!LG16:LI16,"D"))*1))/(COUNTA(LG16:LI16)),"")</f>
        <v>3.5</v>
      </c>
      <c r="LK16" s="186" t="str">
        <f t="shared" si="74"/>
        <v>B</v>
      </c>
      <c r="LL16" s="185">
        <f>IF(COUNT(KZ16,LE16,LJ16)=0,"",SUM(KZ16,LE16,LJ16)/COUNT(KZ16,LE16,LJ16))</f>
        <v>3.8333333333333335</v>
      </c>
      <c r="LM16" s="208" t="str">
        <f t="shared" si="75"/>
        <v>A</v>
      </c>
      <c r="LN16" s="217"/>
      <c r="LO16" s="107"/>
      <c r="LP16" s="108" t="s">
        <v>23</v>
      </c>
      <c r="LQ16" s="185">
        <f>IFERROR((((COUNTIF('Elève (6ème4)'!LN16:LP16,"A"))*4)+((COUNTIF('Elève (6ème4)'!LN16:LP16,"B"))*3)+((COUNTIF('Elève (6ème4)'!LN16:LP16,"C"))*2)+((COUNTIF('Elève (6ème4)'!LN16:LP16,"D"))*1))/(COUNTA(LN16:LP16)),"")</f>
        <v>4</v>
      </c>
      <c r="LR16" s="186" t="str">
        <f t="shared" si="76"/>
        <v>A</v>
      </c>
      <c r="LS16" s="172" t="s">
        <v>24</v>
      </c>
      <c r="LT16" s="107"/>
      <c r="LU16" s="108"/>
      <c r="LV16" s="185">
        <f>IFERROR((((COUNTIF('Elève (6ème4)'!LS16:LU16,"A"))*4)+((COUNTIF('Elève (6ème4)'!LS16:LU16,"B"))*3)+((COUNTIF('Elève (6ème4)'!LS16:LU16,"C"))*2)+((COUNTIF('Elève (6ème4)'!LS16:LU16,"D"))*1))/(COUNTA(LS16:LU16)),"")</f>
        <v>3</v>
      </c>
      <c r="LW16" s="186" t="str">
        <f t="shared" si="77"/>
        <v>B</v>
      </c>
      <c r="LX16" s="172" t="s">
        <v>24</v>
      </c>
      <c r="LY16" s="107" t="s">
        <v>24</v>
      </c>
      <c r="LZ16" s="108"/>
      <c r="MA16" s="185">
        <f>IFERROR((((COUNTIF('Elève (6ème4)'!LX16:LZ16,"A"))*4)+((COUNTIF('Elève (6ème4)'!LX16:LZ16,"B"))*3)+((COUNTIF('Elève (6ème4)'!LX16:LZ16,"C"))*2)+((COUNTIF('Elève (6ème4)'!LX16:LZ16,"D"))*1))/(COUNTA(LX16:LZ16)),"")</f>
        <v>3</v>
      </c>
      <c r="MB16" s="186" t="str">
        <f t="shared" si="78"/>
        <v>B</v>
      </c>
      <c r="MC16" s="185">
        <f>IF(COUNT(LQ16,LV16,MA16)=0,"",SUM(LQ16,LV16,MA16)/COUNT(LQ16,LV16,MA16))</f>
        <v>3.3333333333333335</v>
      </c>
      <c r="MD16" s="208" t="str">
        <f t="shared" si="79"/>
        <v>B</v>
      </c>
      <c r="ME16" s="217"/>
      <c r="MF16" s="107"/>
      <c r="MG16" s="108" t="s">
        <v>24</v>
      </c>
      <c r="MH16" s="185">
        <f>IFERROR((((COUNTIF('Elève (6ème4)'!ME16:MG16,"A"))*4)+((COUNTIF('Elève (6ème4)'!ME16:MG16,"B"))*3)+((COUNTIF('Elève (6ème4)'!ME16:MG16,"C"))*2)+((COUNTIF('Elève (6ème4)'!ME16:MG16,"D"))*1))/(COUNTA(ME16:MG16)),"")</f>
        <v>3</v>
      </c>
      <c r="MI16" s="186" t="str">
        <f t="shared" si="80"/>
        <v>B</v>
      </c>
      <c r="MJ16" s="172" t="s">
        <v>23</v>
      </c>
      <c r="MK16" s="107"/>
      <c r="ML16" s="108"/>
      <c r="MM16" s="185">
        <f>IFERROR((((COUNTIF('Elève (6ème4)'!MJ16:ML16,"A"))*4)+((COUNTIF('Elève (6ème4)'!MJ16:ML16,"B"))*3)+((COUNTIF('Elève (6ème4)'!MJ16:ML16,"C"))*2)+((COUNTIF('Elève (6ème4)'!MJ16:ML16,"D"))*1))/(COUNTA(MJ16:ML16)),"")</f>
        <v>4</v>
      </c>
      <c r="MN16" s="186" t="str">
        <f t="shared" si="81"/>
        <v>A</v>
      </c>
      <c r="MO16" s="172" t="s">
        <v>23</v>
      </c>
      <c r="MP16" s="107" t="s">
        <v>24</v>
      </c>
      <c r="MQ16" s="108"/>
      <c r="MR16" s="185">
        <f>IFERROR((((COUNTIF('Elève (6ème4)'!MO16:MQ16,"A"))*4)+((COUNTIF('Elève (6ème4)'!MO16:MQ16,"B"))*3)+((COUNTIF('Elève (6ème4)'!MO16:MQ16,"C"))*2)+((COUNTIF('Elève (6ème4)'!MO16:MQ16,"D"))*1))/(COUNTA(MO16:MQ16)),"")</f>
        <v>3.5</v>
      </c>
      <c r="MS16" s="186" t="str">
        <f t="shared" si="82"/>
        <v>B</v>
      </c>
      <c r="MT16" s="185">
        <f>IF(COUNT(MH16,MM16,MR16)=0,"",SUM(MH16,MM16,MR16)/COUNT(MH16,MM16,MR16))</f>
        <v>3.5</v>
      </c>
      <c r="MU16" s="208" t="str">
        <f t="shared" si="83"/>
        <v>B</v>
      </c>
      <c r="MV16" s="217"/>
      <c r="MW16" s="107"/>
      <c r="MX16" s="108" t="s">
        <v>23</v>
      </c>
      <c r="MY16" s="185">
        <f>IFERROR((((COUNTIF('Elève (6ème4)'!MV16:MX16,"A"))*4)+((COUNTIF('Elève (6ème4)'!MV16:MX16,"B"))*3)+((COUNTIF('Elève (6ème4)'!MV16:MX16,"C"))*2)+((COUNTIF('Elève (6ème4)'!MV16:MX16,"D"))*1))/(COUNTA(MV16:MX16)),"")</f>
        <v>4</v>
      </c>
      <c r="MZ16" s="186" t="str">
        <f t="shared" si="84"/>
        <v>A</v>
      </c>
      <c r="NA16" s="172" t="s">
        <v>24</v>
      </c>
      <c r="NB16" s="107"/>
      <c r="NC16" s="108"/>
      <c r="ND16" s="185">
        <f>IFERROR((((COUNTIF('Elève (6ème4)'!NA16:NC16,"A"))*4)+((COUNTIF('Elève (6ème4)'!NA16:NC16,"B"))*3)+((COUNTIF('Elève (6ème4)'!NA16:NC16,"C"))*2)+((COUNTIF('Elève (6ème4)'!NA16:NC16,"D"))*1))/(COUNTA(NA16:NC16)),"")</f>
        <v>3</v>
      </c>
      <c r="NE16" s="186" t="str">
        <f t="shared" si="85"/>
        <v>B</v>
      </c>
      <c r="NF16" s="172" t="s">
        <v>23</v>
      </c>
      <c r="NG16" s="107" t="s">
        <v>24</v>
      </c>
      <c r="NH16" s="108"/>
      <c r="NI16" s="185">
        <f>IFERROR((((COUNTIF('Elève (6ème4)'!NF16:NH16,"A"))*4)+((COUNTIF('Elève (6ème4)'!NF16:NH16,"B"))*3)+((COUNTIF('Elève (6ème4)'!NF16:NH16,"C"))*2)+((COUNTIF('Elève (6ème4)'!NF16:NH16,"D"))*1))/(COUNTA(NF16:NH16)),"")</f>
        <v>3.5</v>
      </c>
      <c r="NJ16" s="186" t="str">
        <f t="shared" si="86"/>
        <v>B</v>
      </c>
      <c r="NK16" s="185">
        <f>IF(COUNT(MY16,ND16,NI16)=0,"",SUM(MY16,ND16,NI16)/COUNT(MY16,ND16,NI16))</f>
        <v>3.5</v>
      </c>
      <c r="NL16" s="208" t="str">
        <f t="shared" si="87"/>
        <v>B</v>
      </c>
      <c r="NM16" s="217"/>
      <c r="NN16" s="107"/>
      <c r="NO16" s="108" t="s">
        <v>24</v>
      </c>
      <c r="NP16" s="185">
        <f>IFERROR((((COUNTIF('Elève (6ème4)'!NM16:NO16,"A"))*4)+((COUNTIF('Elève (6ème4)'!NM16:NO16,"B"))*3)+((COUNTIF('Elève (6ème4)'!NM16:NO16,"C"))*2)+((COUNTIF('Elève (6ème4)'!NM16:NO16,"D"))*1))/(COUNTA(NM16:NO16)),"")</f>
        <v>3</v>
      </c>
      <c r="NQ16" s="186" t="str">
        <f t="shared" si="88"/>
        <v>B</v>
      </c>
      <c r="NR16" s="172" t="s">
        <v>25</v>
      </c>
      <c r="NS16" s="107"/>
      <c r="NT16" s="108"/>
      <c r="NU16" s="185">
        <f>IFERROR((((COUNTIF('Elève (6ème4)'!NR16:NT16,"A"))*4)+((COUNTIF('Elève (6ème4)'!NR16:NT16,"B"))*3)+((COUNTIF('Elève (6ème4)'!NR16:NT16,"C"))*2)+((COUNTIF('Elève (6ème4)'!NR16:NT16,"D"))*1))/(COUNTA(NR16:NT16)),"")</f>
        <v>2</v>
      </c>
      <c r="NV16" s="186" t="str">
        <f t="shared" si="89"/>
        <v>C</v>
      </c>
      <c r="NW16" s="172" t="s">
        <v>23</v>
      </c>
      <c r="NX16" s="107" t="s">
        <v>25</v>
      </c>
      <c r="NY16" s="108"/>
      <c r="NZ16" s="185">
        <f>IFERROR((((COUNTIF('Elève (6ème4)'!NW16:NY16,"A"))*4)+((COUNTIF('Elève (6ème4)'!NW16:NY16,"B"))*3)+((COUNTIF('Elève (6ème4)'!NW16:NY16,"C"))*2)+((COUNTIF('Elève (6ème4)'!NW16:NY16,"D"))*1))/(COUNTA(NW16:NY16)),"")</f>
        <v>3</v>
      </c>
      <c r="OA16" s="186" t="str">
        <f t="shared" si="90"/>
        <v>B</v>
      </c>
      <c r="OB16" s="185">
        <f>IF(COUNT(NP16,NU16,NZ16)=0,"",SUM(NP16,NU16,NZ16)/COUNT(NP16,NU16,NZ16))</f>
        <v>2.6666666666666665</v>
      </c>
      <c r="OC16" s="208" t="str">
        <f t="shared" si="91"/>
        <v>C</v>
      </c>
      <c r="OD16" s="217"/>
      <c r="OE16" s="107"/>
      <c r="OF16" s="108" t="s">
        <v>26</v>
      </c>
      <c r="OG16" s="185">
        <f>IFERROR((((COUNTIF('Elève (6ème4)'!OD16:OF16,"A"))*4)+((COUNTIF('Elève (6ème4)'!OD16:OF16,"B"))*3)+((COUNTIF('Elève (6ème4)'!OD16:OF16,"C"))*2)+((COUNTIF('Elève (6ème4)'!OD16:OF16,"D"))*1))/(COUNTA(OD16:OF16)),"")</f>
        <v>1</v>
      </c>
      <c r="OH16" s="186" t="str">
        <f t="shared" si="92"/>
        <v>D</v>
      </c>
      <c r="OI16" s="172" t="s">
        <v>23</v>
      </c>
      <c r="OJ16" s="107"/>
      <c r="OK16" s="108"/>
      <c r="OL16" s="185">
        <f>IFERROR((((COUNTIF('Elève (6ème4)'!OI16:OK16,"A"))*4)+((COUNTIF('Elève (6ème4)'!OI16:OK16,"B"))*3)+((COUNTIF('Elève (6ème4)'!OI16:OK16,"C"))*2)+((COUNTIF('Elève (6ème4)'!OI16:OK16,"D"))*1))/(COUNTA(OI16:OK16)),"")</f>
        <v>4</v>
      </c>
      <c r="OM16" s="186" t="str">
        <f t="shared" si="93"/>
        <v>A</v>
      </c>
      <c r="ON16" s="172" t="s">
        <v>23</v>
      </c>
      <c r="OO16" s="107" t="s">
        <v>24</v>
      </c>
      <c r="OP16" s="108"/>
      <c r="OQ16" s="185">
        <f>IFERROR((((COUNTIF('Elève (6ème4)'!ON16:OP16,"A"))*4)+((COUNTIF('Elève (6ème4)'!ON16:OP16,"B"))*3)+((COUNTIF('Elève (6ème4)'!ON16:OP16,"C"))*2)+((COUNTIF('Elève (6ème4)'!ON16:OP16,"D"))*1))/(COUNTA(ON16:OP16)),"")</f>
        <v>3.5</v>
      </c>
      <c r="OR16" s="186" t="str">
        <f t="shared" si="94"/>
        <v>B</v>
      </c>
      <c r="OS16" s="185">
        <f>IF(COUNT(OG16,OL16,OQ16)=0,"",SUM(OG16,OL16,OQ16)/COUNT(OG16,OL16,OQ16))</f>
        <v>2.8333333333333335</v>
      </c>
      <c r="OT16" s="208" t="str">
        <f t="shared" si="95"/>
        <v>B</v>
      </c>
      <c r="OU16" s="217"/>
      <c r="OV16" s="107"/>
      <c r="OW16" s="108" t="s">
        <v>23</v>
      </c>
      <c r="OX16" s="185">
        <f>IFERROR((((COUNTIF('Elève (6ème4)'!OU16:OW16,"A"))*4)+((COUNTIF('Elève (6ème4)'!OU16:OW16,"B"))*3)+((COUNTIF('Elève (6ème4)'!OU16:OW16,"C"))*2)+((COUNTIF('Elève (6ème4)'!OU16:OW16,"D"))*1))/(COUNTA(OU16:OW16)),"")</f>
        <v>4</v>
      </c>
      <c r="OY16" s="186" t="str">
        <f t="shared" si="96"/>
        <v>A</v>
      </c>
      <c r="OZ16" s="172" t="s">
        <v>23</v>
      </c>
      <c r="PA16" s="107"/>
      <c r="PB16" s="108"/>
      <c r="PC16" s="185">
        <f>IFERROR((((COUNTIF('Elève (6ème4)'!OZ16:PB16,"A"))*4)+((COUNTIF('Elève (6ème4)'!OZ16:PB16,"B"))*3)+((COUNTIF('Elève (6ème4)'!OZ16:PB16,"C"))*2)+((COUNTIF('Elève (6ème4)'!OZ16:PB16,"D"))*1))/(COUNTA(OZ16:PB16)),"")</f>
        <v>4</v>
      </c>
      <c r="PD16" s="186" t="str">
        <f t="shared" si="97"/>
        <v>A</v>
      </c>
      <c r="PE16" s="172" t="s">
        <v>23</v>
      </c>
      <c r="PF16" s="107" t="s">
        <v>24</v>
      </c>
      <c r="PG16" s="108"/>
      <c r="PH16" s="185">
        <f>IFERROR((((COUNTIF('Elève (6ème4)'!PE16:PG16,"A"))*4)+((COUNTIF('Elève (6ème4)'!PE16:PG16,"B"))*3)+((COUNTIF('Elève (6ème4)'!PE16:PG16,"C"))*2)+((COUNTIF('Elève (6ème4)'!PE16:PG16,"D"))*1))/(COUNTA(PE16:PG16)),"")</f>
        <v>3.5</v>
      </c>
      <c r="PI16" s="186" t="str">
        <f t="shared" si="98"/>
        <v>B</v>
      </c>
      <c r="PJ16" s="185">
        <f>IF(COUNT(OX16,PC16,PH16)=0,"",SUM(OX16,PC16,PH16)/COUNT(OX16,PC16,PH16))</f>
        <v>3.8333333333333335</v>
      </c>
      <c r="PK16" s="208" t="str">
        <f t="shared" si="99"/>
        <v>A</v>
      </c>
      <c r="PL16" s="217"/>
      <c r="PM16" s="107"/>
      <c r="PN16" s="108"/>
      <c r="PO16" s="185" t="str">
        <f>IFERROR((((COUNTIF('Elève (6ème4)'!PL16:PN16,"A"))*4)+((COUNTIF('Elève (6ème4)'!PL16:PN16,"B"))*3)+((COUNTIF('Elève (6ème4)'!PL16:PN16,"C"))*2)+((COUNTIF('Elève (6ème4)'!PL16:PN16,"D"))*1))/(COUNTA(PL16:PN16)),"")</f>
        <v/>
      </c>
      <c r="PP16" s="186" t="str">
        <f t="shared" si="100"/>
        <v/>
      </c>
      <c r="PQ16" s="172" t="s">
        <v>24</v>
      </c>
      <c r="PR16" s="107"/>
      <c r="PS16" s="108"/>
      <c r="PT16" s="185">
        <f>IFERROR((((COUNTIF('Elève (6ème4)'!PQ16:PS16,"A"))*4)+((COUNTIF('Elève (6ème4)'!PQ16:PS16,"B"))*3)+((COUNTIF('Elève (6ème4)'!PQ16:PS16,"C"))*2)+((COUNTIF('Elève (6ème4)'!PQ16:PS16,"D"))*1))/(COUNTA(PQ16:PS16)),"")</f>
        <v>3</v>
      </c>
      <c r="PU16" s="186" t="str">
        <f t="shared" si="101"/>
        <v>B</v>
      </c>
      <c r="PV16" s="172" t="s">
        <v>23</v>
      </c>
      <c r="PW16" s="107"/>
      <c r="PX16" s="108"/>
      <c r="PY16" s="185">
        <f>IFERROR((((COUNTIF('Elève (6ème4)'!PV16:PX16,"A"))*4)+((COUNTIF('Elève (6ème4)'!PV16:PX16,"B"))*3)+((COUNTIF('Elève (6ème4)'!PV16:PX16,"C"))*2)+((COUNTIF('Elève (6ème4)'!PV16:PX16,"D"))*1))/(COUNTA(PV16:PX16)),"")</f>
        <v>4</v>
      </c>
      <c r="PZ16" s="186" t="str">
        <f t="shared" si="102"/>
        <v>A</v>
      </c>
      <c r="QA16" s="185">
        <f>IF(COUNT(PO16,PT16,PY16)=0,"",SUM(PO16,PT16,PY16)/COUNT(PO16,PT16,PY16))</f>
        <v>3.5</v>
      </c>
      <c r="QB16" s="208" t="str">
        <f t="shared" si="103"/>
        <v>B</v>
      </c>
      <c r="QC16" s="217"/>
      <c r="QD16" s="107"/>
      <c r="QE16" s="108" t="s">
        <v>23</v>
      </c>
      <c r="QF16" s="185">
        <f>IFERROR((((COUNTIF('Elève (6ème4)'!QC16:QE16,"A"))*4)+((COUNTIF('Elève (6ème4)'!QC16:QE16,"B"))*3)+((COUNTIF('Elève (6ème4)'!QC16:QE16,"C"))*2)+((COUNTIF('Elève (6ème4)'!QC16:QE16,"D"))*1))/(COUNTA(QC16:QE16)),"")</f>
        <v>4</v>
      </c>
      <c r="QG16" s="186" t="str">
        <f t="shared" si="104"/>
        <v>A</v>
      </c>
      <c r="QH16" s="172" t="s">
        <v>23</v>
      </c>
      <c r="QI16" s="107"/>
      <c r="QJ16" s="108"/>
      <c r="QK16" s="185">
        <f>IFERROR((((COUNTIF('Elève (6ème4)'!QH16:QJ16,"A"))*4)+((COUNTIF('Elève (6ème4)'!QH16:QJ16,"B"))*3)+((COUNTIF('Elève (6ème4)'!QH16:QJ16,"C"))*2)+((COUNTIF('Elève (6ème4)'!QH16:QJ16,"D"))*1))/(COUNTA(QH16:QJ16)),"")</f>
        <v>4</v>
      </c>
      <c r="QL16" s="186" t="str">
        <f t="shared" si="105"/>
        <v>A</v>
      </c>
      <c r="QM16" s="172" t="s">
        <v>24</v>
      </c>
      <c r="QN16" s="107" t="s">
        <v>24</v>
      </c>
      <c r="QO16" s="108"/>
      <c r="QP16" s="185">
        <f>IFERROR((((COUNTIF('Elève (6ème4)'!QM16:QO16,"A"))*4)+((COUNTIF('Elève (6ème4)'!QM16:QO16,"B"))*3)+((COUNTIF('Elève (6ème4)'!QM16:QO16,"C"))*2)+((COUNTIF('Elève (6ème4)'!QM16:QO16,"D"))*1))/(COUNTA(QM16:QO16)),"")</f>
        <v>3</v>
      </c>
      <c r="QQ16" s="186" t="str">
        <f t="shared" si="106"/>
        <v>B</v>
      </c>
      <c r="QR16" s="185">
        <f>IF(COUNT(QF16,QK16,QP16)=0,"",SUM(QF16,QK16,QP16)/COUNT(QF16,QK16,QP16))</f>
        <v>3.6666666666666665</v>
      </c>
      <c r="QS16" s="208" t="str">
        <f t="shared" si="107"/>
        <v>B</v>
      </c>
      <c r="QT16" s="112"/>
      <c r="QU16" s="107"/>
      <c r="QV16" s="108" t="s">
        <v>26</v>
      </c>
      <c r="QW16" s="109">
        <f>IFERROR((((COUNTIF('Elève (6ème4)'!QT16:QV16,"A"))*4)+((COUNTIF('Elève (6ème4)'!QT16:QV16,"B"))*3)+((COUNTIF('Elève (6ème4)'!QT16:QV16,"C"))*2)+((COUNTIF('Elève (6ème4)'!QT16:QV16,"D"))*1))/(COUNTA(QT16:QV16)),"")</f>
        <v>1</v>
      </c>
      <c r="QX16" s="110" t="str">
        <f t="shared" si="108"/>
        <v>D</v>
      </c>
      <c r="QY16" s="106" t="s">
        <v>24</v>
      </c>
      <c r="QZ16" s="107"/>
      <c r="RA16" s="108"/>
      <c r="RB16" s="109">
        <f>IFERROR((((COUNTIF('Elève (6ème4)'!QY16:RA16,"A"))*4)+((COUNTIF('Elève (6ème4)'!QY16:RA16,"B"))*3)+((COUNTIF('Elève (6ème4)'!QY16:RA16,"C"))*2)+((COUNTIF('Elève (6ème4)'!QY16:RA16,"D"))*1))/(COUNTA(QY16:RA16)),"")</f>
        <v>3</v>
      </c>
      <c r="RC16" s="110" t="str">
        <f t="shared" si="109"/>
        <v>B</v>
      </c>
      <c r="RD16" s="106" t="s">
        <v>23</v>
      </c>
      <c r="RE16" s="107" t="s">
        <v>24</v>
      </c>
      <c r="RF16" s="108"/>
      <c r="RG16" s="109">
        <f>IFERROR((((COUNTIF('Elève (6ème4)'!RD16:RF16,"A"))*4)+((COUNTIF('Elève (6ème4)'!RD16:RF16,"B"))*3)+((COUNTIF('Elève (6ème4)'!RD16:RF16,"C"))*2)+((COUNTIF('Elève (6ème4)'!RD16:RF16,"D"))*1))/(COUNTA(RD16:RF16)),"")</f>
        <v>3.5</v>
      </c>
      <c r="RH16" s="110" t="str">
        <f t="shared" si="110"/>
        <v>B</v>
      </c>
      <c r="RI16" s="109">
        <f>IF(COUNT(QW16,RB16,RG16)=0,"",SUM(QW16,RB16,RG16)/COUNT(QW16,RB16,RG16))</f>
        <v>2.5</v>
      </c>
      <c r="RJ16" s="111" t="str">
        <f t="shared" si="111"/>
        <v>C</v>
      </c>
      <c r="RK16" s="112"/>
      <c r="RL16" s="107"/>
      <c r="RM16" s="108"/>
      <c r="RN16" s="109" t="str">
        <f>IFERROR((((COUNTIF('Elève (6ème4)'!RK16:RM16,"A"))*4)+((COUNTIF('Elève (6ème4)'!RK16:RM16,"B"))*3)+((COUNTIF('Elève (6ème4)'!RK16:RM16,"C"))*2)+((COUNTIF('Elève (6ème4)'!RK16:RM16,"D"))*1))/(COUNTA(RK16:RM16)),"")</f>
        <v/>
      </c>
      <c r="RO16" s="110" t="str">
        <f t="shared" si="112"/>
        <v/>
      </c>
      <c r="RP16" s="106"/>
      <c r="RQ16" s="107"/>
      <c r="RR16" s="108"/>
      <c r="RS16" s="109" t="str">
        <f>IFERROR((((COUNTIF('Elève (6ème4)'!RP16:RR16,"A"))*4)+((COUNTIF('Elève (6ème4)'!RP16:RR16,"B"))*3)+((COUNTIF('Elève (6ème4)'!RP16:RR16,"C"))*2)+((COUNTIF('Elève (6ème4)'!RP16:RR16,"D"))*1))/(COUNTA(RP16:RR16)),"")</f>
        <v/>
      </c>
      <c r="RT16" s="110" t="str">
        <f t="shared" si="113"/>
        <v/>
      </c>
      <c r="RU16" s="106"/>
      <c r="RV16" s="107"/>
      <c r="RW16" s="108"/>
      <c r="RX16" s="109" t="str">
        <f>IFERROR((((COUNTIF('Elève (6ème4)'!RU16:RW16,"A"))*4)+((COUNTIF('Elève (6ème4)'!RU16:RW16,"B"))*3)+((COUNTIF('Elève (6ème4)'!RU16:RW16,"C"))*2)+((COUNTIF('Elève (6ème4)'!RU16:RW16,"D"))*1))/(COUNTA(RU16:RW16)),"")</f>
        <v/>
      </c>
      <c r="RY16" s="110" t="str">
        <f t="shared" si="114"/>
        <v/>
      </c>
      <c r="RZ16" s="109" t="str">
        <f>IF(COUNT(RN16,RS16,RX16)=0,"",SUM(RN16,RS16,RX16)/COUNT(RN16,RS16,RX16))</f>
        <v/>
      </c>
      <c r="SA16" s="111" t="str">
        <f t="shared" si="115"/>
        <v/>
      </c>
      <c r="SB16" s="112"/>
      <c r="SC16" s="107"/>
      <c r="SD16" s="108"/>
      <c r="SE16" s="109" t="str">
        <f>IFERROR((((COUNTIF('Elève (6ème4)'!SB16:SD16,"A"))*4)+((COUNTIF('Elève (6ème4)'!SB16:SD16,"B"))*3)+((COUNTIF('Elève (6ème4)'!SB16:SD16,"C"))*2)+((COUNTIF('Elève (6ème4)'!SB16:SD16,"D"))*1))/(COUNTA(SB16:SD16)),"")</f>
        <v/>
      </c>
      <c r="SF16" s="110" t="str">
        <f t="shared" si="116"/>
        <v/>
      </c>
      <c r="SG16" s="106"/>
      <c r="SH16" s="107"/>
      <c r="SI16" s="108"/>
      <c r="SJ16" s="109" t="str">
        <f>IFERROR((((COUNTIF('Elève (6ème4)'!SG16:SI16,"A"))*4)+((COUNTIF('Elève (6ème4)'!SG16:SI16,"B"))*3)+((COUNTIF('Elève (6ème4)'!SG16:SI16,"C"))*2)+((COUNTIF('Elève (6ème4)'!SG16:SI16,"D"))*1))/(COUNTA(SG16:SI16)),"")</f>
        <v/>
      </c>
      <c r="SK16" s="110" t="str">
        <f t="shared" si="117"/>
        <v/>
      </c>
      <c r="SL16" s="106"/>
      <c r="SM16" s="107"/>
      <c r="SN16" s="108"/>
      <c r="SO16" s="109" t="str">
        <f>IFERROR((((COUNTIF('Elève (6ème4)'!SL16:SN16,"A"))*4)+((COUNTIF('Elève (6ème4)'!SL16:SN16,"B"))*3)+((COUNTIF('Elève (6ème4)'!SL16:SN16,"C"))*2)+((COUNTIF('Elève (6ème4)'!SL16:SN16,"D"))*1))/(COUNTA(SL16:SN16)),"")</f>
        <v/>
      </c>
      <c r="SP16" s="110" t="str">
        <f t="shared" si="118"/>
        <v/>
      </c>
      <c r="SQ16" s="109" t="str">
        <f>IF(COUNT(SE16,SJ16,SO16)=0,"",SUM(SE16,SJ16,SO16)/COUNT(SE16,SJ16,SO16))</f>
        <v/>
      </c>
      <c r="SR16" s="111" t="str">
        <f t="shared" si="119"/>
        <v/>
      </c>
      <c r="SS16" s="112"/>
      <c r="ST16" s="107"/>
      <c r="SU16" s="108"/>
      <c r="SV16" s="109" t="str">
        <f>IFERROR((((COUNTIF('Elève (6ème4)'!SS16:SU16,"A"))*4)+((COUNTIF('Elève (6ème4)'!SS16:SU16,"B"))*3)+((COUNTIF('Elève (6ème4)'!SS16:SU16,"C"))*2)+((COUNTIF('Elève (6ème4)'!SS16:SU16,"D"))*1))/(COUNTA(SS16:SU16)),"")</f>
        <v/>
      </c>
      <c r="SW16" s="110" t="str">
        <f t="shared" si="120"/>
        <v/>
      </c>
      <c r="SX16" s="106"/>
      <c r="SY16" s="107"/>
      <c r="SZ16" s="108"/>
      <c r="TA16" s="109" t="str">
        <f>IFERROR((((COUNTIF('Elève (6ème4)'!SX16:SZ16,"A"))*4)+((COUNTIF('Elève (6ème4)'!SX16:SZ16,"B"))*3)+((COUNTIF('Elève (6ème4)'!SX16:SZ16,"C"))*2)+((COUNTIF('Elève (6ème4)'!SX16:SZ16,"D"))*1))/(COUNTA(SX16:SZ16)),"")</f>
        <v/>
      </c>
      <c r="TB16" s="110" t="str">
        <f t="shared" si="121"/>
        <v/>
      </c>
      <c r="TC16" s="106"/>
      <c r="TD16" s="107"/>
      <c r="TE16" s="108"/>
      <c r="TF16" s="109" t="str">
        <f>IFERROR((((COUNTIF('Elève (6ème4)'!TC16:TE16,"A"))*4)+((COUNTIF('Elève (6ème4)'!TC16:TE16,"B"))*3)+((COUNTIF('Elève (6ème4)'!TC16:TE16,"C"))*2)+((COUNTIF('Elève (6ème4)'!TC16:TE16,"D"))*1))/(COUNTA(TC16:TE16)),"")</f>
        <v/>
      </c>
      <c r="TG16" s="110" t="str">
        <f t="shared" si="122"/>
        <v/>
      </c>
      <c r="TH16" s="109" t="str">
        <f>IF(COUNT(SV16,TA16,TF16)=0,"",SUM(SV16,TA16,TF16)/COUNT(SV16,TA16,TF16))</f>
        <v/>
      </c>
      <c r="TI16" s="111" t="str">
        <f t="shared" si="123"/>
        <v/>
      </c>
      <c r="TJ16" s="112"/>
      <c r="TK16" s="107"/>
      <c r="TL16" s="108"/>
      <c r="TM16" s="109" t="str">
        <f>IFERROR((((COUNTIF('Elève (6ème4)'!TJ16:TL16,"A"))*4)+((COUNTIF('Elève (6ème4)'!TJ16:TL16,"B"))*3)+((COUNTIF('Elève (6ème4)'!TJ16:TL16,"C"))*2)+((COUNTIF('Elève (6ème4)'!TJ16:TL16,"D"))*1))/(COUNTA(TJ16:TL16)),"")</f>
        <v/>
      </c>
      <c r="TN16" s="110" t="str">
        <f t="shared" si="124"/>
        <v/>
      </c>
      <c r="TO16" s="106"/>
      <c r="TP16" s="107"/>
      <c r="TQ16" s="108"/>
      <c r="TR16" s="109" t="str">
        <f>IFERROR((((COUNTIF('Elève (6ème4)'!TO16:TQ16,"A"))*4)+((COUNTIF('Elève (6ème4)'!TO16:TQ16,"B"))*3)+((COUNTIF('Elève (6ème4)'!TO16:TQ16,"C"))*2)+((COUNTIF('Elève (6ème4)'!TO16:TQ16,"D"))*1))/(COUNTA(TO16:TQ16)),"")</f>
        <v/>
      </c>
      <c r="TS16" s="110" t="str">
        <f t="shared" si="125"/>
        <v/>
      </c>
      <c r="TT16" s="106"/>
      <c r="TU16" s="107"/>
      <c r="TV16" s="108"/>
      <c r="TW16" s="109" t="str">
        <f>IFERROR((((COUNTIF('Elève (6ème4)'!TT16:TV16,"A"))*4)+((COUNTIF('Elève (6ème4)'!TT16:TV16,"B"))*3)+((COUNTIF('Elève (6ème4)'!TT16:TV16,"C"))*2)+((COUNTIF('Elève (6ème4)'!TT16:TV16,"D"))*1))/(COUNTA(TT16:TV16)),"")</f>
        <v/>
      </c>
      <c r="TX16" s="110" t="str">
        <f t="shared" si="126"/>
        <v/>
      </c>
      <c r="TY16" s="109" t="str">
        <f>IF(COUNT(TM16,TR16,TW16)=0,"",SUM(TM16,TR16,TW16)/COUNT(TM16,TR16,TW16))</f>
        <v/>
      </c>
      <c r="TZ16" s="111" t="str">
        <f t="shared" si="127"/>
        <v/>
      </c>
    </row>
    <row r="17" spans="1:546" ht="15.75" thickBot="1" x14ac:dyDescent="0.3">
      <c r="A17" s="242" t="s">
        <v>20</v>
      </c>
      <c r="B17" s="243"/>
      <c r="C17" s="120"/>
      <c r="D17" s="121"/>
      <c r="E17" s="122" t="s">
        <v>24</v>
      </c>
      <c r="F17" s="188">
        <f>IFERROR((((COUNTIF('Elève (6ème4)'!C17:E17,"A"))*4)+((COUNTIF('Elève (6ème4)'!C17:E17,"B"))*3)+((COUNTIF('Elève (6ème4)'!C17:E17,"C"))*2)+((COUNTIF('Elève (6ème4)'!C17:E17,"D"))*1))/(COUNTA(C17:E17)),"")</f>
        <v>3</v>
      </c>
      <c r="G17" s="187" t="str">
        <f t="shared" si="0"/>
        <v>B</v>
      </c>
      <c r="H17" s="120"/>
      <c r="I17" s="121"/>
      <c r="J17" s="122"/>
      <c r="K17" s="188" t="str">
        <f>IFERROR((((COUNTIF('Elève (6ème4)'!H17:J17,"A"))*4)+((COUNTIF('Elève (6ème4)'!H17:J17,"B"))*3)+((COUNTIF('Elève (6ème4)'!H17:J17,"C"))*2)+((COUNTIF('Elève (6ème4)'!H17:J17,"D"))*1))/(COUNTA(H17:J17)),"")</f>
        <v/>
      </c>
      <c r="L17" s="187" t="str">
        <f t="shared" si="1"/>
        <v/>
      </c>
      <c r="M17" s="120" t="s">
        <v>23</v>
      </c>
      <c r="N17" s="121" t="s">
        <v>25</v>
      </c>
      <c r="O17" s="122"/>
      <c r="P17" s="188">
        <f>IFERROR((((COUNTIF('Elève (6ème4)'!M17:O17,"A"))*4)+((COUNTIF('Elève (6ème4)'!M17:O17,"B"))*3)+((COUNTIF('Elève (6ème4)'!M17:O17,"C"))*2)+((COUNTIF('Elève (6ème4)'!M17:O17,"D"))*1))/(COUNTA(M17:O17)),"")</f>
        <v>3</v>
      </c>
      <c r="Q17" s="187" t="str">
        <f t="shared" si="2"/>
        <v>B</v>
      </c>
      <c r="R17" s="188">
        <f>IF(COUNT(F17,K17,P17)=0,"",SUM(F17,K17,P17)/COUNT(F17,K17,P17))</f>
        <v>3</v>
      </c>
      <c r="S17" s="212" t="str">
        <f t="shared" si="3"/>
        <v>B</v>
      </c>
      <c r="T17" s="125"/>
      <c r="U17" s="121"/>
      <c r="V17" s="122" t="s">
        <v>25</v>
      </c>
      <c r="W17" s="188">
        <f>IFERROR((((COUNTIF('Elève (6ème4)'!T17:V17,"A"))*4)+((COUNTIF('Elève (6ème4)'!T17:V17,"B"))*3)+((COUNTIF('Elève (6ème4)'!T17:V17,"C"))*2)+((COUNTIF('Elève (6ème4)'!T17:V17,"D"))*1))/(COUNTA(T17:V17)),"")</f>
        <v>2</v>
      </c>
      <c r="X17" s="187" t="str">
        <f t="shared" si="4"/>
        <v>C</v>
      </c>
      <c r="Y17" s="120"/>
      <c r="Z17" s="121"/>
      <c r="AA17" s="122"/>
      <c r="AB17" s="188" t="str">
        <f>IFERROR((((COUNTIF('Elève (6ème4)'!Y17:AA17,"A"))*4)+((COUNTIF('Elève (6ème4)'!Y17:AA17,"B"))*3)+((COUNTIF('Elève (6ème4)'!Y17:AA17,"C"))*2)+((COUNTIF('Elève (6ème4)'!Y17:AA17,"D"))*1))/(COUNTA(Y17:AA17)),"")</f>
        <v/>
      </c>
      <c r="AC17" s="187" t="str">
        <f t="shared" si="5"/>
        <v/>
      </c>
      <c r="AD17" s="120" t="s">
        <v>25</v>
      </c>
      <c r="AE17" s="121" t="s">
        <v>24</v>
      </c>
      <c r="AF17" s="122"/>
      <c r="AG17" s="188">
        <f>IFERROR((((COUNTIF('Elève (6ème4)'!AD17:AF17,"A"))*4)+((COUNTIF('Elève (6ème4)'!AD17:AF17,"B"))*3)+((COUNTIF('Elève (6ème4)'!AD17:AF17,"C"))*2)+((COUNTIF('Elève (6ème4)'!AD17:AF17,"D"))*1))/(COUNTA(AD17:AF17)),"")</f>
        <v>2.5</v>
      </c>
      <c r="AH17" s="187" t="str">
        <f t="shared" si="6"/>
        <v>C</v>
      </c>
      <c r="AI17" s="188">
        <f>IF(COUNT(W17,AB17,AG17)=0,"",SUM(W17,AB17,AG17)/COUNT(W17,AB17,AG17))</f>
        <v>2.25</v>
      </c>
      <c r="AJ17" s="212" t="str">
        <f t="shared" si="7"/>
        <v>C</v>
      </c>
      <c r="AK17" s="125"/>
      <c r="AL17" s="121"/>
      <c r="AM17" s="122" t="s">
        <v>23</v>
      </c>
      <c r="AN17" s="188">
        <f>IFERROR((((COUNTIF('Elève (6ème4)'!AK17:AM17,"A"))*4)+((COUNTIF('Elève (6ème4)'!AK17:AM17,"B"))*3)+((COUNTIF('Elève (6ème4)'!AK17:AM17,"C"))*2)+((COUNTIF('Elève (6ème4)'!AK17:AM17,"D"))*1))/(COUNTA(AK17:AM17)),"")</f>
        <v>4</v>
      </c>
      <c r="AO17" s="187" t="str">
        <f t="shared" si="8"/>
        <v>A</v>
      </c>
      <c r="AP17" s="120"/>
      <c r="AQ17" s="121"/>
      <c r="AR17" s="122"/>
      <c r="AS17" s="188" t="str">
        <f>IFERROR((((COUNTIF('Elève (6ème4)'!AP17:AR17,"A"))*4)+((COUNTIF('Elève (6ème4)'!AP17:AR17,"B"))*3)+((COUNTIF('Elève (6ème4)'!AP17:AR17,"C"))*2)+((COUNTIF('Elève (6ème4)'!AP17:AR17,"D"))*1))/(COUNTA(AP17:AR17)),"")</f>
        <v/>
      </c>
      <c r="AT17" s="187" t="str">
        <f t="shared" si="9"/>
        <v/>
      </c>
      <c r="AU17" s="120" t="s">
        <v>24</v>
      </c>
      <c r="AV17" s="121" t="s">
        <v>25</v>
      </c>
      <c r="AW17" s="122"/>
      <c r="AX17" s="188">
        <f>IFERROR((((COUNTIF('Elève (6ème4)'!AU17:AW17,"A"))*4)+((COUNTIF('Elève (6ème4)'!AU17:AW17,"B"))*3)+((COUNTIF('Elève (6ème4)'!AU17:AW17,"C"))*2)+((COUNTIF('Elève (6ème4)'!AU17:AW17,"D"))*1))/(COUNTA(AU17:AW17)),"")</f>
        <v>2.5</v>
      </c>
      <c r="AY17" s="187" t="str">
        <f t="shared" si="10"/>
        <v>C</v>
      </c>
      <c r="AZ17" s="188">
        <f>IF(COUNT(AN17,AS17,AX17)=0,"",SUM(AN17,AS17,AX17)/COUNT(AN17,AS17,AX17))</f>
        <v>3.25</v>
      </c>
      <c r="BA17" s="212" t="str">
        <f t="shared" si="11"/>
        <v>B</v>
      </c>
      <c r="BB17" s="125"/>
      <c r="BC17" s="121"/>
      <c r="BD17" s="122" t="s">
        <v>25</v>
      </c>
      <c r="BE17" s="188">
        <f>IFERROR((((COUNTIF('Elève (6ème4)'!BB17:BD17,"A"))*4)+((COUNTIF('Elève (6ème4)'!BB17:BD17,"B"))*3)+((COUNTIF('Elève (6ème4)'!BB17:BD17,"C"))*2)+((COUNTIF('Elève (6ème4)'!BB17:BD17,"D"))*1))/(COUNTA(BB17:BD17)),"")</f>
        <v>2</v>
      </c>
      <c r="BF17" s="187" t="str">
        <f t="shared" si="12"/>
        <v>C</v>
      </c>
      <c r="BG17" s="120"/>
      <c r="BH17" s="121"/>
      <c r="BI17" s="122"/>
      <c r="BJ17" s="188" t="str">
        <f>IFERROR((((COUNTIF('Elève (6ème4)'!BG17:BI17,"A"))*4)+((COUNTIF('Elève (6ème4)'!BG17:BI17,"B"))*3)+((COUNTIF('Elève (6ème4)'!BG17:BI17,"C"))*2)+((COUNTIF('Elève (6ème4)'!BG17:BI17,"D"))*1))/(COUNTA(BG17:BI17)),"")</f>
        <v/>
      </c>
      <c r="BK17" s="187" t="str">
        <f t="shared" si="13"/>
        <v/>
      </c>
      <c r="BL17" s="120" t="s">
        <v>24</v>
      </c>
      <c r="BM17" s="121" t="s">
        <v>24</v>
      </c>
      <c r="BN17" s="122"/>
      <c r="BO17" s="188">
        <f>IFERROR((((COUNTIF('Elève (6ème4)'!BL17:BN17,"A"))*4)+((COUNTIF('Elève (6ème4)'!BL17:BN17,"B"))*3)+((COUNTIF('Elève (6ème4)'!BL17:BN17,"C"))*2)+((COUNTIF('Elève (6ème4)'!BL17:BN17,"D"))*1))/(COUNTA(BL17:BN17)),"")</f>
        <v>3</v>
      </c>
      <c r="BP17" s="187" t="str">
        <f t="shared" si="14"/>
        <v>B</v>
      </c>
      <c r="BQ17" s="188">
        <f>IF(COUNT(BE17,BJ17,BO17)=0,"",SUM(BE17,BJ17,BO17)/COUNT(BE17,BJ17,BO17))</f>
        <v>2.5</v>
      </c>
      <c r="BR17" s="212" t="str">
        <f t="shared" si="15"/>
        <v>C</v>
      </c>
      <c r="BS17" s="125"/>
      <c r="BT17" s="121"/>
      <c r="BU17" s="122" t="s">
        <v>25</v>
      </c>
      <c r="BV17" s="188">
        <f>IFERROR((((COUNTIF('Elève (6ème4)'!BS17:BU17,"A"))*4)+((COUNTIF('Elève (6ème4)'!BS17:BU17,"B"))*3)+((COUNTIF('Elève (6ème4)'!BS17:BU17,"C"))*2)+((COUNTIF('Elève (6ème4)'!BS17:BU17,"D"))*1))/(COUNTA(BS17:BU17)),"")</f>
        <v>2</v>
      </c>
      <c r="BW17" s="187" t="str">
        <f t="shared" si="16"/>
        <v>C</v>
      </c>
      <c r="BX17" s="120"/>
      <c r="BY17" s="121"/>
      <c r="BZ17" s="122"/>
      <c r="CA17" s="188" t="str">
        <f>IFERROR((((COUNTIF('Elève (6ème4)'!BX17:BZ17,"A"))*4)+((COUNTIF('Elève (6ème4)'!BX17:BZ17,"B"))*3)+((COUNTIF('Elève (6ème4)'!BX17:BZ17,"C"))*2)+((COUNTIF('Elève (6ème4)'!BX17:BZ17,"D"))*1))/(COUNTA(BX17:BZ17)),"")</f>
        <v/>
      </c>
      <c r="CB17" s="187" t="str">
        <f t="shared" si="17"/>
        <v/>
      </c>
      <c r="CC17" s="120" t="s">
        <v>24</v>
      </c>
      <c r="CD17" s="121" t="s">
        <v>26</v>
      </c>
      <c r="CE17" s="122"/>
      <c r="CF17" s="188">
        <f>IFERROR((((COUNTIF('Elève (6ème4)'!CC17:CE17,"A"))*4)+((COUNTIF('Elève (6ème4)'!CC17:CE17,"B"))*3)+((COUNTIF('Elève (6ème4)'!CC17:CE17,"C"))*2)+((COUNTIF('Elève (6ème4)'!CC17:CE17,"D"))*1))/(COUNTA(CC17:CE17)),"")</f>
        <v>2</v>
      </c>
      <c r="CG17" s="187" t="str">
        <f t="shared" si="18"/>
        <v>C</v>
      </c>
      <c r="CH17" s="188">
        <f>IF(COUNT(BV17,CA17,CF17)=0,"",SUM(BV17,CA17,CF17)/COUNT(BV17,CA17,CF17))</f>
        <v>2</v>
      </c>
      <c r="CI17" s="212" t="str">
        <f t="shared" si="19"/>
        <v>C</v>
      </c>
      <c r="CJ17" s="125"/>
      <c r="CK17" s="121"/>
      <c r="CL17" s="122" t="s">
        <v>23</v>
      </c>
      <c r="CM17" s="188">
        <f>IFERROR((((COUNTIF('Elève (6ème4)'!CJ17:CL17,"A"))*4)+((COUNTIF('Elève (6ème4)'!CJ17:CL17,"B"))*3)+((COUNTIF('Elève (6ème4)'!CJ17:CL17,"C"))*2)+((COUNTIF('Elève (6ème4)'!CJ17:CL17,"D"))*1))/(COUNTA(CJ17:CL17)),"")</f>
        <v>4</v>
      </c>
      <c r="CN17" s="187" t="str">
        <f t="shared" si="20"/>
        <v>A</v>
      </c>
      <c r="CO17" s="120"/>
      <c r="CP17" s="121"/>
      <c r="CQ17" s="122"/>
      <c r="CR17" s="188" t="str">
        <f>IFERROR((((COUNTIF('Elève (6ème4)'!CO17:CQ17,"A"))*4)+((COUNTIF('Elève (6ème4)'!CO17:CQ17,"B"))*3)+((COUNTIF('Elève (6ème4)'!CO17:CQ17,"C"))*2)+((COUNTIF('Elève (6ème4)'!CO17:CQ17,"D"))*1))/(COUNTA(CO17:CQ17)),"")</f>
        <v/>
      </c>
      <c r="CS17" s="187" t="str">
        <f t="shared" si="21"/>
        <v/>
      </c>
      <c r="CT17" s="120" t="s">
        <v>23</v>
      </c>
      <c r="CU17" s="121" t="s">
        <v>25</v>
      </c>
      <c r="CV17" s="122"/>
      <c r="CW17" s="188">
        <f>IFERROR((((COUNTIF('Elève (6ème4)'!CT17:CV17,"A"))*4)+((COUNTIF('Elève (6ème4)'!CT17:CV17,"B"))*3)+((COUNTIF('Elève (6ème4)'!CT17:CV17,"C"))*2)+((COUNTIF('Elève (6ème4)'!CT17:CV17,"D"))*1))/(COUNTA(CT17:CV17)),"")</f>
        <v>3</v>
      </c>
      <c r="CX17" s="187" t="str">
        <f t="shared" si="22"/>
        <v>B</v>
      </c>
      <c r="CY17" s="188">
        <f>IF(COUNT(CM17,CR17,CW17)=0,"",SUM(CM17,CR17,CW17)/COUNT(CM17,CR17,CW17))</f>
        <v>3.5</v>
      </c>
      <c r="CZ17" s="212" t="str">
        <f t="shared" si="23"/>
        <v>B</v>
      </c>
      <c r="DA17" s="125"/>
      <c r="DB17" s="121"/>
      <c r="DC17" s="122" t="s">
        <v>24</v>
      </c>
      <c r="DD17" s="188">
        <f>IFERROR((((COUNTIF('Elève (6ème4)'!DA17:DC17,"A"))*4)+((COUNTIF('Elève (6ème4)'!DA17:DC17,"B"))*3)+((COUNTIF('Elève (6ème4)'!DA17:DC17,"C"))*2)+((COUNTIF('Elève (6ème4)'!DA17:DC17,"D"))*1))/(COUNTA(DA17:DC17)),"")</f>
        <v>3</v>
      </c>
      <c r="DE17" s="187" t="str">
        <f t="shared" si="24"/>
        <v>B</v>
      </c>
      <c r="DF17" s="120"/>
      <c r="DG17" s="121"/>
      <c r="DH17" s="122"/>
      <c r="DI17" s="188" t="str">
        <f>IFERROR((((COUNTIF('Elève (6ème4)'!DF17:DH17,"A"))*4)+((COUNTIF('Elève (6ème4)'!DF17:DH17,"B"))*3)+((COUNTIF('Elève (6ème4)'!DF17:DH17,"C"))*2)+((COUNTIF('Elève (6ème4)'!DF17:DH17,"D"))*1))/(COUNTA(DF17:DH17)),"")</f>
        <v/>
      </c>
      <c r="DJ17" s="187" t="str">
        <f t="shared" si="25"/>
        <v/>
      </c>
      <c r="DK17" s="120" t="s">
        <v>25</v>
      </c>
      <c r="DL17" s="121" t="s">
        <v>25</v>
      </c>
      <c r="DM17" s="122"/>
      <c r="DN17" s="188">
        <f>IFERROR((((COUNTIF('Elève (6ème4)'!DK17:DM17,"A"))*4)+((COUNTIF('Elève (6ème4)'!DK17:DM17,"B"))*3)+((COUNTIF('Elève (6ème4)'!DK17:DM17,"C"))*2)+((COUNTIF('Elève (6ème4)'!DK17:DM17,"D"))*1))/(COUNTA(DK17:DM17)),"")</f>
        <v>2</v>
      </c>
      <c r="DO17" s="187" t="str">
        <f t="shared" si="26"/>
        <v>C</v>
      </c>
      <c r="DP17" s="188">
        <f>IF(COUNT(DD17,DI17,DN17)=0,"",SUM(DD17,DI17,DN17)/COUNT(DD17,DI17,DN17))</f>
        <v>2.5</v>
      </c>
      <c r="DQ17" s="212" t="str">
        <f t="shared" si="27"/>
        <v>C</v>
      </c>
      <c r="DR17" s="125"/>
      <c r="DS17" s="121"/>
      <c r="DT17" s="122" t="s">
        <v>25</v>
      </c>
      <c r="DU17" s="188">
        <f>IFERROR((((COUNTIF('Elève (6ème4)'!DR17:DT17,"A"))*4)+((COUNTIF('Elève (6ème4)'!DR17:DT17,"B"))*3)+((COUNTIF('Elève (6ème4)'!DR17:DT17,"C"))*2)+((COUNTIF('Elève (6ème4)'!DR17:DT17,"D"))*1))/(COUNTA(DR17:DT17)),"")</f>
        <v>2</v>
      </c>
      <c r="DV17" s="187" t="str">
        <f t="shared" si="28"/>
        <v>C</v>
      </c>
      <c r="DW17" s="120"/>
      <c r="DX17" s="121"/>
      <c r="DY17" s="122"/>
      <c r="DZ17" s="188" t="str">
        <f>IFERROR((((COUNTIF('Elève (6ème4)'!DW17:DY17,"A"))*4)+((COUNTIF('Elève (6ème4)'!DW17:DY17,"B"))*3)+((COUNTIF('Elève (6ème4)'!DW17:DY17,"C"))*2)+((COUNTIF('Elève (6ème4)'!DW17:DY17,"D"))*1))/(COUNTA(DW17:DY17)),"")</f>
        <v/>
      </c>
      <c r="EA17" s="187" t="str">
        <f t="shared" si="29"/>
        <v/>
      </c>
      <c r="EB17" s="120" t="s">
        <v>25</v>
      </c>
      <c r="EC17" s="121" t="s">
        <v>26</v>
      </c>
      <c r="ED17" s="122"/>
      <c r="EE17" s="188">
        <f>IFERROR((((COUNTIF('Elève (6ème4)'!EB17:ED17,"A"))*4)+((COUNTIF('Elève (6ème4)'!EB17:ED17,"B"))*3)+((COUNTIF('Elève (6ème4)'!EB17:ED17,"C"))*2)+((COUNTIF('Elève (6ème4)'!EB17:ED17,"D"))*1))/(COUNTA(EB17:ED17)),"")</f>
        <v>1.5</v>
      </c>
      <c r="EF17" s="187" t="str">
        <f t="shared" si="30"/>
        <v>D</v>
      </c>
      <c r="EG17" s="188">
        <f>IF(COUNT(DU17,DZ17,EE17)=0,"",SUM(DU17,DZ17,EE17)/COUNT(DU17,DZ17,EE17))</f>
        <v>1.75</v>
      </c>
      <c r="EH17" s="212" t="str">
        <f t="shared" si="31"/>
        <v>C</v>
      </c>
      <c r="EI17" s="125"/>
      <c r="EJ17" s="121"/>
      <c r="EK17" s="122" t="s">
        <v>23</v>
      </c>
      <c r="EL17" s="188">
        <f>IFERROR((((COUNTIF('Elève (6ème4)'!EI17:EK17,"A"))*4)+((COUNTIF('Elève (6ème4)'!EI17:EK17,"B"))*3)+((COUNTIF('Elève (6ème4)'!EI17:EK17,"C"))*2)+((COUNTIF('Elève (6ème4)'!EI17:EK17,"D"))*1))/(COUNTA(EI17:EK17)),"")</f>
        <v>4</v>
      </c>
      <c r="EM17" s="187" t="str">
        <f t="shared" si="32"/>
        <v>A</v>
      </c>
      <c r="EN17" s="120"/>
      <c r="EO17" s="121"/>
      <c r="EP17" s="122"/>
      <c r="EQ17" s="188" t="str">
        <f>IFERROR((((COUNTIF('Elève (6ème4)'!EN17:EP17,"A"))*4)+((COUNTIF('Elève (6ème4)'!EN17:EP17,"B"))*3)+((COUNTIF('Elève (6ème4)'!EN17:EP17,"C"))*2)+((COUNTIF('Elève (6ème4)'!EN17:EP17,"D"))*1))/(COUNTA(EN17:EP17)),"")</f>
        <v/>
      </c>
      <c r="ER17" s="187" t="str">
        <f t="shared" si="33"/>
        <v/>
      </c>
      <c r="ES17" s="120" t="s">
        <v>24</v>
      </c>
      <c r="ET17" s="121" t="s">
        <v>24</v>
      </c>
      <c r="EU17" s="122"/>
      <c r="EV17" s="188">
        <f>IFERROR((((COUNTIF('Elève (6ème4)'!ES17:EU17,"A"))*4)+((COUNTIF('Elève (6ème4)'!ES17:EU17,"B"))*3)+((COUNTIF('Elève (6ème4)'!ES17:EU17,"C"))*2)+((COUNTIF('Elève (6ème4)'!ES17:EU17,"D"))*1))/(COUNTA(ES17:EU17)),"")</f>
        <v>3</v>
      </c>
      <c r="EW17" s="187" t="str">
        <f t="shared" si="34"/>
        <v>B</v>
      </c>
      <c r="EX17" s="188">
        <f>IF(COUNT(EL17,EQ17,EV17)=0,"",SUM(EL17,EQ17,EV17)/COUNT(EL17,EQ17,EV17))</f>
        <v>3.5</v>
      </c>
      <c r="EY17" s="212" t="str">
        <f t="shared" si="35"/>
        <v>B</v>
      </c>
      <c r="EZ17" s="125"/>
      <c r="FA17" s="121"/>
      <c r="FB17" s="122" t="s">
        <v>24</v>
      </c>
      <c r="FC17" s="188">
        <f>IFERROR((((COUNTIF('Elève (6ème4)'!EZ17:FB17,"A"))*4)+((COUNTIF('Elève (6ème4)'!EZ17:FB17,"B"))*3)+((COUNTIF('Elève (6ème4)'!EZ17:FB17,"C"))*2)+((COUNTIF('Elève (6ème4)'!EZ17:FB17,"D"))*1))/(COUNTA(EZ17:FB17)),"")</f>
        <v>3</v>
      </c>
      <c r="FD17" s="187" t="str">
        <f t="shared" si="36"/>
        <v>B</v>
      </c>
      <c r="FE17" s="120"/>
      <c r="FF17" s="121"/>
      <c r="FG17" s="122"/>
      <c r="FH17" s="188" t="str">
        <f>IFERROR((((COUNTIF('Elève (6ème4)'!FE17:FG17,"A"))*4)+((COUNTIF('Elève (6ème4)'!FE17:FG17,"B"))*3)+((COUNTIF('Elève (6ème4)'!FE17:FG17,"C"))*2)+((COUNTIF('Elève (6ème4)'!FE17:FG17,"D"))*1))/(COUNTA(FE17:FG17)),"")</f>
        <v/>
      </c>
      <c r="FI17" s="187" t="str">
        <f t="shared" si="37"/>
        <v/>
      </c>
      <c r="FJ17" s="120" t="s">
        <v>24</v>
      </c>
      <c r="FK17" s="121" t="s">
        <v>25</v>
      </c>
      <c r="FL17" s="122"/>
      <c r="FM17" s="188">
        <f>IFERROR((((COUNTIF('Elève (6ème4)'!FJ17:FL17,"A"))*4)+((COUNTIF('Elève (6ème4)'!FJ17:FL17,"B"))*3)+((COUNTIF('Elève (6ème4)'!FJ17:FL17,"C"))*2)+((COUNTIF('Elève (6ème4)'!FJ17:FL17,"D"))*1))/(COUNTA(FJ17:FL17)),"")</f>
        <v>2.5</v>
      </c>
      <c r="FN17" s="187" t="str">
        <f t="shared" si="38"/>
        <v>C</v>
      </c>
      <c r="FO17" s="188">
        <f>IF(COUNT(FC17,FH17,FM17)=0,"",SUM(FC17,FH17,FM17)/COUNT(FC17,FH17,FM17))</f>
        <v>2.75</v>
      </c>
      <c r="FP17" s="212" t="str">
        <f t="shared" si="39"/>
        <v>C</v>
      </c>
      <c r="FQ17" s="125"/>
      <c r="FR17" s="121"/>
      <c r="FS17" s="122" t="s">
        <v>25</v>
      </c>
      <c r="FT17" s="188">
        <f>IFERROR((((COUNTIF('Elève (6ème4)'!FQ17:FS17,"A"))*4)+((COUNTIF('Elève (6ème4)'!FQ17:FS17,"B"))*3)+((COUNTIF('Elève (6ème4)'!FQ17:FS17,"C"))*2)+((COUNTIF('Elève (6ème4)'!FQ17:FS17,"D"))*1))/(COUNTA(FQ17:FS17)),"")</f>
        <v>2</v>
      </c>
      <c r="FU17" s="187" t="str">
        <f t="shared" si="40"/>
        <v>C</v>
      </c>
      <c r="FV17" s="120"/>
      <c r="FW17" s="121"/>
      <c r="FX17" s="122"/>
      <c r="FY17" s="188" t="str">
        <f>IFERROR((((COUNTIF('Elève (6ème4)'!FV17:FX17,"A"))*4)+((COUNTIF('Elève (6ème4)'!FV17:FX17,"B"))*3)+((COUNTIF('Elève (6ème4)'!FV17:FX17,"C"))*2)+((COUNTIF('Elève (6ème4)'!FV17:FX17,"D"))*1))/(COUNTA(FV17:FX17)),"")</f>
        <v/>
      </c>
      <c r="FZ17" s="187" t="str">
        <f t="shared" si="41"/>
        <v/>
      </c>
      <c r="GA17" s="120" t="s">
        <v>24</v>
      </c>
      <c r="GB17" s="121" t="s">
        <v>25</v>
      </c>
      <c r="GC17" s="122"/>
      <c r="GD17" s="188">
        <f>IFERROR((((COUNTIF('Elève (6ème4)'!GA17:GC17,"A"))*4)+((COUNTIF('Elève (6ème4)'!GA17:GC17,"B"))*3)+((COUNTIF('Elève (6ème4)'!GA17:GC17,"C"))*2)+((COUNTIF('Elève (6ème4)'!GA17:GC17,"D"))*1))/(COUNTA(GA17:GC17)),"")</f>
        <v>2.5</v>
      </c>
      <c r="GE17" s="187" t="str">
        <f t="shared" si="42"/>
        <v>C</v>
      </c>
      <c r="GF17" s="188">
        <f>IF(COUNT(FT17,FY17,GD17)=0,"",SUM(FT17,FY17,GD17)/COUNT(FT17,FY17,GD17))</f>
        <v>2.25</v>
      </c>
      <c r="GG17" s="212" t="str">
        <f t="shared" si="43"/>
        <v>C</v>
      </c>
      <c r="GH17" s="125"/>
      <c r="GI17" s="121"/>
      <c r="GJ17" s="122" t="s">
        <v>24</v>
      </c>
      <c r="GK17" s="188">
        <f>IFERROR((((COUNTIF('Elève (6ème4)'!GH17:GJ17,"A"))*4)+((COUNTIF('Elève (6ème4)'!GH17:GJ17,"B"))*3)+((COUNTIF('Elève (6ème4)'!GH17:GJ17,"C"))*2)+((COUNTIF('Elève (6ème4)'!GH17:GJ17,"D"))*1))/(COUNTA(GH17:GJ17)),"")</f>
        <v>3</v>
      </c>
      <c r="GL17" s="187" t="str">
        <f t="shared" si="44"/>
        <v>B</v>
      </c>
      <c r="GM17" s="120"/>
      <c r="GN17" s="121"/>
      <c r="GO17" s="122"/>
      <c r="GP17" s="188" t="str">
        <f>IFERROR((((COUNTIF('Elève (6ème4)'!GM17:GO17,"A"))*4)+((COUNTIF('Elève (6ème4)'!GM17:GO17,"B"))*3)+((COUNTIF('Elève (6ème4)'!GM17:GO17,"C"))*2)+((COUNTIF('Elève (6ème4)'!GM17:GO17,"D"))*1))/(COUNTA(GM17:GO17)),"")</f>
        <v/>
      </c>
      <c r="GQ17" s="187" t="str">
        <f t="shared" si="45"/>
        <v/>
      </c>
      <c r="GR17" s="120" t="s">
        <v>23</v>
      </c>
      <c r="GS17" s="121" t="s">
        <v>25</v>
      </c>
      <c r="GT17" s="122"/>
      <c r="GU17" s="188">
        <f>IFERROR((((COUNTIF('Elève (6ème4)'!GR17:GT17,"A"))*4)+((COUNTIF('Elève (6ème4)'!GR17:GT17,"B"))*3)+((COUNTIF('Elève (6ème4)'!GR17:GT17,"C"))*2)+((COUNTIF('Elève (6ème4)'!GR17:GT17,"D"))*1))/(COUNTA(GR17:GT17)),"")</f>
        <v>3</v>
      </c>
      <c r="GV17" s="187" t="str">
        <f t="shared" si="46"/>
        <v>B</v>
      </c>
      <c r="GW17" s="188">
        <f>IF(COUNT(GK17,GP17,GU17)=0,"",SUM(GK17,GP17,GU17)/COUNT(GK17,GP17,GU17))</f>
        <v>3</v>
      </c>
      <c r="GX17" s="212" t="str">
        <f t="shared" si="47"/>
        <v>B</v>
      </c>
      <c r="GY17" s="125"/>
      <c r="GZ17" s="121"/>
      <c r="HA17" s="122" t="s">
        <v>24</v>
      </c>
      <c r="HB17" s="188">
        <f>IFERROR((((COUNTIF('Elève (6ème4)'!GY17:HA17,"A"))*4)+((COUNTIF('Elève (6ème4)'!GY17:HA17,"B"))*3)+((COUNTIF('Elève (6ème4)'!GY17:HA17,"C"))*2)+((COUNTIF('Elève (6ème4)'!GY17:HA17,"D"))*1))/(COUNTA(GY17:HA17)),"")</f>
        <v>3</v>
      </c>
      <c r="HC17" s="187" t="str">
        <f t="shared" si="48"/>
        <v>B</v>
      </c>
      <c r="HD17" s="120"/>
      <c r="HE17" s="121"/>
      <c r="HF17" s="122"/>
      <c r="HG17" s="188" t="str">
        <f>IFERROR((((COUNTIF('Elève (6ème4)'!HD17:HF17,"A"))*4)+((COUNTIF('Elève (6ème4)'!HD17:HF17,"B"))*3)+((COUNTIF('Elève (6ème4)'!HD17:HF17,"C"))*2)+((COUNTIF('Elève (6ème4)'!HD17:HF17,"D"))*1))/(COUNTA(HD17:HF17)),"")</f>
        <v/>
      </c>
      <c r="HH17" s="187" t="str">
        <f t="shared" si="49"/>
        <v/>
      </c>
      <c r="HI17" s="120" t="s">
        <v>25</v>
      </c>
      <c r="HJ17" s="121" t="s">
        <v>25</v>
      </c>
      <c r="HK17" s="122"/>
      <c r="HL17" s="188">
        <f>IFERROR((((COUNTIF('Elève (6ème4)'!HI17:HK17,"A"))*4)+((COUNTIF('Elève (6ème4)'!HI17:HK17,"B"))*3)+((COUNTIF('Elève (6ème4)'!HI17:HK17,"C"))*2)+((COUNTIF('Elève (6ème4)'!HI17:HK17,"D"))*1))/(COUNTA(HI17:HK17)),"")</f>
        <v>2</v>
      </c>
      <c r="HM17" s="187" t="str">
        <f t="shared" si="50"/>
        <v>C</v>
      </c>
      <c r="HN17" s="188">
        <f>IF(COUNT(HB17,HG17,HL17)=0,"",SUM(HB17,HG17,HL17)/COUNT(HB17,HG17,HL17))</f>
        <v>2.5</v>
      </c>
      <c r="HO17" s="212" t="str">
        <f t="shared" si="51"/>
        <v>C</v>
      </c>
      <c r="HP17" s="125"/>
      <c r="HQ17" s="121"/>
      <c r="HR17" s="122" t="s">
        <v>24</v>
      </c>
      <c r="HS17" s="188">
        <f>IFERROR((((COUNTIF('Elève (6ème4)'!HP17:HR17,"A"))*4)+((COUNTIF('Elève (6ème4)'!HP17:HR17,"B"))*3)+((COUNTIF('Elève (6ème4)'!HP17:HR17,"C"))*2)+((COUNTIF('Elève (6ème4)'!HP17:HR17,"D"))*1))/(COUNTA(HP17:HR17)),"")</f>
        <v>3</v>
      </c>
      <c r="HT17" s="187" t="str">
        <f t="shared" si="52"/>
        <v>B</v>
      </c>
      <c r="HU17" s="120"/>
      <c r="HV17" s="121"/>
      <c r="HW17" s="122"/>
      <c r="HX17" s="188" t="str">
        <f>IFERROR((((COUNTIF('Elève (6ème4)'!HU17:HW17,"A"))*4)+((COUNTIF('Elève (6ème4)'!HU17:HW17,"B"))*3)+((COUNTIF('Elève (6ème4)'!HU17:HW17,"C"))*2)+((COUNTIF('Elève (6ème4)'!HU17:HW17,"D"))*1))/(COUNTA(HU17:HW17)),"")</f>
        <v/>
      </c>
      <c r="HY17" s="187" t="str">
        <f t="shared" si="53"/>
        <v/>
      </c>
      <c r="HZ17" s="120" t="s">
        <v>24</v>
      </c>
      <c r="IA17" s="121" t="s">
        <v>24</v>
      </c>
      <c r="IB17" s="122"/>
      <c r="IC17" s="188">
        <f>IFERROR((((COUNTIF('Elève (6ème4)'!HZ17:IB17,"A"))*4)+((COUNTIF('Elève (6ème4)'!HZ17:IB17,"B"))*3)+((COUNTIF('Elève (6ème4)'!HZ17:IB17,"C"))*2)+((COUNTIF('Elève (6ème4)'!HZ17:IB17,"D"))*1))/(COUNTA(HZ17:IB17)),"")</f>
        <v>3</v>
      </c>
      <c r="ID17" s="187" t="str">
        <f t="shared" si="54"/>
        <v>B</v>
      </c>
      <c r="IE17" s="188">
        <f>IF(COUNT(HS17,HX17,IC17)=0,"",SUM(HS17,HX17,IC17)/COUNT(HS17,HX17,IC17))</f>
        <v>3</v>
      </c>
      <c r="IF17" s="212" t="str">
        <f t="shared" si="55"/>
        <v>B</v>
      </c>
      <c r="IG17" s="125"/>
      <c r="IH17" s="121"/>
      <c r="II17" s="122" t="s">
        <v>25</v>
      </c>
      <c r="IJ17" s="188">
        <f>IFERROR((((COUNTIF('Elève (6ème4)'!IG17:II17,"A"))*4)+((COUNTIF('Elève (6ème4)'!IG17:II17,"B"))*3)+((COUNTIF('Elève (6ème4)'!IG17:II17,"C"))*2)+((COUNTIF('Elève (6ème4)'!IG17:II17,"D"))*1))/(COUNTA(IG17:II17)),"")</f>
        <v>2</v>
      </c>
      <c r="IK17" s="187" t="str">
        <f t="shared" si="56"/>
        <v>C</v>
      </c>
      <c r="IL17" s="120"/>
      <c r="IM17" s="121"/>
      <c r="IN17" s="122"/>
      <c r="IO17" s="188" t="str">
        <f>IFERROR((((COUNTIF('Elève (6ème4)'!IL17:IN17,"A"))*4)+((COUNTIF('Elève (6ème4)'!IL17:IN17,"B"))*3)+((COUNTIF('Elève (6ème4)'!IL17:IN17,"C"))*2)+((COUNTIF('Elève (6ème4)'!IL17:IN17,"D"))*1))/(COUNTA(IL17:IN17)),"")</f>
        <v/>
      </c>
      <c r="IP17" s="187" t="str">
        <f t="shared" si="57"/>
        <v/>
      </c>
      <c r="IQ17" s="120" t="s">
        <v>23</v>
      </c>
      <c r="IR17" s="121" t="s">
        <v>25</v>
      </c>
      <c r="IS17" s="122"/>
      <c r="IT17" s="188">
        <f>IFERROR((((COUNTIF('Elève (6ème4)'!IQ17:IS17,"A"))*4)+((COUNTIF('Elève (6ème4)'!IQ17:IS17,"B"))*3)+((COUNTIF('Elève (6ème4)'!IQ17:IS17,"C"))*2)+((COUNTIF('Elève (6ème4)'!IQ17:IS17,"D"))*1))/(COUNTA(IQ17:IS17)),"")</f>
        <v>3</v>
      </c>
      <c r="IU17" s="187" t="str">
        <f t="shared" si="58"/>
        <v>B</v>
      </c>
      <c r="IV17" s="188">
        <f>IF(COUNT(IJ17,IO17,IT17)=0,"",SUM(IJ17,IO17,IT17)/COUNT(IJ17,IO17,IT17))</f>
        <v>2.5</v>
      </c>
      <c r="IW17" s="212" t="str">
        <f t="shared" si="59"/>
        <v>C</v>
      </c>
      <c r="IX17" s="125"/>
      <c r="IY17" s="121"/>
      <c r="IZ17" s="122" t="s">
        <v>25</v>
      </c>
      <c r="JA17" s="188">
        <f>IFERROR((((COUNTIF('Elève (6ème4)'!IX17:IZ17,"A"))*4)+((COUNTIF('Elève (6ème4)'!IX17:IZ17,"B"))*3)+((COUNTIF('Elève (6ème4)'!IX17:IZ17,"C"))*2)+((COUNTIF('Elève (6ème4)'!IX17:IZ17,"D"))*1))/(COUNTA(IX17:IZ17)),"")</f>
        <v>2</v>
      </c>
      <c r="JB17" s="187" t="str">
        <f t="shared" si="60"/>
        <v>C</v>
      </c>
      <c r="JC17" s="120"/>
      <c r="JD17" s="121"/>
      <c r="JE17" s="122"/>
      <c r="JF17" s="188" t="str">
        <f>IFERROR((((COUNTIF('Elève (6ème4)'!JC17:JE17,"A"))*4)+((COUNTIF('Elève (6ème4)'!JC17:JE17,"B"))*3)+((COUNTIF('Elève (6ème4)'!JC17:JE17,"C"))*2)+((COUNTIF('Elève (6ème4)'!JC17:JE17,"D"))*1))/(COUNTA(JC17:JE17)),"")</f>
        <v/>
      </c>
      <c r="JG17" s="187" t="str">
        <f t="shared" si="61"/>
        <v/>
      </c>
      <c r="JH17" s="120" t="s">
        <v>25</v>
      </c>
      <c r="JI17" s="121" t="s">
        <v>25</v>
      </c>
      <c r="JJ17" s="122"/>
      <c r="JK17" s="188">
        <f>IFERROR((((COUNTIF('Elève (6ème4)'!JH17:JJ17,"A"))*4)+((COUNTIF('Elève (6ème4)'!JH17:JJ17,"B"))*3)+((COUNTIF('Elève (6ème4)'!JH17:JJ17,"C"))*2)+((COUNTIF('Elève (6ème4)'!JH17:JJ17,"D"))*1))/(COUNTA(JH17:JJ17)),"")</f>
        <v>2</v>
      </c>
      <c r="JL17" s="187" t="str">
        <f t="shared" si="62"/>
        <v>C</v>
      </c>
      <c r="JM17" s="188">
        <f>IF(COUNT(JA17,JF17,JK17)=0,"",SUM(JA17,JF17,JK17)/COUNT(JA17,JF17,JK17))</f>
        <v>2</v>
      </c>
      <c r="JN17" s="212" t="str">
        <f t="shared" si="63"/>
        <v>C</v>
      </c>
      <c r="JO17" s="125"/>
      <c r="JP17" s="121"/>
      <c r="JQ17" s="122" t="s">
        <v>25</v>
      </c>
      <c r="JR17" s="188">
        <f>IFERROR((((COUNTIF('Elève (6ème4)'!JO17:JQ17,"A"))*4)+((COUNTIF('Elève (6ème4)'!JO17:JQ17,"B"))*3)+((COUNTIF('Elève (6ème4)'!JO17:JQ17,"C"))*2)+((COUNTIF('Elève (6ème4)'!JO17:JQ17,"D"))*1))/(COUNTA(JO17:JQ17)),"")</f>
        <v>2</v>
      </c>
      <c r="JS17" s="187" t="str">
        <f t="shared" si="64"/>
        <v>C</v>
      </c>
      <c r="JT17" s="120"/>
      <c r="JU17" s="121"/>
      <c r="JV17" s="122"/>
      <c r="JW17" s="188" t="str">
        <f>IFERROR((((COUNTIF('Elève (6ème4)'!JT17:JV17,"A"))*4)+((COUNTIF('Elève (6ème4)'!JT17:JV17,"B"))*3)+((COUNTIF('Elève (6ème4)'!JT17:JV17,"C"))*2)+((COUNTIF('Elève (6ème4)'!JT17:JV17,"D"))*1))/(COUNTA(JT17:JV17)),"")</f>
        <v/>
      </c>
      <c r="JX17" s="187" t="str">
        <f t="shared" si="65"/>
        <v/>
      </c>
      <c r="JY17" s="120" t="s">
        <v>25</v>
      </c>
      <c r="JZ17" s="121" t="s">
        <v>25</v>
      </c>
      <c r="KA17" s="122"/>
      <c r="KB17" s="188">
        <f>IFERROR((((COUNTIF('Elève (6ème4)'!JY17:KA17,"A"))*4)+((COUNTIF('Elève (6ème4)'!JY17:KA17,"B"))*3)+((COUNTIF('Elève (6ème4)'!JY17:KA17,"C"))*2)+((COUNTIF('Elève (6ème4)'!JY17:KA17,"D"))*1))/(COUNTA(JY17:KA17)),"")</f>
        <v>2</v>
      </c>
      <c r="KC17" s="187" t="str">
        <f t="shared" si="66"/>
        <v>C</v>
      </c>
      <c r="KD17" s="188">
        <f>IF(COUNT(JR17,JW17,KB17)=0,"",SUM(JR17,JW17,KB17)/COUNT(JR17,JW17,KB17))</f>
        <v>2</v>
      </c>
      <c r="KE17" s="212" t="str">
        <f t="shared" si="67"/>
        <v>C</v>
      </c>
      <c r="KF17" s="125"/>
      <c r="KG17" s="121"/>
      <c r="KH17" s="122" t="s">
        <v>24</v>
      </c>
      <c r="KI17" s="188">
        <f>IFERROR((((COUNTIF('Elève (6ème4)'!KF17:KH17,"A"))*4)+((COUNTIF('Elève (6ème4)'!KF17:KH17,"B"))*3)+((COUNTIF('Elève (6ème4)'!KF17:KH17,"C"))*2)+((COUNTIF('Elève (6ème4)'!KF17:KH17,"D"))*1))/(COUNTA(KF17:KH17)),"")</f>
        <v>3</v>
      </c>
      <c r="KJ17" s="187" t="str">
        <f t="shared" si="68"/>
        <v>B</v>
      </c>
      <c r="KK17" s="120"/>
      <c r="KL17" s="121"/>
      <c r="KM17" s="122"/>
      <c r="KN17" s="188" t="str">
        <f>IFERROR((((COUNTIF('Elève (6ème4)'!KK17:KM17,"A"))*4)+((COUNTIF('Elève (6ème4)'!KK17:KM17,"B"))*3)+((COUNTIF('Elève (6ème4)'!KK17:KM17,"C"))*2)+((COUNTIF('Elève (6ème4)'!KK17:KM17,"D"))*1))/(COUNTA(KK17:KM17)),"")</f>
        <v/>
      </c>
      <c r="KO17" s="187" t="str">
        <f t="shared" si="69"/>
        <v/>
      </c>
      <c r="KP17" s="120" t="s">
        <v>25</v>
      </c>
      <c r="KQ17" s="121" t="s">
        <v>25</v>
      </c>
      <c r="KR17" s="122"/>
      <c r="KS17" s="188">
        <f>IFERROR((((COUNTIF('Elève (6ème4)'!KP17:KR17,"A"))*4)+((COUNTIF('Elève (6ème4)'!KP17:KR17,"B"))*3)+((COUNTIF('Elève (6ème4)'!KP17:KR17,"C"))*2)+((COUNTIF('Elève (6ème4)'!KP17:KR17,"D"))*1))/(COUNTA(KP17:KR17)),"")</f>
        <v>2</v>
      </c>
      <c r="KT17" s="187" t="str">
        <f t="shared" si="70"/>
        <v>C</v>
      </c>
      <c r="KU17" s="188">
        <f>IF(COUNT(KI17,KN17,KS17)=0,"",SUM(KI17,KN17,KS17)/COUNT(KI17,KN17,KS17))</f>
        <v>2.5</v>
      </c>
      <c r="KV17" s="212" t="str">
        <f t="shared" si="71"/>
        <v>C</v>
      </c>
      <c r="KW17" s="125"/>
      <c r="KX17" s="121"/>
      <c r="KY17" s="122" t="s">
        <v>24</v>
      </c>
      <c r="KZ17" s="188">
        <f>IFERROR((((COUNTIF('Elève (6ème4)'!KW17:KY17,"A"))*4)+((COUNTIF('Elève (6ème4)'!KW17:KY17,"B"))*3)+((COUNTIF('Elève (6ème4)'!KW17:KY17,"C"))*2)+((COUNTIF('Elève (6ème4)'!KW17:KY17,"D"))*1))/(COUNTA(KW17:KY17)),"")</f>
        <v>3</v>
      </c>
      <c r="LA17" s="187" t="str">
        <f t="shared" si="72"/>
        <v>B</v>
      </c>
      <c r="LB17" s="120"/>
      <c r="LC17" s="121"/>
      <c r="LD17" s="122"/>
      <c r="LE17" s="188" t="str">
        <f>IFERROR((((COUNTIF('Elève (6ème4)'!LB17:LD17,"A"))*4)+((COUNTIF('Elève (6ème4)'!LB17:LD17,"B"))*3)+((COUNTIF('Elève (6ème4)'!LB17:LD17,"C"))*2)+((COUNTIF('Elève (6ème4)'!LB17:LD17,"D"))*1))/(COUNTA(LB17:LD17)),"")</f>
        <v/>
      </c>
      <c r="LF17" s="187" t="str">
        <f t="shared" si="73"/>
        <v/>
      </c>
      <c r="LG17" s="120" t="s">
        <v>24</v>
      </c>
      <c r="LH17" s="121" t="s">
        <v>24</v>
      </c>
      <c r="LI17" s="122"/>
      <c r="LJ17" s="188">
        <f>IFERROR((((COUNTIF('Elève (6ème4)'!LG17:LI17,"A"))*4)+((COUNTIF('Elève (6ème4)'!LG17:LI17,"B"))*3)+((COUNTIF('Elève (6ème4)'!LG17:LI17,"C"))*2)+((COUNTIF('Elève (6ème4)'!LG17:LI17,"D"))*1))/(COUNTA(LG17:LI17)),"")</f>
        <v>3</v>
      </c>
      <c r="LK17" s="187" t="str">
        <f t="shared" si="74"/>
        <v>B</v>
      </c>
      <c r="LL17" s="188">
        <f>IF(COUNT(KZ17,LE17,LJ17)=0,"",SUM(KZ17,LE17,LJ17)/COUNT(KZ17,LE17,LJ17))</f>
        <v>3</v>
      </c>
      <c r="LM17" s="212" t="str">
        <f t="shared" si="75"/>
        <v>B</v>
      </c>
      <c r="LN17" s="125"/>
      <c r="LO17" s="121"/>
      <c r="LP17" s="122" t="s">
        <v>25</v>
      </c>
      <c r="LQ17" s="188">
        <f>IFERROR((((COUNTIF('Elève (6ème4)'!LN17:LP17,"A"))*4)+((COUNTIF('Elève (6ème4)'!LN17:LP17,"B"))*3)+((COUNTIF('Elève (6ème4)'!LN17:LP17,"C"))*2)+((COUNTIF('Elève (6ème4)'!LN17:LP17,"D"))*1))/(COUNTA(LN17:LP17)),"")</f>
        <v>2</v>
      </c>
      <c r="LR17" s="187" t="str">
        <f t="shared" si="76"/>
        <v>C</v>
      </c>
      <c r="LS17" s="120"/>
      <c r="LT17" s="121"/>
      <c r="LU17" s="122"/>
      <c r="LV17" s="188" t="str">
        <f>IFERROR((((COUNTIF('Elève (6ème4)'!LS17:LU17,"A"))*4)+((COUNTIF('Elève (6ème4)'!LS17:LU17,"B"))*3)+((COUNTIF('Elève (6ème4)'!LS17:LU17,"C"))*2)+((COUNTIF('Elève (6ème4)'!LS17:LU17,"D"))*1))/(COUNTA(LS17:LU17)),"")</f>
        <v/>
      </c>
      <c r="LW17" s="187" t="str">
        <f t="shared" si="77"/>
        <v/>
      </c>
      <c r="LX17" s="120" t="s">
        <v>24</v>
      </c>
      <c r="LY17" s="121" t="s">
        <v>25</v>
      </c>
      <c r="LZ17" s="122"/>
      <c r="MA17" s="188">
        <f>IFERROR((((COUNTIF('Elève (6ème4)'!LX17:LZ17,"A"))*4)+((COUNTIF('Elève (6ème4)'!LX17:LZ17,"B"))*3)+((COUNTIF('Elève (6ème4)'!LX17:LZ17,"C"))*2)+((COUNTIF('Elève (6ème4)'!LX17:LZ17,"D"))*1))/(COUNTA(LX17:LZ17)),"")</f>
        <v>2.5</v>
      </c>
      <c r="MB17" s="187" t="str">
        <f t="shared" si="78"/>
        <v>C</v>
      </c>
      <c r="MC17" s="188">
        <f>IF(COUNT(LQ17,LV17,MA17)=0,"",SUM(LQ17,LV17,MA17)/COUNT(LQ17,LV17,MA17))</f>
        <v>2.25</v>
      </c>
      <c r="MD17" s="212" t="str">
        <f t="shared" si="79"/>
        <v>C</v>
      </c>
      <c r="ME17" s="125"/>
      <c r="MF17" s="121"/>
      <c r="MG17" s="122" t="s">
        <v>25</v>
      </c>
      <c r="MH17" s="188">
        <f>IFERROR((((COUNTIF('Elève (6ème4)'!ME17:MG17,"A"))*4)+((COUNTIF('Elève (6ème4)'!ME17:MG17,"B"))*3)+((COUNTIF('Elève (6ème4)'!ME17:MG17,"C"))*2)+((COUNTIF('Elève (6ème4)'!ME17:MG17,"D"))*1))/(COUNTA(ME17:MG17)),"")</f>
        <v>2</v>
      </c>
      <c r="MI17" s="187" t="str">
        <f t="shared" si="80"/>
        <v>C</v>
      </c>
      <c r="MJ17" s="120"/>
      <c r="MK17" s="121"/>
      <c r="ML17" s="122"/>
      <c r="MM17" s="188" t="str">
        <f>IFERROR((((COUNTIF('Elève (6ème4)'!MJ17:ML17,"A"))*4)+((COUNTIF('Elève (6ème4)'!MJ17:ML17,"B"))*3)+((COUNTIF('Elève (6ème4)'!MJ17:ML17,"C"))*2)+((COUNTIF('Elève (6ème4)'!MJ17:ML17,"D"))*1))/(COUNTA(MJ17:ML17)),"")</f>
        <v/>
      </c>
      <c r="MN17" s="187" t="str">
        <f t="shared" si="81"/>
        <v/>
      </c>
      <c r="MO17" s="120" t="s">
        <v>24</v>
      </c>
      <c r="MP17" s="121" t="s">
        <v>25</v>
      </c>
      <c r="MQ17" s="122"/>
      <c r="MR17" s="188">
        <f>IFERROR((((COUNTIF('Elève (6ème4)'!MO17:MQ17,"A"))*4)+((COUNTIF('Elève (6ème4)'!MO17:MQ17,"B"))*3)+((COUNTIF('Elève (6ème4)'!MO17:MQ17,"C"))*2)+((COUNTIF('Elève (6ème4)'!MO17:MQ17,"D"))*1))/(COUNTA(MO17:MQ17)),"")</f>
        <v>2.5</v>
      </c>
      <c r="MS17" s="187" t="str">
        <f t="shared" si="82"/>
        <v>C</v>
      </c>
      <c r="MT17" s="188">
        <f>IF(COUNT(MH17,MM17,MR17)=0,"",SUM(MH17,MM17,MR17)/COUNT(MH17,MM17,MR17))</f>
        <v>2.25</v>
      </c>
      <c r="MU17" s="212" t="str">
        <f t="shared" si="83"/>
        <v>C</v>
      </c>
      <c r="MV17" s="125"/>
      <c r="MW17" s="121"/>
      <c r="MX17" s="122" t="s">
        <v>25</v>
      </c>
      <c r="MY17" s="188">
        <f>IFERROR((((COUNTIF('Elève (6ème4)'!MV17:MX17,"A"))*4)+((COUNTIF('Elève (6ème4)'!MV17:MX17,"B"))*3)+((COUNTIF('Elève (6ème4)'!MV17:MX17,"C"))*2)+((COUNTIF('Elève (6ème4)'!MV17:MX17,"D"))*1))/(COUNTA(MV17:MX17)),"")</f>
        <v>2</v>
      </c>
      <c r="MZ17" s="187" t="str">
        <f t="shared" si="84"/>
        <v>C</v>
      </c>
      <c r="NA17" s="120"/>
      <c r="NB17" s="121"/>
      <c r="NC17" s="122"/>
      <c r="ND17" s="188" t="str">
        <f>IFERROR((((COUNTIF('Elève (6ème4)'!NA17:NC17,"A"))*4)+((COUNTIF('Elève (6ème4)'!NA17:NC17,"B"))*3)+((COUNTIF('Elève (6ème4)'!NA17:NC17,"C"))*2)+((COUNTIF('Elève (6ème4)'!NA17:NC17,"D"))*1))/(COUNTA(NA17:NC17)),"")</f>
        <v/>
      </c>
      <c r="NE17" s="187" t="str">
        <f t="shared" si="85"/>
        <v/>
      </c>
      <c r="NF17" s="120" t="s">
        <v>24</v>
      </c>
      <c r="NG17" s="121" t="s">
        <v>25</v>
      </c>
      <c r="NH17" s="122"/>
      <c r="NI17" s="188">
        <f>IFERROR((((COUNTIF('Elève (6ème4)'!NF17:NH17,"A"))*4)+((COUNTIF('Elève (6ème4)'!NF17:NH17,"B"))*3)+((COUNTIF('Elève (6ème4)'!NF17:NH17,"C"))*2)+((COUNTIF('Elève (6ème4)'!NF17:NH17,"D"))*1))/(COUNTA(NF17:NH17)),"")</f>
        <v>2.5</v>
      </c>
      <c r="NJ17" s="187" t="str">
        <f t="shared" si="86"/>
        <v>C</v>
      </c>
      <c r="NK17" s="188">
        <f>IF(COUNT(MY17,ND17,NI17)=0,"",SUM(MY17,ND17,NI17)/COUNT(MY17,ND17,NI17))</f>
        <v>2.25</v>
      </c>
      <c r="NL17" s="212" t="str">
        <f t="shared" si="87"/>
        <v>C</v>
      </c>
      <c r="NM17" s="125"/>
      <c r="NN17" s="121"/>
      <c r="NO17" s="122" t="s">
        <v>25</v>
      </c>
      <c r="NP17" s="188">
        <f>IFERROR((((COUNTIF('Elève (6ème4)'!NM17:NO17,"A"))*4)+((COUNTIF('Elève (6ème4)'!NM17:NO17,"B"))*3)+((COUNTIF('Elève (6ème4)'!NM17:NO17,"C"))*2)+((COUNTIF('Elève (6ème4)'!NM17:NO17,"D"))*1))/(COUNTA(NM17:NO17)),"")</f>
        <v>2</v>
      </c>
      <c r="NQ17" s="187" t="str">
        <f t="shared" si="88"/>
        <v>C</v>
      </c>
      <c r="NR17" s="120"/>
      <c r="NS17" s="121"/>
      <c r="NT17" s="122"/>
      <c r="NU17" s="188" t="str">
        <f>IFERROR((((COUNTIF('Elève (6ème4)'!NR17:NT17,"A"))*4)+((COUNTIF('Elève (6ème4)'!NR17:NT17,"B"))*3)+((COUNTIF('Elève (6ème4)'!NR17:NT17,"C"))*2)+((COUNTIF('Elève (6ème4)'!NR17:NT17,"D"))*1))/(COUNTA(NR17:NT17)),"")</f>
        <v/>
      </c>
      <c r="NV17" s="187" t="str">
        <f t="shared" si="89"/>
        <v/>
      </c>
      <c r="NW17" s="120" t="s">
        <v>26</v>
      </c>
      <c r="NX17" s="121" t="s">
        <v>25</v>
      </c>
      <c r="NY17" s="122"/>
      <c r="NZ17" s="188">
        <f>IFERROR((((COUNTIF('Elève (6ème4)'!NW17:NY17,"A"))*4)+((COUNTIF('Elève (6ème4)'!NW17:NY17,"B"))*3)+((COUNTIF('Elève (6ème4)'!NW17:NY17,"C"))*2)+((COUNTIF('Elève (6ème4)'!NW17:NY17,"D"))*1))/(COUNTA(NW17:NY17)),"")</f>
        <v>1.5</v>
      </c>
      <c r="OA17" s="187" t="str">
        <f t="shared" si="90"/>
        <v>D</v>
      </c>
      <c r="OB17" s="188">
        <f>IF(COUNT(NP17,NU17,NZ17)=0,"",SUM(NP17,NU17,NZ17)/COUNT(NP17,NU17,NZ17))</f>
        <v>1.75</v>
      </c>
      <c r="OC17" s="212" t="str">
        <f t="shared" si="91"/>
        <v>C</v>
      </c>
      <c r="OD17" s="125"/>
      <c r="OE17" s="121"/>
      <c r="OF17" s="122" t="s">
        <v>24</v>
      </c>
      <c r="OG17" s="188">
        <f>IFERROR((((COUNTIF('Elève (6ème4)'!OD17:OF17,"A"))*4)+((COUNTIF('Elève (6ème4)'!OD17:OF17,"B"))*3)+((COUNTIF('Elève (6ème4)'!OD17:OF17,"C"))*2)+((COUNTIF('Elève (6ème4)'!OD17:OF17,"D"))*1))/(COUNTA(OD17:OF17)),"")</f>
        <v>3</v>
      </c>
      <c r="OH17" s="187" t="str">
        <f t="shared" si="92"/>
        <v>B</v>
      </c>
      <c r="OI17" s="120"/>
      <c r="OJ17" s="121"/>
      <c r="OK17" s="122"/>
      <c r="OL17" s="188" t="str">
        <f>IFERROR((((COUNTIF('Elève (6ème4)'!OI17:OK17,"A"))*4)+((COUNTIF('Elève (6ème4)'!OI17:OK17,"B"))*3)+((COUNTIF('Elève (6ème4)'!OI17:OK17,"C"))*2)+((COUNTIF('Elève (6ème4)'!OI17:OK17,"D"))*1))/(COUNTA(OI17:OK17)),"")</f>
        <v/>
      </c>
      <c r="OM17" s="187" t="str">
        <f t="shared" si="93"/>
        <v/>
      </c>
      <c r="ON17" s="120" t="s">
        <v>24</v>
      </c>
      <c r="OO17" s="121" t="s">
        <v>25</v>
      </c>
      <c r="OP17" s="122"/>
      <c r="OQ17" s="188">
        <f>IFERROR((((COUNTIF('Elève (6ème4)'!ON17:OP17,"A"))*4)+((COUNTIF('Elève (6ème4)'!ON17:OP17,"B"))*3)+((COUNTIF('Elève (6ème4)'!ON17:OP17,"C"))*2)+((COUNTIF('Elève (6ème4)'!ON17:OP17,"D"))*1))/(COUNTA(ON17:OP17)),"")</f>
        <v>2.5</v>
      </c>
      <c r="OR17" s="187" t="str">
        <f t="shared" si="94"/>
        <v>C</v>
      </c>
      <c r="OS17" s="188">
        <f>IF(COUNT(OG17,OL17,OQ17)=0,"",SUM(OG17,OL17,OQ17)/COUNT(OG17,OL17,OQ17))</f>
        <v>2.75</v>
      </c>
      <c r="OT17" s="212" t="str">
        <f t="shared" si="95"/>
        <v>C</v>
      </c>
      <c r="OU17" s="125"/>
      <c r="OV17" s="121"/>
      <c r="OW17" s="122" t="s">
        <v>24</v>
      </c>
      <c r="OX17" s="188">
        <f>IFERROR((((COUNTIF('Elève (6ème4)'!OU17:OW17,"A"))*4)+((COUNTIF('Elève (6ème4)'!OU17:OW17,"B"))*3)+((COUNTIF('Elève (6ème4)'!OU17:OW17,"C"))*2)+((COUNTIF('Elève (6ème4)'!OU17:OW17,"D"))*1))/(COUNTA(OU17:OW17)),"")</f>
        <v>3</v>
      </c>
      <c r="OY17" s="187" t="str">
        <f t="shared" si="96"/>
        <v>B</v>
      </c>
      <c r="OZ17" s="120"/>
      <c r="PA17" s="121"/>
      <c r="PB17" s="122"/>
      <c r="PC17" s="188" t="str">
        <f>IFERROR((((COUNTIF('Elève (6ème4)'!OZ17:PB17,"A"))*4)+((COUNTIF('Elève (6ème4)'!OZ17:PB17,"B"))*3)+((COUNTIF('Elève (6ème4)'!OZ17:PB17,"C"))*2)+((COUNTIF('Elève (6ème4)'!OZ17:PB17,"D"))*1))/(COUNTA(OZ17:PB17)),"")</f>
        <v/>
      </c>
      <c r="PD17" s="187" t="str">
        <f t="shared" si="97"/>
        <v/>
      </c>
      <c r="PE17" s="120" t="s">
        <v>23</v>
      </c>
      <c r="PF17" s="121" t="s">
        <v>25</v>
      </c>
      <c r="PG17" s="122"/>
      <c r="PH17" s="188">
        <f>IFERROR((((COUNTIF('Elève (6ème4)'!PE17:PG17,"A"))*4)+((COUNTIF('Elève (6ème4)'!PE17:PG17,"B"))*3)+((COUNTIF('Elève (6ème4)'!PE17:PG17,"C"))*2)+((COUNTIF('Elève (6ème4)'!PE17:PG17,"D"))*1))/(COUNTA(PE17:PG17)),"")</f>
        <v>3</v>
      </c>
      <c r="PI17" s="187" t="str">
        <f t="shared" si="98"/>
        <v>B</v>
      </c>
      <c r="PJ17" s="188">
        <f>IF(COUNT(OX17,PC17,PH17)=0,"",SUM(OX17,PC17,PH17)/COUNT(OX17,PC17,PH17))</f>
        <v>3</v>
      </c>
      <c r="PK17" s="212" t="str">
        <f t="shared" si="99"/>
        <v>B</v>
      </c>
      <c r="PL17" s="125"/>
      <c r="PM17" s="121"/>
      <c r="PN17" s="122"/>
      <c r="PO17" s="188" t="str">
        <f>IFERROR((((COUNTIF('Elève (6ème4)'!PL17:PN17,"A"))*4)+((COUNTIF('Elève (6ème4)'!PL17:PN17,"B"))*3)+((COUNTIF('Elève (6ème4)'!PL17:PN17,"C"))*2)+((COUNTIF('Elève (6ème4)'!PL17:PN17,"D"))*1))/(COUNTA(PL17:PN17)),"")</f>
        <v/>
      </c>
      <c r="PP17" s="187" t="str">
        <f t="shared" si="100"/>
        <v/>
      </c>
      <c r="PQ17" s="120"/>
      <c r="PR17" s="121"/>
      <c r="PS17" s="122"/>
      <c r="PT17" s="188" t="str">
        <f>IFERROR((((COUNTIF('Elève (6ème4)'!PQ17:PS17,"A"))*4)+((COUNTIF('Elève (6ème4)'!PQ17:PS17,"B"))*3)+((COUNTIF('Elève (6ème4)'!PQ17:PS17,"C"))*2)+((COUNTIF('Elève (6ème4)'!PQ17:PS17,"D"))*1))/(COUNTA(PQ17:PS17)),"")</f>
        <v/>
      </c>
      <c r="PU17" s="187" t="str">
        <f t="shared" si="101"/>
        <v/>
      </c>
      <c r="PV17" s="120" t="s">
        <v>25</v>
      </c>
      <c r="PW17" s="121"/>
      <c r="PX17" s="122"/>
      <c r="PY17" s="188">
        <f>IFERROR((((COUNTIF('Elève (6ème4)'!PV17:PX17,"A"))*4)+((COUNTIF('Elève (6ème4)'!PV17:PX17,"B"))*3)+((COUNTIF('Elève (6ème4)'!PV17:PX17,"C"))*2)+((COUNTIF('Elève (6ème4)'!PV17:PX17,"D"))*1))/(COUNTA(PV17:PX17)),"")</f>
        <v>2</v>
      </c>
      <c r="PZ17" s="187" t="str">
        <f t="shared" si="102"/>
        <v>C</v>
      </c>
      <c r="QA17" s="188">
        <f>IF(COUNT(PO17,PT17,PY17)=0,"",SUM(PO17,PT17,PY17)/COUNT(PO17,PT17,PY17))</f>
        <v>2</v>
      </c>
      <c r="QB17" s="212" t="str">
        <f t="shared" si="103"/>
        <v>C</v>
      </c>
      <c r="QC17" s="125"/>
      <c r="QD17" s="121"/>
      <c r="QE17" s="122" t="s">
        <v>25</v>
      </c>
      <c r="QF17" s="188">
        <f>IFERROR((((COUNTIF('Elève (6ème4)'!QC17:QE17,"A"))*4)+((COUNTIF('Elève (6ème4)'!QC17:QE17,"B"))*3)+((COUNTIF('Elève (6ème4)'!QC17:QE17,"C"))*2)+((COUNTIF('Elève (6ème4)'!QC17:QE17,"D"))*1))/(COUNTA(QC17:QE17)),"")</f>
        <v>2</v>
      </c>
      <c r="QG17" s="187" t="str">
        <f t="shared" si="104"/>
        <v>C</v>
      </c>
      <c r="QH17" s="120"/>
      <c r="QI17" s="121"/>
      <c r="QJ17" s="122"/>
      <c r="QK17" s="188" t="str">
        <f>IFERROR((((COUNTIF('Elève (6ème4)'!QH17:QJ17,"A"))*4)+((COUNTIF('Elève (6ème4)'!QH17:QJ17,"B"))*3)+((COUNTIF('Elève (6ème4)'!QH17:QJ17,"C"))*2)+((COUNTIF('Elève (6ème4)'!QH17:QJ17,"D"))*1))/(COUNTA(QH17:QJ17)),"")</f>
        <v/>
      </c>
      <c r="QL17" s="187" t="str">
        <f t="shared" si="105"/>
        <v/>
      </c>
      <c r="QM17" s="120" t="s">
        <v>23</v>
      </c>
      <c r="QN17" s="121" t="s">
        <v>24</v>
      </c>
      <c r="QO17" s="122"/>
      <c r="QP17" s="188">
        <f>IFERROR((((COUNTIF('Elève (6ème4)'!QM17:QO17,"A"))*4)+((COUNTIF('Elève (6ème4)'!QM17:QO17,"B"))*3)+((COUNTIF('Elève (6ème4)'!QM17:QO17,"C"))*2)+((COUNTIF('Elève (6ème4)'!QM17:QO17,"D"))*1))/(COUNTA(QM17:QO17)),"")</f>
        <v>3.5</v>
      </c>
      <c r="QQ17" s="187" t="str">
        <f t="shared" si="106"/>
        <v>B</v>
      </c>
      <c r="QR17" s="188">
        <f>IF(COUNT(QF17,QK17,QP17)=0,"",SUM(QF17,QK17,QP17)/COUNT(QF17,QK17,QP17))</f>
        <v>2.75</v>
      </c>
      <c r="QS17" s="212" t="str">
        <f t="shared" si="107"/>
        <v>C</v>
      </c>
      <c r="QT17" s="125"/>
      <c r="QU17" s="121"/>
      <c r="QV17" s="122" t="s">
        <v>26</v>
      </c>
      <c r="QW17" s="123">
        <f>IFERROR((((COUNTIF('Elève (6ème4)'!QT17:QV17,"A"))*4)+((COUNTIF('Elève (6ème4)'!QT17:QV17,"B"))*3)+((COUNTIF('Elève (6ème4)'!QT17:QV17,"C"))*2)+((COUNTIF('Elève (6ème4)'!QT17:QV17,"D"))*1))/(COUNTA(QT17:QV17)),"")</f>
        <v>1</v>
      </c>
      <c r="QX17" s="118" t="str">
        <f t="shared" si="108"/>
        <v>D</v>
      </c>
      <c r="QY17" s="120"/>
      <c r="QZ17" s="121"/>
      <c r="RA17" s="122"/>
      <c r="RB17" s="123" t="str">
        <f>IFERROR((((COUNTIF('Elève (6ème4)'!QY17:RA17,"A"))*4)+((COUNTIF('Elève (6ème4)'!QY17:RA17,"B"))*3)+((COUNTIF('Elève (6ème4)'!QY17:RA17,"C"))*2)+((COUNTIF('Elève (6ème4)'!QY17:RA17,"D"))*1))/(COUNTA(QY17:RA17)),"")</f>
        <v/>
      </c>
      <c r="RC17" s="118" t="str">
        <f t="shared" si="109"/>
        <v/>
      </c>
      <c r="RD17" s="120" t="s">
        <v>25</v>
      </c>
      <c r="RE17" s="121" t="s">
        <v>25</v>
      </c>
      <c r="RF17" s="122"/>
      <c r="RG17" s="123">
        <f>IFERROR((((COUNTIF('Elève (6ème4)'!RD17:RF17,"A"))*4)+((COUNTIF('Elève (6ème4)'!RD17:RF17,"B"))*3)+((COUNTIF('Elève (6ème4)'!RD17:RF17,"C"))*2)+((COUNTIF('Elève (6ème4)'!RD17:RF17,"D"))*1))/(COUNTA(RD17:RF17)),"")</f>
        <v>2</v>
      </c>
      <c r="RH17" s="118" t="str">
        <f t="shared" si="110"/>
        <v>C</v>
      </c>
      <c r="RI17" s="123">
        <f>IF(COUNT(QW17,RB17,RG17)=0,"",SUM(QW17,RB17,RG17)/COUNT(QW17,RB17,RG17))</f>
        <v>1.5</v>
      </c>
      <c r="RJ17" s="130" t="str">
        <f t="shared" si="111"/>
        <v>D</v>
      </c>
      <c r="RK17" s="125"/>
      <c r="RL17" s="121"/>
      <c r="RM17" s="122"/>
      <c r="RN17" s="123" t="str">
        <f>IFERROR((((COUNTIF('Elève (6ème4)'!RK17:RM17,"A"))*4)+((COUNTIF('Elève (6ème4)'!RK17:RM17,"B"))*3)+((COUNTIF('Elève (6ème4)'!RK17:RM17,"C"))*2)+((COUNTIF('Elève (6ème4)'!RK17:RM17,"D"))*1))/(COUNTA(RK17:RM17)),"")</f>
        <v/>
      </c>
      <c r="RO17" s="118" t="str">
        <f t="shared" si="112"/>
        <v/>
      </c>
      <c r="RP17" s="120"/>
      <c r="RQ17" s="121"/>
      <c r="RR17" s="122"/>
      <c r="RS17" s="123" t="str">
        <f>IFERROR((((COUNTIF('Elève (6ème4)'!RP17:RR17,"A"))*4)+((COUNTIF('Elève (6ème4)'!RP17:RR17,"B"))*3)+((COUNTIF('Elève (6ème4)'!RP17:RR17,"C"))*2)+((COUNTIF('Elève (6ème4)'!RP17:RR17,"D"))*1))/(COUNTA(RP17:RR17)),"")</f>
        <v/>
      </c>
      <c r="RT17" s="118" t="str">
        <f t="shared" si="113"/>
        <v/>
      </c>
      <c r="RU17" s="120"/>
      <c r="RV17" s="121"/>
      <c r="RW17" s="122"/>
      <c r="RX17" s="123" t="str">
        <f>IFERROR((((COUNTIF('Elève (6ème4)'!RU17:RW17,"A"))*4)+((COUNTIF('Elève (6ème4)'!RU17:RW17,"B"))*3)+((COUNTIF('Elève (6ème4)'!RU17:RW17,"C"))*2)+((COUNTIF('Elève (6ème4)'!RU17:RW17,"D"))*1))/(COUNTA(RU17:RW17)),"")</f>
        <v/>
      </c>
      <c r="RY17" s="118" t="str">
        <f t="shared" si="114"/>
        <v/>
      </c>
      <c r="RZ17" s="123" t="str">
        <f>IF(COUNT(RN17,RS17,RX17)=0,"",SUM(RN17,RS17,RX17)/COUNT(RN17,RS17,RX17))</f>
        <v/>
      </c>
      <c r="SA17" s="130" t="str">
        <f t="shared" si="115"/>
        <v/>
      </c>
      <c r="SB17" s="125"/>
      <c r="SC17" s="121"/>
      <c r="SD17" s="122"/>
      <c r="SE17" s="123" t="str">
        <f>IFERROR((((COUNTIF('Elève (6ème4)'!SB17:SD17,"A"))*4)+((COUNTIF('Elève (6ème4)'!SB17:SD17,"B"))*3)+((COUNTIF('Elève (6ème4)'!SB17:SD17,"C"))*2)+((COUNTIF('Elève (6ème4)'!SB17:SD17,"D"))*1))/(COUNTA(SB17:SD17)),"")</f>
        <v/>
      </c>
      <c r="SF17" s="118" t="str">
        <f t="shared" si="116"/>
        <v/>
      </c>
      <c r="SG17" s="120"/>
      <c r="SH17" s="121"/>
      <c r="SI17" s="122"/>
      <c r="SJ17" s="123" t="str">
        <f>IFERROR((((COUNTIF('Elève (6ème4)'!SG17:SI17,"A"))*4)+((COUNTIF('Elève (6ème4)'!SG17:SI17,"B"))*3)+((COUNTIF('Elève (6ème4)'!SG17:SI17,"C"))*2)+((COUNTIF('Elève (6ème4)'!SG17:SI17,"D"))*1))/(COUNTA(SG17:SI17)),"")</f>
        <v/>
      </c>
      <c r="SK17" s="118" t="str">
        <f t="shared" si="117"/>
        <v/>
      </c>
      <c r="SL17" s="120"/>
      <c r="SM17" s="121"/>
      <c r="SN17" s="122"/>
      <c r="SO17" s="123" t="str">
        <f>IFERROR((((COUNTIF('Elève (6ème4)'!SL17:SN17,"A"))*4)+((COUNTIF('Elève (6ème4)'!SL17:SN17,"B"))*3)+((COUNTIF('Elève (6ème4)'!SL17:SN17,"C"))*2)+((COUNTIF('Elève (6ème4)'!SL17:SN17,"D"))*1))/(COUNTA(SL17:SN17)),"")</f>
        <v/>
      </c>
      <c r="SP17" s="118" t="str">
        <f t="shared" si="118"/>
        <v/>
      </c>
      <c r="SQ17" s="123" t="str">
        <f>IF(COUNT(SE17,SJ17,SO17)=0,"",SUM(SE17,SJ17,SO17)/COUNT(SE17,SJ17,SO17))</f>
        <v/>
      </c>
      <c r="SR17" s="130" t="str">
        <f t="shared" si="119"/>
        <v/>
      </c>
      <c r="SS17" s="125"/>
      <c r="ST17" s="121"/>
      <c r="SU17" s="122"/>
      <c r="SV17" s="123" t="str">
        <f>IFERROR((((COUNTIF('Elève (6ème4)'!SS17:SU17,"A"))*4)+((COUNTIF('Elève (6ème4)'!SS17:SU17,"B"))*3)+((COUNTIF('Elève (6ème4)'!SS17:SU17,"C"))*2)+((COUNTIF('Elève (6ème4)'!SS17:SU17,"D"))*1))/(COUNTA(SS17:SU17)),"")</f>
        <v/>
      </c>
      <c r="SW17" s="118" t="str">
        <f t="shared" si="120"/>
        <v/>
      </c>
      <c r="SX17" s="120"/>
      <c r="SY17" s="121"/>
      <c r="SZ17" s="122"/>
      <c r="TA17" s="123" t="str">
        <f>IFERROR((((COUNTIF('Elève (6ème4)'!SX17:SZ17,"A"))*4)+((COUNTIF('Elève (6ème4)'!SX17:SZ17,"B"))*3)+((COUNTIF('Elève (6ème4)'!SX17:SZ17,"C"))*2)+((COUNTIF('Elève (6ème4)'!SX17:SZ17,"D"))*1))/(COUNTA(SX17:SZ17)),"")</f>
        <v/>
      </c>
      <c r="TB17" s="118" t="str">
        <f t="shared" si="121"/>
        <v/>
      </c>
      <c r="TC17" s="120"/>
      <c r="TD17" s="121"/>
      <c r="TE17" s="122"/>
      <c r="TF17" s="123" t="str">
        <f>IFERROR((((COUNTIF('Elève (6ème4)'!TC17:TE17,"A"))*4)+((COUNTIF('Elève (6ème4)'!TC17:TE17,"B"))*3)+((COUNTIF('Elève (6ème4)'!TC17:TE17,"C"))*2)+((COUNTIF('Elève (6ème4)'!TC17:TE17,"D"))*1))/(COUNTA(TC17:TE17)),"")</f>
        <v/>
      </c>
      <c r="TG17" s="118" t="str">
        <f t="shared" si="122"/>
        <v/>
      </c>
      <c r="TH17" s="123" t="str">
        <f>IF(COUNT(SV17,TA17,TF17)=0,"",SUM(SV17,TA17,TF17)/COUNT(SV17,TA17,TF17))</f>
        <v/>
      </c>
      <c r="TI17" s="130" t="str">
        <f t="shared" si="123"/>
        <v/>
      </c>
      <c r="TJ17" s="125"/>
      <c r="TK17" s="121"/>
      <c r="TL17" s="122"/>
      <c r="TM17" s="123" t="str">
        <f>IFERROR((((COUNTIF('Elève (6ème4)'!TJ17:TL17,"A"))*4)+((COUNTIF('Elève (6ème4)'!TJ17:TL17,"B"))*3)+((COUNTIF('Elève (6ème4)'!TJ17:TL17,"C"))*2)+((COUNTIF('Elève (6ème4)'!TJ17:TL17,"D"))*1))/(COUNTA(TJ17:TL17)),"")</f>
        <v/>
      </c>
      <c r="TN17" s="118" t="str">
        <f t="shared" si="124"/>
        <v/>
      </c>
      <c r="TO17" s="120"/>
      <c r="TP17" s="121"/>
      <c r="TQ17" s="122"/>
      <c r="TR17" s="123" t="str">
        <f>IFERROR((((COUNTIF('Elève (6ème4)'!TO17:TQ17,"A"))*4)+((COUNTIF('Elève (6ème4)'!TO17:TQ17,"B"))*3)+((COUNTIF('Elève (6ème4)'!TO17:TQ17,"C"))*2)+((COUNTIF('Elève (6ème4)'!TO17:TQ17,"D"))*1))/(COUNTA(TO17:TQ17)),"")</f>
        <v/>
      </c>
      <c r="TS17" s="118" t="str">
        <f t="shared" si="125"/>
        <v/>
      </c>
      <c r="TT17" s="120"/>
      <c r="TU17" s="121"/>
      <c r="TV17" s="122"/>
      <c r="TW17" s="123" t="str">
        <f>IFERROR((((COUNTIF('Elève (6ème4)'!TT17:TV17,"A"))*4)+((COUNTIF('Elève (6ème4)'!TT17:TV17,"B"))*3)+((COUNTIF('Elève (6ème4)'!TT17:TV17,"C"))*2)+((COUNTIF('Elève (6ème4)'!TT17:TV17,"D"))*1))/(COUNTA(TT17:TV17)),"")</f>
        <v/>
      </c>
      <c r="TX17" s="118" t="str">
        <f t="shared" si="126"/>
        <v/>
      </c>
      <c r="TY17" s="123" t="str">
        <f>IF(COUNT(TM17,TR17,TW17)=0,"",SUM(TM17,TR17,TW17)/COUNT(TM17,TR17,TW17))</f>
        <v/>
      </c>
      <c r="TZ17" s="130" t="str">
        <f t="shared" si="127"/>
        <v/>
      </c>
    </row>
    <row r="18" spans="1:546" s="98" customFormat="1" ht="16.5" customHeight="1" thickBot="1" x14ac:dyDescent="0.3">
      <c r="A18" s="164" t="s">
        <v>21</v>
      </c>
      <c r="B18" s="164">
        <v>1</v>
      </c>
      <c r="C18" s="255"/>
      <c r="D18" s="250"/>
      <c r="E18" s="251"/>
      <c r="F18" s="181" t="str">
        <f>IF(COUNT(F19:F20)=0,"",SUM(F19:F20)/COUNT(F19:F20))</f>
        <v/>
      </c>
      <c r="G18" s="182" t="str">
        <f t="shared" si="0"/>
        <v/>
      </c>
      <c r="H18" s="252"/>
      <c r="I18" s="250"/>
      <c r="J18" s="251"/>
      <c r="K18" s="181" t="str">
        <f>IF(COUNT(K20)=0,"",SUM(K20)/COUNT(K20))</f>
        <v/>
      </c>
      <c r="L18" s="198" t="str">
        <f t="shared" si="1"/>
        <v/>
      </c>
      <c r="M18" s="247"/>
      <c r="N18" s="245"/>
      <c r="O18" s="246"/>
      <c r="P18" s="181" t="str">
        <f>IF(COUNT(P20)=0,"",SUM(P20)/COUNT(P20))</f>
        <v/>
      </c>
      <c r="Q18" s="205" t="str">
        <f t="shared" si="2"/>
        <v/>
      </c>
      <c r="R18" s="181" t="str">
        <f>IF(COUNT(R20)=0,"",SUM(R20)/COUNT(R20))</f>
        <v/>
      </c>
      <c r="S18" s="206" t="str">
        <f t="shared" si="3"/>
        <v/>
      </c>
      <c r="T18" s="250"/>
      <c r="U18" s="250"/>
      <c r="V18" s="251"/>
      <c r="W18" s="181" t="str">
        <f>IF(COUNT(W19:W20)=0,"",SUM(W19:W20)/COUNT(W19:W20))</f>
        <v/>
      </c>
      <c r="X18" s="182" t="str">
        <f t="shared" si="4"/>
        <v/>
      </c>
      <c r="Y18" s="252"/>
      <c r="Z18" s="250"/>
      <c r="AA18" s="251"/>
      <c r="AB18" s="181" t="str">
        <f>IF(COUNT(AB20)=0,"",SUM(AB20)/COUNT(AB20))</f>
        <v/>
      </c>
      <c r="AC18" s="198" t="str">
        <f t="shared" si="5"/>
        <v/>
      </c>
      <c r="AD18" s="247"/>
      <c r="AE18" s="245"/>
      <c r="AF18" s="246"/>
      <c r="AG18" s="181" t="str">
        <f>IF(COUNT(AG20)=0,"",SUM(AG20)/COUNT(AG20))</f>
        <v/>
      </c>
      <c r="AH18" s="205" t="str">
        <f t="shared" si="6"/>
        <v/>
      </c>
      <c r="AI18" s="181" t="str">
        <f>IF(COUNT(AI20)=0,"",SUM(AI20)/COUNT(AI20))</f>
        <v/>
      </c>
      <c r="AJ18" s="206" t="str">
        <f t="shared" si="7"/>
        <v/>
      </c>
      <c r="AK18" s="250"/>
      <c r="AL18" s="250"/>
      <c r="AM18" s="251"/>
      <c r="AN18" s="181" t="str">
        <f>IF(COUNT(AN19:AN20)=0,"",SUM(AN19:AN20)/COUNT(AN19:AN20))</f>
        <v/>
      </c>
      <c r="AO18" s="182" t="str">
        <f t="shared" si="8"/>
        <v/>
      </c>
      <c r="AP18" s="252"/>
      <c r="AQ18" s="250"/>
      <c r="AR18" s="251"/>
      <c r="AS18" s="181" t="str">
        <f>IF(COUNT(AS20)=0,"",SUM(AS20)/COUNT(AS20))</f>
        <v/>
      </c>
      <c r="AT18" s="198" t="str">
        <f t="shared" si="9"/>
        <v/>
      </c>
      <c r="AU18" s="247"/>
      <c r="AV18" s="245"/>
      <c r="AW18" s="246"/>
      <c r="AX18" s="181" t="str">
        <f>IF(COUNT(AX20)=0,"",SUM(AX20)/COUNT(AX20))</f>
        <v/>
      </c>
      <c r="AY18" s="205" t="str">
        <f t="shared" si="10"/>
        <v/>
      </c>
      <c r="AZ18" s="181" t="str">
        <f>IF(COUNT(AZ20)=0,"",SUM(AZ20)/COUNT(AZ20))</f>
        <v/>
      </c>
      <c r="BA18" s="206" t="str">
        <f t="shared" si="11"/>
        <v/>
      </c>
      <c r="BB18" s="250"/>
      <c r="BC18" s="250"/>
      <c r="BD18" s="251"/>
      <c r="BE18" s="181" t="str">
        <f>IF(COUNT(BE19:BE20)=0,"",SUM(BE19:BE20)/COUNT(BE19:BE20))</f>
        <v/>
      </c>
      <c r="BF18" s="182" t="str">
        <f t="shared" si="12"/>
        <v/>
      </c>
      <c r="BG18" s="252"/>
      <c r="BH18" s="250"/>
      <c r="BI18" s="251"/>
      <c r="BJ18" s="181" t="str">
        <f>IF(COUNT(BJ20)=0,"",SUM(BJ20)/COUNT(BJ20))</f>
        <v/>
      </c>
      <c r="BK18" s="198" t="str">
        <f t="shared" si="13"/>
        <v/>
      </c>
      <c r="BL18" s="247"/>
      <c r="BM18" s="245"/>
      <c r="BN18" s="246"/>
      <c r="BO18" s="181" t="str">
        <f>IF(COUNT(BO20)=0,"",SUM(BO20)/COUNT(BO20))</f>
        <v/>
      </c>
      <c r="BP18" s="205" t="str">
        <f t="shared" si="14"/>
        <v/>
      </c>
      <c r="BQ18" s="181" t="str">
        <f>IF(COUNT(BQ20)=0,"",SUM(BQ20)/COUNT(BQ20))</f>
        <v/>
      </c>
      <c r="BR18" s="206" t="str">
        <f t="shared" si="15"/>
        <v/>
      </c>
      <c r="BS18" s="250"/>
      <c r="BT18" s="250"/>
      <c r="BU18" s="251"/>
      <c r="BV18" s="181" t="str">
        <f>IF(COUNT(BV19:BV20)=0,"",SUM(BV19:BV20)/COUNT(BV19:BV20))</f>
        <v/>
      </c>
      <c r="BW18" s="182" t="str">
        <f t="shared" si="16"/>
        <v/>
      </c>
      <c r="BX18" s="252"/>
      <c r="BY18" s="250"/>
      <c r="BZ18" s="251"/>
      <c r="CA18" s="181" t="str">
        <f>IF(COUNT(CA20)=0,"",SUM(CA20)/COUNT(CA20))</f>
        <v/>
      </c>
      <c r="CB18" s="198" t="str">
        <f t="shared" si="17"/>
        <v/>
      </c>
      <c r="CC18" s="247"/>
      <c r="CD18" s="245"/>
      <c r="CE18" s="246"/>
      <c r="CF18" s="181" t="str">
        <f>IF(COUNT(CF20)=0,"",SUM(CF20)/COUNT(CF20))</f>
        <v/>
      </c>
      <c r="CG18" s="205" t="str">
        <f t="shared" si="18"/>
        <v/>
      </c>
      <c r="CH18" s="181" t="str">
        <f>IF(COUNT(CH20)=0,"",SUM(CH20)/COUNT(CH20))</f>
        <v/>
      </c>
      <c r="CI18" s="206" t="str">
        <f t="shared" si="19"/>
        <v/>
      </c>
      <c r="CJ18" s="250"/>
      <c r="CK18" s="250"/>
      <c r="CL18" s="251"/>
      <c r="CM18" s="181" t="str">
        <f>IF(COUNT(CM19:CM20)=0,"",SUM(CM19:CM20)/COUNT(CM19:CM20))</f>
        <v/>
      </c>
      <c r="CN18" s="182" t="str">
        <f t="shared" si="20"/>
        <v/>
      </c>
      <c r="CO18" s="252"/>
      <c r="CP18" s="250"/>
      <c r="CQ18" s="251"/>
      <c r="CR18" s="181" t="str">
        <f>IF(COUNT(CR20)=0,"",SUM(CR20)/COUNT(CR20))</f>
        <v/>
      </c>
      <c r="CS18" s="198" t="str">
        <f t="shared" si="21"/>
        <v/>
      </c>
      <c r="CT18" s="247"/>
      <c r="CU18" s="245"/>
      <c r="CV18" s="246"/>
      <c r="CW18" s="181" t="str">
        <f>IF(COUNT(CW20)=0,"",SUM(CW20)/COUNT(CW20))</f>
        <v/>
      </c>
      <c r="CX18" s="205" t="str">
        <f t="shared" si="22"/>
        <v/>
      </c>
      <c r="CY18" s="181" t="str">
        <f>IF(COUNT(CY20)=0,"",SUM(CY20)/COUNT(CY20))</f>
        <v/>
      </c>
      <c r="CZ18" s="206" t="str">
        <f t="shared" si="23"/>
        <v/>
      </c>
      <c r="DA18" s="250"/>
      <c r="DB18" s="250"/>
      <c r="DC18" s="251"/>
      <c r="DD18" s="181" t="str">
        <f>IF(COUNT(DD19:DD20)=0,"",SUM(DD19:DD20)/COUNT(DD19:DD20))</f>
        <v/>
      </c>
      <c r="DE18" s="182" t="str">
        <f t="shared" si="24"/>
        <v/>
      </c>
      <c r="DF18" s="252"/>
      <c r="DG18" s="250"/>
      <c r="DH18" s="251"/>
      <c r="DI18" s="181" t="str">
        <f>IF(COUNT(DI20)=0,"",SUM(DI20)/COUNT(DI20))</f>
        <v/>
      </c>
      <c r="DJ18" s="198" t="str">
        <f t="shared" si="25"/>
        <v/>
      </c>
      <c r="DK18" s="247"/>
      <c r="DL18" s="245"/>
      <c r="DM18" s="246"/>
      <c r="DN18" s="181" t="str">
        <f>IF(COUNT(DN20)=0,"",SUM(DN20)/COUNT(DN20))</f>
        <v/>
      </c>
      <c r="DO18" s="205" t="str">
        <f t="shared" si="26"/>
        <v/>
      </c>
      <c r="DP18" s="181" t="str">
        <f>IF(COUNT(DP20)=0,"",SUM(DP20)/COUNT(DP20))</f>
        <v/>
      </c>
      <c r="DQ18" s="206" t="str">
        <f t="shared" si="27"/>
        <v/>
      </c>
      <c r="DR18" s="250"/>
      <c r="DS18" s="250"/>
      <c r="DT18" s="251"/>
      <c r="DU18" s="181" t="str">
        <f>IF(COUNT(DU19:DU20)=0,"",SUM(DU19:DU20)/COUNT(DU19:DU20))</f>
        <v/>
      </c>
      <c r="DV18" s="182" t="str">
        <f t="shared" si="28"/>
        <v/>
      </c>
      <c r="DW18" s="252"/>
      <c r="DX18" s="250"/>
      <c r="DY18" s="251"/>
      <c r="DZ18" s="181" t="str">
        <f>IF(COUNT(DZ20)=0,"",SUM(DZ20)/COUNT(DZ20))</f>
        <v/>
      </c>
      <c r="EA18" s="198" t="str">
        <f t="shared" si="29"/>
        <v/>
      </c>
      <c r="EB18" s="247"/>
      <c r="EC18" s="245"/>
      <c r="ED18" s="246"/>
      <c r="EE18" s="181" t="str">
        <f>IF(COUNT(EE20)=0,"",SUM(EE20)/COUNT(EE20))</f>
        <v/>
      </c>
      <c r="EF18" s="205" t="str">
        <f t="shared" si="30"/>
        <v/>
      </c>
      <c r="EG18" s="181" t="str">
        <f>IF(COUNT(EG20)=0,"",SUM(EG20)/COUNT(EG20))</f>
        <v/>
      </c>
      <c r="EH18" s="206" t="str">
        <f t="shared" si="31"/>
        <v/>
      </c>
      <c r="EI18" s="250"/>
      <c r="EJ18" s="250"/>
      <c r="EK18" s="251"/>
      <c r="EL18" s="181" t="str">
        <f>IF(COUNT(EL19:EL20)=0,"",SUM(EL19:EL20)/COUNT(EL19:EL20))</f>
        <v/>
      </c>
      <c r="EM18" s="182" t="str">
        <f t="shared" si="32"/>
        <v/>
      </c>
      <c r="EN18" s="252"/>
      <c r="EO18" s="250"/>
      <c r="EP18" s="251"/>
      <c r="EQ18" s="181" t="str">
        <f>IF(COUNT(EQ20)=0,"",SUM(EQ20)/COUNT(EQ20))</f>
        <v/>
      </c>
      <c r="ER18" s="198" t="str">
        <f t="shared" si="33"/>
        <v/>
      </c>
      <c r="ES18" s="247"/>
      <c r="ET18" s="245"/>
      <c r="EU18" s="246"/>
      <c r="EV18" s="181" t="str">
        <f>IF(COUNT(EV20)=0,"",SUM(EV20)/COUNT(EV20))</f>
        <v/>
      </c>
      <c r="EW18" s="205" t="str">
        <f t="shared" si="34"/>
        <v/>
      </c>
      <c r="EX18" s="181" t="str">
        <f>IF(COUNT(EX20)=0,"",SUM(EX20)/COUNT(EX20))</f>
        <v/>
      </c>
      <c r="EY18" s="206" t="str">
        <f t="shared" si="35"/>
        <v/>
      </c>
      <c r="EZ18" s="250"/>
      <c r="FA18" s="250"/>
      <c r="FB18" s="251"/>
      <c r="FC18" s="181" t="str">
        <f>IF(COUNT(FC19:FC20)=0,"",SUM(FC19:FC20)/COUNT(FC19:FC20))</f>
        <v/>
      </c>
      <c r="FD18" s="182" t="str">
        <f t="shared" si="36"/>
        <v/>
      </c>
      <c r="FE18" s="252"/>
      <c r="FF18" s="250"/>
      <c r="FG18" s="251"/>
      <c r="FH18" s="181" t="str">
        <f>IF(COUNT(FH20)=0,"",SUM(FH20)/COUNT(FH20))</f>
        <v/>
      </c>
      <c r="FI18" s="198" t="str">
        <f t="shared" si="37"/>
        <v/>
      </c>
      <c r="FJ18" s="247"/>
      <c r="FK18" s="245"/>
      <c r="FL18" s="246"/>
      <c r="FM18" s="181" t="str">
        <f>IF(COUNT(FM20)=0,"",SUM(FM20)/COUNT(FM20))</f>
        <v/>
      </c>
      <c r="FN18" s="205" t="str">
        <f t="shared" si="38"/>
        <v/>
      </c>
      <c r="FO18" s="181" t="str">
        <f>IF(COUNT(FO20)=0,"",SUM(FO20)/COUNT(FO20))</f>
        <v/>
      </c>
      <c r="FP18" s="206" t="str">
        <f t="shared" si="39"/>
        <v/>
      </c>
      <c r="FQ18" s="250"/>
      <c r="FR18" s="250"/>
      <c r="FS18" s="251"/>
      <c r="FT18" s="181" t="str">
        <f>IF(COUNT(FT19:FT20)=0,"",SUM(FT19:FT20)/COUNT(FT19:FT20))</f>
        <v/>
      </c>
      <c r="FU18" s="182" t="str">
        <f t="shared" si="40"/>
        <v/>
      </c>
      <c r="FV18" s="252"/>
      <c r="FW18" s="250"/>
      <c r="FX18" s="251"/>
      <c r="FY18" s="181" t="str">
        <f>IF(COUNT(FY20)=0,"",SUM(FY20)/COUNT(FY20))</f>
        <v/>
      </c>
      <c r="FZ18" s="198" t="str">
        <f t="shared" si="41"/>
        <v/>
      </c>
      <c r="GA18" s="247"/>
      <c r="GB18" s="245"/>
      <c r="GC18" s="246"/>
      <c r="GD18" s="181" t="str">
        <f>IF(COUNT(GD20)=0,"",SUM(GD20)/COUNT(GD20))</f>
        <v/>
      </c>
      <c r="GE18" s="205" t="str">
        <f t="shared" si="42"/>
        <v/>
      </c>
      <c r="GF18" s="181" t="str">
        <f>IF(COUNT(GF20)=0,"",SUM(GF20)/COUNT(GF20))</f>
        <v/>
      </c>
      <c r="GG18" s="206" t="str">
        <f t="shared" si="43"/>
        <v/>
      </c>
      <c r="GH18" s="250"/>
      <c r="GI18" s="250"/>
      <c r="GJ18" s="251"/>
      <c r="GK18" s="181" t="str">
        <f>IF(COUNT(GK19:GK20)=0,"",SUM(GK19:GK20)/COUNT(GK19:GK20))</f>
        <v/>
      </c>
      <c r="GL18" s="182" t="str">
        <f t="shared" si="44"/>
        <v/>
      </c>
      <c r="GM18" s="252"/>
      <c r="GN18" s="250"/>
      <c r="GO18" s="251"/>
      <c r="GP18" s="181" t="str">
        <f>IF(COUNT(GP20)=0,"",SUM(GP20)/COUNT(GP20))</f>
        <v/>
      </c>
      <c r="GQ18" s="198" t="str">
        <f t="shared" si="45"/>
        <v/>
      </c>
      <c r="GR18" s="247"/>
      <c r="GS18" s="245"/>
      <c r="GT18" s="246"/>
      <c r="GU18" s="181" t="str">
        <f>IF(COUNT(GU20)=0,"",SUM(GU20)/COUNT(GU20))</f>
        <v/>
      </c>
      <c r="GV18" s="205" t="str">
        <f t="shared" si="46"/>
        <v/>
      </c>
      <c r="GW18" s="181" t="str">
        <f>IF(COUNT(GW20)=0,"",SUM(GW20)/COUNT(GW20))</f>
        <v/>
      </c>
      <c r="GX18" s="206" t="str">
        <f t="shared" si="47"/>
        <v/>
      </c>
      <c r="GY18" s="250"/>
      <c r="GZ18" s="250"/>
      <c r="HA18" s="251"/>
      <c r="HB18" s="181" t="str">
        <f>IF(COUNT(HB19:HB20)=0,"",SUM(HB19:HB20)/COUNT(HB19:HB20))</f>
        <v/>
      </c>
      <c r="HC18" s="182" t="str">
        <f t="shared" si="48"/>
        <v/>
      </c>
      <c r="HD18" s="252"/>
      <c r="HE18" s="250"/>
      <c r="HF18" s="251"/>
      <c r="HG18" s="181" t="str">
        <f>IF(COUNT(HG20)=0,"",SUM(HG20)/COUNT(HG20))</f>
        <v/>
      </c>
      <c r="HH18" s="198" t="str">
        <f t="shared" si="49"/>
        <v/>
      </c>
      <c r="HI18" s="247"/>
      <c r="HJ18" s="245"/>
      <c r="HK18" s="246"/>
      <c r="HL18" s="181" t="str">
        <f>IF(COUNT(HL20)=0,"",SUM(HL20)/COUNT(HL20))</f>
        <v/>
      </c>
      <c r="HM18" s="205" t="str">
        <f t="shared" si="50"/>
        <v/>
      </c>
      <c r="HN18" s="181" t="str">
        <f>IF(COUNT(HN20)=0,"",SUM(HN20)/COUNT(HN20))</f>
        <v/>
      </c>
      <c r="HO18" s="206" t="str">
        <f t="shared" si="51"/>
        <v/>
      </c>
      <c r="HP18" s="250"/>
      <c r="HQ18" s="250"/>
      <c r="HR18" s="251"/>
      <c r="HS18" s="181" t="str">
        <f>IF(COUNT(HS19:HS20)=0,"",SUM(HS19:HS20)/COUNT(HS19:HS20))</f>
        <v/>
      </c>
      <c r="HT18" s="182" t="str">
        <f t="shared" si="52"/>
        <v/>
      </c>
      <c r="HU18" s="252"/>
      <c r="HV18" s="250"/>
      <c r="HW18" s="251"/>
      <c r="HX18" s="181" t="str">
        <f>IF(COUNT(HX20)=0,"",SUM(HX20)/COUNT(HX20))</f>
        <v/>
      </c>
      <c r="HY18" s="198" t="str">
        <f t="shared" si="53"/>
        <v/>
      </c>
      <c r="HZ18" s="247"/>
      <c r="IA18" s="245"/>
      <c r="IB18" s="246"/>
      <c r="IC18" s="181" t="str">
        <f>IF(COUNT(IC20)=0,"",SUM(IC20)/COUNT(IC20))</f>
        <v/>
      </c>
      <c r="ID18" s="205" t="str">
        <f t="shared" si="54"/>
        <v/>
      </c>
      <c r="IE18" s="181" t="str">
        <f>IF(COUNT(IE20)=0,"",SUM(IE20)/COUNT(IE20))</f>
        <v/>
      </c>
      <c r="IF18" s="206" t="str">
        <f t="shared" si="55"/>
        <v/>
      </c>
      <c r="IG18" s="250"/>
      <c r="IH18" s="250"/>
      <c r="II18" s="251"/>
      <c r="IJ18" s="181" t="str">
        <f>IF(COUNT(IJ19:IJ20)=0,"",SUM(IJ19:IJ20)/COUNT(IJ19:IJ20))</f>
        <v/>
      </c>
      <c r="IK18" s="182" t="str">
        <f t="shared" si="56"/>
        <v/>
      </c>
      <c r="IL18" s="252"/>
      <c r="IM18" s="250"/>
      <c r="IN18" s="251"/>
      <c r="IO18" s="181" t="str">
        <f>IF(COUNT(IO20)=0,"",SUM(IO20)/COUNT(IO20))</f>
        <v/>
      </c>
      <c r="IP18" s="198" t="str">
        <f t="shared" si="57"/>
        <v/>
      </c>
      <c r="IQ18" s="247"/>
      <c r="IR18" s="245"/>
      <c r="IS18" s="246"/>
      <c r="IT18" s="181" t="str">
        <f>IF(COUNT(IT20)=0,"",SUM(IT20)/COUNT(IT20))</f>
        <v/>
      </c>
      <c r="IU18" s="205" t="str">
        <f t="shared" si="58"/>
        <v/>
      </c>
      <c r="IV18" s="181" t="str">
        <f>IF(COUNT(IV20)=0,"",SUM(IV20)/COUNT(IV20))</f>
        <v/>
      </c>
      <c r="IW18" s="206" t="str">
        <f t="shared" si="59"/>
        <v/>
      </c>
      <c r="IX18" s="250"/>
      <c r="IY18" s="250"/>
      <c r="IZ18" s="251"/>
      <c r="JA18" s="181" t="str">
        <f>IF(COUNT(JA19:JA20)=0,"",SUM(JA19:JA20)/COUNT(JA19:JA20))</f>
        <v/>
      </c>
      <c r="JB18" s="182" t="str">
        <f t="shared" si="60"/>
        <v/>
      </c>
      <c r="JC18" s="252"/>
      <c r="JD18" s="250"/>
      <c r="JE18" s="251"/>
      <c r="JF18" s="181" t="str">
        <f>IF(COUNT(JF20)=0,"",SUM(JF20)/COUNT(JF20))</f>
        <v/>
      </c>
      <c r="JG18" s="198" t="str">
        <f t="shared" si="61"/>
        <v/>
      </c>
      <c r="JH18" s="247"/>
      <c r="JI18" s="245"/>
      <c r="JJ18" s="246"/>
      <c r="JK18" s="181" t="str">
        <f>IF(COUNT(JK20)=0,"",SUM(JK20)/COUNT(JK20))</f>
        <v/>
      </c>
      <c r="JL18" s="205" t="str">
        <f t="shared" si="62"/>
        <v/>
      </c>
      <c r="JM18" s="181" t="str">
        <f>IF(COUNT(JM20)=0,"",SUM(JM20)/COUNT(JM20))</f>
        <v/>
      </c>
      <c r="JN18" s="206" t="str">
        <f t="shared" si="63"/>
        <v/>
      </c>
      <c r="JO18" s="250"/>
      <c r="JP18" s="250"/>
      <c r="JQ18" s="251"/>
      <c r="JR18" s="181" t="str">
        <f>IF(COUNT(JR19:JR20)=0,"",SUM(JR19:JR20)/COUNT(JR19:JR20))</f>
        <v/>
      </c>
      <c r="JS18" s="182" t="str">
        <f t="shared" si="64"/>
        <v/>
      </c>
      <c r="JT18" s="252"/>
      <c r="JU18" s="250"/>
      <c r="JV18" s="251"/>
      <c r="JW18" s="181" t="str">
        <f>IF(COUNT(JW20)=0,"",SUM(JW20)/COUNT(JW20))</f>
        <v/>
      </c>
      <c r="JX18" s="198" t="str">
        <f t="shared" si="65"/>
        <v/>
      </c>
      <c r="JY18" s="247"/>
      <c r="JZ18" s="245"/>
      <c r="KA18" s="246"/>
      <c r="KB18" s="181" t="str">
        <f>IF(COUNT(KB20)=0,"",SUM(KB20)/COUNT(KB20))</f>
        <v/>
      </c>
      <c r="KC18" s="205" t="str">
        <f t="shared" si="66"/>
        <v/>
      </c>
      <c r="KD18" s="181" t="str">
        <f>IF(COUNT(KD20)=0,"",SUM(KD20)/COUNT(KD20))</f>
        <v/>
      </c>
      <c r="KE18" s="206" t="str">
        <f t="shared" si="67"/>
        <v/>
      </c>
      <c r="KF18" s="250"/>
      <c r="KG18" s="250"/>
      <c r="KH18" s="251"/>
      <c r="KI18" s="181" t="str">
        <f>IF(COUNT(KI19:KI20)=0,"",SUM(KI19:KI20)/COUNT(KI19:KI20))</f>
        <v/>
      </c>
      <c r="KJ18" s="182" t="str">
        <f t="shared" si="68"/>
        <v/>
      </c>
      <c r="KK18" s="252"/>
      <c r="KL18" s="250"/>
      <c r="KM18" s="251"/>
      <c r="KN18" s="181" t="str">
        <f>IF(COUNT(KN20)=0,"",SUM(KN20)/COUNT(KN20))</f>
        <v/>
      </c>
      <c r="KO18" s="198" t="str">
        <f t="shared" si="69"/>
        <v/>
      </c>
      <c r="KP18" s="247"/>
      <c r="KQ18" s="245"/>
      <c r="KR18" s="246"/>
      <c r="KS18" s="181" t="str">
        <f>IF(COUNT(KS20)=0,"",SUM(KS20)/COUNT(KS20))</f>
        <v/>
      </c>
      <c r="KT18" s="205" t="str">
        <f t="shared" si="70"/>
        <v/>
      </c>
      <c r="KU18" s="181" t="str">
        <f>IF(COUNT(KU20)=0,"",SUM(KU20)/COUNT(KU20))</f>
        <v/>
      </c>
      <c r="KV18" s="206" t="str">
        <f t="shared" si="71"/>
        <v/>
      </c>
      <c r="KW18" s="250"/>
      <c r="KX18" s="250"/>
      <c r="KY18" s="251"/>
      <c r="KZ18" s="181" t="str">
        <f>IF(COUNT(KZ19:KZ20)=0,"",SUM(KZ19:KZ20)/COUNT(KZ19:KZ20))</f>
        <v/>
      </c>
      <c r="LA18" s="182" t="str">
        <f t="shared" si="72"/>
        <v/>
      </c>
      <c r="LB18" s="252"/>
      <c r="LC18" s="250"/>
      <c r="LD18" s="251"/>
      <c r="LE18" s="181" t="str">
        <f>IF(COUNT(LE20)=0,"",SUM(LE20)/COUNT(LE20))</f>
        <v/>
      </c>
      <c r="LF18" s="198" t="str">
        <f t="shared" si="73"/>
        <v/>
      </c>
      <c r="LG18" s="247"/>
      <c r="LH18" s="245"/>
      <c r="LI18" s="246"/>
      <c r="LJ18" s="181" t="str">
        <f>IF(COUNT(LJ20)=0,"",SUM(LJ20)/COUNT(LJ20))</f>
        <v/>
      </c>
      <c r="LK18" s="205" t="str">
        <f t="shared" si="74"/>
        <v/>
      </c>
      <c r="LL18" s="181" t="str">
        <f>IF(COUNT(LL20)=0,"",SUM(LL20)/COUNT(LL20))</f>
        <v/>
      </c>
      <c r="LM18" s="206" t="str">
        <f t="shared" si="75"/>
        <v/>
      </c>
      <c r="LN18" s="250"/>
      <c r="LO18" s="250"/>
      <c r="LP18" s="251"/>
      <c r="LQ18" s="181" t="str">
        <f>IF(COUNT(LQ19:LQ20)=0,"",SUM(LQ19:LQ20)/COUNT(LQ19:LQ20))</f>
        <v/>
      </c>
      <c r="LR18" s="182" t="str">
        <f t="shared" si="76"/>
        <v/>
      </c>
      <c r="LS18" s="252"/>
      <c r="LT18" s="250"/>
      <c r="LU18" s="251"/>
      <c r="LV18" s="181" t="str">
        <f>IF(COUNT(LV20)=0,"",SUM(LV20)/COUNT(LV20))</f>
        <v/>
      </c>
      <c r="LW18" s="198" t="str">
        <f t="shared" si="77"/>
        <v/>
      </c>
      <c r="LX18" s="247"/>
      <c r="LY18" s="245"/>
      <c r="LZ18" s="246"/>
      <c r="MA18" s="181" t="str">
        <f>IF(COUNT(MA20)=0,"",SUM(MA20)/COUNT(MA20))</f>
        <v/>
      </c>
      <c r="MB18" s="205" t="str">
        <f t="shared" si="78"/>
        <v/>
      </c>
      <c r="MC18" s="181" t="str">
        <f>IF(COUNT(MC20)=0,"",SUM(MC20)/COUNT(MC20))</f>
        <v/>
      </c>
      <c r="MD18" s="206" t="str">
        <f t="shared" si="79"/>
        <v/>
      </c>
      <c r="ME18" s="250"/>
      <c r="MF18" s="250"/>
      <c r="MG18" s="251"/>
      <c r="MH18" s="181" t="str">
        <f>IF(COUNT(MH19:MH20)=0,"",SUM(MH19:MH20)/COUNT(MH19:MH20))</f>
        <v/>
      </c>
      <c r="MI18" s="182" t="str">
        <f t="shared" si="80"/>
        <v/>
      </c>
      <c r="MJ18" s="252"/>
      <c r="MK18" s="250"/>
      <c r="ML18" s="251"/>
      <c r="MM18" s="181" t="str">
        <f>IF(COUNT(MM20)=0,"",SUM(MM20)/COUNT(MM20))</f>
        <v/>
      </c>
      <c r="MN18" s="198" t="str">
        <f t="shared" si="81"/>
        <v/>
      </c>
      <c r="MO18" s="247"/>
      <c r="MP18" s="245"/>
      <c r="MQ18" s="246"/>
      <c r="MR18" s="181" t="str">
        <f>IF(COUNT(MR20)=0,"",SUM(MR20)/COUNT(MR20))</f>
        <v/>
      </c>
      <c r="MS18" s="205" t="str">
        <f t="shared" si="82"/>
        <v/>
      </c>
      <c r="MT18" s="181" t="str">
        <f>IF(COUNT(MT20)=0,"",SUM(MT20)/COUNT(MT20))</f>
        <v/>
      </c>
      <c r="MU18" s="206" t="str">
        <f t="shared" si="83"/>
        <v/>
      </c>
      <c r="MV18" s="250"/>
      <c r="MW18" s="250"/>
      <c r="MX18" s="251"/>
      <c r="MY18" s="181" t="str">
        <f>IF(COUNT(MY19:MY20)=0,"",SUM(MY19:MY20)/COUNT(MY19:MY20))</f>
        <v/>
      </c>
      <c r="MZ18" s="182" t="str">
        <f t="shared" si="84"/>
        <v/>
      </c>
      <c r="NA18" s="252"/>
      <c r="NB18" s="250"/>
      <c r="NC18" s="251"/>
      <c r="ND18" s="181" t="str">
        <f>IF(COUNT(ND20)=0,"",SUM(ND20)/COUNT(ND20))</f>
        <v/>
      </c>
      <c r="NE18" s="198" t="str">
        <f t="shared" si="85"/>
        <v/>
      </c>
      <c r="NF18" s="247"/>
      <c r="NG18" s="245"/>
      <c r="NH18" s="246"/>
      <c r="NI18" s="181" t="str">
        <f>IF(COUNT(NI20)=0,"",SUM(NI20)/COUNT(NI20))</f>
        <v/>
      </c>
      <c r="NJ18" s="205" t="str">
        <f t="shared" si="86"/>
        <v/>
      </c>
      <c r="NK18" s="181" t="str">
        <f>IF(COUNT(NK20)=0,"",SUM(NK20)/COUNT(NK20))</f>
        <v/>
      </c>
      <c r="NL18" s="206" t="str">
        <f t="shared" si="87"/>
        <v/>
      </c>
      <c r="NM18" s="250"/>
      <c r="NN18" s="250"/>
      <c r="NO18" s="251"/>
      <c r="NP18" s="181" t="str">
        <f>IF(COUNT(NP19:NP20)=0,"",SUM(NP19:NP20)/COUNT(NP19:NP20))</f>
        <v/>
      </c>
      <c r="NQ18" s="182" t="str">
        <f t="shared" si="88"/>
        <v/>
      </c>
      <c r="NR18" s="252"/>
      <c r="NS18" s="250"/>
      <c r="NT18" s="251"/>
      <c r="NU18" s="181" t="str">
        <f>IF(COUNT(NU20)=0,"",SUM(NU20)/COUNT(NU20))</f>
        <v/>
      </c>
      <c r="NV18" s="198" t="str">
        <f t="shared" si="89"/>
        <v/>
      </c>
      <c r="NW18" s="247"/>
      <c r="NX18" s="245"/>
      <c r="NY18" s="246"/>
      <c r="NZ18" s="181" t="str">
        <f>IF(COUNT(NZ20)=0,"",SUM(NZ20)/COUNT(NZ20))</f>
        <v/>
      </c>
      <c r="OA18" s="205" t="str">
        <f t="shared" si="90"/>
        <v/>
      </c>
      <c r="OB18" s="181" t="str">
        <f>IF(COUNT(OB20)=0,"",SUM(OB20)/COUNT(OB20))</f>
        <v/>
      </c>
      <c r="OC18" s="206" t="str">
        <f t="shared" si="91"/>
        <v/>
      </c>
      <c r="OD18" s="250"/>
      <c r="OE18" s="250"/>
      <c r="OF18" s="251"/>
      <c r="OG18" s="181" t="str">
        <f>IF(COUNT(OG19:OG20)=0,"",SUM(OG19:OG20)/COUNT(OG19:OG20))</f>
        <v/>
      </c>
      <c r="OH18" s="182" t="str">
        <f t="shared" si="92"/>
        <v/>
      </c>
      <c r="OI18" s="252"/>
      <c r="OJ18" s="250"/>
      <c r="OK18" s="251"/>
      <c r="OL18" s="181" t="str">
        <f>IF(COUNT(OL20)=0,"",SUM(OL20)/COUNT(OL20))</f>
        <v/>
      </c>
      <c r="OM18" s="198" t="str">
        <f t="shared" si="93"/>
        <v/>
      </c>
      <c r="ON18" s="247"/>
      <c r="OO18" s="245"/>
      <c r="OP18" s="246"/>
      <c r="OQ18" s="181" t="str">
        <f>IF(COUNT(OQ20)=0,"",SUM(OQ20)/COUNT(OQ20))</f>
        <v/>
      </c>
      <c r="OR18" s="205" t="str">
        <f t="shared" si="94"/>
        <v/>
      </c>
      <c r="OS18" s="181" t="str">
        <f>IF(COUNT(OS20)=0,"",SUM(OS20)/COUNT(OS20))</f>
        <v/>
      </c>
      <c r="OT18" s="206" t="str">
        <f t="shared" si="95"/>
        <v/>
      </c>
      <c r="OU18" s="250"/>
      <c r="OV18" s="250"/>
      <c r="OW18" s="251"/>
      <c r="OX18" s="181" t="str">
        <f>IF(COUNT(OX19:OX20)=0,"",SUM(OX19:OX20)/COUNT(OX19:OX20))</f>
        <v/>
      </c>
      <c r="OY18" s="182" t="str">
        <f t="shared" si="96"/>
        <v/>
      </c>
      <c r="OZ18" s="252"/>
      <c r="PA18" s="250"/>
      <c r="PB18" s="251"/>
      <c r="PC18" s="181" t="str">
        <f>IF(COUNT(PC20)=0,"",SUM(PC20)/COUNT(PC20))</f>
        <v/>
      </c>
      <c r="PD18" s="198" t="str">
        <f t="shared" si="97"/>
        <v/>
      </c>
      <c r="PE18" s="247"/>
      <c r="PF18" s="245"/>
      <c r="PG18" s="246"/>
      <c r="PH18" s="181" t="str">
        <f>IF(COUNT(PH20)=0,"",SUM(PH20)/COUNT(PH20))</f>
        <v/>
      </c>
      <c r="PI18" s="205" t="str">
        <f t="shared" si="98"/>
        <v/>
      </c>
      <c r="PJ18" s="181" t="str">
        <f>IF(COUNT(PJ20)=0,"",SUM(PJ20)/COUNT(PJ20))</f>
        <v/>
      </c>
      <c r="PK18" s="206" t="str">
        <f t="shared" si="99"/>
        <v/>
      </c>
      <c r="PL18" s="250"/>
      <c r="PM18" s="250"/>
      <c r="PN18" s="251"/>
      <c r="PO18" s="181" t="str">
        <f>IF(COUNT(PO19:PO20)=0,"",SUM(PO19:PO20)/COUNT(PO19:PO20))</f>
        <v/>
      </c>
      <c r="PP18" s="182" t="str">
        <f t="shared" si="100"/>
        <v/>
      </c>
      <c r="PQ18" s="252"/>
      <c r="PR18" s="250"/>
      <c r="PS18" s="251"/>
      <c r="PT18" s="181" t="str">
        <f>IF(COUNT(PT20)=0,"",SUM(PT20)/COUNT(PT20))</f>
        <v/>
      </c>
      <c r="PU18" s="198" t="str">
        <f t="shared" si="101"/>
        <v/>
      </c>
      <c r="PV18" s="247"/>
      <c r="PW18" s="245"/>
      <c r="PX18" s="246"/>
      <c r="PY18" s="181" t="str">
        <f>IF(COUNT(PY20)=0,"",SUM(PY20)/COUNT(PY20))</f>
        <v/>
      </c>
      <c r="PZ18" s="205" t="str">
        <f t="shared" si="102"/>
        <v/>
      </c>
      <c r="QA18" s="181" t="str">
        <f>IF(COUNT(QA20)=0,"",SUM(QA20)/COUNT(QA20))</f>
        <v/>
      </c>
      <c r="QB18" s="206" t="str">
        <f t="shared" si="103"/>
        <v/>
      </c>
      <c r="QC18" s="250"/>
      <c r="QD18" s="250"/>
      <c r="QE18" s="251"/>
      <c r="QF18" s="181" t="str">
        <f>IF(COUNT(QF19:QF20)=0,"",SUM(QF19:QF20)/COUNT(QF19:QF20))</f>
        <v/>
      </c>
      <c r="QG18" s="182" t="str">
        <f t="shared" si="104"/>
        <v/>
      </c>
      <c r="QH18" s="252"/>
      <c r="QI18" s="250"/>
      <c r="QJ18" s="251"/>
      <c r="QK18" s="181" t="str">
        <f>IF(COUNT(QK20)=0,"",SUM(QK20)/COUNT(QK20))</f>
        <v/>
      </c>
      <c r="QL18" s="198" t="str">
        <f t="shared" si="105"/>
        <v/>
      </c>
      <c r="QM18" s="247"/>
      <c r="QN18" s="245"/>
      <c r="QO18" s="246"/>
      <c r="QP18" s="181" t="str">
        <f>IF(COUNT(QP20)=0,"",SUM(QP20)/COUNT(QP20))</f>
        <v/>
      </c>
      <c r="QQ18" s="205" t="str">
        <f t="shared" si="106"/>
        <v/>
      </c>
      <c r="QR18" s="181" t="str">
        <f>IF(COUNT(QR20)=0,"",SUM(QR20)/COUNT(QR20))</f>
        <v/>
      </c>
      <c r="QS18" s="206" t="str">
        <f t="shared" si="107"/>
        <v/>
      </c>
      <c r="QT18" s="250"/>
      <c r="QU18" s="250"/>
      <c r="QV18" s="251"/>
      <c r="QW18" s="93" t="str">
        <f>IF(COUNT(QW19:QW20)=0,"",SUM(QW19:QW20)/COUNT(QW19:QW20))</f>
        <v/>
      </c>
      <c r="QX18" s="94" t="str">
        <f t="shared" si="108"/>
        <v/>
      </c>
      <c r="QY18" s="252"/>
      <c r="QZ18" s="250"/>
      <c r="RA18" s="251"/>
      <c r="RB18" s="93" t="str">
        <f>IF(COUNT(RB20)=0,"",SUM(RB20)/COUNT(RB20))</f>
        <v/>
      </c>
      <c r="RC18" s="95" t="str">
        <f t="shared" si="109"/>
        <v/>
      </c>
      <c r="RD18" s="247"/>
      <c r="RE18" s="245"/>
      <c r="RF18" s="246"/>
      <c r="RG18" s="93" t="str">
        <f>IF(COUNT(RG20)=0,"",SUM(RG20)/COUNT(RG20))</f>
        <v/>
      </c>
      <c r="RH18" s="96" t="str">
        <f t="shared" si="110"/>
        <v/>
      </c>
      <c r="RI18" s="93" t="str">
        <f>IF(COUNT(RI20)=0,"",SUM(RI20)/COUNT(RI20))</f>
        <v/>
      </c>
      <c r="RJ18" s="97" t="str">
        <f t="shared" si="111"/>
        <v/>
      </c>
      <c r="RK18" s="250"/>
      <c r="RL18" s="250"/>
      <c r="RM18" s="251"/>
      <c r="RN18" s="93" t="str">
        <f>IF(COUNT(RN19:RN20)=0,"",SUM(RN19:RN20)/COUNT(RN19:RN20))</f>
        <v/>
      </c>
      <c r="RO18" s="94" t="str">
        <f t="shared" si="112"/>
        <v/>
      </c>
      <c r="RP18" s="252"/>
      <c r="RQ18" s="250"/>
      <c r="RR18" s="251"/>
      <c r="RS18" s="93" t="str">
        <f>IF(COUNT(RS20)=0,"",SUM(RS20)/COUNT(RS20))</f>
        <v/>
      </c>
      <c r="RT18" s="95" t="str">
        <f t="shared" si="113"/>
        <v/>
      </c>
      <c r="RU18" s="247"/>
      <c r="RV18" s="245"/>
      <c r="RW18" s="246"/>
      <c r="RX18" s="93" t="str">
        <f>IF(COUNT(RX20)=0,"",SUM(RX20)/COUNT(RX20))</f>
        <v/>
      </c>
      <c r="RY18" s="96" t="str">
        <f t="shared" si="114"/>
        <v/>
      </c>
      <c r="RZ18" s="93" t="str">
        <f>IF(COUNT(RZ20)=0,"",SUM(RZ20)/COUNT(RZ20))</f>
        <v/>
      </c>
      <c r="SA18" s="97" t="str">
        <f t="shared" si="115"/>
        <v/>
      </c>
      <c r="SB18" s="250"/>
      <c r="SC18" s="250"/>
      <c r="SD18" s="251"/>
      <c r="SE18" s="93" t="str">
        <f>IF(COUNT(SE19:SE20)=0,"",SUM(SE19:SE20)/COUNT(SE19:SE20))</f>
        <v/>
      </c>
      <c r="SF18" s="94" t="str">
        <f t="shared" si="116"/>
        <v/>
      </c>
      <c r="SG18" s="252"/>
      <c r="SH18" s="250"/>
      <c r="SI18" s="251"/>
      <c r="SJ18" s="93" t="str">
        <f>IF(COUNT(SJ20)=0,"",SUM(SJ20)/COUNT(SJ20))</f>
        <v/>
      </c>
      <c r="SK18" s="95" t="str">
        <f t="shared" si="117"/>
        <v/>
      </c>
      <c r="SL18" s="247"/>
      <c r="SM18" s="245"/>
      <c r="SN18" s="246"/>
      <c r="SO18" s="93" t="str">
        <f>IF(COUNT(SO20)=0,"",SUM(SO20)/COUNT(SO20))</f>
        <v/>
      </c>
      <c r="SP18" s="96" t="str">
        <f t="shared" si="118"/>
        <v/>
      </c>
      <c r="SQ18" s="93" t="str">
        <f>IF(COUNT(SQ20)=0,"",SUM(SQ20)/COUNT(SQ20))</f>
        <v/>
      </c>
      <c r="SR18" s="97" t="str">
        <f t="shared" si="119"/>
        <v/>
      </c>
      <c r="SS18" s="250"/>
      <c r="ST18" s="250"/>
      <c r="SU18" s="251"/>
      <c r="SV18" s="93" t="str">
        <f>IF(COUNT(SV19:SV20)=0,"",SUM(SV19:SV20)/COUNT(SV19:SV20))</f>
        <v/>
      </c>
      <c r="SW18" s="94" t="str">
        <f t="shared" si="120"/>
        <v/>
      </c>
      <c r="SX18" s="252"/>
      <c r="SY18" s="250"/>
      <c r="SZ18" s="251"/>
      <c r="TA18" s="93" t="str">
        <f>IF(COUNT(TA20)=0,"",SUM(TA20)/COUNT(TA20))</f>
        <v/>
      </c>
      <c r="TB18" s="95" t="str">
        <f t="shared" si="121"/>
        <v/>
      </c>
      <c r="TC18" s="247"/>
      <c r="TD18" s="245"/>
      <c r="TE18" s="246"/>
      <c r="TF18" s="93" t="str">
        <f>IF(COUNT(TF20)=0,"",SUM(TF20)/COUNT(TF20))</f>
        <v/>
      </c>
      <c r="TG18" s="96" t="str">
        <f t="shared" si="122"/>
        <v/>
      </c>
      <c r="TH18" s="93" t="str">
        <f>IF(COUNT(TH20)=0,"",SUM(TH20)/COUNT(TH20))</f>
        <v/>
      </c>
      <c r="TI18" s="97" t="str">
        <f t="shared" si="123"/>
        <v/>
      </c>
      <c r="TJ18" s="250"/>
      <c r="TK18" s="250"/>
      <c r="TL18" s="251"/>
      <c r="TM18" s="93" t="str">
        <f>IF(COUNT(TM19:TM20)=0,"",SUM(TM19:TM20)/COUNT(TM19:TM20))</f>
        <v/>
      </c>
      <c r="TN18" s="94" t="str">
        <f t="shared" si="124"/>
        <v/>
      </c>
      <c r="TO18" s="252"/>
      <c r="TP18" s="250"/>
      <c r="TQ18" s="251"/>
      <c r="TR18" s="93" t="str">
        <f>IF(COUNT(TR20)=0,"",SUM(TR20)/COUNT(TR20))</f>
        <v/>
      </c>
      <c r="TS18" s="95" t="str">
        <f t="shared" si="125"/>
        <v/>
      </c>
      <c r="TT18" s="247"/>
      <c r="TU18" s="245"/>
      <c r="TV18" s="246"/>
      <c r="TW18" s="93" t="str">
        <f>IF(COUNT(TW20)=0,"",SUM(TW20)/COUNT(TW20))</f>
        <v/>
      </c>
      <c r="TX18" s="96" t="str">
        <f t="shared" si="126"/>
        <v/>
      </c>
      <c r="TY18" s="93" t="str">
        <f>IF(COUNT(TY20)=0,"",SUM(TY20)/COUNT(TY20))</f>
        <v/>
      </c>
      <c r="TZ18" s="97" t="str">
        <f t="shared" si="127"/>
        <v/>
      </c>
    </row>
    <row r="19" spans="1:546" s="98" customFormat="1" ht="16.5" customHeight="1" x14ac:dyDescent="0.25">
      <c r="A19" s="256" t="s">
        <v>40</v>
      </c>
      <c r="B19" s="257"/>
      <c r="C19" s="131"/>
      <c r="D19" s="132"/>
      <c r="E19" s="133"/>
      <c r="F19" s="189" t="str">
        <f>IFERROR((((COUNTIF('Elève (6ème4)'!C19:E19,"A"))*4)+((COUNTIF('Elève (6ème4)'!C19:E19,"B"))*3)+((COUNTIF('Elève (6ème4)'!C19:E19,"C"))*2)+((COUNTIF('Elève (6ème4)'!C19:E19,"D"))*1))/(COUNTA(C19:E19)),"")</f>
        <v/>
      </c>
      <c r="G19" s="187" t="str">
        <f t="shared" si="0"/>
        <v/>
      </c>
      <c r="H19" s="135"/>
      <c r="I19" s="132"/>
      <c r="J19" s="133"/>
      <c r="K19" s="183" t="str">
        <f>IFERROR((((COUNTIF('Elève (6ème4)'!H19:J19,"A"))*4)+((COUNTIF('Elève (6ème4)'!H19:J19,"B"))*3)+((COUNTIF('Elève (6ème4)'!H19:J19,"C"))*2)+((COUNTIF('Elève (6ème4)'!H19:J19,"D"))*1))/(COUNTA(H19:J19)),"")</f>
        <v/>
      </c>
      <c r="L19" s="184" t="str">
        <f t="shared" si="1"/>
        <v/>
      </c>
      <c r="M19" s="136"/>
      <c r="N19" s="137"/>
      <c r="O19" s="138"/>
      <c r="P19" s="183" t="str">
        <f>IFERROR((((COUNTIF('Elève (6ème4)'!M19:O19,"A"))*4)+((COUNTIF('Elève (6ème4)'!M19:O19,"B"))*3)+((COUNTIF('Elève (6ème4)'!M19:O19,"C"))*2)+((COUNTIF('Elève (6ème4)'!M19:O19,"D"))*1))/(COUNTA(M19:O19)),"")</f>
        <v/>
      </c>
      <c r="Q19" s="184" t="str">
        <f t="shared" si="2"/>
        <v/>
      </c>
      <c r="R19" s="183" t="str">
        <f>IF(COUNT(F19,K19,P19)=0,"",SUM(F19,K19,P19)/COUNT(F19,K19,P19))</f>
        <v/>
      </c>
      <c r="S19" s="209" t="str">
        <f t="shared" si="3"/>
        <v/>
      </c>
      <c r="T19" s="131"/>
      <c r="U19" s="132"/>
      <c r="V19" s="133"/>
      <c r="W19" s="189" t="str">
        <f>IFERROR((((COUNTIF('Elève (6ème4)'!T19:V19,"A"))*4)+((COUNTIF('Elève (6ème4)'!T19:V19,"B"))*3)+((COUNTIF('Elève (6ème4)'!T19:V19,"C"))*2)+((COUNTIF('Elève (6ème4)'!T19:V19,"D"))*1))/(COUNTA(T19:V19)),"")</f>
        <v/>
      </c>
      <c r="X19" s="187" t="str">
        <f t="shared" si="4"/>
        <v/>
      </c>
      <c r="Y19" s="135"/>
      <c r="Z19" s="132"/>
      <c r="AA19" s="133"/>
      <c r="AB19" s="183" t="str">
        <f>IFERROR((((COUNTIF('Elève (6ème4)'!Y19:AA19,"A"))*4)+((COUNTIF('Elève (6ème4)'!Y19:AA19,"B"))*3)+((COUNTIF('Elève (6ème4)'!Y19:AA19,"C"))*2)+((COUNTIF('Elève (6ème4)'!Y19:AA19,"D"))*1))/(COUNTA(Y19:AA19)),"")</f>
        <v/>
      </c>
      <c r="AC19" s="184" t="str">
        <f t="shared" si="5"/>
        <v/>
      </c>
      <c r="AD19" s="136"/>
      <c r="AE19" s="137"/>
      <c r="AF19" s="138"/>
      <c r="AG19" s="183" t="str">
        <f>IFERROR((((COUNTIF('Elève (6ème4)'!AD19:AF19,"A"))*4)+((COUNTIF('Elève (6ème4)'!AD19:AF19,"B"))*3)+((COUNTIF('Elève (6ème4)'!AD19:AF19,"C"))*2)+((COUNTIF('Elève (6ème4)'!AD19:AF19,"D"))*1))/(COUNTA(AD19:AF19)),"")</f>
        <v/>
      </c>
      <c r="AH19" s="184" t="str">
        <f t="shared" si="6"/>
        <v/>
      </c>
      <c r="AI19" s="183" t="str">
        <f>IF(COUNT(W19,AB19,AG19)=0,"",SUM(W19,AB19,AG19)/COUNT(W19,AB19,AG19))</f>
        <v/>
      </c>
      <c r="AJ19" s="209" t="str">
        <f t="shared" si="7"/>
        <v/>
      </c>
      <c r="AK19" s="131"/>
      <c r="AL19" s="132"/>
      <c r="AM19" s="133"/>
      <c r="AN19" s="189" t="str">
        <f>IFERROR((((COUNTIF('Elève (6ème4)'!AK19:AM19,"A"))*4)+((COUNTIF('Elève (6ème4)'!AK19:AM19,"B"))*3)+((COUNTIF('Elève (6ème4)'!AK19:AM19,"C"))*2)+((COUNTIF('Elève (6ème4)'!AK19:AM19,"D"))*1))/(COUNTA(AK19:AM19)),"")</f>
        <v/>
      </c>
      <c r="AO19" s="187" t="str">
        <f t="shared" si="8"/>
        <v/>
      </c>
      <c r="AP19" s="135"/>
      <c r="AQ19" s="132"/>
      <c r="AR19" s="133"/>
      <c r="AS19" s="183" t="str">
        <f>IFERROR((((COUNTIF('Elève (6ème4)'!AP19:AR19,"A"))*4)+((COUNTIF('Elève (6ème4)'!AP19:AR19,"B"))*3)+((COUNTIF('Elève (6ème4)'!AP19:AR19,"C"))*2)+((COUNTIF('Elève (6ème4)'!AP19:AR19,"D"))*1))/(COUNTA(AP19:AR19)),"")</f>
        <v/>
      </c>
      <c r="AT19" s="184" t="str">
        <f t="shared" si="9"/>
        <v/>
      </c>
      <c r="AU19" s="136"/>
      <c r="AV19" s="137"/>
      <c r="AW19" s="138"/>
      <c r="AX19" s="183" t="str">
        <f>IFERROR((((COUNTIF('Elève (6ème4)'!AU19:AW19,"A"))*4)+((COUNTIF('Elève (6ème4)'!AU19:AW19,"B"))*3)+((COUNTIF('Elève (6ème4)'!AU19:AW19,"C"))*2)+((COUNTIF('Elève (6ème4)'!AU19:AW19,"D"))*1))/(COUNTA(AU19:AW19)),"")</f>
        <v/>
      </c>
      <c r="AY19" s="184" t="str">
        <f t="shared" si="10"/>
        <v/>
      </c>
      <c r="AZ19" s="183" t="str">
        <f>IF(COUNT(AN19,AS19,AX19)=0,"",SUM(AN19,AS19,AX19)/COUNT(AN19,AS19,AX19))</f>
        <v/>
      </c>
      <c r="BA19" s="209" t="str">
        <f t="shared" si="11"/>
        <v/>
      </c>
      <c r="BB19" s="131"/>
      <c r="BC19" s="132"/>
      <c r="BD19" s="133"/>
      <c r="BE19" s="189" t="str">
        <f>IFERROR((((COUNTIF('Elève (6ème4)'!BB19:BD19,"A"))*4)+((COUNTIF('Elève (6ème4)'!BB19:BD19,"B"))*3)+((COUNTIF('Elève (6ème4)'!BB19:BD19,"C"))*2)+((COUNTIF('Elève (6ème4)'!BB19:BD19,"D"))*1))/(COUNTA(BB19:BD19)),"")</f>
        <v/>
      </c>
      <c r="BF19" s="187" t="str">
        <f t="shared" si="12"/>
        <v/>
      </c>
      <c r="BG19" s="135"/>
      <c r="BH19" s="132"/>
      <c r="BI19" s="133"/>
      <c r="BJ19" s="183" t="str">
        <f>IFERROR((((COUNTIF('Elève (6ème4)'!BG19:BI19,"A"))*4)+((COUNTIF('Elève (6ème4)'!BG19:BI19,"B"))*3)+((COUNTIF('Elève (6ème4)'!BG19:BI19,"C"))*2)+((COUNTIF('Elève (6ème4)'!BG19:BI19,"D"))*1))/(COUNTA(BG19:BI19)),"")</f>
        <v/>
      </c>
      <c r="BK19" s="184" t="str">
        <f t="shared" si="13"/>
        <v/>
      </c>
      <c r="BL19" s="136"/>
      <c r="BM19" s="137"/>
      <c r="BN19" s="138"/>
      <c r="BO19" s="183" t="str">
        <f>IFERROR((((COUNTIF('Elève (6ème4)'!BL19:BN19,"A"))*4)+((COUNTIF('Elève (6ème4)'!BL19:BN19,"B"))*3)+((COUNTIF('Elève (6ème4)'!BL19:BN19,"C"))*2)+((COUNTIF('Elève (6ème4)'!BL19:BN19,"D"))*1))/(COUNTA(BL19:BN19)),"")</f>
        <v/>
      </c>
      <c r="BP19" s="184" t="str">
        <f t="shared" si="14"/>
        <v/>
      </c>
      <c r="BQ19" s="183" t="str">
        <f>IF(COUNT(BE19,BJ19,BO19)=0,"",SUM(BE19,BJ19,BO19)/COUNT(BE19,BJ19,BO19))</f>
        <v/>
      </c>
      <c r="BR19" s="209" t="str">
        <f t="shared" si="15"/>
        <v/>
      </c>
      <c r="BS19" s="131"/>
      <c r="BT19" s="132"/>
      <c r="BU19" s="133"/>
      <c r="BV19" s="189" t="str">
        <f>IFERROR((((COUNTIF('Elève (6ème4)'!BS19:BU19,"A"))*4)+((COUNTIF('Elève (6ème4)'!BS19:BU19,"B"))*3)+((COUNTIF('Elève (6ème4)'!BS19:BU19,"C"))*2)+((COUNTIF('Elève (6ème4)'!BS19:BU19,"D"))*1))/(COUNTA(BS19:BU19)),"")</f>
        <v/>
      </c>
      <c r="BW19" s="187" t="str">
        <f t="shared" si="16"/>
        <v/>
      </c>
      <c r="BX19" s="135"/>
      <c r="BY19" s="132"/>
      <c r="BZ19" s="133"/>
      <c r="CA19" s="183" t="str">
        <f>IFERROR((((COUNTIF('Elève (6ème4)'!BX19:BZ19,"A"))*4)+((COUNTIF('Elève (6ème4)'!BX19:BZ19,"B"))*3)+((COUNTIF('Elève (6ème4)'!BX19:BZ19,"C"))*2)+((COUNTIF('Elève (6ème4)'!BX19:BZ19,"D"))*1))/(COUNTA(BX19:BZ19)),"")</f>
        <v/>
      </c>
      <c r="CB19" s="184" t="str">
        <f t="shared" si="17"/>
        <v/>
      </c>
      <c r="CC19" s="136"/>
      <c r="CD19" s="137"/>
      <c r="CE19" s="138"/>
      <c r="CF19" s="183" t="str">
        <f>IFERROR((((COUNTIF('Elève (6ème4)'!CC19:CE19,"A"))*4)+((COUNTIF('Elève (6ème4)'!CC19:CE19,"B"))*3)+((COUNTIF('Elève (6ème4)'!CC19:CE19,"C"))*2)+((COUNTIF('Elève (6ème4)'!CC19:CE19,"D"))*1))/(COUNTA(CC19:CE19)),"")</f>
        <v/>
      </c>
      <c r="CG19" s="184" t="str">
        <f t="shared" si="18"/>
        <v/>
      </c>
      <c r="CH19" s="183" t="str">
        <f>IF(COUNT(BV19,CA19,CF19)=0,"",SUM(BV19,CA19,CF19)/COUNT(BV19,CA19,CF19))</f>
        <v/>
      </c>
      <c r="CI19" s="209" t="str">
        <f t="shared" si="19"/>
        <v/>
      </c>
      <c r="CJ19" s="131"/>
      <c r="CK19" s="132"/>
      <c r="CL19" s="133"/>
      <c r="CM19" s="189" t="str">
        <f>IFERROR((((COUNTIF('Elève (6ème4)'!CJ19:CL19,"A"))*4)+((COUNTIF('Elève (6ème4)'!CJ19:CL19,"B"))*3)+((COUNTIF('Elève (6ème4)'!CJ19:CL19,"C"))*2)+((COUNTIF('Elève (6ème4)'!CJ19:CL19,"D"))*1))/(COUNTA(CJ19:CL19)),"")</f>
        <v/>
      </c>
      <c r="CN19" s="187" t="str">
        <f t="shared" si="20"/>
        <v/>
      </c>
      <c r="CO19" s="135"/>
      <c r="CP19" s="132"/>
      <c r="CQ19" s="133"/>
      <c r="CR19" s="183" t="str">
        <f>IFERROR((((COUNTIF('Elève (6ème4)'!CO19:CQ19,"A"))*4)+((COUNTIF('Elève (6ème4)'!CO19:CQ19,"B"))*3)+((COUNTIF('Elève (6ème4)'!CO19:CQ19,"C"))*2)+((COUNTIF('Elève (6ème4)'!CO19:CQ19,"D"))*1))/(COUNTA(CO19:CQ19)),"")</f>
        <v/>
      </c>
      <c r="CS19" s="184" t="str">
        <f t="shared" si="21"/>
        <v/>
      </c>
      <c r="CT19" s="136"/>
      <c r="CU19" s="137"/>
      <c r="CV19" s="138"/>
      <c r="CW19" s="183" t="str">
        <f>IFERROR((((COUNTIF('Elève (6ème4)'!CT19:CV19,"A"))*4)+((COUNTIF('Elève (6ème4)'!CT19:CV19,"B"))*3)+((COUNTIF('Elève (6ème4)'!CT19:CV19,"C"))*2)+((COUNTIF('Elève (6ème4)'!CT19:CV19,"D"))*1))/(COUNTA(CT19:CV19)),"")</f>
        <v/>
      </c>
      <c r="CX19" s="184" t="str">
        <f t="shared" si="22"/>
        <v/>
      </c>
      <c r="CY19" s="183" t="str">
        <f>IF(COUNT(CM19,CR19,CW19)=0,"",SUM(CM19,CR19,CW19)/COUNT(CM19,CR19,CW19))</f>
        <v/>
      </c>
      <c r="CZ19" s="209" t="str">
        <f t="shared" si="23"/>
        <v/>
      </c>
      <c r="DA19" s="131"/>
      <c r="DB19" s="132"/>
      <c r="DC19" s="133"/>
      <c r="DD19" s="189" t="str">
        <f>IFERROR((((COUNTIF('Elève (6ème4)'!DA19:DC19,"A"))*4)+((COUNTIF('Elève (6ème4)'!DA19:DC19,"B"))*3)+((COUNTIF('Elève (6ème4)'!DA19:DC19,"C"))*2)+((COUNTIF('Elève (6ème4)'!DA19:DC19,"D"))*1))/(COUNTA(DA19:DC19)),"")</f>
        <v/>
      </c>
      <c r="DE19" s="187" t="str">
        <f t="shared" si="24"/>
        <v/>
      </c>
      <c r="DF19" s="135"/>
      <c r="DG19" s="132"/>
      <c r="DH19" s="133"/>
      <c r="DI19" s="183" t="str">
        <f>IFERROR((((COUNTIF('Elève (6ème4)'!DF19:DH19,"A"))*4)+((COUNTIF('Elève (6ème4)'!DF19:DH19,"B"))*3)+((COUNTIF('Elève (6ème4)'!DF19:DH19,"C"))*2)+((COUNTIF('Elève (6ème4)'!DF19:DH19,"D"))*1))/(COUNTA(DF19:DH19)),"")</f>
        <v/>
      </c>
      <c r="DJ19" s="184" t="str">
        <f t="shared" si="25"/>
        <v/>
      </c>
      <c r="DK19" s="136"/>
      <c r="DL19" s="137"/>
      <c r="DM19" s="138"/>
      <c r="DN19" s="183" t="str">
        <f>IFERROR((((COUNTIF('Elève (6ème4)'!DK19:DM19,"A"))*4)+((COUNTIF('Elève (6ème4)'!DK19:DM19,"B"))*3)+((COUNTIF('Elève (6ème4)'!DK19:DM19,"C"))*2)+((COUNTIF('Elève (6ème4)'!DK19:DM19,"D"))*1))/(COUNTA(DK19:DM19)),"")</f>
        <v/>
      </c>
      <c r="DO19" s="184" t="str">
        <f t="shared" si="26"/>
        <v/>
      </c>
      <c r="DP19" s="183" t="str">
        <f>IF(COUNT(DD19,DI19,DN19)=0,"",SUM(DD19,DI19,DN19)/COUNT(DD19,DI19,DN19))</f>
        <v/>
      </c>
      <c r="DQ19" s="209" t="str">
        <f t="shared" si="27"/>
        <v/>
      </c>
      <c r="DR19" s="131"/>
      <c r="DS19" s="132"/>
      <c r="DT19" s="133"/>
      <c r="DU19" s="189" t="str">
        <f>IFERROR((((COUNTIF('Elève (6ème4)'!DR19:DT19,"A"))*4)+((COUNTIF('Elève (6ème4)'!DR19:DT19,"B"))*3)+((COUNTIF('Elève (6ème4)'!DR19:DT19,"C"))*2)+((COUNTIF('Elève (6ème4)'!DR19:DT19,"D"))*1))/(COUNTA(DR19:DT19)),"")</f>
        <v/>
      </c>
      <c r="DV19" s="187" t="str">
        <f t="shared" si="28"/>
        <v/>
      </c>
      <c r="DW19" s="135"/>
      <c r="DX19" s="132"/>
      <c r="DY19" s="133"/>
      <c r="DZ19" s="183" t="str">
        <f>IFERROR((((COUNTIF('Elève (6ème4)'!DW19:DY19,"A"))*4)+((COUNTIF('Elève (6ème4)'!DW19:DY19,"B"))*3)+((COUNTIF('Elève (6ème4)'!DW19:DY19,"C"))*2)+((COUNTIF('Elève (6ème4)'!DW19:DY19,"D"))*1))/(COUNTA(DW19:DY19)),"")</f>
        <v/>
      </c>
      <c r="EA19" s="184" t="str">
        <f t="shared" si="29"/>
        <v/>
      </c>
      <c r="EB19" s="136"/>
      <c r="EC19" s="137"/>
      <c r="ED19" s="138"/>
      <c r="EE19" s="183" t="str">
        <f>IFERROR((((COUNTIF('Elève (6ème4)'!EB19:ED19,"A"))*4)+((COUNTIF('Elève (6ème4)'!EB19:ED19,"B"))*3)+((COUNTIF('Elève (6ème4)'!EB19:ED19,"C"))*2)+((COUNTIF('Elève (6ème4)'!EB19:ED19,"D"))*1))/(COUNTA(EB19:ED19)),"")</f>
        <v/>
      </c>
      <c r="EF19" s="184" t="str">
        <f t="shared" si="30"/>
        <v/>
      </c>
      <c r="EG19" s="183" t="str">
        <f>IF(COUNT(DU19,DZ19,EE19)=0,"",SUM(DU19,DZ19,EE19)/COUNT(DU19,DZ19,EE19))</f>
        <v/>
      </c>
      <c r="EH19" s="209" t="str">
        <f t="shared" si="31"/>
        <v/>
      </c>
      <c r="EI19" s="131"/>
      <c r="EJ19" s="132"/>
      <c r="EK19" s="133"/>
      <c r="EL19" s="189" t="str">
        <f>IFERROR((((COUNTIF('Elève (6ème4)'!EI19:EK19,"A"))*4)+((COUNTIF('Elève (6ème4)'!EI19:EK19,"B"))*3)+((COUNTIF('Elève (6ème4)'!EI19:EK19,"C"))*2)+((COUNTIF('Elève (6ème4)'!EI19:EK19,"D"))*1))/(COUNTA(EI19:EK19)),"")</f>
        <v/>
      </c>
      <c r="EM19" s="187" t="str">
        <f t="shared" si="32"/>
        <v/>
      </c>
      <c r="EN19" s="135"/>
      <c r="EO19" s="132"/>
      <c r="EP19" s="133"/>
      <c r="EQ19" s="183" t="str">
        <f>IFERROR((((COUNTIF('Elève (6ème4)'!EN19:EP19,"A"))*4)+((COUNTIF('Elève (6ème4)'!EN19:EP19,"B"))*3)+((COUNTIF('Elève (6ème4)'!EN19:EP19,"C"))*2)+((COUNTIF('Elève (6ème4)'!EN19:EP19,"D"))*1))/(COUNTA(EN19:EP19)),"")</f>
        <v/>
      </c>
      <c r="ER19" s="184" t="str">
        <f t="shared" si="33"/>
        <v/>
      </c>
      <c r="ES19" s="136"/>
      <c r="ET19" s="137"/>
      <c r="EU19" s="138"/>
      <c r="EV19" s="183" t="str">
        <f>IFERROR((((COUNTIF('Elève (6ème4)'!ES19:EU19,"A"))*4)+((COUNTIF('Elève (6ème4)'!ES19:EU19,"B"))*3)+((COUNTIF('Elève (6ème4)'!ES19:EU19,"C"))*2)+((COUNTIF('Elève (6ème4)'!ES19:EU19,"D"))*1))/(COUNTA(ES19:EU19)),"")</f>
        <v/>
      </c>
      <c r="EW19" s="184" t="str">
        <f t="shared" si="34"/>
        <v/>
      </c>
      <c r="EX19" s="183" t="str">
        <f>IF(COUNT(EL19,EQ19,EV19)=0,"",SUM(EL19,EQ19,EV19)/COUNT(EL19,EQ19,EV19))</f>
        <v/>
      </c>
      <c r="EY19" s="209" t="str">
        <f t="shared" si="35"/>
        <v/>
      </c>
      <c r="EZ19" s="131"/>
      <c r="FA19" s="132"/>
      <c r="FB19" s="133"/>
      <c r="FC19" s="189" t="str">
        <f>IFERROR((((COUNTIF('Elève (6ème4)'!EZ19:FB19,"A"))*4)+((COUNTIF('Elève (6ème4)'!EZ19:FB19,"B"))*3)+((COUNTIF('Elève (6ème4)'!EZ19:FB19,"C"))*2)+((COUNTIF('Elève (6ème4)'!EZ19:FB19,"D"))*1))/(COUNTA(EZ19:FB19)),"")</f>
        <v/>
      </c>
      <c r="FD19" s="187" t="str">
        <f t="shared" si="36"/>
        <v/>
      </c>
      <c r="FE19" s="135"/>
      <c r="FF19" s="132"/>
      <c r="FG19" s="133"/>
      <c r="FH19" s="183" t="str">
        <f>IFERROR((((COUNTIF('Elève (6ème4)'!FE19:FG19,"A"))*4)+((COUNTIF('Elève (6ème4)'!FE19:FG19,"B"))*3)+((COUNTIF('Elève (6ème4)'!FE19:FG19,"C"))*2)+((COUNTIF('Elève (6ème4)'!FE19:FG19,"D"))*1))/(COUNTA(FE19:FG19)),"")</f>
        <v/>
      </c>
      <c r="FI19" s="184" t="str">
        <f t="shared" si="37"/>
        <v/>
      </c>
      <c r="FJ19" s="136"/>
      <c r="FK19" s="137"/>
      <c r="FL19" s="138"/>
      <c r="FM19" s="183" t="str">
        <f>IFERROR((((COUNTIF('Elève (6ème4)'!FJ19:FL19,"A"))*4)+((COUNTIF('Elève (6ème4)'!FJ19:FL19,"B"))*3)+((COUNTIF('Elève (6ème4)'!FJ19:FL19,"C"))*2)+((COUNTIF('Elève (6ème4)'!FJ19:FL19,"D"))*1))/(COUNTA(FJ19:FL19)),"")</f>
        <v/>
      </c>
      <c r="FN19" s="184" t="str">
        <f t="shared" si="38"/>
        <v/>
      </c>
      <c r="FO19" s="183" t="str">
        <f>IF(COUNT(FC19,FH19,FM19)=0,"",SUM(FC19,FH19,FM19)/COUNT(FC19,FH19,FM19))</f>
        <v/>
      </c>
      <c r="FP19" s="209" t="str">
        <f t="shared" si="39"/>
        <v/>
      </c>
      <c r="FQ19" s="131"/>
      <c r="FR19" s="132"/>
      <c r="FS19" s="133"/>
      <c r="FT19" s="189" t="str">
        <f>IFERROR((((COUNTIF('Elève (6ème4)'!FQ19:FS19,"A"))*4)+((COUNTIF('Elève (6ème4)'!FQ19:FS19,"B"))*3)+((COUNTIF('Elève (6ème4)'!FQ19:FS19,"C"))*2)+((COUNTIF('Elève (6ème4)'!FQ19:FS19,"D"))*1))/(COUNTA(FQ19:FS19)),"")</f>
        <v/>
      </c>
      <c r="FU19" s="187" t="str">
        <f t="shared" si="40"/>
        <v/>
      </c>
      <c r="FV19" s="135"/>
      <c r="FW19" s="132"/>
      <c r="FX19" s="133"/>
      <c r="FY19" s="183" t="str">
        <f>IFERROR((((COUNTIF('Elève (6ème4)'!FV19:FX19,"A"))*4)+((COUNTIF('Elève (6ème4)'!FV19:FX19,"B"))*3)+((COUNTIF('Elève (6ème4)'!FV19:FX19,"C"))*2)+((COUNTIF('Elève (6ème4)'!FV19:FX19,"D"))*1))/(COUNTA(FV19:FX19)),"")</f>
        <v/>
      </c>
      <c r="FZ19" s="184" t="str">
        <f t="shared" si="41"/>
        <v/>
      </c>
      <c r="GA19" s="136"/>
      <c r="GB19" s="137"/>
      <c r="GC19" s="138"/>
      <c r="GD19" s="183" t="str">
        <f>IFERROR((((COUNTIF('Elève (6ème4)'!GA19:GC19,"A"))*4)+((COUNTIF('Elève (6ème4)'!GA19:GC19,"B"))*3)+((COUNTIF('Elève (6ème4)'!GA19:GC19,"C"))*2)+((COUNTIF('Elève (6ème4)'!GA19:GC19,"D"))*1))/(COUNTA(GA19:GC19)),"")</f>
        <v/>
      </c>
      <c r="GE19" s="184" t="str">
        <f t="shared" si="42"/>
        <v/>
      </c>
      <c r="GF19" s="183" t="str">
        <f>IF(COUNT(FT19,FY19,GD19)=0,"",SUM(FT19,FY19,GD19)/COUNT(FT19,FY19,GD19))</f>
        <v/>
      </c>
      <c r="GG19" s="209" t="str">
        <f t="shared" si="43"/>
        <v/>
      </c>
      <c r="GH19" s="131"/>
      <c r="GI19" s="132"/>
      <c r="GJ19" s="133"/>
      <c r="GK19" s="189" t="str">
        <f>IFERROR((((COUNTIF('Elève (6ème4)'!GH19:GJ19,"A"))*4)+((COUNTIF('Elève (6ème4)'!GH19:GJ19,"B"))*3)+((COUNTIF('Elève (6ème4)'!GH19:GJ19,"C"))*2)+((COUNTIF('Elève (6ème4)'!GH19:GJ19,"D"))*1))/(COUNTA(GH19:GJ19)),"")</f>
        <v/>
      </c>
      <c r="GL19" s="187" t="str">
        <f t="shared" si="44"/>
        <v/>
      </c>
      <c r="GM19" s="135"/>
      <c r="GN19" s="132"/>
      <c r="GO19" s="133"/>
      <c r="GP19" s="183" t="str">
        <f>IFERROR((((COUNTIF('Elève (6ème4)'!GM19:GO19,"A"))*4)+((COUNTIF('Elève (6ème4)'!GM19:GO19,"B"))*3)+((COUNTIF('Elève (6ème4)'!GM19:GO19,"C"))*2)+((COUNTIF('Elève (6ème4)'!GM19:GO19,"D"))*1))/(COUNTA(GM19:GO19)),"")</f>
        <v/>
      </c>
      <c r="GQ19" s="184" t="str">
        <f t="shared" si="45"/>
        <v/>
      </c>
      <c r="GR19" s="136"/>
      <c r="GS19" s="137"/>
      <c r="GT19" s="138"/>
      <c r="GU19" s="183" t="str">
        <f>IFERROR((((COUNTIF('Elève (6ème4)'!GR19:GT19,"A"))*4)+((COUNTIF('Elève (6ème4)'!GR19:GT19,"B"))*3)+((COUNTIF('Elève (6ème4)'!GR19:GT19,"C"))*2)+((COUNTIF('Elève (6ème4)'!GR19:GT19,"D"))*1))/(COUNTA(GR19:GT19)),"")</f>
        <v/>
      </c>
      <c r="GV19" s="184" t="str">
        <f t="shared" si="46"/>
        <v/>
      </c>
      <c r="GW19" s="183" t="str">
        <f>IF(COUNT(GK19,GP19,GU19)=0,"",SUM(GK19,GP19,GU19)/COUNT(GK19,GP19,GU19))</f>
        <v/>
      </c>
      <c r="GX19" s="209" t="str">
        <f t="shared" si="47"/>
        <v/>
      </c>
      <c r="GY19" s="131"/>
      <c r="GZ19" s="132"/>
      <c r="HA19" s="133"/>
      <c r="HB19" s="189" t="str">
        <f>IFERROR((((COUNTIF('Elève (6ème4)'!GY19:HA19,"A"))*4)+((COUNTIF('Elève (6ème4)'!GY19:HA19,"B"))*3)+((COUNTIF('Elève (6ème4)'!GY19:HA19,"C"))*2)+((COUNTIF('Elève (6ème4)'!GY19:HA19,"D"))*1))/(COUNTA(GY19:HA19)),"")</f>
        <v/>
      </c>
      <c r="HC19" s="187" t="str">
        <f t="shared" si="48"/>
        <v/>
      </c>
      <c r="HD19" s="135"/>
      <c r="HE19" s="132"/>
      <c r="HF19" s="133"/>
      <c r="HG19" s="183" t="str">
        <f>IFERROR((((COUNTIF('Elève (6ème4)'!HD19:HF19,"A"))*4)+((COUNTIF('Elève (6ème4)'!HD19:HF19,"B"))*3)+((COUNTIF('Elève (6ème4)'!HD19:HF19,"C"))*2)+((COUNTIF('Elève (6ème4)'!HD19:HF19,"D"))*1))/(COUNTA(HD19:HF19)),"")</f>
        <v/>
      </c>
      <c r="HH19" s="184" t="str">
        <f t="shared" si="49"/>
        <v/>
      </c>
      <c r="HI19" s="136"/>
      <c r="HJ19" s="137"/>
      <c r="HK19" s="138"/>
      <c r="HL19" s="183" t="str">
        <f>IFERROR((((COUNTIF('Elève (6ème4)'!HI19:HK19,"A"))*4)+((COUNTIF('Elève (6ème4)'!HI19:HK19,"B"))*3)+((COUNTIF('Elève (6ème4)'!HI19:HK19,"C"))*2)+((COUNTIF('Elève (6ème4)'!HI19:HK19,"D"))*1))/(COUNTA(HI19:HK19)),"")</f>
        <v/>
      </c>
      <c r="HM19" s="184" t="str">
        <f t="shared" si="50"/>
        <v/>
      </c>
      <c r="HN19" s="183" t="str">
        <f>IF(COUNT(HB19,HG19,HL19)=0,"",SUM(HB19,HG19,HL19)/COUNT(HB19,HG19,HL19))</f>
        <v/>
      </c>
      <c r="HO19" s="209" t="str">
        <f t="shared" si="51"/>
        <v/>
      </c>
      <c r="HP19" s="131"/>
      <c r="HQ19" s="132"/>
      <c r="HR19" s="133"/>
      <c r="HS19" s="189" t="str">
        <f>IFERROR((((COUNTIF('Elève (6ème4)'!HP19:HR19,"A"))*4)+((COUNTIF('Elève (6ème4)'!HP19:HR19,"B"))*3)+((COUNTIF('Elève (6ème4)'!HP19:HR19,"C"))*2)+((COUNTIF('Elève (6ème4)'!HP19:HR19,"D"))*1))/(COUNTA(HP19:HR19)),"")</f>
        <v/>
      </c>
      <c r="HT19" s="187" t="str">
        <f t="shared" si="52"/>
        <v/>
      </c>
      <c r="HU19" s="135"/>
      <c r="HV19" s="132"/>
      <c r="HW19" s="133"/>
      <c r="HX19" s="183" t="str">
        <f>IFERROR((((COUNTIF('Elève (6ème4)'!HU19:HW19,"A"))*4)+((COUNTIF('Elève (6ème4)'!HU19:HW19,"B"))*3)+((COUNTIF('Elève (6ème4)'!HU19:HW19,"C"))*2)+((COUNTIF('Elève (6ème4)'!HU19:HW19,"D"))*1))/(COUNTA(HU19:HW19)),"")</f>
        <v/>
      </c>
      <c r="HY19" s="184" t="str">
        <f t="shared" si="53"/>
        <v/>
      </c>
      <c r="HZ19" s="136"/>
      <c r="IA19" s="137"/>
      <c r="IB19" s="138"/>
      <c r="IC19" s="183" t="str">
        <f>IFERROR((((COUNTIF('Elève (6ème4)'!HZ19:IB19,"A"))*4)+((COUNTIF('Elève (6ème4)'!HZ19:IB19,"B"))*3)+((COUNTIF('Elève (6ème4)'!HZ19:IB19,"C"))*2)+((COUNTIF('Elève (6ème4)'!HZ19:IB19,"D"))*1))/(COUNTA(HZ19:IB19)),"")</f>
        <v/>
      </c>
      <c r="ID19" s="184" t="str">
        <f t="shared" si="54"/>
        <v/>
      </c>
      <c r="IE19" s="183" t="str">
        <f>IF(COUNT(HS19,HX19,IC19)=0,"",SUM(HS19,HX19,IC19)/COUNT(HS19,HX19,IC19))</f>
        <v/>
      </c>
      <c r="IF19" s="209" t="str">
        <f t="shared" si="55"/>
        <v/>
      </c>
      <c r="IG19" s="131"/>
      <c r="IH19" s="132"/>
      <c r="II19" s="133"/>
      <c r="IJ19" s="189" t="str">
        <f>IFERROR((((COUNTIF('Elève (6ème4)'!IG19:II19,"A"))*4)+((COUNTIF('Elève (6ème4)'!IG19:II19,"B"))*3)+((COUNTIF('Elève (6ème4)'!IG19:II19,"C"))*2)+((COUNTIF('Elève (6ème4)'!IG19:II19,"D"))*1))/(COUNTA(IG19:II19)),"")</f>
        <v/>
      </c>
      <c r="IK19" s="187" t="str">
        <f t="shared" si="56"/>
        <v/>
      </c>
      <c r="IL19" s="135"/>
      <c r="IM19" s="132"/>
      <c r="IN19" s="133"/>
      <c r="IO19" s="183" t="str">
        <f>IFERROR((((COUNTIF('Elève (6ème4)'!IL19:IN19,"A"))*4)+((COUNTIF('Elève (6ème4)'!IL19:IN19,"B"))*3)+((COUNTIF('Elève (6ème4)'!IL19:IN19,"C"))*2)+((COUNTIF('Elève (6ème4)'!IL19:IN19,"D"))*1))/(COUNTA(IL19:IN19)),"")</f>
        <v/>
      </c>
      <c r="IP19" s="184" t="str">
        <f t="shared" si="57"/>
        <v/>
      </c>
      <c r="IQ19" s="136"/>
      <c r="IR19" s="137"/>
      <c r="IS19" s="138"/>
      <c r="IT19" s="183" t="str">
        <f>IFERROR((((COUNTIF('Elève (6ème4)'!IQ19:IS19,"A"))*4)+((COUNTIF('Elève (6ème4)'!IQ19:IS19,"B"))*3)+((COUNTIF('Elève (6ème4)'!IQ19:IS19,"C"))*2)+((COUNTIF('Elève (6ème4)'!IQ19:IS19,"D"))*1))/(COUNTA(IQ19:IS19)),"")</f>
        <v/>
      </c>
      <c r="IU19" s="184" t="str">
        <f t="shared" si="58"/>
        <v/>
      </c>
      <c r="IV19" s="183" t="str">
        <f>IF(COUNT(IJ19,IO19,IT19)=0,"",SUM(IJ19,IO19,IT19)/COUNT(IJ19,IO19,IT19))</f>
        <v/>
      </c>
      <c r="IW19" s="209" t="str">
        <f t="shared" si="59"/>
        <v/>
      </c>
      <c r="IX19" s="131"/>
      <c r="IY19" s="132"/>
      <c r="IZ19" s="133"/>
      <c r="JA19" s="189" t="str">
        <f>IFERROR((((COUNTIF('Elève (6ème4)'!IX19:IZ19,"A"))*4)+((COUNTIF('Elève (6ème4)'!IX19:IZ19,"B"))*3)+((COUNTIF('Elève (6ème4)'!IX19:IZ19,"C"))*2)+((COUNTIF('Elève (6ème4)'!IX19:IZ19,"D"))*1))/(COUNTA(IX19:IZ19)),"")</f>
        <v/>
      </c>
      <c r="JB19" s="187" t="str">
        <f t="shared" si="60"/>
        <v/>
      </c>
      <c r="JC19" s="135"/>
      <c r="JD19" s="132"/>
      <c r="JE19" s="133"/>
      <c r="JF19" s="183" t="str">
        <f>IFERROR((((COUNTIF('Elève (6ème4)'!JC19:JE19,"A"))*4)+((COUNTIF('Elève (6ème4)'!JC19:JE19,"B"))*3)+((COUNTIF('Elève (6ème4)'!JC19:JE19,"C"))*2)+((COUNTIF('Elève (6ème4)'!JC19:JE19,"D"))*1))/(COUNTA(JC19:JE19)),"")</f>
        <v/>
      </c>
      <c r="JG19" s="184" t="str">
        <f t="shared" si="61"/>
        <v/>
      </c>
      <c r="JH19" s="136"/>
      <c r="JI19" s="137"/>
      <c r="JJ19" s="138"/>
      <c r="JK19" s="183" t="str">
        <f>IFERROR((((COUNTIF('Elève (6ème4)'!JH19:JJ19,"A"))*4)+((COUNTIF('Elève (6ème4)'!JH19:JJ19,"B"))*3)+((COUNTIF('Elève (6ème4)'!JH19:JJ19,"C"))*2)+((COUNTIF('Elève (6ème4)'!JH19:JJ19,"D"))*1))/(COUNTA(JH19:JJ19)),"")</f>
        <v/>
      </c>
      <c r="JL19" s="184" t="str">
        <f t="shared" si="62"/>
        <v/>
      </c>
      <c r="JM19" s="183" t="str">
        <f>IF(COUNT(JA19,JF19,JK19)=0,"",SUM(JA19,JF19,JK19)/COUNT(JA19,JF19,JK19))</f>
        <v/>
      </c>
      <c r="JN19" s="209" t="str">
        <f t="shared" si="63"/>
        <v/>
      </c>
      <c r="JO19" s="131"/>
      <c r="JP19" s="132"/>
      <c r="JQ19" s="133"/>
      <c r="JR19" s="189" t="str">
        <f>IFERROR((((COUNTIF('Elève (6ème4)'!JO19:JQ19,"A"))*4)+((COUNTIF('Elève (6ème4)'!JO19:JQ19,"B"))*3)+((COUNTIF('Elève (6ème4)'!JO19:JQ19,"C"))*2)+((COUNTIF('Elève (6ème4)'!JO19:JQ19,"D"))*1))/(COUNTA(JO19:JQ19)),"")</f>
        <v/>
      </c>
      <c r="JS19" s="187" t="str">
        <f t="shared" si="64"/>
        <v/>
      </c>
      <c r="JT19" s="135"/>
      <c r="JU19" s="132"/>
      <c r="JV19" s="133"/>
      <c r="JW19" s="183" t="str">
        <f>IFERROR((((COUNTIF('Elève (6ème4)'!JT19:JV19,"A"))*4)+((COUNTIF('Elève (6ème4)'!JT19:JV19,"B"))*3)+((COUNTIF('Elève (6ème4)'!JT19:JV19,"C"))*2)+((COUNTIF('Elève (6ème4)'!JT19:JV19,"D"))*1))/(COUNTA(JT19:JV19)),"")</f>
        <v/>
      </c>
      <c r="JX19" s="184" t="str">
        <f t="shared" si="65"/>
        <v/>
      </c>
      <c r="JY19" s="136"/>
      <c r="JZ19" s="137"/>
      <c r="KA19" s="138"/>
      <c r="KB19" s="183" t="str">
        <f>IFERROR((((COUNTIF('Elève (6ème4)'!JY19:KA19,"A"))*4)+((COUNTIF('Elève (6ème4)'!JY19:KA19,"B"))*3)+((COUNTIF('Elève (6ème4)'!JY19:KA19,"C"))*2)+((COUNTIF('Elève (6ème4)'!JY19:KA19,"D"))*1))/(COUNTA(JY19:KA19)),"")</f>
        <v/>
      </c>
      <c r="KC19" s="184" t="str">
        <f t="shared" si="66"/>
        <v/>
      </c>
      <c r="KD19" s="183" t="str">
        <f>IF(COUNT(JR19,JW19,KB19)=0,"",SUM(JR19,JW19,KB19)/COUNT(JR19,JW19,KB19))</f>
        <v/>
      </c>
      <c r="KE19" s="209" t="str">
        <f t="shared" si="67"/>
        <v/>
      </c>
      <c r="KF19" s="131"/>
      <c r="KG19" s="132"/>
      <c r="KH19" s="133"/>
      <c r="KI19" s="189" t="str">
        <f>IFERROR((((COUNTIF('Elève (6ème4)'!KF19:KH19,"A"))*4)+((COUNTIF('Elève (6ème4)'!KF19:KH19,"B"))*3)+((COUNTIF('Elève (6ème4)'!KF19:KH19,"C"))*2)+((COUNTIF('Elève (6ème4)'!KF19:KH19,"D"))*1))/(COUNTA(KF19:KH19)),"")</f>
        <v/>
      </c>
      <c r="KJ19" s="187" t="str">
        <f t="shared" si="68"/>
        <v/>
      </c>
      <c r="KK19" s="135"/>
      <c r="KL19" s="132"/>
      <c r="KM19" s="133"/>
      <c r="KN19" s="183" t="str">
        <f>IFERROR((((COUNTIF('Elève (6ème4)'!KK19:KM19,"A"))*4)+((COUNTIF('Elève (6ème4)'!KK19:KM19,"B"))*3)+((COUNTIF('Elève (6ème4)'!KK19:KM19,"C"))*2)+((COUNTIF('Elève (6ème4)'!KK19:KM19,"D"))*1))/(COUNTA(KK19:KM19)),"")</f>
        <v/>
      </c>
      <c r="KO19" s="184" t="str">
        <f t="shared" si="69"/>
        <v/>
      </c>
      <c r="KP19" s="136"/>
      <c r="KQ19" s="137"/>
      <c r="KR19" s="138"/>
      <c r="KS19" s="183" t="str">
        <f>IFERROR((((COUNTIF('Elève (6ème4)'!KP19:KR19,"A"))*4)+((COUNTIF('Elève (6ème4)'!KP19:KR19,"B"))*3)+((COUNTIF('Elève (6ème4)'!KP19:KR19,"C"))*2)+((COUNTIF('Elève (6ème4)'!KP19:KR19,"D"))*1))/(COUNTA(KP19:KR19)),"")</f>
        <v/>
      </c>
      <c r="KT19" s="184" t="str">
        <f t="shared" si="70"/>
        <v/>
      </c>
      <c r="KU19" s="183" t="str">
        <f>IF(COUNT(KI19,KN19,KS19)=0,"",SUM(KI19,KN19,KS19)/COUNT(KI19,KN19,KS19))</f>
        <v/>
      </c>
      <c r="KV19" s="209" t="str">
        <f t="shared" si="71"/>
        <v/>
      </c>
      <c r="KW19" s="131"/>
      <c r="KX19" s="132"/>
      <c r="KY19" s="133"/>
      <c r="KZ19" s="189" t="str">
        <f>IFERROR((((COUNTIF('Elève (6ème4)'!KW19:KY19,"A"))*4)+((COUNTIF('Elève (6ème4)'!KW19:KY19,"B"))*3)+((COUNTIF('Elève (6ème4)'!KW19:KY19,"C"))*2)+((COUNTIF('Elève (6ème4)'!KW19:KY19,"D"))*1))/(COUNTA(KW19:KY19)),"")</f>
        <v/>
      </c>
      <c r="LA19" s="187" t="str">
        <f t="shared" si="72"/>
        <v/>
      </c>
      <c r="LB19" s="135"/>
      <c r="LC19" s="132"/>
      <c r="LD19" s="133"/>
      <c r="LE19" s="183" t="str">
        <f>IFERROR((((COUNTIF('Elève (6ème4)'!LB19:LD19,"A"))*4)+((COUNTIF('Elève (6ème4)'!LB19:LD19,"B"))*3)+((COUNTIF('Elève (6ème4)'!LB19:LD19,"C"))*2)+((COUNTIF('Elève (6ème4)'!LB19:LD19,"D"))*1))/(COUNTA(LB19:LD19)),"")</f>
        <v/>
      </c>
      <c r="LF19" s="184" t="str">
        <f t="shared" si="73"/>
        <v/>
      </c>
      <c r="LG19" s="136"/>
      <c r="LH19" s="137"/>
      <c r="LI19" s="138"/>
      <c r="LJ19" s="183" t="str">
        <f>IFERROR((((COUNTIF('Elève (6ème4)'!LG19:LI19,"A"))*4)+((COUNTIF('Elève (6ème4)'!LG19:LI19,"B"))*3)+((COUNTIF('Elève (6ème4)'!LG19:LI19,"C"))*2)+((COUNTIF('Elève (6ème4)'!LG19:LI19,"D"))*1))/(COUNTA(LG19:LI19)),"")</f>
        <v/>
      </c>
      <c r="LK19" s="184" t="str">
        <f t="shared" si="74"/>
        <v/>
      </c>
      <c r="LL19" s="183" t="str">
        <f>IF(COUNT(KZ19,LE19,LJ19)=0,"",SUM(KZ19,LE19,LJ19)/COUNT(KZ19,LE19,LJ19))</f>
        <v/>
      </c>
      <c r="LM19" s="209" t="str">
        <f t="shared" si="75"/>
        <v/>
      </c>
      <c r="LN19" s="131"/>
      <c r="LO19" s="132"/>
      <c r="LP19" s="133"/>
      <c r="LQ19" s="189" t="str">
        <f>IFERROR((((COUNTIF('Elève (6ème4)'!LN19:LP19,"A"))*4)+((COUNTIF('Elève (6ème4)'!LN19:LP19,"B"))*3)+((COUNTIF('Elève (6ème4)'!LN19:LP19,"C"))*2)+((COUNTIF('Elève (6ème4)'!LN19:LP19,"D"))*1))/(COUNTA(LN19:LP19)),"")</f>
        <v/>
      </c>
      <c r="LR19" s="187" t="str">
        <f t="shared" si="76"/>
        <v/>
      </c>
      <c r="LS19" s="135"/>
      <c r="LT19" s="132"/>
      <c r="LU19" s="133"/>
      <c r="LV19" s="183" t="str">
        <f>IFERROR((((COUNTIF('Elève (6ème4)'!LS19:LU19,"A"))*4)+((COUNTIF('Elève (6ème4)'!LS19:LU19,"B"))*3)+((COUNTIF('Elève (6ème4)'!LS19:LU19,"C"))*2)+((COUNTIF('Elève (6ème4)'!LS19:LU19,"D"))*1))/(COUNTA(LS19:LU19)),"")</f>
        <v/>
      </c>
      <c r="LW19" s="184" t="str">
        <f t="shared" si="77"/>
        <v/>
      </c>
      <c r="LX19" s="136"/>
      <c r="LY19" s="137"/>
      <c r="LZ19" s="138"/>
      <c r="MA19" s="183" t="str">
        <f>IFERROR((((COUNTIF('Elève (6ème4)'!LX19:LZ19,"A"))*4)+((COUNTIF('Elève (6ème4)'!LX19:LZ19,"B"))*3)+((COUNTIF('Elève (6ème4)'!LX19:LZ19,"C"))*2)+((COUNTIF('Elève (6ème4)'!LX19:LZ19,"D"))*1))/(COUNTA(LX19:LZ19)),"")</f>
        <v/>
      </c>
      <c r="MB19" s="184" t="str">
        <f t="shared" si="78"/>
        <v/>
      </c>
      <c r="MC19" s="183" t="str">
        <f>IF(COUNT(LQ19,LV19,MA19)=0,"",SUM(LQ19,LV19,MA19)/COUNT(LQ19,LV19,MA19))</f>
        <v/>
      </c>
      <c r="MD19" s="209" t="str">
        <f t="shared" si="79"/>
        <v/>
      </c>
      <c r="ME19" s="131"/>
      <c r="MF19" s="132"/>
      <c r="MG19" s="133"/>
      <c r="MH19" s="189" t="str">
        <f>IFERROR((((COUNTIF('Elève (6ème4)'!ME19:MG19,"A"))*4)+((COUNTIF('Elève (6ème4)'!ME19:MG19,"B"))*3)+((COUNTIF('Elève (6ème4)'!ME19:MG19,"C"))*2)+((COUNTIF('Elève (6ème4)'!ME19:MG19,"D"))*1))/(COUNTA(ME19:MG19)),"")</f>
        <v/>
      </c>
      <c r="MI19" s="187" t="str">
        <f t="shared" si="80"/>
        <v/>
      </c>
      <c r="MJ19" s="135"/>
      <c r="MK19" s="132"/>
      <c r="ML19" s="133"/>
      <c r="MM19" s="183" t="str">
        <f>IFERROR((((COUNTIF('Elève (6ème4)'!MJ19:ML19,"A"))*4)+((COUNTIF('Elève (6ème4)'!MJ19:ML19,"B"))*3)+((COUNTIF('Elève (6ème4)'!MJ19:ML19,"C"))*2)+((COUNTIF('Elève (6ème4)'!MJ19:ML19,"D"))*1))/(COUNTA(MJ19:ML19)),"")</f>
        <v/>
      </c>
      <c r="MN19" s="184" t="str">
        <f t="shared" si="81"/>
        <v/>
      </c>
      <c r="MO19" s="136"/>
      <c r="MP19" s="137"/>
      <c r="MQ19" s="138"/>
      <c r="MR19" s="183" t="str">
        <f>IFERROR((((COUNTIF('Elève (6ème4)'!MO19:MQ19,"A"))*4)+((COUNTIF('Elève (6ème4)'!MO19:MQ19,"B"))*3)+((COUNTIF('Elève (6ème4)'!MO19:MQ19,"C"))*2)+((COUNTIF('Elève (6ème4)'!MO19:MQ19,"D"))*1))/(COUNTA(MO19:MQ19)),"")</f>
        <v/>
      </c>
      <c r="MS19" s="184" t="str">
        <f t="shared" si="82"/>
        <v/>
      </c>
      <c r="MT19" s="183" t="str">
        <f>IF(COUNT(MH19,MM19,MR19)=0,"",SUM(MH19,MM19,MR19)/COUNT(MH19,MM19,MR19))</f>
        <v/>
      </c>
      <c r="MU19" s="209" t="str">
        <f t="shared" si="83"/>
        <v/>
      </c>
      <c r="MV19" s="131"/>
      <c r="MW19" s="132"/>
      <c r="MX19" s="133"/>
      <c r="MY19" s="189" t="str">
        <f>IFERROR((((COUNTIF('Elève (6ème4)'!MV19:MX19,"A"))*4)+((COUNTIF('Elève (6ème4)'!MV19:MX19,"B"))*3)+((COUNTIF('Elève (6ème4)'!MV19:MX19,"C"))*2)+((COUNTIF('Elève (6ème4)'!MV19:MX19,"D"))*1))/(COUNTA(MV19:MX19)),"")</f>
        <v/>
      </c>
      <c r="MZ19" s="187" t="str">
        <f t="shared" si="84"/>
        <v/>
      </c>
      <c r="NA19" s="135"/>
      <c r="NB19" s="132"/>
      <c r="NC19" s="133"/>
      <c r="ND19" s="183" t="str">
        <f>IFERROR((((COUNTIF('Elève (6ème4)'!NA19:NC19,"A"))*4)+((COUNTIF('Elève (6ème4)'!NA19:NC19,"B"))*3)+((COUNTIF('Elève (6ème4)'!NA19:NC19,"C"))*2)+((COUNTIF('Elève (6ème4)'!NA19:NC19,"D"))*1))/(COUNTA(NA19:NC19)),"")</f>
        <v/>
      </c>
      <c r="NE19" s="184" t="str">
        <f t="shared" si="85"/>
        <v/>
      </c>
      <c r="NF19" s="136"/>
      <c r="NG19" s="137"/>
      <c r="NH19" s="138"/>
      <c r="NI19" s="183" t="str">
        <f>IFERROR((((COUNTIF('Elève (6ème4)'!NF19:NH19,"A"))*4)+((COUNTIF('Elève (6ème4)'!NF19:NH19,"B"))*3)+((COUNTIF('Elève (6ème4)'!NF19:NH19,"C"))*2)+((COUNTIF('Elève (6ème4)'!NF19:NH19,"D"))*1))/(COUNTA(NF19:NH19)),"")</f>
        <v/>
      </c>
      <c r="NJ19" s="184" t="str">
        <f t="shared" si="86"/>
        <v/>
      </c>
      <c r="NK19" s="183" t="str">
        <f>IF(COUNT(MY19,ND19,NI19)=0,"",SUM(MY19,ND19,NI19)/COUNT(MY19,ND19,NI19))</f>
        <v/>
      </c>
      <c r="NL19" s="209" t="str">
        <f t="shared" si="87"/>
        <v/>
      </c>
      <c r="NM19" s="131"/>
      <c r="NN19" s="132"/>
      <c r="NO19" s="133"/>
      <c r="NP19" s="189" t="str">
        <f>IFERROR((((COUNTIF('Elève (6ème4)'!NM19:NO19,"A"))*4)+((COUNTIF('Elève (6ème4)'!NM19:NO19,"B"))*3)+((COUNTIF('Elève (6ème4)'!NM19:NO19,"C"))*2)+((COUNTIF('Elève (6ème4)'!NM19:NO19,"D"))*1))/(COUNTA(NM19:NO19)),"")</f>
        <v/>
      </c>
      <c r="NQ19" s="187" t="str">
        <f t="shared" si="88"/>
        <v/>
      </c>
      <c r="NR19" s="135"/>
      <c r="NS19" s="132"/>
      <c r="NT19" s="133"/>
      <c r="NU19" s="183" t="str">
        <f>IFERROR((((COUNTIF('Elève (6ème4)'!NR19:NT19,"A"))*4)+((COUNTIF('Elève (6ème4)'!NR19:NT19,"B"))*3)+((COUNTIF('Elève (6ème4)'!NR19:NT19,"C"))*2)+((COUNTIF('Elève (6ème4)'!NR19:NT19,"D"))*1))/(COUNTA(NR19:NT19)),"")</f>
        <v/>
      </c>
      <c r="NV19" s="184" t="str">
        <f t="shared" si="89"/>
        <v/>
      </c>
      <c r="NW19" s="136"/>
      <c r="NX19" s="137"/>
      <c r="NY19" s="138"/>
      <c r="NZ19" s="183" t="str">
        <f>IFERROR((((COUNTIF('Elève (6ème4)'!NW19:NY19,"A"))*4)+((COUNTIF('Elève (6ème4)'!NW19:NY19,"B"))*3)+((COUNTIF('Elève (6ème4)'!NW19:NY19,"C"))*2)+((COUNTIF('Elève (6ème4)'!NW19:NY19,"D"))*1))/(COUNTA(NW19:NY19)),"")</f>
        <v/>
      </c>
      <c r="OA19" s="184" t="str">
        <f t="shared" si="90"/>
        <v/>
      </c>
      <c r="OB19" s="183" t="str">
        <f>IF(COUNT(NP19,NU19,NZ19)=0,"",SUM(NP19,NU19,NZ19)/COUNT(NP19,NU19,NZ19))</f>
        <v/>
      </c>
      <c r="OC19" s="209" t="str">
        <f t="shared" si="91"/>
        <v/>
      </c>
      <c r="OD19" s="131"/>
      <c r="OE19" s="132"/>
      <c r="OF19" s="133"/>
      <c r="OG19" s="189" t="str">
        <f>IFERROR((((COUNTIF('Elève (6ème4)'!OD19:OF19,"A"))*4)+((COUNTIF('Elève (6ème4)'!OD19:OF19,"B"))*3)+((COUNTIF('Elève (6ème4)'!OD19:OF19,"C"))*2)+((COUNTIF('Elève (6ème4)'!OD19:OF19,"D"))*1))/(COUNTA(OD19:OF19)),"")</f>
        <v/>
      </c>
      <c r="OH19" s="187" t="str">
        <f t="shared" si="92"/>
        <v/>
      </c>
      <c r="OI19" s="135"/>
      <c r="OJ19" s="132"/>
      <c r="OK19" s="133"/>
      <c r="OL19" s="183" t="str">
        <f>IFERROR((((COUNTIF('Elève (6ème4)'!OI19:OK19,"A"))*4)+((COUNTIF('Elève (6ème4)'!OI19:OK19,"B"))*3)+((COUNTIF('Elève (6ème4)'!OI19:OK19,"C"))*2)+((COUNTIF('Elève (6ème4)'!OI19:OK19,"D"))*1))/(COUNTA(OI19:OK19)),"")</f>
        <v/>
      </c>
      <c r="OM19" s="184" t="str">
        <f t="shared" si="93"/>
        <v/>
      </c>
      <c r="ON19" s="136"/>
      <c r="OO19" s="137"/>
      <c r="OP19" s="138"/>
      <c r="OQ19" s="183" t="str">
        <f>IFERROR((((COUNTIF('Elève (6ème4)'!ON19:OP19,"A"))*4)+((COUNTIF('Elève (6ème4)'!ON19:OP19,"B"))*3)+((COUNTIF('Elève (6ème4)'!ON19:OP19,"C"))*2)+((COUNTIF('Elève (6ème4)'!ON19:OP19,"D"))*1))/(COUNTA(ON19:OP19)),"")</f>
        <v/>
      </c>
      <c r="OR19" s="184" t="str">
        <f t="shared" si="94"/>
        <v/>
      </c>
      <c r="OS19" s="183" t="str">
        <f>IF(COUNT(OG19,OL19,OQ19)=0,"",SUM(OG19,OL19,OQ19)/COUNT(OG19,OL19,OQ19))</f>
        <v/>
      </c>
      <c r="OT19" s="209" t="str">
        <f t="shared" si="95"/>
        <v/>
      </c>
      <c r="OU19" s="131"/>
      <c r="OV19" s="132"/>
      <c r="OW19" s="133"/>
      <c r="OX19" s="189" t="str">
        <f>IFERROR((((COUNTIF('Elève (6ème4)'!OU19:OW19,"A"))*4)+((COUNTIF('Elève (6ème4)'!OU19:OW19,"B"))*3)+((COUNTIF('Elève (6ème4)'!OU19:OW19,"C"))*2)+((COUNTIF('Elève (6ème4)'!OU19:OW19,"D"))*1))/(COUNTA(OU19:OW19)),"")</f>
        <v/>
      </c>
      <c r="OY19" s="187" t="str">
        <f t="shared" si="96"/>
        <v/>
      </c>
      <c r="OZ19" s="135"/>
      <c r="PA19" s="132"/>
      <c r="PB19" s="133"/>
      <c r="PC19" s="183" t="str">
        <f>IFERROR((((COUNTIF('Elève (6ème4)'!OZ19:PB19,"A"))*4)+((COUNTIF('Elève (6ème4)'!OZ19:PB19,"B"))*3)+((COUNTIF('Elève (6ème4)'!OZ19:PB19,"C"))*2)+((COUNTIF('Elève (6ème4)'!OZ19:PB19,"D"))*1))/(COUNTA(OZ19:PB19)),"")</f>
        <v/>
      </c>
      <c r="PD19" s="184" t="str">
        <f t="shared" si="97"/>
        <v/>
      </c>
      <c r="PE19" s="136"/>
      <c r="PF19" s="137"/>
      <c r="PG19" s="138"/>
      <c r="PH19" s="183" t="str">
        <f>IFERROR((((COUNTIF('Elève (6ème4)'!PE19:PG19,"A"))*4)+((COUNTIF('Elève (6ème4)'!PE19:PG19,"B"))*3)+((COUNTIF('Elève (6ème4)'!PE19:PG19,"C"))*2)+((COUNTIF('Elève (6ème4)'!PE19:PG19,"D"))*1))/(COUNTA(PE19:PG19)),"")</f>
        <v/>
      </c>
      <c r="PI19" s="184" t="str">
        <f t="shared" si="98"/>
        <v/>
      </c>
      <c r="PJ19" s="183" t="str">
        <f>IF(COUNT(OX19,PC19,PH19)=0,"",SUM(OX19,PC19,PH19)/COUNT(OX19,PC19,PH19))</f>
        <v/>
      </c>
      <c r="PK19" s="209" t="str">
        <f t="shared" si="99"/>
        <v/>
      </c>
      <c r="PL19" s="131"/>
      <c r="PM19" s="132"/>
      <c r="PN19" s="133"/>
      <c r="PO19" s="189" t="str">
        <f>IFERROR((((COUNTIF('Elève (6ème4)'!PL19:PN19,"A"))*4)+((COUNTIF('Elève (6ème4)'!PL19:PN19,"B"))*3)+((COUNTIF('Elève (6ème4)'!PL19:PN19,"C"))*2)+((COUNTIF('Elève (6ème4)'!PL19:PN19,"D"))*1))/(COUNTA(PL19:PN19)),"")</f>
        <v/>
      </c>
      <c r="PP19" s="187" t="str">
        <f t="shared" si="100"/>
        <v/>
      </c>
      <c r="PQ19" s="135"/>
      <c r="PR19" s="132"/>
      <c r="PS19" s="133"/>
      <c r="PT19" s="183" t="str">
        <f>IFERROR((((COUNTIF('Elève (6ème4)'!PQ19:PS19,"A"))*4)+((COUNTIF('Elève (6ème4)'!PQ19:PS19,"B"))*3)+((COUNTIF('Elève (6ème4)'!PQ19:PS19,"C"))*2)+((COUNTIF('Elève (6ème4)'!PQ19:PS19,"D"))*1))/(COUNTA(PQ19:PS19)),"")</f>
        <v/>
      </c>
      <c r="PU19" s="184" t="str">
        <f t="shared" si="101"/>
        <v/>
      </c>
      <c r="PV19" s="136"/>
      <c r="PW19" s="137"/>
      <c r="PX19" s="138"/>
      <c r="PY19" s="183" t="str">
        <f>IFERROR((((COUNTIF('Elève (6ème4)'!PV19:PX19,"A"))*4)+((COUNTIF('Elève (6ème4)'!PV19:PX19,"B"))*3)+((COUNTIF('Elève (6ème4)'!PV19:PX19,"C"))*2)+((COUNTIF('Elève (6ème4)'!PV19:PX19,"D"))*1))/(COUNTA(PV19:PX19)),"")</f>
        <v/>
      </c>
      <c r="PZ19" s="184" t="str">
        <f t="shared" si="102"/>
        <v/>
      </c>
      <c r="QA19" s="183" t="str">
        <f>IF(COUNT(PO19,PT19,PY19)=0,"",SUM(PO19,PT19,PY19)/COUNT(PO19,PT19,PY19))</f>
        <v/>
      </c>
      <c r="QB19" s="209" t="str">
        <f t="shared" si="103"/>
        <v/>
      </c>
      <c r="QC19" s="131"/>
      <c r="QD19" s="132"/>
      <c r="QE19" s="133"/>
      <c r="QF19" s="189" t="str">
        <f>IFERROR((((COUNTIF('Elève (6ème4)'!QC19:QE19,"A"))*4)+((COUNTIF('Elève (6ème4)'!QC19:QE19,"B"))*3)+((COUNTIF('Elève (6ème4)'!QC19:QE19,"C"))*2)+((COUNTIF('Elève (6ème4)'!QC19:QE19,"D"))*1))/(COUNTA(QC19:QE19)),"")</f>
        <v/>
      </c>
      <c r="QG19" s="187" t="str">
        <f t="shared" si="104"/>
        <v/>
      </c>
      <c r="QH19" s="135"/>
      <c r="QI19" s="132"/>
      <c r="QJ19" s="133"/>
      <c r="QK19" s="183" t="str">
        <f>IFERROR((((COUNTIF('Elève (6ème4)'!QH19:QJ19,"A"))*4)+((COUNTIF('Elève (6ème4)'!QH19:QJ19,"B"))*3)+((COUNTIF('Elève (6ème4)'!QH19:QJ19,"C"))*2)+((COUNTIF('Elève (6ème4)'!QH19:QJ19,"D"))*1))/(COUNTA(QH19:QJ19)),"")</f>
        <v/>
      </c>
      <c r="QL19" s="184" t="str">
        <f t="shared" si="105"/>
        <v/>
      </c>
      <c r="QM19" s="136"/>
      <c r="QN19" s="137"/>
      <c r="QO19" s="138"/>
      <c r="QP19" s="183" t="str">
        <f>IFERROR((((COUNTIF('Elève (6ème4)'!QM19:QO19,"A"))*4)+((COUNTIF('Elève (6ème4)'!QM19:QO19,"B"))*3)+((COUNTIF('Elève (6ème4)'!QM19:QO19,"C"))*2)+((COUNTIF('Elève (6ème4)'!QM19:QO19,"D"))*1))/(COUNTA(QM19:QO19)),"")</f>
        <v/>
      </c>
      <c r="QQ19" s="184" t="str">
        <f t="shared" si="106"/>
        <v/>
      </c>
      <c r="QR19" s="183" t="str">
        <f>IF(COUNT(QF19,QK19,QP19)=0,"",SUM(QF19,QK19,QP19)/COUNT(QF19,QK19,QP19))</f>
        <v/>
      </c>
      <c r="QS19" s="209" t="str">
        <f t="shared" si="107"/>
        <v/>
      </c>
      <c r="QT19" s="131"/>
      <c r="QU19" s="132"/>
      <c r="QV19" s="133"/>
      <c r="QW19" s="134" t="str">
        <f>IFERROR((((COUNTIF('Elève (6ème4)'!QT19:QV19,"A"))*4)+((COUNTIF('Elève (6ème4)'!QT19:QV19,"B"))*3)+((COUNTIF('Elève (6ème4)'!QT19:QV19,"C"))*2)+((COUNTIF('Elève (6ème4)'!QT19:QV19,"D"))*1))/(COUNTA(QT19:QV19)),"")</f>
        <v/>
      </c>
      <c r="QX19" s="118" t="str">
        <f t="shared" si="108"/>
        <v/>
      </c>
      <c r="QY19" s="135"/>
      <c r="QZ19" s="132"/>
      <c r="RA19" s="133"/>
      <c r="RB19" s="102" t="str">
        <f>IFERROR((((COUNTIF('Elève (6ème4)'!QY19:RA19,"A"))*4)+((COUNTIF('Elève (6ème4)'!QY19:RA19,"B"))*3)+((COUNTIF('Elève (6ème4)'!QY19:RA19,"C"))*2)+((COUNTIF('Elève (6ème4)'!QY19:RA19,"D"))*1))/(COUNTA(QY19:RA19)),"")</f>
        <v/>
      </c>
      <c r="RC19" s="103" t="str">
        <f t="shared" si="109"/>
        <v/>
      </c>
      <c r="RD19" s="136"/>
      <c r="RE19" s="137"/>
      <c r="RF19" s="138"/>
      <c r="RG19" s="102" t="str">
        <f>IFERROR((((COUNTIF('Elève (6ème4)'!RD19:RF19,"A"))*4)+((COUNTIF('Elève (6ème4)'!RD19:RF19,"B"))*3)+((COUNTIF('Elève (6ème4)'!RD19:RF19,"C"))*2)+((COUNTIF('Elève (6ème4)'!RD19:RF19,"D"))*1))/(COUNTA(RD19:RF19)),"")</f>
        <v/>
      </c>
      <c r="RH19" s="103" t="str">
        <f t="shared" si="110"/>
        <v/>
      </c>
      <c r="RI19" s="102" t="str">
        <f>IF(COUNT(QW19,RB19,RG19)=0,"",SUM(QW19,RB19,RG19)/COUNT(QW19,RB19,RG19))</f>
        <v/>
      </c>
      <c r="RJ19" s="117" t="str">
        <f t="shared" si="111"/>
        <v/>
      </c>
      <c r="RK19" s="131"/>
      <c r="RL19" s="132"/>
      <c r="RM19" s="133"/>
      <c r="RN19" s="134" t="str">
        <f>IFERROR((((COUNTIF('Elève (6ème4)'!RK19:RM19,"A"))*4)+((COUNTIF('Elève (6ème4)'!RK19:RM19,"B"))*3)+((COUNTIF('Elève (6ème4)'!RK19:RM19,"C"))*2)+((COUNTIF('Elève (6ème4)'!RK19:RM19,"D"))*1))/(COUNTA(RK19:RM19)),"")</f>
        <v/>
      </c>
      <c r="RO19" s="118" t="str">
        <f t="shared" si="112"/>
        <v/>
      </c>
      <c r="RP19" s="135"/>
      <c r="RQ19" s="132"/>
      <c r="RR19" s="133"/>
      <c r="RS19" s="102" t="str">
        <f>IFERROR((((COUNTIF('Elève (6ème4)'!RP19:RR19,"A"))*4)+((COUNTIF('Elève (6ème4)'!RP19:RR19,"B"))*3)+((COUNTIF('Elève (6ème4)'!RP19:RR19,"C"))*2)+((COUNTIF('Elève (6ème4)'!RP19:RR19,"D"))*1))/(COUNTA(RP19:RR19)),"")</f>
        <v/>
      </c>
      <c r="RT19" s="103" t="str">
        <f t="shared" si="113"/>
        <v/>
      </c>
      <c r="RU19" s="136"/>
      <c r="RV19" s="137"/>
      <c r="RW19" s="138"/>
      <c r="RX19" s="102" t="str">
        <f>IFERROR((((COUNTIF('Elève (6ème4)'!RU19:RW19,"A"))*4)+((COUNTIF('Elève (6ème4)'!RU19:RW19,"B"))*3)+((COUNTIF('Elève (6ème4)'!RU19:RW19,"C"))*2)+((COUNTIF('Elève (6ème4)'!RU19:RW19,"D"))*1))/(COUNTA(RU19:RW19)),"")</f>
        <v/>
      </c>
      <c r="RY19" s="103" t="str">
        <f t="shared" si="114"/>
        <v/>
      </c>
      <c r="RZ19" s="102" t="str">
        <f>IF(COUNT(RN19,RS19,RX19)=0,"",SUM(RN19,RS19,RX19)/COUNT(RN19,RS19,RX19))</f>
        <v/>
      </c>
      <c r="SA19" s="117" t="str">
        <f t="shared" si="115"/>
        <v/>
      </c>
      <c r="SB19" s="131"/>
      <c r="SC19" s="132"/>
      <c r="SD19" s="133"/>
      <c r="SE19" s="134" t="str">
        <f>IFERROR((((COUNTIF('Elève (6ème4)'!SB19:SD19,"A"))*4)+((COUNTIF('Elève (6ème4)'!SB19:SD19,"B"))*3)+((COUNTIF('Elève (6ème4)'!SB19:SD19,"C"))*2)+((COUNTIF('Elève (6ème4)'!SB19:SD19,"D"))*1))/(COUNTA(SB19:SD19)),"")</f>
        <v/>
      </c>
      <c r="SF19" s="118" t="str">
        <f t="shared" si="116"/>
        <v/>
      </c>
      <c r="SG19" s="135"/>
      <c r="SH19" s="132"/>
      <c r="SI19" s="133"/>
      <c r="SJ19" s="102" t="str">
        <f>IFERROR((((COUNTIF('Elève (6ème4)'!SG19:SI19,"A"))*4)+((COUNTIF('Elève (6ème4)'!SG19:SI19,"B"))*3)+((COUNTIF('Elève (6ème4)'!SG19:SI19,"C"))*2)+((COUNTIF('Elève (6ème4)'!SG19:SI19,"D"))*1))/(COUNTA(SG19:SI19)),"")</f>
        <v/>
      </c>
      <c r="SK19" s="103" t="str">
        <f t="shared" si="117"/>
        <v/>
      </c>
      <c r="SL19" s="136"/>
      <c r="SM19" s="137"/>
      <c r="SN19" s="138"/>
      <c r="SO19" s="102" t="str">
        <f>IFERROR((((COUNTIF('Elève (6ème4)'!SL19:SN19,"A"))*4)+((COUNTIF('Elève (6ème4)'!SL19:SN19,"B"))*3)+((COUNTIF('Elève (6ème4)'!SL19:SN19,"C"))*2)+((COUNTIF('Elève (6ème4)'!SL19:SN19,"D"))*1))/(COUNTA(SL19:SN19)),"")</f>
        <v/>
      </c>
      <c r="SP19" s="103" t="str">
        <f t="shared" si="118"/>
        <v/>
      </c>
      <c r="SQ19" s="102" t="str">
        <f>IF(COUNT(SE19,SJ19,SO19)=0,"",SUM(SE19,SJ19,SO19)/COUNT(SE19,SJ19,SO19))</f>
        <v/>
      </c>
      <c r="SR19" s="117" t="str">
        <f t="shared" si="119"/>
        <v/>
      </c>
      <c r="SS19" s="131"/>
      <c r="ST19" s="132"/>
      <c r="SU19" s="133"/>
      <c r="SV19" s="134" t="str">
        <f>IFERROR((((COUNTIF('Elève (6ème4)'!SS19:SU19,"A"))*4)+((COUNTIF('Elève (6ème4)'!SS19:SU19,"B"))*3)+((COUNTIF('Elève (6ème4)'!SS19:SU19,"C"))*2)+((COUNTIF('Elève (6ème4)'!SS19:SU19,"D"))*1))/(COUNTA(SS19:SU19)),"")</f>
        <v/>
      </c>
      <c r="SW19" s="118" t="str">
        <f t="shared" si="120"/>
        <v/>
      </c>
      <c r="SX19" s="135"/>
      <c r="SY19" s="132"/>
      <c r="SZ19" s="133"/>
      <c r="TA19" s="102" t="str">
        <f>IFERROR((((COUNTIF('Elève (6ème4)'!SX19:SZ19,"A"))*4)+((COUNTIF('Elève (6ème4)'!SX19:SZ19,"B"))*3)+((COUNTIF('Elève (6ème4)'!SX19:SZ19,"C"))*2)+((COUNTIF('Elève (6ème4)'!SX19:SZ19,"D"))*1))/(COUNTA(SX19:SZ19)),"")</f>
        <v/>
      </c>
      <c r="TB19" s="103" t="str">
        <f t="shared" si="121"/>
        <v/>
      </c>
      <c r="TC19" s="136"/>
      <c r="TD19" s="137"/>
      <c r="TE19" s="138"/>
      <c r="TF19" s="102" t="str">
        <f>IFERROR((((COUNTIF('Elève (6ème4)'!TC19:TE19,"A"))*4)+((COUNTIF('Elève (6ème4)'!TC19:TE19,"B"))*3)+((COUNTIF('Elève (6ème4)'!TC19:TE19,"C"))*2)+((COUNTIF('Elève (6ème4)'!TC19:TE19,"D"))*1))/(COUNTA(TC19:TE19)),"")</f>
        <v/>
      </c>
      <c r="TG19" s="103" t="str">
        <f t="shared" si="122"/>
        <v/>
      </c>
      <c r="TH19" s="102" t="str">
        <f>IF(COUNT(SV19,TA19,TF19)=0,"",SUM(SV19,TA19,TF19)/COUNT(SV19,TA19,TF19))</f>
        <v/>
      </c>
      <c r="TI19" s="117" t="str">
        <f t="shared" si="123"/>
        <v/>
      </c>
      <c r="TJ19" s="131"/>
      <c r="TK19" s="132"/>
      <c r="TL19" s="133"/>
      <c r="TM19" s="134" t="str">
        <f>IFERROR((((COUNTIF('Elève (6ème4)'!TJ19:TL19,"A"))*4)+((COUNTIF('Elève (6ème4)'!TJ19:TL19,"B"))*3)+((COUNTIF('Elève (6ème4)'!TJ19:TL19,"C"))*2)+((COUNTIF('Elève (6ème4)'!TJ19:TL19,"D"))*1))/(COUNTA(TJ19:TL19)),"")</f>
        <v/>
      </c>
      <c r="TN19" s="118" t="str">
        <f t="shared" si="124"/>
        <v/>
      </c>
      <c r="TO19" s="135"/>
      <c r="TP19" s="132"/>
      <c r="TQ19" s="133"/>
      <c r="TR19" s="102" t="str">
        <f>IFERROR((((COUNTIF('Elève (6ème4)'!TO19:TQ19,"A"))*4)+((COUNTIF('Elève (6ème4)'!TO19:TQ19,"B"))*3)+((COUNTIF('Elève (6ème4)'!TO19:TQ19,"C"))*2)+((COUNTIF('Elève (6ème4)'!TO19:TQ19,"D"))*1))/(COUNTA(TO19:TQ19)),"")</f>
        <v/>
      </c>
      <c r="TS19" s="103" t="str">
        <f t="shared" si="125"/>
        <v/>
      </c>
      <c r="TT19" s="136"/>
      <c r="TU19" s="137"/>
      <c r="TV19" s="138"/>
      <c r="TW19" s="102" t="str">
        <f>IFERROR((((COUNTIF('Elève (6ème4)'!TT19:TV19,"A"))*4)+((COUNTIF('Elève (6ème4)'!TT19:TV19,"B"))*3)+((COUNTIF('Elève (6ème4)'!TT19:TV19,"C"))*2)+((COUNTIF('Elève (6ème4)'!TT19:TV19,"D"))*1))/(COUNTA(TT19:TV19)),"")</f>
        <v/>
      </c>
      <c r="TX19" s="103" t="str">
        <f t="shared" si="126"/>
        <v/>
      </c>
      <c r="TY19" s="102" t="str">
        <f>IF(COUNT(TM19,TR19,TW19)=0,"",SUM(TM19,TR19,TW19)/COUNT(TM19,TR19,TW19))</f>
        <v/>
      </c>
      <c r="TZ19" s="117" t="str">
        <f t="shared" si="127"/>
        <v/>
      </c>
    </row>
    <row r="20" spans="1:546" ht="15.75" thickBot="1" x14ac:dyDescent="0.3">
      <c r="A20" s="166" t="s">
        <v>41</v>
      </c>
      <c r="B20" s="139"/>
      <c r="C20" s="174"/>
      <c r="D20" s="141"/>
      <c r="E20" s="142"/>
      <c r="F20" s="190" t="str">
        <f>IFERROR((((COUNTIF('Elève (6ème4)'!C20:E20,"A"))*4)+((COUNTIF('Elève (6ème4)'!C20:E20,"B"))*3)+((COUNTIF('Elève (6ème4)'!C20:E20,"C"))*2)+((COUNTIF('Elève (6ème4)'!C20:E20,"D"))*1))/(COUNTA(C20:E20)),"")</f>
        <v/>
      </c>
      <c r="G20" s="191" t="str">
        <f t="shared" si="0"/>
        <v/>
      </c>
      <c r="H20" s="174"/>
      <c r="I20" s="141"/>
      <c r="J20" s="142"/>
      <c r="K20" s="190" t="str">
        <f>IFERROR((((COUNTIF('Elève (6ème4)'!H20:J20,"A"))*4)+((COUNTIF('Elève (6ème4)'!H20:J20,"B"))*3)+((COUNTIF('Elève (6ème4)'!H20:J20,"C"))*2)+((COUNTIF('Elève (6ème4)'!H20:J20,"D"))*1))/(COUNTA(H20:J20)),"")</f>
        <v/>
      </c>
      <c r="L20" s="191" t="str">
        <f t="shared" si="1"/>
        <v/>
      </c>
      <c r="M20" s="174"/>
      <c r="N20" s="141"/>
      <c r="O20" s="142"/>
      <c r="P20" s="190" t="str">
        <f>IFERROR((((COUNTIF('Elève (6ème4)'!M20:O20,"A"))*4)+((COUNTIF('Elève (6ème4)'!M20:O20,"B"))*3)+((COUNTIF('Elève (6ème4)'!M20:O20,"C"))*2)+((COUNTIF('Elève (6ème4)'!M20:O20,"D"))*1))/(COUNTA(M20:O20)),"")</f>
        <v/>
      </c>
      <c r="Q20" s="191" t="str">
        <f t="shared" si="2"/>
        <v/>
      </c>
      <c r="R20" s="190" t="str">
        <f>IF(COUNT(F20,K20,P20)=0,"",SUM(F20,K20,P20)/COUNT(F20,K20,P20))</f>
        <v/>
      </c>
      <c r="S20" s="213" t="str">
        <f t="shared" si="3"/>
        <v/>
      </c>
      <c r="T20" s="219"/>
      <c r="U20" s="141"/>
      <c r="V20" s="142"/>
      <c r="W20" s="190" t="str">
        <f>IFERROR((((COUNTIF('Elève (6ème4)'!T20:V20,"A"))*4)+((COUNTIF('Elève (6ème4)'!T20:V20,"B"))*3)+((COUNTIF('Elève (6ème4)'!T20:V20,"C"))*2)+((COUNTIF('Elève (6ème4)'!T20:V20,"D"))*1))/(COUNTA(T20:V20)),"")</f>
        <v/>
      </c>
      <c r="X20" s="191" t="str">
        <f t="shared" si="4"/>
        <v/>
      </c>
      <c r="Y20" s="174"/>
      <c r="Z20" s="141"/>
      <c r="AA20" s="142"/>
      <c r="AB20" s="190" t="str">
        <f>IFERROR((((COUNTIF('Elève (6ème4)'!Y20:AA20,"A"))*4)+((COUNTIF('Elève (6ème4)'!Y20:AA20,"B"))*3)+((COUNTIF('Elève (6ème4)'!Y20:AA20,"C"))*2)+((COUNTIF('Elève (6ème4)'!Y20:AA20,"D"))*1))/(COUNTA(Y20:AA20)),"")</f>
        <v/>
      </c>
      <c r="AC20" s="191" t="str">
        <f t="shared" si="5"/>
        <v/>
      </c>
      <c r="AD20" s="174"/>
      <c r="AE20" s="141"/>
      <c r="AF20" s="142"/>
      <c r="AG20" s="190" t="str">
        <f>IFERROR((((COUNTIF('Elève (6ème4)'!AD20:AF20,"A"))*4)+((COUNTIF('Elève (6ème4)'!AD20:AF20,"B"))*3)+((COUNTIF('Elève (6ème4)'!AD20:AF20,"C"))*2)+((COUNTIF('Elève (6ème4)'!AD20:AF20,"D"))*1))/(COUNTA(AD20:AF20)),"")</f>
        <v/>
      </c>
      <c r="AH20" s="191" t="str">
        <f t="shared" si="6"/>
        <v/>
      </c>
      <c r="AI20" s="190" t="str">
        <f>IF(COUNT(W20,AB20,AG20)=0,"",SUM(W20,AB20,AG20)/COUNT(W20,AB20,AG20))</f>
        <v/>
      </c>
      <c r="AJ20" s="213" t="str">
        <f t="shared" si="7"/>
        <v/>
      </c>
      <c r="AK20" s="219"/>
      <c r="AL20" s="141"/>
      <c r="AM20" s="142"/>
      <c r="AN20" s="190" t="str">
        <f>IFERROR((((COUNTIF('Elève (6ème4)'!AK20:AM20,"A"))*4)+((COUNTIF('Elève (6ème4)'!AK20:AM20,"B"))*3)+((COUNTIF('Elève (6ème4)'!AK20:AM20,"C"))*2)+((COUNTIF('Elève (6ème4)'!AK20:AM20,"D"))*1))/(COUNTA(AK20:AM20)),"")</f>
        <v/>
      </c>
      <c r="AO20" s="191" t="str">
        <f t="shared" si="8"/>
        <v/>
      </c>
      <c r="AP20" s="174"/>
      <c r="AQ20" s="141"/>
      <c r="AR20" s="142"/>
      <c r="AS20" s="190" t="str">
        <f>IFERROR((((COUNTIF('Elève (6ème4)'!AP20:AR20,"A"))*4)+((COUNTIF('Elève (6ème4)'!AP20:AR20,"B"))*3)+((COUNTIF('Elève (6ème4)'!AP20:AR20,"C"))*2)+((COUNTIF('Elève (6ème4)'!AP20:AR20,"D"))*1))/(COUNTA(AP20:AR20)),"")</f>
        <v/>
      </c>
      <c r="AT20" s="191" t="str">
        <f t="shared" si="9"/>
        <v/>
      </c>
      <c r="AU20" s="174"/>
      <c r="AV20" s="141"/>
      <c r="AW20" s="142"/>
      <c r="AX20" s="190" t="str">
        <f>IFERROR((((COUNTIF('Elève (6ème4)'!AU20:AW20,"A"))*4)+((COUNTIF('Elève (6ème4)'!AU20:AW20,"B"))*3)+((COUNTIF('Elève (6ème4)'!AU20:AW20,"C"))*2)+((COUNTIF('Elève (6ème4)'!AU20:AW20,"D"))*1))/(COUNTA(AU20:AW20)),"")</f>
        <v/>
      </c>
      <c r="AY20" s="191" t="str">
        <f t="shared" si="10"/>
        <v/>
      </c>
      <c r="AZ20" s="190" t="str">
        <f>IF(COUNT(AN20,AS20,AX20)=0,"",SUM(AN20,AS20,AX20)/COUNT(AN20,AS20,AX20))</f>
        <v/>
      </c>
      <c r="BA20" s="213" t="str">
        <f t="shared" si="11"/>
        <v/>
      </c>
      <c r="BB20" s="219"/>
      <c r="BC20" s="141"/>
      <c r="BD20" s="142"/>
      <c r="BE20" s="190" t="str">
        <f>IFERROR((((COUNTIF('Elève (6ème4)'!BB20:BD20,"A"))*4)+((COUNTIF('Elève (6ème4)'!BB20:BD20,"B"))*3)+((COUNTIF('Elève (6ème4)'!BB20:BD20,"C"))*2)+((COUNTIF('Elève (6ème4)'!BB20:BD20,"D"))*1))/(COUNTA(BB20:BD20)),"")</f>
        <v/>
      </c>
      <c r="BF20" s="191" t="str">
        <f t="shared" si="12"/>
        <v/>
      </c>
      <c r="BG20" s="174"/>
      <c r="BH20" s="141"/>
      <c r="BI20" s="142"/>
      <c r="BJ20" s="190" t="str">
        <f>IFERROR((((COUNTIF('Elève (6ème4)'!BG20:BI20,"A"))*4)+((COUNTIF('Elève (6ème4)'!BG20:BI20,"B"))*3)+((COUNTIF('Elève (6ème4)'!BG20:BI20,"C"))*2)+((COUNTIF('Elève (6ème4)'!BG20:BI20,"D"))*1))/(COUNTA(BG20:BI20)),"")</f>
        <v/>
      </c>
      <c r="BK20" s="191" t="str">
        <f t="shared" si="13"/>
        <v/>
      </c>
      <c r="BL20" s="174"/>
      <c r="BM20" s="141"/>
      <c r="BN20" s="142"/>
      <c r="BO20" s="190" t="str">
        <f>IFERROR((((COUNTIF('Elève (6ème4)'!BL20:BN20,"A"))*4)+((COUNTIF('Elève (6ème4)'!BL20:BN20,"B"))*3)+((COUNTIF('Elève (6ème4)'!BL20:BN20,"C"))*2)+((COUNTIF('Elève (6ème4)'!BL20:BN20,"D"))*1))/(COUNTA(BL20:BN20)),"")</f>
        <v/>
      </c>
      <c r="BP20" s="191" t="str">
        <f t="shared" si="14"/>
        <v/>
      </c>
      <c r="BQ20" s="190" t="str">
        <f>IF(COUNT(BE20,BJ20,BO20)=0,"",SUM(BE20,BJ20,BO20)/COUNT(BE20,BJ20,BO20))</f>
        <v/>
      </c>
      <c r="BR20" s="213" t="str">
        <f t="shared" si="15"/>
        <v/>
      </c>
      <c r="BS20" s="219"/>
      <c r="BT20" s="141"/>
      <c r="BU20" s="142"/>
      <c r="BV20" s="190" t="str">
        <f>IFERROR((((COUNTIF('Elève (6ème4)'!BS20:BU20,"A"))*4)+((COUNTIF('Elève (6ème4)'!BS20:BU20,"B"))*3)+((COUNTIF('Elève (6ème4)'!BS20:BU20,"C"))*2)+((COUNTIF('Elève (6ème4)'!BS20:BU20,"D"))*1))/(COUNTA(BS20:BU20)),"")</f>
        <v/>
      </c>
      <c r="BW20" s="191" t="str">
        <f t="shared" si="16"/>
        <v/>
      </c>
      <c r="BX20" s="174"/>
      <c r="BY20" s="141"/>
      <c r="BZ20" s="142"/>
      <c r="CA20" s="190" t="str">
        <f>IFERROR((((COUNTIF('Elève (6ème4)'!BX20:BZ20,"A"))*4)+((COUNTIF('Elève (6ème4)'!BX20:BZ20,"B"))*3)+((COUNTIF('Elève (6ème4)'!BX20:BZ20,"C"))*2)+((COUNTIF('Elève (6ème4)'!BX20:BZ20,"D"))*1))/(COUNTA(BX20:BZ20)),"")</f>
        <v/>
      </c>
      <c r="CB20" s="191" t="str">
        <f t="shared" si="17"/>
        <v/>
      </c>
      <c r="CC20" s="174"/>
      <c r="CD20" s="141"/>
      <c r="CE20" s="142"/>
      <c r="CF20" s="190" t="str">
        <f>IFERROR((((COUNTIF('Elève (6ème4)'!CC20:CE20,"A"))*4)+((COUNTIF('Elève (6ème4)'!CC20:CE20,"B"))*3)+((COUNTIF('Elève (6ème4)'!CC20:CE20,"C"))*2)+((COUNTIF('Elève (6ème4)'!CC20:CE20,"D"))*1))/(COUNTA(CC20:CE20)),"")</f>
        <v/>
      </c>
      <c r="CG20" s="191" t="str">
        <f t="shared" si="18"/>
        <v/>
      </c>
      <c r="CH20" s="190" t="str">
        <f>IF(COUNT(BV20,CA20,CF20)=0,"",SUM(BV20,CA20,CF20)/COUNT(BV20,CA20,CF20))</f>
        <v/>
      </c>
      <c r="CI20" s="213" t="str">
        <f t="shared" si="19"/>
        <v/>
      </c>
      <c r="CJ20" s="219"/>
      <c r="CK20" s="141"/>
      <c r="CL20" s="142"/>
      <c r="CM20" s="190" t="str">
        <f>IFERROR((((COUNTIF('Elève (6ème4)'!CJ20:CL20,"A"))*4)+((COUNTIF('Elève (6ème4)'!CJ20:CL20,"B"))*3)+((COUNTIF('Elève (6ème4)'!CJ20:CL20,"C"))*2)+((COUNTIF('Elève (6ème4)'!CJ20:CL20,"D"))*1))/(COUNTA(CJ20:CL20)),"")</f>
        <v/>
      </c>
      <c r="CN20" s="191" t="str">
        <f t="shared" si="20"/>
        <v/>
      </c>
      <c r="CO20" s="174"/>
      <c r="CP20" s="141"/>
      <c r="CQ20" s="142"/>
      <c r="CR20" s="190" t="str">
        <f>IFERROR((((COUNTIF('Elève (6ème4)'!CO20:CQ20,"A"))*4)+((COUNTIF('Elève (6ème4)'!CO20:CQ20,"B"))*3)+((COUNTIF('Elève (6ème4)'!CO20:CQ20,"C"))*2)+((COUNTIF('Elève (6ème4)'!CO20:CQ20,"D"))*1))/(COUNTA(CO20:CQ20)),"")</f>
        <v/>
      </c>
      <c r="CS20" s="191" t="str">
        <f t="shared" si="21"/>
        <v/>
      </c>
      <c r="CT20" s="174"/>
      <c r="CU20" s="141"/>
      <c r="CV20" s="142"/>
      <c r="CW20" s="190" t="str">
        <f>IFERROR((((COUNTIF('Elève (6ème4)'!CT20:CV20,"A"))*4)+((COUNTIF('Elève (6ème4)'!CT20:CV20,"B"))*3)+((COUNTIF('Elève (6ème4)'!CT20:CV20,"C"))*2)+((COUNTIF('Elève (6ème4)'!CT20:CV20,"D"))*1))/(COUNTA(CT20:CV20)),"")</f>
        <v/>
      </c>
      <c r="CX20" s="191" t="str">
        <f t="shared" si="22"/>
        <v/>
      </c>
      <c r="CY20" s="190" t="str">
        <f>IF(COUNT(CM20,CR20,CW20)=0,"",SUM(CM20,CR20,CW20)/COUNT(CM20,CR20,CW20))</f>
        <v/>
      </c>
      <c r="CZ20" s="213" t="str">
        <f t="shared" si="23"/>
        <v/>
      </c>
      <c r="DA20" s="219"/>
      <c r="DB20" s="141"/>
      <c r="DC20" s="142"/>
      <c r="DD20" s="190" t="str">
        <f>IFERROR((((COUNTIF('Elève (6ème4)'!DA20:DC20,"A"))*4)+((COUNTIF('Elève (6ème4)'!DA20:DC20,"B"))*3)+((COUNTIF('Elève (6ème4)'!DA20:DC20,"C"))*2)+((COUNTIF('Elève (6ème4)'!DA20:DC20,"D"))*1))/(COUNTA(DA20:DC20)),"")</f>
        <v/>
      </c>
      <c r="DE20" s="191" t="str">
        <f t="shared" si="24"/>
        <v/>
      </c>
      <c r="DF20" s="174"/>
      <c r="DG20" s="141"/>
      <c r="DH20" s="142"/>
      <c r="DI20" s="190" t="str">
        <f>IFERROR((((COUNTIF('Elève (6ème4)'!DF20:DH20,"A"))*4)+((COUNTIF('Elève (6ème4)'!DF20:DH20,"B"))*3)+((COUNTIF('Elève (6ème4)'!DF20:DH20,"C"))*2)+((COUNTIF('Elève (6ème4)'!DF20:DH20,"D"))*1))/(COUNTA(DF20:DH20)),"")</f>
        <v/>
      </c>
      <c r="DJ20" s="191" t="str">
        <f t="shared" si="25"/>
        <v/>
      </c>
      <c r="DK20" s="174"/>
      <c r="DL20" s="141"/>
      <c r="DM20" s="142"/>
      <c r="DN20" s="190" t="str">
        <f>IFERROR((((COUNTIF('Elève (6ème4)'!DK20:DM20,"A"))*4)+((COUNTIF('Elève (6ème4)'!DK20:DM20,"B"))*3)+((COUNTIF('Elève (6ème4)'!DK20:DM20,"C"))*2)+((COUNTIF('Elève (6ème4)'!DK20:DM20,"D"))*1))/(COUNTA(DK20:DM20)),"")</f>
        <v/>
      </c>
      <c r="DO20" s="191" t="str">
        <f t="shared" si="26"/>
        <v/>
      </c>
      <c r="DP20" s="190" t="str">
        <f>IF(COUNT(DD20,DI20,DN20)=0,"",SUM(DD20,DI20,DN20)/COUNT(DD20,DI20,DN20))</f>
        <v/>
      </c>
      <c r="DQ20" s="213" t="str">
        <f t="shared" si="27"/>
        <v/>
      </c>
      <c r="DR20" s="219"/>
      <c r="DS20" s="141"/>
      <c r="DT20" s="142"/>
      <c r="DU20" s="190" t="str">
        <f>IFERROR((((COUNTIF('Elève (6ème4)'!DR20:DT20,"A"))*4)+((COUNTIF('Elève (6ème4)'!DR20:DT20,"B"))*3)+((COUNTIF('Elève (6ème4)'!DR20:DT20,"C"))*2)+((COUNTIF('Elève (6ème4)'!DR20:DT20,"D"))*1))/(COUNTA(DR20:DT20)),"")</f>
        <v/>
      </c>
      <c r="DV20" s="191" t="str">
        <f t="shared" si="28"/>
        <v/>
      </c>
      <c r="DW20" s="174"/>
      <c r="DX20" s="141"/>
      <c r="DY20" s="142"/>
      <c r="DZ20" s="190" t="str">
        <f>IFERROR((((COUNTIF('Elève (6ème4)'!DW20:DY20,"A"))*4)+((COUNTIF('Elève (6ème4)'!DW20:DY20,"B"))*3)+((COUNTIF('Elève (6ème4)'!DW20:DY20,"C"))*2)+((COUNTIF('Elève (6ème4)'!DW20:DY20,"D"))*1))/(COUNTA(DW20:DY20)),"")</f>
        <v/>
      </c>
      <c r="EA20" s="191" t="str">
        <f t="shared" si="29"/>
        <v/>
      </c>
      <c r="EB20" s="174"/>
      <c r="EC20" s="141"/>
      <c r="ED20" s="142"/>
      <c r="EE20" s="190" t="str">
        <f>IFERROR((((COUNTIF('Elève (6ème4)'!EB20:ED20,"A"))*4)+((COUNTIF('Elève (6ème4)'!EB20:ED20,"B"))*3)+((COUNTIF('Elève (6ème4)'!EB20:ED20,"C"))*2)+((COUNTIF('Elève (6ème4)'!EB20:ED20,"D"))*1))/(COUNTA(EB20:ED20)),"")</f>
        <v/>
      </c>
      <c r="EF20" s="191" t="str">
        <f t="shared" si="30"/>
        <v/>
      </c>
      <c r="EG20" s="190" t="str">
        <f>IF(COUNT(DU20,DZ20,EE20)=0,"",SUM(DU20,DZ20,EE20)/COUNT(DU20,DZ20,EE20))</f>
        <v/>
      </c>
      <c r="EH20" s="213" t="str">
        <f t="shared" si="31"/>
        <v/>
      </c>
      <c r="EI20" s="219"/>
      <c r="EJ20" s="141"/>
      <c r="EK20" s="142"/>
      <c r="EL20" s="190" t="str">
        <f>IFERROR((((COUNTIF('Elève (6ème4)'!EI20:EK20,"A"))*4)+((COUNTIF('Elève (6ème4)'!EI20:EK20,"B"))*3)+((COUNTIF('Elève (6ème4)'!EI20:EK20,"C"))*2)+((COUNTIF('Elève (6ème4)'!EI20:EK20,"D"))*1))/(COUNTA(EI20:EK20)),"")</f>
        <v/>
      </c>
      <c r="EM20" s="191" t="str">
        <f t="shared" si="32"/>
        <v/>
      </c>
      <c r="EN20" s="174"/>
      <c r="EO20" s="141"/>
      <c r="EP20" s="142"/>
      <c r="EQ20" s="190" t="str">
        <f>IFERROR((((COUNTIF('Elève (6ème4)'!EN20:EP20,"A"))*4)+((COUNTIF('Elève (6ème4)'!EN20:EP20,"B"))*3)+((COUNTIF('Elève (6ème4)'!EN20:EP20,"C"))*2)+((COUNTIF('Elève (6ème4)'!EN20:EP20,"D"))*1))/(COUNTA(EN20:EP20)),"")</f>
        <v/>
      </c>
      <c r="ER20" s="191" t="str">
        <f t="shared" si="33"/>
        <v/>
      </c>
      <c r="ES20" s="174"/>
      <c r="ET20" s="141"/>
      <c r="EU20" s="142"/>
      <c r="EV20" s="190" t="str">
        <f>IFERROR((((COUNTIF('Elève (6ème4)'!ES20:EU20,"A"))*4)+((COUNTIF('Elève (6ème4)'!ES20:EU20,"B"))*3)+((COUNTIF('Elève (6ème4)'!ES20:EU20,"C"))*2)+((COUNTIF('Elève (6ème4)'!ES20:EU20,"D"))*1))/(COUNTA(ES20:EU20)),"")</f>
        <v/>
      </c>
      <c r="EW20" s="191" t="str">
        <f t="shared" si="34"/>
        <v/>
      </c>
      <c r="EX20" s="190" t="str">
        <f>IF(COUNT(EL20,EQ20,EV20)=0,"",SUM(EL20,EQ20,EV20)/COUNT(EL20,EQ20,EV20))</f>
        <v/>
      </c>
      <c r="EY20" s="213" t="str">
        <f t="shared" si="35"/>
        <v/>
      </c>
      <c r="EZ20" s="219"/>
      <c r="FA20" s="141"/>
      <c r="FB20" s="142"/>
      <c r="FC20" s="190" t="str">
        <f>IFERROR((((COUNTIF('Elève (6ème4)'!EZ20:FB20,"A"))*4)+((COUNTIF('Elève (6ème4)'!EZ20:FB20,"B"))*3)+((COUNTIF('Elève (6ème4)'!EZ20:FB20,"C"))*2)+((COUNTIF('Elève (6ème4)'!EZ20:FB20,"D"))*1))/(COUNTA(EZ20:FB20)),"")</f>
        <v/>
      </c>
      <c r="FD20" s="191" t="str">
        <f t="shared" si="36"/>
        <v/>
      </c>
      <c r="FE20" s="174"/>
      <c r="FF20" s="141"/>
      <c r="FG20" s="142"/>
      <c r="FH20" s="190" t="str">
        <f>IFERROR((((COUNTIF('Elève (6ème4)'!FE20:FG20,"A"))*4)+((COUNTIF('Elève (6ème4)'!FE20:FG20,"B"))*3)+((COUNTIF('Elève (6ème4)'!FE20:FG20,"C"))*2)+((COUNTIF('Elève (6ème4)'!FE20:FG20,"D"))*1))/(COUNTA(FE20:FG20)),"")</f>
        <v/>
      </c>
      <c r="FI20" s="191" t="str">
        <f t="shared" si="37"/>
        <v/>
      </c>
      <c r="FJ20" s="174"/>
      <c r="FK20" s="141"/>
      <c r="FL20" s="142"/>
      <c r="FM20" s="190" t="str">
        <f>IFERROR((((COUNTIF('Elève (6ème4)'!FJ20:FL20,"A"))*4)+((COUNTIF('Elève (6ème4)'!FJ20:FL20,"B"))*3)+((COUNTIF('Elève (6ème4)'!FJ20:FL20,"C"))*2)+((COUNTIF('Elève (6ème4)'!FJ20:FL20,"D"))*1))/(COUNTA(FJ20:FL20)),"")</f>
        <v/>
      </c>
      <c r="FN20" s="191" t="str">
        <f t="shared" si="38"/>
        <v/>
      </c>
      <c r="FO20" s="190" t="str">
        <f>IF(COUNT(FC20,FH20,FM20)=0,"",SUM(FC20,FH20,FM20)/COUNT(FC20,FH20,FM20))</f>
        <v/>
      </c>
      <c r="FP20" s="213" t="str">
        <f t="shared" si="39"/>
        <v/>
      </c>
      <c r="FQ20" s="219"/>
      <c r="FR20" s="141"/>
      <c r="FS20" s="142"/>
      <c r="FT20" s="190" t="str">
        <f>IFERROR((((COUNTIF('Elève (6ème4)'!FQ20:FS20,"A"))*4)+((COUNTIF('Elève (6ème4)'!FQ20:FS20,"B"))*3)+((COUNTIF('Elève (6ème4)'!FQ20:FS20,"C"))*2)+((COUNTIF('Elève (6ème4)'!FQ20:FS20,"D"))*1))/(COUNTA(FQ20:FS20)),"")</f>
        <v/>
      </c>
      <c r="FU20" s="191" t="str">
        <f t="shared" si="40"/>
        <v/>
      </c>
      <c r="FV20" s="174"/>
      <c r="FW20" s="141"/>
      <c r="FX20" s="142"/>
      <c r="FY20" s="190" t="str">
        <f>IFERROR((((COUNTIF('Elève (6ème4)'!FV20:FX20,"A"))*4)+((COUNTIF('Elève (6ème4)'!FV20:FX20,"B"))*3)+((COUNTIF('Elève (6ème4)'!FV20:FX20,"C"))*2)+((COUNTIF('Elève (6ème4)'!FV20:FX20,"D"))*1))/(COUNTA(FV20:FX20)),"")</f>
        <v/>
      </c>
      <c r="FZ20" s="191" t="str">
        <f t="shared" si="41"/>
        <v/>
      </c>
      <c r="GA20" s="174"/>
      <c r="GB20" s="141"/>
      <c r="GC20" s="142"/>
      <c r="GD20" s="190" t="str">
        <f>IFERROR((((COUNTIF('Elève (6ème4)'!GA20:GC20,"A"))*4)+((COUNTIF('Elève (6ème4)'!GA20:GC20,"B"))*3)+((COUNTIF('Elève (6ème4)'!GA20:GC20,"C"))*2)+((COUNTIF('Elève (6ème4)'!GA20:GC20,"D"))*1))/(COUNTA(GA20:GC20)),"")</f>
        <v/>
      </c>
      <c r="GE20" s="191" t="str">
        <f t="shared" si="42"/>
        <v/>
      </c>
      <c r="GF20" s="190" t="str">
        <f>IF(COUNT(FT20,FY20,GD20)=0,"",SUM(FT20,FY20,GD20)/COUNT(FT20,FY20,GD20))</f>
        <v/>
      </c>
      <c r="GG20" s="213" t="str">
        <f t="shared" si="43"/>
        <v/>
      </c>
      <c r="GH20" s="219"/>
      <c r="GI20" s="141"/>
      <c r="GJ20" s="142"/>
      <c r="GK20" s="190" t="str">
        <f>IFERROR((((COUNTIF('Elève (6ème4)'!GH20:GJ20,"A"))*4)+((COUNTIF('Elève (6ème4)'!GH20:GJ20,"B"))*3)+((COUNTIF('Elève (6ème4)'!GH20:GJ20,"C"))*2)+((COUNTIF('Elève (6ème4)'!GH20:GJ20,"D"))*1))/(COUNTA(GH20:GJ20)),"")</f>
        <v/>
      </c>
      <c r="GL20" s="191" t="str">
        <f t="shared" si="44"/>
        <v/>
      </c>
      <c r="GM20" s="174"/>
      <c r="GN20" s="141"/>
      <c r="GO20" s="142"/>
      <c r="GP20" s="190" t="str">
        <f>IFERROR((((COUNTIF('Elève (6ème4)'!GM20:GO20,"A"))*4)+((COUNTIF('Elève (6ème4)'!GM20:GO20,"B"))*3)+((COUNTIF('Elève (6ème4)'!GM20:GO20,"C"))*2)+((COUNTIF('Elève (6ème4)'!GM20:GO20,"D"))*1))/(COUNTA(GM20:GO20)),"")</f>
        <v/>
      </c>
      <c r="GQ20" s="191" t="str">
        <f t="shared" si="45"/>
        <v/>
      </c>
      <c r="GR20" s="174"/>
      <c r="GS20" s="141"/>
      <c r="GT20" s="142"/>
      <c r="GU20" s="190" t="str">
        <f>IFERROR((((COUNTIF('Elève (6ème4)'!GR20:GT20,"A"))*4)+((COUNTIF('Elève (6ème4)'!GR20:GT20,"B"))*3)+((COUNTIF('Elève (6ème4)'!GR20:GT20,"C"))*2)+((COUNTIF('Elève (6ème4)'!GR20:GT20,"D"))*1))/(COUNTA(GR20:GT20)),"")</f>
        <v/>
      </c>
      <c r="GV20" s="191" t="str">
        <f t="shared" si="46"/>
        <v/>
      </c>
      <c r="GW20" s="190" t="str">
        <f>IF(COUNT(GK20,GP20,GU20)=0,"",SUM(GK20,GP20,GU20)/COUNT(GK20,GP20,GU20))</f>
        <v/>
      </c>
      <c r="GX20" s="213" t="str">
        <f t="shared" si="47"/>
        <v/>
      </c>
      <c r="GY20" s="219"/>
      <c r="GZ20" s="141"/>
      <c r="HA20" s="142"/>
      <c r="HB20" s="190" t="str">
        <f>IFERROR((((COUNTIF('Elève (6ème4)'!GY20:HA20,"A"))*4)+((COUNTIF('Elève (6ème4)'!GY20:HA20,"B"))*3)+((COUNTIF('Elève (6ème4)'!GY20:HA20,"C"))*2)+((COUNTIF('Elève (6ème4)'!GY20:HA20,"D"))*1))/(COUNTA(GY20:HA20)),"")</f>
        <v/>
      </c>
      <c r="HC20" s="191" t="str">
        <f t="shared" si="48"/>
        <v/>
      </c>
      <c r="HD20" s="174"/>
      <c r="HE20" s="141"/>
      <c r="HF20" s="142"/>
      <c r="HG20" s="190" t="str">
        <f>IFERROR((((COUNTIF('Elève (6ème4)'!HD20:HF20,"A"))*4)+((COUNTIF('Elève (6ème4)'!HD20:HF20,"B"))*3)+((COUNTIF('Elève (6ème4)'!HD20:HF20,"C"))*2)+((COUNTIF('Elève (6ème4)'!HD20:HF20,"D"))*1))/(COUNTA(HD20:HF20)),"")</f>
        <v/>
      </c>
      <c r="HH20" s="191" t="str">
        <f t="shared" si="49"/>
        <v/>
      </c>
      <c r="HI20" s="174"/>
      <c r="HJ20" s="141"/>
      <c r="HK20" s="142"/>
      <c r="HL20" s="190" t="str">
        <f>IFERROR((((COUNTIF('Elève (6ème4)'!HI20:HK20,"A"))*4)+((COUNTIF('Elève (6ème4)'!HI20:HK20,"B"))*3)+((COUNTIF('Elève (6ème4)'!HI20:HK20,"C"))*2)+((COUNTIF('Elève (6ème4)'!HI20:HK20,"D"))*1))/(COUNTA(HI20:HK20)),"")</f>
        <v/>
      </c>
      <c r="HM20" s="191" t="str">
        <f t="shared" si="50"/>
        <v/>
      </c>
      <c r="HN20" s="190" t="str">
        <f>IF(COUNT(HB20,HG20,HL20)=0,"",SUM(HB20,HG20,HL20)/COUNT(HB20,HG20,HL20))</f>
        <v/>
      </c>
      <c r="HO20" s="213" t="str">
        <f t="shared" si="51"/>
        <v/>
      </c>
      <c r="HP20" s="219"/>
      <c r="HQ20" s="141"/>
      <c r="HR20" s="142"/>
      <c r="HS20" s="190" t="str">
        <f>IFERROR((((COUNTIF('Elève (6ème4)'!HP20:HR20,"A"))*4)+((COUNTIF('Elève (6ème4)'!HP20:HR20,"B"))*3)+((COUNTIF('Elève (6ème4)'!HP20:HR20,"C"))*2)+((COUNTIF('Elève (6ème4)'!HP20:HR20,"D"))*1))/(COUNTA(HP20:HR20)),"")</f>
        <v/>
      </c>
      <c r="HT20" s="191" t="str">
        <f t="shared" si="52"/>
        <v/>
      </c>
      <c r="HU20" s="174"/>
      <c r="HV20" s="141"/>
      <c r="HW20" s="142"/>
      <c r="HX20" s="190" t="str">
        <f>IFERROR((((COUNTIF('Elève (6ème4)'!HU20:HW20,"A"))*4)+((COUNTIF('Elève (6ème4)'!HU20:HW20,"B"))*3)+((COUNTIF('Elève (6ème4)'!HU20:HW20,"C"))*2)+((COUNTIF('Elève (6ème4)'!HU20:HW20,"D"))*1))/(COUNTA(HU20:HW20)),"")</f>
        <v/>
      </c>
      <c r="HY20" s="191" t="str">
        <f t="shared" si="53"/>
        <v/>
      </c>
      <c r="HZ20" s="174"/>
      <c r="IA20" s="141"/>
      <c r="IB20" s="142"/>
      <c r="IC20" s="190" t="str">
        <f>IFERROR((((COUNTIF('Elève (6ème4)'!HZ20:IB20,"A"))*4)+((COUNTIF('Elève (6ème4)'!HZ20:IB20,"B"))*3)+((COUNTIF('Elève (6ème4)'!HZ20:IB20,"C"))*2)+((COUNTIF('Elève (6ème4)'!HZ20:IB20,"D"))*1))/(COUNTA(HZ20:IB20)),"")</f>
        <v/>
      </c>
      <c r="ID20" s="191" t="str">
        <f t="shared" si="54"/>
        <v/>
      </c>
      <c r="IE20" s="190" t="str">
        <f>IF(COUNT(HS20,HX20,IC20)=0,"",SUM(HS20,HX20,IC20)/COUNT(HS20,HX20,IC20))</f>
        <v/>
      </c>
      <c r="IF20" s="213" t="str">
        <f t="shared" si="55"/>
        <v/>
      </c>
      <c r="IG20" s="219"/>
      <c r="IH20" s="141"/>
      <c r="II20" s="142"/>
      <c r="IJ20" s="190" t="str">
        <f>IFERROR((((COUNTIF('Elève (6ème4)'!IG20:II20,"A"))*4)+((COUNTIF('Elève (6ème4)'!IG20:II20,"B"))*3)+((COUNTIF('Elève (6ème4)'!IG20:II20,"C"))*2)+((COUNTIF('Elève (6ème4)'!IG20:II20,"D"))*1))/(COUNTA(IG20:II20)),"")</f>
        <v/>
      </c>
      <c r="IK20" s="191" t="str">
        <f t="shared" si="56"/>
        <v/>
      </c>
      <c r="IL20" s="174"/>
      <c r="IM20" s="141"/>
      <c r="IN20" s="142"/>
      <c r="IO20" s="190" t="str">
        <f>IFERROR((((COUNTIF('Elève (6ème4)'!IL20:IN20,"A"))*4)+((COUNTIF('Elève (6ème4)'!IL20:IN20,"B"))*3)+((COUNTIF('Elève (6ème4)'!IL20:IN20,"C"))*2)+((COUNTIF('Elève (6ème4)'!IL20:IN20,"D"))*1))/(COUNTA(IL20:IN20)),"")</f>
        <v/>
      </c>
      <c r="IP20" s="191" t="str">
        <f t="shared" si="57"/>
        <v/>
      </c>
      <c r="IQ20" s="174"/>
      <c r="IR20" s="141"/>
      <c r="IS20" s="142"/>
      <c r="IT20" s="190" t="str">
        <f>IFERROR((((COUNTIF('Elève (6ème4)'!IQ20:IS20,"A"))*4)+((COUNTIF('Elève (6ème4)'!IQ20:IS20,"B"))*3)+((COUNTIF('Elève (6ème4)'!IQ20:IS20,"C"))*2)+((COUNTIF('Elève (6ème4)'!IQ20:IS20,"D"))*1))/(COUNTA(IQ20:IS20)),"")</f>
        <v/>
      </c>
      <c r="IU20" s="191" t="str">
        <f t="shared" si="58"/>
        <v/>
      </c>
      <c r="IV20" s="190" t="str">
        <f>IF(COUNT(IJ20,IO20,IT20)=0,"",SUM(IJ20,IO20,IT20)/COUNT(IJ20,IO20,IT20))</f>
        <v/>
      </c>
      <c r="IW20" s="213" t="str">
        <f t="shared" si="59"/>
        <v/>
      </c>
      <c r="IX20" s="219"/>
      <c r="IY20" s="141"/>
      <c r="IZ20" s="142"/>
      <c r="JA20" s="190" t="str">
        <f>IFERROR((((COUNTIF('Elève (6ème4)'!IX20:IZ20,"A"))*4)+((COUNTIF('Elève (6ème4)'!IX20:IZ20,"B"))*3)+((COUNTIF('Elève (6ème4)'!IX20:IZ20,"C"))*2)+((COUNTIF('Elève (6ème4)'!IX20:IZ20,"D"))*1))/(COUNTA(IX20:IZ20)),"")</f>
        <v/>
      </c>
      <c r="JB20" s="191" t="str">
        <f t="shared" si="60"/>
        <v/>
      </c>
      <c r="JC20" s="174"/>
      <c r="JD20" s="141"/>
      <c r="JE20" s="142"/>
      <c r="JF20" s="190" t="str">
        <f>IFERROR((((COUNTIF('Elève (6ème4)'!JC20:JE20,"A"))*4)+((COUNTIF('Elève (6ème4)'!JC20:JE20,"B"))*3)+((COUNTIF('Elève (6ème4)'!JC20:JE20,"C"))*2)+((COUNTIF('Elève (6ème4)'!JC20:JE20,"D"))*1))/(COUNTA(JC20:JE20)),"")</f>
        <v/>
      </c>
      <c r="JG20" s="191" t="str">
        <f t="shared" si="61"/>
        <v/>
      </c>
      <c r="JH20" s="174"/>
      <c r="JI20" s="141"/>
      <c r="JJ20" s="142"/>
      <c r="JK20" s="190" t="str">
        <f>IFERROR((((COUNTIF('Elève (6ème4)'!JH20:JJ20,"A"))*4)+((COUNTIF('Elève (6ème4)'!JH20:JJ20,"B"))*3)+((COUNTIF('Elève (6ème4)'!JH20:JJ20,"C"))*2)+((COUNTIF('Elève (6ème4)'!JH20:JJ20,"D"))*1))/(COUNTA(JH20:JJ20)),"")</f>
        <v/>
      </c>
      <c r="JL20" s="191" t="str">
        <f t="shared" si="62"/>
        <v/>
      </c>
      <c r="JM20" s="190" t="str">
        <f>IF(COUNT(JA20,JF20,JK20)=0,"",SUM(JA20,JF20,JK20)/COUNT(JA20,JF20,JK20))</f>
        <v/>
      </c>
      <c r="JN20" s="213" t="str">
        <f t="shared" si="63"/>
        <v/>
      </c>
      <c r="JO20" s="219"/>
      <c r="JP20" s="141"/>
      <c r="JQ20" s="142"/>
      <c r="JR20" s="190" t="str">
        <f>IFERROR((((COUNTIF('Elève (6ème4)'!JO20:JQ20,"A"))*4)+((COUNTIF('Elève (6ème4)'!JO20:JQ20,"B"))*3)+((COUNTIF('Elève (6ème4)'!JO20:JQ20,"C"))*2)+((COUNTIF('Elève (6ème4)'!JO20:JQ20,"D"))*1))/(COUNTA(JO20:JQ20)),"")</f>
        <v/>
      </c>
      <c r="JS20" s="191" t="str">
        <f t="shared" si="64"/>
        <v/>
      </c>
      <c r="JT20" s="174"/>
      <c r="JU20" s="141"/>
      <c r="JV20" s="142"/>
      <c r="JW20" s="190" t="str">
        <f>IFERROR((((COUNTIF('Elève (6ème4)'!JT20:JV20,"A"))*4)+((COUNTIF('Elève (6ème4)'!JT20:JV20,"B"))*3)+((COUNTIF('Elève (6ème4)'!JT20:JV20,"C"))*2)+((COUNTIF('Elève (6ème4)'!JT20:JV20,"D"))*1))/(COUNTA(JT20:JV20)),"")</f>
        <v/>
      </c>
      <c r="JX20" s="191" t="str">
        <f t="shared" si="65"/>
        <v/>
      </c>
      <c r="JY20" s="174"/>
      <c r="JZ20" s="141"/>
      <c r="KA20" s="142"/>
      <c r="KB20" s="190" t="str">
        <f>IFERROR((((COUNTIF('Elève (6ème4)'!JY20:KA20,"A"))*4)+((COUNTIF('Elève (6ème4)'!JY20:KA20,"B"))*3)+((COUNTIF('Elève (6ème4)'!JY20:KA20,"C"))*2)+((COUNTIF('Elève (6ème4)'!JY20:KA20,"D"))*1))/(COUNTA(JY20:KA20)),"")</f>
        <v/>
      </c>
      <c r="KC20" s="191" t="str">
        <f t="shared" si="66"/>
        <v/>
      </c>
      <c r="KD20" s="190" t="str">
        <f>IF(COUNT(JR20,JW20,KB20)=0,"",SUM(JR20,JW20,KB20)/COUNT(JR20,JW20,KB20))</f>
        <v/>
      </c>
      <c r="KE20" s="213" t="str">
        <f t="shared" si="67"/>
        <v/>
      </c>
      <c r="KF20" s="219"/>
      <c r="KG20" s="141"/>
      <c r="KH20" s="142"/>
      <c r="KI20" s="190" t="str">
        <f>IFERROR((((COUNTIF('Elève (6ème4)'!KF20:KH20,"A"))*4)+((COUNTIF('Elève (6ème4)'!KF20:KH20,"B"))*3)+((COUNTIF('Elève (6ème4)'!KF20:KH20,"C"))*2)+((COUNTIF('Elève (6ème4)'!KF20:KH20,"D"))*1))/(COUNTA(KF20:KH20)),"")</f>
        <v/>
      </c>
      <c r="KJ20" s="191" t="str">
        <f t="shared" si="68"/>
        <v/>
      </c>
      <c r="KK20" s="174"/>
      <c r="KL20" s="141"/>
      <c r="KM20" s="142"/>
      <c r="KN20" s="190" t="str">
        <f>IFERROR((((COUNTIF('Elève (6ème4)'!KK20:KM20,"A"))*4)+((COUNTIF('Elève (6ème4)'!KK20:KM20,"B"))*3)+((COUNTIF('Elève (6ème4)'!KK20:KM20,"C"))*2)+((COUNTIF('Elève (6ème4)'!KK20:KM20,"D"))*1))/(COUNTA(KK20:KM20)),"")</f>
        <v/>
      </c>
      <c r="KO20" s="191" t="str">
        <f t="shared" si="69"/>
        <v/>
      </c>
      <c r="KP20" s="174"/>
      <c r="KQ20" s="141"/>
      <c r="KR20" s="142"/>
      <c r="KS20" s="190" t="str">
        <f>IFERROR((((COUNTIF('Elève (6ème4)'!KP20:KR20,"A"))*4)+((COUNTIF('Elève (6ème4)'!KP20:KR20,"B"))*3)+((COUNTIF('Elève (6ème4)'!KP20:KR20,"C"))*2)+((COUNTIF('Elève (6ème4)'!KP20:KR20,"D"))*1))/(COUNTA(KP20:KR20)),"")</f>
        <v/>
      </c>
      <c r="KT20" s="191" t="str">
        <f t="shared" si="70"/>
        <v/>
      </c>
      <c r="KU20" s="190" t="str">
        <f>IF(COUNT(KI20,KN20,KS20)=0,"",SUM(KI20,KN20,KS20)/COUNT(KI20,KN20,KS20))</f>
        <v/>
      </c>
      <c r="KV20" s="213" t="str">
        <f t="shared" si="71"/>
        <v/>
      </c>
      <c r="KW20" s="219"/>
      <c r="KX20" s="141"/>
      <c r="KY20" s="142"/>
      <c r="KZ20" s="190" t="str">
        <f>IFERROR((((COUNTIF('Elève (6ème4)'!KW20:KY20,"A"))*4)+((COUNTIF('Elève (6ème4)'!KW20:KY20,"B"))*3)+((COUNTIF('Elève (6ème4)'!KW20:KY20,"C"))*2)+((COUNTIF('Elève (6ème4)'!KW20:KY20,"D"))*1))/(COUNTA(KW20:KY20)),"")</f>
        <v/>
      </c>
      <c r="LA20" s="191" t="str">
        <f t="shared" si="72"/>
        <v/>
      </c>
      <c r="LB20" s="174"/>
      <c r="LC20" s="141"/>
      <c r="LD20" s="142"/>
      <c r="LE20" s="190" t="str">
        <f>IFERROR((((COUNTIF('Elève (6ème4)'!LB20:LD20,"A"))*4)+((COUNTIF('Elève (6ème4)'!LB20:LD20,"B"))*3)+((COUNTIF('Elève (6ème4)'!LB20:LD20,"C"))*2)+((COUNTIF('Elève (6ème4)'!LB20:LD20,"D"))*1))/(COUNTA(LB20:LD20)),"")</f>
        <v/>
      </c>
      <c r="LF20" s="191" t="str">
        <f t="shared" si="73"/>
        <v/>
      </c>
      <c r="LG20" s="174"/>
      <c r="LH20" s="141"/>
      <c r="LI20" s="142"/>
      <c r="LJ20" s="190" t="str">
        <f>IFERROR((((COUNTIF('Elève (6ème4)'!LG20:LI20,"A"))*4)+((COUNTIF('Elève (6ème4)'!LG20:LI20,"B"))*3)+((COUNTIF('Elève (6ème4)'!LG20:LI20,"C"))*2)+((COUNTIF('Elève (6ème4)'!LG20:LI20,"D"))*1))/(COUNTA(LG20:LI20)),"")</f>
        <v/>
      </c>
      <c r="LK20" s="191" t="str">
        <f t="shared" si="74"/>
        <v/>
      </c>
      <c r="LL20" s="190" t="str">
        <f>IF(COUNT(KZ20,LE20,LJ20)=0,"",SUM(KZ20,LE20,LJ20)/COUNT(KZ20,LE20,LJ20))</f>
        <v/>
      </c>
      <c r="LM20" s="213" t="str">
        <f t="shared" si="75"/>
        <v/>
      </c>
      <c r="LN20" s="219"/>
      <c r="LO20" s="141"/>
      <c r="LP20" s="142"/>
      <c r="LQ20" s="190" t="str">
        <f>IFERROR((((COUNTIF('Elève (6ème4)'!LN20:LP20,"A"))*4)+((COUNTIF('Elève (6ème4)'!LN20:LP20,"B"))*3)+((COUNTIF('Elève (6ème4)'!LN20:LP20,"C"))*2)+((COUNTIF('Elève (6ème4)'!LN20:LP20,"D"))*1))/(COUNTA(LN20:LP20)),"")</f>
        <v/>
      </c>
      <c r="LR20" s="191" t="str">
        <f t="shared" si="76"/>
        <v/>
      </c>
      <c r="LS20" s="174"/>
      <c r="LT20" s="141"/>
      <c r="LU20" s="142"/>
      <c r="LV20" s="190" t="str">
        <f>IFERROR((((COUNTIF('Elève (6ème4)'!LS20:LU20,"A"))*4)+((COUNTIF('Elève (6ème4)'!LS20:LU20,"B"))*3)+((COUNTIF('Elève (6ème4)'!LS20:LU20,"C"))*2)+((COUNTIF('Elève (6ème4)'!LS20:LU20,"D"))*1))/(COUNTA(LS20:LU20)),"")</f>
        <v/>
      </c>
      <c r="LW20" s="191" t="str">
        <f t="shared" si="77"/>
        <v/>
      </c>
      <c r="LX20" s="174"/>
      <c r="LY20" s="141"/>
      <c r="LZ20" s="142"/>
      <c r="MA20" s="190" t="str">
        <f>IFERROR((((COUNTIF('Elève (6ème4)'!LX20:LZ20,"A"))*4)+((COUNTIF('Elève (6ème4)'!LX20:LZ20,"B"))*3)+((COUNTIF('Elève (6ème4)'!LX20:LZ20,"C"))*2)+((COUNTIF('Elève (6ème4)'!LX20:LZ20,"D"))*1))/(COUNTA(LX20:LZ20)),"")</f>
        <v/>
      </c>
      <c r="MB20" s="191" t="str">
        <f t="shared" si="78"/>
        <v/>
      </c>
      <c r="MC20" s="190" t="str">
        <f>IF(COUNT(LQ20,LV20,MA20)=0,"",SUM(LQ20,LV20,MA20)/COUNT(LQ20,LV20,MA20))</f>
        <v/>
      </c>
      <c r="MD20" s="213" t="str">
        <f t="shared" si="79"/>
        <v/>
      </c>
      <c r="ME20" s="219"/>
      <c r="MF20" s="141"/>
      <c r="MG20" s="142"/>
      <c r="MH20" s="190" t="str">
        <f>IFERROR((((COUNTIF('Elève (6ème4)'!ME20:MG20,"A"))*4)+((COUNTIF('Elève (6ème4)'!ME20:MG20,"B"))*3)+((COUNTIF('Elève (6ème4)'!ME20:MG20,"C"))*2)+((COUNTIF('Elève (6ème4)'!ME20:MG20,"D"))*1))/(COUNTA(ME20:MG20)),"")</f>
        <v/>
      </c>
      <c r="MI20" s="191" t="str">
        <f t="shared" si="80"/>
        <v/>
      </c>
      <c r="MJ20" s="174"/>
      <c r="MK20" s="141"/>
      <c r="ML20" s="142"/>
      <c r="MM20" s="190" t="str">
        <f>IFERROR((((COUNTIF('Elève (6ème4)'!MJ20:ML20,"A"))*4)+((COUNTIF('Elève (6ème4)'!MJ20:ML20,"B"))*3)+((COUNTIF('Elève (6ème4)'!MJ20:ML20,"C"))*2)+((COUNTIF('Elève (6ème4)'!MJ20:ML20,"D"))*1))/(COUNTA(MJ20:ML20)),"")</f>
        <v/>
      </c>
      <c r="MN20" s="191" t="str">
        <f t="shared" si="81"/>
        <v/>
      </c>
      <c r="MO20" s="174"/>
      <c r="MP20" s="141"/>
      <c r="MQ20" s="142"/>
      <c r="MR20" s="190" t="str">
        <f>IFERROR((((COUNTIF('Elève (6ème4)'!MO20:MQ20,"A"))*4)+((COUNTIF('Elève (6ème4)'!MO20:MQ20,"B"))*3)+((COUNTIF('Elève (6ème4)'!MO20:MQ20,"C"))*2)+((COUNTIF('Elève (6ème4)'!MO20:MQ20,"D"))*1))/(COUNTA(MO20:MQ20)),"")</f>
        <v/>
      </c>
      <c r="MS20" s="191" t="str">
        <f t="shared" si="82"/>
        <v/>
      </c>
      <c r="MT20" s="190" t="str">
        <f>IF(COUNT(MH20,MM20,MR20)=0,"",SUM(MH20,MM20,MR20)/COUNT(MH20,MM20,MR20))</f>
        <v/>
      </c>
      <c r="MU20" s="213" t="str">
        <f t="shared" si="83"/>
        <v/>
      </c>
      <c r="MV20" s="219"/>
      <c r="MW20" s="141"/>
      <c r="MX20" s="142"/>
      <c r="MY20" s="190" t="str">
        <f>IFERROR((((COUNTIF('Elève (6ème4)'!MV20:MX20,"A"))*4)+((COUNTIF('Elève (6ème4)'!MV20:MX20,"B"))*3)+((COUNTIF('Elève (6ème4)'!MV20:MX20,"C"))*2)+((COUNTIF('Elève (6ème4)'!MV20:MX20,"D"))*1))/(COUNTA(MV20:MX20)),"")</f>
        <v/>
      </c>
      <c r="MZ20" s="191" t="str">
        <f t="shared" si="84"/>
        <v/>
      </c>
      <c r="NA20" s="174"/>
      <c r="NB20" s="141"/>
      <c r="NC20" s="142"/>
      <c r="ND20" s="190" t="str">
        <f>IFERROR((((COUNTIF('Elève (6ème4)'!NA20:NC20,"A"))*4)+((COUNTIF('Elève (6ème4)'!NA20:NC20,"B"))*3)+((COUNTIF('Elève (6ème4)'!NA20:NC20,"C"))*2)+((COUNTIF('Elève (6ème4)'!NA20:NC20,"D"))*1))/(COUNTA(NA20:NC20)),"")</f>
        <v/>
      </c>
      <c r="NE20" s="191" t="str">
        <f t="shared" si="85"/>
        <v/>
      </c>
      <c r="NF20" s="174"/>
      <c r="NG20" s="141"/>
      <c r="NH20" s="142"/>
      <c r="NI20" s="190" t="str">
        <f>IFERROR((((COUNTIF('Elève (6ème4)'!NF20:NH20,"A"))*4)+((COUNTIF('Elève (6ème4)'!NF20:NH20,"B"))*3)+((COUNTIF('Elève (6ème4)'!NF20:NH20,"C"))*2)+((COUNTIF('Elève (6ème4)'!NF20:NH20,"D"))*1))/(COUNTA(NF20:NH20)),"")</f>
        <v/>
      </c>
      <c r="NJ20" s="191" t="str">
        <f t="shared" si="86"/>
        <v/>
      </c>
      <c r="NK20" s="190" t="str">
        <f>IF(COUNT(MY20,ND20,NI20)=0,"",SUM(MY20,ND20,NI20)/COUNT(MY20,ND20,NI20))</f>
        <v/>
      </c>
      <c r="NL20" s="213" t="str">
        <f t="shared" si="87"/>
        <v/>
      </c>
      <c r="NM20" s="219"/>
      <c r="NN20" s="141"/>
      <c r="NO20" s="142"/>
      <c r="NP20" s="190" t="str">
        <f>IFERROR((((COUNTIF('Elève (6ème4)'!NM20:NO20,"A"))*4)+((COUNTIF('Elève (6ème4)'!NM20:NO20,"B"))*3)+((COUNTIF('Elève (6ème4)'!NM20:NO20,"C"))*2)+((COUNTIF('Elève (6ème4)'!NM20:NO20,"D"))*1))/(COUNTA(NM20:NO20)),"")</f>
        <v/>
      </c>
      <c r="NQ20" s="191" t="str">
        <f t="shared" si="88"/>
        <v/>
      </c>
      <c r="NR20" s="174"/>
      <c r="NS20" s="141"/>
      <c r="NT20" s="142"/>
      <c r="NU20" s="190" t="str">
        <f>IFERROR((((COUNTIF('Elève (6ème4)'!NR20:NT20,"A"))*4)+((COUNTIF('Elève (6ème4)'!NR20:NT20,"B"))*3)+((COUNTIF('Elève (6ème4)'!NR20:NT20,"C"))*2)+((COUNTIF('Elève (6ème4)'!NR20:NT20,"D"))*1))/(COUNTA(NR20:NT20)),"")</f>
        <v/>
      </c>
      <c r="NV20" s="191" t="str">
        <f t="shared" si="89"/>
        <v/>
      </c>
      <c r="NW20" s="174"/>
      <c r="NX20" s="141"/>
      <c r="NY20" s="142"/>
      <c r="NZ20" s="190" t="str">
        <f>IFERROR((((COUNTIF('Elève (6ème4)'!NW20:NY20,"A"))*4)+((COUNTIF('Elève (6ème4)'!NW20:NY20,"B"))*3)+((COUNTIF('Elève (6ème4)'!NW20:NY20,"C"))*2)+((COUNTIF('Elève (6ème4)'!NW20:NY20,"D"))*1))/(COUNTA(NW20:NY20)),"")</f>
        <v/>
      </c>
      <c r="OA20" s="191" t="str">
        <f t="shared" si="90"/>
        <v/>
      </c>
      <c r="OB20" s="190" t="str">
        <f>IF(COUNT(NP20,NU20,NZ20)=0,"",SUM(NP20,NU20,NZ20)/COUNT(NP20,NU20,NZ20))</f>
        <v/>
      </c>
      <c r="OC20" s="213" t="str">
        <f t="shared" si="91"/>
        <v/>
      </c>
      <c r="OD20" s="219"/>
      <c r="OE20" s="141"/>
      <c r="OF20" s="142"/>
      <c r="OG20" s="190" t="str">
        <f>IFERROR((((COUNTIF('Elève (6ème4)'!OD20:OF20,"A"))*4)+((COUNTIF('Elève (6ème4)'!OD20:OF20,"B"))*3)+((COUNTIF('Elève (6ème4)'!OD20:OF20,"C"))*2)+((COUNTIF('Elève (6ème4)'!OD20:OF20,"D"))*1))/(COUNTA(OD20:OF20)),"")</f>
        <v/>
      </c>
      <c r="OH20" s="191" t="str">
        <f t="shared" si="92"/>
        <v/>
      </c>
      <c r="OI20" s="174"/>
      <c r="OJ20" s="141"/>
      <c r="OK20" s="142"/>
      <c r="OL20" s="190" t="str">
        <f>IFERROR((((COUNTIF('Elève (6ème4)'!OI20:OK20,"A"))*4)+((COUNTIF('Elève (6ème4)'!OI20:OK20,"B"))*3)+((COUNTIF('Elève (6ème4)'!OI20:OK20,"C"))*2)+((COUNTIF('Elève (6ème4)'!OI20:OK20,"D"))*1))/(COUNTA(OI20:OK20)),"")</f>
        <v/>
      </c>
      <c r="OM20" s="191" t="str">
        <f t="shared" si="93"/>
        <v/>
      </c>
      <c r="ON20" s="174"/>
      <c r="OO20" s="141"/>
      <c r="OP20" s="142"/>
      <c r="OQ20" s="190" t="str">
        <f>IFERROR((((COUNTIF('Elève (6ème4)'!ON20:OP20,"A"))*4)+((COUNTIF('Elève (6ème4)'!ON20:OP20,"B"))*3)+((COUNTIF('Elève (6ème4)'!ON20:OP20,"C"))*2)+((COUNTIF('Elève (6ème4)'!ON20:OP20,"D"))*1))/(COUNTA(ON20:OP20)),"")</f>
        <v/>
      </c>
      <c r="OR20" s="191" t="str">
        <f t="shared" si="94"/>
        <v/>
      </c>
      <c r="OS20" s="190" t="str">
        <f>IF(COUNT(OG20,OL20,OQ20)=0,"",SUM(OG20,OL20,OQ20)/COUNT(OG20,OL20,OQ20))</f>
        <v/>
      </c>
      <c r="OT20" s="213" t="str">
        <f t="shared" si="95"/>
        <v/>
      </c>
      <c r="OU20" s="219"/>
      <c r="OV20" s="141"/>
      <c r="OW20" s="142"/>
      <c r="OX20" s="190" t="str">
        <f>IFERROR((((COUNTIF('Elève (6ème4)'!OU20:OW20,"A"))*4)+((COUNTIF('Elève (6ème4)'!OU20:OW20,"B"))*3)+((COUNTIF('Elève (6ème4)'!OU20:OW20,"C"))*2)+((COUNTIF('Elève (6ème4)'!OU20:OW20,"D"))*1))/(COUNTA(OU20:OW20)),"")</f>
        <v/>
      </c>
      <c r="OY20" s="191" t="str">
        <f t="shared" si="96"/>
        <v/>
      </c>
      <c r="OZ20" s="174"/>
      <c r="PA20" s="141"/>
      <c r="PB20" s="142"/>
      <c r="PC20" s="190" t="str">
        <f>IFERROR((((COUNTIF('Elève (6ème4)'!OZ20:PB20,"A"))*4)+((COUNTIF('Elève (6ème4)'!OZ20:PB20,"B"))*3)+((COUNTIF('Elève (6ème4)'!OZ20:PB20,"C"))*2)+((COUNTIF('Elève (6ème4)'!OZ20:PB20,"D"))*1))/(COUNTA(OZ20:PB20)),"")</f>
        <v/>
      </c>
      <c r="PD20" s="191" t="str">
        <f t="shared" si="97"/>
        <v/>
      </c>
      <c r="PE20" s="174"/>
      <c r="PF20" s="141"/>
      <c r="PG20" s="142"/>
      <c r="PH20" s="190" t="str">
        <f>IFERROR((((COUNTIF('Elève (6ème4)'!PE20:PG20,"A"))*4)+((COUNTIF('Elève (6ème4)'!PE20:PG20,"B"))*3)+((COUNTIF('Elève (6ème4)'!PE20:PG20,"C"))*2)+((COUNTIF('Elève (6ème4)'!PE20:PG20,"D"))*1))/(COUNTA(PE20:PG20)),"")</f>
        <v/>
      </c>
      <c r="PI20" s="191" t="str">
        <f t="shared" si="98"/>
        <v/>
      </c>
      <c r="PJ20" s="190" t="str">
        <f>IF(COUNT(OX20,PC20,PH20)=0,"",SUM(OX20,PC20,PH20)/COUNT(OX20,PC20,PH20))</f>
        <v/>
      </c>
      <c r="PK20" s="213" t="str">
        <f t="shared" si="99"/>
        <v/>
      </c>
      <c r="PL20" s="219"/>
      <c r="PM20" s="141"/>
      <c r="PN20" s="142"/>
      <c r="PO20" s="190" t="str">
        <f>IFERROR((((COUNTIF('Elève (6ème4)'!PL20:PN20,"A"))*4)+((COUNTIF('Elève (6ème4)'!PL20:PN20,"B"))*3)+((COUNTIF('Elève (6ème4)'!PL20:PN20,"C"))*2)+((COUNTIF('Elève (6ème4)'!PL20:PN20,"D"))*1))/(COUNTA(PL20:PN20)),"")</f>
        <v/>
      </c>
      <c r="PP20" s="191" t="str">
        <f t="shared" si="100"/>
        <v/>
      </c>
      <c r="PQ20" s="174"/>
      <c r="PR20" s="141"/>
      <c r="PS20" s="142"/>
      <c r="PT20" s="190" t="str">
        <f>IFERROR((((COUNTIF('Elève (6ème4)'!PQ20:PS20,"A"))*4)+((COUNTIF('Elève (6ème4)'!PQ20:PS20,"B"))*3)+((COUNTIF('Elève (6ème4)'!PQ20:PS20,"C"))*2)+((COUNTIF('Elève (6ème4)'!PQ20:PS20,"D"))*1))/(COUNTA(PQ20:PS20)),"")</f>
        <v/>
      </c>
      <c r="PU20" s="191" t="str">
        <f t="shared" si="101"/>
        <v/>
      </c>
      <c r="PV20" s="174"/>
      <c r="PW20" s="141"/>
      <c r="PX20" s="142"/>
      <c r="PY20" s="190" t="str">
        <f>IFERROR((((COUNTIF('Elève (6ème4)'!PV20:PX20,"A"))*4)+((COUNTIF('Elève (6ème4)'!PV20:PX20,"B"))*3)+((COUNTIF('Elève (6ème4)'!PV20:PX20,"C"))*2)+((COUNTIF('Elève (6ème4)'!PV20:PX20,"D"))*1))/(COUNTA(PV20:PX20)),"")</f>
        <v/>
      </c>
      <c r="PZ20" s="191" t="str">
        <f t="shared" si="102"/>
        <v/>
      </c>
      <c r="QA20" s="190" t="str">
        <f>IF(COUNT(PO20,PT20,PY20)=0,"",SUM(PO20,PT20,PY20)/COUNT(PO20,PT20,PY20))</f>
        <v/>
      </c>
      <c r="QB20" s="213" t="str">
        <f t="shared" si="103"/>
        <v/>
      </c>
      <c r="QC20" s="219"/>
      <c r="QD20" s="141"/>
      <c r="QE20" s="142"/>
      <c r="QF20" s="190" t="str">
        <f>IFERROR((((COUNTIF('Elève (6ème4)'!QC20:QE20,"A"))*4)+((COUNTIF('Elève (6ème4)'!QC20:QE20,"B"))*3)+((COUNTIF('Elève (6ème4)'!QC20:QE20,"C"))*2)+((COUNTIF('Elève (6ème4)'!QC20:QE20,"D"))*1))/(COUNTA(QC20:QE20)),"")</f>
        <v/>
      </c>
      <c r="QG20" s="191" t="str">
        <f t="shared" si="104"/>
        <v/>
      </c>
      <c r="QH20" s="174"/>
      <c r="QI20" s="141"/>
      <c r="QJ20" s="142"/>
      <c r="QK20" s="190" t="str">
        <f>IFERROR((((COUNTIF('Elève (6ème4)'!QH20:QJ20,"A"))*4)+((COUNTIF('Elève (6ème4)'!QH20:QJ20,"B"))*3)+((COUNTIF('Elève (6ème4)'!QH20:QJ20,"C"))*2)+((COUNTIF('Elève (6ème4)'!QH20:QJ20,"D"))*1))/(COUNTA(QH20:QJ20)),"")</f>
        <v/>
      </c>
      <c r="QL20" s="191" t="str">
        <f t="shared" si="105"/>
        <v/>
      </c>
      <c r="QM20" s="174"/>
      <c r="QN20" s="141"/>
      <c r="QO20" s="142"/>
      <c r="QP20" s="190" t="str">
        <f>IFERROR((((COUNTIF('Elève (6ème4)'!QM20:QO20,"A"))*4)+((COUNTIF('Elève (6ème4)'!QM20:QO20,"B"))*3)+((COUNTIF('Elève (6ème4)'!QM20:QO20,"C"))*2)+((COUNTIF('Elève (6ème4)'!QM20:QO20,"D"))*1))/(COUNTA(QM20:QO20)),"")</f>
        <v/>
      </c>
      <c r="QQ20" s="191" t="str">
        <f t="shared" si="106"/>
        <v/>
      </c>
      <c r="QR20" s="190" t="str">
        <f>IF(COUNT(QF20,QK20,QP20)=0,"",SUM(QF20,QK20,QP20)/COUNT(QF20,QK20,QP20))</f>
        <v/>
      </c>
      <c r="QS20" s="213" t="str">
        <f t="shared" si="107"/>
        <v/>
      </c>
      <c r="QT20" s="146"/>
      <c r="QU20" s="141"/>
      <c r="QV20" s="142"/>
      <c r="QW20" s="143" t="str">
        <f>IFERROR((((COUNTIF('Elève (6ème4)'!QT20:QV20,"A"))*4)+((COUNTIF('Elève (6ème4)'!QT20:QV20,"B"))*3)+((COUNTIF('Elève (6ème4)'!QT20:QV20,"C"))*2)+((COUNTIF('Elève (6ème4)'!QT20:QV20,"D"))*1))/(COUNTA(QT20:QV20)),"")</f>
        <v/>
      </c>
      <c r="QX20" s="144" t="str">
        <f t="shared" si="108"/>
        <v/>
      </c>
      <c r="QY20" s="140"/>
      <c r="QZ20" s="141"/>
      <c r="RA20" s="142"/>
      <c r="RB20" s="143" t="str">
        <f>IFERROR((((COUNTIF('Elève (6ème4)'!QY20:RA20,"A"))*4)+((COUNTIF('Elève (6ème4)'!QY20:RA20,"B"))*3)+((COUNTIF('Elève (6ème4)'!QY20:RA20,"C"))*2)+((COUNTIF('Elève (6ème4)'!QY20:RA20,"D"))*1))/(COUNTA(QY20:RA20)),"")</f>
        <v/>
      </c>
      <c r="RC20" s="144" t="str">
        <f t="shared" si="109"/>
        <v/>
      </c>
      <c r="RD20" s="140"/>
      <c r="RE20" s="141"/>
      <c r="RF20" s="142"/>
      <c r="RG20" s="143" t="str">
        <f>IFERROR((((COUNTIF('Elève (6ème4)'!RD20:RF20,"A"))*4)+((COUNTIF('Elève (6ème4)'!RD20:RF20,"B"))*3)+((COUNTIF('Elève (6ème4)'!RD20:RF20,"C"))*2)+((COUNTIF('Elève (6ème4)'!RD20:RF20,"D"))*1))/(COUNTA(RD20:RF20)),"")</f>
        <v/>
      </c>
      <c r="RH20" s="144" t="str">
        <f t="shared" si="110"/>
        <v/>
      </c>
      <c r="RI20" s="143" t="str">
        <f>IF(COUNT(QW20,RB20,RG20)=0,"",SUM(QW20,RB20,RG20)/COUNT(QW20,RB20,RG20))</f>
        <v/>
      </c>
      <c r="RJ20" s="145" t="str">
        <f t="shared" si="111"/>
        <v/>
      </c>
      <c r="RK20" s="146"/>
      <c r="RL20" s="141"/>
      <c r="RM20" s="142"/>
      <c r="RN20" s="143" t="str">
        <f>IFERROR((((COUNTIF('Elève (6ème4)'!RK20:RM20,"A"))*4)+((COUNTIF('Elève (6ème4)'!RK20:RM20,"B"))*3)+((COUNTIF('Elève (6ème4)'!RK20:RM20,"C"))*2)+((COUNTIF('Elève (6ème4)'!RK20:RM20,"D"))*1))/(COUNTA(RK20:RM20)),"")</f>
        <v/>
      </c>
      <c r="RO20" s="144" t="str">
        <f t="shared" si="112"/>
        <v/>
      </c>
      <c r="RP20" s="140"/>
      <c r="RQ20" s="141"/>
      <c r="RR20" s="142"/>
      <c r="RS20" s="143" t="str">
        <f>IFERROR((((COUNTIF('Elève (6ème4)'!RP20:RR20,"A"))*4)+((COUNTIF('Elève (6ème4)'!RP20:RR20,"B"))*3)+((COUNTIF('Elève (6ème4)'!RP20:RR20,"C"))*2)+((COUNTIF('Elève (6ème4)'!RP20:RR20,"D"))*1))/(COUNTA(RP20:RR20)),"")</f>
        <v/>
      </c>
      <c r="RT20" s="144" t="str">
        <f t="shared" si="113"/>
        <v/>
      </c>
      <c r="RU20" s="140"/>
      <c r="RV20" s="141"/>
      <c r="RW20" s="142"/>
      <c r="RX20" s="143" t="str">
        <f>IFERROR((((COUNTIF('Elève (6ème4)'!RU20:RW20,"A"))*4)+((COUNTIF('Elève (6ème4)'!RU20:RW20,"B"))*3)+((COUNTIF('Elève (6ème4)'!RU20:RW20,"C"))*2)+((COUNTIF('Elève (6ème4)'!RU20:RW20,"D"))*1))/(COUNTA(RU20:RW20)),"")</f>
        <v/>
      </c>
      <c r="RY20" s="144" t="str">
        <f t="shared" si="114"/>
        <v/>
      </c>
      <c r="RZ20" s="143" t="str">
        <f>IF(COUNT(RN20,RS20,RX20)=0,"",SUM(RN20,RS20,RX20)/COUNT(RN20,RS20,RX20))</f>
        <v/>
      </c>
      <c r="SA20" s="145" t="str">
        <f t="shared" si="115"/>
        <v/>
      </c>
      <c r="SB20" s="146"/>
      <c r="SC20" s="141"/>
      <c r="SD20" s="142"/>
      <c r="SE20" s="143" t="str">
        <f>IFERROR((((COUNTIF('Elève (6ème4)'!SB20:SD20,"A"))*4)+((COUNTIF('Elève (6ème4)'!SB20:SD20,"B"))*3)+((COUNTIF('Elève (6ème4)'!SB20:SD20,"C"))*2)+((COUNTIF('Elève (6ème4)'!SB20:SD20,"D"))*1))/(COUNTA(SB20:SD20)),"")</f>
        <v/>
      </c>
      <c r="SF20" s="144" t="str">
        <f t="shared" si="116"/>
        <v/>
      </c>
      <c r="SG20" s="140"/>
      <c r="SH20" s="141"/>
      <c r="SI20" s="142"/>
      <c r="SJ20" s="143" t="str">
        <f>IFERROR((((COUNTIF('Elève (6ème4)'!SG20:SI20,"A"))*4)+((COUNTIF('Elève (6ème4)'!SG20:SI20,"B"))*3)+((COUNTIF('Elève (6ème4)'!SG20:SI20,"C"))*2)+((COUNTIF('Elève (6ème4)'!SG20:SI20,"D"))*1))/(COUNTA(SG20:SI20)),"")</f>
        <v/>
      </c>
      <c r="SK20" s="144" t="str">
        <f t="shared" si="117"/>
        <v/>
      </c>
      <c r="SL20" s="140"/>
      <c r="SM20" s="141"/>
      <c r="SN20" s="142"/>
      <c r="SO20" s="143" t="str">
        <f>IFERROR((((COUNTIF('Elève (6ème4)'!SL20:SN20,"A"))*4)+((COUNTIF('Elève (6ème4)'!SL20:SN20,"B"))*3)+((COUNTIF('Elève (6ème4)'!SL20:SN20,"C"))*2)+((COUNTIF('Elève (6ème4)'!SL20:SN20,"D"))*1))/(COUNTA(SL20:SN20)),"")</f>
        <v/>
      </c>
      <c r="SP20" s="144" t="str">
        <f t="shared" si="118"/>
        <v/>
      </c>
      <c r="SQ20" s="143" t="str">
        <f>IF(COUNT(SE20,SJ20,SO20)=0,"",SUM(SE20,SJ20,SO20)/COUNT(SE20,SJ20,SO20))</f>
        <v/>
      </c>
      <c r="SR20" s="145" t="str">
        <f t="shared" si="119"/>
        <v/>
      </c>
      <c r="SS20" s="146"/>
      <c r="ST20" s="141"/>
      <c r="SU20" s="142"/>
      <c r="SV20" s="143" t="str">
        <f>IFERROR((((COUNTIF('Elève (6ème4)'!SS20:SU20,"A"))*4)+((COUNTIF('Elève (6ème4)'!SS20:SU20,"B"))*3)+((COUNTIF('Elève (6ème4)'!SS20:SU20,"C"))*2)+((COUNTIF('Elève (6ème4)'!SS20:SU20,"D"))*1))/(COUNTA(SS20:SU20)),"")</f>
        <v/>
      </c>
      <c r="SW20" s="144" t="str">
        <f t="shared" si="120"/>
        <v/>
      </c>
      <c r="SX20" s="140"/>
      <c r="SY20" s="141"/>
      <c r="SZ20" s="142"/>
      <c r="TA20" s="143" t="str">
        <f>IFERROR((((COUNTIF('Elève (6ème4)'!SX20:SZ20,"A"))*4)+((COUNTIF('Elève (6ème4)'!SX20:SZ20,"B"))*3)+((COUNTIF('Elève (6ème4)'!SX20:SZ20,"C"))*2)+((COUNTIF('Elève (6ème4)'!SX20:SZ20,"D"))*1))/(COUNTA(SX20:SZ20)),"")</f>
        <v/>
      </c>
      <c r="TB20" s="144" t="str">
        <f t="shared" si="121"/>
        <v/>
      </c>
      <c r="TC20" s="140"/>
      <c r="TD20" s="141"/>
      <c r="TE20" s="142"/>
      <c r="TF20" s="143" t="str">
        <f>IFERROR((((COUNTIF('Elève (6ème4)'!TC20:TE20,"A"))*4)+((COUNTIF('Elève (6ème4)'!TC20:TE20,"B"))*3)+((COUNTIF('Elève (6ème4)'!TC20:TE20,"C"))*2)+((COUNTIF('Elève (6ème4)'!TC20:TE20,"D"))*1))/(COUNTA(TC20:TE20)),"")</f>
        <v/>
      </c>
      <c r="TG20" s="144" t="str">
        <f t="shared" si="122"/>
        <v/>
      </c>
      <c r="TH20" s="143" t="str">
        <f>IF(COUNT(SV20,TA20,TF20)=0,"",SUM(SV20,TA20,TF20)/COUNT(SV20,TA20,TF20))</f>
        <v/>
      </c>
      <c r="TI20" s="145" t="str">
        <f t="shared" si="123"/>
        <v/>
      </c>
      <c r="TJ20" s="146"/>
      <c r="TK20" s="141"/>
      <c r="TL20" s="142"/>
      <c r="TM20" s="143" t="str">
        <f>IFERROR((((COUNTIF('Elève (6ème4)'!TJ20:TL20,"A"))*4)+((COUNTIF('Elève (6ème4)'!TJ20:TL20,"B"))*3)+((COUNTIF('Elève (6ème4)'!TJ20:TL20,"C"))*2)+((COUNTIF('Elève (6ème4)'!TJ20:TL20,"D"))*1))/(COUNTA(TJ20:TL20)),"")</f>
        <v/>
      </c>
      <c r="TN20" s="144" t="str">
        <f t="shared" si="124"/>
        <v/>
      </c>
      <c r="TO20" s="140"/>
      <c r="TP20" s="141"/>
      <c r="TQ20" s="142"/>
      <c r="TR20" s="143" t="str">
        <f>IFERROR((((COUNTIF('Elève (6ème4)'!TO20:TQ20,"A"))*4)+((COUNTIF('Elève (6ème4)'!TO20:TQ20,"B"))*3)+((COUNTIF('Elève (6ème4)'!TO20:TQ20,"C"))*2)+((COUNTIF('Elève (6ème4)'!TO20:TQ20,"D"))*1))/(COUNTA(TO20:TQ20)),"")</f>
        <v/>
      </c>
      <c r="TS20" s="144" t="str">
        <f t="shared" si="125"/>
        <v/>
      </c>
      <c r="TT20" s="140"/>
      <c r="TU20" s="141"/>
      <c r="TV20" s="142"/>
      <c r="TW20" s="143" t="str">
        <f>IFERROR((((COUNTIF('Elève (6ème4)'!TT20:TV20,"A"))*4)+((COUNTIF('Elève (6ème4)'!TT20:TV20,"B"))*3)+((COUNTIF('Elève (6ème4)'!TT20:TV20,"C"))*2)+((COUNTIF('Elève (6ème4)'!TT20:TV20,"D"))*1))/(COUNTA(TT20:TV20)),"")</f>
        <v/>
      </c>
      <c r="TX20" s="144" t="str">
        <f t="shared" si="126"/>
        <v/>
      </c>
      <c r="TY20" s="143" t="str">
        <f>IF(COUNT(TM20,TR20,TW20)=0,"",SUM(TM20,TR20,TW20)/COUNT(TM20,TR20,TW20))</f>
        <v/>
      </c>
      <c r="TZ20" s="145" t="str">
        <f t="shared" si="127"/>
        <v/>
      </c>
    </row>
    <row r="21" spans="1:546" ht="15.75" thickBot="1" x14ac:dyDescent="0.3">
      <c r="A21" s="258" t="s">
        <v>22</v>
      </c>
      <c r="B21" s="259"/>
      <c r="C21" s="147"/>
      <c r="D21" s="147"/>
      <c r="E21" s="147"/>
      <c r="F21" s="192">
        <f>IF(COUNT(F18,F14,F12,F7,F4)=0,"",SUM($B$4*IF(COUNT(F4)=0,0,F4),$B$7*IF(COUNT(F7)=0,0,F7),$B$12*IF(COUNT(F12)=0,0,F12),$B$14*IF(COUNT(F14)=0,0,F14),$B$18*IF(COUNT(F18)=0,0,F18))/SUM($B$4*COUNT(F4),$B$7*COUNT(F7),$B$12*COUNT(F12),$B$14*COUNT(F14),$B$18*COUNT(F18)))</f>
        <v>2.5</v>
      </c>
      <c r="G21" s="193">
        <f>IF(F21="","",F21*5)</f>
        <v>12.5</v>
      </c>
      <c r="H21" s="150"/>
      <c r="I21" s="150"/>
      <c r="J21" s="150"/>
      <c r="K21" s="192">
        <f>IF(COUNT(K18,K14,K12,K7,K4)=0,"",SUM($B$4*IF(COUNT(K4)=0,0,K4),$B$7*IF(COUNT(K7)=0,0,K7),$B$12*IF(COUNT(K12)=0,0,K12),$B$14*IF(COUNT(K14)=0,0,K14),$B$18*IF(COUNT(K18)=0,0,K18))/SUM($B$4*COUNT(K4),$B$7*COUNT(K7),$B$12*COUNT(K12),$B$14*COUNT(K14),$B$18*COUNT(K18)))</f>
        <v>4</v>
      </c>
      <c r="L21" s="199">
        <f>IF(K21="","",K21*5)</f>
        <v>20</v>
      </c>
      <c r="M21" s="150"/>
      <c r="N21" s="150"/>
      <c r="O21" s="150"/>
      <c r="P21" s="192">
        <f>IF(COUNT(P18,P14,P12,P7,P4)=0,"",SUM($B$4*IF(COUNT(P4)=0,0,P4),$B$7*IF(COUNT(P7)=0,0,P7),$B$12*IF(COUNT(P12)=0,0,P12),$B$14*IF(COUNT(P14)=0,0,P14),$B$18*IF(COUNT(P18)=0,0,P18))/SUM($B$4*COUNT(P4),$B$7*COUNT(P7),$B$12*COUNT(P12),$B$14*COUNT(P14),$B$18*COUNT(P18)))</f>
        <v>4.020833333333333</v>
      </c>
      <c r="Q21" s="214">
        <f>IF(P21="","",P21*5)</f>
        <v>20.104166666666664</v>
      </c>
      <c r="R21" s="215"/>
      <c r="S21" s="215"/>
      <c r="T21" s="147"/>
      <c r="U21" s="147"/>
      <c r="V21" s="147"/>
      <c r="W21" s="192">
        <f>IF(COUNT(W18,W14,W12,W7,W4)=0,"",SUM($B$4*IF(COUNT(W4)=0,0,W4),$B$7*IF(COUNT(W7)=0,0,W7),$B$12*IF(COUNT(W12)=0,0,W12),$B$14*IF(COUNT(W14)=0,0,W14),$B$18*IF(COUNT(W18)=0,0,W18))/SUM($B$4*COUNT(W4),$B$7*COUNT(W7),$B$12*COUNT(W12),$B$14*COUNT(W14),$B$18*COUNT(W18)))</f>
        <v>2.5416666666666665</v>
      </c>
      <c r="X21" s="193">
        <f>IF(W21="","",W21*5)</f>
        <v>12.708333333333332</v>
      </c>
      <c r="Y21" s="150"/>
      <c r="Z21" s="150"/>
      <c r="AA21" s="150"/>
      <c r="AB21" s="192">
        <f>IF(COUNT(AB18,AB14,AB12,AB7,AB4)=0,"",SUM($B$4*IF(COUNT(AB4)=0,0,AB4),$B$7*IF(COUNT(AB7)=0,0,AB7),$B$12*IF(COUNT(AB12)=0,0,AB12),$B$14*IF(COUNT(AB14)=0,0,AB14),$B$18*IF(COUNT(AB18)=0,0,AB18))/SUM($B$4*COUNT(AB4),$B$7*COUNT(AB7),$B$12*COUNT(AB12),$B$14*COUNT(AB14),$B$18*COUNT(AB18)))</f>
        <v>4</v>
      </c>
      <c r="AC21" s="199">
        <f>IF(AB21="","",AB21*5)</f>
        <v>20</v>
      </c>
      <c r="AD21" s="150"/>
      <c r="AE21" s="150"/>
      <c r="AF21" s="150"/>
      <c r="AG21" s="192">
        <f>IF(COUNT(AG18,AG14,AG12,AG7,AG4)=0,"",SUM($B$4*IF(COUNT(AG4)=0,0,AG4),$B$7*IF(COUNT(AG7)=0,0,AG7),$B$12*IF(COUNT(AG12)=0,0,AG12),$B$14*IF(COUNT(AG14)=0,0,AG14),$B$18*IF(COUNT(AG18)=0,0,AG18))/SUM($B$4*COUNT(AG4),$B$7*COUNT(AG7),$B$12*COUNT(AG12),$B$14*COUNT(AG14),$B$18*COUNT(AG18)))</f>
        <v>4.145833333333333</v>
      </c>
      <c r="AH21" s="214">
        <f>IF(AG21="","",AG21*5)</f>
        <v>20.729166666666664</v>
      </c>
      <c r="AI21" s="215"/>
      <c r="AJ21" s="215"/>
      <c r="AK21" s="147"/>
      <c r="AL21" s="147"/>
      <c r="AM21" s="147"/>
      <c r="AN21" s="192">
        <f>IF(COUNT(AN18,AN14,AN12,AN7,AN4)=0,"",SUM($B$4*IF(COUNT(AN4)=0,0,AN4),$B$7*IF(COUNT(AN7)=0,0,AN7),$B$12*IF(COUNT(AN12)=0,0,AN12),$B$14*IF(COUNT(AN14)=0,0,AN14),$B$18*IF(COUNT(AN18)=0,0,AN18))/SUM($B$4*COUNT(AN4),$B$7*COUNT(AN7),$B$12*COUNT(AN12),$B$14*COUNT(AN14),$B$18*COUNT(AN18)))</f>
        <v>2.875</v>
      </c>
      <c r="AO21" s="193">
        <f>IF(AN21="","",AN21*5)</f>
        <v>14.375</v>
      </c>
      <c r="AP21" s="150"/>
      <c r="AQ21" s="150"/>
      <c r="AR21" s="150"/>
      <c r="AS21" s="192">
        <f>IF(COUNT(AS18,AS14,AS12,AS7,AS4)=0,"",SUM($B$4*IF(COUNT(AS4)=0,0,AS4),$B$7*IF(COUNT(AS7)=0,0,AS7),$B$12*IF(COUNT(AS12)=0,0,AS12),$B$14*IF(COUNT(AS14)=0,0,AS14),$B$18*IF(COUNT(AS18)=0,0,AS18))/SUM($B$4*COUNT(AS4),$B$7*COUNT(AS7),$B$12*COUNT(AS12),$B$14*COUNT(AS14),$B$18*COUNT(AS18)))</f>
        <v>4</v>
      </c>
      <c r="AT21" s="199">
        <f>IF(AS21="","",AS21*5)</f>
        <v>20</v>
      </c>
      <c r="AU21" s="150"/>
      <c r="AV21" s="150"/>
      <c r="AW21" s="150"/>
      <c r="AX21" s="192">
        <f>IF(COUNT(AX18,AX14,AX12,AX7,AX4)=0,"",SUM($B$4*IF(COUNT(AX4)=0,0,AX4),$B$7*IF(COUNT(AX7)=0,0,AX7),$B$12*IF(COUNT(AX12)=0,0,AX12),$B$14*IF(COUNT(AX14)=0,0,AX14),$B$18*IF(COUNT(AX18)=0,0,AX18))/SUM($B$4*COUNT(AX4),$B$7*COUNT(AX7),$B$12*COUNT(AX12),$B$14*COUNT(AX14),$B$18*COUNT(AX18)))</f>
        <v>4.291666666666667</v>
      </c>
      <c r="AY21" s="214">
        <f>IF(AX21="","",AX21*5)</f>
        <v>21.458333333333336</v>
      </c>
      <c r="AZ21" s="215"/>
      <c r="BA21" s="215"/>
      <c r="BB21" s="147"/>
      <c r="BC21" s="147"/>
      <c r="BD21" s="147"/>
      <c r="BE21" s="192">
        <f>IF(COUNT(BE18,BE14,BE12,BE7,BE4)=0,"",SUM($B$4*IF(COUNT(BE4)=0,0,BE4),$B$7*IF(COUNT(BE7)=0,0,BE7),$B$12*IF(COUNT(BE12)=0,0,BE12),$B$14*IF(COUNT(BE14)=0,0,BE14),$B$18*IF(COUNT(BE18)=0,0,BE18))/SUM($B$4*COUNT(BE4),$B$7*COUNT(BE7),$B$12*COUNT(BE12),$B$14*COUNT(BE14),$B$18*COUNT(BE18)))</f>
        <v>2.7083333333333335</v>
      </c>
      <c r="BF21" s="193">
        <f>IF(BE21="","",BE21*5)</f>
        <v>13.541666666666668</v>
      </c>
      <c r="BG21" s="150"/>
      <c r="BH21" s="150"/>
      <c r="BI21" s="150"/>
      <c r="BJ21" s="192">
        <f>IF(COUNT(BJ18,BJ14,BJ12,BJ7,BJ4)=0,"",SUM($B$4*IF(COUNT(BJ4)=0,0,BJ4),$B$7*IF(COUNT(BJ7)=0,0,BJ7),$B$12*IF(COUNT(BJ12)=0,0,BJ12),$B$14*IF(COUNT(BJ14)=0,0,BJ14),$B$18*IF(COUNT(BJ18)=0,0,BJ18))/SUM($B$4*COUNT(BJ4),$B$7*COUNT(BJ7),$B$12*COUNT(BJ12),$B$14*COUNT(BJ14),$B$18*COUNT(BJ18)))</f>
        <v>4</v>
      </c>
      <c r="BK21" s="199">
        <f>IF(BJ21="","",BJ21*5)</f>
        <v>20</v>
      </c>
      <c r="BL21" s="150"/>
      <c r="BM21" s="150"/>
      <c r="BN21" s="150"/>
      <c r="BO21" s="192">
        <f>IF(COUNT(BO18,BO14,BO12,BO7,BO4)=0,"",SUM($B$4*IF(COUNT(BO4)=0,0,BO4),$B$7*IF(COUNT(BO7)=0,0,BO7),$B$12*IF(COUNT(BO12)=0,0,BO12),$B$14*IF(COUNT(BO14)=0,0,BO14),$B$18*IF(COUNT(BO18)=0,0,BO18))/SUM($B$4*COUNT(BO4),$B$7*COUNT(BO7),$B$12*COUNT(BO12),$B$14*COUNT(BO14),$B$18*COUNT(BO18)))</f>
        <v>3.9444444444444446</v>
      </c>
      <c r="BP21" s="214">
        <f>IF(BO21="","",BO21*5)</f>
        <v>19.722222222222221</v>
      </c>
      <c r="BQ21" s="215"/>
      <c r="BR21" s="215"/>
      <c r="BS21" s="147"/>
      <c r="BT21" s="147"/>
      <c r="BU21" s="147"/>
      <c r="BV21" s="192">
        <f>IF(COUNT(BV18,BV14,BV12,BV7,BV4)=0,"",SUM($B$4*IF(COUNT(BV4)=0,0,BV4),$B$7*IF(COUNT(BV7)=0,0,BV7),$B$12*IF(COUNT(BV12)=0,0,BV12),$B$14*IF(COUNT(BV14)=0,0,BV14),$B$18*IF(COUNT(BV18)=0,0,BV18))/SUM($B$4*COUNT(BV4),$B$7*COUNT(BV7),$B$12*COUNT(BV12),$B$14*COUNT(BV14),$B$18*COUNT(BV18)))</f>
        <v>2.4583333333333335</v>
      </c>
      <c r="BW21" s="193">
        <f>IF(BV21="","",BV21*5)</f>
        <v>12.291666666666668</v>
      </c>
      <c r="BX21" s="150"/>
      <c r="BY21" s="150"/>
      <c r="BZ21" s="150"/>
      <c r="CA21" s="192">
        <f>IF(COUNT(CA18,CA14,CA12,CA7,CA4)=0,"",SUM($B$4*IF(COUNT(CA4)=0,0,CA4),$B$7*IF(COUNT(CA7)=0,0,CA7),$B$12*IF(COUNT(CA12)=0,0,CA12),$B$14*IF(COUNT(CA14)=0,0,CA14),$B$18*IF(COUNT(CA18)=0,0,CA18))/SUM($B$4*COUNT(CA4),$B$7*COUNT(CA7),$B$12*COUNT(CA12),$B$14*COUNT(CA14),$B$18*COUNT(CA18)))</f>
        <v>2</v>
      </c>
      <c r="CB21" s="199">
        <f>IF(CA21="","",CA21*5)</f>
        <v>10</v>
      </c>
      <c r="CC21" s="150"/>
      <c r="CD21" s="150"/>
      <c r="CE21" s="150"/>
      <c r="CF21" s="192">
        <f>IF(COUNT(CF18,CF14,CF12,CF7,CF4)=0,"",SUM($B$4*IF(COUNT(CF4)=0,0,CF4),$B$7*IF(COUNT(CF7)=0,0,CF7),$B$12*IF(COUNT(CF12)=0,0,CF12),$B$14*IF(COUNT(CF14)=0,0,CF14),$B$18*IF(COUNT(CF18)=0,0,CF18))/SUM($B$4*COUNT(CF4),$B$7*COUNT(CF7),$B$12*COUNT(CF12),$B$14*COUNT(CF14),$B$18*COUNT(CF18)))</f>
        <v>3.8125</v>
      </c>
      <c r="CG21" s="214">
        <f>IF(CF21="","",CF21*5)</f>
        <v>19.0625</v>
      </c>
      <c r="CH21" s="215"/>
      <c r="CI21" s="215"/>
      <c r="CJ21" s="147"/>
      <c r="CK21" s="147"/>
      <c r="CL21" s="147"/>
      <c r="CM21" s="192">
        <f>IF(COUNT(CM18,CM14,CM12,CM7,CM4)=0,"",SUM($B$4*IF(COUNT(CM4)=0,0,CM4),$B$7*IF(COUNT(CM7)=0,0,CM7),$B$12*IF(COUNT(CM12)=0,0,CM12),$B$14*IF(COUNT(CM14)=0,0,CM14),$B$18*IF(COUNT(CM18)=0,0,CM18))/SUM($B$4*COUNT(CM4),$B$7*COUNT(CM7),$B$12*COUNT(CM12),$B$14*COUNT(CM14),$B$18*COUNT(CM18)))</f>
        <v>2.8333333333333335</v>
      </c>
      <c r="CN21" s="193">
        <f>IF(CM21="","",CM21*5)</f>
        <v>14.166666666666668</v>
      </c>
      <c r="CO21" s="150"/>
      <c r="CP21" s="150"/>
      <c r="CQ21" s="150"/>
      <c r="CR21" s="192">
        <f>IF(COUNT(CR18,CR14,CR12,CR7,CR4)=0,"",SUM($B$4*IF(COUNT(CR4)=0,0,CR4),$B$7*IF(COUNT(CR7)=0,0,CR7),$B$12*IF(COUNT(CR12)=0,0,CR12),$B$14*IF(COUNT(CR14)=0,0,CR14),$B$18*IF(COUNT(CR18)=0,0,CR18))/SUM($B$4*COUNT(CR4),$B$7*COUNT(CR7),$B$12*COUNT(CR12),$B$14*COUNT(CR14),$B$18*COUNT(CR18)))</f>
        <v>4</v>
      </c>
      <c r="CS21" s="199">
        <f>IF(CR21="","",CR21*5)</f>
        <v>20</v>
      </c>
      <c r="CT21" s="150"/>
      <c r="CU21" s="150"/>
      <c r="CV21" s="150"/>
      <c r="CW21" s="192">
        <f>IF(COUNT(CW18,CW14,CW12,CW7,CW4)=0,"",SUM($B$4*IF(COUNT(CW4)=0,0,CW4),$B$7*IF(COUNT(CW7)=0,0,CW7),$B$12*IF(COUNT(CW12)=0,0,CW12),$B$14*IF(COUNT(CW14)=0,0,CW14),$B$18*IF(COUNT(CW18)=0,0,CW18))/SUM($B$4*COUNT(CW4),$B$7*COUNT(CW7),$B$12*COUNT(CW12),$B$14*COUNT(CW14),$B$18*COUNT(CW18)))</f>
        <v>4.208333333333333</v>
      </c>
      <c r="CX21" s="214">
        <f>IF(CW21="","",CW21*5)</f>
        <v>21.041666666666664</v>
      </c>
      <c r="CY21" s="215"/>
      <c r="CZ21" s="215"/>
      <c r="DA21" s="147"/>
      <c r="DB21" s="147"/>
      <c r="DC21" s="147"/>
      <c r="DD21" s="192">
        <f>IF(COUNT(DD18,DD14,DD12,DD7,DD4)=0,"",SUM($B$4*IF(COUNT(DD4)=0,0,DD4),$B$7*IF(COUNT(DD7)=0,0,DD7),$B$12*IF(COUNT(DD12)=0,0,DD12),$B$14*IF(COUNT(DD14)=0,0,DD14),$B$18*IF(COUNT(DD18)=0,0,DD18))/SUM($B$4*COUNT(DD4),$B$7*COUNT(DD7),$B$12*COUNT(DD12),$B$14*COUNT(DD14),$B$18*COUNT(DD18)))</f>
        <v>2.75</v>
      </c>
      <c r="DE21" s="193">
        <f>IF(DD21="","",DD21*5)</f>
        <v>13.75</v>
      </c>
      <c r="DF21" s="150"/>
      <c r="DG21" s="150"/>
      <c r="DH21" s="150"/>
      <c r="DI21" s="192">
        <f>IF(COUNT(DI18,DI14,DI12,DI7,DI4)=0,"",SUM($B$4*IF(COUNT(DI4)=0,0,DI4),$B$7*IF(COUNT(DI7)=0,0,DI7),$B$12*IF(COUNT(DI12)=0,0,DI12),$B$14*IF(COUNT(DI14)=0,0,DI14),$B$18*IF(COUNT(DI18)=0,0,DI18))/SUM($B$4*COUNT(DI4),$B$7*COUNT(DI7),$B$12*COUNT(DI12),$B$14*COUNT(DI14),$B$18*COUNT(DI18)))</f>
        <v>2</v>
      </c>
      <c r="DJ21" s="199">
        <f>IF(DI21="","",DI21*5)</f>
        <v>10</v>
      </c>
      <c r="DK21" s="150"/>
      <c r="DL21" s="150"/>
      <c r="DM21" s="150"/>
      <c r="DN21" s="192">
        <f>IF(COUNT(DN18,DN14,DN12,DN7,DN4)=0,"",SUM($B$4*IF(COUNT(DN4)=0,0,DN4),$B$7*IF(COUNT(DN7)=0,0,DN7),$B$12*IF(COUNT(DN12)=0,0,DN12),$B$14*IF(COUNT(DN14)=0,0,DN14),$B$18*IF(COUNT(DN18)=0,0,DN18))/SUM($B$4*COUNT(DN4),$B$7*COUNT(DN7),$B$12*COUNT(DN12),$B$14*COUNT(DN14),$B$18*COUNT(DN18)))</f>
        <v>3.7708333333333335</v>
      </c>
      <c r="DO21" s="214">
        <f>IF(DN21="","",DN21*5)</f>
        <v>18.854166666666668</v>
      </c>
      <c r="DP21" s="215"/>
      <c r="DQ21" s="215"/>
      <c r="DR21" s="147"/>
      <c r="DS21" s="147"/>
      <c r="DT21" s="147"/>
      <c r="DU21" s="192">
        <f>IF(COUNT(DU18,DU14,DU12,DU7,DU4)=0,"",SUM($B$4*IF(COUNT(DU4)=0,0,DU4),$B$7*IF(COUNT(DU7)=0,0,DU7),$B$12*IF(COUNT(DU12)=0,0,DU12),$B$14*IF(COUNT(DU14)=0,0,DU14),$B$18*IF(COUNT(DU18)=0,0,DU18))/SUM($B$4*COUNT(DU4),$B$7*COUNT(DU7),$B$12*COUNT(DU12),$B$14*COUNT(DU14),$B$18*COUNT(DU18)))</f>
        <v>2.0416666666666665</v>
      </c>
      <c r="DV21" s="193">
        <f>IF(DU21="","",DU21*5)</f>
        <v>10.208333333333332</v>
      </c>
      <c r="DW21" s="150"/>
      <c r="DX21" s="150"/>
      <c r="DY21" s="150"/>
      <c r="DZ21" s="192">
        <f>IF(COUNT(DZ18,DZ14,DZ12,DZ7,DZ4)=0,"",SUM($B$4*IF(COUNT(DZ4)=0,0,DZ4),$B$7*IF(COUNT(DZ7)=0,0,DZ7),$B$12*IF(COUNT(DZ12)=0,0,DZ12),$B$14*IF(COUNT(DZ14)=0,0,DZ14),$B$18*IF(COUNT(DZ18)=0,0,DZ18))/SUM($B$4*COUNT(DZ4),$B$7*COUNT(DZ7),$B$12*COUNT(DZ12),$B$14*COUNT(DZ14),$B$18*COUNT(DZ18)))</f>
        <v>4</v>
      </c>
      <c r="EA21" s="199">
        <f>IF(DZ21="","",DZ21*5)</f>
        <v>20</v>
      </c>
      <c r="EB21" s="150"/>
      <c r="EC21" s="150"/>
      <c r="ED21" s="150"/>
      <c r="EE21" s="192">
        <f>IF(COUNT(EE18,EE14,EE12,EE7,EE4)=0,"",SUM($B$4*IF(COUNT(EE4)=0,0,EE4),$B$7*IF(COUNT(EE7)=0,0,EE7),$B$12*IF(COUNT(EE12)=0,0,EE12),$B$14*IF(COUNT(EE14)=0,0,EE14),$B$18*IF(COUNT(EE18)=0,0,EE18))/SUM($B$4*COUNT(EE4),$B$7*COUNT(EE7),$B$12*COUNT(EE12),$B$14*COUNT(EE14),$B$18*COUNT(EE18)))</f>
        <v>3.4166666666666665</v>
      </c>
      <c r="EF21" s="214">
        <f>IF(EE21="","",EE21*5)</f>
        <v>17.083333333333332</v>
      </c>
      <c r="EG21" s="215"/>
      <c r="EH21" s="215"/>
      <c r="EI21" s="147"/>
      <c r="EJ21" s="147"/>
      <c r="EK21" s="147"/>
      <c r="EL21" s="192">
        <f>IF(COUNT(EL18,EL14,EL12,EL7,EL4)=0,"",SUM($B$4*IF(COUNT(EL4)=0,0,EL4),$B$7*IF(COUNT(EL7)=0,0,EL7),$B$12*IF(COUNT(EL12)=0,0,EL12),$B$14*IF(COUNT(EL14)=0,0,EL14),$B$18*IF(COUNT(EL18)=0,0,EL18))/SUM($B$4*COUNT(EL4),$B$7*COUNT(EL7),$B$12*COUNT(EL12),$B$14*COUNT(EL14),$B$18*COUNT(EL18)))</f>
        <v>2.4583333333333335</v>
      </c>
      <c r="EM21" s="193">
        <f>IF(EL21="","",EL21*5)</f>
        <v>12.291666666666668</v>
      </c>
      <c r="EN21" s="150"/>
      <c r="EO21" s="150"/>
      <c r="EP21" s="150"/>
      <c r="EQ21" s="192">
        <f>IF(COUNT(EQ18,EQ14,EQ12,EQ7,EQ4)=0,"",SUM($B$4*IF(COUNT(EQ4)=0,0,EQ4),$B$7*IF(COUNT(EQ7)=0,0,EQ7),$B$12*IF(COUNT(EQ12)=0,0,EQ12),$B$14*IF(COUNT(EQ14)=0,0,EQ14),$B$18*IF(COUNT(EQ18)=0,0,EQ18))/SUM($B$4*COUNT(EQ4),$B$7*COUNT(EQ7),$B$12*COUNT(EQ12),$B$14*COUNT(EQ14),$B$18*COUNT(EQ18)))</f>
        <v>4</v>
      </c>
      <c r="ER21" s="199">
        <f>IF(EQ21="","",EQ21*5)</f>
        <v>20</v>
      </c>
      <c r="ES21" s="150"/>
      <c r="ET21" s="150"/>
      <c r="EU21" s="150"/>
      <c r="EV21" s="192">
        <f>IF(COUNT(EV18,EV14,EV12,EV7,EV4)=0,"",SUM($B$4*IF(COUNT(EV4)=0,0,EV4),$B$7*IF(COUNT(EV7)=0,0,EV7),$B$12*IF(COUNT(EV12)=0,0,EV12),$B$14*IF(COUNT(EV14)=0,0,EV14),$B$18*IF(COUNT(EV18)=0,0,EV18))/SUM($B$4*COUNT(EV4),$B$7*COUNT(EV7),$B$12*COUNT(EV12),$B$14*COUNT(EV14),$B$18*COUNT(EV18)))</f>
        <v>4.291666666666667</v>
      </c>
      <c r="EW21" s="214">
        <f>IF(EV21="","",EV21*5)</f>
        <v>21.458333333333336</v>
      </c>
      <c r="EX21" s="215"/>
      <c r="EY21" s="215"/>
      <c r="EZ21" s="147"/>
      <c r="FA21" s="147"/>
      <c r="FB21" s="147"/>
      <c r="FC21" s="192">
        <f>IF(COUNT(FC18,FC14,FC12,FC7,FC4)=0,"",SUM($B$4*IF(COUNT(FC4)=0,0,FC4),$B$7*IF(COUNT(FC7)=0,0,FC7),$B$12*IF(COUNT(FC12)=0,0,FC12),$B$14*IF(COUNT(FC14)=0,0,FC14),$B$18*IF(COUNT(FC18)=0,0,FC18))/SUM($B$4*COUNT(FC4),$B$7*COUNT(FC7),$B$12*COUNT(FC12),$B$14*COUNT(FC14),$B$18*COUNT(FC18)))</f>
        <v>3</v>
      </c>
      <c r="FD21" s="193">
        <f>IF(FC21="","",FC21*5)</f>
        <v>15</v>
      </c>
      <c r="FE21" s="150"/>
      <c r="FF21" s="150"/>
      <c r="FG21" s="150"/>
      <c r="FH21" s="192">
        <f>IF(COUNT(FH18,FH14,FH12,FH7,FH4)=0,"",SUM($B$4*IF(COUNT(FH4)=0,0,FH4),$B$7*IF(COUNT(FH7)=0,0,FH7),$B$12*IF(COUNT(FH12)=0,0,FH12),$B$14*IF(COUNT(FH14)=0,0,FH14),$B$18*IF(COUNT(FH18)=0,0,FH18))/SUM($B$4*COUNT(FH4),$B$7*COUNT(FH7),$B$12*COUNT(FH12),$B$14*COUNT(FH14),$B$18*COUNT(FH18)))</f>
        <v>4</v>
      </c>
      <c r="FI21" s="199">
        <f>IF(FH21="","",FH21*5)</f>
        <v>20</v>
      </c>
      <c r="FJ21" s="150"/>
      <c r="FK21" s="150"/>
      <c r="FL21" s="150"/>
      <c r="FM21" s="192">
        <f>IF(COUNT(FM18,FM14,FM12,FM7,FM4)=0,"",SUM($B$4*IF(COUNT(FM4)=0,0,FM4),$B$7*IF(COUNT(FM7)=0,0,FM7),$B$12*IF(COUNT(FM12)=0,0,FM12),$B$14*IF(COUNT(FM14)=0,0,FM14),$B$18*IF(COUNT(FM18)=0,0,FM18))/SUM($B$4*COUNT(FM4),$B$7*COUNT(FM7),$B$12*COUNT(FM12),$B$14*COUNT(FM14),$B$18*COUNT(FM18)))</f>
        <v>4.083333333333333</v>
      </c>
      <c r="FN21" s="214">
        <f>IF(FM21="","",FM21*5)</f>
        <v>20.416666666666664</v>
      </c>
      <c r="FO21" s="215"/>
      <c r="FP21" s="215"/>
      <c r="FQ21" s="147"/>
      <c r="FR21" s="147"/>
      <c r="FS21" s="147"/>
      <c r="FT21" s="192">
        <f>IF(COUNT(FT18,FT14,FT12,FT7,FT4)=0,"",SUM($B$4*IF(COUNT(FT4)=0,0,FT4),$B$7*IF(COUNT(FT7)=0,0,FT7),$B$12*IF(COUNT(FT12)=0,0,FT12),$B$14*IF(COUNT(FT14)=0,0,FT14),$B$18*IF(COUNT(FT18)=0,0,FT18))/SUM($B$4*COUNT(FT4),$B$7*COUNT(FT7),$B$12*COUNT(FT12),$B$14*COUNT(FT14),$B$18*COUNT(FT18)))</f>
        <v>2.5416666666666665</v>
      </c>
      <c r="FU21" s="193">
        <f>IF(FT21="","",FT21*5)</f>
        <v>12.708333333333332</v>
      </c>
      <c r="FV21" s="150"/>
      <c r="FW21" s="150"/>
      <c r="FX21" s="150"/>
      <c r="FY21" s="192">
        <f>IF(COUNT(FY18,FY14,FY12,FY7,FY4)=0,"",SUM($B$4*IF(COUNT(FY4)=0,0,FY4),$B$7*IF(COUNT(FY7)=0,0,FY7),$B$12*IF(COUNT(FY12)=0,0,FY12),$B$14*IF(COUNT(FY14)=0,0,FY14),$B$18*IF(COUNT(FY18)=0,0,FY18))/SUM($B$4*COUNT(FY4),$B$7*COUNT(FY7),$B$12*COUNT(FY12),$B$14*COUNT(FY14),$B$18*COUNT(FY18)))</f>
        <v>4</v>
      </c>
      <c r="FZ21" s="199">
        <f>IF(FY21="","",FY21*5)</f>
        <v>20</v>
      </c>
      <c r="GA21" s="150"/>
      <c r="GB21" s="150"/>
      <c r="GC21" s="150"/>
      <c r="GD21" s="192">
        <f>IF(COUNT(GD18,GD14,GD12,GD7,GD4)=0,"",SUM($B$4*IF(COUNT(GD4)=0,0,GD4),$B$7*IF(COUNT(GD7)=0,0,GD7),$B$12*IF(COUNT(GD12)=0,0,GD12),$B$14*IF(COUNT(GD14)=0,0,GD14),$B$18*IF(COUNT(GD18)=0,0,GD18))/SUM($B$4*COUNT(GD4),$B$7*COUNT(GD7),$B$12*COUNT(GD12),$B$14*COUNT(GD14),$B$18*COUNT(GD18)))</f>
        <v>4.125</v>
      </c>
      <c r="GE21" s="214">
        <f>IF(GD21="","",GD21*5)</f>
        <v>20.625</v>
      </c>
      <c r="GF21" s="215"/>
      <c r="GG21" s="215"/>
      <c r="GH21" s="147"/>
      <c r="GI21" s="147"/>
      <c r="GJ21" s="147"/>
      <c r="GK21" s="192">
        <f>IF(COUNT(GK18,GK14,GK12,GK7,GK4)=0,"",SUM($B$4*IF(COUNT(GK4)=0,0,GK4),$B$7*IF(COUNT(GK7)=0,0,GK7),$B$12*IF(COUNT(GK12)=0,0,GK12),$B$14*IF(COUNT(GK14)=0,0,GK14),$B$18*IF(COUNT(GK18)=0,0,GK18))/SUM($B$4*COUNT(GK4),$B$7*COUNT(GK7),$B$12*COUNT(GK12),$B$14*COUNT(GK14),$B$18*COUNT(GK18)))</f>
        <v>2.9166666666666665</v>
      </c>
      <c r="GL21" s="193">
        <f>IF(GK21="","",GK21*5)</f>
        <v>14.583333333333332</v>
      </c>
      <c r="GM21" s="150"/>
      <c r="GN21" s="150"/>
      <c r="GO21" s="150"/>
      <c r="GP21" s="192">
        <f>IF(COUNT(GP18,GP14,GP12,GP7,GP4)=0,"",SUM($B$4*IF(COUNT(GP4)=0,0,GP4),$B$7*IF(COUNT(GP7)=0,0,GP7),$B$12*IF(COUNT(GP12)=0,0,GP12),$B$14*IF(COUNT(GP14)=0,0,GP14),$B$18*IF(COUNT(GP18)=0,0,GP18))/SUM($B$4*COUNT(GP4),$B$7*COUNT(GP7),$B$12*COUNT(GP12),$B$14*COUNT(GP14),$B$18*COUNT(GP18)))</f>
        <v>4</v>
      </c>
      <c r="GQ21" s="199">
        <f>IF(GP21="","",GP21*5)</f>
        <v>20</v>
      </c>
      <c r="GR21" s="150"/>
      <c r="GS21" s="150"/>
      <c r="GT21" s="150"/>
      <c r="GU21" s="192">
        <f>IF(COUNT(GU18,GU14,GU12,GU7,GU4)=0,"",SUM($B$4*IF(COUNT(GU4)=0,0,GU4),$B$7*IF(COUNT(GU7)=0,0,GU7),$B$12*IF(COUNT(GU12)=0,0,GU12),$B$14*IF(COUNT(GU14)=0,0,GU14),$B$18*IF(COUNT(GU18)=0,0,GU18))/SUM($B$4*COUNT(GU4),$B$7*COUNT(GU7),$B$12*COUNT(GU12),$B$14*COUNT(GU14),$B$18*COUNT(GU18)))</f>
        <v>3.9166666666666665</v>
      </c>
      <c r="GV21" s="214">
        <f>IF(GU21="","",GU21*5)</f>
        <v>19.583333333333332</v>
      </c>
      <c r="GW21" s="215"/>
      <c r="GX21" s="215"/>
      <c r="GY21" s="147"/>
      <c r="GZ21" s="147"/>
      <c r="HA21" s="147"/>
      <c r="HB21" s="192">
        <f>IF(COUNT(HB18,HB14,HB12,HB7,HB4)=0,"",SUM($B$4*IF(COUNT(HB4)=0,0,HB4),$B$7*IF(COUNT(HB7)=0,0,HB7),$B$12*IF(COUNT(HB12)=0,0,HB12),$B$14*IF(COUNT(HB14)=0,0,HB14),$B$18*IF(COUNT(HB18)=0,0,HB18))/SUM($B$4*COUNT(HB4),$B$7*COUNT(HB7),$B$12*COUNT(HB12),$B$14*COUNT(HB14),$B$18*COUNT(HB18)))</f>
        <v>2.8333333333333335</v>
      </c>
      <c r="HC21" s="193">
        <f>IF(HB21="","",HB21*5)</f>
        <v>14.166666666666668</v>
      </c>
      <c r="HD21" s="150"/>
      <c r="HE21" s="150"/>
      <c r="HF21" s="150"/>
      <c r="HG21" s="192">
        <f>IF(COUNT(HG18,HG14,HG12,HG7,HG4)=0,"",SUM($B$4*IF(COUNT(HG4)=0,0,HG4),$B$7*IF(COUNT(HG7)=0,0,HG7),$B$12*IF(COUNT(HG12)=0,0,HG12),$B$14*IF(COUNT(HG14)=0,0,HG14),$B$18*IF(COUNT(HG18)=0,0,HG18))/SUM($B$4*COUNT(HG4),$B$7*COUNT(HG7),$B$12*COUNT(HG12),$B$14*COUNT(HG14),$B$18*COUNT(HG18)))</f>
        <v>4</v>
      </c>
      <c r="HH21" s="199">
        <f>IF(HG21="","",HG21*5)</f>
        <v>20</v>
      </c>
      <c r="HI21" s="150"/>
      <c r="HJ21" s="150"/>
      <c r="HK21" s="150"/>
      <c r="HL21" s="192">
        <f>IF(COUNT(HL18,HL14,HL12,HL7,HL4)=0,"",SUM($B$4*IF(COUNT(HL4)=0,0,HL4),$B$7*IF(COUNT(HL7)=0,0,HL7),$B$12*IF(COUNT(HL12)=0,0,HL12),$B$14*IF(COUNT(HL14)=0,0,HL14),$B$18*IF(COUNT(HL18)=0,0,HL18))/SUM($B$4*COUNT(HL4),$B$7*COUNT(HL7),$B$12*COUNT(HL12),$B$14*COUNT(HL14),$B$18*COUNT(HL18)))</f>
        <v>3.9166666666666665</v>
      </c>
      <c r="HM21" s="214">
        <f>IF(HL21="","",HL21*5)</f>
        <v>19.583333333333332</v>
      </c>
      <c r="HN21" s="215"/>
      <c r="HO21" s="215"/>
      <c r="HP21" s="147"/>
      <c r="HQ21" s="147"/>
      <c r="HR21" s="147"/>
      <c r="HS21" s="192">
        <f>IF(COUNT(HS18,HS14,HS12,HS7,HS4)=0,"",SUM($B$4*IF(COUNT(HS4)=0,0,HS4),$B$7*IF(COUNT(HS7)=0,0,HS7),$B$12*IF(COUNT(HS12)=0,0,HS12),$B$14*IF(COUNT(HS14)=0,0,HS14),$B$18*IF(COUNT(HS18)=0,0,HS18))/SUM($B$4*COUNT(HS4),$B$7*COUNT(HS7),$B$12*COUNT(HS12),$B$14*COUNT(HS14),$B$18*COUNT(HS18)))</f>
        <v>2.375</v>
      </c>
      <c r="HT21" s="193">
        <f>IF(HS21="","",HS21*5)</f>
        <v>11.875</v>
      </c>
      <c r="HU21" s="150"/>
      <c r="HV21" s="150"/>
      <c r="HW21" s="150"/>
      <c r="HX21" s="192">
        <f>IF(COUNT(HX18,HX14,HX12,HX7,HX4)=0,"",SUM($B$4*IF(COUNT(HX4)=0,0,HX4),$B$7*IF(COUNT(HX7)=0,0,HX7),$B$12*IF(COUNT(HX12)=0,0,HX12),$B$14*IF(COUNT(HX14)=0,0,HX14),$B$18*IF(COUNT(HX18)=0,0,HX18))/SUM($B$4*COUNT(HX4),$B$7*COUNT(HX7),$B$12*COUNT(HX12),$B$14*COUNT(HX14),$B$18*COUNT(HX18)))</f>
        <v>4</v>
      </c>
      <c r="HY21" s="199">
        <f>IF(HX21="","",HX21*5)</f>
        <v>20</v>
      </c>
      <c r="HZ21" s="150"/>
      <c r="IA21" s="150"/>
      <c r="IB21" s="150"/>
      <c r="IC21" s="192">
        <f>IF(COUNT(IC18,IC14,IC12,IC7,IC4)=0,"",SUM($B$4*IF(COUNT(IC4)=0,0,IC4),$B$7*IF(COUNT(IC7)=0,0,IC7),$B$12*IF(COUNT(IC12)=0,0,IC12),$B$14*IF(COUNT(IC14)=0,0,IC14),$B$18*IF(COUNT(IC18)=0,0,IC18))/SUM($B$4*COUNT(IC4),$B$7*COUNT(IC7),$B$12*COUNT(IC12),$B$14*COUNT(IC14),$B$18*COUNT(IC18)))</f>
        <v>3.8958333333333335</v>
      </c>
      <c r="ID21" s="214">
        <f>IF(IC21="","",IC21*5)</f>
        <v>19.479166666666668</v>
      </c>
      <c r="IE21" s="215"/>
      <c r="IF21" s="215"/>
      <c r="IG21" s="147"/>
      <c r="IH21" s="147"/>
      <c r="II21" s="147"/>
      <c r="IJ21" s="192">
        <f>IF(COUNT(IJ18,IJ14,IJ12,IJ7,IJ4)=0,"",SUM($B$4*IF(COUNT(IJ4)=0,0,IJ4),$B$7*IF(COUNT(IJ7)=0,0,IJ7),$B$12*IF(COUNT(IJ12)=0,0,IJ12),$B$14*IF(COUNT(IJ14)=0,0,IJ14),$B$18*IF(COUNT(IJ18)=0,0,IJ18))/SUM($B$4*COUNT(IJ4),$B$7*COUNT(IJ7),$B$12*COUNT(IJ12),$B$14*COUNT(IJ14),$B$18*COUNT(IJ18)))</f>
        <v>2.3333333333333335</v>
      </c>
      <c r="IK21" s="193">
        <f>IF(IJ21="","",IJ21*5)</f>
        <v>11.666666666666668</v>
      </c>
      <c r="IL21" s="150"/>
      <c r="IM21" s="150"/>
      <c r="IN21" s="150"/>
      <c r="IO21" s="192">
        <f>IF(COUNT(IO18,IO14,IO12,IO7,IO4)=0,"",SUM($B$4*IF(COUNT(IO4)=0,0,IO4),$B$7*IF(COUNT(IO7)=0,0,IO7),$B$12*IF(COUNT(IO12)=0,0,IO12),$B$14*IF(COUNT(IO14)=0,0,IO14),$B$18*IF(COUNT(IO18)=0,0,IO18))/SUM($B$4*COUNT(IO4),$B$7*COUNT(IO7),$B$12*COUNT(IO12),$B$14*COUNT(IO14),$B$18*COUNT(IO18)))</f>
        <v>4</v>
      </c>
      <c r="IP21" s="199">
        <f>IF(IO21="","",IO21*5)</f>
        <v>20</v>
      </c>
      <c r="IQ21" s="150"/>
      <c r="IR21" s="150"/>
      <c r="IS21" s="150"/>
      <c r="IT21" s="192">
        <f>IF(COUNT(IT18,IT14,IT12,IT7,IT4)=0,"",SUM($B$4*IF(COUNT(IT4)=0,0,IT4),$B$7*IF(COUNT(IT7)=0,0,IT7),$B$12*IF(COUNT(IT12)=0,0,IT12),$B$14*IF(COUNT(IT14)=0,0,IT14),$B$18*IF(COUNT(IT18)=0,0,IT18))/SUM($B$4*COUNT(IT4),$B$7*COUNT(IT7),$B$12*COUNT(IT12),$B$14*COUNT(IT14),$B$18*COUNT(IT18)))</f>
        <v>4.041666666666667</v>
      </c>
      <c r="IU21" s="214">
        <f>IF(IT21="","",IT21*5)</f>
        <v>20.208333333333336</v>
      </c>
      <c r="IV21" s="215"/>
      <c r="IW21" s="215"/>
      <c r="IX21" s="147"/>
      <c r="IY21" s="147"/>
      <c r="IZ21" s="147"/>
      <c r="JA21" s="192">
        <f>IF(COUNT(JA18,JA14,JA12,JA7,JA4)=0,"",SUM($B$4*IF(COUNT(JA4)=0,0,JA4),$B$7*IF(COUNT(JA7)=0,0,JA7),$B$12*IF(COUNT(JA12)=0,0,JA12),$B$14*IF(COUNT(JA14)=0,0,JA14),$B$18*IF(COUNT(JA18)=0,0,JA18))/SUM($B$4*COUNT(JA4),$B$7*COUNT(JA7),$B$12*COUNT(JA12),$B$14*COUNT(JA14),$B$18*COUNT(JA18)))</f>
        <v>2.7083333333333335</v>
      </c>
      <c r="JB21" s="193">
        <f>IF(JA21="","",JA21*5)</f>
        <v>13.541666666666668</v>
      </c>
      <c r="JC21" s="150"/>
      <c r="JD21" s="150"/>
      <c r="JE21" s="150"/>
      <c r="JF21" s="192">
        <f>IF(COUNT(JF18,JF14,JF12,JF7,JF4)=0,"",SUM($B$4*IF(COUNT(JF4)=0,0,JF4),$B$7*IF(COUNT(JF7)=0,0,JF7),$B$12*IF(COUNT(JF12)=0,0,JF12),$B$14*IF(COUNT(JF14)=0,0,JF14),$B$18*IF(COUNT(JF18)=0,0,JF18))/SUM($B$4*COUNT(JF4),$B$7*COUNT(JF7),$B$12*COUNT(JF12),$B$14*COUNT(JF14),$B$18*COUNT(JF18)))</f>
        <v>3.5</v>
      </c>
      <c r="JG21" s="199">
        <f>IF(JF21="","",JF21*5)</f>
        <v>17.5</v>
      </c>
      <c r="JH21" s="150"/>
      <c r="JI21" s="150"/>
      <c r="JJ21" s="150"/>
      <c r="JK21" s="192">
        <f>IF(COUNT(JK18,JK14,JK12,JK7,JK4)=0,"",SUM($B$4*IF(COUNT(JK4)=0,0,JK4),$B$7*IF(COUNT(JK7)=0,0,JK7),$B$12*IF(COUNT(JK12)=0,0,JK12),$B$14*IF(COUNT(JK14)=0,0,JK14),$B$18*IF(COUNT(JK18)=0,0,JK18))/SUM($B$4*COUNT(JK4),$B$7*COUNT(JK7),$B$12*COUNT(JK12),$B$14*COUNT(JK14),$B$18*COUNT(JK18)))</f>
        <v>3.75</v>
      </c>
      <c r="JL21" s="214">
        <f>IF(JK21="","",JK21*5)</f>
        <v>18.75</v>
      </c>
      <c r="JM21" s="215"/>
      <c r="JN21" s="215"/>
      <c r="JO21" s="147"/>
      <c r="JP21" s="147"/>
      <c r="JQ21" s="147"/>
      <c r="JR21" s="192">
        <f>IF(COUNT(JR18,JR14,JR12,JR7,JR4)=0,"",SUM($B$4*IF(COUNT(JR4)=0,0,JR4),$B$7*IF(COUNT(JR7)=0,0,JR7),$B$12*IF(COUNT(JR12)=0,0,JR12),$B$14*IF(COUNT(JR14)=0,0,JR14),$B$18*IF(COUNT(JR18)=0,0,JR18))/SUM($B$4*COUNT(JR4),$B$7*COUNT(JR7),$B$12*COUNT(JR12),$B$14*COUNT(JR14),$B$18*COUNT(JR18)))</f>
        <v>2.0416666666666665</v>
      </c>
      <c r="JS21" s="193">
        <f>IF(JR21="","",JR21*5)</f>
        <v>10.208333333333332</v>
      </c>
      <c r="JT21" s="150"/>
      <c r="JU21" s="150"/>
      <c r="JV21" s="150"/>
      <c r="JW21" s="192">
        <f>IF(COUNT(JW18,JW14,JW12,JW7,JW4)=0,"",SUM($B$4*IF(COUNT(JW4)=0,0,JW4),$B$7*IF(COUNT(JW7)=0,0,JW7),$B$12*IF(COUNT(JW12)=0,0,JW12),$B$14*IF(COUNT(JW14)=0,0,JW14),$B$18*IF(COUNT(JW18)=0,0,JW18))/SUM($B$4*COUNT(JW4),$B$7*COUNT(JW7),$B$12*COUNT(JW12),$B$14*COUNT(JW14),$B$18*COUNT(JW18)))</f>
        <v>4</v>
      </c>
      <c r="JX21" s="199">
        <f>IF(JW21="","",JW21*5)</f>
        <v>20</v>
      </c>
      <c r="JY21" s="150"/>
      <c r="JZ21" s="150"/>
      <c r="KA21" s="150"/>
      <c r="KB21" s="192">
        <f>IF(COUNT(KB18,KB14,KB12,KB7,KB4)=0,"",SUM($B$4*IF(COUNT(KB4)=0,0,KB4),$B$7*IF(COUNT(KB7)=0,0,KB7),$B$12*IF(COUNT(KB12)=0,0,KB12),$B$14*IF(COUNT(KB14)=0,0,KB14),$B$18*IF(COUNT(KB18)=0,0,KB18))/SUM($B$4*COUNT(KB4),$B$7*COUNT(KB7),$B$12*COUNT(KB12),$B$14*COUNT(KB14),$B$18*COUNT(KB18)))</f>
        <v>4</v>
      </c>
      <c r="KC21" s="214">
        <f>IF(KB21="","",KB21*5)</f>
        <v>20</v>
      </c>
      <c r="KD21" s="215"/>
      <c r="KE21" s="215"/>
      <c r="KF21" s="147"/>
      <c r="KG21" s="147"/>
      <c r="KH21" s="147"/>
      <c r="KI21" s="192">
        <f>IF(COUNT(KI18,KI14,KI12,KI7,KI4)=0,"",SUM($B$4*IF(COUNT(KI4)=0,0,KI4),$B$7*IF(COUNT(KI7)=0,0,KI7),$B$12*IF(COUNT(KI12)=0,0,KI12),$B$14*IF(COUNT(KI14)=0,0,KI14),$B$18*IF(COUNT(KI18)=0,0,KI18))/SUM($B$4*COUNT(KI4),$B$7*COUNT(KI7),$B$12*COUNT(KI12),$B$14*COUNT(KI14),$B$18*COUNT(KI18)))</f>
        <v>2.375</v>
      </c>
      <c r="KJ21" s="193">
        <f>IF(KI21="","",KI21*5)</f>
        <v>11.875</v>
      </c>
      <c r="KK21" s="150"/>
      <c r="KL21" s="150"/>
      <c r="KM21" s="150"/>
      <c r="KN21" s="192">
        <f>IF(COUNT(KN18,KN14,KN12,KN7,KN4)=0,"",SUM($B$4*IF(COUNT(KN4)=0,0,KN4),$B$7*IF(COUNT(KN7)=0,0,KN7),$B$12*IF(COUNT(KN12)=0,0,KN12),$B$14*IF(COUNT(KN14)=0,0,KN14),$B$18*IF(COUNT(KN18)=0,0,KN18))/SUM($B$4*COUNT(KN4),$B$7*COUNT(KN7),$B$12*COUNT(KN12),$B$14*COUNT(KN14),$B$18*COUNT(KN18)))</f>
        <v>4</v>
      </c>
      <c r="KO21" s="199">
        <f>IF(KN21="","",KN21*5)</f>
        <v>20</v>
      </c>
      <c r="KP21" s="150"/>
      <c r="KQ21" s="150"/>
      <c r="KR21" s="150"/>
      <c r="KS21" s="192">
        <f>IF(COUNT(KS18,KS14,KS12,KS7,KS4)=0,"",SUM($B$4*IF(COUNT(KS4)=0,0,KS4),$B$7*IF(COUNT(KS7)=0,0,KS7),$B$12*IF(COUNT(KS12)=0,0,KS12),$B$14*IF(COUNT(KS14)=0,0,KS14),$B$18*IF(COUNT(KS18)=0,0,KS18))/SUM($B$4*COUNT(KS4),$B$7*COUNT(KS7),$B$12*COUNT(KS12),$B$14*COUNT(KS14),$B$18*COUNT(KS18)))</f>
        <v>3.9166666666666665</v>
      </c>
      <c r="KT21" s="214">
        <f>IF(KS21="","",KS21*5)</f>
        <v>19.583333333333332</v>
      </c>
      <c r="KU21" s="215"/>
      <c r="KV21" s="215"/>
      <c r="KW21" s="147"/>
      <c r="KX21" s="147"/>
      <c r="KY21" s="147"/>
      <c r="KZ21" s="192">
        <f>IF(COUNT(KZ18,KZ14,KZ12,KZ7,KZ4)=0,"",SUM($B$4*IF(COUNT(KZ4)=0,0,KZ4),$B$7*IF(COUNT(KZ7)=0,0,KZ7),$B$12*IF(COUNT(KZ12)=0,0,KZ12),$B$14*IF(COUNT(KZ14)=0,0,KZ14),$B$18*IF(COUNT(KZ18)=0,0,KZ18))/SUM($B$4*COUNT(KZ4),$B$7*COUNT(KZ7),$B$12*COUNT(KZ12),$B$14*COUNT(KZ14),$B$18*COUNT(KZ18)))</f>
        <v>3.0833333333333335</v>
      </c>
      <c r="LA21" s="193">
        <f>IF(KZ21="","",KZ21*5)</f>
        <v>15.416666666666668</v>
      </c>
      <c r="LB21" s="150"/>
      <c r="LC21" s="150"/>
      <c r="LD21" s="150"/>
      <c r="LE21" s="192">
        <f>IF(COUNT(LE18,LE14,LE12,LE7,LE4)=0,"",SUM($B$4*IF(COUNT(LE4)=0,0,LE4),$B$7*IF(COUNT(LE7)=0,0,LE7),$B$12*IF(COUNT(LE12)=0,0,LE12),$B$14*IF(COUNT(LE14)=0,0,LE14),$B$18*IF(COUNT(LE18)=0,0,LE18))/SUM($B$4*COUNT(LE4),$B$7*COUNT(LE7),$B$12*COUNT(LE12),$B$14*COUNT(LE14),$B$18*COUNT(LE18)))</f>
        <v>4</v>
      </c>
      <c r="LF21" s="199">
        <f>IF(LE21="","",LE21*5)</f>
        <v>20</v>
      </c>
      <c r="LG21" s="150"/>
      <c r="LH21" s="150"/>
      <c r="LI21" s="150"/>
      <c r="LJ21" s="192">
        <f>IF(COUNT(LJ18,LJ14,LJ12,LJ7,LJ4)=0,"",SUM($B$4*IF(COUNT(LJ4)=0,0,LJ4),$B$7*IF(COUNT(LJ7)=0,0,LJ7),$B$12*IF(COUNT(LJ12)=0,0,LJ12),$B$14*IF(COUNT(LJ14)=0,0,LJ14),$B$18*IF(COUNT(LJ18)=0,0,LJ18))/SUM($B$4*COUNT(LJ4),$B$7*COUNT(LJ7),$B$12*COUNT(LJ12),$B$14*COUNT(LJ14),$B$18*COUNT(LJ18)))</f>
        <v>4.291666666666667</v>
      </c>
      <c r="LK21" s="214">
        <f>IF(LJ21="","",LJ21*5)</f>
        <v>21.458333333333336</v>
      </c>
      <c r="LL21" s="215"/>
      <c r="LM21" s="215"/>
      <c r="LN21" s="147"/>
      <c r="LO21" s="147"/>
      <c r="LP21" s="147"/>
      <c r="LQ21" s="192">
        <f>IF(COUNT(LQ18,LQ14,LQ12,LQ7,LQ4)=0,"",SUM($B$4*IF(COUNT(LQ4)=0,0,LQ4),$B$7*IF(COUNT(LQ7)=0,0,LQ7),$B$12*IF(COUNT(LQ12)=0,0,LQ12),$B$14*IF(COUNT(LQ14)=0,0,LQ14),$B$18*IF(COUNT(LQ18)=0,0,LQ18))/SUM($B$4*COUNT(LQ4),$B$7*COUNT(LQ7),$B$12*COUNT(LQ12),$B$14*COUNT(LQ14),$B$18*COUNT(LQ18)))</f>
        <v>2.875</v>
      </c>
      <c r="LR21" s="193">
        <f>IF(LQ21="","",LQ21*5)</f>
        <v>14.375</v>
      </c>
      <c r="LS21" s="150"/>
      <c r="LT21" s="150"/>
      <c r="LU21" s="150"/>
      <c r="LV21" s="192">
        <f>IF(COUNT(LV18,LV14,LV12,LV7,LV4)=0,"",SUM($B$4*IF(COUNT(LV4)=0,0,LV4),$B$7*IF(COUNT(LV7)=0,0,LV7),$B$12*IF(COUNT(LV12)=0,0,LV12),$B$14*IF(COUNT(LV14)=0,0,LV14),$B$18*IF(COUNT(LV18)=0,0,LV18))/SUM($B$4*COUNT(LV4),$B$7*COUNT(LV7),$B$12*COUNT(LV12),$B$14*COUNT(LV14),$B$18*COUNT(LV18)))</f>
        <v>3.5</v>
      </c>
      <c r="LW21" s="199">
        <f>IF(LV21="","",LV21*5)</f>
        <v>17.5</v>
      </c>
      <c r="LX21" s="150"/>
      <c r="LY21" s="150"/>
      <c r="LZ21" s="150"/>
      <c r="MA21" s="192">
        <f>IF(COUNT(MA18,MA14,MA12,MA7,MA4)=0,"",SUM($B$4*IF(COUNT(MA4)=0,0,MA4),$B$7*IF(COUNT(MA7)=0,0,MA7),$B$12*IF(COUNT(MA12)=0,0,MA12),$B$14*IF(COUNT(MA14)=0,0,MA14),$B$18*IF(COUNT(MA18)=0,0,MA18))/SUM($B$4*COUNT(MA4),$B$7*COUNT(MA7),$B$12*COUNT(MA12),$B$14*COUNT(MA14),$B$18*COUNT(MA18)))</f>
        <v>4.25</v>
      </c>
      <c r="MB21" s="214">
        <f>IF(MA21="","",MA21*5)</f>
        <v>21.25</v>
      </c>
      <c r="MC21" s="215"/>
      <c r="MD21" s="215"/>
      <c r="ME21" s="147"/>
      <c r="MF21" s="147"/>
      <c r="MG21" s="147"/>
      <c r="MH21" s="192">
        <f>IF(COUNT(MH18,MH14,MH12,MH7,MH4)=0,"",SUM($B$4*IF(COUNT(MH4)=0,0,MH4),$B$7*IF(COUNT(MH7)=0,0,MH7),$B$12*IF(COUNT(MH12)=0,0,MH12),$B$14*IF(COUNT(MH14)=0,0,MH14),$B$18*IF(COUNT(MH18)=0,0,MH18))/SUM($B$4*COUNT(MH4),$B$7*COUNT(MH7),$B$12*COUNT(MH12),$B$14*COUNT(MH14),$B$18*COUNT(MH18)))</f>
        <v>2.7083333333333335</v>
      </c>
      <c r="MI21" s="193">
        <f>IF(MH21="","",MH21*5)</f>
        <v>13.541666666666668</v>
      </c>
      <c r="MJ21" s="150"/>
      <c r="MK21" s="150"/>
      <c r="ML21" s="150"/>
      <c r="MM21" s="192">
        <f>IF(COUNT(MM18,MM14,MM12,MM7,MM4)=0,"",SUM($B$4*IF(COUNT(MM4)=0,0,MM4),$B$7*IF(COUNT(MM7)=0,0,MM7),$B$12*IF(COUNT(MM12)=0,0,MM12),$B$14*IF(COUNT(MM14)=0,0,MM14),$B$18*IF(COUNT(MM18)=0,0,MM18))/SUM($B$4*COUNT(MM4),$B$7*COUNT(MM7),$B$12*COUNT(MM12),$B$14*COUNT(MM14),$B$18*COUNT(MM18)))</f>
        <v>4</v>
      </c>
      <c r="MN21" s="199">
        <f>IF(MM21="","",MM21*5)</f>
        <v>20</v>
      </c>
      <c r="MO21" s="150"/>
      <c r="MP21" s="150"/>
      <c r="MQ21" s="150"/>
      <c r="MR21" s="192">
        <f>IF(COUNT(MR18,MR14,MR12,MR7,MR4)=0,"",SUM($B$4*IF(COUNT(MR4)=0,0,MR4),$B$7*IF(COUNT(MR7)=0,0,MR7),$B$12*IF(COUNT(MR12)=0,0,MR12),$B$14*IF(COUNT(MR14)=0,0,MR14),$B$18*IF(COUNT(MR18)=0,0,MR18))/SUM($B$4*COUNT(MR4),$B$7*COUNT(MR7),$B$12*COUNT(MR12),$B$14*COUNT(MR14),$B$18*COUNT(MR18)))</f>
        <v>4.25</v>
      </c>
      <c r="MS21" s="214">
        <f>IF(MR21="","",MR21*5)</f>
        <v>21.25</v>
      </c>
      <c r="MT21" s="215"/>
      <c r="MU21" s="215"/>
      <c r="MV21" s="147"/>
      <c r="MW21" s="147"/>
      <c r="MX21" s="147"/>
      <c r="MY21" s="192">
        <f>IF(COUNT(MY18,MY14,MY12,MY7,MY4)=0,"",SUM($B$4*IF(COUNT(MY4)=0,0,MY4),$B$7*IF(COUNT(MY7)=0,0,MY7),$B$12*IF(COUNT(MY12)=0,0,MY12),$B$14*IF(COUNT(MY14)=0,0,MY14),$B$18*IF(COUNT(MY18)=0,0,MY18))/SUM($B$4*COUNT(MY4),$B$7*COUNT(MY7),$B$12*COUNT(MY12),$B$14*COUNT(MY14),$B$18*COUNT(MY18)))</f>
        <v>2.375</v>
      </c>
      <c r="MZ21" s="193">
        <f>IF(MY21="","",MY21*5)</f>
        <v>11.875</v>
      </c>
      <c r="NA21" s="150"/>
      <c r="NB21" s="150"/>
      <c r="NC21" s="150"/>
      <c r="ND21" s="192">
        <f>IF(COUNT(ND18,ND14,ND12,ND7,ND4)=0,"",SUM($B$4*IF(COUNT(ND4)=0,0,ND4),$B$7*IF(COUNT(ND7)=0,0,ND7),$B$12*IF(COUNT(ND12)=0,0,ND12),$B$14*IF(COUNT(ND14)=0,0,ND14),$B$18*IF(COUNT(ND18)=0,0,ND18))/SUM($B$4*COUNT(ND4),$B$7*COUNT(ND7),$B$12*COUNT(ND12),$B$14*COUNT(ND14),$B$18*COUNT(ND18)))</f>
        <v>3.5</v>
      </c>
      <c r="NE21" s="199">
        <f>IF(ND21="","",ND21*5)</f>
        <v>17.5</v>
      </c>
      <c r="NF21" s="150"/>
      <c r="NG21" s="150"/>
      <c r="NH21" s="150"/>
      <c r="NI21" s="192">
        <f>IF(COUNT(NI18,NI14,NI12,NI7,NI4)=0,"",SUM($B$4*IF(COUNT(NI4)=0,0,NI4),$B$7*IF(COUNT(NI7)=0,0,NI7),$B$12*IF(COUNT(NI12)=0,0,NI12),$B$14*IF(COUNT(NI14)=0,0,NI14),$B$18*IF(COUNT(NI18)=0,0,NI18))/SUM($B$4*COUNT(NI4),$B$7*COUNT(NI7),$B$12*COUNT(NI12),$B$14*COUNT(NI14),$B$18*COUNT(NI18)))</f>
        <v>4.0625</v>
      </c>
      <c r="NJ21" s="214">
        <f>IF(NI21="","",NI21*5)</f>
        <v>20.3125</v>
      </c>
      <c r="NK21" s="215"/>
      <c r="NL21" s="215"/>
      <c r="NM21" s="147"/>
      <c r="NN21" s="147"/>
      <c r="NO21" s="147"/>
      <c r="NP21" s="192">
        <f>IF(COUNT(NP18,NP14,NP12,NP7,NP4)=0,"",SUM($B$4*IF(COUNT(NP4)=0,0,NP4),$B$7*IF(COUNT(NP7)=0,0,NP7),$B$12*IF(COUNT(NP12)=0,0,NP12),$B$14*IF(COUNT(NP14)=0,0,NP14),$B$18*IF(COUNT(NP18)=0,0,NP18))/SUM($B$4*COUNT(NP4),$B$7*COUNT(NP7),$B$12*COUNT(NP12),$B$14*COUNT(NP14),$B$18*COUNT(NP18)))</f>
        <v>2.75</v>
      </c>
      <c r="NQ21" s="193">
        <f>IF(NP21="","",NP21*5)</f>
        <v>13.75</v>
      </c>
      <c r="NR21" s="150"/>
      <c r="NS21" s="150"/>
      <c r="NT21" s="150"/>
      <c r="NU21" s="192">
        <f>IF(COUNT(NU18,NU14,NU12,NU7,NU4)=0,"",SUM($B$4*IF(COUNT(NU4)=0,0,NU4),$B$7*IF(COUNT(NU7)=0,0,NU7),$B$12*IF(COUNT(NU12)=0,0,NU12),$B$14*IF(COUNT(NU14)=0,0,NU14),$B$18*IF(COUNT(NU18)=0,0,NU18))/SUM($B$4*COUNT(NU4),$B$7*COUNT(NU7),$B$12*COUNT(NU12),$B$14*COUNT(NU14),$B$18*COUNT(NU18)))</f>
        <v>2.5</v>
      </c>
      <c r="NV21" s="199">
        <f>IF(NU21="","",NU21*5)</f>
        <v>12.5</v>
      </c>
      <c r="NW21" s="150"/>
      <c r="NX21" s="150"/>
      <c r="NY21" s="150"/>
      <c r="NZ21" s="192">
        <f>IF(COUNT(NZ18,NZ14,NZ12,NZ7,NZ4)=0,"",SUM($B$4*IF(COUNT(NZ4)=0,0,NZ4),$B$7*IF(COUNT(NZ7)=0,0,NZ7),$B$12*IF(COUNT(NZ12)=0,0,NZ12),$B$14*IF(COUNT(NZ14)=0,0,NZ14),$B$18*IF(COUNT(NZ18)=0,0,NZ18))/SUM($B$4*COUNT(NZ4),$B$7*COUNT(NZ7),$B$12*COUNT(NZ12),$B$14*COUNT(NZ14),$B$18*COUNT(NZ18)))</f>
        <v>3.875</v>
      </c>
      <c r="OA21" s="214">
        <f>IF(NZ21="","",NZ21*5)</f>
        <v>19.375</v>
      </c>
      <c r="OB21" s="215"/>
      <c r="OC21" s="215"/>
      <c r="OD21" s="147"/>
      <c r="OE21" s="147"/>
      <c r="OF21" s="147"/>
      <c r="OG21" s="192">
        <f>IF(COUNT(OG18,OG14,OG12,OG7,OG4)=0,"",SUM($B$4*IF(COUNT(OG4)=0,0,OG4),$B$7*IF(COUNT(OG7)=0,0,OG7),$B$12*IF(COUNT(OG12)=0,0,OG12),$B$14*IF(COUNT(OG14)=0,0,OG14),$B$18*IF(COUNT(OG18)=0,0,OG18))/SUM($B$4*COUNT(OG4),$B$7*COUNT(OG7),$B$12*COUNT(OG12),$B$14*COUNT(OG14),$B$18*COUNT(OG18)))</f>
        <v>2.75</v>
      </c>
      <c r="OH21" s="193">
        <f>IF(OG21="","",OG21*5)</f>
        <v>13.75</v>
      </c>
      <c r="OI21" s="150"/>
      <c r="OJ21" s="150"/>
      <c r="OK21" s="150"/>
      <c r="OL21" s="192">
        <f>IF(COUNT(OL18,OL14,OL12,OL7,OL4)=0,"",SUM($B$4*IF(COUNT(OL4)=0,0,OL4),$B$7*IF(COUNT(OL7)=0,0,OL7),$B$12*IF(COUNT(OL12)=0,0,OL12),$B$14*IF(COUNT(OL14)=0,0,OL14),$B$18*IF(COUNT(OL18)=0,0,OL18))/SUM($B$4*COUNT(OL4),$B$7*COUNT(OL7),$B$12*COUNT(OL12),$B$14*COUNT(OL14),$B$18*COUNT(OL18)))</f>
        <v>4</v>
      </c>
      <c r="OM21" s="199">
        <f>IF(OL21="","",OL21*5)</f>
        <v>20</v>
      </c>
      <c r="ON21" s="150"/>
      <c r="OO21" s="150"/>
      <c r="OP21" s="150"/>
      <c r="OQ21" s="192">
        <f>IF(COUNT(OQ18,OQ14,OQ12,OQ7,OQ4)=0,"",SUM($B$4*IF(COUNT(OQ4)=0,0,OQ4),$B$7*IF(COUNT(OQ7)=0,0,OQ7),$B$12*IF(COUNT(OQ12)=0,0,OQ12),$B$14*IF(COUNT(OQ14)=0,0,OQ14),$B$18*IF(COUNT(OQ18)=0,0,OQ18))/SUM($B$4*COUNT(OQ4),$B$7*COUNT(OQ7),$B$12*COUNT(OQ12),$B$14*COUNT(OQ14),$B$18*COUNT(OQ18)))</f>
        <v>4.25</v>
      </c>
      <c r="OR21" s="214">
        <f>IF(OQ21="","",OQ21*5)</f>
        <v>21.25</v>
      </c>
      <c r="OS21" s="215"/>
      <c r="OT21" s="215"/>
      <c r="OU21" s="147"/>
      <c r="OV21" s="147"/>
      <c r="OW21" s="147"/>
      <c r="OX21" s="192">
        <f>IF(COUNT(OX18,OX14,OX12,OX7,OX4)=0,"",SUM($B$4*IF(COUNT(OX4)=0,0,OX4),$B$7*IF(COUNT(OX7)=0,0,OX7),$B$12*IF(COUNT(OX12)=0,0,OX12),$B$14*IF(COUNT(OX14)=0,0,OX14),$B$18*IF(COUNT(OX18)=0,0,OX18))/SUM($B$4*COUNT(OX4),$B$7*COUNT(OX7),$B$12*COUNT(OX12),$B$14*COUNT(OX14),$B$18*COUNT(OX18)))</f>
        <v>3.2083333333333335</v>
      </c>
      <c r="OY21" s="193">
        <f>IF(OX21="","",OX21*5)</f>
        <v>16.041666666666668</v>
      </c>
      <c r="OZ21" s="150"/>
      <c r="PA21" s="150"/>
      <c r="PB21" s="150"/>
      <c r="PC21" s="192">
        <f>IF(COUNT(PC18,PC14,PC12,PC7,PC4)=0,"",SUM($B$4*IF(COUNT(PC4)=0,0,PC4),$B$7*IF(COUNT(PC7)=0,0,PC7),$B$12*IF(COUNT(PC12)=0,0,PC12),$B$14*IF(COUNT(PC14)=0,0,PC14),$B$18*IF(COUNT(PC18)=0,0,PC18))/SUM($B$4*COUNT(PC4),$B$7*COUNT(PC7),$B$12*COUNT(PC12),$B$14*COUNT(PC14),$B$18*COUNT(PC18)))</f>
        <v>4</v>
      </c>
      <c r="PD21" s="199">
        <f>IF(PC21="","",PC21*5)</f>
        <v>20</v>
      </c>
      <c r="PE21" s="150"/>
      <c r="PF21" s="150"/>
      <c r="PG21" s="150"/>
      <c r="PH21" s="192">
        <f>IF(COUNT(PH18,PH14,PH12,PH7,PH4)=0,"",SUM($B$4*IF(COUNT(PH4)=0,0,PH4),$B$7*IF(COUNT(PH7)=0,0,PH7),$B$12*IF(COUNT(PH12)=0,0,PH12),$B$14*IF(COUNT(PH14)=0,0,PH14),$B$18*IF(COUNT(PH18)=0,0,PH18))/SUM($B$4*COUNT(PH4),$B$7*COUNT(PH7),$B$12*COUNT(PH12),$B$14*COUNT(PH14),$B$18*COUNT(PH18)))</f>
        <v>4.25</v>
      </c>
      <c r="PI21" s="214">
        <f>IF(PH21="","",PH21*5)</f>
        <v>21.25</v>
      </c>
      <c r="PJ21" s="215"/>
      <c r="PK21" s="215"/>
      <c r="PL21" s="147"/>
      <c r="PM21" s="147"/>
      <c r="PN21" s="147"/>
      <c r="PO21" s="192">
        <f>IF(COUNT(PO18,PO14,PO12,PO7,PO4)=0,"",SUM($B$4*IF(COUNT(PO4)=0,0,PO4),$B$7*IF(COUNT(PO7)=0,0,PO7),$B$12*IF(COUNT(PO12)=0,0,PO12),$B$14*IF(COUNT(PO14)=0,0,PO14),$B$18*IF(COUNT(PO18)=0,0,PO18))/SUM($B$4*COUNT(PO4),$B$7*COUNT(PO7),$B$12*COUNT(PO12),$B$14*COUNT(PO14),$B$18*COUNT(PO18)))</f>
        <v>1.5</v>
      </c>
      <c r="PP21" s="193">
        <f>IF(PO21="","",PO21*5)</f>
        <v>7.5</v>
      </c>
      <c r="PQ21" s="150"/>
      <c r="PR21" s="150"/>
      <c r="PS21" s="150"/>
      <c r="PT21" s="192">
        <f>IF(COUNT(PT18,PT14,PT12,PT7,PT4)=0,"",SUM($B$4*IF(COUNT(PT4)=0,0,PT4),$B$7*IF(COUNT(PT7)=0,0,PT7),$B$12*IF(COUNT(PT12)=0,0,PT12),$B$14*IF(COUNT(PT14)=0,0,PT14),$B$18*IF(COUNT(PT18)=0,0,PT18))/SUM($B$4*COUNT(PT4),$B$7*COUNT(PT7),$B$12*COUNT(PT12),$B$14*COUNT(PT14),$B$18*COUNT(PT18)))</f>
        <v>3.5</v>
      </c>
      <c r="PU21" s="199">
        <f>IF(PT21="","",PT21*5)</f>
        <v>17.5</v>
      </c>
      <c r="PV21" s="150"/>
      <c r="PW21" s="150"/>
      <c r="PX21" s="150"/>
      <c r="PY21" s="192">
        <f>IF(COUNT(PY18,PY14,PY12,PY7,PY4)=0,"",SUM($B$4*IF(COUNT(PY4)=0,0,PY4),$B$7*IF(COUNT(PY7)=0,0,PY7),$B$12*IF(COUNT(PY12)=0,0,PY12),$B$14*IF(COUNT(PY14)=0,0,PY14),$B$18*IF(COUNT(PY18)=0,0,PY18))/SUM($B$4*COUNT(PY4),$B$7*COUNT(PY7),$B$12*COUNT(PY12),$B$14*COUNT(PY14),$B$18*COUNT(PY18)))</f>
        <v>2.6666666666666665</v>
      </c>
      <c r="PZ21" s="214">
        <f>IF(PY21="","",PY21*5)</f>
        <v>13.333333333333332</v>
      </c>
      <c r="QA21" s="215"/>
      <c r="QB21" s="215"/>
      <c r="QC21" s="147"/>
      <c r="QD21" s="147"/>
      <c r="QE21" s="147"/>
      <c r="QF21" s="192">
        <f>IF(COUNT(QF18,QF14,QF12,QF7,QF4)=0,"",SUM($B$4*IF(COUNT(QF4)=0,0,QF4),$B$7*IF(COUNT(QF7)=0,0,QF7),$B$12*IF(COUNT(QF12)=0,0,QF12),$B$14*IF(COUNT(QF14)=0,0,QF14),$B$18*IF(COUNT(QF18)=0,0,QF18))/SUM($B$4*COUNT(QF4),$B$7*COUNT(QF7),$B$12*COUNT(QF12),$B$14*COUNT(QF14),$B$18*COUNT(QF18)))</f>
        <v>2.625</v>
      </c>
      <c r="QG21" s="193">
        <f>IF(QF21="","",QF21*5)</f>
        <v>13.125</v>
      </c>
      <c r="QH21" s="150"/>
      <c r="QI21" s="150"/>
      <c r="QJ21" s="150"/>
      <c r="QK21" s="192">
        <f>IF(COUNT(QK18,QK14,QK12,QK7,QK4)=0,"",SUM($B$4*IF(COUNT(QK4)=0,0,QK4),$B$7*IF(COUNT(QK7)=0,0,QK7),$B$12*IF(COUNT(QK12)=0,0,QK12),$B$14*IF(COUNT(QK14)=0,0,QK14),$B$18*IF(COUNT(QK18)=0,0,QK18))/SUM($B$4*COUNT(QK4),$B$7*COUNT(QK7),$B$12*COUNT(QK12),$B$14*COUNT(QK14),$B$18*COUNT(QK18)))</f>
        <v>4</v>
      </c>
      <c r="QL21" s="199">
        <f>IF(QK21="","",QK21*5)</f>
        <v>20</v>
      </c>
      <c r="QM21" s="150"/>
      <c r="QN21" s="150"/>
      <c r="QO21" s="150"/>
      <c r="QP21" s="192">
        <f>IF(COUNT(QP18,QP14,QP12,QP7,QP4)=0,"",SUM($B$4*IF(COUNT(QP4)=0,0,QP4),$B$7*IF(COUNT(QP7)=0,0,QP7),$B$12*IF(COUNT(QP12)=0,0,QP12),$B$14*IF(COUNT(QP14)=0,0,QP14),$B$18*IF(COUNT(QP18)=0,0,QP18))/SUM($B$4*COUNT(QP4),$B$7*COUNT(QP7),$B$12*COUNT(QP12),$B$14*COUNT(QP14),$B$18*COUNT(QP18)))</f>
        <v>4.166666666666667</v>
      </c>
      <c r="QQ21" s="214">
        <f>IF(QP21="","",QP21*5)</f>
        <v>20.833333333333336</v>
      </c>
      <c r="QR21" s="215"/>
      <c r="QS21" s="215"/>
      <c r="QT21" s="147"/>
      <c r="QU21" s="147"/>
      <c r="QV21" s="147"/>
      <c r="QW21" s="148">
        <f>IF(COUNT(QW18,QW14,QW12,QW7,QW4)=0,"",SUM($B$4*IF(COUNT(QW4)=0,0,QW4),$B$7*IF(COUNT(QW7)=0,0,QW7),$B$12*IF(COUNT(QW12)=0,0,QW12),$B$14*IF(COUNT(QW14)=0,0,QW14),$B$18*IF(COUNT(QW18)=0,0,QW18))/SUM($B$4*COUNT(QW4),$B$7*COUNT(QW7),$B$12*COUNT(QW12),$B$14*COUNT(QW14),$B$18*COUNT(QW18)))</f>
        <v>2.3333333333333335</v>
      </c>
      <c r="QX21" s="149">
        <f>IF(QW21="","",QW21*5)</f>
        <v>11.666666666666668</v>
      </c>
      <c r="QY21" s="150"/>
      <c r="QZ21" s="150"/>
      <c r="RA21" s="150"/>
      <c r="RB21" s="148">
        <f>IF(COUNT(RB18,RB14,RB12,RB7,RB4)=0,"",SUM($B$4*IF(COUNT(RB4)=0,0,RB4),$B$7*IF(COUNT(RB7)=0,0,RB7),$B$12*IF(COUNT(RB12)=0,0,RB12),$B$14*IF(COUNT(RB14)=0,0,RB14),$B$18*IF(COUNT(RB18)=0,0,RB18))/SUM($B$4*COUNT(RB4),$B$7*COUNT(RB7),$B$12*COUNT(RB12),$B$14*COUNT(RB14),$B$18*COUNT(RB18)))</f>
        <v>2.5</v>
      </c>
      <c r="RC21" s="151">
        <f>IF(RB21="","",RB21*5)</f>
        <v>12.5</v>
      </c>
      <c r="RD21" s="150"/>
      <c r="RE21" s="150"/>
      <c r="RF21" s="150"/>
      <c r="RG21" s="148">
        <f>IF(COUNT(RG18,RG14,RG12,RG7,RG4)=0,"",SUM($B$4*IF(COUNT(RG4)=0,0,RG4),$B$7*IF(COUNT(RG7)=0,0,RG7),$B$12*IF(COUNT(RG12)=0,0,RG12),$B$14*IF(COUNT(RG14)=0,0,RG14),$B$18*IF(COUNT(RG18)=0,0,RG18))/SUM($B$4*COUNT(RG4),$B$7*COUNT(RG7),$B$12*COUNT(RG12),$B$14*COUNT(RG14),$B$18*COUNT(RG18)))</f>
        <v>3.9583333333333335</v>
      </c>
      <c r="RH21" s="152">
        <f>IF(RG21="","",RG21*5)</f>
        <v>19.791666666666668</v>
      </c>
      <c r="RI21" s="153"/>
      <c r="RJ21" s="153"/>
      <c r="RK21" s="147"/>
      <c r="RL21" s="147"/>
      <c r="RM21" s="147"/>
      <c r="RN21" s="148" t="str">
        <f>IF(COUNT(RN18,RN14,RN12,RN7,RN4)=0,"",SUM($B$4*IF(COUNT(RN4)=0,0,RN4),$B$7*IF(COUNT(RN7)=0,0,RN7),$B$12*IF(COUNT(RN12)=0,0,RN12),$B$14*IF(COUNT(RN14)=0,0,RN14),$B$18*IF(COUNT(RN18)=0,0,RN18))/SUM($B$4*COUNT(RN4),$B$7*COUNT(RN7),$B$12*COUNT(RN12),$B$14*COUNT(RN14),$B$18*COUNT(RN18)))</f>
        <v/>
      </c>
      <c r="RO21" s="149" t="str">
        <f>IF(RN21="","",RN21*5)</f>
        <v/>
      </c>
      <c r="RP21" s="150"/>
      <c r="RQ21" s="150"/>
      <c r="RR21" s="150"/>
      <c r="RS21" s="148" t="str">
        <f>IF(COUNT(RS18,RS14,RS12,RS7,RS4)=0,"",SUM($B$4*IF(COUNT(RS4)=0,0,RS4),$B$7*IF(COUNT(RS7)=0,0,RS7),$B$12*IF(COUNT(RS12)=0,0,RS12),$B$14*IF(COUNT(RS14)=0,0,RS14),$B$18*IF(COUNT(RS18)=0,0,RS18))/SUM($B$4*COUNT(RS4),$B$7*COUNT(RS7),$B$12*COUNT(RS12),$B$14*COUNT(RS14),$B$18*COUNT(RS18)))</f>
        <v/>
      </c>
      <c r="RT21" s="151" t="str">
        <f>IF(RS21="","",RS21*5)</f>
        <v/>
      </c>
      <c r="RU21" s="150"/>
      <c r="RV21" s="150"/>
      <c r="RW21" s="150"/>
      <c r="RX21" s="148" t="str">
        <f>IF(COUNT(RX18,RX14,RX12,RX7,RX4)=0,"",SUM($B$4*IF(COUNT(RX4)=0,0,RX4),$B$7*IF(COUNT(RX7)=0,0,RX7),$B$12*IF(COUNT(RX12)=0,0,RX12),$B$14*IF(COUNT(RX14)=0,0,RX14),$B$18*IF(COUNT(RX18)=0,0,RX18))/SUM($B$4*COUNT(RX4),$B$7*COUNT(RX7),$B$12*COUNT(RX12),$B$14*COUNT(RX14),$B$18*COUNT(RX18)))</f>
        <v/>
      </c>
      <c r="RY21" s="152" t="str">
        <f>IF(RX21="","",RX21*5)</f>
        <v/>
      </c>
      <c r="RZ21" s="153"/>
      <c r="SA21" s="153"/>
      <c r="SB21" s="147"/>
      <c r="SC21" s="147"/>
      <c r="SD21" s="147"/>
      <c r="SE21" s="148" t="str">
        <f>IF(COUNT(SE18,SE14,SE12,SE7,SE4)=0,"",SUM($B$4*IF(COUNT(SE4)=0,0,SE4),$B$7*IF(COUNT(SE7)=0,0,SE7),$B$12*IF(COUNT(SE12)=0,0,SE12),$B$14*IF(COUNT(SE14)=0,0,SE14),$B$18*IF(COUNT(SE18)=0,0,SE18))/SUM($B$4*COUNT(SE4),$B$7*COUNT(SE7),$B$12*COUNT(SE12),$B$14*COUNT(SE14),$B$18*COUNT(SE18)))</f>
        <v/>
      </c>
      <c r="SF21" s="149" t="str">
        <f>IF(SE21="","",SE21*5)</f>
        <v/>
      </c>
      <c r="SG21" s="150"/>
      <c r="SH21" s="150"/>
      <c r="SI21" s="150"/>
      <c r="SJ21" s="148" t="str">
        <f>IF(COUNT(SJ18,SJ14,SJ12,SJ7,SJ4)=0,"",SUM($B$4*IF(COUNT(SJ4)=0,0,SJ4),$B$7*IF(COUNT(SJ7)=0,0,SJ7),$B$12*IF(COUNT(SJ12)=0,0,SJ12),$B$14*IF(COUNT(SJ14)=0,0,SJ14),$B$18*IF(COUNT(SJ18)=0,0,SJ18))/SUM($B$4*COUNT(SJ4),$B$7*COUNT(SJ7),$B$12*COUNT(SJ12),$B$14*COUNT(SJ14),$B$18*COUNT(SJ18)))</f>
        <v/>
      </c>
      <c r="SK21" s="151" t="str">
        <f>IF(SJ21="","",SJ21*5)</f>
        <v/>
      </c>
      <c r="SL21" s="150"/>
      <c r="SM21" s="150"/>
      <c r="SN21" s="150"/>
      <c r="SO21" s="148" t="str">
        <f>IF(COUNT(SO18,SO14,SO12,SO7,SO4)=0,"",SUM($B$4*IF(COUNT(SO4)=0,0,SO4),$B$7*IF(COUNT(SO7)=0,0,SO7),$B$12*IF(COUNT(SO12)=0,0,SO12),$B$14*IF(COUNT(SO14)=0,0,SO14),$B$18*IF(COUNT(SO18)=0,0,SO18))/SUM($B$4*COUNT(SO4),$B$7*COUNT(SO7),$B$12*COUNT(SO12),$B$14*COUNT(SO14),$B$18*COUNT(SO18)))</f>
        <v/>
      </c>
      <c r="SP21" s="152" t="str">
        <f>IF(SO21="","",SO21*5)</f>
        <v/>
      </c>
      <c r="SQ21" s="153"/>
      <c r="SR21" s="153"/>
      <c r="SS21" s="147"/>
      <c r="ST21" s="147"/>
      <c r="SU21" s="147"/>
      <c r="SV21" s="148" t="str">
        <f>IF(COUNT(SV18,SV14,SV12,SV7,SV4)=0,"",SUM($B$4*IF(COUNT(SV4)=0,0,SV4),$B$7*IF(COUNT(SV7)=0,0,SV7),$B$12*IF(COUNT(SV12)=0,0,SV12),$B$14*IF(COUNT(SV14)=0,0,SV14),$B$18*IF(COUNT(SV18)=0,0,SV18))/SUM($B$4*COUNT(SV4),$B$7*COUNT(SV7),$B$12*COUNT(SV12),$B$14*COUNT(SV14),$B$18*COUNT(SV18)))</f>
        <v/>
      </c>
      <c r="SW21" s="149" t="str">
        <f>IF(SV21="","",SV21*5)</f>
        <v/>
      </c>
      <c r="SX21" s="150"/>
      <c r="SY21" s="150"/>
      <c r="SZ21" s="150"/>
      <c r="TA21" s="148" t="str">
        <f>IF(COUNT(TA18,TA14,TA12,TA7,TA4)=0,"",SUM($B$4*IF(COUNT(TA4)=0,0,TA4),$B$7*IF(COUNT(TA7)=0,0,TA7),$B$12*IF(COUNT(TA12)=0,0,TA12),$B$14*IF(COUNT(TA14)=0,0,TA14),$B$18*IF(COUNT(TA18)=0,0,TA18))/SUM($B$4*COUNT(TA4),$B$7*COUNT(TA7),$B$12*COUNT(TA12),$B$14*COUNT(TA14),$B$18*COUNT(TA18)))</f>
        <v/>
      </c>
      <c r="TB21" s="151" t="str">
        <f>IF(TA21="","",TA21*5)</f>
        <v/>
      </c>
      <c r="TC21" s="150"/>
      <c r="TD21" s="150"/>
      <c r="TE21" s="150"/>
      <c r="TF21" s="148" t="str">
        <f>IF(COUNT(TF18,TF14,TF12,TF7,TF4)=0,"",SUM($B$4*IF(COUNT(TF4)=0,0,TF4),$B$7*IF(COUNT(TF7)=0,0,TF7),$B$12*IF(COUNT(TF12)=0,0,TF12),$B$14*IF(COUNT(TF14)=0,0,TF14),$B$18*IF(COUNT(TF18)=0,0,TF18))/SUM($B$4*COUNT(TF4),$B$7*COUNT(TF7),$B$12*COUNT(TF12),$B$14*COUNT(TF14),$B$18*COUNT(TF18)))</f>
        <v/>
      </c>
      <c r="TG21" s="152" t="str">
        <f>IF(TF21="","",TF21*5)</f>
        <v/>
      </c>
      <c r="TH21" s="153"/>
      <c r="TI21" s="153"/>
      <c r="TJ21" s="147"/>
      <c r="TK21" s="147"/>
      <c r="TL21" s="147"/>
      <c r="TM21" s="148" t="str">
        <f>IF(COUNT(TM18,TM14,TM12,TM7,TM4)=0,"",SUM($B$4*IF(COUNT(TM4)=0,0,TM4),$B$7*IF(COUNT(TM7)=0,0,TM7),$B$12*IF(COUNT(TM12)=0,0,TM12),$B$14*IF(COUNT(TM14)=0,0,TM14),$B$18*IF(COUNT(TM18)=0,0,TM18))/SUM($B$4*COUNT(TM4),$B$7*COUNT(TM7),$B$12*COUNT(TM12),$B$14*COUNT(TM14),$B$18*COUNT(TM18)))</f>
        <v/>
      </c>
      <c r="TN21" s="149" t="str">
        <f>IF(TM21="","",TM21*5)</f>
        <v/>
      </c>
      <c r="TO21" s="150"/>
      <c r="TP21" s="150"/>
      <c r="TQ21" s="150"/>
      <c r="TR21" s="148" t="str">
        <f>IF(COUNT(TR18,TR14,TR12,TR7,TR4)=0,"",SUM($B$4*IF(COUNT(TR4)=0,0,TR4),$B$7*IF(COUNT(TR7)=0,0,TR7),$B$12*IF(COUNT(TR12)=0,0,TR12),$B$14*IF(COUNT(TR14)=0,0,TR14),$B$18*IF(COUNT(TR18)=0,0,TR18))/SUM($B$4*COUNT(TR4),$B$7*COUNT(TR7),$B$12*COUNT(TR12),$B$14*COUNT(TR14),$B$18*COUNT(TR18)))</f>
        <v/>
      </c>
      <c r="TS21" s="151" t="str">
        <f>IF(TR21="","",TR21*5)</f>
        <v/>
      </c>
      <c r="TT21" s="150"/>
      <c r="TU21" s="150"/>
      <c r="TV21" s="150"/>
      <c r="TW21" s="148" t="str">
        <f>IF(COUNT(TW18,TW14,TW12,TW7,TW4)=0,"",SUM($B$4*IF(COUNT(TW4)=0,0,TW4),$B$7*IF(COUNT(TW7)=0,0,TW7),$B$12*IF(COUNT(TW12)=0,0,TW12),$B$14*IF(COUNT(TW14)=0,0,TW14),$B$18*IF(COUNT(TW18)=0,0,TW18))/SUM($B$4*COUNT(TW4),$B$7*COUNT(TW7),$B$12*COUNT(TW12),$B$14*COUNT(TW14),$B$18*COUNT(TW18)))</f>
        <v/>
      </c>
      <c r="TX21" s="152" t="str">
        <f>IF(TW21="","",TW21*5)</f>
        <v/>
      </c>
      <c r="TY21" s="153"/>
      <c r="TZ21" s="153"/>
    </row>
    <row r="22" spans="1:546" s="154" customFormat="1" ht="18" x14ac:dyDescent="0.35">
      <c r="A22" s="167"/>
      <c r="B22" s="167"/>
      <c r="F22" s="167"/>
      <c r="G22" s="167"/>
      <c r="K22" s="167"/>
      <c r="L22" s="167"/>
      <c r="P22" s="167"/>
      <c r="Q22" s="167"/>
      <c r="R22" s="195"/>
      <c r="S22" s="195"/>
      <c r="W22" s="167"/>
      <c r="X22" s="167"/>
      <c r="AB22" s="167"/>
      <c r="AC22" s="167"/>
      <c r="AG22" s="167"/>
      <c r="AH22" s="167"/>
      <c r="AI22" s="195"/>
      <c r="AJ22" s="195"/>
      <c r="AZ22" s="155"/>
      <c r="BA22" s="155"/>
      <c r="BQ22" s="155"/>
      <c r="BR22" s="155"/>
      <c r="CH22" s="155"/>
      <c r="CI22" s="155"/>
      <c r="CY22" s="155"/>
      <c r="CZ22" s="155"/>
      <c r="DP22" s="155"/>
      <c r="DQ22" s="155"/>
      <c r="EG22" s="155"/>
      <c r="EH22" s="155"/>
      <c r="EX22" s="155"/>
      <c r="EY22" s="155"/>
      <c r="FO22" s="155"/>
      <c r="FP22" s="155"/>
      <c r="GF22" s="155"/>
      <c r="GG22" s="155"/>
      <c r="GW22" s="155"/>
      <c r="GX22" s="155"/>
      <c r="HN22" s="155"/>
      <c r="HO22" s="155"/>
      <c r="IE22" s="155"/>
      <c r="IF22" s="155"/>
      <c r="IV22" s="155"/>
      <c r="IW22" s="155"/>
      <c r="JM22" s="155"/>
      <c r="JN22" s="155"/>
      <c r="KD22" s="155"/>
      <c r="KE22" s="155"/>
      <c r="KU22" s="155"/>
      <c r="KV22" s="155"/>
      <c r="LL22" s="155"/>
      <c r="LM22" s="155"/>
      <c r="MC22" s="155"/>
      <c r="MD22" s="155"/>
      <c r="MT22" s="155"/>
      <c r="MU22" s="155"/>
      <c r="NK22" s="155"/>
      <c r="NL22" s="155"/>
      <c r="OB22" s="155"/>
      <c r="OC22" s="155"/>
      <c r="OS22" s="155"/>
      <c r="OT22" s="155"/>
      <c r="PJ22" s="155"/>
      <c r="PK22" s="155"/>
      <c r="QA22" s="155"/>
      <c r="QB22" s="155"/>
      <c r="QR22" s="155"/>
      <c r="QS22" s="155"/>
      <c r="RI22" s="155"/>
      <c r="RJ22" s="155"/>
      <c r="RZ22" s="155"/>
      <c r="SA22" s="155"/>
      <c r="SQ22" s="155"/>
      <c r="SR22" s="155"/>
      <c r="TH22" s="155"/>
      <c r="TI22" s="155"/>
    </row>
    <row r="33" ht="18" x14ac:dyDescent="0.25"/>
  </sheetData>
  <sheetProtection password="9484" sheet="1" objects="1" scenarios="1" insertColumns="0" deleteColumns="0" selectLockedCells="1"/>
  <dataConsolidate/>
  <mergeCells count="394">
    <mergeCell ref="TT18:TV18"/>
    <mergeCell ref="A19:B19"/>
    <mergeCell ref="A21:B21"/>
    <mergeCell ref="SL18:SN18"/>
    <mergeCell ref="SS18:SU18"/>
    <mergeCell ref="SX18:SZ18"/>
    <mergeCell ref="TC18:TE18"/>
    <mergeCell ref="TJ18:TL18"/>
    <mergeCell ref="TO18:TQ18"/>
    <mergeCell ref="RD18:RF18"/>
    <mergeCell ref="RK18:RM18"/>
    <mergeCell ref="RP18:RR18"/>
    <mergeCell ref="RU18:RW18"/>
    <mergeCell ref="SB18:SD18"/>
    <mergeCell ref="SG18:SI18"/>
    <mergeCell ref="PV18:PX18"/>
    <mergeCell ref="QC18:QE18"/>
    <mergeCell ref="QH18:QJ18"/>
    <mergeCell ref="QM18:QO18"/>
    <mergeCell ref="QT18:QV18"/>
    <mergeCell ref="QY18:RA18"/>
    <mergeCell ref="ON18:OP18"/>
    <mergeCell ref="OU18:OW18"/>
    <mergeCell ref="OZ18:PB18"/>
    <mergeCell ref="PE18:PG18"/>
    <mergeCell ref="PL18:PN18"/>
    <mergeCell ref="PQ18:PS18"/>
    <mergeCell ref="NF18:NH18"/>
    <mergeCell ref="NM18:NO18"/>
    <mergeCell ref="NR18:NT18"/>
    <mergeCell ref="NW18:NY18"/>
    <mergeCell ref="OD18:OF18"/>
    <mergeCell ref="OI18:OK18"/>
    <mergeCell ref="LX18:LZ18"/>
    <mergeCell ref="ME18:MG18"/>
    <mergeCell ref="MJ18:ML18"/>
    <mergeCell ref="MO18:MQ18"/>
    <mergeCell ref="MV18:MX18"/>
    <mergeCell ref="NA18:NC18"/>
    <mergeCell ref="KP18:KR18"/>
    <mergeCell ref="KW18:KY18"/>
    <mergeCell ref="LB18:LD18"/>
    <mergeCell ref="LG18:LI18"/>
    <mergeCell ref="LN18:LP18"/>
    <mergeCell ref="LS18:LU18"/>
    <mergeCell ref="JH18:JJ18"/>
    <mergeCell ref="JO18:JQ18"/>
    <mergeCell ref="JT18:JV18"/>
    <mergeCell ref="JY18:KA18"/>
    <mergeCell ref="KF18:KH18"/>
    <mergeCell ref="KK18:KM18"/>
    <mergeCell ref="HZ18:IB18"/>
    <mergeCell ref="IG18:II18"/>
    <mergeCell ref="IL18:IN18"/>
    <mergeCell ref="IQ18:IS18"/>
    <mergeCell ref="IX18:IZ18"/>
    <mergeCell ref="JC18:JE18"/>
    <mergeCell ref="GR18:GT18"/>
    <mergeCell ref="GY18:HA18"/>
    <mergeCell ref="HD18:HF18"/>
    <mergeCell ref="HI18:HK18"/>
    <mergeCell ref="HP18:HR18"/>
    <mergeCell ref="HU18:HW18"/>
    <mergeCell ref="FJ18:FL18"/>
    <mergeCell ref="FQ18:FS18"/>
    <mergeCell ref="FV18:FX18"/>
    <mergeCell ref="GA18:GC18"/>
    <mergeCell ref="GH18:GJ18"/>
    <mergeCell ref="GM18:GO18"/>
    <mergeCell ref="EB18:ED18"/>
    <mergeCell ref="EI18:EK18"/>
    <mergeCell ref="EN18:EP18"/>
    <mergeCell ref="ES18:EU18"/>
    <mergeCell ref="EZ18:FB18"/>
    <mergeCell ref="FE18:FG18"/>
    <mergeCell ref="CT18:CV18"/>
    <mergeCell ref="DA18:DC18"/>
    <mergeCell ref="DF18:DH18"/>
    <mergeCell ref="DK18:DM18"/>
    <mergeCell ref="DR18:DT18"/>
    <mergeCell ref="DW18:DY18"/>
    <mergeCell ref="BL18:BN18"/>
    <mergeCell ref="BS18:BU18"/>
    <mergeCell ref="BX18:BZ18"/>
    <mergeCell ref="CC18:CE18"/>
    <mergeCell ref="CJ18:CL18"/>
    <mergeCell ref="CO18:CQ18"/>
    <mergeCell ref="AD18:AF18"/>
    <mergeCell ref="AK18:AM18"/>
    <mergeCell ref="AP18:AR18"/>
    <mergeCell ref="AU18:AW18"/>
    <mergeCell ref="BB18:BD18"/>
    <mergeCell ref="BG18:BI18"/>
    <mergeCell ref="A17:B17"/>
    <mergeCell ref="C18:E18"/>
    <mergeCell ref="H18:J18"/>
    <mergeCell ref="M18:O18"/>
    <mergeCell ref="T18:V18"/>
    <mergeCell ref="Y18:AA18"/>
    <mergeCell ref="TC14:TE14"/>
    <mergeCell ref="TJ14:TL14"/>
    <mergeCell ref="TO14:TQ14"/>
    <mergeCell ref="ON14:OP14"/>
    <mergeCell ref="OU14:OW14"/>
    <mergeCell ref="OZ14:PB14"/>
    <mergeCell ref="MO14:MQ14"/>
    <mergeCell ref="MV14:MX14"/>
    <mergeCell ref="NA14:NC14"/>
    <mergeCell ref="NF14:NH14"/>
    <mergeCell ref="NM14:NO14"/>
    <mergeCell ref="NR14:NT14"/>
    <mergeCell ref="LG14:LI14"/>
    <mergeCell ref="LN14:LP14"/>
    <mergeCell ref="LS14:LU14"/>
    <mergeCell ref="LX14:LZ14"/>
    <mergeCell ref="ME14:MG14"/>
    <mergeCell ref="MJ14:ML14"/>
    <mergeCell ref="TT14:TV14"/>
    <mergeCell ref="A15:B15"/>
    <mergeCell ref="RU14:RW14"/>
    <mergeCell ref="SB14:SD14"/>
    <mergeCell ref="SG14:SI14"/>
    <mergeCell ref="SL14:SN14"/>
    <mergeCell ref="SS14:SU14"/>
    <mergeCell ref="SX14:SZ14"/>
    <mergeCell ref="QM14:QO14"/>
    <mergeCell ref="QT14:QV14"/>
    <mergeCell ref="QY14:RA14"/>
    <mergeCell ref="RD14:RF14"/>
    <mergeCell ref="RK14:RM14"/>
    <mergeCell ref="RP14:RR14"/>
    <mergeCell ref="PE14:PG14"/>
    <mergeCell ref="PL14:PN14"/>
    <mergeCell ref="PQ14:PS14"/>
    <mergeCell ref="PV14:PX14"/>
    <mergeCell ref="QC14:QE14"/>
    <mergeCell ref="QH14:QJ14"/>
    <mergeCell ref="NW14:NY14"/>
    <mergeCell ref="OD14:OF14"/>
    <mergeCell ref="OI14:OK14"/>
    <mergeCell ref="JY14:KA14"/>
    <mergeCell ref="KF14:KH14"/>
    <mergeCell ref="KK14:KM14"/>
    <mergeCell ref="KP14:KR14"/>
    <mergeCell ref="KW14:KY14"/>
    <mergeCell ref="LB14:LD14"/>
    <mergeCell ref="IQ14:IS14"/>
    <mergeCell ref="IX14:IZ14"/>
    <mergeCell ref="JC14:JE14"/>
    <mergeCell ref="JH14:JJ14"/>
    <mergeCell ref="JO14:JQ14"/>
    <mergeCell ref="JT14:JV14"/>
    <mergeCell ref="HI14:HK14"/>
    <mergeCell ref="HP14:HR14"/>
    <mergeCell ref="HU14:HW14"/>
    <mergeCell ref="HZ14:IB14"/>
    <mergeCell ref="IG14:II14"/>
    <mergeCell ref="IL14:IN14"/>
    <mergeCell ref="GA14:GC14"/>
    <mergeCell ref="GH14:GJ14"/>
    <mergeCell ref="GM14:GO14"/>
    <mergeCell ref="GR14:GT14"/>
    <mergeCell ref="GY14:HA14"/>
    <mergeCell ref="HD14:HF14"/>
    <mergeCell ref="ES14:EU14"/>
    <mergeCell ref="EZ14:FB14"/>
    <mergeCell ref="FE14:FG14"/>
    <mergeCell ref="FJ14:FL14"/>
    <mergeCell ref="FQ14:FS14"/>
    <mergeCell ref="FV14:FX14"/>
    <mergeCell ref="DK14:DM14"/>
    <mergeCell ref="DR14:DT14"/>
    <mergeCell ref="DW14:DY14"/>
    <mergeCell ref="EB14:ED14"/>
    <mergeCell ref="EI14:EK14"/>
    <mergeCell ref="EN14:EP14"/>
    <mergeCell ref="CC14:CE14"/>
    <mergeCell ref="CJ14:CL14"/>
    <mergeCell ref="CO14:CQ14"/>
    <mergeCell ref="CT14:CV14"/>
    <mergeCell ref="DA14:DC14"/>
    <mergeCell ref="DF14:DH14"/>
    <mergeCell ref="AU14:AW14"/>
    <mergeCell ref="BB14:BD14"/>
    <mergeCell ref="BG14:BI14"/>
    <mergeCell ref="BL14:BN14"/>
    <mergeCell ref="BS14:BU14"/>
    <mergeCell ref="BX14:BZ14"/>
    <mergeCell ref="TT12:TV12"/>
    <mergeCell ref="C14:E14"/>
    <mergeCell ref="H14:J14"/>
    <mergeCell ref="M14:O14"/>
    <mergeCell ref="T14:V14"/>
    <mergeCell ref="Y14:AA14"/>
    <mergeCell ref="AD14:AF14"/>
    <mergeCell ref="AK14:AM14"/>
    <mergeCell ref="AP14:AR14"/>
    <mergeCell ref="SL12:SN12"/>
    <mergeCell ref="SS12:SU12"/>
    <mergeCell ref="SX12:SZ12"/>
    <mergeCell ref="TC12:TE12"/>
    <mergeCell ref="TJ12:TL12"/>
    <mergeCell ref="TO12:TQ12"/>
    <mergeCell ref="RD12:RF12"/>
    <mergeCell ref="RK12:RM12"/>
    <mergeCell ref="RP12:RR12"/>
    <mergeCell ref="RU12:RW12"/>
    <mergeCell ref="SB12:SD12"/>
    <mergeCell ref="SG12:SI12"/>
    <mergeCell ref="PV12:PX12"/>
    <mergeCell ref="QC12:QE12"/>
    <mergeCell ref="QH12:QJ12"/>
    <mergeCell ref="QM12:QO12"/>
    <mergeCell ref="QT12:QV12"/>
    <mergeCell ref="QY12:RA12"/>
    <mergeCell ref="ON12:OP12"/>
    <mergeCell ref="OU12:OW12"/>
    <mergeCell ref="OZ12:PB12"/>
    <mergeCell ref="PE12:PG12"/>
    <mergeCell ref="PL12:PN12"/>
    <mergeCell ref="PQ12:PS12"/>
    <mergeCell ref="NF12:NH12"/>
    <mergeCell ref="NM12:NO12"/>
    <mergeCell ref="NR12:NT12"/>
    <mergeCell ref="NW12:NY12"/>
    <mergeCell ref="OD12:OF12"/>
    <mergeCell ref="OI12:OK12"/>
    <mergeCell ref="LX12:LZ12"/>
    <mergeCell ref="ME12:MG12"/>
    <mergeCell ref="MJ12:ML12"/>
    <mergeCell ref="MO12:MQ12"/>
    <mergeCell ref="MV12:MX12"/>
    <mergeCell ref="NA12:NC12"/>
    <mergeCell ref="KP12:KR12"/>
    <mergeCell ref="KW12:KY12"/>
    <mergeCell ref="LB12:LD12"/>
    <mergeCell ref="LG12:LI12"/>
    <mergeCell ref="LN12:LP12"/>
    <mergeCell ref="LS12:LU12"/>
    <mergeCell ref="JH12:JJ12"/>
    <mergeCell ref="JO12:JQ12"/>
    <mergeCell ref="JT12:JV12"/>
    <mergeCell ref="JY12:KA12"/>
    <mergeCell ref="KF12:KH12"/>
    <mergeCell ref="KK12:KM12"/>
    <mergeCell ref="HZ12:IB12"/>
    <mergeCell ref="IG12:II12"/>
    <mergeCell ref="IL12:IN12"/>
    <mergeCell ref="IQ12:IS12"/>
    <mergeCell ref="IX12:IZ12"/>
    <mergeCell ref="JC12:JE12"/>
    <mergeCell ref="GR12:GT12"/>
    <mergeCell ref="GY12:HA12"/>
    <mergeCell ref="HD12:HF12"/>
    <mergeCell ref="HI12:HK12"/>
    <mergeCell ref="HP12:HR12"/>
    <mergeCell ref="HU12:HW12"/>
    <mergeCell ref="FJ12:FL12"/>
    <mergeCell ref="FQ12:FS12"/>
    <mergeCell ref="FV12:FX12"/>
    <mergeCell ref="GA12:GC12"/>
    <mergeCell ref="GH12:GJ12"/>
    <mergeCell ref="GM12:GO12"/>
    <mergeCell ref="EB12:ED12"/>
    <mergeCell ref="EI12:EK12"/>
    <mergeCell ref="EN12:EP12"/>
    <mergeCell ref="ES12:EU12"/>
    <mergeCell ref="EZ12:FB12"/>
    <mergeCell ref="FE12:FG12"/>
    <mergeCell ref="CT12:CV12"/>
    <mergeCell ref="DA12:DC12"/>
    <mergeCell ref="DF12:DH12"/>
    <mergeCell ref="DK12:DM12"/>
    <mergeCell ref="DR12:DT12"/>
    <mergeCell ref="DW12:DY12"/>
    <mergeCell ref="BL12:BN12"/>
    <mergeCell ref="BS12:BU12"/>
    <mergeCell ref="BX12:BZ12"/>
    <mergeCell ref="CC12:CE12"/>
    <mergeCell ref="CJ12:CL12"/>
    <mergeCell ref="CO12:CQ12"/>
    <mergeCell ref="AD12:AF12"/>
    <mergeCell ref="AK12:AM12"/>
    <mergeCell ref="AP12:AR12"/>
    <mergeCell ref="AU12:AW12"/>
    <mergeCell ref="BB12:BD12"/>
    <mergeCell ref="BG12:BI12"/>
    <mergeCell ref="TT7:TV7"/>
    <mergeCell ref="A8:B8"/>
    <mergeCell ref="A9:B9"/>
    <mergeCell ref="A11:B11"/>
    <mergeCell ref="C12:E12"/>
    <mergeCell ref="H12:J12"/>
    <mergeCell ref="M12:O12"/>
    <mergeCell ref="T12:V12"/>
    <mergeCell ref="Y12:AA12"/>
    <mergeCell ref="SL7:SN7"/>
    <mergeCell ref="SS7:SU7"/>
    <mergeCell ref="SX7:SZ7"/>
    <mergeCell ref="TC7:TE7"/>
    <mergeCell ref="TJ7:TL7"/>
    <mergeCell ref="TO7:TQ7"/>
    <mergeCell ref="RD7:RF7"/>
    <mergeCell ref="RK7:RM7"/>
    <mergeCell ref="RP7:RR7"/>
    <mergeCell ref="RU7:RW7"/>
    <mergeCell ref="SB7:SD7"/>
    <mergeCell ref="SG7:SI7"/>
    <mergeCell ref="PV7:PX7"/>
    <mergeCell ref="QC7:QE7"/>
    <mergeCell ref="QH7:QJ7"/>
    <mergeCell ref="QM7:QO7"/>
    <mergeCell ref="QT7:QV7"/>
    <mergeCell ref="QY7:RA7"/>
    <mergeCell ref="ON7:OP7"/>
    <mergeCell ref="OU7:OW7"/>
    <mergeCell ref="OZ7:PB7"/>
    <mergeCell ref="PE7:PG7"/>
    <mergeCell ref="PL7:PN7"/>
    <mergeCell ref="PQ7:PS7"/>
    <mergeCell ref="NF7:NH7"/>
    <mergeCell ref="NM7:NO7"/>
    <mergeCell ref="NR7:NT7"/>
    <mergeCell ref="NW7:NY7"/>
    <mergeCell ref="OD7:OF7"/>
    <mergeCell ref="OI7:OK7"/>
    <mergeCell ref="LX7:LZ7"/>
    <mergeCell ref="ME7:MG7"/>
    <mergeCell ref="MJ7:ML7"/>
    <mergeCell ref="MO7:MQ7"/>
    <mergeCell ref="MV7:MX7"/>
    <mergeCell ref="NA7:NC7"/>
    <mergeCell ref="KP7:KR7"/>
    <mergeCell ref="KW7:KY7"/>
    <mergeCell ref="LB7:LD7"/>
    <mergeCell ref="LG7:LI7"/>
    <mergeCell ref="LN7:LP7"/>
    <mergeCell ref="LS7:LU7"/>
    <mergeCell ref="JH7:JJ7"/>
    <mergeCell ref="JO7:JQ7"/>
    <mergeCell ref="JT7:JV7"/>
    <mergeCell ref="JY7:KA7"/>
    <mergeCell ref="KF7:KH7"/>
    <mergeCell ref="KK7:KM7"/>
    <mergeCell ref="HZ7:IB7"/>
    <mergeCell ref="IG7:II7"/>
    <mergeCell ref="IL7:IN7"/>
    <mergeCell ref="IQ7:IS7"/>
    <mergeCell ref="IX7:IZ7"/>
    <mergeCell ref="JC7:JE7"/>
    <mergeCell ref="GR7:GT7"/>
    <mergeCell ref="GY7:HA7"/>
    <mergeCell ref="HD7:HF7"/>
    <mergeCell ref="HI7:HK7"/>
    <mergeCell ref="HP7:HR7"/>
    <mergeCell ref="HU7:HW7"/>
    <mergeCell ref="FJ7:FL7"/>
    <mergeCell ref="FQ7:FS7"/>
    <mergeCell ref="FV7:FX7"/>
    <mergeCell ref="GA7:GC7"/>
    <mergeCell ref="GH7:GJ7"/>
    <mergeCell ref="GM7:GO7"/>
    <mergeCell ref="EB7:ED7"/>
    <mergeCell ref="EI7:EK7"/>
    <mergeCell ref="EN7:EP7"/>
    <mergeCell ref="ES7:EU7"/>
    <mergeCell ref="EZ7:FB7"/>
    <mergeCell ref="FE7:FG7"/>
    <mergeCell ref="CT7:CV7"/>
    <mergeCell ref="DA7:DC7"/>
    <mergeCell ref="DF7:DH7"/>
    <mergeCell ref="DK7:DM7"/>
    <mergeCell ref="DR7:DT7"/>
    <mergeCell ref="DW7:DY7"/>
    <mergeCell ref="BS7:BU7"/>
    <mergeCell ref="BX7:BZ7"/>
    <mergeCell ref="CC7:CE7"/>
    <mergeCell ref="CJ7:CL7"/>
    <mergeCell ref="CO7:CQ7"/>
    <mergeCell ref="AD7:AF7"/>
    <mergeCell ref="AK7:AM7"/>
    <mergeCell ref="AP7:AR7"/>
    <mergeCell ref="AU7:AW7"/>
    <mergeCell ref="BB7:BD7"/>
    <mergeCell ref="BG7:BI7"/>
    <mergeCell ref="A5:B5"/>
    <mergeCell ref="A6:B6"/>
    <mergeCell ref="C7:E7"/>
    <mergeCell ref="H7:J7"/>
    <mergeCell ref="M7:O7"/>
    <mergeCell ref="T7:V7"/>
    <mergeCell ref="Y7:AA7"/>
    <mergeCell ref="A1:B1"/>
    <mergeCell ref="BL7:BN7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H5:J6 M5:O6 H8:J11 M8:O11 H13:J13 M13:O13 H15:J17 M15:O17 H20:J20 M20:O20 JT5:JV6 JY5:KA6 JT8:JV11 JY8:KA11 JT13:JV13 JY13:KA13 JT15:JV17 JY15:KA17 JT20:JV20 JY20:KA20 JO8:JQ11 JO13:JQ13 JO15:JQ17 JO20:JQ20 JO5:JQ6 LB5:LD6 LG5:LI6 LB8:LD11 LG8:LI11 LB13:LD13 LG13:LI13 LB15:LD17 LG15:LI17 LB20:LD20 LG20:LI20 KW8:KY11 KW13:KY13 KW15:KY17 KW20:KY20 KW5:KY6 KK5:KM6 KP5:KR6 KK8:KM11 KP8:KR11 KK13:KM13 KP13:KR13 KK15:KM17 KP15:KR17 KK20:KM20 KP20:KR20 KF8:KH11 KF13:KH13 KF15:KH17 KF20:KH20 KF5:KH6 MJ5:ML6 MO5:MQ6 MJ8:ML11 MO8:MQ11 MJ13:ML13 MO13:MQ13 MJ15:ML17 MO15:MQ17 MJ20:ML20 MO20:MQ20 ME8:MG11 ME13:MG13 ME15:MG17 ME20:MG20 ME5:MG6 OI5:OK6 ON5:OP6 OI8:OK11 ON8:OP11 OI13:OK13 ON13:OP13 OI15:OK17 ON15:OP17 OI20:OK20 ON20:OP20 OD8:OF11 OD13:OF13 OD15:OF17 OD20:OF20 OD5:OF6 SG5:SI6 SL5:SN6 SG8:SI11 SL8:SN11 SG13:SI13 SL13:SN13 SG15:SI17 SL15:SN17 SG20:SI20 SL20:SN20 SB8:SD11 SB13:SD13 SB15:SD17 SB20:SD20 SB5:SD6 C8:E11 C13:E13 C15:E17 C20:E20 C5:E6 OZ5:PB6 PE5:PG6 OZ8:PB11 PE8:PG11 OZ13:PB13 PE13:PG13 OZ15:PB17 PE15:PG17 OZ20:PB20 PE20:PG20 OU8:OW11 OU13:OW13 OU15:OW17 OU20:OW20 OU5:OW6 PQ5:PS6 PV5:PX6 PQ8:PS11 PV8:PX11 PQ13:PS13 PV13:PX13 PQ15:PS17 PV15:PX17 PQ20:PS20 PV20:PX20 PL8:PN11 PL13:PN13 PL15:PN17 PL20:PN20 PL5:PN6 QY5:RA6 RD5:RF6 QY8:RA11 RD8:RF11 QY13:RA13 RD13:RF13 QY15:RA17 RD15:RF17 QY20:RA20 RD20:RF20 QT8:QV11 QT13:QV13 QT15:QV17 QT20:QV20 QT5:QV6 RP5:RR6 RU5:RW6 RP8:RR11 RU8:RW11 RP13:RR13 RU13:RW13 RP15:RR17 RU15:RW17 RP20:RR20 RU20:RW20 RK8:RM11 RK13:RM13 RK15:RM17 RK20:RM20 RK5:RM6 Y5:AA6 AD5:AF6 Y8:AA11 AD8:AF11 Y13:AA13 AD13:AF13 Y15:AA17 AD15:AF17 Y20:AA20 AD20:AF20 T8:V11 T13:V13 T15:V17 T20:V20 T5:V6 LS5:LU6 LX5:LZ6 LS8:LU11 LX8:LZ11 LS13:LU13 LX13:LZ13 LS15:LU17 LX15:LZ17 LS20:LU20 LX20:LZ20 LN8:LP11 LN13:LP13 LN15:LP17 LN20:LP20 LN5:LP6 QH5:QJ6 QM5:QO6 QH8:QJ11 QM8:QO11 QH13:QJ13 QM13:QO13 QH15:QJ17 QM15:QO17 QH20:QJ20 QM20:QO20 QC8:QE11 QC13:QE13 QC15:QE17 QC20:QE20 QC5:QE6 SX5:SZ6 TC5:TE6 SX8:SZ11 TC8:TE11 SX13:SZ13 TC13:TE13 SX15:SZ17 TC15:TE17 SX20:SZ20 TC20:TE20 SS8:SU11 SS13:SU13 SS15:SU17 SS20:SU20 SS5:SU6 AP5:AR6 AU5:AW6 AP8:AR11 AU8:AW11 AP13:AR13 AU13:AW13 AP15:AR17 AU15:AW17 AP20:AR20 AU20:AW20 AK8:AM11 AK13:AM13 AK15:AM17 AK20:AM20 AK5:AM6 BG5:BI6 BL5:BN6 BG8:BI11 BL8:BN11 BG13:BI13 BL13:BN13 BG15:BI17 BL15:BN17 BG20:BI20 BL20:BN20 BB8:BD11 BB13:BD13 BB15:BD17 BB20:BD20 BB5:BD6 BX5:BZ6 CC5:CE6 BX8:BZ11 CC8:CE11 BX13:BZ13 CC13:CE13 BX15:BZ17 CC15:CE17 BX20:BZ20 CC20:CE20 BS8:BU11 BS13:BU13 BS15:BU17 BS20:BU20 BS5:BU6 CO5:CQ6 CT5:CV6 CO8:CQ11 CT8:CV11 CO13:CQ13 CT13:CV13 CO15:CQ17 CT15:CV17 CO20:CQ20 CT20:CV20 CJ8:CL11 CJ13:CL13 CJ15:CL17 CJ20:CL20 CJ5:CL6 DF5:DH6 DK5:DM6 DF8:DH11 DK8:DM11 DF13:DH13 DK13:DM13 DF15:DH17 DK15:DM17 DF20:DH20 DK20:DM20 DA8:DC11 DA13:DC13 DA15:DC17 DA20:DC20 DA5:DC6 DW5:DY6 EB5:ED6 DW8:DY11 EB8:ED11 DW13:DY13 EB13:ED13 DW15:DY17 EB15:ED17 DW20:DY20 EB20:ED20 DR8:DT11 DR13:DT13 DR15:DT17 DR20:DT20 DR5:DT6 EN5:EP6 ES5:EU6 EN8:EP11 ES8:EU11 EN13:EP13 ES13:EU13 EN15:EP17 ES15:EU17 EN20:EP20 ES20:EU20 EI8:EK11 EI13:EK13 EI15:EK17 EI20:EK20 EI5:EK6 FE5:FG6 FJ5:FL6 FE8:FG11 FJ8:FL11 FE13:FG13 FJ13:FL13 FE15:FG17 FJ15:FL17 FE20:FG20 FJ20:FL20 EZ8:FB11 EZ13:FB13 EZ15:FB17 EZ20:FB20 EZ5:FB6 FV5:FX6 GA5:GC6 FV8:FX11 GA8:GC11 FV13:FX13 GA13:GC13 FV15:FX17 GA15:GC17 FV20:FX20 GA20:GC20 FQ8:FS11 FQ13:FS13 FQ15:FS17 FQ20:FS20 FQ5:FS6 GM5:GO6 GR5:GT6 GM8:GO11 GR8:GT11 GM13:GO13 GR13:GT13 GM15:GO17 GR15:GT17 GM20:GO20 GR20:GT20 GH8:GJ11 GH13:GJ13 GH15:GJ17 GH20:GJ20 GH5:GJ6 HD5:HF6 HI5:HK6 HD8:HF11 HI8:HK11 HD13:HF13 HI13:HK13 HD15:HF17 HI15:HK17 HD20:HF20 HI20:HK20 GY8:HA11 GY13:HA13 GY15:HA17 GY20:HA20 GY5:HA6 HU5:HW6 HZ5:IB6 HU8:HW11 HZ8:IB11 HU13:HW13 HZ13:IB13 HU15:HW17 HZ15:IB17 HU20:HW20 HZ20:IB20 HP8:HR11 HP13:HR13 HP15:HR17 HP20:HR20 HP5:HR6 IL5:IN6 IQ5:IS6 IL8:IN11 IQ8:IS11 IL13:IN13 IQ13:IS13 IL15:IN17 IQ15:IS17 IL20:IN20 IQ20:IS20 IG8:II11 IG13:II13 IG15:II17 IG20:II20 IG5:II6 JC5:JE6 JH5:JJ6 JC8:JE11 JH8:JJ11 JC13:JE13 JH13:JJ13 JC15:JE17 JH15:JJ17 JC20:JE20 JH20:JJ20 IX8:IZ11 IX13:IZ13 IX15:IZ17 IX20:IZ20 IX5:IZ6 NA5:NC6 NF5:NH6 NA8:NC11 NF8:NH11 NA13:NC13 NF13:NH13 NA15:NC17 NF15:NH17 NA20:NC20 NF20:NH20 MV8:MX11 MV13:MX13 MV15:MX17 MV20:MX20 MV5:MX6 NR5:NT6 NW5:NY6 NR8:NT11 NW8:NY11 NR13:NT13 NW13:NY13 NR15:NT17 NW15:NY17 NR20:NT20 NW20:NY20 NM8:NO11 NM13:NO13 NM15:NO17 NM20:NO20 NM5:NO6 TO5:TQ6 TT5:TV6 TO8:TQ11 TT8:TV11 TO13:TQ13 TT13:TV13 TO15:TQ17 TT15:TV17 TO20:TQ20 TT20:TV20 TJ8:TL11 TJ13:TL13 TJ15:TL17 TJ20:TL20 TJ5:TL6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I33"/>
  <sheetViews>
    <sheetView workbookViewId="0"/>
  </sheetViews>
  <sheetFormatPr baseColWidth="10" defaultRowHeight="15" x14ac:dyDescent="0.25"/>
  <cols>
    <col min="1" max="1" width="33.7109375" style="11" customWidth="1"/>
    <col min="2" max="2" width="4.7109375" style="11" customWidth="1"/>
    <col min="3" max="3" width="33.7109375" style="11" customWidth="1"/>
    <col min="4" max="4" width="4.7109375" style="11" customWidth="1"/>
    <col min="5" max="5" width="33.7109375" style="11" customWidth="1"/>
    <col min="6" max="6" width="4.7109375" style="11" customWidth="1"/>
    <col min="7" max="7" width="33.7109375" style="11" customWidth="1"/>
    <col min="8" max="8" width="4.7109375" style="11" customWidth="1"/>
    <col min="9" max="9" width="33.7109375" style="11" customWidth="1"/>
    <col min="10" max="10" width="11" style="11" customWidth="1"/>
    <col min="11" max="16384" width="11.42578125" style="11"/>
  </cols>
  <sheetData>
    <row r="1" spans="1:9" s="56" customFormat="1" ht="15.75" thickBot="1" x14ac:dyDescent="0.3">
      <c r="A1" s="55" t="s">
        <v>203</v>
      </c>
      <c r="C1" s="55" t="s">
        <v>204</v>
      </c>
      <c r="E1" s="55" t="s">
        <v>205</v>
      </c>
      <c r="G1" s="55" t="s">
        <v>206</v>
      </c>
      <c r="I1" s="55" t="s">
        <v>207</v>
      </c>
    </row>
    <row r="2" spans="1:9" x14ac:dyDescent="0.25">
      <c r="A2" s="57" t="s">
        <v>47</v>
      </c>
      <c r="C2" s="57" t="s">
        <v>79</v>
      </c>
      <c r="E2" s="57" t="s">
        <v>109</v>
      </c>
      <c r="G2" s="57" t="s">
        <v>136</v>
      </c>
      <c r="I2" s="58" t="s">
        <v>163</v>
      </c>
    </row>
    <row r="3" spans="1:9" x14ac:dyDescent="0.25">
      <c r="A3" s="57" t="s">
        <v>48</v>
      </c>
      <c r="C3" s="57" t="s">
        <v>80</v>
      </c>
      <c r="E3" s="57" t="s">
        <v>110</v>
      </c>
      <c r="G3" s="57" t="s">
        <v>137</v>
      </c>
      <c r="I3" s="58" t="s">
        <v>164</v>
      </c>
    </row>
    <row r="4" spans="1:9" x14ac:dyDescent="0.25">
      <c r="A4" s="57" t="s">
        <v>49</v>
      </c>
      <c r="C4" s="57" t="s">
        <v>81</v>
      </c>
      <c r="E4" s="57" t="s">
        <v>111</v>
      </c>
      <c r="G4" s="57" t="s">
        <v>138</v>
      </c>
      <c r="I4" s="58" t="s">
        <v>165</v>
      </c>
    </row>
    <row r="5" spans="1:9" x14ac:dyDescent="0.25">
      <c r="A5" s="57" t="s">
        <v>50</v>
      </c>
      <c r="C5" s="57" t="s">
        <v>82</v>
      </c>
      <c r="E5" s="57" t="s">
        <v>112</v>
      </c>
      <c r="G5" s="57" t="s">
        <v>139</v>
      </c>
      <c r="I5" s="58" t="s">
        <v>166</v>
      </c>
    </row>
    <row r="6" spans="1:9" x14ac:dyDescent="0.25">
      <c r="A6" s="57" t="s">
        <v>51</v>
      </c>
      <c r="C6" s="57" t="s">
        <v>83</v>
      </c>
      <c r="E6" s="57" t="s">
        <v>113</v>
      </c>
      <c r="G6" s="57" t="s">
        <v>140</v>
      </c>
      <c r="I6" s="58" t="s">
        <v>167</v>
      </c>
    </row>
    <row r="7" spans="1:9" x14ac:dyDescent="0.25">
      <c r="A7" s="57" t="s">
        <v>52</v>
      </c>
      <c r="C7" s="57" t="s">
        <v>84</v>
      </c>
      <c r="E7" s="57" t="s">
        <v>114</v>
      </c>
      <c r="G7" s="57" t="s">
        <v>141</v>
      </c>
      <c r="I7" s="58" t="s">
        <v>168</v>
      </c>
    </row>
    <row r="8" spans="1:9" x14ac:dyDescent="0.25">
      <c r="A8" s="57" t="s">
        <v>53</v>
      </c>
      <c r="C8" s="57" t="s">
        <v>85</v>
      </c>
      <c r="E8" s="57" t="s">
        <v>115</v>
      </c>
      <c r="G8" s="57" t="s">
        <v>142</v>
      </c>
      <c r="I8" s="58" t="s">
        <v>169</v>
      </c>
    </row>
    <row r="9" spans="1:9" x14ac:dyDescent="0.25">
      <c r="A9" s="57" t="s">
        <v>54</v>
      </c>
      <c r="C9" s="57" t="s">
        <v>86</v>
      </c>
      <c r="E9" s="57" t="s">
        <v>116</v>
      </c>
      <c r="G9" s="57" t="s">
        <v>143</v>
      </c>
      <c r="I9" s="58" t="s">
        <v>170</v>
      </c>
    </row>
    <row r="10" spans="1:9" x14ac:dyDescent="0.25">
      <c r="A10" s="57" t="s">
        <v>55</v>
      </c>
      <c r="C10" s="57" t="s">
        <v>87</v>
      </c>
      <c r="E10" s="57" t="s">
        <v>117</v>
      </c>
      <c r="G10" s="57" t="s">
        <v>144</v>
      </c>
      <c r="I10" s="58" t="s">
        <v>171</v>
      </c>
    </row>
    <row r="11" spans="1:9" x14ac:dyDescent="0.25">
      <c r="A11" s="57" t="s">
        <v>56</v>
      </c>
      <c r="C11" s="57" t="s">
        <v>88</v>
      </c>
      <c r="E11" s="57" t="s">
        <v>118</v>
      </c>
      <c r="G11" s="57" t="s">
        <v>145</v>
      </c>
      <c r="I11" s="58" t="s">
        <v>172</v>
      </c>
    </row>
    <row r="12" spans="1:9" x14ac:dyDescent="0.25">
      <c r="A12" s="57" t="s">
        <v>57</v>
      </c>
      <c r="C12" s="57" t="s">
        <v>89</v>
      </c>
      <c r="E12" s="57" t="s">
        <v>119</v>
      </c>
      <c r="G12" s="57" t="s">
        <v>146</v>
      </c>
      <c r="I12" s="58" t="s">
        <v>173</v>
      </c>
    </row>
    <row r="13" spans="1:9" x14ac:dyDescent="0.25">
      <c r="A13" s="57" t="s">
        <v>58</v>
      </c>
      <c r="C13" s="57" t="s">
        <v>90</v>
      </c>
      <c r="E13" s="57" t="s">
        <v>120</v>
      </c>
      <c r="G13" s="57" t="s">
        <v>147</v>
      </c>
      <c r="I13" s="58" t="s">
        <v>174</v>
      </c>
    </row>
    <row r="14" spans="1:9" x14ac:dyDescent="0.25">
      <c r="A14" s="57" t="s">
        <v>59</v>
      </c>
      <c r="C14" s="57" t="s">
        <v>91</v>
      </c>
      <c r="E14" s="57" t="s">
        <v>121</v>
      </c>
      <c r="G14" s="57" t="s">
        <v>148</v>
      </c>
      <c r="I14" s="58" t="s">
        <v>175</v>
      </c>
    </row>
    <row r="15" spans="1:9" x14ac:dyDescent="0.25">
      <c r="A15" s="57" t="s">
        <v>60</v>
      </c>
      <c r="C15" s="57" t="s">
        <v>92</v>
      </c>
      <c r="E15" s="57" t="s">
        <v>122</v>
      </c>
      <c r="G15" s="57" t="s">
        <v>149</v>
      </c>
      <c r="I15" s="58" t="s">
        <v>176</v>
      </c>
    </row>
    <row r="16" spans="1:9" x14ac:dyDescent="0.25">
      <c r="A16" s="57" t="s">
        <v>61</v>
      </c>
      <c r="C16" s="57" t="s">
        <v>93</v>
      </c>
      <c r="E16" s="57" t="s">
        <v>123</v>
      </c>
      <c r="G16" s="57" t="s">
        <v>150</v>
      </c>
      <c r="I16" s="58" t="s">
        <v>177</v>
      </c>
    </row>
    <row r="17" spans="1:9" x14ac:dyDescent="0.25">
      <c r="A17" s="57" t="s">
        <v>62</v>
      </c>
      <c r="C17" s="57" t="s">
        <v>94</v>
      </c>
      <c r="E17" s="57" t="s">
        <v>124</v>
      </c>
      <c r="G17" s="57" t="s">
        <v>151</v>
      </c>
      <c r="I17" s="58" t="s">
        <v>178</v>
      </c>
    </row>
    <row r="18" spans="1:9" x14ac:dyDescent="0.25">
      <c r="A18" s="57" t="s">
        <v>63</v>
      </c>
      <c r="C18" s="57" t="s">
        <v>95</v>
      </c>
      <c r="E18" s="57" t="s">
        <v>125</v>
      </c>
      <c r="G18" s="57" t="s">
        <v>152</v>
      </c>
      <c r="I18" s="58" t="s">
        <v>179</v>
      </c>
    </row>
    <row r="19" spans="1:9" x14ac:dyDescent="0.25">
      <c r="A19" s="57" t="s">
        <v>64</v>
      </c>
      <c r="C19" s="57" t="s">
        <v>96</v>
      </c>
      <c r="E19" s="57" t="s">
        <v>126</v>
      </c>
      <c r="G19" s="57" t="s">
        <v>153</v>
      </c>
      <c r="I19" s="58" t="s">
        <v>180</v>
      </c>
    </row>
    <row r="20" spans="1:9" x14ac:dyDescent="0.25">
      <c r="A20" s="57" t="s">
        <v>65</v>
      </c>
      <c r="C20" s="57" t="s">
        <v>97</v>
      </c>
      <c r="E20" s="57" t="s">
        <v>127</v>
      </c>
      <c r="G20" s="57" t="s">
        <v>154</v>
      </c>
      <c r="I20" s="58" t="s">
        <v>181</v>
      </c>
    </row>
    <row r="21" spans="1:9" x14ac:dyDescent="0.25">
      <c r="A21" s="57" t="s">
        <v>66</v>
      </c>
      <c r="C21" s="57" t="s">
        <v>98</v>
      </c>
      <c r="E21" s="57" t="s">
        <v>128</v>
      </c>
      <c r="G21" s="57" t="s">
        <v>155</v>
      </c>
      <c r="I21" s="58" t="s">
        <v>182</v>
      </c>
    </row>
    <row r="22" spans="1:9" x14ac:dyDescent="0.25">
      <c r="A22" s="57" t="s">
        <v>67</v>
      </c>
      <c r="C22" s="57" t="s">
        <v>99</v>
      </c>
      <c r="E22" s="57" t="s">
        <v>129</v>
      </c>
      <c r="G22" s="57" t="s">
        <v>156</v>
      </c>
      <c r="I22" s="58" t="s">
        <v>183</v>
      </c>
    </row>
    <row r="23" spans="1:9" x14ac:dyDescent="0.25">
      <c r="A23" s="57" t="s">
        <v>68</v>
      </c>
      <c r="C23" s="57" t="s">
        <v>100</v>
      </c>
      <c r="E23" s="57" t="s">
        <v>130</v>
      </c>
      <c r="G23" s="57" t="s">
        <v>157</v>
      </c>
      <c r="I23" s="58" t="s">
        <v>184</v>
      </c>
    </row>
    <row r="24" spans="1:9" x14ac:dyDescent="0.25">
      <c r="A24" s="57" t="s">
        <v>69</v>
      </c>
      <c r="C24" s="57" t="s">
        <v>101</v>
      </c>
      <c r="E24" s="57" t="s">
        <v>131</v>
      </c>
      <c r="G24" s="57" t="s">
        <v>158</v>
      </c>
      <c r="I24" s="58" t="s">
        <v>185</v>
      </c>
    </row>
    <row r="25" spans="1:9" x14ac:dyDescent="0.25">
      <c r="A25" s="57" t="s">
        <v>70</v>
      </c>
      <c r="C25" s="57" t="s">
        <v>102</v>
      </c>
      <c r="E25" s="57" t="s">
        <v>132</v>
      </c>
      <c r="G25" s="57" t="s">
        <v>159</v>
      </c>
      <c r="I25" s="58" t="s">
        <v>186</v>
      </c>
    </row>
    <row r="26" spans="1:9" x14ac:dyDescent="0.25">
      <c r="A26" s="57" t="s">
        <v>71</v>
      </c>
      <c r="C26" s="57" t="s">
        <v>103</v>
      </c>
      <c r="E26" s="57" t="s">
        <v>133</v>
      </c>
      <c r="G26" s="57" t="s">
        <v>160</v>
      </c>
      <c r="I26" s="58" t="s">
        <v>187</v>
      </c>
    </row>
    <row r="27" spans="1:9" x14ac:dyDescent="0.25">
      <c r="A27" s="57" t="s">
        <v>72</v>
      </c>
      <c r="C27" s="57" t="s">
        <v>104</v>
      </c>
      <c r="E27" s="57" t="s">
        <v>134</v>
      </c>
      <c r="G27" s="57" t="s">
        <v>161</v>
      </c>
      <c r="I27" s="58" t="s">
        <v>188</v>
      </c>
    </row>
    <row r="28" spans="1:9" x14ac:dyDescent="0.25">
      <c r="A28" s="57" t="s">
        <v>73</v>
      </c>
      <c r="C28" s="57" t="s">
        <v>105</v>
      </c>
      <c r="E28" s="57" t="s">
        <v>135</v>
      </c>
      <c r="G28" s="57" t="s">
        <v>162</v>
      </c>
      <c r="I28" s="58" t="s">
        <v>189</v>
      </c>
    </row>
    <row r="29" spans="1:9" x14ac:dyDescent="0.25">
      <c r="A29" s="57" t="s">
        <v>74</v>
      </c>
      <c r="C29" s="57" t="s">
        <v>106</v>
      </c>
      <c r="I29" s="58" t="s">
        <v>190</v>
      </c>
    </row>
    <row r="30" spans="1:9" x14ac:dyDescent="0.25">
      <c r="A30" s="57" t="s">
        <v>75</v>
      </c>
      <c r="C30" s="57" t="s">
        <v>107</v>
      </c>
    </row>
    <row r="31" spans="1:9" x14ac:dyDescent="0.25">
      <c r="A31" s="57" t="s">
        <v>76</v>
      </c>
      <c r="C31" s="57" t="s">
        <v>108</v>
      </c>
    </row>
    <row r="32" spans="1:9" x14ac:dyDescent="0.25">
      <c r="A32" s="57" t="s">
        <v>77</v>
      </c>
    </row>
    <row r="33" spans="1:1" x14ac:dyDescent="0.25">
      <c r="A33" s="57" t="s">
        <v>78</v>
      </c>
    </row>
  </sheetData>
  <sheetProtection algorithmName="SHA-512" hashValue="kpLoHzrqHvawaIFCAuuicXC8at4n4miSKUzf64q6dUQCJwZYHwXZGzN0+9wFJhO+Cw7b5lua5+h63De1RDcmFQ==" saltValue="YqLyRsO3IAaMdKVTjnlUjA==" spinCount="100000" sheet="1" selectLockedCell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P35"/>
  <sheetViews>
    <sheetView workbookViewId="0">
      <selection activeCell="P3" sqref="P3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6" ht="15.75" thickBot="1" x14ac:dyDescent="0.3">
      <c r="A1" s="37"/>
      <c r="B1" s="37"/>
      <c r="C1" s="37"/>
      <c r="D1" s="1"/>
      <c r="E1" s="1"/>
      <c r="F1" s="1"/>
      <c r="G1" s="1"/>
      <c r="H1" s="1"/>
      <c r="I1" s="1"/>
      <c r="J1" s="1"/>
      <c r="K1" s="1"/>
    </row>
    <row r="2" spans="1:16" ht="22.5" customHeight="1" thickBot="1" x14ac:dyDescent="0.3">
      <c r="A2" s="37"/>
      <c r="B2" s="38" t="s">
        <v>35</v>
      </c>
      <c r="C2" s="1"/>
      <c r="D2" s="39" t="s">
        <v>31</v>
      </c>
      <c r="E2" s="40" t="s">
        <v>27</v>
      </c>
      <c r="F2" s="40" t="s">
        <v>28</v>
      </c>
      <c r="G2" s="40" t="s">
        <v>29</v>
      </c>
      <c r="H2" s="41" t="s">
        <v>10</v>
      </c>
      <c r="I2" s="1"/>
      <c r="J2" s="260" t="s">
        <v>44</v>
      </c>
      <c r="K2" s="261"/>
      <c r="M2" s="65" t="s">
        <v>214</v>
      </c>
      <c r="N2" s="66"/>
      <c r="P2" s="68" t="s">
        <v>45</v>
      </c>
    </row>
    <row r="3" spans="1:16" ht="15" customHeight="1" thickBot="1" x14ac:dyDescent="0.3">
      <c r="A3" s="37"/>
      <c r="B3" s="21" t="s">
        <v>23</v>
      </c>
      <c r="C3" s="1"/>
      <c r="D3" s="12">
        <v>1</v>
      </c>
      <c r="E3" s="13">
        <f>N3+4</f>
        <v>7</v>
      </c>
      <c r="F3" s="13">
        <f>E3+N4+2</f>
        <v>12</v>
      </c>
      <c r="G3" s="13">
        <f>F3+N5+2</f>
        <v>17</v>
      </c>
      <c r="H3" s="14">
        <f>G3+2</f>
        <v>19</v>
      </c>
      <c r="I3" s="1"/>
      <c r="J3" s="63" t="s">
        <v>2</v>
      </c>
      <c r="K3" s="64">
        <v>4</v>
      </c>
      <c r="M3" s="63" t="s">
        <v>215</v>
      </c>
      <c r="N3" s="224">
        <v>3</v>
      </c>
      <c r="P3" s="67">
        <f>N3+N4+N5+8</f>
        <v>17</v>
      </c>
    </row>
    <row r="4" spans="1:16" ht="15" customHeight="1" x14ac:dyDescent="0.25">
      <c r="A4" s="37"/>
      <c r="B4" s="21" t="s">
        <v>24</v>
      </c>
      <c r="C4" s="1"/>
      <c r="D4" s="15">
        <v>2</v>
      </c>
      <c r="E4" s="16">
        <f t="shared" ref="E4:E34" si="0">E3+ $P$3</f>
        <v>24</v>
      </c>
      <c r="F4" s="16">
        <f t="shared" ref="F4:F34" si="1">F3+ $P$3</f>
        <v>29</v>
      </c>
      <c r="G4" s="16">
        <f t="shared" ref="G4:G34" si="2">G3+ $P$3</f>
        <v>34</v>
      </c>
      <c r="H4" s="17">
        <f t="shared" ref="H4:H34" si="3">H3+ $P$3</f>
        <v>36</v>
      </c>
      <c r="I4" s="1"/>
      <c r="J4" s="42" t="s">
        <v>3</v>
      </c>
      <c r="K4" s="43">
        <v>7</v>
      </c>
      <c r="M4" s="42" t="s">
        <v>28</v>
      </c>
      <c r="N4" s="225">
        <v>3</v>
      </c>
    </row>
    <row r="5" spans="1:16" ht="15" customHeight="1" thickBot="1" x14ac:dyDescent="0.3">
      <c r="A5" s="37"/>
      <c r="B5" s="21" t="s">
        <v>25</v>
      </c>
      <c r="C5" s="1"/>
      <c r="D5" s="15">
        <v>3</v>
      </c>
      <c r="E5" s="16">
        <f t="shared" si="0"/>
        <v>41</v>
      </c>
      <c r="F5" s="16">
        <f t="shared" si="1"/>
        <v>46</v>
      </c>
      <c r="G5" s="16">
        <f t="shared" si="2"/>
        <v>51</v>
      </c>
      <c r="H5" s="17">
        <f t="shared" si="3"/>
        <v>53</v>
      </c>
      <c r="I5" s="1"/>
      <c r="J5" s="42" t="s">
        <v>4</v>
      </c>
      <c r="K5" s="43">
        <v>12</v>
      </c>
      <c r="M5" s="44" t="s">
        <v>29</v>
      </c>
      <c r="N5" s="226">
        <v>3</v>
      </c>
    </row>
    <row r="6" spans="1:16" ht="15.75" thickBot="1" x14ac:dyDescent="0.3">
      <c r="A6" s="37"/>
      <c r="B6" s="22" t="s">
        <v>26</v>
      </c>
      <c r="C6" s="1"/>
      <c r="D6" s="15">
        <v>4</v>
      </c>
      <c r="E6" s="16">
        <f t="shared" si="0"/>
        <v>58</v>
      </c>
      <c r="F6" s="16">
        <f t="shared" si="1"/>
        <v>63</v>
      </c>
      <c r="G6" s="16">
        <f t="shared" si="2"/>
        <v>68</v>
      </c>
      <c r="H6" s="17">
        <f t="shared" si="3"/>
        <v>70</v>
      </c>
      <c r="I6" s="1"/>
      <c r="J6" s="42" t="s">
        <v>5</v>
      </c>
      <c r="K6" s="43">
        <v>14</v>
      </c>
    </row>
    <row r="7" spans="1:16" ht="15" customHeight="1" x14ac:dyDescent="0.25">
      <c r="A7" s="37"/>
      <c r="B7" s="1"/>
      <c r="C7" s="1"/>
      <c r="D7" s="15">
        <v>5</v>
      </c>
      <c r="E7" s="16">
        <f t="shared" si="0"/>
        <v>75</v>
      </c>
      <c r="F7" s="16">
        <f t="shared" si="1"/>
        <v>80</v>
      </c>
      <c r="G7" s="16">
        <f t="shared" si="2"/>
        <v>85</v>
      </c>
      <c r="H7" s="17">
        <f t="shared" si="3"/>
        <v>87</v>
      </c>
      <c r="I7" s="1"/>
      <c r="J7" s="42" t="s">
        <v>6</v>
      </c>
      <c r="K7" s="43">
        <v>18</v>
      </c>
    </row>
    <row r="8" spans="1:16" ht="15" customHeight="1" x14ac:dyDescent="0.25">
      <c r="A8" s="37"/>
      <c r="B8" s="1"/>
      <c r="C8" s="1"/>
      <c r="D8" s="15">
        <v>6</v>
      </c>
      <c r="E8" s="16">
        <f t="shared" si="0"/>
        <v>92</v>
      </c>
      <c r="F8" s="16">
        <f t="shared" si="1"/>
        <v>97</v>
      </c>
      <c r="G8" s="16">
        <f t="shared" si="2"/>
        <v>102</v>
      </c>
      <c r="H8" s="17">
        <f t="shared" si="3"/>
        <v>104</v>
      </c>
      <c r="I8" s="1"/>
      <c r="J8" s="42" t="s">
        <v>34</v>
      </c>
      <c r="K8" s="43">
        <v>21</v>
      </c>
    </row>
    <row r="9" spans="1:16" ht="15" customHeight="1" thickBot="1" x14ac:dyDescent="0.3">
      <c r="A9" s="37"/>
      <c r="B9" s="1"/>
      <c r="C9" s="1"/>
      <c r="D9" s="15">
        <v>7</v>
      </c>
      <c r="E9" s="16">
        <f t="shared" si="0"/>
        <v>109</v>
      </c>
      <c r="F9" s="16">
        <f t="shared" si="1"/>
        <v>114</v>
      </c>
      <c r="G9" s="16">
        <f t="shared" si="2"/>
        <v>119</v>
      </c>
      <c r="H9" s="17">
        <f t="shared" si="3"/>
        <v>121</v>
      </c>
      <c r="I9" s="1"/>
      <c r="J9" s="44" t="s">
        <v>39</v>
      </c>
      <c r="K9" s="45">
        <v>8</v>
      </c>
    </row>
    <row r="10" spans="1:16" x14ac:dyDescent="0.25">
      <c r="A10" s="37"/>
      <c r="B10" s="1"/>
      <c r="C10" s="1"/>
      <c r="D10" s="15">
        <v>8</v>
      </c>
      <c r="E10" s="16">
        <f t="shared" si="0"/>
        <v>126</v>
      </c>
      <c r="F10" s="16">
        <f t="shared" si="1"/>
        <v>131</v>
      </c>
      <c r="G10" s="16">
        <f t="shared" si="2"/>
        <v>136</v>
      </c>
      <c r="H10" s="17">
        <f t="shared" si="3"/>
        <v>138</v>
      </c>
      <c r="I10" s="1"/>
    </row>
    <row r="11" spans="1:16" ht="15" customHeight="1" x14ac:dyDescent="0.25">
      <c r="A11" s="37"/>
      <c r="B11" s="1"/>
      <c r="C11" s="1"/>
      <c r="D11" s="15">
        <v>9</v>
      </c>
      <c r="E11" s="16">
        <f t="shared" si="0"/>
        <v>143</v>
      </c>
      <c r="F11" s="16">
        <f t="shared" si="1"/>
        <v>148</v>
      </c>
      <c r="G11" s="16">
        <f t="shared" si="2"/>
        <v>153</v>
      </c>
      <c r="H11" s="17">
        <f t="shared" si="3"/>
        <v>155</v>
      </c>
      <c r="I11" s="1"/>
      <c r="J11" s="1"/>
      <c r="K11" s="1"/>
    </row>
    <row r="12" spans="1:16" ht="15" customHeight="1" x14ac:dyDescent="0.25">
      <c r="A12" s="37"/>
      <c r="B12" s="1"/>
      <c r="C12" s="1"/>
      <c r="D12" s="15">
        <v>10</v>
      </c>
      <c r="E12" s="16">
        <f t="shared" si="0"/>
        <v>160</v>
      </c>
      <c r="F12" s="16">
        <f t="shared" si="1"/>
        <v>165</v>
      </c>
      <c r="G12" s="16">
        <f t="shared" si="2"/>
        <v>170</v>
      </c>
      <c r="H12" s="17">
        <f t="shared" si="3"/>
        <v>172</v>
      </c>
      <c r="I12" s="1"/>
      <c r="J12" s="1"/>
      <c r="K12" s="1"/>
    </row>
    <row r="13" spans="1:16" ht="15" customHeight="1" x14ac:dyDescent="0.25">
      <c r="A13" s="37"/>
      <c r="B13" s="1"/>
      <c r="C13" s="1"/>
      <c r="D13" s="15">
        <v>11</v>
      </c>
      <c r="E13" s="16">
        <f t="shared" si="0"/>
        <v>177</v>
      </c>
      <c r="F13" s="16">
        <f t="shared" si="1"/>
        <v>182</v>
      </c>
      <c r="G13" s="16">
        <f t="shared" si="2"/>
        <v>187</v>
      </c>
      <c r="H13" s="17">
        <f t="shared" si="3"/>
        <v>189</v>
      </c>
      <c r="I13" s="1"/>
      <c r="J13" s="1"/>
      <c r="K13" s="1"/>
    </row>
    <row r="14" spans="1:16" ht="15" customHeight="1" x14ac:dyDescent="0.25">
      <c r="A14" s="37"/>
      <c r="B14" s="1"/>
      <c r="C14" s="1"/>
      <c r="D14" s="15">
        <v>12</v>
      </c>
      <c r="E14" s="16">
        <f t="shared" si="0"/>
        <v>194</v>
      </c>
      <c r="F14" s="16">
        <f t="shared" si="1"/>
        <v>199</v>
      </c>
      <c r="G14" s="16">
        <f t="shared" si="2"/>
        <v>204</v>
      </c>
      <c r="H14" s="17">
        <f t="shared" si="3"/>
        <v>206</v>
      </c>
      <c r="I14" s="1"/>
      <c r="J14" s="223"/>
      <c r="K14" s="1"/>
    </row>
    <row r="15" spans="1:16" ht="15" customHeight="1" x14ac:dyDescent="0.25">
      <c r="A15" s="37"/>
      <c r="B15" s="1"/>
      <c r="C15" s="1"/>
      <c r="D15" s="15">
        <v>13</v>
      </c>
      <c r="E15" s="16">
        <f t="shared" si="0"/>
        <v>211</v>
      </c>
      <c r="F15" s="16">
        <f t="shared" si="1"/>
        <v>216</v>
      </c>
      <c r="G15" s="16">
        <f t="shared" si="2"/>
        <v>221</v>
      </c>
      <c r="H15" s="17">
        <f t="shared" si="3"/>
        <v>223</v>
      </c>
      <c r="I15" s="1"/>
      <c r="J15" s="1"/>
      <c r="K15" s="1"/>
    </row>
    <row r="16" spans="1:16" ht="15" customHeight="1" x14ac:dyDescent="0.25">
      <c r="A16" s="37"/>
      <c r="B16" s="1"/>
      <c r="C16" s="1"/>
      <c r="D16" s="15">
        <v>14</v>
      </c>
      <c r="E16" s="16">
        <f t="shared" si="0"/>
        <v>228</v>
      </c>
      <c r="F16" s="16">
        <f t="shared" si="1"/>
        <v>233</v>
      </c>
      <c r="G16" s="16">
        <f t="shared" si="2"/>
        <v>238</v>
      </c>
      <c r="H16" s="17">
        <f t="shared" si="3"/>
        <v>240</v>
      </c>
      <c r="I16" s="1"/>
      <c r="J16" s="1"/>
      <c r="K16" s="1"/>
    </row>
    <row r="17" spans="1:11" ht="15" customHeight="1" x14ac:dyDescent="0.25">
      <c r="A17" s="37"/>
      <c r="B17" s="1"/>
      <c r="C17" s="1"/>
      <c r="D17" s="15">
        <v>15</v>
      </c>
      <c r="E17" s="16">
        <f t="shared" si="0"/>
        <v>245</v>
      </c>
      <c r="F17" s="16">
        <f t="shared" si="1"/>
        <v>250</v>
      </c>
      <c r="G17" s="16">
        <f t="shared" si="2"/>
        <v>255</v>
      </c>
      <c r="H17" s="17">
        <f t="shared" si="3"/>
        <v>257</v>
      </c>
      <c r="I17" s="1"/>
      <c r="J17" s="1"/>
      <c r="K17" s="1"/>
    </row>
    <row r="18" spans="1:11" ht="15" customHeight="1" x14ac:dyDescent="0.25">
      <c r="A18" s="37"/>
      <c r="B18" s="1"/>
      <c r="C18" s="1"/>
      <c r="D18" s="15">
        <v>16</v>
      </c>
      <c r="E18" s="16">
        <f t="shared" si="0"/>
        <v>262</v>
      </c>
      <c r="F18" s="16">
        <f t="shared" si="1"/>
        <v>267</v>
      </c>
      <c r="G18" s="16">
        <f t="shared" si="2"/>
        <v>272</v>
      </c>
      <c r="H18" s="17">
        <f t="shared" si="3"/>
        <v>274</v>
      </c>
      <c r="I18" s="1"/>
      <c r="J18" s="1"/>
      <c r="K18" s="1"/>
    </row>
    <row r="19" spans="1:11" ht="15" customHeight="1" x14ac:dyDescent="0.25">
      <c r="A19" s="37"/>
      <c r="B19" s="1"/>
      <c r="C19" s="1"/>
      <c r="D19" s="15">
        <v>17</v>
      </c>
      <c r="E19" s="16">
        <f t="shared" si="0"/>
        <v>279</v>
      </c>
      <c r="F19" s="16">
        <f t="shared" si="1"/>
        <v>284</v>
      </c>
      <c r="G19" s="16">
        <f t="shared" si="2"/>
        <v>289</v>
      </c>
      <c r="H19" s="17">
        <f t="shared" si="3"/>
        <v>291</v>
      </c>
      <c r="I19" s="1"/>
      <c r="J19" s="1"/>
      <c r="K19" s="1"/>
    </row>
    <row r="20" spans="1:11" ht="15" customHeight="1" x14ac:dyDescent="0.25">
      <c r="A20" s="37"/>
      <c r="B20" s="1"/>
      <c r="C20" s="1"/>
      <c r="D20" s="15">
        <v>18</v>
      </c>
      <c r="E20" s="16">
        <f t="shared" si="0"/>
        <v>296</v>
      </c>
      <c r="F20" s="16">
        <f t="shared" si="1"/>
        <v>301</v>
      </c>
      <c r="G20" s="16">
        <f t="shared" si="2"/>
        <v>306</v>
      </c>
      <c r="H20" s="17">
        <f t="shared" si="3"/>
        <v>308</v>
      </c>
      <c r="I20" s="1"/>
      <c r="J20" s="1"/>
      <c r="K20" s="1"/>
    </row>
    <row r="21" spans="1:11" ht="15" customHeight="1" x14ac:dyDescent="0.25">
      <c r="A21" s="37"/>
      <c r="B21" s="1"/>
      <c r="C21" s="1"/>
      <c r="D21" s="15">
        <v>19</v>
      </c>
      <c r="E21" s="16">
        <f t="shared" si="0"/>
        <v>313</v>
      </c>
      <c r="F21" s="16">
        <f t="shared" si="1"/>
        <v>318</v>
      </c>
      <c r="G21" s="16">
        <f t="shared" si="2"/>
        <v>323</v>
      </c>
      <c r="H21" s="17">
        <f t="shared" si="3"/>
        <v>325</v>
      </c>
      <c r="I21" s="1"/>
      <c r="J21" s="1"/>
      <c r="K21" s="1"/>
    </row>
    <row r="22" spans="1:11" ht="15" customHeight="1" x14ac:dyDescent="0.25">
      <c r="A22" s="37"/>
      <c r="B22" s="1"/>
      <c r="C22" s="1"/>
      <c r="D22" s="15">
        <v>20</v>
      </c>
      <c r="E22" s="16">
        <f t="shared" si="0"/>
        <v>330</v>
      </c>
      <c r="F22" s="16">
        <f t="shared" si="1"/>
        <v>335</v>
      </c>
      <c r="G22" s="16">
        <f t="shared" si="2"/>
        <v>340</v>
      </c>
      <c r="H22" s="17">
        <f t="shared" si="3"/>
        <v>342</v>
      </c>
      <c r="I22" s="1"/>
      <c r="J22" s="1"/>
      <c r="K22" s="1"/>
    </row>
    <row r="23" spans="1:11" ht="15" customHeight="1" x14ac:dyDescent="0.25">
      <c r="A23" s="37"/>
      <c r="B23" s="1"/>
      <c r="C23" s="1"/>
      <c r="D23" s="15">
        <v>21</v>
      </c>
      <c r="E23" s="16">
        <f t="shared" si="0"/>
        <v>347</v>
      </c>
      <c r="F23" s="16">
        <f t="shared" si="1"/>
        <v>352</v>
      </c>
      <c r="G23" s="16">
        <f t="shared" si="2"/>
        <v>357</v>
      </c>
      <c r="H23" s="17">
        <f t="shared" si="3"/>
        <v>359</v>
      </c>
      <c r="I23" s="1"/>
      <c r="J23" s="1"/>
      <c r="K23" s="1"/>
    </row>
    <row r="24" spans="1:11" ht="15" customHeight="1" x14ac:dyDescent="0.25">
      <c r="A24" s="37"/>
      <c r="B24" s="1"/>
      <c r="C24" s="1"/>
      <c r="D24" s="15">
        <v>22</v>
      </c>
      <c r="E24" s="16">
        <f t="shared" si="0"/>
        <v>364</v>
      </c>
      <c r="F24" s="16">
        <f t="shared" si="1"/>
        <v>369</v>
      </c>
      <c r="G24" s="16">
        <f t="shared" si="2"/>
        <v>374</v>
      </c>
      <c r="H24" s="17">
        <f t="shared" si="3"/>
        <v>376</v>
      </c>
      <c r="I24" s="1"/>
      <c r="J24" s="1"/>
      <c r="K24" s="1"/>
    </row>
    <row r="25" spans="1:11" ht="15" customHeight="1" x14ac:dyDescent="0.25">
      <c r="A25" s="37"/>
      <c r="B25" s="1"/>
      <c r="C25" s="1"/>
      <c r="D25" s="15">
        <v>23</v>
      </c>
      <c r="E25" s="16">
        <f t="shared" si="0"/>
        <v>381</v>
      </c>
      <c r="F25" s="16">
        <f t="shared" si="1"/>
        <v>386</v>
      </c>
      <c r="G25" s="16">
        <f t="shared" si="2"/>
        <v>391</v>
      </c>
      <c r="H25" s="17">
        <f t="shared" si="3"/>
        <v>393</v>
      </c>
      <c r="I25" s="1"/>
      <c r="J25" s="1"/>
      <c r="K25" s="1"/>
    </row>
    <row r="26" spans="1:11" ht="15" customHeight="1" x14ac:dyDescent="0.25">
      <c r="A26" s="37"/>
      <c r="B26" s="1"/>
      <c r="C26" s="1"/>
      <c r="D26" s="15">
        <v>24</v>
      </c>
      <c r="E26" s="16">
        <f t="shared" si="0"/>
        <v>398</v>
      </c>
      <c r="F26" s="16">
        <f t="shared" si="1"/>
        <v>403</v>
      </c>
      <c r="G26" s="16">
        <f t="shared" si="2"/>
        <v>408</v>
      </c>
      <c r="H26" s="17">
        <f t="shared" si="3"/>
        <v>410</v>
      </c>
      <c r="I26" s="1"/>
      <c r="J26" s="1"/>
      <c r="K26" s="1"/>
    </row>
    <row r="27" spans="1:11" ht="15" customHeight="1" x14ac:dyDescent="0.25">
      <c r="A27" s="37"/>
      <c r="B27" s="1"/>
      <c r="C27" s="1"/>
      <c r="D27" s="15">
        <v>25</v>
      </c>
      <c r="E27" s="16">
        <f t="shared" si="0"/>
        <v>415</v>
      </c>
      <c r="F27" s="16">
        <f t="shared" si="1"/>
        <v>420</v>
      </c>
      <c r="G27" s="16">
        <f t="shared" si="2"/>
        <v>425</v>
      </c>
      <c r="H27" s="17">
        <f t="shared" si="3"/>
        <v>427</v>
      </c>
      <c r="I27" s="1"/>
      <c r="J27" s="1"/>
      <c r="K27" s="1"/>
    </row>
    <row r="28" spans="1:11" ht="15" customHeight="1" x14ac:dyDescent="0.25">
      <c r="A28" s="37"/>
      <c r="B28" s="1"/>
      <c r="C28" s="1"/>
      <c r="D28" s="15">
        <v>26</v>
      </c>
      <c r="E28" s="16">
        <f t="shared" si="0"/>
        <v>432</v>
      </c>
      <c r="F28" s="16">
        <f t="shared" si="1"/>
        <v>437</v>
      </c>
      <c r="G28" s="16">
        <f t="shared" si="2"/>
        <v>442</v>
      </c>
      <c r="H28" s="17">
        <f t="shared" si="3"/>
        <v>444</v>
      </c>
      <c r="I28" s="1"/>
      <c r="J28" s="1"/>
      <c r="K28" s="1"/>
    </row>
    <row r="29" spans="1:11" ht="15" customHeight="1" x14ac:dyDescent="0.25">
      <c r="A29" s="37"/>
      <c r="B29" s="1"/>
      <c r="C29" s="1"/>
      <c r="D29" s="15">
        <v>27</v>
      </c>
      <c r="E29" s="16">
        <f t="shared" si="0"/>
        <v>449</v>
      </c>
      <c r="F29" s="16">
        <f t="shared" si="1"/>
        <v>454</v>
      </c>
      <c r="G29" s="16">
        <f t="shared" si="2"/>
        <v>459</v>
      </c>
      <c r="H29" s="17">
        <f t="shared" si="3"/>
        <v>461</v>
      </c>
      <c r="I29" s="1"/>
      <c r="J29" s="1"/>
      <c r="K29" s="1"/>
    </row>
    <row r="30" spans="1:11" ht="15" customHeight="1" x14ac:dyDescent="0.25">
      <c r="A30" s="37"/>
      <c r="B30" s="1"/>
      <c r="C30" s="1"/>
      <c r="D30" s="15">
        <v>28</v>
      </c>
      <c r="E30" s="16">
        <f t="shared" si="0"/>
        <v>466</v>
      </c>
      <c r="F30" s="16">
        <f t="shared" si="1"/>
        <v>471</v>
      </c>
      <c r="G30" s="16">
        <f t="shared" si="2"/>
        <v>476</v>
      </c>
      <c r="H30" s="17">
        <f t="shared" si="3"/>
        <v>478</v>
      </c>
      <c r="I30" s="1"/>
      <c r="J30" s="1"/>
      <c r="K30" s="1"/>
    </row>
    <row r="31" spans="1:11" ht="15" customHeight="1" x14ac:dyDescent="0.25">
      <c r="A31" s="37"/>
      <c r="B31" s="1"/>
      <c r="C31" s="1"/>
      <c r="D31" s="15">
        <v>29</v>
      </c>
      <c r="E31" s="16">
        <f t="shared" si="0"/>
        <v>483</v>
      </c>
      <c r="F31" s="16">
        <f t="shared" si="1"/>
        <v>488</v>
      </c>
      <c r="G31" s="16">
        <f t="shared" si="2"/>
        <v>493</v>
      </c>
      <c r="H31" s="17">
        <f t="shared" si="3"/>
        <v>495</v>
      </c>
      <c r="I31" s="1"/>
      <c r="J31" s="1"/>
      <c r="K31" s="1"/>
    </row>
    <row r="32" spans="1:11" ht="15" customHeight="1" x14ac:dyDescent="0.25">
      <c r="A32" s="37"/>
      <c r="B32" s="1"/>
      <c r="C32" s="1"/>
      <c r="D32" s="15">
        <v>30</v>
      </c>
      <c r="E32" s="16">
        <f t="shared" si="0"/>
        <v>500</v>
      </c>
      <c r="F32" s="16">
        <f t="shared" si="1"/>
        <v>505</v>
      </c>
      <c r="G32" s="16">
        <f t="shared" si="2"/>
        <v>510</v>
      </c>
      <c r="H32" s="17">
        <f t="shared" si="3"/>
        <v>512</v>
      </c>
      <c r="I32" s="1"/>
      <c r="J32" s="1"/>
      <c r="K32" s="1"/>
    </row>
    <row r="33" spans="1:11" ht="15" customHeight="1" x14ac:dyDescent="0.25">
      <c r="A33" s="37"/>
      <c r="B33" s="1"/>
      <c r="C33" s="1"/>
      <c r="D33" s="15">
        <v>31</v>
      </c>
      <c r="E33" s="16">
        <f t="shared" si="0"/>
        <v>517</v>
      </c>
      <c r="F33" s="16">
        <f t="shared" si="1"/>
        <v>522</v>
      </c>
      <c r="G33" s="16">
        <f t="shared" si="2"/>
        <v>527</v>
      </c>
      <c r="H33" s="17">
        <f t="shared" si="3"/>
        <v>529</v>
      </c>
      <c r="I33" s="1"/>
      <c r="J33" s="1"/>
      <c r="K33" s="1"/>
    </row>
    <row r="34" spans="1:11" ht="15.75" thickBot="1" x14ac:dyDescent="0.3">
      <c r="A34" s="37"/>
      <c r="B34" s="1"/>
      <c r="C34" s="1"/>
      <c r="D34" s="18">
        <v>32</v>
      </c>
      <c r="E34" s="19">
        <f t="shared" si="0"/>
        <v>534</v>
      </c>
      <c r="F34" s="19">
        <f t="shared" si="1"/>
        <v>539</v>
      </c>
      <c r="G34" s="19">
        <f t="shared" si="2"/>
        <v>544</v>
      </c>
      <c r="H34" s="20">
        <f t="shared" si="3"/>
        <v>546</v>
      </c>
      <c r="I34" s="1"/>
      <c r="J34" s="1"/>
      <c r="K34" s="1"/>
    </row>
    <row r="35" spans="1:11" x14ac:dyDescent="0.25">
      <c r="A35" s="37"/>
      <c r="B35" s="37"/>
      <c r="C35" s="37"/>
      <c r="D35" s="37"/>
      <c r="E35" s="37"/>
      <c r="F35" s="37"/>
      <c r="G35" s="37"/>
      <c r="H35" s="1"/>
      <c r="I35" s="1"/>
      <c r="J35" s="1"/>
      <c r="K35" s="1"/>
    </row>
  </sheetData>
  <sheetProtection selectLockedCells="1" selectUnlockedCells="1"/>
  <mergeCells count="1">
    <mergeCell ref="J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Classe (6ème1)</vt:lpstr>
      <vt:lpstr>Elève (6ème1)</vt:lpstr>
      <vt:lpstr>Classe (6ème2)</vt:lpstr>
      <vt:lpstr>Elève (6ème2)</vt:lpstr>
      <vt:lpstr>Classe (6ème3)</vt:lpstr>
      <vt:lpstr>Elève (6ème3)</vt:lpstr>
      <vt:lpstr>Classe (6ème4)</vt:lpstr>
      <vt:lpstr>Elève (6ème4)</vt:lpstr>
      <vt:lpstr>Liste 6ème</vt:lpstr>
      <vt:lpstr>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Professeur</cp:lastModifiedBy>
  <cp:lastPrinted>2018-06-12T12:22:44Z</cp:lastPrinted>
  <dcterms:created xsi:type="dcterms:W3CDTF">2017-10-30T16:06:34Z</dcterms:created>
  <dcterms:modified xsi:type="dcterms:W3CDTF">2018-06-12T12:48:49Z</dcterms:modified>
</cp:coreProperties>
</file>