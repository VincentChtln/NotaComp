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tilisateur\Dropbox\COMPETENCES CYCLE  4\5ème\fichier modif 26 02 2018\"/>
    </mc:Choice>
  </mc:AlternateContent>
  <bookViews>
    <workbookView xWindow="0" yWindow="0" windowWidth="19200" windowHeight="7110" tabRatio="711" firstSheet="1" activeTab="2"/>
  </bookViews>
  <sheets>
    <sheet name="Classe (5ème1)" sheetId="13" r:id="rId1"/>
    <sheet name="Elève (5ème1)" sheetId="14" r:id="rId2"/>
    <sheet name="Classe (5ème3)" sheetId="9" r:id="rId3"/>
    <sheet name="Elève (5ème3)" sheetId="10" r:id="rId4"/>
    <sheet name="Classe (5ème4)" sheetId="7" r:id="rId5"/>
    <sheet name="Elève (5ème4)" sheetId="8" r:id="rId6"/>
    <sheet name="Liste 5ème" sheetId="16" r:id="rId7"/>
    <sheet name="ref" sheetId="3" r:id="rId8"/>
  </sheets>
  <functionGroups builtInGroupCount="18"/>
  <definedNames>
    <definedName name="_xlnm._FilterDatabase" localSheetId="1" hidden="1">'Elève (5ème1)'!$A$2:$TV$26</definedName>
    <definedName name="_xlnm._FilterDatabase" localSheetId="3" hidden="1">'Elève (5ème3)'!$A$2:$TS$26</definedName>
    <definedName name="_xlnm._FilterDatabase" localSheetId="5" hidden="1">'Elève (5ème4)'!$A$2:$TT$26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3" i="8" l="1"/>
  <c r="AY3" i="8" s="1"/>
  <c r="BQ3" i="8" s="1"/>
  <c r="CI3" i="8" s="1"/>
  <c r="DA3" i="8" s="1"/>
  <c r="DS3" i="8" s="1"/>
  <c r="EK3" i="8" s="1"/>
  <c r="FC3" i="8" s="1"/>
  <c r="FU3" i="8" s="1"/>
  <c r="GM3" i="8" s="1"/>
  <c r="HE3" i="8" s="1"/>
  <c r="HW3" i="8" s="1"/>
  <c r="IO3" i="8" s="1"/>
  <c r="JG3" i="8" s="1"/>
  <c r="JY3" i="8" s="1"/>
  <c r="KQ3" i="8" s="1"/>
  <c r="LI3" i="8" s="1"/>
  <c r="MA3" i="8" s="1"/>
  <c r="MS3" i="8" s="1"/>
  <c r="NK3" i="8" s="1"/>
  <c r="OC3" i="8" s="1"/>
  <c r="OU3" i="8" s="1"/>
  <c r="PM3" i="8" s="1"/>
  <c r="QE3" i="8" s="1"/>
  <c r="QW3" i="8" s="1"/>
  <c r="RO3" i="8" s="1"/>
  <c r="SG3" i="8" s="1"/>
  <c r="AG3" i="10"/>
  <c r="AY3" i="10" s="1"/>
  <c r="BQ3" i="10" s="1"/>
  <c r="CI3" i="10" s="1"/>
  <c r="DA3" i="10" s="1"/>
  <c r="DS3" i="10" s="1"/>
  <c r="EK3" i="10" s="1"/>
  <c r="FC3" i="10" s="1"/>
  <c r="FU3" i="10" s="1"/>
  <c r="GM3" i="10" s="1"/>
  <c r="HE3" i="10" s="1"/>
  <c r="HW3" i="10" s="1"/>
  <c r="IO3" i="10" s="1"/>
  <c r="JG3" i="10" s="1"/>
  <c r="JY3" i="10" s="1"/>
  <c r="KQ3" i="10" s="1"/>
  <c r="LI3" i="10" s="1"/>
  <c r="MA3" i="10" s="1"/>
  <c r="MS3" i="10" s="1"/>
  <c r="NK3" i="10" s="1"/>
  <c r="OC3" i="10" s="1"/>
  <c r="OU3" i="10" s="1"/>
  <c r="PM3" i="10" s="1"/>
  <c r="QE3" i="10" s="1"/>
  <c r="QW3" i="10" s="1"/>
  <c r="RO3" i="10" s="1"/>
  <c r="AG3" i="14"/>
  <c r="AY3" i="14" s="1"/>
  <c r="BQ3" i="14" s="1"/>
  <c r="CI3" i="14" s="1"/>
  <c r="DA3" i="14" s="1"/>
  <c r="DS3" i="14" s="1"/>
  <c r="EK3" i="14" s="1"/>
  <c r="FC3" i="14" s="1"/>
  <c r="FU3" i="14" s="1"/>
  <c r="GM3" i="14" s="1"/>
  <c r="HE3" i="14" s="1"/>
  <c r="HW3" i="14" s="1"/>
  <c r="IO3" i="14" s="1"/>
  <c r="JG3" i="14" s="1"/>
  <c r="JY3" i="14" s="1"/>
  <c r="KQ3" i="14" s="1"/>
  <c r="LI3" i="14" s="1"/>
  <c r="MA3" i="14" s="1"/>
  <c r="MS3" i="14" s="1"/>
  <c r="NK3" i="14" s="1"/>
  <c r="OC3" i="14" s="1"/>
  <c r="OU3" i="14" s="1"/>
  <c r="PM3" i="14" s="1"/>
  <c r="QE3" i="14" s="1"/>
  <c r="QW3" i="14" s="1"/>
  <c r="RO3" i="14" s="1"/>
  <c r="SG3" i="14" s="1"/>
  <c r="SY3" i="14" s="1"/>
  <c r="TQ3" i="14" s="1"/>
  <c r="AB3" i="8" l="1"/>
  <c r="AT3" i="8" s="1"/>
  <c r="BL3" i="8" s="1"/>
  <c r="CD3" i="8" s="1"/>
  <c r="CV3" i="8" s="1"/>
  <c r="DN3" i="8" s="1"/>
  <c r="EF3" i="8" s="1"/>
  <c r="EX3" i="8" s="1"/>
  <c r="FP3" i="8" s="1"/>
  <c r="GH3" i="8" s="1"/>
  <c r="GZ3" i="8" s="1"/>
  <c r="HR3" i="8" s="1"/>
  <c r="IJ3" i="8" s="1"/>
  <c r="JB3" i="8" s="1"/>
  <c r="JT3" i="8" s="1"/>
  <c r="KL3" i="8" s="1"/>
  <c r="LD3" i="8" s="1"/>
  <c r="LV3" i="8" s="1"/>
  <c r="MN3" i="8" s="1"/>
  <c r="NF3" i="8" s="1"/>
  <c r="NX3" i="8" s="1"/>
  <c r="OP3" i="8" s="1"/>
  <c r="PH3" i="8" s="1"/>
  <c r="PZ3" i="8" s="1"/>
  <c r="QR3" i="8" s="1"/>
  <c r="RJ3" i="8" s="1"/>
  <c r="SB3" i="8" s="1"/>
  <c r="AB3" i="10"/>
  <c r="AT3" i="10" s="1"/>
  <c r="BL3" i="10" s="1"/>
  <c r="CD3" i="10" s="1"/>
  <c r="CV3" i="10" s="1"/>
  <c r="DN3" i="10" s="1"/>
  <c r="EF3" i="10" s="1"/>
  <c r="EX3" i="10" s="1"/>
  <c r="FP3" i="10" s="1"/>
  <c r="GH3" i="10" s="1"/>
  <c r="GZ3" i="10" s="1"/>
  <c r="HR3" i="10" s="1"/>
  <c r="IJ3" i="10" s="1"/>
  <c r="JB3" i="10" s="1"/>
  <c r="JT3" i="10" s="1"/>
  <c r="KL3" i="10" s="1"/>
  <c r="LD3" i="10" s="1"/>
  <c r="LV3" i="10" s="1"/>
  <c r="MN3" i="10" s="1"/>
  <c r="NF3" i="10" s="1"/>
  <c r="NX3" i="10" s="1"/>
  <c r="OP3" i="10" s="1"/>
  <c r="PH3" i="10" s="1"/>
  <c r="PZ3" i="10" s="1"/>
  <c r="QR3" i="10" s="1"/>
  <c r="RJ3" i="10" s="1"/>
  <c r="AB3" i="14"/>
  <c r="AT3" i="14" s="1"/>
  <c r="BL3" i="14" s="1"/>
  <c r="CD3" i="14" s="1"/>
  <c r="CV3" i="14" s="1"/>
  <c r="DN3" i="14" s="1"/>
  <c r="EF3" i="14" s="1"/>
  <c r="EX3" i="14" s="1"/>
  <c r="FP3" i="14" s="1"/>
  <c r="GH3" i="14" s="1"/>
  <c r="GZ3" i="14" s="1"/>
  <c r="HR3" i="14" s="1"/>
  <c r="IJ3" i="14" s="1"/>
  <c r="JB3" i="14" s="1"/>
  <c r="JT3" i="14" s="1"/>
  <c r="KL3" i="14" s="1"/>
  <c r="LD3" i="14" s="1"/>
  <c r="LV3" i="14" s="1"/>
  <c r="MN3" i="14" s="1"/>
  <c r="NF3" i="14" s="1"/>
  <c r="NX3" i="14" s="1"/>
  <c r="OP3" i="14" s="1"/>
  <c r="PH3" i="14" s="1"/>
  <c r="PZ3" i="14" s="1"/>
  <c r="QR3" i="14" s="1"/>
  <c r="RJ3" i="14" s="1"/>
  <c r="SB3" i="14" s="1"/>
  <c r="ST3" i="14" s="1"/>
  <c r="TL3" i="14" s="1"/>
  <c r="P3" i="3"/>
  <c r="E3" i="3"/>
  <c r="F3" i="3" s="1"/>
  <c r="G3" i="3" s="1"/>
  <c r="E4" i="3" l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G4" i="3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F4" i="3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TS21" i="14"/>
  <c r="TT21" i="14" s="1"/>
  <c r="TM21" i="14"/>
  <c r="TN21" i="14" s="1"/>
  <c r="TH21" i="14"/>
  <c r="TH20" i="14" s="1"/>
  <c r="TA21" i="14"/>
  <c r="TB21" i="14" s="1"/>
  <c r="SU21" i="14"/>
  <c r="SV21" i="14" s="1"/>
  <c r="SP21" i="14"/>
  <c r="SP20" i="14" s="1"/>
  <c r="SI21" i="14"/>
  <c r="SJ21" i="14" s="1"/>
  <c r="SC21" i="14"/>
  <c r="RX21" i="14"/>
  <c r="RX20" i="14" s="1"/>
  <c r="RQ21" i="14"/>
  <c r="RR21" i="14" s="1"/>
  <c r="RK21" i="14"/>
  <c r="RL21" i="14" s="1"/>
  <c r="RF21" i="14"/>
  <c r="QY21" i="14"/>
  <c r="QZ21" i="14" s="1"/>
  <c r="QS21" i="14"/>
  <c r="QT21" i="14" s="1"/>
  <c r="QN21" i="14"/>
  <c r="QN20" i="14" s="1"/>
  <c r="QG21" i="14"/>
  <c r="QA21" i="14"/>
  <c r="QB21" i="14" s="1"/>
  <c r="PV21" i="14"/>
  <c r="PV20" i="14" s="1"/>
  <c r="PO21" i="14"/>
  <c r="PP21" i="14" s="1"/>
  <c r="PI21" i="14"/>
  <c r="PD21" i="14"/>
  <c r="PD20" i="14" s="1"/>
  <c r="OW21" i="14"/>
  <c r="OX21" i="14" s="1"/>
  <c r="OQ21" i="14"/>
  <c r="OR21" i="14" s="1"/>
  <c r="OL21" i="14"/>
  <c r="OE21" i="14"/>
  <c r="OF21" i="14" s="1"/>
  <c r="NY21" i="14"/>
  <c r="NZ21" i="14" s="1"/>
  <c r="NT21" i="14"/>
  <c r="NT20" i="14" s="1"/>
  <c r="NM21" i="14"/>
  <c r="NG21" i="14"/>
  <c r="NH21" i="14" s="1"/>
  <c r="NB21" i="14"/>
  <c r="NB20" i="14" s="1"/>
  <c r="MU21" i="14"/>
  <c r="MV21" i="14" s="1"/>
  <c r="MO21" i="14"/>
  <c r="MJ21" i="14"/>
  <c r="MJ20" i="14" s="1"/>
  <c r="MC21" i="14"/>
  <c r="MD21" i="14" s="1"/>
  <c r="LW21" i="14"/>
  <c r="LX21" i="14" s="1"/>
  <c r="LR21" i="14"/>
  <c r="LK21" i="14"/>
  <c r="LL21" i="14" s="1"/>
  <c r="LE21" i="14"/>
  <c r="LF21" i="14" s="1"/>
  <c r="KZ21" i="14"/>
  <c r="KZ20" i="14" s="1"/>
  <c r="KS21" i="14"/>
  <c r="KM21" i="14"/>
  <c r="KN21" i="14" s="1"/>
  <c r="KH21" i="14"/>
  <c r="KH20" i="14" s="1"/>
  <c r="KA21" i="14"/>
  <c r="KB21" i="14" s="1"/>
  <c r="JU21" i="14"/>
  <c r="JV21" i="14" s="1"/>
  <c r="JP21" i="14"/>
  <c r="JP20" i="14" s="1"/>
  <c r="JI21" i="14"/>
  <c r="JJ21" i="14" s="1"/>
  <c r="JC21" i="14"/>
  <c r="JD21" i="14" s="1"/>
  <c r="IX21" i="14"/>
  <c r="IQ21" i="14"/>
  <c r="IR21" i="14" s="1"/>
  <c r="IK21" i="14"/>
  <c r="IL21" i="14" s="1"/>
  <c r="IF21" i="14"/>
  <c r="IF20" i="14" s="1"/>
  <c r="IG20" i="14" s="1"/>
  <c r="HY21" i="14"/>
  <c r="HZ21" i="14" s="1"/>
  <c r="HS21" i="14"/>
  <c r="HT21" i="14" s="1"/>
  <c r="HN21" i="14"/>
  <c r="HG21" i="14"/>
  <c r="HH21" i="14" s="1"/>
  <c r="HA21" i="14"/>
  <c r="HB21" i="14" s="1"/>
  <c r="GV21" i="14"/>
  <c r="GW21" i="14" s="1"/>
  <c r="GO21" i="14"/>
  <c r="GI21" i="14"/>
  <c r="GJ21" i="14" s="1"/>
  <c r="GD21" i="14"/>
  <c r="GE21" i="14" s="1"/>
  <c r="FW21" i="14"/>
  <c r="FX21" i="14" s="1"/>
  <c r="FQ21" i="14"/>
  <c r="FL21" i="14"/>
  <c r="FM21" i="14" s="1"/>
  <c r="FE21" i="14"/>
  <c r="EY21" i="14"/>
  <c r="EZ21" i="14" s="1"/>
  <c r="ET21" i="14"/>
  <c r="EU21" i="14" s="1"/>
  <c r="EM21" i="14"/>
  <c r="EN21" i="14" s="1"/>
  <c r="EG21" i="14"/>
  <c r="EB21" i="14"/>
  <c r="EC21" i="14" s="1"/>
  <c r="DU21" i="14"/>
  <c r="DO21" i="14"/>
  <c r="DP21" i="14" s="1"/>
  <c r="DJ21" i="14"/>
  <c r="DK21" i="14" s="1"/>
  <c r="DC21" i="14"/>
  <c r="DD21" i="14" s="1"/>
  <c r="CW21" i="14"/>
  <c r="CR21" i="14"/>
  <c r="CS21" i="14" s="1"/>
  <c r="CK21" i="14"/>
  <c r="CE21" i="14"/>
  <c r="CF21" i="14" s="1"/>
  <c r="BZ21" i="14"/>
  <c r="CA21" i="14" s="1"/>
  <c r="BS21" i="14"/>
  <c r="BT21" i="14" s="1"/>
  <c r="BM21" i="14"/>
  <c r="BH21" i="14"/>
  <c r="BI21" i="14" s="1"/>
  <c r="BA21" i="14"/>
  <c r="AU21" i="14"/>
  <c r="AV21" i="14" s="1"/>
  <c r="AP21" i="14"/>
  <c r="AQ21" i="14" s="1"/>
  <c r="AI21" i="14"/>
  <c r="AJ21" i="14" s="1"/>
  <c r="AC21" i="14"/>
  <c r="X21" i="14"/>
  <c r="Y21" i="14" s="1"/>
  <c r="Q21" i="14"/>
  <c r="K21" i="14"/>
  <c r="L21" i="14" s="1"/>
  <c r="F21" i="14"/>
  <c r="G21" i="14" s="1"/>
  <c r="TS19" i="14"/>
  <c r="TT19" i="14" s="1"/>
  <c r="TM19" i="14"/>
  <c r="TN19" i="14" s="1"/>
  <c r="TH19" i="14"/>
  <c r="TA19" i="14"/>
  <c r="TB19" i="14" s="1"/>
  <c r="SU19" i="14"/>
  <c r="SV19" i="14" s="1"/>
  <c r="SP19" i="14"/>
  <c r="SI19" i="14"/>
  <c r="SJ19" i="14" s="1"/>
  <c r="SC19" i="14"/>
  <c r="SD19" i="14" s="1"/>
  <c r="RX19" i="14"/>
  <c r="RQ19" i="14"/>
  <c r="RR19" i="14" s="1"/>
  <c r="RK19" i="14"/>
  <c r="RL19" i="14" s="1"/>
  <c r="RF19" i="14"/>
  <c r="QY19" i="14"/>
  <c r="QZ19" i="14" s="1"/>
  <c r="QS19" i="14"/>
  <c r="QT19" i="14" s="1"/>
  <c r="QN19" i="14"/>
  <c r="QG19" i="14"/>
  <c r="QH19" i="14" s="1"/>
  <c r="QA19" i="14"/>
  <c r="QB19" i="14" s="1"/>
  <c r="PV19" i="14"/>
  <c r="PO19" i="14"/>
  <c r="PP19" i="14" s="1"/>
  <c r="PI19" i="14"/>
  <c r="PJ19" i="14" s="1"/>
  <c r="PD19" i="14"/>
  <c r="OW19" i="14"/>
  <c r="OX19" i="14" s="1"/>
  <c r="OQ19" i="14"/>
  <c r="OR19" i="14" s="1"/>
  <c r="OL19" i="14"/>
  <c r="OE19" i="14"/>
  <c r="OF19" i="14" s="1"/>
  <c r="NY19" i="14"/>
  <c r="NZ19" i="14" s="1"/>
  <c r="NT19" i="14"/>
  <c r="NU19" i="14" s="1"/>
  <c r="NM19" i="14"/>
  <c r="NN19" i="14" s="1"/>
  <c r="NG19" i="14"/>
  <c r="NH19" i="14" s="1"/>
  <c r="NB19" i="14"/>
  <c r="MU19" i="14"/>
  <c r="MV19" i="14" s="1"/>
  <c r="MO19" i="14"/>
  <c r="MJ19" i="14"/>
  <c r="MK19" i="14" s="1"/>
  <c r="MC19" i="14"/>
  <c r="MD19" i="14" s="1"/>
  <c r="LW19" i="14"/>
  <c r="LX19" i="14" s="1"/>
  <c r="LR19" i="14"/>
  <c r="LK19" i="14"/>
  <c r="LL19" i="14" s="1"/>
  <c r="LE19" i="14"/>
  <c r="KZ19" i="14"/>
  <c r="LA19" i="14" s="1"/>
  <c r="KS19" i="14"/>
  <c r="KT19" i="14" s="1"/>
  <c r="KM19" i="14"/>
  <c r="KN19" i="14" s="1"/>
  <c r="KH19" i="14"/>
  <c r="KA19" i="14"/>
  <c r="KB19" i="14" s="1"/>
  <c r="JU19" i="14"/>
  <c r="JP19" i="14"/>
  <c r="JI19" i="14"/>
  <c r="JJ19" i="14" s="1"/>
  <c r="JC19" i="14"/>
  <c r="JD19" i="14" s="1"/>
  <c r="IX19" i="14"/>
  <c r="IQ19" i="14"/>
  <c r="IR19" i="14" s="1"/>
  <c r="IK19" i="14"/>
  <c r="IF19" i="14"/>
  <c r="IG19" i="14" s="1"/>
  <c r="HY19" i="14"/>
  <c r="HZ19" i="14" s="1"/>
  <c r="HS19" i="14"/>
  <c r="HT19" i="14" s="1"/>
  <c r="HN19" i="14"/>
  <c r="HG19" i="14"/>
  <c r="HH19" i="14" s="1"/>
  <c r="HA19" i="14"/>
  <c r="GV19" i="14"/>
  <c r="GW19" i="14" s="1"/>
  <c r="GO19" i="14"/>
  <c r="GP19" i="14" s="1"/>
  <c r="GI19" i="14"/>
  <c r="GJ19" i="14" s="1"/>
  <c r="GD19" i="14"/>
  <c r="FW19" i="14"/>
  <c r="FQ19" i="14"/>
  <c r="FR19" i="14" s="1"/>
  <c r="FL19" i="14"/>
  <c r="FE19" i="14"/>
  <c r="FF19" i="14" s="1"/>
  <c r="EY19" i="14"/>
  <c r="EZ19" i="14" s="1"/>
  <c r="ET19" i="14"/>
  <c r="EU19" i="14" s="1"/>
  <c r="EM19" i="14"/>
  <c r="EN19" i="14" s="1"/>
  <c r="EG19" i="14"/>
  <c r="EH19" i="14" s="1"/>
  <c r="EB19" i="14"/>
  <c r="EC19" i="14" s="1"/>
  <c r="DU19" i="14"/>
  <c r="DV19" i="14" s="1"/>
  <c r="DO19" i="14"/>
  <c r="DP19" i="14" s="1"/>
  <c r="DJ19" i="14"/>
  <c r="DK19" i="14" s="1"/>
  <c r="DC19" i="14"/>
  <c r="DD19" i="14" s="1"/>
  <c r="CW19" i="14"/>
  <c r="CX19" i="14" s="1"/>
  <c r="CR19" i="14"/>
  <c r="CS19" i="14" s="1"/>
  <c r="CK19" i="14"/>
  <c r="CL19" i="14" s="1"/>
  <c r="CE19" i="14"/>
  <c r="CF19" i="14" s="1"/>
  <c r="BZ19" i="14"/>
  <c r="CA19" i="14" s="1"/>
  <c r="BS19" i="14"/>
  <c r="BT19" i="14" s="1"/>
  <c r="BM19" i="14"/>
  <c r="BN19" i="14" s="1"/>
  <c r="BH19" i="14"/>
  <c r="BI19" i="14" s="1"/>
  <c r="BA19" i="14"/>
  <c r="AU19" i="14"/>
  <c r="AV19" i="14" s="1"/>
  <c r="AP19" i="14"/>
  <c r="AQ19" i="14" s="1"/>
  <c r="AI19" i="14"/>
  <c r="AJ19" i="14" s="1"/>
  <c r="AC19" i="14"/>
  <c r="AD19" i="14" s="1"/>
  <c r="X19" i="14"/>
  <c r="Y19" i="14" s="1"/>
  <c r="Q19" i="14"/>
  <c r="R19" i="14" s="1"/>
  <c r="K19" i="14"/>
  <c r="L19" i="14" s="1"/>
  <c r="F19" i="14"/>
  <c r="G19" i="14" s="1"/>
  <c r="TS18" i="14"/>
  <c r="TT18" i="14" s="1"/>
  <c r="TM18" i="14"/>
  <c r="TN18" i="14" s="1"/>
  <c r="TH18" i="14"/>
  <c r="TI18" i="14" s="1"/>
  <c r="TA18" i="14"/>
  <c r="TB18" i="14" s="1"/>
  <c r="SU18" i="14"/>
  <c r="SV18" i="14" s="1"/>
  <c r="SP18" i="14"/>
  <c r="SQ18" i="14" s="1"/>
  <c r="SI18" i="14"/>
  <c r="SJ18" i="14" s="1"/>
  <c r="SC18" i="14"/>
  <c r="SD18" i="14" s="1"/>
  <c r="RX18" i="14"/>
  <c r="RY18" i="14" s="1"/>
  <c r="RQ18" i="14"/>
  <c r="RR18" i="14" s="1"/>
  <c r="RK18" i="14"/>
  <c r="RL18" i="14" s="1"/>
  <c r="RF18" i="14"/>
  <c r="RG18" i="14" s="1"/>
  <c r="QY18" i="14"/>
  <c r="QZ18" i="14" s="1"/>
  <c r="QS18" i="14"/>
  <c r="QT18" i="14" s="1"/>
  <c r="QN18" i="14"/>
  <c r="QO18" i="14" s="1"/>
  <c r="QG18" i="14"/>
  <c r="QH18" i="14" s="1"/>
  <c r="QA18" i="14"/>
  <c r="QB18" i="14" s="1"/>
  <c r="PV18" i="14"/>
  <c r="PW18" i="14" s="1"/>
  <c r="PO18" i="14"/>
  <c r="PI18" i="14"/>
  <c r="PJ18" i="14" s="1"/>
  <c r="PD18" i="14"/>
  <c r="PE18" i="14" s="1"/>
  <c r="OW18" i="14"/>
  <c r="OQ18" i="14"/>
  <c r="OR18" i="14" s="1"/>
  <c r="OL18" i="14"/>
  <c r="OM18" i="14" s="1"/>
  <c r="OE18" i="14"/>
  <c r="OF18" i="14" s="1"/>
  <c r="NY18" i="14"/>
  <c r="NZ18" i="14" s="1"/>
  <c r="NT18" i="14"/>
  <c r="NU18" i="14" s="1"/>
  <c r="NM18" i="14"/>
  <c r="NN18" i="14" s="1"/>
  <c r="NG18" i="14"/>
  <c r="NH18" i="14" s="1"/>
  <c r="NB18" i="14"/>
  <c r="NC18" i="14" s="1"/>
  <c r="MU18" i="14"/>
  <c r="MO18" i="14"/>
  <c r="MP18" i="14" s="1"/>
  <c r="MJ18" i="14"/>
  <c r="MK18" i="14" s="1"/>
  <c r="MC18" i="14"/>
  <c r="MD18" i="14" s="1"/>
  <c r="LW18" i="14"/>
  <c r="LX18" i="14" s="1"/>
  <c r="LR18" i="14"/>
  <c r="LS18" i="14" s="1"/>
  <c r="LK18" i="14"/>
  <c r="LL18" i="14" s="1"/>
  <c r="LE18" i="14"/>
  <c r="LF18" i="14" s="1"/>
  <c r="KZ18" i="14"/>
  <c r="LA18" i="14" s="1"/>
  <c r="KS18" i="14"/>
  <c r="KT18" i="14" s="1"/>
  <c r="KM18" i="14"/>
  <c r="KN18" i="14" s="1"/>
  <c r="KH18" i="14"/>
  <c r="KI18" i="14" s="1"/>
  <c r="KA18" i="14"/>
  <c r="JU18" i="14"/>
  <c r="JV18" i="14" s="1"/>
  <c r="JP18" i="14"/>
  <c r="JQ18" i="14" s="1"/>
  <c r="JI18" i="14"/>
  <c r="JJ18" i="14" s="1"/>
  <c r="JC18" i="14"/>
  <c r="JD18" i="14" s="1"/>
  <c r="IX18" i="14"/>
  <c r="IY18" i="14" s="1"/>
  <c r="IQ18" i="14"/>
  <c r="IR18" i="14" s="1"/>
  <c r="IK18" i="14"/>
  <c r="IL18" i="14" s="1"/>
  <c r="IF18" i="14"/>
  <c r="IG18" i="14" s="1"/>
  <c r="HY18" i="14"/>
  <c r="HZ18" i="14" s="1"/>
  <c r="HS18" i="14"/>
  <c r="HT18" i="14" s="1"/>
  <c r="HN18" i="14"/>
  <c r="HO18" i="14" s="1"/>
  <c r="HG18" i="14"/>
  <c r="HH18" i="14" s="1"/>
  <c r="HA18" i="14"/>
  <c r="HB18" i="14" s="1"/>
  <c r="GV18" i="14"/>
  <c r="GW18" i="14" s="1"/>
  <c r="GO18" i="14"/>
  <c r="GP18" i="14" s="1"/>
  <c r="GI18" i="14"/>
  <c r="GJ18" i="14" s="1"/>
  <c r="GD18" i="14"/>
  <c r="GE18" i="14" s="1"/>
  <c r="FW18" i="14"/>
  <c r="FX18" i="14" s="1"/>
  <c r="FQ18" i="14"/>
  <c r="FR18" i="14" s="1"/>
  <c r="FL18" i="14"/>
  <c r="FM18" i="14" s="1"/>
  <c r="FE18" i="14"/>
  <c r="FF18" i="14" s="1"/>
  <c r="EY18" i="14"/>
  <c r="EZ18" i="14" s="1"/>
  <c r="ET18" i="14"/>
  <c r="EU18" i="14" s="1"/>
  <c r="EM18" i="14"/>
  <c r="EN18" i="14" s="1"/>
  <c r="EG18" i="14"/>
  <c r="EH18" i="14" s="1"/>
  <c r="EB18" i="14"/>
  <c r="EC18" i="14" s="1"/>
  <c r="DU18" i="14"/>
  <c r="DO18" i="14"/>
  <c r="DP18" i="14" s="1"/>
  <c r="DJ18" i="14"/>
  <c r="DK18" i="14" s="1"/>
  <c r="DC18" i="14"/>
  <c r="DD18" i="14" s="1"/>
  <c r="CW18" i="14"/>
  <c r="CX18" i="14" s="1"/>
  <c r="CR18" i="14"/>
  <c r="CS18" i="14" s="1"/>
  <c r="CK18" i="14"/>
  <c r="CL18" i="14" s="1"/>
  <c r="CE18" i="14"/>
  <c r="CF18" i="14" s="1"/>
  <c r="BZ18" i="14"/>
  <c r="CA18" i="14" s="1"/>
  <c r="BS18" i="14"/>
  <c r="BM18" i="14"/>
  <c r="BN18" i="14" s="1"/>
  <c r="BH18" i="14"/>
  <c r="BI18" i="14" s="1"/>
  <c r="BA18" i="14"/>
  <c r="BB18" i="14" s="1"/>
  <c r="AU18" i="14"/>
  <c r="AV18" i="14" s="1"/>
  <c r="AP18" i="14"/>
  <c r="AQ18" i="14" s="1"/>
  <c r="AI18" i="14"/>
  <c r="AJ18" i="14" s="1"/>
  <c r="AC18" i="14"/>
  <c r="AD18" i="14" s="1"/>
  <c r="X18" i="14"/>
  <c r="Y18" i="14" s="1"/>
  <c r="Q18" i="14"/>
  <c r="R18" i="14" s="1"/>
  <c r="K18" i="14"/>
  <c r="L18" i="14" s="1"/>
  <c r="F18" i="14"/>
  <c r="G18" i="14" s="1"/>
  <c r="TS17" i="14"/>
  <c r="TM17" i="14"/>
  <c r="TH17" i="14"/>
  <c r="TI17" i="14" s="1"/>
  <c r="TA17" i="14"/>
  <c r="TB17" i="14" s="1"/>
  <c r="SU17" i="14"/>
  <c r="SV17" i="14" s="1"/>
  <c r="SP17" i="14"/>
  <c r="SQ17" i="14" s="1"/>
  <c r="SI17" i="14"/>
  <c r="SJ17" i="14" s="1"/>
  <c r="SC17" i="14"/>
  <c r="RX17" i="14"/>
  <c r="RY17" i="14" s="1"/>
  <c r="RQ17" i="14"/>
  <c r="RR17" i="14" s="1"/>
  <c r="RK17" i="14"/>
  <c r="RF17" i="14"/>
  <c r="RG17" i="14" s="1"/>
  <c r="QY17" i="14"/>
  <c r="QZ17" i="14" s="1"/>
  <c r="QS17" i="14"/>
  <c r="QN17" i="14"/>
  <c r="QO17" i="14" s="1"/>
  <c r="QG17" i="14"/>
  <c r="QH17" i="14" s="1"/>
  <c r="QA17" i="14"/>
  <c r="PV17" i="14"/>
  <c r="PW17" i="14" s="1"/>
  <c r="PO17" i="14"/>
  <c r="PP17" i="14" s="1"/>
  <c r="PI17" i="14"/>
  <c r="PD17" i="14"/>
  <c r="PE17" i="14" s="1"/>
  <c r="OW17" i="14"/>
  <c r="OX17" i="14" s="1"/>
  <c r="OQ17" i="14"/>
  <c r="OR17" i="14" s="1"/>
  <c r="OL17" i="14"/>
  <c r="OM17" i="14" s="1"/>
  <c r="OE17" i="14"/>
  <c r="NY17" i="14"/>
  <c r="NT17" i="14"/>
  <c r="NU17" i="14" s="1"/>
  <c r="NM17" i="14"/>
  <c r="NN17" i="14" s="1"/>
  <c r="NG17" i="14"/>
  <c r="NH17" i="14" s="1"/>
  <c r="NB17" i="14"/>
  <c r="NC17" i="14" s="1"/>
  <c r="MU17" i="14"/>
  <c r="MV17" i="14" s="1"/>
  <c r="MO17" i="14"/>
  <c r="MJ17" i="14"/>
  <c r="MK17" i="14" s="1"/>
  <c r="MC17" i="14"/>
  <c r="MD17" i="14" s="1"/>
  <c r="LW17" i="14"/>
  <c r="LX17" i="14" s="1"/>
  <c r="LR17" i="14"/>
  <c r="LS17" i="14" s="1"/>
  <c r="LK17" i="14"/>
  <c r="LL17" i="14" s="1"/>
  <c r="LE17" i="14"/>
  <c r="KZ17" i="14"/>
  <c r="LA17" i="14" s="1"/>
  <c r="KS17" i="14"/>
  <c r="KT17" i="14" s="1"/>
  <c r="KM17" i="14"/>
  <c r="KH17" i="14"/>
  <c r="KI17" i="14" s="1"/>
  <c r="KA17" i="14"/>
  <c r="KB17" i="14" s="1"/>
  <c r="JU17" i="14"/>
  <c r="JP17" i="14"/>
  <c r="JQ17" i="14" s="1"/>
  <c r="JI17" i="14"/>
  <c r="JJ17" i="14" s="1"/>
  <c r="JC17" i="14"/>
  <c r="JD17" i="14" s="1"/>
  <c r="IX17" i="14"/>
  <c r="IY17" i="14" s="1"/>
  <c r="IQ17" i="14"/>
  <c r="IR17" i="14" s="1"/>
  <c r="IK17" i="14"/>
  <c r="IF17" i="14"/>
  <c r="IG17" i="14" s="1"/>
  <c r="HY17" i="14"/>
  <c r="HZ17" i="14" s="1"/>
  <c r="HS17" i="14"/>
  <c r="HT17" i="14" s="1"/>
  <c r="HN17" i="14"/>
  <c r="HO17" i="14" s="1"/>
  <c r="HG17" i="14"/>
  <c r="HA17" i="14"/>
  <c r="HB17" i="14" s="1"/>
  <c r="GV17" i="14"/>
  <c r="GW17" i="14" s="1"/>
  <c r="GO17" i="14"/>
  <c r="GP17" i="14" s="1"/>
  <c r="GI17" i="14"/>
  <c r="GJ17" i="14" s="1"/>
  <c r="GD17" i="14"/>
  <c r="GE17" i="14" s="1"/>
  <c r="FW17" i="14"/>
  <c r="FX17" i="14" s="1"/>
  <c r="FQ17" i="14"/>
  <c r="FL17" i="14"/>
  <c r="FM17" i="14" s="1"/>
  <c r="FE17" i="14"/>
  <c r="FF17" i="14" s="1"/>
  <c r="EY17" i="14"/>
  <c r="EZ17" i="14" s="1"/>
  <c r="ET17" i="14"/>
  <c r="EU17" i="14" s="1"/>
  <c r="EM17" i="14"/>
  <c r="EN17" i="14" s="1"/>
  <c r="EG17" i="14"/>
  <c r="EH17" i="14" s="1"/>
  <c r="EB17" i="14"/>
  <c r="EC17" i="14" s="1"/>
  <c r="DU17" i="14"/>
  <c r="DV17" i="14" s="1"/>
  <c r="DO17" i="14"/>
  <c r="DJ17" i="14"/>
  <c r="DK17" i="14" s="1"/>
  <c r="DC17" i="14"/>
  <c r="DD17" i="14" s="1"/>
  <c r="CW17" i="14"/>
  <c r="CR17" i="14"/>
  <c r="CS17" i="14" s="1"/>
  <c r="CK17" i="14"/>
  <c r="CL17" i="14" s="1"/>
  <c r="CE17" i="14"/>
  <c r="CF17" i="14" s="1"/>
  <c r="BZ17" i="14"/>
  <c r="CA17" i="14" s="1"/>
  <c r="BS17" i="14"/>
  <c r="BT17" i="14" s="1"/>
  <c r="BM17" i="14"/>
  <c r="BN17" i="14" s="1"/>
  <c r="BH17" i="14"/>
  <c r="BI17" i="14" s="1"/>
  <c r="BA17" i="14"/>
  <c r="BB17" i="14" s="1"/>
  <c r="AU17" i="14"/>
  <c r="AV17" i="14" s="1"/>
  <c r="AP17" i="14"/>
  <c r="AQ17" i="14" s="1"/>
  <c r="AI17" i="14"/>
  <c r="AJ17" i="14" s="1"/>
  <c r="AC17" i="14"/>
  <c r="X17" i="14"/>
  <c r="Y17" i="14" s="1"/>
  <c r="Q17" i="14"/>
  <c r="K17" i="14"/>
  <c r="L17" i="14" s="1"/>
  <c r="F17" i="14"/>
  <c r="G17" i="14" s="1"/>
  <c r="TS15" i="14"/>
  <c r="TT15" i="14" s="1"/>
  <c r="TM15" i="14"/>
  <c r="TN15" i="14" s="1"/>
  <c r="TH15" i="14"/>
  <c r="TI15" i="14" s="1"/>
  <c r="TA15" i="14"/>
  <c r="TB15" i="14" s="1"/>
  <c r="SU15" i="14"/>
  <c r="SV15" i="14" s="1"/>
  <c r="SP15" i="14"/>
  <c r="SQ15" i="14" s="1"/>
  <c r="SI15" i="14"/>
  <c r="SJ15" i="14" s="1"/>
  <c r="SC15" i="14"/>
  <c r="SD15" i="14" s="1"/>
  <c r="RX15" i="14"/>
  <c r="RY15" i="14" s="1"/>
  <c r="RQ15" i="14"/>
  <c r="RR15" i="14" s="1"/>
  <c r="RK15" i="14"/>
  <c r="RL15" i="14" s="1"/>
  <c r="RF15" i="14"/>
  <c r="QY15" i="14"/>
  <c r="QZ15" i="14" s="1"/>
  <c r="QS15" i="14"/>
  <c r="QT15" i="14" s="1"/>
  <c r="QN15" i="14"/>
  <c r="QO15" i="14" s="1"/>
  <c r="QG15" i="14"/>
  <c r="QH15" i="14" s="1"/>
  <c r="QA15" i="14"/>
  <c r="PV15" i="14"/>
  <c r="PW15" i="14" s="1"/>
  <c r="PO15" i="14"/>
  <c r="PP15" i="14" s="1"/>
  <c r="PI15" i="14"/>
  <c r="PJ15" i="14" s="1"/>
  <c r="PD15" i="14"/>
  <c r="PE15" i="14" s="1"/>
  <c r="OW15" i="14"/>
  <c r="OX15" i="14" s="1"/>
  <c r="OQ15" i="14"/>
  <c r="OR15" i="14" s="1"/>
  <c r="OL15" i="14"/>
  <c r="OM15" i="14" s="1"/>
  <c r="OE15" i="14"/>
  <c r="OF15" i="14" s="1"/>
  <c r="NY15" i="14"/>
  <c r="NZ15" i="14" s="1"/>
  <c r="NT15" i="14"/>
  <c r="NU15" i="14" s="1"/>
  <c r="NM15" i="14"/>
  <c r="NN15" i="14" s="1"/>
  <c r="NG15" i="14"/>
  <c r="NH15" i="14" s="1"/>
  <c r="NB15" i="14"/>
  <c r="NC15" i="14" s="1"/>
  <c r="MU15" i="14"/>
  <c r="MO15" i="14"/>
  <c r="MP15" i="14" s="1"/>
  <c r="MJ15" i="14"/>
  <c r="MK15" i="14" s="1"/>
  <c r="MC15" i="14"/>
  <c r="MD15" i="14" s="1"/>
  <c r="LW15" i="14"/>
  <c r="LX15" i="14" s="1"/>
  <c r="LR15" i="14"/>
  <c r="LK15" i="14"/>
  <c r="LL15" i="14" s="1"/>
  <c r="LE15" i="14"/>
  <c r="LF15" i="14" s="1"/>
  <c r="KZ15" i="14"/>
  <c r="LA15" i="14" s="1"/>
  <c r="KS15" i="14"/>
  <c r="KT15" i="14" s="1"/>
  <c r="KM15" i="14"/>
  <c r="KN15" i="14" s="1"/>
  <c r="KH15" i="14"/>
  <c r="KI15" i="14" s="1"/>
  <c r="KA15" i="14"/>
  <c r="KB15" i="14" s="1"/>
  <c r="JU15" i="14"/>
  <c r="JV15" i="14" s="1"/>
  <c r="JP15" i="14"/>
  <c r="JQ15" i="14" s="1"/>
  <c r="JI15" i="14"/>
  <c r="JJ15" i="14" s="1"/>
  <c r="JC15" i="14"/>
  <c r="JD15" i="14" s="1"/>
  <c r="IX15" i="14"/>
  <c r="IY15" i="14" s="1"/>
  <c r="IQ15" i="14"/>
  <c r="IR15" i="14" s="1"/>
  <c r="IK15" i="14"/>
  <c r="IL15" i="14" s="1"/>
  <c r="IF15" i="14"/>
  <c r="IG15" i="14" s="1"/>
  <c r="HY15" i="14"/>
  <c r="HZ15" i="14" s="1"/>
  <c r="HS15" i="14"/>
  <c r="HT15" i="14" s="1"/>
  <c r="HN15" i="14"/>
  <c r="HO15" i="14" s="1"/>
  <c r="HG15" i="14"/>
  <c r="HH15" i="14" s="1"/>
  <c r="HA15" i="14"/>
  <c r="HB15" i="14" s="1"/>
  <c r="GV15" i="14"/>
  <c r="GW15" i="14" s="1"/>
  <c r="GO15" i="14"/>
  <c r="GP15" i="14" s="1"/>
  <c r="GI15" i="14"/>
  <c r="GJ15" i="14" s="1"/>
  <c r="GD15" i="14"/>
  <c r="GE15" i="14" s="1"/>
  <c r="FW15" i="14"/>
  <c r="FX15" i="14" s="1"/>
  <c r="FQ15" i="14"/>
  <c r="FR15" i="14" s="1"/>
  <c r="FL15" i="14"/>
  <c r="FM15" i="14" s="1"/>
  <c r="FE15" i="14"/>
  <c r="FF15" i="14" s="1"/>
  <c r="EY15" i="14"/>
  <c r="EZ15" i="14" s="1"/>
  <c r="ET15" i="14"/>
  <c r="EU15" i="14" s="1"/>
  <c r="EM15" i="14"/>
  <c r="EN15" i="14" s="1"/>
  <c r="EG15" i="14"/>
  <c r="EH15" i="14" s="1"/>
  <c r="EB15" i="14"/>
  <c r="DU15" i="14"/>
  <c r="DV15" i="14" s="1"/>
  <c r="DO15" i="14"/>
  <c r="DP15" i="14" s="1"/>
  <c r="DJ15" i="14"/>
  <c r="DK15" i="14" s="1"/>
  <c r="DC15" i="14"/>
  <c r="DD15" i="14" s="1"/>
  <c r="CW15" i="14"/>
  <c r="CX15" i="14" s="1"/>
  <c r="CR15" i="14"/>
  <c r="CK15" i="14"/>
  <c r="CL15" i="14" s="1"/>
  <c r="CE15" i="14"/>
  <c r="CF15" i="14" s="1"/>
  <c r="BZ15" i="14"/>
  <c r="CA15" i="14" s="1"/>
  <c r="BS15" i="14"/>
  <c r="BT15" i="14" s="1"/>
  <c r="BM15" i="14"/>
  <c r="BN15" i="14" s="1"/>
  <c r="BH15" i="14"/>
  <c r="BA15" i="14"/>
  <c r="BB15" i="14" s="1"/>
  <c r="AU15" i="14"/>
  <c r="AV15" i="14" s="1"/>
  <c r="AP15" i="14"/>
  <c r="AQ15" i="14" s="1"/>
  <c r="AI15" i="14"/>
  <c r="AJ15" i="14" s="1"/>
  <c r="AC15" i="14"/>
  <c r="AD15" i="14" s="1"/>
  <c r="X15" i="14"/>
  <c r="Q15" i="14"/>
  <c r="R15" i="14" s="1"/>
  <c r="K15" i="14"/>
  <c r="L15" i="14" s="1"/>
  <c r="F15" i="14"/>
  <c r="G15" i="14" s="1"/>
  <c r="TS14" i="14"/>
  <c r="TT14" i="14" s="1"/>
  <c r="TM14" i="14"/>
  <c r="TN14" i="14" s="1"/>
  <c r="TH14" i="14"/>
  <c r="TA14" i="14"/>
  <c r="TB14" i="14" s="1"/>
  <c r="SU14" i="14"/>
  <c r="SV14" i="14" s="1"/>
  <c r="SP14" i="14"/>
  <c r="SI14" i="14"/>
  <c r="SJ14" i="14" s="1"/>
  <c r="SC14" i="14"/>
  <c r="SD14" i="14" s="1"/>
  <c r="RX14" i="14"/>
  <c r="RY14" i="14" s="1"/>
  <c r="RQ14" i="14"/>
  <c r="RR14" i="14" s="1"/>
  <c r="RK14" i="14"/>
  <c r="RL14" i="14" s="1"/>
  <c r="RF14" i="14"/>
  <c r="RG14" i="14" s="1"/>
  <c r="QY14" i="14"/>
  <c r="QZ14" i="14" s="1"/>
  <c r="QS14" i="14"/>
  <c r="QT14" i="14" s="1"/>
  <c r="QN14" i="14"/>
  <c r="QO14" i="14" s="1"/>
  <c r="QG14" i="14"/>
  <c r="QA14" i="14"/>
  <c r="QB14" i="14" s="1"/>
  <c r="PV14" i="14"/>
  <c r="PW14" i="14" s="1"/>
  <c r="PO14" i="14"/>
  <c r="PP14" i="14" s="1"/>
  <c r="PI14" i="14"/>
  <c r="PJ14" i="14" s="1"/>
  <c r="PD14" i="14"/>
  <c r="PE14" i="14" s="1"/>
  <c r="OW14" i="14"/>
  <c r="OX14" i="14" s="1"/>
  <c r="OQ14" i="14"/>
  <c r="OR14" i="14" s="1"/>
  <c r="OL14" i="14"/>
  <c r="OM14" i="14" s="1"/>
  <c r="OE14" i="14"/>
  <c r="OF14" i="14" s="1"/>
  <c r="NY14" i="14"/>
  <c r="NZ14" i="14" s="1"/>
  <c r="NT14" i="14"/>
  <c r="NU14" i="14" s="1"/>
  <c r="NM14" i="14"/>
  <c r="NN14" i="14" s="1"/>
  <c r="NG14" i="14"/>
  <c r="NH14" i="14" s="1"/>
  <c r="NB14" i="14"/>
  <c r="NC14" i="14" s="1"/>
  <c r="MU14" i="14"/>
  <c r="MV14" i="14" s="1"/>
  <c r="MO14" i="14"/>
  <c r="MP14" i="14" s="1"/>
  <c r="MJ14" i="14"/>
  <c r="MK14" i="14" s="1"/>
  <c r="MC14" i="14"/>
  <c r="MD14" i="14" s="1"/>
  <c r="LW14" i="14"/>
  <c r="LX14" i="14" s="1"/>
  <c r="LR14" i="14"/>
  <c r="LK14" i="14"/>
  <c r="LL14" i="14" s="1"/>
  <c r="LE14" i="14"/>
  <c r="LF14" i="14" s="1"/>
  <c r="KZ14" i="14"/>
  <c r="LA14" i="14" s="1"/>
  <c r="KS14" i="14"/>
  <c r="KT14" i="14" s="1"/>
  <c r="KM14" i="14"/>
  <c r="KN14" i="14" s="1"/>
  <c r="KH14" i="14"/>
  <c r="KI14" i="14" s="1"/>
  <c r="KA14" i="14"/>
  <c r="KB14" i="14" s="1"/>
  <c r="JU14" i="14"/>
  <c r="JV14" i="14" s="1"/>
  <c r="JP14" i="14"/>
  <c r="JQ14" i="14" s="1"/>
  <c r="JI14" i="14"/>
  <c r="JJ14" i="14" s="1"/>
  <c r="JC14" i="14"/>
  <c r="JD14" i="14" s="1"/>
  <c r="IX14" i="14"/>
  <c r="IY14" i="14" s="1"/>
  <c r="IQ14" i="14"/>
  <c r="IR14" i="14" s="1"/>
  <c r="IK14" i="14"/>
  <c r="IL14" i="14" s="1"/>
  <c r="IF14" i="14"/>
  <c r="IG14" i="14" s="1"/>
  <c r="HY14" i="14"/>
  <c r="HZ14" i="14" s="1"/>
  <c r="HS14" i="14"/>
  <c r="HN14" i="14"/>
  <c r="HO14" i="14" s="1"/>
  <c r="HG14" i="14"/>
  <c r="HH14" i="14" s="1"/>
  <c r="HA14" i="14"/>
  <c r="HB14" i="14" s="1"/>
  <c r="GV14" i="14"/>
  <c r="GW14" i="14" s="1"/>
  <c r="GO14" i="14"/>
  <c r="GP14" i="14" s="1"/>
  <c r="GI14" i="14"/>
  <c r="GJ14" i="14" s="1"/>
  <c r="GD14" i="14"/>
  <c r="GE14" i="14" s="1"/>
  <c r="FW14" i="14"/>
  <c r="FQ14" i="14"/>
  <c r="FR14" i="14" s="1"/>
  <c r="FL14" i="14"/>
  <c r="FM14" i="14" s="1"/>
  <c r="FE14" i="14"/>
  <c r="FF14" i="14" s="1"/>
  <c r="EY14" i="14"/>
  <c r="EZ14" i="14" s="1"/>
  <c r="ET14" i="14"/>
  <c r="EU14" i="14" s="1"/>
  <c r="EM14" i="14"/>
  <c r="EN14" i="14" s="1"/>
  <c r="EG14" i="14"/>
  <c r="EH14" i="14" s="1"/>
  <c r="EB14" i="14"/>
  <c r="EC14" i="14" s="1"/>
  <c r="DU14" i="14"/>
  <c r="DV14" i="14" s="1"/>
  <c r="DO14" i="14"/>
  <c r="DP14" i="14" s="1"/>
  <c r="DJ14" i="14"/>
  <c r="DK14" i="14" s="1"/>
  <c r="DC14" i="14"/>
  <c r="DD14" i="14" s="1"/>
  <c r="CW14" i="14"/>
  <c r="CX14" i="14" s="1"/>
  <c r="CR14" i="14"/>
  <c r="CS14" i="14" s="1"/>
  <c r="CK14" i="14"/>
  <c r="CL14" i="14" s="1"/>
  <c r="CE14" i="14"/>
  <c r="BZ14" i="14"/>
  <c r="CA14" i="14" s="1"/>
  <c r="BS14" i="14"/>
  <c r="BT14" i="14" s="1"/>
  <c r="BM14" i="14"/>
  <c r="BN14" i="14" s="1"/>
  <c r="BH14" i="14"/>
  <c r="BI14" i="14" s="1"/>
  <c r="BA14" i="14"/>
  <c r="BB14" i="14" s="1"/>
  <c r="AU14" i="14"/>
  <c r="AV14" i="14" s="1"/>
  <c r="AP14" i="14"/>
  <c r="AQ14" i="14" s="1"/>
  <c r="AI14" i="14"/>
  <c r="AC14" i="14"/>
  <c r="X14" i="14"/>
  <c r="Y14" i="14" s="1"/>
  <c r="Q14" i="14"/>
  <c r="K14" i="14"/>
  <c r="L14" i="14" s="1"/>
  <c r="F14" i="14"/>
  <c r="G14" i="14" s="1"/>
  <c r="TS12" i="14"/>
  <c r="TT12" i="14" s="1"/>
  <c r="TM12" i="14"/>
  <c r="TN12" i="14" s="1"/>
  <c r="TH12" i="14"/>
  <c r="TI12" i="14" s="1"/>
  <c r="TA12" i="14"/>
  <c r="TB12" i="14" s="1"/>
  <c r="SU12" i="14"/>
  <c r="SV12" i="14" s="1"/>
  <c r="SP12" i="14"/>
  <c r="SI12" i="14"/>
  <c r="SJ12" i="14" s="1"/>
  <c r="SC12" i="14"/>
  <c r="SD12" i="14" s="1"/>
  <c r="RX12" i="14"/>
  <c r="RQ12" i="14"/>
  <c r="RR12" i="14" s="1"/>
  <c r="RK12" i="14"/>
  <c r="RL12" i="14" s="1"/>
  <c r="RF12" i="14"/>
  <c r="QY12" i="14"/>
  <c r="QZ12" i="14" s="1"/>
  <c r="QS12" i="14"/>
  <c r="QT12" i="14" s="1"/>
  <c r="QN12" i="14"/>
  <c r="QO12" i="14" s="1"/>
  <c r="QG12" i="14"/>
  <c r="QH12" i="14" s="1"/>
  <c r="QA12" i="14"/>
  <c r="QB12" i="14" s="1"/>
  <c r="PV12" i="14"/>
  <c r="PO12" i="14"/>
  <c r="PI12" i="14"/>
  <c r="PJ12" i="14" s="1"/>
  <c r="PD12" i="14"/>
  <c r="OW12" i="14"/>
  <c r="OX12" i="14" s="1"/>
  <c r="OQ12" i="14"/>
  <c r="OR12" i="14" s="1"/>
  <c r="OL12" i="14"/>
  <c r="OE12" i="14"/>
  <c r="OF12" i="14" s="1"/>
  <c r="NY12" i="14"/>
  <c r="NZ12" i="14" s="1"/>
  <c r="NT12" i="14"/>
  <c r="NU12" i="14" s="1"/>
  <c r="NM12" i="14"/>
  <c r="NN12" i="14" s="1"/>
  <c r="NG12" i="14"/>
  <c r="NH12" i="14" s="1"/>
  <c r="NB12" i="14"/>
  <c r="MU12" i="14"/>
  <c r="MV12" i="14" s="1"/>
  <c r="MO12" i="14"/>
  <c r="MP12" i="14" s="1"/>
  <c r="MJ12" i="14"/>
  <c r="MC12" i="14"/>
  <c r="MD12" i="14" s="1"/>
  <c r="LW12" i="14"/>
  <c r="LX12" i="14" s="1"/>
  <c r="LR12" i="14"/>
  <c r="LK12" i="14"/>
  <c r="LL12" i="14" s="1"/>
  <c r="LE12" i="14"/>
  <c r="LF12" i="14" s="1"/>
  <c r="KZ12" i="14"/>
  <c r="LA12" i="14" s="1"/>
  <c r="KS12" i="14"/>
  <c r="KT12" i="14" s="1"/>
  <c r="KM12" i="14"/>
  <c r="KN12" i="14" s="1"/>
  <c r="KH12" i="14"/>
  <c r="KA12" i="14"/>
  <c r="KB12" i="14" s="1"/>
  <c r="JU12" i="14"/>
  <c r="JV12" i="14" s="1"/>
  <c r="JP12" i="14"/>
  <c r="JI12" i="14"/>
  <c r="JJ12" i="14" s="1"/>
  <c r="JC12" i="14"/>
  <c r="IX12" i="14"/>
  <c r="IY12" i="14" s="1"/>
  <c r="IQ12" i="14"/>
  <c r="IR12" i="14" s="1"/>
  <c r="IK12" i="14"/>
  <c r="IL12" i="14" s="1"/>
  <c r="IF12" i="14"/>
  <c r="HY12" i="14"/>
  <c r="HZ12" i="14" s="1"/>
  <c r="HS12" i="14"/>
  <c r="HN12" i="14"/>
  <c r="HO12" i="14" s="1"/>
  <c r="HG12" i="14"/>
  <c r="HH12" i="14" s="1"/>
  <c r="HA12" i="14"/>
  <c r="HB12" i="14" s="1"/>
  <c r="GV12" i="14"/>
  <c r="GO12" i="14"/>
  <c r="GP12" i="14" s="1"/>
  <c r="GI12" i="14"/>
  <c r="GD12" i="14"/>
  <c r="GE12" i="14" s="1"/>
  <c r="FW12" i="14"/>
  <c r="FX12" i="14" s="1"/>
  <c r="FQ12" i="14"/>
  <c r="FR12" i="14" s="1"/>
  <c r="FL12" i="14"/>
  <c r="FE12" i="14"/>
  <c r="FF12" i="14" s="1"/>
  <c r="EY12" i="14"/>
  <c r="ET12" i="14"/>
  <c r="EU12" i="14" s="1"/>
  <c r="EM12" i="14"/>
  <c r="EN12" i="14" s="1"/>
  <c r="EG12" i="14"/>
  <c r="EH12" i="14" s="1"/>
  <c r="EB12" i="14"/>
  <c r="DU12" i="14"/>
  <c r="DV12" i="14" s="1"/>
  <c r="DO12" i="14"/>
  <c r="DJ12" i="14"/>
  <c r="DK12" i="14" s="1"/>
  <c r="DC12" i="14"/>
  <c r="DD12" i="14" s="1"/>
  <c r="CW12" i="14"/>
  <c r="CX12" i="14" s="1"/>
  <c r="CR12" i="14"/>
  <c r="CK12" i="14"/>
  <c r="CL12" i="14" s="1"/>
  <c r="CE12" i="14"/>
  <c r="BZ12" i="14"/>
  <c r="CA12" i="14" s="1"/>
  <c r="BS12" i="14"/>
  <c r="BT12" i="14" s="1"/>
  <c r="BM12" i="14"/>
  <c r="BN12" i="14" s="1"/>
  <c r="BH12" i="14"/>
  <c r="BA12" i="14"/>
  <c r="BB12" i="14" s="1"/>
  <c r="AU12" i="14"/>
  <c r="AP12" i="14"/>
  <c r="AI12" i="14"/>
  <c r="AJ12" i="14" s="1"/>
  <c r="AC12" i="14"/>
  <c r="AD12" i="14" s="1"/>
  <c r="X12" i="14"/>
  <c r="Q12" i="14"/>
  <c r="R12" i="14" s="1"/>
  <c r="K12" i="14"/>
  <c r="F12" i="14"/>
  <c r="TS11" i="14"/>
  <c r="TT11" i="14" s="1"/>
  <c r="TM11" i="14"/>
  <c r="TN11" i="14" s="1"/>
  <c r="TH11" i="14"/>
  <c r="TA11" i="14"/>
  <c r="TB11" i="14" s="1"/>
  <c r="SU11" i="14"/>
  <c r="SP11" i="14"/>
  <c r="SQ11" i="14" s="1"/>
  <c r="SI11" i="14"/>
  <c r="SJ11" i="14" s="1"/>
  <c r="SC11" i="14"/>
  <c r="SD11" i="14" s="1"/>
  <c r="RX11" i="14"/>
  <c r="RQ11" i="14"/>
  <c r="RR11" i="14" s="1"/>
  <c r="RK11" i="14"/>
  <c r="RF11" i="14"/>
  <c r="RG11" i="14" s="1"/>
  <c r="QY11" i="14"/>
  <c r="QZ11" i="14" s="1"/>
  <c r="QS11" i="14"/>
  <c r="QT11" i="14" s="1"/>
  <c r="QN11" i="14"/>
  <c r="QG11" i="14"/>
  <c r="QH11" i="14" s="1"/>
  <c r="QA11" i="14"/>
  <c r="PV11" i="14"/>
  <c r="PW11" i="14" s="1"/>
  <c r="PO11" i="14"/>
  <c r="PP11" i="14" s="1"/>
  <c r="PI11" i="14"/>
  <c r="PJ11" i="14" s="1"/>
  <c r="PD11" i="14"/>
  <c r="OW11" i="14"/>
  <c r="OX11" i="14" s="1"/>
  <c r="OQ11" i="14"/>
  <c r="OL11" i="14"/>
  <c r="OM11" i="14" s="1"/>
  <c r="OE11" i="14"/>
  <c r="NY11" i="14"/>
  <c r="NZ11" i="14" s="1"/>
  <c r="NT11" i="14"/>
  <c r="NM11" i="14"/>
  <c r="NN11" i="14" s="1"/>
  <c r="NG11" i="14"/>
  <c r="NB11" i="14"/>
  <c r="NC11" i="14" s="1"/>
  <c r="MU11" i="14"/>
  <c r="MO11" i="14"/>
  <c r="MP11" i="14" s="1"/>
  <c r="MJ11" i="14"/>
  <c r="MC11" i="14"/>
  <c r="MD11" i="14" s="1"/>
  <c r="LW11" i="14"/>
  <c r="LR11" i="14"/>
  <c r="LS11" i="14" s="1"/>
  <c r="LK11" i="14"/>
  <c r="LL11" i="14" s="1"/>
  <c r="LE11" i="14"/>
  <c r="LF11" i="14" s="1"/>
  <c r="KZ11" i="14"/>
  <c r="KS11" i="14"/>
  <c r="KT11" i="14" s="1"/>
  <c r="KM11" i="14"/>
  <c r="KH11" i="14"/>
  <c r="KI11" i="14" s="1"/>
  <c r="KA11" i="14"/>
  <c r="KB11" i="14" s="1"/>
  <c r="JU11" i="14"/>
  <c r="JV11" i="14" s="1"/>
  <c r="JP11" i="14"/>
  <c r="JI11" i="14"/>
  <c r="JJ11" i="14" s="1"/>
  <c r="JC11" i="14"/>
  <c r="IX11" i="14"/>
  <c r="IQ11" i="14"/>
  <c r="IR11" i="14" s="1"/>
  <c r="IK11" i="14"/>
  <c r="IL11" i="14" s="1"/>
  <c r="IF11" i="14"/>
  <c r="HY11" i="14"/>
  <c r="HZ11" i="14" s="1"/>
  <c r="HS11" i="14"/>
  <c r="HN11" i="14"/>
  <c r="HO11" i="14" s="1"/>
  <c r="HG11" i="14"/>
  <c r="HA11" i="14"/>
  <c r="HB11" i="14" s="1"/>
  <c r="GV11" i="14"/>
  <c r="GO11" i="14"/>
  <c r="GP11" i="14" s="1"/>
  <c r="GI11" i="14"/>
  <c r="GD11" i="14"/>
  <c r="FW11" i="14"/>
  <c r="FX11" i="14" s="1"/>
  <c r="FQ11" i="14"/>
  <c r="FR11" i="14" s="1"/>
  <c r="FL11" i="14"/>
  <c r="FE11" i="14"/>
  <c r="FF11" i="14" s="1"/>
  <c r="EY11" i="14"/>
  <c r="ET11" i="14"/>
  <c r="EU11" i="14" s="1"/>
  <c r="EM11" i="14"/>
  <c r="EG11" i="14"/>
  <c r="EH11" i="14" s="1"/>
  <c r="EB11" i="14"/>
  <c r="DU11" i="14"/>
  <c r="DV11" i="14" s="1"/>
  <c r="DO11" i="14"/>
  <c r="DJ11" i="14"/>
  <c r="DC11" i="14"/>
  <c r="CW11" i="14"/>
  <c r="CX11" i="14" s="1"/>
  <c r="CR11" i="14"/>
  <c r="CK11" i="14"/>
  <c r="CL11" i="14" s="1"/>
  <c r="CE11" i="14"/>
  <c r="BZ11" i="14"/>
  <c r="BS11" i="14"/>
  <c r="BM11" i="14"/>
  <c r="BN11" i="14" s="1"/>
  <c r="BH11" i="14"/>
  <c r="BA11" i="14"/>
  <c r="BB11" i="14" s="1"/>
  <c r="AU11" i="14"/>
  <c r="AP11" i="14"/>
  <c r="AQ11" i="14" s="1"/>
  <c r="AI11" i="14"/>
  <c r="AC11" i="14"/>
  <c r="AD11" i="14" s="1"/>
  <c r="X11" i="14"/>
  <c r="Q11" i="14"/>
  <c r="R11" i="14" s="1"/>
  <c r="K11" i="14"/>
  <c r="F11" i="14"/>
  <c r="G11" i="14" s="1"/>
  <c r="TS9" i="14"/>
  <c r="TT9" i="14" s="1"/>
  <c r="TM9" i="14"/>
  <c r="TN9" i="14" s="1"/>
  <c r="TH9" i="14"/>
  <c r="TA9" i="14"/>
  <c r="TB9" i="14" s="1"/>
  <c r="SU9" i="14"/>
  <c r="SP9" i="14"/>
  <c r="SQ9" i="14" s="1"/>
  <c r="SI9" i="14"/>
  <c r="SJ9" i="14" s="1"/>
  <c r="SC9" i="14"/>
  <c r="SD9" i="14" s="1"/>
  <c r="RX9" i="14"/>
  <c r="RQ9" i="14"/>
  <c r="RR9" i="14" s="1"/>
  <c r="RK9" i="14"/>
  <c r="RF9" i="14"/>
  <c r="RG9" i="14" s="1"/>
  <c r="QY9" i="14"/>
  <c r="QZ9" i="14" s="1"/>
  <c r="QS9" i="14"/>
  <c r="QT9" i="14" s="1"/>
  <c r="QN9" i="14"/>
  <c r="QG9" i="14"/>
  <c r="QH9" i="14" s="1"/>
  <c r="QA9" i="14"/>
  <c r="PV9" i="14"/>
  <c r="PW9" i="14" s="1"/>
  <c r="PO9" i="14"/>
  <c r="PP9" i="14" s="1"/>
  <c r="PI9" i="14"/>
  <c r="PJ9" i="14" s="1"/>
  <c r="PD9" i="14"/>
  <c r="OW9" i="14"/>
  <c r="OX9" i="14" s="1"/>
  <c r="OQ9" i="14"/>
  <c r="OL9" i="14"/>
  <c r="OM9" i="14" s="1"/>
  <c r="OE9" i="14"/>
  <c r="OF9" i="14" s="1"/>
  <c r="NY9" i="14"/>
  <c r="NZ9" i="14" s="1"/>
  <c r="NT9" i="14"/>
  <c r="NM9" i="14"/>
  <c r="NN9" i="14" s="1"/>
  <c r="NG9" i="14"/>
  <c r="NB9" i="14"/>
  <c r="NC9" i="14" s="1"/>
  <c r="MU9" i="14"/>
  <c r="MV9" i="14" s="1"/>
  <c r="MO9" i="14"/>
  <c r="MP9" i="14" s="1"/>
  <c r="MJ9" i="14"/>
  <c r="MC9" i="14"/>
  <c r="MD9" i="14" s="1"/>
  <c r="LW9" i="14"/>
  <c r="LR9" i="14"/>
  <c r="LS9" i="14" s="1"/>
  <c r="LK9" i="14"/>
  <c r="LL9" i="14" s="1"/>
  <c r="LE9" i="14"/>
  <c r="LF9" i="14" s="1"/>
  <c r="KZ9" i="14"/>
  <c r="KS9" i="14"/>
  <c r="KT9" i="14" s="1"/>
  <c r="KM9" i="14"/>
  <c r="KH9" i="14"/>
  <c r="KI9" i="14" s="1"/>
  <c r="KA9" i="14"/>
  <c r="KB9" i="14" s="1"/>
  <c r="JU9" i="14"/>
  <c r="JV9" i="14" s="1"/>
  <c r="JP9" i="14"/>
  <c r="JI9" i="14"/>
  <c r="JJ9" i="14" s="1"/>
  <c r="JC9" i="14"/>
  <c r="JD9" i="14" s="1"/>
  <c r="IX9" i="14"/>
  <c r="IY9" i="14" s="1"/>
  <c r="IQ9" i="14"/>
  <c r="IR9" i="14" s="1"/>
  <c r="IK9" i="14"/>
  <c r="IL9" i="14" s="1"/>
  <c r="IF9" i="14"/>
  <c r="HY9" i="14"/>
  <c r="HZ9" i="14" s="1"/>
  <c r="HS9" i="14"/>
  <c r="HT9" i="14" s="1"/>
  <c r="HN9" i="14"/>
  <c r="HG9" i="14"/>
  <c r="HH9" i="14" s="1"/>
  <c r="HA9" i="14"/>
  <c r="HB9" i="14" s="1"/>
  <c r="GV9" i="14"/>
  <c r="GO9" i="14"/>
  <c r="GP9" i="14" s="1"/>
  <c r="GI9" i="14"/>
  <c r="GJ9" i="14" s="1"/>
  <c r="GD9" i="14"/>
  <c r="GE9" i="14" s="1"/>
  <c r="FW9" i="14"/>
  <c r="FX9" i="14" s="1"/>
  <c r="FQ9" i="14"/>
  <c r="FR9" i="14" s="1"/>
  <c r="FL9" i="14"/>
  <c r="FM9" i="14" s="1"/>
  <c r="FE9" i="14"/>
  <c r="FF9" i="14" s="1"/>
  <c r="EY9" i="14"/>
  <c r="EZ9" i="14" s="1"/>
  <c r="ET9" i="14"/>
  <c r="EU9" i="14" s="1"/>
  <c r="EM9" i="14"/>
  <c r="EN9" i="14" s="1"/>
  <c r="EG9" i="14"/>
  <c r="EH9" i="14" s="1"/>
  <c r="EB9" i="14"/>
  <c r="DU9" i="14"/>
  <c r="DV9" i="14" s="1"/>
  <c r="DO9" i="14"/>
  <c r="DP9" i="14" s="1"/>
  <c r="DJ9" i="14"/>
  <c r="DK9" i="14" s="1"/>
  <c r="DC9" i="14"/>
  <c r="DD9" i="14" s="1"/>
  <c r="CW9" i="14"/>
  <c r="CX9" i="14" s="1"/>
  <c r="CR9" i="14"/>
  <c r="CK9" i="14"/>
  <c r="CL9" i="14" s="1"/>
  <c r="CE9" i="14"/>
  <c r="CF9" i="14" s="1"/>
  <c r="BZ9" i="14"/>
  <c r="CA9" i="14" s="1"/>
  <c r="BS9" i="14"/>
  <c r="BT9" i="14" s="1"/>
  <c r="BM9" i="14"/>
  <c r="BN9" i="14" s="1"/>
  <c r="BH9" i="14"/>
  <c r="BA9" i="14"/>
  <c r="BB9" i="14" s="1"/>
  <c r="AU9" i="14"/>
  <c r="AV9" i="14" s="1"/>
  <c r="AP9" i="14"/>
  <c r="AQ9" i="14" s="1"/>
  <c r="AI9" i="14"/>
  <c r="AJ9" i="14" s="1"/>
  <c r="AC9" i="14"/>
  <c r="AD9" i="14" s="1"/>
  <c r="X9" i="14"/>
  <c r="Y9" i="14" s="1"/>
  <c r="Q9" i="14"/>
  <c r="R9" i="14" s="1"/>
  <c r="K9" i="14"/>
  <c r="L9" i="14" s="1"/>
  <c r="F9" i="14"/>
  <c r="G9" i="14" s="1"/>
  <c r="TS8" i="14"/>
  <c r="TT8" i="14" s="1"/>
  <c r="TM8" i="14"/>
  <c r="TN8" i="14" s="1"/>
  <c r="TH8" i="14"/>
  <c r="TA8" i="14"/>
  <c r="TB8" i="14" s="1"/>
  <c r="SU8" i="14"/>
  <c r="SV8" i="14" s="1"/>
  <c r="SP8" i="14"/>
  <c r="SQ8" i="14" s="1"/>
  <c r="SI8" i="14"/>
  <c r="SJ8" i="14" s="1"/>
  <c r="SC8" i="14"/>
  <c r="SD8" i="14" s="1"/>
  <c r="RX8" i="14"/>
  <c r="RQ8" i="14"/>
  <c r="RR8" i="14" s="1"/>
  <c r="RK8" i="14"/>
  <c r="RL8" i="14" s="1"/>
  <c r="RF8" i="14"/>
  <c r="RG8" i="14" s="1"/>
  <c r="QY8" i="14"/>
  <c r="QZ8" i="14" s="1"/>
  <c r="QS8" i="14"/>
  <c r="QT8" i="14" s="1"/>
  <c r="QN8" i="14"/>
  <c r="QG8" i="14"/>
  <c r="QH8" i="14" s="1"/>
  <c r="QA8" i="14"/>
  <c r="QB8" i="14" s="1"/>
  <c r="PV8" i="14"/>
  <c r="PW8" i="14" s="1"/>
  <c r="PO8" i="14"/>
  <c r="PP8" i="14" s="1"/>
  <c r="PI8" i="14"/>
  <c r="PJ8" i="14" s="1"/>
  <c r="PD8" i="14"/>
  <c r="PE8" i="14" s="1"/>
  <c r="OW8" i="14"/>
  <c r="OX8" i="14" s="1"/>
  <c r="OQ8" i="14"/>
  <c r="OR8" i="14" s="1"/>
  <c r="OL8" i="14"/>
  <c r="OM8" i="14" s="1"/>
  <c r="OE8" i="14"/>
  <c r="OF8" i="14" s="1"/>
  <c r="NY8" i="14"/>
  <c r="NZ8" i="14" s="1"/>
  <c r="NT8" i="14"/>
  <c r="NM8" i="14"/>
  <c r="NN8" i="14" s="1"/>
  <c r="NG8" i="14"/>
  <c r="NH8" i="14" s="1"/>
  <c r="NB8" i="14"/>
  <c r="NC8" i="14" s="1"/>
  <c r="MU8" i="14"/>
  <c r="MV8" i="14" s="1"/>
  <c r="MO8" i="14"/>
  <c r="MP8" i="14" s="1"/>
  <c r="MJ8" i="14"/>
  <c r="MC8" i="14"/>
  <c r="MD8" i="14" s="1"/>
  <c r="LW8" i="14"/>
  <c r="LX8" i="14" s="1"/>
  <c r="LR8" i="14"/>
  <c r="LK8" i="14"/>
  <c r="LL8" i="14" s="1"/>
  <c r="LE8" i="14"/>
  <c r="LF8" i="14" s="1"/>
  <c r="KZ8" i="14"/>
  <c r="KS8" i="14"/>
  <c r="KT8" i="14" s="1"/>
  <c r="KM8" i="14"/>
  <c r="KN8" i="14" s="1"/>
  <c r="KH8" i="14"/>
  <c r="KA8" i="14"/>
  <c r="KB8" i="14" s="1"/>
  <c r="JU8" i="14"/>
  <c r="JV8" i="14" s="1"/>
  <c r="JP8" i="14"/>
  <c r="JI8" i="14"/>
  <c r="JJ8" i="14" s="1"/>
  <c r="JC8" i="14"/>
  <c r="JD8" i="14" s="1"/>
  <c r="IX8" i="14"/>
  <c r="IQ8" i="14"/>
  <c r="IR8" i="14" s="1"/>
  <c r="IK8" i="14"/>
  <c r="IL8" i="14" s="1"/>
  <c r="IF8" i="14"/>
  <c r="HY8" i="14"/>
  <c r="HZ8" i="14" s="1"/>
  <c r="HS8" i="14"/>
  <c r="HT8" i="14" s="1"/>
  <c r="HN8" i="14"/>
  <c r="HO8" i="14" s="1"/>
  <c r="HG8" i="14"/>
  <c r="HH8" i="14" s="1"/>
  <c r="HA8" i="14"/>
  <c r="HB8" i="14" s="1"/>
  <c r="GV8" i="14"/>
  <c r="GO8" i="14"/>
  <c r="GP8" i="14" s="1"/>
  <c r="GI8" i="14"/>
  <c r="GJ8" i="14" s="1"/>
  <c r="GD8" i="14"/>
  <c r="FW8" i="14"/>
  <c r="FX8" i="14" s="1"/>
  <c r="FQ8" i="14"/>
  <c r="FR8" i="14" s="1"/>
  <c r="FL8" i="14"/>
  <c r="FE8" i="14"/>
  <c r="FF8" i="14" s="1"/>
  <c r="EY8" i="14"/>
  <c r="EZ8" i="14" s="1"/>
  <c r="ET8" i="14"/>
  <c r="EM8" i="14"/>
  <c r="EN8" i="14" s="1"/>
  <c r="EG8" i="14"/>
  <c r="EH8" i="14" s="1"/>
  <c r="EB8" i="14"/>
  <c r="DU8" i="14"/>
  <c r="DV8" i="14" s="1"/>
  <c r="DO8" i="14"/>
  <c r="DP8" i="14" s="1"/>
  <c r="DJ8" i="14"/>
  <c r="DC8" i="14"/>
  <c r="DD8" i="14" s="1"/>
  <c r="CW8" i="14"/>
  <c r="CX8" i="14" s="1"/>
  <c r="CR8" i="14"/>
  <c r="CK8" i="14"/>
  <c r="CL8" i="14" s="1"/>
  <c r="CE8" i="14"/>
  <c r="CF8" i="14" s="1"/>
  <c r="BZ8" i="14"/>
  <c r="CA8" i="14" s="1"/>
  <c r="BS8" i="14"/>
  <c r="BT8" i="14" s="1"/>
  <c r="BM8" i="14"/>
  <c r="BN8" i="14" s="1"/>
  <c r="BH8" i="14"/>
  <c r="BA8" i="14"/>
  <c r="BB8" i="14" s="1"/>
  <c r="AU8" i="14"/>
  <c r="AV8" i="14" s="1"/>
  <c r="AP8" i="14"/>
  <c r="AQ8" i="14" s="1"/>
  <c r="AI8" i="14"/>
  <c r="AJ8" i="14" s="1"/>
  <c r="AC8" i="14"/>
  <c r="AD8" i="14" s="1"/>
  <c r="X8" i="14"/>
  <c r="Q8" i="14"/>
  <c r="R8" i="14" s="1"/>
  <c r="K8" i="14"/>
  <c r="L8" i="14" s="1"/>
  <c r="F8" i="14"/>
  <c r="G8" i="14" s="1"/>
  <c r="TS7" i="14"/>
  <c r="TT7" i="14" s="1"/>
  <c r="TM7" i="14"/>
  <c r="TN7" i="14" s="1"/>
  <c r="TH7" i="14"/>
  <c r="TA7" i="14"/>
  <c r="TB7" i="14" s="1"/>
  <c r="SU7" i="14"/>
  <c r="SV7" i="14" s="1"/>
  <c r="SP7" i="14"/>
  <c r="SQ7" i="14" s="1"/>
  <c r="SI7" i="14"/>
  <c r="SJ7" i="14" s="1"/>
  <c r="SC7" i="14"/>
  <c r="SD7" i="14" s="1"/>
  <c r="RX7" i="14"/>
  <c r="RQ7" i="14"/>
  <c r="RR7" i="14" s="1"/>
  <c r="RK7" i="14"/>
  <c r="RL7" i="14" s="1"/>
  <c r="RF7" i="14"/>
  <c r="QY7" i="14"/>
  <c r="QZ7" i="14" s="1"/>
  <c r="QS7" i="14"/>
  <c r="QT7" i="14" s="1"/>
  <c r="QN7" i="14"/>
  <c r="QG7" i="14"/>
  <c r="QH7" i="14" s="1"/>
  <c r="QA7" i="14"/>
  <c r="QB7" i="14" s="1"/>
  <c r="PV7" i="14"/>
  <c r="PO7" i="14"/>
  <c r="PP7" i="14" s="1"/>
  <c r="PI7" i="14"/>
  <c r="PJ7" i="14" s="1"/>
  <c r="PD7" i="14"/>
  <c r="OW7" i="14"/>
  <c r="OX7" i="14" s="1"/>
  <c r="OQ7" i="14"/>
  <c r="OR7" i="14" s="1"/>
  <c r="OL7" i="14"/>
  <c r="OM7" i="14" s="1"/>
  <c r="OE7" i="14"/>
  <c r="OF7" i="14" s="1"/>
  <c r="NY7" i="14"/>
  <c r="NZ7" i="14" s="1"/>
  <c r="NT7" i="14"/>
  <c r="NM7" i="14"/>
  <c r="NN7" i="14" s="1"/>
  <c r="NG7" i="14"/>
  <c r="NH7" i="14" s="1"/>
  <c r="NB7" i="14"/>
  <c r="NC7" i="14" s="1"/>
  <c r="MU7" i="14"/>
  <c r="MV7" i="14" s="1"/>
  <c r="MO7" i="14"/>
  <c r="MP7" i="14" s="1"/>
  <c r="MJ7" i="14"/>
  <c r="MC7" i="14"/>
  <c r="MD7" i="14" s="1"/>
  <c r="LW7" i="14"/>
  <c r="LX7" i="14" s="1"/>
  <c r="LR7" i="14"/>
  <c r="LS7" i="14" s="1"/>
  <c r="LK7" i="14"/>
  <c r="LL7" i="14" s="1"/>
  <c r="LE7" i="14"/>
  <c r="LF7" i="14" s="1"/>
  <c r="KZ7" i="14"/>
  <c r="KS7" i="14"/>
  <c r="KT7" i="14" s="1"/>
  <c r="KM7" i="14"/>
  <c r="KN7" i="14" s="1"/>
  <c r="KH7" i="14"/>
  <c r="KA7" i="14"/>
  <c r="KB7" i="14" s="1"/>
  <c r="JU7" i="14"/>
  <c r="JV7" i="14" s="1"/>
  <c r="JP7" i="14"/>
  <c r="JI7" i="14"/>
  <c r="JJ7" i="14" s="1"/>
  <c r="JC7" i="14"/>
  <c r="JD7" i="14" s="1"/>
  <c r="IX7" i="14"/>
  <c r="IY7" i="14" s="1"/>
  <c r="IQ7" i="14"/>
  <c r="IR7" i="14" s="1"/>
  <c r="IK7" i="14"/>
  <c r="IL7" i="14" s="1"/>
  <c r="IF7" i="14"/>
  <c r="HY7" i="14"/>
  <c r="HZ7" i="14" s="1"/>
  <c r="HS7" i="14"/>
  <c r="HT7" i="14" s="1"/>
  <c r="HN7" i="14"/>
  <c r="HO7" i="14" s="1"/>
  <c r="HG7" i="14"/>
  <c r="HH7" i="14" s="1"/>
  <c r="HA7" i="14"/>
  <c r="HB7" i="14" s="1"/>
  <c r="GV7" i="14"/>
  <c r="GO7" i="14"/>
  <c r="GP7" i="14" s="1"/>
  <c r="GI7" i="14"/>
  <c r="GJ7" i="14" s="1"/>
  <c r="GD7" i="14"/>
  <c r="GE7" i="14" s="1"/>
  <c r="FW7" i="14"/>
  <c r="FX7" i="14" s="1"/>
  <c r="FQ7" i="14"/>
  <c r="FR7" i="14" s="1"/>
  <c r="FL7" i="14"/>
  <c r="FE7" i="14"/>
  <c r="FF7" i="14" s="1"/>
  <c r="EY7" i="14"/>
  <c r="EZ7" i="14" s="1"/>
  <c r="ET7" i="14"/>
  <c r="EM7" i="14"/>
  <c r="EN7" i="14" s="1"/>
  <c r="EG7" i="14"/>
  <c r="EH7" i="14" s="1"/>
  <c r="EB7" i="14"/>
  <c r="DU7" i="14"/>
  <c r="DV7" i="14" s="1"/>
  <c r="DO7" i="14"/>
  <c r="DP7" i="14" s="1"/>
  <c r="DJ7" i="14"/>
  <c r="DC7" i="14"/>
  <c r="DD7" i="14" s="1"/>
  <c r="CW7" i="14"/>
  <c r="CX7" i="14" s="1"/>
  <c r="CR7" i="14"/>
  <c r="CK7" i="14"/>
  <c r="CL7" i="14" s="1"/>
  <c r="CE7" i="14"/>
  <c r="CF7" i="14" s="1"/>
  <c r="BZ7" i="14"/>
  <c r="CA7" i="14" s="1"/>
  <c r="BS7" i="14"/>
  <c r="BT7" i="14" s="1"/>
  <c r="BM7" i="14"/>
  <c r="BN7" i="14" s="1"/>
  <c r="BH7" i="14"/>
  <c r="BA7" i="14"/>
  <c r="BB7" i="14" s="1"/>
  <c r="AU7" i="14"/>
  <c r="AV7" i="14" s="1"/>
  <c r="AP7" i="14"/>
  <c r="AQ7" i="14" s="1"/>
  <c r="AI7" i="14"/>
  <c r="AJ7" i="14" s="1"/>
  <c r="AC7" i="14"/>
  <c r="AD7" i="14" s="1"/>
  <c r="X7" i="14"/>
  <c r="Q7" i="14"/>
  <c r="R7" i="14" s="1"/>
  <c r="K7" i="14"/>
  <c r="L7" i="14" s="1"/>
  <c r="F7" i="14"/>
  <c r="TS6" i="14"/>
  <c r="TT6" i="14" s="1"/>
  <c r="TM6" i="14"/>
  <c r="TN6" i="14" s="1"/>
  <c r="TH6" i="14"/>
  <c r="TA6" i="14"/>
  <c r="SU6" i="14"/>
  <c r="SV6" i="14" s="1"/>
  <c r="SP6" i="14"/>
  <c r="SQ6" i="14" s="1"/>
  <c r="SI6" i="14"/>
  <c r="SJ6" i="14" s="1"/>
  <c r="SC6" i="14"/>
  <c r="SD6" i="14" s="1"/>
  <c r="RX6" i="14"/>
  <c r="RQ6" i="14"/>
  <c r="RR6" i="14" s="1"/>
  <c r="RK6" i="14"/>
  <c r="RL6" i="14" s="1"/>
  <c r="RF6" i="14"/>
  <c r="QY6" i="14"/>
  <c r="QZ6" i="14" s="1"/>
  <c r="QS6" i="14"/>
  <c r="QT6" i="14" s="1"/>
  <c r="QN6" i="14"/>
  <c r="QG6" i="14"/>
  <c r="QH6" i="14" s="1"/>
  <c r="QA6" i="14"/>
  <c r="QB6" i="14" s="1"/>
  <c r="PV6" i="14"/>
  <c r="PW6" i="14" s="1"/>
  <c r="PO6" i="14"/>
  <c r="PP6" i="14" s="1"/>
  <c r="PI6" i="14"/>
  <c r="PJ6" i="14" s="1"/>
  <c r="PD6" i="14"/>
  <c r="OW6" i="14"/>
  <c r="OX6" i="14" s="1"/>
  <c r="OQ6" i="14"/>
  <c r="OR6" i="14" s="1"/>
  <c r="OL6" i="14"/>
  <c r="OE6" i="14"/>
  <c r="OF6" i="14" s="1"/>
  <c r="NY6" i="14"/>
  <c r="NZ6" i="14" s="1"/>
  <c r="NT6" i="14"/>
  <c r="NM6" i="14"/>
  <c r="NN6" i="14" s="1"/>
  <c r="NG6" i="14"/>
  <c r="NH6" i="14" s="1"/>
  <c r="NB6" i="14"/>
  <c r="MU6" i="14"/>
  <c r="MV6" i="14" s="1"/>
  <c r="MO6" i="14"/>
  <c r="MP6" i="14" s="1"/>
  <c r="MJ6" i="14"/>
  <c r="MC6" i="14"/>
  <c r="MD6" i="14" s="1"/>
  <c r="LW6" i="14"/>
  <c r="LX6" i="14" s="1"/>
  <c r="LR6" i="14"/>
  <c r="LS6" i="14" s="1"/>
  <c r="LK6" i="14"/>
  <c r="LL6" i="14" s="1"/>
  <c r="LE6" i="14"/>
  <c r="LF6" i="14" s="1"/>
  <c r="KZ6" i="14"/>
  <c r="KS6" i="14"/>
  <c r="KT6" i="14" s="1"/>
  <c r="KM6" i="14"/>
  <c r="KN6" i="14" s="1"/>
  <c r="KH6" i="14"/>
  <c r="KA6" i="14"/>
  <c r="KB6" i="14" s="1"/>
  <c r="JU6" i="14"/>
  <c r="JV6" i="14" s="1"/>
  <c r="JP6" i="14"/>
  <c r="JI6" i="14"/>
  <c r="JJ6" i="14" s="1"/>
  <c r="JC6" i="14"/>
  <c r="JD6" i="14" s="1"/>
  <c r="IX6" i="14"/>
  <c r="IQ6" i="14"/>
  <c r="IR6" i="14" s="1"/>
  <c r="IK6" i="14"/>
  <c r="IL6" i="14" s="1"/>
  <c r="IF6" i="14"/>
  <c r="HY6" i="14"/>
  <c r="HZ6" i="14" s="1"/>
  <c r="HS6" i="14"/>
  <c r="HT6" i="14" s="1"/>
  <c r="HN6" i="14"/>
  <c r="HG6" i="14"/>
  <c r="HH6" i="14" s="1"/>
  <c r="HA6" i="14"/>
  <c r="HB6" i="14" s="1"/>
  <c r="GV6" i="14"/>
  <c r="GO6" i="14"/>
  <c r="GP6" i="14" s="1"/>
  <c r="GI6" i="14"/>
  <c r="GJ6" i="14" s="1"/>
  <c r="GD6" i="14"/>
  <c r="GE6" i="14" s="1"/>
  <c r="FW6" i="14"/>
  <c r="FX6" i="14" s="1"/>
  <c r="FQ6" i="14"/>
  <c r="FR6" i="14" s="1"/>
  <c r="FL6" i="14"/>
  <c r="FE6" i="14"/>
  <c r="FF6" i="14" s="1"/>
  <c r="EY6" i="14"/>
  <c r="EZ6" i="14" s="1"/>
  <c r="ET6" i="14"/>
  <c r="EM6" i="14"/>
  <c r="EN6" i="14" s="1"/>
  <c r="EG6" i="14"/>
  <c r="EH6" i="14" s="1"/>
  <c r="EB6" i="14"/>
  <c r="DU6" i="14"/>
  <c r="DV6" i="14" s="1"/>
  <c r="DO6" i="14"/>
  <c r="DP6" i="14" s="1"/>
  <c r="DJ6" i="14"/>
  <c r="DC6" i="14"/>
  <c r="DD6" i="14" s="1"/>
  <c r="CW6" i="14"/>
  <c r="CX6" i="14" s="1"/>
  <c r="CR6" i="14"/>
  <c r="CK6" i="14"/>
  <c r="CL6" i="14" s="1"/>
  <c r="CE6" i="14"/>
  <c r="CF6" i="14" s="1"/>
  <c r="BZ6" i="14"/>
  <c r="CA6" i="14" s="1"/>
  <c r="BS6" i="14"/>
  <c r="BT6" i="14" s="1"/>
  <c r="BM6" i="14"/>
  <c r="BN6" i="14" s="1"/>
  <c r="BH6" i="14"/>
  <c r="BA6" i="14"/>
  <c r="BB6" i="14" s="1"/>
  <c r="AU6" i="14"/>
  <c r="AV6" i="14" s="1"/>
  <c r="AP6" i="14"/>
  <c r="AQ6" i="14" s="1"/>
  <c r="AI6" i="14"/>
  <c r="AC6" i="14"/>
  <c r="AD6" i="14" s="1"/>
  <c r="X6" i="14"/>
  <c r="Q6" i="14"/>
  <c r="R6" i="14" s="1"/>
  <c r="K6" i="14"/>
  <c r="L6" i="14" s="1"/>
  <c r="F6" i="14"/>
  <c r="TS5" i="14"/>
  <c r="TM5" i="14"/>
  <c r="TN5" i="14" s="1"/>
  <c r="TH5" i="14"/>
  <c r="TA5" i="14"/>
  <c r="SU5" i="14"/>
  <c r="SV5" i="14" s="1"/>
  <c r="SP5" i="14"/>
  <c r="SI5" i="14"/>
  <c r="SC5" i="14"/>
  <c r="SD5" i="14" s="1"/>
  <c r="RX5" i="14"/>
  <c r="RQ5" i="14"/>
  <c r="RR5" i="14" s="1"/>
  <c r="RK5" i="14"/>
  <c r="RL5" i="14" s="1"/>
  <c r="RF5" i="14"/>
  <c r="QY5" i="14"/>
  <c r="QS5" i="14"/>
  <c r="QT5" i="14" s="1"/>
  <c r="QN5" i="14"/>
  <c r="QG5" i="14"/>
  <c r="QH5" i="14" s="1"/>
  <c r="QA5" i="14"/>
  <c r="QB5" i="14" s="1"/>
  <c r="PV5" i="14"/>
  <c r="PO5" i="14"/>
  <c r="PI5" i="14"/>
  <c r="PJ5" i="14" s="1"/>
  <c r="PD5" i="14"/>
  <c r="OW5" i="14"/>
  <c r="OX5" i="14" s="1"/>
  <c r="OQ5" i="14"/>
  <c r="OR5" i="14" s="1"/>
  <c r="OL5" i="14"/>
  <c r="OE5" i="14"/>
  <c r="NY5" i="14"/>
  <c r="NZ5" i="14" s="1"/>
  <c r="NT5" i="14"/>
  <c r="NM5" i="14"/>
  <c r="NN5" i="14" s="1"/>
  <c r="NG5" i="14"/>
  <c r="NH5" i="14" s="1"/>
  <c r="NB5" i="14"/>
  <c r="MU5" i="14"/>
  <c r="MO5" i="14"/>
  <c r="MP5" i="14" s="1"/>
  <c r="MJ5" i="14"/>
  <c r="MC5" i="14"/>
  <c r="MD5" i="14" s="1"/>
  <c r="LW5" i="14"/>
  <c r="LX5" i="14" s="1"/>
  <c r="LR5" i="14"/>
  <c r="LK5" i="14"/>
  <c r="LE5" i="14"/>
  <c r="LF5" i="14" s="1"/>
  <c r="KZ5" i="14"/>
  <c r="KS5" i="14"/>
  <c r="KT5" i="14" s="1"/>
  <c r="KM5" i="14"/>
  <c r="KN5" i="14" s="1"/>
  <c r="KH5" i="14"/>
  <c r="KA5" i="14"/>
  <c r="JU5" i="14"/>
  <c r="JV5" i="14" s="1"/>
  <c r="JP5" i="14"/>
  <c r="JI5" i="14"/>
  <c r="JJ5" i="14" s="1"/>
  <c r="JC5" i="14"/>
  <c r="JD5" i="14" s="1"/>
  <c r="IX5" i="14"/>
  <c r="IQ5" i="14"/>
  <c r="IK5" i="14"/>
  <c r="IL5" i="14" s="1"/>
  <c r="IF5" i="14"/>
  <c r="HY5" i="14"/>
  <c r="HZ5" i="14" s="1"/>
  <c r="HS5" i="14"/>
  <c r="HT5" i="14" s="1"/>
  <c r="HN5" i="14"/>
  <c r="HG5" i="14"/>
  <c r="HA5" i="14"/>
  <c r="HB5" i="14" s="1"/>
  <c r="GV5" i="14"/>
  <c r="GO5" i="14"/>
  <c r="GP5" i="14" s="1"/>
  <c r="GI5" i="14"/>
  <c r="GJ5" i="14" s="1"/>
  <c r="GD5" i="14"/>
  <c r="FW5" i="14"/>
  <c r="FQ5" i="14"/>
  <c r="FR5" i="14" s="1"/>
  <c r="FL5" i="14"/>
  <c r="FE5" i="14"/>
  <c r="FF5" i="14" s="1"/>
  <c r="EY5" i="14"/>
  <c r="EZ5" i="14" s="1"/>
  <c r="ET5" i="14"/>
  <c r="EM5" i="14"/>
  <c r="EG5" i="14"/>
  <c r="EH5" i="14" s="1"/>
  <c r="EB5" i="14"/>
  <c r="DU5" i="14"/>
  <c r="DV5" i="14" s="1"/>
  <c r="DO5" i="14"/>
  <c r="DP5" i="14" s="1"/>
  <c r="DJ5" i="14"/>
  <c r="DC5" i="14"/>
  <c r="CW5" i="14"/>
  <c r="CX5" i="14" s="1"/>
  <c r="CR5" i="14"/>
  <c r="CK5" i="14"/>
  <c r="CL5" i="14" s="1"/>
  <c r="CE5" i="14"/>
  <c r="CF5" i="14" s="1"/>
  <c r="BZ5" i="14"/>
  <c r="BS5" i="14"/>
  <c r="BM5" i="14"/>
  <c r="BN5" i="14" s="1"/>
  <c r="BH5" i="14"/>
  <c r="BA5" i="14"/>
  <c r="BB5" i="14" s="1"/>
  <c r="AU5" i="14"/>
  <c r="AV5" i="14" s="1"/>
  <c r="AP5" i="14"/>
  <c r="AQ5" i="14" s="1"/>
  <c r="AI5" i="14"/>
  <c r="AJ5" i="14" s="1"/>
  <c r="AC5" i="14"/>
  <c r="X5" i="14"/>
  <c r="Y5" i="14" s="1"/>
  <c r="Q5" i="14"/>
  <c r="R5" i="14" s="1"/>
  <c r="K5" i="14"/>
  <c r="F5" i="14"/>
  <c r="G5" i="14" s="1"/>
  <c r="AH3" i="14"/>
  <c r="AZ3" i="14" s="1"/>
  <c r="BR3" i="14" s="1"/>
  <c r="CJ3" i="14" s="1"/>
  <c r="DB3" i="14" s="1"/>
  <c r="DT3" i="14" s="1"/>
  <c r="EL3" i="14" s="1"/>
  <c r="FD3" i="14" s="1"/>
  <c r="FV3" i="14" s="1"/>
  <c r="GN3" i="14" s="1"/>
  <c r="HF3" i="14" s="1"/>
  <c r="HX3" i="14" s="1"/>
  <c r="IP3" i="14" s="1"/>
  <c r="JH3" i="14" s="1"/>
  <c r="JZ3" i="14" s="1"/>
  <c r="KR3" i="14" s="1"/>
  <c r="LJ3" i="14" s="1"/>
  <c r="MB3" i="14" s="1"/>
  <c r="MT3" i="14" s="1"/>
  <c r="NL3" i="14" s="1"/>
  <c r="OD3" i="14" s="1"/>
  <c r="OV3" i="14" s="1"/>
  <c r="PN3" i="14" s="1"/>
  <c r="QF3" i="14" s="1"/>
  <c r="QX3" i="14" s="1"/>
  <c r="RP3" i="14" s="1"/>
  <c r="SH3" i="14" s="1"/>
  <c r="SZ3" i="14" s="1"/>
  <c r="TR3" i="14" s="1"/>
  <c r="AF3" i="14"/>
  <c r="AX3" i="14" s="1"/>
  <c r="BP3" i="14" s="1"/>
  <c r="CH3" i="14" s="1"/>
  <c r="CZ3" i="14" s="1"/>
  <c r="DR3" i="14" s="1"/>
  <c r="EJ3" i="14" s="1"/>
  <c r="FB3" i="14" s="1"/>
  <c r="FT3" i="14" s="1"/>
  <c r="GL3" i="14" s="1"/>
  <c r="HD3" i="14" s="1"/>
  <c r="HV3" i="14" s="1"/>
  <c r="IN3" i="14" s="1"/>
  <c r="JF3" i="14" s="1"/>
  <c r="JX3" i="14" s="1"/>
  <c r="KP3" i="14" s="1"/>
  <c r="LH3" i="14" s="1"/>
  <c r="LZ3" i="14" s="1"/>
  <c r="MR3" i="14" s="1"/>
  <c r="NJ3" i="14" s="1"/>
  <c r="OB3" i="14" s="1"/>
  <c r="OT3" i="14" s="1"/>
  <c r="PL3" i="14" s="1"/>
  <c r="QD3" i="14" s="1"/>
  <c r="QV3" i="14" s="1"/>
  <c r="RN3" i="14" s="1"/>
  <c r="SF3" i="14" s="1"/>
  <c r="SX3" i="14" s="1"/>
  <c r="TP3" i="14" s="1"/>
  <c r="AE3" i="14"/>
  <c r="AW3" i="14" s="1"/>
  <c r="BO3" i="14" s="1"/>
  <c r="CG3" i="14" s="1"/>
  <c r="CY3" i="14" s="1"/>
  <c r="DQ3" i="14" s="1"/>
  <c r="EI3" i="14" s="1"/>
  <c r="FA3" i="14" s="1"/>
  <c r="FS3" i="14" s="1"/>
  <c r="GK3" i="14" s="1"/>
  <c r="HC3" i="14" s="1"/>
  <c r="HU3" i="14" s="1"/>
  <c r="IM3" i="14" s="1"/>
  <c r="JE3" i="14" s="1"/>
  <c r="JW3" i="14" s="1"/>
  <c r="KO3" i="14" s="1"/>
  <c r="LG3" i="14" s="1"/>
  <c r="LY3" i="14" s="1"/>
  <c r="MQ3" i="14" s="1"/>
  <c r="NI3" i="14" s="1"/>
  <c r="OA3" i="14" s="1"/>
  <c r="OS3" i="14" s="1"/>
  <c r="PK3" i="14" s="1"/>
  <c r="QC3" i="14" s="1"/>
  <c r="QU3" i="14" s="1"/>
  <c r="RM3" i="14" s="1"/>
  <c r="SE3" i="14" s="1"/>
  <c r="SW3" i="14" s="1"/>
  <c r="TO3" i="14" s="1"/>
  <c r="AA3" i="14"/>
  <c r="AS3" i="14" s="1"/>
  <c r="BK3" i="14" s="1"/>
  <c r="CC3" i="14" s="1"/>
  <c r="CU3" i="14" s="1"/>
  <c r="DM3" i="14" s="1"/>
  <c r="EE3" i="14" s="1"/>
  <c r="EW3" i="14" s="1"/>
  <c r="FO3" i="14" s="1"/>
  <c r="GG3" i="14" s="1"/>
  <c r="GY3" i="14" s="1"/>
  <c r="HQ3" i="14" s="1"/>
  <c r="II3" i="14" s="1"/>
  <c r="JA3" i="14" s="1"/>
  <c r="JS3" i="14" s="1"/>
  <c r="KK3" i="14" s="1"/>
  <c r="LC3" i="14" s="1"/>
  <c r="LU3" i="14" s="1"/>
  <c r="MM3" i="14" s="1"/>
  <c r="NE3" i="14" s="1"/>
  <c r="NW3" i="14" s="1"/>
  <c r="OO3" i="14" s="1"/>
  <c r="PG3" i="14" s="1"/>
  <c r="PY3" i="14" s="1"/>
  <c r="QQ3" i="14" s="1"/>
  <c r="RI3" i="14" s="1"/>
  <c r="SA3" i="14" s="1"/>
  <c r="SS3" i="14" s="1"/>
  <c r="TK3" i="14" s="1"/>
  <c r="Z3" i="14"/>
  <c r="AR3" i="14" s="1"/>
  <c r="BJ3" i="14" s="1"/>
  <c r="CB3" i="14" s="1"/>
  <c r="CT3" i="14" s="1"/>
  <c r="DL3" i="14" s="1"/>
  <c r="ED3" i="14" s="1"/>
  <c r="EV3" i="14" s="1"/>
  <c r="FN3" i="14" s="1"/>
  <c r="GF3" i="14" s="1"/>
  <c r="GX3" i="14" s="1"/>
  <c r="HP3" i="14" s="1"/>
  <c r="IH3" i="14" s="1"/>
  <c r="IZ3" i="14" s="1"/>
  <c r="JR3" i="14" s="1"/>
  <c r="KJ3" i="14" s="1"/>
  <c r="LB3" i="14" s="1"/>
  <c r="LT3" i="14" s="1"/>
  <c r="ML3" i="14" s="1"/>
  <c r="ND3" i="14" s="1"/>
  <c r="NV3" i="14" s="1"/>
  <c r="ON3" i="14" s="1"/>
  <c r="PF3" i="14" s="1"/>
  <c r="PX3" i="14" s="1"/>
  <c r="QP3" i="14" s="1"/>
  <c r="RH3" i="14" s="1"/>
  <c r="RZ3" i="14" s="1"/>
  <c r="SR3" i="14" s="1"/>
  <c r="TJ3" i="14" s="1"/>
  <c r="W3" i="14"/>
  <c r="AO3" i="14" s="1"/>
  <c r="BG3" i="14" s="1"/>
  <c r="BY3" i="14" s="1"/>
  <c r="CQ3" i="14" s="1"/>
  <c r="DI3" i="14" s="1"/>
  <c r="EA3" i="14" s="1"/>
  <c r="ES3" i="14" s="1"/>
  <c r="FK3" i="14" s="1"/>
  <c r="GC3" i="14" s="1"/>
  <c r="GU3" i="14" s="1"/>
  <c r="HM3" i="14" s="1"/>
  <c r="IE3" i="14" s="1"/>
  <c r="IW3" i="14" s="1"/>
  <c r="JO3" i="14" s="1"/>
  <c r="KG3" i="14" s="1"/>
  <c r="KY3" i="14" s="1"/>
  <c r="LQ3" i="14" s="1"/>
  <c r="MI3" i="14" s="1"/>
  <c r="NA3" i="14" s="1"/>
  <c r="NS3" i="14" s="1"/>
  <c r="OK3" i="14" s="1"/>
  <c r="PC3" i="14" s="1"/>
  <c r="PU3" i="14" s="1"/>
  <c r="QM3" i="14" s="1"/>
  <c r="RE3" i="14" s="1"/>
  <c r="RW3" i="14" s="1"/>
  <c r="SO3" i="14" s="1"/>
  <c r="TG3" i="14" s="1"/>
  <c r="V3" i="14"/>
  <c r="AN3" i="14" s="1"/>
  <c r="BF3" i="14" s="1"/>
  <c r="BX3" i="14" s="1"/>
  <c r="CP3" i="14" s="1"/>
  <c r="DH3" i="14" s="1"/>
  <c r="DZ3" i="14" s="1"/>
  <c r="ER3" i="14" s="1"/>
  <c r="FJ3" i="14" s="1"/>
  <c r="GB3" i="14" s="1"/>
  <c r="GT3" i="14" s="1"/>
  <c r="HL3" i="14" s="1"/>
  <c r="ID3" i="14" s="1"/>
  <c r="IV3" i="14" s="1"/>
  <c r="JN3" i="14" s="1"/>
  <c r="KF3" i="14" s="1"/>
  <c r="KX3" i="14" s="1"/>
  <c r="LP3" i="14" s="1"/>
  <c r="MH3" i="14" s="1"/>
  <c r="MZ3" i="14" s="1"/>
  <c r="NR3" i="14" s="1"/>
  <c r="OJ3" i="14" s="1"/>
  <c r="PB3" i="14" s="1"/>
  <c r="PT3" i="14" s="1"/>
  <c r="QL3" i="14" s="1"/>
  <c r="RD3" i="14" s="1"/>
  <c r="RV3" i="14" s="1"/>
  <c r="SN3" i="14" s="1"/>
  <c r="TF3" i="14" s="1"/>
  <c r="U3" i="14"/>
  <c r="AM3" i="14" s="1"/>
  <c r="BE3" i="14" s="1"/>
  <c r="BW3" i="14" s="1"/>
  <c r="CO3" i="14" s="1"/>
  <c r="DG3" i="14" s="1"/>
  <c r="DY3" i="14" s="1"/>
  <c r="EQ3" i="14" s="1"/>
  <c r="FI3" i="14" s="1"/>
  <c r="GA3" i="14" s="1"/>
  <c r="GS3" i="14" s="1"/>
  <c r="HK3" i="14" s="1"/>
  <c r="IC3" i="14" s="1"/>
  <c r="IU3" i="14" s="1"/>
  <c r="JM3" i="14" s="1"/>
  <c r="KE3" i="14" s="1"/>
  <c r="KW3" i="14" s="1"/>
  <c r="LO3" i="14" s="1"/>
  <c r="MG3" i="14" s="1"/>
  <c r="MY3" i="14" s="1"/>
  <c r="NQ3" i="14" s="1"/>
  <c r="OI3" i="14" s="1"/>
  <c r="PA3" i="14" s="1"/>
  <c r="PS3" i="14" s="1"/>
  <c r="QK3" i="14" s="1"/>
  <c r="RC3" i="14" s="1"/>
  <c r="RU3" i="14" s="1"/>
  <c r="SM3" i="14" s="1"/>
  <c r="TE3" i="14" s="1"/>
  <c r="U1" i="14"/>
  <c r="AM1" i="14" s="1"/>
  <c r="BE1" i="14" s="1"/>
  <c r="TP21" i="10"/>
  <c r="TQ21" i="10" s="1"/>
  <c r="TK21" i="10"/>
  <c r="TL21" i="10" s="1"/>
  <c r="TF21" i="10"/>
  <c r="SY21" i="10"/>
  <c r="SZ21" i="10" s="1"/>
  <c r="ST21" i="10"/>
  <c r="SU21" i="10" s="1"/>
  <c r="SO21" i="10"/>
  <c r="SH21" i="10"/>
  <c r="SI21" i="10" s="1"/>
  <c r="SC21" i="10"/>
  <c r="SD21" i="10" s="1"/>
  <c r="RX21" i="10"/>
  <c r="RQ21" i="10"/>
  <c r="RR21" i="10" s="1"/>
  <c r="RK21" i="10"/>
  <c r="RL21" i="10" s="1"/>
  <c r="RF21" i="10"/>
  <c r="QY21" i="10"/>
  <c r="QZ21" i="10" s="1"/>
  <c r="QS21" i="10"/>
  <c r="QT21" i="10" s="1"/>
  <c r="QN21" i="10"/>
  <c r="QG21" i="10"/>
  <c r="QH21" i="10" s="1"/>
  <c r="QA21" i="10"/>
  <c r="QB21" i="10" s="1"/>
  <c r="PV21" i="10"/>
  <c r="PO21" i="10"/>
  <c r="PP21" i="10" s="1"/>
  <c r="PI21" i="10"/>
  <c r="PJ21" i="10" s="1"/>
  <c r="PD21" i="10"/>
  <c r="OW21" i="10"/>
  <c r="OX21" i="10" s="1"/>
  <c r="OQ21" i="10"/>
  <c r="OR21" i="10" s="1"/>
  <c r="OL21" i="10"/>
  <c r="OE21" i="10"/>
  <c r="OF21" i="10" s="1"/>
  <c r="NY21" i="10"/>
  <c r="NZ21" i="10" s="1"/>
  <c r="NT21" i="10"/>
  <c r="NT20" i="10" s="1"/>
  <c r="NM21" i="10"/>
  <c r="NN21" i="10" s="1"/>
  <c r="NG21" i="10"/>
  <c r="NH21" i="10" s="1"/>
  <c r="NB21" i="10"/>
  <c r="NB20" i="10" s="1"/>
  <c r="MU21" i="10"/>
  <c r="MV21" i="10" s="1"/>
  <c r="MO21" i="10"/>
  <c r="MP21" i="10" s="1"/>
  <c r="MJ21" i="10"/>
  <c r="MC21" i="10"/>
  <c r="MD21" i="10" s="1"/>
  <c r="LW21" i="10"/>
  <c r="LX21" i="10" s="1"/>
  <c r="LR21" i="10"/>
  <c r="LR20" i="10" s="1"/>
  <c r="LK21" i="10"/>
  <c r="LL21" i="10" s="1"/>
  <c r="LE21" i="10"/>
  <c r="LF21" i="10" s="1"/>
  <c r="KZ21" i="10"/>
  <c r="KZ20" i="10" s="1"/>
  <c r="KS21" i="10"/>
  <c r="KT21" i="10" s="1"/>
  <c r="KM21" i="10"/>
  <c r="KN21" i="10" s="1"/>
  <c r="KH21" i="10"/>
  <c r="KH20" i="10" s="1"/>
  <c r="KA21" i="10"/>
  <c r="KB21" i="10" s="1"/>
  <c r="JU21" i="10"/>
  <c r="JV21" i="10" s="1"/>
  <c r="JP21" i="10"/>
  <c r="JI21" i="10"/>
  <c r="JJ21" i="10" s="1"/>
  <c r="JC21" i="10"/>
  <c r="JD21" i="10" s="1"/>
  <c r="IX21" i="10"/>
  <c r="IX20" i="10" s="1"/>
  <c r="IQ21" i="10"/>
  <c r="IR21" i="10" s="1"/>
  <c r="IK21" i="10"/>
  <c r="IL21" i="10" s="1"/>
  <c r="IF21" i="10"/>
  <c r="IF20" i="10" s="1"/>
  <c r="HY21" i="10"/>
  <c r="HZ21" i="10" s="1"/>
  <c r="HS21" i="10"/>
  <c r="HT21" i="10" s="1"/>
  <c r="HN21" i="10"/>
  <c r="HN20" i="10" s="1"/>
  <c r="HO20" i="10" s="1"/>
  <c r="HG21" i="10"/>
  <c r="HH21" i="10" s="1"/>
  <c r="HA21" i="10"/>
  <c r="HB21" i="10" s="1"/>
  <c r="GV21" i="10"/>
  <c r="GO21" i="10"/>
  <c r="GP21" i="10" s="1"/>
  <c r="GI21" i="10"/>
  <c r="GJ21" i="10" s="1"/>
  <c r="GD21" i="10"/>
  <c r="GD20" i="10" s="1"/>
  <c r="FW21" i="10"/>
  <c r="FX21" i="10" s="1"/>
  <c r="FQ21" i="10"/>
  <c r="FR21" i="10" s="1"/>
  <c r="FL21" i="10"/>
  <c r="FM21" i="10" s="1"/>
  <c r="FE21" i="10"/>
  <c r="FF21" i="10" s="1"/>
  <c r="EY21" i="10"/>
  <c r="EZ21" i="10" s="1"/>
  <c r="ET21" i="10"/>
  <c r="ET20" i="10" s="1"/>
  <c r="EM21" i="10"/>
  <c r="EM20" i="10" s="1"/>
  <c r="EN20" i="10" s="1"/>
  <c r="EG21" i="10"/>
  <c r="EH21" i="10" s="1"/>
  <c r="EB21" i="10"/>
  <c r="EC21" i="10" s="1"/>
  <c r="DU21" i="10"/>
  <c r="DV21" i="10" s="1"/>
  <c r="DO21" i="10"/>
  <c r="DJ21" i="10"/>
  <c r="DK21" i="10" s="1"/>
  <c r="DC21" i="10"/>
  <c r="DC20" i="10" s="1"/>
  <c r="DD20" i="10" s="1"/>
  <c r="CW21" i="10"/>
  <c r="CX21" i="10" s="1"/>
  <c r="CR21" i="10"/>
  <c r="CR20" i="10" s="1"/>
  <c r="CK21" i="10"/>
  <c r="CL21" i="10" s="1"/>
  <c r="CE21" i="10"/>
  <c r="BZ21" i="10"/>
  <c r="CA21" i="10" s="1"/>
  <c r="BS21" i="10"/>
  <c r="BS20" i="10" s="1"/>
  <c r="BT20" i="10" s="1"/>
  <c r="BM21" i="10"/>
  <c r="BN21" i="10" s="1"/>
  <c r="BH21" i="10"/>
  <c r="BI21" i="10" s="1"/>
  <c r="BA21" i="10"/>
  <c r="BB21" i="10" s="1"/>
  <c r="AU21" i="10"/>
  <c r="AP21" i="10"/>
  <c r="AQ21" i="10" s="1"/>
  <c r="AI21" i="10"/>
  <c r="AI20" i="10" s="1"/>
  <c r="AJ20" i="10" s="1"/>
  <c r="AC21" i="10"/>
  <c r="AD21" i="10" s="1"/>
  <c r="X21" i="10"/>
  <c r="Y21" i="10" s="1"/>
  <c r="Q21" i="10"/>
  <c r="R21" i="10" s="1"/>
  <c r="K21" i="10"/>
  <c r="F21" i="10"/>
  <c r="G21" i="10" s="1"/>
  <c r="TP19" i="10"/>
  <c r="TQ19" i="10" s="1"/>
  <c r="TK19" i="10"/>
  <c r="TL19" i="10" s="1"/>
  <c r="TF19" i="10"/>
  <c r="TG19" i="10" s="1"/>
  <c r="SY19" i="10"/>
  <c r="SZ19" i="10" s="1"/>
  <c r="ST19" i="10"/>
  <c r="SU19" i="10" s="1"/>
  <c r="SO19" i="10"/>
  <c r="SH19" i="10"/>
  <c r="SI19" i="10" s="1"/>
  <c r="SC19" i="10"/>
  <c r="SD19" i="10" s="1"/>
  <c r="RX19" i="10"/>
  <c r="RQ19" i="10"/>
  <c r="RR19" i="10" s="1"/>
  <c r="RK19" i="10"/>
  <c r="RL19" i="10" s="1"/>
  <c r="RF19" i="10"/>
  <c r="QY19" i="10"/>
  <c r="QZ19" i="10" s="1"/>
  <c r="QS19" i="10"/>
  <c r="QT19" i="10" s="1"/>
  <c r="QN19" i="10"/>
  <c r="QG19" i="10"/>
  <c r="QH19" i="10" s="1"/>
  <c r="QA19" i="10"/>
  <c r="QB19" i="10" s="1"/>
  <c r="PV19" i="10"/>
  <c r="PO19" i="10"/>
  <c r="PP19" i="10" s="1"/>
  <c r="PI19" i="10"/>
  <c r="PJ19" i="10" s="1"/>
  <c r="PD19" i="10"/>
  <c r="PE19" i="10" s="1"/>
  <c r="OW19" i="10"/>
  <c r="OX19" i="10" s="1"/>
  <c r="OQ19" i="10"/>
  <c r="OR19" i="10" s="1"/>
  <c r="OL19" i="10"/>
  <c r="OM19" i="10" s="1"/>
  <c r="OE19" i="10"/>
  <c r="OF19" i="10" s="1"/>
  <c r="NY19" i="10"/>
  <c r="NZ19" i="10" s="1"/>
  <c r="NT19" i="10"/>
  <c r="NU19" i="10" s="1"/>
  <c r="NM19" i="10"/>
  <c r="NN19" i="10" s="1"/>
  <c r="NG19" i="10"/>
  <c r="NH19" i="10" s="1"/>
  <c r="NB19" i="10"/>
  <c r="NC19" i="10" s="1"/>
  <c r="MU19" i="10"/>
  <c r="MV19" i="10" s="1"/>
  <c r="MO19" i="10"/>
  <c r="MP19" i="10" s="1"/>
  <c r="MJ19" i="10"/>
  <c r="MK19" i="10" s="1"/>
  <c r="MC19" i="10"/>
  <c r="MD19" i="10" s="1"/>
  <c r="LW19" i="10"/>
  <c r="LX19" i="10" s="1"/>
  <c r="LR19" i="10"/>
  <c r="LS19" i="10" s="1"/>
  <c r="LK19" i="10"/>
  <c r="LL19" i="10" s="1"/>
  <c r="LE19" i="10"/>
  <c r="LF19" i="10" s="1"/>
  <c r="KZ19" i="10"/>
  <c r="LA19" i="10" s="1"/>
  <c r="KS19" i="10"/>
  <c r="KT19" i="10" s="1"/>
  <c r="KM19" i="10"/>
  <c r="KN19" i="10" s="1"/>
  <c r="KH19" i="10"/>
  <c r="KI19" i="10" s="1"/>
  <c r="KA19" i="10"/>
  <c r="KB19" i="10" s="1"/>
  <c r="JU19" i="10"/>
  <c r="JV19" i="10" s="1"/>
  <c r="JP19" i="10"/>
  <c r="JQ19" i="10" s="1"/>
  <c r="JI19" i="10"/>
  <c r="JJ19" i="10" s="1"/>
  <c r="JC19" i="10"/>
  <c r="JD19" i="10" s="1"/>
  <c r="IX19" i="10"/>
  <c r="IY19" i="10" s="1"/>
  <c r="IQ19" i="10"/>
  <c r="IR19" i="10" s="1"/>
  <c r="IK19" i="10"/>
  <c r="IL19" i="10" s="1"/>
  <c r="IF19" i="10"/>
  <c r="IG19" i="10" s="1"/>
  <c r="HY19" i="10"/>
  <c r="HZ19" i="10" s="1"/>
  <c r="HS19" i="10"/>
  <c r="HT19" i="10" s="1"/>
  <c r="HN19" i="10"/>
  <c r="HO19" i="10" s="1"/>
  <c r="HG19" i="10"/>
  <c r="HH19" i="10" s="1"/>
  <c r="HA19" i="10"/>
  <c r="HB19" i="10" s="1"/>
  <c r="GV19" i="10"/>
  <c r="GW19" i="10" s="1"/>
  <c r="GO19" i="10"/>
  <c r="GP19" i="10" s="1"/>
  <c r="GI19" i="10"/>
  <c r="GJ19" i="10" s="1"/>
  <c r="GD19" i="10"/>
  <c r="GE19" i="10" s="1"/>
  <c r="FW19" i="10"/>
  <c r="FX19" i="10" s="1"/>
  <c r="FQ19" i="10"/>
  <c r="FR19" i="10" s="1"/>
  <c r="FL19" i="10"/>
  <c r="FM19" i="10" s="1"/>
  <c r="FE19" i="10"/>
  <c r="FF19" i="10" s="1"/>
  <c r="EY19" i="10"/>
  <c r="EZ19" i="10" s="1"/>
  <c r="ET19" i="10"/>
  <c r="EU19" i="10" s="1"/>
  <c r="EM19" i="10"/>
  <c r="EN19" i="10" s="1"/>
  <c r="EG19" i="10"/>
  <c r="EH19" i="10" s="1"/>
  <c r="EB19" i="10"/>
  <c r="EC19" i="10" s="1"/>
  <c r="DU19" i="10"/>
  <c r="DV19" i="10" s="1"/>
  <c r="DO19" i="10"/>
  <c r="DP19" i="10" s="1"/>
  <c r="DJ19" i="10"/>
  <c r="DK19" i="10" s="1"/>
  <c r="DC19" i="10"/>
  <c r="DD19" i="10" s="1"/>
  <c r="CW19" i="10"/>
  <c r="CX19" i="10" s="1"/>
  <c r="CR19" i="10"/>
  <c r="CS19" i="10" s="1"/>
  <c r="CK19" i="10"/>
  <c r="CL19" i="10" s="1"/>
  <c r="CE19" i="10"/>
  <c r="CF19" i="10" s="1"/>
  <c r="BZ19" i="10"/>
  <c r="CA19" i="10" s="1"/>
  <c r="BS19" i="10"/>
  <c r="BT19" i="10" s="1"/>
  <c r="BM19" i="10"/>
  <c r="BN19" i="10" s="1"/>
  <c r="BH19" i="10"/>
  <c r="BI19" i="10" s="1"/>
  <c r="BA19" i="10"/>
  <c r="BB19" i="10" s="1"/>
  <c r="AU19" i="10"/>
  <c r="AV19" i="10" s="1"/>
  <c r="AP19" i="10"/>
  <c r="AQ19" i="10" s="1"/>
  <c r="AI19" i="10"/>
  <c r="AJ19" i="10" s="1"/>
  <c r="AC19" i="10"/>
  <c r="AD19" i="10" s="1"/>
  <c r="X19" i="10"/>
  <c r="Y19" i="10" s="1"/>
  <c r="Q19" i="10"/>
  <c r="R19" i="10" s="1"/>
  <c r="K19" i="10"/>
  <c r="L19" i="10" s="1"/>
  <c r="F19" i="10"/>
  <c r="G19" i="10" s="1"/>
  <c r="TP18" i="10"/>
  <c r="TQ18" i="10" s="1"/>
  <c r="TK18" i="10"/>
  <c r="TL18" i="10" s="1"/>
  <c r="TF18" i="10"/>
  <c r="TG18" i="10" s="1"/>
  <c r="SY18" i="10"/>
  <c r="SZ18" i="10" s="1"/>
  <c r="ST18" i="10"/>
  <c r="SU18" i="10" s="1"/>
  <c r="SO18" i="10"/>
  <c r="SP18" i="10" s="1"/>
  <c r="SH18" i="10"/>
  <c r="SI18" i="10" s="1"/>
  <c r="SC18" i="10"/>
  <c r="SD18" i="10" s="1"/>
  <c r="RX18" i="10"/>
  <c r="RY18" i="10" s="1"/>
  <c r="RQ18" i="10"/>
  <c r="RR18" i="10" s="1"/>
  <c r="RK18" i="10"/>
  <c r="RL18" i="10" s="1"/>
  <c r="RF18" i="10"/>
  <c r="RG18" i="10" s="1"/>
  <c r="QY18" i="10"/>
  <c r="QZ18" i="10" s="1"/>
  <c r="QS18" i="10"/>
  <c r="QT18" i="10" s="1"/>
  <c r="QN18" i="10"/>
  <c r="QO18" i="10" s="1"/>
  <c r="QG18" i="10"/>
  <c r="QH18" i="10" s="1"/>
  <c r="QA18" i="10"/>
  <c r="QB18" i="10" s="1"/>
  <c r="PV18" i="10"/>
  <c r="PW18" i="10" s="1"/>
  <c r="PO18" i="10"/>
  <c r="PP18" i="10" s="1"/>
  <c r="PI18" i="10"/>
  <c r="PJ18" i="10" s="1"/>
  <c r="PD18" i="10"/>
  <c r="PE18" i="10" s="1"/>
  <c r="OW18" i="10"/>
  <c r="OX18" i="10" s="1"/>
  <c r="OQ18" i="10"/>
  <c r="OR18" i="10" s="1"/>
  <c r="OL18" i="10"/>
  <c r="OM18" i="10" s="1"/>
  <c r="OE18" i="10"/>
  <c r="OF18" i="10" s="1"/>
  <c r="NY18" i="10"/>
  <c r="NZ18" i="10" s="1"/>
  <c r="NT18" i="10"/>
  <c r="NU18" i="10" s="1"/>
  <c r="NM18" i="10"/>
  <c r="NN18" i="10" s="1"/>
  <c r="NG18" i="10"/>
  <c r="NH18" i="10" s="1"/>
  <c r="NB18" i="10"/>
  <c r="NC18" i="10" s="1"/>
  <c r="MU18" i="10"/>
  <c r="MV18" i="10" s="1"/>
  <c r="MO18" i="10"/>
  <c r="MP18" i="10" s="1"/>
  <c r="MJ18" i="10"/>
  <c r="MK18" i="10" s="1"/>
  <c r="MC18" i="10"/>
  <c r="MD18" i="10" s="1"/>
  <c r="LW18" i="10"/>
  <c r="LX18" i="10" s="1"/>
  <c r="LR18" i="10"/>
  <c r="LS18" i="10" s="1"/>
  <c r="LK18" i="10"/>
  <c r="LL18" i="10" s="1"/>
  <c r="LE18" i="10"/>
  <c r="LF18" i="10" s="1"/>
  <c r="KZ18" i="10"/>
  <c r="LA18" i="10" s="1"/>
  <c r="KS18" i="10"/>
  <c r="KT18" i="10" s="1"/>
  <c r="KM18" i="10"/>
  <c r="KN18" i="10" s="1"/>
  <c r="KH18" i="10"/>
  <c r="KI18" i="10" s="1"/>
  <c r="KA18" i="10"/>
  <c r="KB18" i="10" s="1"/>
  <c r="JU18" i="10"/>
  <c r="JV18" i="10" s="1"/>
  <c r="JP18" i="10"/>
  <c r="JQ18" i="10" s="1"/>
  <c r="JI18" i="10"/>
  <c r="JJ18" i="10" s="1"/>
  <c r="JC18" i="10"/>
  <c r="JD18" i="10" s="1"/>
  <c r="IX18" i="10"/>
  <c r="IY18" i="10" s="1"/>
  <c r="IQ18" i="10"/>
  <c r="IR18" i="10" s="1"/>
  <c r="IK18" i="10"/>
  <c r="IL18" i="10" s="1"/>
  <c r="IF18" i="10"/>
  <c r="IG18" i="10" s="1"/>
  <c r="HY18" i="10"/>
  <c r="HZ18" i="10" s="1"/>
  <c r="HS18" i="10"/>
  <c r="HT18" i="10" s="1"/>
  <c r="HN18" i="10"/>
  <c r="HO18" i="10" s="1"/>
  <c r="HG18" i="10"/>
  <c r="HH18" i="10" s="1"/>
  <c r="HA18" i="10"/>
  <c r="HB18" i="10" s="1"/>
  <c r="GV18" i="10"/>
  <c r="GW18" i="10" s="1"/>
  <c r="GO18" i="10"/>
  <c r="GP18" i="10" s="1"/>
  <c r="GI18" i="10"/>
  <c r="GJ18" i="10" s="1"/>
  <c r="GD18" i="10"/>
  <c r="GE18" i="10" s="1"/>
  <c r="FW18" i="10"/>
  <c r="FX18" i="10" s="1"/>
  <c r="FQ18" i="10"/>
  <c r="FR18" i="10" s="1"/>
  <c r="FL18" i="10"/>
  <c r="FM18" i="10" s="1"/>
  <c r="FE18" i="10"/>
  <c r="FF18" i="10" s="1"/>
  <c r="EY18" i="10"/>
  <c r="EZ18" i="10" s="1"/>
  <c r="ET18" i="10"/>
  <c r="EU18" i="10" s="1"/>
  <c r="EM18" i="10"/>
  <c r="EN18" i="10" s="1"/>
  <c r="EG18" i="10"/>
  <c r="EH18" i="10" s="1"/>
  <c r="EB18" i="10"/>
  <c r="EC18" i="10" s="1"/>
  <c r="DU18" i="10"/>
  <c r="DV18" i="10" s="1"/>
  <c r="DO18" i="10"/>
  <c r="DP18" i="10" s="1"/>
  <c r="DJ18" i="10"/>
  <c r="DK18" i="10" s="1"/>
  <c r="DC18" i="10"/>
  <c r="DD18" i="10" s="1"/>
  <c r="CW18" i="10"/>
  <c r="CX18" i="10" s="1"/>
  <c r="CR18" i="10"/>
  <c r="CS18" i="10" s="1"/>
  <c r="CK18" i="10"/>
  <c r="CL18" i="10" s="1"/>
  <c r="CE18" i="10"/>
  <c r="CF18" i="10" s="1"/>
  <c r="BZ18" i="10"/>
  <c r="CA18" i="10" s="1"/>
  <c r="BS18" i="10"/>
  <c r="BT18" i="10" s="1"/>
  <c r="BM18" i="10"/>
  <c r="BN18" i="10" s="1"/>
  <c r="BH18" i="10"/>
  <c r="BI18" i="10" s="1"/>
  <c r="BA18" i="10"/>
  <c r="BB18" i="10" s="1"/>
  <c r="AU18" i="10"/>
  <c r="AV18" i="10" s="1"/>
  <c r="AP18" i="10"/>
  <c r="AQ18" i="10" s="1"/>
  <c r="AI18" i="10"/>
  <c r="AJ18" i="10" s="1"/>
  <c r="AC18" i="10"/>
  <c r="AD18" i="10" s="1"/>
  <c r="X18" i="10"/>
  <c r="Y18" i="10" s="1"/>
  <c r="Q18" i="10"/>
  <c r="R18" i="10" s="1"/>
  <c r="K18" i="10"/>
  <c r="L18" i="10" s="1"/>
  <c r="F18" i="10"/>
  <c r="G18" i="10" s="1"/>
  <c r="TP17" i="10"/>
  <c r="TQ17" i="10" s="1"/>
  <c r="TK17" i="10"/>
  <c r="TL17" i="10" s="1"/>
  <c r="TF17" i="10"/>
  <c r="TG17" i="10" s="1"/>
  <c r="SY17" i="10"/>
  <c r="SZ17" i="10" s="1"/>
  <c r="ST17" i="10"/>
  <c r="SU17" i="10" s="1"/>
  <c r="SO17" i="10"/>
  <c r="SP17" i="10" s="1"/>
  <c r="SH17" i="10"/>
  <c r="SI17" i="10" s="1"/>
  <c r="SC17" i="10"/>
  <c r="SD17" i="10" s="1"/>
  <c r="RX17" i="10"/>
  <c r="RY17" i="10" s="1"/>
  <c r="RQ17" i="10"/>
  <c r="RK17" i="10"/>
  <c r="RL17" i="10" s="1"/>
  <c r="RF17" i="10"/>
  <c r="RG17" i="10" s="1"/>
  <c r="QY17" i="10"/>
  <c r="QZ17" i="10" s="1"/>
  <c r="QS17" i="10"/>
  <c r="QN17" i="10"/>
  <c r="QO17" i="10" s="1"/>
  <c r="QG17" i="10"/>
  <c r="QH17" i="10" s="1"/>
  <c r="QA17" i="10"/>
  <c r="QB17" i="10" s="1"/>
  <c r="PV17" i="10"/>
  <c r="PW17" i="10" s="1"/>
  <c r="PO17" i="10"/>
  <c r="PP17" i="10" s="1"/>
  <c r="PI17" i="10"/>
  <c r="PJ17" i="10" s="1"/>
  <c r="PD17" i="10"/>
  <c r="PE17" i="10" s="1"/>
  <c r="OW17" i="10"/>
  <c r="OQ17" i="10"/>
  <c r="OR17" i="10" s="1"/>
  <c r="OL17" i="10"/>
  <c r="OM17" i="10" s="1"/>
  <c r="OE17" i="10"/>
  <c r="OF17" i="10" s="1"/>
  <c r="NY17" i="10"/>
  <c r="NT17" i="10"/>
  <c r="NU17" i="10" s="1"/>
  <c r="NM17" i="10"/>
  <c r="NN17" i="10" s="1"/>
  <c r="NG17" i="10"/>
  <c r="NH17" i="10" s="1"/>
  <c r="NB17" i="10"/>
  <c r="NC17" i="10" s="1"/>
  <c r="MU17" i="10"/>
  <c r="MV17" i="10" s="1"/>
  <c r="MO17" i="10"/>
  <c r="MP17" i="10" s="1"/>
  <c r="MJ17" i="10"/>
  <c r="MK17" i="10" s="1"/>
  <c r="MC17" i="10"/>
  <c r="LW17" i="10"/>
  <c r="LX17" i="10" s="1"/>
  <c r="LR17" i="10"/>
  <c r="LS17" i="10" s="1"/>
  <c r="LK17" i="10"/>
  <c r="LL17" i="10" s="1"/>
  <c r="LE17" i="10"/>
  <c r="KZ17" i="10"/>
  <c r="LA17" i="10" s="1"/>
  <c r="KS17" i="10"/>
  <c r="KT17" i="10" s="1"/>
  <c r="KM17" i="10"/>
  <c r="KN17" i="10" s="1"/>
  <c r="KH17" i="10"/>
  <c r="KI17" i="10" s="1"/>
  <c r="KA17" i="10"/>
  <c r="KB17" i="10" s="1"/>
  <c r="JU17" i="10"/>
  <c r="JV17" i="10" s="1"/>
  <c r="JP17" i="10"/>
  <c r="JQ17" i="10" s="1"/>
  <c r="JI17" i="10"/>
  <c r="JC17" i="10"/>
  <c r="JD17" i="10" s="1"/>
  <c r="IX17" i="10"/>
  <c r="IY17" i="10" s="1"/>
  <c r="IQ17" i="10"/>
  <c r="IR17" i="10" s="1"/>
  <c r="IK17" i="10"/>
  <c r="IF17" i="10"/>
  <c r="IG17" i="10" s="1"/>
  <c r="HY17" i="10"/>
  <c r="HZ17" i="10" s="1"/>
  <c r="HS17" i="10"/>
  <c r="HN17" i="10"/>
  <c r="HG17" i="10"/>
  <c r="HA17" i="10"/>
  <c r="HB17" i="10" s="1"/>
  <c r="GV17" i="10"/>
  <c r="GW17" i="10" s="1"/>
  <c r="GO17" i="10"/>
  <c r="GI17" i="10"/>
  <c r="GJ17" i="10" s="1"/>
  <c r="GD17" i="10"/>
  <c r="GE17" i="10" s="1"/>
  <c r="FW17" i="10"/>
  <c r="FX17" i="10" s="1"/>
  <c r="FQ17" i="10"/>
  <c r="FR17" i="10" s="1"/>
  <c r="FL17" i="10"/>
  <c r="FE17" i="10"/>
  <c r="FF17" i="10" s="1"/>
  <c r="EY17" i="10"/>
  <c r="EZ17" i="10" s="1"/>
  <c r="ET17" i="10"/>
  <c r="EM17" i="10"/>
  <c r="EN17" i="10" s="1"/>
  <c r="EG17" i="10"/>
  <c r="EH17" i="10" s="1"/>
  <c r="EB17" i="10"/>
  <c r="DU17" i="10"/>
  <c r="DV17" i="10" s="1"/>
  <c r="DO17" i="10"/>
  <c r="DP17" i="10" s="1"/>
  <c r="DJ17" i="10"/>
  <c r="DC17" i="10"/>
  <c r="DD17" i="10" s="1"/>
  <c r="CW17" i="10"/>
  <c r="CX17" i="10" s="1"/>
  <c r="CR17" i="10"/>
  <c r="CS17" i="10" s="1"/>
  <c r="CK17" i="10"/>
  <c r="CL17" i="10" s="1"/>
  <c r="CE17" i="10"/>
  <c r="CF17" i="10" s="1"/>
  <c r="BZ17" i="10"/>
  <c r="BS17" i="10"/>
  <c r="BM17" i="10"/>
  <c r="BN17" i="10" s="1"/>
  <c r="BH17" i="10"/>
  <c r="BA17" i="10"/>
  <c r="AU17" i="10"/>
  <c r="AV17" i="10" s="1"/>
  <c r="AP17" i="10"/>
  <c r="AI17" i="10"/>
  <c r="AC17" i="10"/>
  <c r="AD17" i="10" s="1"/>
  <c r="X17" i="10"/>
  <c r="Q17" i="10"/>
  <c r="R17" i="10" s="1"/>
  <c r="K17" i="10"/>
  <c r="L17" i="10" s="1"/>
  <c r="F17" i="10"/>
  <c r="TP15" i="10"/>
  <c r="TQ15" i="10" s="1"/>
  <c r="TK15" i="10"/>
  <c r="TL15" i="10" s="1"/>
  <c r="TF15" i="10"/>
  <c r="TG15" i="10" s="1"/>
  <c r="SY15" i="10"/>
  <c r="SZ15" i="10" s="1"/>
  <c r="ST15" i="10"/>
  <c r="SU15" i="10" s="1"/>
  <c r="SO15" i="10"/>
  <c r="SH15" i="10"/>
  <c r="SI15" i="10" s="1"/>
  <c r="SC15" i="10"/>
  <c r="RX15" i="10"/>
  <c r="RY15" i="10" s="1"/>
  <c r="RQ15" i="10"/>
  <c r="RK15" i="10"/>
  <c r="RL15" i="10" s="1"/>
  <c r="RF15" i="10"/>
  <c r="QY15" i="10"/>
  <c r="QZ15" i="10" s="1"/>
  <c r="QS15" i="10"/>
  <c r="QT15" i="10" s="1"/>
  <c r="QN15" i="10"/>
  <c r="QO15" i="10" s="1"/>
  <c r="QG15" i="10"/>
  <c r="QH15" i="10" s="1"/>
  <c r="QA15" i="10"/>
  <c r="QB15" i="10" s="1"/>
  <c r="PV15" i="10"/>
  <c r="PO15" i="10"/>
  <c r="PP15" i="10" s="1"/>
  <c r="PI15" i="10"/>
  <c r="PD15" i="10"/>
  <c r="PE15" i="10" s="1"/>
  <c r="OW15" i="10"/>
  <c r="OQ15" i="10"/>
  <c r="OR15" i="10" s="1"/>
  <c r="OL15" i="10"/>
  <c r="OE15" i="10"/>
  <c r="OF15" i="10" s="1"/>
  <c r="NY15" i="10"/>
  <c r="NZ15" i="10" s="1"/>
  <c r="NT15" i="10"/>
  <c r="NU15" i="10" s="1"/>
  <c r="NM15" i="10"/>
  <c r="NN15" i="10" s="1"/>
  <c r="NG15" i="10"/>
  <c r="NH15" i="10" s="1"/>
  <c r="NB15" i="10"/>
  <c r="MU15" i="10"/>
  <c r="MV15" i="10" s="1"/>
  <c r="MO15" i="10"/>
  <c r="MJ15" i="10"/>
  <c r="MK15" i="10" s="1"/>
  <c r="MC15" i="10"/>
  <c r="LW15" i="10"/>
  <c r="LX15" i="10" s="1"/>
  <c r="LR15" i="10"/>
  <c r="LK15" i="10"/>
  <c r="LL15" i="10" s="1"/>
  <c r="LE15" i="10"/>
  <c r="LF15" i="10" s="1"/>
  <c r="KZ15" i="10"/>
  <c r="LA15" i="10" s="1"/>
  <c r="KS15" i="10"/>
  <c r="KT15" i="10" s="1"/>
  <c r="KM15" i="10"/>
  <c r="KN15" i="10" s="1"/>
  <c r="KH15" i="10"/>
  <c r="KA15" i="10"/>
  <c r="KB15" i="10" s="1"/>
  <c r="JU15" i="10"/>
  <c r="JP15" i="10"/>
  <c r="JQ15" i="10" s="1"/>
  <c r="JI15" i="10"/>
  <c r="JC15" i="10"/>
  <c r="JD15" i="10" s="1"/>
  <c r="IX15" i="10"/>
  <c r="IQ15" i="10"/>
  <c r="IR15" i="10" s="1"/>
  <c r="IK15" i="10"/>
  <c r="IL15" i="10" s="1"/>
  <c r="IF15" i="10"/>
  <c r="HY15" i="10"/>
  <c r="HZ15" i="10" s="1"/>
  <c r="HS15" i="10"/>
  <c r="HT15" i="10" s="1"/>
  <c r="HN15" i="10"/>
  <c r="HG15" i="10"/>
  <c r="HH15" i="10" s="1"/>
  <c r="HA15" i="10"/>
  <c r="GV15" i="10"/>
  <c r="GW15" i="10" s="1"/>
  <c r="GO15" i="10"/>
  <c r="GI15" i="10"/>
  <c r="GJ15" i="10" s="1"/>
  <c r="GD15" i="10"/>
  <c r="FW15" i="10"/>
  <c r="FX15" i="10" s="1"/>
  <c r="FQ15" i="10"/>
  <c r="FR15" i="10" s="1"/>
  <c r="FL15" i="10"/>
  <c r="FE15" i="10"/>
  <c r="FF15" i="10" s="1"/>
  <c r="EY15" i="10"/>
  <c r="EZ15" i="10" s="1"/>
  <c r="ET15" i="10"/>
  <c r="EM15" i="10"/>
  <c r="EN15" i="10" s="1"/>
  <c r="EG15" i="10"/>
  <c r="EB15" i="10"/>
  <c r="EC15" i="10" s="1"/>
  <c r="DU15" i="10"/>
  <c r="DO15" i="10"/>
  <c r="DP15" i="10" s="1"/>
  <c r="DJ15" i="10"/>
  <c r="DC15" i="10"/>
  <c r="DD15" i="10" s="1"/>
  <c r="CW15" i="10"/>
  <c r="CX15" i="10" s="1"/>
  <c r="CR15" i="10"/>
  <c r="CK15" i="10"/>
  <c r="CL15" i="10" s="1"/>
  <c r="CE15" i="10"/>
  <c r="CF15" i="10" s="1"/>
  <c r="BZ15" i="10"/>
  <c r="BS15" i="10"/>
  <c r="BT15" i="10" s="1"/>
  <c r="BM15" i="10"/>
  <c r="BH15" i="10"/>
  <c r="BI15" i="10" s="1"/>
  <c r="BA15" i="10"/>
  <c r="AU15" i="10"/>
  <c r="AV15" i="10" s="1"/>
  <c r="AP15" i="10"/>
  <c r="AI15" i="10"/>
  <c r="AJ15" i="10" s="1"/>
  <c r="AC15" i="10"/>
  <c r="AD15" i="10" s="1"/>
  <c r="X15" i="10"/>
  <c r="Q15" i="10"/>
  <c r="K15" i="10"/>
  <c r="L15" i="10" s="1"/>
  <c r="F15" i="10"/>
  <c r="TP14" i="10"/>
  <c r="TK14" i="10"/>
  <c r="TF14" i="10"/>
  <c r="TG14" i="10" s="1"/>
  <c r="SY14" i="10"/>
  <c r="ST14" i="10"/>
  <c r="SU14" i="10" s="1"/>
  <c r="SO14" i="10"/>
  <c r="SH14" i="10"/>
  <c r="SC14" i="10"/>
  <c r="SD14" i="10" s="1"/>
  <c r="RX14" i="10"/>
  <c r="RQ14" i="10"/>
  <c r="RR14" i="10" s="1"/>
  <c r="RK14" i="10"/>
  <c r="RF14" i="10"/>
  <c r="RG14" i="10" s="1"/>
  <c r="QY14" i="10"/>
  <c r="QZ14" i="10" s="1"/>
  <c r="QS14" i="10"/>
  <c r="QT14" i="10" s="1"/>
  <c r="QN14" i="10"/>
  <c r="QG14" i="10"/>
  <c r="QH14" i="10" s="1"/>
  <c r="QA14" i="10"/>
  <c r="QB14" i="10" s="1"/>
  <c r="PV14" i="10"/>
  <c r="PO14" i="10"/>
  <c r="PI14" i="10"/>
  <c r="PJ14" i="10" s="1"/>
  <c r="PD14" i="10"/>
  <c r="OW14" i="10"/>
  <c r="OX14" i="10" s="1"/>
  <c r="OQ14" i="10"/>
  <c r="OL14" i="10"/>
  <c r="OE14" i="10"/>
  <c r="OF14" i="10" s="1"/>
  <c r="NY14" i="10"/>
  <c r="NZ14" i="10" s="1"/>
  <c r="NT14" i="10"/>
  <c r="NM14" i="10"/>
  <c r="NN14" i="10" s="1"/>
  <c r="NG14" i="10"/>
  <c r="NB14" i="10"/>
  <c r="NC14" i="10" s="1"/>
  <c r="MU14" i="10"/>
  <c r="MO14" i="10"/>
  <c r="MP14" i="10" s="1"/>
  <c r="MJ14" i="10"/>
  <c r="MC14" i="10"/>
  <c r="MD14" i="10" s="1"/>
  <c r="LW14" i="10"/>
  <c r="LR14" i="10"/>
  <c r="LS14" i="10" s="1"/>
  <c r="LK14" i="10"/>
  <c r="LL14" i="10" s="1"/>
  <c r="LE14" i="10"/>
  <c r="LF14" i="10" s="1"/>
  <c r="KZ14" i="10"/>
  <c r="KS14" i="10"/>
  <c r="KT14" i="10" s="1"/>
  <c r="KM14" i="10"/>
  <c r="KH14" i="10"/>
  <c r="KI14" i="10" s="1"/>
  <c r="KA14" i="10"/>
  <c r="JU14" i="10"/>
  <c r="JV14" i="10" s="1"/>
  <c r="JP14" i="10"/>
  <c r="JI14" i="10"/>
  <c r="JJ14" i="10" s="1"/>
  <c r="JC14" i="10"/>
  <c r="IX14" i="10"/>
  <c r="IY14" i="10" s="1"/>
  <c r="IQ14" i="10"/>
  <c r="IR14" i="10" s="1"/>
  <c r="IK14" i="10"/>
  <c r="IL14" i="10" s="1"/>
  <c r="IF14" i="10"/>
  <c r="HY14" i="10"/>
  <c r="HZ14" i="10" s="1"/>
  <c r="HS14" i="10"/>
  <c r="HN14" i="10"/>
  <c r="HO14" i="10" s="1"/>
  <c r="HG14" i="10"/>
  <c r="HH14" i="10" s="1"/>
  <c r="HA14" i="10"/>
  <c r="HB14" i="10" s="1"/>
  <c r="GV14" i="10"/>
  <c r="GO14" i="10"/>
  <c r="GP14" i="10" s="1"/>
  <c r="GI14" i="10"/>
  <c r="GD14" i="10"/>
  <c r="GE14" i="10" s="1"/>
  <c r="FW14" i="10"/>
  <c r="FX14" i="10" s="1"/>
  <c r="FQ14" i="10"/>
  <c r="FR14" i="10" s="1"/>
  <c r="FL14" i="10"/>
  <c r="FE14" i="10"/>
  <c r="FF14" i="10" s="1"/>
  <c r="EY14" i="10"/>
  <c r="ET14" i="10"/>
  <c r="EU14" i="10" s="1"/>
  <c r="EM14" i="10"/>
  <c r="EG14" i="10"/>
  <c r="EH14" i="10" s="1"/>
  <c r="EB14" i="10"/>
  <c r="DU14" i="10"/>
  <c r="DV14" i="10" s="1"/>
  <c r="DO14" i="10"/>
  <c r="DJ14" i="10"/>
  <c r="DK14" i="10" s="1"/>
  <c r="DC14" i="10"/>
  <c r="CW14" i="10"/>
  <c r="CX14" i="10" s="1"/>
  <c r="CR14" i="10"/>
  <c r="CK14" i="10"/>
  <c r="CL14" i="10" s="1"/>
  <c r="CE14" i="10"/>
  <c r="BZ14" i="10"/>
  <c r="CA14" i="10" s="1"/>
  <c r="BS14" i="10"/>
  <c r="BM14" i="10"/>
  <c r="BN14" i="10" s="1"/>
  <c r="BH14" i="10"/>
  <c r="BA14" i="10"/>
  <c r="BB14" i="10" s="1"/>
  <c r="AU14" i="10"/>
  <c r="AV14" i="10" s="1"/>
  <c r="AP14" i="10"/>
  <c r="AI14" i="10"/>
  <c r="AJ14" i="10" s="1"/>
  <c r="AC14" i="10"/>
  <c r="AD14" i="10" s="1"/>
  <c r="X14" i="10"/>
  <c r="Q14" i="10"/>
  <c r="R14" i="10" s="1"/>
  <c r="K14" i="10"/>
  <c r="L14" i="10" s="1"/>
  <c r="F14" i="10"/>
  <c r="TP12" i="10"/>
  <c r="TQ12" i="10" s="1"/>
  <c r="TK12" i="10"/>
  <c r="TL12" i="10" s="1"/>
  <c r="TF12" i="10"/>
  <c r="SY12" i="10"/>
  <c r="SZ12" i="10" s="1"/>
  <c r="ST12" i="10"/>
  <c r="SU12" i="10" s="1"/>
  <c r="SO12" i="10"/>
  <c r="SP12" i="10" s="1"/>
  <c r="SH12" i="10"/>
  <c r="SI12" i="10" s="1"/>
  <c r="SC12" i="10"/>
  <c r="SD12" i="10" s="1"/>
  <c r="RX12" i="10"/>
  <c r="RQ12" i="10"/>
  <c r="RK12" i="10"/>
  <c r="RL12" i="10" s="1"/>
  <c r="RF12" i="10"/>
  <c r="QY12" i="10"/>
  <c r="QZ12" i="10" s="1"/>
  <c r="QS12" i="10"/>
  <c r="QT12" i="10" s="1"/>
  <c r="QN12" i="10"/>
  <c r="QG12" i="10"/>
  <c r="QH12" i="10" s="1"/>
  <c r="QA12" i="10"/>
  <c r="QB12" i="10" s="1"/>
  <c r="PV12" i="10"/>
  <c r="PW12" i="10" s="1"/>
  <c r="PO12" i="10"/>
  <c r="PP12" i="10" s="1"/>
  <c r="PI12" i="10"/>
  <c r="PJ12" i="10" s="1"/>
  <c r="PD12" i="10"/>
  <c r="OW12" i="10"/>
  <c r="OX12" i="10" s="1"/>
  <c r="OQ12" i="10"/>
  <c r="OR12" i="10" s="1"/>
  <c r="OL12" i="10"/>
  <c r="OM12" i="10" s="1"/>
  <c r="OE12" i="10"/>
  <c r="OF12" i="10" s="1"/>
  <c r="NY12" i="10"/>
  <c r="NZ12" i="10" s="1"/>
  <c r="NT12" i="10"/>
  <c r="NM12" i="10"/>
  <c r="NN12" i="10" s="1"/>
  <c r="NG12" i="10"/>
  <c r="NH12" i="10" s="1"/>
  <c r="NB12" i="10"/>
  <c r="NC12" i="10" s="1"/>
  <c r="MU12" i="10"/>
  <c r="MV12" i="10" s="1"/>
  <c r="MO12" i="10"/>
  <c r="MP12" i="10" s="1"/>
  <c r="MJ12" i="10"/>
  <c r="MC12" i="10"/>
  <c r="MD12" i="10" s="1"/>
  <c r="LW12" i="10"/>
  <c r="LX12" i="10" s="1"/>
  <c r="LR12" i="10"/>
  <c r="LK12" i="10"/>
  <c r="LL12" i="10" s="1"/>
  <c r="LE12" i="10"/>
  <c r="LF12" i="10" s="1"/>
  <c r="KZ12" i="10"/>
  <c r="KS12" i="10"/>
  <c r="KT12" i="10" s="1"/>
  <c r="KM12" i="10"/>
  <c r="KN12" i="10" s="1"/>
  <c r="KH12" i="10"/>
  <c r="KI12" i="10" s="1"/>
  <c r="KA12" i="10"/>
  <c r="KB12" i="10" s="1"/>
  <c r="JU12" i="10"/>
  <c r="JV12" i="10" s="1"/>
  <c r="JP12" i="10"/>
  <c r="JI12" i="10"/>
  <c r="JJ12" i="10" s="1"/>
  <c r="JC12" i="10"/>
  <c r="JD12" i="10" s="1"/>
  <c r="IX12" i="10"/>
  <c r="IY12" i="10" s="1"/>
  <c r="IQ12" i="10"/>
  <c r="IR12" i="10" s="1"/>
  <c r="IK12" i="10"/>
  <c r="IL12" i="10" s="1"/>
  <c r="IF12" i="10"/>
  <c r="HY12" i="10"/>
  <c r="HZ12" i="10" s="1"/>
  <c r="HS12" i="10"/>
  <c r="HT12" i="10" s="1"/>
  <c r="HN12" i="10"/>
  <c r="HO12" i="10" s="1"/>
  <c r="HG12" i="10"/>
  <c r="HH12" i="10" s="1"/>
  <c r="HA12" i="10"/>
  <c r="HB12" i="10" s="1"/>
  <c r="GV12" i="10"/>
  <c r="GO12" i="10"/>
  <c r="GP12" i="10" s="1"/>
  <c r="GI12" i="10"/>
  <c r="GJ12" i="10" s="1"/>
  <c r="GD12" i="10"/>
  <c r="FW12" i="10"/>
  <c r="FX12" i="10" s="1"/>
  <c r="FQ12" i="10"/>
  <c r="FR12" i="10" s="1"/>
  <c r="FL12" i="10"/>
  <c r="FE12" i="10"/>
  <c r="FF12" i="10" s="1"/>
  <c r="EY12" i="10"/>
  <c r="EZ12" i="10" s="1"/>
  <c r="ET12" i="10"/>
  <c r="EU12" i="10" s="1"/>
  <c r="EM12" i="10"/>
  <c r="EN12" i="10" s="1"/>
  <c r="EG12" i="10"/>
  <c r="EH12" i="10" s="1"/>
  <c r="EB12" i="10"/>
  <c r="DU12" i="10"/>
  <c r="DV12" i="10" s="1"/>
  <c r="DO12" i="10"/>
  <c r="DP12" i="10" s="1"/>
  <c r="DJ12" i="10"/>
  <c r="DC12" i="10"/>
  <c r="DD12" i="10" s="1"/>
  <c r="CW12" i="10"/>
  <c r="CX12" i="10" s="1"/>
  <c r="CR12" i="10"/>
  <c r="CK12" i="10"/>
  <c r="CL12" i="10" s="1"/>
  <c r="CE12" i="10"/>
  <c r="CF12" i="10" s="1"/>
  <c r="BZ12" i="10"/>
  <c r="BS12" i="10"/>
  <c r="BT12" i="10" s="1"/>
  <c r="BM12" i="10"/>
  <c r="BN12" i="10" s="1"/>
  <c r="BH12" i="10"/>
  <c r="BA12" i="10"/>
  <c r="BB12" i="10" s="1"/>
  <c r="AU12" i="10"/>
  <c r="AV12" i="10" s="1"/>
  <c r="AP12" i="10"/>
  <c r="AI12" i="10"/>
  <c r="AJ12" i="10" s="1"/>
  <c r="AC12" i="10"/>
  <c r="AD12" i="10" s="1"/>
  <c r="X12" i="10"/>
  <c r="Q12" i="10"/>
  <c r="R12" i="10" s="1"/>
  <c r="K12" i="10"/>
  <c r="L12" i="10" s="1"/>
  <c r="F12" i="10"/>
  <c r="TP11" i="10"/>
  <c r="TK11" i="10"/>
  <c r="TL11" i="10" s="1"/>
  <c r="TF11" i="10"/>
  <c r="SY11" i="10"/>
  <c r="SZ11" i="10" s="1"/>
  <c r="ST11" i="10"/>
  <c r="SU11" i="10" s="1"/>
  <c r="SO11" i="10"/>
  <c r="SH11" i="10"/>
  <c r="SI11" i="10" s="1"/>
  <c r="SC11" i="10"/>
  <c r="SD11" i="10" s="1"/>
  <c r="RX11" i="10"/>
  <c r="RQ11" i="10"/>
  <c r="RR11" i="10" s="1"/>
  <c r="RK11" i="10"/>
  <c r="RL11" i="10" s="1"/>
  <c r="RF11" i="10"/>
  <c r="QY11" i="10"/>
  <c r="QZ11" i="10" s="1"/>
  <c r="QS11" i="10"/>
  <c r="QT11" i="10" s="1"/>
  <c r="QN11" i="10"/>
  <c r="QG11" i="10"/>
  <c r="QH11" i="10" s="1"/>
  <c r="QA11" i="10"/>
  <c r="QB11" i="10" s="1"/>
  <c r="PV11" i="10"/>
  <c r="PO11" i="10"/>
  <c r="PP11" i="10" s="1"/>
  <c r="PI11" i="10"/>
  <c r="PJ11" i="10" s="1"/>
  <c r="PD11" i="10"/>
  <c r="OW11" i="10"/>
  <c r="OQ11" i="10"/>
  <c r="OR11" i="10" s="1"/>
  <c r="OL11" i="10"/>
  <c r="OE11" i="10"/>
  <c r="NY11" i="10"/>
  <c r="NZ11" i="10" s="1"/>
  <c r="NT11" i="10"/>
  <c r="NM11" i="10"/>
  <c r="NN11" i="10" s="1"/>
  <c r="NG11" i="10"/>
  <c r="NH11" i="10" s="1"/>
  <c r="NB11" i="10"/>
  <c r="MU11" i="10"/>
  <c r="MV11" i="10" s="1"/>
  <c r="MO11" i="10"/>
  <c r="MP11" i="10" s="1"/>
  <c r="MJ11" i="10"/>
  <c r="MC11" i="10"/>
  <c r="LW11" i="10"/>
  <c r="LX11" i="10" s="1"/>
  <c r="LR11" i="10"/>
  <c r="LK11" i="10"/>
  <c r="LL11" i="10" s="1"/>
  <c r="LE11" i="10"/>
  <c r="LF11" i="10" s="1"/>
  <c r="KZ11" i="10"/>
  <c r="KS11" i="10"/>
  <c r="KM11" i="10"/>
  <c r="KN11" i="10" s="1"/>
  <c r="KH11" i="10"/>
  <c r="KA11" i="10"/>
  <c r="KB11" i="10" s="1"/>
  <c r="JU11" i="10"/>
  <c r="JV11" i="10" s="1"/>
  <c r="JP11" i="10"/>
  <c r="JI11" i="10"/>
  <c r="JC11" i="10"/>
  <c r="JD11" i="10" s="1"/>
  <c r="IX11" i="10"/>
  <c r="IQ11" i="10"/>
  <c r="IR11" i="10" s="1"/>
  <c r="IK11" i="10"/>
  <c r="IL11" i="10" s="1"/>
  <c r="IF11" i="10"/>
  <c r="HY11" i="10"/>
  <c r="HZ11" i="10" s="1"/>
  <c r="HS11" i="10"/>
  <c r="HT11" i="10" s="1"/>
  <c r="HN11" i="10"/>
  <c r="HG11" i="10"/>
  <c r="HH11" i="10" s="1"/>
  <c r="HA11" i="10"/>
  <c r="HB11" i="10" s="1"/>
  <c r="GV11" i="10"/>
  <c r="GO11" i="10"/>
  <c r="GP11" i="10" s="1"/>
  <c r="GI11" i="10"/>
  <c r="GD11" i="10"/>
  <c r="FW11" i="10"/>
  <c r="FQ11" i="10"/>
  <c r="FR11" i="10" s="1"/>
  <c r="FL11" i="10"/>
  <c r="FE11" i="10"/>
  <c r="FF11" i="10" s="1"/>
  <c r="EY11" i="10"/>
  <c r="EZ11" i="10" s="1"/>
  <c r="ET11" i="10"/>
  <c r="EM11" i="10"/>
  <c r="EN11" i="10" s="1"/>
  <c r="EG11" i="10"/>
  <c r="EH11" i="10" s="1"/>
  <c r="EB11" i="10"/>
  <c r="DU11" i="10"/>
  <c r="DV11" i="10" s="1"/>
  <c r="DO11" i="10"/>
  <c r="DJ11" i="10"/>
  <c r="DC11" i="10"/>
  <c r="CW11" i="10"/>
  <c r="CX11" i="10" s="1"/>
  <c r="CR11" i="10"/>
  <c r="CK11" i="10"/>
  <c r="CL11" i="10" s="1"/>
  <c r="CE11" i="10"/>
  <c r="CF11" i="10" s="1"/>
  <c r="BZ11" i="10"/>
  <c r="BS11" i="10"/>
  <c r="BT11" i="10" s="1"/>
  <c r="BM11" i="10"/>
  <c r="BN11" i="10" s="1"/>
  <c r="BH11" i="10"/>
  <c r="BA11" i="10"/>
  <c r="BB11" i="10" s="1"/>
  <c r="AU11" i="10"/>
  <c r="AP11" i="10"/>
  <c r="AI11" i="10"/>
  <c r="AC11" i="10"/>
  <c r="AD11" i="10" s="1"/>
  <c r="X11" i="10"/>
  <c r="Q11" i="10"/>
  <c r="R11" i="10" s="1"/>
  <c r="K11" i="10"/>
  <c r="L11" i="10" s="1"/>
  <c r="F11" i="10"/>
  <c r="TP9" i="10"/>
  <c r="TQ9" i="10" s="1"/>
  <c r="TK9" i="10"/>
  <c r="TL9" i="10" s="1"/>
  <c r="TF9" i="10"/>
  <c r="TG9" i="10" s="1"/>
  <c r="SY9" i="10"/>
  <c r="SZ9" i="10" s="1"/>
  <c r="ST9" i="10"/>
  <c r="SU9" i="10" s="1"/>
  <c r="SO9" i="10"/>
  <c r="SH9" i="10"/>
  <c r="SI9" i="10" s="1"/>
  <c r="SC9" i="10"/>
  <c r="SD9" i="10" s="1"/>
  <c r="RX9" i="10"/>
  <c r="RY9" i="10" s="1"/>
  <c r="RQ9" i="10"/>
  <c r="RR9" i="10" s="1"/>
  <c r="RK9" i="10"/>
  <c r="RL9" i="10" s="1"/>
  <c r="RF9" i="10"/>
  <c r="QY9" i="10"/>
  <c r="QZ9" i="10" s="1"/>
  <c r="QS9" i="10"/>
  <c r="QT9" i="10" s="1"/>
  <c r="QN9" i="10"/>
  <c r="QO9" i="10" s="1"/>
  <c r="QG9" i="10"/>
  <c r="QH9" i="10" s="1"/>
  <c r="QA9" i="10"/>
  <c r="QB9" i="10" s="1"/>
  <c r="PV9" i="10"/>
  <c r="PO9" i="10"/>
  <c r="PP9" i="10" s="1"/>
  <c r="PI9" i="10"/>
  <c r="PJ9" i="10" s="1"/>
  <c r="PD9" i="10"/>
  <c r="PE9" i="10" s="1"/>
  <c r="OW9" i="10"/>
  <c r="OX9" i="10" s="1"/>
  <c r="OQ9" i="10"/>
  <c r="OR9" i="10" s="1"/>
  <c r="OL9" i="10"/>
  <c r="OE9" i="10"/>
  <c r="OF9" i="10" s="1"/>
  <c r="NY9" i="10"/>
  <c r="NZ9" i="10" s="1"/>
  <c r="NT9" i="10"/>
  <c r="NU9" i="10" s="1"/>
  <c r="NM9" i="10"/>
  <c r="NN9" i="10" s="1"/>
  <c r="NG9" i="10"/>
  <c r="NH9" i="10" s="1"/>
  <c r="NB9" i="10"/>
  <c r="MU9" i="10"/>
  <c r="MV9" i="10" s="1"/>
  <c r="MO9" i="10"/>
  <c r="MP9" i="10" s="1"/>
  <c r="MJ9" i="10"/>
  <c r="MK9" i="10" s="1"/>
  <c r="MC9" i="10"/>
  <c r="MD9" i="10" s="1"/>
  <c r="LW9" i="10"/>
  <c r="LX9" i="10" s="1"/>
  <c r="LR9" i="10"/>
  <c r="LK9" i="10"/>
  <c r="LL9" i="10" s="1"/>
  <c r="LE9" i="10"/>
  <c r="LF9" i="10" s="1"/>
  <c r="KZ9" i="10"/>
  <c r="LA9" i="10" s="1"/>
  <c r="KS9" i="10"/>
  <c r="KT9" i="10" s="1"/>
  <c r="KM9" i="10"/>
  <c r="KN9" i="10" s="1"/>
  <c r="KH9" i="10"/>
  <c r="KI9" i="10" s="1"/>
  <c r="KA9" i="10"/>
  <c r="KB9" i="10" s="1"/>
  <c r="JU9" i="10"/>
  <c r="JV9" i="10" s="1"/>
  <c r="JP9" i="10"/>
  <c r="JI9" i="10"/>
  <c r="JJ9" i="10" s="1"/>
  <c r="JC9" i="10"/>
  <c r="JD9" i="10" s="1"/>
  <c r="IX9" i="10"/>
  <c r="IQ9" i="10"/>
  <c r="IR9" i="10" s="1"/>
  <c r="IK9" i="10"/>
  <c r="IL9" i="10" s="1"/>
  <c r="IF9" i="10"/>
  <c r="HY9" i="10"/>
  <c r="HZ9" i="10" s="1"/>
  <c r="HS9" i="10"/>
  <c r="HT9" i="10" s="1"/>
  <c r="HN9" i="10"/>
  <c r="HO9" i="10" s="1"/>
  <c r="HG9" i="10"/>
  <c r="HH9" i="10" s="1"/>
  <c r="HA9" i="10"/>
  <c r="HB9" i="10" s="1"/>
  <c r="GV9" i="10"/>
  <c r="GO9" i="10"/>
  <c r="GP9" i="10" s="1"/>
  <c r="GI9" i="10"/>
  <c r="GJ9" i="10" s="1"/>
  <c r="GD9" i="10"/>
  <c r="FW9" i="10"/>
  <c r="FX9" i="10" s="1"/>
  <c r="FQ9" i="10"/>
  <c r="FR9" i="10" s="1"/>
  <c r="FL9" i="10"/>
  <c r="FE9" i="10"/>
  <c r="FF9" i="10" s="1"/>
  <c r="EY9" i="10"/>
  <c r="EZ9" i="10" s="1"/>
  <c r="ET9" i="10"/>
  <c r="EM9" i="10"/>
  <c r="EN9" i="10" s="1"/>
  <c r="EG9" i="10"/>
  <c r="EH9" i="10" s="1"/>
  <c r="EB9" i="10"/>
  <c r="DU9" i="10"/>
  <c r="DV9" i="10" s="1"/>
  <c r="DO9" i="10"/>
  <c r="DP9" i="10" s="1"/>
  <c r="DJ9" i="10"/>
  <c r="DC9" i="10"/>
  <c r="DD9" i="10" s="1"/>
  <c r="CW9" i="10"/>
  <c r="CX9" i="10" s="1"/>
  <c r="CR9" i="10"/>
  <c r="CK9" i="10"/>
  <c r="CL9" i="10" s="1"/>
  <c r="CE9" i="10"/>
  <c r="CF9" i="10" s="1"/>
  <c r="BZ9" i="10"/>
  <c r="BS9" i="10"/>
  <c r="BT9" i="10" s="1"/>
  <c r="BM9" i="10"/>
  <c r="BN9" i="10" s="1"/>
  <c r="BH9" i="10"/>
  <c r="BA9" i="10"/>
  <c r="BB9" i="10" s="1"/>
  <c r="AU9" i="10"/>
  <c r="AV9" i="10" s="1"/>
  <c r="AP9" i="10"/>
  <c r="AI9" i="10"/>
  <c r="AJ9" i="10" s="1"/>
  <c r="AC9" i="10"/>
  <c r="AD9" i="10" s="1"/>
  <c r="X9" i="10"/>
  <c r="Q9" i="10"/>
  <c r="R9" i="10" s="1"/>
  <c r="K9" i="10"/>
  <c r="L9" i="10" s="1"/>
  <c r="F9" i="10"/>
  <c r="TP8" i="10"/>
  <c r="TQ8" i="10" s="1"/>
  <c r="TK8" i="10"/>
  <c r="TL8" i="10" s="1"/>
  <c r="TF8" i="10"/>
  <c r="SY8" i="10"/>
  <c r="SZ8" i="10" s="1"/>
  <c r="ST8" i="10"/>
  <c r="SU8" i="10" s="1"/>
  <c r="SO8" i="10"/>
  <c r="SP8" i="10" s="1"/>
  <c r="SH8" i="10"/>
  <c r="SI8" i="10" s="1"/>
  <c r="SC8" i="10"/>
  <c r="SD8" i="10" s="1"/>
  <c r="RX8" i="10"/>
  <c r="RY8" i="10" s="1"/>
  <c r="RQ8" i="10"/>
  <c r="RR8" i="10" s="1"/>
  <c r="RK8" i="10"/>
  <c r="RL8" i="10" s="1"/>
  <c r="RF8" i="10"/>
  <c r="RG8" i="10" s="1"/>
  <c r="QY8" i="10"/>
  <c r="QZ8" i="10" s="1"/>
  <c r="QS8" i="10"/>
  <c r="QT8" i="10" s="1"/>
  <c r="QN8" i="10"/>
  <c r="QO8" i="10" s="1"/>
  <c r="QG8" i="10"/>
  <c r="QH8" i="10" s="1"/>
  <c r="QA8" i="10"/>
  <c r="QB8" i="10" s="1"/>
  <c r="PV8" i="10"/>
  <c r="PW8" i="10" s="1"/>
  <c r="PO8" i="10"/>
  <c r="PP8" i="10" s="1"/>
  <c r="PI8" i="10"/>
  <c r="PJ8" i="10" s="1"/>
  <c r="PD8" i="10"/>
  <c r="PE8" i="10" s="1"/>
  <c r="OW8" i="10"/>
  <c r="OX8" i="10" s="1"/>
  <c r="OQ8" i="10"/>
  <c r="OR8" i="10" s="1"/>
  <c r="OL8" i="10"/>
  <c r="OM8" i="10" s="1"/>
  <c r="OE8" i="10"/>
  <c r="OF8" i="10" s="1"/>
  <c r="NY8" i="10"/>
  <c r="NZ8" i="10" s="1"/>
  <c r="NT8" i="10"/>
  <c r="NU8" i="10" s="1"/>
  <c r="NM8" i="10"/>
  <c r="NN8" i="10" s="1"/>
  <c r="NG8" i="10"/>
  <c r="NH8" i="10" s="1"/>
  <c r="NB8" i="10"/>
  <c r="NC8" i="10" s="1"/>
  <c r="MU8" i="10"/>
  <c r="MV8" i="10" s="1"/>
  <c r="MO8" i="10"/>
  <c r="MP8" i="10" s="1"/>
  <c r="MJ8" i="10"/>
  <c r="MK8" i="10" s="1"/>
  <c r="MC8" i="10"/>
  <c r="MD8" i="10" s="1"/>
  <c r="LW8" i="10"/>
  <c r="LX8" i="10" s="1"/>
  <c r="LR8" i="10"/>
  <c r="LS8" i="10" s="1"/>
  <c r="LK8" i="10"/>
  <c r="LL8" i="10" s="1"/>
  <c r="LE8" i="10"/>
  <c r="LF8" i="10" s="1"/>
  <c r="KZ8" i="10"/>
  <c r="LA8" i="10" s="1"/>
  <c r="KS8" i="10"/>
  <c r="KT8" i="10" s="1"/>
  <c r="KM8" i="10"/>
  <c r="KN8" i="10" s="1"/>
  <c r="KH8" i="10"/>
  <c r="KI8" i="10" s="1"/>
  <c r="KA8" i="10"/>
  <c r="KB8" i="10" s="1"/>
  <c r="JU8" i="10"/>
  <c r="JV8" i="10" s="1"/>
  <c r="JP8" i="10"/>
  <c r="JQ8" i="10" s="1"/>
  <c r="JI8" i="10"/>
  <c r="JJ8" i="10" s="1"/>
  <c r="JC8" i="10"/>
  <c r="JD8" i="10" s="1"/>
  <c r="IX8" i="10"/>
  <c r="IY8" i="10" s="1"/>
  <c r="IQ8" i="10"/>
  <c r="IR8" i="10" s="1"/>
  <c r="IK8" i="10"/>
  <c r="IL8" i="10" s="1"/>
  <c r="IF8" i="10"/>
  <c r="IG8" i="10" s="1"/>
  <c r="HY8" i="10"/>
  <c r="HZ8" i="10" s="1"/>
  <c r="HS8" i="10"/>
  <c r="HT8" i="10" s="1"/>
  <c r="HN8" i="10"/>
  <c r="HO8" i="10" s="1"/>
  <c r="HG8" i="10"/>
  <c r="HH8" i="10" s="1"/>
  <c r="HA8" i="10"/>
  <c r="HB8" i="10" s="1"/>
  <c r="GV8" i="10"/>
  <c r="GW8" i="10" s="1"/>
  <c r="GO8" i="10"/>
  <c r="GP8" i="10" s="1"/>
  <c r="GI8" i="10"/>
  <c r="GJ8" i="10" s="1"/>
  <c r="GD8" i="10"/>
  <c r="GE8" i="10" s="1"/>
  <c r="FW8" i="10"/>
  <c r="FX8" i="10" s="1"/>
  <c r="FQ8" i="10"/>
  <c r="FR8" i="10" s="1"/>
  <c r="FL8" i="10"/>
  <c r="FM8" i="10" s="1"/>
  <c r="FE8" i="10"/>
  <c r="FF8" i="10" s="1"/>
  <c r="EY8" i="10"/>
  <c r="EZ8" i="10" s="1"/>
  <c r="ET8" i="10"/>
  <c r="EU8" i="10" s="1"/>
  <c r="EM8" i="10"/>
  <c r="EN8" i="10" s="1"/>
  <c r="EG8" i="10"/>
  <c r="EH8" i="10" s="1"/>
  <c r="EB8" i="10"/>
  <c r="EC8" i="10" s="1"/>
  <c r="DU8" i="10"/>
  <c r="DV8" i="10" s="1"/>
  <c r="DO8" i="10"/>
  <c r="DP8" i="10" s="1"/>
  <c r="DJ8" i="10"/>
  <c r="DK8" i="10" s="1"/>
  <c r="DC8" i="10"/>
  <c r="DD8" i="10" s="1"/>
  <c r="CW8" i="10"/>
  <c r="CX8" i="10" s="1"/>
  <c r="CR8" i="10"/>
  <c r="CS8" i="10" s="1"/>
  <c r="CK8" i="10"/>
  <c r="CL8" i="10" s="1"/>
  <c r="CE8" i="10"/>
  <c r="CF8" i="10" s="1"/>
  <c r="BZ8" i="10"/>
  <c r="CA8" i="10" s="1"/>
  <c r="BS8" i="10"/>
  <c r="BT8" i="10" s="1"/>
  <c r="BM8" i="10"/>
  <c r="BN8" i="10" s="1"/>
  <c r="BH8" i="10"/>
  <c r="BI8" i="10" s="1"/>
  <c r="BA8" i="10"/>
  <c r="BB8" i="10" s="1"/>
  <c r="AU8" i="10"/>
  <c r="AV8" i="10" s="1"/>
  <c r="AP8" i="10"/>
  <c r="AQ8" i="10" s="1"/>
  <c r="AI8" i="10"/>
  <c r="AJ8" i="10" s="1"/>
  <c r="AC8" i="10"/>
  <c r="AD8" i="10" s="1"/>
  <c r="X8" i="10"/>
  <c r="Y8" i="10" s="1"/>
  <c r="Q8" i="10"/>
  <c r="R8" i="10" s="1"/>
  <c r="K8" i="10"/>
  <c r="L8" i="10" s="1"/>
  <c r="F8" i="10"/>
  <c r="G8" i="10" s="1"/>
  <c r="TP7" i="10"/>
  <c r="TQ7" i="10" s="1"/>
  <c r="TK7" i="10"/>
  <c r="TL7" i="10" s="1"/>
  <c r="TF7" i="10"/>
  <c r="TG7" i="10" s="1"/>
  <c r="SY7" i="10"/>
  <c r="SZ7" i="10" s="1"/>
  <c r="ST7" i="10"/>
  <c r="SU7" i="10" s="1"/>
  <c r="SO7" i="10"/>
  <c r="SP7" i="10" s="1"/>
  <c r="SH7" i="10"/>
  <c r="SI7" i="10" s="1"/>
  <c r="SC7" i="10"/>
  <c r="SD7" i="10" s="1"/>
  <c r="RX7" i="10"/>
  <c r="RY7" i="10" s="1"/>
  <c r="RQ7" i="10"/>
  <c r="RR7" i="10" s="1"/>
  <c r="RK7" i="10"/>
  <c r="RL7" i="10" s="1"/>
  <c r="RF7" i="10"/>
  <c r="RG7" i="10" s="1"/>
  <c r="QY7" i="10"/>
  <c r="QZ7" i="10" s="1"/>
  <c r="QS7" i="10"/>
  <c r="QT7" i="10" s="1"/>
  <c r="QN7" i="10"/>
  <c r="QO7" i="10" s="1"/>
  <c r="QG7" i="10"/>
  <c r="QH7" i="10" s="1"/>
  <c r="QA7" i="10"/>
  <c r="QB7" i="10" s="1"/>
  <c r="PV7" i="10"/>
  <c r="PW7" i="10" s="1"/>
  <c r="PO7" i="10"/>
  <c r="PP7" i="10" s="1"/>
  <c r="PI7" i="10"/>
  <c r="PJ7" i="10" s="1"/>
  <c r="PD7" i="10"/>
  <c r="PE7" i="10" s="1"/>
  <c r="OW7" i="10"/>
  <c r="OX7" i="10" s="1"/>
  <c r="OQ7" i="10"/>
  <c r="OR7" i="10" s="1"/>
  <c r="OL7" i="10"/>
  <c r="OM7" i="10" s="1"/>
  <c r="OE7" i="10"/>
  <c r="OF7" i="10" s="1"/>
  <c r="NY7" i="10"/>
  <c r="NZ7" i="10" s="1"/>
  <c r="NT7" i="10"/>
  <c r="NU7" i="10" s="1"/>
  <c r="NM7" i="10"/>
  <c r="NN7" i="10" s="1"/>
  <c r="NG7" i="10"/>
  <c r="NH7" i="10" s="1"/>
  <c r="NB7" i="10"/>
  <c r="NC7" i="10" s="1"/>
  <c r="MU7" i="10"/>
  <c r="MV7" i="10" s="1"/>
  <c r="MO7" i="10"/>
  <c r="MP7" i="10" s="1"/>
  <c r="MJ7" i="10"/>
  <c r="MK7" i="10" s="1"/>
  <c r="MC7" i="10"/>
  <c r="MD7" i="10" s="1"/>
  <c r="LW7" i="10"/>
  <c r="LX7" i="10" s="1"/>
  <c r="LR7" i="10"/>
  <c r="LS7" i="10" s="1"/>
  <c r="LK7" i="10"/>
  <c r="LL7" i="10" s="1"/>
  <c r="LE7" i="10"/>
  <c r="LF7" i="10" s="1"/>
  <c r="KZ7" i="10"/>
  <c r="LA7" i="10" s="1"/>
  <c r="KS7" i="10"/>
  <c r="KT7" i="10" s="1"/>
  <c r="KM7" i="10"/>
  <c r="KN7" i="10" s="1"/>
  <c r="KH7" i="10"/>
  <c r="KI7" i="10" s="1"/>
  <c r="KA7" i="10"/>
  <c r="KB7" i="10" s="1"/>
  <c r="JU7" i="10"/>
  <c r="JV7" i="10" s="1"/>
  <c r="JP7" i="10"/>
  <c r="JQ7" i="10" s="1"/>
  <c r="JI7" i="10"/>
  <c r="JJ7" i="10" s="1"/>
  <c r="JC7" i="10"/>
  <c r="JD7" i="10" s="1"/>
  <c r="IX7" i="10"/>
  <c r="IY7" i="10" s="1"/>
  <c r="IQ7" i="10"/>
  <c r="IR7" i="10" s="1"/>
  <c r="IK7" i="10"/>
  <c r="IL7" i="10" s="1"/>
  <c r="IF7" i="10"/>
  <c r="IG7" i="10" s="1"/>
  <c r="HY7" i="10"/>
  <c r="HZ7" i="10" s="1"/>
  <c r="HS7" i="10"/>
  <c r="HT7" i="10" s="1"/>
  <c r="HN7" i="10"/>
  <c r="HO7" i="10" s="1"/>
  <c r="HG7" i="10"/>
  <c r="HH7" i="10" s="1"/>
  <c r="HA7" i="10"/>
  <c r="HB7" i="10" s="1"/>
  <c r="GV7" i="10"/>
  <c r="GW7" i="10" s="1"/>
  <c r="GO7" i="10"/>
  <c r="GP7" i="10" s="1"/>
  <c r="GI7" i="10"/>
  <c r="GJ7" i="10" s="1"/>
  <c r="GD7" i="10"/>
  <c r="GE7" i="10" s="1"/>
  <c r="FW7" i="10"/>
  <c r="FX7" i="10" s="1"/>
  <c r="FQ7" i="10"/>
  <c r="FR7" i="10" s="1"/>
  <c r="FL7" i="10"/>
  <c r="FM7" i="10" s="1"/>
  <c r="FE7" i="10"/>
  <c r="FF7" i="10" s="1"/>
  <c r="EY7" i="10"/>
  <c r="EZ7" i="10" s="1"/>
  <c r="ET7" i="10"/>
  <c r="EU7" i="10" s="1"/>
  <c r="EM7" i="10"/>
  <c r="EN7" i="10" s="1"/>
  <c r="EG7" i="10"/>
  <c r="EH7" i="10" s="1"/>
  <c r="EB7" i="10"/>
  <c r="EC7" i="10" s="1"/>
  <c r="DU7" i="10"/>
  <c r="DV7" i="10" s="1"/>
  <c r="DO7" i="10"/>
  <c r="DP7" i="10" s="1"/>
  <c r="DJ7" i="10"/>
  <c r="DK7" i="10" s="1"/>
  <c r="DC7" i="10"/>
  <c r="DD7" i="10" s="1"/>
  <c r="CW7" i="10"/>
  <c r="CX7" i="10" s="1"/>
  <c r="CR7" i="10"/>
  <c r="CS7" i="10" s="1"/>
  <c r="CK7" i="10"/>
  <c r="CL7" i="10" s="1"/>
  <c r="CE7" i="10"/>
  <c r="CF7" i="10" s="1"/>
  <c r="BZ7" i="10"/>
  <c r="CA7" i="10" s="1"/>
  <c r="BS7" i="10"/>
  <c r="BT7" i="10" s="1"/>
  <c r="BM7" i="10"/>
  <c r="BN7" i="10" s="1"/>
  <c r="BH7" i="10"/>
  <c r="BI7" i="10" s="1"/>
  <c r="BA7" i="10"/>
  <c r="BB7" i="10" s="1"/>
  <c r="AU7" i="10"/>
  <c r="AV7" i="10" s="1"/>
  <c r="AP7" i="10"/>
  <c r="AQ7" i="10" s="1"/>
  <c r="AI7" i="10"/>
  <c r="AJ7" i="10" s="1"/>
  <c r="AC7" i="10"/>
  <c r="AD7" i="10" s="1"/>
  <c r="X7" i="10"/>
  <c r="Y7" i="10" s="1"/>
  <c r="Q7" i="10"/>
  <c r="R7" i="10" s="1"/>
  <c r="K7" i="10"/>
  <c r="L7" i="10" s="1"/>
  <c r="F7" i="10"/>
  <c r="G7" i="10" s="1"/>
  <c r="TP6" i="10"/>
  <c r="TQ6" i="10" s="1"/>
  <c r="TK6" i="10"/>
  <c r="TL6" i="10" s="1"/>
  <c r="TF6" i="10"/>
  <c r="TG6" i="10" s="1"/>
  <c r="SY6" i="10"/>
  <c r="SZ6" i="10" s="1"/>
  <c r="ST6" i="10"/>
  <c r="SU6" i="10" s="1"/>
  <c r="SO6" i="10"/>
  <c r="SP6" i="10" s="1"/>
  <c r="SH6" i="10"/>
  <c r="SI6" i="10" s="1"/>
  <c r="SC6" i="10"/>
  <c r="SD6" i="10" s="1"/>
  <c r="RX6" i="10"/>
  <c r="RY6" i="10" s="1"/>
  <c r="RQ6" i="10"/>
  <c r="RR6" i="10" s="1"/>
  <c r="RK6" i="10"/>
  <c r="RL6" i="10" s="1"/>
  <c r="RF6" i="10"/>
  <c r="RG6" i="10" s="1"/>
  <c r="QY6" i="10"/>
  <c r="QZ6" i="10" s="1"/>
  <c r="QS6" i="10"/>
  <c r="QT6" i="10" s="1"/>
  <c r="QN6" i="10"/>
  <c r="QO6" i="10" s="1"/>
  <c r="QG6" i="10"/>
  <c r="QH6" i="10" s="1"/>
  <c r="QA6" i="10"/>
  <c r="QB6" i="10" s="1"/>
  <c r="PV6" i="10"/>
  <c r="PW6" i="10" s="1"/>
  <c r="PO6" i="10"/>
  <c r="PP6" i="10" s="1"/>
  <c r="PI6" i="10"/>
  <c r="PJ6" i="10" s="1"/>
  <c r="PD6" i="10"/>
  <c r="PE6" i="10" s="1"/>
  <c r="OW6" i="10"/>
  <c r="OX6" i="10" s="1"/>
  <c r="OQ6" i="10"/>
  <c r="OR6" i="10" s="1"/>
  <c r="OL6" i="10"/>
  <c r="OM6" i="10" s="1"/>
  <c r="OE6" i="10"/>
  <c r="OF6" i="10" s="1"/>
  <c r="NY6" i="10"/>
  <c r="NZ6" i="10" s="1"/>
  <c r="NT6" i="10"/>
  <c r="NU6" i="10" s="1"/>
  <c r="NM6" i="10"/>
  <c r="NN6" i="10" s="1"/>
  <c r="NG6" i="10"/>
  <c r="NH6" i="10" s="1"/>
  <c r="NB6" i="10"/>
  <c r="NC6" i="10" s="1"/>
  <c r="MU6" i="10"/>
  <c r="MV6" i="10" s="1"/>
  <c r="MO6" i="10"/>
  <c r="MP6" i="10" s="1"/>
  <c r="MJ6" i="10"/>
  <c r="MK6" i="10" s="1"/>
  <c r="MC6" i="10"/>
  <c r="MD6" i="10" s="1"/>
  <c r="LW6" i="10"/>
  <c r="LX6" i="10" s="1"/>
  <c r="LR6" i="10"/>
  <c r="LS6" i="10" s="1"/>
  <c r="LK6" i="10"/>
  <c r="LL6" i="10" s="1"/>
  <c r="LE6" i="10"/>
  <c r="LF6" i="10" s="1"/>
  <c r="KZ6" i="10"/>
  <c r="LA6" i="10" s="1"/>
  <c r="KS6" i="10"/>
  <c r="KT6" i="10" s="1"/>
  <c r="KM6" i="10"/>
  <c r="KN6" i="10" s="1"/>
  <c r="KH6" i="10"/>
  <c r="KI6" i="10" s="1"/>
  <c r="KA6" i="10"/>
  <c r="KB6" i="10" s="1"/>
  <c r="JU6" i="10"/>
  <c r="JV6" i="10" s="1"/>
  <c r="JP6" i="10"/>
  <c r="JI6" i="10"/>
  <c r="JJ6" i="10" s="1"/>
  <c r="JC6" i="10"/>
  <c r="JD6" i="10" s="1"/>
  <c r="IX6" i="10"/>
  <c r="IY6" i="10" s="1"/>
  <c r="IQ6" i="10"/>
  <c r="IR6" i="10" s="1"/>
  <c r="IK6" i="10"/>
  <c r="IL6" i="10" s="1"/>
  <c r="IF6" i="10"/>
  <c r="HY6" i="10"/>
  <c r="HZ6" i="10" s="1"/>
  <c r="HS6" i="10"/>
  <c r="HT6" i="10" s="1"/>
  <c r="HN6" i="10"/>
  <c r="HO6" i="10" s="1"/>
  <c r="HG6" i="10"/>
  <c r="HH6" i="10" s="1"/>
  <c r="HA6" i="10"/>
  <c r="HB6" i="10" s="1"/>
  <c r="GV6" i="10"/>
  <c r="GO6" i="10"/>
  <c r="GP6" i="10" s="1"/>
  <c r="GI6" i="10"/>
  <c r="GJ6" i="10" s="1"/>
  <c r="GD6" i="10"/>
  <c r="FW6" i="10"/>
  <c r="FX6" i="10" s="1"/>
  <c r="FQ6" i="10"/>
  <c r="FR6" i="10" s="1"/>
  <c r="FL6" i="10"/>
  <c r="FE6" i="10"/>
  <c r="FF6" i="10" s="1"/>
  <c r="EY6" i="10"/>
  <c r="EZ6" i="10" s="1"/>
  <c r="ET6" i="10"/>
  <c r="EM6" i="10"/>
  <c r="EN6" i="10" s="1"/>
  <c r="EG6" i="10"/>
  <c r="EH6" i="10" s="1"/>
  <c r="EB6" i="10"/>
  <c r="DU6" i="10"/>
  <c r="DV6" i="10" s="1"/>
  <c r="DO6" i="10"/>
  <c r="DP6" i="10" s="1"/>
  <c r="DJ6" i="10"/>
  <c r="DK6" i="10" s="1"/>
  <c r="DC6" i="10"/>
  <c r="DD6" i="10" s="1"/>
  <c r="CW6" i="10"/>
  <c r="CX6" i="10" s="1"/>
  <c r="CR6" i="10"/>
  <c r="CK6" i="10"/>
  <c r="CL6" i="10" s="1"/>
  <c r="CE6" i="10"/>
  <c r="CF6" i="10" s="1"/>
  <c r="BZ6" i="10"/>
  <c r="CA6" i="10" s="1"/>
  <c r="BS6" i="10"/>
  <c r="BT6" i="10" s="1"/>
  <c r="BM6" i="10"/>
  <c r="BN6" i="10" s="1"/>
  <c r="BH6" i="10"/>
  <c r="BA6" i="10"/>
  <c r="BB6" i="10" s="1"/>
  <c r="AU6" i="10"/>
  <c r="AV6" i="10" s="1"/>
  <c r="AP6" i="10"/>
  <c r="AI6" i="10"/>
  <c r="AJ6" i="10" s="1"/>
  <c r="AC6" i="10"/>
  <c r="X6" i="10"/>
  <c r="Q6" i="10"/>
  <c r="K6" i="10"/>
  <c r="L6" i="10" s="1"/>
  <c r="F6" i="10"/>
  <c r="G6" i="10" s="1"/>
  <c r="TP5" i="10"/>
  <c r="TK5" i="10"/>
  <c r="TL5" i="10" s="1"/>
  <c r="TF5" i="10"/>
  <c r="SY5" i="10"/>
  <c r="SZ5" i="10" s="1"/>
  <c r="ST5" i="10"/>
  <c r="SU5" i="10" s="1"/>
  <c r="SO5" i="10"/>
  <c r="SH5" i="10"/>
  <c r="SI5" i="10" s="1"/>
  <c r="SC5" i="10"/>
  <c r="SD5" i="10" s="1"/>
  <c r="RX5" i="10"/>
  <c r="RQ5" i="10"/>
  <c r="RR5" i="10" s="1"/>
  <c r="RK5" i="10"/>
  <c r="RF5" i="10"/>
  <c r="QY5" i="10"/>
  <c r="QZ5" i="10" s="1"/>
  <c r="QS5" i="10"/>
  <c r="QT5" i="10" s="1"/>
  <c r="QN5" i="10"/>
  <c r="QG5" i="10"/>
  <c r="QH5" i="10" s="1"/>
  <c r="QA5" i="10"/>
  <c r="QB5" i="10" s="1"/>
  <c r="PV5" i="10"/>
  <c r="PO5" i="10"/>
  <c r="PP5" i="10" s="1"/>
  <c r="PI5" i="10"/>
  <c r="PD5" i="10"/>
  <c r="OW5" i="10"/>
  <c r="OX5" i="10" s="1"/>
  <c r="OQ5" i="10"/>
  <c r="OR5" i="10" s="1"/>
  <c r="OL5" i="10"/>
  <c r="OE5" i="10"/>
  <c r="NY5" i="10"/>
  <c r="NZ5" i="10" s="1"/>
  <c r="NT5" i="10"/>
  <c r="NM5" i="10"/>
  <c r="NN5" i="10" s="1"/>
  <c r="NG5" i="10"/>
  <c r="NH5" i="10" s="1"/>
  <c r="NB5" i="10"/>
  <c r="MU5" i="10"/>
  <c r="MV5" i="10" s="1"/>
  <c r="MO5" i="10"/>
  <c r="MP5" i="10" s="1"/>
  <c r="MJ5" i="10"/>
  <c r="MC5" i="10"/>
  <c r="MD5" i="10" s="1"/>
  <c r="LW5" i="10"/>
  <c r="LR5" i="10"/>
  <c r="LK5" i="10"/>
  <c r="LL5" i="10" s="1"/>
  <c r="LE5" i="10"/>
  <c r="LF5" i="10" s="1"/>
  <c r="KZ5" i="10"/>
  <c r="KS5" i="10"/>
  <c r="KT5" i="10" s="1"/>
  <c r="KM5" i="10"/>
  <c r="KN5" i="10" s="1"/>
  <c r="KH5" i="10"/>
  <c r="KA5" i="10"/>
  <c r="KB5" i="10" s="1"/>
  <c r="JU5" i="10"/>
  <c r="JP5" i="10"/>
  <c r="JI5" i="10"/>
  <c r="JJ5" i="10" s="1"/>
  <c r="JC5" i="10"/>
  <c r="JD5" i="10" s="1"/>
  <c r="IX5" i="10"/>
  <c r="IQ5" i="10"/>
  <c r="IK5" i="10"/>
  <c r="IL5" i="10" s="1"/>
  <c r="IF5" i="10"/>
  <c r="HY5" i="10"/>
  <c r="HZ5" i="10" s="1"/>
  <c r="HS5" i="10"/>
  <c r="HT5" i="10" s="1"/>
  <c r="HN5" i="10"/>
  <c r="HG5" i="10"/>
  <c r="HH5" i="10" s="1"/>
  <c r="HA5" i="10"/>
  <c r="HB5" i="10" s="1"/>
  <c r="GV5" i="10"/>
  <c r="GO5" i="10"/>
  <c r="GP5" i="10" s="1"/>
  <c r="GI5" i="10"/>
  <c r="GD5" i="10"/>
  <c r="FW5" i="10"/>
  <c r="FX5" i="10" s="1"/>
  <c r="FQ5" i="10"/>
  <c r="FR5" i="10" s="1"/>
  <c r="FL5" i="10"/>
  <c r="FE5" i="10"/>
  <c r="FF5" i="10" s="1"/>
  <c r="EY5" i="10"/>
  <c r="EZ5" i="10" s="1"/>
  <c r="ET5" i="10"/>
  <c r="EM5" i="10"/>
  <c r="EN5" i="10" s="1"/>
  <c r="EG5" i="10"/>
  <c r="EH5" i="10" s="1"/>
  <c r="EB5" i="10"/>
  <c r="DU5" i="10"/>
  <c r="DV5" i="10" s="1"/>
  <c r="DO5" i="10"/>
  <c r="DJ5" i="10"/>
  <c r="DC5" i="10"/>
  <c r="DD5" i="10" s="1"/>
  <c r="CW5" i="10"/>
  <c r="CX5" i="10" s="1"/>
  <c r="CR5" i="10"/>
  <c r="CK5" i="10"/>
  <c r="CL5" i="10" s="1"/>
  <c r="CE5" i="10"/>
  <c r="CF5" i="10" s="1"/>
  <c r="BZ5" i="10"/>
  <c r="BS5" i="10"/>
  <c r="BM5" i="10"/>
  <c r="BN5" i="10" s="1"/>
  <c r="BH5" i="10"/>
  <c r="BA5" i="10"/>
  <c r="BB5" i="10" s="1"/>
  <c r="AU5" i="10"/>
  <c r="AP5" i="10"/>
  <c r="AI5" i="10"/>
  <c r="AJ5" i="10" s="1"/>
  <c r="AC5" i="10"/>
  <c r="AD5" i="10" s="1"/>
  <c r="X5" i="10"/>
  <c r="Q5" i="10"/>
  <c r="R5" i="10" s="1"/>
  <c r="K5" i="10"/>
  <c r="L5" i="10" s="1"/>
  <c r="F5" i="10"/>
  <c r="AH3" i="10"/>
  <c r="AZ3" i="10" s="1"/>
  <c r="BR3" i="10" s="1"/>
  <c r="CJ3" i="10" s="1"/>
  <c r="DB3" i="10" s="1"/>
  <c r="DT3" i="10" s="1"/>
  <c r="EL3" i="10" s="1"/>
  <c r="FD3" i="10" s="1"/>
  <c r="FV3" i="10" s="1"/>
  <c r="GN3" i="10" s="1"/>
  <c r="HF3" i="10" s="1"/>
  <c r="HX3" i="10" s="1"/>
  <c r="IP3" i="10" s="1"/>
  <c r="JH3" i="10" s="1"/>
  <c r="JZ3" i="10" s="1"/>
  <c r="KR3" i="10" s="1"/>
  <c r="LJ3" i="10" s="1"/>
  <c r="MB3" i="10" s="1"/>
  <c r="MT3" i="10" s="1"/>
  <c r="NL3" i="10" s="1"/>
  <c r="OD3" i="10" s="1"/>
  <c r="OV3" i="10" s="1"/>
  <c r="PN3" i="10" s="1"/>
  <c r="QF3" i="10" s="1"/>
  <c r="QX3" i="10" s="1"/>
  <c r="RP3" i="10" s="1"/>
  <c r="SG3" i="10" s="1"/>
  <c r="SX3" i="10" s="1"/>
  <c r="TO3" i="10" s="1"/>
  <c r="AF3" i="10"/>
  <c r="AX3" i="10" s="1"/>
  <c r="BP3" i="10" s="1"/>
  <c r="CH3" i="10" s="1"/>
  <c r="CZ3" i="10" s="1"/>
  <c r="DR3" i="10" s="1"/>
  <c r="EJ3" i="10" s="1"/>
  <c r="FB3" i="10" s="1"/>
  <c r="FT3" i="10" s="1"/>
  <c r="GL3" i="10" s="1"/>
  <c r="HD3" i="10" s="1"/>
  <c r="HV3" i="10" s="1"/>
  <c r="IN3" i="10" s="1"/>
  <c r="JF3" i="10" s="1"/>
  <c r="JX3" i="10" s="1"/>
  <c r="KP3" i="10" s="1"/>
  <c r="LH3" i="10" s="1"/>
  <c r="LZ3" i="10" s="1"/>
  <c r="MR3" i="10" s="1"/>
  <c r="NJ3" i="10" s="1"/>
  <c r="OB3" i="10" s="1"/>
  <c r="OT3" i="10" s="1"/>
  <c r="PL3" i="10" s="1"/>
  <c r="QD3" i="10" s="1"/>
  <c r="QV3" i="10" s="1"/>
  <c r="RN3" i="10" s="1"/>
  <c r="SF3" i="10" s="1"/>
  <c r="SW3" i="10" s="1"/>
  <c r="TN3" i="10" s="1"/>
  <c r="AE3" i="10"/>
  <c r="AW3" i="10" s="1"/>
  <c r="BO3" i="10" s="1"/>
  <c r="CG3" i="10" s="1"/>
  <c r="CY3" i="10" s="1"/>
  <c r="DQ3" i="10" s="1"/>
  <c r="EI3" i="10" s="1"/>
  <c r="FA3" i="10" s="1"/>
  <c r="FS3" i="10" s="1"/>
  <c r="GK3" i="10" s="1"/>
  <c r="HC3" i="10" s="1"/>
  <c r="HU3" i="10" s="1"/>
  <c r="IM3" i="10" s="1"/>
  <c r="JE3" i="10" s="1"/>
  <c r="JW3" i="10" s="1"/>
  <c r="KO3" i="10" s="1"/>
  <c r="LG3" i="10" s="1"/>
  <c r="LY3" i="10" s="1"/>
  <c r="MQ3" i="10" s="1"/>
  <c r="NI3" i="10" s="1"/>
  <c r="OA3" i="10" s="1"/>
  <c r="OS3" i="10" s="1"/>
  <c r="PK3" i="10" s="1"/>
  <c r="QC3" i="10" s="1"/>
  <c r="QU3" i="10" s="1"/>
  <c r="RM3" i="10" s="1"/>
  <c r="SE3" i="10" s="1"/>
  <c r="SV3" i="10" s="1"/>
  <c r="TM3" i="10" s="1"/>
  <c r="SB3" i="10"/>
  <c r="SS3" i="10" s="1"/>
  <c r="TJ3" i="10" s="1"/>
  <c r="AA3" i="10"/>
  <c r="AS3" i="10" s="1"/>
  <c r="BK3" i="10" s="1"/>
  <c r="CC3" i="10" s="1"/>
  <c r="CU3" i="10" s="1"/>
  <c r="DM3" i="10" s="1"/>
  <c r="EE3" i="10" s="1"/>
  <c r="EW3" i="10" s="1"/>
  <c r="FO3" i="10" s="1"/>
  <c r="GG3" i="10" s="1"/>
  <c r="GY3" i="10" s="1"/>
  <c r="HQ3" i="10" s="1"/>
  <c r="II3" i="10" s="1"/>
  <c r="JA3" i="10" s="1"/>
  <c r="JS3" i="10" s="1"/>
  <c r="KK3" i="10" s="1"/>
  <c r="LC3" i="10" s="1"/>
  <c r="LU3" i="10" s="1"/>
  <c r="MM3" i="10" s="1"/>
  <c r="NE3" i="10" s="1"/>
  <c r="NW3" i="10" s="1"/>
  <c r="OO3" i="10" s="1"/>
  <c r="PG3" i="10" s="1"/>
  <c r="PY3" i="10" s="1"/>
  <c r="QQ3" i="10" s="1"/>
  <c r="RI3" i="10" s="1"/>
  <c r="SA3" i="10" s="1"/>
  <c r="SR3" i="10" s="1"/>
  <c r="TI3" i="10" s="1"/>
  <c r="Z3" i="10"/>
  <c r="AR3" i="10" s="1"/>
  <c r="BJ3" i="10" s="1"/>
  <c r="CB3" i="10" s="1"/>
  <c r="CT3" i="10" s="1"/>
  <c r="DL3" i="10" s="1"/>
  <c r="ED3" i="10" s="1"/>
  <c r="EV3" i="10" s="1"/>
  <c r="FN3" i="10" s="1"/>
  <c r="GF3" i="10" s="1"/>
  <c r="GX3" i="10" s="1"/>
  <c r="HP3" i="10" s="1"/>
  <c r="IH3" i="10" s="1"/>
  <c r="IZ3" i="10" s="1"/>
  <c r="JR3" i="10" s="1"/>
  <c r="KJ3" i="10" s="1"/>
  <c r="LB3" i="10" s="1"/>
  <c r="LT3" i="10" s="1"/>
  <c r="ML3" i="10" s="1"/>
  <c r="ND3" i="10" s="1"/>
  <c r="NV3" i="10" s="1"/>
  <c r="ON3" i="10" s="1"/>
  <c r="PF3" i="10" s="1"/>
  <c r="PX3" i="10" s="1"/>
  <c r="QP3" i="10" s="1"/>
  <c r="RH3" i="10" s="1"/>
  <c r="RZ3" i="10" s="1"/>
  <c r="SQ3" i="10" s="1"/>
  <c r="TH3" i="10" s="1"/>
  <c r="W3" i="10"/>
  <c r="AO3" i="10" s="1"/>
  <c r="BG3" i="10" s="1"/>
  <c r="BY3" i="10" s="1"/>
  <c r="CQ3" i="10" s="1"/>
  <c r="DI3" i="10" s="1"/>
  <c r="EA3" i="10" s="1"/>
  <c r="ES3" i="10" s="1"/>
  <c r="FK3" i="10" s="1"/>
  <c r="GC3" i="10" s="1"/>
  <c r="GU3" i="10" s="1"/>
  <c r="HM3" i="10" s="1"/>
  <c r="IE3" i="10" s="1"/>
  <c r="IW3" i="10" s="1"/>
  <c r="JO3" i="10" s="1"/>
  <c r="KG3" i="10" s="1"/>
  <c r="KY3" i="10" s="1"/>
  <c r="LQ3" i="10" s="1"/>
  <c r="MI3" i="10" s="1"/>
  <c r="NA3" i="10" s="1"/>
  <c r="NS3" i="10" s="1"/>
  <c r="OK3" i="10" s="1"/>
  <c r="PC3" i="10" s="1"/>
  <c r="PU3" i="10" s="1"/>
  <c r="QM3" i="10" s="1"/>
  <c r="RE3" i="10" s="1"/>
  <c r="RW3" i="10" s="1"/>
  <c r="SN3" i="10" s="1"/>
  <c r="TE3" i="10" s="1"/>
  <c r="V3" i="10"/>
  <c r="AN3" i="10" s="1"/>
  <c r="BF3" i="10" s="1"/>
  <c r="BX3" i="10" s="1"/>
  <c r="CP3" i="10" s="1"/>
  <c r="DH3" i="10" s="1"/>
  <c r="DZ3" i="10" s="1"/>
  <c r="ER3" i="10" s="1"/>
  <c r="FJ3" i="10" s="1"/>
  <c r="GB3" i="10" s="1"/>
  <c r="GT3" i="10" s="1"/>
  <c r="HL3" i="10" s="1"/>
  <c r="ID3" i="10" s="1"/>
  <c r="IV3" i="10" s="1"/>
  <c r="JN3" i="10" s="1"/>
  <c r="KF3" i="10" s="1"/>
  <c r="KX3" i="10" s="1"/>
  <c r="LP3" i="10" s="1"/>
  <c r="MH3" i="10" s="1"/>
  <c r="MZ3" i="10" s="1"/>
  <c r="NR3" i="10" s="1"/>
  <c r="OJ3" i="10" s="1"/>
  <c r="PB3" i="10" s="1"/>
  <c r="PT3" i="10" s="1"/>
  <c r="QL3" i="10" s="1"/>
  <c r="RD3" i="10" s="1"/>
  <c r="RV3" i="10" s="1"/>
  <c r="SM3" i="10" s="1"/>
  <c r="TD3" i="10" s="1"/>
  <c r="U3" i="10"/>
  <c r="AM3" i="10" s="1"/>
  <c r="BE3" i="10" s="1"/>
  <c r="BW3" i="10" s="1"/>
  <c r="CO3" i="10" s="1"/>
  <c r="DG3" i="10" s="1"/>
  <c r="DY3" i="10" s="1"/>
  <c r="EQ3" i="10" s="1"/>
  <c r="FI3" i="10" s="1"/>
  <c r="GA3" i="10" s="1"/>
  <c r="GS3" i="10" s="1"/>
  <c r="HK3" i="10" s="1"/>
  <c r="IC3" i="10" s="1"/>
  <c r="IU3" i="10" s="1"/>
  <c r="JM3" i="10" s="1"/>
  <c r="KE3" i="10" s="1"/>
  <c r="KW3" i="10" s="1"/>
  <c r="LO3" i="10" s="1"/>
  <c r="MG3" i="10" s="1"/>
  <c r="MY3" i="10" s="1"/>
  <c r="NQ3" i="10" s="1"/>
  <c r="OI3" i="10" s="1"/>
  <c r="PA3" i="10" s="1"/>
  <c r="PS3" i="10" s="1"/>
  <c r="QK3" i="10" s="1"/>
  <c r="RC3" i="10" s="1"/>
  <c r="RU3" i="10" s="1"/>
  <c r="SL3" i="10" s="1"/>
  <c r="TC3" i="10" s="1"/>
  <c r="U1" i="10"/>
  <c r="TQ21" i="8"/>
  <c r="TR21" i="8" s="1"/>
  <c r="TL21" i="8"/>
  <c r="TM21" i="8" s="1"/>
  <c r="TG21" i="8"/>
  <c r="TH21" i="8" s="1"/>
  <c r="SZ21" i="8"/>
  <c r="SU21" i="8"/>
  <c r="SV21" i="8" s="1"/>
  <c r="SP21" i="8"/>
  <c r="SP20" i="8" s="1"/>
  <c r="SI21" i="8"/>
  <c r="SJ21" i="8" s="1"/>
  <c r="SC21" i="8"/>
  <c r="SD21" i="8" s="1"/>
  <c r="RX21" i="8"/>
  <c r="RX20" i="8" s="1"/>
  <c r="RQ21" i="8"/>
  <c r="RR21" i="8" s="1"/>
  <c r="RK21" i="8"/>
  <c r="RF21" i="8"/>
  <c r="RF20" i="8" s="1"/>
  <c r="QY21" i="8"/>
  <c r="QZ21" i="8" s="1"/>
  <c r="QS21" i="8"/>
  <c r="QT21" i="8" s="1"/>
  <c r="QN21" i="8"/>
  <c r="QN20" i="8" s="1"/>
  <c r="QO20" i="8" s="1"/>
  <c r="QG21" i="8"/>
  <c r="QA21" i="8"/>
  <c r="QB21" i="8" s="1"/>
  <c r="PV21" i="8"/>
  <c r="PV20" i="8" s="1"/>
  <c r="PO21" i="8"/>
  <c r="PI21" i="8"/>
  <c r="PJ21" i="8" s="1"/>
  <c r="PD21" i="8"/>
  <c r="PD20" i="8" s="1"/>
  <c r="OW21" i="8"/>
  <c r="OX21" i="8" s="1"/>
  <c r="OQ21" i="8"/>
  <c r="OL21" i="8"/>
  <c r="OL20" i="8" s="1"/>
  <c r="OM20" i="8" s="1"/>
  <c r="OE21" i="8"/>
  <c r="OF21" i="8" s="1"/>
  <c r="NY21" i="8"/>
  <c r="NZ21" i="8" s="1"/>
  <c r="NT21" i="8"/>
  <c r="NT20" i="8" s="1"/>
  <c r="NU20" i="8" s="1"/>
  <c r="NM21" i="8"/>
  <c r="NN21" i="8" s="1"/>
  <c r="NG21" i="8"/>
  <c r="NH21" i="8" s="1"/>
  <c r="NB21" i="8"/>
  <c r="MU21" i="8"/>
  <c r="MO21" i="8"/>
  <c r="MP21" i="8" s="1"/>
  <c r="MJ21" i="8"/>
  <c r="MJ20" i="8" s="1"/>
  <c r="MK20" i="8" s="1"/>
  <c r="MC21" i="8"/>
  <c r="LW21" i="8"/>
  <c r="LX21" i="8" s="1"/>
  <c r="LR21" i="8"/>
  <c r="LR20" i="8" s="1"/>
  <c r="LK21" i="8"/>
  <c r="LL21" i="8" s="1"/>
  <c r="LE21" i="8"/>
  <c r="LF21" i="8" s="1"/>
  <c r="KZ21" i="8"/>
  <c r="KZ20" i="8" s="1"/>
  <c r="KS21" i="8"/>
  <c r="KT21" i="8" s="1"/>
  <c r="KM21" i="8"/>
  <c r="KN21" i="8" s="1"/>
  <c r="KH21" i="8"/>
  <c r="KH20" i="8" s="1"/>
  <c r="KA21" i="8"/>
  <c r="KB21" i="8" s="1"/>
  <c r="JU21" i="8"/>
  <c r="JV21" i="8" s="1"/>
  <c r="JP21" i="8"/>
  <c r="JP20" i="8" s="1"/>
  <c r="JI21" i="8"/>
  <c r="JJ21" i="8" s="1"/>
  <c r="JC21" i="8"/>
  <c r="JD21" i="8" s="1"/>
  <c r="IX21" i="8"/>
  <c r="IX20" i="8" s="1"/>
  <c r="IQ21" i="8"/>
  <c r="IR21" i="8" s="1"/>
  <c r="IK21" i="8"/>
  <c r="IF21" i="8"/>
  <c r="IF20" i="8" s="1"/>
  <c r="HY21" i="8"/>
  <c r="HZ21" i="8" s="1"/>
  <c r="HS21" i="8"/>
  <c r="HT21" i="8" s="1"/>
  <c r="HN21" i="8"/>
  <c r="HG21" i="8"/>
  <c r="HH21" i="8" s="1"/>
  <c r="HA21" i="8"/>
  <c r="HB21" i="8" s="1"/>
  <c r="GV21" i="8"/>
  <c r="GV20" i="8" s="1"/>
  <c r="GO21" i="8"/>
  <c r="GP21" i="8" s="1"/>
  <c r="GI21" i="8"/>
  <c r="GJ21" i="8" s="1"/>
  <c r="GD21" i="8"/>
  <c r="GD20" i="8" s="1"/>
  <c r="FW21" i="8"/>
  <c r="FX21" i="8" s="1"/>
  <c r="FQ21" i="8"/>
  <c r="FR21" i="8" s="1"/>
  <c r="FL21" i="8"/>
  <c r="FL20" i="8" s="1"/>
  <c r="FE21" i="8"/>
  <c r="FF21" i="8" s="1"/>
  <c r="EY21" i="8"/>
  <c r="ET21" i="8"/>
  <c r="ET20" i="8" s="1"/>
  <c r="EM21" i="8"/>
  <c r="EN21" i="8" s="1"/>
  <c r="EG21" i="8"/>
  <c r="EH21" i="8" s="1"/>
  <c r="EB21" i="8"/>
  <c r="EB20" i="8" s="1"/>
  <c r="DU21" i="8"/>
  <c r="DV21" i="8" s="1"/>
  <c r="DO21" i="8"/>
  <c r="DJ21" i="8"/>
  <c r="DC21" i="8"/>
  <c r="DD21" i="8" s="1"/>
  <c r="CW21" i="8"/>
  <c r="CX21" i="8" s="1"/>
  <c r="CR21" i="8"/>
  <c r="CR20" i="8" s="1"/>
  <c r="CK21" i="8"/>
  <c r="CL21" i="8" s="1"/>
  <c r="CE21" i="8"/>
  <c r="BZ21" i="8"/>
  <c r="BZ20" i="8" s="1"/>
  <c r="BS21" i="8"/>
  <c r="BT21" i="8" s="1"/>
  <c r="BM21" i="8"/>
  <c r="BN21" i="8" s="1"/>
  <c r="BH21" i="8"/>
  <c r="BH20" i="8" s="1"/>
  <c r="BA21" i="8"/>
  <c r="BB21" i="8" s="1"/>
  <c r="AU21" i="8"/>
  <c r="AP21" i="8"/>
  <c r="AP20" i="8" s="1"/>
  <c r="AI21" i="8"/>
  <c r="AJ21" i="8" s="1"/>
  <c r="AC21" i="8"/>
  <c r="AD21" i="8" s="1"/>
  <c r="X21" i="8"/>
  <c r="X20" i="8" s="1"/>
  <c r="Q21" i="8"/>
  <c r="R21" i="8" s="1"/>
  <c r="K21" i="8"/>
  <c r="F21" i="8"/>
  <c r="F20" i="8" s="1"/>
  <c r="TQ19" i="8"/>
  <c r="TR19" i="8" s="1"/>
  <c r="TL19" i="8"/>
  <c r="TG19" i="8"/>
  <c r="SZ19" i="8"/>
  <c r="TA19" i="8" s="1"/>
  <c r="SU19" i="8"/>
  <c r="SV19" i="8" s="1"/>
  <c r="SP19" i="8"/>
  <c r="SI19" i="8"/>
  <c r="SJ19" i="8" s="1"/>
  <c r="SC19" i="8"/>
  <c r="SD19" i="8" s="1"/>
  <c r="RX19" i="8"/>
  <c r="RQ19" i="8"/>
  <c r="RR19" i="8" s="1"/>
  <c r="RK19" i="8"/>
  <c r="RL19" i="8" s="1"/>
  <c r="RF19" i="8"/>
  <c r="QY19" i="8"/>
  <c r="QZ19" i="8" s="1"/>
  <c r="QS19" i="8"/>
  <c r="QT19" i="8" s="1"/>
  <c r="QN19" i="8"/>
  <c r="QG19" i="8"/>
  <c r="QH19" i="8" s="1"/>
  <c r="QA19" i="8"/>
  <c r="QB19" i="8" s="1"/>
  <c r="PV19" i="8"/>
  <c r="PO19" i="8"/>
  <c r="PP19" i="8" s="1"/>
  <c r="PI19" i="8"/>
  <c r="PJ19" i="8" s="1"/>
  <c r="PD19" i="8"/>
  <c r="OW19" i="8"/>
  <c r="OX19" i="8" s="1"/>
  <c r="OQ19" i="8"/>
  <c r="OR19" i="8" s="1"/>
  <c r="OL19" i="8"/>
  <c r="OE19" i="8"/>
  <c r="OF19" i="8" s="1"/>
  <c r="NY19" i="8"/>
  <c r="NZ19" i="8" s="1"/>
  <c r="NT19" i="8"/>
  <c r="NM19" i="8"/>
  <c r="NN19" i="8" s="1"/>
  <c r="NG19" i="8"/>
  <c r="NH19" i="8" s="1"/>
  <c r="NB19" i="8"/>
  <c r="MU19" i="8"/>
  <c r="MV19" i="8" s="1"/>
  <c r="MO19" i="8"/>
  <c r="MP19" i="8" s="1"/>
  <c r="MJ19" i="8"/>
  <c r="MC19" i="8"/>
  <c r="MD19" i="8" s="1"/>
  <c r="LW19" i="8"/>
  <c r="LX19" i="8" s="1"/>
  <c r="LR19" i="8"/>
  <c r="LK19" i="8"/>
  <c r="LL19" i="8" s="1"/>
  <c r="LE19" i="8"/>
  <c r="LF19" i="8" s="1"/>
  <c r="KZ19" i="8"/>
  <c r="KS19" i="8"/>
  <c r="KT19" i="8" s="1"/>
  <c r="KM19" i="8"/>
  <c r="KN19" i="8" s="1"/>
  <c r="KH19" i="8"/>
  <c r="KI19" i="8" s="1"/>
  <c r="KA19" i="8"/>
  <c r="KB19" i="8" s="1"/>
  <c r="JU19" i="8"/>
  <c r="JV19" i="8" s="1"/>
  <c r="JP19" i="8"/>
  <c r="JQ19" i="8" s="1"/>
  <c r="JI19" i="8"/>
  <c r="JJ19" i="8" s="1"/>
  <c r="JC19" i="8"/>
  <c r="JD19" i="8" s="1"/>
  <c r="IX19" i="8"/>
  <c r="IY19" i="8" s="1"/>
  <c r="IQ19" i="8"/>
  <c r="IR19" i="8" s="1"/>
  <c r="IK19" i="8"/>
  <c r="IL19" i="8" s="1"/>
  <c r="IF19" i="8"/>
  <c r="IG19" i="8" s="1"/>
  <c r="HY19" i="8"/>
  <c r="HZ19" i="8" s="1"/>
  <c r="HS19" i="8"/>
  <c r="HT19" i="8" s="1"/>
  <c r="HN19" i="8"/>
  <c r="HO19" i="8" s="1"/>
  <c r="HG19" i="8"/>
  <c r="HH19" i="8" s="1"/>
  <c r="HA19" i="8"/>
  <c r="HB19" i="8" s="1"/>
  <c r="GV19" i="8"/>
  <c r="GW19" i="8" s="1"/>
  <c r="GO19" i="8"/>
  <c r="GP19" i="8" s="1"/>
  <c r="GI19" i="8"/>
  <c r="GJ19" i="8" s="1"/>
  <c r="GD19" i="8"/>
  <c r="GE19" i="8" s="1"/>
  <c r="FW19" i="8"/>
  <c r="FX19" i="8" s="1"/>
  <c r="FQ19" i="8"/>
  <c r="FR19" i="8" s="1"/>
  <c r="FL19" i="8"/>
  <c r="FM19" i="8" s="1"/>
  <c r="FE19" i="8"/>
  <c r="FF19" i="8" s="1"/>
  <c r="EY19" i="8"/>
  <c r="EZ19" i="8" s="1"/>
  <c r="ET19" i="8"/>
  <c r="EU19" i="8" s="1"/>
  <c r="EM19" i="8"/>
  <c r="EN19" i="8" s="1"/>
  <c r="EG19" i="8"/>
  <c r="EH19" i="8" s="1"/>
  <c r="EB19" i="8"/>
  <c r="EC19" i="8" s="1"/>
  <c r="DU19" i="8"/>
  <c r="DV19" i="8" s="1"/>
  <c r="DO19" i="8"/>
  <c r="DP19" i="8" s="1"/>
  <c r="DJ19" i="8"/>
  <c r="DK19" i="8" s="1"/>
  <c r="DC19" i="8"/>
  <c r="DD19" i="8" s="1"/>
  <c r="CW19" i="8"/>
  <c r="CX19" i="8" s="1"/>
  <c r="CR19" i="8"/>
  <c r="CS19" i="8" s="1"/>
  <c r="CK19" i="8"/>
  <c r="CL19" i="8" s="1"/>
  <c r="CE19" i="8"/>
  <c r="CF19" i="8" s="1"/>
  <c r="BZ19" i="8"/>
  <c r="CA19" i="8" s="1"/>
  <c r="BS19" i="8"/>
  <c r="BT19" i="8" s="1"/>
  <c r="BM19" i="8"/>
  <c r="BN19" i="8" s="1"/>
  <c r="BH19" i="8"/>
  <c r="BI19" i="8" s="1"/>
  <c r="BA19" i="8"/>
  <c r="BB19" i="8" s="1"/>
  <c r="AU19" i="8"/>
  <c r="AV19" i="8" s="1"/>
  <c r="AP19" i="8"/>
  <c r="AQ19" i="8" s="1"/>
  <c r="AI19" i="8"/>
  <c r="AJ19" i="8" s="1"/>
  <c r="AC19" i="8"/>
  <c r="AD19" i="8" s="1"/>
  <c r="X19" i="8"/>
  <c r="Y19" i="8" s="1"/>
  <c r="Q19" i="8"/>
  <c r="R19" i="8" s="1"/>
  <c r="K19" i="8"/>
  <c r="L19" i="8" s="1"/>
  <c r="F19" i="8"/>
  <c r="G19" i="8" s="1"/>
  <c r="TQ18" i="8"/>
  <c r="TR18" i="8" s="1"/>
  <c r="TL18" i="8"/>
  <c r="TM18" i="8" s="1"/>
  <c r="TG18" i="8"/>
  <c r="TH18" i="8" s="1"/>
  <c r="SZ18" i="8"/>
  <c r="TA18" i="8" s="1"/>
  <c r="SU18" i="8"/>
  <c r="SV18" i="8" s="1"/>
  <c r="SP18" i="8"/>
  <c r="SQ18" i="8" s="1"/>
  <c r="SI18" i="8"/>
  <c r="SJ18" i="8" s="1"/>
  <c r="SC18" i="8"/>
  <c r="SD18" i="8" s="1"/>
  <c r="RX18" i="8"/>
  <c r="RY18" i="8" s="1"/>
  <c r="RQ18" i="8"/>
  <c r="RK18" i="8"/>
  <c r="RL18" i="8" s="1"/>
  <c r="RF18" i="8"/>
  <c r="RG18" i="8" s="1"/>
  <c r="QY18" i="8"/>
  <c r="QZ18" i="8" s="1"/>
  <c r="QS18" i="8"/>
  <c r="QT18" i="8" s="1"/>
  <c r="QN18" i="8"/>
  <c r="QO18" i="8" s="1"/>
  <c r="QG18" i="8"/>
  <c r="QH18" i="8" s="1"/>
  <c r="QA18" i="8"/>
  <c r="QB18" i="8" s="1"/>
  <c r="PV18" i="8"/>
  <c r="PW18" i="8" s="1"/>
  <c r="PO18" i="8"/>
  <c r="PP18" i="8" s="1"/>
  <c r="PI18" i="8"/>
  <c r="PJ18" i="8" s="1"/>
  <c r="PD18" i="8"/>
  <c r="PE18" i="8" s="1"/>
  <c r="OW18" i="8"/>
  <c r="OQ18" i="8"/>
  <c r="OR18" i="8" s="1"/>
  <c r="OL18" i="8"/>
  <c r="OM18" i="8" s="1"/>
  <c r="OE18" i="8"/>
  <c r="OF18" i="8" s="1"/>
  <c r="NY18" i="8"/>
  <c r="NZ18" i="8" s="1"/>
  <c r="NT18" i="8"/>
  <c r="NU18" i="8" s="1"/>
  <c r="NM18" i="8"/>
  <c r="NN18" i="8" s="1"/>
  <c r="NG18" i="8"/>
  <c r="NH18" i="8" s="1"/>
  <c r="NB18" i="8"/>
  <c r="NC18" i="8" s="1"/>
  <c r="MU18" i="8"/>
  <c r="MV18" i="8" s="1"/>
  <c r="MO18" i="8"/>
  <c r="MP18" i="8" s="1"/>
  <c r="MJ18" i="8"/>
  <c r="MK18" i="8" s="1"/>
  <c r="MC18" i="8"/>
  <c r="MD18" i="8" s="1"/>
  <c r="LW18" i="8"/>
  <c r="LX18" i="8" s="1"/>
  <c r="LR18" i="8"/>
  <c r="LS18" i="8" s="1"/>
  <c r="LK18" i="8"/>
  <c r="LL18" i="8" s="1"/>
  <c r="LE18" i="8"/>
  <c r="LF18" i="8" s="1"/>
  <c r="KZ18" i="8"/>
  <c r="LA18" i="8" s="1"/>
  <c r="KS18" i="8"/>
  <c r="KT18" i="8" s="1"/>
  <c r="KM18" i="8"/>
  <c r="KN18" i="8" s="1"/>
  <c r="KH18" i="8"/>
  <c r="KI18" i="8" s="1"/>
  <c r="KA18" i="8"/>
  <c r="KB18" i="8" s="1"/>
  <c r="JU18" i="8"/>
  <c r="JV18" i="8" s="1"/>
  <c r="JP18" i="8"/>
  <c r="JQ18" i="8" s="1"/>
  <c r="JI18" i="8"/>
  <c r="JJ18" i="8" s="1"/>
  <c r="JC18" i="8"/>
  <c r="JD18" i="8" s="1"/>
  <c r="IX18" i="8"/>
  <c r="IY18" i="8" s="1"/>
  <c r="IQ18" i="8"/>
  <c r="IR18" i="8" s="1"/>
  <c r="IK18" i="8"/>
  <c r="IL18" i="8" s="1"/>
  <c r="IF18" i="8"/>
  <c r="IG18" i="8" s="1"/>
  <c r="HY18" i="8"/>
  <c r="HZ18" i="8" s="1"/>
  <c r="HS18" i="8"/>
  <c r="HT18" i="8" s="1"/>
  <c r="HN18" i="8"/>
  <c r="HO18" i="8" s="1"/>
  <c r="HG18" i="8"/>
  <c r="HH18" i="8" s="1"/>
  <c r="HA18" i="8"/>
  <c r="HB18" i="8" s="1"/>
  <c r="GV18" i="8"/>
  <c r="GW18" i="8" s="1"/>
  <c r="GO18" i="8"/>
  <c r="GI18" i="8"/>
  <c r="GJ18" i="8" s="1"/>
  <c r="GD18" i="8"/>
  <c r="GE18" i="8" s="1"/>
  <c r="FW18" i="8"/>
  <c r="FX18" i="8" s="1"/>
  <c r="FQ18" i="8"/>
  <c r="FR18" i="8" s="1"/>
  <c r="FL18" i="8"/>
  <c r="FM18" i="8" s="1"/>
  <c r="FE18" i="8"/>
  <c r="FF18" i="8" s="1"/>
  <c r="EY18" i="8"/>
  <c r="EZ18" i="8" s="1"/>
  <c r="ET18" i="8"/>
  <c r="EU18" i="8" s="1"/>
  <c r="EM18" i="8"/>
  <c r="EN18" i="8" s="1"/>
  <c r="EG18" i="8"/>
  <c r="EH18" i="8" s="1"/>
  <c r="EB18" i="8"/>
  <c r="EC18" i="8" s="1"/>
  <c r="DU18" i="8"/>
  <c r="DV18" i="8" s="1"/>
  <c r="DO18" i="8"/>
  <c r="DP18" i="8" s="1"/>
  <c r="DJ18" i="8"/>
  <c r="DC18" i="8"/>
  <c r="DD18" i="8" s="1"/>
  <c r="CW18" i="8"/>
  <c r="CX18" i="8" s="1"/>
  <c r="CR18" i="8"/>
  <c r="CS18" i="8" s="1"/>
  <c r="CK18" i="8"/>
  <c r="CL18" i="8" s="1"/>
  <c r="CE18" i="8"/>
  <c r="CF18" i="8" s="1"/>
  <c r="BZ18" i="8"/>
  <c r="CA18" i="8" s="1"/>
  <c r="BS18" i="8"/>
  <c r="BT18" i="8" s="1"/>
  <c r="BM18" i="8"/>
  <c r="BN18" i="8" s="1"/>
  <c r="BH18" i="8"/>
  <c r="BA18" i="8"/>
  <c r="BB18" i="8" s="1"/>
  <c r="AU18" i="8"/>
  <c r="AP18" i="8"/>
  <c r="AQ18" i="8" s="1"/>
  <c r="AI18" i="8"/>
  <c r="AJ18" i="8" s="1"/>
  <c r="AC18" i="8"/>
  <c r="AD18" i="8" s="1"/>
  <c r="X18" i="8"/>
  <c r="Q18" i="8"/>
  <c r="R18" i="8" s="1"/>
  <c r="K18" i="8"/>
  <c r="F18" i="8"/>
  <c r="G18" i="8" s="1"/>
  <c r="TQ17" i="8"/>
  <c r="TL17" i="8"/>
  <c r="TM17" i="8" s="1"/>
  <c r="TG17" i="8"/>
  <c r="SZ17" i="8"/>
  <c r="TA17" i="8" s="1"/>
  <c r="SU17" i="8"/>
  <c r="SP17" i="8"/>
  <c r="SQ17" i="8" s="1"/>
  <c r="SI17" i="8"/>
  <c r="SJ17" i="8" s="1"/>
  <c r="SC17" i="8"/>
  <c r="SD17" i="8" s="1"/>
  <c r="RX17" i="8"/>
  <c r="RQ17" i="8"/>
  <c r="RR17" i="8" s="1"/>
  <c r="RK17" i="8"/>
  <c r="RL17" i="8" s="1"/>
  <c r="RF17" i="8"/>
  <c r="QY17" i="8"/>
  <c r="QZ17" i="8" s="1"/>
  <c r="QS17" i="8"/>
  <c r="QT17" i="8" s="1"/>
  <c r="QN17" i="8"/>
  <c r="QG17" i="8"/>
  <c r="QH17" i="8" s="1"/>
  <c r="QA17" i="8"/>
  <c r="QB17" i="8" s="1"/>
  <c r="PV17" i="8"/>
  <c r="PO17" i="8"/>
  <c r="PP17" i="8" s="1"/>
  <c r="PI17" i="8"/>
  <c r="PJ17" i="8" s="1"/>
  <c r="PD17" i="8"/>
  <c r="PE17" i="8" s="1"/>
  <c r="OW17" i="8"/>
  <c r="OX17" i="8" s="1"/>
  <c r="OQ17" i="8"/>
  <c r="OR17" i="8" s="1"/>
  <c r="OL17" i="8"/>
  <c r="OM17" i="8" s="1"/>
  <c r="OE17" i="8"/>
  <c r="OF17" i="8" s="1"/>
  <c r="NY17" i="8"/>
  <c r="NZ17" i="8" s="1"/>
  <c r="NT17" i="8"/>
  <c r="NU17" i="8" s="1"/>
  <c r="NM17" i="8"/>
  <c r="NG17" i="8"/>
  <c r="NH17" i="8" s="1"/>
  <c r="NB17" i="8"/>
  <c r="NC17" i="8" s="1"/>
  <c r="MU17" i="8"/>
  <c r="MV17" i="8" s="1"/>
  <c r="MO17" i="8"/>
  <c r="MP17" i="8" s="1"/>
  <c r="MJ17" i="8"/>
  <c r="MK17" i="8" s="1"/>
  <c r="MC17" i="8"/>
  <c r="MD17" i="8" s="1"/>
  <c r="LW17" i="8"/>
  <c r="LX17" i="8" s="1"/>
  <c r="LR17" i="8"/>
  <c r="LS17" i="8" s="1"/>
  <c r="LK17" i="8"/>
  <c r="LL17" i="8" s="1"/>
  <c r="LE17" i="8"/>
  <c r="LF17" i="8" s="1"/>
  <c r="KZ17" i="8"/>
  <c r="LA17" i="8" s="1"/>
  <c r="KS17" i="8"/>
  <c r="KM17" i="8"/>
  <c r="KN17" i="8" s="1"/>
  <c r="KH17" i="8"/>
  <c r="KI17" i="8" s="1"/>
  <c r="KA17" i="8"/>
  <c r="KB17" i="8" s="1"/>
  <c r="JU17" i="8"/>
  <c r="JV17" i="8" s="1"/>
  <c r="JP17" i="8"/>
  <c r="JQ17" i="8" s="1"/>
  <c r="JI17" i="8"/>
  <c r="JJ17" i="8" s="1"/>
  <c r="JC17" i="8"/>
  <c r="JD17" i="8" s="1"/>
  <c r="IX17" i="8"/>
  <c r="IY17" i="8" s="1"/>
  <c r="IQ17" i="8"/>
  <c r="IR17" i="8" s="1"/>
  <c r="IK17" i="8"/>
  <c r="IL17" i="8" s="1"/>
  <c r="IF17" i="8"/>
  <c r="IG17" i="8" s="1"/>
  <c r="HY17" i="8"/>
  <c r="HS17" i="8"/>
  <c r="HT17" i="8" s="1"/>
  <c r="HN17" i="8"/>
  <c r="HO17" i="8" s="1"/>
  <c r="HG17" i="8"/>
  <c r="HH17" i="8" s="1"/>
  <c r="HA17" i="8"/>
  <c r="HB17" i="8" s="1"/>
  <c r="GV17" i="8"/>
  <c r="GW17" i="8" s="1"/>
  <c r="GO17" i="8"/>
  <c r="GP17" i="8" s="1"/>
  <c r="GI17" i="8"/>
  <c r="GJ17" i="8" s="1"/>
  <c r="GD17" i="8"/>
  <c r="GE17" i="8" s="1"/>
  <c r="FW17" i="8"/>
  <c r="FX17" i="8" s="1"/>
  <c r="FQ17" i="8"/>
  <c r="FR17" i="8" s="1"/>
  <c r="FL17" i="8"/>
  <c r="FM17" i="8" s="1"/>
  <c r="FE17" i="8"/>
  <c r="FF17" i="8" s="1"/>
  <c r="EY17" i="8"/>
  <c r="EZ17" i="8" s="1"/>
  <c r="ET17" i="8"/>
  <c r="EU17" i="8" s="1"/>
  <c r="EM17" i="8"/>
  <c r="EN17" i="8" s="1"/>
  <c r="EG17" i="8"/>
  <c r="EH17" i="8" s="1"/>
  <c r="EB17" i="8"/>
  <c r="EC17" i="8" s="1"/>
  <c r="DU17" i="8"/>
  <c r="DV17" i="8" s="1"/>
  <c r="DO17" i="8"/>
  <c r="DP17" i="8" s="1"/>
  <c r="DJ17" i="8"/>
  <c r="DK17" i="8" s="1"/>
  <c r="DC17" i="8"/>
  <c r="DD17" i="8" s="1"/>
  <c r="CW17" i="8"/>
  <c r="CX17" i="8" s="1"/>
  <c r="CR17" i="8"/>
  <c r="CS17" i="8" s="1"/>
  <c r="CK17" i="8"/>
  <c r="CE17" i="8"/>
  <c r="CF17" i="8" s="1"/>
  <c r="BZ17" i="8"/>
  <c r="CA17" i="8" s="1"/>
  <c r="BS17" i="8"/>
  <c r="BT17" i="8" s="1"/>
  <c r="BM17" i="8"/>
  <c r="BN17" i="8" s="1"/>
  <c r="BH17" i="8"/>
  <c r="BI17" i="8" s="1"/>
  <c r="BA17" i="8"/>
  <c r="BB17" i="8" s="1"/>
  <c r="AU17" i="8"/>
  <c r="AV17" i="8" s="1"/>
  <c r="AP17" i="8"/>
  <c r="AQ17" i="8" s="1"/>
  <c r="AI17" i="8"/>
  <c r="AJ17" i="8" s="1"/>
  <c r="AC17" i="8"/>
  <c r="AD17" i="8" s="1"/>
  <c r="X17" i="8"/>
  <c r="Y17" i="8" s="1"/>
  <c r="Q17" i="8"/>
  <c r="K17" i="8"/>
  <c r="L17" i="8" s="1"/>
  <c r="F17" i="8"/>
  <c r="G17" i="8" s="1"/>
  <c r="TQ15" i="8"/>
  <c r="TR15" i="8" s="1"/>
  <c r="TL15" i="8"/>
  <c r="TM15" i="8" s="1"/>
  <c r="TG15" i="8"/>
  <c r="TH15" i="8" s="1"/>
  <c r="SZ15" i="8"/>
  <c r="TA15" i="8" s="1"/>
  <c r="SU15" i="8"/>
  <c r="SV15" i="8" s="1"/>
  <c r="SP15" i="8"/>
  <c r="SQ15" i="8" s="1"/>
  <c r="SI15" i="8"/>
  <c r="SJ15" i="8" s="1"/>
  <c r="SC15" i="8"/>
  <c r="SD15" i="8" s="1"/>
  <c r="RX15" i="8"/>
  <c r="RY15" i="8" s="1"/>
  <c r="RQ15" i="8"/>
  <c r="RK15" i="8"/>
  <c r="RL15" i="8" s="1"/>
  <c r="RF15" i="8"/>
  <c r="RG15" i="8" s="1"/>
  <c r="QY15" i="8"/>
  <c r="QZ15" i="8" s="1"/>
  <c r="QS15" i="8"/>
  <c r="QT15" i="8" s="1"/>
  <c r="QN15" i="8"/>
  <c r="QO15" i="8" s="1"/>
  <c r="QG15" i="8"/>
  <c r="QH15" i="8" s="1"/>
  <c r="QA15" i="8"/>
  <c r="QB15" i="8" s="1"/>
  <c r="PV15" i="8"/>
  <c r="PW15" i="8" s="1"/>
  <c r="PO15" i="8"/>
  <c r="PP15" i="8" s="1"/>
  <c r="PI15" i="8"/>
  <c r="PJ15" i="8" s="1"/>
  <c r="PD15" i="8"/>
  <c r="PE15" i="8" s="1"/>
  <c r="OW15" i="8"/>
  <c r="OX15" i="8" s="1"/>
  <c r="OQ15" i="8"/>
  <c r="OR15" i="8" s="1"/>
  <c r="OL15" i="8"/>
  <c r="OM15" i="8" s="1"/>
  <c r="OE15" i="8"/>
  <c r="OF15" i="8" s="1"/>
  <c r="NY15" i="8"/>
  <c r="NZ15" i="8" s="1"/>
  <c r="NT15" i="8"/>
  <c r="NU15" i="8" s="1"/>
  <c r="NM15" i="8"/>
  <c r="NN15" i="8" s="1"/>
  <c r="NG15" i="8"/>
  <c r="NH15" i="8" s="1"/>
  <c r="NB15" i="8"/>
  <c r="NC15" i="8" s="1"/>
  <c r="MU15" i="8"/>
  <c r="MV15" i="8" s="1"/>
  <c r="MO15" i="8"/>
  <c r="MP15" i="8" s="1"/>
  <c r="MJ15" i="8"/>
  <c r="MK15" i="8" s="1"/>
  <c r="MC15" i="8"/>
  <c r="MD15" i="8" s="1"/>
  <c r="LW15" i="8"/>
  <c r="LX15" i="8" s="1"/>
  <c r="LR15" i="8"/>
  <c r="LS15" i="8" s="1"/>
  <c r="LK15" i="8"/>
  <c r="LL15" i="8" s="1"/>
  <c r="LE15" i="8"/>
  <c r="LF15" i="8" s="1"/>
  <c r="KZ15" i="8"/>
  <c r="LA15" i="8" s="1"/>
  <c r="KS15" i="8"/>
  <c r="KT15" i="8" s="1"/>
  <c r="KM15" i="8"/>
  <c r="KN15" i="8" s="1"/>
  <c r="KH15" i="8"/>
  <c r="KI15" i="8" s="1"/>
  <c r="KA15" i="8"/>
  <c r="JU15" i="8"/>
  <c r="JV15" i="8" s="1"/>
  <c r="JP15" i="8"/>
  <c r="JQ15" i="8" s="1"/>
  <c r="JI15" i="8"/>
  <c r="JJ15" i="8" s="1"/>
  <c r="JC15" i="8"/>
  <c r="JD15" i="8" s="1"/>
  <c r="IX15" i="8"/>
  <c r="IY15" i="8" s="1"/>
  <c r="IQ15" i="8"/>
  <c r="IR15" i="8" s="1"/>
  <c r="IK15" i="8"/>
  <c r="IL15" i="8" s="1"/>
  <c r="IF15" i="8"/>
  <c r="IG15" i="8" s="1"/>
  <c r="HY15" i="8"/>
  <c r="HZ15" i="8" s="1"/>
  <c r="HS15" i="8"/>
  <c r="HT15" i="8" s="1"/>
  <c r="HN15" i="8"/>
  <c r="HO15" i="8" s="1"/>
  <c r="HG15" i="8"/>
  <c r="HA15" i="8"/>
  <c r="HB15" i="8" s="1"/>
  <c r="GV15" i="8"/>
  <c r="GW15" i="8" s="1"/>
  <c r="GO15" i="8"/>
  <c r="GP15" i="8" s="1"/>
  <c r="GI15" i="8"/>
  <c r="GJ15" i="8" s="1"/>
  <c r="GD15" i="8"/>
  <c r="GE15" i="8" s="1"/>
  <c r="FW15" i="8"/>
  <c r="FX15" i="8" s="1"/>
  <c r="FQ15" i="8"/>
  <c r="FR15" i="8" s="1"/>
  <c r="FL15" i="8"/>
  <c r="FM15" i="8" s="1"/>
  <c r="FE15" i="8"/>
  <c r="FF15" i="8" s="1"/>
  <c r="EY15" i="8"/>
  <c r="EZ15" i="8" s="1"/>
  <c r="ET15" i="8"/>
  <c r="EU15" i="8" s="1"/>
  <c r="EM15" i="8"/>
  <c r="EN15" i="8" s="1"/>
  <c r="EG15" i="8"/>
  <c r="EH15" i="8" s="1"/>
  <c r="EB15" i="8"/>
  <c r="EC15" i="8" s="1"/>
  <c r="DU15" i="8"/>
  <c r="DV15" i="8" s="1"/>
  <c r="DO15" i="8"/>
  <c r="DP15" i="8" s="1"/>
  <c r="DJ15" i="8"/>
  <c r="DK15" i="8" s="1"/>
  <c r="DC15" i="8"/>
  <c r="DD15" i="8" s="1"/>
  <c r="CW15" i="8"/>
  <c r="CX15" i="8" s="1"/>
  <c r="CR15" i="8"/>
  <c r="CS15" i="8" s="1"/>
  <c r="CK15" i="8"/>
  <c r="CL15" i="8" s="1"/>
  <c r="CE15" i="8"/>
  <c r="CF15" i="8" s="1"/>
  <c r="BZ15" i="8"/>
  <c r="CA15" i="8" s="1"/>
  <c r="BS15" i="8"/>
  <c r="BM15" i="8"/>
  <c r="BN15" i="8" s="1"/>
  <c r="BH15" i="8"/>
  <c r="BI15" i="8" s="1"/>
  <c r="BA15" i="8"/>
  <c r="BB15" i="8" s="1"/>
  <c r="AU15" i="8"/>
  <c r="AV15" i="8" s="1"/>
  <c r="AP15" i="8"/>
  <c r="AQ15" i="8" s="1"/>
  <c r="AI15" i="8"/>
  <c r="AJ15" i="8" s="1"/>
  <c r="AC15" i="8"/>
  <c r="AD15" i="8" s="1"/>
  <c r="X15" i="8"/>
  <c r="Y15" i="8" s="1"/>
  <c r="Q15" i="8"/>
  <c r="R15" i="8" s="1"/>
  <c r="K15" i="8"/>
  <c r="L15" i="8" s="1"/>
  <c r="F15" i="8"/>
  <c r="G15" i="8" s="1"/>
  <c r="TQ14" i="8"/>
  <c r="TR14" i="8" s="1"/>
  <c r="TL14" i="8"/>
  <c r="TM14" i="8" s="1"/>
  <c r="TG14" i="8"/>
  <c r="TH14" i="8" s="1"/>
  <c r="SZ14" i="8"/>
  <c r="TA14" i="8" s="1"/>
  <c r="SU14" i="8"/>
  <c r="SV14" i="8" s="1"/>
  <c r="SP14" i="8"/>
  <c r="SQ14" i="8" s="1"/>
  <c r="SI14" i="8"/>
  <c r="SJ14" i="8" s="1"/>
  <c r="SC14" i="8"/>
  <c r="SD14" i="8" s="1"/>
  <c r="RX14" i="8"/>
  <c r="RY14" i="8" s="1"/>
  <c r="RQ14" i="8"/>
  <c r="RR14" i="8" s="1"/>
  <c r="RK14" i="8"/>
  <c r="RL14" i="8" s="1"/>
  <c r="RF14" i="8"/>
  <c r="RG14" i="8" s="1"/>
  <c r="QY14" i="8"/>
  <c r="QZ14" i="8" s="1"/>
  <c r="QS14" i="8"/>
  <c r="QT14" i="8" s="1"/>
  <c r="QN14" i="8"/>
  <c r="QO14" i="8" s="1"/>
  <c r="QG14" i="8"/>
  <c r="QA14" i="8"/>
  <c r="QB14" i="8" s="1"/>
  <c r="PV14" i="8"/>
  <c r="PW14" i="8" s="1"/>
  <c r="PO14" i="8"/>
  <c r="PP14" i="8" s="1"/>
  <c r="PI14" i="8"/>
  <c r="PJ14" i="8" s="1"/>
  <c r="PD14" i="8"/>
  <c r="PE14" i="8" s="1"/>
  <c r="OW14" i="8"/>
  <c r="OX14" i="8" s="1"/>
  <c r="OQ14" i="8"/>
  <c r="OR14" i="8" s="1"/>
  <c r="OL14" i="8"/>
  <c r="OM14" i="8" s="1"/>
  <c r="OE14" i="8"/>
  <c r="OF14" i="8" s="1"/>
  <c r="NY14" i="8"/>
  <c r="NZ14" i="8" s="1"/>
  <c r="NT14" i="8"/>
  <c r="NU14" i="8" s="1"/>
  <c r="NM14" i="8"/>
  <c r="NG14" i="8"/>
  <c r="NH14" i="8" s="1"/>
  <c r="NB14" i="8"/>
  <c r="NC14" i="8" s="1"/>
  <c r="MU14" i="8"/>
  <c r="MV14" i="8" s="1"/>
  <c r="MO14" i="8"/>
  <c r="MP14" i="8" s="1"/>
  <c r="MJ14" i="8"/>
  <c r="MK14" i="8" s="1"/>
  <c r="MC14" i="8"/>
  <c r="MD14" i="8" s="1"/>
  <c r="LW14" i="8"/>
  <c r="LX14" i="8" s="1"/>
  <c r="LR14" i="8"/>
  <c r="LS14" i="8" s="1"/>
  <c r="LK14" i="8"/>
  <c r="LL14" i="8" s="1"/>
  <c r="LE14" i="8"/>
  <c r="LF14" i="8" s="1"/>
  <c r="KZ14" i="8"/>
  <c r="LA14" i="8" s="1"/>
  <c r="KS14" i="8"/>
  <c r="KT14" i="8" s="1"/>
  <c r="KM14" i="8"/>
  <c r="KN14" i="8" s="1"/>
  <c r="KH14" i="8"/>
  <c r="KI14" i="8" s="1"/>
  <c r="KA14" i="8"/>
  <c r="KB14" i="8" s="1"/>
  <c r="JU14" i="8"/>
  <c r="JV14" i="8" s="1"/>
  <c r="JP14" i="8"/>
  <c r="JQ14" i="8" s="1"/>
  <c r="JI14" i="8"/>
  <c r="JJ14" i="8" s="1"/>
  <c r="JC14" i="8"/>
  <c r="JD14" i="8" s="1"/>
  <c r="IX14" i="8"/>
  <c r="IY14" i="8" s="1"/>
  <c r="IQ14" i="8"/>
  <c r="IR14" i="8" s="1"/>
  <c r="IK14" i="8"/>
  <c r="IL14" i="8" s="1"/>
  <c r="IF14" i="8"/>
  <c r="IG14" i="8" s="1"/>
  <c r="HY14" i="8"/>
  <c r="HS14" i="8"/>
  <c r="HT14" i="8" s="1"/>
  <c r="HN14" i="8"/>
  <c r="HO14" i="8" s="1"/>
  <c r="HG14" i="8"/>
  <c r="HH14" i="8" s="1"/>
  <c r="HA14" i="8"/>
  <c r="HB14" i="8" s="1"/>
  <c r="GV14" i="8"/>
  <c r="GW14" i="8" s="1"/>
  <c r="GO14" i="8"/>
  <c r="GP14" i="8" s="1"/>
  <c r="GI14" i="8"/>
  <c r="GJ14" i="8" s="1"/>
  <c r="GD14" i="8"/>
  <c r="GE14" i="8" s="1"/>
  <c r="FW14" i="8"/>
  <c r="FQ14" i="8"/>
  <c r="FR14" i="8" s="1"/>
  <c r="FL14" i="8"/>
  <c r="FM14" i="8" s="1"/>
  <c r="FE14" i="8"/>
  <c r="FF14" i="8" s="1"/>
  <c r="EY14" i="8"/>
  <c r="EZ14" i="8" s="1"/>
  <c r="ET14" i="8"/>
  <c r="EU14" i="8" s="1"/>
  <c r="EM14" i="8"/>
  <c r="EN14" i="8" s="1"/>
  <c r="EG14" i="8"/>
  <c r="EB14" i="8"/>
  <c r="EC14" i="8" s="1"/>
  <c r="DU14" i="8"/>
  <c r="DV14" i="8" s="1"/>
  <c r="DO14" i="8"/>
  <c r="DP14" i="8" s="1"/>
  <c r="DJ14" i="8"/>
  <c r="DK14" i="8" s="1"/>
  <c r="DC14" i="8"/>
  <c r="DD14" i="8" s="1"/>
  <c r="CW14" i="8"/>
  <c r="CX14" i="8" s="1"/>
  <c r="CR14" i="8"/>
  <c r="CS14" i="8" s="1"/>
  <c r="CK14" i="8"/>
  <c r="CL14" i="8" s="1"/>
  <c r="CE14" i="8"/>
  <c r="CF14" i="8" s="1"/>
  <c r="BZ14" i="8"/>
  <c r="CA14" i="8" s="1"/>
  <c r="BS14" i="8"/>
  <c r="BT14" i="8" s="1"/>
  <c r="BM14" i="8"/>
  <c r="BN14" i="8" s="1"/>
  <c r="BH14" i="8"/>
  <c r="BI14" i="8" s="1"/>
  <c r="BA14" i="8"/>
  <c r="BB14" i="8" s="1"/>
  <c r="AU14" i="8"/>
  <c r="AV14" i="8" s="1"/>
  <c r="AP14" i="8"/>
  <c r="AQ14" i="8" s="1"/>
  <c r="AI14" i="8"/>
  <c r="AJ14" i="8" s="1"/>
  <c r="AC14" i="8"/>
  <c r="AD14" i="8" s="1"/>
  <c r="X14" i="8"/>
  <c r="Y14" i="8" s="1"/>
  <c r="Q14" i="8"/>
  <c r="R14" i="8" s="1"/>
  <c r="K14" i="8"/>
  <c r="L14" i="8" s="1"/>
  <c r="F14" i="8"/>
  <c r="G14" i="8" s="1"/>
  <c r="TQ12" i="8"/>
  <c r="TR12" i="8" s="1"/>
  <c r="TL12" i="8"/>
  <c r="TM12" i="8" s="1"/>
  <c r="TG12" i="8"/>
  <c r="TH12" i="8" s="1"/>
  <c r="SZ12" i="8"/>
  <c r="TA12" i="8" s="1"/>
  <c r="SU12" i="8"/>
  <c r="SV12" i="8" s="1"/>
  <c r="SP12" i="8"/>
  <c r="SQ12" i="8" s="1"/>
  <c r="SI12" i="8"/>
  <c r="SJ12" i="8" s="1"/>
  <c r="SC12" i="8"/>
  <c r="SD12" i="8" s="1"/>
  <c r="RX12" i="8"/>
  <c r="RY12" i="8" s="1"/>
  <c r="RQ12" i="8"/>
  <c r="RR12" i="8" s="1"/>
  <c r="RK12" i="8"/>
  <c r="RL12" i="8" s="1"/>
  <c r="RF12" i="8"/>
  <c r="RG12" i="8" s="1"/>
  <c r="QY12" i="8"/>
  <c r="QZ12" i="8" s="1"/>
  <c r="QS12" i="8"/>
  <c r="QT12" i="8" s="1"/>
  <c r="QN12" i="8"/>
  <c r="QO12" i="8" s="1"/>
  <c r="QG12" i="8"/>
  <c r="QH12" i="8" s="1"/>
  <c r="QA12" i="8"/>
  <c r="QB12" i="8" s="1"/>
  <c r="PV12" i="8"/>
  <c r="PW12" i="8" s="1"/>
  <c r="PO12" i="8"/>
  <c r="PP12" i="8" s="1"/>
  <c r="PI12" i="8"/>
  <c r="PJ12" i="8" s="1"/>
  <c r="PD12" i="8"/>
  <c r="PE12" i="8" s="1"/>
  <c r="OW12" i="8"/>
  <c r="OX12" i="8" s="1"/>
  <c r="OQ12" i="8"/>
  <c r="OR12" i="8" s="1"/>
  <c r="OL12" i="8"/>
  <c r="OM12" i="8" s="1"/>
  <c r="OE12" i="8"/>
  <c r="OF12" i="8" s="1"/>
  <c r="NY12" i="8"/>
  <c r="NZ12" i="8" s="1"/>
  <c r="NT12" i="8"/>
  <c r="NU12" i="8" s="1"/>
  <c r="NM12" i="8"/>
  <c r="NN12" i="8" s="1"/>
  <c r="NG12" i="8"/>
  <c r="NH12" i="8" s="1"/>
  <c r="NB12" i="8"/>
  <c r="NC12" i="8" s="1"/>
  <c r="MU12" i="8"/>
  <c r="MV12" i="8" s="1"/>
  <c r="MO12" i="8"/>
  <c r="MP12" i="8" s="1"/>
  <c r="MJ12" i="8"/>
  <c r="MK12" i="8" s="1"/>
  <c r="MC12" i="8"/>
  <c r="MD12" i="8" s="1"/>
  <c r="LW12" i="8"/>
  <c r="LX12" i="8" s="1"/>
  <c r="LR12" i="8"/>
  <c r="LS12" i="8" s="1"/>
  <c r="LK12" i="8"/>
  <c r="LL12" i="8" s="1"/>
  <c r="LE12" i="8"/>
  <c r="LF12" i="8" s="1"/>
  <c r="KZ12" i="8"/>
  <c r="LA12" i="8" s="1"/>
  <c r="KS12" i="8"/>
  <c r="KT12" i="8" s="1"/>
  <c r="KM12" i="8"/>
  <c r="KN12" i="8" s="1"/>
  <c r="KH12" i="8"/>
  <c r="KA12" i="8"/>
  <c r="KB12" i="8" s="1"/>
  <c r="JU12" i="8"/>
  <c r="JV12" i="8" s="1"/>
  <c r="JP12" i="8"/>
  <c r="JQ12" i="8" s="1"/>
  <c r="JI12" i="8"/>
  <c r="JJ12" i="8" s="1"/>
  <c r="JC12" i="8"/>
  <c r="JD12" i="8" s="1"/>
  <c r="IX12" i="8"/>
  <c r="IY12" i="8" s="1"/>
  <c r="IQ12" i="8"/>
  <c r="IR12" i="8" s="1"/>
  <c r="IK12" i="8"/>
  <c r="IL12" i="8" s="1"/>
  <c r="IF12" i="8"/>
  <c r="IG12" i="8" s="1"/>
  <c r="HY12" i="8"/>
  <c r="HZ12" i="8" s="1"/>
  <c r="HS12" i="8"/>
  <c r="HT12" i="8" s="1"/>
  <c r="HN12" i="8"/>
  <c r="HO12" i="8" s="1"/>
  <c r="HG12" i="8"/>
  <c r="HH12" i="8" s="1"/>
  <c r="HA12" i="8"/>
  <c r="HB12" i="8" s="1"/>
  <c r="GV12" i="8"/>
  <c r="GW12" i="8" s="1"/>
  <c r="GO12" i="8"/>
  <c r="GP12" i="8" s="1"/>
  <c r="GI12" i="8"/>
  <c r="GJ12" i="8" s="1"/>
  <c r="GD12" i="8"/>
  <c r="FW12" i="8"/>
  <c r="FX12" i="8" s="1"/>
  <c r="FQ12" i="8"/>
  <c r="FR12" i="8" s="1"/>
  <c r="FL12" i="8"/>
  <c r="FE12" i="8"/>
  <c r="FF12" i="8" s="1"/>
  <c r="EY12" i="8"/>
  <c r="EZ12" i="8" s="1"/>
  <c r="ET12" i="8"/>
  <c r="EM12" i="8"/>
  <c r="EN12" i="8" s="1"/>
  <c r="EG12" i="8"/>
  <c r="EH12" i="8" s="1"/>
  <c r="EB12" i="8"/>
  <c r="DU12" i="8"/>
  <c r="DV12" i="8" s="1"/>
  <c r="DO12" i="8"/>
  <c r="DP12" i="8" s="1"/>
  <c r="DJ12" i="8"/>
  <c r="DC12" i="8"/>
  <c r="DD12" i="8" s="1"/>
  <c r="CW12" i="8"/>
  <c r="CX12" i="8" s="1"/>
  <c r="CR12" i="8"/>
  <c r="CK12" i="8"/>
  <c r="CL12" i="8" s="1"/>
  <c r="CE12" i="8"/>
  <c r="CF12" i="8" s="1"/>
  <c r="BZ12" i="8"/>
  <c r="BS12" i="8"/>
  <c r="BT12" i="8" s="1"/>
  <c r="BM12" i="8"/>
  <c r="BN12" i="8" s="1"/>
  <c r="BH12" i="8"/>
  <c r="BA12" i="8"/>
  <c r="BB12" i="8" s="1"/>
  <c r="AU12" i="8"/>
  <c r="AV12" i="8" s="1"/>
  <c r="AP12" i="8"/>
  <c r="AI12" i="8"/>
  <c r="AJ12" i="8" s="1"/>
  <c r="AC12" i="8"/>
  <c r="AD12" i="8" s="1"/>
  <c r="X12" i="8"/>
  <c r="Q12" i="8"/>
  <c r="R12" i="8" s="1"/>
  <c r="K12" i="8"/>
  <c r="L12" i="8" s="1"/>
  <c r="F12" i="8"/>
  <c r="TQ11" i="8"/>
  <c r="TR11" i="8" s="1"/>
  <c r="TL11" i="8"/>
  <c r="TM11" i="8" s="1"/>
  <c r="TG11" i="8"/>
  <c r="SZ11" i="8"/>
  <c r="TA11" i="8" s="1"/>
  <c r="SU11" i="8"/>
  <c r="SV11" i="8" s="1"/>
  <c r="SP11" i="8"/>
  <c r="SI11" i="8"/>
  <c r="SJ11" i="8" s="1"/>
  <c r="SC11" i="8"/>
  <c r="SD11" i="8" s="1"/>
  <c r="RX11" i="8"/>
  <c r="RQ11" i="8"/>
  <c r="RR11" i="8" s="1"/>
  <c r="RK11" i="8"/>
  <c r="RL11" i="8" s="1"/>
  <c r="RF11" i="8"/>
  <c r="QY11" i="8"/>
  <c r="QZ11" i="8" s="1"/>
  <c r="QS11" i="8"/>
  <c r="QT11" i="8" s="1"/>
  <c r="QN11" i="8"/>
  <c r="QG11" i="8"/>
  <c r="QH11" i="8" s="1"/>
  <c r="QA11" i="8"/>
  <c r="QB11" i="8" s="1"/>
  <c r="PV11" i="8"/>
  <c r="PO11" i="8"/>
  <c r="PP11" i="8" s="1"/>
  <c r="PI11" i="8"/>
  <c r="PJ11" i="8" s="1"/>
  <c r="PD11" i="8"/>
  <c r="OW11" i="8"/>
  <c r="OX11" i="8" s="1"/>
  <c r="OQ11" i="8"/>
  <c r="OR11" i="8" s="1"/>
  <c r="OL11" i="8"/>
  <c r="OE11" i="8"/>
  <c r="OF11" i="8" s="1"/>
  <c r="NY11" i="8"/>
  <c r="NZ11" i="8" s="1"/>
  <c r="NT11" i="8"/>
  <c r="NM11" i="8"/>
  <c r="NN11" i="8" s="1"/>
  <c r="NG11" i="8"/>
  <c r="NH11" i="8" s="1"/>
  <c r="NB11" i="8"/>
  <c r="MU11" i="8"/>
  <c r="MV11" i="8" s="1"/>
  <c r="MO11" i="8"/>
  <c r="MP11" i="8" s="1"/>
  <c r="MJ11" i="8"/>
  <c r="MC11" i="8"/>
  <c r="MD11" i="8" s="1"/>
  <c r="LW11" i="8"/>
  <c r="LX11" i="8" s="1"/>
  <c r="LR11" i="8"/>
  <c r="LK11" i="8"/>
  <c r="LL11" i="8" s="1"/>
  <c r="LE11" i="8"/>
  <c r="LF11" i="8" s="1"/>
  <c r="KZ11" i="8"/>
  <c r="KS11" i="8"/>
  <c r="KT11" i="8" s="1"/>
  <c r="KM11" i="8"/>
  <c r="KN11" i="8" s="1"/>
  <c r="KH11" i="8"/>
  <c r="KA11" i="8"/>
  <c r="KB11" i="8" s="1"/>
  <c r="JU11" i="8"/>
  <c r="JV11" i="8" s="1"/>
  <c r="JP11" i="8"/>
  <c r="JI11" i="8"/>
  <c r="JJ11" i="8" s="1"/>
  <c r="JC11" i="8"/>
  <c r="JD11" i="8" s="1"/>
  <c r="IX11" i="8"/>
  <c r="IQ11" i="8"/>
  <c r="IR11" i="8" s="1"/>
  <c r="IK11" i="8"/>
  <c r="IL11" i="8" s="1"/>
  <c r="IF11" i="8"/>
  <c r="HY11" i="8"/>
  <c r="HZ11" i="8" s="1"/>
  <c r="HS11" i="8"/>
  <c r="HT11" i="8" s="1"/>
  <c r="HN11" i="8"/>
  <c r="HG11" i="8"/>
  <c r="HH11" i="8" s="1"/>
  <c r="HA11" i="8"/>
  <c r="HB11" i="8" s="1"/>
  <c r="GV11" i="8"/>
  <c r="GO11" i="8"/>
  <c r="GP11" i="8" s="1"/>
  <c r="GI11" i="8"/>
  <c r="GJ11" i="8" s="1"/>
  <c r="GD11" i="8"/>
  <c r="FW11" i="8"/>
  <c r="FX11" i="8" s="1"/>
  <c r="FQ11" i="8"/>
  <c r="FR11" i="8" s="1"/>
  <c r="FL11" i="8"/>
  <c r="FE11" i="8"/>
  <c r="FF11" i="8" s="1"/>
  <c r="EY11" i="8"/>
  <c r="EZ11" i="8" s="1"/>
  <c r="ET11" i="8"/>
  <c r="EM11" i="8"/>
  <c r="EN11" i="8" s="1"/>
  <c r="EG11" i="8"/>
  <c r="EH11" i="8" s="1"/>
  <c r="EB11" i="8"/>
  <c r="DU11" i="8"/>
  <c r="DV11" i="8" s="1"/>
  <c r="DO11" i="8"/>
  <c r="DP11" i="8" s="1"/>
  <c r="DJ11" i="8"/>
  <c r="DC11" i="8"/>
  <c r="DD11" i="8" s="1"/>
  <c r="CW11" i="8"/>
  <c r="CX11" i="8" s="1"/>
  <c r="CR11" i="8"/>
  <c r="CK11" i="8"/>
  <c r="CL11" i="8" s="1"/>
  <c r="CE11" i="8"/>
  <c r="CF11" i="8" s="1"/>
  <c r="BZ11" i="8"/>
  <c r="BS11" i="8"/>
  <c r="BT11" i="8" s="1"/>
  <c r="BM11" i="8"/>
  <c r="BN11" i="8" s="1"/>
  <c r="BH11" i="8"/>
  <c r="BA11" i="8"/>
  <c r="BB11" i="8" s="1"/>
  <c r="AU11" i="8"/>
  <c r="AV11" i="8" s="1"/>
  <c r="AP11" i="8"/>
  <c r="AI11" i="8"/>
  <c r="AJ11" i="8" s="1"/>
  <c r="AC11" i="8"/>
  <c r="AD11" i="8" s="1"/>
  <c r="X11" i="8"/>
  <c r="Q11" i="8"/>
  <c r="R11" i="8" s="1"/>
  <c r="K11" i="8"/>
  <c r="L11" i="8" s="1"/>
  <c r="F11" i="8"/>
  <c r="TQ9" i="8"/>
  <c r="TR9" i="8" s="1"/>
  <c r="TL9" i="8"/>
  <c r="TM9" i="8" s="1"/>
  <c r="TG9" i="8"/>
  <c r="SZ9" i="8"/>
  <c r="TA9" i="8" s="1"/>
  <c r="SU9" i="8"/>
  <c r="SV9" i="8" s="1"/>
  <c r="SP9" i="8"/>
  <c r="SI9" i="8"/>
  <c r="SJ9" i="8" s="1"/>
  <c r="SC9" i="8"/>
  <c r="SD9" i="8" s="1"/>
  <c r="RX9" i="8"/>
  <c r="RQ9" i="8"/>
  <c r="RR9" i="8" s="1"/>
  <c r="RK9" i="8"/>
  <c r="RL9" i="8" s="1"/>
  <c r="RF9" i="8"/>
  <c r="QY9" i="8"/>
  <c r="QZ9" i="8" s="1"/>
  <c r="QS9" i="8"/>
  <c r="QT9" i="8" s="1"/>
  <c r="QN9" i="8"/>
  <c r="QG9" i="8"/>
  <c r="QH9" i="8" s="1"/>
  <c r="QA9" i="8"/>
  <c r="QB9" i="8" s="1"/>
  <c r="PV9" i="8"/>
  <c r="PO9" i="8"/>
  <c r="PP9" i="8" s="1"/>
  <c r="PI9" i="8"/>
  <c r="PJ9" i="8" s="1"/>
  <c r="PD9" i="8"/>
  <c r="OW9" i="8"/>
  <c r="OX9" i="8" s="1"/>
  <c r="OQ9" i="8"/>
  <c r="OR9" i="8" s="1"/>
  <c r="OL9" i="8"/>
  <c r="OE9" i="8"/>
  <c r="OF9" i="8" s="1"/>
  <c r="NY9" i="8"/>
  <c r="NZ9" i="8" s="1"/>
  <c r="NT9" i="8"/>
  <c r="NM9" i="8"/>
  <c r="NN9" i="8" s="1"/>
  <c r="NG9" i="8"/>
  <c r="NH9" i="8" s="1"/>
  <c r="NB9" i="8"/>
  <c r="MU9" i="8"/>
  <c r="MV9" i="8" s="1"/>
  <c r="MO9" i="8"/>
  <c r="MP9" i="8" s="1"/>
  <c r="MJ9" i="8"/>
  <c r="MC9" i="8"/>
  <c r="MD9" i="8" s="1"/>
  <c r="LW9" i="8"/>
  <c r="LX9" i="8" s="1"/>
  <c r="LR9" i="8"/>
  <c r="LS9" i="8" s="1"/>
  <c r="LK9" i="8"/>
  <c r="LL9" i="8" s="1"/>
  <c r="LE9" i="8"/>
  <c r="LF9" i="8" s="1"/>
  <c r="KZ9" i="8"/>
  <c r="KS9" i="8"/>
  <c r="KT9" i="8" s="1"/>
  <c r="KM9" i="8"/>
  <c r="KN9" i="8" s="1"/>
  <c r="KH9" i="8"/>
  <c r="KI9" i="8" s="1"/>
  <c r="KA9" i="8"/>
  <c r="KB9" i="8" s="1"/>
  <c r="JU9" i="8"/>
  <c r="JV9" i="8" s="1"/>
  <c r="JP9" i="8"/>
  <c r="JI9" i="8"/>
  <c r="JJ9" i="8" s="1"/>
  <c r="JC9" i="8"/>
  <c r="JD9" i="8" s="1"/>
  <c r="IX9" i="8"/>
  <c r="IY9" i="8" s="1"/>
  <c r="IQ9" i="8"/>
  <c r="IR9" i="8" s="1"/>
  <c r="IK9" i="8"/>
  <c r="IL9" i="8" s="1"/>
  <c r="IF9" i="8"/>
  <c r="HY9" i="8"/>
  <c r="HZ9" i="8" s="1"/>
  <c r="HS9" i="8"/>
  <c r="HT9" i="8" s="1"/>
  <c r="HN9" i="8"/>
  <c r="HO9" i="8" s="1"/>
  <c r="HG9" i="8"/>
  <c r="HH9" i="8" s="1"/>
  <c r="HA9" i="8"/>
  <c r="HB9" i="8" s="1"/>
  <c r="GV9" i="8"/>
  <c r="GO9" i="8"/>
  <c r="GP9" i="8" s="1"/>
  <c r="GI9" i="8"/>
  <c r="GJ9" i="8" s="1"/>
  <c r="GD9" i="8"/>
  <c r="GE9" i="8" s="1"/>
  <c r="FW9" i="8"/>
  <c r="FX9" i="8" s="1"/>
  <c r="FQ9" i="8"/>
  <c r="FR9" i="8" s="1"/>
  <c r="FL9" i="8"/>
  <c r="FE9" i="8"/>
  <c r="FF9" i="8" s="1"/>
  <c r="EY9" i="8"/>
  <c r="EZ9" i="8" s="1"/>
  <c r="ET9" i="8"/>
  <c r="EU9" i="8" s="1"/>
  <c r="EM9" i="8"/>
  <c r="EN9" i="8" s="1"/>
  <c r="EG9" i="8"/>
  <c r="EH9" i="8" s="1"/>
  <c r="EB9" i="8"/>
  <c r="DU9" i="8"/>
  <c r="DV9" i="8" s="1"/>
  <c r="DO9" i="8"/>
  <c r="DP9" i="8" s="1"/>
  <c r="DJ9" i="8"/>
  <c r="DK9" i="8" s="1"/>
  <c r="DC9" i="8"/>
  <c r="DD9" i="8" s="1"/>
  <c r="CW9" i="8"/>
  <c r="CX9" i="8" s="1"/>
  <c r="CR9" i="8"/>
  <c r="CK9" i="8"/>
  <c r="CL9" i="8" s="1"/>
  <c r="CE9" i="8"/>
  <c r="CF9" i="8" s="1"/>
  <c r="BZ9" i="8"/>
  <c r="CA9" i="8" s="1"/>
  <c r="BS9" i="8"/>
  <c r="BT9" i="8" s="1"/>
  <c r="BM9" i="8"/>
  <c r="BN9" i="8" s="1"/>
  <c r="BH9" i="8"/>
  <c r="BA9" i="8"/>
  <c r="BB9" i="8" s="1"/>
  <c r="AU9" i="8"/>
  <c r="AV9" i="8" s="1"/>
  <c r="AP9" i="8"/>
  <c r="AQ9" i="8" s="1"/>
  <c r="AI9" i="8"/>
  <c r="AJ9" i="8" s="1"/>
  <c r="AC9" i="8"/>
  <c r="AD9" i="8" s="1"/>
  <c r="X9" i="8"/>
  <c r="Q9" i="8"/>
  <c r="R9" i="8" s="1"/>
  <c r="K9" i="8"/>
  <c r="L9" i="8" s="1"/>
  <c r="F9" i="8"/>
  <c r="G9" i="8" s="1"/>
  <c r="TQ8" i="8"/>
  <c r="TR8" i="8" s="1"/>
  <c r="TL8" i="8"/>
  <c r="TM8" i="8" s="1"/>
  <c r="TG8" i="8"/>
  <c r="SZ8" i="8"/>
  <c r="TA8" i="8" s="1"/>
  <c r="SU8" i="8"/>
  <c r="SV8" i="8" s="1"/>
  <c r="SP8" i="8"/>
  <c r="SQ8" i="8" s="1"/>
  <c r="SI8" i="8"/>
  <c r="SJ8" i="8" s="1"/>
  <c r="SC8" i="8"/>
  <c r="SD8" i="8" s="1"/>
  <c r="RX8" i="8"/>
  <c r="RQ8" i="8"/>
  <c r="RR8" i="8" s="1"/>
  <c r="RK8" i="8"/>
  <c r="RL8" i="8" s="1"/>
  <c r="RF8" i="8"/>
  <c r="RG8" i="8" s="1"/>
  <c r="QY8" i="8"/>
  <c r="QZ8" i="8" s="1"/>
  <c r="QS8" i="8"/>
  <c r="QT8" i="8" s="1"/>
  <c r="QN8" i="8"/>
  <c r="QG8" i="8"/>
  <c r="QH8" i="8" s="1"/>
  <c r="QA8" i="8"/>
  <c r="QB8" i="8" s="1"/>
  <c r="PV8" i="8"/>
  <c r="PW8" i="8" s="1"/>
  <c r="PO8" i="8"/>
  <c r="PP8" i="8" s="1"/>
  <c r="PI8" i="8"/>
  <c r="PJ8" i="8" s="1"/>
  <c r="PD8" i="8"/>
  <c r="OW8" i="8"/>
  <c r="OX8" i="8" s="1"/>
  <c r="OQ8" i="8"/>
  <c r="OR8" i="8" s="1"/>
  <c r="OL8" i="8"/>
  <c r="OM8" i="8" s="1"/>
  <c r="OE8" i="8"/>
  <c r="OF8" i="8" s="1"/>
  <c r="NY8" i="8"/>
  <c r="NZ8" i="8" s="1"/>
  <c r="NT8" i="8"/>
  <c r="NM8" i="8"/>
  <c r="NN8" i="8" s="1"/>
  <c r="NG8" i="8"/>
  <c r="NH8" i="8" s="1"/>
  <c r="NB8" i="8"/>
  <c r="NC8" i="8" s="1"/>
  <c r="MU8" i="8"/>
  <c r="MV8" i="8" s="1"/>
  <c r="MO8" i="8"/>
  <c r="MP8" i="8" s="1"/>
  <c r="MJ8" i="8"/>
  <c r="MC8" i="8"/>
  <c r="MD8" i="8" s="1"/>
  <c r="LW8" i="8"/>
  <c r="LX8" i="8" s="1"/>
  <c r="LR8" i="8"/>
  <c r="LS8" i="8" s="1"/>
  <c r="LK8" i="8"/>
  <c r="LL8" i="8" s="1"/>
  <c r="LE8" i="8"/>
  <c r="LF8" i="8" s="1"/>
  <c r="KZ8" i="8"/>
  <c r="KS8" i="8"/>
  <c r="KT8" i="8" s="1"/>
  <c r="KM8" i="8"/>
  <c r="KH8" i="8"/>
  <c r="KI8" i="8" s="1"/>
  <c r="KA8" i="8"/>
  <c r="KB8" i="8" s="1"/>
  <c r="JU8" i="8"/>
  <c r="JV8" i="8" s="1"/>
  <c r="JP8" i="8"/>
  <c r="JI8" i="8"/>
  <c r="JJ8" i="8" s="1"/>
  <c r="JC8" i="8"/>
  <c r="IX8" i="8"/>
  <c r="IY8" i="8" s="1"/>
  <c r="IQ8" i="8"/>
  <c r="IR8" i="8" s="1"/>
  <c r="IK8" i="8"/>
  <c r="IL8" i="8" s="1"/>
  <c r="IF8" i="8"/>
  <c r="HY8" i="8"/>
  <c r="HZ8" i="8" s="1"/>
  <c r="HS8" i="8"/>
  <c r="HN8" i="8"/>
  <c r="HO8" i="8" s="1"/>
  <c r="HG8" i="8"/>
  <c r="HH8" i="8" s="1"/>
  <c r="HA8" i="8"/>
  <c r="HB8" i="8" s="1"/>
  <c r="GV8" i="8"/>
  <c r="GO8" i="8"/>
  <c r="GP8" i="8" s="1"/>
  <c r="GI8" i="8"/>
  <c r="GD8" i="8"/>
  <c r="GE8" i="8" s="1"/>
  <c r="FW8" i="8"/>
  <c r="FX8" i="8" s="1"/>
  <c r="FQ8" i="8"/>
  <c r="FR8" i="8" s="1"/>
  <c r="FL8" i="8"/>
  <c r="FE8" i="8"/>
  <c r="FF8" i="8" s="1"/>
  <c r="EY8" i="8"/>
  <c r="ET8" i="8"/>
  <c r="EU8" i="8" s="1"/>
  <c r="EM8" i="8"/>
  <c r="EN8" i="8" s="1"/>
  <c r="EG8" i="8"/>
  <c r="EH8" i="8" s="1"/>
  <c r="EB8" i="8"/>
  <c r="DU8" i="8"/>
  <c r="DV8" i="8" s="1"/>
  <c r="DO8" i="8"/>
  <c r="DJ8" i="8"/>
  <c r="DK8" i="8" s="1"/>
  <c r="DC8" i="8"/>
  <c r="DD8" i="8" s="1"/>
  <c r="CW8" i="8"/>
  <c r="CX8" i="8" s="1"/>
  <c r="CR8" i="8"/>
  <c r="CK8" i="8"/>
  <c r="CL8" i="8" s="1"/>
  <c r="CE8" i="8"/>
  <c r="BZ8" i="8"/>
  <c r="CA8" i="8" s="1"/>
  <c r="BS8" i="8"/>
  <c r="BT8" i="8" s="1"/>
  <c r="BM8" i="8"/>
  <c r="BN8" i="8" s="1"/>
  <c r="BH8" i="8"/>
  <c r="BA8" i="8"/>
  <c r="BB8" i="8" s="1"/>
  <c r="AU8" i="8"/>
  <c r="AP8" i="8"/>
  <c r="AQ8" i="8" s="1"/>
  <c r="AI8" i="8"/>
  <c r="AJ8" i="8" s="1"/>
  <c r="AC8" i="8"/>
  <c r="AD8" i="8" s="1"/>
  <c r="X8" i="8"/>
  <c r="Q8" i="8"/>
  <c r="R8" i="8" s="1"/>
  <c r="K8" i="8"/>
  <c r="F8" i="8"/>
  <c r="G8" i="8" s="1"/>
  <c r="TQ7" i="8"/>
  <c r="TR7" i="8" s="1"/>
  <c r="TL7" i="8"/>
  <c r="TM7" i="8" s="1"/>
  <c r="TG7" i="8"/>
  <c r="SZ7" i="8"/>
  <c r="TA7" i="8" s="1"/>
  <c r="SU7" i="8"/>
  <c r="SV7" i="8" s="1"/>
  <c r="SP7" i="8"/>
  <c r="SQ7" i="8" s="1"/>
  <c r="SI7" i="8"/>
  <c r="SJ7" i="8" s="1"/>
  <c r="SC7" i="8"/>
  <c r="SD7" i="8" s="1"/>
  <c r="RX7" i="8"/>
  <c r="RY7" i="8" s="1"/>
  <c r="RQ7" i="8"/>
  <c r="RR7" i="8" s="1"/>
  <c r="RK7" i="8"/>
  <c r="RL7" i="8" s="1"/>
  <c r="RF7" i="8"/>
  <c r="RG7" i="8" s="1"/>
  <c r="QY7" i="8"/>
  <c r="QZ7" i="8" s="1"/>
  <c r="QS7" i="8"/>
  <c r="QN7" i="8"/>
  <c r="QO7" i="8" s="1"/>
  <c r="QG7" i="8"/>
  <c r="QH7" i="8" s="1"/>
  <c r="QA7" i="8"/>
  <c r="PV7" i="8"/>
  <c r="PW7" i="8" s="1"/>
  <c r="PO7" i="8"/>
  <c r="PP7" i="8" s="1"/>
  <c r="PI7" i="8"/>
  <c r="PD7" i="8"/>
  <c r="PE7" i="8" s="1"/>
  <c r="OW7" i="8"/>
  <c r="OX7" i="8" s="1"/>
  <c r="OQ7" i="8"/>
  <c r="OL7" i="8"/>
  <c r="OM7" i="8" s="1"/>
  <c r="OE7" i="8"/>
  <c r="OF7" i="8" s="1"/>
  <c r="NY7" i="8"/>
  <c r="NT7" i="8"/>
  <c r="NU7" i="8" s="1"/>
  <c r="NM7" i="8"/>
  <c r="NN7" i="8" s="1"/>
  <c r="NG7" i="8"/>
  <c r="NB7" i="8"/>
  <c r="NC7" i="8" s="1"/>
  <c r="MU7" i="8"/>
  <c r="MV7" i="8" s="1"/>
  <c r="MO7" i="8"/>
  <c r="MJ7" i="8"/>
  <c r="MK7" i="8" s="1"/>
  <c r="MC7" i="8"/>
  <c r="MD7" i="8" s="1"/>
  <c r="LW7" i="8"/>
  <c r="LR7" i="8"/>
  <c r="LS7" i="8" s="1"/>
  <c r="LK7" i="8"/>
  <c r="LL7" i="8" s="1"/>
  <c r="LE7" i="8"/>
  <c r="KZ7" i="8"/>
  <c r="LA7" i="8" s="1"/>
  <c r="KS7" i="8"/>
  <c r="KT7" i="8" s="1"/>
  <c r="KM7" i="8"/>
  <c r="KH7" i="8"/>
  <c r="KI7" i="8" s="1"/>
  <c r="KA7" i="8"/>
  <c r="KB7" i="8" s="1"/>
  <c r="JU7" i="8"/>
  <c r="JP7" i="8"/>
  <c r="JQ7" i="8" s="1"/>
  <c r="JI7" i="8"/>
  <c r="JJ7" i="8" s="1"/>
  <c r="JC7" i="8"/>
  <c r="JD7" i="8" s="1"/>
  <c r="IX7" i="8"/>
  <c r="IY7" i="8" s="1"/>
  <c r="IQ7" i="8"/>
  <c r="IR7" i="8" s="1"/>
  <c r="IK7" i="8"/>
  <c r="IL7" i="8" s="1"/>
  <c r="IF7" i="8"/>
  <c r="IG7" i="8" s="1"/>
  <c r="HY7" i="8"/>
  <c r="HZ7" i="8" s="1"/>
  <c r="HS7" i="8"/>
  <c r="HT7" i="8" s="1"/>
  <c r="HN7" i="8"/>
  <c r="HO7" i="8" s="1"/>
  <c r="HG7" i="8"/>
  <c r="HH7" i="8" s="1"/>
  <c r="HA7" i="8"/>
  <c r="HB7" i="8" s="1"/>
  <c r="GV7" i="8"/>
  <c r="GW7" i="8" s="1"/>
  <c r="GO7" i="8"/>
  <c r="GP7" i="8" s="1"/>
  <c r="GI7" i="8"/>
  <c r="GJ7" i="8" s="1"/>
  <c r="GD7" i="8"/>
  <c r="GE7" i="8" s="1"/>
  <c r="FW7" i="8"/>
  <c r="FX7" i="8" s="1"/>
  <c r="FQ7" i="8"/>
  <c r="FR7" i="8" s="1"/>
  <c r="FL7" i="8"/>
  <c r="FM7" i="8" s="1"/>
  <c r="FE7" i="8"/>
  <c r="FF7" i="8" s="1"/>
  <c r="EY7" i="8"/>
  <c r="EZ7" i="8" s="1"/>
  <c r="ET7" i="8"/>
  <c r="EU7" i="8" s="1"/>
  <c r="EM7" i="8"/>
  <c r="EN7" i="8" s="1"/>
  <c r="EG7" i="8"/>
  <c r="EH7" i="8" s="1"/>
  <c r="EB7" i="8"/>
  <c r="EC7" i="8" s="1"/>
  <c r="DU7" i="8"/>
  <c r="DV7" i="8" s="1"/>
  <c r="DO7" i="8"/>
  <c r="DP7" i="8" s="1"/>
  <c r="DJ7" i="8"/>
  <c r="DK7" i="8" s="1"/>
  <c r="DC7" i="8"/>
  <c r="DD7" i="8" s="1"/>
  <c r="CW7" i="8"/>
  <c r="CX7" i="8" s="1"/>
  <c r="CR7" i="8"/>
  <c r="CS7" i="8" s="1"/>
  <c r="CK7" i="8"/>
  <c r="CL7" i="8" s="1"/>
  <c r="CE7" i="8"/>
  <c r="CF7" i="8" s="1"/>
  <c r="BZ7" i="8"/>
  <c r="CA7" i="8" s="1"/>
  <c r="BS7" i="8"/>
  <c r="BT7" i="8" s="1"/>
  <c r="BM7" i="8"/>
  <c r="BN7" i="8" s="1"/>
  <c r="BH7" i="8"/>
  <c r="BI7" i="8" s="1"/>
  <c r="BA7" i="8"/>
  <c r="BB7" i="8" s="1"/>
  <c r="AU7" i="8"/>
  <c r="AV7" i="8" s="1"/>
  <c r="AP7" i="8"/>
  <c r="AQ7" i="8" s="1"/>
  <c r="AI7" i="8"/>
  <c r="AJ7" i="8" s="1"/>
  <c r="AC7" i="8"/>
  <c r="AD7" i="8" s="1"/>
  <c r="X7" i="8"/>
  <c r="Y7" i="8" s="1"/>
  <c r="Q7" i="8"/>
  <c r="R7" i="8" s="1"/>
  <c r="K7" i="8"/>
  <c r="L7" i="8" s="1"/>
  <c r="F7" i="8"/>
  <c r="G7" i="8" s="1"/>
  <c r="TQ6" i="8"/>
  <c r="TR6" i="8" s="1"/>
  <c r="TL6" i="8"/>
  <c r="TM6" i="8" s="1"/>
  <c r="TG6" i="8"/>
  <c r="TH6" i="8" s="1"/>
  <c r="SZ6" i="8"/>
  <c r="TA6" i="8" s="1"/>
  <c r="SU6" i="8"/>
  <c r="SV6" i="8" s="1"/>
  <c r="SP6" i="8"/>
  <c r="SQ6" i="8" s="1"/>
  <c r="SI6" i="8"/>
  <c r="SJ6" i="8" s="1"/>
  <c r="SC6" i="8"/>
  <c r="SD6" i="8" s="1"/>
  <c r="RX6" i="8"/>
  <c r="RY6" i="8" s="1"/>
  <c r="RQ6" i="8"/>
  <c r="RR6" i="8" s="1"/>
  <c r="RK6" i="8"/>
  <c r="RL6" i="8" s="1"/>
  <c r="RF6" i="8"/>
  <c r="RG6" i="8" s="1"/>
  <c r="QY6" i="8"/>
  <c r="QZ6" i="8" s="1"/>
  <c r="QS6" i="8"/>
  <c r="QT6" i="8" s="1"/>
  <c r="QN6" i="8"/>
  <c r="QO6" i="8" s="1"/>
  <c r="QG6" i="8"/>
  <c r="QH6" i="8" s="1"/>
  <c r="QA6" i="8"/>
  <c r="QB6" i="8" s="1"/>
  <c r="PV6" i="8"/>
  <c r="PW6" i="8" s="1"/>
  <c r="PO6" i="8"/>
  <c r="PP6" i="8" s="1"/>
  <c r="PI6" i="8"/>
  <c r="PJ6" i="8" s="1"/>
  <c r="PD6" i="8"/>
  <c r="PE6" i="8" s="1"/>
  <c r="OW6" i="8"/>
  <c r="OX6" i="8" s="1"/>
  <c r="OQ6" i="8"/>
  <c r="OR6" i="8" s="1"/>
  <c r="OL6" i="8"/>
  <c r="OM6" i="8" s="1"/>
  <c r="OE6" i="8"/>
  <c r="OF6" i="8" s="1"/>
  <c r="NY6" i="8"/>
  <c r="NZ6" i="8" s="1"/>
  <c r="NT6" i="8"/>
  <c r="NU6" i="8" s="1"/>
  <c r="NM6" i="8"/>
  <c r="NN6" i="8" s="1"/>
  <c r="NG6" i="8"/>
  <c r="NH6" i="8" s="1"/>
  <c r="NB6" i="8"/>
  <c r="NC6" i="8" s="1"/>
  <c r="MU6" i="8"/>
  <c r="MV6" i="8" s="1"/>
  <c r="MO6" i="8"/>
  <c r="MP6" i="8" s="1"/>
  <c r="MJ6" i="8"/>
  <c r="MK6" i="8" s="1"/>
  <c r="MC6" i="8"/>
  <c r="MD6" i="8" s="1"/>
  <c r="LW6" i="8"/>
  <c r="LX6" i="8" s="1"/>
  <c r="LR6" i="8"/>
  <c r="LS6" i="8" s="1"/>
  <c r="LK6" i="8"/>
  <c r="LL6" i="8" s="1"/>
  <c r="LE6" i="8"/>
  <c r="LF6" i="8" s="1"/>
  <c r="KZ6" i="8"/>
  <c r="LA6" i="8" s="1"/>
  <c r="KS6" i="8"/>
  <c r="KT6" i="8" s="1"/>
  <c r="KM6" i="8"/>
  <c r="KN6" i="8" s="1"/>
  <c r="KH6" i="8"/>
  <c r="KI6" i="8" s="1"/>
  <c r="KA6" i="8"/>
  <c r="KB6" i="8" s="1"/>
  <c r="JU6" i="8"/>
  <c r="JV6" i="8" s="1"/>
  <c r="JP6" i="8"/>
  <c r="JQ6" i="8" s="1"/>
  <c r="JI6" i="8"/>
  <c r="JJ6" i="8" s="1"/>
  <c r="JC6" i="8"/>
  <c r="JD6" i="8" s="1"/>
  <c r="IX6" i="8"/>
  <c r="IY6" i="8" s="1"/>
  <c r="IQ6" i="8"/>
  <c r="IR6" i="8" s="1"/>
  <c r="IK6" i="8"/>
  <c r="IL6" i="8" s="1"/>
  <c r="IF6" i="8"/>
  <c r="IG6" i="8" s="1"/>
  <c r="HY6" i="8"/>
  <c r="HZ6" i="8" s="1"/>
  <c r="HS6" i="8"/>
  <c r="HT6" i="8" s="1"/>
  <c r="HN6" i="8"/>
  <c r="HO6" i="8" s="1"/>
  <c r="HG6" i="8"/>
  <c r="HH6" i="8" s="1"/>
  <c r="HA6" i="8"/>
  <c r="HB6" i="8" s="1"/>
  <c r="GV6" i="8"/>
  <c r="GW6" i="8" s="1"/>
  <c r="GO6" i="8"/>
  <c r="GP6" i="8" s="1"/>
  <c r="GI6" i="8"/>
  <c r="GJ6" i="8" s="1"/>
  <c r="GD6" i="8"/>
  <c r="GE6" i="8" s="1"/>
  <c r="FW6" i="8"/>
  <c r="FX6" i="8" s="1"/>
  <c r="FQ6" i="8"/>
  <c r="FR6" i="8" s="1"/>
  <c r="FL6" i="8"/>
  <c r="FM6" i="8" s="1"/>
  <c r="FE6" i="8"/>
  <c r="FF6" i="8" s="1"/>
  <c r="EY6" i="8"/>
  <c r="EZ6" i="8" s="1"/>
  <c r="ET6" i="8"/>
  <c r="EU6" i="8" s="1"/>
  <c r="EM6" i="8"/>
  <c r="EN6" i="8" s="1"/>
  <c r="EG6" i="8"/>
  <c r="EH6" i="8" s="1"/>
  <c r="EB6" i="8"/>
  <c r="EC6" i="8" s="1"/>
  <c r="DU6" i="8"/>
  <c r="DV6" i="8" s="1"/>
  <c r="DO6" i="8"/>
  <c r="DP6" i="8" s="1"/>
  <c r="DJ6" i="8"/>
  <c r="DK6" i="8" s="1"/>
  <c r="DC6" i="8"/>
  <c r="DD6" i="8" s="1"/>
  <c r="CW6" i="8"/>
  <c r="CX6" i="8" s="1"/>
  <c r="CR6" i="8"/>
  <c r="CS6" i="8" s="1"/>
  <c r="CK6" i="8"/>
  <c r="CL6" i="8" s="1"/>
  <c r="CE6" i="8"/>
  <c r="CF6" i="8" s="1"/>
  <c r="BZ6" i="8"/>
  <c r="CA6" i="8" s="1"/>
  <c r="BS6" i="8"/>
  <c r="BT6" i="8" s="1"/>
  <c r="BM6" i="8"/>
  <c r="BN6" i="8" s="1"/>
  <c r="BH6" i="8"/>
  <c r="BI6" i="8" s="1"/>
  <c r="BA6" i="8"/>
  <c r="BB6" i="8" s="1"/>
  <c r="AU6" i="8"/>
  <c r="AV6" i="8" s="1"/>
  <c r="AP6" i="8"/>
  <c r="AQ6" i="8" s="1"/>
  <c r="AI6" i="8"/>
  <c r="AJ6" i="8" s="1"/>
  <c r="AC6" i="8"/>
  <c r="AD6" i="8" s="1"/>
  <c r="X6" i="8"/>
  <c r="Y6" i="8" s="1"/>
  <c r="Q6" i="8"/>
  <c r="R6" i="8" s="1"/>
  <c r="K6" i="8"/>
  <c r="L6" i="8" s="1"/>
  <c r="F6" i="8"/>
  <c r="G6" i="8" s="1"/>
  <c r="TQ5" i="8"/>
  <c r="TR5" i="8" s="1"/>
  <c r="TL5" i="8"/>
  <c r="TM5" i="8" s="1"/>
  <c r="TG5" i="8"/>
  <c r="TH5" i="8" s="1"/>
  <c r="SZ5" i="8"/>
  <c r="TA5" i="8" s="1"/>
  <c r="SU5" i="8"/>
  <c r="SV5" i="8" s="1"/>
  <c r="SP5" i="8"/>
  <c r="SQ5" i="8" s="1"/>
  <c r="SI5" i="8"/>
  <c r="SJ5" i="8" s="1"/>
  <c r="SC5" i="8"/>
  <c r="SD5" i="8" s="1"/>
  <c r="RX5" i="8"/>
  <c r="RY5" i="8" s="1"/>
  <c r="RQ5" i="8"/>
  <c r="RR5" i="8" s="1"/>
  <c r="RK5" i="8"/>
  <c r="RL5" i="8" s="1"/>
  <c r="RF5" i="8"/>
  <c r="RG5" i="8" s="1"/>
  <c r="QY5" i="8"/>
  <c r="QZ5" i="8" s="1"/>
  <c r="QS5" i="8"/>
  <c r="QT5" i="8" s="1"/>
  <c r="QN5" i="8"/>
  <c r="QO5" i="8" s="1"/>
  <c r="QG5" i="8"/>
  <c r="QH5" i="8" s="1"/>
  <c r="QA5" i="8"/>
  <c r="QB5" i="8" s="1"/>
  <c r="PV5" i="8"/>
  <c r="PW5" i="8" s="1"/>
  <c r="PO5" i="8"/>
  <c r="PP5" i="8" s="1"/>
  <c r="PI5" i="8"/>
  <c r="PJ5" i="8" s="1"/>
  <c r="PD5" i="8"/>
  <c r="PE5" i="8" s="1"/>
  <c r="OW5" i="8"/>
  <c r="OX5" i="8" s="1"/>
  <c r="OQ5" i="8"/>
  <c r="OR5" i="8" s="1"/>
  <c r="OL5" i="8"/>
  <c r="OM5" i="8" s="1"/>
  <c r="OE5" i="8"/>
  <c r="OF5" i="8" s="1"/>
  <c r="NY5" i="8"/>
  <c r="NZ5" i="8" s="1"/>
  <c r="NT5" i="8"/>
  <c r="NU5" i="8" s="1"/>
  <c r="NM5" i="8"/>
  <c r="NN5" i="8" s="1"/>
  <c r="NG5" i="8"/>
  <c r="NH5" i="8" s="1"/>
  <c r="NB5" i="8"/>
  <c r="NC5" i="8" s="1"/>
  <c r="MU5" i="8"/>
  <c r="MV5" i="8" s="1"/>
  <c r="MO5" i="8"/>
  <c r="MP5" i="8" s="1"/>
  <c r="MJ5" i="8"/>
  <c r="MK5" i="8" s="1"/>
  <c r="MC5" i="8"/>
  <c r="MD5" i="8" s="1"/>
  <c r="LW5" i="8"/>
  <c r="LX5" i="8" s="1"/>
  <c r="LR5" i="8"/>
  <c r="LS5" i="8" s="1"/>
  <c r="LK5" i="8"/>
  <c r="LL5" i="8" s="1"/>
  <c r="LE5" i="8"/>
  <c r="LF5" i="8" s="1"/>
  <c r="KZ5" i="8"/>
  <c r="LA5" i="8" s="1"/>
  <c r="KS5" i="8"/>
  <c r="KT5" i="8" s="1"/>
  <c r="KM5" i="8"/>
  <c r="KN5" i="8" s="1"/>
  <c r="KH5" i="8"/>
  <c r="KI5" i="8" s="1"/>
  <c r="KA5" i="8"/>
  <c r="KB5" i="8" s="1"/>
  <c r="JU5" i="8"/>
  <c r="JV5" i="8" s="1"/>
  <c r="JP5" i="8"/>
  <c r="JQ5" i="8" s="1"/>
  <c r="JI5" i="8"/>
  <c r="JJ5" i="8" s="1"/>
  <c r="JC5" i="8"/>
  <c r="JD5" i="8" s="1"/>
  <c r="IX5" i="8"/>
  <c r="IY5" i="8" s="1"/>
  <c r="IQ5" i="8"/>
  <c r="IR5" i="8" s="1"/>
  <c r="IK5" i="8"/>
  <c r="IL5" i="8" s="1"/>
  <c r="IF5" i="8"/>
  <c r="IG5" i="8" s="1"/>
  <c r="HY5" i="8"/>
  <c r="HZ5" i="8" s="1"/>
  <c r="HS5" i="8"/>
  <c r="HT5" i="8" s="1"/>
  <c r="HN5" i="8"/>
  <c r="HO5" i="8" s="1"/>
  <c r="HG5" i="8"/>
  <c r="HH5" i="8" s="1"/>
  <c r="HA5" i="8"/>
  <c r="HB5" i="8" s="1"/>
  <c r="GV5" i="8"/>
  <c r="GW5" i="8" s="1"/>
  <c r="GO5" i="8"/>
  <c r="GP5" i="8" s="1"/>
  <c r="GI5" i="8"/>
  <c r="GJ5" i="8" s="1"/>
  <c r="GD5" i="8"/>
  <c r="GE5" i="8" s="1"/>
  <c r="FW5" i="8"/>
  <c r="FX5" i="8" s="1"/>
  <c r="FQ5" i="8"/>
  <c r="FR5" i="8" s="1"/>
  <c r="FL5" i="8"/>
  <c r="FM5" i="8" s="1"/>
  <c r="FE5" i="8"/>
  <c r="FF5" i="8" s="1"/>
  <c r="EY5" i="8"/>
  <c r="EZ5" i="8" s="1"/>
  <c r="ET5" i="8"/>
  <c r="EU5" i="8" s="1"/>
  <c r="EM5" i="8"/>
  <c r="EN5" i="8" s="1"/>
  <c r="EG5" i="8"/>
  <c r="EH5" i="8" s="1"/>
  <c r="EB5" i="8"/>
  <c r="EC5" i="8" s="1"/>
  <c r="DU5" i="8"/>
  <c r="DV5" i="8" s="1"/>
  <c r="DO5" i="8"/>
  <c r="DP5" i="8" s="1"/>
  <c r="DJ5" i="8"/>
  <c r="DK5" i="8" s="1"/>
  <c r="DC5" i="8"/>
  <c r="DD5" i="8" s="1"/>
  <c r="CW5" i="8"/>
  <c r="CX5" i="8" s="1"/>
  <c r="CR5" i="8"/>
  <c r="CS5" i="8" s="1"/>
  <c r="CK5" i="8"/>
  <c r="CL5" i="8" s="1"/>
  <c r="CE5" i="8"/>
  <c r="CF5" i="8" s="1"/>
  <c r="BZ5" i="8"/>
  <c r="CA5" i="8" s="1"/>
  <c r="BS5" i="8"/>
  <c r="BT5" i="8" s="1"/>
  <c r="BM5" i="8"/>
  <c r="BN5" i="8" s="1"/>
  <c r="BH5" i="8"/>
  <c r="BI5" i="8" s="1"/>
  <c r="BA5" i="8"/>
  <c r="BB5" i="8" s="1"/>
  <c r="AU5" i="8"/>
  <c r="AV5" i="8" s="1"/>
  <c r="AP5" i="8"/>
  <c r="AQ5" i="8" s="1"/>
  <c r="AI5" i="8"/>
  <c r="AJ5" i="8" s="1"/>
  <c r="AC5" i="8"/>
  <c r="AD5" i="8" s="1"/>
  <c r="X5" i="8"/>
  <c r="Y5" i="8" s="1"/>
  <c r="Q5" i="8"/>
  <c r="R5" i="8" s="1"/>
  <c r="K5" i="8"/>
  <c r="L5" i="8" s="1"/>
  <c r="F5" i="8"/>
  <c r="G5" i="8" s="1"/>
  <c r="AH3" i="8"/>
  <c r="AZ3" i="8" s="1"/>
  <c r="BR3" i="8" s="1"/>
  <c r="CJ3" i="8" s="1"/>
  <c r="DB3" i="8" s="1"/>
  <c r="DT3" i="8" s="1"/>
  <c r="EL3" i="8" s="1"/>
  <c r="FD3" i="8" s="1"/>
  <c r="FV3" i="8" s="1"/>
  <c r="GN3" i="8" s="1"/>
  <c r="HF3" i="8" s="1"/>
  <c r="HX3" i="8" s="1"/>
  <c r="IP3" i="8" s="1"/>
  <c r="JH3" i="8" s="1"/>
  <c r="JZ3" i="8" s="1"/>
  <c r="KR3" i="8" s="1"/>
  <c r="LJ3" i="8" s="1"/>
  <c r="MB3" i="8" s="1"/>
  <c r="MT3" i="8" s="1"/>
  <c r="NL3" i="8" s="1"/>
  <c r="OD3" i="8" s="1"/>
  <c r="OV3" i="8" s="1"/>
  <c r="PN3" i="8" s="1"/>
  <c r="QF3" i="8" s="1"/>
  <c r="QX3" i="8" s="1"/>
  <c r="RP3" i="8" s="1"/>
  <c r="SH3" i="8" s="1"/>
  <c r="SY3" i="8" s="1"/>
  <c r="TP3" i="8" s="1"/>
  <c r="AF3" i="8"/>
  <c r="AX3" i="8" s="1"/>
  <c r="BP3" i="8" s="1"/>
  <c r="CH3" i="8" s="1"/>
  <c r="CZ3" i="8" s="1"/>
  <c r="DR3" i="8" s="1"/>
  <c r="EJ3" i="8" s="1"/>
  <c r="FB3" i="8" s="1"/>
  <c r="FT3" i="8" s="1"/>
  <c r="GL3" i="8" s="1"/>
  <c r="HD3" i="8" s="1"/>
  <c r="HV3" i="8" s="1"/>
  <c r="IN3" i="8" s="1"/>
  <c r="JF3" i="8" s="1"/>
  <c r="JX3" i="8" s="1"/>
  <c r="KP3" i="8" s="1"/>
  <c r="LH3" i="8" s="1"/>
  <c r="LZ3" i="8" s="1"/>
  <c r="MR3" i="8" s="1"/>
  <c r="NJ3" i="8" s="1"/>
  <c r="OB3" i="8" s="1"/>
  <c r="OT3" i="8" s="1"/>
  <c r="PL3" i="8" s="1"/>
  <c r="QD3" i="8" s="1"/>
  <c r="QV3" i="8" s="1"/>
  <c r="RN3" i="8" s="1"/>
  <c r="SF3" i="8" s="1"/>
  <c r="SX3" i="8" s="1"/>
  <c r="TO3" i="8" s="1"/>
  <c r="AE3" i="8"/>
  <c r="AW3" i="8" s="1"/>
  <c r="BO3" i="8" s="1"/>
  <c r="CG3" i="8" s="1"/>
  <c r="CY3" i="8" s="1"/>
  <c r="DQ3" i="8" s="1"/>
  <c r="EI3" i="8" s="1"/>
  <c r="FA3" i="8" s="1"/>
  <c r="FS3" i="8" s="1"/>
  <c r="GK3" i="8" s="1"/>
  <c r="HC3" i="8" s="1"/>
  <c r="HU3" i="8" s="1"/>
  <c r="IM3" i="8" s="1"/>
  <c r="JE3" i="8" s="1"/>
  <c r="JW3" i="8" s="1"/>
  <c r="KO3" i="8" s="1"/>
  <c r="LG3" i="8" s="1"/>
  <c r="LY3" i="8" s="1"/>
  <c r="MQ3" i="8" s="1"/>
  <c r="NI3" i="8" s="1"/>
  <c r="OA3" i="8" s="1"/>
  <c r="OS3" i="8" s="1"/>
  <c r="PK3" i="8" s="1"/>
  <c r="QC3" i="8" s="1"/>
  <c r="QU3" i="8" s="1"/>
  <c r="RM3" i="8" s="1"/>
  <c r="SE3" i="8" s="1"/>
  <c r="SW3" i="8" s="1"/>
  <c r="TN3" i="8" s="1"/>
  <c r="ST3" i="8"/>
  <c r="TK3" i="8" s="1"/>
  <c r="AA3" i="8"/>
  <c r="AS3" i="8" s="1"/>
  <c r="BK3" i="8" s="1"/>
  <c r="CC3" i="8" s="1"/>
  <c r="CU3" i="8" s="1"/>
  <c r="DM3" i="8" s="1"/>
  <c r="EE3" i="8" s="1"/>
  <c r="EW3" i="8" s="1"/>
  <c r="FO3" i="8" s="1"/>
  <c r="GG3" i="8" s="1"/>
  <c r="GY3" i="8" s="1"/>
  <c r="HQ3" i="8" s="1"/>
  <c r="II3" i="8" s="1"/>
  <c r="JA3" i="8" s="1"/>
  <c r="JS3" i="8" s="1"/>
  <c r="KK3" i="8" s="1"/>
  <c r="LC3" i="8" s="1"/>
  <c r="LU3" i="8" s="1"/>
  <c r="MM3" i="8" s="1"/>
  <c r="NE3" i="8" s="1"/>
  <c r="NW3" i="8" s="1"/>
  <c r="OO3" i="8" s="1"/>
  <c r="PG3" i="8" s="1"/>
  <c r="PY3" i="8" s="1"/>
  <c r="QQ3" i="8" s="1"/>
  <c r="RI3" i="8" s="1"/>
  <c r="SA3" i="8" s="1"/>
  <c r="SS3" i="8" s="1"/>
  <c r="TJ3" i="8" s="1"/>
  <c r="Z3" i="8"/>
  <c r="AR3" i="8" s="1"/>
  <c r="BJ3" i="8" s="1"/>
  <c r="CB3" i="8" s="1"/>
  <c r="CT3" i="8" s="1"/>
  <c r="DL3" i="8" s="1"/>
  <c r="ED3" i="8" s="1"/>
  <c r="EV3" i="8" s="1"/>
  <c r="FN3" i="8" s="1"/>
  <c r="GF3" i="8" s="1"/>
  <c r="GX3" i="8" s="1"/>
  <c r="HP3" i="8" s="1"/>
  <c r="IH3" i="8" s="1"/>
  <c r="IZ3" i="8" s="1"/>
  <c r="JR3" i="8" s="1"/>
  <c r="KJ3" i="8" s="1"/>
  <c r="LB3" i="8" s="1"/>
  <c r="LT3" i="8" s="1"/>
  <c r="ML3" i="8" s="1"/>
  <c r="ND3" i="8" s="1"/>
  <c r="NV3" i="8" s="1"/>
  <c r="ON3" i="8" s="1"/>
  <c r="PF3" i="8" s="1"/>
  <c r="PX3" i="8" s="1"/>
  <c r="QP3" i="8" s="1"/>
  <c r="RH3" i="8" s="1"/>
  <c r="RZ3" i="8" s="1"/>
  <c r="SR3" i="8" s="1"/>
  <c r="TI3" i="8" s="1"/>
  <c r="W3" i="8"/>
  <c r="AO3" i="8" s="1"/>
  <c r="BG3" i="8" s="1"/>
  <c r="BY3" i="8" s="1"/>
  <c r="CQ3" i="8" s="1"/>
  <c r="DI3" i="8" s="1"/>
  <c r="EA3" i="8" s="1"/>
  <c r="ES3" i="8" s="1"/>
  <c r="FK3" i="8" s="1"/>
  <c r="GC3" i="8" s="1"/>
  <c r="GU3" i="8" s="1"/>
  <c r="HM3" i="8" s="1"/>
  <c r="IE3" i="8" s="1"/>
  <c r="IW3" i="8" s="1"/>
  <c r="JO3" i="8" s="1"/>
  <c r="KG3" i="8" s="1"/>
  <c r="KY3" i="8" s="1"/>
  <c r="LQ3" i="8" s="1"/>
  <c r="MI3" i="8" s="1"/>
  <c r="NA3" i="8" s="1"/>
  <c r="NS3" i="8" s="1"/>
  <c r="OK3" i="8" s="1"/>
  <c r="PC3" i="8" s="1"/>
  <c r="PU3" i="8" s="1"/>
  <c r="QM3" i="8" s="1"/>
  <c r="RE3" i="8" s="1"/>
  <c r="RW3" i="8" s="1"/>
  <c r="SO3" i="8" s="1"/>
  <c r="TF3" i="8" s="1"/>
  <c r="V3" i="8"/>
  <c r="AN3" i="8" s="1"/>
  <c r="BF3" i="8" s="1"/>
  <c r="BX3" i="8" s="1"/>
  <c r="CP3" i="8" s="1"/>
  <c r="DH3" i="8" s="1"/>
  <c r="DZ3" i="8" s="1"/>
  <c r="ER3" i="8" s="1"/>
  <c r="FJ3" i="8" s="1"/>
  <c r="GB3" i="8" s="1"/>
  <c r="GT3" i="8" s="1"/>
  <c r="HL3" i="8" s="1"/>
  <c r="ID3" i="8" s="1"/>
  <c r="IV3" i="8" s="1"/>
  <c r="JN3" i="8" s="1"/>
  <c r="KF3" i="8" s="1"/>
  <c r="KX3" i="8" s="1"/>
  <c r="LP3" i="8" s="1"/>
  <c r="MH3" i="8" s="1"/>
  <c r="MZ3" i="8" s="1"/>
  <c r="NR3" i="8" s="1"/>
  <c r="OJ3" i="8" s="1"/>
  <c r="PB3" i="8" s="1"/>
  <c r="PT3" i="8" s="1"/>
  <c r="QL3" i="8" s="1"/>
  <c r="RD3" i="8" s="1"/>
  <c r="RV3" i="8" s="1"/>
  <c r="SN3" i="8" s="1"/>
  <c r="TE3" i="8" s="1"/>
  <c r="U3" i="8"/>
  <c r="AM3" i="8" s="1"/>
  <c r="BE3" i="8" s="1"/>
  <c r="BW3" i="8" s="1"/>
  <c r="CO3" i="8" s="1"/>
  <c r="DG3" i="8" s="1"/>
  <c r="DY3" i="8" s="1"/>
  <c r="EQ3" i="8" s="1"/>
  <c r="FI3" i="8" s="1"/>
  <c r="GA3" i="8" s="1"/>
  <c r="GS3" i="8" s="1"/>
  <c r="HK3" i="8" s="1"/>
  <c r="IC3" i="8" s="1"/>
  <c r="IU3" i="8" s="1"/>
  <c r="JM3" i="8" s="1"/>
  <c r="KE3" i="8" s="1"/>
  <c r="KW3" i="8" s="1"/>
  <c r="LO3" i="8" s="1"/>
  <c r="MG3" i="8" s="1"/>
  <c r="MY3" i="8" s="1"/>
  <c r="NQ3" i="8" s="1"/>
  <c r="OI3" i="8" s="1"/>
  <c r="PA3" i="8" s="1"/>
  <c r="PS3" i="8" s="1"/>
  <c r="QK3" i="8" s="1"/>
  <c r="RC3" i="8" s="1"/>
  <c r="RU3" i="8" s="1"/>
  <c r="SM3" i="8" s="1"/>
  <c r="TD3" i="8" s="1"/>
  <c r="U1" i="8"/>
  <c r="AM1" i="8" s="1"/>
  <c r="BE1" i="8" s="1"/>
  <c r="A15" i="9"/>
  <c r="A6" i="7"/>
  <c r="A18" i="13"/>
  <c r="A22" i="7"/>
  <c r="A22" i="9"/>
  <c r="A11" i="7"/>
  <c r="A25" i="13"/>
  <c r="A15" i="13"/>
  <c r="A12" i="7"/>
  <c r="A20" i="9"/>
  <c r="A4" i="9"/>
  <c r="A17" i="9"/>
  <c r="A24" i="13"/>
  <c r="A27" i="9"/>
  <c r="A23" i="7"/>
  <c r="A7" i="13"/>
  <c r="A28" i="7"/>
  <c r="A17" i="13"/>
  <c r="A11" i="9"/>
  <c r="A24" i="7"/>
  <c r="A13" i="13"/>
  <c r="A25" i="7"/>
  <c r="A8" i="7"/>
  <c r="A14" i="9"/>
  <c r="A9" i="9"/>
  <c r="A29" i="13"/>
  <c r="A27" i="7"/>
  <c r="A21" i="7"/>
  <c r="A6" i="9"/>
  <c r="A14" i="7"/>
  <c r="A22" i="13"/>
  <c r="A4" i="7"/>
  <c r="A24" i="9"/>
  <c r="A16" i="9"/>
  <c r="A19" i="9"/>
  <c r="A28" i="13"/>
  <c r="A8" i="13"/>
  <c r="A32" i="13"/>
  <c r="A10" i="9"/>
  <c r="A7" i="9"/>
  <c r="A5" i="9"/>
  <c r="A26" i="9"/>
  <c r="A5" i="7"/>
  <c r="A20" i="13"/>
  <c r="A6" i="13"/>
  <c r="A33" i="13"/>
  <c r="A13" i="7"/>
  <c r="A27" i="13"/>
  <c r="A16" i="7"/>
  <c r="A10" i="7"/>
  <c r="A15" i="7"/>
  <c r="A30" i="13"/>
  <c r="A7" i="7"/>
  <c r="A29" i="7"/>
  <c r="A20" i="7"/>
  <c r="A26" i="13"/>
  <c r="A19" i="13"/>
  <c r="A23" i="13"/>
  <c r="A5" i="13"/>
  <c r="A19" i="7"/>
  <c r="A10" i="13"/>
  <c r="A16" i="13"/>
  <c r="A17" i="7"/>
  <c r="A29" i="9"/>
  <c r="A21" i="9"/>
  <c r="A14" i="13"/>
  <c r="A21" i="13"/>
  <c r="A30" i="9"/>
  <c r="A31" i="7"/>
  <c r="A26" i="7"/>
  <c r="A12" i="13"/>
  <c r="A28" i="9"/>
  <c r="A18" i="7"/>
  <c r="A11" i="13"/>
  <c r="A9" i="7"/>
  <c r="A12" i="9"/>
  <c r="A13" i="9"/>
  <c r="A18" i="9"/>
  <c r="A30" i="7"/>
  <c r="A23" i="9"/>
  <c r="A8" i="9"/>
  <c r="A9" i="13"/>
  <c r="A31" i="13"/>
  <c r="A25" i="9"/>
  <c r="A4" i="13"/>
  <c r="HG20" i="8" l="1"/>
  <c r="SY20" i="10"/>
  <c r="SZ20" i="10" s="1"/>
  <c r="SU20" i="8"/>
  <c r="IQ20" i="10"/>
  <c r="IR20" i="10" s="1"/>
  <c r="SU20" i="14"/>
  <c r="TS20" i="14"/>
  <c r="DC20" i="8"/>
  <c r="KA20" i="8"/>
  <c r="KB20" i="8" s="1"/>
  <c r="SU16" i="8"/>
  <c r="SV16" i="8" s="1"/>
  <c r="TQ16" i="8"/>
  <c r="TR16" i="8" s="1"/>
  <c r="BA20" i="8"/>
  <c r="BB20" i="8" s="1"/>
  <c r="EM20" i="8"/>
  <c r="EN20" i="8" s="1"/>
  <c r="OL10" i="8"/>
  <c r="OM10" i="8" s="1"/>
  <c r="RF10" i="8"/>
  <c r="RG10" i="8" s="1"/>
  <c r="LK16" i="8"/>
  <c r="LL16" i="8" s="1"/>
  <c r="HY20" i="8"/>
  <c r="HZ20" i="8" s="1"/>
  <c r="FE20" i="8"/>
  <c r="PI20" i="8"/>
  <c r="PJ20" i="8" s="1"/>
  <c r="NB10" i="8"/>
  <c r="NC10" i="8" s="1"/>
  <c r="SP10" i="8"/>
  <c r="SQ10" i="8" s="1"/>
  <c r="X10" i="8"/>
  <c r="Y10" i="8" s="1"/>
  <c r="CR10" i="8"/>
  <c r="CS10" i="8" s="1"/>
  <c r="NT10" i="8"/>
  <c r="NU10" i="8" s="1"/>
  <c r="QN10" i="8"/>
  <c r="QO10" i="8" s="1"/>
  <c r="AK18" i="8"/>
  <c r="AL18" i="8" s="1"/>
  <c r="TR17" i="8"/>
  <c r="OQ20" i="10"/>
  <c r="QA20" i="10"/>
  <c r="QB20" i="10" s="1"/>
  <c r="MC10" i="10"/>
  <c r="MD10" i="10" s="1"/>
  <c r="NB10" i="10"/>
  <c r="NC10" i="10" s="1"/>
  <c r="PV10" i="10"/>
  <c r="PW10" i="10" s="1"/>
  <c r="SO10" i="10"/>
  <c r="SP10" i="10" s="1"/>
  <c r="HG13" i="10"/>
  <c r="HH13" i="10" s="1"/>
  <c r="RX10" i="10"/>
  <c r="RY10" i="10" s="1"/>
  <c r="SO16" i="10"/>
  <c r="SP16" i="10" s="1"/>
  <c r="MJ13" i="10"/>
  <c r="MK13" i="10" s="1"/>
  <c r="RX13" i="10"/>
  <c r="RY13" i="10" s="1"/>
  <c r="TP13" i="10"/>
  <c r="TQ13" i="10" s="1"/>
  <c r="RX4" i="10"/>
  <c r="RY4" i="10" s="1"/>
  <c r="OW20" i="10"/>
  <c r="OX20" i="10" s="1"/>
  <c r="SC10" i="10"/>
  <c r="SD10" i="10" s="1"/>
  <c r="NT10" i="10"/>
  <c r="NU10" i="10" s="1"/>
  <c r="QN10" i="10"/>
  <c r="QO10" i="10" s="1"/>
  <c r="TF10" i="10"/>
  <c r="TG10" i="10" s="1"/>
  <c r="ST13" i="10"/>
  <c r="SU13" i="10" s="1"/>
  <c r="X13" i="10"/>
  <c r="Y13" i="10" s="1"/>
  <c r="BS13" i="10"/>
  <c r="BT13" i="10" s="1"/>
  <c r="KZ13" i="10"/>
  <c r="LA13" i="10" s="1"/>
  <c r="QN13" i="10"/>
  <c r="QO13" i="10" s="1"/>
  <c r="FE13" i="10"/>
  <c r="FF13" i="10" s="1"/>
  <c r="DU16" i="10"/>
  <c r="DV16" i="10" s="1"/>
  <c r="SH16" i="10"/>
  <c r="SI16" i="10" s="1"/>
  <c r="LE20" i="10"/>
  <c r="TK20" i="10"/>
  <c r="TL20" i="10" s="1"/>
  <c r="DC4" i="10"/>
  <c r="DD4" i="10" s="1"/>
  <c r="MC20" i="14"/>
  <c r="MD20" i="14" s="1"/>
  <c r="MU20" i="14"/>
  <c r="DC20" i="14"/>
  <c r="DD20" i="14" s="1"/>
  <c r="PO20" i="14"/>
  <c r="PP20" i="14" s="1"/>
  <c r="CR10" i="14"/>
  <c r="CS10" i="14" s="1"/>
  <c r="TH13" i="14"/>
  <c r="TI13" i="14" s="1"/>
  <c r="EM20" i="14"/>
  <c r="EN20" i="14" s="1"/>
  <c r="RQ20" i="14"/>
  <c r="GD10" i="14"/>
  <c r="GE10" i="14" s="1"/>
  <c r="IX10" i="14"/>
  <c r="IY10" i="14" s="1"/>
  <c r="OW10" i="14"/>
  <c r="OX10" i="14" s="1"/>
  <c r="RQ10" i="14"/>
  <c r="RR10" i="14" s="1"/>
  <c r="IA9" i="14"/>
  <c r="IB9" i="14" s="1"/>
  <c r="KM10" i="14"/>
  <c r="KN10" i="14" s="1"/>
  <c r="PD10" i="14"/>
  <c r="PE10" i="14" s="1"/>
  <c r="SU10" i="14"/>
  <c r="SV10" i="14" s="1"/>
  <c r="GI20" i="14"/>
  <c r="GJ20" i="14" s="1"/>
  <c r="RK20" i="14"/>
  <c r="X20" i="14"/>
  <c r="Y20" i="14" s="1"/>
  <c r="BZ10" i="14"/>
  <c r="CA10" i="14" s="1"/>
  <c r="EY20" i="14"/>
  <c r="EZ20" i="14" s="1"/>
  <c r="JI20" i="14"/>
  <c r="JJ20" i="14" s="1"/>
  <c r="NY20" i="14"/>
  <c r="NZ20" i="14" s="1"/>
  <c r="QS20" i="14"/>
  <c r="QT20" i="14" s="1"/>
  <c r="TM20" i="14"/>
  <c r="TN20" i="14" s="1"/>
  <c r="GO13" i="14"/>
  <c r="GP13" i="14" s="1"/>
  <c r="FW20" i="14"/>
  <c r="FX20" i="14" s="1"/>
  <c r="LE20" i="14"/>
  <c r="LF20" i="14" s="1"/>
  <c r="OW20" i="14"/>
  <c r="OX20" i="14" s="1"/>
  <c r="X10" i="14"/>
  <c r="Y10" i="14" s="1"/>
  <c r="IF10" i="14"/>
  <c r="IG10" i="14" s="1"/>
  <c r="QN10" i="14"/>
  <c r="QO10" i="14" s="1"/>
  <c r="IK20" i="14"/>
  <c r="IL20" i="14" s="1"/>
  <c r="SI4" i="8"/>
  <c r="SJ4" i="8" s="1"/>
  <c r="RQ20" i="8"/>
  <c r="RR20" i="8" s="1"/>
  <c r="PV10" i="8"/>
  <c r="PW10" i="8" s="1"/>
  <c r="PI10" i="8"/>
  <c r="PJ10" i="8" s="1"/>
  <c r="OW20" i="8"/>
  <c r="OX20" i="8" s="1"/>
  <c r="NG20" i="8"/>
  <c r="NH20" i="8" s="1"/>
  <c r="LR10" i="8"/>
  <c r="LS10" i="8" s="1"/>
  <c r="KZ10" i="8"/>
  <c r="LA10" i="8" s="1"/>
  <c r="KS13" i="8"/>
  <c r="KT13" i="8" s="1"/>
  <c r="JI20" i="8"/>
  <c r="JJ20" i="8" s="1"/>
  <c r="IQ13" i="8"/>
  <c r="IR13" i="8" s="1"/>
  <c r="FL10" i="8"/>
  <c r="FM10" i="8" s="1"/>
  <c r="EM16" i="8"/>
  <c r="EN16" i="8" s="1"/>
  <c r="BS16" i="8"/>
  <c r="BT16" i="8" s="1"/>
  <c r="RQ10" i="10"/>
  <c r="RR10" i="10" s="1"/>
  <c r="RQ20" i="10"/>
  <c r="RR20" i="10" s="1"/>
  <c r="OL10" i="10"/>
  <c r="OM10" i="10" s="1"/>
  <c r="NT13" i="10"/>
  <c r="NU13" i="10" s="1"/>
  <c r="NY20" i="10"/>
  <c r="NM16" i="10"/>
  <c r="NN16" i="10" s="1"/>
  <c r="NM13" i="10"/>
  <c r="NN13" i="10" s="1"/>
  <c r="KS20" i="10"/>
  <c r="KT20" i="10" s="1"/>
  <c r="JU20" i="10"/>
  <c r="JV20" i="10" s="1"/>
  <c r="IF13" i="10"/>
  <c r="IG13" i="10" s="1"/>
  <c r="FL13" i="10"/>
  <c r="FM13" i="10" s="1"/>
  <c r="FQ20" i="10"/>
  <c r="FR20" i="10" s="1"/>
  <c r="SI20" i="14"/>
  <c r="SJ20" i="14" s="1"/>
  <c r="SI13" i="14"/>
  <c r="SJ13" i="14" s="1"/>
  <c r="QY13" i="14"/>
  <c r="QZ13" i="14" s="1"/>
  <c r="OQ20" i="14"/>
  <c r="OR20" i="14" s="1"/>
  <c r="OE4" i="14"/>
  <c r="OF4" i="14" s="1"/>
  <c r="NM4" i="14"/>
  <c r="NN4" i="14" s="1"/>
  <c r="MJ10" i="14"/>
  <c r="MK10" i="14" s="1"/>
  <c r="LW20" i="14"/>
  <c r="LX20" i="14" s="1"/>
  <c r="KZ10" i="14"/>
  <c r="LA10" i="14" s="1"/>
  <c r="KA13" i="14"/>
  <c r="KB13" i="14" s="1"/>
  <c r="JC20" i="14"/>
  <c r="JD20" i="14" s="1"/>
  <c r="HS20" i="14"/>
  <c r="HT20" i="14" s="1"/>
  <c r="IA6" i="14"/>
  <c r="IB6" i="14" s="1"/>
  <c r="GE11" i="14"/>
  <c r="GO16" i="14"/>
  <c r="GP16" i="14" s="1"/>
  <c r="DJ10" i="14"/>
  <c r="DK10" i="14" s="1"/>
  <c r="CA11" i="14"/>
  <c r="BA10" i="14"/>
  <c r="BB10" i="14" s="1"/>
  <c r="AU10" i="14"/>
  <c r="AV10" i="14" s="1"/>
  <c r="AU10" i="8"/>
  <c r="AV10" i="8" s="1"/>
  <c r="AI13" i="8"/>
  <c r="AJ13" i="8" s="1"/>
  <c r="BA16" i="8"/>
  <c r="BB16" i="8" s="1"/>
  <c r="JP10" i="8"/>
  <c r="JQ10" i="8" s="1"/>
  <c r="EM13" i="8"/>
  <c r="EN13" i="8" s="1"/>
  <c r="RL21" i="8"/>
  <c r="RK20" i="8"/>
  <c r="RL20" i="8" s="1"/>
  <c r="EN14" i="10"/>
  <c r="EM13" i="10"/>
  <c r="EN13" i="10" s="1"/>
  <c r="GO10" i="10"/>
  <c r="GP10" i="10" s="1"/>
  <c r="KT11" i="10"/>
  <c r="KS10" i="10"/>
  <c r="KT10" i="10" s="1"/>
  <c r="OF11" i="10"/>
  <c r="OE10" i="10"/>
  <c r="OF10" i="10" s="1"/>
  <c r="CM9" i="10"/>
  <c r="CN9" i="10" s="1"/>
  <c r="CA9" i="10"/>
  <c r="TQ11" i="10"/>
  <c r="TP10" i="10"/>
  <c r="TQ10" i="10" s="1"/>
  <c r="OL13" i="10"/>
  <c r="OM13" i="10" s="1"/>
  <c r="Q16" i="10"/>
  <c r="R16" i="10" s="1"/>
  <c r="KS16" i="10"/>
  <c r="KT16" i="10" s="1"/>
  <c r="PO20" i="10"/>
  <c r="PP20" i="10" s="1"/>
  <c r="RK20" i="10"/>
  <c r="RL20" i="10" s="1"/>
  <c r="AP10" i="14"/>
  <c r="AQ10" i="14" s="1"/>
  <c r="OW4" i="14"/>
  <c r="OX4" i="14" s="1"/>
  <c r="TA4" i="14"/>
  <c r="TB4" i="14" s="1"/>
  <c r="GI10" i="14"/>
  <c r="GJ10" i="14" s="1"/>
  <c r="HG10" i="14"/>
  <c r="HH10" i="14" s="1"/>
  <c r="AP20" i="14"/>
  <c r="AQ20" i="14" s="1"/>
  <c r="HY20" i="14"/>
  <c r="HZ20" i="14" s="1"/>
  <c r="JI10" i="10"/>
  <c r="JJ10" i="10" s="1"/>
  <c r="CK13" i="10"/>
  <c r="CL13" i="10" s="1"/>
  <c r="KS13" i="10"/>
  <c r="KT13" i="10" s="1"/>
  <c r="QG16" i="10"/>
  <c r="QH16" i="10" s="1"/>
  <c r="SY16" i="10"/>
  <c r="SZ16" i="10" s="1"/>
  <c r="AP16" i="10"/>
  <c r="AQ16" i="10" s="1"/>
  <c r="HA20" i="10"/>
  <c r="HB20" i="10" s="1"/>
  <c r="KA20" i="10"/>
  <c r="KB20" i="10" s="1"/>
  <c r="MO20" i="10"/>
  <c r="MP20" i="10" s="1"/>
  <c r="QG20" i="10"/>
  <c r="QH20" i="10" s="1"/>
  <c r="SC20" i="10"/>
  <c r="SD20" i="10" s="1"/>
  <c r="RQ4" i="14"/>
  <c r="RR4" i="14" s="1"/>
  <c r="PO4" i="14"/>
  <c r="PP4" i="14" s="1"/>
  <c r="RS7" i="14"/>
  <c r="RT7" i="14" s="1"/>
  <c r="KA10" i="14"/>
  <c r="KB10" i="14" s="1"/>
  <c r="OQ10" i="14"/>
  <c r="OR10" i="14" s="1"/>
  <c r="CK13" i="14"/>
  <c r="CL13" i="14" s="1"/>
  <c r="LK13" i="14"/>
  <c r="LL13" i="14" s="1"/>
  <c r="HA20" i="14"/>
  <c r="HB20" i="14" s="1"/>
  <c r="JU20" i="14"/>
  <c r="JV20" i="14" s="1"/>
  <c r="HY10" i="10"/>
  <c r="HZ10" i="10" s="1"/>
  <c r="LK13" i="10"/>
  <c r="LL13" i="10" s="1"/>
  <c r="QG13" i="10"/>
  <c r="QH13" i="10" s="1"/>
  <c r="HS13" i="10"/>
  <c r="HT13" i="10" s="1"/>
  <c r="JP13" i="10"/>
  <c r="JQ13" i="10" s="1"/>
  <c r="PD13" i="10"/>
  <c r="PE13" i="10" s="1"/>
  <c r="HY16" i="10"/>
  <c r="HZ16" i="10" s="1"/>
  <c r="SC16" i="10"/>
  <c r="SD16" i="10" s="1"/>
  <c r="TF16" i="10"/>
  <c r="TG16" i="10" s="1"/>
  <c r="X20" i="10"/>
  <c r="Y20" i="10" s="1"/>
  <c r="HY20" i="10"/>
  <c r="HZ20" i="10" s="1"/>
  <c r="PI20" i="10"/>
  <c r="PJ20" i="10" s="1"/>
  <c r="SH20" i="10"/>
  <c r="SI20" i="10" s="1"/>
  <c r="ET4" i="14"/>
  <c r="EU4" i="14" s="1"/>
  <c r="PV4" i="14"/>
  <c r="PW4" i="14" s="1"/>
  <c r="RA7" i="14"/>
  <c r="RB7" i="14" s="1"/>
  <c r="FW10" i="14"/>
  <c r="FX10" i="14" s="1"/>
  <c r="GD13" i="14"/>
  <c r="GE13" i="14" s="1"/>
  <c r="OE13" i="14"/>
  <c r="OF13" i="14" s="1"/>
  <c r="EB13" i="14"/>
  <c r="EC13" i="14" s="1"/>
  <c r="DO20" i="14"/>
  <c r="DP20" i="14" s="1"/>
  <c r="FL20" i="14"/>
  <c r="FM20" i="14" s="1"/>
  <c r="HG20" i="14"/>
  <c r="HH20" i="14" s="1"/>
  <c r="KA20" i="14"/>
  <c r="TA20" i="14"/>
  <c r="TB20" i="14" s="1"/>
  <c r="SK8" i="14"/>
  <c r="SL8" i="14" s="1"/>
  <c r="QS4" i="14"/>
  <c r="QT4" i="14" s="1"/>
  <c r="BU9" i="14"/>
  <c r="BV9" i="14" s="1"/>
  <c r="CW10" i="8"/>
  <c r="CX10" i="8" s="1"/>
  <c r="QY4" i="8"/>
  <c r="QZ4" i="8" s="1"/>
  <c r="TQ10" i="8"/>
  <c r="TR10" i="8" s="1"/>
  <c r="EB10" i="8"/>
  <c r="EC10" i="8" s="1"/>
  <c r="CK13" i="8"/>
  <c r="CL13" i="8" s="1"/>
  <c r="SP13" i="8"/>
  <c r="SQ13" i="8" s="1"/>
  <c r="JI16" i="8"/>
  <c r="JJ16" i="8" s="1"/>
  <c r="TK4" i="10"/>
  <c r="TL4" i="10" s="1"/>
  <c r="QI9" i="10"/>
  <c r="QJ9" i="10" s="1"/>
  <c r="NY13" i="10"/>
  <c r="NZ13" i="10" s="1"/>
  <c r="BH13" i="10"/>
  <c r="BI13" i="10" s="1"/>
  <c r="DC13" i="10"/>
  <c r="DD13" i="10" s="1"/>
  <c r="PO16" i="10"/>
  <c r="PP16" i="10" s="1"/>
  <c r="BS16" i="10"/>
  <c r="BT16" i="10" s="1"/>
  <c r="DU20" i="10"/>
  <c r="DV20" i="10" s="1"/>
  <c r="OE20" i="10"/>
  <c r="OF20" i="10" s="1"/>
  <c r="QY20" i="10"/>
  <c r="QZ20" i="10" s="1"/>
  <c r="EO9" i="8"/>
  <c r="EP9" i="8" s="1"/>
  <c r="IX10" i="8"/>
  <c r="IY10" i="8" s="1"/>
  <c r="SU10" i="8"/>
  <c r="SV10" i="8" s="1"/>
  <c r="Q13" i="8"/>
  <c r="R13" i="8" s="1"/>
  <c r="GO13" i="8"/>
  <c r="GP13" i="8" s="1"/>
  <c r="NY13" i="8"/>
  <c r="NZ13" i="8" s="1"/>
  <c r="JC20" i="8"/>
  <c r="JD20" i="8" s="1"/>
  <c r="PO4" i="10"/>
  <c r="PP4" i="10" s="1"/>
  <c r="NM10" i="10"/>
  <c r="NN10" i="10" s="1"/>
  <c r="QS10" i="10"/>
  <c r="QT10" i="10" s="1"/>
  <c r="MD11" i="10"/>
  <c r="DJ13" i="10"/>
  <c r="DK13" i="10" s="1"/>
  <c r="IQ13" i="10"/>
  <c r="IR13" i="10" s="1"/>
  <c r="TF13" i="10"/>
  <c r="TG13" i="10" s="1"/>
  <c r="QY16" i="10"/>
  <c r="QZ16" i="10" s="1"/>
  <c r="AP20" i="10"/>
  <c r="AQ20" i="10" s="1"/>
  <c r="ST20" i="10"/>
  <c r="TP20" i="10"/>
  <c r="TQ20" i="10" s="1"/>
  <c r="PO4" i="8"/>
  <c r="PP4" i="8" s="1"/>
  <c r="RS7" i="8"/>
  <c r="RT7" i="8" s="1"/>
  <c r="TS8" i="8"/>
  <c r="TT8" i="8" s="1"/>
  <c r="TL10" i="8"/>
  <c r="TM10" i="8" s="1"/>
  <c r="AP10" i="8"/>
  <c r="AQ10" i="8" s="1"/>
  <c r="DJ10" i="8"/>
  <c r="DK10" i="8" s="1"/>
  <c r="IK13" i="8"/>
  <c r="IL13" i="8" s="1"/>
  <c r="OW13" i="8"/>
  <c r="OX13" i="8" s="1"/>
  <c r="FW20" i="8"/>
  <c r="FX20" i="8" s="1"/>
  <c r="SO4" i="10"/>
  <c r="SP4" i="10" s="1"/>
  <c r="CK10" i="10"/>
  <c r="CL10" i="10" s="1"/>
  <c r="GV13" i="10"/>
  <c r="GW13" i="10" s="1"/>
  <c r="NG13" i="10"/>
  <c r="NH13" i="10" s="1"/>
  <c r="OE16" i="10"/>
  <c r="OF16" i="10" s="1"/>
  <c r="RX16" i="10"/>
  <c r="RY16" i="10" s="1"/>
  <c r="TP16" i="10"/>
  <c r="TQ16" i="10" s="1"/>
  <c r="CK20" i="10"/>
  <c r="CL20" i="10" s="1"/>
  <c r="LK20" i="10"/>
  <c r="LL20" i="10" s="1"/>
  <c r="CK4" i="14"/>
  <c r="CL4" i="14" s="1"/>
  <c r="HG4" i="14"/>
  <c r="HH4" i="14" s="1"/>
  <c r="KU6" i="14"/>
  <c r="KV6" i="14" s="1"/>
  <c r="IS7" i="14"/>
  <c r="IT7" i="14" s="1"/>
  <c r="JK7" i="14"/>
  <c r="JL7" i="14" s="1"/>
  <c r="LM7" i="14"/>
  <c r="LN7" i="14" s="1"/>
  <c r="PQ8" i="14"/>
  <c r="PR8" i="14" s="1"/>
  <c r="CM9" i="14"/>
  <c r="CN9" i="14" s="1"/>
  <c r="IS9" i="14"/>
  <c r="IT9" i="14" s="1"/>
  <c r="DU10" i="14"/>
  <c r="DV10" i="14" s="1"/>
  <c r="HN10" i="14"/>
  <c r="HO10" i="14" s="1"/>
  <c r="MC10" i="14"/>
  <c r="MD10" i="14" s="1"/>
  <c r="ET10" i="14"/>
  <c r="EU10" i="14" s="1"/>
  <c r="FL10" i="14"/>
  <c r="FM10" i="14" s="1"/>
  <c r="LW10" i="14"/>
  <c r="LX10" i="14" s="1"/>
  <c r="MU10" i="14"/>
  <c r="MV10" i="14" s="1"/>
  <c r="TH10" i="14"/>
  <c r="TI10" i="14" s="1"/>
  <c r="FE13" i="14"/>
  <c r="FF13" i="14" s="1"/>
  <c r="NG13" i="14"/>
  <c r="NH13" i="14" s="1"/>
  <c r="K13" i="14"/>
  <c r="L13" i="14" s="1"/>
  <c r="X13" i="14"/>
  <c r="Y13" i="14" s="1"/>
  <c r="DC16" i="14"/>
  <c r="DD16" i="14" s="1"/>
  <c r="JI4" i="14"/>
  <c r="JJ4" i="14" s="1"/>
  <c r="RG7" i="14"/>
  <c r="AQ12" i="14"/>
  <c r="PO10" i="14"/>
  <c r="PP10" i="14" s="1"/>
  <c r="OW13" i="14"/>
  <c r="OX13" i="14" s="1"/>
  <c r="LK16" i="14"/>
  <c r="LL16" i="14" s="1"/>
  <c r="Q4" i="14"/>
  <c r="R4" i="14" s="1"/>
  <c r="KM4" i="14"/>
  <c r="KN4" i="14" s="1"/>
  <c r="LK4" i="14"/>
  <c r="LL4" i="14" s="1"/>
  <c r="RA5" i="14"/>
  <c r="RB5" i="14" s="1"/>
  <c r="DW7" i="14"/>
  <c r="DX7" i="14" s="1"/>
  <c r="ME7" i="14"/>
  <c r="MF7" i="14" s="1"/>
  <c r="QI7" i="14"/>
  <c r="QJ7" i="14" s="1"/>
  <c r="GO10" i="14"/>
  <c r="GP10" i="14" s="1"/>
  <c r="LK10" i="14"/>
  <c r="LL10" i="14" s="1"/>
  <c r="QY10" i="14"/>
  <c r="QZ10" i="14" s="1"/>
  <c r="OE10" i="14"/>
  <c r="OF10" i="14" s="1"/>
  <c r="RK10" i="14"/>
  <c r="RL10" i="14" s="1"/>
  <c r="F10" i="14"/>
  <c r="G10" i="14" s="1"/>
  <c r="PQ12" i="14"/>
  <c r="PR12" i="14" s="1"/>
  <c r="JI13" i="14"/>
  <c r="JJ13" i="14" s="1"/>
  <c r="MC13" i="14"/>
  <c r="MD13" i="14" s="1"/>
  <c r="PD13" i="14"/>
  <c r="PE13" i="14" s="1"/>
  <c r="QG16" i="14"/>
  <c r="QH16" i="14" s="1"/>
  <c r="RK13" i="10"/>
  <c r="RL13" i="10" s="1"/>
  <c r="QA16" i="10"/>
  <c r="QB16" i="10" s="1"/>
  <c r="QA10" i="10"/>
  <c r="QB10" i="10" s="1"/>
  <c r="LE13" i="10"/>
  <c r="LF13" i="10" s="1"/>
  <c r="KC6" i="10"/>
  <c r="KD6" i="10" s="1"/>
  <c r="GI13" i="10"/>
  <c r="GJ13" i="10" s="1"/>
  <c r="FG9" i="10"/>
  <c r="FH9" i="10" s="1"/>
  <c r="FG6" i="10"/>
  <c r="FH6" i="10" s="1"/>
  <c r="MW7" i="8"/>
  <c r="MX7" i="8" s="1"/>
  <c r="TB7" i="8"/>
  <c r="TC7" i="8" s="1"/>
  <c r="R17" i="8"/>
  <c r="Q16" i="8"/>
  <c r="R16" i="8" s="1"/>
  <c r="CL17" i="8"/>
  <c r="CK16" i="8"/>
  <c r="CL16" i="8" s="1"/>
  <c r="HZ17" i="8"/>
  <c r="HY16" i="8"/>
  <c r="HZ16" i="8" s="1"/>
  <c r="KT17" i="8"/>
  <c r="KS16" i="8"/>
  <c r="KT16" i="8" s="1"/>
  <c r="NN17" i="8"/>
  <c r="NM16" i="8"/>
  <c r="NN16" i="8" s="1"/>
  <c r="GP18" i="8"/>
  <c r="GO16" i="8"/>
  <c r="GP16" i="8" s="1"/>
  <c r="OX18" i="8"/>
  <c r="OW16" i="8"/>
  <c r="OX16" i="8" s="1"/>
  <c r="RR18" i="8"/>
  <c r="RQ16" i="8"/>
  <c r="RR16" i="8" s="1"/>
  <c r="FE13" i="8"/>
  <c r="FF13" i="8" s="1"/>
  <c r="FX14" i="8"/>
  <c r="FW13" i="8"/>
  <c r="FX13" i="8" s="1"/>
  <c r="BT15" i="8"/>
  <c r="BS13" i="8"/>
  <c r="BT13" i="8" s="1"/>
  <c r="HH15" i="8"/>
  <c r="HG13" i="8"/>
  <c r="HH13" i="8" s="1"/>
  <c r="KB15" i="8"/>
  <c r="KA13" i="8"/>
  <c r="KB13" i="8" s="1"/>
  <c r="SZ16" i="8"/>
  <c r="TA16" i="8" s="1"/>
  <c r="KC7" i="8"/>
  <c r="KD7" i="8" s="1"/>
  <c r="PQ7" i="8"/>
  <c r="PR7" i="8" s="1"/>
  <c r="EH14" i="8"/>
  <c r="EG13" i="8"/>
  <c r="EH13" i="8" s="1"/>
  <c r="HZ14" i="8"/>
  <c r="HY13" i="8"/>
  <c r="HZ13" i="8" s="1"/>
  <c r="NN14" i="8"/>
  <c r="NM13" i="8"/>
  <c r="NN13" i="8" s="1"/>
  <c r="QH14" i="8"/>
  <c r="QG13" i="8"/>
  <c r="QH13" i="8" s="1"/>
  <c r="RR15" i="8"/>
  <c r="RQ13" i="8"/>
  <c r="RR13" i="8" s="1"/>
  <c r="MC16" i="8"/>
  <c r="MD16" i="8" s="1"/>
  <c r="OE4" i="8"/>
  <c r="OF4" i="8" s="1"/>
  <c r="TL4" i="8"/>
  <c r="TM4" i="8" s="1"/>
  <c r="OQ10" i="8"/>
  <c r="OR10" i="8" s="1"/>
  <c r="F10" i="8"/>
  <c r="G10" i="8" s="1"/>
  <c r="BZ10" i="8"/>
  <c r="CA10" i="8" s="1"/>
  <c r="ET10" i="8"/>
  <c r="EU10" i="8" s="1"/>
  <c r="KH10" i="8"/>
  <c r="KI10" i="8" s="1"/>
  <c r="DC13" i="8"/>
  <c r="DD13" i="8" s="1"/>
  <c r="HA13" i="8"/>
  <c r="HB13" i="8" s="1"/>
  <c r="LK13" i="8"/>
  <c r="LL13" i="8" s="1"/>
  <c r="SZ13" i="8"/>
  <c r="TA13" i="8" s="1"/>
  <c r="FE16" i="8"/>
  <c r="FF16" i="8" s="1"/>
  <c r="QG16" i="8"/>
  <c r="QH16" i="8" s="1"/>
  <c r="SK17" i="8"/>
  <c r="SL17" i="8" s="1"/>
  <c r="BU18" i="8"/>
  <c r="BV18" i="8" s="1"/>
  <c r="QA20" i="8"/>
  <c r="QB20" i="8" s="1"/>
  <c r="TQ20" i="8"/>
  <c r="TR20" i="8" s="1"/>
  <c r="LK4" i="10"/>
  <c r="LL4" i="10" s="1"/>
  <c r="QY4" i="10"/>
  <c r="QZ4" i="10" s="1"/>
  <c r="ST4" i="10"/>
  <c r="SU4" i="10" s="1"/>
  <c r="GQ9" i="10"/>
  <c r="GR9" i="10" s="1"/>
  <c r="HI9" i="10"/>
  <c r="HJ9" i="10" s="1"/>
  <c r="OY9" i="10"/>
  <c r="OZ9" i="10" s="1"/>
  <c r="Q10" i="10"/>
  <c r="R10" i="10" s="1"/>
  <c r="FE10" i="10"/>
  <c r="FF10" i="10" s="1"/>
  <c r="QG10" i="10"/>
  <c r="QH10" i="10" s="1"/>
  <c r="CM12" i="10"/>
  <c r="CN12" i="10" s="1"/>
  <c r="KZ10" i="10"/>
  <c r="LA10" i="10" s="1"/>
  <c r="ME12" i="10"/>
  <c r="MF12" i="10" s="1"/>
  <c r="Q13" i="10"/>
  <c r="R13" i="10" s="1"/>
  <c r="AI16" i="10"/>
  <c r="AJ16" i="10" s="1"/>
  <c r="AJ17" i="10"/>
  <c r="TQ14" i="10"/>
  <c r="R15" i="10"/>
  <c r="BH10" i="8"/>
  <c r="BI10" i="8" s="1"/>
  <c r="GQ12" i="8"/>
  <c r="GR12" i="8" s="1"/>
  <c r="BA13" i="8"/>
  <c r="BB13" i="8" s="1"/>
  <c r="DU13" i="8"/>
  <c r="DV13" i="8" s="1"/>
  <c r="FQ13" i="8"/>
  <c r="FR13" i="8" s="1"/>
  <c r="JI13" i="8"/>
  <c r="JJ13" i="8" s="1"/>
  <c r="MC13" i="8"/>
  <c r="MD13" i="8" s="1"/>
  <c r="TL13" i="8"/>
  <c r="TM13" i="8" s="1"/>
  <c r="FW16" i="8"/>
  <c r="FX16" i="8" s="1"/>
  <c r="KM16" i="8"/>
  <c r="KN16" i="8" s="1"/>
  <c r="QY16" i="8"/>
  <c r="QZ16" i="8" s="1"/>
  <c r="QN16" i="8"/>
  <c r="QO16" i="8" s="1"/>
  <c r="TS17" i="8"/>
  <c r="TT17" i="8" s="1"/>
  <c r="Q20" i="8"/>
  <c r="R20" i="8" s="1"/>
  <c r="DU20" i="8"/>
  <c r="DV20" i="8" s="1"/>
  <c r="GI20" i="8"/>
  <c r="GJ20" i="8" s="1"/>
  <c r="IQ20" i="8"/>
  <c r="IR20" i="8" s="1"/>
  <c r="LW20" i="8"/>
  <c r="NY20" i="8"/>
  <c r="NZ20" i="8" s="1"/>
  <c r="QS20" i="8"/>
  <c r="SI20" i="8"/>
  <c r="SJ20" i="8" s="1"/>
  <c r="TG20" i="8"/>
  <c r="TH20" i="8" s="1"/>
  <c r="FW4" i="10"/>
  <c r="FX4" i="10" s="1"/>
  <c r="QA4" i="10"/>
  <c r="QB4" i="10" s="1"/>
  <c r="SH4" i="10"/>
  <c r="SI4" i="10" s="1"/>
  <c r="CR4" i="10"/>
  <c r="CS4" i="10" s="1"/>
  <c r="KU5" i="10"/>
  <c r="KV5" i="10" s="1"/>
  <c r="EO6" i="10"/>
  <c r="EP6" i="10" s="1"/>
  <c r="EU6" i="10"/>
  <c r="GQ6" i="10"/>
  <c r="GR6" i="10" s="1"/>
  <c r="ME9" i="10"/>
  <c r="MF9" i="10" s="1"/>
  <c r="RS9" i="10"/>
  <c r="RT9" i="10" s="1"/>
  <c r="MJ10" i="10"/>
  <c r="MK10" i="10" s="1"/>
  <c r="OW10" i="10"/>
  <c r="OX10" i="10" s="1"/>
  <c r="RR12" i="10"/>
  <c r="FW13" i="10"/>
  <c r="FX13" i="10" s="1"/>
  <c r="OE13" i="10"/>
  <c r="OF13" i="10" s="1"/>
  <c r="QY13" i="10"/>
  <c r="QZ13" i="10" s="1"/>
  <c r="KA13" i="10"/>
  <c r="KB13" i="10" s="1"/>
  <c r="KB14" i="10"/>
  <c r="MU13" i="10"/>
  <c r="MV13" i="10" s="1"/>
  <c r="MV14" i="10"/>
  <c r="PO13" i="10"/>
  <c r="PP13" i="10" s="1"/>
  <c r="PP14" i="10"/>
  <c r="SH13" i="10"/>
  <c r="SI13" i="10" s="1"/>
  <c r="SI14" i="10"/>
  <c r="DU16" i="8"/>
  <c r="DV16" i="8" s="1"/>
  <c r="OE16" i="8"/>
  <c r="OF16" i="8" s="1"/>
  <c r="TL16" i="8"/>
  <c r="TM16" i="8" s="1"/>
  <c r="OE20" i="8"/>
  <c r="OF20" i="8" s="1"/>
  <c r="QY20" i="8"/>
  <c r="QZ20" i="8" s="1"/>
  <c r="TL20" i="8"/>
  <c r="TM20" i="8" s="1"/>
  <c r="KA4" i="10"/>
  <c r="KB4" i="10" s="1"/>
  <c r="QS4" i="10"/>
  <c r="QT4" i="10" s="1"/>
  <c r="BC6" i="10"/>
  <c r="BD6" i="10" s="1"/>
  <c r="IS9" i="10"/>
  <c r="IT9" i="10" s="1"/>
  <c r="NO9" i="10"/>
  <c r="NP9" i="10" s="1"/>
  <c r="TA9" i="10"/>
  <c r="TB9" i="10" s="1"/>
  <c r="DU10" i="10"/>
  <c r="DV10" i="10" s="1"/>
  <c r="MO10" i="10"/>
  <c r="MP10" i="10" s="1"/>
  <c r="SY10" i="10"/>
  <c r="SZ10" i="10" s="1"/>
  <c r="BA10" i="10"/>
  <c r="BB10" i="10" s="1"/>
  <c r="PD10" i="10"/>
  <c r="PE10" i="10" s="1"/>
  <c r="RS12" i="10"/>
  <c r="RT12" i="10" s="1"/>
  <c r="GD13" i="10"/>
  <c r="GE13" i="10" s="1"/>
  <c r="HY13" i="10"/>
  <c r="HZ13" i="10" s="1"/>
  <c r="CR13" i="10"/>
  <c r="CS13" i="10" s="1"/>
  <c r="EB13" i="10"/>
  <c r="EC13" i="10" s="1"/>
  <c r="DC16" i="10"/>
  <c r="DD16" i="10" s="1"/>
  <c r="EG16" i="10"/>
  <c r="EH16" i="10" s="1"/>
  <c r="MU16" i="10"/>
  <c r="MV16" i="10" s="1"/>
  <c r="Q20" i="10"/>
  <c r="R20" i="10" s="1"/>
  <c r="BA20" i="10"/>
  <c r="BB20" i="10" s="1"/>
  <c r="CW20" i="10"/>
  <c r="CX20" i="10" s="1"/>
  <c r="EG20" i="10"/>
  <c r="EH20" i="10" s="1"/>
  <c r="KM20" i="10"/>
  <c r="KN20" i="10" s="1"/>
  <c r="MC20" i="10"/>
  <c r="MD20" i="10" s="1"/>
  <c r="NG20" i="10"/>
  <c r="QS20" i="10"/>
  <c r="AJ21" i="10"/>
  <c r="BT21" i="10"/>
  <c r="DD21" i="10"/>
  <c r="EN21" i="10"/>
  <c r="FE16" i="10"/>
  <c r="FF16" i="10" s="1"/>
  <c r="BM20" i="10"/>
  <c r="BN20" i="10" s="1"/>
  <c r="HS20" i="10"/>
  <c r="HT20" i="10" s="1"/>
  <c r="DW17" i="10"/>
  <c r="DX17" i="10" s="1"/>
  <c r="K4" i="14"/>
  <c r="L4" i="14" s="1"/>
  <c r="HY4" i="14"/>
  <c r="HZ4" i="14" s="1"/>
  <c r="KS4" i="14"/>
  <c r="KT4" i="14" s="1"/>
  <c r="DC4" i="14"/>
  <c r="DD4" i="14" s="1"/>
  <c r="EU5" i="14"/>
  <c r="KA4" i="14"/>
  <c r="KB4" i="14" s="1"/>
  <c r="SP4" i="14"/>
  <c r="SQ4" i="14" s="1"/>
  <c r="HI6" i="14"/>
  <c r="HJ6" i="14" s="1"/>
  <c r="HO6" i="14"/>
  <c r="KI6" i="14"/>
  <c r="RS6" i="14"/>
  <c r="RT6" i="14" s="1"/>
  <c r="DE7" i="14"/>
  <c r="DF7" i="14" s="1"/>
  <c r="DK7" i="14"/>
  <c r="PW7" i="14"/>
  <c r="FG8" i="14"/>
  <c r="FH8" i="14" s="1"/>
  <c r="FY8" i="14"/>
  <c r="FZ8" i="14" s="1"/>
  <c r="IS8" i="14"/>
  <c r="IT8" i="14" s="1"/>
  <c r="LM8" i="14"/>
  <c r="LN8" i="14" s="1"/>
  <c r="OG8" i="14"/>
  <c r="OH8" i="14" s="1"/>
  <c r="AK9" i="14"/>
  <c r="AL9" i="14" s="1"/>
  <c r="HO9" i="14"/>
  <c r="DK11" i="14"/>
  <c r="IY11" i="14"/>
  <c r="NT10" i="14"/>
  <c r="NU10" i="14" s="1"/>
  <c r="QA10" i="14"/>
  <c r="QB10" i="14" s="1"/>
  <c r="G12" i="14"/>
  <c r="PE12" i="14"/>
  <c r="PP12" i="14"/>
  <c r="DC13" i="14"/>
  <c r="DD13" i="14" s="1"/>
  <c r="HY13" i="14"/>
  <c r="HZ13" i="14" s="1"/>
  <c r="EM16" i="14"/>
  <c r="EN16" i="14" s="1"/>
  <c r="JC4" i="14"/>
  <c r="JD4" i="14" s="1"/>
  <c r="MC4" i="14"/>
  <c r="MD4" i="14" s="1"/>
  <c r="BS4" i="14"/>
  <c r="BT4" i="14" s="1"/>
  <c r="FW4" i="14"/>
  <c r="FX4" i="14" s="1"/>
  <c r="IQ4" i="14"/>
  <c r="IR4" i="14" s="1"/>
  <c r="TS4" i="14"/>
  <c r="TT4" i="14" s="1"/>
  <c r="BU8" i="14"/>
  <c r="BV8" i="14" s="1"/>
  <c r="EO8" i="14"/>
  <c r="EP8" i="14" s="1"/>
  <c r="EU8" i="14"/>
  <c r="KU8" i="14"/>
  <c r="KV8" i="14" s="1"/>
  <c r="TS10" i="14"/>
  <c r="TT10" i="14" s="1"/>
  <c r="DO10" i="14"/>
  <c r="DP10" i="14" s="1"/>
  <c r="EM10" i="14"/>
  <c r="EN10" i="14" s="1"/>
  <c r="JC10" i="14"/>
  <c r="JD10" i="14" s="1"/>
  <c r="DU13" i="14"/>
  <c r="DV13" i="14" s="1"/>
  <c r="FL13" i="14"/>
  <c r="FM13" i="14" s="1"/>
  <c r="IQ13" i="14"/>
  <c r="IR13" i="14" s="1"/>
  <c r="NM13" i="14"/>
  <c r="NN13" i="14" s="1"/>
  <c r="GI16" i="14"/>
  <c r="GJ16" i="14" s="1"/>
  <c r="QY16" i="14"/>
  <c r="QZ16" i="14" s="1"/>
  <c r="CM5" i="14"/>
  <c r="CN5" i="14" s="1"/>
  <c r="DE5" i="14"/>
  <c r="DF5" i="14" s="1"/>
  <c r="S6" i="14"/>
  <c r="T6" i="14" s="1"/>
  <c r="FG6" i="14"/>
  <c r="FH6" i="14" s="1"/>
  <c r="DW8" i="14"/>
  <c r="DX8" i="14" s="1"/>
  <c r="DE9" i="14"/>
  <c r="DF9" i="14" s="1"/>
  <c r="QS10" i="14"/>
  <c r="QT10" i="14" s="1"/>
  <c r="NG10" i="14"/>
  <c r="NH10" i="14" s="1"/>
  <c r="MW12" i="14"/>
  <c r="MX12" i="14" s="1"/>
  <c r="AP13" i="14"/>
  <c r="AQ13" i="14" s="1"/>
  <c r="NT13" i="14"/>
  <c r="NU13" i="14" s="1"/>
  <c r="PO13" i="14"/>
  <c r="PP13" i="14" s="1"/>
  <c r="TA13" i="14"/>
  <c r="TB13" i="14" s="1"/>
  <c r="QS13" i="10"/>
  <c r="QT13" i="10" s="1"/>
  <c r="QA13" i="10"/>
  <c r="QB13" i="10" s="1"/>
  <c r="LW13" i="10"/>
  <c r="LX13" i="10" s="1"/>
  <c r="LE10" i="10"/>
  <c r="LF10" i="10" s="1"/>
  <c r="AC13" i="10"/>
  <c r="AD13" i="10" s="1"/>
  <c r="CE13" i="10"/>
  <c r="CF13" i="10" s="1"/>
  <c r="EY13" i="10"/>
  <c r="EZ13" i="10" s="1"/>
  <c r="KM16" i="10"/>
  <c r="KN16" i="10" s="1"/>
  <c r="KM13" i="10"/>
  <c r="KN13" i="10" s="1"/>
  <c r="IK13" i="10"/>
  <c r="IL13" i="10" s="1"/>
  <c r="IK10" i="10"/>
  <c r="IL10" i="10" s="1"/>
  <c r="HA10" i="10"/>
  <c r="HB10" i="10" s="1"/>
  <c r="GI16" i="10"/>
  <c r="GJ16" i="10" s="1"/>
  <c r="FQ13" i="10"/>
  <c r="FR13" i="10" s="1"/>
  <c r="EY16" i="10"/>
  <c r="EZ16" i="10" s="1"/>
  <c r="CE16" i="10"/>
  <c r="CF16" i="10" s="1"/>
  <c r="AU16" i="10"/>
  <c r="AV16" i="10" s="1"/>
  <c r="K16" i="10"/>
  <c r="L16" i="10" s="1"/>
  <c r="SC13" i="8"/>
  <c r="SD13" i="8" s="1"/>
  <c r="QS13" i="8"/>
  <c r="QT13" i="8" s="1"/>
  <c r="PI13" i="8"/>
  <c r="PJ13" i="8" s="1"/>
  <c r="MO13" i="8"/>
  <c r="MP13" i="8" s="1"/>
  <c r="LW10" i="8"/>
  <c r="LX10" i="8" s="1"/>
  <c r="LE13" i="8"/>
  <c r="LF13" i="8" s="1"/>
  <c r="KM10" i="8"/>
  <c r="KN10" i="8" s="1"/>
  <c r="JU13" i="8"/>
  <c r="JV13" i="8" s="1"/>
  <c r="IK10" i="8"/>
  <c r="IL10" i="8" s="1"/>
  <c r="HS16" i="8"/>
  <c r="HT16" i="8" s="1"/>
  <c r="FQ10" i="8"/>
  <c r="FR10" i="8" s="1"/>
  <c r="EY16" i="8"/>
  <c r="EZ16" i="8" s="1"/>
  <c r="CW13" i="8"/>
  <c r="CX13" i="8" s="1"/>
  <c r="BM13" i="8"/>
  <c r="BN13" i="8" s="1"/>
  <c r="AC13" i="8"/>
  <c r="AD13" i="8" s="1"/>
  <c r="TM13" i="14"/>
  <c r="TN13" i="14" s="1"/>
  <c r="SU13" i="14"/>
  <c r="SV13" i="14" s="1"/>
  <c r="TC15" i="14"/>
  <c r="TD15" i="14" s="1"/>
  <c r="SC10" i="14"/>
  <c r="SD10" i="14" s="1"/>
  <c r="QI19" i="14"/>
  <c r="QJ19" i="14" s="1"/>
  <c r="OQ13" i="14"/>
  <c r="OR13" i="14" s="1"/>
  <c r="LE10" i="14"/>
  <c r="LF10" i="14" s="1"/>
  <c r="KM13" i="14"/>
  <c r="KN13" i="14" s="1"/>
  <c r="JU10" i="14"/>
  <c r="JV10" i="14" s="1"/>
  <c r="JC13" i="14"/>
  <c r="JD13" i="14" s="1"/>
  <c r="EY16" i="14"/>
  <c r="EZ16" i="14" s="1"/>
  <c r="DO13" i="14"/>
  <c r="DP13" i="14" s="1"/>
  <c r="RK16" i="10"/>
  <c r="RL16" i="10" s="1"/>
  <c r="RK10" i="10"/>
  <c r="RL10" i="10" s="1"/>
  <c r="RS11" i="10"/>
  <c r="PI16" i="10"/>
  <c r="PJ16" i="10" s="1"/>
  <c r="OQ16" i="10"/>
  <c r="OR16" i="10" s="1"/>
  <c r="NY4" i="10"/>
  <c r="NZ4" i="10" s="1"/>
  <c r="OG5" i="10"/>
  <c r="OH5" i="10" s="1"/>
  <c r="NG16" i="10"/>
  <c r="NH16" i="10" s="1"/>
  <c r="MO16" i="10"/>
  <c r="MP16" i="10" s="1"/>
  <c r="MO4" i="10"/>
  <c r="MP4" i="10" s="1"/>
  <c r="LW16" i="10"/>
  <c r="LX16" i="10" s="1"/>
  <c r="LW10" i="10"/>
  <c r="LX10" i="10" s="1"/>
  <c r="ME11" i="10"/>
  <c r="MF11" i="10" s="1"/>
  <c r="JU16" i="10"/>
  <c r="JV16" i="10" s="1"/>
  <c r="KM4" i="10"/>
  <c r="KN4" i="10" s="1"/>
  <c r="JC16" i="10"/>
  <c r="JD16" i="10" s="1"/>
  <c r="JC4" i="10"/>
  <c r="JD4" i="10" s="1"/>
  <c r="IK4" i="10"/>
  <c r="IL4" i="10" s="1"/>
  <c r="IA5" i="10"/>
  <c r="IB5" i="10" s="1"/>
  <c r="HA4" i="10"/>
  <c r="HB4" i="10" s="1"/>
  <c r="GQ11" i="10"/>
  <c r="GR11" i="10" s="1"/>
  <c r="FQ4" i="10"/>
  <c r="FR4" i="10" s="1"/>
  <c r="BM10" i="10"/>
  <c r="BN10" i="10" s="1"/>
  <c r="BM4" i="10"/>
  <c r="BN4" i="10" s="1"/>
  <c r="BC11" i="10"/>
  <c r="BD11" i="10" s="1"/>
  <c r="S5" i="10"/>
  <c r="T5" i="10" s="1"/>
  <c r="TU19" i="14"/>
  <c r="TV19" i="14" s="1"/>
  <c r="TM10" i="14"/>
  <c r="TN10" i="14" s="1"/>
  <c r="TM4" i="14"/>
  <c r="TN4" i="14" s="1"/>
  <c r="TC6" i="14"/>
  <c r="TD6" i="14" s="1"/>
  <c r="SC4" i="14"/>
  <c r="SD4" i="14" s="1"/>
  <c r="QI6" i="14"/>
  <c r="QJ6" i="14" s="1"/>
  <c r="QA4" i="14"/>
  <c r="QB4" i="14" s="1"/>
  <c r="PQ19" i="14"/>
  <c r="PR19" i="14" s="1"/>
  <c r="PI10" i="14"/>
  <c r="PJ10" i="14" s="1"/>
  <c r="PI4" i="14"/>
  <c r="PJ4" i="14" s="1"/>
  <c r="OQ4" i="14"/>
  <c r="OR4" i="14" s="1"/>
  <c r="NY4" i="14"/>
  <c r="NZ4" i="14" s="1"/>
  <c r="NO6" i="14"/>
  <c r="NP6" i="14" s="1"/>
  <c r="LW16" i="14"/>
  <c r="LX16" i="14" s="1"/>
  <c r="ME6" i="14"/>
  <c r="MF6" i="14" s="1"/>
  <c r="LM6" i="14"/>
  <c r="LN6" i="14" s="1"/>
  <c r="LM5" i="14"/>
  <c r="LN5" i="14" s="1"/>
  <c r="KC6" i="14"/>
  <c r="KD6" i="14" s="1"/>
  <c r="JU4" i="14"/>
  <c r="JV4" i="14" s="1"/>
  <c r="IK10" i="14"/>
  <c r="IL10" i="14" s="1"/>
  <c r="FQ10" i="14"/>
  <c r="FR10" i="14" s="1"/>
  <c r="FQ4" i="14"/>
  <c r="FR4" i="14" s="1"/>
  <c r="FY5" i="14"/>
  <c r="FZ5" i="14" s="1"/>
  <c r="EG4" i="14"/>
  <c r="EH4" i="14" s="1"/>
  <c r="DW6" i="14"/>
  <c r="DX6" i="14" s="1"/>
  <c r="CW4" i="14"/>
  <c r="CX4" i="14" s="1"/>
  <c r="CE4" i="14"/>
  <c r="CF4" i="14" s="1"/>
  <c r="CM6" i="14"/>
  <c r="CN6" i="14" s="1"/>
  <c r="BM10" i="14"/>
  <c r="BN10" i="14" s="1"/>
  <c r="BU6" i="14"/>
  <c r="BV6" i="14" s="1"/>
  <c r="BM4" i="14"/>
  <c r="BN4" i="14" s="1"/>
  <c r="SC10" i="8"/>
  <c r="SD10" i="8" s="1"/>
  <c r="RK10" i="8"/>
  <c r="RL10" i="8" s="1"/>
  <c r="QS10" i="8"/>
  <c r="QT10" i="8" s="1"/>
  <c r="QA10" i="8"/>
  <c r="QB10" i="8" s="1"/>
  <c r="NY10" i="8"/>
  <c r="NZ10" i="8" s="1"/>
  <c r="NG10" i="8"/>
  <c r="NH10" i="8" s="1"/>
  <c r="MO10" i="8"/>
  <c r="MP10" i="8" s="1"/>
  <c r="LE10" i="8"/>
  <c r="LF10" i="8" s="1"/>
  <c r="JU10" i="8"/>
  <c r="JV10" i="8" s="1"/>
  <c r="JC10" i="8"/>
  <c r="JD10" i="8" s="1"/>
  <c r="HS10" i="8"/>
  <c r="HT10" i="8" s="1"/>
  <c r="HA10" i="8"/>
  <c r="HB10" i="8" s="1"/>
  <c r="GI10" i="8"/>
  <c r="GJ10" i="8" s="1"/>
  <c r="EY10" i="8"/>
  <c r="EZ10" i="8" s="1"/>
  <c r="EG10" i="8"/>
  <c r="EH10" i="8" s="1"/>
  <c r="DO16" i="8"/>
  <c r="DP16" i="8" s="1"/>
  <c r="DO10" i="8"/>
  <c r="DP10" i="8" s="1"/>
  <c r="CE10" i="8"/>
  <c r="CF10" i="8" s="1"/>
  <c r="BM10" i="8"/>
  <c r="BN10" i="8" s="1"/>
  <c r="AU16" i="8"/>
  <c r="AV16" i="8" s="1"/>
  <c r="AC10" i="8"/>
  <c r="AD10" i="8" s="1"/>
  <c r="K16" i="8"/>
  <c r="L16" i="8" s="1"/>
  <c r="K10" i="8"/>
  <c r="L10" i="8" s="1"/>
  <c r="NY4" i="8"/>
  <c r="NZ4" i="8" s="1"/>
  <c r="PI4" i="8"/>
  <c r="PJ4" i="8" s="1"/>
  <c r="QS4" i="8"/>
  <c r="QT4" i="8" s="1"/>
  <c r="SC4" i="8"/>
  <c r="SD4" i="8" s="1"/>
  <c r="SZ4" i="8"/>
  <c r="TA4" i="8" s="1"/>
  <c r="ME7" i="8"/>
  <c r="MF7" i="8" s="1"/>
  <c r="OY7" i="8"/>
  <c r="OZ7" i="8" s="1"/>
  <c r="LM8" i="8"/>
  <c r="LN8" i="8" s="1"/>
  <c r="MW8" i="8"/>
  <c r="MX8" i="8" s="1"/>
  <c r="OG8" i="8"/>
  <c r="OH8" i="8" s="1"/>
  <c r="PQ8" i="8"/>
  <c r="PR8" i="8" s="1"/>
  <c r="RA8" i="8"/>
  <c r="RB8" i="8" s="1"/>
  <c r="SK8" i="8"/>
  <c r="SL8" i="8" s="1"/>
  <c r="DE9" i="8"/>
  <c r="DF9" i="8" s="1"/>
  <c r="GD10" i="8"/>
  <c r="GE10" i="8" s="1"/>
  <c r="GV10" i="8"/>
  <c r="GW10" i="8" s="1"/>
  <c r="HN10" i="8"/>
  <c r="HO10" i="8" s="1"/>
  <c r="IF10" i="8"/>
  <c r="IG10" i="8" s="1"/>
  <c r="MJ10" i="8"/>
  <c r="MK10" i="8" s="1"/>
  <c r="PD10" i="8"/>
  <c r="PE10" i="8" s="1"/>
  <c r="RX10" i="8"/>
  <c r="RY10" i="8" s="1"/>
  <c r="MJ13" i="8"/>
  <c r="MK13" i="8" s="1"/>
  <c r="SU13" i="8"/>
  <c r="SV13" i="8" s="1"/>
  <c r="CE16" i="8"/>
  <c r="CF16" i="8" s="1"/>
  <c r="GI16" i="8"/>
  <c r="GJ16" i="8" s="1"/>
  <c r="JC16" i="8"/>
  <c r="JD16" i="8" s="1"/>
  <c r="LW16" i="8"/>
  <c r="LX16" i="8" s="1"/>
  <c r="NG16" i="8"/>
  <c r="NH16" i="8" s="1"/>
  <c r="OQ16" i="8"/>
  <c r="OR16" i="8" s="1"/>
  <c r="QA16" i="8"/>
  <c r="QB16" i="8" s="1"/>
  <c r="RK16" i="8"/>
  <c r="RL16" i="8" s="1"/>
  <c r="SP16" i="8"/>
  <c r="SQ16" i="8" s="1"/>
  <c r="Y18" i="8"/>
  <c r="RX16" i="8"/>
  <c r="RY16" i="8" s="1"/>
  <c r="BS20" i="8"/>
  <c r="BT20" i="8" s="1"/>
  <c r="KS20" i="8"/>
  <c r="KT20" i="8" s="1"/>
  <c r="MO20" i="8"/>
  <c r="MP20" i="8" s="1"/>
  <c r="DW21" i="8"/>
  <c r="DX21" i="8" s="1"/>
  <c r="AV5" i="10"/>
  <c r="AU4" i="10"/>
  <c r="AV4" i="10" s="1"/>
  <c r="LX5" i="10"/>
  <c r="LW4" i="10"/>
  <c r="LX4" i="10" s="1"/>
  <c r="TA5" i="10"/>
  <c r="TB5" i="10" s="1"/>
  <c r="SP5" i="10"/>
  <c r="AD6" i="10"/>
  <c r="AC4" i="10"/>
  <c r="AD4" i="10" s="1"/>
  <c r="QH21" i="8"/>
  <c r="QG20" i="8"/>
  <c r="QH20" i="8" s="1"/>
  <c r="TA21" i="8"/>
  <c r="SZ20" i="8"/>
  <c r="TA20" i="8" s="1"/>
  <c r="DP5" i="10"/>
  <c r="DO4" i="10"/>
  <c r="DP4" i="10" s="1"/>
  <c r="IR5" i="10"/>
  <c r="IQ4" i="10"/>
  <c r="IR4" i="10" s="1"/>
  <c r="PJ5" i="10"/>
  <c r="PI4" i="10"/>
  <c r="PJ4" i="10" s="1"/>
  <c r="OQ4" i="8"/>
  <c r="OR4" i="8" s="1"/>
  <c r="QA4" i="8"/>
  <c r="QB4" i="8" s="1"/>
  <c r="RK4" i="8"/>
  <c r="RL4" i="8" s="1"/>
  <c r="SP4" i="8"/>
  <c r="SQ4" i="8" s="1"/>
  <c r="TQ4" i="8"/>
  <c r="TR4" i="8" s="1"/>
  <c r="KU7" i="8"/>
  <c r="KV7" i="8" s="1"/>
  <c r="NO7" i="8"/>
  <c r="NP7" i="8" s="1"/>
  <c r="QI7" i="8"/>
  <c r="QJ7" i="8" s="1"/>
  <c r="SK7" i="8"/>
  <c r="SL7" i="8" s="1"/>
  <c r="AK9" i="8"/>
  <c r="AL9" i="8" s="1"/>
  <c r="FY9" i="8"/>
  <c r="FZ9" i="8" s="1"/>
  <c r="Q10" i="8"/>
  <c r="R10" i="8" s="1"/>
  <c r="AI10" i="8"/>
  <c r="AJ10" i="8" s="1"/>
  <c r="BA10" i="8"/>
  <c r="BB10" i="8" s="1"/>
  <c r="BS10" i="8"/>
  <c r="BT10" i="8" s="1"/>
  <c r="CK10" i="8"/>
  <c r="CL10" i="8" s="1"/>
  <c r="DC10" i="8"/>
  <c r="DD10" i="8" s="1"/>
  <c r="DU10" i="8"/>
  <c r="DV10" i="8" s="1"/>
  <c r="EM10" i="8"/>
  <c r="EN10" i="8" s="1"/>
  <c r="FE10" i="8"/>
  <c r="FF10" i="8" s="1"/>
  <c r="FW10" i="8"/>
  <c r="FX10" i="8" s="1"/>
  <c r="GO10" i="8"/>
  <c r="GP10" i="8" s="1"/>
  <c r="HG10" i="8"/>
  <c r="HH10" i="8" s="1"/>
  <c r="HY10" i="8"/>
  <c r="HZ10" i="8" s="1"/>
  <c r="IQ10" i="8"/>
  <c r="IR10" i="8" s="1"/>
  <c r="JI10" i="8"/>
  <c r="JJ10" i="8" s="1"/>
  <c r="KA10" i="8"/>
  <c r="KB10" i="8" s="1"/>
  <c r="KS10" i="8"/>
  <c r="KT10" i="8" s="1"/>
  <c r="LK10" i="8"/>
  <c r="LL10" i="8" s="1"/>
  <c r="MC10" i="8"/>
  <c r="MD10" i="8" s="1"/>
  <c r="MU10" i="8"/>
  <c r="MV10" i="8" s="1"/>
  <c r="NM10" i="8"/>
  <c r="NN10" i="8" s="1"/>
  <c r="OE10" i="8"/>
  <c r="OF10" i="8" s="1"/>
  <c r="OW10" i="8"/>
  <c r="OX10" i="8" s="1"/>
  <c r="PO10" i="8"/>
  <c r="PP10" i="8" s="1"/>
  <c r="QG10" i="8"/>
  <c r="QH10" i="8" s="1"/>
  <c r="QY10" i="8"/>
  <c r="QZ10" i="8" s="1"/>
  <c r="RQ10" i="8"/>
  <c r="RR10" i="8" s="1"/>
  <c r="SI10" i="8"/>
  <c r="SJ10" i="8" s="1"/>
  <c r="SZ10" i="8"/>
  <c r="TA10" i="8" s="1"/>
  <c r="FG12" i="8"/>
  <c r="FH12" i="8" s="1"/>
  <c r="FY12" i="8"/>
  <c r="FZ12" i="8" s="1"/>
  <c r="K13" i="8"/>
  <c r="L13" i="8" s="1"/>
  <c r="AU13" i="8"/>
  <c r="AV13" i="8" s="1"/>
  <c r="CE13" i="8"/>
  <c r="CF13" i="8" s="1"/>
  <c r="DO13" i="8"/>
  <c r="DP13" i="8" s="1"/>
  <c r="EY13" i="8"/>
  <c r="EZ13" i="8" s="1"/>
  <c r="GI13" i="8"/>
  <c r="GJ13" i="8" s="1"/>
  <c r="HS13" i="8"/>
  <c r="HT13" i="8" s="1"/>
  <c r="JC13" i="8"/>
  <c r="JD13" i="8" s="1"/>
  <c r="KM13" i="8"/>
  <c r="KN13" i="8" s="1"/>
  <c r="LW13" i="8"/>
  <c r="LX13" i="8" s="1"/>
  <c r="MU13" i="8"/>
  <c r="MV13" i="8" s="1"/>
  <c r="OE13" i="8"/>
  <c r="OF13" i="8" s="1"/>
  <c r="PO13" i="8"/>
  <c r="PP13" i="8" s="1"/>
  <c r="QY13" i="8"/>
  <c r="QZ13" i="8" s="1"/>
  <c r="SI13" i="8"/>
  <c r="SJ13" i="8" s="1"/>
  <c r="AC16" i="8"/>
  <c r="AD16" i="8" s="1"/>
  <c r="BM16" i="8"/>
  <c r="BN16" i="8" s="1"/>
  <c r="CW16" i="8"/>
  <c r="CX16" i="8" s="1"/>
  <c r="EG16" i="8"/>
  <c r="EH16" i="8" s="1"/>
  <c r="FQ16" i="8"/>
  <c r="FR16" i="8" s="1"/>
  <c r="HA16" i="8"/>
  <c r="HB16" i="8" s="1"/>
  <c r="IK16" i="8"/>
  <c r="IL16" i="8" s="1"/>
  <c r="JU16" i="8"/>
  <c r="JV16" i="8" s="1"/>
  <c r="LE16" i="8"/>
  <c r="LF16" i="8" s="1"/>
  <c r="MO16" i="8"/>
  <c r="MP16" i="8" s="1"/>
  <c r="NY16" i="8"/>
  <c r="NZ16" i="8" s="1"/>
  <c r="PI16" i="8"/>
  <c r="PJ16" i="8" s="1"/>
  <c r="QS16" i="8"/>
  <c r="QT16" i="8" s="1"/>
  <c r="SC16" i="8"/>
  <c r="SD16" i="8" s="1"/>
  <c r="TH17" i="8"/>
  <c r="BI18" i="8"/>
  <c r="TM19" i="8"/>
  <c r="AI20" i="8"/>
  <c r="AJ20" i="8" s="1"/>
  <c r="CK20" i="8"/>
  <c r="HA20" i="8"/>
  <c r="HB20" i="8" s="1"/>
  <c r="JU20" i="8"/>
  <c r="JV20" i="8" s="1"/>
  <c r="SC20" i="8"/>
  <c r="SD20" i="8" s="1"/>
  <c r="MV21" i="8"/>
  <c r="MU20" i="8"/>
  <c r="MV20" i="8" s="1"/>
  <c r="OR21" i="8"/>
  <c r="OQ20" i="8"/>
  <c r="OR20" i="8" s="1"/>
  <c r="PP21" i="8"/>
  <c r="PO20" i="8"/>
  <c r="PP20" i="8" s="1"/>
  <c r="EG4" i="10"/>
  <c r="EH4" i="10" s="1"/>
  <c r="CM5" i="10"/>
  <c r="CN5" i="10" s="1"/>
  <c r="GJ5" i="10"/>
  <c r="GI4" i="10"/>
  <c r="GJ4" i="10" s="1"/>
  <c r="NO5" i="10"/>
  <c r="NP5" i="10" s="1"/>
  <c r="RL5" i="10"/>
  <c r="RK4" i="10"/>
  <c r="RL4" i="10" s="1"/>
  <c r="TQ5" i="10"/>
  <c r="TP4" i="10"/>
  <c r="TQ4" i="10" s="1"/>
  <c r="R6" i="10"/>
  <c r="S6" i="10"/>
  <c r="T6" i="10" s="1"/>
  <c r="OW4" i="8"/>
  <c r="OX4" i="8" s="1"/>
  <c r="QG4" i="8"/>
  <c r="QH4" i="8" s="1"/>
  <c r="RQ4" i="8"/>
  <c r="RR4" i="8" s="1"/>
  <c r="SU4" i="8"/>
  <c r="SV4" i="8" s="1"/>
  <c r="LM7" i="8"/>
  <c r="LN7" i="8" s="1"/>
  <c r="OG7" i="8"/>
  <c r="OH7" i="8" s="1"/>
  <c r="RA7" i="8"/>
  <c r="RB7" i="8" s="1"/>
  <c r="BU9" i="8"/>
  <c r="BV9" i="8" s="1"/>
  <c r="HI9" i="8"/>
  <c r="HJ9" i="8" s="1"/>
  <c r="IS9" i="8"/>
  <c r="IT9" i="8" s="1"/>
  <c r="KC9" i="8"/>
  <c r="KD9" i="8" s="1"/>
  <c r="KU9" i="8"/>
  <c r="KV9" i="8" s="1"/>
  <c r="IS11" i="8"/>
  <c r="IT11" i="8" s="1"/>
  <c r="JK11" i="8"/>
  <c r="JL11" i="8" s="1"/>
  <c r="KC11" i="8"/>
  <c r="KD11" i="8" s="1"/>
  <c r="KU11" i="8"/>
  <c r="KV11" i="8" s="1"/>
  <c r="LM11" i="8"/>
  <c r="LN11" i="8" s="1"/>
  <c r="ME11" i="8"/>
  <c r="MF11" i="8" s="1"/>
  <c r="MW11" i="8"/>
  <c r="MX11" i="8" s="1"/>
  <c r="NO11" i="8"/>
  <c r="NP11" i="8" s="1"/>
  <c r="OG11" i="8"/>
  <c r="OH11" i="8" s="1"/>
  <c r="OY11" i="8"/>
  <c r="OZ11" i="8" s="1"/>
  <c r="PQ11" i="8"/>
  <c r="QI11" i="8"/>
  <c r="QJ11" i="8" s="1"/>
  <c r="RA11" i="8"/>
  <c r="RB11" i="8" s="1"/>
  <c r="RS11" i="8"/>
  <c r="RT11" i="8" s="1"/>
  <c r="SK11" i="8"/>
  <c r="SL11" i="8" s="1"/>
  <c r="TB11" i="8"/>
  <c r="TC11" i="8" s="1"/>
  <c r="TS11" i="8"/>
  <c r="TT11" i="8" s="1"/>
  <c r="S12" i="8"/>
  <c r="T12" i="8" s="1"/>
  <c r="AK12" i="8"/>
  <c r="AL12" i="8" s="1"/>
  <c r="BC12" i="8"/>
  <c r="BD12" i="8" s="1"/>
  <c r="BU12" i="8"/>
  <c r="BV12" i="8" s="1"/>
  <c r="CM12" i="8"/>
  <c r="CN12" i="8" s="1"/>
  <c r="DE12" i="8"/>
  <c r="DF12" i="8" s="1"/>
  <c r="DW12" i="8"/>
  <c r="DX12" i="8" s="1"/>
  <c r="EO12" i="8"/>
  <c r="EP12" i="8" s="1"/>
  <c r="NG13" i="8"/>
  <c r="NH13" i="8" s="1"/>
  <c r="OQ13" i="8"/>
  <c r="OR13" i="8" s="1"/>
  <c r="QA13" i="8"/>
  <c r="QB13" i="8" s="1"/>
  <c r="RK13" i="8"/>
  <c r="RL13" i="8" s="1"/>
  <c r="TQ13" i="8"/>
  <c r="TR13" i="8" s="1"/>
  <c r="AI16" i="8"/>
  <c r="AJ16" i="8" s="1"/>
  <c r="DC16" i="8"/>
  <c r="DD16" i="8" s="1"/>
  <c r="HG16" i="8"/>
  <c r="HH16" i="8" s="1"/>
  <c r="IQ16" i="8"/>
  <c r="IR16" i="8" s="1"/>
  <c r="KA16" i="8"/>
  <c r="KB16" i="8" s="1"/>
  <c r="MU16" i="8"/>
  <c r="MV16" i="8" s="1"/>
  <c r="PO16" i="8"/>
  <c r="PP16" i="8" s="1"/>
  <c r="SI16" i="8"/>
  <c r="SJ16" i="8" s="1"/>
  <c r="NM20" i="8"/>
  <c r="NN20" i="8" s="1"/>
  <c r="MD21" i="8"/>
  <c r="MC20" i="8"/>
  <c r="MD20" i="8" s="1"/>
  <c r="AI4" i="10"/>
  <c r="AJ4" i="10" s="1"/>
  <c r="OQ4" i="10"/>
  <c r="OR4" i="10" s="1"/>
  <c r="FG5" i="10"/>
  <c r="FH5" i="10" s="1"/>
  <c r="IS5" i="10"/>
  <c r="IT5" i="10" s="1"/>
  <c r="JV5" i="10"/>
  <c r="JU4" i="10"/>
  <c r="JV4" i="10" s="1"/>
  <c r="OF5" i="10"/>
  <c r="OE4" i="10"/>
  <c r="OF4" i="10" s="1"/>
  <c r="QI5" i="10"/>
  <c r="QJ5" i="10" s="1"/>
  <c r="TR5" i="10"/>
  <c r="TS5" i="10" s="1"/>
  <c r="AC16" i="10"/>
  <c r="AD16" i="10" s="1"/>
  <c r="BM16" i="10"/>
  <c r="BN16" i="10" s="1"/>
  <c r="CK16" i="10"/>
  <c r="CL16" i="10" s="1"/>
  <c r="DO16" i="10"/>
  <c r="DP16" i="10" s="1"/>
  <c r="EM16" i="10"/>
  <c r="EN16" i="10" s="1"/>
  <c r="FQ16" i="10"/>
  <c r="FR16" i="10" s="1"/>
  <c r="HA16" i="10"/>
  <c r="HB16" i="10" s="1"/>
  <c r="KA16" i="10"/>
  <c r="KB16" i="10" s="1"/>
  <c r="ST16" i="10"/>
  <c r="SU16" i="10" s="1"/>
  <c r="TK16" i="10"/>
  <c r="TL16" i="10" s="1"/>
  <c r="BT17" i="10"/>
  <c r="FY17" i="10"/>
  <c r="FZ17" i="10" s="1"/>
  <c r="F20" i="10"/>
  <c r="G20" i="10" s="1"/>
  <c r="EY20" i="10"/>
  <c r="EZ20" i="10" s="1"/>
  <c r="FW20" i="10"/>
  <c r="FX20" i="10" s="1"/>
  <c r="GO20" i="10"/>
  <c r="GP20" i="10" s="1"/>
  <c r="IK20" i="10"/>
  <c r="IL20" i="10" s="1"/>
  <c r="JI20" i="10"/>
  <c r="JJ20" i="10" s="1"/>
  <c r="LW20" i="10"/>
  <c r="LX20" i="10" s="1"/>
  <c r="MU20" i="10"/>
  <c r="MV20" i="10" s="1"/>
  <c r="NM20" i="10"/>
  <c r="NN20" i="10" s="1"/>
  <c r="EU21" i="10"/>
  <c r="HS4" i="10"/>
  <c r="HT4" i="10" s="1"/>
  <c r="LE4" i="10"/>
  <c r="LF4" i="10" s="1"/>
  <c r="MU4" i="10"/>
  <c r="MV4" i="10" s="1"/>
  <c r="TF4" i="10"/>
  <c r="TG4" i="10" s="1"/>
  <c r="BS4" i="10"/>
  <c r="BT4" i="10" s="1"/>
  <c r="DW5" i="10"/>
  <c r="DX5" i="10" s="1"/>
  <c r="OY5" i="10"/>
  <c r="OZ5" i="10" s="1"/>
  <c r="AK6" i="10"/>
  <c r="AL6" i="10" s="1"/>
  <c r="AQ6" i="10"/>
  <c r="FY6" i="10"/>
  <c r="FZ6" i="10" s="1"/>
  <c r="GE6" i="10"/>
  <c r="EU9" i="10"/>
  <c r="IA9" i="10"/>
  <c r="IB9" i="10" s="1"/>
  <c r="JK9" i="10"/>
  <c r="JL9" i="10" s="1"/>
  <c r="KC9" i="10"/>
  <c r="KD9" i="10" s="1"/>
  <c r="LM9" i="10"/>
  <c r="LN9" i="10" s="1"/>
  <c r="LS9" i="10"/>
  <c r="NC9" i="10"/>
  <c r="OM9" i="10"/>
  <c r="PW9" i="10"/>
  <c r="RG9" i="10"/>
  <c r="SP9" i="10"/>
  <c r="JU10" i="10"/>
  <c r="JV10" i="10" s="1"/>
  <c r="MU10" i="10"/>
  <c r="MV10" i="10" s="1"/>
  <c r="SH10" i="10"/>
  <c r="SI10" i="10" s="1"/>
  <c r="JJ11" i="10"/>
  <c r="KU11" i="10"/>
  <c r="KV11" i="10" s="1"/>
  <c r="OX11" i="10"/>
  <c r="QI11" i="10"/>
  <c r="QJ11" i="10" s="1"/>
  <c r="BC12" i="10"/>
  <c r="BD12" i="10" s="1"/>
  <c r="LS12" i="10"/>
  <c r="RG12" i="10"/>
  <c r="BT14" i="10"/>
  <c r="DD14" i="10"/>
  <c r="OM14" i="10"/>
  <c r="TR15" i="10"/>
  <c r="TS15" i="10" s="1"/>
  <c r="CW16" i="10"/>
  <c r="CX16" i="10" s="1"/>
  <c r="FW16" i="10"/>
  <c r="FX16" i="10" s="1"/>
  <c r="BU17" i="10"/>
  <c r="BV17" i="10" s="1"/>
  <c r="CM17" i="10"/>
  <c r="CN17" i="10" s="1"/>
  <c r="DE17" i="10"/>
  <c r="DF17" i="10" s="1"/>
  <c r="EO17" i="10"/>
  <c r="EP17" i="10" s="1"/>
  <c r="RF16" i="10"/>
  <c r="RG16" i="10" s="1"/>
  <c r="TA19" i="10"/>
  <c r="TB19" i="10" s="1"/>
  <c r="TR19" i="10"/>
  <c r="TS19" i="10" s="1"/>
  <c r="BH20" i="10"/>
  <c r="BI20" i="10" s="1"/>
  <c r="BZ20" i="10"/>
  <c r="CA20" i="10" s="1"/>
  <c r="FE20" i="10"/>
  <c r="FF20" i="10" s="1"/>
  <c r="GQ21" i="10"/>
  <c r="GR21" i="10" s="1"/>
  <c r="BU6" i="10"/>
  <c r="BV6" i="10" s="1"/>
  <c r="CM6" i="10"/>
  <c r="CN6" i="10" s="1"/>
  <c r="HI6" i="10"/>
  <c r="HJ6" i="10" s="1"/>
  <c r="IA6" i="10"/>
  <c r="IB6" i="10" s="1"/>
  <c r="BU9" i="10"/>
  <c r="BV9" i="10" s="1"/>
  <c r="DE9" i="10"/>
  <c r="DF9" i="10" s="1"/>
  <c r="KU9" i="10"/>
  <c r="KV9" i="10" s="1"/>
  <c r="MW9" i="10"/>
  <c r="MX9" i="10" s="1"/>
  <c r="OG9" i="10"/>
  <c r="OH9" i="10" s="1"/>
  <c r="PQ9" i="10"/>
  <c r="PR9" i="10" s="1"/>
  <c r="RA9" i="10"/>
  <c r="RB9" i="10" s="1"/>
  <c r="SJ9" i="10"/>
  <c r="SK9" i="10" s="1"/>
  <c r="TR9" i="10"/>
  <c r="TS9" i="10" s="1"/>
  <c r="EG10" i="10"/>
  <c r="EH10" i="10" s="1"/>
  <c r="OQ10" i="10"/>
  <c r="OR10" i="10" s="1"/>
  <c r="PI10" i="10"/>
  <c r="PJ10" i="10" s="1"/>
  <c r="QY10" i="10"/>
  <c r="QZ10" i="10" s="1"/>
  <c r="JK11" i="10"/>
  <c r="JL11" i="10" s="1"/>
  <c r="JP10" i="10"/>
  <c r="JQ10" i="10" s="1"/>
  <c r="OY11" i="10"/>
  <c r="OZ11" i="10" s="1"/>
  <c r="S12" i="10"/>
  <c r="T12" i="10" s="1"/>
  <c r="TA12" i="10"/>
  <c r="TB12" i="10" s="1"/>
  <c r="CW13" i="10"/>
  <c r="CX13" i="10" s="1"/>
  <c r="BC14" i="10"/>
  <c r="BD14" i="10" s="1"/>
  <c r="AK17" i="10"/>
  <c r="AL17" i="10" s="1"/>
  <c r="CW4" i="10"/>
  <c r="CX4" i="10" s="1"/>
  <c r="HG4" i="10"/>
  <c r="HH4" i="10" s="1"/>
  <c r="NG4" i="10"/>
  <c r="NH4" i="10" s="1"/>
  <c r="SC4" i="10"/>
  <c r="SD4" i="10" s="1"/>
  <c r="BC5" i="10"/>
  <c r="BD5" i="10" s="1"/>
  <c r="GQ5" i="10"/>
  <c r="GR5" i="10" s="1"/>
  <c r="ME5" i="10"/>
  <c r="MF5" i="10" s="1"/>
  <c r="RS5" i="10"/>
  <c r="RT5" i="10" s="1"/>
  <c r="DE6" i="10"/>
  <c r="DF6" i="10" s="1"/>
  <c r="DW6" i="10"/>
  <c r="DX6" i="10" s="1"/>
  <c r="IS6" i="10"/>
  <c r="IT6" i="10" s="1"/>
  <c r="JK6" i="10"/>
  <c r="JL6" i="10" s="1"/>
  <c r="DW9" i="10"/>
  <c r="DX9" i="10" s="1"/>
  <c r="EO9" i="10"/>
  <c r="EP9" i="10" s="1"/>
  <c r="FY9" i="10"/>
  <c r="FZ9" i="10" s="1"/>
  <c r="LR10" i="10"/>
  <c r="LS10" i="10" s="1"/>
  <c r="NG10" i="10"/>
  <c r="NH10" i="10" s="1"/>
  <c r="NY10" i="10"/>
  <c r="NZ10" i="10" s="1"/>
  <c r="PO10" i="10"/>
  <c r="PP10" i="10" s="1"/>
  <c r="RF10" i="10"/>
  <c r="RG10" i="10" s="1"/>
  <c r="ST10" i="10"/>
  <c r="SU10" i="10" s="1"/>
  <c r="TK10" i="10"/>
  <c r="TL10" i="10" s="1"/>
  <c r="IA11" i="10"/>
  <c r="IB11" i="10" s="1"/>
  <c r="NO11" i="10"/>
  <c r="NP11" i="10" s="1"/>
  <c r="TA11" i="10"/>
  <c r="TA10" i="10" s="1"/>
  <c r="TB10" i="10" s="1"/>
  <c r="DW12" i="10"/>
  <c r="DX12" i="10" s="1"/>
  <c r="GQ12" i="10"/>
  <c r="GR12" i="10" s="1"/>
  <c r="OY12" i="10"/>
  <c r="OZ12" i="10" s="1"/>
  <c r="K13" i="10"/>
  <c r="L13" i="10" s="1"/>
  <c r="S14" i="10"/>
  <c r="T14" i="10" s="1"/>
  <c r="GI20" i="10"/>
  <c r="GJ20" i="10" s="1"/>
  <c r="HG20" i="10"/>
  <c r="HH20" i="10" s="1"/>
  <c r="JC20" i="10"/>
  <c r="JK6" i="14"/>
  <c r="JL6" i="14" s="1"/>
  <c r="IY6" i="14"/>
  <c r="KU7" i="14"/>
  <c r="KV7" i="14" s="1"/>
  <c r="KI7" i="14"/>
  <c r="DC10" i="14"/>
  <c r="DD10" i="14" s="1"/>
  <c r="DD11" i="14"/>
  <c r="DO4" i="14"/>
  <c r="DP4" i="14" s="1"/>
  <c r="EY4" i="14"/>
  <c r="EZ4" i="14" s="1"/>
  <c r="GI4" i="14"/>
  <c r="GJ4" i="14" s="1"/>
  <c r="RK4" i="14"/>
  <c r="RL4" i="14" s="1"/>
  <c r="SU4" i="14"/>
  <c r="SV4" i="14" s="1"/>
  <c r="BU5" i="14"/>
  <c r="BV5" i="14" s="1"/>
  <c r="EM4" i="14"/>
  <c r="EN4" i="14" s="1"/>
  <c r="KC5" i="14"/>
  <c r="KD5" i="14" s="1"/>
  <c r="MU4" i="14"/>
  <c r="MV4" i="14" s="1"/>
  <c r="PQ5" i="14"/>
  <c r="PR5" i="14" s="1"/>
  <c r="SI4" i="14"/>
  <c r="SJ4" i="14" s="1"/>
  <c r="TB5" i="14"/>
  <c r="AI4" i="14"/>
  <c r="AJ4" i="14" s="1"/>
  <c r="DE6" i="14"/>
  <c r="DF6" i="14" s="1"/>
  <c r="DK6" i="14"/>
  <c r="MW6" i="14"/>
  <c r="MX6" i="14" s="1"/>
  <c r="NC6" i="14"/>
  <c r="OY6" i="14"/>
  <c r="OZ6" i="14" s="1"/>
  <c r="OM6" i="14"/>
  <c r="PQ6" i="14"/>
  <c r="PR6" i="14" s="1"/>
  <c r="RA6" i="14"/>
  <c r="RB6" i="14" s="1"/>
  <c r="RG6" i="14"/>
  <c r="TB6" i="14"/>
  <c r="BC7" i="14"/>
  <c r="BD7" i="14" s="1"/>
  <c r="OY7" i="14"/>
  <c r="OZ7" i="14" s="1"/>
  <c r="PQ7" i="14"/>
  <c r="PR7" i="14" s="1"/>
  <c r="BT11" i="14"/>
  <c r="BS10" i="14"/>
  <c r="BT10" i="14" s="1"/>
  <c r="AC4" i="14"/>
  <c r="AD4" i="14" s="1"/>
  <c r="DU4" i="14"/>
  <c r="DV4" i="14" s="1"/>
  <c r="FE4" i="14"/>
  <c r="FF4" i="14" s="1"/>
  <c r="HA4" i="14"/>
  <c r="HB4" i="14" s="1"/>
  <c r="IK4" i="14"/>
  <c r="IL4" i="14" s="1"/>
  <c r="LE4" i="14"/>
  <c r="LF4" i="14" s="1"/>
  <c r="MO4" i="14"/>
  <c r="MP4" i="14" s="1"/>
  <c r="IS5" i="14"/>
  <c r="IT5" i="14" s="1"/>
  <c r="OG5" i="14"/>
  <c r="OH5" i="14" s="1"/>
  <c r="QY4" i="14"/>
  <c r="QZ4" i="14" s="1"/>
  <c r="TU5" i="14"/>
  <c r="TV5" i="14" s="1"/>
  <c r="G6" i="14"/>
  <c r="EO6" i="14"/>
  <c r="EP6" i="14" s="1"/>
  <c r="EU6" i="14"/>
  <c r="SK6" i="14"/>
  <c r="SL6" i="14" s="1"/>
  <c r="S7" i="14"/>
  <c r="T7" i="14" s="1"/>
  <c r="G7" i="14"/>
  <c r="AK7" i="14"/>
  <c r="AL7" i="14" s="1"/>
  <c r="BU7" i="14"/>
  <c r="BV7" i="14" s="1"/>
  <c r="CM7" i="14"/>
  <c r="CN7" i="14" s="1"/>
  <c r="GQ7" i="14"/>
  <c r="GR7" i="14" s="1"/>
  <c r="NO7" i="14"/>
  <c r="NP7" i="14" s="1"/>
  <c r="OG7" i="14"/>
  <c r="OH7" i="14" s="1"/>
  <c r="TC7" i="14"/>
  <c r="TD7" i="14" s="1"/>
  <c r="TU7" i="14"/>
  <c r="TV7" i="14" s="1"/>
  <c r="FY9" i="14"/>
  <c r="FZ9" i="14" s="1"/>
  <c r="HI9" i="14"/>
  <c r="HJ9" i="14" s="1"/>
  <c r="AI10" i="14"/>
  <c r="AJ10" i="14" s="1"/>
  <c r="AJ11" i="14"/>
  <c r="AU4" i="14"/>
  <c r="AV4" i="14" s="1"/>
  <c r="HS4" i="14"/>
  <c r="HT4" i="14" s="1"/>
  <c r="LW4" i="14"/>
  <c r="LX4" i="14" s="1"/>
  <c r="NG4" i="14"/>
  <c r="NH4" i="14" s="1"/>
  <c r="EO5" i="14"/>
  <c r="EP5" i="14" s="1"/>
  <c r="FG5" i="14"/>
  <c r="FH5" i="14" s="1"/>
  <c r="HI5" i="14"/>
  <c r="HJ5" i="14" s="1"/>
  <c r="MW5" i="14"/>
  <c r="MX5" i="14" s="1"/>
  <c r="SK5" i="14"/>
  <c r="SL5" i="14" s="1"/>
  <c r="AK6" i="14"/>
  <c r="AL6" i="14" s="1"/>
  <c r="BC6" i="14"/>
  <c r="BD6" i="14" s="1"/>
  <c r="FY6" i="14"/>
  <c r="FZ6" i="14" s="1"/>
  <c r="GQ6" i="14"/>
  <c r="GR6" i="14" s="1"/>
  <c r="FG7" i="14"/>
  <c r="FH7" i="14" s="1"/>
  <c r="EU7" i="14"/>
  <c r="FY7" i="14"/>
  <c r="FZ7" i="14" s="1"/>
  <c r="HI7" i="14"/>
  <c r="HJ7" i="14" s="1"/>
  <c r="IA7" i="14"/>
  <c r="IB7" i="14" s="1"/>
  <c r="MW7" i="14"/>
  <c r="MX7" i="14" s="1"/>
  <c r="SK7" i="14"/>
  <c r="SL7" i="14" s="1"/>
  <c r="MK12" i="14"/>
  <c r="AJ14" i="14"/>
  <c r="AI13" i="14"/>
  <c r="AJ13" i="14" s="1"/>
  <c r="HS13" i="14"/>
  <c r="HT13" i="14" s="1"/>
  <c r="HT14" i="14"/>
  <c r="TI14" i="14"/>
  <c r="TU14" i="14"/>
  <c r="TV14" i="14" s="1"/>
  <c r="BI15" i="14"/>
  <c r="BU15" i="14"/>
  <c r="BV15" i="14" s="1"/>
  <c r="HH17" i="14"/>
  <c r="HG16" i="14"/>
  <c r="HH16" i="14" s="1"/>
  <c r="SD17" i="14"/>
  <c r="SC16" i="14"/>
  <c r="SD16" i="14" s="1"/>
  <c r="AK8" i="14"/>
  <c r="AL8" i="14" s="1"/>
  <c r="DE8" i="14"/>
  <c r="DF8" i="14" s="1"/>
  <c r="HI8" i="14"/>
  <c r="HJ8" i="14" s="1"/>
  <c r="KC8" i="14"/>
  <c r="KD8" i="14" s="1"/>
  <c r="MW8" i="14"/>
  <c r="MX8" i="14" s="1"/>
  <c r="AC10" i="14"/>
  <c r="AD10" i="14" s="1"/>
  <c r="EG10" i="14"/>
  <c r="EH10" i="14" s="1"/>
  <c r="IQ10" i="14"/>
  <c r="IR10" i="14" s="1"/>
  <c r="MO10" i="14"/>
  <c r="MP10" i="14" s="1"/>
  <c r="NY10" i="14"/>
  <c r="NZ10" i="14" s="1"/>
  <c r="SI10" i="14"/>
  <c r="SJ10" i="14" s="1"/>
  <c r="EN11" i="14"/>
  <c r="HH11" i="14"/>
  <c r="MV11" i="14"/>
  <c r="OF11" i="14"/>
  <c r="SK12" i="14"/>
  <c r="SL12" i="14" s="1"/>
  <c r="RX10" i="14"/>
  <c r="RY10" i="14" s="1"/>
  <c r="F13" i="14"/>
  <c r="G13" i="14" s="1"/>
  <c r="BA13" i="14"/>
  <c r="BB13" i="14" s="1"/>
  <c r="EM13" i="14"/>
  <c r="EN13" i="14" s="1"/>
  <c r="HG13" i="14"/>
  <c r="HH13" i="14" s="1"/>
  <c r="KS13" i="14"/>
  <c r="KT13" i="14" s="1"/>
  <c r="TS13" i="14"/>
  <c r="TT13" i="14" s="1"/>
  <c r="CE13" i="14"/>
  <c r="CF13" i="14" s="1"/>
  <c r="CF14" i="14"/>
  <c r="SQ14" i="14"/>
  <c r="SP13" i="14"/>
  <c r="SQ13" i="14" s="1"/>
  <c r="K16" i="14"/>
  <c r="L16" i="14" s="1"/>
  <c r="ET16" i="14"/>
  <c r="EU16" i="14" s="1"/>
  <c r="IQ16" i="14"/>
  <c r="IR16" i="14" s="1"/>
  <c r="OQ16" i="14"/>
  <c r="OR16" i="14" s="1"/>
  <c r="SI16" i="14"/>
  <c r="SJ16" i="14" s="1"/>
  <c r="FX19" i="14"/>
  <c r="FW16" i="14"/>
  <c r="FX16" i="14" s="1"/>
  <c r="IS6" i="14"/>
  <c r="IT6" i="14" s="1"/>
  <c r="OG6" i="14"/>
  <c r="OH6" i="14" s="1"/>
  <c r="TU6" i="14"/>
  <c r="TV6" i="14" s="1"/>
  <c r="EO7" i="14"/>
  <c r="EP7" i="14" s="1"/>
  <c r="KC7" i="14"/>
  <c r="KD7" i="14" s="1"/>
  <c r="GQ8" i="14"/>
  <c r="GR8" i="14" s="1"/>
  <c r="JK8" i="14"/>
  <c r="JL8" i="14" s="1"/>
  <c r="ME8" i="14"/>
  <c r="MF8" i="14" s="1"/>
  <c r="RA8" i="14"/>
  <c r="RB8" i="14" s="1"/>
  <c r="TU8" i="14"/>
  <c r="TV8" i="14" s="1"/>
  <c r="EO9" i="14"/>
  <c r="EP9" i="14" s="1"/>
  <c r="KC9" i="14"/>
  <c r="KD9" i="14" s="1"/>
  <c r="LM9" i="14"/>
  <c r="LN9" i="14" s="1"/>
  <c r="MW9" i="14"/>
  <c r="MX9" i="14" s="1"/>
  <c r="OG9" i="14"/>
  <c r="OH9" i="14" s="1"/>
  <c r="PQ9" i="14"/>
  <c r="PR9" i="14" s="1"/>
  <c r="RA9" i="14"/>
  <c r="RB9" i="14" s="1"/>
  <c r="SK9" i="14"/>
  <c r="SL9" i="14" s="1"/>
  <c r="TU9" i="14"/>
  <c r="TV9" i="14" s="1"/>
  <c r="CW10" i="14"/>
  <c r="CX10" i="14" s="1"/>
  <c r="HA10" i="14"/>
  <c r="HB10" i="14" s="1"/>
  <c r="JI10" i="14"/>
  <c r="JJ10" i="14" s="1"/>
  <c r="RY12" i="14"/>
  <c r="BS13" i="14"/>
  <c r="BT13" i="14" s="1"/>
  <c r="KZ13" i="14"/>
  <c r="LA13" i="14" s="1"/>
  <c r="RQ13" i="14"/>
  <c r="RR13" i="14" s="1"/>
  <c r="EY13" i="14"/>
  <c r="EZ13" i="14" s="1"/>
  <c r="QH14" i="14"/>
  <c r="QG13" i="14"/>
  <c r="QH13" i="14" s="1"/>
  <c r="Y15" i="14"/>
  <c r="AK15" i="14"/>
  <c r="AL15" i="14" s="1"/>
  <c r="CS15" i="14"/>
  <c r="DE15" i="14"/>
  <c r="DF15" i="14" s="1"/>
  <c r="CE16" i="14"/>
  <c r="CF16" i="14" s="1"/>
  <c r="JC16" i="14"/>
  <c r="JD16" i="14" s="1"/>
  <c r="PD16" i="14"/>
  <c r="PE16" i="14" s="1"/>
  <c r="TA16" i="14"/>
  <c r="TB16" i="14" s="1"/>
  <c r="FX14" i="14"/>
  <c r="FW13" i="14"/>
  <c r="FX13" i="14" s="1"/>
  <c r="LS14" i="14"/>
  <c r="LR13" i="14"/>
  <c r="LS13" i="14" s="1"/>
  <c r="IA15" i="14"/>
  <c r="IB15" i="14" s="1"/>
  <c r="JK15" i="14"/>
  <c r="JL15" i="14" s="1"/>
  <c r="DP17" i="14"/>
  <c r="DO16" i="14"/>
  <c r="DP16" i="14" s="1"/>
  <c r="KN17" i="14"/>
  <c r="KM16" i="14"/>
  <c r="KN16" i="14" s="1"/>
  <c r="OF17" i="14"/>
  <c r="OE16" i="14"/>
  <c r="OF16" i="14" s="1"/>
  <c r="QB17" i="14"/>
  <c r="QA16" i="14"/>
  <c r="QB16" i="14" s="1"/>
  <c r="TT17" i="14"/>
  <c r="TS16" i="14"/>
  <c r="TT16" i="14" s="1"/>
  <c r="BT18" i="14"/>
  <c r="BS16" i="14"/>
  <c r="BT16" i="14" s="1"/>
  <c r="KB18" i="14"/>
  <c r="KA16" i="14"/>
  <c r="KB16" i="14" s="1"/>
  <c r="MV18" i="14"/>
  <c r="MU16" i="14"/>
  <c r="MV16" i="14" s="1"/>
  <c r="PP18" i="14"/>
  <c r="PO16" i="14"/>
  <c r="PP16" i="14" s="1"/>
  <c r="RA19" i="14"/>
  <c r="RB19" i="14" s="1"/>
  <c r="RS19" i="14"/>
  <c r="RT19" i="14" s="1"/>
  <c r="IQ20" i="14"/>
  <c r="IR20" i="14" s="1"/>
  <c r="LK20" i="14"/>
  <c r="NG20" i="14"/>
  <c r="NH20" i="14" s="1"/>
  <c r="QA20" i="14"/>
  <c r="AK11" i="14"/>
  <c r="AL11" i="14" s="1"/>
  <c r="BU11" i="14"/>
  <c r="BV11" i="14" s="1"/>
  <c r="DE11" i="14"/>
  <c r="DF11" i="14" s="1"/>
  <c r="EO11" i="14"/>
  <c r="EP11" i="14" s="1"/>
  <c r="FY11" i="14"/>
  <c r="FZ11" i="14" s="1"/>
  <c r="HI11" i="14"/>
  <c r="HJ11" i="14" s="1"/>
  <c r="IS11" i="14"/>
  <c r="KC11" i="14"/>
  <c r="KD11" i="14" s="1"/>
  <c r="MW11" i="14"/>
  <c r="PQ11" i="14"/>
  <c r="PR11" i="14" s="1"/>
  <c r="SK11" i="14"/>
  <c r="SL11" i="14" s="1"/>
  <c r="AK12" i="14"/>
  <c r="AL12" i="14" s="1"/>
  <c r="BH10" i="14"/>
  <c r="BI10" i="14" s="1"/>
  <c r="DE12" i="14"/>
  <c r="DF12" i="14" s="1"/>
  <c r="EB10" i="14"/>
  <c r="EC10" i="14" s="1"/>
  <c r="FY12" i="14"/>
  <c r="FZ12" i="14" s="1"/>
  <c r="GV10" i="14"/>
  <c r="GW10" i="14" s="1"/>
  <c r="IS12" i="14"/>
  <c r="IT12" i="14" s="1"/>
  <c r="KC12" i="14"/>
  <c r="KD12" i="14" s="1"/>
  <c r="LM12" i="14"/>
  <c r="LN12" i="14" s="1"/>
  <c r="OG12" i="14"/>
  <c r="OH12" i="14" s="1"/>
  <c r="RA12" i="14"/>
  <c r="RB12" i="14" s="1"/>
  <c r="TU12" i="14"/>
  <c r="TV12" i="14" s="1"/>
  <c r="ET13" i="14"/>
  <c r="EU13" i="14" s="1"/>
  <c r="RK13" i="14"/>
  <c r="RL13" i="14" s="1"/>
  <c r="AU13" i="14"/>
  <c r="AV13" i="14" s="1"/>
  <c r="LW13" i="14"/>
  <c r="LX13" i="14" s="1"/>
  <c r="FG15" i="14"/>
  <c r="FH15" i="14" s="1"/>
  <c r="NO15" i="14"/>
  <c r="NP15" i="14" s="1"/>
  <c r="OY15" i="14"/>
  <c r="OZ15" i="14" s="1"/>
  <c r="AU16" i="14"/>
  <c r="AV16" i="14" s="1"/>
  <c r="DJ16" i="14"/>
  <c r="DK16" i="14" s="1"/>
  <c r="RQ16" i="14"/>
  <c r="RR16" i="14" s="1"/>
  <c r="SK19" i="14"/>
  <c r="SL19" i="14" s="1"/>
  <c r="ET20" i="14"/>
  <c r="EU20" i="14" s="1"/>
  <c r="KM20" i="14"/>
  <c r="HS16" i="14"/>
  <c r="HT16" i="14" s="1"/>
  <c r="FG19" i="14"/>
  <c r="FH19" i="14" s="1"/>
  <c r="OY19" i="14"/>
  <c r="OZ19" i="14" s="1"/>
  <c r="TC19" i="14"/>
  <c r="TD19" i="14" s="1"/>
  <c r="OE20" i="14"/>
  <c r="OF20" i="14" s="1"/>
  <c r="QY20" i="14"/>
  <c r="TG13" i="8"/>
  <c r="TH13" i="8" s="1"/>
  <c r="TG16" i="8"/>
  <c r="TH16" i="8" s="1"/>
  <c r="TG10" i="8"/>
  <c r="TH10" i="8" s="1"/>
  <c r="TG4" i="8"/>
  <c r="TH4" i="8" s="1"/>
  <c r="FL16" i="8"/>
  <c r="FM16" i="8" s="1"/>
  <c r="TH16" i="14"/>
  <c r="TI16" i="14" s="1"/>
  <c r="SP16" i="14"/>
  <c r="SQ16" i="14" s="1"/>
  <c r="SQ5" i="14"/>
  <c r="TC5" i="14"/>
  <c r="TD5" i="14" s="1"/>
  <c r="RY19" i="14"/>
  <c r="RX16" i="14"/>
  <c r="RY16" i="14" s="1"/>
  <c r="RX13" i="14"/>
  <c r="RY13" i="14" s="1"/>
  <c r="RF4" i="14"/>
  <c r="RG4" i="14" s="1"/>
  <c r="QN16" i="14"/>
  <c r="QO16" i="14" s="1"/>
  <c r="QN13" i="14"/>
  <c r="QO13" i="14" s="1"/>
  <c r="PW19" i="14"/>
  <c r="PV16" i="14"/>
  <c r="PW16" i="14" s="1"/>
  <c r="PV13" i="14"/>
  <c r="PW13" i="14" s="1"/>
  <c r="OL16" i="14"/>
  <c r="OM16" i="14" s="1"/>
  <c r="OL13" i="14"/>
  <c r="OM13" i="14" s="1"/>
  <c r="NT16" i="14"/>
  <c r="NU16" i="14" s="1"/>
  <c r="NB16" i="14"/>
  <c r="NC16" i="14" s="1"/>
  <c r="NB13" i="14"/>
  <c r="NC13" i="14" s="1"/>
  <c r="MJ16" i="14"/>
  <c r="MK16" i="14" s="1"/>
  <c r="MJ13" i="14"/>
  <c r="MK13" i="14" s="1"/>
  <c r="LR16" i="14"/>
  <c r="LS16" i="14" s="1"/>
  <c r="KH16" i="14"/>
  <c r="KI16" i="14" s="1"/>
  <c r="KH13" i="14"/>
  <c r="KI13" i="14" s="1"/>
  <c r="KH4" i="14"/>
  <c r="KI4" i="14" s="1"/>
  <c r="JP16" i="14"/>
  <c r="JQ16" i="14" s="1"/>
  <c r="JP13" i="14"/>
  <c r="JQ13" i="14" s="1"/>
  <c r="IX16" i="14"/>
  <c r="IY16" i="14" s="1"/>
  <c r="IX13" i="14"/>
  <c r="IY13" i="14" s="1"/>
  <c r="IX4" i="14"/>
  <c r="IY4" i="14" s="1"/>
  <c r="IF13" i="14"/>
  <c r="IG13" i="14" s="1"/>
  <c r="HN16" i="14"/>
  <c r="HO16" i="14" s="1"/>
  <c r="HN13" i="14"/>
  <c r="HO13" i="14" s="1"/>
  <c r="GV20" i="14"/>
  <c r="GW20" i="14" s="1"/>
  <c r="HI17" i="14"/>
  <c r="HJ17" i="14" s="1"/>
  <c r="GV13" i="14"/>
  <c r="GW13" i="14" s="1"/>
  <c r="GD20" i="14"/>
  <c r="GE20" i="14" s="1"/>
  <c r="GD16" i="14"/>
  <c r="GE16" i="14" s="1"/>
  <c r="GE8" i="14"/>
  <c r="FL16" i="14"/>
  <c r="FM16" i="14" s="1"/>
  <c r="EB20" i="14"/>
  <c r="EC20" i="14" s="1"/>
  <c r="EO17" i="14"/>
  <c r="EP17" i="14" s="1"/>
  <c r="DJ20" i="14"/>
  <c r="DK20" i="14" s="1"/>
  <c r="DJ13" i="14"/>
  <c r="DK13" i="14" s="1"/>
  <c r="DK8" i="14"/>
  <c r="DJ4" i="14"/>
  <c r="DK4" i="14" s="1"/>
  <c r="CR20" i="14"/>
  <c r="CS20" i="14" s="1"/>
  <c r="CR13" i="14"/>
  <c r="CS13" i="14" s="1"/>
  <c r="BZ20" i="14"/>
  <c r="CA20" i="14" s="1"/>
  <c r="BZ16" i="14"/>
  <c r="CA16" i="14" s="1"/>
  <c r="BZ13" i="14"/>
  <c r="CA13" i="14" s="1"/>
  <c r="CA5" i="14"/>
  <c r="BH20" i="14"/>
  <c r="BI20" i="14" s="1"/>
  <c r="BU17" i="14"/>
  <c r="BV17" i="14" s="1"/>
  <c r="BH13" i="14"/>
  <c r="BI13" i="14" s="1"/>
  <c r="AP16" i="14"/>
  <c r="AQ16" i="14" s="1"/>
  <c r="X16" i="14"/>
  <c r="Y16" i="14" s="1"/>
  <c r="AK14" i="14"/>
  <c r="AL14" i="14" s="1"/>
  <c r="F20" i="14"/>
  <c r="G20" i="14" s="1"/>
  <c r="RY17" i="8"/>
  <c r="RX13" i="8"/>
  <c r="RY13" i="8" s="1"/>
  <c r="RX4" i="8"/>
  <c r="RY4" i="8" s="1"/>
  <c r="RF16" i="8"/>
  <c r="RG16" i="8" s="1"/>
  <c r="RF13" i="8"/>
  <c r="RG13" i="8" s="1"/>
  <c r="RF4" i="8"/>
  <c r="RG4" i="8" s="1"/>
  <c r="QN13" i="8"/>
  <c r="QO13" i="8" s="1"/>
  <c r="QN4" i="8"/>
  <c r="QO4" i="8" s="1"/>
  <c r="PV16" i="8"/>
  <c r="PW16" i="8" s="1"/>
  <c r="PV13" i="8"/>
  <c r="PW13" i="8" s="1"/>
  <c r="PV4" i="8"/>
  <c r="PW4" i="8" s="1"/>
  <c r="PD16" i="8"/>
  <c r="PE16" i="8" s="1"/>
  <c r="PD13" i="8"/>
  <c r="PE13" i="8" s="1"/>
  <c r="PD4" i="8"/>
  <c r="PE4" i="8" s="1"/>
  <c r="OL16" i="8"/>
  <c r="OM16" i="8" s="1"/>
  <c r="OL13" i="8"/>
  <c r="OM13" i="8" s="1"/>
  <c r="OL4" i="8"/>
  <c r="OM4" i="8" s="1"/>
  <c r="NT16" i="8"/>
  <c r="NU16" i="8" s="1"/>
  <c r="NT13" i="8"/>
  <c r="NU13" i="8" s="1"/>
  <c r="NT4" i="8"/>
  <c r="NU4" i="8" s="1"/>
  <c r="NB16" i="8"/>
  <c r="NC16" i="8" s="1"/>
  <c r="NB13" i="8"/>
  <c r="NC13" i="8" s="1"/>
  <c r="NB4" i="8"/>
  <c r="NC4" i="8" s="1"/>
  <c r="MJ16" i="8"/>
  <c r="MK16" i="8" s="1"/>
  <c r="MJ4" i="8"/>
  <c r="MK4" i="8" s="1"/>
  <c r="LR16" i="8"/>
  <c r="LS16" i="8" s="1"/>
  <c r="LR13" i="8"/>
  <c r="LS13" i="8" s="1"/>
  <c r="LR4" i="8"/>
  <c r="LS4" i="8" s="1"/>
  <c r="KZ16" i="8"/>
  <c r="LA16" i="8" s="1"/>
  <c r="KZ13" i="8"/>
  <c r="LA13" i="8" s="1"/>
  <c r="KZ4" i="8"/>
  <c r="LA4" i="8" s="1"/>
  <c r="KH16" i="8"/>
  <c r="KI16" i="8" s="1"/>
  <c r="KH13" i="8"/>
  <c r="KI13" i="8" s="1"/>
  <c r="KH4" i="8"/>
  <c r="KI4" i="8" s="1"/>
  <c r="JP16" i="8"/>
  <c r="JQ16" i="8" s="1"/>
  <c r="JP13" i="8"/>
  <c r="JQ13" i="8" s="1"/>
  <c r="JP4" i="8"/>
  <c r="JQ4" i="8" s="1"/>
  <c r="IX16" i="8"/>
  <c r="IY16" i="8" s="1"/>
  <c r="IX13" i="8"/>
  <c r="IY13" i="8" s="1"/>
  <c r="IX4" i="8"/>
  <c r="IY4" i="8" s="1"/>
  <c r="IF16" i="8"/>
  <c r="IG16" i="8" s="1"/>
  <c r="IF13" i="8"/>
  <c r="IG13" i="8" s="1"/>
  <c r="IF4" i="8"/>
  <c r="IG4" i="8" s="1"/>
  <c r="HN16" i="8"/>
  <c r="HO16" i="8" s="1"/>
  <c r="HN13" i="8"/>
  <c r="HO13" i="8" s="1"/>
  <c r="HN4" i="8"/>
  <c r="HO4" i="8" s="1"/>
  <c r="GV16" i="8"/>
  <c r="GW16" i="8" s="1"/>
  <c r="GV13" i="8"/>
  <c r="GW13" i="8" s="1"/>
  <c r="GV4" i="8"/>
  <c r="GW4" i="8" s="1"/>
  <c r="GD16" i="8"/>
  <c r="GE16" i="8" s="1"/>
  <c r="GD13" i="8"/>
  <c r="GE13" i="8" s="1"/>
  <c r="GD4" i="8"/>
  <c r="GE4" i="8" s="1"/>
  <c r="FL13" i="8"/>
  <c r="FM13" i="8" s="1"/>
  <c r="FL4" i="8"/>
  <c r="FM4" i="8" s="1"/>
  <c r="ET16" i="8"/>
  <c r="EU16" i="8" s="1"/>
  <c r="ET13" i="8"/>
  <c r="EU13" i="8" s="1"/>
  <c r="EB16" i="8"/>
  <c r="EC16" i="8" s="1"/>
  <c r="EB13" i="8"/>
  <c r="EC13" i="8" s="1"/>
  <c r="EB4" i="8"/>
  <c r="EC4" i="8" s="1"/>
  <c r="DJ20" i="8"/>
  <c r="DK20" i="8" s="1"/>
  <c r="DJ16" i="8"/>
  <c r="DK16" i="8" s="1"/>
  <c r="DJ13" i="8"/>
  <c r="DK13" i="8" s="1"/>
  <c r="CR16" i="8"/>
  <c r="CS16" i="8" s="1"/>
  <c r="CR13" i="8"/>
  <c r="CS13" i="8" s="1"/>
  <c r="CR4" i="8"/>
  <c r="CS4" i="8" s="1"/>
  <c r="BZ16" i="8"/>
  <c r="CA16" i="8" s="1"/>
  <c r="BZ13" i="8"/>
  <c r="CA13" i="8" s="1"/>
  <c r="BH16" i="8"/>
  <c r="BI16" i="8" s="1"/>
  <c r="BH13" i="8"/>
  <c r="BI13" i="8" s="1"/>
  <c r="BH4" i="8"/>
  <c r="BI4" i="8" s="1"/>
  <c r="AP16" i="8"/>
  <c r="AQ16" i="8" s="1"/>
  <c r="AP13" i="8"/>
  <c r="AQ13" i="8" s="1"/>
  <c r="X16" i="8"/>
  <c r="Y16" i="8" s="1"/>
  <c r="X13" i="8"/>
  <c r="Y13" i="8" s="1"/>
  <c r="X4" i="8"/>
  <c r="Y4" i="8" s="1"/>
  <c r="F16" i="8"/>
  <c r="G16" i="8" s="1"/>
  <c r="F13" i="8"/>
  <c r="G13" i="8" s="1"/>
  <c r="TI19" i="14"/>
  <c r="SQ19" i="14"/>
  <c r="RF16" i="14"/>
  <c r="RG16" i="14" s="1"/>
  <c r="RG19" i="14"/>
  <c r="RS8" i="14"/>
  <c r="RT8" i="14" s="1"/>
  <c r="RG5" i="14"/>
  <c r="RS5" i="14"/>
  <c r="RT5" i="14" s="1"/>
  <c r="PW5" i="14"/>
  <c r="QI5" i="14"/>
  <c r="QJ5" i="14" s="1"/>
  <c r="OM19" i="14"/>
  <c r="OL4" i="14"/>
  <c r="OM4" i="14" s="1"/>
  <c r="OM5" i="14"/>
  <c r="OY5" i="14"/>
  <c r="OZ5" i="14" s="1"/>
  <c r="NB4" i="14"/>
  <c r="NC4" i="14" s="1"/>
  <c r="NC5" i="14"/>
  <c r="NO5" i="14"/>
  <c r="NP5" i="14" s="1"/>
  <c r="LS8" i="14"/>
  <c r="LR4" i="14"/>
  <c r="LS4" i="14" s="1"/>
  <c r="ME5" i="14"/>
  <c r="MF5" i="14" s="1"/>
  <c r="LS5" i="14"/>
  <c r="KZ16" i="14"/>
  <c r="LA16" i="14" s="1"/>
  <c r="KI8" i="14"/>
  <c r="KI5" i="14"/>
  <c r="KU5" i="14"/>
  <c r="KV5" i="14" s="1"/>
  <c r="JQ19" i="14"/>
  <c r="IY8" i="14"/>
  <c r="IY5" i="14"/>
  <c r="JK5" i="14"/>
  <c r="JL5" i="14" s="1"/>
  <c r="IF16" i="14"/>
  <c r="IG16" i="14" s="1"/>
  <c r="IA8" i="14"/>
  <c r="IB8" i="14" s="1"/>
  <c r="HN4" i="14"/>
  <c r="HO4" i="14" s="1"/>
  <c r="HO5" i="14"/>
  <c r="IA5" i="14"/>
  <c r="GD4" i="14"/>
  <c r="GE4" i="14" s="1"/>
  <c r="GE5" i="14"/>
  <c r="GQ5" i="14"/>
  <c r="GR5" i="14" s="1"/>
  <c r="DK5" i="14"/>
  <c r="DW5" i="14"/>
  <c r="DX5" i="14" s="1"/>
  <c r="CR16" i="14"/>
  <c r="CS16" i="14" s="1"/>
  <c r="BZ4" i="14"/>
  <c r="CA4" i="14" s="1"/>
  <c r="CM8" i="14"/>
  <c r="CN8" i="14" s="1"/>
  <c r="BC8" i="14"/>
  <c r="BD8" i="14" s="1"/>
  <c r="AP4" i="14"/>
  <c r="AQ4" i="14" s="1"/>
  <c r="AK5" i="14"/>
  <c r="AL5" i="14" s="1"/>
  <c r="F16" i="14"/>
  <c r="G16" i="14" s="1"/>
  <c r="S8" i="14"/>
  <c r="T8" i="14" s="1"/>
  <c r="S5" i="14"/>
  <c r="T5" i="14" s="1"/>
  <c r="F4" i="14"/>
  <c r="G4" i="14" s="1"/>
  <c r="QN4" i="10"/>
  <c r="QO4" i="10" s="1"/>
  <c r="PV4" i="10"/>
  <c r="PW4" i="10" s="1"/>
  <c r="OM5" i="10"/>
  <c r="KZ4" i="10"/>
  <c r="LA4" i="10" s="1"/>
  <c r="HN16" i="10"/>
  <c r="HO16" i="10" s="1"/>
  <c r="FL4" i="10"/>
  <c r="FM4" i="10" s="1"/>
  <c r="CR16" i="10"/>
  <c r="CS16" i="10" s="1"/>
  <c r="X16" i="10"/>
  <c r="Y16" i="10" s="1"/>
  <c r="F16" i="10"/>
  <c r="G16" i="10" s="1"/>
  <c r="RF13" i="10"/>
  <c r="RG13" i="10" s="1"/>
  <c r="RF4" i="10"/>
  <c r="RG4" i="10" s="1"/>
  <c r="RG5" i="10"/>
  <c r="QN16" i="10"/>
  <c r="QO16" i="10" s="1"/>
  <c r="PV16" i="10"/>
  <c r="PW16" i="10" s="1"/>
  <c r="PW5" i="10"/>
  <c r="PD16" i="10"/>
  <c r="PE16" i="10" s="1"/>
  <c r="PD4" i="10"/>
  <c r="PE4" i="10" s="1"/>
  <c r="OL16" i="10"/>
  <c r="OM16" i="10" s="1"/>
  <c r="OL4" i="10"/>
  <c r="OM4" i="10" s="1"/>
  <c r="NT16" i="10"/>
  <c r="NU16" i="10" s="1"/>
  <c r="NT4" i="10"/>
  <c r="NU4" i="10" s="1"/>
  <c r="NB16" i="10"/>
  <c r="NC16" i="10" s="1"/>
  <c r="NB4" i="10"/>
  <c r="NC4" i="10" s="1"/>
  <c r="NC5" i="10"/>
  <c r="MJ16" i="10"/>
  <c r="MK16" i="10" s="1"/>
  <c r="MJ4" i="10"/>
  <c r="MK4" i="10" s="1"/>
  <c r="LR16" i="10"/>
  <c r="LS16" i="10" s="1"/>
  <c r="LR13" i="10"/>
  <c r="LS13" i="10" s="1"/>
  <c r="LR4" i="10"/>
  <c r="LS4" i="10" s="1"/>
  <c r="LS5" i="10"/>
  <c r="KZ16" i="10"/>
  <c r="LA16" i="10" s="1"/>
  <c r="KH16" i="10"/>
  <c r="KI16" i="10" s="1"/>
  <c r="KH4" i="10"/>
  <c r="KI4" i="10" s="1"/>
  <c r="JP16" i="10"/>
  <c r="JQ16" i="10" s="1"/>
  <c r="JP4" i="10"/>
  <c r="JQ4" i="10" s="1"/>
  <c r="IX16" i="10"/>
  <c r="IY16" i="10" s="1"/>
  <c r="IX13" i="10"/>
  <c r="IY13" i="10" s="1"/>
  <c r="IX4" i="10"/>
  <c r="IY4" i="10" s="1"/>
  <c r="IY5" i="10"/>
  <c r="JK5" i="10"/>
  <c r="JL5" i="10" s="1"/>
  <c r="IF16" i="10"/>
  <c r="IG16" i="10" s="1"/>
  <c r="IF4" i="10"/>
  <c r="IG4" i="10" s="1"/>
  <c r="HN4" i="10"/>
  <c r="HO4" i="10" s="1"/>
  <c r="GV16" i="10"/>
  <c r="GW16" i="10" s="1"/>
  <c r="GV4" i="10"/>
  <c r="GW4" i="10" s="1"/>
  <c r="GE21" i="10"/>
  <c r="GD16" i="10"/>
  <c r="GE16" i="10" s="1"/>
  <c r="GD4" i="10"/>
  <c r="GE4" i="10" s="1"/>
  <c r="FL20" i="10"/>
  <c r="FM20" i="10" s="1"/>
  <c r="FY21" i="10"/>
  <c r="FZ21" i="10" s="1"/>
  <c r="FL16" i="10"/>
  <c r="FM16" i="10" s="1"/>
  <c r="FM17" i="10"/>
  <c r="ET16" i="10"/>
  <c r="EU16" i="10" s="1"/>
  <c r="ET4" i="10"/>
  <c r="EU4" i="10" s="1"/>
  <c r="EB20" i="10"/>
  <c r="EC20" i="10" s="1"/>
  <c r="EB16" i="10"/>
  <c r="EC16" i="10" s="1"/>
  <c r="EC17" i="10"/>
  <c r="EB4" i="10"/>
  <c r="EC4" i="10" s="1"/>
  <c r="DJ20" i="10"/>
  <c r="DK20" i="10" s="1"/>
  <c r="DJ16" i="10"/>
  <c r="DK16" i="10" s="1"/>
  <c r="DJ4" i="10"/>
  <c r="DK4" i="10" s="1"/>
  <c r="CS21" i="10"/>
  <c r="BZ16" i="10"/>
  <c r="CA16" i="10" s="1"/>
  <c r="BH16" i="10"/>
  <c r="BI16" i="10" s="1"/>
  <c r="BI17" i="10"/>
  <c r="BH4" i="10"/>
  <c r="BI4" i="10" s="1"/>
  <c r="AQ14" i="10"/>
  <c r="AP13" i="10"/>
  <c r="AQ13" i="10" s="1"/>
  <c r="AP4" i="10"/>
  <c r="AQ4" i="10" s="1"/>
  <c r="Y17" i="10"/>
  <c r="X4" i="10"/>
  <c r="Y4" i="10" s="1"/>
  <c r="G14" i="10"/>
  <c r="GJ11" i="14"/>
  <c r="GQ11" i="14"/>
  <c r="RL11" i="14"/>
  <c r="RS11" i="14"/>
  <c r="HT12" i="14"/>
  <c r="IA12" i="14"/>
  <c r="IB12" i="14" s="1"/>
  <c r="MV15" i="14"/>
  <c r="MU13" i="14"/>
  <c r="MV13" i="14" s="1"/>
  <c r="BC5" i="14"/>
  <c r="KN9" i="14"/>
  <c r="KU9" i="14"/>
  <c r="QB9" i="14"/>
  <c r="QI9" i="14"/>
  <c r="QJ9" i="14" s="1"/>
  <c r="AV11" i="14"/>
  <c r="BC11" i="14"/>
  <c r="LX11" i="14"/>
  <c r="ME11" i="14"/>
  <c r="CF12" i="14"/>
  <c r="CM12" i="14"/>
  <c r="CN12" i="14" s="1"/>
  <c r="OX18" i="14"/>
  <c r="OW16" i="14"/>
  <c r="OX16" i="14" s="1"/>
  <c r="BW1" i="14"/>
  <c r="L5" i="14"/>
  <c r="AD5" i="14"/>
  <c r="FX5" i="14"/>
  <c r="HH5" i="14"/>
  <c r="IR5" i="14"/>
  <c r="KB5" i="14"/>
  <c r="LL5" i="14"/>
  <c r="MV5" i="14"/>
  <c r="OF5" i="14"/>
  <c r="PP5" i="14"/>
  <c r="QZ5" i="14"/>
  <c r="SJ5" i="14"/>
  <c r="TT5" i="14"/>
  <c r="AJ6" i="14"/>
  <c r="NU8" i="14"/>
  <c r="QI8" i="14"/>
  <c r="TI8" i="14"/>
  <c r="BC9" i="14"/>
  <c r="BD9" i="14" s="1"/>
  <c r="EC9" i="14"/>
  <c r="GQ9" i="14"/>
  <c r="JQ9" i="14"/>
  <c r="MK9" i="14"/>
  <c r="PE9" i="14"/>
  <c r="RY9" i="14"/>
  <c r="KS10" i="14"/>
  <c r="KT10" i="14" s="1"/>
  <c r="NM10" i="14"/>
  <c r="NN10" i="14" s="1"/>
  <c r="QG10" i="14"/>
  <c r="QH10" i="14" s="1"/>
  <c r="TA10" i="14"/>
  <c r="TB10" i="14" s="1"/>
  <c r="Y11" i="14"/>
  <c r="CS11" i="14"/>
  <c r="FM11" i="14"/>
  <c r="IG11" i="14"/>
  <c r="LA11" i="14"/>
  <c r="LM11" i="14"/>
  <c r="NU11" i="14"/>
  <c r="OG11" i="14"/>
  <c r="QO11" i="14"/>
  <c r="RA11" i="14"/>
  <c r="TI11" i="14"/>
  <c r="TU11" i="14"/>
  <c r="BI12" i="14"/>
  <c r="BU12" i="14"/>
  <c r="BV12" i="14" s="1"/>
  <c r="EC12" i="14"/>
  <c r="EO12" i="14"/>
  <c r="EP12" i="14" s="1"/>
  <c r="GW12" i="14"/>
  <c r="HI12" i="14"/>
  <c r="HJ12" i="14" s="1"/>
  <c r="JQ12" i="14"/>
  <c r="KU12" i="14"/>
  <c r="KV12" i="14" s="1"/>
  <c r="KI12" i="14"/>
  <c r="KH10" i="14"/>
  <c r="KI10" i="14" s="1"/>
  <c r="NO12" i="14"/>
  <c r="NP12" i="14" s="1"/>
  <c r="NC12" i="14"/>
  <c r="NB10" i="14"/>
  <c r="NC10" i="14" s="1"/>
  <c r="QI12" i="14"/>
  <c r="QJ12" i="14" s="1"/>
  <c r="PW12" i="14"/>
  <c r="PV10" i="14"/>
  <c r="PW10" i="14" s="1"/>
  <c r="TC12" i="14"/>
  <c r="TD12" i="14" s="1"/>
  <c r="SQ12" i="14"/>
  <c r="SP10" i="14"/>
  <c r="SQ10" i="14" s="1"/>
  <c r="NH9" i="14"/>
  <c r="NO9" i="14"/>
  <c r="NP9" i="14" s="1"/>
  <c r="JD11" i="14"/>
  <c r="JK11" i="14"/>
  <c r="L12" i="14"/>
  <c r="S12" i="14"/>
  <c r="T12" i="14" s="1"/>
  <c r="EZ12" i="14"/>
  <c r="FG12" i="14"/>
  <c r="FH12" i="14" s="1"/>
  <c r="R14" i="14"/>
  <c r="Q13" i="14"/>
  <c r="R13" i="14" s="1"/>
  <c r="BT5" i="14"/>
  <c r="DD5" i="14"/>
  <c r="EN5" i="14"/>
  <c r="X4" i="14"/>
  <c r="Y4" i="14" s="1"/>
  <c r="BA4" i="14"/>
  <c r="BB4" i="14" s="1"/>
  <c r="BH4" i="14"/>
  <c r="BI4" i="14" s="1"/>
  <c r="CR4" i="14"/>
  <c r="CS4" i="14" s="1"/>
  <c r="EB4" i="14"/>
  <c r="EC4" i="14" s="1"/>
  <c r="FL4" i="14"/>
  <c r="FM4" i="14" s="1"/>
  <c r="GO4" i="14"/>
  <c r="GP4" i="14" s="1"/>
  <c r="GV4" i="14"/>
  <c r="GW4" i="14" s="1"/>
  <c r="IF4" i="14"/>
  <c r="IG4" i="14" s="1"/>
  <c r="JP4" i="14"/>
  <c r="JQ4" i="14" s="1"/>
  <c r="KZ4" i="14"/>
  <c r="LA4" i="14" s="1"/>
  <c r="MJ4" i="14"/>
  <c r="MK4" i="14" s="1"/>
  <c r="NT4" i="14"/>
  <c r="NU4" i="14" s="1"/>
  <c r="PD4" i="14"/>
  <c r="PE4" i="14" s="1"/>
  <c r="QG4" i="14"/>
  <c r="QH4" i="14" s="1"/>
  <c r="QN4" i="14"/>
  <c r="QO4" i="14" s="1"/>
  <c r="RX4" i="14"/>
  <c r="RY4" i="14" s="1"/>
  <c r="TH4" i="14"/>
  <c r="TI4" i="14" s="1"/>
  <c r="BI5" i="14"/>
  <c r="CS5" i="14"/>
  <c r="EC5" i="14"/>
  <c r="FM5" i="14"/>
  <c r="GW5" i="14"/>
  <c r="IG5" i="14"/>
  <c r="JQ5" i="14"/>
  <c r="LA5" i="14"/>
  <c r="MK5" i="14"/>
  <c r="NU5" i="14"/>
  <c r="PE5" i="14"/>
  <c r="QO5" i="14"/>
  <c r="RY5" i="14"/>
  <c r="TI5" i="14"/>
  <c r="Y6" i="14"/>
  <c r="BI6" i="14"/>
  <c r="CS6" i="14"/>
  <c r="EC6" i="14"/>
  <c r="FM6" i="14"/>
  <c r="GW6" i="14"/>
  <c r="IG6" i="14"/>
  <c r="JQ6" i="14"/>
  <c r="LA6" i="14"/>
  <c r="MK6" i="14"/>
  <c r="NU6" i="14"/>
  <c r="PE6" i="14"/>
  <c r="QO6" i="14"/>
  <c r="RY6" i="14"/>
  <c r="TI6" i="14"/>
  <c r="Y7" i="14"/>
  <c r="BI7" i="14"/>
  <c r="CS7" i="14"/>
  <c r="EC7" i="14"/>
  <c r="FM7" i="14"/>
  <c r="GW7" i="14"/>
  <c r="IG7" i="14"/>
  <c r="JQ7" i="14"/>
  <c r="LA7" i="14"/>
  <c r="MK7" i="14"/>
  <c r="NU7" i="14"/>
  <c r="PE7" i="14"/>
  <c r="QO7" i="14"/>
  <c r="RY7" i="14"/>
  <c r="TI7" i="14"/>
  <c r="Y8" i="14"/>
  <c r="BI8" i="14"/>
  <c r="CS8" i="14"/>
  <c r="EC8" i="14"/>
  <c r="FM8" i="14"/>
  <c r="GW8" i="14"/>
  <c r="IG8" i="14"/>
  <c r="JQ8" i="14"/>
  <c r="LA8" i="14"/>
  <c r="MK8" i="14"/>
  <c r="OY8" i="14"/>
  <c r="RY8" i="14"/>
  <c r="S9" i="14"/>
  <c r="T9" i="14" s="1"/>
  <c r="CS9" i="14"/>
  <c r="FG9" i="14"/>
  <c r="IG9" i="14"/>
  <c r="LX9" i="14"/>
  <c r="ME9" i="14"/>
  <c r="OR9" i="14"/>
  <c r="OY9" i="14"/>
  <c r="OZ9" i="14" s="1"/>
  <c r="RL9" i="14"/>
  <c r="RS9" i="14"/>
  <c r="K10" i="14"/>
  <c r="L10" i="14" s="1"/>
  <c r="CE10" i="14"/>
  <c r="CF10" i="14" s="1"/>
  <c r="EY10" i="14"/>
  <c r="EZ10" i="14" s="1"/>
  <c r="HS10" i="14"/>
  <c r="HT10" i="14" s="1"/>
  <c r="JP10" i="14"/>
  <c r="JQ10" i="14" s="1"/>
  <c r="L11" i="14"/>
  <c r="S11" i="14"/>
  <c r="CF11" i="14"/>
  <c r="CM11" i="14"/>
  <c r="EZ11" i="14"/>
  <c r="FG11" i="14"/>
  <c r="HT11" i="14"/>
  <c r="IA11" i="14"/>
  <c r="KN11" i="14"/>
  <c r="KU11" i="14"/>
  <c r="NH11" i="14"/>
  <c r="NO11" i="14"/>
  <c r="QB11" i="14"/>
  <c r="QI11" i="14"/>
  <c r="SV11" i="14"/>
  <c r="TC11" i="14"/>
  <c r="AV12" i="14"/>
  <c r="BC12" i="14"/>
  <c r="BD12" i="14" s="1"/>
  <c r="DP12" i="14"/>
  <c r="DW12" i="14"/>
  <c r="DX12" i="14" s="1"/>
  <c r="GJ12" i="14"/>
  <c r="GQ12" i="14"/>
  <c r="GR12" i="14" s="1"/>
  <c r="JD12" i="14"/>
  <c r="JK12" i="14"/>
  <c r="JL12" i="14" s="1"/>
  <c r="GI13" i="14"/>
  <c r="GJ13" i="14" s="1"/>
  <c r="AI16" i="14"/>
  <c r="AJ16" i="14" s="1"/>
  <c r="SV9" i="14"/>
  <c r="TC9" i="14"/>
  <c r="TD9" i="14" s="1"/>
  <c r="DP11" i="14"/>
  <c r="DW11" i="14"/>
  <c r="OR11" i="14"/>
  <c r="OY11" i="14"/>
  <c r="RG15" i="14"/>
  <c r="RS15" i="14"/>
  <c r="RT15" i="14" s="1"/>
  <c r="NO8" i="14"/>
  <c r="QO8" i="14"/>
  <c r="TC8" i="14"/>
  <c r="BI9" i="14"/>
  <c r="DW9" i="14"/>
  <c r="GW9" i="14"/>
  <c r="JK9" i="14"/>
  <c r="LA9" i="14"/>
  <c r="NU9" i="14"/>
  <c r="QO9" i="14"/>
  <c r="TI9" i="14"/>
  <c r="Q10" i="14"/>
  <c r="R10" i="14" s="1"/>
  <c r="CK10" i="14"/>
  <c r="CL10" i="14" s="1"/>
  <c r="FE10" i="14"/>
  <c r="FF10" i="14" s="1"/>
  <c r="HY10" i="14"/>
  <c r="HZ10" i="14" s="1"/>
  <c r="BI11" i="14"/>
  <c r="EC11" i="14"/>
  <c r="GW11" i="14"/>
  <c r="JQ11" i="14"/>
  <c r="MK11" i="14"/>
  <c r="PE11" i="14"/>
  <c r="RY11" i="14"/>
  <c r="Y12" i="14"/>
  <c r="CS12" i="14"/>
  <c r="FM12" i="14"/>
  <c r="IG12" i="14"/>
  <c r="ME12" i="14"/>
  <c r="MF12" i="14" s="1"/>
  <c r="LS12" i="14"/>
  <c r="LR10" i="14"/>
  <c r="LS10" i="14" s="1"/>
  <c r="OY12" i="14"/>
  <c r="OZ12" i="14" s="1"/>
  <c r="OM12" i="14"/>
  <c r="OL10" i="14"/>
  <c r="OM10" i="14" s="1"/>
  <c r="RS12" i="14"/>
  <c r="RT12" i="14" s="1"/>
  <c r="RG12" i="14"/>
  <c r="RF10" i="14"/>
  <c r="RG10" i="14" s="1"/>
  <c r="RF13" i="14"/>
  <c r="RG13" i="14" s="1"/>
  <c r="LS15" i="14"/>
  <c r="ME15" i="14"/>
  <c r="MF15" i="14" s="1"/>
  <c r="BU14" i="14"/>
  <c r="DE14" i="14"/>
  <c r="EO14" i="14"/>
  <c r="FY14" i="14"/>
  <c r="HI14" i="14"/>
  <c r="IS14" i="14"/>
  <c r="KC14" i="14"/>
  <c r="LM14" i="14"/>
  <c r="MW14" i="14"/>
  <c r="OG14" i="14"/>
  <c r="PQ14" i="14"/>
  <c r="RA14" i="14"/>
  <c r="SK14" i="14"/>
  <c r="QB15" i="14"/>
  <c r="QA13" i="14"/>
  <c r="QB13" i="14" s="1"/>
  <c r="IL17" i="14"/>
  <c r="IK16" i="14"/>
  <c r="IL16" i="14" s="1"/>
  <c r="LF17" i="14"/>
  <c r="LE16" i="14"/>
  <c r="LF16" i="14" s="1"/>
  <c r="NZ17" i="14"/>
  <c r="NY16" i="14"/>
  <c r="NZ16" i="14" s="1"/>
  <c r="QT17" i="14"/>
  <c r="QS16" i="14"/>
  <c r="QT16" i="14" s="1"/>
  <c r="TN17" i="14"/>
  <c r="TM16" i="14"/>
  <c r="TN16" i="14" s="1"/>
  <c r="AD14" i="14"/>
  <c r="AC13" i="14"/>
  <c r="AD13" i="14" s="1"/>
  <c r="EO15" i="14"/>
  <c r="EP15" i="14" s="1"/>
  <c r="EC15" i="14"/>
  <c r="R17" i="14"/>
  <c r="Q16" i="14"/>
  <c r="R16" i="14" s="1"/>
  <c r="FR17" i="14"/>
  <c r="FQ16" i="14"/>
  <c r="FR16" i="14" s="1"/>
  <c r="FY17" i="14"/>
  <c r="BB19" i="14"/>
  <c r="BA16" i="14"/>
  <c r="BB16" i="14" s="1"/>
  <c r="BM13" i="14"/>
  <c r="BN13" i="14" s="1"/>
  <c r="CW13" i="14"/>
  <c r="CX13" i="14" s="1"/>
  <c r="EG13" i="14"/>
  <c r="EH13" i="14" s="1"/>
  <c r="FQ13" i="14"/>
  <c r="FR13" i="14" s="1"/>
  <c r="HA13" i="14"/>
  <c r="HB13" i="14" s="1"/>
  <c r="IK13" i="14"/>
  <c r="IL13" i="14" s="1"/>
  <c r="JU13" i="14"/>
  <c r="JV13" i="14" s="1"/>
  <c r="LE13" i="14"/>
  <c r="LF13" i="14" s="1"/>
  <c r="MO13" i="14"/>
  <c r="MP13" i="14" s="1"/>
  <c r="NY13" i="14"/>
  <c r="NZ13" i="14" s="1"/>
  <c r="PI13" i="14"/>
  <c r="PJ13" i="14" s="1"/>
  <c r="QS13" i="14"/>
  <c r="QT13" i="14" s="1"/>
  <c r="SC13" i="14"/>
  <c r="SD13" i="14" s="1"/>
  <c r="S14" i="14"/>
  <c r="BC14" i="14"/>
  <c r="CM14" i="14"/>
  <c r="DW14" i="14"/>
  <c r="FG14" i="14"/>
  <c r="GQ14" i="14"/>
  <c r="IA14" i="14"/>
  <c r="JK14" i="14"/>
  <c r="KU14" i="14"/>
  <c r="ME14" i="14"/>
  <c r="NO14" i="14"/>
  <c r="OY14" i="14"/>
  <c r="QI14" i="14"/>
  <c r="RS14" i="14"/>
  <c r="TC14" i="14"/>
  <c r="S15" i="14"/>
  <c r="T15" i="14" s="1"/>
  <c r="BC15" i="14"/>
  <c r="BD15" i="14" s="1"/>
  <c r="CM15" i="14"/>
  <c r="CN15" i="14" s="1"/>
  <c r="DW15" i="14"/>
  <c r="DX15" i="14" s="1"/>
  <c r="GQ15" i="14"/>
  <c r="GR15" i="14" s="1"/>
  <c r="KU15" i="14"/>
  <c r="KV15" i="14" s="1"/>
  <c r="QI15" i="14"/>
  <c r="QJ15" i="14" s="1"/>
  <c r="CX17" i="14"/>
  <c r="CW16" i="14"/>
  <c r="CX16" i="14" s="1"/>
  <c r="DE17" i="14"/>
  <c r="JV17" i="14"/>
  <c r="JU16" i="14"/>
  <c r="JV16" i="14" s="1"/>
  <c r="MP17" i="14"/>
  <c r="MO16" i="14"/>
  <c r="MP16" i="14" s="1"/>
  <c r="PJ17" i="14"/>
  <c r="PI16" i="14"/>
  <c r="PJ16" i="14" s="1"/>
  <c r="DV18" i="14"/>
  <c r="DU16" i="14"/>
  <c r="DV16" i="14" s="1"/>
  <c r="NG16" i="14"/>
  <c r="NH16" i="14" s="1"/>
  <c r="SU16" i="14"/>
  <c r="SV16" i="14" s="1"/>
  <c r="AD17" i="14"/>
  <c r="AC16" i="14"/>
  <c r="AD16" i="14" s="1"/>
  <c r="AK17" i="14"/>
  <c r="RL17" i="14"/>
  <c r="RK16" i="14"/>
  <c r="RL16" i="14" s="1"/>
  <c r="FY15" i="14"/>
  <c r="FZ15" i="14" s="1"/>
  <c r="HI15" i="14"/>
  <c r="HJ15" i="14" s="1"/>
  <c r="IS15" i="14"/>
  <c r="IT15" i="14" s="1"/>
  <c r="KC15" i="14"/>
  <c r="KD15" i="14" s="1"/>
  <c r="LM15" i="14"/>
  <c r="LN15" i="14" s="1"/>
  <c r="MW15" i="14"/>
  <c r="MX15" i="14" s="1"/>
  <c r="OG15" i="14"/>
  <c r="OH15" i="14" s="1"/>
  <c r="PQ15" i="14"/>
  <c r="PR15" i="14" s="1"/>
  <c r="RA15" i="14"/>
  <c r="RB15" i="14" s="1"/>
  <c r="SK15" i="14"/>
  <c r="SL15" i="14" s="1"/>
  <c r="TU15" i="14"/>
  <c r="BH16" i="14"/>
  <c r="BI16" i="14" s="1"/>
  <c r="EB16" i="14"/>
  <c r="EC16" i="14" s="1"/>
  <c r="GV16" i="14"/>
  <c r="GW16" i="14" s="1"/>
  <c r="HB19" i="14"/>
  <c r="HI19" i="14"/>
  <c r="HJ19" i="14" s="1"/>
  <c r="IL19" i="14"/>
  <c r="IS19" i="14"/>
  <c r="IT19" i="14" s="1"/>
  <c r="JV19" i="14"/>
  <c r="KC19" i="14"/>
  <c r="KD19" i="14" s="1"/>
  <c r="LF19" i="14"/>
  <c r="LM19" i="14"/>
  <c r="LN19" i="14" s="1"/>
  <c r="MP19" i="14"/>
  <c r="MW19" i="14"/>
  <c r="MX19" i="14" s="1"/>
  <c r="DV21" i="14"/>
  <c r="DU20" i="14"/>
  <c r="BM16" i="14"/>
  <c r="BN16" i="14" s="1"/>
  <c r="CK16" i="14"/>
  <c r="CL16" i="14" s="1"/>
  <c r="EG16" i="14"/>
  <c r="EH16" i="14" s="1"/>
  <c r="FE16" i="14"/>
  <c r="FF16" i="14" s="1"/>
  <c r="HA16" i="14"/>
  <c r="HB16" i="14" s="1"/>
  <c r="HY16" i="14"/>
  <c r="HZ16" i="14" s="1"/>
  <c r="JI16" i="14"/>
  <c r="JJ16" i="14" s="1"/>
  <c r="KS16" i="14"/>
  <c r="KT16" i="14" s="1"/>
  <c r="MC16" i="14"/>
  <c r="MD16" i="14" s="1"/>
  <c r="NM16" i="14"/>
  <c r="NN16" i="14" s="1"/>
  <c r="S17" i="14"/>
  <c r="BC17" i="14"/>
  <c r="CM17" i="14"/>
  <c r="DW17" i="14"/>
  <c r="FG17" i="14"/>
  <c r="GQ17" i="14"/>
  <c r="IA17" i="14"/>
  <c r="JK17" i="14"/>
  <c r="KU17" i="14"/>
  <c r="ME17" i="14"/>
  <c r="NO17" i="14"/>
  <c r="OY17" i="14"/>
  <c r="QI17" i="14"/>
  <c r="RS17" i="14"/>
  <c r="TC17" i="14"/>
  <c r="S18" i="14"/>
  <c r="T18" i="14" s="1"/>
  <c r="BC18" i="14"/>
  <c r="BD18" i="14" s="1"/>
  <c r="CM18" i="14"/>
  <c r="CN18" i="14" s="1"/>
  <c r="DW18" i="14"/>
  <c r="DX18" i="14" s="1"/>
  <c r="FG18" i="14"/>
  <c r="FH18" i="14" s="1"/>
  <c r="GQ18" i="14"/>
  <c r="GR18" i="14" s="1"/>
  <c r="IA18" i="14"/>
  <c r="IB18" i="14" s="1"/>
  <c r="JK18" i="14"/>
  <c r="JL18" i="14" s="1"/>
  <c r="KU18" i="14"/>
  <c r="KV18" i="14" s="1"/>
  <c r="ME18" i="14"/>
  <c r="MF18" i="14" s="1"/>
  <c r="NO18" i="14"/>
  <c r="NP18" i="14" s="1"/>
  <c r="OY18" i="14"/>
  <c r="OZ18" i="14" s="1"/>
  <c r="QI18" i="14"/>
  <c r="QJ18" i="14" s="1"/>
  <c r="RS18" i="14"/>
  <c r="RT18" i="14" s="1"/>
  <c r="TC18" i="14"/>
  <c r="TD18" i="14" s="1"/>
  <c r="S19" i="14"/>
  <c r="T19" i="14" s="1"/>
  <c r="BC19" i="14"/>
  <c r="BD19" i="14" s="1"/>
  <c r="CM19" i="14"/>
  <c r="CN19" i="14" s="1"/>
  <c r="DW19" i="14"/>
  <c r="DX19" i="14" s="1"/>
  <c r="GQ19" i="14"/>
  <c r="GR19" i="14" s="1"/>
  <c r="GE19" i="14"/>
  <c r="IA19" i="14"/>
  <c r="IB19" i="14" s="1"/>
  <c r="HO19" i="14"/>
  <c r="JK19" i="14"/>
  <c r="JL19" i="14" s="1"/>
  <c r="IY19" i="14"/>
  <c r="KU19" i="14"/>
  <c r="KV19" i="14" s="1"/>
  <c r="KI19" i="14"/>
  <c r="ME19" i="14"/>
  <c r="MF19" i="14" s="1"/>
  <c r="LS19" i="14"/>
  <c r="NO19" i="14"/>
  <c r="NP19" i="14" s="1"/>
  <c r="NC19" i="14"/>
  <c r="BN21" i="14"/>
  <c r="BM20" i="14"/>
  <c r="IS17" i="14"/>
  <c r="KC17" i="14"/>
  <c r="LM17" i="14"/>
  <c r="MW17" i="14"/>
  <c r="OG17" i="14"/>
  <c r="PQ17" i="14"/>
  <c r="RA17" i="14"/>
  <c r="SK17" i="14"/>
  <c r="TU17" i="14"/>
  <c r="AK18" i="14"/>
  <c r="AL18" i="14" s="1"/>
  <c r="BU18" i="14"/>
  <c r="BV18" i="14" s="1"/>
  <c r="DE18" i="14"/>
  <c r="DF18" i="14" s="1"/>
  <c r="EO18" i="14"/>
  <c r="EP18" i="14" s="1"/>
  <c r="FY18" i="14"/>
  <c r="FZ18" i="14" s="1"/>
  <c r="HI18" i="14"/>
  <c r="HJ18" i="14" s="1"/>
  <c r="IS18" i="14"/>
  <c r="IT18" i="14" s="1"/>
  <c r="KC18" i="14"/>
  <c r="KD18" i="14" s="1"/>
  <c r="LM18" i="14"/>
  <c r="LN18" i="14" s="1"/>
  <c r="MW18" i="14"/>
  <c r="MX18" i="14" s="1"/>
  <c r="OG18" i="14"/>
  <c r="OH18" i="14" s="1"/>
  <c r="PQ18" i="14"/>
  <c r="PR18" i="14" s="1"/>
  <c r="RA18" i="14"/>
  <c r="RB18" i="14" s="1"/>
  <c r="SK18" i="14"/>
  <c r="SL18" i="14" s="1"/>
  <c r="TU18" i="14"/>
  <c r="TV18" i="14" s="1"/>
  <c r="AK19" i="14"/>
  <c r="AL19" i="14" s="1"/>
  <c r="BU19" i="14"/>
  <c r="BV19" i="14" s="1"/>
  <c r="DE19" i="14"/>
  <c r="DF19" i="14" s="1"/>
  <c r="EO19" i="14"/>
  <c r="EP19" i="14" s="1"/>
  <c r="FY19" i="14"/>
  <c r="FZ19" i="14" s="1"/>
  <c r="HO21" i="14"/>
  <c r="HN20" i="14"/>
  <c r="IA21" i="14"/>
  <c r="IY21" i="14"/>
  <c r="JK21" i="14"/>
  <c r="IX20" i="14"/>
  <c r="KT21" i="14"/>
  <c r="KS20" i="14"/>
  <c r="LS21" i="14"/>
  <c r="ME21" i="14"/>
  <c r="LR20" i="14"/>
  <c r="MP21" i="14"/>
  <c r="MO20" i="14"/>
  <c r="NN21" i="14"/>
  <c r="NM20" i="14"/>
  <c r="OM21" i="14"/>
  <c r="OY21" i="14"/>
  <c r="OL20" i="14"/>
  <c r="PJ21" i="14"/>
  <c r="PI20" i="14"/>
  <c r="QH21" i="14"/>
  <c r="QG20" i="14"/>
  <c r="RG21" i="14"/>
  <c r="RS21" i="14"/>
  <c r="RF20" i="14"/>
  <c r="SD21" i="14"/>
  <c r="SC20" i="14"/>
  <c r="AD21" i="14"/>
  <c r="AC20" i="14"/>
  <c r="CL21" i="14"/>
  <c r="CK20" i="14"/>
  <c r="FR21" i="14"/>
  <c r="FQ20" i="14"/>
  <c r="OG19" i="14"/>
  <c r="OH19" i="14" s="1"/>
  <c r="PE19" i="14"/>
  <c r="QO19" i="14"/>
  <c r="BB21" i="14"/>
  <c r="BA20" i="14"/>
  <c r="EH21" i="14"/>
  <c r="EG20" i="14"/>
  <c r="FM19" i="14"/>
  <c r="R21" i="14"/>
  <c r="Q20" i="14"/>
  <c r="CX21" i="14"/>
  <c r="CW20" i="14"/>
  <c r="FF21" i="14"/>
  <c r="FE20" i="14"/>
  <c r="GP21" i="14"/>
  <c r="GO20" i="14"/>
  <c r="K20" i="14"/>
  <c r="AU20" i="14"/>
  <c r="CE20" i="14"/>
  <c r="KI20" i="14"/>
  <c r="NC20" i="14"/>
  <c r="PW20" i="14"/>
  <c r="SQ20" i="14"/>
  <c r="S21" i="14"/>
  <c r="BC21" i="14"/>
  <c r="CM21" i="14"/>
  <c r="DW21" i="14"/>
  <c r="FG21" i="14"/>
  <c r="GQ21" i="14"/>
  <c r="IG21" i="14"/>
  <c r="IS21" i="14"/>
  <c r="LA21" i="14"/>
  <c r="LM21" i="14"/>
  <c r="NU21" i="14"/>
  <c r="OG21" i="14"/>
  <c r="QO21" i="14"/>
  <c r="RA21" i="14"/>
  <c r="TI21" i="14"/>
  <c r="TU21" i="14"/>
  <c r="MV20" i="14"/>
  <c r="TT20" i="14"/>
  <c r="HI21" i="14"/>
  <c r="KI21" i="14"/>
  <c r="KU21" i="14"/>
  <c r="NC21" i="14"/>
  <c r="NO21" i="14"/>
  <c r="PW21" i="14"/>
  <c r="QI21" i="14"/>
  <c r="SQ21" i="14"/>
  <c r="TC21" i="14"/>
  <c r="AI20" i="14"/>
  <c r="BS20" i="14"/>
  <c r="JQ20" i="14"/>
  <c r="LA20" i="14"/>
  <c r="MK20" i="14"/>
  <c r="NU20" i="14"/>
  <c r="PE20" i="14"/>
  <c r="QO20" i="14"/>
  <c r="RL20" i="14"/>
  <c r="RY20" i="14"/>
  <c r="SV20" i="14"/>
  <c r="TI20" i="14"/>
  <c r="AK21" i="14"/>
  <c r="BU21" i="14"/>
  <c r="DE21" i="14"/>
  <c r="EO21" i="14"/>
  <c r="FY21" i="14"/>
  <c r="JQ21" i="14"/>
  <c r="KC21" i="14"/>
  <c r="MK21" i="14"/>
  <c r="MW21" i="14"/>
  <c r="PE21" i="14"/>
  <c r="PQ21" i="14"/>
  <c r="RY21" i="14"/>
  <c r="SK21" i="14"/>
  <c r="AK5" i="10"/>
  <c r="Y5" i="10"/>
  <c r="DE5" i="10"/>
  <c r="CS5" i="10"/>
  <c r="FY5" i="10"/>
  <c r="FM5" i="10"/>
  <c r="K4" i="10"/>
  <c r="L4" i="10" s="1"/>
  <c r="BZ4" i="10"/>
  <c r="CA4" i="10" s="1"/>
  <c r="EM4" i="10"/>
  <c r="EN4" i="10" s="1"/>
  <c r="EY4" i="10"/>
  <c r="EZ4" i="10" s="1"/>
  <c r="AQ5" i="10"/>
  <c r="BT5" i="10"/>
  <c r="DK5" i="10"/>
  <c r="GE5" i="10"/>
  <c r="KC5" i="10"/>
  <c r="KI5" i="10"/>
  <c r="PQ5" i="10"/>
  <c r="BU5" i="10"/>
  <c r="BI5" i="10"/>
  <c r="EO5" i="10"/>
  <c r="EC5" i="10"/>
  <c r="HI5" i="10"/>
  <c r="GW5" i="10"/>
  <c r="LM5" i="10"/>
  <c r="RA5" i="10"/>
  <c r="AM1" i="10"/>
  <c r="F4" i="10"/>
  <c r="G4" i="10" s="1"/>
  <c r="CE4" i="10"/>
  <c r="CF4" i="10" s="1"/>
  <c r="G5" i="10"/>
  <c r="CA5" i="10"/>
  <c r="EU5" i="10"/>
  <c r="HO5" i="10"/>
  <c r="MW5" i="10"/>
  <c r="SJ5" i="10"/>
  <c r="AK9" i="10"/>
  <c r="AL9" i="10" s="1"/>
  <c r="Y9" i="10"/>
  <c r="Q4" i="10"/>
  <c r="R4" i="10" s="1"/>
  <c r="BA4" i="10"/>
  <c r="BB4" i="10" s="1"/>
  <c r="CK4" i="10"/>
  <c r="CL4" i="10" s="1"/>
  <c r="DU4" i="10"/>
  <c r="DV4" i="10" s="1"/>
  <c r="FE4" i="10"/>
  <c r="FF4" i="10" s="1"/>
  <c r="GO4" i="10"/>
  <c r="GP4" i="10" s="1"/>
  <c r="HY4" i="10"/>
  <c r="HZ4" i="10" s="1"/>
  <c r="JI4" i="10"/>
  <c r="JJ4" i="10" s="1"/>
  <c r="KS4" i="10"/>
  <c r="KT4" i="10" s="1"/>
  <c r="MC4" i="10"/>
  <c r="MD4" i="10" s="1"/>
  <c r="NM4" i="10"/>
  <c r="NN4" i="10" s="1"/>
  <c r="OW4" i="10"/>
  <c r="OX4" i="10" s="1"/>
  <c r="QG4" i="10"/>
  <c r="QH4" i="10" s="1"/>
  <c r="RQ4" i="10"/>
  <c r="RR4" i="10" s="1"/>
  <c r="SY4" i="10"/>
  <c r="SZ4" i="10" s="1"/>
  <c r="IG5" i="10"/>
  <c r="JQ5" i="10"/>
  <c r="LA5" i="10"/>
  <c r="MK5" i="10"/>
  <c r="NU5" i="10"/>
  <c r="PE5" i="10"/>
  <c r="QO5" i="10"/>
  <c r="RY5" i="10"/>
  <c r="TG5" i="10"/>
  <c r="Y6" i="10"/>
  <c r="BI6" i="10"/>
  <c r="CS6" i="10"/>
  <c r="EC6" i="10"/>
  <c r="FM6" i="10"/>
  <c r="GW6" i="10"/>
  <c r="IG6" i="10"/>
  <c r="JQ6" i="10"/>
  <c r="KU6" i="10"/>
  <c r="KV6" i="10" s="1"/>
  <c r="LM6" i="10"/>
  <c r="LN6" i="10" s="1"/>
  <c r="ME6" i="10"/>
  <c r="MW6" i="10"/>
  <c r="MX6" i="10" s="1"/>
  <c r="NO6" i="10"/>
  <c r="OG6" i="10"/>
  <c r="OH6" i="10" s="1"/>
  <c r="OY6" i="10"/>
  <c r="PQ6" i="10"/>
  <c r="PR6" i="10" s="1"/>
  <c r="QI6" i="10"/>
  <c r="RA6" i="10"/>
  <c r="RB6" i="10" s="1"/>
  <c r="RS6" i="10"/>
  <c r="SJ6" i="10"/>
  <c r="SK6" i="10" s="1"/>
  <c r="TA6" i="10"/>
  <c r="TR6" i="10"/>
  <c r="TS6" i="10" s="1"/>
  <c r="S7" i="10"/>
  <c r="T7" i="10" s="1"/>
  <c r="AK7" i="10"/>
  <c r="AL7" i="10" s="1"/>
  <c r="BC7" i="10"/>
  <c r="BD7" i="10" s="1"/>
  <c r="BU7" i="10"/>
  <c r="BV7" i="10" s="1"/>
  <c r="CM7" i="10"/>
  <c r="CN7" i="10" s="1"/>
  <c r="DE7" i="10"/>
  <c r="DF7" i="10" s="1"/>
  <c r="DW7" i="10"/>
  <c r="DX7" i="10" s="1"/>
  <c r="EO7" i="10"/>
  <c r="EP7" i="10" s="1"/>
  <c r="FG7" i="10"/>
  <c r="FH7" i="10" s="1"/>
  <c r="FY7" i="10"/>
  <c r="FZ7" i="10" s="1"/>
  <c r="GQ7" i="10"/>
  <c r="GR7" i="10" s="1"/>
  <c r="HI7" i="10"/>
  <c r="HJ7" i="10" s="1"/>
  <c r="IA7" i="10"/>
  <c r="IB7" i="10" s="1"/>
  <c r="IS7" i="10"/>
  <c r="IT7" i="10" s="1"/>
  <c r="JK7" i="10"/>
  <c r="KC7" i="10"/>
  <c r="KD7" i="10" s="1"/>
  <c r="KU7" i="10"/>
  <c r="KV7" i="10" s="1"/>
  <c r="LM7" i="10"/>
  <c r="LN7" i="10" s="1"/>
  <c r="ME7" i="10"/>
  <c r="MF7" i="10" s="1"/>
  <c r="MW7" i="10"/>
  <c r="MX7" i="10" s="1"/>
  <c r="NO7" i="10"/>
  <c r="NP7" i="10" s="1"/>
  <c r="OG7" i="10"/>
  <c r="OH7" i="10" s="1"/>
  <c r="OY7" i="10"/>
  <c r="OZ7" i="10" s="1"/>
  <c r="PQ7" i="10"/>
  <c r="PR7" i="10" s="1"/>
  <c r="QI7" i="10"/>
  <c r="QJ7" i="10" s="1"/>
  <c r="RA7" i="10"/>
  <c r="RB7" i="10" s="1"/>
  <c r="RS7" i="10"/>
  <c r="RT7" i="10" s="1"/>
  <c r="SJ7" i="10"/>
  <c r="SK7" i="10" s="1"/>
  <c r="TA7" i="10"/>
  <c r="TB7" i="10" s="1"/>
  <c r="TR7" i="10"/>
  <c r="TS7" i="10" s="1"/>
  <c r="S8" i="10"/>
  <c r="T8" i="10" s="1"/>
  <c r="AK8" i="10"/>
  <c r="AL8" i="10" s="1"/>
  <c r="BC8" i="10"/>
  <c r="BD8" i="10" s="1"/>
  <c r="BU8" i="10"/>
  <c r="BV8" i="10" s="1"/>
  <c r="CM8" i="10"/>
  <c r="CN8" i="10" s="1"/>
  <c r="DE8" i="10"/>
  <c r="DF8" i="10" s="1"/>
  <c r="DW8" i="10"/>
  <c r="DX8" i="10" s="1"/>
  <c r="EO8" i="10"/>
  <c r="EP8" i="10" s="1"/>
  <c r="FG8" i="10"/>
  <c r="FH8" i="10" s="1"/>
  <c r="FY8" i="10"/>
  <c r="FZ8" i="10" s="1"/>
  <c r="GQ8" i="10"/>
  <c r="GR8" i="10" s="1"/>
  <c r="HI8" i="10"/>
  <c r="HJ8" i="10" s="1"/>
  <c r="IA8" i="10"/>
  <c r="IB8" i="10" s="1"/>
  <c r="IS8" i="10"/>
  <c r="IT8" i="10" s="1"/>
  <c r="JK8" i="10"/>
  <c r="JL8" i="10" s="1"/>
  <c r="KC8" i="10"/>
  <c r="KD8" i="10" s="1"/>
  <c r="KU8" i="10"/>
  <c r="KV8" i="10" s="1"/>
  <c r="LM8" i="10"/>
  <c r="LN8" i="10" s="1"/>
  <c r="ME8" i="10"/>
  <c r="MF8" i="10" s="1"/>
  <c r="MW8" i="10"/>
  <c r="MX8" i="10" s="1"/>
  <c r="NO8" i="10"/>
  <c r="NP8" i="10" s="1"/>
  <c r="OG8" i="10"/>
  <c r="OH8" i="10" s="1"/>
  <c r="OY8" i="10"/>
  <c r="OZ8" i="10" s="1"/>
  <c r="PQ8" i="10"/>
  <c r="PR8" i="10" s="1"/>
  <c r="QI8" i="10"/>
  <c r="QJ8" i="10" s="1"/>
  <c r="RA8" i="10"/>
  <c r="RB8" i="10" s="1"/>
  <c r="RS8" i="10"/>
  <c r="RT8" i="10" s="1"/>
  <c r="SJ8" i="10"/>
  <c r="SK8" i="10" s="1"/>
  <c r="TA8" i="10"/>
  <c r="TB8" i="10" s="1"/>
  <c r="S9" i="10"/>
  <c r="T9" i="10" s="1"/>
  <c r="G9" i="10"/>
  <c r="TR8" i="10"/>
  <c r="TS8" i="10" s="1"/>
  <c r="TG8" i="10"/>
  <c r="BC9" i="10"/>
  <c r="BD9" i="10" s="1"/>
  <c r="AQ9" i="10"/>
  <c r="BI9" i="10"/>
  <c r="EC9" i="10"/>
  <c r="GW9" i="10"/>
  <c r="JQ9" i="10"/>
  <c r="BU11" i="10"/>
  <c r="BI11" i="10"/>
  <c r="BH10" i="10"/>
  <c r="BI10" i="10" s="1"/>
  <c r="HI11" i="10"/>
  <c r="GW11" i="10"/>
  <c r="GV10" i="10"/>
  <c r="GW10" i="10" s="1"/>
  <c r="DK9" i="10"/>
  <c r="GE9" i="10"/>
  <c r="IY9" i="10"/>
  <c r="S11" i="10"/>
  <c r="G11" i="10"/>
  <c r="F10" i="10"/>
  <c r="G10" i="10" s="1"/>
  <c r="AV11" i="10"/>
  <c r="AU10" i="10"/>
  <c r="AV10" i="10" s="1"/>
  <c r="DD11" i="10"/>
  <c r="DC10" i="10"/>
  <c r="DD10" i="10" s="1"/>
  <c r="FG11" i="10"/>
  <c r="EU11" i="10"/>
  <c r="ET10" i="10"/>
  <c r="EU10" i="10" s="1"/>
  <c r="GJ11" i="10"/>
  <c r="GI10" i="10"/>
  <c r="GJ10" i="10" s="1"/>
  <c r="CS9" i="10"/>
  <c r="FM9" i="10"/>
  <c r="IG9" i="10"/>
  <c r="DW11" i="10"/>
  <c r="EO11" i="10"/>
  <c r="EC11" i="10"/>
  <c r="EB10" i="10"/>
  <c r="EC10" i="10" s="1"/>
  <c r="AJ11" i="10"/>
  <c r="AI10" i="10"/>
  <c r="AJ10" i="10" s="1"/>
  <c r="CM11" i="10"/>
  <c r="CA11" i="10"/>
  <c r="BZ10" i="10"/>
  <c r="CA10" i="10" s="1"/>
  <c r="DP11" i="10"/>
  <c r="DO10" i="10"/>
  <c r="DP10" i="10" s="1"/>
  <c r="FX11" i="10"/>
  <c r="FW10" i="10"/>
  <c r="FX10" i="10" s="1"/>
  <c r="AK11" i="10"/>
  <c r="Y11" i="10"/>
  <c r="DE11" i="10"/>
  <c r="CS11" i="10"/>
  <c r="FY11" i="10"/>
  <c r="FM11" i="10"/>
  <c r="IS11" i="10"/>
  <c r="IG11" i="10"/>
  <c r="LM11" i="10"/>
  <c r="LA11" i="10"/>
  <c r="OG11" i="10"/>
  <c r="NU11" i="10"/>
  <c r="RA11" i="10"/>
  <c r="QO11" i="10"/>
  <c r="TR11" i="10"/>
  <c r="TG11" i="10"/>
  <c r="BU12" i="10"/>
  <c r="BV12" i="10" s="1"/>
  <c r="BI12" i="10"/>
  <c r="EO12" i="10"/>
  <c r="EP12" i="10" s="1"/>
  <c r="EC12" i="10"/>
  <c r="HI12" i="10"/>
  <c r="HJ12" i="10" s="1"/>
  <c r="GW12" i="10"/>
  <c r="KC12" i="10"/>
  <c r="KD12" i="10" s="1"/>
  <c r="JQ12" i="10"/>
  <c r="MW12" i="10"/>
  <c r="MX12" i="10" s="1"/>
  <c r="MK12" i="10"/>
  <c r="PQ12" i="10"/>
  <c r="PR12" i="10" s="1"/>
  <c r="PE12" i="10"/>
  <c r="SJ12" i="10"/>
  <c r="SK12" i="10" s="1"/>
  <c r="RY12" i="10"/>
  <c r="AK14" i="10"/>
  <c r="Y14" i="10"/>
  <c r="CF14" i="10"/>
  <c r="CM14" i="10"/>
  <c r="EO14" i="10"/>
  <c r="EC14" i="10"/>
  <c r="HT14" i="10"/>
  <c r="IA14" i="10"/>
  <c r="KC14" i="10"/>
  <c r="JQ14" i="10"/>
  <c r="NH14" i="10"/>
  <c r="NO14" i="10"/>
  <c r="PQ14" i="10"/>
  <c r="PE14" i="10"/>
  <c r="QI14" i="10"/>
  <c r="RA14" i="10"/>
  <c r="QO14" i="10"/>
  <c r="MD15" i="10"/>
  <c r="MC13" i="10"/>
  <c r="MD13" i="10" s="1"/>
  <c r="PJ15" i="10"/>
  <c r="PQ15" i="10"/>
  <c r="PR15" i="10" s="1"/>
  <c r="PI13" i="10"/>
  <c r="PJ13" i="10" s="1"/>
  <c r="TA15" i="10"/>
  <c r="TB15" i="10" s="1"/>
  <c r="SP15" i="10"/>
  <c r="SO13" i="10"/>
  <c r="SP13" i="10" s="1"/>
  <c r="X10" i="10"/>
  <c r="Y10" i="10" s="1"/>
  <c r="AP10" i="10"/>
  <c r="AQ10" i="10" s="1"/>
  <c r="BS10" i="10"/>
  <c r="BT10" i="10" s="1"/>
  <c r="CR10" i="10"/>
  <c r="CS10" i="10" s="1"/>
  <c r="DJ10" i="10"/>
  <c r="DK10" i="10" s="1"/>
  <c r="EM10" i="10"/>
  <c r="EN10" i="10" s="1"/>
  <c r="FL10" i="10"/>
  <c r="FM10" i="10" s="1"/>
  <c r="GD10" i="10"/>
  <c r="GE10" i="10" s="1"/>
  <c r="HG10" i="10"/>
  <c r="HH10" i="10" s="1"/>
  <c r="HN10" i="10"/>
  <c r="HO10" i="10" s="1"/>
  <c r="IF10" i="10"/>
  <c r="IG10" i="10" s="1"/>
  <c r="IQ10" i="10"/>
  <c r="IR10" i="10" s="1"/>
  <c r="IX10" i="10"/>
  <c r="IY10" i="10" s="1"/>
  <c r="KA10" i="10"/>
  <c r="KB10" i="10" s="1"/>
  <c r="KH10" i="10"/>
  <c r="KI10" i="10" s="1"/>
  <c r="AQ11" i="10"/>
  <c r="DK11" i="10"/>
  <c r="GE11" i="10"/>
  <c r="IY11" i="10"/>
  <c r="LS11" i="10"/>
  <c r="OM11" i="10"/>
  <c r="RG11" i="10"/>
  <c r="G12" i="10"/>
  <c r="CA12" i="10"/>
  <c r="FG12" i="10"/>
  <c r="FH12" i="10" s="1"/>
  <c r="IA12" i="10"/>
  <c r="IB12" i="10" s="1"/>
  <c r="KU12" i="10"/>
  <c r="KV12" i="10" s="1"/>
  <c r="NO12" i="10"/>
  <c r="NP12" i="10" s="1"/>
  <c r="QI12" i="10"/>
  <c r="QJ12" i="10" s="1"/>
  <c r="DP14" i="10"/>
  <c r="DW14" i="10"/>
  <c r="FY14" i="10"/>
  <c r="FM14" i="10"/>
  <c r="JD14" i="10"/>
  <c r="JK14" i="10"/>
  <c r="LM14" i="10"/>
  <c r="LA14" i="10"/>
  <c r="OR14" i="10"/>
  <c r="OY14" i="10"/>
  <c r="SJ14" i="10"/>
  <c r="RY14" i="10"/>
  <c r="S15" i="10"/>
  <c r="T15" i="10" s="1"/>
  <c r="G15" i="10"/>
  <c r="F13" i="10"/>
  <c r="G13" i="10" s="1"/>
  <c r="AK15" i="10"/>
  <c r="AL15" i="10" s="1"/>
  <c r="Y15" i="10"/>
  <c r="CM15" i="10"/>
  <c r="CN15" i="10" s="1"/>
  <c r="CA15" i="10"/>
  <c r="BZ13" i="10"/>
  <c r="CA13" i="10" s="1"/>
  <c r="DE15" i="10"/>
  <c r="DF15" i="10" s="1"/>
  <c r="CS15" i="10"/>
  <c r="FG15" i="10"/>
  <c r="FH15" i="10" s="1"/>
  <c r="EU15" i="10"/>
  <c r="ET13" i="10"/>
  <c r="EU13" i="10" s="1"/>
  <c r="FY15" i="10"/>
  <c r="FZ15" i="10" s="1"/>
  <c r="FM15" i="10"/>
  <c r="IA15" i="10"/>
  <c r="IB15" i="10" s="1"/>
  <c r="HO15" i="10"/>
  <c r="HN13" i="10"/>
  <c r="HO13" i="10" s="1"/>
  <c r="IS15" i="10"/>
  <c r="IT15" i="10" s="1"/>
  <c r="IG15" i="10"/>
  <c r="KU15" i="10"/>
  <c r="KV15" i="10" s="1"/>
  <c r="KI15" i="10"/>
  <c r="KH13" i="10"/>
  <c r="KI13" i="10" s="1"/>
  <c r="OX15" i="10"/>
  <c r="OW13" i="10"/>
  <c r="OX13" i="10" s="1"/>
  <c r="SD15" i="10"/>
  <c r="SJ15" i="10"/>
  <c r="SK15" i="10" s="1"/>
  <c r="SC13" i="10"/>
  <c r="SD13" i="10" s="1"/>
  <c r="KC11" i="10"/>
  <c r="JQ11" i="10"/>
  <c r="MW11" i="10"/>
  <c r="MK11" i="10"/>
  <c r="PQ11" i="10"/>
  <c r="PE11" i="10"/>
  <c r="SJ11" i="10"/>
  <c r="RY11" i="10"/>
  <c r="AK12" i="10"/>
  <c r="AL12" i="10" s="1"/>
  <c r="Y12" i="10"/>
  <c r="DE12" i="10"/>
  <c r="DF12" i="10" s="1"/>
  <c r="CS12" i="10"/>
  <c r="FY12" i="10"/>
  <c r="FZ12" i="10" s="1"/>
  <c r="FM12" i="10"/>
  <c r="IS12" i="10"/>
  <c r="IT12" i="10" s="1"/>
  <c r="IG12" i="10"/>
  <c r="LM12" i="10"/>
  <c r="LN12" i="10" s="1"/>
  <c r="LA12" i="10"/>
  <c r="OG12" i="10"/>
  <c r="OH12" i="10" s="1"/>
  <c r="NU12" i="10"/>
  <c r="RA12" i="10"/>
  <c r="RB12" i="10" s="1"/>
  <c r="QO12" i="10"/>
  <c r="TR12" i="10"/>
  <c r="TS12" i="10" s="1"/>
  <c r="TG12" i="10"/>
  <c r="BU14" i="10"/>
  <c r="BI14" i="10"/>
  <c r="EZ14" i="10"/>
  <c r="FG14" i="10"/>
  <c r="HI14" i="10"/>
  <c r="GW14" i="10"/>
  <c r="KN14" i="10"/>
  <c r="KU14" i="10"/>
  <c r="MW14" i="10"/>
  <c r="MK14" i="10"/>
  <c r="RL14" i="10"/>
  <c r="RS14" i="10"/>
  <c r="TL14" i="10"/>
  <c r="TR14" i="10"/>
  <c r="TK13" i="10"/>
  <c r="TL13" i="10" s="1"/>
  <c r="BN15" i="10"/>
  <c r="BU15" i="10"/>
  <c r="BV15" i="10" s="1"/>
  <c r="BM13" i="10"/>
  <c r="BN13" i="10" s="1"/>
  <c r="EH15" i="10"/>
  <c r="EO15" i="10"/>
  <c r="EP15" i="10" s="1"/>
  <c r="EG13" i="10"/>
  <c r="EH13" i="10" s="1"/>
  <c r="HB15" i="10"/>
  <c r="HI15" i="10"/>
  <c r="HJ15" i="10" s="1"/>
  <c r="HA13" i="10"/>
  <c r="HB13" i="10" s="1"/>
  <c r="JV15" i="10"/>
  <c r="KC15" i="10"/>
  <c r="KD15" i="10" s="1"/>
  <c r="JU13" i="10"/>
  <c r="JV13" i="10" s="1"/>
  <c r="NO15" i="10"/>
  <c r="NP15" i="10" s="1"/>
  <c r="NC15" i="10"/>
  <c r="NB13" i="10"/>
  <c r="NC13" i="10" s="1"/>
  <c r="RR15" i="10"/>
  <c r="RQ13" i="10"/>
  <c r="RR13" i="10" s="1"/>
  <c r="BB17" i="10"/>
  <c r="BA16" i="10"/>
  <c r="BB16" i="10" s="1"/>
  <c r="GP17" i="10"/>
  <c r="GO16" i="10"/>
  <c r="GP16" i="10" s="1"/>
  <c r="IL17" i="10"/>
  <c r="IK16" i="10"/>
  <c r="IL16" i="10" s="1"/>
  <c r="JJ17" i="10"/>
  <c r="JI16" i="10"/>
  <c r="JJ16" i="10" s="1"/>
  <c r="LF17" i="10"/>
  <c r="LE16" i="10"/>
  <c r="LF16" i="10" s="1"/>
  <c r="MD17" i="10"/>
  <c r="MC16" i="10"/>
  <c r="MD16" i="10" s="1"/>
  <c r="NZ17" i="10"/>
  <c r="NY16" i="10"/>
  <c r="NZ16" i="10" s="1"/>
  <c r="OX17" i="10"/>
  <c r="OW16" i="10"/>
  <c r="OX16" i="10" s="1"/>
  <c r="QT17" i="10"/>
  <c r="QS16" i="10"/>
  <c r="QT16" i="10" s="1"/>
  <c r="RR17" i="10"/>
  <c r="RQ16" i="10"/>
  <c r="RR16" i="10" s="1"/>
  <c r="K10" i="10"/>
  <c r="L10" i="10" s="1"/>
  <c r="AC10" i="10"/>
  <c r="AD10" i="10" s="1"/>
  <c r="CE10" i="10"/>
  <c r="CF10" i="10" s="1"/>
  <c r="CW10" i="10"/>
  <c r="CX10" i="10" s="1"/>
  <c r="EY10" i="10"/>
  <c r="EZ10" i="10" s="1"/>
  <c r="FQ10" i="10"/>
  <c r="FR10" i="10" s="1"/>
  <c r="HS10" i="10"/>
  <c r="HT10" i="10" s="1"/>
  <c r="JC10" i="10"/>
  <c r="JD10" i="10" s="1"/>
  <c r="KM10" i="10"/>
  <c r="KN10" i="10" s="1"/>
  <c r="LK10" i="10"/>
  <c r="LL10" i="10" s="1"/>
  <c r="HO11" i="10"/>
  <c r="KI11" i="10"/>
  <c r="NC11" i="10"/>
  <c r="PW11" i="10"/>
  <c r="SP11" i="10"/>
  <c r="AQ12" i="10"/>
  <c r="DK12" i="10"/>
  <c r="GE12" i="10"/>
  <c r="JK12" i="10"/>
  <c r="JL12" i="10" s="1"/>
  <c r="AI13" i="10"/>
  <c r="AJ13" i="10" s="1"/>
  <c r="AU13" i="10"/>
  <c r="AV13" i="10" s="1"/>
  <c r="DO13" i="10"/>
  <c r="DP13" i="10" s="1"/>
  <c r="JC13" i="10"/>
  <c r="JD13" i="10" s="1"/>
  <c r="OQ13" i="10"/>
  <c r="OR13" i="10" s="1"/>
  <c r="DE14" i="10"/>
  <c r="CS14" i="10"/>
  <c r="GJ14" i="10"/>
  <c r="GQ14" i="10"/>
  <c r="IS14" i="10"/>
  <c r="IG14" i="10"/>
  <c r="LX14" i="10"/>
  <c r="ME14" i="10"/>
  <c r="OG14" i="10"/>
  <c r="NU14" i="10"/>
  <c r="SZ14" i="10"/>
  <c r="SY13" i="10"/>
  <c r="SZ13" i="10" s="1"/>
  <c r="BB15" i="10"/>
  <c r="BA13" i="10"/>
  <c r="BB13" i="10" s="1"/>
  <c r="DV15" i="10"/>
  <c r="DU13" i="10"/>
  <c r="DV13" i="10" s="1"/>
  <c r="GP15" i="10"/>
  <c r="GO13" i="10"/>
  <c r="GP13" i="10" s="1"/>
  <c r="JJ15" i="10"/>
  <c r="JI13" i="10"/>
  <c r="JJ13" i="10" s="1"/>
  <c r="MP15" i="10"/>
  <c r="MW15" i="10"/>
  <c r="MX15" i="10" s="1"/>
  <c r="MO13" i="10"/>
  <c r="MP13" i="10" s="1"/>
  <c r="QI15" i="10"/>
  <c r="QJ15" i="10" s="1"/>
  <c r="PW15" i="10"/>
  <c r="PV13" i="10"/>
  <c r="PW13" i="10" s="1"/>
  <c r="LM15" i="10"/>
  <c r="LN15" i="10" s="1"/>
  <c r="OG15" i="10"/>
  <c r="OH15" i="10" s="1"/>
  <c r="RA15" i="10"/>
  <c r="RB15" i="10" s="1"/>
  <c r="S17" i="10"/>
  <c r="FG17" i="10"/>
  <c r="HS16" i="10"/>
  <c r="HT16" i="10" s="1"/>
  <c r="HT17" i="10"/>
  <c r="TA14" i="10"/>
  <c r="SP14" i="10"/>
  <c r="BC15" i="10"/>
  <c r="BD15" i="10" s="1"/>
  <c r="AQ15" i="10"/>
  <c r="DW15" i="10"/>
  <c r="DX15" i="10" s="1"/>
  <c r="DK15" i="10"/>
  <c r="GQ15" i="10"/>
  <c r="GR15" i="10" s="1"/>
  <c r="GE15" i="10"/>
  <c r="JK15" i="10"/>
  <c r="JL15" i="10" s="1"/>
  <c r="IY15" i="10"/>
  <c r="ME15" i="10"/>
  <c r="MF15" i="10" s="1"/>
  <c r="LS15" i="10"/>
  <c r="OY15" i="10"/>
  <c r="OZ15" i="10" s="1"/>
  <c r="OM15" i="10"/>
  <c r="RS15" i="10"/>
  <c r="RT15" i="10" s="1"/>
  <c r="RG15" i="10"/>
  <c r="BC17" i="10"/>
  <c r="PW14" i="10"/>
  <c r="HH17" i="10"/>
  <c r="HG16" i="10"/>
  <c r="HH16" i="10" s="1"/>
  <c r="HI17" i="10"/>
  <c r="IQ16" i="10"/>
  <c r="IR16" i="10" s="1"/>
  <c r="LK16" i="10"/>
  <c r="LL16" i="10" s="1"/>
  <c r="G17" i="10"/>
  <c r="AQ17" i="10"/>
  <c r="CA17" i="10"/>
  <c r="DK17" i="10"/>
  <c r="EU17" i="10"/>
  <c r="SJ19" i="10"/>
  <c r="SK19" i="10" s="1"/>
  <c r="RY19" i="10"/>
  <c r="L21" i="10"/>
  <c r="S21" i="10"/>
  <c r="K20" i="10"/>
  <c r="CF21" i="10"/>
  <c r="CM21" i="10"/>
  <c r="CE20" i="10"/>
  <c r="GQ17" i="10"/>
  <c r="IA17" i="10"/>
  <c r="HO17" i="10"/>
  <c r="JK17" i="10"/>
  <c r="KU17" i="10"/>
  <c r="ME17" i="10"/>
  <c r="NO17" i="10"/>
  <c r="OY17" i="10"/>
  <c r="QI17" i="10"/>
  <c r="RS17" i="10"/>
  <c r="TA17" i="10"/>
  <c r="S18" i="10"/>
  <c r="T18" i="10" s="1"/>
  <c r="BC18" i="10"/>
  <c r="BD18" i="10" s="1"/>
  <c r="CM18" i="10"/>
  <c r="CN18" i="10" s="1"/>
  <c r="DW18" i="10"/>
  <c r="DX18" i="10" s="1"/>
  <c r="FG18" i="10"/>
  <c r="FH18" i="10" s="1"/>
  <c r="GQ18" i="10"/>
  <c r="GR18" i="10" s="1"/>
  <c r="IA18" i="10"/>
  <c r="IB18" i="10" s="1"/>
  <c r="JK18" i="10"/>
  <c r="JL18" i="10" s="1"/>
  <c r="KU18" i="10"/>
  <c r="KV18" i="10" s="1"/>
  <c r="ME18" i="10"/>
  <c r="MF18" i="10" s="1"/>
  <c r="NO18" i="10"/>
  <c r="NP18" i="10" s="1"/>
  <c r="OY18" i="10"/>
  <c r="OZ18" i="10" s="1"/>
  <c r="QI18" i="10"/>
  <c r="QJ18" i="10" s="1"/>
  <c r="RS18" i="10"/>
  <c r="RT18" i="10" s="1"/>
  <c r="TA18" i="10"/>
  <c r="TB18" i="10" s="1"/>
  <c r="S19" i="10"/>
  <c r="T19" i="10" s="1"/>
  <c r="BC19" i="10"/>
  <c r="BD19" i="10" s="1"/>
  <c r="CM19" i="10"/>
  <c r="CN19" i="10" s="1"/>
  <c r="DW19" i="10"/>
  <c r="DX19" i="10" s="1"/>
  <c r="FG19" i="10"/>
  <c r="FH19" i="10" s="1"/>
  <c r="GQ19" i="10"/>
  <c r="GR19" i="10" s="1"/>
  <c r="IA19" i="10"/>
  <c r="IB19" i="10" s="1"/>
  <c r="JK19" i="10"/>
  <c r="JL19" i="10" s="1"/>
  <c r="KU19" i="10"/>
  <c r="KV19" i="10" s="1"/>
  <c r="ME19" i="10"/>
  <c r="MF19" i="10" s="1"/>
  <c r="NO19" i="10"/>
  <c r="NP19" i="10" s="1"/>
  <c r="OY19" i="10"/>
  <c r="OZ19" i="10" s="1"/>
  <c r="QI19" i="10"/>
  <c r="QJ19" i="10" s="1"/>
  <c r="PW19" i="10"/>
  <c r="GW21" i="10"/>
  <c r="HI21" i="10"/>
  <c r="JQ21" i="10"/>
  <c r="KC21" i="10"/>
  <c r="MK21" i="10"/>
  <c r="MW21" i="10"/>
  <c r="PE21" i="10"/>
  <c r="PQ21" i="10"/>
  <c r="PD20" i="10"/>
  <c r="RY21" i="10"/>
  <c r="SJ21" i="10"/>
  <c r="RX20" i="10"/>
  <c r="RA19" i="10"/>
  <c r="RB19" i="10" s="1"/>
  <c r="QO19" i="10"/>
  <c r="CS20" i="10"/>
  <c r="GV20" i="10"/>
  <c r="IG20" i="10"/>
  <c r="JP20" i="10"/>
  <c r="LA20" i="10"/>
  <c r="MJ20" i="10"/>
  <c r="NU20" i="10"/>
  <c r="AV21" i="10"/>
  <c r="BC21" i="10"/>
  <c r="AU20" i="10"/>
  <c r="DP21" i="10"/>
  <c r="DW21" i="10"/>
  <c r="IS17" i="10"/>
  <c r="KC17" i="10"/>
  <c r="LM17" i="10"/>
  <c r="MW17" i="10"/>
  <c r="OG17" i="10"/>
  <c r="PQ17" i="10"/>
  <c r="RA17" i="10"/>
  <c r="SJ17" i="10"/>
  <c r="TR17" i="10"/>
  <c r="AK18" i="10"/>
  <c r="BU18" i="10"/>
  <c r="DE18" i="10"/>
  <c r="EO18" i="10"/>
  <c r="EP18" i="10" s="1"/>
  <c r="FY18" i="10"/>
  <c r="FZ18" i="10" s="1"/>
  <c r="HI18" i="10"/>
  <c r="HJ18" i="10" s="1"/>
  <c r="IS18" i="10"/>
  <c r="IT18" i="10" s="1"/>
  <c r="KC18" i="10"/>
  <c r="KD18" i="10" s="1"/>
  <c r="LM18" i="10"/>
  <c r="LN18" i="10" s="1"/>
  <c r="MW18" i="10"/>
  <c r="MX18" i="10" s="1"/>
  <c r="OG18" i="10"/>
  <c r="OH18" i="10" s="1"/>
  <c r="PQ18" i="10"/>
  <c r="PR18" i="10" s="1"/>
  <c r="RA18" i="10"/>
  <c r="RB18" i="10" s="1"/>
  <c r="SJ18" i="10"/>
  <c r="SK18" i="10" s="1"/>
  <c r="TR18" i="10"/>
  <c r="TS18" i="10" s="1"/>
  <c r="AK19" i="10"/>
  <c r="AL19" i="10" s="1"/>
  <c r="BU19" i="10"/>
  <c r="BV19" i="10" s="1"/>
  <c r="DE19" i="10"/>
  <c r="DF19" i="10" s="1"/>
  <c r="EO19" i="10"/>
  <c r="EP19" i="10" s="1"/>
  <c r="FY19" i="10"/>
  <c r="FZ19" i="10" s="1"/>
  <c r="HI19" i="10"/>
  <c r="HJ19" i="10" s="1"/>
  <c r="IS19" i="10"/>
  <c r="IT19" i="10" s="1"/>
  <c r="KC19" i="10"/>
  <c r="KD19" i="10" s="1"/>
  <c r="LM19" i="10"/>
  <c r="LN19" i="10" s="1"/>
  <c r="MW19" i="10"/>
  <c r="MX19" i="10" s="1"/>
  <c r="OG19" i="10"/>
  <c r="OH19" i="10" s="1"/>
  <c r="PQ19" i="10"/>
  <c r="PR19" i="10" s="1"/>
  <c r="RS19" i="10"/>
  <c r="RT19" i="10" s="1"/>
  <c r="RG19" i="10"/>
  <c r="DO20" i="10"/>
  <c r="JD20" i="10"/>
  <c r="SU20" i="10"/>
  <c r="AK21" i="10"/>
  <c r="BU21" i="10"/>
  <c r="DE21" i="10"/>
  <c r="IY21" i="10"/>
  <c r="JK21" i="10"/>
  <c r="LS21" i="10"/>
  <c r="ME21" i="10"/>
  <c r="OM21" i="10"/>
  <c r="OY21" i="10"/>
  <c r="OL20" i="10"/>
  <c r="RG21" i="10"/>
  <c r="RS21" i="10"/>
  <c r="RF20" i="10"/>
  <c r="SP19" i="10"/>
  <c r="LF20" i="10"/>
  <c r="NZ20" i="10"/>
  <c r="IG21" i="10"/>
  <c r="IS21" i="10"/>
  <c r="LA21" i="10"/>
  <c r="LM21" i="10"/>
  <c r="NU21" i="10"/>
  <c r="OG21" i="10"/>
  <c r="QO21" i="10"/>
  <c r="RA21" i="10"/>
  <c r="QN20" i="10"/>
  <c r="TG21" i="10"/>
  <c r="TR21" i="10"/>
  <c r="TF20" i="10"/>
  <c r="AC20" i="10"/>
  <c r="EU20" i="10"/>
  <c r="GE20" i="10"/>
  <c r="IY20" i="10"/>
  <c r="KI20" i="10"/>
  <c r="LS20" i="10"/>
  <c r="NC20" i="10"/>
  <c r="OR20" i="10"/>
  <c r="HO21" i="10"/>
  <c r="IA21" i="10"/>
  <c r="KI21" i="10"/>
  <c r="KU21" i="10"/>
  <c r="NC21" i="10"/>
  <c r="NO21" i="10"/>
  <c r="PW21" i="10"/>
  <c r="QI21" i="10"/>
  <c r="PV20" i="10"/>
  <c r="SP21" i="10"/>
  <c r="TA21" i="10"/>
  <c r="SO20" i="10"/>
  <c r="EO21" i="10"/>
  <c r="FG21" i="10"/>
  <c r="BW1" i="8"/>
  <c r="K4" i="8"/>
  <c r="L4" i="8" s="1"/>
  <c r="AC4" i="8"/>
  <c r="AD4" i="8" s="1"/>
  <c r="AU4" i="8"/>
  <c r="AV4" i="8" s="1"/>
  <c r="BM4" i="8"/>
  <c r="BN4" i="8" s="1"/>
  <c r="CE4" i="8"/>
  <c r="CF4" i="8" s="1"/>
  <c r="CW4" i="8"/>
  <c r="CX4" i="8" s="1"/>
  <c r="DO4" i="8"/>
  <c r="DP4" i="8" s="1"/>
  <c r="EG4" i="8"/>
  <c r="EH4" i="8" s="1"/>
  <c r="EY4" i="8"/>
  <c r="EZ4" i="8" s="1"/>
  <c r="FQ4" i="8"/>
  <c r="FR4" i="8" s="1"/>
  <c r="GI4" i="8"/>
  <c r="GJ4" i="8" s="1"/>
  <c r="HA4" i="8"/>
  <c r="HB4" i="8" s="1"/>
  <c r="HS4" i="8"/>
  <c r="HT4" i="8" s="1"/>
  <c r="IK4" i="8"/>
  <c r="IL4" i="8" s="1"/>
  <c r="JC4" i="8"/>
  <c r="JD4" i="8" s="1"/>
  <c r="JU4" i="8"/>
  <c r="JV4" i="8" s="1"/>
  <c r="KM4" i="8"/>
  <c r="KN4" i="8" s="1"/>
  <c r="LE4" i="8"/>
  <c r="LF4" i="8" s="1"/>
  <c r="LW4" i="8"/>
  <c r="LX4" i="8" s="1"/>
  <c r="MO4" i="8"/>
  <c r="MP4" i="8" s="1"/>
  <c r="NG4" i="8"/>
  <c r="NH4" i="8" s="1"/>
  <c r="S5" i="8"/>
  <c r="BC5" i="8"/>
  <c r="CM5" i="8"/>
  <c r="DW5" i="8"/>
  <c r="FG5" i="8"/>
  <c r="GQ5" i="8"/>
  <c r="IA5" i="8"/>
  <c r="JK5" i="8"/>
  <c r="KU5" i="8"/>
  <c r="ME5" i="8"/>
  <c r="NO5" i="8"/>
  <c r="OY5" i="8"/>
  <c r="QI5" i="8"/>
  <c r="RS5" i="8"/>
  <c r="TB5" i="8"/>
  <c r="S6" i="8"/>
  <c r="T6" i="8" s="1"/>
  <c r="BC6" i="8"/>
  <c r="BD6" i="8" s="1"/>
  <c r="CM6" i="8"/>
  <c r="CN6" i="8" s="1"/>
  <c r="DW6" i="8"/>
  <c r="DX6" i="8" s="1"/>
  <c r="FG6" i="8"/>
  <c r="FH6" i="8" s="1"/>
  <c r="GQ6" i="8"/>
  <c r="GR6" i="8" s="1"/>
  <c r="IA6" i="8"/>
  <c r="IB6" i="8" s="1"/>
  <c r="JK6" i="8"/>
  <c r="JL6" i="8" s="1"/>
  <c r="KU6" i="8"/>
  <c r="KV6" i="8" s="1"/>
  <c r="ME6" i="8"/>
  <c r="MF6" i="8" s="1"/>
  <c r="NO6" i="8"/>
  <c r="NP6" i="8" s="1"/>
  <c r="OY6" i="8"/>
  <c r="OZ6" i="8" s="1"/>
  <c r="QI6" i="8"/>
  <c r="QJ6" i="8" s="1"/>
  <c r="RS6" i="8"/>
  <c r="RT6" i="8" s="1"/>
  <c r="TB6" i="8"/>
  <c r="TC6" i="8" s="1"/>
  <c r="S7" i="8"/>
  <c r="T7" i="8" s="1"/>
  <c r="BC7" i="8"/>
  <c r="BD7" i="8" s="1"/>
  <c r="CM7" i="8"/>
  <c r="CN7" i="8" s="1"/>
  <c r="DW7" i="8"/>
  <c r="DX7" i="8" s="1"/>
  <c r="FG7" i="8"/>
  <c r="FH7" i="8" s="1"/>
  <c r="GQ7" i="8"/>
  <c r="GR7" i="8" s="1"/>
  <c r="IA7" i="8"/>
  <c r="IB7" i="8" s="1"/>
  <c r="JK7" i="8"/>
  <c r="JL7" i="8" s="1"/>
  <c r="JV7" i="8"/>
  <c r="KN7" i="8"/>
  <c r="LF7" i="8"/>
  <c r="LX7" i="8"/>
  <c r="MP7" i="8"/>
  <c r="NH7" i="8"/>
  <c r="NZ7" i="8"/>
  <c r="OR7" i="8"/>
  <c r="PJ7" i="8"/>
  <c r="QB7" i="8"/>
  <c r="QT7" i="8"/>
  <c r="L8" i="8"/>
  <c r="S8" i="8"/>
  <c r="T8" i="8" s="1"/>
  <c r="BU8" i="8"/>
  <c r="BV8" i="8" s="1"/>
  <c r="BI8" i="8"/>
  <c r="EZ8" i="8"/>
  <c r="FG8" i="8"/>
  <c r="FH8" i="8" s="1"/>
  <c r="HI8" i="8"/>
  <c r="HJ8" i="8" s="1"/>
  <c r="GW8" i="8"/>
  <c r="KN8" i="8"/>
  <c r="KU8" i="8"/>
  <c r="KV8" i="8" s="1"/>
  <c r="AV8" i="8"/>
  <c r="BC8" i="8"/>
  <c r="BD8" i="8" s="1"/>
  <c r="DE8" i="8"/>
  <c r="DF8" i="8" s="1"/>
  <c r="CS8" i="8"/>
  <c r="GJ8" i="8"/>
  <c r="GQ8" i="8"/>
  <c r="GR8" i="8" s="1"/>
  <c r="IS8" i="8"/>
  <c r="IT8" i="8" s="1"/>
  <c r="IG8" i="8"/>
  <c r="F4" i="8"/>
  <c r="G4" i="8" s="1"/>
  <c r="Q4" i="8"/>
  <c r="R4" i="8" s="1"/>
  <c r="AI4" i="8"/>
  <c r="AJ4" i="8" s="1"/>
  <c r="AP4" i="8"/>
  <c r="AQ4" i="8" s="1"/>
  <c r="BA4" i="8"/>
  <c r="BB4" i="8" s="1"/>
  <c r="BS4" i="8"/>
  <c r="BT4" i="8" s="1"/>
  <c r="BZ4" i="8"/>
  <c r="CA4" i="8" s="1"/>
  <c r="CK4" i="8"/>
  <c r="CL4" i="8" s="1"/>
  <c r="DC4" i="8"/>
  <c r="DD4" i="8" s="1"/>
  <c r="DJ4" i="8"/>
  <c r="DK4" i="8" s="1"/>
  <c r="DU4" i="8"/>
  <c r="DV4" i="8" s="1"/>
  <c r="EM4" i="8"/>
  <c r="EN4" i="8" s="1"/>
  <c r="ET4" i="8"/>
  <c r="EU4" i="8" s="1"/>
  <c r="FE4" i="8"/>
  <c r="FF4" i="8" s="1"/>
  <c r="FW4" i="8"/>
  <c r="FX4" i="8" s="1"/>
  <c r="GO4" i="8"/>
  <c r="GP4" i="8" s="1"/>
  <c r="HG4" i="8"/>
  <c r="HH4" i="8" s="1"/>
  <c r="HY4" i="8"/>
  <c r="HZ4" i="8" s="1"/>
  <c r="IQ4" i="8"/>
  <c r="IR4" i="8" s="1"/>
  <c r="JI4" i="8"/>
  <c r="JJ4" i="8" s="1"/>
  <c r="KA4" i="8"/>
  <c r="KB4" i="8" s="1"/>
  <c r="KS4" i="8"/>
  <c r="KT4" i="8" s="1"/>
  <c r="LK4" i="8"/>
  <c r="LL4" i="8" s="1"/>
  <c r="MC4" i="8"/>
  <c r="MD4" i="8" s="1"/>
  <c r="MU4" i="8"/>
  <c r="MV4" i="8" s="1"/>
  <c r="NM4" i="8"/>
  <c r="NN4" i="8" s="1"/>
  <c r="AK5" i="8"/>
  <c r="BU5" i="8"/>
  <c r="DE5" i="8"/>
  <c r="EO5" i="8"/>
  <c r="FY5" i="8"/>
  <c r="HI5" i="8"/>
  <c r="IS5" i="8"/>
  <c r="KC5" i="8"/>
  <c r="LM5" i="8"/>
  <c r="MW5" i="8"/>
  <c r="OG5" i="8"/>
  <c r="PQ5" i="8"/>
  <c r="RA5" i="8"/>
  <c r="SK5" i="8"/>
  <c r="TS5" i="8"/>
  <c r="AK6" i="8"/>
  <c r="AL6" i="8" s="1"/>
  <c r="BU6" i="8"/>
  <c r="BV6" i="8" s="1"/>
  <c r="DE6" i="8"/>
  <c r="DF6" i="8" s="1"/>
  <c r="EO6" i="8"/>
  <c r="EP6" i="8" s="1"/>
  <c r="FY6" i="8"/>
  <c r="FZ6" i="8" s="1"/>
  <c r="HI6" i="8"/>
  <c r="HJ6" i="8" s="1"/>
  <c r="IS6" i="8"/>
  <c r="IT6" i="8" s="1"/>
  <c r="KC6" i="8"/>
  <c r="KD6" i="8" s="1"/>
  <c r="LM6" i="8"/>
  <c r="LN6" i="8" s="1"/>
  <c r="MW6" i="8"/>
  <c r="MX6" i="8" s="1"/>
  <c r="OG6" i="8"/>
  <c r="OH6" i="8" s="1"/>
  <c r="PQ6" i="8"/>
  <c r="PR6" i="8" s="1"/>
  <c r="RA6" i="8"/>
  <c r="RB6" i="8" s="1"/>
  <c r="SK6" i="8"/>
  <c r="SL6" i="8" s="1"/>
  <c r="TS6" i="8"/>
  <c r="TT6" i="8" s="1"/>
  <c r="AK7" i="8"/>
  <c r="AL7" i="8" s="1"/>
  <c r="BU7" i="8"/>
  <c r="BV7" i="8" s="1"/>
  <c r="DE7" i="8"/>
  <c r="DF7" i="8" s="1"/>
  <c r="EO7" i="8"/>
  <c r="EP7" i="8" s="1"/>
  <c r="FY7" i="8"/>
  <c r="FZ7" i="8" s="1"/>
  <c r="HI7" i="8"/>
  <c r="HJ7" i="8" s="1"/>
  <c r="IS7" i="8"/>
  <c r="IT7" i="8" s="1"/>
  <c r="TS7" i="8"/>
  <c r="TT7" i="8" s="1"/>
  <c r="TH7" i="8"/>
  <c r="CF8" i="8"/>
  <c r="CM8" i="8"/>
  <c r="CN8" i="8" s="1"/>
  <c r="EO8" i="8"/>
  <c r="EP8" i="8" s="1"/>
  <c r="EC8" i="8"/>
  <c r="HT8" i="8"/>
  <c r="IA8" i="8"/>
  <c r="IB8" i="8" s="1"/>
  <c r="KC8" i="8"/>
  <c r="KD8" i="8" s="1"/>
  <c r="JQ8" i="8"/>
  <c r="AK8" i="8"/>
  <c r="AL8" i="8" s="1"/>
  <c r="Y8" i="8"/>
  <c r="DP8" i="8"/>
  <c r="DW8" i="8"/>
  <c r="DX8" i="8" s="1"/>
  <c r="FY8" i="8"/>
  <c r="FZ8" i="8" s="1"/>
  <c r="FM8" i="8"/>
  <c r="JD8" i="8"/>
  <c r="JK8" i="8"/>
  <c r="JL8" i="8" s="1"/>
  <c r="ME8" i="8"/>
  <c r="MF8" i="8" s="1"/>
  <c r="NO8" i="8"/>
  <c r="NP8" i="8" s="1"/>
  <c r="OY8" i="8"/>
  <c r="OZ8" i="8" s="1"/>
  <c r="QI8" i="8"/>
  <c r="QJ8" i="8" s="1"/>
  <c r="RS8" i="8"/>
  <c r="RT8" i="8" s="1"/>
  <c r="TB8" i="8"/>
  <c r="TC8" i="8" s="1"/>
  <c r="S9" i="8"/>
  <c r="T9" i="8" s="1"/>
  <c r="BC9" i="8"/>
  <c r="BD9" i="8" s="1"/>
  <c r="CM9" i="8"/>
  <c r="CN9" i="8" s="1"/>
  <c r="DW9" i="8"/>
  <c r="DX9" i="8" s="1"/>
  <c r="FG9" i="8"/>
  <c r="FH9" i="8" s="1"/>
  <c r="GQ9" i="8"/>
  <c r="GR9" i="8" s="1"/>
  <c r="IA9" i="8"/>
  <c r="IB9" i="8" s="1"/>
  <c r="JK9" i="8"/>
  <c r="JL9" i="8" s="1"/>
  <c r="MW9" i="8"/>
  <c r="MX9" i="8" s="1"/>
  <c r="MK9" i="8"/>
  <c r="NO9" i="8"/>
  <c r="NP9" i="8" s="1"/>
  <c r="NC9" i="8"/>
  <c r="OG9" i="8"/>
  <c r="OH9" i="8" s="1"/>
  <c r="NU9" i="8"/>
  <c r="OY9" i="8"/>
  <c r="OZ9" i="8" s="1"/>
  <c r="OM9" i="8"/>
  <c r="PQ9" i="8"/>
  <c r="PR9" i="8" s="1"/>
  <c r="PE9" i="8"/>
  <c r="QI9" i="8"/>
  <c r="QJ9" i="8" s="1"/>
  <c r="PW9" i="8"/>
  <c r="RA9" i="8"/>
  <c r="RB9" i="8" s="1"/>
  <c r="QO9" i="8"/>
  <c r="RS9" i="8"/>
  <c r="RT9" i="8" s="1"/>
  <c r="RG9" i="8"/>
  <c r="SK9" i="8"/>
  <c r="SL9" i="8" s="1"/>
  <c r="RY9" i="8"/>
  <c r="TB9" i="8"/>
  <c r="TC9" i="8" s="1"/>
  <c r="SQ9" i="8"/>
  <c r="TS9" i="8"/>
  <c r="TT9" i="8" s="1"/>
  <c r="TH9" i="8"/>
  <c r="S11" i="8"/>
  <c r="G11" i="8"/>
  <c r="AK11" i="8"/>
  <c r="Y11" i="8"/>
  <c r="BC11" i="8"/>
  <c r="AQ11" i="8"/>
  <c r="BU11" i="8"/>
  <c r="BI11" i="8"/>
  <c r="CM11" i="8"/>
  <c r="CA11" i="8"/>
  <c r="DE11" i="8"/>
  <c r="CS11" i="8"/>
  <c r="DW11" i="8"/>
  <c r="DK11" i="8"/>
  <c r="EO11" i="8"/>
  <c r="EC11" i="8"/>
  <c r="FG11" i="8"/>
  <c r="EU11" i="8"/>
  <c r="FY11" i="8"/>
  <c r="FM11" i="8"/>
  <c r="GQ11" i="8"/>
  <c r="GE11" i="8"/>
  <c r="HI11" i="8"/>
  <c r="GW11" i="8"/>
  <c r="IA11" i="8"/>
  <c r="HO11" i="8"/>
  <c r="PR11" i="8"/>
  <c r="LM9" i="8"/>
  <c r="LN9" i="8" s="1"/>
  <c r="LA8" i="8"/>
  <c r="MK8" i="8"/>
  <c r="NU8" i="8"/>
  <c r="PE8" i="8"/>
  <c r="QO8" i="8"/>
  <c r="RY8" i="8"/>
  <c r="TH8" i="8"/>
  <c r="Y9" i="8"/>
  <c r="BI9" i="8"/>
  <c r="CS9" i="8"/>
  <c r="EC9" i="8"/>
  <c r="FM9" i="8"/>
  <c r="GW9" i="8"/>
  <c r="IG9" i="8"/>
  <c r="JQ9" i="8"/>
  <c r="LA9" i="8"/>
  <c r="ME9" i="8"/>
  <c r="MF9" i="8" s="1"/>
  <c r="HI12" i="8"/>
  <c r="HJ12" i="8" s="1"/>
  <c r="IG11" i="8"/>
  <c r="JQ11" i="8"/>
  <c r="LA11" i="8"/>
  <c r="MK11" i="8"/>
  <c r="NU11" i="8"/>
  <c r="PE11" i="8"/>
  <c r="QO11" i="8"/>
  <c r="RY11" i="8"/>
  <c r="TH11" i="8"/>
  <c r="Y12" i="8"/>
  <c r="BI12" i="8"/>
  <c r="CS12" i="8"/>
  <c r="EC12" i="8"/>
  <c r="FM12" i="8"/>
  <c r="IS12" i="8"/>
  <c r="IT12" i="8" s="1"/>
  <c r="KC12" i="8"/>
  <c r="KD12" i="8" s="1"/>
  <c r="IY11" i="8"/>
  <c r="KI11" i="8"/>
  <c r="LS11" i="8"/>
  <c r="NC11" i="8"/>
  <c r="OM11" i="8"/>
  <c r="PW11" i="8"/>
  <c r="RG11" i="8"/>
  <c r="SQ11" i="8"/>
  <c r="G12" i="8"/>
  <c r="AQ12" i="8"/>
  <c r="CA12" i="8"/>
  <c r="DK12" i="8"/>
  <c r="EU12" i="8"/>
  <c r="GE12" i="8"/>
  <c r="IA12" i="8"/>
  <c r="IB12" i="8" s="1"/>
  <c r="JK12" i="8"/>
  <c r="JL12" i="8" s="1"/>
  <c r="KU12" i="8"/>
  <c r="KV12" i="8" s="1"/>
  <c r="KI12" i="8"/>
  <c r="ME12" i="8"/>
  <c r="MF12" i="8" s="1"/>
  <c r="NO12" i="8"/>
  <c r="NP12" i="8" s="1"/>
  <c r="OY12" i="8"/>
  <c r="OZ12" i="8" s="1"/>
  <c r="QI12" i="8"/>
  <c r="QJ12" i="8" s="1"/>
  <c r="RS12" i="8"/>
  <c r="RT12" i="8" s="1"/>
  <c r="TB12" i="8"/>
  <c r="TC12" i="8" s="1"/>
  <c r="S14" i="8"/>
  <c r="BC14" i="8"/>
  <c r="CM14" i="8"/>
  <c r="DW14" i="8"/>
  <c r="FG14" i="8"/>
  <c r="GQ14" i="8"/>
  <c r="IA14" i="8"/>
  <c r="JK14" i="8"/>
  <c r="KU14" i="8"/>
  <c r="ME14" i="8"/>
  <c r="NO14" i="8"/>
  <c r="OY14" i="8"/>
  <c r="QI14" i="8"/>
  <c r="RS14" i="8"/>
  <c r="TB14" i="8"/>
  <c r="S15" i="8"/>
  <c r="T15" i="8" s="1"/>
  <c r="BC15" i="8"/>
  <c r="BD15" i="8" s="1"/>
  <c r="CM15" i="8"/>
  <c r="CN15" i="8" s="1"/>
  <c r="DW15" i="8"/>
  <c r="DX15" i="8" s="1"/>
  <c r="FG15" i="8"/>
  <c r="FH15" i="8" s="1"/>
  <c r="GQ15" i="8"/>
  <c r="GR15" i="8" s="1"/>
  <c r="IA15" i="8"/>
  <c r="IB15" i="8" s="1"/>
  <c r="JK15" i="8"/>
  <c r="JL15" i="8" s="1"/>
  <c r="KU15" i="8"/>
  <c r="KV15" i="8" s="1"/>
  <c r="ME15" i="8"/>
  <c r="MF15" i="8" s="1"/>
  <c r="NO15" i="8"/>
  <c r="NP15" i="8" s="1"/>
  <c r="OY15" i="8"/>
  <c r="OZ15" i="8" s="1"/>
  <c r="QI15" i="8"/>
  <c r="QJ15" i="8" s="1"/>
  <c r="RS15" i="8"/>
  <c r="RT15" i="8" s="1"/>
  <c r="TB15" i="8"/>
  <c r="TC15" i="8" s="1"/>
  <c r="S17" i="8"/>
  <c r="BC17" i="8"/>
  <c r="CM17" i="8"/>
  <c r="DW17" i="8"/>
  <c r="FG17" i="8"/>
  <c r="GQ17" i="8"/>
  <c r="IA17" i="8"/>
  <c r="JK17" i="8"/>
  <c r="KU17" i="8"/>
  <c r="ME17" i="8"/>
  <c r="NO17" i="8"/>
  <c r="OY17" i="8"/>
  <c r="QI17" i="8"/>
  <c r="PW17" i="8"/>
  <c r="L18" i="8"/>
  <c r="S18" i="8"/>
  <c r="T18" i="8" s="1"/>
  <c r="RA17" i="8"/>
  <c r="QO17" i="8"/>
  <c r="DK18" i="8"/>
  <c r="DW18" i="8"/>
  <c r="DX18" i="8" s="1"/>
  <c r="LM12" i="8"/>
  <c r="LN12" i="8" s="1"/>
  <c r="MW12" i="8"/>
  <c r="MX12" i="8" s="1"/>
  <c r="OG12" i="8"/>
  <c r="OH12" i="8" s="1"/>
  <c r="PQ12" i="8"/>
  <c r="PR12" i="8" s="1"/>
  <c r="RA12" i="8"/>
  <c r="RB12" i="8" s="1"/>
  <c r="SK12" i="8"/>
  <c r="SL12" i="8" s="1"/>
  <c r="TS12" i="8"/>
  <c r="TT12" i="8" s="1"/>
  <c r="AK14" i="8"/>
  <c r="BU14" i="8"/>
  <c r="DE14" i="8"/>
  <c r="EO14" i="8"/>
  <c r="FY14" i="8"/>
  <c r="HI14" i="8"/>
  <c r="IS14" i="8"/>
  <c r="KC14" i="8"/>
  <c r="LM14" i="8"/>
  <c r="MW14" i="8"/>
  <c r="OG14" i="8"/>
  <c r="PQ14" i="8"/>
  <c r="RA14" i="8"/>
  <c r="SK14" i="8"/>
  <c r="TS14" i="8"/>
  <c r="AK15" i="8"/>
  <c r="AL15" i="8" s="1"/>
  <c r="BU15" i="8"/>
  <c r="BV15" i="8" s="1"/>
  <c r="DE15" i="8"/>
  <c r="DF15" i="8" s="1"/>
  <c r="EO15" i="8"/>
  <c r="EP15" i="8" s="1"/>
  <c r="FY15" i="8"/>
  <c r="FZ15" i="8" s="1"/>
  <c r="HI15" i="8"/>
  <c r="HJ15" i="8" s="1"/>
  <c r="IS15" i="8"/>
  <c r="IT15" i="8" s="1"/>
  <c r="KC15" i="8"/>
  <c r="KD15" i="8" s="1"/>
  <c r="LM15" i="8"/>
  <c r="LN15" i="8" s="1"/>
  <c r="MW15" i="8"/>
  <c r="MX15" i="8" s="1"/>
  <c r="OG15" i="8"/>
  <c r="OH15" i="8" s="1"/>
  <c r="PQ15" i="8"/>
  <c r="PR15" i="8" s="1"/>
  <c r="RA15" i="8"/>
  <c r="RB15" i="8" s="1"/>
  <c r="SK15" i="8"/>
  <c r="SL15" i="8" s="1"/>
  <c r="TS15" i="8"/>
  <c r="TT15" i="8" s="1"/>
  <c r="AK17" i="8"/>
  <c r="BU17" i="8"/>
  <c r="DE17" i="8"/>
  <c r="EO17" i="8"/>
  <c r="FY17" i="8"/>
  <c r="HI17" i="8"/>
  <c r="IS17" i="8"/>
  <c r="KC17" i="8"/>
  <c r="LM17" i="8"/>
  <c r="MW17" i="8"/>
  <c r="OG17" i="8"/>
  <c r="PQ17" i="8"/>
  <c r="RS17" i="8"/>
  <c r="RG17" i="8"/>
  <c r="SV17" i="8"/>
  <c r="TB17" i="8"/>
  <c r="AV18" i="8"/>
  <c r="BC18" i="8"/>
  <c r="BD18" i="8" s="1"/>
  <c r="CM18" i="8"/>
  <c r="CN18" i="8" s="1"/>
  <c r="GQ18" i="8"/>
  <c r="GR18" i="8" s="1"/>
  <c r="FG18" i="8"/>
  <c r="FH18" i="8" s="1"/>
  <c r="CS20" i="8"/>
  <c r="DE18" i="8"/>
  <c r="DF18" i="8" s="1"/>
  <c r="EO18" i="8"/>
  <c r="EP18" i="8" s="1"/>
  <c r="FY18" i="8"/>
  <c r="FZ18" i="8" s="1"/>
  <c r="HI18" i="8"/>
  <c r="HJ18" i="8" s="1"/>
  <c r="IS18" i="8"/>
  <c r="IT18" i="8" s="1"/>
  <c r="KC18" i="8"/>
  <c r="KD18" i="8" s="1"/>
  <c r="LM18" i="8"/>
  <c r="LN18" i="8" s="1"/>
  <c r="MW18" i="8"/>
  <c r="MX18" i="8" s="1"/>
  <c r="OG18" i="8"/>
  <c r="OH18" i="8" s="1"/>
  <c r="PQ18" i="8"/>
  <c r="PR18" i="8" s="1"/>
  <c r="RA18" i="8"/>
  <c r="RB18" i="8" s="1"/>
  <c r="SK18" i="8"/>
  <c r="TS18" i="8"/>
  <c r="AK19" i="8"/>
  <c r="AL19" i="8" s="1"/>
  <c r="BU19" i="8"/>
  <c r="BV19" i="8" s="1"/>
  <c r="DE19" i="8"/>
  <c r="DF19" i="8" s="1"/>
  <c r="EO19" i="8"/>
  <c r="EP19" i="8" s="1"/>
  <c r="FY19" i="8"/>
  <c r="FZ19" i="8" s="1"/>
  <c r="HI19" i="8"/>
  <c r="HJ19" i="8" s="1"/>
  <c r="IS19" i="8"/>
  <c r="IT19" i="8" s="1"/>
  <c r="KC19" i="8"/>
  <c r="KD19" i="8" s="1"/>
  <c r="LM19" i="8"/>
  <c r="LN19" i="8" s="1"/>
  <c r="LA19" i="8"/>
  <c r="OG19" i="8"/>
  <c r="OH19" i="8" s="1"/>
  <c r="NU19" i="8"/>
  <c r="RA19" i="8"/>
  <c r="RB19" i="8" s="1"/>
  <c r="QO19" i="8"/>
  <c r="TS19" i="8"/>
  <c r="TT19" i="8" s="1"/>
  <c r="TH19" i="8"/>
  <c r="GO20" i="8"/>
  <c r="JQ20" i="8"/>
  <c r="AK21" i="8"/>
  <c r="Y21" i="8"/>
  <c r="BC21" i="8"/>
  <c r="CF21" i="8"/>
  <c r="CE20" i="8"/>
  <c r="FY21" i="8"/>
  <c r="FM21" i="8"/>
  <c r="ME19" i="8"/>
  <c r="MF19" i="8" s="1"/>
  <c r="LS19" i="8"/>
  <c r="OY19" i="8"/>
  <c r="OZ19" i="8" s="1"/>
  <c r="OM19" i="8"/>
  <c r="RS19" i="8"/>
  <c r="RT19" i="8" s="1"/>
  <c r="RG19" i="8"/>
  <c r="G20" i="8"/>
  <c r="Y20" i="8"/>
  <c r="AQ20" i="8"/>
  <c r="BI20" i="8"/>
  <c r="CA20" i="8"/>
  <c r="EC20" i="8"/>
  <c r="EU20" i="8"/>
  <c r="FM20" i="8"/>
  <c r="GE20" i="8"/>
  <c r="HH20" i="8"/>
  <c r="KI20" i="8"/>
  <c r="LA20" i="8"/>
  <c r="PE20" i="8"/>
  <c r="SV20" i="8"/>
  <c r="S21" i="8"/>
  <c r="AV21" i="8"/>
  <c r="AU20" i="8"/>
  <c r="EO21" i="8"/>
  <c r="EC21" i="8"/>
  <c r="FG21" i="8"/>
  <c r="IA18" i="8"/>
  <c r="IB18" i="8" s="1"/>
  <c r="JK18" i="8"/>
  <c r="JL18" i="8" s="1"/>
  <c r="KU18" i="8"/>
  <c r="KV18" i="8" s="1"/>
  <c r="ME18" i="8"/>
  <c r="MF18" i="8" s="1"/>
  <c r="NO18" i="8"/>
  <c r="NP18" i="8" s="1"/>
  <c r="OY18" i="8"/>
  <c r="OZ18" i="8" s="1"/>
  <c r="QI18" i="8"/>
  <c r="QJ18" i="8" s="1"/>
  <c r="RS18" i="8"/>
  <c r="RT18" i="8" s="1"/>
  <c r="TB18" i="8"/>
  <c r="TC18" i="8" s="1"/>
  <c r="S19" i="8"/>
  <c r="T19" i="8" s="1"/>
  <c r="BC19" i="8"/>
  <c r="BD19" i="8" s="1"/>
  <c r="CM19" i="8"/>
  <c r="CN19" i="8" s="1"/>
  <c r="DW19" i="8"/>
  <c r="DX19" i="8" s="1"/>
  <c r="FG19" i="8"/>
  <c r="FH19" i="8" s="1"/>
  <c r="GQ19" i="8"/>
  <c r="GR19" i="8" s="1"/>
  <c r="IA19" i="8"/>
  <c r="IB19" i="8" s="1"/>
  <c r="JK19" i="8"/>
  <c r="JL19" i="8" s="1"/>
  <c r="KU19" i="8"/>
  <c r="KV19" i="8" s="1"/>
  <c r="MW19" i="8"/>
  <c r="MX19" i="8" s="1"/>
  <c r="MK19" i="8"/>
  <c r="PQ19" i="8"/>
  <c r="PR19" i="8" s="1"/>
  <c r="PE19" i="8"/>
  <c r="SK19" i="8"/>
  <c r="SL19" i="8" s="1"/>
  <c r="RY19" i="8"/>
  <c r="GW20" i="8"/>
  <c r="L21" i="8"/>
  <c r="K20" i="8"/>
  <c r="DE21" i="8"/>
  <c r="CS21" i="8"/>
  <c r="EZ21" i="8"/>
  <c r="EY20" i="8"/>
  <c r="HO21" i="8"/>
  <c r="IA21" i="8"/>
  <c r="IL21" i="8"/>
  <c r="IK20" i="8"/>
  <c r="KI21" i="8"/>
  <c r="KU21" i="8"/>
  <c r="NO19" i="8"/>
  <c r="NP19" i="8" s="1"/>
  <c r="NC19" i="8"/>
  <c r="QI19" i="8"/>
  <c r="QJ19" i="8" s="1"/>
  <c r="PW19" i="8"/>
  <c r="TB19" i="8"/>
  <c r="TC19" i="8" s="1"/>
  <c r="SQ19" i="8"/>
  <c r="CL20" i="8"/>
  <c r="DD20" i="8"/>
  <c r="FF20" i="8"/>
  <c r="HN20" i="8"/>
  <c r="IG20" i="8"/>
  <c r="IY20" i="8"/>
  <c r="RY20" i="8"/>
  <c r="BU21" i="8"/>
  <c r="BI21" i="8"/>
  <c r="CM21" i="8"/>
  <c r="DP21" i="8"/>
  <c r="DO20" i="8"/>
  <c r="NC21" i="8"/>
  <c r="NO21" i="8"/>
  <c r="PW21" i="8"/>
  <c r="QI21" i="8"/>
  <c r="SQ21" i="8"/>
  <c r="TB21" i="8"/>
  <c r="GW21" i="8"/>
  <c r="HI21" i="8"/>
  <c r="JQ21" i="8"/>
  <c r="KC21" i="8"/>
  <c r="MK21" i="8"/>
  <c r="MW21" i="8"/>
  <c r="PE21" i="8"/>
  <c r="PQ21" i="8"/>
  <c r="RY21" i="8"/>
  <c r="SK21" i="8"/>
  <c r="LE20" i="8"/>
  <c r="NB20" i="8"/>
  <c r="QT20" i="8"/>
  <c r="GE21" i="8"/>
  <c r="GQ21" i="8"/>
  <c r="IY21" i="8"/>
  <c r="JK21" i="8"/>
  <c r="LS21" i="8"/>
  <c r="ME21" i="8"/>
  <c r="OM21" i="8"/>
  <c r="OY21" i="8"/>
  <c r="RG21" i="8"/>
  <c r="RS21" i="8"/>
  <c r="AC20" i="8"/>
  <c r="BM20" i="8"/>
  <c r="CW20" i="8"/>
  <c r="EG20" i="8"/>
  <c r="FQ20" i="8"/>
  <c r="HS20" i="8"/>
  <c r="KM20" i="8"/>
  <c r="LK20" i="8"/>
  <c r="LS20" i="8"/>
  <c r="PW20" i="8"/>
  <c r="RG20" i="8"/>
  <c r="SQ20" i="8"/>
  <c r="G21" i="8"/>
  <c r="AQ21" i="8"/>
  <c r="CA21" i="8"/>
  <c r="DK21" i="8"/>
  <c r="EU21" i="8"/>
  <c r="IG21" i="8"/>
  <c r="IS21" i="8"/>
  <c r="LA21" i="8"/>
  <c r="LM21" i="8"/>
  <c r="NU21" i="8"/>
  <c r="OG21" i="8"/>
  <c r="QO21" i="8"/>
  <c r="RA21" i="8"/>
  <c r="TS21" i="8"/>
  <c r="ST22" i="10" l="1"/>
  <c r="SU22" i="10" s="1"/>
  <c r="TB11" i="10"/>
  <c r="SP22" i="8"/>
  <c r="SQ22" i="8" s="1"/>
  <c r="TL22" i="8"/>
  <c r="TM22" i="8" s="1"/>
  <c r="QG22" i="8"/>
  <c r="QH22" i="8" s="1"/>
  <c r="KZ22" i="8"/>
  <c r="LA22" i="8" s="1"/>
  <c r="LW22" i="8"/>
  <c r="LX22" i="8" s="1"/>
  <c r="DW20" i="8"/>
  <c r="DX20" i="8" s="1"/>
  <c r="AI22" i="8"/>
  <c r="AJ22" i="8" s="1"/>
  <c r="MJ22" i="8"/>
  <c r="MK22" i="8" s="1"/>
  <c r="DU22" i="8"/>
  <c r="DV22" i="8" s="1"/>
  <c r="LX20" i="8"/>
  <c r="RX22" i="8"/>
  <c r="RY22" i="8" s="1"/>
  <c r="JI22" i="8"/>
  <c r="JJ22" i="8" s="1"/>
  <c r="TQ22" i="8"/>
  <c r="TR22" i="8" s="1"/>
  <c r="TG22" i="8"/>
  <c r="TH22" i="8" s="1"/>
  <c r="CR22" i="8"/>
  <c r="CS22" i="8" s="1"/>
  <c r="QY22" i="8"/>
  <c r="QZ22" i="8" s="1"/>
  <c r="OW22" i="8"/>
  <c r="OX22" i="8" s="1"/>
  <c r="QN22" i="8"/>
  <c r="QO22" i="8" s="1"/>
  <c r="AP22" i="8"/>
  <c r="AQ22" i="8" s="1"/>
  <c r="LR22" i="8"/>
  <c r="LS22" i="8" s="1"/>
  <c r="IX22" i="8"/>
  <c r="IY22" i="8" s="1"/>
  <c r="BA22" i="8"/>
  <c r="BB22" i="8" s="1"/>
  <c r="HG22" i="8"/>
  <c r="HH22" i="8" s="1"/>
  <c r="BZ22" i="8"/>
  <c r="CA22" i="8" s="1"/>
  <c r="SI22" i="8"/>
  <c r="SJ22" i="8" s="1"/>
  <c r="OE22" i="8"/>
  <c r="OF22" i="8" s="1"/>
  <c r="CK22" i="8"/>
  <c r="CL22" i="8" s="1"/>
  <c r="SZ22" i="8"/>
  <c r="TA22" i="8" s="1"/>
  <c r="GV22" i="8"/>
  <c r="GW22" i="8" s="1"/>
  <c r="SU22" i="8"/>
  <c r="SV22" i="8" s="1"/>
  <c r="EB22" i="8"/>
  <c r="EC22" i="8" s="1"/>
  <c r="X22" i="8"/>
  <c r="Y22" i="8" s="1"/>
  <c r="OQ22" i="8"/>
  <c r="OR22" i="8" s="1"/>
  <c r="MC22" i="8"/>
  <c r="MD22" i="8" s="1"/>
  <c r="FY20" i="10"/>
  <c r="FZ20" i="10" s="1"/>
  <c r="ME10" i="10"/>
  <c r="MF10" i="10" s="1"/>
  <c r="BC10" i="10"/>
  <c r="BD10" i="10" s="1"/>
  <c r="OE22" i="10"/>
  <c r="OF22" i="10" s="1"/>
  <c r="RS10" i="10"/>
  <c r="RT10" i="10" s="1"/>
  <c r="KA22" i="10"/>
  <c r="KB22" i="10" s="1"/>
  <c r="MU22" i="10"/>
  <c r="MV22" i="10" s="1"/>
  <c r="QA22" i="10"/>
  <c r="QB22" i="10" s="1"/>
  <c r="SC22" i="10"/>
  <c r="SD22" i="10" s="1"/>
  <c r="SH22" i="10"/>
  <c r="SI22" i="10" s="1"/>
  <c r="X22" i="10"/>
  <c r="Y22" i="10" s="1"/>
  <c r="RT11" i="10"/>
  <c r="TP22" i="10"/>
  <c r="TQ22" i="10" s="1"/>
  <c r="TK22" i="10"/>
  <c r="TL22" i="10" s="1"/>
  <c r="Q22" i="10"/>
  <c r="R22" i="10" s="1"/>
  <c r="SY22" i="10"/>
  <c r="SZ22" i="10" s="1"/>
  <c r="BS22" i="10"/>
  <c r="BT22" i="10" s="1"/>
  <c r="AI22" i="10"/>
  <c r="AJ22" i="10" s="1"/>
  <c r="QS22" i="10"/>
  <c r="QT22" i="10" s="1"/>
  <c r="NG22" i="10"/>
  <c r="NH22" i="10" s="1"/>
  <c r="RQ22" i="14"/>
  <c r="RR22" i="14" s="1"/>
  <c r="RR20" i="14"/>
  <c r="LK22" i="14"/>
  <c r="LL22" i="14" s="1"/>
  <c r="LL20" i="14"/>
  <c r="IQ22" i="14"/>
  <c r="IR22" i="14" s="1"/>
  <c r="KM22" i="14"/>
  <c r="KN22" i="14" s="1"/>
  <c r="KZ22" i="14"/>
  <c r="LA22" i="14" s="1"/>
  <c r="SP22" i="14"/>
  <c r="SQ22" i="14" s="1"/>
  <c r="OQ22" i="14"/>
  <c r="OR22" i="14" s="1"/>
  <c r="IF22" i="14"/>
  <c r="IG22" i="14" s="1"/>
  <c r="X22" i="14"/>
  <c r="Y22" i="14" s="1"/>
  <c r="FW22" i="14"/>
  <c r="FX22" i="14" s="1"/>
  <c r="QY22" i="14"/>
  <c r="QZ22" i="14" s="1"/>
  <c r="KA22" i="14"/>
  <c r="KB22" i="14" s="1"/>
  <c r="RF22" i="8"/>
  <c r="RG22" i="8" s="1"/>
  <c r="RQ22" i="8"/>
  <c r="RR22" i="8" s="1"/>
  <c r="PD22" i="8"/>
  <c r="PE22" i="8" s="1"/>
  <c r="PO22" i="8"/>
  <c r="PP22" i="8" s="1"/>
  <c r="OL22" i="8"/>
  <c r="OM22" i="8" s="1"/>
  <c r="NT22" i="8"/>
  <c r="NU22" i="8" s="1"/>
  <c r="MU22" i="8"/>
  <c r="MV22" i="8" s="1"/>
  <c r="KA22" i="8"/>
  <c r="KB22" i="8" s="1"/>
  <c r="IF22" i="8"/>
  <c r="IG22" i="8" s="1"/>
  <c r="GD22" i="8"/>
  <c r="GE22" i="8" s="1"/>
  <c r="FW22" i="8"/>
  <c r="FX22" i="8" s="1"/>
  <c r="ET22" i="8"/>
  <c r="EU22" i="8" s="1"/>
  <c r="QT20" i="10"/>
  <c r="QY22" i="10"/>
  <c r="QZ22" i="10" s="1"/>
  <c r="QG22" i="10"/>
  <c r="QH22" i="10" s="1"/>
  <c r="PO22" i="10"/>
  <c r="PP22" i="10" s="1"/>
  <c r="NT22" i="10"/>
  <c r="NU22" i="10" s="1"/>
  <c r="NH20" i="10"/>
  <c r="LR22" i="10"/>
  <c r="LS22" i="10" s="1"/>
  <c r="LW22" i="10"/>
  <c r="LX22" i="10" s="1"/>
  <c r="KS22" i="10"/>
  <c r="KT22" i="10" s="1"/>
  <c r="IX22" i="10"/>
  <c r="IY22" i="10" s="1"/>
  <c r="GQ20" i="10"/>
  <c r="GR20" i="10" s="1"/>
  <c r="GQ10" i="10"/>
  <c r="GR10" i="10" s="1"/>
  <c r="FE22" i="10"/>
  <c r="FF22" i="10" s="1"/>
  <c r="DJ22" i="10"/>
  <c r="DK22" i="10" s="1"/>
  <c r="DC22" i="10"/>
  <c r="DD22" i="10" s="1"/>
  <c r="CK22" i="10"/>
  <c r="CL22" i="10" s="1"/>
  <c r="TS22" i="14"/>
  <c r="TT22" i="14" s="1"/>
  <c r="TA22" i="14"/>
  <c r="TB22" i="14" s="1"/>
  <c r="SI22" i="14"/>
  <c r="SJ22" i="14" s="1"/>
  <c r="QZ20" i="14"/>
  <c r="QA22" i="14"/>
  <c r="QB22" i="14" s="1"/>
  <c r="PO22" i="14"/>
  <c r="PP22" i="14" s="1"/>
  <c r="OE22" i="14"/>
  <c r="OF22" i="14" s="1"/>
  <c r="NB22" i="14"/>
  <c r="NC22" i="14" s="1"/>
  <c r="MW10" i="14"/>
  <c r="MX10" i="14" s="1"/>
  <c r="KB20" i="14"/>
  <c r="CR22" i="14"/>
  <c r="CS22" i="14" s="1"/>
  <c r="FE22" i="8"/>
  <c r="FF22" i="8" s="1"/>
  <c r="FW22" i="10"/>
  <c r="FX22" i="10" s="1"/>
  <c r="JU22" i="10"/>
  <c r="JV22" i="10" s="1"/>
  <c r="IF22" i="10"/>
  <c r="IG22" i="10" s="1"/>
  <c r="EB22" i="10"/>
  <c r="EC22" i="10" s="1"/>
  <c r="BH22" i="10"/>
  <c r="BI22" i="10" s="1"/>
  <c r="MJ22" i="14"/>
  <c r="MK22" i="14" s="1"/>
  <c r="KN20" i="14"/>
  <c r="EM22" i="14"/>
  <c r="EN22" i="14" s="1"/>
  <c r="ET22" i="14"/>
  <c r="EU22" i="14" s="1"/>
  <c r="PQ10" i="14"/>
  <c r="PR10" i="14" s="1"/>
  <c r="KC4" i="14"/>
  <c r="KD4" i="14" s="1"/>
  <c r="IS4" i="14"/>
  <c r="IT4" i="14" s="1"/>
  <c r="IS10" i="14"/>
  <c r="IT10" i="14" s="1"/>
  <c r="NM22" i="8"/>
  <c r="NN22" i="8" s="1"/>
  <c r="JI22" i="10"/>
  <c r="JJ22" i="10" s="1"/>
  <c r="QN22" i="14"/>
  <c r="QO22" i="14" s="1"/>
  <c r="HG22" i="14"/>
  <c r="HH22" i="14" s="1"/>
  <c r="DJ22" i="14"/>
  <c r="DK22" i="14" s="1"/>
  <c r="MU22" i="14"/>
  <c r="MV22" i="14" s="1"/>
  <c r="BZ22" i="14"/>
  <c r="CA22" i="14" s="1"/>
  <c r="EM22" i="8"/>
  <c r="EN22" i="8" s="1"/>
  <c r="Q22" i="8"/>
  <c r="R22" i="8" s="1"/>
  <c r="KH22" i="10"/>
  <c r="KI22" i="10" s="1"/>
  <c r="CR22" i="10"/>
  <c r="CS22" i="10" s="1"/>
  <c r="RX22" i="14"/>
  <c r="RY22" i="14" s="1"/>
  <c r="QB20" i="14"/>
  <c r="JI22" i="14"/>
  <c r="JJ22" i="14" s="1"/>
  <c r="GD22" i="14"/>
  <c r="GE22" i="14" s="1"/>
  <c r="DC22" i="14"/>
  <c r="DD22" i="14" s="1"/>
  <c r="PV22" i="14"/>
  <c r="PW22" i="14" s="1"/>
  <c r="KH22" i="14"/>
  <c r="KI22" i="14" s="1"/>
  <c r="OW22" i="14"/>
  <c r="OX22" i="14" s="1"/>
  <c r="LM4" i="14"/>
  <c r="LN4" i="14" s="1"/>
  <c r="FY10" i="14"/>
  <c r="FZ10" i="14" s="1"/>
  <c r="SK4" i="14"/>
  <c r="SL4" i="14" s="1"/>
  <c r="RA4" i="14"/>
  <c r="RB4" i="14" s="1"/>
  <c r="OG4" i="14"/>
  <c r="OH4" i="14" s="1"/>
  <c r="MX11" i="14"/>
  <c r="MW4" i="14"/>
  <c r="MX4" i="14" s="1"/>
  <c r="IT11" i="14"/>
  <c r="HI4" i="14"/>
  <c r="HJ4" i="14" s="1"/>
  <c r="DE4" i="14"/>
  <c r="DF4" i="14" s="1"/>
  <c r="BU4" i="14"/>
  <c r="BV4" i="14" s="1"/>
  <c r="PI22" i="8"/>
  <c r="PJ22" i="8" s="1"/>
  <c r="JU22" i="8"/>
  <c r="JV22" i="8" s="1"/>
  <c r="MC22" i="14"/>
  <c r="MD22" i="14" s="1"/>
  <c r="KS22" i="8"/>
  <c r="KT22" i="8" s="1"/>
  <c r="HY22" i="8"/>
  <c r="HZ22" i="8" s="1"/>
  <c r="RQ22" i="10"/>
  <c r="RR22" i="10" s="1"/>
  <c r="OW22" i="10"/>
  <c r="OX22" i="10" s="1"/>
  <c r="HG22" i="10"/>
  <c r="HH22" i="10" s="1"/>
  <c r="EM22" i="10"/>
  <c r="EN22" i="10" s="1"/>
  <c r="NM22" i="10"/>
  <c r="NN22" i="10" s="1"/>
  <c r="HY22" i="10"/>
  <c r="HZ22" i="10" s="1"/>
  <c r="GO22" i="10"/>
  <c r="GP22" i="10" s="1"/>
  <c r="TH22" i="14"/>
  <c r="TI22" i="14" s="1"/>
  <c r="JP22" i="14"/>
  <c r="JQ22" i="14" s="1"/>
  <c r="AP22" i="14"/>
  <c r="AQ22" i="14" s="1"/>
  <c r="FY4" i="14"/>
  <c r="FZ4" i="14" s="1"/>
  <c r="DC22" i="8"/>
  <c r="DD22" i="8" s="1"/>
  <c r="BS22" i="8"/>
  <c r="BT22" i="8" s="1"/>
  <c r="HN22" i="10"/>
  <c r="HO22" i="10" s="1"/>
  <c r="MC22" i="10"/>
  <c r="MD22" i="10" s="1"/>
  <c r="DU22" i="10"/>
  <c r="DV22" i="10" s="1"/>
  <c r="BA22" i="10"/>
  <c r="BB22" i="10" s="1"/>
  <c r="PD22" i="14"/>
  <c r="PE22" i="14" s="1"/>
  <c r="F22" i="14"/>
  <c r="G22" i="14" s="1"/>
  <c r="PQ4" i="14"/>
  <c r="PR4" i="14" s="1"/>
  <c r="EO4" i="14"/>
  <c r="EP4" i="14" s="1"/>
  <c r="AK4" i="14"/>
  <c r="AL4" i="14" s="1"/>
  <c r="LE22" i="10"/>
  <c r="LF22" i="10" s="1"/>
  <c r="OY10" i="10"/>
  <c r="OZ10" i="10" s="1"/>
  <c r="AK10" i="14"/>
  <c r="AL10" i="14" s="1"/>
  <c r="RK22" i="10"/>
  <c r="RL22" i="10" s="1"/>
  <c r="PI22" i="10"/>
  <c r="PJ22" i="10" s="1"/>
  <c r="OQ22" i="10"/>
  <c r="OR22" i="10" s="1"/>
  <c r="MO22" i="10"/>
  <c r="MP22" i="10" s="1"/>
  <c r="HA22" i="10"/>
  <c r="HB22" i="10" s="1"/>
  <c r="EY22" i="10"/>
  <c r="EZ22" i="10" s="1"/>
  <c r="EG22" i="10"/>
  <c r="EH22" i="10" s="1"/>
  <c r="BM22" i="10"/>
  <c r="BN22" i="10" s="1"/>
  <c r="SC22" i="8"/>
  <c r="SD22" i="8" s="1"/>
  <c r="QS22" i="8"/>
  <c r="QT22" i="8" s="1"/>
  <c r="QA22" i="8"/>
  <c r="QB22" i="8" s="1"/>
  <c r="NY22" i="8"/>
  <c r="NZ22" i="8" s="1"/>
  <c r="HA22" i="8"/>
  <c r="HB22" i="8" s="1"/>
  <c r="TM22" i="14"/>
  <c r="TN22" i="14" s="1"/>
  <c r="SK10" i="14"/>
  <c r="SL10" i="14" s="1"/>
  <c r="JU22" i="14"/>
  <c r="JV22" i="14" s="1"/>
  <c r="KC10" i="14"/>
  <c r="KD10" i="14" s="1"/>
  <c r="JC22" i="14"/>
  <c r="JD22" i="14" s="1"/>
  <c r="DE10" i="14"/>
  <c r="DF10" i="14" s="1"/>
  <c r="AK13" i="14"/>
  <c r="AL13" i="14" s="1"/>
  <c r="KM22" i="10"/>
  <c r="KN22" i="10" s="1"/>
  <c r="HS22" i="10"/>
  <c r="HT22" i="10" s="1"/>
  <c r="GI22" i="10"/>
  <c r="GJ22" i="10" s="1"/>
  <c r="CW22" i="10"/>
  <c r="CX22" i="10" s="1"/>
  <c r="TU4" i="14"/>
  <c r="TV4" i="14" s="1"/>
  <c r="SU22" i="14"/>
  <c r="SV22" i="14" s="1"/>
  <c r="RK22" i="14"/>
  <c r="RL22" i="14" s="1"/>
  <c r="QS22" i="14"/>
  <c r="QT22" i="14" s="1"/>
  <c r="NY22" i="14"/>
  <c r="NZ22" i="14" s="1"/>
  <c r="NG22" i="14"/>
  <c r="NH22" i="14" s="1"/>
  <c r="LW22" i="14"/>
  <c r="LX22" i="14" s="1"/>
  <c r="LE22" i="14"/>
  <c r="LF22" i="14" s="1"/>
  <c r="IK22" i="14"/>
  <c r="IL22" i="14" s="1"/>
  <c r="HS22" i="14"/>
  <c r="HT22" i="14" s="1"/>
  <c r="HA22" i="14"/>
  <c r="HB22" i="14" s="1"/>
  <c r="GI22" i="14"/>
  <c r="GJ22" i="14" s="1"/>
  <c r="EY22" i="14"/>
  <c r="EZ22" i="14" s="1"/>
  <c r="DO22" i="14"/>
  <c r="DP22" i="14" s="1"/>
  <c r="RK22" i="8"/>
  <c r="RL22" i="8" s="1"/>
  <c r="NG22" i="8"/>
  <c r="NH22" i="8" s="1"/>
  <c r="MO22" i="8"/>
  <c r="MP22" i="8" s="1"/>
  <c r="JC22" i="8"/>
  <c r="JD22" i="8" s="1"/>
  <c r="GI22" i="8"/>
  <c r="GJ22" i="8" s="1"/>
  <c r="IQ22" i="8"/>
  <c r="IR22" i="8" s="1"/>
  <c r="IK22" i="10"/>
  <c r="IL22" i="10" s="1"/>
  <c r="AP22" i="10"/>
  <c r="AQ22" i="10" s="1"/>
  <c r="F22" i="10"/>
  <c r="G22" i="10" s="1"/>
  <c r="HY22" i="14"/>
  <c r="HZ22" i="14" s="1"/>
  <c r="LK22" i="10"/>
  <c r="LL22" i="10" s="1"/>
  <c r="IQ22" i="10"/>
  <c r="IR22" i="10" s="1"/>
  <c r="NY22" i="10"/>
  <c r="NZ22" i="10" s="1"/>
  <c r="JC22" i="10"/>
  <c r="JD22" i="10" s="1"/>
  <c r="FL22" i="10"/>
  <c r="FM22" i="10" s="1"/>
  <c r="FQ22" i="10"/>
  <c r="FR22" i="10" s="1"/>
  <c r="BZ22" i="10"/>
  <c r="CA22" i="10" s="1"/>
  <c r="KH22" i="8"/>
  <c r="KI22" i="8" s="1"/>
  <c r="PV22" i="8"/>
  <c r="PW22" i="8" s="1"/>
  <c r="JP22" i="8"/>
  <c r="JQ22" i="8" s="1"/>
  <c r="FL22" i="8"/>
  <c r="FM22" i="8" s="1"/>
  <c r="BH22" i="8"/>
  <c r="BI22" i="8" s="1"/>
  <c r="F22" i="8"/>
  <c r="G22" i="8" s="1"/>
  <c r="GV22" i="14"/>
  <c r="GW22" i="14" s="1"/>
  <c r="EB22" i="14"/>
  <c r="EC22" i="14" s="1"/>
  <c r="CM4" i="14"/>
  <c r="CN4" i="14" s="1"/>
  <c r="BH22" i="14"/>
  <c r="BI22" i="14" s="1"/>
  <c r="DJ22" i="8"/>
  <c r="DK22" i="8" s="1"/>
  <c r="NT22" i="14"/>
  <c r="NU22" i="14" s="1"/>
  <c r="IB5" i="14"/>
  <c r="IA4" i="14"/>
  <c r="IB4" i="14" s="1"/>
  <c r="FL22" i="14"/>
  <c r="FM22" i="14" s="1"/>
  <c r="NB22" i="10"/>
  <c r="NC22" i="10" s="1"/>
  <c r="KZ22" i="10"/>
  <c r="LA22" i="10" s="1"/>
  <c r="GD22" i="10"/>
  <c r="GE22" i="10" s="1"/>
  <c r="ET22" i="10"/>
  <c r="EU22" i="10" s="1"/>
  <c r="BU20" i="14"/>
  <c r="BV20" i="14" s="1"/>
  <c r="BV21" i="14"/>
  <c r="TD21" i="14"/>
  <c r="TC20" i="14"/>
  <c r="TD20" i="14" s="1"/>
  <c r="NP21" i="14"/>
  <c r="NO20" i="14"/>
  <c r="NP20" i="14" s="1"/>
  <c r="HJ21" i="14"/>
  <c r="HI20" i="14"/>
  <c r="HJ20" i="14" s="1"/>
  <c r="TV21" i="14"/>
  <c r="TU20" i="14"/>
  <c r="TV20" i="14" s="1"/>
  <c r="OH21" i="14"/>
  <c r="OG20" i="14"/>
  <c r="OH20" i="14" s="1"/>
  <c r="IT21" i="14"/>
  <c r="IS20" i="14"/>
  <c r="IT20" i="14" s="1"/>
  <c r="DX21" i="14"/>
  <c r="DW20" i="14"/>
  <c r="DX20" i="14" s="1"/>
  <c r="AU22" i="14"/>
  <c r="AV22" i="14" s="1"/>
  <c r="AV20" i="14"/>
  <c r="FE22" i="14"/>
  <c r="FF22" i="14" s="1"/>
  <c r="FF20" i="14"/>
  <c r="Q22" i="14"/>
  <c r="R22" i="14" s="1"/>
  <c r="R20" i="14"/>
  <c r="CK22" i="14"/>
  <c r="CL22" i="14" s="1"/>
  <c r="CL20" i="14"/>
  <c r="SC22" i="14"/>
  <c r="SD22" i="14" s="1"/>
  <c r="SD20" i="14"/>
  <c r="NN20" i="14"/>
  <c r="NM22" i="14"/>
  <c r="NN22" i="14" s="1"/>
  <c r="LS20" i="14"/>
  <c r="LR22" i="14"/>
  <c r="LS22" i="14" s="1"/>
  <c r="IB21" i="14"/>
  <c r="IA20" i="14"/>
  <c r="IB20" i="14" s="1"/>
  <c r="SL17" i="14"/>
  <c r="SK16" i="14"/>
  <c r="SL16" i="14" s="1"/>
  <c r="MX17" i="14"/>
  <c r="MW16" i="14"/>
  <c r="MX16" i="14" s="1"/>
  <c r="BM22" i="14"/>
  <c r="BN22" i="14" s="1"/>
  <c r="BN20" i="14"/>
  <c r="RS16" i="14"/>
  <c r="RT16" i="14" s="1"/>
  <c r="RT17" i="14"/>
  <c r="MF17" i="14"/>
  <c r="ME16" i="14"/>
  <c r="MF16" i="14" s="1"/>
  <c r="GR17" i="14"/>
  <c r="GQ16" i="14"/>
  <c r="GR16" i="14" s="1"/>
  <c r="BC16" i="14"/>
  <c r="BD16" i="14" s="1"/>
  <c r="BD17" i="14"/>
  <c r="DU22" i="14"/>
  <c r="DV22" i="14" s="1"/>
  <c r="DV20" i="14"/>
  <c r="HI16" i="14"/>
  <c r="HJ16" i="14" s="1"/>
  <c r="OZ14" i="14"/>
  <c r="OY13" i="14"/>
  <c r="OZ13" i="14" s="1"/>
  <c r="JL14" i="14"/>
  <c r="JK13" i="14"/>
  <c r="JL13" i="14" s="1"/>
  <c r="DX14" i="14"/>
  <c r="DW13" i="14"/>
  <c r="DX13" i="14" s="1"/>
  <c r="PQ13" i="14"/>
  <c r="PR13" i="14" s="1"/>
  <c r="PR14" i="14"/>
  <c r="KC13" i="14"/>
  <c r="KD13" i="14" s="1"/>
  <c r="KD14" i="14"/>
  <c r="EO13" i="14"/>
  <c r="EP13" i="14" s="1"/>
  <c r="EP14" i="14"/>
  <c r="DX9" i="14"/>
  <c r="DW4" i="14"/>
  <c r="DX4" i="14" s="1"/>
  <c r="NP8" i="14"/>
  <c r="NO4" i="14"/>
  <c r="NP4" i="14" s="1"/>
  <c r="RB11" i="14"/>
  <c r="RA10" i="14"/>
  <c r="RB10" i="14" s="1"/>
  <c r="LN11" i="14"/>
  <c r="LM10" i="14"/>
  <c r="LN10" i="14" s="1"/>
  <c r="GR11" i="14"/>
  <c r="GQ10" i="14"/>
  <c r="GR10" i="14" s="1"/>
  <c r="HI10" i="14"/>
  <c r="HJ10" i="14" s="1"/>
  <c r="EO10" i="14"/>
  <c r="EP10" i="14" s="1"/>
  <c r="BU10" i="14"/>
  <c r="BV10" i="14" s="1"/>
  <c r="SL21" i="14"/>
  <c r="SK20" i="14"/>
  <c r="SL20" i="14" s="1"/>
  <c r="MX21" i="14"/>
  <c r="MW20" i="14"/>
  <c r="MX20" i="14" s="1"/>
  <c r="FY20" i="14"/>
  <c r="FZ20" i="14" s="1"/>
  <c r="FZ21" i="14"/>
  <c r="AK20" i="14"/>
  <c r="AL20" i="14" s="1"/>
  <c r="AL21" i="14"/>
  <c r="CN21" i="14"/>
  <c r="CM20" i="14"/>
  <c r="CN20" i="14" s="1"/>
  <c r="K22" i="14"/>
  <c r="L22" i="14" s="1"/>
  <c r="L20" i="14"/>
  <c r="EG22" i="14"/>
  <c r="EH22" i="14" s="1"/>
  <c r="EH20" i="14"/>
  <c r="QH20" i="14"/>
  <c r="QG22" i="14"/>
  <c r="QH22" i="14" s="1"/>
  <c r="OM20" i="14"/>
  <c r="OL22" i="14"/>
  <c r="OM22" i="14" s="1"/>
  <c r="MF21" i="14"/>
  <c r="ME20" i="14"/>
  <c r="MF20" i="14" s="1"/>
  <c r="IX22" i="14"/>
  <c r="IY22" i="14" s="1"/>
  <c r="IY20" i="14"/>
  <c r="HN22" i="14"/>
  <c r="HO22" i="14" s="1"/>
  <c r="HO20" i="14"/>
  <c r="RB17" i="14"/>
  <c r="RA16" i="14"/>
  <c r="RB16" i="14" s="1"/>
  <c r="LN17" i="14"/>
  <c r="LM16" i="14"/>
  <c r="LN16" i="14" s="1"/>
  <c r="QI16" i="14"/>
  <c r="QJ16" i="14" s="1"/>
  <c r="QJ17" i="14"/>
  <c r="KV17" i="14"/>
  <c r="KU16" i="14"/>
  <c r="KV16" i="14" s="1"/>
  <c r="FH17" i="14"/>
  <c r="FG16" i="14"/>
  <c r="FH16" i="14" s="1"/>
  <c r="T17" i="14"/>
  <c r="S16" i="14"/>
  <c r="T16" i="14" s="1"/>
  <c r="EO16" i="14"/>
  <c r="EP16" i="14" s="1"/>
  <c r="DF17" i="14"/>
  <c r="DE16" i="14"/>
  <c r="DF16" i="14" s="1"/>
  <c r="TD14" i="14"/>
  <c r="TC13" i="14"/>
  <c r="TD13" i="14" s="1"/>
  <c r="NP14" i="14"/>
  <c r="NO13" i="14"/>
  <c r="NP13" i="14" s="1"/>
  <c r="IB14" i="14"/>
  <c r="IA13" i="14"/>
  <c r="IB13" i="14" s="1"/>
  <c r="CN14" i="14"/>
  <c r="CM13" i="14"/>
  <c r="CN13" i="14" s="1"/>
  <c r="FZ17" i="14"/>
  <c r="FY16" i="14"/>
  <c r="FZ16" i="14" s="1"/>
  <c r="OG13" i="14"/>
  <c r="OH13" i="14" s="1"/>
  <c r="OH14" i="14"/>
  <c r="IS13" i="14"/>
  <c r="IT13" i="14" s="1"/>
  <c r="IT14" i="14"/>
  <c r="DE13" i="14"/>
  <c r="DF13" i="14" s="1"/>
  <c r="DF14" i="14"/>
  <c r="OZ11" i="14"/>
  <c r="OY10" i="14"/>
  <c r="OZ10" i="14" s="1"/>
  <c r="TD11" i="14"/>
  <c r="TC10" i="14"/>
  <c r="TD10" i="14" s="1"/>
  <c r="NP11" i="14"/>
  <c r="NO10" i="14"/>
  <c r="NP10" i="14" s="1"/>
  <c r="IB11" i="14"/>
  <c r="IA10" i="14"/>
  <c r="IB10" i="14" s="1"/>
  <c r="CN11" i="14"/>
  <c r="CM10" i="14"/>
  <c r="CN10" i="14" s="1"/>
  <c r="FH9" i="14"/>
  <c r="FG4" i="14"/>
  <c r="FH4" i="14" s="1"/>
  <c r="OZ8" i="14"/>
  <c r="OY4" i="14"/>
  <c r="OZ4" i="14" s="1"/>
  <c r="MF11" i="14"/>
  <c r="ME10" i="14"/>
  <c r="MF10" i="14" s="1"/>
  <c r="BD5" i="14"/>
  <c r="BC4" i="14"/>
  <c r="BD4" i="14" s="1"/>
  <c r="S4" i="14"/>
  <c r="T4" i="14" s="1"/>
  <c r="EO20" i="14"/>
  <c r="EP20" i="14" s="1"/>
  <c r="EP21" i="14"/>
  <c r="AI22" i="14"/>
  <c r="AJ22" i="14" s="1"/>
  <c r="AJ20" i="14"/>
  <c r="QJ21" i="14"/>
  <c r="QI20" i="14"/>
  <c r="QJ20" i="14" s="1"/>
  <c r="KV21" i="14"/>
  <c r="KU20" i="14"/>
  <c r="KV20" i="14" s="1"/>
  <c r="RB21" i="14"/>
  <c r="RA20" i="14"/>
  <c r="RB20" i="14" s="1"/>
  <c r="LN21" i="14"/>
  <c r="LM20" i="14"/>
  <c r="LN20" i="14" s="1"/>
  <c r="GR21" i="14"/>
  <c r="GQ20" i="14"/>
  <c r="GR20" i="14" s="1"/>
  <c r="BD21" i="14"/>
  <c r="BC20" i="14"/>
  <c r="BD20" i="14" s="1"/>
  <c r="GO22" i="14"/>
  <c r="GP22" i="14" s="1"/>
  <c r="GP20" i="14"/>
  <c r="CX20" i="14"/>
  <c r="CW22" i="14"/>
  <c r="CX22" i="14" s="1"/>
  <c r="FQ22" i="14"/>
  <c r="FR22" i="14" s="1"/>
  <c r="FR20" i="14"/>
  <c r="AD20" i="14"/>
  <c r="AC22" i="14"/>
  <c r="AD22" i="14" s="1"/>
  <c r="RG20" i="14"/>
  <c r="RF22" i="14"/>
  <c r="RG22" i="14" s="1"/>
  <c r="OZ21" i="14"/>
  <c r="OY20" i="14"/>
  <c r="OZ20" i="14" s="1"/>
  <c r="MP20" i="14"/>
  <c r="MO22" i="14"/>
  <c r="MP22" i="14" s="1"/>
  <c r="JL21" i="14"/>
  <c r="JK20" i="14"/>
  <c r="JL20" i="14" s="1"/>
  <c r="PR17" i="14"/>
  <c r="PQ16" i="14"/>
  <c r="PR16" i="14" s="1"/>
  <c r="KD17" i="14"/>
  <c r="KC16" i="14"/>
  <c r="KD16" i="14" s="1"/>
  <c r="OZ17" i="14"/>
  <c r="OY16" i="14"/>
  <c r="OZ16" i="14" s="1"/>
  <c r="JL17" i="14"/>
  <c r="JK16" i="14"/>
  <c r="JL16" i="14" s="1"/>
  <c r="DX17" i="14"/>
  <c r="DW16" i="14"/>
  <c r="DX16" i="14" s="1"/>
  <c r="AL17" i="14"/>
  <c r="AK16" i="14"/>
  <c r="AL16" i="14" s="1"/>
  <c r="RT14" i="14"/>
  <c r="RS13" i="14"/>
  <c r="RT13" i="14" s="1"/>
  <c r="MF14" i="14"/>
  <c r="ME13" i="14"/>
  <c r="MF13" i="14" s="1"/>
  <c r="GR14" i="14"/>
  <c r="GQ13" i="14"/>
  <c r="GR13" i="14" s="1"/>
  <c r="BD14" i="14"/>
  <c r="BC13" i="14"/>
  <c r="BD13" i="14" s="1"/>
  <c r="SK13" i="14"/>
  <c r="SL13" i="14" s="1"/>
  <c r="SL14" i="14"/>
  <c r="MW13" i="14"/>
  <c r="MX13" i="14" s="1"/>
  <c r="MX14" i="14"/>
  <c r="HI13" i="14"/>
  <c r="HJ13" i="14" s="1"/>
  <c r="HJ14" i="14"/>
  <c r="BU13" i="14"/>
  <c r="BV13" i="14" s="1"/>
  <c r="BV14" i="14"/>
  <c r="JL9" i="14"/>
  <c r="JK4" i="14"/>
  <c r="JL4" i="14" s="1"/>
  <c r="TD8" i="14"/>
  <c r="TC4" i="14"/>
  <c r="TD4" i="14" s="1"/>
  <c r="BU16" i="14"/>
  <c r="BV16" i="14" s="1"/>
  <c r="RT9" i="14"/>
  <c r="RS4" i="14"/>
  <c r="RT4" i="14" s="1"/>
  <c r="MF9" i="14"/>
  <c r="ME4" i="14"/>
  <c r="MF4" i="14" s="1"/>
  <c r="TV11" i="14"/>
  <c r="TU10" i="14"/>
  <c r="TV10" i="14" s="1"/>
  <c r="OH11" i="14"/>
  <c r="OG10" i="14"/>
  <c r="OH10" i="14" s="1"/>
  <c r="GR9" i="14"/>
  <c r="GQ4" i="14"/>
  <c r="GR4" i="14" s="1"/>
  <c r="QJ8" i="14"/>
  <c r="QI4" i="14"/>
  <c r="QJ4" i="14" s="1"/>
  <c r="CO1" i="14"/>
  <c r="RT11" i="14"/>
  <c r="RS10" i="14"/>
  <c r="RT10" i="14" s="1"/>
  <c r="PR21" i="14"/>
  <c r="PQ20" i="14"/>
  <c r="PR20" i="14" s="1"/>
  <c r="KD21" i="14"/>
  <c r="KC20" i="14"/>
  <c r="KD20" i="14" s="1"/>
  <c r="DE20" i="14"/>
  <c r="DF20" i="14" s="1"/>
  <c r="DF21" i="14"/>
  <c r="BS22" i="14"/>
  <c r="BT22" i="14" s="1"/>
  <c r="BT20" i="14"/>
  <c r="FH21" i="14"/>
  <c r="FG20" i="14"/>
  <c r="FH20" i="14" s="1"/>
  <c r="T21" i="14"/>
  <c r="S20" i="14"/>
  <c r="T20" i="14" s="1"/>
  <c r="CE22" i="14"/>
  <c r="CF22" i="14" s="1"/>
  <c r="CF20" i="14"/>
  <c r="BA22" i="14"/>
  <c r="BB22" i="14" s="1"/>
  <c r="BB20" i="14"/>
  <c r="RT21" i="14"/>
  <c r="RS20" i="14"/>
  <c r="RT20" i="14" s="1"/>
  <c r="PI22" i="14"/>
  <c r="PJ22" i="14" s="1"/>
  <c r="PJ20" i="14"/>
  <c r="KT20" i="14"/>
  <c r="KS22" i="14"/>
  <c r="KT22" i="14" s="1"/>
  <c r="TV17" i="14"/>
  <c r="TU16" i="14"/>
  <c r="TV16" i="14" s="1"/>
  <c r="OH17" i="14"/>
  <c r="OG16" i="14"/>
  <c r="OH16" i="14" s="1"/>
  <c r="IT17" i="14"/>
  <c r="IS16" i="14"/>
  <c r="IT16" i="14" s="1"/>
  <c r="TC16" i="14"/>
  <c r="TD16" i="14" s="1"/>
  <c r="TD17" i="14"/>
  <c r="NP17" i="14"/>
  <c r="NO16" i="14"/>
  <c r="NP16" i="14" s="1"/>
  <c r="IB17" i="14"/>
  <c r="IA16" i="14"/>
  <c r="IB16" i="14" s="1"/>
  <c r="CN17" i="14"/>
  <c r="CM16" i="14"/>
  <c r="CN16" i="14" s="1"/>
  <c r="TV15" i="14"/>
  <c r="TU13" i="14"/>
  <c r="TV13" i="14" s="1"/>
  <c r="QJ14" i="14"/>
  <c r="QI13" i="14"/>
  <c r="QJ13" i="14" s="1"/>
  <c r="KV14" i="14"/>
  <c r="KU13" i="14"/>
  <c r="KV13" i="14" s="1"/>
  <c r="FH14" i="14"/>
  <c r="FG13" i="14"/>
  <c r="FH13" i="14" s="1"/>
  <c r="T14" i="14"/>
  <c r="S13" i="14"/>
  <c r="T13" i="14" s="1"/>
  <c r="RA13" i="14"/>
  <c r="RB13" i="14" s="1"/>
  <c r="RB14" i="14"/>
  <c r="LM13" i="14"/>
  <c r="LN13" i="14" s="1"/>
  <c r="LN14" i="14"/>
  <c r="FY13" i="14"/>
  <c r="FZ13" i="14" s="1"/>
  <c r="FZ14" i="14"/>
  <c r="DX11" i="14"/>
  <c r="DW10" i="14"/>
  <c r="DX10" i="14" s="1"/>
  <c r="QJ11" i="14"/>
  <c r="QI10" i="14"/>
  <c r="QJ10" i="14" s="1"/>
  <c r="KV11" i="14"/>
  <c r="KU10" i="14"/>
  <c r="KV10" i="14" s="1"/>
  <c r="FH11" i="14"/>
  <c r="FG10" i="14"/>
  <c r="FH10" i="14" s="1"/>
  <c r="T11" i="14"/>
  <c r="S10" i="14"/>
  <c r="T10" i="14" s="1"/>
  <c r="JL11" i="14"/>
  <c r="JK10" i="14"/>
  <c r="JL10" i="14" s="1"/>
  <c r="BD11" i="14"/>
  <c r="BC10" i="14"/>
  <c r="BD10" i="14" s="1"/>
  <c r="KV9" i="14"/>
  <c r="KU4" i="14"/>
  <c r="KV4" i="14" s="1"/>
  <c r="EP21" i="10"/>
  <c r="EO20" i="10"/>
  <c r="EP20" i="10" s="1"/>
  <c r="NP21" i="10"/>
  <c r="NO20" i="10"/>
  <c r="NP20" i="10" s="1"/>
  <c r="IB21" i="10"/>
  <c r="IA20" i="10"/>
  <c r="IB20" i="10" s="1"/>
  <c r="QN22" i="10"/>
  <c r="QO22" i="10" s="1"/>
  <c r="QO20" i="10"/>
  <c r="RT21" i="10"/>
  <c r="RS20" i="10"/>
  <c r="RT20" i="10" s="1"/>
  <c r="AL18" i="10"/>
  <c r="AK16" i="10"/>
  <c r="AL16" i="10" s="1"/>
  <c r="PR17" i="10"/>
  <c r="PQ16" i="10"/>
  <c r="PR16" i="10" s="1"/>
  <c r="KD17" i="10"/>
  <c r="KC16" i="10"/>
  <c r="KD16" i="10" s="1"/>
  <c r="AU22" i="10"/>
  <c r="AV22" i="10" s="1"/>
  <c r="AV20" i="10"/>
  <c r="JP22" i="10"/>
  <c r="JQ22" i="10" s="1"/>
  <c r="JQ20" i="10"/>
  <c r="SK21" i="10"/>
  <c r="SJ20" i="10"/>
  <c r="SK20" i="10" s="1"/>
  <c r="RT17" i="10"/>
  <c r="RS16" i="10"/>
  <c r="RT16" i="10" s="1"/>
  <c r="MF17" i="10"/>
  <c r="ME16" i="10"/>
  <c r="MF16" i="10" s="1"/>
  <c r="CF20" i="10"/>
  <c r="CE22" i="10"/>
  <c r="CF22" i="10" s="1"/>
  <c r="T21" i="10"/>
  <c r="S20" i="10"/>
  <c r="T20" i="10" s="1"/>
  <c r="HJ17" i="10"/>
  <c r="HI16" i="10"/>
  <c r="HJ16" i="10" s="1"/>
  <c r="TB14" i="10"/>
  <c r="TA13" i="10"/>
  <c r="TB13" i="10" s="1"/>
  <c r="T17" i="10"/>
  <c r="S16" i="10"/>
  <c r="T16" i="10" s="1"/>
  <c r="MF14" i="10"/>
  <c r="ME13" i="10"/>
  <c r="MF13" i="10" s="1"/>
  <c r="GR14" i="10"/>
  <c r="GQ13" i="10"/>
  <c r="GR13" i="10" s="1"/>
  <c r="EO16" i="10"/>
  <c r="EP16" i="10" s="1"/>
  <c r="TS14" i="10"/>
  <c r="TR13" i="10"/>
  <c r="TS13" i="10" s="1"/>
  <c r="OZ14" i="10"/>
  <c r="OY13" i="10"/>
  <c r="OZ13" i="10" s="1"/>
  <c r="JL14" i="10"/>
  <c r="JK13" i="10"/>
  <c r="JL13" i="10" s="1"/>
  <c r="DX14" i="10"/>
  <c r="DW13" i="10"/>
  <c r="DX13" i="10" s="1"/>
  <c r="RB14" i="10"/>
  <c r="RA13" i="10"/>
  <c r="RB13" i="10" s="1"/>
  <c r="NP14" i="10"/>
  <c r="NO13" i="10"/>
  <c r="NP13" i="10" s="1"/>
  <c r="IB14" i="10"/>
  <c r="IA13" i="10"/>
  <c r="IB13" i="10" s="1"/>
  <c r="CN14" i="10"/>
  <c r="CM13" i="10"/>
  <c r="CN13" i="10" s="1"/>
  <c r="BC13" i="10"/>
  <c r="BD13" i="10" s="1"/>
  <c r="IA10" i="10"/>
  <c r="IB10" i="10" s="1"/>
  <c r="CN11" i="10"/>
  <c r="CM10" i="10"/>
  <c r="CN10" i="10" s="1"/>
  <c r="KU10" i="10"/>
  <c r="KV10" i="10" s="1"/>
  <c r="BV11" i="10"/>
  <c r="BU10" i="10"/>
  <c r="BV10" i="10" s="1"/>
  <c r="SK5" i="10"/>
  <c r="SJ4" i="10"/>
  <c r="SK4" i="10" s="1"/>
  <c r="BE1" i="10"/>
  <c r="HJ5" i="10"/>
  <c r="HI4" i="10"/>
  <c r="HJ4" i="10" s="1"/>
  <c r="BV5" i="10"/>
  <c r="BU4" i="10"/>
  <c r="BV4" i="10" s="1"/>
  <c r="TR4" i="10"/>
  <c r="TS4" i="10" s="1"/>
  <c r="IS4" i="10"/>
  <c r="IT4" i="10" s="1"/>
  <c r="GQ4" i="10"/>
  <c r="GR4" i="10" s="1"/>
  <c r="KU4" i="10"/>
  <c r="KV4" i="10" s="1"/>
  <c r="CM4" i="10"/>
  <c r="CN4" i="10" s="1"/>
  <c r="FG4" i="10"/>
  <c r="FH4" i="10" s="1"/>
  <c r="PV22" i="10"/>
  <c r="PW22" i="10" s="1"/>
  <c r="PW20" i="10"/>
  <c r="TF22" i="10"/>
  <c r="TG22" i="10" s="1"/>
  <c r="TG20" i="10"/>
  <c r="RB21" i="10"/>
  <c r="RA20" i="10"/>
  <c r="RB20" i="10" s="1"/>
  <c r="LN21" i="10"/>
  <c r="LM20" i="10"/>
  <c r="LN20" i="10" s="1"/>
  <c r="MF21" i="10"/>
  <c r="ME20" i="10"/>
  <c r="MF20" i="10" s="1"/>
  <c r="DF21" i="10"/>
  <c r="DE20" i="10"/>
  <c r="DF20" i="10" s="1"/>
  <c r="TS17" i="10"/>
  <c r="TR16" i="10"/>
  <c r="TS16" i="10" s="1"/>
  <c r="OH17" i="10"/>
  <c r="OG16" i="10"/>
  <c r="OH16" i="10" s="1"/>
  <c r="IT17" i="10"/>
  <c r="IS16" i="10"/>
  <c r="IT16" i="10" s="1"/>
  <c r="BD21" i="10"/>
  <c r="BC20" i="10"/>
  <c r="BD20" i="10" s="1"/>
  <c r="MJ22" i="10"/>
  <c r="MK22" i="10" s="1"/>
  <c r="MK20" i="10"/>
  <c r="MX21" i="10"/>
  <c r="MW20" i="10"/>
  <c r="MX20" i="10" s="1"/>
  <c r="HJ21" i="10"/>
  <c r="HI20" i="10"/>
  <c r="HJ20" i="10" s="1"/>
  <c r="QJ17" i="10"/>
  <c r="QI16" i="10"/>
  <c r="QJ16" i="10" s="1"/>
  <c r="KV17" i="10"/>
  <c r="KU16" i="10"/>
  <c r="KV16" i="10" s="1"/>
  <c r="CN21" i="10"/>
  <c r="CM20" i="10"/>
  <c r="CN20" i="10" s="1"/>
  <c r="MX14" i="10"/>
  <c r="MW13" i="10"/>
  <c r="MX13" i="10" s="1"/>
  <c r="HJ14" i="10"/>
  <c r="HI13" i="10"/>
  <c r="HJ13" i="10" s="1"/>
  <c r="BV14" i="10"/>
  <c r="BU13" i="10"/>
  <c r="BV13" i="10" s="1"/>
  <c r="PR11" i="10"/>
  <c r="PQ10" i="10"/>
  <c r="PR10" i="10" s="1"/>
  <c r="KD11" i="10"/>
  <c r="KC10" i="10"/>
  <c r="KD10" i="10" s="1"/>
  <c r="QJ14" i="10"/>
  <c r="QI13" i="10"/>
  <c r="QJ13" i="10" s="1"/>
  <c r="S13" i="10"/>
  <c r="T13" i="10" s="1"/>
  <c r="TS11" i="10"/>
  <c r="TR10" i="10"/>
  <c r="TS10" i="10" s="1"/>
  <c r="OH11" i="10"/>
  <c r="OG10" i="10"/>
  <c r="OH10" i="10" s="1"/>
  <c r="IT11" i="10"/>
  <c r="IS10" i="10"/>
  <c r="IT10" i="10" s="1"/>
  <c r="DF11" i="10"/>
  <c r="DE10" i="10"/>
  <c r="DF10" i="10" s="1"/>
  <c r="JK10" i="10"/>
  <c r="JL10" i="10" s="1"/>
  <c r="EP11" i="10"/>
  <c r="EO10" i="10"/>
  <c r="EP10" i="10" s="1"/>
  <c r="T11" i="10"/>
  <c r="S10" i="10"/>
  <c r="T10" i="10" s="1"/>
  <c r="JL7" i="10"/>
  <c r="JK4" i="10"/>
  <c r="JL4" i="10" s="1"/>
  <c r="TB6" i="10"/>
  <c r="TA4" i="10"/>
  <c r="TB4" i="10" s="1"/>
  <c r="QJ6" i="10"/>
  <c r="QI4" i="10"/>
  <c r="QJ4" i="10" s="1"/>
  <c r="NP6" i="10"/>
  <c r="NO4" i="10"/>
  <c r="NP4" i="10" s="1"/>
  <c r="MX5" i="10"/>
  <c r="MW4" i="10"/>
  <c r="MX4" i="10" s="1"/>
  <c r="RB5" i="10"/>
  <c r="RA4" i="10"/>
  <c r="RB4" i="10" s="1"/>
  <c r="PR5" i="10"/>
  <c r="PQ4" i="10"/>
  <c r="PR4" i="10" s="1"/>
  <c r="DF5" i="10"/>
  <c r="DE4" i="10"/>
  <c r="DF4" i="10" s="1"/>
  <c r="SO22" i="10"/>
  <c r="SP22" i="10" s="1"/>
  <c r="SP20" i="10"/>
  <c r="QJ21" i="10"/>
  <c r="QI20" i="10"/>
  <c r="QJ20" i="10" s="1"/>
  <c r="KV21" i="10"/>
  <c r="KU20" i="10"/>
  <c r="KV20" i="10" s="1"/>
  <c r="TS21" i="10"/>
  <c r="TR20" i="10"/>
  <c r="TS20" i="10" s="1"/>
  <c r="OL22" i="10"/>
  <c r="OM22" i="10" s="1"/>
  <c r="OM20" i="10"/>
  <c r="BV21" i="10"/>
  <c r="BU20" i="10"/>
  <c r="BV20" i="10" s="1"/>
  <c r="DF18" i="10"/>
  <c r="DE16" i="10"/>
  <c r="DF16" i="10" s="1"/>
  <c r="SJ16" i="10"/>
  <c r="SK16" i="10" s="1"/>
  <c r="SK17" i="10"/>
  <c r="MX17" i="10"/>
  <c r="MW16" i="10"/>
  <c r="MX16" i="10" s="1"/>
  <c r="DX21" i="10"/>
  <c r="DW20" i="10"/>
  <c r="DX20" i="10" s="1"/>
  <c r="PD22" i="10"/>
  <c r="PE22" i="10" s="1"/>
  <c r="PE20" i="10"/>
  <c r="OZ17" i="10"/>
  <c r="OY16" i="10"/>
  <c r="OZ16" i="10" s="1"/>
  <c r="JL17" i="10"/>
  <c r="JK16" i="10"/>
  <c r="JL16" i="10" s="1"/>
  <c r="IB17" i="10"/>
  <c r="IA16" i="10"/>
  <c r="IB16" i="10" s="1"/>
  <c r="BD17" i="10"/>
  <c r="BC16" i="10"/>
  <c r="BD16" i="10" s="1"/>
  <c r="DW16" i="10"/>
  <c r="DX16" i="10" s="1"/>
  <c r="RT14" i="10"/>
  <c r="RS13" i="10"/>
  <c r="RT13" i="10" s="1"/>
  <c r="KV14" i="10"/>
  <c r="KU13" i="10"/>
  <c r="KV13" i="10" s="1"/>
  <c r="FH14" i="10"/>
  <c r="FG13" i="10"/>
  <c r="FH13" i="10" s="1"/>
  <c r="NO10" i="10"/>
  <c r="NP10" i="10" s="1"/>
  <c r="DX11" i="10"/>
  <c r="DW10" i="10"/>
  <c r="DX10" i="10" s="1"/>
  <c r="QI10" i="10"/>
  <c r="QJ10" i="10" s="1"/>
  <c r="FH11" i="10"/>
  <c r="FG10" i="10"/>
  <c r="FH10" i="10" s="1"/>
  <c r="LN5" i="10"/>
  <c r="LM4" i="10"/>
  <c r="LN4" i="10" s="1"/>
  <c r="EP5" i="10"/>
  <c r="EO4" i="10"/>
  <c r="EP4" i="10" s="1"/>
  <c r="OG4" i="10"/>
  <c r="OH4" i="10" s="1"/>
  <c r="BC4" i="10"/>
  <c r="BD4" i="10" s="1"/>
  <c r="IA4" i="10"/>
  <c r="IB4" i="10" s="1"/>
  <c r="DW4" i="10"/>
  <c r="DX4" i="10" s="1"/>
  <c r="S4" i="10"/>
  <c r="T4" i="10" s="1"/>
  <c r="FH21" i="10"/>
  <c r="FG20" i="10"/>
  <c r="FH20" i="10" s="1"/>
  <c r="TB21" i="10"/>
  <c r="TA20" i="10"/>
  <c r="TB20" i="10" s="1"/>
  <c r="AC22" i="10"/>
  <c r="AD22" i="10" s="1"/>
  <c r="AD20" i="10"/>
  <c r="OH21" i="10"/>
  <c r="OG20" i="10"/>
  <c r="OH20" i="10" s="1"/>
  <c r="IT21" i="10"/>
  <c r="IS20" i="10"/>
  <c r="IT20" i="10" s="1"/>
  <c r="RF22" i="10"/>
  <c r="RG22" i="10" s="1"/>
  <c r="RG20" i="10"/>
  <c r="OZ21" i="10"/>
  <c r="OY20" i="10"/>
  <c r="OZ20" i="10" s="1"/>
  <c r="JL21" i="10"/>
  <c r="JK20" i="10"/>
  <c r="JL20" i="10" s="1"/>
  <c r="AL21" i="10"/>
  <c r="AK20" i="10"/>
  <c r="AL20" i="10" s="1"/>
  <c r="DO22" i="10"/>
  <c r="DP22" i="10" s="1"/>
  <c r="DP20" i="10"/>
  <c r="BV18" i="10"/>
  <c r="BU16" i="10"/>
  <c r="BV16" i="10" s="1"/>
  <c r="RB17" i="10"/>
  <c r="RA16" i="10"/>
  <c r="RB16" i="10" s="1"/>
  <c r="LN17" i="10"/>
  <c r="LM16" i="10"/>
  <c r="LN16" i="10" s="1"/>
  <c r="GV22" i="10"/>
  <c r="GW22" i="10" s="1"/>
  <c r="GW20" i="10"/>
  <c r="RX22" i="10"/>
  <c r="RY22" i="10" s="1"/>
  <c r="RY20" i="10"/>
  <c r="PR21" i="10"/>
  <c r="PQ20" i="10"/>
  <c r="PR20" i="10" s="1"/>
  <c r="KD21" i="10"/>
  <c r="KC20" i="10"/>
  <c r="KD20" i="10" s="1"/>
  <c r="TB17" i="10"/>
  <c r="TA16" i="10"/>
  <c r="TB16" i="10" s="1"/>
  <c r="NP17" i="10"/>
  <c r="NO16" i="10"/>
  <c r="NP16" i="10" s="1"/>
  <c r="GQ16" i="10"/>
  <c r="GR16" i="10" s="1"/>
  <c r="GR17" i="10"/>
  <c r="K22" i="10"/>
  <c r="L22" i="10" s="1"/>
  <c r="L20" i="10"/>
  <c r="CM16" i="10"/>
  <c r="CN16" i="10" s="1"/>
  <c r="FH17" i="10"/>
  <c r="FG16" i="10"/>
  <c r="FH16" i="10" s="1"/>
  <c r="OH14" i="10"/>
  <c r="OG13" i="10"/>
  <c r="OH13" i="10" s="1"/>
  <c r="IT14" i="10"/>
  <c r="IS13" i="10"/>
  <c r="IT13" i="10" s="1"/>
  <c r="DF14" i="10"/>
  <c r="DE13" i="10"/>
  <c r="DF13" i="10" s="1"/>
  <c r="FY16" i="10"/>
  <c r="FZ16" i="10" s="1"/>
  <c r="SK11" i="10"/>
  <c r="SJ10" i="10"/>
  <c r="SK10" i="10" s="1"/>
  <c r="MX11" i="10"/>
  <c r="MW10" i="10"/>
  <c r="MX10" i="10" s="1"/>
  <c r="SK14" i="10"/>
  <c r="SJ13" i="10"/>
  <c r="SK13" i="10" s="1"/>
  <c r="LN14" i="10"/>
  <c r="LM13" i="10"/>
  <c r="LN13" i="10" s="1"/>
  <c r="FZ14" i="10"/>
  <c r="FY13" i="10"/>
  <c r="FZ13" i="10" s="1"/>
  <c r="PR14" i="10"/>
  <c r="PQ13" i="10"/>
  <c r="PR13" i="10" s="1"/>
  <c r="KD14" i="10"/>
  <c r="KC13" i="10"/>
  <c r="KD13" i="10" s="1"/>
  <c r="EP14" i="10"/>
  <c r="EO13" i="10"/>
  <c r="EP13" i="10" s="1"/>
  <c r="AL14" i="10"/>
  <c r="AK13" i="10"/>
  <c r="AL13" i="10" s="1"/>
  <c r="RB11" i="10"/>
  <c r="RA10" i="10"/>
  <c r="RB10" i="10" s="1"/>
  <c r="LN11" i="10"/>
  <c r="LM10" i="10"/>
  <c r="LN10" i="10" s="1"/>
  <c r="FZ11" i="10"/>
  <c r="FY10" i="10"/>
  <c r="FZ10" i="10" s="1"/>
  <c r="AL11" i="10"/>
  <c r="AK10" i="10"/>
  <c r="AL10" i="10" s="1"/>
  <c r="HJ11" i="10"/>
  <c r="HI10" i="10"/>
  <c r="HJ10" i="10" s="1"/>
  <c r="RT6" i="10"/>
  <c r="RS4" i="10"/>
  <c r="RT4" i="10" s="1"/>
  <c r="OZ6" i="10"/>
  <c r="OY4" i="10"/>
  <c r="OZ4" i="10" s="1"/>
  <c r="MF6" i="10"/>
  <c r="ME4" i="10"/>
  <c r="MF4" i="10" s="1"/>
  <c r="KD5" i="10"/>
  <c r="KC4" i="10"/>
  <c r="KD4" i="10" s="1"/>
  <c r="FZ5" i="10"/>
  <c r="FY4" i="10"/>
  <c r="FZ4" i="10" s="1"/>
  <c r="AL5" i="10"/>
  <c r="AK4" i="10"/>
  <c r="AL4" i="10" s="1"/>
  <c r="RB21" i="8"/>
  <c r="RA20" i="8"/>
  <c r="RB20" i="8" s="1"/>
  <c r="LN21" i="8"/>
  <c r="LM20" i="8"/>
  <c r="LN20" i="8" s="1"/>
  <c r="KM22" i="8"/>
  <c r="KN22" i="8" s="1"/>
  <c r="KN20" i="8"/>
  <c r="CW22" i="8"/>
  <c r="CX22" i="8" s="1"/>
  <c r="CX20" i="8"/>
  <c r="NB22" i="8"/>
  <c r="NC22" i="8" s="1"/>
  <c r="NC20" i="8"/>
  <c r="SL21" i="8"/>
  <c r="SK20" i="8"/>
  <c r="SL20" i="8" s="1"/>
  <c r="MX21" i="8"/>
  <c r="MW20" i="8"/>
  <c r="MX20" i="8" s="1"/>
  <c r="HJ21" i="8"/>
  <c r="HI20" i="8"/>
  <c r="HJ20" i="8" s="1"/>
  <c r="DF21" i="8"/>
  <c r="DE20" i="8"/>
  <c r="DF20" i="8" s="1"/>
  <c r="FH21" i="8"/>
  <c r="FG20" i="8"/>
  <c r="FH20" i="8" s="1"/>
  <c r="FZ21" i="8"/>
  <c r="FY20" i="8"/>
  <c r="FZ20" i="8" s="1"/>
  <c r="SL18" i="8"/>
  <c r="SK16" i="8"/>
  <c r="SL16" i="8" s="1"/>
  <c r="OH17" i="8"/>
  <c r="OG16" i="8"/>
  <c r="OH16" i="8" s="1"/>
  <c r="IT17" i="8"/>
  <c r="IS16" i="8"/>
  <c r="IT16" i="8" s="1"/>
  <c r="DF17" i="8"/>
  <c r="DE16" i="8"/>
  <c r="DF16" i="8" s="1"/>
  <c r="RA13" i="8"/>
  <c r="RB13" i="8" s="1"/>
  <c r="RB14" i="8"/>
  <c r="LM13" i="8"/>
  <c r="LN13" i="8" s="1"/>
  <c r="LN14" i="8"/>
  <c r="FY13" i="8"/>
  <c r="FZ13" i="8" s="1"/>
  <c r="FZ14" i="8"/>
  <c r="AK13" i="8"/>
  <c r="AL13" i="8" s="1"/>
  <c r="AL14" i="8"/>
  <c r="OZ17" i="8"/>
  <c r="OY16" i="8"/>
  <c r="OZ16" i="8" s="1"/>
  <c r="JL17" i="8"/>
  <c r="JK16" i="8"/>
  <c r="JL16" i="8" s="1"/>
  <c r="DX17" i="8"/>
  <c r="DW16" i="8"/>
  <c r="DX16" i="8" s="1"/>
  <c r="RS13" i="8"/>
  <c r="RT13" i="8" s="1"/>
  <c r="RT14" i="8"/>
  <c r="ME13" i="8"/>
  <c r="MF13" i="8" s="1"/>
  <c r="MF14" i="8"/>
  <c r="GQ13" i="8"/>
  <c r="GR13" i="8" s="1"/>
  <c r="GR14" i="8"/>
  <c r="BC13" i="8"/>
  <c r="BD13" i="8" s="1"/>
  <c r="BD14" i="8"/>
  <c r="IB11" i="8"/>
  <c r="IA10" i="8"/>
  <c r="IB10" i="8" s="1"/>
  <c r="GR11" i="8"/>
  <c r="GQ10" i="8"/>
  <c r="GR10" i="8" s="1"/>
  <c r="FH11" i="8"/>
  <c r="FG10" i="8"/>
  <c r="FH10" i="8" s="1"/>
  <c r="DX11" i="8"/>
  <c r="DW10" i="8"/>
  <c r="DX10" i="8" s="1"/>
  <c r="CN11" i="8"/>
  <c r="CM10" i="8"/>
  <c r="CN10" i="8" s="1"/>
  <c r="BD11" i="8"/>
  <c r="BC10" i="8"/>
  <c r="BD10" i="8" s="1"/>
  <c r="T11" i="8"/>
  <c r="S10" i="8"/>
  <c r="T10" i="8" s="1"/>
  <c r="PR5" i="8"/>
  <c r="PQ4" i="8"/>
  <c r="PR4" i="8" s="1"/>
  <c r="KD5" i="8"/>
  <c r="KC4" i="8"/>
  <c r="KD4" i="8" s="1"/>
  <c r="EP5" i="8"/>
  <c r="EO4" i="8"/>
  <c r="EP4" i="8" s="1"/>
  <c r="QJ5" i="8"/>
  <c r="QI4" i="8"/>
  <c r="QJ4" i="8" s="1"/>
  <c r="KV5" i="8"/>
  <c r="KU4" i="8"/>
  <c r="KV4" i="8" s="1"/>
  <c r="FH5" i="8"/>
  <c r="FG4" i="8"/>
  <c r="FH4" i="8" s="1"/>
  <c r="T5" i="8"/>
  <c r="S4" i="8"/>
  <c r="T4" i="8" s="1"/>
  <c r="BM22" i="8"/>
  <c r="BN22" i="8" s="1"/>
  <c r="BN20" i="8"/>
  <c r="OZ21" i="8"/>
  <c r="OY20" i="8"/>
  <c r="OZ20" i="8" s="1"/>
  <c r="JL21" i="8"/>
  <c r="JK20" i="8"/>
  <c r="JL20" i="8" s="1"/>
  <c r="QJ21" i="8"/>
  <c r="QI20" i="8"/>
  <c r="QJ20" i="8" s="1"/>
  <c r="DO22" i="8"/>
  <c r="DP22" i="8" s="1"/>
  <c r="DP20" i="8"/>
  <c r="BV21" i="8"/>
  <c r="BU20" i="8"/>
  <c r="BV20" i="8" s="1"/>
  <c r="KV21" i="8"/>
  <c r="KU20" i="8"/>
  <c r="KV20" i="8" s="1"/>
  <c r="IB21" i="8"/>
  <c r="IA20" i="8"/>
  <c r="IB20" i="8" s="1"/>
  <c r="K22" i="8"/>
  <c r="L22" i="8" s="1"/>
  <c r="L20" i="8"/>
  <c r="T21" i="8"/>
  <c r="S20" i="8"/>
  <c r="T20" i="8" s="1"/>
  <c r="CE22" i="8"/>
  <c r="CF22" i="8" s="1"/>
  <c r="CF20" i="8"/>
  <c r="AL21" i="8"/>
  <c r="AK20" i="8"/>
  <c r="AL20" i="8" s="1"/>
  <c r="MX17" i="8"/>
  <c r="MW16" i="8"/>
  <c r="MX16" i="8" s="1"/>
  <c r="HJ17" i="8"/>
  <c r="HI16" i="8"/>
  <c r="HJ16" i="8" s="1"/>
  <c r="BV17" i="8"/>
  <c r="BU16" i="8"/>
  <c r="BV16" i="8" s="1"/>
  <c r="PQ13" i="8"/>
  <c r="PR13" i="8" s="1"/>
  <c r="PR14" i="8"/>
  <c r="KC13" i="8"/>
  <c r="KD13" i="8" s="1"/>
  <c r="KD14" i="8"/>
  <c r="EO13" i="8"/>
  <c r="EP13" i="8" s="1"/>
  <c r="EP14" i="8"/>
  <c r="NP17" i="8"/>
  <c r="NO16" i="8"/>
  <c r="NP16" i="8" s="1"/>
  <c r="IB17" i="8"/>
  <c r="IA16" i="8"/>
  <c r="IB16" i="8" s="1"/>
  <c r="CN17" i="8"/>
  <c r="CM16" i="8"/>
  <c r="CN16" i="8" s="1"/>
  <c r="QI13" i="8"/>
  <c r="QJ13" i="8" s="1"/>
  <c r="QJ14" i="8"/>
  <c r="KU13" i="8"/>
  <c r="KV13" i="8" s="1"/>
  <c r="KV14" i="8"/>
  <c r="FG13" i="8"/>
  <c r="FH13" i="8" s="1"/>
  <c r="FH14" i="8"/>
  <c r="S13" i="8"/>
  <c r="T13" i="8" s="1"/>
  <c r="T14" i="8"/>
  <c r="TS10" i="8"/>
  <c r="TT10" i="8" s="1"/>
  <c r="SK10" i="8"/>
  <c r="SL10" i="8" s="1"/>
  <c r="RA10" i="8"/>
  <c r="RB10" i="8" s="1"/>
  <c r="PQ10" i="8"/>
  <c r="PR10" i="8" s="1"/>
  <c r="OG10" i="8"/>
  <c r="OH10" i="8" s="1"/>
  <c r="MW10" i="8"/>
  <c r="MX10" i="8" s="1"/>
  <c r="LM10" i="8"/>
  <c r="LN10" i="8" s="1"/>
  <c r="KC10" i="8"/>
  <c r="KD10" i="8" s="1"/>
  <c r="IS10" i="8"/>
  <c r="IT10" i="8" s="1"/>
  <c r="TT5" i="8"/>
  <c r="TS4" i="8"/>
  <c r="TT4" i="8" s="1"/>
  <c r="OH5" i="8"/>
  <c r="OG4" i="8"/>
  <c r="OH4" i="8" s="1"/>
  <c r="IT5" i="8"/>
  <c r="IS4" i="8"/>
  <c r="IT4" i="8" s="1"/>
  <c r="DF5" i="8"/>
  <c r="DE4" i="8"/>
  <c r="DF4" i="8" s="1"/>
  <c r="OZ5" i="8"/>
  <c r="OY4" i="8"/>
  <c r="OZ4" i="8" s="1"/>
  <c r="JL5" i="8"/>
  <c r="JK4" i="8"/>
  <c r="JL4" i="8" s="1"/>
  <c r="DX5" i="8"/>
  <c r="DW4" i="8"/>
  <c r="DX4" i="8" s="1"/>
  <c r="TT21" i="8"/>
  <c r="TS20" i="8"/>
  <c r="TT20" i="8" s="1"/>
  <c r="OH21" i="8"/>
  <c r="OG20" i="8"/>
  <c r="OH20" i="8" s="1"/>
  <c r="IT21" i="8"/>
  <c r="IS20" i="8"/>
  <c r="IT20" i="8" s="1"/>
  <c r="FQ22" i="8"/>
  <c r="FR22" i="8" s="1"/>
  <c r="FR20" i="8"/>
  <c r="AC22" i="8"/>
  <c r="AD22" i="8" s="1"/>
  <c r="AD20" i="8"/>
  <c r="LE22" i="8"/>
  <c r="LF22" i="8" s="1"/>
  <c r="LF20" i="8"/>
  <c r="PR21" i="8"/>
  <c r="PQ20" i="8"/>
  <c r="PR20" i="8" s="1"/>
  <c r="KD21" i="8"/>
  <c r="KC20" i="8"/>
  <c r="KD20" i="8" s="1"/>
  <c r="HN22" i="8"/>
  <c r="HO22" i="8" s="1"/>
  <c r="HO20" i="8"/>
  <c r="EP21" i="8"/>
  <c r="EO20" i="8"/>
  <c r="EP20" i="8" s="1"/>
  <c r="GO22" i="8"/>
  <c r="GP22" i="8" s="1"/>
  <c r="GP20" i="8"/>
  <c r="RT17" i="8"/>
  <c r="RS16" i="8"/>
  <c r="RT16" i="8" s="1"/>
  <c r="LN17" i="8"/>
  <c r="LM16" i="8"/>
  <c r="LN16" i="8" s="1"/>
  <c r="FZ17" i="8"/>
  <c r="FY16" i="8"/>
  <c r="FZ16" i="8" s="1"/>
  <c r="AL17" i="8"/>
  <c r="AK16" i="8"/>
  <c r="AL16" i="8" s="1"/>
  <c r="TT14" i="8"/>
  <c r="TS13" i="8"/>
  <c r="TT13" i="8" s="1"/>
  <c r="OG13" i="8"/>
  <c r="OH13" i="8" s="1"/>
  <c r="OH14" i="8"/>
  <c r="IS13" i="8"/>
  <c r="IT13" i="8" s="1"/>
  <c r="IT14" i="8"/>
  <c r="DE13" i="8"/>
  <c r="DF13" i="8" s="1"/>
  <c r="DF14" i="8"/>
  <c r="MF17" i="8"/>
  <c r="ME16" i="8"/>
  <c r="MF16" i="8" s="1"/>
  <c r="GR17" i="8"/>
  <c r="GQ16" i="8"/>
  <c r="GR16" i="8" s="1"/>
  <c r="BD17" i="8"/>
  <c r="BC16" i="8"/>
  <c r="BD16" i="8" s="1"/>
  <c r="OY13" i="8"/>
  <c r="OZ13" i="8" s="1"/>
  <c r="OZ14" i="8"/>
  <c r="JK13" i="8"/>
  <c r="JL13" i="8" s="1"/>
  <c r="JL14" i="8"/>
  <c r="DW13" i="8"/>
  <c r="DX13" i="8" s="1"/>
  <c r="DX14" i="8"/>
  <c r="HJ11" i="8"/>
  <c r="HI10" i="8"/>
  <c r="HJ10" i="8" s="1"/>
  <c r="FZ11" i="8"/>
  <c r="FY10" i="8"/>
  <c r="FZ10" i="8" s="1"/>
  <c r="EP11" i="8"/>
  <c r="EO10" i="8"/>
  <c r="EP10" i="8" s="1"/>
  <c r="DF11" i="8"/>
  <c r="DE10" i="8"/>
  <c r="DF10" i="8" s="1"/>
  <c r="BV11" i="8"/>
  <c r="BU10" i="8"/>
  <c r="BV10" i="8" s="1"/>
  <c r="AL11" i="8"/>
  <c r="AK10" i="8"/>
  <c r="AL10" i="8" s="1"/>
  <c r="SL5" i="8"/>
  <c r="SK4" i="8"/>
  <c r="SL4" i="8" s="1"/>
  <c r="MX5" i="8"/>
  <c r="MW4" i="8"/>
  <c r="MX4" i="8" s="1"/>
  <c r="HJ5" i="8"/>
  <c r="HI4" i="8"/>
  <c r="HJ4" i="8" s="1"/>
  <c r="BV5" i="8"/>
  <c r="BU4" i="8"/>
  <c r="BV4" i="8" s="1"/>
  <c r="TC5" i="8"/>
  <c r="TB4" i="8"/>
  <c r="TC4" i="8" s="1"/>
  <c r="NP5" i="8"/>
  <c r="NO4" i="8"/>
  <c r="NP4" i="8" s="1"/>
  <c r="IB5" i="8"/>
  <c r="IA4" i="8"/>
  <c r="IB4" i="8" s="1"/>
  <c r="CN5" i="8"/>
  <c r="CM4" i="8"/>
  <c r="CN4" i="8" s="1"/>
  <c r="CO1" i="8"/>
  <c r="LK22" i="8"/>
  <c r="LL22" i="8" s="1"/>
  <c r="LL20" i="8"/>
  <c r="HS22" i="8"/>
  <c r="HT22" i="8" s="1"/>
  <c r="HT20" i="8"/>
  <c r="EG22" i="8"/>
  <c r="EH22" i="8" s="1"/>
  <c r="EH20" i="8"/>
  <c r="RT21" i="8"/>
  <c r="RS20" i="8"/>
  <c r="RT20" i="8" s="1"/>
  <c r="MF21" i="8"/>
  <c r="ME20" i="8"/>
  <c r="MF20" i="8" s="1"/>
  <c r="GR21" i="8"/>
  <c r="GQ20" i="8"/>
  <c r="GR20" i="8" s="1"/>
  <c r="TC21" i="8"/>
  <c r="TB20" i="8"/>
  <c r="TC20" i="8" s="1"/>
  <c r="NP21" i="8"/>
  <c r="NO20" i="8"/>
  <c r="NP20" i="8" s="1"/>
  <c r="CN21" i="8"/>
  <c r="CM20" i="8"/>
  <c r="CN20" i="8" s="1"/>
  <c r="IK22" i="8"/>
  <c r="IL22" i="8" s="1"/>
  <c r="IL20" i="8"/>
  <c r="EY22" i="8"/>
  <c r="EZ22" i="8" s="1"/>
  <c r="EZ20" i="8"/>
  <c r="AU22" i="8"/>
  <c r="AV22" i="8" s="1"/>
  <c r="AV20" i="8"/>
  <c r="BD21" i="8"/>
  <c r="BC20" i="8"/>
  <c r="BD20" i="8" s="1"/>
  <c r="TT18" i="8"/>
  <c r="TS16" i="8"/>
  <c r="TT16" i="8" s="1"/>
  <c r="TC17" i="8"/>
  <c r="TB16" i="8"/>
  <c r="TC16" i="8" s="1"/>
  <c r="PR17" i="8"/>
  <c r="PQ16" i="8"/>
  <c r="PR16" i="8" s="1"/>
  <c r="KD17" i="8"/>
  <c r="KC16" i="8"/>
  <c r="KD16" i="8" s="1"/>
  <c r="EP17" i="8"/>
  <c r="EO16" i="8"/>
  <c r="EP16" i="8" s="1"/>
  <c r="SL14" i="8"/>
  <c r="SK13" i="8"/>
  <c r="SL13" i="8" s="1"/>
  <c r="MW13" i="8"/>
  <c r="MX13" i="8" s="1"/>
  <c r="MX14" i="8"/>
  <c r="HI13" i="8"/>
  <c r="HJ13" i="8" s="1"/>
  <c r="HJ14" i="8"/>
  <c r="BU13" i="8"/>
  <c r="BV13" i="8" s="1"/>
  <c r="BV14" i="8"/>
  <c r="RA16" i="8"/>
  <c r="RB16" i="8" s="1"/>
  <c r="RB17" i="8"/>
  <c r="QJ17" i="8"/>
  <c r="QI16" i="8"/>
  <c r="QJ16" i="8" s="1"/>
  <c r="KV17" i="8"/>
  <c r="KU16" i="8"/>
  <c r="KV16" i="8" s="1"/>
  <c r="FH17" i="8"/>
  <c r="FG16" i="8"/>
  <c r="FH16" i="8" s="1"/>
  <c r="T17" i="8"/>
  <c r="S16" i="8"/>
  <c r="T16" i="8" s="1"/>
  <c r="TB13" i="8"/>
  <c r="TC13" i="8" s="1"/>
  <c r="TC14" i="8"/>
  <c r="NO13" i="8"/>
  <c r="NP13" i="8" s="1"/>
  <c r="NP14" i="8"/>
  <c r="IA13" i="8"/>
  <c r="IB13" i="8" s="1"/>
  <c r="IB14" i="8"/>
  <c r="CM13" i="8"/>
  <c r="CN13" i="8" s="1"/>
  <c r="CN14" i="8"/>
  <c r="TB10" i="8"/>
  <c r="TC10" i="8" s="1"/>
  <c r="RS10" i="8"/>
  <c r="RT10" i="8" s="1"/>
  <c r="QI10" i="8"/>
  <c r="QJ10" i="8" s="1"/>
  <c r="OY10" i="8"/>
  <c r="OZ10" i="8" s="1"/>
  <c r="NO10" i="8"/>
  <c r="NP10" i="8" s="1"/>
  <c r="ME10" i="8"/>
  <c r="MF10" i="8" s="1"/>
  <c r="KU10" i="8"/>
  <c r="KV10" i="8" s="1"/>
  <c r="JK10" i="8"/>
  <c r="JL10" i="8" s="1"/>
  <c r="RB5" i="8"/>
  <c r="RA4" i="8"/>
  <c r="RB4" i="8" s="1"/>
  <c r="LN5" i="8"/>
  <c r="LM4" i="8"/>
  <c r="LN4" i="8" s="1"/>
  <c r="FZ5" i="8"/>
  <c r="FY4" i="8"/>
  <c r="FZ4" i="8" s="1"/>
  <c r="AL5" i="8"/>
  <c r="AK4" i="8"/>
  <c r="AL4" i="8" s="1"/>
  <c r="RT5" i="8"/>
  <c r="RS4" i="8"/>
  <c r="RT4" i="8" s="1"/>
  <c r="MF5" i="8"/>
  <c r="ME4" i="8"/>
  <c r="MF4" i="8" s="1"/>
  <c r="GR5" i="8"/>
  <c r="GQ4" i="8"/>
  <c r="GR4" i="8" s="1"/>
  <c r="BD5" i="8"/>
  <c r="BC4" i="8"/>
  <c r="BD4" i="8" s="1"/>
  <c r="DG1" i="14" l="1"/>
  <c r="BW1" i="10"/>
  <c r="DG1" i="8"/>
  <c r="DY1" i="14" l="1"/>
  <c r="CO1" i="10"/>
  <c r="DY1" i="8"/>
  <c r="EQ1" i="14" l="1"/>
  <c r="DG1" i="10"/>
  <c r="EQ1" i="8"/>
  <c r="FI1" i="14" l="1"/>
  <c r="DY1" i="10"/>
  <c r="FI1" i="8"/>
  <c r="GA1" i="14" l="1"/>
  <c r="EQ1" i="10"/>
  <c r="GA1" i="8"/>
  <c r="GS1" i="14" l="1"/>
  <c r="FI1" i="10"/>
  <c r="GS1" i="8"/>
  <c r="HK1" i="14" l="1"/>
  <c r="GA1" i="10"/>
  <c r="HK1" i="8"/>
  <c r="IC1" i="14" l="1"/>
  <c r="GS1" i="10"/>
  <c r="IC1" i="8"/>
  <c r="IU1" i="14" l="1"/>
  <c r="HK1" i="10"/>
  <c r="IU1" i="8"/>
  <c r="JM1" i="14" l="1"/>
  <c r="IC1" i="10"/>
  <c r="JM1" i="8"/>
  <c r="KE1" i="14" l="1"/>
  <c r="IU1" i="10"/>
  <c r="KE1" i="8"/>
  <c r="KW1" i="14" l="1"/>
  <c r="JM1" i="10"/>
  <c r="KW1" i="8"/>
  <c r="LO1" i="14" l="1"/>
  <c r="KE1" i="10"/>
  <c r="LO1" i="8"/>
  <c r="MG1" i="14" l="1"/>
  <c r="KW1" i="10"/>
  <c r="MG1" i="8"/>
  <c r="MY1" i="14" l="1"/>
  <c r="LO1" i="10"/>
  <c r="MY1" i="8"/>
  <c r="NQ1" i="14" l="1"/>
  <c r="MG1" i="10"/>
  <c r="NQ1" i="8"/>
  <c r="OI1" i="14" l="1"/>
  <c r="MY1" i="10"/>
  <c r="OI1" i="8"/>
  <c r="PA1" i="14" l="1"/>
  <c r="NQ1" i="10"/>
  <c r="PA1" i="8"/>
  <c r="PS1" i="14" l="1"/>
  <c r="OI1" i="10"/>
  <c r="PS1" i="8"/>
  <c r="QK1" i="14" l="1"/>
  <c r="PA1" i="10"/>
  <c r="QK1" i="8"/>
  <c r="RC1" i="14" l="1"/>
  <c r="PS1" i="10"/>
  <c r="RC1" i="8"/>
  <c r="RU1" i="14" l="1"/>
  <c r="QK1" i="10"/>
  <c r="RU1" i="8"/>
  <c r="SM1" i="14" l="1"/>
  <c r="RC1" i="10"/>
  <c r="SM1" i="8"/>
  <c r="TE1" i="14" l="1"/>
  <c r="RU1" i="10"/>
  <c r="TD1" i="8"/>
  <c r="SL1" i="10" l="1"/>
  <c r="TC1" i="10" l="1"/>
  <c r="R19" i="13"/>
  <c r="M24" i="7"/>
  <c r="Q4" i="9"/>
  <c r="I10" i="13"/>
  <c r="O12" i="9"/>
  <c r="V27" i="13"/>
  <c r="Q14" i="13"/>
  <c r="L11" i="9"/>
  <c r="AA25" i="13"/>
  <c r="M10" i="13"/>
  <c r="U33" i="13"/>
  <c r="S33" i="13"/>
  <c r="B18" i="13"/>
  <c r="T30" i="13"/>
  <c r="S26" i="7"/>
  <c r="N6" i="13"/>
  <c r="D29" i="13"/>
  <c r="Y14" i="9"/>
  <c r="AA26" i="9"/>
  <c r="V4" i="13"/>
  <c r="H4" i="13"/>
  <c r="I24" i="7"/>
  <c r="O7" i="9"/>
  <c r="M25" i="13"/>
  <c r="C14" i="13"/>
  <c r="S14" i="13"/>
  <c r="W9" i="13"/>
  <c r="N22" i="9"/>
  <c r="M28" i="13"/>
  <c r="J28" i="13"/>
  <c r="J10" i="9"/>
  <c r="N12" i="7"/>
  <c r="E5" i="9"/>
  <c r="K18" i="7"/>
  <c r="W29" i="13"/>
  <c r="Q31" i="13"/>
  <c r="V12" i="13"/>
  <c r="Q32" i="13"/>
  <c r="H28" i="9"/>
  <c r="S11" i="13"/>
  <c r="B27" i="9"/>
  <c r="C16" i="13"/>
  <c r="L6" i="13"/>
  <c r="C33" i="13"/>
  <c r="Y15" i="13"/>
  <c r="Y27" i="9"/>
  <c r="S8" i="9"/>
  <c r="B31" i="13"/>
  <c r="F27" i="7"/>
  <c r="R16" i="13"/>
  <c r="Q12" i="9"/>
  <c r="I15" i="13"/>
  <c r="P6" i="13"/>
  <c r="V10" i="7"/>
  <c r="Z21" i="13"/>
  <c r="W4" i="13"/>
  <c r="B32" i="13"/>
  <c r="N19" i="7"/>
  <c r="N24" i="9"/>
  <c r="Q13" i="7"/>
  <c r="S13" i="13"/>
  <c r="V18" i="9"/>
  <c r="X33" i="13"/>
  <c r="R14" i="9"/>
  <c r="R17" i="7"/>
  <c r="F30" i="13"/>
  <c r="V13" i="13"/>
  <c r="O29" i="13"/>
  <c r="N20" i="9"/>
  <c r="I23" i="9"/>
  <c r="X31" i="7"/>
  <c r="L19" i="7"/>
  <c r="L12" i="7"/>
  <c r="J31" i="7"/>
  <c r="Z17" i="13"/>
  <c r="J6" i="7"/>
  <c r="R10" i="13"/>
  <c r="U23" i="9"/>
  <c r="O5" i="7"/>
  <c r="Y22" i="13"/>
  <c r="V21" i="9"/>
  <c r="L21" i="13"/>
  <c r="E12" i="13"/>
  <c r="E13" i="9"/>
  <c r="F13" i="13"/>
  <c r="Z19" i="13"/>
  <c r="L27" i="13"/>
  <c r="U30" i="13"/>
  <c r="G17" i="7"/>
  <c r="M9" i="13"/>
  <c r="Y31" i="7"/>
  <c r="B27" i="7"/>
  <c r="D20" i="13"/>
  <c r="P31" i="13"/>
  <c r="C30" i="9"/>
  <c r="Q29" i="7"/>
  <c r="H18" i="13"/>
  <c r="K19" i="9"/>
  <c r="N16" i="9"/>
  <c r="C23" i="9"/>
  <c r="I25" i="13"/>
  <c r="G13" i="9"/>
  <c r="K17" i="13"/>
  <c r="V15" i="7"/>
  <c r="X12" i="7"/>
  <c r="R24" i="13"/>
  <c r="V16" i="7"/>
  <c r="X28" i="13"/>
  <c r="B21" i="13"/>
  <c r="T28" i="9"/>
  <c r="Y27" i="7"/>
  <c r="U22" i="7"/>
  <c r="U11" i="9"/>
  <c r="P30" i="13"/>
  <c r="AA15" i="9"/>
  <c r="Y28" i="13"/>
  <c r="N8" i="7"/>
  <c r="Z26" i="9"/>
  <c r="S9" i="7"/>
  <c r="PS2" i="8"/>
  <c r="F6" i="13"/>
  <c r="V12" i="7"/>
  <c r="J5" i="7"/>
  <c r="G24" i="7"/>
  <c r="N26" i="13"/>
  <c r="C12" i="9"/>
  <c r="Z16" i="7"/>
  <c r="O23" i="9"/>
  <c r="AA23" i="7"/>
  <c r="AA22" i="7"/>
  <c r="G23" i="9"/>
  <c r="L29" i="13"/>
  <c r="R13" i="13"/>
  <c r="G24" i="9"/>
  <c r="G20" i="13"/>
  <c r="Q17" i="7"/>
  <c r="X27" i="13"/>
  <c r="L15" i="9"/>
  <c r="X13" i="7"/>
  <c r="C13" i="9"/>
  <c r="AA19" i="13"/>
  <c r="C10" i="7"/>
  <c r="F18" i="9"/>
  <c r="S24" i="13"/>
  <c r="AA30" i="7"/>
  <c r="F28" i="13"/>
  <c r="J33" i="13"/>
  <c r="K29" i="13"/>
  <c r="F24" i="7"/>
  <c r="K31" i="13"/>
  <c r="S17" i="13"/>
  <c r="C21" i="13"/>
  <c r="O7" i="7"/>
  <c r="D5" i="7"/>
  <c r="X31" i="13"/>
  <c r="T28" i="7"/>
  <c r="W8" i="13"/>
  <c r="W6" i="7"/>
  <c r="M17" i="13"/>
  <c r="E12" i="7"/>
  <c r="K32" i="13"/>
  <c r="P9" i="7"/>
  <c r="X7" i="13"/>
  <c r="B31" i="7"/>
  <c r="S23" i="9"/>
  <c r="K12" i="7"/>
  <c r="Y11" i="7"/>
  <c r="Y28" i="9"/>
  <c r="D31" i="13"/>
  <c r="I29" i="9"/>
  <c r="F29" i="7"/>
  <c r="D29" i="7"/>
  <c r="B33" i="13"/>
  <c r="S23" i="13"/>
  <c r="R11" i="7"/>
  <c r="X17" i="9"/>
  <c r="X23" i="9"/>
  <c r="K30" i="13"/>
  <c r="U7" i="13"/>
  <c r="K31" i="7"/>
  <c r="B15" i="13"/>
  <c r="H16" i="7"/>
  <c r="E20" i="13"/>
  <c r="J4" i="13"/>
  <c r="R7" i="13"/>
  <c r="Q6" i="9"/>
  <c r="Q21" i="9"/>
  <c r="Z29" i="13"/>
  <c r="W12" i="13"/>
  <c r="M32" i="13"/>
  <c r="W28" i="13"/>
  <c r="T31" i="13"/>
  <c r="Y12" i="9"/>
  <c r="IC2" i="14"/>
  <c r="P30" i="9"/>
  <c r="AA19" i="7"/>
  <c r="C28" i="13"/>
  <c r="B28" i="9"/>
  <c r="N10" i="7"/>
  <c r="J29" i="9"/>
  <c r="Y21" i="9"/>
  <c r="I31" i="13"/>
  <c r="E28" i="13"/>
  <c r="L25" i="7"/>
  <c r="AA30" i="9"/>
  <c r="D7" i="13"/>
  <c r="S18" i="9"/>
  <c r="E9" i="9"/>
  <c r="Z28" i="13"/>
  <c r="M5" i="7"/>
  <c r="E14" i="13"/>
  <c r="T12" i="9"/>
  <c r="W26" i="9"/>
  <c r="B19" i="7"/>
  <c r="P9" i="13"/>
  <c r="I18" i="9"/>
  <c r="F14" i="9"/>
  <c r="K22" i="7"/>
  <c r="S28" i="7"/>
  <c r="D32" i="13"/>
  <c r="Y11" i="9"/>
  <c r="R13" i="9"/>
  <c r="S23" i="7"/>
  <c r="M33" i="13"/>
  <c r="F4" i="13"/>
  <c r="Z33" i="13"/>
  <c r="I21" i="13"/>
  <c r="B10" i="13"/>
  <c r="K4" i="7"/>
  <c r="Q26" i="7"/>
  <c r="M23" i="13"/>
  <c r="P28" i="7"/>
  <c r="BE2" i="10"/>
  <c r="C15" i="13"/>
  <c r="Y25" i="9"/>
  <c r="U2" i="10"/>
  <c r="O27" i="7"/>
  <c r="N31" i="13"/>
  <c r="B8" i="9"/>
  <c r="N18" i="13"/>
  <c r="H29" i="7"/>
  <c r="C23" i="13"/>
  <c r="J4" i="9"/>
  <c r="R31" i="7"/>
  <c r="H13" i="9"/>
  <c r="U23" i="13"/>
  <c r="V14" i="9"/>
  <c r="U22" i="13"/>
  <c r="U18" i="9"/>
  <c r="F4" i="7"/>
  <c r="C6" i="9"/>
  <c r="F18" i="7"/>
  <c r="M15" i="9"/>
  <c r="Y8" i="7"/>
  <c r="V8" i="9"/>
  <c r="JM2" i="8"/>
  <c r="C31" i="7"/>
  <c r="E32" i="13"/>
  <c r="Y26" i="7"/>
  <c r="E17" i="9"/>
  <c r="Z28" i="9"/>
  <c r="U18" i="13"/>
  <c r="T18" i="13"/>
  <c r="C32" i="13"/>
  <c r="V18" i="13"/>
  <c r="T11" i="7"/>
  <c r="H16" i="13"/>
  <c r="C16" i="7"/>
  <c r="C24" i="13"/>
  <c r="R11" i="13"/>
  <c r="I12" i="7"/>
  <c r="G15" i="9"/>
  <c r="T4" i="13"/>
  <c r="P28" i="13"/>
  <c r="W17" i="9"/>
  <c r="G17" i="13"/>
  <c r="Y13" i="7"/>
  <c r="J21" i="7"/>
  <c r="C30" i="7"/>
  <c r="J17" i="7"/>
  <c r="T7" i="7"/>
  <c r="F20" i="13"/>
  <c r="V14" i="7"/>
  <c r="V26" i="9"/>
  <c r="V8" i="13"/>
  <c r="G27" i="9"/>
  <c r="U17" i="7"/>
  <c r="B30" i="7"/>
  <c r="D18" i="9"/>
  <c r="B26" i="13"/>
  <c r="H22" i="7"/>
  <c r="X13" i="9"/>
  <c r="J30" i="7"/>
  <c r="AA20" i="13"/>
  <c r="H25" i="9"/>
  <c r="N25" i="13"/>
  <c r="H15" i="9"/>
  <c r="U19" i="13"/>
  <c r="Y31" i="13"/>
  <c r="AA31" i="13"/>
  <c r="Q18" i="13"/>
  <c r="O33" i="13"/>
  <c r="AA22" i="9"/>
  <c r="P15" i="9"/>
  <c r="P28" i="9"/>
  <c r="T12" i="13"/>
  <c r="H28" i="13"/>
  <c r="G19" i="9"/>
  <c r="U6" i="13"/>
  <c r="R9" i="13"/>
  <c r="AA5" i="13"/>
  <c r="M18" i="13"/>
  <c r="T21" i="13"/>
  <c r="J8" i="7"/>
  <c r="D9" i="9"/>
  <c r="B17" i="7"/>
  <c r="SM2" i="14"/>
  <c r="I13" i="7"/>
  <c r="N13" i="9"/>
  <c r="D24" i="13"/>
  <c r="E27" i="9"/>
  <c r="D12" i="9"/>
  <c r="D13" i="13"/>
  <c r="O16" i="13"/>
  <c r="T5" i="13"/>
  <c r="O26" i="13"/>
  <c r="Z5" i="7"/>
  <c r="I22" i="13"/>
  <c r="U10" i="7"/>
  <c r="G23" i="7"/>
  <c r="AA27" i="13"/>
  <c r="L30" i="13"/>
  <c r="G6" i="7"/>
  <c r="E16" i="9"/>
  <c r="J19" i="13"/>
  <c r="Z29" i="7"/>
  <c r="V10" i="13"/>
  <c r="V11" i="9"/>
  <c r="M29" i="9"/>
  <c r="Q4" i="7"/>
  <c r="T13" i="9"/>
  <c r="D8" i="13"/>
  <c r="T18" i="9"/>
  <c r="D30" i="13"/>
  <c r="AA18" i="13"/>
  <c r="O20" i="13"/>
  <c r="E20" i="7"/>
  <c r="N18" i="7"/>
  <c r="X17" i="13"/>
  <c r="Z8" i="7"/>
  <c r="G29" i="9"/>
  <c r="Y5" i="13"/>
  <c r="B20" i="13"/>
  <c r="G12" i="13"/>
  <c r="Y32" i="13"/>
  <c r="Q28" i="7"/>
  <c r="Q18" i="9"/>
  <c r="Z13" i="7"/>
  <c r="Q14" i="9"/>
  <c r="W24" i="9"/>
  <c r="AA5" i="7"/>
  <c r="H9" i="13"/>
  <c r="R27" i="7"/>
  <c r="S29" i="13"/>
  <c r="W23" i="9"/>
  <c r="O20" i="7"/>
  <c r="S5" i="13"/>
  <c r="O22" i="13"/>
  <c r="T9" i="13"/>
  <c r="L20" i="9"/>
  <c r="D17" i="13"/>
  <c r="R23" i="9"/>
  <c r="Z27" i="7"/>
  <c r="G25" i="7"/>
  <c r="N27" i="13"/>
  <c r="G15" i="7"/>
  <c r="S28" i="9"/>
  <c r="J5" i="9"/>
  <c r="C5" i="7"/>
  <c r="AA10" i="13"/>
  <c r="F8" i="9"/>
  <c r="N6" i="7"/>
  <c r="R28" i="9"/>
  <c r="S29" i="7"/>
  <c r="L17" i="13"/>
  <c r="M28" i="9"/>
  <c r="O30" i="9"/>
  <c r="B23" i="9"/>
  <c r="N5" i="9"/>
  <c r="I13" i="13"/>
  <c r="B15" i="9"/>
  <c r="Z31" i="13"/>
  <c r="D27" i="7"/>
  <c r="H20" i="7"/>
  <c r="U13" i="13"/>
  <c r="J23" i="13"/>
  <c r="P17" i="13"/>
  <c r="W13" i="13"/>
  <c r="F22" i="9"/>
  <c r="N19" i="13"/>
  <c r="AA23" i="13"/>
  <c r="L7" i="7"/>
  <c r="C29" i="7"/>
  <c r="M19" i="9"/>
  <c r="S30" i="13"/>
  <c r="V28" i="9"/>
  <c r="X26" i="7"/>
  <c r="J13" i="13"/>
  <c r="W22" i="9"/>
  <c r="H23" i="7"/>
  <c r="X26" i="13"/>
  <c r="AA13" i="9"/>
  <c r="U7" i="7"/>
  <c r="P4" i="7"/>
  <c r="F33" i="13"/>
  <c r="F23" i="13"/>
  <c r="KE2" i="8"/>
  <c r="P17" i="7"/>
  <c r="Q10" i="13"/>
  <c r="AA16" i="13"/>
  <c r="P8" i="13"/>
  <c r="O14" i="9"/>
  <c r="L17" i="7"/>
  <c r="S28" i="13"/>
  <c r="V29" i="13"/>
  <c r="E23" i="7"/>
  <c r="T23" i="13"/>
  <c r="N25" i="9"/>
  <c r="AM2" i="14"/>
  <c r="I25" i="9"/>
  <c r="S21" i="9"/>
  <c r="D8" i="7"/>
  <c r="C12" i="13"/>
  <c r="B22" i="7"/>
  <c r="E29" i="9"/>
  <c r="O26" i="9"/>
  <c r="U25" i="13"/>
  <c r="R20" i="13"/>
  <c r="Z12" i="13"/>
  <c r="Z16" i="13"/>
  <c r="B29" i="13"/>
  <c r="F11" i="9"/>
  <c r="J14" i="13"/>
  <c r="KW2" i="14"/>
  <c r="Y33" i="13"/>
  <c r="C11" i="9"/>
  <c r="E15" i="9"/>
  <c r="O25" i="9"/>
  <c r="U13" i="7"/>
  <c r="G11" i="7"/>
  <c r="N14" i="7"/>
  <c r="Q20" i="7"/>
  <c r="O18" i="9"/>
  <c r="O6" i="7"/>
  <c r="B14" i="7"/>
  <c r="Y20" i="7"/>
  <c r="P19" i="7"/>
  <c r="G32" i="13"/>
  <c r="H7" i="13"/>
  <c r="R26" i="7"/>
  <c r="J7" i="13"/>
  <c r="K9" i="7"/>
  <c r="B9" i="7"/>
  <c r="V16" i="13"/>
  <c r="J16" i="13"/>
  <c r="T25" i="7"/>
  <c r="S16" i="7"/>
  <c r="G28" i="9"/>
  <c r="H8" i="9"/>
  <c r="R10" i="7"/>
  <c r="C7" i="13"/>
  <c r="O5" i="13"/>
  <c r="O6" i="9"/>
  <c r="R6" i="7"/>
  <c r="H30" i="13"/>
  <c r="QK2" i="14"/>
  <c r="I19" i="13"/>
  <c r="S30" i="9"/>
  <c r="W27" i="13"/>
  <c r="T20" i="13"/>
  <c r="B21" i="9"/>
  <c r="T11" i="13"/>
  <c r="T13" i="7"/>
  <c r="T9" i="9"/>
  <c r="I24" i="13"/>
  <c r="P16" i="13"/>
  <c r="X21" i="13"/>
  <c r="D28" i="7"/>
  <c r="V10" i="9"/>
  <c r="V6" i="13"/>
  <c r="L28" i="9"/>
  <c r="I17" i="7"/>
  <c r="U10" i="9"/>
  <c r="Y7" i="7"/>
  <c r="Z4" i="9"/>
  <c r="L27" i="9"/>
  <c r="L21" i="7"/>
  <c r="K20" i="7"/>
  <c r="P15" i="13"/>
  <c r="W15" i="9"/>
  <c r="X25" i="13"/>
  <c r="R11" i="9"/>
  <c r="Y10" i="13"/>
  <c r="DY2" i="8"/>
  <c r="V31" i="7"/>
  <c r="W16" i="9"/>
  <c r="D27" i="9"/>
  <c r="T16" i="7"/>
  <c r="PA2" i="14"/>
  <c r="W4" i="7"/>
  <c r="Y21" i="7"/>
  <c r="W5" i="7"/>
  <c r="J12" i="7"/>
  <c r="M23" i="7"/>
  <c r="GS2" i="8"/>
  <c r="W7" i="13"/>
  <c r="AA12" i="9"/>
  <c r="O23" i="13"/>
  <c r="Q26" i="13"/>
  <c r="X6" i="7"/>
  <c r="L17" i="9"/>
  <c r="Y23" i="13"/>
  <c r="D10" i="13"/>
  <c r="G28" i="7"/>
  <c r="H7" i="9"/>
  <c r="Z25" i="9"/>
  <c r="K7" i="13"/>
  <c r="R5" i="13"/>
  <c r="R9" i="7"/>
  <c r="Z18" i="7"/>
  <c r="M29" i="7"/>
  <c r="F24" i="9"/>
  <c r="S26" i="13"/>
  <c r="Z17" i="9"/>
  <c r="Q19" i="13"/>
  <c r="T21" i="7"/>
  <c r="K18" i="13"/>
  <c r="Q9" i="13"/>
  <c r="Q25" i="7"/>
  <c r="D28" i="9"/>
  <c r="L4" i="7"/>
  <c r="K6" i="13"/>
  <c r="E27" i="7"/>
  <c r="M31" i="13"/>
  <c r="B27" i="13"/>
  <c r="X14" i="13"/>
  <c r="N29" i="13"/>
  <c r="S10" i="13"/>
  <c r="R17" i="13"/>
  <c r="O12" i="7"/>
  <c r="Q19" i="7"/>
  <c r="H15" i="13"/>
  <c r="E21" i="13"/>
  <c r="Z32" i="13"/>
  <c r="P19" i="9"/>
  <c r="X8" i="9"/>
  <c r="F12" i="13"/>
  <c r="B6" i="13"/>
  <c r="D25" i="7"/>
  <c r="Q12" i="13"/>
  <c r="T29" i="13"/>
  <c r="H13" i="13"/>
  <c r="K13" i="7"/>
  <c r="Z30" i="13"/>
  <c r="N10" i="9"/>
  <c r="Y24" i="7"/>
  <c r="Y15" i="9"/>
  <c r="G10" i="13"/>
  <c r="AA26" i="7"/>
  <c r="D25" i="13"/>
  <c r="AA12" i="13"/>
  <c r="G27" i="13"/>
  <c r="M20" i="7"/>
  <c r="S24" i="9"/>
  <c r="L5" i="7"/>
  <c r="I12" i="13"/>
  <c r="P8" i="7"/>
  <c r="W19" i="9"/>
  <c r="V23" i="9"/>
  <c r="K12" i="13"/>
  <c r="C17" i="13"/>
  <c r="Z24" i="9"/>
  <c r="T16" i="9"/>
  <c r="P12" i="13"/>
  <c r="I18" i="7"/>
  <c r="H17" i="7"/>
  <c r="R7" i="9"/>
  <c r="AA15" i="13"/>
  <c r="V16" i="9"/>
  <c r="Q5" i="9"/>
  <c r="B24" i="9"/>
  <c r="F25" i="13"/>
  <c r="M4" i="13"/>
  <c r="N12" i="13"/>
  <c r="H26" i="9"/>
  <c r="T10" i="9"/>
  <c r="P6" i="7"/>
  <c r="O28" i="13"/>
  <c r="AA14" i="13"/>
  <c r="O11" i="9"/>
  <c r="C19" i="7"/>
  <c r="U6" i="9"/>
  <c r="RC2" i="10"/>
  <c r="U12" i="9"/>
  <c r="O29" i="9"/>
  <c r="I18" i="13"/>
  <c r="W6" i="13"/>
  <c r="C18" i="13"/>
  <c r="S10" i="7"/>
  <c r="B29" i="7"/>
  <c r="S5" i="7"/>
  <c r="T15" i="7"/>
  <c r="Y30" i="9"/>
  <c r="M14" i="9"/>
  <c r="S22" i="13"/>
  <c r="Z30" i="9"/>
  <c r="U12" i="7"/>
  <c r="V19" i="13"/>
  <c r="I10" i="9"/>
  <c r="AA7" i="9"/>
  <c r="Y4" i="9"/>
  <c r="P13" i="7"/>
  <c r="T6" i="9"/>
  <c r="AA7" i="7"/>
  <c r="I8" i="9"/>
  <c r="G29" i="13"/>
  <c r="X19" i="13"/>
  <c r="Z19" i="7"/>
  <c r="B4" i="7"/>
  <c r="Y12" i="7"/>
  <c r="L24" i="13"/>
  <c r="I26" i="7"/>
  <c r="AA24" i="9"/>
  <c r="P11" i="7"/>
  <c r="O22" i="9"/>
  <c r="D26" i="13"/>
  <c r="C10" i="13"/>
  <c r="Y15" i="7"/>
  <c r="X19" i="9"/>
  <c r="W21" i="7"/>
  <c r="AA18" i="9"/>
  <c r="H21" i="13"/>
  <c r="V4" i="7"/>
  <c r="D6" i="9"/>
  <c r="E9" i="7"/>
  <c r="E15" i="13"/>
  <c r="R22" i="13"/>
  <c r="AA4" i="9"/>
  <c r="AA19" i="9"/>
  <c r="V21" i="13"/>
  <c r="U4" i="7"/>
  <c r="Q12" i="7"/>
  <c r="R17" i="9"/>
  <c r="F8" i="13"/>
  <c r="C22" i="13"/>
  <c r="F21" i="7"/>
  <c r="H12" i="13"/>
  <c r="T21" i="9"/>
  <c r="S7" i="9"/>
  <c r="Q23" i="7"/>
  <c r="D24" i="7"/>
  <c r="D5" i="13"/>
  <c r="R18" i="7"/>
  <c r="N28" i="13"/>
  <c r="B16" i="13"/>
  <c r="I7" i="9"/>
  <c r="R30" i="13"/>
  <c r="L10" i="13"/>
  <c r="T30" i="7"/>
  <c r="D13" i="7"/>
  <c r="L33" i="13"/>
  <c r="V24" i="9"/>
  <c r="C19" i="9"/>
  <c r="R33" i="13"/>
  <c r="L8" i="9"/>
  <c r="O8" i="9"/>
  <c r="Q7" i="7"/>
  <c r="B30" i="9"/>
  <c r="M5" i="13"/>
  <c r="D20" i="7"/>
  <c r="I29" i="13"/>
  <c r="G19" i="13"/>
  <c r="K33" i="13"/>
  <c r="N16" i="13"/>
  <c r="D16" i="9"/>
  <c r="W12" i="7"/>
  <c r="K15" i="13"/>
  <c r="J13" i="9"/>
  <c r="J22" i="13"/>
  <c r="E22" i="9"/>
  <c r="E24" i="13"/>
  <c r="M25" i="9"/>
  <c r="Y9" i="9"/>
  <c r="N20" i="7"/>
  <c r="F26" i="13"/>
  <c r="E18" i="13"/>
  <c r="GA2" i="14"/>
  <c r="AA4" i="13"/>
  <c r="X22" i="9"/>
  <c r="U14" i="9"/>
  <c r="C22" i="9"/>
  <c r="X11" i="9"/>
  <c r="G10" i="9"/>
  <c r="T22" i="7"/>
  <c r="K10" i="7"/>
  <c r="I14" i="7"/>
  <c r="U22" i="9"/>
  <c r="B11" i="9"/>
  <c r="K23" i="7"/>
  <c r="Z14" i="9"/>
  <c r="T31" i="7"/>
  <c r="M10" i="9"/>
  <c r="O22" i="7"/>
  <c r="B11" i="13"/>
  <c r="Q6" i="7"/>
  <c r="R10" i="9"/>
  <c r="P18" i="13"/>
  <c r="L13" i="7"/>
  <c r="W20" i="9"/>
  <c r="B13" i="9"/>
  <c r="H6" i="7"/>
  <c r="K11" i="7"/>
  <c r="I29" i="7"/>
  <c r="E25" i="9"/>
  <c r="GS2" i="10"/>
  <c r="O24" i="7"/>
  <c r="F16" i="9"/>
  <c r="F25" i="7"/>
  <c r="M11" i="13"/>
  <c r="F26" i="7"/>
  <c r="AA21" i="13"/>
  <c r="B22" i="9"/>
  <c r="D19" i="13"/>
  <c r="H22" i="9"/>
  <c r="Z6" i="13"/>
  <c r="F21" i="13"/>
  <c r="L16" i="9"/>
  <c r="R15" i="9"/>
  <c r="R7" i="7"/>
  <c r="I7" i="7"/>
  <c r="N14" i="13"/>
  <c r="S25" i="7"/>
  <c r="X28" i="7"/>
  <c r="Q4" i="13"/>
  <c r="Y18" i="7"/>
  <c r="W12" i="9"/>
  <c r="P15" i="7"/>
  <c r="O4" i="7"/>
  <c r="J12" i="9"/>
  <c r="L27" i="7"/>
  <c r="G19" i="7"/>
  <c r="F8" i="7"/>
  <c r="B28" i="13"/>
  <c r="N5" i="7"/>
  <c r="U21" i="13"/>
  <c r="Q20" i="9"/>
  <c r="G14" i="7"/>
  <c r="C27" i="13"/>
  <c r="T32" i="13"/>
  <c r="N15" i="9"/>
  <c r="E30" i="13"/>
  <c r="U24" i="7"/>
  <c r="G7" i="9"/>
  <c r="T25" i="13"/>
  <c r="Z13" i="13"/>
  <c r="Q30" i="13"/>
  <c r="K30" i="7"/>
  <c r="F5" i="9"/>
  <c r="C8" i="13"/>
  <c r="S16" i="13"/>
  <c r="F17" i="9"/>
  <c r="Z10" i="7"/>
  <c r="GA2" i="8"/>
  <c r="W10" i="9"/>
  <c r="F5" i="13"/>
  <c r="V25" i="13"/>
  <c r="X29" i="13"/>
  <c r="I22" i="9"/>
  <c r="Z24" i="7"/>
  <c r="P18" i="7"/>
  <c r="C12" i="7"/>
  <c r="V19" i="9"/>
  <c r="Y28" i="7"/>
  <c r="L23" i="13"/>
  <c r="S26" i="9"/>
  <c r="B24" i="13"/>
  <c r="Q20" i="13"/>
  <c r="Q25" i="9"/>
  <c r="P23" i="13"/>
  <c r="S18" i="13"/>
  <c r="H10" i="13"/>
  <c r="P5" i="7"/>
  <c r="J19" i="9"/>
  <c r="V29" i="7"/>
  <c r="U24" i="13"/>
  <c r="F23" i="7"/>
  <c r="H4" i="7"/>
  <c r="D15" i="9"/>
  <c r="D19" i="7"/>
  <c r="Y29" i="13"/>
  <c r="R29" i="13"/>
  <c r="Q19" i="9"/>
  <c r="M6" i="13"/>
  <c r="D7" i="9"/>
  <c r="AA29" i="7"/>
  <c r="C10" i="9"/>
  <c r="AA13" i="7"/>
  <c r="Z12" i="7"/>
  <c r="Q8" i="13"/>
  <c r="S11" i="7"/>
  <c r="S17" i="7"/>
  <c r="Q24" i="7"/>
  <c r="Z25" i="13"/>
  <c r="K8" i="13"/>
  <c r="D26" i="9"/>
  <c r="V27" i="9"/>
  <c r="W7" i="7"/>
  <c r="O30" i="13"/>
  <c r="K21" i="7"/>
  <c r="U5" i="9"/>
  <c r="N17" i="13"/>
  <c r="H30" i="7"/>
  <c r="AA8" i="9"/>
  <c r="P11" i="9"/>
  <c r="V20" i="7"/>
  <c r="D18" i="13"/>
  <c r="M14" i="13"/>
  <c r="R26" i="13"/>
  <c r="T7" i="13"/>
  <c r="C9" i="9"/>
  <c r="M15" i="13"/>
  <c r="S20" i="13"/>
  <c r="M29" i="13"/>
  <c r="T8" i="13"/>
  <c r="EQ2" i="8"/>
  <c r="C17" i="9"/>
  <c r="L22" i="7"/>
  <c r="U12" i="13"/>
  <c r="K7" i="7"/>
  <c r="Y24" i="9"/>
  <c r="H18" i="7"/>
  <c r="V12" i="9"/>
  <c r="NQ2" i="14"/>
  <c r="MY2" i="8"/>
  <c r="I22" i="7"/>
  <c r="F32" i="13"/>
  <c r="KW2" i="8"/>
  <c r="G22" i="9"/>
  <c r="J16" i="7"/>
  <c r="E26" i="13"/>
  <c r="U2" i="14"/>
  <c r="R23" i="7"/>
  <c r="Y13" i="13"/>
  <c r="V26" i="7"/>
  <c r="J17" i="13"/>
  <c r="M21" i="13"/>
  <c r="J24" i="7"/>
  <c r="P22" i="9"/>
  <c r="I30" i="9"/>
  <c r="O19" i="9"/>
  <c r="W23" i="13"/>
  <c r="W18" i="7"/>
  <c r="W28" i="7"/>
  <c r="Q13" i="13"/>
  <c r="C24" i="9"/>
  <c r="N20" i="13"/>
  <c r="P22" i="7"/>
  <c r="K18" i="9"/>
  <c r="M11" i="9"/>
  <c r="S11" i="9"/>
  <c r="P18" i="9"/>
  <c r="R18" i="13"/>
  <c r="D28" i="13"/>
  <c r="O8" i="7"/>
  <c r="Q22" i="9"/>
  <c r="K5" i="7"/>
  <c r="J13" i="7"/>
  <c r="G14" i="9"/>
  <c r="Q5" i="7"/>
  <c r="E11" i="9"/>
  <c r="B6" i="9"/>
  <c r="M16" i="13"/>
  <c r="AA26" i="13"/>
  <c r="Q27" i="13"/>
  <c r="S21" i="7"/>
  <c r="H24" i="7"/>
  <c r="O25" i="13"/>
  <c r="N30" i="13"/>
  <c r="O9" i="9"/>
  <c r="Q16" i="7"/>
  <c r="Q24" i="13"/>
  <c r="H9" i="9"/>
  <c r="P22" i="13"/>
  <c r="K10" i="9"/>
  <c r="I13" i="9"/>
  <c r="Z8" i="9"/>
  <c r="U15" i="9"/>
  <c r="G8" i="7"/>
  <c r="X10" i="13"/>
  <c r="N29" i="7"/>
  <c r="H25" i="13"/>
  <c r="X20" i="7"/>
  <c r="H9" i="7"/>
  <c r="L23" i="9"/>
  <c r="Z9" i="9"/>
  <c r="V4" i="9"/>
  <c r="U19" i="7"/>
  <c r="Q25" i="13"/>
  <c r="K28" i="9"/>
  <c r="I27" i="7"/>
  <c r="AA28" i="13"/>
  <c r="V31" i="13"/>
  <c r="V6" i="9"/>
  <c r="U9" i="7"/>
  <c r="M19" i="7"/>
  <c r="N33" i="13"/>
  <c r="E4" i="13"/>
  <c r="P4" i="9"/>
  <c r="V14" i="13"/>
  <c r="T15" i="9"/>
  <c r="B20" i="9"/>
  <c r="S9" i="9"/>
  <c r="Z22" i="7"/>
  <c r="S12" i="13"/>
  <c r="O21" i="9"/>
  <c r="I9" i="7"/>
  <c r="Y6" i="7"/>
  <c r="C15" i="9"/>
  <c r="AA12" i="7"/>
  <c r="R28" i="13"/>
  <c r="G14" i="13"/>
  <c r="W25" i="7"/>
  <c r="Q26" i="9"/>
  <c r="L11" i="13"/>
  <c r="I9" i="13"/>
  <c r="K24" i="13"/>
  <c r="N10" i="13"/>
  <c r="F16" i="13"/>
  <c r="X29" i="9"/>
  <c r="V28" i="7"/>
  <c r="R32" i="13"/>
  <c r="E12" i="9"/>
  <c r="N15" i="13"/>
  <c r="L20" i="7"/>
  <c r="J23" i="9"/>
  <c r="N26" i="9"/>
  <c r="I30" i="7"/>
  <c r="H10" i="7"/>
  <c r="E21" i="9"/>
  <c r="G25" i="13"/>
  <c r="Q31" i="7"/>
  <c r="X6" i="13"/>
  <c r="K26" i="13"/>
  <c r="O29" i="7"/>
  <c r="N30" i="9"/>
  <c r="S4" i="9"/>
  <c r="W22" i="7"/>
  <c r="E7" i="7"/>
  <c r="E4" i="7"/>
  <c r="S31" i="7"/>
  <c r="MY2" i="14"/>
  <c r="F21" i="9"/>
  <c r="L14" i="9"/>
  <c r="IC2" i="10"/>
  <c r="P16" i="7"/>
  <c r="S21" i="13"/>
  <c r="D10" i="7"/>
  <c r="FI2" i="10"/>
  <c r="Z23" i="9"/>
  <c r="N28" i="9"/>
  <c r="D9" i="7"/>
  <c r="X14" i="9"/>
  <c r="Y17" i="13"/>
  <c r="W23" i="7"/>
  <c r="S7" i="13"/>
  <c r="R26" i="9"/>
  <c r="O15" i="9"/>
  <c r="V5" i="13"/>
  <c r="B5" i="9"/>
  <c r="J14" i="9"/>
  <c r="L4" i="13"/>
  <c r="M13" i="7"/>
  <c r="O24" i="13"/>
  <c r="I7" i="13"/>
  <c r="B9" i="13"/>
  <c r="W6" i="9"/>
  <c r="S14" i="9"/>
  <c r="W15" i="7"/>
  <c r="E8" i="7"/>
  <c r="K29" i="9"/>
  <c r="D22" i="7"/>
  <c r="W11" i="13"/>
  <c r="N12" i="9"/>
  <c r="J18" i="9"/>
  <c r="Q17" i="9"/>
  <c r="I6" i="13"/>
  <c r="Y14" i="13"/>
  <c r="V23" i="7"/>
  <c r="K15" i="7"/>
  <c r="K26" i="9"/>
  <c r="Q11" i="9"/>
  <c r="C7" i="7"/>
  <c r="P25" i="9"/>
  <c r="J22" i="9"/>
  <c r="N32" i="13"/>
  <c r="L15" i="7"/>
  <c r="O15" i="7"/>
  <c r="L12" i="13"/>
  <c r="Z25" i="7"/>
  <c r="Z30" i="7"/>
  <c r="M19" i="13"/>
  <c r="B10" i="7"/>
  <c r="E33" i="13"/>
  <c r="AA27" i="7"/>
  <c r="M21" i="9"/>
  <c r="P27" i="7"/>
  <c r="U19" i="9"/>
  <c r="W11" i="9"/>
  <c r="G30" i="9"/>
  <c r="U4" i="13"/>
  <c r="E23" i="9"/>
  <c r="Y7" i="13"/>
  <c r="H16" i="9"/>
  <c r="J30" i="13"/>
  <c r="R23" i="13"/>
  <c r="Z27" i="9"/>
  <c r="Z16" i="9"/>
  <c r="V15" i="9"/>
  <c r="Q15" i="13"/>
  <c r="C8" i="7"/>
  <c r="G10" i="7"/>
  <c r="P14" i="13"/>
  <c r="L15" i="13"/>
  <c r="W31" i="13"/>
  <c r="M8" i="9"/>
  <c r="W30" i="13"/>
  <c r="BW2" i="14"/>
  <c r="B16" i="7"/>
  <c r="S19" i="13"/>
  <c r="V7" i="9"/>
  <c r="B12" i="13"/>
  <c r="I20" i="9"/>
  <c r="N17" i="7"/>
  <c r="N11" i="9"/>
  <c r="O17" i="13"/>
  <c r="Z11" i="7"/>
  <c r="Q7" i="9"/>
  <c r="T24" i="9"/>
  <c r="J25" i="9"/>
  <c r="Z20" i="7"/>
  <c r="G12" i="9"/>
  <c r="KE2" i="14"/>
  <c r="W14" i="13"/>
  <c r="C4" i="9"/>
  <c r="W32" i="13"/>
  <c r="G20" i="9"/>
  <c r="U11" i="7"/>
  <c r="I11" i="7"/>
  <c r="R24" i="9"/>
  <c r="AA25" i="7"/>
  <c r="I28" i="13"/>
  <c r="H24" i="9"/>
  <c r="J29" i="7"/>
  <c r="O7" i="13"/>
  <c r="M4" i="7"/>
  <c r="B14" i="13"/>
  <c r="K6" i="9"/>
  <c r="V22" i="9"/>
  <c r="S6" i="9"/>
  <c r="Z15" i="7"/>
  <c r="X27" i="9"/>
  <c r="Y13" i="9"/>
  <c r="FI2" i="8"/>
  <c r="HK2" i="8"/>
  <c r="K30" i="9"/>
  <c r="G20" i="7"/>
  <c r="C25" i="13"/>
  <c r="Z10" i="13"/>
  <c r="T4" i="7"/>
  <c r="X11" i="7"/>
  <c r="Q23" i="9"/>
  <c r="X20" i="9"/>
  <c r="Q11" i="7"/>
  <c r="H25" i="7"/>
  <c r="Q27" i="9"/>
  <c r="AA20" i="7"/>
  <c r="P10" i="13"/>
  <c r="O11" i="13"/>
  <c r="E18" i="7"/>
  <c r="BE2" i="8"/>
  <c r="L16" i="13"/>
  <c r="F7" i="7"/>
  <c r="T20" i="9"/>
  <c r="BE2" i="14"/>
  <c r="DG2" i="14"/>
  <c r="P5" i="13"/>
  <c r="V20" i="9"/>
  <c r="V28" i="13"/>
  <c r="RU2" i="8"/>
  <c r="O9" i="13"/>
  <c r="P33" i="13"/>
  <c r="OI2" i="14"/>
  <c r="K20" i="13"/>
  <c r="L20" i="13"/>
  <c r="E20" i="9"/>
  <c r="D33" i="13"/>
  <c r="P29" i="9"/>
  <c r="AA9" i="13"/>
  <c r="T29" i="9"/>
  <c r="Z24" i="13"/>
  <c r="U32" i="13"/>
  <c r="H17" i="13"/>
  <c r="U20" i="13"/>
  <c r="R8" i="9"/>
  <c r="W14" i="7"/>
  <c r="Y6" i="13"/>
  <c r="AA21" i="7"/>
  <c r="BW2" i="10"/>
  <c r="D29" i="9"/>
  <c r="Q21" i="7"/>
  <c r="W16" i="7"/>
  <c r="G31" i="13"/>
  <c r="P21" i="9"/>
  <c r="B23" i="7"/>
  <c r="B7" i="13"/>
  <c r="G22" i="7"/>
  <c r="C20" i="13"/>
  <c r="L30" i="9"/>
  <c r="U28" i="7"/>
  <c r="F14" i="13"/>
  <c r="Z11" i="13"/>
  <c r="Z7" i="9"/>
  <c r="G8" i="9"/>
  <c r="I15" i="9"/>
  <c r="F15" i="7"/>
  <c r="J4" i="7"/>
  <c r="M27" i="9"/>
  <c r="O15" i="13"/>
  <c r="W14" i="9"/>
  <c r="F22" i="7"/>
  <c r="I4" i="7"/>
  <c r="HK2" i="10"/>
  <c r="M30" i="9"/>
  <c r="Q22" i="13"/>
  <c r="L16" i="7"/>
  <c r="V17" i="7"/>
  <c r="O32" i="13"/>
  <c r="M26" i="13"/>
  <c r="T14" i="9"/>
  <c r="G5" i="13"/>
  <c r="O23" i="7"/>
  <c r="W30" i="7"/>
  <c r="G16" i="7"/>
  <c r="D16" i="7"/>
  <c r="L8" i="13"/>
  <c r="M7" i="9"/>
  <c r="X8" i="13"/>
  <c r="GS2" i="14"/>
  <c r="DG2" i="8"/>
  <c r="X4" i="13"/>
  <c r="T25" i="9"/>
  <c r="AA6" i="13"/>
  <c r="D31" i="7"/>
  <c r="R4" i="7"/>
  <c r="U20" i="7"/>
  <c r="I4" i="9"/>
  <c r="AM2" i="10"/>
  <c r="D5" i="9"/>
  <c r="R13" i="7"/>
  <c r="N24" i="13"/>
  <c r="K11" i="9"/>
  <c r="V32" i="13"/>
  <c r="V17" i="13"/>
  <c r="S16" i="9"/>
  <c r="O19" i="13"/>
  <c r="E19" i="13"/>
  <c r="H10" i="9"/>
  <c r="K24" i="9"/>
  <c r="J31" i="13"/>
  <c r="D30" i="9"/>
  <c r="V21" i="7"/>
  <c r="S8" i="13"/>
  <c r="V19" i="7"/>
  <c r="B16" i="9"/>
  <c r="H29" i="13"/>
  <c r="B12" i="7"/>
  <c r="H11" i="13"/>
  <c r="S20" i="9"/>
  <c r="R12" i="7"/>
  <c r="Y12" i="13"/>
  <c r="I27" i="13"/>
  <c r="P14" i="7"/>
  <c r="C6" i="13"/>
  <c r="Z17" i="7"/>
  <c r="E16" i="7"/>
  <c r="NQ2" i="10"/>
  <c r="O4" i="9"/>
  <c r="O21" i="13"/>
  <c r="J12" i="13"/>
  <c r="D18" i="7"/>
  <c r="U9" i="9"/>
  <c r="I23" i="13"/>
  <c r="F7" i="9"/>
  <c r="AA10" i="7"/>
  <c r="I28" i="7"/>
  <c r="V6" i="7"/>
  <c r="C21" i="7"/>
  <c r="AA28" i="7"/>
  <c r="U15" i="13"/>
  <c r="Y14" i="7"/>
  <c r="H11" i="7"/>
  <c r="R25" i="7"/>
  <c r="F9" i="9"/>
  <c r="W29" i="9"/>
  <c r="X11" i="13"/>
  <c r="E22" i="13"/>
  <c r="U31" i="13"/>
  <c r="H21" i="7"/>
  <c r="X8" i="7"/>
  <c r="IU2" i="8"/>
  <c r="U16" i="13"/>
  <c r="O19" i="7"/>
  <c r="N17" i="9"/>
  <c r="R20" i="9"/>
  <c r="C26" i="9"/>
  <c r="QK2" i="8"/>
  <c r="X15" i="9"/>
  <c r="X18" i="7"/>
  <c r="V22" i="13"/>
  <c r="X12" i="13"/>
  <c r="N24" i="7"/>
  <c r="T10" i="7"/>
  <c r="T30" i="9"/>
  <c r="Y26" i="13"/>
  <c r="Y16" i="13"/>
  <c r="E22" i="7"/>
  <c r="M31" i="7"/>
  <c r="V9" i="9"/>
  <c r="I5" i="13"/>
  <c r="K10" i="13"/>
  <c r="D22" i="13"/>
  <c r="O6" i="13"/>
  <c r="W21" i="13"/>
  <c r="J8" i="9"/>
  <c r="M6" i="7"/>
  <c r="H6" i="9"/>
  <c r="F16" i="7"/>
  <c r="Z9" i="7"/>
  <c r="C7" i="9"/>
  <c r="HK2" i="14"/>
  <c r="PA2" i="10"/>
  <c r="X9" i="13"/>
  <c r="I15" i="7"/>
  <c r="G9" i="9"/>
  <c r="W5" i="9"/>
  <c r="K4" i="13"/>
  <c r="R5" i="9"/>
  <c r="W13" i="7"/>
  <c r="S7" i="7"/>
  <c r="X24" i="9"/>
  <c r="K25" i="9"/>
  <c r="T23" i="7"/>
  <c r="W26" i="13"/>
  <c r="O21" i="7"/>
  <c r="Z21" i="7"/>
  <c r="K7" i="9"/>
  <c r="P21" i="7"/>
  <c r="KW2" i="10"/>
  <c r="E6" i="7"/>
  <c r="L19" i="13"/>
  <c r="H29" i="9"/>
  <c r="Z6" i="7"/>
  <c r="N23" i="7"/>
  <c r="Q33" i="13"/>
  <c r="D10" i="9"/>
  <c r="E8" i="9"/>
  <c r="E11" i="13"/>
  <c r="Y18" i="9"/>
  <c r="D13" i="9"/>
  <c r="N27" i="9"/>
  <c r="C28" i="9"/>
  <c r="F27" i="9"/>
  <c r="U16" i="9"/>
  <c r="W4" i="9"/>
  <c r="Y30" i="13"/>
  <c r="S5" i="9"/>
  <c r="C26" i="13"/>
  <c r="I23" i="7"/>
  <c r="E16" i="13"/>
  <c r="X23" i="13"/>
  <c r="N4" i="13"/>
  <c r="X16" i="13"/>
  <c r="O18" i="7"/>
  <c r="N8" i="13"/>
  <c r="Z10" i="9"/>
  <c r="M12" i="13"/>
  <c r="L14" i="13"/>
  <c r="J10" i="7"/>
  <c r="B22" i="13"/>
  <c r="Z22" i="13"/>
  <c r="Z9" i="13"/>
  <c r="K20" i="9"/>
  <c r="F19" i="7"/>
  <c r="V33" i="13"/>
  <c r="P4" i="13"/>
  <c r="G18" i="13"/>
  <c r="B7" i="7"/>
  <c r="F31" i="7"/>
  <c r="R16" i="9"/>
  <c r="U4" i="9"/>
  <c r="C22" i="7"/>
  <c r="Q10" i="9"/>
  <c r="M17" i="7"/>
  <c r="H8" i="13"/>
  <c r="X16" i="9"/>
  <c r="LO2" i="8"/>
  <c r="F19" i="13"/>
  <c r="LO2" i="14"/>
  <c r="M10" i="7"/>
  <c r="C13" i="13"/>
  <c r="L19" i="9"/>
  <c r="G13" i="7"/>
  <c r="MG2" i="14"/>
  <c r="J26" i="9"/>
  <c r="V30" i="13"/>
  <c r="J27" i="7"/>
  <c r="I12" i="9"/>
  <c r="G21" i="7"/>
  <c r="I26" i="13"/>
  <c r="D12" i="13"/>
  <c r="AA30" i="13"/>
  <c r="MG2" i="10"/>
  <c r="B8" i="13"/>
  <c r="M27" i="13"/>
  <c r="O12" i="13"/>
  <c r="F29" i="13"/>
  <c r="V5" i="9"/>
  <c r="M22" i="13"/>
  <c r="L32" i="13"/>
  <c r="IU2" i="10"/>
  <c r="U29" i="13"/>
  <c r="M13" i="9"/>
  <c r="X9" i="7"/>
  <c r="O16" i="7"/>
  <c r="E24" i="7"/>
  <c r="Z18" i="13"/>
  <c r="Q8" i="9"/>
  <c r="N21" i="13"/>
  <c r="K4" i="9"/>
  <c r="K5" i="13"/>
  <c r="M7" i="7"/>
  <c r="X18" i="9"/>
  <c r="B18" i="9"/>
  <c r="M16" i="9"/>
  <c r="E13" i="13"/>
  <c r="Q28" i="9"/>
  <c r="T26" i="7"/>
  <c r="J20" i="9"/>
  <c r="S8" i="7"/>
  <c r="D23" i="13"/>
  <c r="R19" i="7"/>
  <c r="L5" i="9"/>
  <c r="F15" i="13"/>
  <c r="F6" i="9"/>
  <c r="P12" i="7"/>
  <c r="P23" i="9"/>
  <c r="Z5" i="9"/>
  <c r="E19" i="9"/>
  <c r="J15" i="13"/>
  <c r="N7" i="7"/>
  <c r="E11" i="7"/>
  <c r="N31" i="7"/>
  <c r="K27" i="13"/>
  <c r="P20" i="9"/>
  <c r="Y16" i="7"/>
  <c r="V17" i="9"/>
  <c r="W10" i="7"/>
  <c r="TE2" i="14"/>
  <c r="J22" i="7"/>
  <c r="M23" i="9"/>
  <c r="O17" i="7"/>
  <c r="I21" i="7"/>
  <c r="P25" i="7"/>
  <c r="Y17" i="7"/>
  <c r="N4" i="9"/>
  <c r="S15" i="7"/>
  <c r="J15" i="9"/>
  <c r="Z21" i="9"/>
  <c r="E27" i="13"/>
  <c r="I5" i="9"/>
  <c r="B13" i="7"/>
  <c r="B25" i="13"/>
  <c r="T22" i="13"/>
  <c r="J7" i="9"/>
  <c r="V27" i="7"/>
  <c r="E6" i="9"/>
  <c r="Y9" i="7"/>
  <c r="X30" i="7"/>
  <c r="AA24" i="7"/>
  <c r="B26" i="7"/>
  <c r="U6" i="7"/>
  <c r="C13" i="7"/>
  <c r="C9" i="7"/>
  <c r="H13" i="7"/>
  <c r="O17" i="9"/>
  <c r="H11" i="9"/>
  <c r="AA9" i="9"/>
  <c r="S13" i="7"/>
  <c r="G6" i="9"/>
  <c r="J9" i="13"/>
  <c r="N21" i="9"/>
  <c r="J10" i="13"/>
  <c r="Q28" i="13"/>
  <c r="U30" i="9"/>
  <c r="K16" i="13"/>
  <c r="C15" i="7"/>
  <c r="AA14" i="9"/>
  <c r="W33" i="13"/>
  <c r="CO2" i="8"/>
  <c r="J27" i="9"/>
  <c r="Y17" i="9"/>
  <c r="V25" i="9"/>
  <c r="Z20" i="13"/>
  <c r="AA11" i="13"/>
  <c r="K24" i="7"/>
  <c r="Z23" i="13"/>
  <c r="G26" i="13"/>
  <c r="S25" i="9"/>
  <c r="O11" i="7"/>
  <c r="R4" i="13"/>
  <c r="R4" i="9"/>
  <c r="L18" i="13"/>
  <c r="M4" i="9"/>
  <c r="F6" i="7"/>
  <c r="U26" i="7"/>
  <c r="AA20" i="9"/>
  <c r="E18" i="9"/>
  <c r="D7" i="7"/>
  <c r="F20" i="9"/>
  <c r="N27" i="7"/>
  <c r="I27" i="9"/>
  <c r="Z5" i="13"/>
  <c r="M14" i="7"/>
  <c r="H19" i="13"/>
  <c r="M15" i="7"/>
  <c r="Q30" i="7"/>
  <c r="Q18" i="7"/>
  <c r="E25" i="7"/>
  <c r="SM2" i="8"/>
  <c r="X30" i="13"/>
  <c r="N13" i="13"/>
  <c r="Y18" i="13"/>
  <c r="I31" i="7"/>
  <c r="P13" i="9"/>
  <c r="JM2" i="14"/>
  <c r="C26" i="7"/>
  <c r="V25" i="7"/>
  <c r="W26" i="7"/>
  <c r="J14" i="7"/>
  <c r="S13" i="9"/>
  <c r="X18" i="13"/>
  <c r="H14" i="7"/>
  <c r="I14" i="9"/>
  <c r="R9" i="9"/>
  <c r="W13" i="9"/>
  <c r="X20" i="13"/>
  <c r="S12" i="7"/>
  <c r="H20" i="13"/>
  <c r="AA28" i="9"/>
  <c r="E13" i="7"/>
  <c r="K23" i="9"/>
  <c r="O30" i="7"/>
  <c r="U21" i="7"/>
  <c r="E23" i="13"/>
  <c r="Z14" i="13"/>
  <c r="X12" i="9"/>
  <c r="AA13" i="13"/>
  <c r="N19" i="9"/>
  <c r="U29" i="9"/>
  <c r="H8" i="7"/>
  <c r="H30" i="9"/>
  <c r="M18" i="9"/>
  <c r="R14" i="7"/>
  <c r="U21" i="9"/>
  <c r="Y10" i="9"/>
  <c r="I26" i="9"/>
  <c r="Q6" i="13"/>
  <c r="G26" i="7"/>
  <c r="I14" i="13"/>
  <c r="X14" i="7"/>
  <c r="X22" i="7"/>
  <c r="W8" i="9"/>
  <c r="F17" i="7"/>
  <c r="E26" i="9"/>
  <c r="L8" i="7"/>
  <c r="T26" i="13"/>
  <c r="N29" i="9"/>
  <c r="Z11" i="9"/>
  <c r="W29" i="7"/>
  <c r="P6" i="9"/>
  <c r="L6" i="9"/>
  <c r="K12" i="9"/>
  <c r="Z13" i="9"/>
  <c r="N9" i="7"/>
  <c r="G12" i="7"/>
  <c r="I16" i="13"/>
  <c r="P26" i="7"/>
  <c r="C20" i="9"/>
  <c r="U5" i="7"/>
  <c r="S4" i="13"/>
  <c r="B14" i="9"/>
  <c r="B19" i="13"/>
  <c r="Q17" i="13"/>
  <c r="R8" i="7"/>
  <c r="J21" i="9"/>
  <c r="E30" i="9"/>
  <c r="G30" i="7"/>
  <c r="E24" i="9"/>
  <c r="U26" i="9"/>
  <c r="B30" i="13"/>
  <c r="H23" i="9"/>
  <c r="G16" i="9"/>
  <c r="O13" i="13"/>
  <c r="Z31" i="7"/>
  <c r="H7" i="7"/>
  <c r="AA6" i="9"/>
  <c r="Y25" i="13"/>
  <c r="E6" i="13"/>
  <c r="AA8" i="13"/>
  <c r="C11" i="13"/>
  <c r="K25" i="7"/>
  <c r="T33" i="13"/>
  <c r="T8" i="7"/>
  <c r="R5" i="7"/>
  <c r="Q7" i="13"/>
  <c r="I17" i="13"/>
  <c r="C30" i="13"/>
  <c r="K17" i="7"/>
  <c r="T26" i="9"/>
  <c r="W27" i="7"/>
  <c r="Z22" i="9"/>
  <c r="P26" i="9"/>
  <c r="L11" i="7"/>
  <c r="L18" i="7"/>
  <c r="B8" i="7"/>
  <c r="L29" i="7"/>
  <c r="Y26" i="9"/>
  <c r="F23" i="9"/>
  <c r="I5" i="7"/>
  <c r="C2" i="10"/>
  <c r="J28" i="9"/>
  <c r="G31" i="7"/>
  <c r="R24" i="7"/>
  <c r="L9" i="13"/>
  <c r="Y20" i="9"/>
  <c r="I20" i="7"/>
  <c r="D24" i="9"/>
  <c r="X24" i="13"/>
  <c r="Z20" i="9"/>
  <c r="U26" i="13"/>
  <c r="R19" i="9"/>
  <c r="E10" i="9"/>
  <c r="F20" i="7"/>
  <c r="I8" i="13"/>
  <c r="L10" i="9"/>
  <c r="P13" i="13"/>
  <c r="G28" i="13"/>
  <c r="G4" i="7"/>
  <c r="Z15" i="9"/>
  <c r="C9" i="13"/>
  <c r="Q15" i="7"/>
  <c r="J9" i="9"/>
  <c r="H12" i="7"/>
  <c r="Y19" i="13"/>
  <c r="M7" i="13"/>
  <c r="S17" i="9"/>
  <c r="U29" i="7"/>
  <c r="W10" i="13"/>
  <c r="V5" i="7"/>
  <c r="P26" i="13"/>
  <c r="X25" i="7"/>
  <c r="U10" i="13"/>
  <c r="B17" i="9"/>
  <c r="Z29" i="9"/>
  <c r="U15" i="7"/>
  <c r="F13" i="7"/>
  <c r="Q29" i="9"/>
  <c r="I6" i="7"/>
  <c r="E14" i="7"/>
  <c r="Z26" i="13"/>
  <c r="J32" i="13"/>
  <c r="U28" i="9"/>
  <c r="B10" i="9"/>
  <c r="F4" i="9"/>
  <c r="P19" i="13"/>
  <c r="U20" i="9"/>
  <c r="T29" i="7"/>
  <c r="R27" i="9"/>
  <c r="B18" i="7"/>
  <c r="Y20" i="13"/>
  <c r="W11" i="7"/>
  <c r="V20" i="13"/>
  <c r="AA7" i="13"/>
  <c r="T19" i="7"/>
  <c r="C23" i="7"/>
  <c r="E25" i="13"/>
  <c r="K19" i="7"/>
  <c r="J19" i="7"/>
  <c r="N7" i="13"/>
  <c r="N21" i="7"/>
  <c r="EQ2" i="14"/>
  <c r="P24" i="13"/>
  <c r="N11" i="7"/>
  <c r="U27" i="7"/>
  <c r="O28" i="7"/>
  <c r="P24" i="9"/>
  <c r="B9" i="9"/>
  <c r="Q27" i="7"/>
  <c r="T14" i="7"/>
  <c r="C18" i="9"/>
  <c r="O14" i="7"/>
  <c r="S29" i="9"/>
  <c r="C19" i="13"/>
  <c r="M9" i="7"/>
  <c r="U8" i="9"/>
  <c r="OI2" i="10"/>
  <c r="CO2" i="14"/>
  <c r="I16" i="7"/>
  <c r="J11" i="9"/>
  <c r="T17" i="7"/>
  <c r="G15" i="13"/>
  <c r="C28" i="7"/>
  <c r="P7" i="13"/>
  <c r="K5" i="9"/>
  <c r="T22" i="9"/>
  <c r="U8" i="7"/>
  <c r="L28" i="13"/>
  <c r="Z26" i="7"/>
  <c r="C21" i="9"/>
  <c r="V9" i="13"/>
  <c r="S9" i="13"/>
  <c r="J25" i="13"/>
  <c r="U31" i="7"/>
  <c r="Z19" i="9"/>
  <c r="X10" i="9"/>
  <c r="S22" i="7"/>
  <c r="H14" i="13"/>
  <c r="AA18" i="7"/>
  <c r="T12" i="7"/>
  <c r="I30" i="13"/>
  <c r="T15" i="13"/>
  <c r="X21" i="9"/>
  <c r="TC2" i="10"/>
  <c r="L6" i="7"/>
  <c r="P27" i="9"/>
  <c r="X21" i="7"/>
  <c r="H19" i="9"/>
  <c r="Q11" i="13"/>
  <c r="Y4" i="13"/>
  <c r="H33" i="13"/>
  <c r="I21" i="9"/>
  <c r="C2" i="8"/>
  <c r="N16" i="7"/>
  <c r="Y22" i="9"/>
  <c r="B5" i="13"/>
  <c r="M26" i="7"/>
  <c r="X25" i="9"/>
  <c r="GA2" i="10"/>
  <c r="Y19" i="9"/>
  <c r="H26" i="7"/>
  <c r="O9" i="7"/>
  <c r="Q30" i="9"/>
  <c r="H31" i="13"/>
  <c r="G9" i="13"/>
  <c r="K14" i="9"/>
  <c r="K16" i="9"/>
  <c r="X16" i="7"/>
  <c r="M22" i="9"/>
  <c r="O4" i="13"/>
  <c r="U27" i="9"/>
  <c r="P9" i="9"/>
  <c r="B11" i="7"/>
  <c r="T6" i="7"/>
  <c r="K8" i="7"/>
  <c r="IC2" i="8"/>
  <c r="L21" i="9"/>
  <c r="X7" i="9"/>
  <c r="L26" i="9"/>
  <c r="V24" i="7"/>
  <c r="I19" i="9"/>
  <c r="E17" i="7"/>
  <c r="H15" i="7"/>
  <c r="Z4" i="13"/>
  <c r="S14" i="7"/>
  <c r="T27" i="9"/>
  <c r="F10" i="7"/>
  <c r="K6" i="7"/>
  <c r="D19" i="9"/>
  <c r="X5" i="13"/>
  <c r="X13" i="13"/>
  <c r="D11" i="13"/>
  <c r="N6" i="9"/>
  <c r="Y21" i="13"/>
  <c r="Y10" i="7"/>
  <c r="R14" i="13"/>
  <c r="N15" i="7"/>
  <c r="H6" i="13"/>
  <c r="X22" i="13"/>
  <c r="M16" i="7"/>
  <c r="D21" i="9"/>
  <c r="AM2" i="8"/>
  <c r="AA31" i="7"/>
  <c r="K17" i="9"/>
  <c r="S6" i="13"/>
  <c r="AA11" i="9"/>
  <c r="AA5" i="9"/>
  <c r="I4" i="13"/>
  <c r="G6" i="13"/>
  <c r="J16" i="9"/>
  <c r="H22" i="13"/>
  <c r="X32" i="13"/>
  <c r="X23" i="7"/>
  <c r="J18" i="7"/>
  <c r="P21" i="13"/>
  <c r="D16" i="13"/>
  <c r="B7" i="9"/>
  <c r="J28" i="7"/>
  <c r="V22" i="7"/>
  <c r="F5" i="7"/>
  <c r="R25" i="13"/>
  <c r="R12" i="13"/>
  <c r="H27" i="13"/>
  <c r="F31" i="13"/>
  <c r="D23" i="9"/>
  <c r="T11" i="9"/>
  <c r="W24" i="13"/>
  <c r="O13" i="7"/>
  <c r="C18" i="7"/>
  <c r="W20" i="7"/>
  <c r="T17" i="9"/>
  <c r="S27" i="9"/>
  <c r="P11" i="13"/>
  <c r="L9" i="7"/>
  <c r="AA4" i="7"/>
  <c r="O27" i="9"/>
  <c r="G4" i="13"/>
  <c r="V30" i="9"/>
  <c r="E31" i="7"/>
  <c r="O10" i="13"/>
  <c r="F30" i="7"/>
  <c r="W30" i="9"/>
  <c r="W24" i="7"/>
  <c r="L29" i="9"/>
  <c r="R25" i="9"/>
  <c r="PS2" i="14"/>
  <c r="M24" i="13"/>
  <c r="C11" i="7"/>
  <c r="U14" i="7"/>
  <c r="L7" i="9"/>
  <c r="N8" i="9"/>
  <c r="F10" i="9"/>
  <c r="M8" i="7"/>
  <c r="RC2" i="14"/>
  <c r="N11" i="13"/>
  <c r="C14" i="7"/>
  <c r="M20" i="13"/>
  <c r="IU2" i="14"/>
  <c r="D14" i="7"/>
  <c r="AA24" i="13"/>
  <c r="Z23" i="7"/>
  <c r="C25" i="7"/>
  <c r="Z8" i="13"/>
  <c r="R21" i="7"/>
  <c r="Q8" i="7"/>
  <c r="J7" i="7"/>
  <c r="Z15" i="13"/>
  <c r="O16" i="9"/>
  <c r="K23" i="13"/>
  <c r="J20" i="7"/>
  <c r="W7" i="9"/>
  <c r="M28" i="7"/>
  <c r="O10" i="9"/>
  <c r="R21" i="9"/>
  <c r="Y8" i="9"/>
  <c r="Y5" i="9"/>
  <c r="E21" i="7"/>
  <c r="N26" i="7"/>
  <c r="V7" i="7"/>
  <c r="D15" i="7"/>
  <c r="AA11" i="7"/>
  <c r="P12" i="9"/>
  <c r="F13" i="9"/>
  <c r="R16" i="7"/>
  <c r="T23" i="9"/>
  <c r="U25" i="9"/>
  <c r="W9" i="9"/>
  <c r="G18" i="9"/>
  <c r="T9" i="7"/>
  <c r="D26" i="7"/>
  <c r="D17" i="9"/>
  <c r="X24" i="7"/>
  <c r="S24" i="7"/>
  <c r="E31" i="13"/>
  <c r="I9" i="9"/>
  <c r="V24" i="13"/>
  <c r="N23" i="9"/>
  <c r="T7" i="9"/>
  <c r="M21" i="7"/>
  <c r="B4" i="9"/>
  <c r="H32" i="13"/>
  <c r="PA2" i="8"/>
  <c r="O31" i="13"/>
  <c r="M22" i="7"/>
  <c r="J24" i="9"/>
  <c r="N30" i="7"/>
  <c r="L18" i="9"/>
  <c r="N28" i="7"/>
  <c r="D27" i="13"/>
  <c r="R6" i="13"/>
  <c r="L4" i="9"/>
  <c r="P20" i="13"/>
  <c r="Y29" i="9"/>
  <c r="M8" i="13"/>
  <c r="B19" i="9"/>
  <c r="F9" i="7"/>
  <c r="U23" i="7"/>
  <c r="R27" i="13"/>
  <c r="O26" i="7"/>
  <c r="P30" i="7"/>
  <c r="D14" i="9"/>
  <c r="S22" i="9"/>
  <c r="G9" i="7"/>
  <c r="RC2" i="8"/>
  <c r="AA10" i="9"/>
  <c r="I33" i="13"/>
  <c r="AA17" i="7"/>
  <c r="S15" i="9"/>
  <c r="SL2" i="10"/>
  <c r="AA32" i="13"/>
  <c r="N9" i="9"/>
  <c r="S31" i="13"/>
  <c r="AA29" i="13"/>
  <c r="M12" i="9"/>
  <c r="R30" i="7"/>
  <c r="Q13" i="9"/>
  <c r="AA27" i="9"/>
  <c r="Q22" i="7"/>
  <c r="K22" i="9"/>
  <c r="F18" i="13"/>
  <c r="E7" i="9"/>
  <c r="O18" i="13"/>
  <c r="O5" i="9"/>
  <c r="T4" i="9"/>
  <c r="T8" i="9"/>
  <c r="W15" i="13"/>
  <c r="T27" i="7"/>
  <c r="L9" i="9"/>
  <c r="I25" i="7"/>
  <c r="I6" i="9"/>
  <c r="NQ2" i="8"/>
  <c r="U14" i="13"/>
  <c r="H4" i="9"/>
  <c r="R28" i="7"/>
  <c r="B4" i="13"/>
  <c r="U25" i="7"/>
  <c r="W16" i="13"/>
  <c r="P24" i="7"/>
  <c r="C31" i="13"/>
  <c r="H5" i="7"/>
  <c r="E9" i="13"/>
  <c r="H5" i="9"/>
  <c r="S15" i="13"/>
  <c r="Q16" i="13"/>
  <c r="E5" i="13"/>
  <c r="B6" i="7"/>
  <c r="T20" i="7"/>
  <c r="Q9" i="9"/>
  <c r="O31" i="7"/>
  <c r="R12" i="9"/>
  <c r="G21" i="9"/>
  <c r="F11" i="13"/>
  <c r="K27" i="7"/>
  <c r="C5" i="9"/>
  <c r="J6" i="9"/>
  <c r="O8" i="13"/>
  <c r="K21" i="13"/>
  <c r="E14" i="9"/>
  <c r="U2" i="8"/>
  <c r="T18" i="7"/>
  <c r="Q24" i="9"/>
  <c r="X6" i="9"/>
  <c r="AA17" i="13"/>
  <c r="S27" i="7"/>
  <c r="Y4" i="7"/>
  <c r="AA21" i="9"/>
  <c r="B26" i="9"/>
  <c r="B25" i="9"/>
  <c r="B17" i="13"/>
  <c r="Y8" i="13"/>
  <c r="F26" i="9"/>
  <c r="R31" i="13"/>
  <c r="DY2" i="14"/>
  <c r="LO2" i="10"/>
  <c r="D11" i="9"/>
  <c r="T14" i="13"/>
  <c r="B24" i="7"/>
  <c r="H26" i="13"/>
  <c r="T27" i="13"/>
  <c r="X26" i="9"/>
  <c r="Y22" i="7"/>
  <c r="C4" i="13"/>
  <c r="N7" i="9"/>
  <c r="X5" i="9"/>
  <c r="S30" i="7"/>
  <c r="Y25" i="7"/>
  <c r="B5" i="7"/>
  <c r="X29" i="7"/>
  <c r="U5" i="13"/>
  <c r="U13" i="9"/>
  <c r="Y11" i="13"/>
  <c r="P10" i="9"/>
  <c r="Z12" i="9"/>
  <c r="E10" i="7"/>
  <c r="K28" i="7"/>
  <c r="F30" i="9"/>
  <c r="Y23" i="7"/>
  <c r="N23" i="13"/>
  <c r="L24" i="7"/>
  <c r="KE2" i="10"/>
  <c r="G22" i="13"/>
  <c r="G7" i="7"/>
  <c r="TD2" i="8"/>
  <c r="H27" i="7"/>
  <c r="W20" i="13"/>
  <c r="F10" i="13"/>
  <c r="QK2" i="10"/>
  <c r="P27" i="13"/>
  <c r="J27" i="13"/>
  <c r="E4" i="9"/>
  <c r="K29" i="7"/>
  <c r="K11" i="13"/>
  <c r="C5" i="13"/>
  <c r="K14" i="13"/>
  <c r="J11" i="13"/>
  <c r="R22" i="9"/>
  <c r="S25" i="13"/>
  <c r="F22" i="13"/>
  <c r="H19" i="7"/>
  <c r="S6" i="7"/>
  <c r="I8" i="7"/>
  <c r="V11" i="7"/>
  <c r="I28" i="9"/>
  <c r="S32" i="13"/>
  <c r="Y6" i="9"/>
  <c r="X19" i="7"/>
  <c r="AA22" i="13"/>
  <c r="D6" i="7"/>
  <c r="W31" i="7"/>
  <c r="H14" i="9"/>
  <c r="T6" i="13"/>
  <c r="K22" i="13"/>
  <c r="W25" i="13"/>
  <c r="K26" i="7"/>
  <c r="H28" i="7"/>
  <c r="C4" i="7"/>
  <c r="X15" i="7"/>
  <c r="T5" i="7"/>
  <c r="O13" i="9"/>
  <c r="I16" i="9"/>
  <c r="Q14" i="7"/>
  <c r="P32" i="13"/>
  <c r="D17" i="7"/>
  <c r="L26" i="13"/>
  <c r="K14" i="7"/>
  <c r="N25" i="7"/>
  <c r="L14" i="7"/>
  <c r="D12" i="7"/>
  <c r="F14" i="7"/>
  <c r="D15" i="13"/>
  <c r="L7" i="13"/>
  <c r="G33" i="13"/>
  <c r="EQ2" i="10"/>
  <c r="Q29" i="13"/>
  <c r="Y19" i="7"/>
  <c r="CO2" i="10"/>
  <c r="G24" i="13"/>
  <c r="M12" i="7"/>
  <c r="JM2" i="10"/>
  <c r="I11" i="9"/>
  <c r="D21" i="13"/>
  <c r="D21" i="7"/>
  <c r="MY2" i="10"/>
  <c r="R18" i="9"/>
  <c r="J26" i="13"/>
  <c r="R20" i="7"/>
  <c r="D20" i="9"/>
  <c r="G26" i="9"/>
  <c r="K8" i="9"/>
  <c r="G5" i="7"/>
  <c r="F12" i="7"/>
  <c r="DG2" i="10"/>
  <c r="R29" i="7"/>
  <c r="V26" i="13"/>
  <c r="F12" i="9"/>
  <c r="X15" i="13"/>
  <c r="U8" i="13"/>
  <c r="O20" i="9"/>
  <c r="L5" i="13"/>
  <c r="P7" i="7"/>
  <c r="U27" i="13"/>
  <c r="F24" i="13"/>
  <c r="W8" i="7"/>
  <c r="G4" i="9"/>
  <c r="B20" i="7"/>
  <c r="V11" i="13"/>
  <c r="W25" i="9"/>
  <c r="H17" i="9"/>
  <c r="L25" i="13"/>
  <c r="U28" i="13"/>
  <c r="T16" i="13"/>
  <c r="AA15" i="7"/>
  <c r="Y16" i="9"/>
  <c r="T24" i="7"/>
  <c r="C20" i="7"/>
  <c r="J20" i="13"/>
  <c r="E7" i="13"/>
  <c r="E17" i="13"/>
  <c r="Y23" i="9"/>
  <c r="U30" i="7"/>
  <c r="T19" i="9"/>
  <c r="FI2" i="14"/>
  <c r="AA16" i="7"/>
  <c r="T28" i="13"/>
  <c r="U24" i="9"/>
  <c r="J17" i="9"/>
  <c r="X10" i="7"/>
  <c r="Q10" i="7"/>
  <c r="N22" i="7"/>
  <c r="X7" i="7"/>
  <c r="C25" i="9"/>
  <c r="E30" i="7"/>
  <c r="O10" i="7"/>
  <c r="E29" i="7"/>
  <c r="F15" i="9"/>
  <c r="T13" i="13"/>
  <c r="G7" i="13"/>
  <c r="J8" i="13"/>
  <c r="D22" i="9"/>
  <c r="C17" i="7"/>
  <c r="M25" i="7"/>
  <c r="E28" i="7"/>
  <c r="J26" i="7"/>
  <c r="Y9" i="13"/>
  <c r="M9" i="9"/>
  <c r="M13" i="13"/>
  <c r="D23" i="7"/>
  <c r="P10" i="7"/>
  <c r="Z28" i="7"/>
  <c r="Q15" i="9"/>
  <c r="M6" i="9"/>
  <c r="L12" i="9"/>
  <c r="C24" i="7"/>
  <c r="V7" i="13"/>
  <c r="E19" i="7"/>
  <c r="O27" i="13"/>
  <c r="E26" i="7"/>
  <c r="B12" i="9"/>
  <c r="C27" i="9"/>
  <c r="Q16" i="9"/>
  <c r="M27" i="7"/>
  <c r="Y30" i="7"/>
  <c r="O14" i="13"/>
  <c r="G25" i="9"/>
  <c r="L31" i="7"/>
  <c r="U11" i="13"/>
  <c r="S19" i="9"/>
  <c r="G16" i="13"/>
  <c r="DY2" i="10"/>
  <c r="V18" i="7"/>
  <c r="Z14" i="7"/>
  <c r="PS2" i="10"/>
  <c r="W18" i="13"/>
  <c r="G21" i="13"/>
  <c r="C14" i="9"/>
  <c r="L13" i="13"/>
  <c r="RU2" i="10"/>
  <c r="D4" i="7"/>
  <c r="N18" i="9"/>
  <c r="Q5" i="13"/>
  <c r="W9" i="7"/>
  <c r="H5" i="13"/>
  <c r="K27" i="9"/>
  <c r="U17" i="9"/>
  <c r="P25" i="13"/>
  <c r="K9" i="13"/>
  <c r="X5" i="7"/>
  <c r="I20" i="13"/>
  <c r="P31" i="7"/>
  <c r="R30" i="9"/>
  <c r="I32" i="13"/>
  <c r="X28" i="9"/>
  <c r="F19" i="9"/>
  <c r="L31" i="13"/>
  <c r="W5" i="13"/>
  <c r="J21" i="13"/>
  <c r="M18" i="7"/>
  <c r="M17" i="9"/>
  <c r="E5" i="7"/>
  <c r="N5" i="13"/>
  <c r="K25" i="13"/>
  <c r="H21" i="9"/>
  <c r="G11" i="9"/>
  <c r="Y5" i="7"/>
  <c r="J9" i="7"/>
  <c r="I11" i="13"/>
  <c r="S12" i="9"/>
  <c r="Z18" i="9"/>
  <c r="F17" i="13"/>
  <c r="Q9" i="7"/>
  <c r="K28" i="13"/>
  <c r="F28" i="9"/>
  <c r="U9" i="13"/>
  <c r="V13" i="9"/>
  <c r="P23" i="7"/>
  <c r="AA29" i="9"/>
  <c r="O25" i="7"/>
  <c r="U18" i="7"/>
  <c r="K21" i="9"/>
  <c r="S19" i="7"/>
  <c r="G29" i="7"/>
  <c r="G17" i="9"/>
  <c r="H18" i="9"/>
  <c r="T19" i="13"/>
  <c r="D11" i="7"/>
  <c r="V8" i="7"/>
  <c r="N22" i="13"/>
  <c r="F7" i="13"/>
  <c r="J5" i="13"/>
  <c r="B15" i="7"/>
  <c r="C8" i="9"/>
  <c r="Y7" i="9"/>
  <c r="Y24" i="13"/>
  <c r="E28" i="9"/>
  <c r="X27" i="7"/>
  <c r="L24" i="9"/>
  <c r="K13" i="9"/>
  <c r="P5" i="9"/>
  <c r="L28" i="7"/>
  <c r="F27" i="13"/>
  <c r="D4" i="13"/>
  <c r="AA25" i="9"/>
  <c r="M20" i="9"/>
  <c r="AA9" i="7"/>
  <c r="AA23" i="9"/>
  <c r="K16" i="7"/>
  <c r="MG2" i="8"/>
  <c r="B28" i="7"/>
  <c r="AA6" i="7"/>
  <c r="F28" i="7"/>
  <c r="O28" i="9"/>
  <c r="H12" i="9"/>
  <c r="H31" i="7"/>
  <c r="F9" i="13"/>
  <c r="R6" i="9"/>
  <c r="Z7" i="7"/>
  <c r="R29" i="9"/>
  <c r="X4" i="9"/>
  <c r="G13" i="13"/>
  <c r="D9" i="13"/>
  <c r="C6" i="7"/>
  <c r="J18" i="13"/>
  <c r="N4" i="7"/>
  <c r="D6" i="13"/>
  <c r="O24" i="9"/>
  <c r="D30" i="7"/>
  <c r="D14" i="13"/>
  <c r="Z6" i="9"/>
  <c r="K13" i="13"/>
  <c r="R15" i="13"/>
  <c r="P17" i="9"/>
  <c r="Y27" i="13"/>
  <c r="D8" i="9"/>
  <c r="J23" i="7"/>
  <c r="E8" i="13"/>
  <c r="G30" i="13"/>
  <c r="J30" i="9"/>
  <c r="T10" i="13"/>
  <c r="M5" i="9"/>
  <c r="S27" i="13"/>
  <c r="B25" i="7"/>
  <c r="P16" i="9"/>
  <c r="C16" i="9"/>
  <c r="T5" i="9"/>
  <c r="K9" i="9"/>
  <c r="W19" i="13"/>
  <c r="W18" i="9"/>
  <c r="L22" i="9"/>
  <c r="C2" i="14"/>
  <c r="X30" i="9"/>
  <c r="W17" i="13"/>
  <c r="J24" i="13"/>
  <c r="I19" i="7"/>
  <c r="AA17" i="9"/>
  <c r="L22" i="13"/>
  <c r="U16" i="7"/>
  <c r="H24" i="13"/>
  <c r="D25" i="9"/>
  <c r="V30" i="7"/>
  <c r="D4" i="9"/>
  <c r="J11" i="7"/>
  <c r="R8" i="13"/>
  <c r="C29" i="9"/>
  <c r="U17" i="13"/>
  <c r="L26" i="7"/>
  <c r="I24" i="9"/>
  <c r="N14" i="9"/>
  <c r="M24" i="9"/>
  <c r="U7" i="9"/>
  <c r="W19" i="7"/>
  <c r="R15" i="7"/>
  <c r="RU2" i="14"/>
  <c r="B21" i="7"/>
  <c r="V29" i="9"/>
  <c r="Y29" i="7"/>
  <c r="Z7" i="13"/>
  <c r="F29" i="9"/>
  <c r="M11" i="7"/>
  <c r="M30" i="7"/>
  <c r="E10" i="13"/>
  <c r="Q21" i="13"/>
  <c r="W21" i="9"/>
  <c r="V23" i="13"/>
  <c r="AA16" i="9"/>
  <c r="W22" i="13"/>
  <c r="S18" i="7"/>
  <c r="B23" i="13"/>
  <c r="M26" i="9"/>
  <c r="F25" i="9"/>
  <c r="H20" i="9"/>
  <c r="G27" i="7"/>
  <c r="W17" i="7"/>
  <c r="W28" i="9"/>
  <c r="I17" i="9"/>
  <c r="K15" i="9"/>
  <c r="T17" i="13"/>
  <c r="Z4" i="7"/>
  <c r="P8" i="9"/>
  <c r="E29" i="13"/>
  <c r="Q23" i="13"/>
  <c r="V15" i="13"/>
  <c r="N13" i="7"/>
  <c r="G23" i="13"/>
  <c r="S4" i="7"/>
  <c r="L13" i="9"/>
  <c r="N9" i="13"/>
  <c r="J29" i="13"/>
  <c r="L23" i="7"/>
  <c r="OI2" i="8"/>
  <c r="P20" i="7"/>
  <c r="I10" i="7"/>
  <c r="G11" i="13"/>
  <c r="AA8" i="7"/>
  <c r="X4" i="7"/>
  <c r="R21" i="13"/>
  <c r="AA14" i="7"/>
  <c r="B29" i="9"/>
  <c r="P14" i="9"/>
  <c r="S10" i="9"/>
  <c r="E15" i="7"/>
  <c r="H23" i="13"/>
  <c r="C29" i="13"/>
  <c r="P7" i="9"/>
  <c r="J25" i="7"/>
  <c r="L30" i="7"/>
  <c r="V13" i="7"/>
  <c r="Z27" i="13"/>
  <c r="M30" i="13"/>
  <c r="P29" i="13"/>
  <c r="AA33" i="13"/>
  <c r="K19" i="13"/>
  <c r="V9" i="7"/>
  <c r="BW2" i="8"/>
  <c r="H27" i="9"/>
  <c r="B13" i="13"/>
  <c r="P29" i="7"/>
  <c r="C27" i="7"/>
  <c r="W27" i="9"/>
  <c r="G8" i="13"/>
  <c r="S20" i="7"/>
  <c r="L25" i="9"/>
  <c r="J6" i="13"/>
  <c r="G18" i="7"/>
  <c r="X17" i="7"/>
  <c r="T24" i="13"/>
  <c r="X9" i="9"/>
  <c r="J15" i="7"/>
  <c r="L10" i="7"/>
  <c r="F11" i="7"/>
  <c r="R22" i="7"/>
  <c r="G5" i="9"/>
</calcChain>
</file>

<file path=xl/sharedStrings.xml><?xml version="1.0" encoding="utf-8"?>
<sst xmlns="http://schemas.openxmlformats.org/spreadsheetml/2006/main" count="3808" uniqueCount="220">
  <si>
    <t>Bilan annuel par domaine</t>
  </si>
  <si>
    <t>Liste de la classe:</t>
  </si>
  <si>
    <t>D1</t>
  </si>
  <si>
    <t>D2</t>
  </si>
  <si>
    <t>D3</t>
  </si>
  <si>
    <t>D4</t>
  </si>
  <si>
    <t>D5</t>
  </si>
  <si>
    <t>1er 
trimestre</t>
  </si>
  <si>
    <t>2ème 
trimestre</t>
  </si>
  <si>
    <t>3ème 
trimestre</t>
  </si>
  <si>
    <t>Année</t>
  </si>
  <si>
    <t xml:space="preserve">Domaine 1
Composante 3 </t>
  </si>
  <si>
    <t>D1-3/1</t>
  </si>
  <si>
    <t>D1-3/2</t>
  </si>
  <si>
    <t>D1-3/3</t>
  </si>
  <si>
    <t>D1-3/4</t>
  </si>
  <si>
    <t>D1-3/5</t>
  </si>
  <si>
    <t xml:space="preserve">Domaine 2 </t>
  </si>
  <si>
    <t>Domaine 3</t>
  </si>
  <si>
    <t xml:space="preserve"> D3/1</t>
  </si>
  <si>
    <t xml:space="preserve">Domaine 4 </t>
  </si>
  <si>
    <t>D4/1</t>
  </si>
  <si>
    <t>D4/2</t>
  </si>
  <si>
    <t>D4/3</t>
  </si>
  <si>
    <t>Domaine 5</t>
  </si>
  <si>
    <t xml:space="preserve"> D5/1</t>
  </si>
  <si>
    <t>Note   /20</t>
  </si>
  <si>
    <t>A</t>
  </si>
  <si>
    <t>B</t>
  </si>
  <si>
    <t>C</t>
  </si>
  <si>
    <t>D</t>
  </si>
  <si>
    <t>1e tri</t>
  </si>
  <si>
    <t>2e tri</t>
  </si>
  <si>
    <t>3e tri</t>
  </si>
  <si>
    <t>Coeff</t>
  </si>
  <si>
    <t>Num_elève</t>
  </si>
  <si>
    <t>AP</t>
  </si>
  <si>
    <t>D3/2</t>
  </si>
  <si>
    <t>Note globale</t>
  </si>
  <si>
    <t>Notation</t>
  </si>
  <si>
    <t>Nom de la feuille liée</t>
  </si>
  <si>
    <t>Indice  de liste</t>
  </si>
  <si>
    <t>Lignes des domaines</t>
  </si>
  <si>
    <t>Décalage</t>
  </si>
  <si>
    <t xml:space="preserve"> D2/1</t>
  </si>
  <si>
    <t xml:space="preserve"> D2/2</t>
  </si>
  <si>
    <t>Classe 5ème 1
2017 2018</t>
  </si>
  <si>
    <t>Liste 5ème</t>
  </si>
  <si>
    <t>Classe (5ème1)</t>
  </si>
  <si>
    <t>Elève (5ème1)</t>
  </si>
  <si>
    <t>Elève (5ème3)</t>
  </si>
  <si>
    <t>5ème1</t>
  </si>
  <si>
    <t>5ème2</t>
  </si>
  <si>
    <t>5ème3</t>
  </si>
  <si>
    <t>5ème4</t>
  </si>
  <si>
    <t>5ème6</t>
  </si>
  <si>
    <t>BERNARD--MENU Philomene</t>
  </si>
  <si>
    <t>ARTIGA Francois</t>
  </si>
  <si>
    <t>ATFA Hadi</t>
  </si>
  <si>
    <t>AUDOUIN Ines</t>
  </si>
  <si>
    <t>ABOURAHIM Abraham</t>
  </si>
  <si>
    <t>BREDIN Margaux</t>
  </si>
  <si>
    <t>BIARDEAU Tom</t>
  </si>
  <si>
    <t>AUCHERES Louise</t>
  </si>
  <si>
    <t>BEAUJARD Soizic</t>
  </si>
  <si>
    <t>ARAUJO COSTA Martin</t>
  </si>
  <si>
    <t>CALLIER Alexandre</t>
  </si>
  <si>
    <t>BOURDOIS Astree</t>
  </si>
  <si>
    <t>BENOIST Constance</t>
  </si>
  <si>
    <t>BERLINSON Jade</t>
  </si>
  <si>
    <t>ARNAUD Claire</t>
  </si>
  <si>
    <t>CARLES Pierre-Marie</t>
  </si>
  <si>
    <t>BRABANT Henri</t>
  </si>
  <si>
    <t>BOURGANEL Carla-Marie</t>
  </si>
  <si>
    <t>BOUSSION Valentine</t>
  </si>
  <si>
    <t>BARDOU Angele</t>
  </si>
  <si>
    <t>CHAYLARD Daphne</t>
  </si>
  <si>
    <t>CAILLEAUX Ethan</t>
  </si>
  <si>
    <t>BRUN Tehina</t>
  </si>
  <si>
    <t>BRAND Gregoire</t>
  </si>
  <si>
    <t>BERTIN Mathis</t>
  </si>
  <si>
    <t>CLOCHARD Anaelle</t>
  </si>
  <si>
    <t>CATHERINE Dennys</t>
  </si>
  <si>
    <t>CHAMBAY Juliette</t>
  </si>
  <si>
    <t>CADO Nicolas</t>
  </si>
  <si>
    <t>BLANC Guillaume</t>
  </si>
  <si>
    <t>DELHOMMAIS Adele</t>
  </si>
  <si>
    <t>CHOUTEAU Guillaume</t>
  </si>
  <si>
    <t>CHAUMET-PITROIS Pierre-Antoine</t>
  </si>
  <si>
    <t>COELHO Lovena</t>
  </si>
  <si>
    <t>CHABLE Alexandre</t>
  </si>
  <si>
    <t>DEMOCRATE Louis</t>
  </si>
  <si>
    <t>COTRO Charlotte</t>
  </si>
  <si>
    <t>COSTA Agathe</t>
  </si>
  <si>
    <t>DE SAINT MARTIN Matthieu</t>
  </si>
  <si>
    <t>COLINOT Cyrielle</t>
  </si>
  <si>
    <t>DURAND Lucas</t>
  </si>
  <si>
    <t>DE SINETY Isaure</t>
  </si>
  <si>
    <t>DE FRANCE Ambroise</t>
  </si>
  <si>
    <t>DOULCET Francois</t>
  </si>
  <si>
    <t>DE ROLLAND Guillemette</t>
  </si>
  <si>
    <t>GAUTIER Antoine</t>
  </si>
  <si>
    <t>DECENEUX Marie</t>
  </si>
  <si>
    <t>DE LATOUR Thibault</t>
  </si>
  <si>
    <t>GIRAULT--AUDURIER Corentin</t>
  </si>
  <si>
    <t>DESECOT Marie-Alix</t>
  </si>
  <si>
    <t>JABOULEY Alois</t>
  </si>
  <si>
    <t>DOGUET Gustave</t>
  </si>
  <si>
    <t>DURVAUX Jeanne</t>
  </si>
  <si>
    <t>GUILLET Elise</t>
  </si>
  <si>
    <t>DEVINEAU Éléonore</t>
  </si>
  <si>
    <t>LALLEMAND Andeol</t>
  </si>
  <si>
    <t>DU PEYROUX Zita</t>
  </si>
  <si>
    <t>ESTOURNET Paul</t>
  </si>
  <si>
    <t>HARDY Agnes</t>
  </si>
  <si>
    <t>DUVIVIER Faustine</t>
  </si>
  <si>
    <t>LAVEIX Baudouin</t>
  </si>
  <si>
    <t>DUPEYRON Stanislas</t>
  </si>
  <si>
    <t>FANOUS Juliano</t>
  </si>
  <si>
    <t>HEDMAN Theo</t>
  </si>
  <si>
    <t>FAUVARQUE Gaspard</t>
  </si>
  <si>
    <t>LE BOLLOCH Arthur</t>
  </si>
  <si>
    <t>ENGELVIN Amaury</t>
  </si>
  <si>
    <t>GATINE Nicolas</t>
  </si>
  <si>
    <t>JOUBERT Gregoire</t>
  </si>
  <si>
    <t>FERREIRA Maxence</t>
  </si>
  <si>
    <t>LEPRINCE Flavie</t>
  </si>
  <si>
    <t>FAUSTINI Edward</t>
  </si>
  <si>
    <t>GUIMET Hugo</t>
  </si>
  <si>
    <t>KAISER Aliette</t>
  </si>
  <si>
    <t>FROUX Thomas</t>
  </si>
  <si>
    <t>LHOTELLIER Louise-Gabrielle</t>
  </si>
  <si>
    <t>GASCHIGNARD Marc-Helie</t>
  </si>
  <si>
    <t>JAUZENQUE Helene</t>
  </si>
  <si>
    <t>KIBLEUR Evariste</t>
  </si>
  <si>
    <t>GOUGEARD Antoine</t>
  </si>
  <si>
    <t>LIMET Oriane</t>
  </si>
  <si>
    <t>GILLOT Gatien</t>
  </si>
  <si>
    <t>LANGLOIS Capucine</t>
  </si>
  <si>
    <t>MARMOUSET Airelle</t>
  </si>
  <si>
    <t>GRAINDORGE Ines</t>
  </si>
  <si>
    <t>MAROIS Aurelien</t>
  </si>
  <si>
    <t>HALLE Adele</t>
  </si>
  <si>
    <t>LE CANN Jean-Baptiste</t>
  </si>
  <si>
    <t>MONTOT Alexis</t>
  </si>
  <si>
    <t>HEBERT Valentine</t>
  </si>
  <si>
    <t>MARXUACH Camille</t>
  </si>
  <si>
    <t>HILDENE Gaspard</t>
  </si>
  <si>
    <t>LE DIEU DE VILLE Solene</t>
  </si>
  <si>
    <t>NOUCHET Camille</t>
  </si>
  <si>
    <t>HURE Montfort</t>
  </si>
  <si>
    <t>MORIN Maylis</t>
  </si>
  <si>
    <t>HUE Charlotte</t>
  </si>
  <si>
    <t>LEMAIRE Hermine</t>
  </si>
  <si>
    <t>PAVLENKO Jean</t>
  </si>
  <si>
    <t>LEVY Jacob-David</t>
  </si>
  <si>
    <t>PATRIA Thomas</t>
  </si>
  <si>
    <t>LECOUFFE Basile</t>
  </si>
  <si>
    <t>LEPINOY--FAVRON Garance</t>
  </si>
  <si>
    <t>PERRET Mila</t>
  </si>
  <si>
    <t>MICALET Adelia</t>
  </si>
  <si>
    <t>POUJADE Heloise</t>
  </si>
  <si>
    <t>MOQUET Ewan</t>
  </si>
  <si>
    <t>PERRIN Eloi</t>
  </si>
  <si>
    <t>PESCHARD Faustine</t>
  </si>
  <si>
    <t>PAING Jean-Baptiste</t>
  </si>
  <si>
    <t>RETHORE Charles</t>
  </si>
  <si>
    <t>PEYROUX Constance</t>
  </si>
  <si>
    <t>RHEINART Loic</t>
  </si>
  <si>
    <t>PHU Adelie</t>
  </si>
  <si>
    <t>RAGOT Juliette</t>
  </si>
  <si>
    <t>ROSIER Timothe</t>
  </si>
  <si>
    <t>PLATEAU--SOHIER Alice</t>
  </si>
  <si>
    <t>ROGER Solene</t>
  </si>
  <si>
    <t>PICARD Martin</t>
  </si>
  <si>
    <t>ROBERT Paul</t>
  </si>
  <si>
    <t>ROY-MATSUI Valentin-Tomoki</t>
  </si>
  <si>
    <t>RAZAVI Raphaelle</t>
  </si>
  <si>
    <t>SERIZAY Armel</t>
  </si>
  <si>
    <t>RENARD Benoit</t>
  </si>
  <si>
    <t>SAUSSEREAU--DAGUISE Gaspard</t>
  </si>
  <si>
    <t>SCELSA Aurora</t>
  </si>
  <si>
    <t>SAINT-POL Jade</t>
  </si>
  <si>
    <t>VIDAL Claire</t>
  </si>
  <si>
    <t>SOLANO Paul</t>
  </si>
  <si>
    <t>VRAIN Henri</t>
  </si>
  <si>
    <t>SOURDIAUCOURT Clement</t>
  </si>
  <si>
    <t>SOURISCE Noah</t>
  </si>
  <si>
    <t>VIRLOUVET Enzo</t>
  </si>
  <si>
    <t>SONNET Capucine</t>
  </si>
  <si>
    <t>ZAKIAN Sevane</t>
  </si>
  <si>
    <t>THELLIER Prune</t>
  </si>
  <si>
    <t>SURY Domitille</t>
  </si>
  <si>
    <t>SOUEF Clementine</t>
  </si>
  <si>
    <t>VRAIN Penelope</t>
  </si>
  <si>
    <t>THUBERT Hector</t>
  </si>
  <si>
    <t>WAYNBERGER Paul</t>
  </si>
  <si>
    <t>ZHENDRE Manon</t>
  </si>
  <si>
    <t>Classe 5ème 3
2017 2018</t>
  </si>
  <si>
    <t>Elève (5ème4)</t>
  </si>
  <si>
    <t>Classe 5ème 4
2017 2018</t>
  </si>
  <si>
    <t>Classe (5ème3)</t>
  </si>
  <si>
    <t>Classe (5ème4)</t>
  </si>
  <si>
    <t>EVAL CH4</t>
  </si>
  <si>
    <t>Fiche CH4/4</t>
  </si>
  <si>
    <t>CH4/4</t>
  </si>
  <si>
    <t>CH5/1</t>
  </si>
  <si>
    <t>fiche CH5/1</t>
  </si>
  <si>
    <t>Fiche CH5/1</t>
  </si>
  <si>
    <t>fiche CH5/3</t>
  </si>
  <si>
    <t>Fiiche CH5/3</t>
  </si>
  <si>
    <t>Evaluations par trimestre</t>
  </si>
  <si>
    <t>Eval CH5</t>
  </si>
  <si>
    <t>b</t>
  </si>
  <si>
    <t>1er tri</t>
  </si>
  <si>
    <t>Eval O1 O2</t>
  </si>
  <si>
    <t>Fiche CH6/1</t>
  </si>
  <si>
    <t>fiche CH6/2</t>
  </si>
  <si>
    <t>Fiche CH6/2</t>
  </si>
  <si>
    <t>Eval CH6 CH7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</si>
</sst>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name val="Arial"/>
      <family val="2"/>
    </font>
    <font>
      <b/>
      <sz val="11"/>
      <color theme="1"/>
      <name val="Comic Sans MS"/>
      <family val="4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3CAA22"/>
        <bgColor indexed="64"/>
      </patternFill>
    </fill>
    <fill>
      <patternFill patternType="solid">
        <fgColor rgb="FFB07BD7"/>
        <bgColor indexed="64"/>
      </patternFill>
    </fill>
    <fill>
      <patternFill patternType="solid">
        <fgColor rgb="FFFFCF37"/>
        <bgColor indexed="64"/>
      </patternFill>
    </fill>
    <fill>
      <patternFill patternType="solid">
        <fgColor rgb="FFFF5D3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/>
        <bgColor indexed="64"/>
      </patternFill>
    </fill>
  </fills>
  <borders count="9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/>
      <right style="medium">
        <color indexed="64"/>
      </right>
      <top style="double">
        <color indexed="64"/>
      </top>
      <bottom style="dashed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medium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mediumDashed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/>
      <top style="dashed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48">
    <xf numFmtId="0" fontId="0" fillId="0" borderId="0" xfId="0"/>
    <xf numFmtId="0" fontId="0" fillId="0" borderId="0" xfId="0" applyAlignment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47" xfId="0" applyBorder="1" applyAlignment="1" applyProtection="1">
      <alignment horizontal="center" vertical="center"/>
    </xf>
    <xf numFmtId="0" fontId="0" fillId="0" borderId="36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0" fontId="0" fillId="0" borderId="51" xfId="0" applyBorder="1" applyAlignment="1" applyProtection="1">
      <alignment horizontal="center" vertical="center"/>
    </xf>
    <xf numFmtId="0" fontId="0" fillId="0" borderId="46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0" fillId="0" borderId="54" xfId="0" applyBorder="1" applyAlignment="1" applyProtection="1">
      <alignment horizontal="center" vertical="center"/>
    </xf>
    <xf numFmtId="0" fontId="0" fillId="0" borderId="40" xfId="0" applyBorder="1" applyAlignment="1" applyProtection="1">
      <alignment horizontal="center" vertical="center"/>
    </xf>
    <xf numFmtId="0" fontId="0" fillId="0" borderId="27" xfId="0" applyBorder="1" applyAlignment="1" applyProtection="1">
      <alignment horizontal="center" vertical="center"/>
    </xf>
    <xf numFmtId="0" fontId="0" fillId="0" borderId="52" xfId="0" applyBorder="1" applyAlignment="1" applyProtection="1">
      <alignment horizontal="center" vertical="center"/>
    </xf>
    <xf numFmtId="0" fontId="0" fillId="0" borderId="53" xfId="0" applyBorder="1" applyAlignment="1" applyProtection="1">
      <alignment horizontal="center" vertical="center"/>
    </xf>
    <xf numFmtId="0" fontId="0" fillId="0" borderId="0" xfId="0" applyProtection="1"/>
    <xf numFmtId="0" fontId="0" fillId="0" borderId="17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0" borderId="41" xfId="0" applyBorder="1" applyAlignment="1" applyProtection="1">
      <alignment horizontal="center" vertical="center"/>
    </xf>
    <xf numFmtId="0" fontId="0" fillId="0" borderId="77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14" borderId="56" xfId="0" applyFill="1" applyBorder="1" applyAlignment="1" applyProtection="1">
      <alignment horizontal="center" vertical="center"/>
    </xf>
    <xf numFmtId="0" fontId="0" fillId="15" borderId="13" xfId="0" applyFill="1" applyBorder="1" applyAlignment="1" applyProtection="1">
      <alignment horizontal="center" vertical="center"/>
    </xf>
    <xf numFmtId="0" fontId="0" fillId="15" borderId="15" xfId="0" applyFill="1" applyBorder="1" applyAlignment="1" applyProtection="1">
      <alignment horizontal="center" vertical="center" wrapText="1"/>
    </xf>
    <xf numFmtId="0" fontId="0" fillId="15" borderId="14" xfId="0" applyFill="1" applyBorder="1" applyAlignment="1" applyProtection="1">
      <alignment horizontal="center" vertical="center" wrapText="1"/>
    </xf>
    <xf numFmtId="0" fontId="0" fillId="17" borderId="69" xfId="0" applyFill="1" applyBorder="1" applyAlignment="1" applyProtection="1">
      <alignment horizontal="center" vertical="center" wrapText="1"/>
    </xf>
    <xf numFmtId="0" fontId="0" fillId="17" borderId="74" xfId="0" applyFill="1" applyBorder="1" applyAlignment="1" applyProtection="1">
      <alignment horizontal="center" vertical="center" wrapText="1"/>
    </xf>
    <xf numFmtId="0" fontId="5" fillId="21" borderId="66" xfId="0" applyFont="1" applyFill="1" applyBorder="1" applyAlignment="1" applyProtection="1">
      <alignment horizontal="center" vertical="center" wrapText="1"/>
    </xf>
    <xf numFmtId="0" fontId="5" fillId="21" borderId="67" xfId="0" applyFont="1" applyFill="1" applyBorder="1" applyAlignment="1" applyProtection="1">
      <alignment horizontal="center" vertical="center" wrapText="1"/>
    </xf>
    <xf numFmtId="0" fontId="5" fillId="21" borderId="68" xfId="0" applyFont="1" applyFill="1" applyBorder="1" applyAlignment="1" applyProtection="1">
      <alignment horizontal="center" vertical="center" wrapText="1"/>
    </xf>
    <xf numFmtId="0" fontId="0" fillId="21" borderId="69" xfId="0" applyFill="1" applyBorder="1" applyAlignment="1" applyProtection="1">
      <alignment horizontal="center" vertical="center" wrapText="1"/>
    </xf>
    <xf numFmtId="0" fontId="0" fillId="21" borderId="70" xfId="0" applyFill="1" applyBorder="1" applyAlignment="1" applyProtection="1">
      <alignment horizontal="center" vertical="center" wrapText="1"/>
    </xf>
    <xf numFmtId="0" fontId="0" fillId="21" borderId="71" xfId="0" applyFill="1" applyBorder="1" applyAlignment="1" applyProtection="1">
      <alignment horizontal="center" vertical="center" wrapText="1"/>
    </xf>
    <xf numFmtId="0" fontId="0" fillId="21" borderId="68" xfId="0" applyFill="1" applyBorder="1" applyAlignment="1" applyProtection="1">
      <alignment horizontal="center" vertical="center" wrapText="1"/>
    </xf>
    <xf numFmtId="0" fontId="0" fillId="21" borderId="72" xfId="0" applyFill="1" applyBorder="1" applyAlignment="1" applyProtection="1">
      <alignment horizontal="center" vertical="center" wrapText="1"/>
    </xf>
    <xf numFmtId="0" fontId="0" fillId="21" borderId="73" xfId="0" applyFill="1" applyBorder="1" applyAlignment="1" applyProtection="1">
      <alignment horizontal="center" vertical="center" wrapText="1"/>
    </xf>
    <xf numFmtId="0" fontId="0" fillId="21" borderId="74" xfId="0" applyFill="1" applyBorder="1" applyAlignment="1" applyProtection="1">
      <alignment horizontal="center" vertical="center" wrapText="1"/>
    </xf>
    <xf numFmtId="2" fontId="0" fillId="0" borderId="51" xfId="0" applyNumberFormat="1" applyBorder="1" applyAlignment="1" applyProtection="1">
      <alignment horizontal="center" vertical="center"/>
    </xf>
    <xf numFmtId="2" fontId="0" fillId="0" borderId="44" xfId="0" applyNumberFormat="1" applyBorder="1" applyAlignment="1" applyProtection="1">
      <alignment horizontal="center" vertical="center"/>
    </xf>
    <xf numFmtId="2" fontId="0" fillId="0" borderId="46" xfId="0" applyNumberFormat="1" applyBorder="1" applyAlignment="1" applyProtection="1">
      <alignment horizontal="center" vertical="center"/>
    </xf>
    <xf numFmtId="2" fontId="0" fillId="0" borderId="52" xfId="0" applyNumberFormat="1" applyBorder="1" applyAlignment="1" applyProtection="1">
      <alignment horizontal="center" vertical="center"/>
    </xf>
    <xf numFmtId="2" fontId="0" fillId="0" borderId="45" xfId="0" applyNumberFormat="1" applyBorder="1" applyAlignment="1" applyProtection="1">
      <alignment horizontal="center" vertical="center"/>
    </xf>
    <xf numFmtId="2" fontId="0" fillId="0" borderId="53" xfId="0" applyNumberFormat="1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/>
    </xf>
    <xf numFmtId="0" fontId="3" fillId="22" borderId="86" xfId="1" applyFill="1" applyBorder="1"/>
    <xf numFmtId="0" fontId="0" fillId="22" borderId="24" xfId="0" applyFill="1" applyBorder="1"/>
    <xf numFmtId="0" fontId="0" fillId="22" borderId="86" xfId="0" applyFill="1" applyBorder="1"/>
    <xf numFmtId="0" fontId="1" fillId="13" borderId="12" xfId="0" applyFont="1" applyFill="1" applyBorder="1" applyAlignment="1">
      <alignment horizontal="center"/>
    </xf>
    <xf numFmtId="0" fontId="0" fillId="22" borderId="88" xfId="0" applyFill="1" applyBorder="1"/>
    <xf numFmtId="0" fontId="0" fillId="22" borderId="89" xfId="0" applyFill="1" applyBorder="1"/>
    <xf numFmtId="0" fontId="3" fillId="22" borderId="88" xfId="1" applyFill="1" applyBorder="1"/>
    <xf numFmtId="0" fontId="3" fillId="22" borderId="89" xfId="1" applyFill="1" applyBorder="1"/>
    <xf numFmtId="0" fontId="0" fillId="22" borderId="90" xfId="0" applyFill="1" applyBorder="1"/>
    <xf numFmtId="0" fontId="0" fillId="22" borderId="24" xfId="0" applyFill="1" applyBorder="1" applyProtection="1">
      <protection locked="0"/>
    </xf>
    <xf numFmtId="0" fontId="2" fillId="20" borderId="91" xfId="0" applyFont="1" applyFill="1" applyBorder="1" applyAlignment="1" applyProtection="1">
      <alignment horizontal="center" vertical="center" wrapText="1"/>
    </xf>
    <xf numFmtId="0" fontId="0" fillId="19" borderId="56" xfId="0" applyFill="1" applyBorder="1" applyAlignment="1" applyProtection="1">
      <alignment horizontal="center" vertical="center"/>
    </xf>
    <xf numFmtId="0" fontId="0" fillId="19" borderId="2" xfId="0" applyFill="1" applyBorder="1" applyAlignment="1" applyProtection="1">
      <alignment horizontal="center" vertical="center"/>
    </xf>
    <xf numFmtId="0" fontId="0" fillId="12" borderId="72" xfId="0" applyFill="1" applyBorder="1" applyAlignment="1" applyProtection="1">
      <alignment horizontal="center" vertical="center" wrapText="1"/>
    </xf>
    <xf numFmtId="0" fontId="0" fillId="12" borderId="74" xfId="0" applyFill="1" applyBorder="1" applyAlignment="1" applyProtection="1">
      <alignment horizontal="center" vertical="center" wrapText="1"/>
    </xf>
    <xf numFmtId="0" fontId="0" fillId="12" borderId="83" xfId="0" applyFill="1" applyBorder="1" applyAlignment="1" applyProtection="1">
      <alignment horizontal="center" vertical="center"/>
    </xf>
    <xf numFmtId="0" fontId="0" fillId="0" borderId="0" xfId="0" applyBorder="1" applyProtection="1"/>
    <xf numFmtId="0" fontId="3" fillId="2" borderId="87" xfId="1" applyFont="1" applyFill="1" applyBorder="1" applyAlignment="1" applyProtection="1">
      <alignment horizontal="left" vertical="center"/>
    </xf>
    <xf numFmtId="0" fontId="3" fillId="2" borderId="1" xfId="1" applyFont="1" applyFill="1" applyBorder="1" applyAlignment="1" applyProtection="1">
      <alignment horizontal="left" vertical="center"/>
    </xf>
    <xf numFmtId="0" fontId="3" fillId="2" borderId="2" xfId="1" applyFont="1" applyFill="1" applyBorder="1" applyAlignment="1" applyProtection="1">
      <alignment horizontal="left" vertical="center"/>
    </xf>
    <xf numFmtId="0" fontId="0" fillId="19" borderId="1" xfId="0" applyFill="1" applyBorder="1" applyAlignment="1" applyProtection="1">
      <alignment horizontal="center" vertical="center"/>
    </xf>
    <xf numFmtId="0" fontId="0" fillId="0" borderId="42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21" borderId="12" xfId="0" applyFill="1" applyBorder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/>
      <protection locked="0" hidden="1"/>
    </xf>
    <xf numFmtId="0" fontId="1" fillId="0" borderId="0" xfId="0" applyFont="1" applyBorder="1" applyAlignment="1" applyProtection="1">
      <alignment horizontal="center" vertical="center" textRotation="90"/>
      <protection locked="0" hidden="1"/>
    </xf>
    <xf numFmtId="0" fontId="1" fillId="0" borderId="0" xfId="0" applyFont="1" applyBorder="1" applyAlignment="1" applyProtection="1">
      <alignment horizontal="center" vertical="center"/>
      <protection locked="0" hidden="1"/>
    </xf>
    <xf numFmtId="0" fontId="0" fillId="21" borderId="82" xfId="0" applyFont="1" applyFill="1" applyBorder="1" applyAlignment="1" applyProtection="1">
      <alignment horizontal="center" vertical="center"/>
      <protection locked="0" hidden="1"/>
    </xf>
    <xf numFmtId="0" fontId="0" fillId="0" borderId="0" xfId="0" applyProtection="1">
      <protection locked="0" hidden="1"/>
    </xf>
    <xf numFmtId="0" fontId="1" fillId="0" borderId="4" xfId="0" applyFont="1" applyBorder="1" applyAlignment="1" applyProtection="1">
      <alignment horizontal="center" vertical="center"/>
      <protection locked="0" hidden="1"/>
    </xf>
    <xf numFmtId="0" fontId="1" fillId="0" borderId="5" xfId="0" applyFont="1" applyBorder="1" applyAlignment="1" applyProtection="1">
      <alignment horizontal="center" vertical="center"/>
      <protection locked="0" hidden="1"/>
    </xf>
    <xf numFmtId="0" fontId="0" fillId="0" borderId="8" xfId="0" applyFont="1" applyBorder="1" applyAlignment="1" applyProtection="1">
      <alignment horizontal="center" vertical="center" textRotation="90"/>
      <protection locked="0" hidden="1"/>
    </xf>
    <xf numFmtId="0" fontId="0" fillId="0" borderId="9" xfId="0" applyFont="1" applyBorder="1" applyAlignment="1" applyProtection="1">
      <alignment horizontal="center" vertical="center" textRotation="90"/>
      <protection locked="0" hidden="1"/>
    </xf>
    <xf numFmtId="0" fontId="0" fillId="0" borderId="10" xfId="0" applyFont="1" applyBorder="1" applyAlignment="1" applyProtection="1">
      <alignment horizontal="center" vertical="center" textRotation="90"/>
      <protection locked="0" hidden="1"/>
    </xf>
    <xf numFmtId="0" fontId="1" fillId="4" borderId="3" xfId="0" applyFont="1" applyFill="1" applyBorder="1" applyAlignment="1" applyProtection="1">
      <alignment horizontal="center" vertical="center" wrapText="1"/>
      <protection locked="0" hidden="1"/>
    </xf>
    <xf numFmtId="0" fontId="1" fillId="4" borderId="7" xfId="0" applyFont="1" applyFill="1" applyBorder="1" applyAlignment="1" applyProtection="1">
      <alignment horizontal="center" vertical="center" wrapText="1"/>
      <protection locked="0" hidden="1"/>
    </xf>
    <xf numFmtId="0" fontId="0" fillId="0" borderId="11" xfId="0" applyFont="1" applyBorder="1" applyAlignment="1" applyProtection="1">
      <alignment horizontal="center" vertical="center" textRotation="90"/>
      <protection locked="0" hidden="1"/>
    </xf>
    <xf numFmtId="0" fontId="1" fillId="10" borderId="3" xfId="0" applyFont="1" applyFill="1" applyBorder="1" applyAlignment="1" applyProtection="1">
      <alignment horizontal="center" vertical="center" wrapText="1"/>
      <protection locked="0" hidden="1"/>
    </xf>
    <xf numFmtId="0" fontId="1" fillId="10" borderId="7" xfId="0" applyFont="1" applyFill="1" applyBorder="1" applyAlignment="1" applyProtection="1">
      <alignment horizontal="center" vertical="center" wrapText="1"/>
      <protection locked="0" hidden="1"/>
    </xf>
    <xf numFmtId="0" fontId="1" fillId="5" borderId="3" xfId="0" applyFont="1" applyFill="1" applyBorder="1" applyAlignment="1" applyProtection="1">
      <alignment horizontal="center" vertical="center" wrapText="1"/>
      <protection locked="0" hidden="1"/>
    </xf>
    <xf numFmtId="0" fontId="1" fillId="5" borderId="7" xfId="0" applyFont="1" applyFill="1" applyBorder="1" applyAlignment="1" applyProtection="1">
      <alignment horizontal="center" vertical="center" wrapText="1"/>
      <protection locked="0" hidden="1"/>
    </xf>
    <xf numFmtId="0" fontId="1" fillId="15" borderId="3" xfId="0" applyFont="1" applyFill="1" applyBorder="1" applyAlignment="1" applyProtection="1">
      <alignment horizontal="center" vertical="center"/>
      <protection locked="0" hidden="1"/>
    </xf>
    <xf numFmtId="0" fontId="1" fillId="15" borderId="5" xfId="0" applyFont="1" applyFill="1" applyBorder="1" applyAlignment="1" applyProtection="1">
      <alignment horizontal="center" vertical="center"/>
      <protection locked="0" hidden="1"/>
    </xf>
    <xf numFmtId="0" fontId="0" fillId="0" borderId="84" xfId="0" applyFont="1" applyBorder="1" applyAlignment="1" applyProtection="1">
      <alignment horizontal="center" vertical="center" textRotation="90"/>
      <protection locked="0" hidden="1"/>
    </xf>
    <xf numFmtId="0" fontId="0" fillId="0" borderId="15" xfId="0" applyFont="1" applyBorder="1" applyAlignment="1" applyProtection="1">
      <alignment horizontal="center" vertical="center" textRotation="90"/>
      <protection locked="0" hidden="1"/>
    </xf>
    <xf numFmtId="0" fontId="0" fillId="0" borderId="14" xfId="0" applyFont="1" applyBorder="1" applyAlignment="1" applyProtection="1">
      <alignment horizontal="center" vertical="center" textRotation="90"/>
      <protection locked="0" hidden="1"/>
    </xf>
    <xf numFmtId="0" fontId="0" fillId="0" borderId="13" xfId="0" applyFont="1" applyBorder="1" applyAlignment="1" applyProtection="1">
      <alignment horizontal="center" vertical="center" textRotation="90"/>
      <protection locked="0" hidden="1"/>
    </xf>
    <xf numFmtId="0" fontId="7" fillId="3" borderId="3" xfId="0" applyFont="1" applyFill="1" applyBorder="1" applyAlignment="1" applyProtection="1">
      <alignment horizontal="center" vertical="center" wrapText="1"/>
      <protection locked="0" hidden="1"/>
    </xf>
    <xf numFmtId="0" fontId="1" fillId="0" borderId="3" xfId="0" applyFont="1" applyBorder="1" applyAlignment="1" applyProtection="1">
      <alignment horizontal="center" vertical="center"/>
      <protection locked="0" hidden="1"/>
    </xf>
    <xf numFmtId="0" fontId="1" fillId="0" borderId="7" xfId="0" applyFont="1" applyBorder="1" applyAlignment="1" applyProtection="1">
      <alignment horizontal="center" vertical="center"/>
      <protection locked="0" hidden="1"/>
    </xf>
    <xf numFmtId="0" fontId="1" fillId="0" borderId="60" xfId="0" applyFont="1" applyFill="1" applyBorder="1" applyAlignment="1" applyProtection="1">
      <alignment horizontal="center" vertical="center"/>
      <protection locked="0" hidden="1"/>
    </xf>
    <xf numFmtId="0" fontId="0" fillId="4" borderId="7" xfId="0" applyFont="1" applyFill="1" applyBorder="1" applyAlignment="1" applyProtection="1">
      <alignment horizontal="center" vertical="center"/>
      <protection locked="0" hidden="1"/>
    </xf>
    <xf numFmtId="0" fontId="0" fillId="10" borderId="7" xfId="0" applyFont="1" applyFill="1" applyBorder="1" applyAlignment="1" applyProtection="1">
      <alignment horizontal="center" vertical="center"/>
      <protection locked="0" hidden="1"/>
    </xf>
    <xf numFmtId="0" fontId="1" fillId="0" borderId="3" xfId="0" applyFont="1" applyFill="1" applyBorder="1" applyAlignment="1" applyProtection="1">
      <alignment horizontal="center" vertical="center"/>
      <protection locked="0" hidden="1"/>
    </xf>
    <xf numFmtId="0" fontId="1" fillId="0" borderId="4" xfId="0" applyFont="1" applyFill="1" applyBorder="1" applyAlignment="1" applyProtection="1">
      <alignment horizontal="center" vertical="center"/>
      <protection locked="0" hidden="1"/>
    </xf>
    <xf numFmtId="0" fontId="1" fillId="0" borderId="7" xfId="0" applyFont="1" applyFill="1" applyBorder="1" applyAlignment="1" applyProtection="1">
      <alignment horizontal="center" vertical="center"/>
      <protection locked="0" hidden="1"/>
    </xf>
    <xf numFmtId="0" fontId="0" fillId="5" borderId="7" xfId="0" applyFont="1" applyFill="1" applyBorder="1" applyAlignment="1" applyProtection="1">
      <alignment horizontal="center" vertical="center"/>
      <protection locked="0" hidden="1"/>
    </xf>
    <xf numFmtId="0" fontId="0" fillId="0" borderId="60" xfId="0" applyFont="1" applyFill="1" applyBorder="1" applyAlignment="1" applyProtection="1">
      <alignment horizontal="center" vertical="center"/>
      <protection locked="0" hidden="1"/>
    </xf>
    <xf numFmtId="0" fontId="5" fillId="15" borderId="5" xfId="0" applyFont="1" applyFill="1" applyBorder="1" applyAlignment="1" applyProtection="1">
      <alignment horizontal="center" vertical="center"/>
      <protection locked="0" hidden="1"/>
    </xf>
    <xf numFmtId="0" fontId="1" fillId="0" borderId="0" xfId="0" applyFont="1" applyProtection="1">
      <protection locked="0" hidden="1"/>
    </xf>
    <xf numFmtId="0" fontId="0" fillId="0" borderId="17" xfId="0" applyFont="1" applyBorder="1" applyAlignment="1" applyProtection="1">
      <alignment horizontal="center" vertical="center"/>
      <protection locked="0" hidden="1"/>
    </xf>
    <xf numFmtId="0" fontId="0" fillId="0" borderId="18" xfId="0" applyFont="1" applyBorder="1" applyAlignment="1" applyProtection="1">
      <alignment horizontal="center" vertical="center"/>
      <protection locked="0" hidden="1"/>
    </xf>
    <xf numFmtId="0" fontId="0" fillId="0" borderId="19" xfId="0" applyFont="1" applyBorder="1" applyAlignment="1" applyProtection="1">
      <alignment horizontal="center" vertical="center"/>
      <protection locked="0" hidden="1"/>
    </xf>
    <xf numFmtId="0" fontId="0" fillId="0" borderId="61" xfId="0" applyFont="1" applyFill="1" applyBorder="1" applyAlignment="1" applyProtection="1">
      <alignment horizontal="center" vertical="center"/>
      <protection locked="0" hidden="1"/>
    </xf>
    <xf numFmtId="0" fontId="0" fillId="6" borderId="62" xfId="0" applyFont="1" applyFill="1" applyBorder="1" applyAlignment="1" applyProtection="1">
      <alignment horizontal="center" vertical="center"/>
      <protection locked="0" hidden="1"/>
    </xf>
    <xf numFmtId="0" fontId="5" fillId="7" borderId="58" xfId="0" applyFont="1" applyFill="1" applyBorder="1" applyAlignment="1" applyProtection="1">
      <alignment horizontal="center" vertical="center"/>
      <protection locked="0" hidden="1"/>
    </xf>
    <xf numFmtId="0" fontId="0" fillId="0" borderId="20" xfId="0" applyFont="1" applyBorder="1" applyAlignment="1" applyProtection="1">
      <alignment horizontal="center" vertical="center"/>
      <protection locked="0" hidden="1"/>
    </xf>
    <xf numFmtId="0" fontId="0" fillId="0" borderId="23" xfId="0" applyFont="1" applyBorder="1" applyAlignment="1" applyProtection="1">
      <alignment horizontal="center" vertical="center"/>
      <protection locked="0" hidden="1"/>
    </xf>
    <xf numFmtId="0" fontId="0" fillId="0" borderId="24" xfId="0" applyFont="1" applyBorder="1" applyAlignment="1" applyProtection="1">
      <alignment horizontal="center" vertical="center"/>
      <protection locked="0" hidden="1"/>
    </xf>
    <xf numFmtId="0" fontId="0" fillId="0" borderId="25" xfId="0" applyFont="1" applyBorder="1" applyAlignment="1" applyProtection="1">
      <alignment horizontal="center" vertical="center"/>
      <protection locked="0" hidden="1"/>
    </xf>
    <xf numFmtId="0" fontId="0" fillId="0" borderId="51" xfId="0" applyFont="1" applyFill="1" applyBorder="1" applyAlignment="1" applyProtection="1">
      <alignment horizontal="center" vertical="center"/>
      <protection locked="0" hidden="1"/>
    </xf>
    <xf numFmtId="0" fontId="0" fillId="6" borderId="22" xfId="0" applyFont="1" applyFill="1" applyBorder="1" applyAlignment="1" applyProtection="1">
      <alignment horizontal="center" vertical="center"/>
      <protection locked="0" hidden="1"/>
    </xf>
    <xf numFmtId="0" fontId="5" fillId="7" borderId="64" xfId="0" applyFont="1" applyFill="1" applyBorder="1" applyAlignment="1" applyProtection="1">
      <alignment horizontal="center" vertical="center"/>
      <protection locked="0" hidden="1"/>
    </xf>
    <xf numFmtId="0" fontId="0" fillId="0" borderId="26" xfId="0" applyFont="1" applyBorder="1" applyAlignment="1" applyProtection="1">
      <alignment horizontal="center" vertical="center"/>
      <protection locked="0" hidden="1"/>
    </xf>
    <xf numFmtId="0" fontId="0" fillId="0" borderId="28" xfId="0" applyFont="1" applyBorder="1" applyAlignment="1" applyProtection="1">
      <alignment horizontal="center" vertical="center"/>
      <protection locked="0" hidden="1"/>
    </xf>
    <xf numFmtId="0" fontId="0" fillId="0" borderId="29" xfId="0" applyFont="1" applyBorder="1" applyAlignment="1" applyProtection="1">
      <alignment horizontal="center" vertical="center"/>
      <protection locked="0" hidden="1"/>
    </xf>
    <xf numFmtId="0" fontId="0" fillId="0" borderId="30" xfId="0" applyFont="1" applyBorder="1" applyAlignment="1" applyProtection="1">
      <alignment horizontal="center" vertical="center"/>
      <protection locked="0" hidden="1"/>
    </xf>
    <xf numFmtId="0" fontId="0" fillId="0" borderId="59" xfId="0" applyFont="1" applyFill="1" applyBorder="1" applyAlignment="1" applyProtection="1">
      <alignment horizontal="center" vertical="center"/>
      <protection locked="0" hidden="1"/>
    </xf>
    <xf numFmtId="0" fontId="0" fillId="6" borderId="63" xfId="0" applyFont="1" applyFill="1" applyBorder="1" applyAlignment="1" applyProtection="1">
      <alignment horizontal="center" vertical="center"/>
      <protection locked="0" hidden="1"/>
    </xf>
    <xf numFmtId="0" fontId="5" fillId="7" borderId="57" xfId="0" applyFont="1" applyFill="1" applyBorder="1" applyAlignment="1" applyProtection="1">
      <alignment horizontal="center" vertical="center"/>
      <protection locked="0" hidden="1"/>
    </xf>
    <xf numFmtId="0" fontId="0" fillId="0" borderId="75" xfId="0" applyFont="1" applyBorder="1" applyAlignment="1" applyProtection="1">
      <alignment horizontal="center" vertical="center"/>
      <protection locked="0" hidden="1"/>
    </xf>
    <xf numFmtId="0" fontId="1" fillId="0" borderId="6" xfId="0" applyFont="1" applyFill="1" applyBorder="1" applyAlignment="1" applyProtection="1">
      <alignment horizontal="center" vertical="center"/>
      <protection locked="0" hidden="1"/>
    </xf>
    <xf numFmtId="0" fontId="1" fillId="0" borderId="0" xfId="0" applyFont="1" applyFill="1" applyProtection="1">
      <protection locked="0" hidden="1"/>
    </xf>
    <xf numFmtId="0" fontId="6" fillId="0" borderId="61" xfId="0" applyFont="1" applyFill="1" applyBorder="1" applyAlignment="1" applyProtection="1">
      <alignment horizontal="center" vertical="center"/>
      <protection locked="0" hidden="1"/>
    </xf>
    <xf numFmtId="0" fontId="7" fillId="8" borderId="3" xfId="0" applyFont="1" applyFill="1" applyBorder="1" applyAlignment="1" applyProtection="1">
      <alignment horizontal="center" vertical="center" wrapText="1"/>
      <protection locked="0" hidden="1"/>
    </xf>
    <xf numFmtId="0" fontId="1" fillId="0" borderId="6" xfId="0" applyFont="1" applyBorder="1" applyAlignment="1" applyProtection="1">
      <alignment horizontal="center" vertical="center"/>
      <protection locked="0" hidden="1"/>
    </xf>
    <xf numFmtId="0" fontId="6" fillId="0" borderId="59" xfId="0" applyFont="1" applyFill="1" applyBorder="1" applyAlignment="1" applyProtection="1">
      <alignment horizontal="center" vertical="center"/>
      <protection locked="0" hidden="1"/>
    </xf>
    <xf numFmtId="0" fontId="5" fillId="11" borderId="58" xfId="0" applyFont="1" applyFill="1" applyBorder="1" applyAlignment="1" applyProtection="1">
      <alignment horizontal="center" vertical="center"/>
      <protection locked="0" hidden="1"/>
    </xf>
    <xf numFmtId="0" fontId="0" fillId="0" borderId="41" xfId="0" applyFont="1" applyBorder="1" applyAlignment="1" applyProtection="1">
      <alignment horizontal="center" vertical="center"/>
      <protection locked="0" hidden="1"/>
    </xf>
    <xf numFmtId="0" fontId="0" fillId="0" borderId="42" xfId="0" applyFont="1" applyBorder="1" applyAlignment="1" applyProtection="1">
      <alignment horizontal="center" vertical="center"/>
      <protection locked="0" hidden="1"/>
    </xf>
    <xf numFmtId="0" fontId="0" fillId="0" borderId="76" xfId="0" applyFont="1" applyBorder="1" applyAlignment="1" applyProtection="1">
      <alignment horizontal="center" vertical="center"/>
      <protection locked="0" hidden="1"/>
    </xf>
    <xf numFmtId="0" fontId="0" fillId="0" borderId="55" xfId="0" applyFont="1" applyFill="1" applyBorder="1" applyAlignment="1" applyProtection="1">
      <alignment horizontal="center" vertical="center"/>
      <protection locked="0" hidden="1"/>
    </xf>
    <xf numFmtId="0" fontId="0" fillId="6" borderId="31" xfId="0" applyFont="1" applyFill="1" applyBorder="1" applyAlignment="1" applyProtection="1">
      <alignment horizontal="center" vertical="center"/>
      <protection locked="0" hidden="1"/>
    </xf>
    <xf numFmtId="0" fontId="5" fillId="7" borderId="65" xfId="0" applyFont="1" applyFill="1" applyBorder="1" applyAlignment="1" applyProtection="1">
      <alignment horizontal="center" vertical="center"/>
      <protection locked="0" hidden="1"/>
    </xf>
    <xf numFmtId="0" fontId="0" fillId="0" borderId="43" xfId="0" applyFont="1" applyBorder="1" applyAlignment="1" applyProtection="1">
      <alignment horizontal="center" vertical="center"/>
      <protection locked="0" hidden="1"/>
    </xf>
    <xf numFmtId="0" fontId="1" fillId="0" borderId="0" xfId="0" applyFont="1" applyAlignment="1" applyProtection="1">
      <alignment horizontal="center" vertical="center"/>
      <protection locked="0" hidden="1"/>
    </xf>
    <xf numFmtId="0" fontId="1" fillId="0" borderId="60" xfId="0" applyNumberFormat="1" applyFont="1" applyBorder="1" applyAlignment="1" applyProtection="1">
      <alignment horizontal="center" vertical="center"/>
      <protection locked="0" hidden="1"/>
    </xf>
    <xf numFmtId="2" fontId="0" fillId="9" borderId="85" xfId="0" applyNumberFormat="1" applyFont="1" applyFill="1" applyBorder="1" applyAlignment="1" applyProtection="1">
      <alignment horizontal="center" vertical="center"/>
      <protection locked="0" hidden="1"/>
    </xf>
    <xf numFmtId="2" fontId="0" fillId="18" borderId="85" xfId="0" applyNumberFormat="1" applyFont="1" applyFill="1" applyBorder="1" applyAlignment="1" applyProtection="1">
      <alignment horizontal="center" vertical="center"/>
      <protection locked="0" hidden="1"/>
    </xf>
    <xf numFmtId="2" fontId="0" fillId="16" borderId="85" xfId="0" applyNumberFormat="1" applyFont="1" applyFill="1" applyBorder="1" applyAlignment="1" applyProtection="1">
      <alignment horizontal="center" vertical="center"/>
      <protection locked="0" hidden="1"/>
    </xf>
    <xf numFmtId="0" fontId="4" fillId="0" borderId="0" xfId="0" applyFont="1" applyProtection="1">
      <protection locked="0" hidden="1"/>
    </xf>
    <xf numFmtId="0" fontId="4" fillId="0" borderId="0" xfId="0" applyFont="1" applyBorder="1" applyAlignment="1" applyProtection="1">
      <alignment horizontal="center" vertical="center" textRotation="90"/>
      <protection locked="0" hidden="1"/>
    </xf>
    <xf numFmtId="0" fontId="4" fillId="0" borderId="0" xfId="0" applyFont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0" fillId="19" borderId="13" xfId="0" applyFont="1" applyFill="1" applyBorder="1" applyAlignment="1" applyProtection="1">
      <alignment horizontal="center" vertical="center" wrapText="1"/>
      <protection hidden="1"/>
    </xf>
    <xf numFmtId="0" fontId="0" fillId="19" borderId="14" xfId="0" applyFont="1" applyFill="1" applyBorder="1" applyAlignment="1" applyProtection="1">
      <alignment horizontal="center" vertical="center" wrapText="1"/>
      <protection hidden="1"/>
    </xf>
    <xf numFmtId="0" fontId="0" fillId="0" borderId="39" xfId="0" applyFont="1" applyBorder="1" applyAlignment="1" applyProtection="1">
      <alignment horizontal="center" vertical="center" textRotation="90"/>
      <protection hidden="1"/>
    </xf>
    <xf numFmtId="0" fontId="0" fillId="0" borderId="80" xfId="0" applyFont="1" applyBorder="1" applyAlignment="1" applyProtection="1">
      <alignment horizontal="center" vertical="center"/>
      <protection hidden="1"/>
    </xf>
    <xf numFmtId="0" fontId="7" fillId="3" borderId="12" xfId="0" applyFont="1" applyFill="1" applyBorder="1" applyAlignment="1" applyProtection="1">
      <alignment horizontal="center" vertical="center" wrapText="1"/>
      <protection hidden="1"/>
    </xf>
    <xf numFmtId="0" fontId="7" fillId="8" borderId="12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1" fillId="0" borderId="4" xfId="0" applyFont="1" applyBorder="1" applyAlignment="1" applyProtection="1">
      <alignment horizontal="centerContinuous" vertical="center"/>
      <protection locked="0" hidden="1"/>
    </xf>
    <xf numFmtId="0" fontId="0" fillId="21" borderId="7" xfId="0" applyFont="1" applyFill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centerContinuous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3" xfId="0" applyFont="1" applyFill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 textRotation="90"/>
      <protection hidden="1"/>
    </xf>
    <xf numFmtId="0" fontId="1" fillId="4" borderId="3" xfId="0" applyFont="1" applyFill="1" applyBorder="1" applyAlignment="1" applyProtection="1">
      <alignment horizontal="centerContinuous" vertical="center" wrapText="1"/>
      <protection hidden="1"/>
    </xf>
    <xf numFmtId="0" fontId="1" fillId="4" borderId="7" xfId="0" applyFont="1" applyFill="1" applyBorder="1" applyAlignment="1" applyProtection="1">
      <alignment horizontal="centerContinuous" vertical="center" wrapText="1"/>
      <protection hidden="1"/>
    </xf>
    <xf numFmtId="0" fontId="1" fillId="0" borderId="60" xfId="0" applyFont="1" applyFill="1" applyBorder="1" applyAlignment="1" applyProtection="1">
      <alignment horizontal="center" vertical="center"/>
      <protection hidden="1"/>
    </xf>
    <xf numFmtId="0" fontId="0" fillId="4" borderId="7" xfId="0" applyFont="1" applyFill="1" applyBorder="1" applyAlignment="1" applyProtection="1">
      <alignment horizontal="center" vertical="center"/>
      <protection hidden="1"/>
    </xf>
    <xf numFmtId="0" fontId="0" fillId="0" borderId="61" xfId="0" applyFont="1" applyFill="1" applyBorder="1" applyAlignment="1" applyProtection="1">
      <alignment horizontal="center" vertical="center"/>
      <protection hidden="1"/>
    </xf>
    <xf numFmtId="0" fontId="0" fillId="6" borderId="62" xfId="0" applyFont="1" applyFill="1" applyBorder="1" applyAlignment="1" applyProtection="1">
      <alignment horizontal="center" vertical="center"/>
      <protection hidden="1"/>
    </xf>
    <xf numFmtId="0" fontId="0" fillId="0" borderId="51" xfId="0" applyFont="1" applyFill="1" applyBorder="1" applyAlignment="1" applyProtection="1">
      <alignment horizontal="center" vertical="center"/>
      <protection hidden="1"/>
    </xf>
    <xf numFmtId="0" fontId="0" fillId="6" borderId="22" xfId="0" applyFont="1" applyFill="1" applyBorder="1" applyAlignment="1" applyProtection="1">
      <alignment horizontal="center" vertical="center"/>
      <protection hidden="1"/>
    </xf>
    <xf numFmtId="0" fontId="0" fillId="0" borderId="59" xfId="0" applyFont="1" applyFill="1" applyBorder="1" applyAlignment="1" applyProtection="1">
      <alignment horizontal="center" vertical="center"/>
      <protection hidden="1"/>
    </xf>
    <xf numFmtId="0" fontId="0" fillId="6" borderId="63" xfId="0" applyFont="1" applyFill="1" applyBorder="1" applyAlignment="1" applyProtection="1">
      <alignment horizontal="center" vertical="center"/>
      <protection hidden="1"/>
    </xf>
    <xf numFmtId="0" fontId="0" fillId="0" borderId="55" xfId="0" applyFont="1" applyFill="1" applyBorder="1" applyAlignment="1" applyProtection="1">
      <alignment horizontal="center" vertical="center"/>
      <protection hidden="1"/>
    </xf>
    <xf numFmtId="0" fontId="0" fillId="6" borderId="31" xfId="0" applyFont="1" applyFill="1" applyBorder="1" applyAlignment="1" applyProtection="1">
      <alignment horizontal="center" vertical="center"/>
      <protection hidden="1"/>
    </xf>
    <xf numFmtId="0" fontId="1" fillId="0" borderId="60" xfId="0" applyNumberFormat="1" applyFont="1" applyBorder="1" applyAlignment="1" applyProtection="1">
      <alignment horizontal="center" vertical="center"/>
      <protection hidden="1"/>
    </xf>
    <xf numFmtId="2" fontId="0" fillId="9" borderId="85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horizontal="center" vertical="center" textRotation="90"/>
      <protection hidden="1"/>
    </xf>
    <xf numFmtId="0" fontId="1" fillId="10" borderId="3" xfId="0" applyFont="1" applyFill="1" applyBorder="1" applyAlignment="1" applyProtection="1">
      <alignment horizontal="centerContinuous" vertical="center" wrapText="1"/>
      <protection hidden="1"/>
    </xf>
    <xf numFmtId="0" fontId="1" fillId="10" borderId="7" xfId="0" applyFont="1" applyFill="1" applyBorder="1" applyAlignment="1" applyProtection="1">
      <alignment horizontal="centerContinuous" vertical="center" wrapText="1"/>
      <protection hidden="1"/>
    </xf>
    <xf numFmtId="0" fontId="0" fillId="10" borderId="7" xfId="0" applyFont="1" applyFill="1" applyBorder="1" applyAlignment="1" applyProtection="1">
      <alignment horizontal="center" vertical="center"/>
      <protection hidden="1"/>
    </xf>
    <xf numFmtId="2" fontId="0" fillId="18" borderId="85" xfId="0" applyNumberFormat="1" applyFont="1" applyFill="1" applyBorder="1" applyAlignment="1" applyProtection="1">
      <alignment horizontal="center" vertical="center"/>
      <protection hidden="1"/>
    </xf>
    <xf numFmtId="0" fontId="1" fillId="0" borderId="65" xfId="0" applyFont="1" applyBorder="1" applyAlignment="1" applyProtection="1">
      <alignment horizontal="center" vertical="center" textRotation="90"/>
      <protection hidden="1"/>
    </xf>
    <xf numFmtId="0" fontId="1" fillId="0" borderId="5" xfId="0" applyFont="1" applyBorder="1" applyAlignment="1" applyProtection="1">
      <alignment horizontal="centerContinuous" vertical="center"/>
      <protection hidden="1"/>
    </xf>
    <xf numFmtId="0" fontId="1" fillId="5" borderId="3" xfId="0" applyFont="1" applyFill="1" applyBorder="1" applyAlignment="1" applyProtection="1">
      <alignment horizontal="centerContinuous" vertical="center" wrapText="1"/>
      <protection hidden="1"/>
    </xf>
    <xf numFmtId="0" fontId="1" fillId="5" borderId="7" xfId="0" applyFont="1" applyFill="1" applyBorder="1" applyAlignment="1" applyProtection="1">
      <alignment horizontal="centerContinuous" vertical="center" wrapText="1"/>
      <protection hidden="1"/>
    </xf>
    <xf numFmtId="0" fontId="1" fillId="15" borderId="3" xfId="0" applyFont="1" applyFill="1" applyBorder="1" applyAlignment="1" applyProtection="1">
      <alignment horizontal="centerContinuous" vertical="center"/>
      <protection hidden="1"/>
    </xf>
    <xf numFmtId="0" fontId="1" fillId="15" borderId="5" xfId="0" applyFont="1" applyFill="1" applyBorder="1" applyAlignment="1" applyProtection="1">
      <alignment horizontal="centerContinuous" vertical="center"/>
      <protection hidden="1"/>
    </xf>
    <xf numFmtId="0" fontId="0" fillId="5" borderId="7" xfId="0" applyFont="1" applyFill="1" applyBorder="1" applyAlignment="1" applyProtection="1">
      <alignment horizontal="center" vertical="center"/>
      <protection hidden="1"/>
    </xf>
    <xf numFmtId="0" fontId="0" fillId="0" borderId="60" xfId="0" applyFont="1" applyFill="1" applyBorder="1" applyAlignment="1" applyProtection="1">
      <alignment horizontal="center" vertical="center"/>
      <protection hidden="1"/>
    </xf>
    <xf numFmtId="0" fontId="5" fillId="15" borderId="5" xfId="0" applyFont="1" applyFill="1" applyBorder="1" applyAlignment="1" applyProtection="1">
      <alignment horizontal="center" vertical="center"/>
      <protection hidden="1"/>
    </xf>
    <xf numFmtId="0" fontId="5" fillId="7" borderId="58" xfId="0" applyFont="1" applyFill="1" applyBorder="1" applyAlignment="1" applyProtection="1">
      <alignment horizontal="center" vertical="center"/>
      <protection hidden="1"/>
    </xf>
    <xf numFmtId="0" fontId="5" fillId="7" borderId="64" xfId="0" applyFont="1" applyFill="1" applyBorder="1" applyAlignment="1" applyProtection="1">
      <alignment horizontal="center" vertical="center"/>
      <protection hidden="1"/>
    </xf>
    <xf numFmtId="0" fontId="5" fillId="7" borderId="57" xfId="0" applyFont="1" applyFill="1" applyBorder="1" applyAlignment="1" applyProtection="1">
      <alignment horizontal="center" vertical="center"/>
      <protection hidden="1"/>
    </xf>
    <xf numFmtId="0" fontId="6" fillId="0" borderId="61" xfId="0" applyFont="1" applyFill="1" applyBorder="1" applyAlignment="1" applyProtection="1">
      <alignment horizontal="center" vertical="center"/>
      <protection hidden="1"/>
    </xf>
    <xf numFmtId="0" fontId="6" fillId="0" borderId="59" xfId="0" applyFont="1" applyFill="1" applyBorder="1" applyAlignment="1" applyProtection="1">
      <alignment horizontal="center" vertical="center"/>
      <protection hidden="1"/>
    </xf>
    <xf numFmtId="0" fontId="5" fillId="11" borderId="58" xfId="0" applyFont="1" applyFill="1" applyBorder="1" applyAlignment="1" applyProtection="1">
      <alignment horizontal="center" vertical="center"/>
      <protection hidden="1"/>
    </xf>
    <xf numFmtId="0" fontId="5" fillId="7" borderId="65" xfId="0" applyFont="1" applyFill="1" applyBorder="1" applyAlignment="1" applyProtection="1">
      <alignment horizontal="center" vertical="center"/>
      <protection hidden="1"/>
    </xf>
    <xf numFmtId="2" fontId="0" fillId="16" borderId="85" xfId="0" applyNumberFormat="1" applyFont="1" applyFill="1" applyBorder="1" applyAlignment="1" applyProtection="1">
      <alignment horizontal="center" vertical="center"/>
      <protection hidden="1"/>
    </xf>
    <xf numFmtId="0" fontId="0" fillId="21" borderId="82" xfId="0" applyFont="1" applyFill="1" applyBorder="1" applyAlignment="1" applyProtection="1">
      <alignment horizontal="center" vertical="center"/>
      <protection hidden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0" fillId="0" borderId="94" xfId="0" applyFont="1" applyBorder="1" applyAlignment="1" applyProtection="1">
      <alignment horizontal="center" vertical="center" textRotation="90"/>
      <protection locked="0" hidden="1"/>
    </xf>
    <xf numFmtId="0" fontId="0" fillId="20" borderId="37" xfId="0" applyFill="1" applyBorder="1" applyAlignment="1" applyProtection="1">
      <alignment horizontal="center" vertical="center"/>
    </xf>
    <xf numFmtId="0" fontId="0" fillId="20" borderId="38" xfId="0" applyFill="1" applyBorder="1" applyAlignment="1" applyProtection="1">
      <alignment horizontal="center" vertical="center"/>
    </xf>
    <xf numFmtId="0" fontId="2" fillId="20" borderId="92" xfId="0" applyFont="1" applyFill="1" applyBorder="1" applyAlignment="1" applyProtection="1">
      <alignment horizontal="center" vertical="center" wrapText="1"/>
    </xf>
    <xf numFmtId="0" fontId="2" fillId="20" borderId="93" xfId="0" applyFont="1" applyFill="1" applyBorder="1" applyAlignment="1" applyProtection="1">
      <alignment horizontal="center" vertical="center" wrapText="1"/>
    </xf>
    <xf numFmtId="0" fontId="5" fillId="21" borderId="33" xfId="0" applyFont="1" applyFill="1" applyBorder="1" applyAlignment="1" applyProtection="1">
      <alignment horizontal="center" vertical="center"/>
    </xf>
    <xf numFmtId="0" fontId="5" fillId="21" borderId="34" xfId="0" applyFont="1" applyFill="1" applyBorder="1" applyAlignment="1" applyProtection="1">
      <alignment horizontal="center" vertical="center"/>
    </xf>
    <xf numFmtId="0" fontId="0" fillId="21" borderId="48" xfId="0" applyFill="1" applyBorder="1" applyAlignment="1" applyProtection="1">
      <alignment horizontal="center" vertical="center"/>
    </xf>
    <xf numFmtId="0" fontId="0" fillId="21" borderId="49" xfId="0" applyFill="1" applyBorder="1" applyAlignment="1" applyProtection="1">
      <alignment horizontal="center" vertical="center"/>
    </xf>
    <xf numFmtId="0" fontId="0" fillId="21" borderId="50" xfId="0" applyFill="1" applyBorder="1" applyAlignment="1" applyProtection="1">
      <alignment horizontal="center" vertical="center"/>
    </xf>
    <xf numFmtId="0" fontId="0" fillId="17" borderId="32" xfId="0" applyFill="1" applyBorder="1" applyAlignment="1" applyProtection="1">
      <alignment horizontal="center" vertical="center"/>
    </xf>
    <xf numFmtId="0" fontId="0" fillId="17" borderId="33" xfId="0" applyFill="1" applyBorder="1" applyAlignment="1" applyProtection="1">
      <alignment horizontal="center" vertical="center"/>
    </xf>
    <xf numFmtId="0" fontId="0" fillId="17" borderId="34" xfId="0" applyFill="1" applyBorder="1" applyAlignment="1" applyProtection="1">
      <alignment horizontal="center" vertical="center"/>
    </xf>
    <xf numFmtId="0" fontId="0" fillId="12" borderId="32" xfId="0" applyFill="1" applyBorder="1" applyAlignment="1" applyProtection="1">
      <alignment horizontal="center" vertical="center"/>
    </xf>
    <xf numFmtId="0" fontId="0" fillId="12" borderId="33" xfId="0" applyFill="1" applyBorder="1" applyAlignment="1" applyProtection="1">
      <alignment horizontal="center" vertical="center"/>
    </xf>
    <xf numFmtId="0" fontId="0" fillId="12" borderId="34" xfId="0" applyFill="1" applyBorder="1" applyAlignment="1" applyProtection="1">
      <alignment horizontal="center" vertical="center"/>
    </xf>
    <xf numFmtId="0" fontId="0" fillId="21" borderId="8" xfId="0" applyFont="1" applyFill="1" applyBorder="1" applyAlignment="1" applyProtection="1">
      <alignment horizontal="center" vertical="center"/>
      <protection hidden="1"/>
    </xf>
    <xf numFmtId="0" fontId="0" fillId="21" borderId="81" xfId="0" applyFont="1" applyFill="1" applyBorder="1" applyAlignment="1" applyProtection="1">
      <alignment horizontal="center" vertical="center"/>
      <protection hidden="1"/>
    </xf>
    <xf numFmtId="0" fontId="5" fillId="0" borderId="16" xfId="0" applyFont="1" applyBorder="1" applyAlignment="1" applyProtection="1">
      <alignment horizontal="center" vertical="center"/>
      <protection hidden="1"/>
    </xf>
    <xf numFmtId="0" fontId="5" fillId="0" borderId="78" xfId="0" applyFont="1" applyBorder="1" applyAlignment="1" applyProtection="1">
      <alignment horizontal="center" vertical="center"/>
      <protection hidden="1"/>
    </xf>
    <xf numFmtId="0" fontId="5" fillId="0" borderId="21" xfId="0" applyFont="1" applyBorder="1" applyAlignment="1" applyProtection="1">
      <alignment horizontal="center" vertical="center"/>
      <protection hidden="1"/>
    </xf>
    <xf numFmtId="0" fontId="5" fillId="0" borderId="22" xfId="0" applyFont="1" applyBorder="1" applyAlignment="1" applyProtection="1">
      <alignment horizontal="center" vertical="center"/>
      <protection hidden="1"/>
    </xf>
    <xf numFmtId="0" fontId="5" fillId="0" borderId="27" xfId="0" applyFont="1" applyBorder="1" applyAlignment="1" applyProtection="1">
      <alignment horizontal="center" vertical="center"/>
      <protection hidden="1"/>
    </xf>
    <xf numFmtId="0" fontId="5" fillId="0" borderId="79" xfId="0" applyFont="1" applyBorder="1" applyAlignment="1" applyProtection="1">
      <alignment horizontal="center" vertical="center"/>
      <protection hidden="1"/>
    </xf>
    <xf numFmtId="0" fontId="5" fillId="0" borderId="3" xfId="0" applyFont="1" applyBorder="1" applyAlignment="1" applyProtection="1">
      <alignment horizontal="center" vertical="center"/>
      <protection hidden="1"/>
    </xf>
    <xf numFmtId="0" fontId="5" fillId="0" borderId="7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7" xfId="0" applyFont="1" applyBorder="1" applyAlignment="1" applyProtection="1">
      <alignment horizontal="center" vertical="center"/>
      <protection hidden="1"/>
    </xf>
    <xf numFmtId="0" fontId="0" fillId="13" borderId="3" xfId="0" applyFill="1" applyBorder="1" applyAlignment="1" applyProtection="1">
      <alignment horizontal="center" vertical="center" wrapText="1"/>
    </xf>
    <xf numFmtId="0" fontId="0" fillId="13" borderId="7" xfId="0" applyFill="1" applyBorder="1" applyAlignment="1" applyProtection="1">
      <alignment horizontal="center" vertical="center" wrapText="1"/>
    </xf>
    <xf numFmtId="0" fontId="0" fillId="23" borderId="13" xfId="0" applyFill="1" applyBorder="1" applyAlignment="1" applyProtection="1">
      <alignment horizontal="center" vertical="center"/>
    </xf>
    <xf numFmtId="0" fontId="0" fillId="23" borderId="14" xfId="0" applyFill="1" applyBorder="1" applyAlignment="1" applyProtection="1">
      <alignment horizontal="center" vertical="center"/>
    </xf>
  </cellXfs>
  <cellStyles count="3">
    <cellStyle name="Normal" xfId="0" builtinId="0"/>
    <cellStyle name="Normal 2" xfId="1"/>
    <cellStyle name="Normal 2 2" xfId="2"/>
  </cellStyles>
  <dxfs count="0"/>
  <tableStyles count="0" defaultTableStyle="TableStyleMedium2" defaultPivotStyle="PivotStyleLight16"/>
  <colors>
    <mruColors>
      <color rgb="FFFF5D37"/>
      <color rgb="FFB07BD7"/>
      <color rgb="FFFF3300"/>
      <color rgb="FFFFCF37"/>
      <color rgb="FFE0C13C"/>
      <color rgb="FF33CC33"/>
      <color rgb="FFFCA08E"/>
      <color rgb="FF9C5BCD"/>
      <color rgb="FF3CAA22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C33"/>
  <sheetViews>
    <sheetView zoomScale="90" zoomScaleNormal="90" workbookViewId="0">
      <selection activeCell="AC4" sqref="AC4"/>
    </sheetView>
  </sheetViews>
  <sheetFormatPr baseColWidth="10" defaultRowHeight="15" x14ac:dyDescent="0.25"/>
  <cols>
    <col min="1" max="1" width="30.7109375" style="15" customWidth="1"/>
    <col min="2" max="27" width="6.7109375" style="15" customWidth="1"/>
    <col min="28" max="28" width="3" style="15" customWidth="1"/>
    <col min="29" max="29" width="20.140625" style="15" customWidth="1"/>
    <col min="30" max="16384" width="11.42578125" style="15"/>
  </cols>
  <sheetData>
    <row r="1" spans="1:29" ht="31.5" customHeight="1" thickBot="1" x14ac:dyDescent="0.3">
      <c r="A1" s="62" t="s">
        <v>46</v>
      </c>
      <c r="B1" s="217" t="s">
        <v>0</v>
      </c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7"/>
      <c r="Z1" s="217"/>
      <c r="AA1" s="218"/>
      <c r="AC1" s="63" t="s">
        <v>40</v>
      </c>
    </row>
    <row r="2" spans="1:29" ht="24.95" customHeight="1" thickTop="1" x14ac:dyDescent="0.25">
      <c r="A2" s="219" t="s">
        <v>1</v>
      </c>
      <c r="B2" s="221" t="s">
        <v>2</v>
      </c>
      <c r="C2" s="221"/>
      <c r="D2" s="221"/>
      <c r="E2" s="222"/>
      <c r="F2" s="223" t="s">
        <v>3</v>
      </c>
      <c r="G2" s="224"/>
      <c r="H2" s="224"/>
      <c r="I2" s="225"/>
      <c r="J2" s="223" t="s">
        <v>4</v>
      </c>
      <c r="K2" s="224"/>
      <c r="L2" s="224"/>
      <c r="M2" s="225"/>
      <c r="N2" s="223" t="s">
        <v>5</v>
      </c>
      <c r="O2" s="224"/>
      <c r="P2" s="224"/>
      <c r="Q2" s="225"/>
      <c r="R2" s="223" t="s">
        <v>6</v>
      </c>
      <c r="S2" s="224"/>
      <c r="T2" s="224"/>
      <c r="U2" s="225"/>
      <c r="V2" s="226" t="s">
        <v>38</v>
      </c>
      <c r="W2" s="227"/>
      <c r="X2" s="228"/>
      <c r="Y2" s="229" t="s">
        <v>36</v>
      </c>
      <c r="Z2" s="230"/>
      <c r="AA2" s="231"/>
      <c r="AC2" s="72" t="s">
        <v>49</v>
      </c>
    </row>
    <row r="3" spans="1:29" ht="24.95" customHeight="1" thickBot="1" x14ac:dyDescent="0.3">
      <c r="A3" s="220"/>
      <c r="B3" s="33" t="s">
        <v>31</v>
      </c>
      <c r="C3" s="34" t="s">
        <v>32</v>
      </c>
      <c r="D3" s="33" t="s">
        <v>33</v>
      </c>
      <c r="E3" s="35" t="s">
        <v>10</v>
      </c>
      <c r="F3" s="36" t="s">
        <v>31</v>
      </c>
      <c r="G3" s="37" t="s">
        <v>32</v>
      </c>
      <c r="H3" s="38" t="s">
        <v>33</v>
      </c>
      <c r="I3" s="39" t="s">
        <v>10</v>
      </c>
      <c r="J3" s="40" t="s">
        <v>31</v>
      </c>
      <c r="K3" s="41" t="s">
        <v>32</v>
      </c>
      <c r="L3" s="38" t="s">
        <v>33</v>
      </c>
      <c r="M3" s="39" t="s">
        <v>10</v>
      </c>
      <c r="N3" s="36" t="s">
        <v>31</v>
      </c>
      <c r="O3" s="42" t="s">
        <v>32</v>
      </c>
      <c r="P3" s="38" t="s">
        <v>33</v>
      </c>
      <c r="Q3" s="39" t="s">
        <v>10</v>
      </c>
      <c r="R3" s="36" t="s">
        <v>31</v>
      </c>
      <c r="S3" s="42" t="s">
        <v>32</v>
      </c>
      <c r="T3" s="38" t="s">
        <v>33</v>
      </c>
      <c r="U3" s="39" t="s">
        <v>10</v>
      </c>
      <c r="V3" s="31" t="s">
        <v>31</v>
      </c>
      <c r="W3" s="32" t="s">
        <v>32</v>
      </c>
      <c r="X3" s="32" t="s">
        <v>33</v>
      </c>
      <c r="Y3" s="65"/>
      <c r="Z3" s="66"/>
      <c r="AA3" s="67"/>
      <c r="AB3" s="68"/>
      <c r="AC3" s="64" t="s">
        <v>47</v>
      </c>
    </row>
    <row r="4" spans="1:29" ht="15.75" customHeight="1" thickTop="1" x14ac:dyDescent="0.25">
      <c r="A4" s="69" t="str">
        <f ca="1">CELL("contenu",INDIRECT(ADDRESS(ROW()-2,1,1,,CELL("contenu",$AC$3))))</f>
        <v>BERNARD--MENU Philomene</v>
      </c>
      <c r="B4" s="2" t="str">
        <f ca="1">CELL("contenu",INDIRECT(ADDRESS(ref!$K$3,ref!E3,1,,CELL("contenu",$AC$2))))</f>
        <v>C</v>
      </c>
      <c r="C4" s="3" t="str">
        <f ca="1">CELL("contenu",INDIRECT(ADDRESS(ref!$K$3,ref!F3,1,,CELL("contenu",$AC$2))))</f>
        <v>C</v>
      </c>
      <c r="D4" s="4" t="str">
        <f ca="1">CELL("contenu",INDIRECT(ADDRESS(ref!$K$3,ref!G3,1,,CELL("contenu",$AC$2))))</f>
        <v>C</v>
      </c>
      <c r="E4" s="5" t="str">
        <f ca="1">CELL("contenu",INDIRECT(ADDRESS(ref!$K$3,ref!H3,1,,CELL("contenu",$AC$2))))</f>
        <v>C</v>
      </c>
      <c r="F4" s="6" t="str">
        <f ca="1">CELL("contenu",INDIRECT(ADDRESS(ref!$K$4,ref!E3,1,,CELL("contenu",$AC$2))))</f>
        <v/>
      </c>
      <c r="G4" s="3" t="str">
        <f ca="1">CELL("contenu",INDIRECT(ADDRESS(ref!$K$4,ref!F3,1,,CELL("contenu",$AC$2))))</f>
        <v>B</v>
      </c>
      <c r="H4" s="4" t="str">
        <f ca="1">CELL("contenu",INDIRECT(ADDRESS(ref!$K$4,ref!G3,1,,CELL("contenu",$AC$2))))</f>
        <v>B</v>
      </c>
      <c r="I4" s="5" t="str">
        <f ca="1">CELL("contenu",INDIRECT(ADDRESS(ref!$K$4,ref!H3,1,,CELL("contenu",$AC$2))))</f>
        <v>B</v>
      </c>
      <c r="J4" s="6" t="str">
        <f ca="1">CELL("contenu",INDIRECT(ADDRESS(ref!$K$5,ref!E3,1,,CELL("contenu",$AC$2))))</f>
        <v>A</v>
      </c>
      <c r="K4" s="3" t="str">
        <f ca="1">CELL("contenu",INDIRECT(ADDRESS(ref!$K$5,ref!F3,1,,CELL("contenu",$AC$2))))</f>
        <v>A</v>
      </c>
      <c r="L4" s="4" t="str">
        <f ca="1">CELL("contenu",INDIRECT(ADDRESS(ref!$K$5,ref!G3,1,,CELL("contenu",$AC$2))))</f>
        <v>A</v>
      </c>
      <c r="M4" s="5" t="str">
        <f ca="1">CELL("contenu",INDIRECT(ADDRESS(ref!$K$5,ref!H3,1,,CELL("contenu",$AC$2))))</f>
        <v>A</v>
      </c>
      <c r="N4" s="6" t="str">
        <f ca="1">CELL("contenu",INDIRECT(ADDRESS(ref!$K$6,ref!E3,1,,CELL("contenu",$AC$2))))</f>
        <v>C</v>
      </c>
      <c r="O4" s="3" t="str">
        <f ca="1">CELL("contenu",INDIRECT(ADDRESS(ref!$K$6,ref!F3,1,,CELL("contenu",$AC$2))))</f>
        <v>C</v>
      </c>
      <c r="P4" s="4" t="str">
        <f ca="1">CELL("contenu",INDIRECT(ADDRESS(ref!$K$6,ref!G3,1,,CELL("contenu",$AC$2))))</f>
        <v>C</v>
      </c>
      <c r="Q4" s="5" t="str">
        <f ca="1">CELL("contenu",INDIRECT(ADDRESS(ref!$K$6,ref!H3,1,,CELL("contenu",$AC$2))))</f>
        <v>C</v>
      </c>
      <c r="R4" s="6" t="str">
        <f ca="1">CELL("contenu",INDIRECT(ADDRESS(ref!$K$7,ref!E3,1,,CELL("contenu",$AC$2))))</f>
        <v>C</v>
      </c>
      <c r="S4" s="3" t="str">
        <f ca="1">CELL("contenu",INDIRECT(ADDRESS(ref!$K$7,ref!F3,1,,CELL("contenu",$AC$2))))</f>
        <v/>
      </c>
      <c r="T4" s="4" t="str">
        <f ca="1">CELL("contenu",INDIRECT(ADDRESS(ref!$K$7,ref!G3,1,,CELL("contenu",$AC$2))))</f>
        <v/>
      </c>
      <c r="U4" s="5" t="str">
        <f ca="1">CELL("contenu",INDIRECT(ADDRESS(ref!$K$7,ref!H3,1,,CELL("contenu",$AC$2))))</f>
        <v>C</v>
      </c>
      <c r="V4" s="43">
        <f ca="1">CELL("contenu",INDIRECT(ADDRESS(ref!$K$8,ref!E3,1,,CELL("contenu",$AC$2))))</f>
        <v>14.166666666666668</v>
      </c>
      <c r="W4" s="44">
        <f ca="1">CELL("contenu",INDIRECT(ADDRESS(ref!$K$8,ref!F3,1,,CELL("contenu",$AC$2))))</f>
        <v>14.583333333333332</v>
      </c>
      <c r="X4" s="45">
        <f ca="1">CELL("contenu",INDIRECT(ADDRESS(ref!$K$8,ref!G3,1,,CELL("contenu",$AC$2))))</f>
        <v>14.027777777777779</v>
      </c>
      <c r="Y4" s="7" t="str">
        <f ca="1">CELL("contenu",INDIRECT(ADDRESS(ref!$K$9,ref!H3,1,,CELL("contenu",$AC$2))))</f>
        <v>B</v>
      </c>
      <c r="Z4" s="4" t="str">
        <f ca="1">CELL("contenu",INDIRECT(ADDRESS(ref!$K$10,ref!H3,1,,CELL("contenu",$AC$2))))</f>
        <v/>
      </c>
      <c r="AA4" s="8" t="str">
        <f ca="1">CELL("contenu",INDIRECT(ADDRESS(ref!$K$11,ref!H3,1,,CELL("contenu",$AC$2))))</f>
        <v>A</v>
      </c>
    </row>
    <row r="5" spans="1:29" x14ac:dyDescent="0.25">
      <c r="A5" s="70" t="str">
        <f ca="1">CELL("contenu",INDIRECT(ADDRESS(ROW()-2,1,1,,CELL("contenu",$AC$3))))</f>
        <v>BREDIN Margaux</v>
      </c>
      <c r="B5" s="2" t="str">
        <f ca="1">CELL("contenu",INDIRECT(ADDRESS(ref!$K$3,ref!E4,1,,CELL("contenu",$AC$2))))</f>
        <v>C</v>
      </c>
      <c r="C5" s="3" t="str">
        <f ca="1">CELL("contenu",INDIRECT(ADDRESS(ref!$K$3,ref!F4,1,,CELL("contenu",$AC$2))))</f>
        <v>C</v>
      </c>
      <c r="D5" s="4" t="str">
        <f ca="1">CELL("contenu",INDIRECT(ADDRESS(ref!$K$3,ref!G4,1,,CELL("contenu",$AC$2))))</f>
        <v>C</v>
      </c>
      <c r="E5" s="5" t="str">
        <f ca="1">CELL("contenu",INDIRECT(ADDRESS(ref!$K$3,ref!H4,1,,CELL("contenu",$AC$2))))</f>
        <v>C</v>
      </c>
      <c r="F5" s="6" t="str">
        <f ca="1">CELL("contenu",INDIRECT(ADDRESS(ref!$K$4,ref!E4,1,,CELL("contenu",$AC$2))))</f>
        <v/>
      </c>
      <c r="G5" s="3" t="str">
        <f ca="1">CELL("contenu",INDIRECT(ADDRESS(ref!$K$4,ref!F4,1,,CELL("contenu",$AC$2))))</f>
        <v>B</v>
      </c>
      <c r="H5" s="4" t="str">
        <f ca="1">CELL("contenu",INDIRECT(ADDRESS(ref!$K$4,ref!G4,1,,CELL("contenu",$AC$2))))</f>
        <v>B</v>
      </c>
      <c r="I5" s="5" t="str">
        <f ca="1">CELL("contenu",INDIRECT(ADDRESS(ref!$K$4,ref!H4,1,,CELL("contenu",$AC$2))))</f>
        <v>B</v>
      </c>
      <c r="J5" s="6" t="str">
        <f ca="1">CELL("contenu",INDIRECT(ADDRESS(ref!$K$5,ref!E4,1,,CELL("contenu",$AC$2))))</f>
        <v>A</v>
      </c>
      <c r="K5" s="3" t="str">
        <f ca="1">CELL("contenu",INDIRECT(ADDRESS(ref!$K$5,ref!F4,1,,CELL("contenu",$AC$2))))</f>
        <v>A</v>
      </c>
      <c r="L5" s="4" t="str">
        <f ca="1">CELL("contenu",INDIRECT(ADDRESS(ref!$K$5,ref!G4,1,,CELL("contenu",$AC$2))))</f>
        <v>A</v>
      </c>
      <c r="M5" s="5" t="str">
        <f ca="1">CELL("contenu",INDIRECT(ADDRESS(ref!$K$5,ref!H4,1,,CELL("contenu",$AC$2))))</f>
        <v>A</v>
      </c>
      <c r="N5" s="6" t="str">
        <f ca="1">CELL("contenu",INDIRECT(ADDRESS(ref!$K$6,ref!E4,1,,CELL("contenu",$AC$2))))</f>
        <v>C</v>
      </c>
      <c r="O5" s="3" t="str">
        <f ca="1">CELL("contenu",INDIRECT(ADDRESS(ref!$K$6,ref!F4,1,,CELL("contenu",$AC$2))))</f>
        <v>C</v>
      </c>
      <c r="P5" s="4" t="str">
        <f ca="1">CELL("contenu",INDIRECT(ADDRESS(ref!$K$6,ref!G4,1,,CELL("contenu",$AC$2))))</f>
        <v>C</v>
      </c>
      <c r="Q5" s="5" t="str">
        <f ca="1">CELL("contenu",INDIRECT(ADDRESS(ref!$K$6,ref!H4,1,,CELL("contenu",$AC$2))))</f>
        <v>C</v>
      </c>
      <c r="R5" s="6" t="str">
        <f ca="1">CELL("contenu",INDIRECT(ADDRESS(ref!$K$7,ref!E4,1,,CELL("contenu",$AC$2))))</f>
        <v>D</v>
      </c>
      <c r="S5" s="3" t="str">
        <f ca="1">CELL("contenu",INDIRECT(ADDRESS(ref!$K$7,ref!F4,1,,CELL("contenu",$AC$2))))</f>
        <v/>
      </c>
      <c r="T5" s="4" t="str">
        <f ca="1">CELL("contenu",INDIRECT(ADDRESS(ref!$K$7,ref!G4,1,,CELL("contenu",$AC$2))))</f>
        <v/>
      </c>
      <c r="U5" s="5" t="str">
        <f ca="1">CELL("contenu",INDIRECT(ADDRESS(ref!$K$7,ref!H4,1,,CELL("contenu",$AC$2))))</f>
        <v>D</v>
      </c>
      <c r="V5" s="43">
        <f ca="1">CELL("contenu",INDIRECT(ADDRESS(ref!$K$8,ref!E4,1,,CELL("contenu",$AC$2))))</f>
        <v>12.083333333333332</v>
      </c>
      <c r="W5" s="44">
        <f ca="1">CELL("contenu",INDIRECT(ADDRESS(ref!$K$8,ref!F4,1,,CELL("contenu",$AC$2))))</f>
        <v>14.930555555555554</v>
      </c>
      <c r="X5" s="45">
        <f ca="1">CELL("contenu",INDIRECT(ADDRESS(ref!$K$8,ref!G4,1,,CELL("contenu",$AC$2))))</f>
        <v>11.805555555555555</v>
      </c>
      <c r="Y5" s="7" t="str">
        <f ca="1">CELL("contenu",INDIRECT(ADDRESS(ref!$K$9,ref!H4,1,,CELL("contenu",$AC$2))))</f>
        <v>B</v>
      </c>
      <c r="Z5" s="4" t="str">
        <f ca="1">CELL("contenu",INDIRECT(ADDRESS(ref!$K$10,ref!H4,1,,CELL("contenu",$AC$2))))</f>
        <v/>
      </c>
      <c r="AA5" s="8" t="str">
        <f ca="1">CELL("contenu",INDIRECT(ADDRESS(ref!$K$11,ref!H4,1,,CELL("contenu",$AC$2))))</f>
        <v>A</v>
      </c>
    </row>
    <row r="6" spans="1:29" x14ac:dyDescent="0.25">
      <c r="A6" s="70" t="str">
        <f t="shared" ref="A6:A33" ca="1" si="0">CELL("contenu",INDIRECT(ADDRESS(ROW()-2,1,1,,CELL("contenu",$AC$3))))</f>
        <v>CALLIER Alexandre</v>
      </c>
      <c r="B6" s="2" t="str">
        <f ca="1">CELL("contenu",INDIRECT(ADDRESS(ref!$K$3,ref!E5,1,,CELL("contenu",$AC$2))))</f>
        <v>C</v>
      </c>
      <c r="C6" s="3" t="str">
        <f ca="1">CELL("contenu",INDIRECT(ADDRESS(ref!$K$3,ref!F5,1,,CELL("contenu",$AC$2))))</f>
        <v>B</v>
      </c>
      <c r="D6" s="4" t="str">
        <f ca="1">CELL("contenu",INDIRECT(ADDRESS(ref!$K$3,ref!G5,1,,CELL("contenu",$AC$2))))</f>
        <v>C</v>
      </c>
      <c r="E6" s="5" t="str">
        <f ca="1">CELL("contenu",INDIRECT(ADDRESS(ref!$K$3,ref!H5,1,,CELL("contenu",$AC$2))))</f>
        <v>B</v>
      </c>
      <c r="F6" s="6" t="str">
        <f ca="1">CELL("contenu",INDIRECT(ADDRESS(ref!$K$4,ref!E5,1,,CELL("contenu",$AC$2))))</f>
        <v/>
      </c>
      <c r="G6" s="3" t="str">
        <f ca="1">CELL("contenu",INDIRECT(ADDRESS(ref!$K$4,ref!F5,1,,CELL("contenu",$AC$2))))</f>
        <v>C</v>
      </c>
      <c r="H6" s="4" t="str">
        <f ca="1">CELL("contenu",INDIRECT(ADDRESS(ref!$K$4,ref!G5,1,,CELL("contenu",$AC$2))))</f>
        <v>B</v>
      </c>
      <c r="I6" s="5" t="str">
        <f ca="1">CELL("contenu",INDIRECT(ADDRESS(ref!$K$4,ref!H5,1,,CELL("contenu",$AC$2))))</f>
        <v>B</v>
      </c>
      <c r="J6" s="6" t="str">
        <f ca="1">CELL("contenu",INDIRECT(ADDRESS(ref!$K$5,ref!E5,1,,CELL("contenu",$AC$2))))</f>
        <v>B</v>
      </c>
      <c r="K6" s="3" t="str">
        <f ca="1">CELL("contenu",INDIRECT(ADDRESS(ref!$K$5,ref!F5,1,,CELL("contenu",$AC$2))))</f>
        <v>B</v>
      </c>
      <c r="L6" s="4" t="str">
        <f ca="1">CELL("contenu",INDIRECT(ADDRESS(ref!$K$5,ref!G5,1,,CELL("contenu",$AC$2))))</f>
        <v>A</v>
      </c>
      <c r="M6" s="5" t="str">
        <f ca="1">CELL("contenu",INDIRECT(ADDRESS(ref!$K$5,ref!H5,1,,CELL("contenu",$AC$2))))</f>
        <v>B</v>
      </c>
      <c r="N6" s="6" t="str">
        <f ca="1">CELL("contenu",INDIRECT(ADDRESS(ref!$K$6,ref!E5,1,,CELL("contenu",$AC$2))))</f>
        <v>C</v>
      </c>
      <c r="O6" s="3" t="str">
        <f ca="1">CELL("contenu",INDIRECT(ADDRESS(ref!$K$6,ref!F5,1,,CELL("contenu",$AC$2))))</f>
        <v>C</v>
      </c>
      <c r="P6" s="4" t="str">
        <f ca="1">CELL("contenu",INDIRECT(ADDRESS(ref!$K$6,ref!G5,1,,CELL("contenu",$AC$2))))</f>
        <v>C</v>
      </c>
      <c r="Q6" s="5" t="str">
        <f ca="1">CELL("contenu",INDIRECT(ADDRESS(ref!$K$6,ref!H5,1,,CELL("contenu",$AC$2))))</f>
        <v>C</v>
      </c>
      <c r="R6" s="6" t="str">
        <f ca="1">CELL("contenu",INDIRECT(ADDRESS(ref!$K$7,ref!E5,1,,CELL("contenu",$AC$2))))</f>
        <v>C</v>
      </c>
      <c r="S6" s="3" t="str">
        <f ca="1">CELL("contenu",INDIRECT(ADDRESS(ref!$K$7,ref!F5,1,,CELL("contenu",$AC$2))))</f>
        <v/>
      </c>
      <c r="T6" s="4" t="str">
        <f ca="1">CELL("contenu",INDIRECT(ADDRESS(ref!$K$7,ref!G5,1,,CELL("contenu",$AC$2))))</f>
        <v/>
      </c>
      <c r="U6" s="5" t="str">
        <f ca="1">CELL("contenu",INDIRECT(ADDRESS(ref!$K$7,ref!H5,1,,CELL("contenu",$AC$2))))</f>
        <v>C</v>
      </c>
      <c r="V6" s="43">
        <f ca="1">CELL("contenu",INDIRECT(ADDRESS(ref!$K$8,ref!E5,1,,CELL("contenu",$AC$2))))</f>
        <v>12.083333333333332</v>
      </c>
      <c r="W6" s="44">
        <f ca="1">CELL("contenu",INDIRECT(ADDRESS(ref!$K$8,ref!F5,1,,CELL("contenu",$AC$2))))</f>
        <v>14.791666666666668</v>
      </c>
      <c r="X6" s="45">
        <f ca="1">CELL("contenu",INDIRECT(ADDRESS(ref!$K$8,ref!G5,1,,CELL("contenu",$AC$2))))</f>
        <v>14.861111111111114</v>
      </c>
      <c r="Y6" s="7" t="str">
        <f ca="1">CELL("contenu",INDIRECT(ADDRESS(ref!$K$9,ref!H5,1,,CELL("contenu",$AC$2))))</f>
        <v>B</v>
      </c>
      <c r="Z6" s="4" t="str">
        <f ca="1">CELL("contenu",INDIRECT(ADDRESS(ref!$K$10,ref!H5,1,,CELL("contenu",$AC$2))))</f>
        <v/>
      </c>
      <c r="AA6" s="8" t="str">
        <f ca="1">CELL("contenu",INDIRECT(ADDRESS(ref!$K$11,ref!H5,1,,CELL("contenu",$AC$2))))</f>
        <v>A</v>
      </c>
    </row>
    <row r="7" spans="1:29" x14ac:dyDescent="0.25">
      <c r="A7" s="70" t="str">
        <f t="shared" ca="1" si="0"/>
        <v>CARLES Pierre-Marie</v>
      </c>
      <c r="B7" s="2" t="str">
        <f ca="1">CELL("contenu",INDIRECT(ADDRESS(ref!$K$3,ref!E6,1,,CELL("contenu",$AC$2))))</f>
        <v>C</v>
      </c>
      <c r="C7" s="3" t="str">
        <f ca="1">CELL("contenu",INDIRECT(ADDRESS(ref!$K$3,ref!F6,1,,CELL("contenu",$AC$2))))</f>
        <v>C</v>
      </c>
      <c r="D7" s="4" t="str">
        <f ca="1">CELL("contenu",INDIRECT(ADDRESS(ref!$K$3,ref!G6,1,,CELL("contenu",$AC$2))))</f>
        <v>C</v>
      </c>
      <c r="E7" s="5" t="str">
        <f ca="1">CELL("contenu",INDIRECT(ADDRESS(ref!$K$3,ref!H6,1,,CELL("contenu",$AC$2))))</f>
        <v>C</v>
      </c>
      <c r="F7" s="6" t="str">
        <f ca="1">CELL("contenu",INDIRECT(ADDRESS(ref!$K$4,ref!E6,1,,CELL("contenu",$AC$2))))</f>
        <v/>
      </c>
      <c r="G7" s="3" t="str">
        <f ca="1">CELL("contenu",INDIRECT(ADDRESS(ref!$K$4,ref!F6,1,,CELL("contenu",$AC$2))))</f>
        <v>A</v>
      </c>
      <c r="H7" s="4" t="str">
        <f ca="1">CELL("contenu",INDIRECT(ADDRESS(ref!$K$4,ref!G6,1,,CELL("contenu",$AC$2))))</f>
        <v>B</v>
      </c>
      <c r="I7" s="5" t="str">
        <f ca="1">CELL("contenu",INDIRECT(ADDRESS(ref!$K$4,ref!H6,1,,CELL("contenu",$AC$2))))</f>
        <v>B</v>
      </c>
      <c r="J7" s="6" t="str">
        <f ca="1">CELL("contenu",INDIRECT(ADDRESS(ref!$K$5,ref!E6,1,,CELL("contenu",$AC$2))))</f>
        <v>A</v>
      </c>
      <c r="K7" s="3" t="str">
        <f ca="1">CELL("contenu",INDIRECT(ADDRESS(ref!$K$5,ref!F6,1,,CELL("contenu",$AC$2))))</f>
        <v>B</v>
      </c>
      <c r="L7" s="4" t="str">
        <f ca="1">CELL("contenu",INDIRECT(ADDRESS(ref!$K$5,ref!G6,1,,CELL("contenu",$AC$2))))</f>
        <v>A</v>
      </c>
      <c r="M7" s="5" t="str">
        <f ca="1">CELL("contenu",INDIRECT(ADDRESS(ref!$K$5,ref!H6,1,,CELL("contenu",$AC$2))))</f>
        <v>A</v>
      </c>
      <c r="N7" s="6" t="str">
        <f ca="1">CELL("contenu",INDIRECT(ADDRESS(ref!$K$6,ref!E6,1,,CELL("contenu",$AC$2))))</f>
        <v>D</v>
      </c>
      <c r="O7" s="3" t="str">
        <f ca="1">CELL("contenu",INDIRECT(ADDRESS(ref!$K$6,ref!F6,1,,CELL("contenu",$AC$2))))</f>
        <v>C</v>
      </c>
      <c r="P7" s="4" t="str">
        <f ca="1">CELL("contenu",INDIRECT(ADDRESS(ref!$K$6,ref!G6,1,,CELL("contenu",$AC$2))))</f>
        <v>C</v>
      </c>
      <c r="Q7" s="5" t="str">
        <f ca="1">CELL("contenu",INDIRECT(ADDRESS(ref!$K$6,ref!H6,1,,CELL("contenu",$AC$2))))</f>
        <v>C</v>
      </c>
      <c r="R7" s="6" t="str">
        <f ca="1">CELL("contenu",INDIRECT(ADDRESS(ref!$K$7,ref!E6,1,,CELL("contenu",$AC$2))))</f>
        <v>A</v>
      </c>
      <c r="S7" s="3" t="str">
        <f ca="1">CELL("contenu",INDIRECT(ADDRESS(ref!$K$7,ref!F6,1,,CELL("contenu",$AC$2))))</f>
        <v/>
      </c>
      <c r="T7" s="4" t="str">
        <f ca="1">CELL("contenu",INDIRECT(ADDRESS(ref!$K$7,ref!G6,1,,CELL("contenu",$AC$2))))</f>
        <v/>
      </c>
      <c r="U7" s="5" t="str">
        <f ca="1">CELL("contenu",INDIRECT(ADDRESS(ref!$K$7,ref!H6,1,,CELL("contenu",$AC$2))))</f>
        <v>A</v>
      </c>
      <c r="V7" s="43">
        <f ca="1">CELL("contenu",INDIRECT(ADDRESS(ref!$K$8,ref!E6,1,,CELL("contenu",$AC$2))))</f>
        <v>12.5</v>
      </c>
      <c r="W7" s="44">
        <f ca="1">CELL("contenu",INDIRECT(ADDRESS(ref!$K$8,ref!F6,1,,CELL("contenu",$AC$2))))</f>
        <v>14.583333333333332</v>
      </c>
      <c r="X7" s="45">
        <f ca="1">CELL("contenu",INDIRECT(ADDRESS(ref!$K$8,ref!G6,1,,CELL("contenu",$AC$2))))</f>
        <v>13.125</v>
      </c>
      <c r="Y7" s="7" t="str">
        <f ca="1">CELL("contenu",INDIRECT(ADDRESS(ref!$K$9,ref!H6,1,,CELL("contenu",$AC$2))))</f>
        <v>A</v>
      </c>
      <c r="Z7" s="4" t="str">
        <f ca="1">CELL("contenu",INDIRECT(ADDRESS(ref!$K$10,ref!H6,1,,CELL("contenu",$AC$2))))</f>
        <v>B</v>
      </c>
      <c r="AA7" s="8" t="str">
        <f ca="1">CELL("contenu",INDIRECT(ADDRESS(ref!$K$11,ref!H6,1,,CELL("contenu",$AC$2))))</f>
        <v>B</v>
      </c>
    </row>
    <row r="8" spans="1:29" x14ac:dyDescent="0.25">
      <c r="A8" s="70" t="str">
        <f t="shared" ca="1" si="0"/>
        <v>CHAYLARD Daphne</v>
      </c>
      <c r="B8" s="2" t="str">
        <f ca="1">CELL("contenu",INDIRECT(ADDRESS(ref!$K$3,ref!E7,1,,CELL("contenu",$AC$2))))</f>
        <v>C</v>
      </c>
      <c r="C8" s="3" t="str">
        <f ca="1">CELL("contenu",INDIRECT(ADDRESS(ref!$K$3,ref!F7,1,,CELL("contenu",$AC$2))))</f>
        <v>B</v>
      </c>
      <c r="D8" s="4" t="str">
        <f ca="1">CELL("contenu",INDIRECT(ADDRESS(ref!$K$3,ref!G7,1,,CELL("contenu",$AC$2))))</f>
        <v>C</v>
      </c>
      <c r="E8" s="5" t="str">
        <f ca="1">CELL("contenu",INDIRECT(ADDRESS(ref!$K$3,ref!H7,1,,CELL("contenu",$AC$2))))</f>
        <v>B</v>
      </c>
      <c r="F8" s="6" t="str">
        <f ca="1">CELL("contenu",INDIRECT(ADDRESS(ref!$K$4,ref!E7,1,,CELL("contenu",$AC$2))))</f>
        <v/>
      </c>
      <c r="G8" s="3" t="str">
        <f ca="1">CELL("contenu",INDIRECT(ADDRESS(ref!$K$4,ref!F7,1,,CELL("contenu",$AC$2))))</f>
        <v>B</v>
      </c>
      <c r="H8" s="4" t="str">
        <f ca="1">CELL("contenu",INDIRECT(ADDRESS(ref!$K$4,ref!G7,1,,CELL("contenu",$AC$2))))</f>
        <v>B</v>
      </c>
      <c r="I8" s="5" t="str">
        <f ca="1">CELL("contenu",INDIRECT(ADDRESS(ref!$K$4,ref!H7,1,,CELL("contenu",$AC$2))))</f>
        <v>B</v>
      </c>
      <c r="J8" s="6" t="str">
        <f ca="1">CELL("contenu",INDIRECT(ADDRESS(ref!$K$5,ref!E7,1,,CELL("contenu",$AC$2))))</f>
        <v>A</v>
      </c>
      <c r="K8" s="3" t="str">
        <f ca="1">CELL("contenu",INDIRECT(ADDRESS(ref!$K$5,ref!F7,1,,CELL("contenu",$AC$2))))</f>
        <v>B</v>
      </c>
      <c r="L8" s="4" t="str">
        <f ca="1">CELL("contenu",INDIRECT(ADDRESS(ref!$K$5,ref!G7,1,,CELL("contenu",$AC$2))))</f>
        <v>A</v>
      </c>
      <c r="M8" s="5" t="str">
        <f ca="1">CELL("contenu",INDIRECT(ADDRESS(ref!$K$5,ref!H7,1,,CELL("contenu",$AC$2))))</f>
        <v>A</v>
      </c>
      <c r="N8" s="6" t="str">
        <f ca="1">CELL("contenu",INDIRECT(ADDRESS(ref!$K$6,ref!E7,1,,CELL("contenu",$AC$2))))</f>
        <v>C</v>
      </c>
      <c r="O8" s="3" t="str">
        <f ca="1">CELL("contenu",INDIRECT(ADDRESS(ref!$K$6,ref!F7,1,,CELL("contenu",$AC$2))))</f>
        <v>C</v>
      </c>
      <c r="P8" s="4" t="str">
        <f ca="1">CELL("contenu",INDIRECT(ADDRESS(ref!$K$6,ref!G7,1,,CELL("contenu",$AC$2))))</f>
        <v>B</v>
      </c>
      <c r="Q8" s="5" t="str">
        <f ca="1">CELL("contenu",INDIRECT(ADDRESS(ref!$K$6,ref!H7,1,,CELL("contenu",$AC$2))))</f>
        <v>B</v>
      </c>
      <c r="R8" s="6" t="str">
        <f ca="1">CELL("contenu",INDIRECT(ADDRESS(ref!$K$7,ref!E7,1,,CELL("contenu",$AC$2))))</f>
        <v>C</v>
      </c>
      <c r="S8" s="3" t="str">
        <f ca="1">CELL("contenu",INDIRECT(ADDRESS(ref!$K$7,ref!F7,1,,CELL("contenu",$AC$2))))</f>
        <v/>
      </c>
      <c r="T8" s="4" t="str">
        <f ca="1">CELL("contenu",INDIRECT(ADDRESS(ref!$K$7,ref!G7,1,,CELL("contenu",$AC$2))))</f>
        <v/>
      </c>
      <c r="U8" s="5" t="str">
        <f ca="1">CELL("contenu",INDIRECT(ADDRESS(ref!$K$7,ref!H7,1,,CELL("contenu",$AC$2))))</f>
        <v>C</v>
      </c>
      <c r="V8" s="43">
        <f ca="1">CELL("contenu",INDIRECT(ADDRESS(ref!$K$8,ref!E7,1,,CELL("contenu",$AC$2))))</f>
        <v>12.916666666666668</v>
      </c>
      <c r="W8" s="44">
        <f ca="1">CELL("contenu",INDIRECT(ADDRESS(ref!$K$8,ref!F7,1,,CELL("contenu",$AC$2))))</f>
        <v>15</v>
      </c>
      <c r="X8" s="45">
        <f ca="1">CELL("contenu",INDIRECT(ADDRESS(ref!$K$8,ref!G7,1,,CELL("contenu",$AC$2))))</f>
        <v>16.388888888888886</v>
      </c>
      <c r="Y8" s="7" t="str">
        <f ca="1">CELL("contenu",INDIRECT(ADDRESS(ref!$K$9,ref!H7,1,,CELL("contenu",$AC$2))))</f>
        <v>B</v>
      </c>
      <c r="Z8" s="4" t="str">
        <f ca="1">CELL("contenu",INDIRECT(ADDRESS(ref!$K$10,ref!H7,1,,CELL("contenu",$AC$2))))</f>
        <v/>
      </c>
      <c r="AA8" s="8" t="str">
        <f ca="1">CELL("contenu",INDIRECT(ADDRESS(ref!$K$11,ref!H7,1,,CELL("contenu",$AC$2))))</f>
        <v>B</v>
      </c>
    </row>
    <row r="9" spans="1:29" x14ac:dyDescent="0.25">
      <c r="A9" s="70" t="str">
        <f t="shared" ca="1" si="0"/>
        <v>CLOCHARD Anaelle</v>
      </c>
      <c r="B9" s="2" t="str">
        <f ca="1">CELL("contenu",INDIRECT(ADDRESS(ref!$K$3,ref!E8,1,,CELL("contenu",$AC$2))))</f>
        <v>B</v>
      </c>
      <c r="C9" s="3" t="str">
        <f ca="1">CELL("contenu",INDIRECT(ADDRESS(ref!$K$3,ref!F8,1,,CELL("contenu",$AC$2))))</f>
        <v>C</v>
      </c>
      <c r="D9" s="4" t="str">
        <f ca="1">CELL("contenu",INDIRECT(ADDRESS(ref!$K$3,ref!G8,1,,CELL("contenu",$AC$2))))</f>
        <v>D</v>
      </c>
      <c r="E9" s="5" t="str">
        <f ca="1">CELL("contenu",INDIRECT(ADDRESS(ref!$K$3,ref!H8,1,,CELL("contenu",$AC$2))))</f>
        <v>C</v>
      </c>
      <c r="F9" s="6" t="str">
        <f ca="1">CELL("contenu",INDIRECT(ADDRESS(ref!$K$4,ref!E8,1,,CELL("contenu",$AC$2))))</f>
        <v/>
      </c>
      <c r="G9" s="3" t="str">
        <f ca="1">CELL("contenu",INDIRECT(ADDRESS(ref!$K$4,ref!F8,1,,CELL("contenu",$AC$2))))</f>
        <v>C</v>
      </c>
      <c r="H9" s="4" t="str">
        <f ca="1">CELL("contenu",INDIRECT(ADDRESS(ref!$K$4,ref!G8,1,,CELL("contenu",$AC$2))))</f>
        <v>C</v>
      </c>
      <c r="I9" s="5" t="str">
        <f ca="1">CELL("contenu",INDIRECT(ADDRESS(ref!$K$4,ref!H8,1,,CELL("contenu",$AC$2))))</f>
        <v>C</v>
      </c>
      <c r="J9" s="6" t="str">
        <f ca="1">CELL("contenu",INDIRECT(ADDRESS(ref!$K$5,ref!E8,1,,CELL("contenu",$AC$2))))</f>
        <v>A</v>
      </c>
      <c r="K9" s="3" t="str">
        <f ca="1">CELL("contenu",INDIRECT(ADDRESS(ref!$K$5,ref!F8,1,,CELL("contenu",$AC$2))))</f>
        <v>A</v>
      </c>
      <c r="L9" s="4" t="str">
        <f ca="1">CELL("contenu",INDIRECT(ADDRESS(ref!$K$5,ref!G8,1,,CELL("contenu",$AC$2))))</f>
        <v>A</v>
      </c>
      <c r="M9" s="5" t="str">
        <f ca="1">CELL("contenu",INDIRECT(ADDRESS(ref!$K$5,ref!H8,1,,CELL("contenu",$AC$2))))</f>
        <v>A</v>
      </c>
      <c r="N9" s="6" t="str">
        <f ca="1">CELL("contenu",INDIRECT(ADDRESS(ref!$K$6,ref!E8,1,,CELL("contenu",$AC$2))))</f>
        <v>C</v>
      </c>
      <c r="O9" s="3" t="str">
        <f ca="1">CELL("contenu",INDIRECT(ADDRESS(ref!$K$6,ref!F8,1,,CELL("contenu",$AC$2))))</f>
        <v>C</v>
      </c>
      <c r="P9" s="4" t="str">
        <f ca="1">CELL("contenu",INDIRECT(ADDRESS(ref!$K$6,ref!G8,1,,CELL("contenu",$AC$2))))</f>
        <v>D</v>
      </c>
      <c r="Q9" s="5" t="str">
        <f ca="1">CELL("contenu",INDIRECT(ADDRESS(ref!$K$6,ref!H8,1,,CELL("contenu",$AC$2))))</f>
        <v>C</v>
      </c>
      <c r="R9" s="6" t="str">
        <f ca="1">CELL("contenu",INDIRECT(ADDRESS(ref!$K$7,ref!E8,1,,CELL("contenu",$AC$2))))</f>
        <v>D</v>
      </c>
      <c r="S9" s="3" t="str">
        <f ca="1">CELL("contenu",INDIRECT(ADDRESS(ref!$K$7,ref!F8,1,,CELL("contenu",$AC$2))))</f>
        <v/>
      </c>
      <c r="T9" s="4" t="str">
        <f ca="1">CELL("contenu",INDIRECT(ADDRESS(ref!$K$7,ref!G8,1,,CELL("contenu",$AC$2))))</f>
        <v/>
      </c>
      <c r="U9" s="5" t="str">
        <f ca="1">CELL("contenu",INDIRECT(ADDRESS(ref!$K$7,ref!H8,1,,CELL("contenu",$AC$2))))</f>
        <v>D</v>
      </c>
      <c r="V9" s="43">
        <f ca="1">CELL("contenu",INDIRECT(ADDRESS(ref!$K$8,ref!E8,1,,CELL("contenu",$AC$2))))</f>
        <v>12.083333333333332</v>
      </c>
      <c r="W9" s="44">
        <f ca="1">CELL("contenu",INDIRECT(ADDRESS(ref!$K$8,ref!F8,1,,CELL("contenu",$AC$2))))</f>
        <v>12.847222222222221</v>
      </c>
      <c r="X9" s="45">
        <f ca="1">CELL("contenu",INDIRECT(ADDRESS(ref!$K$8,ref!G8,1,,CELL("contenu",$AC$2))))</f>
        <v>10.277777777777777</v>
      </c>
      <c r="Y9" s="7" t="str">
        <f ca="1">CELL("contenu",INDIRECT(ADDRESS(ref!$K$9,ref!H8,1,,CELL("contenu",$AC$2))))</f>
        <v>C</v>
      </c>
      <c r="Z9" s="4" t="str">
        <f ca="1">CELL("contenu",INDIRECT(ADDRESS(ref!$K$10,ref!H8,1,,CELL("contenu",$AC$2))))</f>
        <v/>
      </c>
      <c r="AA9" s="8" t="str">
        <f ca="1">CELL("contenu",INDIRECT(ADDRESS(ref!$K$11,ref!H8,1,,CELL("contenu",$AC$2))))</f>
        <v>A</v>
      </c>
    </row>
    <row r="10" spans="1:29" x14ac:dyDescent="0.25">
      <c r="A10" s="70" t="str">
        <f t="shared" ca="1" si="0"/>
        <v>DELHOMMAIS Adele</v>
      </c>
      <c r="B10" s="2" t="str">
        <f ca="1">CELL("contenu",INDIRECT(ADDRESS(ref!$K$3,ref!E9,1,,CELL("contenu",$AC$2))))</f>
        <v>C</v>
      </c>
      <c r="C10" s="3" t="str">
        <f ca="1">CELL("contenu",INDIRECT(ADDRESS(ref!$K$3,ref!F9,1,,CELL("contenu",$AC$2))))</f>
        <v>B</v>
      </c>
      <c r="D10" s="4" t="str">
        <f ca="1">CELL("contenu",INDIRECT(ADDRESS(ref!$K$3,ref!G9,1,,CELL("contenu",$AC$2))))</f>
        <v>B</v>
      </c>
      <c r="E10" s="5" t="str">
        <f ca="1">CELL("contenu",INDIRECT(ADDRESS(ref!$K$3,ref!H9,1,,CELL("contenu",$AC$2))))</f>
        <v>B</v>
      </c>
      <c r="F10" s="6" t="str">
        <f ca="1">CELL("contenu",INDIRECT(ADDRESS(ref!$K$4,ref!E9,1,,CELL("contenu",$AC$2))))</f>
        <v/>
      </c>
      <c r="G10" s="3" t="str">
        <f ca="1">CELL("contenu",INDIRECT(ADDRESS(ref!$K$4,ref!F9,1,,CELL("contenu",$AC$2))))</f>
        <v>A</v>
      </c>
      <c r="H10" s="4" t="str">
        <f ca="1">CELL("contenu",INDIRECT(ADDRESS(ref!$K$4,ref!G9,1,,CELL("contenu",$AC$2))))</f>
        <v>A</v>
      </c>
      <c r="I10" s="5" t="str">
        <f ca="1">CELL("contenu",INDIRECT(ADDRESS(ref!$K$4,ref!H9,1,,CELL("contenu",$AC$2))))</f>
        <v>A</v>
      </c>
      <c r="J10" s="6" t="str">
        <f ca="1">CELL("contenu",INDIRECT(ADDRESS(ref!$K$5,ref!E9,1,,CELL("contenu",$AC$2))))</f>
        <v>A</v>
      </c>
      <c r="K10" s="3" t="str">
        <f ca="1">CELL("contenu",INDIRECT(ADDRESS(ref!$K$5,ref!F9,1,,CELL("contenu",$AC$2))))</f>
        <v>A</v>
      </c>
      <c r="L10" s="4" t="str">
        <f ca="1">CELL("contenu",INDIRECT(ADDRESS(ref!$K$5,ref!G9,1,,CELL("contenu",$AC$2))))</f>
        <v/>
      </c>
      <c r="M10" s="5" t="str">
        <f ca="1">CELL("contenu",INDIRECT(ADDRESS(ref!$K$5,ref!H9,1,,CELL("contenu",$AC$2))))</f>
        <v>A</v>
      </c>
      <c r="N10" s="6" t="str">
        <f ca="1">CELL("contenu",INDIRECT(ADDRESS(ref!$K$6,ref!E9,1,,CELL("contenu",$AC$2))))</f>
        <v>C</v>
      </c>
      <c r="O10" s="3" t="str">
        <f ca="1">CELL("contenu",INDIRECT(ADDRESS(ref!$K$6,ref!F9,1,,CELL("contenu",$AC$2))))</f>
        <v>B</v>
      </c>
      <c r="P10" s="4" t="str">
        <f ca="1">CELL("contenu",INDIRECT(ADDRESS(ref!$K$6,ref!G9,1,,CELL("contenu",$AC$2))))</f>
        <v>B</v>
      </c>
      <c r="Q10" s="5" t="str">
        <f ca="1">CELL("contenu",INDIRECT(ADDRESS(ref!$K$6,ref!H9,1,,CELL("contenu",$AC$2))))</f>
        <v>B</v>
      </c>
      <c r="R10" s="6" t="str">
        <f ca="1">CELL("contenu",INDIRECT(ADDRESS(ref!$K$7,ref!E9,1,,CELL("contenu",$AC$2))))</f>
        <v>D</v>
      </c>
      <c r="S10" s="3" t="str">
        <f ca="1">CELL("contenu",INDIRECT(ADDRESS(ref!$K$7,ref!F9,1,,CELL("contenu",$AC$2))))</f>
        <v/>
      </c>
      <c r="T10" s="4" t="str">
        <f ca="1">CELL("contenu",INDIRECT(ADDRESS(ref!$K$7,ref!G9,1,,CELL("contenu",$AC$2))))</f>
        <v/>
      </c>
      <c r="U10" s="5" t="str">
        <f ca="1">CELL("contenu",INDIRECT(ADDRESS(ref!$K$7,ref!H9,1,,CELL("contenu",$AC$2))))</f>
        <v>D</v>
      </c>
      <c r="V10" s="43">
        <f ca="1">CELL("contenu",INDIRECT(ADDRESS(ref!$K$8,ref!E9,1,,CELL("contenu",$AC$2))))</f>
        <v>13.333333333333332</v>
      </c>
      <c r="W10" s="44">
        <f ca="1">CELL("contenu",INDIRECT(ADDRESS(ref!$K$8,ref!F9,1,,CELL("contenu",$AC$2))))</f>
        <v>17.569444444444446</v>
      </c>
      <c r="X10" s="45">
        <f ca="1">CELL("contenu",INDIRECT(ADDRESS(ref!$K$8,ref!G9,1,,CELL("contenu",$AC$2))))</f>
        <v>17.666666666666664</v>
      </c>
      <c r="Y10" s="7" t="str">
        <f ca="1">CELL("contenu",INDIRECT(ADDRESS(ref!$K$9,ref!H9,1,,CELL("contenu",$AC$2))))</f>
        <v>A</v>
      </c>
      <c r="Z10" s="4" t="str">
        <f ca="1">CELL("contenu",INDIRECT(ADDRESS(ref!$K$10,ref!H9,1,,CELL("contenu",$AC$2))))</f>
        <v/>
      </c>
      <c r="AA10" s="8" t="str">
        <f ca="1">CELL("contenu",INDIRECT(ADDRESS(ref!$K$11,ref!H9,1,,CELL("contenu",$AC$2))))</f>
        <v>A</v>
      </c>
    </row>
    <row r="11" spans="1:29" x14ac:dyDescent="0.25">
      <c r="A11" s="70" t="str">
        <f t="shared" ca="1" si="0"/>
        <v>DEMOCRATE Louis</v>
      </c>
      <c r="B11" s="2" t="str">
        <f ca="1">CELL("contenu",INDIRECT(ADDRESS(ref!$K$3,ref!E10,1,,CELL("contenu",$AC$2))))</f>
        <v>B</v>
      </c>
      <c r="C11" s="3" t="str">
        <f ca="1">CELL("contenu",INDIRECT(ADDRESS(ref!$K$3,ref!F10,1,,CELL("contenu",$AC$2))))</f>
        <v>C</v>
      </c>
      <c r="D11" s="4" t="str">
        <f ca="1">CELL("contenu",INDIRECT(ADDRESS(ref!$K$3,ref!G10,1,,CELL("contenu",$AC$2))))</f>
        <v>A</v>
      </c>
      <c r="E11" s="5" t="str">
        <f ca="1">CELL("contenu",INDIRECT(ADDRESS(ref!$K$3,ref!H10,1,,CELL("contenu",$AC$2))))</f>
        <v>B</v>
      </c>
      <c r="F11" s="6" t="str">
        <f ca="1">CELL("contenu",INDIRECT(ADDRESS(ref!$K$4,ref!E10,1,,CELL("contenu",$AC$2))))</f>
        <v/>
      </c>
      <c r="G11" s="3" t="str">
        <f ca="1">CELL("contenu",INDIRECT(ADDRESS(ref!$K$4,ref!F10,1,,CELL("contenu",$AC$2))))</f>
        <v>B</v>
      </c>
      <c r="H11" s="4" t="str">
        <f ca="1">CELL("contenu",INDIRECT(ADDRESS(ref!$K$4,ref!G10,1,,CELL("contenu",$AC$2))))</f>
        <v>B</v>
      </c>
      <c r="I11" s="5" t="str">
        <f ca="1">CELL("contenu",INDIRECT(ADDRESS(ref!$K$4,ref!H10,1,,CELL("contenu",$AC$2))))</f>
        <v>B</v>
      </c>
      <c r="J11" s="6" t="str">
        <f ca="1">CELL("contenu",INDIRECT(ADDRESS(ref!$K$5,ref!E10,1,,CELL("contenu",$AC$2))))</f>
        <v>A</v>
      </c>
      <c r="K11" s="3" t="str">
        <f ca="1">CELL("contenu",INDIRECT(ADDRESS(ref!$K$5,ref!F10,1,,CELL("contenu",$AC$2))))</f>
        <v>A</v>
      </c>
      <c r="L11" s="4" t="str">
        <f ca="1">CELL("contenu",INDIRECT(ADDRESS(ref!$K$5,ref!G10,1,,CELL("contenu",$AC$2))))</f>
        <v>A</v>
      </c>
      <c r="M11" s="5" t="str">
        <f ca="1">CELL("contenu",INDIRECT(ADDRESS(ref!$K$5,ref!H10,1,,CELL("contenu",$AC$2))))</f>
        <v>A</v>
      </c>
      <c r="N11" s="6" t="str">
        <f ca="1">CELL("contenu",INDIRECT(ADDRESS(ref!$K$6,ref!E10,1,,CELL("contenu",$AC$2))))</f>
        <v>D</v>
      </c>
      <c r="O11" s="3" t="str">
        <f ca="1">CELL("contenu",INDIRECT(ADDRESS(ref!$K$6,ref!F10,1,,CELL("contenu",$AC$2))))</f>
        <v>C</v>
      </c>
      <c r="P11" s="4" t="str">
        <f ca="1">CELL("contenu",INDIRECT(ADDRESS(ref!$K$6,ref!G10,1,,CELL("contenu",$AC$2))))</f>
        <v>B</v>
      </c>
      <c r="Q11" s="5" t="str">
        <f ca="1">CELL("contenu",INDIRECT(ADDRESS(ref!$K$6,ref!H10,1,,CELL("contenu",$AC$2))))</f>
        <v>C</v>
      </c>
      <c r="R11" s="6" t="str">
        <f ca="1">CELL("contenu",INDIRECT(ADDRESS(ref!$K$7,ref!E10,1,,CELL("contenu",$AC$2))))</f>
        <v>C</v>
      </c>
      <c r="S11" s="3" t="str">
        <f ca="1">CELL("contenu",INDIRECT(ADDRESS(ref!$K$7,ref!F10,1,,CELL("contenu",$AC$2))))</f>
        <v/>
      </c>
      <c r="T11" s="4" t="str">
        <f ca="1">CELL("contenu",INDIRECT(ADDRESS(ref!$K$7,ref!G10,1,,CELL("contenu",$AC$2))))</f>
        <v/>
      </c>
      <c r="U11" s="5" t="str">
        <f ca="1">CELL("contenu",INDIRECT(ADDRESS(ref!$K$7,ref!H10,1,,CELL("contenu",$AC$2))))</f>
        <v>C</v>
      </c>
      <c r="V11" s="43">
        <f ca="1">CELL("contenu",INDIRECT(ADDRESS(ref!$K$8,ref!E10,1,,CELL("contenu",$AC$2))))</f>
        <v>12.5</v>
      </c>
      <c r="W11" s="44">
        <f ca="1">CELL("contenu",INDIRECT(ADDRESS(ref!$K$8,ref!F10,1,,CELL("contenu",$AC$2))))</f>
        <v>13.680555555555555</v>
      </c>
      <c r="X11" s="45">
        <f ca="1">CELL("contenu",INDIRECT(ADDRESS(ref!$K$8,ref!G10,1,,CELL("contenu",$AC$2))))</f>
        <v>17.916666666666668</v>
      </c>
      <c r="Y11" s="7" t="str">
        <f ca="1">CELL("contenu",INDIRECT(ADDRESS(ref!$K$9,ref!H10,1,,CELL("contenu",$AC$2))))</f>
        <v>B</v>
      </c>
      <c r="Z11" s="4" t="str">
        <f ca="1">CELL("contenu",INDIRECT(ADDRESS(ref!$K$10,ref!H10,1,,CELL("contenu",$AC$2))))</f>
        <v/>
      </c>
      <c r="AA11" s="8" t="str">
        <f ca="1">CELL("contenu",INDIRECT(ADDRESS(ref!$K$11,ref!H10,1,,CELL("contenu",$AC$2))))</f>
        <v>A</v>
      </c>
    </row>
    <row r="12" spans="1:29" x14ac:dyDescent="0.25">
      <c r="A12" s="70" t="str">
        <f t="shared" ca="1" si="0"/>
        <v>DURAND Lucas</v>
      </c>
      <c r="B12" s="2" t="str">
        <f ca="1">CELL("contenu",INDIRECT(ADDRESS(ref!$K$3,ref!E11,1,,CELL("contenu",$AC$2))))</f>
        <v/>
      </c>
      <c r="C12" s="3" t="str">
        <f ca="1">CELL("contenu",INDIRECT(ADDRESS(ref!$K$3,ref!F11,1,,CELL("contenu",$AC$2))))</f>
        <v>C</v>
      </c>
      <c r="D12" s="4" t="str">
        <f ca="1">CELL("contenu",INDIRECT(ADDRESS(ref!$K$3,ref!G11,1,,CELL("contenu",$AC$2))))</f>
        <v>C</v>
      </c>
      <c r="E12" s="5" t="str">
        <f ca="1">CELL("contenu",INDIRECT(ADDRESS(ref!$K$3,ref!H11,1,,CELL("contenu",$AC$2))))</f>
        <v>C</v>
      </c>
      <c r="F12" s="6" t="str">
        <f ca="1">CELL("contenu",INDIRECT(ADDRESS(ref!$K$4,ref!E11,1,,CELL("contenu",$AC$2))))</f>
        <v/>
      </c>
      <c r="G12" s="3" t="str">
        <f ca="1">CELL("contenu",INDIRECT(ADDRESS(ref!$K$4,ref!F11,1,,CELL("contenu",$AC$2))))</f>
        <v>B</v>
      </c>
      <c r="H12" s="4" t="str">
        <f ca="1">CELL("contenu",INDIRECT(ADDRESS(ref!$K$4,ref!G11,1,,CELL("contenu",$AC$2))))</f>
        <v>B</v>
      </c>
      <c r="I12" s="5" t="str">
        <f ca="1">CELL("contenu",INDIRECT(ADDRESS(ref!$K$4,ref!H11,1,,CELL("contenu",$AC$2))))</f>
        <v>B</v>
      </c>
      <c r="J12" s="6" t="str">
        <f ca="1">CELL("contenu",INDIRECT(ADDRESS(ref!$K$5,ref!E11,1,,CELL("contenu",$AC$2))))</f>
        <v/>
      </c>
      <c r="K12" s="3" t="str">
        <f ca="1">CELL("contenu",INDIRECT(ADDRESS(ref!$K$5,ref!F11,1,,CELL("contenu",$AC$2))))</f>
        <v>A</v>
      </c>
      <c r="L12" s="4" t="str">
        <f ca="1">CELL("contenu",INDIRECT(ADDRESS(ref!$K$5,ref!G11,1,,CELL("contenu",$AC$2))))</f>
        <v>A</v>
      </c>
      <c r="M12" s="5" t="str">
        <f ca="1">CELL("contenu",INDIRECT(ADDRESS(ref!$K$5,ref!H11,1,,CELL("contenu",$AC$2))))</f>
        <v>A</v>
      </c>
      <c r="N12" s="6" t="str">
        <f ca="1">CELL("contenu",INDIRECT(ADDRESS(ref!$K$6,ref!E11,1,,CELL("contenu",$AC$2))))</f>
        <v/>
      </c>
      <c r="O12" s="3" t="str">
        <f ca="1">CELL("contenu",INDIRECT(ADDRESS(ref!$K$6,ref!F11,1,,CELL("contenu",$AC$2))))</f>
        <v>C</v>
      </c>
      <c r="P12" s="4" t="str">
        <f ca="1">CELL("contenu",INDIRECT(ADDRESS(ref!$K$6,ref!G11,1,,CELL("contenu",$AC$2))))</f>
        <v>B</v>
      </c>
      <c r="Q12" s="5" t="str">
        <f ca="1">CELL("contenu",INDIRECT(ADDRESS(ref!$K$6,ref!H11,1,,CELL("contenu",$AC$2))))</f>
        <v>C</v>
      </c>
      <c r="R12" s="6" t="str">
        <f ca="1">CELL("contenu",INDIRECT(ADDRESS(ref!$K$7,ref!E11,1,,CELL("contenu",$AC$2))))</f>
        <v/>
      </c>
      <c r="S12" s="3" t="str">
        <f ca="1">CELL("contenu",INDIRECT(ADDRESS(ref!$K$7,ref!F11,1,,CELL("contenu",$AC$2))))</f>
        <v/>
      </c>
      <c r="T12" s="4" t="str">
        <f ca="1">CELL("contenu",INDIRECT(ADDRESS(ref!$K$7,ref!G11,1,,CELL("contenu",$AC$2))))</f>
        <v/>
      </c>
      <c r="U12" s="5" t="str">
        <f ca="1">CELL("contenu",INDIRECT(ADDRESS(ref!$K$7,ref!H11,1,,CELL("contenu",$AC$2))))</f>
        <v/>
      </c>
      <c r="V12" s="43" t="str">
        <f ca="1">CELL("contenu",INDIRECT(ADDRESS(ref!$K$8,ref!E11,1,,CELL("contenu",$AC$2))))</f>
        <v/>
      </c>
      <c r="W12" s="44">
        <f ca="1">CELL("contenu",INDIRECT(ADDRESS(ref!$K$8,ref!F11,1,,CELL("contenu",$AC$2))))</f>
        <v>13.194444444444445</v>
      </c>
      <c r="X12" s="45">
        <f ca="1">CELL("contenu",INDIRECT(ADDRESS(ref!$K$8,ref!G11,1,,CELL("contenu",$AC$2))))</f>
        <v>15.555555555555554</v>
      </c>
      <c r="Y12" s="7" t="str">
        <f ca="1">CELL("contenu",INDIRECT(ADDRESS(ref!$K$9,ref!H11,1,,CELL("contenu",$AC$2))))</f>
        <v>B</v>
      </c>
      <c r="Z12" s="4" t="str">
        <f ca="1">CELL("contenu",INDIRECT(ADDRESS(ref!$K$10,ref!H11,1,,CELL("contenu",$AC$2))))</f>
        <v/>
      </c>
      <c r="AA12" s="8" t="str">
        <f ca="1">CELL("contenu",INDIRECT(ADDRESS(ref!$K$11,ref!H11,1,,CELL("contenu",$AC$2))))</f>
        <v>A</v>
      </c>
    </row>
    <row r="13" spans="1:29" x14ac:dyDescent="0.25">
      <c r="A13" s="70" t="str">
        <f t="shared" ca="1" si="0"/>
        <v>GAUTIER Antoine</v>
      </c>
      <c r="B13" s="2" t="str">
        <f ca="1">CELL("contenu",INDIRECT(ADDRESS(ref!$K$3,ref!E12,1,,CELL("contenu",$AC$2))))</f>
        <v>B</v>
      </c>
      <c r="C13" s="3" t="str">
        <f ca="1">CELL("contenu",INDIRECT(ADDRESS(ref!$K$3,ref!F12,1,,CELL("contenu",$AC$2))))</f>
        <v>C</v>
      </c>
      <c r="D13" s="4" t="str">
        <f ca="1">CELL("contenu",INDIRECT(ADDRESS(ref!$K$3,ref!G12,1,,CELL("contenu",$AC$2))))</f>
        <v>B</v>
      </c>
      <c r="E13" s="5" t="str">
        <f ca="1">CELL("contenu",INDIRECT(ADDRESS(ref!$K$3,ref!H12,1,,CELL("contenu",$AC$2))))</f>
        <v>C</v>
      </c>
      <c r="F13" s="6" t="str">
        <f ca="1">CELL("contenu",INDIRECT(ADDRESS(ref!$K$4,ref!E12,1,,CELL("contenu",$AC$2))))</f>
        <v/>
      </c>
      <c r="G13" s="3" t="str">
        <f ca="1">CELL("contenu",INDIRECT(ADDRESS(ref!$K$4,ref!F12,1,,CELL("contenu",$AC$2))))</f>
        <v>A</v>
      </c>
      <c r="H13" s="4" t="str">
        <f ca="1">CELL("contenu",INDIRECT(ADDRESS(ref!$K$4,ref!G12,1,,CELL("contenu",$AC$2))))</f>
        <v>B</v>
      </c>
      <c r="I13" s="5" t="str">
        <f ca="1">CELL("contenu",INDIRECT(ADDRESS(ref!$K$4,ref!H12,1,,CELL("contenu",$AC$2))))</f>
        <v>A</v>
      </c>
      <c r="J13" s="6" t="str">
        <f ca="1">CELL("contenu",INDIRECT(ADDRESS(ref!$K$5,ref!E12,1,,CELL("contenu",$AC$2))))</f>
        <v>A</v>
      </c>
      <c r="K13" s="3" t="str">
        <f ca="1">CELL("contenu",INDIRECT(ADDRESS(ref!$K$5,ref!F12,1,,CELL("contenu",$AC$2))))</f>
        <v>A</v>
      </c>
      <c r="L13" s="4" t="str">
        <f ca="1">CELL("contenu",INDIRECT(ADDRESS(ref!$K$5,ref!G12,1,,CELL("contenu",$AC$2))))</f>
        <v>A</v>
      </c>
      <c r="M13" s="5" t="str">
        <f ca="1">CELL("contenu",INDIRECT(ADDRESS(ref!$K$5,ref!H12,1,,CELL("contenu",$AC$2))))</f>
        <v>A</v>
      </c>
      <c r="N13" s="6" t="str">
        <f ca="1">CELL("contenu",INDIRECT(ADDRESS(ref!$K$6,ref!E12,1,,CELL("contenu",$AC$2))))</f>
        <v>C</v>
      </c>
      <c r="O13" s="3" t="str">
        <f ca="1">CELL("contenu",INDIRECT(ADDRESS(ref!$K$6,ref!F12,1,,CELL("contenu",$AC$2))))</f>
        <v>B</v>
      </c>
      <c r="P13" s="4" t="str">
        <f ca="1">CELL("contenu",INDIRECT(ADDRESS(ref!$K$6,ref!G12,1,,CELL("contenu",$AC$2))))</f>
        <v>B</v>
      </c>
      <c r="Q13" s="5" t="str">
        <f ca="1">CELL("contenu",INDIRECT(ADDRESS(ref!$K$6,ref!H12,1,,CELL("contenu",$AC$2))))</f>
        <v>B</v>
      </c>
      <c r="R13" s="6" t="str">
        <f ca="1">CELL("contenu",INDIRECT(ADDRESS(ref!$K$7,ref!E12,1,,CELL("contenu",$AC$2))))</f>
        <v>C</v>
      </c>
      <c r="S13" s="3" t="str">
        <f ca="1">CELL("contenu",INDIRECT(ADDRESS(ref!$K$7,ref!F12,1,,CELL("contenu",$AC$2))))</f>
        <v/>
      </c>
      <c r="T13" s="4" t="str">
        <f ca="1">CELL("contenu",INDIRECT(ADDRESS(ref!$K$7,ref!G12,1,,CELL("contenu",$AC$2))))</f>
        <v/>
      </c>
      <c r="U13" s="5" t="str">
        <f ca="1">CELL("contenu",INDIRECT(ADDRESS(ref!$K$7,ref!H12,1,,CELL("contenu",$AC$2))))</f>
        <v>C</v>
      </c>
      <c r="V13" s="43">
        <f ca="1">CELL("contenu",INDIRECT(ADDRESS(ref!$K$8,ref!E12,1,,CELL("contenu",$AC$2))))</f>
        <v>14.583333333333332</v>
      </c>
      <c r="W13" s="44">
        <f ca="1">CELL("contenu",INDIRECT(ADDRESS(ref!$K$8,ref!F12,1,,CELL("contenu",$AC$2))))</f>
        <v>15.833333333333332</v>
      </c>
      <c r="X13" s="45">
        <f ca="1">CELL("contenu",INDIRECT(ADDRESS(ref!$K$8,ref!G12,1,,CELL("contenu",$AC$2))))</f>
        <v>16.25</v>
      </c>
      <c r="Y13" s="7" t="str">
        <f ca="1">CELL("contenu",INDIRECT(ADDRESS(ref!$K$9,ref!H12,1,,CELL("contenu",$AC$2))))</f>
        <v>A</v>
      </c>
      <c r="Z13" s="4" t="str">
        <f ca="1">CELL("contenu",INDIRECT(ADDRESS(ref!$K$10,ref!H12,1,,CELL("contenu",$AC$2))))</f>
        <v/>
      </c>
      <c r="AA13" s="8" t="str">
        <f ca="1">CELL("contenu",INDIRECT(ADDRESS(ref!$K$11,ref!H12,1,,CELL("contenu",$AC$2))))</f>
        <v>A</v>
      </c>
    </row>
    <row r="14" spans="1:29" x14ac:dyDescent="0.25">
      <c r="A14" s="70" t="str">
        <f t="shared" ca="1" si="0"/>
        <v>JABOULEY Alois</v>
      </c>
      <c r="B14" s="2" t="str">
        <f ca="1">CELL("contenu",INDIRECT(ADDRESS(ref!$K$3,ref!E13,1,,CELL("contenu",$AC$2))))</f>
        <v>C</v>
      </c>
      <c r="C14" s="3" t="str">
        <f ca="1">CELL("contenu",INDIRECT(ADDRESS(ref!$K$3,ref!F13,1,,CELL("contenu",$AC$2))))</f>
        <v>C</v>
      </c>
      <c r="D14" s="4" t="str">
        <f ca="1">CELL("contenu",INDIRECT(ADDRESS(ref!$K$3,ref!G13,1,,CELL("contenu",$AC$2))))</f>
        <v>A</v>
      </c>
      <c r="E14" s="5" t="str">
        <f ca="1">CELL("contenu",INDIRECT(ADDRESS(ref!$K$3,ref!H13,1,,CELL("contenu",$AC$2))))</f>
        <v>B</v>
      </c>
      <c r="F14" s="6" t="str">
        <f ca="1">CELL("contenu",INDIRECT(ADDRESS(ref!$K$4,ref!E13,1,,CELL("contenu",$AC$2))))</f>
        <v/>
      </c>
      <c r="G14" s="3" t="str">
        <f ca="1">CELL("contenu",INDIRECT(ADDRESS(ref!$K$4,ref!F13,1,,CELL("contenu",$AC$2))))</f>
        <v>B</v>
      </c>
      <c r="H14" s="4" t="str">
        <f ca="1">CELL("contenu",INDIRECT(ADDRESS(ref!$K$4,ref!G13,1,,CELL("contenu",$AC$2))))</f>
        <v>B</v>
      </c>
      <c r="I14" s="5" t="str">
        <f ca="1">CELL("contenu",INDIRECT(ADDRESS(ref!$K$4,ref!H13,1,,CELL("contenu",$AC$2))))</f>
        <v>B</v>
      </c>
      <c r="J14" s="6" t="str">
        <f ca="1">CELL("contenu",INDIRECT(ADDRESS(ref!$K$5,ref!E13,1,,CELL("contenu",$AC$2))))</f>
        <v>A</v>
      </c>
      <c r="K14" s="3" t="str">
        <f ca="1">CELL("contenu",INDIRECT(ADDRESS(ref!$K$5,ref!F13,1,,CELL("contenu",$AC$2))))</f>
        <v>B</v>
      </c>
      <c r="L14" s="4" t="str">
        <f ca="1">CELL("contenu",INDIRECT(ADDRESS(ref!$K$5,ref!G13,1,,CELL("contenu",$AC$2))))</f>
        <v>A</v>
      </c>
      <c r="M14" s="5" t="str">
        <f ca="1">CELL("contenu",INDIRECT(ADDRESS(ref!$K$5,ref!H13,1,,CELL("contenu",$AC$2))))</f>
        <v>A</v>
      </c>
      <c r="N14" s="6" t="str">
        <f ca="1">CELL("contenu",INDIRECT(ADDRESS(ref!$K$6,ref!E13,1,,CELL("contenu",$AC$2))))</f>
        <v>C</v>
      </c>
      <c r="O14" s="3" t="str">
        <f ca="1">CELL("contenu",INDIRECT(ADDRESS(ref!$K$6,ref!F13,1,,CELL("contenu",$AC$2))))</f>
        <v>C</v>
      </c>
      <c r="P14" s="4" t="str">
        <f ca="1">CELL("contenu",INDIRECT(ADDRESS(ref!$K$6,ref!G13,1,,CELL("contenu",$AC$2))))</f>
        <v>B</v>
      </c>
      <c r="Q14" s="5" t="str">
        <f ca="1">CELL("contenu",INDIRECT(ADDRESS(ref!$K$6,ref!H13,1,,CELL("contenu",$AC$2))))</f>
        <v>C</v>
      </c>
      <c r="R14" s="6" t="str">
        <f ca="1">CELL("contenu",INDIRECT(ADDRESS(ref!$K$7,ref!E13,1,,CELL("contenu",$AC$2))))</f>
        <v>A</v>
      </c>
      <c r="S14" s="3" t="str">
        <f ca="1">CELL("contenu",INDIRECT(ADDRESS(ref!$K$7,ref!F13,1,,CELL("contenu",$AC$2))))</f>
        <v/>
      </c>
      <c r="T14" s="4" t="str">
        <f ca="1">CELL("contenu",INDIRECT(ADDRESS(ref!$K$7,ref!G13,1,,CELL("contenu",$AC$2))))</f>
        <v/>
      </c>
      <c r="U14" s="5" t="str">
        <f ca="1">CELL("contenu",INDIRECT(ADDRESS(ref!$K$7,ref!H13,1,,CELL("contenu",$AC$2))))</f>
        <v>A</v>
      </c>
      <c r="V14" s="43">
        <f ca="1">CELL("contenu",INDIRECT(ADDRESS(ref!$K$8,ref!E13,1,,CELL("contenu",$AC$2))))</f>
        <v>14.583333333333332</v>
      </c>
      <c r="W14" s="44">
        <f ca="1">CELL("contenu",INDIRECT(ADDRESS(ref!$K$8,ref!F13,1,,CELL("contenu",$AC$2))))</f>
        <v>13.333333333333332</v>
      </c>
      <c r="X14" s="45">
        <f ca="1">CELL("contenu",INDIRECT(ADDRESS(ref!$K$8,ref!G13,1,,CELL("contenu",$AC$2))))</f>
        <v>17.222222222222221</v>
      </c>
      <c r="Y14" s="7" t="str">
        <f ca="1">CELL("contenu",INDIRECT(ADDRESS(ref!$K$9,ref!H13,1,,CELL("contenu",$AC$2))))</f>
        <v>B</v>
      </c>
      <c r="Z14" s="4" t="str">
        <f ca="1">CELL("contenu",INDIRECT(ADDRESS(ref!$K$10,ref!H13,1,,CELL("contenu",$AC$2))))</f>
        <v/>
      </c>
      <c r="AA14" s="8" t="str">
        <f ca="1">CELL("contenu",INDIRECT(ADDRESS(ref!$K$11,ref!H13,1,,CELL("contenu",$AC$2))))</f>
        <v>B</v>
      </c>
    </row>
    <row r="15" spans="1:29" x14ac:dyDescent="0.25">
      <c r="A15" s="70" t="str">
        <f t="shared" ca="1" si="0"/>
        <v>LALLEMAND Andeol</v>
      </c>
      <c r="B15" s="2" t="str">
        <f ca="1">CELL("contenu",INDIRECT(ADDRESS(ref!$K$3,ref!E14,1,,CELL("contenu",$AC$2))))</f>
        <v>B</v>
      </c>
      <c r="C15" s="3" t="str">
        <f ca="1">CELL("contenu",INDIRECT(ADDRESS(ref!$K$3,ref!F14,1,,CELL("contenu",$AC$2))))</f>
        <v>C</v>
      </c>
      <c r="D15" s="4" t="str">
        <f ca="1">CELL("contenu",INDIRECT(ADDRESS(ref!$K$3,ref!G14,1,,CELL("contenu",$AC$2))))</f>
        <v>B</v>
      </c>
      <c r="E15" s="5" t="str">
        <f ca="1">CELL("contenu",INDIRECT(ADDRESS(ref!$K$3,ref!H14,1,,CELL("contenu",$AC$2))))</f>
        <v>B</v>
      </c>
      <c r="F15" s="6" t="str">
        <f ca="1">CELL("contenu",INDIRECT(ADDRESS(ref!$K$4,ref!E14,1,,CELL("contenu",$AC$2))))</f>
        <v/>
      </c>
      <c r="G15" s="3" t="str">
        <f ca="1">CELL("contenu",INDIRECT(ADDRESS(ref!$K$4,ref!F14,1,,CELL("contenu",$AC$2))))</f>
        <v>B</v>
      </c>
      <c r="H15" s="4" t="str">
        <f ca="1">CELL("contenu",INDIRECT(ADDRESS(ref!$K$4,ref!G14,1,,CELL("contenu",$AC$2))))</f>
        <v>B</v>
      </c>
      <c r="I15" s="5" t="str">
        <f ca="1">CELL("contenu",INDIRECT(ADDRESS(ref!$K$4,ref!H14,1,,CELL("contenu",$AC$2))))</f>
        <v>B</v>
      </c>
      <c r="J15" s="6" t="str">
        <f ca="1">CELL("contenu",INDIRECT(ADDRESS(ref!$K$5,ref!E14,1,,CELL("contenu",$AC$2))))</f>
        <v>B</v>
      </c>
      <c r="K15" s="3" t="str">
        <f ca="1">CELL("contenu",INDIRECT(ADDRESS(ref!$K$5,ref!F14,1,,CELL("contenu",$AC$2))))</f>
        <v>A</v>
      </c>
      <c r="L15" s="4" t="str">
        <f ca="1">CELL("contenu",INDIRECT(ADDRESS(ref!$K$5,ref!G14,1,,CELL("contenu",$AC$2))))</f>
        <v>A</v>
      </c>
      <c r="M15" s="5" t="str">
        <f ca="1">CELL("contenu",INDIRECT(ADDRESS(ref!$K$5,ref!H14,1,,CELL("contenu",$AC$2))))</f>
        <v>B</v>
      </c>
      <c r="N15" s="6" t="str">
        <f ca="1">CELL("contenu",INDIRECT(ADDRESS(ref!$K$6,ref!E14,1,,CELL("contenu",$AC$2))))</f>
        <v>C</v>
      </c>
      <c r="O15" s="3" t="str">
        <f ca="1">CELL("contenu",INDIRECT(ADDRESS(ref!$K$6,ref!F14,1,,CELL("contenu",$AC$2))))</f>
        <v>C</v>
      </c>
      <c r="P15" s="4" t="str">
        <f ca="1">CELL("contenu",INDIRECT(ADDRESS(ref!$K$6,ref!G14,1,,CELL("contenu",$AC$2))))</f>
        <v>C</v>
      </c>
      <c r="Q15" s="5" t="str">
        <f ca="1">CELL("contenu",INDIRECT(ADDRESS(ref!$K$6,ref!H14,1,,CELL("contenu",$AC$2))))</f>
        <v>C</v>
      </c>
      <c r="R15" s="6" t="str">
        <f ca="1">CELL("contenu",INDIRECT(ADDRESS(ref!$K$7,ref!E14,1,,CELL("contenu",$AC$2))))</f>
        <v>B</v>
      </c>
      <c r="S15" s="3" t="str">
        <f ca="1">CELL("contenu",INDIRECT(ADDRESS(ref!$K$7,ref!F14,1,,CELL("contenu",$AC$2))))</f>
        <v/>
      </c>
      <c r="T15" s="4" t="str">
        <f ca="1">CELL("contenu",INDIRECT(ADDRESS(ref!$K$7,ref!G14,1,,CELL("contenu",$AC$2))))</f>
        <v/>
      </c>
      <c r="U15" s="5" t="str">
        <f ca="1">CELL("contenu",INDIRECT(ADDRESS(ref!$K$7,ref!H14,1,,CELL("contenu",$AC$2))))</f>
        <v>B</v>
      </c>
      <c r="V15" s="43">
        <f ca="1">CELL("contenu",INDIRECT(ADDRESS(ref!$K$8,ref!E14,1,,CELL("contenu",$AC$2))))</f>
        <v>13.75</v>
      </c>
      <c r="W15" s="44">
        <f ca="1">CELL("contenu",INDIRECT(ADDRESS(ref!$K$8,ref!F14,1,,CELL("contenu",$AC$2))))</f>
        <v>14.930555555555555</v>
      </c>
      <c r="X15" s="45">
        <f ca="1">CELL("contenu",INDIRECT(ADDRESS(ref!$K$8,ref!G14,1,,CELL("contenu",$AC$2))))</f>
        <v>16.805555555555554</v>
      </c>
      <c r="Y15" s="7" t="str">
        <f ca="1">CELL("contenu",INDIRECT(ADDRESS(ref!$K$9,ref!H14,1,,CELL("contenu",$AC$2))))</f>
        <v>B</v>
      </c>
      <c r="Z15" s="4" t="str">
        <f ca="1">CELL("contenu",INDIRECT(ADDRESS(ref!$K$10,ref!H14,1,,CELL("contenu",$AC$2))))</f>
        <v/>
      </c>
      <c r="AA15" s="8" t="str">
        <f ca="1">CELL("contenu",INDIRECT(ADDRESS(ref!$K$11,ref!H14,1,,CELL("contenu",$AC$2))))</f>
        <v>A</v>
      </c>
    </row>
    <row r="16" spans="1:29" x14ac:dyDescent="0.25">
      <c r="A16" s="70" t="str">
        <f t="shared" ca="1" si="0"/>
        <v>LAVEIX Baudouin</v>
      </c>
      <c r="B16" s="2" t="str">
        <f ca="1">CELL("contenu",INDIRECT(ADDRESS(ref!$K$3,ref!E15,1,,CELL("contenu",$AC$2))))</f>
        <v>C</v>
      </c>
      <c r="C16" s="3" t="str">
        <f ca="1">CELL("contenu",INDIRECT(ADDRESS(ref!$K$3,ref!F15,1,,CELL("contenu",$AC$2))))</f>
        <v>B</v>
      </c>
      <c r="D16" s="4" t="str">
        <f ca="1">CELL("contenu",INDIRECT(ADDRESS(ref!$K$3,ref!G15,1,,CELL("contenu",$AC$2))))</f>
        <v>B</v>
      </c>
      <c r="E16" s="5" t="str">
        <f ca="1">CELL("contenu",INDIRECT(ADDRESS(ref!$K$3,ref!H15,1,,CELL("contenu",$AC$2))))</f>
        <v>B</v>
      </c>
      <c r="F16" s="6" t="str">
        <f ca="1">CELL("contenu",INDIRECT(ADDRESS(ref!$K$4,ref!E15,1,,CELL("contenu",$AC$2))))</f>
        <v/>
      </c>
      <c r="G16" s="3" t="str">
        <f ca="1">CELL("contenu",INDIRECT(ADDRESS(ref!$K$4,ref!F15,1,,CELL("contenu",$AC$2))))</f>
        <v>B</v>
      </c>
      <c r="H16" s="4" t="str">
        <f ca="1">CELL("contenu",INDIRECT(ADDRESS(ref!$K$4,ref!G15,1,,CELL("contenu",$AC$2))))</f>
        <v>B</v>
      </c>
      <c r="I16" s="5" t="str">
        <f ca="1">CELL("contenu",INDIRECT(ADDRESS(ref!$K$4,ref!H15,1,,CELL("contenu",$AC$2))))</f>
        <v>B</v>
      </c>
      <c r="J16" s="6" t="str">
        <f ca="1">CELL("contenu",INDIRECT(ADDRESS(ref!$K$5,ref!E15,1,,CELL("contenu",$AC$2))))</f>
        <v>B</v>
      </c>
      <c r="K16" s="3" t="str">
        <f ca="1">CELL("contenu",INDIRECT(ADDRESS(ref!$K$5,ref!F15,1,,CELL("contenu",$AC$2))))</f>
        <v>B</v>
      </c>
      <c r="L16" s="4" t="str">
        <f ca="1">CELL("contenu",INDIRECT(ADDRESS(ref!$K$5,ref!G15,1,,CELL("contenu",$AC$2))))</f>
        <v>A</v>
      </c>
      <c r="M16" s="5" t="str">
        <f ca="1">CELL("contenu",INDIRECT(ADDRESS(ref!$K$5,ref!H15,1,,CELL("contenu",$AC$2))))</f>
        <v>B</v>
      </c>
      <c r="N16" s="6" t="str">
        <f ca="1">CELL("contenu",INDIRECT(ADDRESS(ref!$K$6,ref!E15,1,,CELL("contenu",$AC$2))))</f>
        <v>C</v>
      </c>
      <c r="O16" s="3" t="str">
        <f ca="1">CELL("contenu",INDIRECT(ADDRESS(ref!$K$6,ref!F15,1,,CELL("contenu",$AC$2))))</f>
        <v>C</v>
      </c>
      <c r="P16" s="4" t="str">
        <f ca="1">CELL("contenu",INDIRECT(ADDRESS(ref!$K$6,ref!G15,1,,CELL("contenu",$AC$2))))</f>
        <v>B</v>
      </c>
      <c r="Q16" s="5" t="str">
        <f ca="1">CELL("contenu",INDIRECT(ADDRESS(ref!$K$6,ref!H15,1,,CELL("contenu",$AC$2))))</f>
        <v>C</v>
      </c>
      <c r="R16" s="6" t="str">
        <f ca="1">CELL("contenu",INDIRECT(ADDRESS(ref!$K$7,ref!E15,1,,CELL("contenu",$AC$2))))</f>
        <v>C</v>
      </c>
      <c r="S16" s="3" t="str">
        <f ca="1">CELL("contenu",INDIRECT(ADDRESS(ref!$K$7,ref!F15,1,,CELL("contenu",$AC$2))))</f>
        <v/>
      </c>
      <c r="T16" s="4" t="str">
        <f ca="1">CELL("contenu",INDIRECT(ADDRESS(ref!$K$7,ref!G15,1,,CELL("contenu",$AC$2))))</f>
        <v/>
      </c>
      <c r="U16" s="5" t="str">
        <f ca="1">CELL("contenu",INDIRECT(ADDRESS(ref!$K$7,ref!H15,1,,CELL("contenu",$AC$2))))</f>
        <v>C</v>
      </c>
      <c r="V16" s="43">
        <f ca="1">CELL("contenu",INDIRECT(ADDRESS(ref!$K$8,ref!E15,1,,CELL("contenu",$AC$2))))</f>
        <v>12.083333333333332</v>
      </c>
      <c r="W16" s="44">
        <f ca="1">CELL("contenu",INDIRECT(ADDRESS(ref!$K$8,ref!F15,1,,CELL("contenu",$AC$2))))</f>
        <v>14.583333333333332</v>
      </c>
      <c r="X16" s="45">
        <f ca="1">CELL("contenu",INDIRECT(ADDRESS(ref!$K$8,ref!G15,1,,CELL("contenu",$AC$2))))</f>
        <v>16.944444444444446</v>
      </c>
      <c r="Y16" s="7" t="str">
        <f ca="1">CELL("contenu",INDIRECT(ADDRESS(ref!$K$9,ref!H15,1,,CELL("contenu",$AC$2))))</f>
        <v>B</v>
      </c>
      <c r="Z16" s="4" t="str">
        <f ca="1">CELL("contenu",INDIRECT(ADDRESS(ref!$K$10,ref!H15,1,,CELL("contenu",$AC$2))))</f>
        <v/>
      </c>
      <c r="AA16" s="8" t="str">
        <f ca="1">CELL("contenu",INDIRECT(ADDRESS(ref!$K$11,ref!H15,1,,CELL("contenu",$AC$2))))</f>
        <v>A</v>
      </c>
    </row>
    <row r="17" spans="1:27" x14ac:dyDescent="0.25">
      <c r="A17" s="70" t="str">
        <f t="shared" ca="1" si="0"/>
        <v>LE BOLLOCH Arthur</v>
      </c>
      <c r="B17" s="2" t="str">
        <f ca="1">CELL("contenu",INDIRECT(ADDRESS(ref!$K$3,ref!E16,1,,CELL("contenu",$AC$2))))</f>
        <v>C</v>
      </c>
      <c r="C17" s="3" t="str">
        <f ca="1">CELL("contenu",INDIRECT(ADDRESS(ref!$K$3,ref!F16,1,,CELL("contenu",$AC$2))))</f>
        <v>B</v>
      </c>
      <c r="D17" s="4" t="str">
        <f ca="1">CELL("contenu",INDIRECT(ADDRESS(ref!$K$3,ref!G16,1,,CELL("contenu",$AC$2))))</f>
        <v>C</v>
      </c>
      <c r="E17" s="5" t="str">
        <f ca="1">CELL("contenu",INDIRECT(ADDRESS(ref!$K$3,ref!H16,1,,CELL("contenu",$AC$2))))</f>
        <v>C</v>
      </c>
      <c r="F17" s="6" t="str">
        <f ca="1">CELL("contenu",INDIRECT(ADDRESS(ref!$K$4,ref!E16,1,,CELL("contenu",$AC$2))))</f>
        <v/>
      </c>
      <c r="G17" s="3" t="str">
        <f ca="1">CELL("contenu",INDIRECT(ADDRESS(ref!$K$4,ref!F16,1,,CELL("contenu",$AC$2))))</f>
        <v>A</v>
      </c>
      <c r="H17" s="4" t="str">
        <f ca="1">CELL("contenu",INDIRECT(ADDRESS(ref!$K$4,ref!G16,1,,CELL("contenu",$AC$2))))</f>
        <v>B</v>
      </c>
      <c r="I17" s="5" t="str">
        <f ca="1">CELL("contenu",INDIRECT(ADDRESS(ref!$K$4,ref!H16,1,,CELL("contenu",$AC$2))))</f>
        <v>B</v>
      </c>
      <c r="J17" s="6" t="str">
        <f ca="1">CELL("contenu",INDIRECT(ADDRESS(ref!$K$5,ref!E16,1,,CELL("contenu",$AC$2))))</f>
        <v>A</v>
      </c>
      <c r="K17" s="3" t="str">
        <f ca="1">CELL("contenu",INDIRECT(ADDRESS(ref!$K$5,ref!F16,1,,CELL("contenu",$AC$2))))</f>
        <v>A</v>
      </c>
      <c r="L17" s="4" t="str">
        <f ca="1">CELL("contenu",INDIRECT(ADDRESS(ref!$K$5,ref!G16,1,,CELL("contenu",$AC$2))))</f>
        <v>A</v>
      </c>
      <c r="M17" s="5" t="str">
        <f ca="1">CELL("contenu",INDIRECT(ADDRESS(ref!$K$5,ref!H16,1,,CELL("contenu",$AC$2))))</f>
        <v>A</v>
      </c>
      <c r="N17" s="6" t="str">
        <f ca="1">CELL("contenu",INDIRECT(ADDRESS(ref!$K$6,ref!E16,1,,CELL("contenu",$AC$2))))</f>
        <v>C</v>
      </c>
      <c r="O17" s="3" t="str">
        <f ca="1">CELL("contenu",INDIRECT(ADDRESS(ref!$K$6,ref!F16,1,,CELL("contenu",$AC$2))))</f>
        <v>C</v>
      </c>
      <c r="P17" s="4" t="str">
        <f ca="1">CELL("contenu",INDIRECT(ADDRESS(ref!$K$6,ref!G16,1,,CELL("contenu",$AC$2))))</f>
        <v>B</v>
      </c>
      <c r="Q17" s="5" t="str">
        <f ca="1">CELL("contenu",INDIRECT(ADDRESS(ref!$K$6,ref!H16,1,,CELL("contenu",$AC$2))))</f>
        <v>C</v>
      </c>
      <c r="R17" s="6" t="str">
        <f ca="1">CELL("contenu",INDIRECT(ADDRESS(ref!$K$7,ref!E16,1,,CELL("contenu",$AC$2))))</f>
        <v>C</v>
      </c>
      <c r="S17" s="3" t="str">
        <f ca="1">CELL("contenu",INDIRECT(ADDRESS(ref!$K$7,ref!F16,1,,CELL("contenu",$AC$2))))</f>
        <v/>
      </c>
      <c r="T17" s="4" t="str">
        <f ca="1">CELL("contenu",INDIRECT(ADDRESS(ref!$K$7,ref!G16,1,,CELL("contenu",$AC$2))))</f>
        <v/>
      </c>
      <c r="U17" s="5" t="str">
        <f ca="1">CELL("contenu",INDIRECT(ADDRESS(ref!$K$7,ref!H16,1,,CELL("contenu",$AC$2))))</f>
        <v>C</v>
      </c>
      <c r="V17" s="43">
        <f ca="1">CELL("contenu",INDIRECT(ADDRESS(ref!$K$8,ref!E16,1,,CELL("contenu",$AC$2))))</f>
        <v>13.333333333333332</v>
      </c>
      <c r="W17" s="44">
        <f ca="1">CELL("contenu",INDIRECT(ADDRESS(ref!$K$8,ref!F16,1,,CELL("contenu",$AC$2))))</f>
        <v>15.277777777777779</v>
      </c>
      <c r="X17" s="45">
        <f ca="1">CELL("contenu",INDIRECT(ADDRESS(ref!$K$8,ref!G16,1,,CELL("contenu",$AC$2))))</f>
        <v>15.277777777777779</v>
      </c>
      <c r="Y17" s="7" t="str">
        <f ca="1">CELL("contenu",INDIRECT(ADDRESS(ref!$K$9,ref!H16,1,,CELL("contenu",$AC$2))))</f>
        <v>B</v>
      </c>
      <c r="Z17" s="4" t="str">
        <f ca="1">CELL("contenu",INDIRECT(ADDRESS(ref!$K$10,ref!H16,1,,CELL("contenu",$AC$2))))</f>
        <v/>
      </c>
      <c r="AA17" s="8" t="str">
        <f ca="1">CELL("contenu",INDIRECT(ADDRESS(ref!$K$11,ref!H16,1,,CELL("contenu",$AC$2))))</f>
        <v>A</v>
      </c>
    </row>
    <row r="18" spans="1:27" x14ac:dyDescent="0.25">
      <c r="A18" s="70" t="str">
        <f t="shared" ca="1" si="0"/>
        <v>LEPRINCE Flavie</v>
      </c>
      <c r="B18" s="2" t="str">
        <f ca="1">CELL("contenu",INDIRECT(ADDRESS(ref!$K$3,ref!E17,1,,CELL("contenu",$AC$2))))</f>
        <v>C</v>
      </c>
      <c r="C18" s="3" t="str">
        <f ca="1">CELL("contenu",INDIRECT(ADDRESS(ref!$K$3,ref!F17,1,,CELL("contenu",$AC$2))))</f>
        <v>B</v>
      </c>
      <c r="D18" s="4" t="str">
        <f ca="1">CELL("contenu",INDIRECT(ADDRESS(ref!$K$3,ref!G17,1,,CELL("contenu",$AC$2))))</f>
        <v>C</v>
      </c>
      <c r="E18" s="5" t="str">
        <f ca="1">CELL("contenu",INDIRECT(ADDRESS(ref!$K$3,ref!H17,1,,CELL("contenu",$AC$2))))</f>
        <v>B</v>
      </c>
      <c r="F18" s="6" t="str">
        <f ca="1">CELL("contenu",INDIRECT(ADDRESS(ref!$K$4,ref!E17,1,,CELL("contenu",$AC$2))))</f>
        <v/>
      </c>
      <c r="G18" s="3" t="str">
        <f ca="1">CELL("contenu",INDIRECT(ADDRESS(ref!$K$4,ref!F17,1,,CELL("contenu",$AC$2))))</f>
        <v>A</v>
      </c>
      <c r="H18" s="4" t="str">
        <f ca="1">CELL("contenu",INDIRECT(ADDRESS(ref!$K$4,ref!G17,1,,CELL("contenu",$AC$2))))</f>
        <v>B</v>
      </c>
      <c r="I18" s="5" t="str">
        <f ca="1">CELL("contenu",INDIRECT(ADDRESS(ref!$K$4,ref!H17,1,,CELL("contenu",$AC$2))))</f>
        <v>A</v>
      </c>
      <c r="J18" s="6" t="str">
        <f ca="1">CELL("contenu",INDIRECT(ADDRESS(ref!$K$5,ref!E17,1,,CELL("contenu",$AC$2))))</f>
        <v>A</v>
      </c>
      <c r="K18" s="3" t="str">
        <f ca="1">CELL("contenu",INDIRECT(ADDRESS(ref!$K$5,ref!F17,1,,CELL("contenu",$AC$2))))</f>
        <v>B</v>
      </c>
      <c r="L18" s="4" t="str">
        <f ca="1">CELL("contenu",INDIRECT(ADDRESS(ref!$K$5,ref!G17,1,,CELL("contenu",$AC$2))))</f>
        <v>A</v>
      </c>
      <c r="M18" s="5" t="str">
        <f ca="1">CELL("contenu",INDIRECT(ADDRESS(ref!$K$5,ref!H17,1,,CELL("contenu",$AC$2))))</f>
        <v>A</v>
      </c>
      <c r="N18" s="6" t="str">
        <f ca="1">CELL("contenu",INDIRECT(ADDRESS(ref!$K$6,ref!E17,1,,CELL("contenu",$AC$2))))</f>
        <v>C</v>
      </c>
      <c r="O18" s="3" t="str">
        <f ca="1">CELL("contenu",INDIRECT(ADDRESS(ref!$K$6,ref!F17,1,,CELL("contenu",$AC$2))))</f>
        <v>B</v>
      </c>
      <c r="P18" s="4" t="str">
        <f ca="1">CELL("contenu",INDIRECT(ADDRESS(ref!$K$6,ref!G17,1,,CELL("contenu",$AC$2))))</f>
        <v>B</v>
      </c>
      <c r="Q18" s="5" t="str">
        <f ca="1">CELL("contenu",INDIRECT(ADDRESS(ref!$K$6,ref!H17,1,,CELL("contenu",$AC$2))))</f>
        <v>B</v>
      </c>
      <c r="R18" s="6" t="str">
        <f ca="1">CELL("contenu",INDIRECT(ADDRESS(ref!$K$7,ref!E17,1,,CELL("contenu",$AC$2))))</f>
        <v>C</v>
      </c>
      <c r="S18" s="3" t="str">
        <f ca="1">CELL("contenu",INDIRECT(ADDRESS(ref!$K$7,ref!F17,1,,CELL("contenu",$AC$2))))</f>
        <v/>
      </c>
      <c r="T18" s="4" t="str">
        <f ca="1">CELL("contenu",INDIRECT(ADDRESS(ref!$K$7,ref!G17,1,,CELL("contenu",$AC$2))))</f>
        <v/>
      </c>
      <c r="U18" s="5" t="str">
        <f ca="1">CELL("contenu",INDIRECT(ADDRESS(ref!$K$7,ref!H17,1,,CELL("contenu",$AC$2))))</f>
        <v>C</v>
      </c>
      <c r="V18" s="43">
        <f ca="1">CELL("contenu",INDIRECT(ADDRESS(ref!$K$8,ref!E17,1,,CELL("contenu",$AC$2))))</f>
        <v>13.333333333333332</v>
      </c>
      <c r="W18" s="44">
        <f ca="1">CELL("contenu",INDIRECT(ADDRESS(ref!$K$8,ref!F17,1,,CELL("contenu",$AC$2))))</f>
        <v>17.013888888888886</v>
      </c>
      <c r="X18" s="45">
        <f ca="1">CELL("contenu",INDIRECT(ADDRESS(ref!$K$8,ref!G17,1,,CELL("contenu",$AC$2))))</f>
        <v>16.25</v>
      </c>
      <c r="Y18" s="7" t="str">
        <f ca="1">CELL("contenu",INDIRECT(ADDRESS(ref!$K$9,ref!H17,1,,CELL("contenu",$AC$2))))</f>
        <v>A</v>
      </c>
      <c r="Z18" s="4" t="str">
        <f ca="1">CELL("contenu",INDIRECT(ADDRESS(ref!$K$10,ref!H17,1,,CELL("contenu",$AC$2))))</f>
        <v/>
      </c>
      <c r="AA18" s="8" t="str">
        <f ca="1">CELL("contenu",INDIRECT(ADDRESS(ref!$K$11,ref!H17,1,,CELL("contenu",$AC$2))))</f>
        <v>B</v>
      </c>
    </row>
    <row r="19" spans="1:27" x14ac:dyDescent="0.25">
      <c r="A19" s="70" t="str">
        <f t="shared" ca="1" si="0"/>
        <v>LHOTELLIER Louise-Gabrielle</v>
      </c>
      <c r="B19" s="2" t="str">
        <f ca="1">CELL("contenu",INDIRECT(ADDRESS(ref!$K$3,ref!E18,1,,CELL("contenu",$AC$2))))</f>
        <v>B</v>
      </c>
      <c r="C19" s="3" t="str">
        <f ca="1">CELL("contenu",INDIRECT(ADDRESS(ref!$K$3,ref!F18,1,,CELL("contenu",$AC$2))))</f>
        <v>B</v>
      </c>
      <c r="D19" s="4" t="str">
        <f ca="1">CELL("contenu",INDIRECT(ADDRESS(ref!$K$3,ref!G18,1,,CELL("contenu",$AC$2))))</f>
        <v>B</v>
      </c>
      <c r="E19" s="5" t="str">
        <f ca="1">CELL("contenu",INDIRECT(ADDRESS(ref!$K$3,ref!H18,1,,CELL("contenu",$AC$2))))</f>
        <v>B</v>
      </c>
      <c r="F19" s="6" t="str">
        <f ca="1">CELL("contenu",INDIRECT(ADDRESS(ref!$K$4,ref!E18,1,,CELL("contenu",$AC$2))))</f>
        <v/>
      </c>
      <c r="G19" s="3" t="str">
        <f ca="1">CELL("contenu",INDIRECT(ADDRESS(ref!$K$4,ref!F18,1,,CELL("contenu",$AC$2))))</f>
        <v>A</v>
      </c>
      <c r="H19" s="4" t="str">
        <f ca="1">CELL("contenu",INDIRECT(ADDRESS(ref!$K$4,ref!G18,1,,CELL("contenu",$AC$2))))</f>
        <v>B</v>
      </c>
      <c r="I19" s="5" t="str">
        <f ca="1">CELL("contenu",INDIRECT(ADDRESS(ref!$K$4,ref!H18,1,,CELL("contenu",$AC$2))))</f>
        <v>A</v>
      </c>
      <c r="J19" s="6" t="str">
        <f ca="1">CELL("contenu",INDIRECT(ADDRESS(ref!$K$5,ref!E18,1,,CELL("contenu",$AC$2))))</f>
        <v>A</v>
      </c>
      <c r="K19" s="3" t="str">
        <f ca="1">CELL("contenu",INDIRECT(ADDRESS(ref!$K$5,ref!F18,1,,CELL("contenu",$AC$2))))</f>
        <v>A</v>
      </c>
      <c r="L19" s="4" t="str">
        <f ca="1">CELL("contenu",INDIRECT(ADDRESS(ref!$K$5,ref!G18,1,,CELL("contenu",$AC$2))))</f>
        <v>A</v>
      </c>
      <c r="M19" s="5" t="str">
        <f ca="1">CELL("contenu",INDIRECT(ADDRESS(ref!$K$5,ref!H18,1,,CELL("contenu",$AC$2))))</f>
        <v>A</v>
      </c>
      <c r="N19" s="6" t="str">
        <f ca="1">CELL("contenu",INDIRECT(ADDRESS(ref!$K$6,ref!E18,1,,CELL("contenu",$AC$2))))</f>
        <v>C</v>
      </c>
      <c r="O19" s="3" t="str">
        <f ca="1">CELL("contenu",INDIRECT(ADDRESS(ref!$K$6,ref!F18,1,,CELL("contenu",$AC$2))))</f>
        <v>C</v>
      </c>
      <c r="P19" s="4" t="str">
        <f ca="1">CELL("contenu",INDIRECT(ADDRESS(ref!$K$6,ref!G18,1,,CELL("contenu",$AC$2))))</f>
        <v>B</v>
      </c>
      <c r="Q19" s="5" t="str">
        <f ca="1">CELL("contenu",INDIRECT(ADDRESS(ref!$K$6,ref!H18,1,,CELL("contenu",$AC$2))))</f>
        <v>B</v>
      </c>
      <c r="R19" s="6" t="str">
        <f ca="1">CELL("contenu",INDIRECT(ADDRESS(ref!$K$7,ref!E18,1,,CELL("contenu",$AC$2))))</f>
        <v>D</v>
      </c>
      <c r="S19" s="3" t="str">
        <f ca="1">CELL("contenu",INDIRECT(ADDRESS(ref!$K$7,ref!F18,1,,CELL("contenu",$AC$2))))</f>
        <v/>
      </c>
      <c r="T19" s="4" t="str">
        <f ca="1">CELL("contenu",INDIRECT(ADDRESS(ref!$K$7,ref!G18,1,,CELL("contenu",$AC$2))))</f>
        <v/>
      </c>
      <c r="U19" s="5" t="str">
        <f ca="1">CELL("contenu",INDIRECT(ADDRESS(ref!$K$7,ref!H18,1,,CELL("contenu",$AC$2))))</f>
        <v>D</v>
      </c>
      <c r="V19" s="43">
        <f ca="1">CELL("contenu",INDIRECT(ADDRESS(ref!$K$8,ref!E18,1,,CELL("contenu",$AC$2))))</f>
        <v>13.75</v>
      </c>
      <c r="W19" s="44">
        <f ca="1">CELL("contenu",INDIRECT(ADDRESS(ref!$K$8,ref!F18,1,,CELL("contenu",$AC$2))))</f>
        <v>16.25</v>
      </c>
      <c r="X19" s="45">
        <f ca="1">CELL("contenu",INDIRECT(ADDRESS(ref!$K$8,ref!G18,1,,CELL("contenu",$AC$2))))</f>
        <v>18.333333333333332</v>
      </c>
      <c r="Y19" s="7" t="str">
        <f ca="1">CELL("contenu",INDIRECT(ADDRESS(ref!$K$9,ref!H18,1,,CELL("contenu",$AC$2))))</f>
        <v>A</v>
      </c>
      <c r="Z19" s="4" t="str">
        <f ca="1">CELL("contenu",INDIRECT(ADDRESS(ref!$K$10,ref!H18,1,,CELL("contenu",$AC$2))))</f>
        <v/>
      </c>
      <c r="AA19" s="8" t="str">
        <f ca="1">CELL("contenu",INDIRECT(ADDRESS(ref!$K$11,ref!H18,1,,CELL("contenu",$AC$2))))</f>
        <v>A</v>
      </c>
    </row>
    <row r="20" spans="1:27" x14ac:dyDescent="0.25">
      <c r="A20" s="70" t="str">
        <f t="shared" ca="1" si="0"/>
        <v>LIMET Oriane</v>
      </c>
      <c r="B20" s="2" t="str">
        <f ca="1">CELL("contenu",INDIRECT(ADDRESS(ref!$K$3,ref!E19,1,,CELL("contenu",$AC$2))))</f>
        <v>B</v>
      </c>
      <c r="C20" s="3" t="str">
        <f ca="1">CELL("contenu",INDIRECT(ADDRESS(ref!$K$3,ref!F19,1,,CELL("contenu",$AC$2))))</f>
        <v>C</v>
      </c>
      <c r="D20" s="4" t="str">
        <f ca="1">CELL("contenu",INDIRECT(ADDRESS(ref!$K$3,ref!G19,1,,CELL("contenu",$AC$2))))</f>
        <v>C</v>
      </c>
      <c r="E20" s="5" t="str">
        <f ca="1">CELL("contenu",INDIRECT(ADDRESS(ref!$K$3,ref!H19,1,,CELL("contenu",$AC$2))))</f>
        <v>C</v>
      </c>
      <c r="F20" s="6" t="str">
        <f ca="1">CELL("contenu",INDIRECT(ADDRESS(ref!$K$4,ref!E19,1,,CELL("contenu",$AC$2))))</f>
        <v/>
      </c>
      <c r="G20" s="3" t="str">
        <f ca="1">CELL("contenu",INDIRECT(ADDRESS(ref!$K$4,ref!F19,1,,CELL("contenu",$AC$2))))</f>
        <v>B</v>
      </c>
      <c r="H20" s="4" t="str">
        <f ca="1">CELL("contenu",INDIRECT(ADDRESS(ref!$K$4,ref!G19,1,,CELL("contenu",$AC$2))))</f>
        <v>A</v>
      </c>
      <c r="I20" s="5" t="str">
        <f ca="1">CELL("contenu",INDIRECT(ADDRESS(ref!$K$4,ref!H19,1,,CELL("contenu",$AC$2))))</f>
        <v>B</v>
      </c>
      <c r="J20" s="6" t="str">
        <f ca="1">CELL("contenu",INDIRECT(ADDRESS(ref!$K$5,ref!E19,1,,CELL("contenu",$AC$2))))</f>
        <v>A</v>
      </c>
      <c r="K20" s="3" t="str">
        <f ca="1">CELL("contenu",INDIRECT(ADDRESS(ref!$K$5,ref!F19,1,,CELL("contenu",$AC$2))))</f>
        <v>A</v>
      </c>
      <c r="L20" s="4" t="str">
        <f ca="1">CELL("contenu",INDIRECT(ADDRESS(ref!$K$5,ref!G19,1,,CELL("contenu",$AC$2))))</f>
        <v/>
      </c>
      <c r="M20" s="5" t="str">
        <f ca="1">CELL("contenu",INDIRECT(ADDRESS(ref!$K$5,ref!H19,1,,CELL("contenu",$AC$2))))</f>
        <v>A</v>
      </c>
      <c r="N20" s="6" t="str">
        <f ca="1">CELL("contenu",INDIRECT(ADDRESS(ref!$K$6,ref!E19,1,,CELL("contenu",$AC$2))))</f>
        <v>C</v>
      </c>
      <c r="O20" s="3" t="str">
        <f ca="1">CELL("contenu",INDIRECT(ADDRESS(ref!$K$6,ref!F19,1,,CELL("contenu",$AC$2))))</f>
        <v>B</v>
      </c>
      <c r="P20" s="4" t="str">
        <f ca="1">CELL("contenu",INDIRECT(ADDRESS(ref!$K$6,ref!G19,1,,CELL("contenu",$AC$2))))</f>
        <v>B</v>
      </c>
      <c r="Q20" s="5" t="str">
        <f ca="1">CELL("contenu",INDIRECT(ADDRESS(ref!$K$6,ref!H19,1,,CELL("contenu",$AC$2))))</f>
        <v>B</v>
      </c>
      <c r="R20" s="6" t="str">
        <f ca="1">CELL("contenu",INDIRECT(ADDRESS(ref!$K$7,ref!E19,1,,CELL("contenu",$AC$2))))</f>
        <v>D</v>
      </c>
      <c r="S20" s="3" t="str">
        <f ca="1">CELL("contenu",INDIRECT(ADDRESS(ref!$K$7,ref!F19,1,,CELL("contenu",$AC$2))))</f>
        <v/>
      </c>
      <c r="T20" s="4" t="str">
        <f ca="1">CELL("contenu",INDIRECT(ADDRESS(ref!$K$7,ref!G19,1,,CELL("contenu",$AC$2))))</f>
        <v/>
      </c>
      <c r="U20" s="5" t="str">
        <f ca="1">CELL("contenu",INDIRECT(ADDRESS(ref!$K$7,ref!H19,1,,CELL("contenu",$AC$2))))</f>
        <v>D</v>
      </c>
      <c r="V20" s="43">
        <f ca="1">CELL("contenu",INDIRECT(ADDRESS(ref!$K$8,ref!E19,1,,CELL("contenu",$AC$2))))</f>
        <v>12.916666666666668</v>
      </c>
      <c r="W20" s="44">
        <f ca="1">CELL("contenu",INDIRECT(ADDRESS(ref!$K$8,ref!F19,1,,CELL("contenu",$AC$2))))</f>
        <v>15.277777777777777</v>
      </c>
      <c r="X20" s="45">
        <f ca="1">CELL("contenu",INDIRECT(ADDRESS(ref!$K$8,ref!G19,1,,CELL("contenu",$AC$2))))</f>
        <v>15.333333333333334</v>
      </c>
      <c r="Y20" s="7" t="str">
        <f ca="1">CELL("contenu",INDIRECT(ADDRESS(ref!$K$9,ref!H19,1,,CELL("contenu",$AC$2))))</f>
        <v>B</v>
      </c>
      <c r="Z20" s="4" t="str">
        <f ca="1">CELL("contenu",INDIRECT(ADDRESS(ref!$K$10,ref!H19,1,,CELL("contenu",$AC$2))))</f>
        <v/>
      </c>
      <c r="AA20" s="8" t="str">
        <f ca="1">CELL("contenu",INDIRECT(ADDRESS(ref!$K$11,ref!H19,1,,CELL("contenu",$AC$2))))</f>
        <v>A</v>
      </c>
    </row>
    <row r="21" spans="1:27" x14ac:dyDescent="0.25">
      <c r="A21" s="70" t="str">
        <f t="shared" ca="1" si="0"/>
        <v>MAROIS Aurelien</v>
      </c>
      <c r="B21" s="2" t="str">
        <f ca="1">CELL("contenu",INDIRECT(ADDRESS(ref!$K$3,ref!E20,1,,CELL("contenu",$AC$2))))</f>
        <v>C</v>
      </c>
      <c r="C21" s="3" t="str">
        <f ca="1">CELL("contenu",INDIRECT(ADDRESS(ref!$K$3,ref!F20,1,,CELL("contenu",$AC$2))))</f>
        <v>B</v>
      </c>
      <c r="D21" s="4" t="str">
        <f ca="1">CELL("contenu",INDIRECT(ADDRESS(ref!$K$3,ref!G20,1,,CELL("contenu",$AC$2))))</f>
        <v>B</v>
      </c>
      <c r="E21" s="5" t="str">
        <f ca="1">CELL("contenu",INDIRECT(ADDRESS(ref!$K$3,ref!H20,1,,CELL("contenu",$AC$2))))</f>
        <v>B</v>
      </c>
      <c r="F21" s="6" t="str">
        <f ca="1">CELL("contenu",INDIRECT(ADDRESS(ref!$K$4,ref!E20,1,,CELL("contenu",$AC$2))))</f>
        <v/>
      </c>
      <c r="G21" s="3" t="str">
        <f ca="1">CELL("contenu",INDIRECT(ADDRESS(ref!$K$4,ref!F20,1,,CELL("contenu",$AC$2))))</f>
        <v>A</v>
      </c>
      <c r="H21" s="4" t="str">
        <f ca="1">CELL("contenu",INDIRECT(ADDRESS(ref!$K$4,ref!G20,1,,CELL("contenu",$AC$2))))</f>
        <v>B</v>
      </c>
      <c r="I21" s="5" t="str">
        <f ca="1">CELL("contenu",INDIRECT(ADDRESS(ref!$K$4,ref!H20,1,,CELL("contenu",$AC$2))))</f>
        <v>A</v>
      </c>
      <c r="J21" s="6" t="str">
        <f ca="1">CELL("contenu",INDIRECT(ADDRESS(ref!$K$5,ref!E20,1,,CELL("contenu",$AC$2))))</f>
        <v>B</v>
      </c>
      <c r="K21" s="3" t="str">
        <f ca="1">CELL("contenu",INDIRECT(ADDRESS(ref!$K$5,ref!F20,1,,CELL("contenu",$AC$2))))</f>
        <v>A</v>
      </c>
      <c r="L21" s="4" t="str">
        <f ca="1">CELL("contenu",INDIRECT(ADDRESS(ref!$K$5,ref!G20,1,,CELL("contenu",$AC$2))))</f>
        <v>A</v>
      </c>
      <c r="M21" s="5" t="str">
        <f ca="1">CELL("contenu",INDIRECT(ADDRESS(ref!$K$5,ref!H20,1,,CELL("contenu",$AC$2))))</f>
        <v>B</v>
      </c>
      <c r="N21" s="6" t="str">
        <f ca="1">CELL("contenu",INDIRECT(ADDRESS(ref!$K$6,ref!E20,1,,CELL("contenu",$AC$2))))</f>
        <v>C</v>
      </c>
      <c r="O21" s="3" t="str">
        <f ca="1">CELL("contenu",INDIRECT(ADDRESS(ref!$K$6,ref!F20,1,,CELL("contenu",$AC$2))))</f>
        <v>C</v>
      </c>
      <c r="P21" s="4" t="str">
        <f ca="1">CELL("contenu",INDIRECT(ADDRESS(ref!$K$6,ref!G20,1,,CELL("contenu",$AC$2))))</f>
        <v>B</v>
      </c>
      <c r="Q21" s="5" t="str">
        <f ca="1">CELL("contenu",INDIRECT(ADDRESS(ref!$K$6,ref!H20,1,,CELL("contenu",$AC$2))))</f>
        <v>B</v>
      </c>
      <c r="R21" s="6" t="str">
        <f ca="1">CELL("contenu",INDIRECT(ADDRESS(ref!$K$7,ref!E20,1,,CELL("contenu",$AC$2))))</f>
        <v>C</v>
      </c>
      <c r="S21" s="3" t="str">
        <f ca="1">CELL("contenu",INDIRECT(ADDRESS(ref!$K$7,ref!F20,1,,CELL("contenu",$AC$2))))</f>
        <v/>
      </c>
      <c r="T21" s="4" t="str">
        <f ca="1">CELL("contenu",INDIRECT(ADDRESS(ref!$K$7,ref!G20,1,,CELL("contenu",$AC$2))))</f>
        <v/>
      </c>
      <c r="U21" s="5" t="str">
        <f ca="1">CELL("contenu",INDIRECT(ADDRESS(ref!$K$7,ref!H20,1,,CELL("contenu",$AC$2))))</f>
        <v>C</v>
      </c>
      <c r="V21" s="43">
        <f ca="1">CELL("contenu",INDIRECT(ADDRESS(ref!$K$8,ref!E20,1,,CELL("contenu",$AC$2))))</f>
        <v>12.5</v>
      </c>
      <c r="W21" s="44">
        <f ca="1">CELL("contenu",INDIRECT(ADDRESS(ref!$K$8,ref!F20,1,,CELL("contenu",$AC$2))))</f>
        <v>16.527777777777779</v>
      </c>
      <c r="X21" s="45">
        <f ca="1">CELL("contenu",INDIRECT(ADDRESS(ref!$K$8,ref!G20,1,,CELL("contenu",$AC$2))))</f>
        <v>17.5</v>
      </c>
      <c r="Y21" s="7" t="str">
        <f ca="1">CELL("contenu",INDIRECT(ADDRESS(ref!$K$9,ref!H20,1,,CELL("contenu",$AC$2))))</f>
        <v>A</v>
      </c>
      <c r="Z21" s="4" t="str">
        <f ca="1">CELL("contenu",INDIRECT(ADDRESS(ref!$K$10,ref!H20,1,,CELL("contenu",$AC$2))))</f>
        <v/>
      </c>
      <c r="AA21" s="8" t="str">
        <f ca="1">CELL("contenu",INDIRECT(ADDRESS(ref!$K$11,ref!H20,1,,CELL("contenu",$AC$2))))</f>
        <v>A</v>
      </c>
    </row>
    <row r="22" spans="1:27" x14ac:dyDescent="0.25">
      <c r="A22" s="70" t="str">
        <f t="shared" ca="1" si="0"/>
        <v>MARXUACH Camille</v>
      </c>
      <c r="B22" s="2" t="str">
        <f ca="1">CELL("contenu",INDIRECT(ADDRESS(ref!$K$3,ref!E21,1,,CELL("contenu",$AC$2))))</f>
        <v>C</v>
      </c>
      <c r="C22" s="3" t="str">
        <f ca="1">CELL("contenu",INDIRECT(ADDRESS(ref!$K$3,ref!F21,1,,CELL("contenu",$AC$2))))</f>
        <v>C</v>
      </c>
      <c r="D22" s="4" t="str">
        <f ca="1">CELL("contenu",INDIRECT(ADDRESS(ref!$K$3,ref!G21,1,,CELL("contenu",$AC$2))))</f>
        <v>D</v>
      </c>
      <c r="E22" s="5" t="str">
        <f ca="1">CELL("contenu",INDIRECT(ADDRESS(ref!$K$3,ref!H21,1,,CELL("contenu",$AC$2))))</f>
        <v>C</v>
      </c>
      <c r="F22" s="6" t="str">
        <f ca="1">CELL("contenu",INDIRECT(ADDRESS(ref!$K$4,ref!E21,1,,CELL("contenu",$AC$2))))</f>
        <v/>
      </c>
      <c r="G22" s="3" t="str">
        <f ca="1">CELL("contenu",INDIRECT(ADDRESS(ref!$K$4,ref!F21,1,,CELL("contenu",$AC$2))))</f>
        <v>B</v>
      </c>
      <c r="H22" s="4" t="str">
        <f ca="1">CELL("contenu",INDIRECT(ADDRESS(ref!$K$4,ref!G21,1,,CELL("contenu",$AC$2))))</f>
        <v>B</v>
      </c>
      <c r="I22" s="5" t="str">
        <f ca="1">CELL("contenu",INDIRECT(ADDRESS(ref!$K$4,ref!H21,1,,CELL("contenu",$AC$2))))</f>
        <v>B</v>
      </c>
      <c r="J22" s="6" t="str">
        <f ca="1">CELL("contenu",INDIRECT(ADDRESS(ref!$K$5,ref!E21,1,,CELL("contenu",$AC$2))))</f>
        <v>A</v>
      </c>
      <c r="K22" s="3" t="str">
        <f ca="1">CELL("contenu",INDIRECT(ADDRESS(ref!$K$5,ref!F21,1,,CELL("contenu",$AC$2))))</f>
        <v>A</v>
      </c>
      <c r="L22" s="4" t="str">
        <f ca="1">CELL("contenu",INDIRECT(ADDRESS(ref!$K$5,ref!G21,1,,CELL("contenu",$AC$2))))</f>
        <v>A</v>
      </c>
      <c r="M22" s="5" t="str">
        <f ca="1">CELL("contenu",INDIRECT(ADDRESS(ref!$K$5,ref!H21,1,,CELL("contenu",$AC$2))))</f>
        <v>A</v>
      </c>
      <c r="N22" s="6" t="str">
        <f ca="1">CELL("contenu",INDIRECT(ADDRESS(ref!$K$6,ref!E21,1,,CELL("contenu",$AC$2))))</f>
        <v>C</v>
      </c>
      <c r="O22" s="3" t="str">
        <f ca="1">CELL("contenu",INDIRECT(ADDRESS(ref!$K$6,ref!F21,1,,CELL("contenu",$AC$2))))</f>
        <v>C</v>
      </c>
      <c r="P22" s="4" t="str">
        <f ca="1">CELL("contenu",INDIRECT(ADDRESS(ref!$K$6,ref!G21,1,,CELL("contenu",$AC$2))))</f>
        <v>C</v>
      </c>
      <c r="Q22" s="5" t="str">
        <f ca="1">CELL("contenu",INDIRECT(ADDRESS(ref!$K$6,ref!H21,1,,CELL("contenu",$AC$2))))</f>
        <v>C</v>
      </c>
      <c r="R22" s="6" t="str">
        <f ca="1">CELL("contenu",INDIRECT(ADDRESS(ref!$K$7,ref!E21,1,,CELL("contenu",$AC$2))))</f>
        <v>C</v>
      </c>
      <c r="S22" s="3" t="str">
        <f ca="1">CELL("contenu",INDIRECT(ADDRESS(ref!$K$7,ref!F21,1,,CELL("contenu",$AC$2))))</f>
        <v/>
      </c>
      <c r="T22" s="4" t="str">
        <f ca="1">CELL("contenu",INDIRECT(ADDRESS(ref!$K$7,ref!G21,1,,CELL("contenu",$AC$2))))</f>
        <v/>
      </c>
      <c r="U22" s="5" t="str">
        <f ca="1">CELL("contenu",INDIRECT(ADDRESS(ref!$K$7,ref!H21,1,,CELL("contenu",$AC$2))))</f>
        <v>C</v>
      </c>
      <c r="V22" s="43">
        <f ca="1">CELL("contenu",INDIRECT(ADDRESS(ref!$K$8,ref!E21,1,,CELL("contenu",$AC$2))))</f>
        <v>14.166666666666668</v>
      </c>
      <c r="W22" s="44">
        <f ca="1">CELL("contenu",INDIRECT(ADDRESS(ref!$K$8,ref!F21,1,,CELL("contenu",$AC$2))))</f>
        <v>13.611111111111114</v>
      </c>
      <c r="X22" s="45">
        <f ca="1">CELL("contenu",INDIRECT(ADDRESS(ref!$K$8,ref!G21,1,,CELL("contenu",$AC$2))))</f>
        <v>12.916666666666668</v>
      </c>
      <c r="Y22" s="7" t="str">
        <f ca="1">CELL("contenu",INDIRECT(ADDRESS(ref!$K$9,ref!H21,1,,CELL("contenu",$AC$2))))</f>
        <v>B</v>
      </c>
      <c r="Z22" s="4" t="str">
        <f ca="1">CELL("contenu",INDIRECT(ADDRESS(ref!$K$10,ref!H21,1,,CELL("contenu",$AC$2))))</f>
        <v/>
      </c>
      <c r="AA22" s="8" t="str">
        <f ca="1">CELL("contenu",INDIRECT(ADDRESS(ref!$K$11,ref!H21,1,,CELL("contenu",$AC$2))))</f>
        <v>A</v>
      </c>
    </row>
    <row r="23" spans="1:27" x14ac:dyDescent="0.25">
      <c r="A23" s="70" t="str">
        <f t="shared" ca="1" si="0"/>
        <v>MORIN Maylis</v>
      </c>
      <c r="B23" s="2" t="str">
        <f ca="1">CELL("contenu",INDIRECT(ADDRESS(ref!$K$3,ref!E22,1,,CELL("contenu",$AC$2))))</f>
        <v>C</v>
      </c>
      <c r="C23" s="3" t="str">
        <f ca="1">CELL("contenu",INDIRECT(ADDRESS(ref!$K$3,ref!F22,1,,CELL("contenu",$AC$2))))</f>
        <v>B</v>
      </c>
      <c r="D23" s="4" t="str">
        <f ca="1">CELL("contenu",INDIRECT(ADDRESS(ref!$K$3,ref!G22,1,,CELL("contenu",$AC$2))))</f>
        <v>C</v>
      </c>
      <c r="E23" s="5" t="str">
        <f ca="1">CELL("contenu",INDIRECT(ADDRESS(ref!$K$3,ref!H22,1,,CELL("contenu",$AC$2))))</f>
        <v>B</v>
      </c>
      <c r="F23" s="6" t="str">
        <f ca="1">CELL("contenu",INDIRECT(ADDRESS(ref!$K$4,ref!E22,1,,CELL("contenu",$AC$2))))</f>
        <v/>
      </c>
      <c r="G23" s="3" t="str">
        <f ca="1">CELL("contenu",INDIRECT(ADDRESS(ref!$K$4,ref!F22,1,,CELL("contenu",$AC$2))))</f>
        <v>A</v>
      </c>
      <c r="H23" s="4" t="str">
        <f ca="1">CELL("contenu",INDIRECT(ADDRESS(ref!$K$4,ref!G22,1,,CELL("contenu",$AC$2))))</f>
        <v>B</v>
      </c>
      <c r="I23" s="5" t="str">
        <f ca="1">CELL("contenu",INDIRECT(ADDRESS(ref!$K$4,ref!H22,1,,CELL("contenu",$AC$2))))</f>
        <v>A</v>
      </c>
      <c r="J23" s="6" t="str">
        <f ca="1">CELL("contenu",INDIRECT(ADDRESS(ref!$K$5,ref!E22,1,,CELL("contenu",$AC$2))))</f>
        <v>A</v>
      </c>
      <c r="K23" s="3" t="str">
        <f ca="1">CELL("contenu",INDIRECT(ADDRESS(ref!$K$5,ref!F22,1,,CELL("contenu",$AC$2))))</f>
        <v>A</v>
      </c>
      <c r="L23" s="4" t="str">
        <f ca="1">CELL("contenu",INDIRECT(ADDRESS(ref!$K$5,ref!G22,1,,CELL("contenu",$AC$2))))</f>
        <v>A</v>
      </c>
      <c r="M23" s="5" t="str">
        <f ca="1">CELL("contenu",INDIRECT(ADDRESS(ref!$K$5,ref!H22,1,,CELL("contenu",$AC$2))))</f>
        <v>A</v>
      </c>
      <c r="N23" s="6" t="str">
        <f ca="1">CELL("contenu",INDIRECT(ADDRESS(ref!$K$6,ref!E22,1,,CELL("contenu",$AC$2))))</f>
        <v>C</v>
      </c>
      <c r="O23" s="3" t="str">
        <f ca="1">CELL("contenu",INDIRECT(ADDRESS(ref!$K$6,ref!F22,1,,CELL("contenu",$AC$2))))</f>
        <v>C</v>
      </c>
      <c r="P23" s="4" t="str">
        <f ca="1">CELL("contenu",INDIRECT(ADDRESS(ref!$K$6,ref!G22,1,,CELL("contenu",$AC$2))))</f>
        <v>B</v>
      </c>
      <c r="Q23" s="5" t="str">
        <f ca="1">CELL("contenu",INDIRECT(ADDRESS(ref!$K$6,ref!H22,1,,CELL("contenu",$AC$2))))</f>
        <v>C</v>
      </c>
      <c r="R23" s="6" t="str">
        <f ca="1">CELL("contenu",INDIRECT(ADDRESS(ref!$K$7,ref!E22,1,,CELL("contenu",$AC$2))))</f>
        <v>D</v>
      </c>
      <c r="S23" s="3" t="str">
        <f ca="1">CELL("contenu",INDIRECT(ADDRESS(ref!$K$7,ref!F22,1,,CELL("contenu",$AC$2))))</f>
        <v/>
      </c>
      <c r="T23" s="4" t="str">
        <f ca="1">CELL("contenu",INDIRECT(ADDRESS(ref!$K$7,ref!G22,1,,CELL("contenu",$AC$2))))</f>
        <v/>
      </c>
      <c r="U23" s="5" t="str">
        <f ca="1">CELL("contenu",INDIRECT(ADDRESS(ref!$K$7,ref!H22,1,,CELL("contenu",$AC$2))))</f>
        <v>D</v>
      </c>
      <c r="V23" s="43">
        <f ca="1">CELL("contenu",INDIRECT(ADDRESS(ref!$K$8,ref!E22,1,,CELL("contenu",$AC$2))))</f>
        <v>12.5</v>
      </c>
      <c r="W23" s="44">
        <f ca="1">CELL("contenu",INDIRECT(ADDRESS(ref!$K$8,ref!F22,1,,CELL("contenu",$AC$2))))</f>
        <v>16.041666666666668</v>
      </c>
      <c r="X23" s="45">
        <f ca="1">CELL("contenu",INDIRECT(ADDRESS(ref!$K$8,ref!G22,1,,CELL("contenu",$AC$2))))</f>
        <v>15.694444444444445</v>
      </c>
      <c r="Y23" s="7" t="str">
        <f ca="1">CELL("contenu",INDIRECT(ADDRESS(ref!$K$9,ref!H22,1,,CELL("contenu",$AC$2))))</f>
        <v>A</v>
      </c>
      <c r="Z23" s="4" t="str">
        <f ca="1">CELL("contenu",INDIRECT(ADDRESS(ref!$K$10,ref!H22,1,,CELL("contenu",$AC$2))))</f>
        <v/>
      </c>
      <c r="AA23" s="8" t="str">
        <f ca="1">CELL("contenu",INDIRECT(ADDRESS(ref!$K$11,ref!H22,1,,CELL("contenu",$AC$2))))</f>
        <v>A</v>
      </c>
    </row>
    <row r="24" spans="1:27" x14ac:dyDescent="0.25">
      <c r="A24" s="70" t="str">
        <f t="shared" ca="1" si="0"/>
        <v>PATRIA Thomas</v>
      </c>
      <c r="B24" s="2" t="str">
        <f ca="1">CELL("contenu",INDIRECT(ADDRESS(ref!$K$3,ref!E23,1,,CELL("contenu",$AC$2))))</f>
        <v>C</v>
      </c>
      <c r="C24" s="3" t="str">
        <f ca="1">CELL("contenu",INDIRECT(ADDRESS(ref!$K$3,ref!F23,1,,CELL("contenu",$AC$2))))</f>
        <v>C</v>
      </c>
      <c r="D24" s="4" t="str">
        <f ca="1">CELL("contenu",INDIRECT(ADDRESS(ref!$K$3,ref!G23,1,,CELL("contenu",$AC$2))))</f>
        <v>B</v>
      </c>
      <c r="E24" s="5" t="str">
        <f ca="1">CELL("contenu",INDIRECT(ADDRESS(ref!$K$3,ref!H23,1,,CELL("contenu",$AC$2))))</f>
        <v>B</v>
      </c>
      <c r="F24" s="6" t="str">
        <f ca="1">CELL("contenu",INDIRECT(ADDRESS(ref!$K$4,ref!E23,1,,CELL("contenu",$AC$2))))</f>
        <v/>
      </c>
      <c r="G24" s="3" t="str">
        <f ca="1">CELL("contenu",INDIRECT(ADDRESS(ref!$K$4,ref!F23,1,,CELL("contenu",$AC$2))))</f>
        <v>A</v>
      </c>
      <c r="H24" s="4" t="str">
        <f ca="1">CELL("contenu",INDIRECT(ADDRESS(ref!$K$4,ref!G23,1,,CELL("contenu",$AC$2))))</f>
        <v>A</v>
      </c>
      <c r="I24" s="5" t="str">
        <f ca="1">CELL("contenu",INDIRECT(ADDRESS(ref!$K$4,ref!H23,1,,CELL("contenu",$AC$2))))</f>
        <v>A</v>
      </c>
      <c r="J24" s="6" t="str">
        <f ca="1">CELL("contenu",INDIRECT(ADDRESS(ref!$K$5,ref!E23,1,,CELL("contenu",$AC$2))))</f>
        <v>A</v>
      </c>
      <c r="K24" s="3" t="str">
        <f ca="1">CELL("contenu",INDIRECT(ADDRESS(ref!$K$5,ref!F23,1,,CELL("contenu",$AC$2))))</f>
        <v>C</v>
      </c>
      <c r="L24" s="4" t="str">
        <f ca="1">CELL("contenu",INDIRECT(ADDRESS(ref!$K$5,ref!G23,1,,CELL("contenu",$AC$2))))</f>
        <v>A</v>
      </c>
      <c r="M24" s="5" t="str">
        <f ca="1">CELL("contenu",INDIRECT(ADDRESS(ref!$K$5,ref!H23,1,,CELL("contenu",$AC$2))))</f>
        <v>B</v>
      </c>
      <c r="N24" s="6" t="str">
        <f ca="1">CELL("contenu",INDIRECT(ADDRESS(ref!$K$6,ref!E23,1,,CELL("contenu",$AC$2))))</f>
        <v>C</v>
      </c>
      <c r="O24" s="3" t="str">
        <f ca="1">CELL("contenu",INDIRECT(ADDRESS(ref!$K$6,ref!F23,1,,CELL("contenu",$AC$2))))</f>
        <v>B</v>
      </c>
      <c r="P24" s="4" t="str">
        <f ca="1">CELL("contenu",INDIRECT(ADDRESS(ref!$K$6,ref!G23,1,,CELL("contenu",$AC$2))))</f>
        <v>B</v>
      </c>
      <c r="Q24" s="5" t="str">
        <f ca="1">CELL("contenu",INDIRECT(ADDRESS(ref!$K$6,ref!H23,1,,CELL("contenu",$AC$2))))</f>
        <v>B</v>
      </c>
      <c r="R24" s="6" t="str">
        <f ca="1">CELL("contenu",INDIRECT(ADDRESS(ref!$K$7,ref!E23,1,,CELL("contenu",$AC$2))))</f>
        <v>B</v>
      </c>
      <c r="S24" s="3" t="str">
        <f ca="1">CELL("contenu",INDIRECT(ADDRESS(ref!$K$7,ref!F23,1,,CELL("contenu",$AC$2))))</f>
        <v/>
      </c>
      <c r="T24" s="4" t="str">
        <f ca="1">CELL("contenu",INDIRECT(ADDRESS(ref!$K$7,ref!G23,1,,CELL("contenu",$AC$2))))</f>
        <v/>
      </c>
      <c r="U24" s="5" t="str">
        <f ca="1">CELL("contenu",INDIRECT(ADDRESS(ref!$K$7,ref!H23,1,,CELL("contenu",$AC$2))))</f>
        <v>B</v>
      </c>
      <c r="V24" s="43">
        <f ca="1">CELL("contenu",INDIRECT(ADDRESS(ref!$K$8,ref!E23,1,,CELL("contenu",$AC$2))))</f>
        <v>14.166666666666668</v>
      </c>
      <c r="W24" s="44">
        <f ca="1">CELL("contenu",INDIRECT(ADDRESS(ref!$K$8,ref!F23,1,,CELL("contenu",$AC$2))))</f>
        <v>14.722222222222221</v>
      </c>
      <c r="X24" s="45">
        <f ca="1">CELL("contenu",INDIRECT(ADDRESS(ref!$K$8,ref!G23,1,,CELL("contenu",$AC$2))))</f>
        <v>17.916666666666668</v>
      </c>
      <c r="Y24" s="7" t="str">
        <f ca="1">CELL("contenu",INDIRECT(ADDRESS(ref!$K$9,ref!H23,1,,CELL("contenu",$AC$2))))</f>
        <v>A</v>
      </c>
      <c r="Z24" s="4" t="str">
        <f ca="1">CELL("contenu",INDIRECT(ADDRESS(ref!$K$10,ref!H23,1,,CELL("contenu",$AC$2))))</f>
        <v/>
      </c>
      <c r="AA24" s="8" t="str">
        <f ca="1">CELL("contenu",INDIRECT(ADDRESS(ref!$K$11,ref!H23,1,,CELL("contenu",$AC$2))))</f>
        <v>B</v>
      </c>
    </row>
    <row r="25" spans="1:27" x14ac:dyDescent="0.25">
      <c r="A25" s="70" t="str">
        <f t="shared" ca="1" si="0"/>
        <v>POUJADE Heloise</v>
      </c>
      <c r="B25" s="2" t="str">
        <f ca="1">CELL("contenu",INDIRECT(ADDRESS(ref!$K$3,ref!E24,1,,CELL("contenu",$AC$2))))</f>
        <v>C</v>
      </c>
      <c r="C25" s="3" t="str">
        <f ca="1">CELL("contenu",INDIRECT(ADDRESS(ref!$K$3,ref!F24,1,,CELL("contenu",$AC$2))))</f>
        <v>C</v>
      </c>
      <c r="D25" s="4" t="str">
        <f ca="1">CELL("contenu",INDIRECT(ADDRESS(ref!$K$3,ref!G24,1,,CELL("contenu",$AC$2))))</f>
        <v>D</v>
      </c>
      <c r="E25" s="5" t="str">
        <f ca="1">CELL("contenu",INDIRECT(ADDRESS(ref!$K$3,ref!H24,1,,CELL("contenu",$AC$2))))</f>
        <v>C</v>
      </c>
      <c r="F25" s="6" t="str">
        <f ca="1">CELL("contenu",INDIRECT(ADDRESS(ref!$K$4,ref!E24,1,,CELL("contenu",$AC$2))))</f>
        <v/>
      </c>
      <c r="G25" s="3" t="str">
        <f ca="1">CELL("contenu",INDIRECT(ADDRESS(ref!$K$4,ref!F24,1,,CELL("contenu",$AC$2))))</f>
        <v>C</v>
      </c>
      <c r="H25" s="4" t="str">
        <f ca="1">CELL("contenu",INDIRECT(ADDRESS(ref!$K$4,ref!G24,1,,CELL("contenu",$AC$2))))</f>
        <v>C</v>
      </c>
      <c r="I25" s="5" t="str">
        <f ca="1">CELL("contenu",INDIRECT(ADDRESS(ref!$K$4,ref!H24,1,,CELL("contenu",$AC$2))))</f>
        <v>C</v>
      </c>
      <c r="J25" s="6" t="str">
        <f ca="1">CELL("contenu",INDIRECT(ADDRESS(ref!$K$5,ref!E24,1,,CELL("contenu",$AC$2))))</f>
        <v/>
      </c>
      <c r="K25" s="3" t="str">
        <f ca="1">CELL("contenu",INDIRECT(ADDRESS(ref!$K$5,ref!F24,1,,CELL("contenu",$AC$2))))</f>
        <v>A</v>
      </c>
      <c r="L25" s="4" t="str">
        <f ca="1">CELL("contenu",INDIRECT(ADDRESS(ref!$K$5,ref!G24,1,,CELL("contenu",$AC$2))))</f>
        <v>A</v>
      </c>
      <c r="M25" s="5" t="str">
        <f ca="1">CELL("contenu",INDIRECT(ADDRESS(ref!$K$5,ref!H24,1,,CELL("contenu",$AC$2))))</f>
        <v>A</v>
      </c>
      <c r="N25" s="6" t="str">
        <f ca="1">CELL("contenu",INDIRECT(ADDRESS(ref!$K$6,ref!E24,1,,CELL("contenu",$AC$2))))</f>
        <v>D</v>
      </c>
      <c r="O25" s="3" t="str">
        <f ca="1">CELL("contenu",INDIRECT(ADDRESS(ref!$K$6,ref!F24,1,,CELL("contenu",$AC$2))))</f>
        <v>C</v>
      </c>
      <c r="P25" s="4" t="str">
        <f ca="1">CELL("contenu",INDIRECT(ADDRESS(ref!$K$6,ref!G24,1,,CELL("contenu",$AC$2))))</f>
        <v>C</v>
      </c>
      <c r="Q25" s="5" t="str">
        <f ca="1">CELL("contenu",INDIRECT(ADDRESS(ref!$K$6,ref!H24,1,,CELL("contenu",$AC$2))))</f>
        <v>D</v>
      </c>
      <c r="R25" s="6" t="str">
        <f ca="1">CELL("contenu",INDIRECT(ADDRESS(ref!$K$7,ref!E24,1,,CELL("contenu",$AC$2))))</f>
        <v>C</v>
      </c>
      <c r="S25" s="3" t="str">
        <f ca="1">CELL("contenu",INDIRECT(ADDRESS(ref!$K$7,ref!F24,1,,CELL("contenu",$AC$2))))</f>
        <v/>
      </c>
      <c r="T25" s="4" t="str">
        <f ca="1">CELL("contenu",INDIRECT(ADDRESS(ref!$K$7,ref!G24,1,,CELL("contenu",$AC$2))))</f>
        <v/>
      </c>
      <c r="U25" s="5" t="str">
        <f ca="1">CELL("contenu",INDIRECT(ADDRESS(ref!$K$7,ref!H24,1,,CELL("contenu",$AC$2))))</f>
        <v>C</v>
      </c>
      <c r="V25" s="43">
        <f ca="1">CELL("contenu",INDIRECT(ADDRESS(ref!$K$8,ref!E24,1,,CELL("contenu",$AC$2))))</f>
        <v>8</v>
      </c>
      <c r="W25" s="44">
        <f ca="1">CELL("contenu",INDIRECT(ADDRESS(ref!$K$8,ref!F24,1,,CELL("contenu",$AC$2))))</f>
        <v>12.222222222222223</v>
      </c>
      <c r="X25" s="45">
        <f ca="1">CELL("contenu",INDIRECT(ADDRESS(ref!$K$8,ref!G24,1,,CELL("contenu",$AC$2))))</f>
        <v>10.833333333333332</v>
      </c>
      <c r="Y25" s="7" t="str">
        <f ca="1">CELL("contenu",INDIRECT(ADDRESS(ref!$K$9,ref!H24,1,,CELL("contenu",$AC$2))))</f>
        <v>C</v>
      </c>
      <c r="Z25" s="4" t="str">
        <f ca="1">CELL("contenu",INDIRECT(ADDRESS(ref!$K$10,ref!H24,1,,CELL("contenu",$AC$2))))</f>
        <v/>
      </c>
      <c r="AA25" s="8" t="str">
        <f ca="1">CELL("contenu",INDIRECT(ADDRESS(ref!$K$11,ref!H24,1,,CELL("contenu",$AC$2))))</f>
        <v>A</v>
      </c>
    </row>
    <row r="26" spans="1:27" x14ac:dyDescent="0.25">
      <c r="A26" s="70" t="str">
        <f t="shared" ca="1" si="0"/>
        <v>RETHORE Charles</v>
      </c>
      <c r="B26" s="2" t="str">
        <f ca="1">CELL("contenu",INDIRECT(ADDRESS(ref!$K$3,ref!E25,1,,CELL("contenu",$AC$2))))</f>
        <v>B</v>
      </c>
      <c r="C26" s="3" t="str">
        <f ca="1">CELL("contenu",INDIRECT(ADDRESS(ref!$K$3,ref!F25,1,,CELL("contenu",$AC$2))))</f>
        <v>B</v>
      </c>
      <c r="D26" s="4" t="str">
        <f ca="1">CELL("contenu",INDIRECT(ADDRESS(ref!$K$3,ref!G25,1,,CELL("contenu",$AC$2))))</f>
        <v>B</v>
      </c>
      <c r="E26" s="5" t="str">
        <f ca="1">CELL("contenu",INDIRECT(ADDRESS(ref!$K$3,ref!H25,1,,CELL("contenu",$AC$2))))</f>
        <v>B</v>
      </c>
      <c r="F26" s="6" t="str">
        <f ca="1">CELL("contenu",INDIRECT(ADDRESS(ref!$K$4,ref!E25,1,,CELL("contenu",$AC$2))))</f>
        <v/>
      </c>
      <c r="G26" s="3" t="str">
        <f ca="1">CELL("contenu",INDIRECT(ADDRESS(ref!$K$4,ref!F25,1,,CELL("contenu",$AC$2))))</f>
        <v>A</v>
      </c>
      <c r="H26" s="4" t="str">
        <f ca="1">CELL("contenu",INDIRECT(ADDRESS(ref!$K$4,ref!G25,1,,CELL("contenu",$AC$2))))</f>
        <v>A</v>
      </c>
      <c r="I26" s="5" t="str">
        <f ca="1">CELL("contenu",INDIRECT(ADDRESS(ref!$K$4,ref!H25,1,,CELL("contenu",$AC$2))))</f>
        <v>A</v>
      </c>
      <c r="J26" s="6" t="str">
        <f ca="1">CELL("contenu",INDIRECT(ADDRESS(ref!$K$5,ref!E25,1,,CELL("contenu",$AC$2))))</f>
        <v>A</v>
      </c>
      <c r="K26" s="3" t="str">
        <f ca="1">CELL("contenu",INDIRECT(ADDRESS(ref!$K$5,ref!F25,1,,CELL("contenu",$AC$2))))</f>
        <v>A</v>
      </c>
      <c r="L26" s="4" t="str">
        <f ca="1">CELL("contenu",INDIRECT(ADDRESS(ref!$K$5,ref!G25,1,,CELL("contenu",$AC$2))))</f>
        <v>A</v>
      </c>
      <c r="M26" s="5" t="str">
        <f ca="1">CELL("contenu",INDIRECT(ADDRESS(ref!$K$5,ref!H25,1,,CELL("contenu",$AC$2))))</f>
        <v>A</v>
      </c>
      <c r="N26" s="6" t="str">
        <f ca="1">CELL("contenu",INDIRECT(ADDRESS(ref!$K$6,ref!E25,1,,CELL("contenu",$AC$2))))</f>
        <v>C</v>
      </c>
      <c r="O26" s="3" t="str">
        <f ca="1">CELL("contenu",INDIRECT(ADDRESS(ref!$K$6,ref!F25,1,,CELL("contenu",$AC$2))))</f>
        <v>B</v>
      </c>
      <c r="P26" s="4" t="str">
        <f ca="1">CELL("contenu",INDIRECT(ADDRESS(ref!$K$6,ref!G25,1,,CELL("contenu",$AC$2))))</f>
        <v>B</v>
      </c>
      <c r="Q26" s="5" t="str">
        <f ca="1">CELL("contenu",INDIRECT(ADDRESS(ref!$K$6,ref!H25,1,,CELL("contenu",$AC$2))))</f>
        <v>B</v>
      </c>
      <c r="R26" s="6" t="str">
        <f ca="1">CELL("contenu",INDIRECT(ADDRESS(ref!$K$7,ref!E25,1,,CELL("contenu",$AC$2))))</f>
        <v>A</v>
      </c>
      <c r="S26" s="3" t="str">
        <f ca="1">CELL("contenu",INDIRECT(ADDRESS(ref!$K$7,ref!F25,1,,CELL("contenu",$AC$2))))</f>
        <v/>
      </c>
      <c r="T26" s="4" t="str">
        <f ca="1">CELL("contenu",INDIRECT(ADDRESS(ref!$K$7,ref!G25,1,,CELL("contenu",$AC$2))))</f>
        <v/>
      </c>
      <c r="U26" s="5" t="str">
        <f ca="1">CELL("contenu",INDIRECT(ADDRESS(ref!$K$7,ref!H25,1,,CELL("contenu",$AC$2))))</f>
        <v>A</v>
      </c>
      <c r="V26" s="43">
        <f ca="1">CELL("contenu",INDIRECT(ADDRESS(ref!$K$8,ref!E25,1,,CELL("contenu",$AC$2))))</f>
        <v>16.25</v>
      </c>
      <c r="W26" s="44">
        <f ca="1">CELL("contenu",INDIRECT(ADDRESS(ref!$K$8,ref!F25,1,,CELL("contenu",$AC$2))))</f>
        <v>17.5</v>
      </c>
      <c r="X26" s="45">
        <f ca="1">CELL("contenu",INDIRECT(ADDRESS(ref!$K$8,ref!G25,1,,CELL("contenu",$AC$2))))</f>
        <v>18.055555555555557</v>
      </c>
      <c r="Y26" s="7" t="str">
        <f ca="1">CELL("contenu",INDIRECT(ADDRESS(ref!$K$9,ref!H25,1,,CELL("contenu",$AC$2))))</f>
        <v>A</v>
      </c>
      <c r="Z26" s="4" t="str">
        <f ca="1">CELL("contenu",INDIRECT(ADDRESS(ref!$K$10,ref!H25,1,,CELL("contenu",$AC$2))))</f>
        <v/>
      </c>
      <c r="AA26" s="8" t="str">
        <f ca="1">CELL("contenu",INDIRECT(ADDRESS(ref!$K$11,ref!H25,1,,CELL("contenu",$AC$2))))</f>
        <v>A</v>
      </c>
    </row>
    <row r="27" spans="1:27" x14ac:dyDescent="0.25">
      <c r="A27" s="70" t="str">
        <f t="shared" ca="1" si="0"/>
        <v>ROSIER Timothe</v>
      </c>
      <c r="B27" s="2" t="str">
        <f ca="1">CELL("contenu",INDIRECT(ADDRESS(ref!$K$3,ref!E26,1,,CELL("contenu",$AC$2))))</f>
        <v/>
      </c>
      <c r="C27" s="3" t="str">
        <f ca="1">CELL("contenu",INDIRECT(ADDRESS(ref!$K$3,ref!F26,1,,CELL("contenu",$AC$2))))</f>
        <v>C</v>
      </c>
      <c r="D27" s="4" t="str">
        <f ca="1">CELL("contenu",INDIRECT(ADDRESS(ref!$K$3,ref!G26,1,,CELL("contenu",$AC$2))))</f>
        <v>C</v>
      </c>
      <c r="E27" s="5" t="str">
        <f ca="1">CELL("contenu",INDIRECT(ADDRESS(ref!$K$3,ref!H26,1,,CELL("contenu",$AC$2))))</f>
        <v>B</v>
      </c>
      <c r="F27" s="6" t="str">
        <f ca="1">CELL("contenu",INDIRECT(ADDRESS(ref!$K$4,ref!E26,1,,CELL("contenu",$AC$2))))</f>
        <v/>
      </c>
      <c r="G27" s="3" t="str">
        <f ca="1">CELL("contenu",INDIRECT(ADDRESS(ref!$K$4,ref!F26,1,,CELL("contenu",$AC$2))))</f>
        <v>B</v>
      </c>
      <c r="H27" s="4" t="str">
        <f ca="1">CELL("contenu",INDIRECT(ADDRESS(ref!$K$4,ref!G26,1,,CELL("contenu",$AC$2))))</f>
        <v>B</v>
      </c>
      <c r="I27" s="5" t="str">
        <f ca="1">CELL("contenu",INDIRECT(ADDRESS(ref!$K$4,ref!H26,1,,CELL("contenu",$AC$2))))</f>
        <v>B</v>
      </c>
      <c r="J27" s="6" t="str">
        <f ca="1">CELL("contenu",INDIRECT(ADDRESS(ref!$K$5,ref!E26,1,,CELL("contenu",$AC$2))))</f>
        <v/>
      </c>
      <c r="K27" s="3" t="str">
        <f ca="1">CELL("contenu",INDIRECT(ADDRESS(ref!$K$5,ref!F26,1,,CELL("contenu",$AC$2))))</f>
        <v>B</v>
      </c>
      <c r="L27" s="4" t="str">
        <f ca="1">CELL("contenu",INDIRECT(ADDRESS(ref!$K$5,ref!G26,1,,CELL("contenu",$AC$2))))</f>
        <v>A</v>
      </c>
      <c r="M27" s="5" t="str">
        <f ca="1">CELL("contenu",INDIRECT(ADDRESS(ref!$K$5,ref!H26,1,,CELL("contenu",$AC$2))))</f>
        <v>B</v>
      </c>
      <c r="N27" s="6" t="str">
        <f ca="1">CELL("contenu",INDIRECT(ADDRESS(ref!$K$6,ref!E26,1,,CELL("contenu",$AC$2))))</f>
        <v/>
      </c>
      <c r="O27" s="3" t="str">
        <f ca="1">CELL("contenu",INDIRECT(ADDRESS(ref!$K$6,ref!F26,1,,CELL("contenu",$AC$2))))</f>
        <v>C</v>
      </c>
      <c r="P27" s="4" t="str">
        <f ca="1">CELL("contenu",INDIRECT(ADDRESS(ref!$K$6,ref!G26,1,,CELL("contenu",$AC$2))))</f>
        <v>C</v>
      </c>
      <c r="Q27" s="5" t="str">
        <f ca="1">CELL("contenu",INDIRECT(ADDRESS(ref!$K$6,ref!H26,1,,CELL("contenu",$AC$2))))</f>
        <v>C</v>
      </c>
      <c r="R27" s="6" t="str">
        <f ca="1">CELL("contenu",INDIRECT(ADDRESS(ref!$K$7,ref!E26,1,,CELL("contenu",$AC$2))))</f>
        <v/>
      </c>
      <c r="S27" s="3" t="str">
        <f ca="1">CELL("contenu",INDIRECT(ADDRESS(ref!$K$7,ref!F26,1,,CELL("contenu",$AC$2))))</f>
        <v/>
      </c>
      <c r="T27" s="4" t="str">
        <f ca="1">CELL("contenu",INDIRECT(ADDRESS(ref!$K$7,ref!G26,1,,CELL("contenu",$AC$2))))</f>
        <v/>
      </c>
      <c r="U27" s="5" t="str">
        <f ca="1">CELL("contenu",INDIRECT(ADDRESS(ref!$K$7,ref!H26,1,,CELL("contenu",$AC$2))))</f>
        <v/>
      </c>
      <c r="V27" s="43" t="str">
        <f ca="1">CELL("contenu",INDIRECT(ADDRESS(ref!$K$8,ref!E26,1,,CELL("contenu",$AC$2))))</f>
        <v/>
      </c>
      <c r="W27" s="44">
        <f ca="1">CELL("contenu",INDIRECT(ADDRESS(ref!$K$8,ref!F26,1,,CELL("contenu",$AC$2))))</f>
        <v>14.097222222222221</v>
      </c>
      <c r="X27" s="45">
        <f ca="1">CELL("contenu",INDIRECT(ADDRESS(ref!$K$8,ref!G26,1,,CELL("contenu",$AC$2))))</f>
        <v>15</v>
      </c>
      <c r="Y27" s="7" t="str">
        <f ca="1">CELL("contenu",INDIRECT(ADDRESS(ref!$K$9,ref!H26,1,,CELL("contenu",$AC$2))))</f>
        <v>B</v>
      </c>
      <c r="Z27" s="4" t="str">
        <f ca="1">CELL("contenu",INDIRECT(ADDRESS(ref!$K$10,ref!H26,1,,CELL("contenu",$AC$2))))</f>
        <v/>
      </c>
      <c r="AA27" s="8" t="str">
        <f ca="1">CELL("contenu",INDIRECT(ADDRESS(ref!$K$11,ref!H26,1,,CELL("contenu",$AC$2))))</f>
        <v>B</v>
      </c>
    </row>
    <row r="28" spans="1:27" x14ac:dyDescent="0.25">
      <c r="A28" s="70" t="str">
        <f t="shared" ca="1" si="0"/>
        <v>ROY-MATSUI Valentin-Tomoki</v>
      </c>
      <c r="B28" s="2" t="str">
        <f ca="1">CELL("contenu",INDIRECT(ADDRESS(ref!$K$3,ref!E27,1,,CELL("contenu",$AC$2))))</f>
        <v>B</v>
      </c>
      <c r="C28" s="3" t="str">
        <f ca="1">CELL("contenu",INDIRECT(ADDRESS(ref!$K$3,ref!F27,1,,CELL("contenu",$AC$2))))</f>
        <v>B</v>
      </c>
      <c r="D28" s="4" t="str">
        <f ca="1">CELL("contenu",INDIRECT(ADDRESS(ref!$K$3,ref!G27,1,,CELL("contenu",$AC$2))))</f>
        <v>B</v>
      </c>
      <c r="E28" s="5" t="str">
        <f ca="1">CELL("contenu",INDIRECT(ADDRESS(ref!$K$3,ref!H27,1,,CELL("contenu",$AC$2))))</f>
        <v>B</v>
      </c>
      <c r="F28" s="6" t="str">
        <f ca="1">CELL("contenu",INDIRECT(ADDRESS(ref!$K$4,ref!E27,1,,CELL("contenu",$AC$2))))</f>
        <v/>
      </c>
      <c r="G28" s="3" t="str">
        <f ca="1">CELL("contenu",INDIRECT(ADDRESS(ref!$K$4,ref!F27,1,,CELL("contenu",$AC$2))))</f>
        <v>A</v>
      </c>
      <c r="H28" s="4" t="str">
        <f ca="1">CELL("contenu",INDIRECT(ADDRESS(ref!$K$4,ref!G27,1,,CELL("contenu",$AC$2))))</f>
        <v>A</v>
      </c>
      <c r="I28" s="5" t="str">
        <f ca="1">CELL("contenu",INDIRECT(ADDRESS(ref!$K$4,ref!H27,1,,CELL("contenu",$AC$2))))</f>
        <v>A</v>
      </c>
      <c r="J28" s="6" t="str">
        <f ca="1">CELL("contenu",INDIRECT(ADDRESS(ref!$K$5,ref!E27,1,,CELL("contenu",$AC$2))))</f>
        <v>A</v>
      </c>
      <c r="K28" s="3" t="str">
        <f ca="1">CELL("contenu",INDIRECT(ADDRESS(ref!$K$5,ref!F27,1,,CELL("contenu",$AC$2))))</f>
        <v>A</v>
      </c>
      <c r="L28" s="4" t="str">
        <f ca="1">CELL("contenu",INDIRECT(ADDRESS(ref!$K$5,ref!G27,1,,CELL("contenu",$AC$2))))</f>
        <v>A</v>
      </c>
      <c r="M28" s="5" t="str">
        <f ca="1">CELL("contenu",INDIRECT(ADDRESS(ref!$K$5,ref!H27,1,,CELL("contenu",$AC$2))))</f>
        <v>A</v>
      </c>
      <c r="N28" s="6" t="str">
        <f ca="1">CELL("contenu",INDIRECT(ADDRESS(ref!$K$6,ref!E27,1,,CELL("contenu",$AC$2))))</f>
        <v>B</v>
      </c>
      <c r="O28" s="3" t="str">
        <f ca="1">CELL("contenu",INDIRECT(ADDRESS(ref!$K$6,ref!F27,1,,CELL("contenu",$AC$2))))</f>
        <v>B</v>
      </c>
      <c r="P28" s="4" t="str">
        <f ca="1">CELL("contenu",INDIRECT(ADDRESS(ref!$K$6,ref!G27,1,,CELL("contenu",$AC$2))))</f>
        <v>B</v>
      </c>
      <c r="Q28" s="5" t="str">
        <f ca="1">CELL("contenu",INDIRECT(ADDRESS(ref!$K$6,ref!H27,1,,CELL("contenu",$AC$2))))</f>
        <v>B</v>
      </c>
      <c r="R28" s="6" t="str">
        <f ca="1">CELL("contenu",INDIRECT(ADDRESS(ref!$K$7,ref!E27,1,,CELL("contenu",$AC$2))))</f>
        <v>B</v>
      </c>
      <c r="S28" s="3" t="str">
        <f ca="1">CELL("contenu",INDIRECT(ADDRESS(ref!$K$7,ref!F27,1,,CELL("contenu",$AC$2))))</f>
        <v/>
      </c>
      <c r="T28" s="4" t="str">
        <f ca="1">CELL("contenu",INDIRECT(ADDRESS(ref!$K$7,ref!G27,1,,CELL("contenu",$AC$2))))</f>
        <v/>
      </c>
      <c r="U28" s="5" t="str">
        <f ca="1">CELL("contenu",INDIRECT(ADDRESS(ref!$K$7,ref!H27,1,,CELL("contenu",$AC$2))))</f>
        <v>B</v>
      </c>
      <c r="V28" s="43">
        <f ca="1">CELL("contenu",INDIRECT(ADDRESS(ref!$K$8,ref!E27,1,,CELL("contenu",$AC$2))))</f>
        <v>16.666666666666668</v>
      </c>
      <c r="W28" s="44">
        <f ca="1">CELL("contenu",INDIRECT(ADDRESS(ref!$K$8,ref!F27,1,,CELL("contenu",$AC$2))))</f>
        <v>16.875</v>
      </c>
      <c r="X28" s="45">
        <f ca="1">CELL("contenu",INDIRECT(ADDRESS(ref!$K$8,ref!G27,1,,CELL("contenu",$AC$2))))</f>
        <v>18.055555555555557</v>
      </c>
      <c r="Y28" s="7" t="str">
        <f ca="1">CELL("contenu",INDIRECT(ADDRESS(ref!$K$9,ref!H27,1,,CELL("contenu",$AC$2))))</f>
        <v>A</v>
      </c>
      <c r="Z28" s="4" t="str">
        <f ca="1">CELL("contenu",INDIRECT(ADDRESS(ref!$K$10,ref!H27,1,,CELL("contenu",$AC$2))))</f>
        <v/>
      </c>
      <c r="AA28" s="8" t="str">
        <f ca="1">CELL("contenu",INDIRECT(ADDRESS(ref!$K$11,ref!H27,1,,CELL("contenu",$AC$2))))</f>
        <v>A</v>
      </c>
    </row>
    <row r="29" spans="1:27" x14ac:dyDescent="0.25">
      <c r="A29" s="70" t="str">
        <f t="shared" ca="1" si="0"/>
        <v>SCELSA Aurora</v>
      </c>
      <c r="B29" s="2" t="str">
        <f ca="1">CELL("contenu",INDIRECT(ADDRESS(ref!$K$3,ref!E28,1,,CELL("contenu",$AC$2))))</f>
        <v>B</v>
      </c>
      <c r="C29" s="3" t="str">
        <f ca="1">CELL("contenu",INDIRECT(ADDRESS(ref!$K$3,ref!F28,1,,CELL("contenu",$AC$2))))</f>
        <v>B</v>
      </c>
      <c r="D29" s="4" t="str">
        <f ca="1">CELL("contenu",INDIRECT(ADDRESS(ref!$K$3,ref!G28,1,,CELL("contenu",$AC$2))))</f>
        <v>C</v>
      </c>
      <c r="E29" s="5" t="str">
        <f ca="1">CELL("contenu",INDIRECT(ADDRESS(ref!$K$3,ref!H28,1,,CELL("contenu",$AC$2))))</f>
        <v>B</v>
      </c>
      <c r="F29" s="6" t="str">
        <f ca="1">CELL("contenu",INDIRECT(ADDRESS(ref!$K$4,ref!E28,1,,CELL("contenu",$AC$2))))</f>
        <v/>
      </c>
      <c r="G29" s="3" t="str">
        <f ca="1">CELL("contenu",INDIRECT(ADDRESS(ref!$K$4,ref!F28,1,,CELL("contenu",$AC$2))))</f>
        <v>A</v>
      </c>
      <c r="H29" s="4" t="str">
        <f ca="1">CELL("contenu",INDIRECT(ADDRESS(ref!$K$4,ref!G28,1,,CELL("contenu",$AC$2))))</f>
        <v>B</v>
      </c>
      <c r="I29" s="5" t="str">
        <f ca="1">CELL("contenu",INDIRECT(ADDRESS(ref!$K$4,ref!H28,1,,CELL("contenu",$AC$2))))</f>
        <v>B</v>
      </c>
      <c r="J29" s="6" t="str">
        <f ca="1">CELL("contenu",INDIRECT(ADDRESS(ref!$K$5,ref!E28,1,,CELL("contenu",$AC$2))))</f>
        <v>A</v>
      </c>
      <c r="K29" s="3" t="str">
        <f ca="1">CELL("contenu",INDIRECT(ADDRESS(ref!$K$5,ref!F28,1,,CELL("contenu",$AC$2))))</f>
        <v>A</v>
      </c>
      <c r="L29" s="4" t="str">
        <f ca="1">CELL("contenu",INDIRECT(ADDRESS(ref!$K$5,ref!G28,1,,CELL("contenu",$AC$2))))</f>
        <v>A</v>
      </c>
      <c r="M29" s="5" t="str">
        <f ca="1">CELL("contenu",INDIRECT(ADDRESS(ref!$K$5,ref!H28,1,,CELL("contenu",$AC$2))))</f>
        <v>A</v>
      </c>
      <c r="N29" s="6" t="str">
        <f ca="1">CELL("contenu",INDIRECT(ADDRESS(ref!$K$6,ref!E28,1,,CELL("contenu",$AC$2))))</f>
        <v>C</v>
      </c>
      <c r="O29" s="3" t="str">
        <f ca="1">CELL("contenu",INDIRECT(ADDRESS(ref!$K$6,ref!F28,1,,CELL("contenu",$AC$2))))</f>
        <v>C</v>
      </c>
      <c r="P29" s="4" t="str">
        <f ca="1">CELL("contenu",INDIRECT(ADDRESS(ref!$K$6,ref!G28,1,,CELL("contenu",$AC$2))))</f>
        <v>C</v>
      </c>
      <c r="Q29" s="5" t="str">
        <f ca="1">CELL("contenu",INDIRECT(ADDRESS(ref!$K$6,ref!H28,1,,CELL("contenu",$AC$2))))</f>
        <v>C</v>
      </c>
      <c r="R29" s="6" t="str">
        <f ca="1">CELL("contenu",INDIRECT(ADDRESS(ref!$K$7,ref!E28,1,,CELL("contenu",$AC$2))))</f>
        <v>C</v>
      </c>
      <c r="S29" s="3" t="str">
        <f ca="1">CELL("contenu",INDIRECT(ADDRESS(ref!$K$7,ref!F28,1,,CELL("contenu",$AC$2))))</f>
        <v/>
      </c>
      <c r="T29" s="4" t="str">
        <f ca="1">CELL("contenu",INDIRECT(ADDRESS(ref!$K$7,ref!G28,1,,CELL("contenu",$AC$2))))</f>
        <v/>
      </c>
      <c r="U29" s="5" t="str">
        <f ca="1">CELL("contenu",INDIRECT(ADDRESS(ref!$K$7,ref!H28,1,,CELL("contenu",$AC$2))))</f>
        <v>C</v>
      </c>
      <c r="V29" s="43">
        <f ca="1">CELL("contenu",INDIRECT(ADDRESS(ref!$K$8,ref!E28,1,,CELL("contenu",$AC$2))))</f>
        <v>12.916666666666668</v>
      </c>
      <c r="W29" s="44">
        <f ca="1">CELL("contenu",INDIRECT(ADDRESS(ref!$K$8,ref!F28,1,,CELL("contenu",$AC$2))))</f>
        <v>15.277777777777777</v>
      </c>
      <c r="X29" s="45">
        <f ca="1">CELL("contenu",INDIRECT(ADDRESS(ref!$K$8,ref!G28,1,,CELL("contenu",$AC$2))))</f>
        <v>15</v>
      </c>
      <c r="Y29" s="7" t="str">
        <f ca="1">CELL("contenu",INDIRECT(ADDRESS(ref!$K$9,ref!H28,1,,CELL("contenu",$AC$2))))</f>
        <v>B</v>
      </c>
      <c r="Z29" s="4" t="str">
        <f ca="1">CELL("contenu",INDIRECT(ADDRESS(ref!$K$10,ref!H28,1,,CELL("contenu",$AC$2))))</f>
        <v/>
      </c>
      <c r="AA29" s="8" t="str">
        <f ca="1">CELL("contenu",INDIRECT(ADDRESS(ref!$K$11,ref!H28,1,,CELL("contenu",$AC$2))))</f>
        <v>A</v>
      </c>
    </row>
    <row r="30" spans="1:27" x14ac:dyDescent="0.25">
      <c r="A30" s="70" t="str">
        <f t="shared" ca="1" si="0"/>
        <v>SOURDIAUCOURT Clement</v>
      </c>
      <c r="B30" s="2" t="str">
        <f ca="1">CELL("contenu",INDIRECT(ADDRESS(ref!$K$3,ref!E29,1,,CELL("contenu",$AC$2))))</f>
        <v>C</v>
      </c>
      <c r="C30" s="3" t="str">
        <f ca="1">CELL("contenu",INDIRECT(ADDRESS(ref!$K$3,ref!F29,1,,CELL("contenu",$AC$2))))</f>
        <v>C</v>
      </c>
      <c r="D30" s="4" t="str">
        <f ca="1">CELL("contenu",INDIRECT(ADDRESS(ref!$K$3,ref!G29,1,,CELL("contenu",$AC$2))))</f>
        <v>C</v>
      </c>
      <c r="E30" s="5" t="str">
        <f ca="1">CELL("contenu",INDIRECT(ADDRESS(ref!$K$3,ref!H29,1,,CELL("contenu",$AC$2))))</f>
        <v>C</v>
      </c>
      <c r="F30" s="6" t="str">
        <f ca="1">CELL("contenu",INDIRECT(ADDRESS(ref!$K$4,ref!E29,1,,CELL("contenu",$AC$2))))</f>
        <v/>
      </c>
      <c r="G30" s="3" t="str">
        <f ca="1">CELL("contenu",INDIRECT(ADDRESS(ref!$K$4,ref!F29,1,,CELL("contenu",$AC$2))))</f>
        <v>A</v>
      </c>
      <c r="H30" s="4" t="str">
        <f ca="1">CELL("contenu",INDIRECT(ADDRESS(ref!$K$4,ref!G29,1,,CELL("contenu",$AC$2))))</f>
        <v>C</v>
      </c>
      <c r="I30" s="5" t="str">
        <f ca="1">CELL("contenu",INDIRECT(ADDRESS(ref!$K$4,ref!H29,1,,CELL("contenu",$AC$2))))</f>
        <v>B</v>
      </c>
      <c r="J30" s="6" t="str">
        <f ca="1">CELL("contenu",INDIRECT(ADDRESS(ref!$K$5,ref!E29,1,,CELL("contenu",$AC$2))))</f>
        <v>A</v>
      </c>
      <c r="K30" s="3" t="str">
        <f ca="1">CELL("contenu",INDIRECT(ADDRESS(ref!$K$5,ref!F29,1,,CELL("contenu",$AC$2))))</f>
        <v>A</v>
      </c>
      <c r="L30" s="4" t="str">
        <f ca="1">CELL("contenu",INDIRECT(ADDRESS(ref!$K$5,ref!G29,1,,CELL("contenu",$AC$2))))</f>
        <v/>
      </c>
      <c r="M30" s="5" t="str">
        <f ca="1">CELL("contenu",INDIRECT(ADDRESS(ref!$K$5,ref!H29,1,,CELL("contenu",$AC$2))))</f>
        <v>A</v>
      </c>
      <c r="N30" s="6" t="str">
        <f ca="1">CELL("contenu",INDIRECT(ADDRESS(ref!$K$6,ref!E29,1,,CELL("contenu",$AC$2))))</f>
        <v>C</v>
      </c>
      <c r="O30" s="3" t="str">
        <f ca="1">CELL("contenu",INDIRECT(ADDRESS(ref!$K$6,ref!F29,1,,CELL("contenu",$AC$2))))</f>
        <v>C</v>
      </c>
      <c r="P30" s="4" t="str">
        <f ca="1">CELL("contenu",INDIRECT(ADDRESS(ref!$K$6,ref!G29,1,,CELL("contenu",$AC$2))))</f>
        <v>C</v>
      </c>
      <c r="Q30" s="5" t="str">
        <f ca="1">CELL("contenu",INDIRECT(ADDRESS(ref!$K$6,ref!H29,1,,CELL("contenu",$AC$2))))</f>
        <v>C</v>
      </c>
      <c r="R30" s="6" t="str">
        <f ca="1">CELL("contenu",INDIRECT(ADDRESS(ref!$K$7,ref!E29,1,,CELL("contenu",$AC$2))))</f>
        <v>B</v>
      </c>
      <c r="S30" s="3" t="str">
        <f ca="1">CELL("contenu",INDIRECT(ADDRESS(ref!$K$7,ref!F29,1,,CELL("contenu",$AC$2))))</f>
        <v/>
      </c>
      <c r="T30" s="4" t="str">
        <f ca="1">CELL("contenu",INDIRECT(ADDRESS(ref!$K$7,ref!G29,1,,CELL("contenu",$AC$2))))</f>
        <v/>
      </c>
      <c r="U30" s="5" t="str">
        <f ca="1">CELL("contenu",INDIRECT(ADDRESS(ref!$K$7,ref!H29,1,,CELL("contenu",$AC$2))))</f>
        <v>B</v>
      </c>
      <c r="V30" s="43">
        <f ca="1">CELL("contenu",INDIRECT(ADDRESS(ref!$K$8,ref!E29,1,,CELL("contenu",$AC$2))))</f>
        <v>13.75</v>
      </c>
      <c r="W30" s="44">
        <f ca="1">CELL("contenu",INDIRECT(ADDRESS(ref!$K$8,ref!F29,1,,CELL("contenu",$AC$2))))</f>
        <v>14.375</v>
      </c>
      <c r="X30" s="45">
        <f ca="1">CELL("contenu",INDIRECT(ADDRESS(ref!$K$8,ref!G29,1,,CELL("contenu",$AC$2))))</f>
        <v>12.5</v>
      </c>
      <c r="Y30" s="7" t="str">
        <f ca="1">CELL("contenu",INDIRECT(ADDRESS(ref!$K$9,ref!H29,1,,CELL("contenu",$AC$2))))</f>
        <v>B</v>
      </c>
      <c r="Z30" s="4" t="str">
        <f ca="1">CELL("contenu",INDIRECT(ADDRESS(ref!$K$10,ref!H29,1,,CELL("contenu",$AC$2))))</f>
        <v/>
      </c>
      <c r="AA30" s="8" t="str">
        <f ca="1">CELL("contenu",INDIRECT(ADDRESS(ref!$K$11,ref!H29,1,,CELL("contenu",$AC$2))))</f>
        <v>A</v>
      </c>
    </row>
    <row r="31" spans="1:27" x14ac:dyDescent="0.25">
      <c r="A31" s="70" t="str">
        <f t="shared" ca="1" si="0"/>
        <v>THELLIER Prune</v>
      </c>
      <c r="B31" s="2" t="str">
        <f ca="1">CELL("contenu",INDIRECT(ADDRESS(ref!$K$3,ref!E30,1,,CELL("contenu",$AC$2))))</f>
        <v>B</v>
      </c>
      <c r="C31" s="3" t="str">
        <f ca="1">CELL("contenu",INDIRECT(ADDRESS(ref!$K$3,ref!F30,1,,CELL("contenu",$AC$2))))</f>
        <v>B</v>
      </c>
      <c r="D31" s="4" t="str">
        <f ca="1">CELL("contenu",INDIRECT(ADDRESS(ref!$K$3,ref!G30,1,,CELL("contenu",$AC$2))))</f>
        <v>A</v>
      </c>
      <c r="E31" s="5" t="str">
        <f ca="1">CELL("contenu",INDIRECT(ADDRESS(ref!$K$3,ref!H30,1,,CELL("contenu",$AC$2))))</f>
        <v>B</v>
      </c>
      <c r="F31" s="6" t="str">
        <f ca="1">CELL("contenu",INDIRECT(ADDRESS(ref!$K$4,ref!E30,1,,CELL("contenu",$AC$2))))</f>
        <v/>
      </c>
      <c r="G31" s="3" t="str">
        <f ca="1">CELL("contenu",INDIRECT(ADDRESS(ref!$K$4,ref!F30,1,,CELL("contenu",$AC$2))))</f>
        <v>A</v>
      </c>
      <c r="H31" s="4" t="str">
        <f ca="1">CELL("contenu",INDIRECT(ADDRESS(ref!$K$4,ref!G30,1,,CELL("contenu",$AC$2))))</f>
        <v>B</v>
      </c>
      <c r="I31" s="5" t="str">
        <f ca="1">CELL("contenu",INDIRECT(ADDRESS(ref!$K$4,ref!H30,1,,CELL("contenu",$AC$2))))</f>
        <v>A</v>
      </c>
      <c r="J31" s="6" t="str">
        <f ca="1">CELL("contenu",INDIRECT(ADDRESS(ref!$K$5,ref!E30,1,,CELL("contenu",$AC$2))))</f>
        <v>A</v>
      </c>
      <c r="K31" s="3" t="str">
        <f ca="1">CELL("contenu",INDIRECT(ADDRESS(ref!$K$5,ref!F30,1,,CELL("contenu",$AC$2))))</f>
        <v>A</v>
      </c>
      <c r="L31" s="4" t="str">
        <f ca="1">CELL("contenu",INDIRECT(ADDRESS(ref!$K$5,ref!G30,1,,CELL("contenu",$AC$2))))</f>
        <v>A</v>
      </c>
      <c r="M31" s="5" t="str">
        <f ca="1">CELL("contenu",INDIRECT(ADDRESS(ref!$K$5,ref!H30,1,,CELL("contenu",$AC$2))))</f>
        <v>A</v>
      </c>
      <c r="N31" s="6" t="str">
        <f ca="1">CELL("contenu",INDIRECT(ADDRESS(ref!$K$6,ref!E30,1,,CELL("contenu",$AC$2))))</f>
        <v>B</v>
      </c>
      <c r="O31" s="3" t="str">
        <f ca="1">CELL("contenu",INDIRECT(ADDRESS(ref!$K$6,ref!F30,1,,CELL("contenu",$AC$2))))</f>
        <v>B</v>
      </c>
      <c r="P31" s="4" t="str">
        <f ca="1">CELL("contenu",INDIRECT(ADDRESS(ref!$K$6,ref!G30,1,,CELL("contenu",$AC$2))))</f>
        <v>B</v>
      </c>
      <c r="Q31" s="5" t="str">
        <f ca="1">CELL("contenu",INDIRECT(ADDRESS(ref!$K$6,ref!H30,1,,CELL("contenu",$AC$2))))</f>
        <v>B</v>
      </c>
      <c r="R31" s="6" t="str">
        <f ca="1">CELL("contenu",INDIRECT(ADDRESS(ref!$K$7,ref!E30,1,,CELL("contenu",$AC$2))))</f>
        <v>A</v>
      </c>
      <c r="S31" s="3" t="str">
        <f ca="1">CELL("contenu",INDIRECT(ADDRESS(ref!$K$7,ref!F30,1,,CELL("contenu",$AC$2))))</f>
        <v/>
      </c>
      <c r="T31" s="4" t="str">
        <f ca="1">CELL("contenu",INDIRECT(ADDRESS(ref!$K$7,ref!G30,1,,CELL("contenu",$AC$2))))</f>
        <v/>
      </c>
      <c r="U31" s="5" t="str">
        <f ca="1">CELL("contenu",INDIRECT(ADDRESS(ref!$K$7,ref!H30,1,,CELL("contenu",$AC$2))))</f>
        <v>A</v>
      </c>
      <c r="V31" s="43">
        <f ca="1">CELL("contenu",INDIRECT(ADDRESS(ref!$K$8,ref!E30,1,,CELL("contenu",$AC$2))))</f>
        <v>17.5</v>
      </c>
      <c r="W31" s="44">
        <f ca="1">CELL("contenu",INDIRECT(ADDRESS(ref!$K$8,ref!F30,1,,CELL("contenu",$AC$2))))</f>
        <v>17.222222222222221</v>
      </c>
      <c r="X31" s="45">
        <f ca="1">CELL("contenu",INDIRECT(ADDRESS(ref!$K$8,ref!G30,1,,CELL("contenu",$AC$2))))</f>
        <v>17.361111111111111</v>
      </c>
      <c r="Y31" s="7" t="str">
        <f ca="1">CELL("contenu",INDIRECT(ADDRESS(ref!$K$9,ref!H30,1,,CELL("contenu",$AC$2))))</f>
        <v>A</v>
      </c>
      <c r="Z31" s="4" t="str">
        <f ca="1">CELL("contenu",INDIRECT(ADDRESS(ref!$K$10,ref!H30,1,,CELL("contenu",$AC$2))))</f>
        <v/>
      </c>
      <c r="AA31" s="8" t="str">
        <f ca="1">CELL("contenu",INDIRECT(ADDRESS(ref!$K$11,ref!H30,1,,CELL("contenu",$AC$2))))</f>
        <v>A</v>
      </c>
    </row>
    <row r="32" spans="1:27" x14ac:dyDescent="0.25">
      <c r="A32" s="70" t="str">
        <f t="shared" ca="1" si="0"/>
        <v>VRAIN Penelope</v>
      </c>
      <c r="B32" s="2" t="str">
        <f ca="1">CELL("contenu",INDIRECT(ADDRESS(ref!$K$3,ref!E31,1,,CELL("contenu",$AC$2))))</f>
        <v>B</v>
      </c>
      <c r="C32" s="3" t="str">
        <f ca="1">CELL("contenu",INDIRECT(ADDRESS(ref!$K$3,ref!F31,1,,CELL("contenu",$AC$2))))</f>
        <v>B</v>
      </c>
      <c r="D32" s="4" t="str">
        <f ca="1">CELL("contenu",INDIRECT(ADDRESS(ref!$K$3,ref!G31,1,,CELL("contenu",$AC$2))))</f>
        <v>C</v>
      </c>
      <c r="E32" s="5" t="str">
        <f ca="1">CELL("contenu",INDIRECT(ADDRESS(ref!$K$3,ref!H31,1,,CELL("contenu",$AC$2))))</f>
        <v>B</v>
      </c>
      <c r="F32" s="6" t="str">
        <f ca="1">CELL("contenu",INDIRECT(ADDRESS(ref!$K$4,ref!E31,1,,CELL("contenu",$AC$2))))</f>
        <v/>
      </c>
      <c r="G32" s="3" t="str">
        <f ca="1">CELL("contenu",INDIRECT(ADDRESS(ref!$K$4,ref!F31,1,,CELL("contenu",$AC$2))))</f>
        <v>A</v>
      </c>
      <c r="H32" s="4" t="str">
        <f ca="1">CELL("contenu",INDIRECT(ADDRESS(ref!$K$4,ref!G31,1,,CELL("contenu",$AC$2))))</f>
        <v>B</v>
      </c>
      <c r="I32" s="5" t="str">
        <f ca="1">CELL("contenu",INDIRECT(ADDRESS(ref!$K$4,ref!H31,1,,CELL("contenu",$AC$2))))</f>
        <v>A</v>
      </c>
      <c r="J32" s="6" t="str">
        <f ca="1">CELL("contenu",INDIRECT(ADDRESS(ref!$K$5,ref!E31,1,,CELL("contenu",$AC$2))))</f>
        <v>B</v>
      </c>
      <c r="K32" s="3" t="str">
        <f ca="1">CELL("contenu",INDIRECT(ADDRESS(ref!$K$5,ref!F31,1,,CELL("contenu",$AC$2))))</f>
        <v>A</v>
      </c>
      <c r="L32" s="4" t="str">
        <f ca="1">CELL("contenu",INDIRECT(ADDRESS(ref!$K$5,ref!G31,1,,CELL("contenu",$AC$2))))</f>
        <v>A</v>
      </c>
      <c r="M32" s="5" t="str">
        <f ca="1">CELL("contenu",INDIRECT(ADDRESS(ref!$K$5,ref!H31,1,,CELL("contenu",$AC$2))))</f>
        <v>B</v>
      </c>
      <c r="N32" s="6" t="str">
        <f ca="1">CELL("contenu",INDIRECT(ADDRESS(ref!$K$6,ref!E31,1,,CELL("contenu",$AC$2))))</f>
        <v>C</v>
      </c>
      <c r="O32" s="3" t="str">
        <f ca="1">CELL("contenu",INDIRECT(ADDRESS(ref!$K$6,ref!F31,1,,CELL("contenu",$AC$2))))</f>
        <v>B</v>
      </c>
      <c r="P32" s="4" t="str">
        <f ca="1">CELL("contenu",INDIRECT(ADDRESS(ref!$K$6,ref!G31,1,,CELL("contenu",$AC$2))))</f>
        <v>C</v>
      </c>
      <c r="Q32" s="5" t="str">
        <f ca="1">CELL("contenu",INDIRECT(ADDRESS(ref!$K$6,ref!H31,1,,CELL("contenu",$AC$2))))</f>
        <v>B</v>
      </c>
      <c r="R32" s="6" t="str">
        <f ca="1">CELL("contenu",INDIRECT(ADDRESS(ref!$K$7,ref!E31,1,,CELL("contenu",$AC$2))))</f>
        <v>B</v>
      </c>
      <c r="S32" s="3" t="str">
        <f ca="1">CELL("contenu",INDIRECT(ADDRESS(ref!$K$7,ref!F31,1,,CELL("contenu",$AC$2))))</f>
        <v/>
      </c>
      <c r="T32" s="4" t="str">
        <f ca="1">CELL("contenu",INDIRECT(ADDRESS(ref!$K$7,ref!G31,1,,CELL("contenu",$AC$2))))</f>
        <v/>
      </c>
      <c r="U32" s="5" t="str">
        <f ca="1">CELL("contenu",INDIRECT(ADDRESS(ref!$K$7,ref!H31,1,,CELL("contenu",$AC$2))))</f>
        <v>B</v>
      </c>
      <c r="V32" s="43">
        <f ca="1">CELL("contenu",INDIRECT(ADDRESS(ref!$K$8,ref!E31,1,,CELL("contenu",$AC$2))))</f>
        <v>14.583333333333332</v>
      </c>
      <c r="W32" s="44">
        <f ca="1">CELL("contenu",INDIRECT(ADDRESS(ref!$K$8,ref!F31,1,,CELL("contenu",$AC$2))))</f>
        <v>17.5</v>
      </c>
      <c r="X32" s="45">
        <f ca="1">CELL("contenu",INDIRECT(ADDRESS(ref!$K$8,ref!G31,1,,CELL("contenu",$AC$2))))</f>
        <v>15.046296296296298</v>
      </c>
      <c r="Y32" s="7" t="str">
        <f ca="1">CELL("contenu",INDIRECT(ADDRESS(ref!$K$9,ref!H31,1,,CELL("contenu",$AC$2))))</f>
        <v>A</v>
      </c>
      <c r="Z32" s="4" t="str">
        <f ca="1">CELL("contenu",INDIRECT(ADDRESS(ref!$K$10,ref!H31,1,,CELL("contenu",$AC$2))))</f>
        <v/>
      </c>
      <c r="AA32" s="8" t="str">
        <f ca="1">CELL("contenu",INDIRECT(ADDRESS(ref!$K$11,ref!H31,1,,CELL("contenu",$AC$2))))</f>
        <v>A</v>
      </c>
    </row>
    <row r="33" spans="1:27" ht="15.75" thickBot="1" x14ac:dyDescent="0.3">
      <c r="A33" s="71" t="str">
        <f t="shared" ca="1" si="0"/>
        <v>WAYNBERGER Paul</v>
      </c>
      <c r="B33" s="23" t="str">
        <f ca="1">CELL("contenu",INDIRECT(ADDRESS(ref!$K$3,ref!E32,1,,CELL("contenu",$AC$2))))</f>
        <v>B</v>
      </c>
      <c r="C33" s="9" t="str">
        <f ca="1">CELL("contenu",INDIRECT(ADDRESS(ref!$K$3,ref!F32,1,,CELL("contenu",$AC$2))))</f>
        <v>C</v>
      </c>
      <c r="D33" s="10" t="str">
        <f ca="1">CELL("contenu",INDIRECT(ADDRESS(ref!$K$3,ref!G32,1,,CELL("contenu",$AC$2))))</f>
        <v>C</v>
      </c>
      <c r="E33" s="11" t="str">
        <f ca="1">CELL("contenu",INDIRECT(ADDRESS(ref!$K$3,ref!H32,1,,CELL("contenu",$AC$2))))</f>
        <v>B</v>
      </c>
      <c r="F33" s="12" t="str">
        <f ca="1">CELL("contenu",INDIRECT(ADDRESS(ref!$K$4,ref!E32,1,,CELL("contenu",$AC$2))))</f>
        <v/>
      </c>
      <c r="G33" s="9" t="str">
        <f ca="1">CELL("contenu",INDIRECT(ADDRESS(ref!$K$4,ref!F32,1,,CELL("contenu",$AC$2))))</f>
        <v>A</v>
      </c>
      <c r="H33" s="10" t="str">
        <f ca="1">CELL("contenu",INDIRECT(ADDRESS(ref!$K$4,ref!G32,1,,CELL("contenu",$AC$2))))</f>
        <v>B</v>
      </c>
      <c r="I33" s="11" t="str">
        <f ca="1">CELL("contenu",INDIRECT(ADDRESS(ref!$K$4,ref!H32,1,,CELL("contenu",$AC$2))))</f>
        <v>A</v>
      </c>
      <c r="J33" s="12" t="str">
        <f ca="1">CELL("contenu",INDIRECT(ADDRESS(ref!$K$5,ref!E32,1,,CELL("contenu",$AC$2))))</f>
        <v>A</v>
      </c>
      <c r="K33" s="9" t="str">
        <f ca="1">CELL("contenu",INDIRECT(ADDRESS(ref!$K$5,ref!F32,1,,CELL("contenu",$AC$2))))</f>
        <v>A</v>
      </c>
      <c r="L33" s="10" t="str">
        <f ca="1">CELL("contenu",INDIRECT(ADDRESS(ref!$K$5,ref!G32,1,,CELL("contenu",$AC$2))))</f>
        <v>A</v>
      </c>
      <c r="M33" s="11" t="str">
        <f ca="1">CELL("contenu",INDIRECT(ADDRESS(ref!$K$5,ref!H32,1,,CELL("contenu",$AC$2))))</f>
        <v>A</v>
      </c>
      <c r="N33" s="12" t="str">
        <f ca="1">CELL("contenu",INDIRECT(ADDRESS(ref!$K$6,ref!E32,1,,CELL("contenu",$AC$2))))</f>
        <v>C</v>
      </c>
      <c r="O33" s="9" t="str">
        <f ca="1">CELL("contenu",INDIRECT(ADDRESS(ref!$K$6,ref!F32,1,,CELL("contenu",$AC$2))))</f>
        <v>C</v>
      </c>
      <c r="P33" s="10" t="str">
        <f ca="1">CELL("contenu",INDIRECT(ADDRESS(ref!$K$6,ref!G32,1,,CELL("contenu",$AC$2))))</f>
        <v>C</v>
      </c>
      <c r="Q33" s="11" t="str">
        <f ca="1">CELL("contenu",INDIRECT(ADDRESS(ref!$K$6,ref!H32,1,,CELL("contenu",$AC$2))))</f>
        <v>C</v>
      </c>
      <c r="R33" s="12" t="str">
        <f ca="1">CELL("contenu",INDIRECT(ADDRESS(ref!$K$7,ref!E32,1,,CELL("contenu",$AC$2))))</f>
        <v>D</v>
      </c>
      <c r="S33" s="9" t="str">
        <f ca="1">CELL("contenu",INDIRECT(ADDRESS(ref!$K$7,ref!F32,1,,CELL("contenu",$AC$2))))</f>
        <v/>
      </c>
      <c r="T33" s="10" t="str">
        <f ca="1">CELL("contenu",INDIRECT(ADDRESS(ref!$K$7,ref!G32,1,,CELL("contenu",$AC$2))))</f>
        <v/>
      </c>
      <c r="U33" s="11" t="str">
        <f ca="1">CELL("contenu",INDIRECT(ADDRESS(ref!$K$7,ref!H32,1,,CELL("contenu",$AC$2))))</f>
        <v>D</v>
      </c>
      <c r="V33" s="46">
        <f ca="1">CELL("contenu",INDIRECT(ADDRESS(ref!$K$8,ref!E32,1,,CELL("contenu",$AC$2))))</f>
        <v>12.083333333333332</v>
      </c>
      <c r="W33" s="47">
        <f ca="1">CELL("contenu",INDIRECT(ADDRESS(ref!$K$8,ref!F32,1,,CELL("contenu",$AC$2))))</f>
        <v>14.930555555555554</v>
      </c>
      <c r="X33" s="48">
        <f ca="1">CELL("contenu",INDIRECT(ADDRESS(ref!$K$8,ref!G32,1,,CELL("contenu",$AC$2))))</f>
        <v>15.416666666666668</v>
      </c>
      <c r="Y33" s="13" t="str">
        <f ca="1">CELL("contenu",INDIRECT(ADDRESS(ref!$K$9,ref!H32,1,,CELL("contenu",$AC$2))))</f>
        <v>A</v>
      </c>
      <c r="Z33" s="10" t="str">
        <f ca="1">CELL("contenu",INDIRECT(ADDRESS(ref!$K$10,ref!H32,1,,CELL("contenu",$AC$2))))</f>
        <v/>
      </c>
      <c r="AA33" s="14" t="str">
        <f ca="1">CELL("contenu",INDIRECT(ADDRESS(ref!$K$11,ref!H32,1,,CELL("contenu",$AC$2))))</f>
        <v>A</v>
      </c>
    </row>
  </sheetData>
  <sheetProtection algorithmName="SHA-512" hashValue="xqcZX8xkZCt8YHHokoCnLoRozq/7VgpwKMd6GkEdLYcPr2fWM7pAmXzOPG7UkLtgIyxpa/79ruk3eitoYmYlPQ==" saltValue="JOYEO8V8NG94TrCodITlBQ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TV24"/>
  <sheetViews>
    <sheetView zoomScale="70" zoomScaleNormal="70" workbookViewId="0">
      <pane xSplit="2" topLeftCell="SR1" activePane="topRight" state="frozen"/>
      <selection activeCell="Y3" sqref="Y3:AA3"/>
      <selection pane="topRight" activeCell="TR20" sqref="TR20"/>
    </sheetView>
  </sheetViews>
  <sheetFormatPr baseColWidth="10" defaultColWidth="5.7109375" defaultRowHeight="15" x14ac:dyDescent="0.25"/>
  <cols>
    <col min="1" max="1" width="17.7109375" style="167" customWidth="1"/>
    <col min="2" max="2" width="13.7109375" style="167" customWidth="1"/>
    <col min="3" max="5" width="4.7109375" style="158" customWidth="1"/>
    <col min="6" max="6" width="4.7109375" style="190" customWidth="1"/>
    <col min="7" max="7" width="8.7109375" style="191" customWidth="1"/>
    <col min="8" max="10" width="4.7109375" style="157" customWidth="1"/>
    <col min="11" max="11" width="4.7109375" style="191" customWidth="1"/>
    <col min="12" max="12" width="8.7109375" style="191" customWidth="1"/>
    <col min="13" max="16" width="4.7109375" style="157" customWidth="1"/>
    <col min="17" max="17" width="4.7109375" style="191" customWidth="1"/>
    <col min="18" max="18" width="8.7109375" style="191" customWidth="1"/>
    <col min="19" max="19" width="4.7109375" style="191" customWidth="1"/>
    <col min="20" max="20" width="8.7109375" style="191" customWidth="1"/>
    <col min="21" max="23" width="4.7109375" style="158" customWidth="1"/>
    <col min="24" max="24" width="4.7109375" style="190" customWidth="1"/>
    <col min="25" max="25" width="8.7109375" style="191" customWidth="1"/>
    <col min="26" max="28" width="4.7109375" style="157" customWidth="1"/>
    <col min="29" max="29" width="4.7109375" style="191" customWidth="1"/>
    <col min="30" max="30" width="8.7109375" style="191" customWidth="1"/>
    <col min="31" max="34" width="4.7109375" style="157" customWidth="1"/>
    <col min="35" max="35" width="4.7109375" style="191" customWidth="1"/>
    <col min="36" max="36" width="8.7109375" style="191" customWidth="1"/>
    <col min="37" max="37" width="4.7109375" style="191" customWidth="1"/>
    <col min="38" max="38" width="8.7109375" style="191" customWidth="1"/>
    <col min="39" max="42" width="4.7109375" style="158" customWidth="1"/>
    <col min="43" max="43" width="8.7109375" style="156" customWidth="1"/>
    <col min="44" max="46" width="4.7109375" style="157" customWidth="1"/>
    <col min="47" max="47" width="4.7109375" style="156" customWidth="1"/>
    <col min="48" max="48" width="8.7109375" style="156" customWidth="1"/>
    <col min="49" max="52" width="4.7109375" style="157" customWidth="1"/>
    <col min="53" max="53" width="4.7109375" style="156" customWidth="1"/>
    <col min="54" max="54" width="8.7109375" style="156" customWidth="1"/>
    <col min="55" max="55" width="4.7109375" style="156" customWidth="1"/>
    <col min="56" max="56" width="8.7109375" style="156" customWidth="1"/>
    <col min="57" max="60" width="4.7109375" style="158" customWidth="1"/>
    <col min="61" max="61" width="8.7109375" style="156" customWidth="1"/>
    <col min="62" max="64" width="4.7109375" style="157" customWidth="1"/>
    <col min="65" max="65" width="4.7109375" style="156" customWidth="1"/>
    <col min="66" max="66" width="8.7109375" style="156" customWidth="1"/>
    <col min="67" max="70" width="4.7109375" style="157" customWidth="1"/>
    <col min="71" max="71" width="4.7109375" style="156" customWidth="1"/>
    <col min="72" max="72" width="8.7109375" style="156" customWidth="1"/>
    <col min="73" max="73" width="4.7109375" style="156" customWidth="1"/>
    <col min="74" max="74" width="8.7109375" style="156" customWidth="1"/>
    <col min="75" max="78" width="4.7109375" style="158" customWidth="1"/>
    <col min="79" max="79" width="8.7109375" style="156" customWidth="1"/>
    <col min="80" max="82" width="4.7109375" style="157" customWidth="1"/>
    <col min="83" max="83" width="4.7109375" style="156" customWidth="1"/>
    <col min="84" max="84" width="8.7109375" style="156" customWidth="1"/>
    <col min="85" max="88" width="4.7109375" style="157" customWidth="1"/>
    <col min="89" max="89" width="4.7109375" style="156" customWidth="1"/>
    <col min="90" max="90" width="8.7109375" style="156" customWidth="1"/>
    <col min="91" max="91" width="4.7109375" style="156" customWidth="1"/>
    <col min="92" max="92" width="8.7109375" style="156" customWidth="1"/>
    <col min="93" max="96" width="4.7109375" style="158" customWidth="1"/>
    <col min="97" max="97" width="8.7109375" style="156" customWidth="1"/>
    <col min="98" max="100" width="4.7109375" style="157" customWidth="1"/>
    <col min="101" max="101" width="4.7109375" style="156" customWidth="1"/>
    <col min="102" max="102" width="8.7109375" style="156" customWidth="1"/>
    <col min="103" max="106" width="4.7109375" style="157" customWidth="1"/>
    <col min="107" max="107" width="4.7109375" style="156" customWidth="1"/>
    <col min="108" max="108" width="8.7109375" style="156" customWidth="1"/>
    <col min="109" max="109" width="4.7109375" style="156" customWidth="1"/>
    <col min="110" max="110" width="8.7109375" style="156" customWidth="1"/>
    <col min="111" max="114" width="4.7109375" style="158" customWidth="1"/>
    <col min="115" max="115" width="8.7109375" style="156" customWidth="1"/>
    <col min="116" max="118" width="4.7109375" style="157" customWidth="1"/>
    <col min="119" max="119" width="4.7109375" style="156" customWidth="1"/>
    <col min="120" max="120" width="8.7109375" style="156" customWidth="1"/>
    <col min="121" max="124" width="4.7109375" style="157" customWidth="1"/>
    <col min="125" max="125" width="4.7109375" style="156" customWidth="1"/>
    <col min="126" max="126" width="8.7109375" style="156" customWidth="1"/>
    <col min="127" max="127" width="4.7109375" style="156" customWidth="1"/>
    <col min="128" max="128" width="8.7109375" style="156" customWidth="1"/>
    <col min="129" max="132" width="4.7109375" style="158" customWidth="1"/>
    <col min="133" max="133" width="8.7109375" style="156" customWidth="1"/>
    <col min="134" max="136" width="4.7109375" style="157" customWidth="1"/>
    <col min="137" max="137" width="4.7109375" style="156" customWidth="1"/>
    <col min="138" max="138" width="8.7109375" style="156" customWidth="1"/>
    <col min="139" max="142" width="4.7109375" style="157" customWidth="1"/>
    <col min="143" max="143" width="4.7109375" style="156" customWidth="1"/>
    <col min="144" max="144" width="8.7109375" style="156" customWidth="1"/>
    <col min="145" max="145" width="4.7109375" style="156" customWidth="1"/>
    <col min="146" max="146" width="8.7109375" style="156" customWidth="1"/>
    <col min="147" max="150" width="4.7109375" style="158" customWidth="1"/>
    <col min="151" max="151" width="8.7109375" style="156" customWidth="1"/>
    <col min="152" max="154" width="4.7109375" style="157" customWidth="1"/>
    <col min="155" max="155" width="4.7109375" style="156" customWidth="1"/>
    <col min="156" max="156" width="8.7109375" style="156" customWidth="1"/>
    <col min="157" max="160" width="4.7109375" style="157" customWidth="1"/>
    <col min="161" max="161" width="4.7109375" style="156" customWidth="1"/>
    <col min="162" max="162" width="8.7109375" style="156" customWidth="1"/>
    <col min="163" max="163" width="4.7109375" style="156" customWidth="1"/>
    <col min="164" max="164" width="8.7109375" style="156" customWidth="1"/>
    <col min="165" max="168" width="4.7109375" style="158" customWidth="1"/>
    <col min="169" max="169" width="8.7109375" style="156" customWidth="1"/>
    <col min="170" max="172" width="4.7109375" style="157" customWidth="1"/>
    <col min="173" max="173" width="4.7109375" style="156" customWidth="1"/>
    <col min="174" max="174" width="8.7109375" style="156" customWidth="1"/>
    <col min="175" max="178" width="4.7109375" style="157" customWidth="1"/>
    <col min="179" max="179" width="4.7109375" style="156" customWidth="1"/>
    <col min="180" max="180" width="8.7109375" style="156" customWidth="1"/>
    <col min="181" max="181" width="4.7109375" style="156" customWidth="1"/>
    <col min="182" max="182" width="8.7109375" style="156" customWidth="1"/>
    <col min="183" max="186" width="4.7109375" style="158" customWidth="1"/>
    <col min="187" max="187" width="8.7109375" style="156" customWidth="1"/>
    <col min="188" max="190" width="4.7109375" style="157" customWidth="1"/>
    <col min="191" max="191" width="4.7109375" style="156" customWidth="1"/>
    <col min="192" max="192" width="8.7109375" style="156" customWidth="1"/>
    <col min="193" max="196" width="4.7109375" style="157" customWidth="1"/>
    <col min="197" max="197" width="4.7109375" style="156" customWidth="1"/>
    <col min="198" max="198" width="8.7109375" style="156" customWidth="1"/>
    <col min="199" max="199" width="4.7109375" style="156" customWidth="1"/>
    <col min="200" max="200" width="8.7109375" style="156" customWidth="1"/>
    <col min="201" max="204" width="4.7109375" style="158" customWidth="1"/>
    <col min="205" max="205" width="8.7109375" style="156" customWidth="1"/>
    <col min="206" max="208" width="4.7109375" style="157" customWidth="1"/>
    <col min="209" max="209" width="4.7109375" style="156" customWidth="1"/>
    <col min="210" max="210" width="8.7109375" style="156" customWidth="1"/>
    <col min="211" max="214" width="4.7109375" style="157" customWidth="1"/>
    <col min="215" max="215" width="4.7109375" style="156" customWidth="1"/>
    <col min="216" max="216" width="8.7109375" style="156" customWidth="1"/>
    <col min="217" max="217" width="4.7109375" style="156" customWidth="1"/>
    <col min="218" max="218" width="8.7109375" style="156" customWidth="1"/>
    <col min="219" max="222" width="4.7109375" style="158" customWidth="1"/>
    <col min="223" max="223" width="8.7109375" style="156" customWidth="1"/>
    <col min="224" max="226" width="4.7109375" style="157" customWidth="1"/>
    <col min="227" max="227" width="4.7109375" style="156" customWidth="1"/>
    <col min="228" max="228" width="8.7109375" style="156" customWidth="1"/>
    <col min="229" max="232" width="4.7109375" style="157" customWidth="1"/>
    <col min="233" max="233" width="4.7109375" style="156" customWidth="1"/>
    <col min="234" max="234" width="8.7109375" style="156" customWidth="1"/>
    <col min="235" max="235" width="4.7109375" style="156" customWidth="1"/>
    <col min="236" max="236" width="8.7109375" style="156" customWidth="1"/>
    <col min="237" max="240" width="4.7109375" style="158" customWidth="1"/>
    <col min="241" max="241" width="8.7109375" style="156" customWidth="1"/>
    <col min="242" max="244" width="4.7109375" style="157" customWidth="1"/>
    <col min="245" max="245" width="4.7109375" style="156" customWidth="1"/>
    <col min="246" max="246" width="8.7109375" style="156" customWidth="1"/>
    <col min="247" max="250" width="4.7109375" style="157" customWidth="1"/>
    <col min="251" max="251" width="4.7109375" style="156" customWidth="1"/>
    <col min="252" max="252" width="8.7109375" style="156" customWidth="1"/>
    <col min="253" max="253" width="4.7109375" style="156" customWidth="1"/>
    <col min="254" max="254" width="8.7109375" style="156" customWidth="1"/>
    <col min="255" max="258" width="4.7109375" style="158" customWidth="1"/>
    <col min="259" max="259" width="8.7109375" style="156" customWidth="1"/>
    <col min="260" max="262" width="4.7109375" style="157" customWidth="1"/>
    <col min="263" max="263" width="4.7109375" style="156" customWidth="1"/>
    <col min="264" max="264" width="8.7109375" style="156" customWidth="1"/>
    <col min="265" max="268" width="4.7109375" style="157" customWidth="1"/>
    <col min="269" max="269" width="4.7109375" style="156" customWidth="1"/>
    <col min="270" max="270" width="8.7109375" style="156" customWidth="1"/>
    <col min="271" max="271" width="4.7109375" style="156" customWidth="1"/>
    <col min="272" max="272" width="8.7109375" style="156" customWidth="1"/>
    <col min="273" max="276" width="4.7109375" style="158" customWidth="1"/>
    <col min="277" max="277" width="8.7109375" style="156" customWidth="1"/>
    <col min="278" max="280" width="4.7109375" style="157" customWidth="1"/>
    <col min="281" max="281" width="4.7109375" style="156" customWidth="1"/>
    <col min="282" max="282" width="8.7109375" style="156" customWidth="1"/>
    <col min="283" max="286" width="4.7109375" style="157" customWidth="1"/>
    <col min="287" max="287" width="4.7109375" style="156" customWidth="1"/>
    <col min="288" max="288" width="8.7109375" style="156" customWidth="1"/>
    <col min="289" max="289" width="4.7109375" style="156" customWidth="1"/>
    <col min="290" max="290" width="8.7109375" style="156" customWidth="1"/>
    <col min="291" max="294" width="4.7109375" style="158" customWidth="1"/>
    <col min="295" max="295" width="8.7109375" style="156" customWidth="1"/>
    <col min="296" max="298" width="4.7109375" style="157" customWidth="1"/>
    <col min="299" max="299" width="4.7109375" style="156" customWidth="1"/>
    <col min="300" max="300" width="8.7109375" style="156" customWidth="1"/>
    <col min="301" max="304" width="4.7109375" style="157" customWidth="1"/>
    <col min="305" max="305" width="4.7109375" style="156" customWidth="1"/>
    <col min="306" max="306" width="8.7109375" style="156" customWidth="1"/>
    <col min="307" max="307" width="4.7109375" style="156" customWidth="1"/>
    <col min="308" max="308" width="8.7109375" style="156" customWidth="1"/>
    <col min="309" max="312" width="4.7109375" style="158" customWidth="1"/>
    <col min="313" max="313" width="8.7109375" style="156" customWidth="1"/>
    <col min="314" max="316" width="4.7109375" style="157" customWidth="1"/>
    <col min="317" max="317" width="4.7109375" style="156" customWidth="1"/>
    <col min="318" max="318" width="8.7109375" style="156" customWidth="1"/>
    <col min="319" max="322" width="4.7109375" style="157" customWidth="1"/>
    <col min="323" max="323" width="4.7109375" style="156" customWidth="1"/>
    <col min="324" max="324" width="8.7109375" style="156" customWidth="1"/>
    <col min="325" max="325" width="4.7109375" style="156" customWidth="1"/>
    <col min="326" max="326" width="8.7109375" style="156" customWidth="1"/>
    <col min="327" max="330" width="4.7109375" style="158" customWidth="1"/>
    <col min="331" max="331" width="8.7109375" style="156" customWidth="1"/>
    <col min="332" max="334" width="4.7109375" style="157" customWidth="1"/>
    <col min="335" max="335" width="4.7109375" style="156" customWidth="1"/>
    <col min="336" max="336" width="8.7109375" style="156" customWidth="1"/>
    <col min="337" max="340" width="4.7109375" style="157" customWidth="1"/>
    <col min="341" max="341" width="4.7109375" style="156" customWidth="1"/>
    <col min="342" max="342" width="8.7109375" style="156" customWidth="1"/>
    <col min="343" max="343" width="4.7109375" style="156" customWidth="1"/>
    <col min="344" max="344" width="8.7109375" style="156" customWidth="1"/>
    <col min="345" max="348" width="4.7109375" style="158" customWidth="1"/>
    <col min="349" max="349" width="8.7109375" style="156" customWidth="1"/>
    <col min="350" max="352" width="4.7109375" style="157" customWidth="1"/>
    <col min="353" max="353" width="4.7109375" style="156" customWidth="1"/>
    <col min="354" max="354" width="8.7109375" style="156" customWidth="1"/>
    <col min="355" max="358" width="4.7109375" style="157" customWidth="1"/>
    <col min="359" max="359" width="4.7109375" style="156" customWidth="1"/>
    <col min="360" max="360" width="8.7109375" style="156" customWidth="1"/>
    <col min="361" max="361" width="4.7109375" style="156" customWidth="1"/>
    <col min="362" max="362" width="8.7109375" style="156" customWidth="1"/>
    <col min="363" max="366" width="4.7109375" style="158" customWidth="1"/>
    <col min="367" max="367" width="8.7109375" style="156" customWidth="1"/>
    <col min="368" max="370" width="4.7109375" style="157" customWidth="1"/>
    <col min="371" max="371" width="4.7109375" style="156" customWidth="1"/>
    <col min="372" max="372" width="8.7109375" style="156" customWidth="1"/>
    <col min="373" max="376" width="4.7109375" style="157" customWidth="1"/>
    <col min="377" max="377" width="4.7109375" style="156" customWidth="1"/>
    <col min="378" max="378" width="8.7109375" style="156" customWidth="1"/>
    <col min="379" max="379" width="4.7109375" style="156" customWidth="1"/>
    <col min="380" max="380" width="8.7109375" style="156" customWidth="1"/>
    <col min="381" max="384" width="4.7109375" style="158" customWidth="1"/>
    <col min="385" max="385" width="8.7109375" style="156" customWidth="1"/>
    <col min="386" max="388" width="4.7109375" style="157" customWidth="1"/>
    <col min="389" max="389" width="4.7109375" style="156" customWidth="1"/>
    <col min="390" max="390" width="8.7109375" style="156" customWidth="1"/>
    <col min="391" max="394" width="4.7109375" style="157" customWidth="1"/>
    <col min="395" max="395" width="4.7109375" style="156" customWidth="1"/>
    <col min="396" max="396" width="8.7109375" style="156" customWidth="1"/>
    <col min="397" max="397" width="4.7109375" style="156" customWidth="1"/>
    <col min="398" max="398" width="8.7109375" style="156" customWidth="1"/>
    <col min="399" max="402" width="4.7109375" style="158" customWidth="1"/>
    <col min="403" max="403" width="8.7109375" style="156" customWidth="1"/>
    <col min="404" max="406" width="4.7109375" style="157" customWidth="1"/>
    <col min="407" max="407" width="4.7109375" style="156" customWidth="1"/>
    <col min="408" max="408" width="8.7109375" style="156" customWidth="1"/>
    <col min="409" max="412" width="4.7109375" style="157" customWidth="1"/>
    <col min="413" max="413" width="4.7109375" style="156" customWidth="1"/>
    <col min="414" max="414" width="8.7109375" style="156" customWidth="1"/>
    <col min="415" max="415" width="4.7109375" style="156" customWidth="1"/>
    <col min="416" max="416" width="8.7109375" style="156" customWidth="1"/>
    <col min="417" max="420" width="4.7109375" style="158" customWidth="1"/>
    <col min="421" max="421" width="8.7109375" style="156" customWidth="1"/>
    <col min="422" max="424" width="4.7109375" style="157" customWidth="1"/>
    <col min="425" max="425" width="4.7109375" style="156" customWidth="1"/>
    <col min="426" max="426" width="8.7109375" style="156" customWidth="1"/>
    <col min="427" max="430" width="4.7109375" style="157" customWidth="1"/>
    <col min="431" max="431" width="4.7109375" style="156" customWidth="1"/>
    <col min="432" max="432" width="8.7109375" style="156" customWidth="1"/>
    <col min="433" max="433" width="4.7109375" style="156" customWidth="1"/>
    <col min="434" max="434" width="8.7109375" style="156" customWidth="1"/>
    <col min="435" max="438" width="4.7109375" style="158" customWidth="1"/>
    <col min="439" max="439" width="8.7109375" style="156" customWidth="1"/>
    <col min="440" max="442" width="4.7109375" style="157" customWidth="1"/>
    <col min="443" max="443" width="4.7109375" style="156" customWidth="1"/>
    <col min="444" max="444" width="8.7109375" style="156" customWidth="1"/>
    <col min="445" max="448" width="4.7109375" style="157" customWidth="1"/>
    <col min="449" max="449" width="4.7109375" style="156" customWidth="1"/>
    <col min="450" max="450" width="8.7109375" style="156" customWidth="1"/>
    <col min="451" max="451" width="4.7109375" style="156" customWidth="1"/>
    <col min="452" max="452" width="8.7109375" style="156" customWidth="1"/>
    <col min="453" max="456" width="4.7109375" style="158" customWidth="1"/>
    <col min="457" max="457" width="8.7109375" style="156" customWidth="1"/>
    <col min="458" max="460" width="4.7109375" style="157" customWidth="1"/>
    <col min="461" max="461" width="4.7109375" style="156" customWidth="1"/>
    <col min="462" max="462" width="8.7109375" style="156" customWidth="1"/>
    <col min="463" max="466" width="4.7109375" style="157" customWidth="1"/>
    <col min="467" max="467" width="4.7109375" style="156" customWidth="1"/>
    <col min="468" max="468" width="8.7109375" style="156" customWidth="1"/>
    <col min="469" max="469" width="4.7109375" style="156" customWidth="1"/>
    <col min="470" max="470" width="8.7109375" style="156" customWidth="1"/>
    <col min="471" max="474" width="4.7109375" style="158" customWidth="1"/>
    <col min="475" max="475" width="8.7109375" style="156" customWidth="1"/>
    <col min="476" max="478" width="4.7109375" style="157" customWidth="1"/>
    <col min="479" max="479" width="4.7109375" style="156" customWidth="1"/>
    <col min="480" max="480" width="8.7109375" style="156" customWidth="1"/>
    <col min="481" max="484" width="4.7109375" style="157" customWidth="1"/>
    <col min="485" max="485" width="4.7109375" style="156" customWidth="1"/>
    <col min="486" max="486" width="8.7109375" style="156" customWidth="1"/>
    <col min="487" max="487" width="4.7109375" style="156" customWidth="1"/>
    <col min="488" max="488" width="8.7109375" style="156" customWidth="1"/>
    <col min="489" max="492" width="4.7109375" style="158" customWidth="1"/>
    <col min="493" max="493" width="8.7109375" style="156" customWidth="1"/>
    <col min="494" max="496" width="4.7109375" style="157" customWidth="1"/>
    <col min="497" max="497" width="4.7109375" style="156" customWidth="1"/>
    <col min="498" max="498" width="8.7109375" style="156" customWidth="1"/>
    <col min="499" max="502" width="4.7109375" style="157" customWidth="1"/>
    <col min="503" max="503" width="4.7109375" style="156" customWidth="1"/>
    <col min="504" max="504" width="8.7109375" style="156" customWidth="1"/>
    <col min="505" max="505" width="4.7109375" style="156" customWidth="1"/>
    <col min="506" max="506" width="8.7109375" style="156" customWidth="1"/>
    <col min="507" max="510" width="4.7109375" style="158" customWidth="1"/>
    <col min="511" max="511" width="8.7109375" style="156" customWidth="1"/>
    <col min="512" max="514" width="4.7109375" style="157" customWidth="1"/>
    <col min="515" max="515" width="4.7109375" style="156" customWidth="1"/>
    <col min="516" max="516" width="8.7109375" style="156" customWidth="1"/>
    <col min="517" max="520" width="4.7109375" style="157" customWidth="1"/>
    <col min="521" max="521" width="4.7109375" style="156" customWidth="1"/>
    <col min="522" max="522" width="8.7109375" style="156" customWidth="1"/>
    <col min="523" max="523" width="4.7109375" style="156" customWidth="1"/>
    <col min="524" max="524" width="8.7109375" style="156" customWidth="1"/>
    <col min="525" max="528" width="4.7109375" style="158" customWidth="1"/>
    <col min="529" max="529" width="8.7109375" style="156" customWidth="1"/>
    <col min="530" max="532" width="4.7109375" style="157" customWidth="1"/>
    <col min="533" max="533" width="4.7109375" style="156" customWidth="1"/>
    <col min="534" max="534" width="8.7109375" style="156" customWidth="1"/>
    <col min="535" max="538" width="4.7109375" style="157" customWidth="1"/>
    <col min="539" max="539" width="4.7109375" style="156" customWidth="1"/>
    <col min="540" max="540" width="8.7109375" style="156" customWidth="1"/>
    <col min="541" max="541" width="4.7109375" style="156" customWidth="1"/>
    <col min="542" max="542" width="8.7109375" style="156" customWidth="1"/>
    <col min="543" max="16384" width="5.7109375" style="83"/>
  </cols>
  <sheetData>
    <row r="1" spans="1:542" ht="18" customHeight="1" thickBot="1" x14ac:dyDescent="0.3">
      <c r="A1" s="232" t="s">
        <v>41</v>
      </c>
      <c r="B1" s="233"/>
      <c r="C1" s="169">
        <v>4</v>
      </c>
      <c r="D1" s="79"/>
      <c r="E1" s="79"/>
      <c r="F1" s="174"/>
      <c r="G1" s="175"/>
      <c r="H1" s="173"/>
      <c r="I1" s="81"/>
      <c r="J1" s="81"/>
      <c r="K1" s="175"/>
      <c r="L1" s="175"/>
      <c r="M1" s="173"/>
      <c r="N1" s="81"/>
      <c r="O1" s="81"/>
      <c r="P1" s="81"/>
      <c r="Q1" s="175"/>
      <c r="R1" s="175"/>
      <c r="S1" s="175"/>
      <c r="T1" s="196"/>
      <c r="U1" s="213">
        <f>C1+1</f>
        <v>5</v>
      </c>
      <c r="V1" s="79"/>
      <c r="W1" s="79"/>
      <c r="X1" s="174"/>
      <c r="Y1" s="175"/>
      <c r="Z1" s="173"/>
      <c r="AA1" s="81"/>
      <c r="AB1" s="81"/>
      <c r="AC1" s="175"/>
      <c r="AD1" s="175"/>
      <c r="AE1" s="173"/>
      <c r="AF1" s="81"/>
      <c r="AG1" s="81"/>
      <c r="AH1" s="81"/>
      <c r="AI1" s="175"/>
      <c r="AJ1" s="175"/>
      <c r="AK1" s="175"/>
      <c r="AL1" s="175"/>
      <c r="AM1" s="213">
        <f>U1+1</f>
        <v>6</v>
      </c>
      <c r="AN1" s="79"/>
      <c r="AO1" s="79"/>
      <c r="AP1" s="174"/>
      <c r="AQ1" s="175"/>
      <c r="AR1" s="173"/>
      <c r="AS1" s="81"/>
      <c r="AT1" s="81"/>
      <c r="AU1" s="175"/>
      <c r="AV1" s="175"/>
      <c r="AW1" s="173"/>
      <c r="AX1" s="81"/>
      <c r="AY1" s="81"/>
      <c r="AZ1" s="81"/>
      <c r="BA1" s="175"/>
      <c r="BB1" s="175"/>
      <c r="BC1" s="175"/>
      <c r="BD1" s="175"/>
      <c r="BE1" s="213">
        <f>AM1+1</f>
        <v>7</v>
      </c>
      <c r="BF1" s="79"/>
      <c r="BG1" s="79"/>
      <c r="BH1" s="174"/>
      <c r="BI1" s="175"/>
      <c r="BJ1" s="173"/>
      <c r="BK1" s="81"/>
      <c r="BL1" s="81"/>
      <c r="BM1" s="175"/>
      <c r="BN1" s="175"/>
      <c r="BO1" s="173"/>
      <c r="BP1" s="81"/>
      <c r="BQ1" s="81"/>
      <c r="BR1" s="81"/>
      <c r="BS1" s="175"/>
      <c r="BT1" s="175"/>
      <c r="BU1" s="175"/>
      <c r="BV1" s="175"/>
      <c r="BW1" s="213">
        <f>BE1+1</f>
        <v>8</v>
      </c>
      <c r="BX1" s="79"/>
      <c r="BY1" s="79"/>
      <c r="BZ1" s="174"/>
      <c r="CA1" s="175"/>
      <c r="CB1" s="173"/>
      <c r="CC1" s="81"/>
      <c r="CD1" s="81"/>
      <c r="CE1" s="175"/>
      <c r="CF1" s="175"/>
      <c r="CG1" s="173"/>
      <c r="CH1" s="81"/>
      <c r="CI1" s="81"/>
      <c r="CJ1" s="81"/>
      <c r="CK1" s="175"/>
      <c r="CL1" s="175"/>
      <c r="CM1" s="175"/>
      <c r="CN1" s="175"/>
      <c r="CO1" s="213">
        <f>BW1+1</f>
        <v>9</v>
      </c>
      <c r="CP1" s="79"/>
      <c r="CQ1" s="79"/>
      <c r="CR1" s="174"/>
      <c r="CS1" s="175"/>
      <c r="CT1" s="173"/>
      <c r="CU1" s="81"/>
      <c r="CV1" s="81"/>
      <c r="CW1" s="175"/>
      <c r="CX1" s="175"/>
      <c r="CY1" s="173"/>
      <c r="CZ1" s="81"/>
      <c r="DA1" s="81"/>
      <c r="DB1" s="81"/>
      <c r="DC1" s="175"/>
      <c r="DD1" s="175"/>
      <c r="DE1" s="175"/>
      <c r="DF1" s="175"/>
      <c r="DG1" s="213">
        <f>CO1+1</f>
        <v>10</v>
      </c>
      <c r="DH1" s="79"/>
      <c r="DI1" s="79"/>
      <c r="DJ1" s="174"/>
      <c r="DK1" s="175"/>
      <c r="DL1" s="173"/>
      <c r="DM1" s="81"/>
      <c r="DN1" s="81"/>
      <c r="DO1" s="175"/>
      <c r="DP1" s="175"/>
      <c r="DQ1" s="173"/>
      <c r="DR1" s="81"/>
      <c r="DS1" s="81"/>
      <c r="DT1" s="81"/>
      <c r="DU1" s="175"/>
      <c r="DV1" s="175"/>
      <c r="DW1" s="175"/>
      <c r="DX1" s="175"/>
      <c r="DY1" s="213">
        <f>DG1+1</f>
        <v>11</v>
      </c>
      <c r="DZ1" s="79"/>
      <c r="EA1" s="79"/>
      <c r="EB1" s="174"/>
      <c r="EC1" s="175"/>
      <c r="ED1" s="173"/>
      <c r="EE1" s="81"/>
      <c r="EF1" s="81"/>
      <c r="EG1" s="175"/>
      <c r="EH1" s="175"/>
      <c r="EI1" s="173"/>
      <c r="EJ1" s="81"/>
      <c r="EK1" s="81"/>
      <c r="EL1" s="81"/>
      <c r="EM1" s="175"/>
      <c r="EN1" s="175"/>
      <c r="EO1" s="175"/>
      <c r="EP1" s="175"/>
      <c r="EQ1" s="213">
        <f>DY1+1</f>
        <v>12</v>
      </c>
      <c r="ER1" s="79"/>
      <c r="ES1" s="79"/>
      <c r="ET1" s="174"/>
      <c r="EU1" s="175"/>
      <c r="EV1" s="173"/>
      <c r="EW1" s="81"/>
      <c r="EX1" s="81"/>
      <c r="EY1" s="175"/>
      <c r="EZ1" s="175"/>
      <c r="FA1" s="173"/>
      <c r="FB1" s="81"/>
      <c r="FC1" s="81"/>
      <c r="FD1" s="81"/>
      <c r="FE1" s="175"/>
      <c r="FF1" s="175"/>
      <c r="FG1" s="175"/>
      <c r="FH1" s="175"/>
      <c r="FI1" s="213">
        <f>EQ1+1</f>
        <v>13</v>
      </c>
      <c r="FJ1" s="79"/>
      <c r="FK1" s="79"/>
      <c r="FL1" s="174"/>
      <c r="FM1" s="175"/>
      <c r="FN1" s="173"/>
      <c r="FO1" s="81"/>
      <c r="FP1" s="81"/>
      <c r="FQ1" s="175"/>
      <c r="FR1" s="175"/>
      <c r="FS1" s="173"/>
      <c r="FT1" s="81"/>
      <c r="FU1" s="81"/>
      <c r="FV1" s="81"/>
      <c r="FW1" s="175"/>
      <c r="FX1" s="175"/>
      <c r="FY1" s="175"/>
      <c r="FZ1" s="175"/>
      <c r="GA1" s="213">
        <f>FI1+1</f>
        <v>14</v>
      </c>
      <c r="GB1" s="79"/>
      <c r="GC1" s="79"/>
      <c r="GD1" s="174"/>
      <c r="GE1" s="175"/>
      <c r="GF1" s="173"/>
      <c r="GG1" s="81"/>
      <c r="GH1" s="81"/>
      <c r="GI1" s="175"/>
      <c r="GJ1" s="175"/>
      <c r="GK1" s="173"/>
      <c r="GL1" s="81"/>
      <c r="GM1" s="81"/>
      <c r="GN1" s="81"/>
      <c r="GO1" s="175"/>
      <c r="GP1" s="175"/>
      <c r="GQ1" s="175"/>
      <c r="GR1" s="175"/>
      <c r="GS1" s="213">
        <f>GA1+1</f>
        <v>15</v>
      </c>
      <c r="GT1" s="79"/>
      <c r="GU1" s="79"/>
      <c r="GV1" s="174"/>
      <c r="GW1" s="175"/>
      <c r="GX1" s="173"/>
      <c r="GY1" s="81"/>
      <c r="GZ1" s="81"/>
      <c r="HA1" s="175"/>
      <c r="HB1" s="175"/>
      <c r="HC1" s="173"/>
      <c r="HD1" s="81"/>
      <c r="HE1" s="81"/>
      <c r="HF1" s="81"/>
      <c r="HG1" s="175"/>
      <c r="HH1" s="175"/>
      <c r="HI1" s="175"/>
      <c r="HJ1" s="175"/>
      <c r="HK1" s="213">
        <f>GS1+1</f>
        <v>16</v>
      </c>
      <c r="HL1" s="79"/>
      <c r="HM1" s="79"/>
      <c r="HN1" s="174"/>
      <c r="HO1" s="175"/>
      <c r="HP1" s="173"/>
      <c r="HQ1" s="81"/>
      <c r="HR1" s="81"/>
      <c r="HS1" s="175"/>
      <c r="HT1" s="175"/>
      <c r="HU1" s="173"/>
      <c r="HV1" s="81"/>
      <c r="HW1" s="81"/>
      <c r="HX1" s="81"/>
      <c r="HY1" s="175"/>
      <c r="HZ1" s="175"/>
      <c r="IA1" s="175"/>
      <c r="IB1" s="175"/>
      <c r="IC1" s="213">
        <f>HK1+1</f>
        <v>17</v>
      </c>
      <c r="ID1" s="79"/>
      <c r="IE1" s="79"/>
      <c r="IF1" s="174"/>
      <c r="IG1" s="175"/>
      <c r="IH1" s="173"/>
      <c r="II1" s="81"/>
      <c r="IJ1" s="81"/>
      <c r="IK1" s="175"/>
      <c r="IL1" s="175"/>
      <c r="IM1" s="173"/>
      <c r="IN1" s="81"/>
      <c r="IO1" s="81"/>
      <c r="IP1" s="81"/>
      <c r="IQ1" s="175"/>
      <c r="IR1" s="175"/>
      <c r="IS1" s="175"/>
      <c r="IT1" s="175"/>
      <c r="IU1" s="213">
        <f>IC1+1</f>
        <v>18</v>
      </c>
      <c r="IV1" s="79"/>
      <c r="IW1" s="79"/>
      <c r="IX1" s="174"/>
      <c r="IY1" s="175"/>
      <c r="IZ1" s="173"/>
      <c r="JA1" s="81"/>
      <c r="JB1" s="81"/>
      <c r="JC1" s="175"/>
      <c r="JD1" s="175"/>
      <c r="JE1" s="173"/>
      <c r="JF1" s="81"/>
      <c r="JG1" s="81"/>
      <c r="JH1" s="81"/>
      <c r="JI1" s="175"/>
      <c r="JJ1" s="175"/>
      <c r="JK1" s="175"/>
      <c r="JL1" s="175"/>
      <c r="JM1" s="213">
        <f>IU1+1</f>
        <v>19</v>
      </c>
      <c r="JN1" s="79"/>
      <c r="JO1" s="79"/>
      <c r="JP1" s="174"/>
      <c r="JQ1" s="175"/>
      <c r="JR1" s="173"/>
      <c r="JS1" s="81"/>
      <c r="JT1" s="81"/>
      <c r="JU1" s="175"/>
      <c r="JV1" s="175"/>
      <c r="JW1" s="173"/>
      <c r="JX1" s="81"/>
      <c r="JY1" s="81"/>
      <c r="JZ1" s="81"/>
      <c r="KA1" s="175"/>
      <c r="KB1" s="175"/>
      <c r="KC1" s="175"/>
      <c r="KD1" s="175"/>
      <c r="KE1" s="213">
        <f>JM1+1</f>
        <v>20</v>
      </c>
      <c r="KF1" s="79"/>
      <c r="KG1" s="79"/>
      <c r="KH1" s="174"/>
      <c r="KI1" s="175"/>
      <c r="KJ1" s="173"/>
      <c r="KK1" s="81"/>
      <c r="KL1" s="81"/>
      <c r="KM1" s="175"/>
      <c r="KN1" s="175"/>
      <c r="KO1" s="173"/>
      <c r="KP1" s="81"/>
      <c r="KQ1" s="81"/>
      <c r="KR1" s="81"/>
      <c r="KS1" s="175"/>
      <c r="KT1" s="175"/>
      <c r="KU1" s="175"/>
      <c r="KV1" s="175"/>
      <c r="KW1" s="213">
        <f>KE1+1</f>
        <v>21</v>
      </c>
      <c r="KX1" s="79"/>
      <c r="KY1" s="79"/>
      <c r="KZ1" s="174"/>
      <c r="LA1" s="175"/>
      <c r="LB1" s="173"/>
      <c r="LC1" s="81"/>
      <c r="LD1" s="81"/>
      <c r="LE1" s="175"/>
      <c r="LF1" s="175"/>
      <c r="LG1" s="173"/>
      <c r="LH1" s="81"/>
      <c r="LI1" s="81"/>
      <c r="LJ1" s="81"/>
      <c r="LK1" s="175"/>
      <c r="LL1" s="175"/>
      <c r="LM1" s="175"/>
      <c r="LN1" s="175"/>
      <c r="LO1" s="213">
        <f>KW1+1</f>
        <v>22</v>
      </c>
      <c r="LP1" s="79"/>
      <c r="LQ1" s="79"/>
      <c r="LR1" s="174"/>
      <c r="LS1" s="175"/>
      <c r="LT1" s="173"/>
      <c r="LU1" s="81"/>
      <c r="LV1" s="81"/>
      <c r="LW1" s="175"/>
      <c r="LX1" s="175"/>
      <c r="LY1" s="173"/>
      <c r="LZ1" s="81"/>
      <c r="MA1" s="81"/>
      <c r="MB1" s="81"/>
      <c r="MC1" s="175"/>
      <c r="MD1" s="175"/>
      <c r="ME1" s="175"/>
      <c r="MF1" s="175"/>
      <c r="MG1" s="213">
        <f>LO1+1</f>
        <v>23</v>
      </c>
      <c r="MH1" s="79"/>
      <c r="MI1" s="79"/>
      <c r="MJ1" s="174"/>
      <c r="MK1" s="175"/>
      <c r="ML1" s="173"/>
      <c r="MM1" s="81"/>
      <c r="MN1" s="81"/>
      <c r="MO1" s="175"/>
      <c r="MP1" s="175"/>
      <c r="MQ1" s="173"/>
      <c r="MR1" s="81"/>
      <c r="MS1" s="81"/>
      <c r="MT1" s="81"/>
      <c r="MU1" s="175"/>
      <c r="MV1" s="175"/>
      <c r="MW1" s="175"/>
      <c r="MX1" s="175"/>
      <c r="MY1" s="213">
        <f>MG1+1</f>
        <v>24</v>
      </c>
      <c r="MZ1" s="79"/>
      <c r="NA1" s="79"/>
      <c r="NB1" s="174"/>
      <c r="NC1" s="175"/>
      <c r="ND1" s="173"/>
      <c r="NE1" s="81"/>
      <c r="NF1" s="81"/>
      <c r="NG1" s="175"/>
      <c r="NH1" s="175"/>
      <c r="NI1" s="173"/>
      <c r="NJ1" s="81"/>
      <c r="NK1" s="81"/>
      <c r="NL1" s="81"/>
      <c r="NM1" s="175"/>
      <c r="NN1" s="175"/>
      <c r="NO1" s="175"/>
      <c r="NP1" s="175"/>
      <c r="NQ1" s="213">
        <f>MY1+1</f>
        <v>25</v>
      </c>
      <c r="NR1" s="79"/>
      <c r="NS1" s="79"/>
      <c r="NT1" s="174"/>
      <c r="NU1" s="175"/>
      <c r="NV1" s="173"/>
      <c r="NW1" s="81"/>
      <c r="NX1" s="81"/>
      <c r="NY1" s="175"/>
      <c r="NZ1" s="175"/>
      <c r="OA1" s="173"/>
      <c r="OB1" s="81"/>
      <c r="OC1" s="81"/>
      <c r="OD1" s="81"/>
      <c r="OE1" s="175"/>
      <c r="OF1" s="175"/>
      <c r="OG1" s="175"/>
      <c r="OH1" s="175"/>
      <c r="OI1" s="213">
        <f>NQ1+1</f>
        <v>26</v>
      </c>
      <c r="OJ1" s="79"/>
      <c r="OK1" s="79"/>
      <c r="OL1" s="174"/>
      <c r="OM1" s="175"/>
      <c r="ON1" s="173"/>
      <c r="OO1" s="81"/>
      <c r="OP1" s="81"/>
      <c r="OQ1" s="175"/>
      <c r="OR1" s="175"/>
      <c r="OS1" s="173"/>
      <c r="OT1" s="81"/>
      <c r="OU1" s="81"/>
      <c r="OV1" s="81"/>
      <c r="OW1" s="175"/>
      <c r="OX1" s="175"/>
      <c r="OY1" s="175"/>
      <c r="OZ1" s="175"/>
      <c r="PA1" s="213">
        <f>OI1+1</f>
        <v>27</v>
      </c>
      <c r="PB1" s="79"/>
      <c r="PC1" s="79"/>
      <c r="PD1" s="174"/>
      <c r="PE1" s="175"/>
      <c r="PF1" s="173"/>
      <c r="PG1" s="81"/>
      <c r="PH1" s="81"/>
      <c r="PI1" s="175"/>
      <c r="PJ1" s="175"/>
      <c r="PK1" s="173"/>
      <c r="PL1" s="81"/>
      <c r="PM1" s="81"/>
      <c r="PN1" s="81"/>
      <c r="PO1" s="175"/>
      <c r="PP1" s="175"/>
      <c r="PQ1" s="175"/>
      <c r="PR1" s="175"/>
      <c r="PS1" s="213">
        <f>PA1+1</f>
        <v>28</v>
      </c>
      <c r="PT1" s="79"/>
      <c r="PU1" s="79"/>
      <c r="PV1" s="174"/>
      <c r="PW1" s="175"/>
      <c r="PX1" s="173"/>
      <c r="PY1" s="81"/>
      <c r="PZ1" s="81"/>
      <c r="QA1" s="175"/>
      <c r="QB1" s="175"/>
      <c r="QC1" s="173"/>
      <c r="QD1" s="81"/>
      <c r="QE1" s="81"/>
      <c r="QF1" s="81"/>
      <c r="QG1" s="175"/>
      <c r="QH1" s="175"/>
      <c r="QI1" s="175"/>
      <c r="QJ1" s="175"/>
      <c r="QK1" s="213">
        <f>PS1+1</f>
        <v>29</v>
      </c>
      <c r="QL1" s="79"/>
      <c r="QM1" s="79"/>
      <c r="QN1" s="174"/>
      <c r="QO1" s="175"/>
      <c r="QP1" s="173"/>
      <c r="QQ1" s="81"/>
      <c r="QR1" s="81"/>
      <c r="QS1" s="175"/>
      <c r="QT1" s="175"/>
      <c r="QU1" s="173"/>
      <c r="QV1" s="81"/>
      <c r="QW1" s="81"/>
      <c r="QX1" s="81"/>
      <c r="QY1" s="175"/>
      <c r="QZ1" s="175"/>
      <c r="RA1" s="175"/>
      <c r="RB1" s="175"/>
      <c r="RC1" s="213">
        <f>QK1+1</f>
        <v>30</v>
      </c>
      <c r="RD1" s="79"/>
      <c r="RE1" s="79"/>
      <c r="RF1" s="174"/>
      <c r="RG1" s="175"/>
      <c r="RH1" s="173"/>
      <c r="RI1" s="81"/>
      <c r="RJ1" s="81"/>
      <c r="RK1" s="175"/>
      <c r="RL1" s="175"/>
      <c r="RM1" s="173"/>
      <c r="RN1" s="81"/>
      <c r="RO1" s="81"/>
      <c r="RP1" s="81"/>
      <c r="RQ1" s="175"/>
      <c r="RR1" s="175"/>
      <c r="RS1" s="175"/>
      <c r="RT1" s="175"/>
      <c r="RU1" s="213">
        <f>RC1+1</f>
        <v>31</v>
      </c>
      <c r="RV1" s="79"/>
      <c r="RW1" s="79"/>
      <c r="RX1" s="174"/>
      <c r="RY1" s="175"/>
      <c r="RZ1" s="173"/>
      <c r="SA1" s="81"/>
      <c r="SB1" s="81"/>
      <c r="SC1" s="175"/>
      <c r="SD1" s="175"/>
      <c r="SE1" s="173"/>
      <c r="SF1" s="81"/>
      <c r="SG1" s="81"/>
      <c r="SH1" s="81"/>
      <c r="SI1" s="175"/>
      <c r="SJ1" s="175"/>
      <c r="SK1" s="175"/>
      <c r="SL1" s="175"/>
      <c r="SM1" s="213">
        <f>RU1+1</f>
        <v>32</v>
      </c>
      <c r="SN1" s="79"/>
      <c r="SO1" s="79"/>
      <c r="SP1" s="174"/>
      <c r="SQ1" s="175"/>
      <c r="SR1" s="173"/>
      <c r="SS1" s="81"/>
      <c r="ST1" s="81"/>
      <c r="SU1" s="175"/>
      <c r="SV1" s="175"/>
      <c r="SW1" s="173"/>
      <c r="SX1" s="81"/>
      <c r="SY1" s="81"/>
      <c r="SZ1" s="81"/>
      <c r="TA1" s="175"/>
      <c r="TB1" s="175"/>
      <c r="TC1" s="175"/>
      <c r="TD1" s="175"/>
      <c r="TE1" s="213">
        <f>SM1+1</f>
        <v>33</v>
      </c>
      <c r="TF1" s="79"/>
      <c r="TG1" s="79"/>
      <c r="TH1" s="174"/>
      <c r="TI1" s="175"/>
      <c r="TJ1" s="173"/>
      <c r="TK1" s="81"/>
      <c r="TL1" s="81"/>
      <c r="TM1" s="175"/>
      <c r="TN1" s="175"/>
      <c r="TO1" s="173"/>
      <c r="TP1" s="81"/>
      <c r="TQ1" s="81"/>
      <c r="TR1" s="81"/>
      <c r="TS1" s="175"/>
      <c r="TT1" s="175"/>
      <c r="TU1" s="175"/>
      <c r="TV1" s="175"/>
    </row>
    <row r="2" spans="1:542" ht="60" customHeight="1" thickBot="1" x14ac:dyDescent="0.3">
      <c r="A2" s="159" t="s">
        <v>40</v>
      </c>
      <c r="B2" s="160" t="s">
        <v>48</v>
      </c>
      <c r="C2" s="170" t="str">
        <f ca="1">IF(CELL("contenu",INDIRECT(ADDRESS(C1,1,1,1,CELL("contenu",$B$2))))="","----",CELL("contenu",INDIRECT(ADDRESS(C1,1,1,1,CELL("contenu",$B$2)))))</f>
        <v>BERNARD--MENU Philomene</v>
      </c>
      <c r="D2" s="168"/>
      <c r="E2" s="168"/>
      <c r="F2" s="170"/>
      <c r="G2" s="170"/>
      <c r="H2" s="170"/>
      <c r="I2" s="168"/>
      <c r="J2" s="168"/>
      <c r="K2" s="170"/>
      <c r="L2" s="170"/>
      <c r="M2" s="170"/>
      <c r="N2" s="168"/>
      <c r="O2" s="168"/>
      <c r="P2" s="168"/>
      <c r="Q2" s="170"/>
      <c r="R2" s="170"/>
      <c r="S2" s="170"/>
      <c r="T2" s="197"/>
      <c r="U2" s="170" t="str">
        <f ca="1">IF(CELL("contenu",INDIRECT(ADDRESS(U1,1,1,1,CELL("contenu",$B$2))))="","----",CELL("contenu",INDIRECT(ADDRESS(U1,1,1,1,CELL("contenu",$B$2)))))</f>
        <v>BREDIN Margaux</v>
      </c>
      <c r="V2" s="168"/>
      <c r="W2" s="168"/>
      <c r="X2" s="170"/>
      <c r="Y2" s="170"/>
      <c r="Z2" s="170"/>
      <c r="AA2" s="168"/>
      <c r="AB2" s="168"/>
      <c r="AC2" s="170"/>
      <c r="AD2" s="170"/>
      <c r="AE2" s="170"/>
      <c r="AF2" s="168"/>
      <c r="AG2" s="168"/>
      <c r="AH2" s="168"/>
      <c r="AI2" s="170"/>
      <c r="AJ2" s="170"/>
      <c r="AK2" s="170"/>
      <c r="AL2" s="197"/>
      <c r="AM2" s="170" t="str">
        <f ca="1">IF(CELL("contenu",INDIRECT(ADDRESS(AM1,1,1,1,CELL("contenu",$B$2))))="","----",CELL("contenu",INDIRECT(ADDRESS(AM1,1,1,1,CELL("contenu",$B$2)))))</f>
        <v>CALLIER Alexandre</v>
      </c>
      <c r="AN2" s="168"/>
      <c r="AO2" s="168"/>
      <c r="AP2" s="170"/>
      <c r="AQ2" s="170"/>
      <c r="AR2" s="170"/>
      <c r="AS2" s="168"/>
      <c r="AT2" s="168"/>
      <c r="AU2" s="170"/>
      <c r="AV2" s="170"/>
      <c r="AW2" s="170"/>
      <c r="AX2" s="168"/>
      <c r="AY2" s="168"/>
      <c r="AZ2" s="168"/>
      <c r="BA2" s="170"/>
      <c r="BB2" s="170"/>
      <c r="BC2" s="170"/>
      <c r="BD2" s="197"/>
      <c r="BE2" s="170" t="str">
        <f ca="1">IF(CELL("contenu",INDIRECT(ADDRESS(BE1,1,1,1,CELL("contenu",$B$2))))="","----",CELL("contenu",INDIRECT(ADDRESS(BE1,1,1,1,CELL("contenu",$B$2)))))</f>
        <v>CARLES Pierre-Marie</v>
      </c>
      <c r="BF2" s="168"/>
      <c r="BG2" s="168"/>
      <c r="BH2" s="170"/>
      <c r="BI2" s="170"/>
      <c r="BJ2" s="170"/>
      <c r="BK2" s="168"/>
      <c r="BL2" s="168"/>
      <c r="BM2" s="170"/>
      <c r="BN2" s="170"/>
      <c r="BO2" s="170"/>
      <c r="BP2" s="168"/>
      <c r="BQ2" s="168"/>
      <c r="BR2" s="168"/>
      <c r="BS2" s="170"/>
      <c r="BT2" s="170"/>
      <c r="BU2" s="170"/>
      <c r="BV2" s="197"/>
      <c r="BW2" s="170" t="str">
        <f ca="1">IF(CELL("contenu",INDIRECT(ADDRESS(BW1,1,1,1,CELL("contenu",$B$2))))="","----",CELL("contenu",INDIRECT(ADDRESS(BW1,1,1,1,CELL("contenu",$B$2)))))</f>
        <v>CHAYLARD Daphne</v>
      </c>
      <c r="BX2" s="168"/>
      <c r="BY2" s="168"/>
      <c r="BZ2" s="170"/>
      <c r="CA2" s="170"/>
      <c r="CB2" s="170"/>
      <c r="CC2" s="168"/>
      <c r="CD2" s="168"/>
      <c r="CE2" s="170"/>
      <c r="CF2" s="170"/>
      <c r="CG2" s="170"/>
      <c r="CH2" s="168"/>
      <c r="CI2" s="168"/>
      <c r="CJ2" s="168"/>
      <c r="CK2" s="170"/>
      <c r="CL2" s="170"/>
      <c r="CM2" s="170"/>
      <c r="CN2" s="197"/>
      <c r="CO2" s="170" t="str">
        <f ca="1">IF(CELL("contenu",INDIRECT(ADDRESS(CO1,1,1,1,CELL("contenu",$B$2))))="","----",CELL("contenu",INDIRECT(ADDRESS(CO1,1,1,1,CELL("contenu",$B$2)))))</f>
        <v>CLOCHARD Anaelle</v>
      </c>
      <c r="CP2" s="168"/>
      <c r="CQ2" s="168"/>
      <c r="CR2" s="170"/>
      <c r="CS2" s="170"/>
      <c r="CT2" s="170"/>
      <c r="CU2" s="168"/>
      <c r="CV2" s="168"/>
      <c r="CW2" s="170"/>
      <c r="CX2" s="170"/>
      <c r="CY2" s="170"/>
      <c r="CZ2" s="168"/>
      <c r="DA2" s="168"/>
      <c r="DB2" s="168"/>
      <c r="DC2" s="170"/>
      <c r="DD2" s="170"/>
      <c r="DE2" s="170"/>
      <c r="DF2" s="197"/>
      <c r="DG2" s="170" t="str">
        <f ca="1">IF(CELL("contenu",INDIRECT(ADDRESS(DG1,1,1,1,CELL("contenu",$B$2))))="","----",CELL("contenu",INDIRECT(ADDRESS(DG1,1,1,1,CELL("contenu",$B$2)))))</f>
        <v>DELHOMMAIS Adele</v>
      </c>
      <c r="DH2" s="168"/>
      <c r="DI2" s="168"/>
      <c r="DJ2" s="170"/>
      <c r="DK2" s="170"/>
      <c r="DL2" s="170"/>
      <c r="DM2" s="168"/>
      <c r="DN2" s="168"/>
      <c r="DO2" s="170"/>
      <c r="DP2" s="170"/>
      <c r="DQ2" s="170"/>
      <c r="DR2" s="168"/>
      <c r="DS2" s="168"/>
      <c r="DT2" s="168"/>
      <c r="DU2" s="170"/>
      <c r="DV2" s="170"/>
      <c r="DW2" s="170"/>
      <c r="DX2" s="197"/>
      <c r="DY2" s="170" t="str">
        <f ca="1">IF(CELL("contenu",INDIRECT(ADDRESS(DY1,1,1,1,CELL("contenu",$B$2))))="","----",CELL("contenu",INDIRECT(ADDRESS(DY1,1,1,1,CELL("contenu",$B$2)))))</f>
        <v>DEMOCRATE Louis</v>
      </c>
      <c r="DZ2" s="168"/>
      <c r="EA2" s="168"/>
      <c r="EB2" s="170"/>
      <c r="EC2" s="170"/>
      <c r="ED2" s="170"/>
      <c r="EE2" s="168"/>
      <c r="EF2" s="168"/>
      <c r="EG2" s="170"/>
      <c r="EH2" s="170"/>
      <c r="EI2" s="170"/>
      <c r="EJ2" s="168"/>
      <c r="EK2" s="168"/>
      <c r="EL2" s="168"/>
      <c r="EM2" s="170"/>
      <c r="EN2" s="170"/>
      <c r="EO2" s="170"/>
      <c r="EP2" s="197"/>
      <c r="EQ2" s="170" t="str">
        <f ca="1">IF(CELL("contenu",INDIRECT(ADDRESS(EQ1,1,1,1,CELL("contenu",$B$2))))="","----",CELL("contenu",INDIRECT(ADDRESS(EQ1,1,1,1,CELL("contenu",$B$2)))))</f>
        <v>DURAND Lucas</v>
      </c>
      <c r="ER2" s="168"/>
      <c r="ES2" s="168"/>
      <c r="ET2" s="170"/>
      <c r="EU2" s="170"/>
      <c r="EV2" s="170"/>
      <c r="EW2" s="168"/>
      <c r="EX2" s="168"/>
      <c r="EY2" s="170"/>
      <c r="EZ2" s="170"/>
      <c r="FA2" s="170"/>
      <c r="FB2" s="168"/>
      <c r="FC2" s="168"/>
      <c r="FD2" s="168"/>
      <c r="FE2" s="170"/>
      <c r="FF2" s="170"/>
      <c r="FG2" s="170"/>
      <c r="FH2" s="197"/>
      <c r="FI2" s="170" t="str">
        <f ca="1">IF(CELL("contenu",INDIRECT(ADDRESS(FI1,1,1,1,CELL("contenu",$B$2))))="","----",CELL("contenu",INDIRECT(ADDRESS(FI1,1,1,1,CELL("contenu",$B$2)))))</f>
        <v>GAUTIER Antoine</v>
      </c>
      <c r="FJ2" s="168"/>
      <c r="FK2" s="168"/>
      <c r="FL2" s="170"/>
      <c r="FM2" s="170"/>
      <c r="FN2" s="170"/>
      <c r="FO2" s="168"/>
      <c r="FP2" s="168"/>
      <c r="FQ2" s="170"/>
      <c r="FR2" s="170"/>
      <c r="FS2" s="170"/>
      <c r="FT2" s="168"/>
      <c r="FU2" s="168"/>
      <c r="FV2" s="168"/>
      <c r="FW2" s="170"/>
      <c r="FX2" s="170"/>
      <c r="FY2" s="170"/>
      <c r="FZ2" s="197"/>
      <c r="GA2" s="170" t="str">
        <f ca="1">IF(CELL("contenu",INDIRECT(ADDRESS(GA1,1,1,1,CELL("contenu",$B$2))))="","----",CELL("contenu",INDIRECT(ADDRESS(GA1,1,1,1,CELL("contenu",$B$2)))))</f>
        <v>JABOULEY Alois</v>
      </c>
      <c r="GB2" s="168"/>
      <c r="GC2" s="168"/>
      <c r="GD2" s="170"/>
      <c r="GE2" s="170"/>
      <c r="GF2" s="170"/>
      <c r="GG2" s="168"/>
      <c r="GH2" s="168"/>
      <c r="GI2" s="170"/>
      <c r="GJ2" s="170"/>
      <c r="GK2" s="170"/>
      <c r="GL2" s="168"/>
      <c r="GM2" s="168"/>
      <c r="GN2" s="168"/>
      <c r="GO2" s="170"/>
      <c r="GP2" s="170"/>
      <c r="GQ2" s="170"/>
      <c r="GR2" s="197"/>
      <c r="GS2" s="170" t="str">
        <f ca="1">IF(CELL("contenu",INDIRECT(ADDRESS(GS1,1,1,1,CELL("contenu",$B$2))))="","----",CELL("contenu",INDIRECT(ADDRESS(GS1,1,1,1,CELL("contenu",$B$2)))))</f>
        <v>LALLEMAND Andeol</v>
      </c>
      <c r="GT2" s="168"/>
      <c r="GU2" s="168"/>
      <c r="GV2" s="170"/>
      <c r="GW2" s="170"/>
      <c r="GX2" s="170"/>
      <c r="GY2" s="168"/>
      <c r="GZ2" s="168"/>
      <c r="HA2" s="170"/>
      <c r="HB2" s="170"/>
      <c r="HC2" s="170"/>
      <c r="HD2" s="168"/>
      <c r="HE2" s="168"/>
      <c r="HF2" s="168"/>
      <c r="HG2" s="170"/>
      <c r="HH2" s="170"/>
      <c r="HI2" s="170"/>
      <c r="HJ2" s="197"/>
      <c r="HK2" s="170" t="str">
        <f ca="1">IF(CELL("contenu",INDIRECT(ADDRESS(HK1,1,1,1,CELL("contenu",$B$2))))="","----",CELL("contenu",INDIRECT(ADDRESS(HK1,1,1,1,CELL("contenu",$B$2)))))</f>
        <v>LAVEIX Baudouin</v>
      </c>
      <c r="HL2" s="168"/>
      <c r="HM2" s="168"/>
      <c r="HN2" s="170"/>
      <c r="HO2" s="170"/>
      <c r="HP2" s="170"/>
      <c r="HQ2" s="168"/>
      <c r="HR2" s="168"/>
      <c r="HS2" s="170"/>
      <c r="HT2" s="170"/>
      <c r="HU2" s="170"/>
      <c r="HV2" s="168"/>
      <c r="HW2" s="168"/>
      <c r="HX2" s="168"/>
      <c r="HY2" s="170"/>
      <c r="HZ2" s="170"/>
      <c r="IA2" s="170"/>
      <c r="IB2" s="197"/>
      <c r="IC2" s="170" t="str">
        <f ca="1">IF(CELL("contenu",INDIRECT(ADDRESS(IC1,1,1,1,CELL("contenu",$B$2))))="","----",CELL("contenu",INDIRECT(ADDRESS(IC1,1,1,1,CELL("contenu",$B$2)))))</f>
        <v>LE BOLLOCH Arthur</v>
      </c>
      <c r="ID2" s="168"/>
      <c r="IE2" s="168"/>
      <c r="IF2" s="170"/>
      <c r="IG2" s="170"/>
      <c r="IH2" s="170"/>
      <c r="II2" s="168"/>
      <c r="IJ2" s="168"/>
      <c r="IK2" s="170"/>
      <c r="IL2" s="170"/>
      <c r="IM2" s="170"/>
      <c r="IN2" s="168"/>
      <c r="IO2" s="168"/>
      <c r="IP2" s="168"/>
      <c r="IQ2" s="170"/>
      <c r="IR2" s="170"/>
      <c r="IS2" s="170"/>
      <c r="IT2" s="197"/>
      <c r="IU2" s="170" t="str">
        <f ca="1">IF(CELL("contenu",INDIRECT(ADDRESS(IU1,1,1,1,CELL("contenu",$B$2))))="","----",CELL("contenu",INDIRECT(ADDRESS(IU1,1,1,1,CELL("contenu",$B$2)))))</f>
        <v>LEPRINCE Flavie</v>
      </c>
      <c r="IV2" s="168"/>
      <c r="IW2" s="168"/>
      <c r="IX2" s="170"/>
      <c r="IY2" s="170"/>
      <c r="IZ2" s="170"/>
      <c r="JA2" s="168"/>
      <c r="JB2" s="168"/>
      <c r="JC2" s="170"/>
      <c r="JD2" s="170"/>
      <c r="JE2" s="170"/>
      <c r="JF2" s="168"/>
      <c r="JG2" s="168"/>
      <c r="JH2" s="168"/>
      <c r="JI2" s="170"/>
      <c r="JJ2" s="170"/>
      <c r="JK2" s="170"/>
      <c r="JL2" s="197"/>
      <c r="JM2" s="170" t="str">
        <f ca="1">IF(CELL("contenu",INDIRECT(ADDRESS(JM1,1,1,1,CELL("contenu",$B$2))))="","----",CELL("contenu",INDIRECT(ADDRESS(JM1,1,1,1,CELL("contenu",$B$2)))))</f>
        <v>LHOTELLIER Louise-Gabrielle</v>
      </c>
      <c r="JN2" s="168"/>
      <c r="JO2" s="168"/>
      <c r="JP2" s="170"/>
      <c r="JQ2" s="170"/>
      <c r="JR2" s="170"/>
      <c r="JS2" s="168"/>
      <c r="JT2" s="168"/>
      <c r="JU2" s="170"/>
      <c r="JV2" s="170"/>
      <c r="JW2" s="170"/>
      <c r="JX2" s="168"/>
      <c r="JY2" s="168"/>
      <c r="JZ2" s="168"/>
      <c r="KA2" s="170"/>
      <c r="KB2" s="170"/>
      <c r="KC2" s="170"/>
      <c r="KD2" s="197"/>
      <c r="KE2" s="170" t="str">
        <f ca="1">IF(CELL("contenu",INDIRECT(ADDRESS(KE1,1,1,1,CELL("contenu",$B$2))))="","----",CELL("contenu",INDIRECT(ADDRESS(KE1,1,1,1,CELL("contenu",$B$2)))))</f>
        <v>LIMET Oriane</v>
      </c>
      <c r="KF2" s="168"/>
      <c r="KG2" s="168"/>
      <c r="KH2" s="170"/>
      <c r="KI2" s="170"/>
      <c r="KJ2" s="170"/>
      <c r="KK2" s="168"/>
      <c r="KL2" s="168"/>
      <c r="KM2" s="170"/>
      <c r="KN2" s="170"/>
      <c r="KO2" s="170"/>
      <c r="KP2" s="168"/>
      <c r="KQ2" s="168"/>
      <c r="KR2" s="168"/>
      <c r="KS2" s="170"/>
      <c r="KT2" s="170"/>
      <c r="KU2" s="170"/>
      <c r="KV2" s="197"/>
      <c r="KW2" s="170" t="str">
        <f ca="1">IF(CELL("contenu",INDIRECT(ADDRESS(KW1,1,1,1,CELL("contenu",$B$2))))="","----",CELL("contenu",INDIRECT(ADDRESS(KW1,1,1,1,CELL("contenu",$B$2)))))</f>
        <v>MAROIS Aurelien</v>
      </c>
      <c r="KX2" s="168"/>
      <c r="KY2" s="168"/>
      <c r="KZ2" s="170"/>
      <c r="LA2" s="170"/>
      <c r="LB2" s="170"/>
      <c r="LC2" s="168"/>
      <c r="LD2" s="168"/>
      <c r="LE2" s="170"/>
      <c r="LF2" s="170"/>
      <c r="LG2" s="170"/>
      <c r="LH2" s="168"/>
      <c r="LI2" s="168"/>
      <c r="LJ2" s="168"/>
      <c r="LK2" s="170"/>
      <c r="LL2" s="170"/>
      <c r="LM2" s="170"/>
      <c r="LN2" s="197"/>
      <c r="LO2" s="170" t="str">
        <f ca="1">IF(CELL("contenu",INDIRECT(ADDRESS(LO1,1,1,1,CELL("contenu",$B$2))))="","----",CELL("contenu",INDIRECT(ADDRESS(LO1,1,1,1,CELL("contenu",$B$2)))))</f>
        <v>MARXUACH Camille</v>
      </c>
      <c r="LP2" s="168"/>
      <c r="LQ2" s="168"/>
      <c r="LR2" s="170"/>
      <c r="LS2" s="170"/>
      <c r="LT2" s="170"/>
      <c r="LU2" s="168"/>
      <c r="LV2" s="168"/>
      <c r="LW2" s="170"/>
      <c r="LX2" s="170"/>
      <c r="LY2" s="170"/>
      <c r="LZ2" s="168"/>
      <c r="MA2" s="168"/>
      <c r="MB2" s="168"/>
      <c r="MC2" s="170"/>
      <c r="MD2" s="170"/>
      <c r="ME2" s="170"/>
      <c r="MF2" s="197"/>
      <c r="MG2" s="170" t="str">
        <f ca="1">IF(CELL("contenu",INDIRECT(ADDRESS(MG1,1,1,1,CELL("contenu",$B$2))))="","----",CELL("contenu",INDIRECT(ADDRESS(MG1,1,1,1,CELL("contenu",$B$2)))))</f>
        <v>MORIN Maylis</v>
      </c>
      <c r="MH2" s="168"/>
      <c r="MI2" s="168"/>
      <c r="MJ2" s="170"/>
      <c r="MK2" s="170"/>
      <c r="ML2" s="170"/>
      <c r="MM2" s="168"/>
      <c r="MN2" s="168"/>
      <c r="MO2" s="170"/>
      <c r="MP2" s="170"/>
      <c r="MQ2" s="170"/>
      <c r="MR2" s="168"/>
      <c r="MS2" s="168"/>
      <c r="MT2" s="168"/>
      <c r="MU2" s="170"/>
      <c r="MV2" s="170"/>
      <c r="MW2" s="170"/>
      <c r="MX2" s="197"/>
      <c r="MY2" s="170" t="str">
        <f ca="1">IF(CELL("contenu",INDIRECT(ADDRESS(MY1,1,1,1,CELL("contenu",$B$2))))="","----",CELL("contenu",INDIRECT(ADDRESS(MY1,1,1,1,CELL("contenu",$B$2)))))</f>
        <v>PATRIA Thomas</v>
      </c>
      <c r="MZ2" s="168"/>
      <c r="NA2" s="168"/>
      <c r="NB2" s="170"/>
      <c r="NC2" s="170"/>
      <c r="ND2" s="170"/>
      <c r="NE2" s="168"/>
      <c r="NF2" s="168"/>
      <c r="NG2" s="170"/>
      <c r="NH2" s="170"/>
      <c r="NI2" s="170"/>
      <c r="NJ2" s="168"/>
      <c r="NK2" s="168"/>
      <c r="NL2" s="168"/>
      <c r="NM2" s="170"/>
      <c r="NN2" s="170"/>
      <c r="NO2" s="170"/>
      <c r="NP2" s="197"/>
      <c r="NQ2" s="170" t="str">
        <f ca="1">IF(CELL("contenu",INDIRECT(ADDRESS(NQ1,1,1,1,CELL("contenu",$B$2))))="","----",CELL("contenu",INDIRECT(ADDRESS(NQ1,1,1,1,CELL("contenu",$B$2)))))</f>
        <v>POUJADE Heloise</v>
      </c>
      <c r="NR2" s="168"/>
      <c r="NS2" s="168"/>
      <c r="NT2" s="170"/>
      <c r="NU2" s="170"/>
      <c r="NV2" s="170"/>
      <c r="NW2" s="168"/>
      <c r="NX2" s="168"/>
      <c r="NY2" s="170"/>
      <c r="NZ2" s="170"/>
      <c r="OA2" s="170"/>
      <c r="OB2" s="168"/>
      <c r="OC2" s="168"/>
      <c r="OD2" s="168"/>
      <c r="OE2" s="170"/>
      <c r="OF2" s="170"/>
      <c r="OG2" s="170"/>
      <c r="OH2" s="197"/>
      <c r="OI2" s="170" t="str">
        <f ca="1">IF(CELL("contenu",INDIRECT(ADDRESS(OI1,1,1,1,CELL("contenu",$B$2))))="","----",CELL("contenu",INDIRECT(ADDRESS(OI1,1,1,1,CELL("contenu",$B$2)))))</f>
        <v>RETHORE Charles</v>
      </c>
      <c r="OJ2" s="168"/>
      <c r="OK2" s="168"/>
      <c r="OL2" s="170"/>
      <c r="OM2" s="170"/>
      <c r="ON2" s="170"/>
      <c r="OO2" s="168"/>
      <c r="OP2" s="168"/>
      <c r="OQ2" s="170"/>
      <c r="OR2" s="170"/>
      <c r="OS2" s="170"/>
      <c r="OT2" s="168"/>
      <c r="OU2" s="168"/>
      <c r="OV2" s="168"/>
      <c r="OW2" s="170"/>
      <c r="OX2" s="170"/>
      <c r="OY2" s="170"/>
      <c r="OZ2" s="197"/>
      <c r="PA2" s="170" t="str">
        <f ca="1">IF(CELL("contenu",INDIRECT(ADDRESS(PA1,1,1,1,CELL("contenu",$B$2))))="","----",CELL("contenu",INDIRECT(ADDRESS(PA1,1,1,1,CELL("contenu",$B$2)))))</f>
        <v>ROSIER Timothe</v>
      </c>
      <c r="PB2" s="168"/>
      <c r="PC2" s="168"/>
      <c r="PD2" s="170"/>
      <c r="PE2" s="170"/>
      <c r="PF2" s="170"/>
      <c r="PG2" s="168"/>
      <c r="PH2" s="168"/>
      <c r="PI2" s="170"/>
      <c r="PJ2" s="170"/>
      <c r="PK2" s="170"/>
      <c r="PL2" s="168"/>
      <c r="PM2" s="168"/>
      <c r="PN2" s="168"/>
      <c r="PO2" s="170"/>
      <c r="PP2" s="170"/>
      <c r="PQ2" s="170"/>
      <c r="PR2" s="197"/>
      <c r="PS2" s="170" t="str">
        <f ca="1">IF(CELL("contenu",INDIRECT(ADDRESS(PS1,1,1,1,CELL("contenu",$B$2))))="","----",CELL("contenu",INDIRECT(ADDRESS(PS1,1,1,1,CELL("contenu",$B$2)))))</f>
        <v>ROY-MATSUI Valentin-Tomoki</v>
      </c>
      <c r="PT2" s="168"/>
      <c r="PU2" s="168"/>
      <c r="PV2" s="170"/>
      <c r="PW2" s="170"/>
      <c r="PX2" s="170"/>
      <c r="PY2" s="168"/>
      <c r="PZ2" s="168"/>
      <c r="QA2" s="170"/>
      <c r="QB2" s="170"/>
      <c r="QC2" s="170"/>
      <c r="QD2" s="168"/>
      <c r="QE2" s="168"/>
      <c r="QF2" s="168"/>
      <c r="QG2" s="170"/>
      <c r="QH2" s="170"/>
      <c r="QI2" s="170"/>
      <c r="QJ2" s="197"/>
      <c r="QK2" s="170" t="str">
        <f ca="1">IF(CELL("contenu",INDIRECT(ADDRESS(QK1,1,1,1,CELL("contenu",$B$2))))="","----",CELL("contenu",INDIRECT(ADDRESS(QK1,1,1,1,CELL("contenu",$B$2)))))</f>
        <v>SCELSA Aurora</v>
      </c>
      <c r="QL2" s="168"/>
      <c r="QM2" s="168"/>
      <c r="QN2" s="170"/>
      <c r="QO2" s="170"/>
      <c r="QP2" s="170"/>
      <c r="QQ2" s="168"/>
      <c r="QR2" s="168"/>
      <c r="QS2" s="170"/>
      <c r="QT2" s="170"/>
      <c r="QU2" s="170"/>
      <c r="QV2" s="168"/>
      <c r="QW2" s="168"/>
      <c r="QX2" s="168"/>
      <c r="QY2" s="170"/>
      <c r="QZ2" s="170"/>
      <c r="RA2" s="170"/>
      <c r="RB2" s="197"/>
      <c r="RC2" s="170" t="str">
        <f ca="1">IF(CELL("contenu",INDIRECT(ADDRESS(RC1,1,1,1,CELL("contenu",$B$2))))="","----",CELL("contenu",INDIRECT(ADDRESS(RC1,1,1,1,CELL("contenu",$B$2)))))</f>
        <v>SOURDIAUCOURT Clement</v>
      </c>
      <c r="RD2" s="168"/>
      <c r="RE2" s="168"/>
      <c r="RF2" s="170"/>
      <c r="RG2" s="170"/>
      <c r="RH2" s="170"/>
      <c r="RI2" s="168"/>
      <c r="RJ2" s="168"/>
      <c r="RK2" s="170"/>
      <c r="RL2" s="170"/>
      <c r="RM2" s="170"/>
      <c r="RN2" s="168"/>
      <c r="RO2" s="168"/>
      <c r="RP2" s="168"/>
      <c r="RQ2" s="170"/>
      <c r="RR2" s="170"/>
      <c r="RS2" s="170"/>
      <c r="RT2" s="197"/>
      <c r="RU2" s="170" t="str">
        <f ca="1">IF(CELL("contenu",INDIRECT(ADDRESS(RU1,1,1,1,CELL("contenu",$B$2))))="","----",CELL("contenu",INDIRECT(ADDRESS(RU1,1,1,1,CELL("contenu",$B$2)))))</f>
        <v>THELLIER Prune</v>
      </c>
      <c r="RV2" s="168"/>
      <c r="RW2" s="168"/>
      <c r="RX2" s="170"/>
      <c r="RY2" s="170"/>
      <c r="RZ2" s="170"/>
      <c r="SA2" s="168"/>
      <c r="SB2" s="168"/>
      <c r="SC2" s="170"/>
      <c r="SD2" s="170"/>
      <c r="SE2" s="170"/>
      <c r="SF2" s="168"/>
      <c r="SG2" s="168"/>
      <c r="SH2" s="168"/>
      <c r="SI2" s="170"/>
      <c r="SJ2" s="170"/>
      <c r="SK2" s="170"/>
      <c r="SL2" s="197"/>
      <c r="SM2" s="170" t="str">
        <f ca="1">IF(CELL("contenu",INDIRECT(ADDRESS(SM1,1,1,1,CELL("contenu",$B$2))))="","----",CELL("contenu",INDIRECT(ADDRESS(SM1,1,1,1,CELL("contenu",$B$2)))))</f>
        <v>VRAIN Penelope</v>
      </c>
      <c r="SN2" s="168"/>
      <c r="SO2" s="168"/>
      <c r="SP2" s="170"/>
      <c r="SQ2" s="170"/>
      <c r="SR2" s="170"/>
      <c r="SS2" s="168"/>
      <c r="ST2" s="168"/>
      <c r="SU2" s="170"/>
      <c r="SV2" s="170"/>
      <c r="SW2" s="170"/>
      <c r="SX2" s="168"/>
      <c r="SY2" s="168"/>
      <c r="SZ2" s="168"/>
      <c r="TA2" s="170"/>
      <c r="TB2" s="170"/>
      <c r="TC2" s="170"/>
      <c r="TD2" s="197"/>
      <c r="TE2" s="170" t="str">
        <f ca="1">IF(CELL("contenu",INDIRECT(ADDRESS(TE1,1,1,1,CELL("contenu",$B$2))))="","----",CELL("contenu",INDIRECT(ADDRESS(TE1,1,1,1,CELL("contenu",$B$2)))))</f>
        <v>WAYNBERGER Paul</v>
      </c>
      <c r="TF2" s="168"/>
      <c r="TG2" s="168"/>
      <c r="TH2" s="170"/>
      <c r="TI2" s="170"/>
      <c r="TJ2" s="170"/>
      <c r="TK2" s="168"/>
      <c r="TL2" s="168"/>
      <c r="TM2" s="170"/>
      <c r="TN2" s="170"/>
      <c r="TO2" s="170"/>
      <c r="TP2" s="168"/>
      <c r="TQ2" s="168"/>
      <c r="TR2" s="168"/>
      <c r="TS2" s="170"/>
      <c r="TT2" s="170"/>
      <c r="TU2" s="170"/>
      <c r="TV2" s="197"/>
    </row>
    <row r="3" spans="1:542" ht="60" customHeight="1" thickBot="1" x14ac:dyDescent="0.3">
      <c r="A3" s="161"/>
      <c r="B3" s="162" t="s">
        <v>34</v>
      </c>
      <c r="C3" s="86" t="s">
        <v>204</v>
      </c>
      <c r="D3" s="87" t="s">
        <v>203</v>
      </c>
      <c r="E3" s="88"/>
      <c r="F3" s="176" t="s">
        <v>7</v>
      </c>
      <c r="G3" s="177"/>
      <c r="H3" s="86" t="s">
        <v>207</v>
      </c>
      <c r="I3" s="91" t="s">
        <v>209</v>
      </c>
      <c r="J3" s="88" t="s">
        <v>212</v>
      </c>
      <c r="K3" s="192" t="s">
        <v>8</v>
      </c>
      <c r="L3" s="193"/>
      <c r="M3" s="86" t="s">
        <v>215</v>
      </c>
      <c r="N3" s="91" t="s">
        <v>216</v>
      </c>
      <c r="O3" s="88" t="s">
        <v>217</v>
      </c>
      <c r="P3" s="88" t="s">
        <v>219</v>
      </c>
      <c r="Q3" s="198" t="s">
        <v>9</v>
      </c>
      <c r="R3" s="199"/>
      <c r="S3" s="200" t="s">
        <v>10</v>
      </c>
      <c r="T3" s="201"/>
      <c r="U3" s="98" t="str">
        <f>IF(C3="","",C3)</f>
        <v>Fiche CH4/4</v>
      </c>
      <c r="V3" s="99" t="str">
        <f>IF(D3="","",D3)</f>
        <v>EVAL CH4</v>
      </c>
      <c r="W3" s="100" t="str">
        <f>IF(E3="","",E3)</f>
        <v/>
      </c>
      <c r="X3" s="176" t="s">
        <v>7</v>
      </c>
      <c r="Y3" s="177"/>
      <c r="Z3" s="101" t="str">
        <f>IF(H3="","",H3)</f>
        <v>fiche CH5/1</v>
      </c>
      <c r="AA3" s="99" t="str">
        <f>IF(I3="","",I3)</f>
        <v>fiche CH5/3</v>
      </c>
      <c r="AB3" s="216" t="str">
        <f>IF(J3="","",J3)</f>
        <v>Eval CH5</v>
      </c>
      <c r="AC3" s="192" t="s">
        <v>8</v>
      </c>
      <c r="AD3" s="193"/>
      <c r="AE3" s="101" t="str">
        <f>IF(M3="","",M3)</f>
        <v>Eval O1 O2</v>
      </c>
      <c r="AF3" s="99" t="str">
        <f>IF(N3="","",N3)</f>
        <v>Fiche CH6/1</v>
      </c>
      <c r="AG3" s="216" t="str">
        <f>IF(O3="","",O3)</f>
        <v>fiche CH6/2</v>
      </c>
      <c r="AH3" s="100" t="str">
        <f>IF(P3="","",P3)</f>
        <v>Eval CH6 CH7</v>
      </c>
      <c r="AI3" s="198" t="s">
        <v>9</v>
      </c>
      <c r="AJ3" s="199"/>
      <c r="AK3" s="200" t="s">
        <v>10</v>
      </c>
      <c r="AL3" s="201"/>
      <c r="AM3" s="98" t="str">
        <f>IF(U3="","",U3)</f>
        <v>Fiche CH4/4</v>
      </c>
      <c r="AN3" s="99" t="str">
        <f>IF(V3="","",V3)</f>
        <v>EVAL CH4</v>
      </c>
      <c r="AO3" s="100" t="str">
        <f>IF(W3="","",W3)</f>
        <v/>
      </c>
      <c r="AP3" s="176" t="s">
        <v>7</v>
      </c>
      <c r="AQ3" s="177"/>
      <c r="AR3" s="101" t="str">
        <f>IF(Z3="","",Z3)</f>
        <v>fiche CH5/1</v>
      </c>
      <c r="AS3" s="99" t="str">
        <f>IF(AA3="","",AA3)</f>
        <v>fiche CH5/3</v>
      </c>
      <c r="AT3" s="216" t="str">
        <f>IF(AB3="","",AB3)</f>
        <v>Eval CH5</v>
      </c>
      <c r="AU3" s="192" t="s">
        <v>8</v>
      </c>
      <c r="AV3" s="193"/>
      <c r="AW3" s="101" t="str">
        <f>IF(AE3="","",AE3)</f>
        <v>Eval O1 O2</v>
      </c>
      <c r="AX3" s="99" t="str">
        <f>IF(AF3="","",AF3)</f>
        <v>Fiche CH6/1</v>
      </c>
      <c r="AY3" s="216" t="str">
        <f>IF(AG3="","",AG3)</f>
        <v>fiche CH6/2</v>
      </c>
      <c r="AZ3" s="100" t="str">
        <f>IF(AH3="","",AH3)</f>
        <v>Eval CH6 CH7</v>
      </c>
      <c r="BA3" s="198" t="s">
        <v>9</v>
      </c>
      <c r="BB3" s="199"/>
      <c r="BC3" s="200" t="s">
        <v>10</v>
      </c>
      <c r="BD3" s="201"/>
      <c r="BE3" s="98" t="str">
        <f>IF(AM3="","",AM3)</f>
        <v>Fiche CH4/4</v>
      </c>
      <c r="BF3" s="99" t="str">
        <f>IF(AN3="","",AN3)</f>
        <v>EVAL CH4</v>
      </c>
      <c r="BG3" s="100" t="str">
        <f>IF(AO3="","",AO3)</f>
        <v/>
      </c>
      <c r="BH3" s="176" t="s">
        <v>7</v>
      </c>
      <c r="BI3" s="177"/>
      <c r="BJ3" s="101" t="str">
        <f>IF(AR3="","",AR3)</f>
        <v>fiche CH5/1</v>
      </c>
      <c r="BK3" s="99" t="str">
        <f>IF(AS3="","",AS3)</f>
        <v>fiche CH5/3</v>
      </c>
      <c r="BL3" s="216" t="str">
        <f>IF(AT3="","",AT3)</f>
        <v>Eval CH5</v>
      </c>
      <c r="BM3" s="192" t="s">
        <v>8</v>
      </c>
      <c r="BN3" s="193"/>
      <c r="BO3" s="101" t="str">
        <f>IF(AW3="","",AW3)</f>
        <v>Eval O1 O2</v>
      </c>
      <c r="BP3" s="99" t="str">
        <f>IF(AX3="","",AX3)</f>
        <v>Fiche CH6/1</v>
      </c>
      <c r="BQ3" s="216" t="str">
        <f>IF(AY3="","",AY3)</f>
        <v>fiche CH6/2</v>
      </c>
      <c r="BR3" s="100" t="str">
        <f>IF(AZ3="","",AZ3)</f>
        <v>Eval CH6 CH7</v>
      </c>
      <c r="BS3" s="198" t="s">
        <v>9</v>
      </c>
      <c r="BT3" s="199"/>
      <c r="BU3" s="200" t="s">
        <v>10</v>
      </c>
      <c r="BV3" s="201"/>
      <c r="BW3" s="98" t="str">
        <f>IF(BE3="","",BE3)</f>
        <v>Fiche CH4/4</v>
      </c>
      <c r="BX3" s="99" t="str">
        <f>IF(BF3="","",BF3)</f>
        <v>EVAL CH4</v>
      </c>
      <c r="BY3" s="100" t="str">
        <f>IF(BG3="","",BG3)</f>
        <v/>
      </c>
      <c r="BZ3" s="176" t="s">
        <v>7</v>
      </c>
      <c r="CA3" s="177"/>
      <c r="CB3" s="101" t="str">
        <f>IF(BJ3="","",BJ3)</f>
        <v>fiche CH5/1</v>
      </c>
      <c r="CC3" s="99" t="str">
        <f>IF(BK3="","",BK3)</f>
        <v>fiche CH5/3</v>
      </c>
      <c r="CD3" s="216" t="str">
        <f>IF(BL3="","",BL3)</f>
        <v>Eval CH5</v>
      </c>
      <c r="CE3" s="192" t="s">
        <v>8</v>
      </c>
      <c r="CF3" s="193"/>
      <c r="CG3" s="101" t="str">
        <f>IF(BO3="","",BO3)</f>
        <v>Eval O1 O2</v>
      </c>
      <c r="CH3" s="99" t="str">
        <f>IF(BP3="","",BP3)</f>
        <v>Fiche CH6/1</v>
      </c>
      <c r="CI3" s="216" t="str">
        <f>IF(BQ3="","",BQ3)</f>
        <v>fiche CH6/2</v>
      </c>
      <c r="CJ3" s="100" t="str">
        <f>IF(BR3="","",BR3)</f>
        <v>Eval CH6 CH7</v>
      </c>
      <c r="CK3" s="198" t="s">
        <v>9</v>
      </c>
      <c r="CL3" s="199"/>
      <c r="CM3" s="200" t="s">
        <v>10</v>
      </c>
      <c r="CN3" s="201"/>
      <c r="CO3" s="98" t="str">
        <f>IF(BW3="","",BW3)</f>
        <v>Fiche CH4/4</v>
      </c>
      <c r="CP3" s="99" t="str">
        <f>IF(BX3="","",BX3)</f>
        <v>EVAL CH4</v>
      </c>
      <c r="CQ3" s="100" t="str">
        <f>IF(BY3="","",BY3)</f>
        <v/>
      </c>
      <c r="CR3" s="176" t="s">
        <v>7</v>
      </c>
      <c r="CS3" s="177"/>
      <c r="CT3" s="101" t="str">
        <f>IF(CB3="","",CB3)</f>
        <v>fiche CH5/1</v>
      </c>
      <c r="CU3" s="99" t="str">
        <f>IF(CC3="","",CC3)</f>
        <v>fiche CH5/3</v>
      </c>
      <c r="CV3" s="216" t="str">
        <f>IF(CD3="","",CD3)</f>
        <v>Eval CH5</v>
      </c>
      <c r="CW3" s="192" t="s">
        <v>8</v>
      </c>
      <c r="CX3" s="193"/>
      <c r="CY3" s="101" t="str">
        <f>IF(CG3="","",CG3)</f>
        <v>Eval O1 O2</v>
      </c>
      <c r="CZ3" s="99" t="str">
        <f>IF(CH3="","",CH3)</f>
        <v>Fiche CH6/1</v>
      </c>
      <c r="DA3" s="216" t="str">
        <f>IF(CI3="","",CI3)</f>
        <v>fiche CH6/2</v>
      </c>
      <c r="DB3" s="100" t="str">
        <f>IF(CJ3="","",CJ3)</f>
        <v>Eval CH6 CH7</v>
      </c>
      <c r="DC3" s="198" t="s">
        <v>9</v>
      </c>
      <c r="DD3" s="199"/>
      <c r="DE3" s="200" t="s">
        <v>10</v>
      </c>
      <c r="DF3" s="201"/>
      <c r="DG3" s="98" t="str">
        <f>IF(CO3="","",CO3)</f>
        <v>Fiche CH4/4</v>
      </c>
      <c r="DH3" s="99" t="str">
        <f>IF(CP3="","",CP3)</f>
        <v>EVAL CH4</v>
      </c>
      <c r="DI3" s="100" t="str">
        <f>IF(CQ3="","",CQ3)</f>
        <v/>
      </c>
      <c r="DJ3" s="176" t="s">
        <v>7</v>
      </c>
      <c r="DK3" s="177"/>
      <c r="DL3" s="101" t="str">
        <f>IF(CT3="","",CT3)</f>
        <v>fiche CH5/1</v>
      </c>
      <c r="DM3" s="99" t="str">
        <f>IF(CU3="","",CU3)</f>
        <v>fiche CH5/3</v>
      </c>
      <c r="DN3" s="216" t="str">
        <f>IF(CV3="","",CV3)</f>
        <v>Eval CH5</v>
      </c>
      <c r="DO3" s="192" t="s">
        <v>8</v>
      </c>
      <c r="DP3" s="193"/>
      <c r="DQ3" s="101" t="str">
        <f>IF(CY3="","",CY3)</f>
        <v>Eval O1 O2</v>
      </c>
      <c r="DR3" s="99" t="str">
        <f>IF(CZ3="","",CZ3)</f>
        <v>Fiche CH6/1</v>
      </c>
      <c r="DS3" s="216" t="str">
        <f>IF(DA3="","",DA3)</f>
        <v>fiche CH6/2</v>
      </c>
      <c r="DT3" s="100" t="str">
        <f>IF(DB3="","",DB3)</f>
        <v>Eval CH6 CH7</v>
      </c>
      <c r="DU3" s="198" t="s">
        <v>9</v>
      </c>
      <c r="DV3" s="199"/>
      <c r="DW3" s="200" t="s">
        <v>10</v>
      </c>
      <c r="DX3" s="201"/>
      <c r="DY3" s="98" t="str">
        <f>IF(DG3="","",DG3)</f>
        <v>Fiche CH4/4</v>
      </c>
      <c r="DZ3" s="99" t="str">
        <f>IF(DH3="","",DH3)</f>
        <v>EVAL CH4</v>
      </c>
      <c r="EA3" s="100" t="str">
        <f>IF(DI3="","",DI3)</f>
        <v/>
      </c>
      <c r="EB3" s="176" t="s">
        <v>7</v>
      </c>
      <c r="EC3" s="177"/>
      <c r="ED3" s="101" t="str">
        <f>IF(DL3="","",DL3)</f>
        <v>fiche CH5/1</v>
      </c>
      <c r="EE3" s="99" t="str">
        <f>IF(DM3="","",DM3)</f>
        <v>fiche CH5/3</v>
      </c>
      <c r="EF3" s="216" t="str">
        <f>IF(DN3="","",DN3)</f>
        <v>Eval CH5</v>
      </c>
      <c r="EG3" s="192" t="s">
        <v>8</v>
      </c>
      <c r="EH3" s="193"/>
      <c r="EI3" s="101" t="str">
        <f>IF(DQ3="","",DQ3)</f>
        <v>Eval O1 O2</v>
      </c>
      <c r="EJ3" s="99" t="str">
        <f>IF(DR3="","",DR3)</f>
        <v>Fiche CH6/1</v>
      </c>
      <c r="EK3" s="216" t="str">
        <f>IF(DS3="","",DS3)</f>
        <v>fiche CH6/2</v>
      </c>
      <c r="EL3" s="100" t="str">
        <f>IF(DT3="","",DT3)</f>
        <v>Eval CH6 CH7</v>
      </c>
      <c r="EM3" s="198" t="s">
        <v>9</v>
      </c>
      <c r="EN3" s="199"/>
      <c r="EO3" s="200" t="s">
        <v>10</v>
      </c>
      <c r="EP3" s="201"/>
      <c r="EQ3" s="98" t="str">
        <f>IF(DY3="","",DY3)</f>
        <v>Fiche CH4/4</v>
      </c>
      <c r="ER3" s="99" t="str">
        <f>IF(DZ3="","",DZ3)</f>
        <v>EVAL CH4</v>
      </c>
      <c r="ES3" s="100" t="str">
        <f>IF(EA3="","",EA3)</f>
        <v/>
      </c>
      <c r="ET3" s="176" t="s">
        <v>7</v>
      </c>
      <c r="EU3" s="177"/>
      <c r="EV3" s="101" t="str">
        <f>IF(ED3="","",ED3)</f>
        <v>fiche CH5/1</v>
      </c>
      <c r="EW3" s="99" t="str">
        <f>IF(EE3="","",EE3)</f>
        <v>fiche CH5/3</v>
      </c>
      <c r="EX3" s="216" t="str">
        <f>IF(EF3="","",EF3)</f>
        <v>Eval CH5</v>
      </c>
      <c r="EY3" s="192" t="s">
        <v>8</v>
      </c>
      <c r="EZ3" s="193"/>
      <c r="FA3" s="101" t="str">
        <f>IF(EI3="","",EI3)</f>
        <v>Eval O1 O2</v>
      </c>
      <c r="FB3" s="99" t="str">
        <f>IF(EJ3="","",EJ3)</f>
        <v>Fiche CH6/1</v>
      </c>
      <c r="FC3" s="216" t="str">
        <f>IF(EK3="","",EK3)</f>
        <v>fiche CH6/2</v>
      </c>
      <c r="FD3" s="100" t="str">
        <f>IF(EL3="","",EL3)</f>
        <v>Eval CH6 CH7</v>
      </c>
      <c r="FE3" s="198" t="s">
        <v>9</v>
      </c>
      <c r="FF3" s="199"/>
      <c r="FG3" s="200" t="s">
        <v>10</v>
      </c>
      <c r="FH3" s="201"/>
      <c r="FI3" s="98" t="str">
        <f>IF(EQ3="","",EQ3)</f>
        <v>Fiche CH4/4</v>
      </c>
      <c r="FJ3" s="99" t="str">
        <f>IF(ER3="","",ER3)</f>
        <v>EVAL CH4</v>
      </c>
      <c r="FK3" s="100" t="str">
        <f>IF(ES3="","",ES3)</f>
        <v/>
      </c>
      <c r="FL3" s="176" t="s">
        <v>7</v>
      </c>
      <c r="FM3" s="177"/>
      <c r="FN3" s="101" t="str">
        <f>IF(EV3="","",EV3)</f>
        <v>fiche CH5/1</v>
      </c>
      <c r="FO3" s="99" t="str">
        <f>IF(EW3="","",EW3)</f>
        <v>fiche CH5/3</v>
      </c>
      <c r="FP3" s="216" t="str">
        <f>IF(EX3="","",EX3)</f>
        <v>Eval CH5</v>
      </c>
      <c r="FQ3" s="192" t="s">
        <v>8</v>
      </c>
      <c r="FR3" s="193"/>
      <c r="FS3" s="101" t="str">
        <f>IF(FA3="","",FA3)</f>
        <v>Eval O1 O2</v>
      </c>
      <c r="FT3" s="99" t="str">
        <f>IF(FB3="","",FB3)</f>
        <v>Fiche CH6/1</v>
      </c>
      <c r="FU3" s="216" t="str">
        <f>IF(FC3="","",FC3)</f>
        <v>fiche CH6/2</v>
      </c>
      <c r="FV3" s="100" t="str">
        <f>IF(FD3="","",FD3)</f>
        <v>Eval CH6 CH7</v>
      </c>
      <c r="FW3" s="198" t="s">
        <v>9</v>
      </c>
      <c r="FX3" s="199"/>
      <c r="FY3" s="200" t="s">
        <v>10</v>
      </c>
      <c r="FZ3" s="201"/>
      <c r="GA3" s="98" t="str">
        <f>IF(FI3="","",FI3)</f>
        <v>Fiche CH4/4</v>
      </c>
      <c r="GB3" s="99" t="str">
        <f>IF(FJ3="","",FJ3)</f>
        <v>EVAL CH4</v>
      </c>
      <c r="GC3" s="100" t="str">
        <f>IF(FK3="","",FK3)</f>
        <v/>
      </c>
      <c r="GD3" s="176" t="s">
        <v>7</v>
      </c>
      <c r="GE3" s="177"/>
      <c r="GF3" s="101" t="str">
        <f>IF(FN3="","",FN3)</f>
        <v>fiche CH5/1</v>
      </c>
      <c r="GG3" s="99" t="str">
        <f>IF(FO3="","",FO3)</f>
        <v>fiche CH5/3</v>
      </c>
      <c r="GH3" s="216" t="str">
        <f>IF(FP3="","",FP3)</f>
        <v>Eval CH5</v>
      </c>
      <c r="GI3" s="192" t="s">
        <v>8</v>
      </c>
      <c r="GJ3" s="193"/>
      <c r="GK3" s="101" t="str">
        <f>IF(FS3="","",FS3)</f>
        <v>Eval O1 O2</v>
      </c>
      <c r="GL3" s="99" t="str">
        <f>IF(FT3="","",FT3)</f>
        <v>Fiche CH6/1</v>
      </c>
      <c r="GM3" s="216" t="str">
        <f>IF(FU3="","",FU3)</f>
        <v>fiche CH6/2</v>
      </c>
      <c r="GN3" s="100" t="str">
        <f>IF(FV3="","",FV3)</f>
        <v>Eval CH6 CH7</v>
      </c>
      <c r="GO3" s="198" t="s">
        <v>9</v>
      </c>
      <c r="GP3" s="199"/>
      <c r="GQ3" s="200" t="s">
        <v>10</v>
      </c>
      <c r="GR3" s="201"/>
      <c r="GS3" s="98" t="str">
        <f>IF(GA3="","",GA3)</f>
        <v>Fiche CH4/4</v>
      </c>
      <c r="GT3" s="99" t="str">
        <f>IF(GB3="","",GB3)</f>
        <v>EVAL CH4</v>
      </c>
      <c r="GU3" s="100" t="str">
        <f>IF(GC3="","",GC3)</f>
        <v/>
      </c>
      <c r="GV3" s="176" t="s">
        <v>7</v>
      </c>
      <c r="GW3" s="177"/>
      <c r="GX3" s="101" t="str">
        <f>IF(GF3="","",GF3)</f>
        <v>fiche CH5/1</v>
      </c>
      <c r="GY3" s="99" t="str">
        <f>IF(GG3="","",GG3)</f>
        <v>fiche CH5/3</v>
      </c>
      <c r="GZ3" s="216" t="str">
        <f>IF(GH3="","",GH3)</f>
        <v>Eval CH5</v>
      </c>
      <c r="HA3" s="192" t="s">
        <v>8</v>
      </c>
      <c r="HB3" s="193"/>
      <c r="HC3" s="101" t="str">
        <f>IF(GK3="","",GK3)</f>
        <v>Eval O1 O2</v>
      </c>
      <c r="HD3" s="99" t="str">
        <f>IF(GL3="","",GL3)</f>
        <v>Fiche CH6/1</v>
      </c>
      <c r="HE3" s="216" t="str">
        <f>IF(GM3="","",GM3)</f>
        <v>fiche CH6/2</v>
      </c>
      <c r="HF3" s="100" t="str">
        <f>IF(GN3="","",GN3)</f>
        <v>Eval CH6 CH7</v>
      </c>
      <c r="HG3" s="198" t="s">
        <v>9</v>
      </c>
      <c r="HH3" s="199"/>
      <c r="HI3" s="200" t="s">
        <v>10</v>
      </c>
      <c r="HJ3" s="201"/>
      <c r="HK3" s="98" t="str">
        <f>IF(GS3="","",GS3)</f>
        <v>Fiche CH4/4</v>
      </c>
      <c r="HL3" s="99" t="str">
        <f>IF(GT3="","",GT3)</f>
        <v>EVAL CH4</v>
      </c>
      <c r="HM3" s="100" t="str">
        <f>IF(GU3="","",GU3)</f>
        <v/>
      </c>
      <c r="HN3" s="176" t="s">
        <v>7</v>
      </c>
      <c r="HO3" s="177"/>
      <c r="HP3" s="101" t="str">
        <f>IF(GX3="","",GX3)</f>
        <v>fiche CH5/1</v>
      </c>
      <c r="HQ3" s="99" t="str">
        <f>IF(GY3="","",GY3)</f>
        <v>fiche CH5/3</v>
      </c>
      <c r="HR3" s="216" t="str">
        <f>IF(GZ3="","",GZ3)</f>
        <v>Eval CH5</v>
      </c>
      <c r="HS3" s="192" t="s">
        <v>8</v>
      </c>
      <c r="HT3" s="193"/>
      <c r="HU3" s="101" t="str">
        <f>IF(HC3="","",HC3)</f>
        <v>Eval O1 O2</v>
      </c>
      <c r="HV3" s="99" t="str">
        <f>IF(HD3="","",HD3)</f>
        <v>Fiche CH6/1</v>
      </c>
      <c r="HW3" s="216" t="str">
        <f>IF(HE3="","",HE3)</f>
        <v>fiche CH6/2</v>
      </c>
      <c r="HX3" s="100" t="str">
        <f>IF(HF3="","",HF3)</f>
        <v>Eval CH6 CH7</v>
      </c>
      <c r="HY3" s="198" t="s">
        <v>9</v>
      </c>
      <c r="HZ3" s="199"/>
      <c r="IA3" s="200" t="s">
        <v>10</v>
      </c>
      <c r="IB3" s="201"/>
      <c r="IC3" s="98" t="str">
        <f>IF(HK3="","",HK3)</f>
        <v>Fiche CH4/4</v>
      </c>
      <c r="ID3" s="99" t="str">
        <f>IF(HL3="","",HL3)</f>
        <v>EVAL CH4</v>
      </c>
      <c r="IE3" s="100" t="str">
        <f>IF(HM3="","",HM3)</f>
        <v/>
      </c>
      <c r="IF3" s="176" t="s">
        <v>7</v>
      </c>
      <c r="IG3" s="177"/>
      <c r="IH3" s="101" t="str">
        <f>IF(HP3="","",HP3)</f>
        <v>fiche CH5/1</v>
      </c>
      <c r="II3" s="99" t="str">
        <f>IF(HQ3="","",HQ3)</f>
        <v>fiche CH5/3</v>
      </c>
      <c r="IJ3" s="216" t="str">
        <f>IF(HR3="","",HR3)</f>
        <v>Eval CH5</v>
      </c>
      <c r="IK3" s="192" t="s">
        <v>8</v>
      </c>
      <c r="IL3" s="193"/>
      <c r="IM3" s="101" t="str">
        <f>IF(HU3="","",HU3)</f>
        <v>Eval O1 O2</v>
      </c>
      <c r="IN3" s="99" t="str">
        <f>IF(HV3="","",HV3)</f>
        <v>Fiche CH6/1</v>
      </c>
      <c r="IO3" s="216" t="str">
        <f>IF(HW3="","",HW3)</f>
        <v>fiche CH6/2</v>
      </c>
      <c r="IP3" s="100" t="str">
        <f>IF(HX3="","",HX3)</f>
        <v>Eval CH6 CH7</v>
      </c>
      <c r="IQ3" s="198" t="s">
        <v>9</v>
      </c>
      <c r="IR3" s="199"/>
      <c r="IS3" s="200" t="s">
        <v>10</v>
      </c>
      <c r="IT3" s="201"/>
      <c r="IU3" s="98" t="str">
        <f>IF(IC3="","",IC3)</f>
        <v>Fiche CH4/4</v>
      </c>
      <c r="IV3" s="99" t="str">
        <f>IF(ID3="","",ID3)</f>
        <v>EVAL CH4</v>
      </c>
      <c r="IW3" s="100" t="str">
        <f>IF(IE3="","",IE3)</f>
        <v/>
      </c>
      <c r="IX3" s="176" t="s">
        <v>7</v>
      </c>
      <c r="IY3" s="177"/>
      <c r="IZ3" s="101" t="str">
        <f>IF(IH3="","",IH3)</f>
        <v>fiche CH5/1</v>
      </c>
      <c r="JA3" s="99" t="str">
        <f>IF(II3="","",II3)</f>
        <v>fiche CH5/3</v>
      </c>
      <c r="JB3" s="216" t="str">
        <f>IF(IJ3="","",IJ3)</f>
        <v>Eval CH5</v>
      </c>
      <c r="JC3" s="192" t="s">
        <v>8</v>
      </c>
      <c r="JD3" s="193"/>
      <c r="JE3" s="101" t="str">
        <f>IF(IM3="","",IM3)</f>
        <v>Eval O1 O2</v>
      </c>
      <c r="JF3" s="99" t="str">
        <f>IF(IN3="","",IN3)</f>
        <v>Fiche CH6/1</v>
      </c>
      <c r="JG3" s="216" t="str">
        <f>IF(IO3="","",IO3)</f>
        <v>fiche CH6/2</v>
      </c>
      <c r="JH3" s="100" t="str">
        <f>IF(IP3="","",IP3)</f>
        <v>Eval CH6 CH7</v>
      </c>
      <c r="JI3" s="198" t="s">
        <v>9</v>
      </c>
      <c r="JJ3" s="199"/>
      <c r="JK3" s="200" t="s">
        <v>10</v>
      </c>
      <c r="JL3" s="201"/>
      <c r="JM3" s="98" t="str">
        <f>IF(IU3="","",IU3)</f>
        <v>Fiche CH4/4</v>
      </c>
      <c r="JN3" s="99" t="str">
        <f>IF(IV3="","",IV3)</f>
        <v>EVAL CH4</v>
      </c>
      <c r="JO3" s="100" t="str">
        <f>IF(IW3="","",IW3)</f>
        <v/>
      </c>
      <c r="JP3" s="176" t="s">
        <v>7</v>
      </c>
      <c r="JQ3" s="177"/>
      <c r="JR3" s="101" t="str">
        <f>IF(IZ3="","",IZ3)</f>
        <v>fiche CH5/1</v>
      </c>
      <c r="JS3" s="99" t="str">
        <f>IF(JA3="","",JA3)</f>
        <v>fiche CH5/3</v>
      </c>
      <c r="JT3" s="216" t="str">
        <f>IF(JB3="","",JB3)</f>
        <v>Eval CH5</v>
      </c>
      <c r="JU3" s="192" t="s">
        <v>8</v>
      </c>
      <c r="JV3" s="193"/>
      <c r="JW3" s="101" t="str">
        <f>IF(JE3="","",JE3)</f>
        <v>Eval O1 O2</v>
      </c>
      <c r="JX3" s="99" t="str">
        <f>IF(JF3="","",JF3)</f>
        <v>Fiche CH6/1</v>
      </c>
      <c r="JY3" s="216" t="str">
        <f>IF(JG3="","",JG3)</f>
        <v>fiche CH6/2</v>
      </c>
      <c r="JZ3" s="100" t="str">
        <f>IF(JH3="","",JH3)</f>
        <v>Eval CH6 CH7</v>
      </c>
      <c r="KA3" s="198" t="s">
        <v>9</v>
      </c>
      <c r="KB3" s="199"/>
      <c r="KC3" s="200" t="s">
        <v>10</v>
      </c>
      <c r="KD3" s="201"/>
      <c r="KE3" s="98" t="str">
        <f>IF(JM3="","",JM3)</f>
        <v>Fiche CH4/4</v>
      </c>
      <c r="KF3" s="99" t="str">
        <f>IF(JN3="","",JN3)</f>
        <v>EVAL CH4</v>
      </c>
      <c r="KG3" s="100" t="str">
        <f>IF(JO3="","",JO3)</f>
        <v/>
      </c>
      <c r="KH3" s="176" t="s">
        <v>7</v>
      </c>
      <c r="KI3" s="177"/>
      <c r="KJ3" s="101" t="str">
        <f>IF(JR3="","",JR3)</f>
        <v>fiche CH5/1</v>
      </c>
      <c r="KK3" s="99" t="str">
        <f>IF(JS3="","",JS3)</f>
        <v>fiche CH5/3</v>
      </c>
      <c r="KL3" s="216" t="str">
        <f>IF(JT3="","",JT3)</f>
        <v>Eval CH5</v>
      </c>
      <c r="KM3" s="192" t="s">
        <v>8</v>
      </c>
      <c r="KN3" s="193"/>
      <c r="KO3" s="101" t="str">
        <f>IF(JW3="","",JW3)</f>
        <v>Eval O1 O2</v>
      </c>
      <c r="KP3" s="99" t="str">
        <f>IF(JX3="","",JX3)</f>
        <v>Fiche CH6/1</v>
      </c>
      <c r="KQ3" s="216" t="str">
        <f>IF(JY3="","",JY3)</f>
        <v>fiche CH6/2</v>
      </c>
      <c r="KR3" s="100" t="str">
        <f>IF(JZ3="","",JZ3)</f>
        <v>Eval CH6 CH7</v>
      </c>
      <c r="KS3" s="198" t="s">
        <v>9</v>
      </c>
      <c r="KT3" s="199"/>
      <c r="KU3" s="200" t="s">
        <v>10</v>
      </c>
      <c r="KV3" s="201"/>
      <c r="KW3" s="98" t="str">
        <f>IF(KE3="","",KE3)</f>
        <v>Fiche CH4/4</v>
      </c>
      <c r="KX3" s="99" t="str">
        <f>IF(KF3="","",KF3)</f>
        <v>EVAL CH4</v>
      </c>
      <c r="KY3" s="100" t="str">
        <f>IF(KG3="","",KG3)</f>
        <v/>
      </c>
      <c r="KZ3" s="176" t="s">
        <v>7</v>
      </c>
      <c r="LA3" s="177"/>
      <c r="LB3" s="101" t="str">
        <f>IF(KJ3="","",KJ3)</f>
        <v>fiche CH5/1</v>
      </c>
      <c r="LC3" s="99" t="str">
        <f>IF(KK3="","",KK3)</f>
        <v>fiche CH5/3</v>
      </c>
      <c r="LD3" s="216" t="str">
        <f>IF(KL3="","",KL3)</f>
        <v>Eval CH5</v>
      </c>
      <c r="LE3" s="192" t="s">
        <v>8</v>
      </c>
      <c r="LF3" s="193"/>
      <c r="LG3" s="101" t="str">
        <f>IF(KO3="","",KO3)</f>
        <v>Eval O1 O2</v>
      </c>
      <c r="LH3" s="99" t="str">
        <f>IF(KP3="","",KP3)</f>
        <v>Fiche CH6/1</v>
      </c>
      <c r="LI3" s="216" t="str">
        <f>IF(KQ3="","",KQ3)</f>
        <v>fiche CH6/2</v>
      </c>
      <c r="LJ3" s="100" t="str">
        <f>IF(KR3="","",KR3)</f>
        <v>Eval CH6 CH7</v>
      </c>
      <c r="LK3" s="198" t="s">
        <v>9</v>
      </c>
      <c r="LL3" s="199"/>
      <c r="LM3" s="200" t="s">
        <v>10</v>
      </c>
      <c r="LN3" s="201"/>
      <c r="LO3" s="98" t="str">
        <f>IF(KW3="","",KW3)</f>
        <v>Fiche CH4/4</v>
      </c>
      <c r="LP3" s="99" t="str">
        <f>IF(KX3="","",KX3)</f>
        <v>EVAL CH4</v>
      </c>
      <c r="LQ3" s="100" t="str">
        <f>IF(KY3="","",KY3)</f>
        <v/>
      </c>
      <c r="LR3" s="176" t="s">
        <v>7</v>
      </c>
      <c r="LS3" s="177"/>
      <c r="LT3" s="101" t="str">
        <f>IF(LB3="","",LB3)</f>
        <v>fiche CH5/1</v>
      </c>
      <c r="LU3" s="99" t="str">
        <f>IF(LC3="","",LC3)</f>
        <v>fiche CH5/3</v>
      </c>
      <c r="LV3" s="216" t="str">
        <f>IF(LD3="","",LD3)</f>
        <v>Eval CH5</v>
      </c>
      <c r="LW3" s="192" t="s">
        <v>8</v>
      </c>
      <c r="LX3" s="193"/>
      <c r="LY3" s="101" t="str">
        <f>IF(LG3="","",LG3)</f>
        <v>Eval O1 O2</v>
      </c>
      <c r="LZ3" s="99" t="str">
        <f>IF(LH3="","",LH3)</f>
        <v>Fiche CH6/1</v>
      </c>
      <c r="MA3" s="216" t="str">
        <f>IF(LI3="","",LI3)</f>
        <v>fiche CH6/2</v>
      </c>
      <c r="MB3" s="100" t="str">
        <f>IF(LJ3="","",LJ3)</f>
        <v>Eval CH6 CH7</v>
      </c>
      <c r="MC3" s="198" t="s">
        <v>9</v>
      </c>
      <c r="MD3" s="199"/>
      <c r="ME3" s="200" t="s">
        <v>10</v>
      </c>
      <c r="MF3" s="201"/>
      <c r="MG3" s="98" t="str">
        <f>IF(LO3="","",LO3)</f>
        <v>Fiche CH4/4</v>
      </c>
      <c r="MH3" s="99" t="str">
        <f>IF(LP3="","",LP3)</f>
        <v>EVAL CH4</v>
      </c>
      <c r="MI3" s="100" t="str">
        <f>IF(LQ3="","",LQ3)</f>
        <v/>
      </c>
      <c r="MJ3" s="176" t="s">
        <v>7</v>
      </c>
      <c r="MK3" s="177"/>
      <c r="ML3" s="101" t="str">
        <f>IF(LT3="","",LT3)</f>
        <v>fiche CH5/1</v>
      </c>
      <c r="MM3" s="99" t="str">
        <f>IF(LU3="","",LU3)</f>
        <v>fiche CH5/3</v>
      </c>
      <c r="MN3" s="216" t="str">
        <f>IF(LV3="","",LV3)</f>
        <v>Eval CH5</v>
      </c>
      <c r="MO3" s="192" t="s">
        <v>8</v>
      </c>
      <c r="MP3" s="193"/>
      <c r="MQ3" s="101" t="str">
        <f>IF(LY3="","",LY3)</f>
        <v>Eval O1 O2</v>
      </c>
      <c r="MR3" s="99" t="str">
        <f>IF(LZ3="","",LZ3)</f>
        <v>Fiche CH6/1</v>
      </c>
      <c r="MS3" s="216" t="str">
        <f>IF(MA3="","",MA3)</f>
        <v>fiche CH6/2</v>
      </c>
      <c r="MT3" s="100" t="str">
        <f>IF(MB3="","",MB3)</f>
        <v>Eval CH6 CH7</v>
      </c>
      <c r="MU3" s="198" t="s">
        <v>9</v>
      </c>
      <c r="MV3" s="199"/>
      <c r="MW3" s="200" t="s">
        <v>10</v>
      </c>
      <c r="MX3" s="201"/>
      <c r="MY3" s="98" t="str">
        <f>IF(MG3="","",MG3)</f>
        <v>Fiche CH4/4</v>
      </c>
      <c r="MZ3" s="99" t="str">
        <f>IF(MH3="","",MH3)</f>
        <v>EVAL CH4</v>
      </c>
      <c r="NA3" s="100" t="str">
        <f>IF(MI3="","",MI3)</f>
        <v/>
      </c>
      <c r="NB3" s="176" t="s">
        <v>7</v>
      </c>
      <c r="NC3" s="177"/>
      <c r="ND3" s="101" t="str">
        <f>IF(ML3="","",ML3)</f>
        <v>fiche CH5/1</v>
      </c>
      <c r="NE3" s="99" t="str">
        <f>IF(MM3="","",MM3)</f>
        <v>fiche CH5/3</v>
      </c>
      <c r="NF3" s="216" t="str">
        <f>IF(MN3="","",MN3)</f>
        <v>Eval CH5</v>
      </c>
      <c r="NG3" s="192" t="s">
        <v>8</v>
      </c>
      <c r="NH3" s="193"/>
      <c r="NI3" s="101" t="str">
        <f>IF(MQ3="","",MQ3)</f>
        <v>Eval O1 O2</v>
      </c>
      <c r="NJ3" s="99" t="str">
        <f>IF(MR3="","",MR3)</f>
        <v>Fiche CH6/1</v>
      </c>
      <c r="NK3" s="216" t="str">
        <f>IF(MS3="","",MS3)</f>
        <v>fiche CH6/2</v>
      </c>
      <c r="NL3" s="100" t="str">
        <f>IF(MT3="","",MT3)</f>
        <v>Eval CH6 CH7</v>
      </c>
      <c r="NM3" s="198" t="s">
        <v>9</v>
      </c>
      <c r="NN3" s="199"/>
      <c r="NO3" s="200" t="s">
        <v>10</v>
      </c>
      <c r="NP3" s="201"/>
      <c r="NQ3" s="98" t="str">
        <f>IF(MY3="","",MY3)</f>
        <v>Fiche CH4/4</v>
      </c>
      <c r="NR3" s="99" t="str">
        <f>IF(MZ3="","",MZ3)</f>
        <v>EVAL CH4</v>
      </c>
      <c r="NS3" s="100" t="str">
        <f>IF(NA3="","",NA3)</f>
        <v/>
      </c>
      <c r="NT3" s="176" t="s">
        <v>7</v>
      </c>
      <c r="NU3" s="177"/>
      <c r="NV3" s="101" t="str">
        <f>IF(ND3="","",ND3)</f>
        <v>fiche CH5/1</v>
      </c>
      <c r="NW3" s="99" t="str">
        <f>IF(NE3="","",NE3)</f>
        <v>fiche CH5/3</v>
      </c>
      <c r="NX3" s="216" t="str">
        <f>IF(NF3="","",NF3)</f>
        <v>Eval CH5</v>
      </c>
      <c r="NY3" s="192" t="s">
        <v>8</v>
      </c>
      <c r="NZ3" s="193"/>
      <c r="OA3" s="101" t="str">
        <f>IF(NI3="","",NI3)</f>
        <v>Eval O1 O2</v>
      </c>
      <c r="OB3" s="99" t="str">
        <f>IF(NJ3="","",NJ3)</f>
        <v>Fiche CH6/1</v>
      </c>
      <c r="OC3" s="216" t="str">
        <f>IF(NK3="","",NK3)</f>
        <v>fiche CH6/2</v>
      </c>
      <c r="OD3" s="100" t="str">
        <f>IF(NL3="","",NL3)</f>
        <v>Eval CH6 CH7</v>
      </c>
      <c r="OE3" s="198" t="s">
        <v>9</v>
      </c>
      <c r="OF3" s="199"/>
      <c r="OG3" s="200" t="s">
        <v>10</v>
      </c>
      <c r="OH3" s="201"/>
      <c r="OI3" s="98" t="str">
        <f>IF(NQ3="","",NQ3)</f>
        <v>Fiche CH4/4</v>
      </c>
      <c r="OJ3" s="99" t="str">
        <f>IF(NR3="","",NR3)</f>
        <v>EVAL CH4</v>
      </c>
      <c r="OK3" s="100" t="str">
        <f>IF(NS3="","",NS3)</f>
        <v/>
      </c>
      <c r="OL3" s="176" t="s">
        <v>7</v>
      </c>
      <c r="OM3" s="177"/>
      <c r="ON3" s="101" t="str">
        <f>IF(NV3="","",NV3)</f>
        <v>fiche CH5/1</v>
      </c>
      <c r="OO3" s="99" t="str">
        <f>IF(NW3="","",NW3)</f>
        <v>fiche CH5/3</v>
      </c>
      <c r="OP3" s="216" t="str">
        <f>IF(NX3="","",NX3)</f>
        <v>Eval CH5</v>
      </c>
      <c r="OQ3" s="192" t="s">
        <v>8</v>
      </c>
      <c r="OR3" s="193"/>
      <c r="OS3" s="101" t="str">
        <f>IF(OA3="","",OA3)</f>
        <v>Eval O1 O2</v>
      </c>
      <c r="OT3" s="99" t="str">
        <f>IF(OB3="","",OB3)</f>
        <v>Fiche CH6/1</v>
      </c>
      <c r="OU3" s="216" t="str">
        <f>IF(OC3="","",OC3)</f>
        <v>fiche CH6/2</v>
      </c>
      <c r="OV3" s="100" t="str">
        <f>IF(OD3="","",OD3)</f>
        <v>Eval CH6 CH7</v>
      </c>
      <c r="OW3" s="198" t="s">
        <v>9</v>
      </c>
      <c r="OX3" s="199"/>
      <c r="OY3" s="200" t="s">
        <v>10</v>
      </c>
      <c r="OZ3" s="201"/>
      <c r="PA3" s="98" t="str">
        <f>IF(OI3="","",OI3)</f>
        <v>Fiche CH4/4</v>
      </c>
      <c r="PB3" s="99" t="str">
        <f>IF(OJ3="","",OJ3)</f>
        <v>EVAL CH4</v>
      </c>
      <c r="PC3" s="100" t="str">
        <f>IF(OK3="","",OK3)</f>
        <v/>
      </c>
      <c r="PD3" s="176" t="s">
        <v>7</v>
      </c>
      <c r="PE3" s="177"/>
      <c r="PF3" s="101" t="str">
        <f>IF(ON3="","",ON3)</f>
        <v>fiche CH5/1</v>
      </c>
      <c r="PG3" s="99" t="str">
        <f>IF(OO3="","",OO3)</f>
        <v>fiche CH5/3</v>
      </c>
      <c r="PH3" s="216" t="str">
        <f>IF(OP3="","",OP3)</f>
        <v>Eval CH5</v>
      </c>
      <c r="PI3" s="192" t="s">
        <v>8</v>
      </c>
      <c r="PJ3" s="193"/>
      <c r="PK3" s="101" t="str">
        <f>IF(OS3="","",OS3)</f>
        <v>Eval O1 O2</v>
      </c>
      <c r="PL3" s="99" t="str">
        <f>IF(OT3="","",OT3)</f>
        <v>Fiche CH6/1</v>
      </c>
      <c r="PM3" s="216" t="str">
        <f>IF(OU3="","",OU3)</f>
        <v>fiche CH6/2</v>
      </c>
      <c r="PN3" s="100" t="str">
        <f>IF(OV3="","",OV3)</f>
        <v>Eval CH6 CH7</v>
      </c>
      <c r="PO3" s="198" t="s">
        <v>9</v>
      </c>
      <c r="PP3" s="199"/>
      <c r="PQ3" s="200" t="s">
        <v>10</v>
      </c>
      <c r="PR3" s="201"/>
      <c r="PS3" s="98" t="str">
        <f>IF(PA3="","",PA3)</f>
        <v>Fiche CH4/4</v>
      </c>
      <c r="PT3" s="99" t="str">
        <f>IF(PB3="","",PB3)</f>
        <v>EVAL CH4</v>
      </c>
      <c r="PU3" s="100" t="str">
        <f>IF(PC3="","",PC3)</f>
        <v/>
      </c>
      <c r="PV3" s="176" t="s">
        <v>7</v>
      </c>
      <c r="PW3" s="177"/>
      <c r="PX3" s="101" t="str">
        <f>IF(PF3="","",PF3)</f>
        <v>fiche CH5/1</v>
      </c>
      <c r="PY3" s="99" t="str">
        <f>IF(PG3="","",PG3)</f>
        <v>fiche CH5/3</v>
      </c>
      <c r="PZ3" s="216" t="str">
        <f>IF(PH3="","",PH3)</f>
        <v>Eval CH5</v>
      </c>
      <c r="QA3" s="192" t="s">
        <v>8</v>
      </c>
      <c r="QB3" s="193"/>
      <c r="QC3" s="101" t="str">
        <f>IF(PK3="","",PK3)</f>
        <v>Eval O1 O2</v>
      </c>
      <c r="QD3" s="99" t="str">
        <f>IF(PL3="","",PL3)</f>
        <v>Fiche CH6/1</v>
      </c>
      <c r="QE3" s="216" t="str">
        <f>IF(PM3="","",PM3)</f>
        <v>fiche CH6/2</v>
      </c>
      <c r="QF3" s="100" t="str">
        <f>IF(PN3="","",PN3)</f>
        <v>Eval CH6 CH7</v>
      </c>
      <c r="QG3" s="198" t="s">
        <v>9</v>
      </c>
      <c r="QH3" s="199"/>
      <c r="QI3" s="200" t="s">
        <v>10</v>
      </c>
      <c r="QJ3" s="201"/>
      <c r="QK3" s="98" t="str">
        <f>IF(PS3="","",PS3)</f>
        <v>Fiche CH4/4</v>
      </c>
      <c r="QL3" s="99" t="str">
        <f>IF(PT3="","",PT3)</f>
        <v>EVAL CH4</v>
      </c>
      <c r="QM3" s="100" t="str">
        <f>IF(PU3="","",PU3)</f>
        <v/>
      </c>
      <c r="QN3" s="176" t="s">
        <v>7</v>
      </c>
      <c r="QO3" s="177"/>
      <c r="QP3" s="101" t="str">
        <f>IF(PX3="","",PX3)</f>
        <v>fiche CH5/1</v>
      </c>
      <c r="QQ3" s="99" t="str">
        <f>IF(PY3="","",PY3)</f>
        <v>fiche CH5/3</v>
      </c>
      <c r="QR3" s="216" t="str">
        <f>IF(PZ3="","",PZ3)</f>
        <v>Eval CH5</v>
      </c>
      <c r="QS3" s="192" t="s">
        <v>8</v>
      </c>
      <c r="QT3" s="193"/>
      <c r="QU3" s="101" t="str">
        <f>IF(QC3="","",QC3)</f>
        <v>Eval O1 O2</v>
      </c>
      <c r="QV3" s="99" t="str">
        <f>IF(QD3="","",QD3)</f>
        <v>Fiche CH6/1</v>
      </c>
      <c r="QW3" s="216" t="str">
        <f>IF(QE3="","",QE3)</f>
        <v>fiche CH6/2</v>
      </c>
      <c r="QX3" s="100" t="str">
        <f>IF(QF3="","",QF3)</f>
        <v>Eval CH6 CH7</v>
      </c>
      <c r="QY3" s="198" t="s">
        <v>9</v>
      </c>
      <c r="QZ3" s="199"/>
      <c r="RA3" s="200" t="s">
        <v>10</v>
      </c>
      <c r="RB3" s="201"/>
      <c r="RC3" s="98" t="str">
        <f>IF(QK3="","",QK3)</f>
        <v>Fiche CH4/4</v>
      </c>
      <c r="RD3" s="99" t="str">
        <f>IF(QL3="","",QL3)</f>
        <v>EVAL CH4</v>
      </c>
      <c r="RE3" s="100" t="str">
        <f>IF(QM3="","",QM3)</f>
        <v/>
      </c>
      <c r="RF3" s="176" t="s">
        <v>7</v>
      </c>
      <c r="RG3" s="177"/>
      <c r="RH3" s="101" t="str">
        <f>IF(QP3="","",QP3)</f>
        <v>fiche CH5/1</v>
      </c>
      <c r="RI3" s="99" t="str">
        <f>IF(QQ3="","",QQ3)</f>
        <v>fiche CH5/3</v>
      </c>
      <c r="RJ3" s="216" t="str">
        <f>IF(QR3="","",QR3)</f>
        <v>Eval CH5</v>
      </c>
      <c r="RK3" s="192" t="s">
        <v>8</v>
      </c>
      <c r="RL3" s="193"/>
      <c r="RM3" s="101" t="str">
        <f>IF(QU3="","",QU3)</f>
        <v>Eval O1 O2</v>
      </c>
      <c r="RN3" s="99" t="str">
        <f>IF(QV3="","",QV3)</f>
        <v>Fiche CH6/1</v>
      </c>
      <c r="RO3" s="216" t="str">
        <f>IF(QW3="","",QW3)</f>
        <v>fiche CH6/2</v>
      </c>
      <c r="RP3" s="100" t="str">
        <f>IF(QX3="","",QX3)</f>
        <v>Eval CH6 CH7</v>
      </c>
      <c r="RQ3" s="198" t="s">
        <v>9</v>
      </c>
      <c r="RR3" s="199"/>
      <c r="RS3" s="200" t="s">
        <v>10</v>
      </c>
      <c r="RT3" s="201"/>
      <c r="RU3" s="98" t="str">
        <f>IF(RC3="","",RC3)</f>
        <v>Fiche CH4/4</v>
      </c>
      <c r="RV3" s="99" t="str">
        <f>IF(RD3="","",RD3)</f>
        <v>EVAL CH4</v>
      </c>
      <c r="RW3" s="100" t="str">
        <f>IF(RE3="","",RE3)</f>
        <v/>
      </c>
      <c r="RX3" s="176" t="s">
        <v>7</v>
      </c>
      <c r="RY3" s="177"/>
      <c r="RZ3" s="101" t="str">
        <f>IF(RH3="","",RH3)</f>
        <v>fiche CH5/1</v>
      </c>
      <c r="SA3" s="99" t="str">
        <f>IF(RI3="","",RI3)</f>
        <v>fiche CH5/3</v>
      </c>
      <c r="SB3" s="216" t="str">
        <f>IF(RJ3="","",RJ3)</f>
        <v>Eval CH5</v>
      </c>
      <c r="SC3" s="192" t="s">
        <v>8</v>
      </c>
      <c r="SD3" s="193"/>
      <c r="SE3" s="101" t="str">
        <f>IF(RM3="","",RM3)</f>
        <v>Eval O1 O2</v>
      </c>
      <c r="SF3" s="99" t="str">
        <f>IF(RN3="","",RN3)</f>
        <v>Fiche CH6/1</v>
      </c>
      <c r="SG3" s="216" t="str">
        <f>IF(RO3="","",RO3)</f>
        <v>fiche CH6/2</v>
      </c>
      <c r="SH3" s="100" t="str">
        <f>IF(RP3="","",RP3)</f>
        <v>Eval CH6 CH7</v>
      </c>
      <c r="SI3" s="198" t="s">
        <v>9</v>
      </c>
      <c r="SJ3" s="199"/>
      <c r="SK3" s="200" t="s">
        <v>10</v>
      </c>
      <c r="SL3" s="201"/>
      <c r="SM3" s="98" t="str">
        <f>IF(RU3="","",RU3)</f>
        <v>Fiche CH4/4</v>
      </c>
      <c r="SN3" s="99" t="str">
        <f>IF(RV3="","",RV3)</f>
        <v>EVAL CH4</v>
      </c>
      <c r="SO3" s="100" t="str">
        <f>IF(RW3="","",RW3)</f>
        <v/>
      </c>
      <c r="SP3" s="176" t="s">
        <v>7</v>
      </c>
      <c r="SQ3" s="177"/>
      <c r="SR3" s="101" t="str">
        <f>IF(RZ3="","",RZ3)</f>
        <v>fiche CH5/1</v>
      </c>
      <c r="SS3" s="99" t="str">
        <f>IF(SA3="","",SA3)</f>
        <v>fiche CH5/3</v>
      </c>
      <c r="ST3" s="216" t="str">
        <f>IF(SB3="","",SB3)</f>
        <v>Eval CH5</v>
      </c>
      <c r="SU3" s="192" t="s">
        <v>8</v>
      </c>
      <c r="SV3" s="193"/>
      <c r="SW3" s="101" t="str">
        <f>IF(SE3="","",SE3)</f>
        <v>Eval O1 O2</v>
      </c>
      <c r="SX3" s="99" t="str">
        <f>IF(SF3="","",SF3)</f>
        <v>Fiche CH6/1</v>
      </c>
      <c r="SY3" s="216" t="str">
        <f>IF(SG3="","",SG3)</f>
        <v>fiche CH6/2</v>
      </c>
      <c r="SZ3" s="100" t="str">
        <f>IF(SH3="","",SH3)</f>
        <v>Eval CH6 CH7</v>
      </c>
      <c r="TA3" s="198" t="s">
        <v>9</v>
      </c>
      <c r="TB3" s="199"/>
      <c r="TC3" s="200" t="s">
        <v>10</v>
      </c>
      <c r="TD3" s="201"/>
      <c r="TE3" s="98" t="str">
        <f>IF(SM3="","",SM3)</f>
        <v>Fiche CH4/4</v>
      </c>
      <c r="TF3" s="99" t="str">
        <f>IF(SN3="","",SN3)</f>
        <v>EVAL CH4</v>
      </c>
      <c r="TG3" s="100" t="str">
        <f>IF(SO3="","",SO3)</f>
        <v/>
      </c>
      <c r="TH3" s="176" t="s">
        <v>7</v>
      </c>
      <c r="TI3" s="177"/>
      <c r="TJ3" s="101" t="str">
        <f>IF(SR3="","",SR3)</f>
        <v>fiche CH5/1</v>
      </c>
      <c r="TK3" s="99" t="str">
        <f>IF(SS3="","",SS3)</f>
        <v>fiche CH5/3</v>
      </c>
      <c r="TL3" s="216" t="str">
        <f>IF(ST3="","",ST3)</f>
        <v>Eval CH5</v>
      </c>
      <c r="TM3" s="192" t="s">
        <v>8</v>
      </c>
      <c r="TN3" s="193"/>
      <c r="TO3" s="101" t="str">
        <f>IF(SW3="","",SW3)</f>
        <v>Eval O1 O2</v>
      </c>
      <c r="TP3" s="99" t="str">
        <f>IF(SX3="","",SX3)</f>
        <v>Fiche CH6/1</v>
      </c>
      <c r="TQ3" s="216" t="str">
        <f>IF(SY3="","",SY3)</f>
        <v>fiche CH6/2</v>
      </c>
      <c r="TR3" s="100" t="str">
        <f>IF(SZ3="","",SZ3)</f>
        <v>Eval CH6 CH7</v>
      </c>
      <c r="TS3" s="198" t="s">
        <v>9</v>
      </c>
      <c r="TT3" s="199"/>
      <c r="TU3" s="200" t="s">
        <v>10</v>
      </c>
      <c r="TV3" s="201"/>
    </row>
    <row r="4" spans="1:542" s="114" customFormat="1" ht="30" customHeight="1" thickBot="1" x14ac:dyDescent="0.3">
      <c r="A4" s="163" t="s">
        <v>11</v>
      </c>
      <c r="B4" s="102">
        <v>2</v>
      </c>
      <c r="C4" s="171"/>
      <c r="D4" s="84"/>
      <c r="E4" s="104"/>
      <c r="F4" s="178">
        <f>IF(COUNT(F5:F9)=0,"",SUM(F5:F9)/COUNT(F5:F9))</f>
        <v>2.75</v>
      </c>
      <c r="G4" s="179" t="str">
        <f t="shared" ref="G4:G21" si="0">IF(F4="","",IF(F4&gt;3.7,"A",IF(F4&gt;2.8,"B",IF(F4&gt;1.5,"C",IF(F4&gt;0,"D",IF(F4=0,""))))))</f>
        <v>C</v>
      </c>
      <c r="H4" s="171"/>
      <c r="I4" s="84"/>
      <c r="J4" s="84"/>
      <c r="K4" s="178">
        <f>IF(COUNT(K5:K9)=0,"",SUM(K5:K9)/COUNT(K5:K9))</f>
        <v>2.5</v>
      </c>
      <c r="L4" s="194" t="str">
        <f t="shared" ref="L4:L21" si="1">IF(K4="","",IF(K4&gt;3.7,"A",IF(K4&gt;2.8,"B",IF(K4&gt;1.5,"C",IF(K4&gt;0,"D",IF(K4=0,""))))))</f>
        <v>C</v>
      </c>
      <c r="M4" s="172"/>
      <c r="N4" s="109"/>
      <c r="O4" s="109"/>
      <c r="P4" s="110"/>
      <c r="Q4" s="178">
        <f>IF(COUNT(Q5:Q9)=0,"",SUM(Q5:Q9)/COUNT(Q5:Q9))</f>
        <v>2</v>
      </c>
      <c r="R4" s="202" t="str">
        <f t="shared" ref="R4:R21" si="2">IF(Q4="","",IF(Q4&gt;3.7,"A",IF(Q4&gt;2.8,"B",IF(Q4&gt;1.5,"C",IF(Q4&gt;0,"D",IF(Q4=0,""))))))</f>
        <v>C</v>
      </c>
      <c r="S4" s="203">
        <f>IF(COUNT(S5:S9)=0,"",SUM(S5:S9)/COUNT(S5:S9))</f>
        <v>2.5625</v>
      </c>
      <c r="T4" s="204" t="str">
        <f t="shared" ref="T4:T21" si="3">IF(S4="","",IF(S4&gt;3.7,"A",IF(S4&gt;2.8,"B",IF(S4&gt;1.5,"C",IF(S4&gt;0,"D",IF(S4=0,""))))))</f>
        <v>C</v>
      </c>
      <c r="U4" s="171"/>
      <c r="V4" s="84"/>
      <c r="W4" s="104"/>
      <c r="X4" s="178">
        <f>IF(COUNT(X5:X9)=0,"",SUM(X5:X9)/COUNT(X5:X9))</f>
        <v>2.75</v>
      </c>
      <c r="Y4" s="179" t="str">
        <f t="shared" ref="Y4:Y21" si="4">IF(X4="","",IF(X4&gt;3.7,"A",IF(X4&gt;2.8,"B",IF(X4&gt;1.5,"C",IF(X4&gt;0,"D",IF(X4=0,""))))))</f>
        <v>C</v>
      </c>
      <c r="Z4" s="171"/>
      <c r="AA4" s="84"/>
      <c r="AB4" s="84"/>
      <c r="AC4" s="178">
        <f>IF(COUNT(AC5:AC9)=0,"",SUM(AC5:AC9)/COUNT(AC5:AC9))</f>
        <v>2.625</v>
      </c>
      <c r="AD4" s="194" t="str">
        <f t="shared" ref="AD4:AD21" si="5">IF(AC4="","",IF(AC4&gt;3.7,"A",IF(AC4&gt;2.8,"B",IF(AC4&gt;1.5,"C",IF(AC4&gt;0,"D",IF(AC4=0,""))))))</f>
        <v>C</v>
      </c>
      <c r="AE4" s="172"/>
      <c r="AF4" s="109"/>
      <c r="AG4" s="109"/>
      <c r="AH4" s="110"/>
      <c r="AI4" s="178">
        <f>IF(COUNT(AI5:AI9)=0,"",SUM(AI5:AI9)/COUNT(AI5:AI9))</f>
        <v>2</v>
      </c>
      <c r="AJ4" s="202" t="str">
        <f t="shared" ref="AJ4:AJ21" si="6">IF(AI4="","",IF(AI4&gt;3.7,"A",IF(AI4&gt;2.8,"B",IF(AI4&gt;1.5,"C",IF(AI4&gt;0,"D",IF(AI4=0,""))))))</f>
        <v>C</v>
      </c>
      <c r="AK4" s="203">
        <f>IF(COUNT(AK5:AK9)=0,"",SUM(AK5:AK9)/COUNT(AK5:AK9))</f>
        <v>2.3958333333333335</v>
      </c>
      <c r="AL4" s="204" t="str">
        <f t="shared" ref="AL4:AL21" si="7">IF(AK4="","",IF(AK4&gt;3.7,"A",IF(AK4&gt;2.8,"B",IF(AK4&gt;1.5,"C",IF(AK4&gt;0,"D",IF(AK4=0,""))))))</f>
        <v>C</v>
      </c>
      <c r="AM4" s="171"/>
      <c r="AN4" s="84"/>
      <c r="AO4" s="104"/>
      <c r="AP4" s="178">
        <f>IF(COUNT(AP5:AP9)=0,"",SUM(AP5:AP9)/COUNT(AP5:AP9))</f>
        <v>2.5</v>
      </c>
      <c r="AQ4" s="179" t="str">
        <f t="shared" ref="AQ4:AQ21" si="8">IF(AP4="","",IF(AP4&gt;3.7,"A",IF(AP4&gt;2.8,"B",IF(AP4&gt;1.5,"C",IF(AP4&gt;0,"D",IF(AP4=0,""))))))</f>
        <v>C</v>
      </c>
      <c r="AR4" s="171"/>
      <c r="AS4" s="84"/>
      <c r="AT4" s="84"/>
      <c r="AU4" s="178">
        <f>IF(COUNT(AU5:AU9)=0,"",SUM(AU5:AU9)/COUNT(AU5:AU9))</f>
        <v>3.125</v>
      </c>
      <c r="AV4" s="194" t="str">
        <f t="shared" ref="AV4:AV21" si="9">IF(AU4="","",IF(AU4&gt;3.7,"A",IF(AU4&gt;2.8,"B",IF(AU4&gt;1.5,"C",IF(AU4&gt;0,"D",IF(AU4=0,""))))))</f>
        <v>B</v>
      </c>
      <c r="AW4" s="172"/>
      <c r="AX4" s="109"/>
      <c r="AY4" s="109"/>
      <c r="AZ4" s="110"/>
      <c r="BA4" s="178">
        <f>IF(COUNT(BA5:BA9)=0,"",SUM(BA5:BA9)/COUNT(BA5:BA9))</f>
        <v>2.5</v>
      </c>
      <c r="BB4" s="202" t="str">
        <f t="shared" ref="BB4:BB21" si="10">IF(BA4="","",IF(BA4&gt;3.7,"A",IF(BA4&gt;2.8,"B",IF(BA4&gt;1.5,"C",IF(BA4&gt;0,"D",IF(BA4=0,""))))))</f>
        <v>C</v>
      </c>
      <c r="BC4" s="203">
        <f>IF(COUNT(BC5:BC9)=0,"",SUM(BC5:BC9)/COUNT(BC5:BC9))</f>
        <v>2.875</v>
      </c>
      <c r="BD4" s="204" t="str">
        <f t="shared" ref="BD4:BD21" si="11">IF(BC4="","",IF(BC4&gt;3.7,"A",IF(BC4&gt;2.8,"B",IF(BC4&gt;1.5,"C",IF(BC4&gt;0,"D",IF(BC4=0,""))))))</f>
        <v>B</v>
      </c>
      <c r="BE4" s="171"/>
      <c r="BF4" s="84"/>
      <c r="BG4" s="104"/>
      <c r="BH4" s="178">
        <f>IF(COUNT(BH5:BH9)=0,"",SUM(BH5:BH9)/COUNT(BH5:BH9))</f>
        <v>2</v>
      </c>
      <c r="BI4" s="179" t="str">
        <f t="shared" ref="BI4:BI21" si="12">IF(BH4="","",IF(BH4&gt;3.7,"A",IF(BH4&gt;2.8,"B",IF(BH4&gt;1.5,"C",IF(BH4&gt;0,"D",IF(BH4=0,""))))))</f>
        <v>C</v>
      </c>
      <c r="BJ4" s="171"/>
      <c r="BK4" s="84"/>
      <c r="BL4" s="84"/>
      <c r="BM4" s="178">
        <f>IF(COUNT(BM5:BM9)=0,"",SUM(BM5:BM9)/COUNT(BM5:BM9))</f>
        <v>2.5</v>
      </c>
      <c r="BN4" s="194" t="str">
        <f t="shared" ref="BN4:BN21" si="13">IF(BM4="","",IF(BM4&gt;3.7,"A",IF(BM4&gt;2.8,"B",IF(BM4&gt;1.5,"C",IF(BM4&gt;0,"D",IF(BM4=0,""))))))</f>
        <v>C</v>
      </c>
      <c r="BO4" s="172"/>
      <c r="BP4" s="109"/>
      <c r="BQ4" s="109"/>
      <c r="BR4" s="110"/>
      <c r="BS4" s="178">
        <f>IF(COUNT(BS5:BS9)=0,"",SUM(BS5:BS9)/COUNT(BS5:BS9))</f>
        <v>2</v>
      </c>
      <c r="BT4" s="202" t="str">
        <f t="shared" ref="BT4:BT21" si="14">IF(BS4="","",IF(BS4&gt;3.7,"A",IF(BS4&gt;2.8,"B",IF(BS4&gt;1.5,"C",IF(BS4&gt;0,"D",IF(BS4=0,""))))))</f>
        <v>C</v>
      </c>
      <c r="BU4" s="203">
        <f>IF(COUNT(BU5:BU9)=0,"",SUM(BU5:BU9)/COUNT(BU5:BU9))</f>
        <v>2.2708333333333335</v>
      </c>
      <c r="BV4" s="204" t="str">
        <f t="shared" ref="BV4:BV21" si="15">IF(BU4="","",IF(BU4&gt;3.7,"A",IF(BU4&gt;2.8,"B",IF(BU4&gt;1.5,"C",IF(BU4&gt;0,"D",IF(BU4=0,""))))))</f>
        <v>C</v>
      </c>
      <c r="BW4" s="171"/>
      <c r="BX4" s="84"/>
      <c r="BY4" s="104"/>
      <c r="BZ4" s="178">
        <f>IF(COUNT(BZ5:BZ9)=0,"",SUM(BZ5:BZ9)/COUNT(BZ5:BZ9))</f>
        <v>2.5</v>
      </c>
      <c r="CA4" s="179" t="str">
        <f t="shared" ref="CA4:CA21" si="16">IF(BZ4="","",IF(BZ4&gt;3.7,"A",IF(BZ4&gt;2.8,"B",IF(BZ4&gt;1.5,"C",IF(BZ4&gt;0,"D",IF(BZ4=0,""))))))</f>
        <v>C</v>
      </c>
      <c r="CB4" s="171"/>
      <c r="CC4" s="84"/>
      <c r="CD4" s="84"/>
      <c r="CE4" s="178">
        <f>IF(COUNT(CE5:CE9)=0,"",SUM(CE5:CE9)/COUNT(CE5:CE9))</f>
        <v>3.25</v>
      </c>
      <c r="CF4" s="194" t="str">
        <f t="shared" ref="CF4:CF21" si="17">IF(CE4="","",IF(CE4&gt;3.7,"A",IF(CE4&gt;2.8,"B",IF(CE4&gt;1.5,"C",IF(CE4&gt;0,"D",IF(CE4=0,""))))))</f>
        <v>B</v>
      </c>
      <c r="CG4" s="172"/>
      <c r="CH4" s="109"/>
      <c r="CI4" s="109"/>
      <c r="CJ4" s="110"/>
      <c r="CK4" s="178">
        <f>IF(COUNT(CK5:CK9)=0,"",SUM(CK5:CK9)/COUNT(CK5:CK9))</f>
        <v>2.5</v>
      </c>
      <c r="CL4" s="202" t="str">
        <f t="shared" ref="CL4:CL21" si="18">IF(CK4="","",IF(CK4&gt;3.7,"A",IF(CK4&gt;2.8,"B",IF(CK4&gt;1.5,"C",IF(CK4&gt;0,"D",IF(CK4=0,""))))))</f>
        <v>C</v>
      </c>
      <c r="CM4" s="203">
        <f>IF(COUNT(CM5:CM9)=0,"",SUM(CM5:CM9)/COUNT(CM5:CM9))</f>
        <v>2.875</v>
      </c>
      <c r="CN4" s="204" t="str">
        <f t="shared" ref="CN4:CN21" si="19">IF(CM4="","",IF(CM4&gt;3.7,"A",IF(CM4&gt;2.8,"B",IF(CM4&gt;1.5,"C",IF(CM4&gt;0,"D",IF(CM4=0,""))))))</f>
        <v>B</v>
      </c>
      <c r="CO4" s="171"/>
      <c r="CP4" s="84"/>
      <c r="CQ4" s="104"/>
      <c r="CR4" s="178">
        <f>IF(COUNT(CR5:CR9)=0,"",SUM(CR5:CR9)/COUNT(CR5:CR9))</f>
        <v>3</v>
      </c>
      <c r="CS4" s="179" t="str">
        <f t="shared" ref="CS4:CS21" si="20">IF(CR4="","",IF(CR4&gt;3.7,"A",IF(CR4&gt;2.8,"B",IF(CR4&gt;1.5,"C",IF(CR4&gt;0,"D",IF(CR4=0,""))))))</f>
        <v>B</v>
      </c>
      <c r="CT4" s="171"/>
      <c r="CU4" s="84"/>
      <c r="CV4" s="84"/>
      <c r="CW4" s="178">
        <f>IF(COUNT(CW5:CW9)=0,"",SUM(CW5:CW9)/COUNT(CW5:CW9))</f>
        <v>2.125</v>
      </c>
      <c r="CX4" s="194" t="str">
        <f t="shared" ref="CX4:CX21" si="21">IF(CW4="","",IF(CW4&gt;3.7,"A",IF(CW4&gt;2.8,"B",IF(CW4&gt;1.5,"C",IF(CW4&gt;0,"D",IF(CW4=0,""))))))</f>
        <v>C</v>
      </c>
      <c r="CY4" s="172"/>
      <c r="CZ4" s="109"/>
      <c r="DA4" s="109"/>
      <c r="DB4" s="110"/>
      <c r="DC4" s="178">
        <f>IF(COUNT(DC5:DC9)=0,"",SUM(DC5:DC9)/COUNT(DC5:DC9))</f>
        <v>1.5</v>
      </c>
      <c r="DD4" s="202" t="str">
        <f t="shared" ref="DD4:DD21" si="22">IF(DC4="","",IF(DC4&gt;3.7,"A",IF(DC4&gt;2.8,"B",IF(DC4&gt;1.5,"C",IF(DC4&gt;0,"D",IF(DC4=0,""))))))</f>
        <v>D</v>
      </c>
      <c r="DE4" s="203">
        <f>IF(COUNT(DE5:DE9)=0,"",SUM(DE5:DE9)/COUNT(DE5:DE9))</f>
        <v>2.0416666666666665</v>
      </c>
      <c r="DF4" s="204" t="str">
        <f t="shared" ref="DF4:DF21" si="23">IF(DE4="","",IF(DE4&gt;3.7,"A",IF(DE4&gt;2.8,"B",IF(DE4&gt;1.5,"C",IF(DE4&gt;0,"D",IF(DE4=0,""))))))</f>
        <v>C</v>
      </c>
      <c r="DG4" s="171"/>
      <c r="DH4" s="84"/>
      <c r="DI4" s="104"/>
      <c r="DJ4" s="178">
        <f>IF(COUNT(DJ5:DJ9)=0,"",SUM(DJ5:DJ9)/COUNT(DJ5:DJ9))</f>
        <v>2.75</v>
      </c>
      <c r="DK4" s="179" t="str">
        <f t="shared" ref="DK4:DK21" si="24">IF(DJ4="","",IF(DJ4&gt;3.7,"A",IF(DJ4&gt;2.8,"B",IF(DJ4&gt;1.5,"C",IF(DJ4&gt;0,"D",IF(DJ4=0,""))))))</f>
        <v>C</v>
      </c>
      <c r="DL4" s="171"/>
      <c r="DM4" s="84"/>
      <c r="DN4" s="84"/>
      <c r="DO4" s="178">
        <f>IF(COUNT(DO5:DO9)=0,"",SUM(DO5:DO9)/COUNT(DO5:DO9))</f>
        <v>3.375</v>
      </c>
      <c r="DP4" s="194" t="str">
        <f t="shared" ref="DP4:DP21" si="25">IF(DO4="","",IF(DO4&gt;3.7,"A",IF(DO4&gt;2.8,"B",IF(DO4&gt;1.5,"C",IF(DO4&gt;0,"D",IF(DO4=0,""))))))</f>
        <v>B</v>
      </c>
      <c r="DQ4" s="172"/>
      <c r="DR4" s="109"/>
      <c r="DS4" s="109"/>
      <c r="DT4" s="110"/>
      <c r="DU4" s="178">
        <f>IF(COUNT(DU5:DU9)=0,"",SUM(DU5:DU9)/COUNT(DU5:DU9))</f>
        <v>3.5</v>
      </c>
      <c r="DV4" s="202" t="str">
        <f t="shared" ref="DV4:DV21" si="26">IF(DU4="","",IF(DU4&gt;3.7,"A",IF(DU4&gt;2.8,"B",IF(DU4&gt;1.5,"C",IF(DU4&gt;0,"D",IF(DU4=0,""))))))</f>
        <v>B</v>
      </c>
      <c r="DW4" s="203">
        <f>IF(COUNT(DW5:DW9)=0,"",SUM(DW5:DW9)/COUNT(DW5:DW9))</f>
        <v>3.25</v>
      </c>
      <c r="DX4" s="204" t="str">
        <f t="shared" ref="DX4:DX21" si="27">IF(DW4="","",IF(DW4&gt;3.7,"A",IF(DW4&gt;2.8,"B",IF(DW4&gt;1.5,"C",IF(DW4&gt;0,"D",IF(DW4=0,""))))))</f>
        <v>B</v>
      </c>
      <c r="DY4" s="171"/>
      <c r="DZ4" s="84"/>
      <c r="EA4" s="104"/>
      <c r="EB4" s="178">
        <f>IF(COUNT(EB5:EB9)=0,"",SUM(EB5:EB9)/COUNT(EB5:EB9))</f>
        <v>3</v>
      </c>
      <c r="EC4" s="179" t="str">
        <f t="shared" ref="EC4:EC21" si="28">IF(EB4="","",IF(EB4&gt;3.7,"A",IF(EB4&gt;2.8,"B",IF(EB4&gt;1.5,"C",IF(EB4&gt;0,"D",IF(EB4=0,""))))))</f>
        <v>B</v>
      </c>
      <c r="ED4" s="171"/>
      <c r="EE4" s="84"/>
      <c r="EF4" s="84"/>
      <c r="EG4" s="178">
        <f>IF(COUNT(EG5:EG9)=0,"",SUM(EG5:EG9)/COUNT(EG5:EG9))</f>
        <v>2.375</v>
      </c>
      <c r="EH4" s="194" t="str">
        <f t="shared" ref="EH4:EH21" si="29">IF(EG4="","",IF(EG4&gt;3.7,"A",IF(EG4&gt;2.8,"B",IF(EG4&gt;1.5,"C",IF(EG4&gt;0,"D",IF(EG4=0,""))))))</f>
        <v>C</v>
      </c>
      <c r="EI4" s="172"/>
      <c r="EJ4" s="109"/>
      <c r="EK4" s="109"/>
      <c r="EL4" s="110"/>
      <c r="EM4" s="178">
        <f>IF(COUNT(EM5:EM9)=0,"",SUM(EM5:EM9)/COUNT(EM5:EM9))</f>
        <v>3.75</v>
      </c>
      <c r="EN4" s="202" t="str">
        <f t="shared" ref="EN4:EN21" si="30">IF(EM4="","",IF(EM4&gt;3.7,"A",IF(EM4&gt;2.8,"B",IF(EM4&gt;1.5,"C",IF(EM4&gt;0,"D",IF(EM4=0,""))))))</f>
        <v>A</v>
      </c>
      <c r="EO4" s="203">
        <f>IF(COUNT(EO5:EO9)=0,"",SUM(EO5:EO9)/COUNT(EO5:EO9))</f>
        <v>2.8333333333333335</v>
      </c>
      <c r="EP4" s="204" t="str">
        <f t="shared" ref="EP4:EP21" si="31">IF(EO4="","",IF(EO4&gt;3.7,"A",IF(EO4&gt;2.8,"B",IF(EO4&gt;1.5,"C",IF(EO4&gt;0,"D",IF(EO4=0,""))))))</f>
        <v>B</v>
      </c>
      <c r="EQ4" s="171"/>
      <c r="ER4" s="84"/>
      <c r="ES4" s="104"/>
      <c r="ET4" s="178" t="str">
        <f>IF(COUNT(ET5:ET9)=0,"",SUM(ET5:ET9)/COUNT(ET5:ET9))</f>
        <v/>
      </c>
      <c r="EU4" s="179" t="str">
        <f t="shared" ref="EU4:EU21" si="32">IF(ET4="","",IF(ET4&gt;3.7,"A",IF(ET4&gt;2.8,"B",IF(ET4&gt;1.5,"C",IF(ET4&gt;0,"D",IF(ET4=0,""))))))</f>
        <v/>
      </c>
      <c r="EV4" s="171"/>
      <c r="EW4" s="84"/>
      <c r="EX4" s="84"/>
      <c r="EY4" s="178">
        <f>IF(COUNT(EY5:EY9)=0,"",SUM(EY5:EY9)/COUNT(EY5:EY9))</f>
        <v>2.25</v>
      </c>
      <c r="EZ4" s="194" t="str">
        <f t="shared" ref="EZ4:EZ21" si="33">IF(EY4="","",IF(EY4&gt;3.7,"A",IF(EY4&gt;2.8,"B",IF(EY4&gt;1.5,"C",IF(EY4&gt;0,"D",IF(EY4=0,""))))))</f>
        <v>C</v>
      </c>
      <c r="FA4" s="172"/>
      <c r="FB4" s="109"/>
      <c r="FC4" s="109"/>
      <c r="FD4" s="110"/>
      <c r="FE4" s="178">
        <f>IF(COUNT(FE5:FE9)=0,"",SUM(FE5:FE9)/COUNT(FE5:FE9))</f>
        <v>2.5</v>
      </c>
      <c r="FF4" s="202" t="str">
        <f t="shared" ref="FF4:FF21" si="34">IF(FE4="","",IF(FE4&gt;3.7,"A",IF(FE4&gt;2.8,"B",IF(FE4&gt;1.5,"C",IF(FE4&gt;0,"D",IF(FE4=0,""))))))</f>
        <v>C</v>
      </c>
      <c r="FG4" s="203">
        <f>IF(COUNT(FG5:FG9)=0,"",SUM(FG5:FG9)/COUNT(FG5:FG9))</f>
        <v>2.25</v>
      </c>
      <c r="FH4" s="204" t="str">
        <f t="shared" ref="FH4:FH21" si="35">IF(FG4="","",IF(FG4&gt;3.7,"A",IF(FG4&gt;2.8,"B",IF(FG4&gt;1.5,"C",IF(FG4&gt;0,"D",IF(FG4=0,""))))))</f>
        <v>C</v>
      </c>
      <c r="FI4" s="171"/>
      <c r="FJ4" s="84"/>
      <c r="FK4" s="104"/>
      <c r="FL4" s="178">
        <f>IF(COUNT(FL5:FL9)=0,"",SUM(FL5:FL9)/COUNT(FL5:FL9))</f>
        <v>3</v>
      </c>
      <c r="FM4" s="179" t="str">
        <f t="shared" ref="FM4:FM21" si="36">IF(FL4="","",IF(FL4&gt;3.7,"A",IF(FL4&gt;2.8,"B",IF(FL4&gt;1.5,"C",IF(FL4&gt;0,"D",IF(FL4=0,""))))))</f>
        <v>B</v>
      </c>
      <c r="FN4" s="171"/>
      <c r="FO4" s="84"/>
      <c r="FP4" s="84"/>
      <c r="FQ4" s="178">
        <f>IF(COUNT(FQ5:FQ9)=0,"",SUM(FQ5:FQ9)/COUNT(FQ5:FQ9))</f>
        <v>2</v>
      </c>
      <c r="FR4" s="194" t="str">
        <f t="shared" ref="FR4:FR21" si="37">IF(FQ4="","",IF(FQ4&gt;3.7,"A",IF(FQ4&gt;2.8,"B",IF(FQ4&gt;1.5,"C",IF(FQ4&gt;0,"D",IF(FQ4=0,""))))))</f>
        <v>C</v>
      </c>
      <c r="FS4" s="172"/>
      <c r="FT4" s="109"/>
      <c r="FU4" s="109"/>
      <c r="FV4" s="110"/>
      <c r="FW4" s="178">
        <f>IF(COUNT(FW5:FW9)=0,"",SUM(FW5:FW9)/COUNT(FW5:FW9))</f>
        <v>3</v>
      </c>
      <c r="FX4" s="202" t="str">
        <f t="shared" ref="FX4:FX21" si="38">IF(FW4="","",IF(FW4&gt;3.7,"A",IF(FW4&gt;2.8,"B",IF(FW4&gt;1.5,"C",IF(FW4&gt;0,"D",IF(FW4=0,""))))))</f>
        <v>B</v>
      </c>
      <c r="FY4" s="203">
        <f>IF(COUNT(FY5:FY9)=0,"",SUM(FY5:FY9)/COUNT(FY5:FY9))</f>
        <v>2.625</v>
      </c>
      <c r="FZ4" s="204" t="str">
        <f t="shared" ref="FZ4:FZ21" si="39">IF(FY4="","",IF(FY4&gt;3.7,"A",IF(FY4&gt;2.8,"B",IF(FY4&gt;1.5,"C",IF(FY4&gt;0,"D",IF(FY4=0,""))))))</f>
        <v>C</v>
      </c>
      <c r="GA4" s="171"/>
      <c r="GB4" s="84"/>
      <c r="GC4" s="104"/>
      <c r="GD4" s="178">
        <f>IF(COUNT(GD5:GD9)=0,"",SUM(GD5:GD9)/COUNT(GD5:GD9))</f>
        <v>2.5</v>
      </c>
      <c r="GE4" s="179" t="str">
        <f t="shared" ref="GE4:GE21" si="40">IF(GD4="","",IF(GD4&gt;3.7,"A",IF(GD4&gt;2.8,"B",IF(GD4&gt;1.5,"C",IF(GD4&gt;0,"D",IF(GD4=0,""))))))</f>
        <v>C</v>
      </c>
      <c r="GF4" s="171"/>
      <c r="GG4" s="84"/>
      <c r="GH4" s="84"/>
      <c r="GI4" s="178">
        <f>IF(COUNT(GI5:GI9)=0,"",SUM(GI5:GI9)/COUNT(GI5:GI9))</f>
        <v>2.5</v>
      </c>
      <c r="GJ4" s="194" t="str">
        <f t="shared" ref="GJ4:GJ21" si="41">IF(GI4="","",IF(GI4&gt;3.7,"A",IF(GI4&gt;2.8,"B",IF(GI4&gt;1.5,"C",IF(GI4&gt;0,"D",IF(GI4=0,""))))))</f>
        <v>C</v>
      </c>
      <c r="GK4" s="172"/>
      <c r="GL4" s="109"/>
      <c r="GM4" s="109"/>
      <c r="GN4" s="110"/>
      <c r="GO4" s="178">
        <f>IF(COUNT(GO5:GO9)=0,"",SUM(GO5:GO9)/COUNT(GO5:GO9))</f>
        <v>3.75</v>
      </c>
      <c r="GP4" s="202" t="str">
        <f t="shared" ref="GP4:GP21" si="42">IF(GO4="","",IF(GO4&gt;3.7,"A",IF(GO4&gt;2.8,"B",IF(GO4&gt;1.5,"C",IF(GO4&gt;0,"D",IF(GO4=0,""))))))</f>
        <v>A</v>
      </c>
      <c r="GQ4" s="203">
        <f>IF(COUNT(GQ5:GQ9)=0,"",SUM(GQ5:GQ9)/COUNT(GQ5:GQ9))</f>
        <v>2.8333333333333335</v>
      </c>
      <c r="GR4" s="204" t="str">
        <f t="shared" ref="GR4:GR21" si="43">IF(GQ4="","",IF(GQ4&gt;3.7,"A",IF(GQ4&gt;2.8,"B",IF(GQ4&gt;1.5,"C",IF(GQ4&gt;0,"D",IF(GQ4=0,""))))))</f>
        <v>B</v>
      </c>
      <c r="GS4" s="171"/>
      <c r="GT4" s="84"/>
      <c r="GU4" s="104"/>
      <c r="GV4" s="178">
        <f>IF(COUNT(GV5:GV9)=0,"",SUM(GV5:GV9)/COUNT(GV5:GV9))</f>
        <v>3.25</v>
      </c>
      <c r="GW4" s="179" t="str">
        <f t="shared" ref="GW4:GW21" si="44">IF(GV4="","",IF(GV4&gt;3.7,"A",IF(GV4&gt;2.8,"B",IF(GV4&gt;1.5,"C",IF(GV4&gt;0,"D",IF(GV4=0,""))))))</f>
        <v>B</v>
      </c>
      <c r="GX4" s="171"/>
      <c r="GY4" s="84"/>
      <c r="GZ4" s="84"/>
      <c r="HA4" s="178">
        <f>IF(COUNT(HA5:HA9)=0,"",SUM(HA5:HA9)/COUNT(HA5:HA9))</f>
        <v>2.625</v>
      </c>
      <c r="HB4" s="194" t="str">
        <f t="shared" ref="HB4:HB21" si="45">IF(HA4="","",IF(HA4&gt;3.7,"A",IF(HA4&gt;2.8,"B",IF(HA4&gt;1.5,"C",IF(HA4&gt;0,"D",IF(HA4=0,""))))))</f>
        <v>C</v>
      </c>
      <c r="HC4" s="172"/>
      <c r="HD4" s="109"/>
      <c r="HE4" s="109"/>
      <c r="HF4" s="110"/>
      <c r="HG4" s="178">
        <f>IF(COUNT(HG5:HG9)=0,"",SUM(HG5:HG9)/COUNT(HG5:HG9))</f>
        <v>3.5</v>
      </c>
      <c r="HH4" s="202" t="str">
        <f t="shared" ref="HH4:HH21" si="46">IF(HG4="","",IF(HG4&gt;3.7,"A",IF(HG4&gt;2.8,"B",IF(HG4&gt;1.5,"C",IF(HG4&gt;0,"D",IF(HG4=0,""))))))</f>
        <v>B</v>
      </c>
      <c r="HI4" s="203">
        <f>IF(COUNT(HI5:HI9)=0,"",SUM(HI5:HI9)/COUNT(HI5:HI9))</f>
        <v>2.9166666666666665</v>
      </c>
      <c r="HJ4" s="204" t="str">
        <f t="shared" ref="HJ4:HJ21" si="47">IF(HI4="","",IF(HI4&gt;3.7,"A",IF(HI4&gt;2.8,"B",IF(HI4&gt;1.5,"C",IF(HI4&gt;0,"D",IF(HI4=0,""))))))</f>
        <v>B</v>
      </c>
      <c r="HK4" s="171"/>
      <c r="HL4" s="84"/>
      <c r="HM4" s="104"/>
      <c r="HN4" s="178">
        <f>IF(COUNT(HN5:HN9)=0,"",SUM(HN5:HN9)/COUNT(HN5:HN9))</f>
        <v>2.5</v>
      </c>
      <c r="HO4" s="179" t="str">
        <f t="shared" ref="HO4:HO21" si="48">IF(HN4="","",IF(HN4&gt;3.7,"A",IF(HN4&gt;2.8,"B",IF(HN4&gt;1.5,"C",IF(HN4&gt;0,"D",IF(HN4=0,""))))))</f>
        <v>C</v>
      </c>
      <c r="HP4" s="171"/>
      <c r="HQ4" s="84"/>
      <c r="HR4" s="84"/>
      <c r="HS4" s="178">
        <f>IF(COUNT(HS5:HS9)=0,"",SUM(HS5:HS9)/COUNT(HS5:HS9))</f>
        <v>3</v>
      </c>
      <c r="HT4" s="194" t="str">
        <f t="shared" ref="HT4:HT21" si="49">IF(HS4="","",IF(HS4&gt;3.7,"A",IF(HS4&gt;2.8,"B",IF(HS4&gt;1.5,"C",IF(HS4&gt;0,"D",IF(HS4=0,""))))))</f>
        <v>B</v>
      </c>
      <c r="HU4" s="172"/>
      <c r="HV4" s="109"/>
      <c r="HW4" s="109"/>
      <c r="HX4" s="110"/>
      <c r="HY4" s="178">
        <f>IF(COUNT(HY5:HY9)=0,"",SUM(HY5:HY9)/COUNT(HY5:HY9))</f>
        <v>3.5</v>
      </c>
      <c r="HZ4" s="202" t="str">
        <f t="shared" ref="HZ4:HZ21" si="50">IF(HY4="","",IF(HY4&gt;3.7,"A",IF(HY4&gt;2.8,"B",IF(HY4&gt;1.5,"C",IF(HY4&gt;0,"D",IF(HY4=0,""))))))</f>
        <v>B</v>
      </c>
      <c r="IA4" s="203">
        <f>IF(COUNT(IA5:IA9)=0,"",SUM(IA5:IA9)/COUNT(IA5:IA9))</f>
        <v>2.9583333333333335</v>
      </c>
      <c r="IB4" s="204" t="str">
        <f t="shared" ref="IB4:IB21" si="51">IF(IA4="","",IF(IA4&gt;3.7,"A",IF(IA4&gt;2.8,"B",IF(IA4&gt;1.5,"C",IF(IA4&gt;0,"D",IF(IA4=0,""))))))</f>
        <v>B</v>
      </c>
      <c r="IC4" s="171"/>
      <c r="ID4" s="84"/>
      <c r="IE4" s="104"/>
      <c r="IF4" s="178">
        <f>IF(COUNT(IF5:IF9)=0,"",SUM(IF5:IF9)/COUNT(IF5:IF9))</f>
        <v>2.5</v>
      </c>
      <c r="IG4" s="179" t="str">
        <f t="shared" ref="IG4:IG21" si="52">IF(IF4="","",IF(IF4&gt;3.7,"A",IF(IF4&gt;2.8,"B",IF(IF4&gt;1.5,"C",IF(IF4&gt;0,"D",IF(IF4=0,""))))))</f>
        <v>C</v>
      </c>
      <c r="IH4" s="171"/>
      <c r="II4" s="84"/>
      <c r="IJ4" s="84"/>
      <c r="IK4" s="178">
        <f>IF(COUNT(IK5:IK9)=0,"",SUM(IK5:IK9)/COUNT(IK5:IK9))</f>
        <v>3</v>
      </c>
      <c r="IL4" s="194" t="str">
        <f t="shared" ref="IL4:IL21" si="53">IF(IK4="","",IF(IK4&gt;3.7,"A",IF(IK4&gt;2.8,"B",IF(IK4&gt;1.5,"C",IF(IK4&gt;0,"D",IF(IK4=0,""))))))</f>
        <v>B</v>
      </c>
      <c r="IM4" s="172"/>
      <c r="IN4" s="109"/>
      <c r="IO4" s="109"/>
      <c r="IP4" s="110"/>
      <c r="IQ4" s="178">
        <f>IF(COUNT(IQ5:IQ9)=0,"",SUM(IQ5:IQ9)/COUNT(IQ5:IQ9))</f>
        <v>2.5</v>
      </c>
      <c r="IR4" s="202" t="str">
        <f t="shared" ref="IR4:IR21" si="54">IF(IQ4="","",IF(IQ4&gt;3.7,"A",IF(IQ4&gt;2.8,"B",IF(IQ4&gt;1.5,"C",IF(IQ4&gt;0,"D",IF(IQ4=0,""))))))</f>
        <v>C</v>
      </c>
      <c r="IS4" s="203">
        <f>IF(COUNT(IS5:IS9)=0,"",SUM(IS5:IS9)/COUNT(IS5:IS9))</f>
        <v>2.7708333333333335</v>
      </c>
      <c r="IT4" s="204" t="str">
        <f t="shared" ref="IT4:IT21" si="55">IF(IS4="","",IF(IS4&gt;3.7,"A",IF(IS4&gt;2.8,"B",IF(IS4&gt;1.5,"C",IF(IS4&gt;0,"D",IF(IS4=0,""))))))</f>
        <v>C</v>
      </c>
      <c r="IU4" s="171"/>
      <c r="IV4" s="84"/>
      <c r="IW4" s="104"/>
      <c r="IX4" s="178">
        <f>IF(COUNT(IX5:IX9)=0,"",SUM(IX5:IX9)/COUNT(IX5:IX9))</f>
        <v>2.75</v>
      </c>
      <c r="IY4" s="179" t="str">
        <f t="shared" ref="IY4:IY21" si="56">IF(IX4="","",IF(IX4&gt;3.7,"A",IF(IX4&gt;2.8,"B",IF(IX4&gt;1.5,"C",IF(IX4&gt;0,"D",IF(IX4=0,""))))))</f>
        <v>C</v>
      </c>
      <c r="IZ4" s="171"/>
      <c r="JA4" s="84"/>
      <c r="JB4" s="84"/>
      <c r="JC4" s="178">
        <f>IF(COUNT(JC5:JC9)=0,"",SUM(JC5:JC9)/COUNT(JC5:JC9))</f>
        <v>3.375</v>
      </c>
      <c r="JD4" s="194" t="str">
        <f t="shared" ref="JD4:JD21" si="57">IF(JC4="","",IF(JC4&gt;3.7,"A",IF(JC4&gt;2.8,"B",IF(JC4&gt;1.5,"C",IF(JC4&gt;0,"D",IF(JC4=0,""))))))</f>
        <v>B</v>
      </c>
      <c r="JE4" s="172"/>
      <c r="JF4" s="109"/>
      <c r="JG4" s="109"/>
      <c r="JH4" s="110"/>
      <c r="JI4" s="178">
        <f>IF(COUNT(JI5:JI9)=0,"",SUM(JI5:JI9)/COUNT(JI5:JI9))</f>
        <v>2.75</v>
      </c>
      <c r="JJ4" s="202" t="str">
        <f t="shared" ref="JJ4:JJ21" si="58">IF(JI4="","",IF(JI4&gt;3.7,"A",IF(JI4&gt;2.8,"B",IF(JI4&gt;1.5,"C",IF(JI4&gt;0,"D",IF(JI4=0,""))))))</f>
        <v>C</v>
      </c>
      <c r="JK4" s="203">
        <f>IF(COUNT(JK5:JK9)=0,"",SUM(JK5:JK9)/COUNT(JK5:JK9))</f>
        <v>3.1041666666666665</v>
      </c>
      <c r="JL4" s="204" t="str">
        <f t="shared" ref="JL4:JL21" si="59">IF(JK4="","",IF(JK4&gt;3.7,"A",IF(JK4&gt;2.8,"B",IF(JK4&gt;1.5,"C",IF(JK4&gt;0,"D",IF(JK4=0,""))))))</f>
        <v>B</v>
      </c>
      <c r="JM4" s="171"/>
      <c r="JN4" s="84"/>
      <c r="JO4" s="104"/>
      <c r="JP4" s="178">
        <f>IF(COUNT(JP5:JP9)=0,"",SUM(JP5:JP9)/COUNT(JP5:JP9))</f>
        <v>3</v>
      </c>
      <c r="JQ4" s="179" t="str">
        <f t="shared" ref="JQ4:JQ21" si="60">IF(JP4="","",IF(JP4&gt;3.7,"A",IF(JP4&gt;2.8,"B",IF(JP4&gt;1.5,"C",IF(JP4&gt;0,"D",IF(JP4=0,""))))))</f>
        <v>B</v>
      </c>
      <c r="JR4" s="171"/>
      <c r="JS4" s="84"/>
      <c r="JT4" s="84"/>
      <c r="JU4" s="178">
        <f>IF(COUNT(JU5:JU9)=0,"",SUM(JU5:JU9)/COUNT(JU5:JU9))</f>
        <v>3</v>
      </c>
      <c r="JV4" s="194" t="str">
        <f t="shared" ref="JV4:JV21" si="61">IF(JU4="","",IF(JU4&gt;3.7,"A",IF(JU4&gt;2.8,"B",IF(JU4&gt;1.5,"C",IF(JU4&gt;0,"D",IF(JU4=0,""))))))</f>
        <v>B</v>
      </c>
      <c r="JW4" s="172"/>
      <c r="JX4" s="109"/>
      <c r="JY4" s="109"/>
      <c r="JZ4" s="110"/>
      <c r="KA4" s="178">
        <f>IF(COUNT(KA5:KA9)=0,"",SUM(KA5:KA9)/COUNT(KA5:KA9))</f>
        <v>3.5</v>
      </c>
      <c r="KB4" s="202" t="str">
        <f t="shared" ref="KB4:KB21" si="62">IF(KA4="","",IF(KA4&gt;3.7,"A",IF(KA4&gt;2.8,"B",IF(KA4&gt;1.5,"C",IF(KA4&gt;0,"D",IF(KA4=0,""))))))</f>
        <v>B</v>
      </c>
      <c r="KC4" s="203">
        <f>IF(COUNT(KC5:KC9)=0,"",SUM(KC5:KC9)/COUNT(KC5:KC9))</f>
        <v>3.25</v>
      </c>
      <c r="KD4" s="204" t="str">
        <f t="shared" ref="KD4:KD21" si="63">IF(KC4="","",IF(KC4&gt;3.7,"A",IF(KC4&gt;2.8,"B",IF(KC4&gt;1.5,"C",IF(KC4&gt;0,"D",IF(KC4=0,""))))))</f>
        <v>B</v>
      </c>
      <c r="KE4" s="171"/>
      <c r="KF4" s="84"/>
      <c r="KG4" s="104"/>
      <c r="KH4" s="178">
        <f>IF(COUNT(KH5:KH9)=0,"",SUM(KH5:KH9)/COUNT(KH5:KH9))</f>
        <v>3</v>
      </c>
      <c r="KI4" s="179" t="str">
        <f t="shared" ref="KI4:KI21" si="64">IF(KH4="","",IF(KH4&gt;3.7,"A",IF(KH4&gt;2.8,"B",IF(KH4&gt;1.5,"C",IF(KH4&gt;0,"D",IF(KH4=0,""))))))</f>
        <v>B</v>
      </c>
      <c r="KJ4" s="171"/>
      <c r="KK4" s="84"/>
      <c r="KL4" s="84"/>
      <c r="KM4" s="178">
        <f>IF(COUNT(KM5:KM9)=0,"",SUM(KM5:KM9)/COUNT(KM5:KM9))</f>
        <v>2.6666666666666665</v>
      </c>
      <c r="KN4" s="194" t="str">
        <f t="shared" ref="KN4:KN21" si="65">IF(KM4="","",IF(KM4&gt;3.7,"A",IF(KM4&gt;2.8,"B",IF(KM4&gt;1.5,"C",IF(KM4&gt;0,"D",IF(KM4=0,""))))))</f>
        <v>C</v>
      </c>
      <c r="KO4" s="172"/>
      <c r="KP4" s="109"/>
      <c r="KQ4" s="109"/>
      <c r="KR4" s="110"/>
      <c r="KS4" s="178">
        <f>IF(COUNT(KS5:KS9)=0,"",SUM(KS5:KS9)/COUNT(KS5:KS9))</f>
        <v>2.5</v>
      </c>
      <c r="KT4" s="202" t="str">
        <f t="shared" ref="KT4:KT21" si="66">IF(KS4="","",IF(KS4&gt;3.7,"A",IF(KS4&gt;2.8,"B",IF(KS4&gt;1.5,"C",IF(KS4&gt;0,"D",IF(KS4=0,""))))))</f>
        <v>C</v>
      </c>
      <c r="KU4" s="203">
        <f>IF(COUNT(KU5:KU9)=0,"",SUM(KU5:KU9)/COUNT(KU5:KU9))</f>
        <v>2.7083333333333335</v>
      </c>
      <c r="KV4" s="204" t="str">
        <f t="shared" ref="KV4:KV21" si="67">IF(KU4="","",IF(KU4&gt;3.7,"A",IF(KU4&gt;2.8,"B",IF(KU4&gt;1.5,"C",IF(KU4&gt;0,"D",IF(KU4=0,""))))))</f>
        <v>C</v>
      </c>
      <c r="KW4" s="171"/>
      <c r="KX4" s="84"/>
      <c r="KY4" s="104"/>
      <c r="KZ4" s="178">
        <f>IF(COUNT(KZ5:KZ9)=0,"",SUM(KZ5:KZ9)/COUNT(KZ5:KZ9))</f>
        <v>2.5</v>
      </c>
      <c r="LA4" s="179" t="str">
        <f t="shared" ref="LA4:LA21" si="68">IF(KZ4="","",IF(KZ4&gt;3.7,"A",IF(KZ4&gt;2.8,"B",IF(KZ4&gt;1.5,"C",IF(KZ4&gt;0,"D",IF(KZ4=0,""))))))</f>
        <v>C</v>
      </c>
      <c r="LB4" s="171"/>
      <c r="LC4" s="84"/>
      <c r="LD4" s="84"/>
      <c r="LE4" s="178">
        <f>IF(COUNT(LE5:LE9)=0,"",SUM(LE5:LE9)/COUNT(LE5:LE9))</f>
        <v>3.25</v>
      </c>
      <c r="LF4" s="194" t="str">
        <f t="shared" ref="LF4:LF21" si="69">IF(LE4="","",IF(LE4&gt;3.7,"A",IF(LE4&gt;2.8,"B",IF(LE4&gt;1.5,"C",IF(LE4&gt;0,"D",IF(LE4=0,""))))))</f>
        <v>B</v>
      </c>
      <c r="LG4" s="172"/>
      <c r="LH4" s="109"/>
      <c r="LI4" s="109"/>
      <c r="LJ4" s="110"/>
      <c r="LK4" s="178">
        <f>IF(COUNT(LK5:LK9)=0,"",SUM(LK5:LK9)/COUNT(LK5:LK9))</f>
        <v>3.5</v>
      </c>
      <c r="LL4" s="202" t="str">
        <f t="shared" ref="LL4:LL21" si="70">IF(LK4="","",IF(LK4&gt;3.7,"A",IF(LK4&gt;2.8,"B",IF(LK4&gt;1.5,"C",IF(LK4&gt;0,"D",IF(LK4=0,""))))))</f>
        <v>B</v>
      </c>
      <c r="LM4" s="203">
        <f>IF(COUNT(LM5:LM9)=0,"",SUM(LM5:LM9)/COUNT(LM5:LM9))</f>
        <v>3.25</v>
      </c>
      <c r="LN4" s="204" t="str">
        <f t="shared" ref="LN4:LN21" si="71">IF(LM4="","",IF(LM4&gt;3.7,"A",IF(LM4&gt;2.8,"B",IF(LM4&gt;1.5,"C",IF(LM4&gt;0,"D",IF(LM4=0,""))))))</f>
        <v>B</v>
      </c>
      <c r="LO4" s="171"/>
      <c r="LP4" s="84"/>
      <c r="LQ4" s="104"/>
      <c r="LR4" s="178">
        <f>IF(COUNT(LR5:LR9)=0,"",SUM(LR5:LR9)/COUNT(LR5:LR9))</f>
        <v>2.75</v>
      </c>
      <c r="LS4" s="179" t="str">
        <f t="shared" ref="LS4:LS21" si="72">IF(LR4="","",IF(LR4&gt;3.7,"A",IF(LR4&gt;2.8,"B",IF(LR4&gt;1.5,"C",IF(LR4&gt;0,"D",IF(LR4=0,""))))))</f>
        <v>C</v>
      </c>
      <c r="LT4" s="171"/>
      <c r="LU4" s="84"/>
      <c r="LV4" s="84"/>
      <c r="LW4" s="178">
        <f>IF(COUNT(LW5:LW9)=0,"",SUM(LW5:LW9)/COUNT(LW5:LW9))</f>
        <v>2.5</v>
      </c>
      <c r="LX4" s="194" t="str">
        <f t="shared" ref="LX4:LX21" si="73">IF(LW4="","",IF(LW4&gt;3.7,"A",IF(LW4&gt;2.8,"B",IF(LW4&gt;1.5,"C",IF(LW4&gt;0,"D",IF(LW4=0,""))))))</f>
        <v>C</v>
      </c>
      <c r="LY4" s="172"/>
      <c r="LZ4" s="109"/>
      <c r="MA4" s="109"/>
      <c r="MB4" s="110"/>
      <c r="MC4" s="178">
        <f>IF(COUNT(MC5:MC9)=0,"",SUM(MC5:MC9)/COUNT(MC5:MC9))</f>
        <v>1.5</v>
      </c>
      <c r="MD4" s="202" t="str">
        <f t="shared" ref="MD4:MD21" si="74">IF(MC4="","",IF(MC4&gt;3.7,"A",IF(MC4&gt;2.8,"B",IF(MC4&gt;1.5,"C",IF(MC4&gt;0,"D",IF(MC4=0,""))))))</f>
        <v>D</v>
      </c>
      <c r="ME4" s="203">
        <f>IF(COUNT(ME5:ME9)=0,"",SUM(ME5:ME9)/COUNT(ME5:ME9))</f>
        <v>2.4166666666666665</v>
      </c>
      <c r="MF4" s="204" t="str">
        <f t="shared" ref="MF4:MF21" si="75">IF(ME4="","",IF(ME4&gt;3.7,"A",IF(ME4&gt;2.8,"B",IF(ME4&gt;1.5,"C",IF(ME4&gt;0,"D",IF(ME4=0,""))))))</f>
        <v>C</v>
      </c>
      <c r="MG4" s="171"/>
      <c r="MH4" s="84"/>
      <c r="MI4" s="104"/>
      <c r="MJ4" s="178">
        <f>IF(COUNT(MJ5:MJ9)=0,"",SUM(MJ5:MJ9)/COUNT(MJ5:MJ9))</f>
        <v>2.5</v>
      </c>
      <c r="MK4" s="179" t="str">
        <f t="shared" ref="MK4:MK21" si="76">IF(MJ4="","",IF(MJ4&gt;3.7,"A",IF(MJ4&gt;2.8,"B",IF(MJ4&gt;1.5,"C",IF(MJ4&gt;0,"D",IF(MJ4=0,""))))))</f>
        <v>C</v>
      </c>
      <c r="ML4" s="171"/>
      <c r="MM4" s="84"/>
      <c r="MN4" s="84"/>
      <c r="MO4" s="178">
        <f>IF(COUNT(MO5:MO9)=0,"",SUM(MO5:MO9)/COUNT(MO5:MO9))</f>
        <v>3.125</v>
      </c>
      <c r="MP4" s="194" t="str">
        <f t="shared" ref="MP4:MP21" si="77">IF(MO4="","",IF(MO4&gt;3.7,"A",IF(MO4&gt;2.8,"B",IF(MO4&gt;1.5,"C",IF(MO4&gt;0,"D",IF(MO4=0,""))))))</f>
        <v>B</v>
      </c>
      <c r="MQ4" s="172"/>
      <c r="MR4" s="109"/>
      <c r="MS4" s="109"/>
      <c r="MT4" s="110"/>
      <c r="MU4" s="178">
        <f>IF(COUNT(MU5:MU9)=0,"",SUM(MU5:MU9)/COUNT(MU5:MU9))</f>
        <v>2.75</v>
      </c>
      <c r="MV4" s="202" t="str">
        <f t="shared" ref="MV4:MV21" si="78">IF(MU4="","",IF(MU4&gt;3.7,"A",IF(MU4&gt;2.8,"B",IF(MU4&gt;1.5,"C",IF(MU4&gt;0,"D",IF(MU4=0,""))))))</f>
        <v>C</v>
      </c>
      <c r="MW4" s="203">
        <f>IF(COUNT(MW5:MW9)=0,"",SUM(MW5:MW9)/COUNT(MW5:MW9))</f>
        <v>2.875</v>
      </c>
      <c r="MX4" s="204" t="str">
        <f t="shared" ref="MX4:MX21" si="79">IF(MW4="","",IF(MW4&gt;3.7,"A",IF(MW4&gt;2.8,"B",IF(MW4&gt;1.5,"C",IF(MW4&gt;0,"D",IF(MW4=0,""))))))</f>
        <v>B</v>
      </c>
      <c r="MY4" s="171"/>
      <c r="MZ4" s="84"/>
      <c r="NA4" s="104"/>
      <c r="NB4" s="178">
        <f>IF(COUNT(NB5:NB9)=0,"",SUM(NB5:NB9)/COUNT(NB5:NB9))</f>
        <v>2.75</v>
      </c>
      <c r="NC4" s="179" t="str">
        <f t="shared" ref="NC4:NC21" si="80">IF(NB4="","",IF(NB4&gt;3.7,"A",IF(NB4&gt;2.8,"B",IF(NB4&gt;1.5,"C",IF(NB4&gt;0,"D",IF(NB4=0,""))))))</f>
        <v>C</v>
      </c>
      <c r="ND4" s="171"/>
      <c r="NE4" s="84"/>
      <c r="NF4" s="84"/>
      <c r="NG4" s="178">
        <f>IF(COUNT(NG5:NG9)=0,"",SUM(NG5:NG9)/COUNT(NG5:NG9))</f>
        <v>2.5</v>
      </c>
      <c r="NH4" s="194" t="str">
        <f t="shared" ref="NH4:NH21" si="81">IF(NG4="","",IF(NG4&gt;3.7,"A",IF(NG4&gt;2.8,"B",IF(NG4&gt;1.5,"C",IF(NG4&gt;0,"D",IF(NG4=0,""))))))</f>
        <v>C</v>
      </c>
      <c r="NI4" s="172"/>
      <c r="NJ4" s="109"/>
      <c r="NK4" s="109"/>
      <c r="NL4" s="110"/>
      <c r="NM4" s="178">
        <f>IF(COUNT(NM5:NM9)=0,"",SUM(NM5:NM9)/COUNT(NM5:NM9))</f>
        <v>3.5</v>
      </c>
      <c r="NN4" s="202" t="str">
        <f t="shared" ref="NN4:NN21" si="82">IF(NM4="","",IF(NM4&gt;3.7,"A",IF(NM4&gt;2.8,"B",IF(NM4&gt;1.5,"C",IF(NM4&gt;0,"D",IF(NM4=0,""))))))</f>
        <v>B</v>
      </c>
      <c r="NO4" s="203">
        <f>IF(COUNT(NO5:NO9)=0,"",SUM(NO5:NO9)/COUNT(NO5:NO9))</f>
        <v>2.8333333333333335</v>
      </c>
      <c r="NP4" s="204" t="str">
        <f t="shared" ref="NP4:NP21" si="83">IF(NO4="","",IF(NO4&gt;3.7,"A",IF(NO4&gt;2.8,"B",IF(NO4&gt;1.5,"C",IF(NO4&gt;0,"D",IF(NO4=0,""))))))</f>
        <v>B</v>
      </c>
      <c r="NQ4" s="171"/>
      <c r="NR4" s="84"/>
      <c r="NS4" s="104"/>
      <c r="NT4" s="178">
        <f>IF(COUNT(NT5:NT9)=0,"",SUM(NT5:NT9)/COUNT(NT5:NT9))</f>
        <v>2</v>
      </c>
      <c r="NU4" s="179" t="str">
        <f t="shared" ref="NU4:NU21" si="84">IF(NT4="","",IF(NT4&gt;3.7,"A",IF(NT4&gt;2.8,"B",IF(NT4&gt;1.5,"C",IF(NT4&gt;0,"D",IF(NT4=0,""))))))</f>
        <v>C</v>
      </c>
      <c r="NV4" s="171"/>
      <c r="NW4" s="84"/>
      <c r="NX4" s="84"/>
      <c r="NY4" s="178">
        <f>IF(COUNT(NY5:NY9)=0,"",SUM(NY5:NY9)/COUNT(NY5:NY9))</f>
        <v>2.3333333333333335</v>
      </c>
      <c r="NZ4" s="194" t="str">
        <f t="shared" ref="NZ4:NZ21" si="85">IF(NY4="","",IF(NY4&gt;3.7,"A",IF(NY4&gt;2.8,"B",IF(NY4&gt;1.5,"C",IF(NY4&gt;0,"D",IF(NY4=0,""))))))</f>
        <v>C</v>
      </c>
      <c r="OA4" s="172"/>
      <c r="OB4" s="109"/>
      <c r="OC4" s="109"/>
      <c r="OD4" s="110"/>
      <c r="OE4" s="178">
        <f>IF(COUNT(OE5:OE9)=0,"",SUM(OE5:OE9)/COUNT(OE5:OE9))</f>
        <v>1.5</v>
      </c>
      <c r="OF4" s="202" t="str">
        <f t="shared" ref="OF4:OF21" si="86">IF(OE4="","",IF(OE4&gt;3.7,"A",IF(OE4&gt;2.8,"B",IF(OE4&gt;1.5,"C",IF(OE4&gt;0,"D",IF(OE4=0,""))))))</f>
        <v>D</v>
      </c>
      <c r="OG4" s="203">
        <f>IF(COUNT(OG5:OG9)=0,"",SUM(OG5:OG9)/COUNT(OG5:OG9))</f>
        <v>2.0416666666666665</v>
      </c>
      <c r="OH4" s="204" t="str">
        <f t="shared" ref="OH4:OH21" si="87">IF(OG4="","",IF(OG4&gt;3.7,"A",IF(OG4&gt;2.8,"B",IF(OG4&gt;1.5,"C",IF(OG4&gt;0,"D",IF(OG4=0,""))))))</f>
        <v>C</v>
      </c>
      <c r="OI4" s="171"/>
      <c r="OJ4" s="84"/>
      <c r="OK4" s="104"/>
      <c r="OL4" s="178">
        <f>IF(COUNT(OL5:OL9)=0,"",SUM(OL5:OL9)/COUNT(OL5:OL9))</f>
        <v>3.25</v>
      </c>
      <c r="OM4" s="179" t="str">
        <f t="shared" ref="OM4:OM21" si="88">IF(OL4="","",IF(OL4&gt;3.7,"A",IF(OL4&gt;2.8,"B",IF(OL4&gt;1.5,"C",IF(OL4&gt;0,"D",IF(OL4=0,""))))))</f>
        <v>B</v>
      </c>
      <c r="ON4" s="171"/>
      <c r="OO4" s="84"/>
      <c r="OP4" s="84"/>
      <c r="OQ4" s="178">
        <f>IF(COUNT(OQ5:OQ9)=0,"",SUM(OQ5:OQ9)/COUNT(OQ5:OQ9))</f>
        <v>3.5</v>
      </c>
      <c r="OR4" s="194" t="str">
        <f t="shared" ref="OR4:OR21" si="89">IF(OQ4="","",IF(OQ4&gt;3.7,"A",IF(OQ4&gt;2.8,"B",IF(OQ4&gt;1.5,"C",IF(OQ4&gt;0,"D",IF(OQ4=0,""))))))</f>
        <v>B</v>
      </c>
      <c r="OS4" s="172"/>
      <c r="OT4" s="109"/>
      <c r="OU4" s="109"/>
      <c r="OV4" s="110"/>
      <c r="OW4" s="178">
        <f>IF(COUNT(OW5:OW9)=0,"",SUM(OW5:OW9)/COUNT(OW5:OW9))</f>
        <v>3.5</v>
      </c>
      <c r="OX4" s="202" t="str">
        <f t="shared" ref="OX4:OX21" si="90">IF(OW4="","",IF(OW4&gt;3.7,"A",IF(OW4&gt;2.8,"B",IF(OW4&gt;1.5,"C",IF(OW4&gt;0,"D",IF(OW4=0,""))))))</f>
        <v>B</v>
      </c>
      <c r="OY4" s="203">
        <f>IF(COUNT(OY5:OY9)=0,"",SUM(OY5:OY9)/COUNT(OY5:OY9))</f>
        <v>3.4791666666666665</v>
      </c>
      <c r="OZ4" s="204" t="str">
        <f t="shared" ref="OZ4:OZ21" si="91">IF(OY4="","",IF(OY4&gt;3.7,"A",IF(OY4&gt;2.8,"B",IF(OY4&gt;1.5,"C",IF(OY4&gt;0,"D",IF(OY4=0,""))))))</f>
        <v>B</v>
      </c>
      <c r="PA4" s="171"/>
      <c r="PB4" s="84"/>
      <c r="PC4" s="104"/>
      <c r="PD4" s="178" t="str">
        <f>IF(COUNT(PD5:PD9)=0,"",SUM(PD5:PD9)/COUNT(PD5:PD9))</f>
        <v/>
      </c>
      <c r="PE4" s="179" t="str">
        <f t="shared" ref="PE4:PE21" si="92">IF(PD4="","",IF(PD4&gt;3.7,"A",IF(PD4&gt;2.8,"B",IF(PD4&gt;1.5,"C",IF(PD4&gt;0,"D",IF(PD4=0,""))))))</f>
        <v/>
      </c>
      <c r="PF4" s="171"/>
      <c r="PG4" s="84"/>
      <c r="PH4" s="84"/>
      <c r="PI4" s="178">
        <f>IF(COUNT(PI5:PI9)=0,"",SUM(PI5:PI9)/COUNT(PI5:PI9))</f>
        <v>2.625</v>
      </c>
      <c r="PJ4" s="194" t="str">
        <f t="shared" ref="PJ4:PJ21" si="93">IF(PI4="","",IF(PI4&gt;3.7,"A",IF(PI4&gt;2.8,"B",IF(PI4&gt;1.5,"C",IF(PI4&gt;0,"D",IF(PI4=0,""))))))</f>
        <v>C</v>
      </c>
      <c r="PK4" s="172"/>
      <c r="PL4" s="109"/>
      <c r="PM4" s="109"/>
      <c r="PN4" s="110"/>
      <c r="PO4" s="178">
        <f>IF(COUNT(PO5:PO9)=0,"",SUM(PO5:PO9)/COUNT(PO5:PO9))</f>
        <v>2.75</v>
      </c>
      <c r="PP4" s="202" t="str">
        <f t="shared" ref="PP4:PP21" si="94">IF(PO4="","",IF(PO4&gt;3.7,"A",IF(PO4&gt;2.8,"B",IF(PO4&gt;1.5,"C",IF(PO4&gt;0,"D",IF(PO4=0,""))))))</f>
        <v>C</v>
      </c>
      <c r="PQ4" s="203">
        <f>IF(COUNT(PQ5:PQ9)=0,"",SUM(PQ5:PQ9)/COUNT(PQ5:PQ9))</f>
        <v>2.8125</v>
      </c>
      <c r="PR4" s="204" t="str">
        <f t="shared" ref="PR4:PR21" si="95">IF(PQ4="","",IF(PQ4&gt;3.7,"A",IF(PQ4&gt;2.8,"B",IF(PQ4&gt;1.5,"C",IF(PQ4&gt;0,"D",IF(PQ4=0,""))))))</f>
        <v>B</v>
      </c>
      <c r="PS4" s="171"/>
      <c r="PT4" s="84"/>
      <c r="PU4" s="104"/>
      <c r="PV4" s="178">
        <f>IF(COUNT(PV5:PV9)=0,"",SUM(PV5:PV9)/COUNT(PV5:PV9))</f>
        <v>3.25</v>
      </c>
      <c r="PW4" s="179" t="str">
        <f t="shared" ref="PW4:PW21" si="96">IF(PV4="","",IF(PV4&gt;3.7,"A",IF(PV4&gt;2.8,"B",IF(PV4&gt;1.5,"C",IF(PV4&gt;0,"D",IF(PV4=0,""))))))</f>
        <v>B</v>
      </c>
      <c r="PX4" s="171"/>
      <c r="PY4" s="84"/>
      <c r="PZ4" s="84"/>
      <c r="QA4" s="178">
        <f>IF(COUNT(QA5:QA9)=0,"",SUM(QA5:QA9)/COUNT(QA5:QA9))</f>
        <v>3.125</v>
      </c>
      <c r="QB4" s="194" t="str">
        <f t="shared" ref="QB4:QB21" si="97">IF(QA4="","",IF(QA4&gt;3.7,"A",IF(QA4&gt;2.8,"B",IF(QA4&gt;1.5,"C",IF(QA4&gt;0,"D",IF(QA4=0,""))))))</f>
        <v>B</v>
      </c>
      <c r="QC4" s="172"/>
      <c r="QD4" s="109"/>
      <c r="QE4" s="109"/>
      <c r="QF4" s="110"/>
      <c r="QG4" s="178">
        <f>IF(COUNT(QG5:QG9)=0,"",SUM(QG5:QG9)/COUNT(QG5:QG9))</f>
        <v>3.5</v>
      </c>
      <c r="QH4" s="202" t="str">
        <f t="shared" ref="QH4:QH21" si="98">IF(QG4="","",IF(QG4&gt;3.7,"A",IF(QG4&gt;2.8,"B",IF(QG4&gt;1.5,"C",IF(QG4&gt;0,"D",IF(QG4=0,""))))))</f>
        <v>B</v>
      </c>
      <c r="QI4" s="203">
        <f>IF(COUNT(QI5:QI9)=0,"",SUM(QI5:QI9)/COUNT(QI5:QI9))</f>
        <v>3.2916666666666665</v>
      </c>
      <c r="QJ4" s="204" t="str">
        <f t="shared" ref="QJ4:QJ21" si="99">IF(QI4="","",IF(QI4&gt;3.7,"A",IF(QI4&gt;2.8,"B",IF(QI4&gt;1.5,"C",IF(QI4&gt;0,"D",IF(QI4=0,""))))))</f>
        <v>B</v>
      </c>
      <c r="QK4" s="171"/>
      <c r="QL4" s="84"/>
      <c r="QM4" s="104"/>
      <c r="QN4" s="178">
        <f>IF(COUNT(QN5:QN9)=0,"",SUM(QN5:QN9)/COUNT(QN5:QN9))</f>
        <v>3</v>
      </c>
      <c r="QO4" s="179" t="str">
        <f t="shared" ref="QO4:QO21" si="100">IF(QN4="","",IF(QN4&gt;3.7,"A",IF(QN4&gt;2.8,"B",IF(QN4&gt;1.5,"C",IF(QN4&gt;0,"D",IF(QN4=0,""))))))</f>
        <v>B</v>
      </c>
      <c r="QP4" s="171"/>
      <c r="QQ4" s="84"/>
      <c r="QR4" s="84"/>
      <c r="QS4" s="178">
        <f>IF(COUNT(QS5:QS9)=0,"",SUM(QS5:QS9)/COUNT(QS5:QS9))</f>
        <v>3.25</v>
      </c>
      <c r="QT4" s="194" t="str">
        <f t="shared" ref="QT4:QT21" si="101">IF(QS4="","",IF(QS4&gt;3.7,"A",IF(QS4&gt;2.8,"B",IF(QS4&gt;1.5,"C",IF(QS4&gt;0,"D",IF(QS4=0,""))))))</f>
        <v>B</v>
      </c>
      <c r="QU4" s="172"/>
      <c r="QV4" s="109"/>
      <c r="QW4" s="109"/>
      <c r="QX4" s="110"/>
      <c r="QY4" s="178">
        <f>IF(COUNT(QY5:QY9)=0,"",SUM(QY5:QY9)/COUNT(QY5:QY9))</f>
        <v>2.75</v>
      </c>
      <c r="QZ4" s="202" t="str">
        <f t="shared" ref="QZ4:QZ21" si="102">IF(QY4="","",IF(QY4&gt;3.7,"A",IF(QY4&gt;2.8,"B",IF(QY4&gt;1.5,"C",IF(QY4&gt;0,"D",IF(QY4=0,""))))))</f>
        <v>C</v>
      </c>
      <c r="RA4" s="203">
        <f>IF(COUNT(RA5:RA9)=0,"",SUM(RA5:RA9)/COUNT(RA5:RA9))</f>
        <v>3.0208333333333335</v>
      </c>
      <c r="RB4" s="204" t="str">
        <f t="shared" ref="RB4:RB21" si="103">IF(RA4="","",IF(RA4&gt;3.7,"A",IF(RA4&gt;2.8,"B",IF(RA4&gt;1.5,"C",IF(RA4&gt;0,"D",IF(RA4=0,""))))))</f>
        <v>B</v>
      </c>
      <c r="RC4" s="171"/>
      <c r="RD4" s="84"/>
      <c r="RE4" s="104"/>
      <c r="RF4" s="178">
        <f>IF(COUNT(RF5:RF9)=0,"",SUM(RF5:RF9)/COUNT(RF5:RF9))</f>
        <v>2.75</v>
      </c>
      <c r="RG4" s="179" t="str">
        <f t="shared" ref="RG4:RG21" si="104">IF(RF4="","",IF(RF4&gt;3.7,"A",IF(RF4&gt;2.8,"B",IF(RF4&gt;1.5,"C",IF(RF4&gt;0,"D",IF(RF4=0,""))))))</f>
        <v>C</v>
      </c>
      <c r="RH4" s="171"/>
      <c r="RI4" s="84"/>
      <c r="RJ4" s="84"/>
      <c r="RK4" s="178">
        <f>IF(COUNT(RK5:RK9)=0,"",SUM(RK5:RK9)/COUNT(RK5:RK9))</f>
        <v>2.625</v>
      </c>
      <c r="RL4" s="194" t="str">
        <f t="shared" ref="RL4:RL21" si="105">IF(RK4="","",IF(RK4&gt;3.7,"A",IF(RK4&gt;2.8,"B",IF(RK4&gt;1.5,"C",IF(RK4&gt;0,"D",IF(RK4=0,""))))))</f>
        <v>C</v>
      </c>
      <c r="RM4" s="172"/>
      <c r="RN4" s="109"/>
      <c r="RO4" s="109"/>
      <c r="RP4" s="110"/>
      <c r="RQ4" s="178">
        <f>IF(COUNT(RQ5:RQ9)=0,"",SUM(RQ5:RQ9)/COUNT(RQ5:RQ9))</f>
        <v>2.5</v>
      </c>
      <c r="RR4" s="202" t="str">
        <f t="shared" ref="RR4:RR21" si="106">IF(RQ4="","",IF(RQ4&gt;3.7,"A",IF(RQ4&gt;2.8,"B",IF(RQ4&gt;1.5,"C",IF(RQ4&gt;0,"D",IF(RQ4=0,""))))))</f>
        <v>C</v>
      </c>
      <c r="RS4" s="203">
        <f>IF(COUNT(RS5:RS9)=0,"",SUM(RS5:RS9)/COUNT(RS5:RS9))</f>
        <v>2.5416666666666665</v>
      </c>
      <c r="RT4" s="204" t="str">
        <f t="shared" ref="RT4:RT21" si="107">IF(RS4="","",IF(RS4&gt;3.7,"A",IF(RS4&gt;2.8,"B",IF(RS4&gt;1.5,"C",IF(RS4&gt;0,"D",IF(RS4=0,""))))))</f>
        <v>C</v>
      </c>
      <c r="RU4" s="171"/>
      <c r="RV4" s="84"/>
      <c r="RW4" s="104"/>
      <c r="RX4" s="178">
        <f>IF(COUNT(RX5:RX9)=0,"",SUM(RX5:RX9)/COUNT(RX5:RX9))</f>
        <v>3.25</v>
      </c>
      <c r="RY4" s="179" t="str">
        <f t="shared" ref="RY4:RY21" si="108">IF(RX4="","",IF(RX4&gt;3.7,"A",IF(RX4&gt;2.8,"B",IF(RX4&gt;1.5,"C",IF(RX4&gt;0,"D",IF(RX4=0,""))))))</f>
        <v>B</v>
      </c>
      <c r="RZ4" s="171"/>
      <c r="SA4" s="84"/>
      <c r="SB4" s="84"/>
      <c r="SC4" s="178">
        <f>IF(COUNT(SC5:SC9)=0,"",SUM(SC5:SC9)/COUNT(SC5:SC9))</f>
        <v>3</v>
      </c>
      <c r="SD4" s="194" t="str">
        <f t="shared" ref="SD4:SD21" si="109">IF(SC4="","",IF(SC4&gt;3.7,"A",IF(SC4&gt;2.8,"B",IF(SC4&gt;1.5,"C",IF(SC4&gt;0,"D",IF(SC4=0,""))))))</f>
        <v>B</v>
      </c>
      <c r="SE4" s="172"/>
      <c r="SF4" s="109"/>
      <c r="SG4" s="109"/>
      <c r="SH4" s="110"/>
      <c r="SI4" s="178">
        <f>IF(COUNT(SI5:SI9)=0,"",SUM(SI5:SI9)/COUNT(SI5:SI9))</f>
        <v>3.75</v>
      </c>
      <c r="SJ4" s="202" t="str">
        <f t="shared" ref="SJ4:SJ21" si="110">IF(SI4="","",IF(SI4&gt;3.7,"A",IF(SI4&gt;2.8,"B",IF(SI4&gt;1.5,"C",IF(SI4&gt;0,"D",IF(SI4=0,""))))))</f>
        <v>A</v>
      </c>
      <c r="SK4" s="203">
        <f>IF(COUNT(SK5:SK9)=0,"",SUM(SK5:SK9)/COUNT(SK5:SK9))</f>
        <v>3.2083333333333335</v>
      </c>
      <c r="SL4" s="204" t="str">
        <f t="shared" ref="SL4:SL21" si="111">IF(SK4="","",IF(SK4&gt;3.7,"A",IF(SK4&gt;2.8,"B",IF(SK4&gt;1.5,"C",IF(SK4&gt;0,"D",IF(SK4=0,""))))))</f>
        <v>B</v>
      </c>
      <c r="SM4" s="171"/>
      <c r="SN4" s="84"/>
      <c r="SO4" s="104"/>
      <c r="SP4" s="178">
        <f>IF(COUNT(SP5:SP9)=0,"",SUM(SP5:SP9)/COUNT(SP5:SP9))</f>
        <v>3</v>
      </c>
      <c r="SQ4" s="179" t="str">
        <f t="shared" ref="SQ4:SQ21" si="112">IF(SP4="","",IF(SP4&gt;3.7,"A",IF(SP4&gt;2.8,"B",IF(SP4&gt;1.5,"C",IF(SP4&gt;0,"D",IF(SP4=0,""))))))</f>
        <v>B</v>
      </c>
      <c r="SR4" s="171"/>
      <c r="SS4" s="84"/>
      <c r="ST4" s="84"/>
      <c r="SU4" s="178">
        <f>IF(COUNT(SU5:SU9)=0,"",SUM(SU5:SU9)/COUNT(SU5:SU9))</f>
        <v>3.25</v>
      </c>
      <c r="SV4" s="194" t="str">
        <f t="shared" ref="SV4:SV21" si="113">IF(SU4="","",IF(SU4&gt;3.7,"A",IF(SU4&gt;2.8,"B",IF(SU4&gt;1.5,"C",IF(SU4&gt;0,"D",IF(SU4=0,""))))))</f>
        <v>B</v>
      </c>
      <c r="SW4" s="172"/>
      <c r="SX4" s="109"/>
      <c r="SY4" s="109"/>
      <c r="SZ4" s="110"/>
      <c r="TA4" s="178">
        <f>IF(COUNT(TA5:TA9)=0,"",SUM(TA5:TA9)/COUNT(TA5:TA9))</f>
        <v>2.5</v>
      </c>
      <c r="TB4" s="202" t="str">
        <f t="shared" ref="TB4:TB21" si="114">IF(TA4="","",IF(TA4&gt;3.7,"A",IF(TA4&gt;2.8,"B",IF(TA4&gt;1.5,"C",IF(TA4&gt;0,"D",IF(TA4=0,""))))))</f>
        <v>C</v>
      </c>
      <c r="TC4" s="203">
        <f>IF(COUNT(TC5:TC9)=0,"",SUM(TC5:TC9)/COUNT(TC5:TC9))</f>
        <v>3.0416666666666665</v>
      </c>
      <c r="TD4" s="204" t="str">
        <f t="shared" ref="TD4:TD21" si="115">IF(TC4="","",IF(TC4&gt;3.7,"A",IF(TC4&gt;2.8,"B",IF(TC4&gt;1.5,"C",IF(TC4&gt;0,"D",IF(TC4=0,""))))))</f>
        <v>B</v>
      </c>
      <c r="TE4" s="171"/>
      <c r="TF4" s="84"/>
      <c r="TG4" s="104"/>
      <c r="TH4" s="178">
        <f>IF(COUNT(TH5:TH9)=0,"",SUM(TH5:TH9)/COUNT(TH5:TH9))</f>
        <v>3</v>
      </c>
      <c r="TI4" s="179" t="str">
        <f t="shared" ref="TI4:TI21" si="116">IF(TH4="","",IF(TH4&gt;3.7,"A",IF(TH4&gt;2.8,"B",IF(TH4&gt;1.5,"C",IF(TH4&gt;0,"D",IF(TH4=0,""))))))</f>
        <v>B</v>
      </c>
      <c r="TJ4" s="171"/>
      <c r="TK4" s="84"/>
      <c r="TL4" s="84"/>
      <c r="TM4" s="178">
        <f>IF(COUNT(TM5:TM9)=0,"",SUM(TM5:TM9)/COUNT(TM5:TM9))</f>
        <v>2.625</v>
      </c>
      <c r="TN4" s="194" t="str">
        <f t="shared" ref="TN4:TN21" si="117">IF(TM4="","",IF(TM4&gt;3.7,"A",IF(TM4&gt;2.8,"B",IF(TM4&gt;1.5,"C",IF(TM4&gt;0,"D",IF(TM4=0,""))))))</f>
        <v>C</v>
      </c>
      <c r="TO4" s="172"/>
      <c r="TP4" s="109"/>
      <c r="TQ4" s="109"/>
      <c r="TR4" s="110"/>
      <c r="TS4" s="178">
        <f>IF(COUNT(TS5:TS9)=0,"",SUM(TS5:TS9)/COUNT(TS5:TS9))</f>
        <v>2.75</v>
      </c>
      <c r="TT4" s="202" t="str">
        <f t="shared" ref="TT4:TT21" si="118">IF(TS4="","",IF(TS4&gt;3.7,"A",IF(TS4&gt;2.8,"B",IF(TS4&gt;1.5,"C",IF(TS4&gt;0,"D",IF(TS4=0,""))))))</f>
        <v>C</v>
      </c>
      <c r="TU4" s="203">
        <f>IF(COUNT(TU5:TU9)=0,"",SUM(TU5:TU9)/COUNT(TU5:TU9))</f>
        <v>2.8333333333333335</v>
      </c>
      <c r="TV4" s="204" t="str">
        <f t="shared" ref="TV4:TV21" si="119">IF(TU4="","",IF(TU4&gt;3.7,"A",IF(TU4&gt;2.8,"B",IF(TU4&gt;1.5,"C",IF(TU4&gt;0,"D",IF(TU4=0,""))))))</f>
        <v>B</v>
      </c>
    </row>
    <row r="5" spans="1:542" ht="18" customHeight="1" x14ac:dyDescent="0.25">
      <c r="A5" s="234" t="s">
        <v>12</v>
      </c>
      <c r="B5" s="235"/>
      <c r="C5" s="115" t="s">
        <v>29</v>
      </c>
      <c r="D5" s="116" t="s">
        <v>27</v>
      </c>
      <c r="E5" s="117"/>
      <c r="F5" s="180">
        <f>IFERROR((((COUNTIF('Elève (5ème1)'!C5:E5,"A"))*4)+((COUNTIF('Elève (5ème1)'!C5:E5,"B"))*3)+((COUNTIF('Elève (5ème1)'!C5:E5,"C"))*2)+((COUNTIF('Elève (5ème1)'!C5:E5,"D"))*1))/(COUNTA(C5:E5)),"")</f>
        <v>3</v>
      </c>
      <c r="G5" s="181" t="str">
        <f t="shared" si="0"/>
        <v>B</v>
      </c>
      <c r="H5" s="115"/>
      <c r="I5" s="116"/>
      <c r="J5" s="117"/>
      <c r="K5" s="180" t="str">
        <f>IFERROR((((COUNTIF('Elève (5ème1)'!H5:J5,"A"))*4)+((COUNTIF('Elève (5ème1)'!H5:J5,"B"))*3)+((COUNTIF('Elève (5ème1)'!H5:J5,"C"))*2)+((COUNTIF('Elève (5ème1)'!H5:J5,"D"))*1))/(COUNTA(H5:J5)),"")</f>
        <v/>
      </c>
      <c r="L5" s="181" t="str">
        <f t="shared" si="1"/>
        <v/>
      </c>
      <c r="M5" s="115"/>
      <c r="N5" s="116"/>
      <c r="O5" s="117"/>
      <c r="P5" s="117"/>
      <c r="Q5" s="180" t="str">
        <f>IFERROR((((COUNTIF('Elève (5ème1)'!M5:P5,"A"))*4)+((COUNTIF('Elève (5ème1)'!M5:P5,"B"))*3)+((COUNTIF('Elève (5ème1)'!M5:P5,"C"))*2)+((COUNTIF('Elève (5ème1)'!M5:P5,"D"))*1))/(COUNTA(M5:P5)),"")</f>
        <v/>
      </c>
      <c r="R5" s="181" t="str">
        <f t="shared" si="2"/>
        <v/>
      </c>
      <c r="S5" s="180">
        <f>IF(COUNT(F5,K5,Q5)=0,"",SUM(F5,K5,Q5)/COUNT(F5,K5,Q5))</f>
        <v>3</v>
      </c>
      <c r="T5" s="205" t="str">
        <f t="shared" si="3"/>
        <v>B</v>
      </c>
      <c r="U5" s="115" t="s">
        <v>29</v>
      </c>
      <c r="V5" s="116" t="s">
        <v>28</v>
      </c>
      <c r="W5" s="117"/>
      <c r="X5" s="180">
        <f>IFERROR((((COUNTIF('Elève (5ème1)'!U5:W5,"A"))*4)+((COUNTIF('Elève (5ème1)'!U5:W5,"B"))*3)+((COUNTIF('Elève (5ème1)'!U5:W5,"C"))*2)+((COUNTIF('Elève (5ème1)'!U5:W5,"D"))*1))/(COUNTA(U5:W5)),"")</f>
        <v>2.5</v>
      </c>
      <c r="Y5" s="181" t="str">
        <f t="shared" si="4"/>
        <v>C</v>
      </c>
      <c r="Z5" s="115" t="s">
        <v>29</v>
      </c>
      <c r="AA5" s="116"/>
      <c r="AB5" s="117"/>
      <c r="AC5" s="180">
        <f>IFERROR((((COUNTIF('Elève (5ème1)'!Z5:AB5,"A"))*4)+((COUNTIF('Elève (5ème1)'!Z5:AB5,"B"))*3)+((COUNTIF('Elève (5ème1)'!Z5:AB5,"C"))*2)+((COUNTIF('Elève (5ème1)'!Z5:AB5,"D"))*1))/(COUNTA(Z5:AB5)),"")</f>
        <v>2</v>
      </c>
      <c r="AD5" s="181" t="str">
        <f t="shared" si="5"/>
        <v>C</v>
      </c>
      <c r="AE5" s="115"/>
      <c r="AF5" s="116"/>
      <c r="AG5" s="117"/>
      <c r="AH5" s="121"/>
      <c r="AI5" s="180" t="str">
        <f>IFERROR((((COUNTIF('Elève (5ème1)'!AE5:AH5,"A"))*4)+((COUNTIF('Elève (5ème1)'!AE5:AH5,"B"))*3)+((COUNTIF('Elève (5ème1)'!AE5:AH5,"C"))*2)+((COUNTIF('Elève (5ème1)'!AE5:AH5,"D"))*1))/(COUNTA(AE5:AH5)),"")</f>
        <v/>
      </c>
      <c r="AJ5" s="181" t="str">
        <f t="shared" si="6"/>
        <v/>
      </c>
      <c r="AK5" s="180">
        <f>IF(COUNT(X5,AC5,AI5)=0,"",SUM(X5,AC5,AI5)/COUNT(X5,AC5,AI5))</f>
        <v>2.25</v>
      </c>
      <c r="AL5" s="205" t="str">
        <f t="shared" si="7"/>
        <v>C</v>
      </c>
      <c r="AM5" s="115" t="s">
        <v>29</v>
      </c>
      <c r="AN5" s="116" t="s">
        <v>29</v>
      </c>
      <c r="AO5" s="117"/>
      <c r="AP5" s="180">
        <f>IFERROR((((COUNTIF('Elève (5ème1)'!AM5:AO5,"A"))*4)+((COUNTIF('Elève (5ème1)'!AM5:AO5,"B"))*3)+((COUNTIF('Elève (5ème1)'!AM5:AO5,"C"))*2)+((COUNTIF('Elève (5ème1)'!AM5:AO5,"D"))*1))/(COUNTA(AM5:AO5)),"")</f>
        <v>2</v>
      </c>
      <c r="AQ5" s="181" t="str">
        <f t="shared" si="8"/>
        <v>C</v>
      </c>
      <c r="AR5" s="115" t="s">
        <v>28</v>
      </c>
      <c r="AS5" s="116"/>
      <c r="AT5" s="117"/>
      <c r="AU5" s="180">
        <f>IFERROR((((COUNTIF('Elève (5ème1)'!AR5:AT5,"A"))*4)+((COUNTIF('Elève (5ème1)'!AR5:AT5,"B"))*3)+((COUNTIF('Elève (5ème1)'!AR5:AT5,"C"))*2)+((COUNTIF('Elève (5ème1)'!AR5:AT5,"D"))*1))/(COUNTA(AR5:AT5)),"")</f>
        <v>3</v>
      </c>
      <c r="AV5" s="181" t="str">
        <f t="shared" si="9"/>
        <v>B</v>
      </c>
      <c r="AW5" s="115"/>
      <c r="AX5" s="116"/>
      <c r="AY5" s="117"/>
      <c r="AZ5" s="121"/>
      <c r="BA5" s="180" t="str">
        <f>IFERROR((((COUNTIF('Elève (5ème1)'!AW5:AZ5,"A"))*4)+((COUNTIF('Elève (5ème1)'!AW5:AZ5,"B"))*3)+((COUNTIF('Elève (5ème1)'!AW5:AZ5,"C"))*2)+((COUNTIF('Elève (5ème1)'!AW5:AZ5,"D"))*1))/(COUNTA(AW5:AZ5)),"")</f>
        <v/>
      </c>
      <c r="BB5" s="181" t="str">
        <f t="shared" si="10"/>
        <v/>
      </c>
      <c r="BC5" s="180">
        <f>IF(COUNT(AP5,AU5,BA5)=0,"",SUM(AP5,AU5,BA5)/COUNT(AP5,AU5,BA5))</f>
        <v>2.5</v>
      </c>
      <c r="BD5" s="205" t="str">
        <f t="shared" si="11"/>
        <v>C</v>
      </c>
      <c r="BE5" s="115" t="s">
        <v>30</v>
      </c>
      <c r="BF5" s="116" t="s">
        <v>29</v>
      </c>
      <c r="BG5" s="117"/>
      <c r="BH5" s="180">
        <f>IFERROR((((COUNTIF('Elève (5ème1)'!BE5:BG5,"A"))*4)+((COUNTIF('Elève (5ème1)'!BE5:BG5,"B"))*3)+((COUNTIF('Elève (5ème1)'!BE5:BG5,"C"))*2)+((COUNTIF('Elève (5ème1)'!BE5:BG5,"D"))*1))/(COUNTA(BE5:BG5)),"")</f>
        <v>1.5</v>
      </c>
      <c r="BI5" s="181" t="str">
        <f t="shared" si="12"/>
        <v>D</v>
      </c>
      <c r="BJ5" s="115" t="s">
        <v>29</v>
      </c>
      <c r="BK5" s="116"/>
      <c r="BL5" s="117"/>
      <c r="BM5" s="180">
        <f>IFERROR((((COUNTIF('Elève (5ème1)'!BJ5:BL5,"A"))*4)+((COUNTIF('Elève (5ème1)'!BJ5:BL5,"B"))*3)+((COUNTIF('Elève (5ème1)'!BJ5:BL5,"C"))*2)+((COUNTIF('Elève (5ème1)'!BJ5:BL5,"D"))*1))/(COUNTA(BJ5:BL5)),"")</f>
        <v>2</v>
      </c>
      <c r="BN5" s="181" t="str">
        <f t="shared" si="13"/>
        <v>C</v>
      </c>
      <c r="BO5" s="115"/>
      <c r="BP5" s="116"/>
      <c r="BQ5" s="117"/>
      <c r="BR5" s="121"/>
      <c r="BS5" s="180" t="str">
        <f>IFERROR((((COUNTIF('Elève (5ème1)'!BO5:BR5,"A"))*4)+((COUNTIF('Elève (5ème1)'!BO5:BR5,"B"))*3)+((COUNTIF('Elève (5ème1)'!BO5:BR5,"C"))*2)+((COUNTIF('Elève (5ème1)'!BO5:BR5,"D"))*1))/(COUNTA(BO5:BR5)),"")</f>
        <v/>
      </c>
      <c r="BT5" s="181" t="str">
        <f t="shared" si="14"/>
        <v/>
      </c>
      <c r="BU5" s="180">
        <f>IF(COUNT(BH5,BM5,BS5)=0,"",SUM(BH5,BM5,BS5)/COUNT(BH5,BM5,BS5))</f>
        <v>1.75</v>
      </c>
      <c r="BV5" s="205" t="str">
        <f t="shared" si="15"/>
        <v>C</v>
      </c>
      <c r="BW5" s="115" t="s">
        <v>29</v>
      </c>
      <c r="BX5" s="116" t="s">
        <v>29</v>
      </c>
      <c r="BY5" s="117"/>
      <c r="BZ5" s="180">
        <f>IFERROR((((COUNTIF('Elève (5ème1)'!BW5:BY5,"A"))*4)+((COUNTIF('Elève (5ème1)'!BW5:BY5,"B"))*3)+((COUNTIF('Elève (5ème1)'!BW5:BY5,"C"))*2)+((COUNTIF('Elève (5ème1)'!BW5:BY5,"D"))*1))/(COUNTA(BW5:BY5)),"")</f>
        <v>2</v>
      </c>
      <c r="CA5" s="181" t="str">
        <f t="shared" si="16"/>
        <v>C</v>
      </c>
      <c r="CB5" s="115" t="s">
        <v>28</v>
      </c>
      <c r="CC5" s="116"/>
      <c r="CD5" s="117"/>
      <c r="CE5" s="180">
        <f>IFERROR((((COUNTIF('Elève (5ème1)'!CB5:CD5,"A"))*4)+((COUNTIF('Elève (5ème1)'!CB5:CD5,"B"))*3)+((COUNTIF('Elève (5ème1)'!CB5:CD5,"C"))*2)+((COUNTIF('Elève (5ème1)'!CB5:CD5,"D"))*1))/(COUNTA(CB5:CD5)),"")</f>
        <v>3</v>
      </c>
      <c r="CF5" s="181" t="str">
        <f t="shared" si="17"/>
        <v>B</v>
      </c>
      <c r="CG5" s="115"/>
      <c r="CH5" s="116"/>
      <c r="CI5" s="117"/>
      <c r="CJ5" s="121"/>
      <c r="CK5" s="180" t="str">
        <f>IFERROR((((COUNTIF('Elève (5ème1)'!CG5:CJ5,"A"))*4)+((COUNTIF('Elève (5ème1)'!CG5:CJ5,"B"))*3)+((COUNTIF('Elève (5ème1)'!CG5:CJ5,"C"))*2)+((COUNTIF('Elève (5ème1)'!CG5:CJ5,"D"))*1))/(COUNTA(CG5:CJ5)),"")</f>
        <v/>
      </c>
      <c r="CL5" s="181" t="str">
        <f t="shared" si="18"/>
        <v/>
      </c>
      <c r="CM5" s="180">
        <f>IF(COUNT(BZ5,CE5,CK5)=0,"",SUM(BZ5,CE5,CK5)/COUNT(BZ5,CE5,CK5))</f>
        <v>2.5</v>
      </c>
      <c r="CN5" s="205" t="str">
        <f t="shared" si="19"/>
        <v>C</v>
      </c>
      <c r="CO5" s="115" t="s">
        <v>29</v>
      </c>
      <c r="CP5" s="116" t="s">
        <v>27</v>
      </c>
      <c r="CQ5" s="117"/>
      <c r="CR5" s="180">
        <f>IFERROR((((COUNTIF('Elève (5ème1)'!CO5:CQ5,"A"))*4)+((COUNTIF('Elève (5ème1)'!CO5:CQ5,"B"))*3)+((COUNTIF('Elève (5ème1)'!CO5:CQ5,"C"))*2)+((COUNTIF('Elève (5ème1)'!CO5:CQ5,"D"))*1))/(COUNTA(CO5:CQ5)),"")</f>
        <v>3</v>
      </c>
      <c r="CS5" s="181" t="str">
        <f t="shared" si="20"/>
        <v>B</v>
      </c>
      <c r="CT5" s="115" t="s">
        <v>29</v>
      </c>
      <c r="CU5" s="116"/>
      <c r="CV5" s="117"/>
      <c r="CW5" s="180">
        <f>IFERROR((((COUNTIF('Elève (5ème1)'!CT5:CV5,"A"))*4)+((COUNTIF('Elève (5ème1)'!CT5:CV5,"B"))*3)+((COUNTIF('Elève (5ème1)'!CT5:CV5,"C"))*2)+((COUNTIF('Elève (5ème1)'!CT5:CV5,"D"))*1))/(COUNTA(CT5:CV5)),"")</f>
        <v>2</v>
      </c>
      <c r="CX5" s="181" t="str">
        <f t="shared" si="21"/>
        <v>C</v>
      </c>
      <c r="CY5" s="115"/>
      <c r="CZ5" s="116"/>
      <c r="DA5" s="117"/>
      <c r="DB5" s="121"/>
      <c r="DC5" s="180" t="str">
        <f>IFERROR((((COUNTIF('Elève (5ème1)'!CY5:DB5,"A"))*4)+((COUNTIF('Elève (5ème1)'!CY5:DB5,"B"))*3)+((COUNTIF('Elève (5ème1)'!CY5:DB5,"C"))*2)+((COUNTIF('Elève (5ème1)'!CY5:DB5,"D"))*1))/(COUNTA(CY5:DB5)),"")</f>
        <v/>
      </c>
      <c r="DD5" s="181" t="str">
        <f t="shared" si="22"/>
        <v/>
      </c>
      <c r="DE5" s="180">
        <f>IF(COUNT(CR5,CW5,DC5)=0,"",SUM(CR5,CW5,DC5)/COUNT(CR5,CW5,DC5))</f>
        <v>2.5</v>
      </c>
      <c r="DF5" s="205" t="str">
        <f t="shared" si="23"/>
        <v>C</v>
      </c>
      <c r="DG5" s="115" t="s">
        <v>29</v>
      </c>
      <c r="DH5" s="116" t="s">
        <v>29</v>
      </c>
      <c r="DI5" s="117"/>
      <c r="DJ5" s="180">
        <f>IFERROR((((COUNTIF('Elève (5ème1)'!DG5:DI5,"A"))*4)+((COUNTIF('Elève (5ème1)'!DG5:DI5,"B"))*3)+((COUNTIF('Elève (5ème1)'!DG5:DI5,"C"))*2)+((COUNTIF('Elève (5ème1)'!DG5:DI5,"D"))*1))/(COUNTA(DG5:DI5)),"")</f>
        <v>2</v>
      </c>
      <c r="DK5" s="181" t="str">
        <f t="shared" si="24"/>
        <v>C</v>
      </c>
      <c r="DL5" s="115" t="s">
        <v>28</v>
      </c>
      <c r="DM5" s="116"/>
      <c r="DN5" s="117"/>
      <c r="DO5" s="180">
        <f>IFERROR((((COUNTIF('Elève (5ème1)'!DL5:DN5,"A"))*4)+((COUNTIF('Elève (5ème1)'!DL5:DN5,"B"))*3)+((COUNTIF('Elève (5ème1)'!DL5:DN5,"C"))*2)+((COUNTIF('Elève (5ème1)'!DL5:DN5,"D"))*1))/(COUNTA(DL5:DN5)),"")</f>
        <v>3</v>
      </c>
      <c r="DP5" s="181" t="str">
        <f t="shared" si="25"/>
        <v>B</v>
      </c>
      <c r="DQ5" s="115"/>
      <c r="DR5" s="116"/>
      <c r="DS5" s="117"/>
      <c r="DT5" s="121"/>
      <c r="DU5" s="180" t="str">
        <f>IFERROR((((COUNTIF('Elève (5ème1)'!DQ5:DT5,"A"))*4)+((COUNTIF('Elève (5ème1)'!DQ5:DT5,"B"))*3)+((COUNTIF('Elève (5ème1)'!DQ5:DT5,"C"))*2)+((COUNTIF('Elève (5ème1)'!DQ5:DT5,"D"))*1))/(COUNTA(DQ5:DT5)),"")</f>
        <v/>
      </c>
      <c r="DV5" s="181" t="str">
        <f t="shared" si="26"/>
        <v/>
      </c>
      <c r="DW5" s="180">
        <f>IF(COUNT(DJ5,DO5,DU5)=0,"",SUM(DJ5,DO5,DU5)/COUNT(DJ5,DO5,DU5))</f>
        <v>2.5</v>
      </c>
      <c r="DX5" s="205" t="str">
        <f t="shared" si="27"/>
        <v>C</v>
      </c>
      <c r="DY5" s="115" t="s">
        <v>29</v>
      </c>
      <c r="DZ5" s="116" t="s">
        <v>27</v>
      </c>
      <c r="EA5" s="117"/>
      <c r="EB5" s="180">
        <f>IFERROR((((COUNTIF('Elève (5ème1)'!DY5:EA5,"A"))*4)+((COUNTIF('Elève (5ème1)'!DY5:EA5,"B"))*3)+((COUNTIF('Elève (5ème1)'!DY5:EA5,"C"))*2)+((COUNTIF('Elève (5ème1)'!DY5:EA5,"D"))*1))/(COUNTA(DY5:EA5)),"")</f>
        <v>3</v>
      </c>
      <c r="EC5" s="181" t="str">
        <f t="shared" si="28"/>
        <v>B</v>
      </c>
      <c r="ED5" s="115" t="s">
        <v>29</v>
      </c>
      <c r="EE5" s="116"/>
      <c r="EF5" s="117"/>
      <c r="EG5" s="180">
        <f>IFERROR((((COUNTIF('Elève (5ème1)'!ED5:EF5,"A"))*4)+((COUNTIF('Elève (5ème1)'!ED5:EF5,"B"))*3)+((COUNTIF('Elève (5ème1)'!ED5:EF5,"C"))*2)+((COUNTIF('Elève (5ème1)'!ED5:EF5,"D"))*1))/(COUNTA(ED5:EF5)),"")</f>
        <v>2</v>
      </c>
      <c r="EH5" s="181" t="str">
        <f t="shared" si="29"/>
        <v>C</v>
      </c>
      <c r="EI5" s="115"/>
      <c r="EJ5" s="116"/>
      <c r="EK5" s="117"/>
      <c r="EL5" s="121"/>
      <c r="EM5" s="180" t="str">
        <f>IFERROR((((COUNTIF('Elève (5ème1)'!EI5:EL5,"A"))*4)+((COUNTIF('Elève (5ème1)'!EI5:EL5,"B"))*3)+((COUNTIF('Elève (5ème1)'!EI5:EL5,"C"))*2)+((COUNTIF('Elève (5ème1)'!EI5:EL5,"D"))*1))/(COUNTA(EI5:EL5)),"")</f>
        <v/>
      </c>
      <c r="EN5" s="181" t="str">
        <f t="shared" si="30"/>
        <v/>
      </c>
      <c r="EO5" s="180">
        <f>IF(COUNT(EB5,EG5,EM5)=0,"",SUM(EB5,EG5,EM5)/COUNT(EB5,EG5,EM5))</f>
        <v>2.5</v>
      </c>
      <c r="EP5" s="205" t="str">
        <f t="shared" si="31"/>
        <v>C</v>
      </c>
      <c r="EQ5" s="115"/>
      <c r="ER5" s="116"/>
      <c r="ES5" s="117"/>
      <c r="ET5" s="180" t="str">
        <f>IFERROR((((COUNTIF('Elève (5ème1)'!EQ5:ES5,"A"))*4)+((COUNTIF('Elève (5ème1)'!EQ5:ES5,"B"))*3)+((COUNTIF('Elève (5ème1)'!EQ5:ES5,"C"))*2)+((COUNTIF('Elève (5ème1)'!EQ5:ES5,"D"))*1))/(COUNTA(EQ5:ES5)),"")</f>
        <v/>
      </c>
      <c r="EU5" s="181" t="str">
        <f t="shared" si="32"/>
        <v/>
      </c>
      <c r="EV5" s="115" t="s">
        <v>29</v>
      </c>
      <c r="EW5" s="116"/>
      <c r="EX5" s="117"/>
      <c r="EY5" s="180">
        <f>IFERROR((((COUNTIF('Elève (5ème1)'!EV5:EX5,"A"))*4)+((COUNTIF('Elève (5ème1)'!EV5:EX5,"B"))*3)+((COUNTIF('Elève (5ème1)'!EV5:EX5,"C"))*2)+((COUNTIF('Elève (5ème1)'!EV5:EX5,"D"))*1))/(COUNTA(EV5:EX5)),"")</f>
        <v>2</v>
      </c>
      <c r="EZ5" s="181" t="str">
        <f t="shared" si="33"/>
        <v>C</v>
      </c>
      <c r="FA5" s="115"/>
      <c r="FB5" s="116"/>
      <c r="FC5" s="117"/>
      <c r="FD5" s="121"/>
      <c r="FE5" s="180" t="str">
        <f>IFERROR((((COUNTIF('Elève (5ème1)'!FA5:FD5,"A"))*4)+((COUNTIF('Elève (5ème1)'!FA5:FD5,"B"))*3)+((COUNTIF('Elève (5ème1)'!FA5:FD5,"C"))*2)+((COUNTIF('Elève (5ème1)'!FA5:FD5,"D"))*1))/(COUNTA(FA5:FD5)),"")</f>
        <v/>
      </c>
      <c r="FF5" s="181" t="str">
        <f t="shared" si="34"/>
        <v/>
      </c>
      <c r="FG5" s="180">
        <f>IF(COUNT(ET5,EY5,FE5)=0,"",SUM(ET5,EY5,FE5)/COUNT(ET5,EY5,FE5))</f>
        <v>2</v>
      </c>
      <c r="FH5" s="205" t="str">
        <f t="shared" si="35"/>
        <v>C</v>
      </c>
      <c r="FI5" s="115" t="s">
        <v>29</v>
      </c>
      <c r="FJ5" s="116" t="s">
        <v>28</v>
      </c>
      <c r="FK5" s="117"/>
      <c r="FL5" s="180">
        <f>IFERROR((((COUNTIF('Elève (5ème1)'!FI5:FK5,"A"))*4)+((COUNTIF('Elève (5ème1)'!FI5:FK5,"B"))*3)+((COUNTIF('Elève (5ème1)'!FI5:FK5,"C"))*2)+((COUNTIF('Elève (5ème1)'!FI5:FK5,"D"))*1))/(COUNTA(FI5:FK5)),"")</f>
        <v>2.5</v>
      </c>
      <c r="FM5" s="181" t="str">
        <f t="shared" si="36"/>
        <v>C</v>
      </c>
      <c r="FN5" s="115" t="s">
        <v>29</v>
      </c>
      <c r="FO5" s="116"/>
      <c r="FP5" s="117"/>
      <c r="FQ5" s="180">
        <f>IFERROR((((COUNTIF('Elève (5ème1)'!FN5:FP5,"A"))*4)+((COUNTIF('Elève (5ème1)'!FN5:FP5,"B"))*3)+((COUNTIF('Elève (5ème1)'!FN5:FP5,"C"))*2)+((COUNTIF('Elève (5ème1)'!FN5:FP5,"D"))*1))/(COUNTA(FN5:FP5)),"")</f>
        <v>2</v>
      </c>
      <c r="FR5" s="181" t="str">
        <f t="shared" si="37"/>
        <v>C</v>
      </c>
      <c r="FS5" s="115"/>
      <c r="FT5" s="116"/>
      <c r="FU5" s="117"/>
      <c r="FV5" s="121"/>
      <c r="FW5" s="180" t="str">
        <f>IFERROR((((COUNTIF('Elève (5ème1)'!FS5:FV5,"A"))*4)+((COUNTIF('Elève (5ème1)'!FS5:FV5,"B"))*3)+((COUNTIF('Elève (5ème1)'!FS5:FV5,"C"))*2)+((COUNTIF('Elève (5ème1)'!FS5:FV5,"D"))*1))/(COUNTA(FS5:FV5)),"")</f>
        <v/>
      </c>
      <c r="FX5" s="181" t="str">
        <f t="shared" si="38"/>
        <v/>
      </c>
      <c r="FY5" s="180">
        <f>IF(COUNT(FL5,FQ5,FW5)=0,"",SUM(FL5,FQ5,FW5)/COUNT(FL5,FQ5,FW5))</f>
        <v>2.25</v>
      </c>
      <c r="FZ5" s="205" t="str">
        <f t="shared" si="39"/>
        <v>C</v>
      </c>
      <c r="GA5" s="115" t="s">
        <v>29</v>
      </c>
      <c r="GB5" s="116" t="s">
        <v>29</v>
      </c>
      <c r="GC5" s="117"/>
      <c r="GD5" s="180">
        <f>IFERROR((((COUNTIF('Elève (5ème1)'!GA5:GC5,"A"))*4)+((COUNTIF('Elève (5ème1)'!GA5:GC5,"B"))*3)+((COUNTIF('Elève (5ème1)'!GA5:GC5,"C"))*2)+((COUNTIF('Elève (5ème1)'!GA5:GC5,"D"))*1))/(COUNTA(GA5:GC5)),"")</f>
        <v>2</v>
      </c>
      <c r="GE5" s="181" t="str">
        <f t="shared" si="40"/>
        <v>C</v>
      </c>
      <c r="GF5" s="115" t="s">
        <v>28</v>
      </c>
      <c r="GG5" s="116"/>
      <c r="GH5" s="117"/>
      <c r="GI5" s="180">
        <f>IFERROR((((COUNTIF('Elève (5ème1)'!GF5:GH5,"A"))*4)+((COUNTIF('Elève (5ème1)'!GF5:GH5,"B"))*3)+((COUNTIF('Elève (5ème1)'!GF5:GH5,"C"))*2)+((COUNTIF('Elève (5ème1)'!GF5:GH5,"D"))*1))/(COUNTA(GF5:GH5)),"")</f>
        <v>3</v>
      </c>
      <c r="GJ5" s="181" t="str">
        <f t="shared" si="41"/>
        <v>B</v>
      </c>
      <c r="GK5" s="115"/>
      <c r="GL5" s="116"/>
      <c r="GM5" s="117"/>
      <c r="GN5" s="121"/>
      <c r="GO5" s="180" t="str">
        <f>IFERROR((((COUNTIF('Elève (5ème1)'!GK5:GN5,"A"))*4)+((COUNTIF('Elève (5ème1)'!GK5:GN5,"B"))*3)+((COUNTIF('Elève (5ème1)'!GK5:GN5,"C"))*2)+((COUNTIF('Elève (5ème1)'!GK5:GN5,"D"))*1))/(COUNTA(GK5:GN5)),"")</f>
        <v/>
      </c>
      <c r="GP5" s="181" t="str">
        <f t="shared" si="42"/>
        <v/>
      </c>
      <c r="GQ5" s="180">
        <f>IF(COUNT(GD5,GI5,GO5)=0,"",SUM(GD5,GI5,GO5)/COUNT(GD5,GI5,GO5))</f>
        <v>2.5</v>
      </c>
      <c r="GR5" s="205" t="str">
        <f t="shared" si="43"/>
        <v>C</v>
      </c>
      <c r="GS5" s="115" t="s">
        <v>29</v>
      </c>
      <c r="GT5" s="116" t="s">
        <v>27</v>
      </c>
      <c r="GU5" s="117"/>
      <c r="GV5" s="180">
        <f>IFERROR((((COUNTIF('Elève (5ème1)'!GS5:GU5,"A"))*4)+((COUNTIF('Elève (5ème1)'!GS5:GU5,"B"))*3)+((COUNTIF('Elève (5ème1)'!GS5:GU5,"C"))*2)+((COUNTIF('Elève (5ème1)'!GS5:GU5,"D"))*1))/(COUNTA(GS5:GU5)),"")</f>
        <v>3</v>
      </c>
      <c r="GW5" s="181" t="str">
        <f t="shared" si="44"/>
        <v>B</v>
      </c>
      <c r="GX5" s="115" t="s">
        <v>29</v>
      </c>
      <c r="GY5" s="116"/>
      <c r="GZ5" s="117"/>
      <c r="HA5" s="180">
        <f>IFERROR((((COUNTIF('Elève (5ème1)'!GX5:GZ5,"A"))*4)+((COUNTIF('Elève (5ème1)'!GX5:GZ5,"B"))*3)+((COUNTIF('Elève (5ème1)'!GX5:GZ5,"C"))*2)+((COUNTIF('Elève (5ème1)'!GX5:GZ5,"D"))*1))/(COUNTA(GX5:GZ5)),"")</f>
        <v>2</v>
      </c>
      <c r="HB5" s="181" t="str">
        <f t="shared" si="45"/>
        <v>C</v>
      </c>
      <c r="HC5" s="115"/>
      <c r="HD5" s="116"/>
      <c r="HE5" s="117"/>
      <c r="HF5" s="121"/>
      <c r="HG5" s="180" t="str">
        <f>IFERROR((((COUNTIF('Elève (5ème1)'!HC5:HF5,"A"))*4)+((COUNTIF('Elève (5ème1)'!HC5:HF5,"B"))*3)+((COUNTIF('Elève (5ème1)'!HC5:HF5,"C"))*2)+((COUNTIF('Elève (5ème1)'!HC5:HF5,"D"))*1))/(COUNTA(HC5:HF5)),"")</f>
        <v/>
      </c>
      <c r="HH5" s="181" t="str">
        <f t="shared" si="46"/>
        <v/>
      </c>
      <c r="HI5" s="180">
        <f>IF(COUNT(GV5,HA5,HG5)=0,"",SUM(GV5,HA5,HG5)/COUNT(GV5,HA5,HG5))</f>
        <v>2.5</v>
      </c>
      <c r="HJ5" s="205" t="str">
        <f t="shared" si="47"/>
        <v>C</v>
      </c>
      <c r="HK5" s="115" t="s">
        <v>29</v>
      </c>
      <c r="HL5" s="116" t="s">
        <v>29</v>
      </c>
      <c r="HM5" s="117"/>
      <c r="HN5" s="180">
        <f>IFERROR((((COUNTIF('Elève (5ème1)'!HK5:HM5,"A"))*4)+((COUNTIF('Elève (5ème1)'!HK5:HM5,"B"))*3)+((COUNTIF('Elève (5ème1)'!HK5:HM5,"C"))*2)+((COUNTIF('Elève (5ème1)'!HK5:HM5,"D"))*1))/(COUNTA(HK5:HM5)),"")</f>
        <v>2</v>
      </c>
      <c r="HO5" s="181" t="str">
        <f t="shared" si="48"/>
        <v>C</v>
      </c>
      <c r="HP5" s="115" t="s">
        <v>28</v>
      </c>
      <c r="HQ5" s="116"/>
      <c r="HR5" s="117"/>
      <c r="HS5" s="180">
        <f>IFERROR((((COUNTIF('Elève (5ème1)'!HP5:HR5,"A"))*4)+((COUNTIF('Elève (5ème1)'!HP5:HR5,"B"))*3)+((COUNTIF('Elève (5ème1)'!HP5:HR5,"C"))*2)+((COUNTIF('Elève (5ème1)'!HP5:HR5,"D"))*1))/(COUNTA(HP5:HR5)),"")</f>
        <v>3</v>
      </c>
      <c r="HT5" s="181" t="str">
        <f t="shared" si="49"/>
        <v>B</v>
      </c>
      <c r="HU5" s="115"/>
      <c r="HV5" s="116"/>
      <c r="HW5" s="117"/>
      <c r="HX5" s="121"/>
      <c r="HY5" s="180" t="str">
        <f>IFERROR((((COUNTIF('Elève (5ème1)'!HU5:HX5,"A"))*4)+((COUNTIF('Elève (5ème1)'!HU5:HX5,"B"))*3)+((COUNTIF('Elève (5ème1)'!HU5:HX5,"C"))*2)+((COUNTIF('Elève (5ème1)'!HU5:HX5,"D"))*1))/(COUNTA(HU5:HX5)),"")</f>
        <v/>
      </c>
      <c r="HZ5" s="181" t="str">
        <f t="shared" si="50"/>
        <v/>
      </c>
      <c r="IA5" s="180">
        <f>IF(COUNT(HN5,HS5,HY5)=0,"",SUM(HN5,HS5,HY5)/COUNT(HN5,HS5,HY5))</f>
        <v>2.5</v>
      </c>
      <c r="IB5" s="205" t="str">
        <f t="shared" si="51"/>
        <v>C</v>
      </c>
      <c r="IC5" s="115" t="s">
        <v>30</v>
      </c>
      <c r="ID5" s="116" t="s">
        <v>27</v>
      </c>
      <c r="IE5" s="117"/>
      <c r="IF5" s="180">
        <f>IFERROR((((COUNTIF('Elève (5ème1)'!IC5:IE5,"A"))*4)+((COUNTIF('Elève (5ème1)'!IC5:IE5,"B"))*3)+((COUNTIF('Elève (5ème1)'!IC5:IE5,"C"))*2)+((COUNTIF('Elève (5ème1)'!IC5:IE5,"D"))*1))/(COUNTA(IC5:IE5)),"")</f>
        <v>2.5</v>
      </c>
      <c r="IG5" s="181" t="str">
        <f t="shared" si="52"/>
        <v>C</v>
      </c>
      <c r="IH5" s="115" t="s">
        <v>28</v>
      </c>
      <c r="II5" s="116"/>
      <c r="IJ5" s="117"/>
      <c r="IK5" s="180">
        <f>IFERROR((((COUNTIF('Elève (5ème1)'!IH5:IJ5,"A"))*4)+((COUNTIF('Elève (5ème1)'!IH5:IJ5,"B"))*3)+((COUNTIF('Elève (5ème1)'!IH5:IJ5,"C"))*2)+((COUNTIF('Elève (5ème1)'!IH5:IJ5,"D"))*1))/(COUNTA(IH5:IJ5)),"")</f>
        <v>3</v>
      </c>
      <c r="IL5" s="181" t="str">
        <f t="shared" si="53"/>
        <v>B</v>
      </c>
      <c r="IM5" s="115"/>
      <c r="IN5" s="116"/>
      <c r="IO5" s="117"/>
      <c r="IP5" s="121"/>
      <c r="IQ5" s="180" t="str">
        <f>IFERROR((((COUNTIF('Elève (5ème1)'!IM5:IP5,"A"))*4)+((COUNTIF('Elève (5ème1)'!IM5:IP5,"B"))*3)+((COUNTIF('Elève (5ème1)'!IM5:IP5,"C"))*2)+((COUNTIF('Elève (5ème1)'!IM5:IP5,"D"))*1))/(COUNTA(IM5:IP5)),"")</f>
        <v/>
      </c>
      <c r="IR5" s="181" t="str">
        <f t="shared" si="54"/>
        <v/>
      </c>
      <c r="IS5" s="180">
        <f>IF(COUNT(IF5,IK5,IQ5)=0,"",SUM(IF5,IK5,IQ5)/COUNT(IF5,IK5,IQ5))</f>
        <v>2.75</v>
      </c>
      <c r="IT5" s="205" t="str">
        <f t="shared" si="55"/>
        <v>C</v>
      </c>
      <c r="IU5" s="115" t="s">
        <v>28</v>
      </c>
      <c r="IV5" s="116" t="s">
        <v>29</v>
      </c>
      <c r="IW5" s="117"/>
      <c r="IX5" s="180">
        <f>IFERROR((((COUNTIF('Elève (5ème1)'!IU5:IW5,"A"))*4)+((COUNTIF('Elève (5ème1)'!IU5:IW5,"B"))*3)+((COUNTIF('Elève (5ème1)'!IU5:IW5,"C"))*2)+((COUNTIF('Elève (5ème1)'!IU5:IW5,"D"))*1))/(COUNTA(IU5:IW5)),"")</f>
        <v>2.5</v>
      </c>
      <c r="IY5" s="181" t="str">
        <f t="shared" si="56"/>
        <v>C</v>
      </c>
      <c r="IZ5" s="115" t="s">
        <v>28</v>
      </c>
      <c r="JA5" s="116"/>
      <c r="JB5" s="117"/>
      <c r="JC5" s="180">
        <f>IFERROR((((COUNTIF('Elève (5ème1)'!IZ5:JB5,"A"))*4)+((COUNTIF('Elève (5ème1)'!IZ5:JB5,"B"))*3)+((COUNTIF('Elève (5ème1)'!IZ5:JB5,"C"))*2)+((COUNTIF('Elève (5ème1)'!IZ5:JB5,"D"))*1))/(COUNTA(IZ5:JB5)),"")</f>
        <v>3</v>
      </c>
      <c r="JD5" s="181" t="str">
        <f t="shared" si="57"/>
        <v>B</v>
      </c>
      <c r="JE5" s="115"/>
      <c r="JF5" s="116"/>
      <c r="JG5" s="117"/>
      <c r="JH5" s="121"/>
      <c r="JI5" s="180" t="str">
        <f>IFERROR((((COUNTIF('Elève (5ème1)'!JE5:JH5,"A"))*4)+((COUNTIF('Elève (5ème1)'!JE5:JH5,"B"))*3)+((COUNTIF('Elève (5ème1)'!JE5:JH5,"C"))*2)+((COUNTIF('Elève (5ème1)'!JE5:JH5,"D"))*1))/(COUNTA(JE5:JH5)),"")</f>
        <v/>
      </c>
      <c r="JJ5" s="181" t="str">
        <f t="shared" si="58"/>
        <v/>
      </c>
      <c r="JK5" s="180">
        <f>IF(COUNT(IX5,JC5,JI5)=0,"",SUM(IX5,JC5,JI5)/COUNT(IX5,JC5,JI5))</f>
        <v>2.75</v>
      </c>
      <c r="JL5" s="205" t="str">
        <f t="shared" si="59"/>
        <v>C</v>
      </c>
      <c r="JM5" s="115" t="s">
        <v>29</v>
      </c>
      <c r="JN5" s="116" t="s">
        <v>27</v>
      </c>
      <c r="JO5" s="117"/>
      <c r="JP5" s="180">
        <f>IFERROR((((COUNTIF('Elève (5ème1)'!JM5:JO5,"A"))*4)+((COUNTIF('Elève (5ème1)'!JM5:JO5,"B"))*3)+((COUNTIF('Elève (5ème1)'!JM5:JO5,"C"))*2)+((COUNTIF('Elève (5ème1)'!JM5:JO5,"D"))*1))/(COUNTA(JM5:JO5)),"")</f>
        <v>3</v>
      </c>
      <c r="JQ5" s="181" t="str">
        <f t="shared" si="60"/>
        <v>B</v>
      </c>
      <c r="JR5" s="115" t="s">
        <v>28</v>
      </c>
      <c r="JS5" s="116"/>
      <c r="JT5" s="117"/>
      <c r="JU5" s="180">
        <f>IFERROR((((COUNTIF('Elève (5ème1)'!JR5:JT5,"A"))*4)+((COUNTIF('Elève (5ème1)'!JR5:JT5,"B"))*3)+((COUNTIF('Elève (5ème1)'!JR5:JT5,"C"))*2)+((COUNTIF('Elève (5ème1)'!JR5:JT5,"D"))*1))/(COUNTA(JR5:JT5)),"")</f>
        <v>3</v>
      </c>
      <c r="JV5" s="181" t="str">
        <f t="shared" si="61"/>
        <v>B</v>
      </c>
      <c r="JW5" s="115"/>
      <c r="JX5" s="116"/>
      <c r="JY5" s="117"/>
      <c r="JZ5" s="121"/>
      <c r="KA5" s="180" t="str">
        <f>IFERROR((((COUNTIF('Elève (5ème1)'!JW5:JZ5,"A"))*4)+((COUNTIF('Elève (5ème1)'!JW5:JZ5,"B"))*3)+((COUNTIF('Elève (5ème1)'!JW5:JZ5,"C"))*2)+((COUNTIF('Elève (5ème1)'!JW5:JZ5,"D"))*1))/(COUNTA(JW5:JZ5)),"")</f>
        <v/>
      </c>
      <c r="KB5" s="181" t="str">
        <f t="shared" si="62"/>
        <v/>
      </c>
      <c r="KC5" s="180">
        <f>IF(COUNT(JP5,JU5,KA5)=0,"",SUM(JP5,JU5,KA5)/COUNT(JP5,JU5,KA5))</f>
        <v>3</v>
      </c>
      <c r="KD5" s="205" t="str">
        <f t="shared" si="63"/>
        <v>B</v>
      </c>
      <c r="KE5" s="115" t="s">
        <v>28</v>
      </c>
      <c r="KF5" s="116" t="s">
        <v>29</v>
      </c>
      <c r="KG5" s="117"/>
      <c r="KH5" s="180">
        <f>IFERROR((((COUNTIF('Elève (5ème1)'!KE5:KG5,"A"))*4)+((COUNTIF('Elève (5ème1)'!KE5:KG5,"B"))*3)+((COUNTIF('Elève (5ème1)'!KE5:KG5,"C"))*2)+((COUNTIF('Elève (5ème1)'!KE5:KG5,"D"))*1))/(COUNTA(KE5:KG5)),"")</f>
        <v>2.5</v>
      </c>
      <c r="KI5" s="181" t="str">
        <f t="shared" si="64"/>
        <v>C</v>
      </c>
      <c r="KJ5" s="115"/>
      <c r="KK5" s="116"/>
      <c r="KL5" s="117"/>
      <c r="KM5" s="180" t="str">
        <f>IFERROR((((COUNTIF('Elève (5ème1)'!KJ5:KL5,"A"))*4)+((COUNTIF('Elève (5ème1)'!KJ5:KL5,"B"))*3)+((COUNTIF('Elève (5ème1)'!KJ5:KL5,"C"))*2)+((COUNTIF('Elève (5ème1)'!KJ5:KL5,"D"))*1))/(COUNTA(KJ5:KL5)),"")</f>
        <v/>
      </c>
      <c r="KN5" s="181" t="str">
        <f t="shared" si="65"/>
        <v/>
      </c>
      <c r="KO5" s="115"/>
      <c r="KP5" s="116"/>
      <c r="KQ5" s="117"/>
      <c r="KR5" s="121"/>
      <c r="KS5" s="180" t="str">
        <f>IFERROR((((COUNTIF('Elève (5ème1)'!KO5:KR5,"A"))*4)+((COUNTIF('Elève (5ème1)'!KO5:KR5,"B"))*3)+((COUNTIF('Elève (5ème1)'!KO5:KR5,"C"))*2)+((COUNTIF('Elève (5ème1)'!KO5:KR5,"D"))*1))/(COUNTA(KO5:KR5)),"")</f>
        <v/>
      </c>
      <c r="KT5" s="181" t="str">
        <f t="shared" si="66"/>
        <v/>
      </c>
      <c r="KU5" s="180">
        <f>IF(COUNT(KH5,KM5,KS5)=0,"",SUM(KH5,KM5,KS5)/COUNT(KH5,KM5,KS5))</f>
        <v>2.5</v>
      </c>
      <c r="KV5" s="205" t="str">
        <f t="shared" si="67"/>
        <v>C</v>
      </c>
      <c r="KW5" s="115" t="s">
        <v>29</v>
      </c>
      <c r="KX5" s="116" t="s">
        <v>29</v>
      </c>
      <c r="KY5" s="117"/>
      <c r="KZ5" s="180">
        <f>IFERROR((((COUNTIF('Elève (5ème1)'!KW5:KY5,"A"))*4)+((COUNTIF('Elève (5ème1)'!KW5:KY5,"B"))*3)+((COUNTIF('Elève (5ème1)'!KW5:KY5,"C"))*2)+((COUNTIF('Elève (5ème1)'!KW5:KY5,"D"))*1))/(COUNTA(KW5:KY5)),"")</f>
        <v>2</v>
      </c>
      <c r="LA5" s="181" t="str">
        <f t="shared" si="68"/>
        <v>C</v>
      </c>
      <c r="LB5" s="115" t="s">
        <v>28</v>
      </c>
      <c r="LC5" s="116"/>
      <c r="LD5" s="117"/>
      <c r="LE5" s="180">
        <f>IFERROR((((COUNTIF('Elève (5ème1)'!LB5:LD5,"A"))*4)+((COUNTIF('Elève (5ème1)'!LB5:LD5,"B"))*3)+((COUNTIF('Elève (5ème1)'!LB5:LD5,"C"))*2)+((COUNTIF('Elève (5ème1)'!LB5:LD5,"D"))*1))/(COUNTA(LB5:LD5)),"")</f>
        <v>3</v>
      </c>
      <c r="LF5" s="181" t="str">
        <f t="shared" si="69"/>
        <v>B</v>
      </c>
      <c r="LG5" s="115"/>
      <c r="LH5" s="116"/>
      <c r="LI5" s="117"/>
      <c r="LJ5" s="121"/>
      <c r="LK5" s="180" t="str">
        <f>IFERROR((((COUNTIF('Elève (5ème1)'!LG5:LJ5,"A"))*4)+((COUNTIF('Elève (5ème1)'!LG5:LJ5,"B"))*3)+((COUNTIF('Elève (5ème1)'!LG5:LJ5,"C"))*2)+((COUNTIF('Elève (5ème1)'!LG5:LJ5,"D"))*1))/(COUNTA(LG5:LJ5)),"")</f>
        <v/>
      </c>
      <c r="LL5" s="181" t="str">
        <f t="shared" si="70"/>
        <v/>
      </c>
      <c r="LM5" s="180">
        <f>IF(COUNT(KZ5,LE5,LK5)=0,"",SUM(KZ5,LE5,LK5)/COUNT(KZ5,LE5,LK5))</f>
        <v>2.5</v>
      </c>
      <c r="LN5" s="205" t="str">
        <f t="shared" si="71"/>
        <v>C</v>
      </c>
      <c r="LO5" s="115" t="s">
        <v>29</v>
      </c>
      <c r="LP5" s="116" t="s">
        <v>27</v>
      </c>
      <c r="LQ5" s="117"/>
      <c r="LR5" s="180">
        <f>IFERROR((((COUNTIF('Elève (5ème1)'!LO5:LQ5,"A"))*4)+((COUNTIF('Elève (5ème1)'!LO5:LQ5,"B"))*3)+((COUNTIF('Elève (5ème1)'!LO5:LQ5,"C"))*2)+((COUNTIF('Elève (5ème1)'!LO5:LQ5,"D"))*1))/(COUNTA(LO5:LQ5)),"")</f>
        <v>3</v>
      </c>
      <c r="LS5" s="181" t="str">
        <f t="shared" si="72"/>
        <v>B</v>
      </c>
      <c r="LT5" s="115" t="s">
        <v>29</v>
      </c>
      <c r="LU5" s="116"/>
      <c r="LV5" s="117"/>
      <c r="LW5" s="180">
        <f>IFERROR((((COUNTIF('Elève (5ème1)'!LT5:LV5,"A"))*4)+((COUNTIF('Elève (5ème1)'!LT5:LV5,"B"))*3)+((COUNTIF('Elève (5ème1)'!LT5:LV5,"C"))*2)+((COUNTIF('Elève (5ème1)'!LT5:LV5,"D"))*1))/(COUNTA(LT5:LV5)),"")</f>
        <v>2</v>
      </c>
      <c r="LX5" s="181" t="str">
        <f t="shared" si="73"/>
        <v>C</v>
      </c>
      <c r="LY5" s="115"/>
      <c r="LZ5" s="116"/>
      <c r="MA5" s="117"/>
      <c r="MB5" s="121"/>
      <c r="MC5" s="180" t="str">
        <f>IFERROR((((COUNTIF('Elève (5ème1)'!LY5:MB5,"A"))*4)+((COUNTIF('Elève (5ème1)'!LY5:MB5,"B"))*3)+((COUNTIF('Elève (5ème1)'!LY5:MB5,"C"))*2)+((COUNTIF('Elève (5ème1)'!LY5:MB5,"D"))*1))/(COUNTA(LY5:MB5)),"")</f>
        <v/>
      </c>
      <c r="MD5" s="181" t="str">
        <f t="shared" si="74"/>
        <v/>
      </c>
      <c r="ME5" s="180">
        <f>IF(COUNT(LR5,LW5,MC5)=0,"",SUM(LR5,LW5,MC5)/COUNT(LR5,LW5,MC5))</f>
        <v>2.5</v>
      </c>
      <c r="MF5" s="205" t="str">
        <f t="shared" si="75"/>
        <v>C</v>
      </c>
      <c r="MG5" s="115" t="s">
        <v>29</v>
      </c>
      <c r="MH5" s="116" t="s">
        <v>29</v>
      </c>
      <c r="MI5" s="117"/>
      <c r="MJ5" s="180">
        <f>IFERROR((((COUNTIF('Elève (5ème1)'!MG5:MI5,"A"))*4)+((COUNTIF('Elève (5ème1)'!MG5:MI5,"B"))*3)+((COUNTIF('Elève (5ème1)'!MG5:MI5,"C"))*2)+((COUNTIF('Elève (5ème1)'!MG5:MI5,"D"))*1))/(COUNTA(MG5:MI5)),"")</f>
        <v>2</v>
      </c>
      <c r="MK5" s="181" t="str">
        <f t="shared" si="76"/>
        <v>C</v>
      </c>
      <c r="ML5" s="115" t="s">
        <v>28</v>
      </c>
      <c r="MM5" s="116"/>
      <c r="MN5" s="117"/>
      <c r="MO5" s="180">
        <f>IFERROR((((COUNTIF('Elève (5ème1)'!ML5:MN5,"A"))*4)+((COUNTIF('Elève (5ème1)'!ML5:MN5,"B"))*3)+((COUNTIF('Elève (5ème1)'!ML5:MN5,"C"))*2)+((COUNTIF('Elève (5ème1)'!ML5:MN5,"D"))*1))/(COUNTA(ML5:MN5)),"")</f>
        <v>3</v>
      </c>
      <c r="MP5" s="181" t="str">
        <f t="shared" si="77"/>
        <v>B</v>
      </c>
      <c r="MQ5" s="115"/>
      <c r="MR5" s="116"/>
      <c r="MS5" s="117"/>
      <c r="MT5" s="121"/>
      <c r="MU5" s="180" t="str">
        <f>IFERROR((((COUNTIF('Elève (5ème1)'!MQ5:MT5,"A"))*4)+((COUNTIF('Elève (5ème1)'!MQ5:MT5,"B"))*3)+((COUNTIF('Elève (5ème1)'!MQ5:MT5,"C"))*2)+((COUNTIF('Elève (5ème1)'!MQ5:MT5,"D"))*1))/(COUNTA(MQ5:MT5)),"")</f>
        <v/>
      </c>
      <c r="MV5" s="181" t="str">
        <f t="shared" si="78"/>
        <v/>
      </c>
      <c r="MW5" s="180">
        <f>IF(COUNT(MJ5,MO5,MU5)=0,"",SUM(MJ5,MO5,MU5)/COUNT(MJ5,MO5,MU5))</f>
        <v>2.5</v>
      </c>
      <c r="MX5" s="205" t="str">
        <f t="shared" si="79"/>
        <v>C</v>
      </c>
      <c r="MY5" s="115" t="s">
        <v>29</v>
      </c>
      <c r="MZ5" s="116" t="s">
        <v>29</v>
      </c>
      <c r="NA5" s="117"/>
      <c r="NB5" s="180">
        <f>IFERROR((((COUNTIF('Elève (5ème1)'!MY5:NA5,"A"))*4)+((COUNTIF('Elève (5ème1)'!MY5:NA5,"B"))*3)+((COUNTIF('Elève (5ème1)'!MY5:NA5,"C"))*2)+((COUNTIF('Elève (5ème1)'!MY5:NA5,"D"))*1))/(COUNTA(MY5:NA5)),"")</f>
        <v>2</v>
      </c>
      <c r="NC5" s="181" t="str">
        <f t="shared" si="80"/>
        <v>C</v>
      </c>
      <c r="ND5" s="115" t="s">
        <v>29</v>
      </c>
      <c r="NE5" s="116"/>
      <c r="NF5" s="117"/>
      <c r="NG5" s="180">
        <f>IFERROR((((COUNTIF('Elève (5ème1)'!ND5:NF5,"A"))*4)+((COUNTIF('Elève (5ème1)'!ND5:NF5,"B"))*3)+((COUNTIF('Elève (5ème1)'!ND5:NF5,"C"))*2)+((COUNTIF('Elève (5ème1)'!ND5:NF5,"D"))*1))/(COUNTA(ND5:NF5)),"")</f>
        <v>2</v>
      </c>
      <c r="NH5" s="181" t="str">
        <f t="shared" si="81"/>
        <v>C</v>
      </c>
      <c r="NI5" s="115"/>
      <c r="NJ5" s="116"/>
      <c r="NK5" s="117"/>
      <c r="NL5" s="121"/>
      <c r="NM5" s="180" t="str">
        <f>IFERROR((((COUNTIF('Elève (5ème1)'!NI5:NL5,"A"))*4)+((COUNTIF('Elève (5ème1)'!NI5:NL5,"B"))*3)+((COUNTIF('Elève (5ème1)'!NI5:NL5,"C"))*2)+((COUNTIF('Elève (5ème1)'!NI5:NL5,"D"))*1))/(COUNTA(NI5:NL5)),"")</f>
        <v/>
      </c>
      <c r="NN5" s="181" t="str">
        <f t="shared" si="82"/>
        <v/>
      </c>
      <c r="NO5" s="180">
        <f>IF(COUNT(NB5,NG5,NM5)=0,"",SUM(NB5,NG5,NM5)/COUNT(NB5,NG5,NM5))</f>
        <v>2</v>
      </c>
      <c r="NP5" s="205" t="str">
        <f t="shared" si="83"/>
        <v>C</v>
      </c>
      <c r="NQ5" s="115" t="s">
        <v>30</v>
      </c>
      <c r="NR5" s="116" t="s">
        <v>29</v>
      </c>
      <c r="NS5" s="117"/>
      <c r="NT5" s="180">
        <f>IFERROR((((COUNTIF('Elève (5ème1)'!NQ5:NS5,"A"))*4)+((COUNTIF('Elève (5ème1)'!NQ5:NS5,"B"))*3)+((COUNTIF('Elève (5ème1)'!NQ5:NS5,"C"))*2)+((COUNTIF('Elève (5ème1)'!NQ5:NS5,"D"))*1))/(COUNTA(NQ5:NS5)),"")</f>
        <v>1.5</v>
      </c>
      <c r="NU5" s="181" t="str">
        <f t="shared" si="84"/>
        <v>D</v>
      </c>
      <c r="NV5" s="115"/>
      <c r="NW5" s="116"/>
      <c r="NX5" s="117"/>
      <c r="NY5" s="180" t="str">
        <f>IFERROR((((COUNTIF('Elève (5ème1)'!NV5:NX5,"A"))*4)+((COUNTIF('Elève (5ème1)'!NV5:NX5,"B"))*3)+((COUNTIF('Elève (5ème1)'!NV5:NX5,"C"))*2)+((COUNTIF('Elève (5ème1)'!NV5:NX5,"D"))*1))/(COUNTA(NV5:NX5)),"")</f>
        <v/>
      </c>
      <c r="NZ5" s="181" t="str">
        <f t="shared" si="85"/>
        <v/>
      </c>
      <c r="OA5" s="115"/>
      <c r="OB5" s="116"/>
      <c r="OC5" s="117"/>
      <c r="OD5" s="121"/>
      <c r="OE5" s="180" t="str">
        <f>IFERROR((((COUNTIF('Elève (5ème1)'!OA5:OD5,"A"))*4)+((COUNTIF('Elève (5ème1)'!OA5:OD5,"B"))*3)+((COUNTIF('Elève (5ème1)'!OA5:OD5,"C"))*2)+((COUNTIF('Elève (5ème1)'!OA5:OD5,"D"))*1))/(COUNTA(OA5:OD5)),"")</f>
        <v/>
      </c>
      <c r="OF5" s="181" t="str">
        <f t="shared" si="86"/>
        <v/>
      </c>
      <c r="OG5" s="180">
        <f>IF(COUNT(NT5,NY5,OE5)=0,"",SUM(NT5,NY5,OE5)/COUNT(NT5,NY5,OE5))</f>
        <v>1.5</v>
      </c>
      <c r="OH5" s="205" t="str">
        <f t="shared" si="87"/>
        <v>D</v>
      </c>
      <c r="OI5" s="115" t="s">
        <v>28</v>
      </c>
      <c r="OJ5" s="116" t="s">
        <v>27</v>
      </c>
      <c r="OK5" s="117"/>
      <c r="OL5" s="180">
        <f>IFERROR((((COUNTIF('Elève (5ème1)'!OI5:OK5,"A"))*4)+((COUNTIF('Elève (5ème1)'!OI5:OK5,"B"))*3)+((COUNTIF('Elève (5ème1)'!OI5:OK5,"C"))*2)+((COUNTIF('Elève (5ème1)'!OI5:OK5,"D"))*1))/(COUNTA(OI5:OK5)),"")</f>
        <v>3.5</v>
      </c>
      <c r="OM5" s="181" t="str">
        <f t="shared" si="88"/>
        <v>B</v>
      </c>
      <c r="ON5" s="115" t="s">
        <v>28</v>
      </c>
      <c r="OO5" s="116"/>
      <c r="OP5" s="117"/>
      <c r="OQ5" s="180">
        <f>IFERROR((((COUNTIF('Elève (5ème1)'!ON5:OP5,"A"))*4)+((COUNTIF('Elève (5ème1)'!ON5:OP5,"B"))*3)+((COUNTIF('Elève (5ème1)'!ON5:OP5,"C"))*2)+((COUNTIF('Elève (5ème1)'!ON5:OP5,"D"))*1))/(COUNTA(ON5:OP5)),"")</f>
        <v>3</v>
      </c>
      <c r="OR5" s="181" t="str">
        <f t="shared" si="89"/>
        <v>B</v>
      </c>
      <c r="OS5" s="115"/>
      <c r="OT5" s="116"/>
      <c r="OU5" s="117"/>
      <c r="OV5" s="121"/>
      <c r="OW5" s="180" t="str">
        <f>IFERROR((((COUNTIF('Elève (5ème1)'!OS5:OV5,"A"))*4)+((COUNTIF('Elève (5ème1)'!OS5:OV5,"B"))*3)+((COUNTIF('Elève (5ème1)'!OS5:OV5,"C"))*2)+((COUNTIF('Elève (5ème1)'!OS5:OV5,"D"))*1))/(COUNTA(OS5:OV5)),"")</f>
        <v/>
      </c>
      <c r="OX5" s="181" t="str">
        <f t="shared" si="90"/>
        <v/>
      </c>
      <c r="OY5" s="180">
        <f>IF(COUNT(OL5,OQ5,OW5)=0,"",SUM(OL5,OQ5,OW5)/COUNT(OL5,OQ5,OW5))</f>
        <v>3.25</v>
      </c>
      <c r="OZ5" s="205" t="str">
        <f t="shared" si="91"/>
        <v>B</v>
      </c>
      <c r="PA5" s="115"/>
      <c r="PB5" s="116"/>
      <c r="PC5" s="117"/>
      <c r="PD5" s="180" t="str">
        <f>IFERROR((((COUNTIF('Elève (5ème1)'!PA5:PC5,"A"))*4)+((COUNTIF('Elève (5ème1)'!PA5:PC5,"B"))*3)+((COUNTIF('Elève (5ème1)'!PA5:PC5,"C"))*2)+((COUNTIF('Elève (5ème1)'!PA5:PC5,"D"))*1))/(COUNTA(PA5:PC5)),"")</f>
        <v/>
      </c>
      <c r="PE5" s="181" t="str">
        <f t="shared" si="92"/>
        <v/>
      </c>
      <c r="PF5" s="115" t="s">
        <v>28</v>
      </c>
      <c r="PG5" s="116"/>
      <c r="PH5" s="117"/>
      <c r="PI5" s="180">
        <f>IFERROR((((COUNTIF('Elève (5ème1)'!PF5:PH5,"A"))*4)+((COUNTIF('Elève (5ème1)'!PF5:PH5,"B"))*3)+((COUNTIF('Elève (5ème1)'!PF5:PH5,"C"))*2)+((COUNTIF('Elève (5ème1)'!PF5:PH5,"D"))*1))/(COUNTA(PF5:PH5)),"")</f>
        <v>3</v>
      </c>
      <c r="PJ5" s="181" t="str">
        <f t="shared" si="93"/>
        <v>B</v>
      </c>
      <c r="PK5" s="115"/>
      <c r="PL5" s="116"/>
      <c r="PM5" s="117"/>
      <c r="PN5" s="121"/>
      <c r="PO5" s="180" t="str">
        <f>IFERROR((((COUNTIF('Elève (5ème1)'!PK5:PN5,"A"))*4)+((COUNTIF('Elève (5ème1)'!PK5:PN5,"B"))*3)+((COUNTIF('Elève (5ème1)'!PK5:PN5,"C"))*2)+((COUNTIF('Elève (5ème1)'!PK5:PN5,"D"))*1))/(COUNTA(PK5:PN5)),"")</f>
        <v/>
      </c>
      <c r="PP5" s="181" t="str">
        <f t="shared" si="94"/>
        <v/>
      </c>
      <c r="PQ5" s="180">
        <f>IF(COUNT(PD5,PI5,PO5)=0,"",SUM(PD5,PI5,PO5)/COUNT(PD5,PI5,PO5))</f>
        <v>3</v>
      </c>
      <c r="PR5" s="205" t="str">
        <f t="shared" si="95"/>
        <v>B</v>
      </c>
      <c r="PS5" s="115" t="s">
        <v>29</v>
      </c>
      <c r="PT5" s="116" t="s">
        <v>27</v>
      </c>
      <c r="PU5" s="117"/>
      <c r="PV5" s="180">
        <f>IFERROR((((COUNTIF('Elève (5ème1)'!PS5:PU5,"A"))*4)+((COUNTIF('Elève (5ème1)'!PS5:PU5,"B"))*3)+((COUNTIF('Elève (5ème1)'!PS5:PU5,"C"))*2)+((COUNTIF('Elève (5ème1)'!PS5:PU5,"D"))*1))/(COUNTA(PS5:PU5)),"")</f>
        <v>3</v>
      </c>
      <c r="PW5" s="181" t="str">
        <f t="shared" si="96"/>
        <v>B</v>
      </c>
      <c r="PX5" s="115" t="s">
        <v>28</v>
      </c>
      <c r="PY5" s="116"/>
      <c r="PZ5" s="117"/>
      <c r="QA5" s="180">
        <f>IFERROR((((COUNTIF('Elève (5ème1)'!PX5:PZ5,"A"))*4)+((COUNTIF('Elève (5ème1)'!PX5:PZ5,"B"))*3)+((COUNTIF('Elève (5ème1)'!PX5:PZ5,"C"))*2)+((COUNTIF('Elève (5ème1)'!PX5:PZ5,"D"))*1))/(COUNTA(PX5:PZ5)),"")</f>
        <v>3</v>
      </c>
      <c r="QB5" s="181" t="str">
        <f t="shared" si="97"/>
        <v>B</v>
      </c>
      <c r="QC5" s="115"/>
      <c r="QD5" s="116"/>
      <c r="QE5" s="117"/>
      <c r="QF5" s="121"/>
      <c r="QG5" s="180" t="str">
        <f>IFERROR((((COUNTIF('Elève (5ème1)'!QC5:QF5,"A"))*4)+((COUNTIF('Elève (5ème1)'!QC5:QF5,"B"))*3)+((COUNTIF('Elève (5ème1)'!QC5:QF5,"C"))*2)+((COUNTIF('Elève (5ème1)'!QC5:QF5,"D"))*1))/(COUNTA(QC5:QF5)),"")</f>
        <v/>
      </c>
      <c r="QH5" s="181" t="str">
        <f t="shared" si="98"/>
        <v/>
      </c>
      <c r="QI5" s="180">
        <f>IF(COUNT(PV5,QA5,QG5)=0,"",SUM(PV5,QA5,QG5)/COUNT(PV5,QA5,QG5))</f>
        <v>3</v>
      </c>
      <c r="QJ5" s="205" t="str">
        <f t="shared" si="99"/>
        <v>B</v>
      </c>
      <c r="QK5" s="115" t="s">
        <v>29</v>
      </c>
      <c r="QL5" s="116" t="s">
        <v>28</v>
      </c>
      <c r="QM5" s="117"/>
      <c r="QN5" s="180">
        <f>IFERROR((((COUNTIF('Elève (5ème1)'!QK5:QM5,"A"))*4)+((COUNTIF('Elève (5ème1)'!QK5:QM5,"B"))*3)+((COUNTIF('Elève (5ème1)'!QK5:QM5,"C"))*2)+((COUNTIF('Elève (5ème1)'!QK5:QM5,"D"))*1))/(COUNTA(QK5:QM5)),"")</f>
        <v>2.5</v>
      </c>
      <c r="QO5" s="181" t="str">
        <f t="shared" si="100"/>
        <v>C</v>
      </c>
      <c r="QP5" s="115" t="s">
        <v>28</v>
      </c>
      <c r="QQ5" s="116"/>
      <c r="QR5" s="117"/>
      <c r="QS5" s="180">
        <f>IFERROR((((COUNTIF('Elève (5ème1)'!QP5:QR5,"A"))*4)+((COUNTIF('Elève (5ème1)'!QP5:QR5,"B"))*3)+((COUNTIF('Elève (5ème1)'!QP5:QR5,"C"))*2)+((COUNTIF('Elève (5ème1)'!QP5:QR5,"D"))*1))/(COUNTA(QP5:QR5)),"")</f>
        <v>3</v>
      </c>
      <c r="QT5" s="181" t="str">
        <f t="shared" si="101"/>
        <v>B</v>
      </c>
      <c r="QU5" s="115"/>
      <c r="QV5" s="116"/>
      <c r="QW5" s="117"/>
      <c r="QX5" s="121"/>
      <c r="QY5" s="180" t="str">
        <f>IFERROR((((COUNTIF('Elève (5ème1)'!QU5:QX5,"A"))*4)+((COUNTIF('Elève (5ème1)'!QU5:QX5,"B"))*3)+((COUNTIF('Elève (5ème1)'!QU5:QX5,"C"))*2)+((COUNTIF('Elève (5ème1)'!QU5:QX5,"D"))*1))/(COUNTA(QU5:QX5)),"")</f>
        <v/>
      </c>
      <c r="QZ5" s="181" t="str">
        <f t="shared" si="102"/>
        <v/>
      </c>
      <c r="RA5" s="180">
        <f>IF(COUNT(QN5,QS5,QY5)=0,"",SUM(QN5,QS5,QY5)/COUNT(QN5,QS5,QY5))</f>
        <v>2.75</v>
      </c>
      <c r="RB5" s="205" t="str">
        <f t="shared" si="103"/>
        <v>C</v>
      </c>
      <c r="RC5" s="115" t="s">
        <v>29</v>
      </c>
      <c r="RD5" s="116" t="s">
        <v>29</v>
      </c>
      <c r="RE5" s="117"/>
      <c r="RF5" s="180">
        <f>IFERROR((((COUNTIF('Elève (5ème1)'!RC5:RE5,"A"))*4)+((COUNTIF('Elève (5ème1)'!RC5:RE5,"B"))*3)+((COUNTIF('Elève (5ème1)'!RC5:RE5,"C"))*2)+((COUNTIF('Elève (5ème1)'!RC5:RE5,"D"))*1))/(COUNTA(RC5:RE5)),"")</f>
        <v>2</v>
      </c>
      <c r="RG5" s="181" t="str">
        <f t="shared" si="104"/>
        <v>C</v>
      </c>
      <c r="RH5" s="115" t="s">
        <v>29</v>
      </c>
      <c r="RI5" s="116"/>
      <c r="RJ5" s="117"/>
      <c r="RK5" s="180">
        <f>IFERROR((((COUNTIF('Elève (5ème1)'!RH5:RJ5,"A"))*4)+((COUNTIF('Elève (5ème1)'!RH5:RJ5,"B"))*3)+((COUNTIF('Elève (5ème1)'!RH5:RJ5,"C"))*2)+((COUNTIF('Elève (5ème1)'!RH5:RJ5,"D"))*1))/(COUNTA(RH5:RJ5)),"")</f>
        <v>2</v>
      </c>
      <c r="RL5" s="181" t="str">
        <f t="shared" si="105"/>
        <v>C</v>
      </c>
      <c r="RM5" s="115"/>
      <c r="RN5" s="116"/>
      <c r="RO5" s="117"/>
      <c r="RP5" s="121"/>
      <c r="RQ5" s="180" t="str">
        <f>IFERROR((((COUNTIF('Elève (5ème1)'!RM5:RP5,"A"))*4)+((COUNTIF('Elève (5ème1)'!RM5:RP5,"B"))*3)+((COUNTIF('Elève (5ème1)'!RM5:RP5,"C"))*2)+((COUNTIF('Elève (5ème1)'!RM5:RP5,"D"))*1))/(COUNTA(RM5:RP5)),"")</f>
        <v/>
      </c>
      <c r="RR5" s="181" t="str">
        <f t="shared" si="106"/>
        <v/>
      </c>
      <c r="RS5" s="180">
        <f>IF(COUNT(RF5,RK5,RQ5)=0,"",SUM(RF5,RK5,RQ5)/COUNT(RF5,RK5,RQ5))</f>
        <v>2</v>
      </c>
      <c r="RT5" s="205" t="str">
        <f t="shared" si="107"/>
        <v>C</v>
      </c>
      <c r="RU5" s="115" t="s">
        <v>29</v>
      </c>
      <c r="RV5" s="116" t="s">
        <v>27</v>
      </c>
      <c r="RW5" s="117"/>
      <c r="RX5" s="180">
        <f>IFERROR((((COUNTIF('Elève (5ème1)'!RU5:RW5,"A"))*4)+((COUNTIF('Elève (5ème1)'!RU5:RW5,"B"))*3)+((COUNTIF('Elève (5ème1)'!RU5:RW5,"C"))*2)+((COUNTIF('Elève (5ème1)'!RU5:RW5,"D"))*1))/(COUNTA(RU5:RW5)),"")</f>
        <v>3</v>
      </c>
      <c r="RY5" s="181" t="str">
        <f t="shared" si="108"/>
        <v>B</v>
      </c>
      <c r="RZ5" s="115" t="s">
        <v>28</v>
      </c>
      <c r="SA5" s="116"/>
      <c r="SB5" s="117"/>
      <c r="SC5" s="180">
        <f>IFERROR((((COUNTIF('Elève (5ème1)'!RZ5:SB5,"A"))*4)+((COUNTIF('Elève (5ème1)'!RZ5:SB5,"B"))*3)+((COUNTIF('Elève (5ème1)'!RZ5:SB5,"C"))*2)+((COUNTIF('Elève (5ème1)'!RZ5:SB5,"D"))*1))/(COUNTA(RZ5:SB5)),"")</f>
        <v>3</v>
      </c>
      <c r="SD5" s="181" t="str">
        <f t="shared" si="109"/>
        <v>B</v>
      </c>
      <c r="SE5" s="115"/>
      <c r="SF5" s="116"/>
      <c r="SG5" s="117"/>
      <c r="SH5" s="121"/>
      <c r="SI5" s="180" t="str">
        <f>IFERROR((((COUNTIF('Elève (5ème1)'!SE5:SH5,"A"))*4)+((COUNTIF('Elève (5ème1)'!SE5:SH5,"B"))*3)+((COUNTIF('Elève (5ème1)'!SE5:SH5,"C"))*2)+((COUNTIF('Elève (5ème1)'!SE5:SH5,"D"))*1))/(COUNTA(SE5:SH5)),"")</f>
        <v/>
      </c>
      <c r="SJ5" s="181" t="str">
        <f t="shared" si="110"/>
        <v/>
      </c>
      <c r="SK5" s="180">
        <f>IF(COUNT(RX5,SC5,SI5)=0,"",SUM(RX5,SC5,SI5)/COUNT(RX5,SC5,SI5))</f>
        <v>3</v>
      </c>
      <c r="SL5" s="205" t="str">
        <f t="shared" si="111"/>
        <v>B</v>
      </c>
      <c r="SM5" s="115" t="s">
        <v>28</v>
      </c>
      <c r="SN5" s="116" t="s">
        <v>28</v>
      </c>
      <c r="SO5" s="117"/>
      <c r="SP5" s="180">
        <f>IFERROR((((COUNTIF('Elève (5ème1)'!SM5:SO5,"A"))*4)+((COUNTIF('Elève (5ème1)'!SM5:SO5,"B"))*3)+((COUNTIF('Elève (5ème1)'!SM5:SO5,"C"))*2)+((COUNTIF('Elève (5ème1)'!SM5:SO5,"D"))*1))/(COUNTA(SM5:SO5)),"")</f>
        <v>3</v>
      </c>
      <c r="SQ5" s="181" t="str">
        <f t="shared" si="112"/>
        <v>B</v>
      </c>
      <c r="SR5" s="115" t="s">
        <v>28</v>
      </c>
      <c r="SS5" s="116"/>
      <c r="ST5" s="117"/>
      <c r="SU5" s="180">
        <f>IFERROR((((COUNTIF('Elève (5ème1)'!SR5:ST5,"A"))*4)+((COUNTIF('Elève (5ème1)'!SR5:ST5,"B"))*3)+((COUNTIF('Elève (5ème1)'!SR5:ST5,"C"))*2)+((COUNTIF('Elève (5ème1)'!SR5:ST5,"D"))*1))/(COUNTA(SR5:ST5)),"")</f>
        <v>3</v>
      </c>
      <c r="SV5" s="181" t="str">
        <f t="shared" si="113"/>
        <v>B</v>
      </c>
      <c r="SW5" s="115"/>
      <c r="SX5" s="116"/>
      <c r="SY5" s="117"/>
      <c r="SZ5" s="121"/>
      <c r="TA5" s="180" t="str">
        <f>IFERROR((((COUNTIF('Elève (5ème1)'!SW5:SZ5,"A"))*4)+((COUNTIF('Elève (5ème1)'!SW5:SZ5,"B"))*3)+((COUNTIF('Elève (5ème1)'!SW5:SZ5,"C"))*2)+((COUNTIF('Elève (5ème1)'!SW5:SZ5,"D"))*1))/(COUNTA(SW5:SZ5)),"")</f>
        <v/>
      </c>
      <c r="TB5" s="181" t="str">
        <f t="shared" si="114"/>
        <v/>
      </c>
      <c r="TC5" s="180">
        <f>IF(COUNT(SP5,SU5,TA5)=0,"",SUM(SP5,SU5,TA5)/COUNT(SP5,SU5,TA5))</f>
        <v>3</v>
      </c>
      <c r="TD5" s="205" t="str">
        <f t="shared" si="115"/>
        <v>B</v>
      </c>
      <c r="TE5" s="115" t="s">
        <v>29</v>
      </c>
      <c r="TF5" s="116" t="s">
        <v>27</v>
      </c>
      <c r="TG5" s="117"/>
      <c r="TH5" s="180">
        <f>IFERROR((((COUNTIF('Elève (5ème1)'!TE5:TG5,"A"))*4)+((COUNTIF('Elève (5ème1)'!TE5:TG5,"B"))*3)+((COUNTIF('Elève (5ème1)'!TE5:TG5,"C"))*2)+((COUNTIF('Elève (5ème1)'!TE5:TG5,"D"))*1))/(COUNTA(TE5:TG5)),"")</f>
        <v>3</v>
      </c>
      <c r="TI5" s="181" t="str">
        <f t="shared" si="116"/>
        <v>B</v>
      </c>
      <c r="TJ5" s="115" t="s">
        <v>29</v>
      </c>
      <c r="TK5" s="116"/>
      <c r="TL5" s="117"/>
      <c r="TM5" s="180">
        <f>IFERROR((((COUNTIF('Elève (5ème1)'!TJ5:TL5,"A"))*4)+((COUNTIF('Elève (5ème1)'!TJ5:TL5,"B"))*3)+((COUNTIF('Elève (5ème1)'!TJ5:TL5,"C"))*2)+((COUNTIF('Elève (5ème1)'!TJ5:TL5,"D"))*1))/(COUNTA(TJ5:TL5)),"")</f>
        <v>2</v>
      </c>
      <c r="TN5" s="181" t="str">
        <f t="shared" si="117"/>
        <v>C</v>
      </c>
      <c r="TO5" s="115"/>
      <c r="TP5" s="116"/>
      <c r="TQ5" s="117"/>
      <c r="TR5" s="121"/>
      <c r="TS5" s="180" t="str">
        <f>IFERROR((((COUNTIF('Elève (5ème1)'!TO5:TR5,"A"))*4)+((COUNTIF('Elève (5ème1)'!TO5:TR5,"B"))*3)+((COUNTIF('Elève (5ème1)'!TO5:TR5,"C"))*2)+((COUNTIF('Elève (5ème1)'!TO5:TR5,"D"))*1))/(COUNTA(TO5:TR5)),"")</f>
        <v/>
      </c>
      <c r="TT5" s="181" t="str">
        <f t="shared" si="118"/>
        <v/>
      </c>
      <c r="TU5" s="180">
        <f>IF(COUNT(TH5,TM5,TS5)=0,"",SUM(TH5,TM5,TS5)/COUNT(TH5,TM5,TS5))</f>
        <v>2.5</v>
      </c>
      <c r="TV5" s="205" t="str">
        <f t="shared" si="119"/>
        <v>C</v>
      </c>
    </row>
    <row r="6" spans="1:542" ht="18" customHeight="1" x14ac:dyDescent="0.25">
      <c r="A6" s="236" t="s">
        <v>13</v>
      </c>
      <c r="B6" s="237"/>
      <c r="C6" s="122"/>
      <c r="D6" s="123"/>
      <c r="E6" s="124"/>
      <c r="F6" s="182" t="str">
        <f>IFERROR((((COUNTIF('Elève (5ème1)'!C6:E6,"A"))*4)+((COUNTIF('Elève (5ème1)'!C6:E6,"B"))*3)+((COUNTIF('Elève (5ème1)'!C6:E6,"C"))*2)+((COUNTIF('Elève (5ème1)'!C6:E6,"D"))*1))/(COUNTA(C6:E6)),"")</f>
        <v/>
      </c>
      <c r="G6" s="183" t="str">
        <f t="shared" si="0"/>
        <v/>
      </c>
      <c r="H6" s="122"/>
      <c r="I6" s="123"/>
      <c r="J6" s="124" t="s">
        <v>213</v>
      </c>
      <c r="K6" s="182">
        <f>IFERROR((((COUNTIF('Elève (5ème1)'!H6:J6,"A"))*4)+((COUNTIF('Elève (5ème1)'!H6:J6,"B"))*3)+((COUNTIF('Elève (5ème1)'!H6:J6,"C"))*2)+((COUNTIF('Elève (5ème1)'!H6:J6,"D"))*1))/(COUNTA(H6:J6)),"")</f>
        <v>3</v>
      </c>
      <c r="L6" s="183" t="str">
        <f t="shared" si="1"/>
        <v>B</v>
      </c>
      <c r="M6" s="122"/>
      <c r="N6" s="123"/>
      <c r="O6" s="124"/>
      <c r="P6" s="124"/>
      <c r="Q6" s="182" t="str">
        <f>IFERROR((((COUNTIF('Elève (5ème1)'!M6:P6,"A"))*4)+((COUNTIF('Elève (5ème1)'!M6:P6,"B"))*3)+((COUNTIF('Elève (5ème1)'!M6:P6,"C"))*2)+((COUNTIF('Elève (5ème1)'!M6:P6,"D"))*1))/(COUNTA(M6:P6)),"")</f>
        <v/>
      </c>
      <c r="R6" s="183" t="str">
        <f t="shared" si="2"/>
        <v/>
      </c>
      <c r="S6" s="182">
        <f>IF(COUNT(F6,K6,Q6)=0,"",SUM(F6,K6,Q6)/COUNT(F6,K6,Q6))</f>
        <v>3</v>
      </c>
      <c r="T6" s="206" t="str">
        <f t="shared" si="3"/>
        <v>B</v>
      </c>
      <c r="U6" s="122"/>
      <c r="V6" s="123"/>
      <c r="W6" s="124"/>
      <c r="X6" s="182" t="str">
        <f>IFERROR((((COUNTIF('Elève (5ème1)'!U6:W6,"A"))*4)+((COUNTIF('Elève (5ème1)'!U6:W6,"B"))*3)+((COUNTIF('Elève (5ème1)'!U6:W6,"C"))*2)+((COUNTIF('Elève (5ème1)'!U6:W6,"D"))*1))/(COUNTA(U6:W6)),"")</f>
        <v/>
      </c>
      <c r="Y6" s="183" t="str">
        <f t="shared" si="4"/>
        <v/>
      </c>
      <c r="Z6" s="122" t="s">
        <v>28</v>
      </c>
      <c r="AA6" s="123"/>
      <c r="AB6" s="124" t="s">
        <v>29</v>
      </c>
      <c r="AC6" s="182">
        <f>IFERROR((((COUNTIF('Elève (5ème1)'!Z6:AB6,"A"))*4)+((COUNTIF('Elève (5ème1)'!Z6:AB6,"B"))*3)+((COUNTIF('Elève (5ème1)'!Z6:AB6,"C"))*2)+((COUNTIF('Elève (5ème1)'!Z6:AB6,"D"))*1))/(COUNTA(Z6:AB6)),"")</f>
        <v>2.5</v>
      </c>
      <c r="AD6" s="183" t="str">
        <f t="shared" si="5"/>
        <v>C</v>
      </c>
      <c r="AE6" s="122"/>
      <c r="AF6" s="123"/>
      <c r="AG6" s="124"/>
      <c r="AH6" s="128"/>
      <c r="AI6" s="182" t="str">
        <f>IFERROR((((COUNTIF('Elève (5ème1)'!AE6:AH6,"A"))*4)+((COUNTIF('Elève (5ème1)'!AE6:AH6,"B"))*3)+((COUNTIF('Elève (5ème1)'!AE6:AH6,"C"))*2)+((COUNTIF('Elève (5ème1)'!AE6:AH6,"D"))*1))/(COUNTA(AE6:AH6)),"")</f>
        <v/>
      </c>
      <c r="AJ6" s="183" t="str">
        <f t="shared" si="6"/>
        <v/>
      </c>
      <c r="AK6" s="182">
        <f>IF(COUNT(X6,AC6,AI6)=0,"",SUM(X6,AC6,AI6)/COUNT(X6,AC6,AI6))</f>
        <v>2.5</v>
      </c>
      <c r="AL6" s="206" t="str">
        <f t="shared" si="7"/>
        <v>C</v>
      </c>
      <c r="AM6" s="122"/>
      <c r="AN6" s="123"/>
      <c r="AO6" s="124"/>
      <c r="AP6" s="182" t="str">
        <f>IFERROR((((COUNTIF('Elève (5ème1)'!AM6:AO6,"A"))*4)+((COUNTIF('Elève (5ème1)'!AM6:AO6,"B"))*3)+((COUNTIF('Elève (5ème1)'!AM6:AO6,"C"))*2)+((COUNTIF('Elève (5ème1)'!AM6:AO6,"D"))*1))/(COUNTA(AM6:AO6)),"")</f>
        <v/>
      </c>
      <c r="AQ6" s="183" t="str">
        <f t="shared" si="8"/>
        <v/>
      </c>
      <c r="AR6" s="122" t="s">
        <v>28</v>
      </c>
      <c r="AS6" s="123"/>
      <c r="AT6" s="124" t="s">
        <v>27</v>
      </c>
      <c r="AU6" s="182">
        <f>IFERROR((((COUNTIF('Elève (5ème1)'!AR6:AT6,"A"))*4)+((COUNTIF('Elève (5ème1)'!AR6:AT6,"B"))*3)+((COUNTIF('Elève (5ème1)'!AR6:AT6,"C"))*2)+((COUNTIF('Elève (5ème1)'!AR6:AT6,"D"))*1))/(COUNTA(AR6:AT6)),"")</f>
        <v>3.5</v>
      </c>
      <c r="AV6" s="183" t="str">
        <f t="shared" si="9"/>
        <v>B</v>
      </c>
      <c r="AW6" s="122"/>
      <c r="AX6" s="123"/>
      <c r="AY6" s="124"/>
      <c r="AZ6" s="128"/>
      <c r="BA6" s="182" t="str">
        <f>IFERROR((((COUNTIF('Elève (5ème1)'!AW6:AZ6,"A"))*4)+((COUNTIF('Elève (5ème1)'!AW6:AZ6,"B"))*3)+((COUNTIF('Elève (5ème1)'!AW6:AZ6,"C"))*2)+((COUNTIF('Elève (5ème1)'!AW6:AZ6,"D"))*1))/(COUNTA(AW6:AZ6)),"")</f>
        <v/>
      </c>
      <c r="BB6" s="183" t="str">
        <f t="shared" si="10"/>
        <v/>
      </c>
      <c r="BC6" s="182">
        <f>IF(COUNT(AP6,AU6,BA6)=0,"",SUM(AP6,AU6,BA6)/COUNT(AP6,AU6,BA6))</f>
        <v>3.5</v>
      </c>
      <c r="BD6" s="206" t="str">
        <f t="shared" si="11"/>
        <v>B</v>
      </c>
      <c r="BE6" s="122"/>
      <c r="BF6" s="123"/>
      <c r="BG6" s="124"/>
      <c r="BH6" s="182" t="str">
        <f>IFERROR((((COUNTIF('Elève (5ème1)'!BE6:BG6,"A"))*4)+((COUNTIF('Elève (5ème1)'!BE6:BG6,"B"))*3)+((COUNTIF('Elève (5ème1)'!BE6:BG6,"C"))*2)+((COUNTIF('Elève (5ème1)'!BE6:BG6,"D"))*1))/(COUNTA(BE6:BG6)),"")</f>
        <v/>
      </c>
      <c r="BI6" s="183" t="str">
        <f t="shared" si="12"/>
        <v/>
      </c>
      <c r="BJ6" s="122" t="s">
        <v>28</v>
      </c>
      <c r="BK6" s="123"/>
      <c r="BL6" s="124" t="s">
        <v>28</v>
      </c>
      <c r="BM6" s="182">
        <f>IFERROR((((COUNTIF('Elève (5ème1)'!BJ6:BL6,"A"))*4)+((COUNTIF('Elève (5ème1)'!BJ6:BL6,"B"))*3)+((COUNTIF('Elève (5ème1)'!BJ6:BL6,"C"))*2)+((COUNTIF('Elève (5ème1)'!BJ6:BL6,"D"))*1))/(COUNTA(BJ6:BL6)),"")</f>
        <v>3</v>
      </c>
      <c r="BN6" s="183" t="str">
        <f t="shared" si="13"/>
        <v>B</v>
      </c>
      <c r="BO6" s="122"/>
      <c r="BP6" s="123"/>
      <c r="BQ6" s="124"/>
      <c r="BR6" s="128"/>
      <c r="BS6" s="182" t="str">
        <f>IFERROR((((COUNTIF('Elève (5ème1)'!BO6:BR6,"A"))*4)+((COUNTIF('Elève (5ème1)'!BO6:BR6,"B"))*3)+((COUNTIF('Elève (5ème1)'!BO6:BR6,"C"))*2)+((COUNTIF('Elève (5ème1)'!BO6:BR6,"D"))*1))/(COUNTA(BO6:BR6)),"")</f>
        <v/>
      </c>
      <c r="BT6" s="183" t="str">
        <f t="shared" si="14"/>
        <v/>
      </c>
      <c r="BU6" s="182">
        <f>IF(COUNT(BH6,BM6,BS6)=0,"",SUM(BH6,BM6,BS6)/COUNT(BH6,BM6,BS6))</f>
        <v>3</v>
      </c>
      <c r="BV6" s="206" t="str">
        <f t="shared" si="15"/>
        <v>B</v>
      </c>
      <c r="BW6" s="122"/>
      <c r="BX6" s="123"/>
      <c r="BY6" s="124"/>
      <c r="BZ6" s="182" t="str">
        <f>IFERROR((((COUNTIF('Elève (5ème1)'!BW6:BY6,"A"))*4)+((COUNTIF('Elève (5ème1)'!BW6:BY6,"B"))*3)+((COUNTIF('Elève (5ème1)'!BW6:BY6,"C"))*2)+((COUNTIF('Elève (5ème1)'!BW6:BY6,"D"))*1))/(COUNTA(BW6:BY6)),"")</f>
        <v/>
      </c>
      <c r="CA6" s="183" t="str">
        <f t="shared" si="16"/>
        <v/>
      </c>
      <c r="CB6" s="122" t="s">
        <v>28</v>
      </c>
      <c r="CC6" s="123"/>
      <c r="CD6" s="124" t="s">
        <v>28</v>
      </c>
      <c r="CE6" s="182">
        <f>IFERROR((((COUNTIF('Elève (5ème1)'!CB6:CD6,"A"))*4)+((COUNTIF('Elève (5ème1)'!CB6:CD6,"B"))*3)+((COUNTIF('Elève (5ème1)'!CB6:CD6,"C"))*2)+((COUNTIF('Elève (5ème1)'!CB6:CD6,"D"))*1))/(COUNTA(CB6:CD6)),"")</f>
        <v>3</v>
      </c>
      <c r="CF6" s="183" t="str">
        <f t="shared" si="17"/>
        <v>B</v>
      </c>
      <c r="CG6" s="122"/>
      <c r="CH6" s="123"/>
      <c r="CI6" s="124"/>
      <c r="CJ6" s="128"/>
      <c r="CK6" s="182" t="str">
        <f>IFERROR((((COUNTIF('Elève (5ème1)'!CG6:CJ6,"A"))*4)+((COUNTIF('Elève (5ème1)'!CG6:CJ6,"B"))*3)+((COUNTIF('Elève (5ème1)'!CG6:CJ6,"C"))*2)+((COUNTIF('Elève (5ème1)'!CG6:CJ6,"D"))*1))/(COUNTA(CG6:CJ6)),"")</f>
        <v/>
      </c>
      <c r="CL6" s="183" t="str">
        <f t="shared" si="18"/>
        <v/>
      </c>
      <c r="CM6" s="182">
        <f>IF(COUNT(BZ6,CE6,CK6)=0,"",SUM(BZ6,CE6,CK6)/COUNT(BZ6,CE6,CK6))</f>
        <v>3</v>
      </c>
      <c r="CN6" s="206" t="str">
        <f t="shared" si="19"/>
        <v>B</v>
      </c>
      <c r="CO6" s="122"/>
      <c r="CP6" s="123"/>
      <c r="CQ6" s="124"/>
      <c r="CR6" s="182" t="str">
        <f>IFERROR((((COUNTIF('Elève (5ème1)'!CO6:CQ6,"A"))*4)+((COUNTIF('Elève (5ème1)'!CO6:CQ6,"B"))*3)+((COUNTIF('Elève (5ème1)'!CO6:CQ6,"C"))*2)+((COUNTIF('Elève (5ème1)'!CO6:CQ6,"D"))*1))/(COUNTA(CO6:CQ6)),"")</f>
        <v/>
      </c>
      <c r="CS6" s="183" t="str">
        <f t="shared" si="20"/>
        <v/>
      </c>
      <c r="CT6" s="122" t="s">
        <v>30</v>
      </c>
      <c r="CU6" s="123"/>
      <c r="CV6" s="124" t="s">
        <v>29</v>
      </c>
      <c r="CW6" s="182">
        <f>IFERROR((((COUNTIF('Elève (5ème1)'!CT6:CV6,"A"))*4)+((COUNTIF('Elève (5ème1)'!CT6:CV6,"B"))*3)+((COUNTIF('Elève (5ème1)'!CT6:CV6,"C"))*2)+((COUNTIF('Elève (5ème1)'!CT6:CV6,"D"))*1))/(COUNTA(CT6:CV6)),"")</f>
        <v>1.5</v>
      </c>
      <c r="CX6" s="183" t="str">
        <f t="shared" si="21"/>
        <v>D</v>
      </c>
      <c r="CY6" s="122"/>
      <c r="CZ6" s="123"/>
      <c r="DA6" s="124"/>
      <c r="DB6" s="128"/>
      <c r="DC6" s="182" t="str">
        <f>IFERROR((((COUNTIF('Elève (5ème1)'!CY6:DB6,"A"))*4)+((COUNTIF('Elève (5ème1)'!CY6:DB6,"B"))*3)+((COUNTIF('Elève (5ème1)'!CY6:DB6,"C"))*2)+((COUNTIF('Elève (5ème1)'!CY6:DB6,"D"))*1))/(COUNTA(CY6:DB6)),"")</f>
        <v/>
      </c>
      <c r="DD6" s="183" t="str">
        <f t="shared" si="22"/>
        <v/>
      </c>
      <c r="DE6" s="182">
        <f>IF(COUNT(CR6,CW6,DC6)=0,"",SUM(CR6,CW6,DC6)/COUNT(CR6,CW6,DC6))</f>
        <v>1.5</v>
      </c>
      <c r="DF6" s="206" t="str">
        <f t="shared" si="23"/>
        <v>D</v>
      </c>
      <c r="DG6" s="122"/>
      <c r="DH6" s="123"/>
      <c r="DI6" s="124"/>
      <c r="DJ6" s="182" t="str">
        <f>IFERROR((((COUNTIF('Elève (5ème1)'!DG6:DI6,"A"))*4)+((COUNTIF('Elève (5ème1)'!DG6:DI6,"B"))*3)+((COUNTIF('Elève (5ème1)'!DG6:DI6,"C"))*2)+((COUNTIF('Elève (5ème1)'!DG6:DI6,"D"))*1))/(COUNTA(DG6:DI6)),"")</f>
        <v/>
      </c>
      <c r="DK6" s="183" t="str">
        <f t="shared" si="24"/>
        <v/>
      </c>
      <c r="DL6" s="122" t="s">
        <v>27</v>
      </c>
      <c r="DM6" s="123"/>
      <c r="DN6" s="124" t="s">
        <v>28</v>
      </c>
      <c r="DO6" s="182">
        <f>IFERROR((((COUNTIF('Elève (5ème1)'!DL6:DN6,"A"))*4)+((COUNTIF('Elève (5ème1)'!DL6:DN6,"B"))*3)+((COUNTIF('Elève (5ème1)'!DL6:DN6,"C"))*2)+((COUNTIF('Elève (5ème1)'!DL6:DN6,"D"))*1))/(COUNTA(DL6:DN6)),"")</f>
        <v>3.5</v>
      </c>
      <c r="DP6" s="183" t="str">
        <f t="shared" si="25"/>
        <v>B</v>
      </c>
      <c r="DQ6" s="122"/>
      <c r="DR6" s="123"/>
      <c r="DS6" s="124"/>
      <c r="DT6" s="128"/>
      <c r="DU6" s="182" t="str">
        <f>IFERROR((((COUNTIF('Elève (5ème1)'!DQ6:DT6,"A"))*4)+((COUNTIF('Elève (5ème1)'!DQ6:DT6,"B"))*3)+((COUNTIF('Elève (5ème1)'!DQ6:DT6,"C"))*2)+((COUNTIF('Elève (5ème1)'!DQ6:DT6,"D"))*1))/(COUNTA(DQ6:DT6)),"")</f>
        <v/>
      </c>
      <c r="DV6" s="183" t="str">
        <f t="shared" si="26"/>
        <v/>
      </c>
      <c r="DW6" s="182">
        <f>IF(COUNT(DJ6,DO6,DU6)=0,"",SUM(DJ6,DO6,DU6)/COUNT(DJ6,DO6,DU6))</f>
        <v>3.5</v>
      </c>
      <c r="DX6" s="206" t="str">
        <f t="shared" si="27"/>
        <v>B</v>
      </c>
      <c r="DY6" s="122"/>
      <c r="DZ6" s="123"/>
      <c r="EA6" s="124"/>
      <c r="EB6" s="182" t="str">
        <f>IFERROR((((COUNTIF('Elève (5ème1)'!DY6:EA6,"A"))*4)+((COUNTIF('Elève (5ème1)'!DY6:EA6,"B"))*3)+((COUNTIF('Elève (5ème1)'!DY6:EA6,"C"))*2)+((COUNTIF('Elève (5ème1)'!DY6:EA6,"D"))*1))/(COUNTA(DY6:EA6)),"")</f>
        <v/>
      </c>
      <c r="EC6" s="183" t="str">
        <f t="shared" si="28"/>
        <v/>
      </c>
      <c r="ED6" s="122" t="s">
        <v>29</v>
      </c>
      <c r="EE6" s="123"/>
      <c r="EF6" s="124" t="s">
        <v>28</v>
      </c>
      <c r="EG6" s="182">
        <f>IFERROR((((COUNTIF('Elève (5ème1)'!ED6:EF6,"A"))*4)+((COUNTIF('Elève (5ème1)'!ED6:EF6,"B"))*3)+((COUNTIF('Elève (5ème1)'!ED6:EF6,"C"))*2)+((COUNTIF('Elève (5ème1)'!ED6:EF6,"D"))*1))/(COUNTA(ED6:EF6)),"")</f>
        <v>2.5</v>
      </c>
      <c r="EH6" s="183" t="str">
        <f t="shared" si="29"/>
        <v>C</v>
      </c>
      <c r="EI6" s="122"/>
      <c r="EJ6" s="123"/>
      <c r="EK6" s="124"/>
      <c r="EL6" s="128"/>
      <c r="EM6" s="182" t="str">
        <f>IFERROR((((COUNTIF('Elève (5ème1)'!EI6:EL6,"A"))*4)+((COUNTIF('Elève (5ème1)'!EI6:EL6,"B"))*3)+((COUNTIF('Elève (5ème1)'!EI6:EL6,"C"))*2)+((COUNTIF('Elève (5ème1)'!EI6:EL6,"D"))*1))/(COUNTA(EI6:EL6)),"")</f>
        <v/>
      </c>
      <c r="EN6" s="183" t="str">
        <f t="shared" si="30"/>
        <v/>
      </c>
      <c r="EO6" s="182">
        <f>IF(COUNT(EB6,EG6,EM6)=0,"",SUM(EB6,EG6,EM6)/COUNT(EB6,EG6,EM6))</f>
        <v>2.5</v>
      </c>
      <c r="EP6" s="206" t="str">
        <f t="shared" si="31"/>
        <v>C</v>
      </c>
      <c r="EQ6" s="122"/>
      <c r="ER6" s="123"/>
      <c r="ES6" s="124"/>
      <c r="ET6" s="182" t="str">
        <f>IFERROR((((COUNTIF('Elève (5ème1)'!EQ6:ES6,"A"))*4)+((COUNTIF('Elève (5ème1)'!EQ6:ES6,"B"))*3)+((COUNTIF('Elève (5ème1)'!EQ6:ES6,"C"))*2)+((COUNTIF('Elève (5ème1)'!EQ6:ES6,"D"))*1))/(COUNTA(EQ6:ES6)),"")</f>
        <v/>
      </c>
      <c r="EU6" s="183" t="str">
        <f t="shared" si="32"/>
        <v/>
      </c>
      <c r="EV6" s="122" t="s">
        <v>30</v>
      </c>
      <c r="EW6" s="123"/>
      <c r="EX6" s="124" t="s">
        <v>28</v>
      </c>
      <c r="EY6" s="182">
        <f>IFERROR((((COUNTIF('Elève (5ème1)'!EV6:EX6,"A"))*4)+((COUNTIF('Elève (5ème1)'!EV6:EX6,"B"))*3)+((COUNTIF('Elève (5ème1)'!EV6:EX6,"C"))*2)+((COUNTIF('Elève (5ème1)'!EV6:EX6,"D"))*1))/(COUNTA(EV6:EX6)),"")</f>
        <v>2</v>
      </c>
      <c r="EZ6" s="183" t="str">
        <f t="shared" si="33"/>
        <v>C</v>
      </c>
      <c r="FA6" s="122"/>
      <c r="FB6" s="123"/>
      <c r="FC6" s="124"/>
      <c r="FD6" s="128"/>
      <c r="FE6" s="182" t="str">
        <f>IFERROR((((COUNTIF('Elève (5ème1)'!FA6:FD6,"A"))*4)+((COUNTIF('Elève (5ème1)'!FA6:FD6,"B"))*3)+((COUNTIF('Elève (5ème1)'!FA6:FD6,"C"))*2)+((COUNTIF('Elève (5ème1)'!FA6:FD6,"D"))*1))/(COUNTA(FA6:FD6)),"")</f>
        <v/>
      </c>
      <c r="FF6" s="183" t="str">
        <f t="shared" si="34"/>
        <v/>
      </c>
      <c r="FG6" s="182">
        <f>IF(COUNT(ET6,EY6,FE6)=0,"",SUM(ET6,EY6,FE6)/COUNT(ET6,EY6,FE6))</f>
        <v>2</v>
      </c>
      <c r="FH6" s="206" t="str">
        <f t="shared" si="35"/>
        <v>C</v>
      </c>
      <c r="FI6" s="122"/>
      <c r="FJ6" s="123"/>
      <c r="FK6" s="124"/>
      <c r="FL6" s="182" t="str">
        <f>IFERROR((((COUNTIF('Elève (5ème1)'!FI6:FK6,"A"))*4)+((COUNTIF('Elève (5ème1)'!FI6:FK6,"B"))*3)+((COUNTIF('Elève (5ème1)'!FI6:FK6,"C"))*2)+((COUNTIF('Elève (5ème1)'!FI6:FK6,"D"))*1))/(COUNTA(FI6:FK6)),"")</f>
        <v/>
      </c>
      <c r="FM6" s="183" t="str">
        <f t="shared" si="36"/>
        <v/>
      </c>
      <c r="FN6" s="122" t="s">
        <v>29</v>
      </c>
      <c r="FO6" s="123"/>
      <c r="FP6" s="124"/>
      <c r="FQ6" s="182">
        <f>IFERROR((((COUNTIF('Elève (5ème1)'!FN6:FP6,"A"))*4)+((COUNTIF('Elève (5ème1)'!FN6:FP6,"B"))*3)+((COUNTIF('Elève (5ème1)'!FN6:FP6,"C"))*2)+((COUNTIF('Elève (5ème1)'!FN6:FP6,"D"))*1))/(COUNTA(FN6:FP6)),"")</f>
        <v>2</v>
      </c>
      <c r="FR6" s="183" t="str">
        <f t="shared" si="37"/>
        <v>C</v>
      </c>
      <c r="FS6" s="122"/>
      <c r="FT6" s="123"/>
      <c r="FU6" s="124"/>
      <c r="FV6" s="128"/>
      <c r="FW6" s="182" t="str">
        <f>IFERROR((((COUNTIF('Elève (5ème1)'!FS6:FV6,"A"))*4)+((COUNTIF('Elève (5ème1)'!FS6:FV6,"B"))*3)+((COUNTIF('Elève (5ème1)'!FS6:FV6,"C"))*2)+((COUNTIF('Elève (5ème1)'!FS6:FV6,"D"))*1))/(COUNTA(FS6:FV6)),"")</f>
        <v/>
      </c>
      <c r="FX6" s="183" t="str">
        <f t="shared" si="38"/>
        <v/>
      </c>
      <c r="FY6" s="182">
        <f>IF(COUNT(FL6,FQ6,FW6)=0,"",SUM(FL6,FQ6,FW6)/COUNT(FL6,FQ6,FW6))</f>
        <v>2</v>
      </c>
      <c r="FZ6" s="206" t="str">
        <f t="shared" si="39"/>
        <v>C</v>
      </c>
      <c r="GA6" s="122"/>
      <c r="GB6" s="123"/>
      <c r="GC6" s="124"/>
      <c r="GD6" s="182" t="str">
        <f>IFERROR((((COUNTIF('Elève (5ème1)'!GA6:GC6,"A"))*4)+((COUNTIF('Elève (5ème1)'!GA6:GC6,"B"))*3)+((COUNTIF('Elève (5ème1)'!GA6:GC6,"C"))*2)+((COUNTIF('Elève (5ème1)'!GA6:GC6,"D"))*1))/(COUNTA(GA6:GC6)),"")</f>
        <v/>
      </c>
      <c r="GE6" s="183" t="str">
        <f t="shared" si="40"/>
        <v/>
      </c>
      <c r="GF6" s="122" t="s">
        <v>28</v>
      </c>
      <c r="GG6" s="123"/>
      <c r="GH6" s="124" t="s">
        <v>28</v>
      </c>
      <c r="GI6" s="182">
        <f>IFERROR((((COUNTIF('Elève (5ème1)'!GF6:GH6,"A"))*4)+((COUNTIF('Elève (5ème1)'!GF6:GH6,"B"))*3)+((COUNTIF('Elève (5ème1)'!GF6:GH6,"C"))*2)+((COUNTIF('Elève (5ème1)'!GF6:GH6,"D"))*1))/(COUNTA(GF6:GH6)),"")</f>
        <v>3</v>
      </c>
      <c r="GJ6" s="183" t="str">
        <f t="shared" si="41"/>
        <v>B</v>
      </c>
      <c r="GK6" s="122"/>
      <c r="GL6" s="123"/>
      <c r="GM6" s="124"/>
      <c r="GN6" s="128"/>
      <c r="GO6" s="182" t="str">
        <f>IFERROR((((COUNTIF('Elève (5ème1)'!GK6:GN6,"A"))*4)+((COUNTIF('Elève (5ème1)'!GK6:GN6,"B"))*3)+((COUNTIF('Elève (5ème1)'!GK6:GN6,"C"))*2)+((COUNTIF('Elève (5ème1)'!GK6:GN6,"D"))*1))/(COUNTA(GK6:GN6)),"")</f>
        <v/>
      </c>
      <c r="GP6" s="183" t="str">
        <f t="shared" si="42"/>
        <v/>
      </c>
      <c r="GQ6" s="182">
        <f>IF(COUNT(GD6,GI6,GO6)=0,"",SUM(GD6,GI6,GO6)/COUNT(GD6,GI6,GO6))</f>
        <v>3</v>
      </c>
      <c r="GR6" s="206" t="str">
        <f t="shared" si="43"/>
        <v>B</v>
      </c>
      <c r="GS6" s="122"/>
      <c r="GT6" s="123"/>
      <c r="GU6" s="124"/>
      <c r="GV6" s="182" t="str">
        <f>IFERROR((((COUNTIF('Elève (5ème1)'!GS6:GU6,"A"))*4)+((COUNTIF('Elève (5ème1)'!GS6:GU6,"B"))*3)+((COUNTIF('Elève (5ème1)'!GS6:GU6,"C"))*2)+((COUNTIF('Elève (5ème1)'!GS6:GU6,"D"))*1))/(COUNTA(GS6:GU6)),"")</f>
        <v/>
      </c>
      <c r="GW6" s="183" t="str">
        <f t="shared" si="44"/>
        <v/>
      </c>
      <c r="GX6" s="122" t="s">
        <v>28</v>
      </c>
      <c r="GY6" s="123"/>
      <c r="GZ6" s="124" t="s">
        <v>29</v>
      </c>
      <c r="HA6" s="182">
        <f>IFERROR((((COUNTIF('Elève (5ème1)'!GX6:GZ6,"A"))*4)+((COUNTIF('Elève (5ème1)'!GX6:GZ6,"B"))*3)+((COUNTIF('Elève (5ème1)'!GX6:GZ6,"C"))*2)+((COUNTIF('Elève (5ème1)'!GX6:GZ6,"D"))*1))/(COUNTA(GX6:GZ6)),"")</f>
        <v>2.5</v>
      </c>
      <c r="HB6" s="183" t="str">
        <f t="shared" si="45"/>
        <v>C</v>
      </c>
      <c r="HC6" s="122"/>
      <c r="HD6" s="123"/>
      <c r="HE6" s="124"/>
      <c r="HF6" s="128"/>
      <c r="HG6" s="182" t="str">
        <f>IFERROR((((COUNTIF('Elève (5ème1)'!HC6:HF6,"A"))*4)+((COUNTIF('Elève (5ème1)'!HC6:HF6,"B"))*3)+((COUNTIF('Elève (5ème1)'!HC6:HF6,"C"))*2)+((COUNTIF('Elève (5ème1)'!HC6:HF6,"D"))*1))/(COUNTA(HC6:HF6)),"")</f>
        <v/>
      </c>
      <c r="HH6" s="183" t="str">
        <f t="shared" si="46"/>
        <v/>
      </c>
      <c r="HI6" s="182">
        <f>IF(COUNT(GV6,HA6,HG6)=0,"",SUM(GV6,HA6,HG6)/COUNT(GV6,HA6,HG6))</f>
        <v>2.5</v>
      </c>
      <c r="HJ6" s="206" t="str">
        <f t="shared" si="47"/>
        <v>C</v>
      </c>
      <c r="HK6" s="122"/>
      <c r="HL6" s="123"/>
      <c r="HM6" s="124"/>
      <c r="HN6" s="182" t="str">
        <f>IFERROR((((COUNTIF('Elève (5ème1)'!HK6:HM6,"A"))*4)+((COUNTIF('Elève (5ème1)'!HK6:HM6,"B"))*3)+((COUNTIF('Elève (5ème1)'!HK6:HM6,"C"))*2)+((COUNTIF('Elève (5ème1)'!HK6:HM6,"D"))*1))/(COUNTA(HK6:HM6)),"")</f>
        <v/>
      </c>
      <c r="HO6" s="183" t="str">
        <f t="shared" si="48"/>
        <v/>
      </c>
      <c r="HP6" s="122" t="s">
        <v>27</v>
      </c>
      <c r="HQ6" s="123"/>
      <c r="HR6" s="124" t="s">
        <v>29</v>
      </c>
      <c r="HS6" s="182">
        <f>IFERROR((((COUNTIF('Elève (5ème1)'!HP6:HR6,"A"))*4)+((COUNTIF('Elève (5ème1)'!HP6:HR6,"B"))*3)+((COUNTIF('Elève (5ème1)'!HP6:HR6,"C"))*2)+((COUNTIF('Elève (5ème1)'!HP6:HR6,"D"))*1))/(COUNTA(HP6:HR6)),"")</f>
        <v>3</v>
      </c>
      <c r="HT6" s="183" t="str">
        <f t="shared" si="49"/>
        <v>B</v>
      </c>
      <c r="HU6" s="122"/>
      <c r="HV6" s="123"/>
      <c r="HW6" s="124"/>
      <c r="HX6" s="128"/>
      <c r="HY6" s="182" t="str">
        <f>IFERROR((((COUNTIF('Elève (5ème1)'!HU6:HX6,"A"))*4)+((COUNTIF('Elève (5ème1)'!HU6:HX6,"B"))*3)+((COUNTIF('Elève (5ème1)'!HU6:HX6,"C"))*2)+((COUNTIF('Elève (5ème1)'!HU6:HX6,"D"))*1))/(COUNTA(HU6:HX6)),"")</f>
        <v/>
      </c>
      <c r="HZ6" s="183" t="str">
        <f t="shared" si="50"/>
        <v/>
      </c>
      <c r="IA6" s="182">
        <f>IF(COUNT(HN6,HS6,HY6)=0,"",SUM(HN6,HS6,HY6)/COUNT(HN6,HS6,HY6))</f>
        <v>3</v>
      </c>
      <c r="IB6" s="206" t="str">
        <f t="shared" si="51"/>
        <v>B</v>
      </c>
      <c r="IC6" s="122"/>
      <c r="ID6" s="123"/>
      <c r="IE6" s="124"/>
      <c r="IF6" s="182" t="str">
        <f>IFERROR((((COUNTIF('Elève (5ème1)'!IC6:IE6,"A"))*4)+((COUNTIF('Elève (5ème1)'!IC6:IE6,"B"))*3)+((COUNTIF('Elève (5ème1)'!IC6:IE6,"C"))*2)+((COUNTIF('Elève (5ème1)'!IC6:IE6,"D"))*1))/(COUNTA(IC6:IE6)),"")</f>
        <v/>
      </c>
      <c r="IG6" s="183" t="str">
        <f t="shared" si="52"/>
        <v/>
      </c>
      <c r="IH6" s="122" t="s">
        <v>28</v>
      </c>
      <c r="II6" s="123"/>
      <c r="IJ6" s="124" t="s">
        <v>28</v>
      </c>
      <c r="IK6" s="182">
        <f>IFERROR((((COUNTIF('Elève (5ème1)'!IH6:IJ6,"A"))*4)+((COUNTIF('Elève (5ème1)'!IH6:IJ6,"B"))*3)+((COUNTIF('Elève (5ème1)'!IH6:IJ6,"C"))*2)+((COUNTIF('Elève (5ème1)'!IH6:IJ6,"D"))*1))/(COUNTA(IH6:IJ6)),"")</f>
        <v>3</v>
      </c>
      <c r="IL6" s="183" t="str">
        <f t="shared" si="53"/>
        <v>B</v>
      </c>
      <c r="IM6" s="122"/>
      <c r="IN6" s="123"/>
      <c r="IO6" s="124"/>
      <c r="IP6" s="128"/>
      <c r="IQ6" s="182" t="str">
        <f>IFERROR((((COUNTIF('Elève (5ème1)'!IM6:IP6,"A"))*4)+((COUNTIF('Elève (5ème1)'!IM6:IP6,"B"))*3)+((COUNTIF('Elève (5ème1)'!IM6:IP6,"C"))*2)+((COUNTIF('Elève (5ème1)'!IM6:IP6,"D"))*1))/(COUNTA(IM6:IP6)),"")</f>
        <v/>
      </c>
      <c r="IR6" s="183" t="str">
        <f t="shared" si="54"/>
        <v/>
      </c>
      <c r="IS6" s="182">
        <f>IF(COUNT(IF6,IK6,IQ6)=0,"",SUM(IF6,IK6,IQ6)/COUNT(IF6,IK6,IQ6))</f>
        <v>3</v>
      </c>
      <c r="IT6" s="206" t="str">
        <f t="shared" si="55"/>
        <v>B</v>
      </c>
      <c r="IU6" s="122"/>
      <c r="IV6" s="123"/>
      <c r="IW6" s="124"/>
      <c r="IX6" s="182" t="str">
        <f>IFERROR((((COUNTIF('Elève (5ème1)'!IU6:IW6,"A"))*4)+((COUNTIF('Elève (5ème1)'!IU6:IW6,"B"))*3)+((COUNTIF('Elève (5ème1)'!IU6:IW6,"C"))*2)+((COUNTIF('Elève (5ème1)'!IU6:IW6,"D"))*1))/(COUNTA(IU6:IW6)),"")</f>
        <v/>
      </c>
      <c r="IY6" s="183" t="str">
        <f t="shared" si="56"/>
        <v/>
      </c>
      <c r="IZ6" s="122" t="s">
        <v>27</v>
      </c>
      <c r="JA6" s="123"/>
      <c r="JB6" s="124" t="s">
        <v>28</v>
      </c>
      <c r="JC6" s="182">
        <f>IFERROR((((COUNTIF('Elève (5ème1)'!IZ6:JB6,"A"))*4)+((COUNTIF('Elève (5ème1)'!IZ6:JB6,"B"))*3)+((COUNTIF('Elève (5ème1)'!IZ6:JB6,"C"))*2)+((COUNTIF('Elève (5ème1)'!IZ6:JB6,"D"))*1))/(COUNTA(IZ6:JB6)),"")</f>
        <v>3.5</v>
      </c>
      <c r="JD6" s="183" t="str">
        <f t="shared" si="57"/>
        <v>B</v>
      </c>
      <c r="JE6" s="122"/>
      <c r="JF6" s="123"/>
      <c r="JG6" s="124"/>
      <c r="JH6" s="128"/>
      <c r="JI6" s="182" t="str">
        <f>IFERROR((((COUNTIF('Elève (5ème1)'!JE6:JH6,"A"))*4)+((COUNTIF('Elève (5ème1)'!JE6:JH6,"B"))*3)+((COUNTIF('Elève (5ème1)'!JE6:JH6,"C"))*2)+((COUNTIF('Elève (5ème1)'!JE6:JH6,"D"))*1))/(COUNTA(JE6:JH6)),"")</f>
        <v/>
      </c>
      <c r="JJ6" s="183" t="str">
        <f t="shared" si="58"/>
        <v/>
      </c>
      <c r="JK6" s="182">
        <f>IF(COUNT(IX6,JC6,JI6)=0,"",SUM(IX6,JC6,JI6)/COUNT(IX6,JC6,JI6))</f>
        <v>3.5</v>
      </c>
      <c r="JL6" s="206" t="str">
        <f t="shared" si="59"/>
        <v>B</v>
      </c>
      <c r="JM6" s="122"/>
      <c r="JN6" s="123"/>
      <c r="JO6" s="124"/>
      <c r="JP6" s="182" t="str">
        <f>IFERROR((((COUNTIF('Elève (5ème1)'!JM6:JO6,"A"))*4)+((COUNTIF('Elève (5ème1)'!JM6:JO6,"B"))*3)+((COUNTIF('Elève (5ème1)'!JM6:JO6,"C"))*2)+((COUNTIF('Elève (5ème1)'!JM6:JO6,"D"))*1))/(COUNTA(JM6:JO6)),"")</f>
        <v/>
      </c>
      <c r="JQ6" s="183" t="str">
        <f t="shared" si="60"/>
        <v/>
      </c>
      <c r="JR6" s="122" t="s">
        <v>28</v>
      </c>
      <c r="JS6" s="123"/>
      <c r="JT6" s="124"/>
      <c r="JU6" s="182">
        <f>IFERROR((((COUNTIF('Elève (5ème1)'!JR6:JT6,"A"))*4)+((COUNTIF('Elève (5ème1)'!JR6:JT6,"B"))*3)+((COUNTIF('Elève (5ème1)'!JR6:JT6,"C"))*2)+((COUNTIF('Elève (5ème1)'!JR6:JT6,"D"))*1))/(COUNTA(JR6:JT6)),"")</f>
        <v>3</v>
      </c>
      <c r="JV6" s="183" t="str">
        <f t="shared" si="61"/>
        <v>B</v>
      </c>
      <c r="JW6" s="122"/>
      <c r="JX6" s="123"/>
      <c r="JY6" s="124"/>
      <c r="JZ6" s="128"/>
      <c r="KA6" s="182" t="str">
        <f>IFERROR((((COUNTIF('Elève (5ème1)'!JW6:JZ6,"A"))*4)+((COUNTIF('Elève (5ème1)'!JW6:JZ6,"B"))*3)+((COUNTIF('Elève (5ème1)'!JW6:JZ6,"C"))*2)+((COUNTIF('Elève (5ème1)'!JW6:JZ6,"D"))*1))/(COUNTA(JW6:JZ6)),"")</f>
        <v/>
      </c>
      <c r="KB6" s="183" t="str">
        <f t="shared" si="62"/>
        <v/>
      </c>
      <c r="KC6" s="182">
        <f>IF(COUNT(JP6,JU6,KA6)=0,"",SUM(JP6,JU6,KA6)/COUNT(JP6,JU6,KA6))</f>
        <v>3</v>
      </c>
      <c r="KD6" s="206" t="str">
        <f t="shared" si="63"/>
        <v>B</v>
      </c>
      <c r="KE6" s="122"/>
      <c r="KF6" s="123"/>
      <c r="KG6" s="124"/>
      <c r="KH6" s="182" t="str">
        <f>IFERROR((((COUNTIF('Elève (5ème1)'!KE6:KG6,"A"))*4)+((COUNTIF('Elève (5ème1)'!KE6:KG6,"B"))*3)+((COUNTIF('Elève (5ème1)'!KE6:KG6,"C"))*2)+((COUNTIF('Elève (5ème1)'!KE6:KG6,"D"))*1))/(COUNTA(KE6:KG6)),"")</f>
        <v/>
      </c>
      <c r="KI6" s="183" t="str">
        <f t="shared" si="64"/>
        <v/>
      </c>
      <c r="KJ6" s="122"/>
      <c r="KK6" s="123"/>
      <c r="KL6" s="124" t="s">
        <v>28</v>
      </c>
      <c r="KM6" s="182">
        <f>IFERROR((((COUNTIF('Elève (5ème1)'!KJ6:KL6,"A"))*4)+((COUNTIF('Elève (5ème1)'!KJ6:KL6,"B"))*3)+((COUNTIF('Elève (5ème1)'!KJ6:KL6,"C"))*2)+((COUNTIF('Elève (5ème1)'!KJ6:KL6,"D"))*1))/(COUNTA(KJ6:KL6)),"")</f>
        <v>3</v>
      </c>
      <c r="KN6" s="183" t="str">
        <f t="shared" si="65"/>
        <v>B</v>
      </c>
      <c r="KO6" s="122"/>
      <c r="KP6" s="123"/>
      <c r="KQ6" s="124"/>
      <c r="KR6" s="128"/>
      <c r="KS6" s="182" t="str">
        <f>IFERROR((((COUNTIF('Elève (5ème1)'!KO6:KR6,"A"))*4)+((COUNTIF('Elève (5ème1)'!KO6:KR6,"B"))*3)+((COUNTIF('Elève (5ème1)'!KO6:KR6,"C"))*2)+((COUNTIF('Elève (5ème1)'!KO6:KR6,"D"))*1))/(COUNTA(KO6:KR6)),"")</f>
        <v/>
      </c>
      <c r="KT6" s="183" t="str">
        <f t="shared" si="66"/>
        <v/>
      </c>
      <c r="KU6" s="182">
        <f>IF(COUNT(KH6,KM6,KS6)=0,"",SUM(KH6,KM6,KS6)/COUNT(KH6,KM6,KS6))</f>
        <v>3</v>
      </c>
      <c r="KV6" s="206" t="str">
        <f t="shared" si="67"/>
        <v>B</v>
      </c>
      <c r="KW6" s="122"/>
      <c r="KX6" s="123"/>
      <c r="KY6" s="124"/>
      <c r="KZ6" s="182" t="str">
        <f>IFERROR((((COUNTIF('Elève (5ème1)'!KW6:KY6,"A"))*4)+((COUNTIF('Elève (5ème1)'!KW6:KY6,"B"))*3)+((COUNTIF('Elève (5ème1)'!KW6:KY6,"C"))*2)+((COUNTIF('Elève (5ème1)'!KW6:KY6,"D"))*1))/(COUNTA(KW6:KY6)),"")</f>
        <v/>
      </c>
      <c r="LA6" s="183" t="str">
        <f t="shared" si="68"/>
        <v/>
      </c>
      <c r="LB6" s="122" t="s">
        <v>27</v>
      </c>
      <c r="LC6" s="123"/>
      <c r="LD6" s="124" t="s">
        <v>27</v>
      </c>
      <c r="LE6" s="182">
        <f>IFERROR((((COUNTIF('Elève (5ème1)'!LB6:LD6,"A"))*4)+((COUNTIF('Elève (5ème1)'!LB6:LD6,"B"))*3)+((COUNTIF('Elève (5ème1)'!LB6:LD6,"C"))*2)+((COUNTIF('Elève (5ème1)'!LB6:LD6,"D"))*1))/(COUNTA(LB6:LD6)),"")</f>
        <v>4</v>
      </c>
      <c r="LF6" s="183" t="str">
        <f t="shared" si="69"/>
        <v>A</v>
      </c>
      <c r="LG6" s="122"/>
      <c r="LH6" s="123"/>
      <c r="LI6" s="124"/>
      <c r="LJ6" s="128"/>
      <c r="LK6" s="182" t="str">
        <f>IFERROR((((COUNTIF('Elève (5ème1)'!LG6:LJ6,"A"))*4)+((COUNTIF('Elève (5ème1)'!LG6:LJ6,"B"))*3)+((COUNTIF('Elève (5ème1)'!LG6:LJ6,"C"))*2)+((COUNTIF('Elève (5ème1)'!LG6:LJ6,"D"))*1))/(COUNTA(LG6:LJ6)),"")</f>
        <v/>
      </c>
      <c r="LL6" s="183" t="str">
        <f t="shared" si="70"/>
        <v/>
      </c>
      <c r="LM6" s="182">
        <f>IF(COUNT(KZ6,LE6,LK6)=0,"",SUM(KZ6,LE6,LK6)/COUNT(KZ6,LE6,LK6))</f>
        <v>4</v>
      </c>
      <c r="LN6" s="206" t="str">
        <f t="shared" si="71"/>
        <v>A</v>
      </c>
      <c r="LO6" s="122"/>
      <c r="LP6" s="123"/>
      <c r="LQ6" s="124"/>
      <c r="LR6" s="182" t="str">
        <f>IFERROR((((COUNTIF('Elève (5ème1)'!LO6:LQ6,"A"))*4)+((COUNTIF('Elève (5ème1)'!LO6:LQ6,"B"))*3)+((COUNTIF('Elève (5ème1)'!LO6:LQ6,"C"))*2)+((COUNTIF('Elève (5ème1)'!LO6:LQ6,"D"))*1))/(COUNTA(LO6:LQ6)),"")</f>
        <v/>
      </c>
      <c r="LS6" s="183" t="str">
        <f t="shared" si="72"/>
        <v/>
      </c>
      <c r="LT6" s="122" t="s">
        <v>28</v>
      </c>
      <c r="LU6" s="123"/>
      <c r="LV6" s="124" t="s">
        <v>28</v>
      </c>
      <c r="LW6" s="182">
        <f>IFERROR((((COUNTIF('Elève (5ème1)'!LT6:LV6,"A"))*4)+((COUNTIF('Elève (5ème1)'!LT6:LV6,"B"))*3)+((COUNTIF('Elève (5ème1)'!LT6:LV6,"C"))*2)+((COUNTIF('Elève (5ème1)'!LT6:LV6,"D"))*1))/(COUNTA(LT6:LV6)),"")</f>
        <v>3</v>
      </c>
      <c r="LX6" s="183" t="str">
        <f t="shared" si="73"/>
        <v>B</v>
      </c>
      <c r="LY6" s="122"/>
      <c r="LZ6" s="123"/>
      <c r="MA6" s="124"/>
      <c r="MB6" s="128"/>
      <c r="MC6" s="182" t="str">
        <f>IFERROR((((COUNTIF('Elève (5ème1)'!LY6:MB6,"A"))*4)+((COUNTIF('Elève (5ème1)'!LY6:MB6,"B"))*3)+((COUNTIF('Elève (5ème1)'!LY6:MB6,"C"))*2)+((COUNTIF('Elève (5ème1)'!LY6:MB6,"D"))*1))/(COUNTA(LY6:MB6)),"")</f>
        <v/>
      </c>
      <c r="MD6" s="183" t="str">
        <f t="shared" si="74"/>
        <v/>
      </c>
      <c r="ME6" s="182">
        <f>IF(COUNT(LR6,LW6,MC6)=0,"",SUM(LR6,LW6,MC6)/COUNT(LR6,LW6,MC6))</f>
        <v>3</v>
      </c>
      <c r="MF6" s="206" t="str">
        <f t="shared" si="75"/>
        <v>B</v>
      </c>
      <c r="MG6" s="122"/>
      <c r="MH6" s="123"/>
      <c r="MI6" s="124"/>
      <c r="MJ6" s="182" t="str">
        <f>IFERROR((((COUNTIF('Elève (5ème1)'!MG6:MI6,"A"))*4)+((COUNTIF('Elève (5ème1)'!MG6:MI6,"B"))*3)+((COUNTIF('Elève (5ème1)'!MG6:MI6,"C"))*2)+((COUNTIF('Elève (5ème1)'!MG6:MI6,"D"))*1))/(COUNTA(MG6:MI6)),"")</f>
        <v/>
      </c>
      <c r="MK6" s="183" t="str">
        <f t="shared" si="76"/>
        <v/>
      </c>
      <c r="ML6" s="122" t="s">
        <v>28</v>
      </c>
      <c r="MM6" s="123"/>
      <c r="MN6" s="124" t="s">
        <v>27</v>
      </c>
      <c r="MO6" s="182">
        <f>IFERROR((((COUNTIF('Elève (5ème1)'!ML6:MN6,"A"))*4)+((COUNTIF('Elève (5ème1)'!ML6:MN6,"B"))*3)+((COUNTIF('Elève (5ème1)'!ML6:MN6,"C"))*2)+((COUNTIF('Elève (5ème1)'!ML6:MN6,"D"))*1))/(COUNTA(ML6:MN6)),"")</f>
        <v>3.5</v>
      </c>
      <c r="MP6" s="183" t="str">
        <f t="shared" si="77"/>
        <v>B</v>
      </c>
      <c r="MQ6" s="122"/>
      <c r="MR6" s="123"/>
      <c r="MS6" s="124"/>
      <c r="MT6" s="128"/>
      <c r="MU6" s="182" t="str">
        <f>IFERROR((((COUNTIF('Elève (5ème1)'!MQ6:MT6,"A"))*4)+((COUNTIF('Elève (5ème1)'!MQ6:MT6,"B"))*3)+((COUNTIF('Elève (5ème1)'!MQ6:MT6,"C"))*2)+((COUNTIF('Elève (5ème1)'!MQ6:MT6,"D"))*1))/(COUNTA(MQ6:MT6)),"")</f>
        <v/>
      </c>
      <c r="MV6" s="183" t="str">
        <f t="shared" si="78"/>
        <v/>
      </c>
      <c r="MW6" s="182">
        <f>IF(COUNT(MJ6,MO6,MU6)=0,"",SUM(MJ6,MO6,MU6)/COUNT(MJ6,MO6,MU6))</f>
        <v>3.5</v>
      </c>
      <c r="MX6" s="206" t="str">
        <f t="shared" si="79"/>
        <v>B</v>
      </c>
      <c r="MY6" s="122"/>
      <c r="MZ6" s="123"/>
      <c r="NA6" s="124"/>
      <c r="NB6" s="182" t="str">
        <f>IFERROR((((COUNTIF('Elève (5ème1)'!MY6:NA6,"A"))*4)+((COUNTIF('Elève (5ème1)'!MY6:NA6,"B"))*3)+((COUNTIF('Elève (5ème1)'!MY6:NA6,"C"))*2)+((COUNTIF('Elève (5ème1)'!MY6:NA6,"D"))*1))/(COUNTA(MY6:NA6)),"")</f>
        <v/>
      </c>
      <c r="NC6" s="183" t="str">
        <f t="shared" si="80"/>
        <v/>
      </c>
      <c r="ND6" s="122" t="s">
        <v>28</v>
      </c>
      <c r="NE6" s="123"/>
      <c r="NF6" s="124" t="s">
        <v>28</v>
      </c>
      <c r="NG6" s="182">
        <f>IFERROR((((COUNTIF('Elève (5ème1)'!ND6:NF6,"A"))*4)+((COUNTIF('Elève (5ème1)'!ND6:NF6,"B"))*3)+((COUNTIF('Elève (5ème1)'!ND6:NF6,"C"))*2)+((COUNTIF('Elève (5ème1)'!ND6:NF6,"D"))*1))/(COUNTA(ND6:NF6)),"")</f>
        <v>3</v>
      </c>
      <c r="NH6" s="183" t="str">
        <f t="shared" si="81"/>
        <v>B</v>
      </c>
      <c r="NI6" s="122"/>
      <c r="NJ6" s="123"/>
      <c r="NK6" s="124"/>
      <c r="NL6" s="128"/>
      <c r="NM6" s="182" t="str">
        <f>IFERROR((((COUNTIF('Elève (5ème1)'!NI6:NL6,"A"))*4)+((COUNTIF('Elève (5ème1)'!NI6:NL6,"B"))*3)+((COUNTIF('Elève (5ème1)'!NI6:NL6,"C"))*2)+((COUNTIF('Elève (5ème1)'!NI6:NL6,"D"))*1))/(COUNTA(NI6:NL6)),"")</f>
        <v/>
      </c>
      <c r="NN6" s="183" t="str">
        <f t="shared" si="82"/>
        <v/>
      </c>
      <c r="NO6" s="182">
        <f>IF(COUNT(NB6,NG6,NM6)=0,"",SUM(NB6,NG6,NM6)/COUNT(NB6,NG6,NM6))</f>
        <v>3</v>
      </c>
      <c r="NP6" s="206" t="str">
        <f t="shared" si="83"/>
        <v>B</v>
      </c>
      <c r="NQ6" s="122"/>
      <c r="NR6" s="123"/>
      <c r="NS6" s="124"/>
      <c r="NT6" s="182" t="str">
        <f>IFERROR((((COUNTIF('Elève (5ème1)'!NQ6:NS6,"A"))*4)+((COUNTIF('Elève (5ème1)'!NQ6:NS6,"B"))*3)+((COUNTIF('Elève (5ème1)'!NQ6:NS6,"C"))*2)+((COUNTIF('Elève (5ème1)'!NQ6:NS6,"D"))*1))/(COUNTA(NQ6:NS6)),"")</f>
        <v/>
      </c>
      <c r="NU6" s="183" t="str">
        <f t="shared" si="84"/>
        <v/>
      </c>
      <c r="NV6" s="122"/>
      <c r="NW6" s="123"/>
      <c r="NX6" s="124" t="s">
        <v>28</v>
      </c>
      <c r="NY6" s="182">
        <f>IFERROR((((COUNTIF('Elève (5ème1)'!NV6:NX6,"A"))*4)+((COUNTIF('Elève (5ème1)'!NV6:NX6,"B"))*3)+((COUNTIF('Elève (5ème1)'!NV6:NX6,"C"))*2)+((COUNTIF('Elève (5ème1)'!NV6:NX6,"D"))*1))/(COUNTA(NV6:NX6)),"")</f>
        <v>3</v>
      </c>
      <c r="NZ6" s="183" t="str">
        <f t="shared" si="85"/>
        <v>B</v>
      </c>
      <c r="OA6" s="122"/>
      <c r="OB6" s="123"/>
      <c r="OC6" s="124"/>
      <c r="OD6" s="128"/>
      <c r="OE6" s="182" t="str">
        <f>IFERROR((((COUNTIF('Elève (5ème1)'!OA6:OD6,"A"))*4)+((COUNTIF('Elève (5ème1)'!OA6:OD6,"B"))*3)+((COUNTIF('Elève (5ème1)'!OA6:OD6,"C"))*2)+((COUNTIF('Elève (5ème1)'!OA6:OD6,"D"))*1))/(COUNTA(OA6:OD6)),"")</f>
        <v/>
      </c>
      <c r="OF6" s="183" t="str">
        <f t="shared" si="86"/>
        <v/>
      </c>
      <c r="OG6" s="182">
        <f>IF(COUNT(NT6,NY6,OE6)=0,"",SUM(NT6,NY6,OE6)/COUNT(NT6,NY6,OE6))</f>
        <v>3</v>
      </c>
      <c r="OH6" s="206" t="str">
        <f t="shared" si="87"/>
        <v>B</v>
      </c>
      <c r="OI6" s="122"/>
      <c r="OJ6" s="123"/>
      <c r="OK6" s="124"/>
      <c r="OL6" s="182" t="str">
        <f>IFERROR((((COUNTIF('Elève (5ème1)'!OI6:OK6,"A"))*4)+((COUNTIF('Elève (5ème1)'!OI6:OK6,"B"))*3)+((COUNTIF('Elève (5ème1)'!OI6:OK6,"C"))*2)+((COUNTIF('Elève (5ème1)'!OI6:OK6,"D"))*1))/(COUNTA(OI6:OK6)),"")</f>
        <v/>
      </c>
      <c r="OM6" s="183" t="str">
        <f t="shared" si="88"/>
        <v/>
      </c>
      <c r="ON6" s="122" t="s">
        <v>27</v>
      </c>
      <c r="OO6" s="123"/>
      <c r="OP6" s="124" t="s">
        <v>27</v>
      </c>
      <c r="OQ6" s="182">
        <f>IFERROR((((COUNTIF('Elève (5ème1)'!ON6:OP6,"A"))*4)+((COUNTIF('Elève (5ème1)'!ON6:OP6,"B"))*3)+((COUNTIF('Elève (5ème1)'!ON6:OP6,"C"))*2)+((COUNTIF('Elève (5ème1)'!ON6:OP6,"D"))*1))/(COUNTA(ON6:OP6)),"")</f>
        <v>4</v>
      </c>
      <c r="OR6" s="183" t="str">
        <f t="shared" si="89"/>
        <v>A</v>
      </c>
      <c r="OS6" s="122"/>
      <c r="OT6" s="123"/>
      <c r="OU6" s="124"/>
      <c r="OV6" s="128"/>
      <c r="OW6" s="182" t="str">
        <f>IFERROR((((COUNTIF('Elève (5ème1)'!OS6:OV6,"A"))*4)+((COUNTIF('Elève (5ème1)'!OS6:OV6,"B"))*3)+((COUNTIF('Elève (5ème1)'!OS6:OV6,"C"))*2)+((COUNTIF('Elève (5ème1)'!OS6:OV6,"D"))*1))/(COUNTA(OS6:OV6)),"")</f>
        <v/>
      </c>
      <c r="OX6" s="183" t="str">
        <f t="shared" si="90"/>
        <v/>
      </c>
      <c r="OY6" s="182">
        <f>IF(COUNT(OL6,OQ6,OW6)=0,"",SUM(OL6,OQ6,OW6)/COUNT(OL6,OQ6,OW6))</f>
        <v>4</v>
      </c>
      <c r="OZ6" s="206" t="str">
        <f t="shared" si="91"/>
        <v>A</v>
      </c>
      <c r="PA6" s="122"/>
      <c r="PB6" s="123"/>
      <c r="PC6" s="124"/>
      <c r="PD6" s="182" t="str">
        <f>IFERROR((((COUNTIF('Elève (5ème1)'!PA6:PC6,"A"))*4)+((COUNTIF('Elève (5ème1)'!PA6:PC6,"B"))*3)+((COUNTIF('Elève (5ème1)'!PA6:PC6,"C"))*2)+((COUNTIF('Elève (5ème1)'!PA6:PC6,"D"))*1))/(COUNTA(PA6:PC6)),"")</f>
        <v/>
      </c>
      <c r="PE6" s="183" t="str">
        <f t="shared" si="92"/>
        <v/>
      </c>
      <c r="PF6" s="122" t="s">
        <v>27</v>
      </c>
      <c r="PG6" s="123"/>
      <c r="PH6" s="124" t="s">
        <v>28</v>
      </c>
      <c r="PI6" s="182">
        <f>IFERROR((((COUNTIF('Elève (5ème1)'!PF6:PH6,"A"))*4)+((COUNTIF('Elève (5ème1)'!PF6:PH6,"B"))*3)+((COUNTIF('Elève (5ème1)'!PF6:PH6,"C"))*2)+((COUNTIF('Elève (5ème1)'!PF6:PH6,"D"))*1))/(COUNTA(PF6:PH6)),"")</f>
        <v>3.5</v>
      </c>
      <c r="PJ6" s="183" t="str">
        <f t="shared" si="93"/>
        <v>B</v>
      </c>
      <c r="PK6" s="122"/>
      <c r="PL6" s="123"/>
      <c r="PM6" s="124"/>
      <c r="PN6" s="128"/>
      <c r="PO6" s="182" t="str">
        <f>IFERROR((((COUNTIF('Elève (5ème1)'!PK6:PN6,"A"))*4)+((COUNTIF('Elève (5ème1)'!PK6:PN6,"B"))*3)+((COUNTIF('Elève (5ème1)'!PK6:PN6,"C"))*2)+((COUNTIF('Elève (5ème1)'!PK6:PN6,"D"))*1))/(COUNTA(PK6:PN6)),"")</f>
        <v/>
      </c>
      <c r="PP6" s="183" t="str">
        <f t="shared" si="94"/>
        <v/>
      </c>
      <c r="PQ6" s="182">
        <f>IF(COUNT(PD6,PI6,PO6)=0,"",SUM(PD6,PI6,PO6)/COUNT(PD6,PI6,PO6))</f>
        <v>3.5</v>
      </c>
      <c r="PR6" s="206" t="str">
        <f t="shared" si="95"/>
        <v>B</v>
      </c>
      <c r="PS6" s="122"/>
      <c r="PT6" s="123"/>
      <c r="PU6" s="124"/>
      <c r="PV6" s="182" t="str">
        <f>IFERROR((((COUNTIF('Elève (5ème1)'!PS6:PU6,"A"))*4)+((COUNTIF('Elève (5ème1)'!PS6:PU6,"B"))*3)+((COUNTIF('Elève (5ème1)'!PS6:PU6,"C"))*2)+((COUNTIF('Elève (5ème1)'!PS6:PU6,"D"))*1))/(COUNTA(PS6:PU6)),"")</f>
        <v/>
      </c>
      <c r="PW6" s="183" t="str">
        <f t="shared" si="96"/>
        <v/>
      </c>
      <c r="PX6" s="122" t="s">
        <v>27</v>
      </c>
      <c r="PY6" s="123"/>
      <c r="PZ6" s="124" t="s">
        <v>28</v>
      </c>
      <c r="QA6" s="182">
        <f>IFERROR((((COUNTIF('Elève (5ème1)'!PX6:PZ6,"A"))*4)+((COUNTIF('Elève (5ème1)'!PX6:PZ6,"B"))*3)+((COUNTIF('Elève (5ème1)'!PX6:PZ6,"C"))*2)+((COUNTIF('Elève (5ème1)'!PX6:PZ6,"D"))*1))/(COUNTA(PX6:PZ6)),"")</f>
        <v>3.5</v>
      </c>
      <c r="QB6" s="183" t="str">
        <f t="shared" si="97"/>
        <v>B</v>
      </c>
      <c r="QC6" s="122"/>
      <c r="QD6" s="123"/>
      <c r="QE6" s="124"/>
      <c r="QF6" s="128"/>
      <c r="QG6" s="182" t="str">
        <f>IFERROR((((COUNTIF('Elève (5ème1)'!QC6:QF6,"A"))*4)+((COUNTIF('Elève (5ème1)'!QC6:QF6,"B"))*3)+((COUNTIF('Elève (5ème1)'!QC6:QF6,"C"))*2)+((COUNTIF('Elève (5ème1)'!QC6:QF6,"D"))*1))/(COUNTA(QC6:QF6)),"")</f>
        <v/>
      </c>
      <c r="QH6" s="183" t="str">
        <f t="shared" si="98"/>
        <v/>
      </c>
      <c r="QI6" s="182">
        <f>IF(COUNT(PV6,QA6,QG6)=0,"",SUM(PV6,QA6,QG6)/COUNT(PV6,QA6,QG6))</f>
        <v>3.5</v>
      </c>
      <c r="QJ6" s="206" t="str">
        <f t="shared" si="99"/>
        <v>B</v>
      </c>
      <c r="QK6" s="122"/>
      <c r="QL6" s="123"/>
      <c r="QM6" s="124"/>
      <c r="QN6" s="182" t="str">
        <f>IFERROR((((COUNTIF('Elève (5ème1)'!QK6:QM6,"A"))*4)+((COUNTIF('Elève (5ème1)'!QK6:QM6,"B"))*3)+((COUNTIF('Elève (5ème1)'!QK6:QM6,"C"))*2)+((COUNTIF('Elève (5ème1)'!QK6:QM6,"D"))*1))/(COUNTA(QK6:QM6)),"")</f>
        <v/>
      </c>
      <c r="QO6" s="183" t="str">
        <f t="shared" si="100"/>
        <v/>
      </c>
      <c r="QP6" s="122" t="s">
        <v>28</v>
      </c>
      <c r="QQ6" s="123"/>
      <c r="QR6" s="124" t="s">
        <v>28</v>
      </c>
      <c r="QS6" s="182">
        <f>IFERROR((((COUNTIF('Elève (5ème1)'!QP6:QR6,"A"))*4)+((COUNTIF('Elève (5ème1)'!QP6:QR6,"B"))*3)+((COUNTIF('Elève (5ème1)'!QP6:QR6,"C"))*2)+((COUNTIF('Elève (5ème1)'!QP6:QR6,"D"))*1))/(COUNTA(QP6:QR6)),"")</f>
        <v>3</v>
      </c>
      <c r="QT6" s="183" t="str">
        <f t="shared" si="101"/>
        <v>B</v>
      </c>
      <c r="QU6" s="122"/>
      <c r="QV6" s="123"/>
      <c r="QW6" s="124"/>
      <c r="QX6" s="128"/>
      <c r="QY6" s="182" t="str">
        <f>IFERROR((((COUNTIF('Elève (5ème1)'!QU6:QX6,"A"))*4)+((COUNTIF('Elève (5ème1)'!QU6:QX6,"B"))*3)+((COUNTIF('Elève (5ème1)'!QU6:QX6,"C"))*2)+((COUNTIF('Elève (5ème1)'!QU6:QX6,"D"))*1))/(COUNTA(QU6:QX6)),"")</f>
        <v/>
      </c>
      <c r="QZ6" s="183" t="str">
        <f t="shared" si="102"/>
        <v/>
      </c>
      <c r="RA6" s="182">
        <f>IF(COUNT(QN6,QS6,QY6)=0,"",SUM(QN6,QS6,QY6)/COUNT(QN6,QS6,QY6))</f>
        <v>3</v>
      </c>
      <c r="RB6" s="206" t="str">
        <f t="shared" si="103"/>
        <v>B</v>
      </c>
      <c r="RC6" s="122"/>
      <c r="RD6" s="123"/>
      <c r="RE6" s="124"/>
      <c r="RF6" s="182" t="str">
        <f>IFERROR((((COUNTIF('Elève (5ème1)'!RC6:RE6,"A"))*4)+((COUNTIF('Elève (5ème1)'!RC6:RE6,"B"))*3)+((COUNTIF('Elève (5ème1)'!RC6:RE6,"C"))*2)+((COUNTIF('Elève (5ème1)'!RC6:RE6,"D"))*1))/(COUNTA(RC6:RE6)),"")</f>
        <v/>
      </c>
      <c r="RG6" s="183" t="str">
        <f t="shared" si="104"/>
        <v/>
      </c>
      <c r="RH6" s="122" t="s">
        <v>29</v>
      </c>
      <c r="RI6" s="123"/>
      <c r="RJ6" s="124" t="s">
        <v>28</v>
      </c>
      <c r="RK6" s="182">
        <f>IFERROR((((COUNTIF('Elève (5ème1)'!RH6:RJ6,"A"))*4)+((COUNTIF('Elève (5ème1)'!RH6:RJ6,"B"))*3)+((COUNTIF('Elève (5ème1)'!RH6:RJ6,"C"))*2)+((COUNTIF('Elève (5ème1)'!RH6:RJ6,"D"))*1))/(COUNTA(RH6:RJ6)),"")</f>
        <v>2.5</v>
      </c>
      <c r="RL6" s="183" t="str">
        <f t="shared" si="105"/>
        <v>C</v>
      </c>
      <c r="RM6" s="122"/>
      <c r="RN6" s="123"/>
      <c r="RO6" s="124"/>
      <c r="RP6" s="128"/>
      <c r="RQ6" s="182" t="str">
        <f>IFERROR((((COUNTIF('Elève (5ème1)'!RM6:RP6,"A"))*4)+((COUNTIF('Elève (5ème1)'!RM6:RP6,"B"))*3)+((COUNTIF('Elève (5ème1)'!RM6:RP6,"C"))*2)+((COUNTIF('Elève (5ème1)'!RM6:RP6,"D"))*1))/(COUNTA(RM6:RP6)),"")</f>
        <v/>
      </c>
      <c r="RR6" s="183" t="str">
        <f t="shared" si="106"/>
        <v/>
      </c>
      <c r="RS6" s="182">
        <f>IF(COUNT(RF6,RK6,RQ6)=0,"",SUM(RF6,RK6,RQ6)/COUNT(RF6,RK6,RQ6))</f>
        <v>2.5</v>
      </c>
      <c r="RT6" s="206" t="str">
        <f t="shared" si="107"/>
        <v>C</v>
      </c>
      <c r="RU6" s="122"/>
      <c r="RV6" s="123"/>
      <c r="RW6" s="124"/>
      <c r="RX6" s="182" t="str">
        <f>IFERROR((((COUNTIF('Elève (5ème1)'!RU6:RW6,"A"))*4)+((COUNTIF('Elève (5ème1)'!RU6:RW6,"B"))*3)+((COUNTIF('Elève (5ème1)'!RU6:RW6,"C"))*2)+((COUNTIF('Elève (5ème1)'!RU6:RW6,"D"))*1))/(COUNTA(RU6:RW6)),"")</f>
        <v/>
      </c>
      <c r="RY6" s="183" t="str">
        <f t="shared" si="108"/>
        <v/>
      </c>
      <c r="RZ6" s="122" t="s">
        <v>27</v>
      </c>
      <c r="SA6" s="123"/>
      <c r="SB6" s="124" t="s">
        <v>29</v>
      </c>
      <c r="SC6" s="182">
        <f>IFERROR((((COUNTIF('Elève (5ème1)'!RZ6:SB6,"A"))*4)+((COUNTIF('Elève (5ème1)'!RZ6:SB6,"B"))*3)+((COUNTIF('Elève (5ème1)'!RZ6:SB6,"C"))*2)+((COUNTIF('Elève (5ème1)'!RZ6:SB6,"D"))*1))/(COUNTA(RZ6:SB6)),"")</f>
        <v>3</v>
      </c>
      <c r="SD6" s="183" t="str">
        <f t="shared" si="109"/>
        <v>B</v>
      </c>
      <c r="SE6" s="122"/>
      <c r="SF6" s="123"/>
      <c r="SG6" s="124"/>
      <c r="SH6" s="128"/>
      <c r="SI6" s="182" t="str">
        <f>IFERROR((((COUNTIF('Elève (5ème1)'!SE6:SH6,"A"))*4)+((COUNTIF('Elève (5ème1)'!SE6:SH6,"B"))*3)+((COUNTIF('Elève (5ème1)'!SE6:SH6,"C"))*2)+((COUNTIF('Elève (5ème1)'!SE6:SH6,"D"))*1))/(COUNTA(SE6:SH6)),"")</f>
        <v/>
      </c>
      <c r="SJ6" s="183" t="str">
        <f t="shared" si="110"/>
        <v/>
      </c>
      <c r="SK6" s="182">
        <f>IF(COUNT(RX6,SC6,SI6)=0,"",SUM(RX6,SC6,SI6)/COUNT(RX6,SC6,SI6))</f>
        <v>3</v>
      </c>
      <c r="SL6" s="206" t="str">
        <f t="shared" si="111"/>
        <v>B</v>
      </c>
      <c r="SM6" s="122"/>
      <c r="SN6" s="123"/>
      <c r="SO6" s="124"/>
      <c r="SP6" s="182" t="str">
        <f>IFERROR((((COUNTIF('Elève (5ème1)'!SM6:SO6,"A"))*4)+((COUNTIF('Elève (5ème1)'!SM6:SO6,"B"))*3)+((COUNTIF('Elève (5ème1)'!SM6:SO6,"C"))*2)+((COUNTIF('Elève (5ème1)'!SM6:SO6,"D"))*1))/(COUNTA(SM6:SO6)),"")</f>
        <v/>
      </c>
      <c r="SQ6" s="183" t="str">
        <f t="shared" si="112"/>
        <v/>
      </c>
      <c r="SR6" s="122" t="s">
        <v>28</v>
      </c>
      <c r="SS6" s="123"/>
      <c r="ST6" s="124" t="s">
        <v>28</v>
      </c>
      <c r="SU6" s="182">
        <f>IFERROR((((COUNTIF('Elève (5ème1)'!SR6:ST6,"A"))*4)+((COUNTIF('Elève (5ème1)'!SR6:ST6,"B"))*3)+((COUNTIF('Elève (5ème1)'!SR6:ST6,"C"))*2)+((COUNTIF('Elève (5ème1)'!SR6:ST6,"D"))*1))/(COUNTA(SR6:ST6)),"")</f>
        <v>3</v>
      </c>
      <c r="SV6" s="183" t="str">
        <f t="shared" si="113"/>
        <v>B</v>
      </c>
      <c r="SW6" s="122"/>
      <c r="SX6" s="123"/>
      <c r="SY6" s="124"/>
      <c r="SZ6" s="128"/>
      <c r="TA6" s="182" t="str">
        <f>IFERROR((((COUNTIF('Elève (5ème1)'!SW6:SZ6,"A"))*4)+((COUNTIF('Elève (5ème1)'!SW6:SZ6,"B"))*3)+((COUNTIF('Elève (5ème1)'!SW6:SZ6,"C"))*2)+((COUNTIF('Elève (5ème1)'!SW6:SZ6,"D"))*1))/(COUNTA(SW6:SZ6)),"")</f>
        <v/>
      </c>
      <c r="TB6" s="183" t="str">
        <f t="shared" si="114"/>
        <v/>
      </c>
      <c r="TC6" s="182">
        <f>IF(COUNT(SP6,SU6,TA6)=0,"",SUM(SP6,SU6,TA6)/COUNT(SP6,SU6,TA6))</f>
        <v>3</v>
      </c>
      <c r="TD6" s="206" t="str">
        <f t="shared" si="115"/>
        <v>B</v>
      </c>
      <c r="TE6" s="122"/>
      <c r="TF6" s="123"/>
      <c r="TG6" s="124"/>
      <c r="TH6" s="182" t="str">
        <f>IFERROR((((COUNTIF('Elève (5ème1)'!TE6:TG6,"A"))*4)+((COUNTIF('Elève (5ème1)'!TE6:TG6,"B"))*3)+((COUNTIF('Elève (5ème1)'!TE6:TG6,"C"))*2)+((COUNTIF('Elève (5ème1)'!TE6:TG6,"D"))*1))/(COUNTA(TE6:TG6)),"")</f>
        <v/>
      </c>
      <c r="TI6" s="183" t="str">
        <f t="shared" si="116"/>
        <v/>
      </c>
      <c r="TJ6" s="122" t="s">
        <v>27</v>
      </c>
      <c r="TK6" s="123"/>
      <c r="TL6" s="124" t="s">
        <v>28</v>
      </c>
      <c r="TM6" s="182">
        <f>IFERROR((((COUNTIF('Elève (5ème1)'!TJ6:TL6,"A"))*4)+((COUNTIF('Elève (5ème1)'!TJ6:TL6,"B"))*3)+((COUNTIF('Elève (5ème1)'!TJ6:TL6,"C"))*2)+((COUNTIF('Elève (5ème1)'!TJ6:TL6,"D"))*1))/(COUNTA(TJ6:TL6)),"")</f>
        <v>3.5</v>
      </c>
      <c r="TN6" s="183" t="str">
        <f t="shared" si="117"/>
        <v>B</v>
      </c>
      <c r="TO6" s="122"/>
      <c r="TP6" s="123"/>
      <c r="TQ6" s="124"/>
      <c r="TR6" s="128"/>
      <c r="TS6" s="182" t="str">
        <f>IFERROR((((COUNTIF('Elève (5ème1)'!TO6:TR6,"A"))*4)+((COUNTIF('Elève (5ème1)'!TO6:TR6,"B"))*3)+((COUNTIF('Elève (5ème1)'!TO6:TR6,"C"))*2)+((COUNTIF('Elève (5ème1)'!TO6:TR6,"D"))*1))/(COUNTA(TO6:TR6)),"")</f>
        <v/>
      </c>
      <c r="TT6" s="183" t="str">
        <f t="shared" si="118"/>
        <v/>
      </c>
      <c r="TU6" s="182">
        <f>IF(COUNT(TH6,TM6,TS6)=0,"",SUM(TH6,TM6,TS6)/COUNT(TH6,TM6,TS6))</f>
        <v>3.5</v>
      </c>
      <c r="TV6" s="206" t="str">
        <f t="shared" si="119"/>
        <v>B</v>
      </c>
    </row>
    <row r="7" spans="1:542" ht="18" customHeight="1" x14ac:dyDescent="0.25">
      <c r="A7" s="236" t="s">
        <v>14</v>
      </c>
      <c r="B7" s="237"/>
      <c r="C7" s="122"/>
      <c r="D7" s="123"/>
      <c r="E7" s="124"/>
      <c r="F7" s="182" t="str">
        <f>IFERROR((((COUNTIF('Elève (5ème1)'!C7:E7,"A"))*4)+((COUNTIF('Elève (5ème1)'!C7:E7,"B"))*3)+((COUNTIF('Elève (5ème1)'!C7:E7,"C"))*2)+((COUNTIF('Elève (5ème1)'!C7:E7,"D"))*1))/(COUNTA(C7:E7)),"")</f>
        <v/>
      </c>
      <c r="G7" s="183" t="str">
        <f t="shared" si="0"/>
        <v/>
      </c>
      <c r="H7" s="122"/>
      <c r="I7" s="123"/>
      <c r="J7" s="124"/>
      <c r="K7" s="182" t="str">
        <f>IFERROR((((COUNTIF('Elève (5ème1)'!H7:J7,"A"))*4)+((COUNTIF('Elève (5ème1)'!H7:J7,"B"))*3)+((COUNTIF('Elève (5ème1)'!H7:J7,"C"))*2)+((COUNTIF('Elève (5ème1)'!H7:J7,"D"))*1))/(COUNTA(H7:J7)),"")</f>
        <v/>
      </c>
      <c r="L7" s="183" t="str">
        <f t="shared" si="1"/>
        <v/>
      </c>
      <c r="M7" s="122"/>
      <c r="N7" s="123"/>
      <c r="O7" s="124"/>
      <c r="P7" s="124"/>
      <c r="Q7" s="182" t="str">
        <f>IFERROR((((COUNTIF('Elève (5ème1)'!M7:P7,"A"))*4)+((COUNTIF('Elève (5ème1)'!M7:P7,"B"))*3)+((COUNTIF('Elève (5ème1)'!M7:P7,"C"))*2)+((COUNTIF('Elève (5ème1)'!M7:P7,"D"))*1))/(COUNTA(M7:P7)),"")</f>
        <v/>
      </c>
      <c r="R7" s="183" t="str">
        <f t="shared" si="2"/>
        <v/>
      </c>
      <c r="S7" s="182" t="str">
        <f>IF(COUNT(F7,K7,Q7)=0,"",SUM(F7,K7,Q7)/COUNT(F7,K7,Q7))</f>
        <v/>
      </c>
      <c r="T7" s="206" t="str">
        <f t="shared" si="3"/>
        <v/>
      </c>
      <c r="U7" s="122"/>
      <c r="V7" s="123"/>
      <c r="W7" s="124"/>
      <c r="X7" s="182" t="str">
        <f>IFERROR((((COUNTIF('Elève (5ème1)'!U7:W7,"A"))*4)+((COUNTIF('Elève (5ème1)'!U7:W7,"B"))*3)+((COUNTIF('Elève (5ème1)'!U7:W7,"C"))*2)+((COUNTIF('Elève (5ème1)'!U7:W7,"D"))*1))/(COUNTA(U7:W7)),"")</f>
        <v/>
      </c>
      <c r="Y7" s="183" t="str">
        <f t="shared" si="4"/>
        <v/>
      </c>
      <c r="Z7" s="122"/>
      <c r="AA7" s="123"/>
      <c r="AB7" s="124"/>
      <c r="AC7" s="182" t="str">
        <f>IFERROR((((COUNTIF('Elève (5ème1)'!Z7:AB7,"A"))*4)+((COUNTIF('Elève (5ème1)'!Z7:AB7,"B"))*3)+((COUNTIF('Elève (5ème1)'!Z7:AB7,"C"))*2)+((COUNTIF('Elève (5ème1)'!Z7:AB7,"D"))*1))/(COUNTA(Z7:AB7)),"")</f>
        <v/>
      </c>
      <c r="AD7" s="183" t="str">
        <f t="shared" si="5"/>
        <v/>
      </c>
      <c r="AE7" s="122"/>
      <c r="AF7" s="123"/>
      <c r="AG7" s="124"/>
      <c r="AH7" s="128"/>
      <c r="AI7" s="182" t="str">
        <f>IFERROR((((COUNTIF('Elève (5ème1)'!AE7:AH7,"A"))*4)+((COUNTIF('Elève (5ème1)'!AE7:AH7,"B"))*3)+((COUNTIF('Elève (5ème1)'!AE7:AH7,"C"))*2)+((COUNTIF('Elève (5ème1)'!AE7:AH7,"D"))*1))/(COUNTA(AE7:AH7)),"")</f>
        <v/>
      </c>
      <c r="AJ7" s="183" t="str">
        <f t="shared" si="6"/>
        <v/>
      </c>
      <c r="AK7" s="182" t="str">
        <f>IF(COUNT(X7,AC7,AI7)=0,"",SUM(X7,AC7,AI7)/COUNT(X7,AC7,AI7))</f>
        <v/>
      </c>
      <c r="AL7" s="206" t="str">
        <f t="shared" si="7"/>
        <v/>
      </c>
      <c r="AM7" s="122"/>
      <c r="AN7" s="123"/>
      <c r="AO7" s="124"/>
      <c r="AP7" s="182" t="str">
        <f>IFERROR((((COUNTIF('Elève (5ème1)'!AM7:AO7,"A"))*4)+((COUNTIF('Elève (5ème1)'!AM7:AO7,"B"))*3)+((COUNTIF('Elève (5ème1)'!AM7:AO7,"C"))*2)+((COUNTIF('Elève (5ème1)'!AM7:AO7,"D"))*1))/(COUNTA(AM7:AO7)),"")</f>
        <v/>
      </c>
      <c r="AQ7" s="183" t="str">
        <f t="shared" si="8"/>
        <v/>
      </c>
      <c r="AR7" s="122"/>
      <c r="AS7" s="123"/>
      <c r="AT7" s="124"/>
      <c r="AU7" s="182" t="str">
        <f>IFERROR((((COUNTIF('Elève (5ème1)'!AR7:AT7,"A"))*4)+((COUNTIF('Elève (5ème1)'!AR7:AT7,"B"))*3)+((COUNTIF('Elève (5ème1)'!AR7:AT7,"C"))*2)+((COUNTIF('Elève (5ème1)'!AR7:AT7,"D"))*1))/(COUNTA(AR7:AT7)),"")</f>
        <v/>
      </c>
      <c r="AV7" s="183" t="str">
        <f t="shared" si="9"/>
        <v/>
      </c>
      <c r="AW7" s="122"/>
      <c r="AX7" s="123"/>
      <c r="AY7" s="124"/>
      <c r="AZ7" s="128"/>
      <c r="BA7" s="182" t="str">
        <f>IFERROR((((COUNTIF('Elève (5ème1)'!AW7:AZ7,"A"))*4)+((COUNTIF('Elève (5ème1)'!AW7:AZ7,"B"))*3)+((COUNTIF('Elève (5ème1)'!AW7:AZ7,"C"))*2)+((COUNTIF('Elève (5ème1)'!AW7:AZ7,"D"))*1))/(COUNTA(AW7:AZ7)),"")</f>
        <v/>
      </c>
      <c r="BB7" s="183" t="str">
        <f t="shared" si="10"/>
        <v/>
      </c>
      <c r="BC7" s="182" t="str">
        <f>IF(COUNT(AP7,AU7,BA7)=0,"",SUM(AP7,AU7,BA7)/COUNT(AP7,AU7,BA7))</f>
        <v/>
      </c>
      <c r="BD7" s="206" t="str">
        <f t="shared" si="11"/>
        <v/>
      </c>
      <c r="BE7" s="122"/>
      <c r="BF7" s="123"/>
      <c r="BG7" s="124"/>
      <c r="BH7" s="182" t="str">
        <f>IFERROR((((COUNTIF('Elève (5ème1)'!BE7:BG7,"A"))*4)+((COUNTIF('Elève (5ème1)'!BE7:BG7,"B"))*3)+((COUNTIF('Elève (5ème1)'!BE7:BG7,"C"))*2)+((COUNTIF('Elève (5ème1)'!BE7:BG7,"D"))*1))/(COUNTA(BE7:BG7)),"")</f>
        <v/>
      </c>
      <c r="BI7" s="183" t="str">
        <f t="shared" si="12"/>
        <v/>
      </c>
      <c r="BJ7" s="122"/>
      <c r="BK7" s="123"/>
      <c r="BL7" s="124"/>
      <c r="BM7" s="182" t="str">
        <f>IFERROR((((COUNTIF('Elève (5ème1)'!BJ7:BL7,"A"))*4)+((COUNTIF('Elève (5ème1)'!BJ7:BL7,"B"))*3)+((COUNTIF('Elève (5ème1)'!BJ7:BL7,"C"))*2)+((COUNTIF('Elève (5ème1)'!BJ7:BL7,"D"))*1))/(COUNTA(BJ7:BL7)),"")</f>
        <v/>
      </c>
      <c r="BN7" s="183" t="str">
        <f t="shared" si="13"/>
        <v/>
      </c>
      <c r="BO7" s="122"/>
      <c r="BP7" s="123"/>
      <c r="BQ7" s="124"/>
      <c r="BR7" s="128"/>
      <c r="BS7" s="182" t="str">
        <f>IFERROR((((COUNTIF('Elève (5ème1)'!BO7:BR7,"A"))*4)+((COUNTIF('Elève (5ème1)'!BO7:BR7,"B"))*3)+((COUNTIF('Elève (5ème1)'!BO7:BR7,"C"))*2)+((COUNTIF('Elève (5ème1)'!BO7:BR7,"D"))*1))/(COUNTA(BO7:BR7)),"")</f>
        <v/>
      </c>
      <c r="BT7" s="183" t="str">
        <f t="shared" si="14"/>
        <v/>
      </c>
      <c r="BU7" s="182" t="str">
        <f>IF(COUNT(BH7,BM7,BS7)=0,"",SUM(BH7,BM7,BS7)/COUNT(BH7,BM7,BS7))</f>
        <v/>
      </c>
      <c r="BV7" s="206" t="str">
        <f t="shared" si="15"/>
        <v/>
      </c>
      <c r="BW7" s="122"/>
      <c r="BX7" s="123"/>
      <c r="BY7" s="124"/>
      <c r="BZ7" s="182" t="str">
        <f>IFERROR((((COUNTIF('Elève (5ème1)'!BW7:BY7,"A"))*4)+((COUNTIF('Elève (5ème1)'!BW7:BY7,"B"))*3)+((COUNTIF('Elève (5ème1)'!BW7:BY7,"C"))*2)+((COUNTIF('Elève (5ème1)'!BW7:BY7,"D"))*1))/(COUNTA(BW7:BY7)),"")</f>
        <v/>
      </c>
      <c r="CA7" s="183" t="str">
        <f t="shared" si="16"/>
        <v/>
      </c>
      <c r="CB7" s="122"/>
      <c r="CC7" s="123"/>
      <c r="CD7" s="124"/>
      <c r="CE7" s="182" t="str">
        <f>IFERROR((((COUNTIF('Elève (5ème1)'!CB7:CD7,"A"))*4)+((COUNTIF('Elève (5ème1)'!CB7:CD7,"B"))*3)+((COUNTIF('Elève (5ème1)'!CB7:CD7,"C"))*2)+((COUNTIF('Elève (5ème1)'!CB7:CD7,"D"))*1))/(COUNTA(CB7:CD7)),"")</f>
        <v/>
      </c>
      <c r="CF7" s="183" t="str">
        <f t="shared" si="17"/>
        <v/>
      </c>
      <c r="CG7" s="122"/>
      <c r="CH7" s="123"/>
      <c r="CI7" s="124"/>
      <c r="CJ7" s="128"/>
      <c r="CK7" s="182" t="str">
        <f>IFERROR((((COUNTIF('Elève (5ème1)'!CG7:CJ7,"A"))*4)+((COUNTIF('Elève (5ème1)'!CG7:CJ7,"B"))*3)+((COUNTIF('Elève (5ème1)'!CG7:CJ7,"C"))*2)+((COUNTIF('Elève (5ème1)'!CG7:CJ7,"D"))*1))/(COUNTA(CG7:CJ7)),"")</f>
        <v/>
      </c>
      <c r="CL7" s="183" t="str">
        <f t="shared" si="18"/>
        <v/>
      </c>
      <c r="CM7" s="182" t="str">
        <f>IF(COUNT(BZ7,CE7,CK7)=0,"",SUM(BZ7,CE7,CK7)/COUNT(BZ7,CE7,CK7))</f>
        <v/>
      </c>
      <c r="CN7" s="206" t="str">
        <f t="shared" si="19"/>
        <v/>
      </c>
      <c r="CO7" s="122"/>
      <c r="CP7" s="123"/>
      <c r="CQ7" s="124"/>
      <c r="CR7" s="182" t="str">
        <f>IFERROR((((COUNTIF('Elève (5ème1)'!CO7:CQ7,"A"))*4)+((COUNTIF('Elève (5ème1)'!CO7:CQ7,"B"))*3)+((COUNTIF('Elève (5ème1)'!CO7:CQ7,"C"))*2)+((COUNTIF('Elève (5ème1)'!CO7:CQ7,"D"))*1))/(COUNTA(CO7:CQ7)),"")</f>
        <v/>
      </c>
      <c r="CS7" s="183" t="str">
        <f t="shared" si="20"/>
        <v/>
      </c>
      <c r="CT7" s="122"/>
      <c r="CU7" s="123"/>
      <c r="CV7" s="124"/>
      <c r="CW7" s="182" t="str">
        <f>IFERROR((((COUNTIF('Elève (5ème1)'!CT7:CV7,"A"))*4)+((COUNTIF('Elève (5ème1)'!CT7:CV7,"B"))*3)+((COUNTIF('Elève (5ème1)'!CT7:CV7,"C"))*2)+((COUNTIF('Elève (5ème1)'!CT7:CV7,"D"))*1))/(COUNTA(CT7:CV7)),"")</f>
        <v/>
      </c>
      <c r="CX7" s="183" t="str">
        <f t="shared" si="21"/>
        <v/>
      </c>
      <c r="CY7" s="122"/>
      <c r="CZ7" s="123"/>
      <c r="DA7" s="124"/>
      <c r="DB7" s="128"/>
      <c r="DC7" s="182" t="str">
        <f>IFERROR((((COUNTIF('Elève (5ème1)'!CY7:DB7,"A"))*4)+((COUNTIF('Elève (5ème1)'!CY7:DB7,"B"))*3)+((COUNTIF('Elève (5ème1)'!CY7:DB7,"C"))*2)+((COUNTIF('Elève (5ème1)'!CY7:DB7,"D"))*1))/(COUNTA(CY7:DB7)),"")</f>
        <v/>
      </c>
      <c r="DD7" s="183" t="str">
        <f t="shared" si="22"/>
        <v/>
      </c>
      <c r="DE7" s="182" t="str">
        <f>IF(COUNT(CR7,CW7,DC7)=0,"",SUM(CR7,CW7,DC7)/COUNT(CR7,CW7,DC7))</f>
        <v/>
      </c>
      <c r="DF7" s="206" t="str">
        <f t="shared" si="23"/>
        <v/>
      </c>
      <c r="DG7" s="122"/>
      <c r="DH7" s="123"/>
      <c r="DI7" s="124"/>
      <c r="DJ7" s="182" t="str">
        <f>IFERROR((((COUNTIF('Elève (5ème1)'!DG7:DI7,"A"))*4)+((COUNTIF('Elève (5ème1)'!DG7:DI7,"B"))*3)+((COUNTIF('Elève (5ème1)'!DG7:DI7,"C"))*2)+((COUNTIF('Elève (5ème1)'!DG7:DI7,"D"))*1))/(COUNTA(DG7:DI7)),"")</f>
        <v/>
      </c>
      <c r="DK7" s="183" t="str">
        <f t="shared" si="24"/>
        <v/>
      </c>
      <c r="DL7" s="122"/>
      <c r="DM7" s="123"/>
      <c r="DN7" s="124"/>
      <c r="DO7" s="182" t="str">
        <f>IFERROR((((COUNTIF('Elève (5ème1)'!DL7:DN7,"A"))*4)+((COUNTIF('Elève (5ème1)'!DL7:DN7,"B"))*3)+((COUNTIF('Elève (5ème1)'!DL7:DN7,"C"))*2)+((COUNTIF('Elève (5ème1)'!DL7:DN7,"D"))*1))/(COUNTA(DL7:DN7)),"")</f>
        <v/>
      </c>
      <c r="DP7" s="183" t="str">
        <f t="shared" si="25"/>
        <v/>
      </c>
      <c r="DQ7" s="122"/>
      <c r="DR7" s="123"/>
      <c r="DS7" s="124"/>
      <c r="DT7" s="128"/>
      <c r="DU7" s="182" t="str">
        <f>IFERROR((((COUNTIF('Elève (5ème1)'!DQ7:DT7,"A"))*4)+((COUNTIF('Elève (5ème1)'!DQ7:DT7,"B"))*3)+((COUNTIF('Elève (5ème1)'!DQ7:DT7,"C"))*2)+((COUNTIF('Elève (5ème1)'!DQ7:DT7,"D"))*1))/(COUNTA(DQ7:DT7)),"")</f>
        <v/>
      </c>
      <c r="DV7" s="183" t="str">
        <f t="shared" si="26"/>
        <v/>
      </c>
      <c r="DW7" s="182" t="str">
        <f>IF(COUNT(DJ7,DO7,DU7)=0,"",SUM(DJ7,DO7,DU7)/COUNT(DJ7,DO7,DU7))</f>
        <v/>
      </c>
      <c r="DX7" s="206" t="str">
        <f t="shared" si="27"/>
        <v/>
      </c>
      <c r="DY7" s="122"/>
      <c r="DZ7" s="123"/>
      <c r="EA7" s="124"/>
      <c r="EB7" s="182" t="str">
        <f>IFERROR((((COUNTIF('Elève (5ème1)'!DY7:EA7,"A"))*4)+((COUNTIF('Elève (5ème1)'!DY7:EA7,"B"))*3)+((COUNTIF('Elève (5ème1)'!DY7:EA7,"C"))*2)+((COUNTIF('Elève (5ème1)'!DY7:EA7,"D"))*1))/(COUNTA(DY7:EA7)),"")</f>
        <v/>
      </c>
      <c r="EC7" s="183" t="str">
        <f t="shared" si="28"/>
        <v/>
      </c>
      <c r="ED7" s="122"/>
      <c r="EE7" s="123"/>
      <c r="EF7" s="124"/>
      <c r="EG7" s="182" t="str">
        <f>IFERROR((((COUNTIF('Elève (5ème1)'!ED7:EF7,"A"))*4)+((COUNTIF('Elève (5ème1)'!ED7:EF7,"B"))*3)+((COUNTIF('Elève (5ème1)'!ED7:EF7,"C"))*2)+((COUNTIF('Elève (5ème1)'!ED7:EF7,"D"))*1))/(COUNTA(ED7:EF7)),"")</f>
        <v/>
      </c>
      <c r="EH7" s="183" t="str">
        <f t="shared" si="29"/>
        <v/>
      </c>
      <c r="EI7" s="122"/>
      <c r="EJ7" s="123"/>
      <c r="EK7" s="124"/>
      <c r="EL7" s="128"/>
      <c r="EM7" s="182" t="str">
        <f>IFERROR((((COUNTIF('Elève (5ème1)'!EI7:EL7,"A"))*4)+((COUNTIF('Elève (5ème1)'!EI7:EL7,"B"))*3)+((COUNTIF('Elève (5ème1)'!EI7:EL7,"C"))*2)+((COUNTIF('Elève (5ème1)'!EI7:EL7,"D"))*1))/(COUNTA(EI7:EL7)),"")</f>
        <v/>
      </c>
      <c r="EN7" s="183" t="str">
        <f t="shared" si="30"/>
        <v/>
      </c>
      <c r="EO7" s="182" t="str">
        <f>IF(COUNT(EB7,EG7,EM7)=0,"",SUM(EB7,EG7,EM7)/COUNT(EB7,EG7,EM7))</f>
        <v/>
      </c>
      <c r="EP7" s="206" t="str">
        <f t="shared" si="31"/>
        <v/>
      </c>
      <c r="EQ7" s="122"/>
      <c r="ER7" s="123"/>
      <c r="ES7" s="124"/>
      <c r="ET7" s="182" t="str">
        <f>IFERROR((((COUNTIF('Elève (5ème1)'!EQ7:ES7,"A"))*4)+((COUNTIF('Elève (5ème1)'!EQ7:ES7,"B"))*3)+((COUNTIF('Elève (5ème1)'!EQ7:ES7,"C"))*2)+((COUNTIF('Elève (5ème1)'!EQ7:ES7,"D"))*1))/(COUNTA(EQ7:ES7)),"")</f>
        <v/>
      </c>
      <c r="EU7" s="183" t="str">
        <f t="shared" si="32"/>
        <v/>
      </c>
      <c r="EV7" s="122"/>
      <c r="EW7" s="123"/>
      <c r="EX7" s="124"/>
      <c r="EY7" s="182" t="str">
        <f>IFERROR((((COUNTIF('Elève (5ème1)'!EV7:EX7,"A"))*4)+((COUNTIF('Elève (5ème1)'!EV7:EX7,"B"))*3)+((COUNTIF('Elève (5ème1)'!EV7:EX7,"C"))*2)+((COUNTIF('Elève (5ème1)'!EV7:EX7,"D"))*1))/(COUNTA(EV7:EX7)),"")</f>
        <v/>
      </c>
      <c r="EZ7" s="183" t="str">
        <f t="shared" si="33"/>
        <v/>
      </c>
      <c r="FA7" s="122"/>
      <c r="FB7" s="123"/>
      <c r="FC7" s="124"/>
      <c r="FD7" s="128"/>
      <c r="FE7" s="182" t="str">
        <f>IFERROR((((COUNTIF('Elève (5ème1)'!FA7:FD7,"A"))*4)+((COUNTIF('Elève (5ème1)'!FA7:FD7,"B"))*3)+((COUNTIF('Elève (5ème1)'!FA7:FD7,"C"))*2)+((COUNTIF('Elève (5ème1)'!FA7:FD7,"D"))*1))/(COUNTA(FA7:FD7)),"")</f>
        <v/>
      </c>
      <c r="FF7" s="183" t="str">
        <f t="shared" si="34"/>
        <v/>
      </c>
      <c r="FG7" s="182" t="str">
        <f>IF(COUNT(ET7,EY7,FE7)=0,"",SUM(ET7,EY7,FE7)/COUNT(ET7,EY7,FE7))</f>
        <v/>
      </c>
      <c r="FH7" s="206" t="str">
        <f t="shared" si="35"/>
        <v/>
      </c>
      <c r="FI7" s="122"/>
      <c r="FJ7" s="123"/>
      <c r="FK7" s="124"/>
      <c r="FL7" s="182" t="str">
        <f>IFERROR((((COUNTIF('Elève (5ème1)'!FI7:FK7,"A"))*4)+((COUNTIF('Elève (5ème1)'!FI7:FK7,"B"))*3)+((COUNTIF('Elève (5ème1)'!FI7:FK7,"C"))*2)+((COUNTIF('Elève (5ème1)'!FI7:FK7,"D"))*1))/(COUNTA(FI7:FK7)),"")</f>
        <v/>
      </c>
      <c r="FM7" s="183" t="str">
        <f t="shared" si="36"/>
        <v/>
      </c>
      <c r="FN7" s="122"/>
      <c r="FO7" s="123"/>
      <c r="FP7" s="124"/>
      <c r="FQ7" s="182" t="str">
        <f>IFERROR((((COUNTIF('Elève (5ème1)'!FN7:FP7,"A"))*4)+((COUNTIF('Elève (5ème1)'!FN7:FP7,"B"))*3)+((COUNTIF('Elève (5ème1)'!FN7:FP7,"C"))*2)+((COUNTIF('Elève (5ème1)'!FN7:FP7,"D"))*1))/(COUNTA(FN7:FP7)),"")</f>
        <v/>
      </c>
      <c r="FR7" s="183" t="str">
        <f t="shared" si="37"/>
        <v/>
      </c>
      <c r="FS7" s="122"/>
      <c r="FT7" s="123"/>
      <c r="FU7" s="124"/>
      <c r="FV7" s="128"/>
      <c r="FW7" s="182" t="str">
        <f>IFERROR((((COUNTIF('Elève (5ème1)'!FS7:FV7,"A"))*4)+((COUNTIF('Elève (5ème1)'!FS7:FV7,"B"))*3)+((COUNTIF('Elève (5ème1)'!FS7:FV7,"C"))*2)+((COUNTIF('Elève (5ème1)'!FS7:FV7,"D"))*1))/(COUNTA(FS7:FV7)),"")</f>
        <v/>
      </c>
      <c r="FX7" s="183" t="str">
        <f t="shared" si="38"/>
        <v/>
      </c>
      <c r="FY7" s="182" t="str">
        <f>IF(COUNT(FL7,FQ7,FW7)=0,"",SUM(FL7,FQ7,FW7)/COUNT(FL7,FQ7,FW7))</f>
        <v/>
      </c>
      <c r="FZ7" s="206" t="str">
        <f t="shared" si="39"/>
        <v/>
      </c>
      <c r="GA7" s="122"/>
      <c r="GB7" s="123"/>
      <c r="GC7" s="124"/>
      <c r="GD7" s="182" t="str">
        <f>IFERROR((((COUNTIF('Elève (5ème1)'!GA7:GC7,"A"))*4)+((COUNTIF('Elève (5ème1)'!GA7:GC7,"B"))*3)+((COUNTIF('Elève (5ème1)'!GA7:GC7,"C"))*2)+((COUNTIF('Elève (5ème1)'!GA7:GC7,"D"))*1))/(COUNTA(GA7:GC7)),"")</f>
        <v/>
      </c>
      <c r="GE7" s="183" t="str">
        <f t="shared" si="40"/>
        <v/>
      </c>
      <c r="GF7" s="122"/>
      <c r="GG7" s="123"/>
      <c r="GH7" s="124"/>
      <c r="GI7" s="182" t="str">
        <f>IFERROR((((COUNTIF('Elève (5ème1)'!GF7:GH7,"A"))*4)+((COUNTIF('Elève (5ème1)'!GF7:GH7,"B"))*3)+((COUNTIF('Elève (5ème1)'!GF7:GH7,"C"))*2)+((COUNTIF('Elève (5ème1)'!GF7:GH7,"D"))*1))/(COUNTA(GF7:GH7)),"")</f>
        <v/>
      </c>
      <c r="GJ7" s="183" t="str">
        <f t="shared" si="41"/>
        <v/>
      </c>
      <c r="GK7" s="122"/>
      <c r="GL7" s="123"/>
      <c r="GM7" s="124"/>
      <c r="GN7" s="128"/>
      <c r="GO7" s="182" t="str">
        <f>IFERROR((((COUNTIF('Elève (5ème1)'!GK7:GN7,"A"))*4)+((COUNTIF('Elève (5ème1)'!GK7:GN7,"B"))*3)+((COUNTIF('Elève (5ème1)'!GK7:GN7,"C"))*2)+((COUNTIF('Elève (5ème1)'!GK7:GN7,"D"))*1))/(COUNTA(GK7:GN7)),"")</f>
        <v/>
      </c>
      <c r="GP7" s="183" t="str">
        <f t="shared" si="42"/>
        <v/>
      </c>
      <c r="GQ7" s="182" t="str">
        <f>IF(COUNT(GD7,GI7,GO7)=0,"",SUM(GD7,GI7,GO7)/COUNT(GD7,GI7,GO7))</f>
        <v/>
      </c>
      <c r="GR7" s="206" t="str">
        <f t="shared" si="43"/>
        <v/>
      </c>
      <c r="GS7" s="122"/>
      <c r="GT7" s="123"/>
      <c r="GU7" s="124"/>
      <c r="GV7" s="182" t="str">
        <f>IFERROR((((COUNTIF('Elève (5ème1)'!GS7:GU7,"A"))*4)+((COUNTIF('Elève (5ème1)'!GS7:GU7,"B"))*3)+((COUNTIF('Elève (5ème1)'!GS7:GU7,"C"))*2)+((COUNTIF('Elève (5ème1)'!GS7:GU7,"D"))*1))/(COUNTA(GS7:GU7)),"")</f>
        <v/>
      </c>
      <c r="GW7" s="183" t="str">
        <f t="shared" si="44"/>
        <v/>
      </c>
      <c r="GX7" s="122"/>
      <c r="GY7" s="123"/>
      <c r="GZ7" s="124"/>
      <c r="HA7" s="182" t="str">
        <f>IFERROR((((COUNTIF('Elève (5ème1)'!GX7:GZ7,"A"))*4)+((COUNTIF('Elève (5ème1)'!GX7:GZ7,"B"))*3)+((COUNTIF('Elève (5ème1)'!GX7:GZ7,"C"))*2)+((COUNTIF('Elève (5ème1)'!GX7:GZ7,"D"))*1))/(COUNTA(GX7:GZ7)),"")</f>
        <v/>
      </c>
      <c r="HB7" s="183" t="str">
        <f t="shared" si="45"/>
        <v/>
      </c>
      <c r="HC7" s="122"/>
      <c r="HD7" s="123"/>
      <c r="HE7" s="124"/>
      <c r="HF7" s="128"/>
      <c r="HG7" s="182" t="str">
        <f>IFERROR((((COUNTIF('Elève (5ème1)'!HC7:HF7,"A"))*4)+((COUNTIF('Elève (5ème1)'!HC7:HF7,"B"))*3)+((COUNTIF('Elève (5ème1)'!HC7:HF7,"C"))*2)+((COUNTIF('Elève (5ème1)'!HC7:HF7,"D"))*1))/(COUNTA(HC7:HF7)),"")</f>
        <v/>
      </c>
      <c r="HH7" s="183" t="str">
        <f t="shared" si="46"/>
        <v/>
      </c>
      <c r="HI7" s="182" t="str">
        <f>IF(COUNT(GV7,HA7,HG7)=0,"",SUM(GV7,HA7,HG7)/COUNT(GV7,HA7,HG7))</f>
        <v/>
      </c>
      <c r="HJ7" s="206" t="str">
        <f t="shared" si="47"/>
        <v/>
      </c>
      <c r="HK7" s="122"/>
      <c r="HL7" s="123"/>
      <c r="HM7" s="124"/>
      <c r="HN7" s="182" t="str">
        <f>IFERROR((((COUNTIF('Elève (5ème1)'!HK7:HM7,"A"))*4)+((COUNTIF('Elève (5ème1)'!HK7:HM7,"B"))*3)+((COUNTIF('Elève (5ème1)'!HK7:HM7,"C"))*2)+((COUNTIF('Elève (5ème1)'!HK7:HM7,"D"))*1))/(COUNTA(HK7:HM7)),"")</f>
        <v/>
      </c>
      <c r="HO7" s="183" t="str">
        <f t="shared" si="48"/>
        <v/>
      </c>
      <c r="HP7" s="122"/>
      <c r="HQ7" s="123"/>
      <c r="HR7" s="124"/>
      <c r="HS7" s="182" t="str">
        <f>IFERROR((((COUNTIF('Elève (5ème1)'!HP7:HR7,"A"))*4)+((COUNTIF('Elève (5ème1)'!HP7:HR7,"B"))*3)+((COUNTIF('Elève (5ème1)'!HP7:HR7,"C"))*2)+((COUNTIF('Elève (5ème1)'!HP7:HR7,"D"))*1))/(COUNTA(HP7:HR7)),"")</f>
        <v/>
      </c>
      <c r="HT7" s="183" t="str">
        <f t="shared" si="49"/>
        <v/>
      </c>
      <c r="HU7" s="122"/>
      <c r="HV7" s="123"/>
      <c r="HW7" s="124"/>
      <c r="HX7" s="128"/>
      <c r="HY7" s="182" t="str">
        <f>IFERROR((((COUNTIF('Elève (5ème1)'!HU7:HX7,"A"))*4)+((COUNTIF('Elève (5ème1)'!HU7:HX7,"B"))*3)+((COUNTIF('Elève (5ème1)'!HU7:HX7,"C"))*2)+((COUNTIF('Elève (5ème1)'!HU7:HX7,"D"))*1))/(COUNTA(HU7:HX7)),"")</f>
        <v/>
      </c>
      <c r="HZ7" s="183" t="str">
        <f t="shared" si="50"/>
        <v/>
      </c>
      <c r="IA7" s="182" t="str">
        <f>IF(COUNT(HN7,HS7,HY7)=0,"",SUM(HN7,HS7,HY7)/COUNT(HN7,HS7,HY7))</f>
        <v/>
      </c>
      <c r="IB7" s="206" t="str">
        <f t="shared" si="51"/>
        <v/>
      </c>
      <c r="IC7" s="122"/>
      <c r="ID7" s="123"/>
      <c r="IE7" s="124"/>
      <c r="IF7" s="182" t="str">
        <f>IFERROR((((COUNTIF('Elève (5ème1)'!IC7:IE7,"A"))*4)+((COUNTIF('Elève (5ème1)'!IC7:IE7,"B"))*3)+((COUNTIF('Elève (5ème1)'!IC7:IE7,"C"))*2)+((COUNTIF('Elève (5ème1)'!IC7:IE7,"D"))*1))/(COUNTA(IC7:IE7)),"")</f>
        <v/>
      </c>
      <c r="IG7" s="183" t="str">
        <f t="shared" si="52"/>
        <v/>
      </c>
      <c r="IH7" s="122"/>
      <c r="II7" s="123"/>
      <c r="IJ7" s="124"/>
      <c r="IK7" s="182" t="str">
        <f>IFERROR((((COUNTIF('Elève (5ème1)'!IH7:IJ7,"A"))*4)+((COUNTIF('Elève (5ème1)'!IH7:IJ7,"B"))*3)+((COUNTIF('Elève (5ème1)'!IH7:IJ7,"C"))*2)+((COUNTIF('Elève (5ème1)'!IH7:IJ7,"D"))*1))/(COUNTA(IH7:IJ7)),"")</f>
        <v/>
      </c>
      <c r="IL7" s="183" t="str">
        <f t="shared" si="53"/>
        <v/>
      </c>
      <c r="IM7" s="122"/>
      <c r="IN7" s="123"/>
      <c r="IO7" s="124"/>
      <c r="IP7" s="128"/>
      <c r="IQ7" s="182" t="str">
        <f>IFERROR((((COUNTIF('Elève (5ème1)'!IM7:IP7,"A"))*4)+((COUNTIF('Elève (5ème1)'!IM7:IP7,"B"))*3)+((COUNTIF('Elève (5ème1)'!IM7:IP7,"C"))*2)+((COUNTIF('Elève (5ème1)'!IM7:IP7,"D"))*1))/(COUNTA(IM7:IP7)),"")</f>
        <v/>
      </c>
      <c r="IR7" s="183" t="str">
        <f t="shared" si="54"/>
        <v/>
      </c>
      <c r="IS7" s="182" t="str">
        <f>IF(COUNT(IF7,IK7,IQ7)=0,"",SUM(IF7,IK7,IQ7)/COUNT(IF7,IK7,IQ7))</f>
        <v/>
      </c>
      <c r="IT7" s="206" t="str">
        <f t="shared" si="55"/>
        <v/>
      </c>
      <c r="IU7" s="122"/>
      <c r="IV7" s="123"/>
      <c r="IW7" s="124"/>
      <c r="IX7" s="182" t="str">
        <f>IFERROR((((COUNTIF('Elève (5ème1)'!IU7:IW7,"A"))*4)+((COUNTIF('Elève (5ème1)'!IU7:IW7,"B"))*3)+((COUNTIF('Elève (5ème1)'!IU7:IW7,"C"))*2)+((COUNTIF('Elève (5ème1)'!IU7:IW7,"D"))*1))/(COUNTA(IU7:IW7)),"")</f>
        <v/>
      </c>
      <c r="IY7" s="183" t="str">
        <f t="shared" si="56"/>
        <v/>
      </c>
      <c r="IZ7" s="122"/>
      <c r="JA7" s="123"/>
      <c r="JB7" s="124"/>
      <c r="JC7" s="182" t="str">
        <f>IFERROR((((COUNTIF('Elève (5ème1)'!IZ7:JB7,"A"))*4)+((COUNTIF('Elève (5ème1)'!IZ7:JB7,"B"))*3)+((COUNTIF('Elève (5ème1)'!IZ7:JB7,"C"))*2)+((COUNTIF('Elève (5ème1)'!IZ7:JB7,"D"))*1))/(COUNTA(IZ7:JB7)),"")</f>
        <v/>
      </c>
      <c r="JD7" s="183" t="str">
        <f t="shared" si="57"/>
        <v/>
      </c>
      <c r="JE7" s="122"/>
      <c r="JF7" s="123"/>
      <c r="JG7" s="124"/>
      <c r="JH7" s="128"/>
      <c r="JI7" s="182" t="str">
        <f>IFERROR((((COUNTIF('Elève (5ème1)'!JE7:JH7,"A"))*4)+((COUNTIF('Elève (5ème1)'!JE7:JH7,"B"))*3)+((COUNTIF('Elève (5ème1)'!JE7:JH7,"C"))*2)+((COUNTIF('Elève (5ème1)'!JE7:JH7,"D"))*1))/(COUNTA(JE7:JH7)),"")</f>
        <v/>
      </c>
      <c r="JJ7" s="183" t="str">
        <f t="shared" si="58"/>
        <v/>
      </c>
      <c r="JK7" s="182" t="str">
        <f>IF(COUNT(IX7,JC7,JI7)=0,"",SUM(IX7,JC7,JI7)/COUNT(IX7,JC7,JI7))</f>
        <v/>
      </c>
      <c r="JL7" s="206" t="str">
        <f t="shared" si="59"/>
        <v/>
      </c>
      <c r="JM7" s="122"/>
      <c r="JN7" s="123"/>
      <c r="JO7" s="124"/>
      <c r="JP7" s="182" t="str">
        <f>IFERROR((((COUNTIF('Elève (5ème1)'!JM7:JO7,"A"))*4)+((COUNTIF('Elève (5ème1)'!JM7:JO7,"B"))*3)+((COUNTIF('Elève (5ème1)'!JM7:JO7,"C"))*2)+((COUNTIF('Elève (5ème1)'!JM7:JO7,"D"))*1))/(COUNTA(JM7:JO7)),"")</f>
        <v/>
      </c>
      <c r="JQ7" s="183" t="str">
        <f t="shared" si="60"/>
        <v/>
      </c>
      <c r="JR7" s="122"/>
      <c r="JS7" s="123"/>
      <c r="JT7" s="124"/>
      <c r="JU7" s="182" t="str">
        <f>IFERROR((((COUNTIF('Elève (5ème1)'!JR7:JT7,"A"))*4)+((COUNTIF('Elève (5ème1)'!JR7:JT7,"B"))*3)+((COUNTIF('Elève (5ème1)'!JR7:JT7,"C"))*2)+((COUNTIF('Elève (5ème1)'!JR7:JT7,"D"))*1))/(COUNTA(JR7:JT7)),"")</f>
        <v/>
      </c>
      <c r="JV7" s="183" t="str">
        <f t="shared" si="61"/>
        <v/>
      </c>
      <c r="JW7" s="122"/>
      <c r="JX7" s="123"/>
      <c r="JY7" s="124"/>
      <c r="JZ7" s="128"/>
      <c r="KA7" s="182" t="str">
        <f>IFERROR((((COUNTIF('Elève (5ème1)'!JW7:JZ7,"A"))*4)+((COUNTIF('Elève (5ème1)'!JW7:JZ7,"B"))*3)+((COUNTIF('Elève (5ème1)'!JW7:JZ7,"C"))*2)+((COUNTIF('Elève (5ème1)'!JW7:JZ7,"D"))*1))/(COUNTA(JW7:JZ7)),"")</f>
        <v/>
      </c>
      <c r="KB7" s="183" t="str">
        <f t="shared" si="62"/>
        <v/>
      </c>
      <c r="KC7" s="182" t="str">
        <f>IF(COUNT(JP7,JU7,KA7)=0,"",SUM(JP7,JU7,KA7)/COUNT(JP7,JU7,KA7))</f>
        <v/>
      </c>
      <c r="KD7" s="206" t="str">
        <f t="shared" si="63"/>
        <v/>
      </c>
      <c r="KE7" s="122"/>
      <c r="KF7" s="123"/>
      <c r="KG7" s="124"/>
      <c r="KH7" s="182" t="str">
        <f>IFERROR((((COUNTIF('Elève (5ème1)'!KE7:KG7,"A"))*4)+((COUNTIF('Elève (5ème1)'!KE7:KG7,"B"))*3)+((COUNTIF('Elève (5ème1)'!KE7:KG7,"C"))*2)+((COUNTIF('Elève (5ème1)'!KE7:KG7,"D"))*1))/(COUNTA(KE7:KG7)),"")</f>
        <v/>
      </c>
      <c r="KI7" s="183" t="str">
        <f t="shared" si="64"/>
        <v/>
      </c>
      <c r="KJ7" s="122"/>
      <c r="KK7" s="123"/>
      <c r="KL7" s="124"/>
      <c r="KM7" s="182" t="str">
        <f>IFERROR((((COUNTIF('Elève (5ème1)'!KJ7:KL7,"A"))*4)+((COUNTIF('Elève (5ème1)'!KJ7:KL7,"B"))*3)+((COUNTIF('Elève (5ème1)'!KJ7:KL7,"C"))*2)+((COUNTIF('Elève (5ème1)'!KJ7:KL7,"D"))*1))/(COUNTA(KJ7:KL7)),"")</f>
        <v/>
      </c>
      <c r="KN7" s="183" t="str">
        <f t="shared" si="65"/>
        <v/>
      </c>
      <c r="KO7" s="122"/>
      <c r="KP7" s="123"/>
      <c r="KQ7" s="124"/>
      <c r="KR7" s="128"/>
      <c r="KS7" s="182" t="str">
        <f>IFERROR((((COUNTIF('Elève (5ème1)'!KO7:KR7,"A"))*4)+((COUNTIF('Elève (5ème1)'!KO7:KR7,"B"))*3)+((COUNTIF('Elève (5ème1)'!KO7:KR7,"C"))*2)+((COUNTIF('Elève (5ème1)'!KO7:KR7,"D"))*1))/(COUNTA(KO7:KR7)),"")</f>
        <v/>
      </c>
      <c r="KT7" s="183" t="str">
        <f t="shared" si="66"/>
        <v/>
      </c>
      <c r="KU7" s="182" t="str">
        <f>IF(COUNT(KH7,KM7,KS7)=0,"",SUM(KH7,KM7,KS7)/COUNT(KH7,KM7,KS7))</f>
        <v/>
      </c>
      <c r="KV7" s="206" t="str">
        <f t="shared" si="67"/>
        <v/>
      </c>
      <c r="KW7" s="122"/>
      <c r="KX7" s="123"/>
      <c r="KY7" s="124"/>
      <c r="KZ7" s="182" t="str">
        <f>IFERROR((((COUNTIF('Elève (5ème1)'!KW7:KY7,"A"))*4)+((COUNTIF('Elève (5ème1)'!KW7:KY7,"B"))*3)+((COUNTIF('Elève (5ème1)'!KW7:KY7,"C"))*2)+((COUNTIF('Elève (5ème1)'!KW7:KY7,"D"))*1))/(COUNTA(KW7:KY7)),"")</f>
        <v/>
      </c>
      <c r="LA7" s="183" t="str">
        <f t="shared" si="68"/>
        <v/>
      </c>
      <c r="LB7" s="122"/>
      <c r="LC7" s="123"/>
      <c r="LD7" s="124"/>
      <c r="LE7" s="182" t="str">
        <f>IFERROR((((COUNTIF('Elève (5ème1)'!LB7:LD7,"A"))*4)+((COUNTIF('Elève (5ème1)'!LB7:LD7,"B"))*3)+((COUNTIF('Elève (5ème1)'!LB7:LD7,"C"))*2)+((COUNTIF('Elève (5ème1)'!LB7:LD7,"D"))*1))/(COUNTA(LB7:LD7)),"")</f>
        <v/>
      </c>
      <c r="LF7" s="183" t="str">
        <f t="shared" si="69"/>
        <v/>
      </c>
      <c r="LG7" s="122"/>
      <c r="LH7" s="123"/>
      <c r="LI7" s="124"/>
      <c r="LJ7" s="128"/>
      <c r="LK7" s="182" t="str">
        <f>IFERROR((((COUNTIF('Elève (5ème1)'!LG7:LJ7,"A"))*4)+((COUNTIF('Elève (5ème1)'!LG7:LJ7,"B"))*3)+((COUNTIF('Elève (5ème1)'!LG7:LJ7,"C"))*2)+((COUNTIF('Elève (5ème1)'!LG7:LJ7,"D"))*1))/(COUNTA(LG7:LJ7)),"")</f>
        <v/>
      </c>
      <c r="LL7" s="183" t="str">
        <f t="shared" si="70"/>
        <v/>
      </c>
      <c r="LM7" s="182" t="str">
        <f>IF(COUNT(KZ7,LE7,LK7)=0,"",SUM(KZ7,LE7,LK7)/COUNT(KZ7,LE7,LK7))</f>
        <v/>
      </c>
      <c r="LN7" s="206" t="str">
        <f t="shared" si="71"/>
        <v/>
      </c>
      <c r="LO7" s="122"/>
      <c r="LP7" s="123"/>
      <c r="LQ7" s="124"/>
      <c r="LR7" s="182" t="str">
        <f>IFERROR((((COUNTIF('Elève (5ème1)'!LO7:LQ7,"A"))*4)+((COUNTIF('Elève (5ème1)'!LO7:LQ7,"B"))*3)+((COUNTIF('Elève (5ème1)'!LO7:LQ7,"C"))*2)+((COUNTIF('Elève (5ème1)'!LO7:LQ7,"D"))*1))/(COUNTA(LO7:LQ7)),"")</f>
        <v/>
      </c>
      <c r="LS7" s="183" t="str">
        <f t="shared" si="72"/>
        <v/>
      </c>
      <c r="LT7" s="122"/>
      <c r="LU7" s="123"/>
      <c r="LV7" s="124"/>
      <c r="LW7" s="182" t="str">
        <f>IFERROR((((COUNTIF('Elève (5ème1)'!LT7:LV7,"A"))*4)+((COUNTIF('Elève (5ème1)'!LT7:LV7,"B"))*3)+((COUNTIF('Elève (5ème1)'!LT7:LV7,"C"))*2)+((COUNTIF('Elève (5ème1)'!LT7:LV7,"D"))*1))/(COUNTA(LT7:LV7)),"")</f>
        <v/>
      </c>
      <c r="LX7" s="183" t="str">
        <f t="shared" si="73"/>
        <v/>
      </c>
      <c r="LY7" s="122"/>
      <c r="LZ7" s="123"/>
      <c r="MA7" s="124"/>
      <c r="MB7" s="128"/>
      <c r="MC7" s="182" t="str">
        <f>IFERROR((((COUNTIF('Elève (5ème1)'!LY7:MB7,"A"))*4)+((COUNTIF('Elève (5ème1)'!LY7:MB7,"B"))*3)+((COUNTIF('Elève (5ème1)'!LY7:MB7,"C"))*2)+((COUNTIF('Elève (5ème1)'!LY7:MB7,"D"))*1))/(COUNTA(LY7:MB7)),"")</f>
        <v/>
      </c>
      <c r="MD7" s="183" t="str">
        <f t="shared" si="74"/>
        <v/>
      </c>
      <c r="ME7" s="182" t="str">
        <f>IF(COUNT(LR7,LW7,MC7)=0,"",SUM(LR7,LW7,MC7)/COUNT(LR7,LW7,MC7))</f>
        <v/>
      </c>
      <c r="MF7" s="206" t="str">
        <f t="shared" si="75"/>
        <v/>
      </c>
      <c r="MG7" s="122"/>
      <c r="MH7" s="123"/>
      <c r="MI7" s="124"/>
      <c r="MJ7" s="182" t="str">
        <f>IFERROR((((COUNTIF('Elève (5ème1)'!MG7:MI7,"A"))*4)+((COUNTIF('Elève (5ème1)'!MG7:MI7,"B"))*3)+((COUNTIF('Elève (5ème1)'!MG7:MI7,"C"))*2)+((COUNTIF('Elève (5ème1)'!MG7:MI7,"D"))*1))/(COUNTA(MG7:MI7)),"")</f>
        <v/>
      </c>
      <c r="MK7" s="183" t="str">
        <f t="shared" si="76"/>
        <v/>
      </c>
      <c r="ML7" s="122"/>
      <c r="MM7" s="123"/>
      <c r="MN7" s="124"/>
      <c r="MO7" s="182" t="str">
        <f>IFERROR((((COUNTIF('Elève (5ème1)'!ML7:MN7,"A"))*4)+((COUNTIF('Elève (5ème1)'!ML7:MN7,"B"))*3)+((COUNTIF('Elève (5ème1)'!ML7:MN7,"C"))*2)+((COUNTIF('Elève (5ème1)'!ML7:MN7,"D"))*1))/(COUNTA(ML7:MN7)),"")</f>
        <v/>
      </c>
      <c r="MP7" s="183" t="str">
        <f t="shared" si="77"/>
        <v/>
      </c>
      <c r="MQ7" s="122"/>
      <c r="MR7" s="123"/>
      <c r="MS7" s="124"/>
      <c r="MT7" s="128"/>
      <c r="MU7" s="182" t="str">
        <f>IFERROR((((COUNTIF('Elève (5ème1)'!MQ7:MT7,"A"))*4)+((COUNTIF('Elève (5ème1)'!MQ7:MT7,"B"))*3)+((COUNTIF('Elève (5ème1)'!MQ7:MT7,"C"))*2)+((COUNTIF('Elève (5ème1)'!MQ7:MT7,"D"))*1))/(COUNTA(MQ7:MT7)),"")</f>
        <v/>
      </c>
      <c r="MV7" s="183" t="str">
        <f t="shared" si="78"/>
        <v/>
      </c>
      <c r="MW7" s="182" t="str">
        <f>IF(COUNT(MJ7,MO7,MU7)=0,"",SUM(MJ7,MO7,MU7)/COUNT(MJ7,MO7,MU7))</f>
        <v/>
      </c>
      <c r="MX7" s="206" t="str">
        <f t="shared" si="79"/>
        <v/>
      </c>
      <c r="MY7" s="122"/>
      <c r="MZ7" s="123"/>
      <c r="NA7" s="124"/>
      <c r="NB7" s="182" t="str">
        <f>IFERROR((((COUNTIF('Elève (5ème1)'!MY7:NA7,"A"))*4)+((COUNTIF('Elève (5ème1)'!MY7:NA7,"B"))*3)+((COUNTIF('Elève (5ème1)'!MY7:NA7,"C"))*2)+((COUNTIF('Elève (5ème1)'!MY7:NA7,"D"))*1))/(COUNTA(MY7:NA7)),"")</f>
        <v/>
      </c>
      <c r="NC7" s="183" t="str">
        <f t="shared" si="80"/>
        <v/>
      </c>
      <c r="ND7" s="122"/>
      <c r="NE7" s="123"/>
      <c r="NF7" s="124"/>
      <c r="NG7" s="182" t="str">
        <f>IFERROR((((COUNTIF('Elève (5ème1)'!ND7:NF7,"A"))*4)+((COUNTIF('Elève (5ème1)'!ND7:NF7,"B"))*3)+((COUNTIF('Elève (5ème1)'!ND7:NF7,"C"))*2)+((COUNTIF('Elève (5ème1)'!ND7:NF7,"D"))*1))/(COUNTA(ND7:NF7)),"")</f>
        <v/>
      </c>
      <c r="NH7" s="183" t="str">
        <f t="shared" si="81"/>
        <v/>
      </c>
      <c r="NI7" s="122"/>
      <c r="NJ7" s="123"/>
      <c r="NK7" s="124"/>
      <c r="NL7" s="128"/>
      <c r="NM7" s="182" t="str">
        <f>IFERROR((((COUNTIF('Elève (5ème1)'!NI7:NL7,"A"))*4)+((COUNTIF('Elève (5ème1)'!NI7:NL7,"B"))*3)+((COUNTIF('Elève (5ème1)'!NI7:NL7,"C"))*2)+((COUNTIF('Elève (5ème1)'!NI7:NL7,"D"))*1))/(COUNTA(NI7:NL7)),"")</f>
        <v/>
      </c>
      <c r="NN7" s="183" t="str">
        <f t="shared" si="82"/>
        <v/>
      </c>
      <c r="NO7" s="182" t="str">
        <f>IF(COUNT(NB7,NG7,NM7)=0,"",SUM(NB7,NG7,NM7)/COUNT(NB7,NG7,NM7))</f>
        <v/>
      </c>
      <c r="NP7" s="206" t="str">
        <f t="shared" si="83"/>
        <v/>
      </c>
      <c r="NQ7" s="122"/>
      <c r="NR7" s="123"/>
      <c r="NS7" s="124"/>
      <c r="NT7" s="182" t="str">
        <f>IFERROR((((COUNTIF('Elève (5ème1)'!NQ7:NS7,"A"))*4)+((COUNTIF('Elève (5ème1)'!NQ7:NS7,"B"))*3)+((COUNTIF('Elève (5ème1)'!NQ7:NS7,"C"))*2)+((COUNTIF('Elève (5ème1)'!NQ7:NS7,"D"))*1))/(COUNTA(NQ7:NS7)),"")</f>
        <v/>
      </c>
      <c r="NU7" s="183" t="str">
        <f t="shared" si="84"/>
        <v/>
      </c>
      <c r="NV7" s="122"/>
      <c r="NW7" s="123"/>
      <c r="NX7" s="124"/>
      <c r="NY7" s="182" t="str">
        <f>IFERROR((((COUNTIF('Elève (5ème1)'!NV7:NX7,"A"))*4)+((COUNTIF('Elève (5ème1)'!NV7:NX7,"B"))*3)+((COUNTIF('Elève (5ème1)'!NV7:NX7,"C"))*2)+((COUNTIF('Elève (5ème1)'!NV7:NX7,"D"))*1))/(COUNTA(NV7:NX7)),"")</f>
        <v/>
      </c>
      <c r="NZ7" s="183" t="str">
        <f t="shared" si="85"/>
        <v/>
      </c>
      <c r="OA7" s="122"/>
      <c r="OB7" s="123"/>
      <c r="OC7" s="124"/>
      <c r="OD7" s="128"/>
      <c r="OE7" s="182" t="str">
        <f>IFERROR((((COUNTIF('Elève (5ème1)'!OA7:OD7,"A"))*4)+((COUNTIF('Elève (5ème1)'!OA7:OD7,"B"))*3)+((COUNTIF('Elève (5ème1)'!OA7:OD7,"C"))*2)+((COUNTIF('Elève (5ème1)'!OA7:OD7,"D"))*1))/(COUNTA(OA7:OD7)),"")</f>
        <v/>
      </c>
      <c r="OF7" s="183" t="str">
        <f t="shared" si="86"/>
        <v/>
      </c>
      <c r="OG7" s="182" t="str">
        <f>IF(COUNT(NT7,NY7,OE7)=0,"",SUM(NT7,NY7,OE7)/COUNT(NT7,NY7,OE7))</f>
        <v/>
      </c>
      <c r="OH7" s="206" t="str">
        <f t="shared" si="87"/>
        <v/>
      </c>
      <c r="OI7" s="122"/>
      <c r="OJ7" s="123"/>
      <c r="OK7" s="124"/>
      <c r="OL7" s="182" t="str">
        <f>IFERROR((((COUNTIF('Elève (5ème1)'!OI7:OK7,"A"))*4)+((COUNTIF('Elève (5ème1)'!OI7:OK7,"B"))*3)+((COUNTIF('Elève (5ème1)'!OI7:OK7,"C"))*2)+((COUNTIF('Elève (5ème1)'!OI7:OK7,"D"))*1))/(COUNTA(OI7:OK7)),"")</f>
        <v/>
      </c>
      <c r="OM7" s="183" t="str">
        <f t="shared" si="88"/>
        <v/>
      </c>
      <c r="ON7" s="122"/>
      <c r="OO7" s="123"/>
      <c r="OP7" s="124"/>
      <c r="OQ7" s="182" t="str">
        <f>IFERROR((((COUNTIF('Elève (5ème1)'!ON7:OP7,"A"))*4)+((COUNTIF('Elève (5ème1)'!ON7:OP7,"B"))*3)+((COUNTIF('Elève (5ème1)'!ON7:OP7,"C"))*2)+((COUNTIF('Elève (5ème1)'!ON7:OP7,"D"))*1))/(COUNTA(ON7:OP7)),"")</f>
        <v/>
      </c>
      <c r="OR7" s="183" t="str">
        <f t="shared" si="89"/>
        <v/>
      </c>
      <c r="OS7" s="122"/>
      <c r="OT7" s="123"/>
      <c r="OU7" s="124"/>
      <c r="OV7" s="128"/>
      <c r="OW7" s="182" t="str">
        <f>IFERROR((((COUNTIF('Elève (5ème1)'!OS7:OV7,"A"))*4)+((COUNTIF('Elève (5ème1)'!OS7:OV7,"B"))*3)+((COUNTIF('Elève (5ème1)'!OS7:OV7,"C"))*2)+((COUNTIF('Elève (5ème1)'!OS7:OV7,"D"))*1))/(COUNTA(OS7:OV7)),"")</f>
        <v/>
      </c>
      <c r="OX7" s="183" t="str">
        <f t="shared" si="90"/>
        <v/>
      </c>
      <c r="OY7" s="182" t="str">
        <f>IF(COUNT(OL7,OQ7,OW7)=0,"",SUM(OL7,OQ7,OW7)/COUNT(OL7,OQ7,OW7))</f>
        <v/>
      </c>
      <c r="OZ7" s="206" t="str">
        <f t="shared" si="91"/>
        <v/>
      </c>
      <c r="PA7" s="122"/>
      <c r="PB7" s="123"/>
      <c r="PC7" s="124"/>
      <c r="PD7" s="182" t="str">
        <f>IFERROR((((COUNTIF('Elève (5ème1)'!PA7:PC7,"A"))*4)+((COUNTIF('Elève (5ème1)'!PA7:PC7,"B"))*3)+((COUNTIF('Elève (5ème1)'!PA7:PC7,"C"))*2)+((COUNTIF('Elève (5ème1)'!PA7:PC7,"D"))*1))/(COUNTA(PA7:PC7)),"")</f>
        <v/>
      </c>
      <c r="PE7" s="183" t="str">
        <f t="shared" si="92"/>
        <v/>
      </c>
      <c r="PF7" s="122"/>
      <c r="PG7" s="123"/>
      <c r="PH7" s="124"/>
      <c r="PI7" s="182" t="str">
        <f>IFERROR((((COUNTIF('Elève (5ème1)'!PF7:PH7,"A"))*4)+((COUNTIF('Elève (5ème1)'!PF7:PH7,"B"))*3)+((COUNTIF('Elève (5ème1)'!PF7:PH7,"C"))*2)+((COUNTIF('Elève (5ème1)'!PF7:PH7,"D"))*1))/(COUNTA(PF7:PH7)),"")</f>
        <v/>
      </c>
      <c r="PJ7" s="183" t="str">
        <f t="shared" si="93"/>
        <v/>
      </c>
      <c r="PK7" s="122"/>
      <c r="PL7" s="123"/>
      <c r="PM7" s="124"/>
      <c r="PN7" s="128"/>
      <c r="PO7" s="182" t="str">
        <f>IFERROR((((COUNTIF('Elève (5ème1)'!PK7:PN7,"A"))*4)+((COUNTIF('Elève (5ème1)'!PK7:PN7,"B"))*3)+((COUNTIF('Elève (5ème1)'!PK7:PN7,"C"))*2)+((COUNTIF('Elève (5ème1)'!PK7:PN7,"D"))*1))/(COUNTA(PK7:PN7)),"")</f>
        <v/>
      </c>
      <c r="PP7" s="183" t="str">
        <f t="shared" si="94"/>
        <v/>
      </c>
      <c r="PQ7" s="182" t="str">
        <f>IF(COUNT(PD7,PI7,PO7)=0,"",SUM(PD7,PI7,PO7)/COUNT(PD7,PI7,PO7))</f>
        <v/>
      </c>
      <c r="PR7" s="206" t="str">
        <f t="shared" si="95"/>
        <v/>
      </c>
      <c r="PS7" s="122"/>
      <c r="PT7" s="123"/>
      <c r="PU7" s="124"/>
      <c r="PV7" s="182" t="str">
        <f>IFERROR((((COUNTIF('Elève (5ème1)'!PS7:PU7,"A"))*4)+((COUNTIF('Elève (5ème1)'!PS7:PU7,"B"))*3)+((COUNTIF('Elève (5ème1)'!PS7:PU7,"C"))*2)+((COUNTIF('Elève (5ème1)'!PS7:PU7,"D"))*1))/(COUNTA(PS7:PU7)),"")</f>
        <v/>
      </c>
      <c r="PW7" s="183" t="str">
        <f t="shared" si="96"/>
        <v/>
      </c>
      <c r="PX7" s="122"/>
      <c r="PY7" s="123"/>
      <c r="PZ7" s="124"/>
      <c r="QA7" s="182" t="str">
        <f>IFERROR((((COUNTIF('Elève (5ème1)'!PX7:PZ7,"A"))*4)+((COUNTIF('Elève (5ème1)'!PX7:PZ7,"B"))*3)+((COUNTIF('Elève (5ème1)'!PX7:PZ7,"C"))*2)+((COUNTIF('Elève (5ème1)'!PX7:PZ7,"D"))*1))/(COUNTA(PX7:PZ7)),"")</f>
        <v/>
      </c>
      <c r="QB7" s="183" t="str">
        <f t="shared" si="97"/>
        <v/>
      </c>
      <c r="QC7" s="122"/>
      <c r="QD7" s="123"/>
      <c r="QE7" s="124"/>
      <c r="QF7" s="128"/>
      <c r="QG7" s="182" t="str">
        <f>IFERROR((((COUNTIF('Elève (5ème1)'!QC7:QF7,"A"))*4)+((COUNTIF('Elève (5ème1)'!QC7:QF7,"B"))*3)+((COUNTIF('Elève (5ème1)'!QC7:QF7,"C"))*2)+((COUNTIF('Elève (5ème1)'!QC7:QF7,"D"))*1))/(COUNTA(QC7:QF7)),"")</f>
        <v/>
      </c>
      <c r="QH7" s="183" t="str">
        <f t="shared" si="98"/>
        <v/>
      </c>
      <c r="QI7" s="182" t="str">
        <f>IF(COUNT(PV7,QA7,QG7)=0,"",SUM(PV7,QA7,QG7)/COUNT(PV7,QA7,QG7))</f>
        <v/>
      </c>
      <c r="QJ7" s="206" t="str">
        <f t="shared" si="99"/>
        <v/>
      </c>
      <c r="QK7" s="122"/>
      <c r="QL7" s="123"/>
      <c r="QM7" s="124"/>
      <c r="QN7" s="182" t="str">
        <f>IFERROR((((COUNTIF('Elève (5ème1)'!QK7:QM7,"A"))*4)+((COUNTIF('Elève (5ème1)'!QK7:QM7,"B"))*3)+((COUNTIF('Elève (5ème1)'!QK7:QM7,"C"))*2)+((COUNTIF('Elève (5ème1)'!QK7:QM7,"D"))*1))/(COUNTA(QK7:QM7)),"")</f>
        <v/>
      </c>
      <c r="QO7" s="183" t="str">
        <f t="shared" si="100"/>
        <v/>
      </c>
      <c r="QP7" s="122"/>
      <c r="QQ7" s="123"/>
      <c r="QR7" s="124"/>
      <c r="QS7" s="182" t="str">
        <f>IFERROR((((COUNTIF('Elève (5ème1)'!QP7:QR7,"A"))*4)+((COUNTIF('Elève (5ème1)'!QP7:QR7,"B"))*3)+((COUNTIF('Elève (5ème1)'!QP7:QR7,"C"))*2)+((COUNTIF('Elève (5ème1)'!QP7:QR7,"D"))*1))/(COUNTA(QP7:QR7)),"")</f>
        <v/>
      </c>
      <c r="QT7" s="183" t="str">
        <f t="shared" si="101"/>
        <v/>
      </c>
      <c r="QU7" s="122"/>
      <c r="QV7" s="123"/>
      <c r="QW7" s="124"/>
      <c r="QX7" s="128"/>
      <c r="QY7" s="182" t="str">
        <f>IFERROR((((COUNTIF('Elève (5ème1)'!QU7:QX7,"A"))*4)+((COUNTIF('Elève (5ème1)'!QU7:QX7,"B"))*3)+((COUNTIF('Elève (5ème1)'!QU7:QX7,"C"))*2)+((COUNTIF('Elève (5ème1)'!QU7:QX7,"D"))*1))/(COUNTA(QU7:QX7)),"")</f>
        <v/>
      </c>
      <c r="QZ7" s="183" t="str">
        <f t="shared" si="102"/>
        <v/>
      </c>
      <c r="RA7" s="182" t="str">
        <f>IF(COUNT(QN7,QS7,QY7)=0,"",SUM(QN7,QS7,QY7)/COUNT(QN7,QS7,QY7))</f>
        <v/>
      </c>
      <c r="RB7" s="206" t="str">
        <f t="shared" si="103"/>
        <v/>
      </c>
      <c r="RC7" s="122"/>
      <c r="RD7" s="123"/>
      <c r="RE7" s="124"/>
      <c r="RF7" s="182" t="str">
        <f>IFERROR((((COUNTIF('Elève (5ème1)'!RC7:RE7,"A"))*4)+((COUNTIF('Elève (5ème1)'!RC7:RE7,"B"))*3)+((COUNTIF('Elève (5ème1)'!RC7:RE7,"C"))*2)+((COUNTIF('Elève (5ème1)'!RC7:RE7,"D"))*1))/(COUNTA(RC7:RE7)),"")</f>
        <v/>
      </c>
      <c r="RG7" s="183" t="str">
        <f t="shared" si="104"/>
        <v/>
      </c>
      <c r="RH7" s="122"/>
      <c r="RI7" s="123"/>
      <c r="RJ7" s="124"/>
      <c r="RK7" s="182" t="str">
        <f>IFERROR((((COUNTIF('Elève (5ème1)'!RH7:RJ7,"A"))*4)+((COUNTIF('Elève (5ème1)'!RH7:RJ7,"B"))*3)+((COUNTIF('Elève (5ème1)'!RH7:RJ7,"C"))*2)+((COUNTIF('Elève (5ème1)'!RH7:RJ7,"D"))*1))/(COUNTA(RH7:RJ7)),"")</f>
        <v/>
      </c>
      <c r="RL7" s="183" t="str">
        <f t="shared" si="105"/>
        <v/>
      </c>
      <c r="RM7" s="122"/>
      <c r="RN7" s="123"/>
      <c r="RO7" s="124"/>
      <c r="RP7" s="128"/>
      <c r="RQ7" s="182" t="str">
        <f>IFERROR((((COUNTIF('Elève (5ème1)'!RM7:RP7,"A"))*4)+((COUNTIF('Elève (5ème1)'!RM7:RP7,"B"))*3)+((COUNTIF('Elève (5ème1)'!RM7:RP7,"C"))*2)+((COUNTIF('Elève (5ème1)'!RM7:RP7,"D"))*1))/(COUNTA(RM7:RP7)),"")</f>
        <v/>
      </c>
      <c r="RR7" s="183" t="str">
        <f t="shared" si="106"/>
        <v/>
      </c>
      <c r="RS7" s="182" t="str">
        <f>IF(COUNT(RF7,RK7,RQ7)=0,"",SUM(RF7,RK7,RQ7)/COUNT(RF7,RK7,RQ7))</f>
        <v/>
      </c>
      <c r="RT7" s="206" t="str">
        <f t="shared" si="107"/>
        <v/>
      </c>
      <c r="RU7" s="122"/>
      <c r="RV7" s="123"/>
      <c r="RW7" s="124"/>
      <c r="RX7" s="182" t="str">
        <f>IFERROR((((COUNTIF('Elève (5ème1)'!RU7:RW7,"A"))*4)+((COUNTIF('Elève (5ème1)'!RU7:RW7,"B"))*3)+((COUNTIF('Elève (5ème1)'!RU7:RW7,"C"))*2)+((COUNTIF('Elève (5ème1)'!RU7:RW7,"D"))*1))/(COUNTA(RU7:RW7)),"")</f>
        <v/>
      </c>
      <c r="RY7" s="183" t="str">
        <f t="shared" si="108"/>
        <v/>
      </c>
      <c r="RZ7" s="122"/>
      <c r="SA7" s="123"/>
      <c r="SB7" s="124"/>
      <c r="SC7" s="182" t="str">
        <f>IFERROR((((COUNTIF('Elève (5ème1)'!RZ7:SB7,"A"))*4)+((COUNTIF('Elève (5ème1)'!RZ7:SB7,"B"))*3)+((COUNTIF('Elève (5ème1)'!RZ7:SB7,"C"))*2)+((COUNTIF('Elève (5ème1)'!RZ7:SB7,"D"))*1))/(COUNTA(RZ7:SB7)),"")</f>
        <v/>
      </c>
      <c r="SD7" s="183" t="str">
        <f t="shared" si="109"/>
        <v/>
      </c>
      <c r="SE7" s="122"/>
      <c r="SF7" s="123"/>
      <c r="SG7" s="124"/>
      <c r="SH7" s="128"/>
      <c r="SI7" s="182" t="str">
        <f>IFERROR((((COUNTIF('Elève (5ème1)'!SE7:SH7,"A"))*4)+((COUNTIF('Elève (5ème1)'!SE7:SH7,"B"))*3)+((COUNTIF('Elève (5ème1)'!SE7:SH7,"C"))*2)+((COUNTIF('Elève (5ème1)'!SE7:SH7,"D"))*1))/(COUNTA(SE7:SH7)),"")</f>
        <v/>
      </c>
      <c r="SJ7" s="183" t="str">
        <f t="shared" si="110"/>
        <v/>
      </c>
      <c r="SK7" s="182" t="str">
        <f>IF(COUNT(RX7,SC7,SI7)=0,"",SUM(RX7,SC7,SI7)/COUNT(RX7,SC7,SI7))</f>
        <v/>
      </c>
      <c r="SL7" s="206" t="str">
        <f t="shared" si="111"/>
        <v/>
      </c>
      <c r="SM7" s="122"/>
      <c r="SN7" s="123"/>
      <c r="SO7" s="124"/>
      <c r="SP7" s="182" t="str">
        <f>IFERROR((((COUNTIF('Elève (5ème1)'!SM7:SO7,"A"))*4)+((COUNTIF('Elève (5ème1)'!SM7:SO7,"B"))*3)+((COUNTIF('Elève (5ème1)'!SM7:SO7,"C"))*2)+((COUNTIF('Elève (5ème1)'!SM7:SO7,"D"))*1))/(COUNTA(SM7:SO7)),"")</f>
        <v/>
      </c>
      <c r="SQ7" s="183" t="str">
        <f t="shared" si="112"/>
        <v/>
      </c>
      <c r="SR7" s="122"/>
      <c r="SS7" s="123"/>
      <c r="ST7" s="124"/>
      <c r="SU7" s="182" t="str">
        <f>IFERROR((((COUNTIF('Elève (5ème1)'!SR7:ST7,"A"))*4)+((COUNTIF('Elève (5ème1)'!SR7:ST7,"B"))*3)+((COUNTIF('Elève (5ème1)'!SR7:ST7,"C"))*2)+((COUNTIF('Elève (5ème1)'!SR7:ST7,"D"))*1))/(COUNTA(SR7:ST7)),"")</f>
        <v/>
      </c>
      <c r="SV7" s="183" t="str">
        <f t="shared" si="113"/>
        <v/>
      </c>
      <c r="SW7" s="122"/>
      <c r="SX7" s="123"/>
      <c r="SY7" s="124"/>
      <c r="SZ7" s="128"/>
      <c r="TA7" s="182" t="str">
        <f>IFERROR((((COUNTIF('Elève (5ème1)'!SW7:SZ7,"A"))*4)+((COUNTIF('Elève (5ème1)'!SW7:SZ7,"B"))*3)+((COUNTIF('Elève (5ème1)'!SW7:SZ7,"C"))*2)+((COUNTIF('Elève (5ème1)'!SW7:SZ7,"D"))*1))/(COUNTA(SW7:SZ7)),"")</f>
        <v/>
      </c>
      <c r="TB7" s="183" t="str">
        <f t="shared" si="114"/>
        <v/>
      </c>
      <c r="TC7" s="182" t="str">
        <f>IF(COUNT(SP7,SU7,TA7)=0,"",SUM(SP7,SU7,TA7)/COUNT(SP7,SU7,TA7))</f>
        <v/>
      </c>
      <c r="TD7" s="206" t="str">
        <f t="shared" si="115"/>
        <v/>
      </c>
      <c r="TE7" s="122"/>
      <c r="TF7" s="123"/>
      <c r="TG7" s="124"/>
      <c r="TH7" s="182" t="str">
        <f>IFERROR((((COUNTIF('Elève (5ème1)'!TE7:TG7,"A"))*4)+((COUNTIF('Elève (5ème1)'!TE7:TG7,"B"))*3)+((COUNTIF('Elève (5ème1)'!TE7:TG7,"C"))*2)+((COUNTIF('Elève (5ème1)'!TE7:TG7,"D"))*1))/(COUNTA(TE7:TG7)),"")</f>
        <v/>
      </c>
      <c r="TI7" s="183" t="str">
        <f t="shared" si="116"/>
        <v/>
      </c>
      <c r="TJ7" s="122"/>
      <c r="TK7" s="123"/>
      <c r="TL7" s="124"/>
      <c r="TM7" s="182" t="str">
        <f>IFERROR((((COUNTIF('Elève (5ème1)'!TJ7:TL7,"A"))*4)+((COUNTIF('Elève (5ème1)'!TJ7:TL7,"B"))*3)+((COUNTIF('Elève (5ème1)'!TJ7:TL7,"C"))*2)+((COUNTIF('Elève (5ème1)'!TJ7:TL7,"D"))*1))/(COUNTA(TJ7:TL7)),"")</f>
        <v/>
      </c>
      <c r="TN7" s="183" t="str">
        <f t="shared" si="117"/>
        <v/>
      </c>
      <c r="TO7" s="122"/>
      <c r="TP7" s="123"/>
      <c r="TQ7" s="124"/>
      <c r="TR7" s="128"/>
      <c r="TS7" s="182" t="str">
        <f>IFERROR((((COUNTIF('Elève (5ème1)'!TO7:TR7,"A"))*4)+((COUNTIF('Elève (5ème1)'!TO7:TR7,"B"))*3)+((COUNTIF('Elève (5ème1)'!TO7:TR7,"C"))*2)+((COUNTIF('Elève (5ème1)'!TO7:TR7,"D"))*1))/(COUNTA(TO7:TR7)),"")</f>
        <v/>
      </c>
      <c r="TT7" s="183" t="str">
        <f t="shared" si="118"/>
        <v/>
      </c>
      <c r="TU7" s="182" t="str">
        <f>IF(COUNT(TH7,TM7,TS7)=0,"",SUM(TH7,TM7,TS7)/COUNT(TH7,TM7,TS7))</f>
        <v/>
      </c>
      <c r="TV7" s="206" t="str">
        <f t="shared" si="119"/>
        <v/>
      </c>
    </row>
    <row r="8" spans="1:542" ht="18" customHeight="1" x14ac:dyDescent="0.25">
      <c r="A8" s="236" t="s">
        <v>15</v>
      </c>
      <c r="B8" s="237"/>
      <c r="C8" s="122" t="s">
        <v>28</v>
      </c>
      <c r="D8" s="123" t="s">
        <v>29</v>
      </c>
      <c r="E8" s="124"/>
      <c r="F8" s="182">
        <f>IFERROR((((COUNTIF('Elève (5ème1)'!C8:E8,"A"))*4)+((COUNTIF('Elève (5ème1)'!C8:E8,"B"))*3)+((COUNTIF('Elève (5ème1)'!C8:E8,"C"))*2)+((COUNTIF('Elève (5ème1)'!C8:E8,"D"))*1))/(COUNTA(C8:E8)),"")</f>
        <v>2.5</v>
      </c>
      <c r="G8" s="183" t="str">
        <f t="shared" si="0"/>
        <v>C</v>
      </c>
      <c r="H8" s="122"/>
      <c r="I8" s="123"/>
      <c r="J8" s="124"/>
      <c r="K8" s="182" t="str">
        <f>IFERROR((((COUNTIF('Elève (5ème1)'!H8:J8,"A"))*4)+((COUNTIF('Elève (5ème1)'!H8:J8,"B"))*3)+((COUNTIF('Elève (5ème1)'!H8:J8,"C"))*2)+((COUNTIF('Elève (5ème1)'!H8:J8,"D"))*1))/(COUNTA(H8:J8)),"")</f>
        <v/>
      </c>
      <c r="L8" s="183" t="str">
        <f t="shared" si="1"/>
        <v/>
      </c>
      <c r="M8" s="122" t="s">
        <v>29</v>
      </c>
      <c r="N8" s="123"/>
      <c r="O8" s="124" t="s">
        <v>27</v>
      </c>
      <c r="P8" s="124"/>
      <c r="Q8" s="182">
        <f>IFERROR((((COUNTIF('Elève (5ème1)'!M8:P8,"A"))*4)+((COUNTIF('Elève (5ème1)'!M8:P8,"B"))*3)+((COUNTIF('Elève (5ème1)'!M8:P8,"C"))*2)+((COUNTIF('Elève (5ème1)'!M8:P8,"D"))*1))/(COUNTA(M8:P8)),"")</f>
        <v>3</v>
      </c>
      <c r="R8" s="183" t="str">
        <f t="shared" si="2"/>
        <v>B</v>
      </c>
      <c r="S8" s="182">
        <f>IF(COUNT(F8,K8,Q8)=0,"",SUM(F8,K8,Q8)/COUNT(F8,K8,Q8))</f>
        <v>2.75</v>
      </c>
      <c r="T8" s="206" t="str">
        <f t="shared" si="3"/>
        <v>C</v>
      </c>
      <c r="U8" s="122" t="s">
        <v>28</v>
      </c>
      <c r="V8" s="123" t="s">
        <v>28</v>
      </c>
      <c r="W8" s="124"/>
      <c r="X8" s="182">
        <f>IFERROR((((COUNTIF('Elève (5ème1)'!U8:W8,"A"))*4)+((COUNTIF('Elève (5ème1)'!U8:W8,"B"))*3)+((COUNTIF('Elève (5ème1)'!U8:W8,"C"))*2)+((COUNTIF('Elève (5ème1)'!U8:W8,"D"))*1))/(COUNTA(U8:W8)),"")</f>
        <v>3</v>
      </c>
      <c r="Y8" s="183" t="str">
        <f t="shared" si="4"/>
        <v>B</v>
      </c>
      <c r="Z8" s="122"/>
      <c r="AA8" s="123"/>
      <c r="AB8" s="124" t="s">
        <v>27</v>
      </c>
      <c r="AC8" s="182">
        <f>IFERROR((((COUNTIF('Elève (5ème1)'!Z8:AB8,"A"))*4)+((COUNTIF('Elève (5ème1)'!Z8:AB8,"B"))*3)+((COUNTIF('Elève (5ème1)'!Z8:AB8,"C"))*2)+((COUNTIF('Elève (5ème1)'!Z8:AB8,"D"))*1))/(COUNTA(Z8:AB8)),"")</f>
        <v>4</v>
      </c>
      <c r="AD8" s="183" t="str">
        <f t="shared" si="5"/>
        <v>A</v>
      </c>
      <c r="AE8" s="122" t="s">
        <v>28</v>
      </c>
      <c r="AF8" s="123"/>
      <c r="AG8" s="124" t="s">
        <v>28</v>
      </c>
      <c r="AH8" s="128"/>
      <c r="AI8" s="182">
        <f>IFERROR((((COUNTIF('Elève (5ème1)'!AE8:AH8,"A"))*4)+((COUNTIF('Elève (5ème1)'!AE8:AH8,"B"))*3)+((COUNTIF('Elève (5ème1)'!AE8:AH8,"C"))*2)+((COUNTIF('Elève (5ème1)'!AE8:AH8,"D"))*1))/(COUNTA(AE8:AH8)),"")</f>
        <v>3</v>
      </c>
      <c r="AJ8" s="183" t="str">
        <f t="shared" si="6"/>
        <v>B</v>
      </c>
      <c r="AK8" s="182">
        <f>IF(COUNT(X8,AC8,AI8)=0,"",SUM(X8,AC8,AI8)/COUNT(X8,AC8,AI8))</f>
        <v>3.3333333333333335</v>
      </c>
      <c r="AL8" s="206" t="str">
        <f t="shared" si="7"/>
        <v>B</v>
      </c>
      <c r="AM8" s="122" t="s">
        <v>27</v>
      </c>
      <c r="AN8" s="123" t="s">
        <v>29</v>
      </c>
      <c r="AO8" s="124"/>
      <c r="AP8" s="182">
        <f>IFERROR((((COUNTIF('Elève (5ème1)'!AM8:AO8,"A"))*4)+((COUNTIF('Elève (5ème1)'!AM8:AO8,"B"))*3)+((COUNTIF('Elève (5ème1)'!AM8:AO8,"C"))*2)+((COUNTIF('Elève (5ème1)'!AM8:AO8,"D"))*1))/(COUNTA(AM8:AO8)),"")</f>
        <v>3</v>
      </c>
      <c r="AQ8" s="183" t="str">
        <f t="shared" si="8"/>
        <v>B</v>
      </c>
      <c r="AR8" s="122"/>
      <c r="AS8" s="123"/>
      <c r="AT8" s="124" t="s">
        <v>28</v>
      </c>
      <c r="AU8" s="182">
        <f>IFERROR((((COUNTIF('Elève (5ème1)'!AR8:AT8,"A"))*4)+((COUNTIF('Elève (5ème1)'!AR8:AT8,"B"))*3)+((COUNTIF('Elève (5ème1)'!AR8:AT8,"C"))*2)+((COUNTIF('Elève (5ème1)'!AR8:AT8,"D"))*1))/(COUNTA(AR8:AT8)),"")</f>
        <v>3</v>
      </c>
      <c r="AV8" s="183" t="str">
        <f t="shared" si="9"/>
        <v>B</v>
      </c>
      <c r="AW8" s="122" t="s">
        <v>28</v>
      </c>
      <c r="AX8" s="123"/>
      <c r="AY8" s="124" t="s">
        <v>28</v>
      </c>
      <c r="AZ8" s="128"/>
      <c r="BA8" s="182">
        <f>IFERROR((((COUNTIF('Elève (5ème1)'!AW8:AZ8,"A"))*4)+((COUNTIF('Elève (5ème1)'!AW8:AZ8,"B"))*3)+((COUNTIF('Elève (5ème1)'!AW8:AZ8,"C"))*2)+((COUNTIF('Elève (5ème1)'!AW8:AZ8,"D"))*1))/(COUNTA(AW8:AZ8)),"")</f>
        <v>3</v>
      </c>
      <c r="BB8" s="183" t="str">
        <f t="shared" si="10"/>
        <v>B</v>
      </c>
      <c r="BC8" s="182">
        <f>IF(COUNT(AP8,AU8,BA8)=0,"",SUM(AP8,AU8,BA8)/COUNT(AP8,AU8,BA8))</f>
        <v>3</v>
      </c>
      <c r="BD8" s="206" t="str">
        <f t="shared" si="11"/>
        <v>B</v>
      </c>
      <c r="BE8" s="122" t="s">
        <v>29</v>
      </c>
      <c r="BF8" s="123" t="s">
        <v>28</v>
      </c>
      <c r="BG8" s="124"/>
      <c r="BH8" s="182">
        <f>IFERROR((((COUNTIF('Elève (5ème1)'!BE8:BG8,"A"))*4)+((COUNTIF('Elève (5ème1)'!BE8:BG8,"B"))*3)+((COUNTIF('Elève (5ème1)'!BE8:BG8,"C"))*2)+((COUNTIF('Elève (5ème1)'!BE8:BG8,"D"))*1))/(COUNTA(BE8:BG8)),"")</f>
        <v>2.5</v>
      </c>
      <c r="BI8" s="183" t="str">
        <f t="shared" si="12"/>
        <v>C</v>
      </c>
      <c r="BJ8" s="122"/>
      <c r="BK8" s="123"/>
      <c r="BL8" s="124" t="s">
        <v>28</v>
      </c>
      <c r="BM8" s="182">
        <f>IFERROR((((COUNTIF('Elève (5ème1)'!BJ8:BL8,"A"))*4)+((COUNTIF('Elève (5ème1)'!BJ8:BL8,"B"))*3)+((COUNTIF('Elève (5ème1)'!BJ8:BL8,"C"))*2)+((COUNTIF('Elève (5ème1)'!BJ8:BL8,"D"))*1))/(COUNTA(BJ8:BL8)),"")</f>
        <v>3</v>
      </c>
      <c r="BN8" s="183" t="str">
        <f t="shared" si="13"/>
        <v>B</v>
      </c>
      <c r="BO8" s="122" t="s">
        <v>28</v>
      </c>
      <c r="BP8" s="123"/>
      <c r="BQ8" s="124" t="s">
        <v>28</v>
      </c>
      <c r="BR8" s="128"/>
      <c r="BS8" s="182">
        <f>IFERROR((((COUNTIF('Elève (5ème1)'!BO8:BR8,"A"))*4)+((COUNTIF('Elève (5ème1)'!BO8:BR8,"B"))*3)+((COUNTIF('Elève (5ème1)'!BO8:BR8,"C"))*2)+((COUNTIF('Elève (5ème1)'!BO8:BR8,"D"))*1))/(COUNTA(BO8:BR8)),"")</f>
        <v>3</v>
      </c>
      <c r="BT8" s="183" t="str">
        <f t="shared" si="14"/>
        <v>B</v>
      </c>
      <c r="BU8" s="182">
        <f>IF(COUNT(BH8,BM8,BS8)=0,"",SUM(BH8,BM8,BS8)/COUNT(BH8,BM8,BS8))</f>
        <v>2.8333333333333335</v>
      </c>
      <c r="BV8" s="206" t="str">
        <f t="shared" si="15"/>
        <v>B</v>
      </c>
      <c r="BW8" s="122" t="s">
        <v>28</v>
      </c>
      <c r="BX8" s="123" t="s">
        <v>28</v>
      </c>
      <c r="BY8" s="124"/>
      <c r="BZ8" s="182">
        <f>IFERROR((((COUNTIF('Elève (5ème1)'!BW8:BY8,"A"))*4)+((COUNTIF('Elève (5ème1)'!BW8:BY8,"B"))*3)+((COUNTIF('Elève (5ème1)'!BW8:BY8,"C"))*2)+((COUNTIF('Elève (5ème1)'!BW8:BY8,"D"))*1))/(COUNTA(BW8:BY8)),"")</f>
        <v>3</v>
      </c>
      <c r="CA8" s="183" t="str">
        <f t="shared" si="16"/>
        <v>B</v>
      </c>
      <c r="CB8" s="122"/>
      <c r="CC8" s="123"/>
      <c r="CD8" s="124" t="s">
        <v>28</v>
      </c>
      <c r="CE8" s="182">
        <f>IFERROR((((COUNTIF('Elève (5ème1)'!CB8:CD8,"A"))*4)+((COUNTIF('Elève (5ème1)'!CB8:CD8,"B"))*3)+((COUNTIF('Elève (5ème1)'!CB8:CD8,"C"))*2)+((COUNTIF('Elève (5ème1)'!CB8:CD8,"D"))*1))/(COUNTA(CB8:CD8)),"")</f>
        <v>3</v>
      </c>
      <c r="CF8" s="183" t="str">
        <f t="shared" si="17"/>
        <v>B</v>
      </c>
      <c r="CG8" s="122" t="s">
        <v>28</v>
      </c>
      <c r="CH8" s="123"/>
      <c r="CI8" s="124" t="s">
        <v>28</v>
      </c>
      <c r="CJ8" s="128"/>
      <c r="CK8" s="182">
        <f>IFERROR((((COUNTIF('Elève (5ème1)'!CG8:CJ8,"A"))*4)+((COUNTIF('Elève (5ème1)'!CG8:CJ8,"B"))*3)+((COUNTIF('Elève (5ème1)'!CG8:CJ8,"C"))*2)+((COUNTIF('Elève (5ème1)'!CG8:CJ8,"D"))*1))/(COUNTA(CG8:CJ8)),"")</f>
        <v>3</v>
      </c>
      <c r="CL8" s="183" t="str">
        <f t="shared" si="18"/>
        <v>B</v>
      </c>
      <c r="CM8" s="182">
        <f>IF(COUNT(BZ8,CE8,CK8)=0,"",SUM(BZ8,CE8,CK8)/COUNT(BZ8,CE8,CK8))</f>
        <v>3</v>
      </c>
      <c r="CN8" s="206" t="str">
        <f t="shared" si="19"/>
        <v>B</v>
      </c>
      <c r="CO8" s="122" t="s">
        <v>28</v>
      </c>
      <c r="CP8" s="123" t="s">
        <v>28</v>
      </c>
      <c r="CQ8" s="124"/>
      <c r="CR8" s="182">
        <f>IFERROR((((COUNTIF('Elève (5ème1)'!CO8:CQ8,"A"))*4)+((COUNTIF('Elève (5ème1)'!CO8:CQ8,"B"))*3)+((COUNTIF('Elève (5ème1)'!CO8:CQ8,"C"))*2)+((COUNTIF('Elève (5ème1)'!CO8:CQ8,"D"))*1))/(COUNTA(CO8:CQ8)),"")</f>
        <v>3</v>
      </c>
      <c r="CS8" s="183" t="str">
        <f t="shared" si="20"/>
        <v>B</v>
      </c>
      <c r="CT8" s="122"/>
      <c r="CU8" s="123"/>
      <c r="CV8" s="124" t="s">
        <v>28</v>
      </c>
      <c r="CW8" s="182">
        <f>IFERROR((((COUNTIF('Elève (5ème1)'!CT8:CV8,"A"))*4)+((COUNTIF('Elève (5ème1)'!CT8:CV8,"B"))*3)+((COUNTIF('Elève (5ème1)'!CT8:CV8,"C"))*2)+((COUNTIF('Elève (5ème1)'!CT8:CV8,"D"))*1))/(COUNTA(CT8:CV8)),"")</f>
        <v>3</v>
      </c>
      <c r="CX8" s="183" t="str">
        <f t="shared" si="21"/>
        <v>B</v>
      </c>
      <c r="CY8" s="122" t="s">
        <v>30</v>
      </c>
      <c r="CZ8" s="123"/>
      <c r="DA8" s="124" t="s">
        <v>28</v>
      </c>
      <c r="DB8" s="128"/>
      <c r="DC8" s="182">
        <f>IFERROR((((COUNTIF('Elève (5ème1)'!CY8:DB8,"A"))*4)+((COUNTIF('Elève (5ème1)'!CY8:DB8,"B"))*3)+((COUNTIF('Elève (5ème1)'!CY8:DB8,"C"))*2)+((COUNTIF('Elève (5ème1)'!CY8:DB8,"D"))*1))/(COUNTA(CY8:DB8)),"")</f>
        <v>2</v>
      </c>
      <c r="DD8" s="183" t="str">
        <f t="shared" si="22"/>
        <v>C</v>
      </c>
      <c r="DE8" s="182">
        <f>IF(COUNT(CR8,CW8,DC8)=0,"",SUM(CR8,CW8,DC8)/COUNT(CR8,CW8,DC8))</f>
        <v>2.6666666666666665</v>
      </c>
      <c r="DF8" s="206" t="str">
        <f t="shared" si="23"/>
        <v>C</v>
      </c>
      <c r="DG8" s="122" t="s">
        <v>28</v>
      </c>
      <c r="DH8" s="123" t="s">
        <v>27</v>
      </c>
      <c r="DI8" s="124"/>
      <c r="DJ8" s="182">
        <f>IFERROR((((COUNTIF('Elève (5ème1)'!DG8:DI8,"A"))*4)+((COUNTIF('Elève (5ème1)'!DG8:DI8,"B"))*3)+((COUNTIF('Elève (5ème1)'!DG8:DI8,"C"))*2)+((COUNTIF('Elève (5ème1)'!DG8:DI8,"D"))*1))/(COUNTA(DG8:DI8)),"")</f>
        <v>3.5</v>
      </c>
      <c r="DK8" s="183" t="str">
        <f t="shared" si="24"/>
        <v>B</v>
      </c>
      <c r="DL8" s="122"/>
      <c r="DM8" s="123"/>
      <c r="DN8" s="124" t="s">
        <v>27</v>
      </c>
      <c r="DO8" s="182">
        <f>IFERROR((((COUNTIF('Elève (5ème1)'!DL8:DN8,"A"))*4)+((COUNTIF('Elève (5ème1)'!DL8:DN8,"B"))*3)+((COUNTIF('Elève (5ème1)'!DL8:DN8,"C"))*2)+((COUNTIF('Elève (5ème1)'!DL8:DN8,"D"))*1))/(COUNTA(DL8:DN8)),"")</f>
        <v>4</v>
      </c>
      <c r="DP8" s="183" t="str">
        <f t="shared" si="25"/>
        <v>A</v>
      </c>
      <c r="DQ8" s="122" t="s">
        <v>28</v>
      </c>
      <c r="DR8" s="123"/>
      <c r="DS8" s="124"/>
      <c r="DT8" s="128"/>
      <c r="DU8" s="182">
        <f>IFERROR((((COUNTIF('Elève (5ème1)'!DQ8:DT8,"A"))*4)+((COUNTIF('Elève (5ème1)'!DQ8:DT8,"B"))*3)+((COUNTIF('Elève (5ème1)'!DQ8:DT8,"C"))*2)+((COUNTIF('Elève (5ème1)'!DQ8:DT8,"D"))*1))/(COUNTA(DQ8:DT8)),"")</f>
        <v>3</v>
      </c>
      <c r="DV8" s="183" t="str">
        <f t="shared" si="26"/>
        <v>B</v>
      </c>
      <c r="DW8" s="182">
        <f>IF(COUNT(DJ8,DO8,DU8)=0,"",SUM(DJ8,DO8,DU8)/COUNT(DJ8,DO8,DU8))</f>
        <v>3.5</v>
      </c>
      <c r="DX8" s="206" t="str">
        <f t="shared" si="27"/>
        <v>B</v>
      </c>
      <c r="DY8" s="122" t="s">
        <v>27</v>
      </c>
      <c r="DZ8" s="123" t="s">
        <v>29</v>
      </c>
      <c r="EA8" s="124"/>
      <c r="EB8" s="182">
        <f>IFERROR((((COUNTIF('Elève (5ème1)'!DY8:EA8,"A"))*4)+((COUNTIF('Elève (5ème1)'!DY8:EA8,"B"))*3)+((COUNTIF('Elève (5ème1)'!DY8:EA8,"C"))*2)+((COUNTIF('Elève (5ème1)'!DY8:EA8,"D"))*1))/(COUNTA(DY8:EA8)),"")</f>
        <v>3</v>
      </c>
      <c r="EC8" s="183" t="str">
        <f t="shared" si="28"/>
        <v>B</v>
      </c>
      <c r="ED8" s="122"/>
      <c r="EE8" s="123"/>
      <c r="EF8" s="124" t="s">
        <v>29</v>
      </c>
      <c r="EG8" s="182">
        <f>IFERROR((((COUNTIF('Elève (5ème1)'!ED8:EF8,"A"))*4)+((COUNTIF('Elève (5ème1)'!ED8:EF8,"B"))*3)+((COUNTIF('Elève (5ème1)'!ED8:EF8,"C"))*2)+((COUNTIF('Elève (5ème1)'!ED8:EF8,"D"))*1))/(COUNTA(ED8:EF8)),"")</f>
        <v>2</v>
      </c>
      <c r="EH8" s="183" t="str">
        <f t="shared" si="29"/>
        <v>C</v>
      </c>
      <c r="EI8" s="122" t="s">
        <v>27</v>
      </c>
      <c r="EJ8" s="123"/>
      <c r="EK8" s="124" t="s">
        <v>28</v>
      </c>
      <c r="EL8" s="128"/>
      <c r="EM8" s="182">
        <f>IFERROR((((COUNTIF('Elève (5ème1)'!EI8:EL8,"A"))*4)+((COUNTIF('Elève (5ème1)'!EI8:EL8,"B"))*3)+((COUNTIF('Elève (5ème1)'!EI8:EL8,"C"))*2)+((COUNTIF('Elève (5ème1)'!EI8:EL8,"D"))*1))/(COUNTA(EI8:EL8)),"")</f>
        <v>3.5</v>
      </c>
      <c r="EN8" s="183" t="str">
        <f t="shared" si="30"/>
        <v>B</v>
      </c>
      <c r="EO8" s="182">
        <f>IF(COUNT(EB8,EG8,EM8)=0,"",SUM(EB8,EG8,EM8)/COUNT(EB8,EG8,EM8))</f>
        <v>2.8333333333333335</v>
      </c>
      <c r="EP8" s="206" t="str">
        <f t="shared" si="31"/>
        <v>B</v>
      </c>
      <c r="EQ8" s="122"/>
      <c r="ER8" s="123"/>
      <c r="ES8" s="124"/>
      <c r="ET8" s="182" t="str">
        <f>IFERROR((((COUNTIF('Elève (5ème1)'!EQ8:ES8,"A"))*4)+((COUNTIF('Elève (5ème1)'!EQ8:ES8,"B"))*3)+((COUNTIF('Elève (5ème1)'!EQ8:ES8,"C"))*2)+((COUNTIF('Elève (5ème1)'!EQ8:ES8,"D"))*1))/(COUNTA(EQ8:ES8)),"")</f>
        <v/>
      </c>
      <c r="EU8" s="183" t="str">
        <f t="shared" si="32"/>
        <v/>
      </c>
      <c r="EV8" s="122"/>
      <c r="EW8" s="123"/>
      <c r="EX8" s="124" t="s">
        <v>28</v>
      </c>
      <c r="EY8" s="182">
        <f>IFERROR((((COUNTIF('Elève (5ème1)'!EV8:EX8,"A"))*4)+((COUNTIF('Elève (5ème1)'!EV8:EX8,"B"))*3)+((COUNTIF('Elève (5ème1)'!EV8:EX8,"C"))*2)+((COUNTIF('Elève (5ème1)'!EV8:EX8,"D"))*1))/(COUNTA(EV8:EX8)),"")</f>
        <v>3</v>
      </c>
      <c r="EZ8" s="183" t="str">
        <f t="shared" si="33"/>
        <v>B</v>
      </c>
      <c r="FA8" s="122" t="s">
        <v>28</v>
      </c>
      <c r="FB8" s="123"/>
      <c r="FC8" s="124" t="s">
        <v>28</v>
      </c>
      <c r="FD8" s="128"/>
      <c r="FE8" s="182">
        <f>IFERROR((((COUNTIF('Elève (5ème1)'!FA8:FD8,"A"))*4)+((COUNTIF('Elève (5ème1)'!FA8:FD8,"B"))*3)+((COUNTIF('Elève (5ème1)'!FA8:FD8,"C"))*2)+((COUNTIF('Elève (5ème1)'!FA8:FD8,"D"))*1))/(COUNTA(FA8:FD8)),"")</f>
        <v>3</v>
      </c>
      <c r="FF8" s="183" t="str">
        <f t="shared" si="34"/>
        <v>B</v>
      </c>
      <c r="FG8" s="182">
        <f>IF(COUNT(ET8,EY8,FE8)=0,"",SUM(ET8,EY8,FE8)/COUNT(ET8,EY8,FE8))</f>
        <v>3</v>
      </c>
      <c r="FH8" s="206" t="str">
        <f t="shared" si="35"/>
        <v>B</v>
      </c>
      <c r="FI8" s="122" t="s">
        <v>28</v>
      </c>
      <c r="FJ8" s="123" t="s">
        <v>27</v>
      </c>
      <c r="FK8" s="124"/>
      <c r="FL8" s="182">
        <f>IFERROR((((COUNTIF('Elève (5ème1)'!FI8:FK8,"A"))*4)+((COUNTIF('Elève (5ème1)'!FI8:FK8,"B"))*3)+((COUNTIF('Elève (5ème1)'!FI8:FK8,"C"))*2)+((COUNTIF('Elève (5ème1)'!FI8:FK8,"D"))*1))/(COUNTA(FI8:FK8)),"")</f>
        <v>3.5</v>
      </c>
      <c r="FM8" s="183" t="str">
        <f t="shared" si="36"/>
        <v>B</v>
      </c>
      <c r="FN8" s="122"/>
      <c r="FO8" s="123"/>
      <c r="FP8" s="124"/>
      <c r="FQ8" s="182" t="str">
        <f>IFERROR((((COUNTIF('Elève (5ème1)'!FN8:FP8,"A"))*4)+((COUNTIF('Elève (5ème1)'!FN8:FP8,"B"))*3)+((COUNTIF('Elève (5ème1)'!FN8:FP8,"C"))*2)+((COUNTIF('Elève (5ème1)'!FN8:FP8,"D"))*1))/(COUNTA(FN8:FP8)),"")</f>
        <v/>
      </c>
      <c r="FR8" s="183" t="str">
        <f t="shared" si="37"/>
        <v/>
      </c>
      <c r="FS8" s="122" t="s">
        <v>28</v>
      </c>
      <c r="FT8" s="123"/>
      <c r="FU8" s="124" t="s">
        <v>28</v>
      </c>
      <c r="FV8" s="128"/>
      <c r="FW8" s="182">
        <f>IFERROR((((COUNTIF('Elève (5ème1)'!FS8:FV8,"A"))*4)+((COUNTIF('Elève (5ème1)'!FS8:FV8,"B"))*3)+((COUNTIF('Elève (5ème1)'!FS8:FV8,"C"))*2)+((COUNTIF('Elève (5ème1)'!FS8:FV8,"D"))*1))/(COUNTA(FS8:FV8)),"")</f>
        <v>3</v>
      </c>
      <c r="FX8" s="183" t="str">
        <f t="shared" si="38"/>
        <v>B</v>
      </c>
      <c r="FY8" s="182">
        <f>IF(COUNT(FL8,FQ8,FW8)=0,"",SUM(FL8,FQ8,FW8)/COUNT(FL8,FQ8,FW8))</f>
        <v>3.25</v>
      </c>
      <c r="FZ8" s="206" t="str">
        <f t="shared" si="39"/>
        <v>B</v>
      </c>
      <c r="GA8" s="122" t="s">
        <v>28</v>
      </c>
      <c r="GB8" s="123" t="s">
        <v>28</v>
      </c>
      <c r="GC8" s="124"/>
      <c r="GD8" s="182">
        <f>IFERROR((((COUNTIF('Elève (5ème1)'!GA8:GC8,"A"))*4)+((COUNTIF('Elève (5ème1)'!GA8:GC8,"B"))*3)+((COUNTIF('Elève (5ème1)'!GA8:GC8,"C"))*2)+((COUNTIF('Elève (5ème1)'!GA8:GC8,"D"))*1))/(COUNTA(GA8:GC8)),"")</f>
        <v>3</v>
      </c>
      <c r="GE8" s="183" t="str">
        <f t="shared" si="40"/>
        <v>B</v>
      </c>
      <c r="GF8" s="122"/>
      <c r="GG8" s="123"/>
      <c r="GH8" s="124" t="s">
        <v>29</v>
      </c>
      <c r="GI8" s="182">
        <f>IFERROR((((COUNTIF('Elève (5ème1)'!GF8:GH8,"A"))*4)+((COUNTIF('Elève (5ème1)'!GF8:GH8,"B"))*3)+((COUNTIF('Elève (5ème1)'!GF8:GH8,"C"))*2)+((COUNTIF('Elève (5ème1)'!GF8:GH8,"D"))*1))/(COUNTA(GF8:GH8)),"")</f>
        <v>2</v>
      </c>
      <c r="GJ8" s="183" t="str">
        <f t="shared" si="41"/>
        <v>C</v>
      </c>
      <c r="GK8" s="122" t="s">
        <v>28</v>
      </c>
      <c r="GL8" s="123"/>
      <c r="GM8" s="124" t="s">
        <v>27</v>
      </c>
      <c r="GN8" s="128"/>
      <c r="GO8" s="182">
        <f>IFERROR((((COUNTIF('Elève (5ème1)'!GK8:GN8,"A"))*4)+((COUNTIF('Elève (5ème1)'!GK8:GN8,"B"))*3)+((COUNTIF('Elève (5ème1)'!GK8:GN8,"C"))*2)+((COUNTIF('Elève (5ème1)'!GK8:GN8,"D"))*1))/(COUNTA(GK8:GN8)),"")</f>
        <v>3.5</v>
      </c>
      <c r="GP8" s="183" t="str">
        <f t="shared" si="42"/>
        <v>B</v>
      </c>
      <c r="GQ8" s="182">
        <f>IF(COUNT(GD8,GI8,GO8)=0,"",SUM(GD8,GI8,GO8)/COUNT(GD8,GI8,GO8))</f>
        <v>2.8333333333333335</v>
      </c>
      <c r="GR8" s="206" t="str">
        <f t="shared" si="43"/>
        <v>B</v>
      </c>
      <c r="GS8" s="122" t="s">
        <v>28</v>
      </c>
      <c r="GT8" s="123" t="s">
        <v>27</v>
      </c>
      <c r="GU8" s="124"/>
      <c r="GV8" s="182">
        <f>IFERROR((((COUNTIF('Elève (5ème1)'!GS8:GU8,"A"))*4)+((COUNTIF('Elève (5ème1)'!GS8:GU8,"B"))*3)+((COUNTIF('Elève (5ème1)'!GS8:GU8,"C"))*2)+((COUNTIF('Elève (5ème1)'!GS8:GU8,"D"))*1))/(COUNTA(GS8:GU8)),"")</f>
        <v>3.5</v>
      </c>
      <c r="GW8" s="183" t="str">
        <f t="shared" si="44"/>
        <v>B</v>
      </c>
      <c r="GX8" s="122"/>
      <c r="GY8" s="123"/>
      <c r="GZ8" s="124" t="s">
        <v>28</v>
      </c>
      <c r="HA8" s="182">
        <f>IFERROR((((COUNTIF('Elève (5ème1)'!GX8:GZ8,"A"))*4)+((COUNTIF('Elève (5ème1)'!GX8:GZ8,"B"))*3)+((COUNTIF('Elève (5ème1)'!GX8:GZ8,"C"))*2)+((COUNTIF('Elève (5ème1)'!GX8:GZ8,"D"))*1))/(COUNTA(GX8:GZ8)),"")</f>
        <v>3</v>
      </c>
      <c r="HB8" s="183" t="str">
        <f t="shared" si="45"/>
        <v>B</v>
      </c>
      <c r="HC8" s="122" t="s">
        <v>28</v>
      </c>
      <c r="HD8" s="123"/>
      <c r="HE8" s="124" t="s">
        <v>28</v>
      </c>
      <c r="HF8" s="128"/>
      <c r="HG8" s="182">
        <f>IFERROR((((COUNTIF('Elève (5ème1)'!HC8:HF8,"A"))*4)+((COUNTIF('Elève (5ème1)'!HC8:HF8,"B"))*3)+((COUNTIF('Elève (5ème1)'!HC8:HF8,"C"))*2)+((COUNTIF('Elève (5ème1)'!HC8:HF8,"D"))*1))/(COUNTA(HC8:HF8)),"")</f>
        <v>3</v>
      </c>
      <c r="HH8" s="183" t="str">
        <f t="shared" si="46"/>
        <v>B</v>
      </c>
      <c r="HI8" s="182">
        <f>IF(COUNT(GV8,HA8,HG8)=0,"",SUM(GV8,HA8,HG8)/COUNT(GV8,HA8,HG8))</f>
        <v>3.1666666666666665</v>
      </c>
      <c r="HJ8" s="206" t="str">
        <f t="shared" si="47"/>
        <v>B</v>
      </c>
      <c r="HK8" s="122" t="s">
        <v>28</v>
      </c>
      <c r="HL8" s="123" t="s">
        <v>28</v>
      </c>
      <c r="HM8" s="124"/>
      <c r="HN8" s="182">
        <f>IFERROR((((COUNTIF('Elève (5ème1)'!HK8:HM8,"A"))*4)+((COUNTIF('Elève (5ème1)'!HK8:HM8,"B"))*3)+((COUNTIF('Elève (5ème1)'!HK8:HM8,"C"))*2)+((COUNTIF('Elève (5ème1)'!HK8:HM8,"D"))*1))/(COUNTA(HK8:HM8)),"")</f>
        <v>3</v>
      </c>
      <c r="HO8" s="183" t="str">
        <f t="shared" si="48"/>
        <v>B</v>
      </c>
      <c r="HP8" s="122"/>
      <c r="HQ8" s="123"/>
      <c r="HR8" s="124" t="s">
        <v>27</v>
      </c>
      <c r="HS8" s="182">
        <f>IFERROR((((COUNTIF('Elève (5ème1)'!HP8:HR8,"A"))*4)+((COUNTIF('Elève (5ème1)'!HP8:HR8,"B"))*3)+((COUNTIF('Elève (5ème1)'!HP8:HR8,"C"))*2)+((COUNTIF('Elève (5ème1)'!HP8:HR8,"D"))*1))/(COUNTA(HP8:HR8)),"")</f>
        <v>4</v>
      </c>
      <c r="HT8" s="183" t="str">
        <f t="shared" si="49"/>
        <v>A</v>
      </c>
      <c r="HU8" s="122" t="s">
        <v>28</v>
      </c>
      <c r="HV8" s="123"/>
      <c r="HW8" s="124" t="s">
        <v>28</v>
      </c>
      <c r="HX8" s="128"/>
      <c r="HY8" s="182">
        <f>IFERROR((((COUNTIF('Elève (5ème1)'!HU8:HX8,"A"))*4)+((COUNTIF('Elève (5ème1)'!HU8:HX8,"B"))*3)+((COUNTIF('Elève (5ème1)'!HU8:HX8,"C"))*2)+((COUNTIF('Elève (5ème1)'!HU8:HX8,"D"))*1))/(COUNTA(HU8:HX8)),"")</f>
        <v>3</v>
      </c>
      <c r="HZ8" s="183" t="str">
        <f t="shared" si="50"/>
        <v>B</v>
      </c>
      <c r="IA8" s="182">
        <f>IF(COUNT(HN8,HS8,HY8)=0,"",SUM(HN8,HS8,HY8)/COUNT(HN8,HS8,HY8))</f>
        <v>3.3333333333333335</v>
      </c>
      <c r="IB8" s="206" t="str">
        <f t="shared" si="51"/>
        <v>B</v>
      </c>
      <c r="IC8" s="122" t="s">
        <v>29</v>
      </c>
      <c r="ID8" s="123" t="s">
        <v>28</v>
      </c>
      <c r="IE8" s="124"/>
      <c r="IF8" s="182">
        <f>IFERROR((((COUNTIF('Elève (5ème1)'!IC8:IE8,"A"))*4)+((COUNTIF('Elève (5ème1)'!IC8:IE8,"B"))*3)+((COUNTIF('Elève (5ème1)'!IC8:IE8,"C"))*2)+((COUNTIF('Elève (5ème1)'!IC8:IE8,"D"))*1))/(COUNTA(IC8:IE8)),"")</f>
        <v>2.5</v>
      </c>
      <c r="IG8" s="183" t="str">
        <f t="shared" si="52"/>
        <v>C</v>
      </c>
      <c r="IH8" s="122"/>
      <c r="II8" s="123"/>
      <c r="IJ8" s="124" t="s">
        <v>28</v>
      </c>
      <c r="IK8" s="182">
        <f>IFERROR((((COUNTIF('Elève (5ème1)'!IH8:IJ8,"A"))*4)+((COUNTIF('Elève (5ème1)'!IH8:IJ8,"B"))*3)+((COUNTIF('Elève (5ème1)'!IH8:IJ8,"C"))*2)+((COUNTIF('Elève (5ème1)'!IH8:IJ8,"D"))*1))/(COUNTA(IH8:IJ8)),"")</f>
        <v>3</v>
      </c>
      <c r="IL8" s="183" t="str">
        <f t="shared" si="53"/>
        <v>B</v>
      </c>
      <c r="IM8" s="122" t="s">
        <v>28</v>
      </c>
      <c r="IN8" s="123"/>
      <c r="IO8" s="124" t="s">
        <v>28</v>
      </c>
      <c r="IP8" s="128"/>
      <c r="IQ8" s="182">
        <f>IFERROR((((COUNTIF('Elève (5ème1)'!IM8:IP8,"A"))*4)+((COUNTIF('Elève (5ème1)'!IM8:IP8,"B"))*3)+((COUNTIF('Elève (5ème1)'!IM8:IP8,"C"))*2)+((COUNTIF('Elève (5ème1)'!IM8:IP8,"D"))*1))/(COUNTA(IM8:IP8)),"")</f>
        <v>3</v>
      </c>
      <c r="IR8" s="183" t="str">
        <f t="shared" si="54"/>
        <v>B</v>
      </c>
      <c r="IS8" s="182">
        <f>IF(COUNT(IF8,IK8,IQ8)=0,"",SUM(IF8,IK8,IQ8)/COUNT(IF8,IK8,IQ8))</f>
        <v>2.8333333333333335</v>
      </c>
      <c r="IT8" s="206" t="str">
        <f t="shared" si="55"/>
        <v>B</v>
      </c>
      <c r="IU8" s="122" t="s">
        <v>28</v>
      </c>
      <c r="IV8" s="123" t="s">
        <v>28</v>
      </c>
      <c r="IW8" s="124"/>
      <c r="IX8" s="182">
        <f>IFERROR((((COUNTIF('Elève (5ème1)'!IU8:IW8,"A"))*4)+((COUNTIF('Elève (5ème1)'!IU8:IW8,"B"))*3)+((COUNTIF('Elève (5ème1)'!IU8:IW8,"C"))*2)+((COUNTIF('Elève (5ème1)'!IU8:IW8,"D"))*1))/(COUNTA(IU8:IW8)),"")</f>
        <v>3</v>
      </c>
      <c r="IY8" s="183" t="str">
        <f t="shared" si="56"/>
        <v>B</v>
      </c>
      <c r="IZ8" s="122"/>
      <c r="JA8" s="123"/>
      <c r="JB8" s="124" t="s">
        <v>27</v>
      </c>
      <c r="JC8" s="182">
        <f>IFERROR((((COUNTIF('Elève (5ème1)'!IZ8:JB8,"A"))*4)+((COUNTIF('Elève (5ème1)'!IZ8:JB8,"B"))*3)+((COUNTIF('Elève (5ème1)'!IZ8:JB8,"C"))*2)+((COUNTIF('Elève (5ème1)'!IZ8:JB8,"D"))*1))/(COUNTA(IZ8:JB8)),"")</f>
        <v>4</v>
      </c>
      <c r="JD8" s="183" t="str">
        <f t="shared" si="57"/>
        <v>A</v>
      </c>
      <c r="JE8" s="122" t="s">
        <v>29</v>
      </c>
      <c r="JF8" s="123"/>
      <c r="JG8" s="124" t="s">
        <v>28</v>
      </c>
      <c r="JH8" s="128"/>
      <c r="JI8" s="182">
        <f>IFERROR((((COUNTIF('Elève (5ème1)'!JE8:JH8,"A"))*4)+((COUNTIF('Elève (5ème1)'!JE8:JH8,"B"))*3)+((COUNTIF('Elève (5ème1)'!JE8:JH8,"C"))*2)+((COUNTIF('Elève (5ème1)'!JE8:JH8,"D"))*1))/(COUNTA(JE8:JH8)),"")</f>
        <v>2.5</v>
      </c>
      <c r="JJ8" s="183" t="str">
        <f t="shared" si="58"/>
        <v>C</v>
      </c>
      <c r="JK8" s="182">
        <f>IF(COUNT(IX8,JC8,JI8)=0,"",SUM(IX8,JC8,JI8)/COUNT(IX8,JC8,JI8))</f>
        <v>3.1666666666666665</v>
      </c>
      <c r="JL8" s="206" t="str">
        <f t="shared" si="59"/>
        <v>B</v>
      </c>
      <c r="JM8" s="122" t="s">
        <v>28</v>
      </c>
      <c r="JN8" s="123" t="s">
        <v>28</v>
      </c>
      <c r="JO8" s="124"/>
      <c r="JP8" s="182">
        <f>IFERROR((((COUNTIF('Elève (5ème1)'!JM8:JO8,"A"))*4)+((COUNTIF('Elève (5ème1)'!JM8:JO8,"B"))*3)+((COUNTIF('Elève (5ème1)'!JM8:JO8,"C"))*2)+((COUNTIF('Elève (5ème1)'!JM8:JO8,"D"))*1))/(COUNTA(JM8:JO8)),"")</f>
        <v>3</v>
      </c>
      <c r="JQ8" s="183" t="str">
        <f t="shared" si="60"/>
        <v>B</v>
      </c>
      <c r="JR8" s="122"/>
      <c r="JS8" s="123"/>
      <c r="JT8" s="124"/>
      <c r="JU8" s="182" t="str">
        <f>IFERROR((((COUNTIF('Elève (5ème1)'!JR8:JT8,"A"))*4)+((COUNTIF('Elève (5ème1)'!JR8:JT8,"B"))*3)+((COUNTIF('Elève (5ème1)'!JR8:JT8,"C"))*2)+((COUNTIF('Elève (5ème1)'!JR8:JT8,"D"))*1))/(COUNTA(JR8:JT8)),"")</f>
        <v/>
      </c>
      <c r="JV8" s="183" t="str">
        <f t="shared" si="61"/>
        <v/>
      </c>
      <c r="JW8" s="122" t="s">
        <v>28</v>
      </c>
      <c r="JX8" s="123"/>
      <c r="JY8" s="124" t="s">
        <v>28</v>
      </c>
      <c r="JZ8" s="128"/>
      <c r="KA8" s="182">
        <f>IFERROR((((COUNTIF('Elève (5ème1)'!JW8:JZ8,"A"))*4)+((COUNTIF('Elève (5ème1)'!JW8:JZ8,"B"))*3)+((COUNTIF('Elève (5ème1)'!JW8:JZ8,"C"))*2)+((COUNTIF('Elève (5ème1)'!JW8:JZ8,"D"))*1))/(COUNTA(JW8:JZ8)),"")</f>
        <v>3</v>
      </c>
      <c r="KB8" s="183" t="str">
        <f t="shared" si="62"/>
        <v>B</v>
      </c>
      <c r="KC8" s="182">
        <f>IF(COUNT(JP8,JU8,KA8)=0,"",SUM(JP8,JU8,KA8)/COUNT(JP8,JU8,KA8))</f>
        <v>3</v>
      </c>
      <c r="KD8" s="206" t="str">
        <f t="shared" si="63"/>
        <v>B</v>
      </c>
      <c r="KE8" s="122" t="s">
        <v>28</v>
      </c>
      <c r="KF8" s="123" t="s">
        <v>27</v>
      </c>
      <c r="KG8" s="124"/>
      <c r="KH8" s="182">
        <f>IFERROR((((COUNTIF('Elève (5ème1)'!KE8:KG8,"A"))*4)+((COUNTIF('Elève (5ème1)'!KE8:KG8,"B"))*3)+((COUNTIF('Elève (5ème1)'!KE8:KG8,"C"))*2)+((COUNTIF('Elève (5ème1)'!KE8:KG8,"D"))*1))/(COUNTA(KE8:KG8)),"")</f>
        <v>3.5</v>
      </c>
      <c r="KI8" s="183" t="str">
        <f t="shared" si="64"/>
        <v>B</v>
      </c>
      <c r="KJ8" s="122"/>
      <c r="KK8" s="123"/>
      <c r="KL8" s="124" t="s">
        <v>28</v>
      </c>
      <c r="KM8" s="182">
        <f>IFERROR((((COUNTIF('Elève (5ème1)'!KJ8:KL8,"A"))*4)+((COUNTIF('Elève (5ème1)'!KJ8:KL8,"B"))*3)+((COUNTIF('Elève (5ème1)'!KJ8:KL8,"C"))*2)+((COUNTIF('Elève (5ème1)'!KJ8:KL8,"D"))*1))/(COUNTA(KJ8:KL8)),"")</f>
        <v>3</v>
      </c>
      <c r="KN8" s="183" t="str">
        <f t="shared" si="65"/>
        <v>B</v>
      </c>
      <c r="KO8" s="122" t="s">
        <v>29</v>
      </c>
      <c r="KP8" s="123"/>
      <c r="KQ8" s="124"/>
      <c r="KR8" s="128"/>
      <c r="KS8" s="182">
        <f>IFERROR((((COUNTIF('Elève (5ème1)'!KO8:KR8,"A"))*4)+((COUNTIF('Elève (5ème1)'!KO8:KR8,"B"))*3)+((COUNTIF('Elève (5ème1)'!KO8:KR8,"C"))*2)+((COUNTIF('Elève (5ème1)'!KO8:KR8,"D"))*1))/(COUNTA(KO8:KR8)),"")</f>
        <v>2</v>
      </c>
      <c r="KT8" s="183" t="str">
        <f t="shared" si="66"/>
        <v>C</v>
      </c>
      <c r="KU8" s="182">
        <f>IF(COUNT(KH8,KM8,KS8)=0,"",SUM(KH8,KM8,KS8)/COUNT(KH8,KM8,KS8))</f>
        <v>2.8333333333333335</v>
      </c>
      <c r="KV8" s="206" t="str">
        <f t="shared" si="67"/>
        <v>B</v>
      </c>
      <c r="KW8" s="122" t="s">
        <v>28</v>
      </c>
      <c r="KX8" s="123" t="s">
        <v>28</v>
      </c>
      <c r="KY8" s="124"/>
      <c r="KZ8" s="182">
        <f>IFERROR((((COUNTIF('Elève (5ème1)'!KW8:KY8,"A"))*4)+((COUNTIF('Elève (5ème1)'!KW8:KY8,"B"))*3)+((COUNTIF('Elève (5ème1)'!KW8:KY8,"C"))*2)+((COUNTIF('Elève (5ème1)'!KW8:KY8,"D"))*1))/(COUNTA(KW8:KY8)),"")</f>
        <v>3</v>
      </c>
      <c r="LA8" s="183" t="str">
        <f t="shared" si="68"/>
        <v>B</v>
      </c>
      <c r="LB8" s="122"/>
      <c r="LC8" s="123"/>
      <c r="LD8" s="124" t="s">
        <v>28</v>
      </c>
      <c r="LE8" s="182">
        <f>IFERROR((((COUNTIF('Elève (5ème1)'!LB8:LD8,"A"))*4)+((COUNTIF('Elève (5ème1)'!LB8:LD8,"B"))*3)+((COUNTIF('Elève (5ème1)'!LB8:LD8,"C"))*2)+((COUNTIF('Elève (5ème1)'!LB8:LD8,"D"))*1))/(COUNTA(LB8:LD8)),"")</f>
        <v>3</v>
      </c>
      <c r="LF8" s="183" t="str">
        <f t="shared" si="69"/>
        <v>B</v>
      </c>
      <c r="LG8" s="122" t="s">
        <v>28</v>
      </c>
      <c r="LH8" s="123"/>
      <c r="LI8" s="124" t="s">
        <v>28</v>
      </c>
      <c r="LJ8" s="128"/>
      <c r="LK8" s="182">
        <f>IFERROR((((COUNTIF('Elève (5ème1)'!LG8:LJ8,"A"))*4)+((COUNTIF('Elève (5ème1)'!LG8:LJ8,"B"))*3)+((COUNTIF('Elève (5ème1)'!LG8:LJ8,"C"))*2)+((COUNTIF('Elève (5ème1)'!LG8:LJ8,"D"))*1))/(COUNTA(LG8:LJ8)),"")</f>
        <v>3</v>
      </c>
      <c r="LL8" s="183" t="str">
        <f t="shared" si="70"/>
        <v>B</v>
      </c>
      <c r="LM8" s="182">
        <f>IF(COUNT(KZ8,LE8,LK8)=0,"",SUM(KZ8,LE8,LK8)/COUNT(KZ8,LE8,LK8))</f>
        <v>3</v>
      </c>
      <c r="LN8" s="206" t="str">
        <f t="shared" si="71"/>
        <v>B</v>
      </c>
      <c r="LO8" s="122" t="s">
        <v>28</v>
      </c>
      <c r="LP8" s="123" t="s">
        <v>29</v>
      </c>
      <c r="LQ8" s="124"/>
      <c r="LR8" s="182">
        <f>IFERROR((((COUNTIF('Elève (5ème1)'!LO8:LQ8,"A"))*4)+((COUNTIF('Elève (5ème1)'!LO8:LQ8,"B"))*3)+((COUNTIF('Elève (5ème1)'!LO8:LQ8,"C"))*2)+((COUNTIF('Elève (5ème1)'!LO8:LQ8,"D"))*1))/(COUNTA(LO8:LQ8)),"")</f>
        <v>2.5</v>
      </c>
      <c r="LS8" s="183" t="str">
        <f t="shared" si="72"/>
        <v>C</v>
      </c>
      <c r="LT8" s="122"/>
      <c r="LU8" s="123"/>
      <c r="LV8" s="124" t="s">
        <v>29</v>
      </c>
      <c r="LW8" s="182">
        <f>IFERROR((((COUNTIF('Elève (5ème1)'!LT8:LV8,"A"))*4)+((COUNTIF('Elève (5ème1)'!LT8:LV8,"B"))*3)+((COUNTIF('Elève (5ème1)'!LT8:LV8,"C"))*2)+((COUNTIF('Elève (5ème1)'!LT8:LV8,"D"))*1))/(COUNTA(LT8:LV8)),"")</f>
        <v>2</v>
      </c>
      <c r="LX8" s="183" t="str">
        <f t="shared" si="73"/>
        <v>C</v>
      </c>
      <c r="LY8" s="122" t="s">
        <v>30</v>
      </c>
      <c r="LZ8" s="123"/>
      <c r="MA8" s="124" t="s">
        <v>28</v>
      </c>
      <c r="MB8" s="128"/>
      <c r="MC8" s="182">
        <f>IFERROR((((COUNTIF('Elève (5ème1)'!LY8:MB8,"A"))*4)+((COUNTIF('Elève (5ème1)'!LY8:MB8,"B"))*3)+((COUNTIF('Elève (5ème1)'!LY8:MB8,"C"))*2)+((COUNTIF('Elève (5ème1)'!LY8:MB8,"D"))*1))/(COUNTA(LY8:MB8)),"")</f>
        <v>2</v>
      </c>
      <c r="MD8" s="183" t="str">
        <f t="shared" si="74"/>
        <v>C</v>
      </c>
      <c r="ME8" s="182">
        <f>IF(COUNT(LR8,LW8,MC8)=0,"",SUM(LR8,LW8,MC8)/COUNT(LR8,LW8,MC8))</f>
        <v>2.1666666666666665</v>
      </c>
      <c r="MF8" s="206" t="str">
        <f t="shared" si="75"/>
        <v>C</v>
      </c>
      <c r="MG8" s="122" t="s">
        <v>28</v>
      </c>
      <c r="MH8" s="123" t="s">
        <v>28</v>
      </c>
      <c r="MI8" s="124"/>
      <c r="MJ8" s="182">
        <f>IFERROR((((COUNTIF('Elève (5ème1)'!MG8:MI8,"A"))*4)+((COUNTIF('Elève (5ème1)'!MG8:MI8,"B"))*3)+((COUNTIF('Elève (5ème1)'!MG8:MI8,"C"))*2)+((COUNTIF('Elève (5ème1)'!MG8:MI8,"D"))*1))/(COUNTA(MG8:MI8)),"")</f>
        <v>3</v>
      </c>
      <c r="MK8" s="183" t="str">
        <f t="shared" si="76"/>
        <v>B</v>
      </c>
      <c r="ML8" s="122"/>
      <c r="MM8" s="123"/>
      <c r="MN8" s="124" t="s">
        <v>27</v>
      </c>
      <c r="MO8" s="182">
        <f>IFERROR((((COUNTIF('Elève (5ème1)'!ML8:MN8,"A"))*4)+((COUNTIF('Elève (5ème1)'!ML8:MN8,"B"))*3)+((COUNTIF('Elève (5ème1)'!ML8:MN8,"C"))*2)+((COUNTIF('Elève (5ème1)'!ML8:MN8,"D"))*1))/(COUNTA(ML8:MN8)),"")</f>
        <v>4</v>
      </c>
      <c r="MP8" s="183" t="str">
        <f t="shared" si="77"/>
        <v>A</v>
      </c>
      <c r="MQ8" s="122" t="s">
        <v>28</v>
      </c>
      <c r="MR8" s="123"/>
      <c r="MS8" s="124" t="s">
        <v>27</v>
      </c>
      <c r="MT8" s="128"/>
      <c r="MU8" s="182">
        <f>IFERROR((((COUNTIF('Elève (5ème1)'!MQ8:MT8,"A"))*4)+((COUNTIF('Elève (5ème1)'!MQ8:MT8,"B"))*3)+((COUNTIF('Elève (5ème1)'!MQ8:MT8,"C"))*2)+((COUNTIF('Elève (5ème1)'!MQ8:MT8,"D"))*1))/(COUNTA(MQ8:MT8)),"")</f>
        <v>3.5</v>
      </c>
      <c r="MV8" s="183" t="str">
        <f t="shared" si="78"/>
        <v>B</v>
      </c>
      <c r="MW8" s="182">
        <f>IF(COUNT(MJ8,MO8,MU8)=0,"",SUM(MJ8,MO8,MU8)/COUNT(MJ8,MO8,MU8))</f>
        <v>3.5</v>
      </c>
      <c r="MX8" s="206" t="str">
        <f t="shared" si="79"/>
        <v>B</v>
      </c>
      <c r="MY8" s="122" t="s">
        <v>27</v>
      </c>
      <c r="MZ8" s="123" t="s">
        <v>28</v>
      </c>
      <c r="NA8" s="124"/>
      <c r="NB8" s="182">
        <f>IFERROR((((COUNTIF('Elève (5ème1)'!MY8:NA8,"A"))*4)+((COUNTIF('Elève (5ème1)'!MY8:NA8,"B"))*3)+((COUNTIF('Elève (5ème1)'!MY8:NA8,"C"))*2)+((COUNTIF('Elève (5ème1)'!MY8:NA8,"D"))*1))/(COUNTA(MY8:NA8)),"")</f>
        <v>3.5</v>
      </c>
      <c r="NC8" s="183" t="str">
        <f t="shared" si="80"/>
        <v>B</v>
      </c>
      <c r="ND8" s="122"/>
      <c r="NE8" s="123"/>
      <c r="NF8" s="124" t="s">
        <v>29</v>
      </c>
      <c r="NG8" s="182">
        <f>IFERROR((((COUNTIF('Elève (5ème1)'!ND8:NF8,"A"))*4)+((COUNTIF('Elève (5ème1)'!ND8:NF8,"B"))*3)+((COUNTIF('Elève (5ème1)'!ND8:NF8,"C"))*2)+((COUNTIF('Elève (5ème1)'!ND8:NF8,"D"))*1))/(COUNTA(ND8:NF8)),"")</f>
        <v>2</v>
      </c>
      <c r="NH8" s="183" t="str">
        <f t="shared" si="81"/>
        <v>C</v>
      </c>
      <c r="NI8" s="122" t="s">
        <v>28</v>
      </c>
      <c r="NJ8" s="123"/>
      <c r="NK8" s="124" t="s">
        <v>28</v>
      </c>
      <c r="NL8" s="128"/>
      <c r="NM8" s="182">
        <f>IFERROR((((COUNTIF('Elève (5ème1)'!NI8:NL8,"A"))*4)+((COUNTIF('Elève (5ème1)'!NI8:NL8,"B"))*3)+((COUNTIF('Elève (5ème1)'!NI8:NL8,"C"))*2)+((COUNTIF('Elève (5ème1)'!NI8:NL8,"D"))*1))/(COUNTA(NI8:NL8)),"")</f>
        <v>3</v>
      </c>
      <c r="NN8" s="183" t="str">
        <f t="shared" si="82"/>
        <v>B</v>
      </c>
      <c r="NO8" s="182">
        <f>IF(COUNT(NB8,NG8,NM8)=0,"",SUM(NB8,NG8,NM8)/COUNT(NB8,NG8,NM8))</f>
        <v>2.8333333333333335</v>
      </c>
      <c r="NP8" s="206" t="str">
        <f t="shared" si="83"/>
        <v>B</v>
      </c>
      <c r="NQ8" s="122" t="s">
        <v>29</v>
      </c>
      <c r="NR8" s="123" t="s">
        <v>28</v>
      </c>
      <c r="NS8" s="124"/>
      <c r="NT8" s="182">
        <f>IFERROR((((COUNTIF('Elève (5ème1)'!NQ8:NS8,"A"))*4)+((COUNTIF('Elève (5ème1)'!NQ8:NS8,"B"))*3)+((COUNTIF('Elève (5ème1)'!NQ8:NS8,"C"))*2)+((COUNTIF('Elève (5ème1)'!NQ8:NS8,"D"))*1))/(COUNTA(NQ8:NS8)),"")</f>
        <v>2.5</v>
      </c>
      <c r="NU8" s="183" t="str">
        <f t="shared" si="84"/>
        <v>C</v>
      </c>
      <c r="NV8" s="122"/>
      <c r="NW8" s="123"/>
      <c r="NX8" s="124" t="s">
        <v>29</v>
      </c>
      <c r="NY8" s="182">
        <f>IFERROR((((COUNTIF('Elève (5ème1)'!NV8:NX8,"A"))*4)+((COUNTIF('Elève (5ème1)'!NV8:NX8,"B"))*3)+((COUNTIF('Elève (5ème1)'!NV8:NX8,"C"))*2)+((COUNTIF('Elève (5ème1)'!NV8:NX8,"D"))*1))/(COUNTA(NV8:NX8)),"")</f>
        <v>2</v>
      </c>
      <c r="NZ8" s="183" t="str">
        <f t="shared" si="85"/>
        <v>C</v>
      </c>
      <c r="OA8" s="122" t="s">
        <v>30</v>
      </c>
      <c r="OB8" s="123"/>
      <c r="OC8" s="124" t="s">
        <v>28</v>
      </c>
      <c r="OD8" s="128"/>
      <c r="OE8" s="182">
        <f>IFERROR((((COUNTIF('Elève (5ème1)'!OA8:OD8,"A"))*4)+((COUNTIF('Elève (5ème1)'!OA8:OD8,"B"))*3)+((COUNTIF('Elève (5ème1)'!OA8:OD8,"C"))*2)+((COUNTIF('Elève (5ème1)'!OA8:OD8,"D"))*1))/(COUNTA(OA8:OD8)),"")</f>
        <v>2</v>
      </c>
      <c r="OF8" s="183" t="str">
        <f t="shared" si="86"/>
        <v>C</v>
      </c>
      <c r="OG8" s="182">
        <f>IF(COUNT(NT8,NY8,OE8)=0,"",SUM(NT8,NY8,OE8)/COUNT(NT8,NY8,OE8))</f>
        <v>2.1666666666666665</v>
      </c>
      <c r="OH8" s="206" t="str">
        <f t="shared" si="87"/>
        <v>C</v>
      </c>
      <c r="OI8" s="122" t="s">
        <v>28</v>
      </c>
      <c r="OJ8" s="123" t="s">
        <v>28</v>
      </c>
      <c r="OK8" s="124"/>
      <c r="OL8" s="182">
        <f>IFERROR((((COUNTIF('Elève (5ème1)'!OI8:OK8,"A"))*4)+((COUNTIF('Elève (5ème1)'!OI8:OK8,"B"))*3)+((COUNTIF('Elève (5ème1)'!OI8:OK8,"C"))*2)+((COUNTIF('Elève (5ème1)'!OI8:OK8,"D"))*1))/(COUNTA(OI8:OK8)),"")</f>
        <v>3</v>
      </c>
      <c r="OM8" s="183" t="str">
        <f t="shared" si="88"/>
        <v>B</v>
      </c>
      <c r="ON8" s="122"/>
      <c r="OO8" s="123"/>
      <c r="OP8" s="124" t="s">
        <v>27</v>
      </c>
      <c r="OQ8" s="182">
        <f>IFERROR((((COUNTIF('Elève (5ème1)'!ON8:OP8,"A"))*4)+((COUNTIF('Elève (5ème1)'!ON8:OP8,"B"))*3)+((COUNTIF('Elève (5ème1)'!ON8:OP8,"C"))*2)+((COUNTIF('Elève (5ème1)'!ON8:OP8,"D"))*1))/(COUNTA(ON8:OP8)),"")</f>
        <v>4</v>
      </c>
      <c r="OR8" s="183" t="str">
        <f t="shared" si="89"/>
        <v>A</v>
      </c>
      <c r="OS8" s="122" t="s">
        <v>27</v>
      </c>
      <c r="OT8" s="123"/>
      <c r="OU8" s="124" t="s">
        <v>27</v>
      </c>
      <c r="OV8" s="128"/>
      <c r="OW8" s="182">
        <f>IFERROR((((COUNTIF('Elève (5ème1)'!OS8:OV8,"A"))*4)+((COUNTIF('Elève (5ème1)'!OS8:OV8,"B"))*3)+((COUNTIF('Elève (5ème1)'!OS8:OV8,"C"))*2)+((COUNTIF('Elève (5ème1)'!OS8:OV8,"D"))*1))/(COUNTA(OS8:OV8)),"")</f>
        <v>4</v>
      </c>
      <c r="OX8" s="183" t="str">
        <f t="shared" si="90"/>
        <v>A</v>
      </c>
      <c r="OY8" s="182">
        <f>IF(COUNT(OL8,OQ8,OW8)=0,"",SUM(OL8,OQ8,OW8)/COUNT(OL8,OQ8,OW8))</f>
        <v>3.6666666666666665</v>
      </c>
      <c r="OZ8" s="206" t="str">
        <f t="shared" si="91"/>
        <v>B</v>
      </c>
      <c r="PA8" s="122"/>
      <c r="PB8" s="123"/>
      <c r="PC8" s="124"/>
      <c r="PD8" s="182" t="str">
        <f>IFERROR((((COUNTIF('Elève (5ème1)'!PA8:PC8,"A"))*4)+((COUNTIF('Elève (5ème1)'!PA8:PC8,"B"))*3)+((COUNTIF('Elève (5ème1)'!PA8:PC8,"C"))*2)+((COUNTIF('Elève (5ème1)'!PA8:PC8,"D"))*1))/(COUNTA(PA8:PC8)),"")</f>
        <v/>
      </c>
      <c r="PE8" s="183" t="str">
        <f t="shared" si="92"/>
        <v/>
      </c>
      <c r="PF8" s="122"/>
      <c r="PG8" s="123"/>
      <c r="PH8" s="124" t="s">
        <v>29</v>
      </c>
      <c r="PI8" s="182">
        <f>IFERROR((((COUNTIF('Elève (5ème1)'!PF8:PH8,"A"))*4)+((COUNTIF('Elève (5ème1)'!PF8:PH8,"B"))*3)+((COUNTIF('Elève (5ème1)'!PF8:PH8,"C"))*2)+((COUNTIF('Elève (5ème1)'!PF8:PH8,"D"))*1))/(COUNTA(PF8:PH8)),"")</f>
        <v>2</v>
      </c>
      <c r="PJ8" s="183" t="str">
        <f t="shared" si="93"/>
        <v>C</v>
      </c>
      <c r="PK8" s="122" t="s">
        <v>27</v>
      </c>
      <c r="PL8" s="123"/>
      <c r="PM8" s="124" t="s">
        <v>28</v>
      </c>
      <c r="PN8" s="128"/>
      <c r="PO8" s="182">
        <f>IFERROR((((COUNTIF('Elève (5ème1)'!PK8:PN8,"A"))*4)+((COUNTIF('Elève (5ème1)'!PK8:PN8,"B"))*3)+((COUNTIF('Elève (5ème1)'!PK8:PN8,"C"))*2)+((COUNTIF('Elève (5ème1)'!PK8:PN8,"D"))*1))/(COUNTA(PK8:PN8)),"")</f>
        <v>3.5</v>
      </c>
      <c r="PP8" s="183" t="str">
        <f t="shared" si="94"/>
        <v>B</v>
      </c>
      <c r="PQ8" s="182">
        <f>IF(COUNT(PD8,PI8,PO8)=0,"",SUM(PD8,PI8,PO8)/COUNT(PD8,PI8,PO8))</f>
        <v>2.75</v>
      </c>
      <c r="PR8" s="206" t="str">
        <f t="shared" si="95"/>
        <v>C</v>
      </c>
      <c r="PS8" s="122" t="s">
        <v>28</v>
      </c>
      <c r="PT8" s="123" t="s">
        <v>27</v>
      </c>
      <c r="PU8" s="124"/>
      <c r="PV8" s="182">
        <f>IFERROR((((COUNTIF('Elève (5ème1)'!PS8:PU8,"A"))*4)+((COUNTIF('Elève (5ème1)'!PS8:PU8,"B"))*3)+((COUNTIF('Elève (5ème1)'!PS8:PU8,"C"))*2)+((COUNTIF('Elève (5ème1)'!PS8:PU8,"D"))*1))/(COUNTA(PS8:PU8)),"")</f>
        <v>3.5</v>
      </c>
      <c r="PW8" s="183" t="str">
        <f t="shared" si="96"/>
        <v>B</v>
      </c>
      <c r="PX8" s="122"/>
      <c r="PY8" s="123"/>
      <c r="PZ8" s="124" t="s">
        <v>28</v>
      </c>
      <c r="QA8" s="182">
        <f>IFERROR((((COUNTIF('Elève (5ème1)'!PX8:PZ8,"A"))*4)+((COUNTIF('Elève (5ème1)'!PX8:PZ8,"B"))*3)+((COUNTIF('Elève (5ème1)'!PX8:PZ8,"C"))*2)+((COUNTIF('Elève (5ème1)'!PX8:PZ8,"D"))*1))/(COUNTA(PX8:PZ8)),"")</f>
        <v>3</v>
      </c>
      <c r="QB8" s="183" t="str">
        <f t="shared" si="97"/>
        <v>B</v>
      </c>
      <c r="QC8" s="122" t="s">
        <v>28</v>
      </c>
      <c r="QD8" s="123"/>
      <c r="QE8" s="124" t="s">
        <v>28</v>
      </c>
      <c r="QF8" s="128"/>
      <c r="QG8" s="182">
        <f>IFERROR((((COUNTIF('Elève (5ème1)'!QC8:QF8,"A"))*4)+((COUNTIF('Elève (5ème1)'!QC8:QF8,"B"))*3)+((COUNTIF('Elève (5ème1)'!QC8:QF8,"C"))*2)+((COUNTIF('Elève (5ème1)'!QC8:QF8,"D"))*1))/(COUNTA(QC8:QF8)),"")</f>
        <v>3</v>
      </c>
      <c r="QH8" s="183" t="str">
        <f t="shared" si="98"/>
        <v>B</v>
      </c>
      <c r="QI8" s="182">
        <f>IF(COUNT(PV8,QA8,QG8)=0,"",SUM(PV8,QA8,QG8)/COUNT(PV8,QA8,QG8))</f>
        <v>3.1666666666666665</v>
      </c>
      <c r="QJ8" s="206" t="str">
        <f t="shared" si="99"/>
        <v>B</v>
      </c>
      <c r="QK8" s="122" t="s">
        <v>28</v>
      </c>
      <c r="QL8" s="123" t="s">
        <v>27</v>
      </c>
      <c r="QM8" s="124"/>
      <c r="QN8" s="182">
        <f>IFERROR((((COUNTIF('Elève (5ème1)'!QK8:QM8,"A"))*4)+((COUNTIF('Elève (5ème1)'!QK8:QM8,"B"))*3)+((COUNTIF('Elève (5ème1)'!QK8:QM8,"C"))*2)+((COUNTIF('Elève (5ème1)'!QK8:QM8,"D"))*1))/(COUNTA(QK8:QM8)),"")</f>
        <v>3.5</v>
      </c>
      <c r="QO8" s="183" t="str">
        <f t="shared" si="100"/>
        <v>B</v>
      </c>
      <c r="QP8" s="122"/>
      <c r="QQ8" s="123"/>
      <c r="QR8" s="124" t="s">
        <v>27</v>
      </c>
      <c r="QS8" s="182">
        <f>IFERROR((((COUNTIF('Elève (5ème1)'!QP8:QR8,"A"))*4)+((COUNTIF('Elève (5ème1)'!QP8:QR8,"B"))*3)+((COUNTIF('Elève (5ème1)'!QP8:QR8,"C"))*2)+((COUNTIF('Elève (5ème1)'!QP8:QR8,"D"))*1))/(COUNTA(QP8:QR8)),"")</f>
        <v>4</v>
      </c>
      <c r="QT8" s="183" t="str">
        <f t="shared" si="101"/>
        <v>A</v>
      </c>
      <c r="QU8" s="122" t="s">
        <v>28</v>
      </c>
      <c r="QV8" s="123"/>
      <c r="QW8" s="124" t="s">
        <v>29</v>
      </c>
      <c r="QX8" s="128"/>
      <c r="QY8" s="182">
        <f>IFERROR((((COUNTIF('Elève (5ème1)'!QU8:QX8,"A"))*4)+((COUNTIF('Elève (5ème1)'!QU8:QX8,"B"))*3)+((COUNTIF('Elève (5ème1)'!QU8:QX8,"C"))*2)+((COUNTIF('Elève (5ème1)'!QU8:QX8,"D"))*1))/(COUNTA(QU8:QX8)),"")</f>
        <v>2.5</v>
      </c>
      <c r="QZ8" s="183" t="str">
        <f t="shared" si="102"/>
        <v>C</v>
      </c>
      <c r="RA8" s="182">
        <f>IF(COUNT(QN8,QS8,QY8)=0,"",SUM(QN8,QS8,QY8)/COUNT(QN8,QS8,QY8))</f>
        <v>3.3333333333333335</v>
      </c>
      <c r="RB8" s="206" t="str">
        <f t="shared" si="103"/>
        <v>B</v>
      </c>
      <c r="RC8" s="122" t="s">
        <v>28</v>
      </c>
      <c r="RD8" s="123" t="s">
        <v>27</v>
      </c>
      <c r="RE8" s="124"/>
      <c r="RF8" s="182">
        <f>IFERROR((((COUNTIF('Elève (5ème1)'!RC8:RE8,"A"))*4)+((COUNTIF('Elève (5ème1)'!RC8:RE8,"B"))*3)+((COUNTIF('Elève (5ème1)'!RC8:RE8,"C"))*2)+((COUNTIF('Elève (5ème1)'!RC8:RE8,"D"))*1))/(COUNTA(RC8:RE8)),"")</f>
        <v>3.5</v>
      </c>
      <c r="RG8" s="183" t="str">
        <f t="shared" si="104"/>
        <v>B</v>
      </c>
      <c r="RH8" s="122"/>
      <c r="RI8" s="123"/>
      <c r="RJ8" s="124" t="s">
        <v>28</v>
      </c>
      <c r="RK8" s="182">
        <f>IFERROR((((COUNTIF('Elève (5ème1)'!RH8:RJ8,"A"))*4)+((COUNTIF('Elève (5ème1)'!RH8:RJ8,"B"))*3)+((COUNTIF('Elève (5ème1)'!RH8:RJ8,"C"))*2)+((COUNTIF('Elève (5ème1)'!RH8:RJ8,"D"))*1))/(COUNTA(RH8:RJ8)),"")</f>
        <v>3</v>
      </c>
      <c r="RL8" s="183" t="str">
        <f t="shared" si="105"/>
        <v>B</v>
      </c>
      <c r="RM8" s="122" t="s">
        <v>28</v>
      </c>
      <c r="RN8" s="123"/>
      <c r="RO8" s="124" t="s">
        <v>28</v>
      </c>
      <c r="RP8" s="128"/>
      <c r="RQ8" s="182">
        <f>IFERROR((((COUNTIF('Elève (5ème1)'!RM8:RP8,"A"))*4)+((COUNTIF('Elève (5ème1)'!RM8:RP8,"B"))*3)+((COUNTIF('Elève (5ème1)'!RM8:RP8,"C"))*2)+((COUNTIF('Elève (5ème1)'!RM8:RP8,"D"))*1))/(COUNTA(RM8:RP8)),"")</f>
        <v>3</v>
      </c>
      <c r="RR8" s="183" t="str">
        <f t="shared" si="106"/>
        <v>B</v>
      </c>
      <c r="RS8" s="182">
        <f>IF(COUNT(RF8,RK8,RQ8)=0,"",SUM(RF8,RK8,RQ8)/COUNT(RF8,RK8,RQ8))</f>
        <v>3.1666666666666665</v>
      </c>
      <c r="RT8" s="206" t="str">
        <f t="shared" si="107"/>
        <v>B</v>
      </c>
      <c r="RU8" s="122" t="s">
        <v>28</v>
      </c>
      <c r="RV8" s="123" t="s">
        <v>27</v>
      </c>
      <c r="RW8" s="124"/>
      <c r="RX8" s="182">
        <f>IFERROR((((COUNTIF('Elève (5ème1)'!RU8:RW8,"A"))*4)+((COUNTIF('Elève (5ème1)'!RU8:RW8,"B"))*3)+((COUNTIF('Elève (5ème1)'!RU8:RW8,"C"))*2)+((COUNTIF('Elève (5ème1)'!RU8:RW8,"D"))*1))/(COUNTA(RU8:RW8)),"")</f>
        <v>3.5</v>
      </c>
      <c r="RY8" s="183" t="str">
        <f t="shared" si="108"/>
        <v>B</v>
      </c>
      <c r="RZ8" s="122"/>
      <c r="SA8" s="123"/>
      <c r="SB8" s="124" t="s">
        <v>28</v>
      </c>
      <c r="SC8" s="182">
        <f>IFERROR((((COUNTIF('Elève (5ème1)'!RZ8:SB8,"A"))*4)+((COUNTIF('Elève (5ème1)'!RZ8:SB8,"B"))*3)+((COUNTIF('Elève (5ème1)'!RZ8:SB8,"C"))*2)+((COUNTIF('Elève (5ème1)'!RZ8:SB8,"D"))*1))/(COUNTA(RZ8:SB8)),"")</f>
        <v>3</v>
      </c>
      <c r="SD8" s="183" t="str">
        <f t="shared" si="109"/>
        <v>B</v>
      </c>
      <c r="SE8" s="122" t="s">
        <v>28</v>
      </c>
      <c r="SF8" s="123"/>
      <c r="SG8" s="124" t="s">
        <v>27</v>
      </c>
      <c r="SH8" s="128"/>
      <c r="SI8" s="182">
        <f>IFERROR((((COUNTIF('Elève (5ème1)'!SE8:SH8,"A"))*4)+((COUNTIF('Elève (5ème1)'!SE8:SH8,"B"))*3)+((COUNTIF('Elève (5ème1)'!SE8:SH8,"C"))*2)+((COUNTIF('Elève (5ème1)'!SE8:SH8,"D"))*1))/(COUNTA(SE8:SH8)),"")</f>
        <v>3.5</v>
      </c>
      <c r="SJ8" s="183" t="str">
        <f t="shared" si="110"/>
        <v>B</v>
      </c>
      <c r="SK8" s="182">
        <f>IF(COUNT(RX8,SC8,SI8)=0,"",SUM(RX8,SC8,SI8)/COUNT(RX8,SC8,SI8))</f>
        <v>3.3333333333333335</v>
      </c>
      <c r="SL8" s="206" t="str">
        <f t="shared" si="111"/>
        <v>B</v>
      </c>
      <c r="SM8" s="122" t="s">
        <v>28</v>
      </c>
      <c r="SN8" s="123" t="s">
        <v>28</v>
      </c>
      <c r="SO8" s="124"/>
      <c r="SP8" s="182">
        <f>IFERROR((((COUNTIF('Elève (5ème1)'!SM8:SO8,"A"))*4)+((COUNTIF('Elève (5ème1)'!SM8:SO8,"B"))*3)+((COUNTIF('Elève (5ème1)'!SM8:SO8,"C"))*2)+((COUNTIF('Elève (5ème1)'!SM8:SO8,"D"))*1))/(COUNTA(SM8:SO8)),"")</f>
        <v>3</v>
      </c>
      <c r="SQ8" s="183" t="str">
        <f t="shared" si="112"/>
        <v>B</v>
      </c>
      <c r="SR8" s="122"/>
      <c r="SS8" s="123"/>
      <c r="ST8" s="124" t="s">
        <v>27</v>
      </c>
      <c r="SU8" s="182">
        <f>IFERROR((((COUNTIF('Elève (5ème1)'!SR8:ST8,"A"))*4)+((COUNTIF('Elève (5ème1)'!SR8:ST8,"B"))*3)+((COUNTIF('Elève (5ème1)'!SR8:ST8,"C"))*2)+((COUNTIF('Elève (5ème1)'!SR8:ST8,"D"))*1))/(COUNTA(SR8:ST8)),"")</f>
        <v>4</v>
      </c>
      <c r="SV8" s="183" t="str">
        <f t="shared" si="113"/>
        <v>A</v>
      </c>
      <c r="SW8" s="122" t="s">
        <v>28</v>
      </c>
      <c r="SX8" s="123"/>
      <c r="SY8" s="124" t="s">
        <v>29</v>
      </c>
      <c r="SZ8" s="128"/>
      <c r="TA8" s="182">
        <f>IFERROR((((COUNTIF('Elève (5ème1)'!SW8:SZ8,"A"))*4)+((COUNTIF('Elève (5ème1)'!SW8:SZ8,"B"))*3)+((COUNTIF('Elève (5ème1)'!SW8:SZ8,"C"))*2)+((COUNTIF('Elève (5ème1)'!SW8:SZ8,"D"))*1))/(COUNTA(SW8:SZ8)),"")</f>
        <v>2.5</v>
      </c>
      <c r="TB8" s="183" t="str">
        <f t="shared" si="114"/>
        <v>C</v>
      </c>
      <c r="TC8" s="182">
        <f>IF(COUNT(SP8,SU8,TA8)=0,"",SUM(SP8,SU8,TA8)/COUNT(SP8,SU8,TA8))</f>
        <v>3.1666666666666665</v>
      </c>
      <c r="TD8" s="206" t="str">
        <f t="shared" si="115"/>
        <v>B</v>
      </c>
      <c r="TE8" s="122" t="s">
        <v>28</v>
      </c>
      <c r="TF8" s="123" t="s">
        <v>28</v>
      </c>
      <c r="TG8" s="124"/>
      <c r="TH8" s="182">
        <f>IFERROR((((COUNTIF('Elève (5ème1)'!TE8:TG8,"A"))*4)+((COUNTIF('Elève (5ème1)'!TE8:TG8,"B"))*3)+((COUNTIF('Elève (5ème1)'!TE8:TG8,"C"))*2)+((COUNTIF('Elève (5ème1)'!TE8:TG8,"D"))*1))/(COUNTA(TE8:TG8)),"")</f>
        <v>3</v>
      </c>
      <c r="TI8" s="183" t="str">
        <f t="shared" si="116"/>
        <v>B</v>
      </c>
      <c r="TJ8" s="122"/>
      <c r="TK8" s="123"/>
      <c r="TL8" s="124" t="s">
        <v>28</v>
      </c>
      <c r="TM8" s="182">
        <f>IFERROR((((COUNTIF('Elève (5ème1)'!TJ8:TL8,"A"))*4)+((COUNTIF('Elève (5ème1)'!TJ8:TL8,"B"))*3)+((COUNTIF('Elève (5ème1)'!TJ8:TL8,"C"))*2)+((COUNTIF('Elève (5ème1)'!TJ8:TL8,"D"))*1))/(COUNTA(TJ8:TL8)),"")</f>
        <v>3</v>
      </c>
      <c r="TN8" s="183" t="str">
        <f t="shared" si="117"/>
        <v>B</v>
      </c>
      <c r="TO8" s="122" t="s">
        <v>29</v>
      </c>
      <c r="TP8" s="123"/>
      <c r="TQ8" s="124" t="s">
        <v>28</v>
      </c>
      <c r="TR8" s="128"/>
      <c r="TS8" s="182">
        <f>IFERROR((((COUNTIF('Elève (5ème1)'!TO8:TR8,"A"))*4)+((COUNTIF('Elève (5ème1)'!TO8:TR8,"B"))*3)+((COUNTIF('Elève (5ème1)'!TO8:TR8,"C"))*2)+((COUNTIF('Elève (5ème1)'!TO8:TR8,"D"))*1))/(COUNTA(TO8:TR8)),"")</f>
        <v>2.5</v>
      </c>
      <c r="TT8" s="183" t="str">
        <f t="shared" si="118"/>
        <v>C</v>
      </c>
      <c r="TU8" s="182">
        <f>IF(COUNT(TH8,TM8,TS8)=0,"",SUM(TH8,TM8,TS8)/COUNT(TH8,TM8,TS8))</f>
        <v>2.8333333333333335</v>
      </c>
      <c r="TV8" s="206" t="str">
        <f t="shared" si="119"/>
        <v>B</v>
      </c>
    </row>
    <row r="9" spans="1:542" ht="18" customHeight="1" thickBot="1" x14ac:dyDescent="0.3">
      <c r="A9" s="238" t="s">
        <v>16</v>
      </c>
      <c r="B9" s="239"/>
      <c r="C9" s="129"/>
      <c r="D9" s="130"/>
      <c r="E9" s="131"/>
      <c r="F9" s="184" t="str">
        <f>IFERROR((((COUNTIF('Elève (5ème1)'!C9:E9,"A"))*4)+((COUNTIF('Elève (5ème1)'!C9:E9,"B"))*3)+((COUNTIF('Elève (5ème1)'!C9:E9,"C"))*2)+((COUNTIF('Elève (5ème1)'!C9:E9,"D"))*1))/(COUNTA(C9:E9)),"")</f>
        <v/>
      </c>
      <c r="G9" s="185" t="str">
        <f t="shared" si="0"/>
        <v/>
      </c>
      <c r="H9" s="129"/>
      <c r="I9" s="130"/>
      <c r="J9" s="131" t="s">
        <v>29</v>
      </c>
      <c r="K9" s="184">
        <f>IFERROR((((COUNTIF('Elève (5ème1)'!H9:J9,"A"))*4)+((COUNTIF('Elève (5ème1)'!H9:J9,"B"))*3)+((COUNTIF('Elève (5ème1)'!H9:J9,"C"))*2)+((COUNTIF('Elève (5ème1)'!H9:J9,"D"))*1))/(COUNTA(H9:J9)),"")</f>
        <v>2</v>
      </c>
      <c r="L9" s="185" t="str">
        <f t="shared" si="1"/>
        <v>C</v>
      </c>
      <c r="M9" s="129"/>
      <c r="N9" s="130"/>
      <c r="O9" s="131"/>
      <c r="P9" s="131" t="s">
        <v>30</v>
      </c>
      <c r="Q9" s="184">
        <f>IFERROR((((COUNTIF('Elève (5ème1)'!M9:P9,"A"))*4)+((COUNTIF('Elève (5ème1)'!M9:P9,"B"))*3)+((COUNTIF('Elève (5ème1)'!M9:P9,"C"))*2)+((COUNTIF('Elève (5ème1)'!M9:P9,"D"))*1))/(COUNTA(M9:P9)),"")</f>
        <v>1</v>
      </c>
      <c r="R9" s="185" t="str">
        <f t="shared" si="2"/>
        <v>D</v>
      </c>
      <c r="S9" s="184">
        <f>IF(COUNT(F9,K9,Q9)=0,"",SUM(F9,K9,Q9)/COUNT(F9,K9,Q9))</f>
        <v>1.5</v>
      </c>
      <c r="T9" s="207" t="str">
        <f t="shared" si="3"/>
        <v>D</v>
      </c>
      <c r="U9" s="129"/>
      <c r="V9" s="130"/>
      <c r="W9" s="131"/>
      <c r="X9" s="184" t="str">
        <f>IFERROR((((COUNTIF('Elève (5ème1)'!U9:W9,"A"))*4)+((COUNTIF('Elève (5ème1)'!U9:W9,"B"))*3)+((COUNTIF('Elève (5ème1)'!U9:W9,"C"))*2)+((COUNTIF('Elève (5ème1)'!U9:W9,"D"))*1))/(COUNTA(U9:W9)),"")</f>
        <v/>
      </c>
      <c r="Y9" s="185" t="str">
        <f t="shared" si="4"/>
        <v/>
      </c>
      <c r="Z9" s="129"/>
      <c r="AA9" s="130"/>
      <c r="AB9" s="131" t="s">
        <v>29</v>
      </c>
      <c r="AC9" s="184">
        <f>IFERROR((((COUNTIF('Elève (5ème1)'!Z9:AB9,"A"))*4)+((COUNTIF('Elève (5ème1)'!Z9:AB9,"B"))*3)+((COUNTIF('Elève (5ème1)'!Z9:AB9,"C"))*2)+((COUNTIF('Elève (5ème1)'!Z9:AB9,"D"))*1))/(COUNTA(Z9:AB9)),"")</f>
        <v>2</v>
      </c>
      <c r="AD9" s="185" t="str">
        <f t="shared" si="5"/>
        <v>C</v>
      </c>
      <c r="AE9" s="129"/>
      <c r="AF9" s="130"/>
      <c r="AG9" s="131"/>
      <c r="AH9" s="135" t="s">
        <v>30</v>
      </c>
      <c r="AI9" s="184">
        <f>IFERROR((((COUNTIF('Elève (5ème1)'!AE9:AH9,"A"))*4)+((COUNTIF('Elève (5ème1)'!AE9:AH9,"B"))*3)+((COUNTIF('Elève (5ème1)'!AE9:AH9,"C"))*2)+((COUNTIF('Elève (5ème1)'!AE9:AH9,"D"))*1))/(COUNTA(AE9:AH9)),"")</f>
        <v>1</v>
      </c>
      <c r="AJ9" s="185" t="str">
        <f t="shared" si="6"/>
        <v>D</v>
      </c>
      <c r="AK9" s="184">
        <f>IF(COUNT(X9,AC9,AI9)=0,"",SUM(X9,AC9,AI9)/COUNT(X9,AC9,AI9))</f>
        <v>1.5</v>
      </c>
      <c r="AL9" s="207" t="str">
        <f t="shared" si="7"/>
        <v>D</v>
      </c>
      <c r="AM9" s="129"/>
      <c r="AN9" s="130"/>
      <c r="AO9" s="131"/>
      <c r="AP9" s="184" t="str">
        <f>IFERROR((((COUNTIF('Elève (5ème1)'!AM9:AO9,"A"))*4)+((COUNTIF('Elève (5ème1)'!AM9:AO9,"B"))*3)+((COUNTIF('Elève (5ème1)'!AM9:AO9,"C"))*2)+((COUNTIF('Elève (5ème1)'!AM9:AO9,"D"))*1))/(COUNTA(AM9:AO9)),"")</f>
        <v/>
      </c>
      <c r="AQ9" s="185" t="str">
        <f t="shared" si="8"/>
        <v/>
      </c>
      <c r="AR9" s="129"/>
      <c r="AS9" s="130"/>
      <c r="AT9" s="131" t="s">
        <v>28</v>
      </c>
      <c r="AU9" s="184">
        <f>IFERROR((((COUNTIF('Elève (5ème1)'!AR9:AT9,"A"))*4)+((COUNTIF('Elève (5ème1)'!AR9:AT9,"B"))*3)+((COUNTIF('Elève (5ème1)'!AR9:AT9,"C"))*2)+((COUNTIF('Elève (5ème1)'!AR9:AT9,"D"))*1))/(COUNTA(AR9:AT9)),"")</f>
        <v>3</v>
      </c>
      <c r="AV9" s="185" t="str">
        <f t="shared" si="9"/>
        <v>B</v>
      </c>
      <c r="AW9" s="129"/>
      <c r="AX9" s="130"/>
      <c r="AY9" s="131"/>
      <c r="AZ9" s="135" t="s">
        <v>29</v>
      </c>
      <c r="BA9" s="184">
        <f>IFERROR((((COUNTIF('Elève (5ème1)'!AW9:AZ9,"A"))*4)+((COUNTIF('Elève (5ème1)'!AW9:AZ9,"B"))*3)+((COUNTIF('Elève (5ème1)'!AW9:AZ9,"C"))*2)+((COUNTIF('Elève (5ème1)'!AW9:AZ9,"D"))*1))/(COUNTA(AW9:AZ9)),"")</f>
        <v>2</v>
      </c>
      <c r="BB9" s="185" t="str">
        <f t="shared" si="10"/>
        <v>C</v>
      </c>
      <c r="BC9" s="184">
        <f>IF(COUNT(AP9,AU9,BA9)=0,"",SUM(AP9,AU9,BA9)/COUNT(AP9,AU9,BA9))</f>
        <v>2.5</v>
      </c>
      <c r="BD9" s="207" t="str">
        <f t="shared" si="11"/>
        <v>C</v>
      </c>
      <c r="BE9" s="129"/>
      <c r="BF9" s="130"/>
      <c r="BG9" s="131"/>
      <c r="BH9" s="184" t="str">
        <f>IFERROR((((COUNTIF('Elève (5ème1)'!BE9:BG9,"A"))*4)+((COUNTIF('Elève (5ème1)'!BE9:BG9,"B"))*3)+((COUNTIF('Elève (5ème1)'!BE9:BG9,"C"))*2)+((COUNTIF('Elève (5ème1)'!BE9:BG9,"D"))*1))/(COUNTA(BE9:BG9)),"")</f>
        <v/>
      </c>
      <c r="BI9" s="185" t="str">
        <f t="shared" si="12"/>
        <v/>
      </c>
      <c r="BJ9" s="129"/>
      <c r="BK9" s="130"/>
      <c r="BL9" s="131" t="s">
        <v>29</v>
      </c>
      <c r="BM9" s="184">
        <f>IFERROR((((COUNTIF('Elève (5ème1)'!BJ9:BL9,"A"))*4)+((COUNTIF('Elève (5ème1)'!BJ9:BL9,"B"))*3)+((COUNTIF('Elève (5ème1)'!BJ9:BL9,"C"))*2)+((COUNTIF('Elève (5ème1)'!BJ9:BL9,"D"))*1))/(COUNTA(BJ9:BL9)),"")</f>
        <v>2</v>
      </c>
      <c r="BN9" s="185" t="str">
        <f t="shared" si="13"/>
        <v>C</v>
      </c>
      <c r="BO9" s="129"/>
      <c r="BP9" s="130"/>
      <c r="BQ9" s="131"/>
      <c r="BR9" s="135" t="s">
        <v>30</v>
      </c>
      <c r="BS9" s="184">
        <f>IFERROR((((COUNTIF('Elève (5ème1)'!BO9:BR9,"A"))*4)+((COUNTIF('Elève (5ème1)'!BO9:BR9,"B"))*3)+((COUNTIF('Elève (5ème1)'!BO9:BR9,"C"))*2)+((COUNTIF('Elève (5ème1)'!BO9:BR9,"D"))*1))/(COUNTA(BO9:BR9)),"")</f>
        <v>1</v>
      </c>
      <c r="BT9" s="185" t="str">
        <f t="shared" si="14"/>
        <v>D</v>
      </c>
      <c r="BU9" s="184">
        <f>IF(COUNT(BH9,BM9,BS9)=0,"",SUM(BH9,BM9,BS9)/COUNT(BH9,BM9,BS9))</f>
        <v>1.5</v>
      </c>
      <c r="BV9" s="207" t="str">
        <f t="shared" si="15"/>
        <v>D</v>
      </c>
      <c r="BW9" s="129"/>
      <c r="BX9" s="130"/>
      <c r="BY9" s="131"/>
      <c r="BZ9" s="184" t="str">
        <f>IFERROR((((COUNTIF('Elève (5ème1)'!BW9:BY9,"A"))*4)+((COUNTIF('Elève (5ème1)'!BW9:BY9,"B"))*3)+((COUNTIF('Elève (5ème1)'!BW9:BY9,"C"))*2)+((COUNTIF('Elève (5ème1)'!BW9:BY9,"D"))*1))/(COUNTA(BW9:BY9)),"")</f>
        <v/>
      </c>
      <c r="CA9" s="185" t="str">
        <f t="shared" si="16"/>
        <v/>
      </c>
      <c r="CB9" s="129"/>
      <c r="CC9" s="130"/>
      <c r="CD9" s="131" t="s">
        <v>27</v>
      </c>
      <c r="CE9" s="184">
        <f>IFERROR((((COUNTIF('Elève (5ème1)'!CB9:CD9,"A"))*4)+((COUNTIF('Elève (5ème1)'!CB9:CD9,"B"))*3)+((COUNTIF('Elève (5ème1)'!CB9:CD9,"C"))*2)+((COUNTIF('Elève (5ème1)'!CB9:CD9,"D"))*1))/(COUNTA(CB9:CD9)),"")</f>
        <v>4</v>
      </c>
      <c r="CF9" s="185" t="str">
        <f t="shared" si="17"/>
        <v>A</v>
      </c>
      <c r="CG9" s="129"/>
      <c r="CH9" s="130"/>
      <c r="CI9" s="131"/>
      <c r="CJ9" s="135" t="s">
        <v>29</v>
      </c>
      <c r="CK9" s="184">
        <f>IFERROR((((COUNTIF('Elève (5ème1)'!CG9:CJ9,"A"))*4)+((COUNTIF('Elève (5ème1)'!CG9:CJ9,"B"))*3)+((COUNTIF('Elève (5ème1)'!CG9:CJ9,"C"))*2)+((COUNTIF('Elève (5ème1)'!CG9:CJ9,"D"))*1))/(COUNTA(CG9:CJ9)),"")</f>
        <v>2</v>
      </c>
      <c r="CL9" s="185" t="str">
        <f t="shared" si="18"/>
        <v>C</v>
      </c>
      <c r="CM9" s="184">
        <f>IF(COUNT(BZ9,CE9,CK9)=0,"",SUM(BZ9,CE9,CK9)/COUNT(BZ9,CE9,CK9))</f>
        <v>3</v>
      </c>
      <c r="CN9" s="207" t="str">
        <f t="shared" si="19"/>
        <v>B</v>
      </c>
      <c r="CO9" s="129"/>
      <c r="CP9" s="130"/>
      <c r="CQ9" s="131"/>
      <c r="CR9" s="184" t="str">
        <f>IFERROR((((COUNTIF('Elève (5ème1)'!CO9:CQ9,"A"))*4)+((COUNTIF('Elève (5ème1)'!CO9:CQ9,"B"))*3)+((COUNTIF('Elève (5ème1)'!CO9:CQ9,"C"))*2)+((COUNTIF('Elève (5ème1)'!CO9:CQ9,"D"))*1))/(COUNTA(CO9:CQ9)),"")</f>
        <v/>
      </c>
      <c r="CS9" s="185" t="str">
        <f t="shared" si="20"/>
        <v/>
      </c>
      <c r="CT9" s="129"/>
      <c r="CU9" s="130"/>
      <c r="CV9" s="131" t="s">
        <v>29</v>
      </c>
      <c r="CW9" s="184">
        <f>IFERROR((((COUNTIF('Elève (5ème1)'!CT9:CV9,"A"))*4)+((COUNTIF('Elève (5ème1)'!CT9:CV9,"B"))*3)+((COUNTIF('Elève (5ème1)'!CT9:CV9,"C"))*2)+((COUNTIF('Elève (5ème1)'!CT9:CV9,"D"))*1))/(COUNTA(CT9:CV9)),"")</f>
        <v>2</v>
      </c>
      <c r="CX9" s="185" t="str">
        <f t="shared" si="21"/>
        <v>C</v>
      </c>
      <c r="CY9" s="129"/>
      <c r="CZ9" s="130"/>
      <c r="DA9" s="131"/>
      <c r="DB9" s="135" t="s">
        <v>30</v>
      </c>
      <c r="DC9" s="184">
        <f>IFERROR((((COUNTIF('Elève (5ème1)'!CY9:DB9,"A"))*4)+((COUNTIF('Elève (5ème1)'!CY9:DB9,"B"))*3)+((COUNTIF('Elève (5ème1)'!CY9:DB9,"C"))*2)+((COUNTIF('Elève (5ème1)'!CY9:DB9,"D"))*1))/(COUNTA(CY9:DB9)),"")</f>
        <v>1</v>
      </c>
      <c r="DD9" s="185" t="str">
        <f t="shared" si="22"/>
        <v>D</v>
      </c>
      <c r="DE9" s="184">
        <f>IF(COUNT(CR9,CW9,DC9)=0,"",SUM(CR9,CW9,DC9)/COUNT(CR9,CW9,DC9))</f>
        <v>1.5</v>
      </c>
      <c r="DF9" s="207" t="str">
        <f t="shared" si="23"/>
        <v>D</v>
      </c>
      <c r="DG9" s="129"/>
      <c r="DH9" s="130"/>
      <c r="DI9" s="131"/>
      <c r="DJ9" s="184" t="str">
        <f>IFERROR((((COUNTIF('Elève (5ème1)'!DG9:DI9,"A"))*4)+((COUNTIF('Elève (5ème1)'!DG9:DI9,"B"))*3)+((COUNTIF('Elève (5ème1)'!DG9:DI9,"C"))*2)+((COUNTIF('Elève (5ème1)'!DG9:DI9,"D"))*1))/(COUNTA(DG9:DI9)),"")</f>
        <v/>
      </c>
      <c r="DK9" s="185" t="str">
        <f t="shared" si="24"/>
        <v/>
      </c>
      <c r="DL9" s="129"/>
      <c r="DM9" s="130"/>
      <c r="DN9" s="131" t="s">
        <v>28</v>
      </c>
      <c r="DO9" s="184">
        <f>IFERROR((((COUNTIF('Elève (5ème1)'!DL9:DN9,"A"))*4)+((COUNTIF('Elève (5ème1)'!DL9:DN9,"B"))*3)+((COUNTIF('Elève (5ème1)'!DL9:DN9,"C"))*2)+((COUNTIF('Elève (5ème1)'!DL9:DN9,"D"))*1))/(COUNTA(DL9:DN9)),"")</f>
        <v>3</v>
      </c>
      <c r="DP9" s="185" t="str">
        <f t="shared" si="25"/>
        <v>B</v>
      </c>
      <c r="DQ9" s="129"/>
      <c r="DR9" s="130"/>
      <c r="DS9" s="131"/>
      <c r="DT9" s="135" t="s">
        <v>27</v>
      </c>
      <c r="DU9" s="184">
        <f>IFERROR((((COUNTIF('Elève (5ème1)'!DQ9:DT9,"A"))*4)+((COUNTIF('Elève (5ème1)'!DQ9:DT9,"B"))*3)+((COUNTIF('Elève (5ème1)'!DQ9:DT9,"C"))*2)+((COUNTIF('Elève (5ème1)'!DQ9:DT9,"D"))*1))/(COUNTA(DQ9:DT9)),"")</f>
        <v>4</v>
      </c>
      <c r="DV9" s="185" t="str">
        <f t="shared" si="26"/>
        <v>A</v>
      </c>
      <c r="DW9" s="184">
        <f>IF(COUNT(DJ9,DO9,DU9)=0,"",SUM(DJ9,DO9,DU9)/COUNT(DJ9,DO9,DU9))</f>
        <v>3.5</v>
      </c>
      <c r="DX9" s="207" t="str">
        <f t="shared" si="27"/>
        <v>B</v>
      </c>
      <c r="DY9" s="129"/>
      <c r="DZ9" s="130"/>
      <c r="EA9" s="131"/>
      <c r="EB9" s="184" t="str">
        <f>IFERROR((((COUNTIF('Elève (5ème1)'!DY9:EA9,"A"))*4)+((COUNTIF('Elève (5ème1)'!DY9:EA9,"B"))*3)+((COUNTIF('Elève (5ème1)'!DY9:EA9,"C"))*2)+((COUNTIF('Elève (5ème1)'!DY9:EA9,"D"))*1))/(COUNTA(DY9:EA9)),"")</f>
        <v/>
      </c>
      <c r="EC9" s="185" t="str">
        <f t="shared" si="28"/>
        <v/>
      </c>
      <c r="ED9" s="129"/>
      <c r="EE9" s="130"/>
      <c r="EF9" s="131" t="s">
        <v>28</v>
      </c>
      <c r="EG9" s="184">
        <f>IFERROR((((COUNTIF('Elève (5ème1)'!ED9:EF9,"A"))*4)+((COUNTIF('Elève (5ème1)'!ED9:EF9,"B"))*3)+((COUNTIF('Elève (5ème1)'!ED9:EF9,"C"))*2)+((COUNTIF('Elève (5ème1)'!ED9:EF9,"D"))*1))/(COUNTA(ED9:EF9)),"")</f>
        <v>3</v>
      </c>
      <c r="EH9" s="185" t="str">
        <f t="shared" si="29"/>
        <v>B</v>
      </c>
      <c r="EI9" s="129"/>
      <c r="EJ9" s="130"/>
      <c r="EK9" s="131"/>
      <c r="EL9" s="135" t="s">
        <v>27</v>
      </c>
      <c r="EM9" s="184">
        <f>IFERROR((((COUNTIF('Elève (5ème1)'!EI9:EL9,"A"))*4)+((COUNTIF('Elève (5ème1)'!EI9:EL9,"B"))*3)+((COUNTIF('Elève (5ème1)'!EI9:EL9,"C"))*2)+((COUNTIF('Elève (5ème1)'!EI9:EL9,"D"))*1))/(COUNTA(EI9:EL9)),"")</f>
        <v>4</v>
      </c>
      <c r="EN9" s="185" t="str">
        <f t="shared" si="30"/>
        <v>A</v>
      </c>
      <c r="EO9" s="184">
        <f>IF(COUNT(EB9,EG9,EM9)=0,"",SUM(EB9,EG9,EM9)/COUNT(EB9,EG9,EM9))</f>
        <v>3.5</v>
      </c>
      <c r="EP9" s="207" t="str">
        <f t="shared" si="31"/>
        <v>B</v>
      </c>
      <c r="EQ9" s="129"/>
      <c r="ER9" s="130"/>
      <c r="ES9" s="131"/>
      <c r="ET9" s="184" t="str">
        <f>IFERROR((((COUNTIF('Elève (5ème1)'!EQ9:ES9,"A"))*4)+((COUNTIF('Elève (5ème1)'!EQ9:ES9,"B"))*3)+((COUNTIF('Elève (5ème1)'!EQ9:ES9,"C"))*2)+((COUNTIF('Elève (5ème1)'!EQ9:ES9,"D"))*1))/(COUNTA(EQ9:ES9)),"")</f>
        <v/>
      </c>
      <c r="EU9" s="185" t="str">
        <f t="shared" si="32"/>
        <v/>
      </c>
      <c r="EV9" s="129"/>
      <c r="EW9" s="130"/>
      <c r="EX9" s="131" t="s">
        <v>29</v>
      </c>
      <c r="EY9" s="184">
        <f>IFERROR((((COUNTIF('Elève (5ème1)'!EV9:EX9,"A"))*4)+((COUNTIF('Elève (5ème1)'!EV9:EX9,"B"))*3)+((COUNTIF('Elève (5ème1)'!EV9:EX9,"C"))*2)+((COUNTIF('Elève (5ème1)'!EV9:EX9,"D"))*1))/(COUNTA(EV9:EX9)),"")</f>
        <v>2</v>
      </c>
      <c r="EZ9" s="185" t="str">
        <f t="shared" si="33"/>
        <v>C</v>
      </c>
      <c r="FA9" s="129"/>
      <c r="FB9" s="130"/>
      <c r="FC9" s="131"/>
      <c r="FD9" s="135" t="s">
        <v>29</v>
      </c>
      <c r="FE9" s="184">
        <f>IFERROR((((COUNTIF('Elève (5ème1)'!FA9:FD9,"A"))*4)+((COUNTIF('Elève (5ème1)'!FA9:FD9,"B"))*3)+((COUNTIF('Elève (5ème1)'!FA9:FD9,"C"))*2)+((COUNTIF('Elève (5ème1)'!FA9:FD9,"D"))*1))/(COUNTA(FA9:FD9)),"")</f>
        <v>2</v>
      </c>
      <c r="FF9" s="185" t="str">
        <f t="shared" si="34"/>
        <v>C</v>
      </c>
      <c r="FG9" s="184">
        <f>IF(COUNT(ET9,EY9,FE9)=0,"",SUM(ET9,EY9,FE9)/COUNT(ET9,EY9,FE9))</f>
        <v>2</v>
      </c>
      <c r="FH9" s="207" t="str">
        <f t="shared" si="35"/>
        <v>C</v>
      </c>
      <c r="FI9" s="129"/>
      <c r="FJ9" s="130"/>
      <c r="FK9" s="131"/>
      <c r="FL9" s="184" t="str">
        <f>IFERROR((((COUNTIF('Elève (5ème1)'!FI9:FK9,"A"))*4)+((COUNTIF('Elève (5ème1)'!FI9:FK9,"B"))*3)+((COUNTIF('Elève (5ème1)'!FI9:FK9,"C"))*2)+((COUNTIF('Elève (5ème1)'!FI9:FK9,"D"))*1))/(COUNTA(FI9:FK9)),"")</f>
        <v/>
      </c>
      <c r="FM9" s="185" t="str">
        <f t="shared" si="36"/>
        <v/>
      </c>
      <c r="FN9" s="129"/>
      <c r="FO9" s="130"/>
      <c r="FP9" s="131"/>
      <c r="FQ9" s="184" t="str">
        <f>IFERROR((((COUNTIF('Elève (5ème1)'!FN9:FP9,"A"))*4)+((COUNTIF('Elève (5ème1)'!FN9:FP9,"B"))*3)+((COUNTIF('Elève (5ème1)'!FN9:FP9,"C"))*2)+((COUNTIF('Elève (5ème1)'!FN9:FP9,"D"))*1))/(COUNTA(FN9:FP9)),"")</f>
        <v/>
      </c>
      <c r="FR9" s="185" t="str">
        <f t="shared" si="37"/>
        <v/>
      </c>
      <c r="FS9" s="129"/>
      <c r="FT9" s="130"/>
      <c r="FU9" s="131"/>
      <c r="FV9" s="135" t="s">
        <v>28</v>
      </c>
      <c r="FW9" s="184">
        <f>IFERROR((((COUNTIF('Elève (5ème1)'!FS9:FV9,"A"))*4)+((COUNTIF('Elève (5ème1)'!FS9:FV9,"B"))*3)+((COUNTIF('Elève (5ème1)'!FS9:FV9,"C"))*2)+((COUNTIF('Elève (5ème1)'!FS9:FV9,"D"))*1))/(COUNTA(FS9:FV9)),"")</f>
        <v>3</v>
      </c>
      <c r="FX9" s="185" t="str">
        <f t="shared" si="38"/>
        <v>B</v>
      </c>
      <c r="FY9" s="184">
        <f>IF(COUNT(FL9,FQ9,FW9)=0,"",SUM(FL9,FQ9,FW9)/COUNT(FL9,FQ9,FW9))</f>
        <v>3</v>
      </c>
      <c r="FZ9" s="207" t="str">
        <f t="shared" si="39"/>
        <v>B</v>
      </c>
      <c r="GA9" s="129"/>
      <c r="GB9" s="130"/>
      <c r="GC9" s="131"/>
      <c r="GD9" s="184" t="str">
        <f>IFERROR((((COUNTIF('Elève (5ème1)'!GA9:GC9,"A"))*4)+((COUNTIF('Elève (5ème1)'!GA9:GC9,"B"))*3)+((COUNTIF('Elève (5ème1)'!GA9:GC9,"C"))*2)+((COUNTIF('Elève (5ème1)'!GA9:GC9,"D"))*1))/(COUNTA(GA9:GC9)),"")</f>
        <v/>
      </c>
      <c r="GE9" s="185" t="str">
        <f t="shared" si="40"/>
        <v/>
      </c>
      <c r="GF9" s="129"/>
      <c r="GG9" s="130"/>
      <c r="GH9" s="131" t="s">
        <v>29</v>
      </c>
      <c r="GI9" s="184">
        <f>IFERROR((((COUNTIF('Elève (5ème1)'!GF9:GH9,"A"))*4)+((COUNTIF('Elève (5ème1)'!GF9:GH9,"B"))*3)+((COUNTIF('Elève (5ème1)'!GF9:GH9,"C"))*2)+((COUNTIF('Elève (5ème1)'!GF9:GH9,"D"))*1))/(COUNTA(GF9:GH9)),"")</f>
        <v>2</v>
      </c>
      <c r="GJ9" s="185" t="str">
        <f t="shared" si="41"/>
        <v>C</v>
      </c>
      <c r="GK9" s="129"/>
      <c r="GL9" s="130"/>
      <c r="GM9" s="131"/>
      <c r="GN9" s="135" t="s">
        <v>27</v>
      </c>
      <c r="GO9" s="184">
        <f>IFERROR((((COUNTIF('Elève (5ème1)'!GK9:GN9,"A"))*4)+((COUNTIF('Elève (5ème1)'!GK9:GN9,"B"))*3)+((COUNTIF('Elève (5ème1)'!GK9:GN9,"C"))*2)+((COUNTIF('Elève (5ème1)'!GK9:GN9,"D"))*1))/(COUNTA(GK9:GN9)),"")</f>
        <v>4</v>
      </c>
      <c r="GP9" s="185" t="str">
        <f t="shared" si="42"/>
        <v>A</v>
      </c>
      <c r="GQ9" s="184">
        <f>IF(COUNT(GD9,GI9,GO9)=0,"",SUM(GD9,GI9,GO9)/COUNT(GD9,GI9,GO9))</f>
        <v>3</v>
      </c>
      <c r="GR9" s="207" t="str">
        <f t="shared" si="43"/>
        <v>B</v>
      </c>
      <c r="GS9" s="129"/>
      <c r="GT9" s="130"/>
      <c r="GU9" s="131"/>
      <c r="GV9" s="184" t="str">
        <f>IFERROR((((COUNTIF('Elève (5ème1)'!GS9:GU9,"A"))*4)+((COUNTIF('Elève (5ème1)'!GS9:GU9,"B"))*3)+((COUNTIF('Elève (5ème1)'!GS9:GU9,"C"))*2)+((COUNTIF('Elève (5ème1)'!GS9:GU9,"D"))*1))/(COUNTA(GS9:GU9)),"")</f>
        <v/>
      </c>
      <c r="GW9" s="185" t="str">
        <f t="shared" si="44"/>
        <v/>
      </c>
      <c r="GX9" s="129"/>
      <c r="GY9" s="130"/>
      <c r="GZ9" s="131" t="s">
        <v>28</v>
      </c>
      <c r="HA9" s="184">
        <f>IFERROR((((COUNTIF('Elève (5ème1)'!GX9:GZ9,"A"))*4)+((COUNTIF('Elève (5ème1)'!GX9:GZ9,"B"))*3)+((COUNTIF('Elève (5ème1)'!GX9:GZ9,"C"))*2)+((COUNTIF('Elève (5ème1)'!GX9:GZ9,"D"))*1))/(COUNTA(GX9:GZ9)),"")</f>
        <v>3</v>
      </c>
      <c r="HB9" s="185" t="str">
        <f t="shared" si="45"/>
        <v>B</v>
      </c>
      <c r="HC9" s="129"/>
      <c r="HD9" s="130"/>
      <c r="HE9" s="131"/>
      <c r="HF9" s="135" t="s">
        <v>27</v>
      </c>
      <c r="HG9" s="184">
        <f>IFERROR((((COUNTIF('Elève (5ème1)'!HC9:HF9,"A"))*4)+((COUNTIF('Elève (5ème1)'!HC9:HF9,"B"))*3)+((COUNTIF('Elève (5ème1)'!HC9:HF9,"C"))*2)+((COUNTIF('Elève (5ème1)'!HC9:HF9,"D"))*1))/(COUNTA(HC9:HF9)),"")</f>
        <v>4</v>
      </c>
      <c r="HH9" s="185" t="str">
        <f t="shared" si="46"/>
        <v>A</v>
      </c>
      <c r="HI9" s="184">
        <f>IF(COUNT(GV9,HA9,HG9)=0,"",SUM(GV9,HA9,HG9)/COUNT(GV9,HA9,HG9))</f>
        <v>3.5</v>
      </c>
      <c r="HJ9" s="207" t="str">
        <f t="shared" si="47"/>
        <v>B</v>
      </c>
      <c r="HK9" s="129"/>
      <c r="HL9" s="130"/>
      <c r="HM9" s="131"/>
      <c r="HN9" s="184" t="str">
        <f>IFERROR((((COUNTIF('Elève (5ème1)'!HK9:HM9,"A"))*4)+((COUNTIF('Elève (5ème1)'!HK9:HM9,"B"))*3)+((COUNTIF('Elève (5ème1)'!HK9:HM9,"C"))*2)+((COUNTIF('Elève (5ème1)'!HK9:HM9,"D"))*1))/(COUNTA(HK9:HM9)),"")</f>
        <v/>
      </c>
      <c r="HO9" s="185" t="str">
        <f t="shared" si="48"/>
        <v/>
      </c>
      <c r="HP9" s="129"/>
      <c r="HQ9" s="130"/>
      <c r="HR9" s="131" t="s">
        <v>29</v>
      </c>
      <c r="HS9" s="184">
        <f>IFERROR((((COUNTIF('Elève (5ème1)'!HP9:HR9,"A"))*4)+((COUNTIF('Elève (5ème1)'!HP9:HR9,"B"))*3)+((COUNTIF('Elève (5ème1)'!HP9:HR9,"C"))*2)+((COUNTIF('Elève (5ème1)'!HP9:HR9,"D"))*1))/(COUNTA(HP9:HR9)),"")</f>
        <v>2</v>
      </c>
      <c r="HT9" s="185" t="str">
        <f t="shared" si="49"/>
        <v>C</v>
      </c>
      <c r="HU9" s="129"/>
      <c r="HV9" s="130"/>
      <c r="HW9" s="131"/>
      <c r="HX9" s="135" t="s">
        <v>27</v>
      </c>
      <c r="HY9" s="184">
        <f>IFERROR((((COUNTIF('Elève (5ème1)'!HU9:HX9,"A"))*4)+((COUNTIF('Elève (5ème1)'!HU9:HX9,"B"))*3)+((COUNTIF('Elève (5ème1)'!HU9:HX9,"C"))*2)+((COUNTIF('Elève (5ème1)'!HU9:HX9,"D"))*1))/(COUNTA(HU9:HX9)),"")</f>
        <v>4</v>
      </c>
      <c r="HZ9" s="185" t="str">
        <f t="shared" si="50"/>
        <v>A</v>
      </c>
      <c r="IA9" s="184">
        <f>IF(COUNT(HN9,HS9,HY9)=0,"",SUM(HN9,HS9,HY9)/COUNT(HN9,HS9,HY9))</f>
        <v>3</v>
      </c>
      <c r="IB9" s="207" t="str">
        <f t="shared" si="51"/>
        <v>B</v>
      </c>
      <c r="IC9" s="129"/>
      <c r="ID9" s="130"/>
      <c r="IE9" s="131"/>
      <c r="IF9" s="184" t="str">
        <f>IFERROR((((COUNTIF('Elève (5ème1)'!IC9:IE9,"A"))*4)+((COUNTIF('Elève (5ème1)'!IC9:IE9,"B"))*3)+((COUNTIF('Elève (5ème1)'!IC9:IE9,"C"))*2)+((COUNTIF('Elève (5ème1)'!IC9:IE9,"D"))*1))/(COUNTA(IC9:IE9)),"")</f>
        <v/>
      </c>
      <c r="IG9" s="185" t="str">
        <f t="shared" si="52"/>
        <v/>
      </c>
      <c r="IH9" s="129"/>
      <c r="II9" s="130"/>
      <c r="IJ9" s="131" t="s">
        <v>28</v>
      </c>
      <c r="IK9" s="184">
        <f>IFERROR((((COUNTIF('Elève (5ème1)'!IH9:IJ9,"A"))*4)+((COUNTIF('Elève (5ème1)'!IH9:IJ9,"B"))*3)+((COUNTIF('Elève (5ème1)'!IH9:IJ9,"C"))*2)+((COUNTIF('Elève (5ème1)'!IH9:IJ9,"D"))*1))/(COUNTA(IH9:IJ9)),"")</f>
        <v>3</v>
      </c>
      <c r="IL9" s="185" t="str">
        <f t="shared" si="53"/>
        <v>B</v>
      </c>
      <c r="IM9" s="129"/>
      <c r="IN9" s="130"/>
      <c r="IO9" s="131"/>
      <c r="IP9" s="135" t="s">
        <v>29</v>
      </c>
      <c r="IQ9" s="184">
        <f>IFERROR((((COUNTIF('Elève (5ème1)'!IM9:IP9,"A"))*4)+((COUNTIF('Elève (5ème1)'!IM9:IP9,"B"))*3)+((COUNTIF('Elève (5ème1)'!IM9:IP9,"C"))*2)+((COUNTIF('Elève (5ème1)'!IM9:IP9,"D"))*1))/(COUNTA(IM9:IP9)),"")</f>
        <v>2</v>
      </c>
      <c r="IR9" s="185" t="str">
        <f t="shared" si="54"/>
        <v>C</v>
      </c>
      <c r="IS9" s="184">
        <f>IF(COUNT(IF9,IK9,IQ9)=0,"",SUM(IF9,IK9,IQ9)/COUNT(IF9,IK9,IQ9))</f>
        <v>2.5</v>
      </c>
      <c r="IT9" s="207" t="str">
        <f t="shared" si="55"/>
        <v>C</v>
      </c>
      <c r="IU9" s="129"/>
      <c r="IV9" s="130"/>
      <c r="IW9" s="131"/>
      <c r="IX9" s="184" t="str">
        <f>IFERROR((((COUNTIF('Elève (5ème1)'!IU9:IW9,"A"))*4)+((COUNTIF('Elève (5ème1)'!IU9:IW9,"B"))*3)+((COUNTIF('Elève (5ème1)'!IU9:IW9,"C"))*2)+((COUNTIF('Elève (5ème1)'!IU9:IW9,"D"))*1))/(COUNTA(IU9:IW9)),"")</f>
        <v/>
      </c>
      <c r="IY9" s="185" t="str">
        <f t="shared" si="56"/>
        <v/>
      </c>
      <c r="IZ9" s="129"/>
      <c r="JA9" s="130"/>
      <c r="JB9" s="131" t="s">
        <v>28</v>
      </c>
      <c r="JC9" s="184">
        <f>IFERROR((((COUNTIF('Elève (5ème1)'!IZ9:JB9,"A"))*4)+((COUNTIF('Elève (5ème1)'!IZ9:JB9,"B"))*3)+((COUNTIF('Elève (5ème1)'!IZ9:JB9,"C"))*2)+((COUNTIF('Elève (5ème1)'!IZ9:JB9,"D"))*1))/(COUNTA(IZ9:JB9)),"")</f>
        <v>3</v>
      </c>
      <c r="JD9" s="185" t="str">
        <f t="shared" si="57"/>
        <v>B</v>
      </c>
      <c r="JE9" s="129"/>
      <c r="JF9" s="130"/>
      <c r="JG9" s="131"/>
      <c r="JH9" s="135" t="s">
        <v>28</v>
      </c>
      <c r="JI9" s="184">
        <f>IFERROR((((COUNTIF('Elève (5ème1)'!JE9:JH9,"A"))*4)+((COUNTIF('Elève (5ème1)'!JE9:JH9,"B"))*3)+((COUNTIF('Elève (5ème1)'!JE9:JH9,"C"))*2)+((COUNTIF('Elève (5ème1)'!JE9:JH9,"D"))*1))/(COUNTA(JE9:JH9)),"")</f>
        <v>3</v>
      </c>
      <c r="JJ9" s="185" t="str">
        <f t="shared" si="58"/>
        <v>B</v>
      </c>
      <c r="JK9" s="184">
        <f>IF(COUNT(IX9,JC9,JI9)=0,"",SUM(IX9,JC9,JI9)/COUNT(IX9,JC9,JI9))</f>
        <v>3</v>
      </c>
      <c r="JL9" s="207" t="str">
        <f t="shared" si="59"/>
        <v>B</v>
      </c>
      <c r="JM9" s="129"/>
      <c r="JN9" s="130"/>
      <c r="JO9" s="131"/>
      <c r="JP9" s="184" t="str">
        <f>IFERROR((((COUNTIF('Elève (5ème1)'!JM9:JO9,"A"))*4)+((COUNTIF('Elève (5ème1)'!JM9:JO9,"B"))*3)+((COUNTIF('Elève (5ème1)'!JM9:JO9,"C"))*2)+((COUNTIF('Elève (5ème1)'!JM9:JO9,"D"))*1))/(COUNTA(JM9:JO9)),"")</f>
        <v/>
      </c>
      <c r="JQ9" s="185" t="str">
        <f t="shared" si="60"/>
        <v/>
      </c>
      <c r="JR9" s="129"/>
      <c r="JS9" s="130"/>
      <c r="JT9" s="131"/>
      <c r="JU9" s="184" t="str">
        <f>IFERROR((((COUNTIF('Elève (5ème1)'!JR9:JT9,"A"))*4)+((COUNTIF('Elève (5ème1)'!JR9:JT9,"B"))*3)+((COUNTIF('Elève (5ème1)'!JR9:JT9,"C"))*2)+((COUNTIF('Elève (5ème1)'!JR9:JT9,"D"))*1))/(COUNTA(JR9:JT9)),"")</f>
        <v/>
      </c>
      <c r="JV9" s="185" t="str">
        <f t="shared" si="61"/>
        <v/>
      </c>
      <c r="JW9" s="129"/>
      <c r="JX9" s="130"/>
      <c r="JY9" s="131"/>
      <c r="JZ9" s="135" t="s">
        <v>27</v>
      </c>
      <c r="KA9" s="184">
        <f>IFERROR((((COUNTIF('Elève (5ème1)'!JW9:JZ9,"A"))*4)+((COUNTIF('Elève (5ème1)'!JW9:JZ9,"B"))*3)+((COUNTIF('Elève (5ème1)'!JW9:JZ9,"C"))*2)+((COUNTIF('Elève (5ème1)'!JW9:JZ9,"D"))*1))/(COUNTA(JW9:JZ9)),"")</f>
        <v>4</v>
      </c>
      <c r="KB9" s="185" t="str">
        <f t="shared" si="62"/>
        <v>A</v>
      </c>
      <c r="KC9" s="184">
        <f>IF(COUNT(JP9,JU9,KA9)=0,"",SUM(JP9,JU9,KA9)/COUNT(JP9,JU9,KA9))</f>
        <v>4</v>
      </c>
      <c r="KD9" s="207" t="str">
        <f t="shared" si="63"/>
        <v>A</v>
      </c>
      <c r="KE9" s="129"/>
      <c r="KF9" s="130"/>
      <c r="KG9" s="131"/>
      <c r="KH9" s="184" t="str">
        <f>IFERROR((((COUNTIF('Elève (5ème1)'!KE9:KG9,"A"))*4)+((COUNTIF('Elève (5ème1)'!KE9:KG9,"B"))*3)+((COUNTIF('Elève (5ème1)'!KE9:KG9,"C"))*2)+((COUNTIF('Elève (5ème1)'!KE9:KG9,"D"))*1))/(COUNTA(KE9:KG9)),"")</f>
        <v/>
      </c>
      <c r="KI9" s="185" t="str">
        <f t="shared" si="64"/>
        <v/>
      </c>
      <c r="KJ9" s="129"/>
      <c r="KK9" s="130"/>
      <c r="KL9" s="131" t="s">
        <v>29</v>
      </c>
      <c r="KM9" s="184">
        <f>IFERROR((((COUNTIF('Elève (5ème1)'!KJ9:KL9,"A"))*4)+((COUNTIF('Elève (5ème1)'!KJ9:KL9,"B"))*3)+((COUNTIF('Elève (5ème1)'!KJ9:KL9,"C"))*2)+((COUNTIF('Elève (5ème1)'!KJ9:KL9,"D"))*1))/(COUNTA(KJ9:KL9)),"")</f>
        <v>2</v>
      </c>
      <c r="KN9" s="185" t="str">
        <f t="shared" si="65"/>
        <v>C</v>
      </c>
      <c r="KO9" s="129"/>
      <c r="KP9" s="130"/>
      <c r="KQ9" s="131"/>
      <c r="KR9" s="135" t="s">
        <v>28</v>
      </c>
      <c r="KS9" s="184">
        <f>IFERROR((((COUNTIF('Elève (5ème1)'!KO9:KR9,"A"))*4)+((COUNTIF('Elève (5ème1)'!KO9:KR9,"B"))*3)+((COUNTIF('Elève (5ème1)'!KO9:KR9,"C"))*2)+((COUNTIF('Elève (5ème1)'!KO9:KR9,"D"))*1))/(COUNTA(KO9:KR9)),"")</f>
        <v>3</v>
      </c>
      <c r="KT9" s="185" t="str">
        <f t="shared" si="66"/>
        <v>B</v>
      </c>
      <c r="KU9" s="184">
        <f>IF(COUNT(KH9,KM9,KS9)=0,"",SUM(KH9,KM9,KS9)/COUNT(KH9,KM9,KS9))</f>
        <v>2.5</v>
      </c>
      <c r="KV9" s="207" t="str">
        <f t="shared" si="67"/>
        <v>C</v>
      </c>
      <c r="KW9" s="129"/>
      <c r="KX9" s="130"/>
      <c r="KY9" s="131"/>
      <c r="KZ9" s="184" t="str">
        <f>IFERROR((((COUNTIF('Elève (5ème1)'!KW9:KY9,"A"))*4)+((COUNTIF('Elève (5ème1)'!KW9:KY9,"B"))*3)+((COUNTIF('Elève (5ème1)'!KW9:KY9,"C"))*2)+((COUNTIF('Elève (5ème1)'!KW9:KY9,"D"))*1))/(COUNTA(KW9:KY9)),"")</f>
        <v/>
      </c>
      <c r="LA9" s="185" t="str">
        <f t="shared" si="68"/>
        <v/>
      </c>
      <c r="LB9" s="129"/>
      <c r="LC9" s="130"/>
      <c r="LD9" s="131" t="s">
        <v>28</v>
      </c>
      <c r="LE9" s="184">
        <f>IFERROR((((COUNTIF('Elève (5ème1)'!LB9:LD9,"A"))*4)+((COUNTIF('Elève (5ème1)'!LB9:LD9,"B"))*3)+((COUNTIF('Elève (5ème1)'!LB9:LD9,"C"))*2)+((COUNTIF('Elève (5ème1)'!LB9:LD9,"D"))*1))/(COUNTA(LB9:LD9)),"")</f>
        <v>3</v>
      </c>
      <c r="LF9" s="185" t="str">
        <f t="shared" si="69"/>
        <v>B</v>
      </c>
      <c r="LG9" s="129"/>
      <c r="LH9" s="130"/>
      <c r="LI9" s="131"/>
      <c r="LJ9" s="135" t="s">
        <v>27</v>
      </c>
      <c r="LK9" s="184">
        <f>IFERROR((((COUNTIF('Elève (5ème1)'!LG9:LJ9,"A"))*4)+((COUNTIF('Elève (5ème1)'!LG9:LJ9,"B"))*3)+((COUNTIF('Elève (5ème1)'!LG9:LJ9,"C"))*2)+((COUNTIF('Elève (5ème1)'!LG9:LJ9,"D"))*1))/(COUNTA(LG9:LJ9)),"")</f>
        <v>4</v>
      </c>
      <c r="LL9" s="185" t="str">
        <f t="shared" si="70"/>
        <v>A</v>
      </c>
      <c r="LM9" s="184">
        <f>IF(COUNT(KZ9,LE9,LK9)=0,"",SUM(KZ9,LE9,LK9)/COUNT(KZ9,LE9,LK9))</f>
        <v>3.5</v>
      </c>
      <c r="LN9" s="207" t="str">
        <f t="shared" si="71"/>
        <v>B</v>
      </c>
      <c r="LO9" s="129"/>
      <c r="LP9" s="130"/>
      <c r="LQ9" s="131"/>
      <c r="LR9" s="184" t="str">
        <f>IFERROR((((COUNTIF('Elève (5ème1)'!LO9:LQ9,"A"))*4)+((COUNTIF('Elève (5ème1)'!LO9:LQ9,"B"))*3)+((COUNTIF('Elève (5ème1)'!LO9:LQ9,"C"))*2)+((COUNTIF('Elève (5ème1)'!LO9:LQ9,"D"))*1))/(COUNTA(LO9:LQ9)),"")</f>
        <v/>
      </c>
      <c r="LS9" s="185" t="str">
        <f t="shared" si="72"/>
        <v/>
      </c>
      <c r="LT9" s="129"/>
      <c r="LU9" s="130"/>
      <c r="LV9" s="131" t="s">
        <v>28</v>
      </c>
      <c r="LW9" s="184">
        <f>IFERROR((((COUNTIF('Elève (5ème1)'!LT9:LV9,"A"))*4)+((COUNTIF('Elève (5ème1)'!LT9:LV9,"B"))*3)+((COUNTIF('Elève (5ème1)'!LT9:LV9,"C"))*2)+((COUNTIF('Elève (5ème1)'!LT9:LV9,"D"))*1))/(COUNTA(LT9:LV9)),"")</f>
        <v>3</v>
      </c>
      <c r="LX9" s="185" t="str">
        <f t="shared" si="73"/>
        <v>B</v>
      </c>
      <c r="LY9" s="129"/>
      <c r="LZ9" s="130"/>
      <c r="MA9" s="131"/>
      <c r="MB9" s="135" t="s">
        <v>30</v>
      </c>
      <c r="MC9" s="184">
        <f>IFERROR((((COUNTIF('Elève (5ème1)'!LY9:MB9,"A"))*4)+((COUNTIF('Elève (5ème1)'!LY9:MB9,"B"))*3)+((COUNTIF('Elève (5ème1)'!LY9:MB9,"C"))*2)+((COUNTIF('Elève (5ème1)'!LY9:MB9,"D"))*1))/(COUNTA(LY9:MB9)),"")</f>
        <v>1</v>
      </c>
      <c r="MD9" s="185" t="str">
        <f t="shared" si="74"/>
        <v>D</v>
      </c>
      <c r="ME9" s="184">
        <f>IF(COUNT(LR9,LW9,MC9)=0,"",SUM(LR9,LW9,MC9)/COUNT(LR9,LW9,MC9))</f>
        <v>2</v>
      </c>
      <c r="MF9" s="207" t="str">
        <f t="shared" si="75"/>
        <v>C</v>
      </c>
      <c r="MG9" s="129"/>
      <c r="MH9" s="130"/>
      <c r="MI9" s="131"/>
      <c r="MJ9" s="184" t="str">
        <f>IFERROR((((COUNTIF('Elève (5ème1)'!MG9:MI9,"A"))*4)+((COUNTIF('Elève (5ème1)'!MG9:MI9,"B"))*3)+((COUNTIF('Elève (5ème1)'!MG9:MI9,"C"))*2)+((COUNTIF('Elève (5ème1)'!MG9:MI9,"D"))*1))/(COUNTA(MG9:MI9)),"")</f>
        <v/>
      </c>
      <c r="MK9" s="185" t="str">
        <f t="shared" si="76"/>
        <v/>
      </c>
      <c r="ML9" s="129"/>
      <c r="MM9" s="130"/>
      <c r="MN9" s="131" t="s">
        <v>29</v>
      </c>
      <c r="MO9" s="184">
        <f>IFERROR((((COUNTIF('Elève (5ème1)'!ML9:MN9,"A"))*4)+((COUNTIF('Elève (5ème1)'!ML9:MN9,"B"))*3)+((COUNTIF('Elève (5ème1)'!ML9:MN9,"C"))*2)+((COUNTIF('Elève (5ème1)'!ML9:MN9,"D"))*1))/(COUNTA(ML9:MN9)),"")</f>
        <v>2</v>
      </c>
      <c r="MP9" s="185" t="str">
        <f t="shared" si="77"/>
        <v>C</v>
      </c>
      <c r="MQ9" s="129"/>
      <c r="MR9" s="130"/>
      <c r="MS9" s="131"/>
      <c r="MT9" s="135" t="s">
        <v>29</v>
      </c>
      <c r="MU9" s="184">
        <f>IFERROR((((COUNTIF('Elève (5ème1)'!MQ9:MT9,"A"))*4)+((COUNTIF('Elève (5ème1)'!MQ9:MT9,"B"))*3)+((COUNTIF('Elève (5ème1)'!MQ9:MT9,"C"))*2)+((COUNTIF('Elève (5ème1)'!MQ9:MT9,"D"))*1))/(COUNTA(MQ9:MT9)),"")</f>
        <v>2</v>
      </c>
      <c r="MV9" s="185" t="str">
        <f t="shared" si="78"/>
        <v>C</v>
      </c>
      <c r="MW9" s="184">
        <f>IF(COUNT(MJ9,MO9,MU9)=0,"",SUM(MJ9,MO9,MU9)/COUNT(MJ9,MO9,MU9))</f>
        <v>2</v>
      </c>
      <c r="MX9" s="207" t="str">
        <f t="shared" si="79"/>
        <v>C</v>
      </c>
      <c r="MY9" s="129"/>
      <c r="MZ9" s="130"/>
      <c r="NA9" s="131"/>
      <c r="NB9" s="184" t="str">
        <f>IFERROR((((COUNTIF('Elève (5ème1)'!MY9:NA9,"A"))*4)+((COUNTIF('Elève (5ème1)'!MY9:NA9,"B"))*3)+((COUNTIF('Elève (5ème1)'!MY9:NA9,"C"))*2)+((COUNTIF('Elève (5ème1)'!MY9:NA9,"D"))*1))/(COUNTA(MY9:NA9)),"")</f>
        <v/>
      </c>
      <c r="NC9" s="185" t="str">
        <f t="shared" si="80"/>
        <v/>
      </c>
      <c r="ND9" s="129"/>
      <c r="NE9" s="130"/>
      <c r="NF9" s="131" t="s">
        <v>28</v>
      </c>
      <c r="NG9" s="184">
        <f>IFERROR((((COUNTIF('Elève (5ème1)'!ND9:NF9,"A"))*4)+((COUNTIF('Elève (5ème1)'!ND9:NF9,"B"))*3)+((COUNTIF('Elève (5ème1)'!ND9:NF9,"C"))*2)+((COUNTIF('Elève (5ème1)'!ND9:NF9,"D"))*1))/(COUNTA(ND9:NF9)),"")</f>
        <v>3</v>
      </c>
      <c r="NH9" s="185" t="str">
        <f t="shared" si="81"/>
        <v>B</v>
      </c>
      <c r="NI9" s="129"/>
      <c r="NJ9" s="130"/>
      <c r="NK9" s="131"/>
      <c r="NL9" s="135" t="s">
        <v>27</v>
      </c>
      <c r="NM9" s="184">
        <f>IFERROR((((COUNTIF('Elève (5ème1)'!NI9:NL9,"A"))*4)+((COUNTIF('Elève (5ème1)'!NI9:NL9,"B"))*3)+((COUNTIF('Elève (5ème1)'!NI9:NL9,"C"))*2)+((COUNTIF('Elève (5ème1)'!NI9:NL9,"D"))*1))/(COUNTA(NI9:NL9)),"")</f>
        <v>4</v>
      </c>
      <c r="NN9" s="185" t="str">
        <f t="shared" si="82"/>
        <v>A</v>
      </c>
      <c r="NO9" s="184">
        <f>IF(COUNT(NB9,NG9,NM9)=0,"",SUM(NB9,NG9,NM9)/COUNT(NB9,NG9,NM9))</f>
        <v>3.5</v>
      </c>
      <c r="NP9" s="207" t="str">
        <f t="shared" si="83"/>
        <v>B</v>
      </c>
      <c r="NQ9" s="129"/>
      <c r="NR9" s="130"/>
      <c r="NS9" s="131"/>
      <c r="NT9" s="184" t="str">
        <f>IFERROR((((COUNTIF('Elève (5ème1)'!NQ9:NS9,"A"))*4)+((COUNTIF('Elève (5ème1)'!NQ9:NS9,"B"))*3)+((COUNTIF('Elève (5ème1)'!NQ9:NS9,"C"))*2)+((COUNTIF('Elève (5ème1)'!NQ9:NS9,"D"))*1))/(COUNTA(NQ9:NS9)),"")</f>
        <v/>
      </c>
      <c r="NU9" s="185" t="str">
        <f t="shared" si="84"/>
        <v/>
      </c>
      <c r="NV9" s="129"/>
      <c r="NW9" s="130"/>
      <c r="NX9" s="131" t="s">
        <v>29</v>
      </c>
      <c r="NY9" s="184">
        <f>IFERROR((((COUNTIF('Elève (5ème1)'!NV9:NX9,"A"))*4)+((COUNTIF('Elève (5ème1)'!NV9:NX9,"B"))*3)+((COUNTIF('Elève (5ème1)'!NV9:NX9,"C"))*2)+((COUNTIF('Elève (5ème1)'!NV9:NX9,"D"))*1))/(COUNTA(NV9:NX9)),"")</f>
        <v>2</v>
      </c>
      <c r="NZ9" s="185" t="str">
        <f t="shared" si="85"/>
        <v>C</v>
      </c>
      <c r="OA9" s="129"/>
      <c r="OB9" s="130"/>
      <c r="OC9" s="131"/>
      <c r="OD9" s="135" t="s">
        <v>30</v>
      </c>
      <c r="OE9" s="184">
        <f>IFERROR((((COUNTIF('Elève (5ème1)'!OA9:OD9,"A"))*4)+((COUNTIF('Elève (5ème1)'!OA9:OD9,"B"))*3)+((COUNTIF('Elève (5ème1)'!OA9:OD9,"C"))*2)+((COUNTIF('Elève (5ème1)'!OA9:OD9,"D"))*1))/(COUNTA(OA9:OD9)),"")</f>
        <v>1</v>
      </c>
      <c r="OF9" s="185" t="str">
        <f t="shared" si="86"/>
        <v>D</v>
      </c>
      <c r="OG9" s="184">
        <f>IF(COUNT(NT9,NY9,OE9)=0,"",SUM(NT9,NY9,OE9)/COUNT(NT9,NY9,OE9))</f>
        <v>1.5</v>
      </c>
      <c r="OH9" s="207" t="str">
        <f t="shared" si="87"/>
        <v>D</v>
      </c>
      <c r="OI9" s="129"/>
      <c r="OJ9" s="130"/>
      <c r="OK9" s="131"/>
      <c r="OL9" s="184" t="str">
        <f>IFERROR((((COUNTIF('Elève (5ème1)'!OI9:OK9,"A"))*4)+((COUNTIF('Elève (5ème1)'!OI9:OK9,"B"))*3)+((COUNTIF('Elève (5ème1)'!OI9:OK9,"C"))*2)+((COUNTIF('Elève (5ème1)'!OI9:OK9,"D"))*1))/(COUNTA(OI9:OK9)),"")</f>
        <v/>
      </c>
      <c r="OM9" s="185" t="str">
        <f t="shared" si="88"/>
        <v/>
      </c>
      <c r="ON9" s="129"/>
      <c r="OO9" s="130"/>
      <c r="OP9" s="131" t="s">
        <v>28</v>
      </c>
      <c r="OQ9" s="184">
        <f>IFERROR((((COUNTIF('Elève (5ème1)'!ON9:OP9,"A"))*4)+((COUNTIF('Elève (5ème1)'!ON9:OP9,"B"))*3)+((COUNTIF('Elève (5ème1)'!ON9:OP9,"C"))*2)+((COUNTIF('Elève (5ème1)'!ON9:OP9,"D"))*1))/(COUNTA(ON9:OP9)),"")</f>
        <v>3</v>
      </c>
      <c r="OR9" s="185" t="str">
        <f t="shared" si="89"/>
        <v>B</v>
      </c>
      <c r="OS9" s="129"/>
      <c r="OT9" s="130"/>
      <c r="OU9" s="131"/>
      <c r="OV9" s="135" t="s">
        <v>28</v>
      </c>
      <c r="OW9" s="184">
        <f>IFERROR((((COUNTIF('Elève (5ème1)'!OS9:OV9,"A"))*4)+((COUNTIF('Elève (5ème1)'!OS9:OV9,"B"))*3)+((COUNTIF('Elève (5ème1)'!OS9:OV9,"C"))*2)+((COUNTIF('Elève (5ème1)'!OS9:OV9,"D"))*1))/(COUNTA(OS9:OV9)),"")</f>
        <v>3</v>
      </c>
      <c r="OX9" s="185" t="str">
        <f t="shared" si="90"/>
        <v>B</v>
      </c>
      <c r="OY9" s="184">
        <f>IF(COUNT(OL9,OQ9,OW9)=0,"",SUM(OL9,OQ9,OW9)/COUNT(OL9,OQ9,OW9))</f>
        <v>3</v>
      </c>
      <c r="OZ9" s="207" t="str">
        <f t="shared" si="91"/>
        <v>B</v>
      </c>
      <c r="PA9" s="129"/>
      <c r="PB9" s="130"/>
      <c r="PC9" s="131"/>
      <c r="PD9" s="184" t="str">
        <f>IFERROR((((COUNTIF('Elève (5ème1)'!PA9:PC9,"A"))*4)+((COUNTIF('Elève (5ème1)'!PA9:PC9,"B"))*3)+((COUNTIF('Elève (5ème1)'!PA9:PC9,"C"))*2)+((COUNTIF('Elève (5ème1)'!PA9:PC9,"D"))*1))/(COUNTA(PA9:PC9)),"")</f>
        <v/>
      </c>
      <c r="PE9" s="185" t="str">
        <f t="shared" si="92"/>
        <v/>
      </c>
      <c r="PF9" s="129"/>
      <c r="PG9" s="130"/>
      <c r="PH9" s="131" t="s">
        <v>29</v>
      </c>
      <c r="PI9" s="184">
        <f>IFERROR((((COUNTIF('Elève (5ème1)'!PF9:PH9,"A"))*4)+((COUNTIF('Elève (5ème1)'!PF9:PH9,"B"))*3)+((COUNTIF('Elève (5ème1)'!PF9:PH9,"C"))*2)+((COUNTIF('Elève (5ème1)'!PF9:PH9,"D"))*1))/(COUNTA(PF9:PH9)),"")</f>
        <v>2</v>
      </c>
      <c r="PJ9" s="185" t="str">
        <f t="shared" si="93"/>
        <v>C</v>
      </c>
      <c r="PK9" s="129"/>
      <c r="PL9" s="130"/>
      <c r="PM9" s="131"/>
      <c r="PN9" s="135" t="s">
        <v>29</v>
      </c>
      <c r="PO9" s="184">
        <f>IFERROR((((COUNTIF('Elève (5ème1)'!PK9:PN9,"A"))*4)+((COUNTIF('Elève (5ème1)'!PK9:PN9,"B"))*3)+((COUNTIF('Elève (5ème1)'!PK9:PN9,"C"))*2)+((COUNTIF('Elève (5ème1)'!PK9:PN9,"D"))*1))/(COUNTA(PK9:PN9)),"")</f>
        <v>2</v>
      </c>
      <c r="PP9" s="185" t="str">
        <f t="shared" si="94"/>
        <v>C</v>
      </c>
      <c r="PQ9" s="184">
        <f>IF(COUNT(PD9,PI9,PO9)=0,"",SUM(PD9,PI9,PO9)/COUNT(PD9,PI9,PO9))</f>
        <v>2</v>
      </c>
      <c r="PR9" s="207" t="str">
        <f t="shared" si="95"/>
        <v>C</v>
      </c>
      <c r="PS9" s="129"/>
      <c r="PT9" s="130"/>
      <c r="PU9" s="131"/>
      <c r="PV9" s="184" t="str">
        <f>IFERROR((((COUNTIF('Elève (5ème1)'!PS9:PU9,"A"))*4)+((COUNTIF('Elève (5ème1)'!PS9:PU9,"B"))*3)+((COUNTIF('Elève (5ème1)'!PS9:PU9,"C"))*2)+((COUNTIF('Elève (5ème1)'!PS9:PU9,"D"))*1))/(COUNTA(PS9:PU9)),"")</f>
        <v/>
      </c>
      <c r="PW9" s="185" t="str">
        <f t="shared" si="96"/>
        <v/>
      </c>
      <c r="PX9" s="129"/>
      <c r="PY9" s="130"/>
      <c r="PZ9" s="131" t="s">
        <v>28</v>
      </c>
      <c r="QA9" s="184">
        <f>IFERROR((((COUNTIF('Elève (5ème1)'!PX9:PZ9,"A"))*4)+((COUNTIF('Elève (5ème1)'!PX9:PZ9,"B"))*3)+((COUNTIF('Elève (5ème1)'!PX9:PZ9,"C"))*2)+((COUNTIF('Elève (5ème1)'!PX9:PZ9,"D"))*1))/(COUNTA(PX9:PZ9)),"")</f>
        <v>3</v>
      </c>
      <c r="QB9" s="185" t="str">
        <f t="shared" si="97"/>
        <v>B</v>
      </c>
      <c r="QC9" s="129"/>
      <c r="QD9" s="130"/>
      <c r="QE9" s="131"/>
      <c r="QF9" s="135" t="s">
        <v>27</v>
      </c>
      <c r="QG9" s="184">
        <f>IFERROR((((COUNTIF('Elève (5ème1)'!QC9:QF9,"A"))*4)+((COUNTIF('Elève (5ème1)'!QC9:QF9,"B"))*3)+((COUNTIF('Elève (5ème1)'!QC9:QF9,"C"))*2)+((COUNTIF('Elève (5ème1)'!QC9:QF9,"D"))*1))/(COUNTA(QC9:QF9)),"")</f>
        <v>4</v>
      </c>
      <c r="QH9" s="185" t="str">
        <f t="shared" si="98"/>
        <v>A</v>
      </c>
      <c r="QI9" s="184">
        <f>IF(COUNT(PV9,QA9,QG9)=0,"",SUM(PV9,QA9,QG9)/COUNT(PV9,QA9,QG9))</f>
        <v>3.5</v>
      </c>
      <c r="QJ9" s="207" t="str">
        <f t="shared" si="99"/>
        <v>B</v>
      </c>
      <c r="QK9" s="129"/>
      <c r="QL9" s="130"/>
      <c r="QM9" s="131"/>
      <c r="QN9" s="184" t="str">
        <f>IFERROR((((COUNTIF('Elève (5ème1)'!QK9:QM9,"A"))*4)+((COUNTIF('Elève (5ème1)'!QK9:QM9,"B"))*3)+((COUNTIF('Elève (5ème1)'!QK9:QM9,"C"))*2)+((COUNTIF('Elève (5ème1)'!QK9:QM9,"D"))*1))/(COUNTA(QK9:QM9)),"")</f>
        <v/>
      </c>
      <c r="QO9" s="185" t="str">
        <f t="shared" si="100"/>
        <v/>
      </c>
      <c r="QP9" s="129"/>
      <c r="QQ9" s="130"/>
      <c r="QR9" s="131" t="s">
        <v>28</v>
      </c>
      <c r="QS9" s="184">
        <f>IFERROR((((COUNTIF('Elève (5ème1)'!QP9:QR9,"A"))*4)+((COUNTIF('Elève (5ème1)'!QP9:QR9,"B"))*3)+((COUNTIF('Elève (5ème1)'!QP9:QR9,"C"))*2)+((COUNTIF('Elève (5ème1)'!QP9:QR9,"D"))*1))/(COUNTA(QP9:QR9)),"")</f>
        <v>3</v>
      </c>
      <c r="QT9" s="185" t="str">
        <f t="shared" si="101"/>
        <v>B</v>
      </c>
      <c r="QU9" s="129"/>
      <c r="QV9" s="130"/>
      <c r="QW9" s="131"/>
      <c r="QX9" s="135" t="s">
        <v>28</v>
      </c>
      <c r="QY9" s="184">
        <f>IFERROR((((COUNTIF('Elève (5ème1)'!QU9:QX9,"A"))*4)+((COUNTIF('Elève (5ème1)'!QU9:QX9,"B"))*3)+((COUNTIF('Elève (5ème1)'!QU9:QX9,"C"))*2)+((COUNTIF('Elève (5ème1)'!QU9:QX9,"D"))*1))/(COUNTA(QU9:QX9)),"")</f>
        <v>3</v>
      </c>
      <c r="QZ9" s="185" t="str">
        <f t="shared" si="102"/>
        <v>B</v>
      </c>
      <c r="RA9" s="184">
        <f>IF(COUNT(QN9,QS9,QY9)=0,"",SUM(QN9,QS9,QY9)/COUNT(QN9,QS9,QY9))</f>
        <v>3</v>
      </c>
      <c r="RB9" s="207" t="str">
        <f t="shared" si="103"/>
        <v>B</v>
      </c>
      <c r="RC9" s="129"/>
      <c r="RD9" s="130"/>
      <c r="RE9" s="131"/>
      <c r="RF9" s="184" t="str">
        <f>IFERROR((((COUNTIF('Elève (5ème1)'!RC9:RE9,"A"))*4)+((COUNTIF('Elève (5ème1)'!RC9:RE9,"B"))*3)+((COUNTIF('Elève (5ème1)'!RC9:RE9,"C"))*2)+((COUNTIF('Elève (5ème1)'!RC9:RE9,"D"))*1))/(COUNTA(RC9:RE9)),"")</f>
        <v/>
      </c>
      <c r="RG9" s="185" t="str">
        <f t="shared" si="104"/>
        <v/>
      </c>
      <c r="RH9" s="129"/>
      <c r="RI9" s="130"/>
      <c r="RJ9" s="131" t="s">
        <v>28</v>
      </c>
      <c r="RK9" s="184">
        <f>IFERROR((((COUNTIF('Elève (5ème1)'!RH9:RJ9,"A"))*4)+((COUNTIF('Elève (5ème1)'!RH9:RJ9,"B"))*3)+((COUNTIF('Elève (5ème1)'!RH9:RJ9,"C"))*2)+((COUNTIF('Elève (5ème1)'!RH9:RJ9,"D"))*1))/(COUNTA(RH9:RJ9)),"")</f>
        <v>3</v>
      </c>
      <c r="RL9" s="185" t="str">
        <f t="shared" si="105"/>
        <v>B</v>
      </c>
      <c r="RM9" s="129"/>
      <c r="RN9" s="130"/>
      <c r="RO9" s="131"/>
      <c r="RP9" s="135" t="s">
        <v>29</v>
      </c>
      <c r="RQ9" s="184">
        <f>IFERROR((((COUNTIF('Elève (5ème1)'!RM9:RP9,"A"))*4)+((COUNTIF('Elève (5ème1)'!RM9:RP9,"B"))*3)+((COUNTIF('Elève (5ème1)'!RM9:RP9,"C"))*2)+((COUNTIF('Elève (5ème1)'!RM9:RP9,"D"))*1))/(COUNTA(RM9:RP9)),"")</f>
        <v>2</v>
      </c>
      <c r="RR9" s="185" t="str">
        <f t="shared" si="106"/>
        <v>C</v>
      </c>
      <c r="RS9" s="184">
        <f>IF(COUNT(RF9,RK9,RQ9)=0,"",SUM(RF9,RK9,RQ9)/COUNT(RF9,RK9,RQ9))</f>
        <v>2.5</v>
      </c>
      <c r="RT9" s="207" t="str">
        <f t="shared" si="107"/>
        <v>C</v>
      </c>
      <c r="RU9" s="129"/>
      <c r="RV9" s="130"/>
      <c r="RW9" s="131"/>
      <c r="RX9" s="184" t="str">
        <f>IFERROR((((COUNTIF('Elève (5ème1)'!RU9:RW9,"A"))*4)+((COUNTIF('Elève (5ème1)'!RU9:RW9,"B"))*3)+((COUNTIF('Elève (5ème1)'!RU9:RW9,"C"))*2)+((COUNTIF('Elève (5ème1)'!RU9:RW9,"D"))*1))/(COUNTA(RU9:RW9)),"")</f>
        <v/>
      </c>
      <c r="RY9" s="185" t="str">
        <f t="shared" si="108"/>
        <v/>
      </c>
      <c r="RZ9" s="129"/>
      <c r="SA9" s="130"/>
      <c r="SB9" s="131" t="s">
        <v>28</v>
      </c>
      <c r="SC9" s="184">
        <f>IFERROR((((COUNTIF('Elève (5ème1)'!RZ9:SB9,"A"))*4)+((COUNTIF('Elève (5ème1)'!RZ9:SB9,"B"))*3)+((COUNTIF('Elève (5ème1)'!RZ9:SB9,"C"))*2)+((COUNTIF('Elève (5ème1)'!RZ9:SB9,"D"))*1))/(COUNTA(RZ9:SB9)),"")</f>
        <v>3</v>
      </c>
      <c r="SD9" s="185" t="str">
        <f t="shared" si="109"/>
        <v>B</v>
      </c>
      <c r="SE9" s="129"/>
      <c r="SF9" s="130"/>
      <c r="SG9" s="131"/>
      <c r="SH9" s="135" t="s">
        <v>27</v>
      </c>
      <c r="SI9" s="184">
        <f>IFERROR((((COUNTIF('Elève (5ème1)'!SE9:SH9,"A"))*4)+((COUNTIF('Elève (5ème1)'!SE9:SH9,"B"))*3)+((COUNTIF('Elève (5ème1)'!SE9:SH9,"C"))*2)+((COUNTIF('Elève (5ème1)'!SE9:SH9,"D"))*1))/(COUNTA(SE9:SH9)),"")</f>
        <v>4</v>
      </c>
      <c r="SJ9" s="185" t="str">
        <f t="shared" si="110"/>
        <v>A</v>
      </c>
      <c r="SK9" s="184">
        <f>IF(COUNT(RX9,SC9,SI9)=0,"",SUM(RX9,SC9,SI9)/COUNT(RX9,SC9,SI9))</f>
        <v>3.5</v>
      </c>
      <c r="SL9" s="207" t="str">
        <f t="shared" si="111"/>
        <v>B</v>
      </c>
      <c r="SM9" s="129"/>
      <c r="SN9" s="130"/>
      <c r="SO9" s="131"/>
      <c r="SP9" s="184" t="str">
        <f>IFERROR((((COUNTIF('Elève (5ème1)'!SM9:SO9,"A"))*4)+((COUNTIF('Elève (5ème1)'!SM9:SO9,"B"))*3)+((COUNTIF('Elève (5ème1)'!SM9:SO9,"C"))*2)+((COUNTIF('Elève (5ème1)'!SM9:SO9,"D"))*1))/(COUNTA(SM9:SO9)),"")</f>
        <v/>
      </c>
      <c r="SQ9" s="185" t="str">
        <f t="shared" si="112"/>
        <v/>
      </c>
      <c r="SR9" s="129"/>
      <c r="SS9" s="130"/>
      <c r="ST9" s="131" t="s">
        <v>28</v>
      </c>
      <c r="SU9" s="184">
        <f>IFERROR((((COUNTIF('Elève (5ème1)'!SR9:ST9,"A"))*4)+((COUNTIF('Elève (5ème1)'!SR9:ST9,"B"))*3)+((COUNTIF('Elève (5ème1)'!SR9:ST9,"C"))*2)+((COUNTIF('Elève (5ème1)'!SR9:ST9,"D"))*1))/(COUNTA(SR9:ST9)),"")</f>
        <v>3</v>
      </c>
      <c r="SV9" s="185" t="str">
        <f t="shared" si="113"/>
        <v>B</v>
      </c>
      <c r="SW9" s="129"/>
      <c r="SX9" s="130"/>
      <c r="SY9" s="131"/>
      <c r="SZ9" s="135"/>
      <c r="TA9" s="184" t="str">
        <f>IFERROR((((COUNTIF('Elève (5ème1)'!SW9:SZ9,"A"))*4)+((COUNTIF('Elève (5ème1)'!SW9:SZ9,"B"))*3)+((COUNTIF('Elève (5ème1)'!SW9:SZ9,"C"))*2)+((COUNTIF('Elève (5ème1)'!SW9:SZ9,"D"))*1))/(COUNTA(SW9:SZ9)),"")</f>
        <v/>
      </c>
      <c r="TB9" s="185" t="str">
        <f t="shared" si="114"/>
        <v/>
      </c>
      <c r="TC9" s="184">
        <f>IF(COUNT(SP9,SU9,TA9)=0,"",SUM(SP9,SU9,TA9)/COUNT(SP9,SU9,TA9))</f>
        <v>3</v>
      </c>
      <c r="TD9" s="207" t="str">
        <f t="shared" si="115"/>
        <v>B</v>
      </c>
      <c r="TE9" s="129"/>
      <c r="TF9" s="130"/>
      <c r="TG9" s="131"/>
      <c r="TH9" s="184" t="str">
        <f>IFERROR((((COUNTIF('Elève (5ème1)'!TE9:TG9,"A"))*4)+((COUNTIF('Elève (5ème1)'!TE9:TG9,"B"))*3)+((COUNTIF('Elève (5ème1)'!TE9:TG9,"C"))*2)+((COUNTIF('Elève (5ème1)'!TE9:TG9,"D"))*1))/(COUNTA(TE9:TG9)),"")</f>
        <v/>
      </c>
      <c r="TI9" s="185" t="str">
        <f t="shared" si="116"/>
        <v/>
      </c>
      <c r="TJ9" s="129"/>
      <c r="TK9" s="130"/>
      <c r="TL9" s="131" t="s">
        <v>29</v>
      </c>
      <c r="TM9" s="184">
        <f>IFERROR((((COUNTIF('Elève (5ème1)'!TJ9:TL9,"A"))*4)+((COUNTIF('Elève (5ème1)'!TJ9:TL9,"B"))*3)+((COUNTIF('Elève (5ème1)'!TJ9:TL9,"C"))*2)+((COUNTIF('Elève (5ème1)'!TJ9:TL9,"D"))*1))/(COUNTA(TJ9:TL9)),"")</f>
        <v>2</v>
      </c>
      <c r="TN9" s="185" t="str">
        <f t="shared" si="117"/>
        <v>C</v>
      </c>
      <c r="TO9" s="129"/>
      <c r="TP9" s="130"/>
      <c r="TQ9" s="131"/>
      <c r="TR9" s="135" t="s">
        <v>28</v>
      </c>
      <c r="TS9" s="184">
        <f>IFERROR((((COUNTIF('Elève (5ème1)'!TO9:TR9,"A"))*4)+((COUNTIF('Elève (5ème1)'!TO9:TR9,"B"))*3)+((COUNTIF('Elève (5ème1)'!TO9:TR9,"C"))*2)+((COUNTIF('Elève (5ème1)'!TO9:TR9,"D"))*1))/(COUNTA(TO9:TR9)),"")</f>
        <v>3</v>
      </c>
      <c r="TT9" s="185" t="str">
        <f t="shared" si="118"/>
        <v>B</v>
      </c>
      <c r="TU9" s="184">
        <f>IF(COUNT(TH9,TM9,TS9)=0,"",SUM(TH9,TM9,TS9)/COUNT(TH9,TM9,TS9))</f>
        <v>2.5</v>
      </c>
      <c r="TV9" s="207" t="str">
        <f t="shared" si="119"/>
        <v>C</v>
      </c>
    </row>
    <row r="10" spans="1:542" s="137" customFormat="1" ht="17.25" customHeight="1" thickBot="1" x14ac:dyDescent="0.3">
      <c r="A10" s="163" t="s">
        <v>17</v>
      </c>
      <c r="B10" s="102">
        <v>1</v>
      </c>
      <c r="C10" s="172"/>
      <c r="D10" s="109"/>
      <c r="E10" s="110"/>
      <c r="F10" s="178" t="str">
        <f>IF(COUNT(F11:F12)=0,"",SUM(F11:F12)/COUNT(F11:F12))</f>
        <v/>
      </c>
      <c r="G10" s="179" t="str">
        <f t="shared" si="0"/>
        <v/>
      </c>
      <c r="H10" s="172"/>
      <c r="I10" s="109"/>
      <c r="J10" s="109"/>
      <c r="K10" s="178">
        <f>IF(COUNT(K11,K12)=0,"",SUM(K11:K12)/COUNT(K11,K12))</f>
        <v>3.3333333333333335</v>
      </c>
      <c r="L10" s="194" t="str">
        <f t="shared" si="1"/>
        <v>B</v>
      </c>
      <c r="M10" s="172"/>
      <c r="N10" s="109"/>
      <c r="O10" s="109"/>
      <c r="P10" s="110"/>
      <c r="Q10" s="178">
        <f>IF(COUNT(Q11,Q12)=0,"",SUM(Q11:Q12)/COUNT(Q11,Q12))</f>
        <v>3.3333333333333335</v>
      </c>
      <c r="R10" s="202" t="str">
        <f t="shared" si="2"/>
        <v>B</v>
      </c>
      <c r="S10" s="203">
        <f>IF(COUNT(S11:S12)=0,"",SUM(S11:S12)/COUNT(S11:S12))</f>
        <v>3.3333333333333335</v>
      </c>
      <c r="T10" s="204" t="str">
        <f t="shared" si="3"/>
        <v>B</v>
      </c>
      <c r="U10" s="214"/>
      <c r="V10" s="109"/>
      <c r="W10" s="110"/>
      <c r="X10" s="178" t="str">
        <f>IF(COUNT(X11:X12)=0,"",SUM(X11:X12)/COUNT(X11:X12))</f>
        <v/>
      </c>
      <c r="Y10" s="179" t="str">
        <f t="shared" si="4"/>
        <v/>
      </c>
      <c r="Z10" s="172"/>
      <c r="AA10" s="109"/>
      <c r="AB10" s="109"/>
      <c r="AC10" s="178">
        <f>IF(COUNT(AC11,AC12)=0,"",SUM(AC11:AC12)/COUNT(AC11,AC12))</f>
        <v>3.6666666666666665</v>
      </c>
      <c r="AD10" s="194" t="str">
        <f t="shared" si="5"/>
        <v>B</v>
      </c>
      <c r="AE10" s="172"/>
      <c r="AF10" s="109"/>
      <c r="AG10" s="109"/>
      <c r="AH10" s="110"/>
      <c r="AI10" s="178">
        <f>IF(COUNT(AI11,AI12)=0,"",SUM(AI11:AI12)/COUNT(AI11,AI12))</f>
        <v>3</v>
      </c>
      <c r="AJ10" s="202" t="str">
        <f t="shared" si="6"/>
        <v>B</v>
      </c>
      <c r="AK10" s="203">
        <f>IF(COUNT(AK11:AK12)=0,"",SUM(AK11:AK12)/COUNT(AK11:AK12))</f>
        <v>3.333333333333333</v>
      </c>
      <c r="AL10" s="204" t="str">
        <f t="shared" si="7"/>
        <v>B</v>
      </c>
      <c r="AM10" s="214"/>
      <c r="AN10" s="109"/>
      <c r="AO10" s="110"/>
      <c r="AP10" s="178" t="str">
        <f>IF(COUNT(AP11:AP12)=0,"",SUM(AP11:AP12)/COUNT(AP11:AP12))</f>
        <v/>
      </c>
      <c r="AQ10" s="179" t="str">
        <f t="shared" si="8"/>
        <v/>
      </c>
      <c r="AR10" s="172"/>
      <c r="AS10" s="109"/>
      <c r="AT10" s="109"/>
      <c r="AU10" s="178">
        <f>IF(COUNT(AU11,AU12)=0,"",SUM(AU11:AU12)/COUNT(AU11,AU12))</f>
        <v>2.6666666666666665</v>
      </c>
      <c r="AV10" s="194" t="str">
        <f t="shared" si="9"/>
        <v>C</v>
      </c>
      <c r="AW10" s="172"/>
      <c r="AX10" s="109"/>
      <c r="AY10" s="109"/>
      <c r="AZ10" s="110"/>
      <c r="BA10" s="178">
        <f>IF(COUNT(BA11,BA12)=0,"",SUM(BA11:BA12)/COUNT(BA11,BA12))</f>
        <v>3.3333333333333335</v>
      </c>
      <c r="BB10" s="202" t="str">
        <f t="shared" si="10"/>
        <v>B</v>
      </c>
      <c r="BC10" s="203">
        <f>IF(COUNT(BC11:BC12)=0,"",SUM(BC11:BC12)/COUNT(BC11:BC12))</f>
        <v>3</v>
      </c>
      <c r="BD10" s="204" t="str">
        <f t="shared" si="11"/>
        <v>B</v>
      </c>
      <c r="BE10" s="214"/>
      <c r="BF10" s="109"/>
      <c r="BG10" s="110"/>
      <c r="BH10" s="178" t="str">
        <f>IF(COUNT(BH11:BH12)=0,"",SUM(BH11:BH12)/COUNT(BH11:BH12))</f>
        <v/>
      </c>
      <c r="BI10" s="179" t="str">
        <f t="shared" si="12"/>
        <v/>
      </c>
      <c r="BJ10" s="172"/>
      <c r="BK10" s="109"/>
      <c r="BL10" s="109"/>
      <c r="BM10" s="178">
        <f>IF(COUNT(BM11,BM12)=0,"",SUM(BM11:BM12)/COUNT(BM11,BM12))</f>
        <v>4</v>
      </c>
      <c r="BN10" s="194" t="str">
        <f t="shared" si="13"/>
        <v>A</v>
      </c>
      <c r="BO10" s="172"/>
      <c r="BP10" s="109"/>
      <c r="BQ10" s="109"/>
      <c r="BR10" s="110"/>
      <c r="BS10" s="178">
        <f>IF(COUNT(BS11,BS12)=0,"",SUM(BS11:BS12)/COUNT(BS11,BS12))</f>
        <v>3.25</v>
      </c>
      <c r="BT10" s="202" t="str">
        <f t="shared" si="14"/>
        <v>B</v>
      </c>
      <c r="BU10" s="203">
        <f>IF(COUNT(BU11:BU12)=0,"",SUM(BU11:BU12)/COUNT(BU11:BU12))</f>
        <v>3.375</v>
      </c>
      <c r="BV10" s="204" t="str">
        <f t="shared" si="15"/>
        <v>B</v>
      </c>
      <c r="BW10" s="214"/>
      <c r="BX10" s="109"/>
      <c r="BY10" s="110"/>
      <c r="BZ10" s="178" t="str">
        <f>IF(COUNT(BZ11:BZ12)=0,"",SUM(BZ11:BZ12)/COUNT(BZ11:BZ12))</f>
        <v/>
      </c>
      <c r="CA10" s="179" t="str">
        <f t="shared" si="16"/>
        <v/>
      </c>
      <c r="CB10" s="172"/>
      <c r="CC10" s="109"/>
      <c r="CD10" s="109"/>
      <c r="CE10" s="178">
        <f>IF(COUNT(CE11,CE12)=0,"",SUM(CE11:CE12)/COUNT(CE11,CE12))</f>
        <v>3.3333333333333335</v>
      </c>
      <c r="CF10" s="194" t="str">
        <f t="shared" si="17"/>
        <v>B</v>
      </c>
      <c r="CG10" s="172"/>
      <c r="CH10" s="109"/>
      <c r="CI10" s="109"/>
      <c r="CJ10" s="110"/>
      <c r="CK10" s="178">
        <f>IF(COUNT(CK11,CK12)=0,"",SUM(CK11:CK12)/COUNT(CK11,CK12))</f>
        <v>3.6666666666666665</v>
      </c>
      <c r="CL10" s="202" t="str">
        <f t="shared" si="18"/>
        <v>B</v>
      </c>
      <c r="CM10" s="203">
        <f>IF(COUNT(CM11:CM12)=0,"",SUM(CM11:CM12)/COUNT(CM11:CM12))</f>
        <v>3.5</v>
      </c>
      <c r="CN10" s="204" t="str">
        <f t="shared" si="19"/>
        <v>B</v>
      </c>
      <c r="CO10" s="214"/>
      <c r="CP10" s="109"/>
      <c r="CQ10" s="110"/>
      <c r="CR10" s="178" t="str">
        <f>IF(COUNT(CR11:CR12)=0,"",SUM(CR11:CR12)/COUNT(CR11:CR12))</f>
        <v/>
      </c>
      <c r="CS10" s="179" t="str">
        <f t="shared" si="20"/>
        <v/>
      </c>
      <c r="CT10" s="172"/>
      <c r="CU10" s="109"/>
      <c r="CV10" s="109"/>
      <c r="CW10" s="178">
        <f>IF(COUNT(CW11,CW12)=0,"",SUM(CW11:CW12)/COUNT(CW11,CW12))</f>
        <v>2.6666666666666665</v>
      </c>
      <c r="CX10" s="194" t="str">
        <f t="shared" si="21"/>
        <v>C</v>
      </c>
      <c r="CY10" s="172"/>
      <c r="CZ10" s="109"/>
      <c r="DA10" s="109"/>
      <c r="DB10" s="110"/>
      <c r="DC10" s="178">
        <f>IF(COUNT(DC11,DC12)=0,"",SUM(DC11:DC12)/COUNT(DC11,DC12))</f>
        <v>2.6666666666666665</v>
      </c>
      <c r="DD10" s="202" t="str">
        <f t="shared" si="22"/>
        <v>C</v>
      </c>
      <c r="DE10" s="203">
        <f>IF(COUNT(DE11:DE12)=0,"",SUM(DE11:DE12)/COUNT(DE11:DE12))</f>
        <v>2.6666666666666665</v>
      </c>
      <c r="DF10" s="204" t="str">
        <f t="shared" si="23"/>
        <v>C</v>
      </c>
      <c r="DG10" s="214"/>
      <c r="DH10" s="109"/>
      <c r="DI10" s="110"/>
      <c r="DJ10" s="178" t="str">
        <f>IF(COUNT(DJ11:DJ12)=0,"",SUM(DJ11:DJ12)/COUNT(DJ11:DJ12))</f>
        <v/>
      </c>
      <c r="DK10" s="179" t="str">
        <f t="shared" si="24"/>
        <v/>
      </c>
      <c r="DL10" s="172"/>
      <c r="DM10" s="109"/>
      <c r="DN10" s="109"/>
      <c r="DO10" s="178">
        <f>IF(COUNT(DO11,DO12)=0,"",SUM(DO11:DO12)/COUNT(DO11,DO12))</f>
        <v>4</v>
      </c>
      <c r="DP10" s="194" t="str">
        <f t="shared" si="25"/>
        <v>A</v>
      </c>
      <c r="DQ10" s="172"/>
      <c r="DR10" s="109"/>
      <c r="DS10" s="109"/>
      <c r="DT10" s="110"/>
      <c r="DU10" s="178">
        <f>IF(COUNT(DU11,DU12)=0,"",SUM(DU11:DU12)/COUNT(DU11,DU12))</f>
        <v>4</v>
      </c>
      <c r="DV10" s="202" t="str">
        <f t="shared" si="26"/>
        <v>A</v>
      </c>
      <c r="DW10" s="203">
        <f>IF(COUNT(DW11:DW12)=0,"",SUM(DW11:DW12)/COUNT(DW11:DW12))</f>
        <v>4</v>
      </c>
      <c r="DX10" s="204" t="str">
        <f t="shared" si="27"/>
        <v>A</v>
      </c>
      <c r="DY10" s="214"/>
      <c r="DZ10" s="109"/>
      <c r="EA10" s="110"/>
      <c r="EB10" s="178" t="str">
        <f>IF(COUNT(EB11:EB12)=0,"",SUM(EB11:EB12)/COUNT(EB11:EB12))</f>
        <v/>
      </c>
      <c r="EC10" s="179" t="str">
        <f t="shared" si="28"/>
        <v/>
      </c>
      <c r="ED10" s="172"/>
      <c r="EE10" s="109"/>
      <c r="EF10" s="109"/>
      <c r="EG10" s="178">
        <f>IF(COUNT(EG11,EG12)=0,"",SUM(EG11:EG12)/COUNT(EG11,EG12))</f>
        <v>3.3333333333333335</v>
      </c>
      <c r="EH10" s="194" t="str">
        <f t="shared" si="29"/>
        <v>B</v>
      </c>
      <c r="EI10" s="172"/>
      <c r="EJ10" s="109"/>
      <c r="EK10" s="109"/>
      <c r="EL10" s="110"/>
      <c r="EM10" s="178">
        <f>IF(COUNT(EM11,EM12)=0,"",SUM(EM11:EM12)/COUNT(EM11,EM12))</f>
        <v>3.6666666666666665</v>
      </c>
      <c r="EN10" s="202" t="str">
        <f t="shared" si="30"/>
        <v>B</v>
      </c>
      <c r="EO10" s="203">
        <f>IF(COUNT(EO11:EO12)=0,"",SUM(EO11:EO12)/COUNT(EO11:EO12))</f>
        <v>3.5</v>
      </c>
      <c r="EP10" s="204" t="str">
        <f t="shared" si="31"/>
        <v>B</v>
      </c>
      <c r="EQ10" s="214"/>
      <c r="ER10" s="109"/>
      <c r="ES10" s="110"/>
      <c r="ET10" s="178" t="str">
        <f>IF(COUNT(ET11:ET12)=0,"",SUM(ET11:ET12)/COUNT(ET11:ET12))</f>
        <v/>
      </c>
      <c r="EU10" s="179" t="str">
        <f t="shared" si="32"/>
        <v/>
      </c>
      <c r="EV10" s="172"/>
      <c r="EW10" s="109"/>
      <c r="EX10" s="109"/>
      <c r="EY10" s="178">
        <f>IF(COUNT(EY11,EY12)=0,"",SUM(EY11:EY12)/COUNT(EY11,EY12))</f>
        <v>3</v>
      </c>
      <c r="EZ10" s="194" t="str">
        <f t="shared" si="33"/>
        <v>B</v>
      </c>
      <c r="FA10" s="172"/>
      <c r="FB10" s="109"/>
      <c r="FC10" s="109"/>
      <c r="FD10" s="110"/>
      <c r="FE10" s="178">
        <f>IF(COUNT(FE11,FE12)=0,"",SUM(FE11:FE12)/COUNT(FE11,FE12))</f>
        <v>3.6666666666666665</v>
      </c>
      <c r="FF10" s="202" t="str">
        <f t="shared" si="34"/>
        <v>B</v>
      </c>
      <c r="FG10" s="203">
        <f>IF(COUNT(FG11:FG12)=0,"",SUM(FG11:FG12)/COUNT(FG11:FG12))</f>
        <v>3.333333333333333</v>
      </c>
      <c r="FH10" s="204" t="str">
        <f t="shared" si="35"/>
        <v>B</v>
      </c>
      <c r="FI10" s="214"/>
      <c r="FJ10" s="109"/>
      <c r="FK10" s="110"/>
      <c r="FL10" s="178" t="str">
        <f>IF(COUNT(FL11:FL12)=0,"",SUM(FL11:FL12)/COUNT(FL11:FL12))</f>
        <v/>
      </c>
      <c r="FM10" s="179" t="str">
        <f t="shared" si="36"/>
        <v/>
      </c>
      <c r="FN10" s="172"/>
      <c r="FO10" s="109"/>
      <c r="FP10" s="109"/>
      <c r="FQ10" s="178">
        <f>IF(COUNT(FQ11,FQ12)=0,"",SUM(FQ11:FQ12)/COUNT(FQ11,FQ12))</f>
        <v>4</v>
      </c>
      <c r="FR10" s="194" t="str">
        <f t="shared" si="37"/>
        <v>A</v>
      </c>
      <c r="FS10" s="172"/>
      <c r="FT10" s="109"/>
      <c r="FU10" s="109"/>
      <c r="FV10" s="110"/>
      <c r="FW10" s="178">
        <f>IF(COUNT(FW11,FW12)=0,"",SUM(FW11:FW12)/COUNT(FW11,FW12))</f>
        <v>3.6666666666666665</v>
      </c>
      <c r="FX10" s="202" t="str">
        <f t="shared" si="38"/>
        <v>B</v>
      </c>
      <c r="FY10" s="203">
        <f>IF(COUNT(FY11:FY12)=0,"",SUM(FY11:FY12)/COUNT(FY11:FY12))</f>
        <v>3.833333333333333</v>
      </c>
      <c r="FZ10" s="204" t="str">
        <f t="shared" si="39"/>
        <v>A</v>
      </c>
      <c r="GA10" s="214"/>
      <c r="GB10" s="109"/>
      <c r="GC10" s="110"/>
      <c r="GD10" s="178" t="str">
        <f>IF(COUNT(GD11:GD12)=0,"",SUM(GD11:GD12)/COUNT(GD11:GD12))</f>
        <v/>
      </c>
      <c r="GE10" s="179" t="str">
        <f t="shared" si="40"/>
        <v/>
      </c>
      <c r="GF10" s="172"/>
      <c r="GG10" s="109"/>
      <c r="GH10" s="109"/>
      <c r="GI10" s="178">
        <f>IF(COUNT(GI11,GI12)=0,"",SUM(GI11:GI12)/COUNT(GI11,GI12))</f>
        <v>3.6666666666666665</v>
      </c>
      <c r="GJ10" s="194" t="str">
        <f t="shared" si="41"/>
        <v>B</v>
      </c>
      <c r="GK10" s="172"/>
      <c r="GL10" s="109"/>
      <c r="GM10" s="109"/>
      <c r="GN10" s="110"/>
      <c r="GO10" s="178">
        <f>IF(COUNT(GO11,GO12)=0,"",SUM(GO11:GO12)/COUNT(GO11,GO12))</f>
        <v>3.3333333333333335</v>
      </c>
      <c r="GP10" s="202" t="str">
        <f t="shared" si="42"/>
        <v>B</v>
      </c>
      <c r="GQ10" s="203">
        <f>IF(COUNT(GQ11:GQ12)=0,"",SUM(GQ11:GQ12)/COUNT(GQ11:GQ12))</f>
        <v>3.5</v>
      </c>
      <c r="GR10" s="204" t="str">
        <f t="shared" si="43"/>
        <v>B</v>
      </c>
      <c r="GS10" s="214"/>
      <c r="GT10" s="109"/>
      <c r="GU10" s="110"/>
      <c r="GV10" s="178" t="str">
        <f>IF(COUNT(GV11:GV12)=0,"",SUM(GV11:GV12)/COUNT(GV11:GV12))</f>
        <v/>
      </c>
      <c r="GW10" s="179" t="str">
        <f t="shared" si="44"/>
        <v/>
      </c>
      <c r="GX10" s="172"/>
      <c r="GY10" s="109"/>
      <c r="GZ10" s="109"/>
      <c r="HA10" s="178">
        <f>IF(COUNT(HA11,HA12)=0,"",SUM(HA11:HA12)/COUNT(HA11,HA12))</f>
        <v>3.3333333333333335</v>
      </c>
      <c r="HB10" s="194" t="str">
        <f t="shared" si="45"/>
        <v>B</v>
      </c>
      <c r="HC10" s="172"/>
      <c r="HD10" s="109"/>
      <c r="HE10" s="109"/>
      <c r="HF10" s="110"/>
      <c r="HG10" s="178">
        <f>IF(COUNT(HG11,HG12)=0,"",SUM(HG11:HG12)/COUNT(HG11,HG12))</f>
        <v>3.6666666666666665</v>
      </c>
      <c r="HH10" s="202" t="str">
        <f t="shared" si="46"/>
        <v>B</v>
      </c>
      <c r="HI10" s="203">
        <f>IF(COUNT(HI11:HI12)=0,"",SUM(HI11:HI12)/COUNT(HI11:HI12))</f>
        <v>3.5</v>
      </c>
      <c r="HJ10" s="204" t="str">
        <f t="shared" si="47"/>
        <v>B</v>
      </c>
      <c r="HK10" s="214"/>
      <c r="HL10" s="109"/>
      <c r="HM10" s="110"/>
      <c r="HN10" s="178" t="str">
        <f>IF(COUNT(HN11:HN12)=0,"",SUM(HN11:HN12)/COUNT(HN11:HN12))</f>
        <v/>
      </c>
      <c r="HO10" s="179" t="str">
        <f t="shared" si="48"/>
        <v/>
      </c>
      <c r="HP10" s="172"/>
      <c r="HQ10" s="109"/>
      <c r="HR10" s="109"/>
      <c r="HS10" s="178">
        <f>IF(COUNT(HS11,HS12)=0,"",SUM(HS11:HS12)/COUNT(HS11,HS12))</f>
        <v>3.3333333333333335</v>
      </c>
      <c r="HT10" s="194" t="str">
        <f t="shared" si="49"/>
        <v>B</v>
      </c>
      <c r="HU10" s="172"/>
      <c r="HV10" s="109"/>
      <c r="HW10" s="109"/>
      <c r="HX10" s="110"/>
      <c r="HY10" s="178">
        <f>IF(COUNT(HY11,HY12)=0,"",SUM(HY11:HY12)/COUNT(HY11,HY12))</f>
        <v>3.3333333333333335</v>
      </c>
      <c r="HZ10" s="202" t="str">
        <f t="shared" si="50"/>
        <v>B</v>
      </c>
      <c r="IA10" s="203">
        <f>IF(COUNT(IA11:IA12)=0,"",SUM(IA11:IA12)/COUNT(IA11:IA12))</f>
        <v>3.3333333333333335</v>
      </c>
      <c r="IB10" s="204" t="str">
        <f t="shared" si="51"/>
        <v>B</v>
      </c>
      <c r="IC10" s="214"/>
      <c r="ID10" s="109"/>
      <c r="IE10" s="110"/>
      <c r="IF10" s="178" t="str">
        <f>IF(COUNT(IF11:IF12)=0,"",SUM(IF11:IF12)/COUNT(IF11:IF12))</f>
        <v/>
      </c>
      <c r="IG10" s="179" t="str">
        <f t="shared" si="52"/>
        <v/>
      </c>
      <c r="IH10" s="172"/>
      <c r="II10" s="109"/>
      <c r="IJ10" s="109"/>
      <c r="IK10" s="178">
        <f>IF(COUNT(IK11,IK12)=0,"",SUM(IK11:IK12)/COUNT(IK11,IK12))</f>
        <v>4</v>
      </c>
      <c r="IL10" s="194" t="str">
        <f t="shared" si="53"/>
        <v>A</v>
      </c>
      <c r="IM10" s="172"/>
      <c r="IN10" s="109"/>
      <c r="IO10" s="109"/>
      <c r="IP10" s="110"/>
      <c r="IQ10" s="178">
        <f>IF(COUNT(IQ11,IQ12)=0,"",SUM(IQ11:IQ12)/COUNT(IQ11,IQ12))</f>
        <v>3.3333333333333335</v>
      </c>
      <c r="IR10" s="202" t="str">
        <f t="shared" si="54"/>
        <v>B</v>
      </c>
      <c r="IS10" s="203">
        <f>IF(COUNT(IS11:IS12)=0,"",SUM(IS11:IS12)/COUNT(IS11:IS12))</f>
        <v>3.666666666666667</v>
      </c>
      <c r="IT10" s="204" t="str">
        <f t="shared" si="55"/>
        <v>B</v>
      </c>
      <c r="IU10" s="214"/>
      <c r="IV10" s="109"/>
      <c r="IW10" s="110"/>
      <c r="IX10" s="178" t="str">
        <f>IF(COUNT(IX11:IX12)=0,"",SUM(IX11:IX12)/COUNT(IX11:IX12))</f>
        <v/>
      </c>
      <c r="IY10" s="179" t="str">
        <f t="shared" si="56"/>
        <v/>
      </c>
      <c r="IZ10" s="172"/>
      <c r="JA10" s="109"/>
      <c r="JB10" s="109"/>
      <c r="JC10" s="178">
        <f>IF(COUNT(JC11,JC12)=0,"",SUM(JC11:JC12)/COUNT(JC11,JC12))</f>
        <v>4</v>
      </c>
      <c r="JD10" s="194" t="str">
        <f t="shared" si="57"/>
        <v>A</v>
      </c>
      <c r="JE10" s="172"/>
      <c r="JF10" s="109"/>
      <c r="JG10" s="109"/>
      <c r="JH10" s="110"/>
      <c r="JI10" s="178">
        <f>IF(COUNT(JI11,JI12)=0,"",SUM(JI11:JI12)/COUNT(JI11,JI12))</f>
        <v>3.6666666666666665</v>
      </c>
      <c r="JJ10" s="202" t="str">
        <f t="shared" si="58"/>
        <v>B</v>
      </c>
      <c r="JK10" s="203">
        <f>IF(COUNT(JK11:JK12)=0,"",SUM(JK11:JK12)/COUNT(JK11:JK12))</f>
        <v>3.833333333333333</v>
      </c>
      <c r="JL10" s="204" t="str">
        <f t="shared" si="59"/>
        <v>A</v>
      </c>
      <c r="JM10" s="214"/>
      <c r="JN10" s="109"/>
      <c r="JO10" s="110"/>
      <c r="JP10" s="178" t="str">
        <f>IF(COUNT(JP11:JP12)=0,"",SUM(JP11:JP12)/COUNT(JP11:JP12))</f>
        <v/>
      </c>
      <c r="JQ10" s="179" t="str">
        <f t="shared" si="60"/>
        <v/>
      </c>
      <c r="JR10" s="172"/>
      <c r="JS10" s="109"/>
      <c r="JT10" s="109"/>
      <c r="JU10" s="178">
        <f>IF(COUNT(JU11,JU12)=0,"",SUM(JU11:JU12)/COUNT(JU11,JU12))</f>
        <v>4</v>
      </c>
      <c r="JV10" s="194" t="str">
        <f t="shared" si="61"/>
        <v>A</v>
      </c>
      <c r="JW10" s="172"/>
      <c r="JX10" s="109"/>
      <c r="JY10" s="109"/>
      <c r="JZ10" s="110"/>
      <c r="KA10" s="178">
        <f>IF(COUNT(KA11,KA12)=0,"",SUM(KA11:KA12)/COUNT(KA11,KA12))</f>
        <v>3.6666666666666665</v>
      </c>
      <c r="KB10" s="202" t="str">
        <f t="shared" si="62"/>
        <v>B</v>
      </c>
      <c r="KC10" s="203">
        <f>IF(COUNT(KC11:KC12)=0,"",SUM(KC11:KC12)/COUNT(KC11:KC12))</f>
        <v>3.833333333333333</v>
      </c>
      <c r="KD10" s="204" t="str">
        <f t="shared" si="63"/>
        <v>A</v>
      </c>
      <c r="KE10" s="214"/>
      <c r="KF10" s="109"/>
      <c r="KG10" s="110"/>
      <c r="KH10" s="178" t="str">
        <f>IF(COUNT(KH11:KH12)=0,"",SUM(KH11:KH12)/COUNT(KH11:KH12))</f>
        <v/>
      </c>
      <c r="KI10" s="179" t="str">
        <f t="shared" si="64"/>
        <v/>
      </c>
      <c r="KJ10" s="172"/>
      <c r="KK10" s="109"/>
      <c r="KL10" s="109"/>
      <c r="KM10" s="178">
        <f>IF(COUNT(KM11,KM12)=0,"",SUM(KM11:KM12)/COUNT(KM11,KM12))</f>
        <v>3</v>
      </c>
      <c r="KN10" s="194" t="str">
        <f t="shared" si="65"/>
        <v>B</v>
      </c>
      <c r="KO10" s="172"/>
      <c r="KP10" s="109"/>
      <c r="KQ10" s="109"/>
      <c r="KR10" s="110"/>
      <c r="KS10" s="178">
        <f>IF(COUNT(KS11,KS12)=0,"",SUM(KS11:KS12)/COUNT(KS11,KS12))</f>
        <v>4</v>
      </c>
      <c r="KT10" s="202" t="str">
        <f t="shared" si="66"/>
        <v>A</v>
      </c>
      <c r="KU10" s="203">
        <f>IF(COUNT(KU11:KU12)=0,"",SUM(KU11:KU12)/COUNT(KU11:KU12))</f>
        <v>3.5</v>
      </c>
      <c r="KV10" s="204" t="str">
        <f t="shared" si="67"/>
        <v>B</v>
      </c>
      <c r="KW10" s="214"/>
      <c r="KX10" s="109"/>
      <c r="KY10" s="110"/>
      <c r="KZ10" s="178" t="str">
        <f>IF(COUNT(KZ11:KZ12)=0,"",SUM(KZ11:KZ12)/COUNT(KZ11:KZ12))</f>
        <v/>
      </c>
      <c r="LA10" s="179" t="str">
        <f t="shared" si="68"/>
        <v/>
      </c>
      <c r="LB10" s="172"/>
      <c r="LC10" s="109"/>
      <c r="LD10" s="109"/>
      <c r="LE10" s="178">
        <f>IF(COUNT(LE11,LE12)=0,"",SUM(LE11:LE12)/COUNT(LE11,LE12))</f>
        <v>4</v>
      </c>
      <c r="LF10" s="194" t="str">
        <f t="shared" si="69"/>
        <v>A</v>
      </c>
      <c r="LG10" s="172"/>
      <c r="LH10" s="109"/>
      <c r="LI10" s="109"/>
      <c r="LJ10" s="110"/>
      <c r="LK10" s="178">
        <f>IF(COUNT(LK11,LK12)=0,"",SUM(LK11:LK12)/COUNT(LK11,LK12))</f>
        <v>3.6666666666666665</v>
      </c>
      <c r="LL10" s="202" t="str">
        <f t="shared" si="70"/>
        <v>B</v>
      </c>
      <c r="LM10" s="203">
        <f>IF(COUNT(LM11:LM12)=0,"",SUM(LM11:LM12)/COUNT(LM11:LM12))</f>
        <v>3.833333333333333</v>
      </c>
      <c r="LN10" s="204" t="str">
        <f t="shared" si="71"/>
        <v>A</v>
      </c>
      <c r="LO10" s="214"/>
      <c r="LP10" s="109"/>
      <c r="LQ10" s="110"/>
      <c r="LR10" s="178" t="str">
        <f>IF(COUNT(LR11:LR12)=0,"",SUM(LR11:LR12)/COUNT(LR11:LR12))</f>
        <v/>
      </c>
      <c r="LS10" s="179" t="str">
        <f t="shared" si="72"/>
        <v/>
      </c>
      <c r="LT10" s="172"/>
      <c r="LU10" s="109"/>
      <c r="LV10" s="109"/>
      <c r="LW10" s="178">
        <f>IF(COUNT(LW11,LW12)=0,"",SUM(LW11:LW12)/COUNT(LW11,LW12))</f>
        <v>3</v>
      </c>
      <c r="LX10" s="194" t="str">
        <f t="shared" si="73"/>
        <v>B</v>
      </c>
      <c r="LY10" s="172"/>
      <c r="LZ10" s="109"/>
      <c r="MA10" s="109"/>
      <c r="MB10" s="110"/>
      <c r="MC10" s="178">
        <f>IF(COUNT(MC11,MC12)=0,"",SUM(MC11:MC12)/COUNT(MC11,MC12))</f>
        <v>3.3333333333333335</v>
      </c>
      <c r="MD10" s="202" t="str">
        <f t="shared" si="74"/>
        <v>B</v>
      </c>
      <c r="ME10" s="203">
        <f>IF(COUNT(ME11:ME12)=0,"",SUM(ME11:ME12)/COUNT(ME11:ME12))</f>
        <v>3.166666666666667</v>
      </c>
      <c r="MF10" s="204" t="str">
        <f t="shared" si="75"/>
        <v>B</v>
      </c>
      <c r="MG10" s="214"/>
      <c r="MH10" s="109"/>
      <c r="MI10" s="110"/>
      <c r="MJ10" s="178" t="str">
        <f>IF(COUNT(MJ11:MJ12)=0,"",SUM(MJ11:MJ12)/COUNT(MJ11:MJ12))</f>
        <v/>
      </c>
      <c r="MK10" s="179" t="str">
        <f t="shared" si="76"/>
        <v/>
      </c>
      <c r="ML10" s="172"/>
      <c r="MM10" s="109"/>
      <c r="MN10" s="109"/>
      <c r="MO10" s="178">
        <f>IF(COUNT(MO11,MO12)=0,"",SUM(MO11:MO12)/COUNT(MO11,MO12))</f>
        <v>4</v>
      </c>
      <c r="MP10" s="194" t="str">
        <f t="shared" si="77"/>
        <v>A</v>
      </c>
      <c r="MQ10" s="172"/>
      <c r="MR10" s="109"/>
      <c r="MS10" s="109"/>
      <c r="MT10" s="110"/>
      <c r="MU10" s="178">
        <f>IF(COUNT(MU11,MU12)=0,"",SUM(MU11:MU12)/COUNT(MU11,MU12))</f>
        <v>3.6666666666666665</v>
      </c>
      <c r="MV10" s="202" t="str">
        <f t="shared" si="78"/>
        <v>B</v>
      </c>
      <c r="MW10" s="203">
        <f>IF(COUNT(MW11:MW12)=0,"",SUM(MW11:MW12)/COUNT(MW11:MW12))</f>
        <v>3.833333333333333</v>
      </c>
      <c r="MX10" s="204" t="str">
        <f t="shared" si="79"/>
        <v>A</v>
      </c>
      <c r="MY10" s="214"/>
      <c r="MZ10" s="109"/>
      <c r="NA10" s="110"/>
      <c r="NB10" s="178" t="str">
        <f>IF(COUNT(NB11:NB12)=0,"",SUM(NB11:NB12)/COUNT(NB11:NB12))</f>
        <v/>
      </c>
      <c r="NC10" s="179" t="str">
        <f t="shared" si="80"/>
        <v/>
      </c>
      <c r="ND10" s="172"/>
      <c r="NE10" s="109"/>
      <c r="NF10" s="109"/>
      <c r="NG10" s="178">
        <f>IF(COUNT(NG11,NG12)=0,"",SUM(NG11:NG12)/COUNT(NG11,NG12))</f>
        <v>4</v>
      </c>
      <c r="NH10" s="194" t="str">
        <f t="shared" si="81"/>
        <v>A</v>
      </c>
      <c r="NI10" s="172"/>
      <c r="NJ10" s="109"/>
      <c r="NK10" s="109"/>
      <c r="NL10" s="110"/>
      <c r="NM10" s="178">
        <f>IF(COUNT(NM11,NM12)=0,"",SUM(NM11:NM12)/COUNT(NM11,NM12))</f>
        <v>4</v>
      </c>
      <c r="NN10" s="202" t="str">
        <f t="shared" si="82"/>
        <v>A</v>
      </c>
      <c r="NO10" s="203">
        <f>IF(COUNT(NO11:NO12)=0,"",SUM(NO11:NO12)/COUNT(NO11:NO12))</f>
        <v>4</v>
      </c>
      <c r="NP10" s="204" t="str">
        <f t="shared" si="83"/>
        <v>A</v>
      </c>
      <c r="NQ10" s="214"/>
      <c r="NR10" s="109"/>
      <c r="NS10" s="110"/>
      <c r="NT10" s="178" t="str">
        <f>IF(COUNT(NT11:NT12)=0,"",SUM(NT11:NT12)/COUNT(NT11:NT12))</f>
        <v/>
      </c>
      <c r="NU10" s="179" t="str">
        <f t="shared" si="84"/>
        <v/>
      </c>
      <c r="NV10" s="172"/>
      <c r="NW10" s="109"/>
      <c r="NX10" s="109"/>
      <c r="NY10" s="178">
        <f>IF(COUNT(NY11,NY12)=0,"",SUM(NY11:NY12)/COUNT(NY11,NY12))</f>
        <v>2.5</v>
      </c>
      <c r="NZ10" s="194" t="str">
        <f t="shared" si="85"/>
        <v>C</v>
      </c>
      <c r="OA10" s="172"/>
      <c r="OB10" s="109"/>
      <c r="OC10" s="109"/>
      <c r="OD10" s="110"/>
      <c r="OE10" s="178">
        <f>IF(COUNT(OE11,OE12)=0,"",SUM(OE11:OE12)/COUNT(OE11,OE12))</f>
        <v>2.6666666666666665</v>
      </c>
      <c r="OF10" s="202" t="str">
        <f t="shared" si="86"/>
        <v>C</v>
      </c>
      <c r="OG10" s="203">
        <f>IF(COUNT(OG11:OG12)=0,"",SUM(OG11:OG12)/COUNT(OG11:OG12))</f>
        <v>2.583333333333333</v>
      </c>
      <c r="OH10" s="204" t="str">
        <f t="shared" si="87"/>
        <v>C</v>
      </c>
      <c r="OI10" s="214"/>
      <c r="OJ10" s="109"/>
      <c r="OK10" s="110"/>
      <c r="OL10" s="178" t="str">
        <f>IF(COUNT(OL11:OL12)=0,"",SUM(OL11:OL12)/COUNT(OL11:OL12))</f>
        <v/>
      </c>
      <c r="OM10" s="179" t="str">
        <f t="shared" si="88"/>
        <v/>
      </c>
      <c r="ON10" s="172"/>
      <c r="OO10" s="109"/>
      <c r="OP10" s="109"/>
      <c r="OQ10" s="178">
        <f>IF(COUNT(OQ11,OQ12)=0,"",SUM(OQ11:OQ12)/COUNT(OQ11,OQ12))</f>
        <v>4</v>
      </c>
      <c r="OR10" s="194" t="str">
        <f t="shared" si="89"/>
        <v>A</v>
      </c>
      <c r="OS10" s="172"/>
      <c r="OT10" s="109"/>
      <c r="OU10" s="109"/>
      <c r="OV10" s="110"/>
      <c r="OW10" s="178">
        <f>IF(COUNT(OW11,OW12)=0,"",SUM(OW11:OW12)/COUNT(OW11,OW12))</f>
        <v>4</v>
      </c>
      <c r="OX10" s="202" t="str">
        <f t="shared" si="90"/>
        <v>A</v>
      </c>
      <c r="OY10" s="203">
        <f>IF(COUNT(OY11:OY12)=0,"",SUM(OY11:OY12)/COUNT(OY11:OY12))</f>
        <v>4</v>
      </c>
      <c r="OZ10" s="204" t="str">
        <f t="shared" si="91"/>
        <v>A</v>
      </c>
      <c r="PA10" s="214"/>
      <c r="PB10" s="109"/>
      <c r="PC10" s="110"/>
      <c r="PD10" s="178" t="str">
        <f>IF(COUNT(PD11:PD12)=0,"",SUM(PD11:PD12)/COUNT(PD11:PD12))</f>
        <v/>
      </c>
      <c r="PE10" s="179" t="str">
        <f t="shared" si="92"/>
        <v/>
      </c>
      <c r="PF10" s="172"/>
      <c r="PG10" s="109"/>
      <c r="PH10" s="109"/>
      <c r="PI10" s="178">
        <f>IF(COUNT(PI11,PI12)=0,"",SUM(PI11:PI12)/COUNT(PI11,PI12))</f>
        <v>3.6666666666666665</v>
      </c>
      <c r="PJ10" s="194" t="str">
        <f t="shared" si="93"/>
        <v>B</v>
      </c>
      <c r="PK10" s="172"/>
      <c r="PL10" s="109"/>
      <c r="PM10" s="109"/>
      <c r="PN10" s="110"/>
      <c r="PO10" s="178">
        <f>IF(COUNT(PO11,PO12)=0,"",SUM(PO11:PO12)/COUNT(PO11,PO12))</f>
        <v>3.6666666666666665</v>
      </c>
      <c r="PP10" s="202" t="str">
        <f t="shared" si="94"/>
        <v>B</v>
      </c>
      <c r="PQ10" s="203">
        <f>IF(COUNT(PQ11:PQ12)=0,"",SUM(PQ11:PQ12)/COUNT(PQ11:PQ12))</f>
        <v>3.6666666666666665</v>
      </c>
      <c r="PR10" s="204" t="str">
        <f t="shared" si="95"/>
        <v>B</v>
      </c>
      <c r="PS10" s="214"/>
      <c r="PT10" s="109"/>
      <c r="PU10" s="110"/>
      <c r="PV10" s="178" t="str">
        <f>IF(COUNT(PV11:PV12)=0,"",SUM(PV11:PV12)/COUNT(PV11:PV12))</f>
        <v/>
      </c>
      <c r="PW10" s="179" t="str">
        <f t="shared" si="96"/>
        <v/>
      </c>
      <c r="PX10" s="172"/>
      <c r="PY10" s="109"/>
      <c r="PZ10" s="109"/>
      <c r="QA10" s="178">
        <f>IF(COUNT(QA11,QA12)=0,"",SUM(QA11:QA12)/COUNT(QA11,QA12))</f>
        <v>4</v>
      </c>
      <c r="QB10" s="194" t="str">
        <f t="shared" si="97"/>
        <v>A</v>
      </c>
      <c r="QC10" s="172"/>
      <c r="QD10" s="109"/>
      <c r="QE10" s="109"/>
      <c r="QF10" s="110"/>
      <c r="QG10" s="178">
        <f>IF(COUNT(QG11,QG12)=0,"",SUM(QG11:QG12)/COUNT(QG11,QG12))</f>
        <v>4</v>
      </c>
      <c r="QH10" s="202" t="str">
        <f t="shared" si="98"/>
        <v>A</v>
      </c>
      <c r="QI10" s="203">
        <f>IF(COUNT(QI11:QI12)=0,"",SUM(QI11:QI12)/COUNT(QI11:QI12))</f>
        <v>4</v>
      </c>
      <c r="QJ10" s="204" t="str">
        <f t="shared" si="99"/>
        <v>A</v>
      </c>
      <c r="QK10" s="214"/>
      <c r="QL10" s="109"/>
      <c r="QM10" s="110"/>
      <c r="QN10" s="178" t="str">
        <f>IF(COUNT(QN11:QN12)=0,"",SUM(QN11:QN12)/COUNT(QN11:QN12))</f>
        <v/>
      </c>
      <c r="QO10" s="179" t="str">
        <f t="shared" si="100"/>
        <v/>
      </c>
      <c r="QP10" s="172"/>
      <c r="QQ10" s="109"/>
      <c r="QR10" s="109"/>
      <c r="QS10" s="178">
        <f>IF(COUNT(QS11,QS12)=0,"",SUM(QS11:QS12)/COUNT(QS11,QS12))</f>
        <v>4</v>
      </c>
      <c r="QT10" s="194" t="str">
        <f t="shared" si="101"/>
        <v>A</v>
      </c>
      <c r="QU10" s="172"/>
      <c r="QV10" s="109"/>
      <c r="QW10" s="109"/>
      <c r="QX10" s="110"/>
      <c r="QY10" s="178">
        <f>IF(COUNT(QY11,QY12)=0,"",SUM(QY11:QY12)/COUNT(QY11,QY12))</f>
        <v>3</v>
      </c>
      <c r="QZ10" s="202" t="str">
        <f t="shared" si="102"/>
        <v>B</v>
      </c>
      <c r="RA10" s="203">
        <f>IF(COUNT(RA11:RA12)=0,"",SUM(RA11:RA12)/COUNT(RA11:RA12))</f>
        <v>3.5</v>
      </c>
      <c r="RB10" s="204" t="str">
        <f t="shared" si="103"/>
        <v>B</v>
      </c>
      <c r="RC10" s="214"/>
      <c r="RD10" s="109"/>
      <c r="RE10" s="110"/>
      <c r="RF10" s="178" t="str">
        <f>IF(COUNT(RF11:RF12)=0,"",SUM(RF11:RF12)/COUNT(RF11:RF12))</f>
        <v/>
      </c>
      <c r="RG10" s="179" t="str">
        <f t="shared" si="104"/>
        <v/>
      </c>
      <c r="RH10" s="172"/>
      <c r="RI10" s="109"/>
      <c r="RJ10" s="109"/>
      <c r="RK10" s="178">
        <f>IF(COUNT(RK11,RK12)=0,"",SUM(RK11:RK12)/COUNT(RK11,RK12))</f>
        <v>4</v>
      </c>
      <c r="RL10" s="194" t="str">
        <f t="shared" si="105"/>
        <v>A</v>
      </c>
      <c r="RM10" s="172"/>
      <c r="RN10" s="109"/>
      <c r="RO10" s="109"/>
      <c r="RP10" s="110"/>
      <c r="RQ10" s="178">
        <f>IF(COUNT(RQ11,RQ12)=0,"",SUM(RQ11:RQ12)/COUNT(RQ11,RQ12))</f>
        <v>2.3333333333333335</v>
      </c>
      <c r="RR10" s="202" t="str">
        <f t="shared" si="106"/>
        <v>C</v>
      </c>
      <c r="RS10" s="203">
        <f>IF(COUNT(RS11:RS12)=0,"",SUM(RS11:RS12)/COUNT(RS11:RS12))</f>
        <v>3.166666666666667</v>
      </c>
      <c r="RT10" s="204" t="str">
        <f t="shared" si="107"/>
        <v>B</v>
      </c>
      <c r="RU10" s="214"/>
      <c r="RV10" s="109"/>
      <c r="RW10" s="110"/>
      <c r="RX10" s="178" t="str">
        <f>IF(COUNT(RX11:RX12)=0,"",SUM(RX11:RX12)/COUNT(RX11:RX12))</f>
        <v/>
      </c>
      <c r="RY10" s="179" t="str">
        <f t="shared" si="108"/>
        <v/>
      </c>
      <c r="RZ10" s="172"/>
      <c r="SA10" s="109"/>
      <c r="SB10" s="109"/>
      <c r="SC10" s="178">
        <f>IF(COUNT(SC11,SC12)=0,"",SUM(SC11:SC12)/COUNT(SC11,SC12))</f>
        <v>4</v>
      </c>
      <c r="SD10" s="194" t="str">
        <f t="shared" si="109"/>
        <v>A</v>
      </c>
      <c r="SE10" s="172"/>
      <c r="SF10" s="109"/>
      <c r="SG10" s="109"/>
      <c r="SH10" s="110"/>
      <c r="SI10" s="178">
        <f>IF(COUNT(SI11,SI12)=0,"",SUM(SI11:SI12)/COUNT(SI11,SI12))</f>
        <v>3.6666666666666665</v>
      </c>
      <c r="SJ10" s="202" t="str">
        <f t="shared" si="110"/>
        <v>B</v>
      </c>
      <c r="SK10" s="203">
        <f>IF(COUNT(SK11:SK12)=0,"",SUM(SK11:SK12)/COUNT(SK11:SK12))</f>
        <v>3.833333333333333</v>
      </c>
      <c r="SL10" s="204" t="str">
        <f t="shared" si="111"/>
        <v>A</v>
      </c>
      <c r="SM10" s="214"/>
      <c r="SN10" s="109"/>
      <c r="SO10" s="110"/>
      <c r="SP10" s="178" t="str">
        <f>IF(COUNT(SP11:SP12)=0,"",SUM(SP11:SP12)/COUNT(SP11:SP12))</f>
        <v/>
      </c>
      <c r="SQ10" s="179" t="str">
        <f t="shared" si="112"/>
        <v/>
      </c>
      <c r="SR10" s="172"/>
      <c r="SS10" s="109"/>
      <c r="ST10" s="109"/>
      <c r="SU10" s="178">
        <f>IF(COUNT(SU11,SU12)=0,"",SUM(SU11:SU12)/COUNT(SU11,SU12))</f>
        <v>4</v>
      </c>
      <c r="SV10" s="194" t="str">
        <f t="shared" si="113"/>
        <v>A</v>
      </c>
      <c r="SW10" s="172"/>
      <c r="SX10" s="109"/>
      <c r="SY10" s="109"/>
      <c r="SZ10" s="110"/>
      <c r="TA10" s="178">
        <f>IF(COUNT(TA11,TA12)=0,"",SUM(TA11:TA12)/COUNT(TA11,TA12))</f>
        <v>3.5</v>
      </c>
      <c r="TB10" s="202" t="str">
        <f t="shared" si="114"/>
        <v>B</v>
      </c>
      <c r="TC10" s="203">
        <f>IF(COUNT(TC11:TC12)=0,"",SUM(TC11:TC12)/COUNT(TC11:TC12))</f>
        <v>3.75</v>
      </c>
      <c r="TD10" s="204" t="str">
        <f t="shared" si="115"/>
        <v>A</v>
      </c>
      <c r="TE10" s="214"/>
      <c r="TF10" s="109"/>
      <c r="TG10" s="110"/>
      <c r="TH10" s="178" t="str">
        <f>IF(COUNT(TH11:TH12)=0,"",SUM(TH11:TH12)/COUNT(TH11:TH12))</f>
        <v/>
      </c>
      <c r="TI10" s="179" t="str">
        <f t="shared" si="116"/>
        <v/>
      </c>
      <c r="TJ10" s="172"/>
      <c r="TK10" s="109"/>
      <c r="TL10" s="109"/>
      <c r="TM10" s="178">
        <f>IF(COUNT(TM11,TM12)=0,"",SUM(TM11:TM12)/COUNT(TM11,TM12))</f>
        <v>4</v>
      </c>
      <c r="TN10" s="194" t="str">
        <f t="shared" si="117"/>
        <v>A</v>
      </c>
      <c r="TO10" s="172"/>
      <c r="TP10" s="109"/>
      <c r="TQ10" s="109"/>
      <c r="TR10" s="110"/>
      <c r="TS10" s="178">
        <f>IF(COUNT(TS11,TS12)=0,"",SUM(TS11:TS12)/COUNT(TS11,TS12))</f>
        <v>3.6666666666666665</v>
      </c>
      <c r="TT10" s="202" t="str">
        <f t="shared" si="118"/>
        <v>B</v>
      </c>
      <c r="TU10" s="203">
        <f>IF(COUNT(TU11:TU12)=0,"",SUM(TU11:TU12)/COUNT(TU11:TU12))</f>
        <v>3.833333333333333</v>
      </c>
      <c r="TV10" s="204" t="str">
        <f t="shared" si="119"/>
        <v>A</v>
      </c>
    </row>
    <row r="11" spans="1:542" ht="18" customHeight="1" x14ac:dyDescent="0.25">
      <c r="A11" s="234" t="s">
        <v>44</v>
      </c>
      <c r="B11" s="235"/>
      <c r="C11" s="122"/>
      <c r="D11" s="123"/>
      <c r="E11" s="124"/>
      <c r="F11" s="180" t="str">
        <f>IFERROR((((COUNTIF('Elève (5ème1)'!C11:E11,"A"))*4)+((COUNTIF('Elève (5ème1)'!C11:E11,"B"))*3)+((COUNTIF('Elève (5ème1)'!C11:E11,"C"))*2)+((COUNTIF('Elève (5ème1)'!C11:E11,"D"))*1))/(COUNTA(C11:E11)),"")</f>
        <v/>
      </c>
      <c r="G11" s="181" t="str">
        <f t="shared" si="0"/>
        <v/>
      </c>
      <c r="H11" s="122" t="s">
        <v>29</v>
      </c>
      <c r="I11" s="123" t="s">
        <v>27</v>
      </c>
      <c r="J11" s="124" t="s">
        <v>27</v>
      </c>
      <c r="K11" s="180">
        <f>IFERROR((((COUNTIF('Elève (5ème1)'!H11:J11,"A"))*4)+((COUNTIF('Elève (5ème1)'!H11:J11,"B"))*3)+((COUNTIF('Elève (5ème1)'!H11:J11,"C"))*2)+((COUNTIF('Elève (5ème1)'!H11:J11,"D"))*1))/(COUNTA(H11:J11)),"")</f>
        <v>3.3333333333333335</v>
      </c>
      <c r="L11" s="181" t="str">
        <f t="shared" si="1"/>
        <v>B</v>
      </c>
      <c r="M11" s="122"/>
      <c r="N11" s="123" t="s">
        <v>29</v>
      </c>
      <c r="O11" s="124" t="s">
        <v>27</v>
      </c>
      <c r="P11" s="124" t="s">
        <v>27</v>
      </c>
      <c r="Q11" s="180">
        <f>IFERROR((((COUNTIF('Elève (5ème1)'!M11:P11,"A"))*4)+((COUNTIF('Elève (5ème1)'!M11:P11,"B"))*3)+((COUNTIF('Elève (5ème1)'!M11:P11,"C"))*2)+((COUNTIF('Elève (5ème1)'!M11:P11,"D"))*1))/(COUNTA(M11:P11)),"")</f>
        <v>3.3333333333333335</v>
      </c>
      <c r="R11" s="181" t="str">
        <f t="shared" si="2"/>
        <v>B</v>
      </c>
      <c r="S11" s="208">
        <f>IF(COUNT(F11,K11,Q11)=0,"",SUM(F11,K11,Q11)/COUNT(F11,K11,Q11))</f>
        <v>3.3333333333333335</v>
      </c>
      <c r="T11" s="205" t="str">
        <f t="shared" si="3"/>
        <v>B</v>
      </c>
      <c r="U11" s="122"/>
      <c r="V11" s="123"/>
      <c r="W11" s="124"/>
      <c r="X11" s="180" t="str">
        <f>IFERROR((((COUNTIF('Elève (5ème1)'!U11:W11,"A"))*4)+((COUNTIF('Elève (5ème1)'!U11:W11,"B"))*3)+((COUNTIF('Elève (5ème1)'!U11:W11,"C"))*2)+((COUNTIF('Elève (5ème1)'!U11:W11,"D"))*1))/(COUNTA(U11:W11)),"")</f>
        <v/>
      </c>
      <c r="Y11" s="181" t="str">
        <f t="shared" si="4"/>
        <v/>
      </c>
      <c r="Z11" s="122" t="s">
        <v>27</v>
      </c>
      <c r="AA11" s="123" t="s">
        <v>27</v>
      </c>
      <c r="AB11" s="124" t="s">
        <v>28</v>
      </c>
      <c r="AC11" s="180">
        <f>IFERROR((((COUNTIF('Elève (5ème1)'!Z11:AB11,"A"))*4)+((COUNTIF('Elève (5ème1)'!Z11:AB11,"B"))*3)+((COUNTIF('Elève (5ème1)'!Z11:AB11,"C"))*2)+((COUNTIF('Elève (5ème1)'!Z11:AB11,"D"))*1))/(COUNTA(Z11:AB11)),"")</f>
        <v>3.6666666666666665</v>
      </c>
      <c r="AD11" s="181" t="str">
        <f t="shared" si="5"/>
        <v>B</v>
      </c>
      <c r="AE11" s="122"/>
      <c r="AF11" s="123" t="s">
        <v>28</v>
      </c>
      <c r="AG11" s="124" t="s">
        <v>29</v>
      </c>
      <c r="AH11" s="128" t="s">
        <v>27</v>
      </c>
      <c r="AI11" s="180">
        <f>IFERROR((((COUNTIF('Elève (5ème1)'!AE11:AH11,"A"))*4)+((COUNTIF('Elève (5ème1)'!AE11:AH11,"B"))*3)+((COUNTIF('Elève (5ème1)'!AE11:AH11,"C"))*2)+((COUNTIF('Elève (5ème1)'!AE11:AH11,"D"))*1))/(COUNTA(AE11:AH11)),"")</f>
        <v>3</v>
      </c>
      <c r="AJ11" s="181" t="str">
        <f t="shared" si="6"/>
        <v>B</v>
      </c>
      <c r="AK11" s="208">
        <f>IF(COUNT(X11,AC11,AI11)=0,"",SUM(X11,AC11,AI11)/COUNT(X11,AC11,AI11))</f>
        <v>3.333333333333333</v>
      </c>
      <c r="AL11" s="205" t="str">
        <f t="shared" si="7"/>
        <v>B</v>
      </c>
      <c r="AM11" s="122"/>
      <c r="AN11" s="123"/>
      <c r="AO11" s="124"/>
      <c r="AP11" s="180" t="str">
        <f>IFERROR((((COUNTIF('Elève (5ème1)'!AM11:AO11,"A"))*4)+((COUNTIF('Elève (5ème1)'!AM11:AO11,"B"))*3)+((COUNTIF('Elève (5ème1)'!AM11:AO11,"C"))*2)+((COUNTIF('Elève (5ème1)'!AM11:AO11,"D"))*1))/(COUNTA(AM11:AO11)),"")</f>
        <v/>
      </c>
      <c r="AQ11" s="181" t="str">
        <f t="shared" si="8"/>
        <v/>
      </c>
      <c r="AR11" s="122" t="s">
        <v>29</v>
      </c>
      <c r="AS11" s="123" t="s">
        <v>29</v>
      </c>
      <c r="AT11" s="124" t="s">
        <v>27</v>
      </c>
      <c r="AU11" s="180">
        <f>IFERROR((((COUNTIF('Elève (5ème1)'!AR11:AT11,"A"))*4)+((COUNTIF('Elève (5ème1)'!AR11:AT11,"B"))*3)+((COUNTIF('Elève (5ème1)'!AR11:AT11,"C"))*2)+((COUNTIF('Elève (5ème1)'!AR11:AT11,"D"))*1))/(COUNTA(AR11:AT11)),"")</f>
        <v>2.6666666666666665</v>
      </c>
      <c r="AV11" s="181" t="str">
        <f t="shared" si="9"/>
        <v>C</v>
      </c>
      <c r="AW11" s="122"/>
      <c r="AX11" s="123" t="s">
        <v>28</v>
      </c>
      <c r="AY11" s="124" t="s">
        <v>28</v>
      </c>
      <c r="AZ11" s="128" t="s">
        <v>27</v>
      </c>
      <c r="BA11" s="180">
        <f>IFERROR((((COUNTIF('Elève (5ème1)'!AW11:AZ11,"A"))*4)+((COUNTIF('Elève (5ème1)'!AW11:AZ11,"B"))*3)+((COUNTIF('Elève (5ème1)'!AW11:AZ11,"C"))*2)+((COUNTIF('Elève (5ème1)'!AW11:AZ11,"D"))*1))/(COUNTA(AW11:AZ11)),"")</f>
        <v>3.3333333333333335</v>
      </c>
      <c r="BB11" s="181" t="str">
        <f t="shared" si="10"/>
        <v>B</v>
      </c>
      <c r="BC11" s="208">
        <f>IF(COUNT(AP11,AU11,BA11)=0,"",SUM(AP11,AU11,BA11)/COUNT(AP11,AU11,BA11))</f>
        <v>3</v>
      </c>
      <c r="BD11" s="205" t="str">
        <f t="shared" si="11"/>
        <v>B</v>
      </c>
      <c r="BE11" s="122"/>
      <c r="BF11" s="123"/>
      <c r="BG11" s="124"/>
      <c r="BH11" s="180" t="str">
        <f>IFERROR((((COUNTIF('Elève (5ème1)'!BE11:BG11,"A"))*4)+((COUNTIF('Elève (5ème1)'!BE11:BG11,"B"))*3)+((COUNTIF('Elève (5ème1)'!BE11:BG11,"C"))*2)+((COUNTIF('Elève (5ème1)'!BE11:BG11,"D"))*1))/(COUNTA(BE11:BG11)),"")</f>
        <v/>
      </c>
      <c r="BI11" s="181" t="str">
        <f t="shared" si="12"/>
        <v/>
      </c>
      <c r="BJ11" s="122" t="s">
        <v>27</v>
      </c>
      <c r="BK11" s="123" t="s">
        <v>27</v>
      </c>
      <c r="BL11" s="124" t="s">
        <v>27</v>
      </c>
      <c r="BM11" s="180">
        <f>IFERROR((((COUNTIF('Elève (5ème1)'!BJ11:BL11,"A"))*4)+((COUNTIF('Elève (5ème1)'!BJ11:BL11,"B"))*3)+((COUNTIF('Elève (5ème1)'!BJ11:BL11,"C"))*2)+((COUNTIF('Elève (5ème1)'!BJ11:BL11,"D"))*1))/(COUNTA(BJ11:BL11)),"")</f>
        <v>4</v>
      </c>
      <c r="BN11" s="181" t="str">
        <f t="shared" si="13"/>
        <v>A</v>
      </c>
      <c r="BO11" s="122"/>
      <c r="BP11" s="123" t="s">
        <v>28</v>
      </c>
      <c r="BQ11" s="124"/>
      <c r="BR11" s="128" t="s">
        <v>27</v>
      </c>
      <c r="BS11" s="180">
        <f>IFERROR((((COUNTIF('Elève (5ème1)'!BO11:BR11,"A"))*4)+((COUNTIF('Elève (5ème1)'!BO11:BR11,"B"))*3)+((COUNTIF('Elève (5ème1)'!BO11:BR11,"C"))*2)+((COUNTIF('Elève (5ème1)'!BO11:BR11,"D"))*1))/(COUNTA(BO11:BR11)),"")</f>
        <v>3.5</v>
      </c>
      <c r="BT11" s="181" t="str">
        <f t="shared" si="14"/>
        <v>B</v>
      </c>
      <c r="BU11" s="208">
        <f>IF(COUNT(BH11,BM11,BS11)=0,"",SUM(BH11,BM11,BS11)/COUNT(BH11,BM11,BS11))</f>
        <v>3.75</v>
      </c>
      <c r="BV11" s="205" t="str">
        <f t="shared" si="15"/>
        <v>A</v>
      </c>
      <c r="BW11" s="122"/>
      <c r="BX11" s="123"/>
      <c r="BY11" s="124"/>
      <c r="BZ11" s="180" t="str">
        <f>IFERROR((((COUNTIF('Elève (5ème1)'!BW11:BY11,"A"))*4)+((COUNTIF('Elève (5ème1)'!BW11:BY11,"B"))*3)+((COUNTIF('Elève (5ème1)'!BW11:BY11,"C"))*2)+((COUNTIF('Elève (5ème1)'!BW11:BY11,"D"))*1))/(COUNTA(BW11:BY11)),"")</f>
        <v/>
      </c>
      <c r="CA11" s="181" t="str">
        <f t="shared" si="16"/>
        <v/>
      </c>
      <c r="CB11" s="122" t="s">
        <v>27</v>
      </c>
      <c r="CC11" s="123" t="s">
        <v>29</v>
      </c>
      <c r="CD11" s="124" t="s">
        <v>27</v>
      </c>
      <c r="CE11" s="180">
        <f>IFERROR((((COUNTIF('Elève (5ème1)'!CB11:CD11,"A"))*4)+((COUNTIF('Elève (5ème1)'!CB11:CD11,"B"))*3)+((COUNTIF('Elève (5ème1)'!CB11:CD11,"C"))*2)+((COUNTIF('Elève (5ème1)'!CB11:CD11,"D"))*1))/(COUNTA(CB11:CD11)),"")</f>
        <v>3.3333333333333335</v>
      </c>
      <c r="CF11" s="181" t="str">
        <f t="shared" si="17"/>
        <v>B</v>
      </c>
      <c r="CG11" s="122"/>
      <c r="CH11" s="123" t="s">
        <v>28</v>
      </c>
      <c r="CI11" s="124" t="s">
        <v>27</v>
      </c>
      <c r="CJ11" s="128" t="s">
        <v>27</v>
      </c>
      <c r="CK11" s="180">
        <f>IFERROR((((COUNTIF('Elève (5ème1)'!CG11:CJ11,"A"))*4)+((COUNTIF('Elève (5ème1)'!CG11:CJ11,"B"))*3)+((COUNTIF('Elève (5ème1)'!CG11:CJ11,"C"))*2)+((COUNTIF('Elève (5ème1)'!CG11:CJ11,"D"))*1))/(COUNTA(CG11:CJ11)),"")</f>
        <v>3.6666666666666665</v>
      </c>
      <c r="CL11" s="181" t="str">
        <f t="shared" si="18"/>
        <v>B</v>
      </c>
      <c r="CM11" s="208">
        <f>IF(COUNT(BZ11,CE11,CK11)=0,"",SUM(BZ11,CE11,CK11)/COUNT(BZ11,CE11,CK11))</f>
        <v>3.5</v>
      </c>
      <c r="CN11" s="205" t="str">
        <f t="shared" si="19"/>
        <v>B</v>
      </c>
      <c r="CO11" s="122"/>
      <c r="CP11" s="123"/>
      <c r="CQ11" s="124"/>
      <c r="CR11" s="180" t="str">
        <f>IFERROR((((COUNTIF('Elève (5ème1)'!CO11:CQ11,"A"))*4)+((COUNTIF('Elève (5ème1)'!CO11:CQ11,"B"))*3)+((COUNTIF('Elève (5ème1)'!CO11:CQ11,"C"))*2)+((COUNTIF('Elève (5ème1)'!CO11:CQ11,"D"))*1))/(COUNTA(CO11:CQ11)),"")</f>
        <v/>
      </c>
      <c r="CS11" s="181" t="str">
        <f t="shared" si="20"/>
        <v/>
      </c>
      <c r="CT11" s="122" t="s">
        <v>29</v>
      </c>
      <c r="CU11" s="123" t="s">
        <v>29</v>
      </c>
      <c r="CV11" s="124" t="s">
        <v>27</v>
      </c>
      <c r="CW11" s="180">
        <f>IFERROR((((COUNTIF('Elève (5ème1)'!CT11:CV11,"A"))*4)+((COUNTIF('Elève (5ème1)'!CT11:CV11,"B"))*3)+((COUNTIF('Elève (5ème1)'!CT11:CV11,"C"))*2)+((COUNTIF('Elève (5ème1)'!CT11:CV11,"D"))*1))/(COUNTA(CT11:CV11)),"")</f>
        <v>2.6666666666666665</v>
      </c>
      <c r="CX11" s="181" t="str">
        <f t="shared" si="21"/>
        <v>C</v>
      </c>
      <c r="CY11" s="122"/>
      <c r="CZ11" s="123" t="s">
        <v>29</v>
      </c>
      <c r="DA11" s="124" t="s">
        <v>29</v>
      </c>
      <c r="DB11" s="128" t="s">
        <v>27</v>
      </c>
      <c r="DC11" s="180">
        <f>IFERROR((((COUNTIF('Elève (5ème1)'!CY11:DB11,"A"))*4)+((COUNTIF('Elève (5ème1)'!CY11:DB11,"B"))*3)+((COUNTIF('Elève (5ème1)'!CY11:DB11,"C"))*2)+((COUNTIF('Elève (5ème1)'!CY11:DB11,"D"))*1))/(COUNTA(CY11:DB11)),"")</f>
        <v>2.6666666666666665</v>
      </c>
      <c r="DD11" s="181" t="str">
        <f t="shared" si="22"/>
        <v>C</v>
      </c>
      <c r="DE11" s="208">
        <f>IF(COUNT(CR11,CW11,DC11)=0,"",SUM(CR11,CW11,DC11)/COUNT(CR11,CW11,DC11))</f>
        <v>2.6666666666666665</v>
      </c>
      <c r="DF11" s="205" t="str">
        <f t="shared" si="23"/>
        <v>C</v>
      </c>
      <c r="DG11" s="122"/>
      <c r="DH11" s="123"/>
      <c r="DI11" s="124"/>
      <c r="DJ11" s="180" t="str">
        <f>IFERROR((((COUNTIF('Elève (5ème1)'!DG11:DI11,"A"))*4)+((COUNTIF('Elève (5ème1)'!DG11:DI11,"B"))*3)+((COUNTIF('Elève (5ème1)'!DG11:DI11,"C"))*2)+((COUNTIF('Elève (5ème1)'!DG11:DI11,"D"))*1))/(COUNTA(DG11:DI11)),"")</f>
        <v/>
      </c>
      <c r="DK11" s="181" t="str">
        <f t="shared" si="24"/>
        <v/>
      </c>
      <c r="DL11" s="122" t="s">
        <v>27</v>
      </c>
      <c r="DM11" s="123" t="s">
        <v>27</v>
      </c>
      <c r="DN11" s="124" t="s">
        <v>27</v>
      </c>
      <c r="DO11" s="180">
        <f>IFERROR((((COUNTIF('Elève (5ème1)'!DL11:DN11,"A"))*4)+((COUNTIF('Elève (5ème1)'!DL11:DN11,"B"))*3)+((COUNTIF('Elève (5ème1)'!DL11:DN11,"C"))*2)+((COUNTIF('Elève (5ème1)'!DL11:DN11,"D"))*1))/(COUNTA(DL11:DN11)),"")</f>
        <v>4</v>
      </c>
      <c r="DP11" s="181" t="str">
        <f t="shared" si="25"/>
        <v>A</v>
      </c>
      <c r="DQ11" s="122"/>
      <c r="DR11" s="123" t="s">
        <v>27</v>
      </c>
      <c r="DS11" s="124"/>
      <c r="DT11" s="128" t="s">
        <v>27</v>
      </c>
      <c r="DU11" s="180">
        <f>IFERROR((((COUNTIF('Elève (5ème1)'!DQ11:DT11,"A"))*4)+((COUNTIF('Elève (5ème1)'!DQ11:DT11,"B"))*3)+((COUNTIF('Elève (5ème1)'!DQ11:DT11,"C"))*2)+((COUNTIF('Elève (5ème1)'!DQ11:DT11,"D"))*1))/(COUNTA(DQ11:DT11)),"")</f>
        <v>4</v>
      </c>
      <c r="DV11" s="181" t="str">
        <f t="shared" si="26"/>
        <v>A</v>
      </c>
      <c r="DW11" s="208">
        <f>IF(COUNT(DJ11,DO11,DU11)=0,"",SUM(DJ11,DO11,DU11)/COUNT(DJ11,DO11,DU11))</f>
        <v>4</v>
      </c>
      <c r="DX11" s="205" t="str">
        <f t="shared" si="27"/>
        <v>A</v>
      </c>
      <c r="DY11" s="122"/>
      <c r="DZ11" s="123"/>
      <c r="EA11" s="124"/>
      <c r="EB11" s="180" t="str">
        <f>IFERROR((((COUNTIF('Elève (5ème1)'!DY11:EA11,"A"))*4)+((COUNTIF('Elève (5ème1)'!DY11:EA11,"B"))*3)+((COUNTIF('Elève (5ème1)'!DY11:EA11,"C"))*2)+((COUNTIF('Elève (5ème1)'!DY11:EA11,"D"))*1))/(COUNTA(DY11:EA11)),"")</f>
        <v/>
      </c>
      <c r="EC11" s="181" t="str">
        <f t="shared" si="28"/>
        <v/>
      </c>
      <c r="ED11" s="122" t="s">
        <v>27</v>
      </c>
      <c r="EE11" s="123" t="s">
        <v>29</v>
      </c>
      <c r="EF11" s="124" t="s">
        <v>27</v>
      </c>
      <c r="EG11" s="180">
        <f>IFERROR((((COUNTIF('Elève (5ème1)'!ED11:EF11,"A"))*4)+((COUNTIF('Elève (5ème1)'!ED11:EF11,"B"))*3)+((COUNTIF('Elève (5ème1)'!ED11:EF11,"C"))*2)+((COUNTIF('Elève (5ème1)'!ED11:EF11,"D"))*1))/(COUNTA(ED11:EF11)),"")</f>
        <v>3.3333333333333335</v>
      </c>
      <c r="EH11" s="181" t="str">
        <f t="shared" si="29"/>
        <v>B</v>
      </c>
      <c r="EI11" s="122"/>
      <c r="EJ11" s="123" t="s">
        <v>28</v>
      </c>
      <c r="EK11" s="124" t="s">
        <v>27</v>
      </c>
      <c r="EL11" s="128" t="s">
        <v>27</v>
      </c>
      <c r="EM11" s="180">
        <f>IFERROR((((COUNTIF('Elève (5ème1)'!EI11:EL11,"A"))*4)+((COUNTIF('Elève (5ème1)'!EI11:EL11,"B"))*3)+((COUNTIF('Elève (5ème1)'!EI11:EL11,"C"))*2)+((COUNTIF('Elève (5ème1)'!EI11:EL11,"D"))*1))/(COUNTA(EI11:EL11)),"")</f>
        <v>3.6666666666666665</v>
      </c>
      <c r="EN11" s="181" t="str">
        <f t="shared" si="30"/>
        <v>B</v>
      </c>
      <c r="EO11" s="208">
        <f>IF(COUNT(EB11,EG11,EM11)=0,"",SUM(EB11,EG11,EM11)/COUNT(EB11,EG11,EM11))</f>
        <v>3.5</v>
      </c>
      <c r="EP11" s="205" t="str">
        <f t="shared" si="31"/>
        <v>B</v>
      </c>
      <c r="EQ11" s="122"/>
      <c r="ER11" s="123"/>
      <c r="ES11" s="124"/>
      <c r="ET11" s="180" t="str">
        <f>IFERROR((((COUNTIF('Elève (5ème1)'!EQ11:ES11,"A"))*4)+((COUNTIF('Elève (5ème1)'!EQ11:ES11,"B"))*3)+((COUNTIF('Elève (5ème1)'!EQ11:ES11,"C"))*2)+((COUNTIF('Elève (5ème1)'!EQ11:ES11,"D"))*1))/(COUNTA(EQ11:ES11)),"")</f>
        <v/>
      </c>
      <c r="EU11" s="181" t="str">
        <f t="shared" si="32"/>
        <v/>
      </c>
      <c r="EV11" s="122" t="s">
        <v>28</v>
      </c>
      <c r="EW11" s="123" t="s">
        <v>29</v>
      </c>
      <c r="EX11" s="124" t="s">
        <v>27</v>
      </c>
      <c r="EY11" s="180">
        <f>IFERROR((((COUNTIF('Elève (5ème1)'!EV11:EX11,"A"))*4)+((COUNTIF('Elève (5ème1)'!EV11:EX11,"B"))*3)+((COUNTIF('Elève (5ème1)'!EV11:EX11,"C"))*2)+((COUNTIF('Elève (5ème1)'!EV11:EX11,"D"))*1))/(COUNTA(EV11:EX11)),"")</f>
        <v>3</v>
      </c>
      <c r="EZ11" s="181" t="str">
        <f t="shared" si="33"/>
        <v>B</v>
      </c>
      <c r="FA11" s="122"/>
      <c r="FB11" s="123" t="s">
        <v>28</v>
      </c>
      <c r="FC11" s="124" t="s">
        <v>27</v>
      </c>
      <c r="FD11" s="128" t="s">
        <v>27</v>
      </c>
      <c r="FE11" s="180">
        <f>IFERROR((((COUNTIF('Elève (5ème1)'!FA11:FD11,"A"))*4)+((COUNTIF('Elève (5ème1)'!FA11:FD11,"B"))*3)+((COUNTIF('Elève (5ème1)'!FA11:FD11,"C"))*2)+((COUNTIF('Elève (5ème1)'!FA11:FD11,"D"))*1))/(COUNTA(FA11:FD11)),"")</f>
        <v>3.6666666666666665</v>
      </c>
      <c r="FF11" s="181" t="str">
        <f t="shared" si="34"/>
        <v>B</v>
      </c>
      <c r="FG11" s="208">
        <f>IF(COUNT(ET11,EY11,FE11)=0,"",SUM(ET11,EY11,FE11)/COUNT(ET11,EY11,FE11))</f>
        <v>3.333333333333333</v>
      </c>
      <c r="FH11" s="205" t="str">
        <f t="shared" si="35"/>
        <v>B</v>
      </c>
      <c r="FI11" s="122"/>
      <c r="FJ11" s="123"/>
      <c r="FK11" s="124"/>
      <c r="FL11" s="180" t="str">
        <f>IFERROR((((COUNTIF('Elève (5ème1)'!FI11:FK11,"A"))*4)+((COUNTIF('Elève (5ème1)'!FI11:FK11,"B"))*3)+((COUNTIF('Elève (5ème1)'!FI11:FK11,"C"))*2)+((COUNTIF('Elève (5ème1)'!FI11:FK11,"D"))*1))/(COUNTA(FI11:FK11)),"")</f>
        <v/>
      </c>
      <c r="FM11" s="181" t="str">
        <f t="shared" si="36"/>
        <v/>
      </c>
      <c r="FN11" s="122" t="s">
        <v>27</v>
      </c>
      <c r="FO11" s="123" t="s">
        <v>27</v>
      </c>
      <c r="FP11" s="124"/>
      <c r="FQ11" s="180">
        <f>IFERROR((((COUNTIF('Elève (5ème1)'!FN11:FP11,"A"))*4)+((COUNTIF('Elève (5ème1)'!FN11:FP11,"B"))*3)+((COUNTIF('Elève (5ème1)'!FN11:FP11,"C"))*2)+((COUNTIF('Elève (5ème1)'!FN11:FP11,"D"))*1))/(COUNTA(FN11:FP11)),"")</f>
        <v>4</v>
      </c>
      <c r="FR11" s="181" t="str">
        <f t="shared" si="37"/>
        <v>A</v>
      </c>
      <c r="FS11" s="122"/>
      <c r="FT11" s="123" t="s">
        <v>28</v>
      </c>
      <c r="FU11" s="124" t="s">
        <v>27</v>
      </c>
      <c r="FV11" s="128" t="s">
        <v>27</v>
      </c>
      <c r="FW11" s="180">
        <f>IFERROR((((COUNTIF('Elève (5ème1)'!FS11:FV11,"A"))*4)+((COUNTIF('Elève (5ème1)'!FS11:FV11,"B"))*3)+((COUNTIF('Elève (5ème1)'!FS11:FV11,"C"))*2)+((COUNTIF('Elève (5ème1)'!FS11:FV11,"D"))*1))/(COUNTA(FS11:FV11)),"")</f>
        <v>3.6666666666666665</v>
      </c>
      <c r="FX11" s="181" t="str">
        <f t="shared" si="38"/>
        <v>B</v>
      </c>
      <c r="FY11" s="208">
        <f>IF(COUNT(FL11,FQ11,FW11)=0,"",SUM(FL11,FQ11,FW11)/COUNT(FL11,FQ11,FW11))</f>
        <v>3.833333333333333</v>
      </c>
      <c r="FZ11" s="205" t="str">
        <f t="shared" si="39"/>
        <v>A</v>
      </c>
      <c r="GA11" s="122"/>
      <c r="GB11" s="123"/>
      <c r="GC11" s="124"/>
      <c r="GD11" s="180" t="str">
        <f>IFERROR((((COUNTIF('Elève (5ème1)'!GA11:GC11,"A"))*4)+((COUNTIF('Elève (5ème1)'!GA11:GC11,"B"))*3)+((COUNTIF('Elève (5ème1)'!GA11:GC11,"C"))*2)+((COUNTIF('Elève (5ème1)'!GA11:GC11,"D"))*1))/(COUNTA(GA11:GC11)),"")</f>
        <v/>
      </c>
      <c r="GE11" s="181" t="str">
        <f t="shared" si="40"/>
        <v/>
      </c>
      <c r="GF11" s="122" t="s">
        <v>28</v>
      </c>
      <c r="GG11" s="123" t="s">
        <v>27</v>
      </c>
      <c r="GH11" s="124" t="s">
        <v>27</v>
      </c>
      <c r="GI11" s="180">
        <f>IFERROR((((COUNTIF('Elève (5ème1)'!GF11:GH11,"A"))*4)+((COUNTIF('Elève (5ème1)'!GF11:GH11,"B"))*3)+((COUNTIF('Elève (5ème1)'!GF11:GH11,"C"))*2)+((COUNTIF('Elève (5ème1)'!GF11:GH11,"D"))*1))/(COUNTA(GF11:GH11)),"")</f>
        <v>3.6666666666666665</v>
      </c>
      <c r="GJ11" s="181" t="str">
        <f t="shared" si="41"/>
        <v>B</v>
      </c>
      <c r="GK11" s="122"/>
      <c r="GL11" s="123" t="s">
        <v>28</v>
      </c>
      <c r="GM11" s="124" t="s">
        <v>28</v>
      </c>
      <c r="GN11" s="128" t="s">
        <v>27</v>
      </c>
      <c r="GO11" s="180">
        <f>IFERROR((((COUNTIF('Elève (5ème1)'!GK11:GN11,"A"))*4)+((COUNTIF('Elève (5ème1)'!GK11:GN11,"B"))*3)+((COUNTIF('Elève (5ème1)'!GK11:GN11,"C"))*2)+((COUNTIF('Elève (5ème1)'!GK11:GN11,"D"))*1))/(COUNTA(GK11:GN11)),"")</f>
        <v>3.3333333333333335</v>
      </c>
      <c r="GP11" s="181" t="str">
        <f t="shared" si="42"/>
        <v>B</v>
      </c>
      <c r="GQ11" s="208">
        <f>IF(COUNT(GD11,GI11,GO11)=0,"",SUM(GD11,GI11,GO11)/COUNT(GD11,GI11,GO11))</f>
        <v>3.5</v>
      </c>
      <c r="GR11" s="205" t="str">
        <f t="shared" si="43"/>
        <v>B</v>
      </c>
      <c r="GS11" s="122"/>
      <c r="GT11" s="123"/>
      <c r="GU11" s="124"/>
      <c r="GV11" s="180" t="str">
        <f>IFERROR((((COUNTIF('Elève (5ème1)'!GS11:GU11,"A"))*4)+((COUNTIF('Elève (5ème1)'!GS11:GU11,"B"))*3)+((COUNTIF('Elève (5ème1)'!GS11:GU11,"C"))*2)+((COUNTIF('Elève (5ème1)'!GS11:GU11,"D"))*1))/(COUNTA(GS11:GU11)),"")</f>
        <v/>
      </c>
      <c r="GW11" s="181" t="str">
        <f t="shared" si="44"/>
        <v/>
      </c>
      <c r="GX11" s="122" t="s">
        <v>27</v>
      </c>
      <c r="GY11" s="123" t="s">
        <v>29</v>
      </c>
      <c r="GZ11" s="124" t="s">
        <v>27</v>
      </c>
      <c r="HA11" s="180">
        <f>IFERROR((((COUNTIF('Elève (5ème1)'!GX11:GZ11,"A"))*4)+((COUNTIF('Elève (5ème1)'!GX11:GZ11,"B"))*3)+((COUNTIF('Elève (5ème1)'!GX11:GZ11,"C"))*2)+((COUNTIF('Elève (5ème1)'!GX11:GZ11,"D"))*1))/(COUNTA(GX11:GZ11)),"")</f>
        <v>3.3333333333333335</v>
      </c>
      <c r="HB11" s="181" t="str">
        <f t="shared" si="45"/>
        <v>B</v>
      </c>
      <c r="HC11" s="122"/>
      <c r="HD11" s="123" t="s">
        <v>27</v>
      </c>
      <c r="HE11" s="124" t="s">
        <v>28</v>
      </c>
      <c r="HF11" s="128" t="s">
        <v>27</v>
      </c>
      <c r="HG11" s="180">
        <f>IFERROR((((COUNTIF('Elève (5ème1)'!HC11:HF11,"A"))*4)+((COUNTIF('Elève (5ème1)'!HC11:HF11,"B"))*3)+((COUNTIF('Elève (5ème1)'!HC11:HF11,"C"))*2)+((COUNTIF('Elève (5ème1)'!HC11:HF11,"D"))*1))/(COUNTA(HC11:HF11)),"")</f>
        <v>3.6666666666666665</v>
      </c>
      <c r="HH11" s="181" t="str">
        <f t="shared" si="46"/>
        <v>B</v>
      </c>
      <c r="HI11" s="208">
        <f>IF(COUNT(GV11,HA11,HG11)=0,"",SUM(GV11,HA11,HG11)/COUNT(GV11,HA11,HG11))</f>
        <v>3.5</v>
      </c>
      <c r="HJ11" s="205" t="str">
        <f t="shared" si="47"/>
        <v>B</v>
      </c>
      <c r="HK11" s="122"/>
      <c r="HL11" s="123"/>
      <c r="HM11" s="124"/>
      <c r="HN11" s="180" t="str">
        <f>IFERROR((((COUNTIF('Elève (5ème1)'!HK11:HM11,"A"))*4)+((COUNTIF('Elève (5ème1)'!HK11:HM11,"B"))*3)+((COUNTIF('Elève (5ème1)'!HK11:HM11,"C"))*2)+((COUNTIF('Elève (5ème1)'!HK11:HM11,"D"))*1))/(COUNTA(HK11:HM11)),"")</f>
        <v/>
      </c>
      <c r="HO11" s="181" t="str">
        <f t="shared" si="48"/>
        <v/>
      </c>
      <c r="HP11" s="122" t="s">
        <v>27</v>
      </c>
      <c r="HQ11" s="123" t="s">
        <v>29</v>
      </c>
      <c r="HR11" s="124" t="s">
        <v>27</v>
      </c>
      <c r="HS11" s="180">
        <f>IFERROR((((COUNTIF('Elève (5ème1)'!HP11:HR11,"A"))*4)+((COUNTIF('Elève (5ème1)'!HP11:HR11,"B"))*3)+((COUNTIF('Elève (5ème1)'!HP11:HR11,"C"))*2)+((COUNTIF('Elève (5ème1)'!HP11:HR11,"D"))*1))/(COUNTA(HP11:HR11)),"")</f>
        <v>3.3333333333333335</v>
      </c>
      <c r="HT11" s="181" t="str">
        <f t="shared" si="49"/>
        <v>B</v>
      </c>
      <c r="HU11" s="122"/>
      <c r="HV11" s="123" t="s">
        <v>28</v>
      </c>
      <c r="HW11" s="124" t="s">
        <v>28</v>
      </c>
      <c r="HX11" s="128" t="s">
        <v>27</v>
      </c>
      <c r="HY11" s="180">
        <f>IFERROR((((COUNTIF('Elève (5ème1)'!HU11:HX11,"A"))*4)+((COUNTIF('Elève (5ème1)'!HU11:HX11,"B"))*3)+((COUNTIF('Elève (5ème1)'!HU11:HX11,"C"))*2)+((COUNTIF('Elève (5ème1)'!HU11:HX11,"D"))*1))/(COUNTA(HU11:HX11)),"")</f>
        <v>3.3333333333333335</v>
      </c>
      <c r="HZ11" s="181" t="str">
        <f t="shared" si="50"/>
        <v>B</v>
      </c>
      <c r="IA11" s="208">
        <f>IF(COUNT(HN11,HS11,HY11)=0,"",SUM(HN11,HS11,HY11)/COUNT(HN11,HS11,HY11))</f>
        <v>3.3333333333333335</v>
      </c>
      <c r="IB11" s="205" t="str">
        <f t="shared" si="51"/>
        <v>B</v>
      </c>
      <c r="IC11" s="122"/>
      <c r="ID11" s="123"/>
      <c r="IE11" s="124"/>
      <c r="IF11" s="180" t="str">
        <f>IFERROR((((COUNTIF('Elève (5ème1)'!IC11:IE11,"A"))*4)+((COUNTIF('Elève (5ème1)'!IC11:IE11,"B"))*3)+((COUNTIF('Elève (5ème1)'!IC11:IE11,"C"))*2)+((COUNTIF('Elève (5ème1)'!IC11:IE11,"D"))*1))/(COUNTA(IC11:IE11)),"")</f>
        <v/>
      </c>
      <c r="IG11" s="181" t="str">
        <f t="shared" si="52"/>
        <v/>
      </c>
      <c r="IH11" s="122" t="s">
        <v>27</v>
      </c>
      <c r="II11" s="123" t="s">
        <v>27</v>
      </c>
      <c r="IJ11" s="124" t="s">
        <v>27</v>
      </c>
      <c r="IK11" s="180">
        <f>IFERROR((((COUNTIF('Elève (5ème1)'!IH11:IJ11,"A"))*4)+((COUNTIF('Elève (5ème1)'!IH11:IJ11,"B"))*3)+((COUNTIF('Elève (5ème1)'!IH11:IJ11,"C"))*2)+((COUNTIF('Elève (5ème1)'!IH11:IJ11,"D"))*1))/(COUNTA(IH11:IJ11)),"")</f>
        <v>4</v>
      </c>
      <c r="IL11" s="181" t="str">
        <f t="shared" si="53"/>
        <v>A</v>
      </c>
      <c r="IM11" s="122"/>
      <c r="IN11" s="123" t="s">
        <v>28</v>
      </c>
      <c r="IO11" s="124" t="s">
        <v>28</v>
      </c>
      <c r="IP11" s="128" t="s">
        <v>27</v>
      </c>
      <c r="IQ11" s="180">
        <f>IFERROR((((COUNTIF('Elève (5ème1)'!IM11:IP11,"A"))*4)+((COUNTIF('Elève (5ème1)'!IM11:IP11,"B"))*3)+((COUNTIF('Elève (5ème1)'!IM11:IP11,"C"))*2)+((COUNTIF('Elève (5ème1)'!IM11:IP11,"D"))*1))/(COUNTA(IM11:IP11)),"")</f>
        <v>3.3333333333333335</v>
      </c>
      <c r="IR11" s="181" t="str">
        <f t="shared" si="54"/>
        <v>B</v>
      </c>
      <c r="IS11" s="208">
        <f>IF(COUNT(IF11,IK11,IQ11)=0,"",SUM(IF11,IK11,IQ11)/COUNT(IF11,IK11,IQ11))</f>
        <v>3.666666666666667</v>
      </c>
      <c r="IT11" s="205" t="str">
        <f t="shared" si="55"/>
        <v>B</v>
      </c>
      <c r="IU11" s="122"/>
      <c r="IV11" s="123"/>
      <c r="IW11" s="124"/>
      <c r="IX11" s="180" t="str">
        <f>IFERROR((((COUNTIF('Elève (5ème1)'!IU11:IW11,"A"))*4)+((COUNTIF('Elève (5ème1)'!IU11:IW11,"B"))*3)+((COUNTIF('Elève (5ème1)'!IU11:IW11,"C"))*2)+((COUNTIF('Elève (5ème1)'!IU11:IW11,"D"))*1))/(COUNTA(IU11:IW11)),"")</f>
        <v/>
      </c>
      <c r="IY11" s="181" t="str">
        <f t="shared" si="56"/>
        <v/>
      </c>
      <c r="IZ11" s="122" t="s">
        <v>27</v>
      </c>
      <c r="JA11" s="123" t="s">
        <v>27</v>
      </c>
      <c r="JB11" s="124" t="s">
        <v>27</v>
      </c>
      <c r="JC11" s="180">
        <f>IFERROR((((COUNTIF('Elève (5ème1)'!IZ11:JB11,"A"))*4)+((COUNTIF('Elève (5ème1)'!IZ11:JB11,"B"))*3)+((COUNTIF('Elève (5ème1)'!IZ11:JB11,"C"))*2)+((COUNTIF('Elève (5ème1)'!IZ11:JB11,"D"))*1))/(COUNTA(IZ11:JB11)),"")</f>
        <v>4</v>
      </c>
      <c r="JD11" s="181" t="str">
        <f t="shared" si="57"/>
        <v>A</v>
      </c>
      <c r="JE11" s="122"/>
      <c r="JF11" s="123" t="s">
        <v>27</v>
      </c>
      <c r="JG11" s="124" t="s">
        <v>28</v>
      </c>
      <c r="JH11" s="128" t="s">
        <v>27</v>
      </c>
      <c r="JI11" s="180">
        <f>IFERROR((((COUNTIF('Elève (5ème1)'!JE11:JH11,"A"))*4)+((COUNTIF('Elève (5ème1)'!JE11:JH11,"B"))*3)+((COUNTIF('Elève (5ème1)'!JE11:JH11,"C"))*2)+((COUNTIF('Elève (5ème1)'!JE11:JH11,"D"))*1))/(COUNTA(JE11:JH11)),"")</f>
        <v>3.6666666666666665</v>
      </c>
      <c r="JJ11" s="181" t="str">
        <f t="shared" si="58"/>
        <v>B</v>
      </c>
      <c r="JK11" s="208">
        <f>IF(COUNT(IX11,JC11,JI11)=0,"",SUM(IX11,JC11,JI11)/COUNT(IX11,JC11,JI11))</f>
        <v>3.833333333333333</v>
      </c>
      <c r="JL11" s="205" t="str">
        <f t="shared" si="59"/>
        <v>A</v>
      </c>
      <c r="JM11" s="122"/>
      <c r="JN11" s="123"/>
      <c r="JO11" s="124"/>
      <c r="JP11" s="180" t="str">
        <f>IFERROR((((COUNTIF('Elève (5ème1)'!JM11:JO11,"A"))*4)+((COUNTIF('Elève (5ème1)'!JM11:JO11,"B"))*3)+((COUNTIF('Elève (5ème1)'!JM11:JO11,"C"))*2)+((COUNTIF('Elève (5ème1)'!JM11:JO11,"D"))*1))/(COUNTA(JM11:JO11)),"")</f>
        <v/>
      </c>
      <c r="JQ11" s="181" t="str">
        <f t="shared" si="60"/>
        <v/>
      </c>
      <c r="JR11" s="122" t="s">
        <v>27</v>
      </c>
      <c r="JS11" s="123" t="s">
        <v>27</v>
      </c>
      <c r="JT11" s="124"/>
      <c r="JU11" s="180">
        <f>IFERROR((((COUNTIF('Elève (5ème1)'!JR11:JT11,"A"))*4)+((COUNTIF('Elève (5ème1)'!JR11:JT11,"B"))*3)+((COUNTIF('Elève (5ème1)'!JR11:JT11,"C"))*2)+((COUNTIF('Elève (5ème1)'!JR11:JT11,"D"))*1))/(COUNTA(JR11:JT11)),"")</f>
        <v>4</v>
      </c>
      <c r="JV11" s="181" t="str">
        <f t="shared" si="61"/>
        <v>A</v>
      </c>
      <c r="JW11" s="122"/>
      <c r="JX11" s="123" t="s">
        <v>28</v>
      </c>
      <c r="JY11" s="124" t="s">
        <v>27</v>
      </c>
      <c r="JZ11" s="128" t="s">
        <v>27</v>
      </c>
      <c r="KA11" s="180">
        <f>IFERROR((((COUNTIF('Elève (5ème1)'!JW11:JZ11,"A"))*4)+((COUNTIF('Elève (5ème1)'!JW11:JZ11,"B"))*3)+((COUNTIF('Elève (5ème1)'!JW11:JZ11,"C"))*2)+((COUNTIF('Elève (5ème1)'!JW11:JZ11,"D"))*1))/(COUNTA(JW11:JZ11)),"")</f>
        <v>3.6666666666666665</v>
      </c>
      <c r="KB11" s="181" t="str">
        <f t="shared" si="62"/>
        <v>B</v>
      </c>
      <c r="KC11" s="208">
        <f>IF(COUNT(JP11,JU11,KA11)=0,"",SUM(JP11,JU11,KA11)/COUNT(JP11,JU11,KA11))</f>
        <v>3.833333333333333</v>
      </c>
      <c r="KD11" s="205" t="str">
        <f t="shared" si="63"/>
        <v>A</v>
      </c>
      <c r="KE11" s="122"/>
      <c r="KF11" s="123"/>
      <c r="KG11" s="124"/>
      <c r="KH11" s="180" t="str">
        <f>IFERROR((((COUNTIF('Elève (5ème1)'!KE11:KG11,"A"))*4)+((COUNTIF('Elève (5ème1)'!KE11:KG11,"B"))*3)+((COUNTIF('Elève (5ème1)'!KE11:KG11,"C"))*2)+((COUNTIF('Elève (5ème1)'!KE11:KG11,"D"))*1))/(COUNTA(KE11:KG11)),"")</f>
        <v/>
      </c>
      <c r="KI11" s="181" t="str">
        <f t="shared" si="64"/>
        <v/>
      </c>
      <c r="KJ11" s="122"/>
      <c r="KK11" s="123" t="s">
        <v>29</v>
      </c>
      <c r="KL11" s="124" t="s">
        <v>27</v>
      </c>
      <c r="KM11" s="180">
        <f>IFERROR((((COUNTIF('Elève (5ème1)'!KJ11:KL11,"A"))*4)+((COUNTIF('Elève (5ème1)'!KJ11:KL11,"B"))*3)+((COUNTIF('Elève (5ème1)'!KJ11:KL11,"C"))*2)+((COUNTIF('Elève (5ème1)'!KJ11:KL11,"D"))*1))/(COUNTA(KJ11:KL11)),"")</f>
        <v>3</v>
      </c>
      <c r="KN11" s="181" t="str">
        <f t="shared" si="65"/>
        <v>B</v>
      </c>
      <c r="KO11" s="122"/>
      <c r="KP11" s="123" t="s">
        <v>27</v>
      </c>
      <c r="KQ11" s="124"/>
      <c r="KR11" s="128" t="s">
        <v>27</v>
      </c>
      <c r="KS11" s="180">
        <f>IFERROR((((COUNTIF('Elève (5ème1)'!KO11:KR11,"A"))*4)+((COUNTIF('Elève (5ème1)'!KO11:KR11,"B"))*3)+((COUNTIF('Elève (5ème1)'!KO11:KR11,"C"))*2)+((COUNTIF('Elève (5ème1)'!KO11:KR11,"D"))*1))/(COUNTA(KO11:KR11)),"")</f>
        <v>4</v>
      </c>
      <c r="KT11" s="181" t="str">
        <f t="shared" si="66"/>
        <v>A</v>
      </c>
      <c r="KU11" s="208">
        <f>IF(COUNT(KH11,KM11,KS11)=0,"",SUM(KH11,KM11,KS11)/COUNT(KH11,KM11,KS11))</f>
        <v>3.5</v>
      </c>
      <c r="KV11" s="205" t="str">
        <f t="shared" si="67"/>
        <v>B</v>
      </c>
      <c r="KW11" s="122"/>
      <c r="KX11" s="123"/>
      <c r="KY11" s="124"/>
      <c r="KZ11" s="180" t="str">
        <f>IFERROR((((COUNTIF('Elève (5ème1)'!KW11:KY11,"A"))*4)+((COUNTIF('Elève (5ème1)'!KW11:KY11,"B"))*3)+((COUNTIF('Elève (5ème1)'!KW11:KY11,"C"))*2)+((COUNTIF('Elève (5ème1)'!KW11:KY11,"D"))*1))/(COUNTA(KW11:KY11)),"")</f>
        <v/>
      </c>
      <c r="LA11" s="181" t="str">
        <f t="shared" si="68"/>
        <v/>
      </c>
      <c r="LB11" s="122" t="s">
        <v>27</v>
      </c>
      <c r="LC11" s="123" t="s">
        <v>27</v>
      </c>
      <c r="LD11" s="124" t="s">
        <v>27</v>
      </c>
      <c r="LE11" s="180">
        <f>IFERROR((((COUNTIF('Elève (5ème1)'!LB11:LD11,"A"))*4)+((COUNTIF('Elève (5ème1)'!LB11:LD11,"B"))*3)+((COUNTIF('Elève (5ème1)'!LB11:LD11,"C"))*2)+((COUNTIF('Elève (5ème1)'!LB11:LD11,"D"))*1))/(COUNTA(LB11:LD11)),"")</f>
        <v>4</v>
      </c>
      <c r="LF11" s="181" t="str">
        <f t="shared" si="69"/>
        <v>A</v>
      </c>
      <c r="LG11" s="122"/>
      <c r="LH11" s="123" t="s">
        <v>27</v>
      </c>
      <c r="LI11" s="124" t="s">
        <v>28</v>
      </c>
      <c r="LJ11" s="128" t="s">
        <v>27</v>
      </c>
      <c r="LK11" s="180">
        <f>IFERROR((((COUNTIF('Elève (5ème1)'!LG11:LJ11,"A"))*4)+((COUNTIF('Elève (5ème1)'!LG11:LJ11,"B"))*3)+((COUNTIF('Elève (5ème1)'!LG11:LJ11,"C"))*2)+((COUNTIF('Elève (5ème1)'!LG11:LJ11,"D"))*1))/(COUNTA(LG11:LJ11)),"")</f>
        <v>3.6666666666666665</v>
      </c>
      <c r="LL11" s="181" t="str">
        <f t="shared" si="70"/>
        <v>B</v>
      </c>
      <c r="LM11" s="208">
        <f>IF(COUNT(KZ11,LE11,LK11)=0,"",SUM(KZ11,LE11,LK11)/COUNT(KZ11,LE11,LK11))</f>
        <v>3.833333333333333</v>
      </c>
      <c r="LN11" s="205" t="str">
        <f t="shared" si="71"/>
        <v>A</v>
      </c>
      <c r="LO11" s="122"/>
      <c r="LP11" s="123"/>
      <c r="LQ11" s="124"/>
      <c r="LR11" s="180" t="str">
        <f>IFERROR((((COUNTIF('Elève (5ème1)'!LO11:LQ11,"A"))*4)+((COUNTIF('Elève (5ème1)'!LO11:LQ11,"B"))*3)+((COUNTIF('Elève (5ème1)'!LO11:LQ11,"C"))*2)+((COUNTIF('Elève (5ème1)'!LO11:LQ11,"D"))*1))/(COUNTA(LO11:LQ11)),"")</f>
        <v/>
      </c>
      <c r="LS11" s="181" t="str">
        <f t="shared" si="72"/>
        <v/>
      </c>
      <c r="LT11" s="122" t="s">
        <v>28</v>
      </c>
      <c r="LU11" s="123" t="s">
        <v>29</v>
      </c>
      <c r="LV11" s="124" t="s">
        <v>27</v>
      </c>
      <c r="LW11" s="180">
        <f>IFERROR((((COUNTIF('Elève (5ème1)'!LT11:LV11,"A"))*4)+((COUNTIF('Elève (5ème1)'!LT11:LV11,"B"))*3)+((COUNTIF('Elève (5ème1)'!LT11:LV11,"C"))*2)+((COUNTIF('Elève (5ème1)'!LT11:LV11,"D"))*1))/(COUNTA(LT11:LV11)),"")</f>
        <v>3</v>
      </c>
      <c r="LX11" s="181" t="str">
        <f t="shared" si="73"/>
        <v>B</v>
      </c>
      <c r="LY11" s="122"/>
      <c r="LZ11" s="123" t="s">
        <v>29</v>
      </c>
      <c r="MA11" s="124" t="s">
        <v>27</v>
      </c>
      <c r="MB11" s="128" t="s">
        <v>27</v>
      </c>
      <c r="MC11" s="180">
        <f>IFERROR((((COUNTIF('Elève (5ème1)'!LY11:MB11,"A"))*4)+((COUNTIF('Elève (5ème1)'!LY11:MB11,"B"))*3)+((COUNTIF('Elève (5ème1)'!LY11:MB11,"C"))*2)+((COUNTIF('Elève (5ème1)'!LY11:MB11,"D"))*1))/(COUNTA(LY11:MB11)),"")</f>
        <v>3.3333333333333335</v>
      </c>
      <c r="MD11" s="181" t="str">
        <f t="shared" si="74"/>
        <v>B</v>
      </c>
      <c r="ME11" s="208">
        <f>IF(COUNT(LR11,LW11,MC11)=0,"",SUM(LR11,LW11,MC11)/COUNT(LR11,LW11,MC11))</f>
        <v>3.166666666666667</v>
      </c>
      <c r="MF11" s="205" t="str">
        <f t="shared" si="75"/>
        <v>B</v>
      </c>
      <c r="MG11" s="122"/>
      <c r="MH11" s="123"/>
      <c r="MI11" s="124"/>
      <c r="MJ11" s="180" t="str">
        <f>IFERROR((((COUNTIF('Elève (5ème1)'!MG11:MI11,"A"))*4)+((COUNTIF('Elève (5ème1)'!MG11:MI11,"B"))*3)+((COUNTIF('Elève (5ème1)'!MG11:MI11,"C"))*2)+((COUNTIF('Elève (5ème1)'!MG11:MI11,"D"))*1))/(COUNTA(MG11:MI11)),"")</f>
        <v/>
      </c>
      <c r="MK11" s="181" t="str">
        <f t="shared" si="76"/>
        <v/>
      </c>
      <c r="ML11" s="122" t="s">
        <v>27</v>
      </c>
      <c r="MM11" s="123" t="s">
        <v>27</v>
      </c>
      <c r="MN11" s="124" t="s">
        <v>27</v>
      </c>
      <c r="MO11" s="180">
        <f>IFERROR((((COUNTIF('Elève (5ème1)'!ML11:MN11,"A"))*4)+((COUNTIF('Elève (5ème1)'!ML11:MN11,"B"))*3)+((COUNTIF('Elève (5ème1)'!ML11:MN11,"C"))*2)+((COUNTIF('Elève (5ème1)'!ML11:MN11,"D"))*1))/(COUNTA(ML11:MN11)),"")</f>
        <v>4</v>
      </c>
      <c r="MP11" s="181" t="str">
        <f t="shared" si="77"/>
        <v>A</v>
      </c>
      <c r="MQ11" s="122"/>
      <c r="MR11" s="123" t="s">
        <v>28</v>
      </c>
      <c r="MS11" s="124" t="s">
        <v>27</v>
      </c>
      <c r="MT11" s="128" t="s">
        <v>27</v>
      </c>
      <c r="MU11" s="180">
        <f>IFERROR((((COUNTIF('Elève (5ème1)'!MQ11:MT11,"A"))*4)+((COUNTIF('Elève (5ème1)'!MQ11:MT11,"B"))*3)+((COUNTIF('Elève (5ème1)'!MQ11:MT11,"C"))*2)+((COUNTIF('Elève (5ème1)'!MQ11:MT11,"D"))*1))/(COUNTA(MQ11:MT11)),"")</f>
        <v>3.6666666666666665</v>
      </c>
      <c r="MV11" s="181" t="str">
        <f t="shared" si="78"/>
        <v>B</v>
      </c>
      <c r="MW11" s="208">
        <f>IF(COUNT(MJ11,MO11,MU11)=0,"",SUM(MJ11,MO11,MU11)/COUNT(MJ11,MO11,MU11))</f>
        <v>3.833333333333333</v>
      </c>
      <c r="MX11" s="205" t="str">
        <f t="shared" si="79"/>
        <v>A</v>
      </c>
      <c r="MY11" s="122"/>
      <c r="MZ11" s="123"/>
      <c r="NA11" s="124"/>
      <c r="NB11" s="180" t="str">
        <f>IFERROR((((COUNTIF('Elève (5ème1)'!MY11:NA11,"A"))*4)+((COUNTIF('Elève (5ème1)'!MY11:NA11,"B"))*3)+((COUNTIF('Elève (5ème1)'!MY11:NA11,"C"))*2)+((COUNTIF('Elève (5ème1)'!MY11:NA11,"D"))*1))/(COUNTA(MY11:NA11)),"")</f>
        <v/>
      </c>
      <c r="NC11" s="181" t="str">
        <f t="shared" si="80"/>
        <v/>
      </c>
      <c r="ND11" s="122" t="s">
        <v>27</v>
      </c>
      <c r="NE11" s="123" t="s">
        <v>27</v>
      </c>
      <c r="NF11" s="124" t="s">
        <v>27</v>
      </c>
      <c r="NG11" s="180">
        <f>IFERROR((((COUNTIF('Elève (5ème1)'!ND11:NF11,"A"))*4)+((COUNTIF('Elève (5ème1)'!ND11:NF11,"B"))*3)+((COUNTIF('Elève (5ème1)'!ND11:NF11,"C"))*2)+((COUNTIF('Elève (5ème1)'!ND11:NF11,"D"))*1))/(COUNTA(ND11:NF11)),"")</f>
        <v>4</v>
      </c>
      <c r="NH11" s="181" t="str">
        <f t="shared" si="81"/>
        <v>A</v>
      </c>
      <c r="NI11" s="122"/>
      <c r="NJ11" s="123" t="s">
        <v>27</v>
      </c>
      <c r="NK11" s="124" t="s">
        <v>27</v>
      </c>
      <c r="NL11" s="128" t="s">
        <v>27</v>
      </c>
      <c r="NM11" s="180">
        <f>IFERROR((((COUNTIF('Elève (5ème1)'!NI11:NL11,"A"))*4)+((COUNTIF('Elève (5ème1)'!NI11:NL11,"B"))*3)+((COUNTIF('Elève (5ème1)'!NI11:NL11,"C"))*2)+((COUNTIF('Elève (5ème1)'!NI11:NL11,"D"))*1))/(COUNTA(NI11:NL11)),"")</f>
        <v>4</v>
      </c>
      <c r="NN11" s="181" t="str">
        <f t="shared" si="82"/>
        <v>A</v>
      </c>
      <c r="NO11" s="208">
        <f>IF(COUNT(NB11,NG11,NM11)=0,"",SUM(NB11,NG11,NM11)/COUNT(NB11,NG11,NM11))</f>
        <v>4</v>
      </c>
      <c r="NP11" s="205" t="str">
        <f t="shared" si="83"/>
        <v>A</v>
      </c>
      <c r="NQ11" s="122"/>
      <c r="NR11" s="123"/>
      <c r="NS11" s="124"/>
      <c r="NT11" s="180" t="str">
        <f>IFERROR((((COUNTIF('Elève (5ème1)'!NQ11:NS11,"A"))*4)+((COUNTIF('Elève (5ème1)'!NQ11:NS11,"B"))*3)+((COUNTIF('Elève (5ème1)'!NQ11:NS11,"C"))*2)+((COUNTIF('Elève (5ème1)'!NQ11:NS11,"D"))*1))/(COUNTA(NQ11:NS11)),"")</f>
        <v/>
      </c>
      <c r="NU11" s="181" t="str">
        <f t="shared" si="84"/>
        <v/>
      </c>
      <c r="NV11" s="122"/>
      <c r="NW11" s="123" t="s">
        <v>29</v>
      </c>
      <c r="NX11" s="124" t="s">
        <v>28</v>
      </c>
      <c r="NY11" s="180">
        <f>IFERROR((((COUNTIF('Elève (5ème1)'!NV11:NX11,"A"))*4)+((COUNTIF('Elève (5ème1)'!NV11:NX11,"B"))*3)+((COUNTIF('Elève (5ème1)'!NV11:NX11,"C"))*2)+((COUNTIF('Elève (5ème1)'!NV11:NX11,"D"))*1))/(COUNTA(NV11:NX11)),"")</f>
        <v>2.5</v>
      </c>
      <c r="NZ11" s="181" t="str">
        <f t="shared" si="85"/>
        <v>C</v>
      </c>
      <c r="OA11" s="122"/>
      <c r="OB11" s="123" t="s">
        <v>29</v>
      </c>
      <c r="OC11" s="124" t="s">
        <v>29</v>
      </c>
      <c r="OD11" s="128" t="s">
        <v>27</v>
      </c>
      <c r="OE11" s="180">
        <f>IFERROR((((COUNTIF('Elève (5ème1)'!OA11:OD11,"A"))*4)+((COUNTIF('Elève (5ème1)'!OA11:OD11,"B"))*3)+((COUNTIF('Elève (5ème1)'!OA11:OD11,"C"))*2)+((COUNTIF('Elève (5ème1)'!OA11:OD11,"D"))*1))/(COUNTA(OA11:OD11)),"")</f>
        <v>2.6666666666666665</v>
      </c>
      <c r="OF11" s="181" t="str">
        <f t="shared" si="86"/>
        <v>C</v>
      </c>
      <c r="OG11" s="208">
        <f>IF(COUNT(NT11,NY11,OE11)=0,"",SUM(NT11,NY11,OE11)/COUNT(NT11,NY11,OE11))</f>
        <v>2.583333333333333</v>
      </c>
      <c r="OH11" s="205" t="str">
        <f t="shared" si="87"/>
        <v>C</v>
      </c>
      <c r="OI11" s="122"/>
      <c r="OJ11" s="123"/>
      <c r="OK11" s="124"/>
      <c r="OL11" s="180" t="str">
        <f>IFERROR((((COUNTIF('Elève (5ème1)'!OI11:OK11,"A"))*4)+((COUNTIF('Elève (5ème1)'!OI11:OK11,"B"))*3)+((COUNTIF('Elève (5ème1)'!OI11:OK11,"C"))*2)+((COUNTIF('Elève (5ème1)'!OI11:OK11,"D"))*1))/(COUNTA(OI11:OK11)),"")</f>
        <v/>
      </c>
      <c r="OM11" s="181" t="str">
        <f t="shared" si="88"/>
        <v/>
      </c>
      <c r="ON11" s="122" t="s">
        <v>27</v>
      </c>
      <c r="OO11" s="123" t="s">
        <v>27</v>
      </c>
      <c r="OP11" s="124" t="s">
        <v>27</v>
      </c>
      <c r="OQ11" s="180">
        <f>IFERROR((((COUNTIF('Elève (5ème1)'!ON11:OP11,"A"))*4)+((COUNTIF('Elève (5ème1)'!ON11:OP11,"B"))*3)+((COUNTIF('Elève (5ème1)'!ON11:OP11,"C"))*2)+((COUNTIF('Elève (5ème1)'!ON11:OP11,"D"))*1))/(COUNTA(ON11:OP11)),"")</f>
        <v>4</v>
      </c>
      <c r="OR11" s="181" t="str">
        <f t="shared" si="89"/>
        <v>A</v>
      </c>
      <c r="OS11" s="122"/>
      <c r="OT11" s="123" t="s">
        <v>27</v>
      </c>
      <c r="OU11" s="124" t="s">
        <v>27</v>
      </c>
      <c r="OV11" s="128" t="s">
        <v>27</v>
      </c>
      <c r="OW11" s="180">
        <f>IFERROR((((COUNTIF('Elève (5ème1)'!OS11:OV11,"A"))*4)+((COUNTIF('Elève (5ème1)'!OS11:OV11,"B"))*3)+((COUNTIF('Elève (5ème1)'!OS11:OV11,"C"))*2)+((COUNTIF('Elève (5ème1)'!OS11:OV11,"D"))*1))/(COUNTA(OS11:OV11)),"")</f>
        <v>4</v>
      </c>
      <c r="OX11" s="181" t="str">
        <f t="shared" si="90"/>
        <v>A</v>
      </c>
      <c r="OY11" s="208">
        <f>IF(COUNT(OL11,OQ11,OW11)=0,"",SUM(OL11,OQ11,OW11)/COUNT(OL11,OQ11,OW11))</f>
        <v>4</v>
      </c>
      <c r="OZ11" s="205" t="str">
        <f t="shared" si="91"/>
        <v>A</v>
      </c>
      <c r="PA11" s="122"/>
      <c r="PB11" s="123"/>
      <c r="PC11" s="124"/>
      <c r="PD11" s="180" t="str">
        <f>IFERROR((((COUNTIF('Elève (5ème1)'!PA11:PC11,"A"))*4)+((COUNTIF('Elève (5ème1)'!PA11:PC11,"B"))*3)+((COUNTIF('Elève (5ème1)'!PA11:PC11,"C"))*2)+((COUNTIF('Elève (5ème1)'!PA11:PC11,"D"))*1))/(COUNTA(PA11:PC11)),"")</f>
        <v/>
      </c>
      <c r="PE11" s="181" t="str">
        <f t="shared" si="92"/>
        <v/>
      </c>
      <c r="PF11" s="122" t="s">
        <v>28</v>
      </c>
      <c r="PG11" s="123" t="s">
        <v>27</v>
      </c>
      <c r="PH11" s="124" t="s">
        <v>27</v>
      </c>
      <c r="PI11" s="180">
        <f>IFERROR((((COUNTIF('Elève (5ème1)'!PF11:PH11,"A"))*4)+((COUNTIF('Elève (5ème1)'!PF11:PH11,"B"))*3)+((COUNTIF('Elève (5ème1)'!PF11:PH11,"C"))*2)+((COUNTIF('Elève (5ème1)'!PF11:PH11,"D"))*1))/(COUNTA(PF11:PH11)),"")</f>
        <v>3.6666666666666665</v>
      </c>
      <c r="PJ11" s="181" t="str">
        <f t="shared" si="93"/>
        <v>B</v>
      </c>
      <c r="PK11" s="122"/>
      <c r="PL11" s="123" t="s">
        <v>28</v>
      </c>
      <c r="PM11" s="124" t="s">
        <v>27</v>
      </c>
      <c r="PN11" s="128" t="s">
        <v>27</v>
      </c>
      <c r="PO11" s="180">
        <f>IFERROR((((COUNTIF('Elève (5ème1)'!PK11:PN11,"A"))*4)+((COUNTIF('Elève (5ème1)'!PK11:PN11,"B"))*3)+((COUNTIF('Elève (5ème1)'!PK11:PN11,"C"))*2)+((COUNTIF('Elève (5ème1)'!PK11:PN11,"D"))*1))/(COUNTA(PK11:PN11)),"")</f>
        <v>3.6666666666666665</v>
      </c>
      <c r="PP11" s="181" t="str">
        <f t="shared" si="94"/>
        <v>B</v>
      </c>
      <c r="PQ11" s="208">
        <f>IF(COUNT(PD11,PI11,PO11)=0,"",SUM(PD11,PI11,PO11)/COUNT(PD11,PI11,PO11))</f>
        <v>3.6666666666666665</v>
      </c>
      <c r="PR11" s="205" t="str">
        <f t="shared" si="95"/>
        <v>B</v>
      </c>
      <c r="PS11" s="122"/>
      <c r="PT11" s="123"/>
      <c r="PU11" s="124"/>
      <c r="PV11" s="180" t="str">
        <f>IFERROR((((COUNTIF('Elève (5ème1)'!PS11:PU11,"A"))*4)+((COUNTIF('Elève (5ème1)'!PS11:PU11,"B"))*3)+((COUNTIF('Elève (5ème1)'!PS11:PU11,"C"))*2)+((COUNTIF('Elève (5ème1)'!PS11:PU11,"D"))*1))/(COUNTA(PS11:PU11)),"")</f>
        <v/>
      </c>
      <c r="PW11" s="181" t="str">
        <f t="shared" si="96"/>
        <v/>
      </c>
      <c r="PX11" s="122" t="s">
        <v>27</v>
      </c>
      <c r="PY11" s="123" t="s">
        <v>27</v>
      </c>
      <c r="PZ11" s="124" t="s">
        <v>27</v>
      </c>
      <c r="QA11" s="180">
        <f>IFERROR((((COUNTIF('Elève (5ème1)'!PX11:PZ11,"A"))*4)+((COUNTIF('Elève (5ème1)'!PX11:PZ11,"B"))*3)+((COUNTIF('Elève (5ème1)'!PX11:PZ11,"C"))*2)+((COUNTIF('Elève (5ème1)'!PX11:PZ11,"D"))*1))/(COUNTA(PX11:PZ11)),"")</f>
        <v>4</v>
      </c>
      <c r="QB11" s="181" t="str">
        <f t="shared" si="97"/>
        <v>A</v>
      </c>
      <c r="QC11" s="122"/>
      <c r="QD11" s="123" t="s">
        <v>27</v>
      </c>
      <c r="QE11" s="124" t="s">
        <v>27</v>
      </c>
      <c r="QF11" s="128" t="s">
        <v>27</v>
      </c>
      <c r="QG11" s="180">
        <f>IFERROR((((COUNTIF('Elève (5ème1)'!QC11:QF11,"A"))*4)+((COUNTIF('Elève (5ème1)'!QC11:QF11,"B"))*3)+((COUNTIF('Elève (5ème1)'!QC11:QF11,"C"))*2)+((COUNTIF('Elève (5ème1)'!QC11:QF11,"D"))*1))/(COUNTA(QC11:QF11)),"")</f>
        <v>4</v>
      </c>
      <c r="QH11" s="181" t="str">
        <f t="shared" si="98"/>
        <v>A</v>
      </c>
      <c r="QI11" s="208">
        <f>IF(COUNT(PV11,QA11,QG11)=0,"",SUM(PV11,QA11,QG11)/COUNT(PV11,QA11,QG11))</f>
        <v>4</v>
      </c>
      <c r="QJ11" s="205" t="str">
        <f t="shared" si="99"/>
        <v>A</v>
      </c>
      <c r="QK11" s="122"/>
      <c r="QL11" s="123"/>
      <c r="QM11" s="124"/>
      <c r="QN11" s="180" t="str">
        <f>IFERROR((((COUNTIF('Elève (5ème1)'!QK11:QM11,"A"))*4)+((COUNTIF('Elève (5ème1)'!QK11:QM11,"B"))*3)+((COUNTIF('Elève (5ème1)'!QK11:QM11,"C"))*2)+((COUNTIF('Elève (5ème1)'!QK11:QM11,"D"))*1))/(COUNTA(QK11:QM11)),"")</f>
        <v/>
      </c>
      <c r="QO11" s="181" t="str">
        <f t="shared" si="100"/>
        <v/>
      </c>
      <c r="QP11" s="122" t="s">
        <v>27</v>
      </c>
      <c r="QQ11" s="123" t="s">
        <v>27</v>
      </c>
      <c r="QR11" s="124" t="s">
        <v>27</v>
      </c>
      <c r="QS11" s="180">
        <f>IFERROR((((COUNTIF('Elève (5ème1)'!QP11:QR11,"A"))*4)+((COUNTIF('Elève (5ème1)'!QP11:QR11,"B"))*3)+((COUNTIF('Elève (5ème1)'!QP11:QR11,"C"))*2)+((COUNTIF('Elève (5ème1)'!QP11:QR11,"D"))*1))/(COUNTA(QP11:QR11)),"")</f>
        <v>4</v>
      </c>
      <c r="QT11" s="181" t="str">
        <f t="shared" si="101"/>
        <v>A</v>
      </c>
      <c r="QU11" s="122"/>
      <c r="QV11" s="123" t="s">
        <v>29</v>
      </c>
      <c r="QW11" s="124" t="s">
        <v>28</v>
      </c>
      <c r="QX11" s="128" t="s">
        <v>27</v>
      </c>
      <c r="QY11" s="180">
        <f>IFERROR((((COUNTIF('Elève (5ème1)'!QU11:QX11,"A"))*4)+((COUNTIF('Elève (5ème1)'!QU11:QX11,"B"))*3)+((COUNTIF('Elève (5ème1)'!QU11:QX11,"C"))*2)+((COUNTIF('Elève (5ème1)'!QU11:QX11,"D"))*1))/(COUNTA(QU11:QX11)),"")</f>
        <v>3</v>
      </c>
      <c r="QZ11" s="181" t="str">
        <f t="shared" si="102"/>
        <v>B</v>
      </c>
      <c r="RA11" s="208">
        <f>IF(COUNT(QN11,QS11,QY11)=0,"",SUM(QN11,QS11,QY11)/COUNT(QN11,QS11,QY11))</f>
        <v>3.5</v>
      </c>
      <c r="RB11" s="205" t="str">
        <f t="shared" si="103"/>
        <v>B</v>
      </c>
      <c r="RC11" s="122"/>
      <c r="RD11" s="123"/>
      <c r="RE11" s="124"/>
      <c r="RF11" s="180" t="str">
        <f>IFERROR((((COUNTIF('Elève (5ème1)'!RC11:RE11,"A"))*4)+((COUNTIF('Elève (5ème1)'!RC11:RE11,"B"))*3)+((COUNTIF('Elève (5ème1)'!RC11:RE11,"C"))*2)+((COUNTIF('Elève (5ème1)'!RC11:RE11,"D"))*1))/(COUNTA(RC11:RE11)),"")</f>
        <v/>
      </c>
      <c r="RG11" s="181" t="str">
        <f t="shared" si="104"/>
        <v/>
      </c>
      <c r="RH11" s="122" t="s">
        <v>27</v>
      </c>
      <c r="RI11" s="123" t="s">
        <v>27</v>
      </c>
      <c r="RJ11" s="124" t="s">
        <v>27</v>
      </c>
      <c r="RK11" s="180">
        <f>IFERROR((((COUNTIF('Elève (5ème1)'!RH11:RJ11,"A"))*4)+((COUNTIF('Elève (5ème1)'!RH11:RJ11,"B"))*3)+((COUNTIF('Elève (5ème1)'!RH11:RJ11,"C"))*2)+((COUNTIF('Elève (5ème1)'!RH11:RJ11,"D"))*1))/(COUNTA(RH11:RJ11)),"")</f>
        <v>4</v>
      </c>
      <c r="RL11" s="181" t="str">
        <f t="shared" si="105"/>
        <v>A</v>
      </c>
      <c r="RM11" s="122"/>
      <c r="RN11" s="123" t="s">
        <v>29</v>
      </c>
      <c r="RO11" s="124" t="s">
        <v>30</v>
      </c>
      <c r="RP11" s="128" t="s">
        <v>27</v>
      </c>
      <c r="RQ11" s="180">
        <f>IFERROR((((COUNTIF('Elève (5ème1)'!RM11:RP11,"A"))*4)+((COUNTIF('Elève (5ème1)'!RM11:RP11,"B"))*3)+((COUNTIF('Elève (5ème1)'!RM11:RP11,"C"))*2)+((COUNTIF('Elève (5ème1)'!RM11:RP11,"D"))*1))/(COUNTA(RM11:RP11)),"")</f>
        <v>2.3333333333333335</v>
      </c>
      <c r="RR11" s="181" t="str">
        <f t="shared" si="106"/>
        <v>C</v>
      </c>
      <c r="RS11" s="208">
        <f>IF(COUNT(RF11,RK11,RQ11)=0,"",SUM(RF11,RK11,RQ11)/COUNT(RF11,RK11,RQ11))</f>
        <v>3.166666666666667</v>
      </c>
      <c r="RT11" s="205" t="str">
        <f t="shared" si="107"/>
        <v>B</v>
      </c>
      <c r="RU11" s="122"/>
      <c r="RV11" s="123"/>
      <c r="RW11" s="124"/>
      <c r="RX11" s="180" t="str">
        <f>IFERROR((((COUNTIF('Elève (5ème1)'!RU11:RW11,"A"))*4)+((COUNTIF('Elève (5ème1)'!RU11:RW11,"B"))*3)+((COUNTIF('Elève (5ème1)'!RU11:RW11,"C"))*2)+((COUNTIF('Elève (5ème1)'!RU11:RW11,"D"))*1))/(COUNTA(RU11:RW11)),"")</f>
        <v/>
      </c>
      <c r="RY11" s="181" t="str">
        <f t="shared" si="108"/>
        <v/>
      </c>
      <c r="RZ11" s="122" t="s">
        <v>27</v>
      </c>
      <c r="SA11" s="123" t="s">
        <v>27</v>
      </c>
      <c r="SB11" s="124" t="s">
        <v>27</v>
      </c>
      <c r="SC11" s="180">
        <f>IFERROR((((COUNTIF('Elève (5ème1)'!RZ11:SB11,"A"))*4)+((COUNTIF('Elève (5ème1)'!RZ11:SB11,"B"))*3)+((COUNTIF('Elève (5ème1)'!RZ11:SB11,"C"))*2)+((COUNTIF('Elève (5ème1)'!RZ11:SB11,"D"))*1))/(COUNTA(RZ11:SB11)),"")</f>
        <v>4</v>
      </c>
      <c r="SD11" s="181" t="str">
        <f t="shared" si="109"/>
        <v>A</v>
      </c>
      <c r="SE11" s="122"/>
      <c r="SF11" s="123" t="s">
        <v>28</v>
      </c>
      <c r="SG11" s="124" t="s">
        <v>27</v>
      </c>
      <c r="SH11" s="128" t="s">
        <v>27</v>
      </c>
      <c r="SI11" s="180">
        <f>IFERROR((((COUNTIF('Elève (5ème1)'!SE11:SH11,"A"))*4)+((COUNTIF('Elève (5ème1)'!SE11:SH11,"B"))*3)+((COUNTIF('Elève (5ème1)'!SE11:SH11,"C"))*2)+((COUNTIF('Elève (5ème1)'!SE11:SH11,"D"))*1))/(COUNTA(SE11:SH11)),"")</f>
        <v>3.6666666666666665</v>
      </c>
      <c r="SJ11" s="181" t="str">
        <f t="shared" si="110"/>
        <v>B</v>
      </c>
      <c r="SK11" s="208">
        <f>IF(COUNT(RX11,SC11,SI11)=0,"",SUM(RX11,SC11,SI11)/COUNT(RX11,SC11,SI11))</f>
        <v>3.833333333333333</v>
      </c>
      <c r="SL11" s="205" t="str">
        <f t="shared" si="111"/>
        <v>A</v>
      </c>
      <c r="SM11" s="122"/>
      <c r="SN11" s="123"/>
      <c r="SO11" s="124"/>
      <c r="SP11" s="180" t="str">
        <f>IFERROR((((COUNTIF('Elève (5ème1)'!SM11:SO11,"A"))*4)+((COUNTIF('Elève (5ème1)'!SM11:SO11,"B"))*3)+((COUNTIF('Elève (5ème1)'!SM11:SO11,"C"))*2)+((COUNTIF('Elève (5ème1)'!SM11:SO11,"D"))*1))/(COUNTA(SM11:SO11)),"")</f>
        <v/>
      </c>
      <c r="SQ11" s="181" t="str">
        <f t="shared" si="112"/>
        <v/>
      </c>
      <c r="SR11" s="122" t="s">
        <v>27</v>
      </c>
      <c r="SS11" s="123" t="s">
        <v>27</v>
      </c>
      <c r="ST11" s="124" t="s">
        <v>27</v>
      </c>
      <c r="SU11" s="180">
        <f>IFERROR((((COUNTIF('Elève (5ème1)'!SR11:ST11,"A"))*4)+((COUNTIF('Elève (5ème1)'!SR11:ST11,"B"))*3)+((COUNTIF('Elève (5ème1)'!SR11:ST11,"C"))*2)+((COUNTIF('Elève (5ème1)'!SR11:ST11,"D"))*1))/(COUNTA(SR11:ST11)),"")</f>
        <v>4</v>
      </c>
      <c r="SV11" s="181" t="str">
        <f t="shared" si="113"/>
        <v>A</v>
      </c>
      <c r="SW11" s="122"/>
      <c r="SX11" s="123" t="s">
        <v>27</v>
      </c>
      <c r="SY11" s="124" t="s">
        <v>28</v>
      </c>
      <c r="SZ11" s="128"/>
      <c r="TA11" s="180">
        <f>IFERROR((((COUNTIF('Elève (5ème1)'!SW11:SZ11,"A"))*4)+((COUNTIF('Elève (5ème1)'!SW11:SZ11,"B"))*3)+((COUNTIF('Elève (5ème1)'!SW11:SZ11,"C"))*2)+((COUNTIF('Elève (5ème1)'!SW11:SZ11,"D"))*1))/(COUNTA(SW11:SZ11)),"")</f>
        <v>3.5</v>
      </c>
      <c r="TB11" s="181" t="str">
        <f t="shared" si="114"/>
        <v>B</v>
      </c>
      <c r="TC11" s="208">
        <f>IF(COUNT(SP11,SU11,TA11)=0,"",SUM(SP11,SU11,TA11)/COUNT(SP11,SU11,TA11))</f>
        <v>3.75</v>
      </c>
      <c r="TD11" s="205" t="str">
        <f t="shared" si="115"/>
        <v>A</v>
      </c>
      <c r="TE11" s="122"/>
      <c r="TF11" s="123"/>
      <c r="TG11" s="124"/>
      <c r="TH11" s="180" t="str">
        <f>IFERROR((((COUNTIF('Elève (5ème1)'!TE11:TG11,"A"))*4)+((COUNTIF('Elève (5ème1)'!TE11:TG11,"B"))*3)+((COUNTIF('Elève (5ème1)'!TE11:TG11,"C"))*2)+((COUNTIF('Elève (5ème1)'!TE11:TG11,"D"))*1))/(COUNTA(TE11:TG11)),"")</f>
        <v/>
      </c>
      <c r="TI11" s="181" t="str">
        <f t="shared" si="116"/>
        <v/>
      </c>
      <c r="TJ11" s="122" t="s">
        <v>27</v>
      </c>
      <c r="TK11" s="123" t="s">
        <v>27</v>
      </c>
      <c r="TL11" s="124" t="s">
        <v>27</v>
      </c>
      <c r="TM11" s="180">
        <f>IFERROR((((COUNTIF('Elève (5ème1)'!TJ11:TL11,"A"))*4)+((COUNTIF('Elève (5ème1)'!TJ11:TL11,"B"))*3)+((COUNTIF('Elève (5ème1)'!TJ11:TL11,"C"))*2)+((COUNTIF('Elève (5ème1)'!TJ11:TL11,"D"))*1))/(COUNTA(TJ11:TL11)),"")</f>
        <v>4</v>
      </c>
      <c r="TN11" s="181" t="str">
        <f t="shared" si="117"/>
        <v>A</v>
      </c>
      <c r="TO11" s="122"/>
      <c r="TP11" s="123" t="s">
        <v>27</v>
      </c>
      <c r="TQ11" s="124" t="s">
        <v>28</v>
      </c>
      <c r="TR11" s="128" t="s">
        <v>27</v>
      </c>
      <c r="TS11" s="180">
        <f>IFERROR((((COUNTIF('Elève (5ème1)'!TO11:TR11,"A"))*4)+((COUNTIF('Elève (5ème1)'!TO11:TR11,"B"))*3)+((COUNTIF('Elève (5ème1)'!TO11:TR11,"C"))*2)+((COUNTIF('Elève (5ème1)'!TO11:TR11,"D"))*1))/(COUNTA(TO11:TR11)),"")</f>
        <v>3.6666666666666665</v>
      </c>
      <c r="TT11" s="181" t="str">
        <f t="shared" si="118"/>
        <v>B</v>
      </c>
      <c r="TU11" s="208">
        <f>IF(COUNT(TH11,TM11,TS11)=0,"",SUM(TH11,TM11,TS11)/COUNT(TH11,TM11,TS11))</f>
        <v>3.833333333333333</v>
      </c>
      <c r="TV11" s="205" t="str">
        <f t="shared" si="119"/>
        <v>A</v>
      </c>
    </row>
    <row r="12" spans="1:542" ht="18" customHeight="1" thickBot="1" x14ac:dyDescent="0.3">
      <c r="A12" s="238" t="s">
        <v>45</v>
      </c>
      <c r="B12" s="239"/>
      <c r="C12" s="129"/>
      <c r="D12" s="130"/>
      <c r="E12" s="131"/>
      <c r="F12" s="184" t="str">
        <f>IFERROR((((COUNTIF('Elève (5ème1)'!C12:E12,"A"))*4)+((COUNTIF('Elève (5ème1)'!C12:E12,"B"))*3)+((COUNTIF('Elève (5ème1)'!C12:E12,"C"))*2)+((COUNTIF('Elève (5ème1)'!C12:E12,"D"))*1))/(COUNTA(C12:E12)),"")</f>
        <v/>
      </c>
      <c r="G12" s="185" t="str">
        <f t="shared" si="0"/>
        <v/>
      </c>
      <c r="H12" s="129"/>
      <c r="I12" s="130"/>
      <c r="J12" s="131"/>
      <c r="K12" s="184" t="str">
        <f>IFERROR((((COUNTIF('Elève (5ème1)'!H12:J12,"A"))*4)+((COUNTIF('Elève (5ème1)'!H12:J12,"B"))*3)+((COUNTIF('Elève (5ème1)'!H12:J12,"C"))*2)+((COUNTIF('Elève (5ème1)'!H12:J12,"D"))*1))/(COUNTA(H12:J12)),"")</f>
        <v/>
      </c>
      <c r="L12" s="185" t="str">
        <f t="shared" si="1"/>
        <v/>
      </c>
      <c r="M12" s="129"/>
      <c r="N12" s="130"/>
      <c r="O12" s="131"/>
      <c r="P12" s="131"/>
      <c r="Q12" s="184" t="str">
        <f>IFERROR((((COUNTIF('Elève (5ème1)'!M12:P12,"A"))*4)+((COUNTIF('Elève (5ème1)'!M12:P12,"B"))*3)+((COUNTIF('Elève (5ème1)'!M12:P12,"C"))*2)+((COUNTIF('Elève (5ème1)'!M12:P12,"D"))*1))/(COUNTA(M12:P12)),"")</f>
        <v/>
      </c>
      <c r="R12" s="185" t="str">
        <f t="shared" si="2"/>
        <v/>
      </c>
      <c r="S12" s="184" t="str">
        <f>IF(COUNT(F12,K12,Q12)=0,"",SUM(F12,K12,Q12)/COUNT(F12,K12,Q12))</f>
        <v/>
      </c>
      <c r="T12" s="207" t="str">
        <f t="shared" si="3"/>
        <v/>
      </c>
      <c r="U12" s="129"/>
      <c r="V12" s="130"/>
      <c r="W12" s="131"/>
      <c r="X12" s="184" t="str">
        <f>IFERROR((((COUNTIF('Elève (5ème1)'!U12:W12,"A"))*4)+((COUNTIF('Elève (5ème1)'!U12:W12,"B"))*3)+((COUNTIF('Elève (5ème1)'!U12:W12,"C"))*2)+((COUNTIF('Elève (5ème1)'!U12:W12,"D"))*1))/(COUNTA(U12:W12)),"")</f>
        <v/>
      </c>
      <c r="Y12" s="185" t="str">
        <f t="shared" si="4"/>
        <v/>
      </c>
      <c r="Z12" s="129"/>
      <c r="AA12" s="130"/>
      <c r="AB12" s="131"/>
      <c r="AC12" s="184" t="str">
        <f>IFERROR((((COUNTIF('Elève (5ème1)'!Z12:AB12,"A"))*4)+((COUNTIF('Elève (5ème1)'!Z12:AB12,"B"))*3)+((COUNTIF('Elève (5ème1)'!Z12:AB12,"C"))*2)+((COUNTIF('Elève (5ème1)'!Z12:AB12,"D"))*1))/(COUNTA(Z12:AB12)),"")</f>
        <v/>
      </c>
      <c r="AD12" s="185" t="str">
        <f t="shared" si="5"/>
        <v/>
      </c>
      <c r="AE12" s="129"/>
      <c r="AF12" s="130"/>
      <c r="AG12" s="131"/>
      <c r="AH12" s="135"/>
      <c r="AI12" s="184" t="str">
        <f>IFERROR((((COUNTIF('Elève (5ème1)'!AE12:AH12,"A"))*4)+((COUNTIF('Elève (5ème1)'!AE12:AH12,"B"))*3)+((COUNTIF('Elève (5ème1)'!AE12:AH12,"C"))*2)+((COUNTIF('Elève (5ème1)'!AE12:AH12,"D"))*1))/(COUNTA(AE12:AH12)),"")</f>
        <v/>
      </c>
      <c r="AJ12" s="185" t="str">
        <f t="shared" si="6"/>
        <v/>
      </c>
      <c r="AK12" s="184" t="str">
        <f>IF(COUNT(X12,AC12,AI12)=0,"",SUM(X12,AC12,AI12)/COUNT(X12,AC12,AI12))</f>
        <v/>
      </c>
      <c r="AL12" s="207" t="str">
        <f t="shared" si="7"/>
        <v/>
      </c>
      <c r="AM12" s="129"/>
      <c r="AN12" s="130"/>
      <c r="AO12" s="131"/>
      <c r="AP12" s="184" t="str">
        <f>IFERROR((((COUNTIF('Elève (5ème1)'!AM12:AO12,"A"))*4)+((COUNTIF('Elève (5ème1)'!AM12:AO12,"B"))*3)+((COUNTIF('Elève (5ème1)'!AM12:AO12,"C"))*2)+((COUNTIF('Elève (5ème1)'!AM12:AO12,"D"))*1))/(COUNTA(AM12:AO12)),"")</f>
        <v/>
      </c>
      <c r="AQ12" s="185" t="str">
        <f t="shared" si="8"/>
        <v/>
      </c>
      <c r="AR12" s="129"/>
      <c r="AS12" s="130"/>
      <c r="AT12" s="131"/>
      <c r="AU12" s="184" t="str">
        <f>IFERROR((((COUNTIF('Elève (5ème1)'!AR12:AT12,"A"))*4)+((COUNTIF('Elève (5ème1)'!AR12:AT12,"B"))*3)+((COUNTIF('Elève (5ème1)'!AR12:AT12,"C"))*2)+((COUNTIF('Elève (5ème1)'!AR12:AT12,"D"))*1))/(COUNTA(AR12:AT12)),"")</f>
        <v/>
      </c>
      <c r="AV12" s="185" t="str">
        <f t="shared" si="9"/>
        <v/>
      </c>
      <c r="AW12" s="129"/>
      <c r="AX12" s="130"/>
      <c r="AY12" s="131"/>
      <c r="AZ12" s="135"/>
      <c r="BA12" s="184" t="str">
        <f>IFERROR((((COUNTIF('Elève (5ème1)'!AW12:AZ12,"A"))*4)+((COUNTIF('Elève (5ème1)'!AW12:AZ12,"B"))*3)+((COUNTIF('Elève (5ème1)'!AW12:AZ12,"C"))*2)+((COUNTIF('Elève (5ème1)'!AW12:AZ12,"D"))*1))/(COUNTA(AW12:AZ12)),"")</f>
        <v/>
      </c>
      <c r="BB12" s="185" t="str">
        <f t="shared" si="10"/>
        <v/>
      </c>
      <c r="BC12" s="184" t="str">
        <f>IF(COUNT(AP12,AU12,BA12)=0,"",SUM(AP12,AU12,BA12)/COUNT(AP12,AU12,BA12))</f>
        <v/>
      </c>
      <c r="BD12" s="207" t="str">
        <f t="shared" si="11"/>
        <v/>
      </c>
      <c r="BE12" s="129"/>
      <c r="BF12" s="130"/>
      <c r="BG12" s="131"/>
      <c r="BH12" s="184" t="str">
        <f>IFERROR((((COUNTIF('Elève (5ème1)'!BE12:BG12,"A"))*4)+((COUNTIF('Elève (5ème1)'!BE12:BG12,"B"))*3)+((COUNTIF('Elève (5ème1)'!BE12:BG12,"C"))*2)+((COUNTIF('Elève (5ème1)'!BE12:BG12,"D"))*1))/(COUNTA(BE12:BG12)),"")</f>
        <v/>
      </c>
      <c r="BI12" s="185" t="str">
        <f t="shared" si="12"/>
        <v/>
      </c>
      <c r="BJ12" s="129"/>
      <c r="BK12" s="130"/>
      <c r="BL12" s="131"/>
      <c r="BM12" s="184" t="str">
        <f>IFERROR((((COUNTIF('Elève (5ème1)'!BJ12:BL12,"A"))*4)+((COUNTIF('Elève (5ème1)'!BJ12:BL12,"B"))*3)+((COUNTIF('Elève (5ème1)'!BJ12:BL12,"C"))*2)+((COUNTIF('Elève (5ème1)'!BJ12:BL12,"D"))*1))/(COUNTA(BJ12:BL12)),"")</f>
        <v/>
      </c>
      <c r="BN12" s="185" t="str">
        <f t="shared" si="13"/>
        <v/>
      </c>
      <c r="BO12" s="129"/>
      <c r="BP12" s="130"/>
      <c r="BQ12" s="131" t="s">
        <v>28</v>
      </c>
      <c r="BR12" s="135"/>
      <c r="BS12" s="184">
        <f>IFERROR((((COUNTIF('Elève (5ème1)'!BO12:BR12,"A"))*4)+((COUNTIF('Elève (5ème1)'!BO12:BR12,"B"))*3)+((COUNTIF('Elève (5ème1)'!BO12:BR12,"C"))*2)+((COUNTIF('Elève (5ème1)'!BO12:BR12,"D"))*1))/(COUNTA(BO12:BR12)),"")</f>
        <v>3</v>
      </c>
      <c r="BT12" s="185" t="str">
        <f t="shared" si="14"/>
        <v>B</v>
      </c>
      <c r="BU12" s="184">
        <f>IF(COUNT(BH12,BM12,BS12)=0,"",SUM(BH12,BM12,BS12)/COUNT(BH12,BM12,BS12))</f>
        <v>3</v>
      </c>
      <c r="BV12" s="207" t="str">
        <f t="shared" si="15"/>
        <v>B</v>
      </c>
      <c r="BW12" s="129"/>
      <c r="BX12" s="130"/>
      <c r="BY12" s="131"/>
      <c r="BZ12" s="184" t="str">
        <f>IFERROR((((COUNTIF('Elève (5ème1)'!BW12:BY12,"A"))*4)+((COUNTIF('Elève (5ème1)'!BW12:BY12,"B"))*3)+((COUNTIF('Elève (5ème1)'!BW12:BY12,"C"))*2)+((COUNTIF('Elève (5ème1)'!BW12:BY12,"D"))*1))/(COUNTA(BW12:BY12)),"")</f>
        <v/>
      </c>
      <c r="CA12" s="185" t="str">
        <f t="shared" si="16"/>
        <v/>
      </c>
      <c r="CB12" s="129"/>
      <c r="CC12" s="130"/>
      <c r="CD12" s="131"/>
      <c r="CE12" s="184" t="str">
        <f>IFERROR((((COUNTIF('Elève (5ème1)'!CB12:CD12,"A"))*4)+((COUNTIF('Elève (5ème1)'!CB12:CD12,"B"))*3)+((COUNTIF('Elève (5ème1)'!CB12:CD12,"C"))*2)+((COUNTIF('Elève (5ème1)'!CB12:CD12,"D"))*1))/(COUNTA(CB12:CD12)),"")</f>
        <v/>
      </c>
      <c r="CF12" s="185" t="str">
        <f t="shared" si="17"/>
        <v/>
      </c>
      <c r="CG12" s="129"/>
      <c r="CH12" s="130"/>
      <c r="CI12" s="131"/>
      <c r="CJ12" s="135"/>
      <c r="CK12" s="184" t="str">
        <f>IFERROR((((COUNTIF('Elève (5ème1)'!CG12:CJ12,"A"))*4)+((COUNTIF('Elève (5ème1)'!CG12:CJ12,"B"))*3)+((COUNTIF('Elève (5ème1)'!CG12:CJ12,"C"))*2)+((COUNTIF('Elève (5ème1)'!CG12:CJ12,"D"))*1))/(COUNTA(CG12:CJ12)),"")</f>
        <v/>
      </c>
      <c r="CL12" s="185" t="str">
        <f t="shared" si="18"/>
        <v/>
      </c>
      <c r="CM12" s="184" t="str">
        <f>IF(COUNT(BZ12,CE12,CK12)=0,"",SUM(BZ12,CE12,CK12)/COUNT(BZ12,CE12,CK12))</f>
        <v/>
      </c>
      <c r="CN12" s="207" t="str">
        <f t="shared" si="19"/>
        <v/>
      </c>
      <c r="CO12" s="129"/>
      <c r="CP12" s="130"/>
      <c r="CQ12" s="131"/>
      <c r="CR12" s="184" t="str">
        <f>IFERROR((((COUNTIF('Elève (5ème1)'!CO12:CQ12,"A"))*4)+((COUNTIF('Elève (5ème1)'!CO12:CQ12,"B"))*3)+((COUNTIF('Elève (5ème1)'!CO12:CQ12,"C"))*2)+((COUNTIF('Elève (5ème1)'!CO12:CQ12,"D"))*1))/(COUNTA(CO12:CQ12)),"")</f>
        <v/>
      </c>
      <c r="CS12" s="185" t="str">
        <f t="shared" si="20"/>
        <v/>
      </c>
      <c r="CT12" s="129"/>
      <c r="CU12" s="130"/>
      <c r="CV12" s="131"/>
      <c r="CW12" s="184" t="str">
        <f>IFERROR((((COUNTIF('Elève (5ème1)'!CT12:CV12,"A"))*4)+((COUNTIF('Elève (5ème1)'!CT12:CV12,"B"))*3)+((COUNTIF('Elève (5ème1)'!CT12:CV12,"C"))*2)+((COUNTIF('Elève (5ème1)'!CT12:CV12,"D"))*1))/(COUNTA(CT12:CV12)),"")</f>
        <v/>
      </c>
      <c r="CX12" s="185" t="str">
        <f t="shared" si="21"/>
        <v/>
      </c>
      <c r="CY12" s="129"/>
      <c r="CZ12" s="130"/>
      <c r="DA12" s="131"/>
      <c r="DB12" s="135"/>
      <c r="DC12" s="184" t="str">
        <f>IFERROR((((COUNTIF('Elève (5ème1)'!CY12:DB12,"A"))*4)+((COUNTIF('Elève (5ème1)'!CY12:DB12,"B"))*3)+((COUNTIF('Elève (5ème1)'!CY12:DB12,"C"))*2)+((COUNTIF('Elève (5ème1)'!CY12:DB12,"D"))*1))/(COUNTA(CY12:DB12)),"")</f>
        <v/>
      </c>
      <c r="DD12" s="185" t="str">
        <f t="shared" si="22"/>
        <v/>
      </c>
      <c r="DE12" s="184" t="str">
        <f>IF(COUNT(CR12,CW12,DC12)=0,"",SUM(CR12,CW12,DC12)/COUNT(CR12,CW12,DC12))</f>
        <v/>
      </c>
      <c r="DF12" s="207" t="str">
        <f t="shared" si="23"/>
        <v/>
      </c>
      <c r="DG12" s="129"/>
      <c r="DH12" s="130"/>
      <c r="DI12" s="131"/>
      <c r="DJ12" s="184" t="str">
        <f>IFERROR((((COUNTIF('Elève (5ème1)'!DG12:DI12,"A"))*4)+((COUNTIF('Elève (5ème1)'!DG12:DI12,"B"))*3)+((COUNTIF('Elève (5ème1)'!DG12:DI12,"C"))*2)+((COUNTIF('Elève (5ème1)'!DG12:DI12,"D"))*1))/(COUNTA(DG12:DI12)),"")</f>
        <v/>
      </c>
      <c r="DK12" s="185" t="str">
        <f t="shared" si="24"/>
        <v/>
      </c>
      <c r="DL12" s="129"/>
      <c r="DM12" s="130"/>
      <c r="DN12" s="131"/>
      <c r="DO12" s="184" t="str">
        <f>IFERROR((((COUNTIF('Elève (5ème1)'!DL12:DN12,"A"))*4)+((COUNTIF('Elève (5ème1)'!DL12:DN12,"B"))*3)+((COUNTIF('Elève (5ème1)'!DL12:DN12,"C"))*2)+((COUNTIF('Elève (5ème1)'!DL12:DN12,"D"))*1))/(COUNTA(DL12:DN12)),"")</f>
        <v/>
      </c>
      <c r="DP12" s="185" t="str">
        <f t="shared" si="25"/>
        <v/>
      </c>
      <c r="DQ12" s="129"/>
      <c r="DR12" s="130"/>
      <c r="DS12" s="131"/>
      <c r="DT12" s="135"/>
      <c r="DU12" s="184" t="str">
        <f>IFERROR((((COUNTIF('Elève (5ème1)'!DQ12:DT12,"A"))*4)+((COUNTIF('Elève (5ème1)'!DQ12:DT12,"B"))*3)+((COUNTIF('Elève (5ème1)'!DQ12:DT12,"C"))*2)+((COUNTIF('Elève (5ème1)'!DQ12:DT12,"D"))*1))/(COUNTA(DQ12:DT12)),"")</f>
        <v/>
      </c>
      <c r="DV12" s="185" t="str">
        <f t="shared" si="26"/>
        <v/>
      </c>
      <c r="DW12" s="184" t="str">
        <f>IF(COUNT(DJ12,DO12,DU12)=0,"",SUM(DJ12,DO12,DU12)/COUNT(DJ12,DO12,DU12))</f>
        <v/>
      </c>
      <c r="DX12" s="207" t="str">
        <f t="shared" si="27"/>
        <v/>
      </c>
      <c r="DY12" s="129"/>
      <c r="DZ12" s="130"/>
      <c r="EA12" s="131"/>
      <c r="EB12" s="184" t="str">
        <f>IFERROR((((COUNTIF('Elève (5ème1)'!DY12:EA12,"A"))*4)+((COUNTIF('Elève (5ème1)'!DY12:EA12,"B"))*3)+((COUNTIF('Elève (5ème1)'!DY12:EA12,"C"))*2)+((COUNTIF('Elève (5ème1)'!DY12:EA12,"D"))*1))/(COUNTA(DY12:EA12)),"")</f>
        <v/>
      </c>
      <c r="EC12" s="185" t="str">
        <f t="shared" si="28"/>
        <v/>
      </c>
      <c r="ED12" s="129"/>
      <c r="EE12" s="130"/>
      <c r="EF12" s="131"/>
      <c r="EG12" s="184" t="str">
        <f>IFERROR((((COUNTIF('Elève (5ème1)'!ED12:EF12,"A"))*4)+((COUNTIF('Elève (5ème1)'!ED12:EF12,"B"))*3)+((COUNTIF('Elève (5ème1)'!ED12:EF12,"C"))*2)+((COUNTIF('Elève (5ème1)'!ED12:EF12,"D"))*1))/(COUNTA(ED12:EF12)),"")</f>
        <v/>
      </c>
      <c r="EH12" s="185" t="str">
        <f t="shared" si="29"/>
        <v/>
      </c>
      <c r="EI12" s="129"/>
      <c r="EJ12" s="130"/>
      <c r="EK12" s="131"/>
      <c r="EL12" s="135"/>
      <c r="EM12" s="184" t="str">
        <f>IFERROR((((COUNTIF('Elève (5ème1)'!EI12:EL12,"A"))*4)+((COUNTIF('Elève (5ème1)'!EI12:EL12,"B"))*3)+((COUNTIF('Elève (5ème1)'!EI12:EL12,"C"))*2)+((COUNTIF('Elève (5ème1)'!EI12:EL12,"D"))*1))/(COUNTA(EI12:EL12)),"")</f>
        <v/>
      </c>
      <c r="EN12" s="185" t="str">
        <f t="shared" si="30"/>
        <v/>
      </c>
      <c r="EO12" s="184" t="str">
        <f>IF(COUNT(EB12,EG12,EM12)=0,"",SUM(EB12,EG12,EM12)/COUNT(EB12,EG12,EM12))</f>
        <v/>
      </c>
      <c r="EP12" s="207" t="str">
        <f t="shared" si="31"/>
        <v/>
      </c>
      <c r="EQ12" s="129"/>
      <c r="ER12" s="130"/>
      <c r="ES12" s="131"/>
      <c r="ET12" s="184" t="str">
        <f>IFERROR((((COUNTIF('Elève (5ème1)'!EQ12:ES12,"A"))*4)+((COUNTIF('Elève (5ème1)'!EQ12:ES12,"B"))*3)+((COUNTIF('Elève (5ème1)'!EQ12:ES12,"C"))*2)+((COUNTIF('Elève (5ème1)'!EQ12:ES12,"D"))*1))/(COUNTA(EQ12:ES12)),"")</f>
        <v/>
      </c>
      <c r="EU12" s="185" t="str">
        <f t="shared" si="32"/>
        <v/>
      </c>
      <c r="EV12" s="129"/>
      <c r="EW12" s="130"/>
      <c r="EX12" s="131"/>
      <c r="EY12" s="184" t="str">
        <f>IFERROR((((COUNTIF('Elève (5ème1)'!EV12:EX12,"A"))*4)+((COUNTIF('Elève (5ème1)'!EV12:EX12,"B"))*3)+((COUNTIF('Elève (5ème1)'!EV12:EX12,"C"))*2)+((COUNTIF('Elève (5ème1)'!EV12:EX12,"D"))*1))/(COUNTA(EV12:EX12)),"")</f>
        <v/>
      </c>
      <c r="EZ12" s="185" t="str">
        <f t="shared" si="33"/>
        <v/>
      </c>
      <c r="FA12" s="129"/>
      <c r="FB12" s="130"/>
      <c r="FC12" s="131"/>
      <c r="FD12" s="135"/>
      <c r="FE12" s="184" t="str">
        <f>IFERROR((((COUNTIF('Elève (5ème1)'!FA12:FD12,"A"))*4)+((COUNTIF('Elève (5ème1)'!FA12:FD12,"B"))*3)+((COUNTIF('Elève (5ème1)'!FA12:FD12,"C"))*2)+((COUNTIF('Elève (5ème1)'!FA12:FD12,"D"))*1))/(COUNTA(FA12:FD12)),"")</f>
        <v/>
      </c>
      <c r="FF12" s="185" t="str">
        <f t="shared" si="34"/>
        <v/>
      </c>
      <c r="FG12" s="184" t="str">
        <f>IF(COUNT(ET12,EY12,FE12)=0,"",SUM(ET12,EY12,FE12)/COUNT(ET12,EY12,FE12))</f>
        <v/>
      </c>
      <c r="FH12" s="207" t="str">
        <f t="shared" si="35"/>
        <v/>
      </c>
      <c r="FI12" s="129"/>
      <c r="FJ12" s="130"/>
      <c r="FK12" s="131"/>
      <c r="FL12" s="184" t="str">
        <f>IFERROR((((COUNTIF('Elève (5ème1)'!FI12:FK12,"A"))*4)+((COUNTIF('Elève (5ème1)'!FI12:FK12,"B"))*3)+((COUNTIF('Elève (5ème1)'!FI12:FK12,"C"))*2)+((COUNTIF('Elève (5ème1)'!FI12:FK12,"D"))*1))/(COUNTA(FI12:FK12)),"")</f>
        <v/>
      </c>
      <c r="FM12" s="185" t="str">
        <f t="shared" si="36"/>
        <v/>
      </c>
      <c r="FN12" s="129"/>
      <c r="FO12" s="130"/>
      <c r="FP12" s="131"/>
      <c r="FQ12" s="184" t="str">
        <f>IFERROR((((COUNTIF('Elève (5ème1)'!FN12:FP12,"A"))*4)+((COUNTIF('Elève (5ème1)'!FN12:FP12,"B"))*3)+((COUNTIF('Elève (5ème1)'!FN12:FP12,"C"))*2)+((COUNTIF('Elève (5ème1)'!FN12:FP12,"D"))*1))/(COUNTA(FN12:FP12)),"")</f>
        <v/>
      </c>
      <c r="FR12" s="185" t="str">
        <f t="shared" si="37"/>
        <v/>
      </c>
      <c r="FS12" s="129"/>
      <c r="FT12" s="130"/>
      <c r="FU12" s="131"/>
      <c r="FV12" s="135"/>
      <c r="FW12" s="184" t="str">
        <f>IFERROR((((COUNTIF('Elève (5ème1)'!FS12:FV12,"A"))*4)+((COUNTIF('Elève (5ème1)'!FS12:FV12,"B"))*3)+((COUNTIF('Elève (5ème1)'!FS12:FV12,"C"))*2)+((COUNTIF('Elève (5ème1)'!FS12:FV12,"D"))*1))/(COUNTA(FS12:FV12)),"")</f>
        <v/>
      </c>
      <c r="FX12" s="185" t="str">
        <f t="shared" si="38"/>
        <v/>
      </c>
      <c r="FY12" s="184" t="str">
        <f>IF(COUNT(FL12,FQ12,FW12)=0,"",SUM(FL12,FQ12,FW12)/COUNT(FL12,FQ12,FW12))</f>
        <v/>
      </c>
      <c r="FZ12" s="207" t="str">
        <f t="shared" si="39"/>
        <v/>
      </c>
      <c r="GA12" s="129"/>
      <c r="GB12" s="130"/>
      <c r="GC12" s="131"/>
      <c r="GD12" s="184" t="str">
        <f>IFERROR((((COUNTIF('Elève (5ème1)'!GA12:GC12,"A"))*4)+((COUNTIF('Elève (5ème1)'!GA12:GC12,"B"))*3)+((COUNTIF('Elève (5ème1)'!GA12:GC12,"C"))*2)+((COUNTIF('Elève (5ème1)'!GA12:GC12,"D"))*1))/(COUNTA(GA12:GC12)),"")</f>
        <v/>
      </c>
      <c r="GE12" s="185" t="str">
        <f t="shared" si="40"/>
        <v/>
      </c>
      <c r="GF12" s="129"/>
      <c r="GG12" s="130"/>
      <c r="GH12" s="131"/>
      <c r="GI12" s="184" t="str">
        <f>IFERROR((((COUNTIF('Elève (5ème1)'!GF12:GH12,"A"))*4)+((COUNTIF('Elève (5ème1)'!GF12:GH12,"B"))*3)+((COUNTIF('Elève (5ème1)'!GF12:GH12,"C"))*2)+((COUNTIF('Elève (5ème1)'!GF12:GH12,"D"))*1))/(COUNTA(GF12:GH12)),"")</f>
        <v/>
      </c>
      <c r="GJ12" s="185" t="str">
        <f t="shared" si="41"/>
        <v/>
      </c>
      <c r="GK12" s="129"/>
      <c r="GL12" s="130"/>
      <c r="GM12" s="131"/>
      <c r="GN12" s="135"/>
      <c r="GO12" s="184" t="str">
        <f>IFERROR((((COUNTIF('Elève (5ème1)'!GK12:GN12,"A"))*4)+((COUNTIF('Elève (5ème1)'!GK12:GN12,"B"))*3)+((COUNTIF('Elève (5ème1)'!GK12:GN12,"C"))*2)+((COUNTIF('Elève (5ème1)'!GK12:GN12,"D"))*1))/(COUNTA(GK12:GN12)),"")</f>
        <v/>
      </c>
      <c r="GP12" s="185" t="str">
        <f t="shared" si="42"/>
        <v/>
      </c>
      <c r="GQ12" s="184" t="str">
        <f>IF(COUNT(GD12,GI12,GO12)=0,"",SUM(GD12,GI12,GO12)/COUNT(GD12,GI12,GO12))</f>
        <v/>
      </c>
      <c r="GR12" s="207" t="str">
        <f t="shared" si="43"/>
        <v/>
      </c>
      <c r="GS12" s="129"/>
      <c r="GT12" s="130"/>
      <c r="GU12" s="131"/>
      <c r="GV12" s="184" t="str">
        <f>IFERROR((((COUNTIF('Elève (5ème1)'!GS12:GU12,"A"))*4)+((COUNTIF('Elève (5ème1)'!GS12:GU12,"B"))*3)+((COUNTIF('Elève (5ème1)'!GS12:GU12,"C"))*2)+((COUNTIF('Elève (5ème1)'!GS12:GU12,"D"))*1))/(COUNTA(GS12:GU12)),"")</f>
        <v/>
      </c>
      <c r="GW12" s="185" t="str">
        <f t="shared" si="44"/>
        <v/>
      </c>
      <c r="GX12" s="129"/>
      <c r="GY12" s="130"/>
      <c r="GZ12" s="131"/>
      <c r="HA12" s="184" t="str">
        <f>IFERROR((((COUNTIF('Elève (5ème1)'!GX12:GZ12,"A"))*4)+((COUNTIF('Elève (5ème1)'!GX12:GZ12,"B"))*3)+((COUNTIF('Elève (5ème1)'!GX12:GZ12,"C"))*2)+((COUNTIF('Elève (5ème1)'!GX12:GZ12,"D"))*1))/(COUNTA(GX12:GZ12)),"")</f>
        <v/>
      </c>
      <c r="HB12" s="185" t="str">
        <f t="shared" si="45"/>
        <v/>
      </c>
      <c r="HC12" s="129"/>
      <c r="HD12" s="130"/>
      <c r="HE12" s="131"/>
      <c r="HF12" s="135"/>
      <c r="HG12" s="184" t="str">
        <f>IFERROR((((COUNTIF('Elève (5ème1)'!HC12:HF12,"A"))*4)+((COUNTIF('Elève (5ème1)'!HC12:HF12,"B"))*3)+((COUNTIF('Elève (5ème1)'!HC12:HF12,"C"))*2)+((COUNTIF('Elève (5ème1)'!HC12:HF12,"D"))*1))/(COUNTA(HC12:HF12)),"")</f>
        <v/>
      </c>
      <c r="HH12" s="185" t="str">
        <f t="shared" si="46"/>
        <v/>
      </c>
      <c r="HI12" s="184" t="str">
        <f>IF(COUNT(GV12,HA12,HG12)=0,"",SUM(GV12,HA12,HG12)/COUNT(GV12,HA12,HG12))</f>
        <v/>
      </c>
      <c r="HJ12" s="207" t="str">
        <f t="shared" si="47"/>
        <v/>
      </c>
      <c r="HK12" s="129"/>
      <c r="HL12" s="130"/>
      <c r="HM12" s="131"/>
      <c r="HN12" s="184" t="str">
        <f>IFERROR((((COUNTIF('Elève (5ème1)'!HK12:HM12,"A"))*4)+((COUNTIF('Elève (5ème1)'!HK12:HM12,"B"))*3)+((COUNTIF('Elève (5ème1)'!HK12:HM12,"C"))*2)+((COUNTIF('Elève (5ème1)'!HK12:HM12,"D"))*1))/(COUNTA(HK12:HM12)),"")</f>
        <v/>
      </c>
      <c r="HO12" s="185" t="str">
        <f t="shared" si="48"/>
        <v/>
      </c>
      <c r="HP12" s="129"/>
      <c r="HQ12" s="130"/>
      <c r="HR12" s="131"/>
      <c r="HS12" s="184" t="str">
        <f>IFERROR((((COUNTIF('Elève (5ème1)'!HP12:HR12,"A"))*4)+((COUNTIF('Elève (5ème1)'!HP12:HR12,"B"))*3)+((COUNTIF('Elève (5ème1)'!HP12:HR12,"C"))*2)+((COUNTIF('Elève (5ème1)'!HP12:HR12,"D"))*1))/(COUNTA(HP12:HR12)),"")</f>
        <v/>
      </c>
      <c r="HT12" s="185" t="str">
        <f t="shared" si="49"/>
        <v/>
      </c>
      <c r="HU12" s="129"/>
      <c r="HV12" s="130"/>
      <c r="HW12" s="131"/>
      <c r="HX12" s="135"/>
      <c r="HY12" s="184" t="str">
        <f>IFERROR((((COUNTIF('Elève (5ème1)'!HU12:HX12,"A"))*4)+((COUNTIF('Elève (5ème1)'!HU12:HX12,"B"))*3)+((COUNTIF('Elève (5ème1)'!HU12:HX12,"C"))*2)+((COUNTIF('Elève (5ème1)'!HU12:HX12,"D"))*1))/(COUNTA(HU12:HX12)),"")</f>
        <v/>
      </c>
      <c r="HZ12" s="185" t="str">
        <f t="shared" si="50"/>
        <v/>
      </c>
      <c r="IA12" s="184" t="str">
        <f>IF(COUNT(HN12,HS12,HY12)=0,"",SUM(HN12,HS12,HY12)/COUNT(HN12,HS12,HY12))</f>
        <v/>
      </c>
      <c r="IB12" s="207" t="str">
        <f t="shared" si="51"/>
        <v/>
      </c>
      <c r="IC12" s="129"/>
      <c r="ID12" s="130"/>
      <c r="IE12" s="131"/>
      <c r="IF12" s="184" t="str">
        <f>IFERROR((((COUNTIF('Elève (5ème1)'!IC12:IE12,"A"))*4)+((COUNTIF('Elève (5ème1)'!IC12:IE12,"B"))*3)+((COUNTIF('Elève (5ème1)'!IC12:IE12,"C"))*2)+((COUNTIF('Elève (5ème1)'!IC12:IE12,"D"))*1))/(COUNTA(IC12:IE12)),"")</f>
        <v/>
      </c>
      <c r="IG12" s="185" t="str">
        <f t="shared" si="52"/>
        <v/>
      </c>
      <c r="IH12" s="129"/>
      <c r="II12" s="130"/>
      <c r="IJ12" s="131"/>
      <c r="IK12" s="184" t="str">
        <f>IFERROR((((COUNTIF('Elève (5ème1)'!IH12:IJ12,"A"))*4)+((COUNTIF('Elève (5ème1)'!IH12:IJ12,"B"))*3)+((COUNTIF('Elève (5ème1)'!IH12:IJ12,"C"))*2)+((COUNTIF('Elève (5ème1)'!IH12:IJ12,"D"))*1))/(COUNTA(IH12:IJ12)),"")</f>
        <v/>
      </c>
      <c r="IL12" s="185" t="str">
        <f t="shared" si="53"/>
        <v/>
      </c>
      <c r="IM12" s="129"/>
      <c r="IN12" s="130"/>
      <c r="IO12" s="131"/>
      <c r="IP12" s="135"/>
      <c r="IQ12" s="184" t="str">
        <f>IFERROR((((COUNTIF('Elève (5ème1)'!IM12:IP12,"A"))*4)+((COUNTIF('Elève (5ème1)'!IM12:IP12,"B"))*3)+((COUNTIF('Elève (5ème1)'!IM12:IP12,"C"))*2)+((COUNTIF('Elève (5ème1)'!IM12:IP12,"D"))*1))/(COUNTA(IM12:IP12)),"")</f>
        <v/>
      </c>
      <c r="IR12" s="185" t="str">
        <f t="shared" si="54"/>
        <v/>
      </c>
      <c r="IS12" s="184" t="str">
        <f>IF(COUNT(IF12,IK12,IQ12)=0,"",SUM(IF12,IK12,IQ12)/COUNT(IF12,IK12,IQ12))</f>
        <v/>
      </c>
      <c r="IT12" s="207" t="str">
        <f t="shared" si="55"/>
        <v/>
      </c>
      <c r="IU12" s="129"/>
      <c r="IV12" s="130"/>
      <c r="IW12" s="131"/>
      <c r="IX12" s="184" t="str">
        <f>IFERROR((((COUNTIF('Elève (5ème1)'!IU12:IW12,"A"))*4)+((COUNTIF('Elève (5ème1)'!IU12:IW12,"B"))*3)+((COUNTIF('Elève (5ème1)'!IU12:IW12,"C"))*2)+((COUNTIF('Elève (5ème1)'!IU12:IW12,"D"))*1))/(COUNTA(IU12:IW12)),"")</f>
        <v/>
      </c>
      <c r="IY12" s="185" t="str">
        <f t="shared" si="56"/>
        <v/>
      </c>
      <c r="IZ12" s="129"/>
      <c r="JA12" s="130"/>
      <c r="JB12" s="131"/>
      <c r="JC12" s="184" t="str">
        <f>IFERROR((((COUNTIF('Elève (5ème1)'!IZ12:JB12,"A"))*4)+((COUNTIF('Elève (5ème1)'!IZ12:JB12,"B"))*3)+((COUNTIF('Elève (5ème1)'!IZ12:JB12,"C"))*2)+((COUNTIF('Elève (5ème1)'!IZ12:JB12,"D"))*1))/(COUNTA(IZ12:JB12)),"")</f>
        <v/>
      </c>
      <c r="JD12" s="185" t="str">
        <f t="shared" si="57"/>
        <v/>
      </c>
      <c r="JE12" s="129"/>
      <c r="JF12" s="130"/>
      <c r="JG12" s="131"/>
      <c r="JH12" s="135"/>
      <c r="JI12" s="184" t="str">
        <f>IFERROR((((COUNTIF('Elève (5ème1)'!JE12:JH12,"A"))*4)+((COUNTIF('Elève (5ème1)'!JE12:JH12,"B"))*3)+((COUNTIF('Elève (5ème1)'!JE12:JH12,"C"))*2)+((COUNTIF('Elève (5ème1)'!JE12:JH12,"D"))*1))/(COUNTA(JE12:JH12)),"")</f>
        <v/>
      </c>
      <c r="JJ12" s="185" t="str">
        <f t="shared" si="58"/>
        <v/>
      </c>
      <c r="JK12" s="184" t="str">
        <f>IF(COUNT(IX12,JC12,JI12)=0,"",SUM(IX12,JC12,JI12)/COUNT(IX12,JC12,JI12))</f>
        <v/>
      </c>
      <c r="JL12" s="207" t="str">
        <f t="shared" si="59"/>
        <v/>
      </c>
      <c r="JM12" s="129"/>
      <c r="JN12" s="130"/>
      <c r="JO12" s="131"/>
      <c r="JP12" s="184" t="str">
        <f>IFERROR((((COUNTIF('Elève (5ème1)'!JM12:JO12,"A"))*4)+((COUNTIF('Elève (5ème1)'!JM12:JO12,"B"))*3)+((COUNTIF('Elève (5ème1)'!JM12:JO12,"C"))*2)+((COUNTIF('Elève (5ème1)'!JM12:JO12,"D"))*1))/(COUNTA(JM12:JO12)),"")</f>
        <v/>
      </c>
      <c r="JQ12" s="185" t="str">
        <f t="shared" si="60"/>
        <v/>
      </c>
      <c r="JR12" s="129"/>
      <c r="JS12" s="130"/>
      <c r="JT12" s="131"/>
      <c r="JU12" s="184" t="str">
        <f>IFERROR((((COUNTIF('Elève (5ème1)'!JR12:JT12,"A"))*4)+((COUNTIF('Elève (5ème1)'!JR12:JT12,"B"))*3)+((COUNTIF('Elève (5ème1)'!JR12:JT12,"C"))*2)+((COUNTIF('Elève (5ème1)'!JR12:JT12,"D"))*1))/(COUNTA(JR12:JT12)),"")</f>
        <v/>
      </c>
      <c r="JV12" s="185" t="str">
        <f t="shared" si="61"/>
        <v/>
      </c>
      <c r="JW12" s="129"/>
      <c r="JX12" s="130"/>
      <c r="JY12" s="131"/>
      <c r="JZ12" s="135"/>
      <c r="KA12" s="184" t="str">
        <f>IFERROR((((COUNTIF('Elève (5ème1)'!JW12:JZ12,"A"))*4)+((COUNTIF('Elève (5ème1)'!JW12:JZ12,"B"))*3)+((COUNTIF('Elève (5ème1)'!JW12:JZ12,"C"))*2)+((COUNTIF('Elève (5ème1)'!JW12:JZ12,"D"))*1))/(COUNTA(JW12:JZ12)),"")</f>
        <v/>
      </c>
      <c r="KB12" s="185" t="str">
        <f t="shared" si="62"/>
        <v/>
      </c>
      <c r="KC12" s="184" t="str">
        <f>IF(COUNT(JP12,JU12,KA12)=0,"",SUM(JP12,JU12,KA12)/COUNT(JP12,JU12,KA12))</f>
        <v/>
      </c>
      <c r="KD12" s="207" t="str">
        <f t="shared" si="63"/>
        <v/>
      </c>
      <c r="KE12" s="129"/>
      <c r="KF12" s="130"/>
      <c r="KG12" s="131"/>
      <c r="KH12" s="184" t="str">
        <f>IFERROR((((COUNTIF('Elève (5ème1)'!KE12:KG12,"A"))*4)+((COUNTIF('Elève (5ème1)'!KE12:KG12,"B"))*3)+((COUNTIF('Elève (5ème1)'!KE12:KG12,"C"))*2)+((COUNTIF('Elève (5ème1)'!KE12:KG12,"D"))*1))/(COUNTA(KE12:KG12)),"")</f>
        <v/>
      </c>
      <c r="KI12" s="185" t="str">
        <f t="shared" si="64"/>
        <v/>
      </c>
      <c r="KJ12" s="129"/>
      <c r="KK12" s="130"/>
      <c r="KL12" s="131"/>
      <c r="KM12" s="184" t="str">
        <f>IFERROR((((COUNTIF('Elève (5ème1)'!KJ12:KL12,"A"))*4)+((COUNTIF('Elève (5ème1)'!KJ12:KL12,"B"))*3)+((COUNTIF('Elève (5ème1)'!KJ12:KL12,"C"))*2)+((COUNTIF('Elève (5ème1)'!KJ12:KL12,"D"))*1))/(COUNTA(KJ12:KL12)),"")</f>
        <v/>
      </c>
      <c r="KN12" s="185" t="str">
        <f t="shared" si="65"/>
        <v/>
      </c>
      <c r="KO12" s="129"/>
      <c r="KP12" s="130"/>
      <c r="KQ12" s="131"/>
      <c r="KR12" s="135"/>
      <c r="KS12" s="184" t="str">
        <f>IFERROR((((COUNTIF('Elève (5ème1)'!KO12:KR12,"A"))*4)+((COUNTIF('Elève (5ème1)'!KO12:KR12,"B"))*3)+((COUNTIF('Elève (5ème1)'!KO12:KR12,"C"))*2)+((COUNTIF('Elève (5ème1)'!KO12:KR12,"D"))*1))/(COUNTA(KO12:KR12)),"")</f>
        <v/>
      </c>
      <c r="KT12" s="185" t="str">
        <f t="shared" si="66"/>
        <v/>
      </c>
      <c r="KU12" s="184" t="str">
        <f>IF(COUNT(KH12,KM12,KS12)=0,"",SUM(KH12,KM12,KS12)/COUNT(KH12,KM12,KS12))</f>
        <v/>
      </c>
      <c r="KV12" s="207" t="str">
        <f t="shared" si="67"/>
        <v/>
      </c>
      <c r="KW12" s="129"/>
      <c r="KX12" s="130"/>
      <c r="KY12" s="131"/>
      <c r="KZ12" s="184" t="str">
        <f>IFERROR((((COUNTIF('Elève (5ème1)'!KW12:KY12,"A"))*4)+((COUNTIF('Elève (5ème1)'!KW12:KY12,"B"))*3)+((COUNTIF('Elève (5ème1)'!KW12:KY12,"C"))*2)+((COUNTIF('Elève (5ème1)'!KW12:KY12,"D"))*1))/(COUNTA(KW12:KY12)),"")</f>
        <v/>
      </c>
      <c r="LA12" s="185" t="str">
        <f t="shared" si="68"/>
        <v/>
      </c>
      <c r="LB12" s="129"/>
      <c r="LC12" s="130"/>
      <c r="LD12" s="131"/>
      <c r="LE12" s="184" t="str">
        <f>IFERROR((((COUNTIF('Elève (5ème1)'!LB12:LD12,"A"))*4)+((COUNTIF('Elève (5ème1)'!LB12:LD12,"B"))*3)+((COUNTIF('Elève (5ème1)'!LB12:LD12,"C"))*2)+((COUNTIF('Elève (5ème1)'!LB12:LD12,"D"))*1))/(COUNTA(LB12:LD12)),"")</f>
        <v/>
      </c>
      <c r="LF12" s="185" t="str">
        <f t="shared" si="69"/>
        <v/>
      </c>
      <c r="LG12" s="129"/>
      <c r="LH12" s="130"/>
      <c r="LI12" s="131"/>
      <c r="LJ12" s="135"/>
      <c r="LK12" s="184" t="str">
        <f>IFERROR((((COUNTIF('Elève (5ème1)'!LG12:LJ12,"A"))*4)+((COUNTIF('Elève (5ème1)'!LG12:LJ12,"B"))*3)+((COUNTIF('Elève (5ème1)'!LG12:LJ12,"C"))*2)+((COUNTIF('Elève (5ème1)'!LG12:LJ12,"D"))*1))/(COUNTA(LG12:LJ12)),"")</f>
        <v/>
      </c>
      <c r="LL12" s="185" t="str">
        <f t="shared" si="70"/>
        <v/>
      </c>
      <c r="LM12" s="184" t="str">
        <f>IF(COUNT(KZ12,LE12,LK12)=0,"",SUM(KZ12,LE12,LK12)/COUNT(KZ12,LE12,LK12))</f>
        <v/>
      </c>
      <c r="LN12" s="207" t="str">
        <f t="shared" si="71"/>
        <v/>
      </c>
      <c r="LO12" s="129"/>
      <c r="LP12" s="130"/>
      <c r="LQ12" s="131"/>
      <c r="LR12" s="184" t="str">
        <f>IFERROR((((COUNTIF('Elève (5ème1)'!LO12:LQ12,"A"))*4)+((COUNTIF('Elève (5ème1)'!LO12:LQ12,"B"))*3)+((COUNTIF('Elève (5ème1)'!LO12:LQ12,"C"))*2)+((COUNTIF('Elève (5ème1)'!LO12:LQ12,"D"))*1))/(COUNTA(LO12:LQ12)),"")</f>
        <v/>
      </c>
      <c r="LS12" s="185" t="str">
        <f t="shared" si="72"/>
        <v/>
      </c>
      <c r="LT12" s="129"/>
      <c r="LU12" s="130"/>
      <c r="LV12" s="131"/>
      <c r="LW12" s="184" t="str">
        <f>IFERROR((((COUNTIF('Elève (5ème1)'!LT12:LV12,"A"))*4)+((COUNTIF('Elève (5ème1)'!LT12:LV12,"B"))*3)+((COUNTIF('Elève (5ème1)'!LT12:LV12,"C"))*2)+((COUNTIF('Elève (5ème1)'!LT12:LV12,"D"))*1))/(COUNTA(LT12:LV12)),"")</f>
        <v/>
      </c>
      <c r="LX12" s="185" t="str">
        <f t="shared" si="73"/>
        <v/>
      </c>
      <c r="LY12" s="129"/>
      <c r="LZ12" s="130"/>
      <c r="MA12" s="131"/>
      <c r="MB12" s="135"/>
      <c r="MC12" s="184" t="str">
        <f>IFERROR((((COUNTIF('Elève (5ème1)'!LY12:MB12,"A"))*4)+((COUNTIF('Elève (5ème1)'!LY12:MB12,"B"))*3)+((COUNTIF('Elève (5ème1)'!LY12:MB12,"C"))*2)+((COUNTIF('Elève (5ème1)'!LY12:MB12,"D"))*1))/(COUNTA(LY12:MB12)),"")</f>
        <v/>
      </c>
      <c r="MD12" s="185" t="str">
        <f t="shared" si="74"/>
        <v/>
      </c>
      <c r="ME12" s="184" t="str">
        <f>IF(COUNT(LR12,LW12,MC12)=0,"",SUM(LR12,LW12,MC12)/COUNT(LR12,LW12,MC12))</f>
        <v/>
      </c>
      <c r="MF12" s="207" t="str">
        <f t="shared" si="75"/>
        <v/>
      </c>
      <c r="MG12" s="129"/>
      <c r="MH12" s="130"/>
      <c r="MI12" s="131"/>
      <c r="MJ12" s="184" t="str">
        <f>IFERROR((((COUNTIF('Elève (5ème1)'!MG12:MI12,"A"))*4)+((COUNTIF('Elève (5ème1)'!MG12:MI12,"B"))*3)+((COUNTIF('Elève (5ème1)'!MG12:MI12,"C"))*2)+((COUNTIF('Elève (5ème1)'!MG12:MI12,"D"))*1))/(COUNTA(MG12:MI12)),"")</f>
        <v/>
      </c>
      <c r="MK12" s="185" t="str">
        <f t="shared" si="76"/>
        <v/>
      </c>
      <c r="ML12" s="129"/>
      <c r="MM12" s="130"/>
      <c r="MN12" s="131"/>
      <c r="MO12" s="184" t="str">
        <f>IFERROR((((COUNTIF('Elève (5ème1)'!ML12:MN12,"A"))*4)+((COUNTIF('Elève (5ème1)'!ML12:MN12,"B"))*3)+((COUNTIF('Elève (5ème1)'!ML12:MN12,"C"))*2)+((COUNTIF('Elève (5ème1)'!ML12:MN12,"D"))*1))/(COUNTA(ML12:MN12)),"")</f>
        <v/>
      </c>
      <c r="MP12" s="185" t="str">
        <f t="shared" si="77"/>
        <v/>
      </c>
      <c r="MQ12" s="129"/>
      <c r="MR12" s="130"/>
      <c r="MS12" s="131"/>
      <c r="MT12" s="135"/>
      <c r="MU12" s="184" t="str">
        <f>IFERROR((((COUNTIF('Elève (5ème1)'!MQ12:MT12,"A"))*4)+((COUNTIF('Elève (5ème1)'!MQ12:MT12,"B"))*3)+((COUNTIF('Elève (5ème1)'!MQ12:MT12,"C"))*2)+((COUNTIF('Elève (5ème1)'!MQ12:MT12,"D"))*1))/(COUNTA(MQ12:MT12)),"")</f>
        <v/>
      </c>
      <c r="MV12" s="185" t="str">
        <f t="shared" si="78"/>
        <v/>
      </c>
      <c r="MW12" s="184" t="str">
        <f>IF(COUNT(MJ12,MO12,MU12)=0,"",SUM(MJ12,MO12,MU12)/COUNT(MJ12,MO12,MU12))</f>
        <v/>
      </c>
      <c r="MX12" s="207" t="str">
        <f t="shared" si="79"/>
        <v/>
      </c>
      <c r="MY12" s="129"/>
      <c r="MZ12" s="130"/>
      <c r="NA12" s="131"/>
      <c r="NB12" s="184" t="str">
        <f>IFERROR((((COUNTIF('Elève (5ème1)'!MY12:NA12,"A"))*4)+((COUNTIF('Elève (5ème1)'!MY12:NA12,"B"))*3)+((COUNTIF('Elève (5ème1)'!MY12:NA12,"C"))*2)+((COUNTIF('Elève (5ème1)'!MY12:NA12,"D"))*1))/(COUNTA(MY12:NA12)),"")</f>
        <v/>
      </c>
      <c r="NC12" s="185" t="str">
        <f t="shared" si="80"/>
        <v/>
      </c>
      <c r="ND12" s="129"/>
      <c r="NE12" s="130"/>
      <c r="NF12" s="131"/>
      <c r="NG12" s="184" t="str">
        <f>IFERROR((((COUNTIF('Elève (5ème1)'!ND12:NF12,"A"))*4)+((COUNTIF('Elève (5ème1)'!ND12:NF12,"B"))*3)+((COUNTIF('Elève (5ème1)'!ND12:NF12,"C"))*2)+((COUNTIF('Elève (5ème1)'!ND12:NF12,"D"))*1))/(COUNTA(ND12:NF12)),"")</f>
        <v/>
      </c>
      <c r="NH12" s="185" t="str">
        <f t="shared" si="81"/>
        <v/>
      </c>
      <c r="NI12" s="129"/>
      <c r="NJ12" s="130"/>
      <c r="NK12" s="131"/>
      <c r="NL12" s="135"/>
      <c r="NM12" s="184" t="str">
        <f>IFERROR((((COUNTIF('Elève (5ème1)'!NI12:NL12,"A"))*4)+((COUNTIF('Elève (5ème1)'!NI12:NL12,"B"))*3)+((COUNTIF('Elève (5ème1)'!NI12:NL12,"C"))*2)+((COUNTIF('Elève (5ème1)'!NI12:NL12,"D"))*1))/(COUNTA(NI12:NL12)),"")</f>
        <v/>
      </c>
      <c r="NN12" s="185" t="str">
        <f t="shared" si="82"/>
        <v/>
      </c>
      <c r="NO12" s="184" t="str">
        <f>IF(COUNT(NB12,NG12,NM12)=0,"",SUM(NB12,NG12,NM12)/COUNT(NB12,NG12,NM12))</f>
        <v/>
      </c>
      <c r="NP12" s="207" t="str">
        <f t="shared" si="83"/>
        <v/>
      </c>
      <c r="NQ12" s="129"/>
      <c r="NR12" s="130"/>
      <c r="NS12" s="131"/>
      <c r="NT12" s="184" t="str">
        <f>IFERROR((((COUNTIF('Elève (5ème1)'!NQ12:NS12,"A"))*4)+((COUNTIF('Elève (5ème1)'!NQ12:NS12,"B"))*3)+((COUNTIF('Elève (5ème1)'!NQ12:NS12,"C"))*2)+((COUNTIF('Elève (5ème1)'!NQ12:NS12,"D"))*1))/(COUNTA(NQ12:NS12)),"")</f>
        <v/>
      </c>
      <c r="NU12" s="185" t="str">
        <f t="shared" si="84"/>
        <v/>
      </c>
      <c r="NV12" s="129"/>
      <c r="NW12" s="130"/>
      <c r="NX12" s="131"/>
      <c r="NY12" s="184" t="str">
        <f>IFERROR((((COUNTIF('Elève (5ème1)'!NV12:NX12,"A"))*4)+((COUNTIF('Elève (5ème1)'!NV12:NX12,"B"))*3)+((COUNTIF('Elève (5ème1)'!NV12:NX12,"C"))*2)+((COUNTIF('Elève (5ème1)'!NV12:NX12,"D"))*1))/(COUNTA(NV12:NX12)),"")</f>
        <v/>
      </c>
      <c r="NZ12" s="185" t="str">
        <f t="shared" si="85"/>
        <v/>
      </c>
      <c r="OA12" s="129"/>
      <c r="OB12" s="130"/>
      <c r="OC12" s="131"/>
      <c r="OD12" s="135"/>
      <c r="OE12" s="184" t="str">
        <f>IFERROR((((COUNTIF('Elève (5ème1)'!OA12:OD12,"A"))*4)+((COUNTIF('Elève (5ème1)'!OA12:OD12,"B"))*3)+((COUNTIF('Elève (5ème1)'!OA12:OD12,"C"))*2)+((COUNTIF('Elève (5ème1)'!OA12:OD12,"D"))*1))/(COUNTA(OA12:OD12)),"")</f>
        <v/>
      </c>
      <c r="OF12" s="185" t="str">
        <f t="shared" si="86"/>
        <v/>
      </c>
      <c r="OG12" s="184" t="str">
        <f>IF(COUNT(NT12,NY12,OE12)=0,"",SUM(NT12,NY12,OE12)/COUNT(NT12,NY12,OE12))</f>
        <v/>
      </c>
      <c r="OH12" s="207" t="str">
        <f t="shared" si="87"/>
        <v/>
      </c>
      <c r="OI12" s="129"/>
      <c r="OJ12" s="130"/>
      <c r="OK12" s="131"/>
      <c r="OL12" s="184" t="str">
        <f>IFERROR((((COUNTIF('Elève (5ème1)'!OI12:OK12,"A"))*4)+((COUNTIF('Elève (5ème1)'!OI12:OK12,"B"))*3)+((COUNTIF('Elève (5ème1)'!OI12:OK12,"C"))*2)+((COUNTIF('Elève (5ème1)'!OI12:OK12,"D"))*1))/(COUNTA(OI12:OK12)),"")</f>
        <v/>
      </c>
      <c r="OM12" s="185" t="str">
        <f t="shared" si="88"/>
        <v/>
      </c>
      <c r="ON12" s="129"/>
      <c r="OO12" s="130"/>
      <c r="OP12" s="131"/>
      <c r="OQ12" s="184" t="str">
        <f>IFERROR((((COUNTIF('Elève (5ème1)'!ON12:OP12,"A"))*4)+((COUNTIF('Elève (5ème1)'!ON12:OP12,"B"))*3)+((COUNTIF('Elève (5ème1)'!ON12:OP12,"C"))*2)+((COUNTIF('Elève (5ème1)'!ON12:OP12,"D"))*1))/(COUNTA(ON12:OP12)),"")</f>
        <v/>
      </c>
      <c r="OR12" s="185" t="str">
        <f t="shared" si="89"/>
        <v/>
      </c>
      <c r="OS12" s="129"/>
      <c r="OT12" s="130"/>
      <c r="OU12" s="131"/>
      <c r="OV12" s="135"/>
      <c r="OW12" s="184" t="str">
        <f>IFERROR((((COUNTIF('Elève (5ème1)'!OS12:OV12,"A"))*4)+((COUNTIF('Elève (5ème1)'!OS12:OV12,"B"))*3)+((COUNTIF('Elève (5ème1)'!OS12:OV12,"C"))*2)+((COUNTIF('Elève (5ème1)'!OS12:OV12,"D"))*1))/(COUNTA(OS12:OV12)),"")</f>
        <v/>
      </c>
      <c r="OX12" s="185" t="str">
        <f t="shared" si="90"/>
        <v/>
      </c>
      <c r="OY12" s="184" t="str">
        <f>IF(COUNT(OL12,OQ12,OW12)=0,"",SUM(OL12,OQ12,OW12)/COUNT(OL12,OQ12,OW12))</f>
        <v/>
      </c>
      <c r="OZ12" s="207" t="str">
        <f t="shared" si="91"/>
        <v/>
      </c>
      <c r="PA12" s="129"/>
      <c r="PB12" s="130"/>
      <c r="PC12" s="131"/>
      <c r="PD12" s="184" t="str">
        <f>IFERROR((((COUNTIF('Elève (5ème1)'!PA12:PC12,"A"))*4)+((COUNTIF('Elève (5ème1)'!PA12:PC12,"B"))*3)+((COUNTIF('Elève (5ème1)'!PA12:PC12,"C"))*2)+((COUNTIF('Elève (5ème1)'!PA12:PC12,"D"))*1))/(COUNTA(PA12:PC12)),"")</f>
        <v/>
      </c>
      <c r="PE12" s="185" t="str">
        <f t="shared" si="92"/>
        <v/>
      </c>
      <c r="PF12" s="129"/>
      <c r="PG12" s="130"/>
      <c r="PH12" s="131"/>
      <c r="PI12" s="184" t="str">
        <f>IFERROR((((COUNTIF('Elève (5ème1)'!PF12:PH12,"A"))*4)+((COUNTIF('Elève (5ème1)'!PF12:PH12,"B"))*3)+((COUNTIF('Elève (5ème1)'!PF12:PH12,"C"))*2)+((COUNTIF('Elève (5ème1)'!PF12:PH12,"D"))*1))/(COUNTA(PF12:PH12)),"")</f>
        <v/>
      </c>
      <c r="PJ12" s="185" t="str">
        <f t="shared" si="93"/>
        <v/>
      </c>
      <c r="PK12" s="129"/>
      <c r="PL12" s="130"/>
      <c r="PM12" s="131"/>
      <c r="PN12" s="135"/>
      <c r="PO12" s="184" t="str">
        <f>IFERROR((((COUNTIF('Elève (5ème1)'!PK12:PN12,"A"))*4)+((COUNTIF('Elève (5ème1)'!PK12:PN12,"B"))*3)+((COUNTIF('Elève (5ème1)'!PK12:PN12,"C"))*2)+((COUNTIF('Elève (5ème1)'!PK12:PN12,"D"))*1))/(COUNTA(PK12:PN12)),"")</f>
        <v/>
      </c>
      <c r="PP12" s="185" t="str">
        <f t="shared" si="94"/>
        <v/>
      </c>
      <c r="PQ12" s="184" t="str">
        <f>IF(COUNT(PD12,PI12,PO12)=0,"",SUM(PD12,PI12,PO12)/COUNT(PD12,PI12,PO12))</f>
        <v/>
      </c>
      <c r="PR12" s="207" t="str">
        <f t="shared" si="95"/>
        <v/>
      </c>
      <c r="PS12" s="129"/>
      <c r="PT12" s="130"/>
      <c r="PU12" s="131"/>
      <c r="PV12" s="184" t="str">
        <f>IFERROR((((COUNTIF('Elève (5ème1)'!PS12:PU12,"A"))*4)+((COUNTIF('Elève (5ème1)'!PS12:PU12,"B"))*3)+((COUNTIF('Elève (5ème1)'!PS12:PU12,"C"))*2)+((COUNTIF('Elève (5ème1)'!PS12:PU12,"D"))*1))/(COUNTA(PS12:PU12)),"")</f>
        <v/>
      </c>
      <c r="PW12" s="185" t="str">
        <f t="shared" si="96"/>
        <v/>
      </c>
      <c r="PX12" s="129"/>
      <c r="PY12" s="130"/>
      <c r="PZ12" s="131"/>
      <c r="QA12" s="184" t="str">
        <f>IFERROR((((COUNTIF('Elève (5ème1)'!PX12:PZ12,"A"))*4)+((COUNTIF('Elève (5ème1)'!PX12:PZ12,"B"))*3)+((COUNTIF('Elève (5ème1)'!PX12:PZ12,"C"))*2)+((COUNTIF('Elève (5ème1)'!PX12:PZ12,"D"))*1))/(COUNTA(PX12:PZ12)),"")</f>
        <v/>
      </c>
      <c r="QB12" s="185" t="str">
        <f t="shared" si="97"/>
        <v/>
      </c>
      <c r="QC12" s="129"/>
      <c r="QD12" s="130"/>
      <c r="QE12" s="131"/>
      <c r="QF12" s="135"/>
      <c r="QG12" s="184" t="str">
        <f>IFERROR((((COUNTIF('Elève (5ème1)'!QC12:QF12,"A"))*4)+((COUNTIF('Elève (5ème1)'!QC12:QF12,"B"))*3)+((COUNTIF('Elève (5ème1)'!QC12:QF12,"C"))*2)+((COUNTIF('Elève (5ème1)'!QC12:QF12,"D"))*1))/(COUNTA(QC12:QF12)),"")</f>
        <v/>
      </c>
      <c r="QH12" s="185" t="str">
        <f t="shared" si="98"/>
        <v/>
      </c>
      <c r="QI12" s="184" t="str">
        <f>IF(COUNT(PV12,QA12,QG12)=0,"",SUM(PV12,QA12,QG12)/COUNT(PV12,QA12,QG12))</f>
        <v/>
      </c>
      <c r="QJ12" s="207" t="str">
        <f t="shared" si="99"/>
        <v/>
      </c>
      <c r="QK12" s="129"/>
      <c r="QL12" s="130"/>
      <c r="QM12" s="131"/>
      <c r="QN12" s="184" t="str">
        <f>IFERROR((((COUNTIF('Elève (5ème1)'!QK12:QM12,"A"))*4)+((COUNTIF('Elève (5ème1)'!QK12:QM12,"B"))*3)+((COUNTIF('Elève (5ème1)'!QK12:QM12,"C"))*2)+((COUNTIF('Elève (5ème1)'!QK12:QM12,"D"))*1))/(COUNTA(QK12:QM12)),"")</f>
        <v/>
      </c>
      <c r="QO12" s="185" t="str">
        <f t="shared" si="100"/>
        <v/>
      </c>
      <c r="QP12" s="129"/>
      <c r="QQ12" s="130"/>
      <c r="QR12" s="131"/>
      <c r="QS12" s="184" t="str">
        <f>IFERROR((((COUNTIF('Elève (5ème1)'!QP12:QR12,"A"))*4)+((COUNTIF('Elève (5ème1)'!QP12:QR12,"B"))*3)+((COUNTIF('Elève (5ème1)'!QP12:QR12,"C"))*2)+((COUNTIF('Elève (5ème1)'!QP12:QR12,"D"))*1))/(COUNTA(QP12:QR12)),"")</f>
        <v/>
      </c>
      <c r="QT12" s="185" t="str">
        <f t="shared" si="101"/>
        <v/>
      </c>
      <c r="QU12" s="129"/>
      <c r="QV12" s="130"/>
      <c r="QW12" s="131"/>
      <c r="QX12" s="135"/>
      <c r="QY12" s="184" t="str">
        <f>IFERROR((((COUNTIF('Elève (5ème1)'!QU12:QX12,"A"))*4)+((COUNTIF('Elève (5ème1)'!QU12:QX12,"B"))*3)+((COUNTIF('Elève (5ème1)'!QU12:QX12,"C"))*2)+((COUNTIF('Elève (5ème1)'!QU12:QX12,"D"))*1))/(COUNTA(QU12:QX12)),"")</f>
        <v/>
      </c>
      <c r="QZ12" s="185" t="str">
        <f t="shared" si="102"/>
        <v/>
      </c>
      <c r="RA12" s="184" t="str">
        <f>IF(COUNT(QN12,QS12,QY12)=0,"",SUM(QN12,QS12,QY12)/COUNT(QN12,QS12,QY12))</f>
        <v/>
      </c>
      <c r="RB12" s="207" t="str">
        <f t="shared" si="103"/>
        <v/>
      </c>
      <c r="RC12" s="129"/>
      <c r="RD12" s="130"/>
      <c r="RE12" s="131"/>
      <c r="RF12" s="184" t="str">
        <f>IFERROR((((COUNTIF('Elève (5ème1)'!RC12:RE12,"A"))*4)+((COUNTIF('Elève (5ème1)'!RC12:RE12,"B"))*3)+((COUNTIF('Elève (5ème1)'!RC12:RE12,"C"))*2)+((COUNTIF('Elève (5ème1)'!RC12:RE12,"D"))*1))/(COUNTA(RC12:RE12)),"")</f>
        <v/>
      </c>
      <c r="RG12" s="185" t="str">
        <f t="shared" si="104"/>
        <v/>
      </c>
      <c r="RH12" s="129"/>
      <c r="RI12" s="130"/>
      <c r="RJ12" s="131"/>
      <c r="RK12" s="184" t="str">
        <f>IFERROR((((COUNTIF('Elève (5ème1)'!RH12:RJ12,"A"))*4)+((COUNTIF('Elève (5ème1)'!RH12:RJ12,"B"))*3)+((COUNTIF('Elève (5ème1)'!RH12:RJ12,"C"))*2)+((COUNTIF('Elève (5ème1)'!RH12:RJ12,"D"))*1))/(COUNTA(RH12:RJ12)),"")</f>
        <v/>
      </c>
      <c r="RL12" s="185" t="str">
        <f t="shared" si="105"/>
        <v/>
      </c>
      <c r="RM12" s="129"/>
      <c r="RN12" s="130"/>
      <c r="RO12" s="131"/>
      <c r="RP12" s="135"/>
      <c r="RQ12" s="184" t="str">
        <f>IFERROR((((COUNTIF('Elève (5ème1)'!RM12:RP12,"A"))*4)+((COUNTIF('Elève (5ème1)'!RM12:RP12,"B"))*3)+((COUNTIF('Elève (5ème1)'!RM12:RP12,"C"))*2)+((COUNTIF('Elève (5ème1)'!RM12:RP12,"D"))*1))/(COUNTA(RM12:RP12)),"")</f>
        <v/>
      </c>
      <c r="RR12" s="185" t="str">
        <f t="shared" si="106"/>
        <v/>
      </c>
      <c r="RS12" s="184" t="str">
        <f>IF(COUNT(RF12,RK12,RQ12)=0,"",SUM(RF12,RK12,RQ12)/COUNT(RF12,RK12,RQ12))</f>
        <v/>
      </c>
      <c r="RT12" s="207" t="str">
        <f t="shared" si="107"/>
        <v/>
      </c>
      <c r="RU12" s="129"/>
      <c r="RV12" s="130"/>
      <c r="RW12" s="131"/>
      <c r="RX12" s="184" t="str">
        <f>IFERROR((((COUNTIF('Elève (5ème1)'!RU12:RW12,"A"))*4)+((COUNTIF('Elève (5ème1)'!RU12:RW12,"B"))*3)+((COUNTIF('Elève (5ème1)'!RU12:RW12,"C"))*2)+((COUNTIF('Elève (5ème1)'!RU12:RW12,"D"))*1))/(COUNTA(RU12:RW12)),"")</f>
        <v/>
      </c>
      <c r="RY12" s="185" t="str">
        <f t="shared" si="108"/>
        <v/>
      </c>
      <c r="RZ12" s="129"/>
      <c r="SA12" s="130"/>
      <c r="SB12" s="131"/>
      <c r="SC12" s="184" t="str">
        <f>IFERROR((((COUNTIF('Elève (5ème1)'!RZ12:SB12,"A"))*4)+((COUNTIF('Elève (5ème1)'!RZ12:SB12,"B"))*3)+((COUNTIF('Elève (5ème1)'!RZ12:SB12,"C"))*2)+((COUNTIF('Elève (5ème1)'!RZ12:SB12,"D"))*1))/(COUNTA(RZ12:SB12)),"")</f>
        <v/>
      </c>
      <c r="SD12" s="185" t="str">
        <f t="shared" si="109"/>
        <v/>
      </c>
      <c r="SE12" s="129"/>
      <c r="SF12" s="130"/>
      <c r="SG12" s="131"/>
      <c r="SH12" s="135"/>
      <c r="SI12" s="184" t="str">
        <f>IFERROR((((COUNTIF('Elève (5ème1)'!SE12:SH12,"A"))*4)+((COUNTIF('Elève (5ème1)'!SE12:SH12,"B"))*3)+((COUNTIF('Elève (5ème1)'!SE12:SH12,"C"))*2)+((COUNTIF('Elève (5ème1)'!SE12:SH12,"D"))*1))/(COUNTA(SE12:SH12)),"")</f>
        <v/>
      </c>
      <c r="SJ12" s="185" t="str">
        <f t="shared" si="110"/>
        <v/>
      </c>
      <c r="SK12" s="184" t="str">
        <f>IF(COUNT(RX12,SC12,SI12)=0,"",SUM(RX12,SC12,SI12)/COUNT(RX12,SC12,SI12))</f>
        <v/>
      </c>
      <c r="SL12" s="207" t="str">
        <f t="shared" si="111"/>
        <v/>
      </c>
      <c r="SM12" s="129"/>
      <c r="SN12" s="130"/>
      <c r="SO12" s="131"/>
      <c r="SP12" s="184" t="str">
        <f>IFERROR((((COUNTIF('Elève (5ème1)'!SM12:SO12,"A"))*4)+((COUNTIF('Elève (5ème1)'!SM12:SO12,"B"))*3)+((COUNTIF('Elève (5ème1)'!SM12:SO12,"C"))*2)+((COUNTIF('Elève (5ème1)'!SM12:SO12,"D"))*1))/(COUNTA(SM12:SO12)),"")</f>
        <v/>
      </c>
      <c r="SQ12" s="185" t="str">
        <f t="shared" si="112"/>
        <v/>
      </c>
      <c r="SR12" s="129"/>
      <c r="SS12" s="130"/>
      <c r="ST12" s="131"/>
      <c r="SU12" s="184" t="str">
        <f>IFERROR((((COUNTIF('Elève (5ème1)'!SR12:ST12,"A"))*4)+((COUNTIF('Elève (5ème1)'!SR12:ST12,"B"))*3)+((COUNTIF('Elève (5ème1)'!SR12:ST12,"C"))*2)+((COUNTIF('Elève (5ème1)'!SR12:ST12,"D"))*1))/(COUNTA(SR12:ST12)),"")</f>
        <v/>
      </c>
      <c r="SV12" s="185" t="str">
        <f t="shared" si="113"/>
        <v/>
      </c>
      <c r="SW12" s="129"/>
      <c r="SX12" s="130"/>
      <c r="SY12" s="131"/>
      <c r="SZ12" s="135"/>
      <c r="TA12" s="184" t="str">
        <f>IFERROR((((COUNTIF('Elève (5ème1)'!SW12:SZ12,"A"))*4)+((COUNTIF('Elève (5ème1)'!SW12:SZ12,"B"))*3)+((COUNTIF('Elève (5ème1)'!SW12:SZ12,"C"))*2)+((COUNTIF('Elève (5ème1)'!SW12:SZ12,"D"))*1))/(COUNTA(SW12:SZ12)),"")</f>
        <v/>
      </c>
      <c r="TB12" s="185" t="str">
        <f t="shared" si="114"/>
        <v/>
      </c>
      <c r="TC12" s="184" t="str">
        <f>IF(COUNT(SP12,SU12,TA12)=0,"",SUM(SP12,SU12,TA12)/COUNT(SP12,SU12,TA12))</f>
        <v/>
      </c>
      <c r="TD12" s="207" t="str">
        <f t="shared" si="115"/>
        <v/>
      </c>
      <c r="TE12" s="129"/>
      <c r="TF12" s="130"/>
      <c r="TG12" s="131"/>
      <c r="TH12" s="184" t="str">
        <f>IFERROR((((COUNTIF('Elève (5ème1)'!TE12:TG12,"A"))*4)+((COUNTIF('Elève (5ème1)'!TE12:TG12,"B"))*3)+((COUNTIF('Elève (5ème1)'!TE12:TG12,"C"))*2)+((COUNTIF('Elève (5ème1)'!TE12:TG12,"D"))*1))/(COUNTA(TE12:TG12)),"")</f>
        <v/>
      </c>
      <c r="TI12" s="185" t="str">
        <f t="shared" si="116"/>
        <v/>
      </c>
      <c r="TJ12" s="129"/>
      <c r="TK12" s="130"/>
      <c r="TL12" s="131"/>
      <c r="TM12" s="184" t="str">
        <f>IFERROR((((COUNTIF('Elève (5ème1)'!TJ12:TL12,"A"))*4)+((COUNTIF('Elève (5ème1)'!TJ12:TL12,"B"))*3)+((COUNTIF('Elève (5ème1)'!TJ12:TL12,"C"))*2)+((COUNTIF('Elève (5ème1)'!TJ12:TL12,"D"))*1))/(COUNTA(TJ12:TL12)),"")</f>
        <v/>
      </c>
      <c r="TN12" s="185" t="str">
        <f t="shared" si="117"/>
        <v/>
      </c>
      <c r="TO12" s="129"/>
      <c r="TP12" s="130"/>
      <c r="TQ12" s="131"/>
      <c r="TR12" s="135"/>
      <c r="TS12" s="184" t="str">
        <f>IFERROR((((COUNTIF('Elève (5ème1)'!TO12:TR12,"A"))*4)+((COUNTIF('Elève (5ème1)'!TO12:TR12,"B"))*3)+((COUNTIF('Elève (5ème1)'!TO12:TR12,"C"))*2)+((COUNTIF('Elève (5ème1)'!TO12:TR12,"D"))*1))/(COUNTA(TO12:TR12)),"")</f>
        <v/>
      </c>
      <c r="TT12" s="185" t="str">
        <f t="shared" si="118"/>
        <v/>
      </c>
      <c r="TU12" s="184" t="str">
        <f>IF(COUNT(TH12,TM12,TS12)=0,"",SUM(TH12,TM12,TS12)/COUNT(TH12,TM12,TS12))</f>
        <v/>
      </c>
      <c r="TV12" s="207" t="str">
        <f t="shared" si="119"/>
        <v/>
      </c>
    </row>
    <row r="13" spans="1:542" s="114" customFormat="1" ht="16.5" customHeight="1" thickBot="1" x14ac:dyDescent="0.3">
      <c r="A13" s="164" t="s">
        <v>18</v>
      </c>
      <c r="B13" s="139">
        <v>1</v>
      </c>
      <c r="C13" s="171"/>
      <c r="D13" s="84"/>
      <c r="E13" s="104"/>
      <c r="F13" s="178">
        <f>IF(COUNT(F14:F15)=0,"",SUM(F14:F15)/COUNT(F14:F15))</f>
        <v>4</v>
      </c>
      <c r="G13" s="179" t="str">
        <f t="shared" si="0"/>
        <v>A</v>
      </c>
      <c r="H13" s="171"/>
      <c r="I13" s="84"/>
      <c r="J13" s="84"/>
      <c r="K13" s="178">
        <f>IF(COUNT(K14,K15)=0,"",SUM(K14:K15)/COUNT(K14,K15))</f>
        <v>4</v>
      </c>
      <c r="L13" s="194" t="str">
        <f t="shared" si="1"/>
        <v>A</v>
      </c>
      <c r="M13" s="172"/>
      <c r="N13" s="109"/>
      <c r="O13" s="109"/>
      <c r="P13" s="110"/>
      <c r="Q13" s="178">
        <f>IF(COUNT(Q14,Q15)=0,"",SUM(Q14:Q15)/COUNT(Q14,Q15))</f>
        <v>4</v>
      </c>
      <c r="R13" s="202" t="str">
        <f t="shared" si="2"/>
        <v>A</v>
      </c>
      <c r="S13" s="203">
        <f>IF(COUNT(S14:S15)=0,"",SUM(S14:S15)/COUNT(S14:S15))</f>
        <v>4</v>
      </c>
      <c r="T13" s="204" t="str">
        <f t="shared" si="3"/>
        <v>A</v>
      </c>
      <c r="U13" s="215"/>
      <c r="V13" s="84"/>
      <c r="W13" s="104"/>
      <c r="X13" s="178">
        <f>IF(COUNT(X14:X15)=0,"",SUM(X14:X15)/COUNT(X14:X15))</f>
        <v>4</v>
      </c>
      <c r="Y13" s="179" t="str">
        <f t="shared" si="4"/>
        <v>A</v>
      </c>
      <c r="Z13" s="171"/>
      <c r="AA13" s="84"/>
      <c r="AB13" s="84"/>
      <c r="AC13" s="178">
        <f>IF(COUNT(AC14,AC15)=0,"",SUM(AC14:AC15)/COUNT(AC14,AC15))</f>
        <v>4</v>
      </c>
      <c r="AD13" s="194" t="str">
        <f t="shared" si="5"/>
        <v>A</v>
      </c>
      <c r="AE13" s="172"/>
      <c r="AF13" s="109"/>
      <c r="AG13" s="109"/>
      <c r="AH13" s="110"/>
      <c r="AI13" s="178">
        <f>IF(COUNT(AI14,AI15)=0,"",SUM(AI14:AI15)/COUNT(AI14,AI15))</f>
        <v>4</v>
      </c>
      <c r="AJ13" s="202" t="str">
        <f t="shared" si="6"/>
        <v>A</v>
      </c>
      <c r="AK13" s="203">
        <f>IF(COUNT(AK14:AK15)=0,"",SUM(AK14:AK15)/COUNT(AK14:AK15))</f>
        <v>4</v>
      </c>
      <c r="AL13" s="204" t="str">
        <f t="shared" si="7"/>
        <v>A</v>
      </c>
      <c r="AM13" s="215"/>
      <c r="AN13" s="84"/>
      <c r="AO13" s="104"/>
      <c r="AP13" s="178">
        <f>IF(COUNT(AP14:AP15)=0,"",SUM(AP14:AP15)/COUNT(AP14:AP15))</f>
        <v>3</v>
      </c>
      <c r="AQ13" s="179" t="str">
        <f t="shared" si="8"/>
        <v>B</v>
      </c>
      <c r="AR13" s="171"/>
      <c r="AS13" s="84"/>
      <c r="AT13" s="84"/>
      <c r="AU13" s="178">
        <f>IF(COUNT(AU14,AU15)=0,"",SUM(AU14:AU15)/COUNT(AU14,AU15))</f>
        <v>3.5</v>
      </c>
      <c r="AV13" s="194" t="str">
        <f t="shared" si="9"/>
        <v>B</v>
      </c>
      <c r="AW13" s="172"/>
      <c r="AX13" s="109"/>
      <c r="AY13" s="109"/>
      <c r="AZ13" s="110"/>
      <c r="BA13" s="178">
        <f>IF(COUNT(BA14,BA15)=0,"",SUM(BA14:BA15)/COUNT(BA14,BA15))</f>
        <v>4</v>
      </c>
      <c r="BB13" s="202" t="str">
        <f t="shared" si="10"/>
        <v>A</v>
      </c>
      <c r="BC13" s="203">
        <f>IF(COUNT(BC14:BC15)=0,"",SUM(BC14:BC15)/COUNT(BC14:BC15))</f>
        <v>3.375</v>
      </c>
      <c r="BD13" s="204" t="str">
        <f t="shared" si="11"/>
        <v>B</v>
      </c>
      <c r="BE13" s="215"/>
      <c r="BF13" s="84"/>
      <c r="BG13" s="104"/>
      <c r="BH13" s="178">
        <f>IF(COUNT(BH14:BH15)=0,"",SUM(BH14:BH15)/COUNT(BH14:BH15))</f>
        <v>4</v>
      </c>
      <c r="BI13" s="179" t="str">
        <f t="shared" si="12"/>
        <v>A</v>
      </c>
      <c r="BJ13" s="171"/>
      <c r="BK13" s="84"/>
      <c r="BL13" s="84"/>
      <c r="BM13" s="178">
        <f>IF(COUNT(BM14,BM15)=0,"",SUM(BM14:BM15)/COUNT(BM14,BM15))</f>
        <v>3</v>
      </c>
      <c r="BN13" s="194" t="str">
        <f t="shared" si="13"/>
        <v>B</v>
      </c>
      <c r="BO13" s="172"/>
      <c r="BP13" s="109"/>
      <c r="BQ13" s="109"/>
      <c r="BR13" s="110"/>
      <c r="BS13" s="178">
        <f>IF(COUNT(BS14,BS15)=0,"",SUM(BS14:BS15)/COUNT(BS14,BS15))</f>
        <v>4</v>
      </c>
      <c r="BT13" s="202" t="str">
        <f t="shared" si="14"/>
        <v>A</v>
      </c>
      <c r="BU13" s="203">
        <f>IF(COUNT(BU14:BU15)=0,"",SUM(BU14:BU15)/COUNT(BU14:BU15))</f>
        <v>3.75</v>
      </c>
      <c r="BV13" s="204" t="str">
        <f t="shared" si="15"/>
        <v>A</v>
      </c>
      <c r="BW13" s="215"/>
      <c r="BX13" s="84"/>
      <c r="BY13" s="104"/>
      <c r="BZ13" s="178">
        <f>IF(COUNT(BZ14:BZ15)=0,"",SUM(BZ14:BZ15)/COUNT(BZ14:BZ15))</f>
        <v>4</v>
      </c>
      <c r="CA13" s="179" t="str">
        <f t="shared" si="16"/>
        <v>A</v>
      </c>
      <c r="CB13" s="171"/>
      <c r="CC13" s="84"/>
      <c r="CD13" s="84"/>
      <c r="CE13" s="178">
        <f>IF(COUNT(CE14,CE15)=0,"",SUM(CE14:CE15)/COUNT(CE14,CE15))</f>
        <v>3</v>
      </c>
      <c r="CF13" s="194" t="str">
        <f t="shared" si="17"/>
        <v>B</v>
      </c>
      <c r="CG13" s="172"/>
      <c r="CH13" s="109"/>
      <c r="CI13" s="109"/>
      <c r="CJ13" s="110"/>
      <c r="CK13" s="178">
        <f>IF(COUNT(CK14,CK15)=0,"",SUM(CK14:CK15)/COUNT(CK14,CK15))</f>
        <v>4</v>
      </c>
      <c r="CL13" s="202" t="str">
        <f t="shared" si="18"/>
        <v>A</v>
      </c>
      <c r="CM13" s="203">
        <f>IF(COUNT(CM14:CM15)=0,"",SUM(CM14:CM15)/COUNT(CM14:CM15))</f>
        <v>3.75</v>
      </c>
      <c r="CN13" s="204" t="str">
        <f t="shared" si="19"/>
        <v>A</v>
      </c>
      <c r="CO13" s="215"/>
      <c r="CP13" s="84"/>
      <c r="CQ13" s="104"/>
      <c r="CR13" s="178">
        <f>IF(COUNT(CR14:CR15)=0,"",SUM(CR14:CR15)/COUNT(CR14:CR15))</f>
        <v>4</v>
      </c>
      <c r="CS13" s="179" t="str">
        <f t="shared" si="20"/>
        <v>A</v>
      </c>
      <c r="CT13" s="171"/>
      <c r="CU13" s="84"/>
      <c r="CV13" s="84"/>
      <c r="CW13" s="178">
        <f>IF(COUNT(CW14,CW15)=0,"",SUM(CW14:CW15)/COUNT(CW14,CW15))</f>
        <v>4</v>
      </c>
      <c r="CX13" s="194" t="str">
        <f t="shared" si="21"/>
        <v>A</v>
      </c>
      <c r="CY13" s="172"/>
      <c r="CZ13" s="109"/>
      <c r="DA13" s="109"/>
      <c r="DB13" s="110"/>
      <c r="DC13" s="178">
        <f>IF(COUNT(DC14,DC15)=0,"",SUM(DC14:DC15)/COUNT(DC14,DC15))</f>
        <v>4</v>
      </c>
      <c r="DD13" s="202" t="str">
        <f t="shared" si="22"/>
        <v>A</v>
      </c>
      <c r="DE13" s="203">
        <f>IF(COUNT(DE14:DE15)=0,"",SUM(DE14:DE15)/COUNT(DE14:DE15))</f>
        <v>4</v>
      </c>
      <c r="DF13" s="204" t="str">
        <f t="shared" si="23"/>
        <v>A</v>
      </c>
      <c r="DG13" s="215"/>
      <c r="DH13" s="84"/>
      <c r="DI13" s="104"/>
      <c r="DJ13" s="178">
        <f>IF(COUNT(DJ14:DJ15)=0,"",SUM(DJ14:DJ15)/COUNT(DJ14:DJ15))</f>
        <v>4</v>
      </c>
      <c r="DK13" s="179" t="str">
        <f t="shared" si="24"/>
        <v>A</v>
      </c>
      <c r="DL13" s="171"/>
      <c r="DM13" s="84"/>
      <c r="DN13" s="84"/>
      <c r="DO13" s="178">
        <f>IF(COUNT(DO14,DO15)=0,"",SUM(DO14:DO15)/COUNT(DO14,DO15))</f>
        <v>4</v>
      </c>
      <c r="DP13" s="194" t="str">
        <f t="shared" si="25"/>
        <v>A</v>
      </c>
      <c r="DQ13" s="172"/>
      <c r="DR13" s="109"/>
      <c r="DS13" s="109"/>
      <c r="DT13" s="110"/>
      <c r="DU13" s="178" t="str">
        <f>IF(COUNT(DU14,DU15)=0,"",SUM(DU14:DU15)/COUNT(DU14,DU15))</f>
        <v/>
      </c>
      <c r="DV13" s="202" t="str">
        <f t="shared" si="26"/>
        <v/>
      </c>
      <c r="DW13" s="203">
        <f>IF(COUNT(DW14:DW15)=0,"",SUM(DW14:DW15)/COUNT(DW14:DW15))</f>
        <v>4</v>
      </c>
      <c r="DX13" s="204" t="str">
        <f t="shared" si="27"/>
        <v>A</v>
      </c>
      <c r="DY13" s="215"/>
      <c r="DZ13" s="84"/>
      <c r="EA13" s="104"/>
      <c r="EB13" s="178">
        <f>IF(COUNT(EB14:EB15)=0,"",SUM(EB14:EB15)/COUNT(EB14:EB15))</f>
        <v>4</v>
      </c>
      <c r="EC13" s="179" t="str">
        <f t="shared" si="28"/>
        <v>A</v>
      </c>
      <c r="ED13" s="171"/>
      <c r="EE13" s="84"/>
      <c r="EF13" s="84"/>
      <c r="EG13" s="178">
        <f>IF(COUNT(EG14,EG15)=0,"",SUM(EG14:EG15)/COUNT(EG14,EG15))</f>
        <v>4</v>
      </c>
      <c r="EH13" s="194" t="str">
        <f t="shared" si="29"/>
        <v>A</v>
      </c>
      <c r="EI13" s="172"/>
      <c r="EJ13" s="109"/>
      <c r="EK13" s="109"/>
      <c r="EL13" s="110"/>
      <c r="EM13" s="178">
        <f>IF(COUNT(EM14,EM15)=0,"",SUM(EM14:EM15)/COUNT(EM14,EM15))</f>
        <v>4</v>
      </c>
      <c r="EN13" s="202" t="str">
        <f t="shared" si="30"/>
        <v>A</v>
      </c>
      <c r="EO13" s="203">
        <f>IF(COUNT(EO14:EO15)=0,"",SUM(EO14:EO15)/COUNT(EO14:EO15))</f>
        <v>4</v>
      </c>
      <c r="EP13" s="204" t="str">
        <f t="shared" si="31"/>
        <v>A</v>
      </c>
      <c r="EQ13" s="215"/>
      <c r="ER13" s="84"/>
      <c r="ES13" s="104"/>
      <c r="ET13" s="178" t="str">
        <f>IF(COUNT(ET14:ET15)=0,"",SUM(ET14:ET15)/COUNT(ET14:ET15))</f>
        <v/>
      </c>
      <c r="EU13" s="179" t="str">
        <f t="shared" si="32"/>
        <v/>
      </c>
      <c r="EV13" s="171"/>
      <c r="EW13" s="84"/>
      <c r="EX13" s="84"/>
      <c r="EY13" s="178">
        <f>IF(COUNT(EY14,EY15)=0,"",SUM(EY14:EY15)/COUNT(EY14,EY15))</f>
        <v>4</v>
      </c>
      <c r="EZ13" s="194" t="str">
        <f t="shared" si="33"/>
        <v>A</v>
      </c>
      <c r="FA13" s="172"/>
      <c r="FB13" s="109"/>
      <c r="FC13" s="109"/>
      <c r="FD13" s="110"/>
      <c r="FE13" s="178">
        <f>IF(COUNT(FE14,FE15)=0,"",SUM(FE14:FE15)/COUNT(FE14,FE15))</f>
        <v>4</v>
      </c>
      <c r="FF13" s="202" t="str">
        <f t="shared" si="34"/>
        <v>A</v>
      </c>
      <c r="FG13" s="203">
        <f>IF(COUNT(FG14:FG15)=0,"",SUM(FG14:FG15)/COUNT(FG14:FG15))</f>
        <v>4</v>
      </c>
      <c r="FH13" s="204" t="str">
        <f t="shared" si="35"/>
        <v>A</v>
      </c>
      <c r="FI13" s="215"/>
      <c r="FJ13" s="84"/>
      <c r="FK13" s="104"/>
      <c r="FL13" s="178">
        <f>IF(COUNT(FL14:FL15)=0,"",SUM(FL14:FL15)/COUNT(FL14:FL15))</f>
        <v>4</v>
      </c>
      <c r="FM13" s="179" t="str">
        <f t="shared" si="36"/>
        <v>A</v>
      </c>
      <c r="FN13" s="171"/>
      <c r="FO13" s="84"/>
      <c r="FP13" s="84"/>
      <c r="FQ13" s="178">
        <f>IF(COUNT(FQ14,FQ15)=0,"",SUM(FQ14:FQ15)/COUNT(FQ14,FQ15))</f>
        <v>4</v>
      </c>
      <c r="FR13" s="194" t="str">
        <f t="shared" si="37"/>
        <v>A</v>
      </c>
      <c r="FS13" s="172"/>
      <c r="FT13" s="109"/>
      <c r="FU13" s="109"/>
      <c r="FV13" s="110"/>
      <c r="FW13" s="178">
        <f>IF(COUNT(FW14,FW15)=0,"",SUM(FW14:FW15)/COUNT(FW14,FW15))</f>
        <v>4</v>
      </c>
      <c r="FX13" s="202" t="str">
        <f t="shared" si="38"/>
        <v>A</v>
      </c>
      <c r="FY13" s="203">
        <f>IF(COUNT(FY14:FY15)=0,"",SUM(FY14:FY15)/COUNT(FY14:FY15))</f>
        <v>4</v>
      </c>
      <c r="FZ13" s="204" t="str">
        <f t="shared" si="39"/>
        <v>A</v>
      </c>
      <c r="GA13" s="215"/>
      <c r="GB13" s="84"/>
      <c r="GC13" s="104"/>
      <c r="GD13" s="178">
        <f>IF(COUNT(GD14:GD15)=0,"",SUM(GD14:GD15)/COUNT(GD14:GD15))</f>
        <v>4</v>
      </c>
      <c r="GE13" s="179" t="str">
        <f t="shared" si="40"/>
        <v>A</v>
      </c>
      <c r="GF13" s="171"/>
      <c r="GG13" s="84"/>
      <c r="GH13" s="84"/>
      <c r="GI13" s="178">
        <f>IF(COUNT(GI14,GI15)=0,"",SUM(GI14:GI15)/COUNT(GI14,GI15))</f>
        <v>3</v>
      </c>
      <c r="GJ13" s="194" t="str">
        <f t="shared" si="41"/>
        <v>B</v>
      </c>
      <c r="GK13" s="172"/>
      <c r="GL13" s="109"/>
      <c r="GM13" s="109"/>
      <c r="GN13" s="110"/>
      <c r="GO13" s="178">
        <f>IF(COUNT(GO14,GO15)=0,"",SUM(GO14:GO15)/COUNT(GO14,GO15))</f>
        <v>4</v>
      </c>
      <c r="GP13" s="202" t="str">
        <f t="shared" si="42"/>
        <v>A</v>
      </c>
      <c r="GQ13" s="203">
        <f>IF(COUNT(GQ14:GQ15)=0,"",SUM(GQ14:GQ15)/COUNT(GQ14:GQ15))</f>
        <v>3.75</v>
      </c>
      <c r="GR13" s="204" t="str">
        <f t="shared" si="43"/>
        <v>A</v>
      </c>
      <c r="GS13" s="215"/>
      <c r="GT13" s="84"/>
      <c r="GU13" s="104"/>
      <c r="GV13" s="178">
        <f>IF(COUNT(GV14:GV15)=0,"",SUM(GV14:GV15)/COUNT(GV14:GV15))</f>
        <v>3</v>
      </c>
      <c r="GW13" s="179" t="str">
        <f t="shared" si="44"/>
        <v>B</v>
      </c>
      <c r="GX13" s="171"/>
      <c r="GY13" s="84"/>
      <c r="GZ13" s="84"/>
      <c r="HA13" s="178">
        <f>IF(COUNT(HA14,HA15)=0,"",SUM(HA14:HA15)/COUNT(HA14,HA15))</f>
        <v>4</v>
      </c>
      <c r="HB13" s="194" t="str">
        <f t="shared" si="45"/>
        <v>A</v>
      </c>
      <c r="HC13" s="172"/>
      <c r="HD13" s="109"/>
      <c r="HE13" s="109"/>
      <c r="HF13" s="110"/>
      <c r="HG13" s="178">
        <f>IF(COUNT(HG14,HG15)=0,"",SUM(HG14:HG15)/COUNT(HG14,HG15))</f>
        <v>4</v>
      </c>
      <c r="HH13" s="202" t="str">
        <f t="shared" si="46"/>
        <v>A</v>
      </c>
      <c r="HI13" s="203">
        <f>IF(COUNT(HI14:HI15)=0,"",SUM(HI14:HI15)/COUNT(HI14:HI15))</f>
        <v>3.5</v>
      </c>
      <c r="HJ13" s="204" t="str">
        <f t="shared" si="47"/>
        <v>B</v>
      </c>
      <c r="HK13" s="215"/>
      <c r="HL13" s="84"/>
      <c r="HM13" s="104"/>
      <c r="HN13" s="178">
        <f>IF(COUNT(HN14:HN15)=0,"",SUM(HN14:HN15)/COUNT(HN14:HN15))</f>
        <v>3</v>
      </c>
      <c r="HO13" s="179" t="str">
        <f t="shared" si="48"/>
        <v>B</v>
      </c>
      <c r="HP13" s="171"/>
      <c r="HQ13" s="84"/>
      <c r="HR13" s="84"/>
      <c r="HS13" s="178">
        <f>IF(COUNT(HS14,HS15)=0,"",SUM(HS14:HS15)/COUNT(HS14,HS15))</f>
        <v>3.5</v>
      </c>
      <c r="HT13" s="194" t="str">
        <f t="shared" si="49"/>
        <v>B</v>
      </c>
      <c r="HU13" s="172"/>
      <c r="HV13" s="109"/>
      <c r="HW13" s="109"/>
      <c r="HX13" s="110"/>
      <c r="HY13" s="178">
        <f>IF(COUNT(HY14,HY15)=0,"",SUM(HY14:HY15)/COUNT(HY14,HY15))</f>
        <v>4</v>
      </c>
      <c r="HZ13" s="202" t="str">
        <f t="shared" si="50"/>
        <v>A</v>
      </c>
      <c r="IA13" s="203">
        <f>IF(COUNT(IA14:IA15)=0,"",SUM(IA14:IA15)/COUNT(IA14:IA15))</f>
        <v>3.375</v>
      </c>
      <c r="IB13" s="204" t="str">
        <f t="shared" si="51"/>
        <v>B</v>
      </c>
      <c r="IC13" s="215"/>
      <c r="ID13" s="84"/>
      <c r="IE13" s="104"/>
      <c r="IF13" s="178">
        <f>IF(COUNT(IF14:IF15)=0,"",SUM(IF14:IF15)/COUNT(IF14:IF15))</f>
        <v>4</v>
      </c>
      <c r="IG13" s="179" t="str">
        <f t="shared" si="52"/>
        <v>A</v>
      </c>
      <c r="IH13" s="171"/>
      <c r="II13" s="84"/>
      <c r="IJ13" s="84"/>
      <c r="IK13" s="178">
        <f>IF(COUNT(IK14,IK15)=0,"",SUM(IK14:IK15)/COUNT(IK14,IK15))</f>
        <v>4</v>
      </c>
      <c r="IL13" s="194" t="str">
        <f t="shared" si="53"/>
        <v>A</v>
      </c>
      <c r="IM13" s="172"/>
      <c r="IN13" s="109"/>
      <c r="IO13" s="109"/>
      <c r="IP13" s="110"/>
      <c r="IQ13" s="178">
        <f>IF(COUNT(IQ14,IQ15)=0,"",SUM(IQ14:IQ15)/COUNT(IQ14,IQ15))</f>
        <v>4</v>
      </c>
      <c r="IR13" s="202" t="str">
        <f t="shared" si="54"/>
        <v>A</v>
      </c>
      <c r="IS13" s="203">
        <f>IF(COUNT(IS14:IS15)=0,"",SUM(IS14:IS15)/COUNT(IS14:IS15))</f>
        <v>4</v>
      </c>
      <c r="IT13" s="204" t="str">
        <f t="shared" si="55"/>
        <v>A</v>
      </c>
      <c r="IU13" s="215"/>
      <c r="IV13" s="84"/>
      <c r="IW13" s="104"/>
      <c r="IX13" s="178">
        <f>IF(COUNT(IX14:IX15)=0,"",SUM(IX14:IX15)/COUNT(IX14:IX15))</f>
        <v>4</v>
      </c>
      <c r="IY13" s="179" t="str">
        <f t="shared" si="56"/>
        <v>A</v>
      </c>
      <c r="IZ13" s="171"/>
      <c r="JA13" s="84"/>
      <c r="JB13" s="84"/>
      <c r="JC13" s="178">
        <f>IF(COUNT(JC14,JC15)=0,"",SUM(JC14:JC15)/COUNT(JC14,JC15))</f>
        <v>3</v>
      </c>
      <c r="JD13" s="194" t="str">
        <f t="shared" si="57"/>
        <v>B</v>
      </c>
      <c r="JE13" s="172"/>
      <c r="JF13" s="109"/>
      <c r="JG13" s="109"/>
      <c r="JH13" s="110"/>
      <c r="JI13" s="178">
        <f>IF(COUNT(JI14,JI15)=0,"",SUM(JI14:JI15)/COUNT(JI14,JI15))</f>
        <v>4</v>
      </c>
      <c r="JJ13" s="202" t="str">
        <f t="shared" si="58"/>
        <v>A</v>
      </c>
      <c r="JK13" s="203">
        <f>IF(COUNT(JK14:JK15)=0,"",SUM(JK14:JK15)/COUNT(JK14:JK15))</f>
        <v>3.75</v>
      </c>
      <c r="JL13" s="204" t="str">
        <f t="shared" si="59"/>
        <v>A</v>
      </c>
      <c r="JM13" s="215"/>
      <c r="JN13" s="84"/>
      <c r="JO13" s="104"/>
      <c r="JP13" s="178">
        <f>IF(COUNT(JP14:JP15)=0,"",SUM(JP14:JP15)/COUNT(JP14:JP15))</f>
        <v>4</v>
      </c>
      <c r="JQ13" s="179" t="str">
        <f t="shared" si="60"/>
        <v>A</v>
      </c>
      <c r="JR13" s="171"/>
      <c r="JS13" s="84"/>
      <c r="JT13" s="84"/>
      <c r="JU13" s="178">
        <f>IF(COUNT(JU14,JU15)=0,"",SUM(JU14:JU15)/COUNT(JU14,JU15))</f>
        <v>4</v>
      </c>
      <c r="JV13" s="194" t="str">
        <f t="shared" si="61"/>
        <v>A</v>
      </c>
      <c r="JW13" s="172"/>
      <c r="JX13" s="109"/>
      <c r="JY13" s="109"/>
      <c r="JZ13" s="110"/>
      <c r="KA13" s="178">
        <f>IF(COUNT(KA14,KA15)=0,"",SUM(KA14:KA15)/COUNT(KA14,KA15))</f>
        <v>4</v>
      </c>
      <c r="KB13" s="202" t="str">
        <f t="shared" si="62"/>
        <v>A</v>
      </c>
      <c r="KC13" s="203">
        <f>IF(COUNT(KC14:KC15)=0,"",SUM(KC14:KC15)/COUNT(KC14:KC15))</f>
        <v>4</v>
      </c>
      <c r="KD13" s="204" t="str">
        <f t="shared" si="63"/>
        <v>A</v>
      </c>
      <c r="KE13" s="215"/>
      <c r="KF13" s="84"/>
      <c r="KG13" s="104"/>
      <c r="KH13" s="178">
        <f>IF(COUNT(KH14:KH15)=0,"",SUM(KH14:KH15)/COUNT(KH14:KH15))</f>
        <v>4</v>
      </c>
      <c r="KI13" s="179" t="str">
        <f t="shared" si="64"/>
        <v>A</v>
      </c>
      <c r="KJ13" s="171"/>
      <c r="KK13" s="84"/>
      <c r="KL13" s="84"/>
      <c r="KM13" s="178">
        <f>IF(COUNT(KM14,KM15)=0,"",SUM(KM14:KM15)/COUNT(KM14,KM15))</f>
        <v>4</v>
      </c>
      <c r="KN13" s="194" t="str">
        <f t="shared" si="65"/>
        <v>A</v>
      </c>
      <c r="KO13" s="172"/>
      <c r="KP13" s="109"/>
      <c r="KQ13" s="109"/>
      <c r="KR13" s="110"/>
      <c r="KS13" s="178" t="str">
        <f>IF(COUNT(KS14,KS15)=0,"",SUM(KS14:KS15)/COUNT(KS14,KS15))</f>
        <v/>
      </c>
      <c r="KT13" s="202" t="str">
        <f t="shared" si="66"/>
        <v/>
      </c>
      <c r="KU13" s="203">
        <f>IF(COUNT(KU14:KU15)=0,"",SUM(KU14:KU15)/COUNT(KU14:KU15))</f>
        <v>4</v>
      </c>
      <c r="KV13" s="204" t="str">
        <f t="shared" si="67"/>
        <v>A</v>
      </c>
      <c r="KW13" s="215"/>
      <c r="KX13" s="84"/>
      <c r="KY13" s="104"/>
      <c r="KZ13" s="178">
        <f>IF(COUNT(KZ14:KZ15)=0,"",SUM(KZ14:KZ15)/COUNT(KZ14:KZ15))</f>
        <v>3</v>
      </c>
      <c r="LA13" s="179" t="str">
        <f t="shared" si="68"/>
        <v>B</v>
      </c>
      <c r="LB13" s="171"/>
      <c r="LC13" s="84"/>
      <c r="LD13" s="84"/>
      <c r="LE13" s="178">
        <f>IF(COUNT(LE14,LE15)=0,"",SUM(LE14:LE15)/COUNT(LE14,LE15))</f>
        <v>4</v>
      </c>
      <c r="LF13" s="194" t="str">
        <f t="shared" si="69"/>
        <v>A</v>
      </c>
      <c r="LG13" s="172"/>
      <c r="LH13" s="109"/>
      <c r="LI13" s="109"/>
      <c r="LJ13" s="110"/>
      <c r="LK13" s="178">
        <f>IF(COUNT(LK14,LK15)=0,"",SUM(LK14:LK15)/COUNT(LK14,LK15))</f>
        <v>4</v>
      </c>
      <c r="LL13" s="202" t="str">
        <f t="shared" si="70"/>
        <v>A</v>
      </c>
      <c r="LM13" s="203">
        <f>IF(COUNT(LM14:LM15)=0,"",SUM(LM14:LM15)/COUNT(LM14:LM15))</f>
        <v>3.5</v>
      </c>
      <c r="LN13" s="204" t="str">
        <f t="shared" si="71"/>
        <v>B</v>
      </c>
      <c r="LO13" s="215"/>
      <c r="LP13" s="84"/>
      <c r="LQ13" s="104"/>
      <c r="LR13" s="178">
        <f>IF(COUNT(LR14:LR15)=0,"",SUM(LR14:LR15)/COUNT(LR14:LR15))</f>
        <v>4</v>
      </c>
      <c r="LS13" s="179" t="str">
        <f t="shared" si="72"/>
        <v>A</v>
      </c>
      <c r="LT13" s="171"/>
      <c r="LU13" s="84"/>
      <c r="LV13" s="84"/>
      <c r="LW13" s="178">
        <f>IF(COUNT(LW14,LW15)=0,"",SUM(LW14:LW15)/COUNT(LW14,LW15))</f>
        <v>4</v>
      </c>
      <c r="LX13" s="194" t="str">
        <f t="shared" si="73"/>
        <v>A</v>
      </c>
      <c r="LY13" s="172"/>
      <c r="LZ13" s="109"/>
      <c r="MA13" s="109"/>
      <c r="MB13" s="110"/>
      <c r="MC13" s="178">
        <f>IF(COUNT(MC14,MC15)=0,"",SUM(MC14:MC15)/COUNT(MC14,MC15))</f>
        <v>4</v>
      </c>
      <c r="MD13" s="202" t="str">
        <f t="shared" si="74"/>
        <v>A</v>
      </c>
      <c r="ME13" s="203">
        <f>IF(COUNT(ME14:ME15)=0,"",SUM(ME14:ME15)/COUNT(ME14:ME15))</f>
        <v>4</v>
      </c>
      <c r="MF13" s="204" t="str">
        <f t="shared" si="75"/>
        <v>A</v>
      </c>
      <c r="MG13" s="215"/>
      <c r="MH13" s="84"/>
      <c r="MI13" s="104"/>
      <c r="MJ13" s="178">
        <f>IF(COUNT(MJ14:MJ15)=0,"",SUM(MJ14:MJ15)/COUNT(MJ14:MJ15))</f>
        <v>4</v>
      </c>
      <c r="MK13" s="179" t="str">
        <f t="shared" si="76"/>
        <v>A</v>
      </c>
      <c r="ML13" s="171"/>
      <c r="MM13" s="84"/>
      <c r="MN13" s="84"/>
      <c r="MO13" s="178">
        <f>IF(COUNT(MO14,MO15)=0,"",SUM(MO14:MO15)/COUNT(MO14,MO15))</f>
        <v>4</v>
      </c>
      <c r="MP13" s="194" t="str">
        <f t="shared" si="77"/>
        <v>A</v>
      </c>
      <c r="MQ13" s="172"/>
      <c r="MR13" s="109"/>
      <c r="MS13" s="109"/>
      <c r="MT13" s="110"/>
      <c r="MU13" s="178">
        <f>IF(COUNT(MU14,MU15)=0,"",SUM(MU14:MU15)/COUNT(MU14,MU15))</f>
        <v>4</v>
      </c>
      <c r="MV13" s="202" t="str">
        <f t="shared" si="78"/>
        <v>A</v>
      </c>
      <c r="MW13" s="203">
        <f>IF(COUNT(MW14:MW15)=0,"",SUM(MW14:MW15)/COUNT(MW14:MW15))</f>
        <v>4</v>
      </c>
      <c r="MX13" s="204" t="str">
        <f t="shared" si="79"/>
        <v>A</v>
      </c>
      <c r="MY13" s="215"/>
      <c r="MZ13" s="84"/>
      <c r="NA13" s="104"/>
      <c r="NB13" s="178">
        <f>IF(COUNT(NB14:NB15)=0,"",SUM(NB14:NB15)/COUNT(NB14:NB15))</f>
        <v>4</v>
      </c>
      <c r="NC13" s="179" t="str">
        <f t="shared" si="80"/>
        <v>A</v>
      </c>
      <c r="ND13" s="171"/>
      <c r="NE13" s="84"/>
      <c r="NF13" s="84"/>
      <c r="NG13" s="178">
        <f>IF(COUNT(NG14,NG15)=0,"",SUM(NG14:NG15)/COUNT(NG14,NG15))</f>
        <v>2</v>
      </c>
      <c r="NH13" s="194" t="str">
        <f t="shared" si="81"/>
        <v>C</v>
      </c>
      <c r="NI13" s="172"/>
      <c r="NJ13" s="109"/>
      <c r="NK13" s="109"/>
      <c r="NL13" s="110"/>
      <c r="NM13" s="178">
        <f>IF(COUNT(NM14,NM15)=0,"",SUM(NM14:NM15)/COUNT(NM14,NM15))</f>
        <v>4</v>
      </c>
      <c r="NN13" s="202" t="str">
        <f t="shared" si="82"/>
        <v>A</v>
      </c>
      <c r="NO13" s="203">
        <f>IF(COUNT(NO14:NO15)=0,"",SUM(NO14:NO15)/COUNT(NO14:NO15))</f>
        <v>3.5</v>
      </c>
      <c r="NP13" s="204" t="str">
        <f t="shared" si="83"/>
        <v>B</v>
      </c>
      <c r="NQ13" s="215"/>
      <c r="NR13" s="84"/>
      <c r="NS13" s="104"/>
      <c r="NT13" s="178" t="str">
        <f>IF(COUNT(NT14:NT15)=0,"",SUM(NT14:NT15)/COUNT(NT14:NT15))</f>
        <v/>
      </c>
      <c r="NU13" s="179" t="str">
        <f t="shared" si="84"/>
        <v/>
      </c>
      <c r="NV13" s="171"/>
      <c r="NW13" s="84"/>
      <c r="NX13" s="84"/>
      <c r="NY13" s="178">
        <f>IF(COUNT(NY14,NY15)=0,"",SUM(NY14:NY15)/COUNT(NY14,NY15))</f>
        <v>4</v>
      </c>
      <c r="NZ13" s="194" t="str">
        <f t="shared" si="85"/>
        <v>A</v>
      </c>
      <c r="OA13" s="172"/>
      <c r="OB13" s="109"/>
      <c r="OC13" s="109"/>
      <c r="OD13" s="110"/>
      <c r="OE13" s="178">
        <f>IF(COUNT(OE14,OE15)=0,"",SUM(OE14:OE15)/COUNT(OE14,OE15))</f>
        <v>4</v>
      </c>
      <c r="OF13" s="202" t="str">
        <f t="shared" si="86"/>
        <v>A</v>
      </c>
      <c r="OG13" s="203">
        <f>IF(COUNT(OG14:OG15)=0,"",SUM(OG14:OG15)/COUNT(OG14:OG15))</f>
        <v>4</v>
      </c>
      <c r="OH13" s="204" t="str">
        <f t="shared" si="87"/>
        <v>A</v>
      </c>
      <c r="OI13" s="215"/>
      <c r="OJ13" s="84"/>
      <c r="OK13" s="104"/>
      <c r="OL13" s="178">
        <f>IF(COUNT(OL14:OL15)=0,"",SUM(OL14:OL15)/COUNT(OL14:OL15))</f>
        <v>4</v>
      </c>
      <c r="OM13" s="179" t="str">
        <f t="shared" si="88"/>
        <v>A</v>
      </c>
      <c r="ON13" s="171"/>
      <c r="OO13" s="84"/>
      <c r="OP13" s="84"/>
      <c r="OQ13" s="178">
        <f>IF(COUNT(OQ14,OQ15)=0,"",SUM(OQ14:OQ15)/COUNT(OQ14,OQ15))</f>
        <v>4</v>
      </c>
      <c r="OR13" s="194" t="str">
        <f t="shared" si="89"/>
        <v>A</v>
      </c>
      <c r="OS13" s="172"/>
      <c r="OT13" s="109"/>
      <c r="OU13" s="109"/>
      <c r="OV13" s="110"/>
      <c r="OW13" s="178">
        <f>IF(COUNT(OW14,OW15)=0,"",SUM(OW14:OW15)/COUNT(OW14,OW15))</f>
        <v>4</v>
      </c>
      <c r="OX13" s="202" t="str">
        <f t="shared" si="90"/>
        <v>A</v>
      </c>
      <c r="OY13" s="203">
        <f>IF(COUNT(OY14:OY15)=0,"",SUM(OY14:OY15)/COUNT(OY14:OY15))</f>
        <v>4</v>
      </c>
      <c r="OZ13" s="204" t="str">
        <f t="shared" si="91"/>
        <v>A</v>
      </c>
      <c r="PA13" s="215"/>
      <c r="PB13" s="84"/>
      <c r="PC13" s="104"/>
      <c r="PD13" s="178" t="str">
        <f>IF(COUNT(PD14:PD15)=0,"",SUM(PD14:PD15)/COUNT(PD14:PD15))</f>
        <v/>
      </c>
      <c r="PE13" s="179" t="str">
        <f t="shared" si="92"/>
        <v/>
      </c>
      <c r="PF13" s="171"/>
      <c r="PG13" s="84"/>
      <c r="PH13" s="84"/>
      <c r="PI13" s="178">
        <f>IF(COUNT(PI14,PI15)=0,"",SUM(PI14:PI15)/COUNT(PI14,PI15))</f>
        <v>3</v>
      </c>
      <c r="PJ13" s="194" t="str">
        <f t="shared" si="93"/>
        <v>B</v>
      </c>
      <c r="PK13" s="172"/>
      <c r="PL13" s="109"/>
      <c r="PM13" s="109"/>
      <c r="PN13" s="110"/>
      <c r="PO13" s="178">
        <f>IF(COUNT(PO14,PO15)=0,"",SUM(PO14:PO15)/COUNT(PO14,PO15))</f>
        <v>4</v>
      </c>
      <c r="PP13" s="202" t="str">
        <f t="shared" si="94"/>
        <v>A</v>
      </c>
      <c r="PQ13" s="203">
        <f>IF(COUNT(PQ14:PQ15)=0,"",SUM(PQ14:PQ15)/COUNT(PQ14:PQ15))</f>
        <v>3.5</v>
      </c>
      <c r="PR13" s="204" t="str">
        <f t="shared" si="95"/>
        <v>B</v>
      </c>
      <c r="PS13" s="215"/>
      <c r="PT13" s="84"/>
      <c r="PU13" s="104"/>
      <c r="PV13" s="178">
        <f>IF(COUNT(PV14:PV15)=0,"",SUM(PV14:PV15)/COUNT(PV14:PV15))</f>
        <v>4</v>
      </c>
      <c r="PW13" s="179" t="str">
        <f t="shared" si="96"/>
        <v>A</v>
      </c>
      <c r="PX13" s="171"/>
      <c r="PY13" s="84"/>
      <c r="PZ13" s="84"/>
      <c r="QA13" s="178">
        <f>IF(COUNT(QA14,QA15)=0,"",SUM(QA14:QA15)/COUNT(QA14,QA15))</f>
        <v>4</v>
      </c>
      <c r="QB13" s="194" t="str">
        <f t="shared" si="97"/>
        <v>A</v>
      </c>
      <c r="QC13" s="172"/>
      <c r="QD13" s="109"/>
      <c r="QE13" s="109"/>
      <c r="QF13" s="110"/>
      <c r="QG13" s="178">
        <f>IF(COUNT(QG14,QG15)=0,"",SUM(QG14:QG15)/COUNT(QG14,QG15))</f>
        <v>4</v>
      </c>
      <c r="QH13" s="202" t="str">
        <f t="shared" si="98"/>
        <v>A</v>
      </c>
      <c r="QI13" s="203">
        <f>IF(COUNT(QI14:QI15)=0,"",SUM(QI14:QI15)/COUNT(QI14:QI15))</f>
        <v>4</v>
      </c>
      <c r="QJ13" s="204" t="str">
        <f t="shared" si="99"/>
        <v>A</v>
      </c>
      <c r="QK13" s="215"/>
      <c r="QL13" s="84"/>
      <c r="QM13" s="104"/>
      <c r="QN13" s="178">
        <f>IF(COUNT(QN14:QN15)=0,"",SUM(QN14:QN15)/COUNT(QN14:QN15))</f>
        <v>4</v>
      </c>
      <c r="QO13" s="179" t="str">
        <f t="shared" si="100"/>
        <v>A</v>
      </c>
      <c r="QP13" s="171"/>
      <c r="QQ13" s="84"/>
      <c r="QR13" s="84"/>
      <c r="QS13" s="178">
        <f>IF(COUNT(QS14,QS15)=0,"",SUM(QS14:QS15)/COUNT(QS14,QS15))</f>
        <v>4</v>
      </c>
      <c r="QT13" s="194" t="str">
        <f t="shared" si="101"/>
        <v>A</v>
      </c>
      <c r="QU13" s="172"/>
      <c r="QV13" s="109"/>
      <c r="QW13" s="109"/>
      <c r="QX13" s="110"/>
      <c r="QY13" s="178">
        <f>IF(COUNT(QY14,QY15)=0,"",SUM(QY14:QY15)/COUNT(QY14,QY15))</f>
        <v>4</v>
      </c>
      <c r="QZ13" s="202" t="str">
        <f t="shared" si="102"/>
        <v>A</v>
      </c>
      <c r="RA13" s="203">
        <f>IF(COUNT(RA14:RA15)=0,"",SUM(RA14:RA15)/COUNT(RA14:RA15))</f>
        <v>4</v>
      </c>
      <c r="RB13" s="204" t="str">
        <f t="shared" si="103"/>
        <v>A</v>
      </c>
      <c r="RC13" s="215"/>
      <c r="RD13" s="84"/>
      <c r="RE13" s="104"/>
      <c r="RF13" s="178">
        <f>IF(COUNT(RF14:RF15)=0,"",SUM(RF14:RF15)/COUNT(RF14:RF15))</f>
        <v>4</v>
      </c>
      <c r="RG13" s="179" t="str">
        <f t="shared" si="104"/>
        <v>A</v>
      </c>
      <c r="RH13" s="171"/>
      <c r="RI13" s="84"/>
      <c r="RJ13" s="84"/>
      <c r="RK13" s="178">
        <f>IF(COUNT(RK14,RK15)=0,"",SUM(RK14:RK15)/COUNT(RK14,RK15))</f>
        <v>4</v>
      </c>
      <c r="RL13" s="194" t="str">
        <f t="shared" si="105"/>
        <v>A</v>
      </c>
      <c r="RM13" s="172"/>
      <c r="RN13" s="109"/>
      <c r="RO13" s="109"/>
      <c r="RP13" s="110"/>
      <c r="RQ13" s="178" t="str">
        <f>IF(COUNT(RQ14,RQ15)=0,"",SUM(RQ14:RQ15)/COUNT(RQ14,RQ15))</f>
        <v/>
      </c>
      <c r="RR13" s="202" t="str">
        <f t="shared" si="106"/>
        <v/>
      </c>
      <c r="RS13" s="203">
        <f>IF(COUNT(RS14:RS15)=0,"",SUM(RS14:RS15)/COUNT(RS14:RS15))</f>
        <v>4</v>
      </c>
      <c r="RT13" s="204" t="str">
        <f t="shared" si="107"/>
        <v>A</v>
      </c>
      <c r="RU13" s="215"/>
      <c r="RV13" s="84"/>
      <c r="RW13" s="104"/>
      <c r="RX13" s="178">
        <f>IF(COUNT(RX14:RX15)=0,"",SUM(RX14:RX15)/COUNT(RX14:RX15))</f>
        <v>4</v>
      </c>
      <c r="RY13" s="179" t="str">
        <f t="shared" si="108"/>
        <v>A</v>
      </c>
      <c r="RZ13" s="171"/>
      <c r="SA13" s="84"/>
      <c r="SB13" s="84"/>
      <c r="SC13" s="178">
        <f>IF(COUNT(SC14,SC15)=0,"",SUM(SC14:SC15)/COUNT(SC14,SC15))</f>
        <v>4</v>
      </c>
      <c r="SD13" s="194" t="str">
        <f t="shared" si="109"/>
        <v>A</v>
      </c>
      <c r="SE13" s="172"/>
      <c r="SF13" s="109"/>
      <c r="SG13" s="109"/>
      <c r="SH13" s="110"/>
      <c r="SI13" s="178">
        <f>IF(COUNT(SI14,SI15)=0,"",SUM(SI14:SI15)/COUNT(SI14,SI15))</f>
        <v>4</v>
      </c>
      <c r="SJ13" s="202" t="str">
        <f t="shared" si="110"/>
        <v>A</v>
      </c>
      <c r="SK13" s="203">
        <f>IF(COUNT(SK14:SK15)=0,"",SUM(SK14:SK15)/COUNT(SK14:SK15))</f>
        <v>4</v>
      </c>
      <c r="SL13" s="204" t="str">
        <f t="shared" si="111"/>
        <v>A</v>
      </c>
      <c r="SM13" s="215"/>
      <c r="SN13" s="84"/>
      <c r="SO13" s="104"/>
      <c r="SP13" s="178">
        <f>IF(COUNT(SP14:SP15)=0,"",SUM(SP14:SP15)/COUNT(SP14:SP15))</f>
        <v>3</v>
      </c>
      <c r="SQ13" s="179" t="str">
        <f t="shared" si="112"/>
        <v>B</v>
      </c>
      <c r="SR13" s="171"/>
      <c r="SS13" s="84"/>
      <c r="ST13" s="84"/>
      <c r="SU13" s="178">
        <f>IF(COUNT(SU14,SU15)=0,"",SUM(SU14:SU15)/COUNT(SU14,SU15))</f>
        <v>4</v>
      </c>
      <c r="SV13" s="194" t="str">
        <f t="shared" si="113"/>
        <v>A</v>
      </c>
      <c r="SW13" s="172"/>
      <c r="SX13" s="109"/>
      <c r="SY13" s="109"/>
      <c r="SZ13" s="110"/>
      <c r="TA13" s="178">
        <f>IF(COUNT(TA14,TA15)=0,"",SUM(TA14:TA15)/COUNT(TA14,TA15))</f>
        <v>4</v>
      </c>
      <c r="TB13" s="202" t="str">
        <f t="shared" si="114"/>
        <v>A</v>
      </c>
      <c r="TC13" s="203">
        <f>IF(COUNT(TC14:TC15)=0,"",SUM(TC14:TC15)/COUNT(TC14:TC15))</f>
        <v>3.5</v>
      </c>
      <c r="TD13" s="204" t="str">
        <f t="shared" si="115"/>
        <v>B</v>
      </c>
      <c r="TE13" s="215"/>
      <c r="TF13" s="84"/>
      <c r="TG13" s="104"/>
      <c r="TH13" s="178">
        <f>IF(COUNT(TH14:TH15)=0,"",SUM(TH14:TH15)/COUNT(TH14:TH15))</f>
        <v>4</v>
      </c>
      <c r="TI13" s="179" t="str">
        <f t="shared" si="116"/>
        <v>A</v>
      </c>
      <c r="TJ13" s="171"/>
      <c r="TK13" s="84"/>
      <c r="TL13" s="84"/>
      <c r="TM13" s="178">
        <f>IF(COUNT(TM14,TM15)=0,"",SUM(TM14:TM15)/COUNT(TM14,TM15))</f>
        <v>4</v>
      </c>
      <c r="TN13" s="194" t="str">
        <f t="shared" si="117"/>
        <v>A</v>
      </c>
      <c r="TO13" s="172"/>
      <c r="TP13" s="109"/>
      <c r="TQ13" s="109"/>
      <c r="TR13" s="110"/>
      <c r="TS13" s="178">
        <f>IF(COUNT(TS14,TS15)=0,"",SUM(TS14:TS15)/COUNT(TS14,TS15))</f>
        <v>4</v>
      </c>
      <c r="TT13" s="202" t="str">
        <f t="shared" si="118"/>
        <v>A</v>
      </c>
      <c r="TU13" s="203">
        <f>IF(COUNT(TU14:TU15)=0,"",SUM(TU14:TU15)/COUNT(TU14:TU15))</f>
        <v>4</v>
      </c>
      <c r="TV13" s="204" t="str">
        <f t="shared" si="119"/>
        <v>A</v>
      </c>
    </row>
    <row r="14" spans="1:542" ht="18" customHeight="1" x14ac:dyDescent="0.25">
      <c r="A14" s="234" t="s">
        <v>19</v>
      </c>
      <c r="B14" s="235"/>
      <c r="C14" s="122"/>
      <c r="D14" s="123" t="s">
        <v>27</v>
      </c>
      <c r="E14" s="124"/>
      <c r="F14" s="180">
        <f>IFERROR((((COUNTIF('Elève (5ème1)'!C14:E14,"A"))*4)+((COUNTIF('Elève (5ème1)'!C14:E14,"B"))*3)+((COUNTIF('Elève (5ème1)'!C14:E14,"C"))*2)+((COUNTIF('Elève (5ème1)'!C14:E14,"D"))*1))/(COUNTA(C14:E14)),"")</f>
        <v>4</v>
      </c>
      <c r="G14" s="181" t="str">
        <f t="shared" si="0"/>
        <v>A</v>
      </c>
      <c r="H14" s="122"/>
      <c r="I14" s="123"/>
      <c r="J14" s="124"/>
      <c r="K14" s="180" t="str">
        <f>IFERROR((((COUNTIF('Elève (5ème1)'!H14:J14,"A"))*4)+((COUNTIF('Elève (5ème1)'!H14:J14,"B"))*3)+((COUNTIF('Elève (5ème1)'!H14:J14,"C"))*2)+((COUNTIF('Elève (5ème1)'!H14:J14,"D"))*1))/(COUNTA(H14:J14)),"")</f>
        <v/>
      </c>
      <c r="L14" s="181" t="str">
        <f t="shared" si="1"/>
        <v/>
      </c>
      <c r="M14" s="122"/>
      <c r="N14" s="123"/>
      <c r="O14" s="124"/>
      <c r="P14" s="124"/>
      <c r="Q14" s="180" t="str">
        <f>IFERROR((((COUNTIF('Elève (5ème1)'!M14:P14,"A"))*4)+((COUNTIF('Elève (5ème1)'!M14:P14,"B"))*3)+((COUNTIF('Elève (5ème1)'!M14:P14,"C"))*2)+((COUNTIF('Elève (5ème1)'!M14:P14,"D"))*1))/(COUNTA(M14:P14)),"")</f>
        <v/>
      </c>
      <c r="R14" s="181" t="str">
        <f t="shared" si="2"/>
        <v/>
      </c>
      <c r="S14" s="180">
        <f>IF(COUNT(F14,K14,Q14)=0,"",SUM(F14,K14,Q14)/COUNT(F14,K14,Q14))</f>
        <v>4</v>
      </c>
      <c r="T14" s="205" t="str">
        <f t="shared" si="3"/>
        <v>A</v>
      </c>
      <c r="U14" s="122"/>
      <c r="V14" s="123" t="s">
        <v>27</v>
      </c>
      <c r="W14" s="124"/>
      <c r="X14" s="180">
        <f>IFERROR((((COUNTIF('Elève (5ème1)'!U14:W14,"A"))*4)+((COUNTIF('Elève (5ème1)'!U14:W14,"B"))*3)+((COUNTIF('Elève (5ème1)'!U14:W14,"C"))*2)+((COUNTIF('Elève (5ème1)'!U14:W14,"D"))*1))/(COUNTA(U14:W14)),"")</f>
        <v>4</v>
      </c>
      <c r="Y14" s="181" t="str">
        <f t="shared" si="4"/>
        <v>A</v>
      </c>
      <c r="Z14" s="122"/>
      <c r="AA14" s="123"/>
      <c r="AB14" s="124"/>
      <c r="AC14" s="180" t="str">
        <f>IFERROR((((COUNTIF('Elève (5ème1)'!Z14:AB14,"A"))*4)+((COUNTIF('Elève (5ème1)'!Z14:AB14,"B"))*3)+((COUNTIF('Elève (5ème1)'!Z14:AB14,"C"))*2)+((COUNTIF('Elève (5ème1)'!Z14:AB14,"D"))*1))/(COUNTA(Z14:AB14)),"")</f>
        <v/>
      </c>
      <c r="AD14" s="181" t="str">
        <f t="shared" si="5"/>
        <v/>
      </c>
      <c r="AE14" s="122"/>
      <c r="AF14" s="123"/>
      <c r="AG14" s="124"/>
      <c r="AH14" s="128"/>
      <c r="AI14" s="180" t="str">
        <f>IFERROR((((COUNTIF('Elève (5ème1)'!AE14:AH14,"A"))*4)+((COUNTIF('Elève (5ème1)'!AE14:AH14,"B"))*3)+((COUNTIF('Elève (5ème1)'!AE14:AH14,"C"))*2)+((COUNTIF('Elève (5ème1)'!AE14:AH14,"D"))*1))/(COUNTA(AE14:AH14)),"")</f>
        <v/>
      </c>
      <c r="AJ14" s="181" t="str">
        <f t="shared" si="6"/>
        <v/>
      </c>
      <c r="AK14" s="180">
        <f>IF(COUNT(X14,AC14,AI14)=0,"",SUM(X14,AC14,AI14)/COUNT(X14,AC14,AI14))</f>
        <v>4</v>
      </c>
      <c r="AL14" s="205" t="str">
        <f t="shared" si="7"/>
        <v>A</v>
      </c>
      <c r="AM14" s="122"/>
      <c r="AN14" s="123" t="s">
        <v>28</v>
      </c>
      <c r="AO14" s="124"/>
      <c r="AP14" s="180">
        <f>IFERROR((((COUNTIF('Elève (5ème1)'!AM14:AO14,"A"))*4)+((COUNTIF('Elève (5ème1)'!AM14:AO14,"B"))*3)+((COUNTIF('Elève (5ème1)'!AM14:AO14,"C"))*2)+((COUNTIF('Elève (5ème1)'!AM14:AO14,"D"))*1))/(COUNTA(AM14:AO14)),"")</f>
        <v>3</v>
      </c>
      <c r="AQ14" s="181" t="str">
        <f t="shared" si="8"/>
        <v>B</v>
      </c>
      <c r="AR14" s="122"/>
      <c r="AS14" s="123"/>
      <c r="AT14" s="124"/>
      <c r="AU14" s="180" t="str">
        <f>IFERROR((((COUNTIF('Elève (5ème1)'!AR14:AT14,"A"))*4)+((COUNTIF('Elève (5ème1)'!AR14:AT14,"B"))*3)+((COUNTIF('Elève (5ème1)'!AR14:AT14,"C"))*2)+((COUNTIF('Elève (5ème1)'!AR14:AT14,"D"))*1))/(COUNTA(AR14:AT14)),"")</f>
        <v/>
      </c>
      <c r="AV14" s="181" t="str">
        <f t="shared" si="9"/>
        <v/>
      </c>
      <c r="AW14" s="122"/>
      <c r="AX14" s="123"/>
      <c r="AY14" s="124"/>
      <c r="AZ14" s="128"/>
      <c r="BA14" s="180" t="str">
        <f>IFERROR((((COUNTIF('Elève (5ème1)'!AW14:AZ14,"A"))*4)+((COUNTIF('Elève (5ème1)'!AW14:AZ14,"B"))*3)+((COUNTIF('Elève (5ème1)'!AW14:AZ14,"C"))*2)+((COUNTIF('Elève (5ème1)'!AW14:AZ14,"D"))*1))/(COUNTA(AW14:AZ14)),"")</f>
        <v/>
      </c>
      <c r="BB14" s="181" t="str">
        <f t="shared" si="10"/>
        <v/>
      </c>
      <c r="BC14" s="180">
        <f>IF(COUNT(AP14,AU14,BA14)=0,"",SUM(AP14,AU14,BA14)/COUNT(AP14,AU14,BA14))</f>
        <v>3</v>
      </c>
      <c r="BD14" s="205" t="str">
        <f t="shared" si="11"/>
        <v>B</v>
      </c>
      <c r="BE14" s="122"/>
      <c r="BF14" s="123" t="s">
        <v>27</v>
      </c>
      <c r="BG14" s="124"/>
      <c r="BH14" s="180">
        <f>IFERROR((((COUNTIF('Elève (5ème1)'!BE14:BG14,"A"))*4)+((COUNTIF('Elève (5ème1)'!BE14:BG14,"B"))*3)+((COUNTIF('Elève (5ème1)'!BE14:BG14,"C"))*2)+((COUNTIF('Elève (5ème1)'!BE14:BG14,"D"))*1))/(COUNTA(BE14:BG14)),"")</f>
        <v>4</v>
      </c>
      <c r="BI14" s="181" t="str">
        <f t="shared" si="12"/>
        <v>A</v>
      </c>
      <c r="BJ14" s="122"/>
      <c r="BK14" s="123"/>
      <c r="BL14" s="124"/>
      <c r="BM14" s="180" t="str">
        <f>IFERROR((((COUNTIF('Elève (5ème1)'!BJ14:BL14,"A"))*4)+((COUNTIF('Elève (5ème1)'!BJ14:BL14,"B"))*3)+((COUNTIF('Elève (5ème1)'!BJ14:BL14,"C"))*2)+((COUNTIF('Elève (5ème1)'!BJ14:BL14,"D"))*1))/(COUNTA(BJ14:BL14)),"")</f>
        <v/>
      </c>
      <c r="BN14" s="181" t="str">
        <f t="shared" si="13"/>
        <v/>
      </c>
      <c r="BO14" s="122"/>
      <c r="BP14" s="123"/>
      <c r="BQ14" s="124"/>
      <c r="BR14" s="128"/>
      <c r="BS14" s="180" t="str">
        <f>IFERROR((((COUNTIF('Elève (5ème1)'!BO14:BR14,"A"))*4)+((COUNTIF('Elève (5ème1)'!BO14:BR14,"B"))*3)+((COUNTIF('Elève (5ème1)'!BO14:BR14,"C"))*2)+((COUNTIF('Elève (5ème1)'!BO14:BR14,"D"))*1))/(COUNTA(BO14:BR14)),"")</f>
        <v/>
      </c>
      <c r="BT14" s="181" t="str">
        <f t="shared" si="14"/>
        <v/>
      </c>
      <c r="BU14" s="180">
        <f>IF(COUNT(BH14,BM14,BS14)=0,"",SUM(BH14,BM14,BS14)/COUNT(BH14,BM14,BS14))</f>
        <v>4</v>
      </c>
      <c r="BV14" s="205" t="str">
        <f t="shared" si="15"/>
        <v>A</v>
      </c>
      <c r="BW14" s="122"/>
      <c r="BX14" s="123" t="s">
        <v>27</v>
      </c>
      <c r="BY14" s="124"/>
      <c r="BZ14" s="180">
        <f>IFERROR((((COUNTIF('Elève (5ème1)'!BW14:BY14,"A"))*4)+((COUNTIF('Elève (5ème1)'!BW14:BY14,"B"))*3)+((COUNTIF('Elève (5ème1)'!BW14:BY14,"C"))*2)+((COUNTIF('Elève (5ème1)'!BW14:BY14,"D"))*1))/(COUNTA(BW14:BY14)),"")</f>
        <v>4</v>
      </c>
      <c r="CA14" s="181" t="str">
        <f t="shared" si="16"/>
        <v>A</v>
      </c>
      <c r="CB14" s="122"/>
      <c r="CC14" s="123"/>
      <c r="CD14" s="124"/>
      <c r="CE14" s="180" t="str">
        <f>IFERROR((((COUNTIF('Elève (5ème1)'!CB14:CD14,"A"))*4)+((COUNTIF('Elève (5ème1)'!CB14:CD14,"B"))*3)+((COUNTIF('Elève (5ème1)'!CB14:CD14,"C"))*2)+((COUNTIF('Elève (5ème1)'!CB14:CD14,"D"))*1))/(COUNTA(CB14:CD14)),"")</f>
        <v/>
      </c>
      <c r="CF14" s="181" t="str">
        <f t="shared" si="17"/>
        <v/>
      </c>
      <c r="CG14" s="122"/>
      <c r="CH14" s="123"/>
      <c r="CI14" s="124"/>
      <c r="CJ14" s="128"/>
      <c r="CK14" s="180" t="str">
        <f>IFERROR((((COUNTIF('Elève (5ème1)'!CG14:CJ14,"A"))*4)+((COUNTIF('Elève (5ème1)'!CG14:CJ14,"B"))*3)+((COUNTIF('Elève (5ème1)'!CG14:CJ14,"C"))*2)+((COUNTIF('Elève (5ème1)'!CG14:CJ14,"D"))*1))/(COUNTA(CG14:CJ14)),"")</f>
        <v/>
      </c>
      <c r="CL14" s="181" t="str">
        <f t="shared" si="18"/>
        <v/>
      </c>
      <c r="CM14" s="180">
        <f>IF(COUNT(BZ14,CE14,CK14)=0,"",SUM(BZ14,CE14,CK14)/COUNT(BZ14,CE14,CK14))</f>
        <v>4</v>
      </c>
      <c r="CN14" s="205" t="str">
        <f t="shared" si="19"/>
        <v>A</v>
      </c>
      <c r="CO14" s="122"/>
      <c r="CP14" s="123" t="s">
        <v>27</v>
      </c>
      <c r="CQ14" s="124"/>
      <c r="CR14" s="180">
        <f>IFERROR((((COUNTIF('Elève (5ème1)'!CO14:CQ14,"A"))*4)+((COUNTIF('Elève (5ème1)'!CO14:CQ14,"B"))*3)+((COUNTIF('Elève (5ème1)'!CO14:CQ14,"C"))*2)+((COUNTIF('Elève (5ème1)'!CO14:CQ14,"D"))*1))/(COUNTA(CO14:CQ14)),"")</f>
        <v>4</v>
      </c>
      <c r="CS14" s="181" t="str">
        <f t="shared" si="20"/>
        <v>A</v>
      </c>
      <c r="CT14" s="122"/>
      <c r="CU14" s="123"/>
      <c r="CV14" s="124"/>
      <c r="CW14" s="180" t="str">
        <f>IFERROR((((COUNTIF('Elève (5ème1)'!CT14:CV14,"A"))*4)+((COUNTIF('Elève (5ème1)'!CT14:CV14,"B"))*3)+((COUNTIF('Elève (5ème1)'!CT14:CV14,"C"))*2)+((COUNTIF('Elève (5ème1)'!CT14:CV14,"D"))*1))/(COUNTA(CT14:CV14)),"")</f>
        <v/>
      </c>
      <c r="CX14" s="181" t="str">
        <f t="shared" si="21"/>
        <v/>
      </c>
      <c r="CY14" s="122"/>
      <c r="CZ14" s="123"/>
      <c r="DA14" s="124"/>
      <c r="DB14" s="128"/>
      <c r="DC14" s="180" t="str">
        <f>IFERROR((((COUNTIF('Elève (5ème1)'!CY14:DB14,"A"))*4)+((COUNTIF('Elève (5ème1)'!CY14:DB14,"B"))*3)+((COUNTIF('Elève (5ème1)'!CY14:DB14,"C"))*2)+((COUNTIF('Elève (5ème1)'!CY14:DB14,"D"))*1))/(COUNTA(CY14:DB14)),"")</f>
        <v/>
      </c>
      <c r="DD14" s="181" t="str">
        <f t="shared" si="22"/>
        <v/>
      </c>
      <c r="DE14" s="180">
        <f>IF(COUNT(CR14,CW14,DC14)=0,"",SUM(CR14,CW14,DC14)/COUNT(CR14,CW14,DC14))</f>
        <v>4</v>
      </c>
      <c r="DF14" s="205" t="str">
        <f t="shared" si="23"/>
        <v>A</v>
      </c>
      <c r="DG14" s="122"/>
      <c r="DH14" s="123" t="s">
        <v>27</v>
      </c>
      <c r="DI14" s="124"/>
      <c r="DJ14" s="180">
        <f>IFERROR((((COUNTIF('Elève (5ème1)'!DG14:DI14,"A"))*4)+((COUNTIF('Elève (5ème1)'!DG14:DI14,"B"))*3)+((COUNTIF('Elève (5ème1)'!DG14:DI14,"C"))*2)+((COUNTIF('Elève (5ème1)'!DG14:DI14,"D"))*1))/(COUNTA(DG14:DI14)),"")</f>
        <v>4</v>
      </c>
      <c r="DK14" s="181" t="str">
        <f t="shared" si="24"/>
        <v>A</v>
      </c>
      <c r="DL14" s="122"/>
      <c r="DM14" s="123"/>
      <c r="DN14" s="124"/>
      <c r="DO14" s="180" t="str">
        <f>IFERROR((((COUNTIF('Elève (5ème1)'!DL14:DN14,"A"))*4)+((COUNTIF('Elève (5ème1)'!DL14:DN14,"B"))*3)+((COUNTIF('Elève (5ème1)'!DL14:DN14,"C"))*2)+((COUNTIF('Elève (5ème1)'!DL14:DN14,"D"))*1))/(COUNTA(DL14:DN14)),"")</f>
        <v/>
      </c>
      <c r="DP14" s="181" t="str">
        <f t="shared" si="25"/>
        <v/>
      </c>
      <c r="DQ14" s="122"/>
      <c r="DR14" s="123"/>
      <c r="DS14" s="124"/>
      <c r="DT14" s="128"/>
      <c r="DU14" s="180" t="str">
        <f>IFERROR((((COUNTIF('Elève (5ème1)'!DQ14:DT14,"A"))*4)+((COUNTIF('Elève (5ème1)'!DQ14:DT14,"B"))*3)+((COUNTIF('Elève (5ème1)'!DQ14:DT14,"C"))*2)+((COUNTIF('Elève (5ème1)'!DQ14:DT14,"D"))*1))/(COUNTA(DQ14:DT14)),"")</f>
        <v/>
      </c>
      <c r="DV14" s="181" t="str">
        <f t="shared" si="26"/>
        <v/>
      </c>
      <c r="DW14" s="180">
        <f>IF(COUNT(DJ14,DO14,DU14)=0,"",SUM(DJ14,DO14,DU14)/COUNT(DJ14,DO14,DU14))</f>
        <v>4</v>
      </c>
      <c r="DX14" s="205" t="str">
        <f t="shared" si="27"/>
        <v>A</v>
      </c>
      <c r="DY14" s="122"/>
      <c r="DZ14" s="123" t="s">
        <v>27</v>
      </c>
      <c r="EA14" s="124"/>
      <c r="EB14" s="180">
        <f>IFERROR((((COUNTIF('Elève (5ème1)'!DY14:EA14,"A"))*4)+((COUNTIF('Elève (5ème1)'!DY14:EA14,"B"))*3)+((COUNTIF('Elève (5ème1)'!DY14:EA14,"C"))*2)+((COUNTIF('Elève (5ème1)'!DY14:EA14,"D"))*1))/(COUNTA(DY14:EA14)),"")</f>
        <v>4</v>
      </c>
      <c r="EC14" s="181" t="str">
        <f t="shared" si="28"/>
        <v>A</v>
      </c>
      <c r="ED14" s="122"/>
      <c r="EE14" s="123" t="s">
        <v>27</v>
      </c>
      <c r="EF14" s="124" t="s">
        <v>27</v>
      </c>
      <c r="EG14" s="180">
        <f>IFERROR((((COUNTIF('Elève (5ème1)'!ED14:EF14,"A"))*4)+((COUNTIF('Elève (5ème1)'!ED14:EF14,"B"))*3)+((COUNTIF('Elève (5ème1)'!ED14:EF14,"C"))*2)+((COUNTIF('Elève (5ème1)'!ED14:EF14,"D"))*1))/(COUNTA(ED14:EF14)),"")</f>
        <v>4</v>
      </c>
      <c r="EH14" s="181" t="str">
        <f t="shared" si="29"/>
        <v>A</v>
      </c>
      <c r="EI14" s="122"/>
      <c r="EJ14" s="123"/>
      <c r="EK14" s="124"/>
      <c r="EL14" s="128"/>
      <c r="EM14" s="180" t="str">
        <f>IFERROR((((COUNTIF('Elève (5ème1)'!EI14:EL14,"A"))*4)+((COUNTIF('Elève (5ème1)'!EI14:EL14,"B"))*3)+((COUNTIF('Elève (5ème1)'!EI14:EL14,"C"))*2)+((COUNTIF('Elève (5ème1)'!EI14:EL14,"D"))*1))/(COUNTA(EI14:EL14)),"")</f>
        <v/>
      </c>
      <c r="EN14" s="181" t="str">
        <f t="shared" si="30"/>
        <v/>
      </c>
      <c r="EO14" s="180">
        <f>IF(COUNT(EB14,EG14,EM14)=0,"",SUM(EB14,EG14,EM14)/COUNT(EB14,EG14,EM14))</f>
        <v>4</v>
      </c>
      <c r="EP14" s="205" t="str">
        <f t="shared" si="31"/>
        <v>A</v>
      </c>
      <c r="EQ14" s="122"/>
      <c r="ER14" s="123"/>
      <c r="ES14" s="124"/>
      <c r="ET14" s="180" t="str">
        <f>IFERROR((((COUNTIF('Elève (5ème1)'!EQ14:ES14,"A"))*4)+((COUNTIF('Elève (5ème1)'!EQ14:ES14,"B"))*3)+((COUNTIF('Elève (5ème1)'!EQ14:ES14,"C"))*2)+((COUNTIF('Elève (5ème1)'!EQ14:ES14,"D"))*1))/(COUNTA(EQ14:ES14)),"")</f>
        <v/>
      </c>
      <c r="EU14" s="181" t="str">
        <f t="shared" si="32"/>
        <v/>
      </c>
      <c r="EV14" s="122"/>
      <c r="EW14" s="123"/>
      <c r="EX14" s="124"/>
      <c r="EY14" s="180" t="str">
        <f>IFERROR((((COUNTIF('Elève (5ème1)'!EV14:EX14,"A"))*4)+((COUNTIF('Elève (5ème1)'!EV14:EX14,"B"))*3)+((COUNTIF('Elève (5ème1)'!EV14:EX14,"C"))*2)+((COUNTIF('Elève (5ème1)'!EV14:EX14,"D"))*1))/(COUNTA(EV14:EX14)),"")</f>
        <v/>
      </c>
      <c r="EZ14" s="181" t="str">
        <f t="shared" si="33"/>
        <v/>
      </c>
      <c r="FA14" s="122"/>
      <c r="FB14" s="123"/>
      <c r="FC14" s="124"/>
      <c r="FD14" s="128"/>
      <c r="FE14" s="180" t="str">
        <f>IFERROR((((COUNTIF('Elève (5ème1)'!FA14:FD14,"A"))*4)+((COUNTIF('Elève (5ème1)'!FA14:FD14,"B"))*3)+((COUNTIF('Elève (5ème1)'!FA14:FD14,"C"))*2)+((COUNTIF('Elève (5ème1)'!FA14:FD14,"D"))*1))/(COUNTA(FA14:FD14)),"")</f>
        <v/>
      </c>
      <c r="FF14" s="181" t="str">
        <f t="shared" si="34"/>
        <v/>
      </c>
      <c r="FG14" s="180" t="str">
        <f>IF(COUNT(ET14,EY14,FE14)=0,"",SUM(ET14,EY14,FE14)/COUNT(ET14,EY14,FE14))</f>
        <v/>
      </c>
      <c r="FH14" s="205" t="str">
        <f t="shared" si="35"/>
        <v/>
      </c>
      <c r="FI14" s="122"/>
      <c r="FJ14" s="123" t="s">
        <v>27</v>
      </c>
      <c r="FK14" s="124"/>
      <c r="FL14" s="180">
        <f>IFERROR((((COUNTIF('Elève (5ème1)'!FI14:FK14,"A"))*4)+((COUNTIF('Elève (5ème1)'!FI14:FK14,"B"))*3)+((COUNTIF('Elève (5ème1)'!FI14:FK14,"C"))*2)+((COUNTIF('Elève (5ème1)'!FI14:FK14,"D"))*1))/(COUNTA(FI14:FK14)),"")</f>
        <v>4</v>
      </c>
      <c r="FM14" s="181" t="str">
        <f t="shared" si="36"/>
        <v>A</v>
      </c>
      <c r="FN14" s="122"/>
      <c r="FO14" s="123"/>
      <c r="FP14" s="124"/>
      <c r="FQ14" s="180" t="str">
        <f>IFERROR((((COUNTIF('Elève (5ème1)'!FN14:FP14,"A"))*4)+((COUNTIF('Elève (5ème1)'!FN14:FP14,"B"))*3)+((COUNTIF('Elève (5ème1)'!FN14:FP14,"C"))*2)+((COUNTIF('Elève (5ème1)'!FN14:FP14,"D"))*1))/(COUNTA(FN14:FP14)),"")</f>
        <v/>
      </c>
      <c r="FR14" s="181" t="str">
        <f t="shared" si="37"/>
        <v/>
      </c>
      <c r="FS14" s="122"/>
      <c r="FT14" s="123"/>
      <c r="FU14" s="124"/>
      <c r="FV14" s="128"/>
      <c r="FW14" s="180" t="str">
        <f>IFERROR((((COUNTIF('Elève (5ème1)'!FS14:FV14,"A"))*4)+((COUNTIF('Elève (5ème1)'!FS14:FV14,"B"))*3)+((COUNTIF('Elève (5ème1)'!FS14:FV14,"C"))*2)+((COUNTIF('Elève (5ème1)'!FS14:FV14,"D"))*1))/(COUNTA(FS14:FV14)),"")</f>
        <v/>
      </c>
      <c r="FX14" s="181" t="str">
        <f t="shared" si="38"/>
        <v/>
      </c>
      <c r="FY14" s="180">
        <f>IF(COUNT(FL14,FQ14,FW14)=0,"",SUM(FL14,FQ14,FW14)/COUNT(FL14,FQ14,FW14))</f>
        <v>4</v>
      </c>
      <c r="FZ14" s="205" t="str">
        <f t="shared" si="39"/>
        <v>A</v>
      </c>
      <c r="GA14" s="122"/>
      <c r="GB14" s="123" t="s">
        <v>27</v>
      </c>
      <c r="GC14" s="124"/>
      <c r="GD14" s="180">
        <f>IFERROR((((COUNTIF('Elève (5ème1)'!GA14:GC14,"A"))*4)+((COUNTIF('Elève (5ème1)'!GA14:GC14,"B"))*3)+((COUNTIF('Elève (5ème1)'!GA14:GC14,"C"))*2)+((COUNTIF('Elève (5ème1)'!GA14:GC14,"D"))*1))/(COUNTA(GA14:GC14)),"")</f>
        <v>4</v>
      </c>
      <c r="GE14" s="181" t="str">
        <f t="shared" si="40"/>
        <v>A</v>
      </c>
      <c r="GF14" s="122"/>
      <c r="GG14" s="123"/>
      <c r="GH14" s="124"/>
      <c r="GI14" s="180" t="str">
        <f>IFERROR((((COUNTIF('Elève (5ème1)'!GF14:GH14,"A"))*4)+((COUNTIF('Elève (5ème1)'!GF14:GH14,"B"))*3)+((COUNTIF('Elève (5ème1)'!GF14:GH14,"C"))*2)+((COUNTIF('Elève (5ème1)'!GF14:GH14,"D"))*1))/(COUNTA(GF14:GH14)),"")</f>
        <v/>
      </c>
      <c r="GJ14" s="181" t="str">
        <f t="shared" si="41"/>
        <v/>
      </c>
      <c r="GK14" s="122"/>
      <c r="GL14" s="123"/>
      <c r="GM14" s="124"/>
      <c r="GN14" s="128"/>
      <c r="GO14" s="180" t="str">
        <f>IFERROR((((COUNTIF('Elève (5ème1)'!GK14:GN14,"A"))*4)+((COUNTIF('Elève (5ème1)'!GK14:GN14,"B"))*3)+((COUNTIF('Elève (5ème1)'!GK14:GN14,"C"))*2)+((COUNTIF('Elève (5ème1)'!GK14:GN14,"D"))*1))/(COUNTA(GK14:GN14)),"")</f>
        <v/>
      </c>
      <c r="GP14" s="181" t="str">
        <f t="shared" si="42"/>
        <v/>
      </c>
      <c r="GQ14" s="180">
        <f>IF(COUNT(GD14,GI14,GO14)=0,"",SUM(GD14,GI14,GO14)/COUNT(GD14,GI14,GO14))</f>
        <v>4</v>
      </c>
      <c r="GR14" s="205" t="str">
        <f t="shared" si="43"/>
        <v>A</v>
      </c>
      <c r="GS14" s="122"/>
      <c r="GT14" s="123" t="s">
        <v>28</v>
      </c>
      <c r="GU14" s="124"/>
      <c r="GV14" s="180">
        <f>IFERROR((((COUNTIF('Elève (5ème1)'!GS14:GU14,"A"))*4)+((COUNTIF('Elève (5ème1)'!GS14:GU14,"B"))*3)+((COUNTIF('Elève (5ème1)'!GS14:GU14,"C"))*2)+((COUNTIF('Elève (5ème1)'!GS14:GU14,"D"))*1))/(COUNTA(GS14:GU14)),"")</f>
        <v>3</v>
      </c>
      <c r="GW14" s="181" t="str">
        <f t="shared" si="44"/>
        <v>B</v>
      </c>
      <c r="GX14" s="122"/>
      <c r="GY14" s="123"/>
      <c r="GZ14" s="124"/>
      <c r="HA14" s="180" t="str">
        <f>IFERROR((((COUNTIF('Elève (5ème1)'!GX14:GZ14,"A"))*4)+((COUNTIF('Elève (5ème1)'!GX14:GZ14,"B"))*3)+((COUNTIF('Elève (5ème1)'!GX14:GZ14,"C"))*2)+((COUNTIF('Elève (5ème1)'!GX14:GZ14,"D"))*1))/(COUNTA(GX14:GZ14)),"")</f>
        <v/>
      </c>
      <c r="HB14" s="181" t="str">
        <f t="shared" si="45"/>
        <v/>
      </c>
      <c r="HC14" s="122"/>
      <c r="HD14" s="123"/>
      <c r="HE14" s="124"/>
      <c r="HF14" s="128"/>
      <c r="HG14" s="180" t="str">
        <f>IFERROR((((COUNTIF('Elève (5ème1)'!HC14:HF14,"A"))*4)+((COUNTIF('Elève (5ème1)'!HC14:HF14,"B"))*3)+((COUNTIF('Elève (5ème1)'!HC14:HF14,"C"))*2)+((COUNTIF('Elève (5ème1)'!HC14:HF14,"D"))*1))/(COUNTA(HC14:HF14)),"")</f>
        <v/>
      </c>
      <c r="HH14" s="181" t="str">
        <f t="shared" si="46"/>
        <v/>
      </c>
      <c r="HI14" s="180">
        <f>IF(COUNT(GV14,HA14,HG14)=0,"",SUM(GV14,HA14,HG14)/COUNT(GV14,HA14,HG14))</f>
        <v>3</v>
      </c>
      <c r="HJ14" s="205" t="str">
        <f t="shared" si="47"/>
        <v>B</v>
      </c>
      <c r="HK14" s="122"/>
      <c r="HL14" s="123" t="s">
        <v>28</v>
      </c>
      <c r="HM14" s="124"/>
      <c r="HN14" s="180">
        <f>IFERROR((((COUNTIF('Elève (5ème1)'!HK14:HM14,"A"))*4)+((COUNTIF('Elève (5ème1)'!HK14:HM14,"B"))*3)+((COUNTIF('Elève (5ème1)'!HK14:HM14,"C"))*2)+((COUNTIF('Elève (5ème1)'!HK14:HM14,"D"))*1))/(COUNTA(HK14:HM14)),"")</f>
        <v>3</v>
      </c>
      <c r="HO14" s="181" t="str">
        <f t="shared" si="48"/>
        <v>B</v>
      </c>
      <c r="HP14" s="122"/>
      <c r="HQ14" s="123"/>
      <c r="HR14" s="124"/>
      <c r="HS14" s="180" t="str">
        <f>IFERROR((((COUNTIF('Elève (5ème1)'!HP14:HR14,"A"))*4)+((COUNTIF('Elève (5ème1)'!HP14:HR14,"B"))*3)+((COUNTIF('Elève (5ème1)'!HP14:HR14,"C"))*2)+((COUNTIF('Elève (5ème1)'!HP14:HR14,"D"))*1))/(COUNTA(HP14:HR14)),"")</f>
        <v/>
      </c>
      <c r="HT14" s="181" t="str">
        <f t="shared" si="49"/>
        <v/>
      </c>
      <c r="HU14" s="122"/>
      <c r="HV14" s="123"/>
      <c r="HW14" s="124"/>
      <c r="HX14" s="128"/>
      <c r="HY14" s="180" t="str">
        <f>IFERROR((((COUNTIF('Elève (5ème1)'!HU14:HX14,"A"))*4)+((COUNTIF('Elève (5ème1)'!HU14:HX14,"B"))*3)+((COUNTIF('Elève (5ème1)'!HU14:HX14,"C"))*2)+((COUNTIF('Elève (5ème1)'!HU14:HX14,"D"))*1))/(COUNTA(HU14:HX14)),"")</f>
        <v/>
      </c>
      <c r="HZ14" s="181" t="str">
        <f t="shared" si="50"/>
        <v/>
      </c>
      <c r="IA14" s="180">
        <f>IF(COUNT(HN14,HS14,HY14)=0,"",SUM(HN14,HS14,HY14)/COUNT(HN14,HS14,HY14))</f>
        <v>3</v>
      </c>
      <c r="IB14" s="205" t="str">
        <f t="shared" si="51"/>
        <v>B</v>
      </c>
      <c r="IC14" s="122"/>
      <c r="ID14" s="123" t="s">
        <v>27</v>
      </c>
      <c r="IE14" s="124"/>
      <c r="IF14" s="180">
        <f>IFERROR((((COUNTIF('Elève (5ème1)'!IC14:IE14,"A"))*4)+((COUNTIF('Elève (5ème1)'!IC14:IE14,"B"))*3)+((COUNTIF('Elève (5ème1)'!IC14:IE14,"C"))*2)+((COUNTIF('Elève (5ème1)'!IC14:IE14,"D"))*1))/(COUNTA(IC14:IE14)),"")</f>
        <v>4</v>
      </c>
      <c r="IG14" s="181" t="str">
        <f t="shared" si="52"/>
        <v>A</v>
      </c>
      <c r="IH14" s="122"/>
      <c r="II14" s="123"/>
      <c r="IJ14" s="124"/>
      <c r="IK14" s="180" t="str">
        <f>IFERROR((((COUNTIF('Elève (5ème1)'!IH14:IJ14,"A"))*4)+((COUNTIF('Elève (5ème1)'!IH14:IJ14,"B"))*3)+((COUNTIF('Elève (5ème1)'!IH14:IJ14,"C"))*2)+((COUNTIF('Elève (5ème1)'!IH14:IJ14,"D"))*1))/(COUNTA(IH14:IJ14)),"")</f>
        <v/>
      </c>
      <c r="IL14" s="181" t="str">
        <f t="shared" si="53"/>
        <v/>
      </c>
      <c r="IM14" s="122"/>
      <c r="IN14" s="123"/>
      <c r="IO14" s="124"/>
      <c r="IP14" s="128"/>
      <c r="IQ14" s="180" t="str">
        <f>IFERROR((((COUNTIF('Elève (5ème1)'!IM14:IP14,"A"))*4)+((COUNTIF('Elève (5ème1)'!IM14:IP14,"B"))*3)+((COUNTIF('Elève (5ème1)'!IM14:IP14,"C"))*2)+((COUNTIF('Elève (5ème1)'!IM14:IP14,"D"))*1))/(COUNTA(IM14:IP14)),"")</f>
        <v/>
      </c>
      <c r="IR14" s="181" t="str">
        <f t="shared" si="54"/>
        <v/>
      </c>
      <c r="IS14" s="180">
        <f>IF(COUNT(IF14,IK14,IQ14)=0,"",SUM(IF14,IK14,IQ14)/COUNT(IF14,IK14,IQ14))</f>
        <v>4</v>
      </c>
      <c r="IT14" s="205" t="str">
        <f t="shared" si="55"/>
        <v>A</v>
      </c>
      <c r="IU14" s="122"/>
      <c r="IV14" s="123" t="s">
        <v>27</v>
      </c>
      <c r="IW14" s="124"/>
      <c r="IX14" s="180">
        <f>IFERROR((((COUNTIF('Elève (5ème1)'!IU14:IW14,"A"))*4)+((COUNTIF('Elève (5ème1)'!IU14:IW14,"B"))*3)+((COUNTIF('Elève (5ème1)'!IU14:IW14,"C"))*2)+((COUNTIF('Elève (5ème1)'!IU14:IW14,"D"))*1))/(COUNTA(IU14:IW14)),"")</f>
        <v>4</v>
      </c>
      <c r="IY14" s="181" t="str">
        <f t="shared" si="56"/>
        <v>A</v>
      </c>
      <c r="IZ14" s="122"/>
      <c r="JA14" s="123"/>
      <c r="JB14" s="124"/>
      <c r="JC14" s="180" t="str">
        <f>IFERROR((((COUNTIF('Elève (5ème1)'!IZ14:JB14,"A"))*4)+((COUNTIF('Elève (5ème1)'!IZ14:JB14,"B"))*3)+((COUNTIF('Elève (5ème1)'!IZ14:JB14,"C"))*2)+((COUNTIF('Elève (5ème1)'!IZ14:JB14,"D"))*1))/(COUNTA(IZ14:JB14)),"")</f>
        <v/>
      </c>
      <c r="JD14" s="181" t="str">
        <f t="shared" si="57"/>
        <v/>
      </c>
      <c r="JE14" s="122"/>
      <c r="JF14" s="123"/>
      <c r="JG14" s="124"/>
      <c r="JH14" s="128"/>
      <c r="JI14" s="180" t="str">
        <f>IFERROR((((COUNTIF('Elève (5ème1)'!JE14:JH14,"A"))*4)+((COUNTIF('Elève (5ème1)'!JE14:JH14,"B"))*3)+((COUNTIF('Elève (5ème1)'!JE14:JH14,"C"))*2)+((COUNTIF('Elève (5ème1)'!JE14:JH14,"D"))*1))/(COUNTA(JE14:JH14)),"")</f>
        <v/>
      </c>
      <c r="JJ14" s="181" t="str">
        <f t="shared" si="58"/>
        <v/>
      </c>
      <c r="JK14" s="180">
        <f>IF(COUNT(IX14,JC14,JI14)=0,"",SUM(IX14,JC14,JI14)/COUNT(IX14,JC14,JI14))</f>
        <v>4</v>
      </c>
      <c r="JL14" s="205" t="str">
        <f t="shared" si="59"/>
        <v>A</v>
      </c>
      <c r="JM14" s="122"/>
      <c r="JN14" s="123" t="s">
        <v>27</v>
      </c>
      <c r="JO14" s="124"/>
      <c r="JP14" s="180">
        <f>IFERROR((((COUNTIF('Elève (5ème1)'!JM14:JO14,"A"))*4)+((COUNTIF('Elève (5ème1)'!JM14:JO14,"B"))*3)+((COUNTIF('Elève (5ème1)'!JM14:JO14,"C"))*2)+((COUNTIF('Elève (5ème1)'!JM14:JO14,"D"))*1))/(COUNTA(JM14:JO14)),"")</f>
        <v>4</v>
      </c>
      <c r="JQ14" s="181" t="str">
        <f t="shared" si="60"/>
        <v>A</v>
      </c>
      <c r="JR14" s="122"/>
      <c r="JS14" s="123"/>
      <c r="JT14" s="124"/>
      <c r="JU14" s="180" t="str">
        <f>IFERROR((((COUNTIF('Elève (5ème1)'!JR14:JT14,"A"))*4)+((COUNTIF('Elève (5ème1)'!JR14:JT14,"B"))*3)+((COUNTIF('Elève (5ème1)'!JR14:JT14,"C"))*2)+((COUNTIF('Elève (5ème1)'!JR14:JT14,"D"))*1))/(COUNTA(JR14:JT14)),"")</f>
        <v/>
      </c>
      <c r="JV14" s="181" t="str">
        <f t="shared" si="61"/>
        <v/>
      </c>
      <c r="JW14" s="122"/>
      <c r="JX14" s="123"/>
      <c r="JY14" s="124"/>
      <c r="JZ14" s="128"/>
      <c r="KA14" s="180" t="str">
        <f>IFERROR((((COUNTIF('Elève (5ème1)'!JW14:JZ14,"A"))*4)+((COUNTIF('Elève (5ème1)'!JW14:JZ14,"B"))*3)+((COUNTIF('Elève (5ème1)'!JW14:JZ14,"C"))*2)+((COUNTIF('Elève (5ème1)'!JW14:JZ14,"D"))*1))/(COUNTA(JW14:JZ14)),"")</f>
        <v/>
      </c>
      <c r="KB14" s="181" t="str">
        <f t="shared" si="62"/>
        <v/>
      </c>
      <c r="KC14" s="180">
        <f>IF(COUNT(JP14,JU14,KA14)=0,"",SUM(JP14,JU14,KA14)/COUNT(JP14,JU14,KA14))</f>
        <v>4</v>
      </c>
      <c r="KD14" s="205" t="str">
        <f t="shared" si="63"/>
        <v>A</v>
      </c>
      <c r="KE14" s="122"/>
      <c r="KF14" s="123" t="s">
        <v>27</v>
      </c>
      <c r="KG14" s="124"/>
      <c r="KH14" s="180">
        <f>IFERROR((((COUNTIF('Elève (5ème1)'!KE14:KG14,"A"))*4)+((COUNTIF('Elève (5ème1)'!KE14:KG14,"B"))*3)+((COUNTIF('Elève (5ème1)'!KE14:KG14,"C"))*2)+((COUNTIF('Elève (5ème1)'!KE14:KG14,"D"))*1))/(COUNTA(KE14:KG14)),"")</f>
        <v>4</v>
      </c>
      <c r="KI14" s="181" t="str">
        <f t="shared" si="64"/>
        <v>A</v>
      </c>
      <c r="KJ14" s="122"/>
      <c r="KK14" s="123"/>
      <c r="KL14" s="124"/>
      <c r="KM14" s="180" t="str">
        <f>IFERROR((((COUNTIF('Elève (5ème1)'!KJ14:KL14,"A"))*4)+((COUNTIF('Elève (5ème1)'!KJ14:KL14,"B"))*3)+((COUNTIF('Elève (5ème1)'!KJ14:KL14,"C"))*2)+((COUNTIF('Elève (5ème1)'!KJ14:KL14,"D"))*1))/(COUNTA(KJ14:KL14)),"")</f>
        <v/>
      </c>
      <c r="KN14" s="181" t="str">
        <f t="shared" si="65"/>
        <v/>
      </c>
      <c r="KO14" s="122"/>
      <c r="KP14" s="123"/>
      <c r="KQ14" s="124"/>
      <c r="KR14" s="128"/>
      <c r="KS14" s="180" t="str">
        <f>IFERROR((((COUNTIF('Elève (5ème1)'!KO14:KR14,"A"))*4)+((COUNTIF('Elève (5ème1)'!KO14:KR14,"B"))*3)+((COUNTIF('Elève (5ème1)'!KO14:KR14,"C"))*2)+((COUNTIF('Elève (5ème1)'!KO14:KR14,"D"))*1))/(COUNTA(KO14:KR14)),"")</f>
        <v/>
      </c>
      <c r="KT14" s="181" t="str">
        <f t="shared" si="66"/>
        <v/>
      </c>
      <c r="KU14" s="180">
        <f>IF(COUNT(KH14,KM14,KS14)=0,"",SUM(KH14,KM14,KS14)/COUNT(KH14,KM14,KS14))</f>
        <v>4</v>
      </c>
      <c r="KV14" s="205" t="str">
        <f t="shared" si="67"/>
        <v>A</v>
      </c>
      <c r="KW14" s="122"/>
      <c r="KX14" s="123" t="s">
        <v>28</v>
      </c>
      <c r="KY14" s="124"/>
      <c r="KZ14" s="180">
        <f>IFERROR((((COUNTIF('Elève (5ème1)'!KW14:KY14,"A"))*4)+((COUNTIF('Elève (5ème1)'!KW14:KY14,"B"))*3)+((COUNTIF('Elève (5ème1)'!KW14:KY14,"C"))*2)+((COUNTIF('Elève (5ème1)'!KW14:KY14,"D"))*1))/(COUNTA(KW14:KY14)),"")</f>
        <v>3</v>
      </c>
      <c r="LA14" s="181" t="str">
        <f t="shared" si="68"/>
        <v>B</v>
      </c>
      <c r="LB14" s="122"/>
      <c r="LC14" s="123"/>
      <c r="LD14" s="124"/>
      <c r="LE14" s="180" t="str">
        <f>IFERROR((((COUNTIF('Elève (5ème1)'!LB14:LD14,"A"))*4)+((COUNTIF('Elève (5ème1)'!LB14:LD14,"B"))*3)+((COUNTIF('Elève (5ème1)'!LB14:LD14,"C"))*2)+((COUNTIF('Elève (5ème1)'!LB14:LD14,"D"))*1))/(COUNTA(LB14:LD14)),"")</f>
        <v/>
      </c>
      <c r="LF14" s="181" t="str">
        <f t="shared" si="69"/>
        <v/>
      </c>
      <c r="LG14" s="122"/>
      <c r="LH14" s="123"/>
      <c r="LI14" s="124"/>
      <c r="LJ14" s="128"/>
      <c r="LK14" s="180" t="str">
        <f>IFERROR((((COUNTIF('Elève (5ème1)'!LG14:LJ14,"A"))*4)+((COUNTIF('Elève (5ème1)'!LG14:LJ14,"B"))*3)+((COUNTIF('Elève (5ème1)'!LG14:LJ14,"C"))*2)+((COUNTIF('Elève (5ème1)'!LG14:LJ14,"D"))*1))/(COUNTA(LG14:LJ14)),"")</f>
        <v/>
      </c>
      <c r="LL14" s="181" t="str">
        <f t="shared" si="70"/>
        <v/>
      </c>
      <c r="LM14" s="180">
        <f>IF(COUNT(KZ14,LE14,LK14)=0,"",SUM(KZ14,LE14,LK14)/COUNT(KZ14,LE14,LK14))</f>
        <v>3</v>
      </c>
      <c r="LN14" s="205" t="str">
        <f t="shared" si="71"/>
        <v>B</v>
      </c>
      <c r="LO14" s="122"/>
      <c r="LP14" s="123" t="s">
        <v>27</v>
      </c>
      <c r="LQ14" s="124"/>
      <c r="LR14" s="180">
        <f>IFERROR((((COUNTIF('Elève (5ème1)'!LO14:LQ14,"A"))*4)+((COUNTIF('Elève (5ème1)'!LO14:LQ14,"B"))*3)+((COUNTIF('Elève (5ème1)'!LO14:LQ14,"C"))*2)+((COUNTIF('Elève (5ème1)'!LO14:LQ14,"D"))*1))/(COUNTA(LO14:LQ14)),"")</f>
        <v>4</v>
      </c>
      <c r="LS14" s="181" t="str">
        <f t="shared" si="72"/>
        <v>A</v>
      </c>
      <c r="LT14" s="122"/>
      <c r="LU14" s="123"/>
      <c r="LV14" s="124"/>
      <c r="LW14" s="180" t="str">
        <f>IFERROR((((COUNTIF('Elève (5ème1)'!LT14:LV14,"A"))*4)+((COUNTIF('Elève (5ème1)'!LT14:LV14,"B"))*3)+((COUNTIF('Elève (5ème1)'!LT14:LV14,"C"))*2)+((COUNTIF('Elève (5ème1)'!LT14:LV14,"D"))*1))/(COUNTA(LT14:LV14)),"")</f>
        <v/>
      </c>
      <c r="LX14" s="181" t="str">
        <f t="shared" si="73"/>
        <v/>
      </c>
      <c r="LY14" s="122"/>
      <c r="LZ14" s="123"/>
      <c r="MA14" s="124"/>
      <c r="MB14" s="128"/>
      <c r="MC14" s="180" t="str">
        <f>IFERROR((((COUNTIF('Elève (5ème1)'!LY14:MB14,"A"))*4)+((COUNTIF('Elève (5ème1)'!LY14:MB14,"B"))*3)+((COUNTIF('Elève (5ème1)'!LY14:MB14,"C"))*2)+((COUNTIF('Elève (5ème1)'!LY14:MB14,"D"))*1))/(COUNTA(LY14:MB14)),"")</f>
        <v/>
      </c>
      <c r="MD14" s="181" t="str">
        <f t="shared" si="74"/>
        <v/>
      </c>
      <c r="ME14" s="180">
        <f>IF(COUNT(LR14,LW14,MC14)=0,"",SUM(LR14,LW14,MC14)/COUNT(LR14,LW14,MC14))</f>
        <v>4</v>
      </c>
      <c r="MF14" s="205" t="str">
        <f t="shared" si="75"/>
        <v>A</v>
      </c>
      <c r="MG14" s="122"/>
      <c r="MH14" s="123" t="s">
        <v>27</v>
      </c>
      <c r="MI14" s="124"/>
      <c r="MJ14" s="180">
        <f>IFERROR((((COUNTIF('Elève (5ème1)'!MG14:MI14,"A"))*4)+((COUNTIF('Elève (5ème1)'!MG14:MI14,"B"))*3)+((COUNTIF('Elève (5ème1)'!MG14:MI14,"C"))*2)+((COUNTIF('Elève (5ème1)'!MG14:MI14,"D"))*1))/(COUNTA(MG14:MI14)),"")</f>
        <v>4</v>
      </c>
      <c r="MK14" s="181" t="str">
        <f t="shared" si="76"/>
        <v>A</v>
      </c>
      <c r="ML14" s="122"/>
      <c r="MM14" s="123"/>
      <c r="MN14" s="124"/>
      <c r="MO14" s="180" t="str">
        <f>IFERROR((((COUNTIF('Elève (5ème1)'!ML14:MN14,"A"))*4)+((COUNTIF('Elève (5ème1)'!ML14:MN14,"B"))*3)+((COUNTIF('Elève (5ème1)'!ML14:MN14,"C"))*2)+((COUNTIF('Elève (5ème1)'!ML14:MN14,"D"))*1))/(COUNTA(ML14:MN14)),"")</f>
        <v/>
      </c>
      <c r="MP14" s="181" t="str">
        <f t="shared" si="77"/>
        <v/>
      </c>
      <c r="MQ14" s="122"/>
      <c r="MR14" s="123"/>
      <c r="MS14" s="124"/>
      <c r="MT14" s="128"/>
      <c r="MU14" s="180" t="str">
        <f>IFERROR((((COUNTIF('Elève (5ème1)'!MQ14:MT14,"A"))*4)+((COUNTIF('Elève (5ème1)'!MQ14:MT14,"B"))*3)+((COUNTIF('Elève (5ème1)'!MQ14:MT14,"C"))*2)+((COUNTIF('Elève (5ème1)'!MQ14:MT14,"D"))*1))/(COUNTA(MQ14:MT14)),"")</f>
        <v/>
      </c>
      <c r="MV14" s="181" t="str">
        <f t="shared" si="78"/>
        <v/>
      </c>
      <c r="MW14" s="180">
        <f>IF(COUNT(MJ14,MO14,MU14)=0,"",SUM(MJ14,MO14,MU14)/COUNT(MJ14,MO14,MU14))</f>
        <v>4</v>
      </c>
      <c r="MX14" s="205" t="str">
        <f t="shared" si="79"/>
        <v>A</v>
      </c>
      <c r="MY14" s="122"/>
      <c r="MZ14" s="123" t="s">
        <v>27</v>
      </c>
      <c r="NA14" s="124"/>
      <c r="NB14" s="180">
        <f>IFERROR((((COUNTIF('Elève (5ème1)'!MY14:NA14,"A"))*4)+((COUNTIF('Elève (5ème1)'!MY14:NA14,"B"))*3)+((COUNTIF('Elève (5ème1)'!MY14:NA14,"C"))*2)+((COUNTIF('Elève (5ème1)'!MY14:NA14,"D"))*1))/(COUNTA(MY14:NA14)),"")</f>
        <v>4</v>
      </c>
      <c r="NC14" s="181" t="str">
        <f t="shared" si="80"/>
        <v>A</v>
      </c>
      <c r="ND14" s="122"/>
      <c r="NE14" s="123"/>
      <c r="NF14" s="124"/>
      <c r="NG14" s="180" t="str">
        <f>IFERROR((((COUNTIF('Elève (5ème1)'!ND14:NF14,"A"))*4)+((COUNTIF('Elève (5ème1)'!ND14:NF14,"B"))*3)+((COUNTIF('Elève (5ème1)'!ND14:NF14,"C"))*2)+((COUNTIF('Elève (5ème1)'!ND14:NF14,"D"))*1))/(COUNTA(ND14:NF14)),"")</f>
        <v/>
      </c>
      <c r="NH14" s="181" t="str">
        <f t="shared" si="81"/>
        <v/>
      </c>
      <c r="NI14" s="122"/>
      <c r="NJ14" s="123"/>
      <c r="NK14" s="124"/>
      <c r="NL14" s="128"/>
      <c r="NM14" s="180" t="str">
        <f>IFERROR((((COUNTIF('Elève (5ème1)'!NI14:NL14,"A"))*4)+((COUNTIF('Elève (5ème1)'!NI14:NL14,"B"))*3)+((COUNTIF('Elève (5ème1)'!NI14:NL14,"C"))*2)+((COUNTIF('Elève (5ème1)'!NI14:NL14,"D"))*1))/(COUNTA(NI14:NL14)),"")</f>
        <v/>
      </c>
      <c r="NN14" s="181" t="str">
        <f t="shared" si="82"/>
        <v/>
      </c>
      <c r="NO14" s="180">
        <f>IF(COUNT(NB14,NG14,NM14)=0,"",SUM(NB14,NG14,NM14)/COUNT(NB14,NG14,NM14))</f>
        <v>4</v>
      </c>
      <c r="NP14" s="205" t="str">
        <f t="shared" si="83"/>
        <v>A</v>
      </c>
      <c r="NQ14" s="122"/>
      <c r="NR14" s="123"/>
      <c r="NS14" s="124"/>
      <c r="NT14" s="180" t="str">
        <f>IFERROR((((COUNTIF('Elève (5ème1)'!NQ14:NS14,"A"))*4)+((COUNTIF('Elève (5ème1)'!NQ14:NS14,"B"))*3)+((COUNTIF('Elève (5ème1)'!NQ14:NS14,"C"))*2)+((COUNTIF('Elève (5ème1)'!NQ14:NS14,"D"))*1))/(COUNTA(NQ14:NS14)),"")</f>
        <v/>
      </c>
      <c r="NU14" s="181" t="str">
        <f t="shared" si="84"/>
        <v/>
      </c>
      <c r="NV14" s="122"/>
      <c r="NW14" s="123"/>
      <c r="NX14" s="124"/>
      <c r="NY14" s="180" t="str">
        <f>IFERROR((((COUNTIF('Elève (5ème1)'!NV14:NX14,"A"))*4)+((COUNTIF('Elève (5ème1)'!NV14:NX14,"B"))*3)+((COUNTIF('Elève (5ème1)'!NV14:NX14,"C"))*2)+((COUNTIF('Elève (5ème1)'!NV14:NX14,"D"))*1))/(COUNTA(NV14:NX14)),"")</f>
        <v/>
      </c>
      <c r="NZ14" s="181" t="str">
        <f t="shared" si="85"/>
        <v/>
      </c>
      <c r="OA14" s="122"/>
      <c r="OB14" s="123"/>
      <c r="OC14" s="124"/>
      <c r="OD14" s="128"/>
      <c r="OE14" s="180" t="str">
        <f>IFERROR((((COUNTIF('Elève (5ème1)'!OA14:OD14,"A"))*4)+((COUNTIF('Elève (5ème1)'!OA14:OD14,"B"))*3)+((COUNTIF('Elève (5ème1)'!OA14:OD14,"C"))*2)+((COUNTIF('Elève (5ème1)'!OA14:OD14,"D"))*1))/(COUNTA(OA14:OD14)),"")</f>
        <v/>
      </c>
      <c r="OF14" s="181" t="str">
        <f t="shared" si="86"/>
        <v/>
      </c>
      <c r="OG14" s="180" t="str">
        <f>IF(COUNT(NT14,NY14,OE14)=0,"",SUM(NT14,NY14,OE14)/COUNT(NT14,NY14,OE14))</f>
        <v/>
      </c>
      <c r="OH14" s="205" t="str">
        <f t="shared" si="87"/>
        <v/>
      </c>
      <c r="OI14" s="122"/>
      <c r="OJ14" s="123" t="s">
        <v>27</v>
      </c>
      <c r="OK14" s="124"/>
      <c r="OL14" s="180">
        <f>IFERROR((((COUNTIF('Elève (5ème1)'!OI14:OK14,"A"))*4)+((COUNTIF('Elève (5ème1)'!OI14:OK14,"B"))*3)+((COUNTIF('Elève (5ème1)'!OI14:OK14,"C"))*2)+((COUNTIF('Elève (5ème1)'!OI14:OK14,"D"))*1))/(COUNTA(OI14:OK14)),"")</f>
        <v>4</v>
      </c>
      <c r="OM14" s="181" t="str">
        <f t="shared" si="88"/>
        <v>A</v>
      </c>
      <c r="ON14" s="122"/>
      <c r="OO14" s="123"/>
      <c r="OP14" s="124"/>
      <c r="OQ14" s="180" t="str">
        <f>IFERROR((((COUNTIF('Elève (5ème1)'!ON14:OP14,"A"))*4)+((COUNTIF('Elève (5ème1)'!ON14:OP14,"B"))*3)+((COUNTIF('Elève (5ème1)'!ON14:OP14,"C"))*2)+((COUNTIF('Elève (5ème1)'!ON14:OP14,"D"))*1))/(COUNTA(ON14:OP14)),"")</f>
        <v/>
      </c>
      <c r="OR14" s="181" t="str">
        <f t="shared" si="89"/>
        <v/>
      </c>
      <c r="OS14" s="122"/>
      <c r="OT14" s="123"/>
      <c r="OU14" s="124"/>
      <c r="OV14" s="128"/>
      <c r="OW14" s="180" t="str">
        <f>IFERROR((((COUNTIF('Elève (5ème1)'!OS14:OV14,"A"))*4)+((COUNTIF('Elève (5ème1)'!OS14:OV14,"B"))*3)+((COUNTIF('Elève (5ème1)'!OS14:OV14,"C"))*2)+((COUNTIF('Elève (5ème1)'!OS14:OV14,"D"))*1))/(COUNTA(OS14:OV14)),"")</f>
        <v/>
      </c>
      <c r="OX14" s="181" t="str">
        <f t="shared" si="90"/>
        <v/>
      </c>
      <c r="OY14" s="180">
        <f>IF(COUNT(OL14,OQ14,OW14)=0,"",SUM(OL14,OQ14,OW14)/COUNT(OL14,OQ14,OW14))</f>
        <v>4</v>
      </c>
      <c r="OZ14" s="205" t="str">
        <f t="shared" si="91"/>
        <v>A</v>
      </c>
      <c r="PA14" s="122"/>
      <c r="PB14" s="123"/>
      <c r="PC14" s="124"/>
      <c r="PD14" s="180" t="str">
        <f>IFERROR((((COUNTIF('Elève (5ème1)'!PA14:PC14,"A"))*4)+((COUNTIF('Elève (5ème1)'!PA14:PC14,"B"))*3)+((COUNTIF('Elève (5ème1)'!PA14:PC14,"C"))*2)+((COUNTIF('Elève (5ème1)'!PA14:PC14,"D"))*1))/(COUNTA(PA14:PC14)),"")</f>
        <v/>
      </c>
      <c r="PE14" s="181" t="str">
        <f t="shared" si="92"/>
        <v/>
      </c>
      <c r="PF14" s="122"/>
      <c r="PG14" s="123"/>
      <c r="PH14" s="124"/>
      <c r="PI14" s="180" t="str">
        <f>IFERROR((((COUNTIF('Elève (5ème1)'!PF14:PH14,"A"))*4)+((COUNTIF('Elève (5ème1)'!PF14:PH14,"B"))*3)+((COUNTIF('Elève (5ème1)'!PF14:PH14,"C"))*2)+((COUNTIF('Elève (5ème1)'!PF14:PH14,"D"))*1))/(COUNTA(PF14:PH14)),"")</f>
        <v/>
      </c>
      <c r="PJ14" s="181" t="str">
        <f t="shared" si="93"/>
        <v/>
      </c>
      <c r="PK14" s="122"/>
      <c r="PL14" s="123"/>
      <c r="PM14" s="124"/>
      <c r="PN14" s="128"/>
      <c r="PO14" s="180" t="str">
        <f>IFERROR((((COUNTIF('Elève (5ème1)'!PK14:PN14,"A"))*4)+((COUNTIF('Elève (5ème1)'!PK14:PN14,"B"))*3)+((COUNTIF('Elève (5ème1)'!PK14:PN14,"C"))*2)+((COUNTIF('Elève (5ème1)'!PK14:PN14,"D"))*1))/(COUNTA(PK14:PN14)),"")</f>
        <v/>
      </c>
      <c r="PP14" s="181" t="str">
        <f t="shared" si="94"/>
        <v/>
      </c>
      <c r="PQ14" s="180" t="str">
        <f>IF(COUNT(PD14,PI14,PO14)=0,"",SUM(PD14,PI14,PO14)/COUNT(PD14,PI14,PO14))</f>
        <v/>
      </c>
      <c r="PR14" s="205" t="str">
        <f t="shared" si="95"/>
        <v/>
      </c>
      <c r="PS14" s="122"/>
      <c r="PT14" s="123" t="s">
        <v>27</v>
      </c>
      <c r="PU14" s="124"/>
      <c r="PV14" s="180">
        <f>IFERROR((((COUNTIF('Elève (5ème1)'!PS14:PU14,"A"))*4)+((COUNTIF('Elève (5ème1)'!PS14:PU14,"B"))*3)+((COUNTIF('Elève (5ème1)'!PS14:PU14,"C"))*2)+((COUNTIF('Elève (5ème1)'!PS14:PU14,"D"))*1))/(COUNTA(PS14:PU14)),"")</f>
        <v>4</v>
      </c>
      <c r="PW14" s="181" t="str">
        <f t="shared" si="96"/>
        <v>A</v>
      </c>
      <c r="PX14" s="122"/>
      <c r="PY14" s="123"/>
      <c r="PZ14" s="124"/>
      <c r="QA14" s="180" t="str">
        <f>IFERROR((((COUNTIF('Elève (5ème1)'!PX14:PZ14,"A"))*4)+((COUNTIF('Elève (5ème1)'!PX14:PZ14,"B"))*3)+((COUNTIF('Elève (5ème1)'!PX14:PZ14,"C"))*2)+((COUNTIF('Elève (5ème1)'!PX14:PZ14,"D"))*1))/(COUNTA(PX14:PZ14)),"")</f>
        <v/>
      </c>
      <c r="QB14" s="181" t="str">
        <f t="shared" si="97"/>
        <v/>
      </c>
      <c r="QC14" s="122"/>
      <c r="QD14" s="123"/>
      <c r="QE14" s="124"/>
      <c r="QF14" s="128"/>
      <c r="QG14" s="180" t="str">
        <f>IFERROR((((COUNTIF('Elève (5ème1)'!QC14:QF14,"A"))*4)+((COUNTIF('Elève (5ème1)'!QC14:QF14,"B"))*3)+((COUNTIF('Elève (5ème1)'!QC14:QF14,"C"))*2)+((COUNTIF('Elève (5ème1)'!QC14:QF14,"D"))*1))/(COUNTA(QC14:QF14)),"")</f>
        <v/>
      </c>
      <c r="QH14" s="181" t="str">
        <f t="shared" si="98"/>
        <v/>
      </c>
      <c r="QI14" s="180">
        <f>IF(COUNT(PV14,QA14,QG14)=0,"",SUM(PV14,QA14,QG14)/COUNT(PV14,QA14,QG14))</f>
        <v>4</v>
      </c>
      <c r="QJ14" s="205" t="str">
        <f t="shared" si="99"/>
        <v>A</v>
      </c>
      <c r="QK14" s="122"/>
      <c r="QL14" s="123" t="s">
        <v>27</v>
      </c>
      <c r="QM14" s="124"/>
      <c r="QN14" s="180">
        <f>IFERROR((((COUNTIF('Elève (5ème1)'!QK14:QM14,"A"))*4)+((COUNTIF('Elève (5ème1)'!QK14:QM14,"B"))*3)+((COUNTIF('Elève (5ème1)'!QK14:QM14,"C"))*2)+((COUNTIF('Elève (5ème1)'!QK14:QM14,"D"))*1))/(COUNTA(QK14:QM14)),"")</f>
        <v>4</v>
      </c>
      <c r="QO14" s="181" t="str">
        <f t="shared" si="100"/>
        <v>A</v>
      </c>
      <c r="QP14" s="122"/>
      <c r="QQ14" s="123"/>
      <c r="QR14" s="124"/>
      <c r="QS14" s="180" t="str">
        <f>IFERROR((((COUNTIF('Elève (5ème1)'!QP14:QR14,"A"))*4)+((COUNTIF('Elève (5ème1)'!QP14:QR14,"B"))*3)+((COUNTIF('Elève (5ème1)'!QP14:QR14,"C"))*2)+((COUNTIF('Elève (5ème1)'!QP14:QR14,"D"))*1))/(COUNTA(QP14:QR14)),"")</f>
        <v/>
      </c>
      <c r="QT14" s="181" t="str">
        <f t="shared" si="101"/>
        <v/>
      </c>
      <c r="QU14" s="122"/>
      <c r="QV14" s="123"/>
      <c r="QW14" s="124"/>
      <c r="QX14" s="128"/>
      <c r="QY14" s="180" t="str">
        <f>IFERROR((((COUNTIF('Elève (5ème1)'!QU14:QX14,"A"))*4)+((COUNTIF('Elève (5ème1)'!QU14:QX14,"B"))*3)+((COUNTIF('Elève (5ème1)'!QU14:QX14,"C"))*2)+((COUNTIF('Elève (5ème1)'!QU14:QX14,"D"))*1))/(COUNTA(QU14:QX14)),"")</f>
        <v/>
      </c>
      <c r="QZ14" s="181" t="str">
        <f t="shared" si="102"/>
        <v/>
      </c>
      <c r="RA14" s="180">
        <f>IF(COUNT(QN14,QS14,QY14)=0,"",SUM(QN14,QS14,QY14)/COUNT(QN14,QS14,QY14))</f>
        <v>4</v>
      </c>
      <c r="RB14" s="205" t="str">
        <f t="shared" si="103"/>
        <v>A</v>
      </c>
      <c r="RC14" s="122"/>
      <c r="RD14" s="123" t="s">
        <v>27</v>
      </c>
      <c r="RE14" s="124"/>
      <c r="RF14" s="180">
        <f>IFERROR((((COUNTIF('Elève (5ème1)'!RC14:RE14,"A"))*4)+((COUNTIF('Elève (5ème1)'!RC14:RE14,"B"))*3)+((COUNTIF('Elève (5ème1)'!RC14:RE14,"C"))*2)+((COUNTIF('Elève (5ème1)'!RC14:RE14,"D"))*1))/(COUNTA(RC14:RE14)),"")</f>
        <v>4</v>
      </c>
      <c r="RG14" s="181" t="str">
        <f t="shared" si="104"/>
        <v>A</v>
      </c>
      <c r="RH14" s="122"/>
      <c r="RI14" s="123"/>
      <c r="RJ14" s="124"/>
      <c r="RK14" s="180" t="str">
        <f>IFERROR((((COUNTIF('Elève (5ème1)'!RH14:RJ14,"A"))*4)+((COUNTIF('Elève (5ème1)'!RH14:RJ14,"B"))*3)+((COUNTIF('Elève (5ème1)'!RH14:RJ14,"C"))*2)+((COUNTIF('Elève (5ème1)'!RH14:RJ14,"D"))*1))/(COUNTA(RH14:RJ14)),"")</f>
        <v/>
      </c>
      <c r="RL14" s="181" t="str">
        <f t="shared" si="105"/>
        <v/>
      </c>
      <c r="RM14" s="122"/>
      <c r="RN14" s="123"/>
      <c r="RO14" s="124"/>
      <c r="RP14" s="128"/>
      <c r="RQ14" s="180" t="str">
        <f>IFERROR((((COUNTIF('Elève (5ème1)'!RM14:RP14,"A"))*4)+((COUNTIF('Elève (5ème1)'!RM14:RP14,"B"))*3)+((COUNTIF('Elève (5ème1)'!RM14:RP14,"C"))*2)+((COUNTIF('Elève (5ème1)'!RM14:RP14,"D"))*1))/(COUNTA(RM14:RP14)),"")</f>
        <v/>
      </c>
      <c r="RR14" s="181" t="str">
        <f t="shared" si="106"/>
        <v/>
      </c>
      <c r="RS14" s="180">
        <f>IF(COUNT(RF14,RK14,RQ14)=0,"",SUM(RF14,RK14,RQ14)/COUNT(RF14,RK14,RQ14))</f>
        <v>4</v>
      </c>
      <c r="RT14" s="205" t="str">
        <f t="shared" si="107"/>
        <v>A</v>
      </c>
      <c r="RU14" s="122"/>
      <c r="RV14" s="123" t="s">
        <v>27</v>
      </c>
      <c r="RW14" s="124"/>
      <c r="RX14" s="180">
        <f>IFERROR((((COUNTIF('Elève (5ème1)'!RU14:RW14,"A"))*4)+((COUNTIF('Elève (5ème1)'!RU14:RW14,"B"))*3)+((COUNTIF('Elève (5ème1)'!RU14:RW14,"C"))*2)+((COUNTIF('Elève (5ème1)'!RU14:RW14,"D"))*1))/(COUNTA(RU14:RW14)),"")</f>
        <v>4</v>
      </c>
      <c r="RY14" s="181" t="str">
        <f t="shared" si="108"/>
        <v>A</v>
      </c>
      <c r="RZ14" s="122"/>
      <c r="SA14" s="123"/>
      <c r="SB14" s="124"/>
      <c r="SC14" s="180" t="str">
        <f>IFERROR((((COUNTIF('Elève (5ème1)'!RZ14:SB14,"A"))*4)+((COUNTIF('Elève (5ème1)'!RZ14:SB14,"B"))*3)+((COUNTIF('Elève (5ème1)'!RZ14:SB14,"C"))*2)+((COUNTIF('Elève (5ème1)'!RZ14:SB14,"D"))*1))/(COUNTA(RZ14:SB14)),"")</f>
        <v/>
      </c>
      <c r="SD14" s="181" t="str">
        <f t="shared" si="109"/>
        <v/>
      </c>
      <c r="SE14" s="122"/>
      <c r="SF14" s="123"/>
      <c r="SG14" s="124"/>
      <c r="SH14" s="128"/>
      <c r="SI14" s="180" t="str">
        <f>IFERROR((((COUNTIF('Elève (5ème1)'!SE14:SH14,"A"))*4)+((COUNTIF('Elève (5ème1)'!SE14:SH14,"B"))*3)+((COUNTIF('Elève (5ème1)'!SE14:SH14,"C"))*2)+((COUNTIF('Elève (5ème1)'!SE14:SH14,"D"))*1))/(COUNTA(SE14:SH14)),"")</f>
        <v/>
      </c>
      <c r="SJ14" s="181" t="str">
        <f t="shared" si="110"/>
        <v/>
      </c>
      <c r="SK14" s="180">
        <f>IF(COUNT(RX14,SC14,SI14)=0,"",SUM(RX14,SC14,SI14)/COUNT(RX14,SC14,SI14))</f>
        <v>4</v>
      </c>
      <c r="SL14" s="205" t="str">
        <f t="shared" si="111"/>
        <v>A</v>
      </c>
      <c r="SM14" s="122"/>
      <c r="SN14" s="123" t="s">
        <v>28</v>
      </c>
      <c r="SO14" s="124"/>
      <c r="SP14" s="180">
        <f>IFERROR((((COUNTIF('Elève (5ème1)'!SM14:SO14,"A"))*4)+((COUNTIF('Elève (5ème1)'!SM14:SO14,"B"))*3)+((COUNTIF('Elève (5ème1)'!SM14:SO14,"C"))*2)+((COUNTIF('Elève (5ème1)'!SM14:SO14,"D"))*1))/(COUNTA(SM14:SO14)),"")</f>
        <v>3</v>
      </c>
      <c r="SQ14" s="181" t="str">
        <f t="shared" si="112"/>
        <v>B</v>
      </c>
      <c r="SR14" s="122"/>
      <c r="SS14" s="123"/>
      <c r="ST14" s="124"/>
      <c r="SU14" s="180" t="str">
        <f>IFERROR((((COUNTIF('Elève (5ème1)'!SR14:ST14,"A"))*4)+((COUNTIF('Elève (5ème1)'!SR14:ST14,"B"))*3)+((COUNTIF('Elève (5ème1)'!SR14:ST14,"C"))*2)+((COUNTIF('Elève (5ème1)'!SR14:ST14,"D"))*1))/(COUNTA(SR14:ST14)),"")</f>
        <v/>
      </c>
      <c r="SV14" s="181" t="str">
        <f t="shared" si="113"/>
        <v/>
      </c>
      <c r="SW14" s="122"/>
      <c r="SX14" s="123"/>
      <c r="SY14" s="124"/>
      <c r="SZ14" s="128"/>
      <c r="TA14" s="180" t="str">
        <f>IFERROR((((COUNTIF('Elève (5ème1)'!SW14:SZ14,"A"))*4)+((COUNTIF('Elève (5ème1)'!SW14:SZ14,"B"))*3)+((COUNTIF('Elève (5ème1)'!SW14:SZ14,"C"))*2)+((COUNTIF('Elève (5ème1)'!SW14:SZ14,"D"))*1))/(COUNTA(SW14:SZ14)),"")</f>
        <v/>
      </c>
      <c r="TB14" s="181" t="str">
        <f t="shared" si="114"/>
        <v/>
      </c>
      <c r="TC14" s="180">
        <f>IF(COUNT(SP14,SU14,TA14)=0,"",SUM(SP14,SU14,TA14)/COUNT(SP14,SU14,TA14))</f>
        <v>3</v>
      </c>
      <c r="TD14" s="205" t="str">
        <f t="shared" si="115"/>
        <v>B</v>
      </c>
      <c r="TE14" s="122"/>
      <c r="TF14" s="123" t="s">
        <v>27</v>
      </c>
      <c r="TG14" s="124"/>
      <c r="TH14" s="180">
        <f>IFERROR((((COUNTIF('Elève (5ème1)'!TE14:TG14,"A"))*4)+((COUNTIF('Elève (5ème1)'!TE14:TG14,"B"))*3)+((COUNTIF('Elève (5ème1)'!TE14:TG14,"C"))*2)+((COUNTIF('Elève (5ème1)'!TE14:TG14,"D"))*1))/(COUNTA(TE14:TG14)),"")</f>
        <v>4</v>
      </c>
      <c r="TI14" s="181" t="str">
        <f t="shared" si="116"/>
        <v>A</v>
      </c>
      <c r="TJ14" s="122"/>
      <c r="TK14" s="123"/>
      <c r="TL14" s="124"/>
      <c r="TM14" s="180" t="str">
        <f>IFERROR((((COUNTIF('Elève (5ème1)'!TJ14:TL14,"A"))*4)+((COUNTIF('Elève (5ème1)'!TJ14:TL14,"B"))*3)+((COUNTIF('Elève (5ème1)'!TJ14:TL14,"C"))*2)+((COUNTIF('Elève (5ème1)'!TJ14:TL14,"D"))*1))/(COUNTA(TJ14:TL14)),"")</f>
        <v/>
      </c>
      <c r="TN14" s="181" t="str">
        <f t="shared" si="117"/>
        <v/>
      </c>
      <c r="TO14" s="122"/>
      <c r="TP14" s="123"/>
      <c r="TQ14" s="124"/>
      <c r="TR14" s="128"/>
      <c r="TS14" s="180" t="str">
        <f>IFERROR((((COUNTIF('Elève (5ème1)'!TO14:TR14,"A"))*4)+((COUNTIF('Elève (5ème1)'!TO14:TR14,"B"))*3)+((COUNTIF('Elève (5ème1)'!TO14:TR14,"C"))*2)+((COUNTIF('Elève (5ème1)'!TO14:TR14,"D"))*1))/(COUNTA(TO14:TR14)),"")</f>
        <v/>
      </c>
      <c r="TT14" s="181" t="str">
        <f t="shared" si="118"/>
        <v/>
      </c>
      <c r="TU14" s="180">
        <f>IF(COUNT(TH14,TM14,TS14)=0,"",SUM(TH14,TM14,TS14)/COUNT(TH14,TM14,TS14))</f>
        <v>4</v>
      </c>
      <c r="TV14" s="205" t="str">
        <f t="shared" si="119"/>
        <v>A</v>
      </c>
    </row>
    <row r="15" spans="1:542" ht="18" customHeight="1" thickBot="1" x14ac:dyDescent="0.3">
      <c r="A15" s="238" t="s">
        <v>37</v>
      </c>
      <c r="B15" s="239"/>
      <c r="C15" s="129"/>
      <c r="D15" s="130"/>
      <c r="E15" s="131"/>
      <c r="F15" s="184" t="str">
        <f>IFERROR((((COUNTIF('Elève (5ème1)'!C15:E15,"A"))*4)+((COUNTIF('Elève (5ème1)'!C15:E15,"B"))*3)+((COUNTIF('Elève (5ème1)'!C15:E15,"C"))*2)+((COUNTIF('Elève (5ème1)'!C15:E15,"D"))*1))/(COUNTA(C15:E15)),"")</f>
        <v/>
      </c>
      <c r="G15" s="185" t="str">
        <f t="shared" si="0"/>
        <v/>
      </c>
      <c r="H15" s="129"/>
      <c r="I15" s="130"/>
      <c r="J15" s="131" t="s">
        <v>27</v>
      </c>
      <c r="K15" s="184">
        <f>IFERROR((((COUNTIF('Elève (5ème1)'!H15:J15,"A"))*4)+((COUNTIF('Elève (5ème1)'!H15:J15,"B"))*3)+((COUNTIF('Elève (5ème1)'!H15:J15,"C"))*2)+((COUNTIF('Elève (5ème1)'!H15:J15,"D"))*1))/(COUNTA(H15:J15)),"")</f>
        <v>4</v>
      </c>
      <c r="L15" s="185" t="str">
        <f t="shared" si="1"/>
        <v>A</v>
      </c>
      <c r="M15" s="129"/>
      <c r="N15" s="130"/>
      <c r="O15" s="131" t="s">
        <v>27</v>
      </c>
      <c r="P15" s="131"/>
      <c r="Q15" s="184">
        <f>IFERROR((((COUNTIF('Elève (5ème1)'!M15:P15,"A"))*4)+((COUNTIF('Elève (5ème1)'!M15:P15,"B"))*3)+((COUNTIF('Elève (5ème1)'!M15:P15,"C"))*2)+((COUNTIF('Elève (5ème1)'!M15:P15,"D"))*1))/(COUNTA(M15:P15)),"")</f>
        <v>4</v>
      </c>
      <c r="R15" s="185" t="str">
        <f t="shared" si="2"/>
        <v>A</v>
      </c>
      <c r="S15" s="209">
        <f>IF(COUNT(F15,K15,Q15)=0,"",SUM(F15,K15,Q15)/COUNT(F15,K15,Q15))</f>
        <v>4</v>
      </c>
      <c r="T15" s="207" t="str">
        <f t="shared" si="3"/>
        <v>A</v>
      </c>
      <c r="U15" s="129"/>
      <c r="V15" s="130"/>
      <c r="W15" s="131"/>
      <c r="X15" s="184" t="str">
        <f>IFERROR((((COUNTIF('Elève (5ème1)'!U15:W15,"A"))*4)+((COUNTIF('Elève (5ème1)'!U15:W15,"B"))*3)+((COUNTIF('Elève (5ème1)'!U15:W15,"C"))*2)+((COUNTIF('Elève (5ème1)'!U15:W15,"D"))*1))/(COUNTA(U15:W15)),"")</f>
        <v/>
      </c>
      <c r="Y15" s="185" t="str">
        <f t="shared" si="4"/>
        <v/>
      </c>
      <c r="Z15" s="129"/>
      <c r="AA15" s="130" t="s">
        <v>27</v>
      </c>
      <c r="AB15" s="131" t="s">
        <v>27</v>
      </c>
      <c r="AC15" s="184">
        <f>IFERROR((((COUNTIF('Elève (5ème1)'!Z15:AB15,"A"))*4)+((COUNTIF('Elève (5ème1)'!Z15:AB15,"B"))*3)+((COUNTIF('Elève (5ème1)'!Z15:AB15,"C"))*2)+((COUNTIF('Elève (5ème1)'!Z15:AB15,"D"))*1))/(COUNTA(Z15:AB15)),"")</f>
        <v>4</v>
      </c>
      <c r="AD15" s="185" t="str">
        <f t="shared" si="5"/>
        <v>A</v>
      </c>
      <c r="AE15" s="129"/>
      <c r="AF15" s="130"/>
      <c r="AG15" s="131" t="s">
        <v>27</v>
      </c>
      <c r="AH15" s="135"/>
      <c r="AI15" s="184">
        <f>IFERROR((((COUNTIF('Elève (5ème1)'!AE15:AH15,"A"))*4)+((COUNTIF('Elève (5ème1)'!AE15:AH15,"B"))*3)+((COUNTIF('Elève (5ème1)'!AE15:AH15,"C"))*2)+((COUNTIF('Elève (5ème1)'!AE15:AH15,"D"))*1))/(COUNTA(AE15:AH15)),"")</f>
        <v>4</v>
      </c>
      <c r="AJ15" s="185" t="str">
        <f t="shared" si="6"/>
        <v>A</v>
      </c>
      <c r="AK15" s="209">
        <f>IF(COUNT(X15,AC15,AI15)=0,"",SUM(X15,AC15,AI15)/COUNT(X15,AC15,AI15))</f>
        <v>4</v>
      </c>
      <c r="AL15" s="207" t="str">
        <f t="shared" si="7"/>
        <v>A</v>
      </c>
      <c r="AM15" s="129"/>
      <c r="AN15" s="130"/>
      <c r="AO15" s="131"/>
      <c r="AP15" s="184" t="str">
        <f>IFERROR((((COUNTIF('Elève (5ème1)'!AM15:AO15,"A"))*4)+((COUNTIF('Elève (5ème1)'!AM15:AO15,"B"))*3)+((COUNTIF('Elève (5ème1)'!AM15:AO15,"C"))*2)+((COUNTIF('Elève (5ème1)'!AM15:AO15,"D"))*1))/(COUNTA(AM15:AO15)),"")</f>
        <v/>
      </c>
      <c r="AQ15" s="185" t="str">
        <f t="shared" si="8"/>
        <v/>
      </c>
      <c r="AR15" s="129"/>
      <c r="AS15" s="130" t="s">
        <v>27</v>
      </c>
      <c r="AT15" s="131" t="s">
        <v>28</v>
      </c>
      <c r="AU15" s="184">
        <f>IFERROR((((COUNTIF('Elève (5ème1)'!AR15:AT15,"A"))*4)+((COUNTIF('Elève (5ème1)'!AR15:AT15,"B"))*3)+((COUNTIF('Elève (5ème1)'!AR15:AT15,"C"))*2)+((COUNTIF('Elève (5ème1)'!AR15:AT15,"D"))*1))/(COUNTA(AR15:AT15)),"")</f>
        <v>3.5</v>
      </c>
      <c r="AV15" s="185" t="str">
        <f t="shared" si="9"/>
        <v>B</v>
      </c>
      <c r="AW15" s="129"/>
      <c r="AX15" s="130"/>
      <c r="AY15" s="131" t="s">
        <v>27</v>
      </c>
      <c r="AZ15" s="135"/>
      <c r="BA15" s="184">
        <f>IFERROR((((COUNTIF('Elève (5ème1)'!AW15:AZ15,"A"))*4)+((COUNTIF('Elève (5ème1)'!AW15:AZ15,"B"))*3)+((COUNTIF('Elève (5ème1)'!AW15:AZ15,"C"))*2)+((COUNTIF('Elève (5ème1)'!AW15:AZ15,"D"))*1))/(COUNTA(AW15:AZ15)),"")</f>
        <v>4</v>
      </c>
      <c r="BB15" s="185" t="str">
        <f t="shared" si="10"/>
        <v>A</v>
      </c>
      <c r="BC15" s="209">
        <f>IF(COUNT(AP15,AU15,BA15)=0,"",SUM(AP15,AU15,BA15)/COUNT(AP15,AU15,BA15))</f>
        <v>3.75</v>
      </c>
      <c r="BD15" s="207" t="str">
        <f t="shared" si="11"/>
        <v>A</v>
      </c>
      <c r="BE15" s="129"/>
      <c r="BF15" s="130"/>
      <c r="BG15" s="131"/>
      <c r="BH15" s="184" t="str">
        <f>IFERROR((((COUNTIF('Elève (5ème1)'!BE15:BG15,"A"))*4)+((COUNTIF('Elève (5ème1)'!BE15:BG15,"B"))*3)+((COUNTIF('Elève (5ème1)'!BE15:BG15,"C"))*2)+((COUNTIF('Elève (5ème1)'!BE15:BG15,"D"))*1))/(COUNTA(BE15:BG15)),"")</f>
        <v/>
      </c>
      <c r="BI15" s="185" t="str">
        <f t="shared" si="12"/>
        <v/>
      </c>
      <c r="BJ15" s="129"/>
      <c r="BK15" s="130" t="s">
        <v>27</v>
      </c>
      <c r="BL15" s="131" t="s">
        <v>29</v>
      </c>
      <c r="BM15" s="184">
        <f>IFERROR((((COUNTIF('Elève (5ème1)'!BJ15:BL15,"A"))*4)+((COUNTIF('Elève (5ème1)'!BJ15:BL15,"B"))*3)+((COUNTIF('Elève (5ème1)'!BJ15:BL15,"C"))*2)+((COUNTIF('Elève (5ème1)'!BJ15:BL15,"D"))*1))/(COUNTA(BJ15:BL15)),"")</f>
        <v>3</v>
      </c>
      <c r="BN15" s="185" t="str">
        <f t="shared" si="13"/>
        <v>B</v>
      </c>
      <c r="BO15" s="129"/>
      <c r="BP15" s="130"/>
      <c r="BQ15" s="131" t="s">
        <v>27</v>
      </c>
      <c r="BR15" s="135"/>
      <c r="BS15" s="184">
        <f>IFERROR((((COUNTIF('Elève (5ème1)'!BO15:BR15,"A"))*4)+((COUNTIF('Elève (5ème1)'!BO15:BR15,"B"))*3)+((COUNTIF('Elève (5ème1)'!BO15:BR15,"C"))*2)+((COUNTIF('Elève (5ème1)'!BO15:BR15,"D"))*1))/(COUNTA(BO15:BR15)),"")</f>
        <v>4</v>
      </c>
      <c r="BT15" s="185" t="str">
        <f t="shared" si="14"/>
        <v>A</v>
      </c>
      <c r="BU15" s="209">
        <f>IF(COUNT(BH15,BM15,BS15)=0,"",SUM(BH15,BM15,BS15)/COUNT(BH15,BM15,BS15))</f>
        <v>3.5</v>
      </c>
      <c r="BV15" s="207" t="str">
        <f t="shared" si="15"/>
        <v>B</v>
      </c>
      <c r="BW15" s="129"/>
      <c r="BX15" s="130"/>
      <c r="BY15" s="131"/>
      <c r="BZ15" s="184" t="str">
        <f>IFERROR((((COUNTIF('Elève (5ème1)'!BW15:BY15,"A"))*4)+((COUNTIF('Elève (5ème1)'!BW15:BY15,"B"))*3)+((COUNTIF('Elève (5ème1)'!BW15:BY15,"C"))*2)+((COUNTIF('Elève (5ème1)'!BW15:BY15,"D"))*1))/(COUNTA(BW15:BY15)),"")</f>
        <v/>
      </c>
      <c r="CA15" s="185" t="str">
        <f t="shared" si="16"/>
        <v/>
      </c>
      <c r="CB15" s="129"/>
      <c r="CC15" s="130" t="s">
        <v>27</v>
      </c>
      <c r="CD15" s="131" t="s">
        <v>29</v>
      </c>
      <c r="CE15" s="184">
        <f>IFERROR((((COUNTIF('Elève (5ème1)'!CB15:CD15,"A"))*4)+((COUNTIF('Elève (5ème1)'!CB15:CD15,"B"))*3)+((COUNTIF('Elève (5ème1)'!CB15:CD15,"C"))*2)+((COUNTIF('Elève (5ème1)'!CB15:CD15,"D"))*1))/(COUNTA(CB15:CD15)),"")</f>
        <v>3</v>
      </c>
      <c r="CF15" s="185" t="str">
        <f t="shared" si="17"/>
        <v>B</v>
      </c>
      <c r="CG15" s="129"/>
      <c r="CH15" s="130"/>
      <c r="CI15" s="131" t="s">
        <v>27</v>
      </c>
      <c r="CJ15" s="135"/>
      <c r="CK15" s="184">
        <f>IFERROR((((COUNTIF('Elève (5ème1)'!CG15:CJ15,"A"))*4)+((COUNTIF('Elève (5ème1)'!CG15:CJ15,"B"))*3)+((COUNTIF('Elève (5ème1)'!CG15:CJ15,"C"))*2)+((COUNTIF('Elève (5ème1)'!CG15:CJ15,"D"))*1))/(COUNTA(CG15:CJ15)),"")</f>
        <v>4</v>
      </c>
      <c r="CL15" s="185" t="str">
        <f t="shared" si="18"/>
        <v>A</v>
      </c>
      <c r="CM15" s="209">
        <f>IF(COUNT(BZ15,CE15,CK15)=0,"",SUM(BZ15,CE15,CK15)/COUNT(BZ15,CE15,CK15))</f>
        <v>3.5</v>
      </c>
      <c r="CN15" s="207" t="str">
        <f t="shared" si="19"/>
        <v>B</v>
      </c>
      <c r="CO15" s="129"/>
      <c r="CP15" s="130"/>
      <c r="CQ15" s="131"/>
      <c r="CR15" s="184" t="str">
        <f>IFERROR((((COUNTIF('Elève (5ème1)'!CO15:CQ15,"A"))*4)+((COUNTIF('Elève (5ème1)'!CO15:CQ15,"B"))*3)+((COUNTIF('Elève (5ème1)'!CO15:CQ15,"C"))*2)+((COUNTIF('Elève (5ème1)'!CO15:CQ15,"D"))*1))/(COUNTA(CO15:CQ15)),"")</f>
        <v/>
      </c>
      <c r="CS15" s="185" t="str">
        <f t="shared" si="20"/>
        <v/>
      </c>
      <c r="CT15" s="129"/>
      <c r="CU15" s="130" t="s">
        <v>27</v>
      </c>
      <c r="CV15" s="131" t="s">
        <v>27</v>
      </c>
      <c r="CW15" s="184">
        <f>IFERROR((((COUNTIF('Elève (5ème1)'!CT15:CV15,"A"))*4)+((COUNTIF('Elève (5ème1)'!CT15:CV15,"B"))*3)+((COUNTIF('Elève (5ème1)'!CT15:CV15,"C"))*2)+((COUNTIF('Elève (5ème1)'!CT15:CV15,"D"))*1))/(COUNTA(CT15:CV15)),"")</f>
        <v>4</v>
      </c>
      <c r="CX15" s="185" t="str">
        <f t="shared" si="21"/>
        <v>A</v>
      </c>
      <c r="CY15" s="129"/>
      <c r="CZ15" s="130"/>
      <c r="DA15" s="131" t="s">
        <v>27</v>
      </c>
      <c r="DB15" s="135"/>
      <c r="DC15" s="184">
        <f>IFERROR((((COUNTIF('Elève (5ème1)'!CY15:DB15,"A"))*4)+((COUNTIF('Elève (5ème1)'!CY15:DB15,"B"))*3)+((COUNTIF('Elève (5ème1)'!CY15:DB15,"C"))*2)+((COUNTIF('Elève (5ème1)'!CY15:DB15,"D"))*1))/(COUNTA(CY15:DB15)),"")</f>
        <v>4</v>
      </c>
      <c r="DD15" s="185" t="str">
        <f t="shared" si="22"/>
        <v>A</v>
      </c>
      <c r="DE15" s="209">
        <f>IF(COUNT(CR15,CW15,DC15)=0,"",SUM(CR15,CW15,DC15)/COUNT(CR15,CW15,DC15))</f>
        <v>4</v>
      </c>
      <c r="DF15" s="207" t="str">
        <f t="shared" si="23"/>
        <v>A</v>
      </c>
      <c r="DG15" s="129"/>
      <c r="DH15" s="130"/>
      <c r="DI15" s="131"/>
      <c r="DJ15" s="184" t="str">
        <f>IFERROR((((COUNTIF('Elève (5ème1)'!DG15:DI15,"A"))*4)+((COUNTIF('Elève (5ème1)'!DG15:DI15,"B"))*3)+((COUNTIF('Elève (5ème1)'!DG15:DI15,"C"))*2)+((COUNTIF('Elève (5ème1)'!DG15:DI15,"D"))*1))/(COUNTA(DG15:DI15)),"")</f>
        <v/>
      </c>
      <c r="DK15" s="185" t="str">
        <f t="shared" si="24"/>
        <v/>
      </c>
      <c r="DL15" s="129"/>
      <c r="DM15" s="130" t="s">
        <v>27</v>
      </c>
      <c r="DN15" s="131" t="s">
        <v>27</v>
      </c>
      <c r="DO15" s="184">
        <f>IFERROR((((COUNTIF('Elève (5ème1)'!DL15:DN15,"A"))*4)+((COUNTIF('Elève (5ème1)'!DL15:DN15,"B"))*3)+((COUNTIF('Elève (5ème1)'!DL15:DN15,"C"))*2)+((COUNTIF('Elève (5ème1)'!DL15:DN15,"D"))*1))/(COUNTA(DL15:DN15)),"")</f>
        <v>4</v>
      </c>
      <c r="DP15" s="185" t="str">
        <f t="shared" si="25"/>
        <v>A</v>
      </c>
      <c r="DQ15" s="129"/>
      <c r="DR15" s="130"/>
      <c r="DS15" s="131"/>
      <c r="DT15" s="135"/>
      <c r="DU15" s="184" t="str">
        <f>IFERROR((((COUNTIF('Elève (5ème1)'!DQ15:DT15,"A"))*4)+((COUNTIF('Elève (5ème1)'!DQ15:DT15,"B"))*3)+((COUNTIF('Elève (5ème1)'!DQ15:DT15,"C"))*2)+((COUNTIF('Elève (5ème1)'!DQ15:DT15,"D"))*1))/(COUNTA(DQ15:DT15)),"")</f>
        <v/>
      </c>
      <c r="DV15" s="185" t="str">
        <f t="shared" si="26"/>
        <v/>
      </c>
      <c r="DW15" s="209">
        <f>IF(COUNT(DJ15,DO15,DU15)=0,"",SUM(DJ15,DO15,DU15)/COUNT(DJ15,DO15,DU15))</f>
        <v>4</v>
      </c>
      <c r="DX15" s="207" t="str">
        <f t="shared" si="27"/>
        <v>A</v>
      </c>
      <c r="DY15" s="129"/>
      <c r="DZ15" s="130"/>
      <c r="EA15" s="131"/>
      <c r="EB15" s="184" t="str">
        <f>IFERROR((((COUNTIF('Elève (5ème1)'!DY15:EA15,"A"))*4)+((COUNTIF('Elève (5ème1)'!DY15:EA15,"B"))*3)+((COUNTIF('Elève (5ème1)'!DY15:EA15,"C"))*2)+((COUNTIF('Elève (5ème1)'!DY15:EA15,"D"))*1))/(COUNTA(DY15:EA15)),"")</f>
        <v/>
      </c>
      <c r="EC15" s="185" t="str">
        <f t="shared" si="28"/>
        <v/>
      </c>
      <c r="ED15" s="129"/>
      <c r="EE15" s="130"/>
      <c r="EF15" s="131"/>
      <c r="EG15" s="184" t="str">
        <f>IFERROR((((COUNTIF('Elève (5ème1)'!ED15:EF15,"A"))*4)+((COUNTIF('Elève (5ème1)'!ED15:EF15,"B"))*3)+((COUNTIF('Elève (5ème1)'!ED15:EF15,"C"))*2)+((COUNTIF('Elève (5ème1)'!ED15:EF15,"D"))*1))/(COUNTA(ED15:EF15)),"")</f>
        <v/>
      </c>
      <c r="EH15" s="185" t="str">
        <f t="shared" si="29"/>
        <v/>
      </c>
      <c r="EI15" s="129"/>
      <c r="EJ15" s="130"/>
      <c r="EK15" s="131" t="s">
        <v>27</v>
      </c>
      <c r="EL15" s="135"/>
      <c r="EM15" s="184">
        <f>IFERROR((((COUNTIF('Elève (5ème1)'!EI15:EL15,"A"))*4)+((COUNTIF('Elève (5ème1)'!EI15:EL15,"B"))*3)+((COUNTIF('Elève (5ème1)'!EI15:EL15,"C"))*2)+((COUNTIF('Elève (5ème1)'!EI15:EL15,"D"))*1))/(COUNTA(EI15:EL15)),"")</f>
        <v>4</v>
      </c>
      <c r="EN15" s="185" t="str">
        <f t="shared" si="30"/>
        <v>A</v>
      </c>
      <c r="EO15" s="209">
        <f>IF(COUNT(EB15,EG15,EM15)=0,"",SUM(EB15,EG15,EM15)/COUNT(EB15,EG15,EM15))</f>
        <v>4</v>
      </c>
      <c r="EP15" s="207" t="str">
        <f t="shared" si="31"/>
        <v>A</v>
      </c>
      <c r="EQ15" s="129"/>
      <c r="ER15" s="130"/>
      <c r="ES15" s="131"/>
      <c r="ET15" s="184" t="str">
        <f>IFERROR((((COUNTIF('Elève (5ème1)'!EQ15:ES15,"A"))*4)+((COUNTIF('Elève (5ème1)'!EQ15:ES15,"B"))*3)+((COUNTIF('Elève (5ème1)'!EQ15:ES15,"C"))*2)+((COUNTIF('Elève (5ème1)'!EQ15:ES15,"D"))*1))/(COUNTA(EQ15:ES15)),"")</f>
        <v/>
      </c>
      <c r="EU15" s="185" t="str">
        <f t="shared" si="32"/>
        <v/>
      </c>
      <c r="EV15" s="129"/>
      <c r="EW15" s="130" t="s">
        <v>27</v>
      </c>
      <c r="EX15" s="131" t="s">
        <v>27</v>
      </c>
      <c r="EY15" s="184">
        <f>IFERROR((((COUNTIF('Elève (5ème1)'!EV15:EX15,"A"))*4)+((COUNTIF('Elève (5ème1)'!EV15:EX15,"B"))*3)+((COUNTIF('Elève (5ème1)'!EV15:EX15,"C"))*2)+((COUNTIF('Elève (5ème1)'!EV15:EX15,"D"))*1))/(COUNTA(EV15:EX15)),"")</f>
        <v>4</v>
      </c>
      <c r="EZ15" s="185" t="str">
        <f t="shared" si="33"/>
        <v>A</v>
      </c>
      <c r="FA15" s="129"/>
      <c r="FB15" s="130"/>
      <c r="FC15" s="131" t="s">
        <v>27</v>
      </c>
      <c r="FD15" s="135"/>
      <c r="FE15" s="184">
        <f>IFERROR((((COUNTIF('Elève (5ème1)'!FA15:FD15,"A"))*4)+((COUNTIF('Elève (5ème1)'!FA15:FD15,"B"))*3)+((COUNTIF('Elève (5ème1)'!FA15:FD15,"C"))*2)+((COUNTIF('Elève (5ème1)'!FA15:FD15,"D"))*1))/(COUNTA(FA15:FD15)),"")</f>
        <v>4</v>
      </c>
      <c r="FF15" s="185" t="str">
        <f t="shared" si="34"/>
        <v>A</v>
      </c>
      <c r="FG15" s="209">
        <f>IF(COUNT(ET15,EY15,FE15)=0,"",SUM(ET15,EY15,FE15)/COUNT(ET15,EY15,FE15))</f>
        <v>4</v>
      </c>
      <c r="FH15" s="207" t="str">
        <f t="shared" si="35"/>
        <v>A</v>
      </c>
      <c r="FI15" s="129"/>
      <c r="FJ15" s="130"/>
      <c r="FK15" s="131"/>
      <c r="FL15" s="184" t="str">
        <f>IFERROR((((COUNTIF('Elève (5ème1)'!FI15:FK15,"A"))*4)+((COUNTIF('Elève (5ème1)'!FI15:FK15,"B"))*3)+((COUNTIF('Elève (5ème1)'!FI15:FK15,"C"))*2)+((COUNTIF('Elève (5ème1)'!FI15:FK15,"D"))*1))/(COUNTA(FI15:FK15)),"")</f>
        <v/>
      </c>
      <c r="FM15" s="185" t="str">
        <f t="shared" si="36"/>
        <v/>
      </c>
      <c r="FN15" s="129"/>
      <c r="FO15" s="130" t="s">
        <v>27</v>
      </c>
      <c r="FP15" s="131"/>
      <c r="FQ15" s="184">
        <f>IFERROR((((COUNTIF('Elève (5ème1)'!FN15:FP15,"A"))*4)+((COUNTIF('Elève (5ème1)'!FN15:FP15,"B"))*3)+((COUNTIF('Elève (5ème1)'!FN15:FP15,"C"))*2)+((COUNTIF('Elève (5ème1)'!FN15:FP15,"D"))*1))/(COUNTA(FN15:FP15)),"")</f>
        <v>4</v>
      </c>
      <c r="FR15" s="185" t="str">
        <f t="shared" si="37"/>
        <v>A</v>
      </c>
      <c r="FS15" s="129"/>
      <c r="FT15" s="130"/>
      <c r="FU15" s="131" t="s">
        <v>27</v>
      </c>
      <c r="FV15" s="135"/>
      <c r="FW15" s="184">
        <f>IFERROR((((COUNTIF('Elève (5ème1)'!FS15:FV15,"A"))*4)+((COUNTIF('Elève (5ème1)'!FS15:FV15,"B"))*3)+((COUNTIF('Elève (5ème1)'!FS15:FV15,"C"))*2)+((COUNTIF('Elève (5ème1)'!FS15:FV15,"D"))*1))/(COUNTA(FS15:FV15)),"")</f>
        <v>4</v>
      </c>
      <c r="FX15" s="185" t="str">
        <f t="shared" si="38"/>
        <v>A</v>
      </c>
      <c r="FY15" s="209">
        <f>IF(COUNT(FL15,FQ15,FW15)=0,"",SUM(FL15,FQ15,FW15)/COUNT(FL15,FQ15,FW15))</f>
        <v>4</v>
      </c>
      <c r="FZ15" s="207" t="str">
        <f t="shared" si="39"/>
        <v>A</v>
      </c>
      <c r="GA15" s="129"/>
      <c r="GB15" s="130"/>
      <c r="GC15" s="131"/>
      <c r="GD15" s="184" t="str">
        <f>IFERROR((((COUNTIF('Elève (5ème1)'!GA15:GC15,"A"))*4)+((COUNTIF('Elève (5ème1)'!GA15:GC15,"B"))*3)+((COUNTIF('Elève (5ème1)'!GA15:GC15,"C"))*2)+((COUNTIF('Elève (5ème1)'!GA15:GC15,"D"))*1))/(COUNTA(GA15:GC15)),"")</f>
        <v/>
      </c>
      <c r="GE15" s="185" t="str">
        <f t="shared" si="40"/>
        <v/>
      </c>
      <c r="GF15" s="129"/>
      <c r="GG15" s="130" t="s">
        <v>27</v>
      </c>
      <c r="GH15" s="131" t="s">
        <v>29</v>
      </c>
      <c r="GI15" s="184">
        <f>IFERROR((((COUNTIF('Elève (5ème1)'!GF15:GH15,"A"))*4)+((COUNTIF('Elève (5ème1)'!GF15:GH15,"B"))*3)+((COUNTIF('Elève (5ème1)'!GF15:GH15,"C"))*2)+((COUNTIF('Elève (5ème1)'!GF15:GH15,"D"))*1))/(COUNTA(GF15:GH15)),"")</f>
        <v>3</v>
      </c>
      <c r="GJ15" s="185" t="str">
        <f t="shared" si="41"/>
        <v>B</v>
      </c>
      <c r="GK15" s="129"/>
      <c r="GL15" s="130"/>
      <c r="GM15" s="131" t="s">
        <v>27</v>
      </c>
      <c r="GN15" s="135"/>
      <c r="GO15" s="184">
        <f>IFERROR((((COUNTIF('Elève (5ème1)'!GK15:GN15,"A"))*4)+((COUNTIF('Elève (5ème1)'!GK15:GN15,"B"))*3)+((COUNTIF('Elève (5ème1)'!GK15:GN15,"C"))*2)+((COUNTIF('Elève (5ème1)'!GK15:GN15,"D"))*1))/(COUNTA(GK15:GN15)),"")</f>
        <v>4</v>
      </c>
      <c r="GP15" s="185" t="str">
        <f t="shared" si="42"/>
        <v>A</v>
      </c>
      <c r="GQ15" s="209">
        <f>IF(COUNT(GD15,GI15,GO15)=0,"",SUM(GD15,GI15,GO15)/COUNT(GD15,GI15,GO15))</f>
        <v>3.5</v>
      </c>
      <c r="GR15" s="207" t="str">
        <f t="shared" si="43"/>
        <v>B</v>
      </c>
      <c r="GS15" s="129"/>
      <c r="GT15" s="130"/>
      <c r="GU15" s="131"/>
      <c r="GV15" s="184" t="str">
        <f>IFERROR((((COUNTIF('Elève (5ème1)'!GS15:GU15,"A"))*4)+((COUNTIF('Elève (5ème1)'!GS15:GU15,"B"))*3)+((COUNTIF('Elève (5ème1)'!GS15:GU15,"C"))*2)+((COUNTIF('Elève (5ème1)'!GS15:GU15,"D"))*1))/(COUNTA(GS15:GU15)),"")</f>
        <v/>
      </c>
      <c r="GW15" s="185" t="str">
        <f t="shared" si="44"/>
        <v/>
      </c>
      <c r="GX15" s="129"/>
      <c r="GY15" s="130" t="s">
        <v>27</v>
      </c>
      <c r="GZ15" s="131" t="s">
        <v>27</v>
      </c>
      <c r="HA15" s="184">
        <f>IFERROR((((COUNTIF('Elève (5ème1)'!GX15:GZ15,"A"))*4)+((COUNTIF('Elève (5ème1)'!GX15:GZ15,"B"))*3)+((COUNTIF('Elève (5ème1)'!GX15:GZ15,"C"))*2)+((COUNTIF('Elève (5ème1)'!GX15:GZ15,"D"))*1))/(COUNTA(GX15:GZ15)),"")</f>
        <v>4</v>
      </c>
      <c r="HB15" s="185" t="str">
        <f t="shared" si="45"/>
        <v>A</v>
      </c>
      <c r="HC15" s="129"/>
      <c r="HD15" s="130"/>
      <c r="HE15" s="131" t="s">
        <v>27</v>
      </c>
      <c r="HF15" s="135"/>
      <c r="HG15" s="184">
        <f>IFERROR((((COUNTIF('Elève (5ème1)'!HC15:HF15,"A"))*4)+((COUNTIF('Elève (5ème1)'!HC15:HF15,"B"))*3)+((COUNTIF('Elève (5ème1)'!HC15:HF15,"C"))*2)+((COUNTIF('Elève (5ème1)'!HC15:HF15,"D"))*1))/(COUNTA(HC15:HF15)),"")</f>
        <v>4</v>
      </c>
      <c r="HH15" s="185" t="str">
        <f t="shared" si="46"/>
        <v>A</v>
      </c>
      <c r="HI15" s="209">
        <f>IF(COUNT(GV15,HA15,HG15)=0,"",SUM(GV15,HA15,HG15)/COUNT(GV15,HA15,HG15))</f>
        <v>4</v>
      </c>
      <c r="HJ15" s="207" t="str">
        <f t="shared" si="47"/>
        <v>A</v>
      </c>
      <c r="HK15" s="129"/>
      <c r="HL15" s="130"/>
      <c r="HM15" s="131"/>
      <c r="HN15" s="184" t="str">
        <f>IFERROR((((COUNTIF('Elève (5ème1)'!HK15:HM15,"A"))*4)+((COUNTIF('Elève (5ème1)'!HK15:HM15,"B"))*3)+((COUNTIF('Elève (5ème1)'!HK15:HM15,"C"))*2)+((COUNTIF('Elève (5ème1)'!HK15:HM15,"D"))*1))/(COUNTA(HK15:HM15)),"")</f>
        <v/>
      </c>
      <c r="HO15" s="185" t="str">
        <f t="shared" si="48"/>
        <v/>
      </c>
      <c r="HP15" s="129"/>
      <c r="HQ15" s="130" t="s">
        <v>27</v>
      </c>
      <c r="HR15" s="131" t="s">
        <v>28</v>
      </c>
      <c r="HS15" s="184">
        <f>IFERROR((((COUNTIF('Elève (5ème1)'!HP15:HR15,"A"))*4)+((COUNTIF('Elève (5ème1)'!HP15:HR15,"B"))*3)+((COUNTIF('Elève (5ème1)'!HP15:HR15,"C"))*2)+((COUNTIF('Elève (5ème1)'!HP15:HR15,"D"))*1))/(COUNTA(HP15:HR15)),"")</f>
        <v>3.5</v>
      </c>
      <c r="HT15" s="185" t="str">
        <f t="shared" si="49"/>
        <v>B</v>
      </c>
      <c r="HU15" s="129"/>
      <c r="HV15" s="130"/>
      <c r="HW15" s="131" t="s">
        <v>27</v>
      </c>
      <c r="HX15" s="135"/>
      <c r="HY15" s="184">
        <f>IFERROR((((COUNTIF('Elève (5ème1)'!HU15:HX15,"A"))*4)+((COUNTIF('Elève (5ème1)'!HU15:HX15,"B"))*3)+((COUNTIF('Elève (5ème1)'!HU15:HX15,"C"))*2)+((COUNTIF('Elève (5ème1)'!HU15:HX15,"D"))*1))/(COUNTA(HU15:HX15)),"")</f>
        <v>4</v>
      </c>
      <c r="HZ15" s="185" t="str">
        <f t="shared" si="50"/>
        <v>A</v>
      </c>
      <c r="IA15" s="209">
        <f>IF(COUNT(HN15,HS15,HY15)=0,"",SUM(HN15,HS15,HY15)/COUNT(HN15,HS15,HY15))</f>
        <v>3.75</v>
      </c>
      <c r="IB15" s="207" t="str">
        <f t="shared" si="51"/>
        <v>A</v>
      </c>
      <c r="IC15" s="129"/>
      <c r="ID15" s="130"/>
      <c r="IE15" s="131"/>
      <c r="IF15" s="184" t="str">
        <f>IFERROR((((COUNTIF('Elève (5ème1)'!IC15:IE15,"A"))*4)+((COUNTIF('Elève (5ème1)'!IC15:IE15,"B"))*3)+((COUNTIF('Elève (5ème1)'!IC15:IE15,"C"))*2)+((COUNTIF('Elève (5ème1)'!IC15:IE15,"D"))*1))/(COUNTA(IC15:IE15)),"")</f>
        <v/>
      </c>
      <c r="IG15" s="185" t="str">
        <f t="shared" si="52"/>
        <v/>
      </c>
      <c r="IH15" s="129"/>
      <c r="II15" s="130" t="s">
        <v>27</v>
      </c>
      <c r="IJ15" s="131" t="s">
        <v>27</v>
      </c>
      <c r="IK15" s="184">
        <f>IFERROR((((COUNTIF('Elève (5ème1)'!IH15:IJ15,"A"))*4)+((COUNTIF('Elève (5ème1)'!IH15:IJ15,"B"))*3)+((COUNTIF('Elève (5ème1)'!IH15:IJ15,"C"))*2)+((COUNTIF('Elève (5ème1)'!IH15:IJ15,"D"))*1))/(COUNTA(IH15:IJ15)),"")</f>
        <v>4</v>
      </c>
      <c r="IL15" s="185" t="str">
        <f t="shared" si="53"/>
        <v>A</v>
      </c>
      <c r="IM15" s="129"/>
      <c r="IN15" s="130"/>
      <c r="IO15" s="131" t="s">
        <v>27</v>
      </c>
      <c r="IP15" s="135"/>
      <c r="IQ15" s="184">
        <f>IFERROR((((COUNTIF('Elève (5ème1)'!IM15:IP15,"A"))*4)+((COUNTIF('Elève (5ème1)'!IM15:IP15,"B"))*3)+((COUNTIF('Elève (5ème1)'!IM15:IP15,"C"))*2)+((COUNTIF('Elève (5ème1)'!IM15:IP15,"D"))*1))/(COUNTA(IM15:IP15)),"")</f>
        <v>4</v>
      </c>
      <c r="IR15" s="185" t="str">
        <f t="shared" si="54"/>
        <v>A</v>
      </c>
      <c r="IS15" s="209">
        <f>IF(COUNT(IF15,IK15,IQ15)=0,"",SUM(IF15,IK15,IQ15)/COUNT(IF15,IK15,IQ15))</f>
        <v>4</v>
      </c>
      <c r="IT15" s="207" t="str">
        <f t="shared" si="55"/>
        <v>A</v>
      </c>
      <c r="IU15" s="129"/>
      <c r="IV15" s="130"/>
      <c r="IW15" s="131"/>
      <c r="IX15" s="184" t="str">
        <f>IFERROR((((COUNTIF('Elève (5ème1)'!IU15:IW15,"A"))*4)+((COUNTIF('Elève (5ème1)'!IU15:IW15,"B"))*3)+((COUNTIF('Elève (5ème1)'!IU15:IW15,"C"))*2)+((COUNTIF('Elève (5ème1)'!IU15:IW15,"D"))*1))/(COUNTA(IU15:IW15)),"")</f>
        <v/>
      </c>
      <c r="IY15" s="185" t="str">
        <f t="shared" si="56"/>
        <v/>
      </c>
      <c r="IZ15" s="129"/>
      <c r="JA15" s="130" t="s">
        <v>27</v>
      </c>
      <c r="JB15" s="131" t="s">
        <v>29</v>
      </c>
      <c r="JC15" s="184">
        <f>IFERROR((((COUNTIF('Elève (5ème1)'!IZ15:JB15,"A"))*4)+((COUNTIF('Elève (5ème1)'!IZ15:JB15,"B"))*3)+((COUNTIF('Elève (5ème1)'!IZ15:JB15,"C"))*2)+((COUNTIF('Elève (5ème1)'!IZ15:JB15,"D"))*1))/(COUNTA(IZ15:JB15)),"")</f>
        <v>3</v>
      </c>
      <c r="JD15" s="185" t="str">
        <f t="shared" si="57"/>
        <v>B</v>
      </c>
      <c r="JE15" s="129"/>
      <c r="JF15" s="130"/>
      <c r="JG15" s="131" t="s">
        <v>27</v>
      </c>
      <c r="JH15" s="135"/>
      <c r="JI15" s="184">
        <f>IFERROR((((COUNTIF('Elève (5ème1)'!JE15:JH15,"A"))*4)+((COUNTIF('Elève (5ème1)'!JE15:JH15,"B"))*3)+((COUNTIF('Elève (5ème1)'!JE15:JH15,"C"))*2)+((COUNTIF('Elève (5ème1)'!JE15:JH15,"D"))*1))/(COUNTA(JE15:JH15)),"")</f>
        <v>4</v>
      </c>
      <c r="JJ15" s="185" t="str">
        <f t="shared" si="58"/>
        <v>A</v>
      </c>
      <c r="JK15" s="209">
        <f>IF(COUNT(IX15,JC15,JI15)=0,"",SUM(IX15,JC15,JI15)/COUNT(IX15,JC15,JI15))</f>
        <v>3.5</v>
      </c>
      <c r="JL15" s="207" t="str">
        <f t="shared" si="59"/>
        <v>B</v>
      </c>
      <c r="JM15" s="129"/>
      <c r="JN15" s="130"/>
      <c r="JO15" s="131"/>
      <c r="JP15" s="184" t="str">
        <f>IFERROR((((COUNTIF('Elève (5ème1)'!JM15:JO15,"A"))*4)+((COUNTIF('Elève (5ème1)'!JM15:JO15,"B"))*3)+((COUNTIF('Elève (5ème1)'!JM15:JO15,"C"))*2)+((COUNTIF('Elève (5ème1)'!JM15:JO15,"D"))*1))/(COUNTA(JM15:JO15)),"")</f>
        <v/>
      </c>
      <c r="JQ15" s="185" t="str">
        <f t="shared" si="60"/>
        <v/>
      </c>
      <c r="JR15" s="129"/>
      <c r="JS15" s="130" t="s">
        <v>27</v>
      </c>
      <c r="JT15" s="131"/>
      <c r="JU15" s="184">
        <f>IFERROR((((COUNTIF('Elève (5ème1)'!JR15:JT15,"A"))*4)+((COUNTIF('Elève (5ème1)'!JR15:JT15,"B"))*3)+((COUNTIF('Elève (5ème1)'!JR15:JT15,"C"))*2)+((COUNTIF('Elève (5ème1)'!JR15:JT15,"D"))*1))/(COUNTA(JR15:JT15)),"")</f>
        <v>4</v>
      </c>
      <c r="JV15" s="185" t="str">
        <f t="shared" si="61"/>
        <v>A</v>
      </c>
      <c r="JW15" s="129"/>
      <c r="JX15" s="130"/>
      <c r="JY15" s="131" t="s">
        <v>27</v>
      </c>
      <c r="JZ15" s="135" t="s">
        <v>27</v>
      </c>
      <c r="KA15" s="184">
        <f>IFERROR((((COUNTIF('Elève (5ème1)'!JW15:JZ15,"A"))*4)+((COUNTIF('Elève (5ème1)'!JW15:JZ15,"B"))*3)+((COUNTIF('Elève (5ème1)'!JW15:JZ15,"C"))*2)+((COUNTIF('Elève (5ème1)'!JW15:JZ15,"D"))*1))/(COUNTA(JW15:JZ15)),"")</f>
        <v>4</v>
      </c>
      <c r="KB15" s="185" t="str">
        <f t="shared" si="62"/>
        <v>A</v>
      </c>
      <c r="KC15" s="209">
        <f>IF(COUNT(JP15,JU15,KA15)=0,"",SUM(JP15,JU15,KA15)/COUNT(JP15,JU15,KA15))</f>
        <v>4</v>
      </c>
      <c r="KD15" s="207" t="str">
        <f t="shared" si="63"/>
        <v>A</v>
      </c>
      <c r="KE15" s="129"/>
      <c r="KF15" s="130"/>
      <c r="KG15" s="131"/>
      <c r="KH15" s="184" t="str">
        <f>IFERROR((((COUNTIF('Elève (5ème1)'!KE15:KG15,"A"))*4)+((COUNTIF('Elève (5ème1)'!KE15:KG15,"B"))*3)+((COUNTIF('Elève (5ème1)'!KE15:KG15,"C"))*2)+((COUNTIF('Elève (5ème1)'!KE15:KG15,"D"))*1))/(COUNTA(KE15:KG15)),"")</f>
        <v/>
      </c>
      <c r="KI15" s="185" t="str">
        <f t="shared" si="64"/>
        <v/>
      </c>
      <c r="KJ15" s="129"/>
      <c r="KK15" s="130" t="s">
        <v>27</v>
      </c>
      <c r="KL15" s="131" t="s">
        <v>27</v>
      </c>
      <c r="KM15" s="184">
        <f>IFERROR((((COUNTIF('Elève (5ème1)'!KJ15:KL15,"A"))*4)+((COUNTIF('Elève (5ème1)'!KJ15:KL15,"B"))*3)+((COUNTIF('Elève (5ème1)'!KJ15:KL15,"C"))*2)+((COUNTIF('Elève (5ème1)'!KJ15:KL15,"D"))*1))/(COUNTA(KJ15:KL15)),"")</f>
        <v>4</v>
      </c>
      <c r="KN15" s="185" t="str">
        <f t="shared" si="65"/>
        <v>A</v>
      </c>
      <c r="KO15" s="129"/>
      <c r="KP15" s="130"/>
      <c r="KQ15" s="131"/>
      <c r="KR15" s="135"/>
      <c r="KS15" s="184" t="str">
        <f>IFERROR((((COUNTIF('Elève (5ème1)'!KO15:KR15,"A"))*4)+((COUNTIF('Elève (5ème1)'!KO15:KR15,"B"))*3)+((COUNTIF('Elève (5ème1)'!KO15:KR15,"C"))*2)+((COUNTIF('Elève (5ème1)'!KO15:KR15,"D"))*1))/(COUNTA(KO15:KR15)),"")</f>
        <v/>
      </c>
      <c r="KT15" s="185" t="str">
        <f t="shared" si="66"/>
        <v/>
      </c>
      <c r="KU15" s="209">
        <f>IF(COUNT(KH15,KM15,KS15)=0,"",SUM(KH15,KM15,KS15)/COUNT(KH15,KM15,KS15))</f>
        <v>4</v>
      </c>
      <c r="KV15" s="207" t="str">
        <f t="shared" si="67"/>
        <v>A</v>
      </c>
      <c r="KW15" s="129"/>
      <c r="KX15" s="130"/>
      <c r="KY15" s="131"/>
      <c r="KZ15" s="184" t="str">
        <f>IFERROR((((COUNTIF('Elève (5ème1)'!KW15:KY15,"A"))*4)+((COUNTIF('Elève (5ème1)'!KW15:KY15,"B"))*3)+((COUNTIF('Elève (5ème1)'!KW15:KY15,"C"))*2)+((COUNTIF('Elève (5ème1)'!KW15:KY15,"D"))*1))/(COUNTA(KW15:KY15)),"")</f>
        <v/>
      </c>
      <c r="LA15" s="185" t="str">
        <f t="shared" si="68"/>
        <v/>
      </c>
      <c r="LB15" s="129"/>
      <c r="LC15" s="130" t="s">
        <v>27</v>
      </c>
      <c r="LD15" s="131" t="s">
        <v>27</v>
      </c>
      <c r="LE15" s="184">
        <f>IFERROR((((COUNTIF('Elève (5ème1)'!LB15:LD15,"A"))*4)+((COUNTIF('Elève (5ème1)'!LB15:LD15,"B"))*3)+((COUNTIF('Elève (5ème1)'!LB15:LD15,"C"))*2)+((COUNTIF('Elève (5ème1)'!LB15:LD15,"D"))*1))/(COUNTA(LB15:LD15)),"")</f>
        <v>4</v>
      </c>
      <c r="LF15" s="185" t="str">
        <f t="shared" si="69"/>
        <v>A</v>
      </c>
      <c r="LG15" s="129"/>
      <c r="LH15" s="130"/>
      <c r="LI15" s="131" t="s">
        <v>27</v>
      </c>
      <c r="LJ15" s="135"/>
      <c r="LK15" s="184">
        <f>IFERROR((((COUNTIF('Elève (5ème1)'!LG15:LJ15,"A"))*4)+((COUNTIF('Elève (5ème1)'!LG15:LJ15,"B"))*3)+((COUNTIF('Elève (5ème1)'!LG15:LJ15,"C"))*2)+((COUNTIF('Elève (5ème1)'!LG15:LJ15,"D"))*1))/(COUNTA(LG15:LJ15)),"")</f>
        <v>4</v>
      </c>
      <c r="LL15" s="185" t="str">
        <f t="shared" si="70"/>
        <v>A</v>
      </c>
      <c r="LM15" s="209">
        <f>IF(COUNT(KZ15,LE15,LK15)=0,"",SUM(KZ15,LE15,LK15)/COUNT(KZ15,LE15,LK15))</f>
        <v>4</v>
      </c>
      <c r="LN15" s="207" t="str">
        <f t="shared" si="71"/>
        <v>A</v>
      </c>
      <c r="LO15" s="129"/>
      <c r="LP15" s="130"/>
      <c r="LQ15" s="131"/>
      <c r="LR15" s="184" t="str">
        <f>IFERROR((((COUNTIF('Elève (5ème1)'!LO15:LQ15,"A"))*4)+((COUNTIF('Elève (5ème1)'!LO15:LQ15,"B"))*3)+((COUNTIF('Elève (5ème1)'!LO15:LQ15,"C"))*2)+((COUNTIF('Elève (5ème1)'!LO15:LQ15,"D"))*1))/(COUNTA(LO15:LQ15)),"")</f>
        <v/>
      </c>
      <c r="LS15" s="185" t="str">
        <f t="shared" si="72"/>
        <v/>
      </c>
      <c r="LT15" s="129"/>
      <c r="LU15" s="130" t="s">
        <v>27</v>
      </c>
      <c r="LV15" s="131" t="s">
        <v>27</v>
      </c>
      <c r="LW15" s="184">
        <f>IFERROR((((COUNTIF('Elève (5ème1)'!LT15:LV15,"A"))*4)+((COUNTIF('Elève (5ème1)'!LT15:LV15,"B"))*3)+((COUNTIF('Elève (5ème1)'!LT15:LV15,"C"))*2)+((COUNTIF('Elève (5ème1)'!LT15:LV15,"D"))*1))/(COUNTA(LT15:LV15)),"")</f>
        <v>4</v>
      </c>
      <c r="LX15" s="185" t="str">
        <f t="shared" si="73"/>
        <v>A</v>
      </c>
      <c r="LY15" s="129"/>
      <c r="LZ15" s="130"/>
      <c r="MA15" s="131" t="s">
        <v>27</v>
      </c>
      <c r="MB15" s="135"/>
      <c r="MC15" s="184">
        <f>IFERROR((((COUNTIF('Elève (5ème1)'!LY15:MB15,"A"))*4)+((COUNTIF('Elève (5ème1)'!LY15:MB15,"B"))*3)+((COUNTIF('Elève (5ème1)'!LY15:MB15,"C"))*2)+((COUNTIF('Elève (5ème1)'!LY15:MB15,"D"))*1))/(COUNTA(LY15:MB15)),"")</f>
        <v>4</v>
      </c>
      <c r="MD15" s="185" t="str">
        <f t="shared" si="74"/>
        <v>A</v>
      </c>
      <c r="ME15" s="209">
        <f>IF(COUNT(LR15,LW15,MC15)=0,"",SUM(LR15,LW15,MC15)/COUNT(LR15,LW15,MC15))</f>
        <v>4</v>
      </c>
      <c r="MF15" s="207" t="str">
        <f t="shared" si="75"/>
        <v>A</v>
      </c>
      <c r="MG15" s="129"/>
      <c r="MH15" s="130"/>
      <c r="MI15" s="131"/>
      <c r="MJ15" s="184" t="str">
        <f>IFERROR((((COUNTIF('Elève (5ème1)'!MG15:MI15,"A"))*4)+((COUNTIF('Elève (5ème1)'!MG15:MI15,"B"))*3)+((COUNTIF('Elève (5ème1)'!MG15:MI15,"C"))*2)+((COUNTIF('Elève (5ème1)'!MG15:MI15,"D"))*1))/(COUNTA(MG15:MI15)),"")</f>
        <v/>
      </c>
      <c r="MK15" s="185" t="str">
        <f t="shared" si="76"/>
        <v/>
      </c>
      <c r="ML15" s="129"/>
      <c r="MM15" s="130" t="s">
        <v>27</v>
      </c>
      <c r="MN15" s="131" t="s">
        <v>27</v>
      </c>
      <c r="MO15" s="184">
        <f>IFERROR((((COUNTIF('Elève (5ème1)'!ML15:MN15,"A"))*4)+((COUNTIF('Elève (5ème1)'!ML15:MN15,"B"))*3)+((COUNTIF('Elève (5ème1)'!ML15:MN15,"C"))*2)+((COUNTIF('Elève (5ème1)'!ML15:MN15,"D"))*1))/(COUNTA(ML15:MN15)),"")</f>
        <v>4</v>
      </c>
      <c r="MP15" s="185" t="str">
        <f t="shared" si="77"/>
        <v>A</v>
      </c>
      <c r="MQ15" s="129"/>
      <c r="MR15" s="130"/>
      <c r="MS15" s="131" t="s">
        <v>27</v>
      </c>
      <c r="MT15" s="135"/>
      <c r="MU15" s="184">
        <f>IFERROR((((COUNTIF('Elève (5ème1)'!MQ15:MT15,"A"))*4)+((COUNTIF('Elève (5ème1)'!MQ15:MT15,"B"))*3)+((COUNTIF('Elève (5ème1)'!MQ15:MT15,"C"))*2)+((COUNTIF('Elève (5ème1)'!MQ15:MT15,"D"))*1))/(COUNTA(MQ15:MT15)),"")</f>
        <v>4</v>
      </c>
      <c r="MV15" s="185" t="str">
        <f t="shared" si="78"/>
        <v>A</v>
      </c>
      <c r="MW15" s="209">
        <f>IF(COUNT(MJ15,MO15,MU15)=0,"",SUM(MJ15,MO15,MU15)/COUNT(MJ15,MO15,MU15))</f>
        <v>4</v>
      </c>
      <c r="MX15" s="207" t="str">
        <f t="shared" si="79"/>
        <v>A</v>
      </c>
      <c r="MY15" s="129"/>
      <c r="MZ15" s="130"/>
      <c r="NA15" s="131"/>
      <c r="NB15" s="184" t="str">
        <f>IFERROR((((COUNTIF('Elève (5ème1)'!MY15:NA15,"A"))*4)+((COUNTIF('Elève (5ème1)'!MY15:NA15,"B"))*3)+((COUNTIF('Elève (5ème1)'!MY15:NA15,"C"))*2)+((COUNTIF('Elève (5ème1)'!MY15:NA15,"D"))*1))/(COUNTA(MY15:NA15)),"")</f>
        <v/>
      </c>
      <c r="NC15" s="185" t="str">
        <f t="shared" si="80"/>
        <v/>
      </c>
      <c r="ND15" s="129"/>
      <c r="NE15" s="130" t="s">
        <v>29</v>
      </c>
      <c r="NF15" s="131" t="s">
        <v>29</v>
      </c>
      <c r="NG15" s="184">
        <f>IFERROR((((COUNTIF('Elève (5ème1)'!ND15:NF15,"A"))*4)+((COUNTIF('Elève (5ème1)'!ND15:NF15,"B"))*3)+((COUNTIF('Elève (5ème1)'!ND15:NF15,"C"))*2)+((COUNTIF('Elève (5ème1)'!ND15:NF15,"D"))*1))/(COUNTA(ND15:NF15)),"")</f>
        <v>2</v>
      </c>
      <c r="NH15" s="185" t="str">
        <f t="shared" si="81"/>
        <v>C</v>
      </c>
      <c r="NI15" s="129"/>
      <c r="NJ15" s="130"/>
      <c r="NK15" s="131" t="s">
        <v>27</v>
      </c>
      <c r="NL15" s="135"/>
      <c r="NM15" s="184">
        <f>IFERROR((((COUNTIF('Elève (5ème1)'!NI15:NL15,"A"))*4)+((COUNTIF('Elève (5ème1)'!NI15:NL15,"B"))*3)+((COUNTIF('Elève (5ème1)'!NI15:NL15,"C"))*2)+((COUNTIF('Elève (5ème1)'!NI15:NL15,"D"))*1))/(COUNTA(NI15:NL15)),"")</f>
        <v>4</v>
      </c>
      <c r="NN15" s="185" t="str">
        <f t="shared" si="82"/>
        <v>A</v>
      </c>
      <c r="NO15" s="209">
        <f>IF(COUNT(NB15,NG15,NM15)=0,"",SUM(NB15,NG15,NM15)/COUNT(NB15,NG15,NM15))</f>
        <v>3</v>
      </c>
      <c r="NP15" s="207" t="str">
        <f t="shared" si="83"/>
        <v>B</v>
      </c>
      <c r="NQ15" s="129"/>
      <c r="NR15" s="130"/>
      <c r="NS15" s="131"/>
      <c r="NT15" s="184" t="str">
        <f>IFERROR((((COUNTIF('Elève (5ème1)'!NQ15:NS15,"A"))*4)+((COUNTIF('Elève (5ème1)'!NQ15:NS15,"B"))*3)+((COUNTIF('Elève (5ème1)'!NQ15:NS15,"C"))*2)+((COUNTIF('Elève (5ème1)'!NQ15:NS15,"D"))*1))/(COUNTA(NQ15:NS15)),"")</f>
        <v/>
      </c>
      <c r="NU15" s="185" t="str">
        <f t="shared" si="84"/>
        <v/>
      </c>
      <c r="NV15" s="129"/>
      <c r="NW15" s="130" t="s">
        <v>27</v>
      </c>
      <c r="NX15" s="131" t="s">
        <v>27</v>
      </c>
      <c r="NY15" s="184">
        <f>IFERROR((((COUNTIF('Elève (5ème1)'!NV15:NX15,"A"))*4)+((COUNTIF('Elève (5ème1)'!NV15:NX15,"B"))*3)+((COUNTIF('Elève (5ème1)'!NV15:NX15,"C"))*2)+((COUNTIF('Elève (5ème1)'!NV15:NX15,"D"))*1))/(COUNTA(NV15:NX15)),"")</f>
        <v>4</v>
      </c>
      <c r="NZ15" s="185" t="str">
        <f t="shared" si="85"/>
        <v>A</v>
      </c>
      <c r="OA15" s="129"/>
      <c r="OB15" s="130"/>
      <c r="OC15" s="131" t="s">
        <v>27</v>
      </c>
      <c r="OD15" s="135"/>
      <c r="OE15" s="184">
        <f>IFERROR((((COUNTIF('Elève (5ème1)'!OA15:OD15,"A"))*4)+((COUNTIF('Elève (5ème1)'!OA15:OD15,"B"))*3)+((COUNTIF('Elève (5ème1)'!OA15:OD15,"C"))*2)+((COUNTIF('Elève (5ème1)'!OA15:OD15,"D"))*1))/(COUNTA(OA15:OD15)),"")</f>
        <v>4</v>
      </c>
      <c r="OF15" s="185" t="str">
        <f t="shared" si="86"/>
        <v>A</v>
      </c>
      <c r="OG15" s="209">
        <f>IF(COUNT(NT15,NY15,OE15)=0,"",SUM(NT15,NY15,OE15)/COUNT(NT15,NY15,OE15))</f>
        <v>4</v>
      </c>
      <c r="OH15" s="207" t="str">
        <f t="shared" si="87"/>
        <v>A</v>
      </c>
      <c r="OI15" s="129"/>
      <c r="OJ15" s="130"/>
      <c r="OK15" s="131"/>
      <c r="OL15" s="184" t="str">
        <f>IFERROR((((COUNTIF('Elève (5ème1)'!OI15:OK15,"A"))*4)+((COUNTIF('Elève (5ème1)'!OI15:OK15,"B"))*3)+((COUNTIF('Elève (5ème1)'!OI15:OK15,"C"))*2)+((COUNTIF('Elève (5ème1)'!OI15:OK15,"D"))*1))/(COUNTA(OI15:OK15)),"")</f>
        <v/>
      </c>
      <c r="OM15" s="185" t="str">
        <f t="shared" si="88"/>
        <v/>
      </c>
      <c r="ON15" s="129"/>
      <c r="OO15" s="130" t="s">
        <v>27</v>
      </c>
      <c r="OP15" s="131" t="s">
        <v>27</v>
      </c>
      <c r="OQ15" s="184">
        <f>IFERROR((((COUNTIF('Elève (5ème1)'!ON15:OP15,"A"))*4)+((COUNTIF('Elève (5ème1)'!ON15:OP15,"B"))*3)+((COUNTIF('Elève (5ème1)'!ON15:OP15,"C"))*2)+((COUNTIF('Elève (5ème1)'!ON15:OP15,"D"))*1))/(COUNTA(ON15:OP15)),"")</f>
        <v>4</v>
      </c>
      <c r="OR15" s="185" t="str">
        <f t="shared" si="89"/>
        <v>A</v>
      </c>
      <c r="OS15" s="129"/>
      <c r="OT15" s="130"/>
      <c r="OU15" s="131" t="s">
        <v>27</v>
      </c>
      <c r="OV15" s="135"/>
      <c r="OW15" s="184">
        <f>IFERROR((((COUNTIF('Elève (5ème1)'!OS15:OV15,"A"))*4)+((COUNTIF('Elève (5ème1)'!OS15:OV15,"B"))*3)+((COUNTIF('Elève (5ème1)'!OS15:OV15,"C"))*2)+((COUNTIF('Elève (5ème1)'!OS15:OV15,"D"))*1))/(COUNTA(OS15:OV15)),"")</f>
        <v>4</v>
      </c>
      <c r="OX15" s="185" t="str">
        <f t="shared" si="90"/>
        <v>A</v>
      </c>
      <c r="OY15" s="209">
        <f>IF(COUNT(OL15,OQ15,OW15)=0,"",SUM(OL15,OQ15,OW15)/COUNT(OL15,OQ15,OW15))</f>
        <v>4</v>
      </c>
      <c r="OZ15" s="207" t="str">
        <f t="shared" si="91"/>
        <v>A</v>
      </c>
      <c r="PA15" s="129"/>
      <c r="PB15" s="130"/>
      <c r="PC15" s="131"/>
      <c r="PD15" s="184" t="str">
        <f>IFERROR((((COUNTIF('Elève (5ème1)'!PA15:PC15,"A"))*4)+((COUNTIF('Elève (5ème1)'!PA15:PC15,"B"))*3)+((COUNTIF('Elève (5ème1)'!PA15:PC15,"C"))*2)+((COUNTIF('Elève (5ème1)'!PA15:PC15,"D"))*1))/(COUNTA(PA15:PC15)),"")</f>
        <v/>
      </c>
      <c r="PE15" s="185" t="str">
        <f t="shared" si="92"/>
        <v/>
      </c>
      <c r="PF15" s="129"/>
      <c r="PG15" s="130" t="s">
        <v>27</v>
      </c>
      <c r="PH15" s="131" t="s">
        <v>29</v>
      </c>
      <c r="PI15" s="184">
        <f>IFERROR((((COUNTIF('Elève (5ème1)'!PF15:PH15,"A"))*4)+((COUNTIF('Elève (5ème1)'!PF15:PH15,"B"))*3)+((COUNTIF('Elève (5ème1)'!PF15:PH15,"C"))*2)+((COUNTIF('Elève (5ème1)'!PF15:PH15,"D"))*1))/(COUNTA(PF15:PH15)),"")</f>
        <v>3</v>
      </c>
      <c r="PJ15" s="185" t="str">
        <f t="shared" si="93"/>
        <v>B</v>
      </c>
      <c r="PK15" s="129"/>
      <c r="PL15" s="130"/>
      <c r="PM15" s="131" t="s">
        <v>27</v>
      </c>
      <c r="PN15" s="135"/>
      <c r="PO15" s="184">
        <f>IFERROR((((COUNTIF('Elève (5ème1)'!PK15:PN15,"A"))*4)+((COUNTIF('Elève (5ème1)'!PK15:PN15,"B"))*3)+((COUNTIF('Elève (5ème1)'!PK15:PN15,"C"))*2)+((COUNTIF('Elève (5ème1)'!PK15:PN15,"D"))*1))/(COUNTA(PK15:PN15)),"")</f>
        <v>4</v>
      </c>
      <c r="PP15" s="185" t="str">
        <f t="shared" si="94"/>
        <v>A</v>
      </c>
      <c r="PQ15" s="209">
        <f>IF(COUNT(PD15,PI15,PO15)=0,"",SUM(PD15,PI15,PO15)/COUNT(PD15,PI15,PO15))</f>
        <v>3.5</v>
      </c>
      <c r="PR15" s="207" t="str">
        <f t="shared" si="95"/>
        <v>B</v>
      </c>
      <c r="PS15" s="129"/>
      <c r="PT15" s="130"/>
      <c r="PU15" s="131"/>
      <c r="PV15" s="184" t="str">
        <f>IFERROR((((COUNTIF('Elève (5ème1)'!PS15:PU15,"A"))*4)+((COUNTIF('Elève (5ème1)'!PS15:PU15,"B"))*3)+((COUNTIF('Elève (5ème1)'!PS15:PU15,"C"))*2)+((COUNTIF('Elève (5ème1)'!PS15:PU15,"D"))*1))/(COUNTA(PS15:PU15)),"")</f>
        <v/>
      </c>
      <c r="PW15" s="185" t="str">
        <f t="shared" si="96"/>
        <v/>
      </c>
      <c r="PX15" s="129"/>
      <c r="PY15" s="130"/>
      <c r="PZ15" s="131" t="s">
        <v>27</v>
      </c>
      <c r="QA15" s="184">
        <f>IFERROR((((COUNTIF('Elève (5ème1)'!PX15:PZ15,"A"))*4)+((COUNTIF('Elève (5ème1)'!PX15:PZ15,"B"))*3)+((COUNTIF('Elève (5ème1)'!PX15:PZ15,"C"))*2)+((COUNTIF('Elève (5ème1)'!PX15:PZ15,"D"))*1))/(COUNTA(PX15:PZ15)),"")</f>
        <v>4</v>
      </c>
      <c r="QB15" s="185" t="str">
        <f t="shared" si="97"/>
        <v>A</v>
      </c>
      <c r="QC15" s="129"/>
      <c r="QD15" s="130"/>
      <c r="QE15" s="131" t="s">
        <v>27</v>
      </c>
      <c r="QF15" s="135"/>
      <c r="QG15" s="184">
        <f>IFERROR((((COUNTIF('Elève (5ème1)'!QC15:QF15,"A"))*4)+((COUNTIF('Elève (5ème1)'!QC15:QF15,"B"))*3)+((COUNTIF('Elève (5ème1)'!QC15:QF15,"C"))*2)+((COUNTIF('Elève (5ème1)'!QC15:QF15,"D"))*1))/(COUNTA(QC15:QF15)),"")</f>
        <v>4</v>
      </c>
      <c r="QH15" s="185" t="str">
        <f t="shared" si="98"/>
        <v>A</v>
      </c>
      <c r="QI15" s="209">
        <f>IF(COUNT(PV15,QA15,QG15)=0,"",SUM(PV15,QA15,QG15)/COUNT(PV15,QA15,QG15))</f>
        <v>4</v>
      </c>
      <c r="QJ15" s="207" t="str">
        <f t="shared" si="99"/>
        <v>A</v>
      </c>
      <c r="QK15" s="129"/>
      <c r="QL15" s="130"/>
      <c r="QM15" s="131"/>
      <c r="QN15" s="184" t="str">
        <f>IFERROR((((COUNTIF('Elève (5ème1)'!QK15:QM15,"A"))*4)+((COUNTIF('Elève (5ème1)'!QK15:QM15,"B"))*3)+((COUNTIF('Elève (5ème1)'!QK15:QM15,"C"))*2)+((COUNTIF('Elève (5ème1)'!QK15:QM15,"D"))*1))/(COUNTA(QK15:QM15)),"")</f>
        <v/>
      </c>
      <c r="QO15" s="185" t="str">
        <f t="shared" si="100"/>
        <v/>
      </c>
      <c r="QP15" s="129"/>
      <c r="QQ15" s="130" t="s">
        <v>27</v>
      </c>
      <c r="QR15" s="131" t="s">
        <v>27</v>
      </c>
      <c r="QS15" s="184">
        <f>IFERROR((((COUNTIF('Elève (5ème1)'!QP15:QR15,"A"))*4)+((COUNTIF('Elève (5ème1)'!QP15:QR15,"B"))*3)+((COUNTIF('Elève (5ème1)'!QP15:QR15,"C"))*2)+((COUNTIF('Elève (5ème1)'!QP15:QR15,"D"))*1))/(COUNTA(QP15:QR15)),"")</f>
        <v>4</v>
      </c>
      <c r="QT15" s="185" t="str">
        <f t="shared" si="101"/>
        <v>A</v>
      </c>
      <c r="QU15" s="129"/>
      <c r="QV15" s="130"/>
      <c r="QW15" s="131" t="s">
        <v>27</v>
      </c>
      <c r="QX15" s="135"/>
      <c r="QY15" s="184">
        <f>IFERROR((((COUNTIF('Elève (5ème1)'!QU15:QX15,"A"))*4)+((COUNTIF('Elève (5ème1)'!QU15:QX15,"B"))*3)+((COUNTIF('Elève (5ème1)'!QU15:QX15,"C"))*2)+((COUNTIF('Elève (5ème1)'!QU15:QX15,"D"))*1))/(COUNTA(QU15:QX15)),"")</f>
        <v>4</v>
      </c>
      <c r="QZ15" s="185" t="str">
        <f t="shared" si="102"/>
        <v>A</v>
      </c>
      <c r="RA15" s="209">
        <f>IF(COUNT(QN15,QS15,QY15)=0,"",SUM(QN15,QS15,QY15)/COUNT(QN15,QS15,QY15))</f>
        <v>4</v>
      </c>
      <c r="RB15" s="207" t="str">
        <f t="shared" si="103"/>
        <v>A</v>
      </c>
      <c r="RC15" s="129"/>
      <c r="RD15" s="130"/>
      <c r="RE15" s="131"/>
      <c r="RF15" s="184" t="str">
        <f>IFERROR((((COUNTIF('Elève (5ème1)'!RC15:RE15,"A"))*4)+((COUNTIF('Elève (5ème1)'!RC15:RE15,"B"))*3)+((COUNTIF('Elève (5ème1)'!RC15:RE15,"C"))*2)+((COUNTIF('Elève (5ème1)'!RC15:RE15,"D"))*1))/(COUNTA(RC15:RE15)),"")</f>
        <v/>
      </c>
      <c r="RG15" s="185" t="str">
        <f t="shared" si="104"/>
        <v/>
      </c>
      <c r="RH15" s="129"/>
      <c r="RI15" s="130" t="s">
        <v>27</v>
      </c>
      <c r="RJ15" s="131" t="s">
        <v>27</v>
      </c>
      <c r="RK15" s="184">
        <f>IFERROR((((COUNTIF('Elève (5ème1)'!RH15:RJ15,"A"))*4)+((COUNTIF('Elève (5ème1)'!RH15:RJ15,"B"))*3)+((COUNTIF('Elève (5ème1)'!RH15:RJ15,"C"))*2)+((COUNTIF('Elève (5ème1)'!RH15:RJ15,"D"))*1))/(COUNTA(RH15:RJ15)),"")</f>
        <v>4</v>
      </c>
      <c r="RL15" s="185" t="str">
        <f t="shared" si="105"/>
        <v>A</v>
      </c>
      <c r="RM15" s="129"/>
      <c r="RN15" s="130"/>
      <c r="RO15" s="131"/>
      <c r="RP15" s="135"/>
      <c r="RQ15" s="184" t="str">
        <f>IFERROR((((COUNTIF('Elève (5ème1)'!RM15:RP15,"A"))*4)+((COUNTIF('Elève (5ème1)'!RM15:RP15,"B"))*3)+((COUNTIF('Elève (5ème1)'!RM15:RP15,"C"))*2)+((COUNTIF('Elève (5ème1)'!RM15:RP15,"D"))*1))/(COUNTA(RM15:RP15)),"")</f>
        <v/>
      </c>
      <c r="RR15" s="185" t="str">
        <f t="shared" si="106"/>
        <v/>
      </c>
      <c r="RS15" s="209">
        <f>IF(COUNT(RF15,RK15,RQ15)=0,"",SUM(RF15,RK15,RQ15)/COUNT(RF15,RK15,RQ15))</f>
        <v>4</v>
      </c>
      <c r="RT15" s="207" t="str">
        <f t="shared" si="107"/>
        <v>A</v>
      </c>
      <c r="RU15" s="129"/>
      <c r="RV15" s="130"/>
      <c r="RW15" s="131"/>
      <c r="RX15" s="184" t="str">
        <f>IFERROR((((COUNTIF('Elève (5ème1)'!RU15:RW15,"A"))*4)+((COUNTIF('Elève (5ème1)'!RU15:RW15,"B"))*3)+((COUNTIF('Elève (5ème1)'!RU15:RW15,"C"))*2)+((COUNTIF('Elève (5ème1)'!RU15:RW15,"D"))*1))/(COUNTA(RU15:RW15)),"")</f>
        <v/>
      </c>
      <c r="RY15" s="185" t="str">
        <f t="shared" si="108"/>
        <v/>
      </c>
      <c r="RZ15" s="129"/>
      <c r="SA15" s="130" t="s">
        <v>27</v>
      </c>
      <c r="SB15" s="131" t="s">
        <v>27</v>
      </c>
      <c r="SC15" s="184">
        <f>IFERROR((((COUNTIF('Elève (5ème1)'!RZ15:SB15,"A"))*4)+((COUNTIF('Elève (5ème1)'!RZ15:SB15,"B"))*3)+((COUNTIF('Elève (5ème1)'!RZ15:SB15,"C"))*2)+((COUNTIF('Elève (5ème1)'!RZ15:SB15,"D"))*1))/(COUNTA(RZ15:SB15)),"")</f>
        <v>4</v>
      </c>
      <c r="SD15" s="185" t="str">
        <f t="shared" si="109"/>
        <v>A</v>
      </c>
      <c r="SE15" s="129"/>
      <c r="SF15" s="130"/>
      <c r="SG15" s="131" t="s">
        <v>27</v>
      </c>
      <c r="SH15" s="135"/>
      <c r="SI15" s="184">
        <f>IFERROR((((COUNTIF('Elève (5ème1)'!SE15:SH15,"A"))*4)+((COUNTIF('Elève (5ème1)'!SE15:SH15,"B"))*3)+((COUNTIF('Elève (5ème1)'!SE15:SH15,"C"))*2)+((COUNTIF('Elève (5ème1)'!SE15:SH15,"D"))*1))/(COUNTA(SE15:SH15)),"")</f>
        <v>4</v>
      </c>
      <c r="SJ15" s="185" t="str">
        <f t="shared" si="110"/>
        <v>A</v>
      </c>
      <c r="SK15" s="209">
        <f>IF(COUNT(RX15,SC15,SI15)=0,"",SUM(RX15,SC15,SI15)/COUNT(RX15,SC15,SI15))</f>
        <v>4</v>
      </c>
      <c r="SL15" s="207" t="str">
        <f t="shared" si="111"/>
        <v>A</v>
      </c>
      <c r="SM15" s="129"/>
      <c r="SN15" s="130"/>
      <c r="SO15" s="131"/>
      <c r="SP15" s="184" t="str">
        <f>IFERROR((((COUNTIF('Elève (5ème1)'!SM15:SO15,"A"))*4)+((COUNTIF('Elève (5ème1)'!SM15:SO15,"B"))*3)+((COUNTIF('Elève (5ème1)'!SM15:SO15,"C"))*2)+((COUNTIF('Elève (5ème1)'!SM15:SO15,"D"))*1))/(COUNTA(SM15:SO15)),"")</f>
        <v/>
      </c>
      <c r="SQ15" s="185" t="str">
        <f t="shared" si="112"/>
        <v/>
      </c>
      <c r="SR15" s="129"/>
      <c r="SS15" s="130" t="s">
        <v>27</v>
      </c>
      <c r="ST15" s="131" t="s">
        <v>27</v>
      </c>
      <c r="SU15" s="184">
        <f>IFERROR((((COUNTIF('Elève (5ème1)'!SR15:ST15,"A"))*4)+((COUNTIF('Elève (5ème1)'!SR15:ST15,"B"))*3)+((COUNTIF('Elève (5ème1)'!SR15:ST15,"C"))*2)+((COUNTIF('Elève (5ème1)'!SR15:ST15,"D"))*1))/(COUNTA(SR15:ST15)),"")</f>
        <v>4</v>
      </c>
      <c r="SV15" s="185" t="str">
        <f t="shared" si="113"/>
        <v>A</v>
      </c>
      <c r="SW15" s="129"/>
      <c r="SX15" s="130"/>
      <c r="SY15" s="131" t="s">
        <v>27</v>
      </c>
      <c r="SZ15" s="135"/>
      <c r="TA15" s="184">
        <f>IFERROR((((COUNTIF('Elève (5ème1)'!SW15:SZ15,"A"))*4)+((COUNTIF('Elève (5ème1)'!SW15:SZ15,"B"))*3)+((COUNTIF('Elève (5ème1)'!SW15:SZ15,"C"))*2)+((COUNTIF('Elève (5ème1)'!SW15:SZ15,"D"))*1))/(COUNTA(SW15:SZ15)),"")</f>
        <v>4</v>
      </c>
      <c r="TB15" s="185" t="str">
        <f t="shared" si="114"/>
        <v>A</v>
      </c>
      <c r="TC15" s="209">
        <f>IF(COUNT(SP15,SU15,TA15)=0,"",SUM(SP15,SU15,TA15)/COUNT(SP15,SU15,TA15))</f>
        <v>4</v>
      </c>
      <c r="TD15" s="207" t="str">
        <f t="shared" si="115"/>
        <v>A</v>
      </c>
      <c r="TE15" s="129"/>
      <c r="TF15" s="130"/>
      <c r="TG15" s="131"/>
      <c r="TH15" s="184" t="str">
        <f>IFERROR((((COUNTIF('Elève (5ème1)'!TE15:TG15,"A"))*4)+((COUNTIF('Elève (5ème1)'!TE15:TG15,"B"))*3)+((COUNTIF('Elève (5ème1)'!TE15:TG15,"C"))*2)+((COUNTIF('Elève (5ème1)'!TE15:TG15,"D"))*1))/(COUNTA(TE15:TG15)),"")</f>
        <v/>
      </c>
      <c r="TI15" s="185" t="str">
        <f t="shared" si="116"/>
        <v/>
      </c>
      <c r="TJ15" s="129"/>
      <c r="TK15" s="130" t="s">
        <v>27</v>
      </c>
      <c r="TL15" s="131" t="s">
        <v>27</v>
      </c>
      <c r="TM15" s="184">
        <f>IFERROR((((COUNTIF('Elève (5ème1)'!TJ15:TL15,"A"))*4)+((COUNTIF('Elève (5ème1)'!TJ15:TL15,"B"))*3)+((COUNTIF('Elève (5ème1)'!TJ15:TL15,"C"))*2)+((COUNTIF('Elève (5ème1)'!TJ15:TL15,"D"))*1))/(COUNTA(TJ15:TL15)),"")</f>
        <v>4</v>
      </c>
      <c r="TN15" s="185" t="str">
        <f t="shared" si="117"/>
        <v>A</v>
      </c>
      <c r="TO15" s="129"/>
      <c r="TP15" s="130"/>
      <c r="TQ15" s="131" t="s">
        <v>27</v>
      </c>
      <c r="TR15" s="135"/>
      <c r="TS15" s="184">
        <f>IFERROR((((COUNTIF('Elève (5ème1)'!TO15:TR15,"A"))*4)+((COUNTIF('Elève (5ème1)'!TO15:TR15,"B"))*3)+((COUNTIF('Elève (5ème1)'!TO15:TR15,"C"))*2)+((COUNTIF('Elève (5ème1)'!TO15:TR15,"D"))*1))/(COUNTA(TO15:TR15)),"")</f>
        <v>4</v>
      </c>
      <c r="TT15" s="185" t="str">
        <f t="shared" si="118"/>
        <v>A</v>
      </c>
      <c r="TU15" s="209">
        <f>IF(COUNT(TH15,TM15,TS15)=0,"",SUM(TH15,TM15,TS15)/COUNT(TH15,TM15,TS15))</f>
        <v>4</v>
      </c>
      <c r="TV15" s="207" t="str">
        <f t="shared" si="119"/>
        <v>A</v>
      </c>
    </row>
    <row r="16" spans="1:542" s="114" customFormat="1" ht="16.5" customHeight="1" thickBot="1" x14ac:dyDescent="0.3">
      <c r="A16" s="164" t="s">
        <v>20</v>
      </c>
      <c r="B16" s="139">
        <v>2</v>
      </c>
      <c r="C16" s="171"/>
      <c r="D16" s="84"/>
      <c r="E16" s="104"/>
      <c r="F16" s="178">
        <f>IF(COUNT(F17:F19)=0,"",SUM(F17:F19)/COUNT(F17:F19))</f>
        <v>2.75</v>
      </c>
      <c r="G16" s="179" t="str">
        <f t="shared" si="0"/>
        <v>C</v>
      </c>
      <c r="H16" s="171"/>
      <c r="I16" s="84"/>
      <c r="J16" s="84"/>
      <c r="K16" s="178">
        <f>IF(COUNT(K17:K19)=0,"",SUM(K17:K19)/COUNT(K17:K19))</f>
        <v>2.583333333333333</v>
      </c>
      <c r="L16" s="194" t="str">
        <f t="shared" si="1"/>
        <v>C</v>
      </c>
      <c r="M16" s="172"/>
      <c r="N16" s="109"/>
      <c r="O16" s="109"/>
      <c r="P16" s="110"/>
      <c r="Q16" s="178">
        <f>IF(COUNT(Q17:Q19)=0,"",SUM(Q17:Q19)/COUNT(Q17:Q19))</f>
        <v>2.75</v>
      </c>
      <c r="R16" s="202" t="str">
        <f t="shared" si="2"/>
        <v>C</v>
      </c>
      <c r="S16" s="203">
        <f>IF(COUNT(S17:S19)=0,"",SUM(S17:S19)/COUNT(S17:S19))</f>
        <v>2.7685185185185186</v>
      </c>
      <c r="T16" s="204" t="str">
        <f t="shared" si="3"/>
        <v>C</v>
      </c>
      <c r="U16" s="215"/>
      <c r="V16" s="84"/>
      <c r="W16" s="104"/>
      <c r="X16" s="178">
        <f>IF(COUNT(X17:X19)=0,"",SUM(X17:X19)/COUNT(X17:X19))</f>
        <v>2</v>
      </c>
      <c r="Y16" s="179" t="str">
        <f t="shared" si="4"/>
        <v>C</v>
      </c>
      <c r="Z16" s="171"/>
      <c r="AA16" s="84"/>
      <c r="AB16" s="84"/>
      <c r="AC16" s="178">
        <f>IF(COUNT(AC17:AC19)=0,"",SUM(AC17:AC19)/COUNT(AC17:AC19))</f>
        <v>2.5</v>
      </c>
      <c r="AD16" s="194" t="str">
        <f t="shared" si="5"/>
        <v>C</v>
      </c>
      <c r="AE16" s="172"/>
      <c r="AF16" s="109"/>
      <c r="AG16" s="109"/>
      <c r="AH16" s="110"/>
      <c r="AI16" s="178">
        <f>IF(COUNT(AI17:AI19)=0,"",SUM(AI17:AI19)/COUNT(AI17:AI19))</f>
        <v>1.5833333333333333</v>
      </c>
      <c r="AJ16" s="202" t="str">
        <f t="shared" si="6"/>
        <v>C</v>
      </c>
      <c r="AK16" s="203">
        <f>IF(COUNT(AK17:AK19)=0,"",SUM(AK17:AK19)/COUNT(AK17:AK19))</f>
        <v>1.75</v>
      </c>
      <c r="AL16" s="204" t="str">
        <f t="shared" si="7"/>
        <v>C</v>
      </c>
      <c r="AM16" s="215"/>
      <c r="AN16" s="84"/>
      <c r="AO16" s="104"/>
      <c r="AP16" s="178">
        <f>IF(COUNT(AP17:AP19)=0,"",SUM(AP17:AP19)/COUNT(AP17:AP19))</f>
        <v>2.25</v>
      </c>
      <c r="AQ16" s="179" t="str">
        <f t="shared" si="8"/>
        <v>C</v>
      </c>
      <c r="AR16" s="171"/>
      <c r="AS16" s="84"/>
      <c r="AT16" s="84"/>
      <c r="AU16" s="178">
        <f>IF(COUNT(AU17:AU19)=0,"",SUM(AU17:AU19)/COUNT(AU17:AU19))</f>
        <v>2.666666666666667</v>
      </c>
      <c r="AV16" s="194" t="str">
        <f t="shared" si="9"/>
        <v>C</v>
      </c>
      <c r="AW16" s="172"/>
      <c r="AX16" s="109"/>
      <c r="AY16" s="109"/>
      <c r="AZ16" s="110"/>
      <c r="BA16" s="178">
        <f>IF(COUNT(BA17:BA19)=0,"",SUM(BA17:BA19)/COUNT(BA17:BA19))</f>
        <v>2.75</v>
      </c>
      <c r="BB16" s="202" t="str">
        <f t="shared" si="10"/>
        <v>C</v>
      </c>
      <c r="BC16" s="203">
        <f>IF(COUNT(BC17:BC19)=0,"",SUM(BC17:BC19)/COUNT(BC17:BC19))</f>
        <v>2.4537037037037037</v>
      </c>
      <c r="BD16" s="204" t="str">
        <f t="shared" si="11"/>
        <v>C</v>
      </c>
      <c r="BE16" s="215"/>
      <c r="BF16" s="84"/>
      <c r="BG16" s="104"/>
      <c r="BH16" s="178">
        <f>IF(COUNT(BH17:BH19)=0,"",SUM(BH17:BH19)/COUNT(BH17:BH19))</f>
        <v>1.5</v>
      </c>
      <c r="BI16" s="179" t="str">
        <f t="shared" si="12"/>
        <v>D</v>
      </c>
      <c r="BJ16" s="171"/>
      <c r="BK16" s="84"/>
      <c r="BL16" s="84"/>
      <c r="BM16" s="178">
        <f>IF(COUNT(BM17:BM19)=0,"",SUM(BM17:BM19)/COUNT(BM17:BM19))</f>
        <v>2.75</v>
      </c>
      <c r="BN16" s="194" t="str">
        <f t="shared" si="13"/>
        <v>C</v>
      </c>
      <c r="BO16" s="172"/>
      <c r="BP16" s="109"/>
      <c r="BQ16" s="109"/>
      <c r="BR16" s="110"/>
      <c r="BS16" s="178">
        <f>IF(COUNT(BS17:BS19)=0,"",SUM(BS17:BS19)/COUNT(BS17:BS19))</f>
        <v>2.25</v>
      </c>
      <c r="BT16" s="202" t="str">
        <f t="shared" si="14"/>
        <v>C</v>
      </c>
      <c r="BU16" s="203">
        <f>IF(COUNT(BU17:BU19)=0,"",SUM(BU17:BU19)/COUNT(BU17:BU19))</f>
        <v>2.1388888888888888</v>
      </c>
      <c r="BV16" s="204" t="str">
        <f t="shared" si="15"/>
        <v>C</v>
      </c>
      <c r="BW16" s="215"/>
      <c r="BX16" s="84"/>
      <c r="BY16" s="104"/>
      <c r="BZ16" s="178">
        <f>IF(COUNT(BZ17:BZ19)=0,"",SUM(BZ17:BZ19)/COUNT(BZ17:BZ19))</f>
        <v>2.25</v>
      </c>
      <c r="CA16" s="179" t="str">
        <f t="shared" si="16"/>
        <v>C</v>
      </c>
      <c r="CB16" s="171"/>
      <c r="CC16" s="84"/>
      <c r="CD16" s="84"/>
      <c r="CE16" s="178">
        <f>IF(COUNT(CE17:CE19)=0,"",SUM(CE17:CE19)/COUNT(CE17:CE19))</f>
        <v>2.583333333333333</v>
      </c>
      <c r="CF16" s="194" t="str">
        <f t="shared" si="17"/>
        <v>C</v>
      </c>
      <c r="CG16" s="172"/>
      <c r="CH16" s="109"/>
      <c r="CI16" s="109"/>
      <c r="CJ16" s="110"/>
      <c r="CK16" s="178">
        <f>IF(COUNT(CK17:CK19)=0,"",SUM(CK17:CK19)/COUNT(CK17:CK19))</f>
        <v>3.5</v>
      </c>
      <c r="CL16" s="202" t="str">
        <f t="shared" si="18"/>
        <v>B</v>
      </c>
      <c r="CM16" s="203">
        <f>IF(COUNT(CM17:CM19)=0,"",SUM(CM17:CM19)/COUNT(CM17:CM19))</f>
        <v>3.1296296296296298</v>
      </c>
      <c r="CN16" s="204" t="str">
        <f t="shared" si="19"/>
        <v>B</v>
      </c>
      <c r="CO16" s="215"/>
      <c r="CP16" s="84"/>
      <c r="CQ16" s="104"/>
      <c r="CR16" s="178">
        <f>IF(COUNT(CR17:CR19)=0,"",SUM(CR17:CR19)/COUNT(CR17:CR19))</f>
        <v>1.75</v>
      </c>
      <c r="CS16" s="179" t="str">
        <f t="shared" si="20"/>
        <v>C</v>
      </c>
      <c r="CT16" s="171"/>
      <c r="CU16" s="84"/>
      <c r="CV16" s="84"/>
      <c r="CW16" s="178">
        <f>IF(COUNT(CW17:CW19)=0,"",SUM(CW17:CW19)/COUNT(CW17:CW19))</f>
        <v>2.25</v>
      </c>
      <c r="CX16" s="194" t="str">
        <f t="shared" si="21"/>
        <v>C</v>
      </c>
      <c r="CY16" s="172"/>
      <c r="CZ16" s="109"/>
      <c r="DA16" s="109"/>
      <c r="DB16" s="110"/>
      <c r="DC16" s="178">
        <f>IF(COUNT(DC17:DC19)=0,"",SUM(DC17:DC19)/COUNT(DC17:DC19))</f>
        <v>1.3333333333333333</v>
      </c>
      <c r="DD16" s="202" t="str">
        <f t="shared" si="22"/>
        <v>D</v>
      </c>
      <c r="DE16" s="203">
        <f>IF(COUNT(DE17:DE19)=0,"",SUM(DE17:DE19)/COUNT(DE17:DE19))</f>
        <v>1.7777777777777777</v>
      </c>
      <c r="DF16" s="204" t="str">
        <f t="shared" si="23"/>
        <v>C</v>
      </c>
      <c r="DG16" s="215"/>
      <c r="DH16" s="84"/>
      <c r="DI16" s="104"/>
      <c r="DJ16" s="178">
        <f>IF(COUNT(DJ17:DJ19)=0,"",SUM(DJ17:DJ19)/COUNT(DJ17:DJ19))</f>
        <v>2.75</v>
      </c>
      <c r="DK16" s="179" t="str">
        <f t="shared" si="24"/>
        <v>C</v>
      </c>
      <c r="DL16" s="171"/>
      <c r="DM16" s="84"/>
      <c r="DN16" s="84"/>
      <c r="DO16" s="178">
        <f>IF(COUNT(DO17:DO19)=0,"",SUM(DO17:DO19)/COUNT(DO17:DO19))</f>
        <v>3.166666666666667</v>
      </c>
      <c r="DP16" s="194" t="str">
        <f t="shared" si="25"/>
        <v>B</v>
      </c>
      <c r="DQ16" s="172"/>
      <c r="DR16" s="109"/>
      <c r="DS16" s="109"/>
      <c r="DT16" s="110"/>
      <c r="DU16" s="178">
        <f>IF(COUNT(DU17:DU19)=0,"",SUM(DU17:DU19)/COUNT(DU17:DU19))</f>
        <v>3.333333333333333</v>
      </c>
      <c r="DV16" s="202" t="str">
        <f t="shared" si="26"/>
        <v>B</v>
      </c>
      <c r="DW16" s="203">
        <f>IF(COUNT(DW17:DW19)=0,"",SUM(DW17:DW19)/COUNT(DW17:DW19))</f>
        <v>3.0833333333333335</v>
      </c>
      <c r="DX16" s="204" t="str">
        <f t="shared" si="27"/>
        <v>B</v>
      </c>
      <c r="DY16" s="215"/>
      <c r="DZ16" s="84"/>
      <c r="EA16" s="104"/>
      <c r="EB16" s="178">
        <f>IF(COUNT(EB17:EB19)=0,"",SUM(EB17:EB19)/COUNT(EB17:EB19))</f>
        <v>1.5</v>
      </c>
      <c r="EC16" s="179" t="str">
        <f t="shared" si="28"/>
        <v>D</v>
      </c>
      <c r="ED16" s="171"/>
      <c r="EE16" s="84"/>
      <c r="EF16" s="84"/>
      <c r="EG16" s="178">
        <f>IF(COUNT(EG17:EG19)=0,"",SUM(EG17:EG19)/COUNT(EG17:EG19))</f>
        <v>2.166666666666667</v>
      </c>
      <c r="EH16" s="194" t="str">
        <f t="shared" si="29"/>
        <v>C</v>
      </c>
      <c r="EI16" s="172"/>
      <c r="EJ16" s="109"/>
      <c r="EK16" s="109"/>
      <c r="EL16" s="110"/>
      <c r="EM16" s="178">
        <f>IF(COUNT(EM17:EM19)=0,"",SUM(EM17:EM19)/COUNT(EM17:EM19))</f>
        <v>3.1666666666666665</v>
      </c>
      <c r="EN16" s="202" t="str">
        <f t="shared" si="30"/>
        <v>B</v>
      </c>
      <c r="EO16" s="203">
        <f>IF(COUNT(EO17:EO19)=0,"",SUM(EO17:EO19)/COUNT(EO17:EO19))</f>
        <v>2.5370370370370368</v>
      </c>
      <c r="EP16" s="204" t="str">
        <f t="shared" si="31"/>
        <v>C</v>
      </c>
      <c r="EQ16" s="215"/>
      <c r="ER16" s="84"/>
      <c r="ES16" s="104"/>
      <c r="ET16" s="178" t="str">
        <f>IF(COUNT(ET17:ET19)=0,"",SUM(ET17:ET19)/COUNT(ET17:ET19))</f>
        <v/>
      </c>
      <c r="EU16" s="179" t="str">
        <f t="shared" si="32"/>
        <v/>
      </c>
      <c r="EV16" s="171"/>
      <c r="EW16" s="84"/>
      <c r="EX16" s="84"/>
      <c r="EY16" s="178">
        <f>IF(COUNT(EY17:EY19)=0,"",SUM(EY17:EY19)/COUNT(EY17:EY19))</f>
        <v>2.166666666666667</v>
      </c>
      <c r="EZ16" s="194" t="str">
        <f t="shared" si="33"/>
        <v>C</v>
      </c>
      <c r="FA16" s="172"/>
      <c r="FB16" s="109"/>
      <c r="FC16" s="109"/>
      <c r="FD16" s="110"/>
      <c r="FE16" s="178">
        <f>IF(COUNT(FE17:FE19)=0,"",SUM(FE17:FE19)/COUNT(FE17:FE19))</f>
        <v>3</v>
      </c>
      <c r="FF16" s="202" t="str">
        <f t="shared" si="34"/>
        <v>B</v>
      </c>
      <c r="FG16" s="203">
        <f>IF(COUNT(FG17:FG19)=0,"",SUM(FG17:FG19)/COUNT(FG17:FG19))</f>
        <v>2.7222222222222228</v>
      </c>
      <c r="FH16" s="204" t="str">
        <f t="shared" si="35"/>
        <v>C</v>
      </c>
      <c r="FI16" s="215"/>
      <c r="FJ16" s="84"/>
      <c r="FK16" s="104"/>
      <c r="FL16" s="178">
        <f>IF(COUNT(FL17:FL19)=0,"",SUM(FL17:FL19)/COUNT(FL17:FL19))</f>
        <v>2.75</v>
      </c>
      <c r="FM16" s="179" t="str">
        <f t="shared" si="36"/>
        <v>C</v>
      </c>
      <c r="FN16" s="171"/>
      <c r="FO16" s="84"/>
      <c r="FP16" s="84"/>
      <c r="FQ16" s="178">
        <f>IF(COUNT(FQ17:FQ19)=0,"",SUM(FQ17:FQ19)/COUNT(FQ17:FQ19))</f>
        <v>3.5</v>
      </c>
      <c r="FR16" s="194" t="str">
        <f t="shared" si="37"/>
        <v>B</v>
      </c>
      <c r="FS16" s="172"/>
      <c r="FT16" s="109"/>
      <c r="FU16" s="109"/>
      <c r="FV16" s="110"/>
      <c r="FW16" s="178">
        <f>IF(COUNT(FW17:FW19)=0,"",SUM(FW17:FW19)/COUNT(FW17:FW19))</f>
        <v>2.9166666666666665</v>
      </c>
      <c r="FX16" s="202" t="str">
        <f t="shared" si="38"/>
        <v>B</v>
      </c>
      <c r="FY16" s="203">
        <f>IF(COUNT(FY17:FY19)=0,"",SUM(FY17:FY19)/COUNT(FY17:FY19))</f>
        <v>3.0277777777777781</v>
      </c>
      <c r="FZ16" s="204" t="str">
        <f t="shared" si="39"/>
        <v>B</v>
      </c>
      <c r="GA16" s="215"/>
      <c r="GB16" s="84"/>
      <c r="GC16" s="104"/>
      <c r="GD16" s="178">
        <f>IF(COUNT(GD17:GD19)=0,"",SUM(GD17:GD19)/COUNT(GD17:GD19))</f>
        <v>2.25</v>
      </c>
      <c r="GE16" s="179" t="str">
        <f t="shared" si="40"/>
        <v>C</v>
      </c>
      <c r="GF16" s="171"/>
      <c r="GG16" s="84"/>
      <c r="GH16" s="84"/>
      <c r="GI16" s="178">
        <f>IF(COUNT(GI17:GI19)=0,"",SUM(GI17:GI19)/COUNT(GI17:GI19))</f>
        <v>2.166666666666667</v>
      </c>
      <c r="GJ16" s="194" t="str">
        <f t="shared" si="41"/>
        <v>C</v>
      </c>
      <c r="GK16" s="172"/>
      <c r="GL16" s="109"/>
      <c r="GM16" s="109"/>
      <c r="GN16" s="110"/>
      <c r="GO16" s="178">
        <f>IF(COUNT(GO17:GO19)=0,"",SUM(GO17:GO19)/COUNT(GO17:GO19))</f>
        <v>2.9166666666666665</v>
      </c>
      <c r="GP16" s="202" t="str">
        <f t="shared" si="42"/>
        <v>B</v>
      </c>
      <c r="GQ16" s="203">
        <f>IF(COUNT(GQ17:GQ19)=0,"",SUM(GQ17:GQ19)/COUNT(GQ17:GQ19))</f>
        <v>2.6203703703703702</v>
      </c>
      <c r="GR16" s="204" t="str">
        <f t="shared" si="43"/>
        <v>C</v>
      </c>
      <c r="GS16" s="215"/>
      <c r="GT16" s="84"/>
      <c r="GU16" s="104"/>
      <c r="GV16" s="178">
        <f>IF(COUNT(GV17:GV19)=0,"",SUM(GV17:GV19)/COUNT(GV17:GV19))</f>
        <v>2</v>
      </c>
      <c r="GW16" s="179" t="str">
        <f t="shared" si="44"/>
        <v>C</v>
      </c>
      <c r="GX16" s="171"/>
      <c r="GY16" s="84"/>
      <c r="GZ16" s="84"/>
      <c r="HA16" s="178">
        <f>IF(COUNT(HA17:HA19)=0,"",SUM(HA17:HA19)/COUNT(HA17:HA19))</f>
        <v>2.666666666666667</v>
      </c>
      <c r="HB16" s="194" t="str">
        <f t="shared" si="45"/>
        <v>C</v>
      </c>
      <c r="HC16" s="172"/>
      <c r="HD16" s="109"/>
      <c r="HE16" s="109"/>
      <c r="HF16" s="110"/>
      <c r="HG16" s="178">
        <f>IF(COUNT(HG17:HG19)=0,"",SUM(HG17:HG19)/COUNT(HG17:HG19))</f>
        <v>2.75</v>
      </c>
      <c r="HH16" s="202" t="str">
        <f t="shared" si="46"/>
        <v>C</v>
      </c>
      <c r="HI16" s="203">
        <f>IF(COUNT(HI17:HI19)=0,"",SUM(HI17:HI19)/COUNT(HI17:HI19))</f>
        <v>2.6203703703703702</v>
      </c>
      <c r="HJ16" s="204" t="str">
        <f t="shared" si="47"/>
        <v>C</v>
      </c>
      <c r="HK16" s="215"/>
      <c r="HL16" s="84"/>
      <c r="HM16" s="104"/>
      <c r="HN16" s="178">
        <f>IF(COUNT(HN17:HN19)=0,"",SUM(HN17:HN19)/COUNT(HN17:HN19))</f>
        <v>2.25</v>
      </c>
      <c r="HO16" s="179" t="str">
        <f t="shared" si="48"/>
        <v>C</v>
      </c>
      <c r="HP16" s="171"/>
      <c r="HQ16" s="84"/>
      <c r="HR16" s="84"/>
      <c r="HS16" s="178">
        <f>IF(COUNT(HS17:HS19)=0,"",SUM(HS17:HS19)/COUNT(HS17:HS19))</f>
        <v>2.333333333333333</v>
      </c>
      <c r="HT16" s="194" t="str">
        <f t="shared" si="49"/>
        <v>C</v>
      </c>
      <c r="HU16" s="172"/>
      <c r="HV16" s="109"/>
      <c r="HW16" s="109"/>
      <c r="HX16" s="110"/>
      <c r="HY16" s="178">
        <f>IF(COUNT(HY17:HY19)=0,"",SUM(HY17:HY19)/COUNT(HY17:HY19))</f>
        <v>3</v>
      </c>
      <c r="HZ16" s="202" t="str">
        <f t="shared" si="50"/>
        <v>B</v>
      </c>
      <c r="IA16" s="203">
        <f>IF(COUNT(IA17:IA19)=0,"",SUM(IA17:IA19)/COUNT(IA17:IA19))</f>
        <v>2.6851851851851851</v>
      </c>
      <c r="IB16" s="204" t="str">
        <f t="shared" si="51"/>
        <v>C</v>
      </c>
      <c r="IC16" s="215"/>
      <c r="ID16" s="84"/>
      <c r="IE16" s="104"/>
      <c r="IF16" s="178">
        <f>IF(COUNT(IF17:IF19)=0,"",SUM(IF17:IF19)/COUNT(IF17:IF19))</f>
        <v>2.5</v>
      </c>
      <c r="IG16" s="179" t="str">
        <f t="shared" si="52"/>
        <v>C</v>
      </c>
      <c r="IH16" s="171"/>
      <c r="II16" s="84"/>
      <c r="IJ16" s="84"/>
      <c r="IK16" s="178">
        <f>IF(COUNT(IK17:IK19)=0,"",SUM(IK17:IK19)/COUNT(IK17:IK19))</f>
        <v>2.166666666666667</v>
      </c>
      <c r="IL16" s="194" t="str">
        <f t="shared" si="53"/>
        <v>C</v>
      </c>
      <c r="IM16" s="172"/>
      <c r="IN16" s="109"/>
      <c r="IO16" s="109"/>
      <c r="IP16" s="110"/>
      <c r="IQ16" s="178">
        <f>IF(COUNT(IQ17:IQ19)=0,"",SUM(IQ17:IQ19)/COUNT(IQ17:IQ19))</f>
        <v>3</v>
      </c>
      <c r="IR16" s="202" t="str">
        <f t="shared" si="54"/>
        <v>B</v>
      </c>
      <c r="IS16" s="203">
        <f>IF(COUNT(IS17:IS19)=0,"",SUM(IS17:IS19)/COUNT(IS17:IS19))</f>
        <v>2.7037037037037037</v>
      </c>
      <c r="IT16" s="204" t="str">
        <f t="shared" si="55"/>
        <v>C</v>
      </c>
      <c r="IU16" s="215"/>
      <c r="IV16" s="84"/>
      <c r="IW16" s="104"/>
      <c r="IX16" s="178">
        <f>IF(COUNT(IX17:IX19)=0,"",SUM(IX17:IX19)/COUNT(IX17:IX19))</f>
        <v>2.25</v>
      </c>
      <c r="IY16" s="179" t="str">
        <f t="shared" si="56"/>
        <v>C</v>
      </c>
      <c r="IZ16" s="171"/>
      <c r="JA16" s="84"/>
      <c r="JB16" s="84"/>
      <c r="JC16" s="178">
        <f>IF(COUNT(JC17:JC19)=0,"",SUM(JC17:JC19)/COUNT(JC17:JC19))</f>
        <v>3.333333333333333</v>
      </c>
      <c r="JD16" s="194" t="str">
        <f t="shared" si="57"/>
        <v>B</v>
      </c>
      <c r="JE16" s="172"/>
      <c r="JF16" s="109"/>
      <c r="JG16" s="109"/>
      <c r="JH16" s="110"/>
      <c r="JI16" s="178">
        <f>IF(COUNT(JI17:JI19)=0,"",SUM(JI17:JI19)/COUNT(JI17:JI19))</f>
        <v>3.1666666666666665</v>
      </c>
      <c r="JJ16" s="202" t="str">
        <f t="shared" si="58"/>
        <v>B</v>
      </c>
      <c r="JK16" s="203">
        <f>IF(COUNT(JK17:JK19)=0,"",SUM(JK17:JK19)/COUNT(JK17:JK19))</f>
        <v>2.9629629629629632</v>
      </c>
      <c r="JL16" s="204" t="str">
        <f t="shared" si="59"/>
        <v>B</v>
      </c>
      <c r="JM16" s="215"/>
      <c r="JN16" s="84"/>
      <c r="JO16" s="104"/>
      <c r="JP16" s="178">
        <f>IF(COUNT(JP17:JP19)=0,"",SUM(JP17:JP19)/COUNT(JP17:JP19))</f>
        <v>2.75</v>
      </c>
      <c r="JQ16" s="179" t="str">
        <f t="shared" si="60"/>
        <v>C</v>
      </c>
      <c r="JR16" s="171"/>
      <c r="JS16" s="84"/>
      <c r="JT16" s="84"/>
      <c r="JU16" s="178">
        <f>IF(COUNT(JU17:JU19)=0,"",SUM(JU17:JU19)/COUNT(JU17:JU19))</f>
        <v>2.75</v>
      </c>
      <c r="JV16" s="194" t="str">
        <f t="shared" si="61"/>
        <v>C</v>
      </c>
      <c r="JW16" s="172"/>
      <c r="JX16" s="109"/>
      <c r="JY16" s="109"/>
      <c r="JZ16" s="110"/>
      <c r="KA16" s="178">
        <f>IF(COUNT(KA17:KA19)=0,"",SUM(KA17:KA19)/COUNT(KA17:KA19))</f>
        <v>3.6666666666666665</v>
      </c>
      <c r="KB16" s="202" t="str">
        <f t="shared" si="62"/>
        <v>B</v>
      </c>
      <c r="KC16" s="203">
        <f>IF(COUNT(KC17:KC19)=0,"",SUM(KC17:KC19)/COUNT(KC17:KC19))</f>
        <v>3.3333333333333335</v>
      </c>
      <c r="KD16" s="204" t="str">
        <f t="shared" si="63"/>
        <v>B</v>
      </c>
      <c r="KE16" s="215"/>
      <c r="KF16" s="84"/>
      <c r="KG16" s="104"/>
      <c r="KH16" s="178">
        <f>IF(COUNT(KH17:KH19)=0,"",SUM(KH17:KH19)/COUNT(KH17:KH19))</f>
        <v>2.25</v>
      </c>
      <c r="KI16" s="179" t="str">
        <f t="shared" si="64"/>
        <v>C</v>
      </c>
      <c r="KJ16" s="171"/>
      <c r="KK16" s="84"/>
      <c r="KL16" s="84"/>
      <c r="KM16" s="178">
        <f>IF(COUNT(KM17:KM19)=0,"",SUM(KM17:KM19)/COUNT(KM17:KM19))</f>
        <v>3</v>
      </c>
      <c r="KN16" s="194" t="str">
        <f t="shared" si="65"/>
        <v>B</v>
      </c>
      <c r="KO16" s="172"/>
      <c r="KP16" s="109"/>
      <c r="KQ16" s="109"/>
      <c r="KR16" s="110"/>
      <c r="KS16" s="178">
        <f>IF(COUNT(KS17:KS19)=0,"",SUM(KS17:KS19)/COUNT(KS17:KS19))</f>
        <v>3.166666666666667</v>
      </c>
      <c r="KT16" s="202" t="str">
        <f t="shared" si="66"/>
        <v>B</v>
      </c>
      <c r="KU16" s="203">
        <f>IF(COUNT(KU17:KU19)=0,"",SUM(KU17:KU19)/COUNT(KU17:KU19))</f>
        <v>2.8055555555555558</v>
      </c>
      <c r="KV16" s="204" t="str">
        <f t="shared" si="67"/>
        <v>B</v>
      </c>
      <c r="KW16" s="215"/>
      <c r="KX16" s="84"/>
      <c r="KY16" s="104"/>
      <c r="KZ16" s="178">
        <f>IF(COUNT(KZ17:KZ19)=0,"",SUM(KZ17:KZ19)/COUNT(KZ17:KZ19))</f>
        <v>2.5</v>
      </c>
      <c r="LA16" s="179" t="str">
        <f t="shared" si="68"/>
        <v>C</v>
      </c>
      <c r="LB16" s="171"/>
      <c r="LC16" s="84"/>
      <c r="LD16" s="84"/>
      <c r="LE16" s="178">
        <f>IF(COUNT(LE17:LE19)=0,"",SUM(LE17:LE19)/COUNT(LE17:LE19))</f>
        <v>2.666666666666667</v>
      </c>
      <c r="LF16" s="194" t="str">
        <f t="shared" si="69"/>
        <v>C</v>
      </c>
      <c r="LG16" s="172"/>
      <c r="LH16" s="109"/>
      <c r="LI16" s="109"/>
      <c r="LJ16" s="110"/>
      <c r="LK16" s="178">
        <f>IF(COUNT(LK17:LK19)=0,"",SUM(LK17:LK19)/COUNT(LK17:LK19))</f>
        <v>3.1666666666666665</v>
      </c>
      <c r="LL16" s="202" t="str">
        <f t="shared" si="70"/>
        <v>B</v>
      </c>
      <c r="LM16" s="203">
        <f>IF(COUNT(LM17:LM19)=0,"",SUM(LM17:LM19)/COUNT(LM17:LM19))</f>
        <v>2.8703703703703702</v>
      </c>
      <c r="LN16" s="204" t="str">
        <f t="shared" si="71"/>
        <v>B</v>
      </c>
      <c r="LO16" s="215"/>
      <c r="LP16" s="84"/>
      <c r="LQ16" s="104"/>
      <c r="LR16" s="178">
        <f>IF(COUNT(LR17:LR19)=0,"",SUM(LR17:LR19)/COUNT(LR17:LR19))</f>
        <v>2.75</v>
      </c>
      <c r="LS16" s="179" t="str">
        <f t="shared" si="72"/>
        <v>C</v>
      </c>
      <c r="LT16" s="171"/>
      <c r="LU16" s="84"/>
      <c r="LV16" s="84"/>
      <c r="LW16" s="178">
        <f>IF(COUNT(LW17:LW19)=0,"",SUM(LW17:LW19)/COUNT(LW17:LW19))</f>
        <v>2.166666666666667</v>
      </c>
      <c r="LX16" s="194" t="str">
        <f t="shared" si="73"/>
        <v>C</v>
      </c>
      <c r="LY16" s="172"/>
      <c r="LZ16" s="109"/>
      <c r="MA16" s="109"/>
      <c r="MB16" s="110"/>
      <c r="MC16" s="178">
        <f>IF(COUNT(MC17:MC19)=0,"",SUM(MC17:MC19)/COUNT(MC17:MC19))</f>
        <v>2.5833333333333335</v>
      </c>
      <c r="MD16" s="202" t="str">
        <f t="shared" si="74"/>
        <v>C</v>
      </c>
      <c r="ME16" s="203">
        <f>IF(COUNT(ME17:ME19)=0,"",SUM(ME17:ME19)/COUNT(ME17:ME19))</f>
        <v>2.6203703703703702</v>
      </c>
      <c r="MF16" s="204" t="str">
        <f t="shared" si="75"/>
        <v>C</v>
      </c>
      <c r="MG16" s="215"/>
      <c r="MH16" s="84"/>
      <c r="MI16" s="104"/>
      <c r="MJ16" s="178">
        <f>IF(COUNT(MJ17:MJ19)=0,"",SUM(MJ17:MJ19)/COUNT(MJ17:MJ19))</f>
        <v>2.5</v>
      </c>
      <c r="MK16" s="179" t="str">
        <f t="shared" si="76"/>
        <v>C</v>
      </c>
      <c r="ML16" s="171"/>
      <c r="MM16" s="84"/>
      <c r="MN16" s="84"/>
      <c r="MO16" s="178">
        <f>IF(COUNT(MO17:MO19)=0,"",SUM(MO17:MO19)/COUNT(MO17:MO19))</f>
        <v>2.5</v>
      </c>
      <c r="MP16" s="194" t="str">
        <f t="shared" si="77"/>
        <v>C</v>
      </c>
      <c r="MQ16" s="172"/>
      <c r="MR16" s="109"/>
      <c r="MS16" s="109"/>
      <c r="MT16" s="110"/>
      <c r="MU16" s="178">
        <f>IF(COUNT(MU17:MU19)=0,"",SUM(MU17:MU19)/COUNT(MU17:MU19))</f>
        <v>2.8333333333333335</v>
      </c>
      <c r="MV16" s="202" t="str">
        <f t="shared" si="78"/>
        <v>B</v>
      </c>
      <c r="MW16" s="203">
        <f>IF(COUNT(MW17:MW19)=0,"",SUM(MW17:MW19)/COUNT(MW17:MW19))</f>
        <v>2.5</v>
      </c>
      <c r="MX16" s="204" t="str">
        <f t="shared" si="79"/>
        <v>C</v>
      </c>
      <c r="MY16" s="215"/>
      <c r="MZ16" s="84"/>
      <c r="NA16" s="104"/>
      <c r="NB16" s="178">
        <f>IF(COUNT(NB17:NB19)=0,"",SUM(NB17:NB19)/COUNT(NB17:NB19))</f>
        <v>2.25</v>
      </c>
      <c r="NC16" s="179" t="str">
        <f t="shared" si="80"/>
        <v>C</v>
      </c>
      <c r="ND16" s="171"/>
      <c r="NE16" s="84"/>
      <c r="NF16" s="84"/>
      <c r="NG16" s="178">
        <f>IF(COUNT(NG17:NG19)=0,"",SUM(NG17:NG19)/COUNT(NG17:NG19))</f>
        <v>3.333333333333333</v>
      </c>
      <c r="NH16" s="194" t="str">
        <f t="shared" si="81"/>
        <v>B</v>
      </c>
      <c r="NI16" s="172"/>
      <c r="NJ16" s="109"/>
      <c r="NK16" s="109"/>
      <c r="NL16" s="110"/>
      <c r="NM16" s="178">
        <f>IF(COUNT(NM17:NM19)=0,"",SUM(NM17:NM19)/COUNT(NM17:NM19))</f>
        <v>3.25</v>
      </c>
      <c r="NN16" s="202" t="str">
        <f t="shared" si="82"/>
        <v>B</v>
      </c>
      <c r="NO16" s="203">
        <f>IF(COUNT(NO17:NO19)=0,"",SUM(NO17:NO19)/COUNT(NO17:NO19))</f>
        <v>2.9907407407407405</v>
      </c>
      <c r="NP16" s="204" t="str">
        <f t="shared" si="83"/>
        <v>B</v>
      </c>
      <c r="NQ16" s="215"/>
      <c r="NR16" s="84"/>
      <c r="NS16" s="104"/>
      <c r="NT16" s="178">
        <f>IF(COUNT(NT17:NT19)=0,"",SUM(NT17:NT19)/COUNT(NT17:NT19))</f>
        <v>1</v>
      </c>
      <c r="NU16" s="179" t="str">
        <f t="shared" si="84"/>
        <v>D</v>
      </c>
      <c r="NV16" s="171"/>
      <c r="NW16" s="84"/>
      <c r="NX16" s="84"/>
      <c r="NY16" s="178">
        <f>IF(COUNT(NY17:NY19)=0,"",SUM(NY17:NY19)/COUNT(NY17:NY19))</f>
        <v>1.75</v>
      </c>
      <c r="NZ16" s="194" t="str">
        <f t="shared" si="85"/>
        <v>C</v>
      </c>
      <c r="OA16" s="172"/>
      <c r="OB16" s="109"/>
      <c r="OC16" s="109"/>
      <c r="OD16" s="110"/>
      <c r="OE16" s="178">
        <f>IF(COUNT(OE17:OE19)=0,"",SUM(OE17:OE19)/COUNT(OE17:OE19))</f>
        <v>1.6666666666666667</v>
      </c>
      <c r="OF16" s="202" t="str">
        <f t="shared" si="86"/>
        <v>C</v>
      </c>
      <c r="OG16" s="203">
        <f>IF(COUNT(OG17:OG19)=0,"",SUM(OG17:OG19)/COUNT(OG17:OG19))</f>
        <v>1.3888888888888891</v>
      </c>
      <c r="OH16" s="204" t="str">
        <f t="shared" si="87"/>
        <v>D</v>
      </c>
      <c r="OI16" s="215"/>
      <c r="OJ16" s="84"/>
      <c r="OK16" s="104"/>
      <c r="OL16" s="178">
        <f>IF(COUNT(OL17:OL19)=0,"",SUM(OL17:OL19)/COUNT(OL17:OL19))</f>
        <v>2.5</v>
      </c>
      <c r="OM16" s="179" t="str">
        <f t="shared" si="88"/>
        <v>C</v>
      </c>
      <c r="ON16" s="171"/>
      <c r="OO16" s="84"/>
      <c r="OP16" s="84"/>
      <c r="OQ16" s="178">
        <f>IF(COUNT(OQ17:OQ19)=0,"",SUM(OQ17:OQ19)/COUNT(OQ17:OQ19))</f>
        <v>3</v>
      </c>
      <c r="OR16" s="194" t="str">
        <f t="shared" si="89"/>
        <v>B</v>
      </c>
      <c r="OS16" s="172"/>
      <c r="OT16" s="109"/>
      <c r="OU16" s="109"/>
      <c r="OV16" s="110"/>
      <c r="OW16" s="178">
        <f>IF(COUNT(OW17:OW19)=0,"",SUM(OW17:OW19)/COUNT(OW17:OW19))</f>
        <v>3.3333333333333335</v>
      </c>
      <c r="OX16" s="202" t="str">
        <f t="shared" si="90"/>
        <v>B</v>
      </c>
      <c r="OY16" s="203">
        <f>IF(COUNT(OY17:OY19)=0,"",SUM(OY17:OY19)/COUNT(OY17:OY19))</f>
        <v>3</v>
      </c>
      <c r="OZ16" s="204" t="str">
        <f t="shared" si="91"/>
        <v>B</v>
      </c>
      <c r="PA16" s="215"/>
      <c r="PB16" s="84"/>
      <c r="PC16" s="104"/>
      <c r="PD16" s="178" t="str">
        <f>IF(COUNT(PD17:PD19)=0,"",SUM(PD17:PD19)/COUNT(PD17:PD19))</f>
        <v/>
      </c>
      <c r="PE16" s="179" t="str">
        <f t="shared" si="92"/>
        <v/>
      </c>
      <c r="PF16" s="171"/>
      <c r="PG16" s="84"/>
      <c r="PH16" s="84"/>
      <c r="PI16" s="178">
        <f>IF(COUNT(PI17:PI19)=0,"",SUM(PI17:PI19)/COUNT(PI17:PI19))</f>
        <v>2.5</v>
      </c>
      <c r="PJ16" s="194" t="str">
        <f t="shared" si="93"/>
        <v>C</v>
      </c>
      <c r="PK16" s="172"/>
      <c r="PL16" s="109"/>
      <c r="PM16" s="109"/>
      <c r="PN16" s="110"/>
      <c r="PO16" s="178">
        <f>IF(COUNT(PO17:PO19)=0,"",SUM(PO17:PO19)/COUNT(PO17:PO19))</f>
        <v>2.4166666666666665</v>
      </c>
      <c r="PP16" s="202" t="str">
        <f t="shared" si="94"/>
        <v>C</v>
      </c>
      <c r="PQ16" s="203">
        <f>IF(COUNT(PQ17:PQ19)=0,"",SUM(PQ17:PQ19)/COUNT(PQ17:PQ19))</f>
        <v>2.375</v>
      </c>
      <c r="PR16" s="204" t="str">
        <f t="shared" si="95"/>
        <v>C</v>
      </c>
      <c r="PS16" s="215"/>
      <c r="PT16" s="84"/>
      <c r="PU16" s="104"/>
      <c r="PV16" s="178">
        <f>IF(COUNT(PV17:PV19)=0,"",SUM(PV17:PV19)/COUNT(PV17:PV19))</f>
        <v>3.25</v>
      </c>
      <c r="PW16" s="179" t="str">
        <f t="shared" si="96"/>
        <v>B</v>
      </c>
      <c r="PX16" s="171"/>
      <c r="PY16" s="84"/>
      <c r="PZ16" s="84"/>
      <c r="QA16" s="178">
        <f>IF(COUNT(QA17:QA19)=0,"",SUM(QA17:QA19)/COUNT(QA17:QA19))</f>
        <v>3</v>
      </c>
      <c r="QB16" s="194" t="str">
        <f t="shared" si="97"/>
        <v>B</v>
      </c>
      <c r="QC16" s="172"/>
      <c r="QD16" s="109"/>
      <c r="QE16" s="109"/>
      <c r="QF16" s="110"/>
      <c r="QG16" s="178">
        <f>IF(COUNT(QG17:QG19)=0,"",SUM(QG17:QG19)/COUNT(QG17:QG19))</f>
        <v>3.3333333333333335</v>
      </c>
      <c r="QH16" s="202" t="str">
        <f t="shared" si="98"/>
        <v>B</v>
      </c>
      <c r="QI16" s="203">
        <f>IF(COUNT(QI17:QI19)=0,"",SUM(QI17:QI19)/COUNT(QI17:QI19))</f>
        <v>3.1666666666666665</v>
      </c>
      <c r="QJ16" s="204" t="str">
        <f t="shared" si="99"/>
        <v>B</v>
      </c>
      <c r="QK16" s="215"/>
      <c r="QL16" s="84"/>
      <c r="QM16" s="104"/>
      <c r="QN16" s="178">
        <f>IF(COUNT(QN17:QN19)=0,"",SUM(QN17:QN19)/COUNT(QN17:QN19))</f>
        <v>1.75</v>
      </c>
      <c r="QO16" s="179" t="str">
        <f t="shared" si="100"/>
        <v>C</v>
      </c>
      <c r="QP16" s="171"/>
      <c r="QQ16" s="84"/>
      <c r="QR16" s="84"/>
      <c r="QS16" s="178">
        <f>IF(COUNT(QS17:QS19)=0,"",SUM(QS17:QS19)/COUNT(QS17:QS19))</f>
        <v>1.9166666666666667</v>
      </c>
      <c r="QT16" s="194" t="str">
        <f t="shared" si="101"/>
        <v>C</v>
      </c>
      <c r="QU16" s="172"/>
      <c r="QV16" s="109"/>
      <c r="QW16" s="109"/>
      <c r="QX16" s="110"/>
      <c r="QY16" s="178">
        <f>IF(COUNT(QY17:QY19)=0,"",SUM(QY17:QY19)/COUNT(QY17:QY19))</f>
        <v>2.75</v>
      </c>
      <c r="QZ16" s="202" t="str">
        <f t="shared" si="102"/>
        <v>C</v>
      </c>
      <c r="RA16" s="203">
        <f>IF(COUNT(RA17:RA19)=0,"",SUM(RA17:RA19)/COUNT(RA17:RA19))</f>
        <v>2.3981481481481484</v>
      </c>
      <c r="RB16" s="204" t="str">
        <f t="shared" si="103"/>
        <v>C</v>
      </c>
      <c r="RC16" s="215"/>
      <c r="RD16" s="84"/>
      <c r="RE16" s="104"/>
      <c r="RF16" s="178">
        <f>IF(COUNT(RF17:RF19)=0,"",SUM(RF17:RF19)/COUNT(RF17:RF19))</f>
        <v>2</v>
      </c>
      <c r="RG16" s="179" t="str">
        <f t="shared" si="104"/>
        <v>C</v>
      </c>
      <c r="RH16" s="171"/>
      <c r="RI16" s="84"/>
      <c r="RJ16" s="84"/>
      <c r="RK16" s="178">
        <f>IF(COUNT(RK17:RK19)=0,"",SUM(RK17:RK19)/COUNT(RK17:RK19))</f>
        <v>2</v>
      </c>
      <c r="RL16" s="194" t="str">
        <f t="shared" si="105"/>
        <v>C</v>
      </c>
      <c r="RM16" s="172"/>
      <c r="RN16" s="109"/>
      <c r="RO16" s="109"/>
      <c r="RP16" s="110"/>
      <c r="RQ16" s="178">
        <f>IF(COUNT(RQ17:RQ19)=0,"",SUM(RQ17:RQ19)/COUNT(RQ17:RQ19))</f>
        <v>2.5833333333333335</v>
      </c>
      <c r="RR16" s="202" t="str">
        <f t="shared" si="106"/>
        <v>C</v>
      </c>
      <c r="RS16" s="203">
        <f>IF(COUNT(RS17:RS19)=0,"",SUM(RS17:RS19)/COUNT(RS17:RS19))</f>
        <v>2.4166666666666665</v>
      </c>
      <c r="RT16" s="204" t="str">
        <f t="shared" si="107"/>
        <v>C</v>
      </c>
      <c r="RU16" s="215"/>
      <c r="RV16" s="84"/>
      <c r="RW16" s="104"/>
      <c r="RX16" s="178">
        <f>IF(COUNT(RX17:RX19)=0,"",SUM(RX17:RX19)/COUNT(RX17:RX19))</f>
        <v>3.25</v>
      </c>
      <c r="RY16" s="179" t="str">
        <f t="shared" si="108"/>
        <v>B</v>
      </c>
      <c r="RZ16" s="171"/>
      <c r="SA16" s="84"/>
      <c r="SB16" s="84"/>
      <c r="SC16" s="178">
        <f>IF(COUNT(SC17:SC19)=0,"",SUM(SC17:SC19)/COUNT(SC17:SC19))</f>
        <v>3.333333333333333</v>
      </c>
      <c r="SD16" s="194" t="str">
        <f t="shared" si="109"/>
        <v>B</v>
      </c>
      <c r="SE16" s="172"/>
      <c r="SF16" s="109"/>
      <c r="SG16" s="109"/>
      <c r="SH16" s="110"/>
      <c r="SI16" s="178">
        <f>IF(COUNT(SI17:SI19)=0,"",SUM(SI17:SI19)/COUNT(SI17:SI19))</f>
        <v>2.8333333333333335</v>
      </c>
      <c r="SJ16" s="202" t="str">
        <f t="shared" si="110"/>
        <v>B</v>
      </c>
      <c r="SK16" s="203">
        <f>IF(COUNT(SK17:SK19)=0,"",SUM(SK17:SK19)/COUNT(SK17:SK19))</f>
        <v>2.8518518518518516</v>
      </c>
      <c r="SL16" s="204" t="str">
        <f t="shared" si="111"/>
        <v>B</v>
      </c>
      <c r="SM16" s="215"/>
      <c r="SN16" s="84"/>
      <c r="SO16" s="104"/>
      <c r="SP16" s="178">
        <f>IF(COUNT(SP17:SP19)=0,"",SUM(SP17:SP19)/COUNT(SP17:SP19))</f>
        <v>2.75</v>
      </c>
      <c r="SQ16" s="179" t="str">
        <f t="shared" si="112"/>
        <v>C</v>
      </c>
      <c r="SR16" s="171"/>
      <c r="SS16" s="84"/>
      <c r="ST16" s="84"/>
      <c r="SU16" s="178">
        <f>IF(COUNT(SU17:SU19)=0,"",SUM(SU17:SU19)/COUNT(SU17:SU19))</f>
        <v>3.25</v>
      </c>
      <c r="SV16" s="194" t="str">
        <f t="shared" si="113"/>
        <v>B</v>
      </c>
      <c r="SW16" s="172"/>
      <c r="SX16" s="109"/>
      <c r="SY16" s="109"/>
      <c r="SZ16" s="110"/>
      <c r="TA16" s="178">
        <f>IF(COUNT(TA17:TA19)=0,"",SUM(TA17:TA19)/COUNT(TA17:TA19))</f>
        <v>2.7777777777777781</v>
      </c>
      <c r="TB16" s="202" t="str">
        <f t="shared" si="114"/>
        <v>C</v>
      </c>
      <c r="TC16" s="203">
        <f>IF(COUNT(TC17:TC19)=0,"",SUM(TC17:TC19)/COUNT(TC17:TC19))</f>
        <v>2.925925925925926</v>
      </c>
      <c r="TD16" s="204" t="str">
        <f t="shared" si="115"/>
        <v>B</v>
      </c>
      <c r="TE16" s="215"/>
      <c r="TF16" s="84"/>
      <c r="TG16" s="104"/>
      <c r="TH16" s="178">
        <f>IF(COUNT(TH17:TH19)=0,"",SUM(TH17:TH19)/COUNT(TH17:TH19))</f>
        <v>1.75</v>
      </c>
      <c r="TI16" s="179" t="str">
        <f t="shared" si="116"/>
        <v>C</v>
      </c>
      <c r="TJ16" s="171"/>
      <c r="TK16" s="84"/>
      <c r="TL16" s="84"/>
      <c r="TM16" s="178">
        <f>IF(COUNT(TM17:TM19)=0,"",SUM(TM17:TM19)/COUNT(TM17:TM19))</f>
        <v>2.333333333333333</v>
      </c>
      <c r="TN16" s="194" t="str">
        <f t="shared" si="117"/>
        <v>C</v>
      </c>
      <c r="TO16" s="172"/>
      <c r="TP16" s="109"/>
      <c r="TQ16" s="109"/>
      <c r="TR16" s="110"/>
      <c r="TS16" s="178">
        <f>IF(COUNT(TS17:TS19)=0,"",SUM(TS17:TS19)/COUNT(TS17:TS19))</f>
        <v>2.6666666666666665</v>
      </c>
      <c r="TT16" s="202" t="str">
        <f t="shared" si="118"/>
        <v>C</v>
      </c>
      <c r="TU16" s="203">
        <f>IF(COUNT(TU17:TU19)=0,"",SUM(TU17:TU19)/COUNT(TU17:TU19))</f>
        <v>2.2407407407407409</v>
      </c>
      <c r="TV16" s="204" t="str">
        <f t="shared" si="119"/>
        <v>C</v>
      </c>
    </row>
    <row r="17" spans="1:542" ht="18" customHeight="1" x14ac:dyDescent="0.25">
      <c r="A17" s="234" t="s">
        <v>21</v>
      </c>
      <c r="B17" s="235"/>
      <c r="C17" s="122"/>
      <c r="D17" s="123" t="s">
        <v>27</v>
      </c>
      <c r="E17" s="124"/>
      <c r="F17" s="180">
        <f>IFERROR((((COUNTIF('Elève (5ème1)'!C17:E17,"A"))*4)+((COUNTIF('Elève (5ème1)'!C17:E17,"B"))*3)+((COUNTIF('Elève (5ème1)'!C17:E17,"C"))*2)+((COUNTIF('Elève (5ème1)'!C17:E17,"D"))*1))/(COUNTA(C17:E17)),"")</f>
        <v>4</v>
      </c>
      <c r="G17" s="181" t="str">
        <f t="shared" si="0"/>
        <v>A</v>
      </c>
      <c r="H17" s="122"/>
      <c r="I17" s="123" t="s">
        <v>28</v>
      </c>
      <c r="J17" s="124" t="s">
        <v>29</v>
      </c>
      <c r="K17" s="180">
        <f>IFERROR((((COUNTIF('Elève (5ème1)'!H17:J17,"A"))*4)+((COUNTIF('Elève (5ème1)'!H17:J17,"B"))*3)+((COUNTIF('Elève (5ème1)'!H17:J17,"C"))*2)+((COUNTIF('Elève (5ème1)'!H17:J17,"D"))*1))/(COUNTA(H17:J17)),"")</f>
        <v>2.5</v>
      </c>
      <c r="L17" s="181" t="str">
        <f t="shared" si="1"/>
        <v>C</v>
      </c>
      <c r="M17" s="122" t="s">
        <v>28</v>
      </c>
      <c r="N17" s="123"/>
      <c r="O17" s="124"/>
      <c r="P17" s="124" t="s">
        <v>29</v>
      </c>
      <c r="Q17" s="180">
        <f>IFERROR((((COUNTIF('Elève (5ème1)'!M17:P17,"A"))*4)+((COUNTIF('Elève (5ème1)'!M17:P17,"B"))*3)+((COUNTIF('Elève (5ème1)'!M17:P17,"C"))*2)+((COUNTIF('Elève (5ème1)'!M17:P17,"D"))*1))/(COUNTA(M17:P17)),"")</f>
        <v>2.5</v>
      </c>
      <c r="R17" s="181" t="str">
        <f t="shared" si="2"/>
        <v>C</v>
      </c>
      <c r="S17" s="180">
        <f>IF(COUNT(F17,K17,Q17)=0,"",SUM(F17,K17,Q17)/COUNT(F17,K17,Q17))</f>
        <v>3</v>
      </c>
      <c r="T17" s="210" t="str">
        <f t="shared" si="3"/>
        <v>B</v>
      </c>
      <c r="U17" s="122"/>
      <c r="V17" s="123" t="s">
        <v>29</v>
      </c>
      <c r="W17" s="124"/>
      <c r="X17" s="180">
        <f>IFERROR((((COUNTIF('Elève (5ème1)'!U17:W17,"A"))*4)+((COUNTIF('Elève (5ème1)'!U17:W17,"B"))*3)+((COUNTIF('Elève (5ème1)'!U17:W17,"C"))*2)+((COUNTIF('Elève (5ème1)'!U17:W17,"D"))*1))/(COUNTA(U17:W17)),"")</f>
        <v>2</v>
      </c>
      <c r="Y17" s="181" t="str">
        <f t="shared" si="4"/>
        <v>C</v>
      </c>
      <c r="Z17" s="122"/>
      <c r="AA17" s="123" t="s">
        <v>27</v>
      </c>
      <c r="AB17" s="124" t="s">
        <v>29</v>
      </c>
      <c r="AC17" s="180">
        <f>IFERROR((((COUNTIF('Elève (5ème1)'!Z17:AB17,"A"))*4)+((COUNTIF('Elève (5ème1)'!Z17:AB17,"B"))*3)+((COUNTIF('Elève (5ème1)'!Z17:AB17,"C"))*2)+((COUNTIF('Elève (5ème1)'!Z17:AB17,"D"))*1))/(COUNTA(Z17:AB17)),"")</f>
        <v>3</v>
      </c>
      <c r="AD17" s="181" t="str">
        <f t="shared" si="5"/>
        <v>B</v>
      </c>
      <c r="AE17" s="122" t="s">
        <v>30</v>
      </c>
      <c r="AF17" s="123"/>
      <c r="AG17" s="124"/>
      <c r="AH17" s="128" t="s">
        <v>29</v>
      </c>
      <c r="AI17" s="180">
        <f>IFERROR((((COUNTIF('Elève (5ème1)'!AE17:AH17,"A"))*4)+((COUNTIF('Elève (5ème1)'!AE17:AH17,"B"))*3)+((COUNTIF('Elève (5ème1)'!AE17:AH17,"C"))*2)+((COUNTIF('Elève (5ème1)'!AE17:AH17,"D"))*1))/(COUNTA(AE17:AH17)),"")</f>
        <v>1.5</v>
      </c>
      <c r="AJ17" s="181" t="str">
        <f t="shared" si="6"/>
        <v>D</v>
      </c>
      <c r="AK17" s="180">
        <f>IF(COUNT(X17,AC17,AI17)=0,"",SUM(X17,AC17,AI17)/COUNT(X17,AC17,AI17))</f>
        <v>2.1666666666666665</v>
      </c>
      <c r="AL17" s="210" t="str">
        <f t="shared" si="7"/>
        <v>C</v>
      </c>
      <c r="AM17" s="122"/>
      <c r="AN17" s="123" t="s">
        <v>29</v>
      </c>
      <c r="AO17" s="124"/>
      <c r="AP17" s="180">
        <f>IFERROR((((COUNTIF('Elève (5ème1)'!AM17:AO17,"A"))*4)+((COUNTIF('Elève (5ème1)'!AM17:AO17,"B"))*3)+((COUNTIF('Elève (5ème1)'!AM17:AO17,"C"))*2)+((COUNTIF('Elève (5ème1)'!AM17:AO17,"D"))*1))/(COUNTA(AM17:AO17)),"")</f>
        <v>2</v>
      </c>
      <c r="AQ17" s="181" t="str">
        <f t="shared" si="8"/>
        <v>C</v>
      </c>
      <c r="AR17" s="122"/>
      <c r="AS17" s="123" t="s">
        <v>29</v>
      </c>
      <c r="AT17" s="124" t="s">
        <v>27</v>
      </c>
      <c r="AU17" s="180">
        <f>IFERROR((((COUNTIF('Elève (5ème1)'!AR17:AT17,"A"))*4)+((COUNTIF('Elève (5ème1)'!AR17:AT17,"B"))*3)+((COUNTIF('Elève (5ème1)'!AR17:AT17,"C"))*2)+((COUNTIF('Elève (5ème1)'!AR17:AT17,"D"))*1))/(COUNTA(AR17:AT17)),"")</f>
        <v>3</v>
      </c>
      <c r="AV17" s="181" t="str">
        <f t="shared" si="9"/>
        <v>B</v>
      </c>
      <c r="AW17" s="122" t="s">
        <v>28</v>
      </c>
      <c r="AX17" s="123"/>
      <c r="AY17" s="124"/>
      <c r="AZ17" s="128" t="s">
        <v>28</v>
      </c>
      <c r="BA17" s="180">
        <f>IFERROR((((COUNTIF('Elève (5ème1)'!AW17:AZ17,"A"))*4)+((COUNTIF('Elève (5ème1)'!AW17:AZ17,"B"))*3)+((COUNTIF('Elève (5ème1)'!AW17:AZ17,"C"))*2)+((COUNTIF('Elève (5ème1)'!AW17:AZ17,"D"))*1))/(COUNTA(AW17:AZ17)),"")</f>
        <v>3</v>
      </c>
      <c r="BB17" s="181" t="str">
        <f t="shared" si="10"/>
        <v>B</v>
      </c>
      <c r="BC17" s="180">
        <f>IF(COUNT(AP17,AU17,BA17)=0,"",SUM(AP17,AU17,BA17)/COUNT(AP17,AU17,BA17))</f>
        <v>2.6666666666666665</v>
      </c>
      <c r="BD17" s="210" t="str">
        <f t="shared" si="11"/>
        <v>C</v>
      </c>
      <c r="BE17" s="122"/>
      <c r="BF17" s="123" t="s">
        <v>29</v>
      </c>
      <c r="BG17" s="124"/>
      <c r="BH17" s="180">
        <f>IFERROR((((COUNTIF('Elève (5ème1)'!BE17:BG17,"A"))*4)+((COUNTIF('Elève (5ème1)'!BE17:BG17,"B"))*3)+((COUNTIF('Elève (5ème1)'!BE17:BG17,"C"))*2)+((COUNTIF('Elève (5ème1)'!BE17:BG17,"D"))*1))/(COUNTA(BE17:BG17)),"")</f>
        <v>2</v>
      </c>
      <c r="BI17" s="181" t="str">
        <f t="shared" si="12"/>
        <v>C</v>
      </c>
      <c r="BJ17" s="122"/>
      <c r="BK17" s="123" t="s">
        <v>28</v>
      </c>
      <c r="BL17" s="124" t="s">
        <v>29</v>
      </c>
      <c r="BM17" s="180">
        <f>IFERROR((((COUNTIF('Elève (5ème1)'!BJ17:BL17,"A"))*4)+((COUNTIF('Elève (5ème1)'!BJ17:BL17,"B"))*3)+((COUNTIF('Elève (5ème1)'!BJ17:BL17,"C"))*2)+((COUNTIF('Elève (5ème1)'!BJ17:BL17,"D"))*1))/(COUNTA(BJ17:BL17)),"")</f>
        <v>2.5</v>
      </c>
      <c r="BN17" s="181" t="str">
        <f t="shared" si="13"/>
        <v>C</v>
      </c>
      <c r="BO17" s="122" t="s">
        <v>29</v>
      </c>
      <c r="BP17" s="123"/>
      <c r="BQ17" s="124"/>
      <c r="BR17" s="128" t="s">
        <v>29</v>
      </c>
      <c r="BS17" s="180">
        <f>IFERROR((((COUNTIF('Elève (5ème1)'!BO17:BR17,"A"))*4)+((COUNTIF('Elève (5ème1)'!BO17:BR17,"B"))*3)+((COUNTIF('Elève (5ème1)'!BO17:BR17,"C"))*2)+((COUNTIF('Elève (5ème1)'!BO17:BR17,"D"))*1))/(COUNTA(BO17:BR17)),"")</f>
        <v>2</v>
      </c>
      <c r="BT17" s="181" t="str">
        <f t="shared" si="14"/>
        <v>C</v>
      </c>
      <c r="BU17" s="180">
        <f>IF(COUNT(BH17,BM17,BS17)=0,"",SUM(BH17,BM17,BS17)/COUNT(BH17,BM17,BS17))</f>
        <v>2.1666666666666665</v>
      </c>
      <c r="BV17" s="210" t="str">
        <f t="shared" si="15"/>
        <v>C</v>
      </c>
      <c r="BW17" s="122"/>
      <c r="BX17" s="123" t="s">
        <v>29</v>
      </c>
      <c r="BY17" s="124"/>
      <c r="BZ17" s="180">
        <f>IFERROR((((COUNTIF('Elève (5ème1)'!BW17:BY17,"A"))*4)+((COUNTIF('Elève (5ème1)'!BW17:BY17,"B"))*3)+((COUNTIF('Elève (5ème1)'!BW17:BY17,"C"))*2)+((COUNTIF('Elève (5ème1)'!BW17:BY17,"D"))*1))/(COUNTA(BW17:BY17)),"")</f>
        <v>2</v>
      </c>
      <c r="CA17" s="181" t="str">
        <f t="shared" si="16"/>
        <v>C</v>
      </c>
      <c r="CB17" s="122"/>
      <c r="CC17" s="123" t="s">
        <v>28</v>
      </c>
      <c r="CD17" s="124" t="s">
        <v>29</v>
      </c>
      <c r="CE17" s="180">
        <f>IFERROR((((COUNTIF('Elève (5ème1)'!CB17:CD17,"A"))*4)+((COUNTIF('Elève (5ème1)'!CB17:CD17,"B"))*3)+((COUNTIF('Elève (5ème1)'!CB17:CD17,"C"))*2)+((COUNTIF('Elève (5ème1)'!CB17:CD17,"D"))*1))/(COUNTA(CB17:CD17)),"")</f>
        <v>2.5</v>
      </c>
      <c r="CF17" s="181" t="str">
        <f t="shared" si="17"/>
        <v>C</v>
      </c>
      <c r="CG17" s="122" t="s">
        <v>28</v>
      </c>
      <c r="CH17" s="123"/>
      <c r="CI17" s="124"/>
      <c r="CJ17" s="128" t="s">
        <v>28</v>
      </c>
      <c r="CK17" s="180">
        <f>IFERROR((((COUNTIF('Elève (5ème1)'!CG17:CJ17,"A"))*4)+((COUNTIF('Elève (5ème1)'!CG17:CJ17,"B"))*3)+((COUNTIF('Elève (5ème1)'!CG17:CJ17,"C"))*2)+((COUNTIF('Elève (5ème1)'!CG17:CJ17,"D"))*1))/(COUNTA(CG17:CJ17)),"")</f>
        <v>3</v>
      </c>
      <c r="CL17" s="181" t="str">
        <f t="shared" si="18"/>
        <v>B</v>
      </c>
      <c r="CM17" s="180">
        <f>IF(COUNT(BZ17,CE17,CK17)=0,"",SUM(BZ17,CE17,CK17)/COUNT(BZ17,CE17,CK17))</f>
        <v>2.5</v>
      </c>
      <c r="CN17" s="210" t="str">
        <f t="shared" si="19"/>
        <v>C</v>
      </c>
      <c r="CO17" s="122"/>
      <c r="CP17" s="123" t="s">
        <v>29</v>
      </c>
      <c r="CQ17" s="124"/>
      <c r="CR17" s="180">
        <f>IFERROR((((COUNTIF('Elève (5ème1)'!CO17:CQ17,"A"))*4)+((COUNTIF('Elève (5ème1)'!CO17:CQ17,"B"))*3)+((COUNTIF('Elève (5ème1)'!CO17:CQ17,"C"))*2)+((COUNTIF('Elève (5ème1)'!CO17:CQ17,"D"))*1))/(COUNTA(CO17:CQ17)),"")</f>
        <v>2</v>
      </c>
      <c r="CS17" s="181" t="str">
        <f t="shared" si="20"/>
        <v>C</v>
      </c>
      <c r="CT17" s="122"/>
      <c r="CU17" s="123" t="s">
        <v>29</v>
      </c>
      <c r="CV17" s="124" t="s">
        <v>28</v>
      </c>
      <c r="CW17" s="180">
        <f>IFERROR((((COUNTIF('Elève (5ème1)'!CT17:CV17,"A"))*4)+((COUNTIF('Elève (5ème1)'!CT17:CV17,"B"))*3)+((COUNTIF('Elève (5ème1)'!CT17:CV17,"C"))*2)+((COUNTIF('Elève (5ème1)'!CT17:CV17,"D"))*1))/(COUNTA(CT17:CV17)),"")</f>
        <v>2.5</v>
      </c>
      <c r="CX17" s="181" t="str">
        <f t="shared" si="21"/>
        <v>C</v>
      </c>
      <c r="CY17" s="122" t="s">
        <v>30</v>
      </c>
      <c r="CZ17" s="123"/>
      <c r="DA17" s="124"/>
      <c r="DB17" s="128" t="s">
        <v>30</v>
      </c>
      <c r="DC17" s="180">
        <f>IFERROR((((COUNTIF('Elève (5ème1)'!CY17:DB17,"A"))*4)+((COUNTIF('Elève (5ème1)'!CY17:DB17,"B"))*3)+((COUNTIF('Elève (5ème1)'!CY17:DB17,"C"))*2)+((COUNTIF('Elève (5ème1)'!CY17:DB17,"D"))*1))/(COUNTA(CY17:DB17)),"")</f>
        <v>1</v>
      </c>
      <c r="DD17" s="181" t="str">
        <f t="shared" si="22"/>
        <v>D</v>
      </c>
      <c r="DE17" s="180">
        <f>IF(COUNT(CR17,CW17,DC17)=0,"",SUM(CR17,CW17,DC17)/COUNT(CR17,CW17,DC17))</f>
        <v>1.8333333333333333</v>
      </c>
      <c r="DF17" s="210" t="str">
        <f t="shared" si="23"/>
        <v>C</v>
      </c>
      <c r="DG17" s="122"/>
      <c r="DH17" s="123" t="s">
        <v>28</v>
      </c>
      <c r="DI17" s="124"/>
      <c r="DJ17" s="180">
        <f>IFERROR((((COUNTIF('Elève (5ème1)'!DG17:DI17,"A"))*4)+((COUNTIF('Elève (5ème1)'!DG17:DI17,"B"))*3)+((COUNTIF('Elève (5ème1)'!DG17:DI17,"C"))*2)+((COUNTIF('Elève (5ème1)'!DG17:DI17,"D"))*1))/(COUNTA(DG17:DI17)),"")</f>
        <v>3</v>
      </c>
      <c r="DK17" s="181" t="str">
        <f t="shared" si="24"/>
        <v>B</v>
      </c>
      <c r="DL17" s="122"/>
      <c r="DM17" s="123" t="s">
        <v>27</v>
      </c>
      <c r="DN17" s="124" t="s">
        <v>27</v>
      </c>
      <c r="DO17" s="180">
        <f>IFERROR((((COUNTIF('Elève (5ème1)'!DL17:DN17,"A"))*4)+((COUNTIF('Elève (5ème1)'!DL17:DN17,"B"))*3)+((COUNTIF('Elève (5ème1)'!DL17:DN17,"C"))*2)+((COUNTIF('Elève (5ème1)'!DL17:DN17,"D"))*1))/(COUNTA(DL17:DN17)),"")</f>
        <v>4</v>
      </c>
      <c r="DP17" s="181" t="str">
        <f t="shared" si="25"/>
        <v>A</v>
      </c>
      <c r="DQ17" s="122" t="s">
        <v>28</v>
      </c>
      <c r="DR17" s="123"/>
      <c r="DS17" s="124"/>
      <c r="DT17" s="128" t="s">
        <v>28</v>
      </c>
      <c r="DU17" s="180">
        <f>IFERROR((((COUNTIF('Elève (5ème1)'!DQ17:DT17,"A"))*4)+((COUNTIF('Elève (5ème1)'!DQ17:DT17,"B"))*3)+((COUNTIF('Elève (5ème1)'!DQ17:DT17,"C"))*2)+((COUNTIF('Elève (5ème1)'!DQ17:DT17,"D"))*1))/(COUNTA(DQ17:DT17)),"")</f>
        <v>3</v>
      </c>
      <c r="DV17" s="181" t="str">
        <f t="shared" si="26"/>
        <v>B</v>
      </c>
      <c r="DW17" s="180">
        <f>IF(COUNT(DJ17,DO17,DU17)=0,"",SUM(DJ17,DO17,DU17)/COUNT(DJ17,DO17,DU17))</f>
        <v>3.3333333333333335</v>
      </c>
      <c r="DX17" s="210" t="str">
        <f t="shared" si="27"/>
        <v>B</v>
      </c>
      <c r="DY17" s="122"/>
      <c r="DZ17" s="123" t="s">
        <v>30</v>
      </c>
      <c r="EA17" s="124"/>
      <c r="EB17" s="180">
        <f>IFERROR((((COUNTIF('Elève (5ème1)'!DY17:EA17,"A"))*4)+((COUNTIF('Elève (5ème1)'!DY17:EA17,"B"))*3)+((COUNTIF('Elève (5ème1)'!DY17:EA17,"C"))*2)+((COUNTIF('Elève (5ème1)'!DY17:EA17,"D"))*1))/(COUNTA(DY17:EA17)),"")</f>
        <v>1</v>
      </c>
      <c r="EC17" s="181" t="str">
        <f t="shared" si="28"/>
        <v>D</v>
      </c>
      <c r="ED17" s="122"/>
      <c r="EE17" s="123" t="s">
        <v>28</v>
      </c>
      <c r="EF17" s="124" t="s">
        <v>30</v>
      </c>
      <c r="EG17" s="180">
        <f>IFERROR((((COUNTIF('Elève (5ème1)'!ED17:EF17,"A"))*4)+((COUNTIF('Elève (5ème1)'!ED17:EF17,"B"))*3)+((COUNTIF('Elève (5ème1)'!ED17:EF17,"C"))*2)+((COUNTIF('Elève (5ème1)'!ED17:EF17,"D"))*1))/(COUNTA(ED17:EF17)),"")</f>
        <v>2</v>
      </c>
      <c r="EH17" s="181" t="str">
        <f t="shared" si="29"/>
        <v>C</v>
      </c>
      <c r="EI17" s="122" t="s">
        <v>28</v>
      </c>
      <c r="EJ17" s="123"/>
      <c r="EK17" s="124"/>
      <c r="EL17" s="128" t="s">
        <v>28</v>
      </c>
      <c r="EM17" s="180">
        <f>IFERROR((((COUNTIF('Elève (5ème1)'!EI17:EL17,"A"))*4)+((COUNTIF('Elève (5ème1)'!EI17:EL17,"B"))*3)+((COUNTIF('Elève (5ème1)'!EI17:EL17,"C"))*2)+((COUNTIF('Elève (5ème1)'!EI17:EL17,"D"))*1))/(COUNTA(EI17:EL17)),"")</f>
        <v>3</v>
      </c>
      <c r="EN17" s="181" t="str">
        <f t="shared" si="30"/>
        <v>B</v>
      </c>
      <c r="EO17" s="180">
        <f>IF(COUNT(EB17,EG17,EM17)=0,"",SUM(EB17,EG17,EM17)/COUNT(EB17,EG17,EM17))</f>
        <v>2</v>
      </c>
      <c r="EP17" s="210" t="str">
        <f t="shared" si="31"/>
        <v>C</v>
      </c>
      <c r="EQ17" s="122"/>
      <c r="ER17" s="123"/>
      <c r="ES17" s="124"/>
      <c r="ET17" s="180" t="str">
        <f>IFERROR((((COUNTIF('Elève (5ème1)'!EQ17:ES17,"A"))*4)+((COUNTIF('Elève (5ème1)'!EQ17:ES17,"B"))*3)+((COUNTIF('Elève (5ème1)'!EQ17:ES17,"C"))*2)+((COUNTIF('Elève (5ème1)'!EQ17:ES17,"D"))*1))/(COUNTA(EQ17:ES17)),"")</f>
        <v/>
      </c>
      <c r="EU17" s="181" t="str">
        <f t="shared" si="32"/>
        <v/>
      </c>
      <c r="EV17" s="122"/>
      <c r="EW17" s="123" t="s">
        <v>29</v>
      </c>
      <c r="EX17" s="124" t="s">
        <v>29</v>
      </c>
      <c r="EY17" s="180">
        <f>IFERROR((((COUNTIF('Elève (5ème1)'!EV17:EX17,"A"))*4)+((COUNTIF('Elève (5ème1)'!EV17:EX17,"B"))*3)+((COUNTIF('Elève (5ème1)'!EV17:EX17,"C"))*2)+((COUNTIF('Elève (5ème1)'!EV17:EX17,"D"))*1))/(COUNTA(EV17:EX17)),"")</f>
        <v>2</v>
      </c>
      <c r="EZ17" s="181" t="str">
        <f t="shared" si="33"/>
        <v>C</v>
      </c>
      <c r="FA17" s="122" t="s">
        <v>29</v>
      </c>
      <c r="FB17" s="123"/>
      <c r="FC17" s="124"/>
      <c r="FD17" s="128" t="s">
        <v>28</v>
      </c>
      <c r="FE17" s="180">
        <f>IFERROR((((COUNTIF('Elève (5ème1)'!FA17:FD17,"A"))*4)+((COUNTIF('Elève (5ème1)'!FA17:FD17,"B"))*3)+((COUNTIF('Elève (5ème1)'!FA17:FD17,"C"))*2)+((COUNTIF('Elève (5ème1)'!FA17:FD17,"D"))*1))/(COUNTA(FA17:FD17)),"")</f>
        <v>2.5</v>
      </c>
      <c r="FF17" s="181" t="str">
        <f t="shared" si="34"/>
        <v>C</v>
      </c>
      <c r="FG17" s="180">
        <f>IF(COUNT(ET17,EY17,FE17)=0,"",SUM(ET17,EY17,FE17)/COUNT(ET17,EY17,FE17))</f>
        <v>2.25</v>
      </c>
      <c r="FH17" s="210" t="str">
        <f t="shared" si="35"/>
        <v>C</v>
      </c>
      <c r="FI17" s="122"/>
      <c r="FJ17" s="123" t="s">
        <v>27</v>
      </c>
      <c r="FK17" s="124"/>
      <c r="FL17" s="180">
        <f>IFERROR((((COUNTIF('Elève (5ème1)'!FI17:FK17,"A"))*4)+((COUNTIF('Elève (5ème1)'!FI17:FK17,"B"))*3)+((COUNTIF('Elève (5ème1)'!FI17:FK17,"C"))*2)+((COUNTIF('Elève (5ème1)'!FI17:FK17,"D"))*1))/(COUNTA(FI17:FK17)),"")</f>
        <v>4</v>
      </c>
      <c r="FM17" s="181" t="str">
        <f t="shared" si="36"/>
        <v>A</v>
      </c>
      <c r="FN17" s="122"/>
      <c r="FO17" s="123" t="s">
        <v>27</v>
      </c>
      <c r="FP17" s="124"/>
      <c r="FQ17" s="180">
        <f>IFERROR((((COUNTIF('Elève (5ème1)'!FN17:FP17,"A"))*4)+((COUNTIF('Elève (5ème1)'!FN17:FP17,"B"))*3)+((COUNTIF('Elève (5ème1)'!FN17:FP17,"C"))*2)+((COUNTIF('Elève (5ème1)'!FN17:FP17,"D"))*1))/(COUNTA(FN17:FP17)),"")</f>
        <v>4</v>
      </c>
      <c r="FR17" s="181" t="str">
        <f t="shared" si="37"/>
        <v>A</v>
      </c>
      <c r="FS17" s="122" t="s">
        <v>29</v>
      </c>
      <c r="FT17" s="123"/>
      <c r="FU17" s="124"/>
      <c r="FV17" s="128" t="s">
        <v>28</v>
      </c>
      <c r="FW17" s="180">
        <f>IFERROR((((COUNTIF('Elève (5ème1)'!FS17:FV17,"A"))*4)+((COUNTIF('Elève (5ème1)'!FS17:FV17,"B"))*3)+((COUNTIF('Elève (5ème1)'!FS17:FV17,"C"))*2)+((COUNTIF('Elève (5ème1)'!FS17:FV17,"D"))*1))/(COUNTA(FS17:FV17)),"")</f>
        <v>2.5</v>
      </c>
      <c r="FX17" s="181" t="str">
        <f t="shared" si="38"/>
        <v>C</v>
      </c>
      <c r="FY17" s="180">
        <f>IF(COUNT(FL17,FQ17,FW17)=0,"",SUM(FL17,FQ17,FW17)/COUNT(FL17,FQ17,FW17))</f>
        <v>3.5</v>
      </c>
      <c r="FZ17" s="210" t="str">
        <f t="shared" si="39"/>
        <v>B</v>
      </c>
      <c r="GA17" s="122"/>
      <c r="GB17" s="123" t="s">
        <v>29</v>
      </c>
      <c r="GC17" s="124"/>
      <c r="GD17" s="180">
        <f>IFERROR((((COUNTIF('Elève (5ème1)'!GA17:GC17,"A"))*4)+((COUNTIF('Elève (5ème1)'!GA17:GC17,"B"))*3)+((COUNTIF('Elève (5ème1)'!GA17:GC17,"C"))*2)+((COUNTIF('Elève (5ème1)'!GA17:GC17,"D"))*1))/(COUNTA(GA17:GC17)),"")</f>
        <v>2</v>
      </c>
      <c r="GE17" s="181" t="str">
        <f t="shared" si="40"/>
        <v>C</v>
      </c>
      <c r="GF17" s="122"/>
      <c r="GG17" s="123" t="s">
        <v>29</v>
      </c>
      <c r="GH17" s="124" t="s">
        <v>29</v>
      </c>
      <c r="GI17" s="180">
        <f>IFERROR((((COUNTIF('Elève (5ème1)'!GF17:GH17,"A"))*4)+((COUNTIF('Elève (5ème1)'!GF17:GH17,"B"))*3)+((COUNTIF('Elève (5ème1)'!GF17:GH17,"C"))*2)+((COUNTIF('Elève (5ème1)'!GF17:GH17,"D"))*1))/(COUNTA(GF17:GH17)),"")</f>
        <v>2</v>
      </c>
      <c r="GJ17" s="181" t="str">
        <f t="shared" si="41"/>
        <v>C</v>
      </c>
      <c r="GK17" s="122" t="s">
        <v>29</v>
      </c>
      <c r="GL17" s="123"/>
      <c r="GM17" s="124"/>
      <c r="GN17" s="128" t="s">
        <v>28</v>
      </c>
      <c r="GO17" s="180">
        <f>IFERROR((((COUNTIF('Elève (5ème1)'!GK17:GN17,"A"))*4)+((COUNTIF('Elève (5ème1)'!GK17:GN17,"B"))*3)+((COUNTIF('Elève (5ème1)'!GK17:GN17,"C"))*2)+((COUNTIF('Elève (5ème1)'!GK17:GN17,"D"))*1))/(COUNTA(GK17:GN17)),"")</f>
        <v>2.5</v>
      </c>
      <c r="GP17" s="181" t="str">
        <f t="shared" si="42"/>
        <v>C</v>
      </c>
      <c r="GQ17" s="180">
        <f>IF(COUNT(GD17,GI17,GO17)=0,"",SUM(GD17,GI17,GO17)/COUNT(GD17,GI17,GO17))</f>
        <v>2.1666666666666665</v>
      </c>
      <c r="GR17" s="210" t="str">
        <f t="shared" si="43"/>
        <v>C</v>
      </c>
      <c r="GS17" s="122"/>
      <c r="GT17" s="123" t="s">
        <v>29</v>
      </c>
      <c r="GU17" s="124"/>
      <c r="GV17" s="180">
        <f>IFERROR((((COUNTIF('Elève (5ème1)'!GS17:GU17,"A"))*4)+((COUNTIF('Elève (5ème1)'!GS17:GU17,"B"))*3)+((COUNTIF('Elève (5ème1)'!GS17:GU17,"C"))*2)+((COUNTIF('Elève (5ème1)'!GS17:GU17,"D"))*1))/(COUNTA(GS17:GU17)),"")</f>
        <v>2</v>
      </c>
      <c r="GW17" s="181" t="str">
        <f t="shared" si="44"/>
        <v>C</v>
      </c>
      <c r="GX17" s="122"/>
      <c r="GY17" s="123" t="s">
        <v>29</v>
      </c>
      <c r="GZ17" s="124" t="s">
        <v>27</v>
      </c>
      <c r="HA17" s="180">
        <f>IFERROR((((COUNTIF('Elève (5ème1)'!GX17:GZ17,"A"))*4)+((COUNTIF('Elève (5ème1)'!GX17:GZ17,"B"))*3)+((COUNTIF('Elève (5ème1)'!GX17:GZ17,"C"))*2)+((COUNTIF('Elève (5ème1)'!GX17:GZ17,"D"))*1))/(COUNTA(GX17:GZ17)),"")</f>
        <v>3</v>
      </c>
      <c r="HB17" s="181" t="str">
        <f t="shared" si="45"/>
        <v>B</v>
      </c>
      <c r="HC17" s="122" t="s">
        <v>29</v>
      </c>
      <c r="HD17" s="123"/>
      <c r="HE17" s="124"/>
      <c r="HF17" s="128" t="s">
        <v>28</v>
      </c>
      <c r="HG17" s="180">
        <f>IFERROR((((COUNTIF('Elève (5ème1)'!HC17:HF17,"A"))*4)+((COUNTIF('Elève (5ème1)'!HC17:HF17,"B"))*3)+((COUNTIF('Elève (5ème1)'!HC17:HF17,"C"))*2)+((COUNTIF('Elève (5ème1)'!HC17:HF17,"D"))*1))/(COUNTA(HC17:HF17)),"")</f>
        <v>2.5</v>
      </c>
      <c r="HH17" s="181" t="str">
        <f t="shared" si="46"/>
        <v>C</v>
      </c>
      <c r="HI17" s="180">
        <f>IF(COUNT(GV17,HA17,HG17)=0,"",SUM(GV17,HA17,HG17)/COUNT(GV17,HA17,HG17))</f>
        <v>2.5</v>
      </c>
      <c r="HJ17" s="210" t="str">
        <f t="shared" si="47"/>
        <v>C</v>
      </c>
      <c r="HK17" s="122"/>
      <c r="HL17" s="123" t="s">
        <v>28</v>
      </c>
      <c r="HM17" s="124"/>
      <c r="HN17" s="180">
        <f>IFERROR((((COUNTIF('Elève (5ème1)'!HK17:HM17,"A"))*4)+((COUNTIF('Elève (5ème1)'!HK17:HM17,"B"))*3)+((COUNTIF('Elève (5ème1)'!HK17:HM17,"C"))*2)+((COUNTIF('Elève (5ème1)'!HK17:HM17,"D"))*1))/(COUNTA(HK17:HM17)),"")</f>
        <v>3</v>
      </c>
      <c r="HO17" s="181" t="str">
        <f t="shared" si="48"/>
        <v>B</v>
      </c>
      <c r="HP17" s="122"/>
      <c r="HQ17" s="123" t="s">
        <v>28</v>
      </c>
      <c r="HR17" s="124" t="s">
        <v>30</v>
      </c>
      <c r="HS17" s="180">
        <f>IFERROR((((COUNTIF('Elève (5ème1)'!HP17:HR17,"A"))*4)+((COUNTIF('Elève (5ème1)'!HP17:HR17,"B"))*3)+((COUNTIF('Elève (5ème1)'!HP17:HR17,"C"))*2)+((COUNTIF('Elève (5ème1)'!HP17:HR17,"D"))*1))/(COUNTA(HP17:HR17)),"")</f>
        <v>2</v>
      </c>
      <c r="HT17" s="181" t="str">
        <f t="shared" si="49"/>
        <v>C</v>
      </c>
      <c r="HU17" s="122" t="s">
        <v>29</v>
      </c>
      <c r="HV17" s="123"/>
      <c r="HW17" s="124"/>
      <c r="HX17" s="128" t="s">
        <v>28</v>
      </c>
      <c r="HY17" s="180">
        <f>IFERROR((((COUNTIF('Elève (5ème1)'!HU17:HX17,"A"))*4)+((COUNTIF('Elève (5ème1)'!HU17:HX17,"B"))*3)+((COUNTIF('Elève (5ème1)'!HU17:HX17,"C"))*2)+((COUNTIF('Elève (5ème1)'!HU17:HX17,"D"))*1))/(COUNTA(HU17:HX17)),"")</f>
        <v>2.5</v>
      </c>
      <c r="HZ17" s="181" t="str">
        <f t="shared" si="50"/>
        <v>C</v>
      </c>
      <c r="IA17" s="180">
        <f>IF(COUNT(HN17,HS17,HY17)=0,"",SUM(HN17,HS17,HY17)/COUNT(HN17,HS17,HY17))</f>
        <v>2.5</v>
      </c>
      <c r="IB17" s="210" t="str">
        <f t="shared" si="51"/>
        <v>C</v>
      </c>
      <c r="IC17" s="122"/>
      <c r="ID17" s="123" t="s">
        <v>27</v>
      </c>
      <c r="IE17" s="124"/>
      <c r="IF17" s="180">
        <f>IFERROR((((COUNTIF('Elève (5ème1)'!IC17:IE17,"A"))*4)+((COUNTIF('Elève (5ème1)'!IC17:IE17,"B"))*3)+((COUNTIF('Elève (5ème1)'!IC17:IE17,"C"))*2)+((COUNTIF('Elève (5ème1)'!IC17:IE17,"D"))*1))/(COUNTA(IC17:IE17)),"")</f>
        <v>4</v>
      </c>
      <c r="IG17" s="181" t="str">
        <f t="shared" si="52"/>
        <v>A</v>
      </c>
      <c r="IH17" s="122"/>
      <c r="II17" s="123" t="s">
        <v>29</v>
      </c>
      <c r="IJ17" s="124" t="s">
        <v>29</v>
      </c>
      <c r="IK17" s="180">
        <f>IFERROR((((COUNTIF('Elève (5ème1)'!IH17:IJ17,"A"))*4)+((COUNTIF('Elève (5ème1)'!IH17:IJ17,"B"))*3)+((COUNTIF('Elève (5ème1)'!IH17:IJ17,"C"))*2)+((COUNTIF('Elève (5ème1)'!IH17:IJ17,"D"))*1))/(COUNTA(IH17:IJ17)),"")</f>
        <v>2</v>
      </c>
      <c r="IL17" s="181" t="str">
        <f t="shared" si="53"/>
        <v>C</v>
      </c>
      <c r="IM17" s="122" t="s">
        <v>28</v>
      </c>
      <c r="IN17" s="123"/>
      <c r="IO17" s="124"/>
      <c r="IP17" s="128" t="s">
        <v>28</v>
      </c>
      <c r="IQ17" s="180">
        <f>IFERROR((((COUNTIF('Elève (5ème1)'!IM17:IP17,"A"))*4)+((COUNTIF('Elève (5ème1)'!IM17:IP17,"B"))*3)+((COUNTIF('Elève (5ème1)'!IM17:IP17,"C"))*2)+((COUNTIF('Elève (5ème1)'!IM17:IP17,"D"))*1))/(COUNTA(IM17:IP17)),"")</f>
        <v>3</v>
      </c>
      <c r="IR17" s="181" t="str">
        <f t="shared" si="54"/>
        <v>B</v>
      </c>
      <c r="IS17" s="180">
        <f>IF(COUNT(IF17,IK17,IQ17)=0,"",SUM(IF17,IK17,IQ17)/COUNT(IF17,IK17,IQ17))</f>
        <v>3</v>
      </c>
      <c r="IT17" s="210" t="str">
        <f t="shared" si="55"/>
        <v>B</v>
      </c>
      <c r="IU17" s="122"/>
      <c r="IV17" s="123" t="s">
        <v>29</v>
      </c>
      <c r="IW17" s="124"/>
      <c r="IX17" s="180">
        <f>IFERROR((((COUNTIF('Elève (5ème1)'!IU17:IW17,"A"))*4)+((COUNTIF('Elève (5ème1)'!IU17:IW17,"B"))*3)+((COUNTIF('Elève (5ème1)'!IU17:IW17,"C"))*2)+((COUNTIF('Elève (5ème1)'!IU17:IW17,"D"))*1))/(COUNTA(IU17:IW17)),"")</f>
        <v>2</v>
      </c>
      <c r="IY17" s="181" t="str">
        <f t="shared" si="56"/>
        <v>C</v>
      </c>
      <c r="IZ17" s="122"/>
      <c r="JA17" s="123" t="s">
        <v>27</v>
      </c>
      <c r="JB17" s="124" t="s">
        <v>27</v>
      </c>
      <c r="JC17" s="180">
        <f>IFERROR((((COUNTIF('Elève (5ème1)'!IZ17:JB17,"A"))*4)+((COUNTIF('Elève (5ème1)'!IZ17:JB17,"B"))*3)+((COUNTIF('Elève (5ème1)'!IZ17:JB17,"C"))*2)+((COUNTIF('Elève (5ème1)'!IZ17:JB17,"D"))*1))/(COUNTA(IZ17:JB17)),"")</f>
        <v>4</v>
      </c>
      <c r="JD17" s="181" t="str">
        <f t="shared" si="57"/>
        <v>A</v>
      </c>
      <c r="JE17" s="122" t="s">
        <v>28</v>
      </c>
      <c r="JF17" s="123"/>
      <c r="JG17" s="124"/>
      <c r="JH17" s="128" t="s">
        <v>28</v>
      </c>
      <c r="JI17" s="180">
        <f>IFERROR((((COUNTIF('Elève (5ème1)'!JE17:JH17,"A"))*4)+((COUNTIF('Elève (5ème1)'!JE17:JH17,"B"))*3)+((COUNTIF('Elève (5ème1)'!JE17:JH17,"C"))*2)+((COUNTIF('Elève (5ème1)'!JE17:JH17,"D"))*1))/(COUNTA(JE17:JH17)),"")</f>
        <v>3</v>
      </c>
      <c r="JJ17" s="181" t="str">
        <f t="shared" si="58"/>
        <v>B</v>
      </c>
      <c r="JK17" s="180">
        <f>IF(COUNT(IX17,JC17,JI17)=0,"",SUM(IX17,JC17,JI17)/COUNT(IX17,JC17,JI17))</f>
        <v>3</v>
      </c>
      <c r="JL17" s="210" t="str">
        <f t="shared" si="59"/>
        <v>B</v>
      </c>
      <c r="JM17" s="122"/>
      <c r="JN17" s="123" t="s">
        <v>28</v>
      </c>
      <c r="JO17" s="124"/>
      <c r="JP17" s="180">
        <f>IFERROR((((COUNTIF('Elève (5ème1)'!JM17:JO17,"A"))*4)+((COUNTIF('Elève (5ème1)'!JM17:JO17,"B"))*3)+((COUNTIF('Elève (5ème1)'!JM17:JO17,"C"))*2)+((COUNTIF('Elève (5ème1)'!JM17:JO17,"D"))*1))/(COUNTA(JM17:JO17)),"")</f>
        <v>3</v>
      </c>
      <c r="JQ17" s="181" t="str">
        <f t="shared" si="60"/>
        <v>B</v>
      </c>
      <c r="JR17" s="122"/>
      <c r="JS17" s="123" t="s">
        <v>28</v>
      </c>
      <c r="JT17" s="124"/>
      <c r="JU17" s="180">
        <f>IFERROR((((COUNTIF('Elève (5ème1)'!JR17:JT17,"A"))*4)+((COUNTIF('Elève (5ème1)'!JR17:JT17,"B"))*3)+((COUNTIF('Elève (5ème1)'!JR17:JT17,"C"))*2)+((COUNTIF('Elève (5ème1)'!JR17:JT17,"D"))*1))/(COUNTA(JR17:JT17)),"")</f>
        <v>3</v>
      </c>
      <c r="JV17" s="181" t="str">
        <f t="shared" si="61"/>
        <v>B</v>
      </c>
      <c r="JW17" s="122" t="s">
        <v>28</v>
      </c>
      <c r="JX17" s="123"/>
      <c r="JY17" s="124"/>
      <c r="JZ17" s="128" t="s">
        <v>27</v>
      </c>
      <c r="KA17" s="180">
        <f>IFERROR((((COUNTIF('Elève (5ème1)'!JW17:JZ17,"A"))*4)+((COUNTIF('Elève (5ème1)'!JW17:JZ17,"B"))*3)+((COUNTIF('Elève (5ème1)'!JW17:JZ17,"C"))*2)+((COUNTIF('Elève (5ème1)'!JW17:JZ17,"D"))*1))/(COUNTA(JW17:JZ17)),"")</f>
        <v>3.5</v>
      </c>
      <c r="KB17" s="181" t="str">
        <f t="shared" si="62"/>
        <v>B</v>
      </c>
      <c r="KC17" s="180">
        <f>IF(COUNT(JP17,JU17,KA17)=0,"",SUM(JP17,JU17,KA17)/COUNT(JP17,JU17,KA17))</f>
        <v>3.1666666666666665</v>
      </c>
      <c r="KD17" s="210" t="str">
        <f t="shared" si="63"/>
        <v>B</v>
      </c>
      <c r="KE17" s="122"/>
      <c r="KF17" s="123" t="s">
        <v>29</v>
      </c>
      <c r="KG17" s="124"/>
      <c r="KH17" s="180">
        <f>IFERROR((((COUNTIF('Elève (5ème1)'!KE17:KG17,"A"))*4)+((COUNTIF('Elève (5ème1)'!KE17:KG17,"B"))*3)+((COUNTIF('Elève (5ème1)'!KE17:KG17,"C"))*2)+((COUNTIF('Elève (5ème1)'!KE17:KG17,"D"))*1))/(COUNTA(KE17:KG17)),"")</f>
        <v>2</v>
      </c>
      <c r="KI17" s="181" t="str">
        <f t="shared" si="64"/>
        <v>C</v>
      </c>
      <c r="KJ17" s="122"/>
      <c r="KK17" s="123" t="s">
        <v>28</v>
      </c>
      <c r="KL17" s="124" t="s">
        <v>27</v>
      </c>
      <c r="KM17" s="180">
        <f>IFERROR((((COUNTIF('Elève (5ème1)'!KJ17:KL17,"A"))*4)+((COUNTIF('Elève (5ème1)'!KJ17:KL17,"B"))*3)+((COUNTIF('Elève (5ème1)'!KJ17:KL17,"C"))*2)+((COUNTIF('Elève (5ème1)'!KJ17:KL17,"D"))*1))/(COUNTA(KJ17:KL17)),"")</f>
        <v>3.5</v>
      </c>
      <c r="KN17" s="181" t="str">
        <f t="shared" si="65"/>
        <v>B</v>
      </c>
      <c r="KO17" s="122" t="s">
        <v>28</v>
      </c>
      <c r="KP17" s="123"/>
      <c r="KQ17" s="124"/>
      <c r="KR17" s="128" t="s">
        <v>28</v>
      </c>
      <c r="KS17" s="180">
        <f>IFERROR((((COUNTIF('Elève (5ème1)'!KO17:KR17,"A"))*4)+((COUNTIF('Elève (5ème1)'!KO17:KR17,"B"))*3)+((COUNTIF('Elève (5ème1)'!KO17:KR17,"C"))*2)+((COUNTIF('Elève (5ème1)'!KO17:KR17,"D"))*1))/(COUNTA(KO17:KR17)),"")</f>
        <v>3</v>
      </c>
      <c r="KT17" s="181" t="str">
        <f t="shared" si="66"/>
        <v>B</v>
      </c>
      <c r="KU17" s="180">
        <f>IF(COUNT(KH17,KM17,KS17)=0,"",SUM(KH17,KM17,KS17)/COUNT(KH17,KM17,KS17))</f>
        <v>2.8333333333333335</v>
      </c>
      <c r="KV17" s="210" t="str">
        <f t="shared" si="67"/>
        <v>B</v>
      </c>
      <c r="KW17" s="122"/>
      <c r="KX17" s="123" t="s">
        <v>28</v>
      </c>
      <c r="KY17" s="124"/>
      <c r="KZ17" s="180">
        <f>IFERROR((((COUNTIF('Elève (5ème1)'!KW17:KY17,"A"))*4)+((COUNTIF('Elève (5ème1)'!KW17:KY17,"B"))*3)+((COUNTIF('Elève (5ème1)'!KW17:KY17,"C"))*2)+((COUNTIF('Elève (5ème1)'!KW17:KY17,"D"))*1))/(COUNTA(KW17:KY17)),"")</f>
        <v>3</v>
      </c>
      <c r="LA17" s="181" t="str">
        <f t="shared" si="68"/>
        <v>B</v>
      </c>
      <c r="LB17" s="122"/>
      <c r="LC17" s="123" t="s">
        <v>27</v>
      </c>
      <c r="LD17" s="124" t="s">
        <v>29</v>
      </c>
      <c r="LE17" s="180">
        <f>IFERROR((((COUNTIF('Elève (5ème1)'!LB17:LD17,"A"))*4)+((COUNTIF('Elève (5ème1)'!LB17:LD17,"B"))*3)+((COUNTIF('Elève (5ème1)'!LB17:LD17,"C"))*2)+((COUNTIF('Elève (5ème1)'!LB17:LD17,"D"))*1))/(COUNTA(LB17:LD17)),"")</f>
        <v>3</v>
      </c>
      <c r="LF17" s="181" t="str">
        <f t="shared" si="69"/>
        <v>B</v>
      </c>
      <c r="LG17" s="122" t="s">
        <v>28</v>
      </c>
      <c r="LH17" s="123"/>
      <c r="LI17" s="124"/>
      <c r="LJ17" s="128" t="s">
        <v>28</v>
      </c>
      <c r="LK17" s="180">
        <f>IFERROR((((COUNTIF('Elève (5ème1)'!LG17:LJ17,"A"))*4)+((COUNTIF('Elève (5ème1)'!LG17:LJ17,"B"))*3)+((COUNTIF('Elève (5ème1)'!LG17:LJ17,"C"))*2)+((COUNTIF('Elève (5ème1)'!LG17:LJ17,"D"))*1))/(COUNTA(LG17:LJ17)),"")</f>
        <v>3</v>
      </c>
      <c r="LL17" s="181" t="str">
        <f t="shared" si="70"/>
        <v>B</v>
      </c>
      <c r="LM17" s="180">
        <f>IF(COUNT(KZ17,LE17,LK17)=0,"",SUM(KZ17,LE17,LK17)/COUNT(KZ17,LE17,LK17))</f>
        <v>3</v>
      </c>
      <c r="LN17" s="210" t="str">
        <f t="shared" si="71"/>
        <v>B</v>
      </c>
      <c r="LO17" s="122"/>
      <c r="LP17" s="123" t="s">
        <v>29</v>
      </c>
      <c r="LQ17" s="124"/>
      <c r="LR17" s="180">
        <f>IFERROR((((COUNTIF('Elève (5ème1)'!LO17:LQ17,"A"))*4)+((COUNTIF('Elève (5ème1)'!LO17:LQ17,"B"))*3)+((COUNTIF('Elève (5ème1)'!LO17:LQ17,"C"))*2)+((COUNTIF('Elève (5ème1)'!LO17:LQ17,"D"))*1))/(COUNTA(LO17:LQ17)),"")</f>
        <v>2</v>
      </c>
      <c r="LS17" s="181" t="str">
        <f t="shared" si="72"/>
        <v>C</v>
      </c>
      <c r="LT17" s="122"/>
      <c r="LU17" s="123" t="s">
        <v>29</v>
      </c>
      <c r="LV17" s="124" t="s">
        <v>29</v>
      </c>
      <c r="LW17" s="180">
        <f>IFERROR((((COUNTIF('Elève (5ème1)'!LT17:LV17,"A"))*4)+((COUNTIF('Elève (5ème1)'!LT17:LV17,"B"))*3)+((COUNTIF('Elève (5ème1)'!LT17:LV17,"C"))*2)+((COUNTIF('Elève (5ème1)'!LT17:LV17,"D"))*1))/(COUNTA(LT17:LV17)),"")</f>
        <v>2</v>
      </c>
      <c r="LX17" s="181" t="str">
        <f t="shared" si="73"/>
        <v>C</v>
      </c>
      <c r="LY17" s="122" t="s">
        <v>30</v>
      </c>
      <c r="LZ17" s="123"/>
      <c r="MA17" s="124"/>
      <c r="MB17" s="128" t="s">
        <v>28</v>
      </c>
      <c r="MC17" s="180">
        <f>IFERROR((((COUNTIF('Elève (5ème1)'!LY17:MB17,"A"))*4)+((COUNTIF('Elève (5ème1)'!LY17:MB17,"B"))*3)+((COUNTIF('Elève (5ème1)'!LY17:MB17,"C"))*2)+((COUNTIF('Elève (5ème1)'!LY17:MB17,"D"))*1))/(COUNTA(LY17:MB17)),"")</f>
        <v>2</v>
      </c>
      <c r="MD17" s="181" t="str">
        <f t="shared" si="74"/>
        <v>C</v>
      </c>
      <c r="ME17" s="180">
        <f>IF(COUNT(LR17,LW17,MC17)=0,"",SUM(LR17,LW17,MC17)/COUNT(LR17,LW17,MC17))</f>
        <v>2</v>
      </c>
      <c r="MF17" s="210" t="str">
        <f t="shared" si="75"/>
        <v>C</v>
      </c>
      <c r="MG17" s="122"/>
      <c r="MH17" s="123" t="s">
        <v>28</v>
      </c>
      <c r="MI17" s="124"/>
      <c r="MJ17" s="180">
        <f>IFERROR((((COUNTIF('Elève (5ème1)'!MG17:MI17,"A"))*4)+((COUNTIF('Elève (5ème1)'!MG17:MI17,"B"))*3)+((COUNTIF('Elève (5ème1)'!MG17:MI17,"C"))*2)+((COUNTIF('Elève (5ème1)'!MG17:MI17,"D"))*1))/(COUNTA(MG17:MI17)),"")</f>
        <v>3</v>
      </c>
      <c r="MK17" s="181" t="str">
        <f t="shared" si="76"/>
        <v>B</v>
      </c>
      <c r="ML17" s="122"/>
      <c r="MM17" s="123" t="s">
        <v>28</v>
      </c>
      <c r="MN17" s="124" t="s">
        <v>30</v>
      </c>
      <c r="MO17" s="180">
        <f>IFERROR((((COUNTIF('Elève (5ème1)'!ML17:MN17,"A"))*4)+((COUNTIF('Elève (5ème1)'!ML17:MN17,"B"))*3)+((COUNTIF('Elève (5ème1)'!ML17:MN17,"C"))*2)+((COUNTIF('Elève (5ème1)'!ML17:MN17,"D"))*1))/(COUNTA(ML17:MN17)),"")</f>
        <v>2</v>
      </c>
      <c r="MP17" s="181" t="str">
        <f t="shared" si="77"/>
        <v>C</v>
      </c>
      <c r="MQ17" s="122" t="s">
        <v>28</v>
      </c>
      <c r="MR17" s="123"/>
      <c r="MS17" s="124"/>
      <c r="MT17" s="128" t="s">
        <v>28</v>
      </c>
      <c r="MU17" s="180">
        <f>IFERROR((((COUNTIF('Elève (5ème1)'!MQ17:MT17,"A"))*4)+((COUNTIF('Elève (5ème1)'!MQ17:MT17,"B"))*3)+((COUNTIF('Elève (5ème1)'!MQ17:MT17,"C"))*2)+((COUNTIF('Elève (5ème1)'!MQ17:MT17,"D"))*1))/(COUNTA(MQ17:MT17)),"")</f>
        <v>3</v>
      </c>
      <c r="MV17" s="181" t="str">
        <f t="shared" si="78"/>
        <v>B</v>
      </c>
      <c r="MW17" s="180">
        <f>IF(COUNT(MJ17,MO17,MU17)=0,"",SUM(MJ17,MO17,MU17)/COUNT(MJ17,MO17,MU17))</f>
        <v>2.6666666666666665</v>
      </c>
      <c r="MX17" s="210" t="str">
        <f t="shared" si="79"/>
        <v>C</v>
      </c>
      <c r="MY17" s="122"/>
      <c r="MZ17" s="123" t="s">
        <v>29</v>
      </c>
      <c r="NA17" s="124"/>
      <c r="NB17" s="180">
        <f>IFERROR((((COUNTIF('Elève (5ème1)'!MY17:NA17,"A"))*4)+((COUNTIF('Elève (5ème1)'!MY17:NA17,"B"))*3)+((COUNTIF('Elève (5ème1)'!MY17:NA17,"C"))*2)+((COUNTIF('Elève (5ème1)'!MY17:NA17,"D"))*1))/(COUNTA(MY17:NA17)),"")</f>
        <v>2</v>
      </c>
      <c r="NC17" s="181" t="str">
        <f t="shared" si="80"/>
        <v>C</v>
      </c>
      <c r="ND17" s="122"/>
      <c r="NE17" s="123" t="s">
        <v>27</v>
      </c>
      <c r="NF17" s="124" t="s">
        <v>27</v>
      </c>
      <c r="NG17" s="180">
        <f>IFERROR((((COUNTIF('Elève (5ème1)'!ND17:NF17,"A"))*4)+((COUNTIF('Elève (5ème1)'!ND17:NF17,"B"))*3)+((COUNTIF('Elève (5ème1)'!ND17:NF17,"C"))*2)+((COUNTIF('Elève (5ème1)'!ND17:NF17,"D"))*1))/(COUNTA(ND17:NF17)),"")</f>
        <v>4</v>
      </c>
      <c r="NH17" s="181" t="str">
        <f t="shared" si="81"/>
        <v>A</v>
      </c>
      <c r="NI17" s="122" t="s">
        <v>28</v>
      </c>
      <c r="NJ17" s="123"/>
      <c r="NK17" s="124"/>
      <c r="NL17" s="128" t="s">
        <v>28</v>
      </c>
      <c r="NM17" s="180">
        <f>IFERROR((((COUNTIF('Elève (5ème1)'!NI17:NL17,"A"))*4)+((COUNTIF('Elève (5ème1)'!NI17:NL17,"B"))*3)+((COUNTIF('Elève (5ème1)'!NI17:NL17,"C"))*2)+((COUNTIF('Elève (5ème1)'!NI17:NL17,"D"))*1))/(COUNTA(NI17:NL17)),"")</f>
        <v>3</v>
      </c>
      <c r="NN17" s="181" t="str">
        <f t="shared" si="82"/>
        <v>B</v>
      </c>
      <c r="NO17" s="180">
        <f>IF(COUNT(NB17,NG17,NM17)=0,"",SUM(NB17,NG17,NM17)/COUNT(NB17,NG17,NM17))</f>
        <v>3</v>
      </c>
      <c r="NP17" s="210" t="str">
        <f t="shared" si="83"/>
        <v>B</v>
      </c>
      <c r="NQ17" s="122"/>
      <c r="NR17" s="123" t="s">
        <v>30</v>
      </c>
      <c r="NS17" s="124"/>
      <c r="NT17" s="180">
        <f>IFERROR((((COUNTIF('Elève (5ème1)'!NQ17:NS17,"A"))*4)+((COUNTIF('Elève (5ème1)'!NQ17:NS17,"B"))*3)+((COUNTIF('Elève (5ème1)'!NQ17:NS17,"C"))*2)+((COUNTIF('Elève (5ème1)'!NQ17:NS17,"D"))*1))/(COUNTA(NQ17:NS17)),"")</f>
        <v>1</v>
      </c>
      <c r="NU17" s="181" t="str">
        <f t="shared" si="84"/>
        <v>D</v>
      </c>
      <c r="NV17" s="122"/>
      <c r="NW17" s="123" t="s">
        <v>29</v>
      </c>
      <c r="NX17" s="124"/>
      <c r="NY17" s="180">
        <f>IFERROR((((COUNTIF('Elève (5ème1)'!NV17:NX17,"A"))*4)+((COUNTIF('Elève (5ème1)'!NV17:NX17,"B"))*3)+((COUNTIF('Elève (5ème1)'!NV17:NX17,"C"))*2)+((COUNTIF('Elève (5ème1)'!NV17:NX17,"D"))*1))/(COUNTA(NV17:NX17)),"")</f>
        <v>2</v>
      </c>
      <c r="NZ17" s="181" t="str">
        <f t="shared" si="85"/>
        <v>C</v>
      </c>
      <c r="OA17" s="122" t="s">
        <v>30</v>
      </c>
      <c r="OB17" s="123"/>
      <c r="OC17" s="124"/>
      <c r="OD17" s="128" t="s">
        <v>29</v>
      </c>
      <c r="OE17" s="180">
        <f>IFERROR((((COUNTIF('Elève (5ème1)'!OA17:OD17,"A"))*4)+((COUNTIF('Elève (5ème1)'!OA17:OD17,"B"))*3)+((COUNTIF('Elève (5ème1)'!OA17:OD17,"C"))*2)+((COUNTIF('Elève (5ème1)'!OA17:OD17,"D"))*1))/(COUNTA(OA17:OD17)),"")</f>
        <v>1.5</v>
      </c>
      <c r="OF17" s="181" t="str">
        <f t="shared" si="86"/>
        <v>D</v>
      </c>
      <c r="OG17" s="180">
        <f>IF(COUNT(NT17,NY17,OE17)=0,"",SUM(NT17,NY17,OE17)/COUNT(NT17,NY17,OE17))</f>
        <v>1.5</v>
      </c>
      <c r="OH17" s="210" t="str">
        <f t="shared" si="87"/>
        <v>D</v>
      </c>
      <c r="OI17" s="122"/>
      <c r="OJ17" s="123" t="s">
        <v>28</v>
      </c>
      <c r="OK17" s="124"/>
      <c r="OL17" s="180">
        <f>IFERROR((((COUNTIF('Elève (5ème1)'!OI17:OK17,"A"))*4)+((COUNTIF('Elève (5ème1)'!OI17:OK17,"B"))*3)+((COUNTIF('Elève (5ème1)'!OI17:OK17,"C"))*2)+((COUNTIF('Elève (5ème1)'!OI17:OK17,"D"))*1))/(COUNTA(OI17:OK17)),"")</f>
        <v>3</v>
      </c>
      <c r="OM17" s="181" t="str">
        <f t="shared" si="88"/>
        <v>B</v>
      </c>
      <c r="ON17" s="122"/>
      <c r="OO17" s="123" t="s">
        <v>27</v>
      </c>
      <c r="OP17" s="124" t="s">
        <v>29</v>
      </c>
      <c r="OQ17" s="180">
        <f>IFERROR((((COUNTIF('Elève (5ème1)'!ON17:OP17,"A"))*4)+((COUNTIF('Elève (5ème1)'!ON17:OP17,"B"))*3)+((COUNTIF('Elève (5ème1)'!ON17:OP17,"C"))*2)+((COUNTIF('Elève (5ème1)'!ON17:OP17,"D"))*1))/(COUNTA(ON17:OP17)),"")</f>
        <v>3</v>
      </c>
      <c r="OR17" s="181" t="str">
        <f t="shared" si="89"/>
        <v>B</v>
      </c>
      <c r="OS17" s="122" t="s">
        <v>27</v>
      </c>
      <c r="OT17" s="123"/>
      <c r="OU17" s="124"/>
      <c r="OV17" s="128" t="s">
        <v>28</v>
      </c>
      <c r="OW17" s="180">
        <f>IFERROR((((COUNTIF('Elève (5ème1)'!OS17:OV17,"A"))*4)+((COUNTIF('Elève (5ème1)'!OS17:OV17,"B"))*3)+((COUNTIF('Elève (5ème1)'!OS17:OV17,"C"))*2)+((COUNTIF('Elève (5ème1)'!OS17:OV17,"D"))*1))/(COUNTA(OS17:OV17)),"")</f>
        <v>3.5</v>
      </c>
      <c r="OX17" s="181" t="str">
        <f t="shared" si="90"/>
        <v>B</v>
      </c>
      <c r="OY17" s="180">
        <f>IF(COUNT(OL17,OQ17,OW17)=0,"",SUM(OL17,OQ17,OW17)/COUNT(OL17,OQ17,OW17))</f>
        <v>3.1666666666666665</v>
      </c>
      <c r="OZ17" s="210" t="str">
        <f t="shared" si="91"/>
        <v>B</v>
      </c>
      <c r="PA17" s="122"/>
      <c r="PB17" s="123"/>
      <c r="PC17" s="124"/>
      <c r="PD17" s="180" t="str">
        <f>IFERROR((((COUNTIF('Elève (5ème1)'!PA17:PC17,"A"))*4)+((COUNTIF('Elève (5ème1)'!PA17:PC17,"B"))*3)+((COUNTIF('Elève (5ème1)'!PA17:PC17,"C"))*2)+((COUNTIF('Elève (5ème1)'!PA17:PC17,"D"))*1))/(COUNTA(PA17:PC17)),"")</f>
        <v/>
      </c>
      <c r="PE17" s="181" t="str">
        <f t="shared" si="92"/>
        <v/>
      </c>
      <c r="PF17" s="122"/>
      <c r="PG17" s="123" t="s">
        <v>27</v>
      </c>
      <c r="PH17" s="124" t="s">
        <v>29</v>
      </c>
      <c r="PI17" s="180">
        <f>IFERROR((((COUNTIF('Elève (5ème1)'!PF17:PH17,"A"))*4)+((COUNTIF('Elève (5ème1)'!PF17:PH17,"B"))*3)+((COUNTIF('Elève (5ème1)'!PF17:PH17,"C"))*2)+((COUNTIF('Elève (5ème1)'!PF17:PH17,"D"))*1))/(COUNTA(PF17:PH17)),"")</f>
        <v>3</v>
      </c>
      <c r="PJ17" s="181" t="str">
        <f t="shared" si="93"/>
        <v>B</v>
      </c>
      <c r="PK17" s="122" t="s">
        <v>29</v>
      </c>
      <c r="PL17" s="123"/>
      <c r="PM17" s="124"/>
      <c r="PN17" s="128" t="s">
        <v>29</v>
      </c>
      <c r="PO17" s="180">
        <f>IFERROR((((COUNTIF('Elève (5ème1)'!PK17:PN17,"A"))*4)+((COUNTIF('Elève (5ème1)'!PK17:PN17,"B"))*3)+((COUNTIF('Elève (5ème1)'!PK17:PN17,"C"))*2)+((COUNTIF('Elève (5ème1)'!PK17:PN17,"D"))*1))/(COUNTA(PK17:PN17)),"")</f>
        <v>2</v>
      </c>
      <c r="PP17" s="181" t="str">
        <f t="shared" si="94"/>
        <v>C</v>
      </c>
      <c r="PQ17" s="180">
        <f>IF(COUNT(PD17,PI17,PO17)=0,"",SUM(PD17,PI17,PO17)/COUNT(PD17,PI17,PO17))</f>
        <v>2.5</v>
      </c>
      <c r="PR17" s="210" t="str">
        <f t="shared" si="95"/>
        <v>C</v>
      </c>
      <c r="PS17" s="122"/>
      <c r="PT17" s="123" t="s">
        <v>27</v>
      </c>
      <c r="PU17" s="124"/>
      <c r="PV17" s="180">
        <f>IFERROR((((COUNTIF('Elève (5ème1)'!PS17:PU17,"A"))*4)+((COUNTIF('Elève (5ème1)'!PS17:PU17,"B"))*3)+((COUNTIF('Elève (5ème1)'!PS17:PU17,"C"))*2)+((COUNTIF('Elève (5ème1)'!PS17:PU17,"D"))*1))/(COUNTA(PS17:PU17)),"")</f>
        <v>4</v>
      </c>
      <c r="PW17" s="181" t="str">
        <f t="shared" si="96"/>
        <v>A</v>
      </c>
      <c r="PX17" s="122"/>
      <c r="PY17" s="123" t="s">
        <v>27</v>
      </c>
      <c r="PZ17" s="124" t="s">
        <v>29</v>
      </c>
      <c r="QA17" s="180">
        <f>IFERROR((((COUNTIF('Elève (5ème1)'!PX17:PZ17,"A"))*4)+((COUNTIF('Elève (5ème1)'!PX17:PZ17,"B"))*3)+((COUNTIF('Elève (5ème1)'!PX17:PZ17,"C"))*2)+((COUNTIF('Elève (5ème1)'!PX17:PZ17,"D"))*1))/(COUNTA(PX17:PZ17)),"")</f>
        <v>3</v>
      </c>
      <c r="QB17" s="181" t="str">
        <f t="shared" si="97"/>
        <v>B</v>
      </c>
      <c r="QC17" s="122" t="s">
        <v>27</v>
      </c>
      <c r="QD17" s="123"/>
      <c r="QE17" s="124"/>
      <c r="QF17" s="128" t="s">
        <v>28</v>
      </c>
      <c r="QG17" s="180">
        <f>IFERROR((((COUNTIF('Elève (5ème1)'!QC17:QF17,"A"))*4)+((COUNTIF('Elève (5ème1)'!QC17:QF17,"B"))*3)+((COUNTIF('Elève (5ème1)'!QC17:QF17,"C"))*2)+((COUNTIF('Elève (5ème1)'!QC17:QF17,"D"))*1))/(COUNTA(QC17:QF17)),"")</f>
        <v>3.5</v>
      </c>
      <c r="QH17" s="181" t="str">
        <f t="shared" si="98"/>
        <v>B</v>
      </c>
      <c r="QI17" s="180">
        <f>IF(COUNT(PV17,QA17,QG17)=0,"",SUM(PV17,QA17,QG17)/COUNT(PV17,QA17,QG17))</f>
        <v>3.5</v>
      </c>
      <c r="QJ17" s="210" t="str">
        <f t="shared" si="99"/>
        <v>B</v>
      </c>
      <c r="QK17" s="122"/>
      <c r="QL17" s="123" t="s">
        <v>29</v>
      </c>
      <c r="QM17" s="124"/>
      <c r="QN17" s="180">
        <f>IFERROR((((COUNTIF('Elève (5ème1)'!QK17:QM17,"A"))*4)+((COUNTIF('Elève (5ème1)'!QK17:QM17,"B"))*3)+((COUNTIF('Elève (5ème1)'!QK17:QM17,"C"))*2)+((COUNTIF('Elève (5ème1)'!QK17:QM17,"D"))*1))/(COUNTA(QK17:QM17)),"")</f>
        <v>2</v>
      </c>
      <c r="QO17" s="181" t="str">
        <f t="shared" si="100"/>
        <v>C</v>
      </c>
      <c r="QP17" s="122"/>
      <c r="QQ17" s="123" t="s">
        <v>29</v>
      </c>
      <c r="QR17" s="124" t="s">
        <v>30</v>
      </c>
      <c r="QS17" s="180">
        <f>IFERROR((((COUNTIF('Elève (5ème1)'!QP17:QR17,"A"))*4)+((COUNTIF('Elève (5ème1)'!QP17:QR17,"B"))*3)+((COUNTIF('Elève (5ème1)'!QP17:QR17,"C"))*2)+((COUNTIF('Elève (5ème1)'!QP17:QR17,"D"))*1))/(COUNTA(QP17:QR17)),"")</f>
        <v>1.5</v>
      </c>
      <c r="QT17" s="181" t="str">
        <f t="shared" si="101"/>
        <v>D</v>
      </c>
      <c r="QU17" s="122" t="s">
        <v>29</v>
      </c>
      <c r="QV17" s="123"/>
      <c r="QW17" s="124"/>
      <c r="QX17" s="128" t="s">
        <v>28</v>
      </c>
      <c r="QY17" s="180">
        <f>IFERROR((((COUNTIF('Elève (5ème1)'!QU17:QX17,"A"))*4)+((COUNTIF('Elève (5ème1)'!QU17:QX17,"B"))*3)+((COUNTIF('Elève (5ème1)'!QU17:QX17,"C"))*2)+((COUNTIF('Elève (5ème1)'!QU17:QX17,"D"))*1))/(COUNTA(QU17:QX17)),"")</f>
        <v>2.5</v>
      </c>
      <c r="QZ17" s="181" t="str">
        <f t="shared" si="102"/>
        <v>C</v>
      </c>
      <c r="RA17" s="180">
        <f>IF(COUNT(QN17,QS17,QY17)=0,"",SUM(QN17,QS17,QY17)/COUNT(QN17,QS17,QY17))</f>
        <v>2</v>
      </c>
      <c r="RB17" s="210" t="str">
        <f t="shared" si="103"/>
        <v>C</v>
      </c>
      <c r="RC17" s="122"/>
      <c r="RD17" s="123" t="s">
        <v>29</v>
      </c>
      <c r="RE17" s="124"/>
      <c r="RF17" s="180">
        <f>IFERROR((((COUNTIF('Elève (5ème1)'!RC17:RE17,"A"))*4)+((COUNTIF('Elève (5ème1)'!RC17:RE17,"B"))*3)+((COUNTIF('Elève (5ème1)'!RC17:RE17,"C"))*2)+((COUNTIF('Elève (5ème1)'!RC17:RE17,"D"))*1))/(COUNTA(RC17:RE17)),"")</f>
        <v>2</v>
      </c>
      <c r="RG17" s="181" t="str">
        <f t="shared" si="104"/>
        <v>C</v>
      </c>
      <c r="RH17" s="122"/>
      <c r="RI17" s="123" t="s">
        <v>29</v>
      </c>
      <c r="RJ17" s="124" t="s">
        <v>29</v>
      </c>
      <c r="RK17" s="180">
        <f>IFERROR((((COUNTIF('Elève (5ème1)'!RH17:RJ17,"A"))*4)+((COUNTIF('Elève (5ème1)'!RH17:RJ17,"B"))*3)+((COUNTIF('Elève (5ème1)'!RH17:RJ17,"C"))*2)+((COUNTIF('Elève (5ème1)'!RH17:RJ17,"D"))*1))/(COUNTA(RH17:RJ17)),"")</f>
        <v>2</v>
      </c>
      <c r="RL17" s="181" t="str">
        <f t="shared" si="105"/>
        <v>C</v>
      </c>
      <c r="RM17" s="122" t="s">
        <v>29</v>
      </c>
      <c r="RN17" s="123"/>
      <c r="RO17" s="124"/>
      <c r="RP17" s="128" t="s">
        <v>29</v>
      </c>
      <c r="RQ17" s="180">
        <f>IFERROR((((COUNTIF('Elève (5ème1)'!RM17:RP17,"A"))*4)+((COUNTIF('Elève (5ème1)'!RM17:RP17,"B"))*3)+((COUNTIF('Elève (5ème1)'!RM17:RP17,"C"))*2)+((COUNTIF('Elève (5ème1)'!RM17:RP17,"D"))*1))/(COUNTA(RM17:RP17)),"")</f>
        <v>2</v>
      </c>
      <c r="RR17" s="181" t="str">
        <f t="shared" si="106"/>
        <v>C</v>
      </c>
      <c r="RS17" s="180">
        <f>IF(COUNT(RF17,RK17,RQ17)=0,"",SUM(RF17,RK17,RQ17)/COUNT(RF17,RK17,RQ17))</f>
        <v>2</v>
      </c>
      <c r="RT17" s="210" t="str">
        <f t="shared" si="107"/>
        <v>C</v>
      </c>
      <c r="RU17" s="122"/>
      <c r="RV17" s="123" t="s">
        <v>27</v>
      </c>
      <c r="RW17" s="124"/>
      <c r="RX17" s="180">
        <f>IFERROR((((COUNTIF('Elève (5ème1)'!RU17:RW17,"A"))*4)+((COUNTIF('Elève (5ème1)'!RU17:RW17,"B"))*3)+((COUNTIF('Elève (5ème1)'!RU17:RW17,"C"))*2)+((COUNTIF('Elève (5ème1)'!RU17:RW17,"D"))*1))/(COUNTA(RU17:RW17)),"")</f>
        <v>4</v>
      </c>
      <c r="RY17" s="181" t="str">
        <f t="shared" si="108"/>
        <v>A</v>
      </c>
      <c r="RZ17" s="122"/>
      <c r="SA17" s="123" t="s">
        <v>27</v>
      </c>
      <c r="SB17" s="124" t="s">
        <v>27</v>
      </c>
      <c r="SC17" s="180">
        <f>IFERROR((((COUNTIF('Elève (5ème1)'!RZ17:SB17,"A"))*4)+((COUNTIF('Elève (5ème1)'!RZ17:SB17,"B"))*3)+((COUNTIF('Elève (5ème1)'!RZ17:SB17,"C"))*2)+((COUNTIF('Elève (5ème1)'!RZ17:SB17,"D"))*1))/(COUNTA(RZ17:SB17)),"")</f>
        <v>4</v>
      </c>
      <c r="SD17" s="181" t="str">
        <f t="shared" si="109"/>
        <v>A</v>
      </c>
      <c r="SE17" s="122" t="s">
        <v>28</v>
      </c>
      <c r="SF17" s="123"/>
      <c r="SG17" s="124"/>
      <c r="SH17" s="128" t="s">
        <v>28</v>
      </c>
      <c r="SI17" s="180">
        <f>IFERROR((((COUNTIF('Elève (5ème1)'!SE17:SH17,"A"))*4)+((COUNTIF('Elève (5ème1)'!SE17:SH17,"B"))*3)+((COUNTIF('Elève (5ème1)'!SE17:SH17,"C"))*2)+((COUNTIF('Elève (5ème1)'!SE17:SH17,"D"))*1))/(COUNTA(SE17:SH17)),"")</f>
        <v>3</v>
      </c>
      <c r="SJ17" s="181" t="str">
        <f t="shared" si="110"/>
        <v>B</v>
      </c>
      <c r="SK17" s="180">
        <f>IF(COUNT(RX17,SC17,SI17)=0,"",SUM(RX17,SC17,SI17)/COUNT(RX17,SC17,SI17))</f>
        <v>3.6666666666666665</v>
      </c>
      <c r="SL17" s="210" t="str">
        <f t="shared" si="111"/>
        <v>B</v>
      </c>
      <c r="SM17" s="122"/>
      <c r="SN17" s="123" t="s">
        <v>29</v>
      </c>
      <c r="SO17" s="124"/>
      <c r="SP17" s="180">
        <f>IFERROR((((COUNTIF('Elève (5ème1)'!SM17:SO17,"A"))*4)+((COUNTIF('Elève (5ème1)'!SM17:SO17,"B"))*3)+((COUNTIF('Elève (5ème1)'!SM17:SO17,"C"))*2)+((COUNTIF('Elève (5ème1)'!SM17:SO17,"D"))*1))/(COUNTA(SM17:SO17)),"")</f>
        <v>2</v>
      </c>
      <c r="SQ17" s="181" t="str">
        <f t="shared" si="112"/>
        <v>C</v>
      </c>
      <c r="SR17" s="122"/>
      <c r="SS17" s="123" t="s">
        <v>28</v>
      </c>
      <c r="ST17" s="124" t="s">
        <v>27</v>
      </c>
      <c r="SU17" s="180">
        <f>IFERROR((((COUNTIF('Elève (5ème1)'!SR17:ST17,"A"))*4)+((COUNTIF('Elève (5ème1)'!SR17:ST17,"B"))*3)+((COUNTIF('Elève (5ème1)'!SR17:ST17,"C"))*2)+((COUNTIF('Elève (5ème1)'!SR17:ST17,"D"))*1))/(COUNTA(SR17:ST17)),"")</f>
        <v>3.5</v>
      </c>
      <c r="SV17" s="181" t="str">
        <f t="shared" si="113"/>
        <v>B</v>
      </c>
      <c r="SW17" s="122" t="s">
        <v>29</v>
      </c>
      <c r="SX17" s="123"/>
      <c r="SY17" s="124"/>
      <c r="SZ17" s="128"/>
      <c r="TA17" s="180">
        <f>IFERROR((((COUNTIF('Elève (5ème1)'!SW17:SZ17,"A"))*4)+((COUNTIF('Elève (5ème1)'!SW17:SZ17,"B"))*3)+((COUNTIF('Elève (5ème1)'!SW17:SZ17,"C"))*2)+((COUNTIF('Elève (5ème1)'!SW17:SZ17,"D"))*1))/(COUNTA(SW17:SZ17)),"")</f>
        <v>2</v>
      </c>
      <c r="TB17" s="181" t="str">
        <f t="shared" si="114"/>
        <v>C</v>
      </c>
      <c r="TC17" s="180">
        <f>IF(COUNT(SP17,SU17,TA17)=0,"",SUM(SP17,SU17,TA17)/COUNT(SP17,SU17,TA17))</f>
        <v>2.5</v>
      </c>
      <c r="TD17" s="210" t="str">
        <f t="shared" si="115"/>
        <v>C</v>
      </c>
      <c r="TE17" s="122"/>
      <c r="TF17" s="123" t="s">
        <v>29</v>
      </c>
      <c r="TG17" s="124"/>
      <c r="TH17" s="180">
        <f>IFERROR((((COUNTIF('Elève (5ème1)'!TE17:TG17,"A"))*4)+((COUNTIF('Elève (5ème1)'!TE17:TG17,"B"))*3)+((COUNTIF('Elève (5ème1)'!TE17:TG17,"C"))*2)+((COUNTIF('Elève (5ème1)'!TE17:TG17,"D"))*1))/(COUNTA(TE17:TG17)),"")</f>
        <v>2</v>
      </c>
      <c r="TI17" s="181" t="str">
        <f t="shared" si="116"/>
        <v>C</v>
      </c>
      <c r="TJ17" s="122"/>
      <c r="TK17" s="123" t="s">
        <v>29</v>
      </c>
      <c r="TL17" s="124" t="s">
        <v>29</v>
      </c>
      <c r="TM17" s="180">
        <f>IFERROR((((COUNTIF('Elève (5ème1)'!TJ17:TL17,"A"))*4)+((COUNTIF('Elève (5ème1)'!TJ17:TL17,"B"))*3)+((COUNTIF('Elève (5ème1)'!TJ17:TL17,"C"))*2)+((COUNTIF('Elève (5ème1)'!TJ17:TL17,"D"))*1))/(COUNTA(TJ17:TL17)),"")</f>
        <v>2</v>
      </c>
      <c r="TN17" s="181" t="str">
        <f t="shared" si="117"/>
        <v>C</v>
      </c>
      <c r="TO17" s="122" t="s">
        <v>28</v>
      </c>
      <c r="TP17" s="123"/>
      <c r="TQ17" s="124"/>
      <c r="TR17" s="128" t="s">
        <v>28</v>
      </c>
      <c r="TS17" s="180">
        <f>IFERROR((((COUNTIF('Elève (5ème1)'!TO17:TR17,"A"))*4)+((COUNTIF('Elève (5ème1)'!TO17:TR17,"B"))*3)+((COUNTIF('Elève (5ème1)'!TO17:TR17,"C"))*2)+((COUNTIF('Elève (5ème1)'!TO17:TR17,"D"))*1))/(COUNTA(TO17:TR17)),"")</f>
        <v>3</v>
      </c>
      <c r="TT17" s="181" t="str">
        <f t="shared" si="118"/>
        <v>B</v>
      </c>
      <c r="TU17" s="180">
        <f>IF(COUNT(TH17,TM17,TS17)=0,"",SUM(TH17,TM17,TS17)/COUNT(TH17,TM17,TS17))</f>
        <v>2.3333333333333335</v>
      </c>
      <c r="TV17" s="210" t="str">
        <f t="shared" si="119"/>
        <v>C</v>
      </c>
    </row>
    <row r="18" spans="1:542" ht="18" customHeight="1" x14ac:dyDescent="0.25">
      <c r="A18" s="236" t="s">
        <v>22</v>
      </c>
      <c r="B18" s="237"/>
      <c r="C18" s="122"/>
      <c r="D18" s="123"/>
      <c r="E18" s="124"/>
      <c r="F18" s="182" t="str">
        <f>IFERROR((((COUNTIF('Elève (5ème1)'!C18:E18,"A"))*4)+((COUNTIF('Elève (5ème1)'!C18:E18,"B"))*3)+((COUNTIF('Elève (5ème1)'!C18:E18,"C"))*2)+((COUNTIF('Elève (5ème1)'!C18:E18,"D"))*1))/(COUNTA(C18:E18)),"")</f>
        <v/>
      </c>
      <c r="G18" s="183" t="str">
        <f t="shared" si="0"/>
        <v/>
      </c>
      <c r="H18" s="122"/>
      <c r="I18" s="123"/>
      <c r="J18" s="124"/>
      <c r="K18" s="182" t="str">
        <f>IFERROR((((COUNTIF('Elève (5ème1)'!H18:J18,"A"))*4)+((COUNTIF('Elève (5ème1)'!H18:J18,"B"))*3)+((COUNTIF('Elève (5ème1)'!H18:J18,"C"))*2)+((COUNTIF('Elève (5ème1)'!H18:J18,"D"))*1))/(COUNTA(H18:J18)),"")</f>
        <v/>
      </c>
      <c r="L18" s="183" t="str">
        <f t="shared" si="1"/>
        <v/>
      </c>
      <c r="M18" s="122"/>
      <c r="N18" s="123"/>
      <c r="O18" s="124" t="s">
        <v>28</v>
      </c>
      <c r="P18" s="124"/>
      <c r="Q18" s="182">
        <f>IFERROR((((COUNTIF('Elève (5ème1)'!M18:P18,"A"))*4)+((COUNTIF('Elève (5ème1)'!M18:P18,"B"))*3)+((COUNTIF('Elève (5ème1)'!M18:P18,"C"))*2)+((COUNTIF('Elève (5ème1)'!M18:P18,"D"))*1))/(COUNTA(M18:P18)),"")</f>
        <v>3</v>
      </c>
      <c r="R18" s="183" t="str">
        <f t="shared" si="2"/>
        <v>B</v>
      </c>
      <c r="S18" s="182">
        <f>IF(COUNT(F18,K18,Q18)=0,"",SUM(F18,K18,Q18)/COUNT(F18,K18,Q18))</f>
        <v>3</v>
      </c>
      <c r="T18" s="206" t="str">
        <f t="shared" si="3"/>
        <v>B</v>
      </c>
      <c r="U18" s="122"/>
      <c r="V18" s="123"/>
      <c r="W18" s="124"/>
      <c r="X18" s="182" t="str">
        <f>IFERROR((((COUNTIF('Elève (5ème1)'!U18:W18,"A"))*4)+((COUNTIF('Elève (5ème1)'!U18:W18,"B"))*3)+((COUNTIF('Elève (5ème1)'!U18:W18,"C"))*2)+((COUNTIF('Elève (5ème1)'!U18:W18,"D"))*1))/(COUNTA(U18:W18)),"")</f>
        <v/>
      </c>
      <c r="Y18" s="183" t="str">
        <f t="shared" si="4"/>
        <v/>
      </c>
      <c r="Z18" s="122"/>
      <c r="AA18" s="123"/>
      <c r="AB18" s="124"/>
      <c r="AC18" s="182" t="str">
        <f>IFERROR((((COUNTIF('Elève (5ème1)'!Z18:AB18,"A"))*4)+((COUNTIF('Elève (5ème1)'!Z18:AB18,"B"))*3)+((COUNTIF('Elève (5ème1)'!Z18:AB18,"C"))*2)+((COUNTIF('Elève (5ème1)'!Z18:AB18,"D"))*1))/(COUNTA(Z18:AB18)),"")</f>
        <v/>
      </c>
      <c r="AD18" s="183" t="str">
        <f t="shared" si="5"/>
        <v/>
      </c>
      <c r="AE18" s="122"/>
      <c r="AF18" s="123"/>
      <c r="AG18" s="124" t="s">
        <v>30</v>
      </c>
      <c r="AH18" s="128"/>
      <c r="AI18" s="182">
        <f>IFERROR((((COUNTIF('Elève (5ème1)'!AE18:AH18,"A"))*4)+((COUNTIF('Elève (5ème1)'!AE18:AH18,"B"))*3)+((COUNTIF('Elève (5ème1)'!AE18:AH18,"C"))*2)+((COUNTIF('Elève (5ème1)'!AE18:AH18,"D"))*1))/(COUNTA(AE18:AH18)),"")</f>
        <v>1</v>
      </c>
      <c r="AJ18" s="183" t="str">
        <f t="shared" si="6"/>
        <v>D</v>
      </c>
      <c r="AK18" s="182">
        <f>IF(COUNT(X18,AC18,AI18)=0,"",SUM(X18,AC18,AI18)/COUNT(X18,AC18,AI18))</f>
        <v>1</v>
      </c>
      <c r="AL18" s="206" t="str">
        <f t="shared" si="7"/>
        <v>D</v>
      </c>
      <c r="AM18" s="122"/>
      <c r="AN18" s="123"/>
      <c r="AO18" s="124"/>
      <c r="AP18" s="182" t="str">
        <f>IFERROR((((COUNTIF('Elève (5ème1)'!AM18:AO18,"A"))*4)+((COUNTIF('Elève (5ème1)'!AM18:AO18,"B"))*3)+((COUNTIF('Elève (5ème1)'!AM18:AO18,"C"))*2)+((COUNTIF('Elève (5ème1)'!AM18:AO18,"D"))*1))/(COUNTA(AM18:AO18)),"")</f>
        <v/>
      </c>
      <c r="AQ18" s="183" t="str">
        <f t="shared" si="8"/>
        <v/>
      </c>
      <c r="AR18" s="122"/>
      <c r="AS18" s="123"/>
      <c r="AT18" s="124"/>
      <c r="AU18" s="182" t="str">
        <f>IFERROR((((COUNTIF('Elève (5ème1)'!AR18:AT18,"A"))*4)+((COUNTIF('Elève (5ème1)'!AR18:AT18,"B"))*3)+((COUNTIF('Elève (5ème1)'!AR18:AT18,"C"))*2)+((COUNTIF('Elève (5ème1)'!AR18:AT18,"D"))*1))/(COUNTA(AR18:AT18)),"")</f>
        <v/>
      </c>
      <c r="AV18" s="183" t="str">
        <f t="shared" si="9"/>
        <v/>
      </c>
      <c r="AW18" s="122"/>
      <c r="AX18" s="123"/>
      <c r="AY18" s="124" t="s">
        <v>29</v>
      </c>
      <c r="AZ18" s="128"/>
      <c r="BA18" s="182">
        <f>IFERROR((((COUNTIF('Elève (5ème1)'!AW18:AZ18,"A"))*4)+((COUNTIF('Elève (5ème1)'!AW18:AZ18,"B"))*3)+((COUNTIF('Elève (5ème1)'!AW18:AZ18,"C"))*2)+((COUNTIF('Elève (5ème1)'!AW18:AZ18,"D"))*1))/(COUNTA(AW18:AZ18)),"")</f>
        <v>2</v>
      </c>
      <c r="BB18" s="183" t="str">
        <f t="shared" si="10"/>
        <v>C</v>
      </c>
      <c r="BC18" s="182">
        <f>IF(COUNT(AP18,AU18,BA18)=0,"",SUM(AP18,AU18,BA18)/COUNT(AP18,AU18,BA18))</f>
        <v>2</v>
      </c>
      <c r="BD18" s="206" t="str">
        <f t="shared" si="11"/>
        <v>C</v>
      </c>
      <c r="BE18" s="122"/>
      <c r="BF18" s="123"/>
      <c r="BG18" s="124"/>
      <c r="BH18" s="182" t="str">
        <f>IFERROR((((COUNTIF('Elève (5ème1)'!BE18:BG18,"A"))*4)+((COUNTIF('Elève (5ème1)'!BE18:BG18,"B"))*3)+((COUNTIF('Elève (5ème1)'!BE18:BG18,"C"))*2)+((COUNTIF('Elève (5ème1)'!BE18:BG18,"D"))*1))/(COUNTA(BE18:BG18)),"")</f>
        <v/>
      </c>
      <c r="BI18" s="183" t="str">
        <f t="shared" si="12"/>
        <v/>
      </c>
      <c r="BJ18" s="122"/>
      <c r="BK18" s="123"/>
      <c r="BL18" s="124"/>
      <c r="BM18" s="182" t="str">
        <f>IFERROR((((COUNTIF('Elève (5ème1)'!BJ18:BL18,"A"))*4)+((COUNTIF('Elève (5ème1)'!BJ18:BL18,"B"))*3)+((COUNTIF('Elève (5ème1)'!BJ18:BL18,"C"))*2)+((COUNTIF('Elève (5ème1)'!BJ18:BL18,"D"))*1))/(COUNTA(BJ18:BL18)),"")</f>
        <v/>
      </c>
      <c r="BN18" s="183" t="str">
        <f t="shared" si="13"/>
        <v/>
      </c>
      <c r="BO18" s="122"/>
      <c r="BP18" s="123"/>
      <c r="BQ18" s="124" t="s">
        <v>29</v>
      </c>
      <c r="BR18" s="128"/>
      <c r="BS18" s="182">
        <f>IFERROR((((COUNTIF('Elève (5ème1)'!BO18:BR18,"A"))*4)+((COUNTIF('Elève (5ème1)'!BO18:BR18,"B"))*3)+((COUNTIF('Elève (5ème1)'!BO18:BR18,"C"))*2)+((COUNTIF('Elève (5ème1)'!BO18:BR18,"D"))*1))/(COUNTA(BO18:BR18)),"")</f>
        <v>2</v>
      </c>
      <c r="BT18" s="183" t="str">
        <f t="shared" si="14"/>
        <v>C</v>
      </c>
      <c r="BU18" s="182">
        <f>IF(COUNT(BH18,BM18,BS18)=0,"",SUM(BH18,BM18,BS18)/COUNT(BH18,BM18,BS18))</f>
        <v>2</v>
      </c>
      <c r="BV18" s="206" t="str">
        <f t="shared" si="15"/>
        <v>C</v>
      </c>
      <c r="BW18" s="122"/>
      <c r="BX18" s="123"/>
      <c r="BY18" s="124"/>
      <c r="BZ18" s="182" t="str">
        <f>IFERROR((((COUNTIF('Elève (5ème1)'!BW18:BY18,"A"))*4)+((COUNTIF('Elève (5ème1)'!BW18:BY18,"B"))*3)+((COUNTIF('Elève (5ème1)'!BW18:BY18,"C"))*2)+((COUNTIF('Elève (5ème1)'!BW18:BY18,"D"))*1))/(COUNTA(BW18:BY18)),"")</f>
        <v/>
      </c>
      <c r="CA18" s="183" t="str">
        <f t="shared" si="16"/>
        <v/>
      </c>
      <c r="CB18" s="122"/>
      <c r="CC18" s="123"/>
      <c r="CD18" s="124"/>
      <c r="CE18" s="182" t="str">
        <f>IFERROR((((COUNTIF('Elève (5ème1)'!CB18:CD18,"A"))*4)+((COUNTIF('Elève (5ème1)'!CB18:CD18,"B"))*3)+((COUNTIF('Elève (5ème1)'!CB18:CD18,"C"))*2)+((COUNTIF('Elève (5ème1)'!CB18:CD18,"D"))*1))/(COUNTA(CB18:CD18)),"")</f>
        <v/>
      </c>
      <c r="CF18" s="183" t="str">
        <f t="shared" si="17"/>
        <v/>
      </c>
      <c r="CG18" s="122"/>
      <c r="CH18" s="123"/>
      <c r="CI18" s="124" t="s">
        <v>27</v>
      </c>
      <c r="CJ18" s="128"/>
      <c r="CK18" s="182">
        <f>IFERROR((((COUNTIF('Elève (5ème1)'!CG18:CJ18,"A"))*4)+((COUNTIF('Elève (5ème1)'!CG18:CJ18,"B"))*3)+((COUNTIF('Elève (5ème1)'!CG18:CJ18,"C"))*2)+((COUNTIF('Elève (5ème1)'!CG18:CJ18,"D"))*1))/(COUNTA(CG18:CJ18)),"")</f>
        <v>4</v>
      </c>
      <c r="CL18" s="183" t="str">
        <f t="shared" si="18"/>
        <v>A</v>
      </c>
      <c r="CM18" s="182">
        <f>IF(COUNT(BZ18,CE18,CK18)=0,"",SUM(BZ18,CE18,CK18)/COUNT(BZ18,CE18,CK18))</f>
        <v>4</v>
      </c>
      <c r="CN18" s="206" t="str">
        <f t="shared" si="19"/>
        <v>A</v>
      </c>
      <c r="CO18" s="122"/>
      <c r="CP18" s="123"/>
      <c r="CQ18" s="124"/>
      <c r="CR18" s="182" t="str">
        <f>IFERROR((((COUNTIF('Elève (5ème1)'!CO18:CQ18,"A"))*4)+((COUNTIF('Elève (5ème1)'!CO18:CQ18,"B"))*3)+((COUNTIF('Elève (5ème1)'!CO18:CQ18,"C"))*2)+((COUNTIF('Elève (5ème1)'!CO18:CQ18,"D"))*1))/(COUNTA(CO18:CQ18)),"")</f>
        <v/>
      </c>
      <c r="CS18" s="183" t="str">
        <f t="shared" si="20"/>
        <v/>
      </c>
      <c r="CT18" s="122"/>
      <c r="CU18" s="123"/>
      <c r="CV18" s="124"/>
      <c r="CW18" s="182" t="str">
        <f>IFERROR((((COUNTIF('Elève (5ème1)'!CT18:CV18,"A"))*4)+((COUNTIF('Elève (5ème1)'!CT18:CV18,"B"))*3)+((COUNTIF('Elève (5ème1)'!CT18:CV18,"C"))*2)+((COUNTIF('Elève (5ème1)'!CT18:CV18,"D"))*1))/(COUNTA(CT18:CV18)),"")</f>
        <v/>
      </c>
      <c r="CX18" s="183" t="str">
        <f t="shared" si="21"/>
        <v/>
      </c>
      <c r="CY18" s="122"/>
      <c r="CZ18" s="123"/>
      <c r="DA18" s="124" t="s">
        <v>29</v>
      </c>
      <c r="DB18" s="128"/>
      <c r="DC18" s="182">
        <f>IFERROR((((COUNTIF('Elève (5ème1)'!CY18:DB18,"A"))*4)+((COUNTIF('Elève (5ème1)'!CY18:DB18,"B"))*3)+((COUNTIF('Elève (5ème1)'!CY18:DB18,"C"))*2)+((COUNTIF('Elève (5ème1)'!CY18:DB18,"D"))*1))/(COUNTA(CY18:DB18)),"")</f>
        <v>2</v>
      </c>
      <c r="DD18" s="183" t="str">
        <f t="shared" si="22"/>
        <v>C</v>
      </c>
      <c r="DE18" s="182">
        <f>IF(COUNT(CR18,CW18,DC18)=0,"",SUM(CR18,CW18,DC18)/COUNT(CR18,CW18,DC18))</f>
        <v>2</v>
      </c>
      <c r="DF18" s="206" t="str">
        <f t="shared" si="23"/>
        <v>C</v>
      </c>
      <c r="DG18" s="122"/>
      <c r="DH18" s="123"/>
      <c r="DI18" s="124"/>
      <c r="DJ18" s="182" t="str">
        <f>IFERROR((((COUNTIF('Elève (5ème1)'!DG18:DI18,"A"))*4)+((COUNTIF('Elève (5ème1)'!DG18:DI18,"B"))*3)+((COUNTIF('Elève (5ème1)'!DG18:DI18,"C"))*2)+((COUNTIF('Elève (5ème1)'!DG18:DI18,"D"))*1))/(COUNTA(DG18:DI18)),"")</f>
        <v/>
      </c>
      <c r="DK18" s="183" t="str">
        <f t="shared" si="24"/>
        <v/>
      </c>
      <c r="DL18" s="122"/>
      <c r="DM18" s="123"/>
      <c r="DN18" s="124"/>
      <c r="DO18" s="182" t="str">
        <f>IFERROR((((COUNTIF('Elève (5ème1)'!DL18:DN18,"A"))*4)+((COUNTIF('Elève (5ème1)'!DL18:DN18,"B"))*3)+((COUNTIF('Elève (5ème1)'!DL18:DN18,"C"))*2)+((COUNTIF('Elève (5ème1)'!DL18:DN18,"D"))*1))/(COUNTA(DL18:DN18)),"")</f>
        <v/>
      </c>
      <c r="DP18" s="183" t="str">
        <f t="shared" si="25"/>
        <v/>
      </c>
      <c r="DQ18" s="122"/>
      <c r="DR18" s="123"/>
      <c r="DS18" s="124"/>
      <c r="DT18" s="128"/>
      <c r="DU18" s="182" t="str">
        <f>IFERROR((((COUNTIF('Elève (5ème1)'!DQ18:DT18,"A"))*4)+((COUNTIF('Elève (5ème1)'!DQ18:DT18,"B"))*3)+((COUNTIF('Elève (5ème1)'!DQ18:DT18,"C"))*2)+((COUNTIF('Elève (5ème1)'!DQ18:DT18,"D"))*1))/(COUNTA(DQ18:DT18)),"")</f>
        <v/>
      </c>
      <c r="DV18" s="183" t="str">
        <f t="shared" si="26"/>
        <v/>
      </c>
      <c r="DW18" s="182" t="str">
        <f>IF(COUNT(DJ18,DO18,DU18)=0,"",SUM(DJ18,DO18,DU18)/COUNT(DJ18,DO18,DU18))</f>
        <v/>
      </c>
      <c r="DX18" s="206" t="str">
        <f t="shared" si="27"/>
        <v/>
      </c>
      <c r="DY18" s="122"/>
      <c r="DZ18" s="123"/>
      <c r="EA18" s="124"/>
      <c r="EB18" s="182" t="str">
        <f>IFERROR((((COUNTIF('Elève (5ème1)'!DY18:EA18,"A"))*4)+((COUNTIF('Elève (5ème1)'!DY18:EA18,"B"))*3)+((COUNTIF('Elève (5ème1)'!DY18:EA18,"C"))*2)+((COUNTIF('Elève (5ème1)'!DY18:EA18,"D"))*1))/(COUNTA(DY18:EA18)),"")</f>
        <v/>
      </c>
      <c r="EC18" s="183" t="str">
        <f t="shared" si="28"/>
        <v/>
      </c>
      <c r="ED18" s="122"/>
      <c r="EE18" s="123"/>
      <c r="EF18" s="124"/>
      <c r="EG18" s="182" t="str">
        <f>IFERROR((((COUNTIF('Elève (5ème1)'!ED18:EF18,"A"))*4)+((COUNTIF('Elève (5ème1)'!ED18:EF18,"B"))*3)+((COUNTIF('Elève (5ème1)'!ED18:EF18,"C"))*2)+((COUNTIF('Elève (5ème1)'!ED18:EF18,"D"))*1))/(COUNTA(ED18:EF18)),"")</f>
        <v/>
      </c>
      <c r="EH18" s="183" t="str">
        <f t="shared" si="29"/>
        <v/>
      </c>
      <c r="EI18" s="122"/>
      <c r="EJ18" s="123"/>
      <c r="EK18" s="124" t="s">
        <v>28</v>
      </c>
      <c r="EL18" s="128"/>
      <c r="EM18" s="182">
        <f>IFERROR((((COUNTIF('Elève (5ème1)'!EI18:EL18,"A"))*4)+((COUNTIF('Elève (5ème1)'!EI18:EL18,"B"))*3)+((COUNTIF('Elève (5ème1)'!EI18:EL18,"C"))*2)+((COUNTIF('Elève (5ème1)'!EI18:EL18,"D"))*1))/(COUNTA(EI18:EL18)),"")</f>
        <v>3</v>
      </c>
      <c r="EN18" s="183" t="str">
        <f t="shared" si="30"/>
        <v>B</v>
      </c>
      <c r="EO18" s="182">
        <f>IF(COUNT(EB18,EG18,EM18)=0,"",SUM(EB18,EG18,EM18)/COUNT(EB18,EG18,EM18))</f>
        <v>3</v>
      </c>
      <c r="EP18" s="206" t="str">
        <f t="shared" si="31"/>
        <v>B</v>
      </c>
      <c r="EQ18" s="122"/>
      <c r="ER18" s="123"/>
      <c r="ES18" s="124"/>
      <c r="ET18" s="182" t="str">
        <f>IFERROR((((COUNTIF('Elève (5ème1)'!EQ18:ES18,"A"))*4)+((COUNTIF('Elève (5ème1)'!EQ18:ES18,"B"))*3)+((COUNTIF('Elève (5ème1)'!EQ18:ES18,"C"))*2)+((COUNTIF('Elève (5ème1)'!EQ18:ES18,"D"))*1))/(COUNTA(EQ18:ES18)),"")</f>
        <v/>
      </c>
      <c r="EU18" s="183" t="str">
        <f t="shared" si="32"/>
        <v/>
      </c>
      <c r="EV18" s="122"/>
      <c r="EW18" s="123"/>
      <c r="EX18" s="124"/>
      <c r="EY18" s="182" t="str">
        <f>IFERROR((((COUNTIF('Elève (5ème1)'!EV18:EX18,"A"))*4)+((COUNTIF('Elève (5ème1)'!EV18:EX18,"B"))*3)+((COUNTIF('Elève (5ème1)'!EV18:EX18,"C"))*2)+((COUNTIF('Elève (5ème1)'!EV18:EX18,"D"))*1))/(COUNTA(EV18:EX18)),"")</f>
        <v/>
      </c>
      <c r="EZ18" s="183" t="str">
        <f t="shared" si="33"/>
        <v/>
      </c>
      <c r="FA18" s="122"/>
      <c r="FB18" s="123"/>
      <c r="FC18" s="124" t="s">
        <v>28</v>
      </c>
      <c r="FD18" s="128"/>
      <c r="FE18" s="182">
        <f>IFERROR((((COUNTIF('Elève (5ème1)'!FA18:FD18,"A"))*4)+((COUNTIF('Elève (5ème1)'!FA18:FD18,"B"))*3)+((COUNTIF('Elève (5ème1)'!FA18:FD18,"C"))*2)+((COUNTIF('Elève (5ème1)'!FA18:FD18,"D"))*1))/(COUNTA(FA18:FD18)),"")</f>
        <v>3</v>
      </c>
      <c r="FF18" s="183" t="str">
        <f t="shared" si="34"/>
        <v>B</v>
      </c>
      <c r="FG18" s="182">
        <f>IF(COUNT(ET18,EY18,FE18)=0,"",SUM(ET18,EY18,FE18)/COUNT(ET18,EY18,FE18))</f>
        <v>3</v>
      </c>
      <c r="FH18" s="206" t="str">
        <f t="shared" si="35"/>
        <v>B</v>
      </c>
      <c r="FI18" s="122"/>
      <c r="FJ18" s="123"/>
      <c r="FK18" s="124"/>
      <c r="FL18" s="182" t="str">
        <f>IFERROR((((COUNTIF('Elève (5ème1)'!FI18:FK18,"A"))*4)+((COUNTIF('Elève (5ème1)'!FI18:FK18,"B"))*3)+((COUNTIF('Elève (5ème1)'!FI18:FK18,"C"))*2)+((COUNTIF('Elève (5ème1)'!FI18:FK18,"D"))*1))/(COUNTA(FI18:FK18)),"")</f>
        <v/>
      </c>
      <c r="FM18" s="183" t="str">
        <f t="shared" si="36"/>
        <v/>
      </c>
      <c r="FN18" s="122"/>
      <c r="FO18" s="123"/>
      <c r="FP18" s="124"/>
      <c r="FQ18" s="182" t="str">
        <f>IFERROR((((COUNTIF('Elève (5ème1)'!FN18:FP18,"A"))*4)+((COUNTIF('Elève (5ème1)'!FN18:FP18,"B"))*3)+((COUNTIF('Elève (5ème1)'!FN18:FP18,"C"))*2)+((COUNTIF('Elève (5ème1)'!FN18:FP18,"D"))*1))/(COUNTA(FN18:FP18)),"")</f>
        <v/>
      </c>
      <c r="FR18" s="183" t="str">
        <f t="shared" si="37"/>
        <v/>
      </c>
      <c r="FS18" s="122"/>
      <c r="FT18" s="123"/>
      <c r="FU18" s="124" t="s">
        <v>28</v>
      </c>
      <c r="FV18" s="128"/>
      <c r="FW18" s="182">
        <f>IFERROR((((COUNTIF('Elève (5ème1)'!FS18:FV18,"A"))*4)+((COUNTIF('Elève (5ème1)'!FS18:FV18,"B"))*3)+((COUNTIF('Elève (5ème1)'!FS18:FV18,"C"))*2)+((COUNTIF('Elève (5ème1)'!FS18:FV18,"D"))*1))/(COUNTA(FS18:FV18)),"")</f>
        <v>3</v>
      </c>
      <c r="FX18" s="183" t="str">
        <f t="shared" si="38"/>
        <v>B</v>
      </c>
      <c r="FY18" s="182">
        <f>IF(COUNT(FL18,FQ18,FW18)=0,"",SUM(FL18,FQ18,FW18)/COUNT(FL18,FQ18,FW18))</f>
        <v>3</v>
      </c>
      <c r="FZ18" s="206" t="str">
        <f t="shared" si="39"/>
        <v>B</v>
      </c>
      <c r="GA18" s="122"/>
      <c r="GB18" s="123"/>
      <c r="GC18" s="124"/>
      <c r="GD18" s="182" t="str">
        <f>IFERROR((((COUNTIF('Elève (5ème1)'!GA18:GC18,"A"))*4)+((COUNTIF('Elève (5ème1)'!GA18:GC18,"B"))*3)+((COUNTIF('Elève (5ème1)'!GA18:GC18,"C"))*2)+((COUNTIF('Elève (5ème1)'!GA18:GC18,"D"))*1))/(COUNTA(GA18:GC18)),"")</f>
        <v/>
      </c>
      <c r="GE18" s="183" t="str">
        <f t="shared" si="40"/>
        <v/>
      </c>
      <c r="GF18" s="122"/>
      <c r="GG18" s="123"/>
      <c r="GH18" s="124"/>
      <c r="GI18" s="182" t="str">
        <f>IFERROR((((COUNTIF('Elève (5ème1)'!GF18:GH18,"A"))*4)+((COUNTIF('Elève (5ème1)'!GF18:GH18,"B"))*3)+((COUNTIF('Elève (5ème1)'!GF18:GH18,"C"))*2)+((COUNTIF('Elève (5ème1)'!GF18:GH18,"D"))*1))/(COUNTA(GF18:GH18)),"")</f>
        <v/>
      </c>
      <c r="GJ18" s="183" t="str">
        <f t="shared" si="41"/>
        <v/>
      </c>
      <c r="GK18" s="122"/>
      <c r="GL18" s="123"/>
      <c r="GM18" s="124" t="s">
        <v>28</v>
      </c>
      <c r="GN18" s="128"/>
      <c r="GO18" s="182">
        <f>IFERROR((((COUNTIF('Elève (5ème1)'!GK18:GN18,"A"))*4)+((COUNTIF('Elève (5ème1)'!GK18:GN18,"B"))*3)+((COUNTIF('Elève (5ème1)'!GK18:GN18,"C"))*2)+((COUNTIF('Elève (5ème1)'!GK18:GN18,"D"))*1))/(COUNTA(GK18:GN18)),"")</f>
        <v>3</v>
      </c>
      <c r="GP18" s="183" t="str">
        <f t="shared" si="42"/>
        <v>B</v>
      </c>
      <c r="GQ18" s="182">
        <f>IF(COUNT(GD18,GI18,GO18)=0,"",SUM(GD18,GI18,GO18)/COUNT(GD18,GI18,GO18))</f>
        <v>3</v>
      </c>
      <c r="GR18" s="206" t="str">
        <f t="shared" si="43"/>
        <v>B</v>
      </c>
      <c r="GS18" s="122"/>
      <c r="GT18" s="123"/>
      <c r="GU18" s="124"/>
      <c r="GV18" s="182" t="str">
        <f>IFERROR((((COUNTIF('Elève (5ème1)'!GS18:GU18,"A"))*4)+((COUNTIF('Elève (5ème1)'!GS18:GU18,"B"))*3)+((COUNTIF('Elève (5ème1)'!GS18:GU18,"C"))*2)+((COUNTIF('Elève (5ème1)'!GS18:GU18,"D"))*1))/(COUNTA(GS18:GU18)),"")</f>
        <v/>
      </c>
      <c r="GW18" s="183" t="str">
        <f t="shared" si="44"/>
        <v/>
      </c>
      <c r="GX18" s="122"/>
      <c r="GY18" s="123"/>
      <c r="GZ18" s="124"/>
      <c r="HA18" s="182" t="str">
        <f>IFERROR((((COUNTIF('Elève (5ème1)'!GX18:GZ18,"A"))*4)+((COUNTIF('Elève (5ème1)'!GX18:GZ18,"B"))*3)+((COUNTIF('Elève (5ème1)'!GX18:GZ18,"C"))*2)+((COUNTIF('Elève (5ème1)'!GX18:GZ18,"D"))*1))/(COUNTA(GX18:GZ18)),"")</f>
        <v/>
      </c>
      <c r="HB18" s="183" t="str">
        <f t="shared" si="45"/>
        <v/>
      </c>
      <c r="HC18" s="122"/>
      <c r="HD18" s="123"/>
      <c r="HE18" s="124" t="s">
        <v>28</v>
      </c>
      <c r="HF18" s="128"/>
      <c r="HG18" s="182">
        <f>IFERROR((((COUNTIF('Elève (5ème1)'!HC18:HF18,"A"))*4)+((COUNTIF('Elève (5ème1)'!HC18:HF18,"B"))*3)+((COUNTIF('Elève (5ème1)'!HC18:HF18,"C"))*2)+((COUNTIF('Elève (5ème1)'!HC18:HF18,"D"))*1))/(COUNTA(HC18:HF18)),"")</f>
        <v>3</v>
      </c>
      <c r="HH18" s="183" t="str">
        <f t="shared" si="46"/>
        <v>B</v>
      </c>
      <c r="HI18" s="182">
        <f>IF(COUNT(GV18,HA18,HG18)=0,"",SUM(GV18,HA18,HG18)/COUNT(GV18,HA18,HG18))</f>
        <v>3</v>
      </c>
      <c r="HJ18" s="206" t="str">
        <f t="shared" si="47"/>
        <v>B</v>
      </c>
      <c r="HK18" s="122"/>
      <c r="HL18" s="123"/>
      <c r="HM18" s="124"/>
      <c r="HN18" s="182" t="str">
        <f>IFERROR((((COUNTIF('Elève (5ème1)'!HK18:HM18,"A"))*4)+((COUNTIF('Elève (5ème1)'!HK18:HM18,"B"))*3)+((COUNTIF('Elève (5ème1)'!HK18:HM18,"C"))*2)+((COUNTIF('Elève (5ème1)'!HK18:HM18,"D"))*1))/(COUNTA(HK18:HM18)),"")</f>
        <v/>
      </c>
      <c r="HO18" s="183" t="str">
        <f t="shared" si="48"/>
        <v/>
      </c>
      <c r="HP18" s="122"/>
      <c r="HQ18" s="123"/>
      <c r="HR18" s="124"/>
      <c r="HS18" s="182" t="str">
        <f>IFERROR((((COUNTIF('Elève (5ème1)'!HP18:HR18,"A"))*4)+((COUNTIF('Elève (5ème1)'!HP18:HR18,"B"))*3)+((COUNTIF('Elève (5ème1)'!HP18:HR18,"C"))*2)+((COUNTIF('Elève (5ème1)'!HP18:HR18,"D"))*1))/(COUNTA(HP18:HR18)),"")</f>
        <v/>
      </c>
      <c r="HT18" s="183" t="str">
        <f t="shared" si="49"/>
        <v/>
      </c>
      <c r="HU18" s="122"/>
      <c r="HV18" s="123"/>
      <c r="HW18" s="124" t="s">
        <v>28</v>
      </c>
      <c r="HX18" s="128"/>
      <c r="HY18" s="182">
        <f>IFERROR((((COUNTIF('Elève (5ème1)'!HU18:HX18,"A"))*4)+((COUNTIF('Elève (5ème1)'!HU18:HX18,"B"))*3)+((COUNTIF('Elève (5ème1)'!HU18:HX18,"C"))*2)+((COUNTIF('Elève (5ème1)'!HU18:HX18,"D"))*1))/(COUNTA(HU18:HX18)),"")</f>
        <v>3</v>
      </c>
      <c r="HZ18" s="183" t="str">
        <f t="shared" si="50"/>
        <v>B</v>
      </c>
      <c r="IA18" s="182">
        <f>IF(COUNT(HN18,HS18,HY18)=0,"",SUM(HN18,HS18,HY18)/COUNT(HN18,HS18,HY18))</f>
        <v>3</v>
      </c>
      <c r="IB18" s="206" t="str">
        <f t="shared" si="51"/>
        <v>B</v>
      </c>
      <c r="IC18" s="122"/>
      <c r="ID18" s="123"/>
      <c r="IE18" s="124"/>
      <c r="IF18" s="182" t="str">
        <f>IFERROR((((COUNTIF('Elève (5ème1)'!IC18:IE18,"A"))*4)+((COUNTIF('Elève (5ème1)'!IC18:IE18,"B"))*3)+((COUNTIF('Elève (5ème1)'!IC18:IE18,"C"))*2)+((COUNTIF('Elève (5ème1)'!IC18:IE18,"D"))*1))/(COUNTA(IC18:IE18)),"")</f>
        <v/>
      </c>
      <c r="IG18" s="183" t="str">
        <f t="shared" si="52"/>
        <v/>
      </c>
      <c r="IH18" s="122"/>
      <c r="II18" s="123"/>
      <c r="IJ18" s="124"/>
      <c r="IK18" s="182" t="str">
        <f>IFERROR((((COUNTIF('Elève (5ème1)'!IH18:IJ18,"A"))*4)+((COUNTIF('Elève (5ème1)'!IH18:IJ18,"B"))*3)+((COUNTIF('Elève (5ème1)'!IH18:IJ18,"C"))*2)+((COUNTIF('Elève (5ème1)'!IH18:IJ18,"D"))*1))/(COUNTA(IH18:IJ18)),"")</f>
        <v/>
      </c>
      <c r="IL18" s="183" t="str">
        <f t="shared" si="53"/>
        <v/>
      </c>
      <c r="IM18" s="122"/>
      <c r="IN18" s="123"/>
      <c r="IO18" s="124" t="s">
        <v>28</v>
      </c>
      <c r="IP18" s="128"/>
      <c r="IQ18" s="182">
        <f>IFERROR((((COUNTIF('Elève (5ème1)'!IM18:IP18,"A"))*4)+((COUNTIF('Elève (5ème1)'!IM18:IP18,"B"))*3)+((COUNTIF('Elève (5ème1)'!IM18:IP18,"C"))*2)+((COUNTIF('Elève (5ème1)'!IM18:IP18,"D"))*1))/(COUNTA(IM18:IP18)),"")</f>
        <v>3</v>
      </c>
      <c r="IR18" s="183" t="str">
        <f t="shared" si="54"/>
        <v>B</v>
      </c>
      <c r="IS18" s="182">
        <f>IF(COUNT(IF18,IK18,IQ18)=0,"",SUM(IF18,IK18,IQ18)/COUNT(IF18,IK18,IQ18))</f>
        <v>3</v>
      </c>
      <c r="IT18" s="206" t="str">
        <f t="shared" si="55"/>
        <v>B</v>
      </c>
      <c r="IU18" s="122"/>
      <c r="IV18" s="123"/>
      <c r="IW18" s="124"/>
      <c r="IX18" s="182" t="str">
        <f>IFERROR((((COUNTIF('Elève (5ème1)'!IU18:IW18,"A"))*4)+((COUNTIF('Elève (5ème1)'!IU18:IW18,"B"))*3)+((COUNTIF('Elève (5ème1)'!IU18:IW18,"C"))*2)+((COUNTIF('Elève (5ème1)'!IU18:IW18,"D"))*1))/(COUNTA(IU18:IW18)),"")</f>
        <v/>
      </c>
      <c r="IY18" s="183" t="str">
        <f t="shared" si="56"/>
        <v/>
      </c>
      <c r="IZ18" s="122"/>
      <c r="JA18" s="123"/>
      <c r="JB18" s="124"/>
      <c r="JC18" s="182" t="str">
        <f>IFERROR((((COUNTIF('Elève (5ème1)'!IZ18:JB18,"A"))*4)+((COUNTIF('Elève (5ème1)'!IZ18:JB18,"B"))*3)+((COUNTIF('Elève (5ème1)'!IZ18:JB18,"C"))*2)+((COUNTIF('Elève (5ème1)'!IZ18:JB18,"D"))*1))/(COUNTA(IZ18:JB18)),"")</f>
        <v/>
      </c>
      <c r="JD18" s="183" t="str">
        <f t="shared" si="57"/>
        <v/>
      </c>
      <c r="JE18" s="122"/>
      <c r="JF18" s="123"/>
      <c r="JG18" s="124" t="s">
        <v>28</v>
      </c>
      <c r="JH18" s="128"/>
      <c r="JI18" s="182">
        <f>IFERROR((((COUNTIF('Elève (5ème1)'!JE18:JH18,"A"))*4)+((COUNTIF('Elève (5ème1)'!JE18:JH18,"B"))*3)+((COUNTIF('Elève (5ème1)'!JE18:JH18,"C"))*2)+((COUNTIF('Elève (5ème1)'!JE18:JH18,"D"))*1))/(COUNTA(JE18:JH18)),"")</f>
        <v>3</v>
      </c>
      <c r="JJ18" s="183" t="str">
        <f t="shared" si="58"/>
        <v>B</v>
      </c>
      <c r="JK18" s="182">
        <f>IF(COUNT(IX18,JC18,JI18)=0,"",SUM(IX18,JC18,JI18)/COUNT(IX18,JC18,JI18))</f>
        <v>3</v>
      </c>
      <c r="JL18" s="206" t="str">
        <f t="shared" si="59"/>
        <v>B</v>
      </c>
      <c r="JM18" s="122"/>
      <c r="JN18" s="123"/>
      <c r="JO18" s="124"/>
      <c r="JP18" s="182" t="str">
        <f>IFERROR((((COUNTIF('Elève (5ème1)'!JM18:JO18,"A"))*4)+((COUNTIF('Elève (5ème1)'!JM18:JO18,"B"))*3)+((COUNTIF('Elève (5ème1)'!JM18:JO18,"C"))*2)+((COUNTIF('Elève (5ème1)'!JM18:JO18,"D"))*1))/(COUNTA(JM18:JO18)),"")</f>
        <v/>
      </c>
      <c r="JQ18" s="183" t="str">
        <f t="shared" si="60"/>
        <v/>
      </c>
      <c r="JR18" s="122"/>
      <c r="JS18" s="123"/>
      <c r="JT18" s="124"/>
      <c r="JU18" s="182" t="str">
        <f>IFERROR((((COUNTIF('Elève (5ème1)'!JR18:JT18,"A"))*4)+((COUNTIF('Elève (5ème1)'!JR18:JT18,"B"))*3)+((COUNTIF('Elève (5ème1)'!JR18:JT18,"C"))*2)+((COUNTIF('Elève (5ème1)'!JR18:JT18,"D"))*1))/(COUNTA(JR18:JT18)),"")</f>
        <v/>
      </c>
      <c r="JV18" s="183" t="str">
        <f t="shared" si="61"/>
        <v/>
      </c>
      <c r="JW18" s="122"/>
      <c r="JX18" s="123"/>
      <c r="JY18" s="124" t="s">
        <v>27</v>
      </c>
      <c r="JZ18" s="128"/>
      <c r="KA18" s="182">
        <f>IFERROR((((COUNTIF('Elève (5ème1)'!JW18:JZ18,"A"))*4)+((COUNTIF('Elève (5ème1)'!JW18:JZ18,"B"))*3)+((COUNTIF('Elève (5ème1)'!JW18:JZ18,"C"))*2)+((COUNTIF('Elève (5ème1)'!JW18:JZ18,"D"))*1))/(COUNTA(JW18:JZ18)),"")</f>
        <v>4</v>
      </c>
      <c r="KB18" s="183" t="str">
        <f t="shared" si="62"/>
        <v>A</v>
      </c>
      <c r="KC18" s="182">
        <f>IF(COUNT(JP18,JU18,KA18)=0,"",SUM(JP18,JU18,KA18)/COUNT(JP18,JU18,KA18))</f>
        <v>4</v>
      </c>
      <c r="KD18" s="206" t="str">
        <f t="shared" si="63"/>
        <v>A</v>
      </c>
      <c r="KE18" s="122"/>
      <c r="KF18" s="123"/>
      <c r="KG18" s="124"/>
      <c r="KH18" s="182" t="str">
        <f>IFERROR((((COUNTIF('Elève (5ème1)'!KE18:KG18,"A"))*4)+((COUNTIF('Elève (5ème1)'!KE18:KG18,"B"))*3)+((COUNTIF('Elève (5ème1)'!KE18:KG18,"C"))*2)+((COUNTIF('Elève (5ème1)'!KE18:KG18,"D"))*1))/(COUNTA(KE18:KG18)),"")</f>
        <v/>
      </c>
      <c r="KI18" s="183" t="str">
        <f t="shared" si="64"/>
        <v/>
      </c>
      <c r="KJ18" s="122"/>
      <c r="KK18" s="123"/>
      <c r="KL18" s="124"/>
      <c r="KM18" s="182" t="str">
        <f>IFERROR((((COUNTIF('Elève (5ème1)'!KJ18:KL18,"A"))*4)+((COUNTIF('Elève (5ème1)'!KJ18:KL18,"B"))*3)+((COUNTIF('Elève (5ème1)'!KJ18:KL18,"C"))*2)+((COUNTIF('Elève (5ème1)'!KJ18:KL18,"D"))*1))/(COUNTA(KJ18:KL18)),"")</f>
        <v/>
      </c>
      <c r="KN18" s="183" t="str">
        <f t="shared" si="65"/>
        <v/>
      </c>
      <c r="KO18" s="122"/>
      <c r="KP18" s="123"/>
      <c r="KQ18" s="124"/>
      <c r="KR18" s="128"/>
      <c r="KS18" s="182" t="str">
        <f>IFERROR((((COUNTIF('Elève (5ème1)'!KO18:KR18,"A"))*4)+((COUNTIF('Elève (5ème1)'!KO18:KR18,"B"))*3)+((COUNTIF('Elève (5ème1)'!KO18:KR18,"C"))*2)+((COUNTIF('Elève (5ème1)'!KO18:KR18,"D"))*1))/(COUNTA(KO18:KR18)),"")</f>
        <v/>
      </c>
      <c r="KT18" s="183" t="str">
        <f t="shared" si="66"/>
        <v/>
      </c>
      <c r="KU18" s="182" t="str">
        <f>IF(COUNT(KH18,KM18,KS18)=0,"",SUM(KH18,KM18,KS18)/COUNT(KH18,KM18,KS18))</f>
        <v/>
      </c>
      <c r="KV18" s="206" t="str">
        <f t="shared" si="67"/>
        <v/>
      </c>
      <c r="KW18" s="122"/>
      <c r="KX18" s="123"/>
      <c r="KY18" s="124"/>
      <c r="KZ18" s="182" t="str">
        <f>IFERROR((((COUNTIF('Elève (5ème1)'!KW18:KY18,"A"))*4)+((COUNTIF('Elève (5ème1)'!KW18:KY18,"B"))*3)+((COUNTIF('Elève (5ème1)'!KW18:KY18,"C"))*2)+((COUNTIF('Elève (5ème1)'!KW18:KY18,"D"))*1))/(COUNTA(KW18:KY18)),"")</f>
        <v/>
      </c>
      <c r="LA18" s="183" t="str">
        <f t="shared" si="68"/>
        <v/>
      </c>
      <c r="LB18" s="122"/>
      <c r="LC18" s="123"/>
      <c r="LD18" s="124"/>
      <c r="LE18" s="182" t="str">
        <f>IFERROR((((COUNTIF('Elève (5ème1)'!LB18:LD18,"A"))*4)+((COUNTIF('Elève (5ème1)'!LB18:LD18,"B"))*3)+((COUNTIF('Elève (5ème1)'!LB18:LD18,"C"))*2)+((COUNTIF('Elève (5ème1)'!LB18:LD18,"D"))*1))/(COUNTA(LB18:LD18)),"")</f>
        <v/>
      </c>
      <c r="LF18" s="183" t="str">
        <f t="shared" si="69"/>
        <v/>
      </c>
      <c r="LG18" s="122"/>
      <c r="LH18" s="123"/>
      <c r="LI18" s="124" t="s">
        <v>28</v>
      </c>
      <c r="LJ18" s="128"/>
      <c r="LK18" s="182">
        <f>IFERROR((((COUNTIF('Elève (5ème1)'!LG18:LJ18,"A"))*4)+((COUNTIF('Elève (5ème1)'!LG18:LJ18,"B"))*3)+((COUNTIF('Elève (5ème1)'!LG18:LJ18,"C"))*2)+((COUNTIF('Elève (5ème1)'!LG18:LJ18,"D"))*1))/(COUNTA(LG18:LJ18)),"")</f>
        <v>3</v>
      </c>
      <c r="LL18" s="183" t="str">
        <f t="shared" si="70"/>
        <v>B</v>
      </c>
      <c r="LM18" s="182">
        <f>IF(COUNT(KZ18,LE18,LK18)=0,"",SUM(KZ18,LE18,LK18)/COUNT(KZ18,LE18,LK18))</f>
        <v>3</v>
      </c>
      <c r="LN18" s="206" t="str">
        <f t="shared" si="71"/>
        <v>B</v>
      </c>
      <c r="LO18" s="122"/>
      <c r="LP18" s="123"/>
      <c r="LQ18" s="124"/>
      <c r="LR18" s="182" t="str">
        <f>IFERROR((((COUNTIF('Elève (5ème1)'!LO18:LQ18,"A"))*4)+((COUNTIF('Elève (5ème1)'!LO18:LQ18,"B"))*3)+((COUNTIF('Elève (5ème1)'!LO18:LQ18,"C"))*2)+((COUNTIF('Elève (5ème1)'!LO18:LQ18,"D"))*1))/(COUNTA(LO18:LQ18)),"")</f>
        <v/>
      </c>
      <c r="LS18" s="183" t="str">
        <f t="shared" si="72"/>
        <v/>
      </c>
      <c r="LT18" s="122"/>
      <c r="LU18" s="123"/>
      <c r="LV18" s="124"/>
      <c r="LW18" s="182" t="str">
        <f>IFERROR((((COUNTIF('Elève (5ème1)'!LT18:LV18,"A"))*4)+((COUNTIF('Elève (5ème1)'!LT18:LV18,"B"))*3)+((COUNTIF('Elève (5ème1)'!LT18:LV18,"C"))*2)+((COUNTIF('Elève (5ème1)'!LT18:LV18,"D"))*1))/(COUNTA(LT18:LV18)),"")</f>
        <v/>
      </c>
      <c r="LX18" s="183" t="str">
        <f t="shared" si="73"/>
        <v/>
      </c>
      <c r="LY18" s="122"/>
      <c r="LZ18" s="123"/>
      <c r="MA18" s="124" t="s">
        <v>28</v>
      </c>
      <c r="MB18" s="128"/>
      <c r="MC18" s="182">
        <f>IFERROR((((COUNTIF('Elève (5ème1)'!LY18:MB18,"A"))*4)+((COUNTIF('Elève (5ème1)'!LY18:MB18,"B"))*3)+((COUNTIF('Elève (5ème1)'!LY18:MB18,"C"))*2)+((COUNTIF('Elève (5ème1)'!LY18:MB18,"D"))*1))/(COUNTA(LY18:MB18)),"")</f>
        <v>3</v>
      </c>
      <c r="MD18" s="183" t="str">
        <f t="shared" si="74"/>
        <v>B</v>
      </c>
      <c r="ME18" s="182">
        <f>IF(COUNT(LR18,LW18,MC18)=0,"",SUM(LR18,LW18,MC18)/COUNT(LR18,LW18,MC18))</f>
        <v>3</v>
      </c>
      <c r="MF18" s="206" t="str">
        <f t="shared" si="75"/>
        <v>B</v>
      </c>
      <c r="MG18" s="122"/>
      <c r="MH18" s="123"/>
      <c r="MI18" s="124"/>
      <c r="MJ18" s="182" t="str">
        <f>IFERROR((((COUNTIF('Elève (5ème1)'!MG18:MI18,"A"))*4)+((COUNTIF('Elève (5ème1)'!MG18:MI18,"B"))*3)+((COUNTIF('Elève (5ème1)'!MG18:MI18,"C"))*2)+((COUNTIF('Elève (5ème1)'!MG18:MI18,"D"))*1))/(COUNTA(MG18:MI18)),"")</f>
        <v/>
      </c>
      <c r="MK18" s="183" t="str">
        <f t="shared" si="76"/>
        <v/>
      </c>
      <c r="ML18" s="122"/>
      <c r="MM18" s="123"/>
      <c r="MN18" s="124"/>
      <c r="MO18" s="182" t="str">
        <f>IFERROR((((COUNTIF('Elève (5ème1)'!ML18:MN18,"A"))*4)+((COUNTIF('Elève (5ème1)'!ML18:MN18,"B"))*3)+((COUNTIF('Elève (5ème1)'!ML18:MN18,"C"))*2)+((COUNTIF('Elève (5ème1)'!ML18:MN18,"D"))*1))/(COUNTA(ML18:MN18)),"")</f>
        <v/>
      </c>
      <c r="MP18" s="183" t="str">
        <f t="shared" si="77"/>
        <v/>
      </c>
      <c r="MQ18" s="122"/>
      <c r="MR18" s="123"/>
      <c r="MS18" s="124" t="s">
        <v>29</v>
      </c>
      <c r="MT18" s="128"/>
      <c r="MU18" s="182">
        <f>IFERROR((((COUNTIF('Elève (5ème1)'!MQ18:MT18,"A"))*4)+((COUNTIF('Elève (5ème1)'!MQ18:MT18,"B"))*3)+((COUNTIF('Elève (5ème1)'!MQ18:MT18,"C"))*2)+((COUNTIF('Elève (5ème1)'!MQ18:MT18,"D"))*1))/(COUNTA(MQ18:MT18)),"")</f>
        <v>2</v>
      </c>
      <c r="MV18" s="183" t="str">
        <f t="shared" si="78"/>
        <v>C</v>
      </c>
      <c r="MW18" s="182">
        <f>IF(COUNT(MJ18,MO18,MU18)=0,"",SUM(MJ18,MO18,MU18)/COUNT(MJ18,MO18,MU18))</f>
        <v>2</v>
      </c>
      <c r="MX18" s="206" t="str">
        <f t="shared" si="79"/>
        <v>C</v>
      </c>
      <c r="MY18" s="122"/>
      <c r="MZ18" s="123"/>
      <c r="NA18" s="124"/>
      <c r="NB18" s="182" t="str">
        <f>IFERROR((((COUNTIF('Elève (5ème1)'!MY18:NA18,"A"))*4)+((COUNTIF('Elève (5ème1)'!MY18:NA18,"B"))*3)+((COUNTIF('Elève (5ème1)'!MY18:NA18,"C"))*2)+((COUNTIF('Elève (5ème1)'!MY18:NA18,"D"))*1))/(COUNTA(MY18:NA18)),"")</f>
        <v/>
      </c>
      <c r="NC18" s="183" t="str">
        <f t="shared" si="80"/>
        <v/>
      </c>
      <c r="ND18" s="122"/>
      <c r="NE18" s="123"/>
      <c r="NF18" s="124"/>
      <c r="NG18" s="182" t="str">
        <f>IFERROR((((COUNTIF('Elève (5ème1)'!ND18:NF18,"A"))*4)+((COUNTIF('Elève (5ème1)'!ND18:NF18,"B"))*3)+((COUNTIF('Elève (5ème1)'!ND18:NF18,"C"))*2)+((COUNTIF('Elève (5ème1)'!ND18:NF18,"D"))*1))/(COUNTA(ND18:NF18)),"")</f>
        <v/>
      </c>
      <c r="NH18" s="183" t="str">
        <f t="shared" si="81"/>
        <v/>
      </c>
      <c r="NI18" s="122"/>
      <c r="NJ18" s="123"/>
      <c r="NK18" s="124" t="s">
        <v>28</v>
      </c>
      <c r="NL18" s="128"/>
      <c r="NM18" s="182">
        <f>IFERROR((((COUNTIF('Elève (5ème1)'!NI18:NL18,"A"))*4)+((COUNTIF('Elève (5ème1)'!NI18:NL18,"B"))*3)+((COUNTIF('Elève (5ème1)'!NI18:NL18,"C"))*2)+((COUNTIF('Elève (5ème1)'!NI18:NL18,"D"))*1))/(COUNTA(NI18:NL18)),"")</f>
        <v>3</v>
      </c>
      <c r="NN18" s="183" t="str">
        <f t="shared" si="82"/>
        <v>B</v>
      </c>
      <c r="NO18" s="182">
        <f>IF(COUNT(NB18,NG18,NM18)=0,"",SUM(NB18,NG18,NM18)/COUNT(NB18,NG18,NM18))</f>
        <v>3</v>
      </c>
      <c r="NP18" s="206" t="str">
        <f t="shared" si="83"/>
        <v>B</v>
      </c>
      <c r="NQ18" s="122"/>
      <c r="NR18" s="123"/>
      <c r="NS18" s="124"/>
      <c r="NT18" s="182" t="str">
        <f>IFERROR((((COUNTIF('Elève (5ème1)'!NQ18:NS18,"A"))*4)+((COUNTIF('Elève (5ème1)'!NQ18:NS18,"B"))*3)+((COUNTIF('Elève (5ème1)'!NQ18:NS18,"C"))*2)+((COUNTIF('Elève (5ème1)'!NQ18:NS18,"D"))*1))/(COUNTA(NQ18:NS18)),"")</f>
        <v/>
      </c>
      <c r="NU18" s="183" t="str">
        <f t="shared" si="84"/>
        <v/>
      </c>
      <c r="NV18" s="122"/>
      <c r="NW18" s="123"/>
      <c r="NX18" s="124"/>
      <c r="NY18" s="182" t="str">
        <f>IFERROR((((COUNTIF('Elève (5ème1)'!NV18:NX18,"A"))*4)+((COUNTIF('Elève (5ème1)'!NV18:NX18,"B"))*3)+((COUNTIF('Elève (5ème1)'!NV18:NX18,"C"))*2)+((COUNTIF('Elève (5ème1)'!NV18:NX18,"D"))*1))/(COUNTA(NV18:NX18)),"")</f>
        <v/>
      </c>
      <c r="NZ18" s="183" t="str">
        <f t="shared" si="85"/>
        <v/>
      </c>
      <c r="OA18" s="122"/>
      <c r="OB18" s="123"/>
      <c r="OC18" s="124" t="s">
        <v>30</v>
      </c>
      <c r="OD18" s="128"/>
      <c r="OE18" s="182">
        <f>IFERROR((((COUNTIF('Elève (5ème1)'!OA18:OD18,"A"))*4)+((COUNTIF('Elève (5ème1)'!OA18:OD18,"B"))*3)+((COUNTIF('Elève (5ème1)'!OA18:OD18,"C"))*2)+((COUNTIF('Elève (5ème1)'!OA18:OD18,"D"))*1))/(COUNTA(OA18:OD18)),"")</f>
        <v>1</v>
      </c>
      <c r="OF18" s="183" t="str">
        <f t="shared" si="86"/>
        <v>D</v>
      </c>
      <c r="OG18" s="182">
        <f>IF(COUNT(NT18,NY18,OE18)=0,"",SUM(NT18,NY18,OE18)/COUNT(NT18,NY18,OE18))</f>
        <v>1</v>
      </c>
      <c r="OH18" s="206" t="str">
        <f t="shared" si="87"/>
        <v>D</v>
      </c>
      <c r="OI18" s="122"/>
      <c r="OJ18" s="123"/>
      <c r="OK18" s="124"/>
      <c r="OL18" s="182" t="str">
        <f>IFERROR((((COUNTIF('Elève (5ème1)'!OI18:OK18,"A"))*4)+((COUNTIF('Elève (5ème1)'!OI18:OK18,"B"))*3)+((COUNTIF('Elève (5ème1)'!OI18:OK18,"C"))*2)+((COUNTIF('Elève (5ème1)'!OI18:OK18,"D"))*1))/(COUNTA(OI18:OK18)),"")</f>
        <v/>
      </c>
      <c r="OM18" s="183" t="str">
        <f t="shared" si="88"/>
        <v/>
      </c>
      <c r="ON18" s="122"/>
      <c r="OO18" s="123"/>
      <c r="OP18" s="124"/>
      <c r="OQ18" s="182" t="str">
        <f>IFERROR((((COUNTIF('Elève (5ème1)'!ON18:OP18,"A"))*4)+((COUNTIF('Elève (5ème1)'!ON18:OP18,"B"))*3)+((COUNTIF('Elève (5ème1)'!ON18:OP18,"C"))*2)+((COUNTIF('Elève (5ème1)'!ON18:OP18,"D"))*1))/(COUNTA(ON18:OP18)),"")</f>
        <v/>
      </c>
      <c r="OR18" s="183" t="str">
        <f t="shared" si="89"/>
        <v/>
      </c>
      <c r="OS18" s="122"/>
      <c r="OT18" s="123"/>
      <c r="OU18" s="124" t="s">
        <v>28</v>
      </c>
      <c r="OV18" s="128"/>
      <c r="OW18" s="182">
        <f>IFERROR((((COUNTIF('Elève (5ème1)'!OS18:OV18,"A"))*4)+((COUNTIF('Elève (5ème1)'!OS18:OV18,"B"))*3)+((COUNTIF('Elève (5ème1)'!OS18:OV18,"C"))*2)+((COUNTIF('Elève (5ème1)'!OS18:OV18,"D"))*1))/(COUNTA(OS18:OV18)),"")</f>
        <v>3</v>
      </c>
      <c r="OX18" s="183" t="str">
        <f t="shared" si="90"/>
        <v>B</v>
      </c>
      <c r="OY18" s="182">
        <f>IF(COUNT(OL18,OQ18,OW18)=0,"",SUM(OL18,OQ18,OW18)/COUNT(OL18,OQ18,OW18))</f>
        <v>3</v>
      </c>
      <c r="OZ18" s="206" t="str">
        <f t="shared" si="91"/>
        <v>B</v>
      </c>
      <c r="PA18" s="122"/>
      <c r="PB18" s="123"/>
      <c r="PC18" s="124"/>
      <c r="PD18" s="182" t="str">
        <f>IFERROR((((COUNTIF('Elève (5ème1)'!PA18:PC18,"A"))*4)+((COUNTIF('Elève (5ème1)'!PA18:PC18,"B"))*3)+((COUNTIF('Elève (5ème1)'!PA18:PC18,"C"))*2)+((COUNTIF('Elève (5ème1)'!PA18:PC18,"D"))*1))/(COUNTA(PA18:PC18)),"")</f>
        <v/>
      </c>
      <c r="PE18" s="183" t="str">
        <f t="shared" si="92"/>
        <v/>
      </c>
      <c r="PF18" s="122"/>
      <c r="PG18" s="123"/>
      <c r="PH18" s="124"/>
      <c r="PI18" s="182" t="str">
        <f>IFERROR((((COUNTIF('Elève (5ème1)'!PF18:PH18,"A"))*4)+((COUNTIF('Elève (5ème1)'!PF18:PH18,"B"))*3)+((COUNTIF('Elève (5ème1)'!PF18:PH18,"C"))*2)+((COUNTIF('Elève (5ème1)'!PF18:PH18,"D"))*1))/(COUNTA(PF18:PH18)),"")</f>
        <v/>
      </c>
      <c r="PJ18" s="183" t="str">
        <f t="shared" si="93"/>
        <v/>
      </c>
      <c r="PK18" s="122"/>
      <c r="PL18" s="123"/>
      <c r="PM18" s="124" t="s">
        <v>29</v>
      </c>
      <c r="PN18" s="128"/>
      <c r="PO18" s="182">
        <f>IFERROR((((COUNTIF('Elève (5ème1)'!PK18:PN18,"A"))*4)+((COUNTIF('Elève (5ème1)'!PK18:PN18,"B"))*3)+((COUNTIF('Elève (5ème1)'!PK18:PN18,"C"))*2)+((COUNTIF('Elève (5ème1)'!PK18:PN18,"D"))*1))/(COUNTA(PK18:PN18)),"")</f>
        <v>2</v>
      </c>
      <c r="PP18" s="183" t="str">
        <f t="shared" si="94"/>
        <v>C</v>
      </c>
      <c r="PQ18" s="182">
        <f>IF(COUNT(PD18,PI18,PO18)=0,"",SUM(PD18,PI18,PO18)/COUNT(PD18,PI18,PO18))</f>
        <v>2</v>
      </c>
      <c r="PR18" s="206" t="str">
        <f t="shared" si="95"/>
        <v>C</v>
      </c>
      <c r="PS18" s="122"/>
      <c r="PT18" s="123"/>
      <c r="PU18" s="124"/>
      <c r="PV18" s="182" t="str">
        <f>IFERROR((((COUNTIF('Elève (5ème1)'!PS18:PU18,"A"))*4)+((COUNTIF('Elève (5ème1)'!PS18:PU18,"B"))*3)+((COUNTIF('Elève (5ème1)'!PS18:PU18,"C"))*2)+((COUNTIF('Elève (5ème1)'!PS18:PU18,"D"))*1))/(COUNTA(PS18:PU18)),"")</f>
        <v/>
      </c>
      <c r="PW18" s="183" t="str">
        <f t="shared" si="96"/>
        <v/>
      </c>
      <c r="PX18" s="122"/>
      <c r="PY18" s="123"/>
      <c r="PZ18" s="124"/>
      <c r="QA18" s="182" t="str">
        <f>IFERROR((((COUNTIF('Elève (5ème1)'!PX18:PZ18,"A"))*4)+((COUNTIF('Elève (5ème1)'!PX18:PZ18,"B"))*3)+((COUNTIF('Elève (5ème1)'!PX18:PZ18,"C"))*2)+((COUNTIF('Elève (5ème1)'!PX18:PZ18,"D"))*1))/(COUNTA(PX18:PZ18)),"")</f>
        <v/>
      </c>
      <c r="QB18" s="183" t="str">
        <f t="shared" si="97"/>
        <v/>
      </c>
      <c r="QC18" s="122"/>
      <c r="QD18" s="123"/>
      <c r="QE18" s="124" t="s">
        <v>28</v>
      </c>
      <c r="QF18" s="128"/>
      <c r="QG18" s="182">
        <f>IFERROR((((COUNTIF('Elève (5ème1)'!QC18:QF18,"A"))*4)+((COUNTIF('Elève (5ème1)'!QC18:QF18,"B"))*3)+((COUNTIF('Elève (5ème1)'!QC18:QF18,"C"))*2)+((COUNTIF('Elève (5ème1)'!QC18:QF18,"D"))*1))/(COUNTA(QC18:QF18)),"")</f>
        <v>3</v>
      </c>
      <c r="QH18" s="183" t="str">
        <f t="shared" si="98"/>
        <v>B</v>
      </c>
      <c r="QI18" s="182">
        <f>IF(COUNT(PV18,QA18,QG18)=0,"",SUM(PV18,QA18,QG18)/COUNT(PV18,QA18,QG18))</f>
        <v>3</v>
      </c>
      <c r="QJ18" s="206" t="str">
        <f t="shared" si="99"/>
        <v>B</v>
      </c>
      <c r="QK18" s="122"/>
      <c r="QL18" s="123"/>
      <c r="QM18" s="124"/>
      <c r="QN18" s="182" t="str">
        <f>IFERROR((((COUNTIF('Elève (5ème1)'!QK18:QM18,"A"))*4)+((COUNTIF('Elève (5ème1)'!QK18:QM18,"B"))*3)+((COUNTIF('Elève (5ème1)'!QK18:QM18,"C"))*2)+((COUNTIF('Elève (5ème1)'!QK18:QM18,"D"))*1))/(COUNTA(QK18:QM18)),"")</f>
        <v/>
      </c>
      <c r="QO18" s="183" t="str">
        <f t="shared" si="100"/>
        <v/>
      </c>
      <c r="QP18" s="122"/>
      <c r="QQ18" s="123"/>
      <c r="QR18" s="124"/>
      <c r="QS18" s="182" t="str">
        <f>IFERROR((((COUNTIF('Elève (5ème1)'!QP18:QR18,"A"))*4)+((COUNTIF('Elève (5ème1)'!QP18:QR18,"B"))*3)+((COUNTIF('Elève (5ème1)'!QP18:QR18,"C"))*2)+((COUNTIF('Elève (5ème1)'!QP18:QR18,"D"))*1))/(COUNTA(QP18:QR18)),"")</f>
        <v/>
      </c>
      <c r="QT18" s="183" t="str">
        <f t="shared" si="101"/>
        <v/>
      </c>
      <c r="QU18" s="122"/>
      <c r="QV18" s="123"/>
      <c r="QW18" s="124" t="s">
        <v>28</v>
      </c>
      <c r="QX18" s="128"/>
      <c r="QY18" s="182">
        <f>IFERROR((((COUNTIF('Elève (5ème1)'!QU18:QX18,"A"))*4)+((COUNTIF('Elève (5ème1)'!QU18:QX18,"B"))*3)+((COUNTIF('Elève (5ème1)'!QU18:QX18,"C"))*2)+((COUNTIF('Elève (5ème1)'!QU18:QX18,"D"))*1))/(COUNTA(QU18:QX18)),"")</f>
        <v>3</v>
      </c>
      <c r="QZ18" s="183" t="str">
        <f t="shared" si="102"/>
        <v>B</v>
      </c>
      <c r="RA18" s="182">
        <f>IF(COUNT(QN18,QS18,QY18)=0,"",SUM(QN18,QS18,QY18)/COUNT(QN18,QS18,QY18))</f>
        <v>3</v>
      </c>
      <c r="RB18" s="206" t="str">
        <f t="shared" si="103"/>
        <v>B</v>
      </c>
      <c r="RC18" s="122"/>
      <c r="RD18" s="123"/>
      <c r="RE18" s="124"/>
      <c r="RF18" s="182" t="str">
        <f>IFERROR((((COUNTIF('Elève (5ème1)'!RC18:RE18,"A"))*4)+((COUNTIF('Elève (5ème1)'!RC18:RE18,"B"))*3)+((COUNTIF('Elève (5ème1)'!RC18:RE18,"C"))*2)+((COUNTIF('Elève (5ème1)'!RC18:RE18,"D"))*1))/(COUNTA(RC18:RE18)),"")</f>
        <v/>
      </c>
      <c r="RG18" s="183" t="str">
        <f t="shared" si="104"/>
        <v/>
      </c>
      <c r="RH18" s="122"/>
      <c r="RI18" s="123"/>
      <c r="RJ18" s="124"/>
      <c r="RK18" s="182" t="str">
        <f>IFERROR((((COUNTIF('Elève (5ème1)'!RH18:RJ18,"A"))*4)+((COUNTIF('Elève (5ème1)'!RH18:RJ18,"B"))*3)+((COUNTIF('Elève (5ème1)'!RH18:RJ18,"C"))*2)+((COUNTIF('Elève (5ème1)'!RH18:RJ18,"D"))*1))/(COUNTA(RH18:RJ18)),"")</f>
        <v/>
      </c>
      <c r="RL18" s="183" t="str">
        <f t="shared" si="105"/>
        <v/>
      </c>
      <c r="RM18" s="122"/>
      <c r="RN18" s="123"/>
      <c r="RO18" s="124" t="s">
        <v>28</v>
      </c>
      <c r="RP18" s="128"/>
      <c r="RQ18" s="182">
        <f>IFERROR((((COUNTIF('Elève (5ème1)'!RM18:RP18,"A"))*4)+((COUNTIF('Elève (5ème1)'!RM18:RP18,"B"))*3)+((COUNTIF('Elève (5ème1)'!RM18:RP18,"C"))*2)+((COUNTIF('Elève (5ème1)'!RM18:RP18,"D"))*1))/(COUNTA(RM18:RP18)),"")</f>
        <v>3</v>
      </c>
      <c r="RR18" s="183" t="str">
        <f t="shared" si="106"/>
        <v>B</v>
      </c>
      <c r="RS18" s="182">
        <f>IF(COUNT(RF18,RK18,RQ18)=0,"",SUM(RF18,RK18,RQ18)/COUNT(RF18,RK18,RQ18))</f>
        <v>3</v>
      </c>
      <c r="RT18" s="206" t="str">
        <f t="shared" si="107"/>
        <v>B</v>
      </c>
      <c r="RU18" s="122"/>
      <c r="RV18" s="123"/>
      <c r="RW18" s="124"/>
      <c r="RX18" s="182" t="str">
        <f>IFERROR((((COUNTIF('Elève (5ème1)'!RU18:RW18,"A"))*4)+((COUNTIF('Elève (5ème1)'!RU18:RW18,"B"))*3)+((COUNTIF('Elève (5ème1)'!RU18:RW18,"C"))*2)+((COUNTIF('Elève (5ème1)'!RU18:RW18,"D"))*1))/(COUNTA(RU18:RW18)),"")</f>
        <v/>
      </c>
      <c r="RY18" s="183" t="str">
        <f t="shared" si="108"/>
        <v/>
      </c>
      <c r="RZ18" s="122"/>
      <c r="SA18" s="123"/>
      <c r="SB18" s="124"/>
      <c r="SC18" s="182" t="str">
        <f>IFERROR((((COUNTIF('Elève (5ème1)'!RZ18:SB18,"A"))*4)+((COUNTIF('Elève (5ème1)'!RZ18:SB18,"B"))*3)+((COUNTIF('Elève (5ème1)'!RZ18:SB18,"C"))*2)+((COUNTIF('Elève (5ème1)'!RZ18:SB18,"D"))*1))/(COUNTA(RZ18:SB18)),"")</f>
        <v/>
      </c>
      <c r="SD18" s="183" t="str">
        <f t="shared" si="109"/>
        <v/>
      </c>
      <c r="SE18" s="122"/>
      <c r="SF18" s="123"/>
      <c r="SG18" s="124" t="s">
        <v>29</v>
      </c>
      <c r="SH18" s="128"/>
      <c r="SI18" s="182">
        <f>IFERROR((((COUNTIF('Elève (5ème1)'!SE18:SH18,"A"))*4)+((COUNTIF('Elève (5ème1)'!SE18:SH18,"B"))*3)+((COUNTIF('Elève (5ème1)'!SE18:SH18,"C"))*2)+((COUNTIF('Elève (5ème1)'!SE18:SH18,"D"))*1))/(COUNTA(SE18:SH18)),"")</f>
        <v>2</v>
      </c>
      <c r="SJ18" s="183" t="str">
        <f t="shared" si="110"/>
        <v>C</v>
      </c>
      <c r="SK18" s="182">
        <f>IF(COUNT(RX18,SC18,SI18)=0,"",SUM(RX18,SC18,SI18)/COUNT(RX18,SC18,SI18))</f>
        <v>2</v>
      </c>
      <c r="SL18" s="206" t="str">
        <f t="shared" si="111"/>
        <v>C</v>
      </c>
      <c r="SM18" s="122"/>
      <c r="SN18" s="123"/>
      <c r="SO18" s="124"/>
      <c r="SP18" s="182" t="str">
        <f>IFERROR((((COUNTIF('Elève (5ème1)'!SM18:SO18,"A"))*4)+((COUNTIF('Elève (5ème1)'!SM18:SO18,"B"))*3)+((COUNTIF('Elève (5ème1)'!SM18:SO18,"C"))*2)+((COUNTIF('Elève (5ème1)'!SM18:SO18,"D"))*1))/(COUNTA(SM18:SO18)),"")</f>
        <v/>
      </c>
      <c r="SQ18" s="183" t="str">
        <f t="shared" si="112"/>
        <v/>
      </c>
      <c r="SR18" s="122"/>
      <c r="SS18" s="123"/>
      <c r="ST18" s="124"/>
      <c r="SU18" s="182" t="str">
        <f>IFERROR((((COUNTIF('Elève (5ème1)'!SR18:ST18,"A"))*4)+((COUNTIF('Elève (5ème1)'!SR18:ST18,"B"))*3)+((COUNTIF('Elève (5ème1)'!SR18:ST18,"C"))*2)+((COUNTIF('Elève (5ème1)'!SR18:ST18,"D"))*1))/(COUNTA(SR18:ST18)),"")</f>
        <v/>
      </c>
      <c r="SV18" s="183" t="str">
        <f t="shared" si="113"/>
        <v/>
      </c>
      <c r="SW18" s="122"/>
      <c r="SX18" s="123"/>
      <c r="SY18" s="124" t="s">
        <v>28</v>
      </c>
      <c r="SZ18" s="128"/>
      <c r="TA18" s="182">
        <f>IFERROR((((COUNTIF('Elève (5ème1)'!SW18:SZ18,"A"))*4)+((COUNTIF('Elève (5ème1)'!SW18:SZ18,"B"))*3)+((COUNTIF('Elève (5ème1)'!SW18:SZ18,"C"))*2)+((COUNTIF('Elève (5ème1)'!SW18:SZ18,"D"))*1))/(COUNTA(SW18:SZ18)),"")</f>
        <v>3</v>
      </c>
      <c r="TB18" s="183" t="str">
        <f t="shared" si="114"/>
        <v>B</v>
      </c>
      <c r="TC18" s="182">
        <f>IF(COUNT(SP18,SU18,TA18)=0,"",SUM(SP18,SU18,TA18)/COUNT(SP18,SU18,TA18))</f>
        <v>3</v>
      </c>
      <c r="TD18" s="206" t="str">
        <f t="shared" si="115"/>
        <v>B</v>
      </c>
      <c r="TE18" s="122"/>
      <c r="TF18" s="123"/>
      <c r="TG18" s="124"/>
      <c r="TH18" s="182" t="str">
        <f>IFERROR((((COUNTIF('Elève (5ème1)'!TE18:TG18,"A"))*4)+((COUNTIF('Elève (5ème1)'!TE18:TG18,"B"))*3)+((COUNTIF('Elève (5ème1)'!TE18:TG18,"C"))*2)+((COUNTIF('Elève (5ème1)'!TE18:TG18,"D"))*1))/(COUNTA(TE18:TG18)),"")</f>
        <v/>
      </c>
      <c r="TI18" s="183" t="str">
        <f t="shared" si="116"/>
        <v/>
      </c>
      <c r="TJ18" s="122"/>
      <c r="TK18" s="123"/>
      <c r="TL18" s="124"/>
      <c r="TM18" s="182" t="str">
        <f>IFERROR((((COUNTIF('Elève (5ème1)'!TJ18:TL18,"A"))*4)+((COUNTIF('Elève (5ème1)'!TJ18:TL18,"B"))*3)+((COUNTIF('Elève (5ème1)'!TJ18:TL18,"C"))*2)+((COUNTIF('Elève (5ème1)'!TJ18:TL18,"D"))*1))/(COUNTA(TJ18:TL18)),"")</f>
        <v/>
      </c>
      <c r="TN18" s="183" t="str">
        <f t="shared" si="117"/>
        <v/>
      </c>
      <c r="TO18" s="122"/>
      <c r="TP18" s="123"/>
      <c r="TQ18" s="124" t="s">
        <v>29</v>
      </c>
      <c r="TR18" s="128"/>
      <c r="TS18" s="182">
        <f>IFERROR((((COUNTIF('Elève (5ème1)'!TO18:TR18,"A"))*4)+((COUNTIF('Elève (5ème1)'!TO18:TR18,"B"))*3)+((COUNTIF('Elève (5ème1)'!TO18:TR18,"C"))*2)+((COUNTIF('Elève (5ème1)'!TO18:TR18,"D"))*1))/(COUNTA(TO18:TR18)),"")</f>
        <v>2</v>
      </c>
      <c r="TT18" s="183" t="str">
        <f t="shared" si="118"/>
        <v>C</v>
      </c>
      <c r="TU18" s="182">
        <f>IF(COUNT(TH18,TM18,TS18)=0,"",SUM(TH18,TM18,TS18)/COUNT(TH18,TM18,TS18))</f>
        <v>2</v>
      </c>
      <c r="TV18" s="206" t="str">
        <f t="shared" si="119"/>
        <v>C</v>
      </c>
    </row>
    <row r="19" spans="1:542" ht="18" customHeight="1" thickBot="1" x14ac:dyDescent="0.3">
      <c r="A19" s="238" t="s">
        <v>23</v>
      </c>
      <c r="B19" s="239"/>
      <c r="C19" s="129" t="s">
        <v>30</v>
      </c>
      <c r="D19" s="130" t="s">
        <v>29</v>
      </c>
      <c r="E19" s="131"/>
      <c r="F19" s="184">
        <f>IFERROR((((COUNTIF('Elève (5ème1)'!C19:E19,"A"))*4)+((COUNTIF('Elève (5ème1)'!C19:E19,"B"))*3)+((COUNTIF('Elève (5ème1)'!C19:E19,"C"))*2)+((COUNTIF('Elève (5ème1)'!C19:E19,"D"))*1))/(COUNTA(C19:E19)),"")</f>
        <v>1.5</v>
      </c>
      <c r="G19" s="185" t="str">
        <f t="shared" si="0"/>
        <v>D</v>
      </c>
      <c r="H19" s="129" t="s">
        <v>29</v>
      </c>
      <c r="I19" s="130" t="s">
        <v>27</v>
      </c>
      <c r="J19" s="131" t="s">
        <v>29</v>
      </c>
      <c r="K19" s="184">
        <f>IFERROR((((COUNTIF('Elève (5ème1)'!H19:J19,"A"))*4)+((COUNTIF('Elève (5ème1)'!H19:J19,"B"))*3)+((COUNTIF('Elève (5ème1)'!H19:J19,"C"))*2)+((COUNTIF('Elève (5ème1)'!H19:J19,"D"))*1))/(COUNTA(H19:J19)),"")</f>
        <v>2.6666666666666665</v>
      </c>
      <c r="L19" s="185" t="str">
        <f t="shared" si="1"/>
        <v>C</v>
      </c>
      <c r="M19" s="129" t="s">
        <v>27</v>
      </c>
      <c r="N19" s="130" t="s">
        <v>30</v>
      </c>
      <c r="O19" s="131" t="s">
        <v>28</v>
      </c>
      <c r="P19" s="131" t="s">
        <v>28</v>
      </c>
      <c r="Q19" s="184">
        <f>IFERROR((((COUNTIF('Elève (5ème1)'!M19:P19,"A"))*4)+((COUNTIF('Elève (5ème1)'!M19:P19,"B"))*3)+((COUNTIF('Elève (5ème1)'!M19:P19,"C"))*2)+((COUNTIF('Elève (5ème1)'!M19:P19,"D"))*1))/(COUNTA(M19:P19)),"")</f>
        <v>2.75</v>
      </c>
      <c r="R19" s="185" t="str">
        <f t="shared" si="2"/>
        <v>C</v>
      </c>
      <c r="S19" s="184">
        <f>IF(COUNT(F19,K19,Q19)=0,"",SUM(F19,K19,Q19)/COUNT(F19,K19,Q19))</f>
        <v>2.3055555555555554</v>
      </c>
      <c r="T19" s="207" t="str">
        <f t="shared" si="3"/>
        <v>C</v>
      </c>
      <c r="U19" s="129" t="s">
        <v>28</v>
      </c>
      <c r="V19" s="130" t="s">
        <v>30</v>
      </c>
      <c r="W19" s="131"/>
      <c r="X19" s="184">
        <f>IFERROR((((COUNTIF('Elève (5ème1)'!U19:W19,"A"))*4)+((COUNTIF('Elève (5ème1)'!U19:W19,"B"))*3)+((COUNTIF('Elève (5ème1)'!U19:W19,"C"))*2)+((COUNTIF('Elève (5ème1)'!U19:W19,"D"))*1))/(COUNTA(U19:W19)),"")</f>
        <v>2</v>
      </c>
      <c r="Y19" s="185" t="str">
        <f t="shared" si="4"/>
        <v>C</v>
      </c>
      <c r="Z19" s="129" t="s">
        <v>29</v>
      </c>
      <c r="AA19" s="130" t="s">
        <v>29</v>
      </c>
      <c r="AB19" s="131" t="s">
        <v>29</v>
      </c>
      <c r="AC19" s="184">
        <f>IFERROR((((COUNTIF('Elève (5ème1)'!Z19:AB19,"A"))*4)+((COUNTIF('Elève (5ème1)'!Z19:AB19,"B"))*3)+((COUNTIF('Elève (5ème1)'!Z19:AB19,"C"))*2)+((COUNTIF('Elève (5ème1)'!Z19:AB19,"D"))*1))/(COUNTA(Z19:AB19)),"")</f>
        <v>2</v>
      </c>
      <c r="AD19" s="185" t="str">
        <f t="shared" si="5"/>
        <v>C</v>
      </c>
      <c r="AE19" s="129" t="s">
        <v>27</v>
      </c>
      <c r="AF19" s="130" t="s">
        <v>29</v>
      </c>
      <c r="AG19" s="131" t="s">
        <v>29</v>
      </c>
      <c r="AH19" s="135" t="s">
        <v>30</v>
      </c>
      <c r="AI19" s="184">
        <f>IFERROR((((COUNTIF('Elève (5ème1)'!AE19:AH19,"A"))*4)+((COUNTIF('Elève (5ème1)'!AE19:AH19,"B"))*3)+((COUNTIF('Elève (5ème1)'!AE19:AH19,"C"))*2)+((COUNTIF('Elève (5ème1)'!AE19:AH19,"D"))*1))/(COUNTA(AE19:AH19)),"")</f>
        <v>2.25</v>
      </c>
      <c r="AJ19" s="185" t="str">
        <f t="shared" si="6"/>
        <v>C</v>
      </c>
      <c r="AK19" s="184">
        <f>IF(COUNT(X19,AC19,AI19)=0,"",SUM(X19,AC19,AI19)/COUNT(X19,AC19,AI19))</f>
        <v>2.0833333333333335</v>
      </c>
      <c r="AL19" s="207" t="str">
        <f t="shared" si="7"/>
        <v>C</v>
      </c>
      <c r="AM19" s="129" t="s">
        <v>28</v>
      </c>
      <c r="AN19" s="130" t="s">
        <v>29</v>
      </c>
      <c r="AO19" s="131"/>
      <c r="AP19" s="184">
        <f>IFERROR((((COUNTIF('Elève (5ème1)'!AM19:AO19,"A"))*4)+((COUNTIF('Elève (5ème1)'!AM19:AO19,"B"))*3)+((COUNTIF('Elève (5ème1)'!AM19:AO19,"C"))*2)+((COUNTIF('Elève (5ème1)'!AM19:AO19,"D"))*1))/(COUNTA(AM19:AO19)),"")</f>
        <v>2.5</v>
      </c>
      <c r="AQ19" s="185" t="str">
        <f t="shared" si="8"/>
        <v>C</v>
      </c>
      <c r="AR19" s="129" t="s">
        <v>29</v>
      </c>
      <c r="AS19" s="130" t="s">
        <v>29</v>
      </c>
      <c r="AT19" s="131" t="s">
        <v>28</v>
      </c>
      <c r="AU19" s="184">
        <f>IFERROR((((COUNTIF('Elève (5ème1)'!AR19:AT19,"A"))*4)+((COUNTIF('Elève (5ème1)'!AR19:AT19,"B"))*3)+((COUNTIF('Elève (5ème1)'!AR19:AT19,"C"))*2)+((COUNTIF('Elève (5ème1)'!AR19:AT19,"D"))*1))/(COUNTA(AR19:AT19)),"")</f>
        <v>2.3333333333333335</v>
      </c>
      <c r="AV19" s="185" t="str">
        <f t="shared" si="9"/>
        <v>C</v>
      </c>
      <c r="AW19" s="129" t="s">
        <v>27</v>
      </c>
      <c r="AX19" s="130" t="s">
        <v>28</v>
      </c>
      <c r="AY19" s="131" t="s">
        <v>29</v>
      </c>
      <c r="AZ19" s="135" t="s">
        <v>27</v>
      </c>
      <c r="BA19" s="184">
        <f>IFERROR((((COUNTIF('Elève (5ème1)'!AW19:AZ19,"A"))*4)+((COUNTIF('Elève (5ème1)'!AW19:AZ19,"B"))*3)+((COUNTIF('Elève (5ème1)'!AW19:AZ19,"C"))*2)+((COUNTIF('Elève (5ème1)'!AW19:AZ19,"D"))*1))/(COUNTA(AW19:AZ19)),"")</f>
        <v>3.25</v>
      </c>
      <c r="BB19" s="185" t="str">
        <f t="shared" si="10"/>
        <v>B</v>
      </c>
      <c r="BC19" s="184">
        <f>IF(COUNT(AP19,AU19,BA19)=0,"",SUM(AP19,AU19,BA19)/COUNT(AP19,AU19,BA19))</f>
        <v>2.6944444444444446</v>
      </c>
      <c r="BD19" s="207" t="str">
        <f t="shared" si="11"/>
        <v>C</v>
      </c>
      <c r="BE19" s="129" t="s">
        <v>30</v>
      </c>
      <c r="BF19" s="130"/>
      <c r="BG19" s="131"/>
      <c r="BH19" s="184">
        <f>IFERROR((((COUNTIF('Elève (5ème1)'!BE19:BG19,"A"))*4)+((COUNTIF('Elève (5ème1)'!BE19:BG19,"B"))*3)+((COUNTIF('Elève (5ème1)'!BE19:BG19,"C"))*2)+((COUNTIF('Elève (5ème1)'!BE19:BG19,"D"))*1))/(COUNTA(BE19:BG19)),"")</f>
        <v>1</v>
      </c>
      <c r="BI19" s="185" t="str">
        <f t="shared" si="12"/>
        <v>D</v>
      </c>
      <c r="BJ19" s="129" t="s">
        <v>27</v>
      </c>
      <c r="BK19" s="130" t="s">
        <v>28</v>
      </c>
      <c r="BL19" s="131" t="s">
        <v>29</v>
      </c>
      <c r="BM19" s="184">
        <f>IFERROR((((COUNTIF('Elève (5ème1)'!BJ19:BL19,"A"))*4)+((COUNTIF('Elève (5ème1)'!BJ19:BL19,"B"))*3)+((COUNTIF('Elève (5ème1)'!BJ19:BL19,"C"))*2)+((COUNTIF('Elève (5ème1)'!BJ19:BL19,"D"))*1))/(COUNTA(BJ19:BL19)),"")</f>
        <v>3</v>
      </c>
      <c r="BN19" s="185" t="str">
        <f t="shared" si="13"/>
        <v>B</v>
      </c>
      <c r="BO19" s="129" t="s">
        <v>27</v>
      </c>
      <c r="BP19" s="130" t="s">
        <v>28</v>
      </c>
      <c r="BQ19" s="131" t="s">
        <v>29</v>
      </c>
      <c r="BR19" s="135" t="s">
        <v>29</v>
      </c>
      <c r="BS19" s="184">
        <f>IFERROR((((COUNTIF('Elève (5ème1)'!BO19:BR19,"A"))*4)+((COUNTIF('Elève (5ème1)'!BO19:BR19,"B"))*3)+((COUNTIF('Elève (5ème1)'!BO19:BR19,"C"))*2)+((COUNTIF('Elève (5ème1)'!BO19:BR19,"D"))*1))/(COUNTA(BO19:BR19)),"")</f>
        <v>2.75</v>
      </c>
      <c r="BT19" s="185" t="str">
        <f t="shared" si="14"/>
        <v>C</v>
      </c>
      <c r="BU19" s="184">
        <f>IF(COUNT(BH19,BM19,BS19)=0,"",SUM(BH19,BM19,BS19)/COUNT(BH19,BM19,BS19))</f>
        <v>2.25</v>
      </c>
      <c r="BV19" s="207" t="str">
        <f t="shared" si="15"/>
        <v>C</v>
      </c>
      <c r="BW19" s="129" t="s">
        <v>28</v>
      </c>
      <c r="BX19" s="130" t="s">
        <v>29</v>
      </c>
      <c r="BY19" s="131"/>
      <c r="BZ19" s="184">
        <f>IFERROR((((COUNTIF('Elève (5ème1)'!BW19:BY19,"A"))*4)+((COUNTIF('Elève (5ème1)'!BW19:BY19,"B"))*3)+((COUNTIF('Elève (5ème1)'!BW19:BY19,"C"))*2)+((COUNTIF('Elève (5ème1)'!BW19:BY19,"D"))*1))/(COUNTA(BW19:BY19)),"")</f>
        <v>2.5</v>
      </c>
      <c r="CA19" s="185" t="str">
        <f t="shared" si="16"/>
        <v>C</v>
      </c>
      <c r="CB19" s="129" t="s">
        <v>28</v>
      </c>
      <c r="CC19" s="130" t="s">
        <v>28</v>
      </c>
      <c r="CD19" s="131" t="s">
        <v>29</v>
      </c>
      <c r="CE19" s="184">
        <f>IFERROR((((COUNTIF('Elève (5ème1)'!CB19:CD19,"A"))*4)+((COUNTIF('Elève (5ème1)'!CB19:CD19,"B"))*3)+((COUNTIF('Elève (5ème1)'!CB19:CD19,"C"))*2)+((COUNTIF('Elève (5ème1)'!CB19:CD19,"D"))*1))/(COUNTA(CB19:CD19)),"")</f>
        <v>2.6666666666666665</v>
      </c>
      <c r="CF19" s="185" t="str">
        <f t="shared" si="17"/>
        <v>C</v>
      </c>
      <c r="CG19" s="129" t="s">
        <v>27</v>
      </c>
      <c r="CH19" s="130" t="s">
        <v>28</v>
      </c>
      <c r="CI19" s="131" t="s">
        <v>28</v>
      </c>
      <c r="CJ19" s="135" t="s">
        <v>27</v>
      </c>
      <c r="CK19" s="184">
        <f>IFERROR((((COUNTIF('Elève (5ème1)'!CG19:CJ19,"A"))*4)+((COUNTIF('Elève (5ème1)'!CG19:CJ19,"B"))*3)+((COUNTIF('Elève (5ème1)'!CG19:CJ19,"C"))*2)+((COUNTIF('Elève (5ème1)'!CG19:CJ19,"D"))*1))/(COUNTA(CG19:CJ19)),"")</f>
        <v>3.5</v>
      </c>
      <c r="CL19" s="185" t="str">
        <f t="shared" si="18"/>
        <v>B</v>
      </c>
      <c r="CM19" s="184">
        <f>IF(COUNT(BZ19,CE19,CK19)=0,"",SUM(BZ19,CE19,CK19)/COUNT(BZ19,CE19,CK19))</f>
        <v>2.8888888888888888</v>
      </c>
      <c r="CN19" s="207" t="str">
        <f t="shared" si="19"/>
        <v>B</v>
      </c>
      <c r="CO19" s="129" t="s">
        <v>29</v>
      </c>
      <c r="CP19" s="130" t="s">
        <v>30</v>
      </c>
      <c r="CQ19" s="131"/>
      <c r="CR19" s="184">
        <f>IFERROR((((COUNTIF('Elève (5ème1)'!CO19:CQ19,"A"))*4)+((COUNTIF('Elève (5ème1)'!CO19:CQ19,"B"))*3)+((COUNTIF('Elève (5ème1)'!CO19:CQ19,"C"))*2)+((COUNTIF('Elève (5ème1)'!CO19:CQ19,"D"))*1))/(COUNTA(CO19:CQ19)),"")</f>
        <v>1.5</v>
      </c>
      <c r="CS19" s="185" t="str">
        <f t="shared" si="20"/>
        <v>D</v>
      </c>
      <c r="CT19" s="129" t="s">
        <v>29</v>
      </c>
      <c r="CU19" s="130" t="s">
        <v>28</v>
      </c>
      <c r="CV19" s="131" t="s">
        <v>30</v>
      </c>
      <c r="CW19" s="184">
        <f>IFERROR((((COUNTIF('Elève (5ème1)'!CT19:CV19,"A"))*4)+((COUNTIF('Elève (5ème1)'!CT19:CV19,"B"))*3)+((COUNTIF('Elève (5ème1)'!CT19:CV19,"C"))*2)+((COUNTIF('Elève (5ème1)'!CT19:CV19,"D"))*1))/(COUNTA(CT19:CV19)),"")</f>
        <v>2</v>
      </c>
      <c r="CX19" s="185" t="str">
        <f t="shared" si="21"/>
        <v>C</v>
      </c>
      <c r="CY19" s="129" t="s">
        <v>30</v>
      </c>
      <c r="CZ19" s="130" t="s">
        <v>30</v>
      </c>
      <c r="DA19" s="131" t="s">
        <v>30</v>
      </c>
      <c r="DB19" s="135" t="s">
        <v>30</v>
      </c>
      <c r="DC19" s="184">
        <f>IFERROR((((COUNTIF('Elève (5ème1)'!CY19:DB19,"A"))*4)+((COUNTIF('Elève (5ème1)'!CY19:DB19,"B"))*3)+((COUNTIF('Elève (5ème1)'!CY19:DB19,"C"))*2)+((COUNTIF('Elève (5ème1)'!CY19:DB19,"D"))*1))/(COUNTA(CY19:DB19)),"")</f>
        <v>1</v>
      </c>
      <c r="DD19" s="185" t="str">
        <f t="shared" si="22"/>
        <v>D</v>
      </c>
      <c r="DE19" s="184">
        <f>IF(COUNT(CR19,CW19,DC19)=0,"",SUM(CR19,CW19,DC19)/COUNT(CR19,CW19,DC19))</f>
        <v>1.5</v>
      </c>
      <c r="DF19" s="207" t="str">
        <f t="shared" si="23"/>
        <v>D</v>
      </c>
      <c r="DG19" s="129" t="s">
        <v>28</v>
      </c>
      <c r="DH19" s="130" t="s">
        <v>29</v>
      </c>
      <c r="DI19" s="131"/>
      <c r="DJ19" s="184">
        <f>IFERROR((((COUNTIF('Elève (5ème1)'!DG19:DI19,"A"))*4)+((COUNTIF('Elève (5ème1)'!DG19:DI19,"B"))*3)+((COUNTIF('Elève (5ème1)'!DG19:DI19,"C"))*2)+((COUNTIF('Elève (5ème1)'!DG19:DI19,"D"))*1))/(COUNTA(DG19:DI19)),"")</f>
        <v>2.5</v>
      </c>
      <c r="DK19" s="185" t="str">
        <f t="shared" si="24"/>
        <v>C</v>
      </c>
      <c r="DL19" s="129" t="s">
        <v>29</v>
      </c>
      <c r="DM19" s="130" t="s">
        <v>28</v>
      </c>
      <c r="DN19" s="131" t="s">
        <v>29</v>
      </c>
      <c r="DO19" s="184">
        <f>IFERROR((((COUNTIF('Elève (5ème1)'!DL19:DN19,"A"))*4)+((COUNTIF('Elève (5ème1)'!DL19:DN19,"B"))*3)+((COUNTIF('Elève (5ème1)'!DL19:DN19,"C"))*2)+((COUNTIF('Elève (5ème1)'!DL19:DN19,"D"))*1))/(COUNTA(DL19:DN19)),"")</f>
        <v>2.3333333333333335</v>
      </c>
      <c r="DP19" s="185" t="str">
        <f t="shared" si="25"/>
        <v>C</v>
      </c>
      <c r="DQ19" s="129" t="s">
        <v>27</v>
      </c>
      <c r="DR19" s="130" t="s">
        <v>28</v>
      </c>
      <c r="DS19" s="131"/>
      <c r="DT19" s="135" t="s">
        <v>27</v>
      </c>
      <c r="DU19" s="184">
        <f>IFERROR((((COUNTIF('Elève (5ème1)'!DQ19:DT19,"A"))*4)+((COUNTIF('Elève (5ème1)'!DQ19:DT19,"B"))*3)+((COUNTIF('Elève (5ème1)'!DQ19:DT19,"C"))*2)+((COUNTIF('Elève (5ème1)'!DQ19:DT19,"D"))*1))/(COUNTA(DQ19:DT19)),"")</f>
        <v>3.6666666666666665</v>
      </c>
      <c r="DV19" s="185" t="str">
        <f t="shared" si="26"/>
        <v>B</v>
      </c>
      <c r="DW19" s="184">
        <f>IF(COUNT(DJ19,DO19,DU19)=0,"",SUM(DJ19,DO19,DU19)/COUNT(DJ19,DO19,DU19))</f>
        <v>2.8333333333333335</v>
      </c>
      <c r="DX19" s="207" t="str">
        <f t="shared" si="27"/>
        <v>B</v>
      </c>
      <c r="DY19" s="129" t="s">
        <v>28</v>
      </c>
      <c r="DZ19" s="130" t="s">
        <v>30</v>
      </c>
      <c r="EA19" s="131"/>
      <c r="EB19" s="184">
        <f>IFERROR((((COUNTIF('Elève (5ème1)'!DY19:EA19,"A"))*4)+((COUNTIF('Elève (5ème1)'!DY19:EA19,"B"))*3)+((COUNTIF('Elève (5ème1)'!DY19:EA19,"C"))*2)+((COUNTIF('Elève (5ème1)'!DY19:EA19,"D"))*1))/(COUNTA(DY19:EA19)),"")</f>
        <v>2</v>
      </c>
      <c r="EC19" s="185" t="str">
        <f t="shared" si="28"/>
        <v>C</v>
      </c>
      <c r="ED19" s="129" t="s">
        <v>29</v>
      </c>
      <c r="EE19" s="130" t="s">
        <v>28</v>
      </c>
      <c r="EF19" s="131" t="s">
        <v>29</v>
      </c>
      <c r="EG19" s="184">
        <f>IFERROR((((COUNTIF('Elève (5ème1)'!ED19:EF19,"A"))*4)+((COUNTIF('Elève (5ème1)'!ED19:EF19,"B"))*3)+((COUNTIF('Elève (5ème1)'!ED19:EF19,"C"))*2)+((COUNTIF('Elève (5ème1)'!ED19:EF19,"D"))*1))/(COUNTA(ED19:EF19)),"")</f>
        <v>2.3333333333333335</v>
      </c>
      <c r="EH19" s="185" t="str">
        <f t="shared" si="29"/>
        <v>C</v>
      </c>
      <c r="EI19" s="129" t="s">
        <v>27</v>
      </c>
      <c r="EJ19" s="130" t="s">
        <v>28</v>
      </c>
      <c r="EK19" s="131" t="s">
        <v>28</v>
      </c>
      <c r="EL19" s="135" t="s">
        <v>27</v>
      </c>
      <c r="EM19" s="184">
        <f>IFERROR((((COUNTIF('Elève (5ème1)'!EI19:EL19,"A"))*4)+((COUNTIF('Elève (5ème1)'!EI19:EL19,"B"))*3)+((COUNTIF('Elève (5ème1)'!EI19:EL19,"C"))*2)+((COUNTIF('Elève (5ème1)'!EI19:EL19,"D"))*1))/(COUNTA(EI19:EL19)),"")</f>
        <v>3.5</v>
      </c>
      <c r="EN19" s="185" t="str">
        <f t="shared" si="30"/>
        <v>B</v>
      </c>
      <c r="EO19" s="184">
        <f>IF(COUNT(EB19,EG19,EM19)=0,"",SUM(EB19,EG19,EM19)/COUNT(EB19,EG19,EM19))</f>
        <v>2.6111111111111112</v>
      </c>
      <c r="EP19" s="207" t="str">
        <f t="shared" si="31"/>
        <v>C</v>
      </c>
      <c r="EQ19" s="129"/>
      <c r="ER19" s="130"/>
      <c r="ES19" s="131"/>
      <c r="ET19" s="184" t="str">
        <f>IFERROR((((COUNTIF('Elève (5ème1)'!EQ19:ES19,"A"))*4)+((COUNTIF('Elève (5ème1)'!EQ19:ES19,"B"))*3)+((COUNTIF('Elève (5ème1)'!EQ19:ES19,"C"))*2)+((COUNTIF('Elève (5ème1)'!EQ19:ES19,"D"))*1))/(COUNTA(EQ19:ES19)),"")</f>
        <v/>
      </c>
      <c r="EU19" s="185" t="str">
        <f t="shared" si="32"/>
        <v/>
      </c>
      <c r="EV19" s="129" t="s">
        <v>29</v>
      </c>
      <c r="EW19" s="130" t="s">
        <v>29</v>
      </c>
      <c r="EX19" s="131" t="s">
        <v>28</v>
      </c>
      <c r="EY19" s="184">
        <f>IFERROR((((COUNTIF('Elève (5ème1)'!EV19:EX19,"A"))*4)+((COUNTIF('Elève (5ème1)'!EV19:EX19,"B"))*3)+((COUNTIF('Elève (5ème1)'!EV19:EX19,"C"))*2)+((COUNTIF('Elève (5ème1)'!EV19:EX19,"D"))*1))/(COUNTA(EV19:EX19)),"")</f>
        <v>2.3333333333333335</v>
      </c>
      <c r="EZ19" s="185" t="str">
        <f t="shared" si="33"/>
        <v>C</v>
      </c>
      <c r="FA19" s="129" t="s">
        <v>27</v>
      </c>
      <c r="FB19" s="130" t="s">
        <v>28</v>
      </c>
      <c r="FC19" s="131" t="s">
        <v>28</v>
      </c>
      <c r="FD19" s="135" t="s">
        <v>27</v>
      </c>
      <c r="FE19" s="184">
        <f>IFERROR((((COUNTIF('Elève (5ème1)'!FA19:FD19,"A"))*4)+((COUNTIF('Elève (5ème1)'!FA19:FD19,"B"))*3)+((COUNTIF('Elève (5ème1)'!FA19:FD19,"C"))*2)+((COUNTIF('Elève (5ème1)'!FA19:FD19,"D"))*1))/(COUNTA(FA19:FD19)),"")</f>
        <v>3.5</v>
      </c>
      <c r="FF19" s="185" t="str">
        <f t="shared" si="34"/>
        <v>B</v>
      </c>
      <c r="FG19" s="184">
        <f>IF(COUNT(ET19,EY19,FE19)=0,"",SUM(ET19,EY19,FE19)/COUNT(ET19,EY19,FE19))</f>
        <v>2.916666666666667</v>
      </c>
      <c r="FH19" s="207" t="str">
        <f t="shared" si="35"/>
        <v>B</v>
      </c>
      <c r="FI19" s="129" t="s">
        <v>29</v>
      </c>
      <c r="FJ19" s="130" t="s">
        <v>30</v>
      </c>
      <c r="FK19" s="131"/>
      <c r="FL19" s="184">
        <f>IFERROR((((COUNTIF('Elève (5ème1)'!FI19:FK19,"A"))*4)+((COUNTIF('Elève (5ème1)'!FI19:FK19,"B"))*3)+((COUNTIF('Elève (5ème1)'!FI19:FK19,"C"))*2)+((COUNTIF('Elève (5ème1)'!FI19:FK19,"D"))*1))/(COUNTA(FI19:FK19)),"")</f>
        <v>1.5</v>
      </c>
      <c r="FM19" s="185" t="str">
        <f t="shared" si="36"/>
        <v>D</v>
      </c>
      <c r="FN19" s="129" t="s">
        <v>29</v>
      </c>
      <c r="FO19" s="130" t="s">
        <v>27</v>
      </c>
      <c r="FP19" s="131"/>
      <c r="FQ19" s="184">
        <f>IFERROR((((COUNTIF('Elève (5ème1)'!FN19:FP19,"A"))*4)+((COUNTIF('Elève (5ème1)'!FN19:FP19,"B"))*3)+((COUNTIF('Elève (5ème1)'!FN19:FP19,"C"))*2)+((COUNTIF('Elève (5ème1)'!FN19:FP19,"D"))*1))/(COUNTA(FN19:FP19)),"")</f>
        <v>3</v>
      </c>
      <c r="FR19" s="185" t="str">
        <f t="shared" si="37"/>
        <v>B</v>
      </c>
      <c r="FS19" s="129" t="s">
        <v>27</v>
      </c>
      <c r="FT19" s="130" t="s">
        <v>28</v>
      </c>
      <c r="FU19" s="131" t="s">
        <v>28</v>
      </c>
      <c r="FV19" s="135" t="s">
        <v>28</v>
      </c>
      <c r="FW19" s="184">
        <f>IFERROR((((COUNTIF('Elève (5ème1)'!FS19:FV19,"A"))*4)+((COUNTIF('Elève (5ème1)'!FS19:FV19,"B"))*3)+((COUNTIF('Elève (5ème1)'!FS19:FV19,"C"))*2)+((COUNTIF('Elève (5ème1)'!FS19:FV19,"D"))*1))/(COUNTA(FS19:FV19)),"")</f>
        <v>3.25</v>
      </c>
      <c r="FX19" s="185" t="str">
        <f t="shared" si="38"/>
        <v>B</v>
      </c>
      <c r="FY19" s="184">
        <f>IF(COUNT(FL19,FQ19,FW19)=0,"",SUM(FL19,FQ19,FW19)/COUNT(FL19,FQ19,FW19))</f>
        <v>2.5833333333333335</v>
      </c>
      <c r="FZ19" s="207" t="str">
        <f t="shared" si="39"/>
        <v>C</v>
      </c>
      <c r="GA19" s="129" t="s">
        <v>28</v>
      </c>
      <c r="GB19" s="130" t="s">
        <v>29</v>
      </c>
      <c r="GC19" s="131"/>
      <c r="GD19" s="184">
        <f>IFERROR((((COUNTIF('Elève (5ème1)'!GA19:GC19,"A"))*4)+((COUNTIF('Elève (5ème1)'!GA19:GC19,"B"))*3)+((COUNTIF('Elève (5ème1)'!GA19:GC19,"C"))*2)+((COUNTIF('Elève (5ème1)'!GA19:GC19,"D"))*1))/(COUNTA(GA19:GC19)),"")</f>
        <v>2.5</v>
      </c>
      <c r="GE19" s="185" t="str">
        <f t="shared" si="40"/>
        <v>C</v>
      </c>
      <c r="GF19" s="129" t="s">
        <v>29</v>
      </c>
      <c r="GG19" s="130" t="s">
        <v>28</v>
      </c>
      <c r="GH19" s="131" t="s">
        <v>29</v>
      </c>
      <c r="GI19" s="184">
        <f>IFERROR((((COUNTIF('Elève (5ème1)'!GF19:GH19,"A"))*4)+((COUNTIF('Elève (5ème1)'!GF19:GH19,"B"))*3)+((COUNTIF('Elève (5ème1)'!GF19:GH19,"C"))*2)+((COUNTIF('Elève (5ème1)'!GF19:GH19,"D"))*1))/(COUNTA(GF19:GH19)),"")</f>
        <v>2.3333333333333335</v>
      </c>
      <c r="GJ19" s="185" t="str">
        <f t="shared" si="41"/>
        <v>C</v>
      </c>
      <c r="GK19" s="129" t="s">
        <v>27</v>
      </c>
      <c r="GL19" s="130" t="s">
        <v>28</v>
      </c>
      <c r="GM19" s="131" t="s">
        <v>29</v>
      </c>
      <c r="GN19" s="135" t="s">
        <v>27</v>
      </c>
      <c r="GO19" s="184">
        <f>IFERROR((((COUNTIF('Elève (5ème1)'!GK19:GN19,"A"))*4)+((COUNTIF('Elève (5ème1)'!GK19:GN19,"B"))*3)+((COUNTIF('Elève (5ème1)'!GK19:GN19,"C"))*2)+((COUNTIF('Elève (5ème1)'!GK19:GN19,"D"))*1))/(COUNTA(GK19:GN19)),"")</f>
        <v>3.25</v>
      </c>
      <c r="GP19" s="185" t="str">
        <f t="shared" si="42"/>
        <v>B</v>
      </c>
      <c r="GQ19" s="184">
        <f>IF(COUNT(GD19,GI19,GO19)=0,"",SUM(GD19,GI19,GO19)/COUNT(GD19,GI19,GO19))</f>
        <v>2.6944444444444446</v>
      </c>
      <c r="GR19" s="207" t="str">
        <f t="shared" si="43"/>
        <v>C</v>
      </c>
      <c r="GS19" s="129" t="s">
        <v>29</v>
      </c>
      <c r="GT19" s="130" t="s">
        <v>29</v>
      </c>
      <c r="GU19" s="131"/>
      <c r="GV19" s="184">
        <f>IFERROR((((COUNTIF('Elève (5ème1)'!GS19:GU19,"A"))*4)+((COUNTIF('Elève (5ème1)'!GS19:GU19,"B"))*3)+((COUNTIF('Elève (5ème1)'!GS19:GU19,"C"))*2)+((COUNTIF('Elève (5ème1)'!GS19:GU19,"D"))*1))/(COUNTA(GS19:GU19)),"")</f>
        <v>2</v>
      </c>
      <c r="GW19" s="185" t="str">
        <f t="shared" si="44"/>
        <v>C</v>
      </c>
      <c r="GX19" s="129" t="s">
        <v>29</v>
      </c>
      <c r="GY19" s="130" t="s">
        <v>28</v>
      </c>
      <c r="GZ19" s="131" t="s">
        <v>29</v>
      </c>
      <c r="HA19" s="184">
        <f>IFERROR((((COUNTIF('Elève (5ème1)'!GX19:GZ19,"A"))*4)+((COUNTIF('Elève (5ème1)'!GX19:GZ19,"B"))*3)+((COUNTIF('Elève (5ème1)'!GX19:GZ19,"C"))*2)+((COUNTIF('Elève (5ème1)'!GX19:GZ19,"D"))*1))/(COUNTA(GX19:GZ19)),"")</f>
        <v>2.3333333333333335</v>
      </c>
      <c r="HB19" s="185" t="str">
        <f t="shared" si="45"/>
        <v>C</v>
      </c>
      <c r="HC19" s="129" t="s">
        <v>27</v>
      </c>
      <c r="HD19" s="130" t="s">
        <v>29</v>
      </c>
      <c r="HE19" s="131" t="s">
        <v>29</v>
      </c>
      <c r="HF19" s="135" t="s">
        <v>28</v>
      </c>
      <c r="HG19" s="184">
        <f>IFERROR((((COUNTIF('Elève (5ème1)'!HC19:HF19,"A"))*4)+((COUNTIF('Elève (5ème1)'!HC19:HF19,"B"))*3)+((COUNTIF('Elève (5ème1)'!HC19:HF19,"C"))*2)+((COUNTIF('Elève (5ème1)'!HC19:HF19,"D"))*1))/(COUNTA(HC19:HF19)),"")</f>
        <v>2.75</v>
      </c>
      <c r="HH19" s="185" t="str">
        <f t="shared" si="46"/>
        <v>C</v>
      </c>
      <c r="HI19" s="184">
        <f>IF(COUNT(GV19,HA19,HG19)=0,"",SUM(GV19,HA19,HG19)/COUNT(GV19,HA19,HG19))</f>
        <v>2.3611111111111112</v>
      </c>
      <c r="HJ19" s="207" t="str">
        <f t="shared" si="47"/>
        <v>C</v>
      </c>
      <c r="HK19" s="129" t="s">
        <v>29</v>
      </c>
      <c r="HL19" s="130" t="s">
        <v>30</v>
      </c>
      <c r="HM19" s="131"/>
      <c r="HN19" s="184">
        <f>IFERROR((((COUNTIF('Elève (5ème1)'!HK19:HM19,"A"))*4)+((COUNTIF('Elève (5ème1)'!HK19:HM19,"B"))*3)+((COUNTIF('Elève (5ème1)'!HK19:HM19,"C"))*2)+((COUNTIF('Elève (5ème1)'!HK19:HM19,"D"))*1))/(COUNTA(HK19:HM19)),"")</f>
        <v>1.5</v>
      </c>
      <c r="HO19" s="185" t="str">
        <f t="shared" si="48"/>
        <v>D</v>
      </c>
      <c r="HP19" s="129" t="s">
        <v>28</v>
      </c>
      <c r="HQ19" s="130" t="s">
        <v>28</v>
      </c>
      <c r="HR19" s="131" t="s">
        <v>29</v>
      </c>
      <c r="HS19" s="184">
        <f>IFERROR((((COUNTIF('Elève (5ème1)'!HP19:HR19,"A"))*4)+((COUNTIF('Elève (5ème1)'!HP19:HR19,"B"))*3)+((COUNTIF('Elève (5ème1)'!HP19:HR19,"C"))*2)+((COUNTIF('Elève (5ème1)'!HP19:HR19,"D"))*1))/(COUNTA(HP19:HR19)),"")</f>
        <v>2.6666666666666665</v>
      </c>
      <c r="HT19" s="185" t="str">
        <f t="shared" si="49"/>
        <v>C</v>
      </c>
      <c r="HU19" s="129" t="s">
        <v>27</v>
      </c>
      <c r="HV19" s="130" t="s">
        <v>28</v>
      </c>
      <c r="HW19" s="131" t="s">
        <v>28</v>
      </c>
      <c r="HX19" s="135" t="s">
        <v>27</v>
      </c>
      <c r="HY19" s="184">
        <f>IFERROR((((COUNTIF('Elève (5ème1)'!HU19:HX19,"A"))*4)+((COUNTIF('Elève (5ème1)'!HU19:HX19,"B"))*3)+((COUNTIF('Elève (5ème1)'!HU19:HX19,"C"))*2)+((COUNTIF('Elève (5ème1)'!HU19:HX19,"D"))*1))/(COUNTA(HU19:HX19)),"")</f>
        <v>3.5</v>
      </c>
      <c r="HZ19" s="185" t="str">
        <f t="shared" si="50"/>
        <v>B</v>
      </c>
      <c r="IA19" s="184">
        <f>IF(COUNT(HN19,HS19,HY19)=0,"",SUM(HN19,HS19,HY19)/COUNT(HN19,HS19,HY19))</f>
        <v>2.5555555555555554</v>
      </c>
      <c r="IB19" s="207" t="str">
        <f t="shared" si="51"/>
        <v>C</v>
      </c>
      <c r="IC19" s="129" t="s">
        <v>30</v>
      </c>
      <c r="ID19" s="130" t="s">
        <v>30</v>
      </c>
      <c r="IE19" s="131"/>
      <c r="IF19" s="184">
        <f>IFERROR((((COUNTIF('Elève (5ème1)'!IC19:IE19,"A"))*4)+((COUNTIF('Elève (5ème1)'!IC19:IE19,"B"))*3)+((COUNTIF('Elève (5ème1)'!IC19:IE19,"C"))*2)+((COUNTIF('Elève (5ème1)'!IC19:IE19,"D"))*1))/(COUNTA(IC19:IE19)),"")</f>
        <v>1</v>
      </c>
      <c r="IG19" s="185" t="str">
        <f t="shared" si="52"/>
        <v>D</v>
      </c>
      <c r="IH19" s="129" t="s">
        <v>29</v>
      </c>
      <c r="II19" s="130" t="s">
        <v>28</v>
      </c>
      <c r="IJ19" s="131" t="s">
        <v>29</v>
      </c>
      <c r="IK19" s="184">
        <f>IFERROR((((COUNTIF('Elève (5ème1)'!IH19:IJ19,"A"))*4)+((COUNTIF('Elève (5ème1)'!IH19:IJ19,"B"))*3)+((COUNTIF('Elève (5ème1)'!IH19:IJ19,"C"))*2)+((COUNTIF('Elève (5ème1)'!IH19:IJ19,"D"))*1))/(COUNTA(IH19:IJ19)),"")</f>
        <v>2.3333333333333335</v>
      </c>
      <c r="IL19" s="185" t="str">
        <f t="shared" si="53"/>
        <v>C</v>
      </c>
      <c r="IM19" s="129"/>
      <c r="IN19" s="130" t="s">
        <v>28</v>
      </c>
      <c r="IO19" s="131" t="s">
        <v>29</v>
      </c>
      <c r="IP19" s="135" t="s">
        <v>27</v>
      </c>
      <c r="IQ19" s="184">
        <f>IFERROR((((COUNTIF('Elève (5ème1)'!IM19:IP19,"A"))*4)+((COUNTIF('Elève (5ème1)'!IM19:IP19,"B"))*3)+((COUNTIF('Elève (5ème1)'!IM19:IP19,"C"))*2)+((COUNTIF('Elève (5ème1)'!IM19:IP19,"D"))*1))/(COUNTA(IM19:IP19)),"")</f>
        <v>3</v>
      </c>
      <c r="IR19" s="185" t="str">
        <f t="shared" si="54"/>
        <v>B</v>
      </c>
      <c r="IS19" s="184">
        <f>IF(COUNT(IF19,IK19,IQ19)=0,"",SUM(IF19,IK19,IQ19)/COUNT(IF19,IK19,IQ19))</f>
        <v>2.1111111111111112</v>
      </c>
      <c r="IT19" s="207" t="str">
        <f t="shared" si="55"/>
        <v>C</v>
      </c>
      <c r="IU19" s="129" t="s">
        <v>28</v>
      </c>
      <c r="IV19" s="130" t="s">
        <v>29</v>
      </c>
      <c r="IW19" s="131"/>
      <c r="IX19" s="184">
        <f>IFERROR((((COUNTIF('Elève (5ème1)'!IU19:IW19,"A"))*4)+((COUNTIF('Elève (5ème1)'!IU19:IW19,"B"))*3)+((COUNTIF('Elève (5ème1)'!IU19:IW19,"C"))*2)+((COUNTIF('Elève (5ème1)'!IU19:IW19,"D"))*1))/(COUNTA(IU19:IW19)),"")</f>
        <v>2.5</v>
      </c>
      <c r="IY19" s="185" t="str">
        <f t="shared" si="56"/>
        <v>C</v>
      </c>
      <c r="IZ19" s="129" t="s">
        <v>29</v>
      </c>
      <c r="JA19" s="130" t="s">
        <v>27</v>
      </c>
      <c r="JB19" s="131" t="s">
        <v>29</v>
      </c>
      <c r="JC19" s="184">
        <f>IFERROR((((COUNTIF('Elève (5ème1)'!IZ19:JB19,"A"))*4)+((COUNTIF('Elève (5ème1)'!IZ19:JB19,"B"))*3)+((COUNTIF('Elève (5ème1)'!IZ19:JB19,"C"))*2)+((COUNTIF('Elève (5ème1)'!IZ19:JB19,"D"))*1))/(COUNTA(IZ19:JB19)),"")</f>
        <v>2.6666666666666665</v>
      </c>
      <c r="JD19" s="185" t="str">
        <f t="shared" si="57"/>
        <v>C</v>
      </c>
      <c r="JE19" s="129" t="s">
        <v>27</v>
      </c>
      <c r="JF19" s="130" t="s">
        <v>28</v>
      </c>
      <c r="JG19" s="131" t="s">
        <v>28</v>
      </c>
      <c r="JH19" s="135" t="s">
        <v>27</v>
      </c>
      <c r="JI19" s="184">
        <f>IFERROR((((COUNTIF('Elève (5ème1)'!JE19:JH19,"A"))*4)+((COUNTIF('Elève (5ème1)'!JE19:JH19,"B"))*3)+((COUNTIF('Elève (5ème1)'!JE19:JH19,"C"))*2)+((COUNTIF('Elève (5ème1)'!JE19:JH19,"D"))*1))/(COUNTA(JE19:JH19)),"")</f>
        <v>3.5</v>
      </c>
      <c r="JJ19" s="185" t="str">
        <f t="shared" si="58"/>
        <v>B</v>
      </c>
      <c r="JK19" s="184">
        <f>IF(COUNT(IX19,JC19,JI19)=0,"",SUM(IX19,JC19,JI19)/COUNT(IX19,JC19,JI19))</f>
        <v>2.8888888888888888</v>
      </c>
      <c r="JL19" s="207" t="str">
        <f t="shared" si="59"/>
        <v>B</v>
      </c>
      <c r="JM19" s="129" t="s">
        <v>28</v>
      </c>
      <c r="JN19" s="130" t="s">
        <v>29</v>
      </c>
      <c r="JO19" s="131"/>
      <c r="JP19" s="184">
        <f>IFERROR((((COUNTIF('Elève (5ème1)'!JM19:JO19,"A"))*4)+((COUNTIF('Elève (5ème1)'!JM19:JO19,"B"))*3)+((COUNTIF('Elève (5ème1)'!JM19:JO19,"C"))*2)+((COUNTIF('Elève (5ème1)'!JM19:JO19,"D"))*1))/(COUNTA(JM19:JO19)),"")</f>
        <v>2.5</v>
      </c>
      <c r="JQ19" s="185" t="str">
        <f t="shared" si="60"/>
        <v>C</v>
      </c>
      <c r="JR19" s="129" t="s">
        <v>29</v>
      </c>
      <c r="JS19" s="130" t="s">
        <v>28</v>
      </c>
      <c r="JT19" s="131"/>
      <c r="JU19" s="184">
        <f>IFERROR((((COUNTIF('Elève (5ème1)'!JR19:JT19,"A"))*4)+((COUNTIF('Elève (5ème1)'!JR19:JT19,"B"))*3)+((COUNTIF('Elève (5ème1)'!JR19:JT19,"C"))*2)+((COUNTIF('Elève (5ème1)'!JR19:JT19,"D"))*1))/(COUNTA(JR19:JT19)),"")</f>
        <v>2.5</v>
      </c>
      <c r="JV19" s="185" t="str">
        <f t="shared" si="61"/>
        <v>C</v>
      </c>
      <c r="JW19" s="129" t="s">
        <v>27</v>
      </c>
      <c r="JX19" s="130" t="s">
        <v>28</v>
      </c>
      <c r="JY19" s="131" t="s">
        <v>28</v>
      </c>
      <c r="JZ19" s="135" t="s">
        <v>27</v>
      </c>
      <c r="KA19" s="184">
        <f>IFERROR((((COUNTIF('Elève (5ème1)'!JW19:JZ19,"A"))*4)+((COUNTIF('Elève (5ème1)'!JW19:JZ19,"B"))*3)+((COUNTIF('Elève (5ème1)'!JW19:JZ19,"C"))*2)+((COUNTIF('Elève (5ème1)'!JW19:JZ19,"D"))*1))/(COUNTA(JW19:JZ19)),"")</f>
        <v>3.5</v>
      </c>
      <c r="KB19" s="185" t="str">
        <f t="shared" si="62"/>
        <v>B</v>
      </c>
      <c r="KC19" s="184">
        <f>IF(COUNT(JP19,JU19,KA19)=0,"",SUM(JP19,JU19,KA19)/COUNT(JP19,JU19,KA19))</f>
        <v>2.8333333333333335</v>
      </c>
      <c r="KD19" s="207" t="str">
        <f t="shared" si="63"/>
        <v>B</v>
      </c>
      <c r="KE19" s="129" t="s">
        <v>28</v>
      </c>
      <c r="KF19" s="130" t="s">
        <v>29</v>
      </c>
      <c r="KG19" s="131"/>
      <c r="KH19" s="184">
        <f>IFERROR((((COUNTIF('Elève (5ème1)'!KE19:KG19,"A"))*4)+((COUNTIF('Elève (5ème1)'!KE19:KG19,"B"))*3)+((COUNTIF('Elève (5ème1)'!KE19:KG19,"C"))*2)+((COUNTIF('Elève (5ème1)'!KE19:KG19,"D"))*1))/(COUNTA(KE19:KG19)),"")</f>
        <v>2.5</v>
      </c>
      <c r="KI19" s="185" t="str">
        <f t="shared" si="64"/>
        <v>C</v>
      </c>
      <c r="KJ19" s="129"/>
      <c r="KK19" s="130" t="s">
        <v>28</v>
      </c>
      <c r="KL19" s="131" t="s">
        <v>29</v>
      </c>
      <c r="KM19" s="184">
        <f>IFERROR((((COUNTIF('Elève (5ème1)'!KJ19:KL19,"A"))*4)+((COUNTIF('Elève (5ème1)'!KJ19:KL19,"B"))*3)+((COUNTIF('Elève (5ème1)'!KJ19:KL19,"C"))*2)+((COUNTIF('Elève (5ème1)'!KJ19:KL19,"D"))*1))/(COUNTA(KJ19:KL19)),"")</f>
        <v>2.5</v>
      </c>
      <c r="KN19" s="185" t="str">
        <f t="shared" si="65"/>
        <v>C</v>
      </c>
      <c r="KO19" s="129" t="s">
        <v>27</v>
      </c>
      <c r="KP19" s="130" t="s">
        <v>28</v>
      </c>
      <c r="KQ19" s="131"/>
      <c r="KR19" s="135" t="s">
        <v>28</v>
      </c>
      <c r="KS19" s="184">
        <f>IFERROR((((COUNTIF('Elève (5ème1)'!KO19:KR19,"A"))*4)+((COUNTIF('Elève (5ème1)'!KO19:KR19,"B"))*3)+((COUNTIF('Elève (5ème1)'!KO19:KR19,"C"))*2)+((COUNTIF('Elève (5ème1)'!KO19:KR19,"D"))*1))/(COUNTA(KO19:KR19)),"")</f>
        <v>3.3333333333333335</v>
      </c>
      <c r="KT19" s="185" t="str">
        <f t="shared" si="66"/>
        <v>B</v>
      </c>
      <c r="KU19" s="184">
        <f>IF(COUNT(KH19,KM19,KS19)=0,"",SUM(KH19,KM19,KS19)/COUNT(KH19,KM19,KS19))</f>
        <v>2.7777777777777781</v>
      </c>
      <c r="KV19" s="207" t="str">
        <f t="shared" si="67"/>
        <v>C</v>
      </c>
      <c r="KW19" s="129" t="s">
        <v>29</v>
      </c>
      <c r="KX19" s="130" t="s">
        <v>29</v>
      </c>
      <c r="KY19" s="131"/>
      <c r="KZ19" s="184">
        <f>IFERROR((((COUNTIF('Elève (5ème1)'!KW19:KY19,"A"))*4)+((COUNTIF('Elève (5ème1)'!KW19:KY19,"B"))*3)+((COUNTIF('Elève (5ème1)'!KW19:KY19,"C"))*2)+((COUNTIF('Elève (5ème1)'!KW19:KY19,"D"))*1))/(COUNTA(KW19:KY19)),"")</f>
        <v>2</v>
      </c>
      <c r="LA19" s="185" t="str">
        <f t="shared" si="68"/>
        <v>C</v>
      </c>
      <c r="LB19" s="129" t="s">
        <v>29</v>
      </c>
      <c r="LC19" s="130" t="s">
        <v>28</v>
      </c>
      <c r="LD19" s="131" t="s">
        <v>29</v>
      </c>
      <c r="LE19" s="184">
        <f>IFERROR((((COUNTIF('Elève (5ème1)'!LB19:LD19,"A"))*4)+((COUNTIF('Elève (5ème1)'!LB19:LD19,"B"))*3)+((COUNTIF('Elève (5ème1)'!LB19:LD19,"C"))*2)+((COUNTIF('Elève (5ème1)'!LB19:LD19,"D"))*1))/(COUNTA(LB19:LD19)),"")</f>
        <v>2.3333333333333335</v>
      </c>
      <c r="LF19" s="185" t="str">
        <f t="shared" si="69"/>
        <v>C</v>
      </c>
      <c r="LG19" s="129" t="s">
        <v>27</v>
      </c>
      <c r="LH19" s="130" t="s">
        <v>28</v>
      </c>
      <c r="LI19" s="131" t="s">
        <v>28</v>
      </c>
      <c r="LJ19" s="135" t="s">
        <v>27</v>
      </c>
      <c r="LK19" s="184">
        <f>IFERROR((((COUNTIF('Elève (5ème1)'!LG19:LJ19,"A"))*4)+((COUNTIF('Elève (5ème1)'!LG19:LJ19,"B"))*3)+((COUNTIF('Elève (5ème1)'!LG19:LJ19,"C"))*2)+((COUNTIF('Elève (5ème1)'!LG19:LJ19,"D"))*1))/(COUNTA(LG19:LJ19)),"")</f>
        <v>3.5</v>
      </c>
      <c r="LL19" s="185" t="str">
        <f t="shared" si="70"/>
        <v>B</v>
      </c>
      <c r="LM19" s="184">
        <f>IF(COUNT(KZ19,LE19,LK19)=0,"",SUM(KZ19,LE19,LK19)/COUNT(KZ19,LE19,LK19))</f>
        <v>2.6111111111111112</v>
      </c>
      <c r="LN19" s="207" t="str">
        <f t="shared" si="71"/>
        <v>C</v>
      </c>
      <c r="LO19" s="129" t="s">
        <v>28</v>
      </c>
      <c r="LP19" s="130" t="s">
        <v>27</v>
      </c>
      <c r="LQ19" s="131"/>
      <c r="LR19" s="184">
        <f>IFERROR((((COUNTIF('Elève (5ème1)'!LO19:LQ19,"A"))*4)+((COUNTIF('Elève (5ème1)'!LO19:LQ19,"B"))*3)+((COUNTIF('Elève (5ème1)'!LO19:LQ19,"C"))*2)+((COUNTIF('Elève (5ème1)'!LO19:LQ19,"D"))*1))/(COUNTA(LO19:LQ19)),"")</f>
        <v>3.5</v>
      </c>
      <c r="LS19" s="185" t="str">
        <f t="shared" si="72"/>
        <v>B</v>
      </c>
      <c r="LT19" s="129" t="s">
        <v>29</v>
      </c>
      <c r="LU19" s="130" t="s">
        <v>29</v>
      </c>
      <c r="LV19" s="131" t="s">
        <v>28</v>
      </c>
      <c r="LW19" s="184">
        <f>IFERROR((((COUNTIF('Elève (5ème1)'!LT19:LV19,"A"))*4)+((COUNTIF('Elève (5ème1)'!LT19:LV19,"B"))*3)+((COUNTIF('Elève (5ème1)'!LT19:LV19,"C"))*2)+((COUNTIF('Elève (5ème1)'!LT19:LV19,"D"))*1))/(COUNTA(LT19:LV19)),"")</f>
        <v>2.3333333333333335</v>
      </c>
      <c r="LX19" s="185" t="str">
        <f t="shared" si="73"/>
        <v>C</v>
      </c>
      <c r="LY19" s="129" t="s">
        <v>27</v>
      </c>
      <c r="LZ19" s="130" t="s">
        <v>30</v>
      </c>
      <c r="MA19" s="131" t="s">
        <v>28</v>
      </c>
      <c r="MB19" s="135" t="s">
        <v>28</v>
      </c>
      <c r="MC19" s="184">
        <f>IFERROR((((COUNTIF('Elève (5ème1)'!LY19:MB19,"A"))*4)+((COUNTIF('Elève (5ème1)'!LY19:MB19,"B"))*3)+((COUNTIF('Elève (5ème1)'!LY19:MB19,"C"))*2)+((COUNTIF('Elève (5ème1)'!LY19:MB19,"D"))*1))/(COUNTA(LY19:MB19)),"")</f>
        <v>2.75</v>
      </c>
      <c r="MD19" s="185" t="str">
        <f t="shared" si="74"/>
        <v>C</v>
      </c>
      <c r="ME19" s="184">
        <f>IF(COUNT(LR19,LW19,MC19)=0,"",SUM(LR19,LW19,MC19)/COUNT(LR19,LW19,MC19))</f>
        <v>2.8611111111111112</v>
      </c>
      <c r="MF19" s="207" t="str">
        <f t="shared" si="75"/>
        <v>B</v>
      </c>
      <c r="MG19" s="129" t="s">
        <v>28</v>
      </c>
      <c r="MH19" s="130" t="s">
        <v>30</v>
      </c>
      <c r="MI19" s="131"/>
      <c r="MJ19" s="184">
        <f>IFERROR((((COUNTIF('Elève (5ème1)'!MG19:MI19,"A"))*4)+((COUNTIF('Elève (5ème1)'!MG19:MI19,"B"))*3)+((COUNTIF('Elève (5ème1)'!MG19:MI19,"C"))*2)+((COUNTIF('Elève (5ème1)'!MG19:MI19,"D"))*1))/(COUNTA(MG19:MI19)),"")</f>
        <v>2</v>
      </c>
      <c r="MK19" s="185" t="str">
        <f t="shared" si="76"/>
        <v>C</v>
      </c>
      <c r="ML19" s="129" t="s">
        <v>28</v>
      </c>
      <c r="MM19" s="130" t="s">
        <v>28</v>
      </c>
      <c r="MN19" s="131" t="s">
        <v>28</v>
      </c>
      <c r="MO19" s="184">
        <f>IFERROR((((COUNTIF('Elève (5ème1)'!ML19:MN19,"A"))*4)+((COUNTIF('Elève (5ème1)'!ML19:MN19,"B"))*3)+((COUNTIF('Elève (5ème1)'!ML19:MN19,"C"))*2)+((COUNTIF('Elève (5ème1)'!ML19:MN19,"D"))*1))/(COUNTA(ML19:MN19)),"")</f>
        <v>3</v>
      </c>
      <c r="MP19" s="185" t="str">
        <f t="shared" si="77"/>
        <v>B</v>
      </c>
      <c r="MQ19" s="129" t="s">
        <v>27</v>
      </c>
      <c r="MR19" s="130" t="s">
        <v>28</v>
      </c>
      <c r="MS19" s="131" t="s">
        <v>28</v>
      </c>
      <c r="MT19" s="135" t="s">
        <v>27</v>
      </c>
      <c r="MU19" s="184">
        <f>IFERROR((((COUNTIF('Elève (5ème1)'!MQ19:MT19,"A"))*4)+((COUNTIF('Elève (5ème1)'!MQ19:MT19,"B"))*3)+((COUNTIF('Elève (5ème1)'!MQ19:MT19,"C"))*2)+((COUNTIF('Elève (5ème1)'!MQ19:MT19,"D"))*1))/(COUNTA(MQ19:MT19)),"")</f>
        <v>3.5</v>
      </c>
      <c r="MV19" s="185" t="str">
        <f t="shared" si="78"/>
        <v>B</v>
      </c>
      <c r="MW19" s="184">
        <f>IF(COUNT(MJ19,MO19,MU19)=0,"",SUM(MJ19,MO19,MU19)/COUNT(MJ19,MO19,MU19))</f>
        <v>2.8333333333333335</v>
      </c>
      <c r="MX19" s="207" t="str">
        <f t="shared" si="79"/>
        <v>B</v>
      </c>
      <c r="MY19" s="129" t="s">
        <v>28</v>
      </c>
      <c r="MZ19" s="130" t="s">
        <v>29</v>
      </c>
      <c r="NA19" s="131"/>
      <c r="NB19" s="184">
        <f>IFERROR((((COUNTIF('Elève (5ème1)'!MY19:NA19,"A"))*4)+((COUNTIF('Elève (5ème1)'!MY19:NA19,"B"))*3)+((COUNTIF('Elève (5ème1)'!MY19:NA19,"C"))*2)+((COUNTIF('Elève (5ème1)'!MY19:NA19,"D"))*1))/(COUNTA(MY19:NA19)),"")</f>
        <v>2.5</v>
      </c>
      <c r="NC19" s="185" t="str">
        <f t="shared" si="80"/>
        <v>C</v>
      </c>
      <c r="ND19" s="129" t="s">
        <v>29</v>
      </c>
      <c r="NE19" s="130" t="s">
        <v>27</v>
      </c>
      <c r="NF19" s="131" t="s">
        <v>29</v>
      </c>
      <c r="NG19" s="184">
        <f>IFERROR((((COUNTIF('Elève (5ème1)'!ND19:NF19,"A"))*4)+((COUNTIF('Elève (5ème1)'!ND19:NF19,"B"))*3)+((COUNTIF('Elève (5ème1)'!ND19:NF19,"C"))*2)+((COUNTIF('Elève (5ème1)'!ND19:NF19,"D"))*1))/(COUNTA(ND19:NF19)),"")</f>
        <v>2.6666666666666665</v>
      </c>
      <c r="NH19" s="185" t="str">
        <f t="shared" si="81"/>
        <v>C</v>
      </c>
      <c r="NI19" s="129" t="s">
        <v>27</v>
      </c>
      <c r="NJ19" s="130" t="s">
        <v>28</v>
      </c>
      <c r="NK19" s="131" t="s">
        <v>27</v>
      </c>
      <c r="NL19" s="135" t="s">
        <v>27</v>
      </c>
      <c r="NM19" s="184">
        <f>IFERROR((((COUNTIF('Elève (5ème1)'!NI19:NL19,"A"))*4)+((COUNTIF('Elève (5ème1)'!NI19:NL19,"B"))*3)+((COUNTIF('Elève (5ème1)'!NI19:NL19,"C"))*2)+((COUNTIF('Elève (5ème1)'!NI19:NL19,"D"))*1))/(COUNTA(NI19:NL19)),"")</f>
        <v>3.75</v>
      </c>
      <c r="NN19" s="185" t="str">
        <f t="shared" si="82"/>
        <v>A</v>
      </c>
      <c r="NO19" s="184">
        <f>IF(COUNT(NB19,NG19,NM19)=0,"",SUM(NB19,NG19,NM19)/COUNT(NB19,NG19,NM19))</f>
        <v>2.9722222222222219</v>
      </c>
      <c r="NP19" s="207" t="str">
        <f t="shared" si="83"/>
        <v>B</v>
      </c>
      <c r="NQ19" s="129" t="s">
        <v>30</v>
      </c>
      <c r="NR19" s="130" t="s">
        <v>30</v>
      </c>
      <c r="NS19" s="131"/>
      <c r="NT19" s="184">
        <f>IFERROR((((COUNTIF('Elève (5ème1)'!NQ19:NS19,"A"))*4)+((COUNTIF('Elève (5ème1)'!NQ19:NS19,"B"))*3)+((COUNTIF('Elève (5ème1)'!NQ19:NS19,"C"))*2)+((COUNTIF('Elève (5ème1)'!NQ19:NS19,"D"))*1))/(COUNTA(NQ19:NS19)),"")</f>
        <v>1</v>
      </c>
      <c r="NU19" s="185" t="str">
        <f t="shared" si="84"/>
        <v>D</v>
      </c>
      <c r="NV19" s="129"/>
      <c r="NW19" s="130" t="s">
        <v>30</v>
      </c>
      <c r="NX19" s="131" t="s">
        <v>29</v>
      </c>
      <c r="NY19" s="184">
        <f>IFERROR((((COUNTIF('Elève (5ème1)'!NV19:NX19,"A"))*4)+((COUNTIF('Elève (5ème1)'!NV19:NX19,"B"))*3)+((COUNTIF('Elève (5ème1)'!NV19:NX19,"C"))*2)+((COUNTIF('Elève (5ème1)'!NV19:NX19,"D"))*1))/(COUNTA(NV19:NX19)),"")</f>
        <v>1.5</v>
      </c>
      <c r="NZ19" s="185" t="str">
        <f t="shared" si="85"/>
        <v>D</v>
      </c>
      <c r="OA19" s="129" t="s">
        <v>27</v>
      </c>
      <c r="OB19" s="130" t="s">
        <v>30</v>
      </c>
      <c r="OC19" s="131" t="s">
        <v>29</v>
      </c>
      <c r="OD19" s="135" t="s">
        <v>28</v>
      </c>
      <c r="OE19" s="184">
        <f>IFERROR((((COUNTIF('Elève (5ème1)'!OA19:OD19,"A"))*4)+((COUNTIF('Elève (5ème1)'!OA19:OD19,"B"))*3)+((COUNTIF('Elève (5ème1)'!OA19:OD19,"C"))*2)+((COUNTIF('Elève (5ème1)'!OA19:OD19,"D"))*1))/(COUNTA(OA19:OD19)),"")</f>
        <v>2.5</v>
      </c>
      <c r="OF19" s="185" t="str">
        <f t="shared" si="86"/>
        <v>C</v>
      </c>
      <c r="OG19" s="184">
        <f>IF(COUNT(NT19,NY19,OE19)=0,"",SUM(NT19,NY19,OE19)/COUNT(NT19,NY19,OE19))</f>
        <v>1.6666666666666667</v>
      </c>
      <c r="OH19" s="207" t="str">
        <f t="shared" si="87"/>
        <v>C</v>
      </c>
      <c r="OI19" s="129" t="s">
        <v>28</v>
      </c>
      <c r="OJ19" s="130" t="s">
        <v>30</v>
      </c>
      <c r="OK19" s="131"/>
      <c r="OL19" s="184">
        <f>IFERROR((((COUNTIF('Elève (5ème1)'!OI19:OK19,"A"))*4)+((COUNTIF('Elève (5ème1)'!OI19:OK19,"B"))*3)+((COUNTIF('Elève (5ème1)'!OI19:OK19,"C"))*2)+((COUNTIF('Elève (5ème1)'!OI19:OK19,"D"))*1))/(COUNTA(OI19:OK19)),"")</f>
        <v>2</v>
      </c>
      <c r="OM19" s="185" t="str">
        <f t="shared" si="88"/>
        <v>C</v>
      </c>
      <c r="ON19" s="129" t="s">
        <v>28</v>
      </c>
      <c r="OO19" s="130" t="s">
        <v>27</v>
      </c>
      <c r="OP19" s="131" t="s">
        <v>29</v>
      </c>
      <c r="OQ19" s="184">
        <f>IFERROR((((COUNTIF('Elève (5ème1)'!ON19:OP19,"A"))*4)+((COUNTIF('Elève (5ème1)'!ON19:OP19,"B"))*3)+((COUNTIF('Elève (5ème1)'!ON19:OP19,"C"))*2)+((COUNTIF('Elève (5ème1)'!ON19:OP19,"D"))*1))/(COUNTA(ON19:OP19)),"")</f>
        <v>3</v>
      </c>
      <c r="OR19" s="185" t="str">
        <f t="shared" si="89"/>
        <v>B</v>
      </c>
      <c r="OS19" s="129" t="s">
        <v>27</v>
      </c>
      <c r="OT19" s="130" t="s">
        <v>28</v>
      </c>
      <c r="OU19" s="131" t="s">
        <v>28</v>
      </c>
      <c r="OV19" s="135" t="s">
        <v>27</v>
      </c>
      <c r="OW19" s="184">
        <f>IFERROR((((COUNTIF('Elève (5ème1)'!OS19:OV19,"A"))*4)+((COUNTIF('Elève (5ème1)'!OS19:OV19,"B"))*3)+((COUNTIF('Elève (5ème1)'!OS19:OV19,"C"))*2)+((COUNTIF('Elève (5ème1)'!OS19:OV19,"D"))*1))/(COUNTA(OS19:OV19)),"")</f>
        <v>3.5</v>
      </c>
      <c r="OX19" s="185" t="str">
        <f t="shared" si="90"/>
        <v>B</v>
      </c>
      <c r="OY19" s="184">
        <f>IF(COUNT(OL19,OQ19,OW19)=0,"",SUM(OL19,OQ19,OW19)/COUNT(OL19,OQ19,OW19))</f>
        <v>2.8333333333333335</v>
      </c>
      <c r="OZ19" s="207" t="str">
        <f t="shared" si="91"/>
        <v>B</v>
      </c>
      <c r="PA19" s="129"/>
      <c r="PB19" s="130"/>
      <c r="PC19" s="131"/>
      <c r="PD19" s="184" t="str">
        <f>IFERROR((((COUNTIF('Elève (5ème1)'!PA19:PC19,"A"))*4)+((COUNTIF('Elève (5ème1)'!PA19:PC19,"B"))*3)+((COUNTIF('Elève (5ème1)'!PA19:PC19,"C"))*2)+((COUNTIF('Elève (5ème1)'!PA19:PC19,"D"))*1))/(COUNTA(PA19:PC19)),"")</f>
        <v/>
      </c>
      <c r="PE19" s="185" t="str">
        <f t="shared" si="92"/>
        <v/>
      </c>
      <c r="PF19" s="129" t="s">
        <v>30</v>
      </c>
      <c r="PG19" s="130" t="s">
        <v>28</v>
      </c>
      <c r="PH19" s="131" t="s">
        <v>29</v>
      </c>
      <c r="PI19" s="184">
        <f>IFERROR((((COUNTIF('Elève (5ème1)'!PF19:PH19,"A"))*4)+((COUNTIF('Elève (5ème1)'!PF19:PH19,"B"))*3)+((COUNTIF('Elève (5ème1)'!PF19:PH19,"C"))*2)+((COUNTIF('Elève (5ème1)'!PF19:PH19,"D"))*1))/(COUNTA(PF19:PH19)),"")</f>
        <v>2</v>
      </c>
      <c r="PJ19" s="185" t="str">
        <f t="shared" si="93"/>
        <v>C</v>
      </c>
      <c r="PK19" s="129" t="s">
        <v>27</v>
      </c>
      <c r="PL19" s="130" t="s">
        <v>28</v>
      </c>
      <c r="PM19" s="131" t="s">
        <v>28</v>
      </c>
      <c r="PN19" s="135" t="s">
        <v>28</v>
      </c>
      <c r="PO19" s="184">
        <f>IFERROR((((COUNTIF('Elève (5ème1)'!PK19:PN19,"A"))*4)+((COUNTIF('Elève (5ème1)'!PK19:PN19,"B"))*3)+((COUNTIF('Elève (5ème1)'!PK19:PN19,"C"))*2)+((COUNTIF('Elève (5ème1)'!PK19:PN19,"D"))*1))/(COUNTA(PK19:PN19)),"")</f>
        <v>3.25</v>
      </c>
      <c r="PP19" s="185" t="str">
        <f t="shared" si="94"/>
        <v>B</v>
      </c>
      <c r="PQ19" s="184">
        <f>IF(COUNT(PD19,PI19,PO19)=0,"",SUM(PD19,PI19,PO19)/COUNT(PD19,PI19,PO19))</f>
        <v>2.625</v>
      </c>
      <c r="PR19" s="207" t="str">
        <f t="shared" si="95"/>
        <v>C</v>
      </c>
      <c r="PS19" s="129" t="s">
        <v>28</v>
      </c>
      <c r="PT19" s="130" t="s">
        <v>29</v>
      </c>
      <c r="PU19" s="131"/>
      <c r="PV19" s="184">
        <f>IFERROR((((COUNTIF('Elève (5ème1)'!PS19:PU19,"A"))*4)+((COUNTIF('Elève (5ème1)'!PS19:PU19,"B"))*3)+((COUNTIF('Elève (5ème1)'!PS19:PU19,"C"))*2)+((COUNTIF('Elève (5ème1)'!PS19:PU19,"D"))*1))/(COUNTA(PS19:PU19)),"")</f>
        <v>2.5</v>
      </c>
      <c r="PW19" s="185" t="str">
        <f t="shared" si="96"/>
        <v>C</v>
      </c>
      <c r="PX19" s="129" t="s">
        <v>29</v>
      </c>
      <c r="PY19" s="130" t="s">
        <v>27</v>
      </c>
      <c r="PZ19" s="131" t="s">
        <v>28</v>
      </c>
      <c r="QA19" s="184">
        <f>IFERROR((((COUNTIF('Elève (5ème1)'!PX19:PZ19,"A"))*4)+((COUNTIF('Elève (5ème1)'!PX19:PZ19,"B"))*3)+((COUNTIF('Elève (5ème1)'!PX19:PZ19,"C"))*2)+((COUNTIF('Elève (5ème1)'!PX19:PZ19,"D"))*1))/(COUNTA(PX19:PZ19)),"")</f>
        <v>3</v>
      </c>
      <c r="QB19" s="185" t="str">
        <f t="shared" si="97"/>
        <v>B</v>
      </c>
      <c r="QC19" s="129" t="s">
        <v>27</v>
      </c>
      <c r="QD19" s="130" t="s">
        <v>28</v>
      </c>
      <c r="QE19" s="131" t="s">
        <v>28</v>
      </c>
      <c r="QF19" s="135" t="s">
        <v>27</v>
      </c>
      <c r="QG19" s="184">
        <f>IFERROR((((COUNTIF('Elève (5ème1)'!QC19:QF19,"A"))*4)+((COUNTIF('Elève (5ème1)'!QC19:QF19,"B"))*3)+((COUNTIF('Elève (5ème1)'!QC19:QF19,"C"))*2)+((COUNTIF('Elève (5ème1)'!QC19:QF19,"D"))*1))/(COUNTA(QC19:QF19)),"")</f>
        <v>3.5</v>
      </c>
      <c r="QH19" s="185" t="str">
        <f t="shared" si="98"/>
        <v>B</v>
      </c>
      <c r="QI19" s="184">
        <f>IF(COUNT(PV19,QA19,QG19)=0,"",SUM(PV19,QA19,QG19)/COUNT(PV19,QA19,QG19))</f>
        <v>3</v>
      </c>
      <c r="QJ19" s="207" t="str">
        <f t="shared" si="99"/>
        <v>B</v>
      </c>
      <c r="QK19" s="129" t="s">
        <v>30</v>
      </c>
      <c r="QL19" s="130" t="s">
        <v>29</v>
      </c>
      <c r="QM19" s="131"/>
      <c r="QN19" s="184">
        <f>IFERROR((((COUNTIF('Elève (5ème1)'!QK19:QM19,"A"))*4)+((COUNTIF('Elève (5ème1)'!QK19:QM19,"B"))*3)+((COUNTIF('Elève (5ème1)'!QK19:QM19,"C"))*2)+((COUNTIF('Elève (5ème1)'!QK19:QM19,"D"))*1))/(COUNTA(QK19:QM19)),"")</f>
        <v>1.5</v>
      </c>
      <c r="QO19" s="185" t="str">
        <f t="shared" si="100"/>
        <v>D</v>
      </c>
      <c r="QP19" s="129" t="s">
        <v>29</v>
      </c>
      <c r="QQ19" s="130" t="s">
        <v>28</v>
      </c>
      <c r="QR19" s="131" t="s">
        <v>29</v>
      </c>
      <c r="QS19" s="184">
        <f>IFERROR((((COUNTIF('Elève (5ème1)'!QP19:QR19,"A"))*4)+((COUNTIF('Elève (5ème1)'!QP19:QR19,"B"))*3)+((COUNTIF('Elève (5ème1)'!QP19:QR19,"C"))*2)+((COUNTIF('Elève (5ème1)'!QP19:QR19,"D"))*1))/(COUNTA(QP19:QR19)),"")</f>
        <v>2.3333333333333335</v>
      </c>
      <c r="QT19" s="185" t="str">
        <f t="shared" si="101"/>
        <v>C</v>
      </c>
      <c r="QU19" s="129" t="s">
        <v>29</v>
      </c>
      <c r="QV19" s="130" t="s">
        <v>29</v>
      </c>
      <c r="QW19" s="131" t="s">
        <v>28</v>
      </c>
      <c r="QX19" s="135" t="s">
        <v>27</v>
      </c>
      <c r="QY19" s="184">
        <f>IFERROR((((COUNTIF('Elève (5ème1)'!QU19:QX19,"A"))*4)+((COUNTIF('Elève (5ème1)'!QU19:QX19,"B"))*3)+((COUNTIF('Elève (5ème1)'!QU19:QX19,"C"))*2)+((COUNTIF('Elève (5ème1)'!QU19:QX19,"D"))*1))/(COUNTA(QU19:QX19)),"")</f>
        <v>2.75</v>
      </c>
      <c r="QZ19" s="185" t="str">
        <f t="shared" si="102"/>
        <v>C</v>
      </c>
      <c r="RA19" s="184">
        <f>IF(COUNT(QN19,QS19,QY19)=0,"",SUM(QN19,QS19,QY19)/COUNT(QN19,QS19,QY19))</f>
        <v>2.1944444444444446</v>
      </c>
      <c r="RB19" s="207" t="str">
        <f t="shared" si="103"/>
        <v>C</v>
      </c>
      <c r="RC19" s="129" t="s">
        <v>29</v>
      </c>
      <c r="RD19" s="130" t="s">
        <v>29</v>
      </c>
      <c r="RE19" s="131"/>
      <c r="RF19" s="184">
        <f>IFERROR((((COUNTIF('Elève (5ème1)'!RC19:RE19,"A"))*4)+((COUNTIF('Elève (5ème1)'!RC19:RE19,"B"))*3)+((COUNTIF('Elève (5ème1)'!RC19:RE19,"C"))*2)+((COUNTIF('Elève (5ème1)'!RC19:RE19,"D"))*1))/(COUNTA(RC19:RE19)),"")</f>
        <v>2</v>
      </c>
      <c r="RG19" s="185" t="str">
        <f t="shared" si="104"/>
        <v>C</v>
      </c>
      <c r="RH19" s="129" t="s">
        <v>29</v>
      </c>
      <c r="RI19" s="130" t="s">
        <v>29</v>
      </c>
      <c r="RJ19" s="131" t="s">
        <v>29</v>
      </c>
      <c r="RK19" s="184">
        <f>IFERROR((((COUNTIF('Elève (5ème1)'!RH19:RJ19,"A"))*4)+((COUNTIF('Elève (5ème1)'!RH19:RJ19,"B"))*3)+((COUNTIF('Elève (5ème1)'!RH19:RJ19,"C"))*2)+((COUNTIF('Elève (5ème1)'!RH19:RJ19,"D"))*1))/(COUNTA(RH19:RJ19)),"")</f>
        <v>2</v>
      </c>
      <c r="RL19" s="185" t="str">
        <f t="shared" si="105"/>
        <v>C</v>
      </c>
      <c r="RM19" s="129" t="s">
        <v>27</v>
      </c>
      <c r="RN19" s="130" t="s">
        <v>30</v>
      </c>
      <c r="RO19" s="131" t="s">
        <v>29</v>
      </c>
      <c r="RP19" s="135" t="s">
        <v>27</v>
      </c>
      <c r="RQ19" s="184">
        <f>IFERROR((((COUNTIF('Elève (5ème1)'!RM19:RP19,"A"))*4)+((COUNTIF('Elève (5ème1)'!RM19:RP19,"B"))*3)+((COUNTIF('Elève (5ème1)'!RM19:RP19,"C"))*2)+((COUNTIF('Elève (5ème1)'!RM19:RP19,"D"))*1))/(COUNTA(RM19:RP19)),"")</f>
        <v>2.75</v>
      </c>
      <c r="RR19" s="185" t="str">
        <f t="shared" si="106"/>
        <v>C</v>
      </c>
      <c r="RS19" s="184">
        <f>IF(COUNT(RF19,RK19,RQ19)=0,"",SUM(RF19,RK19,RQ19)/COUNT(RF19,RK19,RQ19))</f>
        <v>2.25</v>
      </c>
      <c r="RT19" s="207" t="str">
        <f t="shared" si="107"/>
        <v>C</v>
      </c>
      <c r="RU19" s="129" t="s">
        <v>28</v>
      </c>
      <c r="RV19" s="130" t="s">
        <v>29</v>
      </c>
      <c r="RW19" s="131"/>
      <c r="RX19" s="184">
        <f>IFERROR((((COUNTIF('Elève (5ème1)'!RU19:RW19,"A"))*4)+((COUNTIF('Elève (5ème1)'!RU19:RW19,"B"))*3)+((COUNTIF('Elève (5ème1)'!RU19:RW19,"C"))*2)+((COUNTIF('Elève (5ème1)'!RU19:RW19,"D"))*1))/(COUNTA(RU19:RW19)),"")</f>
        <v>2.5</v>
      </c>
      <c r="RY19" s="185" t="str">
        <f t="shared" si="108"/>
        <v>C</v>
      </c>
      <c r="RZ19" s="129" t="s">
        <v>28</v>
      </c>
      <c r="SA19" s="130" t="s">
        <v>28</v>
      </c>
      <c r="SB19" s="131" t="s">
        <v>29</v>
      </c>
      <c r="SC19" s="184">
        <f>IFERROR((((COUNTIF('Elève (5ème1)'!RZ19:SB19,"A"))*4)+((COUNTIF('Elève (5ème1)'!RZ19:SB19,"B"))*3)+((COUNTIF('Elève (5ème1)'!RZ19:SB19,"C"))*2)+((COUNTIF('Elève (5ème1)'!RZ19:SB19,"D"))*1))/(COUNTA(RZ19:SB19)),"")</f>
        <v>2.6666666666666665</v>
      </c>
      <c r="SD19" s="185" t="str">
        <f t="shared" si="109"/>
        <v>C</v>
      </c>
      <c r="SE19" s="129" t="s">
        <v>27</v>
      </c>
      <c r="SF19" s="130" t="s">
        <v>28</v>
      </c>
      <c r="SG19" s="131" t="s">
        <v>28</v>
      </c>
      <c r="SH19" s="135" t="s">
        <v>27</v>
      </c>
      <c r="SI19" s="184">
        <f>IFERROR((((COUNTIF('Elève (5ème1)'!SE19:SH19,"A"))*4)+((COUNTIF('Elève (5ème1)'!SE19:SH19,"B"))*3)+((COUNTIF('Elève (5ème1)'!SE19:SH19,"C"))*2)+((COUNTIF('Elève (5ème1)'!SE19:SH19,"D"))*1))/(COUNTA(SE19:SH19)),"")</f>
        <v>3.5</v>
      </c>
      <c r="SJ19" s="185" t="str">
        <f t="shared" si="110"/>
        <v>B</v>
      </c>
      <c r="SK19" s="184">
        <f>IF(COUNT(RX19,SC19,SI19)=0,"",SUM(RX19,SC19,SI19)/COUNT(RX19,SC19,SI19))</f>
        <v>2.8888888888888888</v>
      </c>
      <c r="SL19" s="207" t="str">
        <f t="shared" si="111"/>
        <v>B</v>
      </c>
      <c r="SM19" s="129" t="s">
        <v>28</v>
      </c>
      <c r="SN19" s="130" t="s">
        <v>27</v>
      </c>
      <c r="SO19" s="131"/>
      <c r="SP19" s="184">
        <f>IFERROR((((COUNTIF('Elève (5ème1)'!SM19:SO19,"A"))*4)+((COUNTIF('Elève (5ème1)'!SM19:SO19,"B"))*3)+((COUNTIF('Elève (5ème1)'!SM19:SO19,"C"))*2)+((COUNTIF('Elève (5ème1)'!SM19:SO19,"D"))*1))/(COUNTA(SM19:SO19)),"")</f>
        <v>3.5</v>
      </c>
      <c r="SQ19" s="185" t="str">
        <f t="shared" si="112"/>
        <v>B</v>
      </c>
      <c r="SR19" s="129" t="s">
        <v>28</v>
      </c>
      <c r="SS19" s="130" t="s">
        <v>28</v>
      </c>
      <c r="ST19" s="131" t="s">
        <v>28</v>
      </c>
      <c r="SU19" s="184">
        <f>IFERROR((((COUNTIF('Elève (5ème1)'!SR19:ST19,"A"))*4)+((COUNTIF('Elève (5ème1)'!SR19:ST19,"B"))*3)+((COUNTIF('Elève (5ème1)'!SR19:ST19,"C"))*2)+((COUNTIF('Elève (5ème1)'!SR19:ST19,"D"))*1))/(COUNTA(SR19:ST19)),"")</f>
        <v>3</v>
      </c>
      <c r="SV19" s="185" t="str">
        <f t="shared" si="113"/>
        <v>B</v>
      </c>
      <c r="SW19" s="129" t="s">
        <v>27</v>
      </c>
      <c r="SX19" s="130" t="s">
        <v>28</v>
      </c>
      <c r="SY19" s="131" t="s">
        <v>28</v>
      </c>
      <c r="SZ19" s="135"/>
      <c r="TA19" s="184">
        <f>IFERROR((((COUNTIF('Elève (5ème1)'!SW19:SZ19,"A"))*4)+((COUNTIF('Elève (5ème1)'!SW19:SZ19,"B"))*3)+((COUNTIF('Elève (5ème1)'!SW19:SZ19,"C"))*2)+((COUNTIF('Elève (5ème1)'!SW19:SZ19,"D"))*1))/(COUNTA(SW19:SZ19)),"")</f>
        <v>3.3333333333333335</v>
      </c>
      <c r="TB19" s="185" t="str">
        <f t="shared" si="114"/>
        <v>B</v>
      </c>
      <c r="TC19" s="184">
        <f>IF(COUNT(SP19,SU19,TA19)=0,"",SUM(SP19,SU19,TA19)/COUNT(SP19,SU19,TA19))</f>
        <v>3.2777777777777781</v>
      </c>
      <c r="TD19" s="207" t="str">
        <f t="shared" si="115"/>
        <v>B</v>
      </c>
      <c r="TE19" s="129" t="s">
        <v>29</v>
      </c>
      <c r="TF19" s="130" t="s">
        <v>30</v>
      </c>
      <c r="TG19" s="131"/>
      <c r="TH19" s="184">
        <f>IFERROR((((COUNTIF('Elève (5ème1)'!TE19:TG19,"A"))*4)+((COUNTIF('Elève (5ème1)'!TE19:TG19,"B"))*3)+((COUNTIF('Elève (5ème1)'!TE19:TG19,"C"))*2)+((COUNTIF('Elève (5ème1)'!TE19:TG19,"D"))*1))/(COUNTA(TE19:TG19)),"")</f>
        <v>1.5</v>
      </c>
      <c r="TI19" s="185" t="str">
        <f t="shared" si="116"/>
        <v>D</v>
      </c>
      <c r="TJ19" s="129" t="s">
        <v>29</v>
      </c>
      <c r="TK19" s="130" t="s">
        <v>27</v>
      </c>
      <c r="TL19" s="131" t="s">
        <v>29</v>
      </c>
      <c r="TM19" s="184">
        <f>IFERROR((((COUNTIF('Elève (5ème1)'!TJ19:TL19,"A"))*4)+((COUNTIF('Elève (5ème1)'!TJ19:TL19,"B"))*3)+((COUNTIF('Elève (5ème1)'!TJ19:TL19,"C"))*2)+((COUNTIF('Elève (5ème1)'!TJ19:TL19,"D"))*1))/(COUNTA(TJ19:TL19)),"")</f>
        <v>2.6666666666666665</v>
      </c>
      <c r="TN19" s="185" t="str">
        <f t="shared" si="117"/>
        <v>C</v>
      </c>
      <c r="TO19" s="129" t="s">
        <v>27</v>
      </c>
      <c r="TP19" s="130" t="s">
        <v>28</v>
      </c>
      <c r="TQ19" s="131" t="s">
        <v>29</v>
      </c>
      <c r="TR19" s="135" t="s">
        <v>28</v>
      </c>
      <c r="TS19" s="184">
        <f>IFERROR((((COUNTIF('Elève (5ème1)'!TO19:TR19,"A"))*4)+((COUNTIF('Elève (5ème1)'!TO19:TR19,"B"))*3)+((COUNTIF('Elève (5ème1)'!TO19:TR19,"C"))*2)+((COUNTIF('Elève (5ème1)'!TO19:TR19,"D"))*1))/(COUNTA(TO19:TR19)),"")</f>
        <v>3</v>
      </c>
      <c r="TT19" s="185" t="str">
        <f t="shared" si="118"/>
        <v>B</v>
      </c>
      <c r="TU19" s="184">
        <f>IF(COUNT(TH19,TM19,TS19)=0,"",SUM(TH19,TM19,TS19)/COUNT(TH19,TM19,TS19))</f>
        <v>2.3888888888888888</v>
      </c>
      <c r="TV19" s="207" t="str">
        <f t="shared" si="119"/>
        <v>C</v>
      </c>
    </row>
    <row r="20" spans="1:542" s="114" customFormat="1" ht="16.5" customHeight="1" thickBot="1" x14ac:dyDescent="0.3">
      <c r="A20" s="164" t="s">
        <v>24</v>
      </c>
      <c r="B20" s="139">
        <v>1</v>
      </c>
      <c r="C20" s="171"/>
      <c r="D20" s="84"/>
      <c r="E20" s="104"/>
      <c r="F20" s="178">
        <f>IF(COUNT(F21)=0,"",SUM(F21)/COUNT(F21))</f>
        <v>2</v>
      </c>
      <c r="G20" s="179" t="str">
        <f t="shared" si="0"/>
        <v>C</v>
      </c>
      <c r="H20" s="171"/>
      <c r="I20" s="84"/>
      <c r="J20" s="84"/>
      <c r="K20" s="178" t="str">
        <f>IF(COUNT(K21)=0,"",SUM(K21)/COUNT(K21))</f>
        <v/>
      </c>
      <c r="L20" s="194" t="str">
        <f t="shared" si="1"/>
        <v/>
      </c>
      <c r="M20" s="172"/>
      <c r="N20" s="109"/>
      <c r="O20" s="109"/>
      <c r="P20" s="110"/>
      <c r="Q20" s="178" t="str">
        <f>IF(COUNT(Q21)=0,"",SUM(Q21)/COUNT(Q21))</f>
        <v/>
      </c>
      <c r="R20" s="202" t="str">
        <f t="shared" si="2"/>
        <v/>
      </c>
      <c r="S20" s="203">
        <f>IF(COUNT(S21)=0,"",SUM(S21)/COUNT(S21))</f>
        <v>2</v>
      </c>
      <c r="T20" s="204" t="str">
        <f t="shared" si="3"/>
        <v>C</v>
      </c>
      <c r="U20" s="215"/>
      <c r="V20" s="84"/>
      <c r="W20" s="104"/>
      <c r="X20" s="178">
        <f>IF(COUNT(X21)=0,"",SUM(X21)/COUNT(X21))</f>
        <v>1</v>
      </c>
      <c r="Y20" s="179" t="str">
        <f t="shared" si="4"/>
        <v>D</v>
      </c>
      <c r="Z20" s="171"/>
      <c r="AA20" s="84"/>
      <c r="AB20" s="84"/>
      <c r="AC20" s="178" t="str">
        <f>IF(COUNT(AC21)=0,"",SUM(AC21)/COUNT(AC21))</f>
        <v/>
      </c>
      <c r="AD20" s="194" t="str">
        <f t="shared" si="5"/>
        <v/>
      </c>
      <c r="AE20" s="172"/>
      <c r="AF20" s="109"/>
      <c r="AG20" s="109"/>
      <c r="AH20" s="110"/>
      <c r="AI20" s="178" t="str">
        <f>IF(COUNT(AI21)=0,"",SUM(AI21)/COUNT(AI21))</f>
        <v/>
      </c>
      <c r="AJ20" s="202" t="str">
        <f t="shared" si="6"/>
        <v/>
      </c>
      <c r="AK20" s="203">
        <f>IF(COUNT(AK21)=0,"",SUM(AK21)/COUNT(AK21))</f>
        <v>1</v>
      </c>
      <c r="AL20" s="204" t="str">
        <f t="shared" si="7"/>
        <v>D</v>
      </c>
      <c r="AM20" s="215"/>
      <c r="AN20" s="84"/>
      <c r="AO20" s="104"/>
      <c r="AP20" s="178">
        <f>IF(COUNT(AP21)=0,"",SUM(AP21)/COUNT(AP21))</f>
        <v>2</v>
      </c>
      <c r="AQ20" s="179" t="str">
        <f t="shared" si="8"/>
        <v>C</v>
      </c>
      <c r="AR20" s="171"/>
      <c r="AS20" s="84"/>
      <c r="AT20" s="84"/>
      <c r="AU20" s="178" t="str">
        <f>IF(COUNT(AU21)=0,"",SUM(AU21)/COUNT(AU21))</f>
        <v/>
      </c>
      <c r="AV20" s="194" t="str">
        <f t="shared" si="9"/>
        <v/>
      </c>
      <c r="AW20" s="172"/>
      <c r="AX20" s="109"/>
      <c r="AY20" s="109"/>
      <c r="AZ20" s="110"/>
      <c r="BA20" s="178" t="str">
        <f>IF(COUNT(BA21)=0,"",SUM(BA21)/COUNT(BA21))</f>
        <v/>
      </c>
      <c r="BB20" s="202" t="str">
        <f t="shared" si="10"/>
        <v/>
      </c>
      <c r="BC20" s="203">
        <f>IF(COUNT(BC21)=0,"",SUM(BC21)/COUNT(BC21))</f>
        <v>2</v>
      </c>
      <c r="BD20" s="204" t="str">
        <f t="shared" si="11"/>
        <v>C</v>
      </c>
      <c r="BE20" s="215"/>
      <c r="BF20" s="84"/>
      <c r="BG20" s="104"/>
      <c r="BH20" s="178">
        <f>IF(COUNT(BH21)=0,"",SUM(BH21)/COUNT(BH21))</f>
        <v>4</v>
      </c>
      <c r="BI20" s="179" t="str">
        <f t="shared" si="12"/>
        <v>A</v>
      </c>
      <c r="BJ20" s="171"/>
      <c r="BK20" s="84"/>
      <c r="BL20" s="84"/>
      <c r="BM20" s="178" t="str">
        <f>IF(COUNT(BM21)=0,"",SUM(BM21)/COUNT(BM21))</f>
        <v/>
      </c>
      <c r="BN20" s="194" t="str">
        <f t="shared" si="13"/>
        <v/>
      </c>
      <c r="BO20" s="172"/>
      <c r="BP20" s="109"/>
      <c r="BQ20" s="109"/>
      <c r="BR20" s="110"/>
      <c r="BS20" s="178" t="str">
        <f>IF(COUNT(BS21)=0,"",SUM(BS21)/COUNT(BS21))</f>
        <v/>
      </c>
      <c r="BT20" s="202" t="str">
        <f t="shared" si="14"/>
        <v/>
      </c>
      <c r="BU20" s="203">
        <f>IF(COUNT(BU21)=0,"",SUM(BU21)/COUNT(BU21))</f>
        <v>4</v>
      </c>
      <c r="BV20" s="204" t="str">
        <f t="shared" si="15"/>
        <v>A</v>
      </c>
      <c r="BW20" s="215"/>
      <c r="BX20" s="84"/>
      <c r="BY20" s="104"/>
      <c r="BZ20" s="178">
        <f>IF(COUNT(BZ21)=0,"",SUM(BZ21)/COUNT(BZ21))</f>
        <v>2</v>
      </c>
      <c r="CA20" s="179" t="str">
        <f t="shared" si="16"/>
        <v>C</v>
      </c>
      <c r="CB20" s="171"/>
      <c r="CC20" s="84"/>
      <c r="CD20" s="84"/>
      <c r="CE20" s="178" t="str">
        <f>IF(COUNT(CE21)=0,"",SUM(CE21)/COUNT(CE21))</f>
        <v/>
      </c>
      <c r="CF20" s="194" t="str">
        <f t="shared" si="17"/>
        <v/>
      </c>
      <c r="CG20" s="172"/>
      <c r="CH20" s="109"/>
      <c r="CI20" s="109"/>
      <c r="CJ20" s="110"/>
      <c r="CK20" s="178" t="str">
        <f>IF(COUNT(CK21)=0,"",SUM(CK21)/COUNT(CK21))</f>
        <v/>
      </c>
      <c r="CL20" s="202" t="str">
        <f t="shared" si="18"/>
        <v/>
      </c>
      <c r="CM20" s="203">
        <f>IF(COUNT(CM21)=0,"",SUM(CM21)/COUNT(CM21))</f>
        <v>2</v>
      </c>
      <c r="CN20" s="204" t="str">
        <f t="shared" si="19"/>
        <v>C</v>
      </c>
      <c r="CO20" s="215"/>
      <c r="CP20" s="84"/>
      <c r="CQ20" s="104"/>
      <c r="CR20" s="178">
        <f>IF(COUNT(CR21)=0,"",SUM(CR21)/COUNT(CR21))</f>
        <v>1</v>
      </c>
      <c r="CS20" s="179" t="str">
        <f t="shared" si="20"/>
        <v>D</v>
      </c>
      <c r="CT20" s="171"/>
      <c r="CU20" s="84"/>
      <c r="CV20" s="84"/>
      <c r="CW20" s="178" t="str">
        <f>IF(COUNT(CW21)=0,"",SUM(CW21)/COUNT(CW21))</f>
        <v/>
      </c>
      <c r="CX20" s="194" t="str">
        <f t="shared" si="21"/>
        <v/>
      </c>
      <c r="CY20" s="172"/>
      <c r="CZ20" s="109"/>
      <c r="DA20" s="109"/>
      <c r="DB20" s="110"/>
      <c r="DC20" s="178" t="str">
        <f>IF(COUNT(DC21)=0,"",SUM(DC21)/COUNT(DC21))</f>
        <v/>
      </c>
      <c r="DD20" s="202" t="str">
        <f t="shared" si="22"/>
        <v/>
      </c>
      <c r="DE20" s="203">
        <f>IF(COUNT(DE21)=0,"",SUM(DE21)/COUNT(DE21))</f>
        <v>1</v>
      </c>
      <c r="DF20" s="204" t="str">
        <f t="shared" si="23"/>
        <v>D</v>
      </c>
      <c r="DG20" s="215"/>
      <c r="DH20" s="84"/>
      <c r="DI20" s="104"/>
      <c r="DJ20" s="178">
        <f>IF(COUNT(DJ21)=0,"",SUM(DJ21)/COUNT(DJ21))</f>
        <v>1</v>
      </c>
      <c r="DK20" s="179" t="str">
        <f t="shared" si="24"/>
        <v>D</v>
      </c>
      <c r="DL20" s="171"/>
      <c r="DM20" s="84"/>
      <c r="DN20" s="84"/>
      <c r="DO20" s="178" t="str">
        <f>IF(COUNT(DO21)=0,"",SUM(DO21)/COUNT(DO21))</f>
        <v/>
      </c>
      <c r="DP20" s="194" t="str">
        <f t="shared" si="25"/>
        <v/>
      </c>
      <c r="DQ20" s="172"/>
      <c r="DR20" s="109"/>
      <c r="DS20" s="109"/>
      <c r="DT20" s="110"/>
      <c r="DU20" s="178" t="str">
        <f>IF(COUNT(DU21)=0,"",SUM(DU21)/COUNT(DU21))</f>
        <v/>
      </c>
      <c r="DV20" s="202" t="str">
        <f t="shared" si="26"/>
        <v/>
      </c>
      <c r="DW20" s="203">
        <f>IF(COUNT(DW21)=0,"",SUM(DW21)/COUNT(DW21))</f>
        <v>1</v>
      </c>
      <c r="DX20" s="204" t="str">
        <f t="shared" si="27"/>
        <v>D</v>
      </c>
      <c r="DY20" s="215"/>
      <c r="DZ20" s="84"/>
      <c r="EA20" s="104"/>
      <c r="EB20" s="178">
        <f>IF(COUNT(EB21)=0,"",SUM(EB21)/COUNT(EB21))</f>
        <v>2</v>
      </c>
      <c r="EC20" s="179" t="str">
        <f t="shared" si="28"/>
        <v>C</v>
      </c>
      <c r="ED20" s="171"/>
      <c r="EE20" s="84"/>
      <c r="EF20" s="84"/>
      <c r="EG20" s="178" t="str">
        <f>IF(COUNT(EG21)=0,"",SUM(EG21)/COUNT(EG21))</f>
        <v/>
      </c>
      <c r="EH20" s="194" t="str">
        <f t="shared" si="29"/>
        <v/>
      </c>
      <c r="EI20" s="172"/>
      <c r="EJ20" s="109"/>
      <c r="EK20" s="109"/>
      <c r="EL20" s="110"/>
      <c r="EM20" s="178" t="str">
        <f>IF(COUNT(EM21)=0,"",SUM(EM21)/COUNT(EM21))</f>
        <v/>
      </c>
      <c r="EN20" s="202" t="str">
        <f t="shared" si="30"/>
        <v/>
      </c>
      <c r="EO20" s="203">
        <f>IF(COUNT(EO21)=0,"",SUM(EO21)/COUNT(EO21))</f>
        <v>2</v>
      </c>
      <c r="EP20" s="204" t="str">
        <f t="shared" si="31"/>
        <v>C</v>
      </c>
      <c r="EQ20" s="215"/>
      <c r="ER20" s="84"/>
      <c r="ES20" s="104"/>
      <c r="ET20" s="178" t="str">
        <f>IF(COUNT(ET21)=0,"",SUM(ET21)/COUNT(ET21))</f>
        <v/>
      </c>
      <c r="EU20" s="179" t="str">
        <f t="shared" si="32"/>
        <v/>
      </c>
      <c r="EV20" s="171"/>
      <c r="EW20" s="84"/>
      <c r="EX20" s="84"/>
      <c r="EY20" s="178" t="str">
        <f>IF(COUNT(EY21)=0,"",SUM(EY21)/COUNT(EY21))</f>
        <v/>
      </c>
      <c r="EZ20" s="194" t="str">
        <f t="shared" si="33"/>
        <v/>
      </c>
      <c r="FA20" s="172"/>
      <c r="FB20" s="109"/>
      <c r="FC20" s="109"/>
      <c r="FD20" s="110"/>
      <c r="FE20" s="178" t="str">
        <f>IF(COUNT(FE21)=0,"",SUM(FE21)/COUNT(FE21))</f>
        <v/>
      </c>
      <c r="FF20" s="202" t="str">
        <f t="shared" si="34"/>
        <v/>
      </c>
      <c r="FG20" s="203" t="str">
        <f>IF(COUNT(FG21)=0,"",SUM(FG21)/COUNT(FG21))</f>
        <v/>
      </c>
      <c r="FH20" s="204" t="str">
        <f t="shared" si="35"/>
        <v/>
      </c>
      <c r="FI20" s="215"/>
      <c r="FJ20" s="84"/>
      <c r="FK20" s="104"/>
      <c r="FL20" s="178">
        <f>IF(COUNT(FL21)=0,"",SUM(FL21)/COUNT(FL21))</f>
        <v>2</v>
      </c>
      <c r="FM20" s="179" t="str">
        <f t="shared" si="36"/>
        <v>C</v>
      </c>
      <c r="FN20" s="171"/>
      <c r="FO20" s="84"/>
      <c r="FP20" s="84"/>
      <c r="FQ20" s="178" t="str">
        <f>IF(COUNT(FQ21)=0,"",SUM(FQ21)/COUNT(FQ21))</f>
        <v/>
      </c>
      <c r="FR20" s="194" t="str">
        <f t="shared" si="37"/>
        <v/>
      </c>
      <c r="FS20" s="172"/>
      <c r="FT20" s="109"/>
      <c r="FU20" s="109"/>
      <c r="FV20" s="110"/>
      <c r="FW20" s="178" t="str">
        <f>IF(COUNT(FW21)=0,"",SUM(FW21)/COUNT(FW21))</f>
        <v/>
      </c>
      <c r="FX20" s="202" t="str">
        <f t="shared" si="38"/>
        <v/>
      </c>
      <c r="FY20" s="203">
        <f>IF(COUNT(FY21)=0,"",SUM(FY21)/COUNT(FY21))</f>
        <v>2</v>
      </c>
      <c r="FZ20" s="204" t="str">
        <f t="shared" si="39"/>
        <v>C</v>
      </c>
      <c r="GA20" s="215"/>
      <c r="GB20" s="84"/>
      <c r="GC20" s="104"/>
      <c r="GD20" s="178">
        <f>IF(COUNT(GD21)=0,"",SUM(GD21)/COUNT(GD21))</f>
        <v>4</v>
      </c>
      <c r="GE20" s="179" t="str">
        <f t="shared" si="40"/>
        <v>A</v>
      </c>
      <c r="GF20" s="171"/>
      <c r="GG20" s="84"/>
      <c r="GH20" s="84"/>
      <c r="GI20" s="178" t="str">
        <f>IF(COUNT(GI21)=0,"",SUM(GI21)/COUNT(GI21))</f>
        <v/>
      </c>
      <c r="GJ20" s="194" t="str">
        <f t="shared" si="41"/>
        <v/>
      </c>
      <c r="GK20" s="172"/>
      <c r="GL20" s="109"/>
      <c r="GM20" s="109"/>
      <c r="GN20" s="110"/>
      <c r="GO20" s="178" t="str">
        <f>IF(COUNT(GO21)=0,"",SUM(GO21)/COUNT(GO21))</f>
        <v/>
      </c>
      <c r="GP20" s="202" t="str">
        <f t="shared" si="42"/>
        <v/>
      </c>
      <c r="GQ20" s="203">
        <f>IF(COUNT(GQ21)=0,"",SUM(GQ21)/COUNT(GQ21))</f>
        <v>4</v>
      </c>
      <c r="GR20" s="204" t="str">
        <f t="shared" si="43"/>
        <v>A</v>
      </c>
      <c r="GS20" s="215"/>
      <c r="GT20" s="84"/>
      <c r="GU20" s="104"/>
      <c r="GV20" s="178">
        <f>IF(COUNT(GV21)=0,"",SUM(GV21)/COUNT(GV21))</f>
        <v>3</v>
      </c>
      <c r="GW20" s="179" t="str">
        <f t="shared" si="44"/>
        <v>B</v>
      </c>
      <c r="GX20" s="171"/>
      <c r="GY20" s="84"/>
      <c r="GZ20" s="84"/>
      <c r="HA20" s="178" t="str">
        <f>IF(COUNT(HA21)=0,"",SUM(HA21)/COUNT(HA21))</f>
        <v/>
      </c>
      <c r="HB20" s="194" t="str">
        <f t="shared" si="45"/>
        <v/>
      </c>
      <c r="HC20" s="172"/>
      <c r="HD20" s="109"/>
      <c r="HE20" s="109"/>
      <c r="HF20" s="110"/>
      <c r="HG20" s="178" t="str">
        <f>IF(COUNT(HG21)=0,"",SUM(HG21)/COUNT(HG21))</f>
        <v/>
      </c>
      <c r="HH20" s="202" t="str">
        <f t="shared" si="46"/>
        <v/>
      </c>
      <c r="HI20" s="203">
        <f>IF(COUNT(HI21)=0,"",SUM(HI21)/COUNT(HI21))</f>
        <v>3</v>
      </c>
      <c r="HJ20" s="204" t="str">
        <f t="shared" si="47"/>
        <v>B</v>
      </c>
      <c r="HK20" s="215"/>
      <c r="HL20" s="84"/>
      <c r="HM20" s="104"/>
      <c r="HN20" s="178">
        <f>IF(COUNT(HN21)=0,"",SUM(HN21)/COUNT(HN21))</f>
        <v>2</v>
      </c>
      <c r="HO20" s="179" t="str">
        <f t="shared" si="48"/>
        <v>C</v>
      </c>
      <c r="HP20" s="171"/>
      <c r="HQ20" s="84"/>
      <c r="HR20" s="84"/>
      <c r="HS20" s="178" t="str">
        <f>IF(COUNT(HS21)=0,"",SUM(HS21)/COUNT(HS21))</f>
        <v/>
      </c>
      <c r="HT20" s="194" t="str">
        <f t="shared" si="49"/>
        <v/>
      </c>
      <c r="HU20" s="172"/>
      <c r="HV20" s="109"/>
      <c r="HW20" s="109"/>
      <c r="HX20" s="110"/>
      <c r="HY20" s="178" t="str">
        <f>IF(COUNT(HY21)=0,"",SUM(HY21)/COUNT(HY21))</f>
        <v/>
      </c>
      <c r="HZ20" s="202" t="str">
        <f t="shared" si="50"/>
        <v/>
      </c>
      <c r="IA20" s="203">
        <f>IF(COUNT(IA21)=0,"",SUM(IA21)/COUNT(IA21))</f>
        <v>2</v>
      </c>
      <c r="IB20" s="204" t="str">
        <f t="shared" si="51"/>
        <v>C</v>
      </c>
      <c r="IC20" s="215"/>
      <c r="ID20" s="84"/>
      <c r="IE20" s="104"/>
      <c r="IF20" s="178">
        <f>IF(COUNT(IF21)=0,"",SUM(IF21)/COUNT(IF21))</f>
        <v>2</v>
      </c>
      <c r="IG20" s="179" t="str">
        <f t="shared" si="52"/>
        <v>C</v>
      </c>
      <c r="IH20" s="171"/>
      <c r="II20" s="84"/>
      <c r="IJ20" s="84"/>
      <c r="IK20" s="178" t="str">
        <f>IF(COUNT(IK21)=0,"",SUM(IK21)/COUNT(IK21))</f>
        <v/>
      </c>
      <c r="IL20" s="194" t="str">
        <f t="shared" si="53"/>
        <v/>
      </c>
      <c r="IM20" s="172"/>
      <c r="IN20" s="109"/>
      <c r="IO20" s="109"/>
      <c r="IP20" s="110"/>
      <c r="IQ20" s="178" t="str">
        <f>IF(COUNT(IQ21)=0,"",SUM(IQ21)/COUNT(IQ21))</f>
        <v/>
      </c>
      <c r="IR20" s="202" t="str">
        <f t="shared" si="54"/>
        <v/>
      </c>
      <c r="IS20" s="203">
        <f>IF(COUNT(IS21)=0,"",SUM(IS21)/COUNT(IS21))</f>
        <v>2</v>
      </c>
      <c r="IT20" s="204" t="str">
        <f t="shared" si="55"/>
        <v>C</v>
      </c>
      <c r="IU20" s="215"/>
      <c r="IV20" s="84"/>
      <c r="IW20" s="104"/>
      <c r="IX20" s="178">
        <f>IF(COUNT(IX21)=0,"",SUM(IX21)/COUNT(IX21))</f>
        <v>2</v>
      </c>
      <c r="IY20" s="179" t="str">
        <f t="shared" si="56"/>
        <v>C</v>
      </c>
      <c r="IZ20" s="171"/>
      <c r="JA20" s="84"/>
      <c r="JB20" s="84"/>
      <c r="JC20" s="178" t="str">
        <f>IF(COUNT(JC21)=0,"",SUM(JC21)/COUNT(JC21))</f>
        <v/>
      </c>
      <c r="JD20" s="194" t="str">
        <f t="shared" si="57"/>
        <v/>
      </c>
      <c r="JE20" s="172"/>
      <c r="JF20" s="109"/>
      <c r="JG20" s="109"/>
      <c r="JH20" s="110"/>
      <c r="JI20" s="178" t="str">
        <f>IF(COUNT(JI21)=0,"",SUM(JI21)/COUNT(JI21))</f>
        <v/>
      </c>
      <c r="JJ20" s="202" t="str">
        <f t="shared" si="58"/>
        <v/>
      </c>
      <c r="JK20" s="203">
        <f>IF(COUNT(JK21)=0,"",SUM(JK21)/COUNT(JK21))</f>
        <v>2</v>
      </c>
      <c r="JL20" s="204" t="str">
        <f t="shared" si="59"/>
        <v>C</v>
      </c>
      <c r="JM20" s="215"/>
      <c r="JN20" s="84"/>
      <c r="JO20" s="104"/>
      <c r="JP20" s="178">
        <f>IF(COUNT(JP21)=0,"",SUM(JP21)/COUNT(JP21))</f>
        <v>1</v>
      </c>
      <c r="JQ20" s="179" t="str">
        <f t="shared" si="60"/>
        <v>D</v>
      </c>
      <c r="JR20" s="171"/>
      <c r="JS20" s="84"/>
      <c r="JT20" s="84"/>
      <c r="JU20" s="178" t="str">
        <f>IF(COUNT(JU21)=0,"",SUM(JU21)/COUNT(JU21))</f>
        <v/>
      </c>
      <c r="JV20" s="194" t="str">
        <f t="shared" si="61"/>
        <v/>
      </c>
      <c r="JW20" s="172"/>
      <c r="JX20" s="109"/>
      <c r="JY20" s="109"/>
      <c r="JZ20" s="110"/>
      <c r="KA20" s="178" t="str">
        <f>IF(COUNT(KA21)=0,"",SUM(KA21)/COUNT(KA21))</f>
        <v/>
      </c>
      <c r="KB20" s="202" t="str">
        <f t="shared" si="62"/>
        <v/>
      </c>
      <c r="KC20" s="203">
        <f>IF(COUNT(KC21)=0,"",SUM(KC21)/COUNT(KC21))</f>
        <v>1</v>
      </c>
      <c r="KD20" s="204" t="str">
        <f t="shared" si="63"/>
        <v>D</v>
      </c>
      <c r="KE20" s="215"/>
      <c r="KF20" s="84"/>
      <c r="KG20" s="104"/>
      <c r="KH20" s="178">
        <f>IF(COUNT(KH21)=0,"",SUM(KH21)/COUNT(KH21))</f>
        <v>1</v>
      </c>
      <c r="KI20" s="179" t="str">
        <f t="shared" si="64"/>
        <v>D</v>
      </c>
      <c r="KJ20" s="171"/>
      <c r="KK20" s="84"/>
      <c r="KL20" s="84"/>
      <c r="KM20" s="178" t="str">
        <f>IF(COUNT(KM21)=0,"",SUM(KM21)/COUNT(KM21))</f>
        <v/>
      </c>
      <c r="KN20" s="194" t="str">
        <f t="shared" si="65"/>
        <v/>
      </c>
      <c r="KO20" s="172"/>
      <c r="KP20" s="109"/>
      <c r="KQ20" s="109"/>
      <c r="KR20" s="110"/>
      <c r="KS20" s="178" t="str">
        <f>IF(COUNT(KS21)=0,"",SUM(KS21)/COUNT(KS21))</f>
        <v/>
      </c>
      <c r="KT20" s="202" t="str">
        <f t="shared" si="66"/>
        <v/>
      </c>
      <c r="KU20" s="203">
        <f>IF(COUNT(KU21)=0,"",SUM(KU21)/COUNT(KU21))</f>
        <v>1</v>
      </c>
      <c r="KV20" s="204" t="str">
        <f t="shared" si="67"/>
        <v>D</v>
      </c>
      <c r="KW20" s="215"/>
      <c r="KX20" s="84"/>
      <c r="KY20" s="104"/>
      <c r="KZ20" s="178">
        <f>IF(COUNT(KZ21)=0,"",SUM(KZ21)/COUNT(KZ21))</f>
        <v>2</v>
      </c>
      <c r="LA20" s="179" t="str">
        <f t="shared" si="68"/>
        <v>C</v>
      </c>
      <c r="LB20" s="171"/>
      <c r="LC20" s="84"/>
      <c r="LD20" s="84"/>
      <c r="LE20" s="178" t="str">
        <f>IF(COUNT(LE21)=0,"",SUM(LE21)/COUNT(LE21))</f>
        <v/>
      </c>
      <c r="LF20" s="194" t="str">
        <f t="shared" si="69"/>
        <v/>
      </c>
      <c r="LG20" s="172"/>
      <c r="LH20" s="109"/>
      <c r="LI20" s="109"/>
      <c r="LJ20" s="110"/>
      <c r="LK20" s="178" t="str">
        <f>IF(COUNT(LK21)=0,"",SUM(LK21)/COUNT(LK21))</f>
        <v/>
      </c>
      <c r="LL20" s="202" t="str">
        <f t="shared" si="70"/>
        <v/>
      </c>
      <c r="LM20" s="203">
        <f>IF(COUNT(LM21)=0,"",SUM(LM21)/COUNT(LM21))</f>
        <v>2</v>
      </c>
      <c r="LN20" s="204" t="str">
        <f t="shared" si="71"/>
        <v>C</v>
      </c>
      <c r="LO20" s="215"/>
      <c r="LP20" s="84"/>
      <c r="LQ20" s="104"/>
      <c r="LR20" s="178">
        <f>IF(COUNT(LR21)=0,"",SUM(LR21)/COUNT(LR21))</f>
        <v>2</v>
      </c>
      <c r="LS20" s="179" t="str">
        <f t="shared" si="72"/>
        <v>C</v>
      </c>
      <c r="LT20" s="171"/>
      <c r="LU20" s="84"/>
      <c r="LV20" s="84"/>
      <c r="LW20" s="178" t="str">
        <f>IF(COUNT(LW21)=0,"",SUM(LW21)/COUNT(LW21))</f>
        <v/>
      </c>
      <c r="LX20" s="194" t="str">
        <f t="shared" si="73"/>
        <v/>
      </c>
      <c r="LY20" s="172"/>
      <c r="LZ20" s="109"/>
      <c r="MA20" s="109"/>
      <c r="MB20" s="110"/>
      <c r="MC20" s="178" t="str">
        <f>IF(COUNT(MC21)=0,"",SUM(MC21)/COUNT(MC21))</f>
        <v/>
      </c>
      <c r="MD20" s="202" t="str">
        <f t="shared" si="74"/>
        <v/>
      </c>
      <c r="ME20" s="203">
        <f>IF(COUNT(ME21)=0,"",SUM(ME21)/COUNT(ME21))</f>
        <v>2</v>
      </c>
      <c r="MF20" s="204" t="str">
        <f t="shared" si="75"/>
        <v>C</v>
      </c>
      <c r="MG20" s="215"/>
      <c r="MH20" s="84"/>
      <c r="MI20" s="104"/>
      <c r="MJ20" s="178">
        <f>IF(COUNT(MJ21)=0,"",SUM(MJ21)/COUNT(MJ21))</f>
        <v>1</v>
      </c>
      <c r="MK20" s="179" t="str">
        <f t="shared" si="76"/>
        <v>D</v>
      </c>
      <c r="ML20" s="171"/>
      <c r="MM20" s="84"/>
      <c r="MN20" s="84"/>
      <c r="MO20" s="178" t="str">
        <f>IF(COUNT(MO21)=0,"",SUM(MO21)/COUNT(MO21))</f>
        <v/>
      </c>
      <c r="MP20" s="194" t="str">
        <f t="shared" si="77"/>
        <v/>
      </c>
      <c r="MQ20" s="172"/>
      <c r="MR20" s="109"/>
      <c r="MS20" s="109"/>
      <c r="MT20" s="110"/>
      <c r="MU20" s="178" t="str">
        <f>IF(COUNT(MU21)=0,"",SUM(MU21)/COUNT(MU21))</f>
        <v/>
      </c>
      <c r="MV20" s="202" t="str">
        <f t="shared" si="78"/>
        <v/>
      </c>
      <c r="MW20" s="203">
        <f>IF(COUNT(MW21)=0,"",SUM(MW21)/COUNT(MW21))</f>
        <v>1</v>
      </c>
      <c r="MX20" s="204" t="str">
        <f t="shared" si="79"/>
        <v>D</v>
      </c>
      <c r="MY20" s="215"/>
      <c r="MZ20" s="84"/>
      <c r="NA20" s="104"/>
      <c r="NB20" s="178">
        <f>IF(COUNT(NB21)=0,"",SUM(NB21)/COUNT(NB21))</f>
        <v>3</v>
      </c>
      <c r="NC20" s="179" t="str">
        <f t="shared" si="80"/>
        <v>B</v>
      </c>
      <c r="ND20" s="171"/>
      <c r="NE20" s="84"/>
      <c r="NF20" s="84"/>
      <c r="NG20" s="178" t="str">
        <f>IF(COUNT(NG21)=0,"",SUM(NG21)/COUNT(NG21))</f>
        <v/>
      </c>
      <c r="NH20" s="194" t="str">
        <f t="shared" si="81"/>
        <v/>
      </c>
      <c r="NI20" s="172"/>
      <c r="NJ20" s="109"/>
      <c r="NK20" s="109"/>
      <c r="NL20" s="110"/>
      <c r="NM20" s="178" t="str">
        <f>IF(COUNT(NM21)=0,"",SUM(NM21)/COUNT(NM21))</f>
        <v/>
      </c>
      <c r="NN20" s="202" t="str">
        <f t="shared" si="82"/>
        <v/>
      </c>
      <c r="NO20" s="203">
        <f>IF(COUNT(NO21)=0,"",SUM(NO21)/COUNT(NO21))</f>
        <v>3</v>
      </c>
      <c r="NP20" s="204" t="str">
        <f t="shared" si="83"/>
        <v>B</v>
      </c>
      <c r="NQ20" s="215"/>
      <c r="NR20" s="84"/>
      <c r="NS20" s="104"/>
      <c r="NT20" s="178">
        <f>IF(COUNT(NT21)=0,"",SUM(NT21)/COUNT(NT21))</f>
        <v>2</v>
      </c>
      <c r="NU20" s="179" t="str">
        <f t="shared" si="84"/>
        <v>C</v>
      </c>
      <c r="NV20" s="171"/>
      <c r="NW20" s="84"/>
      <c r="NX20" s="84"/>
      <c r="NY20" s="178" t="str">
        <f>IF(COUNT(NY21)=0,"",SUM(NY21)/COUNT(NY21))</f>
        <v/>
      </c>
      <c r="NZ20" s="194" t="str">
        <f t="shared" si="85"/>
        <v/>
      </c>
      <c r="OA20" s="172"/>
      <c r="OB20" s="109"/>
      <c r="OC20" s="109"/>
      <c r="OD20" s="110"/>
      <c r="OE20" s="178" t="str">
        <f>IF(COUNT(OE21)=0,"",SUM(OE21)/COUNT(OE21))</f>
        <v/>
      </c>
      <c r="OF20" s="202" t="str">
        <f t="shared" si="86"/>
        <v/>
      </c>
      <c r="OG20" s="203">
        <f>IF(COUNT(OG21)=0,"",SUM(OG21)/COUNT(OG21))</f>
        <v>2</v>
      </c>
      <c r="OH20" s="204" t="str">
        <f t="shared" si="87"/>
        <v>C</v>
      </c>
      <c r="OI20" s="215"/>
      <c r="OJ20" s="84"/>
      <c r="OK20" s="104"/>
      <c r="OL20" s="178">
        <f>IF(COUNT(OL21)=0,"",SUM(OL21)/COUNT(OL21))</f>
        <v>4</v>
      </c>
      <c r="OM20" s="179" t="str">
        <f t="shared" si="88"/>
        <v>A</v>
      </c>
      <c r="ON20" s="171"/>
      <c r="OO20" s="84"/>
      <c r="OP20" s="84"/>
      <c r="OQ20" s="178" t="str">
        <f>IF(COUNT(OQ21)=0,"",SUM(OQ21)/COUNT(OQ21))</f>
        <v/>
      </c>
      <c r="OR20" s="194" t="str">
        <f t="shared" si="89"/>
        <v/>
      </c>
      <c r="OS20" s="172"/>
      <c r="OT20" s="109"/>
      <c r="OU20" s="109"/>
      <c r="OV20" s="110"/>
      <c r="OW20" s="178" t="str">
        <f>IF(COUNT(OW21)=0,"",SUM(OW21)/COUNT(OW21))</f>
        <v/>
      </c>
      <c r="OX20" s="202" t="str">
        <f t="shared" si="90"/>
        <v/>
      </c>
      <c r="OY20" s="203">
        <f>IF(COUNT(OY21)=0,"",SUM(OY21)/COUNT(OY21))</f>
        <v>4</v>
      </c>
      <c r="OZ20" s="204" t="str">
        <f t="shared" si="91"/>
        <v>A</v>
      </c>
      <c r="PA20" s="215"/>
      <c r="PB20" s="84"/>
      <c r="PC20" s="104"/>
      <c r="PD20" s="178" t="str">
        <f>IF(COUNT(PD21)=0,"",SUM(PD21)/COUNT(PD21))</f>
        <v/>
      </c>
      <c r="PE20" s="179" t="str">
        <f t="shared" si="92"/>
        <v/>
      </c>
      <c r="PF20" s="171"/>
      <c r="PG20" s="84"/>
      <c r="PH20" s="84"/>
      <c r="PI20" s="178" t="str">
        <f>IF(COUNT(PI21)=0,"",SUM(PI21)/COUNT(PI21))</f>
        <v/>
      </c>
      <c r="PJ20" s="194" t="str">
        <f t="shared" si="93"/>
        <v/>
      </c>
      <c r="PK20" s="172"/>
      <c r="PL20" s="109"/>
      <c r="PM20" s="109"/>
      <c r="PN20" s="110"/>
      <c r="PO20" s="178" t="str">
        <f>IF(COUNT(PO21)=0,"",SUM(PO21)/COUNT(PO21))</f>
        <v/>
      </c>
      <c r="PP20" s="202" t="str">
        <f t="shared" si="94"/>
        <v/>
      </c>
      <c r="PQ20" s="203" t="str">
        <f>IF(COUNT(PQ21)=0,"",SUM(PQ21)/COUNT(PQ21))</f>
        <v/>
      </c>
      <c r="PR20" s="204" t="str">
        <f t="shared" si="95"/>
        <v/>
      </c>
      <c r="PS20" s="215"/>
      <c r="PT20" s="84"/>
      <c r="PU20" s="104"/>
      <c r="PV20" s="178">
        <f>IF(COUNT(PV21)=0,"",SUM(PV21)/COUNT(PV21))</f>
        <v>3</v>
      </c>
      <c r="PW20" s="179" t="str">
        <f t="shared" si="96"/>
        <v>B</v>
      </c>
      <c r="PX20" s="171"/>
      <c r="PY20" s="84"/>
      <c r="PZ20" s="84"/>
      <c r="QA20" s="178" t="str">
        <f>IF(COUNT(QA21)=0,"",SUM(QA21)/COUNT(QA21))</f>
        <v/>
      </c>
      <c r="QB20" s="194" t="str">
        <f t="shared" si="97"/>
        <v/>
      </c>
      <c r="QC20" s="172"/>
      <c r="QD20" s="109"/>
      <c r="QE20" s="109"/>
      <c r="QF20" s="110"/>
      <c r="QG20" s="178" t="str">
        <f>IF(COUNT(QG21)=0,"",SUM(QG21)/COUNT(QG21))</f>
        <v/>
      </c>
      <c r="QH20" s="202" t="str">
        <f t="shared" si="98"/>
        <v/>
      </c>
      <c r="QI20" s="203">
        <f>IF(COUNT(QI21)=0,"",SUM(QI21)/COUNT(QI21))</f>
        <v>3</v>
      </c>
      <c r="QJ20" s="204" t="str">
        <f t="shared" si="99"/>
        <v>B</v>
      </c>
      <c r="QK20" s="215"/>
      <c r="QL20" s="84"/>
      <c r="QM20" s="104"/>
      <c r="QN20" s="178">
        <f>IF(COUNT(QN21)=0,"",SUM(QN21)/COUNT(QN21))</f>
        <v>2</v>
      </c>
      <c r="QO20" s="179" t="str">
        <f t="shared" si="100"/>
        <v>C</v>
      </c>
      <c r="QP20" s="171"/>
      <c r="QQ20" s="84"/>
      <c r="QR20" s="84"/>
      <c r="QS20" s="178" t="str">
        <f>IF(COUNT(QS21)=0,"",SUM(QS21)/COUNT(QS21))</f>
        <v/>
      </c>
      <c r="QT20" s="194" t="str">
        <f t="shared" si="101"/>
        <v/>
      </c>
      <c r="QU20" s="172"/>
      <c r="QV20" s="109"/>
      <c r="QW20" s="109"/>
      <c r="QX20" s="110"/>
      <c r="QY20" s="178" t="str">
        <f>IF(COUNT(QY21)=0,"",SUM(QY21)/COUNT(QY21))</f>
        <v/>
      </c>
      <c r="QZ20" s="202" t="str">
        <f t="shared" si="102"/>
        <v/>
      </c>
      <c r="RA20" s="203">
        <f>IF(COUNT(RA21)=0,"",SUM(RA21)/COUNT(RA21))</f>
        <v>2</v>
      </c>
      <c r="RB20" s="204" t="str">
        <f t="shared" si="103"/>
        <v>C</v>
      </c>
      <c r="RC20" s="215"/>
      <c r="RD20" s="84"/>
      <c r="RE20" s="104"/>
      <c r="RF20" s="178">
        <f>IF(COUNT(RF21)=0,"",SUM(RF21)/COUNT(RF21))</f>
        <v>3</v>
      </c>
      <c r="RG20" s="179" t="str">
        <f t="shared" si="104"/>
        <v>B</v>
      </c>
      <c r="RH20" s="171"/>
      <c r="RI20" s="84"/>
      <c r="RJ20" s="84"/>
      <c r="RK20" s="178" t="str">
        <f>IF(COUNT(RK21)=0,"",SUM(RK21)/COUNT(RK21))</f>
        <v/>
      </c>
      <c r="RL20" s="194" t="str">
        <f t="shared" si="105"/>
        <v/>
      </c>
      <c r="RM20" s="172"/>
      <c r="RN20" s="109"/>
      <c r="RO20" s="109"/>
      <c r="RP20" s="110"/>
      <c r="RQ20" s="178" t="str">
        <f>IF(COUNT(RQ21)=0,"",SUM(RQ21)/COUNT(RQ21))</f>
        <v/>
      </c>
      <c r="RR20" s="202" t="str">
        <f t="shared" si="106"/>
        <v/>
      </c>
      <c r="RS20" s="203">
        <f>IF(COUNT(RS21)=0,"",SUM(RS21)/COUNT(RS21))</f>
        <v>3</v>
      </c>
      <c r="RT20" s="204" t="str">
        <f t="shared" si="107"/>
        <v>B</v>
      </c>
      <c r="RU20" s="215"/>
      <c r="RV20" s="84"/>
      <c r="RW20" s="104"/>
      <c r="RX20" s="178">
        <f>IF(COUNT(RX21)=0,"",SUM(RX21)/COUNT(RX21))</f>
        <v>4</v>
      </c>
      <c r="RY20" s="179" t="str">
        <f t="shared" si="108"/>
        <v>A</v>
      </c>
      <c r="RZ20" s="171"/>
      <c r="SA20" s="84"/>
      <c r="SB20" s="84"/>
      <c r="SC20" s="178" t="str">
        <f>IF(COUNT(SC21)=0,"",SUM(SC21)/COUNT(SC21))</f>
        <v/>
      </c>
      <c r="SD20" s="194" t="str">
        <f t="shared" si="109"/>
        <v/>
      </c>
      <c r="SE20" s="172"/>
      <c r="SF20" s="109"/>
      <c r="SG20" s="109"/>
      <c r="SH20" s="110"/>
      <c r="SI20" s="178" t="str">
        <f>IF(COUNT(SI21)=0,"",SUM(SI21)/COUNT(SI21))</f>
        <v/>
      </c>
      <c r="SJ20" s="202" t="str">
        <f t="shared" si="110"/>
        <v/>
      </c>
      <c r="SK20" s="203">
        <f>IF(COUNT(SK21)=0,"",SUM(SK21)/COUNT(SK21))</f>
        <v>4</v>
      </c>
      <c r="SL20" s="204" t="str">
        <f t="shared" si="111"/>
        <v>A</v>
      </c>
      <c r="SM20" s="215"/>
      <c r="SN20" s="84"/>
      <c r="SO20" s="104"/>
      <c r="SP20" s="178">
        <f>IF(COUNT(SP21)=0,"",SUM(SP21)/COUNT(SP21))</f>
        <v>3</v>
      </c>
      <c r="SQ20" s="179" t="str">
        <f t="shared" si="112"/>
        <v>B</v>
      </c>
      <c r="SR20" s="171"/>
      <c r="SS20" s="84"/>
      <c r="ST20" s="84"/>
      <c r="SU20" s="178" t="str">
        <f>IF(COUNT(SU21)=0,"",SUM(SU21)/COUNT(SU21))</f>
        <v/>
      </c>
      <c r="SV20" s="194" t="str">
        <f t="shared" si="113"/>
        <v/>
      </c>
      <c r="SW20" s="172"/>
      <c r="SX20" s="109"/>
      <c r="SY20" s="109"/>
      <c r="SZ20" s="110"/>
      <c r="TA20" s="178" t="str">
        <f>IF(COUNT(TA21)=0,"",SUM(TA21)/COUNT(TA21))</f>
        <v/>
      </c>
      <c r="TB20" s="202" t="str">
        <f t="shared" si="114"/>
        <v/>
      </c>
      <c r="TC20" s="203">
        <f>IF(COUNT(TC21)=0,"",SUM(TC21)/COUNT(TC21))</f>
        <v>3</v>
      </c>
      <c r="TD20" s="204" t="str">
        <f t="shared" si="115"/>
        <v>B</v>
      </c>
      <c r="TE20" s="215"/>
      <c r="TF20" s="84"/>
      <c r="TG20" s="104"/>
      <c r="TH20" s="178">
        <f>IF(COUNT(TH21)=0,"",SUM(TH21)/COUNT(TH21))</f>
        <v>1</v>
      </c>
      <c r="TI20" s="179" t="str">
        <f t="shared" si="116"/>
        <v>D</v>
      </c>
      <c r="TJ20" s="171"/>
      <c r="TK20" s="84"/>
      <c r="TL20" s="84"/>
      <c r="TM20" s="178" t="str">
        <f>IF(COUNT(TM21)=0,"",SUM(TM21)/COUNT(TM21))</f>
        <v/>
      </c>
      <c r="TN20" s="194" t="str">
        <f t="shared" si="117"/>
        <v/>
      </c>
      <c r="TO20" s="172"/>
      <c r="TP20" s="109"/>
      <c r="TQ20" s="109"/>
      <c r="TR20" s="110"/>
      <c r="TS20" s="178" t="str">
        <f>IF(COUNT(TS21)=0,"",SUM(TS21)/COUNT(TS21))</f>
        <v/>
      </c>
      <c r="TT20" s="202" t="str">
        <f t="shared" si="118"/>
        <v/>
      </c>
      <c r="TU20" s="203">
        <f>IF(COUNT(TU21)=0,"",SUM(TU21)/COUNT(TU21))</f>
        <v>1</v>
      </c>
      <c r="TV20" s="204" t="str">
        <f t="shared" si="119"/>
        <v>D</v>
      </c>
    </row>
    <row r="21" spans="1:542" ht="18" customHeight="1" thickBot="1" x14ac:dyDescent="0.3">
      <c r="A21" s="240" t="s">
        <v>25</v>
      </c>
      <c r="B21" s="241"/>
      <c r="C21" s="143"/>
      <c r="D21" s="144" t="s">
        <v>29</v>
      </c>
      <c r="E21" s="145"/>
      <c r="F21" s="186">
        <f>IFERROR((((COUNTIF('Elève (5ème1)'!C21:E21,"A"))*4)+((COUNTIF('Elève (5ème1)'!C21:E21,"B"))*3)+((COUNTIF('Elève (5ème1)'!C21:E21,"C"))*2)+((COUNTIF('Elève (5ème1)'!C21:E21,"D"))*1))/(COUNTA(C21:E21)),"")</f>
        <v>2</v>
      </c>
      <c r="G21" s="187" t="str">
        <f t="shared" si="0"/>
        <v>C</v>
      </c>
      <c r="H21" s="143"/>
      <c r="I21" s="144"/>
      <c r="J21" s="145"/>
      <c r="K21" s="186" t="str">
        <f>IFERROR((((COUNTIF('Elève (5ème1)'!H21:J21,"A"))*4)+((COUNTIF('Elève (5ème1)'!H21:J21,"B"))*3)+((COUNTIF('Elève (5ème1)'!H21:J21,"C"))*2)+((COUNTIF('Elève (5ème1)'!H21:J21,"D"))*1))/(COUNTA(H21:J21)),"")</f>
        <v/>
      </c>
      <c r="L21" s="187" t="str">
        <f t="shared" si="1"/>
        <v/>
      </c>
      <c r="M21" s="143"/>
      <c r="N21" s="144"/>
      <c r="O21" s="145"/>
      <c r="P21" s="145"/>
      <c r="Q21" s="186" t="str">
        <f>IFERROR((((COUNTIF('Elève (5ème1)'!M21:P21,"A"))*4)+((COUNTIF('Elève (5ème1)'!M21:P21,"B"))*3)+((COUNTIF('Elève (5ème1)'!M21:P21,"C"))*2)+((COUNTIF('Elève (5ème1)'!M21:P21,"D"))*1))/(COUNTA(M21:P21)),"")</f>
        <v/>
      </c>
      <c r="R21" s="187" t="str">
        <f t="shared" si="2"/>
        <v/>
      </c>
      <c r="S21" s="186">
        <f>IF(COUNT(F21,K21,Q21)=0,"",SUM(F21,K21,Q21)/COUNT(F21,K21,Q21))</f>
        <v>2</v>
      </c>
      <c r="T21" s="211" t="str">
        <f t="shared" si="3"/>
        <v>C</v>
      </c>
      <c r="U21" s="143"/>
      <c r="V21" s="144" t="s">
        <v>30</v>
      </c>
      <c r="W21" s="145"/>
      <c r="X21" s="186">
        <f>IFERROR((((COUNTIF('Elève (5ème1)'!U21:W21,"A"))*4)+((COUNTIF('Elève (5ème1)'!U21:W21,"B"))*3)+((COUNTIF('Elève (5ème1)'!U21:W21,"C"))*2)+((COUNTIF('Elève (5ème1)'!U21:W21,"D"))*1))/(COUNTA(U21:W21)),"")</f>
        <v>1</v>
      </c>
      <c r="Y21" s="187" t="str">
        <f t="shared" si="4"/>
        <v>D</v>
      </c>
      <c r="Z21" s="143"/>
      <c r="AA21" s="144"/>
      <c r="AB21" s="145"/>
      <c r="AC21" s="186" t="str">
        <f>IFERROR((((COUNTIF('Elève (5ème1)'!Z21:AB21,"A"))*4)+((COUNTIF('Elève (5ème1)'!Z21:AB21,"B"))*3)+((COUNTIF('Elève (5ème1)'!Z21:AB21,"C"))*2)+((COUNTIF('Elève (5ème1)'!Z21:AB21,"D"))*1))/(COUNTA(Z21:AB21)),"")</f>
        <v/>
      </c>
      <c r="AD21" s="187" t="str">
        <f t="shared" si="5"/>
        <v/>
      </c>
      <c r="AE21" s="143"/>
      <c r="AF21" s="144"/>
      <c r="AG21" s="145"/>
      <c r="AH21" s="149"/>
      <c r="AI21" s="186" t="str">
        <f>IFERROR((((COUNTIF('Elève (5ème1)'!AE21:AH21,"A"))*4)+((COUNTIF('Elève (5ème1)'!AE21:AH21,"B"))*3)+((COUNTIF('Elève (5ème1)'!AE21:AH21,"C"))*2)+((COUNTIF('Elève (5ème1)'!AE21:AH21,"D"))*1))/(COUNTA(AE21:AH21)),"")</f>
        <v/>
      </c>
      <c r="AJ21" s="187" t="str">
        <f t="shared" si="6"/>
        <v/>
      </c>
      <c r="AK21" s="186">
        <f>IF(COUNT(X21,AC21,AI21)=0,"",SUM(X21,AC21,AI21)/COUNT(X21,AC21,AI21))</f>
        <v>1</v>
      </c>
      <c r="AL21" s="211" t="str">
        <f t="shared" si="7"/>
        <v>D</v>
      </c>
      <c r="AM21" s="143"/>
      <c r="AN21" s="144" t="s">
        <v>29</v>
      </c>
      <c r="AO21" s="145"/>
      <c r="AP21" s="186">
        <f>IFERROR((((COUNTIF('Elève (5ème1)'!AM21:AO21,"A"))*4)+((COUNTIF('Elève (5ème1)'!AM21:AO21,"B"))*3)+((COUNTIF('Elève (5ème1)'!AM21:AO21,"C"))*2)+((COUNTIF('Elève (5ème1)'!AM21:AO21,"D"))*1))/(COUNTA(AM21:AO21)),"")</f>
        <v>2</v>
      </c>
      <c r="AQ21" s="187" t="str">
        <f t="shared" si="8"/>
        <v>C</v>
      </c>
      <c r="AR21" s="143"/>
      <c r="AS21" s="144"/>
      <c r="AT21" s="145"/>
      <c r="AU21" s="186" t="str">
        <f>IFERROR((((COUNTIF('Elève (5ème1)'!AR21:AT21,"A"))*4)+((COUNTIF('Elève (5ème1)'!AR21:AT21,"B"))*3)+((COUNTIF('Elève (5ème1)'!AR21:AT21,"C"))*2)+((COUNTIF('Elève (5ème1)'!AR21:AT21,"D"))*1))/(COUNTA(AR21:AT21)),"")</f>
        <v/>
      </c>
      <c r="AV21" s="187" t="str">
        <f t="shared" si="9"/>
        <v/>
      </c>
      <c r="AW21" s="143"/>
      <c r="AX21" s="144"/>
      <c r="AY21" s="145"/>
      <c r="AZ21" s="149"/>
      <c r="BA21" s="186" t="str">
        <f>IFERROR((((COUNTIF('Elève (5ème1)'!AW21:AZ21,"A"))*4)+((COUNTIF('Elève (5ème1)'!AW21:AZ21,"B"))*3)+((COUNTIF('Elève (5ème1)'!AW21:AZ21,"C"))*2)+((COUNTIF('Elève (5ème1)'!AW21:AZ21,"D"))*1))/(COUNTA(AW21:AZ21)),"")</f>
        <v/>
      </c>
      <c r="BB21" s="187" t="str">
        <f t="shared" si="10"/>
        <v/>
      </c>
      <c r="BC21" s="186">
        <f>IF(COUNT(AP21,AU21,BA21)=0,"",SUM(AP21,AU21,BA21)/COUNT(AP21,AU21,BA21))</f>
        <v>2</v>
      </c>
      <c r="BD21" s="211" t="str">
        <f t="shared" si="11"/>
        <v>C</v>
      </c>
      <c r="BE21" s="143"/>
      <c r="BF21" s="144" t="s">
        <v>27</v>
      </c>
      <c r="BG21" s="145"/>
      <c r="BH21" s="186">
        <f>IFERROR((((COUNTIF('Elève (5ème1)'!BE21:BG21,"A"))*4)+((COUNTIF('Elève (5ème1)'!BE21:BG21,"B"))*3)+((COUNTIF('Elève (5ème1)'!BE21:BG21,"C"))*2)+((COUNTIF('Elève (5ème1)'!BE21:BG21,"D"))*1))/(COUNTA(BE21:BG21)),"")</f>
        <v>4</v>
      </c>
      <c r="BI21" s="187" t="str">
        <f t="shared" si="12"/>
        <v>A</v>
      </c>
      <c r="BJ21" s="143"/>
      <c r="BK21" s="144"/>
      <c r="BL21" s="145"/>
      <c r="BM21" s="186" t="str">
        <f>IFERROR((((COUNTIF('Elève (5ème1)'!BJ21:BL21,"A"))*4)+((COUNTIF('Elève (5ème1)'!BJ21:BL21,"B"))*3)+((COUNTIF('Elève (5ème1)'!BJ21:BL21,"C"))*2)+((COUNTIF('Elève (5ème1)'!BJ21:BL21,"D"))*1))/(COUNTA(BJ21:BL21)),"")</f>
        <v/>
      </c>
      <c r="BN21" s="187" t="str">
        <f t="shared" si="13"/>
        <v/>
      </c>
      <c r="BO21" s="143"/>
      <c r="BP21" s="144"/>
      <c r="BQ21" s="145"/>
      <c r="BR21" s="149"/>
      <c r="BS21" s="186" t="str">
        <f>IFERROR((((COUNTIF('Elève (5ème1)'!BO21:BR21,"A"))*4)+((COUNTIF('Elève (5ème1)'!BO21:BR21,"B"))*3)+((COUNTIF('Elève (5ème1)'!BO21:BR21,"C"))*2)+((COUNTIF('Elève (5ème1)'!BO21:BR21,"D"))*1))/(COUNTA(BO21:BR21)),"")</f>
        <v/>
      </c>
      <c r="BT21" s="187" t="str">
        <f t="shared" si="14"/>
        <v/>
      </c>
      <c r="BU21" s="186">
        <f>IF(COUNT(BH21,BM21,BS21)=0,"",SUM(BH21,BM21,BS21)/COUNT(BH21,BM21,BS21))</f>
        <v>4</v>
      </c>
      <c r="BV21" s="211" t="str">
        <f t="shared" si="15"/>
        <v>A</v>
      </c>
      <c r="BW21" s="143"/>
      <c r="BX21" s="144" t="s">
        <v>29</v>
      </c>
      <c r="BY21" s="145"/>
      <c r="BZ21" s="186">
        <f>IFERROR((((COUNTIF('Elève (5ème1)'!BW21:BY21,"A"))*4)+((COUNTIF('Elève (5ème1)'!BW21:BY21,"B"))*3)+((COUNTIF('Elève (5ème1)'!BW21:BY21,"C"))*2)+((COUNTIF('Elève (5ème1)'!BW21:BY21,"D"))*1))/(COUNTA(BW21:BY21)),"")</f>
        <v>2</v>
      </c>
      <c r="CA21" s="187" t="str">
        <f t="shared" si="16"/>
        <v>C</v>
      </c>
      <c r="CB21" s="143"/>
      <c r="CC21" s="144"/>
      <c r="CD21" s="145"/>
      <c r="CE21" s="186" t="str">
        <f>IFERROR((((COUNTIF('Elève (5ème1)'!CB21:CD21,"A"))*4)+((COUNTIF('Elève (5ème1)'!CB21:CD21,"B"))*3)+((COUNTIF('Elève (5ème1)'!CB21:CD21,"C"))*2)+((COUNTIF('Elève (5ème1)'!CB21:CD21,"D"))*1))/(COUNTA(CB21:CD21)),"")</f>
        <v/>
      </c>
      <c r="CF21" s="187" t="str">
        <f t="shared" si="17"/>
        <v/>
      </c>
      <c r="CG21" s="143"/>
      <c r="CH21" s="144"/>
      <c r="CI21" s="145"/>
      <c r="CJ21" s="149"/>
      <c r="CK21" s="186" t="str">
        <f>IFERROR((((COUNTIF('Elève (5ème1)'!CG21:CJ21,"A"))*4)+((COUNTIF('Elève (5ème1)'!CG21:CJ21,"B"))*3)+((COUNTIF('Elève (5ème1)'!CG21:CJ21,"C"))*2)+((COUNTIF('Elève (5ème1)'!CG21:CJ21,"D"))*1))/(COUNTA(CG21:CJ21)),"")</f>
        <v/>
      </c>
      <c r="CL21" s="187" t="str">
        <f t="shared" si="18"/>
        <v/>
      </c>
      <c r="CM21" s="186">
        <f>IF(COUNT(BZ21,CE21,CK21)=0,"",SUM(BZ21,CE21,CK21)/COUNT(BZ21,CE21,CK21))</f>
        <v>2</v>
      </c>
      <c r="CN21" s="211" t="str">
        <f t="shared" si="19"/>
        <v>C</v>
      </c>
      <c r="CO21" s="143"/>
      <c r="CP21" s="144" t="s">
        <v>30</v>
      </c>
      <c r="CQ21" s="145"/>
      <c r="CR21" s="186">
        <f>IFERROR((((COUNTIF('Elève (5ème1)'!CO21:CQ21,"A"))*4)+((COUNTIF('Elève (5ème1)'!CO21:CQ21,"B"))*3)+((COUNTIF('Elève (5ème1)'!CO21:CQ21,"C"))*2)+((COUNTIF('Elève (5ème1)'!CO21:CQ21,"D"))*1))/(COUNTA(CO21:CQ21)),"")</f>
        <v>1</v>
      </c>
      <c r="CS21" s="187" t="str">
        <f t="shared" si="20"/>
        <v>D</v>
      </c>
      <c r="CT21" s="143"/>
      <c r="CU21" s="144"/>
      <c r="CV21" s="145"/>
      <c r="CW21" s="186" t="str">
        <f>IFERROR((((COUNTIF('Elève (5ème1)'!CT21:CV21,"A"))*4)+((COUNTIF('Elève (5ème1)'!CT21:CV21,"B"))*3)+((COUNTIF('Elève (5ème1)'!CT21:CV21,"C"))*2)+((COUNTIF('Elève (5ème1)'!CT21:CV21,"D"))*1))/(COUNTA(CT21:CV21)),"")</f>
        <v/>
      </c>
      <c r="CX21" s="187" t="str">
        <f t="shared" si="21"/>
        <v/>
      </c>
      <c r="CY21" s="143"/>
      <c r="CZ21" s="144"/>
      <c r="DA21" s="145"/>
      <c r="DB21" s="149"/>
      <c r="DC21" s="186" t="str">
        <f>IFERROR((((COUNTIF('Elève (5ème1)'!CY21:DB21,"A"))*4)+((COUNTIF('Elève (5ème1)'!CY21:DB21,"B"))*3)+((COUNTIF('Elève (5ème1)'!CY21:DB21,"C"))*2)+((COUNTIF('Elève (5ème1)'!CY21:DB21,"D"))*1))/(COUNTA(CY21:DB21)),"")</f>
        <v/>
      </c>
      <c r="DD21" s="187" t="str">
        <f t="shared" si="22"/>
        <v/>
      </c>
      <c r="DE21" s="186">
        <f>IF(COUNT(CR21,CW21,DC21)=0,"",SUM(CR21,CW21,DC21)/COUNT(CR21,CW21,DC21))</f>
        <v>1</v>
      </c>
      <c r="DF21" s="211" t="str">
        <f t="shared" si="23"/>
        <v>D</v>
      </c>
      <c r="DG21" s="143"/>
      <c r="DH21" s="144" t="s">
        <v>30</v>
      </c>
      <c r="DI21" s="145"/>
      <c r="DJ21" s="186">
        <f>IFERROR((((COUNTIF('Elève (5ème1)'!DG21:DI21,"A"))*4)+((COUNTIF('Elève (5ème1)'!DG21:DI21,"B"))*3)+((COUNTIF('Elève (5ème1)'!DG21:DI21,"C"))*2)+((COUNTIF('Elève (5ème1)'!DG21:DI21,"D"))*1))/(COUNTA(DG21:DI21)),"")</f>
        <v>1</v>
      </c>
      <c r="DK21" s="187" t="str">
        <f t="shared" si="24"/>
        <v>D</v>
      </c>
      <c r="DL21" s="143"/>
      <c r="DM21" s="144"/>
      <c r="DN21" s="145"/>
      <c r="DO21" s="186" t="str">
        <f>IFERROR((((COUNTIF('Elève (5ème1)'!DL21:DN21,"A"))*4)+((COUNTIF('Elève (5ème1)'!DL21:DN21,"B"))*3)+((COUNTIF('Elève (5ème1)'!DL21:DN21,"C"))*2)+((COUNTIF('Elève (5ème1)'!DL21:DN21,"D"))*1))/(COUNTA(DL21:DN21)),"")</f>
        <v/>
      </c>
      <c r="DP21" s="187" t="str">
        <f t="shared" si="25"/>
        <v/>
      </c>
      <c r="DQ21" s="143"/>
      <c r="DR21" s="144"/>
      <c r="DS21" s="145"/>
      <c r="DT21" s="149"/>
      <c r="DU21" s="186" t="str">
        <f>IFERROR((((COUNTIF('Elève (5ème1)'!DQ21:DT21,"A"))*4)+((COUNTIF('Elève (5ème1)'!DQ21:DT21,"B"))*3)+((COUNTIF('Elève (5ème1)'!DQ21:DT21,"C"))*2)+((COUNTIF('Elève (5ème1)'!DQ21:DT21,"D"))*1))/(COUNTA(DQ21:DT21)),"")</f>
        <v/>
      </c>
      <c r="DV21" s="187" t="str">
        <f t="shared" si="26"/>
        <v/>
      </c>
      <c r="DW21" s="186">
        <f>IF(COUNT(DJ21,DO21,DU21)=0,"",SUM(DJ21,DO21,DU21)/COUNT(DJ21,DO21,DU21))</f>
        <v>1</v>
      </c>
      <c r="DX21" s="211" t="str">
        <f t="shared" si="27"/>
        <v>D</v>
      </c>
      <c r="DY21" s="143"/>
      <c r="DZ21" s="144" t="s">
        <v>29</v>
      </c>
      <c r="EA21" s="145"/>
      <c r="EB21" s="186">
        <f>IFERROR((((COUNTIF('Elève (5ème1)'!DY21:EA21,"A"))*4)+((COUNTIF('Elève (5ème1)'!DY21:EA21,"B"))*3)+((COUNTIF('Elève (5ème1)'!DY21:EA21,"C"))*2)+((COUNTIF('Elève (5ème1)'!DY21:EA21,"D"))*1))/(COUNTA(DY21:EA21)),"")</f>
        <v>2</v>
      </c>
      <c r="EC21" s="187" t="str">
        <f t="shared" si="28"/>
        <v>C</v>
      </c>
      <c r="ED21" s="143"/>
      <c r="EE21" s="144"/>
      <c r="EF21" s="145"/>
      <c r="EG21" s="186" t="str">
        <f>IFERROR((((COUNTIF('Elève (5ème1)'!ED21:EF21,"A"))*4)+((COUNTIF('Elève (5ème1)'!ED21:EF21,"B"))*3)+((COUNTIF('Elève (5ème1)'!ED21:EF21,"C"))*2)+((COUNTIF('Elève (5ème1)'!ED21:EF21,"D"))*1))/(COUNTA(ED21:EF21)),"")</f>
        <v/>
      </c>
      <c r="EH21" s="187" t="str">
        <f t="shared" si="29"/>
        <v/>
      </c>
      <c r="EI21" s="143"/>
      <c r="EJ21" s="144"/>
      <c r="EK21" s="145"/>
      <c r="EL21" s="149"/>
      <c r="EM21" s="186" t="str">
        <f>IFERROR((((COUNTIF('Elève (5ème1)'!EI21:EL21,"A"))*4)+((COUNTIF('Elève (5ème1)'!EI21:EL21,"B"))*3)+((COUNTIF('Elève (5ème1)'!EI21:EL21,"C"))*2)+((COUNTIF('Elève (5ème1)'!EI21:EL21,"D"))*1))/(COUNTA(EI21:EL21)),"")</f>
        <v/>
      </c>
      <c r="EN21" s="187" t="str">
        <f t="shared" si="30"/>
        <v/>
      </c>
      <c r="EO21" s="186">
        <f>IF(COUNT(EB21,EG21,EM21)=0,"",SUM(EB21,EG21,EM21)/COUNT(EB21,EG21,EM21))</f>
        <v>2</v>
      </c>
      <c r="EP21" s="211" t="str">
        <f t="shared" si="31"/>
        <v>C</v>
      </c>
      <c r="EQ21" s="143"/>
      <c r="ER21" s="144"/>
      <c r="ES21" s="145"/>
      <c r="ET21" s="186" t="str">
        <f>IFERROR((((COUNTIF('Elève (5ème1)'!EQ21:ES21,"A"))*4)+((COUNTIF('Elève (5ème1)'!EQ21:ES21,"B"))*3)+((COUNTIF('Elève (5ème1)'!EQ21:ES21,"C"))*2)+((COUNTIF('Elève (5ème1)'!EQ21:ES21,"D"))*1))/(COUNTA(EQ21:ES21)),"")</f>
        <v/>
      </c>
      <c r="EU21" s="187" t="str">
        <f t="shared" si="32"/>
        <v/>
      </c>
      <c r="EV21" s="143"/>
      <c r="EW21" s="144"/>
      <c r="EX21" s="145"/>
      <c r="EY21" s="186" t="str">
        <f>IFERROR((((COUNTIF('Elève (5ème1)'!EV21:EX21,"A"))*4)+((COUNTIF('Elève (5ème1)'!EV21:EX21,"B"))*3)+((COUNTIF('Elève (5ème1)'!EV21:EX21,"C"))*2)+((COUNTIF('Elève (5ème1)'!EV21:EX21,"D"))*1))/(COUNTA(EV21:EX21)),"")</f>
        <v/>
      </c>
      <c r="EZ21" s="187" t="str">
        <f t="shared" si="33"/>
        <v/>
      </c>
      <c r="FA21" s="143"/>
      <c r="FB21" s="144"/>
      <c r="FC21" s="145"/>
      <c r="FD21" s="149"/>
      <c r="FE21" s="186" t="str">
        <f>IFERROR((((COUNTIF('Elève (5ème1)'!FA21:FD21,"A"))*4)+((COUNTIF('Elève (5ème1)'!FA21:FD21,"B"))*3)+((COUNTIF('Elève (5ème1)'!FA21:FD21,"C"))*2)+((COUNTIF('Elève (5ème1)'!FA21:FD21,"D"))*1))/(COUNTA(FA21:FD21)),"")</f>
        <v/>
      </c>
      <c r="FF21" s="187" t="str">
        <f t="shared" si="34"/>
        <v/>
      </c>
      <c r="FG21" s="186" t="str">
        <f>IF(COUNT(ET21,EY21,FE21)=0,"",SUM(ET21,EY21,FE21)/COUNT(ET21,EY21,FE21))</f>
        <v/>
      </c>
      <c r="FH21" s="211" t="str">
        <f t="shared" si="35"/>
        <v/>
      </c>
      <c r="FI21" s="143"/>
      <c r="FJ21" s="144" t="s">
        <v>29</v>
      </c>
      <c r="FK21" s="145"/>
      <c r="FL21" s="186">
        <f>IFERROR((((COUNTIF('Elève (5ème1)'!FI21:FK21,"A"))*4)+((COUNTIF('Elève (5ème1)'!FI21:FK21,"B"))*3)+((COUNTIF('Elève (5ème1)'!FI21:FK21,"C"))*2)+((COUNTIF('Elève (5ème1)'!FI21:FK21,"D"))*1))/(COUNTA(FI21:FK21)),"")</f>
        <v>2</v>
      </c>
      <c r="FM21" s="187" t="str">
        <f t="shared" si="36"/>
        <v>C</v>
      </c>
      <c r="FN21" s="143"/>
      <c r="FO21" s="144"/>
      <c r="FP21" s="145"/>
      <c r="FQ21" s="186" t="str">
        <f>IFERROR((((COUNTIF('Elève (5ème1)'!FN21:FP21,"A"))*4)+((COUNTIF('Elève (5ème1)'!FN21:FP21,"B"))*3)+((COUNTIF('Elève (5ème1)'!FN21:FP21,"C"))*2)+((COUNTIF('Elève (5ème1)'!FN21:FP21,"D"))*1))/(COUNTA(FN21:FP21)),"")</f>
        <v/>
      </c>
      <c r="FR21" s="187" t="str">
        <f t="shared" si="37"/>
        <v/>
      </c>
      <c r="FS21" s="143"/>
      <c r="FT21" s="144"/>
      <c r="FU21" s="145"/>
      <c r="FV21" s="149"/>
      <c r="FW21" s="186" t="str">
        <f>IFERROR((((COUNTIF('Elève (5ème1)'!FS21:FV21,"A"))*4)+((COUNTIF('Elève (5ème1)'!FS21:FV21,"B"))*3)+((COUNTIF('Elève (5ème1)'!FS21:FV21,"C"))*2)+((COUNTIF('Elève (5ème1)'!FS21:FV21,"D"))*1))/(COUNTA(FS21:FV21)),"")</f>
        <v/>
      </c>
      <c r="FX21" s="187" t="str">
        <f t="shared" si="38"/>
        <v/>
      </c>
      <c r="FY21" s="186">
        <f>IF(COUNT(FL21,FQ21,FW21)=0,"",SUM(FL21,FQ21,FW21)/COUNT(FL21,FQ21,FW21))</f>
        <v>2</v>
      </c>
      <c r="FZ21" s="211" t="str">
        <f t="shared" si="39"/>
        <v>C</v>
      </c>
      <c r="GA21" s="143"/>
      <c r="GB21" s="144" t="s">
        <v>27</v>
      </c>
      <c r="GC21" s="145"/>
      <c r="GD21" s="186">
        <f>IFERROR((((COUNTIF('Elève (5ème1)'!GA21:GC21,"A"))*4)+((COUNTIF('Elève (5ème1)'!GA21:GC21,"B"))*3)+((COUNTIF('Elève (5ème1)'!GA21:GC21,"C"))*2)+((COUNTIF('Elève (5ème1)'!GA21:GC21,"D"))*1))/(COUNTA(GA21:GC21)),"")</f>
        <v>4</v>
      </c>
      <c r="GE21" s="187" t="str">
        <f t="shared" si="40"/>
        <v>A</v>
      </c>
      <c r="GF21" s="143"/>
      <c r="GG21" s="144"/>
      <c r="GH21" s="145"/>
      <c r="GI21" s="186" t="str">
        <f>IFERROR((((COUNTIF('Elève (5ème1)'!GF21:GH21,"A"))*4)+((COUNTIF('Elève (5ème1)'!GF21:GH21,"B"))*3)+((COUNTIF('Elève (5ème1)'!GF21:GH21,"C"))*2)+((COUNTIF('Elève (5ème1)'!GF21:GH21,"D"))*1))/(COUNTA(GF21:GH21)),"")</f>
        <v/>
      </c>
      <c r="GJ21" s="187" t="str">
        <f t="shared" si="41"/>
        <v/>
      </c>
      <c r="GK21" s="143"/>
      <c r="GL21" s="144"/>
      <c r="GM21" s="145"/>
      <c r="GN21" s="149"/>
      <c r="GO21" s="186" t="str">
        <f>IFERROR((((COUNTIF('Elève (5ème1)'!GK21:GN21,"A"))*4)+((COUNTIF('Elève (5ème1)'!GK21:GN21,"B"))*3)+((COUNTIF('Elève (5ème1)'!GK21:GN21,"C"))*2)+((COUNTIF('Elève (5ème1)'!GK21:GN21,"D"))*1))/(COUNTA(GK21:GN21)),"")</f>
        <v/>
      </c>
      <c r="GP21" s="187" t="str">
        <f t="shared" si="42"/>
        <v/>
      </c>
      <c r="GQ21" s="186">
        <f>IF(COUNT(GD21,GI21,GO21)=0,"",SUM(GD21,GI21,GO21)/COUNT(GD21,GI21,GO21))</f>
        <v>4</v>
      </c>
      <c r="GR21" s="211" t="str">
        <f t="shared" si="43"/>
        <v>A</v>
      </c>
      <c r="GS21" s="143"/>
      <c r="GT21" s="144" t="s">
        <v>28</v>
      </c>
      <c r="GU21" s="145"/>
      <c r="GV21" s="186">
        <f>IFERROR((((COUNTIF('Elève (5ème1)'!GS21:GU21,"A"))*4)+((COUNTIF('Elève (5ème1)'!GS21:GU21,"B"))*3)+((COUNTIF('Elève (5ème1)'!GS21:GU21,"C"))*2)+((COUNTIF('Elève (5ème1)'!GS21:GU21,"D"))*1))/(COUNTA(GS21:GU21)),"")</f>
        <v>3</v>
      </c>
      <c r="GW21" s="187" t="str">
        <f t="shared" si="44"/>
        <v>B</v>
      </c>
      <c r="GX21" s="143"/>
      <c r="GY21" s="144"/>
      <c r="GZ21" s="145"/>
      <c r="HA21" s="186" t="str">
        <f>IFERROR((((COUNTIF('Elève (5ème1)'!GX21:GZ21,"A"))*4)+((COUNTIF('Elève (5ème1)'!GX21:GZ21,"B"))*3)+((COUNTIF('Elève (5ème1)'!GX21:GZ21,"C"))*2)+((COUNTIF('Elève (5ème1)'!GX21:GZ21,"D"))*1))/(COUNTA(GX21:GZ21)),"")</f>
        <v/>
      </c>
      <c r="HB21" s="187" t="str">
        <f t="shared" si="45"/>
        <v/>
      </c>
      <c r="HC21" s="143"/>
      <c r="HD21" s="144"/>
      <c r="HE21" s="145"/>
      <c r="HF21" s="149"/>
      <c r="HG21" s="186" t="str">
        <f>IFERROR((((COUNTIF('Elève (5ème1)'!HC21:HF21,"A"))*4)+((COUNTIF('Elève (5ème1)'!HC21:HF21,"B"))*3)+((COUNTIF('Elève (5ème1)'!HC21:HF21,"C"))*2)+((COUNTIF('Elève (5ème1)'!HC21:HF21,"D"))*1))/(COUNTA(HC21:HF21)),"")</f>
        <v/>
      </c>
      <c r="HH21" s="187" t="str">
        <f t="shared" si="46"/>
        <v/>
      </c>
      <c r="HI21" s="186">
        <f>IF(COUNT(GV21,HA21,HG21)=0,"",SUM(GV21,HA21,HG21)/COUNT(GV21,HA21,HG21))</f>
        <v>3</v>
      </c>
      <c r="HJ21" s="211" t="str">
        <f t="shared" si="47"/>
        <v>B</v>
      </c>
      <c r="HK21" s="143"/>
      <c r="HL21" s="144" t="s">
        <v>29</v>
      </c>
      <c r="HM21" s="145"/>
      <c r="HN21" s="186">
        <f>IFERROR((((COUNTIF('Elève (5ème1)'!HK21:HM21,"A"))*4)+((COUNTIF('Elève (5ème1)'!HK21:HM21,"B"))*3)+((COUNTIF('Elève (5ème1)'!HK21:HM21,"C"))*2)+((COUNTIF('Elève (5ème1)'!HK21:HM21,"D"))*1))/(COUNTA(HK21:HM21)),"")</f>
        <v>2</v>
      </c>
      <c r="HO21" s="187" t="str">
        <f t="shared" si="48"/>
        <v>C</v>
      </c>
      <c r="HP21" s="143"/>
      <c r="HQ21" s="144"/>
      <c r="HR21" s="145"/>
      <c r="HS21" s="186" t="str">
        <f>IFERROR((((COUNTIF('Elève (5ème1)'!HP21:HR21,"A"))*4)+((COUNTIF('Elève (5ème1)'!HP21:HR21,"B"))*3)+((COUNTIF('Elève (5ème1)'!HP21:HR21,"C"))*2)+((COUNTIF('Elève (5ème1)'!HP21:HR21,"D"))*1))/(COUNTA(HP21:HR21)),"")</f>
        <v/>
      </c>
      <c r="HT21" s="187" t="str">
        <f t="shared" si="49"/>
        <v/>
      </c>
      <c r="HU21" s="143"/>
      <c r="HV21" s="144"/>
      <c r="HW21" s="145"/>
      <c r="HX21" s="149"/>
      <c r="HY21" s="186" t="str">
        <f>IFERROR((((COUNTIF('Elève (5ème1)'!HU21:HX21,"A"))*4)+((COUNTIF('Elève (5ème1)'!HU21:HX21,"B"))*3)+((COUNTIF('Elève (5ème1)'!HU21:HX21,"C"))*2)+((COUNTIF('Elève (5ème1)'!HU21:HX21,"D"))*1))/(COUNTA(HU21:HX21)),"")</f>
        <v/>
      </c>
      <c r="HZ21" s="187" t="str">
        <f t="shared" si="50"/>
        <v/>
      </c>
      <c r="IA21" s="186">
        <f>IF(COUNT(HN21,HS21,HY21)=0,"",SUM(HN21,HS21,HY21)/COUNT(HN21,HS21,HY21))</f>
        <v>2</v>
      </c>
      <c r="IB21" s="211" t="str">
        <f t="shared" si="51"/>
        <v>C</v>
      </c>
      <c r="IC21" s="143"/>
      <c r="ID21" s="144" t="s">
        <v>29</v>
      </c>
      <c r="IE21" s="145"/>
      <c r="IF21" s="186">
        <f>IFERROR((((COUNTIF('Elève (5ème1)'!IC21:IE21,"A"))*4)+((COUNTIF('Elève (5ème1)'!IC21:IE21,"B"))*3)+((COUNTIF('Elève (5ème1)'!IC21:IE21,"C"))*2)+((COUNTIF('Elève (5ème1)'!IC21:IE21,"D"))*1))/(COUNTA(IC21:IE21)),"")</f>
        <v>2</v>
      </c>
      <c r="IG21" s="187" t="str">
        <f t="shared" si="52"/>
        <v>C</v>
      </c>
      <c r="IH21" s="143"/>
      <c r="II21" s="144"/>
      <c r="IJ21" s="145"/>
      <c r="IK21" s="186" t="str">
        <f>IFERROR((((COUNTIF('Elève (5ème1)'!IH21:IJ21,"A"))*4)+((COUNTIF('Elève (5ème1)'!IH21:IJ21,"B"))*3)+((COUNTIF('Elève (5ème1)'!IH21:IJ21,"C"))*2)+((COUNTIF('Elève (5ème1)'!IH21:IJ21,"D"))*1))/(COUNTA(IH21:IJ21)),"")</f>
        <v/>
      </c>
      <c r="IL21" s="187" t="str">
        <f t="shared" si="53"/>
        <v/>
      </c>
      <c r="IM21" s="143"/>
      <c r="IN21" s="144"/>
      <c r="IO21" s="145"/>
      <c r="IP21" s="149"/>
      <c r="IQ21" s="186" t="str">
        <f>IFERROR((((COUNTIF('Elève (5ème1)'!IM21:IP21,"A"))*4)+((COUNTIF('Elève (5ème1)'!IM21:IP21,"B"))*3)+((COUNTIF('Elève (5ème1)'!IM21:IP21,"C"))*2)+((COUNTIF('Elève (5ème1)'!IM21:IP21,"D"))*1))/(COUNTA(IM21:IP21)),"")</f>
        <v/>
      </c>
      <c r="IR21" s="187" t="str">
        <f t="shared" si="54"/>
        <v/>
      </c>
      <c r="IS21" s="186">
        <f>IF(COUNT(IF21,IK21,IQ21)=0,"",SUM(IF21,IK21,IQ21)/COUNT(IF21,IK21,IQ21))</f>
        <v>2</v>
      </c>
      <c r="IT21" s="211" t="str">
        <f t="shared" si="55"/>
        <v>C</v>
      </c>
      <c r="IU21" s="143"/>
      <c r="IV21" s="144" t="s">
        <v>29</v>
      </c>
      <c r="IW21" s="145"/>
      <c r="IX21" s="186">
        <f>IFERROR((((COUNTIF('Elève (5ème1)'!IU21:IW21,"A"))*4)+((COUNTIF('Elève (5ème1)'!IU21:IW21,"B"))*3)+((COUNTIF('Elève (5ème1)'!IU21:IW21,"C"))*2)+((COUNTIF('Elève (5ème1)'!IU21:IW21,"D"))*1))/(COUNTA(IU21:IW21)),"")</f>
        <v>2</v>
      </c>
      <c r="IY21" s="187" t="str">
        <f t="shared" si="56"/>
        <v>C</v>
      </c>
      <c r="IZ21" s="143"/>
      <c r="JA21" s="144"/>
      <c r="JB21" s="145"/>
      <c r="JC21" s="186" t="str">
        <f>IFERROR((((COUNTIF('Elève (5ème1)'!IZ21:JB21,"A"))*4)+((COUNTIF('Elève (5ème1)'!IZ21:JB21,"B"))*3)+((COUNTIF('Elève (5ème1)'!IZ21:JB21,"C"))*2)+((COUNTIF('Elève (5ème1)'!IZ21:JB21,"D"))*1))/(COUNTA(IZ21:JB21)),"")</f>
        <v/>
      </c>
      <c r="JD21" s="187" t="str">
        <f t="shared" si="57"/>
        <v/>
      </c>
      <c r="JE21" s="143"/>
      <c r="JF21" s="144"/>
      <c r="JG21" s="145"/>
      <c r="JH21" s="149"/>
      <c r="JI21" s="186" t="str">
        <f>IFERROR((((COUNTIF('Elève (5ème1)'!JE21:JH21,"A"))*4)+((COUNTIF('Elève (5ème1)'!JE21:JH21,"B"))*3)+((COUNTIF('Elève (5ème1)'!JE21:JH21,"C"))*2)+((COUNTIF('Elève (5ème1)'!JE21:JH21,"D"))*1))/(COUNTA(JE21:JH21)),"")</f>
        <v/>
      </c>
      <c r="JJ21" s="187" t="str">
        <f t="shared" si="58"/>
        <v/>
      </c>
      <c r="JK21" s="186">
        <f>IF(COUNT(IX21,JC21,JI21)=0,"",SUM(IX21,JC21,JI21)/COUNT(IX21,JC21,JI21))</f>
        <v>2</v>
      </c>
      <c r="JL21" s="211" t="str">
        <f t="shared" si="59"/>
        <v>C</v>
      </c>
      <c r="JM21" s="143"/>
      <c r="JN21" s="144" t="s">
        <v>30</v>
      </c>
      <c r="JO21" s="145"/>
      <c r="JP21" s="186">
        <f>IFERROR((((COUNTIF('Elève (5ème1)'!JM21:JO21,"A"))*4)+((COUNTIF('Elève (5ème1)'!JM21:JO21,"B"))*3)+((COUNTIF('Elève (5ème1)'!JM21:JO21,"C"))*2)+((COUNTIF('Elève (5ème1)'!JM21:JO21,"D"))*1))/(COUNTA(JM21:JO21)),"")</f>
        <v>1</v>
      </c>
      <c r="JQ21" s="187" t="str">
        <f t="shared" si="60"/>
        <v>D</v>
      </c>
      <c r="JR21" s="143"/>
      <c r="JS21" s="144"/>
      <c r="JT21" s="145"/>
      <c r="JU21" s="186" t="str">
        <f>IFERROR((((COUNTIF('Elève (5ème1)'!JR21:JT21,"A"))*4)+((COUNTIF('Elève (5ème1)'!JR21:JT21,"B"))*3)+((COUNTIF('Elève (5ème1)'!JR21:JT21,"C"))*2)+((COUNTIF('Elève (5ème1)'!JR21:JT21,"D"))*1))/(COUNTA(JR21:JT21)),"")</f>
        <v/>
      </c>
      <c r="JV21" s="187" t="str">
        <f t="shared" si="61"/>
        <v/>
      </c>
      <c r="JW21" s="143"/>
      <c r="JX21" s="144"/>
      <c r="JY21" s="145"/>
      <c r="JZ21" s="149"/>
      <c r="KA21" s="186" t="str">
        <f>IFERROR((((COUNTIF('Elève (5ème1)'!JW21:JZ21,"A"))*4)+((COUNTIF('Elève (5ème1)'!JW21:JZ21,"B"))*3)+((COUNTIF('Elève (5ème1)'!JW21:JZ21,"C"))*2)+((COUNTIF('Elève (5ème1)'!JW21:JZ21,"D"))*1))/(COUNTA(JW21:JZ21)),"")</f>
        <v/>
      </c>
      <c r="KB21" s="187" t="str">
        <f t="shared" si="62"/>
        <v/>
      </c>
      <c r="KC21" s="186">
        <f>IF(COUNT(JP21,JU21,KA21)=0,"",SUM(JP21,JU21,KA21)/COUNT(JP21,JU21,KA21))</f>
        <v>1</v>
      </c>
      <c r="KD21" s="211" t="str">
        <f t="shared" si="63"/>
        <v>D</v>
      </c>
      <c r="KE21" s="143"/>
      <c r="KF21" s="144" t="s">
        <v>30</v>
      </c>
      <c r="KG21" s="145"/>
      <c r="KH21" s="186">
        <f>IFERROR((((COUNTIF('Elève (5ème1)'!KE21:KG21,"A"))*4)+((COUNTIF('Elève (5ème1)'!KE21:KG21,"B"))*3)+((COUNTIF('Elève (5ème1)'!KE21:KG21,"C"))*2)+((COUNTIF('Elève (5ème1)'!KE21:KG21,"D"))*1))/(COUNTA(KE21:KG21)),"")</f>
        <v>1</v>
      </c>
      <c r="KI21" s="187" t="str">
        <f t="shared" si="64"/>
        <v>D</v>
      </c>
      <c r="KJ21" s="143"/>
      <c r="KK21" s="144"/>
      <c r="KL21" s="145"/>
      <c r="KM21" s="186" t="str">
        <f>IFERROR((((COUNTIF('Elève (5ème1)'!KJ21:KL21,"A"))*4)+((COUNTIF('Elève (5ème1)'!KJ21:KL21,"B"))*3)+((COUNTIF('Elève (5ème1)'!KJ21:KL21,"C"))*2)+((COUNTIF('Elève (5ème1)'!KJ21:KL21,"D"))*1))/(COUNTA(KJ21:KL21)),"")</f>
        <v/>
      </c>
      <c r="KN21" s="187" t="str">
        <f t="shared" si="65"/>
        <v/>
      </c>
      <c r="KO21" s="143"/>
      <c r="KP21" s="144"/>
      <c r="KQ21" s="145"/>
      <c r="KR21" s="149"/>
      <c r="KS21" s="186" t="str">
        <f>IFERROR((((COUNTIF('Elève (5ème1)'!KO21:KR21,"A"))*4)+((COUNTIF('Elève (5ème1)'!KO21:KR21,"B"))*3)+((COUNTIF('Elève (5ème1)'!KO21:KR21,"C"))*2)+((COUNTIF('Elève (5ème1)'!KO21:KR21,"D"))*1))/(COUNTA(KO21:KR21)),"")</f>
        <v/>
      </c>
      <c r="KT21" s="187" t="str">
        <f t="shared" si="66"/>
        <v/>
      </c>
      <c r="KU21" s="186">
        <f>IF(COUNT(KH21,KM21,KS21)=0,"",SUM(KH21,KM21,KS21)/COUNT(KH21,KM21,KS21))</f>
        <v>1</v>
      </c>
      <c r="KV21" s="211" t="str">
        <f t="shared" si="67"/>
        <v>D</v>
      </c>
      <c r="KW21" s="143"/>
      <c r="KX21" s="144" t="s">
        <v>29</v>
      </c>
      <c r="KY21" s="145"/>
      <c r="KZ21" s="186">
        <f>IFERROR((((COUNTIF('Elève (5ème1)'!KW21:KY21,"A"))*4)+((COUNTIF('Elève (5ème1)'!KW21:KY21,"B"))*3)+((COUNTIF('Elève (5ème1)'!KW21:KY21,"C"))*2)+((COUNTIF('Elève (5ème1)'!KW21:KY21,"D"))*1))/(COUNTA(KW21:KY21)),"")</f>
        <v>2</v>
      </c>
      <c r="LA21" s="187" t="str">
        <f t="shared" si="68"/>
        <v>C</v>
      </c>
      <c r="LB21" s="143"/>
      <c r="LC21" s="144"/>
      <c r="LD21" s="145"/>
      <c r="LE21" s="186" t="str">
        <f>IFERROR((((COUNTIF('Elève (5ème1)'!LB21:LD21,"A"))*4)+((COUNTIF('Elève (5ème1)'!LB21:LD21,"B"))*3)+((COUNTIF('Elève (5ème1)'!LB21:LD21,"C"))*2)+((COUNTIF('Elève (5ème1)'!LB21:LD21,"D"))*1))/(COUNTA(LB21:LD21)),"")</f>
        <v/>
      </c>
      <c r="LF21" s="187" t="str">
        <f t="shared" si="69"/>
        <v/>
      </c>
      <c r="LG21" s="143"/>
      <c r="LH21" s="144"/>
      <c r="LI21" s="145"/>
      <c r="LJ21" s="149"/>
      <c r="LK21" s="186" t="str">
        <f>IFERROR((((COUNTIF('Elève (5ème1)'!LG21:LJ21,"A"))*4)+((COUNTIF('Elève (5ème1)'!LG21:LJ21,"B"))*3)+((COUNTIF('Elève (5ème1)'!LG21:LJ21,"C"))*2)+((COUNTIF('Elève (5ème1)'!LG21:LJ21,"D"))*1))/(COUNTA(LG21:LJ21)),"")</f>
        <v/>
      </c>
      <c r="LL21" s="187" t="str">
        <f t="shared" si="70"/>
        <v/>
      </c>
      <c r="LM21" s="186">
        <f>IF(COUNT(KZ21,LE21,LK21)=0,"",SUM(KZ21,LE21,LK21)/COUNT(KZ21,LE21,LK21))</f>
        <v>2</v>
      </c>
      <c r="LN21" s="211" t="str">
        <f t="shared" si="71"/>
        <v>C</v>
      </c>
      <c r="LO21" s="143"/>
      <c r="LP21" s="144" t="s">
        <v>29</v>
      </c>
      <c r="LQ21" s="145"/>
      <c r="LR21" s="186">
        <f>IFERROR((((COUNTIF('Elève (5ème1)'!LO21:LQ21,"A"))*4)+((COUNTIF('Elève (5ème1)'!LO21:LQ21,"B"))*3)+((COUNTIF('Elève (5ème1)'!LO21:LQ21,"C"))*2)+((COUNTIF('Elève (5ème1)'!LO21:LQ21,"D"))*1))/(COUNTA(LO21:LQ21)),"")</f>
        <v>2</v>
      </c>
      <c r="LS21" s="187" t="str">
        <f t="shared" si="72"/>
        <v>C</v>
      </c>
      <c r="LT21" s="143"/>
      <c r="LU21" s="144"/>
      <c r="LV21" s="145"/>
      <c r="LW21" s="186" t="str">
        <f>IFERROR((((COUNTIF('Elève (5ème1)'!LT21:LV21,"A"))*4)+((COUNTIF('Elève (5ème1)'!LT21:LV21,"B"))*3)+((COUNTIF('Elève (5ème1)'!LT21:LV21,"C"))*2)+((COUNTIF('Elève (5ème1)'!LT21:LV21,"D"))*1))/(COUNTA(LT21:LV21)),"")</f>
        <v/>
      </c>
      <c r="LX21" s="187" t="str">
        <f t="shared" si="73"/>
        <v/>
      </c>
      <c r="LY21" s="143"/>
      <c r="LZ21" s="144"/>
      <c r="MA21" s="145"/>
      <c r="MB21" s="149"/>
      <c r="MC21" s="186" t="str">
        <f>IFERROR((((COUNTIF('Elève (5ème1)'!LY21:MB21,"A"))*4)+((COUNTIF('Elève (5ème1)'!LY21:MB21,"B"))*3)+((COUNTIF('Elève (5ème1)'!LY21:MB21,"C"))*2)+((COUNTIF('Elève (5ème1)'!LY21:MB21,"D"))*1))/(COUNTA(LY21:MB21)),"")</f>
        <v/>
      </c>
      <c r="MD21" s="187" t="str">
        <f t="shared" si="74"/>
        <v/>
      </c>
      <c r="ME21" s="186">
        <f>IF(COUNT(LR21,LW21,MC21)=0,"",SUM(LR21,LW21,MC21)/COUNT(LR21,LW21,MC21))</f>
        <v>2</v>
      </c>
      <c r="MF21" s="211" t="str">
        <f t="shared" si="75"/>
        <v>C</v>
      </c>
      <c r="MG21" s="143"/>
      <c r="MH21" s="144" t="s">
        <v>30</v>
      </c>
      <c r="MI21" s="145"/>
      <c r="MJ21" s="186">
        <f>IFERROR((((COUNTIF('Elève (5ème1)'!MG21:MI21,"A"))*4)+((COUNTIF('Elève (5ème1)'!MG21:MI21,"B"))*3)+((COUNTIF('Elève (5ème1)'!MG21:MI21,"C"))*2)+((COUNTIF('Elève (5ème1)'!MG21:MI21,"D"))*1))/(COUNTA(MG21:MI21)),"")</f>
        <v>1</v>
      </c>
      <c r="MK21" s="187" t="str">
        <f t="shared" si="76"/>
        <v>D</v>
      </c>
      <c r="ML21" s="143"/>
      <c r="MM21" s="144"/>
      <c r="MN21" s="145"/>
      <c r="MO21" s="186" t="str">
        <f>IFERROR((((COUNTIF('Elève (5ème1)'!ML21:MN21,"A"))*4)+((COUNTIF('Elève (5ème1)'!ML21:MN21,"B"))*3)+((COUNTIF('Elève (5ème1)'!ML21:MN21,"C"))*2)+((COUNTIF('Elève (5ème1)'!ML21:MN21,"D"))*1))/(COUNTA(ML21:MN21)),"")</f>
        <v/>
      </c>
      <c r="MP21" s="187" t="str">
        <f t="shared" si="77"/>
        <v/>
      </c>
      <c r="MQ21" s="143"/>
      <c r="MR21" s="144"/>
      <c r="MS21" s="145"/>
      <c r="MT21" s="149"/>
      <c r="MU21" s="186" t="str">
        <f>IFERROR((((COUNTIF('Elève (5ème1)'!MQ21:MT21,"A"))*4)+((COUNTIF('Elève (5ème1)'!MQ21:MT21,"B"))*3)+((COUNTIF('Elève (5ème1)'!MQ21:MT21,"C"))*2)+((COUNTIF('Elève (5ème1)'!MQ21:MT21,"D"))*1))/(COUNTA(MQ21:MT21)),"")</f>
        <v/>
      </c>
      <c r="MV21" s="187" t="str">
        <f t="shared" si="78"/>
        <v/>
      </c>
      <c r="MW21" s="186">
        <f>IF(COUNT(MJ21,MO21,MU21)=0,"",SUM(MJ21,MO21,MU21)/COUNT(MJ21,MO21,MU21))</f>
        <v>1</v>
      </c>
      <c r="MX21" s="211" t="str">
        <f t="shared" si="79"/>
        <v>D</v>
      </c>
      <c r="MY21" s="143"/>
      <c r="MZ21" s="144" t="s">
        <v>28</v>
      </c>
      <c r="NA21" s="145"/>
      <c r="NB21" s="186">
        <f>IFERROR((((COUNTIF('Elève (5ème1)'!MY21:NA21,"A"))*4)+((COUNTIF('Elève (5ème1)'!MY21:NA21,"B"))*3)+((COUNTIF('Elève (5ème1)'!MY21:NA21,"C"))*2)+((COUNTIF('Elève (5ème1)'!MY21:NA21,"D"))*1))/(COUNTA(MY21:NA21)),"")</f>
        <v>3</v>
      </c>
      <c r="NC21" s="187" t="str">
        <f t="shared" si="80"/>
        <v>B</v>
      </c>
      <c r="ND21" s="143"/>
      <c r="NE21" s="144"/>
      <c r="NF21" s="145"/>
      <c r="NG21" s="186" t="str">
        <f>IFERROR((((COUNTIF('Elève (5ème1)'!ND21:NF21,"A"))*4)+((COUNTIF('Elève (5ème1)'!ND21:NF21,"B"))*3)+((COUNTIF('Elève (5ème1)'!ND21:NF21,"C"))*2)+((COUNTIF('Elève (5ème1)'!ND21:NF21,"D"))*1))/(COUNTA(ND21:NF21)),"")</f>
        <v/>
      </c>
      <c r="NH21" s="187" t="str">
        <f t="shared" si="81"/>
        <v/>
      </c>
      <c r="NI21" s="143"/>
      <c r="NJ21" s="144"/>
      <c r="NK21" s="145"/>
      <c r="NL21" s="149"/>
      <c r="NM21" s="186" t="str">
        <f>IFERROR((((COUNTIF('Elève (5ème1)'!NI21:NL21,"A"))*4)+((COUNTIF('Elève (5ème1)'!NI21:NL21,"B"))*3)+((COUNTIF('Elève (5ème1)'!NI21:NL21,"C"))*2)+((COUNTIF('Elève (5ème1)'!NI21:NL21,"D"))*1))/(COUNTA(NI21:NL21)),"")</f>
        <v/>
      </c>
      <c r="NN21" s="187" t="str">
        <f t="shared" si="82"/>
        <v/>
      </c>
      <c r="NO21" s="186">
        <f>IF(COUNT(NB21,NG21,NM21)=0,"",SUM(NB21,NG21,NM21)/COUNT(NB21,NG21,NM21))</f>
        <v>3</v>
      </c>
      <c r="NP21" s="211" t="str">
        <f t="shared" si="83"/>
        <v>B</v>
      </c>
      <c r="NQ21" s="143"/>
      <c r="NR21" s="144" t="s">
        <v>29</v>
      </c>
      <c r="NS21" s="145"/>
      <c r="NT21" s="186">
        <f>IFERROR((((COUNTIF('Elève (5ème1)'!NQ21:NS21,"A"))*4)+((COUNTIF('Elève (5ème1)'!NQ21:NS21,"B"))*3)+((COUNTIF('Elève (5ème1)'!NQ21:NS21,"C"))*2)+((COUNTIF('Elève (5ème1)'!NQ21:NS21,"D"))*1))/(COUNTA(NQ21:NS21)),"")</f>
        <v>2</v>
      </c>
      <c r="NU21" s="187" t="str">
        <f t="shared" si="84"/>
        <v>C</v>
      </c>
      <c r="NV21" s="143"/>
      <c r="NW21" s="144"/>
      <c r="NX21" s="145"/>
      <c r="NY21" s="186" t="str">
        <f>IFERROR((((COUNTIF('Elève (5ème1)'!NV21:NX21,"A"))*4)+((COUNTIF('Elève (5ème1)'!NV21:NX21,"B"))*3)+((COUNTIF('Elève (5ème1)'!NV21:NX21,"C"))*2)+((COUNTIF('Elève (5ème1)'!NV21:NX21,"D"))*1))/(COUNTA(NV21:NX21)),"")</f>
        <v/>
      </c>
      <c r="NZ21" s="187" t="str">
        <f t="shared" si="85"/>
        <v/>
      </c>
      <c r="OA21" s="143"/>
      <c r="OB21" s="144"/>
      <c r="OC21" s="145"/>
      <c r="OD21" s="149"/>
      <c r="OE21" s="186" t="str">
        <f>IFERROR((((COUNTIF('Elève (5ème1)'!OA21:OD21,"A"))*4)+((COUNTIF('Elève (5ème1)'!OA21:OD21,"B"))*3)+((COUNTIF('Elève (5ème1)'!OA21:OD21,"C"))*2)+((COUNTIF('Elève (5ème1)'!OA21:OD21,"D"))*1))/(COUNTA(OA21:OD21)),"")</f>
        <v/>
      </c>
      <c r="OF21" s="187" t="str">
        <f t="shared" si="86"/>
        <v/>
      </c>
      <c r="OG21" s="186">
        <f>IF(COUNT(NT21,NY21,OE21)=0,"",SUM(NT21,NY21,OE21)/COUNT(NT21,NY21,OE21))</f>
        <v>2</v>
      </c>
      <c r="OH21" s="211" t="str">
        <f t="shared" si="87"/>
        <v>C</v>
      </c>
      <c r="OI21" s="143"/>
      <c r="OJ21" s="144" t="s">
        <v>27</v>
      </c>
      <c r="OK21" s="145"/>
      <c r="OL21" s="186">
        <f>IFERROR((((COUNTIF('Elève (5ème1)'!OI21:OK21,"A"))*4)+((COUNTIF('Elève (5ème1)'!OI21:OK21,"B"))*3)+((COUNTIF('Elève (5ème1)'!OI21:OK21,"C"))*2)+((COUNTIF('Elève (5ème1)'!OI21:OK21,"D"))*1))/(COUNTA(OI21:OK21)),"")</f>
        <v>4</v>
      </c>
      <c r="OM21" s="187" t="str">
        <f t="shared" si="88"/>
        <v>A</v>
      </c>
      <c r="ON21" s="143"/>
      <c r="OO21" s="144"/>
      <c r="OP21" s="145"/>
      <c r="OQ21" s="186" t="str">
        <f>IFERROR((((COUNTIF('Elève (5ème1)'!ON21:OP21,"A"))*4)+((COUNTIF('Elève (5ème1)'!ON21:OP21,"B"))*3)+((COUNTIF('Elève (5ème1)'!ON21:OP21,"C"))*2)+((COUNTIF('Elève (5ème1)'!ON21:OP21,"D"))*1))/(COUNTA(ON21:OP21)),"")</f>
        <v/>
      </c>
      <c r="OR21" s="187" t="str">
        <f t="shared" si="89"/>
        <v/>
      </c>
      <c r="OS21" s="143"/>
      <c r="OT21" s="144"/>
      <c r="OU21" s="145"/>
      <c r="OV21" s="149"/>
      <c r="OW21" s="186" t="str">
        <f>IFERROR((((COUNTIF('Elève (5ème1)'!OS21:OV21,"A"))*4)+((COUNTIF('Elève (5ème1)'!OS21:OV21,"B"))*3)+((COUNTIF('Elève (5ème1)'!OS21:OV21,"C"))*2)+((COUNTIF('Elève (5ème1)'!OS21:OV21,"D"))*1))/(COUNTA(OS21:OV21)),"")</f>
        <v/>
      </c>
      <c r="OX21" s="187" t="str">
        <f t="shared" si="90"/>
        <v/>
      </c>
      <c r="OY21" s="186">
        <f>IF(COUNT(OL21,OQ21,OW21)=0,"",SUM(OL21,OQ21,OW21)/COUNT(OL21,OQ21,OW21))</f>
        <v>4</v>
      </c>
      <c r="OZ21" s="211" t="str">
        <f t="shared" si="91"/>
        <v>A</v>
      </c>
      <c r="PA21" s="143"/>
      <c r="PB21" s="144"/>
      <c r="PC21" s="145"/>
      <c r="PD21" s="186" t="str">
        <f>IFERROR((((COUNTIF('Elève (5ème1)'!PA21:PC21,"A"))*4)+((COUNTIF('Elève (5ème1)'!PA21:PC21,"B"))*3)+((COUNTIF('Elève (5ème1)'!PA21:PC21,"C"))*2)+((COUNTIF('Elève (5ème1)'!PA21:PC21,"D"))*1))/(COUNTA(PA21:PC21)),"")</f>
        <v/>
      </c>
      <c r="PE21" s="187" t="str">
        <f t="shared" si="92"/>
        <v/>
      </c>
      <c r="PF21" s="143"/>
      <c r="PG21" s="144"/>
      <c r="PH21" s="145"/>
      <c r="PI21" s="186" t="str">
        <f>IFERROR((((COUNTIF('Elève (5ème1)'!PF21:PH21,"A"))*4)+((COUNTIF('Elève (5ème1)'!PF21:PH21,"B"))*3)+((COUNTIF('Elève (5ème1)'!PF21:PH21,"C"))*2)+((COUNTIF('Elève (5ème1)'!PF21:PH21,"D"))*1))/(COUNTA(PF21:PH21)),"")</f>
        <v/>
      </c>
      <c r="PJ21" s="187" t="str">
        <f t="shared" si="93"/>
        <v/>
      </c>
      <c r="PK21" s="143"/>
      <c r="PL21" s="144"/>
      <c r="PM21" s="145"/>
      <c r="PN21" s="149"/>
      <c r="PO21" s="186" t="str">
        <f>IFERROR((((COUNTIF('Elève (5ème1)'!PK21:PN21,"A"))*4)+((COUNTIF('Elève (5ème1)'!PK21:PN21,"B"))*3)+((COUNTIF('Elève (5ème1)'!PK21:PN21,"C"))*2)+((COUNTIF('Elève (5ème1)'!PK21:PN21,"D"))*1))/(COUNTA(PK21:PN21)),"")</f>
        <v/>
      </c>
      <c r="PP21" s="187" t="str">
        <f t="shared" si="94"/>
        <v/>
      </c>
      <c r="PQ21" s="186" t="str">
        <f>IF(COUNT(PD21,PI21,PO21)=0,"",SUM(PD21,PI21,PO21)/COUNT(PD21,PI21,PO21))</f>
        <v/>
      </c>
      <c r="PR21" s="211" t="str">
        <f t="shared" si="95"/>
        <v/>
      </c>
      <c r="PS21" s="143"/>
      <c r="PT21" s="144" t="s">
        <v>28</v>
      </c>
      <c r="PU21" s="145"/>
      <c r="PV21" s="186">
        <f>IFERROR((((COUNTIF('Elève (5ème1)'!PS21:PU21,"A"))*4)+((COUNTIF('Elève (5ème1)'!PS21:PU21,"B"))*3)+((COUNTIF('Elève (5ème1)'!PS21:PU21,"C"))*2)+((COUNTIF('Elève (5ème1)'!PS21:PU21,"D"))*1))/(COUNTA(PS21:PU21)),"")</f>
        <v>3</v>
      </c>
      <c r="PW21" s="187" t="str">
        <f t="shared" si="96"/>
        <v>B</v>
      </c>
      <c r="PX21" s="143"/>
      <c r="PY21" s="144"/>
      <c r="PZ21" s="145"/>
      <c r="QA21" s="186" t="str">
        <f>IFERROR((((COUNTIF('Elève (5ème1)'!PX21:PZ21,"A"))*4)+((COUNTIF('Elève (5ème1)'!PX21:PZ21,"B"))*3)+((COUNTIF('Elève (5ème1)'!PX21:PZ21,"C"))*2)+((COUNTIF('Elève (5ème1)'!PX21:PZ21,"D"))*1))/(COUNTA(PX21:PZ21)),"")</f>
        <v/>
      </c>
      <c r="QB21" s="187" t="str">
        <f t="shared" si="97"/>
        <v/>
      </c>
      <c r="QC21" s="143"/>
      <c r="QD21" s="144"/>
      <c r="QE21" s="145"/>
      <c r="QF21" s="149"/>
      <c r="QG21" s="186" t="str">
        <f>IFERROR((((COUNTIF('Elève (5ème1)'!QC21:QF21,"A"))*4)+((COUNTIF('Elève (5ème1)'!QC21:QF21,"B"))*3)+((COUNTIF('Elève (5ème1)'!QC21:QF21,"C"))*2)+((COUNTIF('Elève (5ème1)'!QC21:QF21,"D"))*1))/(COUNTA(QC21:QF21)),"")</f>
        <v/>
      </c>
      <c r="QH21" s="187" t="str">
        <f t="shared" si="98"/>
        <v/>
      </c>
      <c r="QI21" s="186">
        <f>IF(COUNT(PV21,QA21,QG21)=0,"",SUM(PV21,QA21,QG21)/COUNT(PV21,QA21,QG21))</f>
        <v>3</v>
      </c>
      <c r="QJ21" s="211" t="str">
        <f t="shared" si="99"/>
        <v>B</v>
      </c>
      <c r="QK21" s="143"/>
      <c r="QL21" s="144" t="s">
        <v>29</v>
      </c>
      <c r="QM21" s="145"/>
      <c r="QN21" s="186">
        <f>IFERROR((((COUNTIF('Elève (5ème1)'!QK21:QM21,"A"))*4)+((COUNTIF('Elève (5ème1)'!QK21:QM21,"B"))*3)+((COUNTIF('Elève (5ème1)'!QK21:QM21,"C"))*2)+((COUNTIF('Elève (5ème1)'!QK21:QM21,"D"))*1))/(COUNTA(QK21:QM21)),"")</f>
        <v>2</v>
      </c>
      <c r="QO21" s="187" t="str">
        <f t="shared" si="100"/>
        <v>C</v>
      </c>
      <c r="QP21" s="143"/>
      <c r="QQ21" s="144"/>
      <c r="QR21" s="145"/>
      <c r="QS21" s="186" t="str">
        <f>IFERROR((((COUNTIF('Elève (5ème1)'!QP21:QR21,"A"))*4)+((COUNTIF('Elève (5ème1)'!QP21:QR21,"B"))*3)+((COUNTIF('Elève (5ème1)'!QP21:QR21,"C"))*2)+((COUNTIF('Elève (5ème1)'!QP21:QR21,"D"))*1))/(COUNTA(QP21:QR21)),"")</f>
        <v/>
      </c>
      <c r="QT21" s="187" t="str">
        <f t="shared" si="101"/>
        <v/>
      </c>
      <c r="QU21" s="143"/>
      <c r="QV21" s="144"/>
      <c r="QW21" s="145"/>
      <c r="QX21" s="149"/>
      <c r="QY21" s="186" t="str">
        <f>IFERROR((((COUNTIF('Elève (5ème1)'!QU21:QX21,"A"))*4)+((COUNTIF('Elève (5ème1)'!QU21:QX21,"B"))*3)+((COUNTIF('Elève (5ème1)'!QU21:QX21,"C"))*2)+((COUNTIF('Elève (5ème1)'!QU21:QX21,"D"))*1))/(COUNTA(QU21:QX21)),"")</f>
        <v/>
      </c>
      <c r="QZ21" s="187" t="str">
        <f t="shared" si="102"/>
        <v/>
      </c>
      <c r="RA21" s="186">
        <f>IF(COUNT(QN21,QS21,QY21)=0,"",SUM(QN21,QS21,QY21)/COUNT(QN21,QS21,QY21))</f>
        <v>2</v>
      </c>
      <c r="RB21" s="211" t="str">
        <f t="shared" si="103"/>
        <v>C</v>
      </c>
      <c r="RC21" s="143"/>
      <c r="RD21" s="144" t="s">
        <v>28</v>
      </c>
      <c r="RE21" s="145"/>
      <c r="RF21" s="186">
        <f>IFERROR((((COUNTIF('Elève (5ème1)'!RC21:RE21,"A"))*4)+((COUNTIF('Elève (5ème1)'!RC21:RE21,"B"))*3)+((COUNTIF('Elève (5ème1)'!RC21:RE21,"C"))*2)+((COUNTIF('Elève (5ème1)'!RC21:RE21,"D"))*1))/(COUNTA(RC21:RE21)),"")</f>
        <v>3</v>
      </c>
      <c r="RG21" s="187" t="str">
        <f t="shared" si="104"/>
        <v>B</v>
      </c>
      <c r="RH21" s="143"/>
      <c r="RI21" s="144"/>
      <c r="RJ21" s="145"/>
      <c r="RK21" s="186" t="str">
        <f>IFERROR((((COUNTIF('Elève (5ème1)'!RH21:RJ21,"A"))*4)+((COUNTIF('Elève (5ème1)'!RH21:RJ21,"B"))*3)+((COUNTIF('Elève (5ème1)'!RH21:RJ21,"C"))*2)+((COUNTIF('Elève (5ème1)'!RH21:RJ21,"D"))*1))/(COUNTA(RH21:RJ21)),"")</f>
        <v/>
      </c>
      <c r="RL21" s="187" t="str">
        <f t="shared" si="105"/>
        <v/>
      </c>
      <c r="RM21" s="143"/>
      <c r="RN21" s="144"/>
      <c r="RO21" s="145"/>
      <c r="RP21" s="149"/>
      <c r="RQ21" s="186" t="str">
        <f>IFERROR((((COUNTIF('Elève (5ème1)'!RM21:RP21,"A"))*4)+((COUNTIF('Elève (5ème1)'!RM21:RP21,"B"))*3)+((COUNTIF('Elève (5ème1)'!RM21:RP21,"C"))*2)+((COUNTIF('Elève (5ème1)'!RM21:RP21,"D"))*1))/(COUNTA(RM21:RP21)),"")</f>
        <v/>
      </c>
      <c r="RR21" s="187" t="str">
        <f t="shared" si="106"/>
        <v/>
      </c>
      <c r="RS21" s="186">
        <f>IF(COUNT(RF21,RK21,RQ21)=0,"",SUM(RF21,RK21,RQ21)/COUNT(RF21,RK21,RQ21))</f>
        <v>3</v>
      </c>
      <c r="RT21" s="211" t="str">
        <f t="shared" si="107"/>
        <v>B</v>
      </c>
      <c r="RU21" s="143"/>
      <c r="RV21" s="144" t="s">
        <v>27</v>
      </c>
      <c r="RW21" s="145"/>
      <c r="RX21" s="186">
        <f>IFERROR((((COUNTIF('Elève (5ème1)'!RU21:RW21,"A"))*4)+((COUNTIF('Elève (5ème1)'!RU21:RW21,"B"))*3)+((COUNTIF('Elève (5ème1)'!RU21:RW21,"C"))*2)+((COUNTIF('Elève (5ème1)'!RU21:RW21,"D"))*1))/(COUNTA(RU21:RW21)),"")</f>
        <v>4</v>
      </c>
      <c r="RY21" s="187" t="str">
        <f t="shared" si="108"/>
        <v>A</v>
      </c>
      <c r="RZ21" s="143"/>
      <c r="SA21" s="144"/>
      <c r="SB21" s="145"/>
      <c r="SC21" s="186" t="str">
        <f>IFERROR((((COUNTIF('Elève (5ème1)'!RZ21:SB21,"A"))*4)+((COUNTIF('Elève (5ème1)'!RZ21:SB21,"B"))*3)+((COUNTIF('Elève (5ème1)'!RZ21:SB21,"C"))*2)+((COUNTIF('Elève (5ème1)'!RZ21:SB21,"D"))*1))/(COUNTA(RZ21:SB21)),"")</f>
        <v/>
      </c>
      <c r="SD21" s="187" t="str">
        <f t="shared" si="109"/>
        <v/>
      </c>
      <c r="SE21" s="143"/>
      <c r="SF21" s="144"/>
      <c r="SG21" s="145"/>
      <c r="SH21" s="149"/>
      <c r="SI21" s="186" t="str">
        <f>IFERROR((((COUNTIF('Elève (5ème1)'!SE21:SH21,"A"))*4)+((COUNTIF('Elève (5ème1)'!SE21:SH21,"B"))*3)+((COUNTIF('Elève (5ème1)'!SE21:SH21,"C"))*2)+((COUNTIF('Elève (5ème1)'!SE21:SH21,"D"))*1))/(COUNTA(SE21:SH21)),"")</f>
        <v/>
      </c>
      <c r="SJ21" s="187" t="str">
        <f t="shared" si="110"/>
        <v/>
      </c>
      <c r="SK21" s="186">
        <f>IF(COUNT(RX21,SC21,SI21)=0,"",SUM(RX21,SC21,SI21)/COUNT(RX21,SC21,SI21))</f>
        <v>4</v>
      </c>
      <c r="SL21" s="211" t="str">
        <f t="shared" si="111"/>
        <v>A</v>
      </c>
      <c r="SM21" s="143"/>
      <c r="SN21" s="144" t="s">
        <v>28</v>
      </c>
      <c r="SO21" s="145"/>
      <c r="SP21" s="186">
        <f>IFERROR((((COUNTIF('Elève (5ème1)'!SM21:SO21,"A"))*4)+((COUNTIF('Elève (5ème1)'!SM21:SO21,"B"))*3)+((COUNTIF('Elève (5ème1)'!SM21:SO21,"C"))*2)+((COUNTIF('Elève (5ème1)'!SM21:SO21,"D"))*1))/(COUNTA(SM21:SO21)),"")</f>
        <v>3</v>
      </c>
      <c r="SQ21" s="187" t="str">
        <f t="shared" si="112"/>
        <v>B</v>
      </c>
      <c r="SR21" s="143"/>
      <c r="SS21" s="144"/>
      <c r="ST21" s="145"/>
      <c r="SU21" s="186" t="str">
        <f>IFERROR((((COUNTIF('Elève (5ème1)'!SR21:ST21,"A"))*4)+((COUNTIF('Elève (5ème1)'!SR21:ST21,"B"))*3)+((COUNTIF('Elève (5ème1)'!SR21:ST21,"C"))*2)+((COUNTIF('Elève (5ème1)'!SR21:ST21,"D"))*1))/(COUNTA(SR21:ST21)),"")</f>
        <v/>
      </c>
      <c r="SV21" s="187" t="str">
        <f t="shared" si="113"/>
        <v/>
      </c>
      <c r="SW21" s="143"/>
      <c r="SX21" s="144"/>
      <c r="SY21" s="145"/>
      <c r="SZ21" s="149"/>
      <c r="TA21" s="186" t="str">
        <f>IFERROR((((COUNTIF('Elève (5ème1)'!SW21:SZ21,"A"))*4)+((COUNTIF('Elève (5ème1)'!SW21:SZ21,"B"))*3)+((COUNTIF('Elève (5ème1)'!SW21:SZ21,"C"))*2)+((COUNTIF('Elève (5ème1)'!SW21:SZ21,"D"))*1))/(COUNTA(SW21:SZ21)),"")</f>
        <v/>
      </c>
      <c r="TB21" s="187" t="str">
        <f t="shared" si="114"/>
        <v/>
      </c>
      <c r="TC21" s="186">
        <f>IF(COUNT(SP21,SU21,TA21)=0,"",SUM(SP21,SU21,TA21)/COUNT(SP21,SU21,TA21))</f>
        <v>3</v>
      </c>
      <c r="TD21" s="211" t="str">
        <f t="shared" si="115"/>
        <v>B</v>
      </c>
      <c r="TE21" s="143"/>
      <c r="TF21" s="144" t="s">
        <v>30</v>
      </c>
      <c r="TG21" s="145"/>
      <c r="TH21" s="186">
        <f>IFERROR((((COUNTIF('Elève (5ème1)'!TE21:TG21,"A"))*4)+((COUNTIF('Elève (5ème1)'!TE21:TG21,"B"))*3)+((COUNTIF('Elève (5ème1)'!TE21:TG21,"C"))*2)+((COUNTIF('Elève (5ème1)'!TE21:TG21,"D"))*1))/(COUNTA(TE21:TG21)),"")</f>
        <v>1</v>
      </c>
      <c r="TI21" s="187" t="str">
        <f t="shared" si="116"/>
        <v>D</v>
      </c>
      <c r="TJ21" s="143"/>
      <c r="TK21" s="144"/>
      <c r="TL21" s="145"/>
      <c r="TM21" s="186" t="str">
        <f>IFERROR((((COUNTIF('Elève (5ème1)'!TJ21:TL21,"A"))*4)+((COUNTIF('Elève (5ème1)'!TJ21:TL21,"B"))*3)+((COUNTIF('Elève (5ème1)'!TJ21:TL21,"C"))*2)+((COUNTIF('Elève (5ème1)'!TJ21:TL21,"D"))*1))/(COUNTA(TJ21:TL21)),"")</f>
        <v/>
      </c>
      <c r="TN21" s="187" t="str">
        <f t="shared" si="117"/>
        <v/>
      </c>
      <c r="TO21" s="143"/>
      <c r="TP21" s="144"/>
      <c r="TQ21" s="145"/>
      <c r="TR21" s="149"/>
      <c r="TS21" s="186" t="str">
        <f>IFERROR((((COUNTIF('Elève (5ème1)'!TO21:TR21,"A"))*4)+((COUNTIF('Elève (5ème1)'!TO21:TR21,"B"))*3)+((COUNTIF('Elève (5ème1)'!TO21:TR21,"C"))*2)+((COUNTIF('Elève (5ème1)'!TO21:TR21,"D"))*1))/(COUNTA(TO21:TR21)),"")</f>
        <v/>
      </c>
      <c r="TT21" s="187" t="str">
        <f t="shared" si="118"/>
        <v/>
      </c>
      <c r="TU21" s="186">
        <f>IF(COUNT(TH21,TM21,TS21)=0,"",SUM(TH21,TM21,TS21)/COUNT(TH21,TM21,TS21))</f>
        <v>1</v>
      </c>
      <c r="TV21" s="211" t="str">
        <f t="shared" si="119"/>
        <v>D</v>
      </c>
    </row>
    <row r="22" spans="1:542" ht="15.75" thickBot="1" x14ac:dyDescent="0.3">
      <c r="A22" s="242" t="s">
        <v>26</v>
      </c>
      <c r="B22" s="243"/>
      <c r="C22" s="150"/>
      <c r="D22" s="150"/>
      <c r="E22" s="150"/>
      <c r="F22" s="188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>2.8333333333333335</v>
      </c>
      <c r="G22" s="189">
        <f>IF(F22="","",F22*5)</f>
        <v>14.166666666666668</v>
      </c>
      <c r="H22" s="81"/>
      <c r="I22" s="81"/>
      <c r="J22" s="81"/>
      <c r="K22" s="188">
        <f>IF(COUNT(K20,K16,K13,K10,K4)=0,"",SUM($B$4*IF(COUNT(K4)=0,0,K4),$B$10*IF(COUNT(K10)=0,0,K10),$B$13*IF(COUNT(K13)=0,0,K13),$B$16*IF(COUNT(K16)=0,0,K16),$B$20*IF(COUNT(K20)=0,0,K20))/SUM($B$4*COUNT(K4),$B$10*COUNT(K10),$B$13*COUNT(K13),$B$16*COUNT(K16),$B$20*COUNT(K20)))</f>
        <v>2.9166666666666665</v>
      </c>
      <c r="L22" s="195">
        <f>IF(K22="","",K22*5)</f>
        <v>14.583333333333332</v>
      </c>
      <c r="M22" s="81"/>
      <c r="N22" s="81"/>
      <c r="O22" s="81"/>
      <c r="P22" s="81"/>
      <c r="Q22" s="188">
        <f>IF(COUNT(Q20,Q16,Q13,Q10,Q4)=0,"",SUM($B$4*IF(COUNT(Q4)=0,0,Q4),$B$10*IF(COUNT(Q10)=0,0,Q10),$B$13*IF(COUNT(Q13)=0,0,Q13),$B$16*IF(COUNT(Q16)=0,0,Q16),$B$20*IF(COUNT(Q20)=0,0,Q20))/SUM($B$4*COUNT(Q4),$B$10*COUNT(Q10),$B$13*COUNT(Q13),$B$16*COUNT(Q16),$B$20*COUNT(Q20)))</f>
        <v>2.8055555555555558</v>
      </c>
      <c r="R22" s="212">
        <f>IF(Q22="","",Q22*5)</f>
        <v>14.027777777777779</v>
      </c>
      <c r="S22" s="175"/>
      <c r="T22" s="175"/>
      <c r="U22" s="150"/>
      <c r="V22" s="150"/>
      <c r="W22" s="150"/>
      <c r="X22" s="188">
        <f>IF(COUNT(X20,X16,X13,X10,X4)=0,"",SUM($B$4*IF(COUNT(X4)=0,0,X4),$B$10*IF(COUNT(X10)=0,0,X10),$B$13*IF(COUNT(X13)=0,0,X13),$B$16*IF(COUNT(X16)=0,0,X16),$B$20*IF(COUNT(X20)=0,0,X20))/SUM($B$4*COUNT(X4),$B$10*COUNT(X10),$B$13*COUNT(X13),$B$16*COUNT(X16),$B$20*COUNT(X20)))</f>
        <v>2.4166666666666665</v>
      </c>
      <c r="Y22" s="189">
        <f>IF(X22="","",X22*5)</f>
        <v>12.083333333333332</v>
      </c>
      <c r="Z22" s="81"/>
      <c r="AA22" s="81"/>
      <c r="AB22" s="81"/>
      <c r="AC22" s="188">
        <f>IF(COUNT(AC20,AC16,AC13,AC10,AC4)=0,"",SUM($B$4*IF(COUNT(AC4)=0,0,AC4),$B$10*IF(COUNT(AC10)=0,0,AC10),$B$13*IF(COUNT(AC13)=0,0,AC13),$B$16*IF(COUNT(AC16)=0,0,AC16),$B$20*IF(COUNT(AC20)=0,0,AC20))/SUM($B$4*COUNT(AC4),$B$10*COUNT(AC10),$B$13*COUNT(AC13),$B$16*COUNT(AC16),$B$20*COUNT(AC20)))</f>
        <v>2.9861111111111107</v>
      </c>
      <c r="AD22" s="195">
        <f>IF(AC22="","",AC22*5)</f>
        <v>14.930555555555554</v>
      </c>
      <c r="AE22" s="81"/>
      <c r="AF22" s="81"/>
      <c r="AG22" s="81"/>
      <c r="AH22" s="81"/>
      <c r="AI22" s="188">
        <f>IF(COUNT(AI20,AI16,AI13,AI10,AI4)=0,"",SUM($B$4*IF(COUNT(AI4)=0,0,AI4),$B$10*IF(COUNT(AI10)=0,0,AI10),$B$13*IF(COUNT(AI13)=0,0,AI13),$B$16*IF(COUNT(AI16)=0,0,AI16),$B$20*IF(COUNT(AI20)=0,0,AI20))/SUM($B$4*COUNT(AI4),$B$10*COUNT(AI10),$B$13*COUNT(AI13),$B$16*COUNT(AI16),$B$20*COUNT(AI20)))</f>
        <v>2.3611111111111112</v>
      </c>
      <c r="AJ22" s="212">
        <f>IF(AI22="","",AI22*5)</f>
        <v>11.805555555555555</v>
      </c>
      <c r="AK22" s="175"/>
      <c r="AL22" s="175"/>
      <c r="AM22" s="150"/>
      <c r="AN22" s="150"/>
      <c r="AO22" s="150"/>
      <c r="AP22" s="188">
        <f>IF(COUNT(AP20,AP16,AP13,AP10,AP4)=0,"",SUM($B$4*IF(COUNT(AP4)=0,0,AP4),$B$10*IF(COUNT(AP10)=0,0,AP10),$B$13*IF(COUNT(AP13)=0,0,AP13),$B$16*IF(COUNT(AP16)=0,0,AP16),$B$20*IF(COUNT(AP20)=0,0,AP20))/SUM($B$4*COUNT(AP4),$B$10*COUNT(AP10),$B$13*COUNT(AP13),$B$16*COUNT(AP16),$B$20*COUNT(AP20)))</f>
        <v>2.4166666666666665</v>
      </c>
      <c r="AQ22" s="189">
        <f>IF(AP22="","",AP22*5)</f>
        <v>12.083333333333332</v>
      </c>
      <c r="AR22" s="81"/>
      <c r="AS22" s="81"/>
      <c r="AT22" s="81"/>
      <c r="AU22" s="188">
        <f>IF(COUNT(AU20,AU16,AU13,AU10,AU4)=0,"",SUM($B$4*IF(COUNT(AU4)=0,0,AU4),$B$10*IF(COUNT(AU10)=0,0,AU10),$B$13*IF(COUNT(AU13)=0,0,AU13),$B$16*IF(COUNT(AU16)=0,0,AU16),$B$20*IF(COUNT(AU20)=0,0,AU20))/SUM($B$4*COUNT(AU4),$B$10*COUNT(AU10),$B$13*COUNT(AU13),$B$16*COUNT(AU16),$B$20*COUNT(AU20)))</f>
        <v>2.9583333333333335</v>
      </c>
      <c r="AV22" s="195">
        <f>IF(AU22="","",AU22*5)</f>
        <v>14.791666666666668</v>
      </c>
      <c r="AW22" s="81"/>
      <c r="AX22" s="81"/>
      <c r="AY22" s="81"/>
      <c r="AZ22" s="81"/>
      <c r="BA22" s="188">
        <f>IF(COUNT(BA20,BA16,BA13,BA10,BA4)=0,"",SUM($B$4*IF(COUNT(BA4)=0,0,BA4),$B$10*IF(COUNT(BA10)=0,0,BA10),$B$13*IF(COUNT(BA13)=0,0,BA13),$B$16*IF(COUNT(BA16)=0,0,BA16),$B$20*IF(COUNT(BA20)=0,0,BA20))/SUM($B$4*COUNT(BA4),$B$10*COUNT(BA10),$B$13*COUNT(BA13),$B$16*COUNT(BA16),$B$20*COUNT(BA20)))</f>
        <v>2.9722222222222228</v>
      </c>
      <c r="BB22" s="212">
        <f>IF(BA22="","",BA22*5)</f>
        <v>14.861111111111114</v>
      </c>
      <c r="BC22" s="175"/>
      <c r="BD22" s="175"/>
      <c r="BE22" s="150"/>
      <c r="BF22" s="150"/>
      <c r="BG22" s="150"/>
      <c r="BH22" s="188">
        <f>IF(COUNT(BH20,BH16,BH13,BH10,BH4)=0,"",SUM($B$4*IF(COUNT(BH4)=0,0,BH4),$B$10*IF(COUNT(BH10)=0,0,BH10),$B$13*IF(COUNT(BH13)=0,0,BH13),$B$16*IF(COUNT(BH16)=0,0,BH16),$B$20*IF(COUNT(BH20)=0,0,BH20))/SUM($B$4*COUNT(BH4),$B$10*COUNT(BH10),$B$13*COUNT(BH13),$B$16*COUNT(BH16),$B$20*COUNT(BH20)))</f>
        <v>2.5</v>
      </c>
      <c r="BI22" s="189">
        <f>IF(BH22="","",BH22*5)</f>
        <v>12.5</v>
      </c>
      <c r="BJ22" s="81"/>
      <c r="BK22" s="81"/>
      <c r="BL22" s="81"/>
      <c r="BM22" s="188">
        <f>IF(COUNT(BM20,BM16,BM13,BM10,BM4)=0,"",SUM($B$4*IF(COUNT(BM4)=0,0,BM4),$B$10*IF(COUNT(BM10)=0,0,BM10),$B$13*IF(COUNT(BM13)=0,0,BM13),$B$16*IF(COUNT(BM16)=0,0,BM16),$B$20*IF(COUNT(BM20)=0,0,BM20))/SUM($B$4*COUNT(BM4),$B$10*COUNT(BM10),$B$13*COUNT(BM13),$B$16*COUNT(BM16),$B$20*COUNT(BM20)))</f>
        <v>2.9166666666666665</v>
      </c>
      <c r="BN22" s="195">
        <f>IF(BM22="","",BM22*5)</f>
        <v>14.583333333333332</v>
      </c>
      <c r="BO22" s="81"/>
      <c r="BP22" s="81"/>
      <c r="BQ22" s="81"/>
      <c r="BR22" s="81"/>
      <c r="BS22" s="188">
        <f>IF(COUNT(BS20,BS16,BS13,BS10,BS4)=0,"",SUM($B$4*IF(COUNT(BS4)=0,0,BS4),$B$10*IF(COUNT(BS10)=0,0,BS10),$B$13*IF(COUNT(BS13)=0,0,BS13),$B$16*IF(COUNT(BS16)=0,0,BS16),$B$20*IF(COUNT(BS20)=0,0,BS20))/SUM($B$4*COUNT(BS4),$B$10*COUNT(BS10),$B$13*COUNT(BS13),$B$16*COUNT(BS16),$B$20*COUNT(BS20)))</f>
        <v>2.625</v>
      </c>
      <c r="BT22" s="212">
        <f>IF(BS22="","",BS22*5)</f>
        <v>13.125</v>
      </c>
      <c r="BU22" s="175"/>
      <c r="BV22" s="175"/>
      <c r="BW22" s="150"/>
      <c r="BX22" s="150"/>
      <c r="BY22" s="150"/>
      <c r="BZ22" s="188">
        <f>IF(COUNT(BZ20,BZ16,BZ13,BZ10,BZ4)=0,"",SUM($B$4*IF(COUNT(BZ4)=0,0,BZ4),$B$10*IF(COUNT(BZ10)=0,0,BZ10),$B$13*IF(COUNT(BZ13)=0,0,BZ13),$B$16*IF(COUNT(BZ16)=0,0,BZ16),$B$20*IF(COUNT(BZ20)=0,0,BZ20))/SUM($B$4*COUNT(BZ4),$B$10*COUNT(BZ10),$B$13*COUNT(BZ13),$B$16*COUNT(BZ16),$B$20*COUNT(BZ20)))</f>
        <v>2.5833333333333335</v>
      </c>
      <c r="CA22" s="189">
        <f>IF(BZ22="","",BZ22*5)</f>
        <v>12.916666666666668</v>
      </c>
      <c r="CB22" s="81"/>
      <c r="CC22" s="81"/>
      <c r="CD22" s="81"/>
      <c r="CE22" s="188">
        <f>IF(COUNT(CE20,CE16,CE13,CE10,CE4)=0,"",SUM($B$4*IF(COUNT(CE4)=0,0,CE4),$B$10*IF(COUNT(CE10)=0,0,CE10),$B$13*IF(COUNT(CE13)=0,0,CE13),$B$16*IF(COUNT(CE16)=0,0,CE16),$B$20*IF(COUNT(CE20)=0,0,CE20))/SUM($B$4*COUNT(CE4),$B$10*COUNT(CE10),$B$13*COUNT(CE13),$B$16*COUNT(CE16),$B$20*COUNT(CE20)))</f>
        <v>3</v>
      </c>
      <c r="CF22" s="195">
        <f>IF(CE22="","",CE22*5)</f>
        <v>15</v>
      </c>
      <c r="CG22" s="81"/>
      <c r="CH22" s="81"/>
      <c r="CI22" s="81"/>
      <c r="CJ22" s="81"/>
      <c r="CK22" s="188">
        <f>IF(COUNT(CK20,CK16,CK13,CK10,CK4)=0,"",SUM($B$4*IF(COUNT(CK4)=0,0,CK4),$B$10*IF(COUNT(CK10)=0,0,CK10),$B$13*IF(COUNT(CK13)=0,0,CK13),$B$16*IF(COUNT(CK16)=0,0,CK16),$B$20*IF(COUNT(CK20)=0,0,CK20))/SUM($B$4*COUNT(CK4),$B$10*COUNT(CK10),$B$13*COUNT(CK13),$B$16*COUNT(CK16),$B$20*COUNT(CK20)))</f>
        <v>3.2777777777777772</v>
      </c>
      <c r="CL22" s="212">
        <f>IF(CK22="","",CK22*5)</f>
        <v>16.388888888888886</v>
      </c>
      <c r="CM22" s="175"/>
      <c r="CN22" s="175"/>
      <c r="CO22" s="150"/>
      <c r="CP22" s="150"/>
      <c r="CQ22" s="150"/>
      <c r="CR22" s="188">
        <f>IF(COUNT(CR20,CR16,CR13,CR10,CR4)=0,"",SUM($B$4*IF(COUNT(CR4)=0,0,CR4),$B$10*IF(COUNT(CR10)=0,0,CR10),$B$13*IF(COUNT(CR13)=0,0,CR13),$B$16*IF(COUNT(CR16)=0,0,CR16),$B$20*IF(COUNT(CR20)=0,0,CR20))/SUM($B$4*COUNT(CR4),$B$10*COUNT(CR10),$B$13*COUNT(CR13),$B$16*COUNT(CR16),$B$20*COUNT(CR20)))</f>
        <v>2.4166666666666665</v>
      </c>
      <c r="CS22" s="189">
        <f>IF(CR22="","",CR22*5)</f>
        <v>12.083333333333332</v>
      </c>
      <c r="CT22" s="81"/>
      <c r="CU22" s="81"/>
      <c r="CV22" s="81"/>
      <c r="CW22" s="188">
        <f>IF(COUNT(CW20,CW16,CW13,CW10,CW4)=0,"",SUM($B$4*IF(COUNT(CW4)=0,0,CW4),$B$10*IF(COUNT(CW10)=0,0,CW10),$B$13*IF(COUNT(CW13)=0,0,CW13),$B$16*IF(COUNT(CW16)=0,0,CW16),$B$20*IF(COUNT(CW20)=0,0,CW20))/SUM($B$4*COUNT(CW4),$B$10*COUNT(CW10),$B$13*COUNT(CW13),$B$16*COUNT(CW16),$B$20*COUNT(CW20)))</f>
        <v>2.5694444444444442</v>
      </c>
      <c r="CX22" s="195">
        <f>IF(CW22="","",CW22*5)</f>
        <v>12.847222222222221</v>
      </c>
      <c r="CY22" s="81"/>
      <c r="CZ22" s="81"/>
      <c r="DA22" s="81"/>
      <c r="DB22" s="81"/>
      <c r="DC22" s="188">
        <f>IF(COUNT(DC20,DC16,DC13,DC10,DC4)=0,"",SUM($B$4*IF(COUNT(DC4)=0,0,DC4),$B$10*IF(COUNT(DC10)=0,0,DC10),$B$13*IF(COUNT(DC13)=0,0,DC13),$B$16*IF(COUNT(DC16)=0,0,DC16),$B$20*IF(COUNT(DC20)=0,0,DC20))/SUM($B$4*COUNT(DC4),$B$10*COUNT(DC10),$B$13*COUNT(DC13),$B$16*COUNT(DC16),$B$20*COUNT(DC20)))</f>
        <v>2.0555555555555554</v>
      </c>
      <c r="DD22" s="212">
        <f>IF(DC22="","",DC22*5)</f>
        <v>10.277777777777777</v>
      </c>
      <c r="DE22" s="175"/>
      <c r="DF22" s="175"/>
      <c r="DG22" s="150"/>
      <c r="DH22" s="150"/>
      <c r="DI22" s="150"/>
      <c r="DJ22" s="188">
        <f>IF(COUNT(DJ20,DJ16,DJ13,DJ10,DJ4)=0,"",SUM($B$4*IF(COUNT(DJ4)=0,0,DJ4),$B$10*IF(COUNT(DJ10)=0,0,DJ10),$B$13*IF(COUNT(DJ13)=0,0,DJ13),$B$16*IF(COUNT(DJ16)=0,0,DJ16),$B$20*IF(COUNT(DJ20)=0,0,DJ20))/SUM($B$4*COUNT(DJ4),$B$10*COUNT(DJ10),$B$13*COUNT(DJ13),$B$16*COUNT(DJ16),$B$20*COUNT(DJ20)))</f>
        <v>2.6666666666666665</v>
      </c>
      <c r="DK22" s="189">
        <f>IF(DJ22="","",DJ22*5)</f>
        <v>13.333333333333332</v>
      </c>
      <c r="DL22" s="81"/>
      <c r="DM22" s="81"/>
      <c r="DN22" s="81"/>
      <c r="DO22" s="188">
        <f>IF(COUNT(DO20,DO16,DO13,DO10,DO4)=0,"",SUM($B$4*IF(COUNT(DO4)=0,0,DO4),$B$10*IF(COUNT(DO10)=0,0,DO10),$B$13*IF(COUNT(DO13)=0,0,DO13),$B$16*IF(COUNT(DO16)=0,0,DO16),$B$20*IF(COUNT(DO20)=0,0,DO20))/SUM($B$4*COUNT(DO4),$B$10*COUNT(DO10),$B$13*COUNT(DO13),$B$16*COUNT(DO16),$B$20*COUNT(DO20)))</f>
        <v>3.5138888888888893</v>
      </c>
      <c r="DP22" s="195">
        <f>IF(DO22="","",DO22*5)</f>
        <v>17.569444444444446</v>
      </c>
      <c r="DQ22" s="81"/>
      <c r="DR22" s="81"/>
      <c r="DS22" s="81"/>
      <c r="DT22" s="81"/>
      <c r="DU22" s="188">
        <f>IF(COUNT(DU20,DU16,DU13,DU10,DU4)=0,"",SUM($B$4*IF(COUNT(DU4)=0,0,DU4),$B$10*IF(COUNT(DU10)=0,0,DU10),$B$13*IF(COUNT(DU13)=0,0,DU13),$B$16*IF(COUNT(DU16)=0,0,DU16),$B$20*IF(COUNT(DU20)=0,0,DU20))/SUM($B$4*COUNT(DU4),$B$10*COUNT(DU10),$B$13*COUNT(DU13),$B$16*COUNT(DU16),$B$20*COUNT(DU20)))</f>
        <v>3.5333333333333328</v>
      </c>
      <c r="DV22" s="212">
        <f>IF(DU22="","",DU22*5)</f>
        <v>17.666666666666664</v>
      </c>
      <c r="DW22" s="175"/>
      <c r="DX22" s="175"/>
      <c r="DY22" s="150"/>
      <c r="DZ22" s="150"/>
      <c r="EA22" s="150"/>
      <c r="EB22" s="188">
        <f>IF(COUNT(EB20,EB16,EB13,EB10,EB4)=0,"",SUM($B$4*IF(COUNT(EB4)=0,0,EB4),$B$10*IF(COUNT(EB10)=0,0,EB10),$B$13*IF(COUNT(EB13)=0,0,EB13),$B$16*IF(COUNT(EB16)=0,0,EB16),$B$20*IF(COUNT(EB20)=0,0,EB20))/SUM($B$4*COUNT(EB4),$B$10*COUNT(EB10),$B$13*COUNT(EB13),$B$16*COUNT(EB16),$B$20*COUNT(EB20)))</f>
        <v>2.5</v>
      </c>
      <c r="EC22" s="189">
        <f>IF(EB22="","",EB22*5)</f>
        <v>12.5</v>
      </c>
      <c r="ED22" s="81"/>
      <c r="EE22" s="81"/>
      <c r="EF22" s="81"/>
      <c r="EG22" s="188">
        <f>IF(COUNT(EG20,EG16,EG13,EG10,EG4)=0,"",SUM($B$4*IF(COUNT(EG4)=0,0,EG4),$B$10*IF(COUNT(EG10)=0,0,EG10),$B$13*IF(COUNT(EG13)=0,0,EG13),$B$16*IF(COUNT(EG16)=0,0,EG16),$B$20*IF(COUNT(EG20)=0,0,EG20))/SUM($B$4*COUNT(EG4),$B$10*COUNT(EG10),$B$13*COUNT(EG13),$B$16*COUNT(EG16),$B$20*COUNT(EG20)))</f>
        <v>2.7361111111111112</v>
      </c>
      <c r="EH22" s="195">
        <f>IF(EG22="","",EG22*5)</f>
        <v>13.680555555555555</v>
      </c>
      <c r="EI22" s="81"/>
      <c r="EJ22" s="81"/>
      <c r="EK22" s="81"/>
      <c r="EL22" s="81"/>
      <c r="EM22" s="188">
        <f>IF(COUNT(EM20,EM16,EM13,EM10,EM4)=0,"",SUM($B$4*IF(COUNT(EM4)=0,0,EM4),$B$10*IF(COUNT(EM10)=0,0,EM10),$B$13*IF(COUNT(EM13)=0,0,EM13),$B$16*IF(COUNT(EM16)=0,0,EM16),$B$20*IF(COUNT(EM20)=0,0,EM20))/SUM($B$4*COUNT(EM4),$B$10*COUNT(EM10),$B$13*COUNT(EM13),$B$16*COUNT(EM16),$B$20*COUNT(EM20)))</f>
        <v>3.5833333333333335</v>
      </c>
      <c r="EN22" s="212">
        <f>IF(EM22="","",EM22*5)</f>
        <v>17.916666666666668</v>
      </c>
      <c r="EO22" s="175"/>
      <c r="EP22" s="175"/>
      <c r="EQ22" s="150"/>
      <c r="ER22" s="150"/>
      <c r="ES22" s="150"/>
      <c r="ET22" s="188" t="str">
        <f>IF(COUNT(ET20,ET16,ET13,ET10,ET4)=0,"",SUM($B$4*IF(COUNT(ET4)=0,0,ET4),$B$10*IF(COUNT(ET10)=0,0,ET10),$B$13*IF(COUNT(ET13)=0,0,ET13),$B$16*IF(COUNT(ET16)=0,0,ET16),$B$20*IF(COUNT(ET20)=0,0,ET20))/SUM($B$4*COUNT(ET4),$B$10*COUNT(ET10),$B$13*COUNT(ET13),$B$16*COUNT(ET16),$B$20*COUNT(ET20)))</f>
        <v/>
      </c>
      <c r="EU22" s="189" t="str">
        <f>IF(ET22="","",ET22*5)</f>
        <v/>
      </c>
      <c r="EV22" s="81"/>
      <c r="EW22" s="81"/>
      <c r="EX22" s="81"/>
      <c r="EY22" s="188">
        <f>IF(COUNT(EY20,EY16,EY13,EY10,EY4)=0,"",SUM($B$4*IF(COUNT(EY4)=0,0,EY4),$B$10*IF(COUNT(EY10)=0,0,EY10),$B$13*IF(COUNT(EY13)=0,0,EY13),$B$16*IF(COUNT(EY16)=0,0,EY16),$B$20*IF(COUNT(EY20)=0,0,EY20))/SUM($B$4*COUNT(EY4),$B$10*COUNT(EY10),$B$13*COUNT(EY13),$B$16*COUNT(EY16),$B$20*COUNT(EY20)))</f>
        <v>2.6388888888888888</v>
      </c>
      <c r="EZ22" s="195">
        <f>IF(EY22="","",EY22*5)</f>
        <v>13.194444444444445</v>
      </c>
      <c r="FA22" s="81"/>
      <c r="FB22" s="81"/>
      <c r="FC22" s="81"/>
      <c r="FD22" s="81"/>
      <c r="FE22" s="188">
        <f>IF(COUNT(FE20,FE16,FE13,FE10,FE4)=0,"",SUM($B$4*IF(COUNT(FE4)=0,0,FE4),$B$10*IF(COUNT(FE10)=0,0,FE10),$B$13*IF(COUNT(FE13)=0,0,FE13),$B$16*IF(COUNT(FE16)=0,0,FE16),$B$20*IF(COUNT(FE20)=0,0,FE20))/SUM($B$4*COUNT(FE4),$B$10*COUNT(FE10),$B$13*COUNT(FE13),$B$16*COUNT(FE16),$B$20*COUNT(FE20)))</f>
        <v>3.1111111111111107</v>
      </c>
      <c r="FF22" s="212">
        <f>IF(FE22="","",FE22*5)</f>
        <v>15.555555555555554</v>
      </c>
      <c r="FG22" s="175"/>
      <c r="FH22" s="175"/>
      <c r="FI22" s="150"/>
      <c r="FJ22" s="150"/>
      <c r="FK22" s="150"/>
      <c r="FL22" s="188">
        <f>IF(COUNT(FL20,FL16,FL13,FL10,FL4)=0,"",SUM($B$4*IF(COUNT(FL4)=0,0,FL4),$B$10*IF(COUNT(FL10)=0,0,FL10),$B$13*IF(COUNT(FL13)=0,0,FL13),$B$16*IF(COUNT(FL16)=0,0,FL16),$B$20*IF(COUNT(FL20)=0,0,FL20))/SUM($B$4*COUNT(FL4),$B$10*COUNT(FL10),$B$13*COUNT(FL13),$B$16*COUNT(FL16),$B$20*COUNT(FL20)))</f>
        <v>2.9166666666666665</v>
      </c>
      <c r="FM22" s="189">
        <f>IF(FL22="","",FL22*5)</f>
        <v>14.583333333333332</v>
      </c>
      <c r="FN22" s="81"/>
      <c r="FO22" s="81"/>
      <c r="FP22" s="81"/>
      <c r="FQ22" s="188">
        <f>IF(COUNT(FQ20,FQ16,FQ13,FQ10,FQ4)=0,"",SUM($B$4*IF(COUNT(FQ4)=0,0,FQ4),$B$10*IF(COUNT(FQ10)=0,0,FQ10),$B$13*IF(COUNT(FQ13)=0,0,FQ13),$B$16*IF(COUNT(FQ16)=0,0,FQ16),$B$20*IF(COUNT(FQ20)=0,0,FQ20))/SUM($B$4*COUNT(FQ4),$B$10*COUNT(FQ10),$B$13*COUNT(FQ13),$B$16*COUNT(FQ16),$B$20*COUNT(FQ20)))</f>
        <v>3.1666666666666665</v>
      </c>
      <c r="FR22" s="195">
        <f>IF(FQ22="","",FQ22*5)</f>
        <v>15.833333333333332</v>
      </c>
      <c r="FS22" s="81"/>
      <c r="FT22" s="81"/>
      <c r="FU22" s="81"/>
      <c r="FV22" s="81"/>
      <c r="FW22" s="188">
        <f>IF(COUNT(FW20,FW16,FW13,FW10,FW4)=0,"",SUM($B$4*IF(COUNT(FW4)=0,0,FW4),$B$10*IF(COUNT(FW10)=0,0,FW10),$B$13*IF(COUNT(FW13)=0,0,FW13),$B$16*IF(COUNT(FW16)=0,0,FW16),$B$20*IF(COUNT(FW20)=0,0,FW20))/SUM($B$4*COUNT(FW4),$B$10*COUNT(FW10),$B$13*COUNT(FW13),$B$16*COUNT(FW16),$B$20*COUNT(FW20)))</f>
        <v>3.25</v>
      </c>
      <c r="FX22" s="212">
        <f>IF(FW22="","",FW22*5)</f>
        <v>16.25</v>
      </c>
      <c r="FY22" s="175"/>
      <c r="FZ22" s="175"/>
      <c r="GA22" s="150"/>
      <c r="GB22" s="150"/>
      <c r="GC22" s="150"/>
      <c r="GD22" s="188">
        <f>IF(COUNT(GD20,GD16,GD13,GD10,GD4)=0,"",SUM($B$4*IF(COUNT(GD4)=0,0,GD4),$B$10*IF(COUNT(GD10)=0,0,GD10),$B$13*IF(COUNT(GD13)=0,0,GD13),$B$16*IF(COUNT(GD16)=0,0,GD16),$B$20*IF(COUNT(GD20)=0,0,GD20))/SUM($B$4*COUNT(GD4),$B$10*COUNT(GD10),$B$13*COUNT(GD13),$B$16*COUNT(GD16),$B$20*COUNT(GD20)))</f>
        <v>2.9166666666666665</v>
      </c>
      <c r="GE22" s="189">
        <f>IF(GD22="","",GD22*5)</f>
        <v>14.583333333333332</v>
      </c>
      <c r="GF22" s="81"/>
      <c r="GG22" s="81"/>
      <c r="GH22" s="81"/>
      <c r="GI22" s="188">
        <f>IF(COUNT(GI20,GI16,GI13,GI10,GI4)=0,"",SUM($B$4*IF(COUNT(GI4)=0,0,GI4),$B$10*IF(COUNT(GI10)=0,0,GI10),$B$13*IF(COUNT(GI13)=0,0,GI13),$B$16*IF(COUNT(GI16)=0,0,GI16),$B$20*IF(COUNT(GI20)=0,0,GI20))/SUM($B$4*COUNT(GI4),$B$10*COUNT(GI10),$B$13*COUNT(GI13),$B$16*COUNT(GI16),$B$20*COUNT(GI20)))</f>
        <v>2.6666666666666665</v>
      </c>
      <c r="GJ22" s="195">
        <f>IF(GI22="","",GI22*5)</f>
        <v>13.333333333333332</v>
      </c>
      <c r="GK22" s="81"/>
      <c r="GL22" s="81"/>
      <c r="GM22" s="81"/>
      <c r="GN22" s="81"/>
      <c r="GO22" s="188">
        <f>IF(COUNT(GO20,GO16,GO13,GO10,GO4)=0,"",SUM($B$4*IF(COUNT(GO4)=0,0,GO4),$B$10*IF(COUNT(GO10)=0,0,GO10),$B$13*IF(COUNT(GO13)=0,0,GO13),$B$16*IF(COUNT(GO16)=0,0,GO16),$B$20*IF(COUNT(GO20)=0,0,GO20))/SUM($B$4*COUNT(GO4),$B$10*COUNT(GO10),$B$13*COUNT(GO13),$B$16*COUNT(GO16),$B$20*COUNT(GO20)))</f>
        <v>3.4444444444444446</v>
      </c>
      <c r="GP22" s="212">
        <f>IF(GO22="","",GO22*5)</f>
        <v>17.222222222222221</v>
      </c>
      <c r="GQ22" s="175"/>
      <c r="GR22" s="175"/>
      <c r="GS22" s="150"/>
      <c r="GT22" s="150"/>
      <c r="GU22" s="150"/>
      <c r="GV22" s="188">
        <f>IF(COUNT(GV20,GV16,GV13,GV10,GV4)=0,"",SUM($B$4*IF(COUNT(GV4)=0,0,GV4),$B$10*IF(COUNT(GV10)=0,0,GV10),$B$13*IF(COUNT(GV13)=0,0,GV13),$B$16*IF(COUNT(GV16)=0,0,GV16),$B$20*IF(COUNT(GV20)=0,0,GV20))/SUM($B$4*COUNT(GV4),$B$10*COUNT(GV10),$B$13*COUNT(GV13),$B$16*COUNT(GV16),$B$20*COUNT(GV20)))</f>
        <v>2.75</v>
      </c>
      <c r="GW22" s="189">
        <f>IF(GV22="","",GV22*5)</f>
        <v>13.75</v>
      </c>
      <c r="GX22" s="81"/>
      <c r="GY22" s="81"/>
      <c r="GZ22" s="81"/>
      <c r="HA22" s="188">
        <f>IF(COUNT(HA20,HA16,HA13,HA10,HA4)=0,"",SUM($B$4*IF(COUNT(HA4)=0,0,HA4),$B$10*IF(COUNT(HA10)=0,0,HA10),$B$13*IF(COUNT(HA13)=0,0,HA13),$B$16*IF(COUNT(HA16)=0,0,HA16),$B$20*IF(COUNT(HA20)=0,0,HA20))/SUM($B$4*COUNT(HA4),$B$10*COUNT(HA10),$B$13*COUNT(HA13),$B$16*COUNT(HA16),$B$20*COUNT(HA20)))</f>
        <v>2.9861111111111112</v>
      </c>
      <c r="HB22" s="195">
        <f>IF(HA22="","",HA22*5)</f>
        <v>14.930555555555555</v>
      </c>
      <c r="HC22" s="81"/>
      <c r="HD22" s="81"/>
      <c r="HE22" s="81"/>
      <c r="HF22" s="81"/>
      <c r="HG22" s="188">
        <f>IF(COUNT(HG20,HG16,HG13,HG10,HG4)=0,"",SUM($B$4*IF(COUNT(HG4)=0,0,HG4),$B$10*IF(COUNT(HG10)=0,0,HG10),$B$13*IF(COUNT(HG13)=0,0,HG13),$B$16*IF(COUNT(HG16)=0,0,HG16),$B$20*IF(COUNT(HG20)=0,0,HG20))/SUM($B$4*COUNT(HG4),$B$10*COUNT(HG10),$B$13*COUNT(HG13),$B$16*COUNT(HG16),$B$20*COUNT(HG20)))</f>
        <v>3.3611111111111107</v>
      </c>
      <c r="HH22" s="212">
        <f>IF(HG22="","",HG22*5)</f>
        <v>16.805555555555554</v>
      </c>
      <c r="HI22" s="175"/>
      <c r="HJ22" s="175"/>
      <c r="HK22" s="150"/>
      <c r="HL22" s="150"/>
      <c r="HM22" s="150"/>
      <c r="HN22" s="188">
        <f>IF(COUNT(HN20,HN16,HN13,HN10,HN4)=0,"",SUM($B$4*IF(COUNT(HN4)=0,0,HN4),$B$10*IF(COUNT(HN10)=0,0,HN10),$B$13*IF(COUNT(HN13)=0,0,HN13),$B$16*IF(COUNT(HN16)=0,0,HN16),$B$20*IF(COUNT(HN20)=0,0,HN20))/SUM($B$4*COUNT(HN4),$B$10*COUNT(HN10),$B$13*COUNT(HN13),$B$16*COUNT(HN16),$B$20*COUNT(HN20)))</f>
        <v>2.4166666666666665</v>
      </c>
      <c r="HO22" s="189">
        <f>IF(HN22="","",HN22*5)</f>
        <v>12.083333333333332</v>
      </c>
      <c r="HP22" s="81"/>
      <c r="HQ22" s="81"/>
      <c r="HR22" s="81"/>
      <c r="HS22" s="188">
        <f>IF(COUNT(HS20,HS16,HS13,HS10,HS4)=0,"",SUM($B$4*IF(COUNT(HS4)=0,0,HS4),$B$10*IF(COUNT(HS10)=0,0,HS10),$B$13*IF(COUNT(HS13)=0,0,HS13),$B$16*IF(COUNT(HS16)=0,0,HS16),$B$20*IF(COUNT(HS20)=0,0,HS20))/SUM($B$4*COUNT(HS4),$B$10*COUNT(HS10),$B$13*COUNT(HS13),$B$16*COUNT(HS16),$B$20*COUNT(HS20)))</f>
        <v>2.9166666666666665</v>
      </c>
      <c r="HT22" s="195">
        <f>IF(HS22="","",HS22*5)</f>
        <v>14.583333333333332</v>
      </c>
      <c r="HU22" s="81"/>
      <c r="HV22" s="81"/>
      <c r="HW22" s="81"/>
      <c r="HX22" s="81"/>
      <c r="HY22" s="188">
        <f>IF(COUNT(HY20,HY16,HY13,HY10,HY4)=0,"",SUM($B$4*IF(COUNT(HY4)=0,0,HY4),$B$10*IF(COUNT(HY10)=0,0,HY10),$B$13*IF(COUNT(HY13)=0,0,HY13),$B$16*IF(COUNT(HY16)=0,0,HY16),$B$20*IF(COUNT(HY20)=0,0,HY20))/SUM($B$4*COUNT(HY4),$B$10*COUNT(HY10),$B$13*COUNT(HY13),$B$16*COUNT(HY16),$B$20*COUNT(HY20)))</f>
        <v>3.3888888888888893</v>
      </c>
      <c r="HZ22" s="212">
        <f>IF(HY22="","",HY22*5)</f>
        <v>16.944444444444446</v>
      </c>
      <c r="IA22" s="175"/>
      <c r="IB22" s="175"/>
      <c r="IC22" s="150"/>
      <c r="ID22" s="150"/>
      <c r="IE22" s="150"/>
      <c r="IF22" s="188">
        <f>IF(COUNT(IF20,IF16,IF13,IF10,IF4)=0,"",SUM($B$4*IF(COUNT(IF4)=0,0,IF4),$B$10*IF(COUNT(IF10)=0,0,IF10),$B$13*IF(COUNT(IF13)=0,0,IF13),$B$16*IF(COUNT(IF16)=0,0,IF16),$B$20*IF(COUNT(IF20)=0,0,IF20))/SUM($B$4*COUNT(IF4),$B$10*COUNT(IF10),$B$13*COUNT(IF13),$B$16*COUNT(IF16),$B$20*COUNT(IF20)))</f>
        <v>2.6666666666666665</v>
      </c>
      <c r="IG22" s="189">
        <f>IF(IF22="","",IF22*5)</f>
        <v>13.333333333333332</v>
      </c>
      <c r="IH22" s="81"/>
      <c r="II22" s="81"/>
      <c r="IJ22" s="81"/>
      <c r="IK22" s="188">
        <f>IF(COUNT(IK20,IK16,IK13,IK10,IK4)=0,"",SUM($B$4*IF(COUNT(IK4)=0,0,IK4),$B$10*IF(COUNT(IK10)=0,0,IK10),$B$13*IF(COUNT(IK13)=0,0,IK13),$B$16*IF(COUNT(IK16)=0,0,IK16),$B$20*IF(COUNT(IK20)=0,0,IK20))/SUM($B$4*COUNT(IK4),$B$10*COUNT(IK10),$B$13*COUNT(IK13),$B$16*COUNT(IK16),$B$20*COUNT(IK20)))</f>
        <v>3.0555555555555558</v>
      </c>
      <c r="IL22" s="195">
        <f>IF(IK22="","",IK22*5)</f>
        <v>15.277777777777779</v>
      </c>
      <c r="IM22" s="81"/>
      <c r="IN22" s="81"/>
      <c r="IO22" s="81"/>
      <c r="IP22" s="81"/>
      <c r="IQ22" s="188">
        <f>IF(COUNT(IQ20,IQ16,IQ13,IQ10,IQ4)=0,"",SUM($B$4*IF(COUNT(IQ4)=0,0,IQ4),$B$10*IF(COUNT(IQ10)=0,0,IQ10),$B$13*IF(COUNT(IQ13)=0,0,IQ13),$B$16*IF(COUNT(IQ16)=0,0,IQ16),$B$20*IF(COUNT(IQ20)=0,0,IQ20))/SUM($B$4*COUNT(IQ4),$B$10*COUNT(IQ10),$B$13*COUNT(IQ13),$B$16*COUNT(IQ16),$B$20*COUNT(IQ20)))</f>
        <v>3.0555555555555558</v>
      </c>
      <c r="IR22" s="212">
        <f>IF(IQ22="","",IQ22*5)</f>
        <v>15.277777777777779</v>
      </c>
      <c r="IS22" s="175"/>
      <c r="IT22" s="175"/>
      <c r="IU22" s="150"/>
      <c r="IV22" s="150"/>
      <c r="IW22" s="150"/>
      <c r="IX22" s="188">
        <f>IF(COUNT(IX20,IX16,IX13,IX10,IX4)=0,"",SUM($B$4*IF(COUNT(IX4)=0,0,IX4),$B$10*IF(COUNT(IX10)=0,0,IX10),$B$13*IF(COUNT(IX13)=0,0,IX13),$B$16*IF(COUNT(IX16)=0,0,IX16),$B$20*IF(COUNT(IX20)=0,0,IX20))/SUM($B$4*COUNT(IX4),$B$10*COUNT(IX10),$B$13*COUNT(IX13),$B$16*COUNT(IX16),$B$20*COUNT(IX20)))</f>
        <v>2.6666666666666665</v>
      </c>
      <c r="IY22" s="189">
        <f>IF(IX22="","",IX22*5)</f>
        <v>13.333333333333332</v>
      </c>
      <c r="IZ22" s="81"/>
      <c r="JA22" s="81"/>
      <c r="JB22" s="81"/>
      <c r="JC22" s="188">
        <f>IF(COUNT(JC20,JC16,JC13,JC10,JC4)=0,"",SUM($B$4*IF(COUNT(JC4)=0,0,JC4),$B$10*IF(COUNT(JC10)=0,0,JC10),$B$13*IF(COUNT(JC13)=0,0,JC13),$B$16*IF(COUNT(JC16)=0,0,JC16),$B$20*IF(COUNT(JC20)=0,0,JC20))/SUM($B$4*COUNT(JC4),$B$10*COUNT(JC10),$B$13*COUNT(JC13),$B$16*COUNT(JC16),$B$20*COUNT(JC20)))</f>
        <v>3.4027777777777772</v>
      </c>
      <c r="JD22" s="195">
        <f>IF(JC22="","",JC22*5)</f>
        <v>17.013888888888886</v>
      </c>
      <c r="JE22" s="81"/>
      <c r="JF22" s="81"/>
      <c r="JG22" s="81"/>
      <c r="JH22" s="81"/>
      <c r="JI22" s="188">
        <f>IF(COUNT(JI20,JI16,JI13,JI10,JI4)=0,"",SUM($B$4*IF(COUNT(JI4)=0,0,JI4),$B$10*IF(COUNT(JI10)=0,0,JI10),$B$13*IF(COUNT(JI13)=0,0,JI13),$B$16*IF(COUNT(JI16)=0,0,JI16),$B$20*IF(COUNT(JI20)=0,0,JI20))/SUM($B$4*COUNT(JI4),$B$10*COUNT(JI10),$B$13*COUNT(JI13),$B$16*COUNT(JI16),$B$20*COUNT(JI20)))</f>
        <v>3.25</v>
      </c>
      <c r="JJ22" s="212">
        <f>IF(JI22="","",JI22*5)</f>
        <v>16.25</v>
      </c>
      <c r="JK22" s="175"/>
      <c r="JL22" s="175"/>
      <c r="JM22" s="150"/>
      <c r="JN22" s="150"/>
      <c r="JO22" s="150"/>
      <c r="JP22" s="188">
        <f>IF(COUNT(JP20,JP16,JP13,JP10,JP4)=0,"",SUM($B$4*IF(COUNT(JP4)=0,0,JP4),$B$10*IF(COUNT(JP10)=0,0,JP10),$B$13*IF(COUNT(JP13)=0,0,JP13),$B$16*IF(COUNT(JP16)=0,0,JP16),$B$20*IF(COUNT(JP20)=0,0,JP20))/SUM($B$4*COUNT(JP4),$B$10*COUNT(JP10),$B$13*COUNT(JP13),$B$16*COUNT(JP16),$B$20*COUNT(JP20)))</f>
        <v>2.75</v>
      </c>
      <c r="JQ22" s="189">
        <f>IF(JP22="","",JP22*5)</f>
        <v>13.75</v>
      </c>
      <c r="JR22" s="81"/>
      <c r="JS22" s="81"/>
      <c r="JT22" s="81"/>
      <c r="JU22" s="188">
        <f>IF(COUNT(JU20,JU16,JU13,JU10,JU4)=0,"",SUM($B$4*IF(COUNT(JU4)=0,0,JU4),$B$10*IF(COUNT(JU10)=0,0,JU10),$B$13*IF(COUNT(JU13)=0,0,JU13),$B$16*IF(COUNT(JU16)=0,0,JU16),$B$20*IF(COUNT(JU20)=0,0,JU20))/SUM($B$4*COUNT(JU4),$B$10*COUNT(JU10),$B$13*COUNT(JU13),$B$16*COUNT(JU16),$B$20*COUNT(JU20)))</f>
        <v>3.25</v>
      </c>
      <c r="JV22" s="195">
        <f>IF(JU22="","",JU22*5)</f>
        <v>16.25</v>
      </c>
      <c r="JW22" s="81"/>
      <c r="JX22" s="81"/>
      <c r="JY22" s="81"/>
      <c r="JZ22" s="81"/>
      <c r="KA22" s="188">
        <f>IF(COUNT(KA20,KA16,KA13,KA10,KA4)=0,"",SUM($B$4*IF(COUNT(KA4)=0,0,KA4),$B$10*IF(COUNT(KA10)=0,0,KA10),$B$13*IF(COUNT(KA13)=0,0,KA13),$B$16*IF(COUNT(KA16)=0,0,KA16),$B$20*IF(COUNT(KA20)=0,0,KA20))/SUM($B$4*COUNT(KA4),$B$10*COUNT(KA10),$B$13*COUNT(KA13),$B$16*COUNT(KA16),$B$20*COUNT(KA20)))</f>
        <v>3.6666666666666665</v>
      </c>
      <c r="KB22" s="212">
        <f>IF(KA22="","",KA22*5)</f>
        <v>18.333333333333332</v>
      </c>
      <c r="KC22" s="175"/>
      <c r="KD22" s="175"/>
      <c r="KE22" s="150"/>
      <c r="KF22" s="150"/>
      <c r="KG22" s="150"/>
      <c r="KH22" s="188">
        <f>IF(COUNT(KH20,KH16,KH13,KH10,KH4)=0,"",SUM($B$4*IF(COUNT(KH4)=0,0,KH4),$B$10*IF(COUNT(KH10)=0,0,KH10),$B$13*IF(COUNT(KH13)=0,0,KH13),$B$16*IF(COUNT(KH16)=0,0,KH16),$B$20*IF(COUNT(KH20)=0,0,KH20))/SUM($B$4*COUNT(KH4),$B$10*COUNT(KH10),$B$13*COUNT(KH13),$B$16*COUNT(KH16),$B$20*COUNT(KH20)))</f>
        <v>2.5833333333333335</v>
      </c>
      <c r="KI22" s="189">
        <f>IF(KH22="","",KH22*5)</f>
        <v>12.916666666666668</v>
      </c>
      <c r="KJ22" s="81"/>
      <c r="KK22" s="81"/>
      <c r="KL22" s="81"/>
      <c r="KM22" s="188">
        <f>IF(COUNT(KM20,KM16,KM13,KM10,KM4)=0,"",SUM($B$4*IF(COUNT(KM4)=0,0,KM4),$B$10*IF(COUNT(KM10)=0,0,KM10),$B$13*IF(COUNT(KM13)=0,0,KM13),$B$16*IF(COUNT(KM16)=0,0,KM16),$B$20*IF(COUNT(KM20)=0,0,KM20))/SUM($B$4*COUNT(KM4),$B$10*COUNT(KM10),$B$13*COUNT(KM13),$B$16*COUNT(KM16),$B$20*COUNT(KM20)))</f>
        <v>3.0555555555555554</v>
      </c>
      <c r="KN22" s="195">
        <f>IF(KM22="","",KM22*5)</f>
        <v>15.277777777777777</v>
      </c>
      <c r="KO22" s="81"/>
      <c r="KP22" s="81"/>
      <c r="KQ22" s="81"/>
      <c r="KR22" s="81"/>
      <c r="KS22" s="188">
        <f>IF(COUNT(KS20,KS16,KS13,KS10,KS4)=0,"",SUM($B$4*IF(COUNT(KS4)=0,0,KS4),$B$10*IF(COUNT(KS10)=0,0,KS10),$B$13*IF(COUNT(KS13)=0,0,KS13),$B$16*IF(COUNT(KS16)=0,0,KS16),$B$20*IF(COUNT(KS20)=0,0,KS20))/SUM($B$4*COUNT(KS4),$B$10*COUNT(KS10),$B$13*COUNT(KS13),$B$16*COUNT(KS16),$B$20*COUNT(KS20)))</f>
        <v>3.0666666666666669</v>
      </c>
      <c r="KT22" s="212">
        <f>IF(KS22="","",KS22*5)</f>
        <v>15.333333333333334</v>
      </c>
      <c r="KU22" s="175"/>
      <c r="KV22" s="175"/>
      <c r="KW22" s="150"/>
      <c r="KX22" s="150"/>
      <c r="KY22" s="150"/>
      <c r="KZ22" s="188">
        <f>IF(COUNT(KZ20,KZ16,KZ13,KZ10,KZ4)=0,"",SUM($B$4*IF(COUNT(KZ4)=0,0,KZ4),$B$10*IF(COUNT(KZ10)=0,0,KZ10),$B$13*IF(COUNT(KZ13)=0,0,KZ13),$B$16*IF(COUNT(KZ16)=0,0,KZ16),$B$20*IF(COUNT(KZ20)=0,0,KZ20))/SUM($B$4*COUNT(KZ4),$B$10*COUNT(KZ10),$B$13*COUNT(KZ13),$B$16*COUNT(KZ16),$B$20*COUNT(KZ20)))</f>
        <v>2.5</v>
      </c>
      <c r="LA22" s="189">
        <f>IF(KZ22="","",KZ22*5)</f>
        <v>12.5</v>
      </c>
      <c r="LB22" s="81"/>
      <c r="LC22" s="81"/>
      <c r="LD22" s="81"/>
      <c r="LE22" s="188">
        <f>IF(COUNT(LE20,LE16,LE13,LE10,LE4)=0,"",SUM($B$4*IF(COUNT(LE4)=0,0,LE4),$B$10*IF(COUNT(LE10)=0,0,LE10),$B$13*IF(COUNT(LE13)=0,0,LE13),$B$16*IF(COUNT(LE16)=0,0,LE16),$B$20*IF(COUNT(LE20)=0,0,LE20))/SUM($B$4*COUNT(LE4),$B$10*COUNT(LE10),$B$13*COUNT(LE13),$B$16*COUNT(LE16),$B$20*COUNT(LE20)))</f>
        <v>3.3055555555555558</v>
      </c>
      <c r="LF22" s="195">
        <f>IF(LE22="","",LE22*5)</f>
        <v>16.527777777777779</v>
      </c>
      <c r="LG22" s="81"/>
      <c r="LH22" s="81"/>
      <c r="LI22" s="81"/>
      <c r="LJ22" s="81"/>
      <c r="LK22" s="188">
        <f>IF(COUNT(LK20,LK16,LK13,LK10,LK4)=0,"",SUM($B$4*IF(COUNT(LK4)=0,0,LK4),$B$10*IF(COUNT(LK10)=0,0,LK10),$B$13*IF(COUNT(LK13)=0,0,LK13),$B$16*IF(COUNT(LK16)=0,0,LK16),$B$20*IF(COUNT(LK20)=0,0,LK20))/SUM($B$4*COUNT(LK4),$B$10*COUNT(LK10),$B$13*COUNT(LK13),$B$16*COUNT(LK16),$B$20*COUNT(LK20)))</f>
        <v>3.5</v>
      </c>
      <c r="LL22" s="212">
        <f>IF(LK22="","",LK22*5)</f>
        <v>17.5</v>
      </c>
      <c r="LM22" s="175"/>
      <c r="LN22" s="175"/>
      <c r="LO22" s="150"/>
      <c r="LP22" s="150"/>
      <c r="LQ22" s="150"/>
      <c r="LR22" s="188">
        <f>IF(COUNT(LR20,LR16,LR13,LR10,LR4)=0,"",SUM($B$4*IF(COUNT(LR4)=0,0,LR4),$B$10*IF(COUNT(LR10)=0,0,LR10),$B$13*IF(COUNT(LR13)=0,0,LR13),$B$16*IF(COUNT(LR16)=0,0,LR16),$B$20*IF(COUNT(LR20)=0,0,LR20))/SUM($B$4*COUNT(LR4),$B$10*COUNT(LR10),$B$13*COUNT(LR13),$B$16*COUNT(LR16),$B$20*COUNT(LR20)))</f>
        <v>2.8333333333333335</v>
      </c>
      <c r="LS22" s="189">
        <f>IF(LR22="","",LR22*5)</f>
        <v>14.166666666666668</v>
      </c>
      <c r="LT22" s="81"/>
      <c r="LU22" s="81"/>
      <c r="LV22" s="81"/>
      <c r="LW22" s="188">
        <f>IF(COUNT(LW20,LW16,LW13,LW10,LW4)=0,"",SUM($B$4*IF(COUNT(LW4)=0,0,LW4),$B$10*IF(COUNT(LW10)=0,0,LW10),$B$13*IF(COUNT(LW13)=0,0,LW13),$B$16*IF(COUNT(LW16)=0,0,LW16),$B$20*IF(COUNT(LW20)=0,0,LW20))/SUM($B$4*COUNT(LW4),$B$10*COUNT(LW10),$B$13*COUNT(LW13),$B$16*COUNT(LW16),$B$20*COUNT(LW20)))</f>
        <v>2.7222222222222228</v>
      </c>
      <c r="LX22" s="195">
        <f>IF(LW22="","",LW22*5)</f>
        <v>13.611111111111114</v>
      </c>
      <c r="LY22" s="81"/>
      <c r="LZ22" s="81"/>
      <c r="MA22" s="81"/>
      <c r="MB22" s="81"/>
      <c r="MC22" s="188">
        <f>IF(COUNT(MC20,MC16,MC13,MC10,MC4)=0,"",SUM($B$4*IF(COUNT(MC4)=0,0,MC4),$B$10*IF(COUNT(MC10)=0,0,MC10),$B$13*IF(COUNT(MC13)=0,0,MC13),$B$16*IF(COUNT(MC16)=0,0,MC16),$B$20*IF(COUNT(MC20)=0,0,MC20))/SUM($B$4*COUNT(MC4),$B$10*COUNT(MC10),$B$13*COUNT(MC13),$B$16*COUNT(MC16),$B$20*COUNT(MC20)))</f>
        <v>2.5833333333333335</v>
      </c>
      <c r="MD22" s="212">
        <f>IF(MC22="","",MC22*5)</f>
        <v>12.916666666666668</v>
      </c>
      <c r="ME22" s="175"/>
      <c r="MF22" s="175"/>
      <c r="MG22" s="150"/>
      <c r="MH22" s="150"/>
      <c r="MI22" s="150"/>
      <c r="MJ22" s="188">
        <f>IF(COUNT(MJ20,MJ16,MJ13,MJ10,MJ4)=0,"",SUM($B$4*IF(COUNT(MJ4)=0,0,MJ4),$B$10*IF(COUNT(MJ10)=0,0,MJ10),$B$13*IF(COUNT(MJ13)=0,0,MJ13),$B$16*IF(COUNT(MJ16)=0,0,MJ16),$B$20*IF(COUNT(MJ20)=0,0,MJ20))/SUM($B$4*COUNT(MJ4),$B$10*COUNT(MJ10),$B$13*COUNT(MJ13),$B$16*COUNT(MJ16),$B$20*COUNT(MJ20)))</f>
        <v>2.5</v>
      </c>
      <c r="MK22" s="189">
        <f>IF(MJ22="","",MJ22*5)</f>
        <v>12.5</v>
      </c>
      <c r="ML22" s="81"/>
      <c r="MM22" s="81"/>
      <c r="MN22" s="81"/>
      <c r="MO22" s="188">
        <f>IF(COUNT(MO20,MO16,MO13,MO10,MO4)=0,"",SUM($B$4*IF(COUNT(MO4)=0,0,MO4),$B$10*IF(COUNT(MO10)=0,0,MO10),$B$13*IF(COUNT(MO13)=0,0,MO13),$B$16*IF(COUNT(MO16)=0,0,MO16),$B$20*IF(COUNT(MO20)=0,0,MO20))/SUM($B$4*COUNT(MO4),$B$10*COUNT(MO10),$B$13*COUNT(MO13),$B$16*COUNT(MO16),$B$20*COUNT(MO20)))</f>
        <v>3.2083333333333335</v>
      </c>
      <c r="MP22" s="195">
        <f>IF(MO22="","",MO22*5)</f>
        <v>16.041666666666668</v>
      </c>
      <c r="MQ22" s="81"/>
      <c r="MR22" s="81"/>
      <c r="MS22" s="81"/>
      <c r="MT22" s="81"/>
      <c r="MU22" s="188">
        <f>IF(COUNT(MU20,MU16,MU13,MU10,MU4)=0,"",SUM($B$4*IF(COUNT(MU4)=0,0,MU4),$B$10*IF(COUNT(MU10)=0,0,MU10),$B$13*IF(COUNT(MU13)=0,0,MU13),$B$16*IF(COUNT(MU16)=0,0,MU16),$B$20*IF(COUNT(MU20)=0,0,MU20))/SUM($B$4*COUNT(MU4),$B$10*COUNT(MU10),$B$13*COUNT(MU13),$B$16*COUNT(MU16),$B$20*COUNT(MU20)))</f>
        <v>3.1388888888888888</v>
      </c>
      <c r="MV22" s="212">
        <f>IF(MU22="","",MU22*5)</f>
        <v>15.694444444444445</v>
      </c>
      <c r="MW22" s="175"/>
      <c r="MX22" s="175"/>
      <c r="MY22" s="150"/>
      <c r="MZ22" s="150"/>
      <c r="NA22" s="150"/>
      <c r="NB22" s="188">
        <f>IF(COUNT(NB20,NB16,NB13,NB10,NB4)=0,"",SUM($B$4*IF(COUNT(NB4)=0,0,NB4),$B$10*IF(COUNT(NB10)=0,0,NB10),$B$13*IF(COUNT(NB13)=0,0,NB13),$B$16*IF(COUNT(NB16)=0,0,NB16),$B$20*IF(COUNT(NB20)=0,0,NB20))/SUM($B$4*COUNT(NB4),$B$10*COUNT(NB10),$B$13*COUNT(NB13),$B$16*COUNT(NB16),$B$20*COUNT(NB20)))</f>
        <v>2.8333333333333335</v>
      </c>
      <c r="NC22" s="189">
        <f>IF(NB22="","",NB22*5)</f>
        <v>14.166666666666668</v>
      </c>
      <c r="ND22" s="81"/>
      <c r="NE22" s="81"/>
      <c r="NF22" s="81"/>
      <c r="NG22" s="188">
        <f>IF(COUNT(NG20,NG16,NG13,NG10,NG4)=0,"",SUM($B$4*IF(COUNT(NG4)=0,0,NG4),$B$10*IF(COUNT(NG10)=0,0,NG10),$B$13*IF(COUNT(NG13)=0,0,NG13),$B$16*IF(COUNT(NG16)=0,0,NG16),$B$20*IF(COUNT(NG20)=0,0,NG20))/SUM($B$4*COUNT(NG4),$B$10*COUNT(NG10),$B$13*COUNT(NG13),$B$16*COUNT(NG16),$B$20*COUNT(NG20)))</f>
        <v>2.9444444444444442</v>
      </c>
      <c r="NH22" s="195">
        <f>IF(NG22="","",NG22*5)</f>
        <v>14.722222222222221</v>
      </c>
      <c r="NI22" s="81"/>
      <c r="NJ22" s="81"/>
      <c r="NK22" s="81"/>
      <c r="NL22" s="81"/>
      <c r="NM22" s="188">
        <f>IF(COUNT(NM20,NM16,NM13,NM10,NM4)=0,"",SUM($B$4*IF(COUNT(NM4)=0,0,NM4),$B$10*IF(COUNT(NM10)=0,0,NM10),$B$13*IF(COUNT(NM13)=0,0,NM13),$B$16*IF(COUNT(NM16)=0,0,NM16),$B$20*IF(COUNT(NM20)=0,0,NM20))/SUM($B$4*COUNT(NM4),$B$10*COUNT(NM10),$B$13*COUNT(NM13),$B$16*COUNT(NM16),$B$20*COUNT(NM20)))</f>
        <v>3.5833333333333335</v>
      </c>
      <c r="NN22" s="212">
        <f>IF(NM22="","",NM22*5)</f>
        <v>17.916666666666668</v>
      </c>
      <c r="NO22" s="175"/>
      <c r="NP22" s="175"/>
      <c r="NQ22" s="150"/>
      <c r="NR22" s="150"/>
      <c r="NS22" s="150"/>
      <c r="NT22" s="188">
        <f>IF(COUNT(NT20,NT16,NT13,NT10,NT4)=0,"",SUM($B$4*IF(COUNT(NT4)=0,0,NT4),$B$10*IF(COUNT(NT10)=0,0,NT10),$B$13*IF(COUNT(NT13)=0,0,NT13),$B$16*IF(COUNT(NT16)=0,0,NT16),$B$20*IF(COUNT(NT20)=0,0,NT20))/SUM($B$4*COUNT(NT4),$B$10*COUNT(NT10),$B$13*COUNT(NT13),$B$16*COUNT(NT16),$B$20*COUNT(NT20)))</f>
        <v>1.6</v>
      </c>
      <c r="NU22" s="189">
        <f>IF(NT22="","",NT22*5)</f>
        <v>8</v>
      </c>
      <c r="NV22" s="81"/>
      <c r="NW22" s="81"/>
      <c r="NX22" s="81"/>
      <c r="NY22" s="188">
        <f>IF(COUNT(NY20,NY16,NY13,NY10,NY4)=0,"",SUM($B$4*IF(COUNT(NY4)=0,0,NY4),$B$10*IF(COUNT(NY10)=0,0,NY10),$B$13*IF(COUNT(NY13)=0,0,NY13),$B$16*IF(COUNT(NY16)=0,0,NY16),$B$20*IF(COUNT(NY20)=0,0,NY20))/SUM($B$4*COUNT(NY4),$B$10*COUNT(NY10),$B$13*COUNT(NY13),$B$16*COUNT(NY16),$B$20*COUNT(NY20)))</f>
        <v>2.4444444444444446</v>
      </c>
      <c r="NZ22" s="195">
        <f>IF(NY22="","",NY22*5)</f>
        <v>12.222222222222223</v>
      </c>
      <c r="OA22" s="81"/>
      <c r="OB22" s="81"/>
      <c r="OC22" s="81"/>
      <c r="OD22" s="81"/>
      <c r="OE22" s="188">
        <f>IF(COUNT(OE20,OE16,OE13,OE10,OE4)=0,"",SUM($B$4*IF(COUNT(OE4)=0,0,OE4),$B$10*IF(COUNT(OE10)=0,0,OE10),$B$13*IF(COUNT(OE13)=0,0,OE13),$B$16*IF(COUNT(OE16)=0,0,OE16),$B$20*IF(COUNT(OE20)=0,0,OE20))/SUM($B$4*COUNT(OE4),$B$10*COUNT(OE10),$B$13*COUNT(OE13),$B$16*COUNT(OE16),$B$20*COUNT(OE20)))</f>
        <v>2.1666666666666665</v>
      </c>
      <c r="OF22" s="212">
        <f>IF(OE22="","",OE22*5)</f>
        <v>10.833333333333332</v>
      </c>
      <c r="OG22" s="175"/>
      <c r="OH22" s="175"/>
      <c r="OI22" s="150"/>
      <c r="OJ22" s="150"/>
      <c r="OK22" s="150"/>
      <c r="OL22" s="188">
        <f>IF(COUNT(OL20,OL16,OL13,OL10,OL4)=0,"",SUM($B$4*IF(COUNT(OL4)=0,0,OL4),$B$10*IF(COUNT(OL10)=0,0,OL10),$B$13*IF(COUNT(OL13)=0,0,OL13),$B$16*IF(COUNT(OL16)=0,0,OL16),$B$20*IF(COUNT(OL20)=0,0,OL20))/SUM($B$4*COUNT(OL4),$B$10*COUNT(OL10),$B$13*COUNT(OL13),$B$16*COUNT(OL16),$B$20*COUNT(OL20)))</f>
        <v>3.25</v>
      </c>
      <c r="OM22" s="189">
        <f>IF(OL22="","",OL22*5)</f>
        <v>16.25</v>
      </c>
      <c r="ON22" s="81"/>
      <c r="OO22" s="81"/>
      <c r="OP22" s="81"/>
      <c r="OQ22" s="188">
        <f>IF(COUNT(OQ20,OQ16,OQ13,OQ10,OQ4)=0,"",SUM($B$4*IF(COUNT(OQ4)=0,0,OQ4),$B$10*IF(COUNT(OQ10)=0,0,OQ10),$B$13*IF(COUNT(OQ13)=0,0,OQ13),$B$16*IF(COUNT(OQ16)=0,0,OQ16),$B$20*IF(COUNT(OQ20)=0,0,OQ20))/SUM($B$4*COUNT(OQ4),$B$10*COUNT(OQ10),$B$13*COUNT(OQ13),$B$16*COUNT(OQ16),$B$20*COUNT(OQ20)))</f>
        <v>3.5</v>
      </c>
      <c r="OR22" s="195">
        <f>IF(OQ22="","",OQ22*5)</f>
        <v>17.5</v>
      </c>
      <c r="OS22" s="81"/>
      <c r="OT22" s="81"/>
      <c r="OU22" s="81"/>
      <c r="OV22" s="81"/>
      <c r="OW22" s="188">
        <f>IF(COUNT(OW20,OW16,OW13,OW10,OW4)=0,"",SUM($B$4*IF(COUNT(OW4)=0,0,OW4),$B$10*IF(COUNT(OW10)=0,0,OW10),$B$13*IF(COUNT(OW13)=0,0,OW13),$B$16*IF(COUNT(OW16)=0,0,OW16),$B$20*IF(COUNT(OW20)=0,0,OW20))/SUM($B$4*COUNT(OW4),$B$10*COUNT(OW10),$B$13*COUNT(OW13),$B$16*COUNT(OW16),$B$20*COUNT(OW20)))</f>
        <v>3.6111111111111112</v>
      </c>
      <c r="OX22" s="212">
        <f>IF(OW22="","",OW22*5)</f>
        <v>18.055555555555557</v>
      </c>
      <c r="OY22" s="175"/>
      <c r="OZ22" s="175"/>
      <c r="PA22" s="150"/>
      <c r="PB22" s="150"/>
      <c r="PC22" s="150"/>
      <c r="PD22" s="188" t="str">
        <f>IF(COUNT(PD20,PD16,PD13,PD10,PD4)=0,"",SUM($B$4*IF(COUNT(PD4)=0,0,PD4),$B$10*IF(COUNT(PD10)=0,0,PD10),$B$13*IF(COUNT(PD13)=0,0,PD13),$B$16*IF(COUNT(PD16)=0,0,PD16),$B$20*IF(COUNT(PD20)=0,0,PD20))/SUM($B$4*COUNT(PD4),$B$10*COUNT(PD10),$B$13*COUNT(PD13),$B$16*COUNT(PD16),$B$20*COUNT(PD20)))</f>
        <v/>
      </c>
      <c r="PE22" s="189" t="str">
        <f>IF(PD22="","",PD22*5)</f>
        <v/>
      </c>
      <c r="PF22" s="81"/>
      <c r="PG22" s="81"/>
      <c r="PH22" s="81"/>
      <c r="PI22" s="188">
        <f>IF(COUNT(PI20,PI16,PI13,PI10,PI4)=0,"",SUM($B$4*IF(COUNT(PI4)=0,0,PI4),$B$10*IF(COUNT(PI10)=0,0,PI10),$B$13*IF(COUNT(PI13)=0,0,PI13),$B$16*IF(COUNT(PI16)=0,0,PI16),$B$20*IF(COUNT(PI20)=0,0,PI20))/SUM($B$4*COUNT(PI4),$B$10*COUNT(PI10),$B$13*COUNT(PI13),$B$16*COUNT(PI16),$B$20*COUNT(PI20)))</f>
        <v>2.8194444444444442</v>
      </c>
      <c r="PJ22" s="195">
        <f>IF(PI22="","",PI22*5)</f>
        <v>14.097222222222221</v>
      </c>
      <c r="PK22" s="81"/>
      <c r="PL22" s="81"/>
      <c r="PM22" s="81"/>
      <c r="PN22" s="81"/>
      <c r="PO22" s="188">
        <f>IF(COUNT(PO20,PO16,PO13,PO10,PO4)=0,"",SUM($B$4*IF(COUNT(PO4)=0,0,PO4),$B$10*IF(COUNT(PO10)=0,0,PO10),$B$13*IF(COUNT(PO13)=0,0,PO13),$B$16*IF(COUNT(PO16)=0,0,PO16),$B$20*IF(COUNT(PO20)=0,0,PO20))/SUM($B$4*COUNT(PO4),$B$10*COUNT(PO10),$B$13*COUNT(PO13),$B$16*COUNT(PO16),$B$20*COUNT(PO20)))</f>
        <v>3</v>
      </c>
      <c r="PP22" s="212">
        <f>IF(PO22="","",PO22*5)</f>
        <v>15</v>
      </c>
      <c r="PQ22" s="175"/>
      <c r="PR22" s="175"/>
      <c r="PS22" s="150"/>
      <c r="PT22" s="150"/>
      <c r="PU22" s="150"/>
      <c r="PV22" s="188">
        <f>IF(COUNT(PV20,PV16,PV13,PV10,PV4)=0,"",SUM($B$4*IF(COUNT(PV4)=0,0,PV4),$B$10*IF(COUNT(PV10)=0,0,PV10),$B$13*IF(COUNT(PV13)=0,0,PV13),$B$16*IF(COUNT(PV16)=0,0,PV16),$B$20*IF(COUNT(PV20)=0,0,PV20))/SUM($B$4*COUNT(PV4),$B$10*COUNT(PV10),$B$13*COUNT(PV13),$B$16*COUNT(PV16),$B$20*COUNT(PV20)))</f>
        <v>3.3333333333333335</v>
      </c>
      <c r="PW22" s="189">
        <f>IF(PV22="","",PV22*5)</f>
        <v>16.666666666666668</v>
      </c>
      <c r="PX22" s="81"/>
      <c r="PY22" s="81"/>
      <c r="PZ22" s="81"/>
      <c r="QA22" s="188">
        <f>IF(COUNT(QA20,QA16,QA13,QA10,QA4)=0,"",SUM($B$4*IF(COUNT(QA4)=0,0,QA4),$B$10*IF(COUNT(QA10)=0,0,QA10),$B$13*IF(COUNT(QA13)=0,0,QA13),$B$16*IF(COUNT(QA16)=0,0,QA16),$B$20*IF(COUNT(QA20)=0,0,QA20))/SUM($B$4*COUNT(QA4),$B$10*COUNT(QA10),$B$13*COUNT(QA13),$B$16*COUNT(QA16),$B$20*COUNT(QA20)))</f>
        <v>3.375</v>
      </c>
      <c r="QB22" s="195">
        <f>IF(QA22="","",QA22*5)</f>
        <v>16.875</v>
      </c>
      <c r="QC22" s="81"/>
      <c r="QD22" s="81"/>
      <c r="QE22" s="81"/>
      <c r="QF22" s="81"/>
      <c r="QG22" s="188">
        <f>IF(COUNT(QG20,QG16,QG13,QG10,QG4)=0,"",SUM($B$4*IF(COUNT(QG4)=0,0,QG4),$B$10*IF(COUNT(QG10)=0,0,QG10),$B$13*IF(COUNT(QG13)=0,0,QG13),$B$16*IF(COUNT(QG16)=0,0,QG16),$B$20*IF(COUNT(QG20)=0,0,QG20))/SUM($B$4*COUNT(QG4),$B$10*COUNT(QG10),$B$13*COUNT(QG13),$B$16*COUNT(QG16),$B$20*COUNT(QG20)))</f>
        <v>3.6111111111111112</v>
      </c>
      <c r="QH22" s="212">
        <f>IF(QG22="","",QG22*5)</f>
        <v>18.055555555555557</v>
      </c>
      <c r="QI22" s="175"/>
      <c r="QJ22" s="175"/>
      <c r="QK22" s="150"/>
      <c r="QL22" s="150"/>
      <c r="QM22" s="150"/>
      <c r="QN22" s="188">
        <f>IF(COUNT(QN20,QN16,QN13,QN10,QN4)=0,"",SUM($B$4*IF(COUNT(QN4)=0,0,QN4),$B$10*IF(COUNT(QN10)=0,0,QN10),$B$13*IF(COUNT(QN13)=0,0,QN13),$B$16*IF(COUNT(QN16)=0,0,QN16),$B$20*IF(COUNT(QN20)=0,0,QN20))/SUM($B$4*COUNT(QN4),$B$10*COUNT(QN10),$B$13*COUNT(QN13),$B$16*COUNT(QN16),$B$20*COUNT(QN20)))</f>
        <v>2.5833333333333335</v>
      </c>
      <c r="QO22" s="189">
        <f>IF(QN22="","",QN22*5)</f>
        <v>12.916666666666668</v>
      </c>
      <c r="QP22" s="81"/>
      <c r="QQ22" s="81"/>
      <c r="QR22" s="81"/>
      <c r="QS22" s="188">
        <f>IF(COUNT(QS20,QS16,QS13,QS10,QS4)=0,"",SUM($B$4*IF(COUNT(QS4)=0,0,QS4),$B$10*IF(COUNT(QS10)=0,0,QS10),$B$13*IF(COUNT(QS13)=0,0,QS13),$B$16*IF(COUNT(QS16)=0,0,QS16),$B$20*IF(COUNT(QS20)=0,0,QS20))/SUM($B$4*COUNT(QS4),$B$10*COUNT(QS10),$B$13*COUNT(QS13),$B$16*COUNT(QS16),$B$20*COUNT(QS20)))</f>
        <v>3.0555555555555554</v>
      </c>
      <c r="QT22" s="195">
        <f>IF(QS22="","",QS22*5)</f>
        <v>15.277777777777777</v>
      </c>
      <c r="QU22" s="81"/>
      <c r="QV22" s="81"/>
      <c r="QW22" s="81"/>
      <c r="QX22" s="81"/>
      <c r="QY22" s="188">
        <f>IF(COUNT(QY20,QY16,QY13,QY10,QY4)=0,"",SUM($B$4*IF(COUNT(QY4)=0,0,QY4),$B$10*IF(COUNT(QY10)=0,0,QY10),$B$13*IF(COUNT(QY13)=0,0,QY13),$B$16*IF(COUNT(QY16)=0,0,QY16),$B$20*IF(COUNT(QY20)=0,0,QY20))/SUM($B$4*COUNT(QY4),$B$10*COUNT(QY10),$B$13*COUNT(QY13),$B$16*COUNT(QY16),$B$20*COUNT(QY20)))</f>
        <v>3</v>
      </c>
      <c r="QZ22" s="212">
        <f>IF(QY22="","",QY22*5)</f>
        <v>15</v>
      </c>
      <c r="RA22" s="175"/>
      <c r="RB22" s="175"/>
      <c r="RC22" s="150"/>
      <c r="RD22" s="150"/>
      <c r="RE22" s="150"/>
      <c r="RF22" s="188">
        <f>IF(COUNT(RF20,RF16,RF13,RF10,RF4)=0,"",SUM($B$4*IF(COUNT(RF4)=0,0,RF4),$B$10*IF(COUNT(RF10)=0,0,RF10),$B$13*IF(COUNT(RF13)=0,0,RF13),$B$16*IF(COUNT(RF16)=0,0,RF16),$B$20*IF(COUNT(RF20)=0,0,RF20))/SUM($B$4*COUNT(RF4),$B$10*COUNT(RF10),$B$13*COUNT(RF13),$B$16*COUNT(RF16),$B$20*COUNT(RF20)))</f>
        <v>2.75</v>
      </c>
      <c r="RG22" s="189">
        <f>IF(RF22="","",RF22*5)</f>
        <v>13.75</v>
      </c>
      <c r="RH22" s="81"/>
      <c r="RI22" s="81"/>
      <c r="RJ22" s="81"/>
      <c r="RK22" s="188">
        <f>IF(COUNT(RK20,RK16,RK13,RK10,RK4)=0,"",SUM($B$4*IF(COUNT(RK4)=0,0,RK4),$B$10*IF(COUNT(RK10)=0,0,RK10),$B$13*IF(COUNT(RK13)=0,0,RK13),$B$16*IF(COUNT(RK16)=0,0,RK16),$B$20*IF(COUNT(RK20)=0,0,RK20))/SUM($B$4*COUNT(RK4),$B$10*COUNT(RK10),$B$13*COUNT(RK13),$B$16*COUNT(RK16),$B$20*COUNT(RK20)))</f>
        <v>2.875</v>
      </c>
      <c r="RL22" s="195">
        <f>IF(RK22="","",RK22*5)</f>
        <v>14.375</v>
      </c>
      <c r="RM22" s="81"/>
      <c r="RN22" s="81"/>
      <c r="RO22" s="81"/>
      <c r="RP22" s="81"/>
      <c r="RQ22" s="188">
        <f>IF(COUNT(RQ20,RQ16,RQ13,RQ10,RQ4)=0,"",SUM($B$4*IF(COUNT(RQ4)=0,0,RQ4),$B$10*IF(COUNT(RQ10)=0,0,RQ10),$B$13*IF(COUNT(RQ13)=0,0,RQ13),$B$16*IF(COUNT(RQ16)=0,0,RQ16),$B$20*IF(COUNT(RQ20)=0,0,RQ20))/SUM($B$4*COUNT(RQ4),$B$10*COUNT(RQ10),$B$13*COUNT(RQ13),$B$16*COUNT(RQ16),$B$20*COUNT(RQ20)))</f>
        <v>2.5</v>
      </c>
      <c r="RR22" s="212">
        <f>IF(RQ22="","",RQ22*5)</f>
        <v>12.5</v>
      </c>
      <c r="RS22" s="175"/>
      <c r="RT22" s="175"/>
      <c r="RU22" s="150"/>
      <c r="RV22" s="150"/>
      <c r="RW22" s="150"/>
      <c r="RX22" s="188">
        <f>IF(COUNT(RX20,RX16,RX13,RX10,RX4)=0,"",SUM($B$4*IF(COUNT(RX4)=0,0,RX4),$B$10*IF(COUNT(RX10)=0,0,RX10),$B$13*IF(COUNT(RX13)=0,0,RX13),$B$16*IF(COUNT(RX16)=0,0,RX16),$B$20*IF(COUNT(RX20)=0,0,RX20))/SUM($B$4*COUNT(RX4),$B$10*COUNT(RX10),$B$13*COUNT(RX13),$B$16*COUNT(RX16),$B$20*COUNT(RX20)))</f>
        <v>3.5</v>
      </c>
      <c r="RY22" s="189">
        <f>IF(RX22="","",RX22*5)</f>
        <v>17.5</v>
      </c>
      <c r="RZ22" s="81"/>
      <c r="SA22" s="81"/>
      <c r="SB22" s="81"/>
      <c r="SC22" s="188">
        <f>IF(COUNT(SC20,SC16,SC13,SC10,SC4)=0,"",SUM($B$4*IF(COUNT(SC4)=0,0,SC4),$B$10*IF(COUNT(SC10)=0,0,SC10),$B$13*IF(COUNT(SC13)=0,0,SC13),$B$16*IF(COUNT(SC16)=0,0,SC16),$B$20*IF(COUNT(SC20)=0,0,SC20))/SUM($B$4*COUNT(SC4),$B$10*COUNT(SC10),$B$13*COUNT(SC13),$B$16*COUNT(SC16),$B$20*COUNT(SC20)))</f>
        <v>3.4444444444444442</v>
      </c>
      <c r="SD22" s="195">
        <f>IF(SC22="","",SC22*5)</f>
        <v>17.222222222222221</v>
      </c>
      <c r="SE22" s="81"/>
      <c r="SF22" s="81"/>
      <c r="SG22" s="81"/>
      <c r="SH22" s="81"/>
      <c r="SI22" s="188">
        <f>IF(COUNT(SI20,SI16,SI13,SI10,SI4)=0,"",SUM($B$4*IF(COUNT(SI4)=0,0,SI4),$B$10*IF(COUNT(SI10)=0,0,SI10),$B$13*IF(COUNT(SI13)=0,0,SI13),$B$16*IF(COUNT(SI16)=0,0,SI16),$B$20*IF(COUNT(SI20)=0,0,SI20))/SUM($B$4*COUNT(SI4),$B$10*COUNT(SI10),$B$13*COUNT(SI13),$B$16*COUNT(SI16),$B$20*COUNT(SI20)))</f>
        <v>3.4722222222222219</v>
      </c>
      <c r="SJ22" s="212">
        <f>IF(SI22="","",SI22*5)</f>
        <v>17.361111111111111</v>
      </c>
      <c r="SK22" s="175"/>
      <c r="SL22" s="175"/>
      <c r="SM22" s="150"/>
      <c r="SN22" s="150"/>
      <c r="SO22" s="150"/>
      <c r="SP22" s="188">
        <f>IF(COUNT(SP20,SP16,SP13,SP10,SP4)=0,"",SUM($B$4*IF(COUNT(SP4)=0,0,SP4),$B$10*IF(COUNT(SP10)=0,0,SP10),$B$13*IF(COUNT(SP13)=0,0,SP13),$B$16*IF(COUNT(SP16)=0,0,SP16),$B$20*IF(COUNT(SP20)=0,0,SP20))/SUM($B$4*COUNT(SP4),$B$10*COUNT(SP10),$B$13*COUNT(SP13),$B$16*COUNT(SP16),$B$20*COUNT(SP20)))</f>
        <v>2.9166666666666665</v>
      </c>
      <c r="SQ22" s="189">
        <f>IF(SP22="","",SP22*5)</f>
        <v>14.583333333333332</v>
      </c>
      <c r="SR22" s="81"/>
      <c r="SS22" s="81"/>
      <c r="ST22" s="81"/>
      <c r="SU22" s="188">
        <f>IF(COUNT(SU20,SU16,SU13,SU10,SU4)=0,"",SUM($B$4*IF(COUNT(SU4)=0,0,SU4),$B$10*IF(COUNT(SU10)=0,0,SU10),$B$13*IF(COUNT(SU13)=0,0,SU13),$B$16*IF(COUNT(SU16)=0,0,SU16),$B$20*IF(COUNT(SU20)=0,0,SU20))/SUM($B$4*COUNT(SU4),$B$10*COUNT(SU10),$B$13*COUNT(SU13),$B$16*COUNT(SU16),$B$20*COUNT(SU20)))</f>
        <v>3.5</v>
      </c>
      <c r="SV22" s="195">
        <f>IF(SU22="","",SU22*5)</f>
        <v>17.5</v>
      </c>
      <c r="SW22" s="81"/>
      <c r="SX22" s="81"/>
      <c r="SY22" s="81"/>
      <c r="SZ22" s="81"/>
      <c r="TA22" s="188">
        <f>IF(COUNT(TA20,TA16,TA13,TA10,TA4)=0,"",SUM($B$4*IF(COUNT(TA4)=0,0,TA4),$B$10*IF(COUNT(TA10)=0,0,TA10),$B$13*IF(COUNT(TA13)=0,0,TA13),$B$16*IF(COUNT(TA16)=0,0,TA16),$B$20*IF(COUNT(TA20)=0,0,TA20))/SUM($B$4*COUNT(TA4),$B$10*COUNT(TA10),$B$13*COUNT(TA13),$B$16*COUNT(TA16),$B$20*COUNT(TA20)))</f>
        <v>3.0092592592592595</v>
      </c>
      <c r="TB22" s="212">
        <f>IF(TA22="","",TA22*5)</f>
        <v>15.046296296296298</v>
      </c>
      <c r="TC22" s="175"/>
      <c r="TD22" s="175"/>
      <c r="TE22" s="150"/>
      <c r="TF22" s="150"/>
      <c r="TG22" s="150"/>
      <c r="TH22" s="188">
        <f>IF(COUNT(TH20,TH16,TH13,TH10,TH4)=0,"",SUM($B$4*IF(COUNT(TH4)=0,0,TH4),$B$10*IF(COUNT(TH10)=0,0,TH10),$B$13*IF(COUNT(TH13)=0,0,TH13),$B$16*IF(COUNT(TH16)=0,0,TH16),$B$20*IF(COUNT(TH20)=0,0,TH20))/SUM($B$4*COUNT(TH4),$B$10*COUNT(TH10),$B$13*COUNT(TH13),$B$16*COUNT(TH16),$B$20*COUNT(TH20)))</f>
        <v>2.4166666666666665</v>
      </c>
      <c r="TI22" s="189">
        <f>IF(TH22="","",TH22*5)</f>
        <v>12.083333333333332</v>
      </c>
      <c r="TJ22" s="81"/>
      <c r="TK22" s="81"/>
      <c r="TL22" s="81"/>
      <c r="TM22" s="188">
        <f>IF(COUNT(TM20,TM16,TM13,TM10,TM4)=0,"",SUM($B$4*IF(COUNT(TM4)=0,0,TM4),$B$10*IF(COUNT(TM10)=0,0,TM10),$B$13*IF(COUNT(TM13)=0,0,TM13),$B$16*IF(COUNT(TM16)=0,0,TM16),$B$20*IF(COUNT(TM20)=0,0,TM20))/SUM($B$4*COUNT(TM4),$B$10*COUNT(TM10),$B$13*COUNT(TM13),$B$16*COUNT(TM16),$B$20*COUNT(TM20)))</f>
        <v>2.9861111111111107</v>
      </c>
      <c r="TN22" s="195">
        <f>IF(TM22="","",TM22*5)</f>
        <v>14.930555555555554</v>
      </c>
      <c r="TO22" s="81"/>
      <c r="TP22" s="81"/>
      <c r="TQ22" s="81"/>
      <c r="TR22" s="81"/>
      <c r="TS22" s="188">
        <f>IF(COUNT(TS20,TS16,TS13,TS10,TS4)=0,"",SUM($B$4*IF(COUNT(TS4)=0,0,TS4),$B$10*IF(COUNT(TS10)=0,0,TS10),$B$13*IF(COUNT(TS13)=0,0,TS13),$B$16*IF(COUNT(TS16)=0,0,TS16),$B$20*IF(COUNT(TS20)=0,0,TS20))/SUM($B$4*COUNT(TS4),$B$10*COUNT(TS10),$B$13*COUNT(TS13),$B$16*COUNT(TS16),$B$20*COUNT(TS20)))</f>
        <v>3.0833333333333335</v>
      </c>
      <c r="TT22" s="212">
        <f>IF(TS22="","",TS22*5)</f>
        <v>15.416666666666668</v>
      </c>
      <c r="TU22" s="175"/>
      <c r="TV22" s="175"/>
    </row>
    <row r="23" spans="1:542" s="155" customFormat="1" ht="18" x14ac:dyDescent="0.35">
      <c r="A23" s="165"/>
      <c r="B23" s="165"/>
      <c r="F23" s="165"/>
      <c r="G23" s="165"/>
      <c r="K23" s="165"/>
      <c r="L23" s="165"/>
      <c r="Q23" s="165"/>
      <c r="R23" s="165"/>
      <c r="S23" s="191"/>
      <c r="T23" s="191"/>
      <c r="X23" s="165"/>
      <c r="Y23" s="165"/>
      <c r="AC23" s="165"/>
      <c r="AD23" s="165"/>
      <c r="AI23" s="165"/>
      <c r="AJ23" s="165"/>
      <c r="AK23" s="191"/>
      <c r="AL23" s="191"/>
      <c r="BC23" s="156"/>
      <c r="BD23" s="156"/>
      <c r="BU23" s="156"/>
      <c r="BV23" s="156"/>
      <c r="CM23" s="156"/>
      <c r="CN23" s="156"/>
      <c r="DE23" s="156"/>
      <c r="DF23" s="156"/>
      <c r="DW23" s="156"/>
      <c r="DX23" s="156"/>
      <c r="EO23" s="156"/>
      <c r="EP23" s="156"/>
      <c r="FG23" s="156"/>
      <c r="FH23" s="156"/>
      <c r="FY23" s="156"/>
      <c r="FZ23" s="156"/>
      <c r="GQ23" s="156"/>
      <c r="GR23" s="156"/>
      <c r="HI23" s="156"/>
      <c r="HJ23" s="156"/>
      <c r="IA23" s="156"/>
      <c r="IB23" s="156"/>
      <c r="IS23" s="156"/>
      <c r="IT23" s="156"/>
      <c r="JK23" s="156"/>
      <c r="JL23" s="156"/>
      <c r="KC23" s="156"/>
      <c r="KD23" s="156"/>
      <c r="KU23" s="156"/>
      <c r="KV23" s="156"/>
      <c r="LM23" s="156"/>
      <c r="LN23" s="156"/>
      <c r="ME23" s="156"/>
      <c r="MF23" s="156"/>
      <c r="MW23" s="156"/>
      <c r="MX23" s="156"/>
      <c r="NO23" s="156"/>
      <c r="NP23" s="156"/>
      <c r="OG23" s="156"/>
      <c r="OH23" s="156"/>
      <c r="OY23" s="156"/>
      <c r="OZ23" s="156"/>
      <c r="PQ23" s="156"/>
      <c r="PR23" s="156"/>
      <c r="QI23" s="156"/>
      <c r="QJ23" s="156"/>
      <c r="RA23" s="156"/>
      <c r="RB23" s="156"/>
      <c r="RS23" s="156"/>
      <c r="RT23" s="156"/>
      <c r="SK23" s="156"/>
      <c r="SL23" s="156"/>
      <c r="TC23" s="156"/>
      <c r="TD23" s="156"/>
      <c r="TU23" s="156"/>
      <c r="TV23" s="156"/>
    </row>
    <row r="24" spans="1:542" ht="18" x14ac:dyDescent="0.25">
      <c r="A24" s="166"/>
      <c r="B24" s="166"/>
      <c r="C24" s="157"/>
      <c r="D24" s="156"/>
      <c r="E24" s="156"/>
      <c r="F24" s="166"/>
      <c r="G24" s="166"/>
      <c r="I24" s="156"/>
      <c r="J24" s="156"/>
      <c r="M24" s="158"/>
      <c r="N24" s="158"/>
      <c r="O24" s="158"/>
      <c r="P24" s="158"/>
      <c r="Q24" s="190"/>
      <c r="S24" s="166"/>
      <c r="T24" s="166"/>
      <c r="U24" s="157"/>
      <c r="V24" s="156"/>
      <c r="W24" s="156"/>
      <c r="X24" s="166"/>
      <c r="Y24" s="166"/>
      <c r="AA24" s="156"/>
      <c r="AB24" s="156"/>
      <c r="AE24" s="158"/>
      <c r="AF24" s="158"/>
      <c r="AG24" s="158"/>
      <c r="AH24" s="158"/>
      <c r="AI24" s="190"/>
      <c r="AK24" s="166"/>
      <c r="AL24" s="166"/>
      <c r="AM24" s="157"/>
      <c r="AN24" s="156"/>
      <c r="AO24" s="156"/>
      <c r="AP24" s="157"/>
      <c r="AQ24" s="157"/>
      <c r="AS24" s="156"/>
      <c r="AT24" s="156"/>
      <c r="AW24" s="158"/>
      <c r="AX24" s="158"/>
      <c r="AY24" s="158"/>
      <c r="AZ24" s="158"/>
      <c r="BA24" s="158"/>
      <c r="BC24" s="157"/>
      <c r="BD24" s="157"/>
      <c r="BE24" s="157"/>
      <c r="BF24" s="156"/>
      <c r="BG24" s="156"/>
      <c r="BH24" s="157"/>
      <c r="BI24" s="157"/>
      <c r="BK24" s="156"/>
      <c r="BL24" s="156"/>
      <c r="BO24" s="158"/>
      <c r="BP24" s="158"/>
      <c r="BQ24" s="158"/>
      <c r="BR24" s="158"/>
      <c r="BS24" s="158"/>
      <c r="BU24" s="157"/>
      <c r="BV24" s="157"/>
      <c r="BW24" s="157"/>
      <c r="BX24" s="156"/>
      <c r="BY24" s="156"/>
      <c r="BZ24" s="157"/>
      <c r="CA24" s="157"/>
      <c r="CC24" s="156"/>
      <c r="CD24" s="156"/>
      <c r="CG24" s="158"/>
      <c r="CH24" s="158"/>
      <c r="CI24" s="158"/>
      <c r="CJ24" s="158"/>
      <c r="CK24" s="158"/>
      <c r="CM24" s="157"/>
      <c r="CN24" s="157"/>
      <c r="CO24" s="157"/>
      <c r="CP24" s="156"/>
      <c r="CQ24" s="156"/>
      <c r="CR24" s="157"/>
      <c r="CS24" s="157"/>
      <c r="CU24" s="156"/>
      <c r="CV24" s="156"/>
      <c r="CY24" s="158"/>
      <c r="CZ24" s="158"/>
      <c r="DA24" s="158"/>
      <c r="DB24" s="158"/>
      <c r="DC24" s="158"/>
      <c r="DE24" s="157"/>
      <c r="DF24" s="157"/>
      <c r="DG24" s="157"/>
      <c r="DH24" s="156"/>
      <c r="DI24" s="156"/>
      <c r="DJ24" s="157"/>
      <c r="DK24" s="157"/>
      <c r="DM24" s="156"/>
      <c r="DN24" s="156"/>
      <c r="DQ24" s="158"/>
      <c r="DR24" s="158"/>
      <c r="DS24" s="158"/>
      <c r="DT24" s="158"/>
      <c r="DU24" s="158"/>
      <c r="DW24" s="157"/>
      <c r="DX24" s="157"/>
      <c r="DY24" s="157"/>
      <c r="DZ24" s="156"/>
      <c r="EA24" s="156"/>
      <c r="EB24" s="157"/>
      <c r="EC24" s="157"/>
      <c r="EE24" s="156"/>
      <c r="EF24" s="156"/>
      <c r="EI24" s="158"/>
      <c r="EJ24" s="158"/>
      <c r="EK24" s="158"/>
      <c r="EL24" s="158"/>
      <c r="EM24" s="158"/>
      <c r="EO24" s="157"/>
      <c r="EP24" s="157"/>
      <c r="EQ24" s="157"/>
      <c r="ER24" s="156"/>
      <c r="ES24" s="156"/>
      <c r="ET24" s="157"/>
      <c r="EU24" s="157"/>
      <c r="EW24" s="156"/>
      <c r="EX24" s="156"/>
      <c r="FA24" s="158"/>
      <c r="FB24" s="158"/>
      <c r="FC24" s="158"/>
      <c r="FD24" s="158"/>
      <c r="FE24" s="158"/>
      <c r="FG24" s="157"/>
      <c r="FH24" s="157"/>
      <c r="FI24" s="157"/>
      <c r="FJ24" s="156"/>
      <c r="FK24" s="156"/>
      <c r="FL24" s="157"/>
      <c r="FM24" s="157"/>
      <c r="FO24" s="156"/>
      <c r="FP24" s="156"/>
      <c r="FS24" s="158"/>
      <c r="FT24" s="158"/>
      <c r="FU24" s="158"/>
      <c r="FV24" s="158"/>
      <c r="FW24" s="158"/>
      <c r="FY24" s="157"/>
      <c r="FZ24" s="157"/>
      <c r="GA24" s="157"/>
      <c r="GB24" s="156"/>
      <c r="GC24" s="156"/>
      <c r="GD24" s="157"/>
      <c r="GE24" s="157"/>
      <c r="GG24" s="156"/>
      <c r="GH24" s="156"/>
      <c r="GK24" s="158"/>
      <c r="GL24" s="158"/>
      <c r="GM24" s="158"/>
      <c r="GN24" s="158"/>
      <c r="GO24" s="158"/>
      <c r="GQ24" s="157"/>
      <c r="GR24" s="157"/>
      <c r="GS24" s="157"/>
      <c r="GT24" s="156"/>
      <c r="GU24" s="156"/>
      <c r="GV24" s="157"/>
      <c r="GW24" s="157"/>
      <c r="GY24" s="156"/>
      <c r="GZ24" s="156"/>
      <c r="HC24" s="158"/>
      <c r="HD24" s="158"/>
      <c r="HE24" s="158"/>
      <c r="HF24" s="158"/>
      <c r="HG24" s="158"/>
      <c r="HI24" s="157"/>
      <c r="HJ24" s="157"/>
      <c r="HK24" s="157"/>
      <c r="HL24" s="156"/>
      <c r="HM24" s="156"/>
      <c r="HN24" s="157"/>
      <c r="HO24" s="157"/>
      <c r="HQ24" s="156"/>
      <c r="HR24" s="156"/>
      <c r="HU24" s="158"/>
      <c r="HV24" s="158"/>
      <c r="HW24" s="158"/>
      <c r="HX24" s="158"/>
      <c r="HY24" s="158"/>
      <c r="IA24" s="157"/>
      <c r="IB24" s="157"/>
      <c r="IC24" s="157"/>
      <c r="ID24" s="156"/>
      <c r="IE24" s="156"/>
      <c r="IF24" s="157"/>
      <c r="IG24" s="157"/>
      <c r="II24" s="156"/>
      <c r="IJ24" s="156"/>
      <c r="IM24" s="158"/>
      <c r="IN24" s="158"/>
      <c r="IO24" s="158"/>
      <c r="IP24" s="158"/>
      <c r="IQ24" s="158"/>
      <c r="IS24" s="157"/>
      <c r="IT24" s="157"/>
      <c r="IU24" s="157"/>
      <c r="IV24" s="156"/>
      <c r="IW24" s="156"/>
      <c r="IX24" s="157"/>
      <c r="IY24" s="157"/>
      <c r="JA24" s="156"/>
      <c r="JB24" s="156"/>
      <c r="JE24" s="158"/>
      <c r="JF24" s="158"/>
      <c r="JG24" s="158"/>
      <c r="JH24" s="158"/>
      <c r="JI24" s="158"/>
      <c r="JK24" s="157"/>
      <c r="JL24" s="157"/>
      <c r="JM24" s="157"/>
      <c r="JN24" s="156"/>
      <c r="JO24" s="156"/>
      <c r="JP24" s="157"/>
      <c r="JQ24" s="157"/>
      <c r="JS24" s="156"/>
      <c r="JT24" s="156"/>
      <c r="JW24" s="158"/>
      <c r="JX24" s="158"/>
      <c r="JY24" s="158"/>
      <c r="JZ24" s="158"/>
      <c r="KA24" s="158"/>
      <c r="KC24" s="157"/>
      <c r="KD24" s="157"/>
      <c r="KE24" s="157"/>
      <c r="KF24" s="156"/>
      <c r="KG24" s="156"/>
      <c r="KH24" s="157"/>
      <c r="KI24" s="157"/>
      <c r="KK24" s="156"/>
      <c r="KL24" s="156"/>
      <c r="KO24" s="158"/>
      <c r="KP24" s="158"/>
      <c r="KQ24" s="158"/>
      <c r="KR24" s="158"/>
      <c r="KS24" s="158"/>
      <c r="KU24" s="157"/>
      <c r="KV24" s="157"/>
      <c r="KW24" s="157"/>
      <c r="KX24" s="156"/>
      <c r="KY24" s="156"/>
      <c r="KZ24" s="157"/>
      <c r="LA24" s="157"/>
      <c r="LC24" s="156"/>
      <c r="LD24" s="156"/>
      <c r="LG24" s="158"/>
      <c r="LH24" s="158"/>
      <c r="LI24" s="158"/>
      <c r="LJ24" s="158"/>
      <c r="LK24" s="158"/>
      <c r="LM24" s="157"/>
      <c r="LN24" s="157"/>
      <c r="LO24" s="157"/>
      <c r="LP24" s="156"/>
      <c r="LQ24" s="156"/>
      <c r="LR24" s="157"/>
      <c r="LS24" s="157"/>
      <c r="LU24" s="156"/>
      <c r="LV24" s="156"/>
      <c r="LY24" s="158"/>
      <c r="LZ24" s="158"/>
      <c r="MA24" s="158"/>
      <c r="MB24" s="158"/>
      <c r="MC24" s="158"/>
      <c r="ME24" s="157"/>
      <c r="MF24" s="157"/>
      <c r="MG24" s="157"/>
      <c r="MH24" s="156"/>
      <c r="MI24" s="156"/>
      <c r="MJ24" s="157"/>
      <c r="MK24" s="157"/>
      <c r="MM24" s="156"/>
      <c r="MN24" s="156"/>
      <c r="MQ24" s="158"/>
      <c r="MR24" s="158"/>
      <c r="MS24" s="158"/>
      <c r="MT24" s="158"/>
      <c r="MU24" s="158"/>
      <c r="MW24" s="157"/>
      <c r="MX24" s="157"/>
      <c r="MY24" s="157"/>
      <c r="MZ24" s="156"/>
      <c r="NA24" s="156"/>
      <c r="NB24" s="157"/>
      <c r="NC24" s="157"/>
      <c r="NE24" s="156"/>
      <c r="NF24" s="156"/>
      <c r="NI24" s="158"/>
      <c r="NJ24" s="158"/>
      <c r="NK24" s="158"/>
      <c r="NL24" s="158"/>
      <c r="NM24" s="158"/>
      <c r="NO24" s="157"/>
      <c r="NP24" s="157"/>
      <c r="NQ24" s="157"/>
      <c r="NR24" s="156"/>
      <c r="NS24" s="156"/>
      <c r="NT24" s="157"/>
      <c r="NU24" s="157"/>
      <c r="NW24" s="156"/>
      <c r="NX24" s="156"/>
      <c r="OA24" s="158"/>
      <c r="OB24" s="158"/>
      <c r="OC24" s="158"/>
      <c r="OD24" s="158"/>
      <c r="OE24" s="158"/>
      <c r="OG24" s="157"/>
      <c r="OH24" s="157"/>
      <c r="OI24" s="157"/>
      <c r="OJ24" s="156"/>
      <c r="OK24" s="156"/>
      <c r="OL24" s="157"/>
      <c r="OM24" s="157"/>
      <c r="OO24" s="156"/>
      <c r="OP24" s="156"/>
      <c r="OS24" s="158"/>
      <c r="OT24" s="158"/>
      <c r="OU24" s="158"/>
      <c r="OV24" s="158"/>
      <c r="OW24" s="158"/>
      <c r="OY24" s="157"/>
      <c r="OZ24" s="157"/>
      <c r="PA24" s="157"/>
      <c r="PB24" s="156"/>
      <c r="PC24" s="156"/>
      <c r="PD24" s="157"/>
      <c r="PE24" s="157"/>
      <c r="PG24" s="156"/>
      <c r="PH24" s="156"/>
      <c r="PK24" s="158"/>
      <c r="PL24" s="158"/>
      <c r="PM24" s="158"/>
      <c r="PN24" s="158"/>
      <c r="PO24" s="158"/>
      <c r="PQ24" s="157"/>
      <c r="PR24" s="157"/>
      <c r="PS24" s="157"/>
      <c r="PT24" s="156"/>
      <c r="PU24" s="156"/>
      <c r="PV24" s="157"/>
      <c r="PW24" s="157"/>
      <c r="PY24" s="156"/>
      <c r="PZ24" s="156"/>
      <c r="QC24" s="158"/>
      <c r="QD24" s="158"/>
      <c r="QE24" s="158"/>
      <c r="QF24" s="158"/>
      <c r="QG24" s="158"/>
      <c r="QI24" s="157"/>
      <c r="QJ24" s="157"/>
      <c r="QK24" s="157"/>
      <c r="QL24" s="156"/>
      <c r="QM24" s="156"/>
      <c r="QN24" s="157"/>
      <c r="QO24" s="157"/>
      <c r="QQ24" s="156"/>
      <c r="QR24" s="156"/>
      <c r="QU24" s="158"/>
      <c r="QV24" s="158"/>
      <c r="QW24" s="158"/>
      <c r="QX24" s="158"/>
      <c r="QY24" s="158"/>
      <c r="RA24" s="157"/>
      <c r="RB24" s="157"/>
      <c r="RC24" s="157"/>
      <c r="RD24" s="156"/>
      <c r="RE24" s="156"/>
      <c r="RF24" s="157"/>
      <c r="RG24" s="157"/>
      <c r="RI24" s="156"/>
      <c r="RJ24" s="156"/>
      <c r="RM24" s="158"/>
      <c r="RN24" s="158"/>
      <c r="RO24" s="158"/>
      <c r="RP24" s="158"/>
      <c r="RQ24" s="158"/>
      <c r="RS24" s="157"/>
      <c r="RT24" s="157"/>
      <c r="RU24" s="157"/>
      <c r="RV24" s="156"/>
      <c r="RW24" s="156"/>
      <c r="RX24" s="157"/>
      <c r="RY24" s="157"/>
      <c r="SA24" s="156"/>
      <c r="SB24" s="156"/>
      <c r="SE24" s="158"/>
      <c r="SF24" s="158"/>
      <c r="SG24" s="158"/>
      <c r="SH24" s="158"/>
      <c r="SI24" s="158"/>
      <c r="SK24" s="157"/>
      <c r="SL24" s="157"/>
      <c r="SM24" s="157"/>
      <c r="SN24" s="156"/>
      <c r="SO24" s="156"/>
      <c r="SP24" s="157"/>
      <c r="SQ24" s="157"/>
      <c r="SS24" s="156"/>
      <c r="ST24" s="156"/>
      <c r="SW24" s="158"/>
      <c r="SX24" s="158"/>
      <c r="SY24" s="158"/>
      <c r="SZ24" s="158"/>
      <c r="TA24" s="158"/>
      <c r="TC24" s="157"/>
      <c r="TD24" s="157"/>
      <c r="TE24" s="157"/>
      <c r="TF24" s="156"/>
      <c r="TG24" s="156"/>
      <c r="TH24" s="157"/>
      <c r="TI24" s="157"/>
      <c r="TK24" s="156"/>
      <c r="TL24" s="156"/>
      <c r="TO24" s="83"/>
      <c r="TP24" s="83"/>
      <c r="TQ24" s="83"/>
      <c r="TR24" s="83"/>
      <c r="TS24" s="83"/>
      <c r="TT24" s="83"/>
      <c r="TU24" s="83"/>
      <c r="TV24" s="83"/>
    </row>
  </sheetData>
  <sheetProtection algorithmName="SHA-512" hashValue="FZXVqdW4H1m67UHe8XO9WMweSmxZ1YQdGitd+WAEK2L1DFLQG+wjrnavNkybk/gBSyW+kNXlAdqLg+K3D0NyKQ==" saltValue="DNd29tmE+bl55aYz2FQaMQ==" spinCount="100000" sheet="1" insertColumns="0" deleteColumns="0" selectLockedCells="1"/>
  <dataConsolidate/>
  <mergeCells count="15">
    <mergeCell ref="A17:B17"/>
    <mergeCell ref="A18:B18"/>
    <mergeCell ref="A19:B19"/>
    <mergeCell ref="A21:B21"/>
    <mergeCell ref="A22:B22"/>
    <mergeCell ref="A9:B9"/>
    <mergeCell ref="A11:B11"/>
    <mergeCell ref="A12:B12"/>
    <mergeCell ref="A14:B14"/>
    <mergeCell ref="A15:B15"/>
    <mergeCell ref="A1:B1"/>
    <mergeCell ref="A5:B5"/>
    <mergeCell ref="A6:B6"/>
    <mergeCell ref="A7:B7"/>
    <mergeCell ref="A8:B8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ref!$B$3:$B$6</xm:f>
          </x14:formula1>
          <xm:sqref>H5:J9 C5:E9 M5:P9 U5:W9 Z5:AB9 AE5:AH9 C11:E12 H11:J12 M11:P12 U11:W12 Z11:AB12 AE11:AH12 C14:E15 H14:J15 M14:P15 U14:W15 Z14:AB15 AE14:AH15 C17:E19 H17:J19 M17:P19 U17:W19 Z17:AB19 AE17:AH19 C21:E21 H21:J21 M21:P21 U21:W21 Z21:AB21 AE21:AH21 PA5:PC9 PF5:PH9 PK5:PN9 PA11:PC12 PF11:PH12 PK11:PN12 PA14:PC15 PF14:PH15 PK14:PN15 PA17:PC19 PF17:PH19 PK17:PN19 PA21:PC21 PF21:PH21 PK21:PN21 PS5:PU9 PX5:PZ9 QC5:QF9 PS11:PU12 PX11:PZ12 QC11:QF12 PS14:PU15 PX14:PZ15 QC14:QF15 PS17:PU19 PX17:PZ19 QC17:QF19 PS21:PU21 PX21:PZ21 QC21:QF21 RC5:RE9 RH5:RJ9 RM5:RP9 RC11:RE12 RH11:RJ12 RM11:RP12 RC14:RE15 RH14:RJ15 RM14:RP15 RC17:RE19 RH17:RJ19 RM17:RP19 RC21:RE21 RH21:RJ21 RM21:RP21 QK5:QM9 QP5:QR9 QU5:QX9 QK11:QM12 QP11:QR12 QU11:QX12 QK14:QM15 QP14:QR15 QU14:QX15 QK17:QM19 QP17:QR19 QU17:QX19 QK21:QM21 QP21:QR21 QU21:QX21 RU5:RW9 RZ5:SB9 SE5:SH9 RU11:RW12 RZ11:SB12 SE11:SH12 RU14:RW15 RZ14:SB15 SE14:SH15 RU17:RW19 RZ17:SB19 SE17:SH19 RU21:RW21 RZ21:SB21 SE21:SH21 SM5:SO9 SR5:ST9 SW5:SZ9 SM11:SO12 SR11:ST12 SW11:SZ12 SM14:SO15 SR14:ST15 SW14:SZ15 SM17:SO19 SR17:ST19 SW17:SZ19 SM21:SO21 SR21:ST21 SW21:SZ21 AM5:AO9 AR5:AT9 AW5:AZ9 AM11:AO12 AR11:AT12 AW11:AZ12 AM14:AO15 AR14:AT15 AW14:AZ15 AM17:AO19 AR17:AT19 AW17:AZ19 AM21:AO21 AR21:AT21 AW21:AZ21 BE5:BG9 BJ5:BL9 BO5:BR9 BE11:BG12 BJ11:BL12 BO11:BR12 BE14:BG15 BJ14:BL15 BO14:BR15 BE17:BG19 BJ17:BL19 BO17:BR19 BE21:BG21 BJ21:BL21 BO21:BR21 BW5:BY9 CB5:CD9 CG5:CJ9 BW11:BY12 CB11:CD12 CG11:CJ12 BW14:BY15 CB14:CD15 CG14:CJ15 BW17:BY19 CB17:CD19 CG17:CJ19 BW21:BY21 CB21:CD21 CG21:CJ21 CO5:CQ9 CT5:CV9 CY5:DB9 CO11:CQ12 CT11:CV12 CY11:DB12 CO14:CQ15 CT14:CV15 CY14:DB15 CO17:CQ19 CT17:CV19 CY17:DB19 CO21:CQ21 CT21:CV21 CY21:DB21 DG5:DI9 DL5:DN9 DQ5:DT9 DG11:DI12 DL11:DN12 DQ11:DT12 DG14:DI15 DL14:DN15 DQ14:DT15 DG17:DI19 DL17:DN19 DQ17:DT19 DG21:DI21 DL21:DN21 DQ21:DT21 DY5:EA9 ED5:EF9 EI5:EL9 DY11:EA12 ED11:EF12 EI11:EL12 DY14:EA15 ED14:EF15 EI14:EL15 DY17:EA19 ED17:EF19 EI17:EL19 DY21:EA21 ED21:EF21 EI21:EL21 EQ5:ES9 EV5:EX9 FA5:FD9 EQ11:ES12 EV11:EX12 FA11:FD12 EQ14:ES15 EV14:EX15 FA14:FD15 EQ17:ES19 EV17:EX19 FA17:FD19 EQ21:ES21 EV21:EX21 FA21:FD21 FI5:FK9 FN5:FP9 FS5:FV9 FI11:FK12 FN11:FP12 FS11:FV12 FI14:FK15 FN14:FP15 FS14:FV15 FI17:FK19 FN17:FP19 FS17:FV19 FI21:FK21 FN21:FP21 FS21:FV21 GA5:GC9 GF5:GH9 GK5:GN9 GA11:GC12 GF11:GH12 GK11:GN12 GA14:GC15 GF14:GH15 GK14:GN15 GA17:GC19 GF17:GH19 GK17:GN19 GA21:GC21 GF21:GH21 GK21:GN21 GS5:GU9 GX5:GZ9 HC5:HF9 GS11:GU12 GX11:GZ12 HC11:HF12 GS14:GU15 GX14:GZ15 HC14:HF15 GS17:GU19 GX17:GZ19 HC17:HF19 GS21:GU21 GX21:GZ21 HC21:HF21 HK5:HM9 HP5:HR9 HU5:HX9 HK11:HM12 HP11:HR12 HU11:HX12 HK14:HM15 HP14:HR15 HU14:HX15 HK17:HM19 HP17:HR19 HU17:HX19 HK21:HM21 HP21:HR21 HU21:HX21 IC5:IE9 IH5:IJ9 IM5:IP9 IC11:IE12 IH11:IJ12 IM11:IP12 IC14:IE15 IH14:IJ15 IM14:IP15 IC17:IE19 IH17:IJ19 IM17:IP19 IC21:IE21 IH21:IJ21 IM21:IP21 IU5:IW9 IZ5:JB9 JE5:JH9 IU11:IW12 IZ11:JB12 JE11:JH12 IU14:IW15 IZ14:JB15 JE14:JH15 IU17:IW19 IZ17:JB19 JE17:JH19 IU21:IW21 IZ21:JB21 JE21:JH21 JM5:JO9 JR5:JT9 JW5:JZ9 JM11:JO12 JR11:JT12 JW11:JZ12 JM14:JO15 JR14:JT15 JW14:JZ15 JM17:JO19 JR17:JT19 JW17:JZ19 JM21:JO21 JR21:JT21 JW21:JZ21 KE5:KG9 KJ5:KL9 KO5:KR9 KE11:KG12 KJ11:KL12 KO11:KR12 KE14:KG15 KJ14:KL15 KO14:KR15 KE17:KG19 KJ17:KL19 KO17:KR19 KE21:KG21 KJ21:KL21 KO21:KR21 KW5:KY9 LB5:LD9 LG5:LJ9 KW11:KY12 LB11:LD12 LG11:LJ12 KW14:KY15 LB14:LD15 LG14:LJ15 KW17:KY19 LB17:LD19 LG17:LJ19 KW21:KY21 LB21:LD21 LG21:LJ21 LO5:LQ9 LT5:LV9 LY5:MB9 LO11:LQ12 LT11:LV12 LY11:MB12 LO14:LQ15 LT14:LV15 LY14:MB15 LO17:LQ19 LT17:LV19 LY17:MB19 LO21:LQ21 LT21:LV21 LY21:MB21 MG5:MI9 ML5:MN9 MQ5:MT9 MG11:MI12 ML11:MN12 MQ11:MT12 MG14:MI15 ML14:MN15 MQ14:MT15 MG17:MI19 ML17:MN19 MQ17:MT19 MG21:MI21 ML21:MN21 MQ21:MT21 MY5:NA9 ND5:NF9 NI5:NL9 MY11:NA12 ND11:NF12 NI11:NL12 MY14:NA15 ND14:NF15 NI14:NL15 MY17:NA19 ND17:NF19 NI17:NL19 MY21:NA21 ND21:NF21 NI21:NL21 NQ5:NS9 NV5:NX9 OA5:OD9 NQ11:NS12 NV11:NX12 OA11:OD12 NQ14:NS15 NV14:NX15 OA14:OD15 NQ17:NS19 NV17:NX19 OA17:OD19 NQ21:NS21 NV21:NX21 OA21:OD21 OI5:OK9 ON5:OP9 OS5:OV9 OI11:OK12 ON11:OP12 OS11:OV12 OI14:OK15 ON14:OP15 OS14:OV15 OI17:OK19 ON17:OP19 OS17:OV19 OI21:OK21 ON21:OP21 OS21:OV21 TE5:TG9 TJ5:TL9 TO5:TR9 TE11:TG12 TJ11:TL12 TO11:TR12 TE14:TG15 TJ14:TL15 TO14:TR15 TE17:TG19 TJ17:TL19 TO17:TR19 TE21:TG21 TJ21:TL21 TO21:TR21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C30"/>
  <sheetViews>
    <sheetView tabSelected="1" zoomScale="90" zoomScaleNormal="90" workbookViewId="0"/>
  </sheetViews>
  <sheetFormatPr baseColWidth="10" defaultRowHeight="15" x14ac:dyDescent="0.25"/>
  <cols>
    <col min="1" max="1" width="30.7109375" style="15" customWidth="1"/>
    <col min="2" max="27" width="6.7109375" style="15" customWidth="1"/>
    <col min="28" max="28" width="3" style="15" customWidth="1"/>
    <col min="29" max="29" width="20.140625" style="15" customWidth="1"/>
    <col min="30" max="16384" width="11.42578125" style="15"/>
  </cols>
  <sheetData>
    <row r="1" spans="1:29" ht="31.5" customHeight="1" thickBot="1" x14ac:dyDescent="0.3">
      <c r="A1" s="62" t="s">
        <v>198</v>
      </c>
      <c r="B1" s="217" t="s">
        <v>0</v>
      </c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7"/>
      <c r="Z1" s="217"/>
      <c r="AA1" s="218"/>
      <c r="AC1" s="63" t="s">
        <v>40</v>
      </c>
    </row>
    <row r="2" spans="1:29" ht="24.95" customHeight="1" thickTop="1" thickBot="1" x14ac:dyDescent="0.3">
      <c r="A2" s="219" t="s">
        <v>1</v>
      </c>
      <c r="B2" s="221" t="s">
        <v>2</v>
      </c>
      <c r="C2" s="221"/>
      <c r="D2" s="221"/>
      <c r="E2" s="222"/>
      <c r="F2" s="223" t="s">
        <v>3</v>
      </c>
      <c r="G2" s="224"/>
      <c r="H2" s="224"/>
      <c r="I2" s="225"/>
      <c r="J2" s="223" t="s">
        <v>4</v>
      </c>
      <c r="K2" s="224"/>
      <c r="L2" s="224"/>
      <c r="M2" s="225"/>
      <c r="N2" s="223" t="s">
        <v>5</v>
      </c>
      <c r="O2" s="224"/>
      <c r="P2" s="224"/>
      <c r="Q2" s="225"/>
      <c r="R2" s="223" t="s">
        <v>6</v>
      </c>
      <c r="S2" s="224"/>
      <c r="T2" s="224"/>
      <c r="U2" s="225"/>
      <c r="V2" s="226" t="s">
        <v>38</v>
      </c>
      <c r="W2" s="227"/>
      <c r="X2" s="228"/>
      <c r="Y2" s="229" t="s">
        <v>36</v>
      </c>
      <c r="Z2" s="230"/>
      <c r="AA2" s="231"/>
      <c r="AC2" s="64" t="s">
        <v>50</v>
      </c>
    </row>
    <row r="3" spans="1:29" ht="24.95" customHeight="1" thickBot="1" x14ac:dyDescent="0.3">
      <c r="A3" s="220"/>
      <c r="B3" s="33" t="s">
        <v>31</v>
      </c>
      <c r="C3" s="34" t="s">
        <v>32</v>
      </c>
      <c r="D3" s="33" t="s">
        <v>33</v>
      </c>
      <c r="E3" s="35" t="s">
        <v>10</v>
      </c>
      <c r="F3" s="36" t="s">
        <v>31</v>
      </c>
      <c r="G3" s="37" t="s">
        <v>32</v>
      </c>
      <c r="H3" s="38" t="s">
        <v>33</v>
      </c>
      <c r="I3" s="39" t="s">
        <v>10</v>
      </c>
      <c r="J3" s="40" t="s">
        <v>31</v>
      </c>
      <c r="K3" s="41" t="s">
        <v>32</v>
      </c>
      <c r="L3" s="38" t="s">
        <v>33</v>
      </c>
      <c r="M3" s="39" t="s">
        <v>10</v>
      </c>
      <c r="N3" s="36" t="s">
        <v>31</v>
      </c>
      <c r="O3" s="42" t="s">
        <v>32</v>
      </c>
      <c r="P3" s="38" t="s">
        <v>33</v>
      </c>
      <c r="Q3" s="39" t="s">
        <v>10</v>
      </c>
      <c r="R3" s="36" t="s">
        <v>31</v>
      </c>
      <c r="S3" s="42" t="s">
        <v>32</v>
      </c>
      <c r="T3" s="38" t="s">
        <v>33</v>
      </c>
      <c r="U3" s="39" t="s">
        <v>10</v>
      </c>
      <c r="V3" s="31" t="s">
        <v>31</v>
      </c>
      <c r="W3" s="32" t="s">
        <v>32</v>
      </c>
      <c r="X3" s="32" t="s">
        <v>33</v>
      </c>
      <c r="Y3" s="65"/>
      <c r="Z3" s="66"/>
      <c r="AA3" s="67"/>
      <c r="AB3" s="68"/>
      <c r="AC3" s="64" t="s">
        <v>47</v>
      </c>
    </row>
    <row r="4" spans="1:29" ht="15.75" customHeight="1" thickTop="1" x14ac:dyDescent="0.25">
      <c r="A4" s="70" t="str">
        <f ca="1">CELL("contenu",INDIRECT(ADDRESS(ROW()-2,5,1,,CELL("contenu",$AC$3))))</f>
        <v>ATFA Hadi</v>
      </c>
      <c r="B4" s="2" t="str">
        <f ca="1">CELL("contenu",INDIRECT(ADDRESS(ref!$K$3,ref!E3,1,,CELL("contenu",$AC$2))))</f>
        <v>C</v>
      </c>
      <c r="C4" s="3" t="str">
        <f ca="1">CELL("contenu",INDIRECT(ADDRESS(ref!$K$3,ref!F3,1,,CELL("contenu",$AC$2))))</f>
        <v>C</v>
      </c>
      <c r="D4" s="4" t="str">
        <f ca="1">CELL("contenu",INDIRECT(ADDRESS(ref!$K$3,ref!G3,1,,CELL("contenu",$AC$2))))</f>
        <v>C</v>
      </c>
      <c r="E4" s="5" t="str">
        <f ca="1">CELL("contenu",INDIRECT(ADDRESS(ref!$K$3,ref!H3,1,,CELL("contenu",$AC$2))))</f>
        <v>C</v>
      </c>
      <c r="F4" s="6" t="str">
        <f ca="1">CELL("contenu",INDIRECT(ADDRESS(ref!$K$4,ref!E3,1,,CELL("contenu",$AC$2))))</f>
        <v/>
      </c>
      <c r="G4" s="3" t="str">
        <f ca="1">CELL("contenu",INDIRECT(ADDRESS(ref!$K$4,ref!F3,1,,CELL("contenu",$AC$2))))</f>
        <v>B</v>
      </c>
      <c r="H4" s="4" t="str">
        <f ca="1">CELL("contenu",INDIRECT(ADDRESS(ref!$K$4,ref!G3,1,,CELL("contenu",$AC$2))))</f>
        <v>B</v>
      </c>
      <c r="I4" s="5" t="str">
        <f ca="1">CELL("contenu",INDIRECT(ADDRESS(ref!$K$4,ref!H3,1,,CELL("contenu",$AC$2))))</f>
        <v>B</v>
      </c>
      <c r="J4" s="6" t="str">
        <f ca="1">CELL("contenu",INDIRECT(ADDRESS(ref!$K$5,ref!E3,1,,CELL("contenu",$AC$2))))</f>
        <v>A</v>
      </c>
      <c r="K4" s="3" t="str">
        <f ca="1">CELL("contenu",INDIRECT(ADDRESS(ref!$K$5,ref!F3,1,,CELL("contenu",$AC$2))))</f>
        <v>A</v>
      </c>
      <c r="L4" s="4" t="str">
        <f ca="1">CELL("contenu",INDIRECT(ADDRESS(ref!$K$5,ref!G3,1,,CELL("contenu",$AC$2))))</f>
        <v>B</v>
      </c>
      <c r="M4" s="5" t="str">
        <f ca="1">CELL("contenu",INDIRECT(ADDRESS(ref!$K$5,ref!H3,1,,CELL("contenu",$AC$2))))</f>
        <v>A</v>
      </c>
      <c r="N4" s="6" t="str">
        <f ca="1">CELL("contenu",INDIRECT(ADDRESS(ref!$K$6,ref!E3,1,,CELL("contenu",$AC$2))))</f>
        <v>C</v>
      </c>
      <c r="O4" s="3" t="str">
        <f ca="1">CELL("contenu",INDIRECT(ADDRESS(ref!$K$6,ref!F3,1,,CELL("contenu",$AC$2))))</f>
        <v>C</v>
      </c>
      <c r="P4" s="4" t="str">
        <f ca="1">CELL("contenu",INDIRECT(ADDRESS(ref!$K$6,ref!G3,1,,CELL("contenu",$AC$2))))</f>
        <v>C</v>
      </c>
      <c r="Q4" s="5" t="str">
        <f ca="1">CELL("contenu",INDIRECT(ADDRESS(ref!$K$6,ref!H3,1,,CELL("contenu",$AC$2))))</f>
        <v>C</v>
      </c>
      <c r="R4" s="6" t="str">
        <f ca="1">CELL("contenu",INDIRECT(ADDRESS(ref!$K$7,ref!E3,1,,CELL("contenu",$AC$2))))</f>
        <v>C</v>
      </c>
      <c r="S4" s="3" t="str">
        <f ca="1">CELL("contenu",INDIRECT(ADDRESS(ref!$K$7,ref!F3,1,,CELL("contenu",$AC$2))))</f>
        <v/>
      </c>
      <c r="T4" s="4" t="str">
        <f ca="1">CELL("contenu",INDIRECT(ADDRESS(ref!$K$7,ref!G3,1,,CELL("contenu",$AC$2))))</f>
        <v/>
      </c>
      <c r="U4" s="5" t="str">
        <f ca="1">CELL("contenu",INDIRECT(ADDRESS(ref!$K$7,ref!H3,1,,CELL("contenu",$AC$2))))</f>
        <v>C</v>
      </c>
      <c r="V4" s="43">
        <f ca="1">CELL("contenu",INDIRECT(ADDRESS(ref!$K$8,ref!E3,1,,CELL("contenu",$AC$2))))</f>
        <v>13.333333333333332</v>
      </c>
      <c r="W4" s="44">
        <f ca="1">CELL("contenu",INDIRECT(ADDRESS(ref!$K$8,ref!F3,1,,CELL("contenu",$AC$2))))</f>
        <v>14.166666666666668</v>
      </c>
      <c r="X4" s="45">
        <f ca="1">CELL("contenu",INDIRECT(ADDRESS(ref!$K$8,ref!G3,1,,CELL("contenu",$AC$2))))</f>
        <v>13.888888888888886</v>
      </c>
      <c r="Y4" s="7" t="str">
        <f ca="1">CELL("contenu",INDIRECT(ADDRESS(ref!$K$9,ref!H3,1,,CELL("contenu",$AC$2))))</f>
        <v>B</v>
      </c>
      <c r="Z4" s="4" t="str">
        <f ca="1">CELL("contenu",INDIRECT(ADDRESS(ref!$K$10,ref!H3,1,,CELL("contenu",$AC$2))))</f>
        <v/>
      </c>
      <c r="AA4" s="8" t="str">
        <f ca="1">CELL("contenu",INDIRECT(ADDRESS(ref!$K$11,ref!H3,1,,CELL("contenu",$AC$2))))</f>
        <v>B</v>
      </c>
    </row>
    <row r="5" spans="1:29" x14ac:dyDescent="0.25">
      <c r="A5" s="70" t="str">
        <f ca="1">CELL("contenu",INDIRECT(ADDRESS(ROW()-2,5,1,,CELL("contenu",$AC$3))))</f>
        <v>AUCHERES Louise</v>
      </c>
      <c r="B5" s="2" t="str">
        <f ca="1">CELL("contenu",INDIRECT(ADDRESS(ref!$K$3,ref!E4,1,,CELL("contenu",$AC$2))))</f>
        <v>B</v>
      </c>
      <c r="C5" s="3" t="str">
        <f ca="1">CELL("contenu",INDIRECT(ADDRESS(ref!$K$3,ref!F4,1,,CELL("contenu",$AC$2))))</f>
        <v>B</v>
      </c>
      <c r="D5" s="4" t="str">
        <f ca="1">CELL("contenu",INDIRECT(ADDRESS(ref!$K$3,ref!G4,1,,CELL("contenu",$AC$2))))</f>
        <v>B</v>
      </c>
      <c r="E5" s="5" t="str">
        <f ca="1">CELL("contenu",INDIRECT(ADDRESS(ref!$K$3,ref!H4,1,,CELL("contenu",$AC$2))))</f>
        <v>B</v>
      </c>
      <c r="F5" s="6" t="str">
        <f ca="1">CELL("contenu",INDIRECT(ADDRESS(ref!$K$4,ref!E4,1,,CELL("contenu",$AC$2))))</f>
        <v/>
      </c>
      <c r="G5" s="3" t="str">
        <f ca="1">CELL("contenu",INDIRECT(ADDRESS(ref!$K$4,ref!F4,1,,CELL("contenu",$AC$2))))</f>
        <v>A</v>
      </c>
      <c r="H5" s="4" t="str">
        <f ca="1">CELL("contenu",INDIRECT(ADDRESS(ref!$K$4,ref!G4,1,,CELL("contenu",$AC$2))))</f>
        <v>B</v>
      </c>
      <c r="I5" s="5" t="str">
        <f ca="1">CELL("contenu",INDIRECT(ADDRESS(ref!$K$4,ref!H4,1,,CELL("contenu",$AC$2))))</f>
        <v>B</v>
      </c>
      <c r="J5" s="6" t="str">
        <f ca="1">CELL("contenu",INDIRECT(ADDRESS(ref!$K$5,ref!E4,1,,CELL("contenu",$AC$2))))</f>
        <v>A</v>
      </c>
      <c r="K5" s="3" t="str">
        <f ca="1">CELL("contenu",INDIRECT(ADDRESS(ref!$K$5,ref!F4,1,,CELL("contenu",$AC$2))))</f>
        <v>A</v>
      </c>
      <c r="L5" s="4" t="str">
        <f ca="1">CELL("contenu",INDIRECT(ADDRESS(ref!$K$5,ref!G4,1,,CELL("contenu",$AC$2))))</f>
        <v>A</v>
      </c>
      <c r="M5" s="5" t="str">
        <f ca="1">CELL("contenu",INDIRECT(ADDRESS(ref!$K$5,ref!H4,1,,CELL("contenu",$AC$2))))</f>
        <v>A</v>
      </c>
      <c r="N5" s="6" t="str">
        <f ca="1">CELL("contenu",INDIRECT(ADDRESS(ref!$K$6,ref!E4,1,,CELL("contenu",$AC$2))))</f>
        <v>B</v>
      </c>
      <c r="O5" s="3" t="str">
        <f ca="1">CELL("contenu",INDIRECT(ADDRESS(ref!$K$6,ref!F4,1,,CELL("contenu",$AC$2))))</f>
        <v>C</v>
      </c>
      <c r="P5" s="4" t="str">
        <f ca="1">CELL("contenu",INDIRECT(ADDRESS(ref!$K$6,ref!G4,1,,CELL("contenu",$AC$2))))</f>
        <v>B</v>
      </c>
      <c r="Q5" s="5" t="str">
        <f ca="1">CELL("contenu",INDIRECT(ADDRESS(ref!$K$6,ref!H4,1,,CELL("contenu",$AC$2))))</f>
        <v>B</v>
      </c>
      <c r="R5" s="6" t="str">
        <f ca="1">CELL("contenu",INDIRECT(ADDRESS(ref!$K$7,ref!E4,1,,CELL("contenu",$AC$2))))</f>
        <v>B</v>
      </c>
      <c r="S5" s="3" t="str">
        <f ca="1">CELL("contenu",INDIRECT(ADDRESS(ref!$K$7,ref!F4,1,,CELL("contenu",$AC$2))))</f>
        <v/>
      </c>
      <c r="T5" s="4" t="str">
        <f ca="1">CELL("contenu",INDIRECT(ADDRESS(ref!$K$7,ref!G4,1,,CELL("contenu",$AC$2))))</f>
        <v/>
      </c>
      <c r="U5" s="5" t="str">
        <f ca="1">CELL("contenu",INDIRECT(ADDRESS(ref!$K$7,ref!H4,1,,CELL("contenu",$AC$2))))</f>
        <v>B</v>
      </c>
      <c r="V5" s="43">
        <f ca="1">CELL("contenu",INDIRECT(ADDRESS(ref!$K$8,ref!E4,1,,CELL("contenu",$AC$2))))</f>
        <v>15.833333333333332</v>
      </c>
      <c r="W5" s="44">
        <f ca="1">CELL("contenu",INDIRECT(ADDRESS(ref!$K$8,ref!F4,1,,CELL("contenu",$AC$2))))</f>
        <v>15.902777777777779</v>
      </c>
      <c r="X5" s="45">
        <f ca="1">CELL("contenu",INDIRECT(ADDRESS(ref!$K$8,ref!G4,1,,CELL("contenu",$AC$2))))</f>
        <v>16.388888888888889</v>
      </c>
      <c r="Y5" s="7" t="str">
        <f ca="1">CELL("contenu",INDIRECT(ADDRESS(ref!$K$9,ref!H4,1,,CELL("contenu",$AC$2))))</f>
        <v>B</v>
      </c>
      <c r="Z5" s="4" t="str">
        <f ca="1">CELL("contenu",INDIRECT(ADDRESS(ref!$K$10,ref!H4,1,,CELL("contenu",$AC$2))))</f>
        <v/>
      </c>
      <c r="AA5" s="8" t="str">
        <f ca="1">CELL("contenu",INDIRECT(ADDRESS(ref!$K$11,ref!H4,1,,CELL("contenu",$AC$2))))</f>
        <v>A</v>
      </c>
    </row>
    <row r="6" spans="1:29" x14ac:dyDescent="0.25">
      <c r="A6" s="70" t="str">
        <f t="shared" ref="A6:A30" ca="1" si="0">CELL("contenu",INDIRECT(ADDRESS(ROW()-2,5,1,,CELL("contenu",$AC$3))))</f>
        <v>BENOIST Constance</v>
      </c>
      <c r="B6" s="2" t="str">
        <f ca="1">CELL("contenu",INDIRECT(ADDRESS(ref!$K$3,ref!E5,1,,CELL("contenu",$AC$2))))</f>
        <v>C</v>
      </c>
      <c r="C6" s="3" t="str">
        <f ca="1">CELL("contenu",INDIRECT(ADDRESS(ref!$K$3,ref!F5,1,,CELL("contenu",$AC$2))))</f>
        <v>B</v>
      </c>
      <c r="D6" s="4" t="str">
        <f ca="1">CELL("contenu",INDIRECT(ADDRESS(ref!$K$3,ref!G5,1,,CELL("contenu",$AC$2))))</f>
        <v>C</v>
      </c>
      <c r="E6" s="5" t="str">
        <f ca="1">CELL("contenu",INDIRECT(ADDRESS(ref!$K$3,ref!H5,1,,CELL("contenu",$AC$2))))</f>
        <v>B</v>
      </c>
      <c r="F6" s="6" t="str">
        <f ca="1">CELL("contenu",INDIRECT(ADDRESS(ref!$K$4,ref!E5,1,,CELL("contenu",$AC$2))))</f>
        <v/>
      </c>
      <c r="G6" s="3" t="str">
        <f ca="1">CELL("contenu",INDIRECT(ADDRESS(ref!$K$4,ref!F5,1,,CELL("contenu",$AC$2))))</f>
        <v>A</v>
      </c>
      <c r="H6" s="4" t="str">
        <f ca="1">CELL("contenu",INDIRECT(ADDRESS(ref!$K$4,ref!G5,1,,CELL("contenu",$AC$2))))</f>
        <v>B</v>
      </c>
      <c r="I6" s="5" t="str">
        <f ca="1">CELL("contenu",INDIRECT(ADDRESS(ref!$K$4,ref!H5,1,,CELL("contenu",$AC$2))))</f>
        <v>B</v>
      </c>
      <c r="J6" s="6" t="str">
        <f ca="1">CELL("contenu",INDIRECT(ADDRESS(ref!$K$5,ref!E5,1,,CELL("contenu",$AC$2))))</f>
        <v>A</v>
      </c>
      <c r="K6" s="3" t="str">
        <f ca="1">CELL("contenu",INDIRECT(ADDRESS(ref!$K$5,ref!F5,1,,CELL("contenu",$AC$2))))</f>
        <v>A</v>
      </c>
      <c r="L6" s="4" t="str">
        <f ca="1">CELL("contenu",INDIRECT(ADDRESS(ref!$K$5,ref!G5,1,,CELL("contenu",$AC$2))))</f>
        <v>B</v>
      </c>
      <c r="M6" s="5" t="str">
        <f ca="1">CELL("contenu",INDIRECT(ADDRESS(ref!$K$5,ref!H5,1,,CELL("contenu",$AC$2))))</f>
        <v>A</v>
      </c>
      <c r="N6" s="6" t="str">
        <f ca="1">CELL("contenu",INDIRECT(ADDRESS(ref!$K$6,ref!E5,1,,CELL("contenu",$AC$2))))</f>
        <v>B</v>
      </c>
      <c r="O6" s="3" t="str">
        <f ca="1">CELL("contenu",INDIRECT(ADDRESS(ref!$K$6,ref!F5,1,,CELL("contenu",$AC$2))))</f>
        <v>C</v>
      </c>
      <c r="P6" s="4" t="str">
        <f ca="1">CELL("contenu",INDIRECT(ADDRESS(ref!$K$6,ref!G5,1,,CELL("contenu",$AC$2))))</f>
        <v>C</v>
      </c>
      <c r="Q6" s="5" t="str">
        <f ca="1">CELL("contenu",INDIRECT(ADDRESS(ref!$K$6,ref!H5,1,,CELL("contenu",$AC$2))))</f>
        <v>B</v>
      </c>
      <c r="R6" s="6" t="str">
        <f ca="1">CELL("contenu",INDIRECT(ADDRESS(ref!$K$7,ref!E5,1,,CELL("contenu",$AC$2))))</f>
        <v>C</v>
      </c>
      <c r="S6" s="3" t="str">
        <f ca="1">CELL("contenu",INDIRECT(ADDRESS(ref!$K$7,ref!F5,1,,CELL("contenu",$AC$2))))</f>
        <v/>
      </c>
      <c r="T6" s="4" t="str">
        <f ca="1">CELL("contenu",INDIRECT(ADDRESS(ref!$K$7,ref!G5,1,,CELL("contenu",$AC$2))))</f>
        <v/>
      </c>
      <c r="U6" s="5" t="str">
        <f ca="1">CELL("contenu",INDIRECT(ADDRESS(ref!$K$7,ref!H5,1,,CELL("contenu",$AC$2))))</f>
        <v>C</v>
      </c>
      <c r="V6" s="43">
        <f ca="1">CELL("contenu",INDIRECT(ADDRESS(ref!$K$8,ref!E5,1,,CELL("contenu",$AC$2))))</f>
        <v>15</v>
      </c>
      <c r="W6" s="44">
        <f ca="1">CELL("contenu",INDIRECT(ADDRESS(ref!$K$8,ref!F5,1,,CELL("contenu",$AC$2))))</f>
        <v>15.763888888888886</v>
      </c>
      <c r="X6" s="45">
        <f ca="1">CELL("contenu",INDIRECT(ADDRESS(ref!$K$8,ref!G5,1,,CELL("contenu",$AC$2))))</f>
        <v>13.888888888888891</v>
      </c>
      <c r="Y6" s="7" t="str">
        <f ca="1">CELL("contenu",INDIRECT(ADDRESS(ref!$K$9,ref!H5,1,,CELL("contenu",$AC$2))))</f>
        <v>B</v>
      </c>
      <c r="Z6" s="4" t="str">
        <f ca="1">CELL("contenu",INDIRECT(ADDRESS(ref!$K$10,ref!H5,1,,CELL("contenu",$AC$2))))</f>
        <v/>
      </c>
      <c r="AA6" s="8" t="str">
        <f ca="1">CELL("contenu",INDIRECT(ADDRESS(ref!$K$11,ref!H5,1,,CELL("contenu",$AC$2))))</f>
        <v>B</v>
      </c>
    </row>
    <row r="7" spans="1:29" x14ac:dyDescent="0.25">
      <c r="A7" s="70" t="str">
        <f t="shared" ca="1" si="0"/>
        <v>BOURGANEL Carla-Marie</v>
      </c>
      <c r="B7" s="2" t="str">
        <f ca="1">CELL("contenu",INDIRECT(ADDRESS(ref!$K$3,ref!E6,1,,CELL("contenu",$AC$2))))</f>
        <v>B</v>
      </c>
      <c r="C7" s="3" t="str">
        <f ca="1">CELL("contenu",INDIRECT(ADDRESS(ref!$K$3,ref!F6,1,,CELL("contenu",$AC$2))))</f>
        <v>B</v>
      </c>
      <c r="D7" s="4" t="str">
        <f ca="1">CELL("contenu",INDIRECT(ADDRESS(ref!$K$3,ref!G6,1,,CELL("contenu",$AC$2))))</f>
        <v>C</v>
      </c>
      <c r="E7" s="5" t="str">
        <f ca="1">CELL("contenu",INDIRECT(ADDRESS(ref!$K$3,ref!H6,1,,CELL("contenu",$AC$2))))</f>
        <v>C</v>
      </c>
      <c r="F7" s="6" t="str">
        <f ca="1">CELL("contenu",INDIRECT(ADDRESS(ref!$K$4,ref!E6,1,,CELL("contenu",$AC$2))))</f>
        <v/>
      </c>
      <c r="G7" s="3" t="str">
        <f ca="1">CELL("contenu",INDIRECT(ADDRESS(ref!$K$4,ref!F6,1,,CELL("contenu",$AC$2))))</f>
        <v>A</v>
      </c>
      <c r="H7" s="4" t="str">
        <f ca="1">CELL("contenu",INDIRECT(ADDRESS(ref!$K$4,ref!G6,1,,CELL("contenu",$AC$2))))</f>
        <v>B</v>
      </c>
      <c r="I7" s="5" t="str">
        <f ca="1">CELL("contenu",INDIRECT(ADDRESS(ref!$K$4,ref!H6,1,,CELL("contenu",$AC$2))))</f>
        <v>A</v>
      </c>
      <c r="J7" s="6" t="str">
        <f ca="1">CELL("contenu",INDIRECT(ADDRESS(ref!$K$5,ref!E6,1,,CELL("contenu",$AC$2))))</f>
        <v>A</v>
      </c>
      <c r="K7" s="3" t="str">
        <f ca="1">CELL("contenu",INDIRECT(ADDRESS(ref!$K$5,ref!F6,1,,CELL("contenu",$AC$2))))</f>
        <v>B</v>
      </c>
      <c r="L7" s="4" t="str">
        <f ca="1">CELL("contenu",INDIRECT(ADDRESS(ref!$K$5,ref!G6,1,,CELL("contenu",$AC$2))))</f>
        <v>B</v>
      </c>
      <c r="M7" s="5" t="str">
        <f ca="1">CELL("contenu",INDIRECT(ADDRESS(ref!$K$5,ref!H6,1,,CELL("contenu",$AC$2))))</f>
        <v>B</v>
      </c>
      <c r="N7" s="6" t="str">
        <f ca="1">CELL("contenu",INDIRECT(ADDRESS(ref!$K$6,ref!E6,1,,CELL("contenu",$AC$2))))</f>
        <v>B</v>
      </c>
      <c r="O7" s="3" t="str">
        <f ca="1">CELL("contenu",INDIRECT(ADDRESS(ref!$K$6,ref!F6,1,,CELL("contenu",$AC$2))))</f>
        <v>C</v>
      </c>
      <c r="P7" s="4" t="str">
        <f ca="1">CELL("contenu",INDIRECT(ADDRESS(ref!$K$6,ref!G6,1,,CELL("contenu",$AC$2))))</f>
        <v>B</v>
      </c>
      <c r="Q7" s="5" t="str">
        <f ca="1">CELL("contenu",INDIRECT(ADDRESS(ref!$K$6,ref!H6,1,,CELL("contenu",$AC$2))))</f>
        <v>B</v>
      </c>
      <c r="R7" s="6" t="str">
        <f ca="1">CELL("contenu",INDIRECT(ADDRESS(ref!$K$7,ref!E6,1,,CELL("contenu",$AC$2))))</f>
        <v>C</v>
      </c>
      <c r="S7" s="3" t="str">
        <f ca="1">CELL("contenu",INDIRECT(ADDRESS(ref!$K$7,ref!F6,1,,CELL("contenu",$AC$2))))</f>
        <v/>
      </c>
      <c r="T7" s="4" t="str">
        <f ca="1">CELL("contenu",INDIRECT(ADDRESS(ref!$K$7,ref!G6,1,,CELL("contenu",$AC$2))))</f>
        <v/>
      </c>
      <c r="U7" s="5" t="str">
        <f ca="1">CELL("contenu",INDIRECT(ADDRESS(ref!$K$7,ref!H6,1,,CELL("contenu",$AC$2))))</f>
        <v>C</v>
      </c>
      <c r="V7" s="43">
        <f ca="1">CELL("contenu",INDIRECT(ADDRESS(ref!$K$8,ref!E6,1,,CELL("contenu",$AC$2))))</f>
        <v>15</v>
      </c>
      <c r="W7" s="44">
        <f ca="1">CELL("contenu",INDIRECT(ADDRESS(ref!$K$8,ref!F6,1,,CELL("contenu",$AC$2))))</f>
        <v>15.277777777777779</v>
      </c>
      <c r="X7" s="45">
        <f ca="1">CELL("contenu",INDIRECT(ADDRESS(ref!$K$8,ref!G6,1,,CELL("contenu",$AC$2))))</f>
        <v>14.444444444444445</v>
      </c>
      <c r="Y7" s="7" t="str">
        <f ca="1">CELL("contenu",INDIRECT(ADDRESS(ref!$K$9,ref!H6,1,,CELL("contenu",$AC$2))))</f>
        <v>A</v>
      </c>
      <c r="Z7" s="4" t="str">
        <f ca="1">CELL("contenu",INDIRECT(ADDRESS(ref!$K$10,ref!H6,1,,CELL("contenu",$AC$2))))</f>
        <v/>
      </c>
      <c r="AA7" s="8" t="str">
        <f ca="1">CELL("contenu",INDIRECT(ADDRESS(ref!$K$11,ref!H6,1,,CELL("contenu",$AC$2))))</f>
        <v>B</v>
      </c>
    </row>
    <row r="8" spans="1:29" x14ac:dyDescent="0.25">
      <c r="A8" s="70" t="str">
        <f t="shared" ca="1" si="0"/>
        <v>BRUN Tehina</v>
      </c>
      <c r="B8" s="2" t="str">
        <f ca="1">CELL("contenu",INDIRECT(ADDRESS(ref!$K$3,ref!E7,1,,CELL("contenu",$AC$2))))</f>
        <v>C</v>
      </c>
      <c r="C8" s="3" t="str">
        <f ca="1">CELL("contenu",INDIRECT(ADDRESS(ref!$K$3,ref!F7,1,,CELL("contenu",$AC$2))))</f>
        <v>B</v>
      </c>
      <c r="D8" s="4" t="str">
        <f ca="1">CELL("contenu",INDIRECT(ADDRESS(ref!$K$3,ref!G7,1,,CELL("contenu",$AC$2))))</f>
        <v>C</v>
      </c>
      <c r="E8" s="5" t="str">
        <f ca="1">CELL("contenu",INDIRECT(ADDRESS(ref!$K$3,ref!H7,1,,CELL("contenu",$AC$2))))</f>
        <v>C</v>
      </c>
      <c r="F8" s="6" t="str">
        <f ca="1">CELL("contenu",INDIRECT(ADDRESS(ref!$K$4,ref!E7,1,,CELL("contenu",$AC$2))))</f>
        <v/>
      </c>
      <c r="G8" s="3" t="str">
        <f ca="1">CELL("contenu",INDIRECT(ADDRESS(ref!$K$4,ref!F7,1,,CELL("contenu",$AC$2))))</f>
        <v>A</v>
      </c>
      <c r="H8" s="4" t="str">
        <f ca="1">CELL("contenu",INDIRECT(ADDRESS(ref!$K$4,ref!G7,1,,CELL("contenu",$AC$2))))</f>
        <v>B</v>
      </c>
      <c r="I8" s="5" t="str">
        <f ca="1">CELL("contenu",INDIRECT(ADDRESS(ref!$K$4,ref!H7,1,,CELL("contenu",$AC$2))))</f>
        <v>A</v>
      </c>
      <c r="J8" s="6" t="str">
        <f ca="1">CELL("contenu",INDIRECT(ADDRESS(ref!$K$5,ref!E7,1,,CELL("contenu",$AC$2))))</f>
        <v>A</v>
      </c>
      <c r="K8" s="3" t="str">
        <f ca="1">CELL("contenu",INDIRECT(ADDRESS(ref!$K$5,ref!F7,1,,CELL("contenu",$AC$2))))</f>
        <v>B</v>
      </c>
      <c r="L8" s="4" t="str">
        <f ca="1">CELL("contenu",INDIRECT(ADDRESS(ref!$K$5,ref!G7,1,,CELL("contenu",$AC$2))))</f>
        <v>B</v>
      </c>
      <c r="M8" s="5" t="str">
        <f ca="1">CELL("contenu",INDIRECT(ADDRESS(ref!$K$5,ref!H7,1,,CELL("contenu",$AC$2))))</f>
        <v>B</v>
      </c>
      <c r="N8" s="6" t="str">
        <f ca="1">CELL("contenu",INDIRECT(ADDRESS(ref!$K$6,ref!E7,1,,CELL("contenu",$AC$2))))</f>
        <v>C</v>
      </c>
      <c r="O8" s="3" t="str">
        <f ca="1">CELL("contenu",INDIRECT(ADDRESS(ref!$K$6,ref!F7,1,,CELL("contenu",$AC$2))))</f>
        <v>C</v>
      </c>
      <c r="P8" s="4" t="str">
        <f ca="1">CELL("contenu",INDIRECT(ADDRESS(ref!$K$6,ref!G7,1,,CELL("contenu",$AC$2))))</f>
        <v>B</v>
      </c>
      <c r="Q8" s="5" t="str">
        <f ca="1">CELL("contenu",INDIRECT(ADDRESS(ref!$K$6,ref!H7,1,,CELL("contenu",$AC$2))))</f>
        <v>C</v>
      </c>
      <c r="R8" s="6" t="str">
        <f ca="1">CELL("contenu",INDIRECT(ADDRESS(ref!$K$7,ref!E7,1,,CELL("contenu",$AC$2))))</f>
        <v>C</v>
      </c>
      <c r="S8" s="3" t="str">
        <f ca="1">CELL("contenu",INDIRECT(ADDRESS(ref!$K$7,ref!F7,1,,CELL("contenu",$AC$2))))</f>
        <v/>
      </c>
      <c r="T8" s="4" t="str">
        <f ca="1">CELL("contenu",INDIRECT(ADDRESS(ref!$K$7,ref!G7,1,,CELL("contenu",$AC$2))))</f>
        <v/>
      </c>
      <c r="U8" s="5" t="str">
        <f ca="1">CELL("contenu",INDIRECT(ADDRESS(ref!$K$7,ref!H7,1,,CELL("contenu",$AC$2))))</f>
        <v>C</v>
      </c>
      <c r="V8" s="43">
        <f ca="1">CELL("contenu",INDIRECT(ADDRESS(ref!$K$8,ref!E7,1,,CELL("contenu",$AC$2))))</f>
        <v>12.083333333333332</v>
      </c>
      <c r="W8" s="44">
        <f ca="1">CELL("contenu",INDIRECT(ADDRESS(ref!$K$8,ref!F7,1,,CELL("contenu",$AC$2))))</f>
        <v>14.166666666666668</v>
      </c>
      <c r="X8" s="45">
        <f ca="1">CELL("contenu",INDIRECT(ADDRESS(ref!$K$8,ref!G7,1,,CELL("contenu",$AC$2))))</f>
        <v>14.583333333333332</v>
      </c>
      <c r="Y8" s="7" t="str">
        <f ca="1">CELL("contenu",INDIRECT(ADDRESS(ref!$K$9,ref!H7,1,,CELL("contenu",$AC$2))))</f>
        <v>A</v>
      </c>
      <c r="Z8" s="4" t="str">
        <f ca="1">CELL("contenu",INDIRECT(ADDRESS(ref!$K$10,ref!H7,1,,CELL("contenu",$AC$2))))</f>
        <v/>
      </c>
      <c r="AA8" s="8" t="str">
        <f ca="1">CELL("contenu",INDIRECT(ADDRESS(ref!$K$11,ref!H7,1,,CELL("contenu",$AC$2))))</f>
        <v>B</v>
      </c>
    </row>
    <row r="9" spans="1:29" x14ac:dyDescent="0.25">
      <c r="A9" s="70" t="str">
        <f t="shared" ca="1" si="0"/>
        <v>CHAMBAY Juliette</v>
      </c>
      <c r="B9" s="2" t="str">
        <f ca="1">CELL("contenu",INDIRECT(ADDRESS(ref!$K$3,ref!E8,1,,CELL("contenu",$AC$2))))</f>
        <v>C</v>
      </c>
      <c r="C9" s="3" t="str">
        <f ca="1">CELL("contenu",INDIRECT(ADDRESS(ref!$K$3,ref!F8,1,,CELL("contenu",$AC$2))))</f>
        <v>C</v>
      </c>
      <c r="D9" s="4" t="str">
        <f ca="1">CELL("contenu",INDIRECT(ADDRESS(ref!$K$3,ref!G8,1,,CELL("contenu",$AC$2))))</f>
        <v>C</v>
      </c>
      <c r="E9" s="5" t="str">
        <f ca="1">CELL("contenu",INDIRECT(ADDRESS(ref!$K$3,ref!H8,1,,CELL("contenu",$AC$2))))</f>
        <v>C</v>
      </c>
      <c r="F9" s="6" t="str">
        <f ca="1">CELL("contenu",INDIRECT(ADDRESS(ref!$K$4,ref!E8,1,,CELL("contenu",$AC$2))))</f>
        <v/>
      </c>
      <c r="G9" s="3" t="str">
        <f ca="1">CELL("contenu",INDIRECT(ADDRESS(ref!$K$4,ref!F8,1,,CELL("contenu",$AC$2))))</f>
        <v>B</v>
      </c>
      <c r="H9" s="4" t="str">
        <f ca="1">CELL("contenu",INDIRECT(ADDRESS(ref!$K$4,ref!G8,1,,CELL("contenu",$AC$2))))</f>
        <v>B</v>
      </c>
      <c r="I9" s="5" t="str">
        <f ca="1">CELL("contenu",INDIRECT(ADDRESS(ref!$K$4,ref!H8,1,,CELL("contenu",$AC$2))))</f>
        <v>B</v>
      </c>
      <c r="J9" s="6" t="str">
        <f ca="1">CELL("contenu",INDIRECT(ADDRESS(ref!$K$5,ref!E8,1,,CELL("contenu",$AC$2))))</f>
        <v>A</v>
      </c>
      <c r="K9" s="3" t="str">
        <f ca="1">CELL("contenu",INDIRECT(ADDRESS(ref!$K$5,ref!F8,1,,CELL("contenu",$AC$2))))</f>
        <v>B</v>
      </c>
      <c r="L9" s="4" t="str">
        <f ca="1">CELL("contenu",INDIRECT(ADDRESS(ref!$K$5,ref!G8,1,,CELL("contenu",$AC$2))))</f>
        <v>A</v>
      </c>
      <c r="M9" s="5" t="str">
        <f ca="1">CELL("contenu",INDIRECT(ADDRESS(ref!$K$5,ref!H8,1,,CELL("contenu",$AC$2))))</f>
        <v>A</v>
      </c>
      <c r="N9" s="6" t="str">
        <f ca="1">CELL("contenu",INDIRECT(ADDRESS(ref!$K$6,ref!E8,1,,CELL("contenu",$AC$2))))</f>
        <v>C</v>
      </c>
      <c r="O9" s="3" t="str">
        <f ca="1">CELL("contenu",INDIRECT(ADDRESS(ref!$K$6,ref!F8,1,,CELL("contenu",$AC$2))))</f>
        <v>C</v>
      </c>
      <c r="P9" s="4" t="str">
        <f ca="1">CELL("contenu",INDIRECT(ADDRESS(ref!$K$6,ref!G8,1,,CELL("contenu",$AC$2))))</f>
        <v>C</v>
      </c>
      <c r="Q9" s="5" t="str">
        <f ca="1">CELL("contenu",INDIRECT(ADDRESS(ref!$K$6,ref!H8,1,,CELL("contenu",$AC$2))))</f>
        <v>C</v>
      </c>
      <c r="R9" s="6" t="str">
        <f ca="1">CELL("contenu",INDIRECT(ADDRESS(ref!$K$7,ref!E8,1,,CELL("contenu",$AC$2))))</f>
        <v>C</v>
      </c>
      <c r="S9" s="3" t="str">
        <f ca="1">CELL("contenu",INDIRECT(ADDRESS(ref!$K$7,ref!F8,1,,CELL("contenu",$AC$2))))</f>
        <v/>
      </c>
      <c r="T9" s="4" t="str">
        <f ca="1">CELL("contenu",INDIRECT(ADDRESS(ref!$K$7,ref!G8,1,,CELL("contenu",$AC$2))))</f>
        <v/>
      </c>
      <c r="U9" s="5" t="str">
        <f ca="1">CELL("contenu",INDIRECT(ADDRESS(ref!$K$7,ref!H8,1,,CELL("contenu",$AC$2))))</f>
        <v>C</v>
      </c>
      <c r="V9" s="43">
        <f ca="1">CELL("contenu",INDIRECT(ADDRESS(ref!$K$8,ref!E8,1,,CELL("contenu",$AC$2))))</f>
        <v>12.916666666666668</v>
      </c>
      <c r="W9" s="44">
        <f ca="1">CELL("contenu",INDIRECT(ADDRESS(ref!$K$8,ref!F8,1,,CELL("contenu",$AC$2))))</f>
        <v>13.263888888888889</v>
      </c>
      <c r="X9" s="45">
        <f ca="1">CELL("contenu",INDIRECT(ADDRESS(ref!$K$8,ref!G8,1,,CELL("contenu",$AC$2))))</f>
        <v>13.75</v>
      </c>
      <c r="Y9" s="7" t="str">
        <f ca="1">CELL("contenu",INDIRECT(ADDRESS(ref!$K$9,ref!H8,1,,CELL("contenu",$AC$2))))</f>
        <v>B</v>
      </c>
      <c r="Z9" s="4" t="str">
        <f ca="1">CELL("contenu",INDIRECT(ADDRESS(ref!$K$10,ref!H8,1,,CELL("contenu",$AC$2))))</f>
        <v/>
      </c>
      <c r="AA9" s="8" t="str">
        <f ca="1">CELL("contenu",INDIRECT(ADDRESS(ref!$K$11,ref!H8,1,,CELL("contenu",$AC$2))))</f>
        <v>B</v>
      </c>
    </row>
    <row r="10" spans="1:29" x14ac:dyDescent="0.25">
      <c r="A10" s="70" t="str">
        <f t="shared" ca="1" si="0"/>
        <v>CHAUMET-PITROIS Pierre-Antoine</v>
      </c>
      <c r="B10" s="2" t="str">
        <f ca="1">CELL("contenu",INDIRECT(ADDRESS(ref!$K$3,ref!E9,1,,CELL("contenu",$AC$2))))</f>
        <v>C</v>
      </c>
      <c r="C10" s="3" t="str">
        <f ca="1">CELL("contenu",INDIRECT(ADDRESS(ref!$K$3,ref!F9,1,,CELL("contenu",$AC$2))))</f>
        <v>B</v>
      </c>
      <c r="D10" s="4" t="str">
        <f ca="1">CELL("contenu",INDIRECT(ADDRESS(ref!$K$3,ref!G9,1,,CELL("contenu",$AC$2))))</f>
        <v>A</v>
      </c>
      <c r="E10" s="5" t="str">
        <f ca="1">CELL("contenu",INDIRECT(ADDRESS(ref!$K$3,ref!H9,1,,CELL("contenu",$AC$2))))</f>
        <v>B</v>
      </c>
      <c r="F10" s="6" t="str">
        <f ca="1">CELL("contenu",INDIRECT(ADDRESS(ref!$K$4,ref!E9,1,,CELL("contenu",$AC$2))))</f>
        <v/>
      </c>
      <c r="G10" s="3" t="str">
        <f ca="1">CELL("contenu",INDIRECT(ADDRESS(ref!$K$4,ref!F9,1,,CELL("contenu",$AC$2))))</f>
        <v>B</v>
      </c>
      <c r="H10" s="4" t="str">
        <f ca="1">CELL("contenu",INDIRECT(ADDRESS(ref!$K$4,ref!G9,1,,CELL("contenu",$AC$2))))</f>
        <v>B</v>
      </c>
      <c r="I10" s="5" t="str">
        <f ca="1">CELL("contenu",INDIRECT(ADDRESS(ref!$K$4,ref!H9,1,,CELL("contenu",$AC$2))))</f>
        <v>B</v>
      </c>
      <c r="J10" s="6" t="str">
        <f ca="1">CELL("contenu",INDIRECT(ADDRESS(ref!$K$5,ref!E9,1,,CELL("contenu",$AC$2))))</f>
        <v>A</v>
      </c>
      <c r="K10" s="3" t="str">
        <f ca="1">CELL("contenu",INDIRECT(ADDRESS(ref!$K$5,ref!F9,1,,CELL("contenu",$AC$2))))</f>
        <v>A</v>
      </c>
      <c r="L10" s="4" t="str">
        <f ca="1">CELL("contenu",INDIRECT(ADDRESS(ref!$K$5,ref!G9,1,,CELL("contenu",$AC$2))))</f>
        <v>A</v>
      </c>
      <c r="M10" s="5" t="str">
        <f ca="1">CELL("contenu",INDIRECT(ADDRESS(ref!$K$5,ref!H9,1,,CELL("contenu",$AC$2))))</f>
        <v>A</v>
      </c>
      <c r="N10" s="6" t="str">
        <f ca="1">CELL("contenu",INDIRECT(ADDRESS(ref!$K$6,ref!E9,1,,CELL("contenu",$AC$2))))</f>
        <v>B</v>
      </c>
      <c r="O10" s="3" t="str">
        <f ca="1">CELL("contenu",INDIRECT(ADDRESS(ref!$K$6,ref!F9,1,,CELL("contenu",$AC$2))))</f>
        <v>C</v>
      </c>
      <c r="P10" s="4" t="str">
        <f ca="1">CELL("contenu",INDIRECT(ADDRESS(ref!$K$6,ref!G9,1,,CELL("contenu",$AC$2))))</f>
        <v>B</v>
      </c>
      <c r="Q10" s="5" t="str">
        <f ca="1">CELL("contenu",INDIRECT(ADDRESS(ref!$K$6,ref!H9,1,,CELL("contenu",$AC$2))))</f>
        <v>B</v>
      </c>
      <c r="R10" s="6" t="str">
        <f ca="1">CELL("contenu",INDIRECT(ADDRESS(ref!$K$7,ref!E9,1,,CELL("contenu",$AC$2))))</f>
        <v>C</v>
      </c>
      <c r="S10" s="3" t="str">
        <f ca="1">CELL("contenu",INDIRECT(ADDRESS(ref!$K$7,ref!F9,1,,CELL("contenu",$AC$2))))</f>
        <v/>
      </c>
      <c r="T10" s="4" t="str">
        <f ca="1">CELL("contenu",INDIRECT(ADDRESS(ref!$K$7,ref!G9,1,,CELL("contenu",$AC$2))))</f>
        <v/>
      </c>
      <c r="U10" s="5" t="str">
        <f ca="1">CELL("contenu",INDIRECT(ADDRESS(ref!$K$7,ref!H9,1,,CELL("contenu",$AC$2))))</f>
        <v>C</v>
      </c>
      <c r="V10" s="43">
        <f ca="1">CELL("contenu",INDIRECT(ADDRESS(ref!$K$8,ref!E9,1,,CELL("contenu",$AC$2))))</f>
        <v>14.166666666666668</v>
      </c>
      <c r="W10" s="44">
        <f ca="1">CELL("contenu",INDIRECT(ADDRESS(ref!$K$8,ref!F9,1,,CELL("contenu",$AC$2))))</f>
        <v>15.069444444444445</v>
      </c>
      <c r="X10" s="45">
        <f ca="1">CELL("contenu",INDIRECT(ADDRESS(ref!$K$8,ref!G9,1,,CELL("contenu",$AC$2))))</f>
        <v>17.5</v>
      </c>
      <c r="Y10" s="7" t="str">
        <f ca="1">CELL("contenu",INDIRECT(ADDRESS(ref!$K$9,ref!H9,1,,CELL("contenu",$AC$2))))</f>
        <v>B</v>
      </c>
      <c r="Z10" s="4" t="str">
        <f ca="1">CELL("contenu",INDIRECT(ADDRESS(ref!$K$10,ref!H9,1,,CELL("contenu",$AC$2))))</f>
        <v/>
      </c>
      <c r="AA10" s="8" t="str">
        <f ca="1">CELL("contenu",INDIRECT(ADDRESS(ref!$K$11,ref!H9,1,,CELL("contenu",$AC$2))))</f>
        <v>A</v>
      </c>
    </row>
    <row r="11" spans="1:29" x14ac:dyDescent="0.25">
      <c r="A11" s="70" t="str">
        <f t="shared" ca="1" si="0"/>
        <v>COSTA Agathe</v>
      </c>
      <c r="B11" s="2" t="str">
        <f ca="1">CELL("contenu",INDIRECT(ADDRESS(ref!$K$3,ref!E10,1,,CELL("contenu",$AC$2))))</f>
        <v>C</v>
      </c>
      <c r="C11" s="3" t="str">
        <f ca="1">CELL("contenu",INDIRECT(ADDRESS(ref!$K$3,ref!F10,1,,CELL("contenu",$AC$2))))</f>
        <v>C</v>
      </c>
      <c r="D11" s="4" t="str">
        <f ca="1">CELL("contenu",INDIRECT(ADDRESS(ref!$K$3,ref!G10,1,,CELL("contenu",$AC$2))))</f>
        <v>D</v>
      </c>
      <c r="E11" s="5" t="str">
        <f ca="1">CELL("contenu",INDIRECT(ADDRESS(ref!$K$3,ref!H10,1,,CELL("contenu",$AC$2))))</f>
        <v>C</v>
      </c>
      <c r="F11" s="6" t="str">
        <f ca="1">CELL("contenu",INDIRECT(ADDRESS(ref!$K$4,ref!E10,1,,CELL("contenu",$AC$2))))</f>
        <v/>
      </c>
      <c r="G11" s="3" t="str">
        <f ca="1">CELL("contenu",INDIRECT(ADDRESS(ref!$K$4,ref!F10,1,,CELL("contenu",$AC$2))))</f>
        <v>B</v>
      </c>
      <c r="H11" s="4" t="str">
        <f ca="1">CELL("contenu",INDIRECT(ADDRESS(ref!$K$4,ref!G10,1,,CELL("contenu",$AC$2))))</f>
        <v>C</v>
      </c>
      <c r="I11" s="5" t="str">
        <f ca="1">CELL("contenu",INDIRECT(ADDRESS(ref!$K$4,ref!H10,1,,CELL("contenu",$AC$2))))</f>
        <v>B</v>
      </c>
      <c r="J11" s="6" t="str">
        <f ca="1">CELL("contenu",INDIRECT(ADDRESS(ref!$K$5,ref!E10,1,,CELL("contenu",$AC$2))))</f>
        <v>A</v>
      </c>
      <c r="K11" s="3" t="str">
        <f ca="1">CELL("contenu",INDIRECT(ADDRESS(ref!$K$5,ref!F10,1,,CELL("contenu",$AC$2))))</f>
        <v>B</v>
      </c>
      <c r="L11" s="4" t="str">
        <f ca="1">CELL("contenu",INDIRECT(ADDRESS(ref!$K$5,ref!G10,1,,CELL("contenu",$AC$2))))</f>
        <v>B</v>
      </c>
      <c r="M11" s="5" t="str">
        <f ca="1">CELL("contenu",INDIRECT(ADDRESS(ref!$K$5,ref!H10,1,,CELL("contenu",$AC$2))))</f>
        <v>B</v>
      </c>
      <c r="N11" s="6" t="str">
        <f ca="1">CELL("contenu",INDIRECT(ADDRESS(ref!$K$6,ref!E10,1,,CELL("contenu",$AC$2))))</f>
        <v>C</v>
      </c>
      <c r="O11" s="3" t="str">
        <f ca="1">CELL("contenu",INDIRECT(ADDRESS(ref!$K$6,ref!F10,1,,CELL("contenu",$AC$2))))</f>
        <v>C</v>
      </c>
      <c r="P11" s="4" t="str">
        <f ca="1">CELL("contenu",INDIRECT(ADDRESS(ref!$K$6,ref!G10,1,,CELL("contenu",$AC$2))))</f>
        <v>C</v>
      </c>
      <c r="Q11" s="5" t="str">
        <f ca="1">CELL("contenu",INDIRECT(ADDRESS(ref!$K$6,ref!H10,1,,CELL("contenu",$AC$2))))</f>
        <v>C</v>
      </c>
      <c r="R11" s="6" t="str">
        <f ca="1">CELL("contenu",INDIRECT(ADDRESS(ref!$K$7,ref!E10,1,,CELL("contenu",$AC$2))))</f>
        <v>C</v>
      </c>
      <c r="S11" s="3" t="str">
        <f ca="1">CELL("contenu",INDIRECT(ADDRESS(ref!$K$7,ref!F10,1,,CELL("contenu",$AC$2))))</f>
        <v/>
      </c>
      <c r="T11" s="4" t="str">
        <f ca="1">CELL("contenu",INDIRECT(ADDRESS(ref!$K$7,ref!G10,1,,CELL("contenu",$AC$2))))</f>
        <v/>
      </c>
      <c r="U11" s="5" t="str">
        <f ca="1">CELL("contenu",INDIRECT(ADDRESS(ref!$K$7,ref!H10,1,,CELL("contenu",$AC$2))))</f>
        <v>C</v>
      </c>
      <c r="V11" s="43">
        <f ca="1">CELL("contenu",INDIRECT(ADDRESS(ref!$K$8,ref!E10,1,,CELL("contenu",$AC$2))))</f>
        <v>13.333333333333332</v>
      </c>
      <c r="W11" s="44">
        <f ca="1">CELL("contenu",INDIRECT(ADDRESS(ref!$K$8,ref!F10,1,,CELL("contenu",$AC$2))))</f>
        <v>11.111111111111111</v>
      </c>
      <c r="X11" s="45">
        <f ca="1">CELL("contenu",INDIRECT(ADDRESS(ref!$K$8,ref!G10,1,,CELL("contenu",$AC$2))))</f>
        <v>9.7685185185185173</v>
      </c>
      <c r="Y11" s="7" t="str">
        <f ca="1">CELL("contenu",INDIRECT(ADDRESS(ref!$K$9,ref!H10,1,,CELL("contenu",$AC$2))))</f>
        <v>B</v>
      </c>
      <c r="Z11" s="4" t="str">
        <f ca="1">CELL("contenu",INDIRECT(ADDRESS(ref!$K$10,ref!H10,1,,CELL("contenu",$AC$2))))</f>
        <v/>
      </c>
      <c r="AA11" s="8" t="str">
        <f ca="1">CELL("contenu",INDIRECT(ADDRESS(ref!$K$11,ref!H10,1,,CELL("contenu",$AC$2))))</f>
        <v>B</v>
      </c>
    </row>
    <row r="12" spans="1:29" x14ac:dyDescent="0.25">
      <c r="A12" s="70" t="str">
        <f t="shared" ca="1" si="0"/>
        <v>DE FRANCE Ambroise</v>
      </c>
      <c r="B12" s="2" t="str">
        <f ca="1">CELL("contenu",INDIRECT(ADDRESS(ref!$K$3,ref!E11,1,,CELL("contenu",$AC$2))))</f>
        <v>C</v>
      </c>
      <c r="C12" s="3" t="str">
        <f ca="1">CELL("contenu",INDIRECT(ADDRESS(ref!$K$3,ref!F11,1,,CELL("contenu",$AC$2))))</f>
        <v>C</v>
      </c>
      <c r="D12" s="4" t="str">
        <f ca="1">CELL("contenu",INDIRECT(ADDRESS(ref!$K$3,ref!G11,1,,CELL("contenu",$AC$2))))</f>
        <v>B</v>
      </c>
      <c r="E12" s="5" t="str">
        <f ca="1">CELL("contenu",INDIRECT(ADDRESS(ref!$K$3,ref!H11,1,,CELL("contenu",$AC$2))))</f>
        <v>C</v>
      </c>
      <c r="F12" s="6" t="str">
        <f ca="1">CELL("contenu",INDIRECT(ADDRESS(ref!$K$4,ref!E11,1,,CELL("contenu",$AC$2))))</f>
        <v/>
      </c>
      <c r="G12" s="3" t="str">
        <f ca="1">CELL("contenu",INDIRECT(ADDRESS(ref!$K$4,ref!F11,1,,CELL("contenu",$AC$2))))</f>
        <v>A</v>
      </c>
      <c r="H12" s="4" t="str">
        <f ca="1">CELL("contenu",INDIRECT(ADDRESS(ref!$K$4,ref!G11,1,,CELL("contenu",$AC$2))))</f>
        <v>B</v>
      </c>
      <c r="I12" s="5" t="str">
        <f ca="1">CELL("contenu",INDIRECT(ADDRESS(ref!$K$4,ref!H11,1,,CELL("contenu",$AC$2))))</f>
        <v>A</v>
      </c>
      <c r="J12" s="6" t="str">
        <f ca="1">CELL("contenu",INDIRECT(ADDRESS(ref!$K$5,ref!E11,1,,CELL("contenu",$AC$2))))</f>
        <v>A</v>
      </c>
      <c r="K12" s="3" t="str">
        <f ca="1">CELL("contenu",INDIRECT(ADDRESS(ref!$K$5,ref!F11,1,,CELL("contenu",$AC$2))))</f>
        <v>B</v>
      </c>
      <c r="L12" s="4" t="str">
        <f ca="1">CELL("contenu",INDIRECT(ADDRESS(ref!$K$5,ref!G11,1,,CELL("contenu",$AC$2))))</f>
        <v>B</v>
      </c>
      <c r="M12" s="5" t="str">
        <f ca="1">CELL("contenu",INDIRECT(ADDRESS(ref!$K$5,ref!H11,1,,CELL("contenu",$AC$2))))</f>
        <v>B</v>
      </c>
      <c r="N12" s="6" t="str">
        <f ca="1">CELL("contenu",INDIRECT(ADDRESS(ref!$K$6,ref!E11,1,,CELL("contenu",$AC$2))))</f>
        <v>C</v>
      </c>
      <c r="O12" s="3" t="str">
        <f ca="1">CELL("contenu",INDIRECT(ADDRESS(ref!$K$6,ref!F11,1,,CELL("contenu",$AC$2))))</f>
        <v>B</v>
      </c>
      <c r="P12" s="4" t="str">
        <f ca="1">CELL("contenu",INDIRECT(ADDRESS(ref!$K$6,ref!G11,1,,CELL("contenu",$AC$2))))</f>
        <v>C</v>
      </c>
      <c r="Q12" s="5" t="str">
        <f ca="1">CELL("contenu",INDIRECT(ADDRESS(ref!$K$6,ref!H11,1,,CELL("contenu",$AC$2))))</f>
        <v>C</v>
      </c>
      <c r="R12" s="6" t="str">
        <f ca="1">CELL("contenu",INDIRECT(ADDRESS(ref!$K$7,ref!E11,1,,CELL("contenu",$AC$2))))</f>
        <v>C</v>
      </c>
      <c r="S12" s="3" t="str">
        <f ca="1">CELL("contenu",INDIRECT(ADDRESS(ref!$K$7,ref!F11,1,,CELL("contenu",$AC$2))))</f>
        <v/>
      </c>
      <c r="T12" s="4" t="str">
        <f ca="1">CELL("contenu",INDIRECT(ADDRESS(ref!$K$7,ref!G11,1,,CELL("contenu",$AC$2))))</f>
        <v/>
      </c>
      <c r="U12" s="5" t="str">
        <f ca="1">CELL("contenu",INDIRECT(ADDRESS(ref!$K$7,ref!H11,1,,CELL("contenu",$AC$2))))</f>
        <v>C</v>
      </c>
      <c r="V12" s="43">
        <f ca="1">CELL("contenu",INDIRECT(ADDRESS(ref!$K$8,ref!E11,1,,CELL("contenu",$AC$2))))</f>
        <v>12.5</v>
      </c>
      <c r="W12" s="44">
        <f ca="1">CELL("contenu",INDIRECT(ADDRESS(ref!$K$8,ref!F11,1,,CELL("contenu",$AC$2))))</f>
        <v>15.972222222222221</v>
      </c>
      <c r="X12" s="45">
        <f ca="1">CELL("contenu",INDIRECT(ADDRESS(ref!$K$8,ref!G11,1,,CELL("contenu",$AC$2))))</f>
        <v>15.138888888888886</v>
      </c>
      <c r="Y12" s="7" t="str">
        <f ca="1">CELL("contenu",INDIRECT(ADDRESS(ref!$K$9,ref!H11,1,,CELL("contenu",$AC$2))))</f>
        <v>A</v>
      </c>
      <c r="Z12" s="4" t="str">
        <f ca="1">CELL("contenu",INDIRECT(ADDRESS(ref!$K$10,ref!H11,1,,CELL("contenu",$AC$2))))</f>
        <v/>
      </c>
      <c r="AA12" s="8" t="str">
        <f ca="1">CELL("contenu",INDIRECT(ADDRESS(ref!$K$11,ref!H11,1,,CELL("contenu",$AC$2))))</f>
        <v>B</v>
      </c>
    </row>
    <row r="13" spans="1:29" x14ac:dyDescent="0.25">
      <c r="A13" s="70" t="str">
        <f t="shared" ca="1" si="0"/>
        <v>DE LATOUR Thibault</v>
      </c>
      <c r="B13" s="2" t="str">
        <f ca="1">CELL("contenu",INDIRECT(ADDRESS(ref!$K$3,ref!E12,1,,CELL("contenu",$AC$2))))</f>
        <v>C</v>
      </c>
      <c r="C13" s="3" t="str">
        <f ca="1">CELL("contenu",INDIRECT(ADDRESS(ref!$K$3,ref!F12,1,,CELL("contenu",$AC$2))))</f>
        <v>B</v>
      </c>
      <c r="D13" s="4" t="str">
        <f ca="1">CELL("contenu",INDIRECT(ADDRESS(ref!$K$3,ref!G12,1,,CELL("contenu",$AC$2))))</f>
        <v>C</v>
      </c>
      <c r="E13" s="5" t="str">
        <f ca="1">CELL("contenu",INDIRECT(ADDRESS(ref!$K$3,ref!H12,1,,CELL("contenu",$AC$2))))</f>
        <v>C</v>
      </c>
      <c r="F13" s="6" t="str">
        <f ca="1">CELL("contenu",INDIRECT(ADDRESS(ref!$K$4,ref!E12,1,,CELL("contenu",$AC$2))))</f>
        <v/>
      </c>
      <c r="G13" s="3" t="str">
        <f ca="1">CELL("contenu",INDIRECT(ADDRESS(ref!$K$4,ref!F12,1,,CELL("contenu",$AC$2))))</f>
        <v>B</v>
      </c>
      <c r="H13" s="4" t="str">
        <f ca="1">CELL("contenu",INDIRECT(ADDRESS(ref!$K$4,ref!G12,1,,CELL("contenu",$AC$2))))</f>
        <v>B</v>
      </c>
      <c r="I13" s="5" t="str">
        <f ca="1">CELL("contenu",INDIRECT(ADDRESS(ref!$K$4,ref!H12,1,,CELL("contenu",$AC$2))))</f>
        <v>B</v>
      </c>
      <c r="J13" s="6" t="str">
        <f ca="1">CELL("contenu",INDIRECT(ADDRESS(ref!$K$5,ref!E12,1,,CELL("contenu",$AC$2))))</f>
        <v>A</v>
      </c>
      <c r="K13" s="3" t="str">
        <f ca="1">CELL("contenu",INDIRECT(ADDRESS(ref!$K$5,ref!F12,1,,CELL("contenu",$AC$2))))</f>
        <v>C</v>
      </c>
      <c r="L13" s="4" t="str">
        <f ca="1">CELL("contenu",INDIRECT(ADDRESS(ref!$K$5,ref!G12,1,,CELL("contenu",$AC$2))))</f>
        <v>B</v>
      </c>
      <c r="M13" s="5" t="str">
        <f ca="1">CELL("contenu",INDIRECT(ADDRESS(ref!$K$5,ref!H12,1,,CELL("contenu",$AC$2))))</f>
        <v>B</v>
      </c>
      <c r="N13" s="6" t="str">
        <f ca="1">CELL("contenu",INDIRECT(ADDRESS(ref!$K$6,ref!E12,1,,CELL("contenu",$AC$2))))</f>
        <v>C</v>
      </c>
      <c r="O13" s="3" t="str">
        <f ca="1">CELL("contenu",INDIRECT(ADDRESS(ref!$K$6,ref!F12,1,,CELL("contenu",$AC$2))))</f>
        <v>C</v>
      </c>
      <c r="P13" s="4" t="str">
        <f ca="1">CELL("contenu",INDIRECT(ADDRESS(ref!$K$6,ref!G12,1,,CELL("contenu",$AC$2))))</f>
        <v>B</v>
      </c>
      <c r="Q13" s="5" t="str">
        <f ca="1">CELL("contenu",INDIRECT(ADDRESS(ref!$K$6,ref!H12,1,,CELL("contenu",$AC$2))))</f>
        <v>C</v>
      </c>
      <c r="R13" s="6" t="str">
        <f ca="1">CELL("contenu",INDIRECT(ADDRESS(ref!$K$7,ref!E12,1,,CELL("contenu",$AC$2))))</f>
        <v>B</v>
      </c>
      <c r="S13" s="3" t="str">
        <f ca="1">CELL("contenu",INDIRECT(ADDRESS(ref!$K$7,ref!F12,1,,CELL("contenu",$AC$2))))</f>
        <v/>
      </c>
      <c r="T13" s="4" t="str">
        <f ca="1">CELL("contenu",INDIRECT(ADDRESS(ref!$K$7,ref!G12,1,,CELL("contenu",$AC$2))))</f>
        <v/>
      </c>
      <c r="U13" s="5" t="str">
        <f ca="1">CELL("contenu",INDIRECT(ADDRESS(ref!$K$7,ref!H12,1,,CELL("contenu",$AC$2))))</f>
        <v>B</v>
      </c>
      <c r="V13" s="43">
        <f ca="1">CELL("contenu",INDIRECT(ADDRESS(ref!$K$8,ref!E12,1,,CELL("contenu",$AC$2))))</f>
        <v>14.166666666666668</v>
      </c>
      <c r="W13" s="44">
        <f ca="1">CELL("contenu",INDIRECT(ADDRESS(ref!$K$8,ref!F12,1,,CELL("contenu",$AC$2))))</f>
        <v>13.263888888888889</v>
      </c>
      <c r="X13" s="45">
        <f ca="1">CELL("contenu",INDIRECT(ADDRESS(ref!$K$8,ref!G12,1,,CELL("contenu",$AC$2))))</f>
        <v>14.722222222222223</v>
      </c>
      <c r="Y13" s="7" t="str">
        <f ca="1">CELL("contenu",INDIRECT(ADDRESS(ref!$K$9,ref!H12,1,,CELL("contenu",$AC$2))))</f>
        <v>B</v>
      </c>
      <c r="Z13" s="4" t="str">
        <f ca="1">CELL("contenu",INDIRECT(ADDRESS(ref!$K$10,ref!H12,1,,CELL("contenu",$AC$2))))</f>
        <v/>
      </c>
      <c r="AA13" s="8" t="str">
        <f ca="1">CELL("contenu",INDIRECT(ADDRESS(ref!$K$11,ref!H12,1,,CELL("contenu",$AC$2))))</f>
        <v>C</v>
      </c>
    </row>
    <row r="14" spans="1:29" x14ac:dyDescent="0.25">
      <c r="A14" s="70" t="str">
        <f t="shared" ca="1" si="0"/>
        <v>DURVAUX Jeanne</v>
      </c>
      <c r="B14" s="2" t="str">
        <f ca="1">CELL("contenu",INDIRECT(ADDRESS(ref!$K$3,ref!E13,1,,CELL("contenu",$AC$2))))</f>
        <v>B</v>
      </c>
      <c r="C14" s="3" t="str">
        <f ca="1">CELL("contenu",INDIRECT(ADDRESS(ref!$K$3,ref!F13,1,,CELL("contenu",$AC$2))))</f>
        <v>B</v>
      </c>
      <c r="D14" s="4" t="str">
        <f ca="1">CELL("contenu",INDIRECT(ADDRESS(ref!$K$3,ref!G13,1,,CELL("contenu",$AC$2))))</f>
        <v>B</v>
      </c>
      <c r="E14" s="5" t="str">
        <f ca="1">CELL("contenu",INDIRECT(ADDRESS(ref!$K$3,ref!H13,1,,CELL("contenu",$AC$2))))</f>
        <v>B</v>
      </c>
      <c r="F14" s="6" t="str">
        <f ca="1">CELL("contenu",INDIRECT(ADDRESS(ref!$K$4,ref!E13,1,,CELL("contenu",$AC$2))))</f>
        <v/>
      </c>
      <c r="G14" s="3" t="str">
        <f ca="1">CELL("contenu",INDIRECT(ADDRESS(ref!$K$4,ref!F13,1,,CELL("contenu",$AC$2))))</f>
        <v>B</v>
      </c>
      <c r="H14" s="4" t="str">
        <f ca="1">CELL("contenu",INDIRECT(ADDRESS(ref!$K$4,ref!G13,1,,CELL("contenu",$AC$2))))</f>
        <v>B</v>
      </c>
      <c r="I14" s="5" t="str">
        <f ca="1">CELL("contenu",INDIRECT(ADDRESS(ref!$K$4,ref!H13,1,,CELL("contenu",$AC$2))))</f>
        <v>B</v>
      </c>
      <c r="J14" s="6" t="str">
        <f ca="1">CELL("contenu",INDIRECT(ADDRESS(ref!$K$5,ref!E13,1,,CELL("contenu",$AC$2))))</f>
        <v>B</v>
      </c>
      <c r="K14" s="3" t="str">
        <f ca="1">CELL("contenu",INDIRECT(ADDRESS(ref!$K$5,ref!F13,1,,CELL("contenu",$AC$2))))</f>
        <v>A</v>
      </c>
      <c r="L14" s="4" t="str">
        <f ca="1">CELL("contenu",INDIRECT(ADDRESS(ref!$K$5,ref!G13,1,,CELL("contenu",$AC$2))))</f>
        <v>C</v>
      </c>
      <c r="M14" s="5" t="str">
        <f ca="1">CELL("contenu",INDIRECT(ADDRESS(ref!$K$5,ref!H13,1,,CELL("contenu",$AC$2))))</f>
        <v>B</v>
      </c>
      <c r="N14" s="6" t="str">
        <f ca="1">CELL("contenu",INDIRECT(ADDRESS(ref!$K$6,ref!E13,1,,CELL("contenu",$AC$2))))</f>
        <v>C</v>
      </c>
      <c r="O14" s="3" t="str">
        <f ca="1">CELL("contenu",INDIRECT(ADDRESS(ref!$K$6,ref!F13,1,,CELL("contenu",$AC$2))))</f>
        <v>B</v>
      </c>
      <c r="P14" s="4" t="str">
        <f ca="1">CELL("contenu",INDIRECT(ADDRESS(ref!$K$6,ref!G13,1,,CELL("contenu",$AC$2))))</f>
        <v>B</v>
      </c>
      <c r="Q14" s="5" t="str">
        <f ca="1">CELL("contenu",INDIRECT(ADDRESS(ref!$K$6,ref!H13,1,,CELL("contenu",$AC$2))))</f>
        <v>B</v>
      </c>
      <c r="R14" s="6" t="str">
        <f ca="1">CELL("contenu",INDIRECT(ADDRESS(ref!$K$7,ref!E13,1,,CELL("contenu",$AC$2))))</f>
        <v>C</v>
      </c>
      <c r="S14" s="3" t="str">
        <f ca="1">CELL("contenu",INDIRECT(ADDRESS(ref!$K$7,ref!F13,1,,CELL("contenu",$AC$2))))</f>
        <v/>
      </c>
      <c r="T14" s="4" t="str">
        <f ca="1">CELL("contenu",INDIRECT(ADDRESS(ref!$K$7,ref!G13,1,,CELL("contenu",$AC$2))))</f>
        <v/>
      </c>
      <c r="U14" s="5" t="str">
        <f ca="1">CELL("contenu",INDIRECT(ADDRESS(ref!$K$7,ref!H13,1,,CELL("contenu",$AC$2))))</f>
        <v>C</v>
      </c>
      <c r="V14" s="43">
        <f ca="1">CELL("contenu",INDIRECT(ADDRESS(ref!$K$8,ref!E13,1,,CELL("contenu",$AC$2))))</f>
        <v>13.75</v>
      </c>
      <c r="W14" s="44">
        <f ca="1">CELL("contenu",INDIRECT(ADDRESS(ref!$K$8,ref!F13,1,,CELL("contenu",$AC$2))))</f>
        <v>16.319444444444443</v>
      </c>
      <c r="X14" s="45">
        <f ca="1">CELL("contenu",INDIRECT(ADDRESS(ref!$K$8,ref!G13,1,,CELL("contenu",$AC$2))))</f>
        <v>14.351851851851851</v>
      </c>
      <c r="Y14" s="7" t="str">
        <f ca="1">CELL("contenu",INDIRECT(ADDRESS(ref!$K$9,ref!H13,1,,CELL("contenu",$AC$2))))</f>
        <v>B</v>
      </c>
      <c r="Z14" s="4" t="str">
        <f ca="1">CELL("contenu",INDIRECT(ADDRESS(ref!$K$10,ref!H13,1,,CELL("contenu",$AC$2))))</f>
        <v/>
      </c>
      <c r="AA14" s="8" t="str">
        <f ca="1">CELL("contenu",INDIRECT(ADDRESS(ref!$K$11,ref!H13,1,,CELL("contenu",$AC$2))))</f>
        <v>B</v>
      </c>
    </row>
    <row r="15" spans="1:29" x14ac:dyDescent="0.25">
      <c r="A15" s="70" t="str">
        <f t="shared" ca="1" si="0"/>
        <v>ESTOURNET Paul</v>
      </c>
      <c r="B15" s="2" t="str">
        <f ca="1">CELL("contenu",INDIRECT(ADDRESS(ref!$K$3,ref!E14,1,,CELL("contenu",$AC$2))))</f>
        <v>C</v>
      </c>
      <c r="C15" s="3" t="str">
        <f ca="1">CELL("contenu",INDIRECT(ADDRESS(ref!$K$3,ref!F14,1,,CELL("contenu",$AC$2))))</f>
        <v>B</v>
      </c>
      <c r="D15" s="4" t="str">
        <f ca="1">CELL("contenu",INDIRECT(ADDRESS(ref!$K$3,ref!G14,1,,CELL("contenu",$AC$2))))</f>
        <v>C</v>
      </c>
      <c r="E15" s="5" t="str">
        <f ca="1">CELL("contenu",INDIRECT(ADDRESS(ref!$K$3,ref!H14,1,,CELL("contenu",$AC$2))))</f>
        <v>C</v>
      </c>
      <c r="F15" s="6" t="str">
        <f ca="1">CELL("contenu",INDIRECT(ADDRESS(ref!$K$4,ref!E14,1,,CELL("contenu",$AC$2))))</f>
        <v/>
      </c>
      <c r="G15" s="3" t="str">
        <f ca="1">CELL("contenu",INDIRECT(ADDRESS(ref!$K$4,ref!F14,1,,CELL("contenu",$AC$2))))</f>
        <v>A</v>
      </c>
      <c r="H15" s="4" t="str">
        <f ca="1">CELL("contenu",INDIRECT(ADDRESS(ref!$K$4,ref!G14,1,,CELL("contenu",$AC$2))))</f>
        <v>A</v>
      </c>
      <c r="I15" s="5" t="str">
        <f ca="1">CELL("contenu",INDIRECT(ADDRESS(ref!$K$4,ref!H14,1,,CELL("contenu",$AC$2))))</f>
        <v>A</v>
      </c>
      <c r="J15" s="6" t="str">
        <f ca="1">CELL("contenu",INDIRECT(ADDRESS(ref!$K$5,ref!E14,1,,CELL("contenu",$AC$2))))</f>
        <v>A</v>
      </c>
      <c r="K15" s="3" t="str">
        <f ca="1">CELL("contenu",INDIRECT(ADDRESS(ref!$K$5,ref!F14,1,,CELL("contenu",$AC$2))))</f>
        <v>B</v>
      </c>
      <c r="L15" s="4" t="str">
        <f ca="1">CELL("contenu",INDIRECT(ADDRESS(ref!$K$5,ref!G14,1,,CELL("contenu",$AC$2))))</f>
        <v>A</v>
      </c>
      <c r="M15" s="5" t="str">
        <f ca="1">CELL("contenu",INDIRECT(ADDRESS(ref!$K$5,ref!H14,1,,CELL("contenu",$AC$2))))</f>
        <v>A</v>
      </c>
      <c r="N15" s="6" t="str">
        <f ca="1">CELL("contenu",INDIRECT(ADDRESS(ref!$K$6,ref!E14,1,,CELL("contenu",$AC$2))))</f>
        <v>B</v>
      </c>
      <c r="O15" s="3" t="str">
        <f ca="1">CELL("contenu",INDIRECT(ADDRESS(ref!$K$6,ref!F14,1,,CELL("contenu",$AC$2))))</f>
        <v>C</v>
      </c>
      <c r="P15" s="4" t="str">
        <f ca="1">CELL("contenu",INDIRECT(ADDRESS(ref!$K$6,ref!G14,1,,CELL("contenu",$AC$2))))</f>
        <v>B</v>
      </c>
      <c r="Q15" s="5" t="str">
        <f ca="1">CELL("contenu",INDIRECT(ADDRESS(ref!$K$6,ref!H14,1,,CELL("contenu",$AC$2))))</f>
        <v>B</v>
      </c>
      <c r="R15" s="6" t="str">
        <f ca="1">CELL("contenu",INDIRECT(ADDRESS(ref!$K$7,ref!E14,1,,CELL("contenu",$AC$2))))</f>
        <v>C</v>
      </c>
      <c r="S15" s="3" t="str">
        <f ca="1">CELL("contenu",INDIRECT(ADDRESS(ref!$K$7,ref!F14,1,,CELL("contenu",$AC$2))))</f>
        <v/>
      </c>
      <c r="T15" s="4" t="str">
        <f ca="1">CELL("contenu",INDIRECT(ADDRESS(ref!$K$7,ref!G14,1,,CELL("contenu",$AC$2))))</f>
        <v/>
      </c>
      <c r="U15" s="5" t="str">
        <f ca="1">CELL("contenu",INDIRECT(ADDRESS(ref!$K$7,ref!H14,1,,CELL("contenu",$AC$2))))</f>
        <v>C</v>
      </c>
      <c r="V15" s="43">
        <f ca="1">CELL("contenu",INDIRECT(ADDRESS(ref!$K$8,ref!E14,1,,CELL("contenu",$AC$2))))</f>
        <v>12.916666666666668</v>
      </c>
      <c r="W15" s="44">
        <f ca="1">CELL("contenu",INDIRECT(ADDRESS(ref!$K$8,ref!F14,1,,CELL("contenu",$AC$2))))</f>
        <v>14.861111111111114</v>
      </c>
      <c r="X15" s="45">
        <f ca="1">CELL("contenu",INDIRECT(ADDRESS(ref!$K$8,ref!G14,1,,CELL("contenu",$AC$2))))</f>
        <v>14.305555555555555</v>
      </c>
      <c r="Y15" s="7" t="str">
        <f ca="1">CELL("contenu",INDIRECT(ADDRESS(ref!$K$9,ref!H14,1,,CELL("contenu",$AC$2))))</f>
        <v>A</v>
      </c>
      <c r="Z15" s="4" t="str">
        <f ca="1">CELL("contenu",INDIRECT(ADDRESS(ref!$K$10,ref!H14,1,,CELL("contenu",$AC$2))))</f>
        <v/>
      </c>
      <c r="AA15" s="8" t="str">
        <f ca="1">CELL("contenu",INDIRECT(ADDRESS(ref!$K$11,ref!H14,1,,CELL("contenu",$AC$2))))</f>
        <v>B</v>
      </c>
    </row>
    <row r="16" spans="1:29" x14ac:dyDescent="0.25">
      <c r="A16" s="70" t="str">
        <f t="shared" ca="1" si="0"/>
        <v>FANOUS Juliano</v>
      </c>
      <c r="B16" s="2" t="str">
        <f ca="1">CELL("contenu",INDIRECT(ADDRESS(ref!$K$3,ref!E15,1,,CELL("contenu",$AC$2))))</f>
        <v>C</v>
      </c>
      <c r="C16" s="3" t="str">
        <f ca="1">CELL("contenu",INDIRECT(ADDRESS(ref!$K$3,ref!F15,1,,CELL("contenu",$AC$2))))</f>
        <v>C</v>
      </c>
      <c r="D16" s="4" t="str">
        <f ca="1">CELL("contenu",INDIRECT(ADDRESS(ref!$K$3,ref!G15,1,,CELL("contenu",$AC$2))))</f>
        <v>B</v>
      </c>
      <c r="E16" s="5" t="str">
        <f ca="1">CELL("contenu",INDIRECT(ADDRESS(ref!$K$3,ref!H15,1,,CELL("contenu",$AC$2))))</f>
        <v>C</v>
      </c>
      <c r="F16" s="6" t="str">
        <f ca="1">CELL("contenu",INDIRECT(ADDRESS(ref!$K$4,ref!E15,1,,CELL("contenu",$AC$2))))</f>
        <v/>
      </c>
      <c r="G16" s="3" t="str">
        <f ca="1">CELL("contenu",INDIRECT(ADDRESS(ref!$K$4,ref!F15,1,,CELL("contenu",$AC$2))))</f>
        <v>C</v>
      </c>
      <c r="H16" s="4" t="str">
        <f ca="1">CELL("contenu",INDIRECT(ADDRESS(ref!$K$4,ref!G15,1,,CELL("contenu",$AC$2))))</f>
        <v>B</v>
      </c>
      <c r="I16" s="5" t="str">
        <f ca="1">CELL("contenu",INDIRECT(ADDRESS(ref!$K$4,ref!H15,1,,CELL("contenu",$AC$2))))</f>
        <v>B</v>
      </c>
      <c r="J16" s="6" t="str">
        <f ca="1">CELL("contenu",INDIRECT(ADDRESS(ref!$K$5,ref!E15,1,,CELL("contenu",$AC$2))))</f>
        <v>A</v>
      </c>
      <c r="K16" s="3" t="str">
        <f ca="1">CELL("contenu",INDIRECT(ADDRESS(ref!$K$5,ref!F15,1,,CELL("contenu",$AC$2))))</f>
        <v>C</v>
      </c>
      <c r="L16" s="4" t="str">
        <f ca="1">CELL("contenu",INDIRECT(ADDRESS(ref!$K$5,ref!G15,1,,CELL("contenu",$AC$2))))</f>
        <v>A</v>
      </c>
      <c r="M16" s="5" t="str">
        <f ca="1">CELL("contenu",INDIRECT(ADDRESS(ref!$K$5,ref!H15,1,,CELL("contenu",$AC$2))))</f>
        <v>B</v>
      </c>
      <c r="N16" s="6" t="str">
        <f ca="1">CELL("contenu",INDIRECT(ADDRESS(ref!$K$6,ref!E15,1,,CELL("contenu",$AC$2))))</f>
        <v>C</v>
      </c>
      <c r="O16" s="3" t="str">
        <f ca="1">CELL("contenu",INDIRECT(ADDRESS(ref!$K$6,ref!F15,1,,CELL("contenu",$AC$2))))</f>
        <v>C</v>
      </c>
      <c r="P16" s="4" t="str">
        <f ca="1">CELL("contenu",INDIRECT(ADDRESS(ref!$K$6,ref!G15,1,,CELL("contenu",$AC$2))))</f>
        <v>C</v>
      </c>
      <c r="Q16" s="5" t="str">
        <f ca="1">CELL("contenu",INDIRECT(ADDRESS(ref!$K$6,ref!H15,1,,CELL("contenu",$AC$2))))</f>
        <v>C</v>
      </c>
      <c r="R16" s="6" t="str">
        <f ca="1">CELL("contenu",INDIRECT(ADDRESS(ref!$K$7,ref!E15,1,,CELL("contenu",$AC$2))))</f>
        <v>D</v>
      </c>
      <c r="S16" s="3" t="str">
        <f ca="1">CELL("contenu",INDIRECT(ADDRESS(ref!$K$7,ref!F15,1,,CELL("contenu",$AC$2))))</f>
        <v/>
      </c>
      <c r="T16" s="4" t="str">
        <f ca="1">CELL("contenu",INDIRECT(ADDRESS(ref!$K$7,ref!G15,1,,CELL("contenu",$AC$2))))</f>
        <v/>
      </c>
      <c r="U16" s="5" t="str">
        <f ca="1">CELL("contenu",INDIRECT(ADDRESS(ref!$K$7,ref!H15,1,,CELL("contenu",$AC$2))))</f>
        <v>D</v>
      </c>
      <c r="V16" s="43">
        <f ca="1">CELL("contenu",INDIRECT(ADDRESS(ref!$K$8,ref!E15,1,,CELL("contenu",$AC$2))))</f>
        <v>11.25</v>
      </c>
      <c r="W16" s="44">
        <f ca="1">CELL("contenu",INDIRECT(ADDRESS(ref!$K$8,ref!F15,1,,CELL("contenu",$AC$2))))</f>
        <v>9.5833333333333339</v>
      </c>
      <c r="X16" s="45">
        <f ca="1">CELL("contenu",INDIRECT(ADDRESS(ref!$K$8,ref!G15,1,,CELL("contenu",$AC$2))))</f>
        <v>15.416666666666668</v>
      </c>
      <c r="Y16" s="7" t="str">
        <f ca="1">CELL("contenu",INDIRECT(ADDRESS(ref!$K$9,ref!H15,1,,CELL("contenu",$AC$2))))</f>
        <v>B</v>
      </c>
      <c r="Z16" s="4" t="str">
        <f ca="1">CELL("contenu",INDIRECT(ADDRESS(ref!$K$10,ref!H15,1,,CELL("contenu",$AC$2))))</f>
        <v/>
      </c>
      <c r="AA16" s="8" t="str">
        <f ca="1">CELL("contenu",INDIRECT(ADDRESS(ref!$K$11,ref!H15,1,,CELL("contenu",$AC$2))))</f>
        <v>B</v>
      </c>
    </row>
    <row r="17" spans="1:27" x14ac:dyDescent="0.25">
      <c r="A17" s="70" t="str">
        <f t="shared" ca="1" si="0"/>
        <v>GATINE Nicolas</v>
      </c>
      <c r="B17" s="2" t="str">
        <f ca="1">CELL("contenu",INDIRECT(ADDRESS(ref!$K$3,ref!E16,1,,CELL("contenu",$AC$2))))</f>
        <v>B</v>
      </c>
      <c r="C17" s="3" t="str">
        <f ca="1">CELL("contenu",INDIRECT(ADDRESS(ref!$K$3,ref!F16,1,,CELL("contenu",$AC$2))))</f>
        <v>B</v>
      </c>
      <c r="D17" s="4" t="str">
        <f ca="1">CELL("contenu",INDIRECT(ADDRESS(ref!$K$3,ref!G16,1,,CELL("contenu",$AC$2))))</f>
        <v>C</v>
      </c>
      <c r="E17" s="5" t="str">
        <f ca="1">CELL("contenu",INDIRECT(ADDRESS(ref!$K$3,ref!H16,1,,CELL("contenu",$AC$2))))</f>
        <v>B</v>
      </c>
      <c r="F17" s="6" t="str">
        <f ca="1">CELL("contenu",INDIRECT(ADDRESS(ref!$K$4,ref!E16,1,,CELL("contenu",$AC$2))))</f>
        <v/>
      </c>
      <c r="G17" s="3" t="str">
        <f ca="1">CELL("contenu",INDIRECT(ADDRESS(ref!$K$4,ref!F16,1,,CELL("contenu",$AC$2))))</f>
        <v>A</v>
      </c>
      <c r="H17" s="4" t="str">
        <f ca="1">CELL("contenu",INDIRECT(ADDRESS(ref!$K$4,ref!G16,1,,CELL("contenu",$AC$2))))</f>
        <v>A</v>
      </c>
      <c r="I17" s="5" t="str">
        <f ca="1">CELL("contenu",INDIRECT(ADDRESS(ref!$K$4,ref!H16,1,,CELL("contenu",$AC$2))))</f>
        <v>A</v>
      </c>
      <c r="J17" s="6" t="str">
        <f ca="1">CELL("contenu",INDIRECT(ADDRESS(ref!$K$5,ref!E16,1,,CELL("contenu",$AC$2))))</f>
        <v>A</v>
      </c>
      <c r="K17" s="3" t="str">
        <f ca="1">CELL("contenu",INDIRECT(ADDRESS(ref!$K$5,ref!F16,1,,CELL("contenu",$AC$2))))</f>
        <v>B</v>
      </c>
      <c r="L17" s="4" t="str">
        <f ca="1">CELL("contenu",INDIRECT(ADDRESS(ref!$K$5,ref!G16,1,,CELL("contenu",$AC$2))))</f>
        <v>B</v>
      </c>
      <c r="M17" s="5" t="str">
        <f ca="1">CELL("contenu",INDIRECT(ADDRESS(ref!$K$5,ref!H16,1,,CELL("contenu",$AC$2))))</f>
        <v>B</v>
      </c>
      <c r="N17" s="6" t="str">
        <f ca="1">CELL("contenu",INDIRECT(ADDRESS(ref!$K$6,ref!E16,1,,CELL("contenu",$AC$2))))</f>
        <v>C</v>
      </c>
      <c r="O17" s="3" t="str">
        <f ca="1">CELL("contenu",INDIRECT(ADDRESS(ref!$K$6,ref!F16,1,,CELL("contenu",$AC$2))))</f>
        <v>C</v>
      </c>
      <c r="P17" s="4" t="str">
        <f ca="1">CELL("contenu",INDIRECT(ADDRESS(ref!$K$6,ref!G16,1,,CELL("contenu",$AC$2))))</f>
        <v>C</v>
      </c>
      <c r="Q17" s="5" t="str">
        <f ca="1">CELL("contenu",INDIRECT(ADDRESS(ref!$K$6,ref!H16,1,,CELL("contenu",$AC$2))))</f>
        <v>C</v>
      </c>
      <c r="R17" s="6" t="str">
        <f ca="1">CELL("contenu",INDIRECT(ADDRESS(ref!$K$7,ref!E16,1,,CELL("contenu",$AC$2))))</f>
        <v>C</v>
      </c>
      <c r="S17" s="3" t="str">
        <f ca="1">CELL("contenu",INDIRECT(ADDRESS(ref!$K$7,ref!F16,1,,CELL("contenu",$AC$2))))</f>
        <v/>
      </c>
      <c r="T17" s="4" t="str">
        <f ca="1">CELL("contenu",INDIRECT(ADDRESS(ref!$K$7,ref!G16,1,,CELL("contenu",$AC$2))))</f>
        <v/>
      </c>
      <c r="U17" s="5" t="str">
        <f ca="1">CELL("contenu",INDIRECT(ADDRESS(ref!$K$7,ref!H16,1,,CELL("contenu",$AC$2))))</f>
        <v>C</v>
      </c>
      <c r="V17" s="43">
        <f ca="1">CELL("contenu",INDIRECT(ADDRESS(ref!$K$8,ref!E16,1,,CELL("contenu",$AC$2))))</f>
        <v>14.166666666666668</v>
      </c>
      <c r="W17" s="44">
        <f ca="1">CELL("contenu",INDIRECT(ADDRESS(ref!$K$8,ref!F16,1,,CELL("contenu",$AC$2))))</f>
        <v>15.486111111111114</v>
      </c>
      <c r="X17" s="45">
        <f ca="1">CELL("contenu",INDIRECT(ADDRESS(ref!$K$8,ref!G16,1,,CELL("contenu",$AC$2))))</f>
        <v>14.12037037037037</v>
      </c>
      <c r="Y17" s="7" t="str">
        <f ca="1">CELL("contenu",INDIRECT(ADDRESS(ref!$K$9,ref!H16,1,,CELL("contenu",$AC$2))))</f>
        <v>A</v>
      </c>
      <c r="Z17" s="4" t="str">
        <f ca="1">CELL("contenu",INDIRECT(ADDRESS(ref!$K$10,ref!H16,1,,CELL("contenu",$AC$2))))</f>
        <v/>
      </c>
      <c r="AA17" s="8" t="str">
        <f ca="1">CELL("contenu",INDIRECT(ADDRESS(ref!$K$11,ref!H16,1,,CELL("contenu",$AC$2))))</f>
        <v>B</v>
      </c>
    </row>
    <row r="18" spans="1:27" x14ac:dyDescent="0.25">
      <c r="A18" s="70" t="str">
        <f t="shared" ca="1" si="0"/>
        <v>GUIMET Hugo</v>
      </c>
      <c r="B18" s="2" t="str">
        <f ca="1">CELL("contenu",INDIRECT(ADDRESS(ref!$K$3,ref!E17,1,,CELL("contenu",$AC$2))))</f>
        <v>C</v>
      </c>
      <c r="C18" s="3" t="str">
        <f ca="1">CELL("contenu",INDIRECT(ADDRESS(ref!$K$3,ref!F17,1,,CELL("contenu",$AC$2))))</f>
        <v>C</v>
      </c>
      <c r="D18" s="4" t="str">
        <f ca="1">CELL("contenu",INDIRECT(ADDRESS(ref!$K$3,ref!G17,1,,CELL("contenu",$AC$2))))</f>
        <v>C</v>
      </c>
      <c r="E18" s="5" t="str">
        <f ca="1">CELL("contenu",INDIRECT(ADDRESS(ref!$K$3,ref!H17,1,,CELL("contenu",$AC$2))))</f>
        <v>C</v>
      </c>
      <c r="F18" s="6" t="str">
        <f ca="1">CELL("contenu",INDIRECT(ADDRESS(ref!$K$4,ref!E17,1,,CELL("contenu",$AC$2))))</f>
        <v/>
      </c>
      <c r="G18" s="3" t="str">
        <f ca="1">CELL("contenu",INDIRECT(ADDRESS(ref!$K$4,ref!F17,1,,CELL("contenu",$AC$2))))</f>
        <v>A</v>
      </c>
      <c r="H18" s="4" t="str">
        <f ca="1">CELL("contenu",INDIRECT(ADDRESS(ref!$K$4,ref!G17,1,,CELL("contenu",$AC$2))))</f>
        <v>B</v>
      </c>
      <c r="I18" s="5" t="str">
        <f ca="1">CELL("contenu",INDIRECT(ADDRESS(ref!$K$4,ref!H17,1,,CELL("contenu",$AC$2))))</f>
        <v>B</v>
      </c>
      <c r="J18" s="6" t="str">
        <f ca="1">CELL("contenu",INDIRECT(ADDRESS(ref!$K$5,ref!E17,1,,CELL("contenu",$AC$2))))</f>
        <v>A</v>
      </c>
      <c r="K18" s="3" t="str">
        <f ca="1">CELL("contenu",INDIRECT(ADDRESS(ref!$K$5,ref!F17,1,,CELL("contenu",$AC$2))))</f>
        <v>B</v>
      </c>
      <c r="L18" s="4" t="str">
        <f ca="1">CELL("contenu",INDIRECT(ADDRESS(ref!$K$5,ref!G17,1,,CELL("contenu",$AC$2))))</f>
        <v>C</v>
      </c>
      <c r="M18" s="5" t="str">
        <f ca="1">CELL("contenu",INDIRECT(ADDRESS(ref!$K$5,ref!H17,1,,CELL("contenu",$AC$2))))</f>
        <v>C</v>
      </c>
      <c r="N18" s="6" t="str">
        <f ca="1">CELL("contenu",INDIRECT(ADDRESS(ref!$K$6,ref!E17,1,,CELL("contenu",$AC$2))))</f>
        <v>C</v>
      </c>
      <c r="O18" s="3" t="str">
        <f ca="1">CELL("contenu",INDIRECT(ADDRESS(ref!$K$6,ref!F17,1,,CELL("contenu",$AC$2))))</f>
        <v>C</v>
      </c>
      <c r="P18" s="4" t="str">
        <f ca="1">CELL("contenu",INDIRECT(ADDRESS(ref!$K$6,ref!G17,1,,CELL("contenu",$AC$2))))</f>
        <v>C</v>
      </c>
      <c r="Q18" s="5" t="str">
        <f ca="1">CELL("contenu",INDIRECT(ADDRESS(ref!$K$6,ref!H17,1,,CELL("contenu",$AC$2))))</f>
        <v>C</v>
      </c>
      <c r="R18" s="6" t="str">
        <f ca="1">CELL("contenu",INDIRECT(ADDRESS(ref!$K$7,ref!E17,1,,CELL("contenu",$AC$2))))</f>
        <v>C</v>
      </c>
      <c r="S18" s="3" t="str">
        <f ca="1">CELL("contenu",INDIRECT(ADDRESS(ref!$K$7,ref!F17,1,,CELL("contenu",$AC$2))))</f>
        <v/>
      </c>
      <c r="T18" s="4" t="str">
        <f ca="1">CELL("contenu",INDIRECT(ADDRESS(ref!$K$7,ref!G17,1,,CELL("contenu",$AC$2))))</f>
        <v/>
      </c>
      <c r="U18" s="5" t="str">
        <f ca="1">CELL("contenu",INDIRECT(ADDRESS(ref!$K$7,ref!H17,1,,CELL("contenu",$AC$2))))</f>
        <v>C</v>
      </c>
      <c r="V18" s="43">
        <f ca="1">CELL("contenu",INDIRECT(ADDRESS(ref!$K$8,ref!E17,1,,CELL("contenu",$AC$2))))</f>
        <v>12.083333333333332</v>
      </c>
      <c r="W18" s="44">
        <f ca="1">CELL("contenu",INDIRECT(ADDRESS(ref!$K$8,ref!F17,1,,CELL("contenu",$AC$2))))</f>
        <v>12.013888888888891</v>
      </c>
      <c r="X18" s="45">
        <f ca="1">CELL("contenu",INDIRECT(ADDRESS(ref!$K$8,ref!G17,1,,CELL("contenu",$AC$2))))</f>
        <v>10.972222222222223</v>
      </c>
      <c r="Y18" s="7" t="str">
        <f ca="1">CELL("contenu",INDIRECT(ADDRESS(ref!$K$9,ref!H17,1,,CELL("contenu",$AC$2))))</f>
        <v>B</v>
      </c>
      <c r="Z18" s="4" t="str">
        <f ca="1">CELL("contenu",INDIRECT(ADDRESS(ref!$K$10,ref!H17,1,,CELL("contenu",$AC$2))))</f>
        <v/>
      </c>
      <c r="AA18" s="8" t="str">
        <f ca="1">CELL("contenu",INDIRECT(ADDRESS(ref!$K$11,ref!H17,1,,CELL("contenu",$AC$2))))</f>
        <v>C</v>
      </c>
    </row>
    <row r="19" spans="1:27" x14ac:dyDescent="0.25">
      <c r="A19" s="70" t="str">
        <f t="shared" ca="1" si="0"/>
        <v>JAUZENQUE Helene</v>
      </c>
      <c r="B19" s="2" t="str">
        <f ca="1">CELL("contenu",INDIRECT(ADDRESS(ref!$K$3,ref!E18,1,,CELL("contenu",$AC$2))))</f>
        <v>B</v>
      </c>
      <c r="C19" s="3" t="str">
        <f ca="1">CELL("contenu",INDIRECT(ADDRESS(ref!$K$3,ref!F18,1,,CELL("contenu",$AC$2))))</f>
        <v>C</v>
      </c>
      <c r="D19" s="4" t="str">
        <f ca="1">CELL("contenu",INDIRECT(ADDRESS(ref!$K$3,ref!G18,1,,CELL("contenu",$AC$2))))</f>
        <v>C</v>
      </c>
      <c r="E19" s="5" t="str">
        <f ca="1">CELL("contenu",INDIRECT(ADDRESS(ref!$K$3,ref!H18,1,,CELL("contenu",$AC$2))))</f>
        <v>C</v>
      </c>
      <c r="F19" s="6" t="str">
        <f ca="1">CELL("contenu",INDIRECT(ADDRESS(ref!$K$4,ref!E18,1,,CELL("contenu",$AC$2))))</f>
        <v/>
      </c>
      <c r="G19" s="3" t="str">
        <f ca="1">CELL("contenu",INDIRECT(ADDRESS(ref!$K$4,ref!F18,1,,CELL("contenu",$AC$2))))</f>
        <v>B</v>
      </c>
      <c r="H19" s="4" t="str">
        <f ca="1">CELL("contenu",INDIRECT(ADDRESS(ref!$K$4,ref!G18,1,,CELL("contenu",$AC$2))))</f>
        <v>B</v>
      </c>
      <c r="I19" s="5" t="str">
        <f ca="1">CELL("contenu",INDIRECT(ADDRESS(ref!$K$4,ref!H18,1,,CELL("contenu",$AC$2))))</f>
        <v>B</v>
      </c>
      <c r="J19" s="6" t="str">
        <f ca="1">CELL("contenu",INDIRECT(ADDRESS(ref!$K$5,ref!E18,1,,CELL("contenu",$AC$2))))</f>
        <v>A</v>
      </c>
      <c r="K19" s="3" t="str">
        <f ca="1">CELL("contenu",INDIRECT(ADDRESS(ref!$K$5,ref!F18,1,,CELL("contenu",$AC$2))))</f>
        <v>B</v>
      </c>
      <c r="L19" s="4" t="str">
        <f ca="1">CELL("contenu",INDIRECT(ADDRESS(ref!$K$5,ref!G18,1,,CELL("contenu",$AC$2))))</f>
        <v/>
      </c>
      <c r="M19" s="5" t="str">
        <f ca="1">CELL("contenu",INDIRECT(ADDRESS(ref!$K$5,ref!H18,1,,CELL("contenu",$AC$2))))</f>
        <v>B</v>
      </c>
      <c r="N19" s="6" t="str">
        <f ca="1">CELL("contenu",INDIRECT(ADDRESS(ref!$K$6,ref!E18,1,,CELL("contenu",$AC$2))))</f>
        <v>C</v>
      </c>
      <c r="O19" s="3" t="str">
        <f ca="1">CELL("contenu",INDIRECT(ADDRESS(ref!$K$6,ref!F18,1,,CELL("contenu",$AC$2))))</f>
        <v>C</v>
      </c>
      <c r="P19" s="4" t="str">
        <f ca="1">CELL("contenu",INDIRECT(ADDRESS(ref!$K$6,ref!G18,1,,CELL("contenu",$AC$2))))</f>
        <v>C</v>
      </c>
      <c r="Q19" s="5" t="str">
        <f ca="1">CELL("contenu",INDIRECT(ADDRESS(ref!$K$6,ref!H18,1,,CELL("contenu",$AC$2))))</f>
        <v>C</v>
      </c>
      <c r="R19" s="6" t="str">
        <f ca="1">CELL("contenu",INDIRECT(ADDRESS(ref!$K$7,ref!E18,1,,CELL("contenu",$AC$2))))</f>
        <v>D</v>
      </c>
      <c r="S19" s="3" t="str">
        <f ca="1">CELL("contenu",INDIRECT(ADDRESS(ref!$K$7,ref!F18,1,,CELL("contenu",$AC$2))))</f>
        <v/>
      </c>
      <c r="T19" s="4" t="str">
        <f ca="1">CELL("contenu",INDIRECT(ADDRESS(ref!$K$7,ref!G18,1,,CELL("contenu",$AC$2))))</f>
        <v/>
      </c>
      <c r="U19" s="5" t="str">
        <f ca="1">CELL("contenu",INDIRECT(ADDRESS(ref!$K$7,ref!H18,1,,CELL("contenu",$AC$2))))</f>
        <v>D</v>
      </c>
      <c r="V19" s="43">
        <f ca="1">CELL("contenu",INDIRECT(ADDRESS(ref!$K$8,ref!E18,1,,CELL("contenu",$AC$2))))</f>
        <v>13.333333333333332</v>
      </c>
      <c r="W19" s="44">
        <f ca="1">CELL("contenu",INDIRECT(ADDRESS(ref!$K$8,ref!F18,1,,CELL("contenu",$AC$2))))</f>
        <v>11.527777777777779</v>
      </c>
      <c r="X19" s="45">
        <f ca="1">CELL("contenu",INDIRECT(ADDRESS(ref!$K$8,ref!G18,1,,CELL("contenu",$AC$2))))</f>
        <v>13</v>
      </c>
      <c r="Y19" s="7" t="str">
        <f ca="1">CELL("contenu",INDIRECT(ADDRESS(ref!$K$9,ref!H18,1,,CELL("contenu",$AC$2))))</f>
        <v>B</v>
      </c>
      <c r="Z19" s="4" t="str">
        <f ca="1">CELL("contenu",INDIRECT(ADDRESS(ref!$K$10,ref!H18,1,,CELL("contenu",$AC$2))))</f>
        <v/>
      </c>
      <c r="AA19" s="8" t="str">
        <f ca="1">CELL("contenu",INDIRECT(ADDRESS(ref!$K$11,ref!H18,1,,CELL("contenu",$AC$2))))</f>
        <v/>
      </c>
    </row>
    <row r="20" spans="1:27" x14ac:dyDescent="0.25">
      <c r="A20" s="70" t="str">
        <f t="shared" ca="1" si="0"/>
        <v>LANGLOIS Capucine</v>
      </c>
      <c r="B20" s="2" t="str">
        <f ca="1">CELL("contenu",INDIRECT(ADDRESS(ref!$K$3,ref!E19,1,,CELL("contenu",$AC$2))))</f>
        <v>C</v>
      </c>
      <c r="C20" s="3" t="str">
        <f ca="1">CELL("contenu",INDIRECT(ADDRESS(ref!$K$3,ref!F19,1,,CELL("contenu",$AC$2))))</f>
        <v>B</v>
      </c>
      <c r="D20" s="4" t="str">
        <f ca="1">CELL("contenu",INDIRECT(ADDRESS(ref!$K$3,ref!G19,1,,CELL("contenu",$AC$2))))</f>
        <v>B</v>
      </c>
      <c r="E20" s="5" t="str">
        <f ca="1">CELL("contenu",INDIRECT(ADDRESS(ref!$K$3,ref!H19,1,,CELL("contenu",$AC$2))))</f>
        <v>B</v>
      </c>
      <c r="F20" s="6" t="str">
        <f ca="1">CELL("contenu",INDIRECT(ADDRESS(ref!$K$4,ref!E19,1,,CELL("contenu",$AC$2))))</f>
        <v/>
      </c>
      <c r="G20" s="3" t="str">
        <f ca="1">CELL("contenu",INDIRECT(ADDRESS(ref!$K$4,ref!F19,1,,CELL("contenu",$AC$2))))</f>
        <v>A</v>
      </c>
      <c r="H20" s="4" t="str">
        <f ca="1">CELL("contenu",INDIRECT(ADDRESS(ref!$K$4,ref!G19,1,,CELL("contenu",$AC$2))))</f>
        <v>A</v>
      </c>
      <c r="I20" s="5" t="str">
        <f ca="1">CELL("contenu",INDIRECT(ADDRESS(ref!$K$4,ref!H19,1,,CELL("contenu",$AC$2))))</f>
        <v>A</v>
      </c>
      <c r="J20" s="6" t="str">
        <f ca="1">CELL("contenu",INDIRECT(ADDRESS(ref!$K$5,ref!E19,1,,CELL("contenu",$AC$2))))</f>
        <v>A</v>
      </c>
      <c r="K20" s="3" t="str">
        <f ca="1">CELL("contenu",INDIRECT(ADDRESS(ref!$K$5,ref!F19,1,,CELL("contenu",$AC$2))))</f>
        <v>A</v>
      </c>
      <c r="L20" s="4" t="str">
        <f ca="1">CELL("contenu",INDIRECT(ADDRESS(ref!$K$5,ref!G19,1,,CELL("contenu",$AC$2))))</f>
        <v>B</v>
      </c>
      <c r="M20" s="5" t="str">
        <f ca="1">CELL("contenu",INDIRECT(ADDRESS(ref!$K$5,ref!H19,1,,CELL("contenu",$AC$2))))</f>
        <v>A</v>
      </c>
      <c r="N20" s="6" t="str">
        <f ca="1">CELL("contenu",INDIRECT(ADDRESS(ref!$K$6,ref!E19,1,,CELL("contenu",$AC$2))))</f>
        <v>C</v>
      </c>
      <c r="O20" s="3" t="str">
        <f ca="1">CELL("contenu",INDIRECT(ADDRESS(ref!$K$6,ref!F19,1,,CELL("contenu",$AC$2))))</f>
        <v>C</v>
      </c>
      <c r="P20" s="4" t="str">
        <f ca="1">CELL("contenu",INDIRECT(ADDRESS(ref!$K$6,ref!G19,1,,CELL("contenu",$AC$2))))</f>
        <v>B</v>
      </c>
      <c r="Q20" s="5" t="str">
        <f ca="1">CELL("contenu",INDIRECT(ADDRESS(ref!$K$6,ref!H19,1,,CELL("contenu",$AC$2))))</f>
        <v>C</v>
      </c>
      <c r="R20" s="6" t="str">
        <f ca="1">CELL("contenu",INDIRECT(ADDRESS(ref!$K$7,ref!E19,1,,CELL("contenu",$AC$2))))</f>
        <v>C</v>
      </c>
      <c r="S20" s="3" t="str">
        <f ca="1">CELL("contenu",INDIRECT(ADDRESS(ref!$K$7,ref!F19,1,,CELL("contenu",$AC$2))))</f>
        <v/>
      </c>
      <c r="T20" s="4" t="str">
        <f ca="1">CELL("contenu",INDIRECT(ADDRESS(ref!$K$7,ref!G19,1,,CELL("contenu",$AC$2))))</f>
        <v/>
      </c>
      <c r="U20" s="5" t="str">
        <f ca="1">CELL("contenu",INDIRECT(ADDRESS(ref!$K$7,ref!H19,1,,CELL("contenu",$AC$2))))</f>
        <v>C</v>
      </c>
      <c r="V20" s="43">
        <f ca="1">CELL("contenu",INDIRECT(ADDRESS(ref!$K$8,ref!E19,1,,CELL("contenu",$AC$2))))</f>
        <v>13.333333333333332</v>
      </c>
      <c r="W20" s="44">
        <f ca="1">CELL("contenu",INDIRECT(ADDRESS(ref!$K$8,ref!F19,1,,CELL("contenu",$AC$2))))</f>
        <v>15.555555555555554</v>
      </c>
      <c r="X20" s="45">
        <f ca="1">CELL("contenu",INDIRECT(ADDRESS(ref!$K$8,ref!G19,1,,CELL("contenu",$AC$2))))</f>
        <v>16.527777777777779</v>
      </c>
      <c r="Y20" s="7" t="str">
        <f ca="1">CELL("contenu",INDIRECT(ADDRESS(ref!$K$9,ref!H19,1,,CELL("contenu",$AC$2))))</f>
        <v>A</v>
      </c>
      <c r="Z20" s="4" t="str">
        <f ca="1">CELL("contenu",INDIRECT(ADDRESS(ref!$K$10,ref!H19,1,,CELL("contenu",$AC$2))))</f>
        <v/>
      </c>
      <c r="AA20" s="8" t="str">
        <f ca="1">CELL("contenu",INDIRECT(ADDRESS(ref!$K$11,ref!H19,1,,CELL("contenu",$AC$2))))</f>
        <v>B</v>
      </c>
    </row>
    <row r="21" spans="1:27" x14ac:dyDescent="0.25">
      <c r="A21" s="70" t="str">
        <f t="shared" ca="1" si="0"/>
        <v>LE CANN Jean-Baptiste</v>
      </c>
      <c r="B21" s="2" t="str">
        <f ca="1">CELL("contenu",INDIRECT(ADDRESS(ref!$K$3,ref!E20,1,,CELL("contenu",$AC$2))))</f>
        <v>B</v>
      </c>
      <c r="C21" s="3" t="str">
        <f ca="1">CELL("contenu",INDIRECT(ADDRESS(ref!$K$3,ref!F20,1,,CELL("contenu",$AC$2))))</f>
        <v>B</v>
      </c>
      <c r="D21" s="4" t="str">
        <f ca="1">CELL("contenu",INDIRECT(ADDRESS(ref!$K$3,ref!G20,1,,CELL("contenu",$AC$2))))</f>
        <v>C</v>
      </c>
      <c r="E21" s="5" t="str">
        <f ca="1">CELL("contenu",INDIRECT(ADDRESS(ref!$K$3,ref!H20,1,,CELL("contenu",$AC$2))))</f>
        <v>B</v>
      </c>
      <c r="F21" s="6" t="str">
        <f ca="1">CELL("contenu",INDIRECT(ADDRESS(ref!$K$4,ref!E20,1,,CELL("contenu",$AC$2))))</f>
        <v/>
      </c>
      <c r="G21" s="3" t="str">
        <f ca="1">CELL("contenu",INDIRECT(ADDRESS(ref!$K$4,ref!F20,1,,CELL("contenu",$AC$2))))</f>
        <v>B</v>
      </c>
      <c r="H21" s="4" t="str">
        <f ca="1">CELL("contenu",INDIRECT(ADDRESS(ref!$K$4,ref!G20,1,,CELL("contenu",$AC$2))))</f>
        <v>B</v>
      </c>
      <c r="I21" s="5" t="str">
        <f ca="1">CELL("contenu",INDIRECT(ADDRESS(ref!$K$4,ref!H20,1,,CELL("contenu",$AC$2))))</f>
        <v>B</v>
      </c>
      <c r="J21" s="6" t="str">
        <f ca="1">CELL("contenu",INDIRECT(ADDRESS(ref!$K$5,ref!E20,1,,CELL("contenu",$AC$2))))</f>
        <v>A</v>
      </c>
      <c r="K21" s="3" t="str">
        <f ca="1">CELL("contenu",INDIRECT(ADDRESS(ref!$K$5,ref!F20,1,,CELL("contenu",$AC$2))))</f>
        <v>B</v>
      </c>
      <c r="L21" s="4" t="str">
        <f ca="1">CELL("contenu",INDIRECT(ADDRESS(ref!$K$5,ref!G20,1,,CELL("contenu",$AC$2))))</f>
        <v>B</v>
      </c>
      <c r="M21" s="5" t="str">
        <f ca="1">CELL("contenu",INDIRECT(ADDRESS(ref!$K$5,ref!H20,1,,CELL("contenu",$AC$2))))</f>
        <v>B</v>
      </c>
      <c r="N21" s="6" t="str">
        <f ca="1">CELL("contenu",INDIRECT(ADDRESS(ref!$K$6,ref!E20,1,,CELL("contenu",$AC$2))))</f>
        <v>C</v>
      </c>
      <c r="O21" s="3" t="str">
        <f ca="1">CELL("contenu",INDIRECT(ADDRESS(ref!$K$6,ref!F20,1,,CELL("contenu",$AC$2))))</f>
        <v>B</v>
      </c>
      <c r="P21" s="4" t="str">
        <f ca="1">CELL("contenu",INDIRECT(ADDRESS(ref!$K$6,ref!G20,1,,CELL("contenu",$AC$2))))</f>
        <v>C</v>
      </c>
      <c r="Q21" s="5" t="str">
        <f ca="1">CELL("contenu",INDIRECT(ADDRESS(ref!$K$6,ref!H20,1,,CELL("contenu",$AC$2))))</f>
        <v>C</v>
      </c>
      <c r="R21" s="6" t="str">
        <f ca="1">CELL("contenu",INDIRECT(ADDRESS(ref!$K$7,ref!E20,1,,CELL("contenu",$AC$2))))</f>
        <v>C</v>
      </c>
      <c r="S21" s="3" t="str">
        <f ca="1">CELL("contenu",INDIRECT(ADDRESS(ref!$K$7,ref!F20,1,,CELL("contenu",$AC$2))))</f>
        <v/>
      </c>
      <c r="T21" s="4" t="str">
        <f ca="1">CELL("contenu",INDIRECT(ADDRESS(ref!$K$7,ref!G20,1,,CELL("contenu",$AC$2))))</f>
        <v/>
      </c>
      <c r="U21" s="5" t="str">
        <f ca="1">CELL("contenu",INDIRECT(ADDRESS(ref!$K$7,ref!H20,1,,CELL("contenu",$AC$2))))</f>
        <v>C</v>
      </c>
      <c r="V21" s="43">
        <f ca="1">CELL("contenu",INDIRECT(ADDRESS(ref!$K$8,ref!E20,1,,CELL("contenu",$AC$2))))</f>
        <v>14.583333333333332</v>
      </c>
      <c r="W21" s="44">
        <f ca="1">CELL("contenu",INDIRECT(ADDRESS(ref!$K$8,ref!F20,1,,CELL("contenu",$AC$2))))</f>
        <v>16.041666666666668</v>
      </c>
      <c r="X21" s="45">
        <f ca="1">CELL("contenu",INDIRECT(ADDRESS(ref!$K$8,ref!G20,1,,CELL("contenu",$AC$2))))</f>
        <v>14.166666666666668</v>
      </c>
      <c r="Y21" s="7" t="str">
        <f ca="1">CELL("contenu",INDIRECT(ADDRESS(ref!$K$9,ref!H20,1,,CELL("contenu",$AC$2))))</f>
        <v>B</v>
      </c>
      <c r="Z21" s="4" t="str">
        <f ca="1">CELL("contenu",INDIRECT(ADDRESS(ref!$K$10,ref!H20,1,,CELL("contenu",$AC$2))))</f>
        <v/>
      </c>
      <c r="AA21" s="8" t="str">
        <f ca="1">CELL("contenu",INDIRECT(ADDRESS(ref!$K$11,ref!H20,1,,CELL("contenu",$AC$2))))</f>
        <v>B</v>
      </c>
    </row>
    <row r="22" spans="1:27" x14ac:dyDescent="0.25">
      <c r="A22" s="70" t="str">
        <f t="shared" ca="1" si="0"/>
        <v>LE DIEU DE VILLE Solene</v>
      </c>
      <c r="B22" s="2" t="str">
        <f ca="1">CELL("contenu",INDIRECT(ADDRESS(ref!$K$3,ref!E21,1,,CELL("contenu",$AC$2))))</f>
        <v>B</v>
      </c>
      <c r="C22" s="3" t="str">
        <f ca="1">CELL("contenu",INDIRECT(ADDRESS(ref!$K$3,ref!F21,1,,CELL("contenu",$AC$2))))</f>
        <v>B</v>
      </c>
      <c r="D22" s="4" t="str">
        <f ca="1">CELL("contenu",INDIRECT(ADDRESS(ref!$K$3,ref!G21,1,,CELL("contenu",$AC$2))))</f>
        <v>B</v>
      </c>
      <c r="E22" s="5" t="str">
        <f ca="1">CELL("contenu",INDIRECT(ADDRESS(ref!$K$3,ref!H21,1,,CELL("contenu",$AC$2))))</f>
        <v>B</v>
      </c>
      <c r="F22" s="6" t="str">
        <f ca="1">CELL("contenu",INDIRECT(ADDRESS(ref!$K$4,ref!E21,1,,CELL("contenu",$AC$2))))</f>
        <v/>
      </c>
      <c r="G22" s="3" t="str">
        <f ca="1">CELL("contenu",INDIRECT(ADDRESS(ref!$K$4,ref!F21,1,,CELL("contenu",$AC$2))))</f>
        <v>A</v>
      </c>
      <c r="H22" s="4" t="str">
        <f ca="1">CELL("contenu",INDIRECT(ADDRESS(ref!$K$4,ref!G21,1,,CELL("contenu",$AC$2))))</f>
        <v>A</v>
      </c>
      <c r="I22" s="5" t="str">
        <f ca="1">CELL("contenu",INDIRECT(ADDRESS(ref!$K$4,ref!H21,1,,CELL("contenu",$AC$2))))</f>
        <v>A</v>
      </c>
      <c r="J22" s="6" t="str">
        <f ca="1">CELL("contenu",INDIRECT(ADDRESS(ref!$K$5,ref!E21,1,,CELL("contenu",$AC$2))))</f>
        <v>A</v>
      </c>
      <c r="K22" s="3" t="str">
        <f ca="1">CELL("contenu",INDIRECT(ADDRESS(ref!$K$5,ref!F21,1,,CELL("contenu",$AC$2))))</f>
        <v>B</v>
      </c>
      <c r="L22" s="4" t="str">
        <f ca="1">CELL("contenu",INDIRECT(ADDRESS(ref!$K$5,ref!G21,1,,CELL("contenu",$AC$2))))</f>
        <v>A</v>
      </c>
      <c r="M22" s="5" t="str">
        <f ca="1">CELL("contenu",INDIRECT(ADDRESS(ref!$K$5,ref!H21,1,,CELL("contenu",$AC$2))))</f>
        <v>A</v>
      </c>
      <c r="N22" s="6" t="str">
        <f ca="1">CELL("contenu",INDIRECT(ADDRESS(ref!$K$6,ref!E21,1,,CELL("contenu",$AC$2))))</f>
        <v>B</v>
      </c>
      <c r="O22" s="3" t="str">
        <f ca="1">CELL("contenu",INDIRECT(ADDRESS(ref!$K$6,ref!F21,1,,CELL("contenu",$AC$2))))</f>
        <v>B</v>
      </c>
      <c r="P22" s="4" t="str">
        <f ca="1">CELL("contenu",INDIRECT(ADDRESS(ref!$K$6,ref!G21,1,,CELL("contenu",$AC$2))))</f>
        <v>B</v>
      </c>
      <c r="Q22" s="5" t="str">
        <f ca="1">CELL("contenu",INDIRECT(ADDRESS(ref!$K$6,ref!H21,1,,CELL("contenu",$AC$2))))</f>
        <v>B</v>
      </c>
      <c r="R22" s="6" t="str">
        <f ca="1">CELL("contenu",INDIRECT(ADDRESS(ref!$K$7,ref!E21,1,,CELL("contenu",$AC$2))))</f>
        <v>C</v>
      </c>
      <c r="S22" s="3" t="str">
        <f ca="1">CELL("contenu",INDIRECT(ADDRESS(ref!$K$7,ref!F21,1,,CELL("contenu",$AC$2))))</f>
        <v/>
      </c>
      <c r="T22" s="4" t="str">
        <f ca="1">CELL("contenu",INDIRECT(ADDRESS(ref!$K$7,ref!G21,1,,CELL("contenu",$AC$2))))</f>
        <v/>
      </c>
      <c r="U22" s="5" t="str">
        <f ca="1">CELL("contenu",INDIRECT(ADDRESS(ref!$K$7,ref!H21,1,,CELL("contenu",$AC$2))))</f>
        <v>C</v>
      </c>
      <c r="V22" s="43">
        <f ca="1">CELL("contenu",INDIRECT(ADDRESS(ref!$K$8,ref!E21,1,,CELL("contenu",$AC$2))))</f>
        <v>15</v>
      </c>
      <c r="W22" s="44">
        <f ca="1">CELL("contenu",INDIRECT(ADDRESS(ref!$K$8,ref!F21,1,,CELL("contenu",$AC$2))))</f>
        <v>16.180555555555554</v>
      </c>
      <c r="X22" s="45">
        <f ca="1">CELL("contenu",INDIRECT(ADDRESS(ref!$K$8,ref!G21,1,,CELL("contenu",$AC$2))))</f>
        <v>17.222222222222221</v>
      </c>
      <c r="Y22" s="7" t="str">
        <f ca="1">CELL("contenu",INDIRECT(ADDRESS(ref!$K$9,ref!H21,1,,CELL("contenu",$AC$2))))</f>
        <v>A</v>
      </c>
      <c r="Z22" s="4" t="str">
        <f ca="1">CELL("contenu",INDIRECT(ADDRESS(ref!$K$10,ref!H21,1,,CELL("contenu",$AC$2))))</f>
        <v/>
      </c>
      <c r="AA22" s="8" t="str">
        <f ca="1">CELL("contenu",INDIRECT(ADDRESS(ref!$K$11,ref!H21,1,,CELL("contenu",$AC$2))))</f>
        <v>B</v>
      </c>
    </row>
    <row r="23" spans="1:27" x14ac:dyDescent="0.25">
      <c r="A23" s="70" t="str">
        <f t="shared" ca="1" si="0"/>
        <v>LEMAIRE Hermine</v>
      </c>
      <c r="B23" s="2" t="str">
        <f ca="1">CELL("contenu",INDIRECT(ADDRESS(ref!$K$3,ref!E22,1,,CELL("contenu",$AC$2))))</f>
        <v>B</v>
      </c>
      <c r="C23" s="3" t="str">
        <f ca="1">CELL("contenu",INDIRECT(ADDRESS(ref!$K$3,ref!F22,1,,CELL("contenu",$AC$2))))</f>
        <v>C</v>
      </c>
      <c r="D23" s="4" t="str">
        <f ca="1">CELL("contenu",INDIRECT(ADDRESS(ref!$K$3,ref!G22,1,,CELL("contenu",$AC$2))))</f>
        <v>B</v>
      </c>
      <c r="E23" s="5" t="str">
        <f ca="1">CELL("contenu",INDIRECT(ADDRESS(ref!$K$3,ref!H22,1,,CELL("contenu",$AC$2))))</f>
        <v>B</v>
      </c>
      <c r="F23" s="6" t="str">
        <f ca="1">CELL("contenu",INDIRECT(ADDRESS(ref!$K$4,ref!E22,1,,CELL("contenu",$AC$2))))</f>
        <v/>
      </c>
      <c r="G23" s="3" t="str">
        <f ca="1">CELL("contenu",INDIRECT(ADDRESS(ref!$K$4,ref!F22,1,,CELL("contenu",$AC$2))))</f>
        <v>B</v>
      </c>
      <c r="H23" s="4" t="str">
        <f ca="1">CELL("contenu",INDIRECT(ADDRESS(ref!$K$4,ref!G22,1,,CELL("contenu",$AC$2))))</f>
        <v>B</v>
      </c>
      <c r="I23" s="5" t="str">
        <f ca="1">CELL("contenu",INDIRECT(ADDRESS(ref!$K$4,ref!H22,1,,CELL("contenu",$AC$2))))</f>
        <v>B</v>
      </c>
      <c r="J23" s="6" t="str">
        <f ca="1">CELL("contenu",INDIRECT(ADDRESS(ref!$K$5,ref!E22,1,,CELL("contenu",$AC$2))))</f>
        <v>A</v>
      </c>
      <c r="K23" s="3" t="str">
        <f ca="1">CELL("contenu",INDIRECT(ADDRESS(ref!$K$5,ref!F22,1,,CELL("contenu",$AC$2))))</f>
        <v>C</v>
      </c>
      <c r="L23" s="4" t="str">
        <f ca="1">CELL("contenu",INDIRECT(ADDRESS(ref!$K$5,ref!G22,1,,CELL("contenu",$AC$2))))</f>
        <v>B</v>
      </c>
      <c r="M23" s="5" t="str">
        <f ca="1">CELL("contenu",INDIRECT(ADDRESS(ref!$K$5,ref!H22,1,,CELL("contenu",$AC$2))))</f>
        <v>B</v>
      </c>
      <c r="N23" s="6" t="str">
        <f ca="1">CELL("contenu",INDIRECT(ADDRESS(ref!$K$6,ref!E22,1,,CELL("contenu",$AC$2))))</f>
        <v>C</v>
      </c>
      <c r="O23" s="3" t="str">
        <f ca="1">CELL("contenu",INDIRECT(ADDRESS(ref!$K$6,ref!F22,1,,CELL("contenu",$AC$2))))</f>
        <v>B</v>
      </c>
      <c r="P23" s="4" t="str">
        <f ca="1">CELL("contenu",INDIRECT(ADDRESS(ref!$K$6,ref!G22,1,,CELL("contenu",$AC$2))))</f>
        <v>C</v>
      </c>
      <c r="Q23" s="5" t="str">
        <f ca="1">CELL("contenu",INDIRECT(ADDRESS(ref!$K$6,ref!H22,1,,CELL("contenu",$AC$2))))</f>
        <v>C</v>
      </c>
      <c r="R23" s="6" t="str">
        <f ca="1">CELL("contenu",INDIRECT(ADDRESS(ref!$K$7,ref!E22,1,,CELL("contenu",$AC$2))))</f>
        <v>B</v>
      </c>
      <c r="S23" s="3" t="str">
        <f ca="1">CELL("contenu",INDIRECT(ADDRESS(ref!$K$7,ref!F22,1,,CELL("contenu",$AC$2))))</f>
        <v/>
      </c>
      <c r="T23" s="4" t="str">
        <f ca="1">CELL("contenu",INDIRECT(ADDRESS(ref!$K$7,ref!G22,1,,CELL("contenu",$AC$2))))</f>
        <v/>
      </c>
      <c r="U23" s="5" t="str">
        <f ca="1">CELL("contenu",INDIRECT(ADDRESS(ref!$K$7,ref!H22,1,,CELL("contenu",$AC$2))))</f>
        <v>B</v>
      </c>
      <c r="V23" s="43">
        <f ca="1">CELL("contenu",INDIRECT(ADDRESS(ref!$K$8,ref!E22,1,,CELL("contenu",$AC$2))))</f>
        <v>15.416666666666668</v>
      </c>
      <c r="W23" s="44">
        <f ca="1">CELL("contenu",INDIRECT(ADDRESS(ref!$K$8,ref!F22,1,,CELL("contenu",$AC$2))))</f>
        <v>15.277777777777777</v>
      </c>
      <c r="X23" s="45">
        <f ca="1">CELL("contenu",INDIRECT(ADDRESS(ref!$K$8,ref!G22,1,,CELL("contenu",$AC$2))))</f>
        <v>14.861111111111109</v>
      </c>
      <c r="Y23" s="7" t="str">
        <f ca="1">CELL("contenu",INDIRECT(ADDRESS(ref!$K$9,ref!H22,1,,CELL("contenu",$AC$2))))</f>
        <v>B</v>
      </c>
      <c r="Z23" s="4" t="str">
        <f ca="1">CELL("contenu",INDIRECT(ADDRESS(ref!$K$10,ref!H22,1,,CELL("contenu",$AC$2))))</f>
        <v/>
      </c>
      <c r="AA23" s="8" t="str">
        <f ca="1">CELL("contenu",INDIRECT(ADDRESS(ref!$K$11,ref!H22,1,,CELL("contenu",$AC$2))))</f>
        <v>C</v>
      </c>
    </row>
    <row r="24" spans="1:27" x14ac:dyDescent="0.25">
      <c r="A24" s="70" t="str">
        <f t="shared" ca="1" si="0"/>
        <v>LEPINOY--FAVRON Garance</v>
      </c>
      <c r="B24" s="2" t="str">
        <f ca="1">CELL("contenu",INDIRECT(ADDRESS(ref!$K$3,ref!E23,1,,CELL("contenu",$AC$2))))</f>
        <v>B</v>
      </c>
      <c r="C24" s="3" t="str">
        <f ca="1">CELL("contenu",INDIRECT(ADDRESS(ref!$K$3,ref!F23,1,,CELL("contenu",$AC$2))))</f>
        <v>B</v>
      </c>
      <c r="D24" s="4" t="str">
        <f ca="1">CELL("contenu",INDIRECT(ADDRESS(ref!$K$3,ref!G23,1,,CELL("contenu",$AC$2))))</f>
        <v>B</v>
      </c>
      <c r="E24" s="5" t="str">
        <f ca="1">CELL("contenu",INDIRECT(ADDRESS(ref!$K$3,ref!H23,1,,CELL("contenu",$AC$2))))</f>
        <v>B</v>
      </c>
      <c r="F24" s="6" t="str">
        <f ca="1">CELL("contenu",INDIRECT(ADDRESS(ref!$K$4,ref!E23,1,,CELL("contenu",$AC$2))))</f>
        <v/>
      </c>
      <c r="G24" s="3" t="str">
        <f ca="1">CELL("contenu",INDIRECT(ADDRESS(ref!$K$4,ref!F23,1,,CELL("contenu",$AC$2))))</f>
        <v>A</v>
      </c>
      <c r="H24" s="4" t="str">
        <f ca="1">CELL("contenu",INDIRECT(ADDRESS(ref!$K$4,ref!G23,1,,CELL("contenu",$AC$2))))</f>
        <v>B</v>
      </c>
      <c r="I24" s="5" t="str">
        <f ca="1">CELL("contenu",INDIRECT(ADDRESS(ref!$K$4,ref!H23,1,,CELL("contenu",$AC$2))))</f>
        <v>A</v>
      </c>
      <c r="J24" s="6" t="str">
        <f ca="1">CELL("contenu",INDIRECT(ADDRESS(ref!$K$5,ref!E23,1,,CELL("contenu",$AC$2))))</f>
        <v>A</v>
      </c>
      <c r="K24" s="3" t="str">
        <f ca="1">CELL("contenu",INDIRECT(ADDRESS(ref!$K$5,ref!F23,1,,CELL("contenu",$AC$2))))</f>
        <v>A</v>
      </c>
      <c r="L24" s="4" t="str">
        <f ca="1">CELL("contenu",INDIRECT(ADDRESS(ref!$K$5,ref!G23,1,,CELL("contenu",$AC$2))))</f>
        <v>C</v>
      </c>
      <c r="M24" s="5" t="str">
        <f ca="1">CELL("contenu",INDIRECT(ADDRESS(ref!$K$5,ref!H23,1,,CELL("contenu",$AC$2))))</f>
        <v>B</v>
      </c>
      <c r="N24" s="6" t="str">
        <f ca="1">CELL("contenu",INDIRECT(ADDRESS(ref!$K$6,ref!E23,1,,CELL("contenu",$AC$2))))</f>
        <v>C</v>
      </c>
      <c r="O24" s="3" t="str">
        <f ca="1">CELL("contenu",INDIRECT(ADDRESS(ref!$K$6,ref!F23,1,,CELL("contenu",$AC$2))))</f>
        <v>C</v>
      </c>
      <c r="P24" s="4" t="str">
        <f ca="1">CELL("contenu",INDIRECT(ADDRESS(ref!$K$6,ref!G23,1,,CELL("contenu",$AC$2))))</f>
        <v>C</v>
      </c>
      <c r="Q24" s="5" t="str">
        <f ca="1">CELL("contenu",INDIRECT(ADDRESS(ref!$K$6,ref!H23,1,,CELL("contenu",$AC$2))))</f>
        <v>C</v>
      </c>
      <c r="R24" s="6" t="str">
        <f ca="1">CELL("contenu",INDIRECT(ADDRESS(ref!$K$7,ref!E23,1,,CELL("contenu",$AC$2))))</f>
        <v>B</v>
      </c>
      <c r="S24" s="3" t="str">
        <f ca="1">CELL("contenu",INDIRECT(ADDRESS(ref!$K$7,ref!F23,1,,CELL("contenu",$AC$2))))</f>
        <v/>
      </c>
      <c r="T24" s="4" t="str">
        <f ca="1">CELL("contenu",INDIRECT(ADDRESS(ref!$K$7,ref!G23,1,,CELL("contenu",$AC$2))))</f>
        <v/>
      </c>
      <c r="U24" s="5" t="str">
        <f ca="1">CELL("contenu",INDIRECT(ADDRESS(ref!$K$7,ref!H23,1,,CELL("contenu",$AC$2))))</f>
        <v>B</v>
      </c>
      <c r="V24" s="43">
        <f ca="1">CELL("contenu",INDIRECT(ADDRESS(ref!$K$8,ref!E23,1,,CELL("contenu",$AC$2))))</f>
        <v>15</v>
      </c>
      <c r="W24" s="44">
        <f ca="1">CELL("contenu",INDIRECT(ADDRESS(ref!$K$8,ref!F23,1,,CELL("contenu",$AC$2))))</f>
        <v>14.930555555555554</v>
      </c>
      <c r="X24" s="45">
        <f ca="1">CELL("contenu",INDIRECT(ADDRESS(ref!$K$8,ref!G23,1,,CELL("contenu",$AC$2))))</f>
        <v>14.305555555555554</v>
      </c>
      <c r="Y24" s="7" t="str">
        <f ca="1">CELL("contenu",INDIRECT(ADDRESS(ref!$K$9,ref!H23,1,,CELL("contenu",$AC$2))))</f>
        <v>A</v>
      </c>
      <c r="Z24" s="4" t="str">
        <f ca="1">CELL("contenu",INDIRECT(ADDRESS(ref!$K$10,ref!H23,1,,CELL("contenu",$AC$2))))</f>
        <v/>
      </c>
      <c r="AA24" s="8" t="str">
        <f ca="1">CELL("contenu",INDIRECT(ADDRESS(ref!$K$11,ref!H23,1,,CELL("contenu",$AC$2))))</f>
        <v>C</v>
      </c>
    </row>
    <row r="25" spans="1:27" x14ac:dyDescent="0.25">
      <c r="A25" s="70" t="str">
        <f t="shared" ca="1" si="0"/>
        <v>PERRIN Eloi</v>
      </c>
      <c r="B25" s="2" t="str">
        <f ca="1">CELL("contenu",INDIRECT(ADDRESS(ref!$K$3,ref!E24,1,,CELL("contenu",$AC$2))))</f>
        <v>C</v>
      </c>
      <c r="C25" s="3" t="str">
        <f ca="1">CELL("contenu",INDIRECT(ADDRESS(ref!$K$3,ref!F24,1,,CELL("contenu",$AC$2))))</f>
        <v>C</v>
      </c>
      <c r="D25" s="4" t="str">
        <f ca="1">CELL("contenu",INDIRECT(ADDRESS(ref!$K$3,ref!G24,1,,CELL("contenu",$AC$2))))</f>
        <v>C</v>
      </c>
      <c r="E25" s="5" t="str">
        <f ca="1">CELL("contenu",INDIRECT(ADDRESS(ref!$K$3,ref!H24,1,,CELL("contenu",$AC$2))))</f>
        <v>C</v>
      </c>
      <c r="F25" s="6" t="str">
        <f ca="1">CELL("contenu",INDIRECT(ADDRESS(ref!$K$4,ref!E24,1,,CELL("contenu",$AC$2))))</f>
        <v/>
      </c>
      <c r="G25" s="3" t="str">
        <f ca="1">CELL("contenu",INDIRECT(ADDRESS(ref!$K$4,ref!F24,1,,CELL("contenu",$AC$2))))</f>
        <v>B</v>
      </c>
      <c r="H25" s="4" t="str">
        <f ca="1">CELL("contenu",INDIRECT(ADDRESS(ref!$K$4,ref!G24,1,,CELL("contenu",$AC$2))))</f>
        <v>A</v>
      </c>
      <c r="I25" s="5" t="str">
        <f ca="1">CELL("contenu",INDIRECT(ADDRESS(ref!$K$4,ref!H24,1,,CELL("contenu",$AC$2))))</f>
        <v>A</v>
      </c>
      <c r="J25" s="6" t="str">
        <f ca="1">CELL("contenu",INDIRECT(ADDRESS(ref!$K$5,ref!E24,1,,CELL("contenu",$AC$2))))</f>
        <v>A</v>
      </c>
      <c r="K25" s="3" t="str">
        <f ca="1">CELL("contenu",INDIRECT(ADDRESS(ref!$K$5,ref!F24,1,,CELL("contenu",$AC$2))))</f>
        <v>C</v>
      </c>
      <c r="L25" s="4" t="str">
        <f ca="1">CELL("contenu",INDIRECT(ADDRESS(ref!$K$5,ref!G24,1,,CELL("contenu",$AC$2))))</f>
        <v/>
      </c>
      <c r="M25" s="5" t="str">
        <f ca="1">CELL("contenu",INDIRECT(ADDRESS(ref!$K$5,ref!H24,1,,CELL("contenu",$AC$2))))</f>
        <v>B</v>
      </c>
      <c r="N25" s="6" t="str">
        <f ca="1">CELL("contenu",INDIRECT(ADDRESS(ref!$K$6,ref!E24,1,,CELL("contenu",$AC$2))))</f>
        <v>C</v>
      </c>
      <c r="O25" s="3" t="str">
        <f ca="1">CELL("contenu",INDIRECT(ADDRESS(ref!$K$6,ref!F24,1,,CELL("contenu",$AC$2))))</f>
        <v>C</v>
      </c>
      <c r="P25" s="4" t="str">
        <f ca="1">CELL("contenu",INDIRECT(ADDRESS(ref!$K$6,ref!G24,1,,CELL("contenu",$AC$2))))</f>
        <v>C</v>
      </c>
      <c r="Q25" s="5" t="str">
        <f ca="1">CELL("contenu",INDIRECT(ADDRESS(ref!$K$6,ref!H24,1,,CELL("contenu",$AC$2))))</f>
        <v>C</v>
      </c>
      <c r="R25" s="6" t="str">
        <f ca="1">CELL("contenu",INDIRECT(ADDRESS(ref!$K$7,ref!E24,1,,CELL("contenu",$AC$2))))</f>
        <v>C</v>
      </c>
      <c r="S25" s="3" t="str">
        <f ca="1">CELL("contenu",INDIRECT(ADDRESS(ref!$K$7,ref!F24,1,,CELL("contenu",$AC$2))))</f>
        <v/>
      </c>
      <c r="T25" s="4" t="str">
        <f ca="1">CELL("contenu",INDIRECT(ADDRESS(ref!$K$7,ref!G24,1,,CELL("contenu",$AC$2))))</f>
        <v/>
      </c>
      <c r="U25" s="5" t="str">
        <f ca="1">CELL("contenu",INDIRECT(ADDRESS(ref!$K$7,ref!H24,1,,CELL("contenu",$AC$2))))</f>
        <v>C</v>
      </c>
      <c r="V25" s="43">
        <f ca="1">CELL("contenu",INDIRECT(ADDRESS(ref!$K$8,ref!E24,1,,CELL("contenu",$AC$2))))</f>
        <v>13.333333333333332</v>
      </c>
      <c r="W25" s="44">
        <f ca="1">CELL("contenu",INDIRECT(ADDRESS(ref!$K$8,ref!F24,1,,CELL("contenu",$AC$2))))</f>
        <v>13.541666666666668</v>
      </c>
      <c r="X25" s="45">
        <f ca="1">CELL("contenu",INDIRECT(ADDRESS(ref!$K$8,ref!G24,1,,CELL("contenu",$AC$2))))</f>
        <v>14.5</v>
      </c>
      <c r="Y25" s="7" t="str">
        <f ca="1">CELL("contenu",INDIRECT(ADDRESS(ref!$K$9,ref!H24,1,,CELL("contenu",$AC$2))))</f>
        <v>A</v>
      </c>
      <c r="Z25" s="4" t="str">
        <f ca="1">CELL("contenu",INDIRECT(ADDRESS(ref!$K$10,ref!H24,1,,CELL("contenu",$AC$2))))</f>
        <v/>
      </c>
      <c r="AA25" s="8" t="str">
        <f ca="1">CELL("contenu",INDIRECT(ADDRESS(ref!$K$11,ref!H24,1,,CELL("contenu",$AC$2))))</f>
        <v/>
      </c>
    </row>
    <row r="26" spans="1:27" x14ac:dyDescent="0.25">
      <c r="A26" s="70" t="str">
        <f t="shared" ca="1" si="0"/>
        <v>RHEINART Loic</v>
      </c>
      <c r="B26" s="2" t="str">
        <f ca="1">CELL("contenu",INDIRECT(ADDRESS(ref!$K$3,ref!E25,1,,CELL("contenu",$AC$2))))</f>
        <v>C</v>
      </c>
      <c r="C26" s="3" t="str">
        <f ca="1">CELL("contenu",INDIRECT(ADDRESS(ref!$K$3,ref!F25,1,,CELL("contenu",$AC$2))))</f>
        <v>B</v>
      </c>
      <c r="D26" s="4" t="str">
        <f ca="1">CELL("contenu",INDIRECT(ADDRESS(ref!$K$3,ref!G25,1,,CELL("contenu",$AC$2))))</f>
        <v>C</v>
      </c>
      <c r="E26" s="5" t="str">
        <f ca="1">CELL("contenu",INDIRECT(ADDRESS(ref!$K$3,ref!H25,1,,CELL("contenu",$AC$2))))</f>
        <v>B</v>
      </c>
      <c r="F26" s="6" t="str">
        <f ca="1">CELL("contenu",INDIRECT(ADDRESS(ref!$K$4,ref!E25,1,,CELL("contenu",$AC$2))))</f>
        <v/>
      </c>
      <c r="G26" s="3" t="str">
        <f ca="1">CELL("contenu",INDIRECT(ADDRESS(ref!$K$4,ref!F25,1,,CELL("contenu",$AC$2))))</f>
        <v>A</v>
      </c>
      <c r="H26" s="4" t="str">
        <f ca="1">CELL("contenu",INDIRECT(ADDRESS(ref!$K$4,ref!G25,1,,CELL("contenu",$AC$2))))</f>
        <v>B</v>
      </c>
      <c r="I26" s="5" t="str">
        <f ca="1">CELL("contenu",INDIRECT(ADDRESS(ref!$K$4,ref!H25,1,,CELL("contenu",$AC$2))))</f>
        <v>A</v>
      </c>
      <c r="J26" s="6" t="str">
        <f ca="1">CELL("contenu",INDIRECT(ADDRESS(ref!$K$5,ref!E25,1,,CELL("contenu",$AC$2))))</f>
        <v>A</v>
      </c>
      <c r="K26" s="3" t="str">
        <f ca="1">CELL("contenu",INDIRECT(ADDRESS(ref!$K$5,ref!F25,1,,CELL("contenu",$AC$2))))</f>
        <v>A</v>
      </c>
      <c r="L26" s="4" t="str">
        <f ca="1">CELL("contenu",INDIRECT(ADDRESS(ref!$K$5,ref!G25,1,,CELL("contenu",$AC$2))))</f>
        <v>B</v>
      </c>
      <c r="M26" s="5" t="str">
        <f ca="1">CELL("contenu",INDIRECT(ADDRESS(ref!$K$5,ref!H25,1,,CELL("contenu",$AC$2))))</f>
        <v>A</v>
      </c>
      <c r="N26" s="6" t="str">
        <f ca="1">CELL("contenu",INDIRECT(ADDRESS(ref!$K$6,ref!E25,1,,CELL("contenu",$AC$2))))</f>
        <v>B</v>
      </c>
      <c r="O26" s="3" t="str">
        <f ca="1">CELL("contenu",INDIRECT(ADDRESS(ref!$K$6,ref!F25,1,,CELL("contenu",$AC$2))))</f>
        <v>C</v>
      </c>
      <c r="P26" s="4" t="str">
        <f ca="1">CELL("contenu",INDIRECT(ADDRESS(ref!$K$6,ref!G25,1,,CELL("contenu",$AC$2))))</f>
        <v>C</v>
      </c>
      <c r="Q26" s="5" t="str">
        <f ca="1">CELL("contenu",INDIRECT(ADDRESS(ref!$K$6,ref!H25,1,,CELL("contenu",$AC$2))))</f>
        <v>C</v>
      </c>
      <c r="R26" s="6" t="str">
        <f ca="1">CELL("contenu",INDIRECT(ADDRESS(ref!$K$7,ref!E25,1,,CELL("contenu",$AC$2))))</f>
        <v>C</v>
      </c>
      <c r="S26" s="3" t="str">
        <f ca="1">CELL("contenu",INDIRECT(ADDRESS(ref!$K$7,ref!F25,1,,CELL("contenu",$AC$2))))</f>
        <v/>
      </c>
      <c r="T26" s="4" t="str">
        <f ca="1">CELL("contenu",INDIRECT(ADDRESS(ref!$K$7,ref!G25,1,,CELL("contenu",$AC$2))))</f>
        <v/>
      </c>
      <c r="U26" s="5" t="str">
        <f ca="1">CELL("contenu",INDIRECT(ADDRESS(ref!$K$7,ref!H25,1,,CELL("contenu",$AC$2))))</f>
        <v>C</v>
      </c>
      <c r="V26" s="43">
        <f ca="1">CELL("contenu",INDIRECT(ADDRESS(ref!$K$8,ref!E25,1,,CELL("contenu",$AC$2))))</f>
        <v>14.166666666666668</v>
      </c>
      <c r="W26" s="44">
        <f ca="1">CELL("contenu",INDIRECT(ADDRESS(ref!$K$8,ref!F25,1,,CELL("contenu",$AC$2))))</f>
        <v>15.833333333333332</v>
      </c>
      <c r="X26" s="45">
        <f ca="1">CELL("contenu",INDIRECT(ADDRESS(ref!$K$8,ref!G25,1,,CELL("contenu",$AC$2))))</f>
        <v>13.888888888888886</v>
      </c>
      <c r="Y26" s="7" t="str">
        <f ca="1">CELL("contenu",INDIRECT(ADDRESS(ref!$K$9,ref!H25,1,,CELL("contenu",$AC$2))))</f>
        <v>A</v>
      </c>
      <c r="Z26" s="4" t="str">
        <f ca="1">CELL("contenu",INDIRECT(ADDRESS(ref!$K$10,ref!H25,1,,CELL("contenu",$AC$2))))</f>
        <v/>
      </c>
      <c r="AA26" s="8" t="str">
        <f ca="1">CELL("contenu",INDIRECT(ADDRESS(ref!$K$11,ref!H25,1,,CELL("contenu",$AC$2))))</f>
        <v>B</v>
      </c>
    </row>
    <row r="27" spans="1:27" x14ac:dyDescent="0.25">
      <c r="A27" s="70" t="str">
        <f t="shared" ca="1" si="0"/>
        <v>ROGER Solene</v>
      </c>
      <c r="B27" s="2" t="str">
        <f ca="1">CELL("contenu",INDIRECT(ADDRESS(ref!$K$3,ref!E26,1,,CELL("contenu",$AC$2))))</f>
        <v>C</v>
      </c>
      <c r="C27" s="3" t="str">
        <f ca="1">CELL("contenu",INDIRECT(ADDRESS(ref!$K$3,ref!F26,1,,CELL("contenu",$AC$2))))</f>
        <v>B</v>
      </c>
      <c r="D27" s="4" t="str">
        <f ca="1">CELL("contenu",INDIRECT(ADDRESS(ref!$K$3,ref!G26,1,,CELL("contenu",$AC$2))))</f>
        <v>C</v>
      </c>
      <c r="E27" s="5" t="str">
        <f ca="1">CELL("contenu",INDIRECT(ADDRESS(ref!$K$3,ref!H26,1,,CELL("contenu",$AC$2))))</f>
        <v>C</v>
      </c>
      <c r="F27" s="6" t="str">
        <f ca="1">CELL("contenu",INDIRECT(ADDRESS(ref!$K$4,ref!E26,1,,CELL("contenu",$AC$2))))</f>
        <v/>
      </c>
      <c r="G27" s="3" t="str">
        <f ca="1">CELL("contenu",INDIRECT(ADDRESS(ref!$K$4,ref!F26,1,,CELL("contenu",$AC$2))))</f>
        <v>A</v>
      </c>
      <c r="H27" s="4" t="str">
        <f ca="1">CELL("contenu",INDIRECT(ADDRESS(ref!$K$4,ref!G26,1,,CELL("contenu",$AC$2))))</f>
        <v>B</v>
      </c>
      <c r="I27" s="5" t="str">
        <f ca="1">CELL("contenu",INDIRECT(ADDRESS(ref!$K$4,ref!H26,1,,CELL("contenu",$AC$2))))</f>
        <v>B</v>
      </c>
      <c r="J27" s="6" t="str">
        <f ca="1">CELL("contenu",INDIRECT(ADDRESS(ref!$K$5,ref!E26,1,,CELL("contenu",$AC$2))))</f>
        <v>A</v>
      </c>
      <c r="K27" s="3" t="str">
        <f ca="1">CELL("contenu",INDIRECT(ADDRESS(ref!$K$5,ref!F26,1,,CELL("contenu",$AC$2))))</f>
        <v>B</v>
      </c>
      <c r="L27" s="4" t="str">
        <f ca="1">CELL("contenu",INDIRECT(ADDRESS(ref!$K$5,ref!G26,1,,CELL("contenu",$AC$2))))</f>
        <v>B</v>
      </c>
      <c r="M27" s="5" t="str">
        <f ca="1">CELL("contenu",INDIRECT(ADDRESS(ref!$K$5,ref!H26,1,,CELL("contenu",$AC$2))))</f>
        <v>B</v>
      </c>
      <c r="N27" s="6" t="str">
        <f ca="1">CELL("contenu",INDIRECT(ADDRESS(ref!$K$6,ref!E26,1,,CELL("contenu",$AC$2))))</f>
        <v>C</v>
      </c>
      <c r="O27" s="3" t="str">
        <f ca="1">CELL("contenu",INDIRECT(ADDRESS(ref!$K$6,ref!F26,1,,CELL("contenu",$AC$2))))</f>
        <v>C</v>
      </c>
      <c r="P27" s="4" t="str">
        <f ca="1">CELL("contenu",INDIRECT(ADDRESS(ref!$K$6,ref!G26,1,,CELL("contenu",$AC$2))))</f>
        <v>C</v>
      </c>
      <c r="Q27" s="5" t="str">
        <f ca="1">CELL("contenu",INDIRECT(ADDRESS(ref!$K$6,ref!H26,1,,CELL("contenu",$AC$2))))</f>
        <v>C</v>
      </c>
      <c r="R27" s="6" t="str">
        <f ca="1">CELL("contenu",INDIRECT(ADDRESS(ref!$K$7,ref!E26,1,,CELL("contenu",$AC$2))))</f>
        <v>C</v>
      </c>
      <c r="S27" s="3" t="str">
        <f ca="1">CELL("contenu",INDIRECT(ADDRESS(ref!$K$7,ref!F26,1,,CELL("contenu",$AC$2))))</f>
        <v/>
      </c>
      <c r="T27" s="4" t="str">
        <f ca="1">CELL("contenu",INDIRECT(ADDRESS(ref!$K$7,ref!G26,1,,CELL("contenu",$AC$2))))</f>
        <v/>
      </c>
      <c r="U27" s="5" t="str">
        <f ca="1">CELL("contenu",INDIRECT(ADDRESS(ref!$K$7,ref!H26,1,,CELL("contenu",$AC$2))))</f>
        <v>C</v>
      </c>
      <c r="V27" s="43">
        <f ca="1">CELL("contenu",INDIRECT(ADDRESS(ref!$K$8,ref!E26,1,,CELL("contenu",$AC$2))))</f>
        <v>11.25</v>
      </c>
      <c r="W27" s="44">
        <f ca="1">CELL("contenu",INDIRECT(ADDRESS(ref!$K$8,ref!F26,1,,CELL("contenu",$AC$2))))</f>
        <v>14.861111111111114</v>
      </c>
      <c r="X27" s="45">
        <f ca="1">CELL("contenu",INDIRECT(ADDRESS(ref!$K$8,ref!G26,1,,CELL("contenu",$AC$2))))</f>
        <v>13.75</v>
      </c>
      <c r="Y27" s="7" t="str">
        <f ca="1">CELL("contenu",INDIRECT(ADDRESS(ref!$K$9,ref!H26,1,,CELL("contenu",$AC$2))))</f>
        <v>B</v>
      </c>
      <c r="Z27" s="4" t="str">
        <f ca="1">CELL("contenu",INDIRECT(ADDRESS(ref!$K$10,ref!H26,1,,CELL("contenu",$AC$2))))</f>
        <v/>
      </c>
      <c r="AA27" s="8" t="str">
        <f ca="1">CELL("contenu",INDIRECT(ADDRESS(ref!$K$11,ref!H26,1,,CELL("contenu",$AC$2))))</f>
        <v>B</v>
      </c>
    </row>
    <row r="28" spans="1:27" x14ac:dyDescent="0.25">
      <c r="A28" s="70" t="str">
        <f t="shared" ca="1" si="0"/>
        <v>SERIZAY Armel</v>
      </c>
      <c r="B28" s="2" t="str">
        <f ca="1">CELL("contenu",INDIRECT(ADDRESS(ref!$K$3,ref!E27,1,,CELL("contenu",$AC$2))))</f>
        <v>B</v>
      </c>
      <c r="C28" s="3" t="str">
        <f ca="1">CELL("contenu",INDIRECT(ADDRESS(ref!$K$3,ref!F27,1,,CELL("contenu",$AC$2))))</f>
        <v>B</v>
      </c>
      <c r="D28" s="4" t="str">
        <f ca="1">CELL("contenu",INDIRECT(ADDRESS(ref!$K$3,ref!G27,1,,CELL("contenu",$AC$2))))</f>
        <v>C</v>
      </c>
      <c r="E28" s="5" t="str">
        <f ca="1">CELL("contenu",INDIRECT(ADDRESS(ref!$K$3,ref!H27,1,,CELL("contenu",$AC$2))))</f>
        <v>B</v>
      </c>
      <c r="F28" s="6" t="str">
        <f ca="1">CELL("contenu",INDIRECT(ADDRESS(ref!$K$4,ref!E27,1,,CELL("contenu",$AC$2))))</f>
        <v/>
      </c>
      <c r="G28" s="3" t="str">
        <f ca="1">CELL("contenu",INDIRECT(ADDRESS(ref!$K$4,ref!F27,1,,CELL("contenu",$AC$2))))</f>
        <v>A</v>
      </c>
      <c r="H28" s="4" t="str">
        <f ca="1">CELL("contenu",INDIRECT(ADDRESS(ref!$K$4,ref!G27,1,,CELL("contenu",$AC$2))))</f>
        <v>B</v>
      </c>
      <c r="I28" s="5" t="str">
        <f ca="1">CELL("contenu",INDIRECT(ADDRESS(ref!$K$4,ref!H27,1,,CELL("contenu",$AC$2))))</f>
        <v>A</v>
      </c>
      <c r="J28" s="6" t="str">
        <f ca="1">CELL("contenu",INDIRECT(ADDRESS(ref!$K$5,ref!E27,1,,CELL("contenu",$AC$2))))</f>
        <v>A</v>
      </c>
      <c r="K28" s="3" t="str">
        <f ca="1">CELL("contenu",INDIRECT(ADDRESS(ref!$K$5,ref!F27,1,,CELL("contenu",$AC$2))))</f>
        <v>A</v>
      </c>
      <c r="L28" s="4" t="str">
        <f ca="1">CELL("contenu",INDIRECT(ADDRESS(ref!$K$5,ref!G27,1,,CELL("contenu",$AC$2))))</f>
        <v>B</v>
      </c>
      <c r="M28" s="5" t="str">
        <f ca="1">CELL("contenu",INDIRECT(ADDRESS(ref!$K$5,ref!H27,1,,CELL("contenu",$AC$2))))</f>
        <v>A</v>
      </c>
      <c r="N28" s="6" t="str">
        <f ca="1">CELL("contenu",INDIRECT(ADDRESS(ref!$K$6,ref!E27,1,,CELL("contenu",$AC$2))))</f>
        <v>C</v>
      </c>
      <c r="O28" s="3" t="str">
        <f ca="1">CELL("contenu",INDIRECT(ADDRESS(ref!$K$6,ref!F27,1,,CELL("contenu",$AC$2))))</f>
        <v>C</v>
      </c>
      <c r="P28" s="4" t="str">
        <f ca="1">CELL("contenu",INDIRECT(ADDRESS(ref!$K$6,ref!G27,1,,CELL("contenu",$AC$2))))</f>
        <v>C</v>
      </c>
      <c r="Q28" s="5" t="str">
        <f ca="1">CELL("contenu",INDIRECT(ADDRESS(ref!$K$6,ref!H27,1,,CELL("contenu",$AC$2))))</f>
        <v>C</v>
      </c>
      <c r="R28" s="6" t="str">
        <f ca="1">CELL("contenu",INDIRECT(ADDRESS(ref!$K$7,ref!E27,1,,CELL("contenu",$AC$2))))</f>
        <v>C</v>
      </c>
      <c r="S28" s="3" t="str">
        <f ca="1">CELL("contenu",INDIRECT(ADDRESS(ref!$K$7,ref!F27,1,,CELL("contenu",$AC$2))))</f>
        <v/>
      </c>
      <c r="T28" s="4" t="str">
        <f ca="1">CELL("contenu",INDIRECT(ADDRESS(ref!$K$7,ref!G27,1,,CELL("contenu",$AC$2))))</f>
        <v/>
      </c>
      <c r="U28" s="5" t="str">
        <f ca="1">CELL("contenu",INDIRECT(ADDRESS(ref!$K$7,ref!H27,1,,CELL("contenu",$AC$2))))</f>
        <v>C</v>
      </c>
      <c r="V28" s="43">
        <f ca="1">CELL("contenu",INDIRECT(ADDRESS(ref!$K$8,ref!E27,1,,CELL("contenu",$AC$2))))</f>
        <v>15</v>
      </c>
      <c r="W28" s="44">
        <f ca="1">CELL("contenu",INDIRECT(ADDRESS(ref!$K$8,ref!F27,1,,CELL("contenu",$AC$2))))</f>
        <v>15.486111111111109</v>
      </c>
      <c r="X28" s="45">
        <f ca="1">CELL("contenu",INDIRECT(ADDRESS(ref!$K$8,ref!G27,1,,CELL("contenu",$AC$2))))</f>
        <v>14.444444444444445</v>
      </c>
      <c r="Y28" s="7" t="str">
        <f ca="1">CELL("contenu",INDIRECT(ADDRESS(ref!$K$9,ref!H27,1,,CELL("contenu",$AC$2))))</f>
        <v>A</v>
      </c>
      <c r="Z28" s="4" t="str">
        <f ca="1">CELL("contenu",INDIRECT(ADDRESS(ref!$K$10,ref!H27,1,,CELL("contenu",$AC$2))))</f>
        <v/>
      </c>
      <c r="AA28" s="8" t="str">
        <f ca="1">CELL("contenu",INDIRECT(ADDRESS(ref!$K$11,ref!H27,1,,CELL("contenu",$AC$2))))</f>
        <v>B</v>
      </c>
    </row>
    <row r="29" spans="1:27" x14ac:dyDescent="0.25">
      <c r="A29" s="70" t="str">
        <f t="shared" ca="1" si="0"/>
        <v>VIDAL Claire</v>
      </c>
      <c r="B29" s="2" t="str">
        <f ca="1">CELL("contenu",INDIRECT(ADDRESS(ref!$K$3,ref!E28,1,,CELL("contenu",$AC$2))))</f>
        <v>C</v>
      </c>
      <c r="C29" s="3" t="str">
        <f ca="1">CELL("contenu",INDIRECT(ADDRESS(ref!$K$3,ref!F28,1,,CELL("contenu",$AC$2))))</f>
        <v/>
      </c>
      <c r="D29" s="4" t="str">
        <f ca="1">CELL("contenu",INDIRECT(ADDRESS(ref!$K$3,ref!G28,1,,CELL("contenu",$AC$2))))</f>
        <v>B</v>
      </c>
      <c r="E29" s="5" t="str">
        <f ca="1">CELL("contenu",INDIRECT(ADDRESS(ref!$K$3,ref!H28,1,,CELL("contenu",$AC$2))))</f>
        <v>C</v>
      </c>
      <c r="F29" s="6" t="str">
        <f ca="1">CELL("contenu",INDIRECT(ADDRESS(ref!$K$4,ref!E28,1,,CELL("contenu",$AC$2))))</f>
        <v/>
      </c>
      <c r="G29" s="3" t="str">
        <f ca="1">CELL("contenu",INDIRECT(ADDRESS(ref!$K$4,ref!F28,1,,CELL("contenu",$AC$2))))</f>
        <v>A</v>
      </c>
      <c r="H29" s="4" t="str">
        <f ca="1">CELL("contenu",INDIRECT(ADDRESS(ref!$K$4,ref!G28,1,,CELL("contenu",$AC$2))))</f>
        <v>B</v>
      </c>
      <c r="I29" s="5" t="str">
        <f ca="1">CELL("contenu",INDIRECT(ADDRESS(ref!$K$4,ref!H28,1,,CELL("contenu",$AC$2))))</f>
        <v>A</v>
      </c>
      <c r="J29" s="6" t="str">
        <f ca="1">CELL("contenu",INDIRECT(ADDRESS(ref!$K$5,ref!E28,1,,CELL("contenu",$AC$2))))</f>
        <v>A</v>
      </c>
      <c r="K29" s="3" t="str">
        <f ca="1">CELL("contenu",INDIRECT(ADDRESS(ref!$K$5,ref!F28,1,,CELL("contenu",$AC$2))))</f>
        <v>A</v>
      </c>
      <c r="L29" s="4" t="str">
        <f ca="1">CELL("contenu",INDIRECT(ADDRESS(ref!$K$5,ref!G28,1,,CELL("contenu",$AC$2))))</f>
        <v>B</v>
      </c>
      <c r="M29" s="5" t="str">
        <f ca="1">CELL("contenu",INDIRECT(ADDRESS(ref!$K$5,ref!H28,1,,CELL("contenu",$AC$2))))</f>
        <v>A</v>
      </c>
      <c r="N29" s="6" t="str">
        <f ca="1">CELL("contenu",INDIRECT(ADDRESS(ref!$K$6,ref!E28,1,,CELL("contenu",$AC$2))))</f>
        <v>C</v>
      </c>
      <c r="O29" s="3" t="str">
        <f ca="1">CELL("contenu",INDIRECT(ADDRESS(ref!$K$6,ref!F28,1,,CELL("contenu",$AC$2))))</f>
        <v>C</v>
      </c>
      <c r="P29" s="4" t="str">
        <f ca="1">CELL("contenu",INDIRECT(ADDRESS(ref!$K$6,ref!G28,1,,CELL("contenu",$AC$2))))</f>
        <v>B</v>
      </c>
      <c r="Q29" s="5" t="str">
        <f ca="1">CELL("contenu",INDIRECT(ADDRESS(ref!$K$6,ref!H28,1,,CELL("contenu",$AC$2))))</f>
        <v>C</v>
      </c>
      <c r="R29" s="6" t="str">
        <f ca="1">CELL("contenu",INDIRECT(ADDRESS(ref!$K$7,ref!E28,1,,CELL("contenu",$AC$2))))</f>
        <v>C</v>
      </c>
      <c r="S29" s="3" t="str">
        <f ca="1">CELL("contenu",INDIRECT(ADDRESS(ref!$K$7,ref!F28,1,,CELL("contenu",$AC$2))))</f>
        <v/>
      </c>
      <c r="T29" s="4" t="str">
        <f ca="1">CELL("contenu",INDIRECT(ADDRESS(ref!$K$7,ref!G28,1,,CELL("contenu",$AC$2))))</f>
        <v/>
      </c>
      <c r="U29" s="5" t="str">
        <f ca="1">CELL("contenu",INDIRECT(ADDRESS(ref!$K$7,ref!H28,1,,CELL("contenu",$AC$2))))</f>
        <v>C</v>
      </c>
      <c r="V29" s="43">
        <f ca="1">CELL("contenu",INDIRECT(ADDRESS(ref!$K$8,ref!E28,1,,CELL("contenu",$AC$2))))</f>
        <v>12.916666666666668</v>
      </c>
      <c r="W29" s="44">
        <f ca="1">CELL("contenu",INDIRECT(ADDRESS(ref!$K$8,ref!F28,1,,CELL("contenu",$AC$2))))</f>
        <v>16.25</v>
      </c>
      <c r="X29" s="45">
        <f ca="1">CELL("contenu",INDIRECT(ADDRESS(ref!$K$8,ref!G28,1,,CELL("contenu",$AC$2))))</f>
        <v>15.972222222222223</v>
      </c>
      <c r="Y29" s="7" t="str">
        <f ca="1">CELL("contenu",INDIRECT(ADDRESS(ref!$K$9,ref!H28,1,,CELL("contenu",$AC$2))))</f>
        <v>A</v>
      </c>
      <c r="Z29" s="4" t="str">
        <f ca="1">CELL("contenu",INDIRECT(ADDRESS(ref!$K$10,ref!H28,1,,CELL("contenu",$AC$2))))</f>
        <v/>
      </c>
      <c r="AA29" s="8" t="str">
        <f ca="1">CELL("contenu",INDIRECT(ADDRESS(ref!$K$11,ref!H28,1,,CELL("contenu",$AC$2))))</f>
        <v>B</v>
      </c>
    </row>
    <row r="30" spans="1:27" x14ac:dyDescent="0.25">
      <c r="A30" s="70" t="str">
        <f t="shared" ca="1" si="0"/>
        <v>VIRLOUVET Enzo</v>
      </c>
      <c r="B30" s="2" t="str">
        <f ca="1">CELL("contenu",INDIRECT(ADDRESS(ref!$K$3,ref!E29,1,,CELL("contenu",$AC$2))))</f>
        <v>B</v>
      </c>
      <c r="C30" s="3" t="str">
        <f ca="1">CELL("contenu",INDIRECT(ADDRESS(ref!$K$3,ref!F29,1,,CELL("contenu",$AC$2))))</f>
        <v>B</v>
      </c>
      <c r="D30" s="4" t="str">
        <f ca="1">CELL("contenu",INDIRECT(ADDRESS(ref!$K$3,ref!G29,1,,CELL("contenu",$AC$2))))</f>
        <v>B</v>
      </c>
      <c r="E30" s="5" t="str">
        <f ca="1">CELL("contenu",INDIRECT(ADDRESS(ref!$K$3,ref!H29,1,,CELL("contenu",$AC$2))))</f>
        <v>B</v>
      </c>
      <c r="F30" s="6" t="str">
        <f ca="1">CELL("contenu",INDIRECT(ADDRESS(ref!$K$4,ref!E29,1,,CELL("contenu",$AC$2))))</f>
        <v/>
      </c>
      <c r="G30" s="3" t="str">
        <f ca="1">CELL("contenu",INDIRECT(ADDRESS(ref!$K$4,ref!F29,1,,CELL("contenu",$AC$2))))</f>
        <v>A</v>
      </c>
      <c r="H30" s="4" t="str">
        <f ca="1">CELL("contenu",INDIRECT(ADDRESS(ref!$K$4,ref!G29,1,,CELL("contenu",$AC$2))))</f>
        <v>B</v>
      </c>
      <c r="I30" s="5" t="str">
        <f ca="1">CELL("contenu",INDIRECT(ADDRESS(ref!$K$4,ref!H29,1,,CELL("contenu",$AC$2))))</f>
        <v>A</v>
      </c>
      <c r="J30" s="6" t="str">
        <f ca="1">CELL("contenu",INDIRECT(ADDRESS(ref!$K$5,ref!E29,1,,CELL("contenu",$AC$2))))</f>
        <v>A</v>
      </c>
      <c r="K30" s="3" t="str">
        <f ca="1">CELL("contenu",INDIRECT(ADDRESS(ref!$K$5,ref!F29,1,,CELL("contenu",$AC$2))))</f>
        <v>C</v>
      </c>
      <c r="L30" s="4" t="str">
        <f ca="1">CELL("contenu",INDIRECT(ADDRESS(ref!$K$5,ref!G29,1,,CELL("contenu",$AC$2))))</f>
        <v>A</v>
      </c>
      <c r="M30" s="5" t="str">
        <f ca="1">CELL("contenu",INDIRECT(ADDRESS(ref!$K$5,ref!H29,1,,CELL("contenu",$AC$2))))</f>
        <v>B</v>
      </c>
      <c r="N30" s="6" t="str">
        <f ca="1">CELL("contenu",INDIRECT(ADDRESS(ref!$K$6,ref!E29,1,,CELL("contenu",$AC$2))))</f>
        <v>C</v>
      </c>
      <c r="O30" s="3" t="str">
        <f ca="1">CELL("contenu",INDIRECT(ADDRESS(ref!$K$6,ref!F29,1,,CELL("contenu",$AC$2))))</f>
        <v>C</v>
      </c>
      <c r="P30" s="4" t="str">
        <f ca="1">CELL("contenu",INDIRECT(ADDRESS(ref!$K$6,ref!G29,1,,CELL("contenu",$AC$2))))</f>
        <v>B</v>
      </c>
      <c r="Q30" s="5" t="str">
        <f ca="1">CELL("contenu",INDIRECT(ADDRESS(ref!$K$6,ref!H29,1,,CELL("contenu",$AC$2))))</f>
        <v>B</v>
      </c>
      <c r="R30" s="6" t="str">
        <f ca="1">CELL("contenu",INDIRECT(ADDRESS(ref!$K$7,ref!E29,1,,CELL("contenu",$AC$2))))</f>
        <v>C</v>
      </c>
      <c r="S30" s="3" t="str">
        <f ca="1">CELL("contenu",INDIRECT(ADDRESS(ref!$K$7,ref!F29,1,,CELL("contenu",$AC$2))))</f>
        <v/>
      </c>
      <c r="T30" s="4" t="str">
        <f ca="1">CELL("contenu",INDIRECT(ADDRESS(ref!$K$7,ref!G29,1,,CELL("contenu",$AC$2))))</f>
        <v/>
      </c>
      <c r="U30" s="5" t="str">
        <f ca="1">CELL("contenu",INDIRECT(ADDRESS(ref!$K$7,ref!H29,1,,CELL("contenu",$AC$2))))</f>
        <v>C</v>
      </c>
      <c r="V30" s="43">
        <f ca="1">CELL("contenu",INDIRECT(ADDRESS(ref!$K$8,ref!E29,1,,CELL("contenu",$AC$2))))</f>
        <v>15</v>
      </c>
      <c r="W30" s="44">
        <f ca="1">CELL("contenu",INDIRECT(ADDRESS(ref!$K$8,ref!F29,1,,CELL("contenu",$AC$2))))</f>
        <v>15.069444444444446</v>
      </c>
      <c r="X30" s="45">
        <f ca="1">CELL("contenu",INDIRECT(ADDRESS(ref!$K$8,ref!G29,1,,CELL("contenu",$AC$2))))</f>
        <v>17.083333333333332</v>
      </c>
      <c r="Y30" s="7" t="str">
        <f ca="1">CELL("contenu",INDIRECT(ADDRESS(ref!$K$9,ref!H29,1,,CELL("contenu",$AC$2))))</f>
        <v>A</v>
      </c>
      <c r="Z30" s="4" t="str">
        <f ca="1">CELL("contenu",INDIRECT(ADDRESS(ref!$K$10,ref!H29,1,,CELL("contenu",$AC$2))))</f>
        <v/>
      </c>
      <c r="AA30" s="8" t="str">
        <f ca="1">CELL("contenu",INDIRECT(ADDRESS(ref!$K$11,ref!H29,1,,CELL("contenu",$AC$2))))</f>
        <v>B</v>
      </c>
    </row>
  </sheetData>
  <sheetProtection algorithmName="SHA-512" hashValue="/WzPzLPuOG3ab4hhJbPUwcRWqz7C3ehLR/vn6a7PDWOlZwc/at1M7+bnz5ygSC0UrJjUejmlkhNYBjEGWgqNCQ==" saltValue="PUrvYpNREo4mqRDSmDY8JA==" spinCount="100000" sheet="1" select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TS24"/>
  <sheetViews>
    <sheetView topLeftCell="A2" zoomScale="71" zoomScaleNormal="118" workbookViewId="0">
      <pane xSplit="2" topLeftCell="QV1" activePane="topRight" state="frozen"/>
      <selection activeCell="Y3" sqref="Y3:AA3"/>
      <selection pane="topRight" activeCell="RP20" sqref="RP20"/>
    </sheetView>
  </sheetViews>
  <sheetFormatPr baseColWidth="10" defaultColWidth="5.7109375" defaultRowHeight="15" x14ac:dyDescent="0.25"/>
  <cols>
    <col min="1" max="1" width="17.7109375" style="167" customWidth="1"/>
    <col min="2" max="2" width="13.7109375" style="167" customWidth="1"/>
    <col min="3" max="5" width="4.7109375" style="158" customWidth="1"/>
    <col min="6" max="6" width="4.7109375" style="190" customWidth="1"/>
    <col min="7" max="7" width="8.7109375" style="191" customWidth="1"/>
    <col min="8" max="10" width="4.7109375" style="157" customWidth="1"/>
    <col min="11" max="11" width="4.7109375" style="191" customWidth="1"/>
    <col min="12" max="12" width="8.7109375" style="191" customWidth="1"/>
    <col min="13" max="16" width="4.7109375" style="157" customWidth="1"/>
    <col min="17" max="17" width="4.7109375" style="191" customWidth="1"/>
    <col min="18" max="18" width="8.7109375" style="191" customWidth="1"/>
    <col min="19" max="19" width="4.7109375" style="191" customWidth="1"/>
    <col min="20" max="20" width="8.7109375" style="191" customWidth="1"/>
    <col min="21" max="23" width="4.7109375" style="158" customWidth="1"/>
    <col min="24" max="24" width="4.7109375" style="190" customWidth="1"/>
    <col min="25" max="25" width="8.7109375" style="191" customWidth="1"/>
    <col min="26" max="28" width="4.7109375" style="157" customWidth="1"/>
    <col min="29" max="29" width="4.7109375" style="191" customWidth="1"/>
    <col min="30" max="30" width="8.7109375" style="191" customWidth="1"/>
    <col min="31" max="34" width="4.7109375" style="157" customWidth="1"/>
    <col min="35" max="35" width="4.7109375" style="191" customWidth="1"/>
    <col min="36" max="36" width="8.7109375" style="191" customWidth="1"/>
    <col min="37" max="37" width="4.7109375" style="191" customWidth="1"/>
    <col min="38" max="38" width="8.7109375" style="191" customWidth="1"/>
    <col min="39" max="42" width="4.7109375" style="158" customWidth="1"/>
    <col min="43" max="43" width="8.7109375" style="156" customWidth="1"/>
    <col min="44" max="46" width="4.7109375" style="157" customWidth="1"/>
    <col min="47" max="47" width="4.7109375" style="156" customWidth="1"/>
    <col min="48" max="48" width="8.7109375" style="156" customWidth="1"/>
    <col min="49" max="52" width="4.7109375" style="157" customWidth="1"/>
    <col min="53" max="53" width="4.7109375" style="156" customWidth="1"/>
    <col min="54" max="54" width="8.7109375" style="156" customWidth="1"/>
    <col min="55" max="55" width="4.7109375" style="156" customWidth="1"/>
    <col min="56" max="56" width="8.7109375" style="156" customWidth="1"/>
    <col min="57" max="60" width="4.7109375" style="158" customWidth="1"/>
    <col min="61" max="61" width="8.7109375" style="156" customWidth="1"/>
    <col min="62" max="64" width="4.7109375" style="157" customWidth="1"/>
    <col min="65" max="65" width="4.7109375" style="156" customWidth="1"/>
    <col min="66" max="66" width="8.7109375" style="156" customWidth="1"/>
    <col min="67" max="70" width="4.7109375" style="157" customWidth="1"/>
    <col min="71" max="71" width="4.7109375" style="156" customWidth="1"/>
    <col min="72" max="72" width="8.7109375" style="156" customWidth="1"/>
    <col min="73" max="73" width="4.7109375" style="156" customWidth="1"/>
    <col min="74" max="74" width="8.7109375" style="156" customWidth="1"/>
    <col min="75" max="78" width="4.7109375" style="158" customWidth="1"/>
    <col min="79" max="79" width="8.7109375" style="156" customWidth="1"/>
    <col min="80" max="82" width="4.7109375" style="157" customWidth="1"/>
    <col min="83" max="83" width="4.7109375" style="156" customWidth="1"/>
    <col min="84" max="84" width="8.7109375" style="156" customWidth="1"/>
    <col min="85" max="88" width="4.7109375" style="157" customWidth="1"/>
    <col min="89" max="89" width="4.7109375" style="156" customWidth="1"/>
    <col min="90" max="90" width="8.7109375" style="156" customWidth="1"/>
    <col min="91" max="91" width="4.7109375" style="156" customWidth="1"/>
    <col min="92" max="92" width="8.7109375" style="156" customWidth="1"/>
    <col min="93" max="96" width="4.7109375" style="158" customWidth="1"/>
    <col min="97" max="97" width="8.7109375" style="156" customWidth="1"/>
    <col min="98" max="100" width="4.7109375" style="157" customWidth="1"/>
    <col min="101" max="101" width="4.7109375" style="156" customWidth="1"/>
    <col min="102" max="102" width="8.7109375" style="156" customWidth="1"/>
    <col min="103" max="106" width="4.7109375" style="157" customWidth="1"/>
    <col min="107" max="107" width="4.7109375" style="156" customWidth="1"/>
    <col min="108" max="108" width="8.7109375" style="156" customWidth="1"/>
    <col min="109" max="109" width="4.7109375" style="156" customWidth="1"/>
    <col min="110" max="110" width="8.7109375" style="156" customWidth="1"/>
    <col min="111" max="114" width="4.7109375" style="158" customWidth="1"/>
    <col min="115" max="115" width="8.7109375" style="156" customWidth="1"/>
    <col min="116" max="118" width="4.7109375" style="157" customWidth="1"/>
    <col min="119" max="119" width="4.7109375" style="156" customWidth="1"/>
    <col min="120" max="120" width="8.7109375" style="156" customWidth="1"/>
    <col min="121" max="124" width="4.7109375" style="157" customWidth="1"/>
    <col min="125" max="125" width="4.7109375" style="156" customWidth="1"/>
    <col min="126" max="126" width="8.7109375" style="156" customWidth="1"/>
    <col min="127" max="127" width="4.7109375" style="156" customWidth="1"/>
    <col min="128" max="128" width="8.7109375" style="156" customWidth="1"/>
    <col min="129" max="132" width="4.7109375" style="158" customWidth="1"/>
    <col min="133" max="133" width="8.7109375" style="156" customWidth="1"/>
    <col min="134" max="136" width="4.7109375" style="157" customWidth="1"/>
    <col min="137" max="137" width="4.7109375" style="156" customWidth="1"/>
    <col min="138" max="138" width="8.7109375" style="156" customWidth="1"/>
    <col min="139" max="142" width="4.7109375" style="157" customWidth="1"/>
    <col min="143" max="143" width="4.7109375" style="156" customWidth="1"/>
    <col min="144" max="144" width="8.7109375" style="156" customWidth="1"/>
    <col min="145" max="145" width="4.7109375" style="156" customWidth="1"/>
    <col min="146" max="146" width="8.7109375" style="156" customWidth="1"/>
    <col min="147" max="150" width="4.7109375" style="158" customWidth="1"/>
    <col min="151" max="151" width="8.7109375" style="156" customWidth="1"/>
    <col min="152" max="154" width="4.7109375" style="157" customWidth="1"/>
    <col min="155" max="155" width="4.7109375" style="156" customWidth="1"/>
    <col min="156" max="156" width="8.7109375" style="156" customWidth="1"/>
    <col min="157" max="160" width="4.7109375" style="157" customWidth="1"/>
    <col min="161" max="161" width="4.7109375" style="156" customWidth="1"/>
    <col min="162" max="162" width="8.7109375" style="156" customWidth="1"/>
    <col min="163" max="163" width="4.7109375" style="156" customWidth="1"/>
    <col min="164" max="164" width="8.7109375" style="156" customWidth="1"/>
    <col min="165" max="168" width="4.7109375" style="158" customWidth="1"/>
    <col min="169" max="169" width="8.7109375" style="156" customWidth="1"/>
    <col min="170" max="172" width="4.7109375" style="157" customWidth="1"/>
    <col min="173" max="173" width="4.7109375" style="156" customWidth="1"/>
    <col min="174" max="174" width="8.7109375" style="156" customWidth="1"/>
    <col min="175" max="178" width="4.7109375" style="157" customWidth="1"/>
    <col min="179" max="179" width="4.7109375" style="156" customWidth="1"/>
    <col min="180" max="180" width="8.7109375" style="156" customWidth="1"/>
    <col min="181" max="181" width="4.7109375" style="156" customWidth="1"/>
    <col min="182" max="182" width="8.7109375" style="156" customWidth="1"/>
    <col min="183" max="186" width="4.7109375" style="158" customWidth="1"/>
    <col min="187" max="187" width="8.7109375" style="156" customWidth="1"/>
    <col min="188" max="190" width="4.7109375" style="157" customWidth="1"/>
    <col min="191" max="191" width="4.7109375" style="156" customWidth="1"/>
    <col min="192" max="192" width="8.7109375" style="156" customWidth="1"/>
    <col min="193" max="196" width="4.7109375" style="157" customWidth="1"/>
    <col min="197" max="197" width="4.7109375" style="156" customWidth="1"/>
    <col min="198" max="198" width="8.7109375" style="156" customWidth="1"/>
    <col min="199" max="199" width="4.7109375" style="156" customWidth="1"/>
    <col min="200" max="200" width="8.7109375" style="156" customWidth="1"/>
    <col min="201" max="204" width="4.7109375" style="158" customWidth="1"/>
    <col min="205" max="205" width="8.7109375" style="156" customWidth="1"/>
    <col min="206" max="208" width="4.7109375" style="157" customWidth="1"/>
    <col min="209" max="209" width="4.7109375" style="156" customWidth="1"/>
    <col min="210" max="210" width="8.7109375" style="156" customWidth="1"/>
    <col min="211" max="214" width="4.7109375" style="157" customWidth="1"/>
    <col min="215" max="215" width="4.7109375" style="156" customWidth="1"/>
    <col min="216" max="216" width="8.7109375" style="156" customWidth="1"/>
    <col min="217" max="217" width="4.7109375" style="156" customWidth="1"/>
    <col min="218" max="218" width="8.7109375" style="156" customWidth="1"/>
    <col min="219" max="222" width="4.7109375" style="158" customWidth="1"/>
    <col min="223" max="223" width="8.7109375" style="156" customWidth="1"/>
    <col min="224" max="226" width="4.7109375" style="157" customWidth="1"/>
    <col min="227" max="227" width="4.7109375" style="156" customWidth="1"/>
    <col min="228" max="228" width="8.7109375" style="156" customWidth="1"/>
    <col min="229" max="232" width="4.7109375" style="157" customWidth="1"/>
    <col min="233" max="233" width="4.7109375" style="156" customWidth="1"/>
    <col min="234" max="234" width="8.7109375" style="156" customWidth="1"/>
    <col min="235" max="235" width="4.7109375" style="156" customWidth="1"/>
    <col min="236" max="236" width="8.7109375" style="156" customWidth="1"/>
    <col min="237" max="240" width="4.7109375" style="158" customWidth="1"/>
    <col min="241" max="241" width="8.7109375" style="156" customWidth="1"/>
    <col min="242" max="244" width="4.7109375" style="157" customWidth="1"/>
    <col min="245" max="245" width="4.7109375" style="156" customWidth="1"/>
    <col min="246" max="246" width="8.7109375" style="156" customWidth="1"/>
    <col min="247" max="250" width="4.7109375" style="157" customWidth="1"/>
    <col min="251" max="251" width="4.7109375" style="156" customWidth="1"/>
    <col min="252" max="252" width="8.7109375" style="156" customWidth="1"/>
    <col min="253" max="253" width="4.7109375" style="156" customWidth="1"/>
    <col min="254" max="254" width="8.7109375" style="156" customWidth="1"/>
    <col min="255" max="258" width="4.7109375" style="158" customWidth="1"/>
    <col min="259" max="259" width="8.7109375" style="156" customWidth="1"/>
    <col min="260" max="262" width="4.7109375" style="157" customWidth="1"/>
    <col min="263" max="263" width="4.7109375" style="156" customWidth="1"/>
    <col min="264" max="264" width="8.7109375" style="156" customWidth="1"/>
    <col min="265" max="268" width="4.7109375" style="157" customWidth="1"/>
    <col min="269" max="269" width="4.7109375" style="156" customWidth="1"/>
    <col min="270" max="270" width="8.7109375" style="156" customWidth="1"/>
    <col min="271" max="271" width="4.7109375" style="156" customWidth="1"/>
    <col min="272" max="272" width="8.7109375" style="156" customWidth="1"/>
    <col min="273" max="276" width="4.7109375" style="158" customWidth="1"/>
    <col min="277" max="277" width="8.7109375" style="156" customWidth="1"/>
    <col min="278" max="280" width="4.7109375" style="157" customWidth="1"/>
    <col min="281" max="281" width="4.7109375" style="156" customWidth="1"/>
    <col min="282" max="282" width="8.7109375" style="156" customWidth="1"/>
    <col min="283" max="286" width="4.7109375" style="157" customWidth="1"/>
    <col min="287" max="287" width="4.7109375" style="156" customWidth="1"/>
    <col min="288" max="288" width="8.7109375" style="156" customWidth="1"/>
    <col min="289" max="289" width="4.7109375" style="156" customWidth="1"/>
    <col min="290" max="290" width="8.7109375" style="156" customWidth="1"/>
    <col min="291" max="294" width="4.7109375" style="158" customWidth="1"/>
    <col min="295" max="295" width="8.7109375" style="156" customWidth="1"/>
    <col min="296" max="298" width="4.7109375" style="157" customWidth="1"/>
    <col min="299" max="299" width="4.7109375" style="156" customWidth="1"/>
    <col min="300" max="300" width="8.7109375" style="156" customWidth="1"/>
    <col min="301" max="304" width="4.7109375" style="157" customWidth="1"/>
    <col min="305" max="305" width="4.7109375" style="156" customWidth="1"/>
    <col min="306" max="306" width="8.7109375" style="156" customWidth="1"/>
    <col min="307" max="307" width="4.7109375" style="156" customWidth="1"/>
    <col min="308" max="308" width="8.7109375" style="156" customWidth="1"/>
    <col min="309" max="312" width="4.7109375" style="158" customWidth="1"/>
    <col min="313" max="313" width="8.7109375" style="156" customWidth="1"/>
    <col min="314" max="316" width="4.7109375" style="157" customWidth="1"/>
    <col min="317" max="317" width="4.7109375" style="156" customWidth="1"/>
    <col min="318" max="318" width="8.7109375" style="156" customWidth="1"/>
    <col min="319" max="322" width="4.7109375" style="157" customWidth="1"/>
    <col min="323" max="323" width="4.7109375" style="156" customWidth="1"/>
    <col min="324" max="324" width="8.7109375" style="156" customWidth="1"/>
    <col min="325" max="325" width="4.7109375" style="156" customWidth="1"/>
    <col min="326" max="326" width="8.7109375" style="156" customWidth="1"/>
    <col min="327" max="330" width="4.7109375" style="158" customWidth="1"/>
    <col min="331" max="331" width="8.7109375" style="156" customWidth="1"/>
    <col min="332" max="334" width="4.7109375" style="157" customWidth="1"/>
    <col min="335" max="335" width="4.7109375" style="156" customWidth="1"/>
    <col min="336" max="336" width="8.7109375" style="156" customWidth="1"/>
    <col min="337" max="340" width="4.7109375" style="157" customWidth="1"/>
    <col min="341" max="341" width="4.7109375" style="156" customWidth="1"/>
    <col min="342" max="342" width="8.7109375" style="156" customWidth="1"/>
    <col min="343" max="343" width="4.7109375" style="156" customWidth="1"/>
    <col min="344" max="344" width="8.7109375" style="156" customWidth="1"/>
    <col min="345" max="348" width="4.7109375" style="158" customWidth="1"/>
    <col min="349" max="349" width="8.7109375" style="156" customWidth="1"/>
    <col min="350" max="352" width="4.7109375" style="157" customWidth="1"/>
    <col min="353" max="353" width="4.7109375" style="156" customWidth="1"/>
    <col min="354" max="354" width="8.7109375" style="156" customWidth="1"/>
    <col min="355" max="358" width="4.7109375" style="157" customWidth="1"/>
    <col min="359" max="359" width="4.7109375" style="156" customWidth="1"/>
    <col min="360" max="360" width="8.7109375" style="156" customWidth="1"/>
    <col min="361" max="361" width="4.7109375" style="156" customWidth="1"/>
    <col min="362" max="362" width="8.7109375" style="156" customWidth="1"/>
    <col min="363" max="366" width="4.7109375" style="158" customWidth="1"/>
    <col min="367" max="367" width="8.7109375" style="156" customWidth="1"/>
    <col min="368" max="370" width="4.7109375" style="157" customWidth="1"/>
    <col min="371" max="371" width="4.7109375" style="156" customWidth="1"/>
    <col min="372" max="372" width="8.7109375" style="156" customWidth="1"/>
    <col min="373" max="376" width="4.7109375" style="157" customWidth="1"/>
    <col min="377" max="377" width="4.7109375" style="156" customWidth="1"/>
    <col min="378" max="378" width="8.7109375" style="156" customWidth="1"/>
    <col min="379" max="379" width="4.7109375" style="156" customWidth="1"/>
    <col min="380" max="380" width="8.7109375" style="156" customWidth="1"/>
    <col min="381" max="384" width="4.7109375" style="158" customWidth="1"/>
    <col min="385" max="385" width="8.7109375" style="156" customWidth="1"/>
    <col min="386" max="388" width="4.7109375" style="157" customWidth="1"/>
    <col min="389" max="389" width="4.7109375" style="156" customWidth="1"/>
    <col min="390" max="390" width="8.7109375" style="156" customWidth="1"/>
    <col min="391" max="394" width="4.7109375" style="157" customWidth="1"/>
    <col min="395" max="395" width="4.7109375" style="156" customWidth="1"/>
    <col min="396" max="396" width="8.7109375" style="156" customWidth="1"/>
    <col min="397" max="397" width="4.7109375" style="156" customWidth="1"/>
    <col min="398" max="398" width="8.7109375" style="156" customWidth="1"/>
    <col min="399" max="402" width="4.7109375" style="158" customWidth="1"/>
    <col min="403" max="403" width="8.7109375" style="156" customWidth="1"/>
    <col min="404" max="406" width="4.7109375" style="157" customWidth="1"/>
    <col min="407" max="407" width="4.7109375" style="156" customWidth="1"/>
    <col min="408" max="408" width="8.7109375" style="156" customWidth="1"/>
    <col min="409" max="412" width="4.7109375" style="157" customWidth="1"/>
    <col min="413" max="413" width="4.7109375" style="156" customWidth="1"/>
    <col min="414" max="414" width="8.7109375" style="156" customWidth="1"/>
    <col min="415" max="415" width="4.7109375" style="156" customWidth="1"/>
    <col min="416" max="416" width="8.7109375" style="156" customWidth="1"/>
    <col min="417" max="420" width="4.7109375" style="158" customWidth="1"/>
    <col min="421" max="421" width="8.7109375" style="156" customWidth="1"/>
    <col min="422" max="424" width="4.7109375" style="157" customWidth="1"/>
    <col min="425" max="425" width="4.7109375" style="156" customWidth="1"/>
    <col min="426" max="426" width="8.7109375" style="156" customWidth="1"/>
    <col min="427" max="430" width="4.7109375" style="157" customWidth="1"/>
    <col min="431" max="431" width="4.7109375" style="156" customWidth="1"/>
    <col min="432" max="432" width="8.7109375" style="156" customWidth="1"/>
    <col min="433" max="433" width="4.7109375" style="156" customWidth="1"/>
    <col min="434" max="434" width="8.7109375" style="156" customWidth="1"/>
    <col min="435" max="438" width="4.7109375" style="158" customWidth="1"/>
    <col min="439" max="439" width="8.7109375" style="156" customWidth="1"/>
    <col min="440" max="442" width="4.7109375" style="157" customWidth="1"/>
    <col min="443" max="443" width="4.7109375" style="156" customWidth="1"/>
    <col min="444" max="444" width="8.7109375" style="156" customWidth="1"/>
    <col min="445" max="448" width="4.7109375" style="157" customWidth="1"/>
    <col min="449" max="449" width="4.7109375" style="156" customWidth="1"/>
    <col min="450" max="450" width="8.7109375" style="156" customWidth="1"/>
    <col min="451" max="451" width="4.7109375" style="156" customWidth="1"/>
    <col min="452" max="452" width="8.7109375" style="156" customWidth="1"/>
    <col min="453" max="456" width="4.7109375" style="158" customWidth="1"/>
    <col min="457" max="457" width="8.7109375" style="156" customWidth="1"/>
    <col min="458" max="460" width="4.7109375" style="157" customWidth="1"/>
    <col min="461" max="461" width="4.7109375" style="156" customWidth="1"/>
    <col min="462" max="462" width="8.7109375" style="156" customWidth="1"/>
    <col min="463" max="466" width="4.7109375" style="157" customWidth="1"/>
    <col min="467" max="467" width="4.7109375" style="156" customWidth="1"/>
    <col min="468" max="468" width="8.7109375" style="156" customWidth="1"/>
    <col min="469" max="469" width="4.7109375" style="156" customWidth="1"/>
    <col min="470" max="470" width="8.7109375" style="156" customWidth="1"/>
    <col min="471" max="474" width="4.7109375" style="158" customWidth="1"/>
    <col min="475" max="475" width="8.7109375" style="156" customWidth="1"/>
    <col min="476" max="478" width="4.7109375" style="157" customWidth="1"/>
    <col min="479" max="479" width="4.7109375" style="156" customWidth="1"/>
    <col min="480" max="480" width="8.7109375" style="156" customWidth="1"/>
    <col min="481" max="484" width="4.7109375" style="157" customWidth="1"/>
    <col min="485" max="485" width="4.7109375" style="156" customWidth="1"/>
    <col min="486" max="486" width="8.7109375" style="156" customWidth="1"/>
    <col min="487" max="487" width="4.7109375" style="156" customWidth="1"/>
    <col min="488" max="488" width="8.7109375" style="156" customWidth="1"/>
    <col min="489" max="492" width="4.7109375" style="158" customWidth="1"/>
    <col min="493" max="493" width="8.7109375" style="156" customWidth="1"/>
    <col min="494" max="496" width="4.7109375" style="157" customWidth="1"/>
    <col min="497" max="497" width="4.7109375" style="156" customWidth="1"/>
    <col min="498" max="498" width="8.7109375" style="156" customWidth="1"/>
    <col min="499" max="501" width="4.7109375" style="157" customWidth="1"/>
    <col min="502" max="502" width="4.7109375" style="156" customWidth="1"/>
    <col min="503" max="503" width="8.7109375" style="156" customWidth="1"/>
    <col min="504" max="504" width="4.7109375" style="156" customWidth="1"/>
    <col min="505" max="505" width="8.7109375" style="156" customWidth="1"/>
    <col min="506" max="509" width="4.7109375" style="158" customWidth="1"/>
    <col min="510" max="510" width="8.7109375" style="156" customWidth="1"/>
    <col min="511" max="513" width="4.7109375" style="157" customWidth="1"/>
    <col min="514" max="514" width="4.7109375" style="156" customWidth="1"/>
    <col min="515" max="515" width="8.7109375" style="156" customWidth="1"/>
    <col min="516" max="518" width="4.7109375" style="157" customWidth="1"/>
    <col min="519" max="519" width="4.7109375" style="156" customWidth="1"/>
    <col min="520" max="520" width="8.7109375" style="156" customWidth="1"/>
    <col min="521" max="521" width="4.7109375" style="156" customWidth="1"/>
    <col min="522" max="522" width="8.7109375" style="156" customWidth="1"/>
    <col min="523" max="526" width="4.7109375" style="158" customWidth="1"/>
    <col min="527" max="527" width="8.7109375" style="156" customWidth="1"/>
    <col min="528" max="530" width="4.7109375" style="157" customWidth="1"/>
    <col min="531" max="531" width="4.7109375" style="156" customWidth="1"/>
    <col min="532" max="532" width="8.7109375" style="156" customWidth="1"/>
    <col min="533" max="535" width="4.7109375" style="157" customWidth="1"/>
    <col min="536" max="536" width="4.7109375" style="156" customWidth="1"/>
    <col min="537" max="537" width="8.7109375" style="156" customWidth="1"/>
    <col min="538" max="538" width="4.7109375" style="156" customWidth="1"/>
    <col min="539" max="539" width="8.7109375" style="156" customWidth="1"/>
    <col min="540" max="16384" width="5.7109375" style="83"/>
  </cols>
  <sheetData>
    <row r="1" spans="1:539" ht="18" customHeight="1" thickBot="1" x14ac:dyDescent="0.3">
      <c r="A1" s="232" t="s">
        <v>41</v>
      </c>
      <c r="B1" s="233"/>
      <c r="C1" s="169">
        <v>4</v>
      </c>
      <c r="D1" s="79"/>
      <c r="E1" s="79"/>
      <c r="F1" s="174"/>
      <c r="G1" s="175"/>
      <c r="H1" s="173"/>
      <c r="I1" s="81"/>
      <c r="J1" s="81"/>
      <c r="K1" s="175"/>
      <c r="L1" s="175"/>
      <c r="M1" s="173"/>
      <c r="N1" s="81"/>
      <c r="O1" s="81"/>
      <c r="P1" s="81"/>
      <c r="Q1" s="175"/>
      <c r="R1" s="175"/>
      <c r="S1" s="175"/>
      <c r="T1" s="196"/>
      <c r="U1" s="213">
        <f>C1+1</f>
        <v>5</v>
      </c>
      <c r="V1" s="79"/>
      <c r="W1" s="79"/>
      <c r="X1" s="174"/>
      <c r="Y1" s="175"/>
      <c r="Z1" s="173"/>
      <c r="AA1" s="81"/>
      <c r="AB1" s="81"/>
      <c r="AC1" s="175"/>
      <c r="AD1" s="175"/>
      <c r="AE1" s="173"/>
      <c r="AF1" s="81"/>
      <c r="AG1" s="81"/>
      <c r="AH1" s="81"/>
      <c r="AI1" s="175"/>
      <c r="AJ1" s="175"/>
      <c r="AK1" s="175"/>
      <c r="AL1" s="175"/>
      <c r="AM1" s="213">
        <f>U1+1</f>
        <v>6</v>
      </c>
      <c r="AN1" s="79"/>
      <c r="AO1" s="79"/>
      <c r="AP1" s="174"/>
      <c r="AQ1" s="175"/>
      <c r="AR1" s="173"/>
      <c r="AS1" s="81"/>
      <c r="AT1" s="81"/>
      <c r="AU1" s="175"/>
      <c r="AV1" s="175"/>
      <c r="AW1" s="173"/>
      <c r="AX1" s="81"/>
      <c r="AY1" s="81"/>
      <c r="AZ1" s="81"/>
      <c r="BA1" s="175"/>
      <c r="BB1" s="175"/>
      <c r="BC1" s="175"/>
      <c r="BD1" s="175"/>
      <c r="BE1" s="213">
        <f>AM1+1</f>
        <v>7</v>
      </c>
      <c r="BF1" s="79"/>
      <c r="BG1" s="79"/>
      <c r="BH1" s="174"/>
      <c r="BI1" s="175"/>
      <c r="BJ1" s="173"/>
      <c r="BK1" s="81"/>
      <c r="BL1" s="81"/>
      <c r="BM1" s="175"/>
      <c r="BN1" s="175"/>
      <c r="BO1" s="173"/>
      <c r="BP1" s="81"/>
      <c r="BQ1" s="81"/>
      <c r="BR1" s="81"/>
      <c r="BS1" s="175"/>
      <c r="BT1" s="175"/>
      <c r="BU1" s="175"/>
      <c r="BV1" s="175"/>
      <c r="BW1" s="213">
        <f>BE1+1</f>
        <v>8</v>
      </c>
      <c r="BX1" s="79"/>
      <c r="BY1" s="79"/>
      <c r="BZ1" s="174"/>
      <c r="CA1" s="175"/>
      <c r="CB1" s="173"/>
      <c r="CC1" s="81"/>
      <c r="CD1" s="81"/>
      <c r="CE1" s="175"/>
      <c r="CF1" s="175"/>
      <c r="CG1" s="173"/>
      <c r="CH1" s="81"/>
      <c r="CI1" s="81"/>
      <c r="CJ1" s="81"/>
      <c r="CK1" s="175"/>
      <c r="CL1" s="175"/>
      <c r="CM1" s="175"/>
      <c r="CN1" s="175"/>
      <c r="CO1" s="213">
        <f>BW1+1</f>
        <v>9</v>
      </c>
      <c r="CP1" s="79"/>
      <c r="CQ1" s="79"/>
      <c r="CR1" s="174"/>
      <c r="CS1" s="175"/>
      <c r="CT1" s="173"/>
      <c r="CU1" s="81"/>
      <c r="CV1" s="81"/>
      <c r="CW1" s="175"/>
      <c r="CX1" s="175"/>
      <c r="CY1" s="173"/>
      <c r="CZ1" s="81"/>
      <c r="DA1" s="81"/>
      <c r="DB1" s="81"/>
      <c r="DC1" s="175"/>
      <c r="DD1" s="175"/>
      <c r="DE1" s="175"/>
      <c r="DF1" s="175"/>
      <c r="DG1" s="213">
        <f>CO1+1</f>
        <v>10</v>
      </c>
      <c r="DH1" s="79"/>
      <c r="DI1" s="79"/>
      <c r="DJ1" s="174"/>
      <c r="DK1" s="175"/>
      <c r="DL1" s="173"/>
      <c r="DM1" s="81"/>
      <c r="DN1" s="81"/>
      <c r="DO1" s="175"/>
      <c r="DP1" s="175"/>
      <c r="DQ1" s="173"/>
      <c r="DR1" s="81"/>
      <c r="DS1" s="81"/>
      <c r="DT1" s="81"/>
      <c r="DU1" s="175"/>
      <c r="DV1" s="175"/>
      <c r="DW1" s="175"/>
      <c r="DX1" s="175"/>
      <c r="DY1" s="213">
        <f>DG1+1</f>
        <v>11</v>
      </c>
      <c r="DZ1" s="79"/>
      <c r="EA1" s="79"/>
      <c r="EB1" s="174"/>
      <c r="EC1" s="175"/>
      <c r="ED1" s="173"/>
      <c r="EE1" s="81"/>
      <c r="EF1" s="81"/>
      <c r="EG1" s="175"/>
      <c r="EH1" s="175"/>
      <c r="EI1" s="173"/>
      <c r="EJ1" s="81"/>
      <c r="EK1" s="81"/>
      <c r="EL1" s="81"/>
      <c r="EM1" s="175"/>
      <c r="EN1" s="175"/>
      <c r="EO1" s="175"/>
      <c r="EP1" s="175"/>
      <c r="EQ1" s="213">
        <f>DY1+1</f>
        <v>12</v>
      </c>
      <c r="ER1" s="79"/>
      <c r="ES1" s="79"/>
      <c r="ET1" s="174"/>
      <c r="EU1" s="175"/>
      <c r="EV1" s="173"/>
      <c r="EW1" s="81"/>
      <c r="EX1" s="81"/>
      <c r="EY1" s="175"/>
      <c r="EZ1" s="175"/>
      <c r="FA1" s="173"/>
      <c r="FB1" s="81"/>
      <c r="FC1" s="81"/>
      <c r="FD1" s="81"/>
      <c r="FE1" s="175"/>
      <c r="FF1" s="175"/>
      <c r="FG1" s="175"/>
      <c r="FH1" s="175"/>
      <c r="FI1" s="213">
        <f>EQ1+1</f>
        <v>13</v>
      </c>
      <c r="FJ1" s="79"/>
      <c r="FK1" s="79"/>
      <c r="FL1" s="174"/>
      <c r="FM1" s="175"/>
      <c r="FN1" s="173"/>
      <c r="FO1" s="81"/>
      <c r="FP1" s="81"/>
      <c r="FQ1" s="175"/>
      <c r="FR1" s="175"/>
      <c r="FS1" s="173"/>
      <c r="FT1" s="81"/>
      <c r="FU1" s="81"/>
      <c r="FV1" s="81"/>
      <c r="FW1" s="175"/>
      <c r="FX1" s="175"/>
      <c r="FY1" s="175"/>
      <c r="FZ1" s="175"/>
      <c r="GA1" s="213">
        <f>FI1+1</f>
        <v>14</v>
      </c>
      <c r="GB1" s="79"/>
      <c r="GC1" s="79"/>
      <c r="GD1" s="174"/>
      <c r="GE1" s="175"/>
      <c r="GF1" s="173"/>
      <c r="GG1" s="81"/>
      <c r="GH1" s="81"/>
      <c r="GI1" s="175"/>
      <c r="GJ1" s="175"/>
      <c r="GK1" s="173"/>
      <c r="GL1" s="81"/>
      <c r="GM1" s="81"/>
      <c r="GN1" s="81"/>
      <c r="GO1" s="175"/>
      <c r="GP1" s="175"/>
      <c r="GQ1" s="175"/>
      <c r="GR1" s="175"/>
      <c r="GS1" s="213">
        <f>GA1+1</f>
        <v>15</v>
      </c>
      <c r="GT1" s="79"/>
      <c r="GU1" s="79"/>
      <c r="GV1" s="174"/>
      <c r="GW1" s="175"/>
      <c r="GX1" s="173"/>
      <c r="GY1" s="81"/>
      <c r="GZ1" s="81"/>
      <c r="HA1" s="175"/>
      <c r="HB1" s="175"/>
      <c r="HC1" s="173"/>
      <c r="HD1" s="81"/>
      <c r="HE1" s="81"/>
      <c r="HF1" s="81"/>
      <c r="HG1" s="175"/>
      <c r="HH1" s="175"/>
      <c r="HI1" s="175"/>
      <c r="HJ1" s="175"/>
      <c r="HK1" s="213">
        <f>GS1+1</f>
        <v>16</v>
      </c>
      <c r="HL1" s="79"/>
      <c r="HM1" s="79"/>
      <c r="HN1" s="174"/>
      <c r="HO1" s="175"/>
      <c r="HP1" s="173"/>
      <c r="HQ1" s="81"/>
      <c r="HR1" s="81"/>
      <c r="HS1" s="175"/>
      <c r="HT1" s="175"/>
      <c r="HU1" s="173"/>
      <c r="HV1" s="81"/>
      <c r="HW1" s="81"/>
      <c r="HX1" s="81"/>
      <c r="HY1" s="175"/>
      <c r="HZ1" s="175"/>
      <c r="IA1" s="175"/>
      <c r="IB1" s="175"/>
      <c r="IC1" s="213">
        <f>HK1+1</f>
        <v>17</v>
      </c>
      <c r="ID1" s="79"/>
      <c r="IE1" s="79"/>
      <c r="IF1" s="174"/>
      <c r="IG1" s="175"/>
      <c r="IH1" s="173"/>
      <c r="II1" s="81"/>
      <c r="IJ1" s="81"/>
      <c r="IK1" s="175"/>
      <c r="IL1" s="175"/>
      <c r="IM1" s="173"/>
      <c r="IN1" s="81"/>
      <c r="IO1" s="81"/>
      <c r="IP1" s="81"/>
      <c r="IQ1" s="175"/>
      <c r="IR1" s="175"/>
      <c r="IS1" s="175"/>
      <c r="IT1" s="175"/>
      <c r="IU1" s="213">
        <f>IC1+1</f>
        <v>18</v>
      </c>
      <c r="IV1" s="79"/>
      <c r="IW1" s="79"/>
      <c r="IX1" s="174"/>
      <c r="IY1" s="175"/>
      <c r="IZ1" s="173"/>
      <c r="JA1" s="81"/>
      <c r="JB1" s="81"/>
      <c r="JC1" s="175"/>
      <c r="JD1" s="175"/>
      <c r="JE1" s="173"/>
      <c r="JF1" s="81"/>
      <c r="JG1" s="81"/>
      <c r="JH1" s="81"/>
      <c r="JI1" s="175"/>
      <c r="JJ1" s="175"/>
      <c r="JK1" s="175"/>
      <c r="JL1" s="175"/>
      <c r="JM1" s="213">
        <f>IU1+1</f>
        <v>19</v>
      </c>
      <c r="JN1" s="79"/>
      <c r="JO1" s="79"/>
      <c r="JP1" s="174"/>
      <c r="JQ1" s="175"/>
      <c r="JR1" s="173"/>
      <c r="JS1" s="81"/>
      <c r="JT1" s="81"/>
      <c r="JU1" s="175"/>
      <c r="JV1" s="175"/>
      <c r="JW1" s="173"/>
      <c r="JX1" s="81"/>
      <c r="JY1" s="81"/>
      <c r="JZ1" s="81"/>
      <c r="KA1" s="175"/>
      <c r="KB1" s="175"/>
      <c r="KC1" s="175"/>
      <c r="KD1" s="175"/>
      <c r="KE1" s="213">
        <f>JM1+1</f>
        <v>20</v>
      </c>
      <c r="KF1" s="79"/>
      <c r="KG1" s="79"/>
      <c r="KH1" s="174"/>
      <c r="KI1" s="175"/>
      <c r="KJ1" s="173"/>
      <c r="KK1" s="81"/>
      <c r="KL1" s="81"/>
      <c r="KM1" s="175"/>
      <c r="KN1" s="175"/>
      <c r="KO1" s="173"/>
      <c r="KP1" s="81"/>
      <c r="KQ1" s="81"/>
      <c r="KR1" s="81"/>
      <c r="KS1" s="175"/>
      <c r="KT1" s="175"/>
      <c r="KU1" s="175"/>
      <c r="KV1" s="175"/>
      <c r="KW1" s="213">
        <f>KE1+1</f>
        <v>21</v>
      </c>
      <c r="KX1" s="79"/>
      <c r="KY1" s="79"/>
      <c r="KZ1" s="174"/>
      <c r="LA1" s="175"/>
      <c r="LB1" s="173"/>
      <c r="LC1" s="81"/>
      <c r="LD1" s="81"/>
      <c r="LE1" s="175"/>
      <c r="LF1" s="175"/>
      <c r="LG1" s="173"/>
      <c r="LH1" s="81"/>
      <c r="LI1" s="81"/>
      <c r="LJ1" s="81"/>
      <c r="LK1" s="175"/>
      <c r="LL1" s="175"/>
      <c r="LM1" s="175"/>
      <c r="LN1" s="175"/>
      <c r="LO1" s="213">
        <f>KW1+1</f>
        <v>22</v>
      </c>
      <c r="LP1" s="79"/>
      <c r="LQ1" s="79"/>
      <c r="LR1" s="174"/>
      <c r="LS1" s="175"/>
      <c r="LT1" s="173"/>
      <c r="LU1" s="81"/>
      <c r="LV1" s="81"/>
      <c r="LW1" s="175"/>
      <c r="LX1" s="175"/>
      <c r="LY1" s="173"/>
      <c r="LZ1" s="81"/>
      <c r="MA1" s="81"/>
      <c r="MB1" s="81"/>
      <c r="MC1" s="175"/>
      <c r="MD1" s="175"/>
      <c r="ME1" s="175"/>
      <c r="MF1" s="175"/>
      <c r="MG1" s="213">
        <f>LO1+1</f>
        <v>23</v>
      </c>
      <c r="MH1" s="79"/>
      <c r="MI1" s="79"/>
      <c r="MJ1" s="174"/>
      <c r="MK1" s="175"/>
      <c r="ML1" s="173"/>
      <c r="MM1" s="81"/>
      <c r="MN1" s="81"/>
      <c r="MO1" s="175"/>
      <c r="MP1" s="175"/>
      <c r="MQ1" s="173"/>
      <c r="MR1" s="81"/>
      <c r="MS1" s="81"/>
      <c r="MT1" s="81"/>
      <c r="MU1" s="175"/>
      <c r="MV1" s="175"/>
      <c r="MW1" s="175"/>
      <c r="MX1" s="175"/>
      <c r="MY1" s="213">
        <f>MG1+1</f>
        <v>24</v>
      </c>
      <c r="MZ1" s="79"/>
      <c r="NA1" s="79"/>
      <c r="NB1" s="174"/>
      <c r="NC1" s="175"/>
      <c r="ND1" s="173"/>
      <c r="NE1" s="81"/>
      <c r="NF1" s="81"/>
      <c r="NG1" s="175"/>
      <c r="NH1" s="175"/>
      <c r="NI1" s="173"/>
      <c r="NJ1" s="81"/>
      <c r="NK1" s="81"/>
      <c r="NL1" s="81"/>
      <c r="NM1" s="175"/>
      <c r="NN1" s="175"/>
      <c r="NO1" s="175"/>
      <c r="NP1" s="175"/>
      <c r="NQ1" s="213">
        <f>MY1+1</f>
        <v>25</v>
      </c>
      <c r="NR1" s="79"/>
      <c r="NS1" s="79"/>
      <c r="NT1" s="174"/>
      <c r="NU1" s="175"/>
      <c r="NV1" s="173"/>
      <c r="NW1" s="81"/>
      <c r="NX1" s="81"/>
      <c r="NY1" s="175"/>
      <c r="NZ1" s="175"/>
      <c r="OA1" s="173"/>
      <c r="OB1" s="81"/>
      <c r="OC1" s="81"/>
      <c r="OD1" s="81"/>
      <c r="OE1" s="175"/>
      <c r="OF1" s="175"/>
      <c r="OG1" s="175"/>
      <c r="OH1" s="175"/>
      <c r="OI1" s="213">
        <f>NQ1+1</f>
        <v>26</v>
      </c>
      <c r="OJ1" s="79"/>
      <c r="OK1" s="79"/>
      <c r="OL1" s="174"/>
      <c r="OM1" s="175"/>
      <c r="ON1" s="173"/>
      <c r="OO1" s="81"/>
      <c r="OP1" s="81"/>
      <c r="OQ1" s="175"/>
      <c r="OR1" s="175"/>
      <c r="OS1" s="173"/>
      <c r="OT1" s="81"/>
      <c r="OU1" s="81"/>
      <c r="OV1" s="81"/>
      <c r="OW1" s="175"/>
      <c r="OX1" s="175"/>
      <c r="OY1" s="175"/>
      <c r="OZ1" s="175"/>
      <c r="PA1" s="213">
        <f>OI1+1</f>
        <v>27</v>
      </c>
      <c r="PB1" s="79"/>
      <c r="PC1" s="79"/>
      <c r="PD1" s="174"/>
      <c r="PE1" s="175"/>
      <c r="PF1" s="173"/>
      <c r="PG1" s="81"/>
      <c r="PH1" s="81"/>
      <c r="PI1" s="175"/>
      <c r="PJ1" s="175"/>
      <c r="PK1" s="173"/>
      <c r="PL1" s="81"/>
      <c r="PM1" s="81"/>
      <c r="PN1" s="81"/>
      <c r="PO1" s="175"/>
      <c r="PP1" s="175"/>
      <c r="PQ1" s="175"/>
      <c r="PR1" s="175"/>
      <c r="PS1" s="213">
        <f>PA1+1</f>
        <v>28</v>
      </c>
      <c r="PT1" s="79"/>
      <c r="PU1" s="79"/>
      <c r="PV1" s="174"/>
      <c r="PW1" s="175"/>
      <c r="PX1" s="173"/>
      <c r="PY1" s="81"/>
      <c r="PZ1" s="81"/>
      <c r="QA1" s="175"/>
      <c r="QB1" s="175"/>
      <c r="QC1" s="173"/>
      <c r="QD1" s="81"/>
      <c r="QE1" s="81"/>
      <c r="QF1" s="81"/>
      <c r="QG1" s="175"/>
      <c r="QH1" s="175"/>
      <c r="QI1" s="175"/>
      <c r="QJ1" s="175"/>
      <c r="QK1" s="213">
        <f>PS1+1</f>
        <v>29</v>
      </c>
      <c r="QL1" s="79"/>
      <c r="QM1" s="79"/>
      <c r="QN1" s="174"/>
      <c r="QO1" s="175"/>
      <c r="QP1" s="173"/>
      <c r="QQ1" s="81"/>
      <c r="QR1" s="81"/>
      <c r="QS1" s="175"/>
      <c r="QT1" s="175"/>
      <c r="QU1" s="173"/>
      <c r="QV1" s="81"/>
      <c r="QW1" s="81"/>
      <c r="QX1" s="81"/>
      <c r="QY1" s="175"/>
      <c r="QZ1" s="175"/>
      <c r="RA1" s="175"/>
      <c r="RB1" s="175"/>
      <c r="RC1" s="213">
        <f>QK1+1</f>
        <v>30</v>
      </c>
      <c r="RD1" s="79"/>
      <c r="RE1" s="79"/>
      <c r="RF1" s="174"/>
      <c r="RG1" s="175"/>
      <c r="RH1" s="173"/>
      <c r="RI1" s="81"/>
      <c r="RJ1" s="81"/>
      <c r="RK1" s="175"/>
      <c r="RL1" s="175"/>
      <c r="RM1" s="173"/>
      <c r="RN1" s="81"/>
      <c r="RO1" s="81"/>
      <c r="RP1" s="81"/>
      <c r="RQ1" s="175"/>
      <c r="RR1" s="175"/>
      <c r="RS1" s="175"/>
      <c r="RT1" s="175"/>
      <c r="RU1" s="82">
        <f>RC1+1</f>
        <v>31</v>
      </c>
      <c r="RV1" s="79"/>
      <c r="RW1" s="79"/>
      <c r="RX1" s="79"/>
      <c r="RY1" s="80"/>
      <c r="RZ1" s="81"/>
      <c r="SA1" s="81"/>
      <c r="SB1" s="81"/>
      <c r="SC1" s="80"/>
      <c r="SD1" s="80"/>
      <c r="SE1" s="81"/>
      <c r="SF1" s="81"/>
      <c r="SG1" s="81"/>
      <c r="SH1" s="80"/>
      <c r="SI1" s="80"/>
      <c r="SJ1" s="80"/>
      <c r="SK1" s="80"/>
      <c r="SL1" s="82">
        <f>RU1+1</f>
        <v>32</v>
      </c>
      <c r="SM1" s="79"/>
      <c r="SN1" s="79"/>
      <c r="SO1" s="79"/>
      <c r="SP1" s="80"/>
      <c r="SQ1" s="81"/>
      <c r="SR1" s="81"/>
      <c r="SS1" s="81"/>
      <c r="ST1" s="80"/>
      <c r="SU1" s="80"/>
      <c r="SV1" s="81"/>
      <c r="SW1" s="81"/>
      <c r="SX1" s="81"/>
      <c r="SY1" s="80"/>
      <c r="SZ1" s="80"/>
      <c r="TA1" s="80"/>
      <c r="TB1" s="80"/>
      <c r="TC1" s="82">
        <f>SL1+1</f>
        <v>33</v>
      </c>
      <c r="TD1" s="79"/>
      <c r="TE1" s="79"/>
      <c r="TF1" s="79"/>
      <c r="TG1" s="80"/>
      <c r="TH1" s="81"/>
      <c r="TI1" s="81"/>
      <c r="TJ1" s="81"/>
      <c r="TK1" s="80"/>
      <c r="TL1" s="80"/>
      <c r="TM1" s="81"/>
      <c r="TN1" s="81"/>
      <c r="TO1" s="81"/>
      <c r="TP1" s="80"/>
      <c r="TQ1" s="80"/>
      <c r="TR1" s="80"/>
      <c r="TS1" s="80"/>
    </row>
    <row r="2" spans="1:539" ht="60" customHeight="1" thickBot="1" x14ac:dyDescent="0.3">
      <c r="A2" s="159" t="s">
        <v>40</v>
      </c>
      <c r="B2" s="160" t="s">
        <v>201</v>
      </c>
      <c r="C2" s="170" t="str">
        <f ca="1">IF(CELL("contenu",INDIRECT(ADDRESS(C1,1,1,1,CELL("contenu",$B$2))))="","----",CELL("contenu",INDIRECT(ADDRESS(C1,1,1,1,CELL("contenu",$B$2)))))</f>
        <v>ATFA Hadi</v>
      </c>
      <c r="D2" s="168"/>
      <c r="E2" s="168"/>
      <c r="F2" s="170"/>
      <c r="G2" s="170"/>
      <c r="H2" s="170"/>
      <c r="I2" s="168"/>
      <c r="J2" s="168"/>
      <c r="K2" s="170"/>
      <c r="L2" s="170"/>
      <c r="M2" s="170"/>
      <c r="N2" s="168"/>
      <c r="O2" s="168"/>
      <c r="P2" s="168"/>
      <c r="Q2" s="170"/>
      <c r="R2" s="170"/>
      <c r="S2" s="170"/>
      <c r="T2" s="197"/>
      <c r="U2" s="170" t="str">
        <f ca="1">IF(CELL("contenu",INDIRECT(ADDRESS(U1,1,1,1,CELL("contenu",$B$2))))="","----",CELL("contenu",INDIRECT(ADDRESS(U1,1,1,1,CELL("contenu",$B$2)))))</f>
        <v>AUCHERES Louise</v>
      </c>
      <c r="V2" s="168"/>
      <c r="W2" s="168"/>
      <c r="X2" s="170"/>
      <c r="Y2" s="170"/>
      <c r="Z2" s="170"/>
      <c r="AA2" s="168"/>
      <c r="AB2" s="168"/>
      <c r="AC2" s="170"/>
      <c r="AD2" s="170"/>
      <c r="AE2" s="170"/>
      <c r="AF2" s="168"/>
      <c r="AG2" s="168"/>
      <c r="AH2" s="168"/>
      <c r="AI2" s="170"/>
      <c r="AJ2" s="170"/>
      <c r="AK2" s="170"/>
      <c r="AL2" s="197"/>
      <c r="AM2" s="170" t="str">
        <f ca="1">IF(CELL("contenu",INDIRECT(ADDRESS(AM1,1,1,1,CELL("contenu",$B$2))))="","----",CELL("contenu",INDIRECT(ADDRESS(AM1,1,1,1,CELL("contenu",$B$2)))))</f>
        <v>BENOIST Constance</v>
      </c>
      <c r="AN2" s="168"/>
      <c r="AO2" s="168"/>
      <c r="AP2" s="170"/>
      <c r="AQ2" s="170"/>
      <c r="AR2" s="170"/>
      <c r="AS2" s="168"/>
      <c r="AT2" s="168"/>
      <c r="AU2" s="170"/>
      <c r="AV2" s="170"/>
      <c r="AW2" s="170"/>
      <c r="AX2" s="168"/>
      <c r="AY2" s="168"/>
      <c r="AZ2" s="168"/>
      <c r="BA2" s="170"/>
      <c r="BB2" s="170"/>
      <c r="BC2" s="170"/>
      <c r="BD2" s="197"/>
      <c r="BE2" s="170" t="str">
        <f ca="1">IF(CELL("contenu",INDIRECT(ADDRESS(BE1,1,1,1,CELL("contenu",$B$2))))="","----",CELL("contenu",INDIRECT(ADDRESS(BE1,1,1,1,CELL("contenu",$B$2)))))</f>
        <v>BOURGANEL Carla-Marie</v>
      </c>
      <c r="BF2" s="168"/>
      <c r="BG2" s="168"/>
      <c r="BH2" s="170"/>
      <c r="BI2" s="170"/>
      <c r="BJ2" s="170"/>
      <c r="BK2" s="168"/>
      <c r="BL2" s="168"/>
      <c r="BM2" s="170"/>
      <c r="BN2" s="170"/>
      <c r="BO2" s="170"/>
      <c r="BP2" s="168"/>
      <c r="BQ2" s="168"/>
      <c r="BR2" s="168"/>
      <c r="BS2" s="170"/>
      <c r="BT2" s="170"/>
      <c r="BU2" s="170"/>
      <c r="BV2" s="197"/>
      <c r="BW2" s="170" t="str">
        <f ca="1">IF(CELL("contenu",INDIRECT(ADDRESS(BW1,1,1,1,CELL("contenu",$B$2))))="","----",CELL("contenu",INDIRECT(ADDRESS(BW1,1,1,1,CELL("contenu",$B$2)))))</f>
        <v>BRUN Tehina</v>
      </c>
      <c r="BX2" s="168"/>
      <c r="BY2" s="168"/>
      <c r="BZ2" s="170"/>
      <c r="CA2" s="170"/>
      <c r="CB2" s="170"/>
      <c r="CC2" s="168"/>
      <c r="CD2" s="168"/>
      <c r="CE2" s="170"/>
      <c r="CF2" s="170"/>
      <c r="CG2" s="170"/>
      <c r="CH2" s="168"/>
      <c r="CI2" s="168"/>
      <c r="CJ2" s="168"/>
      <c r="CK2" s="170"/>
      <c r="CL2" s="170"/>
      <c r="CM2" s="170"/>
      <c r="CN2" s="197"/>
      <c r="CO2" s="170" t="str">
        <f ca="1">IF(CELL("contenu",INDIRECT(ADDRESS(CO1,1,1,1,CELL("contenu",$B$2))))="","----",CELL("contenu",INDIRECT(ADDRESS(CO1,1,1,1,CELL("contenu",$B$2)))))</f>
        <v>CHAMBAY Juliette</v>
      </c>
      <c r="CP2" s="168"/>
      <c r="CQ2" s="168"/>
      <c r="CR2" s="170"/>
      <c r="CS2" s="170"/>
      <c r="CT2" s="170"/>
      <c r="CU2" s="168"/>
      <c r="CV2" s="168"/>
      <c r="CW2" s="170"/>
      <c r="CX2" s="170"/>
      <c r="CY2" s="170"/>
      <c r="CZ2" s="168"/>
      <c r="DA2" s="168"/>
      <c r="DB2" s="168"/>
      <c r="DC2" s="170"/>
      <c r="DD2" s="170"/>
      <c r="DE2" s="170"/>
      <c r="DF2" s="197"/>
      <c r="DG2" s="170" t="str">
        <f ca="1">IF(CELL("contenu",INDIRECT(ADDRESS(DG1,1,1,1,CELL("contenu",$B$2))))="","----",CELL("contenu",INDIRECT(ADDRESS(DG1,1,1,1,CELL("contenu",$B$2)))))</f>
        <v>CHAUMET-PITROIS Pierre-Antoine</v>
      </c>
      <c r="DH2" s="168"/>
      <c r="DI2" s="168"/>
      <c r="DJ2" s="170"/>
      <c r="DK2" s="170"/>
      <c r="DL2" s="170"/>
      <c r="DM2" s="168"/>
      <c r="DN2" s="168"/>
      <c r="DO2" s="170"/>
      <c r="DP2" s="170"/>
      <c r="DQ2" s="170"/>
      <c r="DR2" s="168"/>
      <c r="DS2" s="168"/>
      <c r="DT2" s="168"/>
      <c r="DU2" s="170"/>
      <c r="DV2" s="170"/>
      <c r="DW2" s="170"/>
      <c r="DX2" s="197"/>
      <c r="DY2" s="170" t="str">
        <f ca="1">IF(CELL("contenu",INDIRECT(ADDRESS(DY1,1,1,1,CELL("contenu",$B$2))))="","----",CELL("contenu",INDIRECT(ADDRESS(DY1,1,1,1,CELL("contenu",$B$2)))))</f>
        <v>COSTA Agathe</v>
      </c>
      <c r="DZ2" s="168"/>
      <c r="EA2" s="168"/>
      <c r="EB2" s="170"/>
      <c r="EC2" s="170"/>
      <c r="ED2" s="170"/>
      <c r="EE2" s="168"/>
      <c r="EF2" s="168"/>
      <c r="EG2" s="170"/>
      <c r="EH2" s="170"/>
      <c r="EI2" s="170"/>
      <c r="EJ2" s="168"/>
      <c r="EK2" s="168"/>
      <c r="EL2" s="168"/>
      <c r="EM2" s="170"/>
      <c r="EN2" s="170"/>
      <c r="EO2" s="170"/>
      <c r="EP2" s="197"/>
      <c r="EQ2" s="170" t="str">
        <f ca="1">IF(CELL("contenu",INDIRECT(ADDRESS(EQ1,1,1,1,CELL("contenu",$B$2))))="","----",CELL("contenu",INDIRECT(ADDRESS(EQ1,1,1,1,CELL("contenu",$B$2)))))</f>
        <v>DE FRANCE Ambroise</v>
      </c>
      <c r="ER2" s="168"/>
      <c r="ES2" s="168"/>
      <c r="ET2" s="170"/>
      <c r="EU2" s="170"/>
      <c r="EV2" s="170"/>
      <c r="EW2" s="168"/>
      <c r="EX2" s="168"/>
      <c r="EY2" s="170"/>
      <c r="EZ2" s="170"/>
      <c r="FA2" s="170"/>
      <c r="FB2" s="168"/>
      <c r="FC2" s="168"/>
      <c r="FD2" s="168"/>
      <c r="FE2" s="170"/>
      <c r="FF2" s="170"/>
      <c r="FG2" s="170"/>
      <c r="FH2" s="197"/>
      <c r="FI2" s="170" t="str">
        <f ca="1">IF(CELL("contenu",INDIRECT(ADDRESS(FI1,1,1,1,CELL("contenu",$B$2))))="","----",CELL("contenu",INDIRECT(ADDRESS(FI1,1,1,1,CELL("contenu",$B$2)))))</f>
        <v>DE LATOUR Thibault</v>
      </c>
      <c r="FJ2" s="168"/>
      <c r="FK2" s="168"/>
      <c r="FL2" s="170"/>
      <c r="FM2" s="170"/>
      <c r="FN2" s="170"/>
      <c r="FO2" s="168"/>
      <c r="FP2" s="168"/>
      <c r="FQ2" s="170"/>
      <c r="FR2" s="170"/>
      <c r="FS2" s="170"/>
      <c r="FT2" s="168"/>
      <c r="FU2" s="168"/>
      <c r="FV2" s="168"/>
      <c r="FW2" s="170"/>
      <c r="FX2" s="170"/>
      <c r="FY2" s="170"/>
      <c r="FZ2" s="197"/>
      <c r="GA2" s="170" t="str">
        <f ca="1">IF(CELL("contenu",INDIRECT(ADDRESS(GA1,1,1,1,CELL("contenu",$B$2))))="","----",CELL("contenu",INDIRECT(ADDRESS(GA1,1,1,1,CELL("contenu",$B$2)))))</f>
        <v>DURVAUX Jeanne</v>
      </c>
      <c r="GB2" s="168"/>
      <c r="GC2" s="168"/>
      <c r="GD2" s="170"/>
      <c r="GE2" s="170"/>
      <c r="GF2" s="170"/>
      <c r="GG2" s="168"/>
      <c r="GH2" s="168"/>
      <c r="GI2" s="170"/>
      <c r="GJ2" s="170"/>
      <c r="GK2" s="170"/>
      <c r="GL2" s="168"/>
      <c r="GM2" s="168"/>
      <c r="GN2" s="168"/>
      <c r="GO2" s="170"/>
      <c r="GP2" s="170"/>
      <c r="GQ2" s="170"/>
      <c r="GR2" s="197"/>
      <c r="GS2" s="170" t="str">
        <f ca="1">IF(CELL("contenu",INDIRECT(ADDRESS(GS1,1,1,1,CELL("contenu",$B$2))))="","----",CELL("contenu",INDIRECT(ADDRESS(GS1,1,1,1,CELL("contenu",$B$2)))))</f>
        <v>ESTOURNET Paul</v>
      </c>
      <c r="GT2" s="168"/>
      <c r="GU2" s="168"/>
      <c r="GV2" s="170"/>
      <c r="GW2" s="170"/>
      <c r="GX2" s="170"/>
      <c r="GY2" s="168"/>
      <c r="GZ2" s="168"/>
      <c r="HA2" s="170"/>
      <c r="HB2" s="170"/>
      <c r="HC2" s="170"/>
      <c r="HD2" s="168"/>
      <c r="HE2" s="168"/>
      <c r="HF2" s="168"/>
      <c r="HG2" s="170"/>
      <c r="HH2" s="170"/>
      <c r="HI2" s="170"/>
      <c r="HJ2" s="197"/>
      <c r="HK2" s="170" t="str">
        <f ca="1">IF(CELL("contenu",INDIRECT(ADDRESS(HK1,1,1,1,CELL("contenu",$B$2))))="","----",CELL("contenu",INDIRECT(ADDRESS(HK1,1,1,1,CELL("contenu",$B$2)))))</f>
        <v>FANOUS Juliano</v>
      </c>
      <c r="HL2" s="168"/>
      <c r="HM2" s="168"/>
      <c r="HN2" s="170"/>
      <c r="HO2" s="170"/>
      <c r="HP2" s="170"/>
      <c r="HQ2" s="168"/>
      <c r="HR2" s="168"/>
      <c r="HS2" s="170"/>
      <c r="HT2" s="170"/>
      <c r="HU2" s="170"/>
      <c r="HV2" s="168"/>
      <c r="HW2" s="168"/>
      <c r="HX2" s="168"/>
      <c r="HY2" s="170"/>
      <c r="HZ2" s="170"/>
      <c r="IA2" s="170"/>
      <c r="IB2" s="197"/>
      <c r="IC2" s="170" t="str">
        <f ca="1">IF(CELL("contenu",INDIRECT(ADDRESS(IC1,1,1,1,CELL("contenu",$B$2))))="","----",CELL("contenu",INDIRECT(ADDRESS(IC1,1,1,1,CELL("contenu",$B$2)))))</f>
        <v>GATINE Nicolas</v>
      </c>
      <c r="ID2" s="168"/>
      <c r="IE2" s="168"/>
      <c r="IF2" s="170"/>
      <c r="IG2" s="170"/>
      <c r="IH2" s="170"/>
      <c r="II2" s="168"/>
      <c r="IJ2" s="168"/>
      <c r="IK2" s="170"/>
      <c r="IL2" s="170"/>
      <c r="IM2" s="170"/>
      <c r="IN2" s="168"/>
      <c r="IO2" s="168"/>
      <c r="IP2" s="168"/>
      <c r="IQ2" s="170"/>
      <c r="IR2" s="170"/>
      <c r="IS2" s="170"/>
      <c r="IT2" s="197"/>
      <c r="IU2" s="170" t="str">
        <f ca="1">IF(CELL("contenu",INDIRECT(ADDRESS(IU1,1,1,1,CELL("contenu",$B$2))))="","----",CELL("contenu",INDIRECT(ADDRESS(IU1,1,1,1,CELL("contenu",$B$2)))))</f>
        <v>GUIMET Hugo</v>
      </c>
      <c r="IV2" s="168"/>
      <c r="IW2" s="168"/>
      <c r="IX2" s="170"/>
      <c r="IY2" s="170"/>
      <c r="IZ2" s="170"/>
      <c r="JA2" s="168"/>
      <c r="JB2" s="168"/>
      <c r="JC2" s="170"/>
      <c r="JD2" s="170"/>
      <c r="JE2" s="170"/>
      <c r="JF2" s="168"/>
      <c r="JG2" s="168"/>
      <c r="JH2" s="168"/>
      <c r="JI2" s="170"/>
      <c r="JJ2" s="170"/>
      <c r="JK2" s="170"/>
      <c r="JL2" s="197"/>
      <c r="JM2" s="170" t="str">
        <f ca="1">IF(CELL("contenu",INDIRECT(ADDRESS(JM1,1,1,1,CELL("contenu",$B$2))))="","----",CELL("contenu",INDIRECT(ADDRESS(JM1,1,1,1,CELL("contenu",$B$2)))))</f>
        <v>JAUZENQUE Helene</v>
      </c>
      <c r="JN2" s="168"/>
      <c r="JO2" s="168"/>
      <c r="JP2" s="170"/>
      <c r="JQ2" s="170"/>
      <c r="JR2" s="170"/>
      <c r="JS2" s="168"/>
      <c r="JT2" s="168"/>
      <c r="JU2" s="170"/>
      <c r="JV2" s="170"/>
      <c r="JW2" s="170"/>
      <c r="JX2" s="168"/>
      <c r="JY2" s="168"/>
      <c r="JZ2" s="168"/>
      <c r="KA2" s="170"/>
      <c r="KB2" s="170"/>
      <c r="KC2" s="170"/>
      <c r="KD2" s="197"/>
      <c r="KE2" s="170" t="str">
        <f ca="1">IF(CELL("contenu",INDIRECT(ADDRESS(KE1,1,1,1,CELL("contenu",$B$2))))="","----",CELL("contenu",INDIRECT(ADDRESS(KE1,1,1,1,CELL("contenu",$B$2)))))</f>
        <v>LANGLOIS Capucine</v>
      </c>
      <c r="KF2" s="168"/>
      <c r="KG2" s="168"/>
      <c r="KH2" s="170"/>
      <c r="KI2" s="170"/>
      <c r="KJ2" s="170"/>
      <c r="KK2" s="168"/>
      <c r="KL2" s="168"/>
      <c r="KM2" s="170"/>
      <c r="KN2" s="170"/>
      <c r="KO2" s="170"/>
      <c r="KP2" s="168"/>
      <c r="KQ2" s="168"/>
      <c r="KR2" s="168"/>
      <c r="KS2" s="170"/>
      <c r="KT2" s="170"/>
      <c r="KU2" s="170"/>
      <c r="KV2" s="197"/>
      <c r="KW2" s="170" t="str">
        <f ca="1">IF(CELL("contenu",INDIRECT(ADDRESS(KW1,1,1,1,CELL("contenu",$B$2))))="","----",CELL("contenu",INDIRECT(ADDRESS(KW1,1,1,1,CELL("contenu",$B$2)))))</f>
        <v>LE CANN Jean-Baptiste</v>
      </c>
      <c r="KX2" s="168"/>
      <c r="KY2" s="168"/>
      <c r="KZ2" s="170"/>
      <c r="LA2" s="170"/>
      <c r="LB2" s="170"/>
      <c r="LC2" s="168"/>
      <c r="LD2" s="168"/>
      <c r="LE2" s="170"/>
      <c r="LF2" s="170"/>
      <c r="LG2" s="170"/>
      <c r="LH2" s="168"/>
      <c r="LI2" s="168"/>
      <c r="LJ2" s="168"/>
      <c r="LK2" s="170"/>
      <c r="LL2" s="170"/>
      <c r="LM2" s="170"/>
      <c r="LN2" s="197"/>
      <c r="LO2" s="170" t="str">
        <f ca="1">IF(CELL("contenu",INDIRECT(ADDRESS(LO1,1,1,1,CELL("contenu",$B$2))))="","----",CELL("contenu",INDIRECT(ADDRESS(LO1,1,1,1,CELL("contenu",$B$2)))))</f>
        <v>LE DIEU DE VILLE Solene</v>
      </c>
      <c r="LP2" s="168"/>
      <c r="LQ2" s="168"/>
      <c r="LR2" s="170"/>
      <c r="LS2" s="170"/>
      <c r="LT2" s="170"/>
      <c r="LU2" s="168"/>
      <c r="LV2" s="168"/>
      <c r="LW2" s="170"/>
      <c r="LX2" s="170"/>
      <c r="LY2" s="170"/>
      <c r="LZ2" s="168"/>
      <c r="MA2" s="168"/>
      <c r="MB2" s="168"/>
      <c r="MC2" s="170"/>
      <c r="MD2" s="170"/>
      <c r="ME2" s="170"/>
      <c r="MF2" s="197"/>
      <c r="MG2" s="170" t="str">
        <f ca="1">IF(CELL("contenu",INDIRECT(ADDRESS(MG1,1,1,1,CELL("contenu",$B$2))))="","----",CELL("contenu",INDIRECT(ADDRESS(MG1,1,1,1,CELL("contenu",$B$2)))))</f>
        <v>LEMAIRE Hermine</v>
      </c>
      <c r="MH2" s="168"/>
      <c r="MI2" s="168"/>
      <c r="MJ2" s="170"/>
      <c r="MK2" s="170"/>
      <c r="ML2" s="170"/>
      <c r="MM2" s="168"/>
      <c r="MN2" s="168"/>
      <c r="MO2" s="170"/>
      <c r="MP2" s="170"/>
      <c r="MQ2" s="170"/>
      <c r="MR2" s="168"/>
      <c r="MS2" s="168"/>
      <c r="MT2" s="168"/>
      <c r="MU2" s="170"/>
      <c r="MV2" s="170"/>
      <c r="MW2" s="170"/>
      <c r="MX2" s="197"/>
      <c r="MY2" s="170" t="str">
        <f ca="1">IF(CELL("contenu",INDIRECT(ADDRESS(MY1,1,1,1,CELL("contenu",$B$2))))="","----",CELL("contenu",INDIRECT(ADDRESS(MY1,1,1,1,CELL("contenu",$B$2)))))</f>
        <v>LEPINOY--FAVRON Garance</v>
      </c>
      <c r="MZ2" s="168"/>
      <c r="NA2" s="168"/>
      <c r="NB2" s="170"/>
      <c r="NC2" s="170"/>
      <c r="ND2" s="170"/>
      <c r="NE2" s="168"/>
      <c r="NF2" s="168"/>
      <c r="NG2" s="170"/>
      <c r="NH2" s="170"/>
      <c r="NI2" s="170"/>
      <c r="NJ2" s="168"/>
      <c r="NK2" s="168"/>
      <c r="NL2" s="168"/>
      <c r="NM2" s="170"/>
      <c r="NN2" s="170"/>
      <c r="NO2" s="170"/>
      <c r="NP2" s="197"/>
      <c r="NQ2" s="170" t="str">
        <f ca="1">IF(CELL("contenu",INDIRECT(ADDRESS(NQ1,1,1,1,CELL("contenu",$B$2))))="","----",CELL("contenu",INDIRECT(ADDRESS(NQ1,1,1,1,CELL("contenu",$B$2)))))</f>
        <v>PERRIN Eloi</v>
      </c>
      <c r="NR2" s="168"/>
      <c r="NS2" s="168"/>
      <c r="NT2" s="170"/>
      <c r="NU2" s="170"/>
      <c r="NV2" s="170"/>
      <c r="NW2" s="168"/>
      <c r="NX2" s="168"/>
      <c r="NY2" s="170"/>
      <c r="NZ2" s="170"/>
      <c r="OA2" s="170"/>
      <c r="OB2" s="168"/>
      <c r="OC2" s="168"/>
      <c r="OD2" s="168"/>
      <c r="OE2" s="170"/>
      <c r="OF2" s="170"/>
      <c r="OG2" s="170"/>
      <c r="OH2" s="197"/>
      <c r="OI2" s="170" t="str">
        <f ca="1">IF(CELL("contenu",INDIRECT(ADDRESS(OI1,1,1,1,CELL("contenu",$B$2))))="","----",CELL("contenu",INDIRECT(ADDRESS(OI1,1,1,1,CELL("contenu",$B$2)))))</f>
        <v>RHEINART Loic</v>
      </c>
      <c r="OJ2" s="168"/>
      <c r="OK2" s="168"/>
      <c r="OL2" s="170"/>
      <c r="OM2" s="170"/>
      <c r="ON2" s="170"/>
      <c r="OO2" s="168"/>
      <c r="OP2" s="168"/>
      <c r="OQ2" s="170"/>
      <c r="OR2" s="170"/>
      <c r="OS2" s="170"/>
      <c r="OT2" s="168"/>
      <c r="OU2" s="168"/>
      <c r="OV2" s="168"/>
      <c r="OW2" s="170"/>
      <c r="OX2" s="170"/>
      <c r="OY2" s="170"/>
      <c r="OZ2" s="197"/>
      <c r="PA2" s="170" t="str">
        <f ca="1">IF(CELL("contenu",INDIRECT(ADDRESS(PA1,1,1,1,CELL("contenu",$B$2))))="","----",CELL("contenu",INDIRECT(ADDRESS(PA1,1,1,1,CELL("contenu",$B$2)))))</f>
        <v>ROGER Solene</v>
      </c>
      <c r="PB2" s="168"/>
      <c r="PC2" s="168"/>
      <c r="PD2" s="170"/>
      <c r="PE2" s="170"/>
      <c r="PF2" s="170"/>
      <c r="PG2" s="168"/>
      <c r="PH2" s="168"/>
      <c r="PI2" s="170"/>
      <c r="PJ2" s="170"/>
      <c r="PK2" s="170"/>
      <c r="PL2" s="168"/>
      <c r="PM2" s="168"/>
      <c r="PN2" s="168"/>
      <c r="PO2" s="170"/>
      <c r="PP2" s="170"/>
      <c r="PQ2" s="170"/>
      <c r="PR2" s="197"/>
      <c r="PS2" s="170" t="str">
        <f ca="1">IF(CELL("contenu",INDIRECT(ADDRESS(PS1,1,1,1,CELL("contenu",$B$2))))="","----",CELL("contenu",INDIRECT(ADDRESS(PS1,1,1,1,CELL("contenu",$B$2)))))</f>
        <v>SERIZAY Armel</v>
      </c>
      <c r="PT2" s="168"/>
      <c r="PU2" s="168"/>
      <c r="PV2" s="170"/>
      <c r="PW2" s="170"/>
      <c r="PX2" s="170"/>
      <c r="PY2" s="168"/>
      <c r="PZ2" s="168"/>
      <c r="QA2" s="170"/>
      <c r="QB2" s="170"/>
      <c r="QC2" s="170"/>
      <c r="QD2" s="168"/>
      <c r="QE2" s="168"/>
      <c r="QF2" s="168"/>
      <c r="QG2" s="170"/>
      <c r="QH2" s="170"/>
      <c r="QI2" s="170"/>
      <c r="QJ2" s="197"/>
      <c r="QK2" s="170" t="str">
        <f ca="1">IF(CELL("contenu",INDIRECT(ADDRESS(QK1,1,1,1,CELL("contenu",$B$2))))="","----",CELL("contenu",INDIRECT(ADDRESS(QK1,1,1,1,CELL("contenu",$B$2)))))</f>
        <v>VIDAL Claire</v>
      </c>
      <c r="QL2" s="168"/>
      <c r="QM2" s="168"/>
      <c r="QN2" s="170"/>
      <c r="QO2" s="170"/>
      <c r="QP2" s="170"/>
      <c r="QQ2" s="168"/>
      <c r="QR2" s="168"/>
      <c r="QS2" s="170"/>
      <c r="QT2" s="170"/>
      <c r="QU2" s="170"/>
      <c r="QV2" s="168"/>
      <c r="QW2" s="168"/>
      <c r="QX2" s="168"/>
      <c r="QY2" s="170"/>
      <c r="QZ2" s="170"/>
      <c r="RA2" s="170"/>
      <c r="RB2" s="197"/>
      <c r="RC2" s="170" t="str">
        <f ca="1">IF(CELL("contenu",INDIRECT(ADDRESS(RC1,1,1,1,CELL("contenu",$B$2))))="","----",CELL("contenu",INDIRECT(ADDRESS(RC1,1,1,1,CELL("contenu",$B$2)))))</f>
        <v>VIRLOUVET Enzo</v>
      </c>
      <c r="RD2" s="168"/>
      <c r="RE2" s="168"/>
      <c r="RF2" s="170"/>
      <c r="RG2" s="170"/>
      <c r="RH2" s="170"/>
      <c r="RI2" s="168"/>
      <c r="RJ2" s="168"/>
      <c r="RK2" s="170"/>
      <c r="RL2" s="170"/>
      <c r="RM2" s="170"/>
      <c r="RN2" s="168"/>
      <c r="RO2" s="168"/>
      <c r="RP2" s="168"/>
      <c r="RQ2" s="170"/>
      <c r="RR2" s="170"/>
      <c r="RS2" s="170"/>
      <c r="RT2" s="197"/>
      <c r="RU2" s="84" t="str">
        <f ca="1">IF(CELL("contenu",INDIRECT(ADDRESS(RU1,1,1,1,CELL("contenu",$B$2))))="","----",CELL("contenu",INDIRECT(ADDRESS(RU1,1,1,1,CELL("contenu",$B$2)))))</f>
        <v>----</v>
      </c>
      <c r="RV2" s="84"/>
      <c r="RW2" s="84"/>
      <c r="RX2" s="84"/>
      <c r="RY2" s="84"/>
      <c r="RZ2" s="84"/>
      <c r="SA2" s="84"/>
      <c r="SB2" s="84"/>
      <c r="SC2" s="84"/>
      <c r="SD2" s="84"/>
      <c r="SE2" s="84"/>
      <c r="SF2" s="84"/>
      <c r="SG2" s="84"/>
      <c r="SH2" s="84"/>
      <c r="SI2" s="84"/>
      <c r="SJ2" s="84"/>
      <c r="SK2" s="85"/>
      <c r="SL2" s="84" t="str">
        <f ca="1">IF(CELL("contenu",INDIRECT(ADDRESS(SL1,1,1,1,CELL("contenu",$B$2))))="","----",CELL("contenu",INDIRECT(ADDRESS(SL1,1,1,1,CELL("contenu",$B$2)))))</f>
        <v>----</v>
      </c>
      <c r="SM2" s="84"/>
      <c r="SN2" s="84"/>
      <c r="SO2" s="84"/>
      <c r="SP2" s="84"/>
      <c r="SQ2" s="84"/>
      <c r="SR2" s="84"/>
      <c r="SS2" s="84"/>
      <c r="ST2" s="84"/>
      <c r="SU2" s="84"/>
      <c r="SV2" s="84"/>
      <c r="SW2" s="84"/>
      <c r="SX2" s="84"/>
      <c r="SY2" s="84"/>
      <c r="SZ2" s="84"/>
      <c r="TA2" s="84"/>
      <c r="TB2" s="85"/>
      <c r="TC2" s="84" t="str">
        <f ca="1">IF(CELL("contenu",INDIRECT(ADDRESS(TC1,1,1,1,CELL("contenu",$B$2))))="","----",CELL("contenu",INDIRECT(ADDRESS(TC1,1,1,1,CELL("contenu",$B$2)))))</f>
        <v>----</v>
      </c>
      <c r="TD2" s="84"/>
      <c r="TE2" s="84"/>
      <c r="TF2" s="84"/>
      <c r="TG2" s="84"/>
      <c r="TH2" s="84"/>
      <c r="TI2" s="84"/>
      <c r="TJ2" s="84"/>
      <c r="TK2" s="84"/>
      <c r="TL2" s="84"/>
      <c r="TM2" s="84"/>
      <c r="TN2" s="84"/>
      <c r="TO2" s="84"/>
      <c r="TP2" s="84"/>
      <c r="TQ2" s="84"/>
      <c r="TR2" s="84"/>
      <c r="TS2" s="85"/>
    </row>
    <row r="3" spans="1:539" ht="60" customHeight="1" thickBot="1" x14ac:dyDescent="0.3">
      <c r="A3" s="161"/>
      <c r="B3" s="162" t="s">
        <v>34</v>
      </c>
      <c r="C3" s="86" t="s">
        <v>203</v>
      </c>
      <c r="D3" s="87" t="s">
        <v>204</v>
      </c>
      <c r="E3" s="88"/>
      <c r="F3" s="176" t="s">
        <v>7</v>
      </c>
      <c r="G3" s="177"/>
      <c r="H3" s="86" t="s">
        <v>208</v>
      </c>
      <c r="I3" s="91" t="s">
        <v>209</v>
      </c>
      <c r="J3" s="88" t="s">
        <v>212</v>
      </c>
      <c r="K3" s="192" t="s">
        <v>8</v>
      </c>
      <c r="L3" s="193"/>
      <c r="M3" s="86" t="s">
        <v>215</v>
      </c>
      <c r="N3" s="91" t="s">
        <v>216</v>
      </c>
      <c r="O3" s="88" t="s">
        <v>218</v>
      </c>
      <c r="P3" s="88" t="s">
        <v>219</v>
      </c>
      <c r="Q3" s="198" t="s">
        <v>9</v>
      </c>
      <c r="R3" s="199"/>
      <c r="S3" s="200" t="s">
        <v>10</v>
      </c>
      <c r="T3" s="201"/>
      <c r="U3" s="98" t="str">
        <f>IF(C3="","",C3)</f>
        <v>EVAL CH4</v>
      </c>
      <c r="V3" s="99" t="str">
        <f>IF(D3="","",D3)</f>
        <v>Fiche CH4/4</v>
      </c>
      <c r="W3" s="100" t="str">
        <f>IF(E3="","",E3)</f>
        <v/>
      </c>
      <c r="X3" s="176" t="s">
        <v>7</v>
      </c>
      <c r="Y3" s="177"/>
      <c r="Z3" s="101" t="str">
        <f>IF(H3="","",H3)</f>
        <v>Fiche CH5/1</v>
      </c>
      <c r="AA3" s="99" t="str">
        <f>IF(I3="","",I3)</f>
        <v>fiche CH5/3</v>
      </c>
      <c r="AB3" s="216" t="str">
        <f>IF(J3="","",J3)</f>
        <v>Eval CH5</v>
      </c>
      <c r="AC3" s="192" t="s">
        <v>8</v>
      </c>
      <c r="AD3" s="193"/>
      <c r="AE3" s="101" t="str">
        <f>IF(M3="","",M3)</f>
        <v>Eval O1 O2</v>
      </c>
      <c r="AF3" s="99" t="str">
        <f>IF(N3="","",N3)</f>
        <v>Fiche CH6/1</v>
      </c>
      <c r="AG3" s="216" t="str">
        <f>IF(O3="","",O3)</f>
        <v>Fiche CH6/2</v>
      </c>
      <c r="AH3" s="100" t="str">
        <f>IF(P3="","",P3)</f>
        <v>Eval CH6 CH7</v>
      </c>
      <c r="AI3" s="198" t="s">
        <v>9</v>
      </c>
      <c r="AJ3" s="199"/>
      <c r="AK3" s="200" t="s">
        <v>10</v>
      </c>
      <c r="AL3" s="201"/>
      <c r="AM3" s="98" t="str">
        <f>IF(U3="","",U3)</f>
        <v>EVAL CH4</v>
      </c>
      <c r="AN3" s="99" t="str">
        <f>IF(V3="","",V3)</f>
        <v>Fiche CH4/4</v>
      </c>
      <c r="AO3" s="100" t="str">
        <f>IF(W3="","",W3)</f>
        <v/>
      </c>
      <c r="AP3" s="176" t="s">
        <v>7</v>
      </c>
      <c r="AQ3" s="177"/>
      <c r="AR3" s="101" t="str">
        <f>IF(Z3="","",Z3)</f>
        <v>Fiche CH5/1</v>
      </c>
      <c r="AS3" s="99" t="str">
        <f>IF(AA3="","",AA3)</f>
        <v>fiche CH5/3</v>
      </c>
      <c r="AT3" s="216" t="str">
        <f>IF(AB3="","",AB3)</f>
        <v>Eval CH5</v>
      </c>
      <c r="AU3" s="192" t="s">
        <v>8</v>
      </c>
      <c r="AV3" s="193"/>
      <c r="AW3" s="101" t="str">
        <f>IF(AE3="","",AE3)</f>
        <v>Eval O1 O2</v>
      </c>
      <c r="AX3" s="99" t="str">
        <f>IF(AF3="","",AF3)</f>
        <v>Fiche CH6/1</v>
      </c>
      <c r="AY3" s="216" t="str">
        <f>IF(AG3="","",AG3)</f>
        <v>Fiche CH6/2</v>
      </c>
      <c r="AZ3" s="100" t="str">
        <f>IF(AH3="","",AH3)</f>
        <v>Eval CH6 CH7</v>
      </c>
      <c r="BA3" s="198" t="s">
        <v>9</v>
      </c>
      <c r="BB3" s="199"/>
      <c r="BC3" s="200" t="s">
        <v>10</v>
      </c>
      <c r="BD3" s="201"/>
      <c r="BE3" s="98" t="str">
        <f>IF(AM3="","",AM3)</f>
        <v>EVAL CH4</v>
      </c>
      <c r="BF3" s="99" t="str">
        <f>IF(AN3="","",AN3)</f>
        <v>Fiche CH4/4</v>
      </c>
      <c r="BG3" s="100" t="str">
        <f>IF(AO3="","",AO3)</f>
        <v/>
      </c>
      <c r="BH3" s="176" t="s">
        <v>7</v>
      </c>
      <c r="BI3" s="177"/>
      <c r="BJ3" s="101" t="str">
        <f>IF(AR3="","",AR3)</f>
        <v>Fiche CH5/1</v>
      </c>
      <c r="BK3" s="99" t="str">
        <f>IF(AS3="","",AS3)</f>
        <v>fiche CH5/3</v>
      </c>
      <c r="BL3" s="216" t="str">
        <f>IF(AT3="","",AT3)</f>
        <v>Eval CH5</v>
      </c>
      <c r="BM3" s="192" t="s">
        <v>8</v>
      </c>
      <c r="BN3" s="193"/>
      <c r="BO3" s="101" t="str">
        <f>IF(AW3="","",AW3)</f>
        <v>Eval O1 O2</v>
      </c>
      <c r="BP3" s="99" t="str">
        <f>IF(AX3="","",AX3)</f>
        <v>Fiche CH6/1</v>
      </c>
      <c r="BQ3" s="216" t="str">
        <f>IF(AY3="","",AY3)</f>
        <v>Fiche CH6/2</v>
      </c>
      <c r="BR3" s="100" t="str">
        <f>IF(AZ3="","",AZ3)</f>
        <v>Eval CH6 CH7</v>
      </c>
      <c r="BS3" s="198" t="s">
        <v>9</v>
      </c>
      <c r="BT3" s="199"/>
      <c r="BU3" s="200" t="s">
        <v>10</v>
      </c>
      <c r="BV3" s="201"/>
      <c r="BW3" s="98" t="str">
        <f>IF(BE3="","",BE3)</f>
        <v>EVAL CH4</v>
      </c>
      <c r="BX3" s="99" t="str">
        <f>IF(BF3="","",BF3)</f>
        <v>Fiche CH4/4</v>
      </c>
      <c r="BY3" s="100" t="str">
        <f>IF(BG3="","",BG3)</f>
        <v/>
      </c>
      <c r="BZ3" s="176" t="s">
        <v>7</v>
      </c>
      <c r="CA3" s="177"/>
      <c r="CB3" s="101" t="str">
        <f>IF(BJ3="","",BJ3)</f>
        <v>Fiche CH5/1</v>
      </c>
      <c r="CC3" s="99" t="str">
        <f>IF(BK3="","",BK3)</f>
        <v>fiche CH5/3</v>
      </c>
      <c r="CD3" s="216" t="str">
        <f>IF(BL3="","",BL3)</f>
        <v>Eval CH5</v>
      </c>
      <c r="CE3" s="192" t="s">
        <v>8</v>
      </c>
      <c r="CF3" s="193"/>
      <c r="CG3" s="101" t="str">
        <f>IF(BO3="","",BO3)</f>
        <v>Eval O1 O2</v>
      </c>
      <c r="CH3" s="99" t="str">
        <f>IF(BP3="","",BP3)</f>
        <v>Fiche CH6/1</v>
      </c>
      <c r="CI3" s="216" t="str">
        <f>IF(BQ3="","",BQ3)</f>
        <v>Fiche CH6/2</v>
      </c>
      <c r="CJ3" s="100" t="str">
        <f>IF(BR3="","",BR3)</f>
        <v>Eval CH6 CH7</v>
      </c>
      <c r="CK3" s="198" t="s">
        <v>9</v>
      </c>
      <c r="CL3" s="199"/>
      <c r="CM3" s="200" t="s">
        <v>10</v>
      </c>
      <c r="CN3" s="201"/>
      <c r="CO3" s="98" t="str">
        <f>IF(BW3="","",BW3)</f>
        <v>EVAL CH4</v>
      </c>
      <c r="CP3" s="99" t="str">
        <f>IF(BX3="","",BX3)</f>
        <v>Fiche CH4/4</v>
      </c>
      <c r="CQ3" s="100" t="str">
        <f>IF(BY3="","",BY3)</f>
        <v/>
      </c>
      <c r="CR3" s="176" t="s">
        <v>7</v>
      </c>
      <c r="CS3" s="177"/>
      <c r="CT3" s="101" t="str">
        <f>IF(CB3="","",CB3)</f>
        <v>Fiche CH5/1</v>
      </c>
      <c r="CU3" s="99" t="str">
        <f>IF(CC3="","",CC3)</f>
        <v>fiche CH5/3</v>
      </c>
      <c r="CV3" s="216" t="str">
        <f>IF(CD3="","",CD3)</f>
        <v>Eval CH5</v>
      </c>
      <c r="CW3" s="192" t="s">
        <v>8</v>
      </c>
      <c r="CX3" s="193"/>
      <c r="CY3" s="101" t="str">
        <f>IF(CG3="","",CG3)</f>
        <v>Eval O1 O2</v>
      </c>
      <c r="CZ3" s="99" t="str">
        <f>IF(CH3="","",CH3)</f>
        <v>Fiche CH6/1</v>
      </c>
      <c r="DA3" s="216" t="str">
        <f>IF(CI3="","",CI3)</f>
        <v>Fiche CH6/2</v>
      </c>
      <c r="DB3" s="100" t="str">
        <f>IF(CJ3="","",CJ3)</f>
        <v>Eval CH6 CH7</v>
      </c>
      <c r="DC3" s="198" t="s">
        <v>9</v>
      </c>
      <c r="DD3" s="199"/>
      <c r="DE3" s="200" t="s">
        <v>10</v>
      </c>
      <c r="DF3" s="201"/>
      <c r="DG3" s="98" t="str">
        <f>IF(CO3="","",CO3)</f>
        <v>EVAL CH4</v>
      </c>
      <c r="DH3" s="99" t="str">
        <f>IF(CP3="","",CP3)</f>
        <v>Fiche CH4/4</v>
      </c>
      <c r="DI3" s="100" t="str">
        <f>IF(CQ3="","",CQ3)</f>
        <v/>
      </c>
      <c r="DJ3" s="176" t="s">
        <v>7</v>
      </c>
      <c r="DK3" s="177"/>
      <c r="DL3" s="101" t="str">
        <f>IF(CT3="","",CT3)</f>
        <v>Fiche CH5/1</v>
      </c>
      <c r="DM3" s="99" t="str">
        <f>IF(CU3="","",CU3)</f>
        <v>fiche CH5/3</v>
      </c>
      <c r="DN3" s="216" t="str">
        <f>IF(CV3="","",CV3)</f>
        <v>Eval CH5</v>
      </c>
      <c r="DO3" s="192" t="s">
        <v>8</v>
      </c>
      <c r="DP3" s="193"/>
      <c r="DQ3" s="101" t="str">
        <f>IF(CY3="","",CY3)</f>
        <v>Eval O1 O2</v>
      </c>
      <c r="DR3" s="99" t="str">
        <f>IF(CZ3="","",CZ3)</f>
        <v>Fiche CH6/1</v>
      </c>
      <c r="DS3" s="216" t="str">
        <f>IF(DA3="","",DA3)</f>
        <v>Fiche CH6/2</v>
      </c>
      <c r="DT3" s="100" t="str">
        <f>IF(DB3="","",DB3)</f>
        <v>Eval CH6 CH7</v>
      </c>
      <c r="DU3" s="198" t="s">
        <v>9</v>
      </c>
      <c r="DV3" s="199"/>
      <c r="DW3" s="200" t="s">
        <v>10</v>
      </c>
      <c r="DX3" s="201"/>
      <c r="DY3" s="98" t="str">
        <f>IF(DG3="","",DG3)</f>
        <v>EVAL CH4</v>
      </c>
      <c r="DZ3" s="99" t="str">
        <f>IF(DH3="","",DH3)</f>
        <v>Fiche CH4/4</v>
      </c>
      <c r="EA3" s="100" t="str">
        <f>IF(DI3="","",DI3)</f>
        <v/>
      </c>
      <c r="EB3" s="176" t="s">
        <v>7</v>
      </c>
      <c r="EC3" s="177"/>
      <c r="ED3" s="101" t="str">
        <f>IF(DL3="","",DL3)</f>
        <v>Fiche CH5/1</v>
      </c>
      <c r="EE3" s="99" t="str">
        <f>IF(DM3="","",DM3)</f>
        <v>fiche CH5/3</v>
      </c>
      <c r="EF3" s="216" t="str">
        <f>IF(DN3="","",DN3)</f>
        <v>Eval CH5</v>
      </c>
      <c r="EG3" s="192" t="s">
        <v>8</v>
      </c>
      <c r="EH3" s="193"/>
      <c r="EI3" s="101" t="str">
        <f>IF(DQ3="","",DQ3)</f>
        <v>Eval O1 O2</v>
      </c>
      <c r="EJ3" s="99" t="str">
        <f>IF(DR3="","",DR3)</f>
        <v>Fiche CH6/1</v>
      </c>
      <c r="EK3" s="216" t="str">
        <f>IF(DS3="","",DS3)</f>
        <v>Fiche CH6/2</v>
      </c>
      <c r="EL3" s="100" t="str">
        <f>IF(DT3="","",DT3)</f>
        <v>Eval CH6 CH7</v>
      </c>
      <c r="EM3" s="198" t="s">
        <v>9</v>
      </c>
      <c r="EN3" s="199"/>
      <c r="EO3" s="200" t="s">
        <v>10</v>
      </c>
      <c r="EP3" s="201"/>
      <c r="EQ3" s="98" t="str">
        <f>IF(DY3="","",DY3)</f>
        <v>EVAL CH4</v>
      </c>
      <c r="ER3" s="99" t="str">
        <f>IF(DZ3="","",DZ3)</f>
        <v>Fiche CH4/4</v>
      </c>
      <c r="ES3" s="100" t="str">
        <f>IF(EA3="","",EA3)</f>
        <v/>
      </c>
      <c r="ET3" s="176" t="s">
        <v>7</v>
      </c>
      <c r="EU3" s="177"/>
      <c r="EV3" s="101" t="str">
        <f>IF(ED3="","",ED3)</f>
        <v>Fiche CH5/1</v>
      </c>
      <c r="EW3" s="99" t="str">
        <f>IF(EE3="","",EE3)</f>
        <v>fiche CH5/3</v>
      </c>
      <c r="EX3" s="216" t="str">
        <f>IF(EF3="","",EF3)</f>
        <v>Eval CH5</v>
      </c>
      <c r="EY3" s="192" t="s">
        <v>8</v>
      </c>
      <c r="EZ3" s="193"/>
      <c r="FA3" s="101" t="str">
        <f>IF(EI3="","",EI3)</f>
        <v>Eval O1 O2</v>
      </c>
      <c r="FB3" s="99" t="str">
        <f>IF(EJ3="","",EJ3)</f>
        <v>Fiche CH6/1</v>
      </c>
      <c r="FC3" s="216" t="str">
        <f>IF(EK3="","",EK3)</f>
        <v>Fiche CH6/2</v>
      </c>
      <c r="FD3" s="100" t="str">
        <f>IF(EL3="","",EL3)</f>
        <v>Eval CH6 CH7</v>
      </c>
      <c r="FE3" s="198" t="s">
        <v>9</v>
      </c>
      <c r="FF3" s="199"/>
      <c r="FG3" s="200" t="s">
        <v>10</v>
      </c>
      <c r="FH3" s="201"/>
      <c r="FI3" s="98" t="str">
        <f>IF(EQ3="","",EQ3)</f>
        <v>EVAL CH4</v>
      </c>
      <c r="FJ3" s="99" t="str">
        <f>IF(ER3="","",ER3)</f>
        <v>Fiche CH4/4</v>
      </c>
      <c r="FK3" s="100" t="str">
        <f>IF(ES3="","",ES3)</f>
        <v/>
      </c>
      <c r="FL3" s="176" t="s">
        <v>7</v>
      </c>
      <c r="FM3" s="177"/>
      <c r="FN3" s="101" t="str">
        <f>IF(EV3="","",EV3)</f>
        <v>Fiche CH5/1</v>
      </c>
      <c r="FO3" s="99" t="str">
        <f>IF(EW3="","",EW3)</f>
        <v>fiche CH5/3</v>
      </c>
      <c r="FP3" s="216" t="str">
        <f>IF(EX3="","",EX3)</f>
        <v>Eval CH5</v>
      </c>
      <c r="FQ3" s="192" t="s">
        <v>8</v>
      </c>
      <c r="FR3" s="193"/>
      <c r="FS3" s="101" t="str">
        <f>IF(FA3="","",FA3)</f>
        <v>Eval O1 O2</v>
      </c>
      <c r="FT3" s="99" t="str">
        <f>IF(FB3="","",FB3)</f>
        <v>Fiche CH6/1</v>
      </c>
      <c r="FU3" s="216" t="str">
        <f>IF(FC3="","",FC3)</f>
        <v>Fiche CH6/2</v>
      </c>
      <c r="FV3" s="100" t="str">
        <f>IF(FD3="","",FD3)</f>
        <v>Eval CH6 CH7</v>
      </c>
      <c r="FW3" s="198" t="s">
        <v>9</v>
      </c>
      <c r="FX3" s="199"/>
      <c r="FY3" s="200" t="s">
        <v>10</v>
      </c>
      <c r="FZ3" s="201"/>
      <c r="GA3" s="98" t="str">
        <f>IF(FI3="","",FI3)</f>
        <v>EVAL CH4</v>
      </c>
      <c r="GB3" s="99" t="str">
        <f>IF(FJ3="","",FJ3)</f>
        <v>Fiche CH4/4</v>
      </c>
      <c r="GC3" s="100" t="str">
        <f>IF(FK3="","",FK3)</f>
        <v/>
      </c>
      <c r="GD3" s="176" t="s">
        <v>7</v>
      </c>
      <c r="GE3" s="177"/>
      <c r="GF3" s="101" t="str">
        <f>IF(FN3="","",FN3)</f>
        <v>Fiche CH5/1</v>
      </c>
      <c r="GG3" s="99" t="str">
        <f>IF(FO3="","",FO3)</f>
        <v>fiche CH5/3</v>
      </c>
      <c r="GH3" s="216" t="str">
        <f>IF(FP3="","",FP3)</f>
        <v>Eval CH5</v>
      </c>
      <c r="GI3" s="192" t="s">
        <v>8</v>
      </c>
      <c r="GJ3" s="193"/>
      <c r="GK3" s="101" t="str">
        <f>IF(FS3="","",FS3)</f>
        <v>Eval O1 O2</v>
      </c>
      <c r="GL3" s="99" t="str">
        <f>IF(FT3="","",FT3)</f>
        <v>Fiche CH6/1</v>
      </c>
      <c r="GM3" s="216" t="str">
        <f>IF(FU3="","",FU3)</f>
        <v>Fiche CH6/2</v>
      </c>
      <c r="GN3" s="100" t="str">
        <f>IF(FV3="","",FV3)</f>
        <v>Eval CH6 CH7</v>
      </c>
      <c r="GO3" s="198" t="s">
        <v>9</v>
      </c>
      <c r="GP3" s="199"/>
      <c r="GQ3" s="200" t="s">
        <v>10</v>
      </c>
      <c r="GR3" s="201"/>
      <c r="GS3" s="98" t="str">
        <f>IF(GA3="","",GA3)</f>
        <v>EVAL CH4</v>
      </c>
      <c r="GT3" s="99" t="str">
        <f>IF(GB3="","",GB3)</f>
        <v>Fiche CH4/4</v>
      </c>
      <c r="GU3" s="100" t="str">
        <f>IF(GC3="","",GC3)</f>
        <v/>
      </c>
      <c r="GV3" s="176" t="s">
        <v>7</v>
      </c>
      <c r="GW3" s="177"/>
      <c r="GX3" s="101" t="str">
        <f>IF(GF3="","",GF3)</f>
        <v>Fiche CH5/1</v>
      </c>
      <c r="GY3" s="99" t="str">
        <f>IF(GG3="","",GG3)</f>
        <v>fiche CH5/3</v>
      </c>
      <c r="GZ3" s="216" t="str">
        <f>IF(GH3="","",GH3)</f>
        <v>Eval CH5</v>
      </c>
      <c r="HA3" s="192" t="s">
        <v>8</v>
      </c>
      <c r="HB3" s="193"/>
      <c r="HC3" s="101" t="str">
        <f>IF(GK3="","",GK3)</f>
        <v>Eval O1 O2</v>
      </c>
      <c r="HD3" s="99" t="str">
        <f>IF(GL3="","",GL3)</f>
        <v>Fiche CH6/1</v>
      </c>
      <c r="HE3" s="216" t="str">
        <f>IF(GM3="","",GM3)</f>
        <v>Fiche CH6/2</v>
      </c>
      <c r="HF3" s="100" t="str">
        <f>IF(GN3="","",GN3)</f>
        <v>Eval CH6 CH7</v>
      </c>
      <c r="HG3" s="198" t="s">
        <v>9</v>
      </c>
      <c r="HH3" s="199"/>
      <c r="HI3" s="200" t="s">
        <v>10</v>
      </c>
      <c r="HJ3" s="201"/>
      <c r="HK3" s="98" t="str">
        <f>IF(GS3="","",GS3)</f>
        <v>EVAL CH4</v>
      </c>
      <c r="HL3" s="99" t="str">
        <f>IF(GT3="","",GT3)</f>
        <v>Fiche CH4/4</v>
      </c>
      <c r="HM3" s="100" t="str">
        <f>IF(GU3="","",GU3)</f>
        <v/>
      </c>
      <c r="HN3" s="176" t="s">
        <v>7</v>
      </c>
      <c r="HO3" s="177"/>
      <c r="HP3" s="101" t="str">
        <f>IF(GX3="","",GX3)</f>
        <v>Fiche CH5/1</v>
      </c>
      <c r="HQ3" s="99" t="str">
        <f>IF(GY3="","",GY3)</f>
        <v>fiche CH5/3</v>
      </c>
      <c r="HR3" s="216" t="str">
        <f>IF(GZ3="","",GZ3)</f>
        <v>Eval CH5</v>
      </c>
      <c r="HS3" s="192" t="s">
        <v>8</v>
      </c>
      <c r="HT3" s="193"/>
      <c r="HU3" s="101" t="str">
        <f>IF(HC3="","",HC3)</f>
        <v>Eval O1 O2</v>
      </c>
      <c r="HV3" s="99" t="str">
        <f>IF(HD3="","",HD3)</f>
        <v>Fiche CH6/1</v>
      </c>
      <c r="HW3" s="216" t="str">
        <f>IF(HE3="","",HE3)</f>
        <v>Fiche CH6/2</v>
      </c>
      <c r="HX3" s="100" t="str">
        <f>IF(HF3="","",HF3)</f>
        <v>Eval CH6 CH7</v>
      </c>
      <c r="HY3" s="198" t="s">
        <v>9</v>
      </c>
      <c r="HZ3" s="199"/>
      <c r="IA3" s="200" t="s">
        <v>10</v>
      </c>
      <c r="IB3" s="201"/>
      <c r="IC3" s="98" t="str">
        <f>IF(HK3="","",HK3)</f>
        <v>EVAL CH4</v>
      </c>
      <c r="ID3" s="99" t="str">
        <f>IF(HL3="","",HL3)</f>
        <v>Fiche CH4/4</v>
      </c>
      <c r="IE3" s="100" t="str">
        <f>IF(HM3="","",HM3)</f>
        <v/>
      </c>
      <c r="IF3" s="176" t="s">
        <v>7</v>
      </c>
      <c r="IG3" s="177"/>
      <c r="IH3" s="101" t="str">
        <f>IF(HP3="","",HP3)</f>
        <v>Fiche CH5/1</v>
      </c>
      <c r="II3" s="99" t="str">
        <f>IF(HQ3="","",HQ3)</f>
        <v>fiche CH5/3</v>
      </c>
      <c r="IJ3" s="216" t="str">
        <f>IF(HR3="","",HR3)</f>
        <v>Eval CH5</v>
      </c>
      <c r="IK3" s="192" t="s">
        <v>8</v>
      </c>
      <c r="IL3" s="193"/>
      <c r="IM3" s="101" t="str">
        <f>IF(HU3="","",HU3)</f>
        <v>Eval O1 O2</v>
      </c>
      <c r="IN3" s="99" t="str">
        <f>IF(HV3="","",HV3)</f>
        <v>Fiche CH6/1</v>
      </c>
      <c r="IO3" s="216" t="str">
        <f>IF(HW3="","",HW3)</f>
        <v>Fiche CH6/2</v>
      </c>
      <c r="IP3" s="100" t="str">
        <f>IF(HX3="","",HX3)</f>
        <v>Eval CH6 CH7</v>
      </c>
      <c r="IQ3" s="198" t="s">
        <v>9</v>
      </c>
      <c r="IR3" s="199"/>
      <c r="IS3" s="200" t="s">
        <v>10</v>
      </c>
      <c r="IT3" s="201"/>
      <c r="IU3" s="98" t="str">
        <f>IF(IC3="","",IC3)</f>
        <v>EVAL CH4</v>
      </c>
      <c r="IV3" s="99" t="str">
        <f>IF(ID3="","",ID3)</f>
        <v>Fiche CH4/4</v>
      </c>
      <c r="IW3" s="100" t="str">
        <f>IF(IE3="","",IE3)</f>
        <v/>
      </c>
      <c r="IX3" s="176" t="s">
        <v>7</v>
      </c>
      <c r="IY3" s="177"/>
      <c r="IZ3" s="101" t="str">
        <f>IF(IH3="","",IH3)</f>
        <v>Fiche CH5/1</v>
      </c>
      <c r="JA3" s="99" t="str">
        <f>IF(II3="","",II3)</f>
        <v>fiche CH5/3</v>
      </c>
      <c r="JB3" s="216" t="str">
        <f>IF(IJ3="","",IJ3)</f>
        <v>Eval CH5</v>
      </c>
      <c r="JC3" s="192" t="s">
        <v>8</v>
      </c>
      <c r="JD3" s="193"/>
      <c r="JE3" s="101" t="str">
        <f>IF(IM3="","",IM3)</f>
        <v>Eval O1 O2</v>
      </c>
      <c r="JF3" s="99" t="str">
        <f>IF(IN3="","",IN3)</f>
        <v>Fiche CH6/1</v>
      </c>
      <c r="JG3" s="216" t="str">
        <f>IF(IO3="","",IO3)</f>
        <v>Fiche CH6/2</v>
      </c>
      <c r="JH3" s="100" t="str">
        <f>IF(IP3="","",IP3)</f>
        <v>Eval CH6 CH7</v>
      </c>
      <c r="JI3" s="198" t="s">
        <v>9</v>
      </c>
      <c r="JJ3" s="199"/>
      <c r="JK3" s="200" t="s">
        <v>10</v>
      </c>
      <c r="JL3" s="201"/>
      <c r="JM3" s="98" t="str">
        <f>IF(IU3="","",IU3)</f>
        <v>EVAL CH4</v>
      </c>
      <c r="JN3" s="99" t="str">
        <f>IF(IV3="","",IV3)</f>
        <v>Fiche CH4/4</v>
      </c>
      <c r="JO3" s="100" t="str">
        <f>IF(IW3="","",IW3)</f>
        <v/>
      </c>
      <c r="JP3" s="176" t="s">
        <v>7</v>
      </c>
      <c r="JQ3" s="177"/>
      <c r="JR3" s="101" t="str">
        <f>IF(IZ3="","",IZ3)</f>
        <v>Fiche CH5/1</v>
      </c>
      <c r="JS3" s="99" t="str">
        <f>IF(JA3="","",JA3)</f>
        <v>fiche CH5/3</v>
      </c>
      <c r="JT3" s="216" t="str">
        <f>IF(JB3="","",JB3)</f>
        <v>Eval CH5</v>
      </c>
      <c r="JU3" s="192" t="s">
        <v>8</v>
      </c>
      <c r="JV3" s="193"/>
      <c r="JW3" s="101" t="str">
        <f>IF(JE3="","",JE3)</f>
        <v>Eval O1 O2</v>
      </c>
      <c r="JX3" s="99" t="str">
        <f>IF(JF3="","",JF3)</f>
        <v>Fiche CH6/1</v>
      </c>
      <c r="JY3" s="216" t="str">
        <f>IF(JG3="","",JG3)</f>
        <v>Fiche CH6/2</v>
      </c>
      <c r="JZ3" s="100" t="str">
        <f>IF(JH3="","",JH3)</f>
        <v>Eval CH6 CH7</v>
      </c>
      <c r="KA3" s="198" t="s">
        <v>9</v>
      </c>
      <c r="KB3" s="199"/>
      <c r="KC3" s="200" t="s">
        <v>10</v>
      </c>
      <c r="KD3" s="201"/>
      <c r="KE3" s="98" t="str">
        <f>IF(JM3="","",JM3)</f>
        <v>EVAL CH4</v>
      </c>
      <c r="KF3" s="99" t="str">
        <f>IF(JN3="","",JN3)</f>
        <v>Fiche CH4/4</v>
      </c>
      <c r="KG3" s="100" t="str">
        <f>IF(JO3="","",JO3)</f>
        <v/>
      </c>
      <c r="KH3" s="176" t="s">
        <v>7</v>
      </c>
      <c r="KI3" s="177"/>
      <c r="KJ3" s="101" t="str">
        <f>IF(JR3="","",JR3)</f>
        <v>Fiche CH5/1</v>
      </c>
      <c r="KK3" s="99" t="str">
        <f>IF(JS3="","",JS3)</f>
        <v>fiche CH5/3</v>
      </c>
      <c r="KL3" s="216" t="str">
        <f>IF(JT3="","",JT3)</f>
        <v>Eval CH5</v>
      </c>
      <c r="KM3" s="192" t="s">
        <v>8</v>
      </c>
      <c r="KN3" s="193"/>
      <c r="KO3" s="101" t="str">
        <f>IF(JW3="","",JW3)</f>
        <v>Eval O1 O2</v>
      </c>
      <c r="KP3" s="99" t="str">
        <f>IF(JX3="","",JX3)</f>
        <v>Fiche CH6/1</v>
      </c>
      <c r="KQ3" s="216" t="str">
        <f>IF(JY3="","",JY3)</f>
        <v>Fiche CH6/2</v>
      </c>
      <c r="KR3" s="100" t="str">
        <f>IF(JZ3="","",JZ3)</f>
        <v>Eval CH6 CH7</v>
      </c>
      <c r="KS3" s="198" t="s">
        <v>9</v>
      </c>
      <c r="KT3" s="199"/>
      <c r="KU3" s="200" t="s">
        <v>10</v>
      </c>
      <c r="KV3" s="201"/>
      <c r="KW3" s="98" t="str">
        <f>IF(KE3="","",KE3)</f>
        <v>EVAL CH4</v>
      </c>
      <c r="KX3" s="99" t="str">
        <f>IF(KF3="","",KF3)</f>
        <v>Fiche CH4/4</v>
      </c>
      <c r="KY3" s="100" t="str">
        <f>IF(KG3="","",KG3)</f>
        <v/>
      </c>
      <c r="KZ3" s="176" t="s">
        <v>7</v>
      </c>
      <c r="LA3" s="177"/>
      <c r="LB3" s="101" t="str">
        <f>IF(KJ3="","",KJ3)</f>
        <v>Fiche CH5/1</v>
      </c>
      <c r="LC3" s="99" t="str">
        <f>IF(KK3="","",KK3)</f>
        <v>fiche CH5/3</v>
      </c>
      <c r="LD3" s="216" t="str">
        <f>IF(KL3="","",KL3)</f>
        <v>Eval CH5</v>
      </c>
      <c r="LE3" s="192" t="s">
        <v>8</v>
      </c>
      <c r="LF3" s="193"/>
      <c r="LG3" s="101" t="str">
        <f>IF(KO3="","",KO3)</f>
        <v>Eval O1 O2</v>
      </c>
      <c r="LH3" s="99" t="str">
        <f>IF(KP3="","",KP3)</f>
        <v>Fiche CH6/1</v>
      </c>
      <c r="LI3" s="216" t="str">
        <f>IF(KQ3="","",KQ3)</f>
        <v>Fiche CH6/2</v>
      </c>
      <c r="LJ3" s="100" t="str">
        <f>IF(KR3="","",KR3)</f>
        <v>Eval CH6 CH7</v>
      </c>
      <c r="LK3" s="198" t="s">
        <v>9</v>
      </c>
      <c r="LL3" s="199"/>
      <c r="LM3" s="200" t="s">
        <v>10</v>
      </c>
      <c r="LN3" s="201"/>
      <c r="LO3" s="98" t="str">
        <f>IF(KW3="","",KW3)</f>
        <v>EVAL CH4</v>
      </c>
      <c r="LP3" s="99" t="str">
        <f>IF(KX3="","",KX3)</f>
        <v>Fiche CH4/4</v>
      </c>
      <c r="LQ3" s="100" t="str">
        <f>IF(KY3="","",KY3)</f>
        <v/>
      </c>
      <c r="LR3" s="176" t="s">
        <v>7</v>
      </c>
      <c r="LS3" s="177"/>
      <c r="LT3" s="101" t="str">
        <f>IF(LB3="","",LB3)</f>
        <v>Fiche CH5/1</v>
      </c>
      <c r="LU3" s="99" t="str">
        <f>IF(LC3="","",LC3)</f>
        <v>fiche CH5/3</v>
      </c>
      <c r="LV3" s="216" t="str">
        <f>IF(LD3="","",LD3)</f>
        <v>Eval CH5</v>
      </c>
      <c r="LW3" s="192" t="s">
        <v>8</v>
      </c>
      <c r="LX3" s="193"/>
      <c r="LY3" s="101" t="str">
        <f>IF(LG3="","",LG3)</f>
        <v>Eval O1 O2</v>
      </c>
      <c r="LZ3" s="99" t="str">
        <f>IF(LH3="","",LH3)</f>
        <v>Fiche CH6/1</v>
      </c>
      <c r="MA3" s="216" t="str">
        <f>IF(LI3="","",LI3)</f>
        <v>Fiche CH6/2</v>
      </c>
      <c r="MB3" s="100" t="str">
        <f>IF(LJ3="","",LJ3)</f>
        <v>Eval CH6 CH7</v>
      </c>
      <c r="MC3" s="198" t="s">
        <v>9</v>
      </c>
      <c r="MD3" s="199"/>
      <c r="ME3" s="200" t="s">
        <v>10</v>
      </c>
      <c r="MF3" s="201"/>
      <c r="MG3" s="98" t="str">
        <f>IF(LO3="","",LO3)</f>
        <v>EVAL CH4</v>
      </c>
      <c r="MH3" s="99" t="str">
        <f>IF(LP3="","",LP3)</f>
        <v>Fiche CH4/4</v>
      </c>
      <c r="MI3" s="100" t="str">
        <f>IF(LQ3="","",LQ3)</f>
        <v/>
      </c>
      <c r="MJ3" s="176" t="s">
        <v>7</v>
      </c>
      <c r="MK3" s="177"/>
      <c r="ML3" s="101" t="str">
        <f>IF(LT3="","",LT3)</f>
        <v>Fiche CH5/1</v>
      </c>
      <c r="MM3" s="99" t="str">
        <f>IF(LU3="","",LU3)</f>
        <v>fiche CH5/3</v>
      </c>
      <c r="MN3" s="216" t="str">
        <f>IF(LV3="","",LV3)</f>
        <v>Eval CH5</v>
      </c>
      <c r="MO3" s="192" t="s">
        <v>8</v>
      </c>
      <c r="MP3" s="193"/>
      <c r="MQ3" s="101" t="str">
        <f>IF(LY3="","",LY3)</f>
        <v>Eval O1 O2</v>
      </c>
      <c r="MR3" s="99" t="str">
        <f>IF(LZ3="","",LZ3)</f>
        <v>Fiche CH6/1</v>
      </c>
      <c r="MS3" s="216" t="str">
        <f>IF(MA3="","",MA3)</f>
        <v>Fiche CH6/2</v>
      </c>
      <c r="MT3" s="100" t="str">
        <f>IF(MB3="","",MB3)</f>
        <v>Eval CH6 CH7</v>
      </c>
      <c r="MU3" s="198" t="s">
        <v>9</v>
      </c>
      <c r="MV3" s="199"/>
      <c r="MW3" s="200" t="s">
        <v>10</v>
      </c>
      <c r="MX3" s="201"/>
      <c r="MY3" s="98" t="str">
        <f>IF(MG3="","",MG3)</f>
        <v>EVAL CH4</v>
      </c>
      <c r="MZ3" s="99" t="str">
        <f>IF(MH3="","",MH3)</f>
        <v>Fiche CH4/4</v>
      </c>
      <c r="NA3" s="100" t="str">
        <f>IF(MI3="","",MI3)</f>
        <v/>
      </c>
      <c r="NB3" s="176" t="s">
        <v>7</v>
      </c>
      <c r="NC3" s="177"/>
      <c r="ND3" s="101" t="str">
        <f>IF(ML3="","",ML3)</f>
        <v>Fiche CH5/1</v>
      </c>
      <c r="NE3" s="99" t="str">
        <f>IF(MM3="","",MM3)</f>
        <v>fiche CH5/3</v>
      </c>
      <c r="NF3" s="216" t="str">
        <f>IF(MN3="","",MN3)</f>
        <v>Eval CH5</v>
      </c>
      <c r="NG3" s="192" t="s">
        <v>8</v>
      </c>
      <c r="NH3" s="193"/>
      <c r="NI3" s="101" t="str">
        <f>IF(MQ3="","",MQ3)</f>
        <v>Eval O1 O2</v>
      </c>
      <c r="NJ3" s="99" t="str">
        <f>IF(MR3="","",MR3)</f>
        <v>Fiche CH6/1</v>
      </c>
      <c r="NK3" s="216" t="str">
        <f>IF(MS3="","",MS3)</f>
        <v>Fiche CH6/2</v>
      </c>
      <c r="NL3" s="100" t="str">
        <f>IF(MT3="","",MT3)</f>
        <v>Eval CH6 CH7</v>
      </c>
      <c r="NM3" s="198" t="s">
        <v>9</v>
      </c>
      <c r="NN3" s="199"/>
      <c r="NO3" s="200" t="s">
        <v>10</v>
      </c>
      <c r="NP3" s="201"/>
      <c r="NQ3" s="98" t="str">
        <f>IF(MY3="","",MY3)</f>
        <v>EVAL CH4</v>
      </c>
      <c r="NR3" s="99" t="str">
        <f>IF(MZ3="","",MZ3)</f>
        <v>Fiche CH4/4</v>
      </c>
      <c r="NS3" s="100" t="str">
        <f>IF(NA3="","",NA3)</f>
        <v/>
      </c>
      <c r="NT3" s="176" t="s">
        <v>7</v>
      </c>
      <c r="NU3" s="177"/>
      <c r="NV3" s="101" t="str">
        <f>IF(ND3="","",ND3)</f>
        <v>Fiche CH5/1</v>
      </c>
      <c r="NW3" s="99" t="str">
        <f>IF(NE3="","",NE3)</f>
        <v>fiche CH5/3</v>
      </c>
      <c r="NX3" s="216" t="str">
        <f>IF(NF3="","",NF3)</f>
        <v>Eval CH5</v>
      </c>
      <c r="NY3" s="192" t="s">
        <v>8</v>
      </c>
      <c r="NZ3" s="193"/>
      <c r="OA3" s="101" t="str">
        <f>IF(NI3="","",NI3)</f>
        <v>Eval O1 O2</v>
      </c>
      <c r="OB3" s="99" t="str">
        <f>IF(NJ3="","",NJ3)</f>
        <v>Fiche CH6/1</v>
      </c>
      <c r="OC3" s="216" t="str">
        <f>IF(NK3="","",NK3)</f>
        <v>Fiche CH6/2</v>
      </c>
      <c r="OD3" s="100" t="str">
        <f>IF(NL3="","",NL3)</f>
        <v>Eval CH6 CH7</v>
      </c>
      <c r="OE3" s="198" t="s">
        <v>9</v>
      </c>
      <c r="OF3" s="199"/>
      <c r="OG3" s="200" t="s">
        <v>10</v>
      </c>
      <c r="OH3" s="201"/>
      <c r="OI3" s="98" t="str">
        <f>IF(NQ3="","",NQ3)</f>
        <v>EVAL CH4</v>
      </c>
      <c r="OJ3" s="99" t="str">
        <f>IF(NR3="","",NR3)</f>
        <v>Fiche CH4/4</v>
      </c>
      <c r="OK3" s="100" t="str">
        <f>IF(NS3="","",NS3)</f>
        <v/>
      </c>
      <c r="OL3" s="176" t="s">
        <v>7</v>
      </c>
      <c r="OM3" s="177"/>
      <c r="ON3" s="101" t="str">
        <f>IF(NV3="","",NV3)</f>
        <v>Fiche CH5/1</v>
      </c>
      <c r="OO3" s="99" t="str">
        <f>IF(NW3="","",NW3)</f>
        <v>fiche CH5/3</v>
      </c>
      <c r="OP3" s="216" t="str">
        <f>IF(NX3="","",NX3)</f>
        <v>Eval CH5</v>
      </c>
      <c r="OQ3" s="192" t="s">
        <v>8</v>
      </c>
      <c r="OR3" s="193"/>
      <c r="OS3" s="101" t="str">
        <f>IF(OA3="","",OA3)</f>
        <v>Eval O1 O2</v>
      </c>
      <c r="OT3" s="99" t="str">
        <f>IF(OB3="","",OB3)</f>
        <v>Fiche CH6/1</v>
      </c>
      <c r="OU3" s="216" t="str">
        <f>IF(OC3="","",OC3)</f>
        <v>Fiche CH6/2</v>
      </c>
      <c r="OV3" s="100" t="str">
        <f>IF(OD3="","",OD3)</f>
        <v>Eval CH6 CH7</v>
      </c>
      <c r="OW3" s="198" t="s">
        <v>9</v>
      </c>
      <c r="OX3" s="199"/>
      <c r="OY3" s="200" t="s">
        <v>10</v>
      </c>
      <c r="OZ3" s="201"/>
      <c r="PA3" s="98" t="str">
        <f>IF(OI3="","",OI3)</f>
        <v>EVAL CH4</v>
      </c>
      <c r="PB3" s="99" t="str">
        <f>IF(OJ3="","",OJ3)</f>
        <v>Fiche CH4/4</v>
      </c>
      <c r="PC3" s="100" t="str">
        <f>IF(OK3="","",OK3)</f>
        <v/>
      </c>
      <c r="PD3" s="176" t="s">
        <v>7</v>
      </c>
      <c r="PE3" s="177"/>
      <c r="PF3" s="101" t="str">
        <f>IF(ON3="","",ON3)</f>
        <v>Fiche CH5/1</v>
      </c>
      <c r="PG3" s="99" t="str">
        <f>IF(OO3="","",OO3)</f>
        <v>fiche CH5/3</v>
      </c>
      <c r="PH3" s="216" t="str">
        <f>IF(OP3="","",OP3)</f>
        <v>Eval CH5</v>
      </c>
      <c r="PI3" s="192" t="s">
        <v>8</v>
      </c>
      <c r="PJ3" s="193"/>
      <c r="PK3" s="101" t="str">
        <f>IF(OS3="","",OS3)</f>
        <v>Eval O1 O2</v>
      </c>
      <c r="PL3" s="99" t="str">
        <f>IF(OT3="","",OT3)</f>
        <v>Fiche CH6/1</v>
      </c>
      <c r="PM3" s="216" t="str">
        <f>IF(OU3="","",OU3)</f>
        <v>Fiche CH6/2</v>
      </c>
      <c r="PN3" s="100" t="str">
        <f>IF(OV3="","",OV3)</f>
        <v>Eval CH6 CH7</v>
      </c>
      <c r="PO3" s="198" t="s">
        <v>9</v>
      </c>
      <c r="PP3" s="199"/>
      <c r="PQ3" s="200" t="s">
        <v>10</v>
      </c>
      <c r="PR3" s="201"/>
      <c r="PS3" s="98" t="str">
        <f>IF(PA3="","",PA3)</f>
        <v>EVAL CH4</v>
      </c>
      <c r="PT3" s="99" t="str">
        <f>IF(PB3="","",PB3)</f>
        <v>Fiche CH4/4</v>
      </c>
      <c r="PU3" s="100" t="str">
        <f>IF(PC3="","",PC3)</f>
        <v/>
      </c>
      <c r="PV3" s="176" t="s">
        <v>7</v>
      </c>
      <c r="PW3" s="177"/>
      <c r="PX3" s="101" t="str">
        <f>IF(PF3="","",PF3)</f>
        <v>Fiche CH5/1</v>
      </c>
      <c r="PY3" s="99" t="str">
        <f>IF(PG3="","",PG3)</f>
        <v>fiche CH5/3</v>
      </c>
      <c r="PZ3" s="216" t="str">
        <f>IF(PH3="","",PH3)</f>
        <v>Eval CH5</v>
      </c>
      <c r="QA3" s="192" t="s">
        <v>8</v>
      </c>
      <c r="QB3" s="193"/>
      <c r="QC3" s="101" t="str">
        <f>IF(PK3="","",PK3)</f>
        <v>Eval O1 O2</v>
      </c>
      <c r="QD3" s="99" t="str">
        <f>IF(PL3="","",PL3)</f>
        <v>Fiche CH6/1</v>
      </c>
      <c r="QE3" s="216" t="str">
        <f>IF(PM3="","",PM3)</f>
        <v>Fiche CH6/2</v>
      </c>
      <c r="QF3" s="100" t="str">
        <f>IF(PN3="","",PN3)</f>
        <v>Eval CH6 CH7</v>
      </c>
      <c r="QG3" s="198" t="s">
        <v>9</v>
      </c>
      <c r="QH3" s="199"/>
      <c r="QI3" s="200" t="s">
        <v>10</v>
      </c>
      <c r="QJ3" s="201"/>
      <c r="QK3" s="98" t="str">
        <f>IF(PS3="","",PS3)</f>
        <v>EVAL CH4</v>
      </c>
      <c r="QL3" s="99" t="str">
        <f>IF(PT3="","",PT3)</f>
        <v>Fiche CH4/4</v>
      </c>
      <c r="QM3" s="100" t="str">
        <f>IF(PU3="","",PU3)</f>
        <v/>
      </c>
      <c r="QN3" s="176" t="s">
        <v>7</v>
      </c>
      <c r="QO3" s="177"/>
      <c r="QP3" s="101" t="str">
        <f>IF(PX3="","",PX3)</f>
        <v>Fiche CH5/1</v>
      </c>
      <c r="QQ3" s="99" t="str">
        <f>IF(PY3="","",PY3)</f>
        <v>fiche CH5/3</v>
      </c>
      <c r="QR3" s="216" t="str">
        <f>IF(PZ3="","",PZ3)</f>
        <v>Eval CH5</v>
      </c>
      <c r="QS3" s="192" t="s">
        <v>8</v>
      </c>
      <c r="QT3" s="193"/>
      <c r="QU3" s="101" t="str">
        <f>IF(QC3="","",QC3)</f>
        <v>Eval O1 O2</v>
      </c>
      <c r="QV3" s="99" t="str">
        <f>IF(QD3="","",QD3)</f>
        <v>Fiche CH6/1</v>
      </c>
      <c r="QW3" s="216" t="str">
        <f>IF(QE3="","",QE3)</f>
        <v>Fiche CH6/2</v>
      </c>
      <c r="QX3" s="100" t="str">
        <f>IF(QF3="","",QF3)</f>
        <v>Eval CH6 CH7</v>
      </c>
      <c r="QY3" s="198" t="s">
        <v>9</v>
      </c>
      <c r="QZ3" s="199"/>
      <c r="RA3" s="200" t="s">
        <v>10</v>
      </c>
      <c r="RB3" s="201"/>
      <c r="RC3" s="98" t="str">
        <f>IF(QK3="","",QK3)</f>
        <v>EVAL CH4</v>
      </c>
      <c r="RD3" s="99" t="str">
        <f>IF(QL3="","",QL3)</f>
        <v>Fiche CH4/4</v>
      </c>
      <c r="RE3" s="100" t="str">
        <f>IF(QM3="","",QM3)</f>
        <v/>
      </c>
      <c r="RF3" s="176" t="s">
        <v>7</v>
      </c>
      <c r="RG3" s="177"/>
      <c r="RH3" s="101" t="str">
        <f>IF(QP3="","",QP3)</f>
        <v>Fiche CH5/1</v>
      </c>
      <c r="RI3" s="99" t="str">
        <f>IF(QQ3="","",QQ3)</f>
        <v>fiche CH5/3</v>
      </c>
      <c r="RJ3" s="216" t="str">
        <f>IF(QR3="","",QR3)</f>
        <v>Eval CH5</v>
      </c>
      <c r="RK3" s="192" t="s">
        <v>8</v>
      </c>
      <c r="RL3" s="193"/>
      <c r="RM3" s="101" t="str">
        <f>IF(QU3="","",QU3)</f>
        <v>Eval O1 O2</v>
      </c>
      <c r="RN3" s="99" t="str">
        <f>IF(QV3="","",QV3)</f>
        <v>Fiche CH6/1</v>
      </c>
      <c r="RO3" s="216" t="str">
        <f>IF(QW3="","",QW3)</f>
        <v>Fiche CH6/2</v>
      </c>
      <c r="RP3" s="100" t="str">
        <f>IF(QX3="","",QX3)</f>
        <v>Eval CH6 CH7</v>
      </c>
      <c r="RQ3" s="198" t="s">
        <v>9</v>
      </c>
      <c r="RR3" s="199"/>
      <c r="RS3" s="200" t="s">
        <v>10</v>
      </c>
      <c r="RT3" s="201"/>
      <c r="RU3" s="98" t="str">
        <f>IF(RC3="","",RC3)</f>
        <v>EVAL CH4</v>
      </c>
      <c r="RV3" s="99" t="str">
        <f>IF(RD3="","",RD3)</f>
        <v>Fiche CH4/4</v>
      </c>
      <c r="RW3" s="100" t="str">
        <f>IF(RE3="","",RE3)</f>
        <v/>
      </c>
      <c r="RX3" s="89" t="s">
        <v>7</v>
      </c>
      <c r="RY3" s="90"/>
      <c r="RZ3" s="101" t="str">
        <f>IF(RH3="","",RH3)</f>
        <v>Fiche CH5/1</v>
      </c>
      <c r="SA3" s="99" t="str">
        <f>IF(RI3="","",RI3)</f>
        <v>fiche CH5/3</v>
      </c>
      <c r="SB3" s="100" t="e">
        <f>IF(#REF!="","",#REF!)</f>
        <v>#REF!</v>
      </c>
      <c r="SC3" s="92" t="s">
        <v>8</v>
      </c>
      <c r="SD3" s="93"/>
      <c r="SE3" s="101" t="str">
        <f>IF(RM3="","",RM3)</f>
        <v>Eval O1 O2</v>
      </c>
      <c r="SF3" s="99" t="str">
        <f>IF(RN3="","",RN3)</f>
        <v>Fiche CH6/1</v>
      </c>
      <c r="SG3" s="100" t="str">
        <f>IF(RP3="","",RP3)</f>
        <v>Eval CH6 CH7</v>
      </c>
      <c r="SH3" s="94" t="s">
        <v>9</v>
      </c>
      <c r="SI3" s="95"/>
      <c r="SJ3" s="96" t="s">
        <v>10</v>
      </c>
      <c r="SK3" s="97"/>
      <c r="SL3" s="98" t="str">
        <f>IF(RU3="","",RU3)</f>
        <v>EVAL CH4</v>
      </c>
      <c r="SM3" s="99" t="str">
        <f>IF(RV3="","",RV3)</f>
        <v>Fiche CH4/4</v>
      </c>
      <c r="SN3" s="100" t="str">
        <f>IF(RW3="","",RW3)</f>
        <v/>
      </c>
      <c r="SO3" s="89" t="s">
        <v>7</v>
      </c>
      <c r="SP3" s="90"/>
      <c r="SQ3" s="101" t="str">
        <f>IF(RZ3="","",RZ3)</f>
        <v>Fiche CH5/1</v>
      </c>
      <c r="SR3" s="99" t="str">
        <f>IF(SA3="","",SA3)</f>
        <v>fiche CH5/3</v>
      </c>
      <c r="SS3" s="100" t="e">
        <f>IF(SB3="","",SB3)</f>
        <v>#REF!</v>
      </c>
      <c r="ST3" s="92" t="s">
        <v>8</v>
      </c>
      <c r="SU3" s="93"/>
      <c r="SV3" s="101" t="str">
        <f>IF(SE3="","",SE3)</f>
        <v>Eval O1 O2</v>
      </c>
      <c r="SW3" s="99" t="str">
        <f>IF(SF3="","",SF3)</f>
        <v>Fiche CH6/1</v>
      </c>
      <c r="SX3" s="100" t="str">
        <f>IF(SG3="","",SG3)</f>
        <v>Eval CH6 CH7</v>
      </c>
      <c r="SY3" s="94" t="s">
        <v>9</v>
      </c>
      <c r="SZ3" s="95"/>
      <c r="TA3" s="96" t="s">
        <v>10</v>
      </c>
      <c r="TB3" s="97"/>
      <c r="TC3" s="98" t="str">
        <f>IF(SL3="","",SL3)</f>
        <v>EVAL CH4</v>
      </c>
      <c r="TD3" s="99" t="str">
        <f>IF(SM3="","",SM3)</f>
        <v>Fiche CH4/4</v>
      </c>
      <c r="TE3" s="100" t="str">
        <f>IF(SN3="","",SN3)</f>
        <v/>
      </c>
      <c r="TF3" s="89" t="s">
        <v>7</v>
      </c>
      <c r="TG3" s="90"/>
      <c r="TH3" s="101" t="str">
        <f>IF(SQ3="","",SQ3)</f>
        <v>Fiche CH5/1</v>
      </c>
      <c r="TI3" s="99" t="str">
        <f>IF(SR3="","",SR3)</f>
        <v>fiche CH5/3</v>
      </c>
      <c r="TJ3" s="100" t="e">
        <f>IF(SS3="","",SS3)</f>
        <v>#REF!</v>
      </c>
      <c r="TK3" s="92" t="s">
        <v>8</v>
      </c>
      <c r="TL3" s="93"/>
      <c r="TM3" s="101" t="str">
        <f>IF(SV3="","",SV3)</f>
        <v>Eval O1 O2</v>
      </c>
      <c r="TN3" s="99" t="str">
        <f>IF(SW3="","",SW3)</f>
        <v>Fiche CH6/1</v>
      </c>
      <c r="TO3" s="100" t="str">
        <f>IF(SX3="","",SX3)</f>
        <v>Eval CH6 CH7</v>
      </c>
      <c r="TP3" s="94" t="s">
        <v>9</v>
      </c>
      <c r="TQ3" s="95"/>
      <c r="TR3" s="96" t="s">
        <v>10</v>
      </c>
      <c r="TS3" s="97"/>
    </row>
    <row r="4" spans="1:539" s="114" customFormat="1" ht="30" customHeight="1" thickBot="1" x14ac:dyDescent="0.3">
      <c r="A4" s="163" t="s">
        <v>11</v>
      </c>
      <c r="B4" s="102">
        <v>2</v>
      </c>
      <c r="C4" s="171"/>
      <c r="D4" s="84"/>
      <c r="E4" s="104"/>
      <c r="F4" s="178">
        <f>IF(COUNT(F5:F9)=0,"",SUM(F5:F9)/COUNT(F5:F9))</f>
        <v>2.5</v>
      </c>
      <c r="G4" s="179" t="str">
        <f t="shared" ref="G4:G21" si="0">IF(F4="","",IF(F4&gt;3.7,"A",IF(F4&gt;2.8,"B",IF(F4&gt;1.5,"C",IF(F4&gt;0,"D",IF(F4=0,""))))))</f>
        <v>C</v>
      </c>
      <c r="H4" s="171"/>
      <c r="I4" s="84"/>
      <c r="J4" s="84"/>
      <c r="K4" s="178">
        <f>IF(COUNT(K5:K9)=0,"",SUM(K5:K9)/COUNT(K5:K9))</f>
        <v>2.75</v>
      </c>
      <c r="L4" s="194" t="str">
        <f t="shared" ref="L4:L21" si="1">IF(K4="","",IF(K4&gt;3.7,"A",IF(K4&gt;2.8,"B",IF(K4&gt;1.5,"C",IF(K4&gt;0,"D",IF(K4=0,""))))))</f>
        <v>C</v>
      </c>
      <c r="M4" s="172"/>
      <c r="N4" s="109"/>
      <c r="O4" s="109"/>
      <c r="P4" s="110"/>
      <c r="Q4" s="178">
        <f>IF(COUNT(Q5:Q9)=0,"",SUM(Q5:Q9)/COUNT(Q5:Q9))</f>
        <v>2.75</v>
      </c>
      <c r="R4" s="202" t="str">
        <f t="shared" ref="R4:R21" si="2">IF(Q4="","",IF(Q4&gt;3.7,"A",IF(Q4&gt;2.8,"B",IF(Q4&gt;1.5,"C",IF(Q4&gt;0,"D",IF(Q4=0,""))))))</f>
        <v>C</v>
      </c>
      <c r="S4" s="203">
        <f>IF(COUNT(S5:S9)=0,"",SUM(S5:S9)/COUNT(S5:S9))</f>
        <v>2.7291666666666665</v>
      </c>
      <c r="T4" s="204" t="str">
        <f t="shared" ref="T4:T21" si="3">IF(S4="","",IF(S4&gt;3.7,"A",IF(S4&gt;2.8,"B",IF(S4&gt;1.5,"C",IF(S4&gt;0,"D",IF(S4=0,""))))))</f>
        <v>C</v>
      </c>
      <c r="U4" s="171"/>
      <c r="V4" s="84"/>
      <c r="W4" s="104"/>
      <c r="X4" s="178">
        <f>IF(COUNT(X5:X9)=0,"",SUM(X5:X9)/COUNT(X5:X9))</f>
        <v>3</v>
      </c>
      <c r="Y4" s="179" t="str">
        <f t="shared" ref="Y4:Y21" si="4">IF(X4="","",IF(X4&gt;3.7,"A",IF(X4&gt;2.8,"B",IF(X4&gt;1.5,"C",IF(X4&gt;0,"D",IF(X4=0,""))))))</f>
        <v>B</v>
      </c>
      <c r="Z4" s="171"/>
      <c r="AA4" s="84"/>
      <c r="AB4" s="84"/>
      <c r="AC4" s="178">
        <f>IF(COUNT(AC5:AC9)=0,"",SUM(AC5:AC9)/COUNT(AC5:AC9))</f>
        <v>3.125</v>
      </c>
      <c r="AD4" s="194" t="str">
        <f t="shared" ref="AD4:AD21" si="5">IF(AC4="","",IF(AC4&gt;3.7,"A",IF(AC4&gt;2.8,"B",IF(AC4&gt;1.5,"C",IF(AC4&gt;0,"D",IF(AC4=0,""))))))</f>
        <v>B</v>
      </c>
      <c r="AE4" s="172"/>
      <c r="AF4" s="109"/>
      <c r="AG4" s="109"/>
      <c r="AH4" s="110"/>
      <c r="AI4" s="178">
        <f>IF(COUNT(AI5:AI9)=0,"",SUM(AI5:AI9)/COUNT(AI5:AI9))</f>
        <v>3</v>
      </c>
      <c r="AJ4" s="202" t="str">
        <f t="shared" ref="AJ4:AJ21" si="6">IF(AI4="","",IF(AI4&gt;3.7,"A",IF(AI4&gt;2.8,"B",IF(AI4&gt;1.5,"C",IF(AI4&gt;0,"D",IF(AI4=0,""))))))</f>
        <v>B</v>
      </c>
      <c r="AK4" s="203">
        <f>IF(COUNT(AK5:AK9)=0,"",SUM(AK5:AK9)/COUNT(AK5:AK9))</f>
        <v>3.0625</v>
      </c>
      <c r="AL4" s="204" t="str">
        <f t="shared" ref="AL4:AL21" si="7">IF(AK4="","",IF(AK4&gt;3.7,"A",IF(AK4&gt;2.8,"B",IF(AK4&gt;1.5,"C",IF(AK4&gt;0,"D",IF(AK4=0,""))))))</f>
        <v>B</v>
      </c>
      <c r="AM4" s="171"/>
      <c r="AN4" s="84"/>
      <c r="AO4" s="104"/>
      <c r="AP4" s="178">
        <f>IF(COUNT(AP5:AP9)=0,"",SUM(AP5:AP9)/COUNT(AP5:AP9))</f>
        <v>2.5</v>
      </c>
      <c r="AQ4" s="179" t="str">
        <f t="shared" ref="AQ4:AQ21" si="8">IF(AP4="","",IF(AP4&gt;3.7,"A",IF(AP4&gt;2.8,"B",IF(AP4&gt;1.5,"C",IF(AP4&gt;0,"D",IF(AP4=0,""))))))</f>
        <v>C</v>
      </c>
      <c r="AR4" s="171"/>
      <c r="AS4" s="84"/>
      <c r="AT4" s="84"/>
      <c r="AU4" s="178">
        <f>IF(COUNT(AU5:AU9)=0,"",SUM(AU5:AU9)/COUNT(AU5:AU9))</f>
        <v>3.125</v>
      </c>
      <c r="AV4" s="194" t="str">
        <f t="shared" ref="AV4:AV21" si="9">IF(AU4="","",IF(AU4&gt;3.7,"A",IF(AU4&gt;2.8,"B",IF(AU4&gt;1.5,"C",IF(AU4&gt;0,"D",IF(AU4=0,""))))))</f>
        <v>B</v>
      </c>
      <c r="AW4" s="172"/>
      <c r="AX4" s="109"/>
      <c r="AY4" s="109"/>
      <c r="AZ4" s="110"/>
      <c r="BA4" s="178">
        <f>IF(COUNT(BA5:BA9)=0,"",SUM(BA5:BA9)/COUNT(BA5:BA9))</f>
        <v>2.75</v>
      </c>
      <c r="BB4" s="202" t="str">
        <f t="shared" ref="BB4:BB21" si="10">IF(BA4="","",IF(BA4&gt;3.7,"A",IF(BA4&gt;2.8,"B",IF(BA4&gt;1.5,"C",IF(BA4&gt;0,"D",IF(BA4=0,""))))))</f>
        <v>C</v>
      </c>
      <c r="BC4" s="203">
        <f>IF(COUNT(BC5:BC9)=0,"",SUM(BC5:BC9)/COUNT(BC5:BC9))</f>
        <v>2.9375</v>
      </c>
      <c r="BD4" s="204" t="str">
        <f t="shared" ref="BD4:BD21" si="11">IF(BC4="","",IF(BC4&gt;3.7,"A",IF(BC4&gt;2.8,"B",IF(BC4&gt;1.5,"C",IF(BC4&gt;0,"D",IF(BC4=0,""))))))</f>
        <v>B</v>
      </c>
      <c r="BE4" s="171"/>
      <c r="BF4" s="84"/>
      <c r="BG4" s="104"/>
      <c r="BH4" s="178">
        <f>IF(COUNT(BH5:BH9)=0,"",SUM(BH5:BH9)/COUNT(BH5:BH9))</f>
        <v>3</v>
      </c>
      <c r="BI4" s="179" t="str">
        <f t="shared" ref="BI4:BI21" si="12">IF(BH4="","",IF(BH4&gt;3.7,"A",IF(BH4&gt;2.8,"B",IF(BH4&gt;1.5,"C",IF(BH4&gt;0,"D",IF(BH4=0,""))))))</f>
        <v>B</v>
      </c>
      <c r="BJ4" s="171"/>
      <c r="BK4" s="84"/>
      <c r="BL4" s="84"/>
      <c r="BM4" s="178">
        <f>IF(COUNT(BM5:BM9)=0,"",SUM(BM5:BM9)/COUNT(BM5:BM9))</f>
        <v>3</v>
      </c>
      <c r="BN4" s="194" t="str">
        <f t="shared" ref="BN4:BN21" si="13">IF(BM4="","",IF(BM4&gt;3.7,"A",IF(BM4&gt;2.8,"B",IF(BM4&gt;1.5,"C",IF(BM4&gt;0,"D",IF(BM4=0,""))))))</f>
        <v>B</v>
      </c>
      <c r="BO4" s="172"/>
      <c r="BP4" s="109"/>
      <c r="BQ4" s="109"/>
      <c r="BR4" s="110"/>
      <c r="BS4" s="178">
        <f>IF(COUNT(BS5:BS9)=0,"",SUM(BS5:BS9)/COUNT(BS5:BS9))</f>
        <v>2.25</v>
      </c>
      <c r="BT4" s="202" t="str">
        <f t="shared" ref="BT4:BT21" si="14">IF(BS4="","",IF(BS4&gt;3.7,"A",IF(BS4&gt;2.8,"B",IF(BS4&gt;1.5,"C",IF(BS4&gt;0,"D",IF(BS4=0,""))))))</f>
        <v>C</v>
      </c>
      <c r="BU4" s="203">
        <f>IF(COUNT(BU5:BU9)=0,"",SUM(BU5:BU9)/COUNT(BU5:BU9))</f>
        <v>2.7708333333333335</v>
      </c>
      <c r="BV4" s="204" t="str">
        <f t="shared" ref="BV4:BV21" si="15">IF(BU4="","",IF(BU4&gt;3.7,"A",IF(BU4&gt;2.8,"B",IF(BU4&gt;1.5,"C",IF(BU4&gt;0,"D",IF(BU4=0,""))))))</f>
        <v>C</v>
      </c>
      <c r="BW4" s="171"/>
      <c r="BX4" s="84"/>
      <c r="BY4" s="104"/>
      <c r="BZ4" s="178">
        <f>IF(COUNT(BZ5:BZ9)=0,"",SUM(BZ5:BZ9)/COUNT(BZ5:BZ9))</f>
        <v>2.5</v>
      </c>
      <c r="CA4" s="179" t="str">
        <f t="shared" ref="CA4:CA21" si="16">IF(BZ4="","",IF(BZ4&gt;3.7,"A",IF(BZ4&gt;2.8,"B",IF(BZ4&gt;1.5,"C",IF(BZ4&gt;0,"D",IF(BZ4=0,""))))))</f>
        <v>C</v>
      </c>
      <c r="CB4" s="171"/>
      <c r="CC4" s="84"/>
      <c r="CD4" s="84"/>
      <c r="CE4" s="178">
        <f>IF(COUNT(CE5:CE9)=0,"",SUM(CE5:CE9)/COUNT(CE5:CE9))</f>
        <v>3</v>
      </c>
      <c r="CF4" s="194" t="str">
        <f t="shared" ref="CF4:CF21" si="17">IF(CE4="","",IF(CE4&gt;3.7,"A",IF(CE4&gt;2.8,"B",IF(CE4&gt;1.5,"C",IF(CE4&gt;0,"D",IF(CE4=0,""))))))</f>
        <v>B</v>
      </c>
      <c r="CG4" s="172"/>
      <c r="CH4" s="109"/>
      <c r="CI4" s="109"/>
      <c r="CJ4" s="110"/>
      <c r="CK4" s="178">
        <f>IF(COUNT(CK5:CK9)=0,"",SUM(CK5:CK9)/COUNT(CK5:CK9))</f>
        <v>2.5</v>
      </c>
      <c r="CL4" s="202" t="str">
        <f t="shared" ref="CL4:CL21" si="18">IF(CK4="","",IF(CK4&gt;3.7,"A",IF(CK4&gt;2.8,"B",IF(CK4&gt;1.5,"C",IF(CK4&gt;0,"D",IF(CK4=0,""))))))</f>
        <v>C</v>
      </c>
      <c r="CM4" s="203">
        <f>IF(COUNT(CM5:CM9)=0,"",SUM(CM5:CM9)/COUNT(CM5:CM9))</f>
        <v>2.7083333333333335</v>
      </c>
      <c r="CN4" s="204" t="str">
        <f t="shared" ref="CN4:CN21" si="19">IF(CM4="","",IF(CM4&gt;3.7,"A",IF(CM4&gt;2.8,"B",IF(CM4&gt;1.5,"C",IF(CM4&gt;0,"D",IF(CM4=0,""))))))</f>
        <v>C</v>
      </c>
      <c r="CO4" s="171"/>
      <c r="CP4" s="84"/>
      <c r="CQ4" s="104"/>
      <c r="CR4" s="178">
        <f>IF(COUNT(CR5:CR9)=0,"",SUM(CR5:CR9)/COUNT(CR5:CR9))</f>
        <v>2.5</v>
      </c>
      <c r="CS4" s="179" t="str">
        <f t="shared" ref="CS4:CS21" si="20">IF(CR4="","",IF(CR4&gt;3.7,"A",IF(CR4&gt;2.8,"B",IF(CR4&gt;1.5,"C",IF(CR4&gt;0,"D",IF(CR4=0,""))))))</f>
        <v>C</v>
      </c>
      <c r="CT4" s="171"/>
      <c r="CU4" s="84"/>
      <c r="CV4" s="84"/>
      <c r="CW4" s="178">
        <f>IF(COUNT(CW5:CW9)=0,"",SUM(CW5:CW9)/COUNT(CW5:CW9))</f>
        <v>2.625</v>
      </c>
      <c r="CX4" s="194" t="str">
        <f t="shared" ref="CX4:CX21" si="21">IF(CW4="","",IF(CW4&gt;3.7,"A",IF(CW4&gt;2.8,"B",IF(CW4&gt;1.5,"C",IF(CW4&gt;0,"D",IF(CW4=0,""))))))</f>
        <v>C</v>
      </c>
      <c r="CY4" s="172"/>
      <c r="CZ4" s="109"/>
      <c r="DA4" s="109"/>
      <c r="DB4" s="110"/>
      <c r="DC4" s="178">
        <f>IF(COUNT(DC5:DC9)=0,"",SUM(DC5:DC9)/COUNT(DC5:DC9))</f>
        <v>2.5</v>
      </c>
      <c r="DD4" s="202" t="str">
        <f t="shared" ref="DD4:DD21" si="22">IF(DC4="","",IF(DC4&gt;3.7,"A",IF(DC4&gt;2.8,"B",IF(DC4&gt;1.5,"C",IF(DC4&gt;0,"D",IF(DC4=0,""))))))</f>
        <v>C</v>
      </c>
      <c r="DE4" s="203">
        <f>IF(COUNT(DE5:DE9)=0,"",SUM(DE5:DE9)/COUNT(DE5:DE9))</f>
        <v>2.6666666666666665</v>
      </c>
      <c r="DF4" s="204" t="str">
        <f t="shared" ref="DF4:DF21" si="23">IF(DE4="","",IF(DE4&gt;3.7,"A",IF(DE4&gt;2.8,"B",IF(DE4&gt;1.5,"C",IF(DE4&gt;0,"D",IF(DE4=0,""))))))</f>
        <v>C</v>
      </c>
      <c r="DG4" s="171"/>
      <c r="DH4" s="84"/>
      <c r="DI4" s="104"/>
      <c r="DJ4" s="178">
        <f>IF(COUNT(DJ5:DJ9)=0,"",SUM(DJ5:DJ9)/COUNT(DJ5:DJ9))</f>
        <v>2.5</v>
      </c>
      <c r="DK4" s="179" t="str">
        <f t="shared" ref="DK4:DK21" si="24">IF(DJ4="","",IF(DJ4&gt;3.7,"A",IF(DJ4&gt;2.8,"B",IF(DJ4&gt;1.5,"C",IF(DJ4&gt;0,"D",IF(DJ4=0,""))))))</f>
        <v>C</v>
      </c>
      <c r="DL4" s="171"/>
      <c r="DM4" s="84"/>
      <c r="DN4" s="84"/>
      <c r="DO4" s="178">
        <f>IF(COUNT(DO5:DO9)=0,"",SUM(DO5:DO9)/COUNT(DO5:DO9))</f>
        <v>3.125</v>
      </c>
      <c r="DP4" s="194" t="str">
        <f t="shared" ref="DP4:DP21" si="25">IF(DO4="","",IF(DO4&gt;3.7,"A",IF(DO4&gt;2.8,"B",IF(DO4&gt;1.5,"C",IF(DO4&gt;0,"D",IF(DO4=0,""))))))</f>
        <v>B</v>
      </c>
      <c r="DQ4" s="172"/>
      <c r="DR4" s="109"/>
      <c r="DS4" s="109"/>
      <c r="DT4" s="110"/>
      <c r="DU4" s="178">
        <f>IF(COUNT(DU5:DU9)=0,"",SUM(DU5:DU9)/COUNT(DU5:DU9))</f>
        <v>3.75</v>
      </c>
      <c r="DV4" s="202" t="str">
        <f t="shared" ref="DV4:DV21" si="26">IF(DU4="","",IF(DU4&gt;3.7,"A",IF(DU4&gt;2.8,"B",IF(DU4&gt;1.5,"C",IF(DU4&gt;0,"D",IF(DU4=0,""))))))</f>
        <v>A</v>
      </c>
      <c r="DW4" s="203">
        <f>IF(COUNT(DW5:DW9)=0,"",SUM(DW5:DW9)/COUNT(DW5:DW9))</f>
        <v>3.1666666666666665</v>
      </c>
      <c r="DX4" s="204" t="str">
        <f t="shared" ref="DX4:DX21" si="27">IF(DW4="","",IF(DW4&gt;3.7,"A",IF(DW4&gt;2.8,"B",IF(DW4&gt;1.5,"C",IF(DW4&gt;0,"D",IF(DW4=0,""))))))</f>
        <v>B</v>
      </c>
      <c r="DY4" s="171"/>
      <c r="DZ4" s="84"/>
      <c r="EA4" s="104"/>
      <c r="EB4" s="178">
        <f>IF(COUNT(EB5:EB9)=0,"",SUM(EB5:EB9)/COUNT(EB5:EB9))</f>
        <v>2.5</v>
      </c>
      <c r="EC4" s="179" t="str">
        <f t="shared" ref="EC4:EC21" si="28">IF(EB4="","",IF(EB4&gt;3.7,"A",IF(EB4&gt;2.8,"B",IF(EB4&gt;1.5,"C",IF(EB4&gt;0,"D",IF(EB4=0,""))))))</f>
        <v>C</v>
      </c>
      <c r="ED4" s="171"/>
      <c r="EE4" s="84"/>
      <c r="EF4" s="84"/>
      <c r="EG4" s="178">
        <f>IF(COUNT(EG5:EG9)=0,"",SUM(EG5:EG9)/COUNT(EG5:EG9))</f>
        <v>1.6666666666666667</v>
      </c>
      <c r="EH4" s="194" t="str">
        <f t="shared" ref="EH4:EH21" si="29">IF(EG4="","",IF(EG4&gt;3.7,"A",IF(EG4&gt;2.8,"B",IF(EG4&gt;1.5,"C",IF(EG4&gt;0,"D",IF(EG4=0,""))))))</f>
        <v>C</v>
      </c>
      <c r="EI4" s="172"/>
      <c r="EJ4" s="109"/>
      <c r="EK4" s="109"/>
      <c r="EL4" s="110"/>
      <c r="EM4" s="178">
        <f>IF(COUNT(EM5:EM9)=0,"",SUM(EM5:EM9)/COUNT(EM5:EM9))</f>
        <v>1</v>
      </c>
      <c r="EN4" s="202" t="str">
        <f t="shared" ref="EN4:EN21" si="30">IF(EM4="","",IF(EM4&gt;3.7,"A",IF(EM4&gt;2.8,"B",IF(EM4&gt;1.5,"C",IF(EM4&gt;0,"D",IF(EM4=0,""))))))</f>
        <v>D</v>
      </c>
      <c r="EO4" s="203">
        <f>IF(COUNT(EO5:EO9)=0,"",SUM(EO5:EO9)/COUNT(EO5:EO9))</f>
        <v>1.5833333333333335</v>
      </c>
      <c r="EP4" s="204" t="str">
        <f t="shared" ref="EP4:EP21" si="31">IF(EO4="","",IF(EO4&gt;3.7,"A",IF(EO4&gt;2.8,"B",IF(EO4&gt;1.5,"C",IF(EO4&gt;0,"D",IF(EO4=0,""))))))</f>
        <v>C</v>
      </c>
      <c r="EQ4" s="171"/>
      <c r="ER4" s="84"/>
      <c r="ES4" s="104"/>
      <c r="ET4" s="178">
        <f>IF(COUNT(ET5:ET9)=0,"",SUM(ET5:ET9)/COUNT(ET5:ET9))</f>
        <v>2.5</v>
      </c>
      <c r="EU4" s="179" t="str">
        <f t="shared" ref="EU4:EU21" si="32">IF(ET4="","",IF(ET4&gt;3.7,"A",IF(ET4&gt;2.8,"B",IF(ET4&gt;1.5,"C",IF(ET4&gt;0,"D",IF(ET4=0,""))))))</f>
        <v>C</v>
      </c>
      <c r="EV4" s="171"/>
      <c r="EW4" s="84"/>
      <c r="EX4" s="84"/>
      <c r="EY4" s="178">
        <f>IF(COUNT(EY5:EY9)=0,"",SUM(EY5:EY9)/COUNT(EY5:EY9))</f>
        <v>2.75</v>
      </c>
      <c r="EZ4" s="194" t="str">
        <f t="shared" ref="EZ4:EZ21" si="33">IF(EY4="","",IF(EY4&gt;3.7,"A",IF(EY4&gt;2.8,"B",IF(EY4&gt;1.5,"C",IF(EY4&gt;0,"D",IF(EY4=0,""))))))</f>
        <v>C</v>
      </c>
      <c r="FA4" s="172"/>
      <c r="FB4" s="109"/>
      <c r="FC4" s="109"/>
      <c r="FD4" s="110"/>
      <c r="FE4" s="178">
        <f>IF(COUNT(FE5:FE9)=0,"",SUM(FE5:FE9)/COUNT(FE5:FE9))</f>
        <v>3.25</v>
      </c>
      <c r="FF4" s="202" t="str">
        <f t="shared" ref="FF4:FF21" si="34">IF(FE4="","",IF(FE4&gt;3.7,"A",IF(FE4&gt;2.8,"B",IF(FE4&gt;1.5,"C",IF(FE4&gt;0,"D",IF(FE4=0,""))))))</f>
        <v>B</v>
      </c>
      <c r="FG4" s="203">
        <f>IF(COUNT(FG5:FG9)=0,"",SUM(FG5:FG9)/COUNT(FG5:FG9))</f>
        <v>2.6666666666666665</v>
      </c>
      <c r="FH4" s="204" t="str">
        <f t="shared" ref="FH4:FH21" si="35">IF(FG4="","",IF(FG4&gt;3.7,"A",IF(FG4&gt;2.8,"B",IF(FG4&gt;1.5,"C",IF(FG4&gt;0,"D",IF(FG4=0,""))))))</f>
        <v>C</v>
      </c>
      <c r="FI4" s="171"/>
      <c r="FJ4" s="84"/>
      <c r="FK4" s="104"/>
      <c r="FL4" s="178">
        <f>IF(COUNT(FL5:FL9)=0,"",SUM(FL5:FL9)/COUNT(FL5:FL9))</f>
        <v>2.5</v>
      </c>
      <c r="FM4" s="179" t="str">
        <f t="shared" ref="FM4:FM21" si="36">IF(FL4="","",IF(FL4&gt;3.7,"A",IF(FL4&gt;2.8,"B",IF(FL4&gt;1.5,"C",IF(FL4&gt;0,"D",IF(FL4=0,""))))))</f>
        <v>C</v>
      </c>
      <c r="FN4" s="171"/>
      <c r="FO4" s="84"/>
      <c r="FP4" s="84"/>
      <c r="FQ4" s="178">
        <f>IF(COUNT(FQ5:FQ9)=0,"",SUM(FQ5:FQ9)/COUNT(FQ5:FQ9))</f>
        <v>2.875</v>
      </c>
      <c r="FR4" s="194" t="str">
        <f t="shared" ref="FR4:FR21" si="37">IF(FQ4="","",IF(FQ4&gt;3.7,"A",IF(FQ4&gt;2.8,"B",IF(FQ4&gt;1.5,"C",IF(FQ4&gt;0,"D",IF(FQ4=0,""))))))</f>
        <v>B</v>
      </c>
      <c r="FS4" s="172"/>
      <c r="FT4" s="109"/>
      <c r="FU4" s="109"/>
      <c r="FV4" s="110"/>
      <c r="FW4" s="178">
        <f>IF(COUNT(FW5:FW9)=0,"",SUM(FW5:FW9)/COUNT(FW5:FW9))</f>
        <v>2.5</v>
      </c>
      <c r="FX4" s="202" t="str">
        <f t="shared" ref="FX4:FX21" si="38">IF(FW4="","",IF(FW4&gt;3.7,"A",IF(FW4&gt;2.8,"B",IF(FW4&gt;1.5,"C",IF(FW4&gt;0,"D",IF(FW4=0,""))))))</f>
        <v>C</v>
      </c>
      <c r="FY4" s="203">
        <f>IF(COUNT(FY5:FY9)=0,"",SUM(FY5:FY9)/COUNT(FY5:FY9))</f>
        <v>2.6458333333333335</v>
      </c>
      <c r="FZ4" s="204" t="str">
        <f t="shared" ref="FZ4:FZ21" si="39">IF(FY4="","",IF(FY4&gt;3.7,"A",IF(FY4&gt;2.8,"B",IF(FY4&gt;1.5,"C",IF(FY4&gt;0,"D",IF(FY4=0,""))))))</f>
        <v>C</v>
      </c>
      <c r="GA4" s="171"/>
      <c r="GB4" s="84"/>
      <c r="GC4" s="104"/>
      <c r="GD4" s="178">
        <f>IF(COUNT(GD5:GD9)=0,"",SUM(GD5:GD9)/COUNT(GD5:GD9))</f>
        <v>3</v>
      </c>
      <c r="GE4" s="179" t="str">
        <f t="shared" ref="GE4:GE21" si="40">IF(GD4="","",IF(GD4&gt;3.7,"A",IF(GD4&gt;2.8,"B",IF(GD4&gt;1.5,"C",IF(GD4&gt;0,"D",IF(GD4=0,""))))))</f>
        <v>B</v>
      </c>
      <c r="GF4" s="171"/>
      <c r="GG4" s="84"/>
      <c r="GH4" s="84"/>
      <c r="GI4" s="178">
        <f>IF(COUNT(GI5:GI9)=0,"",SUM(GI5:GI9)/COUNT(GI5:GI9))</f>
        <v>3.125</v>
      </c>
      <c r="GJ4" s="194" t="str">
        <f t="shared" ref="GJ4:GJ21" si="41">IF(GI4="","",IF(GI4&gt;3.7,"A",IF(GI4&gt;2.8,"B",IF(GI4&gt;1.5,"C",IF(GI4&gt;0,"D",IF(GI4=0,""))))))</f>
        <v>B</v>
      </c>
      <c r="GK4" s="172"/>
      <c r="GL4" s="109"/>
      <c r="GM4" s="109"/>
      <c r="GN4" s="110"/>
      <c r="GO4" s="178">
        <f>IF(COUNT(GO5:GO9)=0,"",SUM(GO5:GO9)/COUNT(GO5:GO9))</f>
        <v>3</v>
      </c>
      <c r="GP4" s="202" t="str">
        <f t="shared" ref="GP4:GP21" si="42">IF(GO4="","",IF(GO4&gt;3.7,"A",IF(GO4&gt;2.8,"B",IF(GO4&gt;1.5,"C",IF(GO4&gt;0,"D",IF(GO4=0,""))))))</f>
        <v>B</v>
      </c>
      <c r="GQ4" s="203">
        <f>IF(COUNT(GQ5:GQ9)=0,"",SUM(GQ5:GQ9)/COUNT(GQ5:GQ9))</f>
        <v>3.0833333333333335</v>
      </c>
      <c r="GR4" s="204" t="str">
        <f t="shared" ref="GR4:GR21" si="43">IF(GQ4="","",IF(GQ4&gt;3.7,"A",IF(GQ4&gt;2.8,"B",IF(GQ4&gt;1.5,"C",IF(GQ4&gt;0,"D",IF(GQ4=0,""))))))</f>
        <v>B</v>
      </c>
      <c r="GS4" s="171"/>
      <c r="GT4" s="84"/>
      <c r="GU4" s="104"/>
      <c r="GV4" s="178">
        <f>IF(COUNT(GV5:GV9)=0,"",SUM(GV5:GV9)/COUNT(GV5:GV9))</f>
        <v>1.75</v>
      </c>
      <c r="GW4" s="179" t="str">
        <f t="shared" ref="GW4:GW21" si="44">IF(GV4="","",IF(GV4&gt;3.7,"A",IF(GV4&gt;2.8,"B",IF(GV4&gt;1.5,"C",IF(GV4&gt;0,"D",IF(GV4=0,""))))))</f>
        <v>C</v>
      </c>
      <c r="GX4" s="171"/>
      <c r="GY4" s="84"/>
      <c r="GZ4" s="84"/>
      <c r="HA4" s="178">
        <f>IF(COUNT(HA5:HA9)=0,"",SUM(HA5:HA9)/COUNT(HA5:HA9))</f>
        <v>3</v>
      </c>
      <c r="HB4" s="194" t="str">
        <f t="shared" ref="HB4:HB21" si="45">IF(HA4="","",IF(HA4&gt;3.7,"A",IF(HA4&gt;2.8,"B",IF(HA4&gt;1.5,"C",IF(HA4&gt;0,"D",IF(HA4=0,""))))))</f>
        <v>B</v>
      </c>
      <c r="HC4" s="172"/>
      <c r="HD4" s="109"/>
      <c r="HE4" s="109"/>
      <c r="HF4" s="110"/>
      <c r="HG4" s="178">
        <f>IF(COUNT(HG5:HG9)=0,"",SUM(HG5:HG9)/COUNT(HG5:HG9))</f>
        <v>1.75</v>
      </c>
      <c r="HH4" s="202" t="str">
        <f t="shared" ref="HH4:HH21" si="46">IF(HG4="","",IF(HG4&gt;3.7,"A",IF(HG4&gt;2.8,"B",IF(HG4&gt;1.5,"C",IF(HG4&gt;0,"D",IF(HG4=0,""))))))</f>
        <v>C</v>
      </c>
      <c r="HI4" s="203">
        <f>IF(COUNT(HI5:HI9)=0,"",SUM(HI5:HI9)/COUNT(HI5:HI9))</f>
        <v>2.4791666666666665</v>
      </c>
      <c r="HJ4" s="204" t="str">
        <f t="shared" ref="HJ4:HJ21" si="47">IF(HI4="","",IF(HI4&gt;3.7,"A",IF(HI4&gt;2.8,"B",IF(HI4&gt;1.5,"C",IF(HI4&gt;0,"D",IF(HI4=0,""))))))</f>
        <v>C</v>
      </c>
      <c r="HK4" s="171"/>
      <c r="HL4" s="84"/>
      <c r="HM4" s="104"/>
      <c r="HN4" s="178">
        <f>IF(COUNT(HN5:HN9)=0,"",SUM(HN5:HN9)/COUNT(HN5:HN9))</f>
        <v>2.5</v>
      </c>
      <c r="HO4" s="179" t="str">
        <f t="shared" ref="HO4:HO21" si="48">IF(HN4="","",IF(HN4&gt;3.7,"A",IF(HN4&gt;2.8,"B",IF(HN4&gt;1.5,"C",IF(HN4&gt;0,"D",IF(HN4=0,""))))))</f>
        <v>C</v>
      </c>
      <c r="HP4" s="171"/>
      <c r="HQ4" s="84"/>
      <c r="HR4" s="84"/>
      <c r="HS4" s="178">
        <f>IF(COUNT(HS5:HS9)=0,"",SUM(HS5:HS9)/COUNT(HS5:HS9))</f>
        <v>1.75</v>
      </c>
      <c r="HT4" s="194" t="str">
        <f t="shared" ref="HT4:HT21" si="49">IF(HS4="","",IF(HS4&gt;3.7,"A",IF(HS4&gt;2.8,"B",IF(HS4&gt;1.5,"C",IF(HS4&gt;0,"D",IF(HS4=0,""))))))</f>
        <v>C</v>
      </c>
      <c r="HU4" s="172"/>
      <c r="HV4" s="109"/>
      <c r="HW4" s="109"/>
      <c r="HX4" s="110"/>
      <c r="HY4" s="178">
        <f>IF(COUNT(HY5:HY9)=0,"",SUM(HY5:HY9)/COUNT(HY5:HY9))</f>
        <v>3</v>
      </c>
      <c r="HZ4" s="202" t="str">
        <f t="shared" ref="HZ4:HZ21" si="50">IF(HY4="","",IF(HY4&gt;3.7,"A",IF(HY4&gt;2.8,"B",IF(HY4&gt;1.5,"C",IF(HY4&gt;0,"D",IF(HY4=0,""))))))</f>
        <v>B</v>
      </c>
      <c r="IA4" s="203">
        <f>IF(COUNT(IA5:IA9)=0,"",SUM(IA5:IA9)/COUNT(IA5:IA9))</f>
        <v>2.0833333333333335</v>
      </c>
      <c r="IB4" s="204" t="str">
        <f t="shared" ref="IB4:IB21" si="51">IF(IA4="","",IF(IA4&gt;3.7,"A",IF(IA4&gt;2.8,"B",IF(IA4&gt;1.5,"C",IF(IA4&gt;0,"D",IF(IA4=0,""))))))</f>
        <v>C</v>
      </c>
      <c r="IC4" s="171"/>
      <c r="ID4" s="84"/>
      <c r="IE4" s="104"/>
      <c r="IF4" s="178">
        <f>IF(COUNT(IF5:IF9)=0,"",SUM(IF5:IF9)/COUNT(IF5:IF9))</f>
        <v>3</v>
      </c>
      <c r="IG4" s="179" t="str">
        <f t="shared" ref="IG4:IG21" si="52">IF(IF4="","",IF(IF4&gt;3.7,"A",IF(IF4&gt;2.8,"B",IF(IF4&gt;1.5,"C",IF(IF4&gt;0,"D",IF(IF4=0,""))))))</f>
        <v>B</v>
      </c>
      <c r="IH4" s="171"/>
      <c r="II4" s="84"/>
      <c r="IJ4" s="84"/>
      <c r="IK4" s="178">
        <f>IF(COUNT(IK5:IK9)=0,"",SUM(IK5:IK9)/COUNT(IK5:IK9))</f>
        <v>3.125</v>
      </c>
      <c r="IL4" s="194" t="str">
        <f t="shared" ref="IL4:IL21" si="53">IF(IK4="","",IF(IK4&gt;3.7,"A",IF(IK4&gt;2.8,"B",IF(IK4&gt;1.5,"C",IF(IK4&gt;0,"D",IF(IK4=0,""))))))</f>
        <v>B</v>
      </c>
      <c r="IM4" s="172"/>
      <c r="IN4" s="109"/>
      <c r="IO4" s="109"/>
      <c r="IP4" s="110"/>
      <c r="IQ4" s="178">
        <f>IF(COUNT(IQ5:IQ9)=0,"",SUM(IQ5:IQ9)/COUNT(IQ5:IQ9))</f>
        <v>2.25</v>
      </c>
      <c r="IR4" s="202" t="str">
        <f t="shared" ref="IR4:IR21" si="54">IF(IQ4="","",IF(IQ4&gt;3.7,"A",IF(IQ4&gt;2.8,"B",IF(IQ4&gt;1.5,"C",IF(IQ4&gt;0,"D",IF(IQ4=0,""))))))</f>
        <v>C</v>
      </c>
      <c r="IS4" s="203">
        <f>IF(COUNT(IS5:IS9)=0,"",SUM(IS5:IS9)/COUNT(IS5:IS9))</f>
        <v>2.9375</v>
      </c>
      <c r="IT4" s="204" t="str">
        <f t="shared" ref="IT4:IT21" si="55">IF(IS4="","",IF(IS4&gt;3.7,"A",IF(IS4&gt;2.8,"B",IF(IS4&gt;1.5,"C",IF(IS4&gt;0,"D",IF(IS4=0,""))))))</f>
        <v>B</v>
      </c>
      <c r="IU4" s="171"/>
      <c r="IV4" s="84"/>
      <c r="IW4" s="104"/>
      <c r="IX4" s="178">
        <f>IF(COUNT(IX5:IX9)=0,"",SUM(IX5:IX9)/COUNT(IX5:IX9))</f>
        <v>2.25</v>
      </c>
      <c r="IY4" s="179" t="str">
        <f t="shared" ref="IY4:IY21" si="56">IF(IX4="","",IF(IX4&gt;3.7,"A",IF(IX4&gt;2.8,"B",IF(IX4&gt;1.5,"C",IF(IX4&gt;0,"D",IF(IX4=0,""))))))</f>
        <v>C</v>
      </c>
      <c r="IZ4" s="171"/>
      <c r="JA4" s="84"/>
      <c r="JB4" s="84"/>
      <c r="JC4" s="178">
        <f>IF(COUNT(JC5:JC9)=0,"",SUM(JC5:JC9)/COUNT(JC5:JC9))</f>
        <v>2.125</v>
      </c>
      <c r="JD4" s="194" t="str">
        <f t="shared" ref="JD4:JD21" si="57">IF(JC4="","",IF(JC4&gt;3.7,"A",IF(JC4&gt;2.8,"B",IF(JC4&gt;1.5,"C",IF(JC4&gt;0,"D",IF(JC4=0,""))))))</f>
        <v>C</v>
      </c>
      <c r="JE4" s="172"/>
      <c r="JF4" s="109"/>
      <c r="JG4" s="109"/>
      <c r="JH4" s="110"/>
      <c r="JI4" s="178">
        <f>IF(COUNT(JI5:JI9)=0,"",SUM(JI5:JI9)/COUNT(JI5:JI9))</f>
        <v>1.75</v>
      </c>
      <c r="JJ4" s="202" t="str">
        <f t="shared" ref="JJ4:JJ21" si="58">IF(JI4="","",IF(JI4&gt;3.7,"A",IF(JI4&gt;2.8,"B",IF(JI4&gt;1.5,"C",IF(JI4&gt;0,"D",IF(JI4=0,""))))))</f>
        <v>C</v>
      </c>
      <c r="JK4" s="203">
        <f>IF(COUNT(JK5:JK9)=0,"",SUM(JK5:JK9)/COUNT(JK5:JK9))</f>
        <v>2.0625</v>
      </c>
      <c r="JL4" s="204" t="str">
        <f t="shared" ref="JL4:JL21" si="59">IF(JK4="","",IF(JK4&gt;3.7,"A",IF(JK4&gt;2.8,"B",IF(JK4&gt;1.5,"C",IF(JK4&gt;0,"D",IF(JK4=0,""))))))</f>
        <v>C</v>
      </c>
      <c r="JM4" s="171"/>
      <c r="JN4" s="84"/>
      <c r="JO4" s="104"/>
      <c r="JP4" s="178">
        <f>IF(COUNT(JP5:JP9)=0,"",SUM(JP5:JP9)/COUNT(JP5:JP9))</f>
        <v>3.25</v>
      </c>
      <c r="JQ4" s="179" t="str">
        <f t="shared" ref="JQ4:JQ21" si="60">IF(JP4="","",IF(JP4&gt;3.7,"A",IF(JP4&gt;2.8,"B",IF(JP4&gt;1.5,"C",IF(JP4&gt;0,"D",IF(JP4=0,""))))))</f>
        <v>B</v>
      </c>
      <c r="JR4" s="171"/>
      <c r="JS4" s="84"/>
      <c r="JT4" s="84"/>
      <c r="JU4" s="178">
        <f>IF(COUNT(JU5:JU9)=0,"",SUM(JU5:JU9)/COUNT(JU5:JU9))</f>
        <v>1.75</v>
      </c>
      <c r="JV4" s="194" t="str">
        <f t="shared" ref="JV4:JV21" si="61">IF(JU4="","",IF(JU4&gt;3.7,"A",IF(JU4&gt;2.8,"B",IF(JU4&gt;1.5,"C",IF(JU4&gt;0,"D",IF(JU4=0,""))))))</f>
        <v>C</v>
      </c>
      <c r="JW4" s="172"/>
      <c r="JX4" s="109"/>
      <c r="JY4" s="109"/>
      <c r="JZ4" s="110"/>
      <c r="KA4" s="178">
        <f>IF(COUNT(KA5:KA9)=0,"",SUM(KA5:KA9)/COUNT(KA5:KA9))</f>
        <v>2</v>
      </c>
      <c r="KB4" s="202" t="str">
        <f t="shared" ref="KB4:KB21" si="62">IF(KA4="","",IF(KA4&gt;3.7,"A",IF(KA4&gt;2.8,"B",IF(KA4&gt;1.5,"C",IF(KA4&gt;0,"D",IF(KA4=0,""))))))</f>
        <v>C</v>
      </c>
      <c r="KC4" s="203">
        <f>IF(COUNT(KC5:KC9)=0,"",SUM(KC5:KC9)/COUNT(KC5:KC9))</f>
        <v>1.9583333333333335</v>
      </c>
      <c r="KD4" s="204" t="str">
        <f t="shared" ref="KD4:KD21" si="63">IF(KC4="","",IF(KC4&gt;3.7,"A",IF(KC4&gt;2.8,"B",IF(KC4&gt;1.5,"C",IF(KC4&gt;0,"D",IF(KC4=0,""))))))</f>
        <v>C</v>
      </c>
      <c r="KE4" s="171"/>
      <c r="KF4" s="84"/>
      <c r="KG4" s="104"/>
      <c r="KH4" s="178">
        <f>IF(COUNT(KH5:KH9)=0,"",SUM(KH5:KH9)/COUNT(KH5:KH9))</f>
        <v>2.5</v>
      </c>
      <c r="KI4" s="179" t="str">
        <f t="shared" ref="KI4:KI21" si="64">IF(KH4="","",IF(KH4&gt;3.7,"A",IF(KH4&gt;2.8,"B",IF(KH4&gt;1.5,"C",IF(KH4&gt;0,"D",IF(KH4=0,""))))))</f>
        <v>C</v>
      </c>
      <c r="KJ4" s="171"/>
      <c r="KK4" s="84"/>
      <c r="KL4" s="84"/>
      <c r="KM4" s="178">
        <f>IF(COUNT(KM5:KM9)=0,"",SUM(KM5:KM9)/COUNT(KM5:KM9))</f>
        <v>3</v>
      </c>
      <c r="KN4" s="194" t="str">
        <f t="shared" ref="KN4:KN21" si="65">IF(KM4="","",IF(KM4&gt;3.7,"A",IF(KM4&gt;2.8,"B",IF(KM4&gt;1.5,"C",IF(KM4&gt;0,"D",IF(KM4=0,""))))))</f>
        <v>B</v>
      </c>
      <c r="KO4" s="172"/>
      <c r="KP4" s="109"/>
      <c r="KQ4" s="109"/>
      <c r="KR4" s="110"/>
      <c r="KS4" s="178">
        <f>IF(COUNT(KS5:KS9)=0,"",SUM(KS5:KS9)/COUNT(KS5:KS9))</f>
        <v>3.25</v>
      </c>
      <c r="KT4" s="202" t="str">
        <f t="shared" ref="KT4:KT21" si="66">IF(KS4="","",IF(KS4&gt;3.7,"A",IF(KS4&gt;2.8,"B",IF(KS4&gt;1.5,"C",IF(KS4&gt;0,"D",IF(KS4=0,""))))))</f>
        <v>B</v>
      </c>
      <c r="KU4" s="203">
        <f>IF(COUNT(KU5:KU9)=0,"",SUM(KU5:KU9)/COUNT(KU5:KU9))</f>
        <v>2.9166666666666665</v>
      </c>
      <c r="KV4" s="204" t="str">
        <f t="shared" ref="KV4:KV21" si="67">IF(KU4="","",IF(KU4&gt;3.7,"A",IF(KU4&gt;2.8,"B",IF(KU4&gt;1.5,"C",IF(KU4&gt;0,"D",IF(KU4=0,""))))))</f>
        <v>B</v>
      </c>
      <c r="KW4" s="171"/>
      <c r="KX4" s="84"/>
      <c r="KY4" s="104"/>
      <c r="KZ4" s="178">
        <f>IF(COUNT(KZ5:KZ9)=0,"",SUM(KZ5:KZ9)/COUNT(KZ5:KZ9))</f>
        <v>3</v>
      </c>
      <c r="LA4" s="179" t="str">
        <f t="shared" ref="LA4:LA21" si="68">IF(KZ4="","",IF(KZ4&gt;3.7,"A",IF(KZ4&gt;2.8,"B",IF(KZ4&gt;1.5,"C",IF(KZ4&gt;0,"D",IF(KZ4=0,""))))))</f>
        <v>B</v>
      </c>
      <c r="LB4" s="171"/>
      <c r="LC4" s="84"/>
      <c r="LD4" s="84"/>
      <c r="LE4" s="178">
        <f>IF(COUNT(LE5:LE9)=0,"",SUM(LE5:LE9)/COUNT(LE5:LE9))</f>
        <v>3.125</v>
      </c>
      <c r="LF4" s="194" t="str">
        <f t="shared" ref="LF4:LF21" si="69">IF(LE4="","",IF(LE4&gt;3.7,"A",IF(LE4&gt;2.8,"B",IF(LE4&gt;1.5,"C",IF(LE4&gt;0,"D",IF(LE4=0,""))))))</f>
        <v>B</v>
      </c>
      <c r="LG4" s="172"/>
      <c r="LH4" s="109"/>
      <c r="LI4" s="109"/>
      <c r="LJ4" s="110"/>
      <c r="LK4" s="178">
        <f>IF(COUNT(LK5:LK9)=0,"",SUM(LK5:LK9)/COUNT(LK5:LK9))</f>
        <v>2.75</v>
      </c>
      <c r="LL4" s="202" t="str">
        <f t="shared" ref="LL4:LL21" si="70">IF(LK4="","",IF(LK4&gt;3.7,"A",IF(LK4&gt;2.8,"B",IF(LK4&gt;1.5,"C",IF(LK4&gt;0,"D",IF(LK4=0,""))))))</f>
        <v>C</v>
      </c>
      <c r="LM4" s="203">
        <f>IF(COUNT(LM5:LM9)=0,"",SUM(LM5:LM9)/COUNT(LM5:LM9))</f>
        <v>3.0416666666666665</v>
      </c>
      <c r="LN4" s="204" t="str">
        <f t="shared" ref="LN4:LN21" si="71">IF(LM4="","",IF(LM4&gt;3.7,"A",IF(LM4&gt;2.8,"B",IF(LM4&gt;1.5,"C",IF(LM4&gt;0,"D",IF(LM4=0,""))))))</f>
        <v>B</v>
      </c>
      <c r="LO4" s="171"/>
      <c r="LP4" s="84"/>
      <c r="LQ4" s="104"/>
      <c r="LR4" s="178">
        <f>IF(COUNT(LR5:LR9)=0,"",SUM(LR5:LR9)/COUNT(LR5:LR9))</f>
        <v>3</v>
      </c>
      <c r="LS4" s="179" t="str">
        <f t="shared" ref="LS4:LS21" si="72">IF(LR4="","",IF(LR4&gt;3.7,"A",IF(LR4&gt;2.8,"B",IF(LR4&gt;1.5,"C",IF(LR4&gt;0,"D",IF(LR4=0,""))))))</f>
        <v>B</v>
      </c>
      <c r="LT4" s="171"/>
      <c r="LU4" s="84"/>
      <c r="LV4" s="84"/>
      <c r="LW4" s="178">
        <f>IF(COUNT(LW5:LW9)=0,"",SUM(LW5:LW9)/COUNT(LW5:LW9))</f>
        <v>2.875</v>
      </c>
      <c r="LX4" s="194" t="str">
        <f t="shared" ref="LX4:LX21" si="73">IF(LW4="","",IF(LW4&gt;3.7,"A",IF(LW4&gt;2.8,"B",IF(LW4&gt;1.5,"C",IF(LW4&gt;0,"D",IF(LW4=0,""))))))</f>
        <v>B</v>
      </c>
      <c r="LY4" s="172"/>
      <c r="LZ4" s="109"/>
      <c r="MA4" s="109"/>
      <c r="MB4" s="110"/>
      <c r="MC4" s="178">
        <f>IF(COUNT(MC5:MC9)=0,"",SUM(MC5:MC9)/COUNT(MC5:MC9))</f>
        <v>3</v>
      </c>
      <c r="MD4" s="202" t="str">
        <f t="shared" ref="MD4:MD21" si="74">IF(MC4="","",IF(MC4&gt;3.7,"A",IF(MC4&gt;2.8,"B",IF(MC4&gt;1.5,"C",IF(MC4&gt;0,"D",IF(MC4=0,""))))))</f>
        <v>B</v>
      </c>
      <c r="ME4" s="203">
        <f>IF(COUNT(ME5:ME9)=0,"",SUM(ME5:ME9)/COUNT(ME5:ME9))</f>
        <v>3.0416666666666665</v>
      </c>
      <c r="MF4" s="204" t="str">
        <f t="shared" ref="MF4:MF21" si="75">IF(ME4="","",IF(ME4&gt;3.7,"A",IF(ME4&gt;2.8,"B",IF(ME4&gt;1.5,"C",IF(ME4&gt;0,"D",IF(ME4=0,""))))))</f>
        <v>B</v>
      </c>
      <c r="MG4" s="171"/>
      <c r="MH4" s="84"/>
      <c r="MI4" s="104"/>
      <c r="MJ4" s="178">
        <f>IF(COUNT(MJ5:MJ9)=0,"",SUM(MJ5:MJ9)/COUNT(MJ5:MJ9))</f>
        <v>3.5</v>
      </c>
      <c r="MK4" s="179" t="str">
        <f t="shared" ref="MK4:MK21" si="76">IF(MJ4="","",IF(MJ4&gt;3.7,"A",IF(MJ4&gt;2.8,"B",IF(MJ4&gt;1.5,"C",IF(MJ4&gt;0,"D",IF(MJ4=0,""))))))</f>
        <v>B</v>
      </c>
      <c r="ML4" s="171"/>
      <c r="MM4" s="84"/>
      <c r="MN4" s="84"/>
      <c r="MO4" s="178">
        <f>IF(COUNT(MO5:MO9)=0,"",SUM(MO5:MO9)/COUNT(MO5:MO9))</f>
        <v>2.75</v>
      </c>
      <c r="MP4" s="194" t="str">
        <f t="shared" ref="MP4:MP21" si="77">IF(MO4="","",IF(MO4&gt;3.7,"A",IF(MO4&gt;2.8,"B",IF(MO4&gt;1.5,"C",IF(MO4&gt;0,"D",IF(MO4=0,""))))))</f>
        <v>C</v>
      </c>
      <c r="MQ4" s="172"/>
      <c r="MR4" s="109"/>
      <c r="MS4" s="109"/>
      <c r="MT4" s="110"/>
      <c r="MU4" s="178">
        <f>IF(COUNT(MU5:MU9)=0,"",SUM(MU5:MU9)/COUNT(MU5:MU9))</f>
        <v>3.25</v>
      </c>
      <c r="MV4" s="202" t="str">
        <f t="shared" ref="MV4:MV21" si="78">IF(MU4="","",IF(MU4&gt;3.7,"A",IF(MU4&gt;2.8,"B",IF(MU4&gt;1.5,"C",IF(MU4&gt;0,"D",IF(MU4=0,""))))))</f>
        <v>B</v>
      </c>
      <c r="MW4" s="203">
        <f>IF(COUNT(MW5:MW9)=0,"",SUM(MW5:MW9)/COUNT(MW5:MW9))</f>
        <v>3.0416666666666665</v>
      </c>
      <c r="MX4" s="204" t="str">
        <f t="shared" ref="MX4:MX21" si="79">IF(MW4="","",IF(MW4&gt;3.7,"A",IF(MW4&gt;2.8,"B",IF(MW4&gt;1.5,"C",IF(MW4&gt;0,"D",IF(MW4=0,""))))))</f>
        <v>B</v>
      </c>
      <c r="MY4" s="171"/>
      <c r="MZ4" s="84"/>
      <c r="NA4" s="104"/>
      <c r="NB4" s="178">
        <f>IF(COUNT(NB5:NB9)=0,"",SUM(NB5:NB9)/COUNT(NB5:NB9))</f>
        <v>3.25</v>
      </c>
      <c r="NC4" s="179" t="str">
        <f t="shared" ref="NC4:NC21" si="80">IF(NB4="","",IF(NB4&gt;3.7,"A",IF(NB4&gt;2.8,"B",IF(NB4&gt;1.5,"C",IF(NB4&gt;0,"D",IF(NB4=0,""))))))</f>
        <v>B</v>
      </c>
      <c r="ND4" s="171"/>
      <c r="NE4" s="84"/>
      <c r="NF4" s="84"/>
      <c r="NG4" s="178">
        <f>IF(COUNT(NG5:NG9)=0,"",SUM(NG5:NG9)/COUNT(NG5:NG9))</f>
        <v>2.875</v>
      </c>
      <c r="NH4" s="194" t="str">
        <f t="shared" ref="NH4:NH21" si="81">IF(NG4="","",IF(NG4&gt;3.7,"A",IF(NG4&gt;2.8,"B",IF(NG4&gt;1.5,"C",IF(NG4&gt;0,"D",IF(NG4=0,""))))))</f>
        <v>B</v>
      </c>
      <c r="NI4" s="172"/>
      <c r="NJ4" s="109"/>
      <c r="NK4" s="109"/>
      <c r="NL4" s="110"/>
      <c r="NM4" s="178">
        <f>IF(COUNT(NM5:NM9)=0,"",SUM(NM5:NM9)/COUNT(NM5:NM9))</f>
        <v>3</v>
      </c>
      <c r="NN4" s="202" t="str">
        <f t="shared" ref="NN4:NN21" si="82">IF(NM4="","",IF(NM4&gt;3.7,"A",IF(NM4&gt;2.8,"B",IF(NM4&gt;1.5,"C",IF(NM4&gt;0,"D",IF(NM4=0,""))))))</f>
        <v>B</v>
      </c>
      <c r="NO4" s="203">
        <f>IF(COUNT(NO5:NO9)=0,"",SUM(NO5:NO9)/COUNT(NO5:NO9))</f>
        <v>2.9166666666666665</v>
      </c>
      <c r="NP4" s="204" t="str">
        <f t="shared" ref="NP4:NP21" si="83">IF(NO4="","",IF(NO4&gt;3.7,"A",IF(NO4&gt;2.8,"B",IF(NO4&gt;1.5,"C",IF(NO4&gt;0,"D",IF(NO4=0,""))))))</f>
        <v>B</v>
      </c>
      <c r="NQ4" s="171"/>
      <c r="NR4" s="84"/>
      <c r="NS4" s="104"/>
      <c r="NT4" s="178">
        <f>IF(COUNT(NT5:NT9)=0,"",SUM(NT5:NT9)/COUNT(NT5:NT9))</f>
        <v>2.75</v>
      </c>
      <c r="NU4" s="179" t="str">
        <f t="shared" ref="NU4:NU21" si="84">IF(NT4="","",IF(NT4&gt;3.7,"A",IF(NT4&gt;2.8,"B",IF(NT4&gt;1.5,"C",IF(NT4&gt;0,"D",IF(NT4=0,""))))))</f>
        <v>C</v>
      </c>
      <c r="NV4" s="171"/>
      <c r="NW4" s="84"/>
      <c r="NX4" s="84"/>
      <c r="NY4" s="178">
        <f>IF(COUNT(NY5:NY9)=0,"",SUM(NY5:NY9)/COUNT(NY5:NY9))</f>
        <v>2.625</v>
      </c>
      <c r="NZ4" s="194" t="str">
        <f t="shared" ref="NZ4:NZ21" si="85">IF(NY4="","",IF(NY4&gt;3.7,"A",IF(NY4&gt;2.8,"B",IF(NY4&gt;1.5,"C",IF(NY4&gt;0,"D",IF(NY4=0,""))))))</f>
        <v>C</v>
      </c>
      <c r="OA4" s="172"/>
      <c r="OB4" s="109"/>
      <c r="OC4" s="109"/>
      <c r="OD4" s="110"/>
      <c r="OE4" s="178">
        <f>IF(COUNT(OE5:OE9)=0,"",SUM(OE5:OE9)/COUNT(OE5:OE9))</f>
        <v>2.5</v>
      </c>
      <c r="OF4" s="202" t="str">
        <f t="shared" ref="OF4:OF21" si="86">IF(OE4="","",IF(OE4&gt;3.7,"A",IF(OE4&gt;2.8,"B",IF(OE4&gt;1.5,"C",IF(OE4&gt;0,"D",IF(OE4=0,""))))))</f>
        <v>C</v>
      </c>
      <c r="OG4" s="203">
        <f>IF(COUNT(OG5:OG9)=0,"",SUM(OG5:OG9)/COUNT(OG5:OG9))</f>
        <v>2.4583333333333335</v>
      </c>
      <c r="OH4" s="204" t="str">
        <f t="shared" ref="OH4:OH21" si="87">IF(OG4="","",IF(OG4&gt;3.7,"A",IF(OG4&gt;2.8,"B",IF(OG4&gt;1.5,"C",IF(OG4&gt;0,"D",IF(OG4=0,""))))))</f>
        <v>C</v>
      </c>
      <c r="OI4" s="171"/>
      <c r="OJ4" s="84"/>
      <c r="OK4" s="104"/>
      <c r="OL4" s="178">
        <f>IF(COUNT(OL5:OL9)=0,"",SUM(OL5:OL9)/COUNT(OL5:OL9))</f>
        <v>2.5</v>
      </c>
      <c r="OM4" s="179" t="str">
        <f t="shared" ref="OM4:OM21" si="88">IF(OL4="","",IF(OL4&gt;3.7,"A",IF(OL4&gt;2.8,"B",IF(OL4&gt;1.5,"C",IF(OL4&gt;0,"D",IF(OL4=0,""))))))</f>
        <v>C</v>
      </c>
      <c r="ON4" s="171"/>
      <c r="OO4" s="84"/>
      <c r="OP4" s="84"/>
      <c r="OQ4" s="178">
        <f>IF(COUNT(OQ5:OQ9)=0,"",SUM(OQ5:OQ9)/COUNT(OQ5:OQ9))</f>
        <v>3.5</v>
      </c>
      <c r="OR4" s="194" t="str">
        <f t="shared" ref="OR4:OR21" si="89">IF(OQ4="","",IF(OQ4&gt;3.7,"A",IF(OQ4&gt;2.8,"B",IF(OQ4&gt;1.5,"C",IF(OQ4&gt;0,"D",IF(OQ4=0,""))))))</f>
        <v>B</v>
      </c>
      <c r="OS4" s="172"/>
      <c r="OT4" s="109"/>
      <c r="OU4" s="109"/>
      <c r="OV4" s="110"/>
      <c r="OW4" s="178">
        <f>IF(COUNT(OW5:OW9)=0,"",SUM(OW5:OW9)/COUNT(OW5:OW9))</f>
        <v>2.25</v>
      </c>
      <c r="OX4" s="202" t="str">
        <f t="shared" ref="OX4:OX21" si="90">IF(OW4="","",IF(OW4&gt;3.7,"A",IF(OW4&gt;2.8,"B",IF(OW4&gt;1.5,"C",IF(OW4&gt;0,"D",IF(OW4=0,""))))))</f>
        <v>C</v>
      </c>
      <c r="OY4" s="203">
        <f>IF(COUNT(OY5:OY9)=0,"",SUM(OY5:OY9)/COUNT(OY5:OY9))</f>
        <v>2.8125</v>
      </c>
      <c r="OZ4" s="204" t="str">
        <f t="shared" ref="OZ4:OZ21" si="91">IF(OY4="","",IF(OY4&gt;3.7,"A",IF(OY4&gt;2.8,"B",IF(OY4&gt;1.5,"C",IF(OY4&gt;0,"D",IF(OY4=0,""))))))</f>
        <v>B</v>
      </c>
      <c r="PA4" s="171"/>
      <c r="PB4" s="84"/>
      <c r="PC4" s="104"/>
      <c r="PD4" s="178">
        <f>IF(COUNT(PD5:PD9)=0,"",SUM(PD5:PD9)/COUNT(PD5:PD9))</f>
        <v>1.75</v>
      </c>
      <c r="PE4" s="179" t="str">
        <f t="shared" ref="PE4:PE21" si="92">IF(PD4="","",IF(PD4&gt;3.7,"A",IF(PD4&gt;2.8,"B",IF(PD4&gt;1.5,"C",IF(PD4&gt;0,"D",IF(PD4=0,""))))))</f>
        <v>C</v>
      </c>
      <c r="PF4" s="171"/>
      <c r="PG4" s="84"/>
      <c r="PH4" s="84"/>
      <c r="PI4" s="178">
        <f>IF(COUNT(PI5:PI9)=0,"",SUM(PI5:PI9)/COUNT(PI5:PI9))</f>
        <v>3</v>
      </c>
      <c r="PJ4" s="194" t="str">
        <f t="shared" ref="PJ4:PJ21" si="93">IF(PI4="","",IF(PI4&gt;3.7,"A",IF(PI4&gt;2.8,"B",IF(PI4&gt;1.5,"C",IF(PI4&gt;0,"D",IF(PI4=0,""))))))</f>
        <v>B</v>
      </c>
      <c r="PK4" s="172"/>
      <c r="PL4" s="109"/>
      <c r="PM4" s="109"/>
      <c r="PN4" s="110"/>
      <c r="PO4" s="178">
        <f>IF(COUNT(PO5:PO9)=0,"",SUM(PO5:PO9)/COUNT(PO5:PO9))</f>
        <v>2.5</v>
      </c>
      <c r="PP4" s="202" t="str">
        <f t="shared" ref="PP4:PP21" si="94">IF(PO4="","",IF(PO4&gt;3.7,"A",IF(PO4&gt;2.8,"B",IF(PO4&gt;1.5,"C",IF(PO4&gt;0,"D",IF(PO4=0,""))))))</f>
        <v>C</v>
      </c>
      <c r="PQ4" s="203">
        <f>IF(COUNT(PQ5:PQ9)=0,"",SUM(PQ5:PQ9)/COUNT(PQ5:PQ9))</f>
        <v>2.5625</v>
      </c>
      <c r="PR4" s="204" t="str">
        <f t="shared" ref="PR4:PR21" si="95">IF(PQ4="","",IF(PQ4&gt;3.7,"A",IF(PQ4&gt;2.8,"B",IF(PQ4&gt;1.5,"C",IF(PQ4&gt;0,"D",IF(PQ4=0,""))))))</f>
        <v>C</v>
      </c>
      <c r="PS4" s="171"/>
      <c r="PT4" s="84"/>
      <c r="PU4" s="104"/>
      <c r="PV4" s="178">
        <f>IF(COUNT(PV5:PV9)=0,"",SUM(PV5:PV9)/COUNT(PV5:PV9))</f>
        <v>3.25</v>
      </c>
      <c r="PW4" s="179" t="str">
        <f t="shared" ref="PW4:PW21" si="96">IF(PV4="","",IF(PV4&gt;3.7,"A",IF(PV4&gt;2.8,"B",IF(PV4&gt;1.5,"C",IF(PV4&gt;0,"D",IF(PV4=0,""))))))</f>
        <v>B</v>
      </c>
      <c r="PX4" s="171"/>
      <c r="PY4" s="84"/>
      <c r="PZ4" s="84"/>
      <c r="QA4" s="178">
        <f>IF(COUNT(QA5:QA9)=0,"",SUM(QA5:QA9)/COUNT(QA5:QA9))</f>
        <v>3.375</v>
      </c>
      <c r="QB4" s="194" t="str">
        <f t="shared" ref="QB4:QB21" si="97">IF(QA4="","",IF(QA4&gt;3.7,"A",IF(QA4&gt;2.8,"B",IF(QA4&gt;1.5,"C",IF(QA4&gt;0,"D",IF(QA4=0,""))))))</f>
        <v>B</v>
      </c>
      <c r="QC4" s="172"/>
      <c r="QD4" s="109"/>
      <c r="QE4" s="109"/>
      <c r="QF4" s="110"/>
      <c r="QG4" s="178">
        <f>IF(COUNT(QG5:QG9)=0,"",SUM(QG5:QG9)/COUNT(QG5:QG9))</f>
        <v>2.75</v>
      </c>
      <c r="QH4" s="202" t="str">
        <f t="shared" ref="QH4:QH21" si="98">IF(QG4="","",IF(QG4&gt;3.7,"A",IF(QG4&gt;2.8,"B",IF(QG4&gt;1.5,"C",IF(QG4&gt;0,"D",IF(QG4=0,""))))))</f>
        <v>C</v>
      </c>
      <c r="QI4" s="203">
        <f>IF(COUNT(QI5:QI9)=0,"",SUM(QI5:QI9)/COUNT(QI5:QI9))</f>
        <v>3.2083333333333335</v>
      </c>
      <c r="QJ4" s="204" t="str">
        <f t="shared" ref="QJ4:QJ21" si="99">IF(QI4="","",IF(QI4&gt;3.7,"A",IF(QI4&gt;2.8,"B",IF(QI4&gt;1.5,"C",IF(QI4&gt;0,"D",IF(QI4=0,""))))))</f>
        <v>B</v>
      </c>
      <c r="QK4" s="171"/>
      <c r="QL4" s="84"/>
      <c r="QM4" s="104"/>
      <c r="QN4" s="178">
        <f>IF(COUNT(QN5:QN9)=0,"",SUM(QN5:QN9)/COUNT(QN5:QN9))</f>
        <v>2.75</v>
      </c>
      <c r="QO4" s="179" t="str">
        <f t="shared" ref="QO4:QO21" si="100">IF(QN4="","",IF(QN4&gt;3.7,"A",IF(QN4&gt;2.8,"B",IF(QN4&gt;1.5,"C",IF(QN4&gt;0,"D",IF(QN4=0,""))))))</f>
        <v>C</v>
      </c>
      <c r="QP4" s="171"/>
      <c r="QQ4" s="84"/>
      <c r="QR4" s="84"/>
      <c r="QS4" s="178" t="str">
        <f>IF(COUNT(QS5:QS9)=0,"",SUM(QS5:QS9)/COUNT(QS5:QS9))</f>
        <v/>
      </c>
      <c r="QT4" s="194" t="str">
        <f t="shared" ref="QT4:QT21" si="101">IF(QS4="","",IF(QS4&gt;3.7,"A",IF(QS4&gt;2.8,"B",IF(QS4&gt;1.5,"C",IF(QS4&gt;0,"D",IF(QS4=0,""))))))</f>
        <v/>
      </c>
      <c r="QU4" s="172"/>
      <c r="QV4" s="109"/>
      <c r="QW4" s="109"/>
      <c r="QX4" s="110"/>
      <c r="QY4" s="178">
        <f>IF(COUNT(QY5:QY9)=0,"",SUM(QY5:QY9)/COUNT(QY5:QY9))</f>
        <v>3</v>
      </c>
      <c r="QZ4" s="202" t="str">
        <f t="shared" ref="QZ4:QZ21" si="102">IF(QY4="","",IF(QY4&gt;3.7,"A",IF(QY4&gt;2.8,"B",IF(QY4&gt;1.5,"C",IF(QY4&gt;0,"D",IF(QY4=0,""))))))</f>
        <v>B</v>
      </c>
      <c r="RA4" s="203">
        <f>IF(COUNT(RA5:RA9)=0,"",SUM(RA5:RA9)/COUNT(RA5:RA9))</f>
        <v>2.625</v>
      </c>
      <c r="RB4" s="204" t="str">
        <f t="shared" ref="RB4:RB21" si="103">IF(RA4="","",IF(RA4&gt;3.7,"A",IF(RA4&gt;2.8,"B",IF(RA4&gt;1.5,"C",IF(RA4&gt;0,"D",IF(RA4=0,""))))))</f>
        <v>C</v>
      </c>
      <c r="RC4" s="171"/>
      <c r="RD4" s="84"/>
      <c r="RE4" s="104"/>
      <c r="RF4" s="178">
        <f>IF(COUNT(RF5:RF9)=0,"",SUM(RF5:RF9)/COUNT(RF5:RF9))</f>
        <v>3.25</v>
      </c>
      <c r="RG4" s="179" t="str">
        <f t="shared" ref="RG4:RG21" si="104">IF(RF4="","",IF(RF4&gt;3.7,"A",IF(RF4&gt;2.8,"B",IF(RF4&gt;1.5,"C",IF(RF4&gt;0,"D",IF(RF4=0,""))))))</f>
        <v>B</v>
      </c>
      <c r="RH4" s="171"/>
      <c r="RI4" s="84"/>
      <c r="RJ4" s="84"/>
      <c r="RK4" s="178">
        <f>IF(COUNT(RK5:RK9)=0,"",SUM(RK5:RK9)/COUNT(RK5:RK9))</f>
        <v>3.125</v>
      </c>
      <c r="RL4" s="194" t="str">
        <f t="shared" ref="RL4:RL21" si="105">IF(RK4="","",IF(RK4&gt;3.7,"A",IF(RK4&gt;2.8,"B",IF(RK4&gt;1.5,"C",IF(RK4&gt;0,"D",IF(RK4=0,""))))))</f>
        <v>B</v>
      </c>
      <c r="RM4" s="172"/>
      <c r="RN4" s="109"/>
      <c r="RO4" s="109"/>
      <c r="RP4" s="110"/>
      <c r="RQ4" s="178">
        <f>IF(COUNT(RQ5:RQ9)=0,"",SUM(RQ5:RQ9)/COUNT(RQ5:RQ9))</f>
        <v>3.5</v>
      </c>
      <c r="RR4" s="202" t="str">
        <f t="shared" ref="RR4:RR21" si="106">IF(RQ4="","",IF(RQ4&gt;3.7,"A",IF(RQ4&gt;2.8,"B",IF(RQ4&gt;1.5,"C",IF(RQ4&gt;0,"D",IF(RQ4=0,""))))))</f>
        <v>B</v>
      </c>
      <c r="RS4" s="203">
        <f>IF(COUNT(RS5:RS9)=0,"",SUM(RS5:RS9)/COUNT(RS5:RS9))</f>
        <v>3.2916666666666665</v>
      </c>
      <c r="RT4" s="204" t="str">
        <f t="shared" ref="RT4:RT21" si="107">IF(RS4="","",IF(RS4&gt;3.7,"A",IF(RS4&gt;2.8,"B",IF(RS4&gt;1.5,"C",IF(RS4&gt;0,"D",IF(RS4=0,""))))))</f>
        <v>B</v>
      </c>
      <c r="RU4" s="103"/>
      <c r="RV4" s="84"/>
      <c r="RW4" s="104"/>
      <c r="RX4" s="105" t="str">
        <f>IF(COUNT(RX5:RX9)=0,"",SUM(RX5:RX9)/COUNT(RX5:RX9))</f>
        <v/>
      </c>
      <c r="RY4" s="106" t="str">
        <f t="shared" ref="RY4:RY21" si="108">IF(RX4="","",IF(RX4&gt;3.7,"A",IF(RX4&gt;2.8,"B",IF(RX4&gt;1.5,"C",IF(RX4&gt;0,"D",IF(RX4=0,""))))))</f>
        <v/>
      </c>
      <c r="RZ4" s="103"/>
      <c r="SA4" s="84"/>
      <c r="SB4" s="104"/>
      <c r="SC4" s="105" t="str">
        <f>IF(COUNT(SC5:SC9)=0,"",SUM(SC5:SC9)/COUNT(SC5:SC9))</f>
        <v/>
      </c>
      <c r="SD4" s="107" t="str">
        <f t="shared" ref="SD4:SD21" si="109">IF(SC4="","",IF(SC4&gt;3.7,"A",IF(SC4&gt;2.8,"B",IF(SC4&gt;1.5,"C",IF(SC4&gt;0,"D",IF(SC4=0,""))))))</f>
        <v/>
      </c>
      <c r="SE4" s="108"/>
      <c r="SF4" s="109"/>
      <c r="SG4" s="110"/>
      <c r="SH4" s="105" t="str">
        <f>IF(COUNT(SH5:SH9)=0,"",SUM(SH5:SH9)/COUNT(SH5:SH9))</f>
        <v/>
      </c>
      <c r="SI4" s="111" t="str">
        <f t="shared" ref="SI4:SI21" si="110">IF(SH4="","",IF(SH4&gt;3.7,"A",IF(SH4&gt;2.8,"B",IF(SH4&gt;1.5,"C",IF(SH4&gt;0,"D",IF(SH4=0,""))))))</f>
        <v/>
      </c>
      <c r="SJ4" s="112" t="str">
        <f>IF(COUNT(SJ5:SJ9)=0,"",SUM(SJ5:SJ9)/COUNT(SJ5:SJ9))</f>
        <v/>
      </c>
      <c r="SK4" s="113" t="str">
        <f t="shared" ref="SK4:SK21" si="111">IF(SJ4="","",IF(SJ4&gt;3.7,"A",IF(SJ4&gt;2.8,"B",IF(SJ4&gt;1.5,"C",IF(SJ4&gt;0,"D",IF(SJ4=0,""))))))</f>
        <v/>
      </c>
      <c r="SL4" s="103"/>
      <c r="SM4" s="84"/>
      <c r="SN4" s="104"/>
      <c r="SO4" s="105" t="str">
        <f>IF(COUNT(SO5:SO9)=0,"",SUM(SO5:SO9)/COUNT(SO5:SO9))</f>
        <v/>
      </c>
      <c r="SP4" s="106" t="str">
        <f t="shared" ref="SP4:SP21" si="112">IF(SO4="","",IF(SO4&gt;3.7,"A",IF(SO4&gt;2.8,"B",IF(SO4&gt;1.5,"C",IF(SO4&gt;0,"D",IF(SO4=0,""))))))</f>
        <v/>
      </c>
      <c r="SQ4" s="103"/>
      <c r="SR4" s="84"/>
      <c r="SS4" s="104"/>
      <c r="ST4" s="105" t="str">
        <f>IF(COUNT(ST5:ST9)=0,"",SUM(ST5:ST9)/COUNT(ST5:ST9))</f>
        <v/>
      </c>
      <c r="SU4" s="107" t="str">
        <f t="shared" ref="SU4:SU21" si="113">IF(ST4="","",IF(ST4&gt;3.7,"A",IF(ST4&gt;2.8,"B",IF(ST4&gt;1.5,"C",IF(ST4&gt;0,"D",IF(ST4=0,""))))))</f>
        <v/>
      </c>
      <c r="SV4" s="108"/>
      <c r="SW4" s="109"/>
      <c r="SX4" s="110"/>
      <c r="SY4" s="105" t="str">
        <f>IF(COUNT(SY5:SY9)=0,"",SUM(SY5:SY9)/COUNT(SY5:SY9))</f>
        <v/>
      </c>
      <c r="SZ4" s="111" t="str">
        <f t="shared" ref="SZ4:SZ21" si="114">IF(SY4="","",IF(SY4&gt;3.7,"A",IF(SY4&gt;2.8,"B",IF(SY4&gt;1.5,"C",IF(SY4&gt;0,"D",IF(SY4=0,""))))))</f>
        <v/>
      </c>
      <c r="TA4" s="112" t="str">
        <f>IF(COUNT(TA5:TA9)=0,"",SUM(TA5:TA9)/COUNT(TA5:TA9))</f>
        <v/>
      </c>
      <c r="TB4" s="113" t="str">
        <f t="shared" ref="TB4:TB21" si="115">IF(TA4="","",IF(TA4&gt;3.7,"A",IF(TA4&gt;2.8,"B",IF(TA4&gt;1.5,"C",IF(TA4&gt;0,"D",IF(TA4=0,""))))))</f>
        <v/>
      </c>
      <c r="TC4" s="103"/>
      <c r="TD4" s="84"/>
      <c r="TE4" s="104"/>
      <c r="TF4" s="105" t="str">
        <f>IF(COUNT(TF5:TF9)=0,"",SUM(TF5:TF9)/COUNT(TF5:TF9))</f>
        <v/>
      </c>
      <c r="TG4" s="106" t="str">
        <f t="shared" ref="TG4:TG21" si="116">IF(TF4="","",IF(TF4&gt;3.7,"A",IF(TF4&gt;2.8,"B",IF(TF4&gt;1.5,"C",IF(TF4&gt;0,"D",IF(TF4=0,""))))))</f>
        <v/>
      </c>
      <c r="TH4" s="103"/>
      <c r="TI4" s="84"/>
      <c r="TJ4" s="104"/>
      <c r="TK4" s="105" t="str">
        <f>IF(COUNT(TK5:TK9)=0,"",SUM(TK5:TK9)/COUNT(TK5:TK9))</f>
        <v/>
      </c>
      <c r="TL4" s="107" t="str">
        <f t="shared" ref="TL4:TL21" si="117">IF(TK4="","",IF(TK4&gt;3.7,"A",IF(TK4&gt;2.8,"B",IF(TK4&gt;1.5,"C",IF(TK4&gt;0,"D",IF(TK4=0,""))))))</f>
        <v/>
      </c>
      <c r="TM4" s="108"/>
      <c r="TN4" s="109"/>
      <c r="TO4" s="110"/>
      <c r="TP4" s="105" t="str">
        <f>IF(COUNT(TP5:TP9)=0,"",SUM(TP5:TP9)/COUNT(TP5:TP9))</f>
        <v/>
      </c>
      <c r="TQ4" s="111" t="str">
        <f t="shared" ref="TQ4:TQ21" si="118">IF(TP4="","",IF(TP4&gt;3.7,"A",IF(TP4&gt;2.8,"B",IF(TP4&gt;1.5,"C",IF(TP4&gt;0,"D",IF(TP4=0,""))))))</f>
        <v/>
      </c>
      <c r="TR4" s="112" t="str">
        <f>IF(COUNT(TR5:TR9)=0,"",SUM(TR5:TR9)/COUNT(TR5:TR9))</f>
        <v/>
      </c>
      <c r="TS4" s="113" t="str">
        <f t="shared" ref="TS4:TS21" si="119">IF(TR4="","",IF(TR4&gt;3.7,"A",IF(TR4&gt;2.8,"B",IF(TR4&gt;1.5,"C",IF(TR4&gt;0,"D",IF(TR4=0,""))))))</f>
        <v/>
      </c>
    </row>
    <row r="5" spans="1:539" ht="18" customHeight="1" x14ac:dyDescent="0.25">
      <c r="A5" s="234" t="s">
        <v>12</v>
      </c>
      <c r="B5" s="235"/>
      <c r="C5" s="115" t="s">
        <v>27</v>
      </c>
      <c r="D5" s="116" t="s">
        <v>30</v>
      </c>
      <c r="E5" s="117"/>
      <c r="F5" s="180">
        <f>IFERROR((((COUNTIF('Elève (5ème3)'!C5:E5,"A"))*4)+((COUNTIF('Elève (5ème3)'!C5:E5,"B"))*3)+((COUNTIF('Elève (5ème3)'!C5:E5,"C"))*2)+((COUNTIF('Elève (5ème3)'!C5:E5,"D"))*1))/(COUNTA(C5:E5)),"")</f>
        <v>2.5</v>
      </c>
      <c r="G5" s="181" t="str">
        <f t="shared" si="0"/>
        <v>C</v>
      </c>
      <c r="H5" s="115" t="s">
        <v>28</v>
      </c>
      <c r="I5" s="116"/>
      <c r="J5" s="117"/>
      <c r="K5" s="180">
        <f>IFERROR((((COUNTIF('Elève (5ème3)'!H5:J5,"A"))*4)+((COUNTIF('Elève (5ème3)'!H5:J5,"B"))*3)+((COUNTIF('Elève (5ème3)'!H5:J5,"C"))*2)+((COUNTIF('Elève (5ème3)'!H5:J5,"D"))*1))/(COUNTA(H5:J5)),"")</f>
        <v>3</v>
      </c>
      <c r="L5" s="181" t="str">
        <f t="shared" si="1"/>
        <v>B</v>
      </c>
      <c r="M5" s="115"/>
      <c r="N5" s="116"/>
      <c r="O5" s="117"/>
      <c r="P5" s="117"/>
      <c r="Q5" s="180" t="str">
        <f>IFERROR((((COUNTIF('Elève (5ème3)'!M5:P5,"A"))*4)+((COUNTIF('Elève (5ème3)'!M5:P5,"B"))*3)+((COUNTIF('Elève (5ème3)'!M5:P5,"C"))*2)+((COUNTIF('Elève (5ème3)'!M5:P5,"D"))*1))/(COUNTA(M5:P5)),"")</f>
        <v/>
      </c>
      <c r="R5" s="181" t="str">
        <f t="shared" si="2"/>
        <v/>
      </c>
      <c r="S5" s="180">
        <f>IF(COUNT(F5,K5,Q5)=0,"",SUM(F5,K5,Q5)/COUNT(F5,K5,Q5))</f>
        <v>2.75</v>
      </c>
      <c r="T5" s="205" t="str">
        <f t="shared" si="3"/>
        <v>C</v>
      </c>
      <c r="U5" s="115" t="s">
        <v>28</v>
      </c>
      <c r="V5" s="116" t="s">
        <v>29</v>
      </c>
      <c r="W5" s="117"/>
      <c r="X5" s="180">
        <f>IFERROR((((COUNTIF('Elève (5ème3)'!U5:W5,"A"))*4)+((COUNTIF('Elève (5ème3)'!U5:W5,"B"))*3)+((COUNTIF('Elève (5ème3)'!U5:W5,"C"))*2)+((COUNTIF('Elève (5ème3)'!U5:W5,"D"))*1))/(COUNTA(U5:W5)),"")</f>
        <v>2.5</v>
      </c>
      <c r="Y5" s="181" t="str">
        <f t="shared" si="4"/>
        <v>C</v>
      </c>
      <c r="Z5" s="115" t="s">
        <v>28</v>
      </c>
      <c r="AA5" s="116"/>
      <c r="AB5" s="117"/>
      <c r="AC5" s="180">
        <f>IFERROR((((COUNTIF('Elève (5ème3)'!Z5:AB5,"A"))*4)+((COUNTIF('Elève (5ème3)'!Z5:AB5,"B"))*3)+((COUNTIF('Elève (5ème3)'!Z5:AB5,"C"))*2)+((COUNTIF('Elève (5ème3)'!Z5:AB5,"D"))*1))/(COUNTA(Z5:AB5)),"")</f>
        <v>3</v>
      </c>
      <c r="AD5" s="181" t="str">
        <f t="shared" si="5"/>
        <v>B</v>
      </c>
      <c r="AE5" s="115"/>
      <c r="AF5" s="116"/>
      <c r="AG5" s="117"/>
      <c r="AH5" s="121"/>
      <c r="AI5" s="180" t="str">
        <f>IFERROR((((COUNTIF('Elève (5ème3)'!AE5:AH5,"A"))*4)+((COUNTIF('Elève (5ème3)'!AE5:AH5,"B"))*3)+((COUNTIF('Elève (5ème3)'!AE5:AH5,"C"))*2)+((COUNTIF('Elève (5ème3)'!AE5:AH5,"D"))*1))/(COUNTA(AE5:AH5)),"")</f>
        <v/>
      </c>
      <c r="AJ5" s="181" t="str">
        <f t="shared" si="6"/>
        <v/>
      </c>
      <c r="AK5" s="180">
        <f>IF(COUNT(X5,AC5,AI5)=0,"",SUM(X5,AC5,AI5)/COUNT(X5,AC5,AI5))</f>
        <v>2.75</v>
      </c>
      <c r="AL5" s="205" t="str">
        <f t="shared" si="7"/>
        <v>C</v>
      </c>
      <c r="AM5" s="115" t="s">
        <v>29</v>
      </c>
      <c r="AN5" s="116" t="s">
        <v>30</v>
      </c>
      <c r="AO5" s="117"/>
      <c r="AP5" s="180">
        <f>IFERROR((((COUNTIF('Elève (5ème3)'!AM5:AO5,"A"))*4)+((COUNTIF('Elève (5ème3)'!AM5:AO5,"B"))*3)+((COUNTIF('Elève (5ème3)'!AM5:AO5,"C"))*2)+((COUNTIF('Elève (5ème3)'!AM5:AO5,"D"))*1))/(COUNTA(AM5:AO5)),"")</f>
        <v>1.5</v>
      </c>
      <c r="AQ5" s="181" t="str">
        <f t="shared" si="8"/>
        <v>D</v>
      </c>
      <c r="AR5" s="115" t="s">
        <v>28</v>
      </c>
      <c r="AS5" s="116"/>
      <c r="AT5" s="117"/>
      <c r="AU5" s="180">
        <f>IFERROR((((COUNTIF('Elève (5ème3)'!AR5:AT5,"A"))*4)+((COUNTIF('Elève (5ème3)'!AR5:AT5,"B"))*3)+((COUNTIF('Elève (5ème3)'!AR5:AT5,"C"))*2)+((COUNTIF('Elève (5ème3)'!AR5:AT5,"D"))*1))/(COUNTA(AR5:AT5)),"")</f>
        <v>3</v>
      </c>
      <c r="AV5" s="181" t="str">
        <f t="shared" si="9"/>
        <v>B</v>
      </c>
      <c r="AW5" s="115"/>
      <c r="AX5" s="116"/>
      <c r="AY5" s="117"/>
      <c r="AZ5" s="121"/>
      <c r="BA5" s="180" t="str">
        <f>IFERROR((((COUNTIF('Elève (5ème3)'!AW5:AZ5,"A"))*4)+((COUNTIF('Elève (5ème3)'!AW5:AZ5,"B"))*3)+((COUNTIF('Elève (5ème3)'!AW5:AZ5,"C"))*2)+((COUNTIF('Elève (5ème3)'!AW5:AZ5,"D"))*1))/(COUNTA(AW5:AZ5)),"")</f>
        <v/>
      </c>
      <c r="BB5" s="181" t="str">
        <f t="shared" si="10"/>
        <v/>
      </c>
      <c r="BC5" s="180">
        <f>IF(COUNT(AP5,AU5,BA5)=0,"",SUM(AP5,AU5,BA5)/COUNT(AP5,AU5,BA5))</f>
        <v>2.25</v>
      </c>
      <c r="BD5" s="205" t="str">
        <f t="shared" si="11"/>
        <v>C</v>
      </c>
      <c r="BE5" s="115" t="s">
        <v>27</v>
      </c>
      <c r="BF5" s="116" t="s">
        <v>30</v>
      </c>
      <c r="BG5" s="117"/>
      <c r="BH5" s="180">
        <f>IFERROR((((COUNTIF('Elève (5ème3)'!BE5:BG5,"A"))*4)+((COUNTIF('Elève (5ème3)'!BE5:BG5,"B"))*3)+((COUNTIF('Elève (5ème3)'!BE5:BG5,"C"))*2)+((COUNTIF('Elève (5ème3)'!BE5:BG5,"D"))*1))/(COUNTA(BE5:BG5)),"")</f>
        <v>2.5</v>
      </c>
      <c r="BI5" s="181" t="str">
        <f t="shared" si="12"/>
        <v>C</v>
      </c>
      <c r="BJ5" s="115" t="s">
        <v>28</v>
      </c>
      <c r="BK5" s="116"/>
      <c r="BL5" s="117"/>
      <c r="BM5" s="180">
        <f>IFERROR((((COUNTIF('Elève (5ème3)'!BJ5:BL5,"A"))*4)+((COUNTIF('Elève (5ème3)'!BJ5:BL5,"B"))*3)+((COUNTIF('Elève (5ème3)'!BJ5:BL5,"C"))*2)+((COUNTIF('Elève (5ème3)'!BJ5:BL5,"D"))*1))/(COUNTA(BJ5:BL5)),"")</f>
        <v>3</v>
      </c>
      <c r="BN5" s="181" t="str">
        <f t="shared" si="13"/>
        <v>B</v>
      </c>
      <c r="BO5" s="115"/>
      <c r="BP5" s="116"/>
      <c r="BQ5" s="117"/>
      <c r="BR5" s="121"/>
      <c r="BS5" s="180" t="str">
        <f>IFERROR((((COUNTIF('Elève (5ème3)'!BO5:BR5,"A"))*4)+((COUNTIF('Elève (5ème3)'!BO5:BR5,"B"))*3)+((COUNTIF('Elève (5ème3)'!BO5:BR5,"C"))*2)+((COUNTIF('Elève (5ème3)'!BO5:BR5,"D"))*1))/(COUNTA(BO5:BR5)),"")</f>
        <v/>
      </c>
      <c r="BT5" s="181" t="str">
        <f t="shared" si="14"/>
        <v/>
      </c>
      <c r="BU5" s="180">
        <f>IF(COUNT(BH5,BM5,BS5)=0,"",SUM(BH5,BM5,BS5)/COUNT(BH5,BM5,BS5))</f>
        <v>2.75</v>
      </c>
      <c r="BV5" s="205" t="str">
        <f t="shared" si="15"/>
        <v>C</v>
      </c>
      <c r="BW5" s="115" t="s">
        <v>27</v>
      </c>
      <c r="BX5" s="116" t="s">
        <v>30</v>
      </c>
      <c r="BY5" s="117"/>
      <c r="BZ5" s="180">
        <f>IFERROR((((COUNTIF('Elève (5ème3)'!BW5:BY5,"A"))*4)+((COUNTIF('Elève (5ème3)'!BW5:BY5,"B"))*3)+((COUNTIF('Elève (5ème3)'!BW5:BY5,"C"))*2)+((COUNTIF('Elève (5ème3)'!BW5:BY5,"D"))*1))/(COUNTA(BW5:BY5)),"")</f>
        <v>2.5</v>
      </c>
      <c r="CA5" s="181" t="str">
        <f t="shared" si="16"/>
        <v>C</v>
      </c>
      <c r="CB5" s="115"/>
      <c r="CC5" s="116"/>
      <c r="CD5" s="117"/>
      <c r="CE5" s="180" t="str">
        <f>IFERROR((((COUNTIF('Elève (5ème3)'!CB5:CD5,"A"))*4)+((COUNTIF('Elève (5ème3)'!CB5:CD5,"B"))*3)+((COUNTIF('Elève (5ème3)'!CB5:CD5,"C"))*2)+((COUNTIF('Elève (5ème3)'!CB5:CD5,"D"))*1))/(COUNTA(CB5:CD5)),"")</f>
        <v/>
      </c>
      <c r="CF5" s="181" t="str">
        <f t="shared" si="17"/>
        <v/>
      </c>
      <c r="CG5" s="115"/>
      <c r="CH5" s="116"/>
      <c r="CI5" s="117"/>
      <c r="CJ5" s="121"/>
      <c r="CK5" s="180" t="str">
        <f>IFERROR((((COUNTIF('Elève (5ème3)'!CG5:CJ5,"A"))*4)+((COUNTIF('Elève (5ème3)'!CG5:CJ5,"B"))*3)+((COUNTIF('Elève (5ème3)'!CG5:CJ5,"C"))*2)+((COUNTIF('Elève (5ème3)'!CG5:CJ5,"D"))*1))/(COUNTA(CG5:CJ5)),"")</f>
        <v/>
      </c>
      <c r="CL5" s="181" t="str">
        <f t="shared" si="18"/>
        <v/>
      </c>
      <c r="CM5" s="180">
        <f>IF(COUNT(BZ5,CE5,CK5)=0,"",SUM(BZ5,CE5,CK5)/COUNT(BZ5,CE5,CK5))</f>
        <v>2.5</v>
      </c>
      <c r="CN5" s="205" t="str">
        <f t="shared" si="19"/>
        <v>C</v>
      </c>
      <c r="CO5" s="115" t="s">
        <v>27</v>
      </c>
      <c r="CP5" s="116" t="s">
        <v>29</v>
      </c>
      <c r="CQ5" s="117"/>
      <c r="CR5" s="180">
        <f>IFERROR((((COUNTIF('Elève (5ème3)'!CO5:CQ5,"A"))*4)+((COUNTIF('Elève (5ème3)'!CO5:CQ5,"B"))*3)+((COUNTIF('Elève (5ème3)'!CO5:CQ5,"C"))*2)+((COUNTIF('Elève (5ème3)'!CO5:CQ5,"D"))*1))/(COUNTA(CO5:CQ5)),"")</f>
        <v>3</v>
      </c>
      <c r="CS5" s="181" t="str">
        <f t="shared" si="20"/>
        <v>B</v>
      </c>
      <c r="CT5" s="115" t="s">
        <v>28</v>
      </c>
      <c r="CU5" s="116"/>
      <c r="CV5" s="117"/>
      <c r="CW5" s="180">
        <f>IFERROR((((COUNTIF('Elève (5ème3)'!CT5:CV5,"A"))*4)+((COUNTIF('Elève (5ème3)'!CT5:CV5,"B"))*3)+((COUNTIF('Elève (5ème3)'!CT5:CV5,"C"))*2)+((COUNTIF('Elève (5ème3)'!CT5:CV5,"D"))*1))/(COUNTA(CT5:CV5)),"")</f>
        <v>3</v>
      </c>
      <c r="CX5" s="181" t="str">
        <f t="shared" si="21"/>
        <v>B</v>
      </c>
      <c r="CY5" s="115"/>
      <c r="CZ5" s="116"/>
      <c r="DA5" s="117"/>
      <c r="DB5" s="121"/>
      <c r="DC5" s="180" t="str">
        <f>IFERROR((((COUNTIF('Elève (5ème3)'!CY5:DB5,"A"))*4)+((COUNTIF('Elève (5ème3)'!CY5:DB5,"B"))*3)+((COUNTIF('Elève (5ème3)'!CY5:DB5,"C"))*2)+((COUNTIF('Elève (5ème3)'!CY5:DB5,"D"))*1))/(COUNTA(CY5:DB5)),"")</f>
        <v/>
      </c>
      <c r="DD5" s="181" t="str">
        <f t="shared" si="22"/>
        <v/>
      </c>
      <c r="DE5" s="180">
        <f>IF(COUNT(CR5,CW5,DC5)=0,"",SUM(CR5,CW5,DC5)/COUNT(CR5,CW5,DC5))</f>
        <v>3</v>
      </c>
      <c r="DF5" s="205" t="str">
        <f t="shared" si="23"/>
        <v>B</v>
      </c>
      <c r="DG5" s="115" t="s">
        <v>29</v>
      </c>
      <c r="DH5" s="116" t="s">
        <v>29</v>
      </c>
      <c r="DI5" s="117"/>
      <c r="DJ5" s="180">
        <f>IFERROR((((COUNTIF('Elève (5ème3)'!DG5:DI5,"A"))*4)+((COUNTIF('Elève (5ème3)'!DG5:DI5,"B"))*3)+((COUNTIF('Elève (5ème3)'!DG5:DI5,"C"))*2)+((COUNTIF('Elève (5ème3)'!DG5:DI5,"D"))*1))/(COUNTA(DG5:DI5)),"")</f>
        <v>2</v>
      </c>
      <c r="DK5" s="181" t="str">
        <f t="shared" si="24"/>
        <v>C</v>
      </c>
      <c r="DL5" s="115" t="s">
        <v>28</v>
      </c>
      <c r="DM5" s="116"/>
      <c r="DN5" s="117"/>
      <c r="DO5" s="180">
        <f>IFERROR((((COUNTIF('Elève (5ème3)'!DL5:DN5,"A"))*4)+((COUNTIF('Elève (5ème3)'!DL5:DN5,"B"))*3)+((COUNTIF('Elève (5ème3)'!DL5:DN5,"C"))*2)+((COUNTIF('Elève (5ème3)'!DL5:DN5,"D"))*1))/(COUNTA(DL5:DN5)),"")</f>
        <v>3</v>
      </c>
      <c r="DP5" s="181" t="str">
        <f t="shared" si="25"/>
        <v>B</v>
      </c>
      <c r="DQ5" s="115"/>
      <c r="DR5" s="116"/>
      <c r="DS5" s="117"/>
      <c r="DT5" s="121"/>
      <c r="DU5" s="180" t="str">
        <f>IFERROR((((COUNTIF('Elève (5ème3)'!DQ5:DT5,"A"))*4)+((COUNTIF('Elève (5ème3)'!DQ5:DT5,"B"))*3)+((COUNTIF('Elève (5ème3)'!DQ5:DT5,"C"))*2)+((COUNTIF('Elève (5ème3)'!DQ5:DT5,"D"))*1))/(COUNTA(DQ5:DT5)),"")</f>
        <v/>
      </c>
      <c r="DV5" s="181" t="str">
        <f t="shared" si="26"/>
        <v/>
      </c>
      <c r="DW5" s="180">
        <f>IF(COUNT(DJ5,DO5,DU5)=0,"",SUM(DJ5,DO5,DU5)/COUNT(DJ5,DO5,DU5))</f>
        <v>2.5</v>
      </c>
      <c r="DX5" s="205" t="str">
        <f t="shared" si="27"/>
        <v>C</v>
      </c>
      <c r="DY5" s="115" t="s">
        <v>29</v>
      </c>
      <c r="DZ5" s="116"/>
      <c r="EA5" s="117"/>
      <c r="EB5" s="180">
        <f>IFERROR((((COUNTIF('Elève (5ème3)'!DY5:EA5,"A"))*4)+((COUNTIF('Elève (5ème3)'!DY5:EA5,"B"))*3)+((COUNTIF('Elève (5ème3)'!DY5:EA5,"C"))*2)+((COUNTIF('Elève (5ème3)'!DY5:EA5,"D"))*1))/(COUNTA(DY5:EA5)),"")</f>
        <v>2</v>
      </c>
      <c r="EC5" s="181" t="str">
        <f t="shared" si="28"/>
        <v>C</v>
      </c>
      <c r="ED5" s="115"/>
      <c r="EE5" s="116"/>
      <c r="EF5" s="117"/>
      <c r="EG5" s="180" t="str">
        <f>IFERROR((((COUNTIF('Elève (5ème3)'!ED5:EF5,"A"))*4)+((COUNTIF('Elève (5ème3)'!ED5:EF5,"B"))*3)+((COUNTIF('Elève (5ème3)'!ED5:EF5,"C"))*2)+((COUNTIF('Elève (5ème3)'!ED5:EF5,"D"))*1))/(COUNTA(ED5:EF5)),"")</f>
        <v/>
      </c>
      <c r="EH5" s="181" t="str">
        <f t="shared" si="29"/>
        <v/>
      </c>
      <c r="EI5" s="115"/>
      <c r="EJ5" s="116"/>
      <c r="EK5" s="117"/>
      <c r="EL5" s="121"/>
      <c r="EM5" s="180" t="str">
        <f>IFERROR((((COUNTIF('Elève (5ème3)'!EI5:EL5,"A"))*4)+((COUNTIF('Elève (5ème3)'!EI5:EL5,"B"))*3)+((COUNTIF('Elève (5ème3)'!EI5:EL5,"C"))*2)+((COUNTIF('Elève (5ème3)'!EI5:EL5,"D"))*1))/(COUNTA(EI5:EL5)),"")</f>
        <v/>
      </c>
      <c r="EN5" s="181" t="str">
        <f t="shared" si="30"/>
        <v/>
      </c>
      <c r="EO5" s="180">
        <f>IF(COUNT(EB5,EG5,EM5)=0,"",SUM(EB5,EG5,EM5)/COUNT(EB5,EG5,EM5))</f>
        <v>2</v>
      </c>
      <c r="EP5" s="205" t="str">
        <f t="shared" si="31"/>
        <v>C</v>
      </c>
      <c r="EQ5" s="115" t="s">
        <v>29</v>
      </c>
      <c r="ER5" s="116" t="s">
        <v>29</v>
      </c>
      <c r="ES5" s="117"/>
      <c r="ET5" s="180">
        <f>IFERROR((((COUNTIF('Elève (5ème3)'!EQ5:ES5,"A"))*4)+((COUNTIF('Elève (5ème3)'!EQ5:ES5,"B"))*3)+((COUNTIF('Elève (5ème3)'!EQ5:ES5,"C"))*2)+((COUNTIF('Elève (5ème3)'!EQ5:ES5,"D"))*1))/(COUNTA(EQ5:ES5)),"")</f>
        <v>2</v>
      </c>
      <c r="EU5" s="181" t="str">
        <f t="shared" si="32"/>
        <v>C</v>
      </c>
      <c r="EV5" s="115" t="s">
        <v>28</v>
      </c>
      <c r="EW5" s="116"/>
      <c r="EX5" s="117"/>
      <c r="EY5" s="180">
        <f>IFERROR((((COUNTIF('Elève (5ème3)'!EV5:EX5,"A"))*4)+((COUNTIF('Elève (5ème3)'!EV5:EX5,"B"))*3)+((COUNTIF('Elève (5ème3)'!EV5:EX5,"C"))*2)+((COUNTIF('Elève (5ème3)'!EV5:EX5,"D"))*1))/(COUNTA(EV5:EX5)),"")</f>
        <v>3</v>
      </c>
      <c r="EZ5" s="181" t="str">
        <f t="shared" si="33"/>
        <v>B</v>
      </c>
      <c r="FA5" s="115"/>
      <c r="FB5" s="116"/>
      <c r="FC5" s="117"/>
      <c r="FD5" s="121"/>
      <c r="FE5" s="180" t="str">
        <f>IFERROR((((COUNTIF('Elève (5ème3)'!FA5:FD5,"A"))*4)+((COUNTIF('Elève (5ème3)'!FA5:FD5,"B"))*3)+((COUNTIF('Elève (5ème3)'!FA5:FD5,"C"))*2)+((COUNTIF('Elève (5ème3)'!FA5:FD5,"D"))*1))/(COUNTA(FA5:FD5)),"")</f>
        <v/>
      </c>
      <c r="FF5" s="181" t="str">
        <f t="shared" si="34"/>
        <v/>
      </c>
      <c r="FG5" s="180">
        <f>IF(COUNT(ET5,EY5,FE5)=0,"",SUM(ET5,EY5,FE5)/COUNT(ET5,EY5,FE5))</f>
        <v>2.5</v>
      </c>
      <c r="FH5" s="205" t="str">
        <f t="shared" si="35"/>
        <v>C</v>
      </c>
      <c r="FI5" s="115" t="s">
        <v>29</v>
      </c>
      <c r="FJ5" s="116" t="s">
        <v>30</v>
      </c>
      <c r="FK5" s="117"/>
      <c r="FL5" s="180">
        <f>IFERROR((((COUNTIF('Elève (5ème3)'!FI5:FK5,"A"))*4)+((COUNTIF('Elève (5ème3)'!FI5:FK5,"B"))*3)+((COUNTIF('Elève (5ème3)'!FI5:FK5,"C"))*2)+((COUNTIF('Elève (5ème3)'!FI5:FK5,"D"))*1))/(COUNTA(FI5:FK5)),"")</f>
        <v>1.5</v>
      </c>
      <c r="FM5" s="181" t="str">
        <f t="shared" si="36"/>
        <v>D</v>
      </c>
      <c r="FN5" s="115" t="s">
        <v>28</v>
      </c>
      <c r="FO5" s="116"/>
      <c r="FP5" s="117"/>
      <c r="FQ5" s="180">
        <f>IFERROR((((COUNTIF('Elève (5ème3)'!FN5:FP5,"A"))*4)+((COUNTIF('Elève (5ème3)'!FN5:FP5,"B"))*3)+((COUNTIF('Elève (5ème3)'!FN5:FP5,"C"))*2)+((COUNTIF('Elève (5ème3)'!FN5:FP5,"D"))*1))/(COUNTA(FN5:FP5)),"")</f>
        <v>3</v>
      </c>
      <c r="FR5" s="181" t="str">
        <f t="shared" si="37"/>
        <v>B</v>
      </c>
      <c r="FS5" s="115"/>
      <c r="FT5" s="116"/>
      <c r="FU5" s="117"/>
      <c r="FV5" s="121"/>
      <c r="FW5" s="180" t="str">
        <f>IFERROR((((COUNTIF('Elève (5ème3)'!FS5:FV5,"A"))*4)+((COUNTIF('Elève (5ème3)'!FS5:FV5,"B"))*3)+((COUNTIF('Elève (5ème3)'!FS5:FV5,"C"))*2)+((COUNTIF('Elève (5ème3)'!FS5:FV5,"D"))*1))/(COUNTA(FS5:FV5)),"")</f>
        <v/>
      </c>
      <c r="FX5" s="181" t="str">
        <f t="shared" si="38"/>
        <v/>
      </c>
      <c r="FY5" s="180">
        <f>IF(COUNT(FL5,FQ5,FW5)=0,"",SUM(FL5,FQ5,FW5)/COUNT(FL5,FQ5,FW5))</f>
        <v>2.25</v>
      </c>
      <c r="FZ5" s="205" t="str">
        <f t="shared" si="39"/>
        <v>C</v>
      </c>
      <c r="GA5" s="115" t="s">
        <v>28</v>
      </c>
      <c r="GB5" s="116" t="s">
        <v>30</v>
      </c>
      <c r="GC5" s="117"/>
      <c r="GD5" s="180">
        <f>IFERROR((((COUNTIF('Elève (5ème3)'!GA5:GC5,"A"))*4)+((COUNTIF('Elève (5ème3)'!GA5:GC5,"B"))*3)+((COUNTIF('Elève (5ème3)'!GA5:GC5,"C"))*2)+((COUNTIF('Elève (5ème3)'!GA5:GC5,"D"))*1))/(COUNTA(GA5:GC5)),"")</f>
        <v>2</v>
      </c>
      <c r="GE5" s="181" t="str">
        <f t="shared" si="40"/>
        <v>C</v>
      </c>
      <c r="GF5" s="115" t="s">
        <v>28</v>
      </c>
      <c r="GG5" s="116"/>
      <c r="GH5" s="117"/>
      <c r="GI5" s="180">
        <f>IFERROR((((COUNTIF('Elève (5ème3)'!GF5:GH5,"A"))*4)+((COUNTIF('Elève (5ème3)'!GF5:GH5,"B"))*3)+((COUNTIF('Elève (5ème3)'!GF5:GH5,"C"))*2)+((COUNTIF('Elève (5ème3)'!GF5:GH5,"D"))*1))/(COUNTA(GF5:GH5)),"")</f>
        <v>3</v>
      </c>
      <c r="GJ5" s="181" t="str">
        <f t="shared" si="41"/>
        <v>B</v>
      </c>
      <c r="GK5" s="115"/>
      <c r="GL5" s="116"/>
      <c r="GM5" s="117"/>
      <c r="GN5" s="121"/>
      <c r="GO5" s="180" t="str">
        <f>IFERROR((((COUNTIF('Elève (5ème3)'!GK5:GN5,"A"))*4)+((COUNTIF('Elève (5ème3)'!GK5:GN5,"B"))*3)+((COUNTIF('Elève (5ème3)'!GK5:GN5,"C"))*2)+((COUNTIF('Elève (5ème3)'!GK5:GN5,"D"))*1))/(COUNTA(GK5:GN5)),"")</f>
        <v/>
      </c>
      <c r="GP5" s="181" t="str">
        <f t="shared" si="42"/>
        <v/>
      </c>
      <c r="GQ5" s="180">
        <f>IF(COUNT(GD5,GI5,GO5)=0,"",SUM(GD5,GI5,GO5)/COUNT(GD5,GI5,GO5))</f>
        <v>2.5</v>
      </c>
      <c r="GR5" s="205" t="str">
        <f t="shared" si="43"/>
        <v>C</v>
      </c>
      <c r="GS5" s="115" t="s">
        <v>28</v>
      </c>
      <c r="GT5" s="116" t="s">
        <v>29</v>
      </c>
      <c r="GU5" s="117"/>
      <c r="GV5" s="180">
        <f>IFERROR((((COUNTIF('Elève (5ème3)'!GS5:GU5,"A"))*4)+((COUNTIF('Elève (5ème3)'!GS5:GU5,"B"))*3)+((COUNTIF('Elève (5ème3)'!GS5:GU5,"C"))*2)+((COUNTIF('Elève (5ème3)'!GS5:GU5,"D"))*1))/(COUNTA(GS5:GU5)),"")</f>
        <v>2.5</v>
      </c>
      <c r="GW5" s="181" t="str">
        <f t="shared" si="44"/>
        <v>C</v>
      </c>
      <c r="GX5" s="115" t="s">
        <v>28</v>
      </c>
      <c r="GY5" s="116"/>
      <c r="GZ5" s="117"/>
      <c r="HA5" s="180">
        <f>IFERROR((((COUNTIF('Elève (5ème3)'!GX5:GZ5,"A"))*4)+((COUNTIF('Elève (5ème3)'!GX5:GZ5,"B"))*3)+((COUNTIF('Elève (5ème3)'!GX5:GZ5,"C"))*2)+((COUNTIF('Elève (5ème3)'!GX5:GZ5,"D"))*1))/(COUNTA(GX5:GZ5)),"")</f>
        <v>3</v>
      </c>
      <c r="HB5" s="181" t="str">
        <f t="shared" si="45"/>
        <v>B</v>
      </c>
      <c r="HC5" s="115"/>
      <c r="HD5" s="116"/>
      <c r="HE5" s="117"/>
      <c r="HF5" s="121"/>
      <c r="HG5" s="180" t="str">
        <f>IFERROR((((COUNTIF('Elève (5ème3)'!HC5:HF5,"A"))*4)+((COUNTIF('Elève (5ème3)'!HC5:HF5,"B"))*3)+((COUNTIF('Elève (5ème3)'!HC5:HF5,"C"))*2)+((COUNTIF('Elève (5ème3)'!HC5:HF5,"D"))*1))/(COUNTA(HC5:HF5)),"")</f>
        <v/>
      </c>
      <c r="HH5" s="181" t="str">
        <f t="shared" si="46"/>
        <v/>
      </c>
      <c r="HI5" s="180">
        <f>IF(COUNT(GV5,HA5,HG5)=0,"",SUM(GV5,HA5,HG5)/COUNT(GV5,HA5,HG5))</f>
        <v>2.75</v>
      </c>
      <c r="HJ5" s="205" t="str">
        <f t="shared" si="47"/>
        <v>C</v>
      </c>
      <c r="HK5" s="115" t="s">
        <v>27</v>
      </c>
      <c r="HL5" s="116" t="s">
        <v>29</v>
      </c>
      <c r="HM5" s="117"/>
      <c r="HN5" s="180">
        <f>IFERROR((((COUNTIF('Elève (5ème3)'!HK5:HM5,"A"))*4)+((COUNTIF('Elève (5ème3)'!HK5:HM5,"B"))*3)+((COUNTIF('Elève (5ème3)'!HK5:HM5,"C"))*2)+((COUNTIF('Elève (5ème3)'!HK5:HM5,"D"))*1))/(COUNTA(HK5:HM5)),"")</f>
        <v>3</v>
      </c>
      <c r="HO5" s="181" t="str">
        <f t="shared" si="48"/>
        <v>B</v>
      </c>
      <c r="HP5" s="115" t="s">
        <v>30</v>
      </c>
      <c r="HQ5" s="116"/>
      <c r="HR5" s="117"/>
      <c r="HS5" s="180">
        <f>IFERROR((((COUNTIF('Elève (5ème3)'!HP5:HR5,"A"))*4)+((COUNTIF('Elève (5ème3)'!HP5:HR5,"B"))*3)+((COUNTIF('Elève (5ème3)'!HP5:HR5,"C"))*2)+((COUNTIF('Elève (5ème3)'!HP5:HR5,"D"))*1))/(COUNTA(HP5:HR5)),"")</f>
        <v>1</v>
      </c>
      <c r="HT5" s="181" t="str">
        <f t="shared" si="49"/>
        <v>D</v>
      </c>
      <c r="HU5" s="115"/>
      <c r="HV5" s="116"/>
      <c r="HW5" s="117"/>
      <c r="HX5" s="121"/>
      <c r="HY5" s="180" t="str">
        <f>IFERROR((((COUNTIF('Elève (5ème3)'!HU5:HX5,"A"))*4)+((COUNTIF('Elève (5ème3)'!HU5:HX5,"B"))*3)+((COUNTIF('Elève (5ème3)'!HU5:HX5,"C"))*2)+((COUNTIF('Elève (5ème3)'!HU5:HX5,"D"))*1))/(COUNTA(HU5:HX5)),"")</f>
        <v/>
      </c>
      <c r="HZ5" s="181" t="str">
        <f t="shared" si="50"/>
        <v/>
      </c>
      <c r="IA5" s="180">
        <f>IF(COUNT(HN5,HS5,HY5)=0,"",SUM(HN5,HS5,HY5)/COUNT(HN5,HS5,HY5))</f>
        <v>2</v>
      </c>
      <c r="IB5" s="205" t="str">
        <f t="shared" si="51"/>
        <v>C</v>
      </c>
      <c r="IC5" s="115" t="s">
        <v>28</v>
      </c>
      <c r="ID5" s="116" t="s">
        <v>29</v>
      </c>
      <c r="IE5" s="117"/>
      <c r="IF5" s="180">
        <f>IFERROR((((COUNTIF('Elève (5ème3)'!IC5:IE5,"A"))*4)+((COUNTIF('Elève (5ème3)'!IC5:IE5,"B"))*3)+((COUNTIF('Elève (5ème3)'!IC5:IE5,"C"))*2)+((COUNTIF('Elève (5ème3)'!IC5:IE5,"D"))*1))/(COUNTA(IC5:IE5)),"")</f>
        <v>2.5</v>
      </c>
      <c r="IG5" s="181" t="str">
        <f t="shared" si="52"/>
        <v>C</v>
      </c>
      <c r="IH5" s="115" t="s">
        <v>28</v>
      </c>
      <c r="II5" s="116"/>
      <c r="IJ5" s="117"/>
      <c r="IK5" s="180">
        <f>IFERROR((((COUNTIF('Elève (5ème3)'!IH5:IJ5,"A"))*4)+((COUNTIF('Elève (5ème3)'!IH5:IJ5,"B"))*3)+((COUNTIF('Elève (5ème3)'!IH5:IJ5,"C"))*2)+((COUNTIF('Elève (5ème3)'!IH5:IJ5,"D"))*1))/(COUNTA(IH5:IJ5)),"")</f>
        <v>3</v>
      </c>
      <c r="IL5" s="181" t="str">
        <f t="shared" si="53"/>
        <v>B</v>
      </c>
      <c r="IM5" s="115"/>
      <c r="IN5" s="116"/>
      <c r="IO5" s="117"/>
      <c r="IP5" s="121"/>
      <c r="IQ5" s="180" t="str">
        <f>IFERROR((((COUNTIF('Elève (5ème3)'!IM5:IP5,"A"))*4)+((COUNTIF('Elève (5ème3)'!IM5:IP5,"B"))*3)+((COUNTIF('Elève (5ème3)'!IM5:IP5,"C"))*2)+((COUNTIF('Elève (5ème3)'!IM5:IP5,"D"))*1))/(COUNTA(IM5:IP5)),"")</f>
        <v/>
      </c>
      <c r="IR5" s="181" t="str">
        <f t="shared" si="54"/>
        <v/>
      </c>
      <c r="IS5" s="180">
        <f>IF(COUNT(IF5,IK5,IQ5)=0,"",SUM(IF5,IK5,IQ5)/COUNT(IF5,IK5,IQ5))</f>
        <v>2.75</v>
      </c>
      <c r="IT5" s="205" t="str">
        <f t="shared" si="55"/>
        <v>C</v>
      </c>
      <c r="IU5" s="115" t="s">
        <v>29</v>
      </c>
      <c r="IV5" s="116" t="s">
        <v>30</v>
      </c>
      <c r="IW5" s="117"/>
      <c r="IX5" s="180">
        <f>IFERROR((((COUNTIF('Elève (5ème3)'!IU5:IW5,"A"))*4)+((COUNTIF('Elève (5ème3)'!IU5:IW5,"B"))*3)+((COUNTIF('Elève (5ème3)'!IU5:IW5,"C"))*2)+((COUNTIF('Elève (5ème3)'!IU5:IW5,"D"))*1))/(COUNTA(IU5:IW5)),"")</f>
        <v>1.5</v>
      </c>
      <c r="IY5" s="181" t="str">
        <f t="shared" si="56"/>
        <v>D</v>
      </c>
      <c r="IZ5" s="115" t="s">
        <v>29</v>
      </c>
      <c r="JA5" s="116"/>
      <c r="JB5" s="117"/>
      <c r="JC5" s="180">
        <f>IFERROR((((COUNTIF('Elève (5ème3)'!IZ5:JB5,"A"))*4)+((COUNTIF('Elève (5ème3)'!IZ5:JB5,"B"))*3)+((COUNTIF('Elève (5ème3)'!IZ5:JB5,"C"))*2)+((COUNTIF('Elève (5ème3)'!IZ5:JB5,"D"))*1))/(COUNTA(IZ5:JB5)),"")</f>
        <v>2</v>
      </c>
      <c r="JD5" s="181" t="str">
        <f t="shared" si="57"/>
        <v>C</v>
      </c>
      <c r="JE5" s="115"/>
      <c r="JF5" s="116"/>
      <c r="JG5" s="117"/>
      <c r="JH5" s="121"/>
      <c r="JI5" s="180" t="str">
        <f>IFERROR((((COUNTIF('Elève (5ème3)'!JE5:JH5,"A"))*4)+((COUNTIF('Elève (5ème3)'!JE5:JH5,"B"))*3)+((COUNTIF('Elève (5ème3)'!JE5:JH5,"C"))*2)+((COUNTIF('Elève (5ème3)'!JE5:JH5,"D"))*1))/(COUNTA(JE5:JH5)),"")</f>
        <v/>
      </c>
      <c r="JJ5" s="181" t="str">
        <f t="shared" si="58"/>
        <v/>
      </c>
      <c r="JK5" s="180">
        <f>IF(COUNT(IX5,JC5,JI5)=0,"",SUM(IX5,JC5,JI5)/COUNT(IX5,JC5,JI5))</f>
        <v>1.75</v>
      </c>
      <c r="JL5" s="205" t="str">
        <f t="shared" si="59"/>
        <v>C</v>
      </c>
      <c r="JM5" s="115" t="s">
        <v>27</v>
      </c>
      <c r="JN5" s="116" t="s">
        <v>29</v>
      </c>
      <c r="JO5" s="117"/>
      <c r="JP5" s="180">
        <f>IFERROR((((COUNTIF('Elève (5ème3)'!JM5:JO5,"A"))*4)+((COUNTIF('Elève (5ème3)'!JM5:JO5,"B"))*3)+((COUNTIF('Elève (5ème3)'!JM5:JO5,"C"))*2)+((COUNTIF('Elève (5ème3)'!JM5:JO5,"D"))*1))/(COUNTA(JM5:JO5)),"")</f>
        <v>3</v>
      </c>
      <c r="JQ5" s="181" t="str">
        <f t="shared" si="60"/>
        <v>B</v>
      </c>
      <c r="JR5" s="115" t="s">
        <v>30</v>
      </c>
      <c r="JS5" s="116"/>
      <c r="JT5" s="117"/>
      <c r="JU5" s="180">
        <f>IFERROR((((COUNTIF('Elève (5ème3)'!JR5:JT5,"A"))*4)+((COUNTIF('Elève (5ème3)'!JR5:JT5,"B"))*3)+((COUNTIF('Elève (5ème3)'!JR5:JT5,"C"))*2)+((COUNTIF('Elève (5ème3)'!JR5:JT5,"D"))*1))/(COUNTA(JR5:JT5)),"")</f>
        <v>1</v>
      </c>
      <c r="JV5" s="181" t="str">
        <f t="shared" si="61"/>
        <v>D</v>
      </c>
      <c r="JW5" s="115"/>
      <c r="JX5" s="116"/>
      <c r="JY5" s="117"/>
      <c r="JZ5" s="121"/>
      <c r="KA5" s="180" t="str">
        <f>IFERROR((((COUNTIF('Elève (5ème3)'!JW5:JZ5,"A"))*4)+((COUNTIF('Elève (5ème3)'!JW5:JZ5,"B"))*3)+((COUNTIF('Elève (5ème3)'!JW5:JZ5,"C"))*2)+((COUNTIF('Elève (5ème3)'!JW5:JZ5,"D"))*1))/(COUNTA(JW5:JZ5)),"")</f>
        <v/>
      </c>
      <c r="KB5" s="181" t="str">
        <f t="shared" si="62"/>
        <v/>
      </c>
      <c r="KC5" s="180">
        <f>IF(COUNT(JP5,JU5,KA5)=0,"",SUM(JP5,JU5,KA5)/COUNT(JP5,JU5,KA5))</f>
        <v>2</v>
      </c>
      <c r="KD5" s="205" t="str">
        <f t="shared" si="63"/>
        <v>C</v>
      </c>
      <c r="KE5" s="115" t="s">
        <v>28</v>
      </c>
      <c r="KF5" s="116" t="s">
        <v>30</v>
      </c>
      <c r="KG5" s="117"/>
      <c r="KH5" s="180">
        <f>IFERROR((((COUNTIF('Elève (5ème3)'!KE5:KG5,"A"))*4)+((COUNTIF('Elève (5ème3)'!KE5:KG5,"B"))*3)+((COUNTIF('Elève (5ème3)'!KE5:KG5,"C"))*2)+((COUNTIF('Elève (5ème3)'!KE5:KG5,"D"))*1))/(COUNTA(KE5:KG5)),"")</f>
        <v>2</v>
      </c>
      <c r="KI5" s="181" t="str">
        <f t="shared" si="64"/>
        <v>C</v>
      </c>
      <c r="KJ5" s="115" t="s">
        <v>28</v>
      </c>
      <c r="KK5" s="116"/>
      <c r="KL5" s="117"/>
      <c r="KM5" s="180">
        <f>IFERROR((((COUNTIF('Elève (5ème3)'!KJ5:KL5,"A"))*4)+((COUNTIF('Elève (5ème3)'!KJ5:KL5,"B"))*3)+((COUNTIF('Elève (5ème3)'!KJ5:KL5,"C"))*2)+((COUNTIF('Elève (5ème3)'!KJ5:KL5,"D"))*1))/(COUNTA(KJ5:KL5)),"")</f>
        <v>3</v>
      </c>
      <c r="KN5" s="181" t="str">
        <f t="shared" si="65"/>
        <v>B</v>
      </c>
      <c r="KO5" s="115"/>
      <c r="KP5" s="116"/>
      <c r="KQ5" s="117"/>
      <c r="KR5" s="121"/>
      <c r="KS5" s="180" t="str">
        <f>IFERROR((((COUNTIF('Elève (5ème3)'!KO5:KR5,"A"))*4)+((COUNTIF('Elève (5ème3)'!KO5:KR5,"B"))*3)+((COUNTIF('Elève (5ème3)'!KO5:KR5,"C"))*2)+((COUNTIF('Elève (5ème3)'!KO5:KR5,"D"))*1))/(COUNTA(KO5:KR5)),"")</f>
        <v/>
      </c>
      <c r="KT5" s="181" t="str">
        <f t="shared" si="66"/>
        <v/>
      </c>
      <c r="KU5" s="180">
        <f>IF(COUNT(KH5,KM5,KS5)=0,"",SUM(KH5,KM5,KS5)/COUNT(KH5,KM5,KS5))</f>
        <v>2.5</v>
      </c>
      <c r="KV5" s="205" t="str">
        <f t="shared" si="67"/>
        <v>C</v>
      </c>
      <c r="KW5" s="115" t="s">
        <v>29</v>
      </c>
      <c r="KX5" s="116" t="s">
        <v>29</v>
      </c>
      <c r="KY5" s="117"/>
      <c r="KZ5" s="180">
        <f>IFERROR((((COUNTIF('Elève (5ème3)'!KW5:KY5,"A"))*4)+((COUNTIF('Elève (5ème3)'!KW5:KY5,"B"))*3)+((COUNTIF('Elève (5ème3)'!KW5:KY5,"C"))*2)+((COUNTIF('Elève (5ème3)'!KW5:KY5,"D"))*1))/(COUNTA(KW5:KY5)),"")</f>
        <v>2</v>
      </c>
      <c r="LA5" s="181" t="str">
        <f t="shared" si="68"/>
        <v>C</v>
      </c>
      <c r="LB5" s="115" t="s">
        <v>28</v>
      </c>
      <c r="LC5" s="116"/>
      <c r="LD5" s="117"/>
      <c r="LE5" s="180">
        <f>IFERROR((((COUNTIF('Elève (5ème3)'!LB5:LD5,"A"))*4)+((COUNTIF('Elève (5ème3)'!LB5:LD5,"B"))*3)+((COUNTIF('Elève (5ème3)'!LB5:LD5,"C"))*2)+((COUNTIF('Elève (5ème3)'!LB5:LD5,"D"))*1))/(COUNTA(LB5:LD5)),"")</f>
        <v>3</v>
      </c>
      <c r="LF5" s="181" t="str">
        <f t="shared" si="69"/>
        <v>B</v>
      </c>
      <c r="LG5" s="115"/>
      <c r="LH5" s="116"/>
      <c r="LI5" s="117"/>
      <c r="LJ5" s="121"/>
      <c r="LK5" s="180" t="str">
        <f>IFERROR((((COUNTIF('Elève (5ème3)'!LG5:LJ5,"A"))*4)+((COUNTIF('Elève (5ème3)'!LG5:LJ5,"B"))*3)+((COUNTIF('Elève (5ème3)'!LG5:LJ5,"C"))*2)+((COUNTIF('Elève (5ème3)'!LG5:LJ5,"D"))*1))/(COUNTA(LG5:LJ5)),"")</f>
        <v/>
      </c>
      <c r="LL5" s="181" t="str">
        <f t="shared" si="70"/>
        <v/>
      </c>
      <c r="LM5" s="180">
        <f>IF(COUNT(KZ5,LE5,LK5)=0,"",SUM(KZ5,LE5,LK5)/COUNT(KZ5,LE5,LK5))</f>
        <v>2.5</v>
      </c>
      <c r="LN5" s="205" t="str">
        <f t="shared" si="71"/>
        <v>C</v>
      </c>
      <c r="LO5" s="115" t="s">
        <v>27</v>
      </c>
      <c r="LP5" s="116" t="s">
        <v>29</v>
      </c>
      <c r="LQ5" s="117"/>
      <c r="LR5" s="180">
        <f>IFERROR((((COUNTIF('Elève (5ème3)'!LO5:LQ5,"A"))*4)+((COUNTIF('Elève (5ème3)'!LO5:LQ5,"B"))*3)+((COUNTIF('Elève (5ème3)'!LO5:LQ5,"C"))*2)+((COUNTIF('Elève (5ème3)'!LO5:LQ5,"D"))*1))/(COUNTA(LO5:LQ5)),"")</f>
        <v>3</v>
      </c>
      <c r="LS5" s="181" t="str">
        <f t="shared" si="72"/>
        <v>B</v>
      </c>
      <c r="LT5" s="115" t="s">
        <v>28</v>
      </c>
      <c r="LU5" s="116"/>
      <c r="LV5" s="117"/>
      <c r="LW5" s="180">
        <f>IFERROR((((COUNTIF('Elève (5ème3)'!LT5:LV5,"A"))*4)+((COUNTIF('Elève (5ème3)'!LT5:LV5,"B"))*3)+((COUNTIF('Elève (5ème3)'!LT5:LV5,"C"))*2)+((COUNTIF('Elève (5ème3)'!LT5:LV5,"D"))*1))/(COUNTA(LT5:LV5)),"")</f>
        <v>3</v>
      </c>
      <c r="LX5" s="181" t="str">
        <f t="shared" si="73"/>
        <v>B</v>
      </c>
      <c r="LY5" s="115"/>
      <c r="LZ5" s="116"/>
      <c r="MA5" s="117"/>
      <c r="MB5" s="121"/>
      <c r="MC5" s="180" t="str">
        <f>IFERROR((((COUNTIF('Elève (5ème3)'!LY5:MB5,"A"))*4)+((COUNTIF('Elève (5ème3)'!LY5:MB5,"B"))*3)+((COUNTIF('Elève (5ème3)'!LY5:MB5,"C"))*2)+((COUNTIF('Elève (5ème3)'!LY5:MB5,"D"))*1))/(COUNTA(LY5:MB5)),"")</f>
        <v/>
      </c>
      <c r="MD5" s="181" t="str">
        <f t="shared" si="74"/>
        <v/>
      </c>
      <c r="ME5" s="180">
        <f>IF(COUNT(LR5,LW5,MC5)=0,"",SUM(LR5,LW5,MC5)/COUNT(LR5,LW5,MC5))</f>
        <v>3</v>
      </c>
      <c r="MF5" s="205" t="str">
        <f t="shared" si="75"/>
        <v>B</v>
      </c>
      <c r="MG5" s="115" t="s">
        <v>28</v>
      </c>
      <c r="MH5" s="116" t="s">
        <v>28</v>
      </c>
      <c r="MI5" s="117"/>
      <c r="MJ5" s="180">
        <f>IFERROR((((COUNTIF('Elève (5ème3)'!MG5:MI5,"A"))*4)+((COUNTIF('Elève (5ème3)'!MG5:MI5,"B"))*3)+((COUNTIF('Elève (5ème3)'!MG5:MI5,"C"))*2)+((COUNTIF('Elève (5ème3)'!MG5:MI5,"D"))*1))/(COUNTA(MG5:MI5)),"")</f>
        <v>3</v>
      </c>
      <c r="MK5" s="181" t="str">
        <f t="shared" si="76"/>
        <v>B</v>
      </c>
      <c r="ML5" s="115" t="s">
        <v>28</v>
      </c>
      <c r="MM5" s="116"/>
      <c r="MN5" s="117"/>
      <c r="MO5" s="180">
        <f>IFERROR((((COUNTIF('Elève (5ème3)'!ML5:MN5,"A"))*4)+((COUNTIF('Elève (5ème3)'!ML5:MN5,"B"))*3)+((COUNTIF('Elève (5ème3)'!ML5:MN5,"C"))*2)+((COUNTIF('Elève (5ème3)'!ML5:MN5,"D"))*1))/(COUNTA(ML5:MN5)),"")</f>
        <v>3</v>
      </c>
      <c r="MP5" s="181" t="str">
        <f t="shared" si="77"/>
        <v>B</v>
      </c>
      <c r="MQ5" s="115"/>
      <c r="MR5" s="116"/>
      <c r="MS5" s="117"/>
      <c r="MT5" s="121"/>
      <c r="MU5" s="180" t="str">
        <f>IFERROR((((COUNTIF('Elève (5ème3)'!MQ5:MT5,"A"))*4)+((COUNTIF('Elève (5ème3)'!MQ5:MT5,"B"))*3)+((COUNTIF('Elève (5ème3)'!MQ5:MT5,"C"))*2)+((COUNTIF('Elève (5ème3)'!MQ5:MT5,"D"))*1))/(COUNTA(MQ5:MT5)),"")</f>
        <v/>
      </c>
      <c r="MV5" s="181" t="str">
        <f t="shared" si="78"/>
        <v/>
      </c>
      <c r="MW5" s="180">
        <f>IF(COUNT(MJ5,MO5,MU5)=0,"",SUM(MJ5,MO5,MU5)/COUNT(MJ5,MO5,MU5))</f>
        <v>3</v>
      </c>
      <c r="MX5" s="205" t="str">
        <f t="shared" si="79"/>
        <v>B</v>
      </c>
      <c r="MY5" s="115" t="s">
        <v>27</v>
      </c>
      <c r="MZ5" s="116" t="s">
        <v>29</v>
      </c>
      <c r="NA5" s="117"/>
      <c r="NB5" s="180">
        <f>IFERROR((((COUNTIF('Elève (5ème3)'!MY5:NA5,"A"))*4)+((COUNTIF('Elève (5ème3)'!MY5:NA5,"B"))*3)+((COUNTIF('Elève (5ème3)'!MY5:NA5,"C"))*2)+((COUNTIF('Elève (5ème3)'!MY5:NA5,"D"))*1))/(COUNTA(MY5:NA5)),"")</f>
        <v>3</v>
      </c>
      <c r="NC5" s="181" t="str">
        <f t="shared" si="80"/>
        <v>B</v>
      </c>
      <c r="ND5" s="115" t="s">
        <v>29</v>
      </c>
      <c r="NE5" s="116"/>
      <c r="NF5" s="117"/>
      <c r="NG5" s="180">
        <f>IFERROR((((COUNTIF('Elève (5ème3)'!ND5:NF5,"A"))*4)+((COUNTIF('Elève (5ème3)'!ND5:NF5,"B"))*3)+((COUNTIF('Elève (5ème3)'!ND5:NF5,"C"))*2)+((COUNTIF('Elève (5ème3)'!ND5:NF5,"D"))*1))/(COUNTA(ND5:NF5)),"")</f>
        <v>2</v>
      </c>
      <c r="NH5" s="181" t="str">
        <f t="shared" si="81"/>
        <v>C</v>
      </c>
      <c r="NI5" s="115"/>
      <c r="NJ5" s="116"/>
      <c r="NK5" s="117"/>
      <c r="NL5" s="121"/>
      <c r="NM5" s="180" t="str">
        <f>IFERROR((((COUNTIF('Elève (5ème3)'!NI5:NL5,"A"))*4)+((COUNTIF('Elève (5ème3)'!NI5:NL5,"B"))*3)+((COUNTIF('Elève (5ème3)'!NI5:NL5,"C"))*2)+((COUNTIF('Elève (5ème3)'!NI5:NL5,"D"))*1))/(COUNTA(NI5:NL5)),"")</f>
        <v/>
      </c>
      <c r="NN5" s="181" t="str">
        <f t="shared" si="82"/>
        <v/>
      </c>
      <c r="NO5" s="180">
        <f>IF(COUNT(NB5,NG5,NM5)=0,"",SUM(NB5,NG5,NM5)/COUNT(NB5,NG5,NM5))</f>
        <v>2.5</v>
      </c>
      <c r="NP5" s="205" t="str">
        <f t="shared" si="83"/>
        <v>C</v>
      </c>
      <c r="NQ5" s="115" t="s">
        <v>27</v>
      </c>
      <c r="NR5" s="116" t="s">
        <v>29</v>
      </c>
      <c r="NS5" s="117"/>
      <c r="NT5" s="180">
        <f>IFERROR((((COUNTIF('Elève (5ème3)'!NQ5:NS5,"A"))*4)+((COUNTIF('Elève (5ème3)'!NQ5:NS5,"B"))*3)+((COUNTIF('Elève (5ème3)'!NQ5:NS5,"C"))*2)+((COUNTIF('Elève (5ème3)'!NQ5:NS5,"D"))*1))/(COUNTA(NQ5:NS5)),"")</f>
        <v>3</v>
      </c>
      <c r="NU5" s="181" t="str">
        <f t="shared" si="84"/>
        <v>B</v>
      </c>
      <c r="NV5" s="115" t="s">
        <v>28</v>
      </c>
      <c r="NW5" s="116"/>
      <c r="NX5" s="117"/>
      <c r="NY5" s="180">
        <f>IFERROR((((COUNTIF('Elève (5ème3)'!NV5:NX5,"A"))*4)+((COUNTIF('Elève (5ème3)'!NV5:NX5,"B"))*3)+((COUNTIF('Elève (5ème3)'!NV5:NX5,"C"))*2)+((COUNTIF('Elève (5ème3)'!NV5:NX5,"D"))*1))/(COUNTA(NV5:NX5)),"")</f>
        <v>3</v>
      </c>
      <c r="NZ5" s="181" t="str">
        <f t="shared" si="85"/>
        <v>B</v>
      </c>
      <c r="OA5" s="115"/>
      <c r="OB5" s="116"/>
      <c r="OC5" s="117"/>
      <c r="OD5" s="121"/>
      <c r="OE5" s="180" t="str">
        <f>IFERROR((((COUNTIF('Elève (5ème3)'!OA5:OD5,"A"))*4)+((COUNTIF('Elève (5ème3)'!OA5:OD5,"B"))*3)+((COUNTIF('Elève (5ème3)'!OA5:OD5,"C"))*2)+((COUNTIF('Elève (5ème3)'!OA5:OD5,"D"))*1))/(COUNTA(OA5:OD5)),"")</f>
        <v/>
      </c>
      <c r="OF5" s="181" t="str">
        <f t="shared" si="86"/>
        <v/>
      </c>
      <c r="OG5" s="180">
        <f>IF(COUNT(NT5,NY5,OE5)=0,"",SUM(NT5,NY5,OE5)/COUNT(NT5,NY5,OE5))</f>
        <v>3</v>
      </c>
      <c r="OH5" s="205" t="str">
        <f t="shared" si="87"/>
        <v>B</v>
      </c>
      <c r="OI5" s="115" t="s">
        <v>29</v>
      </c>
      <c r="OJ5" s="116" t="s">
        <v>30</v>
      </c>
      <c r="OK5" s="117"/>
      <c r="OL5" s="180">
        <f>IFERROR((((COUNTIF('Elève (5ème3)'!OI5:OK5,"A"))*4)+((COUNTIF('Elève (5ème3)'!OI5:OK5,"B"))*3)+((COUNTIF('Elève (5ème3)'!OI5:OK5,"C"))*2)+((COUNTIF('Elève (5ème3)'!OI5:OK5,"D"))*1))/(COUNTA(OI5:OK5)),"")</f>
        <v>1.5</v>
      </c>
      <c r="OM5" s="181" t="str">
        <f t="shared" si="88"/>
        <v>D</v>
      </c>
      <c r="ON5" s="115" t="s">
        <v>28</v>
      </c>
      <c r="OO5" s="116"/>
      <c r="OP5" s="117"/>
      <c r="OQ5" s="180">
        <f>IFERROR((((COUNTIF('Elève (5ème3)'!ON5:OP5,"A"))*4)+((COUNTIF('Elève (5ème3)'!ON5:OP5,"B"))*3)+((COUNTIF('Elève (5ème3)'!ON5:OP5,"C"))*2)+((COUNTIF('Elève (5ème3)'!ON5:OP5,"D"))*1))/(COUNTA(ON5:OP5)),"")</f>
        <v>3</v>
      </c>
      <c r="OR5" s="181" t="str">
        <f t="shared" si="89"/>
        <v>B</v>
      </c>
      <c r="OS5" s="115"/>
      <c r="OT5" s="116"/>
      <c r="OU5" s="117"/>
      <c r="OV5" s="121"/>
      <c r="OW5" s="180" t="str">
        <f>IFERROR((((COUNTIF('Elève (5ème3)'!OS5:OV5,"A"))*4)+((COUNTIF('Elève (5ème3)'!OS5:OV5,"B"))*3)+((COUNTIF('Elève (5ème3)'!OS5:OV5,"C"))*2)+((COUNTIF('Elève (5ème3)'!OS5:OV5,"D"))*1))/(COUNTA(OS5:OV5)),"")</f>
        <v/>
      </c>
      <c r="OX5" s="181" t="str">
        <f t="shared" si="90"/>
        <v/>
      </c>
      <c r="OY5" s="180">
        <f>IF(COUNT(OL5,OQ5,OW5)=0,"",SUM(OL5,OQ5,OW5)/COUNT(OL5,OQ5,OW5))</f>
        <v>2.25</v>
      </c>
      <c r="OZ5" s="205" t="str">
        <f t="shared" si="91"/>
        <v>C</v>
      </c>
      <c r="PA5" s="115" t="s">
        <v>29</v>
      </c>
      <c r="PB5" s="116" t="s">
        <v>30</v>
      </c>
      <c r="PC5" s="117"/>
      <c r="PD5" s="180">
        <f>IFERROR((((COUNTIF('Elève (5ème3)'!PA5:PC5,"A"))*4)+((COUNTIF('Elève (5ème3)'!PA5:PC5,"B"))*3)+((COUNTIF('Elève (5ème3)'!PA5:PC5,"C"))*2)+((COUNTIF('Elève (5ème3)'!PA5:PC5,"D"))*1))/(COUNTA(PA5:PC5)),"")</f>
        <v>1.5</v>
      </c>
      <c r="PE5" s="181" t="str">
        <f t="shared" si="92"/>
        <v>D</v>
      </c>
      <c r="PF5" s="115" t="s">
        <v>28</v>
      </c>
      <c r="PG5" s="116"/>
      <c r="PH5" s="117"/>
      <c r="PI5" s="180">
        <f>IFERROR((((COUNTIF('Elève (5ème3)'!PF5:PH5,"A"))*4)+((COUNTIF('Elève (5ème3)'!PF5:PH5,"B"))*3)+((COUNTIF('Elève (5ème3)'!PF5:PH5,"C"))*2)+((COUNTIF('Elève (5ème3)'!PF5:PH5,"D"))*1))/(COUNTA(PF5:PH5)),"")</f>
        <v>3</v>
      </c>
      <c r="PJ5" s="181" t="str">
        <f t="shared" si="93"/>
        <v>B</v>
      </c>
      <c r="PK5" s="115"/>
      <c r="PL5" s="116"/>
      <c r="PM5" s="117"/>
      <c r="PN5" s="121"/>
      <c r="PO5" s="180" t="str">
        <f>IFERROR((((COUNTIF('Elève (5ème3)'!PK5:PN5,"A"))*4)+((COUNTIF('Elève (5ème3)'!PK5:PN5,"B"))*3)+((COUNTIF('Elève (5ème3)'!PK5:PN5,"C"))*2)+((COUNTIF('Elève (5ème3)'!PK5:PN5,"D"))*1))/(COUNTA(PK5:PN5)),"")</f>
        <v/>
      </c>
      <c r="PP5" s="181" t="str">
        <f t="shared" si="94"/>
        <v/>
      </c>
      <c r="PQ5" s="180">
        <f>IF(COUNT(PD5,PI5,PO5)=0,"",SUM(PD5,PI5,PO5)/COUNT(PD5,PI5,PO5))</f>
        <v>2.25</v>
      </c>
      <c r="PR5" s="205" t="str">
        <f t="shared" si="95"/>
        <v>C</v>
      </c>
      <c r="PS5" s="115" t="s">
        <v>27</v>
      </c>
      <c r="PT5" s="116" t="s">
        <v>29</v>
      </c>
      <c r="PU5" s="117"/>
      <c r="PV5" s="180">
        <f>IFERROR((((COUNTIF('Elève (5ème3)'!PS5:PU5,"A"))*4)+((COUNTIF('Elève (5ème3)'!PS5:PU5,"B"))*3)+((COUNTIF('Elève (5ème3)'!PS5:PU5,"C"))*2)+((COUNTIF('Elève (5ème3)'!PS5:PU5,"D"))*1))/(COUNTA(PS5:PU5)),"")</f>
        <v>3</v>
      </c>
      <c r="PW5" s="181" t="str">
        <f t="shared" si="96"/>
        <v>B</v>
      </c>
      <c r="PX5" s="115" t="s">
        <v>29</v>
      </c>
      <c r="PY5" s="116"/>
      <c r="PZ5" s="117"/>
      <c r="QA5" s="180">
        <f>IFERROR((((COUNTIF('Elève (5ème3)'!PX5:PZ5,"A"))*4)+((COUNTIF('Elève (5ème3)'!PX5:PZ5,"B"))*3)+((COUNTIF('Elève (5ème3)'!PX5:PZ5,"C"))*2)+((COUNTIF('Elève (5ème3)'!PX5:PZ5,"D"))*1))/(COUNTA(PX5:PZ5)),"")</f>
        <v>2</v>
      </c>
      <c r="QB5" s="181" t="str">
        <f t="shared" si="97"/>
        <v>C</v>
      </c>
      <c r="QC5" s="115"/>
      <c r="QD5" s="116"/>
      <c r="QE5" s="117"/>
      <c r="QF5" s="121"/>
      <c r="QG5" s="180" t="str">
        <f>IFERROR((((COUNTIF('Elève (5ème3)'!QC5:QF5,"A"))*4)+((COUNTIF('Elève (5ème3)'!QC5:QF5,"B"))*3)+((COUNTIF('Elève (5ème3)'!QC5:QF5,"C"))*2)+((COUNTIF('Elève (5ème3)'!QC5:QF5,"D"))*1))/(COUNTA(QC5:QF5)),"")</f>
        <v/>
      </c>
      <c r="QH5" s="181" t="str">
        <f t="shared" si="98"/>
        <v/>
      </c>
      <c r="QI5" s="180">
        <f>IF(COUNT(PV5,QA5,QG5)=0,"",SUM(PV5,QA5,QG5)/COUNT(PV5,QA5,QG5))</f>
        <v>2.5</v>
      </c>
      <c r="QJ5" s="205" t="str">
        <f t="shared" si="99"/>
        <v>C</v>
      </c>
      <c r="QK5" s="115" t="s">
        <v>28</v>
      </c>
      <c r="QL5" s="116" t="s">
        <v>30</v>
      </c>
      <c r="QM5" s="117"/>
      <c r="QN5" s="180">
        <f>IFERROR((((COUNTIF('Elève (5ème3)'!QK5:QM5,"A"))*4)+((COUNTIF('Elève (5ème3)'!QK5:QM5,"B"))*3)+((COUNTIF('Elève (5ème3)'!QK5:QM5,"C"))*2)+((COUNTIF('Elève (5ème3)'!QK5:QM5,"D"))*1))/(COUNTA(QK5:QM5)),"")</f>
        <v>2</v>
      </c>
      <c r="QO5" s="181" t="str">
        <f t="shared" si="100"/>
        <v>C</v>
      </c>
      <c r="QP5" s="115"/>
      <c r="QQ5" s="116"/>
      <c r="QR5" s="117"/>
      <c r="QS5" s="180" t="str">
        <f>IFERROR((((COUNTIF('Elève (5ème3)'!QP5:QR5,"A"))*4)+((COUNTIF('Elève (5ème3)'!QP5:QR5,"B"))*3)+((COUNTIF('Elève (5ème3)'!QP5:QR5,"C"))*2)+((COUNTIF('Elève (5ème3)'!QP5:QR5,"D"))*1))/(COUNTA(QP5:QR5)),"")</f>
        <v/>
      </c>
      <c r="QT5" s="181" t="str">
        <f t="shared" si="101"/>
        <v/>
      </c>
      <c r="QU5" s="115"/>
      <c r="QV5" s="116"/>
      <c r="QW5" s="117"/>
      <c r="QX5" s="121"/>
      <c r="QY5" s="180" t="str">
        <f>IFERROR((((COUNTIF('Elève (5ème3)'!QU5:QX5,"A"))*4)+((COUNTIF('Elève (5ème3)'!QU5:QX5,"B"))*3)+((COUNTIF('Elève (5ème3)'!QU5:QX5,"C"))*2)+((COUNTIF('Elève (5ème3)'!QU5:QX5,"D"))*1))/(COUNTA(QU5:QX5)),"")</f>
        <v/>
      </c>
      <c r="QZ5" s="181" t="str">
        <f t="shared" si="102"/>
        <v/>
      </c>
      <c r="RA5" s="180">
        <f>IF(COUNT(QN5,QS5,QY5)=0,"",SUM(QN5,QS5,QY5)/COUNT(QN5,QS5,QY5))</f>
        <v>2</v>
      </c>
      <c r="RB5" s="205" t="str">
        <f t="shared" si="103"/>
        <v>C</v>
      </c>
      <c r="RC5" s="115" t="s">
        <v>27</v>
      </c>
      <c r="RD5" s="116" t="s">
        <v>29</v>
      </c>
      <c r="RE5" s="117"/>
      <c r="RF5" s="180">
        <f>IFERROR((((COUNTIF('Elève (5ème3)'!RC5:RE5,"A"))*4)+((COUNTIF('Elève (5ème3)'!RC5:RE5,"B"))*3)+((COUNTIF('Elève (5ème3)'!RC5:RE5,"C"))*2)+((COUNTIF('Elève (5ème3)'!RC5:RE5,"D"))*1))/(COUNTA(RC5:RE5)),"")</f>
        <v>3</v>
      </c>
      <c r="RG5" s="181" t="str">
        <f t="shared" si="104"/>
        <v>B</v>
      </c>
      <c r="RH5" s="115" t="s">
        <v>28</v>
      </c>
      <c r="RI5" s="116"/>
      <c r="RJ5" s="117"/>
      <c r="RK5" s="180">
        <f>IFERROR((((COUNTIF('Elève (5ème3)'!RH5:RJ5,"A"))*4)+((COUNTIF('Elève (5ème3)'!RH5:RJ5,"B"))*3)+((COUNTIF('Elève (5ème3)'!RH5:RJ5,"C"))*2)+((COUNTIF('Elève (5ème3)'!RH5:RJ5,"D"))*1))/(COUNTA(RH5:RJ5)),"")</f>
        <v>3</v>
      </c>
      <c r="RL5" s="181" t="str">
        <f t="shared" si="105"/>
        <v>B</v>
      </c>
      <c r="RM5" s="115"/>
      <c r="RN5" s="116"/>
      <c r="RO5" s="117"/>
      <c r="RP5" s="121"/>
      <c r="RQ5" s="180" t="str">
        <f>IFERROR((((COUNTIF('Elève (5ème3)'!RM5:RP5,"A"))*4)+((COUNTIF('Elève (5ème3)'!RM5:RP5,"B"))*3)+((COUNTIF('Elève (5ème3)'!RM5:RP5,"C"))*2)+((COUNTIF('Elève (5ème3)'!RM5:RP5,"D"))*1))/(COUNTA(RM5:RP5)),"")</f>
        <v/>
      </c>
      <c r="RR5" s="181" t="str">
        <f t="shared" si="106"/>
        <v/>
      </c>
      <c r="RS5" s="180">
        <f>IF(COUNT(RF5,RK5,RQ5)=0,"",SUM(RF5,RK5,RQ5)/COUNT(RF5,RK5,RQ5))</f>
        <v>3</v>
      </c>
      <c r="RT5" s="205" t="str">
        <f t="shared" si="107"/>
        <v>B</v>
      </c>
      <c r="RU5" s="115"/>
      <c r="RV5" s="116"/>
      <c r="RW5" s="117"/>
      <c r="RX5" s="118" t="str">
        <f>IFERROR((((COUNTIF('Elève (5ème3)'!RU5:RW5,"A"))*4)+((COUNTIF('Elève (5ème3)'!RU5:RW5,"B"))*3)+((COUNTIF('Elève (5ème3)'!RU5:RW5,"C"))*2)+((COUNTIF('Elève (5ème3)'!RU5:RW5,"D"))*1))/(COUNTA(RU5:RW5)),"")</f>
        <v/>
      </c>
      <c r="RY5" s="119" t="str">
        <f t="shared" si="108"/>
        <v/>
      </c>
      <c r="RZ5" s="115"/>
      <c r="SA5" s="116"/>
      <c r="SB5" s="117"/>
      <c r="SC5" s="118" t="str">
        <f>IFERROR((((COUNTIF('Elève (5ème3)'!RZ5:SB5,"A"))*4)+((COUNTIF('Elève (5ème3)'!RZ5:SB5,"B"))*3)+((COUNTIF('Elève (5ème3)'!RZ5:SB5,"C"))*2)+((COUNTIF('Elève (5ème3)'!RZ5:SB5,"D"))*1))/(COUNTA(RZ5:SB5)),"")</f>
        <v/>
      </c>
      <c r="SD5" s="119" t="str">
        <f t="shared" si="109"/>
        <v/>
      </c>
      <c r="SE5" s="115"/>
      <c r="SF5" s="116"/>
      <c r="SG5" s="121"/>
      <c r="SH5" s="118" t="str">
        <f>IFERROR((((COUNTIF('Elève (5ème3)'!SE5:SG5,"A"))*4)+((COUNTIF('Elève (5ème3)'!SE5:SG5,"B"))*3)+((COUNTIF('Elève (5ème3)'!SE5:SG5,"C"))*2)+((COUNTIF('Elève (5ème3)'!SE5:SG5,"D"))*1))/(COUNTA(SE5:SG5)),"")</f>
        <v/>
      </c>
      <c r="SI5" s="119" t="str">
        <f t="shared" si="110"/>
        <v/>
      </c>
      <c r="SJ5" s="118" t="str">
        <f>IF(COUNT(RX5,SC5,SH5)=0,"",SUM(RX5,SC5,SH5)/COUNT(RX5,SC5,SH5))</f>
        <v/>
      </c>
      <c r="SK5" s="120" t="str">
        <f t="shared" si="111"/>
        <v/>
      </c>
      <c r="SL5" s="115"/>
      <c r="SM5" s="116"/>
      <c r="SN5" s="117"/>
      <c r="SO5" s="118" t="str">
        <f>IFERROR((((COUNTIF('Elève (5ème3)'!SL5:SN5,"A"))*4)+((COUNTIF('Elève (5ème3)'!SL5:SN5,"B"))*3)+((COUNTIF('Elève (5ème3)'!SL5:SN5,"C"))*2)+((COUNTIF('Elève (5ème3)'!SL5:SN5,"D"))*1))/(COUNTA(SL5:SN5)),"")</f>
        <v/>
      </c>
      <c r="SP5" s="119" t="str">
        <f t="shared" si="112"/>
        <v/>
      </c>
      <c r="SQ5" s="115"/>
      <c r="SR5" s="116"/>
      <c r="SS5" s="117"/>
      <c r="ST5" s="118" t="str">
        <f>IFERROR((((COUNTIF('Elève (5ème3)'!SQ5:SS5,"A"))*4)+((COUNTIF('Elève (5ème3)'!SQ5:SS5,"B"))*3)+((COUNTIF('Elève (5ème3)'!SQ5:SS5,"C"))*2)+((COUNTIF('Elève (5ème3)'!SQ5:SS5,"D"))*1))/(COUNTA(SQ5:SS5)),"")</f>
        <v/>
      </c>
      <c r="SU5" s="119" t="str">
        <f t="shared" si="113"/>
        <v/>
      </c>
      <c r="SV5" s="115"/>
      <c r="SW5" s="116"/>
      <c r="SX5" s="121"/>
      <c r="SY5" s="118" t="str">
        <f>IFERROR((((COUNTIF('Elève (5ème3)'!SV5:SX5,"A"))*4)+((COUNTIF('Elève (5ème3)'!SV5:SX5,"B"))*3)+((COUNTIF('Elève (5ème3)'!SV5:SX5,"C"))*2)+((COUNTIF('Elève (5ème3)'!SV5:SX5,"D"))*1))/(COUNTA(SV5:SX5)),"")</f>
        <v/>
      </c>
      <c r="SZ5" s="119" t="str">
        <f t="shared" si="114"/>
        <v/>
      </c>
      <c r="TA5" s="118" t="str">
        <f>IF(COUNT(SO5,ST5,SY5)=0,"",SUM(SO5,ST5,SY5)/COUNT(SO5,ST5,SY5))</f>
        <v/>
      </c>
      <c r="TB5" s="120" t="str">
        <f t="shared" si="115"/>
        <v/>
      </c>
      <c r="TC5" s="115"/>
      <c r="TD5" s="116"/>
      <c r="TE5" s="117"/>
      <c r="TF5" s="118" t="str">
        <f>IFERROR((((COUNTIF('Elève (5ème3)'!TC5:TE5,"A"))*4)+((COUNTIF('Elève (5ème3)'!TC5:TE5,"B"))*3)+((COUNTIF('Elève (5ème3)'!TC5:TE5,"C"))*2)+((COUNTIF('Elève (5ème3)'!TC5:TE5,"D"))*1))/(COUNTA(TC5:TE5)),"")</f>
        <v/>
      </c>
      <c r="TG5" s="119" t="str">
        <f t="shared" si="116"/>
        <v/>
      </c>
      <c r="TH5" s="115"/>
      <c r="TI5" s="116"/>
      <c r="TJ5" s="117"/>
      <c r="TK5" s="118" t="str">
        <f>IFERROR((((COUNTIF('Elève (5ème3)'!TH5:TJ5,"A"))*4)+((COUNTIF('Elève (5ème3)'!TH5:TJ5,"B"))*3)+((COUNTIF('Elève (5ème3)'!TH5:TJ5,"C"))*2)+((COUNTIF('Elève (5ème3)'!TH5:TJ5,"D"))*1))/(COUNTA(TH5:TJ5)),"")</f>
        <v/>
      </c>
      <c r="TL5" s="119" t="str">
        <f t="shared" si="117"/>
        <v/>
      </c>
      <c r="TM5" s="115"/>
      <c r="TN5" s="116"/>
      <c r="TO5" s="121"/>
      <c r="TP5" s="118" t="str">
        <f>IFERROR((((COUNTIF('Elève (5ème3)'!TM5:TO5,"A"))*4)+((COUNTIF('Elève (5ème3)'!TM5:TO5,"B"))*3)+((COUNTIF('Elève (5ème3)'!TM5:TO5,"C"))*2)+((COUNTIF('Elève (5ème3)'!TM5:TO5,"D"))*1))/(COUNTA(TM5:TO5)),"")</f>
        <v/>
      </c>
      <c r="TQ5" s="119" t="str">
        <f t="shared" si="118"/>
        <v/>
      </c>
      <c r="TR5" s="118" t="str">
        <f>IF(COUNT(TF5,TK5,TP5)=0,"",SUM(TF5,TK5,TP5)/COUNT(TF5,TK5,TP5))</f>
        <v/>
      </c>
      <c r="TS5" s="120" t="str">
        <f t="shared" si="119"/>
        <v/>
      </c>
    </row>
    <row r="6" spans="1:539" ht="18" customHeight="1" x14ac:dyDescent="0.25">
      <c r="A6" s="236" t="s">
        <v>13</v>
      </c>
      <c r="B6" s="237"/>
      <c r="C6" s="122"/>
      <c r="D6" s="123"/>
      <c r="E6" s="124"/>
      <c r="F6" s="182" t="str">
        <f>IFERROR((((COUNTIF('Elève (5ème3)'!C6:E6,"A"))*4)+((COUNTIF('Elève (5ème3)'!C6:E6,"B"))*3)+((COUNTIF('Elève (5ème3)'!C6:E6,"C"))*2)+((COUNTIF('Elève (5ème3)'!C6:E6,"D"))*1))/(COUNTA(C6:E6)),"")</f>
        <v/>
      </c>
      <c r="G6" s="183" t="str">
        <f t="shared" si="0"/>
        <v/>
      </c>
      <c r="H6" s="122" t="s">
        <v>27</v>
      </c>
      <c r="I6" s="123"/>
      <c r="J6" s="124" t="s">
        <v>29</v>
      </c>
      <c r="K6" s="182">
        <f>IFERROR((((COUNTIF('Elève (5ème3)'!H6:J6,"A"))*4)+((COUNTIF('Elève (5ème3)'!H6:J6,"B"))*3)+((COUNTIF('Elève (5ème3)'!H6:J6,"C"))*2)+((COUNTIF('Elève (5ème3)'!H6:J6,"D"))*1))/(COUNTA(H6:J6)),"")</f>
        <v>3</v>
      </c>
      <c r="L6" s="183" t="str">
        <f t="shared" si="1"/>
        <v>B</v>
      </c>
      <c r="M6" s="122"/>
      <c r="N6" s="123"/>
      <c r="O6" s="124"/>
      <c r="P6" s="124"/>
      <c r="Q6" s="182" t="str">
        <f>IFERROR((((COUNTIF('Elève (5ème3)'!M6:P6,"A"))*4)+((COUNTIF('Elève (5ème3)'!M6:P6,"B"))*3)+((COUNTIF('Elève (5ème3)'!M6:P6,"C"))*2)+((COUNTIF('Elève (5ème3)'!M6:P6,"D"))*1))/(COUNTA(M6:P6)),"")</f>
        <v/>
      </c>
      <c r="R6" s="183" t="str">
        <f t="shared" si="2"/>
        <v/>
      </c>
      <c r="S6" s="182">
        <f>IF(COUNT(F6,K6,Q6)=0,"",SUM(F6,K6,Q6)/COUNT(F6,K6,Q6))</f>
        <v>3</v>
      </c>
      <c r="T6" s="206" t="str">
        <f t="shared" si="3"/>
        <v>B</v>
      </c>
      <c r="U6" s="122"/>
      <c r="V6" s="123"/>
      <c r="W6" s="124"/>
      <c r="X6" s="182" t="str">
        <f>IFERROR((((COUNTIF('Elève (5ème3)'!U6:W6,"A"))*4)+((COUNTIF('Elève (5ème3)'!U6:W6,"B"))*3)+((COUNTIF('Elève (5ème3)'!U6:W6,"C"))*2)+((COUNTIF('Elève (5ème3)'!U6:W6,"D"))*1))/(COUNTA(U6:W6)),"")</f>
        <v/>
      </c>
      <c r="Y6" s="183" t="str">
        <f t="shared" si="4"/>
        <v/>
      </c>
      <c r="Z6" s="122" t="s">
        <v>27</v>
      </c>
      <c r="AA6" s="123"/>
      <c r="AB6" s="124" t="s">
        <v>28</v>
      </c>
      <c r="AC6" s="182">
        <f>IFERROR((((COUNTIF('Elève (5ème3)'!Z6:AB6,"A"))*4)+((COUNTIF('Elève (5ème3)'!Z6:AB6,"B"))*3)+((COUNTIF('Elève (5ème3)'!Z6:AB6,"C"))*2)+((COUNTIF('Elève (5ème3)'!Z6:AB6,"D"))*1))/(COUNTA(Z6:AB6)),"")</f>
        <v>3.5</v>
      </c>
      <c r="AD6" s="183" t="str">
        <f t="shared" si="5"/>
        <v>B</v>
      </c>
      <c r="AE6" s="122"/>
      <c r="AF6" s="123"/>
      <c r="AG6" s="124"/>
      <c r="AH6" s="128"/>
      <c r="AI6" s="182" t="str">
        <f>IFERROR((((COUNTIF('Elève (5ème3)'!AE6:AH6,"A"))*4)+((COUNTIF('Elève (5ème3)'!AE6:AH6,"B"))*3)+((COUNTIF('Elève (5ème3)'!AE6:AH6,"C"))*2)+((COUNTIF('Elève (5ème3)'!AE6:AH6,"D"))*1))/(COUNTA(AE6:AH6)),"")</f>
        <v/>
      </c>
      <c r="AJ6" s="183" t="str">
        <f t="shared" si="6"/>
        <v/>
      </c>
      <c r="AK6" s="182">
        <f>IF(COUNT(X6,AC6,AI6)=0,"",SUM(X6,AC6,AI6)/COUNT(X6,AC6,AI6))</f>
        <v>3.5</v>
      </c>
      <c r="AL6" s="206" t="str">
        <f t="shared" si="7"/>
        <v>B</v>
      </c>
      <c r="AM6" s="122"/>
      <c r="AN6" s="123"/>
      <c r="AO6" s="124"/>
      <c r="AP6" s="182" t="str">
        <f>IFERROR((((COUNTIF('Elève (5ème3)'!AM6:AO6,"A"))*4)+((COUNTIF('Elève (5ème3)'!AM6:AO6,"B"))*3)+((COUNTIF('Elève (5ème3)'!AM6:AO6,"C"))*2)+((COUNTIF('Elève (5ème3)'!AM6:AO6,"D"))*1))/(COUNTA(AM6:AO6)),"")</f>
        <v/>
      </c>
      <c r="AQ6" s="183" t="str">
        <f t="shared" si="8"/>
        <v/>
      </c>
      <c r="AR6" s="122" t="s">
        <v>27</v>
      </c>
      <c r="AS6" s="123"/>
      <c r="AT6" s="124" t="s">
        <v>28</v>
      </c>
      <c r="AU6" s="182">
        <f>IFERROR((((COUNTIF('Elève (5ème3)'!AR6:AT6,"A"))*4)+((COUNTIF('Elève (5ème3)'!AR6:AT6,"B"))*3)+((COUNTIF('Elève (5ème3)'!AR6:AT6,"C"))*2)+((COUNTIF('Elève (5ème3)'!AR6:AT6,"D"))*1))/(COUNTA(AR6:AT6)),"")</f>
        <v>3.5</v>
      </c>
      <c r="AV6" s="183" t="str">
        <f t="shared" si="9"/>
        <v>B</v>
      </c>
      <c r="AW6" s="122"/>
      <c r="AX6" s="123"/>
      <c r="AY6" s="124"/>
      <c r="AZ6" s="128"/>
      <c r="BA6" s="182" t="str">
        <f>IFERROR((((COUNTIF('Elève (5ème3)'!AW6:AZ6,"A"))*4)+((COUNTIF('Elève (5ème3)'!AW6:AZ6,"B"))*3)+((COUNTIF('Elève (5ème3)'!AW6:AZ6,"C"))*2)+((COUNTIF('Elève (5ème3)'!AW6:AZ6,"D"))*1))/(COUNTA(AW6:AZ6)),"")</f>
        <v/>
      </c>
      <c r="BB6" s="183" t="str">
        <f t="shared" si="10"/>
        <v/>
      </c>
      <c r="BC6" s="182">
        <f>IF(COUNT(AP6,AU6,BA6)=0,"",SUM(AP6,AU6,BA6)/COUNT(AP6,AU6,BA6))</f>
        <v>3.5</v>
      </c>
      <c r="BD6" s="206" t="str">
        <f t="shared" si="11"/>
        <v>B</v>
      </c>
      <c r="BE6" s="122"/>
      <c r="BF6" s="123"/>
      <c r="BG6" s="124"/>
      <c r="BH6" s="182" t="str">
        <f>IFERROR((((COUNTIF('Elève (5ème3)'!BE6:BG6,"A"))*4)+((COUNTIF('Elève (5ème3)'!BE6:BG6,"B"))*3)+((COUNTIF('Elève (5ème3)'!BE6:BG6,"C"))*2)+((COUNTIF('Elève (5ème3)'!BE6:BG6,"D"))*1))/(COUNTA(BE6:BG6)),"")</f>
        <v/>
      </c>
      <c r="BI6" s="183" t="str">
        <f t="shared" si="12"/>
        <v/>
      </c>
      <c r="BJ6" s="122" t="s">
        <v>27</v>
      </c>
      <c r="BK6" s="123"/>
      <c r="BL6" s="124" t="s">
        <v>29</v>
      </c>
      <c r="BM6" s="182">
        <f>IFERROR((((COUNTIF('Elève (5ème3)'!BJ6:BL6,"A"))*4)+((COUNTIF('Elève (5ème3)'!BJ6:BL6,"B"))*3)+((COUNTIF('Elève (5ème3)'!BJ6:BL6,"C"))*2)+((COUNTIF('Elève (5ème3)'!BJ6:BL6,"D"))*1))/(COUNTA(BJ6:BL6)),"")</f>
        <v>3</v>
      </c>
      <c r="BN6" s="183" t="str">
        <f t="shared" si="13"/>
        <v>B</v>
      </c>
      <c r="BO6" s="122"/>
      <c r="BP6" s="123"/>
      <c r="BQ6" s="124"/>
      <c r="BR6" s="128"/>
      <c r="BS6" s="182" t="str">
        <f>IFERROR((((COUNTIF('Elève (5ème3)'!BO6:BR6,"A"))*4)+((COUNTIF('Elève (5ème3)'!BO6:BR6,"B"))*3)+((COUNTIF('Elève (5ème3)'!BO6:BR6,"C"))*2)+((COUNTIF('Elève (5ème3)'!BO6:BR6,"D"))*1))/(COUNTA(BO6:BR6)),"")</f>
        <v/>
      </c>
      <c r="BT6" s="183" t="str">
        <f t="shared" si="14"/>
        <v/>
      </c>
      <c r="BU6" s="182">
        <f>IF(COUNT(BH6,BM6,BS6)=0,"",SUM(BH6,BM6,BS6)/COUNT(BH6,BM6,BS6))</f>
        <v>3</v>
      </c>
      <c r="BV6" s="206" t="str">
        <f t="shared" si="15"/>
        <v>B</v>
      </c>
      <c r="BW6" s="122"/>
      <c r="BX6" s="123"/>
      <c r="BY6" s="124"/>
      <c r="BZ6" s="182" t="str">
        <f>IFERROR((((COUNTIF('Elève (5ème3)'!BW6:BY6,"A"))*4)+((COUNTIF('Elève (5ème3)'!BW6:BY6,"B"))*3)+((COUNTIF('Elève (5ème3)'!BW6:BY6,"C"))*2)+((COUNTIF('Elève (5ème3)'!BW6:BY6,"D"))*1))/(COUNTA(BW6:BY6)),"")</f>
        <v/>
      </c>
      <c r="CA6" s="183" t="str">
        <f t="shared" si="16"/>
        <v/>
      </c>
      <c r="CB6" s="122"/>
      <c r="CC6" s="123"/>
      <c r="CD6" s="124" t="s">
        <v>28</v>
      </c>
      <c r="CE6" s="182">
        <f>IFERROR((((COUNTIF('Elève (5ème3)'!CB6:CD6,"A"))*4)+((COUNTIF('Elève (5ème3)'!CB6:CD6,"B"))*3)+((COUNTIF('Elève (5ème3)'!CB6:CD6,"C"))*2)+((COUNTIF('Elève (5ème3)'!CB6:CD6,"D"))*1))/(COUNTA(CB6:CD6)),"")</f>
        <v>3</v>
      </c>
      <c r="CF6" s="183" t="str">
        <f t="shared" si="17"/>
        <v>B</v>
      </c>
      <c r="CG6" s="122"/>
      <c r="CH6" s="123"/>
      <c r="CI6" s="124"/>
      <c r="CJ6" s="128"/>
      <c r="CK6" s="182" t="str">
        <f>IFERROR((((COUNTIF('Elève (5ème3)'!CG6:CJ6,"A"))*4)+((COUNTIF('Elève (5ème3)'!CG6:CJ6,"B"))*3)+((COUNTIF('Elève (5ème3)'!CG6:CJ6,"C"))*2)+((COUNTIF('Elève (5ème3)'!CG6:CJ6,"D"))*1))/(COUNTA(CG6:CJ6)),"")</f>
        <v/>
      </c>
      <c r="CL6" s="183" t="str">
        <f t="shared" si="18"/>
        <v/>
      </c>
      <c r="CM6" s="182">
        <f>IF(COUNT(BZ6,CE6,CK6)=0,"",SUM(BZ6,CE6,CK6)/COUNT(BZ6,CE6,CK6))</f>
        <v>3</v>
      </c>
      <c r="CN6" s="206" t="str">
        <f t="shared" si="19"/>
        <v>B</v>
      </c>
      <c r="CO6" s="122"/>
      <c r="CP6" s="123"/>
      <c r="CQ6" s="124"/>
      <c r="CR6" s="182" t="str">
        <f>IFERROR((((COUNTIF('Elève (5ème3)'!CO6:CQ6,"A"))*4)+((COUNTIF('Elève (5ème3)'!CO6:CQ6,"B"))*3)+((COUNTIF('Elève (5ème3)'!CO6:CQ6,"C"))*2)+((COUNTIF('Elève (5ème3)'!CO6:CQ6,"D"))*1))/(COUNTA(CO6:CQ6)),"")</f>
        <v/>
      </c>
      <c r="CS6" s="183" t="str">
        <f t="shared" si="20"/>
        <v/>
      </c>
      <c r="CT6" s="122" t="s">
        <v>27</v>
      </c>
      <c r="CU6" s="123"/>
      <c r="CV6" s="124" t="s">
        <v>28</v>
      </c>
      <c r="CW6" s="182">
        <f>IFERROR((((COUNTIF('Elève (5ème3)'!CT6:CV6,"A"))*4)+((COUNTIF('Elève (5ème3)'!CT6:CV6,"B"))*3)+((COUNTIF('Elève (5ème3)'!CT6:CV6,"C"))*2)+((COUNTIF('Elève (5ème3)'!CT6:CV6,"D"))*1))/(COUNTA(CT6:CV6)),"")</f>
        <v>3.5</v>
      </c>
      <c r="CX6" s="183" t="str">
        <f t="shared" si="21"/>
        <v>B</v>
      </c>
      <c r="CY6" s="122"/>
      <c r="CZ6" s="123"/>
      <c r="DA6" s="124"/>
      <c r="DB6" s="128"/>
      <c r="DC6" s="182" t="str">
        <f>IFERROR((((COUNTIF('Elève (5ème3)'!CY6:DB6,"A"))*4)+((COUNTIF('Elève (5ème3)'!CY6:DB6,"B"))*3)+((COUNTIF('Elève (5ème3)'!CY6:DB6,"C"))*2)+((COUNTIF('Elève (5ème3)'!CY6:DB6,"D"))*1))/(COUNTA(CY6:DB6)),"")</f>
        <v/>
      </c>
      <c r="DD6" s="183" t="str">
        <f t="shared" si="22"/>
        <v/>
      </c>
      <c r="DE6" s="182">
        <f>IF(COUNT(CR6,CW6,DC6)=0,"",SUM(CR6,CW6,DC6)/COUNT(CR6,CW6,DC6))</f>
        <v>3.5</v>
      </c>
      <c r="DF6" s="206" t="str">
        <f t="shared" si="23"/>
        <v>B</v>
      </c>
      <c r="DG6" s="122"/>
      <c r="DH6" s="123"/>
      <c r="DI6" s="124"/>
      <c r="DJ6" s="182" t="str">
        <f>IFERROR((((COUNTIF('Elève (5ème3)'!DG6:DI6,"A"))*4)+((COUNTIF('Elève (5ème3)'!DG6:DI6,"B"))*3)+((COUNTIF('Elève (5ème3)'!DG6:DI6,"C"))*2)+((COUNTIF('Elève (5ème3)'!DG6:DI6,"D"))*1))/(COUNTA(DG6:DI6)),"")</f>
        <v/>
      </c>
      <c r="DK6" s="183" t="str">
        <f t="shared" si="24"/>
        <v/>
      </c>
      <c r="DL6" s="122" t="s">
        <v>27</v>
      </c>
      <c r="DM6" s="123"/>
      <c r="DN6" s="124" t="s">
        <v>28</v>
      </c>
      <c r="DO6" s="182">
        <f>IFERROR((((COUNTIF('Elève (5ème3)'!DL6:DN6,"A"))*4)+((COUNTIF('Elève (5ème3)'!DL6:DN6,"B"))*3)+((COUNTIF('Elève (5ème3)'!DL6:DN6,"C"))*2)+((COUNTIF('Elève (5ème3)'!DL6:DN6,"D"))*1))/(COUNTA(DL6:DN6)),"")</f>
        <v>3.5</v>
      </c>
      <c r="DP6" s="183" t="str">
        <f t="shared" si="25"/>
        <v>B</v>
      </c>
      <c r="DQ6" s="122"/>
      <c r="DR6" s="123"/>
      <c r="DS6" s="124"/>
      <c r="DT6" s="128"/>
      <c r="DU6" s="182" t="str">
        <f>IFERROR((((COUNTIF('Elève (5ème3)'!DQ6:DT6,"A"))*4)+((COUNTIF('Elève (5ème3)'!DQ6:DT6,"B"))*3)+((COUNTIF('Elève (5ème3)'!DQ6:DT6,"C"))*2)+((COUNTIF('Elève (5ème3)'!DQ6:DT6,"D"))*1))/(COUNTA(DQ6:DT6)),"")</f>
        <v/>
      </c>
      <c r="DV6" s="183" t="str">
        <f t="shared" si="26"/>
        <v/>
      </c>
      <c r="DW6" s="182">
        <f>IF(COUNT(DJ6,DO6,DU6)=0,"",SUM(DJ6,DO6,DU6)/COUNT(DJ6,DO6,DU6))</f>
        <v>3.5</v>
      </c>
      <c r="DX6" s="206" t="str">
        <f t="shared" si="27"/>
        <v>B</v>
      </c>
      <c r="DY6" s="122"/>
      <c r="DZ6" s="123"/>
      <c r="EA6" s="124"/>
      <c r="EB6" s="182" t="str">
        <f>IFERROR((((COUNTIF('Elève (5ème3)'!DY6:EA6,"A"))*4)+((COUNTIF('Elève (5ème3)'!DY6:EA6,"B"))*3)+((COUNTIF('Elève (5ème3)'!DY6:EA6,"C"))*2)+((COUNTIF('Elève (5ème3)'!DY6:EA6,"D"))*1))/(COUNTA(DY6:EA6)),"")</f>
        <v/>
      </c>
      <c r="EC6" s="183" t="str">
        <f t="shared" si="28"/>
        <v/>
      </c>
      <c r="ED6" s="122"/>
      <c r="EE6" s="123"/>
      <c r="EF6" s="124" t="s">
        <v>30</v>
      </c>
      <c r="EG6" s="182">
        <f>IFERROR((((COUNTIF('Elève (5ème3)'!ED6:EF6,"A"))*4)+((COUNTIF('Elève (5ème3)'!ED6:EF6,"B"))*3)+((COUNTIF('Elève (5ème3)'!ED6:EF6,"C"))*2)+((COUNTIF('Elève (5ème3)'!ED6:EF6,"D"))*1))/(COUNTA(ED6:EF6)),"")</f>
        <v>1</v>
      </c>
      <c r="EH6" s="183" t="str">
        <f t="shared" si="29"/>
        <v>D</v>
      </c>
      <c r="EI6" s="122"/>
      <c r="EJ6" s="123"/>
      <c r="EK6" s="124"/>
      <c r="EL6" s="128"/>
      <c r="EM6" s="182" t="str">
        <f>IFERROR((((COUNTIF('Elève (5ème3)'!EI6:EL6,"A"))*4)+((COUNTIF('Elève (5ème3)'!EI6:EL6,"B"))*3)+((COUNTIF('Elève (5ème3)'!EI6:EL6,"C"))*2)+((COUNTIF('Elève (5ème3)'!EI6:EL6,"D"))*1))/(COUNTA(EI6:EL6)),"")</f>
        <v/>
      </c>
      <c r="EN6" s="183" t="str">
        <f t="shared" si="30"/>
        <v/>
      </c>
      <c r="EO6" s="182">
        <f>IF(COUNT(EB6,EG6,EM6)=0,"",SUM(EB6,EG6,EM6)/COUNT(EB6,EG6,EM6))</f>
        <v>1</v>
      </c>
      <c r="EP6" s="206" t="str">
        <f t="shared" si="31"/>
        <v>D</v>
      </c>
      <c r="EQ6" s="122"/>
      <c r="ER6" s="123"/>
      <c r="ES6" s="124"/>
      <c r="ET6" s="182" t="str">
        <f>IFERROR((((COUNTIF('Elève (5ème3)'!EQ6:ES6,"A"))*4)+((COUNTIF('Elève (5ème3)'!EQ6:ES6,"B"))*3)+((COUNTIF('Elève (5ème3)'!EQ6:ES6,"C"))*2)+((COUNTIF('Elève (5ème3)'!EQ6:ES6,"D"))*1))/(COUNTA(EQ6:ES6)),"")</f>
        <v/>
      </c>
      <c r="EU6" s="183" t="str">
        <f t="shared" si="32"/>
        <v/>
      </c>
      <c r="EV6" s="122" t="s">
        <v>29</v>
      </c>
      <c r="EW6" s="123"/>
      <c r="EX6" s="124" t="s">
        <v>29</v>
      </c>
      <c r="EY6" s="182">
        <f>IFERROR((((COUNTIF('Elève (5ème3)'!EV6:EX6,"A"))*4)+((COUNTIF('Elève (5ème3)'!EV6:EX6,"B"))*3)+((COUNTIF('Elève (5ème3)'!EV6:EX6,"C"))*2)+((COUNTIF('Elève (5ème3)'!EV6:EX6,"D"))*1))/(COUNTA(EV6:EX6)),"")</f>
        <v>2</v>
      </c>
      <c r="EZ6" s="183" t="str">
        <f t="shared" si="33"/>
        <v>C</v>
      </c>
      <c r="FA6" s="122"/>
      <c r="FB6" s="123"/>
      <c r="FC6" s="124"/>
      <c r="FD6" s="128"/>
      <c r="FE6" s="182" t="str">
        <f>IFERROR((((COUNTIF('Elève (5ème3)'!FA6:FD6,"A"))*4)+((COUNTIF('Elève (5ème3)'!FA6:FD6,"B"))*3)+((COUNTIF('Elève (5ème3)'!FA6:FD6,"C"))*2)+((COUNTIF('Elève (5ème3)'!FA6:FD6,"D"))*1))/(COUNTA(FA6:FD6)),"")</f>
        <v/>
      </c>
      <c r="FF6" s="183" t="str">
        <f t="shared" si="34"/>
        <v/>
      </c>
      <c r="FG6" s="182">
        <f>IF(COUNT(ET6,EY6,FE6)=0,"",SUM(ET6,EY6,FE6)/COUNT(ET6,EY6,FE6))</f>
        <v>2</v>
      </c>
      <c r="FH6" s="206" t="str">
        <f t="shared" si="35"/>
        <v>C</v>
      </c>
      <c r="FI6" s="122"/>
      <c r="FJ6" s="123"/>
      <c r="FK6" s="124"/>
      <c r="FL6" s="182" t="str">
        <f>IFERROR((((COUNTIF('Elève (5ème3)'!FI6:FK6,"A"))*4)+((COUNTIF('Elève (5ème3)'!FI6:FK6,"B"))*3)+((COUNTIF('Elève (5ème3)'!FI6:FK6,"C"))*2)+((COUNTIF('Elève (5ème3)'!FI6:FK6,"D"))*1))/(COUNTA(FI6:FK6)),"")</f>
        <v/>
      </c>
      <c r="FM6" s="183" t="str">
        <f t="shared" si="36"/>
        <v/>
      </c>
      <c r="FN6" s="122" t="s">
        <v>29</v>
      </c>
      <c r="FO6" s="123"/>
      <c r="FP6" s="124" t="s">
        <v>28</v>
      </c>
      <c r="FQ6" s="182">
        <f>IFERROR((((COUNTIF('Elève (5ème3)'!FN6:FP6,"A"))*4)+((COUNTIF('Elève (5ème3)'!FN6:FP6,"B"))*3)+((COUNTIF('Elève (5ème3)'!FN6:FP6,"C"))*2)+((COUNTIF('Elève (5ème3)'!FN6:FP6,"D"))*1))/(COUNTA(FN6:FP6)),"")</f>
        <v>2.5</v>
      </c>
      <c r="FR6" s="183" t="str">
        <f t="shared" si="37"/>
        <v>C</v>
      </c>
      <c r="FS6" s="122"/>
      <c r="FT6" s="123"/>
      <c r="FU6" s="124"/>
      <c r="FV6" s="128"/>
      <c r="FW6" s="182" t="str">
        <f>IFERROR((((COUNTIF('Elève (5ème3)'!FS6:FV6,"A"))*4)+((COUNTIF('Elève (5ème3)'!FS6:FV6,"B"))*3)+((COUNTIF('Elève (5ème3)'!FS6:FV6,"C"))*2)+((COUNTIF('Elève (5ème3)'!FS6:FV6,"D"))*1))/(COUNTA(FS6:FV6)),"")</f>
        <v/>
      </c>
      <c r="FX6" s="183" t="str">
        <f t="shared" si="38"/>
        <v/>
      </c>
      <c r="FY6" s="182">
        <f>IF(COUNT(FL6,FQ6,FW6)=0,"",SUM(FL6,FQ6,FW6)/COUNT(FL6,FQ6,FW6))</f>
        <v>2.5</v>
      </c>
      <c r="FZ6" s="206" t="str">
        <f t="shared" si="39"/>
        <v>C</v>
      </c>
      <c r="GA6" s="122"/>
      <c r="GB6" s="123"/>
      <c r="GC6" s="124"/>
      <c r="GD6" s="182" t="str">
        <f>IFERROR((((COUNTIF('Elève (5ème3)'!GA6:GC6,"A"))*4)+((COUNTIF('Elève (5ème3)'!GA6:GC6,"B"))*3)+((COUNTIF('Elève (5ème3)'!GA6:GC6,"C"))*2)+((COUNTIF('Elève (5ème3)'!GA6:GC6,"D"))*1))/(COUNTA(GA6:GC6)),"")</f>
        <v/>
      </c>
      <c r="GE6" s="183" t="str">
        <f t="shared" si="40"/>
        <v/>
      </c>
      <c r="GF6" s="122" t="s">
        <v>27</v>
      </c>
      <c r="GG6" s="123"/>
      <c r="GH6" s="124" t="s">
        <v>28</v>
      </c>
      <c r="GI6" s="182">
        <f>IFERROR((((COUNTIF('Elève (5ème3)'!GF6:GH6,"A"))*4)+((COUNTIF('Elève (5ème3)'!GF6:GH6,"B"))*3)+((COUNTIF('Elève (5ème3)'!GF6:GH6,"C"))*2)+((COUNTIF('Elève (5ème3)'!GF6:GH6,"D"))*1))/(COUNTA(GF6:GH6)),"")</f>
        <v>3.5</v>
      </c>
      <c r="GJ6" s="183" t="str">
        <f t="shared" si="41"/>
        <v>B</v>
      </c>
      <c r="GK6" s="122"/>
      <c r="GL6" s="123"/>
      <c r="GM6" s="124"/>
      <c r="GN6" s="128"/>
      <c r="GO6" s="182" t="str">
        <f>IFERROR((((COUNTIF('Elève (5ème3)'!GK6:GN6,"A"))*4)+((COUNTIF('Elève (5ème3)'!GK6:GN6,"B"))*3)+((COUNTIF('Elève (5ème3)'!GK6:GN6,"C"))*2)+((COUNTIF('Elève (5ème3)'!GK6:GN6,"D"))*1))/(COUNTA(GK6:GN6)),"")</f>
        <v/>
      </c>
      <c r="GP6" s="183" t="str">
        <f t="shared" si="42"/>
        <v/>
      </c>
      <c r="GQ6" s="182">
        <f>IF(COUNT(GD6,GI6,GO6)=0,"",SUM(GD6,GI6,GO6)/COUNT(GD6,GI6,GO6))</f>
        <v>3.5</v>
      </c>
      <c r="GR6" s="206" t="str">
        <f t="shared" si="43"/>
        <v>B</v>
      </c>
      <c r="GS6" s="122"/>
      <c r="GT6" s="123"/>
      <c r="GU6" s="124"/>
      <c r="GV6" s="182" t="str">
        <f>IFERROR((((COUNTIF('Elève (5ème3)'!GS6:GU6,"A"))*4)+((COUNTIF('Elève (5ème3)'!GS6:GU6,"B"))*3)+((COUNTIF('Elève (5ème3)'!GS6:GU6,"C"))*2)+((COUNTIF('Elève (5ème3)'!GS6:GU6,"D"))*1))/(COUNTA(GS6:GU6)),"")</f>
        <v/>
      </c>
      <c r="GW6" s="183" t="str">
        <f t="shared" si="44"/>
        <v/>
      </c>
      <c r="GX6" s="122" t="s">
        <v>27</v>
      </c>
      <c r="GY6" s="123"/>
      <c r="GZ6" s="124" t="s">
        <v>29</v>
      </c>
      <c r="HA6" s="182">
        <f>IFERROR((((COUNTIF('Elève (5ème3)'!GX6:GZ6,"A"))*4)+((COUNTIF('Elève (5ème3)'!GX6:GZ6,"B"))*3)+((COUNTIF('Elève (5ème3)'!GX6:GZ6,"C"))*2)+((COUNTIF('Elève (5ème3)'!GX6:GZ6,"D"))*1))/(COUNTA(GX6:GZ6)),"")</f>
        <v>3</v>
      </c>
      <c r="HB6" s="183" t="str">
        <f t="shared" si="45"/>
        <v>B</v>
      </c>
      <c r="HC6" s="122"/>
      <c r="HD6" s="123"/>
      <c r="HE6" s="124"/>
      <c r="HF6" s="128"/>
      <c r="HG6" s="182" t="str">
        <f>IFERROR((((COUNTIF('Elève (5ème3)'!HC6:HF6,"A"))*4)+((COUNTIF('Elève (5ème3)'!HC6:HF6,"B"))*3)+((COUNTIF('Elève (5ème3)'!HC6:HF6,"C"))*2)+((COUNTIF('Elève (5ème3)'!HC6:HF6,"D"))*1))/(COUNTA(HC6:HF6)),"")</f>
        <v/>
      </c>
      <c r="HH6" s="183" t="str">
        <f t="shared" si="46"/>
        <v/>
      </c>
      <c r="HI6" s="182">
        <f>IF(COUNT(GV6,HA6,HG6)=0,"",SUM(GV6,HA6,HG6)/COUNT(GV6,HA6,HG6))</f>
        <v>3</v>
      </c>
      <c r="HJ6" s="206" t="str">
        <f t="shared" si="47"/>
        <v>B</v>
      </c>
      <c r="HK6" s="122"/>
      <c r="HL6" s="123"/>
      <c r="HM6" s="124"/>
      <c r="HN6" s="182" t="str">
        <f>IFERROR((((COUNTIF('Elève (5ème3)'!HK6:HM6,"A"))*4)+((COUNTIF('Elève (5ème3)'!HK6:HM6,"B"))*3)+((COUNTIF('Elève (5ème3)'!HK6:HM6,"C"))*2)+((COUNTIF('Elève (5ème3)'!HK6:HM6,"D"))*1))/(COUNTA(HK6:HM6)),"")</f>
        <v/>
      </c>
      <c r="HO6" s="183" t="str">
        <f t="shared" si="48"/>
        <v/>
      </c>
      <c r="HP6" s="122" t="s">
        <v>30</v>
      </c>
      <c r="HQ6" s="123"/>
      <c r="HR6" s="124" t="s">
        <v>30</v>
      </c>
      <c r="HS6" s="182">
        <f>IFERROR((((COUNTIF('Elève (5ème3)'!HP6:HR6,"A"))*4)+((COUNTIF('Elève (5ème3)'!HP6:HR6,"B"))*3)+((COUNTIF('Elève (5ème3)'!HP6:HR6,"C"))*2)+((COUNTIF('Elève (5ème3)'!HP6:HR6,"D"))*1))/(COUNTA(HP6:HR6)),"")</f>
        <v>1</v>
      </c>
      <c r="HT6" s="183" t="str">
        <f t="shared" si="49"/>
        <v>D</v>
      </c>
      <c r="HU6" s="122"/>
      <c r="HV6" s="123"/>
      <c r="HW6" s="124"/>
      <c r="HX6" s="128"/>
      <c r="HY6" s="182" t="str">
        <f>IFERROR((((COUNTIF('Elève (5ème3)'!HU6:HX6,"A"))*4)+((COUNTIF('Elève (5ème3)'!HU6:HX6,"B"))*3)+((COUNTIF('Elève (5ème3)'!HU6:HX6,"C"))*2)+((COUNTIF('Elève (5ème3)'!HU6:HX6,"D"))*1))/(COUNTA(HU6:HX6)),"")</f>
        <v/>
      </c>
      <c r="HZ6" s="183" t="str">
        <f t="shared" si="50"/>
        <v/>
      </c>
      <c r="IA6" s="182">
        <f>IF(COUNT(HN6,HS6,HY6)=0,"",SUM(HN6,HS6,HY6)/COUNT(HN6,HS6,HY6))</f>
        <v>1</v>
      </c>
      <c r="IB6" s="206" t="str">
        <f t="shared" si="51"/>
        <v>D</v>
      </c>
      <c r="IC6" s="122"/>
      <c r="ID6" s="123"/>
      <c r="IE6" s="124"/>
      <c r="IF6" s="182" t="str">
        <f>IFERROR((((COUNTIF('Elève (5ème3)'!IC6:IE6,"A"))*4)+((COUNTIF('Elève (5ème3)'!IC6:IE6,"B"))*3)+((COUNTIF('Elève (5ème3)'!IC6:IE6,"C"))*2)+((COUNTIF('Elève (5ème3)'!IC6:IE6,"D"))*1))/(COUNTA(IC6:IE6)),"")</f>
        <v/>
      </c>
      <c r="IG6" s="183" t="str">
        <f t="shared" si="52"/>
        <v/>
      </c>
      <c r="IH6" s="122" t="s">
        <v>27</v>
      </c>
      <c r="II6" s="123"/>
      <c r="IJ6" s="124" t="s">
        <v>28</v>
      </c>
      <c r="IK6" s="182">
        <f>IFERROR((((COUNTIF('Elève (5ème3)'!IH6:IJ6,"A"))*4)+((COUNTIF('Elève (5ème3)'!IH6:IJ6,"B"))*3)+((COUNTIF('Elève (5ème3)'!IH6:IJ6,"C"))*2)+((COUNTIF('Elève (5ème3)'!IH6:IJ6,"D"))*1))/(COUNTA(IH6:IJ6)),"")</f>
        <v>3.5</v>
      </c>
      <c r="IL6" s="183" t="str">
        <f t="shared" si="53"/>
        <v>B</v>
      </c>
      <c r="IM6" s="122"/>
      <c r="IN6" s="123"/>
      <c r="IO6" s="124"/>
      <c r="IP6" s="128"/>
      <c r="IQ6" s="182" t="str">
        <f>IFERROR((((COUNTIF('Elève (5ème3)'!IM6:IP6,"A"))*4)+((COUNTIF('Elève (5ème3)'!IM6:IP6,"B"))*3)+((COUNTIF('Elève (5ème3)'!IM6:IP6,"C"))*2)+((COUNTIF('Elève (5ème3)'!IM6:IP6,"D"))*1))/(COUNTA(IM6:IP6)),"")</f>
        <v/>
      </c>
      <c r="IR6" s="183" t="str">
        <f t="shared" si="54"/>
        <v/>
      </c>
      <c r="IS6" s="182">
        <f>IF(COUNT(IF6,IK6,IQ6)=0,"",SUM(IF6,IK6,IQ6)/COUNT(IF6,IK6,IQ6))</f>
        <v>3.5</v>
      </c>
      <c r="IT6" s="206" t="str">
        <f t="shared" si="55"/>
        <v>B</v>
      </c>
      <c r="IU6" s="122"/>
      <c r="IV6" s="123"/>
      <c r="IW6" s="124"/>
      <c r="IX6" s="182" t="str">
        <f>IFERROR((((COUNTIF('Elève (5ème3)'!IU6:IW6,"A"))*4)+((COUNTIF('Elève (5ème3)'!IU6:IW6,"B"))*3)+((COUNTIF('Elève (5ème3)'!IU6:IW6,"C"))*2)+((COUNTIF('Elève (5ème3)'!IU6:IW6,"D"))*1))/(COUNTA(IU6:IW6)),"")</f>
        <v/>
      </c>
      <c r="IY6" s="183" t="str">
        <f t="shared" si="56"/>
        <v/>
      </c>
      <c r="IZ6" s="122" t="s">
        <v>29</v>
      </c>
      <c r="JA6" s="123"/>
      <c r="JB6" s="124" t="s">
        <v>28</v>
      </c>
      <c r="JC6" s="182">
        <f>IFERROR((((COUNTIF('Elève (5ème3)'!IZ6:JB6,"A"))*4)+((COUNTIF('Elève (5ème3)'!IZ6:JB6,"B"))*3)+((COUNTIF('Elève (5ème3)'!IZ6:JB6,"C"))*2)+((COUNTIF('Elève (5ème3)'!IZ6:JB6,"D"))*1))/(COUNTA(IZ6:JB6)),"")</f>
        <v>2.5</v>
      </c>
      <c r="JD6" s="183" t="str">
        <f t="shared" si="57"/>
        <v>C</v>
      </c>
      <c r="JE6" s="122"/>
      <c r="JF6" s="123"/>
      <c r="JG6" s="124"/>
      <c r="JH6" s="128"/>
      <c r="JI6" s="182" t="str">
        <f>IFERROR((((COUNTIF('Elève (5ème3)'!JE6:JH6,"A"))*4)+((COUNTIF('Elève (5ème3)'!JE6:JH6,"B"))*3)+((COUNTIF('Elève (5ème3)'!JE6:JH6,"C"))*2)+((COUNTIF('Elève (5ème3)'!JE6:JH6,"D"))*1))/(COUNTA(JE6:JH6)),"")</f>
        <v/>
      </c>
      <c r="JJ6" s="183" t="str">
        <f t="shared" si="58"/>
        <v/>
      </c>
      <c r="JK6" s="182">
        <f>IF(COUNT(IX6,JC6,JI6)=0,"",SUM(IX6,JC6,JI6)/COUNT(IX6,JC6,JI6))</f>
        <v>2.5</v>
      </c>
      <c r="JL6" s="206" t="str">
        <f t="shared" si="59"/>
        <v>C</v>
      </c>
      <c r="JM6" s="122"/>
      <c r="JN6" s="123"/>
      <c r="JO6" s="124"/>
      <c r="JP6" s="182" t="str">
        <f>IFERROR((((COUNTIF('Elève (5ème3)'!JM6:JO6,"A"))*4)+((COUNTIF('Elève (5ème3)'!JM6:JO6,"B"))*3)+((COUNTIF('Elève (5ème3)'!JM6:JO6,"C"))*2)+((COUNTIF('Elève (5ème3)'!JM6:JO6,"D"))*1))/(COUNTA(JM6:JO6)),"")</f>
        <v/>
      </c>
      <c r="JQ6" s="183" t="str">
        <f t="shared" si="60"/>
        <v/>
      </c>
      <c r="JR6" s="122" t="s">
        <v>30</v>
      </c>
      <c r="JS6" s="123"/>
      <c r="JT6" s="124" t="s">
        <v>30</v>
      </c>
      <c r="JU6" s="182">
        <f>IFERROR((((COUNTIF('Elève (5ème3)'!JR6:JT6,"A"))*4)+((COUNTIF('Elève (5ème3)'!JR6:JT6,"B"))*3)+((COUNTIF('Elève (5ème3)'!JR6:JT6,"C"))*2)+((COUNTIF('Elève (5ème3)'!JR6:JT6,"D"))*1))/(COUNTA(JR6:JT6)),"")</f>
        <v>1</v>
      </c>
      <c r="JV6" s="183" t="str">
        <f t="shared" si="61"/>
        <v>D</v>
      </c>
      <c r="JW6" s="122"/>
      <c r="JX6" s="123"/>
      <c r="JY6" s="124"/>
      <c r="JZ6" s="128"/>
      <c r="KA6" s="182" t="str">
        <f>IFERROR((((COUNTIF('Elève (5ème3)'!JW6:JZ6,"A"))*4)+((COUNTIF('Elève (5ème3)'!JW6:JZ6,"B"))*3)+((COUNTIF('Elève (5ème3)'!JW6:JZ6,"C"))*2)+((COUNTIF('Elève (5ème3)'!JW6:JZ6,"D"))*1))/(COUNTA(JW6:JZ6)),"")</f>
        <v/>
      </c>
      <c r="KB6" s="183" t="str">
        <f t="shared" si="62"/>
        <v/>
      </c>
      <c r="KC6" s="182">
        <f>IF(COUNT(JP6,JU6,KA6)=0,"",SUM(JP6,JU6,KA6)/COUNT(JP6,JU6,KA6))</f>
        <v>1</v>
      </c>
      <c r="KD6" s="206" t="str">
        <f t="shared" si="63"/>
        <v>D</v>
      </c>
      <c r="KE6" s="122"/>
      <c r="KF6" s="123"/>
      <c r="KG6" s="124"/>
      <c r="KH6" s="182" t="str">
        <f>IFERROR((((COUNTIF('Elève (5ème3)'!KE6:KG6,"A"))*4)+((COUNTIF('Elève (5ème3)'!KE6:KG6,"B"))*3)+((COUNTIF('Elève (5ème3)'!KE6:KG6,"C"))*2)+((COUNTIF('Elève (5ème3)'!KE6:KG6,"D"))*1))/(COUNTA(KE6:KG6)),"")</f>
        <v/>
      </c>
      <c r="KI6" s="183" t="str">
        <f t="shared" si="64"/>
        <v/>
      </c>
      <c r="KJ6" s="122" t="s">
        <v>28</v>
      </c>
      <c r="KK6" s="123"/>
      <c r="KL6" s="124" t="s">
        <v>28</v>
      </c>
      <c r="KM6" s="182">
        <f>IFERROR((((COUNTIF('Elève (5ème3)'!KJ6:KL6,"A"))*4)+((COUNTIF('Elève (5ème3)'!KJ6:KL6,"B"))*3)+((COUNTIF('Elève (5ème3)'!KJ6:KL6,"C"))*2)+((COUNTIF('Elève (5ème3)'!KJ6:KL6,"D"))*1))/(COUNTA(KJ6:KL6)),"")</f>
        <v>3</v>
      </c>
      <c r="KN6" s="183" t="str">
        <f t="shared" si="65"/>
        <v>B</v>
      </c>
      <c r="KO6" s="122"/>
      <c r="KP6" s="123"/>
      <c r="KQ6" s="124"/>
      <c r="KR6" s="128"/>
      <c r="KS6" s="182" t="str">
        <f>IFERROR((((COUNTIF('Elève (5ème3)'!KO6:KR6,"A"))*4)+((COUNTIF('Elève (5ème3)'!KO6:KR6,"B"))*3)+((COUNTIF('Elève (5ème3)'!KO6:KR6,"C"))*2)+((COUNTIF('Elève (5ème3)'!KO6:KR6,"D"))*1))/(COUNTA(KO6:KR6)),"")</f>
        <v/>
      </c>
      <c r="KT6" s="183" t="str">
        <f t="shared" si="66"/>
        <v/>
      </c>
      <c r="KU6" s="182">
        <f>IF(COUNT(KH6,KM6,KS6)=0,"",SUM(KH6,KM6,KS6)/COUNT(KH6,KM6,KS6))</f>
        <v>3</v>
      </c>
      <c r="KV6" s="206" t="str">
        <f t="shared" si="67"/>
        <v>B</v>
      </c>
      <c r="KW6" s="122"/>
      <c r="KX6" s="123"/>
      <c r="KY6" s="124"/>
      <c r="KZ6" s="182" t="str">
        <f>IFERROR((((COUNTIF('Elève (5ème3)'!KW6:KY6,"A"))*4)+((COUNTIF('Elève (5ème3)'!KW6:KY6,"B"))*3)+((COUNTIF('Elève (5ème3)'!KW6:KY6,"C"))*2)+((COUNTIF('Elève (5ème3)'!KW6:KY6,"D"))*1))/(COUNTA(KW6:KY6)),"")</f>
        <v/>
      </c>
      <c r="LA6" s="183" t="str">
        <f t="shared" si="68"/>
        <v/>
      </c>
      <c r="LB6" s="122" t="s">
        <v>27</v>
      </c>
      <c r="LC6" s="123"/>
      <c r="LD6" s="124" t="s">
        <v>28</v>
      </c>
      <c r="LE6" s="182">
        <f>IFERROR((((COUNTIF('Elève (5ème3)'!LB6:LD6,"A"))*4)+((COUNTIF('Elève (5ème3)'!LB6:LD6,"B"))*3)+((COUNTIF('Elève (5ème3)'!LB6:LD6,"C"))*2)+((COUNTIF('Elève (5ème3)'!LB6:LD6,"D"))*1))/(COUNTA(LB6:LD6)),"")</f>
        <v>3.5</v>
      </c>
      <c r="LF6" s="183" t="str">
        <f t="shared" si="69"/>
        <v>B</v>
      </c>
      <c r="LG6" s="122"/>
      <c r="LH6" s="123"/>
      <c r="LI6" s="124"/>
      <c r="LJ6" s="128"/>
      <c r="LK6" s="182" t="str">
        <f>IFERROR((((COUNTIF('Elève (5ème3)'!LG6:LJ6,"A"))*4)+((COUNTIF('Elève (5ème3)'!LG6:LJ6,"B"))*3)+((COUNTIF('Elève (5ème3)'!LG6:LJ6,"C"))*2)+((COUNTIF('Elève (5ème3)'!LG6:LJ6,"D"))*1))/(COUNTA(LG6:LJ6)),"")</f>
        <v/>
      </c>
      <c r="LL6" s="183" t="str">
        <f t="shared" si="70"/>
        <v/>
      </c>
      <c r="LM6" s="182">
        <f>IF(COUNT(KZ6,LE6,LK6)=0,"",SUM(KZ6,LE6,LK6)/COUNT(KZ6,LE6,LK6))</f>
        <v>3.5</v>
      </c>
      <c r="LN6" s="206" t="str">
        <f t="shared" si="71"/>
        <v>B</v>
      </c>
      <c r="LO6" s="122"/>
      <c r="LP6" s="123"/>
      <c r="LQ6" s="124"/>
      <c r="LR6" s="182" t="str">
        <f>IFERROR((((COUNTIF('Elève (5ème3)'!LO6:LQ6,"A"))*4)+((COUNTIF('Elève (5ème3)'!LO6:LQ6,"B"))*3)+((COUNTIF('Elève (5ème3)'!LO6:LQ6,"C"))*2)+((COUNTIF('Elève (5ème3)'!LO6:LQ6,"D"))*1))/(COUNTA(LO6:LQ6)),"")</f>
        <v/>
      </c>
      <c r="LS6" s="183" t="str">
        <f t="shared" si="72"/>
        <v/>
      </c>
      <c r="LT6" s="122" t="s">
        <v>27</v>
      </c>
      <c r="LU6" s="123"/>
      <c r="LV6" s="124" t="s">
        <v>28</v>
      </c>
      <c r="LW6" s="182">
        <f>IFERROR((((COUNTIF('Elève (5ème3)'!LT6:LV6,"A"))*4)+((COUNTIF('Elève (5ème3)'!LT6:LV6,"B"))*3)+((COUNTIF('Elève (5ème3)'!LT6:LV6,"C"))*2)+((COUNTIF('Elève (5ème3)'!LT6:LV6,"D"))*1))/(COUNTA(LT6:LV6)),"")</f>
        <v>3.5</v>
      </c>
      <c r="LX6" s="183" t="str">
        <f t="shared" si="73"/>
        <v>B</v>
      </c>
      <c r="LY6" s="122"/>
      <c r="LZ6" s="123"/>
      <c r="MA6" s="124"/>
      <c r="MB6" s="128"/>
      <c r="MC6" s="182" t="str">
        <f>IFERROR((((COUNTIF('Elève (5ème3)'!LY6:MB6,"A"))*4)+((COUNTIF('Elève (5ème3)'!LY6:MB6,"B"))*3)+((COUNTIF('Elève (5ème3)'!LY6:MB6,"C"))*2)+((COUNTIF('Elève (5ème3)'!LY6:MB6,"D"))*1))/(COUNTA(LY6:MB6)),"")</f>
        <v/>
      </c>
      <c r="MD6" s="183" t="str">
        <f t="shared" si="74"/>
        <v/>
      </c>
      <c r="ME6" s="182">
        <f>IF(COUNT(LR6,LW6,MC6)=0,"",SUM(LR6,LW6,MC6)/COUNT(LR6,LW6,MC6))</f>
        <v>3.5</v>
      </c>
      <c r="MF6" s="206" t="str">
        <f t="shared" si="75"/>
        <v>B</v>
      </c>
      <c r="MG6" s="122"/>
      <c r="MH6" s="123"/>
      <c r="MI6" s="124"/>
      <c r="MJ6" s="182" t="str">
        <f>IFERROR((((COUNTIF('Elève (5ème3)'!MG6:MI6,"A"))*4)+((COUNTIF('Elève (5ème3)'!MG6:MI6,"B"))*3)+((COUNTIF('Elève (5ème3)'!MG6:MI6,"C"))*2)+((COUNTIF('Elève (5ème3)'!MG6:MI6,"D"))*1))/(COUNTA(MG6:MI6)),"")</f>
        <v/>
      </c>
      <c r="MK6" s="183" t="str">
        <f t="shared" si="76"/>
        <v/>
      </c>
      <c r="ML6" s="122" t="s">
        <v>28</v>
      </c>
      <c r="MM6" s="123"/>
      <c r="MN6" s="124" t="s">
        <v>28</v>
      </c>
      <c r="MO6" s="182">
        <f>IFERROR((((COUNTIF('Elève (5ème3)'!ML6:MN6,"A"))*4)+((COUNTIF('Elève (5ème3)'!ML6:MN6,"B"))*3)+((COUNTIF('Elève (5ème3)'!ML6:MN6,"C"))*2)+((COUNTIF('Elève (5ème3)'!ML6:MN6,"D"))*1))/(COUNTA(ML6:MN6)),"")</f>
        <v>3</v>
      </c>
      <c r="MP6" s="183" t="str">
        <f t="shared" si="77"/>
        <v>B</v>
      </c>
      <c r="MQ6" s="122"/>
      <c r="MR6" s="123"/>
      <c r="MS6" s="124"/>
      <c r="MT6" s="128"/>
      <c r="MU6" s="182" t="str">
        <f>IFERROR((((COUNTIF('Elève (5ème3)'!MQ6:MT6,"A"))*4)+((COUNTIF('Elève (5ème3)'!MQ6:MT6,"B"))*3)+((COUNTIF('Elève (5ème3)'!MQ6:MT6,"C"))*2)+((COUNTIF('Elève (5ème3)'!MQ6:MT6,"D"))*1))/(COUNTA(MQ6:MT6)),"")</f>
        <v/>
      </c>
      <c r="MV6" s="183" t="str">
        <f t="shared" si="78"/>
        <v/>
      </c>
      <c r="MW6" s="182">
        <f>IF(COUNT(MJ6,MO6,MU6)=0,"",SUM(MJ6,MO6,MU6)/COUNT(MJ6,MO6,MU6))</f>
        <v>3</v>
      </c>
      <c r="MX6" s="206" t="str">
        <f t="shared" si="79"/>
        <v>B</v>
      </c>
      <c r="MY6" s="122"/>
      <c r="MZ6" s="123"/>
      <c r="NA6" s="124"/>
      <c r="NB6" s="182" t="str">
        <f>IFERROR((((COUNTIF('Elève (5ème3)'!MY6:NA6,"A"))*4)+((COUNTIF('Elève (5ème3)'!MY6:NA6,"B"))*3)+((COUNTIF('Elève (5ème3)'!MY6:NA6,"C"))*2)+((COUNTIF('Elève (5ème3)'!MY6:NA6,"D"))*1))/(COUNTA(MY6:NA6)),"")</f>
        <v/>
      </c>
      <c r="NC6" s="183" t="str">
        <f t="shared" si="80"/>
        <v/>
      </c>
      <c r="ND6" s="122" t="s">
        <v>29</v>
      </c>
      <c r="NE6" s="123"/>
      <c r="NF6" s="124" t="s">
        <v>28</v>
      </c>
      <c r="NG6" s="182">
        <f>IFERROR((((COUNTIF('Elève (5ème3)'!ND6:NF6,"A"))*4)+((COUNTIF('Elève (5ème3)'!ND6:NF6,"B"))*3)+((COUNTIF('Elève (5ème3)'!ND6:NF6,"C"))*2)+((COUNTIF('Elève (5ème3)'!ND6:NF6,"D"))*1))/(COUNTA(ND6:NF6)),"")</f>
        <v>2.5</v>
      </c>
      <c r="NH6" s="183" t="str">
        <f t="shared" si="81"/>
        <v>C</v>
      </c>
      <c r="NI6" s="122"/>
      <c r="NJ6" s="123"/>
      <c r="NK6" s="124"/>
      <c r="NL6" s="128"/>
      <c r="NM6" s="182" t="str">
        <f>IFERROR((((COUNTIF('Elève (5ème3)'!NI6:NL6,"A"))*4)+((COUNTIF('Elève (5ème3)'!NI6:NL6,"B"))*3)+((COUNTIF('Elève (5ème3)'!NI6:NL6,"C"))*2)+((COUNTIF('Elève (5ème3)'!NI6:NL6,"D"))*1))/(COUNTA(NI6:NL6)),"")</f>
        <v/>
      </c>
      <c r="NN6" s="183" t="str">
        <f t="shared" si="82"/>
        <v/>
      </c>
      <c r="NO6" s="182">
        <f>IF(COUNT(NB6,NG6,NM6)=0,"",SUM(NB6,NG6,NM6)/COUNT(NB6,NG6,NM6))</f>
        <v>2.5</v>
      </c>
      <c r="NP6" s="206" t="str">
        <f t="shared" si="83"/>
        <v>C</v>
      </c>
      <c r="NQ6" s="122"/>
      <c r="NR6" s="123"/>
      <c r="NS6" s="124"/>
      <c r="NT6" s="182" t="str">
        <f>IFERROR((((COUNTIF('Elève (5ème3)'!NQ6:NS6,"A"))*4)+((COUNTIF('Elève (5ème3)'!NQ6:NS6,"B"))*3)+((COUNTIF('Elève (5ème3)'!NQ6:NS6,"C"))*2)+((COUNTIF('Elève (5ème3)'!NQ6:NS6,"D"))*1))/(COUNTA(NQ6:NS6)),"")</f>
        <v/>
      </c>
      <c r="NU6" s="183" t="str">
        <f t="shared" si="84"/>
        <v/>
      </c>
      <c r="NV6" s="122" t="s">
        <v>29</v>
      </c>
      <c r="NW6" s="123"/>
      <c r="NX6" s="124" t="s">
        <v>30</v>
      </c>
      <c r="NY6" s="182">
        <f>IFERROR((((COUNTIF('Elève (5ème3)'!NV6:NX6,"A"))*4)+((COUNTIF('Elève (5ème3)'!NV6:NX6,"B"))*3)+((COUNTIF('Elève (5ème3)'!NV6:NX6,"C"))*2)+((COUNTIF('Elève (5ème3)'!NV6:NX6,"D"))*1))/(COUNTA(NV6:NX6)),"")</f>
        <v>1.5</v>
      </c>
      <c r="NZ6" s="183" t="str">
        <f t="shared" si="85"/>
        <v>D</v>
      </c>
      <c r="OA6" s="122"/>
      <c r="OB6" s="123"/>
      <c r="OC6" s="124"/>
      <c r="OD6" s="128"/>
      <c r="OE6" s="182" t="str">
        <f>IFERROR((((COUNTIF('Elève (5ème3)'!OA6:OD6,"A"))*4)+((COUNTIF('Elève (5ème3)'!OA6:OD6,"B"))*3)+((COUNTIF('Elève (5ème3)'!OA6:OD6,"C"))*2)+((COUNTIF('Elève (5ème3)'!OA6:OD6,"D"))*1))/(COUNTA(OA6:OD6)),"")</f>
        <v/>
      </c>
      <c r="OF6" s="183" t="str">
        <f t="shared" si="86"/>
        <v/>
      </c>
      <c r="OG6" s="182">
        <f>IF(COUNT(NT6,NY6,OE6)=0,"",SUM(NT6,NY6,OE6)/COUNT(NT6,NY6,OE6))</f>
        <v>1.5</v>
      </c>
      <c r="OH6" s="206" t="str">
        <f t="shared" si="87"/>
        <v>D</v>
      </c>
      <c r="OI6" s="122"/>
      <c r="OJ6" s="123"/>
      <c r="OK6" s="124"/>
      <c r="OL6" s="182" t="str">
        <f>IFERROR((((COUNTIF('Elève (5ème3)'!OI6:OK6,"A"))*4)+((COUNTIF('Elève (5ème3)'!OI6:OK6,"B"))*3)+((COUNTIF('Elève (5ème3)'!OI6:OK6,"C"))*2)+((COUNTIF('Elève (5ème3)'!OI6:OK6,"D"))*1))/(COUNTA(OI6:OK6)),"")</f>
        <v/>
      </c>
      <c r="OM6" s="183" t="str">
        <f t="shared" si="88"/>
        <v/>
      </c>
      <c r="ON6" s="122" t="s">
        <v>27</v>
      </c>
      <c r="OO6" s="123"/>
      <c r="OP6" s="124"/>
      <c r="OQ6" s="182">
        <f>IFERROR((((COUNTIF('Elève (5ème3)'!ON6:OP6,"A"))*4)+((COUNTIF('Elève (5ème3)'!ON6:OP6,"B"))*3)+((COUNTIF('Elève (5ème3)'!ON6:OP6,"C"))*2)+((COUNTIF('Elève (5ème3)'!ON6:OP6,"D"))*1))/(COUNTA(ON6:OP6)),"")</f>
        <v>4</v>
      </c>
      <c r="OR6" s="183" t="str">
        <f t="shared" si="89"/>
        <v>A</v>
      </c>
      <c r="OS6" s="122"/>
      <c r="OT6" s="123"/>
      <c r="OU6" s="124"/>
      <c r="OV6" s="128"/>
      <c r="OW6" s="182" t="str">
        <f>IFERROR((((COUNTIF('Elève (5ème3)'!OS6:OV6,"A"))*4)+((COUNTIF('Elève (5ème3)'!OS6:OV6,"B"))*3)+((COUNTIF('Elève (5ème3)'!OS6:OV6,"C"))*2)+((COUNTIF('Elève (5ème3)'!OS6:OV6,"D"))*1))/(COUNTA(OS6:OV6)),"")</f>
        <v/>
      </c>
      <c r="OX6" s="183" t="str">
        <f t="shared" si="90"/>
        <v/>
      </c>
      <c r="OY6" s="182">
        <f>IF(COUNT(OL6,OQ6,OW6)=0,"",SUM(OL6,OQ6,OW6)/COUNT(OL6,OQ6,OW6))</f>
        <v>4</v>
      </c>
      <c r="OZ6" s="206" t="str">
        <f t="shared" si="91"/>
        <v>A</v>
      </c>
      <c r="PA6" s="122"/>
      <c r="PB6" s="123"/>
      <c r="PC6" s="124"/>
      <c r="PD6" s="182" t="str">
        <f>IFERROR((((COUNTIF('Elève (5ème3)'!PA6:PC6,"A"))*4)+((COUNTIF('Elève (5ème3)'!PA6:PC6,"B"))*3)+((COUNTIF('Elève (5ème3)'!PA6:PC6,"C"))*2)+((COUNTIF('Elève (5ème3)'!PA6:PC6,"D"))*1))/(COUNTA(PA6:PC6)),"")</f>
        <v/>
      </c>
      <c r="PE6" s="183" t="str">
        <f t="shared" si="92"/>
        <v/>
      </c>
      <c r="PF6" s="122" t="s">
        <v>28</v>
      </c>
      <c r="PG6" s="123"/>
      <c r="PH6" s="124" t="s">
        <v>28</v>
      </c>
      <c r="PI6" s="182">
        <f>IFERROR((((COUNTIF('Elève (5ème3)'!PF6:PH6,"A"))*4)+((COUNTIF('Elève (5ème3)'!PF6:PH6,"B"))*3)+((COUNTIF('Elève (5ème3)'!PF6:PH6,"C"))*2)+((COUNTIF('Elève (5ème3)'!PF6:PH6,"D"))*1))/(COUNTA(PF6:PH6)),"")</f>
        <v>3</v>
      </c>
      <c r="PJ6" s="183" t="str">
        <f t="shared" si="93"/>
        <v>B</v>
      </c>
      <c r="PK6" s="122"/>
      <c r="PL6" s="123"/>
      <c r="PM6" s="124"/>
      <c r="PN6" s="128"/>
      <c r="PO6" s="182" t="str">
        <f>IFERROR((((COUNTIF('Elève (5ème3)'!PK6:PN6,"A"))*4)+((COUNTIF('Elève (5ème3)'!PK6:PN6,"B"))*3)+((COUNTIF('Elève (5ème3)'!PK6:PN6,"C"))*2)+((COUNTIF('Elève (5ème3)'!PK6:PN6,"D"))*1))/(COUNTA(PK6:PN6)),"")</f>
        <v/>
      </c>
      <c r="PP6" s="183" t="str">
        <f t="shared" si="94"/>
        <v/>
      </c>
      <c r="PQ6" s="182">
        <f>IF(COUNT(PD6,PI6,PO6)=0,"",SUM(PD6,PI6,PO6)/COUNT(PD6,PI6,PO6))</f>
        <v>3</v>
      </c>
      <c r="PR6" s="206" t="str">
        <f t="shared" si="95"/>
        <v>B</v>
      </c>
      <c r="PS6" s="122"/>
      <c r="PT6" s="123"/>
      <c r="PU6" s="124"/>
      <c r="PV6" s="182" t="str">
        <f>IFERROR((((COUNTIF('Elève (5ème3)'!PS6:PU6,"A"))*4)+((COUNTIF('Elève (5ème3)'!PS6:PU6,"B"))*3)+((COUNTIF('Elève (5ème3)'!PS6:PU6,"C"))*2)+((COUNTIF('Elève (5ème3)'!PS6:PU6,"D"))*1))/(COUNTA(PS6:PU6)),"")</f>
        <v/>
      </c>
      <c r="PW6" s="183" t="str">
        <f t="shared" si="96"/>
        <v/>
      </c>
      <c r="PX6" s="122" t="s">
        <v>27</v>
      </c>
      <c r="PY6" s="123"/>
      <c r="PZ6" s="124" t="s">
        <v>28</v>
      </c>
      <c r="QA6" s="182">
        <f>IFERROR((((COUNTIF('Elève (5ème3)'!PX6:PZ6,"A"))*4)+((COUNTIF('Elève (5ème3)'!PX6:PZ6,"B"))*3)+((COUNTIF('Elève (5ème3)'!PX6:PZ6,"C"))*2)+((COUNTIF('Elève (5ème3)'!PX6:PZ6,"D"))*1))/(COUNTA(PX6:PZ6)),"")</f>
        <v>3.5</v>
      </c>
      <c r="QB6" s="183" t="str">
        <f t="shared" si="97"/>
        <v>B</v>
      </c>
      <c r="QC6" s="122"/>
      <c r="QD6" s="123"/>
      <c r="QE6" s="124"/>
      <c r="QF6" s="128"/>
      <c r="QG6" s="182" t="str">
        <f>IFERROR((((COUNTIF('Elève (5ème3)'!QC6:QF6,"A"))*4)+((COUNTIF('Elève (5ème3)'!QC6:QF6,"B"))*3)+((COUNTIF('Elève (5ème3)'!QC6:QF6,"C"))*2)+((COUNTIF('Elève (5ème3)'!QC6:QF6,"D"))*1))/(COUNTA(QC6:QF6)),"")</f>
        <v/>
      </c>
      <c r="QH6" s="183" t="str">
        <f t="shared" si="98"/>
        <v/>
      </c>
      <c r="QI6" s="182">
        <f>IF(COUNT(PV6,QA6,QG6)=0,"",SUM(PV6,QA6,QG6)/COUNT(PV6,QA6,QG6))</f>
        <v>3.5</v>
      </c>
      <c r="QJ6" s="206" t="str">
        <f t="shared" si="99"/>
        <v>B</v>
      </c>
      <c r="QK6" s="122"/>
      <c r="QL6" s="123"/>
      <c r="QM6" s="124"/>
      <c r="QN6" s="182" t="str">
        <f>IFERROR((((COUNTIF('Elève (5ème3)'!QK6:QM6,"A"))*4)+((COUNTIF('Elève (5ème3)'!QK6:QM6,"B"))*3)+((COUNTIF('Elève (5ème3)'!QK6:QM6,"C"))*2)+((COUNTIF('Elève (5ème3)'!QK6:QM6,"D"))*1))/(COUNTA(QK6:QM6)),"")</f>
        <v/>
      </c>
      <c r="QO6" s="183" t="str">
        <f t="shared" si="100"/>
        <v/>
      </c>
      <c r="QP6" s="122"/>
      <c r="QQ6" s="123"/>
      <c r="QR6" s="124"/>
      <c r="QS6" s="182" t="str">
        <f>IFERROR((((COUNTIF('Elève (5ème3)'!QP6:QR6,"A"))*4)+((COUNTIF('Elève (5ème3)'!QP6:QR6,"B"))*3)+((COUNTIF('Elève (5ème3)'!QP6:QR6,"C"))*2)+((COUNTIF('Elève (5ème3)'!QP6:QR6,"D"))*1))/(COUNTA(QP6:QR6)),"")</f>
        <v/>
      </c>
      <c r="QT6" s="183" t="str">
        <f t="shared" si="101"/>
        <v/>
      </c>
      <c r="QU6" s="122"/>
      <c r="QV6" s="123"/>
      <c r="QW6" s="124"/>
      <c r="QX6" s="128"/>
      <c r="QY6" s="182" t="str">
        <f>IFERROR((((COUNTIF('Elève (5ème3)'!QU6:QX6,"A"))*4)+((COUNTIF('Elève (5ème3)'!QU6:QX6,"B"))*3)+((COUNTIF('Elève (5ème3)'!QU6:QX6,"C"))*2)+((COUNTIF('Elève (5ème3)'!QU6:QX6,"D"))*1))/(COUNTA(QU6:QX6)),"")</f>
        <v/>
      </c>
      <c r="QZ6" s="183" t="str">
        <f t="shared" si="102"/>
        <v/>
      </c>
      <c r="RA6" s="182" t="str">
        <f>IF(COUNT(QN6,QS6,QY6)=0,"",SUM(QN6,QS6,QY6)/COUNT(QN6,QS6,QY6))</f>
        <v/>
      </c>
      <c r="RB6" s="206" t="str">
        <f t="shared" si="103"/>
        <v/>
      </c>
      <c r="RC6" s="122"/>
      <c r="RD6" s="123"/>
      <c r="RE6" s="124"/>
      <c r="RF6" s="182" t="str">
        <f>IFERROR((((COUNTIF('Elève (5ème3)'!RC6:RE6,"A"))*4)+((COUNTIF('Elève (5ème3)'!RC6:RE6,"B"))*3)+((COUNTIF('Elève (5ème3)'!RC6:RE6,"C"))*2)+((COUNTIF('Elève (5ème3)'!RC6:RE6,"D"))*1))/(COUNTA(RC6:RE6)),"")</f>
        <v/>
      </c>
      <c r="RG6" s="183" t="str">
        <f t="shared" si="104"/>
        <v/>
      </c>
      <c r="RH6" s="122" t="s">
        <v>27</v>
      </c>
      <c r="RI6" s="123"/>
      <c r="RJ6" s="124" t="s">
        <v>28</v>
      </c>
      <c r="RK6" s="182">
        <f>IFERROR((((COUNTIF('Elève (5ème3)'!RH6:RJ6,"A"))*4)+((COUNTIF('Elève (5ème3)'!RH6:RJ6,"B"))*3)+((COUNTIF('Elève (5ème3)'!RH6:RJ6,"C"))*2)+((COUNTIF('Elève (5ème3)'!RH6:RJ6,"D"))*1))/(COUNTA(RH6:RJ6)),"")</f>
        <v>3.5</v>
      </c>
      <c r="RL6" s="183" t="str">
        <f t="shared" si="105"/>
        <v>B</v>
      </c>
      <c r="RM6" s="122"/>
      <c r="RN6" s="123"/>
      <c r="RO6" s="124"/>
      <c r="RP6" s="128"/>
      <c r="RQ6" s="182" t="str">
        <f>IFERROR((((COUNTIF('Elève (5ème3)'!RM6:RP6,"A"))*4)+((COUNTIF('Elève (5ème3)'!RM6:RP6,"B"))*3)+((COUNTIF('Elève (5ème3)'!RM6:RP6,"C"))*2)+((COUNTIF('Elève (5ème3)'!RM6:RP6,"D"))*1))/(COUNTA(RM6:RP6)),"")</f>
        <v/>
      </c>
      <c r="RR6" s="183" t="str">
        <f t="shared" si="106"/>
        <v/>
      </c>
      <c r="RS6" s="182">
        <f>IF(COUNT(RF6,RK6,RQ6)=0,"",SUM(RF6,RK6,RQ6)/COUNT(RF6,RK6,RQ6))</f>
        <v>3.5</v>
      </c>
      <c r="RT6" s="206" t="str">
        <f t="shared" si="107"/>
        <v>B</v>
      </c>
      <c r="RU6" s="122"/>
      <c r="RV6" s="123"/>
      <c r="RW6" s="124"/>
      <c r="RX6" s="125" t="str">
        <f>IFERROR((((COUNTIF('Elève (5ème3)'!RU6:RW6,"A"))*4)+((COUNTIF('Elève (5ème3)'!RU6:RW6,"B"))*3)+((COUNTIF('Elève (5ème3)'!RU6:RW6,"C"))*2)+((COUNTIF('Elève (5ème3)'!RU6:RW6,"D"))*1))/(COUNTA(RU6:RW6)),"")</f>
        <v/>
      </c>
      <c r="RY6" s="126" t="str">
        <f t="shared" si="108"/>
        <v/>
      </c>
      <c r="RZ6" s="122"/>
      <c r="SA6" s="123"/>
      <c r="SB6" s="124"/>
      <c r="SC6" s="125" t="str">
        <f>IFERROR((((COUNTIF('Elève (5ème3)'!RZ6:SB6,"A"))*4)+((COUNTIF('Elève (5ème3)'!RZ6:SB6,"B"))*3)+((COUNTIF('Elève (5ème3)'!RZ6:SB6,"C"))*2)+((COUNTIF('Elève (5ème3)'!RZ6:SB6,"D"))*1))/(COUNTA(RZ6:SB6)),"")</f>
        <v/>
      </c>
      <c r="SD6" s="126" t="str">
        <f t="shared" si="109"/>
        <v/>
      </c>
      <c r="SE6" s="122"/>
      <c r="SF6" s="123"/>
      <c r="SG6" s="128"/>
      <c r="SH6" s="125" t="str">
        <f>IFERROR((((COUNTIF('Elève (5ème3)'!SE6:SG6,"A"))*4)+((COUNTIF('Elève (5ème3)'!SE6:SG6,"B"))*3)+((COUNTIF('Elève (5ème3)'!SE6:SG6,"C"))*2)+((COUNTIF('Elève (5ème3)'!SE6:SG6,"D"))*1))/(COUNTA(SE6:SG6)),"")</f>
        <v/>
      </c>
      <c r="SI6" s="126" t="str">
        <f t="shared" si="110"/>
        <v/>
      </c>
      <c r="SJ6" s="125" t="str">
        <f>IF(COUNT(RX6,SC6,SH6)=0,"",SUM(RX6,SC6,SH6)/COUNT(RX6,SC6,SH6))</f>
        <v/>
      </c>
      <c r="SK6" s="127" t="str">
        <f t="shared" si="111"/>
        <v/>
      </c>
      <c r="SL6" s="122"/>
      <c r="SM6" s="123"/>
      <c r="SN6" s="124"/>
      <c r="SO6" s="125" t="str">
        <f>IFERROR((((COUNTIF('Elève (5ème3)'!SL6:SN6,"A"))*4)+((COUNTIF('Elève (5ème3)'!SL6:SN6,"B"))*3)+((COUNTIF('Elève (5ème3)'!SL6:SN6,"C"))*2)+((COUNTIF('Elève (5ème3)'!SL6:SN6,"D"))*1))/(COUNTA(SL6:SN6)),"")</f>
        <v/>
      </c>
      <c r="SP6" s="126" t="str">
        <f t="shared" si="112"/>
        <v/>
      </c>
      <c r="SQ6" s="122"/>
      <c r="SR6" s="123"/>
      <c r="SS6" s="124"/>
      <c r="ST6" s="125" t="str">
        <f>IFERROR((((COUNTIF('Elève (5ème3)'!SQ6:SS6,"A"))*4)+((COUNTIF('Elève (5ème3)'!SQ6:SS6,"B"))*3)+((COUNTIF('Elève (5ème3)'!SQ6:SS6,"C"))*2)+((COUNTIF('Elève (5ème3)'!SQ6:SS6,"D"))*1))/(COUNTA(SQ6:SS6)),"")</f>
        <v/>
      </c>
      <c r="SU6" s="126" t="str">
        <f t="shared" si="113"/>
        <v/>
      </c>
      <c r="SV6" s="122"/>
      <c r="SW6" s="123"/>
      <c r="SX6" s="128"/>
      <c r="SY6" s="125" t="str">
        <f>IFERROR((((COUNTIF('Elève (5ème3)'!SV6:SX6,"A"))*4)+((COUNTIF('Elève (5ème3)'!SV6:SX6,"B"))*3)+((COUNTIF('Elève (5ème3)'!SV6:SX6,"C"))*2)+((COUNTIF('Elève (5ème3)'!SV6:SX6,"D"))*1))/(COUNTA(SV6:SX6)),"")</f>
        <v/>
      </c>
      <c r="SZ6" s="126" t="str">
        <f t="shared" si="114"/>
        <v/>
      </c>
      <c r="TA6" s="125" t="str">
        <f>IF(COUNT(SO6,ST6,SY6)=0,"",SUM(SO6,ST6,SY6)/COUNT(SO6,ST6,SY6))</f>
        <v/>
      </c>
      <c r="TB6" s="127" t="str">
        <f t="shared" si="115"/>
        <v/>
      </c>
      <c r="TC6" s="122"/>
      <c r="TD6" s="123"/>
      <c r="TE6" s="124"/>
      <c r="TF6" s="125" t="str">
        <f>IFERROR((((COUNTIF('Elève (5ème3)'!TC6:TE6,"A"))*4)+((COUNTIF('Elève (5ème3)'!TC6:TE6,"B"))*3)+((COUNTIF('Elève (5ème3)'!TC6:TE6,"C"))*2)+((COUNTIF('Elève (5ème3)'!TC6:TE6,"D"))*1))/(COUNTA(TC6:TE6)),"")</f>
        <v/>
      </c>
      <c r="TG6" s="126" t="str">
        <f t="shared" si="116"/>
        <v/>
      </c>
      <c r="TH6" s="122"/>
      <c r="TI6" s="123"/>
      <c r="TJ6" s="124"/>
      <c r="TK6" s="125" t="str">
        <f>IFERROR((((COUNTIF('Elève (5ème3)'!TH6:TJ6,"A"))*4)+((COUNTIF('Elève (5ème3)'!TH6:TJ6,"B"))*3)+((COUNTIF('Elève (5ème3)'!TH6:TJ6,"C"))*2)+((COUNTIF('Elève (5ème3)'!TH6:TJ6,"D"))*1))/(COUNTA(TH6:TJ6)),"")</f>
        <v/>
      </c>
      <c r="TL6" s="126" t="str">
        <f t="shared" si="117"/>
        <v/>
      </c>
      <c r="TM6" s="122"/>
      <c r="TN6" s="123"/>
      <c r="TO6" s="128"/>
      <c r="TP6" s="125" t="str">
        <f>IFERROR((((COUNTIF('Elève (5ème3)'!TM6:TO6,"A"))*4)+((COUNTIF('Elève (5ème3)'!TM6:TO6,"B"))*3)+((COUNTIF('Elève (5ème3)'!TM6:TO6,"C"))*2)+((COUNTIF('Elève (5ème3)'!TM6:TO6,"D"))*1))/(COUNTA(TM6:TO6)),"")</f>
        <v/>
      </c>
      <c r="TQ6" s="126" t="str">
        <f t="shared" si="118"/>
        <v/>
      </c>
      <c r="TR6" s="125" t="str">
        <f>IF(COUNT(TF6,TK6,TP6)=0,"",SUM(TF6,TK6,TP6)/COUNT(TF6,TK6,TP6))</f>
        <v/>
      </c>
      <c r="TS6" s="127" t="str">
        <f t="shared" si="119"/>
        <v/>
      </c>
    </row>
    <row r="7" spans="1:539" ht="18" customHeight="1" x14ac:dyDescent="0.25">
      <c r="A7" s="236" t="s">
        <v>14</v>
      </c>
      <c r="B7" s="237"/>
      <c r="C7" s="122"/>
      <c r="D7" s="123"/>
      <c r="E7" s="124"/>
      <c r="F7" s="182" t="str">
        <f>IFERROR((((COUNTIF('Elève (5ème3)'!C7:E7,"A"))*4)+((COUNTIF('Elève (5ème3)'!C7:E7,"B"))*3)+((COUNTIF('Elève (5ème3)'!C7:E7,"C"))*2)+((COUNTIF('Elève (5ème3)'!C7:E7,"D"))*1))/(COUNTA(C7:E7)),"")</f>
        <v/>
      </c>
      <c r="G7" s="183" t="str">
        <f t="shared" si="0"/>
        <v/>
      </c>
      <c r="H7" s="122"/>
      <c r="I7" s="123"/>
      <c r="J7" s="124"/>
      <c r="K7" s="182" t="str">
        <f>IFERROR((((COUNTIF('Elève (5ème3)'!H7:J7,"A"))*4)+((COUNTIF('Elève (5ème3)'!H7:J7,"B"))*3)+((COUNTIF('Elève (5ème3)'!H7:J7,"C"))*2)+((COUNTIF('Elève (5ème3)'!H7:J7,"D"))*1))/(COUNTA(H7:J7)),"")</f>
        <v/>
      </c>
      <c r="L7" s="183" t="str">
        <f t="shared" si="1"/>
        <v/>
      </c>
      <c r="M7" s="122"/>
      <c r="N7" s="123"/>
      <c r="O7" s="124"/>
      <c r="P7" s="124"/>
      <c r="Q7" s="182" t="str">
        <f>IFERROR((((COUNTIF('Elève (5ème3)'!M7:P7,"A"))*4)+((COUNTIF('Elève (5ème3)'!M7:P7,"B"))*3)+((COUNTIF('Elève (5ème3)'!M7:P7,"C"))*2)+((COUNTIF('Elève (5ème3)'!M7:P7,"D"))*1))/(COUNTA(M7:P7)),"")</f>
        <v/>
      </c>
      <c r="R7" s="183" t="str">
        <f t="shared" si="2"/>
        <v/>
      </c>
      <c r="S7" s="182" t="str">
        <f>IF(COUNT(F7,K7,Q7)=0,"",SUM(F7,K7,Q7)/COUNT(F7,K7,Q7))</f>
        <v/>
      </c>
      <c r="T7" s="206" t="str">
        <f t="shared" si="3"/>
        <v/>
      </c>
      <c r="U7" s="122"/>
      <c r="V7" s="123"/>
      <c r="W7" s="124"/>
      <c r="X7" s="182" t="str">
        <f>IFERROR((((COUNTIF('Elève (5ème3)'!U7:W7,"A"))*4)+((COUNTIF('Elève (5ème3)'!U7:W7,"B"))*3)+((COUNTIF('Elève (5ème3)'!U7:W7,"C"))*2)+((COUNTIF('Elève (5ème3)'!U7:W7,"D"))*1))/(COUNTA(U7:W7)),"")</f>
        <v/>
      </c>
      <c r="Y7" s="183" t="str">
        <f t="shared" si="4"/>
        <v/>
      </c>
      <c r="Z7" s="122"/>
      <c r="AA7" s="123"/>
      <c r="AB7" s="124"/>
      <c r="AC7" s="182" t="str">
        <f>IFERROR((((COUNTIF('Elève (5ème3)'!Z7:AB7,"A"))*4)+((COUNTIF('Elève (5ème3)'!Z7:AB7,"B"))*3)+((COUNTIF('Elève (5ème3)'!Z7:AB7,"C"))*2)+((COUNTIF('Elève (5ème3)'!Z7:AB7,"D"))*1))/(COUNTA(Z7:AB7)),"")</f>
        <v/>
      </c>
      <c r="AD7" s="183" t="str">
        <f t="shared" si="5"/>
        <v/>
      </c>
      <c r="AE7" s="122"/>
      <c r="AF7" s="123"/>
      <c r="AG7" s="124"/>
      <c r="AH7" s="128"/>
      <c r="AI7" s="182" t="str">
        <f>IFERROR((((COUNTIF('Elève (5ème3)'!AE7:AH7,"A"))*4)+((COUNTIF('Elève (5ème3)'!AE7:AH7,"B"))*3)+((COUNTIF('Elève (5ème3)'!AE7:AH7,"C"))*2)+((COUNTIF('Elève (5ème3)'!AE7:AH7,"D"))*1))/(COUNTA(AE7:AH7)),"")</f>
        <v/>
      </c>
      <c r="AJ7" s="183" t="str">
        <f t="shared" si="6"/>
        <v/>
      </c>
      <c r="AK7" s="182" t="str">
        <f>IF(COUNT(X7,AC7,AI7)=0,"",SUM(X7,AC7,AI7)/COUNT(X7,AC7,AI7))</f>
        <v/>
      </c>
      <c r="AL7" s="206" t="str">
        <f t="shared" si="7"/>
        <v/>
      </c>
      <c r="AM7" s="122"/>
      <c r="AN7" s="123"/>
      <c r="AO7" s="124"/>
      <c r="AP7" s="182" t="str">
        <f>IFERROR((((COUNTIF('Elève (5ème3)'!AM7:AO7,"A"))*4)+((COUNTIF('Elève (5ème3)'!AM7:AO7,"B"))*3)+((COUNTIF('Elève (5ème3)'!AM7:AO7,"C"))*2)+((COUNTIF('Elève (5ème3)'!AM7:AO7,"D"))*1))/(COUNTA(AM7:AO7)),"")</f>
        <v/>
      </c>
      <c r="AQ7" s="183" t="str">
        <f t="shared" si="8"/>
        <v/>
      </c>
      <c r="AR7" s="122"/>
      <c r="AS7" s="123"/>
      <c r="AT7" s="124"/>
      <c r="AU7" s="182" t="str">
        <f>IFERROR((((COUNTIF('Elève (5ème3)'!AR7:AT7,"A"))*4)+((COUNTIF('Elève (5ème3)'!AR7:AT7,"B"))*3)+((COUNTIF('Elève (5ème3)'!AR7:AT7,"C"))*2)+((COUNTIF('Elève (5ème3)'!AR7:AT7,"D"))*1))/(COUNTA(AR7:AT7)),"")</f>
        <v/>
      </c>
      <c r="AV7" s="183" t="str">
        <f t="shared" si="9"/>
        <v/>
      </c>
      <c r="AW7" s="122"/>
      <c r="AX7" s="123"/>
      <c r="AY7" s="124"/>
      <c r="AZ7" s="128"/>
      <c r="BA7" s="182" t="str">
        <f>IFERROR((((COUNTIF('Elève (5ème3)'!AW7:AZ7,"A"))*4)+((COUNTIF('Elève (5ème3)'!AW7:AZ7,"B"))*3)+((COUNTIF('Elève (5ème3)'!AW7:AZ7,"C"))*2)+((COUNTIF('Elève (5ème3)'!AW7:AZ7,"D"))*1))/(COUNTA(AW7:AZ7)),"")</f>
        <v/>
      </c>
      <c r="BB7" s="183" t="str">
        <f t="shared" si="10"/>
        <v/>
      </c>
      <c r="BC7" s="182" t="str">
        <f>IF(COUNT(AP7,AU7,BA7)=0,"",SUM(AP7,AU7,BA7)/COUNT(AP7,AU7,BA7))</f>
        <v/>
      </c>
      <c r="BD7" s="206" t="str">
        <f t="shared" si="11"/>
        <v/>
      </c>
      <c r="BE7" s="122"/>
      <c r="BF7" s="123"/>
      <c r="BG7" s="124"/>
      <c r="BH7" s="182" t="str">
        <f>IFERROR((((COUNTIF('Elève (5ème3)'!BE7:BG7,"A"))*4)+((COUNTIF('Elève (5ème3)'!BE7:BG7,"B"))*3)+((COUNTIF('Elève (5ème3)'!BE7:BG7,"C"))*2)+((COUNTIF('Elève (5ème3)'!BE7:BG7,"D"))*1))/(COUNTA(BE7:BG7)),"")</f>
        <v/>
      </c>
      <c r="BI7" s="183" t="str">
        <f t="shared" si="12"/>
        <v/>
      </c>
      <c r="BJ7" s="122"/>
      <c r="BK7" s="123"/>
      <c r="BL7" s="124"/>
      <c r="BM7" s="182" t="str">
        <f>IFERROR((((COUNTIF('Elève (5ème3)'!BJ7:BL7,"A"))*4)+((COUNTIF('Elève (5ème3)'!BJ7:BL7,"B"))*3)+((COUNTIF('Elève (5ème3)'!BJ7:BL7,"C"))*2)+((COUNTIF('Elève (5ème3)'!BJ7:BL7,"D"))*1))/(COUNTA(BJ7:BL7)),"")</f>
        <v/>
      </c>
      <c r="BN7" s="183" t="str">
        <f t="shared" si="13"/>
        <v/>
      </c>
      <c r="BO7" s="122"/>
      <c r="BP7" s="123"/>
      <c r="BQ7" s="124"/>
      <c r="BR7" s="128"/>
      <c r="BS7" s="182" t="str">
        <f>IFERROR((((COUNTIF('Elève (5ème3)'!BO7:BR7,"A"))*4)+((COUNTIF('Elève (5ème3)'!BO7:BR7,"B"))*3)+((COUNTIF('Elève (5ème3)'!BO7:BR7,"C"))*2)+((COUNTIF('Elève (5ème3)'!BO7:BR7,"D"))*1))/(COUNTA(BO7:BR7)),"")</f>
        <v/>
      </c>
      <c r="BT7" s="183" t="str">
        <f t="shared" si="14"/>
        <v/>
      </c>
      <c r="BU7" s="182" t="str">
        <f>IF(COUNT(BH7,BM7,BS7)=0,"",SUM(BH7,BM7,BS7)/COUNT(BH7,BM7,BS7))</f>
        <v/>
      </c>
      <c r="BV7" s="206" t="str">
        <f t="shared" si="15"/>
        <v/>
      </c>
      <c r="BW7" s="122"/>
      <c r="BX7" s="123"/>
      <c r="BY7" s="124"/>
      <c r="BZ7" s="182" t="str">
        <f>IFERROR((((COUNTIF('Elève (5ème3)'!BW7:BY7,"A"))*4)+((COUNTIF('Elève (5ème3)'!BW7:BY7,"B"))*3)+((COUNTIF('Elève (5ème3)'!BW7:BY7,"C"))*2)+((COUNTIF('Elève (5ème3)'!BW7:BY7,"D"))*1))/(COUNTA(BW7:BY7)),"")</f>
        <v/>
      </c>
      <c r="CA7" s="183" t="str">
        <f t="shared" si="16"/>
        <v/>
      </c>
      <c r="CB7" s="122"/>
      <c r="CC7" s="123"/>
      <c r="CD7" s="124"/>
      <c r="CE7" s="182" t="str">
        <f>IFERROR((((COUNTIF('Elève (5ème3)'!CB7:CD7,"A"))*4)+((COUNTIF('Elève (5ème3)'!CB7:CD7,"B"))*3)+((COUNTIF('Elève (5ème3)'!CB7:CD7,"C"))*2)+((COUNTIF('Elève (5ème3)'!CB7:CD7,"D"))*1))/(COUNTA(CB7:CD7)),"")</f>
        <v/>
      </c>
      <c r="CF7" s="183" t="str">
        <f t="shared" si="17"/>
        <v/>
      </c>
      <c r="CG7" s="122"/>
      <c r="CH7" s="123"/>
      <c r="CI7" s="124"/>
      <c r="CJ7" s="128"/>
      <c r="CK7" s="182" t="str">
        <f>IFERROR((((COUNTIF('Elève (5ème3)'!CG7:CJ7,"A"))*4)+((COUNTIF('Elève (5ème3)'!CG7:CJ7,"B"))*3)+((COUNTIF('Elève (5ème3)'!CG7:CJ7,"C"))*2)+((COUNTIF('Elève (5ème3)'!CG7:CJ7,"D"))*1))/(COUNTA(CG7:CJ7)),"")</f>
        <v/>
      </c>
      <c r="CL7" s="183" t="str">
        <f t="shared" si="18"/>
        <v/>
      </c>
      <c r="CM7" s="182" t="str">
        <f>IF(COUNT(BZ7,CE7,CK7)=0,"",SUM(BZ7,CE7,CK7)/COUNT(BZ7,CE7,CK7))</f>
        <v/>
      </c>
      <c r="CN7" s="206" t="str">
        <f t="shared" si="19"/>
        <v/>
      </c>
      <c r="CO7" s="122"/>
      <c r="CP7" s="123"/>
      <c r="CQ7" s="124"/>
      <c r="CR7" s="182" t="str">
        <f>IFERROR((((COUNTIF('Elève (5ème3)'!CO7:CQ7,"A"))*4)+((COUNTIF('Elève (5ème3)'!CO7:CQ7,"B"))*3)+((COUNTIF('Elève (5ème3)'!CO7:CQ7,"C"))*2)+((COUNTIF('Elève (5ème3)'!CO7:CQ7,"D"))*1))/(COUNTA(CO7:CQ7)),"")</f>
        <v/>
      </c>
      <c r="CS7" s="183" t="str">
        <f t="shared" si="20"/>
        <v/>
      </c>
      <c r="CT7" s="122"/>
      <c r="CU7" s="123"/>
      <c r="CV7" s="124"/>
      <c r="CW7" s="182" t="str">
        <f>IFERROR((((COUNTIF('Elève (5ème3)'!CT7:CV7,"A"))*4)+((COUNTIF('Elève (5ème3)'!CT7:CV7,"B"))*3)+((COUNTIF('Elève (5ème3)'!CT7:CV7,"C"))*2)+((COUNTIF('Elève (5ème3)'!CT7:CV7,"D"))*1))/(COUNTA(CT7:CV7)),"")</f>
        <v/>
      </c>
      <c r="CX7" s="183" t="str">
        <f t="shared" si="21"/>
        <v/>
      </c>
      <c r="CY7" s="122"/>
      <c r="CZ7" s="123"/>
      <c r="DA7" s="124"/>
      <c r="DB7" s="128"/>
      <c r="DC7" s="182" t="str">
        <f>IFERROR((((COUNTIF('Elève (5ème3)'!CY7:DB7,"A"))*4)+((COUNTIF('Elève (5ème3)'!CY7:DB7,"B"))*3)+((COUNTIF('Elève (5ème3)'!CY7:DB7,"C"))*2)+((COUNTIF('Elève (5ème3)'!CY7:DB7,"D"))*1))/(COUNTA(CY7:DB7)),"")</f>
        <v/>
      </c>
      <c r="DD7" s="183" t="str">
        <f t="shared" si="22"/>
        <v/>
      </c>
      <c r="DE7" s="182" t="str">
        <f>IF(COUNT(CR7,CW7,DC7)=0,"",SUM(CR7,CW7,DC7)/COUNT(CR7,CW7,DC7))</f>
        <v/>
      </c>
      <c r="DF7" s="206" t="str">
        <f t="shared" si="23"/>
        <v/>
      </c>
      <c r="DG7" s="122"/>
      <c r="DH7" s="123"/>
      <c r="DI7" s="124"/>
      <c r="DJ7" s="182" t="str">
        <f>IFERROR((((COUNTIF('Elève (5ème3)'!DG7:DI7,"A"))*4)+((COUNTIF('Elève (5ème3)'!DG7:DI7,"B"))*3)+((COUNTIF('Elève (5ème3)'!DG7:DI7,"C"))*2)+((COUNTIF('Elève (5ème3)'!DG7:DI7,"D"))*1))/(COUNTA(DG7:DI7)),"")</f>
        <v/>
      </c>
      <c r="DK7" s="183" t="str">
        <f t="shared" si="24"/>
        <v/>
      </c>
      <c r="DL7" s="122"/>
      <c r="DM7" s="123"/>
      <c r="DN7" s="124"/>
      <c r="DO7" s="182" t="str">
        <f>IFERROR((((COUNTIF('Elève (5ème3)'!DL7:DN7,"A"))*4)+((COUNTIF('Elève (5ème3)'!DL7:DN7,"B"))*3)+((COUNTIF('Elève (5ème3)'!DL7:DN7,"C"))*2)+((COUNTIF('Elève (5ème3)'!DL7:DN7,"D"))*1))/(COUNTA(DL7:DN7)),"")</f>
        <v/>
      </c>
      <c r="DP7" s="183" t="str">
        <f t="shared" si="25"/>
        <v/>
      </c>
      <c r="DQ7" s="122"/>
      <c r="DR7" s="123"/>
      <c r="DS7" s="124"/>
      <c r="DT7" s="128"/>
      <c r="DU7" s="182" t="str">
        <f>IFERROR((((COUNTIF('Elève (5ème3)'!DQ7:DT7,"A"))*4)+((COUNTIF('Elève (5ème3)'!DQ7:DT7,"B"))*3)+((COUNTIF('Elève (5ème3)'!DQ7:DT7,"C"))*2)+((COUNTIF('Elève (5ème3)'!DQ7:DT7,"D"))*1))/(COUNTA(DQ7:DT7)),"")</f>
        <v/>
      </c>
      <c r="DV7" s="183" t="str">
        <f t="shared" si="26"/>
        <v/>
      </c>
      <c r="DW7" s="182" t="str">
        <f>IF(COUNT(DJ7,DO7,DU7)=0,"",SUM(DJ7,DO7,DU7)/COUNT(DJ7,DO7,DU7))</f>
        <v/>
      </c>
      <c r="DX7" s="206" t="str">
        <f t="shared" si="27"/>
        <v/>
      </c>
      <c r="DY7" s="122"/>
      <c r="DZ7" s="123"/>
      <c r="EA7" s="124"/>
      <c r="EB7" s="182" t="str">
        <f>IFERROR((((COUNTIF('Elève (5ème3)'!DY7:EA7,"A"))*4)+((COUNTIF('Elève (5ème3)'!DY7:EA7,"B"))*3)+((COUNTIF('Elève (5ème3)'!DY7:EA7,"C"))*2)+((COUNTIF('Elève (5ème3)'!DY7:EA7,"D"))*1))/(COUNTA(DY7:EA7)),"")</f>
        <v/>
      </c>
      <c r="EC7" s="183" t="str">
        <f t="shared" si="28"/>
        <v/>
      </c>
      <c r="ED7" s="122"/>
      <c r="EE7" s="123"/>
      <c r="EF7" s="124"/>
      <c r="EG7" s="182" t="str">
        <f>IFERROR((((COUNTIF('Elève (5ème3)'!ED7:EF7,"A"))*4)+((COUNTIF('Elève (5ème3)'!ED7:EF7,"B"))*3)+((COUNTIF('Elève (5ème3)'!ED7:EF7,"C"))*2)+((COUNTIF('Elève (5ème3)'!ED7:EF7,"D"))*1))/(COUNTA(ED7:EF7)),"")</f>
        <v/>
      </c>
      <c r="EH7" s="183" t="str">
        <f t="shared" si="29"/>
        <v/>
      </c>
      <c r="EI7" s="122"/>
      <c r="EJ7" s="123"/>
      <c r="EK7" s="124"/>
      <c r="EL7" s="128"/>
      <c r="EM7" s="182" t="str">
        <f>IFERROR((((COUNTIF('Elève (5ème3)'!EI7:EL7,"A"))*4)+((COUNTIF('Elève (5ème3)'!EI7:EL7,"B"))*3)+((COUNTIF('Elève (5ème3)'!EI7:EL7,"C"))*2)+((COUNTIF('Elève (5ème3)'!EI7:EL7,"D"))*1))/(COUNTA(EI7:EL7)),"")</f>
        <v/>
      </c>
      <c r="EN7" s="183" t="str">
        <f t="shared" si="30"/>
        <v/>
      </c>
      <c r="EO7" s="182" t="str">
        <f>IF(COUNT(EB7,EG7,EM7)=0,"",SUM(EB7,EG7,EM7)/COUNT(EB7,EG7,EM7))</f>
        <v/>
      </c>
      <c r="EP7" s="206" t="str">
        <f t="shared" si="31"/>
        <v/>
      </c>
      <c r="EQ7" s="122"/>
      <c r="ER7" s="123"/>
      <c r="ES7" s="124"/>
      <c r="ET7" s="182" t="str">
        <f>IFERROR((((COUNTIF('Elève (5ème3)'!EQ7:ES7,"A"))*4)+((COUNTIF('Elève (5ème3)'!EQ7:ES7,"B"))*3)+((COUNTIF('Elève (5ème3)'!EQ7:ES7,"C"))*2)+((COUNTIF('Elève (5ème3)'!EQ7:ES7,"D"))*1))/(COUNTA(EQ7:ES7)),"")</f>
        <v/>
      </c>
      <c r="EU7" s="183" t="str">
        <f t="shared" si="32"/>
        <v/>
      </c>
      <c r="EV7" s="122"/>
      <c r="EW7" s="123"/>
      <c r="EX7" s="124"/>
      <c r="EY7" s="182" t="str">
        <f>IFERROR((((COUNTIF('Elève (5ème3)'!EV7:EX7,"A"))*4)+((COUNTIF('Elève (5ème3)'!EV7:EX7,"B"))*3)+((COUNTIF('Elève (5ème3)'!EV7:EX7,"C"))*2)+((COUNTIF('Elève (5ème3)'!EV7:EX7,"D"))*1))/(COUNTA(EV7:EX7)),"")</f>
        <v/>
      </c>
      <c r="EZ7" s="183" t="str">
        <f t="shared" si="33"/>
        <v/>
      </c>
      <c r="FA7" s="122"/>
      <c r="FB7" s="123"/>
      <c r="FC7" s="124"/>
      <c r="FD7" s="128"/>
      <c r="FE7" s="182" t="str">
        <f>IFERROR((((COUNTIF('Elève (5ème3)'!FA7:FD7,"A"))*4)+((COUNTIF('Elève (5ème3)'!FA7:FD7,"B"))*3)+((COUNTIF('Elève (5ème3)'!FA7:FD7,"C"))*2)+((COUNTIF('Elève (5ème3)'!FA7:FD7,"D"))*1))/(COUNTA(FA7:FD7)),"")</f>
        <v/>
      </c>
      <c r="FF7" s="183" t="str">
        <f t="shared" si="34"/>
        <v/>
      </c>
      <c r="FG7" s="182" t="str">
        <f>IF(COUNT(ET7,EY7,FE7)=0,"",SUM(ET7,EY7,FE7)/COUNT(ET7,EY7,FE7))</f>
        <v/>
      </c>
      <c r="FH7" s="206" t="str">
        <f t="shared" si="35"/>
        <v/>
      </c>
      <c r="FI7" s="122"/>
      <c r="FJ7" s="123"/>
      <c r="FK7" s="124"/>
      <c r="FL7" s="182" t="str">
        <f>IFERROR((((COUNTIF('Elève (5ème3)'!FI7:FK7,"A"))*4)+((COUNTIF('Elève (5ème3)'!FI7:FK7,"B"))*3)+((COUNTIF('Elève (5ème3)'!FI7:FK7,"C"))*2)+((COUNTIF('Elève (5ème3)'!FI7:FK7,"D"))*1))/(COUNTA(FI7:FK7)),"")</f>
        <v/>
      </c>
      <c r="FM7" s="183" t="str">
        <f t="shared" si="36"/>
        <v/>
      </c>
      <c r="FN7" s="122"/>
      <c r="FO7" s="123"/>
      <c r="FP7" s="124"/>
      <c r="FQ7" s="182" t="str">
        <f>IFERROR((((COUNTIF('Elève (5ème3)'!FN7:FP7,"A"))*4)+((COUNTIF('Elève (5ème3)'!FN7:FP7,"B"))*3)+((COUNTIF('Elève (5ème3)'!FN7:FP7,"C"))*2)+((COUNTIF('Elève (5ème3)'!FN7:FP7,"D"))*1))/(COUNTA(FN7:FP7)),"")</f>
        <v/>
      </c>
      <c r="FR7" s="183" t="str">
        <f t="shared" si="37"/>
        <v/>
      </c>
      <c r="FS7" s="122"/>
      <c r="FT7" s="123"/>
      <c r="FU7" s="124"/>
      <c r="FV7" s="128"/>
      <c r="FW7" s="182" t="str">
        <f>IFERROR((((COUNTIF('Elève (5ème3)'!FS7:FV7,"A"))*4)+((COUNTIF('Elève (5ème3)'!FS7:FV7,"B"))*3)+((COUNTIF('Elève (5ème3)'!FS7:FV7,"C"))*2)+((COUNTIF('Elève (5ème3)'!FS7:FV7,"D"))*1))/(COUNTA(FS7:FV7)),"")</f>
        <v/>
      </c>
      <c r="FX7" s="183" t="str">
        <f t="shared" si="38"/>
        <v/>
      </c>
      <c r="FY7" s="182" t="str">
        <f>IF(COUNT(FL7,FQ7,FW7)=0,"",SUM(FL7,FQ7,FW7)/COUNT(FL7,FQ7,FW7))</f>
        <v/>
      </c>
      <c r="FZ7" s="206" t="str">
        <f t="shared" si="39"/>
        <v/>
      </c>
      <c r="GA7" s="122"/>
      <c r="GB7" s="123"/>
      <c r="GC7" s="124"/>
      <c r="GD7" s="182" t="str">
        <f>IFERROR((((COUNTIF('Elève (5ème3)'!GA7:GC7,"A"))*4)+((COUNTIF('Elève (5ème3)'!GA7:GC7,"B"))*3)+((COUNTIF('Elève (5ème3)'!GA7:GC7,"C"))*2)+((COUNTIF('Elève (5ème3)'!GA7:GC7,"D"))*1))/(COUNTA(GA7:GC7)),"")</f>
        <v/>
      </c>
      <c r="GE7" s="183" t="str">
        <f t="shared" si="40"/>
        <v/>
      </c>
      <c r="GF7" s="122"/>
      <c r="GG7" s="123"/>
      <c r="GH7" s="124"/>
      <c r="GI7" s="182" t="str">
        <f>IFERROR((((COUNTIF('Elève (5ème3)'!GF7:GH7,"A"))*4)+((COUNTIF('Elève (5ème3)'!GF7:GH7,"B"))*3)+((COUNTIF('Elève (5ème3)'!GF7:GH7,"C"))*2)+((COUNTIF('Elève (5ème3)'!GF7:GH7,"D"))*1))/(COUNTA(GF7:GH7)),"")</f>
        <v/>
      </c>
      <c r="GJ7" s="183" t="str">
        <f t="shared" si="41"/>
        <v/>
      </c>
      <c r="GK7" s="122"/>
      <c r="GL7" s="123"/>
      <c r="GM7" s="124"/>
      <c r="GN7" s="128"/>
      <c r="GO7" s="182" t="str">
        <f>IFERROR((((COUNTIF('Elève (5ème3)'!GK7:GN7,"A"))*4)+((COUNTIF('Elève (5ème3)'!GK7:GN7,"B"))*3)+((COUNTIF('Elève (5ème3)'!GK7:GN7,"C"))*2)+((COUNTIF('Elève (5ème3)'!GK7:GN7,"D"))*1))/(COUNTA(GK7:GN7)),"")</f>
        <v/>
      </c>
      <c r="GP7" s="183" t="str">
        <f t="shared" si="42"/>
        <v/>
      </c>
      <c r="GQ7" s="182" t="str">
        <f>IF(COUNT(GD7,GI7,GO7)=0,"",SUM(GD7,GI7,GO7)/COUNT(GD7,GI7,GO7))</f>
        <v/>
      </c>
      <c r="GR7" s="206" t="str">
        <f t="shared" si="43"/>
        <v/>
      </c>
      <c r="GS7" s="122"/>
      <c r="GT7" s="123"/>
      <c r="GU7" s="124"/>
      <c r="GV7" s="182" t="str">
        <f>IFERROR((((COUNTIF('Elève (5ème3)'!GS7:GU7,"A"))*4)+((COUNTIF('Elève (5ème3)'!GS7:GU7,"B"))*3)+((COUNTIF('Elève (5ème3)'!GS7:GU7,"C"))*2)+((COUNTIF('Elève (5ème3)'!GS7:GU7,"D"))*1))/(COUNTA(GS7:GU7)),"")</f>
        <v/>
      </c>
      <c r="GW7" s="183" t="str">
        <f t="shared" si="44"/>
        <v/>
      </c>
      <c r="GX7" s="122"/>
      <c r="GY7" s="123"/>
      <c r="GZ7" s="124"/>
      <c r="HA7" s="182" t="str">
        <f>IFERROR((((COUNTIF('Elève (5ème3)'!GX7:GZ7,"A"))*4)+((COUNTIF('Elève (5ème3)'!GX7:GZ7,"B"))*3)+((COUNTIF('Elève (5ème3)'!GX7:GZ7,"C"))*2)+((COUNTIF('Elève (5ème3)'!GX7:GZ7,"D"))*1))/(COUNTA(GX7:GZ7)),"")</f>
        <v/>
      </c>
      <c r="HB7" s="183" t="str">
        <f t="shared" si="45"/>
        <v/>
      </c>
      <c r="HC7" s="122"/>
      <c r="HD7" s="123"/>
      <c r="HE7" s="124"/>
      <c r="HF7" s="128"/>
      <c r="HG7" s="182" t="str">
        <f>IFERROR((((COUNTIF('Elève (5ème3)'!HC7:HF7,"A"))*4)+((COUNTIF('Elève (5ème3)'!HC7:HF7,"B"))*3)+((COUNTIF('Elève (5ème3)'!HC7:HF7,"C"))*2)+((COUNTIF('Elève (5ème3)'!HC7:HF7,"D"))*1))/(COUNTA(HC7:HF7)),"")</f>
        <v/>
      </c>
      <c r="HH7" s="183" t="str">
        <f t="shared" si="46"/>
        <v/>
      </c>
      <c r="HI7" s="182" t="str">
        <f>IF(COUNT(GV7,HA7,HG7)=0,"",SUM(GV7,HA7,HG7)/COUNT(GV7,HA7,HG7))</f>
        <v/>
      </c>
      <c r="HJ7" s="206" t="str">
        <f t="shared" si="47"/>
        <v/>
      </c>
      <c r="HK7" s="122"/>
      <c r="HL7" s="123"/>
      <c r="HM7" s="124"/>
      <c r="HN7" s="182" t="str">
        <f>IFERROR((((COUNTIF('Elève (5ème3)'!HK7:HM7,"A"))*4)+((COUNTIF('Elève (5ème3)'!HK7:HM7,"B"))*3)+((COUNTIF('Elève (5ème3)'!HK7:HM7,"C"))*2)+((COUNTIF('Elève (5ème3)'!HK7:HM7,"D"))*1))/(COUNTA(HK7:HM7)),"")</f>
        <v/>
      </c>
      <c r="HO7" s="183" t="str">
        <f t="shared" si="48"/>
        <v/>
      </c>
      <c r="HP7" s="122"/>
      <c r="HQ7" s="123"/>
      <c r="HR7" s="124"/>
      <c r="HS7" s="182" t="str">
        <f>IFERROR((((COUNTIF('Elève (5ème3)'!HP7:HR7,"A"))*4)+((COUNTIF('Elève (5ème3)'!HP7:HR7,"B"))*3)+((COUNTIF('Elève (5ème3)'!HP7:HR7,"C"))*2)+((COUNTIF('Elève (5ème3)'!HP7:HR7,"D"))*1))/(COUNTA(HP7:HR7)),"")</f>
        <v/>
      </c>
      <c r="HT7" s="183" t="str">
        <f t="shared" si="49"/>
        <v/>
      </c>
      <c r="HU7" s="122"/>
      <c r="HV7" s="123"/>
      <c r="HW7" s="124"/>
      <c r="HX7" s="128"/>
      <c r="HY7" s="182" t="str">
        <f>IFERROR((((COUNTIF('Elève (5ème3)'!HU7:HX7,"A"))*4)+((COUNTIF('Elève (5ème3)'!HU7:HX7,"B"))*3)+((COUNTIF('Elève (5ème3)'!HU7:HX7,"C"))*2)+((COUNTIF('Elève (5ème3)'!HU7:HX7,"D"))*1))/(COUNTA(HU7:HX7)),"")</f>
        <v/>
      </c>
      <c r="HZ7" s="183" t="str">
        <f t="shared" si="50"/>
        <v/>
      </c>
      <c r="IA7" s="182" t="str">
        <f>IF(COUNT(HN7,HS7,HY7)=0,"",SUM(HN7,HS7,HY7)/COUNT(HN7,HS7,HY7))</f>
        <v/>
      </c>
      <c r="IB7" s="206" t="str">
        <f t="shared" si="51"/>
        <v/>
      </c>
      <c r="IC7" s="122"/>
      <c r="ID7" s="123"/>
      <c r="IE7" s="124"/>
      <c r="IF7" s="182" t="str">
        <f>IFERROR((((COUNTIF('Elève (5ème3)'!IC7:IE7,"A"))*4)+((COUNTIF('Elève (5ème3)'!IC7:IE7,"B"))*3)+((COUNTIF('Elève (5ème3)'!IC7:IE7,"C"))*2)+((COUNTIF('Elève (5ème3)'!IC7:IE7,"D"))*1))/(COUNTA(IC7:IE7)),"")</f>
        <v/>
      </c>
      <c r="IG7" s="183" t="str">
        <f t="shared" si="52"/>
        <v/>
      </c>
      <c r="IH7" s="122"/>
      <c r="II7" s="123"/>
      <c r="IJ7" s="124"/>
      <c r="IK7" s="182" t="str">
        <f>IFERROR((((COUNTIF('Elève (5ème3)'!IH7:IJ7,"A"))*4)+((COUNTIF('Elève (5ème3)'!IH7:IJ7,"B"))*3)+((COUNTIF('Elève (5ème3)'!IH7:IJ7,"C"))*2)+((COUNTIF('Elève (5ème3)'!IH7:IJ7,"D"))*1))/(COUNTA(IH7:IJ7)),"")</f>
        <v/>
      </c>
      <c r="IL7" s="183" t="str">
        <f t="shared" si="53"/>
        <v/>
      </c>
      <c r="IM7" s="122"/>
      <c r="IN7" s="123"/>
      <c r="IO7" s="124"/>
      <c r="IP7" s="128"/>
      <c r="IQ7" s="182" t="str">
        <f>IFERROR((((COUNTIF('Elève (5ème3)'!IM7:IP7,"A"))*4)+((COUNTIF('Elève (5ème3)'!IM7:IP7,"B"))*3)+((COUNTIF('Elève (5ème3)'!IM7:IP7,"C"))*2)+((COUNTIF('Elève (5ème3)'!IM7:IP7,"D"))*1))/(COUNTA(IM7:IP7)),"")</f>
        <v/>
      </c>
      <c r="IR7" s="183" t="str">
        <f t="shared" si="54"/>
        <v/>
      </c>
      <c r="IS7" s="182" t="str">
        <f>IF(COUNT(IF7,IK7,IQ7)=0,"",SUM(IF7,IK7,IQ7)/COUNT(IF7,IK7,IQ7))</f>
        <v/>
      </c>
      <c r="IT7" s="206" t="str">
        <f t="shared" si="55"/>
        <v/>
      </c>
      <c r="IU7" s="122"/>
      <c r="IV7" s="123"/>
      <c r="IW7" s="124"/>
      <c r="IX7" s="182" t="str">
        <f>IFERROR((((COUNTIF('Elève (5ème3)'!IU7:IW7,"A"))*4)+((COUNTIF('Elève (5ème3)'!IU7:IW7,"B"))*3)+((COUNTIF('Elève (5ème3)'!IU7:IW7,"C"))*2)+((COUNTIF('Elève (5ème3)'!IU7:IW7,"D"))*1))/(COUNTA(IU7:IW7)),"")</f>
        <v/>
      </c>
      <c r="IY7" s="183" t="str">
        <f t="shared" si="56"/>
        <v/>
      </c>
      <c r="IZ7" s="122"/>
      <c r="JA7" s="123"/>
      <c r="JB7" s="124"/>
      <c r="JC7" s="182" t="str">
        <f>IFERROR((((COUNTIF('Elève (5ème3)'!IZ7:JB7,"A"))*4)+((COUNTIF('Elève (5ème3)'!IZ7:JB7,"B"))*3)+((COUNTIF('Elève (5ème3)'!IZ7:JB7,"C"))*2)+((COUNTIF('Elève (5ème3)'!IZ7:JB7,"D"))*1))/(COUNTA(IZ7:JB7)),"")</f>
        <v/>
      </c>
      <c r="JD7" s="183" t="str">
        <f t="shared" si="57"/>
        <v/>
      </c>
      <c r="JE7" s="122"/>
      <c r="JF7" s="123"/>
      <c r="JG7" s="124"/>
      <c r="JH7" s="128"/>
      <c r="JI7" s="182" t="str">
        <f>IFERROR((((COUNTIF('Elève (5ème3)'!JE7:JH7,"A"))*4)+((COUNTIF('Elève (5ème3)'!JE7:JH7,"B"))*3)+((COUNTIF('Elève (5ème3)'!JE7:JH7,"C"))*2)+((COUNTIF('Elève (5ème3)'!JE7:JH7,"D"))*1))/(COUNTA(JE7:JH7)),"")</f>
        <v/>
      </c>
      <c r="JJ7" s="183" t="str">
        <f t="shared" si="58"/>
        <v/>
      </c>
      <c r="JK7" s="182" t="str">
        <f>IF(COUNT(IX7,JC7,JI7)=0,"",SUM(IX7,JC7,JI7)/COUNT(IX7,JC7,JI7))</f>
        <v/>
      </c>
      <c r="JL7" s="206" t="str">
        <f t="shared" si="59"/>
        <v/>
      </c>
      <c r="JM7" s="122"/>
      <c r="JN7" s="123"/>
      <c r="JO7" s="124"/>
      <c r="JP7" s="182" t="str">
        <f>IFERROR((((COUNTIF('Elève (5ème3)'!JM7:JO7,"A"))*4)+((COUNTIF('Elève (5ème3)'!JM7:JO7,"B"))*3)+((COUNTIF('Elève (5ème3)'!JM7:JO7,"C"))*2)+((COUNTIF('Elève (5ème3)'!JM7:JO7,"D"))*1))/(COUNTA(JM7:JO7)),"")</f>
        <v/>
      </c>
      <c r="JQ7" s="183" t="str">
        <f t="shared" si="60"/>
        <v/>
      </c>
      <c r="JR7" s="122"/>
      <c r="JS7" s="123"/>
      <c r="JT7" s="124"/>
      <c r="JU7" s="182" t="str">
        <f>IFERROR((((COUNTIF('Elève (5ème3)'!JR7:JT7,"A"))*4)+((COUNTIF('Elève (5ème3)'!JR7:JT7,"B"))*3)+((COUNTIF('Elève (5ème3)'!JR7:JT7,"C"))*2)+((COUNTIF('Elève (5ème3)'!JR7:JT7,"D"))*1))/(COUNTA(JR7:JT7)),"")</f>
        <v/>
      </c>
      <c r="JV7" s="183" t="str">
        <f t="shared" si="61"/>
        <v/>
      </c>
      <c r="JW7" s="122"/>
      <c r="JX7" s="123"/>
      <c r="JY7" s="124"/>
      <c r="JZ7" s="128"/>
      <c r="KA7" s="182" t="str">
        <f>IFERROR((((COUNTIF('Elève (5ème3)'!JW7:JZ7,"A"))*4)+((COUNTIF('Elève (5ème3)'!JW7:JZ7,"B"))*3)+((COUNTIF('Elève (5ème3)'!JW7:JZ7,"C"))*2)+((COUNTIF('Elève (5ème3)'!JW7:JZ7,"D"))*1))/(COUNTA(JW7:JZ7)),"")</f>
        <v/>
      </c>
      <c r="KB7" s="183" t="str">
        <f t="shared" si="62"/>
        <v/>
      </c>
      <c r="KC7" s="182" t="str">
        <f>IF(COUNT(JP7,JU7,KA7)=0,"",SUM(JP7,JU7,KA7)/COUNT(JP7,JU7,KA7))</f>
        <v/>
      </c>
      <c r="KD7" s="206" t="str">
        <f t="shared" si="63"/>
        <v/>
      </c>
      <c r="KE7" s="122"/>
      <c r="KF7" s="123"/>
      <c r="KG7" s="124"/>
      <c r="KH7" s="182" t="str">
        <f>IFERROR((((COUNTIF('Elève (5ème3)'!KE7:KG7,"A"))*4)+((COUNTIF('Elève (5ème3)'!KE7:KG7,"B"))*3)+((COUNTIF('Elève (5ème3)'!KE7:KG7,"C"))*2)+((COUNTIF('Elève (5ème3)'!KE7:KG7,"D"))*1))/(COUNTA(KE7:KG7)),"")</f>
        <v/>
      </c>
      <c r="KI7" s="183" t="str">
        <f t="shared" si="64"/>
        <v/>
      </c>
      <c r="KJ7" s="122"/>
      <c r="KK7" s="123"/>
      <c r="KL7" s="124"/>
      <c r="KM7" s="182" t="str">
        <f>IFERROR((((COUNTIF('Elève (5ème3)'!KJ7:KL7,"A"))*4)+((COUNTIF('Elève (5ème3)'!KJ7:KL7,"B"))*3)+((COUNTIF('Elève (5ème3)'!KJ7:KL7,"C"))*2)+((COUNTIF('Elève (5ème3)'!KJ7:KL7,"D"))*1))/(COUNTA(KJ7:KL7)),"")</f>
        <v/>
      </c>
      <c r="KN7" s="183" t="str">
        <f t="shared" si="65"/>
        <v/>
      </c>
      <c r="KO7" s="122"/>
      <c r="KP7" s="123"/>
      <c r="KQ7" s="124"/>
      <c r="KR7" s="128"/>
      <c r="KS7" s="182" t="str">
        <f>IFERROR((((COUNTIF('Elève (5ème3)'!KO7:KR7,"A"))*4)+((COUNTIF('Elève (5ème3)'!KO7:KR7,"B"))*3)+((COUNTIF('Elève (5ème3)'!KO7:KR7,"C"))*2)+((COUNTIF('Elève (5ème3)'!KO7:KR7,"D"))*1))/(COUNTA(KO7:KR7)),"")</f>
        <v/>
      </c>
      <c r="KT7" s="183" t="str">
        <f t="shared" si="66"/>
        <v/>
      </c>
      <c r="KU7" s="182" t="str">
        <f>IF(COUNT(KH7,KM7,KS7)=0,"",SUM(KH7,KM7,KS7)/COUNT(KH7,KM7,KS7))</f>
        <v/>
      </c>
      <c r="KV7" s="206" t="str">
        <f t="shared" si="67"/>
        <v/>
      </c>
      <c r="KW7" s="122"/>
      <c r="KX7" s="123"/>
      <c r="KY7" s="124"/>
      <c r="KZ7" s="182" t="str">
        <f>IFERROR((((COUNTIF('Elève (5ème3)'!KW7:KY7,"A"))*4)+((COUNTIF('Elève (5ème3)'!KW7:KY7,"B"))*3)+((COUNTIF('Elève (5ème3)'!KW7:KY7,"C"))*2)+((COUNTIF('Elève (5ème3)'!KW7:KY7,"D"))*1))/(COUNTA(KW7:KY7)),"")</f>
        <v/>
      </c>
      <c r="LA7" s="183" t="str">
        <f t="shared" si="68"/>
        <v/>
      </c>
      <c r="LB7" s="122"/>
      <c r="LC7" s="123"/>
      <c r="LD7" s="124"/>
      <c r="LE7" s="182" t="str">
        <f>IFERROR((((COUNTIF('Elève (5ème3)'!LB7:LD7,"A"))*4)+((COUNTIF('Elève (5ème3)'!LB7:LD7,"B"))*3)+((COUNTIF('Elève (5ème3)'!LB7:LD7,"C"))*2)+((COUNTIF('Elève (5ème3)'!LB7:LD7,"D"))*1))/(COUNTA(LB7:LD7)),"")</f>
        <v/>
      </c>
      <c r="LF7" s="183" t="str">
        <f t="shared" si="69"/>
        <v/>
      </c>
      <c r="LG7" s="122"/>
      <c r="LH7" s="123"/>
      <c r="LI7" s="124"/>
      <c r="LJ7" s="128"/>
      <c r="LK7" s="182" t="str">
        <f>IFERROR((((COUNTIF('Elève (5ème3)'!LG7:LJ7,"A"))*4)+((COUNTIF('Elève (5ème3)'!LG7:LJ7,"B"))*3)+((COUNTIF('Elève (5ème3)'!LG7:LJ7,"C"))*2)+((COUNTIF('Elève (5ème3)'!LG7:LJ7,"D"))*1))/(COUNTA(LG7:LJ7)),"")</f>
        <v/>
      </c>
      <c r="LL7" s="183" t="str">
        <f t="shared" si="70"/>
        <v/>
      </c>
      <c r="LM7" s="182" t="str">
        <f>IF(COUNT(KZ7,LE7,LK7)=0,"",SUM(KZ7,LE7,LK7)/COUNT(KZ7,LE7,LK7))</f>
        <v/>
      </c>
      <c r="LN7" s="206" t="str">
        <f t="shared" si="71"/>
        <v/>
      </c>
      <c r="LO7" s="122"/>
      <c r="LP7" s="123"/>
      <c r="LQ7" s="124"/>
      <c r="LR7" s="182" t="str">
        <f>IFERROR((((COUNTIF('Elève (5ème3)'!LO7:LQ7,"A"))*4)+((COUNTIF('Elève (5ème3)'!LO7:LQ7,"B"))*3)+((COUNTIF('Elève (5ème3)'!LO7:LQ7,"C"))*2)+((COUNTIF('Elève (5ème3)'!LO7:LQ7,"D"))*1))/(COUNTA(LO7:LQ7)),"")</f>
        <v/>
      </c>
      <c r="LS7" s="183" t="str">
        <f t="shared" si="72"/>
        <v/>
      </c>
      <c r="LT7" s="122"/>
      <c r="LU7" s="123"/>
      <c r="LV7" s="124"/>
      <c r="LW7" s="182" t="str">
        <f>IFERROR((((COUNTIF('Elève (5ème3)'!LT7:LV7,"A"))*4)+((COUNTIF('Elève (5ème3)'!LT7:LV7,"B"))*3)+((COUNTIF('Elève (5ème3)'!LT7:LV7,"C"))*2)+((COUNTIF('Elève (5ème3)'!LT7:LV7,"D"))*1))/(COUNTA(LT7:LV7)),"")</f>
        <v/>
      </c>
      <c r="LX7" s="183" t="str">
        <f t="shared" si="73"/>
        <v/>
      </c>
      <c r="LY7" s="122"/>
      <c r="LZ7" s="123"/>
      <c r="MA7" s="124"/>
      <c r="MB7" s="128"/>
      <c r="MC7" s="182" t="str">
        <f>IFERROR((((COUNTIF('Elève (5ème3)'!LY7:MB7,"A"))*4)+((COUNTIF('Elève (5ème3)'!LY7:MB7,"B"))*3)+((COUNTIF('Elève (5ème3)'!LY7:MB7,"C"))*2)+((COUNTIF('Elève (5ème3)'!LY7:MB7,"D"))*1))/(COUNTA(LY7:MB7)),"")</f>
        <v/>
      </c>
      <c r="MD7" s="183" t="str">
        <f t="shared" si="74"/>
        <v/>
      </c>
      <c r="ME7" s="182" t="str">
        <f>IF(COUNT(LR7,LW7,MC7)=0,"",SUM(LR7,LW7,MC7)/COUNT(LR7,LW7,MC7))</f>
        <v/>
      </c>
      <c r="MF7" s="206" t="str">
        <f t="shared" si="75"/>
        <v/>
      </c>
      <c r="MG7" s="122"/>
      <c r="MH7" s="123"/>
      <c r="MI7" s="124"/>
      <c r="MJ7" s="182" t="str">
        <f>IFERROR((((COUNTIF('Elève (5ème3)'!MG7:MI7,"A"))*4)+((COUNTIF('Elève (5ème3)'!MG7:MI7,"B"))*3)+((COUNTIF('Elève (5ème3)'!MG7:MI7,"C"))*2)+((COUNTIF('Elève (5ème3)'!MG7:MI7,"D"))*1))/(COUNTA(MG7:MI7)),"")</f>
        <v/>
      </c>
      <c r="MK7" s="183" t="str">
        <f t="shared" si="76"/>
        <v/>
      </c>
      <c r="ML7" s="122"/>
      <c r="MM7" s="123"/>
      <c r="MN7" s="124"/>
      <c r="MO7" s="182" t="str">
        <f>IFERROR((((COUNTIF('Elève (5ème3)'!ML7:MN7,"A"))*4)+((COUNTIF('Elève (5ème3)'!ML7:MN7,"B"))*3)+((COUNTIF('Elève (5ème3)'!ML7:MN7,"C"))*2)+((COUNTIF('Elève (5ème3)'!ML7:MN7,"D"))*1))/(COUNTA(ML7:MN7)),"")</f>
        <v/>
      </c>
      <c r="MP7" s="183" t="str">
        <f t="shared" si="77"/>
        <v/>
      </c>
      <c r="MQ7" s="122"/>
      <c r="MR7" s="123"/>
      <c r="MS7" s="124"/>
      <c r="MT7" s="128"/>
      <c r="MU7" s="182" t="str">
        <f>IFERROR((((COUNTIF('Elève (5ème3)'!MQ7:MT7,"A"))*4)+((COUNTIF('Elève (5ème3)'!MQ7:MT7,"B"))*3)+((COUNTIF('Elève (5ème3)'!MQ7:MT7,"C"))*2)+((COUNTIF('Elève (5ème3)'!MQ7:MT7,"D"))*1))/(COUNTA(MQ7:MT7)),"")</f>
        <v/>
      </c>
      <c r="MV7" s="183" t="str">
        <f t="shared" si="78"/>
        <v/>
      </c>
      <c r="MW7" s="182" t="str">
        <f>IF(COUNT(MJ7,MO7,MU7)=0,"",SUM(MJ7,MO7,MU7)/COUNT(MJ7,MO7,MU7))</f>
        <v/>
      </c>
      <c r="MX7" s="206" t="str">
        <f t="shared" si="79"/>
        <v/>
      </c>
      <c r="MY7" s="122"/>
      <c r="MZ7" s="123"/>
      <c r="NA7" s="124"/>
      <c r="NB7" s="182" t="str">
        <f>IFERROR((((COUNTIF('Elève (5ème3)'!MY7:NA7,"A"))*4)+((COUNTIF('Elève (5ème3)'!MY7:NA7,"B"))*3)+((COUNTIF('Elève (5ème3)'!MY7:NA7,"C"))*2)+((COUNTIF('Elève (5ème3)'!MY7:NA7,"D"))*1))/(COUNTA(MY7:NA7)),"")</f>
        <v/>
      </c>
      <c r="NC7" s="183" t="str">
        <f t="shared" si="80"/>
        <v/>
      </c>
      <c r="ND7" s="122"/>
      <c r="NE7" s="123"/>
      <c r="NF7" s="124"/>
      <c r="NG7" s="182" t="str">
        <f>IFERROR((((COUNTIF('Elève (5ème3)'!ND7:NF7,"A"))*4)+((COUNTIF('Elève (5ème3)'!ND7:NF7,"B"))*3)+((COUNTIF('Elève (5ème3)'!ND7:NF7,"C"))*2)+((COUNTIF('Elève (5ème3)'!ND7:NF7,"D"))*1))/(COUNTA(ND7:NF7)),"")</f>
        <v/>
      </c>
      <c r="NH7" s="183" t="str">
        <f t="shared" si="81"/>
        <v/>
      </c>
      <c r="NI7" s="122"/>
      <c r="NJ7" s="123"/>
      <c r="NK7" s="124"/>
      <c r="NL7" s="128"/>
      <c r="NM7" s="182" t="str">
        <f>IFERROR((((COUNTIF('Elève (5ème3)'!NI7:NL7,"A"))*4)+((COUNTIF('Elève (5ème3)'!NI7:NL7,"B"))*3)+((COUNTIF('Elève (5ème3)'!NI7:NL7,"C"))*2)+((COUNTIF('Elève (5ème3)'!NI7:NL7,"D"))*1))/(COUNTA(NI7:NL7)),"")</f>
        <v/>
      </c>
      <c r="NN7" s="183" t="str">
        <f t="shared" si="82"/>
        <v/>
      </c>
      <c r="NO7" s="182" t="str">
        <f>IF(COUNT(NB7,NG7,NM7)=0,"",SUM(NB7,NG7,NM7)/COUNT(NB7,NG7,NM7))</f>
        <v/>
      </c>
      <c r="NP7" s="206" t="str">
        <f t="shared" si="83"/>
        <v/>
      </c>
      <c r="NQ7" s="122"/>
      <c r="NR7" s="123"/>
      <c r="NS7" s="124"/>
      <c r="NT7" s="182" t="str">
        <f>IFERROR((((COUNTIF('Elève (5ème3)'!NQ7:NS7,"A"))*4)+((COUNTIF('Elève (5ème3)'!NQ7:NS7,"B"))*3)+((COUNTIF('Elève (5ème3)'!NQ7:NS7,"C"))*2)+((COUNTIF('Elève (5ème3)'!NQ7:NS7,"D"))*1))/(COUNTA(NQ7:NS7)),"")</f>
        <v/>
      </c>
      <c r="NU7" s="183" t="str">
        <f t="shared" si="84"/>
        <v/>
      </c>
      <c r="NV7" s="122"/>
      <c r="NW7" s="123"/>
      <c r="NX7" s="124"/>
      <c r="NY7" s="182" t="str">
        <f>IFERROR((((COUNTIF('Elève (5ème3)'!NV7:NX7,"A"))*4)+((COUNTIF('Elève (5ème3)'!NV7:NX7,"B"))*3)+((COUNTIF('Elève (5ème3)'!NV7:NX7,"C"))*2)+((COUNTIF('Elève (5ème3)'!NV7:NX7,"D"))*1))/(COUNTA(NV7:NX7)),"")</f>
        <v/>
      </c>
      <c r="NZ7" s="183" t="str">
        <f t="shared" si="85"/>
        <v/>
      </c>
      <c r="OA7" s="122"/>
      <c r="OB7" s="123"/>
      <c r="OC7" s="124"/>
      <c r="OD7" s="128"/>
      <c r="OE7" s="182" t="str">
        <f>IFERROR((((COUNTIF('Elève (5ème3)'!OA7:OD7,"A"))*4)+((COUNTIF('Elève (5ème3)'!OA7:OD7,"B"))*3)+((COUNTIF('Elève (5ème3)'!OA7:OD7,"C"))*2)+((COUNTIF('Elève (5ème3)'!OA7:OD7,"D"))*1))/(COUNTA(OA7:OD7)),"")</f>
        <v/>
      </c>
      <c r="OF7" s="183" t="str">
        <f t="shared" si="86"/>
        <v/>
      </c>
      <c r="OG7" s="182" t="str">
        <f>IF(COUNT(NT7,NY7,OE7)=0,"",SUM(NT7,NY7,OE7)/COUNT(NT7,NY7,OE7))</f>
        <v/>
      </c>
      <c r="OH7" s="206" t="str">
        <f t="shared" si="87"/>
        <v/>
      </c>
      <c r="OI7" s="122"/>
      <c r="OJ7" s="123"/>
      <c r="OK7" s="124"/>
      <c r="OL7" s="182" t="str">
        <f>IFERROR((((COUNTIF('Elève (5ème3)'!OI7:OK7,"A"))*4)+((COUNTIF('Elève (5ème3)'!OI7:OK7,"B"))*3)+((COUNTIF('Elève (5ème3)'!OI7:OK7,"C"))*2)+((COUNTIF('Elève (5ème3)'!OI7:OK7,"D"))*1))/(COUNTA(OI7:OK7)),"")</f>
        <v/>
      </c>
      <c r="OM7" s="183" t="str">
        <f t="shared" si="88"/>
        <v/>
      </c>
      <c r="ON7" s="122"/>
      <c r="OO7" s="123"/>
      <c r="OP7" s="124"/>
      <c r="OQ7" s="182" t="str">
        <f>IFERROR((((COUNTIF('Elève (5ème3)'!ON7:OP7,"A"))*4)+((COUNTIF('Elève (5ème3)'!ON7:OP7,"B"))*3)+((COUNTIF('Elève (5ème3)'!ON7:OP7,"C"))*2)+((COUNTIF('Elève (5ème3)'!ON7:OP7,"D"))*1))/(COUNTA(ON7:OP7)),"")</f>
        <v/>
      </c>
      <c r="OR7" s="183" t="str">
        <f t="shared" si="89"/>
        <v/>
      </c>
      <c r="OS7" s="122"/>
      <c r="OT7" s="123"/>
      <c r="OU7" s="124"/>
      <c r="OV7" s="128"/>
      <c r="OW7" s="182" t="str">
        <f>IFERROR((((COUNTIF('Elève (5ème3)'!OS7:OV7,"A"))*4)+((COUNTIF('Elève (5ème3)'!OS7:OV7,"B"))*3)+((COUNTIF('Elève (5ème3)'!OS7:OV7,"C"))*2)+((COUNTIF('Elève (5ème3)'!OS7:OV7,"D"))*1))/(COUNTA(OS7:OV7)),"")</f>
        <v/>
      </c>
      <c r="OX7" s="183" t="str">
        <f t="shared" si="90"/>
        <v/>
      </c>
      <c r="OY7" s="182" t="str">
        <f>IF(COUNT(OL7,OQ7,OW7)=0,"",SUM(OL7,OQ7,OW7)/COUNT(OL7,OQ7,OW7))</f>
        <v/>
      </c>
      <c r="OZ7" s="206" t="str">
        <f t="shared" si="91"/>
        <v/>
      </c>
      <c r="PA7" s="122"/>
      <c r="PB7" s="123"/>
      <c r="PC7" s="124"/>
      <c r="PD7" s="182" t="str">
        <f>IFERROR((((COUNTIF('Elève (5ème3)'!PA7:PC7,"A"))*4)+((COUNTIF('Elève (5ème3)'!PA7:PC7,"B"))*3)+((COUNTIF('Elève (5ème3)'!PA7:PC7,"C"))*2)+((COUNTIF('Elève (5ème3)'!PA7:PC7,"D"))*1))/(COUNTA(PA7:PC7)),"")</f>
        <v/>
      </c>
      <c r="PE7" s="183" t="str">
        <f t="shared" si="92"/>
        <v/>
      </c>
      <c r="PF7" s="122"/>
      <c r="PG7" s="123"/>
      <c r="PH7" s="124"/>
      <c r="PI7" s="182" t="str">
        <f>IFERROR((((COUNTIF('Elève (5ème3)'!PF7:PH7,"A"))*4)+((COUNTIF('Elève (5ème3)'!PF7:PH7,"B"))*3)+((COUNTIF('Elève (5ème3)'!PF7:PH7,"C"))*2)+((COUNTIF('Elève (5ème3)'!PF7:PH7,"D"))*1))/(COUNTA(PF7:PH7)),"")</f>
        <v/>
      </c>
      <c r="PJ7" s="183" t="str">
        <f t="shared" si="93"/>
        <v/>
      </c>
      <c r="PK7" s="122"/>
      <c r="PL7" s="123"/>
      <c r="PM7" s="124"/>
      <c r="PN7" s="128"/>
      <c r="PO7" s="182" t="str">
        <f>IFERROR((((COUNTIF('Elève (5ème3)'!PK7:PN7,"A"))*4)+((COUNTIF('Elève (5ème3)'!PK7:PN7,"B"))*3)+((COUNTIF('Elève (5ème3)'!PK7:PN7,"C"))*2)+((COUNTIF('Elève (5ème3)'!PK7:PN7,"D"))*1))/(COUNTA(PK7:PN7)),"")</f>
        <v/>
      </c>
      <c r="PP7" s="183" t="str">
        <f t="shared" si="94"/>
        <v/>
      </c>
      <c r="PQ7" s="182" t="str">
        <f>IF(COUNT(PD7,PI7,PO7)=0,"",SUM(PD7,PI7,PO7)/COUNT(PD7,PI7,PO7))</f>
        <v/>
      </c>
      <c r="PR7" s="206" t="str">
        <f t="shared" si="95"/>
        <v/>
      </c>
      <c r="PS7" s="122"/>
      <c r="PT7" s="123"/>
      <c r="PU7" s="124"/>
      <c r="PV7" s="182" t="str">
        <f>IFERROR((((COUNTIF('Elève (5ème3)'!PS7:PU7,"A"))*4)+((COUNTIF('Elève (5ème3)'!PS7:PU7,"B"))*3)+((COUNTIF('Elève (5ème3)'!PS7:PU7,"C"))*2)+((COUNTIF('Elève (5ème3)'!PS7:PU7,"D"))*1))/(COUNTA(PS7:PU7)),"")</f>
        <v/>
      </c>
      <c r="PW7" s="183" t="str">
        <f t="shared" si="96"/>
        <v/>
      </c>
      <c r="PX7" s="122"/>
      <c r="PY7" s="123"/>
      <c r="PZ7" s="124"/>
      <c r="QA7" s="182" t="str">
        <f>IFERROR((((COUNTIF('Elève (5ème3)'!PX7:PZ7,"A"))*4)+((COUNTIF('Elève (5ème3)'!PX7:PZ7,"B"))*3)+((COUNTIF('Elève (5ème3)'!PX7:PZ7,"C"))*2)+((COUNTIF('Elève (5ème3)'!PX7:PZ7,"D"))*1))/(COUNTA(PX7:PZ7)),"")</f>
        <v/>
      </c>
      <c r="QB7" s="183" t="str">
        <f t="shared" si="97"/>
        <v/>
      </c>
      <c r="QC7" s="122"/>
      <c r="QD7" s="123"/>
      <c r="QE7" s="124"/>
      <c r="QF7" s="128"/>
      <c r="QG7" s="182" t="str">
        <f>IFERROR((((COUNTIF('Elève (5ème3)'!QC7:QF7,"A"))*4)+((COUNTIF('Elève (5ème3)'!QC7:QF7,"B"))*3)+((COUNTIF('Elève (5ème3)'!QC7:QF7,"C"))*2)+((COUNTIF('Elève (5ème3)'!QC7:QF7,"D"))*1))/(COUNTA(QC7:QF7)),"")</f>
        <v/>
      </c>
      <c r="QH7" s="183" t="str">
        <f t="shared" si="98"/>
        <v/>
      </c>
      <c r="QI7" s="182" t="str">
        <f>IF(COUNT(PV7,QA7,QG7)=0,"",SUM(PV7,QA7,QG7)/COUNT(PV7,QA7,QG7))</f>
        <v/>
      </c>
      <c r="QJ7" s="206" t="str">
        <f t="shared" si="99"/>
        <v/>
      </c>
      <c r="QK7" s="122"/>
      <c r="QL7" s="123"/>
      <c r="QM7" s="124"/>
      <c r="QN7" s="182" t="str">
        <f>IFERROR((((COUNTIF('Elève (5ème3)'!QK7:QM7,"A"))*4)+((COUNTIF('Elève (5ème3)'!QK7:QM7,"B"))*3)+((COUNTIF('Elève (5ème3)'!QK7:QM7,"C"))*2)+((COUNTIF('Elève (5ème3)'!QK7:QM7,"D"))*1))/(COUNTA(QK7:QM7)),"")</f>
        <v/>
      </c>
      <c r="QO7" s="183" t="str">
        <f t="shared" si="100"/>
        <v/>
      </c>
      <c r="QP7" s="122"/>
      <c r="QQ7" s="123"/>
      <c r="QR7" s="124"/>
      <c r="QS7" s="182" t="str">
        <f>IFERROR((((COUNTIF('Elève (5ème3)'!QP7:QR7,"A"))*4)+((COUNTIF('Elève (5ème3)'!QP7:QR7,"B"))*3)+((COUNTIF('Elève (5ème3)'!QP7:QR7,"C"))*2)+((COUNTIF('Elève (5ème3)'!QP7:QR7,"D"))*1))/(COUNTA(QP7:QR7)),"")</f>
        <v/>
      </c>
      <c r="QT7" s="183" t="str">
        <f t="shared" si="101"/>
        <v/>
      </c>
      <c r="QU7" s="122"/>
      <c r="QV7" s="123"/>
      <c r="QW7" s="124"/>
      <c r="QX7" s="128"/>
      <c r="QY7" s="182" t="str">
        <f>IFERROR((((COUNTIF('Elève (5ème3)'!QU7:QX7,"A"))*4)+((COUNTIF('Elève (5ème3)'!QU7:QX7,"B"))*3)+((COUNTIF('Elève (5ème3)'!QU7:QX7,"C"))*2)+((COUNTIF('Elève (5ème3)'!QU7:QX7,"D"))*1))/(COUNTA(QU7:QX7)),"")</f>
        <v/>
      </c>
      <c r="QZ7" s="183" t="str">
        <f t="shared" si="102"/>
        <v/>
      </c>
      <c r="RA7" s="182" t="str">
        <f>IF(COUNT(QN7,QS7,QY7)=0,"",SUM(QN7,QS7,QY7)/COUNT(QN7,QS7,QY7))</f>
        <v/>
      </c>
      <c r="RB7" s="206" t="str">
        <f t="shared" si="103"/>
        <v/>
      </c>
      <c r="RC7" s="122"/>
      <c r="RD7" s="123"/>
      <c r="RE7" s="124"/>
      <c r="RF7" s="182" t="str">
        <f>IFERROR((((COUNTIF('Elève (5ème3)'!RC7:RE7,"A"))*4)+((COUNTIF('Elève (5ème3)'!RC7:RE7,"B"))*3)+((COUNTIF('Elève (5ème3)'!RC7:RE7,"C"))*2)+((COUNTIF('Elève (5ème3)'!RC7:RE7,"D"))*1))/(COUNTA(RC7:RE7)),"")</f>
        <v/>
      </c>
      <c r="RG7" s="183" t="str">
        <f t="shared" si="104"/>
        <v/>
      </c>
      <c r="RH7" s="122"/>
      <c r="RI7" s="123"/>
      <c r="RJ7" s="124"/>
      <c r="RK7" s="182" t="str">
        <f>IFERROR((((COUNTIF('Elève (5ème3)'!RH7:RJ7,"A"))*4)+((COUNTIF('Elève (5ème3)'!RH7:RJ7,"B"))*3)+((COUNTIF('Elève (5ème3)'!RH7:RJ7,"C"))*2)+((COUNTIF('Elève (5ème3)'!RH7:RJ7,"D"))*1))/(COUNTA(RH7:RJ7)),"")</f>
        <v/>
      </c>
      <c r="RL7" s="183" t="str">
        <f t="shared" si="105"/>
        <v/>
      </c>
      <c r="RM7" s="122"/>
      <c r="RN7" s="123"/>
      <c r="RO7" s="124"/>
      <c r="RP7" s="128"/>
      <c r="RQ7" s="182" t="str">
        <f>IFERROR((((COUNTIF('Elève (5ème3)'!RM7:RP7,"A"))*4)+((COUNTIF('Elève (5ème3)'!RM7:RP7,"B"))*3)+((COUNTIF('Elève (5ème3)'!RM7:RP7,"C"))*2)+((COUNTIF('Elève (5ème3)'!RM7:RP7,"D"))*1))/(COUNTA(RM7:RP7)),"")</f>
        <v/>
      </c>
      <c r="RR7" s="183" t="str">
        <f t="shared" si="106"/>
        <v/>
      </c>
      <c r="RS7" s="182" t="str">
        <f>IF(COUNT(RF7,RK7,RQ7)=0,"",SUM(RF7,RK7,RQ7)/COUNT(RF7,RK7,RQ7))</f>
        <v/>
      </c>
      <c r="RT7" s="206" t="str">
        <f t="shared" si="107"/>
        <v/>
      </c>
      <c r="RU7" s="122"/>
      <c r="RV7" s="123"/>
      <c r="RW7" s="124"/>
      <c r="RX7" s="125" t="str">
        <f>IFERROR((((COUNTIF('Elève (5ème3)'!RU7:RW7,"A"))*4)+((COUNTIF('Elève (5ème3)'!RU7:RW7,"B"))*3)+((COUNTIF('Elève (5ème3)'!RU7:RW7,"C"))*2)+((COUNTIF('Elève (5ème3)'!RU7:RW7,"D"))*1))/(COUNTA(RU7:RW7)),"")</f>
        <v/>
      </c>
      <c r="RY7" s="126" t="str">
        <f t="shared" si="108"/>
        <v/>
      </c>
      <c r="RZ7" s="122"/>
      <c r="SA7" s="123"/>
      <c r="SB7" s="124"/>
      <c r="SC7" s="125" t="str">
        <f>IFERROR((((COUNTIF('Elève (5ème3)'!RZ7:SB7,"A"))*4)+((COUNTIF('Elève (5ème3)'!RZ7:SB7,"B"))*3)+((COUNTIF('Elève (5ème3)'!RZ7:SB7,"C"))*2)+((COUNTIF('Elève (5ème3)'!RZ7:SB7,"D"))*1))/(COUNTA(RZ7:SB7)),"")</f>
        <v/>
      </c>
      <c r="SD7" s="126" t="str">
        <f t="shared" si="109"/>
        <v/>
      </c>
      <c r="SE7" s="122"/>
      <c r="SF7" s="123"/>
      <c r="SG7" s="128"/>
      <c r="SH7" s="125" t="str">
        <f>IFERROR((((COUNTIF('Elève (5ème3)'!SE7:SG7,"A"))*4)+((COUNTIF('Elève (5ème3)'!SE7:SG7,"B"))*3)+((COUNTIF('Elève (5ème3)'!SE7:SG7,"C"))*2)+((COUNTIF('Elève (5ème3)'!SE7:SG7,"D"))*1))/(COUNTA(SE7:SG7)),"")</f>
        <v/>
      </c>
      <c r="SI7" s="126" t="str">
        <f t="shared" si="110"/>
        <v/>
      </c>
      <c r="SJ7" s="125" t="str">
        <f>IF(COUNT(RX7,SC7,SH7)=0,"",SUM(RX7,SC7,SH7)/COUNT(RX7,SC7,SH7))</f>
        <v/>
      </c>
      <c r="SK7" s="127" t="str">
        <f t="shared" si="111"/>
        <v/>
      </c>
      <c r="SL7" s="122"/>
      <c r="SM7" s="123"/>
      <c r="SN7" s="124"/>
      <c r="SO7" s="125" t="str">
        <f>IFERROR((((COUNTIF('Elève (5ème3)'!SL7:SN7,"A"))*4)+((COUNTIF('Elève (5ème3)'!SL7:SN7,"B"))*3)+((COUNTIF('Elève (5ème3)'!SL7:SN7,"C"))*2)+((COUNTIF('Elève (5ème3)'!SL7:SN7,"D"))*1))/(COUNTA(SL7:SN7)),"")</f>
        <v/>
      </c>
      <c r="SP7" s="126" t="str">
        <f t="shared" si="112"/>
        <v/>
      </c>
      <c r="SQ7" s="122"/>
      <c r="SR7" s="123"/>
      <c r="SS7" s="124"/>
      <c r="ST7" s="125" t="str">
        <f>IFERROR((((COUNTIF('Elève (5ème3)'!SQ7:SS7,"A"))*4)+((COUNTIF('Elève (5ème3)'!SQ7:SS7,"B"))*3)+((COUNTIF('Elève (5ème3)'!SQ7:SS7,"C"))*2)+((COUNTIF('Elève (5ème3)'!SQ7:SS7,"D"))*1))/(COUNTA(SQ7:SS7)),"")</f>
        <v/>
      </c>
      <c r="SU7" s="126" t="str">
        <f t="shared" si="113"/>
        <v/>
      </c>
      <c r="SV7" s="122"/>
      <c r="SW7" s="123"/>
      <c r="SX7" s="128"/>
      <c r="SY7" s="125" t="str">
        <f>IFERROR((((COUNTIF('Elève (5ème3)'!SV7:SX7,"A"))*4)+((COUNTIF('Elève (5ème3)'!SV7:SX7,"B"))*3)+((COUNTIF('Elève (5ème3)'!SV7:SX7,"C"))*2)+((COUNTIF('Elève (5ème3)'!SV7:SX7,"D"))*1))/(COUNTA(SV7:SX7)),"")</f>
        <v/>
      </c>
      <c r="SZ7" s="126" t="str">
        <f t="shared" si="114"/>
        <v/>
      </c>
      <c r="TA7" s="125" t="str">
        <f>IF(COUNT(SO7,ST7,SY7)=0,"",SUM(SO7,ST7,SY7)/COUNT(SO7,ST7,SY7))</f>
        <v/>
      </c>
      <c r="TB7" s="127" t="str">
        <f t="shared" si="115"/>
        <v/>
      </c>
      <c r="TC7" s="122"/>
      <c r="TD7" s="123"/>
      <c r="TE7" s="124"/>
      <c r="TF7" s="125" t="str">
        <f>IFERROR((((COUNTIF('Elève (5ème3)'!TC7:TE7,"A"))*4)+((COUNTIF('Elève (5ème3)'!TC7:TE7,"B"))*3)+((COUNTIF('Elève (5ème3)'!TC7:TE7,"C"))*2)+((COUNTIF('Elève (5ème3)'!TC7:TE7,"D"))*1))/(COUNTA(TC7:TE7)),"")</f>
        <v/>
      </c>
      <c r="TG7" s="126" t="str">
        <f t="shared" si="116"/>
        <v/>
      </c>
      <c r="TH7" s="122"/>
      <c r="TI7" s="123"/>
      <c r="TJ7" s="124"/>
      <c r="TK7" s="125" t="str">
        <f>IFERROR((((COUNTIF('Elève (5ème3)'!TH7:TJ7,"A"))*4)+((COUNTIF('Elève (5ème3)'!TH7:TJ7,"B"))*3)+((COUNTIF('Elève (5ème3)'!TH7:TJ7,"C"))*2)+((COUNTIF('Elève (5ème3)'!TH7:TJ7,"D"))*1))/(COUNTA(TH7:TJ7)),"")</f>
        <v/>
      </c>
      <c r="TL7" s="126" t="str">
        <f t="shared" si="117"/>
        <v/>
      </c>
      <c r="TM7" s="122"/>
      <c r="TN7" s="123"/>
      <c r="TO7" s="128"/>
      <c r="TP7" s="125" t="str">
        <f>IFERROR((((COUNTIF('Elève (5ème3)'!TM7:TO7,"A"))*4)+((COUNTIF('Elève (5ème3)'!TM7:TO7,"B"))*3)+((COUNTIF('Elève (5ème3)'!TM7:TO7,"C"))*2)+((COUNTIF('Elève (5ème3)'!TM7:TO7,"D"))*1))/(COUNTA(TM7:TO7)),"")</f>
        <v/>
      </c>
      <c r="TQ7" s="126" t="str">
        <f t="shared" si="118"/>
        <v/>
      </c>
      <c r="TR7" s="125" t="str">
        <f>IF(COUNT(TF7,TK7,TP7)=0,"",SUM(TF7,TK7,TP7)/COUNT(TF7,TK7,TP7))</f>
        <v/>
      </c>
      <c r="TS7" s="127" t="str">
        <f t="shared" si="119"/>
        <v/>
      </c>
    </row>
    <row r="8" spans="1:539" ht="18" customHeight="1" x14ac:dyDescent="0.25">
      <c r="A8" s="236" t="s">
        <v>15</v>
      </c>
      <c r="B8" s="237"/>
      <c r="C8" s="122" t="s">
        <v>29</v>
      </c>
      <c r="D8" s="123" t="s">
        <v>28</v>
      </c>
      <c r="E8" s="124"/>
      <c r="F8" s="182">
        <f>IFERROR((((COUNTIF('Elève (5ème3)'!C8:E8,"A"))*4)+((COUNTIF('Elève (5ème3)'!C8:E8,"B"))*3)+((COUNTIF('Elève (5ème3)'!C8:E8,"C"))*2)+((COUNTIF('Elève (5ème3)'!C8:E8,"D"))*1))/(COUNTA(C8:E8)),"")</f>
        <v>2.5</v>
      </c>
      <c r="G8" s="183" t="str">
        <f t="shared" si="0"/>
        <v>C</v>
      </c>
      <c r="H8" s="122"/>
      <c r="I8" s="123"/>
      <c r="J8" s="124" t="s">
        <v>28</v>
      </c>
      <c r="K8" s="182">
        <f>IFERROR((((COUNTIF('Elève (5ème3)'!H8:J8,"A"))*4)+((COUNTIF('Elève (5ème3)'!H8:J8,"B"))*3)+((COUNTIF('Elève (5ème3)'!H8:J8,"C"))*2)+((COUNTIF('Elève (5ème3)'!H8:J8,"D"))*1))/(COUNTA(H8:J8)),"")</f>
        <v>3</v>
      </c>
      <c r="L8" s="183" t="str">
        <f t="shared" si="1"/>
        <v>B</v>
      </c>
      <c r="M8" s="122" t="s">
        <v>29</v>
      </c>
      <c r="N8" s="123"/>
      <c r="O8" s="124" t="s">
        <v>28</v>
      </c>
      <c r="P8" s="124"/>
      <c r="Q8" s="182">
        <f>IFERROR((((COUNTIF('Elève (5ème3)'!M8:P8,"A"))*4)+((COUNTIF('Elève (5ème3)'!M8:P8,"B"))*3)+((COUNTIF('Elève (5ème3)'!M8:P8,"C"))*2)+((COUNTIF('Elève (5ème3)'!M8:P8,"D"))*1))/(COUNTA(M8:P8)),"")</f>
        <v>2.5</v>
      </c>
      <c r="R8" s="183" t="str">
        <f t="shared" si="2"/>
        <v>C</v>
      </c>
      <c r="S8" s="182">
        <f>IF(COUNT(F8,K8,Q8)=0,"",SUM(F8,K8,Q8)/COUNT(F8,K8,Q8))</f>
        <v>2.6666666666666665</v>
      </c>
      <c r="T8" s="206" t="str">
        <f t="shared" si="3"/>
        <v>C</v>
      </c>
      <c r="U8" s="122" t="s">
        <v>27</v>
      </c>
      <c r="V8" s="123" t="s">
        <v>28</v>
      </c>
      <c r="W8" s="124"/>
      <c r="X8" s="182">
        <f>IFERROR((((COUNTIF('Elève (5ème3)'!U8:W8,"A"))*4)+((COUNTIF('Elève (5ème3)'!U8:W8,"B"))*3)+((COUNTIF('Elève (5ème3)'!U8:W8,"C"))*2)+((COUNTIF('Elève (5ème3)'!U8:W8,"D"))*1))/(COUNTA(U8:W8)),"")</f>
        <v>3.5</v>
      </c>
      <c r="Y8" s="183" t="str">
        <f t="shared" si="4"/>
        <v>B</v>
      </c>
      <c r="Z8" s="122"/>
      <c r="AA8" s="123"/>
      <c r="AB8" s="124" t="s">
        <v>27</v>
      </c>
      <c r="AC8" s="182">
        <f>IFERROR((((COUNTIF('Elève (5ème3)'!Z8:AB8,"A"))*4)+((COUNTIF('Elève (5ème3)'!Z8:AB8,"B"))*3)+((COUNTIF('Elève (5ème3)'!Z8:AB8,"C"))*2)+((COUNTIF('Elève (5ème3)'!Z8:AB8,"D"))*1))/(COUNTA(Z8:AB8)),"")</f>
        <v>4</v>
      </c>
      <c r="AD8" s="183" t="str">
        <f t="shared" si="5"/>
        <v>A</v>
      </c>
      <c r="AE8" s="122" t="s">
        <v>28</v>
      </c>
      <c r="AF8" s="123"/>
      <c r="AG8" s="124" t="s">
        <v>28</v>
      </c>
      <c r="AH8" s="128"/>
      <c r="AI8" s="182">
        <f>IFERROR((((COUNTIF('Elève (5ème3)'!AE8:AH8,"A"))*4)+((COUNTIF('Elève (5ème3)'!AE8:AH8,"B"))*3)+((COUNTIF('Elève (5ème3)'!AE8:AH8,"C"))*2)+((COUNTIF('Elève (5ème3)'!AE8:AH8,"D"))*1))/(COUNTA(AE8:AH8)),"")</f>
        <v>3</v>
      </c>
      <c r="AJ8" s="183" t="str">
        <f t="shared" si="6"/>
        <v>B</v>
      </c>
      <c r="AK8" s="182">
        <f>IF(COUNT(X8,AC8,AI8)=0,"",SUM(X8,AC8,AI8)/COUNT(X8,AC8,AI8))</f>
        <v>3.5</v>
      </c>
      <c r="AL8" s="206" t="str">
        <f t="shared" si="7"/>
        <v>B</v>
      </c>
      <c r="AM8" s="122" t="s">
        <v>27</v>
      </c>
      <c r="AN8" s="123" t="s">
        <v>28</v>
      </c>
      <c r="AO8" s="124"/>
      <c r="AP8" s="182">
        <f>IFERROR((((COUNTIF('Elève (5ème3)'!AM8:AO8,"A"))*4)+((COUNTIF('Elève (5ème3)'!AM8:AO8,"B"))*3)+((COUNTIF('Elève (5ème3)'!AM8:AO8,"C"))*2)+((COUNTIF('Elève (5ème3)'!AM8:AO8,"D"))*1))/(COUNTA(AM8:AO8)),"")</f>
        <v>3.5</v>
      </c>
      <c r="AQ8" s="183" t="str">
        <f t="shared" si="8"/>
        <v>B</v>
      </c>
      <c r="AR8" s="122"/>
      <c r="AS8" s="123"/>
      <c r="AT8" s="124" t="s">
        <v>28</v>
      </c>
      <c r="AU8" s="182">
        <f>IFERROR((((COUNTIF('Elève (5ème3)'!AR8:AT8,"A"))*4)+((COUNTIF('Elève (5ème3)'!AR8:AT8,"B"))*3)+((COUNTIF('Elève (5ème3)'!AR8:AT8,"C"))*2)+((COUNTIF('Elève (5ème3)'!AR8:AT8,"D"))*1))/(COUNTA(AR8:AT8)),"")</f>
        <v>3</v>
      </c>
      <c r="AV8" s="183" t="str">
        <f t="shared" si="9"/>
        <v>B</v>
      </c>
      <c r="AW8" s="122" t="s">
        <v>28</v>
      </c>
      <c r="AX8" s="123"/>
      <c r="AY8" s="124" t="s">
        <v>29</v>
      </c>
      <c r="AZ8" s="128"/>
      <c r="BA8" s="182">
        <f>IFERROR((((COUNTIF('Elève (5ème3)'!AW8:AZ8,"A"))*4)+((COUNTIF('Elève (5ème3)'!AW8:AZ8,"B"))*3)+((COUNTIF('Elève (5ème3)'!AW8:AZ8,"C"))*2)+((COUNTIF('Elève (5ème3)'!AW8:AZ8,"D"))*1))/(COUNTA(AW8:AZ8)),"")</f>
        <v>2.5</v>
      </c>
      <c r="BB8" s="183" t="str">
        <f t="shared" si="10"/>
        <v>C</v>
      </c>
      <c r="BC8" s="182">
        <f>IF(COUNT(AP8,AU8,BA8)=0,"",SUM(AP8,AU8,BA8)/COUNT(AP8,AU8,BA8))</f>
        <v>3</v>
      </c>
      <c r="BD8" s="206" t="str">
        <f t="shared" si="11"/>
        <v>B</v>
      </c>
      <c r="BE8" s="122" t="s">
        <v>27</v>
      </c>
      <c r="BF8" s="123" t="s">
        <v>28</v>
      </c>
      <c r="BG8" s="124"/>
      <c r="BH8" s="182">
        <f>IFERROR((((COUNTIF('Elève (5ème3)'!BE8:BG8,"A"))*4)+((COUNTIF('Elève (5ème3)'!BE8:BG8,"B"))*3)+((COUNTIF('Elève (5ème3)'!BE8:BG8,"C"))*2)+((COUNTIF('Elève (5ème3)'!BE8:BG8,"D"))*1))/(COUNTA(BE8:BG8)),"")</f>
        <v>3.5</v>
      </c>
      <c r="BI8" s="183" t="str">
        <f t="shared" si="12"/>
        <v>B</v>
      </c>
      <c r="BJ8" s="122"/>
      <c r="BK8" s="123"/>
      <c r="BL8" s="124" t="s">
        <v>28</v>
      </c>
      <c r="BM8" s="182">
        <f>IFERROR((((COUNTIF('Elève (5ème3)'!BJ8:BL8,"A"))*4)+((COUNTIF('Elève (5ème3)'!BJ8:BL8,"B"))*3)+((COUNTIF('Elève (5ème3)'!BJ8:BL8,"C"))*2)+((COUNTIF('Elève (5ème3)'!BJ8:BL8,"D"))*1))/(COUNTA(BJ8:BL8)),"")</f>
        <v>3</v>
      </c>
      <c r="BN8" s="183" t="str">
        <f t="shared" si="13"/>
        <v>B</v>
      </c>
      <c r="BO8" s="122" t="s">
        <v>27</v>
      </c>
      <c r="BP8" s="123"/>
      <c r="BQ8" s="124" t="s">
        <v>28</v>
      </c>
      <c r="BR8" s="128"/>
      <c r="BS8" s="182">
        <f>IFERROR((((COUNTIF('Elève (5ème3)'!BO8:BR8,"A"))*4)+((COUNTIF('Elève (5ème3)'!BO8:BR8,"B"))*3)+((COUNTIF('Elève (5ème3)'!BO8:BR8,"C"))*2)+((COUNTIF('Elève (5ème3)'!BO8:BR8,"D"))*1))/(COUNTA(BO8:BR8)),"")</f>
        <v>3.5</v>
      </c>
      <c r="BT8" s="183" t="str">
        <f t="shared" si="14"/>
        <v>B</v>
      </c>
      <c r="BU8" s="182">
        <f>IF(COUNT(BH8,BM8,BS8)=0,"",SUM(BH8,BM8,BS8)/COUNT(BH8,BM8,BS8))</f>
        <v>3.3333333333333335</v>
      </c>
      <c r="BV8" s="206" t="str">
        <f t="shared" si="15"/>
        <v>B</v>
      </c>
      <c r="BW8" s="122" t="s">
        <v>27</v>
      </c>
      <c r="BX8" s="123" t="s">
        <v>30</v>
      </c>
      <c r="BY8" s="124"/>
      <c r="BZ8" s="182">
        <f>IFERROR((((COUNTIF('Elève (5ème3)'!BW8:BY8,"A"))*4)+((COUNTIF('Elève (5ème3)'!BW8:BY8,"B"))*3)+((COUNTIF('Elève (5ème3)'!BW8:BY8,"C"))*2)+((COUNTIF('Elève (5ème3)'!BW8:BY8,"D"))*1))/(COUNTA(BW8:BY8)),"")</f>
        <v>2.5</v>
      </c>
      <c r="CA8" s="183" t="str">
        <f t="shared" si="16"/>
        <v>C</v>
      </c>
      <c r="CB8" s="122"/>
      <c r="CC8" s="123"/>
      <c r="CD8" s="124" t="s">
        <v>28</v>
      </c>
      <c r="CE8" s="182">
        <f>IFERROR((((COUNTIF('Elève (5ème3)'!CB8:CD8,"A"))*4)+((COUNTIF('Elève (5ème3)'!CB8:CD8,"B"))*3)+((COUNTIF('Elève (5ème3)'!CB8:CD8,"C"))*2)+((COUNTIF('Elève (5ème3)'!CB8:CD8,"D"))*1))/(COUNTA(CB8:CD8)),"")</f>
        <v>3</v>
      </c>
      <c r="CF8" s="183" t="str">
        <f t="shared" si="17"/>
        <v>B</v>
      </c>
      <c r="CG8" s="122" t="s">
        <v>28</v>
      </c>
      <c r="CH8" s="123"/>
      <c r="CI8" s="124" t="s">
        <v>28</v>
      </c>
      <c r="CJ8" s="128"/>
      <c r="CK8" s="182">
        <f>IFERROR((((COUNTIF('Elève (5ème3)'!CG8:CJ8,"A"))*4)+((COUNTIF('Elève (5ème3)'!CG8:CJ8,"B"))*3)+((COUNTIF('Elève (5ème3)'!CG8:CJ8,"C"))*2)+((COUNTIF('Elève (5ème3)'!CG8:CJ8,"D"))*1))/(COUNTA(CG8:CJ8)),"")</f>
        <v>3</v>
      </c>
      <c r="CL8" s="183" t="str">
        <f t="shared" si="18"/>
        <v>B</v>
      </c>
      <c r="CM8" s="182">
        <f>IF(COUNT(BZ8,CE8,CK8)=0,"",SUM(BZ8,CE8,CK8)/COUNT(BZ8,CE8,CK8))</f>
        <v>2.8333333333333335</v>
      </c>
      <c r="CN8" s="206" t="str">
        <f t="shared" si="19"/>
        <v>B</v>
      </c>
      <c r="CO8" s="122" t="s">
        <v>30</v>
      </c>
      <c r="CP8" s="123" t="s">
        <v>28</v>
      </c>
      <c r="CQ8" s="124"/>
      <c r="CR8" s="182">
        <f>IFERROR((((COUNTIF('Elève (5ème3)'!CO8:CQ8,"A"))*4)+((COUNTIF('Elève (5ème3)'!CO8:CQ8,"B"))*3)+((COUNTIF('Elève (5ème3)'!CO8:CQ8,"C"))*2)+((COUNTIF('Elève (5ème3)'!CO8:CQ8,"D"))*1))/(COUNTA(CO8:CQ8)),"")</f>
        <v>2</v>
      </c>
      <c r="CS8" s="183" t="str">
        <f t="shared" si="20"/>
        <v>C</v>
      </c>
      <c r="CT8" s="122"/>
      <c r="CU8" s="123"/>
      <c r="CV8" s="124" t="s">
        <v>28</v>
      </c>
      <c r="CW8" s="182">
        <f>IFERROR((((COUNTIF('Elève (5ème3)'!CT8:CV8,"A"))*4)+((COUNTIF('Elève (5ème3)'!CT8:CV8,"B"))*3)+((COUNTIF('Elève (5ème3)'!CT8:CV8,"C"))*2)+((COUNTIF('Elève (5ème3)'!CT8:CV8,"D"))*1))/(COUNTA(CT8:CV8)),"")</f>
        <v>3</v>
      </c>
      <c r="CX8" s="183" t="str">
        <f t="shared" si="21"/>
        <v>B</v>
      </c>
      <c r="CY8" s="122" t="s">
        <v>28</v>
      </c>
      <c r="CZ8" s="123"/>
      <c r="DA8" s="124" t="s">
        <v>28</v>
      </c>
      <c r="DB8" s="128"/>
      <c r="DC8" s="182">
        <f>IFERROR((((COUNTIF('Elève (5ème3)'!CY8:DB8,"A"))*4)+((COUNTIF('Elève (5ème3)'!CY8:DB8,"B"))*3)+((COUNTIF('Elève (5ème3)'!CY8:DB8,"C"))*2)+((COUNTIF('Elève (5ème3)'!CY8:DB8,"D"))*1))/(COUNTA(CY8:DB8)),"")</f>
        <v>3</v>
      </c>
      <c r="DD8" s="183" t="str">
        <f t="shared" si="22"/>
        <v>B</v>
      </c>
      <c r="DE8" s="182">
        <f>IF(COUNT(CR8,CW8,DC8)=0,"",SUM(CR8,CW8,DC8)/COUNT(CR8,CW8,DC8))</f>
        <v>2.6666666666666665</v>
      </c>
      <c r="DF8" s="206" t="str">
        <f t="shared" si="23"/>
        <v>C</v>
      </c>
      <c r="DG8" s="122" t="s">
        <v>28</v>
      </c>
      <c r="DH8" s="123" t="s">
        <v>28</v>
      </c>
      <c r="DI8" s="124"/>
      <c r="DJ8" s="182">
        <f>IFERROR((((COUNTIF('Elève (5ème3)'!DG8:DI8,"A"))*4)+((COUNTIF('Elève (5ème3)'!DG8:DI8,"B"))*3)+((COUNTIF('Elève (5ème3)'!DG8:DI8,"C"))*2)+((COUNTIF('Elève (5ème3)'!DG8:DI8,"D"))*1))/(COUNTA(DG8:DI8)),"")</f>
        <v>3</v>
      </c>
      <c r="DK8" s="183" t="str">
        <f t="shared" si="24"/>
        <v>B</v>
      </c>
      <c r="DL8" s="122"/>
      <c r="DM8" s="123"/>
      <c r="DN8" s="124" t="s">
        <v>28</v>
      </c>
      <c r="DO8" s="182">
        <f>IFERROR((((COUNTIF('Elève (5ème3)'!DL8:DN8,"A"))*4)+((COUNTIF('Elève (5ème3)'!DL8:DN8,"B"))*3)+((COUNTIF('Elève (5ème3)'!DL8:DN8,"C"))*2)+((COUNTIF('Elève (5ème3)'!DL8:DN8,"D"))*1))/(COUNTA(DL8:DN8)),"")</f>
        <v>3</v>
      </c>
      <c r="DP8" s="183" t="str">
        <f t="shared" si="25"/>
        <v>B</v>
      </c>
      <c r="DQ8" s="122" t="s">
        <v>27</v>
      </c>
      <c r="DR8" s="123"/>
      <c r="DS8" s="124" t="s">
        <v>28</v>
      </c>
      <c r="DT8" s="128"/>
      <c r="DU8" s="182">
        <f>IFERROR((((COUNTIF('Elève (5ème3)'!DQ8:DT8,"A"))*4)+((COUNTIF('Elève (5ème3)'!DQ8:DT8,"B"))*3)+((COUNTIF('Elève (5ème3)'!DQ8:DT8,"C"))*2)+((COUNTIF('Elève (5ème3)'!DQ8:DT8,"D"))*1))/(COUNTA(DQ8:DT8)),"")</f>
        <v>3.5</v>
      </c>
      <c r="DV8" s="183" t="str">
        <f t="shared" si="26"/>
        <v>B</v>
      </c>
      <c r="DW8" s="182">
        <f>IF(COUNT(DJ8,DO8,DU8)=0,"",SUM(DJ8,DO8,DU8)/COUNT(DJ8,DO8,DU8))</f>
        <v>3.1666666666666665</v>
      </c>
      <c r="DX8" s="206" t="str">
        <f t="shared" si="27"/>
        <v>B</v>
      </c>
      <c r="DY8" s="122" t="s">
        <v>27</v>
      </c>
      <c r="DZ8" s="123" t="s">
        <v>29</v>
      </c>
      <c r="EA8" s="124"/>
      <c r="EB8" s="182">
        <f>IFERROR((((COUNTIF('Elève (5ème3)'!DY8:EA8,"A"))*4)+((COUNTIF('Elève (5ème3)'!DY8:EA8,"B"))*3)+((COUNTIF('Elève (5ème3)'!DY8:EA8,"C"))*2)+((COUNTIF('Elève (5ème3)'!DY8:EA8,"D"))*1))/(COUNTA(DY8:EA8)),"")</f>
        <v>3</v>
      </c>
      <c r="EC8" s="183" t="str">
        <f t="shared" si="28"/>
        <v>B</v>
      </c>
      <c r="ED8" s="122"/>
      <c r="EE8" s="123"/>
      <c r="EF8" s="124" t="s">
        <v>28</v>
      </c>
      <c r="EG8" s="182">
        <f>IFERROR((((COUNTIF('Elève (5ème3)'!ED8:EF8,"A"))*4)+((COUNTIF('Elève (5ème3)'!ED8:EF8,"B"))*3)+((COUNTIF('Elève (5ème3)'!ED8:EF8,"C"))*2)+((COUNTIF('Elève (5ème3)'!ED8:EF8,"D"))*1))/(COUNTA(ED8:EF8)),"")</f>
        <v>3</v>
      </c>
      <c r="EH8" s="183" t="str">
        <f t="shared" si="29"/>
        <v>B</v>
      </c>
      <c r="EI8" s="122" t="s">
        <v>30</v>
      </c>
      <c r="EJ8" s="123"/>
      <c r="EK8" s="124" t="s">
        <v>30</v>
      </c>
      <c r="EL8" s="128"/>
      <c r="EM8" s="182">
        <f>IFERROR((((COUNTIF('Elève (5ème3)'!EI8:EL8,"A"))*4)+((COUNTIF('Elève (5ème3)'!EI8:EL8,"B"))*3)+((COUNTIF('Elève (5ème3)'!EI8:EL8,"C"))*2)+((COUNTIF('Elève (5ème3)'!EI8:EL8,"D"))*1))/(COUNTA(EI8:EL8)),"")</f>
        <v>1</v>
      </c>
      <c r="EN8" s="183" t="str">
        <f t="shared" si="30"/>
        <v>D</v>
      </c>
      <c r="EO8" s="182">
        <f>IF(COUNT(EB8,EG8,EM8)=0,"",SUM(EB8,EG8,EM8)/COUNT(EB8,EG8,EM8))</f>
        <v>2.3333333333333335</v>
      </c>
      <c r="EP8" s="206" t="str">
        <f t="shared" si="31"/>
        <v>C</v>
      </c>
      <c r="EQ8" s="122" t="s">
        <v>28</v>
      </c>
      <c r="ER8" s="123" t="s">
        <v>28</v>
      </c>
      <c r="ES8" s="124"/>
      <c r="ET8" s="182">
        <f>IFERROR((((COUNTIF('Elève (5ème3)'!EQ8:ES8,"A"))*4)+((COUNTIF('Elève (5ème3)'!EQ8:ES8,"B"))*3)+((COUNTIF('Elève (5ème3)'!EQ8:ES8,"C"))*2)+((COUNTIF('Elève (5ème3)'!EQ8:ES8,"D"))*1))/(COUNTA(EQ8:ES8)),"")</f>
        <v>3</v>
      </c>
      <c r="EU8" s="183" t="str">
        <f t="shared" si="32"/>
        <v>B</v>
      </c>
      <c r="EV8" s="122"/>
      <c r="EW8" s="123"/>
      <c r="EX8" s="124" t="s">
        <v>27</v>
      </c>
      <c r="EY8" s="182">
        <f>IFERROR((((COUNTIF('Elève (5ème3)'!EV8:EX8,"A"))*4)+((COUNTIF('Elève (5ème3)'!EV8:EX8,"B"))*3)+((COUNTIF('Elève (5ème3)'!EV8:EX8,"C"))*2)+((COUNTIF('Elève (5ème3)'!EV8:EX8,"D"))*1))/(COUNTA(EV8:EX8)),"")</f>
        <v>4</v>
      </c>
      <c r="EZ8" s="183" t="str">
        <f t="shared" si="33"/>
        <v>A</v>
      </c>
      <c r="FA8" s="122" t="s">
        <v>28</v>
      </c>
      <c r="FB8" s="123"/>
      <c r="FC8" s="124" t="s">
        <v>29</v>
      </c>
      <c r="FD8" s="128"/>
      <c r="FE8" s="182">
        <f>IFERROR((((COUNTIF('Elève (5ème3)'!FA8:FD8,"A"))*4)+((COUNTIF('Elève (5ème3)'!FA8:FD8,"B"))*3)+((COUNTIF('Elève (5ème3)'!FA8:FD8,"C"))*2)+((COUNTIF('Elève (5ème3)'!FA8:FD8,"D"))*1))/(COUNTA(FA8:FD8)),"")</f>
        <v>2.5</v>
      </c>
      <c r="FF8" s="183" t="str">
        <f t="shared" si="34"/>
        <v>C</v>
      </c>
      <c r="FG8" s="182">
        <f>IF(COUNT(ET8,EY8,FE8)=0,"",SUM(ET8,EY8,FE8)/COUNT(ET8,EY8,FE8))</f>
        <v>3.1666666666666665</v>
      </c>
      <c r="FH8" s="206" t="str">
        <f t="shared" si="35"/>
        <v>B</v>
      </c>
      <c r="FI8" s="122" t="s">
        <v>27</v>
      </c>
      <c r="FJ8" s="123" t="s">
        <v>28</v>
      </c>
      <c r="FK8" s="124"/>
      <c r="FL8" s="182">
        <f>IFERROR((((COUNTIF('Elève (5ème3)'!FI8:FK8,"A"))*4)+((COUNTIF('Elève (5ème3)'!FI8:FK8,"B"))*3)+((COUNTIF('Elève (5ème3)'!FI8:FK8,"C"))*2)+((COUNTIF('Elève (5ème3)'!FI8:FK8,"D"))*1))/(COUNTA(FI8:FK8)),"")</f>
        <v>3.5</v>
      </c>
      <c r="FM8" s="183" t="str">
        <f t="shared" si="36"/>
        <v>B</v>
      </c>
      <c r="FN8" s="122"/>
      <c r="FO8" s="123"/>
      <c r="FP8" s="124" t="s">
        <v>28</v>
      </c>
      <c r="FQ8" s="182">
        <f>IFERROR((((COUNTIF('Elève (5ème3)'!FN8:FP8,"A"))*4)+((COUNTIF('Elève (5ème3)'!FN8:FP8,"B"))*3)+((COUNTIF('Elève (5ème3)'!FN8:FP8,"C"))*2)+((COUNTIF('Elève (5ème3)'!FN8:FP8,"D"))*1))/(COUNTA(FN8:FP8)),"")</f>
        <v>3</v>
      </c>
      <c r="FR8" s="183" t="str">
        <f t="shared" si="37"/>
        <v>B</v>
      </c>
      <c r="FS8" s="122" t="s">
        <v>29</v>
      </c>
      <c r="FT8" s="123"/>
      <c r="FU8" s="124" t="s">
        <v>29</v>
      </c>
      <c r="FV8" s="128"/>
      <c r="FW8" s="182">
        <f>IFERROR((((COUNTIF('Elève (5ème3)'!FS8:FV8,"A"))*4)+((COUNTIF('Elève (5ème3)'!FS8:FV8,"B"))*3)+((COUNTIF('Elève (5ème3)'!FS8:FV8,"C"))*2)+((COUNTIF('Elève (5ème3)'!FS8:FV8,"D"))*1))/(COUNTA(FS8:FV8)),"")</f>
        <v>2</v>
      </c>
      <c r="FX8" s="183" t="str">
        <f t="shared" si="38"/>
        <v>C</v>
      </c>
      <c r="FY8" s="182">
        <f>IF(COUNT(FL8,FQ8,FW8)=0,"",SUM(FL8,FQ8,FW8)/COUNT(FL8,FQ8,FW8))</f>
        <v>2.8333333333333335</v>
      </c>
      <c r="FZ8" s="206" t="str">
        <f t="shared" si="39"/>
        <v>B</v>
      </c>
      <c r="GA8" s="122" t="s">
        <v>27</v>
      </c>
      <c r="GB8" s="123" t="s">
        <v>27</v>
      </c>
      <c r="GC8" s="124"/>
      <c r="GD8" s="182">
        <f>IFERROR((((COUNTIF('Elève (5ème3)'!GA8:GC8,"A"))*4)+((COUNTIF('Elève (5ème3)'!GA8:GC8,"B"))*3)+((COUNTIF('Elève (5ème3)'!GA8:GC8,"C"))*2)+((COUNTIF('Elève (5ème3)'!GA8:GC8,"D"))*1))/(COUNTA(GA8:GC8)),"")</f>
        <v>4</v>
      </c>
      <c r="GE8" s="183" t="str">
        <f t="shared" si="40"/>
        <v>A</v>
      </c>
      <c r="GF8" s="122"/>
      <c r="GG8" s="123"/>
      <c r="GH8" s="124" t="s">
        <v>28</v>
      </c>
      <c r="GI8" s="182">
        <f>IFERROR((((COUNTIF('Elève (5ème3)'!GF8:GH8,"A"))*4)+((COUNTIF('Elève (5ème3)'!GF8:GH8,"B"))*3)+((COUNTIF('Elève (5ème3)'!GF8:GH8,"C"))*2)+((COUNTIF('Elève (5ème3)'!GF8:GH8,"D"))*1))/(COUNTA(GF8:GH8)),"")</f>
        <v>3</v>
      </c>
      <c r="GJ8" s="183" t="str">
        <f t="shared" si="41"/>
        <v>B</v>
      </c>
      <c r="GK8" s="122" t="s">
        <v>28</v>
      </c>
      <c r="GL8" s="123"/>
      <c r="GM8" s="124" t="s">
        <v>28</v>
      </c>
      <c r="GN8" s="128"/>
      <c r="GO8" s="182">
        <f>IFERROR((((COUNTIF('Elève (5ème3)'!GK8:GN8,"A"))*4)+((COUNTIF('Elève (5ème3)'!GK8:GN8,"B"))*3)+((COUNTIF('Elève (5ème3)'!GK8:GN8,"C"))*2)+((COUNTIF('Elève (5ème3)'!GK8:GN8,"D"))*1))/(COUNTA(GK8:GN8)),"")</f>
        <v>3</v>
      </c>
      <c r="GP8" s="183" t="str">
        <f t="shared" si="42"/>
        <v>B</v>
      </c>
      <c r="GQ8" s="182">
        <f>IF(COUNT(GD8,GI8,GO8)=0,"",SUM(GD8,GI8,GO8)/COUNT(GD8,GI8,GO8))</f>
        <v>3.3333333333333335</v>
      </c>
      <c r="GR8" s="206" t="str">
        <f t="shared" si="43"/>
        <v>B</v>
      </c>
      <c r="GS8" s="122" t="s">
        <v>30</v>
      </c>
      <c r="GT8" s="123" t="s">
        <v>30</v>
      </c>
      <c r="GU8" s="124"/>
      <c r="GV8" s="182">
        <f>IFERROR((((COUNTIF('Elève (5ème3)'!GS8:GU8,"A"))*4)+((COUNTIF('Elève (5ème3)'!GS8:GU8,"B"))*3)+((COUNTIF('Elève (5ème3)'!GS8:GU8,"C"))*2)+((COUNTIF('Elève (5ème3)'!GS8:GU8,"D"))*1))/(COUNTA(GS8:GU8)),"")</f>
        <v>1</v>
      </c>
      <c r="GW8" s="183" t="str">
        <f t="shared" si="44"/>
        <v>D</v>
      </c>
      <c r="GX8" s="122"/>
      <c r="GY8" s="123"/>
      <c r="GZ8" s="124" t="s">
        <v>28</v>
      </c>
      <c r="HA8" s="182">
        <f>IFERROR((((COUNTIF('Elève (5ème3)'!GX8:GZ8,"A"))*4)+((COUNTIF('Elève (5ème3)'!GX8:GZ8,"B"))*3)+((COUNTIF('Elève (5ème3)'!GX8:GZ8,"C"))*2)+((COUNTIF('Elève (5ème3)'!GX8:GZ8,"D"))*1))/(COUNTA(GX8:GZ8)),"")</f>
        <v>3</v>
      </c>
      <c r="HB8" s="183" t="str">
        <f t="shared" si="45"/>
        <v>B</v>
      </c>
      <c r="HC8" s="122" t="s">
        <v>29</v>
      </c>
      <c r="HD8" s="123"/>
      <c r="HE8" s="124" t="s">
        <v>28</v>
      </c>
      <c r="HF8" s="128"/>
      <c r="HG8" s="182">
        <f>IFERROR((((COUNTIF('Elève (5ème3)'!HC8:HF8,"A"))*4)+((COUNTIF('Elève (5ème3)'!HC8:HF8,"B"))*3)+((COUNTIF('Elève (5ème3)'!HC8:HF8,"C"))*2)+((COUNTIF('Elève (5ème3)'!HC8:HF8,"D"))*1))/(COUNTA(HC8:HF8)),"")</f>
        <v>2.5</v>
      </c>
      <c r="HH8" s="183" t="str">
        <f t="shared" si="46"/>
        <v>C</v>
      </c>
      <c r="HI8" s="182">
        <f>IF(COUNT(GV8,HA8,HG8)=0,"",SUM(GV8,HA8,HG8)/COUNT(GV8,HA8,HG8))</f>
        <v>2.1666666666666665</v>
      </c>
      <c r="HJ8" s="206" t="str">
        <f t="shared" si="47"/>
        <v>C</v>
      </c>
      <c r="HK8" s="122" t="s">
        <v>29</v>
      </c>
      <c r="HL8" s="123" t="s">
        <v>29</v>
      </c>
      <c r="HM8" s="124"/>
      <c r="HN8" s="182">
        <f>IFERROR((((COUNTIF('Elève (5ème3)'!HK8:HM8,"A"))*4)+((COUNTIF('Elève (5ème3)'!HK8:HM8,"B"))*3)+((COUNTIF('Elève (5ème3)'!HK8:HM8,"C"))*2)+((COUNTIF('Elève (5ème3)'!HK8:HM8,"D"))*1))/(COUNTA(HK8:HM8)),"")</f>
        <v>2</v>
      </c>
      <c r="HO8" s="183" t="str">
        <f t="shared" si="48"/>
        <v>C</v>
      </c>
      <c r="HP8" s="122"/>
      <c r="HQ8" s="123"/>
      <c r="HR8" s="124" t="s">
        <v>29</v>
      </c>
      <c r="HS8" s="182">
        <f>IFERROR((((COUNTIF('Elève (5ème3)'!HP8:HR8,"A"))*4)+((COUNTIF('Elève (5ème3)'!HP8:HR8,"B"))*3)+((COUNTIF('Elève (5ème3)'!HP8:HR8,"C"))*2)+((COUNTIF('Elève (5ème3)'!HP8:HR8,"D"))*1))/(COUNTA(HP8:HR8)),"")</f>
        <v>2</v>
      </c>
      <c r="HT8" s="183" t="str">
        <f t="shared" si="49"/>
        <v>C</v>
      </c>
      <c r="HU8" s="122" t="s">
        <v>28</v>
      </c>
      <c r="HV8" s="123"/>
      <c r="HW8" s="124" t="s">
        <v>28</v>
      </c>
      <c r="HX8" s="128"/>
      <c r="HY8" s="182">
        <f>IFERROR((((COUNTIF('Elève (5ème3)'!HU8:HX8,"A"))*4)+((COUNTIF('Elève (5ème3)'!HU8:HX8,"B"))*3)+((COUNTIF('Elève (5ème3)'!HU8:HX8,"C"))*2)+((COUNTIF('Elève (5ème3)'!HU8:HX8,"D"))*1))/(COUNTA(HU8:HX8)),"")</f>
        <v>3</v>
      </c>
      <c r="HZ8" s="183" t="str">
        <f t="shared" si="50"/>
        <v>B</v>
      </c>
      <c r="IA8" s="182">
        <f>IF(COUNT(HN8,HS8,HY8)=0,"",SUM(HN8,HS8,HY8)/COUNT(HN8,HS8,HY8))</f>
        <v>2.3333333333333335</v>
      </c>
      <c r="IB8" s="206" t="str">
        <f t="shared" si="51"/>
        <v>C</v>
      </c>
      <c r="IC8" s="122" t="s">
        <v>27</v>
      </c>
      <c r="ID8" s="123" t="s">
        <v>28</v>
      </c>
      <c r="IE8" s="124"/>
      <c r="IF8" s="182">
        <f>IFERROR((((COUNTIF('Elève (5ème3)'!IC8:IE8,"A"))*4)+((COUNTIF('Elève (5ème3)'!IC8:IE8,"B"))*3)+((COUNTIF('Elève (5ème3)'!IC8:IE8,"C"))*2)+((COUNTIF('Elève (5ème3)'!IC8:IE8,"D"))*1))/(COUNTA(IC8:IE8)),"")</f>
        <v>3.5</v>
      </c>
      <c r="IG8" s="183" t="str">
        <f t="shared" si="52"/>
        <v>B</v>
      </c>
      <c r="IH8" s="122"/>
      <c r="II8" s="123"/>
      <c r="IJ8" s="124" t="s">
        <v>28</v>
      </c>
      <c r="IK8" s="182">
        <f>IFERROR((((COUNTIF('Elève (5ème3)'!IH8:IJ8,"A"))*4)+((COUNTIF('Elève (5ème3)'!IH8:IJ8,"B"))*3)+((COUNTIF('Elève (5ème3)'!IH8:IJ8,"C"))*2)+((COUNTIF('Elève (5ème3)'!IH8:IJ8,"D"))*1))/(COUNTA(IH8:IJ8)),"")</f>
        <v>3</v>
      </c>
      <c r="IL8" s="183" t="str">
        <f t="shared" si="53"/>
        <v>B</v>
      </c>
      <c r="IM8" s="122" t="s">
        <v>29</v>
      </c>
      <c r="IN8" s="123"/>
      <c r="IO8" s="124" t="s">
        <v>28</v>
      </c>
      <c r="IP8" s="128"/>
      <c r="IQ8" s="182">
        <f>IFERROR((((COUNTIF('Elève (5ème3)'!IM8:IP8,"A"))*4)+((COUNTIF('Elève (5ème3)'!IM8:IP8,"B"))*3)+((COUNTIF('Elève (5ème3)'!IM8:IP8,"C"))*2)+((COUNTIF('Elève (5ème3)'!IM8:IP8,"D"))*1))/(COUNTA(IM8:IP8)),"")</f>
        <v>2.5</v>
      </c>
      <c r="IR8" s="183" t="str">
        <f t="shared" si="54"/>
        <v>C</v>
      </c>
      <c r="IS8" s="182">
        <f>IF(COUNT(IF8,IK8,IQ8)=0,"",SUM(IF8,IK8,IQ8)/COUNT(IF8,IK8,IQ8))</f>
        <v>3</v>
      </c>
      <c r="IT8" s="206" t="str">
        <f t="shared" si="55"/>
        <v>B</v>
      </c>
      <c r="IU8" s="122" t="s">
        <v>27</v>
      </c>
      <c r="IV8" s="123" t="s">
        <v>29</v>
      </c>
      <c r="IW8" s="124"/>
      <c r="IX8" s="182">
        <f>IFERROR((((COUNTIF('Elève (5ème3)'!IU8:IW8,"A"))*4)+((COUNTIF('Elève (5ème3)'!IU8:IW8,"B"))*3)+((COUNTIF('Elève (5ème3)'!IU8:IW8,"C"))*2)+((COUNTIF('Elève (5ème3)'!IU8:IW8,"D"))*1))/(COUNTA(IU8:IW8)),"")</f>
        <v>3</v>
      </c>
      <c r="IY8" s="183" t="str">
        <f t="shared" si="56"/>
        <v>B</v>
      </c>
      <c r="IZ8" s="122"/>
      <c r="JA8" s="123"/>
      <c r="JB8" s="124" t="s">
        <v>29</v>
      </c>
      <c r="JC8" s="182">
        <f>IFERROR((((COUNTIF('Elève (5ème3)'!IZ8:JB8,"A"))*4)+((COUNTIF('Elève (5ème3)'!IZ8:JB8,"B"))*3)+((COUNTIF('Elève (5ème3)'!IZ8:JB8,"C"))*2)+((COUNTIF('Elève (5ème3)'!IZ8:JB8,"D"))*1))/(COUNTA(IZ8:JB8)),"")</f>
        <v>2</v>
      </c>
      <c r="JD8" s="183" t="str">
        <f t="shared" si="57"/>
        <v>C</v>
      </c>
      <c r="JE8" s="122" t="s">
        <v>29</v>
      </c>
      <c r="JF8" s="123"/>
      <c r="JG8" s="124" t="s">
        <v>28</v>
      </c>
      <c r="JH8" s="128"/>
      <c r="JI8" s="182">
        <f>IFERROR((((COUNTIF('Elève (5ème3)'!JE8:JH8,"A"))*4)+((COUNTIF('Elève (5ème3)'!JE8:JH8,"B"))*3)+((COUNTIF('Elève (5ème3)'!JE8:JH8,"C"))*2)+((COUNTIF('Elève (5ème3)'!JE8:JH8,"D"))*1))/(COUNTA(JE8:JH8)),"")</f>
        <v>2.5</v>
      </c>
      <c r="JJ8" s="183" t="str">
        <f t="shared" si="58"/>
        <v>C</v>
      </c>
      <c r="JK8" s="182">
        <f>IF(COUNT(IX8,JC8,JI8)=0,"",SUM(IX8,JC8,JI8)/COUNT(IX8,JC8,JI8))</f>
        <v>2.5</v>
      </c>
      <c r="JL8" s="206" t="str">
        <f t="shared" si="59"/>
        <v>C</v>
      </c>
      <c r="JM8" s="122" t="s">
        <v>27</v>
      </c>
      <c r="JN8" s="123" t="s">
        <v>28</v>
      </c>
      <c r="JO8" s="124"/>
      <c r="JP8" s="182">
        <f>IFERROR((((COUNTIF('Elève (5ème3)'!JM8:JO8,"A"))*4)+((COUNTIF('Elève (5ème3)'!JM8:JO8,"B"))*3)+((COUNTIF('Elève (5ème3)'!JM8:JO8,"C"))*2)+((COUNTIF('Elève (5ème3)'!JM8:JO8,"D"))*1))/(COUNTA(JM8:JO8)),"")</f>
        <v>3.5</v>
      </c>
      <c r="JQ8" s="183" t="str">
        <f t="shared" si="60"/>
        <v>B</v>
      </c>
      <c r="JR8" s="122"/>
      <c r="JS8" s="123"/>
      <c r="JT8" s="124" t="s">
        <v>28</v>
      </c>
      <c r="JU8" s="182">
        <f>IFERROR((((COUNTIF('Elève (5ème3)'!JR8:JT8,"A"))*4)+((COUNTIF('Elève (5ème3)'!JR8:JT8,"B"))*3)+((COUNTIF('Elève (5ème3)'!JR8:JT8,"C"))*2)+((COUNTIF('Elève (5ème3)'!JR8:JT8,"D"))*1))/(COUNTA(JR8:JT8)),"")</f>
        <v>3</v>
      </c>
      <c r="JV8" s="183" t="str">
        <f t="shared" si="61"/>
        <v>B</v>
      </c>
      <c r="JW8" s="122" t="s">
        <v>29</v>
      </c>
      <c r="JX8" s="123"/>
      <c r="JY8" s="124"/>
      <c r="JZ8" s="128"/>
      <c r="KA8" s="182">
        <f>IFERROR((((COUNTIF('Elève (5ème3)'!JW8:JZ8,"A"))*4)+((COUNTIF('Elève (5ème3)'!JW8:JZ8,"B"))*3)+((COUNTIF('Elève (5ème3)'!JW8:JZ8,"C"))*2)+((COUNTIF('Elève (5ème3)'!JW8:JZ8,"D"))*1))/(COUNTA(JW8:JZ8)),"")</f>
        <v>2</v>
      </c>
      <c r="KB8" s="183" t="str">
        <f t="shared" si="62"/>
        <v>C</v>
      </c>
      <c r="KC8" s="182">
        <f>IF(COUNT(JP8,JU8,KA8)=0,"",SUM(JP8,JU8,KA8)/COUNT(JP8,JU8,KA8))</f>
        <v>2.8333333333333335</v>
      </c>
      <c r="KD8" s="206" t="str">
        <f t="shared" si="63"/>
        <v>B</v>
      </c>
      <c r="KE8" s="122" t="s">
        <v>27</v>
      </c>
      <c r="KF8" s="123" t="s">
        <v>29</v>
      </c>
      <c r="KG8" s="124"/>
      <c r="KH8" s="182">
        <f>IFERROR((((COUNTIF('Elève (5ème3)'!KE8:KG8,"A"))*4)+((COUNTIF('Elève (5ème3)'!KE8:KG8,"B"))*3)+((COUNTIF('Elève (5ème3)'!KE8:KG8,"C"))*2)+((COUNTIF('Elève (5ème3)'!KE8:KG8,"D"))*1))/(COUNTA(KE8:KG8)),"")</f>
        <v>3</v>
      </c>
      <c r="KI8" s="183" t="str">
        <f t="shared" si="64"/>
        <v>B</v>
      </c>
      <c r="KJ8" s="122"/>
      <c r="KK8" s="123"/>
      <c r="KL8" s="124" t="s">
        <v>28</v>
      </c>
      <c r="KM8" s="182">
        <f>IFERROR((((COUNTIF('Elève (5ème3)'!KJ8:KL8,"A"))*4)+((COUNTIF('Elève (5ème3)'!KJ8:KL8,"B"))*3)+((COUNTIF('Elève (5ème3)'!KJ8:KL8,"C"))*2)+((COUNTIF('Elève (5ème3)'!KJ8:KL8,"D"))*1))/(COUNTA(KJ8:KL8)),"")</f>
        <v>3</v>
      </c>
      <c r="KN8" s="183" t="str">
        <f t="shared" si="65"/>
        <v>B</v>
      </c>
      <c r="KO8" s="122" t="s">
        <v>27</v>
      </c>
      <c r="KP8" s="123"/>
      <c r="KQ8" s="124" t="s">
        <v>28</v>
      </c>
      <c r="KR8" s="128"/>
      <c r="KS8" s="182">
        <f>IFERROR((((COUNTIF('Elève (5ème3)'!KO8:KR8,"A"))*4)+((COUNTIF('Elève (5ème3)'!KO8:KR8,"B"))*3)+((COUNTIF('Elève (5ème3)'!KO8:KR8,"C"))*2)+((COUNTIF('Elève (5ème3)'!KO8:KR8,"D"))*1))/(COUNTA(KO8:KR8)),"")</f>
        <v>3.5</v>
      </c>
      <c r="KT8" s="183" t="str">
        <f t="shared" si="66"/>
        <v>B</v>
      </c>
      <c r="KU8" s="182">
        <f>IF(COUNT(KH8,KM8,KS8)=0,"",SUM(KH8,KM8,KS8)/COUNT(KH8,KM8,KS8))</f>
        <v>3.1666666666666665</v>
      </c>
      <c r="KV8" s="206" t="str">
        <f t="shared" si="67"/>
        <v>B</v>
      </c>
      <c r="KW8" s="122" t="s">
        <v>27</v>
      </c>
      <c r="KX8" s="123" t="s">
        <v>27</v>
      </c>
      <c r="KY8" s="124"/>
      <c r="KZ8" s="182">
        <f>IFERROR((((COUNTIF('Elève (5ème3)'!KW8:KY8,"A"))*4)+((COUNTIF('Elève (5ème3)'!KW8:KY8,"B"))*3)+((COUNTIF('Elève (5ème3)'!KW8:KY8,"C"))*2)+((COUNTIF('Elève (5ème3)'!KW8:KY8,"D"))*1))/(COUNTA(KW8:KY8)),"")</f>
        <v>4</v>
      </c>
      <c r="LA8" s="183" t="str">
        <f t="shared" si="68"/>
        <v>A</v>
      </c>
      <c r="LB8" s="122"/>
      <c r="LC8" s="123"/>
      <c r="LD8" s="124" t="s">
        <v>28</v>
      </c>
      <c r="LE8" s="182">
        <f>IFERROR((((COUNTIF('Elève (5ème3)'!LB8:LD8,"A"))*4)+((COUNTIF('Elève (5ème3)'!LB8:LD8,"B"))*3)+((COUNTIF('Elève (5ème3)'!LB8:LD8,"C"))*2)+((COUNTIF('Elève (5ème3)'!LB8:LD8,"D"))*1))/(COUNTA(LB8:LD8)),"")</f>
        <v>3</v>
      </c>
      <c r="LF8" s="183" t="str">
        <f t="shared" si="69"/>
        <v>B</v>
      </c>
      <c r="LG8" s="122" t="s">
        <v>28</v>
      </c>
      <c r="LH8" s="123"/>
      <c r="LI8" s="124" t="s">
        <v>29</v>
      </c>
      <c r="LJ8" s="128"/>
      <c r="LK8" s="182">
        <f>IFERROR((((COUNTIF('Elève (5ème3)'!LG8:LJ8,"A"))*4)+((COUNTIF('Elève (5ème3)'!LG8:LJ8,"B"))*3)+((COUNTIF('Elève (5ème3)'!LG8:LJ8,"C"))*2)+((COUNTIF('Elève (5ème3)'!LG8:LJ8,"D"))*1))/(COUNTA(LG8:LJ8)),"")</f>
        <v>2.5</v>
      </c>
      <c r="LL8" s="183" t="str">
        <f t="shared" si="70"/>
        <v>C</v>
      </c>
      <c r="LM8" s="182">
        <f>IF(COUNT(KZ8,LE8,LK8)=0,"",SUM(KZ8,LE8,LK8)/COUNT(KZ8,LE8,LK8))</f>
        <v>3.1666666666666665</v>
      </c>
      <c r="LN8" s="206" t="str">
        <f t="shared" si="71"/>
        <v>B</v>
      </c>
      <c r="LO8" s="122" t="s">
        <v>28</v>
      </c>
      <c r="LP8" s="123" t="s">
        <v>28</v>
      </c>
      <c r="LQ8" s="124"/>
      <c r="LR8" s="182">
        <f>IFERROR((((COUNTIF('Elève (5ème3)'!LO8:LQ8,"A"))*4)+((COUNTIF('Elève (5ème3)'!LO8:LQ8,"B"))*3)+((COUNTIF('Elève (5ème3)'!LO8:LQ8,"C"))*2)+((COUNTIF('Elève (5ème3)'!LO8:LQ8,"D"))*1))/(COUNTA(LO8:LQ8)),"")</f>
        <v>3</v>
      </c>
      <c r="LS8" s="183" t="str">
        <f t="shared" si="72"/>
        <v>B</v>
      </c>
      <c r="LT8" s="122"/>
      <c r="LU8" s="123"/>
      <c r="LV8" s="124" t="s">
        <v>28</v>
      </c>
      <c r="LW8" s="182">
        <f>IFERROR((((COUNTIF('Elève (5ème3)'!LT8:LV8,"A"))*4)+((COUNTIF('Elève (5ème3)'!LT8:LV8,"B"))*3)+((COUNTIF('Elève (5ème3)'!LT8:LV8,"C"))*2)+((COUNTIF('Elève (5ème3)'!LT8:LV8,"D"))*1))/(COUNTA(LT8:LV8)),"")</f>
        <v>3</v>
      </c>
      <c r="LX8" s="183" t="str">
        <f t="shared" si="73"/>
        <v>B</v>
      </c>
      <c r="LY8" s="122" t="s">
        <v>29</v>
      </c>
      <c r="LZ8" s="123"/>
      <c r="MA8" s="124" t="s">
        <v>29</v>
      </c>
      <c r="MB8" s="128"/>
      <c r="MC8" s="182">
        <f>IFERROR((((COUNTIF('Elève (5ème3)'!LY8:MB8,"A"))*4)+((COUNTIF('Elève (5ème3)'!LY8:MB8,"B"))*3)+((COUNTIF('Elève (5ème3)'!LY8:MB8,"C"))*2)+((COUNTIF('Elève (5ème3)'!LY8:MB8,"D"))*1))/(COUNTA(LY8:MB8)),"")</f>
        <v>2</v>
      </c>
      <c r="MD8" s="183" t="str">
        <f t="shared" si="74"/>
        <v>C</v>
      </c>
      <c r="ME8" s="182">
        <f>IF(COUNT(LR8,LW8,MC8)=0,"",SUM(LR8,LW8,MC8)/COUNT(LR8,LW8,MC8))</f>
        <v>2.6666666666666665</v>
      </c>
      <c r="MF8" s="206" t="str">
        <f t="shared" si="75"/>
        <v>C</v>
      </c>
      <c r="MG8" s="122" t="s">
        <v>27</v>
      </c>
      <c r="MH8" s="123" t="s">
        <v>27</v>
      </c>
      <c r="MI8" s="124"/>
      <c r="MJ8" s="182">
        <f>IFERROR((((COUNTIF('Elève (5ème3)'!MG8:MI8,"A"))*4)+((COUNTIF('Elève (5ème3)'!MG8:MI8,"B"))*3)+((COUNTIF('Elève (5ème3)'!MG8:MI8,"C"))*2)+((COUNTIF('Elève (5ème3)'!MG8:MI8,"D"))*1))/(COUNTA(MG8:MI8)),"")</f>
        <v>4</v>
      </c>
      <c r="MK8" s="183" t="str">
        <f t="shared" si="76"/>
        <v>A</v>
      </c>
      <c r="ML8" s="122"/>
      <c r="MM8" s="123"/>
      <c r="MN8" s="124" t="s">
        <v>28</v>
      </c>
      <c r="MO8" s="182">
        <f>IFERROR((((COUNTIF('Elève (5ème3)'!ML8:MN8,"A"))*4)+((COUNTIF('Elève (5ème3)'!ML8:MN8,"B"))*3)+((COUNTIF('Elève (5ème3)'!ML8:MN8,"C"))*2)+((COUNTIF('Elève (5ème3)'!ML8:MN8,"D"))*1))/(COUNTA(ML8:MN8)),"")</f>
        <v>3</v>
      </c>
      <c r="MP8" s="183" t="str">
        <f t="shared" si="77"/>
        <v>B</v>
      </c>
      <c r="MQ8" s="122" t="s">
        <v>29</v>
      </c>
      <c r="MR8" s="123"/>
      <c r="MS8" s="124" t="s">
        <v>28</v>
      </c>
      <c r="MT8" s="128"/>
      <c r="MU8" s="182">
        <f>IFERROR((((COUNTIF('Elève (5ème3)'!MQ8:MT8,"A"))*4)+((COUNTIF('Elève (5ème3)'!MQ8:MT8,"B"))*3)+((COUNTIF('Elève (5ème3)'!MQ8:MT8,"C"))*2)+((COUNTIF('Elève (5ème3)'!MQ8:MT8,"D"))*1))/(COUNTA(MQ8:MT8)),"")</f>
        <v>2.5</v>
      </c>
      <c r="MV8" s="183" t="str">
        <f t="shared" si="78"/>
        <v>C</v>
      </c>
      <c r="MW8" s="182">
        <f>IF(COUNT(MJ8,MO8,MU8)=0,"",SUM(MJ8,MO8,MU8)/COUNT(MJ8,MO8,MU8))</f>
        <v>3.1666666666666665</v>
      </c>
      <c r="MX8" s="206" t="str">
        <f t="shared" si="79"/>
        <v>B</v>
      </c>
      <c r="MY8" s="122" t="s">
        <v>27</v>
      </c>
      <c r="MZ8" s="123" t="s">
        <v>28</v>
      </c>
      <c r="NA8" s="124"/>
      <c r="NB8" s="182">
        <f>IFERROR((((COUNTIF('Elève (5ème3)'!MY8:NA8,"A"))*4)+((COUNTIF('Elève (5ème3)'!MY8:NA8,"B"))*3)+((COUNTIF('Elève (5ème3)'!MY8:NA8,"C"))*2)+((COUNTIF('Elève (5ème3)'!MY8:NA8,"D"))*1))/(COUNTA(MY8:NA8)),"")</f>
        <v>3.5</v>
      </c>
      <c r="NC8" s="183" t="str">
        <f t="shared" si="80"/>
        <v>B</v>
      </c>
      <c r="ND8" s="122"/>
      <c r="NE8" s="123"/>
      <c r="NF8" s="124" t="s">
        <v>28</v>
      </c>
      <c r="NG8" s="182">
        <f>IFERROR((((COUNTIF('Elève (5ème3)'!ND8:NF8,"A"))*4)+((COUNTIF('Elève (5ème3)'!ND8:NF8,"B"))*3)+((COUNTIF('Elève (5ème3)'!ND8:NF8,"C"))*2)+((COUNTIF('Elève (5ème3)'!ND8:NF8,"D"))*1))/(COUNTA(ND8:NF8)),"")</f>
        <v>3</v>
      </c>
      <c r="NH8" s="183" t="str">
        <f t="shared" si="81"/>
        <v>B</v>
      </c>
      <c r="NI8" s="122" t="s">
        <v>28</v>
      </c>
      <c r="NJ8" s="123"/>
      <c r="NK8" s="124" t="s">
        <v>28</v>
      </c>
      <c r="NL8" s="128"/>
      <c r="NM8" s="182">
        <f>IFERROR((((COUNTIF('Elève (5ème3)'!NI8:NL8,"A"))*4)+((COUNTIF('Elève (5ème3)'!NI8:NL8,"B"))*3)+((COUNTIF('Elève (5ème3)'!NI8:NL8,"C"))*2)+((COUNTIF('Elève (5ème3)'!NI8:NL8,"D"))*1))/(COUNTA(NI8:NL8)),"")</f>
        <v>3</v>
      </c>
      <c r="NN8" s="183" t="str">
        <f t="shared" si="82"/>
        <v>B</v>
      </c>
      <c r="NO8" s="182">
        <f>IF(COUNT(NB8,NG8,NM8)=0,"",SUM(NB8,NG8,NM8)/COUNT(NB8,NG8,NM8))</f>
        <v>3.1666666666666665</v>
      </c>
      <c r="NP8" s="206" t="str">
        <f t="shared" si="83"/>
        <v>B</v>
      </c>
      <c r="NQ8" s="122" t="s">
        <v>27</v>
      </c>
      <c r="NR8" s="123" t="s">
        <v>30</v>
      </c>
      <c r="NS8" s="124"/>
      <c r="NT8" s="182">
        <f>IFERROR((((COUNTIF('Elève (5ème3)'!NQ8:NS8,"A"))*4)+((COUNTIF('Elève (5ème3)'!NQ8:NS8,"B"))*3)+((COUNTIF('Elève (5ème3)'!NQ8:NS8,"C"))*2)+((COUNTIF('Elève (5ème3)'!NQ8:NS8,"D"))*1))/(COUNTA(NQ8:NS8)),"")</f>
        <v>2.5</v>
      </c>
      <c r="NU8" s="183" t="str">
        <f t="shared" si="84"/>
        <v>C</v>
      </c>
      <c r="NV8" s="122"/>
      <c r="NW8" s="123"/>
      <c r="NX8" s="124" t="s">
        <v>28</v>
      </c>
      <c r="NY8" s="182">
        <f>IFERROR((((COUNTIF('Elève (5ème3)'!NV8:NX8,"A"))*4)+((COUNTIF('Elève (5ème3)'!NV8:NX8,"B"))*3)+((COUNTIF('Elève (5ème3)'!NV8:NX8,"C"))*2)+((COUNTIF('Elève (5ème3)'!NV8:NX8,"D"))*1))/(COUNTA(NV8:NX8)),"")</f>
        <v>3</v>
      </c>
      <c r="NZ8" s="183" t="str">
        <f t="shared" si="85"/>
        <v>B</v>
      </c>
      <c r="OA8" s="122" t="s">
        <v>28</v>
      </c>
      <c r="OB8" s="123"/>
      <c r="OC8" s="124"/>
      <c r="OD8" s="128"/>
      <c r="OE8" s="182">
        <f>IFERROR((((COUNTIF('Elève (5ème3)'!OA8:OD8,"A"))*4)+((COUNTIF('Elève (5ème3)'!OA8:OD8,"B"))*3)+((COUNTIF('Elève (5ème3)'!OA8:OD8,"C"))*2)+((COUNTIF('Elève (5ème3)'!OA8:OD8,"D"))*1))/(COUNTA(OA8:OD8)),"")</f>
        <v>3</v>
      </c>
      <c r="OF8" s="183" t="str">
        <f t="shared" si="86"/>
        <v>B</v>
      </c>
      <c r="OG8" s="182">
        <f>IF(COUNT(NT8,NY8,OE8)=0,"",SUM(NT8,NY8,OE8)/COUNT(NT8,NY8,OE8))</f>
        <v>2.8333333333333335</v>
      </c>
      <c r="OH8" s="206" t="str">
        <f t="shared" si="87"/>
        <v>B</v>
      </c>
      <c r="OI8" s="122" t="s">
        <v>27</v>
      </c>
      <c r="OJ8" s="123" t="s">
        <v>28</v>
      </c>
      <c r="OK8" s="124"/>
      <c r="OL8" s="182">
        <f>IFERROR((((COUNTIF('Elève (5ème3)'!OI8:OK8,"A"))*4)+((COUNTIF('Elève (5ème3)'!OI8:OK8,"B"))*3)+((COUNTIF('Elève (5ème3)'!OI8:OK8,"C"))*2)+((COUNTIF('Elève (5ème3)'!OI8:OK8,"D"))*1))/(COUNTA(OI8:OK8)),"")</f>
        <v>3.5</v>
      </c>
      <c r="OM8" s="183" t="str">
        <f t="shared" si="88"/>
        <v>B</v>
      </c>
      <c r="ON8" s="122"/>
      <c r="OO8" s="123"/>
      <c r="OP8" s="124"/>
      <c r="OQ8" s="182" t="str">
        <f>IFERROR((((COUNTIF('Elève (5ème3)'!ON8:OP8,"A"))*4)+((COUNTIF('Elève (5ème3)'!ON8:OP8,"B"))*3)+((COUNTIF('Elève (5ème3)'!ON8:OP8,"C"))*2)+((COUNTIF('Elève (5ème3)'!ON8:OP8,"D"))*1))/(COUNTA(ON8:OP8)),"")</f>
        <v/>
      </c>
      <c r="OR8" s="183" t="str">
        <f t="shared" si="89"/>
        <v/>
      </c>
      <c r="OS8" s="122" t="s">
        <v>29</v>
      </c>
      <c r="OT8" s="123"/>
      <c r="OU8" s="124" t="s">
        <v>28</v>
      </c>
      <c r="OV8" s="128"/>
      <c r="OW8" s="182">
        <f>IFERROR((((COUNTIF('Elève (5ème3)'!OS8:OV8,"A"))*4)+((COUNTIF('Elève (5ème3)'!OS8:OV8,"B"))*3)+((COUNTIF('Elève (5ème3)'!OS8:OV8,"C"))*2)+((COUNTIF('Elève (5ème3)'!OS8:OV8,"D"))*1))/(COUNTA(OS8:OV8)),"")</f>
        <v>2.5</v>
      </c>
      <c r="OX8" s="183" t="str">
        <f t="shared" si="90"/>
        <v>C</v>
      </c>
      <c r="OY8" s="182">
        <f>IF(COUNT(OL8,OQ8,OW8)=0,"",SUM(OL8,OQ8,OW8)/COUNT(OL8,OQ8,OW8))</f>
        <v>3</v>
      </c>
      <c r="OZ8" s="206" t="str">
        <f t="shared" si="91"/>
        <v>B</v>
      </c>
      <c r="PA8" s="122" t="s">
        <v>28</v>
      </c>
      <c r="PB8" s="123" t="s">
        <v>30</v>
      </c>
      <c r="PC8" s="124"/>
      <c r="PD8" s="182">
        <f>IFERROR((((COUNTIF('Elève (5ème3)'!PA8:PC8,"A"))*4)+((COUNTIF('Elève (5ème3)'!PA8:PC8,"B"))*3)+((COUNTIF('Elève (5ème3)'!PA8:PC8,"C"))*2)+((COUNTIF('Elève (5ème3)'!PA8:PC8,"D"))*1))/(COUNTA(PA8:PC8)),"")</f>
        <v>2</v>
      </c>
      <c r="PE8" s="183" t="str">
        <f t="shared" si="92"/>
        <v>C</v>
      </c>
      <c r="PF8" s="122"/>
      <c r="PG8" s="123"/>
      <c r="PH8" s="124" t="s">
        <v>27</v>
      </c>
      <c r="PI8" s="182">
        <f>IFERROR((((COUNTIF('Elève (5ème3)'!PF8:PH8,"A"))*4)+((COUNTIF('Elève (5ème3)'!PF8:PH8,"B"))*3)+((COUNTIF('Elève (5ème3)'!PF8:PH8,"C"))*2)+((COUNTIF('Elève (5ème3)'!PF8:PH8,"D"))*1))/(COUNTA(PF8:PH8)),"")</f>
        <v>4</v>
      </c>
      <c r="PJ8" s="183" t="str">
        <f t="shared" si="93"/>
        <v>A</v>
      </c>
      <c r="PK8" s="122" t="s">
        <v>28</v>
      </c>
      <c r="PL8" s="123"/>
      <c r="PM8" s="124" t="s">
        <v>28</v>
      </c>
      <c r="PN8" s="128"/>
      <c r="PO8" s="182">
        <f>IFERROR((((COUNTIF('Elève (5ème3)'!PK8:PN8,"A"))*4)+((COUNTIF('Elève (5ème3)'!PK8:PN8,"B"))*3)+((COUNTIF('Elève (5ème3)'!PK8:PN8,"C"))*2)+((COUNTIF('Elève (5ème3)'!PK8:PN8,"D"))*1))/(COUNTA(PK8:PN8)),"")</f>
        <v>3</v>
      </c>
      <c r="PP8" s="183" t="str">
        <f t="shared" si="94"/>
        <v>B</v>
      </c>
      <c r="PQ8" s="182">
        <f>IF(COUNT(PD8,PI8,PO8)=0,"",SUM(PD8,PI8,PO8)/COUNT(PD8,PI8,PO8))</f>
        <v>3</v>
      </c>
      <c r="PR8" s="206" t="str">
        <f t="shared" si="95"/>
        <v>B</v>
      </c>
      <c r="PS8" s="122" t="s">
        <v>27</v>
      </c>
      <c r="PT8" s="123" t="s">
        <v>28</v>
      </c>
      <c r="PU8" s="124"/>
      <c r="PV8" s="182">
        <f>IFERROR((((COUNTIF('Elève (5ème3)'!PS8:PU8,"A"))*4)+((COUNTIF('Elève (5ème3)'!PS8:PU8,"B"))*3)+((COUNTIF('Elève (5ème3)'!PS8:PU8,"C"))*2)+((COUNTIF('Elève (5ème3)'!PS8:PU8,"D"))*1))/(COUNTA(PS8:PU8)),"")</f>
        <v>3.5</v>
      </c>
      <c r="PW8" s="183" t="str">
        <f t="shared" si="96"/>
        <v>B</v>
      </c>
      <c r="PX8" s="122"/>
      <c r="PY8" s="123"/>
      <c r="PZ8" s="124" t="s">
        <v>27</v>
      </c>
      <c r="QA8" s="182">
        <f>IFERROR((((COUNTIF('Elève (5ème3)'!PX8:PZ8,"A"))*4)+((COUNTIF('Elève (5ème3)'!PX8:PZ8,"B"))*3)+((COUNTIF('Elève (5ème3)'!PX8:PZ8,"C"))*2)+((COUNTIF('Elève (5ème3)'!PX8:PZ8,"D"))*1))/(COUNTA(PX8:PZ8)),"")</f>
        <v>4</v>
      </c>
      <c r="QB8" s="183" t="str">
        <f t="shared" si="97"/>
        <v>A</v>
      </c>
      <c r="QC8" s="122" t="s">
        <v>29</v>
      </c>
      <c r="QD8" s="123"/>
      <c r="QE8" s="124" t="s">
        <v>28</v>
      </c>
      <c r="QF8" s="128"/>
      <c r="QG8" s="182">
        <f>IFERROR((((COUNTIF('Elève (5ème3)'!QC8:QF8,"A"))*4)+((COUNTIF('Elève (5ème3)'!QC8:QF8,"B"))*3)+((COUNTIF('Elève (5ème3)'!QC8:QF8,"C"))*2)+((COUNTIF('Elève (5ème3)'!QC8:QF8,"D"))*1))/(COUNTA(QC8:QF8)),"")</f>
        <v>2.5</v>
      </c>
      <c r="QH8" s="183" t="str">
        <f t="shared" si="98"/>
        <v>C</v>
      </c>
      <c r="QI8" s="182">
        <f>IF(COUNT(PV8,QA8,QG8)=0,"",SUM(PV8,QA8,QG8)/COUNT(PV8,QA8,QG8))</f>
        <v>3.3333333333333335</v>
      </c>
      <c r="QJ8" s="206" t="str">
        <f t="shared" si="99"/>
        <v>B</v>
      </c>
      <c r="QK8" s="122" t="s">
        <v>27</v>
      </c>
      <c r="QL8" s="123" t="s">
        <v>28</v>
      </c>
      <c r="QM8" s="124"/>
      <c r="QN8" s="182">
        <f>IFERROR((((COUNTIF('Elève (5ème3)'!QK8:QM8,"A"))*4)+((COUNTIF('Elève (5ème3)'!QK8:QM8,"B"))*3)+((COUNTIF('Elève (5ème3)'!QK8:QM8,"C"))*2)+((COUNTIF('Elève (5ème3)'!QK8:QM8,"D"))*1))/(COUNTA(QK8:QM8)),"")</f>
        <v>3.5</v>
      </c>
      <c r="QO8" s="183" t="str">
        <f t="shared" si="100"/>
        <v>B</v>
      </c>
      <c r="QP8" s="122"/>
      <c r="QQ8" s="123"/>
      <c r="QR8" s="124"/>
      <c r="QS8" s="182" t="str">
        <f>IFERROR((((COUNTIF('Elève (5ème3)'!QP8:QR8,"A"))*4)+((COUNTIF('Elève (5ème3)'!QP8:QR8,"B"))*3)+((COUNTIF('Elève (5ème3)'!QP8:QR8,"C"))*2)+((COUNTIF('Elève (5ème3)'!QP8:QR8,"D"))*1))/(COUNTA(QP8:QR8)),"")</f>
        <v/>
      </c>
      <c r="QT8" s="183" t="str">
        <f t="shared" si="101"/>
        <v/>
      </c>
      <c r="QU8" s="122" t="s">
        <v>28</v>
      </c>
      <c r="QV8" s="123"/>
      <c r="QW8" s="124" t="s">
        <v>28</v>
      </c>
      <c r="QX8" s="128"/>
      <c r="QY8" s="182">
        <f>IFERROR((((COUNTIF('Elève (5ème3)'!QU8:QX8,"A"))*4)+((COUNTIF('Elève (5ème3)'!QU8:QX8,"B"))*3)+((COUNTIF('Elève (5ème3)'!QU8:QX8,"C"))*2)+((COUNTIF('Elève (5ème3)'!QU8:QX8,"D"))*1))/(COUNTA(QU8:QX8)),"")</f>
        <v>3</v>
      </c>
      <c r="QZ8" s="183" t="str">
        <f t="shared" si="102"/>
        <v>B</v>
      </c>
      <c r="RA8" s="182">
        <f>IF(COUNT(QN8,QS8,QY8)=0,"",SUM(QN8,QS8,QY8)/COUNT(QN8,QS8,QY8))</f>
        <v>3.25</v>
      </c>
      <c r="RB8" s="206" t="str">
        <f t="shared" si="103"/>
        <v>B</v>
      </c>
      <c r="RC8" s="122" t="s">
        <v>27</v>
      </c>
      <c r="RD8" s="123" t="s">
        <v>28</v>
      </c>
      <c r="RE8" s="124"/>
      <c r="RF8" s="182">
        <f>IFERROR((((COUNTIF('Elève (5ème3)'!RC8:RE8,"A"))*4)+((COUNTIF('Elève (5ème3)'!RC8:RE8,"B"))*3)+((COUNTIF('Elève (5ème3)'!RC8:RE8,"C"))*2)+((COUNTIF('Elève (5ème3)'!RC8:RE8,"D"))*1))/(COUNTA(RC8:RE8)),"")</f>
        <v>3.5</v>
      </c>
      <c r="RG8" s="183" t="str">
        <f t="shared" si="104"/>
        <v>B</v>
      </c>
      <c r="RH8" s="122"/>
      <c r="RI8" s="123"/>
      <c r="RJ8" s="124" t="s">
        <v>28</v>
      </c>
      <c r="RK8" s="182">
        <f>IFERROR((((COUNTIF('Elève (5ème3)'!RH8:RJ8,"A"))*4)+((COUNTIF('Elève (5ème3)'!RH8:RJ8,"B"))*3)+((COUNTIF('Elève (5ème3)'!RH8:RJ8,"C"))*2)+((COUNTIF('Elève (5ème3)'!RH8:RJ8,"D"))*1))/(COUNTA(RH8:RJ8)),"")</f>
        <v>3</v>
      </c>
      <c r="RL8" s="183" t="str">
        <f t="shared" si="105"/>
        <v>B</v>
      </c>
      <c r="RM8" s="122" t="s">
        <v>28</v>
      </c>
      <c r="RN8" s="123"/>
      <c r="RO8" s="124" t="s">
        <v>28</v>
      </c>
      <c r="RP8" s="128"/>
      <c r="RQ8" s="182">
        <f>IFERROR((((COUNTIF('Elève (5ème3)'!RM8:RP8,"A"))*4)+((COUNTIF('Elève (5ème3)'!RM8:RP8,"B"))*3)+((COUNTIF('Elève (5ème3)'!RM8:RP8,"C"))*2)+((COUNTIF('Elève (5ème3)'!RM8:RP8,"D"))*1))/(COUNTA(RM8:RP8)),"")</f>
        <v>3</v>
      </c>
      <c r="RR8" s="183" t="str">
        <f t="shared" si="106"/>
        <v>B</v>
      </c>
      <c r="RS8" s="182">
        <f>IF(COUNT(RF8,RK8,RQ8)=0,"",SUM(RF8,RK8,RQ8)/COUNT(RF8,RK8,RQ8))</f>
        <v>3.1666666666666665</v>
      </c>
      <c r="RT8" s="206" t="str">
        <f t="shared" si="107"/>
        <v>B</v>
      </c>
      <c r="RU8" s="122"/>
      <c r="RV8" s="123"/>
      <c r="RW8" s="124"/>
      <c r="RX8" s="125" t="str">
        <f>IFERROR((((COUNTIF('Elève (5ème3)'!RU8:RW8,"A"))*4)+((COUNTIF('Elève (5ème3)'!RU8:RW8,"B"))*3)+((COUNTIF('Elève (5ème3)'!RU8:RW8,"C"))*2)+((COUNTIF('Elève (5ème3)'!RU8:RW8,"D"))*1))/(COUNTA(RU8:RW8)),"")</f>
        <v/>
      </c>
      <c r="RY8" s="126" t="str">
        <f t="shared" si="108"/>
        <v/>
      </c>
      <c r="RZ8" s="122"/>
      <c r="SA8" s="123"/>
      <c r="SB8" s="124"/>
      <c r="SC8" s="125" t="str">
        <f>IFERROR((((COUNTIF('Elève (5ème3)'!RZ8:SB8,"A"))*4)+((COUNTIF('Elève (5ème3)'!RZ8:SB8,"B"))*3)+((COUNTIF('Elève (5ème3)'!RZ8:SB8,"C"))*2)+((COUNTIF('Elève (5ème3)'!RZ8:SB8,"D"))*1))/(COUNTA(RZ8:SB8)),"")</f>
        <v/>
      </c>
      <c r="SD8" s="126" t="str">
        <f t="shared" si="109"/>
        <v/>
      </c>
      <c r="SE8" s="122"/>
      <c r="SF8" s="123"/>
      <c r="SG8" s="128"/>
      <c r="SH8" s="125" t="str">
        <f>IFERROR((((COUNTIF('Elève (5ème3)'!SE8:SG8,"A"))*4)+((COUNTIF('Elève (5ème3)'!SE8:SG8,"B"))*3)+((COUNTIF('Elève (5ème3)'!SE8:SG8,"C"))*2)+((COUNTIF('Elève (5ème3)'!SE8:SG8,"D"))*1))/(COUNTA(SE8:SG8)),"")</f>
        <v/>
      </c>
      <c r="SI8" s="126" t="str">
        <f t="shared" si="110"/>
        <v/>
      </c>
      <c r="SJ8" s="125" t="str">
        <f>IF(COUNT(RX8,SC8,SH8)=0,"",SUM(RX8,SC8,SH8)/COUNT(RX8,SC8,SH8))</f>
        <v/>
      </c>
      <c r="SK8" s="127" t="str">
        <f t="shared" si="111"/>
        <v/>
      </c>
      <c r="SL8" s="122"/>
      <c r="SM8" s="123"/>
      <c r="SN8" s="124"/>
      <c r="SO8" s="125" t="str">
        <f>IFERROR((((COUNTIF('Elève (5ème3)'!SL8:SN8,"A"))*4)+((COUNTIF('Elève (5ème3)'!SL8:SN8,"B"))*3)+((COUNTIF('Elève (5ème3)'!SL8:SN8,"C"))*2)+((COUNTIF('Elève (5ème3)'!SL8:SN8,"D"))*1))/(COUNTA(SL8:SN8)),"")</f>
        <v/>
      </c>
      <c r="SP8" s="126" t="str">
        <f t="shared" si="112"/>
        <v/>
      </c>
      <c r="SQ8" s="122"/>
      <c r="SR8" s="123"/>
      <c r="SS8" s="124"/>
      <c r="ST8" s="125" t="str">
        <f>IFERROR((((COUNTIF('Elève (5ème3)'!SQ8:SS8,"A"))*4)+((COUNTIF('Elève (5ème3)'!SQ8:SS8,"B"))*3)+((COUNTIF('Elève (5ème3)'!SQ8:SS8,"C"))*2)+((COUNTIF('Elève (5ème3)'!SQ8:SS8,"D"))*1))/(COUNTA(SQ8:SS8)),"")</f>
        <v/>
      </c>
      <c r="SU8" s="126" t="str">
        <f t="shared" si="113"/>
        <v/>
      </c>
      <c r="SV8" s="122"/>
      <c r="SW8" s="123"/>
      <c r="SX8" s="128"/>
      <c r="SY8" s="125" t="str">
        <f>IFERROR((((COUNTIF('Elève (5ème3)'!SV8:SX8,"A"))*4)+((COUNTIF('Elève (5ème3)'!SV8:SX8,"B"))*3)+((COUNTIF('Elève (5ème3)'!SV8:SX8,"C"))*2)+((COUNTIF('Elève (5ème3)'!SV8:SX8,"D"))*1))/(COUNTA(SV8:SX8)),"")</f>
        <v/>
      </c>
      <c r="SZ8" s="126" t="str">
        <f t="shared" si="114"/>
        <v/>
      </c>
      <c r="TA8" s="125" t="str">
        <f>IF(COUNT(SO8,ST8,SY8)=0,"",SUM(SO8,ST8,SY8)/COUNT(SO8,ST8,SY8))</f>
        <v/>
      </c>
      <c r="TB8" s="127" t="str">
        <f t="shared" si="115"/>
        <v/>
      </c>
      <c r="TC8" s="122"/>
      <c r="TD8" s="123"/>
      <c r="TE8" s="124"/>
      <c r="TF8" s="125" t="str">
        <f>IFERROR((((COUNTIF('Elève (5ème3)'!TC8:TE8,"A"))*4)+((COUNTIF('Elève (5ème3)'!TC8:TE8,"B"))*3)+((COUNTIF('Elève (5ème3)'!TC8:TE8,"C"))*2)+((COUNTIF('Elève (5ème3)'!TC8:TE8,"D"))*1))/(COUNTA(TC8:TE8)),"")</f>
        <v/>
      </c>
      <c r="TG8" s="126" t="str">
        <f t="shared" si="116"/>
        <v/>
      </c>
      <c r="TH8" s="122"/>
      <c r="TI8" s="123"/>
      <c r="TJ8" s="124"/>
      <c r="TK8" s="125" t="str">
        <f>IFERROR((((COUNTIF('Elève (5ème3)'!TH8:TJ8,"A"))*4)+((COUNTIF('Elève (5ème3)'!TH8:TJ8,"B"))*3)+((COUNTIF('Elève (5ème3)'!TH8:TJ8,"C"))*2)+((COUNTIF('Elève (5ème3)'!TH8:TJ8,"D"))*1))/(COUNTA(TH8:TJ8)),"")</f>
        <v/>
      </c>
      <c r="TL8" s="126" t="str">
        <f t="shared" si="117"/>
        <v/>
      </c>
      <c r="TM8" s="122"/>
      <c r="TN8" s="123"/>
      <c r="TO8" s="128"/>
      <c r="TP8" s="125" t="str">
        <f>IFERROR((((COUNTIF('Elève (5ème3)'!TM8:TO8,"A"))*4)+((COUNTIF('Elève (5ème3)'!TM8:TO8,"B"))*3)+((COUNTIF('Elève (5ème3)'!TM8:TO8,"C"))*2)+((COUNTIF('Elève (5ème3)'!TM8:TO8,"D"))*1))/(COUNTA(TM8:TO8)),"")</f>
        <v/>
      </c>
      <c r="TQ8" s="126" t="str">
        <f t="shared" si="118"/>
        <v/>
      </c>
      <c r="TR8" s="125" t="str">
        <f>IF(COUNT(TF8,TK8,TP8)=0,"",SUM(TF8,TK8,TP8)/COUNT(TF8,TK8,TP8))</f>
        <v/>
      </c>
      <c r="TS8" s="127" t="str">
        <f t="shared" si="119"/>
        <v/>
      </c>
    </row>
    <row r="9" spans="1:539" ht="18" customHeight="1" thickBot="1" x14ac:dyDescent="0.3">
      <c r="A9" s="238" t="s">
        <v>16</v>
      </c>
      <c r="B9" s="239"/>
      <c r="C9" s="129"/>
      <c r="D9" s="130"/>
      <c r="E9" s="131"/>
      <c r="F9" s="184" t="str">
        <f>IFERROR((((COUNTIF('Elève (5ème3)'!C9:E9,"A"))*4)+((COUNTIF('Elève (5ème3)'!C9:E9,"B"))*3)+((COUNTIF('Elève (5ème3)'!C9:E9,"C"))*2)+((COUNTIF('Elève (5ème3)'!C9:E9,"D"))*1))/(COUNTA(C9:E9)),"")</f>
        <v/>
      </c>
      <c r="G9" s="185" t="str">
        <f t="shared" si="0"/>
        <v/>
      </c>
      <c r="H9" s="129"/>
      <c r="I9" s="130"/>
      <c r="J9" s="131" t="s">
        <v>29</v>
      </c>
      <c r="K9" s="184">
        <f>IFERROR((((COUNTIF('Elève (5ème3)'!H9:J9,"A"))*4)+((COUNTIF('Elève (5ème3)'!H9:J9,"B"))*3)+((COUNTIF('Elève (5ème3)'!H9:J9,"C"))*2)+((COUNTIF('Elève (5ème3)'!H9:J9,"D"))*1))/(COUNTA(H9:J9)),"")</f>
        <v>2</v>
      </c>
      <c r="L9" s="185" t="str">
        <f t="shared" si="1"/>
        <v>C</v>
      </c>
      <c r="M9" s="129"/>
      <c r="N9" s="130"/>
      <c r="O9" s="131"/>
      <c r="P9" s="131" t="s">
        <v>28</v>
      </c>
      <c r="Q9" s="184">
        <f>IFERROR((((COUNTIF('Elève (5ème3)'!M9:P9,"A"))*4)+((COUNTIF('Elève (5ème3)'!M9:P9,"B"))*3)+((COUNTIF('Elève (5ème3)'!M9:P9,"C"))*2)+((COUNTIF('Elève (5ème3)'!M9:P9,"D"))*1))/(COUNTA(M9:P9)),"")</f>
        <v>3</v>
      </c>
      <c r="R9" s="185" t="str">
        <f t="shared" si="2"/>
        <v>B</v>
      </c>
      <c r="S9" s="184">
        <f>IF(COUNT(F9,K9,Q9)=0,"",SUM(F9,K9,Q9)/COUNT(F9,K9,Q9))</f>
        <v>2.5</v>
      </c>
      <c r="T9" s="207" t="str">
        <f t="shared" si="3"/>
        <v>C</v>
      </c>
      <c r="U9" s="129"/>
      <c r="V9" s="130"/>
      <c r="W9" s="131"/>
      <c r="X9" s="184" t="str">
        <f>IFERROR((((COUNTIF('Elève (5ème3)'!U9:W9,"A"))*4)+((COUNTIF('Elève (5ème3)'!U9:W9,"B"))*3)+((COUNTIF('Elève (5ème3)'!U9:W9,"C"))*2)+((COUNTIF('Elève (5ème3)'!U9:W9,"D"))*1))/(COUNTA(U9:W9)),"")</f>
        <v/>
      </c>
      <c r="Y9" s="185" t="str">
        <f t="shared" si="4"/>
        <v/>
      </c>
      <c r="Z9" s="129"/>
      <c r="AA9" s="130"/>
      <c r="AB9" s="131" t="s">
        <v>29</v>
      </c>
      <c r="AC9" s="184">
        <f>IFERROR((((COUNTIF('Elève (5ème3)'!Z9:AB9,"A"))*4)+((COUNTIF('Elève (5ème3)'!Z9:AB9,"B"))*3)+((COUNTIF('Elève (5ème3)'!Z9:AB9,"C"))*2)+((COUNTIF('Elève (5ème3)'!Z9:AB9,"D"))*1))/(COUNTA(Z9:AB9)),"")</f>
        <v>2</v>
      </c>
      <c r="AD9" s="185" t="str">
        <f t="shared" si="5"/>
        <v>C</v>
      </c>
      <c r="AE9" s="129"/>
      <c r="AF9" s="130"/>
      <c r="AG9" s="131"/>
      <c r="AH9" s="135" t="s">
        <v>28</v>
      </c>
      <c r="AI9" s="184">
        <f>IFERROR((((COUNTIF('Elève (5ème3)'!AE9:AH9,"A"))*4)+((COUNTIF('Elève (5ème3)'!AE9:AH9,"B"))*3)+((COUNTIF('Elève (5ème3)'!AE9:AH9,"C"))*2)+((COUNTIF('Elève (5ème3)'!AE9:AH9,"D"))*1))/(COUNTA(AE9:AH9)),"")</f>
        <v>3</v>
      </c>
      <c r="AJ9" s="185" t="str">
        <f t="shared" si="6"/>
        <v>B</v>
      </c>
      <c r="AK9" s="184">
        <f>IF(COUNT(X9,AC9,AI9)=0,"",SUM(X9,AC9,AI9)/COUNT(X9,AC9,AI9))</f>
        <v>2.5</v>
      </c>
      <c r="AL9" s="207" t="str">
        <f t="shared" si="7"/>
        <v>C</v>
      </c>
      <c r="AM9" s="129"/>
      <c r="AN9" s="130"/>
      <c r="AO9" s="131"/>
      <c r="AP9" s="184" t="str">
        <f>IFERROR((((COUNTIF('Elève (5ème3)'!AM9:AO9,"A"))*4)+((COUNTIF('Elève (5ème3)'!AM9:AO9,"B"))*3)+((COUNTIF('Elève (5ème3)'!AM9:AO9,"C"))*2)+((COUNTIF('Elève (5ème3)'!AM9:AO9,"D"))*1))/(COUNTA(AM9:AO9)),"")</f>
        <v/>
      </c>
      <c r="AQ9" s="185" t="str">
        <f t="shared" si="8"/>
        <v/>
      </c>
      <c r="AR9" s="129"/>
      <c r="AS9" s="130"/>
      <c r="AT9" s="131" t="s">
        <v>28</v>
      </c>
      <c r="AU9" s="184">
        <f>IFERROR((((COUNTIF('Elève (5ème3)'!AR9:AT9,"A"))*4)+((COUNTIF('Elève (5ème3)'!AR9:AT9,"B"))*3)+((COUNTIF('Elève (5ème3)'!AR9:AT9,"C"))*2)+((COUNTIF('Elève (5ème3)'!AR9:AT9,"D"))*1))/(COUNTA(AR9:AT9)),"")</f>
        <v>3</v>
      </c>
      <c r="AV9" s="185" t="str">
        <f t="shared" si="9"/>
        <v>B</v>
      </c>
      <c r="AW9" s="129"/>
      <c r="AX9" s="130"/>
      <c r="AY9" s="131"/>
      <c r="AZ9" s="135" t="s">
        <v>28</v>
      </c>
      <c r="BA9" s="184">
        <f>IFERROR((((COUNTIF('Elève (5ème3)'!AW9:AZ9,"A"))*4)+((COUNTIF('Elève (5ème3)'!AW9:AZ9,"B"))*3)+((COUNTIF('Elève (5ème3)'!AW9:AZ9,"C"))*2)+((COUNTIF('Elève (5ème3)'!AW9:AZ9,"D"))*1))/(COUNTA(AW9:AZ9)),"")</f>
        <v>3</v>
      </c>
      <c r="BB9" s="185" t="str">
        <f t="shared" si="10"/>
        <v>B</v>
      </c>
      <c r="BC9" s="184">
        <f>IF(COUNT(AP9,AU9,BA9)=0,"",SUM(AP9,AU9,BA9)/COUNT(AP9,AU9,BA9))</f>
        <v>3</v>
      </c>
      <c r="BD9" s="207" t="str">
        <f t="shared" si="11"/>
        <v>B</v>
      </c>
      <c r="BE9" s="129"/>
      <c r="BF9" s="130"/>
      <c r="BG9" s="131"/>
      <c r="BH9" s="184" t="str">
        <f>IFERROR((((COUNTIF('Elève (5ème3)'!BE9:BG9,"A"))*4)+((COUNTIF('Elève (5ème3)'!BE9:BG9,"B"))*3)+((COUNTIF('Elève (5ème3)'!BE9:BG9,"C"))*2)+((COUNTIF('Elève (5ème3)'!BE9:BG9,"D"))*1))/(COUNTA(BE9:BG9)),"")</f>
        <v/>
      </c>
      <c r="BI9" s="185" t="str">
        <f t="shared" si="12"/>
        <v/>
      </c>
      <c r="BJ9" s="129"/>
      <c r="BK9" s="130"/>
      <c r="BL9" s="131" t="s">
        <v>28</v>
      </c>
      <c r="BM9" s="184">
        <f>IFERROR((((COUNTIF('Elève (5ème3)'!BJ9:BL9,"A"))*4)+((COUNTIF('Elève (5ème3)'!BJ9:BL9,"B"))*3)+((COUNTIF('Elève (5ème3)'!BJ9:BL9,"C"))*2)+((COUNTIF('Elève (5ème3)'!BJ9:BL9,"D"))*1))/(COUNTA(BJ9:BL9)),"")</f>
        <v>3</v>
      </c>
      <c r="BN9" s="185" t="str">
        <f t="shared" si="13"/>
        <v>B</v>
      </c>
      <c r="BO9" s="129"/>
      <c r="BP9" s="130"/>
      <c r="BQ9" s="131"/>
      <c r="BR9" s="135" t="s">
        <v>30</v>
      </c>
      <c r="BS9" s="184">
        <f>IFERROR((((COUNTIF('Elève (5ème3)'!BO9:BR9,"A"))*4)+((COUNTIF('Elève (5ème3)'!BO9:BR9,"B"))*3)+((COUNTIF('Elève (5ème3)'!BO9:BR9,"C"))*2)+((COUNTIF('Elève (5ème3)'!BO9:BR9,"D"))*1))/(COUNTA(BO9:BR9)),"")</f>
        <v>1</v>
      </c>
      <c r="BT9" s="185" t="str">
        <f t="shared" si="14"/>
        <v>D</v>
      </c>
      <c r="BU9" s="184">
        <f>IF(COUNT(BH9,BM9,BS9)=0,"",SUM(BH9,BM9,BS9)/COUNT(BH9,BM9,BS9))</f>
        <v>2</v>
      </c>
      <c r="BV9" s="207" t="str">
        <f t="shared" si="15"/>
        <v>C</v>
      </c>
      <c r="BW9" s="129"/>
      <c r="BX9" s="130"/>
      <c r="BY9" s="131"/>
      <c r="BZ9" s="184" t="str">
        <f>IFERROR((((COUNTIF('Elève (5ème3)'!BW9:BY9,"A"))*4)+((COUNTIF('Elève (5ème3)'!BW9:BY9,"B"))*3)+((COUNTIF('Elève (5ème3)'!BW9:BY9,"C"))*2)+((COUNTIF('Elève (5ème3)'!BW9:BY9,"D"))*1))/(COUNTA(BW9:BY9)),"")</f>
        <v/>
      </c>
      <c r="CA9" s="185" t="str">
        <f t="shared" si="16"/>
        <v/>
      </c>
      <c r="CB9" s="129"/>
      <c r="CC9" s="130"/>
      <c r="CD9" s="131" t="s">
        <v>28</v>
      </c>
      <c r="CE9" s="184">
        <f>IFERROR((((COUNTIF('Elève (5ème3)'!CB9:CD9,"A"))*4)+((COUNTIF('Elève (5ème3)'!CB9:CD9,"B"))*3)+((COUNTIF('Elève (5ème3)'!CB9:CD9,"C"))*2)+((COUNTIF('Elève (5ème3)'!CB9:CD9,"D"))*1))/(COUNTA(CB9:CD9)),"")</f>
        <v>3</v>
      </c>
      <c r="CF9" s="185" t="str">
        <f t="shared" si="17"/>
        <v>B</v>
      </c>
      <c r="CG9" s="129"/>
      <c r="CH9" s="130"/>
      <c r="CI9" s="131"/>
      <c r="CJ9" s="135" t="s">
        <v>29</v>
      </c>
      <c r="CK9" s="184">
        <f>IFERROR((((COUNTIF('Elève (5ème3)'!CG9:CJ9,"A"))*4)+((COUNTIF('Elève (5ème3)'!CG9:CJ9,"B"))*3)+((COUNTIF('Elève (5ème3)'!CG9:CJ9,"C"))*2)+((COUNTIF('Elève (5ème3)'!CG9:CJ9,"D"))*1))/(COUNTA(CG9:CJ9)),"")</f>
        <v>2</v>
      </c>
      <c r="CL9" s="185" t="str">
        <f t="shared" si="18"/>
        <v>C</v>
      </c>
      <c r="CM9" s="184">
        <f>IF(COUNT(BZ9,CE9,CK9)=0,"",SUM(BZ9,CE9,CK9)/COUNT(BZ9,CE9,CK9))</f>
        <v>2.5</v>
      </c>
      <c r="CN9" s="207" t="str">
        <f t="shared" si="19"/>
        <v>C</v>
      </c>
      <c r="CO9" s="129"/>
      <c r="CP9" s="130"/>
      <c r="CQ9" s="131"/>
      <c r="CR9" s="184" t="str">
        <f>IFERROR((((COUNTIF('Elève (5ème3)'!CO9:CQ9,"A"))*4)+((COUNTIF('Elève (5ème3)'!CO9:CQ9,"B"))*3)+((COUNTIF('Elève (5ème3)'!CO9:CQ9,"C"))*2)+((COUNTIF('Elève (5ème3)'!CO9:CQ9,"D"))*1))/(COUNTA(CO9:CQ9)),"")</f>
        <v/>
      </c>
      <c r="CS9" s="185" t="str">
        <f t="shared" si="20"/>
        <v/>
      </c>
      <c r="CT9" s="129"/>
      <c r="CU9" s="130"/>
      <c r="CV9" s="131" t="s">
        <v>30</v>
      </c>
      <c r="CW9" s="184">
        <f>IFERROR((((COUNTIF('Elève (5ème3)'!CT9:CV9,"A"))*4)+((COUNTIF('Elève (5ème3)'!CT9:CV9,"B"))*3)+((COUNTIF('Elève (5ème3)'!CT9:CV9,"C"))*2)+((COUNTIF('Elève (5ème3)'!CT9:CV9,"D"))*1))/(COUNTA(CT9:CV9)),"")</f>
        <v>1</v>
      </c>
      <c r="CX9" s="185" t="str">
        <f t="shared" si="21"/>
        <v>D</v>
      </c>
      <c r="CY9" s="129"/>
      <c r="CZ9" s="130"/>
      <c r="DA9" s="131"/>
      <c r="DB9" s="135" t="s">
        <v>29</v>
      </c>
      <c r="DC9" s="184">
        <f>IFERROR((((COUNTIF('Elève (5ème3)'!CY9:DB9,"A"))*4)+((COUNTIF('Elève (5ème3)'!CY9:DB9,"B"))*3)+((COUNTIF('Elève (5ème3)'!CY9:DB9,"C"))*2)+((COUNTIF('Elève (5ème3)'!CY9:DB9,"D"))*1))/(COUNTA(CY9:DB9)),"")</f>
        <v>2</v>
      </c>
      <c r="DD9" s="185" t="str">
        <f t="shared" si="22"/>
        <v>C</v>
      </c>
      <c r="DE9" s="184">
        <f>IF(COUNT(CR9,CW9,DC9)=0,"",SUM(CR9,CW9,DC9)/COUNT(CR9,CW9,DC9))</f>
        <v>1.5</v>
      </c>
      <c r="DF9" s="207" t="str">
        <f t="shared" si="23"/>
        <v>D</v>
      </c>
      <c r="DG9" s="129"/>
      <c r="DH9" s="130"/>
      <c r="DI9" s="131"/>
      <c r="DJ9" s="184" t="str">
        <f>IFERROR((((COUNTIF('Elève (5ème3)'!DG9:DI9,"A"))*4)+((COUNTIF('Elève (5ème3)'!DG9:DI9,"B"))*3)+((COUNTIF('Elève (5ème3)'!DG9:DI9,"C"))*2)+((COUNTIF('Elève (5ème3)'!DG9:DI9,"D"))*1))/(COUNTA(DG9:DI9)),"")</f>
        <v/>
      </c>
      <c r="DK9" s="185" t="str">
        <f t="shared" si="24"/>
        <v/>
      </c>
      <c r="DL9" s="129"/>
      <c r="DM9" s="130"/>
      <c r="DN9" s="131" t="s">
        <v>28</v>
      </c>
      <c r="DO9" s="184">
        <f>IFERROR((((COUNTIF('Elève (5ème3)'!DL9:DN9,"A"))*4)+((COUNTIF('Elève (5ème3)'!DL9:DN9,"B"))*3)+((COUNTIF('Elève (5ème3)'!DL9:DN9,"C"))*2)+((COUNTIF('Elève (5ème3)'!DL9:DN9,"D"))*1))/(COUNTA(DL9:DN9)),"")</f>
        <v>3</v>
      </c>
      <c r="DP9" s="185" t="str">
        <f t="shared" si="25"/>
        <v>B</v>
      </c>
      <c r="DQ9" s="129"/>
      <c r="DR9" s="130"/>
      <c r="DS9" s="131"/>
      <c r="DT9" s="135" t="s">
        <v>27</v>
      </c>
      <c r="DU9" s="184">
        <f>IFERROR((((COUNTIF('Elève (5ème3)'!DQ9:DT9,"A"))*4)+((COUNTIF('Elève (5ème3)'!DQ9:DT9,"B"))*3)+((COUNTIF('Elève (5ème3)'!DQ9:DT9,"C"))*2)+((COUNTIF('Elève (5ème3)'!DQ9:DT9,"D"))*1))/(COUNTA(DQ9:DT9)),"")</f>
        <v>4</v>
      </c>
      <c r="DV9" s="185" t="str">
        <f t="shared" si="26"/>
        <v>A</v>
      </c>
      <c r="DW9" s="184">
        <f>IF(COUNT(DJ9,DO9,DU9)=0,"",SUM(DJ9,DO9,DU9)/COUNT(DJ9,DO9,DU9))</f>
        <v>3.5</v>
      </c>
      <c r="DX9" s="207" t="str">
        <f t="shared" si="27"/>
        <v>B</v>
      </c>
      <c r="DY9" s="129"/>
      <c r="DZ9" s="130"/>
      <c r="EA9" s="131"/>
      <c r="EB9" s="184" t="str">
        <f>IFERROR((((COUNTIF('Elève (5ème3)'!DY9:EA9,"A"))*4)+((COUNTIF('Elève (5ème3)'!DY9:EA9,"B"))*3)+((COUNTIF('Elève (5ème3)'!DY9:EA9,"C"))*2)+((COUNTIF('Elève (5ème3)'!DY9:EA9,"D"))*1))/(COUNTA(DY9:EA9)),"")</f>
        <v/>
      </c>
      <c r="EC9" s="185" t="str">
        <f t="shared" si="28"/>
        <v/>
      </c>
      <c r="ED9" s="129"/>
      <c r="EE9" s="130"/>
      <c r="EF9" s="131" t="s">
        <v>30</v>
      </c>
      <c r="EG9" s="184">
        <f>IFERROR((((COUNTIF('Elève (5ème3)'!ED9:EF9,"A"))*4)+((COUNTIF('Elève (5ème3)'!ED9:EF9,"B"))*3)+((COUNTIF('Elève (5ème3)'!ED9:EF9,"C"))*2)+((COUNTIF('Elève (5ème3)'!ED9:EF9,"D"))*1))/(COUNTA(ED9:EF9)),"")</f>
        <v>1</v>
      </c>
      <c r="EH9" s="185" t="str">
        <f t="shared" si="29"/>
        <v>D</v>
      </c>
      <c r="EI9" s="129"/>
      <c r="EJ9" s="130"/>
      <c r="EK9" s="131"/>
      <c r="EL9" s="135"/>
      <c r="EM9" s="184" t="str">
        <f>IFERROR((((COUNTIF('Elève (5ème3)'!EI9:EL9,"A"))*4)+((COUNTIF('Elève (5ème3)'!EI9:EL9,"B"))*3)+((COUNTIF('Elève (5ème3)'!EI9:EL9,"C"))*2)+((COUNTIF('Elève (5ème3)'!EI9:EL9,"D"))*1))/(COUNTA(EI9:EL9)),"")</f>
        <v/>
      </c>
      <c r="EN9" s="185" t="str">
        <f t="shared" si="30"/>
        <v/>
      </c>
      <c r="EO9" s="184">
        <f>IF(COUNT(EB9,EG9,EM9)=0,"",SUM(EB9,EG9,EM9)/COUNT(EB9,EG9,EM9))</f>
        <v>1</v>
      </c>
      <c r="EP9" s="207" t="str">
        <f t="shared" si="31"/>
        <v>D</v>
      </c>
      <c r="EQ9" s="129"/>
      <c r="ER9" s="130"/>
      <c r="ES9" s="131"/>
      <c r="ET9" s="184" t="str">
        <f>IFERROR((((COUNTIF('Elève (5ème3)'!EQ9:ES9,"A"))*4)+((COUNTIF('Elève (5ème3)'!EQ9:ES9,"B"))*3)+((COUNTIF('Elève (5ème3)'!EQ9:ES9,"C"))*2)+((COUNTIF('Elève (5ème3)'!EQ9:ES9,"D"))*1))/(COUNTA(EQ9:ES9)),"")</f>
        <v/>
      </c>
      <c r="EU9" s="185" t="str">
        <f t="shared" si="32"/>
        <v/>
      </c>
      <c r="EV9" s="129"/>
      <c r="EW9" s="130"/>
      <c r="EX9" s="131" t="s">
        <v>29</v>
      </c>
      <c r="EY9" s="184">
        <f>IFERROR((((COUNTIF('Elève (5ème3)'!EV9:EX9,"A"))*4)+((COUNTIF('Elève (5ème3)'!EV9:EX9,"B"))*3)+((COUNTIF('Elève (5ème3)'!EV9:EX9,"C"))*2)+((COUNTIF('Elève (5ème3)'!EV9:EX9,"D"))*1))/(COUNTA(EV9:EX9)),"")</f>
        <v>2</v>
      </c>
      <c r="EZ9" s="185" t="str">
        <f t="shared" si="33"/>
        <v>C</v>
      </c>
      <c r="FA9" s="129"/>
      <c r="FB9" s="130"/>
      <c r="FC9" s="131"/>
      <c r="FD9" s="135" t="s">
        <v>27</v>
      </c>
      <c r="FE9" s="184">
        <f>IFERROR((((COUNTIF('Elève (5ème3)'!FA9:FD9,"A"))*4)+((COUNTIF('Elève (5ème3)'!FA9:FD9,"B"))*3)+((COUNTIF('Elève (5ème3)'!FA9:FD9,"C"))*2)+((COUNTIF('Elève (5ème3)'!FA9:FD9,"D"))*1))/(COUNTA(FA9:FD9)),"")</f>
        <v>4</v>
      </c>
      <c r="FF9" s="185" t="str">
        <f t="shared" si="34"/>
        <v>A</v>
      </c>
      <c r="FG9" s="184">
        <f>IF(COUNT(ET9,EY9,FE9)=0,"",SUM(ET9,EY9,FE9)/COUNT(ET9,EY9,FE9))</f>
        <v>3</v>
      </c>
      <c r="FH9" s="207" t="str">
        <f t="shared" si="35"/>
        <v>B</v>
      </c>
      <c r="FI9" s="129"/>
      <c r="FJ9" s="130"/>
      <c r="FK9" s="131"/>
      <c r="FL9" s="184" t="str">
        <f>IFERROR((((COUNTIF('Elève (5ème3)'!FI9:FK9,"A"))*4)+((COUNTIF('Elève (5ème3)'!FI9:FK9,"B"))*3)+((COUNTIF('Elève (5ème3)'!FI9:FK9,"C"))*2)+((COUNTIF('Elève (5ème3)'!FI9:FK9,"D"))*1))/(COUNTA(FI9:FK9)),"")</f>
        <v/>
      </c>
      <c r="FM9" s="185" t="str">
        <f t="shared" si="36"/>
        <v/>
      </c>
      <c r="FN9" s="129"/>
      <c r="FO9" s="130"/>
      <c r="FP9" s="131" t="s">
        <v>28</v>
      </c>
      <c r="FQ9" s="184">
        <f>IFERROR((((COUNTIF('Elève (5ème3)'!FN9:FP9,"A"))*4)+((COUNTIF('Elève (5ème3)'!FN9:FP9,"B"))*3)+((COUNTIF('Elève (5ème3)'!FN9:FP9,"C"))*2)+((COUNTIF('Elève (5ème3)'!FN9:FP9,"D"))*1))/(COUNTA(FN9:FP9)),"")</f>
        <v>3</v>
      </c>
      <c r="FR9" s="185" t="str">
        <f t="shared" si="37"/>
        <v>B</v>
      </c>
      <c r="FS9" s="129"/>
      <c r="FT9" s="130"/>
      <c r="FU9" s="131"/>
      <c r="FV9" s="135" t="s">
        <v>28</v>
      </c>
      <c r="FW9" s="184">
        <f>IFERROR((((COUNTIF('Elève (5ème3)'!FS9:FV9,"A"))*4)+((COUNTIF('Elève (5ème3)'!FS9:FV9,"B"))*3)+((COUNTIF('Elève (5ème3)'!FS9:FV9,"C"))*2)+((COUNTIF('Elève (5ème3)'!FS9:FV9,"D"))*1))/(COUNTA(FS9:FV9)),"")</f>
        <v>3</v>
      </c>
      <c r="FX9" s="185" t="str">
        <f t="shared" si="38"/>
        <v>B</v>
      </c>
      <c r="FY9" s="184">
        <f>IF(COUNT(FL9,FQ9,FW9)=0,"",SUM(FL9,FQ9,FW9)/COUNT(FL9,FQ9,FW9))</f>
        <v>3</v>
      </c>
      <c r="FZ9" s="207" t="str">
        <f t="shared" si="39"/>
        <v>B</v>
      </c>
      <c r="GA9" s="129"/>
      <c r="GB9" s="130"/>
      <c r="GC9" s="131"/>
      <c r="GD9" s="184" t="str">
        <f>IFERROR((((COUNTIF('Elève (5ème3)'!GA9:GC9,"A"))*4)+((COUNTIF('Elève (5ème3)'!GA9:GC9,"B"))*3)+((COUNTIF('Elève (5ème3)'!GA9:GC9,"C"))*2)+((COUNTIF('Elève (5ème3)'!GA9:GC9,"D"))*1))/(COUNTA(GA9:GC9)),"")</f>
        <v/>
      </c>
      <c r="GE9" s="185" t="str">
        <f t="shared" si="40"/>
        <v/>
      </c>
      <c r="GF9" s="129"/>
      <c r="GG9" s="130"/>
      <c r="GH9" s="131" t="s">
        <v>28</v>
      </c>
      <c r="GI9" s="184">
        <f>IFERROR((((COUNTIF('Elève (5ème3)'!GF9:GH9,"A"))*4)+((COUNTIF('Elève (5ème3)'!GF9:GH9,"B"))*3)+((COUNTIF('Elève (5ème3)'!GF9:GH9,"C"))*2)+((COUNTIF('Elève (5ème3)'!GF9:GH9,"D"))*1))/(COUNTA(GF9:GH9)),"")</f>
        <v>3</v>
      </c>
      <c r="GJ9" s="185" t="str">
        <f t="shared" si="41"/>
        <v>B</v>
      </c>
      <c r="GK9" s="129"/>
      <c r="GL9" s="130"/>
      <c r="GM9" s="131"/>
      <c r="GN9" s="135"/>
      <c r="GO9" s="184" t="str">
        <f>IFERROR((((COUNTIF('Elève (5ème3)'!GK9:GN9,"A"))*4)+((COUNTIF('Elève (5ème3)'!GK9:GN9,"B"))*3)+((COUNTIF('Elève (5ème3)'!GK9:GN9,"C"))*2)+((COUNTIF('Elève (5ème3)'!GK9:GN9,"D"))*1))/(COUNTA(GK9:GN9)),"")</f>
        <v/>
      </c>
      <c r="GP9" s="185" t="str">
        <f t="shared" si="42"/>
        <v/>
      </c>
      <c r="GQ9" s="184">
        <f>IF(COUNT(GD9,GI9,GO9)=0,"",SUM(GD9,GI9,GO9)/COUNT(GD9,GI9,GO9))</f>
        <v>3</v>
      </c>
      <c r="GR9" s="207" t="str">
        <f t="shared" si="43"/>
        <v>B</v>
      </c>
      <c r="GS9" s="129"/>
      <c r="GT9" s="130"/>
      <c r="GU9" s="131"/>
      <c r="GV9" s="184" t="str">
        <f>IFERROR((((COUNTIF('Elève (5ème3)'!GS9:GU9,"A"))*4)+((COUNTIF('Elève (5ème3)'!GS9:GU9,"B"))*3)+((COUNTIF('Elève (5ème3)'!GS9:GU9,"C"))*2)+((COUNTIF('Elève (5ème3)'!GS9:GU9,"D"))*1))/(COUNTA(GS9:GU9)),"")</f>
        <v/>
      </c>
      <c r="GW9" s="185" t="str">
        <f t="shared" si="44"/>
        <v/>
      </c>
      <c r="GX9" s="129"/>
      <c r="GY9" s="130"/>
      <c r="GZ9" s="131" t="s">
        <v>28</v>
      </c>
      <c r="HA9" s="184">
        <f>IFERROR((((COUNTIF('Elève (5ème3)'!GX9:GZ9,"A"))*4)+((COUNTIF('Elève (5ème3)'!GX9:GZ9,"B"))*3)+((COUNTIF('Elève (5ème3)'!GX9:GZ9,"C"))*2)+((COUNTIF('Elève (5ème3)'!GX9:GZ9,"D"))*1))/(COUNTA(GX9:GZ9)),"")</f>
        <v>3</v>
      </c>
      <c r="HB9" s="185" t="str">
        <f t="shared" si="45"/>
        <v>B</v>
      </c>
      <c r="HC9" s="129"/>
      <c r="HD9" s="130"/>
      <c r="HE9" s="131"/>
      <c r="HF9" s="135" t="s">
        <v>30</v>
      </c>
      <c r="HG9" s="184">
        <f>IFERROR((((COUNTIF('Elève (5ème3)'!HC9:HF9,"A"))*4)+((COUNTIF('Elève (5ème3)'!HC9:HF9,"B"))*3)+((COUNTIF('Elève (5ème3)'!HC9:HF9,"C"))*2)+((COUNTIF('Elève (5ème3)'!HC9:HF9,"D"))*1))/(COUNTA(HC9:HF9)),"")</f>
        <v>1</v>
      </c>
      <c r="HH9" s="185" t="str">
        <f t="shared" si="46"/>
        <v>D</v>
      </c>
      <c r="HI9" s="184">
        <f>IF(COUNT(GV9,HA9,HG9)=0,"",SUM(GV9,HA9,HG9)/COUNT(GV9,HA9,HG9))</f>
        <v>2</v>
      </c>
      <c r="HJ9" s="207" t="str">
        <f t="shared" si="47"/>
        <v>C</v>
      </c>
      <c r="HK9" s="129"/>
      <c r="HL9" s="130"/>
      <c r="HM9" s="131"/>
      <c r="HN9" s="184" t="str">
        <f>IFERROR((((COUNTIF('Elève (5ème3)'!HK9:HM9,"A"))*4)+((COUNTIF('Elève (5ème3)'!HK9:HM9,"B"))*3)+((COUNTIF('Elève (5ème3)'!HK9:HM9,"C"))*2)+((COUNTIF('Elève (5ème3)'!HK9:HM9,"D"))*1))/(COUNTA(HK9:HM9)),"")</f>
        <v/>
      </c>
      <c r="HO9" s="185" t="str">
        <f t="shared" si="48"/>
        <v/>
      </c>
      <c r="HP9" s="129"/>
      <c r="HQ9" s="130"/>
      <c r="HR9" s="131" t="s">
        <v>28</v>
      </c>
      <c r="HS9" s="184">
        <f>IFERROR((((COUNTIF('Elève (5ème3)'!HP9:HR9,"A"))*4)+((COUNTIF('Elève (5ème3)'!HP9:HR9,"B"))*3)+((COUNTIF('Elève (5ème3)'!HP9:HR9,"C"))*2)+((COUNTIF('Elève (5ème3)'!HP9:HR9,"D"))*1))/(COUNTA(HP9:HR9)),"")</f>
        <v>3</v>
      </c>
      <c r="HT9" s="185" t="str">
        <f t="shared" si="49"/>
        <v>B</v>
      </c>
      <c r="HU9" s="129"/>
      <c r="HV9" s="130"/>
      <c r="HW9" s="131"/>
      <c r="HX9" s="135" t="s">
        <v>28</v>
      </c>
      <c r="HY9" s="184">
        <f>IFERROR((((COUNTIF('Elève (5ème3)'!HU9:HX9,"A"))*4)+((COUNTIF('Elève (5ème3)'!HU9:HX9,"B"))*3)+((COUNTIF('Elève (5ème3)'!HU9:HX9,"C"))*2)+((COUNTIF('Elève (5ème3)'!HU9:HX9,"D"))*1))/(COUNTA(HU9:HX9)),"")</f>
        <v>3</v>
      </c>
      <c r="HZ9" s="185" t="str">
        <f t="shared" si="50"/>
        <v>B</v>
      </c>
      <c r="IA9" s="184">
        <f>IF(COUNT(HN9,HS9,HY9)=0,"",SUM(HN9,HS9,HY9)/COUNT(HN9,HS9,HY9))</f>
        <v>3</v>
      </c>
      <c r="IB9" s="207" t="str">
        <f t="shared" si="51"/>
        <v>B</v>
      </c>
      <c r="IC9" s="129"/>
      <c r="ID9" s="130"/>
      <c r="IE9" s="131"/>
      <c r="IF9" s="184" t="str">
        <f>IFERROR((((COUNTIF('Elève (5ème3)'!IC9:IE9,"A"))*4)+((COUNTIF('Elève (5ème3)'!IC9:IE9,"B"))*3)+((COUNTIF('Elève (5ème3)'!IC9:IE9,"C"))*2)+((COUNTIF('Elève (5ème3)'!IC9:IE9,"D"))*1))/(COUNTA(IC9:IE9)),"")</f>
        <v/>
      </c>
      <c r="IG9" s="185" t="str">
        <f t="shared" si="52"/>
        <v/>
      </c>
      <c r="IH9" s="129"/>
      <c r="II9" s="130"/>
      <c r="IJ9" s="131" t="s">
        <v>28</v>
      </c>
      <c r="IK9" s="184">
        <f>IFERROR((((COUNTIF('Elève (5ème3)'!IH9:IJ9,"A"))*4)+((COUNTIF('Elève (5ème3)'!IH9:IJ9,"B"))*3)+((COUNTIF('Elève (5ème3)'!IH9:IJ9,"C"))*2)+((COUNTIF('Elève (5ème3)'!IH9:IJ9,"D"))*1))/(COUNTA(IH9:IJ9)),"")</f>
        <v>3</v>
      </c>
      <c r="IL9" s="185" t="str">
        <f t="shared" si="53"/>
        <v>B</v>
      </c>
      <c r="IM9" s="129"/>
      <c r="IN9" s="130"/>
      <c r="IO9" s="131"/>
      <c r="IP9" s="135" t="s">
        <v>29</v>
      </c>
      <c r="IQ9" s="184">
        <f>IFERROR((((COUNTIF('Elève (5ème3)'!IM9:IP9,"A"))*4)+((COUNTIF('Elève (5ème3)'!IM9:IP9,"B"))*3)+((COUNTIF('Elève (5ème3)'!IM9:IP9,"C"))*2)+((COUNTIF('Elève (5ème3)'!IM9:IP9,"D"))*1))/(COUNTA(IM9:IP9)),"")</f>
        <v>2</v>
      </c>
      <c r="IR9" s="185" t="str">
        <f t="shared" si="54"/>
        <v>C</v>
      </c>
      <c r="IS9" s="184">
        <f>IF(COUNT(IF9,IK9,IQ9)=0,"",SUM(IF9,IK9,IQ9)/COUNT(IF9,IK9,IQ9))</f>
        <v>2.5</v>
      </c>
      <c r="IT9" s="207" t="str">
        <f t="shared" si="55"/>
        <v>C</v>
      </c>
      <c r="IU9" s="129"/>
      <c r="IV9" s="130"/>
      <c r="IW9" s="131"/>
      <c r="IX9" s="184" t="str">
        <f>IFERROR((((COUNTIF('Elève (5ème3)'!IU9:IW9,"A"))*4)+((COUNTIF('Elève (5ème3)'!IU9:IW9,"B"))*3)+((COUNTIF('Elève (5ème3)'!IU9:IW9,"C"))*2)+((COUNTIF('Elève (5ème3)'!IU9:IW9,"D"))*1))/(COUNTA(IU9:IW9)),"")</f>
        <v/>
      </c>
      <c r="IY9" s="185" t="str">
        <f t="shared" si="56"/>
        <v/>
      </c>
      <c r="IZ9" s="129"/>
      <c r="JA9" s="130"/>
      <c r="JB9" s="131" t="s">
        <v>29</v>
      </c>
      <c r="JC9" s="184">
        <f>IFERROR((((COUNTIF('Elève (5ème3)'!IZ9:JB9,"A"))*4)+((COUNTIF('Elève (5ème3)'!IZ9:JB9,"B"))*3)+((COUNTIF('Elève (5ème3)'!IZ9:JB9,"C"))*2)+((COUNTIF('Elève (5ème3)'!IZ9:JB9,"D"))*1))/(COUNTA(IZ9:JB9)),"")</f>
        <v>2</v>
      </c>
      <c r="JD9" s="185" t="str">
        <f t="shared" si="57"/>
        <v>C</v>
      </c>
      <c r="JE9" s="129"/>
      <c r="JF9" s="130"/>
      <c r="JG9" s="131"/>
      <c r="JH9" s="135" t="s">
        <v>30</v>
      </c>
      <c r="JI9" s="184">
        <f>IFERROR((((COUNTIF('Elève (5ème3)'!JE9:JH9,"A"))*4)+((COUNTIF('Elève (5ème3)'!JE9:JH9,"B"))*3)+((COUNTIF('Elève (5ème3)'!JE9:JH9,"C"))*2)+((COUNTIF('Elève (5ème3)'!JE9:JH9,"D"))*1))/(COUNTA(JE9:JH9)),"")</f>
        <v>1</v>
      </c>
      <c r="JJ9" s="185" t="str">
        <f t="shared" si="58"/>
        <v>D</v>
      </c>
      <c r="JK9" s="184">
        <f>IF(COUNT(IX9,JC9,JI9)=0,"",SUM(IX9,JC9,JI9)/COUNT(IX9,JC9,JI9))</f>
        <v>1.5</v>
      </c>
      <c r="JL9" s="207" t="str">
        <f t="shared" si="59"/>
        <v>D</v>
      </c>
      <c r="JM9" s="129"/>
      <c r="JN9" s="130"/>
      <c r="JO9" s="131"/>
      <c r="JP9" s="184" t="str">
        <f>IFERROR((((COUNTIF('Elève (5ème3)'!JM9:JO9,"A"))*4)+((COUNTIF('Elève (5ème3)'!JM9:JO9,"B"))*3)+((COUNTIF('Elève (5ème3)'!JM9:JO9,"C"))*2)+((COUNTIF('Elève (5ème3)'!JM9:JO9,"D"))*1))/(COUNTA(JM9:JO9)),"")</f>
        <v/>
      </c>
      <c r="JQ9" s="185" t="str">
        <f t="shared" si="60"/>
        <v/>
      </c>
      <c r="JR9" s="129"/>
      <c r="JS9" s="130"/>
      <c r="JT9" s="131" t="s">
        <v>29</v>
      </c>
      <c r="JU9" s="184">
        <f>IFERROR((((COUNTIF('Elève (5ème3)'!JR9:JT9,"A"))*4)+((COUNTIF('Elève (5ème3)'!JR9:JT9,"B"))*3)+((COUNTIF('Elève (5ème3)'!JR9:JT9,"C"))*2)+((COUNTIF('Elève (5ème3)'!JR9:JT9,"D"))*1))/(COUNTA(JR9:JT9)),"")</f>
        <v>2</v>
      </c>
      <c r="JV9" s="185" t="str">
        <f t="shared" si="61"/>
        <v>C</v>
      </c>
      <c r="JW9" s="129"/>
      <c r="JX9" s="130"/>
      <c r="JY9" s="131"/>
      <c r="JZ9" s="135" t="s">
        <v>29</v>
      </c>
      <c r="KA9" s="184">
        <f>IFERROR((((COUNTIF('Elève (5ème3)'!JW9:JZ9,"A"))*4)+((COUNTIF('Elève (5ème3)'!JW9:JZ9,"B"))*3)+((COUNTIF('Elève (5ème3)'!JW9:JZ9,"C"))*2)+((COUNTIF('Elève (5ème3)'!JW9:JZ9,"D"))*1))/(COUNTA(JW9:JZ9)),"")</f>
        <v>2</v>
      </c>
      <c r="KB9" s="185" t="str">
        <f t="shared" si="62"/>
        <v>C</v>
      </c>
      <c r="KC9" s="184">
        <f>IF(COUNT(JP9,JU9,KA9)=0,"",SUM(JP9,JU9,KA9)/COUNT(JP9,JU9,KA9))</f>
        <v>2</v>
      </c>
      <c r="KD9" s="207" t="str">
        <f t="shared" si="63"/>
        <v>C</v>
      </c>
      <c r="KE9" s="129"/>
      <c r="KF9" s="130"/>
      <c r="KG9" s="131"/>
      <c r="KH9" s="184" t="str">
        <f>IFERROR((((COUNTIF('Elève (5ème3)'!KE9:KG9,"A"))*4)+((COUNTIF('Elève (5ème3)'!KE9:KG9,"B"))*3)+((COUNTIF('Elève (5ème3)'!KE9:KG9,"C"))*2)+((COUNTIF('Elève (5ème3)'!KE9:KG9,"D"))*1))/(COUNTA(KE9:KG9)),"")</f>
        <v/>
      </c>
      <c r="KI9" s="185" t="str">
        <f t="shared" si="64"/>
        <v/>
      </c>
      <c r="KJ9" s="129"/>
      <c r="KK9" s="130"/>
      <c r="KL9" s="131" t="s">
        <v>28</v>
      </c>
      <c r="KM9" s="184">
        <f>IFERROR((((COUNTIF('Elève (5ème3)'!KJ9:KL9,"A"))*4)+((COUNTIF('Elève (5ème3)'!KJ9:KL9,"B"))*3)+((COUNTIF('Elève (5ème3)'!KJ9:KL9,"C"))*2)+((COUNTIF('Elève (5ème3)'!KJ9:KL9,"D"))*1))/(COUNTA(KJ9:KL9)),"")</f>
        <v>3</v>
      </c>
      <c r="KN9" s="185" t="str">
        <f t="shared" si="65"/>
        <v>B</v>
      </c>
      <c r="KO9" s="129"/>
      <c r="KP9" s="130"/>
      <c r="KQ9" s="131"/>
      <c r="KR9" s="135" t="s">
        <v>28</v>
      </c>
      <c r="KS9" s="184">
        <f>IFERROR((((COUNTIF('Elève (5ème3)'!KO9:KR9,"A"))*4)+((COUNTIF('Elève (5ème3)'!KO9:KR9,"B"))*3)+((COUNTIF('Elève (5ème3)'!KO9:KR9,"C"))*2)+((COUNTIF('Elève (5ème3)'!KO9:KR9,"D"))*1))/(COUNTA(KO9:KR9)),"")</f>
        <v>3</v>
      </c>
      <c r="KT9" s="185" t="str">
        <f t="shared" si="66"/>
        <v>B</v>
      </c>
      <c r="KU9" s="184">
        <f>IF(COUNT(KH9,KM9,KS9)=0,"",SUM(KH9,KM9,KS9)/COUNT(KH9,KM9,KS9))</f>
        <v>3</v>
      </c>
      <c r="KV9" s="207" t="str">
        <f t="shared" si="67"/>
        <v>B</v>
      </c>
      <c r="KW9" s="129"/>
      <c r="KX9" s="130"/>
      <c r="KY9" s="131"/>
      <c r="KZ9" s="184" t="str">
        <f>IFERROR((((COUNTIF('Elève (5ème3)'!KW9:KY9,"A"))*4)+((COUNTIF('Elève (5ème3)'!KW9:KY9,"B"))*3)+((COUNTIF('Elève (5ème3)'!KW9:KY9,"C"))*2)+((COUNTIF('Elève (5ème3)'!KW9:KY9,"D"))*1))/(COUNTA(KW9:KY9)),"")</f>
        <v/>
      </c>
      <c r="LA9" s="185" t="str">
        <f t="shared" si="68"/>
        <v/>
      </c>
      <c r="LB9" s="129"/>
      <c r="LC9" s="130"/>
      <c r="LD9" s="131" t="s">
        <v>28</v>
      </c>
      <c r="LE9" s="184">
        <f>IFERROR((((COUNTIF('Elève (5ème3)'!LB9:LD9,"A"))*4)+((COUNTIF('Elève (5ème3)'!LB9:LD9,"B"))*3)+((COUNTIF('Elève (5ème3)'!LB9:LD9,"C"))*2)+((COUNTIF('Elève (5ème3)'!LB9:LD9,"D"))*1))/(COUNTA(LB9:LD9)),"")</f>
        <v>3</v>
      </c>
      <c r="LF9" s="185" t="str">
        <f t="shared" si="69"/>
        <v>B</v>
      </c>
      <c r="LG9" s="129"/>
      <c r="LH9" s="130"/>
      <c r="LI9" s="131"/>
      <c r="LJ9" s="135" t="s">
        <v>28</v>
      </c>
      <c r="LK9" s="184">
        <f>IFERROR((((COUNTIF('Elève (5ème3)'!LG9:LJ9,"A"))*4)+((COUNTIF('Elève (5ème3)'!LG9:LJ9,"B"))*3)+((COUNTIF('Elève (5ème3)'!LG9:LJ9,"C"))*2)+((COUNTIF('Elève (5ème3)'!LG9:LJ9,"D"))*1))/(COUNTA(LG9:LJ9)),"")</f>
        <v>3</v>
      </c>
      <c r="LL9" s="185" t="str">
        <f t="shared" si="70"/>
        <v>B</v>
      </c>
      <c r="LM9" s="184">
        <f>IF(COUNT(KZ9,LE9,LK9)=0,"",SUM(KZ9,LE9,LK9)/COUNT(KZ9,LE9,LK9))</f>
        <v>3</v>
      </c>
      <c r="LN9" s="207" t="str">
        <f t="shared" si="71"/>
        <v>B</v>
      </c>
      <c r="LO9" s="129"/>
      <c r="LP9" s="130"/>
      <c r="LQ9" s="131"/>
      <c r="LR9" s="184" t="str">
        <f>IFERROR((((COUNTIF('Elève (5ème3)'!LO9:LQ9,"A"))*4)+((COUNTIF('Elève (5ème3)'!LO9:LQ9,"B"))*3)+((COUNTIF('Elève (5ème3)'!LO9:LQ9,"C"))*2)+((COUNTIF('Elève (5ème3)'!LO9:LQ9,"D"))*1))/(COUNTA(LO9:LQ9)),"")</f>
        <v/>
      </c>
      <c r="LS9" s="185" t="str">
        <f t="shared" si="72"/>
        <v/>
      </c>
      <c r="LT9" s="129"/>
      <c r="LU9" s="130"/>
      <c r="LV9" s="131" t="s">
        <v>29</v>
      </c>
      <c r="LW9" s="184">
        <f>IFERROR((((COUNTIF('Elève (5ème3)'!LT9:LV9,"A"))*4)+((COUNTIF('Elève (5ème3)'!LT9:LV9,"B"))*3)+((COUNTIF('Elève (5ème3)'!LT9:LV9,"C"))*2)+((COUNTIF('Elève (5ème3)'!LT9:LV9,"D"))*1))/(COUNTA(LT9:LV9)),"")</f>
        <v>2</v>
      </c>
      <c r="LX9" s="185" t="str">
        <f t="shared" si="73"/>
        <v>C</v>
      </c>
      <c r="LY9" s="129"/>
      <c r="LZ9" s="130"/>
      <c r="MA9" s="131"/>
      <c r="MB9" s="135" t="s">
        <v>27</v>
      </c>
      <c r="MC9" s="184">
        <f>IFERROR((((COUNTIF('Elève (5ème3)'!LY9:MB9,"A"))*4)+((COUNTIF('Elève (5ème3)'!LY9:MB9,"B"))*3)+((COUNTIF('Elève (5ème3)'!LY9:MB9,"C"))*2)+((COUNTIF('Elève (5ème3)'!LY9:MB9,"D"))*1))/(COUNTA(LY9:MB9)),"")</f>
        <v>4</v>
      </c>
      <c r="MD9" s="185" t="str">
        <f t="shared" si="74"/>
        <v>A</v>
      </c>
      <c r="ME9" s="184">
        <f>IF(COUNT(LR9,LW9,MC9)=0,"",SUM(LR9,LW9,MC9)/COUNT(LR9,LW9,MC9))</f>
        <v>3</v>
      </c>
      <c r="MF9" s="207" t="str">
        <f t="shared" si="75"/>
        <v>B</v>
      </c>
      <c r="MG9" s="129"/>
      <c r="MH9" s="130"/>
      <c r="MI9" s="131"/>
      <c r="MJ9" s="184" t="str">
        <f>IFERROR((((COUNTIF('Elève (5ème3)'!MG9:MI9,"A"))*4)+((COUNTIF('Elève (5ème3)'!MG9:MI9,"B"))*3)+((COUNTIF('Elève (5ème3)'!MG9:MI9,"C"))*2)+((COUNTIF('Elève (5ème3)'!MG9:MI9,"D"))*1))/(COUNTA(MG9:MI9)),"")</f>
        <v/>
      </c>
      <c r="MK9" s="185" t="str">
        <f t="shared" si="76"/>
        <v/>
      </c>
      <c r="ML9" s="129"/>
      <c r="MM9" s="130"/>
      <c r="MN9" s="131" t="s">
        <v>29</v>
      </c>
      <c r="MO9" s="184">
        <f>IFERROR((((COUNTIF('Elève (5ème3)'!ML9:MN9,"A"))*4)+((COUNTIF('Elève (5ème3)'!ML9:MN9,"B"))*3)+((COUNTIF('Elève (5ème3)'!ML9:MN9,"C"))*2)+((COUNTIF('Elève (5ème3)'!ML9:MN9,"D"))*1))/(COUNTA(ML9:MN9)),"")</f>
        <v>2</v>
      </c>
      <c r="MP9" s="185" t="str">
        <f t="shared" si="77"/>
        <v>C</v>
      </c>
      <c r="MQ9" s="129"/>
      <c r="MR9" s="130"/>
      <c r="MS9" s="131"/>
      <c r="MT9" s="135" t="s">
        <v>27</v>
      </c>
      <c r="MU9" s="184">
        <f>IFERROR((((COUNTIF('Elève (5ème3)'!MQ9:MT9,"A"))*4)+((COUNTIF('Elève (5ème3)'!MQ9:MT9,"B"))*3)+((COUNTIF('Elève (5ème3)'!MQ9:MT9,"C"))*2)+((COUNTIF('Elève (5ème3)'!MQ9:MT9,"D"))*1))/(COUNTA(MQ9:MT9)),"")</f>
        <v>4</v>
      </c>
      <c r="MV9" s="185" t="str">
        <f t="shared" si="78"/>
        <v>A</v>
      </c>
      <c r="MW9" s="184">
        <f>IF(COUNT(MJ9,MO9,MU9)=0,"",SUM(MJ9,MO9,MU9)/COUNT(MJ9,MO9,MU9))</f>
        <v>3</v>
      </c>
      <c r="MX9" s="207" t="str">
        <f t="shared" si="79"/>
        <v>B</v>
      </c>
      <c r="MY9" s="129"/>
      <c r="MZ9" s="130"/>
      <c r="NA9" s="131"/>
      <c r="NB9" s="184" t="str">
        <f>IFERROR((((COUNTIF('Elève (5ème3)'!MY9:NA9,"A"))*4)+((COUNTIF('Elève (5ème3)'!MY9:NA9,"B"))*3)+((COUNTIF('Elève (5ème3)'!MY9:NA9,"C"))*2)+((COUNTIF('Elève (5ème3)'!MY9:NA9,"D"))*1))/(COUNTA(MY9:NA9)),"")</f>
        <v/>
      </c>
      <c r="NC9" s="185" t="str">
        <f t="shared" si="80"/>
        <v/>
      </c>
      <c r="ND9" s="129"/>
      <c r="NE9" s="130"/>
      <c r="NF9" s="131" t="s">
        <v>27</v>
      </c>
      <c r="NG9" s="184">
        <f>IFERROR((((COUNTIF('Elève (5ème3)'!ND9:NF9,"A"))*4)+((COUNTIF('Elève (5ème3)'!ND9:NF9,"B"))*3)+((COUNTIF('Elève (5ème3)'!ND9:NF9,"C"))*2)+((COUNTIF('Elève (5ème3)'!ND9:NF9,"D"))*1))/(COUNTA(ND9:NF9)),"")</f>
        <v>4</v>
      </c>
      <c r="NH9" s="185" t="str">
        <f t="shared" si="81"/>
        <v>A</v>
      </c>
      <c r="NI9" s="129"/>
      <c r="NJ9" s="130"/>
      <c r="NK9" s="131"/>
      <c r="NL9" s="135" t="s">
        <v>28</v>
      </c>
      <c r="NM9" s="184">
        <f>IFERROR((((COUNTIF('Elève (5ème3)'!NI9:NL9,"A"))*4)+((COUNTIF('Elève (5ème3)'!NI9:NL9,"B"))*3)+((COUNTIF('Elève (5ème3)'!NI9:NL9,"C"))*2)+((COUNTIF('Elève (5ème3)'!NI9:NL9,"D"))*1))/(COUNTA(NI9:NL9)),"")</f>
        <v>3</v>
      </c>
      <c r="NN9" s="185" t="str">
        <f t="shared" si="82"/>
        <v>B</v>
      </c>
      <c r="NO9" s="184">
        <f>IF(COUNT(NB9,NG9,NM9)=0,"",SUM(NB9,NG9,NM9)/COUNT(NB9,NG9,NM9))</f>
        <v>3.5</v>
      </c>
      <c r="NP9" s="207" t="str">
        <f t="shared" si="83"/>
        <v>B</v>
      </c>
      <c r="NQ9" s="129"/>
      <c r="NR9" s="130"/>
      <c r="NS9" s="131"/>
      <c r="NT9" s="184" t="str">
        <f>IFERROR((((COUNTIF('Elève (5ème3)'!NQ9:NS9,"A"))*4)+((COUNTIF('Elève (5ème3)'!NQ9:NS9,"B"))*3)+((COUNTIF('Elève (5ème3)'!NQ9:NS9,"C"))*2)+((COUNTIF('Elève (5ème3)'!NQ9:NS9,"D"))*1))/(COUNTA(NQ9:NS9)),"")</f>
        <v/>
      </c>
      <c r="NU9" s="185" t="str">
        <f t="shared" si="84"/>
        <v/>
      </c>
      <c r="NV9" s="129"/>
      <c r="NW9" s="130"/>
      <c r="NX9" s="131" t="s">
        <v>28</v>
      </c>
      <c r="NY9" s="184">
        <f>IFERROR((((COUNTIF('Elève (5ème3)'!NV9:NX9,"A"))*4)+((COUNTIF('Elève (5ème3)'!NV9:NX9,"B"))*3)+((COUNTIF('Elève (5ème3)'!NV9:NX9,"C"))*2)+((COUNTIF('Elève (5ème3)'!NV9:NX9,"D"))*1))/(COUNTA(NV9:NX9)),"")</f>
        <v>3</v>
      </c>
      <c r="NZ9" s="185" t="str">
        <f t="shared" si="85"/>
        <v>B</v>
      </c>
      <c r="OA9" s="129"/>
      <c r="OB9" s="130"/>
      <c r="OC9" s="131"/>
      <c r="OD9" s="135" t="s">
        <v>29</v>
      </c>
      <c r="OE9" s="184">
        <f>IFERROR((((COUNTIF('Elève (5ème3)'!OA9:OD9,"A"))*4)+((COUNTIF('Elève (5ème3)'!OA9:OD9,"B"))*3)+((COUNTIF('Elève (5ème3)'!OA9:OD9,"C"))*2)+((COUNTIF('Elève (5ème3)'!OA9:OD9,"D"))*1))/(COUNTA(OA9:OD9)),"")</f>
        <v>2</v>
      </c>
      <c r="OF9" s="185" t="str">
        <f t="shared" si="86"/>
        <v>C</v>
      </c>
      <c r="OG9" s="184">
        <f>IF(COUNT(NT9,NY9,OE9)=0,"",SUM(NT9,NY9,OE9)/COUNT(NT9,NY9,OE9))</f>
        <v>2.5</v>
      </c>
      <c r="OH9" s="207" t="str">
        <f t="shared" si="87"/>
        <v>C</v>
      </c>
      <c r="OI9" s="129"/>
      <c r="OJ9" s="130"/>
      <c r="OK9" s="131"/>
      <c r="OL9" s="184" t="str">
        <f>IFERROR((((COUNTIF('Elève (5ème3)'!OI9:OK9,"A"))*4)+((COUNTIF('Elève (5ème3)'!OI9:OK9,"B"))*3)+((COUNTIF('Elève (5ème3)'!OI9:OK9,"C"))*2)+((COUNTIF('Elève (5ème3)'!OI9:OK9,"D"))*1))/(COUNTA(OI9:OK9)),"")</f>
        <v/>
      </c>
      <c r="OM9" s="185" t="str">
        <f t="shared" si="88"/>
        <v/>
      </c>
      <c r="ON9" s="129"/>
      <c r="OO9" s="130"/>
      <c r="OP9" s="131"/>
      <c r="OQ9" s="184" t="str">
        <f>IFERROR((((COUNTIF('Elève (5ème3)'!ON9:OP9,"A"))*4)+((COUNTIF('Elève (5ème3)'!ON9:OP9,"B"))*3)+((COUNTIF('Elève (5ème3)'!ON9:OP9,"C"))*2)+((COUNTIF('Elève (5ème3)'!ON9:OP9,"D"))*1))/(COUNTA(ON9:OP9)),"")</f>
        <v/>
      </c>
      <c r="OR9" s="185" t="str">
        <f t="shared" si="89"/>
        <v/>
      </c>
      <c r="OS9" s="129"/>
      <c r="OT9" s="130"/>
      <c r="OU9" s="131"/>
      <c r="OV9" s="135" t="s">
        <v>29</v>
      </c>
      <c r="OW9" s="184">
        <f>IFERROR((((COUNTIF('Elève (5ème3)'!OS9:OV9,"A"))*4)+((COUNTIF('Elève (5ème3)'!OS9:OV9,"B"))*3)+((COUNTIF('Elève (5ème3)'!OS9:OV9,"C"))*2)+((COUNTIF('Elève (5ème3)'!OS9:OV9,"D"))*1))/(COUNTA(OS9:OV9)),"")</f>
        <v>2</v>
      </c>
      <c r="OX9" s="185" t="str">
        <f t="shared" si="90"/>
        <v>C</v>
      </c>
      <c r="OY9" s="184">
        <f>IF(COUNT(OL9,OQ9,OW9)=0,"",SUM(OL9,OQ9,OW9)/COUNT(OL9,OQ9,OW9))</f>
        <v>2</v>
      </c>
      <c r="OZ9" s="207" t="str">
        <f t="shared" si="91"/>
        <v>C</v>
      </c>
      <c r="PA9" s="129"/>
      <c r="PB9" s="130"/>
      <c r="PC9" s="131"/>
      <c r="PD9" s="184" t="str">
        <f>IFERROR((((COUNTIF('Elève (5ème3)'!PA9:PC9,"A"))*4)+((COUNTIF('Elève (5ème3)'!PA9:PC9,"B"))*3)+((COUNTIF('Elève (5ème3)'!PA9:PC9,"C"))*2)+((COUNTIF('Elève (5ème3)'!PA9:PC9,"D"))*1))/(COUNTA(PA9:PC9)),"")</f>
        <v/>
      </c>
      <c r="PE9" s="185" t="str">
        <f t="shared" si="92"/>
        <v/>
      </c>
      <c r="PF9" s="129"/>
      <c r="PG9" s="130"/>
      <c r="PH9" s="131" t="s">
        <v>29</v>
      </c>
      <c r="PI9" s="184">
        <f>IFERROR((((COUNTIF('Elève (5ème3)'!PF9:PH9,"A"))*4)+((COUNTIF('Elève (5ème3)'!PF9:PH9,"B"))*3)+((COUNTIF('Elève (5ème3)'!PF9:PH9,"C"))*2)+((COUNTIF('Elève (5ème3)'!PF9:PH9,"D"))*1))/(COUNTA(PF9:PH9)),"")</f>
        <v>2</v>
      </c>
      <c r="PJ9" s="185" t="str">
        <f t="shared" si="93"/>
        <v>C</v>
      </c>
      <c r="PK9" s="129"/>
      <c r="PL9" s="130"/>
      <c r="PM9" s="131"/>
      <c r="PN9" s="135" t="s">
        <v>29</v>
      </c>
      <c r="PO9" s="184">
        <f>IFERROR((((COUNTIF('Elève (5ème3)'!PK9:PN9,"A"))*4)+((COUNTIF('Elève (5ème3)'!PK9:PN9,"B"))*3)+((COUNTIF('Elève (5ème3)'!PK9:PN9,"C"))*2)+((COUNTIF('Elève (5ème3)'!PK9:PN9,"D"))*1))/(COUNTA(PK9:PN9)),"")</f>
        <v>2</v>
      </c>
      <c r="PP9" s="185" t="str">
        <f t="shared" si="94"/>
        <v>C</v>
      </c>
      <c r="PQ9" s="184">
        <f>IF(COUNT(PD9,PI9,PO9)=0,"",SUM(PD9,PI9,PO9)/COUNT(PD9,PI9,PO9))</f>
        <v>2</v>
      </c>
      <c r="PR9" s="207" t="str">
        <f t="shared" si="95"/>
        <v>C</v>
      </c>
      <c r="PS9" s="129"/>
      <c r="PT9" s="130"/>
      <c r="PU9" s="131"/>
      <c r="PV9" s="184" t="str">
        <f>IFERROR((((COUNTIF('Elève (5ème3)'!PS9:PU9,"A"))*4)+((COUNTIF('Elève (5ème3)'!PS9:PU9,"B"))*3)+((COUNTIF('Elève (5ème3)'!PS9:PU9,"C"))*2)+((COUNTIF('Elève (5ème3)'!PS9:PU9,"D"))*1))/(COUNTA(PS9:PU9)),"")</f>
        <v/>
      </c>
      <c r="PW9" s="185" t="str">
        <f t="shared" si="96"/>
        <v/>
      </c>
      <c r="PX9" s="129"/>
      <c r="PY9" s="130"/>
      <c r="PZ9" s="131" t="s">
        <v>27</v>
      </c>
      <c r="QA9" s="184">
        <f>IFERROR((((COUNTIF('Elève (5ème3)'!PX9:PZ9,"A"))*4)+((COUNTIF('Elève (5ème3)'!PX9:PZ9,"B"))*3)+((COUNTIF('Elève (5ème3)'!PX9:PZ9,"C"))*2)+((COUNTIF('Elève (5ème3)'!PX9:PZ9,"D"))*1))/(COUNTA(PX9:PZ9)),"")</f>
        <v>4</v>
      </c>
      <c r="QB9" s="185" t="str">
        <f t="shared" si="97"/>
        <v>A</v>
      </c>
      <c r="QC9" s="129"/>
      <c r="QD9" s="130"/>
      <c r="QE9" s="131"/>
      <c r="QF9" s="135" t="s">
        <v>28</v>
      </c>
      <c r="QG9" s="184">
        <f>IFERROR((((COUNTIF('Elève (5ème3)'!QC9:QF9,"A"))*4)+((COUNTIF('Elève (5ème3)'!QC9:QF9,"B"))*3)+((COUNTIF('Elève (5ème3)'!QC9:QF9,"C"))*2)+((COUNTIF('Elève (5ème3)'!QC9:QF9,"D"))*1))/(COUNTA(QC9:QF9)),"")</f>
        <v>3</v>
      </c>
      <c r="QH9" s="185" t="str">
        <f t="shared" si="98"/>
        <v>B</v>
      </c>
      <c r="QI9" s="184">
        <f>IF(COUNT(PV9,QA9,QG9)=0,"",SUM(PV9,QA9,QG9)/COUNT(PV9,QA9,QG9))</f>
        <v>3.5</v>
      </c>
      <c r="QJ9" s="207" t="str">
        <f t="shared" si="99"/>
        <v>B</v>
      </c>
      <c r="QK9" s="129"/>
      <c r="QL9" s="130"/>
      <c r="QM9" s="131"/>
      <c r="QN9" s="184" t="str">
        <f>IFERROR((((COUNTIF('Elève (5ème3)'!QK9:QM9,"A"))*4)+((COUNTIF('Elève (5ème3)'!QK9:QM9,"B"))*3)+((COUNTIF('Elève (5ème3)'!QK9:QM9,"C"))*2)+((COUNTIF('Elève (5ème3)'!QK9:QM9,"D"))*1))/(COUNTA(QK9:QM9)),"")</f>
        <v/>
      </c>
      <c r="QO9" s="185" t="str">
        <f t="shared" si="100"/>
        <v/>
      </c>
      <c r="QP9" s="129"/>
      <c r="QQ9" s="130"/>
      <c r="QR9" s="131"/>
      <c r="QS9" s="184" t="str">
        <f>IFERROR((((COUNTIF('Elève (5ème3)'!QP9:QR9,"A"))*4)+((COUNTIF('Elève (5ème3)'!QP9:QR9,"B"))*3)+((COUNTIF('Elève (5ème3)'!QP9:QR9,"C"))*2)+((COUNTIF('Elève (5ème3)'!QP9:QR9,"D"))*1))/(COUNTA(QP9:QR9)),"")</f>
        <v/>
      </c>
      <c r="QT9" s="185" t="str">
        <f t="shared" si="101"/>
        <v/>
      </c>
      <c r="QU9" s="129"/>
      <c r="QV9" s="130"/>
      <c r="QW9" s="131"/>
      <c r="QX9" s="135"/>
      <c r="QY9" s="184" t="str">
        <f>IFERROR((((COUNTIF('Elève (5ème3)'!QU9:QX9,"A"))*4)+((COUNTIF('Elève (5ème3)'!QU9:QX9,"B"))*3)+((COUNTIF('Elève (5ème3)'!QU9:QX9,"C"))*2)+((COUNTIF('Elève (5ème3)'!QU9:QX9,"D"))*1))/(COUNTA(QU9:QX9)),"")</f>
        <v/>
      </c>
      <c r="QZ9" s="185" t="str">
        <f t="shared" si="102"/>
        <v/>
      </c>
      <c r="RA9" s="184" t="str">
        <f>IF(COUNT(QN9,QS9,QY9)=0,"",SUM(QN9,QS9,QY9)/COUNT(QN9,QS9,QY9))</f>
        <v/>
      </c>
      <c r="RB9" s="207" t="str">
        <f t="shared" si="103"/>
        <v/>
      </c>
      <c r="RC9" s="129"/>
      <c r="RD9" s="130"/>
      <c r="RE9" s="131"/>
      <c r="RF9" s="184" t="str">
        <f>IFERROR((((COUNTIF('Elève (5ème3)'!RC9:RE9,"A"))*4)+((COUNTIF('Elève (5ème3)'!RC9:RE9,"B"))*3)+((COUNTIF('Elève (5ème3)'!RC9:RE9,"C"))*2)+((COUNTIF('Elève (5ème3)'!RC9:RE9,"D"))*1))/(COUNTA(RC9:RE9)),"")</f>
        <v/>
      </c>
      <c r="RG9" s="185" t="str">
        <f t="shared" si="104"/>
        <v/>
      </c>
      <c r="RH9" s="129"/>
      <c r="RI9" s="130"/>
      <c r="RJ9" s="131" t="s">
        <v>28</v>
      </c>
      <c r="RK9" s="184">
        <f>IFERROR((((COUNTIF('Elève (5ème3)'!RH9:RJ9,"A"))*4)+((COUNTIF('Elève (5ème3)'!RH9:RJ9,"B"))*3)+((COUNTIF('Elève (5ème3)'!RH9:RJ9,"C"))*2)+((COUNTIF('Elève (5ème3)'!RH9:RJ9,"D"))*1))/(COUNTA(RH9:RJ9)),"")</f>
        <v>3</v>
      </c>
      <c r="RL9" s="185" t="str">
        <f t="shared" si="105"/>
        <v>B</v>
      </c>
      <c r="RM9" s="129"/>
      <c r="RN9" s="130"/>
      <c r="RO9" s="131"/>
      <c r="RP9" s="135" t="s">
        <v>27</v>
      </c>
      <c r="RQ9" s="184">
        <f>IFERROR((((COUNTIF('Elève (5ème3)'!RM9:RP9,"A"))*4)+((COUNTIF('Elève (5ème3)'!RM9:RP9,"B"))*3)+((COUNTIF('Elève (5ème3)'!RM9:RP9,"C"))*2)+((COUNTIF('Elève (5ème3)'!RM9:RP9,"D"))*1))/(COUNTA(RM9:RP9)),"")</f>
        <v>4</v>
      </c>
      <c r="RR9" s="185" t="str">
        <f t="shared" si="106"/>
        <v>A</v>
      </c>
      <c r="RS9" s="184">
        <f>IF(COUNT(RF9,RK9,RQ9)=0,"",SUM(RF9,RK9,RQ9)/COUNT(RF9,RK9,RQ9))</f>
        <v>3.5</v>
      </c>
      <c r="RT9" s="207" t="str">
        <f t="shared" si="107"/>
        <v>B</v>
      </c>
      <c r="RU9" s="129"/>
      <c r="RV9" s="130"/>
      <c r="RW9" s="131"/>
      <c r="RX9" s="132" t="str">
        <f>IFERROR((((COUNTIF('Elève (5ème3)'!RU9:RW9,"A"))*4)+((COUNTIF('Elève (5ème3)'!RU9:RW9,"B"))*3)+((COUNTIF('Elève (5ème3)'!RU9:RW9,"C"))*2)+((COUNTIF('Elève (5ème3)'!RU9:RW9,"D"))*1))/(COUNTA(RU9:RW9)),"")</f>
        <v/>
      </c>
      <c r="RY9" s="133" t="str">
        <f t="shared" si="108"/>
        <v/>
      </c>
      <c r="RZ9" s="129"/>
      <c r="SA9" s="130"/>
      <c r="SB9" s="131"/>
      <c r="SC9" s="132" t="str">
        <f>IFERROR((((COUNTIF('Elève (5ème3)'!RZ9:SB9,"A"))*4)+((COUNTIF('Elève (5ème3)'!RZ9:SB9,"B"))*3)+((COUNTIF('Elève (5ème3)'!RZ9:SB9,"C"))*2)+((COUNTIF('Elève (5ème3)'!RZ9:SB9,"D"))*1))/(COUNTA(RZ9:SB9)),"")</f>
        <v/>
      </c>
      <c r="SD9" s="133" t="str">
        <f t="shared" si="109"/>
        <v/>
      </c>
      <c r="SE9" s="129"/>
      <c r="SF9" s="130"/>
      <c r="SG9" s="135"/>
      <c r="SH9" s="132" t="str">
        <f>IFERROR((((COUNTIF('Elève (5ème3)'!SE9:SG9,"A"))*4)+((COUNTIF('Elève (5ème3)'!SE9:SG9,"B"))*3)+((COUNTIF('Elève (5ème3)'!SE9:SG9,"C"))*2)+((COUNTIF('Elève (5ème3)'!SE9:SG9,"D"))*1))/(COUNTA(SE9:SG9)),"")</f>
        <v/>
      </c>
      <c r="SI9" s="133" t="str">
        <f t="shared" si="110"/>
        <v/>
      </c>
      <c r="SJ9" s="132" t="str">
        <f>IF(COUNT(RX9,SC9,SH9)=0,"",SUM(RX9,SC9,SH9)/COUNT(RX9,SC9,SH9))</f>
        <v/>
      </c>
      <c r="SK9" s="134" t="str">
        <f t="shared" si="111"/>
        <v/>
      </c>
      <c r="SL9" s="129"/>
      <c r="SM9" s="130"/>
      <c r="SN9" s="131"/>
      <c r="SO9" s="132" t="str">
        <f>IFERROR((((COUNTIF('Elève (5ème3)'!SL9:SN9,"A"))*4)+((COUNTIF('Elève (5ème3)'!SL9:SN9,"B"))*3)+((COUNTIF('Elève (5ème3)'!SL9:SN9,"C"))*2)+((COUNTIF('Elève (5ème3)'!SL9:SN9,"D"))*1))/(COUNTA(SL9:SN9)),"")</f>
        <v/>
      </c>
      <c r="SP9" s="133" t="str">
        <f t="shared" si="112"/>
        <v/>
      </c>
      <c r="SQ9" s="129"/>
      <c r="SR9" s="130"/>
      <c r="SS9" s="131"/>
      <c r="ST9" s="132" t="str">
        <f>IFERROR((((COUNTIF('Elève (5ème3)'!SQ9:SS9,"A"))*4)+((COUNTIF('Elève (5ème3)'!SQ9:SS9,"B"))*3)+((COUNTIF('Elève (5ème3)'!SQ9:SS9,"C"))*2)+((COUNTIF('Elève (5ème3)'!SQ9:SS9,"D"))*1))/(COUNTA(SQ9:SS9)),"")</f>
        <v/>
      </c>
      <c r="SU9" s="133" t="str">
        <f t="shared" si="113"/>
        <v/>
      </c>
      <c r="SV9" s="129"/>
      <c r="SW9" s="130"/>
      <c r="SX9" s="135"/>
      <c r="SY9" s="132" t="str">
        <f>IFERROR((((COUNTIF('Elève (5ème3)'!SV9:SX9,"A"))*4)+((COUNTIF('Elève (5ème3)'!SV9:SX9,"B"))*3)+((COUNTIF('Elève (5ème3)'!SV9:SX9,"C"))*2)+((COUNTIF('Elève (5ème3)'!SV9:SX9,"D"))*1))/(COUNTA(SV9:SX9)),"")</f>
        <v/>
      </c>
      <c r="SZ9" s="133" t="str">
        <f t="shared" si="114"/>
        <v/>
      </c>
      <c r="TA9" s="132" t="str">
        <f>IF(COUNT(SO9,ST9,SY9)=0,"",SUM(SO9,ST9,SY9)/COUNT(SO9,ST9,SY9))</f>
        <v/>
      </c>
      <c r="TB9" s="134" t="str">
        <f t="shared" si="115"/>
        <v/>
      </c>
      <c r="TC9" s="129"/>
      <c r="TD9" s="130"/>
      <c r="TE9" s="131"/>
      <c r="TF9" s="132" t="str">
        <f>IFERROR((((COUNTIF('Elève (5ème3)'!TC9:TE9,"A"))*4)+((COUNTIF('Elève (5ème3)'!TC9:TE9,"B"))*3)+((COUNTIF('Elève (5ème3)'!TC9:TE9,"C"))*2)+((COUNTIF('Elève (5ème3)'!TC9:TE9,"D"))*1))/(COUNTA(TC9:TE9)),"")</f>
        <v/>
      </c>
      <c r="TG9" s="133" t="str">
        <f t="shared" si="116"/>
        <v/>
      </c>
      <c r="TH9" s="129"/>
      <c r="TI9" s="130"/>
      <c r="TJ9" s="131"/>
      <c r="TK9" s="132" t="str">
        <f>IFERROR((((COUNTIF('Elève (5ème3)'!TH9:TJ9,"A"))*4)+((COUNTIF('Elève (5ème3)'!TH9:TJ9,"B"))*3)+((COUNTIF('Elève (5ème3)'!TH9:TJ9,"C"))*2)+((COUNTIF('Elève (5ème3)'!TH9:TJ9,"D"))*1))/(COUNTA(TH9:TJ9)),"")</f>
        <v/>
      </c>
      <c r="TL9" s="133" t="str">
        <f t="shared" si="117"/>
        <v/>
      </c>
      <c r="TM9" s="129"/>
      <c r="TN9" s="130"/>
      <c r="TO9" s="135"/>
      <c r="TP9" s="132" t="str">
        <f>IFERROR((((COUNTIF('Elève (5ème3)'!TM9:TO9,"A"))*4)+((COUNTIF('Elève (5ème3)'!TM9:TO9,"B"))*3)+((COUNTIF('Elève (5ème3)'!TM9:TO9,"C"))*2)+((COUNTIF('Elève (5ème3)'!TM9:TO9,"D"))*1))/(COUNTA(TM9:TO9)),"")</f>
        <v/>
      </c>
      <c r="TQ9" s="133" t="str">
        <f t="shared" si="118"/>
        <v/>
      </c>
      <c r="TR9" s="132" t="str">
        <f>IF(COUNT(TF9,TK9,TP9)=0,"",SUM(TF9,TK9,TP9)/COUNT(TF9,TK9,TP9))</f>
        <v/>
      </c>
      <c r="TS9" s="134" t="str">
        <f t="shared" si="119"/>
        <v/>
      </c>
    </row>
    <row r="10" spans="1:539" s="137" customFormat="1" ht="17.25" customHeight="1" thickBot="1" x14ac:dyDescent="0.3">
      <c r="A10" s="163" t="s">
        <v>17</v>
      </c>
      <c r="B10" s="102">
        <v>1</v>
      </c>
      <c r="C10" s="172"/>
      <c r="D10" s="109"/>
      <c r="E10" s="110"/>
      <c r="F10" s="178" t="str">
        <f>IF(COUNT(F11:F12)=0,"",SUM(F11:F12)/COUNT(F11:F12))</f>
        <v/>
      </c>
      <c r="G10" s="179" t="str">
        <f t="shared" si="0"/>
        <v/>
      </c>
      <c r="H10" s="172"/>
      <c r="I10" s="109"/>
      <c r="J10" s="109"/>
      <c r="K10" s="178">
        <f>IF(COUNT(K11,K12)=0,"",SUM(K11:K12)/COUNT(K11,K12))</f>
        <v>3.6666666666666665</v>
      </c>
      <c r="L10" s="194" t="str">
        <f t="shared" si="1"/>
        <v>B</v>
      </c>
      <c r="M10" s="172"/>
      <c r="N10" s="109"/>
      <c r="O10" s="109"/>
      <c r="P10" s="110"/>
      <c r="Q10" s="178">
        <f>IF(COUNT(Q11,Q12)=0,"",SUM(Q11:Q12)/COUNT(Q11,Q12))</f>
        <v>3.6666666666666665</v>
      </c>
      <c r="R10" s="202" t="str">
        <f t="shared" si="2"/>
        <v>B</v>
      </c>
      <c r="S10" s="203">
        <f>IF(COUNT(S11:S12)=0,"",SUM(S11:S12)/COUNT(S11:S12))</f>
        <v>3.6666666666666665</v>
      </c>
      <c r="T10" s="204" t="str">
        <f t="shared" si="3"/>
        <v>B</v>
      </c>
      <c r="U10" s="214"/>
      <c r="V10" s="109"/>
      <c r="W10" s="110"/>
      <c r="X10" s="178" t="str">
        <f>IF(COUNT(X11:X12)=0,"",SUM(X11:X12)/COUNT(X11:X12))</f>
        <v/>
      </c>
      <c r="Y10" s="179" t="str">
        <f t="shared" si="4"/>
        <v/>
      </c>
      <c r="Z10" s="172"/>
      <c r="AA10" s="109"/>
      <c r="AB10" s="109"/>
      <c r="AC10" s="178">
        <f>IF(COUNT(AC11,AC12)=0,"",SUM(AC11:AC12)/COUNT(AC11,AC12))</f>
        <v>4</v>
      </c>
      <c r="AD10" s="194" t="str">
        <f t="shared" si="5"/>
        <v>A</v>
      </c>
      <c r="AE10" s="172"/>
      <c r="AF10" s="109"/>
      <c r="AG10" s="109"/>
      <c r="AH10" s="110"/>
      <c r="AI10" s="178">
        <f>IF(COUNT(AI11,AI12)=0,"",SUM(AI11:AI12)/COUNT(AI11,AI12))</f>
        <v>3.3333333333333335</v>
      </c>
      <c r="AJ10" s="202" t="str">
        <f t="shared" si="6"/>
        <v>B</v>
      </c>
      <c r="AK10" s="203">
        <f>IF(COUNT(AK11:AK12)=0,"",SUM(AK11:AK12)/COUNT(AK11:AK12))</f>
        <v>3.666666666666667</v>
      </c>
      <c r="AL10" s="204" t="str">
        <f t="shared" si="7"/>
        <v>B</v>
      </c>
      <c r="AM10" s="214"/>
      <c r="AN10" s="109"/>
      <c r="AO10" s="110"/>
      <c r="AP10" s="178" t="str">
        <f>IF(COUNT(AP11:AP12)=0,"",SUM(AP11:AP12)/COUNT(AP11:AP12))</f>
        <v/>
      </c>
      <c r="AQ10" s="179" t="str">
        <f t="shared" si="8"/>
        <v/>
      </c>
      <c r="AR10" s="172"/>
      <c r="AS10" s="109"/>
      <c r="AT10" s="109"/>
      <c r="AU10" s="178">
        <f>IF(COUNT(AU11,AU12)=0,"",SUM(AU11:AU12)/COUNT(AU11,AU12))</f>
        <v>4</v>
      </c>
      <c r="AV10" s="194" t="str">
        <f t="shared" si="9"/>
        <v>A</v>
      </c>
      <c r="AW10" s="172"/>
      <c r="AX10" s="109"/>
      <c r="AY10" s="109"/>
      <c r="AZ10" s="110"/>
      <c r="BA10" s="178">
        <f>IF(COUNT(BA11,BA12)=0,"",SUM(BA11:BA12)/COUNT(BA11,BA12))</f>
        <v>3</v>
      </c>
      <c r="BB10" s="202" t="str">
        <f t="shared" si="10"/>
        <v>B</v>
      </c>
      <c r="BC10" s="203">
        <f>IF(COUNT(BC11:BC12)=0,"",SUM(BC11:BC12)/COUNT(BC11:BC12))</f>
        <v>3.5</v>
      </c>
      <c r="BD10" s="204" t="str">
        <f t="shared" si="11"/>
        <v>B</v>
      </c>
      <c r="BE10" s="214"/>
      <c r="BF10" s="109"/>
      <c r="BG10" s="110"/>
      <c r="BH10" s="178" t="str">
        <f>IF(COUNT(BH11:BH12)=0,"",SUM(BH11:BH12)/COUNT(BH11:BH12))</f>
        <v/>
      </c>
      <c r="BI10" s="179" t="str">
        <f t="shared" si="12"/>
        <v/>
      </c>
      <c r="BJ10" s="172"/>
      <c r="BK10" s="109"/>
      <c r="BL10" s="109"/>
      <c r="BM10" s="178">
        <f>IF(COUNT(BM11,BM12)=0,"",SUM(BM11:BM12)/COUNT(BM11,BM12))</f>
        <v>4</v>
      </c>
      <c r="BN10" s="194" t="str">
        <f t="shared" si="13"/>
        <v>A</v>
      </c>
      <c r="BO10" s="172"/>
      <c r="BP10" s="109"/>
      <c r="BQ10" s="109"/>
      <c r="BR10" s="110"/>
      <c r="BS10" s="178">
        <f>IF(COUNT(BS11,BS12)=0,"",SUM(BS11:BS12)/COUNT(BS11,BS12))</f>
        <v>3.6666666666666665</v>
      </c>
      <c r="BT10" s="202" t="str">
        <f t="shared" si="14"/>
        <v>B</v>
      </c>
      <c r="BU10" s="203">
        <f>IF(COUNT(BU11:BU12)=0,"",SUM(BU11:BU12)/COUNT(BU11:BU12))</f>
        <v>3.833333333333333</v>
      </c>
      <c r="BV10" s="204" t="str">
        <f t="shared" si="15"/>
        <v>A</v>
      </c>
      <c r="BW10" s="214"/>
      <c r="BX10" s="109"/>
      <c r="BY10" s="110"/>
      <c r="BZ10" s="178" t="str">
        <f>IF(COUNT(BZ11:BZ12)=0,"",SUM(BZ11:BZ12)/COUNT(BZ11:BZ12))</f>
        <v/>
      </c>
      <c r="CA10" s="179" t="str">
        <f t="shared" si="16"/>
        <v/>
      </c>
      <c r="CB10" s="172"/>
      <c r="CC10" s="109"/>
      <c r="CD10" s="109"/>
      <c r="CE10" s="178">
        <f>IF(COUNT(CE11,CE12)=0,"",SUM(CE11:CE12)/COUNT(CE11,CE12))</f>
        <v>4</v>
      </c>
      <c r="CF10" s="194" t="str">
        <f t="shared" si="17"/>
        <v>A</v>
      </c>
      <c r="CG10" s="172"/>
      <c r="CH10" s="109"/>
      <c r="CI10" s="109"/>
      <c r="CJ10" s="110"/>
      <c r="CK10" s="178">
        <f>IF(COUNT(CK11,CK12)=0,"",SUM(CK11:CK12)/COUNT(CK11,CK12))</f>
        <v>3.6666666666666665</v>
      </c>
      <c r="CL10" s="202" t="str">
        <f t="shared" si="18"/>
        <v>B</v>
      </c>
      <c r="CM10" s="203">
        <f>IF(COUNT(CM11:CM12)=0,"",SUM(CM11:CM12)/COUNT(CM11:CM12))</f>
        <v>3.833333333333333</v>
      </c>
      <c r="CN10" s="204" t="str">
        <f t="shared" si="19"/>
        <v>A</v>
      </c>
      <c r="CO10" s="214"/>
      <c r="CP10" s="109"/>
      <c r="CQ10" s="110"/>
      <c r="CR10" s="178" t="str">
        <f>IF(COUNT(CR11:CR12)=0,"",SUM(CR11:CR12)/COUNT(CR11:CR12))</f>
        <v/>
      </c>
      <c r="CS10" s="179" t="str">
        <f t="shared" si="20"/>
        <v/>
      </c>
      <c r="CT10" s="172"/>
      <c r="CU10" s="109"/>
      <c r="CV10" s="109"/>
      <c r="CW10" s="178">
        <f>IF(COUNT(CW11,CW12)=0,"",SUM(CW11:CW12)/COUNT(CW11,CW12))</f>
        <v>3.6666666666666665</v>
      </c>
      <c r="CX10" s="194" t="str">
        <f t="shared" si="21"/>
        <v>B</v>
      </c>
      <c r="CY10" s="172"/>
      <c r="CZ10" s="109"/>
      <c r="DA10" s="109"/>
      <c r="DB10" s="110"/>
      <c r="DC10" s="178">
        <f>IF(COUNT(DC11,DC12)=0,"",SUM(DC11:DC12)/COUNT(DC11,DC12))</f>
        <v>3</v>
      </c>
      <c r="DD10" s="202" t="str">
        <f t="shared" si="22"/>
        <v>B</v>
      </c>
      <c r="DE10" s="203">
        <f>IF(COUNT(DE11:DE12)=0,"",SUM(DE11:DE12)/COUNT(DE11:DE12))</f>
        <v>3.333333333333333</v>
      </c>
      <c r="DF10" s="204" t="str">
        <f t="shared" si="23"/>
        <v>B</v>
      </c>
      <c r="DG10" s="214"/>
      <c r="DH10" s="109"/>
      <c r="DI10" s="110"/>
      <c r="DJ10" s="178" t="str">
        <f>IF(COUNT(DJ11:DJ12)=0,"",SUM(DJ11:DJ12)/COUNT(DJ11:DJ12))</f>
        <v/>
      </c>
      <c r="DK10" s="179" t="str">
        <f t="shared" si="24"/>
        <v/>
      </c>
      <c r="DL10" s="172"/>
      <c r="DM10" s="109"/>
      <c r="DN10" s="109"/>
      <c r="DO10" s="178">
        <f>IF(COUNT(DO11,DO12)=0,"",SUM(DO11:DO12)/COUNT(DO11,DO12))</f>
        <v>3.6666666666666665</v>
      </c>
      <c r="DP10" s="194" t="str">
        <f t="shared" si="25"/>
        <v>B</v>
      </c>
      <c r="DQ10" s="172"/>
      <c r="DR10" s="109"/>
      <c r="DS10" s="109"/>
      <c r="DT10" s="110"/>
      <c r="DU10" s="178">
        <f>IF(COUNT(DU11,DU12)=0,"",SUM(DU11:DU12)/COUNT(DU11,DU12))</f>
        <v>3.3333333333333335</v>
      </c>
      <c r="DV10" s="202" t="str">
        <f t="shared" si="26"/>
        <v>B</v>
      </c>
      <c r="DW10" s="203">
        <f>IF(COUNT(DW11:DW12)=0,"",SUM(DW11:DW12)/COUNT(DW11:DW12))</f>
        <v>3.5</v>
      </c>
      <c r="DX10" s="204" t="str">
        <f t="shared" si="27"/>
        <v>B</v>
      </c>
      <c r="DY10" s="214"/>
      <c r="DZ10" s="109"/>
      <c r="EA10" s="110"/>
      <c r="EB10" s="178" t="str">
        <f>IF(COUNT(EB11:EB12)=0,"",SUM(EB11:EB12)/COUNT(EB11:EB12))</f>
        <v/>
      </c>
      <c r="EC10" s="179" t="str">
        <f t="shared" si="28"/>
        <v/>
      </c>
      <c r="ED10" s="172"/>
      <c r="EE10" s="109"/>
      <c r="EF10" s="109"/>
      <c r="EG10" s="178">
        <f>IF(COUNT(EG11,EG12)=0,"",SUM(EG11:EG12)/COUNT(EG11,EG12))</f>
        <v>3.5</v>
      </c>
      <c r="EH10" s="194" t="str">
        <f t="shared" si="29"/>
        <v>B</v>
      </c>
      <c r="EI10" s="172"/>
      <c r="EJ10" s="109"/>
      <c r="EK10" s="109"/>
      <c r="EL10" s="110"/>
      <c r="EM10" s="178">
        <f>IF(COUNT(EM11,EM12)=0,"",SUM(EM11:EM12)/COUNT(EM11,EM12))</f>
        <v>2.5</v>
      </c>
      <c r="EN10" s="202" t="str">
        <f t="shared" si="30"/>
        <v>C</v>
      </c>
      <c r="EO10" s="203">
        <f>IF(COUNT(EO11:EO12)=0,"",SUM(EO11:EO12)/COUNT(EO11:EO12))</f>
        <v>3</v>
      </c>
      <c r="EP10" s="204" t="str">
        <f t="shared" si="31"/>
        <v>B</v>
      </c>
      <c r="EQ10" s="214"/>
      <c r="ER10" s="109"/>
      <c r="ES10" s="110"/>
      <c r="ET10" s="178" t="str">
        <f>IF(COUNT(ET11:ET12)=0,"",SUM(ET11:ET12)/COUNT(ET11:ET12))</f>
        <v/>
      </c>
      <c r="EU10" s="179" t="str">
        <f t="shared" si="32"/>
        <v/>
      </c>
      <c r="EV10" s="172"/>
      <c r="EW10" s="109"/>
      <c r="EX10" s="109"/>
      <c r="EY10" s="178">
        <f>IF(COUNT(EY11,EY12)=0,"",SUM(EY11:EY12)/COUNT(EY11,EY12))</f>
        <v>4</v>
      </c>
      <c r="EZ10" s="194" t="str">
        <f t="shared" si="33"/>
        <v>A</v>
      </c>
      <c r="FA10" s="172"/>
      <c r="FB10" s="109"/>
      <c r="FC10" s="109"/>
      <c r="FD10" s="110"/>
      <c r="FE10" s="178">
        <f>IF(COUNT(FE11,FE12)=0,"",SUM(FE11:FE12)/COUNT(FE11,FE12))</f>
        <v>3.6666666666666665</v>
      </c>
      <c r="FF10" s="202" t="str">
        <f t="shared" si="34"/>
        <v>B</v>
      </c>
      <c r="FG10" s="203">
        <f>IF(COUNT(FG11:FG12)=0,"",SUM(FG11:FG12)/COUNT(FG11:FG12))</f>
        <v>3.833333333333333</v>
      </c>
      <c r="FH10" s="204" t="str">
        <f t="shared" si="35"/>
        <v>A</v>
      </c>
      <c r="FI10" s="214"/>
      <c r="FJ10" s="109"/>
      <c r="FK10" s="110"/>
      <c r="FL10" s="178" t="str">
        <f>IF(COUNT(FL11:FL12)=0,"",SUM(FL11:FL12)/COUNT(FL11:FL12))</f>
        <v/>
      </c>
      <c r="FM10" s="179" t="str">
        <f t="shared" si="36"/>
        <v/>
      </c>
      <c r="FN10" s="172"/>
      <c r="FO10" s="109"/>
      <c r="FP10" s="109"/>
      <c r="FQ10" s="178">
        <f>IF(COUNT(FQ11,FQ12)=0,"",SUM(FQ11:FQ12)/COUNT(FQ11,FQ12))</f>
        <v>3.6666666666666665</v>
      </c>
      <c r="FR10" s="194" t="str">
        <f t="shared" si="37"/>
        <v>B</v>
      </c>
      <c r="FS10" s="172"/>
      <c r="FT10" s="109"/>
      <c r="FU10" s="109"/>
      <c r="FV10" s="110"/>
      <c r="FW10" s="178">
        <f>IF(COUNT(FW11,FW12)=0,"",SUM(FW11:FW12)/COUNT(FW11,FW12))</f>
        <v>3.3333333333333335</v>
      </c>
      <c r="FX10" s="202" t="str">
        <f t="shared" si="38"/>
        <v>B</v>
      </c>
      <c r="FY10" s="203">
        <f>IF(COUNT(FY11:FY12)=0,"",SUM(FY11:FY12)/COUNT(FY11:FY12))</f>
        <v>3.5</v>
      </c>
      <c r="FZ10" s="204" t="str">
        <f t="shared" si="39"/>
        <v>B</v>
      </c>
      <c r="GA10" s="214"/>
      <c r="GB10" s="109"/>
      <c r="GC10" s="110"/>
      <c r="GD10" s="178" t="str">
        <f>IF(COUNT(GD11:GD12)=0,"",SUM(GD11:GD12)/COUNT(GD11:GD12))</f>
        <v/>
      </c>
      <c r="GE10" s="179" t="str">
        <f t="shared" si="40"/>
        <v/>
      </c>
      <c r="GF10" s="172"/>
      <c r="GG10" s="109"/>
      <c r="GH10" s="109"/>
      <c r="GI10" s="178">
        <f>IF(COUNT(GI11,GI12)=0,"",SUM(GI11:GI12)/COUNT(GI11,GI12))</f>
        <v>3.6666666666666665</v>
      </c>
      <c r="GJ10" s="194" t="str">
        <f t="shared" si="41"/>
        <v>B</v>
      </c>
      <c r="GK10" s="172"/>
      <c r="GL10" s="109"/>
      <c r="GM10" s="109"/>
      <c r="GN10" s="110"/>
      <c r="GO10" s="178">
        <f>IF(COUNT(GO11,GO12)=0,"",SUM(GO11:GO12)/COUNT(GO11,GO12))</f>
        <v>3</v>
      </c>
      <c r="GP10" s="202" t="str">
        <f t="shared" si="42"/>
        <v>B</v>
      </c>
      <c r="GQ10" s="203">
        <f>IF(COUNT(GQ11:GQ12)=0,"",SUM(GQ11:GQ12)/COUNT(GQ11:GQ12))</f>
        <v>3.333333333333333</v>
      </c>
      <c r="GR10" s="204" t="str">
        <f t="shared" si="43"/>
        <v>B</v>
      </c>
      <c r="GS10" s="214"/>
      <c r="GT10" s="109"/>
      <c r="GU10" s="110"/>
      <c r="GV10" s="178" t="str">
        <f>IF(COUNT(GV11:GV12)=0,"",SUM(GV11:GV12)/COUNT(GV11:GV12))</f>
        <v/>
      </c>
      <c r="GW10" s="179" t="str">
        <f t="shared" si="44"/>
        <v/>
      </c>
      <c r="GX10" s="172"/>
      <c r="GY10" s="109"/>
      <c r="GZ10" s="109"/>
      <c r="HA10" s="178">
        <f>IF(COUNT(HA11,HA12)=0,"",SUM(HA11:HA12)/COUNT(HA11,HA12))</f>
        <v>4</v>
      </c>
      <c r="HB10" s="194" t="str">
        <f t="shared" si="45"/>
        <v>A</v>
      </c>
      <c r="HC10" s="172"/>
      <c r="HD10" s="109"/>
      <c r="HE10" s="109"/>
      <c r="HF10" s="110"/>
      <c r="HG10" s="178">
        <f>IF(COUNT(HG11,HG12)=0,"",SUM(HG11:HG12)/COUNT(HG11,HG12))</f>
        <v>4</v>
      </c>
      <c r="HH10" s="202" t="str">
        <f t="shared" si="46"/>
        <v>A</v>
      </c>
      <c r="HI10" s="203">
        <f>IF(COUNT(HI11:HI12)=0,"",SUM(HI11:HI12)/COUNT(HI11:HI12))</f>
        <v>4</v>
      </c>
      <c r="HJ10" s="204" t="str">
        <f t="shared" si="47"/>
        <v>A</v>
      </c>
      <c r="HK10" s="214"/>
      <c r="HL10" s="109"/>
      <c r="HM10" s="110"/>
      <c r="HN10" s="178" t="str">
        <f>IF(COUNT(HN11:HN12)=0,"",SUM(HN11:HN12)/COUNT(HN11:HN12))</f>
        <v/>
      </c>
      <c r="HO10" s="179" t="str">
        <f t="shared" si="48"/>
        <v/>
      </c>
      <c r="HP10" s="172"/>
      <c r="HQ10" s="109"/>
      <c r="HR10" s="109"/>
      <c r="HS10" s="178">
        <f>IF(COUNT(HS11,HS12)=0,"",SUM(HS11:HS12)/COUNT(HS11,HS12))</f>
        <v>2.5</v>
      </c>
      <c r="HT10" s="194" t="str">
        <f t="shared" si="49"/>
        <v>C</v>
      </c>
      <c r="HU10" s="172"/>
      <c r="HV10" s="109"/>
      <c r="HW10" s="109"/>
      <c r="HX10" s="110"/>
      <c r="HY10" s="178">
        <f>IF(COUNT(HY11,HY12)=0,"",SUM(HY11:HY12)/COUNT(HY11,HY12))</f>
        <v>3.3333333333333335</v>
      </c>
      <c r="HZ10" s="202" t="str">
        <f t="shared" si="50"/>
        <v>B</v>
      </c>
      <c r="IA10" s="203">
        <f>IF(COUNT(IA11:IA12)=0,"",SUM(IA11:IA12)/COUNT(IA11:IA12))</f>
        <v>2.916666666666667</v>
      </c>
      <c r="IB10" s="204" t="str">
        <f t="shared" si="51"/>
        <v>B</v>
      </c>
      <c r="IC10" s="214"/>
      <c r="ID10" s="109"/>
      <c r="IE10" s="110"/>
      <c r="IF10" s="178" t="str">
        <f>IF(COUNT(IF11:IF12)=0,"",SUM(IF11:IF12)/COUNT(IF11:IF12))</f>
        <v/>
      </c>
      <c r="IG10" s="179" t="str">
        <f t="shared" si="52"/>
        <v/>
      </c>
      <c r="IH10" s="172"/>
      <c r="II10" s="109"/>
      <c r="IJ10" s="109"/>
      <c r="IK10" s="178">
        <f>IF(COUNT(IK11,IK12)=0,"",SUM(IK11:IK12)/COUNT(IK11,IK12))</f>
        <v>4</v>
      </c>
      <c r="IL10" s="194" t="str">
        <f t="shared" si="53"/>
        <v>A</v>
      </c>
      <c r="IM10" s="172"/>
      <c r="IN10" s="109"/>
      <c r="IO10" s="109"/>
      <c r="IP10" s="110"/>
      <c r="IQ10" s="178">
        <f>IF(COUNT(IQ11,IQ12)=0,"",SUM(IQ11:IQ12)/COUNT(IQ11,IQ12))</f>
        <v>4</v>
      </c>
      <c r="IR10" s="202" t="str">
        <f t="shared" si="54"/>
        <v>A</v>
      </c>
      <c r="IS10" s="203">
        <f>IF(COUNT(IS11:IS12)=0,"",SUM(IS11:IS12)/COUNT(IS11:IS12))</f>
        <v>4</v>
      </c>
      <c r="IT10" s="204" t="str">
        <f t="shared" si="55"/>
        <v>A</v>
      </c>
      <c r="IU10" s="214"/>
      <c r="IV10" s="109"/>
      <c r="IW10" s="110"/>
      <c r="IX10" s="178" t="str">
        <f>IF(COUNT(IX11:IX12)=0,"",SUM(IX11:IX12)/COUNT(IX11:IX12))</f>
        <v/>
      </c>
      <c r="IY10" s="179" t="str">
        <f t="shared" si="56"/>
        <v/>
      </c>
      <c r="IZ10" s="172"/>
      <c r="JA10" s="109"/>
      <c r="JB10" s="109"/>
      <c r="JC10" s="178">
        <f>IF(COUNT(JC11,JC12)=0,"",SUM(JC11:JC12)/COUNT(JC11,JC12))</f>
        <v>4</v>
      </c>
      <c r="JD10" s="194" t="str">
        <f t="shared" si="57"/>
        <v>A</v>
      </c>
      <c r="JE10" s="172"/>
      <c r="JF10" s="109"/>
      <c r="JG10" s="109"/>
      <c r="JH10" s="110"/>
      <c r="JI10" s="178">
        <f>IF(COUNT(JI11,JI12)=0,"",SUM(JI11:JI12)/COUNT(JI11,JI12))</f>
        <v>3.3333333333333335</v>
      </c>
      <c r="JJ10" s="202" t="str">
        <f t="shared" si="58"/>
        <v>B</v>
      </c>
      <c r="JK10" s="203">
        <f>IF(COUNT(JK11:JK12)=0,"",SUM(JK11:JK12)/COUNT(JK11:JK12))</f>
        <v>3.666666666666667</v>
      </c>
      <c r="JL10" s="204" t="str">
        <f t="shared" si="59"/>
        <v>B</v>
      </c>
      <c r="JM10" s="214"/>
      <c r="JN10" s="109"/>
      <c r="JO10" s="110"/>
      <c r="JP10" s="178" t="str">
        <f>IF(COUNT(JP11:JP12)=0,"",SUM(JP11:JP12)/COUNT(JP11:JP12))</f>
        <v/>
      </c>
      <c r="JQ10" s="179" t="str">
        <f t="shared" si="60"/>
        <v/>
      </c>
      <c r="JR10" s="172"/>
      <c r="JS10" s="109"/>
      <c r="JT10" s="109"/>
      <c r="JU10" s="178">
        <f>IF(COUNT(JU11,JU12)=0,"",SUM(JU11:JU12)/COUNT(JU11,JU12))</f>
        <v>3.3333333333333335</v>
      </c>
      <c r="JV10" s="194" t="str">
        <f t="shared" si="61"/>
        <v>B</v>
      </c>
      <c r="JW10" s="172"/>
      <c r="JX10" s="109"/>
      <c r="JY10" s="109"/>
      <c r="JZ10" s="110"/>
      <c r="KA10" s="178">
        <f>IF(COUNT(KA11,KA12)=0,"",SUM(KA11:KA12)/COUNT(KA11,KA12))</f>
        <v>3.5</v>
      </c>
      <c r="KB10" s="202" t="str">
        <f t="shared" si="62"/>
        <v>B</v>
      </c>
      <c r="KC10" s="203">
        <f>IF(COUNT(KC11:KC12)=0,"",SUM(KC11:KC12)/COUNT(KC11:KC12))</f>
        <v>3.416666666666667</v>
      </c>
      <c r="KD10" s="204" t="str">
        <f t="shared" si="63"/>
        <v>B</v>
      </c>
      <c r="KE10" s="214"/>
      <c r="KF10" s="109"/>
      <c r="KG10" s="110"/>
      <c r="KH10" s="178" t="str">
        <f>IF(COUNT(KH11:KH12)=0,"",SUM(KH11:KH12)/COUNT(KH11:KH12))</f>
        <v/>
      </c>
      <c r="KI10" s="179" t="str">
        <f t="shared" si="64"/>
        <v/>
      </c>
      <c r="KJ10" s="172"/>
      <c r="KK10" s="109"/>
      <c r="KL10" s="109"/>
      <c r="KM10" s="178">
        <f>IF(COUNT(KM11,KM12)=0,"",SUM(KM11:KM12)/COUNT(KM11,KM12))</f>
        <v>4</v>
      </c>
      <c r="KN10" s="194" t="str">
        <f t="shared" si="65"/>
        <v>A</v>
      </c>
      <c r="KO10" s="172"/>
      <c r="KP10" s="109"/>
      <c r="KQ10" s="109"/>
      <c r="KR10" s="110"/>
      <c r="KS10" s="178">
        <f>IF(COUNT(KS11,KS12)=0,"",SUM(KS11:KS12)/COUNT(KS11,KS12))</f>
        <v>4</v>
      </c>
      <c r="KT10" s="202" t="str">
        <f t="shared" si="66"/>
        <v>A</v>
      </c>
      <c r="KU10" s="203">
        <f>IF(COUNT(KU11:KU12)=0,"",SUM(KU11:KU12)/COUNT(KU11:KU12))</f>
        <v>4</v>
      </c>
      <c r="KV10" s="204" t="str">
        <f t="shared" si="67"/>
        <v>A</v>
      </c>
      <c r="KW10" s="214"/>
      <c r="KX10" s="109"/>
      <c r="KY10" s="110"/>
      <c r="KZ10" s="178" t="str">
        <f>IF(COUNT(KZ11:KZ12)=0,"",SUM(KZ11:KZ12)/COUNT(KZ11:KZ12))</f>
        <v/>
      </c>
      <c r="LA10" s="179" t="str">
        <f t="shared" si="68"/>
        <v/>
      </c>
      <c r="LB10" s="172"/>
      <c r="LC10" s="109"/>
      <c r="LD10" s="109"/>
      <c r="LE10" s="178">
        <f>IF(COUNT(LE11,LE12)=0,"",SUM(LE11:LE12)/COUNT(LE11,LE12))</f>
        <v>3.6666666666666665</v>
      </c>
      <c r="LF10" s="194" t="str">
        <f t="shared" si="69"/>
        <v>B</v>
      </c>
      <c r="LG10" s="172"/>
      <c r="LH10" s="109"/>
      <c r="LI10" s="109"/>
      <c r="LJ10" s="110"/>
      <c r="LK10" s="178">
        <f>IF(COUNT(LK11,LK12)=0,"",SUM(LK11:LK12)/COUNT(LK11,LK12))</f>
        <v>3.6666666666666665</v>
      </c>
      <c r="LL10" s="202" t="str">
        <f t="shared" si="70"/>
        <v>B</v>
      </c>
      <c r="LM10" s="203">
        <f>IF(COUNT(LM11:LM12)=0,"",SUM(LM11:LM12)/COUNT(LM11:LM12))</f>
        <v>3.6666666666666665</v>
      </c>
      <c r="LN10" s="204" t="str">
        <f t="shared" si="71"/>
        <v>B</v>
      </c>
      <c r="LO10" s="214"/>
      <c r="LP10" s="109"/>
      <c r="LQ10" s="110"/>
      <c r="LR10" s="178" t="str">
        <f>IF(COUNT(LR11:LR12)=0,"",SUM(LR11:LR12)/COUNT(LR11:LR12))</f>
        <v/>
      </c>
      <c r="LS10" s="179" t="str">
        <f t="shared" si="72"/>
        <v/>
      </c>
      <c r="LT10" s="172"/>
      <c r="LU10" s="109"/>
      <c r="LV10" s="109"/>
      <c r="LW10" s="178">
        <f>IF(COUNT(LW11,LW12)=0,"",SUM(LW11:LW12)/COUNT(LW11,LW12))</f>
        <v>4</v>
      </c>
      <c r="LX10" s="194" t="str">
        <f t="shared" si="73"/>
        <v>A</v>
      </c>
      <c r="LY10" s="172"/>
      <c r="LZ10" s="109"/>
      <c r="MA10" s="109"/>
      <c r="MB10" s="110"/>
      <c r="MC10" s="178">
        <f>IF(COUNT(MC11,MC12)=0,"",SUM(MC11:MC12)/COUNT(MC11,MC12))</f>
        <v>4</v>
      </c>
      <c r="MD10" s="202" t="str">
        <f t="shared" si="74"/>
        <v>A</v>
      </c>
      <c r="ME10" s="203">
        <f>IF(COUNT(ME11:ME12)=0,"",SUM(ME11:ME12)/COUNT(ME11:ME12))</f>
        <v>4</v>
      </c>
      <c r="MF10" s="204" t="str">
        <f t="shared" si="75"/>
        <v>A</v>
      </c>
      <c r="MG10" s="214"/>
      <c r="MH10" s="109"/>
      <c r="MI10" s="110"/>
      <c r="MJ10" s="178" t="str">
        <f>IF(COUNT(MJ11:MJ12)=0,"",SUM(MJ11:MJ12)/COUNT(MJ11:MJ12))</f>
        <v/>
      </c>
      <c r="MK10" s="179" t="str">
        <f t="shared" si="76"/>
        <v/>
      </c>
      <c r="ML10" s="172"/>
      <c r="MM10" s="109"/>
      <c r="MN10" s="109"/>
      <c r="MO10" s="178">
        <f>IF(COUNT(MO11,MO12)=0,"",SUM(MO11:MO12)/COUNT(MO11,MO12))</f>
        <v>3.6666666666666665</v>
      </c>
      <c r="MP10" s="194" t="str">
        <f t="shared" si="77"/>
        <v>B</v>
      </c>
      <c r="MQ10" s="172"/>
      <c r="MR10" s="109"/>
      <c r="MS10" s="109"/>
      <c r="MT10" s="110"/>
      <c r="MU10" s="178">
        <f>IF(COUNT(MU11,MU12)=0,"",SUM(MU11:MU12)/COUNT(MU11,MU12))</f>
        <v>3</v>
      </c>
      <c r="MV10" s="202" t="str">
        <f t="shared" si="78"/>
        <v>B</v>
      </c>
      <c r="MW10" s="203">
        <f>IF(COUNT(MW11:MW12)=0,"",SUM(MW11:MW12)/COUNT(MW11:MW12))</f>
        <v>3.333333333333333</v>
      </c>
      <c r="MX10" s="204" t="str">
        <f t="shared" si="79"/>
        <v>B</v>
      </c>
      <c r="MY10" s="214"/>
      <c r="MZ10" s="109"/>
      <c r="NA10" s="110"/>
      <c r="NB10" s="178" t="str">
        <f>IF(COUNT(NB11:NB12)=0,"",SUM(NB11:NB12)/COUNT(NB11:NB12))</f>
        <v/>
      </c>
      <c r="NC10" s="179" t="str">
        <f t="shared" si="80"/>
        <v/>
      </c>
      <c r="ND10" s="172"/>
      <c r="NE10" s="109"/>
      <c r="NF10" s="109"/>
      <c r="NG10" s="178">
        <f>IF(COUNT(NG11,NG12)=0,"",SUM(NG11:NG12)/COUNT(NG11,NG12))</f>
        <v>4</v>
      </c>
      <c r="NH10" s="194" t="str">
        <f t="shared" si="81"/>
        <v>A</v>
      </c>
      <c r="NI10" s="172"/>
      <c r="NJ10" s="109"/>
      <c r="NK10" s="109"/>
      <c r="NL10" s="110"/>
      <c r="NM10" s="178">
        <f>IF(COUNT(NM11,NM12)=0,"",SUM(NM11:NM12)/COUNT(NM11,NM12))</f>
        <v>3.6666666666666665</v>
      </c>
      <c r="NN10" s="202" t="str">
        <f t="shared" si="82"/>
        <v>B</v>
      </c>
      <c r="NO10" s="203">
        <f>IF(COUNT(NO11:NO12)=0,"",SUM(NO11:NO12)/COUNT(NO11:NO12))</f>
        <v>3.833333333333333</v>
      </c>
      <c r="NP10" s="204" t="str">
        <f t="shared" si="83"/>
        <v>A</v>
      </c>
      <c r="NQ10" s="214"/>
      <c r="NR10" s="109"/>
      <c r="NS10" s="110"/>
      <c r="NT10" s="178" t="str">
        <f>IF(COUNT(NT11:NT12)=0,"",SUM(NT11:NT12)/COUNT(NT11:NT12))</f>
        <v/>
      </c>
      <c r="NU10" s="179" t="str">
        <f t="shared" si="84"/>
        <v/>
      </c>
      <c r="NV10" s="172"/>
      <c r="NW10" s="109"/>
      <c r="NX10" s="109"/>
      <c r="NY10" s="178">
        <f>IF(COUNT(NY11,NY12)=0,"",SUM(NY11:NY12)/COUNT(NY11,NY12))</f>
        <v>3.6666666666666665</v>
      </c>
      <c r="NZ10" s="194" t="str">
        <f t="shared" si="85"/>
        <v>B</v>
      </c>
      <c r="OA10" s="172"/>
      <c r="OB10" s="109"/>
      <c r="OC10" s="109"/>
      <c r="OD10" s="110"/>
      <c r="OE10" s="178">
        <f>IF(COUNT(OE11,OE12)=0,"",SUM(OE11:OE12)/COUNT(OE11,OE12))</f>
        <v>4</v>
      </c>
      <c r="OF10" s="202" t="str">
        <f t="shared" si="86"/>
        <v>A</v>
      </c>
      <c r="OG10" s="203">
        <f>IF(COUNT(OG11:OG12)=0,"",SUM(OG11:OG12)/COUNT(OG11:OG12))</f>
        <v>3.833333333333333</v>
      </c>
      <c r="OH10" s="204" t="str">
        <f t="shared" si="87"/>
        <v>A</v>
      </c>
      <c r="OI10" s="214"/>
      <c r="OJ10" s="109"/>
      <c r="OK10" s="110"/>
      <c r="OL10" s="178" t="str">
        <f>IF(COUNT(OL11:OL12)=0,"",SUM(OL11:OL12)/COUNT(OL11:OL12))</f>
        <v/>
      </c>
      <c r="OM10" s="179" t="str">
        <f t="shared" si="88"/>
        <v/>
      </c>
      <c r="ON10" s="172"/>
      <c r="OO10" s="109"/>
      <c r="OP10" s="109"/>
      <c r="OQ10" s="178">
        <f>IF(COUNT(OQ11,OQ12)=0,"",SUM(OQ11:OQ12)/COUNT(OQ11,OQ12))</f>
        <v>4</v>
      </c>
      <c r="OR10" s="194" t="str">
        <f t="shared" si="89"/>
        <v>A</v>
      </c>
      <c r="OS10" s="172"/>
      <c r="OT10" s="109"/>
      <c r="OU10" s="109"/>
      <c r="OV10" s="110"/>
      <c r="OW10" s="178">
        <f>IF(COUNT(OW11,OW12)=0,"",SUM(OW11:OW12)/COUNT(OW11,OW12))</f>
        <v>3.6666666666666665</v>
      </c>
      <c r="OX10" s="202" t="str">
        <f t="shared" si="90"/>
        <v>B</v>
      </c>
      <c r="OY10" s="203">
        <f>IF(COUNT(OY11:OY12)=0,"",SUM(OY11:OY12)/COUNT(OY11:OY12))</f>
        <v>3.833333333333333</v>
      </c>
      <c r="OZ10" s="204" t="str">
        <f t="shared" si="91"/>
        <v>A</v>
      </c>
      <c r="PA10" s="214"/>
      <c r="PB10" s="109"/>
      <c r="PC10" s="110"/>
      <c r="PD10" s="178" t="str">
        <f>IF(COUNT(PD11:PD12)=0,"",SUM(PD11:PD12)/COUNT(PD11:PD12))</f>
        <v/>
      </c>
      <c r="PE10" s="179" t="str">
        <f t="shared" si="92"/>
        <v/>
      </c>
      <c r="PF10" s="172"/>
      <c r="PG10" s="109"/>
      <c r="PH10" s="109"/>
      <c r="PI10" s="178">
        <f>IF(COUNT(PI11,PI12)=0,"",SUM(PI11:PI12)/COUNT(PI11,PI12))</f>
        <v>4</v>
      </c>
      <c r="PJ10" s="194" t="str">
        <f t="shared" si="93"/>
        <v>A</v>
      </c>
      <c r="PK10" s="172"/>
      <c r="PL10" s="109"/>
      <c r="PM10" s="109"/>
      <c r="PN10" s="110"/>
      <c r="PO10" s="178">
        <f>IF(COUNT(PO11,PO12)=0,"",SUM(PO11:PO12)/COUNT(PO11,PO12))</f>
        <v>3.3333333333333335</v>
      </c>
      <c r="PP10" s="202" t="str">
        <f t="shared" si="94"/>
        <v>B</v>
      </c>
      <c r="PQ10" s="203">
        <f>IF(COUNT(PQ11:PQ12)=0,"",SUM(PQ11:PQ12)/COUNT(PQ11:PQ12))</f>
        <v>3.666666666666667</v>
      </c>
      <c r="PR10" s="204" t="str">
        <f t="shared" si="95"/>
        <v>B</v>
      </c>
      <c r="PS10" s="214"/>
      <c r="PT10" s="109"/>
      <c r="PU10" s="110"/>
      <c r="PV10" s="178" t="str">
        <f>IF(COUNT(PV11:PV12)=0,"",SUM(PV11:PV12)/COUNT(PV11:PV12))</f>
        <v/>
      </c>
      <c r="PW10" s="179" t="str">
        <f t="shared" si="96"/>
        <v/>
      </c>
      <c r="PX10" s="172"/>
      <c r="PY10" s="109"/>
      <c r="PZ10" s="109"/>
      <c r="QA10" s="178">
        <f>IF(COUNT(QA11,QA12)=0,"",SUM(QA11:QA12)/COUNT(QA11,QA12))</f>
        <v>4</v>
      </c>
      <c r="QB10" s="194" t="str">
        <f t="shared" si="97"/>
        <v>A</v>
      </c>
      <c r="QC10" s="172"/>
      <c r="QD10" s="109"/>
      <c r="QE10" s="109"/>
      <c r="QF10" s="110"/>
      <c r="QG10" s="178">
        <f>IF(COUNT(QG11,QG12)=0,"",SUM(QG11:QG12)/COUNT(QG11,QG12))</f>
        <v>3.6666666666666665</v>
      </c>
      <c r="QH10" s="202" t="str">
        <f t="shared" si="98"/>
        <v>B</v>
      </c>
      <c r="QI10" s="203">
        <f>IF(COUNT(QI11:QI12)=0,"",SUM(QI11:QI12)/COUNT(QI11:QI12))</f>
        <v>3.833333333333333</v>
      </c>
      <c r="QJ10" s="204" t="str">
        <f t="shared" si="99"/>
        <v>A</v>
      </c>
      <c r="QK10" s="214"/>
      <c r="QL10" s="109"/>
      <c r="QM10" s="110"/>
      <c r="QN10" s="178" t="str">
        <f>IF(COUNT(QN11:QN12)=0,"",SUM(QN11:QN12)/COUNT(QN11:QN12))</f>
        <v/>
      </c>
      <c r="QO10" s="179" t="str">
        <f t="shared" si="100"/>
        <v/>
      </c>
      <c r="QP10" s="172"/>
      <c r="QQ10" s="109"/>
      <c r="QR10" s="109"/>
      <c r="QS10" s="178">
        <f>IF(COUNT(QS11,QS12)=0,"",SUM(QS11:QS12)/COUNT(QS11,QS12))</f>
        <v>4</v>
      </c>
      <c r="QT10" s="194" t="str">
        <f t="shared" si="101"/>
        <v>A</v>
      </c>
      <c r="QU10" s="172"/>
      <c r="QV10" s="109"/>
      <c r="QW10" s="109"/>
      <c r="QX10" s="110"/>
      <c r="QY10" s="178">
        <f>IF(COUNT(QY11,QY12)=0,"",SUM(QY11:QY12)/COUNT(QY11,QY12))</f>
        <v>3.5</v>
      </c>
      <c r="QZ10" s="202" t="str">
        <f t="shared" si="102"/>
        <v>B</v>
      </c>
      <c r="RA10" s="203">
        <f>IF(COUNT(RA11:RA12)=0,"",SUM(RA11:RA12)/COUNT(RA11:RA12))</f>
        <v>3.75</v>
      </c>
      <c r="RB10" s="204" t="str">
        <f t="shared" si="103"/>
        <v>A</v>
      </c>
      <c r="RC10" s="214"/>
      <c r="RD10" s="109"/>
      <c r="RE10" s="110"/>
      <c r="RF10" s="178" t="str">
        <f>IF(COUNT(RF11:RF12)=0,"",SUM(RF11:RF12)/COUNT(RF11:RF12))</f>
        <v/>
      </c>
      <c r="RG10" s="179" t="str">
        <f t="shared" si="104"/>
        <v/>
      </c>
      <c r="RH10" s="172"/>
      <c r="RI10" s="109"/>
      <c r="RJ10" s="109"/>
      <c r="RK10" s="178">
        <f>IF(COUNT(RK11,RK12)=0,"",SUM(RK11:RK12)/COUNT(RK11,RK12))</f>
        <v>4</v>
      </c>
      <c r="RL10" s="194" t="str">
        <f t="shared" si="105"/>
        <v>A</v>
      </c>
      <c r="RM10" s="172"/>
      <c r="RN10" s="109"/>
      <c r="RO10" s="109"/>
      <c r="RP10" s="110"/>
      <c r="RQ10" s="178">
        <f>IF(COUNT(RQ11,RQ12)=0,"",SUM(RQ11:RQ12)/COUNT(RQ11,RQ12))</f>
        <v>3.6666666666666665</v>
      </c>
      <c r="RR10" s="202" t="str">
        <f t="shared" si="106"/>
        <v>B</v>
      </c>
      <c r="RS10" s="203">
        <f>IF(COUNT(RS11:RS12)=0,"",SUM(RS11:RS12)/COUNT(RS11:RS12))</f>
        <v>3.833333333333333</v>
      </c>
      <c r="RT10" s="204" t="str">
        <f t="shared" si="107"/>
        <v>A</v>
      </c>
      <c r="RU10" s="136"/>
      <c r="RV10" s="109"/>
      <c r="RW10" s="110"/>
      <c r="RX10" s="105" t="str">
        <f>IF(COUNT(RX11:RX12)=0,"",SUM(RX11:RX12)/COUNT(RX11:RX12))</f>
        <v/>
      </c>
      <c r="RY10" s="106" t="str">
        <f t="shared" si="108"/>
        <v/>
      </c>
      <c r="RZ10" s="108"/>
      <c r="SA10" s="109"/>
      <c r="SB10" s="110"/>
      <c r="SC10" s="105" t="str">
        <f>IF(COUNT(SC11,SC12)=0,"",SUM(SC11:SC12)/COUNT(SC11,SC12))</f>
        <v/>
      </c>
      <c r="SD10" s="107" t="str">
        <f t="shared" si="109"/>
        <v/>
      </c>
      <c r="SE10" s="108"/>
      <c r="SF10" s="109"/>
      <c r="SG10" s="110"/>
      <c r="SH10" s="105" t="str">
        <f>IF(COUNT(SH11,SH12)=0,"",SUM(SH11:SH12)/COUNT(SH11,SH12))</f>
        <v/>
      </c>
      <c r="SI10" s="111" t="str">
        <f t="shared" si="110"/>
        <v/>
      </c>
      <c r="SJ10" s="112" t="str">
        <f>IF(COUNT(SJ11:SJ12)=0,"",SUM(SJ11:SJ12)/COUNT(SJ11:SJ12))</f>
        <v/>
      </c>
      <c r="SK10" s="113" t="str">
        <f t="shared" si="111"/>
        <v/>
      </c>
      <c r="SL10" s="136"/>
      <c r="SM10" s="109"/>
      <c r="SN10" s="110"/>
      <c r="SO10" s="105" t="str">
        <f>IF(COUNT(SO11:SO12)=0,"",SUM(SO11:SO12)/COUNT(SO11:SO12))</f>
        <v/>
      </c>
      <c r="SP10" s="106" t="str">
        <f t="shared" si="112"/>
        <v/>
      </c>
      <c r="SQ10" s="108"/>
      <c r="SR10" s="109"/>
      <c r="SS10" s="110"/>
      <c r="ST10" s="105" t="str">
        <f>IF(COUNT(ST11,ST12)=0,"",SUM(ST11:ST12)/COUNT(ST11,ST12))</f>
        <v/>
      </c>
      <c r="SU10" s="107" t="str">
        <f t="shared" si="113"/>
        <v/>
      </c>
      <c r="SV10" s="108"/>
      <c r="SW10" s="109"/>
      <c r="SX10" s="110"/>
      <c r="SY10" s="105" t="str">
        <f>IF(COUNT(SY11,SY12)=0,"",SUM(SY11:SY12)/COUNT(SY11,SY12))</f>
        <v/>
      </c>
      <c r="SZ10" s="111" t="str">
        <f t="shared" si="114"/>
        <v/>
      </c>
      <c r="TA10" s="112" t="str">
        <f>IF(COUNT(TA11:TA12)=0,"",SUM(TA11:TA12)/COUNT(TA11:TA12))</f>
        <v/>
      </c>
      <c r="TB10" s="113" t="str">
        <f t="shared" si="115"/>
        <v/>
      </c>
      <c r="TC10" s="136"/>
      <c r="TD10" s="109"/>
      <c r="TE10" s="110"/>
      <c r="TF10" s="105" t="str">
        <f>IF(COUNT(TF11:TF12)=0,"",SUM(TF11:TF12)/COUNT(TF11:TF12))</f>
        <v/>
      </c>
      <c r="TG10" s="106" t="str">
        <f t="shared" si="116"/>
        <v/>
      </c>
      <c r="TH10" s="108"/>
      <c r="TI10" s="109"/>
      <c r="TJ10" s="110"/>
      <c r="TK10" s="105" t="str">
        <f>IF(COUNT(TK11,TK12)=0,"",SUM(TK11:TK12)/COUNT(TK11,TK12))</f>
        <v/>
      </c>
      <c r="TL10" s="107" t="str">
        <f t="shared" si="117"/>
        <v/>
      </c>
      <c r="TM10" s="108"/>
      <c r="TN10" s="109"/>
      <c r="TO10" s="110"/>
      <c r="TP10" s="105" t="str">
        <f>IF(COUNT(TP11,TP12)=0,"",SUM(TP11:TP12)/COUNT(TP11,TP12))</f>
        <v/>
      </c>
      <c r="TQ10" s="111" t="str">
        <f t="shared" si="118"/>
        <v/>
      </c>
      <c r="TR10" s="112" t="str">
        <f>IF(COUNT(TR11:TR12)=0,"",SUM(TR11:TR12)/COUNT(TR11:TR12))</f>
        <v/>
      </c>
      <c r="TS10" s="113" t="str">
        <f t="shared" si="119"/>
        <v/>
      </c>
    </row>
    <row r="11" spans="1:539" ht="18" customHeight="1" x14ac:dyDescent="0.25">
      <c r="A11" s="234" t="s">
        <v>44</v>
      </c>
      <c r="B11" s="235"/>
      <c r="C11" s="122"/>
      <c r="D11" s="123"/>
      <c r="E11" s="124"/>
      <c r="F11" s="180" t="str">
        <f>IFERROR((((COUNTIF('Elève (5ème3)'!C11:E11,"A"))*4)+((COUNTIF('Elève (5ème3)'!C11:E11,"B"))*3)+((COUNTIF('Elève (5ème3)'!C11:E11,"C"))*2)+((COUNTIF('Elève (5ème3)'!C11:E11,"D"))*1))/(COUNTA(C11:E11)),"")</f>
        <v/>
      </c>
      <c r="G11" s="181" t="str">
        <f t="shared" si="0"/>
        <v/>
      </c>
      <c r="H11" s="122" t="s">
        <v>28</v>
      </c>
      <c r="I11" s="123" t="s">
        <v>27</v>
      </c>
      <c r="J11" s="124" t="s">
        <v>27</v>
      </c>
      <c r="K11" s="180">
        <f>IFERROR((((COUNTIF('Elève (5ème3)'!H11:J11,"A"))*4)+((COUNTIF('Elève (5ème3)'!H11:J11,"B"))*3)+((COUNTIF('Elève (5ème3)'!H11:J11,"C"))*2)+((COUNTIF('Elève (5ème3)'!H11:J11,"D"))*1))/(COUNTA(H11:J11)),"")</f>
        <v>3.6666666666666665</v>
      </c>
      <c r="L11" s="181" t="str">
        <f t="shared" si="1"/>
        <v>B</v>
      </c>
      <c r="M11" s="122"/>
      <c r="N11" s="123" t="s">
        <v>28</v>
      </c>
      <c r="O11" s="124" t="s">
        <v>27</v>
      </c>
      <c r="P11" s="124" t="s">
        <v>27</v>
      </c>
      <c r="Q11" s="180">
        <f>IFERROR((((COUNTIF('Elève (5ème3)'!M11:P11,"A"))*4)+((COUNTIF('Elève (5ème3)'!M11:P11,"B"))*3)+((COUNTIF('Elève (5ème3)'!M11:P11,"C"))*2)+((COUNTIF('Elève (5ème3)'!M11:P11,"D"))*1))/(COUNTA(M11:P11)),"")</f>
        <v>3.6666666666666665</v>
      </c>
      <c r="R11" s="181" t="str">
        <f t="shared" si="2"/>
        <v>B</v>
      </c>
      <c r="S11" s="208">
        <f>IF(COUNT(F11,K11,Q11)=0,"",SUM(F11,K11,Q11)/COUNT(F11,K11,Q11))</f>
        <v>3.6666666666666665</v>
      </c>
      <c r="T11" s="205" t="str">
        <f t="shared" si="3"/>
        <v>B</v>
      </c>
      <c r="U11" s="122"/>
      <c r="V11" s="123"/>
      <c r="W11" s="124"/>
      <c r="X11" s="180" t="str">
        <f>IFERROR((((COUNTIF('Elève (5ème3)'!U11:W11,"A"))*4)+((COUNTIF('Elève (5ème3)'!U11:W11,"B"))*3)+((COUNTIF('Elève (5ème3)'!U11:W11,"C"))*2)+((COUNTIF('Elève (5ème3)'!U11:W11,"D"))*1))/(COUNTA(U11:W11)),"")</f>
        <v/>
      </c>
      <c r="Y11" s="181" t="str">
        <f t="shared" si="4"/>
        <v/>
      </c>
      <c r="Z11" s="122" t="s">
        <v>27</v>
      </c>
      <c r="AA11" s="123" t="s">
        <v>27</v>
      </c>
      <c r="AB11" s="124" t="s">
        <v>27</v>
      </c>
      <c r="AC11" s="180">
        <f>IFERROR((((COUNTIF('Elève (5ème3)'!Z11:AB11,"A"))*4)+((COUNTIF('Elève (5ème3)'!Z11:AB11,"B"))*3)+((COUNTIF('Elève (5ème3)'!Z11:AB11,"C"))*2)+((COUNTIF('Elève (5ème3)'!Z11:AB11,"D"))*1))/(COUNTA(Z11:AB11)),"")</f>
        <v>4</v>
      </c>
      <c r="AD11" s="181" t="str">
        <f t="shared" si="5"/>
        <v>A</v>
      </c>
      <c r="AE11" s="122"/>
      <c r="AF11" s="123" t="s">
        <v>28</v>
      </c>
      <c r="AG11" s="124" t="s">
        <v>28</v>
      </c>
      <c r="AH11" s="128" t="s">
        <v>27</v>
      </c>
      <c r="AI11" s="180">
        <f>IFERROR((((COUNTIF('Elève (5ème3)'!AE11:AH11,"A"))*4)+((COUNTIF('Elève (5ème3)'!AE11:AH11,"B"))*3)+((COUNTIF('Elève (5ème3)'!AE11:AH11,"C"))*2)+((COUNTIF('Elève (5ème3)'!AE11:AH11,"D"))*1))/(COUNTA(AE11:AH11)),"")</f>
        <v>3.3333333333333335</v>
      </c>
      <c r="AJ11" s="181" t="str">
        <f t="shared" si="6"/>
        <v>B</v>
      </c>
      <c r="AK11" s="208">
        <f>IF(COUNT(X11,AC11,AI11)=0,"",SUM(X11,AC11,AI11)/COUNT(X11,AC11,AI11))</f>
        <v>3.666666666666667</v>
      </c>
      <c r="AL11" s="205" t="str">
        <f t="shared" si="7"/>
        <v>B</v>
      </c>
      <c r="AM11" s="122"/>
      <c r="AN11" s="123"/>
      <c r="AO11" s="124"/>
      <c r="AP11" s="180" t="str">
        <f>IFERROR((((COUNTIF('Elève (5ème3)'!AM11:AO11,"A"))*4)+((COUNTIF('Elève (5ème3)'!AM11:AO11,"B"))*3)+((COUNTIF('Elève (5ème3)'!AM11:AO11,"C"))*2)+((COUNTIF('Elève (5ème3)'!AM11:AO11,"D"))*1))/(COUNTA(AM11:AO11)),"")</f>
        <v/>
      </c>
      <c r="AQ11" s="181" t="str">
        <f t="shared" si="8"/>
        <v/>
      </c>
      <c r="AR11" s="122" t="s">
        <v>27</v>
      </c>
      <c r="AS11" s="123" t="s">
        <v>27</v>
      </c>
      <c r="AT11" s="124" t="s">
        <v>27</v>
      </c>
      <c r="AU11" s="180">
        <f>IFERROR((((COUNTIF('Elève (5ème3)'!AR11:AT11,"A"))*4)+((COUNTIF('Elève (5ème3)'!AR11:AT11,"B"))*3)+((COUNTIF('Elève (5ème3)'!AR11:AT11,"C"))*2)+((COUNTIF('Elève (5ème3)'!AR11:AT11,"D"))*1))/(COUNTA(AR11:AT11)),"")</f>
        <v>4</v>
      </c>
      <c r="AV11" s="181" t="str">
        <f t="shared" si="9"/>
        <v>A</v>
      </c>
      <c r="AW11" s="122"/>
      <c r="AX11" s="123" t="s">
        <v>29</v>
      </c>
      <c r="AY11" s="124" t="s">
        <v>28</v>
      </c>
      <c r="AZ11" s="128" t="s">
        <v>27</v>
      </c>
      <c r="BA11" s="180">
        <f>IFERROR((((COUNTIF('Elève (5ème3)'!AW11:AZ11,"A"))*4)+((COUNTIF('Elève (5ème3)'!AW11:AZ11,"B"))*3)+((COUNTIF('Elève (5ème3)'!AW11:AZ11,"C"))*2)+((COUNTIF('Elève (5ème3)'!AW11:AZ11,"D"))*1))/(COUNTA(AW11:AZ11)),"")</f>
        <v>3</v>
      </c>
      <c r="BB11" s="181" t="str">
        <f t="shared" si="10"/>
        <v>B</v>
      </c>
      <c r="BC11" s="208">
        <f>IF(COUNT(AP11,AU11,BA11)=0,"",SUM(AP11,AU11,BA11)/COUNT(AP11,AU11,BA11))</f>
        <v>3.5</v>
      </c>
      <c r="BD11" s="205" t="str">
        <f t="shared" si="11"/>
        <v>B</v>
      </c>
      <c r="BE11" s="122"/>
      <c r="BF11" s="123"/>
      <c r="BG11" s="124"/>
      <c r="BH11" s="180" t="str">
        <f>IFERROR((((COUNTIF('Elève (5ème3)'!BE11:BG11,"A"))*4)+((COUNTIF('Elève (5ème3)'!BE11:BG11,"B"))*3)+((COUNTIF('Elève (5ème3)'!BE11:BG11,"C"))*2)+((COUNTIF('Elève (5ème3)'!BE11:BG11,"D"))*1))/(COUNTA(BE11:BG11)),"")</f>
        <v/>
      </c>
      <c r="BI11" s="181" t="str">
        <f t="shared" si="12"/>
        <v/>
      </c>
      <c r="BJ11" s="122" t="s">
        <v>27</v>
      </c>
      <c r="BK11" s="123" t="s">
        <v>27</v>
      </c>
      <c r="BL11" s="124" t="s">
        <v>27</v>
      </c>
      <c r="BM11" s="180">
        <f>IFERROR((((COUNTIF('Elève (5ème3)'!BJ11:BL11,"A"))*4)+((COUNTIF('Elève (5ème3)'!BJ11:BL11,"B"))*3)+((COUNTIF('Elève (5ème3)'!BJ11:BL11,"C"))*2)+((COUNTIF('Elève (5ème3)'!BJ11:BL11,"D"))*1))/(COUNTA(BJ11:BL11)),"")</f>
        <v>4</v>
      </c>
      <c r="BN11" s="181" t="str">
        <f t="shared" si="13"/>
        <v>A</v>
      </c>
      <c r="BO11" s="122"/>
      <c r="BP11" s="123" t="s">
        <v>28</v>
      </c>
      <c r="BQ11" s="124" t="s">
        <v>27</v>
      </c>
      <c r="BR11" s="128" t="s">
        <v>27</v>
      </c>
      <c r="BS11" s="180">
        <f>IFERROR((((COUNTIF('Elève (5ème3)'!BO11:BR11,"A"))*4)+((COUNTIF('Elève (5ème3)'!BO11:BR11,"B"))*3)+((COUNTIF('Elève (5ème3)'!BO11:BR11,"C"))*2)+((COUNTIF('Elève (5ème3)'!BO11:BR11,"D"))*1))/(COUNTA(BO11:BR11)),"")</f>
        <v>3.6666666666666665</v>
      </c>
      <c r="BT11" s="181" t="str">
        <f t="shared" si="14"/>
        <v>B</v>
      </c>
      <c r="BU11" s="208">
        <f>IF(COUNT(BH11,BM11,BS11)=0,"",SUM(BH11,BM11,BS11)/COUNT(BH11,BM11,BS11))</f>
        <v>3.833333333333333</v>
      </c>
      <c r="BV11" s="205" t="str">
        <f t="shared" si="15"/>
        <v>A</v>
      </c>
      <c r="BW11" s="122"/>
      <c r="BX11" s="123"/>
      <c r="BY11" s="124"/>
      <c r="BZ11" s="180" t="str">
        <f>IFERROR((((COUNTIF('Elève (5ème3)'!BW11:BY11,"A"))*4)+((COUNTIF('Elève (5ème3)'!BW11:BY11,"B"))*3)+((COUNTIF('Elève (5ème3)'!BW11:BY11,"C"))*2)+((COUNTIF('Elève (5ème3)'!BW11:BY11,"D"))*1))/(COUNTA(BW11:BY11)),"")</f>
        <v/>
      </c>
      <c r="CA11" s="181" t="str">
        <f t="shared" si="16"/>
        <v/>
      </c>
      <c r="CB11" s="122"/>
      <c r="CC11" s="123" t="s">
        <v>27</v>
      </c>
      <c r="CD11" s="124" t="s">
        <v>27</v>
      </c>
      <c r="CE11" s="180">
        <f>IFERROR((((COUNTIF('Elève (5ème3)'!CB11:CD11,"A"))*4)+((COUNTIF('Elève (5ème3)'!CB11:CD11,"B"))*3)+((COUNTIF('Elève (5ème3)'!CB11:CD11,"C"))*2)+((COUNTIF('Elève (5ème3)'!CB11:CD11,"D"))*1))/(COUNTA(CB11:CD11)),"")</f>
        <v>4</v>
      </c>
      <c r="CF11" s="181" t="str">
        <f t="shared" si="17"/>
        <v>A</v>
      </c>
      <c r="CG11" s="122"/>
      <c r="CH11" s="123" t="s">
        <v>28</v>
      </c>
      <c r="CI11" s="124" t="s">
        <v>27</v>
      </c>
      <c r="CJ11" s="128" t="s">
        <v>27</v>
      </c>
      <c r="CK11" s="180">
        <f>IFERROR((((COUNTIF('Elève (5ème3)'!CG11:CJ11,"A"))*4)+((COUNTIF('Elève (5ème3)'!CG11:CJ11,"B"))*3)+((COUNTIF('Elève (5ème3)'!CG11:CJ11,"C"))*2)+((COUNTIF('Elève (5ème3)'!CG11:CJ11,"D"))*1))/(COUNTA(CG11:CJ11)),"")</f>
        <v>3.6666666666666665</v>
      </c>
      <c r="CL11" s="181" t="str">
        <f t="shared" si="18"/>
        <v>B</v>
      </c>
      <c r="CM11" s="208">
        <f>IF(COUNT(BZ11,CE11,CK11)=0,"",SUM(BZ11,CE11,CK11)/COUNT(BZ11,CE11,CK11))</f>
        <v>3.833333333333333</v>
      </c>
      <c r="CN11" s="205" t="str">
        <f t="shared" si="19"/>
        <v>A</v>
      </c>
      <c r="CO11" s="122"/>
      <c r="CP11" s="123"/>
      <c r="CQ11" s="124"/>
      <c r="CR11" s="180" t="str">
        <f>IFERROR((((COUNTIF('Elève (5ème3)'!CO11:CQ11,"A"))*4)+((COUNTIF('Elève (5ème3)'!CO11:CQ11,"B"))*3)+((COUNTIF('Elève (5ème3)'!CO11:CQ11,"C"))*2)+((COUNTIF('Elève (5ème3)'!CO11:CQ11,"D"))*1))/(COUNTA(CO11:CQ11)),"")</f>
        <v/>
      </c>
      <c r="CS11" s="181" t="str">
        <f t="shared" si="20"/>
        <v/>
      </c>
      <c r="CT11" s="122" t="s">
        <v>28</v>
      </c>
      <c r="CU11" s="123" t="s">
        <v>27</v>
      </c>
      <c r="CV11" s="124" t="s">
        <v>27</v>
      </c>
      <c r="CW11" s="180">
        <f>IFERROR((((COUNTIF('Elève (5ème3)'!CT11:CV11,"A"))*4)+((COUNTIF('Elève (5ème3)'!CT11:CV11,"B"))*3)+((COUNTIF('Elève (5ème3)'!CT11:CV11,"C"))*2)+((COUNTIF('Elève (5ème3)'!CT11:CV11,"D"))*1))/(COUNTA(CT11:CV11)),"")</f>
        <v>3.6666666666666665</v>
      </c>
      <c r="CX11" s="181" t="str">
        <f t="shared" si="21"/>
        <v>B</v>
      </c>
      <c r="CY11" s="122"/>
      <c r="CZ11" s="123" t="s">
        <v>29</v>
      </c>
      <c r="DA11" s="124" t="s">
        <v>28</v>
      </c>
      <c r="DB11" s="128" t="s">
        <v>27</v>
      </c>
      <c r="DC11" s="180">
        <f>IFERROR((((COUNTIF('Elève (5ème3)'!CY11:DB11,"A"))*4)+((COUNTIF('Elève (5ème3)'!CY11:DB11,"B"))*3)+((COUNTIF('Elève (5ème3)'!CY11:DB11,"C"))*2)+((COUNTIF('Elève (5ème3)'!CY11:DB11,"D"))*1))/(COUNTA(CY11:DB11)),"")</f>
        <v>3</v>
      </c>
      <c r="DD11" s="181" t="str">
        <f t="shared" si="22"/>
        <v>B</v>
      </c>
      <c r="DE11" s="208">
        <f>IF(COUNT(CR11,CW11,DC11)=0,"",SUM(CR11,CW11,DC11)/COUNT(CR11,CW11,DC11))</f>
        <v>3.333333333333333</v>
      </c>
      <c r="DF11" s="205" t="str">
        <f t="shared" si="23"/>
        <v>B</v>
      </c>
      <c r="DG11" s="122"/>
      <c r="DH11" s="123"/>
      <c r="DI11" s="124"/>
      <c r="DJ11" s="180" t="str">
        <f>IFERROR((((COUNTIF('Elève (5ème3)'!DG11:DI11,"A"))*4)+((COUNTIF('Elève (5ème3)'!DG11:DI11,"B"))*3)+((COUNTIF('Elève (5ème3)'!DG11:DI11,"C"))*2)+((COUNTIF('Elève (5ème3)'!DG11:DI11,"D"))*1))/(COUNTA(DG11:DI11)),"")</f>
        <v/>
      </c>
      <c r="DK11" s="181" t="str">
        <f t="shared" si="24"/>
        <v/>
      </c>
      <c r="DL11" s="122" t="s">
        <v>28</v>
      </c>
      <c r="DM11" s="123" t="s">
        <v>27</v>
      </c>
      <c r="DN11" s="124" t="s">
        <v>27</v>
      </c>
      <c r="DO11" s="180">
        <f>IFERROR((((COUNTIF('Elève (5ème3)'!DL11:DN11,"A"))*4)+((COUNTIF('Elève (5ème3)'!DL11:DN11,"B"))*3)+((COUNTIF('Elève (5ème3)'!DL11:DN11,"C"))*2)+((COUNTIF('Elève (5ème3)'!DL11:DN11,"D"))*1))/(COUNTA(DL11:DN11)),"")</f>
        <v>3.6666666666666665</v>
      </c>
      <c r="DP11" s="181" t="str">
        <f t="shared" si="25"/>
        <v>B</v>
      </c>
      <c r="DQ11" s="122"/>
      <c r="DR11" s="123" t="s">
        <v>28</v>
      </c>
      <c r="DS11" s="124" t="s">
        <v>28</v>
      </c>
      <c r="DT11" s="128" t="s">
        <v>27</v>
      </c>
      <c r="DU11" s="180">
        <f>IFERROR((((COUNTIF('Elève (5ème3)'!DQ11:DT11,"A"))*4)+((COUNTIF('Elève (5ème3)'!DQ11:DT11,"B"))*3)+((COUNTIF('Elève (5ème3)'!DQ11:DT11,"C"))*2)+((COUNTIF('Elève (5ème3)'!DQ11:DT11,"D"))*1))/(COUNTA(DQ11:DT11)),"")</f>
        <v>3.3333333333333335</v>
      </c>
      <c r="DV11" s="181" t="str">
        <f t="shared" si="26"/>
        <v>B</v>
      </c>
      <c r="DW11" s="208">
        <f>IF(COUNT(DJ11,DO11,DU11)=0,"",SUM(DJ11,DO11,DU11)/COUNT(DJ11,DO11,DU11))</f>
        <v>3.5</v>
      </c>
      <c r="DX11" s="205" t="str">
        <f t="shared" si="27"/>
        <v>B</v>
      </c>
      <c r="DY11" s="122"/>
      <c r="DZ11" s="123"/>
      <c r="EA11" s="124"/>
      <c r="EB11" s="180" t="str">
        <f>IFERROR((((COUNTIF('Elève (5ème3)'!DY11:EA11,"A"))*4)+((COUNTIF('Elève (5ème3)'!DY11:EA11,"B"))*3)+((COUNTIF('Elève (5ème3)'!DY11:EA11,"C"))*2)+((COUNTIF('Elève (5ème3)'!DY11:EA11,"D"))*1))/(COUNTA(DY11:EA11)),"")</f>
        <v/>
      </c>
      <c r="EC11" s="181" t="str">
        <f t="shared" si="28"/>
        <v/>
      </c>
      <c r="ED11" s="122"/>
      <c r="EE11" s="123" t="s">
        <v>27</v>
      </c>
      <c r="EF11" s="124" t="s">
        <v>28</v>
      </c>
      <c r="EG11" s="180">
        <f>IFERROR((((COUNTIF('Elève (5ème3)'!ED11:EF11,"A"))*4)+((COUNTIF('Elève (5ème3)'!ED11:EF11,"B"))*3)+((COUNTIF('Elève (5ème3)'!ED11:EF11,"C"))*2)+((COUNTIF('Elève (5ème3)'!ED11:EF11,"D"))*1))/(COUNTA(ED11:EF11)),"")</f>
        <v>3.5</v>
      </c>
      <c r="EH11" s="181" t="str">
        <f t="shared" si="29"/>
        <v>B</v>
      </c>
      <c r="EI11" s="122"/>
      <c r="EJ11" s="123" t="s">
        <v>29</v>
      </c>
      <c r="EK11" s="124" t="s">
        <v>28</v>
      </c>
      <c r="EL11" s="128"/>
      <c r="EM11" s="180">
        <f>IFERROR((((COUNTIF('Elève (5ème3)'!EI11:EL11,"A"))*4)+((COUNTIF('Elève (5ème3)'!EI11:EL11,"B"))*3)+((COUNTIF('Elève (5ème3)'!EI11:EL11,"C"))*2)+((COUNTIF('Elève (5ème3)'!EI11:EL11,"D"))*1))/(COUNTA(EI11:EL11)),"")</f>
        <v>2.5</v>
      </c>
      <c r="EN11" s="181" t="str">
        <f t="shared" si="30"/>
        <v>C</v>
      </c>
      <c r="EO11" s="208">
        <f>IF(COUNT(EB11,EG11,EM11)=0,"",SUM(EB11,EG11,EM11)/COUNT(EB11,EG11,EM11))</f>
        <v>3</v>
      </c>
      <c r="EP11" s="205" t="str">
        <f t="shared" si="31"/>
        <v>B</v>
      </c>
      <c r="EQ11" s="122"/>
      <c r="ER11" s="123"/>
      <c r="ES11" s="124"/>
      <c r="ET11" s="180" t="str">
        <f>IFERROR((((COUNTIF('Elève (5ème3)'!EQ11:ES11,"A"))*4)+((COUNTIF('Elève (5ème3)'!EQ11:ES11,"B"))*3)+((COUNTIF('Elève (5ème3)'!EQ11:ES11,"C"))*2)+((COUNTIF('Elève (5ème3)'!EQ11:ES11,"D"))*1))/(COUNTA(EQ11:ES11)),"")</f>
        <v/>
      </c>
      <c r="EU11" s="181" t="str">
        <f t="shared" si="32"/>
        <v/>
      </c>
      <c r="EV11" s="122" t="s">
        <v>27</v>
      </c>
      <c r="EW11" s="123" t="s">
        <v>27</v>
      </c>
      <c r="EX11" s="124" t="s">
        <v>27</v>
      </c>
      <c r="EY11" s="180">
        <f>IFERROR((((COUNTIF('Elève (5ème3)'!EV11:EX11,"A"))*4)+((COUNTIF('Elève (5ème3)'!EV11:EX11,"B"))*3)+((COUNTIF('Elève (5ème3)'!EV11:EX11,"C"))*2)+((COUNTIF('Elève (5ème3)'!EV11:EX11,"D"))*1))/(COUNTA(EV11:EX11)),"")</f>
        <v>4</v>
      </c>
      <c r="EZ11" s="181" t="str">
        <f t="shared" si="33"/>
        <v>A</v>
      </c>
      <c r="FA11" s="122"/>
      <c r="FB11" s="123" t="s">
        <v>28</v>
      </c>
      <c r="FC11" s="124" t="s">
        <v>27</v>
      </c>
      <c r="FD11" s="128" t="s">
        <v>27</v>
      </c>
      <c r="FE11" s="180">
        <f>IFERROR((((COUNTIF('Elève (5ème3)'!FA11:FD11,"A"))*4)+((COUNTIF('Elève (5ème3)'!FA11:FD11,"B"))*3)+((COUNTIF('Elève (5ème3)'!FA11:FD11,"C"))*2)+((COUNTIF('Elève (5ème3)'!FA11:FD11,"D"))*1))/(COUNTA(FA11:FD11)),"")</f>
        <v>3.6666666666666665</v>
      </c>
      <c r="FF11" s="181" t="str">
        <f t="shared" si="34"/>
        <v>B</v>
      </c>
      <c r="FG11" s="208">
        <f>IF(COUNT(ET11,EY11,FE11)=0,"",SUM(ET11,EY11,FE11)/COUNT(ET11,EY11,FE11))</f>
        <v>3.833333333333333</v>
      </c>
      <c r="FH11" s="205" t="str">
        <f t="shared" si="35"/>
        <v>A</v>
      </c>
      <c r="FI11" s="122"/>
      <c r="FJ11" s="123"/>
      <c r="FK11" s="124"/>
      <c r="FL11" s="180" t="str">
        <f>IFERROR((((COUNTIF('Elève (5ème3)'!FI11:FK11,"A"))*4)+((COUNTIF('Elève (5ème3)'!FI11:FK11,"B"))*3)+((COUNTIF('Elève (5ème3)'!FI11:FK11,"C"))*2)+((COUNTIF('Elève (5ème3)'!FI11:FK11,"D"))*1))/(COUNTA(FI11:FK11)),"")</f>
        <v/>
      </c>
      <c r="FM11" s="181" t="str">
        <f t="shared" si="36"/>
        <v/>
      </c>
      <c r="FN11" s="122" t="s">
        <v>28</v>
      </c>
      <c r="FO11" s="123" t="s">
        <v>27</v>
      </c>
      <c r="FP11" s="124" t="s">
        <v>27</v>
      </c>
      <c r="FQ11" s="180">
        <f>IFERROR((((COUNTIF('Elève (5ème3)'!FN11:FP11,"A"))*4)+((COUNTIF('Elève (5ème3)'!FN11:FP11,"B"))*3)+((COUNTIF('Elève (5ème3)'!FN11:FP11,"C"))*2)+((COUNTIF('Elève (5ème3)'!FN11:FP11,"D"))*1))/(COUNTA(FN11:FP11)),"")</f>
        <v>3.6666666666666665</v>
      </c>
      <c r="FR11" s="181" t="str">
        <f t="shared" si="37"/>
        <v>B</v>
      </c>
      <c r="FS11" s="122"/>
      <c r="FT11" s="123" t="s">
        <v>28</v>
      </c>
      <c r="FU11" s="124" t="s">
        <v>28</v>
      </c>
      <c r="FV11" s="128" t="s">
        <v>27</v>
      </c>
      <c r="FW11" s="180">
        <f>IFERROR((((COUNTIF('Elève (5ème3)'!FS11:FV11,"A"))*4)+((COUNTIF('Elève (5ème3)'!FS11:FV11,"B"))*3)+((COUNTIF('Elève (5ème3)'!FS11:FV11,"C"))*2)+((COUNTIF('Elève (5ème3)'!FS11:FV11,"D"))*1))/(COUNTA(FS11:FV11)),"")</f>
        <v>3.3333333333333335</v>
      </c>
      <c r="FX11" s="181" t="str">
        <f t="shared" si="38"/>
        <v>B</v>
      </c>
      <c r="FY11" s="208">
        <f>IF(COUNT(FL11,FQ11,FW11)=0,"",SUM(FL11,FQ11,FW11)/COUNT(FL11,FQ11,FW11))</f>
        <v>3.5</v>
      </c>
      <c r="FZ11" s="205" t="str">
        <f t="shared" si="39"/>
        <v>B</v>
      </c>
      <c r="GA11" s="122"/>
      <c r="GB11" s="123"/>
      <c r="GC11" s="124"/>
      <c r="GD11" s="180" t="str">
        <f>IFERROR((((COUNTIF('Elève (5ème3)'!GA11:GC11,"A"))*4)+((COUNTIF('Elève (5ème3)'!GA11:GC11,"B"))*3)+((COUNTIF('Elève (5ème3)'!GA11:GC11,"C"))*2)+((COUNTIF('Elève (5ème3)'!GA11:GC11,"D"))*1))/(COUNTA(GA11:GC11)),"")</f>
        <v/>
      </c>
      <c r="GE11" s="181" t="str">
        <f t="shared" si="40"/>
        <v/>
      </c>
      <c r="GF11" s="122" t="s">
        <v>28</v>
      </c>
      <c r="GG11" s="123" t="s">
        <v>27</v>
      </c>
      <c r="GH11" s="124" t="s">
        <v>27</v>
      </c>
      <c r="GI11" s="180">
        <f>IFERROR((((COUNTIF('Elève (5ème3)'!GF11:GH11,"A"))*4)+((COUNTIF('Elève (5ème3)'!GF11:GH11,"B"))*3)+((COUNTIF('Elève (5ème3)'!GF11:GH11,"C"))*2)+((COUNTIF('Elève (5ème3)'!GF11:GH11,"D"))*1))/(COUNTA(GF11:GH11)),"")</f>
        <v>3.6666666666666665</v>
      </c>
      <c r="GJ11" s="181" t="str">
        <f t="shared" si="41"/>
        <v>B</v>
      </c>
      <c r="GK11" s="122"/>
      <c r="GL11" s="123" t="s">
        <v>28</v>
      </c>
      <c r="GM11" s="124" t="s">
        <v>28</v>
      </c>
      <c r="GN11" s="128"/>
      <c r="GO11" s="180">
        <f>IFERROR((((COUNTIF('Elève (5ème3)'!GK11:GN11,"A"))*4)+((COUNTIF('Elève (5ème3)'!GK11:GN11,"B"))*3)+((COUNTIF('Elève (5ème3)'!GK11:GN11,"C"))*2)+((COUNTIF('Elève (5ème3)'!GK11:GN11,"D"))*1))/(COUNTA(GK11:GN11)),"")</f>
        <v>3</v>
      </c>
      <c r="GP11" s="181" t="str">
        <f t="shared" si="42"/>
        <v>B</v>
      </c>
      <c r="GQ11" s="208">
        <f>IF(COUNT(GD11,GI11,GO11)=0,"",SUM(GD11,GI11,GO11)/COUNT(GD11,GI11,GO11))</f>
        <v>3.333333333333333</v>
      </c>
      <c r="GR11" s="205" t="str">
        <f t="shared" si="43"/>
        <v>B</v>
      </c>
      <c r="GS11" s="122"/>
      <c r="GT11" s="123"/>
      <c r="GU11" s="124"/>
      <c r="GV11" s="180" t="str">
        <f>IFERROR((((COUNTIF('Elève (5ème3)'!GS11:GU11,"A"))*4)+((COUNTIF('Elève (5ème3)'!GS11:GU11,"B"))*3)+((COUNTIF('Elève (5ème3)'!GS11:GU11,"C"))*2)+((COUNTIF('Elève (5ème3)'!GS11:GU11,"D"))*1))/(COUNTA(GS11:GU11)),"")</f>
        <v/>
      </c>
      <c r="GW11" s="181" t="str">
        <f t="shared" si="44"/>
        <v/>
      </c>
      <c r="GX11" s="122" t="s">
        <v>27</v>
      </c>
      <c r="GY11" s="123" t="s">
        <v>27</v>
      </c>
      <c r="GZ11" s="124" t="s">
        <v>27</v>
      </c>
      <c r="HA11" s="180">
        <f>IFERROR((((COUNTIF('Elève (5ème3)'!GX11:GZ11,"A"))*4)+((COUNTIF('Elève (5ème3)'!GX11:GZ11,"B"))*3)+((COUNTIF('Elève (5ème3)'!GX11:GZ11,"C"))*2)+((COUNTIF('Elève (5ème3)'!GX11:GZ11,"D"))*1))/(COUNTA(GX11:GZ11)),"")</f>
        <v>4</v>
      </c>
      <c r="HB11" s="181" t="str">
        <f t="shared" si="45"/>
        <v>A</v>
      </c>
      <c r="HC11" s="122"/>
      <c r="HD11" s="123" t="s">
        <v>27</v>
      </c>
      <c r="HE11" s="124" t="s">
        <v>27</v>
      </c>
      <c r="HF11" s="128" t="s">
        <v>27</v>
      </c>
      <c r="HG11" s="180">
        <f>IFERROR((((COUNTIF('Elève (5ème3)'!HC11:HF11,"A"))*4)+((COUNTIF('Elève (5ème3)'!HC11:HF11,"B"))*3)+((COUNTIF('Elève (5ème3)'!HC11:HF11,"C"))*2)+((COUNTIF('Elève (5ème3)'!HC11:HF11,"D"))*1))/(COUNTA(HC11:HF11)),"")</f>
        <v>4</v>
      </c>
      <c r="HH11" s="181" t="str">
        <f t="shared" si="46"/>
        <v>A</v>
      </c>
      <c r="HI11" s="208">
        <f>IF(COUNT(GV11,HA11,HG11)=0,"",SUM(GV11,HA11,HG11)/COUNT(GV11,HA11,HG11))</f>
        <v>4</v>
      </c>
      <c r="HJ11" s="205" t="str">
        <f t="shared" si="47"/>
        <v>A</v>
      </c>
      <c r="HK11" s="122"/>
      <c r="HL11" s="123"/>
      <c r="HM11" s="124"/>
      <c r="HN11" s="180" t="str">
        <f>IFERROR((((COUNTIF('Elève (5ème3)'!HK11:HM11,"A"))*4)+((COUNTIF('Elève (5ème3)'!HK11:HM11,"B"))*3)+((COUNTIF('Elève (5ème3)'!HK11:HM11,"C"))*2)+((COUNTIF('Elève (5ème3)'!HK11:HM11,"D"))*1))/(COUNTA(HK11:HM11)),"")</f>
        <v/>
      </c>
      <c r="HO11" s="181" t="str">
        <f t="shared" si="48"/>
        <v/>
      </c>
      <c r="HP11" s="122" t="s">
        <v>30</v>
      </c>
      <c r="HQ11" s="123"/>
      <c r="HR11" s="124" t="s">
        <v>27</v>
      </c>
      <c r="HS11" s="180">
        <f>IFERROR((((COUNTIF('Elève (5ème3)'!HP11:HR11,"A"))*4)+((COUNTIF('Elève (5ème3)'!HP11:HR11,"B"))*3)+((COUNTIF('Elève (5ème3)'!HP11:HR11,"C"))*2)+((COUNTIF('Elève (5ème3)'!HP11:HR11,"D"))*1))/(COUNTA(HP11:HR11)),"")</f>
        <v>2.5</v>
      </c>
      <c r="HT11" s="181" t="str">
        <f t="shared" si="49"/>
        <v>C</v>
      </c>
      <c r="HU11" s="122"/>
      <c r="HV11" s="123" t="s">
        <v>28</v>
      </c>
      <c r="HW11" s="124" t="s">
        <v>28</v>
      </c>
      <c r="HX11" s="128" t="s">
        <v>27</v>
      </c>
      <c r="HY11" s="180">
        <f>IFERROR((((COUNTIF('Elève (5ème3)'!HU11:HX11,"A"))*4)+((COUNTIF('Elève (5ème3)'!HU11:HX11,"B"))*3)+((COUNTIF('Elève (5ème3)'!HU11:HX11,"C"))*2)+((COUNTIF('Elève (5ème3)'!HU11:HX11,"D"))*1))/(COUNTA(HU11:HX11)),"")</f>
        <v>3.3333333333333335</v>
      </c>
      <c r="HZ11" s="181" t="str">
        <f t="shared" si="50"/>
        <v>B</v>
      </c>
      <c r="IA11" s="208">
        <f>IF(COUNT(HN11,HS11,HY11)=0,"",SUM(HN11,HS11,HY11)/COUNT(HN11,HS11,HY11))</f>
        <v>2.916666666666667</v>
      </c>
      <c r="IB11" s="205" t="str">
        <f t="shared" si="51"/>
        <v>B</v>
      </c>
      <c r="IC11" s="122"/>
      <c r="ID11" s="123"/>
      <c r="IE11" s="124"/>
      <c r="IF11" s="180" t="str">
        <f>IFERROR((((COUNTIF('Elève (5ème3)'!IC11:IE11,"A"))*4)+((COUNTIF('Elève (5ème3)'!IC11:IE11,"B"))*3)+((COUNTIF('Elève (5ème3)'!IC11:IE11,"C"))*2)+((COUNTIF('Elève (5ème3)'!IC11:IE11,"D"))*1))/(COUNTA(IC11:IE11)),"")</f>
        <v/>
      </c>
      <c r="IG11" s="181" t="str">
        <f t="shared" si="52"/>
        <v/>
      </c>
      <c r="IH11" s="122" t="s">
        <v>27</v>
      </c>
      <c r="II11" s="123" t="s">
        <v>27</v>
      </c>
      <c r="IJ11" s="124" t="s">
        <v>27</v>
      </c>
      <c r="IK11" s="180">
        <f>IFERROR((((COUNTIF('Elève (5ème3)'!IH11:IJ11,"A"))*4)+((COUNTIF('Elève (5ème3)'!IH11:IJ11,"B"))*3)+((COUNTIF('Elève (5ème3)'!IH11:IJ11,"C"))*2)+((COUNTIF('Elève (5ème3)'!IH11:IJ11,"D"))*1))/(COUNTA(IH11:IJ11)),"")</f>
        <v>4</v>
      </c>
      <c r="IL11" s="181" t="str">
        <f t="shared" si="53"/>
        <v>A</v>
      </c>
      <c r="IM11" s="122"/>
      <c r="IN11" s="123"/>
      <c r="IO11" s="124" t="s">
        <v>27</v>
      </c>
      <c r="IP11" s="128" t="s">
        <v>27</v>
      </c>
      <c r="IQ11" s="180">
        <f>IFERROR((((COUNTIF('Elève (5ème3)'!IM11:IP11,"A"))*4)+((COUNTIF('Elève (5ème3)'!IM11:IP11,"B"))*3)+((COUNTIF('Elève (5ème3)'!IM11:IP11,"C"))*2)+((COUNTIF('Elève (5ème3)'!IM11:IP11,"D"))*1))/(COUNTA(IM11:IP11)),"")</f>
        <v>4</v>
      </c>
      <c r="IR11" s="181" t="str">
        <f t="shared" si="54"/>
        <v>A</v>
      </c>
      <c r="IS11" s="208">
        <f>IF(COUNT(IF11,IK11,IQ11)=0,"",SUM(IF11,IK11,IQ11)/COUNT(IF11,IK11,IQ11))</f>
        <v>4</v>
      </c>
      <c r="IT11" s="205" t="str">
        <f t="shared" si="55"/>
        <v>A</v>
      </c>
      <c r="IU11" s="122"/>
      <c r="IV11" s="123"/>
      <c r="IW11" s="124"/>
      <c r="IX11" s="180" t="str">
        <f>IFERROR((((COUNTIF('Elève (5ème3)'!IU11:IW11,"A"))*4)+((COUNTIF('Elève (5ème3)'!IU11:IW11,"B"))*3)+((COUNTIF('Elève (5ème3)'!IU11:IW11,"C"))*2)+((COUNTIF('Elève (5ème3)'!IU11:IW11,"D"))*1))/(COUNTA(IU11:IW11)),"")</f>
        <v/>
      </c>
      <c r="IY11" s="181" t="str">
        <f t="shared" si="56"/>
        <v/>
      </c>
      <c r="IZ11" s="122" t="s">
        <v>27</v>
      </c>
      <c r="JA11" s="123" t="s">
        <v>27</v>
      </c>
      <c r="JB11" s="124" t="s">
        <v>27</v>
      </c>
      <c r="JC11" s="180">
        <f>IFERROR((((COUNTIF('Elève (5ème3)'!IZ11:JB11,"A"))*4)+((COUNTIF('Elève (5ème3)'!IZ11:JB11,"B"))*3)+((COUNTIF('Elève (5ème3)'!IZ11:JB11,"C"))*2)+((COUNTIF('Elève (5ème3)'!IZ11:JB11,"D"))*1))/(COUNTA(IZ11:JB11)),"")</f>
        <v>4</v>
      </c>
      <c r="JD11" s="181" t="str">
        <f t="shared" si="57"/>
        <v>A</v>
      </c>
      <c r="JE11" s="122"/>
      <c r="JF11" s="123" t="s">
        <v>28</v>
      </c>
      <c r="JG11" s="124" t="s">
        <v>27</v>
      </c>
      <c r="JH11" s="128" t="s">
        <v>28</v>
      </c>
      <c r="JI11" s="180">
        <f>IFERROR((((COUNTIF('Elève (5ème3)'!JE11:JH11,"A"))*4)+((COUNTIF('Elève (5ème3)'!JE11:JH11,"B"))*3)+((COUNTIF('Elève (5ème3)'!JE11:JH11,"C"))*2)+((COUNTIF('Elève (5ème3)'!JE11:JH11,"D"))*1))/(COUNTA(JE11:JH11)),"")</f>
        <v>3.3333333333333335</v>
      </c>
      <c r="JJ11" s="181" t="str">
        <f t="shared" si="58"/>
        <v>B</v>
      </c>
      <c r="JK11" s="208">
        <f>IF(COUNT(IX11,JC11,JI11)=0,"",SUM(IX11,JC11,JI11)/COUNT(IX11,JC11,JI11))</f>
        <v>3.666666666666667</v>
      </c>
      <c r="JL11" s="205" t="str">
        <f t="shared" si="59"/>
        <v>B</v>
      </c>
      <c r="JM11" s="122"/>
      <c r="JN11" s="123"/>
      <c r="JO11" s="124"/>
      <c r="JP11" s="180" t="str">
        <f>IFERROR((((COUNTIF('Elève (5ème3)'!JM11:JO11,"A"))*4)+((COUNTIF('Elève (5ème3)'!JM11:JO11,"B"))*3)+((COUNTIF('Elève (5ème3)'!JM11:JO11,"C"))*2)+((COUNTIF('Elève (5ème3)'!JM11:JO11,"D"))*1))/(COUNTA(JM11:JO11)),"")</f>
        <v/>
      </c>
      <c r="JQ11" s="181" t="str">
        <f t="shared" si="60"/>
        <v/>
      </c>
      <c r="JR11" s="122" t="s">
        <v>29</v>
      </c>
      <c r="JS11" s="123" t="s">
        <v>27</v>
      </c>
      <c r="JT11" s="124" t="s">
        <v>27</v>
      </c>
      <c r="JU11" s="180">
        <f>IFERROR((((COUNTIF('Elève (5ème3)'!JR11:JT11,"A"))*4)+((COUNTIF('Elève (5ème3)'!JR11:JT11,"B"))*3)+((COUNTIF('Elève (5ème3)'!JR11:JT11,"C"))*2)+((COUNTIF('Elève (5ème3)'!JR11:JT11,"D"))*1))/(COUNTA(JR11:JT11)),"")</f>
        <v>3.3333333333333335</v>
      </c>
      <c r="JV11" s="181" t="str">
        <f t="shared" si="61"/>
        <v>B</v>
      </c>
      <c r="JW11" s="122"/>
      <c r="JX11" s="123" t="s">
        <v>28</v>
      </c>
      <c r="JY11" s="124"/>
      <c r="JZ11" s="128" t="s">
        <v>27</v>
      </c>
      <c r="KA11" s="180">
        <f>IFERROR((((COUNTIF('Elève (5ème3)'!JW11:JZ11,"A"))*4)+((COUNTIF('Elève (5ème3)'!JW11:JZ11,"B"))*3)+((COUNTIF('Elève (5ème3)'!JW11:JZ11,"C"))*2)+((COUNTIF('Elève (5ème3)'!JW11:JZ11,"D"))*1))/(COUNTA(JW11:JZ11)),"")</f>
        <v>3.5</v>
      </c>
      <c r="KB11" s="181" t="str">
        <f t="shared" si="62"/>
        <v>B</v>
      </c>
      <c r="KC11" s="208">
        <f>IF(COUNT(JP11,JU11,KA11)=0,"",SUM(JP11,JU11,KA11)/COUNT(JP11,JU11,KA11))</f>
        <v>3.416666666666667</v>
      </c>
      <c r="KD11" s="205" t="str">
        <f t="shared" si="63"/>
        <v>B</v>
      </c>
      <c r="KE11" s="122"/>
      <c r="KF11" s="123"/>
      <c r="KG11" s="124"/>
      <c r="KH11" s="180" t="str">
        <f>IFERROR((((COUNTIF('Elève (5ème3)'!KE11:KG11,"A"))*4)+((COUNTIF('Elève (5ème3)'!KE11:KG11,"B"))*3)+((COUNTIF('Elève (5ème3)'!KE11:KG11,"C"))*2)+((COUNTIF('Elève (5ème3)'!KE11:KG11,"D"))*1))/(COUNTA(KE11:KG11)),"")</f>
        <v/>
      </c>
      <c r="KI11" s="181" t="str">
        <f t="shared" si="64"/>
        <v/>
      </c>
      <c r="KJ11" s="122" t="s">
        <v>27</v>
      </c>
      <c r="KK11" s="123" t="s">
        <v>27</v>
      </c>
      <c r="KL11" s="124" t="s">
        <v>27</v>
      </c>
      <c r="KM11" s="180">
        <f>IFERROR((((COUNTIF('Elève (5ème3)'!KJ11:KL11,"A"))*4)+((COUNTIF('Elève (5ème3)'!KJ11:KL11,"B"))*3)+((COUNTIF('Elève (5ème3)'!KJ11:KL11,"C"))*2)+((COUNTIF('Elève (5ème3)'!KJ11:KL11,"D"))*1))/(COUNTA(KJ11:KL11)),"")</f>
        <v>4</v>
      </c>
      <c r="KN11" s="181" t="str">
        <f t="shared" si="65"/>
        <v>A</v>
      </c>
      <c r="KO11" s="122"/>
      <c r="KP11" s="123" t="s">
        <v>27</v>
      </c>
      <c r="KQ11" s="124" t="s">
        <v>27</v>
      </c>
      <c r="KR11" s="128" t="s">
        <v>27</v>
      </c>
      <c r="KS11" s="180">
        <f>IFERROR((((COUNTIF('Elève (5ème3)'!KO11:KR11,"A"))*4)+((COUNTIF('Elève (5ème3)'!KO11:KR11,"B"))*3)+((COUNTIF('Elève (5ème3)'!KO11:KR11,"C"))*2)+((COUNTIF('Elève (5ème3)'!KO11:KR11,"D"))*1))/(COUNTA(KO11:KR11)),"")</f>
        <v>4</v>
      </c>
      <c r="KT11" s="181" t="str">
        <f t="shared" si="66"/>
        <v>A</v>
      </c>
      <c r="KU11" s="208">
        <f>IF(COUNT(KH11,KM11,KS11)=0,"",SUM(KH11,KM11,KS11)/COUNT(KH11,KM11,KS11))</f>
        <v>4</v>
      </c>
      <c r="KV11" s="205" t="str">
        <f t="shared" si="67"/>
        <v>A</v>
      </c>
      <c r="KW11" s="122"/>
      <c r="KX11" s="123"/>
      <c r="KY11" s="124"/>
      <c r="KZ11" s="180" t="str">
        <f>IFERROR((((COUNTIF('Elève (5ème3)'!KW11:KY11,"A"))*4)+((COUNTIF('Elève (5ème3)'!KW11:KY11,"B"))*3)+((COUNTIF('Elève (5ème3)'!KW11:KY11,"C"))*2)+((COUNTIF('Elève (5ème3)'!KW11:KY11,"D"))*1))/(COUNTA(KW11:KY11)),"")</f>
        <v/>
      </c>
      <c r="LA11" s="181" t="str">
        <f t="shared" si="68"/>
        <v/>
      </c>
      <c r="LB11" s="122" t="s">
        <v>28</v>
      </c>
      <c r="LC11" s="123" t="s">
        <v>27</v>
      </c>
      <c r="LD11" s="124" t="s">
        <v>27</v>
      </c>
      <c r="LE11" s="180">
        <f>IFERROR((((COUNTIF('Elève (5ème3)'!LB11:LD11,"A"))*4)+((COUNTIF('Elève (5ème3)'!LB11:LD11,"B"))*3)+((COUNTIF('Elève (5ème3)'!LB11:LD11,"C"))*2)+((COUNTIF('Elève (5ème3)'!LB11:LD11,"D"))*1))/(COUNTA(LB11:LD11)),"")</f>
        <v>3.6666666666666665</v>
      </c>
      <c r="LF11" s="181" t="str">
        <f t="shared" si="69"/>
        <v>B</v>
      </c>
      <c r="LG11" s="122"/>
      <c r="LH11" s="123" t="s">
        <v>28</v>
      </c>
      <c r="LI11" s="124" t="s">
        <v>27</v>
      </c>
      <c r="LJ11" s="128" t="s">
        <v>27</v>
      </c>
      <c r="LK11" s="180">
        <f>IFERROR((((COUNTIF('Elève (5ème3)'!LG11:LJ11,"A"))*4)+((COUNTIF('Elève (5ème3)'!LG11:LJ11,"B"))*3)+((COUNTIF('Elève (5ème3)'!LG11:LJ11,"C"))*2)+((COUNTIF('Elève (5ème3)'!LG11:LJ11,"D"))*1))/(COUNTA(LG11:LJ11)),"")</f>
        <v>3.6666666666666665</v>
      </c>
      <c r="LL11" s="181" t="str">
        <f t="shared" si="70"/>
        <v>B</v>
      </c>
      <c r="LM11" s="208">
        <f>IF(COUNT(KZ11,LE11,LK11)=0,"",SUM(KZ11,LE11,LK11)/COUNT(KZ11,LE11,LK11))</f>
        <v>3.6666666666666665</v>
      </c>
      <c r="LN11" s="205" t="str">
        <f t="shared" si="71"/>
        <v>B</v>
      </c>
      <c r="LO11" s="122"/>
      <c r="LP11" s="123"/>
      <c r="LQ11" s="124"/>
      <c r="LR11" s="180" t="str">
        <f>IFERROR((((COUNTIF('Elève (5ème3)'!LO11:LQ11,"A"))*4)+((COUNTIF('Elève (5ème3)'!LO11:LQ11,"B"))*3)+((COUNTIF('Elève (5ème3)'!LO11:LQ11,"C"))*2)+((COUNTIF('Elève (5ème3)'!LO11:LQ11,"D"))*1))/(COUNTA(LO11:LQ11)),"")</f>
        <v/>
      </c>
      <c r="LS11" s="181" t="str">
        <f t="shared" si="72"/>
        <v/>
      </c>
      <c r="LT11" s="122" t="s">
        <v>27</v>
      </c>
      <c r="LU11" s="123" t="s">
        <v>27</v>
      </c>
      <c r="LV11" s="124" t="s">
        <v>27</v>
      </c>
      <c r="LW11" s="180">
        <f>IFERROR((((COUNTIF('Elève (5ème3)'!LT11:LV11,"A"))*4)+((COUNTIF('Elève (5ème3)'!LT11:LV11,"B"))*3)+((COUNTIF('Elève (5ème3)'!LT11:LV11,"C"))*2)+((COUNTIF('Elève (5ème3)'!LT11:LV11,"D"))*1))/(COUNTA(LT11:LV11)),"")</f>
        <v>4</v>
      </c>
      <c r="LX11" s="181" t="str">
        <f t="shared" si="73"/>
        <v>A</v>
      </c>
      <c r="LY11" s="122"/>
      <c r="LZ11" s="123" t="s">
        <v>27</v>
      </c>
      <c r="MA11" s="124" t="s">
        <v>27</v>
      </c>
      <c r="MB11" s="128" t="s">
        <v>27</v>
      </c>
      <c r="MC11" s="180">
        <f>IFERROR((((COUNTIF('Elève (5ème3)'!LY11:MB11,"A"))*4)+((COUNTIF('Elève (5ème3)'!LY11:MB11,"B"))*3)+((COUNTIF('Elève (5ème3)'!LY11:MB11,"C"))*2)+((COUNTIF('Elève (5ème3)'!LY11:MB11,"D"))*1))/(COUNTA(LY11:MB11)),"")</f>
        <v>4</v>
      </c>
      <c r="MD11" s="181" t="str">
        <f t="shared" si="74"/>
        <v>A</v>
      </c>
      <c r="ME11" s="208">
        <f>IF(COUNT(LR11,LW11,MC11)=0,"",SUM(LR11,LW11,MC11)/COUNT(LR11,LW11,MC11))</f>
        <v>4</v>
      </c>
      <c r="MF11" s="205" t="str">
        <f t="shared" si="75"/>
        <v>A</v>
      </c>
      <c r="MG11" s="122"/>
      <c r="MH11" s="123"/>
      <c r="MI11" s="124"/>
      <c r="MJ11" s="180" t="str">
        <f>IFERROR((((COUNTIF('Elève (5ème3)'!MG11:MI11,"A"))*4)+((COUNTIF('Elève (5ème3)'!MG11:MI11,"B"))*3)+((COUNTIF('Elève (5ème3)'!MG11:MI11,"C"))*2)+((COUNTIF('Elève (5ème3)'!MG11:MI11,"D"))*1))/(COUNTA(MG11:MI11)),"")</f>
        <v/>
      </c>
      <c r="MK11" s="181" t="str">
        <f t="shared" si="76"/>
        <v/>
      </c>
      <c r="ML11" s="122" t="s">
        <v>28</v>
      </c>
      <c r="MM11" s="123" t="s">
        <v>27</v>
      </c>
      <c r="MN11" s="124" t="s">
        <v>27</v>
      </c>
      <c r="MO11" s="180">
        <f>IFERROR((((COUNTIF('Elève (5ème3)'!ML11:MN11,"A"))*4)+((COUNTIF('Elève (5ème3)'!ML11:MN11,"B"))*3)+((COUNTIF('Elève (5ème3)'!ML11:MN11,"C"))*2)+((COUNTIF('Elève (5ème3)'!ML11:MN11,"D"))*1))/(COUNTA(ML11:MN11)),"")</f>
        <v>3.6666666666666665</v>
      </c>
      <c r="MP11" s="181" t="str">
        <f t="shared" si="77"/>
        <v>B</v>
      </c>
      <c r="MQ11" s="122"/>
      <c r="MR11" s="123" t="s">
        <v>29</v>
      </c>
      <c r="MS11" s="124" t="s">
        <v>28</v>
      </c>
      <c r="MT11" s="128" t="s">
        <v>27</v>
      </c>
      <c r="MU11" s="180">
        <f>IFERROR((((COUNTIF('Elève (5ème3)'!MQ11:MT11,"A"))*4)+((COUNTIF('Elève (5ème3)'!MQ11:MT11,"B"))*3)+((COUNTIF('Elève (5ème3)'!MQ11:MT11,"C"))*2)+((COUNTIF('Elève (5ème3)'!MQ11:MT11,"D"))*1))/(COUNTA(MQ11:MT11)),"")</f>
        <v>3</v>
      </c>
      <c r="MV11" s="181" t="str">
        <f t="shared" si="78"/>
        <v>B</v>
      </c>
      <c r="MW11" s="208">
        <f>IF(COUNT(MJ11,MO11,MU11)=0,"",SUM(MJ11,MO11,MU11)/COUNT(MJ11,MO11,MU11))</f>
        <v>3.333333333333333</v>
      </c>
      <c r="MX11" s="205" t="str">
        <f t="shared" si="79"/>
        <v>B</v>
      </c>
      <c r="MY11" s="122"/>
      <c r="MZ11" s="123"/>
      <c r="NA11" s="124"/>
      <c r="NB11" s="180" t="str">
        <f>IFERROR((((COUNTIF('Elève (5ème3)'!MY11:NA11,"A"))*4)+((COUNTIF('Elève (5ème3)'!MY11:NA11,"B"))*3)+((COUNTIF('Elève (5ème3)'!MY11:NA11,"C"))*2)+((COUNTIF('Elève (5ème3)'!MY11:NA11,"D"))*1))/(COUNTA(MY11:NA11)),"")</f>
        <v/>
      </c>
      <c r="NC11" s="181" t="str">
        <f t="shared" si="80"/>
        <v/>
      </c>
      <c r="ND11" s="122" t="s">
        <v>27</v>
      </c>
      <c r="NE11" s="123" t="s">
        <v>27</v>
      </c>
      <c r="NF11" s="124" t="s">
        <v>27</v>
      </c>
      <c r="NG11" s="180">
        <f>IFERROR((((COUNTIF('Elève (5ème3)'!ND11:NF11,"A"))*4)+((COUNTIF('Elève (5ème3)'!ND11:NF11,"B"))*3)+((COUNTIF('Elève (5ème3)'!ND11:NF11,"C"))*2)+((COUNTIF('Elève (5ème3)'!ND11:NF11,"D"))*1))/(COUNTA(ND11:NF11)),"")</f>
        <v>4</v>
      </c>
      <c r="NH11" s="181" t="str">
        <f t="shared" si="81"/>
        <v>A</v>
      </c>
      <c r="NI11" s="122"/>
      <c r="NJ11" s="123" t="s">
        <v>28</v>
      </c>
      <c r="NK11" s="124" t="s">
        <v>27</v>
      </c>
      <c r="NL11" s="128" t="s">
        <v>27</v>
      </c>
      <c r="NM11" s="180">
        <f>IFERROR((((COUNTIF('Elève (5ème3)'!NI11:NL11,"A"))*4)+((COUNTIF('Elève (5ème3)'!NI11:NL11,"B"))*3)+((COUNTIF('Elève (5ème3)'!NI11:NL11,"C"))*2)+((COUNTIF('Elève (5ème3)'!NI11:NL11,"D"))*1))/(COUNTA(NI11:NL11)),"")</f>
        <v>3.6666666666666665</v>
      </c>
      <c r="NN11" s="181" t="str">
        <f t="shared" si="82"/>
        <v>B</v>
      </c>
      <c r="NO11" s="208">
        <f>IF(COUNT(NB11,NG11,NM11)=0,"",SUM(NB11,NG11,NM11)/COUNT(NB11,NG11,NM11))</f>
        <v>3.833333333333333</v>
      </c>
      <c r="NP11" s="205" t="str">
        <f t="shared" si="83"/>
        <v>A</v>
      </c>
      <c r="NQ11" s="122"/>
      <c r="NR11" s="123"/>
      <c r="NS11" s="124"/>
      <c r="NT11" s="180" t="str">
        <f>IFERROR((((COUNTIF('Elève (5ème3)'!NQ11:NS11,"A"))*4)+((COUNTIF('Elève (5ème3)'!NQ11:NS11,"B"))*3)+((COUNTIF('Elève (5ème3)'!NQ11:NS11,"C"))*2)+((COUNTIF('Elève (5ème3)'!NQ11:NS11,"D"))*1))/(COUNTA(NQ11:NS11)),"")</f>
        <v/>
      </c>
      <c r="NU11" s="181" t="str">
        <f t="shared" si="84"/>
        <v/>
      </c>
      <c r="NV11" s="122" t="s">
        <v>27</v>
      </c>
      <c r="NW11" s="123" t="s">
        <v>27</v>
      </c>
      <c r="NX11" s="124" t="s">
        <v>28</v>
      </c>
      <c r="NY11" s="180">
        <f>IFERROR((((COUNTIF('Elève (5ème3)'!NV11:NX11,"A"))*4)+((COUNTIF('Elève (5ème3)'!NV11:NX11,"B"))*3)+((COUNTIF('Elève (5ème3)'!NV11:NX11,"C"))*2)+((COUNTIF('Elève (5ème3)'!NV11:NX11,"D"))*1))/(COUNTA(NV11:NX11)),"")</f>
        <v>3.6666666666666665</v>
      </c>
      <c r="NZ11" s="181" t="str">
        <f t="shared" si="85"/>
        <v>B</v>
      </c>
      <c r="OA11" s="122"/>
      <c r="OB11" s="123"/>
      <c r="OC11" s="124"/>
      <c r="OD11" s="128" t="s">
        <v>27</v>
      </c>
      <c r="OE11" s="180">
        <f>IFERROR((((COUNTIF('Elève (5ème3)'!OA11:OD11,"A"))*4)+((COUNTIF('Elève (5ème3)'!OA11:OD11,"B"))*3)+((COUNTIF('Elève (5ème3)'!OA11:OD11,"C"))*2)+((COUNTIF('Elève (5ème3)'!OA11:OD11,"D"))*1))/(COUNTA(OA11:OD11)),"")</f>
        <v>4</v>
      </c>
      <c r="OF11" s="181" t="str">
        <f t="shared" si="86"/>
        <v>A</v>
      </c>
      <c r="OG11" s="208">
        <f>IF(COUNT(NT11,NY11,OE11)=0,"",SUM(NT11,NY11,OE11)/COUNT(NT11,NY11,OE11))</f>
        <v>3.833333333333333</v>
      </c>
      <c r="OH11" s="205" t="str">
        <f t="shared" si="87"/>
        <v>A</v>
      </c>
      <c r="OI11" s="122"/>
      <c r="OJ11" s="123"/>
      <c r="OK11" s="124"/>
      <c r="OL11" s="180" t="str">
        <f>IFERROR((((COUNTIF('Elève (5ème3)'!OI11:OK11,"A"))*4)+((COUNTIF('Elève (5ème3)'!OI11:OK11,"B"))*3)+((COUNTIF('Elève (5ème3)'!OI11:OK11,"C"))*2)+((COUNTIF('Elève (5ème3)'!OI11:OK11,"D"))*1))/(COUNTA(OI11:OK11)),"")</f>
        <v/>
      </c>
      <c r="OM11" s="181" t="str">
        <f t="shared" si="88"/>
        <v/>
      </c>
      <c r="ON11" s="122" t="s">
        <v>27</v>
      </c>
      <c r="OO11" s="123" t="s">
        <v>27</v>
      </c>
      <c r="OP11" s="124"/>
      <c r="OQ11" s="180">
        <f>IFERROR((((COUNTIF('Elève (5ème3)'!ON11:OP11,"A"))*4)+((COUNTIF('Elève (5ème3)'!ON11:OP11,"B"))*3)+((COUNTIF('Elève (5ème3)'!ON11:OP11,"C"))*2)+((COUNTIF('Elève (5ème3)'!ON11:OP11,"D"))*1))/(COUNTA(ON11:OP11)),"")</f>
        <v>4</v>
      </c>
      <c r="OR11" s="181" t="str">
        <f t="shared" si="89"/>
        <v>A</v>
      </c>
      <c r="OS11" s="122"/>
      <c r="OT11" s="123" t="s">
        <v>28</v>
      </c>
      <c r="OU11" s="124" t="s">
        <v>27</v>
      </c>
      <c r="OV11" s="128" t="s">
        <v>27</v>
      </c>
      <c r="OW11" s="180">
        <f>IFERROR((((COUNTIF('Elève (5ème3)'!OS11:OV11,"A"))*4)+((COUNTIF('Elève (5ème3)'!OS11:OV11,"B"))*3)+((COUNTIF('Elève (5ème3)'!OS11:OV11,"C"))*2)+((COUNTIF('Elève (5ème3)'!OS11:OV11,"D"))*1))/(COUNTA(OS11:OV11)),"")</f>
        <v>3.6666666666666665</v>
      </c>
      <c r="OX11" s="181" t="str">
        <f t="shared" si="90"/>
        <v>B</v>
      </c>
      <c r="OY11" s="208">
        <f>IF(COUNT(OL11,OQ11,OW11)=0,"",SUM(OL11,OQ11,OW11)/COUNT(OL11,OQ11,OW11))</f>
        <v>3.833333333333333</v>
      </c>
      <c r="OZ11" s="205" t="str">
        <f t="shared" si="91"/>
        <v>A</v>
      </c>
      <c r="PA11" s="122"/>
      <c r="PB11" s="123"/>
      <c r="PC11" s="124"/>
      <c r="PD11" s="180" t="str">
        <f>IFERROR((((COUNTIF('Elève (5ème3)'!PA11:PC11,"A"))*4)+((COUNTIF('Elève (5ème3)'!PA11:PC11,"B"))*3)+((COUNTIF('Elève (5ème3)'!PA11:PC11,"C"))*2)+((COUNTIF('Elève (5ème3)'!PA11:PC11,"D"))*1))/(COUNTA(PA11:PC11)),"")</f>
        <v/>
      </c>
      <c r="PE11" s="181" t="str">
        <f t="shared" si="92"/>
        <v/>
      </c>
      <c r="PF11" s="122" t="s">
        <v>27</v>
      </c>
      <c r="PG11" s="123" t="s">
        <v>27</v>
      </c>
      <c r="PH11" s="124" t="s">
        <v>27</v>
      </c>
      <c r="PI11" s="180">
        <f>IFERROR((((COUNTIF('Elève (5ème3)'!PF11:PH11,"A"))*4)+((COUNTIF('Elève (5ème3)'!PF11:PH11,"B"))*3)+((COUNTIF('Elève (5ème3)'!PF11:PH11,"C"))*2)+((COUNTIF('Elève (5ème3)'!PF11:PH11,"D"))*1))/(COUNTA(PF11:PH11)),"")</f>
        <v>4</v>
      </c>
      <c r="PJ11" s="181" t="str">
        <f t="shared" si="93"/>
        <v>A</v>
      </c>
      <c r="PK11" s="122"/>
      <c r="PL11" s="123" t="s">
        <v>29</v>
      </c>
      <c r="PM11" s="124" t="s">
        <v>27</v>
      </c>
      <c r="PN11" s="128" t="s">
        <v>27</v>
      </c>
      <c r="PO11" s="180">
        <f>IFERROR((((COUNTIF('Elève (5ème3)'!PK11:PN11,"A"))*4)+((COUNTIF('Elève (5ème3)'!PK11:PN11,"B"))*3)+((COUNTIF('Elève (5ème3)'!PK11:PN11,"C"))*2)+((COUNTIF('Elève (5ème3)'!PK11:PN11,"D"))*1))/(COUNTA(PK11:PN11)),"")</f>
        <v>3.3333333333333335</v>
      </c>
      <c r="PP11" s="181" t="str">
        <f t="shared" si="94"/>
        <v>B</v>
      </c>
      <c r="PQ11" s="208">
        <f>IF(COUNT(PD11,PI11,PO11)=0,"",SUM(PD11,PI11,PO11)/COUNT(PD11,PI11,PO11))</f>
        <v>3.666666666666667</v>
      </c>
      <c r="PR11" s="205" t="str">
        <f t="shared" si="95"/>
        <v>B</v>
      </c>
      <c r="PS11" s="122"/>
      <c r="PT11" s="123"/>
      <c r="PU11" s="124"/>
      <c r="PV11" s="180" t="str">
        <f>IFERROR((((COUNTIF('Elève (5ème3)'!PS11:PU11,"A"))*4)+((COUNTIF('Elève (5ème3)'!PS11:PU11,"B"))*3)+((COUNTIF('Elève (5ème3)'!PS11:PU11,"C"))*2)+((COUNTIF('Elève (5ème3)'!PS11:PU11,"D"))*1))/(COUNTA(PS11:PU11)),"")</f>
        <v/>
      </c>
      <c r="PW11" s="181" t="str">
        <f t="shared" si="96"/>
        <v/>
      </c>
      <c r="PX11" s="122" t="s">
        <v>27</v>
      </c>
      <c r="PY11" s="123" t="s">
        <v>27</v>
      </c>
      <c r="PZ11" s="124" t="s">
        <v>27</v>
      </c>
      <c r="QA11" s="180">
        <f>IFERROR((((COUNTIF('Elève (5ème3)'!PX11:PZ11,"A"))*4)+((COUNTIF('Elève (5ème3)'!PX11:PZ11,"B"))*3)+((COUNTIF('Elève (5ème3)'!PX11:PZ11,"C"))*2)+((COUNTIF('Elève (5ème3)'!PX11:PZ11,"D"))*1))/(COUNTA(PX11:PZ11)),"")</f>
        <v>4</v>
      </c>
      <c r="QB11" s="181" t="str">
        <f t="shared" si="97"/>
        <v>A</v>
      </c>
      <c r="QC11" s="122"/>
      <c r="QD11" s="123" t="s">
        <v>28</v>
      </c>
      <c r="QE11" s="124" t="s">
        <v>27</v>
      </c>
      <c r="QF11" s="128" t="s">
        <v>27</v>
      </c>
      <c r="QG11" s="180">
        <f>IFERROR((((COUNTIF('Elève (5ème3)'!QC11:QF11,"A"))*4)+((COUNTIF('Elève (5ème3)'!QC11:QF11,"B"))*3)+((COUNTIF('Elève (5ème3)'!QC11:QF11,"C"))*2)+((COUNTIF('Elève (5ème3)'!QC11:QF11,"D"))*1))/(COUNTA(QC11:QF11)),"")</f>
        <v>3.6666666666666665</v>
      </c>
      <c r="QH11" s="181" t="str">
        <f t="shared" si="98"/>
        <v>B</v>
      </c>
      <c r="QI11" s="208">
        <f>IF(COUNT(PV11,QA11,QG11)=0,"",SUM(PV11,QA11,QG11)/COUNT(PV11,QA11,QG11))</f>
        <v>3.833333333333333</v>
      </c>
      <c r="QJ11" s="205" t="str">
        <f t="shared" si="99"/>
        <v>A</v>
      </c>
      <c r="QK11" s="122"/>
      <c r="QL11" s="123"/>
      <c r="QM11" s="124"/>
      <c r="QN11" s="180" t="str">
        <f>IFERROR((((COUNTIF('Elève (5ème3)'!QK11:QM11,"A"))*4)+((COUNTIF('Elève (5ème3)'!QK11:QM11,"B"))*3)+((COUNTIF('Elève (5ème3)'!QK11:QM11,"C"))*2)+((COUNTIF('Elève (5ème3)'!QK11:QM11,"D"))*1))/(COUNTA(QK11:QM11)),"")</f>
        <v/>
      </c>
      <c r="QO11" s="181" t="str">
        <f t="shared" si="100"/>
        <v/>
      </c>
      <c r="QP11" s="122"/>
      <c r="QQ11" s="123" t="s">
        <v>27</v>
      </c>
      <c r="QR11" s="124"/>
      <c r="QS11" s="180">
        <f>IFERROR((((COUNTIF('Elève (5ème3)'!QP11:QR11,"A"))*4)+((COUNTIF('Elève (5ème3)'!QP11:QR11,"B"))*3)+((COUNTIF('Elève (5ème3)'!QP11:QR11,"C"))*2)+((COUNTIF('Elève (5ème3)'!QP11:QR11,"D"))*1))/(COUNTA(QP11:QR11)),"")</f>
        <v>4</v>
      </c>
      <c r="QT11" s="181" t="str">
        <f t="shared" si="101"/>
        <v>A</v>
      </c>
      <c r="QU11" s="122"/>
      <c r="QV11" s="123" t="s">
        <v>28</v>
      </c>
      <c r="QW11" s="124" t="s">
        <v>27</v>
      </c>
      <c r="QX11" s="128"/>
      <c r="QY11" s="180">
        <f>IFERROR((((COUNTIF('Elève (5ème3)'!QU11:QX11,"A"))*4)+((COUNTIF('Elève (5ème3)'!QU11:QX11,"B"))*3)+((COUNTIF('Elève (5ème3)'!QU11:QX11,"C"))*2)+((COUNTIF('Elève (5ème3)'!QU11:QX11,"D"))*1))/(COUNTA(QU11:QX11)),"")</f>
        <v>3.5</v>
      </c>
      <c r="QZ11" s="181" t="str">
        <f t="shared" si="102"/>
        <v>B</v>
      </c>
      <c r="RA11" s="208">
        <f>IF(COUNT(QN11,QS11,QY11)=0,"",SUM(QN11,QS11,QY11)/COUNT(QN11,QS11,QY11))</f>
        <v>3.75</v>
      </c>
      <c r="RB11" s="205" t="str">
        <f t="shared" si="103"/>
        <v>A</v>
      </c>
      <c r="RC11" s="122"/>
      <c r="RD11" s="123"/>
      <c r="RE11" s="124"/>
      <c r="RF11" s="180" t="str">
        <f>IFERROR((((COUNTIF('Elève (5ème3)'!RC11:RE11,"A"))*4)+((COUNTIF('Elève (5ème3)'!RC11:RE11,"B"))*3)+((COUNTIF('Elève (5ème3)'!RC11:RE11,"C"))*2)+((COUNTIF('Elève (5ème3)'!RC11:RE11,"D"))*1))/(COUNTA(RC11:RE11)),"")</f>
        <v/>
      </c>
      <c r="RG11" s="181" t="str">
        <f t="shared" si="104"/>
        <v/>
      </c>
      <c r="RH11" s="122" t="s">
        <v>27</v>
      </c>
      <c r="RI11" s="123" t="s">
        <v>27</v>
      </c>
      <c r="RJ11" s="124" t="s">
        <v>27</v>
      </c>
      <c r="RK11" s="180">
        <f>IFERROR((((COUNTIF('Elève (5ème3)'!RH11:RJ11,"A"))*4)+((COUNTIF('Elève (5ème3)'!RH11:RJ11,"B"))*3)+((COUNTIF('Elève (5ème3)'!RH11:RJ11,"C"))*2)+((COUNTIF('Elève (5ème3)'!RH11:RJ11,"D"))*1))/(COUNTA(RH11:RJ11)),"")</f>
        <v>4</v>
      </c>
      <c r="RL11" s="181" t="str">
        <f t="shared" si="105"/>
        <v>A</v>
      </c>
      <c r="RM11" s="122"/>
      <c r="RN11" s="123" t="s">
        <v>28</v>
      </c>
      <c r="RO11" s="124" t="s">
        <v>27</v>
      </c>
      <c r="RP11" s="128" t="s">
        <v>27</v>
      </c>
      <c r="RQ11" s="180">
        <f>IFERROR((((COUNTIF('Elève (5ème3)'!RM11:RP11,"A"))*4)+((COUNTIF('Elève (5ème3)'!RM11:RP11,"B"))*3)+((COUNTIF('Elève (5ème3)'!RM11:RP11,"C"))*2)+((COUNTIF('Elève (5ème3)'!RM11:RP11,"D"))*1))/(COUNTA(RM11:RP11)),"")</f>
        <v>3.6666666666666665</v>
      </c>
      <c r="RR11" s="181" t="str">
        <f t="shared" si="106"/>
        <v>B</v>
      </c>
      <c r="RS11" s="208">
        <f>IF(COUNT(RF11,RK11,RQ11)=0,"",SUM(RF11,RK11,RQ11)/COUNT(RF11,RK11,RQ11))</f>
        <v>3.833333333333333</v>
      </c>
      <c r="RT11" s="205" t="str">
        <f t="shared" si="107"/>
        <v>A</v>
      </c>
      <c r="RU11" s="122"/>
      <c r="RV11" s="123"/>
      <c r="RW11" s="124"/>
      <c r="RX11" s="118" t="str">
        <f>IFERROR((((COUNTIF('Elève (5ème3)'!RU11:RW11,"A"))*4)+((COUNTIF('Elève (5ème3)'!RU11:RW11,"B"))*3)+((COUNTIF('Elève (5ème3)'!RU11:RW11,"C"))*2)+((COUNTIF('Elève (5ème3)'!RU11:RW11,"D"))*1))/(COUNTA(RU11:RW11)),"")</f>
        <v/>
      </c>
      <c r="RY11" s="119" t="str">
        <f t="shared" si="108"/>
        <v/>
      </c>
      <c r="RZ11" s="122"/>
      <c r="SA11" s="123"/>
      <c r="SB11" s="124"/>
      <c r="SC11" s="118" t="str">
        <f>IFERROR((((COUNTIF('Elève (5ème3)'!RZ11:SB11,"A"))*4)+((COUNTIF('Elève (5ème3)'!RZ11:SB11,"B"))*3)+((COUNTIF('Elève (5ème3)'!RZ11:SB11,"C"))*2)+((COUNTIF('Elève (5ème3)'!RZ11:SB11,"D"))*1))/(COUNTA(RZ11:SB11)),"")</f>
        <v/>
      </c>
      <c r="SD11" s="119" t="str">
        <f t="shared" si="109"/>
        <v/>
      </c>
      <c r="SE11" s="122"/>
      <c r="SF11" s="123"/>
      <c r="SG11" s="128"/>
      <c r="SH11" s="118" t="str">
        <f>IFERROR((((COUNTIF('Elève (5ème3)'!SE11:SG11,"A"))*4)+((COUNTIF('Elève (5ème3)'!SE11:SG11,"B"))*3)+((COUNTIF('Elève (5ème3)'!SE11:SG11,"C"))*2)+((COUNTIF('Elève (5ème3)'!SE11:SG11,"D"))*1))/(COUNTA(SE11:SG11)),"")</f>
        <v/>
      </c>
      <c r="SI11" s="119" t="str">
        <f t="shared" si="110"/>
        <v/>
      </c>
      <c r="SJ11" s="138" t="str">
        <f>IF(COUNT(RX11,SC11,SH11)=0,"",SUM(RX11,SC11,SH11)/COUNT(RX11,SC11,SH11))</f>
        <v/>
      </c>
      <c r="SK11" s="120" t="str">
        <f t="shared" si="111"/>
        <v/>
      </c>
      <c r="SL11" s="122"/>
      <c r="SM11" s="123"/>
      <c r="SN11" s="124"/>
      <c r="SO11" s="118" t="str">
        <f>IFERROR((((COUNTIF('Elève (5ème3)'!SL11:SN11,"A"))*4)+((COUNTIF('Elève (5ème3)'!SL11:SN11,"B"))*3)+((COUNTIF('Elève (5ème3)'!SL11:SN11,"C"))*2)+((COUNTIF('Elève (5ème3)'!SL11:SN11,"D"))*1))/(COUNTA(SL11:SN11)),"")</f>
        <v/>
      </c>
      <c r="SP11" s="119" t="str">
        <f t="shared" si="112"/>
        <v/>
      </c>
      <c r="SQ11" s="122"/>
      <c r="SR11" s="123"/>
      <c r="SS11" s="124"/>
      <c r="ST11" s="118" t="str">
        <f>IFERROR((((COUNTIF('Elève (5ème3)'!SQ11:SS11,"A"))*4)+((COUNTIF('Elève (5ème3)'!SQ11:SS11,"B"))*3)+((COUNTIF('Elève (5ème3)'!SQ11:SS11,"C"))*2)+((COUNTIF('Elève (5ème3)'!SQ11:SS11,"D"))*1))/(COUNTA(SQ11:SS11)),"")</f>
        <v/>
      </c>
      <c r="SU11" s="119" t="str">
        <f t="shared" si="113"/>
        <v/>
      </c>
      <c r="SV11" s="122"/>
      <c r="SW11" s="123"/>
      <c r="SX11" s="128"/>
      <c r="SY11" s="118" t="str">
        <f>IFERROR((((COUNTIF('Elève (5ème3)'!SV11:SX11,"A"))*4)+((COUNTIF('Elève (5ème3)'!SV11:SX11,"B"))*3)+((COUNTIF('Elève (5ème3)'!SV11:SX11,"C"))*2)+((COUNTIF('Elève (5ème3)'!SV11:SX11,"D"))*1))/(COUNTA(SV11:SX11)),"")</f>
        <v/>
      </c>
      <c r="SZ11" s="119" t="str">
        <f t="shared" si="114"/>
        <v/>
      </c>
      <c r="TA11" s="138" t="str">
        <f>IF(COUNT(SO11,ST11,SY11)=0,"",SUM(SO11,ST11,SY11)/COUNT(SO11,ST11,SY11))</f>
        <v/>
      </c>
      <c r="TB11" s="120" t="str">
        <f t="shared" si="115"/>
        <v/>
      </c>
      <c r="TC11" s="122"/>
      <c r="TD11" s="123"/>
      <c r="TE11" s="124"/>
      <c r="TF11" s="118" t="str">
        <f>IFERROR((((COUNTIF('Elève (5ème3)'!TC11:TE11,"A"))*4)+((COUNTIF('Elève (5ème3)'!TC11:TE11,"B"))*3)+((COUNTIF('Elève (5ème3)'!TC11:TE11,"C"))*2)+((COUNTIF('Elève (5ème3)'!TC11:TE11,"D"))*1))/(COUNTA(TC11:TE11)),"")</f>
        <v/>
      </c>
      <c r="TG11" s="119" t="str">
        <f t="shared" si="116"/>
        <v/>
      </c>
      <c r="TH11" s="122"/>
      <c r="TI11" s="123"/>
      <c r="TJ11" s="124"/>
      <c r="TK11" s="118" t="str">
        <f>IFERROR((((COUNTIF('Elève (5ème3)'!TH11:TJ11,"A"))*4)+((COUNTIF('Elève (5ème3)'!TH11:TJ11,"B"))*3)+((COUNTIF('Elève (5ème3)'!TH11:TJ11,"C"))*2)+((COUNTIF('Elève (5ème3)'!TH11:TJ11,"D"))*1))/(COUNTA(TH11:TJ11)),"")</f>
        <v/>
      </c>
      <c r="TL11" s="119" t="str">
        <f t="shared" si="117"/>
        <v/>
      </c>
      <c r="TM11" s="122"/>
      <c r="TN11" s="123"/>
      <c r="TO11" s="128"/>
      <c r="TP11" s="118" t="str">
        <f>IFERROR((((COUNTIF('Elève (5ème3)'!TM11:TO11,"A"))*4)+((COUNTIF('Elève (5ème3)'!TM11:TO11,"B"))*3)+((COUNTIF('Elève (5ème3)'!TM11:TO11,"C"))*2)+((COUNTIF('Elève (5ème3)'!TM11:TO11,"D"))*1))/(COUNTA(TM11:TO11)),"")</f>
        <v/>
      </c>
      <c r="TQ11" s="119" t="str">
        <f t="shared" si="118"/>
        <v/>
      </c>
      <c r="TR11" s="138" t="str">
        <f>IF(COUNT(TF11,TK11,TP11)=0,"",SUM(TF11,TK11,TP11)/COUNT(TF11,TK11,TP11))</f>
        <v/>
      </c>
      <c r="TS11" s="120" t="str">
        <f t="shared" si="119"/>
        <v/>
      </c>
    </row>
    <row r="12" spans="1:539" ht="18" customHeight="1" thickBot="1" x14ac:dyDescent="0.3">
      <c r="A12" s="238" t="s">
        <v>45</v>
      </c>
      <c r="B12" s="239"/>
      <c r="C12" s="129"/>
      <c r="D12" s="130"/>
      <c r="E12" s="131"/>
      <c r="F12" s="184" t="str">
        <f>IFERROR((((COUNTIF('Elève (5ème3)'!C12:E12,"A"))*4)+((COUNTIF('Elève (5ème3)'!C12:E12,"B"))*3)+((COUNTIF('Elève (5ème3)'!C12:E12,"C"))*2)+((COUNTIF('Elève (5ème3)'!C12:E12,"D"))*1))/(COUNTA(C12:E12)),"")</f>
        <v/>
      </c>
      <c r="G12" s="185" t="str">
        <f t="shared" si="0"/>
        <v/>
      </c>
      <c r="H12" s="129"/>
      <c r="I12" s="130"/>
      <c r="J12" s="131"/>
      <c r="K12" s="184" t="str">
        <f>IFERROR((((COUNTIF('Elève (5ème3)'!H12:J12,"A"))*4)+((COUNTIF('Elève (5ème3)'!H12:J12,"B"))*3)+((COUNTIF('Elève (5ème3)'!H12:J12,"C"))*2)+((COUNTIF('Elève (5ème3)'!H12:J12,"D"))*1))/(COUNTA(H12:J12)),"")</f>
        <v/>
      </c>
      <c r="L12" s="185" t="str">
        <f t="shared" si="1"/>
        <v/>
      </c>
      <c r="M12" s="129"/>
      <c r="N12" s="130"/>
      <c r="O12" s="131"/>
      <c r="P12" s="131"/>
      <c r="Q12" s="184" t="str">
        <f>IFERROR((((COUNTIF('Elève (5ème3)'!M12:P12,"A"))*4)+((COUNTIF('Elève (5ème3)'!M12:P12,"B"))*3)+((COUNTIF('Elève (5ème3)'!M12:P12,"C"))*2)+((COUNTIF('Elève (5ème3)'!M12:P12,"D"))*1))/(COUNTA(M12:P12)),"")</f>
        <v/>
      </c>
      <c r="R12" s="185" t="str">
        <f t="shared" si="2"/>
        <v/>
      </c>
      <c r="S12" s="184" t="str">
        <f>IF(COUNT(F12,K12,Q12)=0,"",SUM(F12,K12,Q12)/COUNT(F12,K12,Q12))</f>
        <v/>
      </c>
      <c r="T12" s="207" t="str">
        <f t="shared" si="3"/>
        <v/>
      </c>
      <c r="U12" s="129"/>
      <c r="V12" s="130"/>
      <c r="W12" s="131"/>
      <c r="X12" s="184" t="str">
        <f>IFERROR((((COUNTIF('Elève (5ème3)'!U12:W12,"A"))*4)+((COUNTIF('Elève (5ème3)'!U12:W12,"B"))*3)+((COUNTIF('Elève (5ème3)'!U12:W12,"C"))*2)+((COUNTIF('Elève (5ème3)'!U12:W12,"D"))*1))/(COUNTA(U12:W12)),"")</f>
        <v/>
      </c>
      <c r="Y12" s="185" t="str">
        <f t="shared" si="4"/>
        <v/>
      </c>
      <c r="Z12" s="129"/>
      <c r="AA12" s="130"/>
      <c r="AB12" s="131"/>
      <c r="AC12" s="184" t="str">
        <f>IFERROR((((COUNTIF('Elève (5ème3)'!Z12:AB12,"A"))*4)+((COUNTIF('Elève (5ème3)'!Z12:AB12,"B"))*3)+((COUNTIF('Elève (5ème3)'!Z12:AB12,"C"))*2)+((COUNTIF('Elève (5ème3)'!Z12:AB12,"D"))*1))/(COUNTA(Z12:AB12)),"")</f>
        <v/>
      </c>
      <c r="AD12" s="185" t="str">
        <f t="shared" si="5"/>
        <v/>
      </c>
      <c r="AE12" s="129"/>
      <c r="AF12" s="130"/>
      <c r="AG12" s="131"/>
      <c r="AH12" s="135"/>
      <c r="AI12" s="184" t="str">
        <f>IFERROR((((COUNTIF('Elève (5ème3)'!AE12:AH12,"A"))*4)+((COUNTIF('Elève (5ème3)'!AE12:AH12,"B"))*3)+((COUNTIF('Elève (5ème3)'!AE12:AH12,"C"))*2)+((COUNTIF('Elève (5ème3)'!AE12:AH12,"D"))*1))/(COUNTA(AE12:AH12)),"")</f>
        <v/>
      </c>
      <c r="AJ12" s="185" t="str">
        <f t="shared" si="6"/>
        <v/>
      </c>
      <c r="AK12" s="184" t="str">
        <f>IF(COUNT(X12,AC12,AI12)=0,"",SUM(X12,AC12,AI12)/COUNT(X12,AC12,AI12))</f>
        <v/>
      </c>
      <c r="AL12" s="207" t="str">
        <f t="shared" si="7"/>
        <v/>
      </c>
      <c r="AM12" s="129"/>
      <c r="AN12" s="130"/>
      <c r="AO12" s="131"/>
      <c r="AP12" s="184" t="str">
        <f>IFERROR((((COUNTIF('Elève (5ème3)'!AM12:AO12,"A"))*4)+((COUNTIF('Elève (5ème3)'!AM12:AO12,"B"))*3)+((COUNTIF('Elève (5ème3)'!AM12:AO12,"C"))*2)+((COUNTIF('Elève (5ème3)'!AM12:AO12,"D"))*1))/(COUNTA(AM12:AO12)),"")</f>
        <v/>
      </c>
      <c r="AQ12" s="185" t="str">
        <f t="shared" si="8"/>
        <v/>
      </c>
      <c r="AR12" s="129"/>
      <c r="AS12" s="130"/>
      <c r="AT12" s="131"/>
      <c r="AU12" s="184" t="str">
        <f>IFERROR((((COUNTIF('Elève (5ème3)'!AR12:AT12,"A"))*4)+((COUNTIF('Elève (5ème3)'!AR12:AT12,"B"))*3)+((COUNTIF('Elève (5ème3)'!AR12:AT12,"C"))*2)+((COUNTIF('Elève (5ème3)'!AR12:AT12,"D"))*1))/(COUNTA(AR12:AT12)),"")</f>
        <v/>
      </c>
      <c r="AV12" s="185" t="str">
        <f t="shared" si="9"/>
        <v/>
      </c>
      <c r="AW12" s="129"/>
      <c r="AX12" s="130"/>
      <c r="AY12" s="131"/>
      <c r="AZ12" s="135"/>
      <c r="BA12" s="184" t="str">
        <f>IFERROR((((COUNTIF('Elève (5ème3)'!AW12:AZ12,"A"))*4)+((COUNTIF('Elève (5ème3)'!AW12:AZ12,"B"))*3)+((COUNTIF('Elève (5ème3)'!AW12:AZ12,"C"))*2)+((COUNTIF('Elève (5ème3)'!AW12:AZ12,"D"))*1))/(COUNTA(AW12:AZ12)),"")</f>
        <v/>
      </c>
      <c r="BB12" s="185" t="str">
        <f t="shared" si="10"/>
        <v/>
      </c>
      <c r="BC12" s="184" t="str">
        <f>IF(COUNT(AP12,AU12,BA12)=0,"",SUM(AP12,AU12,BA12)/COUNT(AP12,AU12,BA12))</f>
        <v/>
      </c>
      <c r="BD12" s="207" t="str">
        <f t="shared" si="11"/>
        <v/>
      </c>
      <c r="BE12" s="129"/>
      <c r="BF12" s="130"/>
      <c r="BG12" s="131"/>
      <c r="BH12" s="184" t="str">
        <f>IFERROR((((COUNTIF('Elève (5ème3)'!BE12:BG12,"A"))*4)+((COUNTIF('Elève (5ème3)'!BE12:BG12,"B"))*3)+((COUNTIF('Elève (5ème3)'!BE12:BG12,"C"))*2)+((COUNTIF('Elève (5ème3)'!BE12:BG12,"D"))*1))/(COUNTA(BE12:BG12)),"")</f>
        <v/>
      </c>
      <c r="BI12" s="185" t="str">
        <f t="shared" si="12"/>
        <v/>
      </c>
      <c r="BJ12" s="129"/>
      <c r="BK12" s="130"/>
      <c r="BL12" s="131"/>
      <c r="BM12" s="184" t="str">
        <f>IFERROR((((COUNTIF('Elève (5ème3)'!BJ12:BL12,"A"))*4)+((COUNTIF('Elève (5ème3)'!BJ12:BL12,"B"))*3)+((COUNTIF('Elève (5ème3)'!BJ12:BL12,"C"))*2)+((COUNTIF('Elève (5ème3)'!BJ12:BL12,"D"))*1))/(COUNTA(BJ12:BL12)),"")</f>
        <v/>
      </c>
      <c r="BN12" s="185" t="str">
        <f t="shared" si="13"/>
        <v/>
      </c>
      <c r="BO12" s="129"/>
      <c r="BP12" s="130"/>
      <c r="BQ12" s="131"/>
      <c r="BR12" s="135"/>
      <c r="BS12" s="184" t="str">
        <f>IFERROR((((COUNTIF('Elève (5ème3)'!BO12:BR12,"A"))*4)+((COUNTIF('Elève (5ème3)'!BO12:BR12,"B"))*3)+((COUNTIF('Elève (5ème3)'!BO12:BR12,"C"))*2)+((COUNTIF('Elève (5ème3)'!BO12:BR12,"D"))*1))/(COUNTA(BO12:BR12)),"")</f>
        <v/>
      </c>
      <c r="BT12" s="185" t="str">
        <f t="shared" si="14"/>
        <v/>
      </c>
      <c r="BU12" s="184" t="str">
        <f>IF(COUNT(BH12,BM12,BS12)=0,"",SUM(BH12,BM12,BS12)/COUNT(BH12,BM12,BS12))</f>
        <v/>
      </c>
      <c r="BV12" s="207" t="str">
        <f t="shared" si="15"/>
        <v/>
      </c>
      <c r="BW12" s="129"/>
      <c r="BX12" s="130"/>
      <c r="BY12" s="131"/>
      <c r="BZ12" s="184" t="str">
        <f>IFERROR((((COUNTIF('Elève (5ème3)'!BW12:BY12,"A"))*4)+((COUNTIF('Elève (5ème3)'!BW12:BY12,"B"))*3)+((COUNTIF('Elève (5ème3)'!BW12:BY12,"C"))*2)+((COUNTIF('Elève (5ème3)'!BW12:BY12,"D"))*1))/(COUNTA(BW12:BY12)),"")</f>
        <v/>
      </c>
      <c r="CA12" s="185" t="str">
        <f t="shared" si="16"/>
        <v/>
      </c>
      <c r="CB12" s="129"/>
      <c r="CC12" s="130"/>
      <c r="CD12" s="131"/>
      <c r="CE12" s="184" t="str">
        <f>IFERROR((((COUNTIF('Elève (5ème3)'!CB12:CD12,"A"))*4)+((COUNTIF('Elève (5ème3)'!CB12:CD12,"B"))*3)+((COUNTIF('Elève (5ème3)'!CB12:CD12,"C"))*2)+((COUNTIF('Elève (5ème3)'!CB12:CD12,"D"))*1))/(COUNTA(CB12:CD12)),"")</f>
        <v/>
      </c>
      <c r="CF12" s="185" t="str">
        <f t="shared" si="17"/>
        <v/>
      </c>
      <c r="CG12" s="129"/>
      <c r="CH12" s="130"/>
      <c r="CI12" s="131"/>
      <c r="CJ12" s="135"/>
      <c r="CK12" s="184" t="str">
        <f>IFERROR((((COUNTIF('Elève (5ème3)'!CG12:CJ12,"A"))*4)+((COUNTIF('Elève (5ème3)'!CG12:CJ12,"B"))*3)+((COUNTIF('Elève (5ème3)'!CG12:CJ12,"C"))*2)+((COUNTIF('Elève (5ème3)'!CG12:CJ12,"D"))*1))/(COUNTA(CG12:CJ12)),"")</f>
        <v/>
      </c>
      <c r="CL12" s="185" t="str">
        <f t="shared" si="18"/>
        <v/>
      </c>
      <c r="CM12" s="184" t="str">
        <f>IF(COUNT(BZ12,CE12,CK12)=0,"",SUM(BZ12,CE12,CK12)/COUNT(BZ12,CE12,CK12))</f>
        <v/>
      </c>
      <c r="CN12" s="207" t="str">
        <f t="shared" si="19"/>
        <v/>
      </c>
      <c r="CO12" s="129"/>
      <c r="CP12" s="130"/>
      <c r="CQ12" s="131"/>
      <c r="CR12" s="184" t="str">
        <f>IFERROR((((COUNTIF('Elève (5ème3)'!CO12:CQ12,"A"))*4)+((COUNTIF('Elève (5ème3)'!CO12:CQ12,"B"))*3)+((COUNTIF('Elève (5ème3)'!CO12:CQ12,"C"))*2)+((COUNTIF('Elève (5ème3)'!CO12:CQ12,"D"))*1))/(COUNTA(CO12:CQ12)),"")</f>
        <v/>
      </c>
      <c r="CS12" s="185" t="str">
        <f t="shared" si="20"/>
        <v/>
      </c>
      <c r="CT12" s="129"/>
      <c r="CU12" s="130"/>
      <c r="CV12" s="131"/>
      <c r="CW12" s="184" t="str">
        <f>IFERROR((((COUNTIF('Elève (5ème3)'!CT12:CV12,"A"))*4)+((COUNTIF('Elève (5ème3)'!CT12:CV12,"B"))*3)+((COUNTIF('Elève (5ème3)'!CT12:CV12,"C"))*2)+((COUNTIF('Elève (5ème3)'!CT12:CV12,"D"))*1))/(COUNTA(CT12:CV12)),"")</f>
        <v/>
      </c>
      <c r="CX12" s="185" t="str">
        <f t="shared" si="21"/>
        <v/>
      </c>
      <c r="CY12" s="129"/>
      <c r="CZ12" s="130"/>
      <c r="DA12" s="131"/>
      <c r="DB12" s="135"/>
      <c r="DC12" s="184" t="str">
        <f>IFERROR((((COUNTIF('Elève (5ème3)'!CY12:DB12,"A"))*4)+((COUNTIF('Elève (5ème3)'!CY12:DB12,"B"))*3)+((COUNTIF('Elève (5ème3)'!CY12:DB12,"C"))*2)+((COUNTIF('Elève (5ème3)'!CY12:DB12,"D"))*1))/(COUNTA(CY12:DB12)),"")</f>
        <v/>
      </c>
      <c r="DD12" s="185" t="str">
        <f t="shared" si="22"/>
        <v/>
      </c>
      <c r="DE12" s="184" t="str">
        <f>IF(COUNT(CR12,CW12,DC12)=0,"",SUM(CR12,CW12,DC12)/COUNT(CR12,CW12,DC12))</f>
        <v/>
      </c>
      <c r="DF12" s="207" t="str">
        <f t="shared" si="23"/>
        <v/>
      </c>
      <c r="DG12" s="129"/>
      <c r="DH12" s="130"/>
      <c r="DI12" s="131"/>
      <c r="DJ12" s="184" t="str">
        <f>IFERROR((((COUNTIF('Elève (5ème3)'!DG12:DI12,"A"))*4)+((COUNTIF('Elève (5ème3)'!DG12:DI12,"B"))*3)+((COUNTIF('Elève (5ème3)'!DG12:DI12,"C"))*2)+((COUNTIF('Elève (5ème3)'!DG12:DI12,"D"))*1))/(COUNTA(DG12:DI12)),"")</f>
        <v/>
      </c>
      <c r="DK12" s="185" t="str">
        <f t="shared" si="24"/>
        <v/>
      </c>
      <c r="DL12" s="129"/>
      <c r="DM12" s="130"/>
      <c r="DN12" s="131"/>
      <c r="DO12" s="184" t="str">
        <f>IFERROR((((COUNTIF('Elève (5ème3)'!DL12:DN12,"A"))*4)+((COUNTIF('Elève (5ème3)'!DL12:DN12,"B"))*3)+((COUNTIF('Elève (5ème3)'!DL12:DN12,"C"))*2)+((COUNTIF('Elève (5ème3)'!DL12:DN12,"D"))*1))/(COUNTA(DL12:DN12)),"")</f>
        <v/>
      </c>
      <c r="DP12" s="185" t="str">
        <f t="shared" si="25"/>
        <v/>
      </c>
      <c r="DQ12" s="129"/>
      <c r="DR12" s="130"/>
      <c r="DS12" s="131"/>
      <c r="DT12" s="135"/>
      <c r="DU12" s="184" t="str">
        <f>IFERROR((((COUNTIF('Elève (5ème3)'!DQ12:DT12,"A"))*4)+((COUNTIF('Elève (5ème3)'!DQ12:DT12,"B"))*3)+((COUNTIF('Elève (5ème3)'!DQ12:DT12,"C"))*2)+((COUNTIF('Elève (5ème3)'!DQ12:DT12,"D"))*1))/(COUNTA(DQ12:DT12)),"")</f>
        <v/>
      </c>
      <c r="DV12" s="185" t="str">
        <f t="shared" si="26"/>
        <v/>
      </c>
      <c r="DW12" s="184" t="str">
        <f>IF(COUNT(DJ12,DO12,DU12)=0,"",SUM(DJ12,DO12,DU12)/COUNT(DJ12,DO12,DU12))</f>
        <v/>
      </c>
      <c r="DX12" s="207" t="str">
        <f t="shared" si="27"/>
        <v/>
      </c>
      <c r="DY12" s="129"/>
      <c r="DZ12" s="130"/>
      <c r="EA12" s="131"/>
      <c r="EB12" s="184" t="str">
        <f>IFERROR((((COUNTIF('Elève (5ème3)'!DY12:EA12,"A"))*4)+((COUNTIF('Elève (5ème3)'!DY12:EA12,"B"))*3)+((COUNTIF('Elève (5ème3)'!DY12:EA12,"C"))*2)+((COUNTIF('Elève (5ème3)'!DY12:EA12,"D"))*1))/(COUNTA(DY12:EA12)),"")</f>
        <v/>
      </c>
      <c r="EC12" s="185" t="str">
        <f t="shared" si="28"/>
        <v/>
      </c>
      <c r="ED12" s="129"/>
      <c r="EE12" s="130"/>
      <c r="EF12" s="131"/>
      <c r="EG12" s="184" t="str">
        <f>IFERROR((((COUNTIF('Elève (5ème3)'!ED12:EF12,"A"))*4)+((COUNTIF('Elève (5ème3)'!ED12:EF12,"B"))*3)+((COUNTIF('Elève (5ème3)'!ED12:EF12,"C"))*2)+((COUNTIF('Elève (5ème3)'!ED12:EF12,"D"))*1))/(COUNTA(ED12:EF12)),"")</f>
        <v/>
      </c>
      <c r="EH12" s="185" t="str">
        <f t="shared" si="29"/>
        <v/>
      </c>
      <c r="EI12" s="129"/>
      <c r="EJ12" s="130"/>
      <c r="EK12" s="131"/>
      <c r="EL12" s="135"/>
      <c r="EM12" s="184" t="str">
        <f>IFERROR((((COUNTIF('Elève (5ème3)'!EI12:EL12,"A"))*4)+((COUNTIF('Elève (5ème3)'!EI12:EL12,"B"))*3)+((COUNTIF('Elève (5ème3)'!EI12:EL12,"C"))*2)+((COUNTIF('Elève (5ème3)'!EI12:EL12,"D"))*1))/(COUNTA(EI12:EL12)),"")</f>
        <v/>
      </c>
      <c r="EN12" s="185" t="str">
        <f t="shared" si="30"/>
        <v/>
      </c>
      <c r="EO12" s="184" t="str">
        <f>IF(COUNT(EB12,EG12,EM12)=0,"",SUM(EB12,EG12,EM12)/COUNT(EB12,EG12,EM12))</f>
        <v/>
      </c>
      <c r="EP12" s="207" t="str">
        <f t="shared" si="31"/>
        <v/>
      </c>
      <c r="EQ12" s="129"/>
      <c r="ER12" s="130"/>
      <c r="ES12" s="131"/>
      <c r="ET12" s="184" t="str">
        <f>IFERROR((((COUNTIF('Elève (5ème3)'!EQ12:ES12,"A"))*4)+((COUNTIF('Elève (5ème3)'!EQ12:ES12,"B"))*3)+((COUNTIF('Elève (5ème3)'!EQ12:ES12,"C"))*2)+((COUNTIF('Elève (5ème3)'!EQ12:ES12,"D"))*1))/(COUNTA(EQ12:ES12)),"")</f>
        <v/>
      </c>
      <c r="EU12" s="185" t="str">
        <f t="shared" si="32"/>
        <v/>
      </c>
      <c r="EV12" s="129"/>
      <c r="EW12" s="130"/>
      <c r="EX12" s="131"/>
      <c r="EY12" s="184" t="str">
        <f>IFERROR((((COUNTIF('Elève (5ème3)'!EV12:EX12,"A"))*4)+((COUNTIF('Elève (5ème3)'!EV12:EX12,"B"))*3)+((COUNTIF('Elève (5ème3)'!EV12:EX12,"C"))*2)+((COUNTIF('Elève (5ème3)'!EV12:EX12,"D"))*1))/(COUNTA(EV12:EX12)),"")</f>
        <v/>
      </c>
      <c r="EZ12" s="185" t="str">
        <f t="shared" si="33"/>
        <v/>
      </c>
      <c r="FA12" s="129"/>
      <c r="FB12" s="130"/>
      <c r="FC12" s="131"/>
      <c r="FD12" s="135"/>
      <c r="FE12" s="184" t="str">
        <f>IFERROR((((COUNTIF('Elève (5ème3)'!FA12:FD12,"A"))*4)+((COUNTIF('Elève (5ème3)'!FA12:FD12,"B"))*3)+((COUNTIF('Elève (5ème3)'!FA12:FD12,"C"))*2)+((COUNTIF('Elève (5ème3)'!FA12:FD12,"D"))*1))/(COUNTA(FA12:FD12)),"")</f>
        <v/>
      </c>
      <c r="FF12" s="185" t="str">
        <f t="shared" si="34"/>
        <v/>
      </c>
      <c r="FG12" s="184" t="str">
        <f>IF(COUNT(ET12,EY12,FE12)=0,"",SUM(ET12,EY12,FE12)/COUNT(ET12,EY12,FE12))</f>
        <v/>
      </c>
      <c r="FH12" s="207" t="str">
        <f t="shared" si="35"/>
        <v/>
      </c>
      <c r="FI12" s="129"/>
      <c r="FJ12" s="130"/>
      <c r="FK12" s="131"/>
      <c r="FL12" s="184" t="str">
        <f>IFERROR((((COUNTIF('Elève (5ème3)'!FI12:FK12,"A"))*4)+((COUNTIF('Elève (5ème3)'!FI12:FK12,"B"))*3)+((COUNTIF('Elève (5ème3)'!FI12:FK12,"C"))*2)+((COUNTIF('Elève (5ème3)'!FI12:FK12,"D"))*1))/(COUNTA(FI12:FK12)),"")</f>
        <v/>
      </c>
      <c r="FM12" s="185" t="str">
        <f t="shared" si="36"/>
        <v/>
      </c>
      <c r="FN12" s="129"/>
      <c r="FO12" s="130"/>
      <c r="FP12" s="131"/>
      <c r="FQ12" s="184" t="str">
        <f>IFERROR((((COUNTIF('Elève (5ème3)'!FN12:FP12,"A"))*4)+((COUNTIF('Elève (5ème3)'!FN12:FP12,"B"))*3)+((COUNTIF('Elève (5ème3)'!FN12:FP12,"C"))*2)+((COUNTIF('Elève (5ème3)'!FN12:FP12,"D"))*1))/(COUNTA(FN12:FP12)),"")</f>
        <v/>
      </c>
      <c r="FR12" s="185" t="str">
        <f t="shared" si="37"/>
        <v/>
      </c>
      <c r="FS12" s="129"/>
      <c r="FT12" s="130"/>
      <c r="FU12" s="131"/>
      <c r="FV12" s="135"/>
      <c r="FW12" s="184" t="str">
        <f>IFERROR((((COUNTIF('Elève (5ème3)'!FS12:FV12,"A"))*4)+((COUNTIF('Elève (5ème3)'!FS12:FV12,"B"))*3)+((COUNTIF('Elève (5ème3)'!FS12:FV12,"C"))*2)+((COUNTIF('Elève (5ème3)'!FS12:FV12,"D"))*1))/(COUNTA(FS12:FV12)),"")</f>
        <v/>
      </c>
      <c r="FX12" s="185" t="str">
        <f t="shared" si="38"/>
        <v/>
      </c>
      <c r="FY12" s="184" t="str">
        <f>IF(COUNT(FL12,FQ12,FW12)=0,"",SUM(FL12,FQ12,FW12)/COUNT(FL12,FQ12,FW12))</f>
        <v/>
      </c>
      <c r="FZ12" s="207" t="str">
        <f t="shared" si="39"/>
        <v/>
      </c>
      <c r="GA12" s="129"/>
      <c r="GB12" s="130"/>
      <c r="GC12" s="131"/>
      <c r="GD12" s="184" t="str">
        <f>IFERROR((((COUNTIF('Elève (5ème3)'!GA12:GC12,"A"))*4)+((COUNTIF('Elève (5ème3)'!GA12:GC12,"B"))*3)+((COUNTIF('Elève (5ème3)'!GA12:GC12,"C"))*2)+((COUNTIF('Elève (5ème3)'!GA12:GC12,"D"))*1))/(COUNTA(GA12:GC12)),"")</f>
        <v/>
      </c>
      <c r="GE12" s="185" t="str">
        <f t="shared" si="40"/>
        <v/>
      </c>
      <c r="GF12" s="129"/>
      <c r="GG12" s="130"/>
      <c r="GH12" s="131"/>
      <c r="GI12" s="184" t="str">
        <f>IFERROR((((COUNTIF('Elève (5ème3)'!GF12:GH12,"A"))*4)+((COUNTIF('Elève (5ème3)'!GF12:GH12,"B"))*3)+((COUNTIF('Elève (5ème3)'!GF12:GH12,"C"))*2)+((COUNTIF('Elève (5ème3)'!GF12:GH12,"D"))*1))/(COUNTA(GF12:GH12)),"")</f>
        <v/>
      </c>
      <c r="GJ12" s="185" t="str">
        <f t="shared" si="41"/>
        <v/>
      </c>
      <c r="GK12" s="129"/>
      <c r="GL12" s="130"/>
      <c r="GM12" s="131"/>
      <c r="GN12" s="135"/>
      <c r="GO12" s="184" t="str">
        <f>IFERROR((((COUNTIF('Elève (5ème3)'!GK12:GN12,"A"))*4)+((COUNTIF('Elève (5ème3)'!GK12:GN12,"B"))*3)+((COUNTIF('Elève (5ème3)'!GK12:GN12,"C"))*2)+((COUNTIF('Elève (5ème3)'!GK12:GN12,"D"))*1))/(COUNTA(GK12:GN12)),"")</f>
        <v/>
      </c>
      <c r="GP12" s="185" t="str">
        <f t="shared" si="42"/>
        <v/>
      </c>
      <c r="GQ12" s="184" t="str">
        <f>IF(COUNT(GD12,GI12,GO12)=0,"",SUM(GD12,GI12,GO12)/COUNT(GD12,GI12,GO12))</f>
        <v/>
      </c>
      <c r="GR12" s="207" t="str">
        <f t="shared" si="43"/>
        <v/>
      </c>
      <c r="GS12" s="129"/>
      <c r="GT12" s="130"/>
      <c r="GU12" s="131"/>
      <c r="GV12" s="184" t="str">
        <f>IFERROR((((COUNTIF('Elève (5ème3)'!GS12:GU12,"A"))*4)+((COUNTIF('Elève (5ème3)'!GS12:GU12,"B"))*3)+((COUNTIF('Elève (5ème3)'!GS12:GU12,"C"))*2)+((COUNTIF('Elève (5ème3)'!GS12:GU12,"D"))*1))/(COUNTA(GS12:GU12)),"")</f>
        <v/>
      </c>
      <c r="GW12" s="185" t="str">
        <f t="shared" si="44"/>
        <v/>
      </c>
      <c r="GX12" s="129"/>
      <c r="GY12" s="130"/>
      <c r="GZ12" s="131"/>
      <c r="HA12" s="184" t="str">
        <f>IFERROR((((COUNTIF('Elève (5ème3)'!GX12:GZ12,"A"))*4)+((COUNTIF('Elève (5ème3)'!GX12:GZ12,"B"))*3)+((COUNTIF('Elève (5ème3)'!GX12:GZ12,"C"))*2)+((COUNTIF('Elève (5ème3)'!GX12:GZ12,"D"))*1))/(COUNTA(GX12:GZ12)),"")</f>
        <v/>
      </c>
      <c r="HB12" s="185" t="str">
        <f t="shared" si="45"/>
        <v/>
      </c>
      <c r="HC12" s="129"/>
      <c r="HD12" s="130"/>
      <c r="HE12" s="131"/>
      <c r="HF12" s="135"/>
      <c r="HG12" s="184" t="str">
        <f>IFERROR((((COUNTIF('Elève (5ème3)'!HC12:HF12,"A"))*4)+((COUNTIF('Elève (5ème3)'!HC12:HF12,"B"))*3)+((COUNTIF('Elève (5ème3)'!HC12:HF12,"C"))*2)+((COUNTIF('Elève (5ème3)'!HC12:HF12,"D"))*1))/(COUNTA(HC12:HF12)),"")</f>
        <v/>
      </c>
      <c r="HH12" s="185" t="str">
        <f t="shared" si="46"/>
        <v/>
      </c>
      <c r="HI12" s="184" t="str">
        <f>IF(COUNT(GV12,HA12,HG12)=0,"",SUM(GV12,HA12,HG12)/COUNT(GV12,HA12,HG12))</f>
        <v/>
      </c>
      <c r="HJ12" s="207" t="str">
        <f t="shared" si="47"/>
        <v/>
      </c>
      <c r="HK12" s="129"/>
      <c r="HL12" s="130"/>
      <c r="HM12" s="131"/>
      <c r="HN12" s="184" t="str">
        <f>IFERROR((((COUNTIF('Elève (5ème3)'!HK12:HM12,"A"))*4)+((COUNTIF('Elève (5ème3)'!HK12:HM12,"B"))*3)+((COUNTIF('Elève (5ème3)'!HK12:HM12,"C"))*2)+((COUNTIF('Elève (5ème3)'!HK12:HM12,"D"))*1))/(COUNTA(HK12:HM12)),"")</f>
        <v/>
      </c>
      <c r="HO12" s="185" t="str">
        <f t="shared" si="48"/>
        <v/>
      </c>
      <c r="HP12" s="129"/>
      <c r="HQ12" s="130"/>
      <c r="HR12" s="131"/>
      <c r="HS12" s="184" t="str">
        <f>IFERROR((((COUNTIF('Elève (5ème3)'!HP12:HR12,"A"))*4)+((COUNTIF('Elève (5ème3)'!HP12:HR12,"B"))*3)+((COUNTIF('Elève (5ème3)'!HP12:HR12,"C"))*2)+((COUNTIF('Elève (5ème3)'!HP12:HR12,"D"))*1))/(COUNTA(HP12:HR12)),"")</f>
        <v/>
      </c>
      <c r="HT12" s="185" t="str">
        <f t="shared" si="49"/>
        <v/>
      </c>
      <c r="HU12" s="129"/>
      <c r="HV12" s="130"/>
      <c r="HW12" s="131"/>
      <c r="HX12" s="135"/>
      <c r="HY12" s="184" t="str">
        <f>IFERROR((((COUNTIF('Elève (5ème3)'!HU12:HX12,"A"))*4)+((COUNTIF('Elève (5ème3)'!HU12:HX12,"B"))*3)+((COUNTIF('Elève (5ème3)'!HU12:HX12,"C"))*2)+((COUNTIF('Elève (5ème3)'!HU12:HX12,"D"))*1))/(COUNTA(HU12:HX12)),"")</f>
        <v/>
      </c>
      <c r="HZ12" s="185" t="str">
        <f t="shared" si="50"/>
        <v/>
      </c>
      <c r="IA12" s="184" t="str">
        <f>IF(COUNT(HN12,HS12,HY12)=0,"",SUM(HN12,HS12,HY12)/COUNT(HN12,HS12,HY12))</f>
        <v/>
      </c>
      <c r="IB12" s="207" t="str">
        <f t="shared" si="51"/>
        <v/>
      </c>
      <c r="IC12" s="129"/>
      <c r="ID12" s="130"/>
      <c r="IE12" s="131"/>
      <c r="IF12" s="184" t="str">
        <f>IFERROR((((COUNTIF('Elève (5ème3)'!IC12:IE12,"A"))*4)+((COUNTIF('Elève (5ème3)'!IC12:IE12,"B"))*3)+((COUNTIF('Elève (5ème3)'!IC12:IE12,"C"))*2)+((COUNTIF('Elève (5ème3)'!IC12:IE12,"D"))*1))/(COUNTA(IC12:IE12)),"")</f>
        <v/>
      </c>
      <c r="IG12" s="185" t="str">
        <f t="shared" si="52"/>
        <v/>
      </c>
      <c r="IH12" s="129"/>
      <c r="II12" s="130"/>
      <c r="IJ12" s="131"/>
      <c r="IK12" s="184" t="str">
        <f>IFERROR((((COUNTIF('Elève (5ème3)'!IH12:IJ12,"A"))*4)+((COUNTIF('Elève (5ème3)'!IH12:IJ12,"B"))*3)+((COUNTIF('Elève (5ème3)'!IH12:IJ12,"C"))*2)+((COUNTIF('Elève (5ème3)'!IH12:IJ12,"D"))*1))/(COUNTA(IH12:IJ12)),"")</f>
        <v/>
      </c>
      <c r="IL12" s="185" t="str">
        <f t="shared" si="53"/>
        <v/>
      </c>
      <c r="IM12" s="129"/>
      <c r="IN12" s="130"/>
      <c r="IO12" s="131"/>
      <c r="IP12" s="135"/>
      <c r="IQ12" s="184" t="str">
        <f>IFERROR((((COUNTIF('Elève (5ème3)'!IM12:IP12,"A"))*4)+((COUNTIF('Elève (5ème3)'!IM12:IP12,"B"))*3)+((COUNTIF('Elève (5ème3)'!IM12:IP12,"C"))*2)+((COUNTIF('Elève (5ème3)'!IM12:IP12,"D"))*1))/(COUNTA(IM12:IP12)),"")</f>
        <v/>
      </c>
      <c r="IR12" s="185" t="str">
        <f t="shared" si="54"/>
        <v/>
      </c>
      <c r="IS12" s="184" t="str">
        <f>IF(COUNT(IF12,IK12,IQ12)=0,"",SUM(IF12,IK12,IQ12)/COUNT(IF12,IK12,IQ12))</f>
        <v/>
      </c>
      <c r="IT12" s="207" t="str">
        <f t="shared" si="55"/>
        <v/>
      </c>
      <c r="IU12" s="129"/>
      <c r="IV12" s="130"/>
      <c r="IW12" s="131"/>
      <c r="IX12" s="184" t="str">
        <f>IFERROR((((COUNTIF('Elève (5ème3)'!IU12:IW12,"A"))*4)+((COUNTIF('Elève (5ème3)'!IU12:IW12,"B"))*3)+((COUNTIF('Elève (5ème3)'!IU12:IW12,"C"))*2)+((COUNTIF('Elève (5ème3)'!IU12:IW12,"D"))*1))/(COUNTA(IU12:IW12)),"")</f>
        <v/>
      </c>
      <c r="IY12" s="185" t="str">
        <f t="shared" si="56"/>
        <v/>
      </c>
      <c r="IZ12" s="129"/>
      <c r="JA12" s="130"/>
      <c r="JB12" s="131"/>
      <c r="JC12" s="184" t="str">
        <f>IFERROR((((COUNTIF('Elève (5ème3)'!IZ12:JB12,"A"))*4)+((COUNTIF('Elève (5ème3)'!IZ12:JB12,"B"))*3)+((COUNTIF('Elève (5ème3)'!IZ12:JB12,"C"))*2)+((COUNTIF('Elève (5ème3)'!IZ12:JB12,"D"))*1))/(COUNTA(IZ12:JB12)),"")</f>
        <v/>
      </c>
      <c r="JD12" s="185" t="str">
        <f t="shared" si="57"/>
        <v/>
      </c>
      <c r="JE12" s="129"/>
      <c r="JF12" s="130"/>
      <c r="JG12" s="131"/>
      <c r="JH12" s="135"/>
      <c r="JI12" s="184" t="str">
        <f>IFERROR((((COUNTIF('Elève (5ème3)'!JE12:JH12,"A"))*4)+((COUNTIF('Elève (5ème3)'!JE12:JH12,"B"))*3)+((COUNTIF('Elève (5ème3)'!JE12:JH12,"C"))*2)+((COUNTIF('Elève (5ème3)'!JE12:JH12,"D"))*1))/(COUNTA(JE12:JH12)),"")</f>
        <v/>
      </c>
      <c r="JJ12" s="185" t="str">
        <f t="shared" si="58"/>
        <v/>
      </c>
      <c r="JK12" s="184" t="str">
        <f>IF(COUNT(IX12,JC12,JI12)=0,"",SUM(IX12,JC12,JI12)/COUNT(IX12,JC12,JI12))</f>
        <v/>
      </c>
      <c r="JL12" s="207" t="str">
        <f t="shared" si="59"/>
        <v/>
      </c>
      <c r="JM12" s="129"/>
      <c r="JN12" s="130"/>
      <c r="JO12" s="131"/>
      <c r="JP12" s="184" t="str">
        <f>IFERROR((((COUNTIF('Elève (5ème3)'!JM12:JO12,"A"))*4)+((COUNTIF('Elève (5ème3)'!JM12:JO12,"B"))*3)+((COUNTIF('Elève (5ème3)'!JM12:JO12,"C"))*2)+((COUNTIF('Elève (5ème3)'!JM12:JO12,"D"))*1))/(COUNTA(JM12:JO12)),"")</f>
        <v/>
      </c>
      <c r="JQ12" s="185" t="str">
        <f t="shared" si="60"/>
        <v/>
      </c>
      <c r="JR12" s="129"/>
      <c r="JS12" s="130"/>
      <c r="JT12" s="131"/>
      <c r="JU12" s="184" t="str">
        <f>IFERROR((((COUNTIF('Elève (5ème3)'!JR12:JT12,"A"))*4)+((COUNTIF('Elève (5ème3)'!JR12:JT12,"B"))*3)+((COUNTIF('Elève (5ème3)'!JR12:JT12,"C"))*2)+((COUNTIF('Elève (5ème3)'!JR12:JT12,"D"))*1))/(COUNTA(JR12:JT12)),"")</f>
        <v/>
      </c>
      <c r="JV12" s="185" t="str">
        <f t="shared" si="61"/>
        <v/>
      </c>
      <c r="JW12" s="129"/>
      <c r="JX12" s="130"/>
      <c r="JY12" s="131"/>
      <c r="JZ12" s="135"/>
      <c r="KA12" s="184" t="str">
        <f>IFERROR((((COUNTIF('Elève (5ème3)'!JW12:JZ12,"A"))*4)+((COUNTIF('Elève (5ème3)'!JW12:JZ12,"B"))*3)+((COUNTIF('Elève (5ème3)'!JW12:JZ12,"C"))*2)+((COUNTIF('Elève (5ème3)'!JW12:JZ12,"D"))*1))/(COUNTA(JW12:JZ12)),"")</f>
        <v/>
      </c>
      <c r="KB12" s="185" t="str">
        <f t="shared" si="62"/>
        <v/>
      </c>
      <c r="KC12" s="184" t="str">
        <f>IF(COUNT(JP12,JU12,KA12)=0,"",SUM(JP12,JU12,KA12)/COUNT(JP12,JU12,KA12))</f>
        <v/>
      </c>
      <c r="KD12" s="207" t="str">
        <f t="shared" si="63"/>
        <v/>
      </c>
      <c r="KE12" s="129"/>
      <c r="KF12" s="130"/>
      <c r="KG12" s="131"/>
      <c r="KH12" s="184" t="str">
        <f>IFERROR((((COUNTIF('Elève (5ème3)'!KE12:KG12,"A"))*4)+((COUNTIF('Elève (5ème3)'!KE12:KG12,"B"))*3)+((COUNTIF('Elève (5ème3)'!KE12:KG12,"C"))*2)+((COUNTIF('Elève (5ème3)'!KE12:KG12,"D"))*1))/(COUNTA(KE12:KG12)),"")</f>
        <v/>
      </c>
      <c r="KI12" s="185" t="str">
        <f t="shared" si="64"/>
        <v/>
      </c>
      <c r="KJ12" s="129"/>
      <c r="KK12" s="130"/>
      <c r="KL12" s="131"/>
      <c r="KM12" s="184" t="str">
        <f>IFERROR((((COUNTIF('Elève (5ème3)'!KJ12:KL12,"A"))*4)+((COUNTIF('Elève (5ème3)'!KJ12:KL12,"B"))*3)+((COUNTIF('Elève (5ème3)'!KJ12:KL12,"C"))*2)+((COUNTIF('Elève (5ème3)'!KJ12:KL12,"D"))*1))/(COUNTA(KJ12:KL12)),"")</f>
        <v/>
      </c>
      <c r="KN12" s="185" t="str">
        <f t="shared" si="65"/>
        <v/>
      </c>
      <c r="KO12" s="129"/>
      <c r="KP12" s="130"/>
      <c r="KQ12" s="131"/>
      <c r="KR12" s="135"/>
      <c r="KS12" s="184" t="str">
        <f>IFERROR((((COUNTIF('Elève (5ème3)'!KO12:KR12,"A"))*4)+((COUNTIF('Elève (5ème3)'!KO12:KR12,"B"))*3)+((COUNTIF('Elève (5ème3)'!KO12:KR12,"C"))*2)+((COUNTIF('Elève (5ème3)'!KO12:KR12,"D"))*1))/(COUNTA(KO12:KR12)),"")</f>
        <v/>
      </c>
      <c r="KT12" s="185" t="str">
        <f t="shared" si="66"/>
        <v/>
      </c>
      <c r="KU12" s="184" t="str">
        <f>IF(COUNT(KH12,KM12,KS12)=0,"",SUM(KH12,KM12,KS12)/COUNT(KH12,KM12,KS12))</f>
        <v/>
      </c>
      <c r="KV12" s="207" t="str">
        <f t="shared" si="67"/>
        <v/>
      </c>
      <c r="KW12" s="129"/>
      <c r="KX12" s="130"/>
      <c r="KY12" s="131"/>
      <c r="KZ12" s="184" t="str">
        <f>IFERROR((((COUNTIF('Elève (5ème3)'!KW12:KY12,"A"))*4)+((COUNTIF('Elève (5ème3)'!KW12:KY12,"B"))*3)+((COUNTIF('Elève (5ème3)'!KW12:KY12,"C"))*2)+((COUNTIF('Elève (5ème3)'!KW12:KY12,"D"))*1))/(COUNTA(KW12:KY12)),"")</f>
        <v/>
      </c>
      <c r="LA12" s="185" t="str">
        <f t="shared" si="68"/>
        <v/>
      </c>
      <c r="LB12" s="129"/>
      <c r="LC12" s="130"/>
      <c r="LD12" s="131"/>
      <c r="LE12" s="184" t="str">
        <f>IFERROR((((COUNTIF('Elève (5ème3)'!LB12:LD12,"A"))*4)+((COUNTIF('Elève (5ème3)'!LB12:LD12,"B"))*3)+((COUNTIF('Elève (5ème3)'!LB12:LD12,"C"))*2)+((COUNTIF('Elève (5ème3)'!LB12:LD12,"D"))*1))/(COUNTA(LB12:LD12)),"")</f>
        <v/>
      </c>
      <c r="LF12" s="185" t="str">
        <f t="shared" si="69"/>
        <v/>
      </c>
      <c r="LG12" s="129"/>
      <c r="LH12" s="130"/>
      <c r="LI12" s="131"/>
      <c r="LJ12" s="135"/>
      <c r="LK12" s="184" t="str">
        <f>IFERROR((((COUNTIF('Elève (5ème3)'!LG12:LJ12,"A"))*4)+((COUNTIF('Elève (5ème3)'!LG12:LJ12,"B"))*3)+((COUNTIF('Elève (5ème3)'!LG12:LJ12,"C"))*2)+((COUNTIF('Elève (5ème3)'!LG12:LJ12,"D"))*1))/(COUNTA(LG12:LJ12)),"")</f>
        <v/>
      </c>
      <c r="LL12" s="185" t="str">
        <f t="shared" si="70"/>
        <v/>
      </c>
      <c r="LM12" s="184" t="str">
        <f>IF(COUNT(KZ12,LE12,LK12)=0,"",SUM(KZ12,LE12,LK12)/COUNT(KZ12,LE12,LK12))</f>
        <v/>
      </c>
      <c r="LN12" s="207" t="str">
        <f t="shared" si="71"/>
        <v/>
      </c>
      <c r="LO12" s="129"/>
      <c r="LP12" s="130"/>
      <c r="LQ12" s="131"/>
      <c r="LR12" s="184" t="str">
        <f>IFERROR((((COUNTIF('Elève (5ème3)'!LO12:LQ12,"A"))*4)+((COUNTIF('Elève (5ème3)'!LO12:LQ12,"B"))*3)+((COUNTIF('Elève (5ème3)'!LO12:LQ12,"C"))*2)+((COUNTIF('Elève (5ème3)'!LO12:LQ12,"D"))*1))/(COUNTA(LO12:LQ12)),"")</f>
        <v/>
      </c>
      <c r="LS12" s="185" t="str">
        <f t="shared" si="72"/>
        <v/>
      </c>
      <c r="LT12" s="129"/>
      <c r="LU12" s="130"/>
      <c r="LV12" s="131"/>
      <c r="LW12" s="184" t="str">
        <f>IFERROR((((COUNTIF('Elève (5ème3)'!LT12:LV12,"A"))*4)+((COUNTIF('Elève (5ème3)'!LT12:LV12,"B"))*3)+((COUNTIF('Elève (5ème3)'!LT12:LV12,"C"))*2)+((COUNTIF('Elève (5ème3)'!LT12:LV12,"D"))*1))/(COUNTA(LT12:LV12)),"")</f>
        <v/>
      </c>
      <c r="LX12" s="185" t="str">
        <f t="shared" si="73"/>
        <v/>
      </c>
      <c r="LY12" s="129"/>
      <c r="LZ12" s="130"/>
      <c r="MA12" s="131"/>
      <c r="MB12" s="135"/>
      <c r="MC12" s="184" t="str">
        <f>IFERROR((((COUNTIF('Elève (5ème3)'!LY12:MB12,"A"))*4)+((COUNTIF('Elève (5ème3)'!LY12:MB12,"B"))*3)+((COUNTIF('Elève (5ème3)'!LY12:MB12,"C"))*2)+((COUNTIF('Elève (5ème3)'!LY12:MB12,"D"))*1))/(COUNTA(LY12:MB12)),"")</f>
        <v/>
      </c>
      <c r="MD12" s="185" t="str">
        <f t="shared" si="74"/>
        <v/>
      </c>
      <c r="ME12" s="184" t="str">
        <f>IF(COUNT(LR12,LW12,MC12)=0,"",SUM(LR12,LW12,MC12)/COUNT(LR12,LW12,MC12))</f>
        <v/>
      </c>
      <c r="MF12" s="207" t="str">
        <f t="shared" si="75"/>
        <v/>
      </c>
      <c r="MG12" s="129"/>
      <c r="MH12" s="130"/>
      <c r="MI12" s="131"/>
      <c r="MJ12" s="184" t="str">
        <f>IFERROR((((COUNTIF('Elève (5ème3)'!MG12:MI12,"A"))*4)+((COUNTIF('Elève (5ème3)'!MG12:MI12,"B"))*3)+((COUNTIF('Elève (5ème3)'!MG12:MI12,"C"))*2)+((COUNTIF('Elève (5ème3)'!MG12:MI12,"D"))*1))/(COUNTA(MG12:MI12)),"")</f>
        <v/>
      </c>
      <c r="MK12" s="185" t="str">
        <f t="shared" si="76"/>
        <v/>
      </c>
      <c r="ML12" s="129"/>
      <c r="MM12" s="130"/>
      <c r="MN12" s="131"/>
      <c r="MO12" s="184" t="str">
        <f>IFERROR((((COUNTIF('Elève (5ème3)'!ML12:MN12,"A"))*4)+((COUNTIF('Elève (5ème3)'!ML12:MN12,"B"))*3)+((COUNTIF('Elève (5ème3)'!ML12:MN12,"C"))*2)+((COUNTIF('Elève (5ème3)'!ML12:MN12,"D"))*1))/(COUNTA(ML12:MN12)),"")</f>
        <v/>
      </c>
      <c r="MP12" s="185" t="str">
        <f t="shared" si="77"/>
        <v/>
      </c>
      <c r="MQ12" s="129"/>
      <c r="MR12" s="130"/>
      <c r="MS12" s="131"/>
      <c r="MT12" s="135"/>
      <c r="MU12" s="184" t="str">
        <f>IFERROR((((COUNTIF('Elève (5ème3)'!MQ12:MT12,"A"))*4)+((COUNTIF('Elève (5ème3)'!MQ12:MT12,"B"))*3)+((COUNTIF('Elève (5ème3)'!MQ12:MT12,"C"))*2)+((COUNTIF('Elève (5ème3)'!MQ12:MT12,"D"))*1))/(COUNTA(MQ12:MT12)),"")</f>
        <v/>
      </c>
      <c r="MV12" s="185" t="str">
        <f t="shared" si="78"/>
        <v/>
      </c>
      <c r="MW12" s="184" t="str">
        <f>IF(COUNT(MJ12,MO12,MU12)=0,"",SUM(MJ12,MO12,MU12)/COUNT(MJ12,MO12,MU12))</f>
        <v/>
      </c>
      <c r="MX12" s="207" t="str">
        <f t="shared" si="79"/>
        <v/>
      </c>
      <c r="MY12" s="129"/>
      <c r="MZ12" s="130"/>
      <c r="NA12" s="131"/>
      <c r="NB12" s="184" t="str">
        <f>IFERROR((((COUNTIF('Elève (5ème3)'!MY12:NA12,"A"))*4)+((COUNTIF('Elève (5ème3)'!MY12:NA12,"B"))*3)+((COUNTIF('Elève (5ème3)'!MY12:NA12,"C"))*2)+((COUNTIF('Elève (5ème3)'!MY12:NA12,"D"))*1))/(COUNTA(MY12:NA12)),"")</f>
        <v/>
      </c>
      <c r="NC12" s="185" t="str">
        <f t="shared" si="80"/>
        <v/>
      </c>
      <c r="ND12" s="129"/>
      <c r="NE12" s="130"/>
      <c r="NF12" s="131"/>
      <c r="NG12" s="184" t="str">
        <f>IFERROR((((COUNTIF('Elève (5ème3)'!ND12:NF12,"A"))*4)+((COUNTIF('Elève (5ème3)'!ND12:NF12,"B"))*3)+((COUNTIF('Elève (5ème3)'!ND12:NF12,"C"))*2)+((COUNTIF('Elève (5ème3)'!ND12:NF12,"D"))*1))/(COUNTA(ND12:NF12)),"")</f>
        <v/>
      </c>
      <c r="NH12" s="185" t="str">
        <f t="shared" si="81"/>
        <v/>
      </c>
      <c r="NI12" s="129"/>
      <c r="NJ12" s="130"/>
      <c r="NK12" s="131"/>
      <c r="NL12" s="135"/>
      <c r="NM12" s="184" t="str">
        <f>IFERROR((((COUNTIF('Elève (5ème3)'!NI12:NL12,"A"))*4)+((COUNTIF('Elève (5ème3)'!NI12:NL12,"B"))*3)+((COUNTIF('Elève (5ème3)'!NI12:NL12,"C"))*2)+((COUNTIF('Elève (5ème3)'!NI12:NL12,"D"))*1))/(COUNTA(NI12:NL12)),"")</f>
        <v/>
      </c>
      <c r="NN12" s="185" t="str">
        <f t="shared" si="82"/>
        <v/>
      </c>
      <c r="NO12" s="184" t="str">
        <f>IF(COUNT(NB12,NG12,NM12)=0,"",SUM(NB12,NG12,NM12)/COUNT(NB12,NG12,NM12))</f>
        <v/>
      </c>
      <c r="NP12" s="207" t="str">
        <f t="shared" si="83"/>
        <v/>
      </c>
      <c r="NQ12" s="129"/>
      <c r="NR12" s="130"/>
      <c r="NS12" s="131"/>
      <c r="NT12" s="184" t="str">
        <f>IFERROR((((COUNTIF('Elève (5ème3)'!NQ12:NS12,"A"))*4)+((COUNTIF('Elève (5ème3)'!NQ12:NS12,"B"))*3)+((COUNTIF('Elève (5ème3)'!NQ12:NS12,"C"))*2)+((COUNTIF('Elève (5ème3)'!NQ12:NS12,"D"))*1))/(COUNTA(NQ12:NS12)),"")</f>
        <v/>
      </c>
      <c r="NU12" s="185" t="str">
        <f t="shared" si="84"/>
        <v/>
      </c>
      <c r="NV12" s="129"/>
      <c r="NW12" s="130"/>
      <c r="NX12" s="131"/>
      <c r="NY12" s="184" t="str">
        <f>IFERROR((((COUNTIF('Elève (5ème3)'!NV12:NX12,"A"))*4)+((COUNTIF('Elève (5ème3)'!NV12:NX12,"B"))*3)+((COUNTIF('Elève (5ème3)'!NV12:NX12,"C"))*2)+((COUNTIF('Elève (5ème3)'!NV12:NX12,"D"))*1))/(COUNTA(NV12:NX12)),"")</f>
        <v/>
      </c>
      <c r="NZ12" s="185" t="str">
        <f t="shared" si="85"/>
        <v/>
      </c>
      <c r="OA12" s="129"/>
      <c r="OB12" s="130"/>
      <c r="OC12" s="131"/>
      <c r="OD12" s="135"/>
      <c r="OE12" s="184" t="str">
        <f>IFERROR((((COUNTIF('Elève (5ème3)'!OA12:OD12,"A"))*4)+((COUNTIF('Elève (5ème3)'!OA12:OD12,"B"))*3)+((COUNTIF('Elève (5ème3)'!OA12:OD12,"C"))*2)+((COUNTIF('Elève (5ème3)'!OA12:OD12,"D"))*1))/(COUNTA(OA12:OD12)),"")</f>
        <v/>
      </c>
      <c r="OF12" s="185" t="str">
        <f t="shared" si="86"/>
        <v/>
      </c>
      <c r="OG12" s="184" t="str">
        <f>IF(COUNT(NT12,NY12,OE12)=0,"",SUM(NT12,NY12,OE12)/COUNT(NT12,NY12,OE12))</f>
        <v/>
      </c>
      <c r="OH12" s="207" t="str">
        <f t="shared" si="87"/>
        <v/>
      </c>
      <c r="OI12" s="129"/>
      <c r="OJ12" s="130"/>
      <c r="OK12" s="131"/>
      <c r="OL12" s="184" t="str">
        <f>IFERROR((((COUNTIF('Elève (5ème3)'!OI12:OK12,"A"))*4)+((COUNTIF('Elève (5ème3)'!OI12:OK12,"B"))*3)+((COUNTIF('Elève (5ème3)'!OI12:OK12,"C"))*2)+((COUNTIF('Elève (5ème3)'!OI12:OK12,"D"))*1))/(COUNTA(OI12:OK12)),"")</f>
        <v/>
      </c>
      <c r="OM12" s="185" t="str">
        <f t="shared" si="88"/>
        <v/>
      </c>
      <c r="ON12" s="129"/>
      <c r="OO12" s="130"/>
      <c r="OP12" s="131"/>
      <c r="OQ12" s="184" t="str">
        <f>IFERROR((((COUNTIF('Elève (5ème3)'!ON12:OP12,"A"))*4)+((COUNTIF('Elève (5ème3)'!ON12:OP12,"B"))*3)+((COUNTIF('Elève (5ème3)'!ON12:OP12,"C"))*2)+((COUNTIF('Elève (5ème3)'!ON12:OP12,"D"))*1))/(COUNTA(ON12:OP12)),"")</f>
        <v/>
      </c>
      <c r="OR12" s="185" t="str">
        <f t="shared" si="89"/>
        <v/>
      </c>
      <c r="OS12" s="129"/>
      <c r="OT12" s="130"/>
      <c r="OU12" s="131"/>
      <c r="OV12" s="135"/>
      <c r="OW12" s="184" t="str">
        <f>IFERROR((((COUNTIF('Elève (5ème3)'!OS12:OV12,"A"))*4)+((COUNTIF('Elève (5ème3)'!OS12:OV12,"B"))*3)+((COUNTIF('Elève (5ème3)'!OS12:OV12,"C"))*2)+((COUNTIF('Elève (5ème3)'!OS12:OV12,"D"))*1))/(COUNTA(OS12:OV12)),"")</f>
        <v/>
      </c>
      <c r="OX12" s="185" t="str">
        <f t="shared" si="90"/>
        <v/>
      </c>
      <c r="OY12" s="184" t="str">
        <f>IF(COUNT(OL12,OQ12,OW12)=0,"",SUM(OL12,OQ12,OW12)/COUNT(OL12,OQ12,OW12))</f>
        <v/>
      </c>
      <c r="OZ12" s="207" t="str">
        <f t="shared" si="91"/>
        <v/>
      </c>
      <c r="PA12" s="129"/>
      <c r="PB12" s="130"/>
      <c r="PC12" s="131"/>
      <c r="PD12" s="184" t="str">
        <f>IFERROR((((COUNTIF('Elève (5ème3)'!PA12:PC12,"A"))*4)+((COUNTIF('Elève (5ème3)'!PA12:PC12,"B"))*3)+((COUNTIF('Elève (5ème3)'!PA12:PC12,"C"))*2)+((COUNTIF('Elève (5ème3)'!PA12:PC12,"D"))*1))/(COUNTA(PA12:PC12)),"")</f>
        <v/>
      </c>
      <c r="PE12" s="185" t="str">
        <f t="shared" si="92"/>
        <v/>
      </c>
      <c r="PF12" s="129"/>
      <c r="PG12" s="130"/>
      <c r="PH12" s="131"/>
      <c r="PI12" s="184" t="str">
        <f>IFERROR((((COUNTIF('Elève (5ème3)'!PF12:PH12,"A"))*4)+((COUNTIF('Elève (5ème3)'!PF12:PH12,"B"))*3)+((COUNTIF('Elève (5ème3)'!PF12:PH12,"C"))*2)+((COUNTIF('Elève (5ème3)'!PF12:PH12,"D"))*1))/(COUNTA(PF12:PH12)),"")</f>
        <v/>
      </c>
      <c r="PJ12" s="185" t="str">
        <f t="shared" si="93"/>
        <v/>
      </c>
      <c r="PK12" s="129"/>
      <c r="PL12" s="130"/>
      <c r="PM12" s="131"/>
      <c r="PN12" s="135"/>
      <c r="PO12" s="184" t="str">
        <f>IFERROR((((COUNTIF('Elève (5ème3)'!PK12:PN12,"A"))*4)+((COUNTIF('Elève (5ème3)'!PK12:PN12,"B"))*3)+((COUNTIF('Elève (5ème3)'!PK12:PN12,"C"))*2)+((COUNTIF('Elève (5ème3)'!PK12:PN12,"D"))*1))/(COUNTA(PK12:PN12)),"")</f>
        <v/>
      </c>
      <c r="PP12" s="185" t="str">
        <f t="shared" si="94"/>
        <v/>
      </c>
      <c r="PQ12" s="184" t="str">
        <f>IF(COUNT(PD12,PI12,PO12)=0,"",SUM(PD12,PI12,PO12)/COUNT(PD12,PI12,PO12))</f>
        <v/>
      </c>
      <c r="PR12" s="207" t="str">
        <f t="shared" si="95"/>
        <v/>
      </c>
      <c r="PS12" s="129"/>
      <c r="PT12" s="130"/>
      <c r="PU12" s="131"/>
      <c r="PV12" s="184" t="str">
        <f>IFERROR((((COUNTIF('Elève (5ème3)'!PS12:PU12,"A"))*4)+((COUNTIF('Elève (5ème3)'!PS12:PU12,"B"))*3)+((COUNTIF('Elève (5ème3)'!PS12:PU12,"C"))*2)+((COUNTIF('Elève (5ème3)'!PS12:PU12,"D"))*1))/(COUNTA(PS12:PU12)),"")</f>
        <v/>
      </c>
      <c r="PW12" s="185" t="str">
        <f t="shared" si="96"/>
        <v/>
      </c>
      <c r="PX12" s="129"/>
      <c r="PY12" s="130"/>
      <c r="PZ12" s="131"/>
      <c r="QA12" s="184" t="str">
        <f>IFERROR((((COUNTIF('Elève (5ème3)'!PX12:PZ12,"A"))*4)+((COUNTIF('Elève (5ème3)'!PX12:PZ12,"B"))*3)+((COUNTIF('Elève (5ème3)'!PX12:PZ12,"C"))*2)+((COUNTIF('Elève (5ème3)'!PX12:PZ12,"D"))*1))/(COUNTA(PX12:PZ12)),"")</f>
        <v/>
      </c>
      <c r="QB12" s="185" t="str">
        <f t="shared" si="97"/>
        <v/>
      </c>
      <c r="QC12" s="129"/>
      <c r="QD12" s="130"/>
      <c r="QE12" s="131"/>
      <c r="QF12" s="135"/>
      <c r="QG12" s="184" t="str">
        <f>IFERROR((((COUNTIF('Elève (5ème3)'!QC12:QF12,"A"))*4)+((COUNTIF('Elève (5ème3)'!QC12:QF12,"B"))*3)+((COUNTIF('Elève (5ème3)'!QC12:QF12,"C"))*2)+((COUNTIF('Elève (5ème3)'!QC12:QF12,"D"))*1))/(COUNTA(QC12:QF12)),"")</f>
        <v/>
      </c>
      <c r="QH12" s="185" t="str">
        <f t="shared" si="98"/>
        <v/>
      </c>
      <c r="QI12" s="184" t="str">
        <f>IF(COUNT(PV12,QA12,QG12)=0,"",SUM(PV12,QA12,QG12)/COUNT(PV12,QA12,QG12))</f>
        <v/>
      </c>
      <c r="QJ12" s="207" t="str">
        <f t="shared" si="99"/>
        <v/>
      </c>
      <c r="QK12" s="129"/>
      <c r="QL12" s="130"/>
      <c r="QM12" s="131"/>
      <c r="QN12" s="184" t="str">
        <f>IFERROR((((COUNTIF('Elève (5ème3)'!QK12:QM12,"A"))*4)+((COUNTIF('Elève (5ème3)'!QK12:QM12,"B"))*3)+((COUNTIF('Elève (5ème3)'!QK12:QM12,"C"))*2)+((COUNTIF('Elève (5ème3)'!QK12:QM12,"D"))*1))/(COUNTA(QK12:QM12)),"")</f>
        <v/>
      </c>
      <c r="QO12" s="185" t="str">
        <f t="shared" si="100"/>
        <v/>
      </c>
      <c r="QP12" s="129"/>
      <c r="QQ12" s="130"/>
      <c r="QR12" s="131"/>
      <c r="QS12" s="184" t="str">
        <f>IFERROR((((COUNTIF('Elève (5ème3)'!QP12:QR12,"A"))*4)+((COUNTIF('Elève (5ème3)'!QP12:QR12,"B"))*3)+((COUNTIF('Elève (5ème3)'!QP12:QR12,"C"))*2)+((COUNTIF('Elève (5ème3)'!QP12:QR12,"D"))*1))/(COUNTA(QP12:QR12)),"")</f>
        <v/>
      </c>
      <c r="QT12" s="185" t="str">
        <f t="shared" si="101"/>
        <v/>
      </c>
      <c r="QU12" s="129"/>
      <c r="QV12" s="130"/>
      <c r="QW12" s="131"/>
      <c r="QX12" s="135"/>
      <c r="QY12" s="184" t="str">
        <f>IFERROR((((COUNTIF('Elève (5ème3)'!QU12:QX12,"A"))*4)+((COUNTIF('Elève (5ème3)'!QU12:QX12,"B"))*3)+((COUNTIF('Elève (5ème3)'!QU12:QX12,"C"))*2)+((COUNTIF('Elève (5ème3)'!QU12:QX12,"D"))*1))/(COUNTA(QU12:QX12)),"")</f>
        <v/>
      </c>
      <c r="QZ12" s="185" t="str">
        <f t="shared" si="102"/>
        <v/>
      </c>
      <c r="RA12" s="184" t="str">
        <f>IF(COUNT(QN12,QS12,QY12)=0,"",SUM(QN12,QS12,QY12)/COUNT(QN12,QS12,QY12))</f>
        <v/>
      </c>
      <c r="RB12" s="207" t="str">
        <f t="shared" si="103"/>
        <v/>
      </c>
      <c r="RC12" s="129"/>
      <c r="RD12" s="130"/>
      <c r="RE12" s="131"/>
      <c r="RF12" s="184" t="str">
        <f>IFERROR((((COUNTIF('Elève (5ème3)'!RC12:RE12,"A"))*4)+((COUNTIF('Elève (5ème3)'!RC12:RE12,"B"))*3)+((COUNTIF('Elève (5ème3)'!RC12:RE12,"C"))*2)+((COUNTIF('Elève (5ème3)'!RC12:RE12,"D"))*1))/(COUNTA(RC12:RE12)),"")</f>
        <v/>
      </c>
      <c r="RG12" s="185" t="str">
        <f t="shared" si="104"/>
        <v/>
      </c>
      <c r="RH12" s="129"/>
      <c r="RI12" s="130"/>
      <c r="RJ12" s="131"/>
      <c r="RK12" s="184" t="str">
        <f>IFERROR((((COUNTIF('Elève (5ème3)'!RH12:RJ12,"A"))*4)+((COUNTIF('Elève (5ème3)'!RH12:RJ12,"B"))*3)+((COUNTIF('Elève (5ème3)'!RH12:RJ12,"C"))*2)+((COUNTIF('Elève (5ème3)'!RH12:RJ12,"D"))*1))/(COUNTA(RH12:RJ12)),"")</f>
        <v/>
      </c>
      <c r="RL12" s="185" t="str">
        <f t="shared" si="105"/>
        <v/>
      </c>
      <c r="RM12" s="129"/>
      <c r="RN12" s="130"/>
      <c r="RO12" s="131"/>
      <c r="RP12" s="135"/>
      <c r="RQ12" s="184" t="str">
        <f>IFERROR((((COUNTIF('Elève (5ème3)'!RM12:RP12,"A"))*4)+((COUNTIF('Elève (5ème3)'!RM12:RP12,"B"))*3)+((COUNTIF('Elève (5ème3)'!RM12:RP12,"C"))*2)+((COUNTIF('Elève (5ème3)'!RM12:RP12,"D"))*1))/(COUNTA(RM12:RP12)),"")</f>
        <v/>
      </c>
      <c r="RR12" s="185" t="str">
        <f t="shared" si="106"/>
        <v/>
      </c>
      <c r="RS12" s="184" t="str">
        <f>IF(COUNT(RF12,RK12,RQ12)=0,"",SUM(RF12,RK12,RQ12)/COUNT(RF12,RK12,RQ12))</f>
        <v/>
      </c>
      <c r="RT12" s="207" t="str">
        <f t="shared" si="107"/>
        <v/>
      </c>
      <c r="RU12" s="129"/>
      <c r="RV12" s="130"/>
      <c r="RW12" s="131"/>
      <c r="RX12" s="132" t="str">
        <f>IFERROR((((COUNTIF('Elève (5ème3)'!RU12:RW12,"A"))*4)+((COUNTIF('Elève (5ème3)'!RU12:RW12,"B"))*3)+((COUNTIF('Elève (5ème3)'!RU12:RW12,"C"))*2)+((COUNTIF('Elève (5ème3)'!RU12:RW12,"D"))*1))/(COUNTA(RU12:RW12)),"")</f>
        <v/>
      </c>
      <c r="RY12" s="133" t="str">
        <f t="shared" si="108"/>
        <v/>
      </c>
      <c r="RZ12" s="129"/>
      <c r="SA12" s="130"/>
      <c r="SB12" s="131"/>
      <c r="SC12" s="132" t="str">
        <f>IFERROR((((COUNTIF('Elève (5ème3)'!RZ12:SB12,"A"))*4)+((COUNTIF('Elève (5ème3)'!RZ12:SB12,"B"))*3)+((COUNTIF('Elève (5ème3)'!RZ12:SB12,"C"))*2)+((COUNTIF('Elève (5ème3)'!RZ12:SB12,"D"))*1))/(COUNTA(RZ12:SB12)),"")</f>
        <v/>
      </c>
      <c r="SD12" s="133" t="str">
        <f t="shared" si="109"/>
        <v/>
      </c>
      <c r="SE12" s="129"/>
      <c r="SF12" s="130"/>
      <c r="SG12" s="135"/>
      <c r="SH12" s="132" t="str">
        <f>IFERROR((((COUNTIF('Elève (5ème3)'!SE12:SG12,"A"))*4)+((COUNTIF('Elève (5ème3)'!SE12:SG12,"B"))*3)+((COUNTIF('Elève (5ème3)'!SE12:SG12,"C"))*2)+((COUNTIF('Elève (5ème3)'!SE12:SG12,"D"))*1))/(COUNTA(SE12:SG12)),"")</f>
        <v/>
      </c>
      <c r="SI12" s="133" t="str">
        <f t="shared" si="110"/>
        <v/>
      </c>
      <c r="SJ12" s="132" t="str">
        <f>IF(COUNT(RX12,SC12,SH12)=0,"",SUM(RX12,SC12,SH12)/COUNT(RX12,SC12,SH12))</f>
        <v/>
      </c>
      <c r="SK12" s="134" t="str">
        <f t="shared" si="111"/>
        <v/>
      </c>
      <c r="SL12" s="129"/>
      <c r="SM12" s="130"/>
      <c r="SN12" s="131"/>
      <c r="SO12" s="132" t="str">
        <f>IFERROR((((COUNTIF('Elève (5ème3)'!SL12:SN12,"A"))*4)+((COUNTIF('Elève (5ème3)'!SL12:SN12,"B"))*3)+((COUNTIF('Elève (5ème3)'!SL12:SN12,"C"))*2)+((COUNTIF('Elève (5ème3)'!SL12:SN12,"D"))*1))/(COUNTA(SL12:SN12)),"")</f>
        <v/>
      </c>
      <c r="SP12" s="133" t="str">
        <f t="shared" si="112"/>
        <v/>
      </c>
      <c r="SQ12" s="129"/>
      <c r="SR12" s="130"/>
      <c r="SS12" s="131"/>
      <c r="ST12" s="132" t="str">
        <f>IFERROR((((COUNTIF('Elève (5ème3)'!SQ12:SS12,"A"))*4)+((COUNTIF('Elève (5ème3)'!SQ12:SS12,"B"))*3)+((COUNTIF('Elève (5ème3)'!SQ12:SS12,"C"))*2)+((COUNTIF('Elève (5ème3)'!SQ12:SS12,"D"))*1))/(COUNTA(SQ12:SS12)),"")</f>
        <v/>
      </c>
      <c r="SU12" s="133" t="str">
        <f t="shared" si="113"/>
        <v/>
      </c>
      <c r="SV12" s="129"/>
      <c r="SW12" s="130"/>
      <c r="SX12" s="135"/>
      <c r="SY12" s="132" t="str">
        <f>IFERROR((((COUNTIF('Elève (5ème3)'!SV12:SX12,"A"))*4)+((COUNTIF('Elève (5ème3)'!SV12:SX12,"B"))*3)+((COUNTIF('Elève (5ème3)'!SV12:SX12,"C"))*2)+((COUNTIF('Elève (5ème3)'!SV12:SX12,"D"))*1))/(COUNTA(SV12:SX12)),"")</f>
        <v/>
      </c>
      <c r="SZ12" s="133" t="str">
        <f t="shared" si="114"/>
        <v/>
      </c>
      <c r="TA12" s="132" t="str">
        <f>IF(COUNT(SO12,ST12,SY12)=0,"",SUM(SO12,ST12,SY12)/COUNT(SO12,ST12,SY12))</f>
        <v/>
      </c>
      <c r="TB12" s="134" t="str">
        <f t="shared" si="115"/>
        <v/>
      </c>
      <c r="TC12" s="129"/>
      <c r="TD12" s="130"/>
      <c r="TE12" s="131"/>
      <c r="TF12" s="132" t="str">
        <f>IFERROR((((COUNTIF('Elève (5ème3)'!TC12:TE12,"A"))*4)+((COUNTIF('Elève (5ème3)'!TC12:TE12,"B"))*3)+((COUNTIF('Elève (5ème3)'!TC12:TE12,"C"))*2)+((COUNTIF('Elève (5ème3)'!TC12:TE12,"D"))*1))/(COUNTA(TC12:TE12)),"")</f>
        <v/>
      </c>
      <c r="TG12" s="133" t="str">
        <f t="shared" si="116"/>
        <v/>
      </c>
      <c r="TH12" s="129"/>
      <c r="TI12" s="130"/>
      <c r="TJ12" s="131"/>
      <c r="TK12" s="132" t="str">
        <f>IFERROR((((COUNTIF('Elève (5ème3)'!TH12:TJ12,"A"))*4)+((COUNTIF('Elève (5ème3)'!TH12:TJ12,"B"))*3)+((COUNTIF('Elève (5ème3)'!TH12:TJ12,"C"))*2)+((COUNTIF('Elève (5ème3)'!TH12:TJ12,"D"))*1))/(COUNTA(TH12:TJ12)),"")</f>
        <v/>
      </c>
      <c r="TL12" s="133" t="str">
        <f t="shared" si="117"/>
        <v/>
      </c>
      <c r="TM12" s="129"/>
      <c r="TN12" s="130"/>
      <c r="TO12" s="135"/>
      <c r="TP12" s="132" t="str">
        <f>IFERROR((((COUNTIF('Elève (5ème3)'!TM12:TO12,"A"))*4)+((COUNTIF('Elève (5ème3)'!TM12:TO12,"B"))*3)+((COUNTIF('Elève (5ème3)'!TM12:TO12,"C"))*2)+((COUNTIF('Elève (5ème3)'!TM12:TO12,"D"))*1))/(COUNTA(TM12:TO12)),"")</f>
        <v/>
      </c>
      <c r="TQ12" s="133" t="str">
        <f t="shared" si="118"/>
        <v/>
      </c>
      <c r="TR12" s="132" t="str">
        <f>IF(COUNT(TF12,TK12,TP12)=0,"",SUM(TF12,TK12,TP12)/COUNT(TF12,TK12,TP12))</f>
        <v/>
      </c>
      <c r="TS12" s="134" t="str">
        <f t="shared" si="119"/>
        <v/>
      </c>
    </row>
    <row r="13" spans="1:539" s="114" customFormat="1" ht="16.5" customHeight="1" thickBot="1" x14ac:dyDescent="0.3">
      <c r="A13" s="164" t="s">
        <v>18</v>
      </c>
      <c r="B13" s="139">
        <v>1</v>
      </c>
      <c r="C13" s="171"/>
      <c r="D13" s="84"/>
      <c r="E13" s="104"/>
      <c r="F13" s="178">
        <f>IF(COUNT(F14:F15)=0,"",SUM(F14:F15)/COUNT(F14:F15))</f>
        <v>4</v>
      </c>
      <c r="G13" s="179" t="str">
        <f t="shared" si="0"/>
        <v>A</v>
      </c>
      <c r="H13" s="171"/>
      <c r="I13" s="84"/>
      <c r="J13" s="84"/>
      <c r="K13" s="178">
        <f>IF(COUNT(K14,K15)=0,"",SUM(K14:K15)/COUNT(K14,K15))</f>
        <v>4</v>
      </c>
      <c r="L13" s="194" t="str">
        <f t="shared" si="1"/>
        <v>A</v>
      </c>
      <c r="M13" s="172"/>
      <c r="N13" s="109"/>
      <c r="O13" s="109"/>
      <c r="P13" s="110"/>
      <c r="Q13" s="178">
        <f>IF(COUNT(Q14,Q15)=0,"",SUM(Q14:Q15)/COUNT(Q14,Q15))</f>
        <v>3</v>
      </c>
      <c r="R13" s="202" t="str">
        <f t="shared" si="2"/>
        <v>B</v>
      </c>
      <c r="S13" s="203">
        <f>IF(COUNT(S14:S15)=0,"",SUM(S14:S15)/COUNT(S14:S15))</f>
        <v>3.75</v>
      </c>
      <c r="T13" s="204" t="str">
        <f t="shared" si="3"/>
        <v>A</v>
      </c>
      <c r="U13" s="215"/>
      <c r="V13" s="84"/>
      <c r="W13" s="104"/>
      <c r="X13" s="178">
        <f>IF(COUNT(X14:X15)=0,"",SUM(X14:X15)/COUNT(X14:X15))</f>
        <v>4</v>
      </c>
      <c r="Y13" s="179" t="str">
        <f t="shared" si="4"/>
        <v>A</v>
      </c>
      <c r="Z13" s="171"/>
      <c r="AA13" s="84"/>
      <c r="AB13" s="84"/>
      <c r="AC13" s="178">
        <f>IF(COUNT(AC14,AC15)=0,"",SUM(AC14:AC15)/COUNT(AC14,AC15))</f>
        <v>4</v>
      </c>
      <c r="AD13" s="194" t="str">
        <f t="shared" si="5"/>
        <v>A</v>
      </c>
      <c r="AE13" s="172"/>
      <c r="AF13" s="109"/>
      <c r="AG13" s="109"/>
      <c r="AH13" s="110"/>
      <c r="AI13" s="178">
        <f>IF(COUNT(AI14,AI15)=0,"",SUM(AI14:AI15)/COUNT(AI14,AI15))</f>
        <v>4</v>
      </c>
      <c r="AJ13" s="202" t="str">
        <f t="shared" si="6"/>
        <v>A</v>
      </c>
      <c r="AK13" s="203">
        <f>IF(COUNT(AK14:AK15)=0,"",SUM(AK14:AK15)/COUNT(AK14:AK15))</f>
        <v>4</v>
      </c>
      <c r="AL13" s="204" t="str">
        <f t="shared" si="7"/>
        <v>A</v>
      </c>
      <c r="AM13" s="215"/>
      <c r="AN13" s="84"/>
      <c r="AO13" s="104"/>
      <c r="AP13" s="178">
        <f>IF(COUNT(AP14:AP15)=0,"",SUM(AP14:AP15)/COUNT(AP14:AP15))</f>
        <v>4</v>
      </c>
      <c r="AQ13" s="179" t="str">
        <f t="shared" si="8"/>
        <v>A</v>
      </c>
      <c r="AR13" s="171"/>
      <c r="AS13" s="84"/>
      <c r="AT13" s="84"/>
      <c r="AU13" s="178">
        <f>IF(COUNT(AU14,AU15)=0,"",SUM(AU14:AU15)/COUNT(AU14,AU15))</f>
        <v>4</v>
      </c>
      <c r="AV13" s="194" t="str">
        <f t="shared" si="9"/>
        <v>A</v>
      </c>
      <c r="AW13" s="172"/>
      <c r="AX13" s="109"/>
      <c r="AY13" s="109"/>
      <c r="AZ13" s="110"/>
      <c r="BA13" s="178">
        <f>IF(COUNT(BA14,BA15)=0,"",SUM(BA14:BA15)/COUNT(BA14,BA15))</f>
        <v>3</v>
      </c>
      <c r="BB13" s="202" t="str">
        <f t="shared" si="10"/>
        <v>B</v>
      </c>
      <c r="BC13" s="203">
        <f>IF(COUNT(BC14:BC15)=0,"",SUM(BC14:BC15)/COUNT(BC14:BC15))</f>
        <v>3.75</v>
      </c>
      <c r="BD13" s="204" t="str">
        <f t="shared" si="11"/>
        <v>A</v>
      </c>
      <c r="BE13" s="215"/>
      <c r="BF13" s="84"/>
      <c r="BG13" s="104"/>
      <c r="BH13" s="178">
        <f>IF(COUNT(BH14:BH15)=0,"",SUM(BH14:BH15)/COUNT(BH14:BH15))</f>
        <v>4</v>
      </c>
      <c r="BI13" s="179" t="str">
        <f t="shared" si="12"/>
        <v>A</v>
      </c>
      <c r="BJ13" s="171"/>
      <c r="BK13" s="84"/>
      <c r="BL13" s="84"/>
      <c r="BM13" s="178">
        <f>IF(COUNT(BM14,BM15)=0,"",SUM(BM14:BM15)/COUNT(BM14,BM15))</f>
        <v>3</v>
      </c>
      <c r="BN13" s="194" t="str">
        <f t="shared" si="13"/>
        <v>B</v>
      </c>
      <c r="BO13" s="172"/>
      <c r="BP13" s="109"/>
      <c r="BQ13" s="109"/>
      <c r="BR13" s="110"/>
      <c r="BS13" s="178">
        <f>IF(COUNT(BS14,BS15)=0,"",SUM(BS14:BS15)/COUNT(BS14,BS15))</f>
        <v>3</v>
      </c>
      <c r="BT13" s="202" t="str">
        <f t="shared" si="14"/>
        <v>B</v>
      </c>
      <c r="BU13" s="203">
        <f>IF(COUNT(BU14:BU15)=0,"",SUM(BU14:BU15)/COUNT(BU14:BU15))</f>
        <v>3.5</v>
      </c>
      <c r="BV13" s="204" t="str">
        <f t="shared" si="15"/>
        <v>B</v>
      </c>
      <c r="BW13" s="215"/>
      <c r="BX13" s="84"/>
      <c r="BY13" s="104"/>
      <c r="BZ13" s="178">
        <f>IF(COUNT(BZ14:BZ15)=0,"",SUM(BZ14:BZ15)/COUNT(BZ14:BZ15))</f>
        <v>4</v>
      </c>
      <c r="CA13" s="179" t="str">
        <f t="shared" si="16"/>
        <v>A</v>
      </c>
      <c r="CB13" s="171"/>
      <c r="CC13" s="84"/>
      <c r="CD13" s="84"/>
      <c r="CE13" s="178">
        <f>IF(COUNT(CE14,CE15)=0,"",SUM(CE14:CE15)/COUNT(CE14,CE15))</f>
        <v>3.5</v>
      </c>
      <c r="CF13" s="194" t="str">
        <f t="shared" si="17"/>
        <v>B</v>
      </c>
      <c r="CG13" s="172"/>
      <c r="CH13" s="109"/>
      <c r="CI13" s="109"/>
      <c r="CJ13" s="110"/>
      <c r="CK13" s="178">
        <f>IF(COUNT(CK14,CK15)=0,"",SUM(CK14:CK15)/COUNT(CK14,CK15))</f>
        <v>3</v>
      </c>
      <c r="CL13" s="202" t="str">
        <f t="shared" si="18"/>
        <v>B</v>
      </c>
      <c r="CM13" s="203">
        <f>IF(COUNT(CM14:CM15)=0,"",SUM(CM14:CM15)/COUNT(CM14:CM15))</f>
        <v>3.625</v>
      </c>
      <c r="CN13" s="204" t="str">
        <f t="shared" si="19"/>
        <v>B</v>
      </c>
      <c r="CO13" s="215"/>
      <c r="CP13" s="84"/>
      <c r="CQ13" s="104"/>
      <c r="CR13" s="178">
        <f>IF(COUNT(CR14:CR15)=0,"",SUM(CR14:CR15)/COUNT(CR14:CR15))</f>
        <v>4</v>
      </c>
      <c r="CS13" s="179" t="str">
        <f t="shared" si="20"/>
        <v>A</v>
      </c>
      <c r="CT13" s="171"/>
      <c r="CU13" s="84"/>
      <c r="CV13" s="84"/>
      <c r="CW13" s="178">
        <f>IF(COUNT(CW14,CW15)=0,"",SUM(CW14:CW15)/COUNT(CW14,CW15))</f>
        <v>3</v>
      </c>
      <c r="CX13" s="194" t="str">
        <f t="shared" si="21"/>
        <v>B</v>
      </c>
      <c r="CY13" s="172"/>
      <c r="CZ13" s="109"/>
      <c r="DA13" s="109"/>
      <c r="DB13" s="110"/>
      <c r="DC13" s="178">
        <f>IF(COUNT(DC14,DC15)=0,"",SUM(DC14:DC15)/COUNT(DC14,DC15))</f>
        <v>4</v>
      </c>
      <c r="DD13" s="202" t="str">
        <f t="shared" si="22"/>
        <v>A</v>
      </c>
      <c r="DE13" s="203">
        <f>IF(COUNT(DE14:DE15)=0,"",SUM(DE14:DE15)/COUNT(DE14:DE15))</f>
        <v>3.75</v>
      </c>
      <c r="DF13" s="204" t="str">
        <f t="shared" si="23"/>
        <v>A</v>
      </c>
      <c r="DG13" s="215"/>
      <c r="DH13" s="84"/>
      <c r="DI13" s="104"/>
      <c r="DJ13" s="178">
        <f>IF(COUNT(DJ14:DJ15)=0,"",SUM(DJ14:DJ15)/COUNT(DJ14:DJ15))</f>
        <v>4</v>
      </c>
      <c r="DK13" s="179" t="str">
        <f t="shared" si="24"/>
        <v>A</v>
      </c>
      <c r="DL13" s="171"/>
      <c r="DM13" s="84"/>
      <c r="DN13" s="84"/>
      <c r="DO13" s="178">
        <f>IF(COUNT(DO14,DO15)=0,"",SUM(DO14:DO15)/COUNT(DO14,DO15))</f>
        <v>4</v>
      </c>
      <c r="DP13" s="194" t="str">
        <f t="shared" si="25"/>
        <v>A</v>
      </c>
      <c r="DQ13" s="172"/>
      <c r="DR13" s="109"/>
      <c r="DS13" s="109"/>
      <c r="DT13" s="110"/>
      <c r="DU13" s="178">
        <f>IF(COUNT(DU14,DU15)=0,"",SUM(DU14:DU15)/COUNT(DU14,DU15))</f>
        <v>4</v>
      </c>
      <c r="DV13" s="202" t="str">
        <f t="shared" si="26"/>
        <v>A</v>
      </c>
      <c r="DW13" s="203">
        <f>IF(COUNT(DW14:DW15)=0,"",SUM(DW14:DW15)/COUNT(DW14:DW15))</f>
        <v>4</v>
      </c>
      <c r="DX13" s="204" t="str">
        <f t="shared" si="27"/>
        <v>A</v>
      </c>
      <c r="DY13" s="215"/>
      <c r="DZ13" s="84"/>
      <c r="EA13" s="104"/>
      <c r="EB13" s="178">
        <f>IF(COUNT(EB14:EB15)=0,"",SUM(EB14:EB15)/COUNT(EB14:EB15))</f>
        <v>4</v>
      </c>
      <c r="EC13" s="179" t="str">
        <f t="shared" si="28"/>
        <v>A</v>
      </c>
      <c r="ED13" s="171"/>
      <c r="EE13" s="84"/>
      <c r="EF13" s="84"/>
      <c r="EG13" s="178">
        <f>IF(COUNT(EG14,EG15)=0,"",SUM(EG14:EG15)/COUNT(EG14,EG15))</f>
        <v>3</v>
      </c>
      <c r="EH13" s="194" t="str">
        <f t="shared" si="29"/>
        <v>B</v>
      </c>
      <c r="EI13" s="172"/>
      <c r="EJ13" s="109"/>
      <c r="EK13" s="109"/>
      <c r="EL13" s="110"/>
      <c r="EM13" s="178">
        <f>IF(COUNT(EM14,EM15)=0,"",SUM(EM14:EM15)/COUNT(EM14,EM15))</f>
        <v>3</v>
      </c>
      <c r="EN13" s="202" t="str">
        <f t="shared" si="30"/>
        <v>B</v>
      </c>
      <c r="EO13" s="203">
        <f>IF(COUNT(EO14:EO15)=0,"",SUM(EO14:EO15)/COUNT(EO14:EO15))</f>
        <v>3.5</v>
      </c>
      <c r="EP13" s="204" t="str">
        <f t="shared" si="31"/>
        <v>B</v>
      </c>
      <c r="EQ13" s="215"/>
      <c r="ER13" s="84"/>
      <c r="ES13" s="104"/>
      <c r="ET13" s="178">
        <f>IF(COUNT(ET14:ET15)=0,"",SUM(ET14:ET15)/COUNT(ET14:ET15))</f>
        <v>4</v>
      </c>
      <c r="EU13" s="179" t="str">
        <f t="shared" si="32"/>
        <v>A</v>
      </c>
      <c r="EV13" s="171"/>
      <c r="EW13" s="84"/>
      <c r="EX13" s="84"/>
      <c r="EY13" s="178">
        <f>IF(COUNT(EY14,EY15)=0,"",SUM(EY14:EY15)/COUNT(EY14,EY15))</f>
        <v>3</v>
      </c>
      <c r="EZ13" s="194" t="str">
        <f t="shared" si="33"/>
        <v>B</v>
      </c>
      <c r="FA13" s="172"/>
      <c r="FB13" s="109"/>
      <c r="FC13" s="109"/>
      <c r="FD13" s="110"/>
      <c r="FE13" s="178">
        <f>IF(COUNT(FE14,FE15)=0,"",SUM(FE14:FE15)/COUNT(FE14,FE15))</f>
        <v>3</v>
      </c>
      <c r="FF13" s="202" t="str">
        <f t="shared" si="34"/>
        <v>B</v>
      </c>
      <c r="FG13" s="203">
        <f>IF(COUNT(FG14:FG15)=0,"",SUM(FG14:FG15)/COUNT(FG14:FG15))</f>
        <v>3.5</v>
      </c>
      <c r="FH13" s="204" t="str">
        <f t="shared" si="35"/>
        <v>B</v>
      </c>
      <c r="FI13" s="215"/>
      <c r="FJ13" s="84"/>
      <c r="FK13" s="104"/>
      <c r="FL13" s="178">
        <f>IF(COUNT(FL14:FL15)=0,"",SUM(FL14:FL15)/COUNT(FL14:FL15))</f>
        <v>4</v>
      </c>
      <c r="FM13" s="179" t="str">
        <f t="shared" si="36"/>
        <v>A</v>
      </c>
      <c r="FN13" s="171"/>
      <c r="FO13" s="84"/>
      <c r="FP13" s="84"/>
      <c r="FQ13" s="178">
        <f>IF(COUNT(FQ14,FQ15)=0,"",SUM(FQ14:FQ15)/COUNT(FQ14,FQ15))</f>
        <v>2.5</v>
      </c>
      <c r="FR13" s="194" t="str">
        <f t="shared" si="37"/>
        <v>C</v>
      </c>
      <c r="FS13" s="172"/>
      <c r="FT13" s="109"/>
      <c r="FU13" s="109"/>
      <c r="FV13" s="110"/>
      <c r="FW13" s="178">
        <f>IF(COUNT(FW14,FW15)=0,"",SUM(FW14:FW15)/COUNT(FW14,FW15))</f>
        <v>3</v>
      </c>
      <c r="FX13" s="202" t="str">
        <f t="shared" si="38"/>
        <v>B</v>
      </c>
      <c r="FY13" s="203">
        <f>IF(COUNT(FY14:FY15)=0,"",SUM(FY14:FY15)/COUNT(FY14:FY15))</f>
        <v>3.375</v>
      </c>
      <c r="FZ13" s="204" t="str">
        <f t="shared" si="39"/>
        <v>B</v>
      </c>
      <c r="GA13" s="215"/>
      <c r="GB13" s="84"/>
      <c r="GC13" s="104"/>
      <c r="GD13" s="178">
        <f>IF(COUNT(GD14:GD15)=0,"",SUM(GD14:GD15)/COUNT(GD14:GD15))</f>
        <v>3</v>
      </c>
      <c r="GE13" s="179" t="str">
        <f t="shared" si="40"/>
        <v>B</v>
      </c>
      <c r="GF13" s="171"/>
      <c r="GG13" s="84"/>
      <c r="GH13" s="84"/>
      <c r="GI13" s="178">
        <f>IF(COUNT(GI14,GI15)=0,"",SUM(GI14:GI15)/COUNT(GI14,GI15))</f>
        <v>4</v>
      </c>
      <c r="GJ13" s="194" t="str">
        <f t="shared" si="41"/>
        <v>A</v>
      </c>
      <c r="GK13" s="172"/>
      <c r="GL13" s="109"/>
      <c r="GM13" s="109"/>
      <c r="GN13" s="110"/>
      <c r="GO13" s="178">
        <f>IF(COUNT(GO14,GO15)=0,"",SUM(GO14:GO15)/COUNT(GO14,GO15))</f>
        <v>2</v>
      </c>
      <c r="GP13" s="202" t="str">
        <f t="shared" si="42"/>
        <v>C</v>
      </c>
      <c r="GQ13" s="203">
        <f>IF(COUNT(GQ14:GQ15)=0,"",SUM(GQ14:GQ15)/COUNT(GQ14:GQ15))</f>
        <v>3</v>
      </c>
      <c r="GR13" s="204" t="str">
        <f t="shared" si="43"/>
        <v>B</v>
      </c>
      <c r="GS13" s="215"/>
      <c r="GT13" s="84"/>
      <c r="GU13" s="104"/>
      <c r="GV13" s="178">
        <f>IF(COUNT(GV14:GV15)=0,"",SUM(GV14:GV15)/COUNT(GV14:GV15))</f>
        <v>4</v>
      </c>
      <c r="GW13" s="179" t="str">
        <f t="shared" si="44"/>
        <v>A</v>
      </c>
      <c r="GX13" s="171"/>
      <c r="GY13" s="84"/>
      <c r="GZ13" s="84"/>
      <c r="HA13" s="178">
        <f>IF(COUNT(HA14,HA15)=0,"",SUM(HA14:HA15)/COUNT(HA14,HA15))</f>
        <v>3</v>
      </c>
      <c r="HB13" s="194" t="str">
        <f t="shared" si="45"/>
        <v>B</v>
      </c>
      <c r="HC13" s="172"/>
      <c r="HD13" s="109"/>
      <c r="HE13" s="109"/>
      <c r="HF13" s="110"/>
      <c r="HG13" s="178">
        <f>IF(COUNT(HG14,HG15)=0,"",SUM(HG14:HG15)/COUNT(HG14,HG15))</f>
        <v>4</v>
      </c>
      <c r="HH13" s="202" t="str">
        <f t="shared" si="46"/>
        <v>A</v>
      </c>
      <c r="HI13" s="203">
        <f>IF(COUNT(HI14:HI15)=0,"",SUM(HI14:HI15)/COUNT(HI14:HI15))</f>
        <v>3.75</v>
      </c>
      <c r="HJ13" s="204" t="str">
        <f t="shared" si="47"/>
        <v>A</v>
      </c>
      <c r="HK13" s="215"/>
      <c r="HL13" s="84"/>
      <c r="HM13" s="104"/>
      <c r="HN13" s="178">
        <f>IF(COUNT(HN14:HN15)=0,"",SUM(HN14:HN15)/COUNT(HN14:HN15))</f>
        <v>4</v>
      </c>
      <c r="HO13" s="179" t="str">
        <f t="shared" si="48"/>
        <v>A</v>
      </c>
      <c r="HP13" s="171"/>
      <c r="HQ13" s="84"/>
      <c r="HR13" s="84"/>
      <c r="HS13" s="178">
        <f>IF(COUNT(HS14,HS15)=0,"",SUM(HS14:HS15)/COUNT(HS14,HS15))</f>
        <v>2</v>
      </c>
      <c r="HT13" s="194" t="str">
        <f t="shared" si="49"/>
        <v>C</v>
      </c>
      <c r="HU13" s="172"/>
      <c r="HV13" s="109"/>
      <c r="HW13" s="109"/>
      <c r="HX13" s="110"/>
      <c r="HY13" s="178">
        <f>IF(COUNT(HY14,HY15)=0,"",SUM(HY14:HY15)/COUNT(HY14,HY15))</f>
        <v>4</v>
      </c>
      <c r="HZ13" s="202" t="str">
        <f t="shared" si="50"/>
        <v>A</v>
      </c>
      <c r="IA13" s="203">
        <f>IF(COUNT(IA14:IA15)=0,"",SUM(IA14:IA15)/COUNT(IA14:IA15))</f>
        <v>3.5</v>
      </c>
      <c r="IB13" s="204" t="str">
        <f t="shared" si="51"/>
        <v>B</v>
      </c>
      <c r="IC13" s="215"/>
      <c r="ID13" s="84"/>
      <c r="IE13" s="104"/>
      <c r="IF13" s="178">
        <f>IF(COUNT(IF14:IF15)=0,"",SUM(IF14:IF15)/COUNT(IF14:IF15))</f>
        <v>4</v>
      </c>
      <c r="IG13" s="179" t="str">
        <f t="shared" si="52"/>
        <v>A</v>
      </c>
      <c r="IH13" s="171"/>
      <c r="II13" s="84"/>
      <c r="IJ13" s="84"/>
      <c r="IK13" s="178">
        <f>IF(COUNT(IK14,IK15)=0,"",SUM(IK14:IK15)/COUNT(IK14,IK15))</f>
        <v>3</v>
      </c>
      <c r="IL13" s="194" t="str">
        <f t="shared" si="53"/>
        <v>B</v>
      </c>
      <c r="IM13" s="172"/>
      <c r="IN13" s="109"/>
      <c r="IO13" s="109"/>
      <c r="IP13" s="110"/>
      <c r="IQ13" s="178">
        <f>IF(COUNT(IQ14,IQ15)=0,"",SUM(IQ14:IQ15)/COUNT(IQ14,IQ15))</f>
        <v>3</v>
      </c>
      <c r="IR13" s="202" t="str">
        <f t="shared" si="54"/>
        <v>B</v>
      </c>
      <c r="IS13" s="203">
        <f>IF(COUNT(IS14:IS15)=0,"",SUM(IS14:IS15)/COUNT(IS14:IS15))</f>
        <v>3.5</v>
      </c>
      <c r="IT13" s="204" t="str">
        <f t="shared" si="55"/>
        <v>B</v>
      </c>
      <c r="IU13" s="215"/>
      <c r="IV13" s="84"/>
      <c r="IW13" s="104"/>
      <c r="IX13" s="178">
        <f>IF(COUNT(IX14:IX15)=0,"",SUM(IX14:IX15)/COUNT(IX14:IX15))</f>
        <v>4</v>
      </c>
      <c r="IY13" s="179" t="str">
        <f t="shared" si="56"/>
        <v>A</v>
      </c>
      <c r="IZ13" s="171"/>
      <c r="JA13" s="84"/>
      <c r="JB13" s="84"/>
      <c r="JC13" s="178">
        <f>IF(COUNT(JC14,JC15)=0,"",SUM(JC14:JC15)/COUNT(JC14,JC15))</f>
        <v>3</v>
      </c>
      <c r="JD13" s="194" t="str">
        <f t="shared" si="57"/>
        <v>B</v>
      </c>
      <c r="JE13" s="172"/>
      <c r="JF13" s="109"/>
      <c r="JG13" s="109"/>
      <c r="JH13" s="110"/>
      <c r="JI13" s="178">
        <f>IF(COUNT(JI14,JI15)=0,"",SUM(JI14:JI15)/COUNT(JI14,JI15))</f>
        <v>2</v>
      </c>
      <c r="JJ13" s="202" t="str">
        <f t="shared" si="58"/>
        <v>C</v>
      </c>
      <c r="JK13" s="203">
        <f>IF(COUNT(JK14:JK15)=0,"",SUM(JK14:JK15)/COUNT(JK14:JK15))</f>
        <v>2.75</v>
      </c>
      <c r="JL13" s="204" t="str">
        <f t="shared" si="59"/>
        <v>C</v>
      </c>
      <c r="JM13" s="215"/>
      <c r="JN13" s="84"/>
      <c r="JO13" s="104"/>
      <c r="JP13" s="178">
        <f>IF(COUNT(JP14:JP15)=0,"",SUM(JP14:JP15)/COUNT(JP14:JP15))</f>
        <v>4</v>
      </c>
      <c r="JQ13" s="179" t="str">
        <f t="shared" si="60"/>
        <v>A</v>
      </c>
      <c r="JR13" s="171"/>
      <c r="JS13" s="84"/>
      <c r="JT13" s="84"/>
      <c r="JU13" s="178">
        <f>IF(COUNT(JU14,JU15)=0,"",SUM(JU14:JU15)/COUNT(JU14,JU15))</f>
        <v>3</v>
      </c>
      <c r="JV13" s="194" t="str">
        <f t="shared" si="61"/>
        <v>B</v>
      </c>
      <c r="JW13" s="172"/>
      <c r="JX13" s="109"/>
      <c r="JY13" s="109"/>
      <c r="JZ13" s="110"/>
      <c r="KA13" s="178" t="str">
        <f>IF(COUNT(KA14,KA15)=0,"",SUM(KA14:KA15)/COUNT(KA14,KA15))</f>
        <v/>
      </c>
      <c r="KB13" s="202" t="str">
        <f t="shared" si="62"/>
        <v/>
      </c>
      <c r="KC13" s="203">
        <f>IF(COUNT(KC14:KC15)=0,"",SUM(KC14:KC15)/COUNT(KC14:KC15))</f>
        <v>3.5</v>
      </c>
      <c r="KD13" s="204" t="str">
        <f t="shared" si="63"/>
        <v>B</v>
      </c>
      <c r="KE13" s="215"/>
      <c r="KF13" s="84"/>
      <c r="KG13" s="104"/>
      <c r="KH13" s="178">
        <f>IF(COUNT(KH14:KH15)=0,"",SUM(KH14:KH15)/COUNT(KH14:KH15))</f>
        <v>4</v>
      </c>
      <c r="KI13" s="179" t="str">
        <f t="shared" si="64"/>
        <v>A</v>
      </c>
      <c r="KJ13" s="171"/>
      <c r="KK13" s="84"/>
      <c r="KL13" s="84"/>
      <c r="KM13" s="178">
        <f>IF(COUNT(KM14,KM15)=0,"",SUM(KM14:KM15)/COUNT(KM14,KM15))</f>
        <v>4</v>
      </c>
      <c r="KN13" s="194" t="str">
        <f t="shared" si="65"/>
        <v>A</v>
      </c>
      <c r="KO13" s="172"/>
      <c r="KP13" s="109"/>
      <c r="KQ13" s="109"/>
      <c r="KR13" s="110"/>
      <c r="KS13" s="178">
        <f>IF(COUNT(KS14,KS15)=0,"",SUM(KS14:KS15)/COUNT(KS14,KS15))</f>
        <v>3</v>
      </c>
      <c r="KT13" s="202" t="str">
        <f t="shared" si="66"/>
        <v>B</v>
      </c>
      <c r="KU13" s="203">
        <f>IF(COUNT(KU14:KU15)=0,"",SUM(KU14:KU15)/COUNT(KU14:KU15))</f>
        <v>3.75</v>
      </c>
      <c r="KV13" s="204" t="str">
        <f t="shared" si="67"/>
        <v>A</v>
      </c>
      <c r="KW13" s="215"/>
      <c r="KX13" s="84"/>
      <c r="KY13" s="104"/>
      <c r="KZ13" s="178">
        <f>IF(COUNT(KZ14:KZ15)=0,"",SUM(KZ14:KZ15)/COUNT(KZ14:KZ15))</f>
        <v>4</v>
      </c>
      <c r="LA13" s="179" t="str">
        <f t="shared" si="68"/>
        <v>A</v>
      </c>
      <c r="LB13" s="171"/>
      <c r="LC13" s="84"/>
      <c r="LD13" s="84"/>
      <c r="LE13" s="178">
        <f>IF(COUNT(LE14,LE15)=0,"",SUM(LE14:LE15)/COUNT(LE14,LE15))</f>
        <v>3</v>
      </c>
      <c r="LF13" s="194" t="str">
        <f t="shared" si="69"/>
        <v>B</v>
      </c>
      <c r="LG13" s="172"/>
      <c r="LH13" s="109"/>
      <c r="LI13" s="109"/>
      <c r="LJ13" s="110"/>
      <c r="LK13" s="178">
        <f>IF(COUNT(LK14,LK15)=0,"",SUM(LK14:LK15)/COUNT(LK14,LK15))</f>
        <v>3</v>
      </c>
      <c r="LL13" s="202" t="str">
        <f t="shared" si="70"/>
        <v>B</v>
      </c>
      <c r="LM13" s="203">
        <f>IF(COUNT(LM14:LM15)=0,"",SUM(LM14:LM15)/COUNT(LM14:LM15))</f>
        <v>3.5</v>
      </c>
      <c r="LN13" s="204" t="str">
        <f t="shared" si="71"/>
        <v>B</v>
      </c>
      <c r="LO13" s="215"/>
      <c r="LP13" s="84"/>
      <c r="LQ13" s="104"/>
      <c r="LR13" s="178">
        <f>IF(COUNT(LR14:LR15)=0,"",SUM(LR14:LR15)/COUNT(LR14:LR15))</f>
        <v>4</v>
      </c>
      <c r="LS13" s="179" t="str">
        <f t="shared" si="72"/>
        <v>A</v>
      </c>
      <c r="LT13" s="171"/>
      <c r="LU13" s="84"/>
      <c r="LV13" s="84"/>
      <c r="LW13" s="178">
        <f>IF(COUNT(LW14,LW15)=0,"",SUM(LW14:LW15)/COUNT(LW14,LW15))</f>
        <v>3</v>
      </c>
      <c r="LX13" s="194" t="str">
        <f t="shared" si="73"/>
        <v>B</v>
      </c>
      <c r="LY13" s="172"/>
      <c r="LZ13" s="109"/>
      <c r="MA13" s="109"/>
      <c r="MB13" s="110"/>
      <c r="MC13" s="178">
        <f>IF(COUNT(MC14,MC15)=0,"",SUM(MC14:MC15)/COUNT(MC14,MC15))</f>
        <v>4</v>
      </c>
      <c r="MD13" s="202" t="str">
        <f t="shared" si="74"/>
        <v>A</v>
      </c>
      <c r="ME13" s="203">
        <f>IF(COUNT(ME14:ME15)=0,"",SUM(ME14:ME15)/COUNT(ME14:ME15))</f>
        <v>3.75</v>
      </c>
      <c r="MF13" s="204" t="str">
        <f t="shared" si="75"/>
        <v>A</v>
      </c>
      <c r="MG13" s="215"/>
      <c r="MH13" s="84"/>
      <c r="MI13" s="104"/>
      <c r="MJ13" s="178">
        <f>IF(COUNT(MJ14:MJ15)=0,"",SUM(MJ14:MJ15)/COUNT(MJ14:MJ15))</f>
        <v>4</v>
      </c>
      <c r="MK13" s="179" t="str">
        <f t="shared" si="76"/>
        <v>A</v>
      </c>
      <c r="ML13" s="171"/>
      <c r="MM13" s="84"/>
      <c r="MN13" s="84"/>
      <c r="MO13" s="178">
        <f>IF(COUNT(MO14,MO15)=0,"",SUM(MO14:MO15)/COUNT(MO14,MO15))</f>
        <v>2.5</v>
      </c>
      <c r="MP13" s="194" t="str">
        <f t="shared" si="77"/>
        <v>C</v>
      </c>
      <c r="MQ13" s="172"/>
      <c r="MR13" s="109"/>
      <c r="MS13" s="109"/>
      <c r="MT13" s="110"/>
      <c r="MU13" s="178">
        <f>IF(COUNT(MU14,MU15)=0,"",SUM(MU14:MU15)/COUNT(MU14,MU15))</f>
        <v>3</v>
      </c>
      <c r="MV13" s="202" t="str">
        <f t="shared" si="78"/>
        <v>B</v>
      </c>
      <c r="MW13" s="203">
        <f>IF(COUNT(MW14:MW15)=0,"",SUM(MW14:MW15)/COUNT(MW14:MW15))</f>
        <v>3.375</v>
      </c>
      <c r="MX13" s="204" t="str">
        <f t="shared" si="79"/>
        <v>B</v>
      </c>
      <c r="MY13" s="215"/>
      <c r="MZ13" s="84"/>
      <c r="NA13" s="104"/>
      <c r="NB13" s="178">
        <f>IF(COUNT(NB14:NB15)=0,"",SUM(NB14:NB15)/COUNT(NB14:NB15))</f>
        <v>4</v>
      </c>
      <c r="NC13" s="179" t="str">
        <f t="shared" si="80"/>
        <v>A</v>
      </c>
      <c r="ND13" s="171"/>
      <c r="NE13" s="84"/>
      <c r="NF13" s="84"/>
      <c r="NG13" s="178">
        <f>IF(COUNT(NG14,NG15)=0,"",SUM(NG14:NG15)/COUNT(NG14,NG15))</f>
        <v>4</v>
      </c>
      <c r="NH13" s="194" t="str">
        <f t="shared" si="81"/>
        <v>A</v>
      </c>
      <c r="NI13" s="172"/>
      <c r="NJ13" s="109"/>
      <c r="NK13" s="109"/>
      <c r="NL13" s="110"/>
      <c r="NM13" s="178">
        <f>IF(COUNT(NM14,NM15)=0,"",SUM(NM14:NM15)/COUNT(NM14,NM15))</f>
        <v>2</v>
      </c>
      <c r="NN13" s="202" t="str">
        <f t="shared" si="82"/>
        <v>C</v>
      </c>
      <c r="NO13" s="203">
        <f>IF(COUNT(NO14:NO15)=0,"",SUM(NO14:NO15)/COUNT(NO14:NO15))</f>
        <v>3</v>
      </c>
      <c r="NP13" s="204" t="str">
        <f t="shared" si="83"/>
        <v>B</v>
      </c>
      <c r="NQ13" s="215"/>
      <c r="NR13" s="84"/>
      <c r="NS13" s="104"/>
      <c r="NT13" s="178">
        <f>IF(COUNT(NT14:NT15)=0,"",SUM(NT14:NT15)/COUNT(NT14:NT15))</f>
        <v>4</v>
      </c>
      <c r="NU13" s="179" t="str">
        <f t="shared" si="84"/>
        <v>A</v>
      </c>
      <c r="NV13" s="171"/>
      <c r="NW13" s="84"/>
      <c r="NX13" s="84"/>
      <c r="NY13" s="178">
        <f>IF(COUNT(NY14,NY15)=0,"",SUM(NY14:NY15)/COUNT(NY14,NY15))</f>
        <v>2.5</v>
      </c>
      <c r="NZ13" s="194" t="str">
        <f t="shared" si="85"/>
        <v>C</v>
      </c>
      <c r="OA13" s="172"/>
      <c r="OB13" s="109"/>
      <c r="OC13" s="109"/>
      <c r="OD13" s="110"/>
      <c r="OE13" s="178" t="str">
        <f>IF(COUNT(OE14,OE15)=0,"",SUM(OE14:OE15)/COUNT(OE14,OE15))</f>
        <v/>
      </c>
      <c r="OF13" s="202" t="str">
        <f t="shared" si="86"/>
        <v/>
      </c>
      <c r="OG13" s="203">
        <f>IF(COUNT(OG14:OG15)=0,"",SUM(OG14:OG15)/COUNT(OG14:OG15))</f>
        <v>3.25</v>
      </c>
      <c r="OH13" s="204" t="str">
        <f t="shared" si="87"/>
        <v>B</v>
      </c>
      <c r="OI13" s="215"/>
      <c r="OJ13" s="84"/>
      <c r="OK13" s="104"/>
      <c r="OL13" s="178">
        <f>IF(COUNT(OL14:OL15)=0,"",SUM(OL14:OL15)/COUNT(OL14:OL15))</f>
        <v>4</v>
      </c>
      <c r="OM13" s="179" t="str">
        <f t="shared" si="88"/>
        <v>A</v>
      </c>
      <c r="ON13" s="171"/>
      <c r="OO13" s="84"/>
      <c r="OP13" s="84"/>
      <c r="OQ13" s="178">
        <f>IF(COUNT(OQ14,OQ15)=0,"",SUM(OQ14:OQ15)/COUNT(OQ14,OQ15))</f>
        <v>4</v>
      </c>
      <c r="OR13" s="194" t="str">
        <f t="shared" si="89"/>
        <v>A</v>
      </c>
      <c r="OS13" s="172"/>
      <c r="OT13" s="109"/>
      <c r="OU13" s="109"/>
      <c r="OV13" s="110"/>
      <c r="OW13" s="178">
        <f>IF(COUNT(OW14,OW15)=0,"",SUM(OW14:OW15)/COUNT(OW14,OW15))</f>
        <v>3</v>
      </c>
      <c r="OX13" s="202" t="str">
        <f t="shared" si="90"/>
        <v>B</v>
      </c>
      <c r="OY13" s="203">
        <f>IF(COUNT(OY14:OY15)=0,"",SUM(OY14:OY15)/COUNT(OY14:OY15))</f>
        <v>3.75</v>
      </c>
      <c r="OZ13" s="204" t="str">
        <f t="shared" si="91"/>
        <v>A</v>
      </c>
      <c r="PA13" s="215"/>
      <c r="PB13" s="84"/>
      <c r="PC13" s="104"/>
      <c r="PD13" s="178">
        <f>IF(COUNT(PD14:PD15)=0,"",SUM(PD14:PD15)/COUNT(PD14:PD15))</f>
        <v>4</v>
      </c>
      <c r="PE13" s="179" t="str">
        <f t="shared" si="92"/>
        <v>A</v>
      </c>
      <c r="PF13" s="171"/>
      <c r="PG13" s="84"/>
      <c r="PH13" s="84"/>
      <c r="PI13" s="178">
        <f>IF(COUNT(PI14,PI15)=0,"",SUM(PI14:PI15)/COUNT(PI14,PI15))</f>
        <v>3</v>
      </c>
      <c r="PJ13" s="194" t="str">
        <f t="shared" si="93"/>
        <v>B</v>
      </c>
      <c r="PK13" s="172"/>
      <c r="PL13" s="109"/>
      <c r="PM13" s="109"/>
      <c r="PN13" s="110"/>
      <c r="PO13" s="178">
        <f>IF(COUNT(PO14,PO15)=0,"",SUM(PO14:PO15)/COUNT(PO14,PO15))</f>
        <v>3</v>
      </c>
      <c r="PP13" s="202" t="str">
        <f t="shared" si="94"/>
        <v>B</v>
      </c>
      <c r="PQ13" s="203">
        <f>IF(COUNT(PQ14:PQ15)=0,"",SUM(PQ14:PQ15)/COUNT(PQ14:PQ15))</f>
        <v>3.5</v>
      </c>
      <c r="PR13" s="204" t="str">
        <f t="shared" si="95"/>
        <v>B</v>
      </c>
      <c r="PS13" s="215"/>
      <c r="PT13" s="84"/>
      <c r="PU13" s="104"/>
      <c r="PV13" s="178">
        <f>IF(COUNT(PV14:PV15)=0,"",SUM(PV14:PV15)/COUNT(PV14:PV15))</f>
        <v>4</v>
      </c>
      <c r="PW13" s="179" t="str">
        <f t="shared" si="96"/>
        <v>A</v>
      </c>
      <c r="PX13" s="171"/>
      <c r="PY13" s="84"/>
      <c r="PZ13" s="84"/>
      <c r="QA13" s="178">
        <f>IF(COUNT(QA14,QA15)=0,"",SUM(QA14:QA15)/COUNT(QA14,QA15))</f>
        <v>4</v>
      </c>
      <c r="QB13" s="194" t="str">
        <f t="shared" si="97"/>
        <v>A</v>
      </c>
      <c r="QC13" s="172"/>
      <c r="QD13" s="109"/>
      <c r="QE13" s="109"/>
      <c r="QF13" s="110"/>
      <c r="QG13" s="178">
        <f>IF(COUNT(QG14,QG15)=0,"",SUM(QG14:QG15)/COUNT(QG14,QG15))</f>
        <v>3</v>
      </c>
      <c r="QH13" s="202" t="str">
        <f t="shared" si="98"/>
        <v>B</v>
      </c>
      <c r="QI13" s="203">
        <f>IF(COUNT(QI14:QI15)=0,"",SUM(QI14:QI15)/COUNT(QI14:QI15))</f>
        <v>3.75</v>
      </c>
      <c r="QJ13" s="204" t="str">
        <f t="shared" si="99"/>
        <v>A</v>
      </c>
      <c r="QK13" s="215"/>
      <c r="QL13" s="84"/>
      <c r="QM13" s="104"/>
      <c r="QN13" s="178">
        <f>IF(COUNT(QN14:QN15)=0,"",SUM(QN14:QN15)/COUNT(QN14:QN15))</f>
        <v>4</v>
      </c>
      <c r="QO13" s="179" t="str">
        <f t="shared" si="100"/>
        <v>A</v>
      </c>
      <c r="QP13" s="171"/>
      <c r="QQ13" s="84"/>
      <c r="QR13" s="84"/>
      <c r="QS13" s="178">
        <f>IF(COUNT(QS14,QS15)=0,"",SUM(QS14:QS15)/COUNT(QS14,QS15))</f>
        <v>4</v>
      </c>
      <c r="QT13" s="194" t="str">
        <f t="shared" si="101"/>
        <v>A</v>
      </c>
      <c r="QU13" s="172"/>
      <c r="QV13" s="109"/>
      <c r="QW13" s="109"/>
      <c r="QX13" s="110"/>
      <c r="QY13" s="178">
        <f>IF(COUNT(QY14,QY15)=0,"",SUM(QY14:QY15)/COUNT(QY14,QY15))</f>
        <v>3</v>
      </c>
      <c r="QZ13" s="202" t="str">
        <f t="shared" si="102"/>
        <v>B</v>
      </c>
      <c r="RA13" s="203">
        <f>IF(COUNT(RA14:RA15)=0,"",SUM(RA14:RA15)/COUNT(RA14:RA15))</f>
        <v>3.75</v>
      </c>
      <c r="RB13" s="204" t="str">
        <f t="shared" si="103"/>
        <v>A</v>
      </c>
      <c r="RC13" s="215"/>
      <c r="RD13" s="84"/>
      <c r="RE13" s="104"/>
      <c r="RF13" s="178">
        <f>IF(COUNT(RF14:RF15)=0,"",SUM(RF14:RF15)/COUNT(RF14:RF15))</f>
        <v>4</v>
      </c>
      <c r="RG13" s="179" t="str">
        <f t="shared" si="104"/>
        <v>A</v>
      </c>
      <c r="RH13" s="171"/>
      <c r="RI13" s="84"/>
      <c r="RJ13" s="84"/>
      <c r="RK13" s="178">
        <f>IF(COUNT(RK14,RK15)=0,"",SUM(RK14:RK15)/COUNT(RK14,RK15))</f>
        <v>2.5</v>
      </c>
      <c r="RL13" s="194" t="str">
        <f t="shared" si="105"/>
        <v>C</v>
      </c>
      <c r="RM13" s="172"/>
      <c r="RN13" s="109"/>
      <c r="RO13" s="109"/>
      <c r="RP13" s="110"/>
      <c r="RQ13" s="178">
        <f>IF(COUNT(RQ14,RQ15)=0,"",SUM(RQ14:RQ15)/COUNT(RQ14,RQ15))</f>
        <v>4</v>
      </c>
      <c r="RR13" s="202" t="str">
        <f t="shared" si="106"/>
        <v>A</v>
      </c>
      <c r="RS13" s="203">
        <f>IF(COUNT(RS14:RS15)=0,"",SUM(RS14:RS15)/COUNT(RS14:RS15))</f>
        <v>3.625</v>
      </c>
      <c r="RT13" s="204" t="str">
        <f t="shared" si="107"/>
        <v>B</v>
      </c>
      <c r="RU13" s="140"/>
      <c r="RV13" s="84"/>
      <c r="RW13" s="104"/>
      <c r="RX13" s="105" t="str">
        <f>IF(COUNT(RX14:RX15)=0,"",SUM(RX14:RX15)/COUNT(RX14:RX15))</f>
        <v/>
      </c>
      <c r="RY13" s="106" t="str">
        <f t="shared" si="108"/>
        <v/>
      </c>
      <c r="RZ13" s="103"/>
      <c r="SA13" s="84"/>
      <c r="SB13" s="104"/>
      <c r="SC13" s="105" t="str">
        <f>IF(COUNT(SC14,SC15)=0,"",SUM(SC14:SC15)/COUNT(SC14,SC15))</f>
        <v/>
      </c>
      <c r="SD13" s="107" t="str">
        <f t="shared" si="109"/>
        <v/>
      </c>
      <c r="SE13" s="108"/>
      <c r="SF13" s="109"/>
      <c r="SG13" s="110"/>
      <c r="SH13" s="105" t="str">
        <f>IF(COUNT(SH14,SH15)=0,"",SUM(SH14:SH15)/COUNT(SH14,SH15))</f>
        <v/>
      </c>
      <c r="SI13" s="111" t="str">
        <f t="shared" si="110"/>
        <v/>
      </c>
      <c r="SJ13" s="112" t="str">
        <f>IF(COUNT(SJ14:SJ15)=0,"",SUM(SJ14:SJ15)/COUNT(SJ14:SJ15))</f>
        <v/>
      </c>
      <c r="SK13" s="113" t="str">
        <f t="shared" si="111"/>
        <v/>
      </c>
      <c r="SL13" s="140"/>
      <c r="SM13" s="84"/>
      <c r="SN13" s="104"/>
      <c r="SO13" s="105" t="str">
        <f>IF(COUNT(SO14:SO15)=0,"",SUM(SO14:SO15)/COUNT(SO14:SO15))</f>
        <v/>
      </c>
      <c r="SP13" s="106" t="str">
        <f t="shared" si="112"/>
        <v/>
      </c>
      <c r="SQ13" s="103"/>
      <c r="SR13" s="84"/>
      <c r="SS13" s="104"/>
      <c r="ST13" s="105" t="str">
        <f>IF(COUNT(ST14,ST15)=0,"",SUM(ST14:ST15)/COUNT(ST14,ST15))</f>
        <v/>
      </c>
      <c r="SU13" s="107" t="str">
        <f t="shared" si="113"/>
        <v/>
      </c>
      <c r="SV13" s="108"/>
      <c r="SW13" s="109"/>
      <c r="SX13" s="110"/>
      <c r="SY13" s="105" t="str">
        <f>IF(COUNT(SY14,SY15)=0,"",SUM(SY14:SY15)/COUNT(SY14,SY15))</f>
        <v/>
      </c>
      <c r="SZ13" s="111" t="str">
        <f t="shared" si="114"/>
        <v/>
      </c>
      <c r="TA13" s="112" t="str">
        <f>IF(COUNT(TA14:TA15)=0,"",SUM(TA14:TA15)/COUNT(TA14:TA15))</f>
        <v/>
      </c>
      <c r="TB13" s="113" t="str">
        <f t="shared" si="115"/>
        <v/>
      </c>
      <c r="TC13" s="140"/>
      <c r="TD13" s="84"/>
      <c r="TE13" s="104"/>
      <c r="TF13" s="105" t="str">
        <f>IF(COUNT(TF14:TF15)=0,"",SUM(TF14:TF15)/COUNT(TF14:TF15))</f>
        <v/>
      </c>
      <c r="TG13" s="106" t="str">
        <f t="shared" si="116"/>
        <v/>
      </c>
      <c r="TH13" s="103"/>
      <c r="TI13" s="84"/>
      <c r="TJ13" s="104"/>
      <c r="TK13" s="105" t="str">
        <f>IF(COUNT(TK14,TK15)=0,"",SUM(TK14:TK15)/COUNT(TK14,TK15))</f>
        <v/>
      </c>
      <c r="TL13" s="107" t="str">
        <f t="shared" si="117"/>
        <v/>
      </c>
      <c r="TM13" s="108"/>
      <c r="TN13" s="109"/>
      <c r="TO13" s="110"/>
      <c r="TP13" s="105" t="str">
        <f>IF(COUNT(TP14,TP15)=0,"",SUM(TP14:TP15)/COUNT(TP14,TP15))</f>
        <v/>
      </c>
      <c r="TQ13" s="111" t="str">
        <f t="shared" si="118"/>
        <v/>
      </c>
      <c r="TR13" s="112" t="str">
        <f>IF(COUNT(TR14:TR15)=0,"",SUM(TR14:TR15)/COUNT(TR14:TR15))</f>
        <v/>
      </c>
      <c r="TS13" s="113" t="str">
        <f t="shared" si="119"/>
        <v/>
      </c>
    </row>
    <row r="14" spans="1:539" ht="18" customHeight="1" x14ac:dyDescent="0.25">
      <c r="A14" s="234" t="s">
        <v>19</v>
      </c>
      <c r="B14" s="235"/>
      <c r="C14" s="122" t="s">
        <v>27</v>
      </c>
      <c r="D14" s="123"/>
      <c r="E14" s="124"/>
      <c r="F14" s="180">
        <f>IFERROR((((COUNTIF('Elève (5ème3)'!C14:E14,"A"))*4)+((COUNTIF('Elève (5ème3)'!C14:E14,"B"))*3)+((COUNTIF('Elève (5ème3)'!C14:E14,"C"))*2)+((COUNTIF('Elève (5ème3)'!C14:E14,"D"))*1))/(COUNTA(C14:E14)),"")</f>
        <v>4</v>
      </c>
      <c r="G14" s="181" t="str">
        <f t="shared" si="0"/>
        <v>A</v>
      </c>
      <c r="H14" s="122"/>
      <c r="I14" s="123"/>
      <c r="J14" s="124"/>
      <c r="K14" s="180" t="str">
        <f>IFERROR((((COUNTIF('Elève (5ème3)'!H14:J14,"A"))*4)+((COUNTIF('Elève (5ème3)'!H14:J14,"B"))*3)+((COUNTIF('Elève (5ème3)'!H14:J14,"C"))*2)+((COUNTIF('Elève (5ème3)'!H14:J14,"D"))*1))/(COUNTA(H14:J14)),"")</f>
        <v/>
      </c>
      <c r="L14" s="181" t="str">
        <f t="shared" si="1"/>
        <v/>
      </c>
      <c r="M14" s="122"/>
      <c r="N14" s="123"/>
      <c r="O14" s="124"/>
      <c r="P14" s="124"/>
      <c r="Q14" s="180" t="str">
        <f>IFERROR((((COUNTIF('Elève (5ème3)'!M14:P14,"A"))*4)+((COUNTIF('Elève (5ème3)'!M14:P14,"B"))*3)+((COUNTIF('Elève (5ème3)'!M14:P14,"C"))*2)+((COUNTIF('Elève (5ème3)'!M14:P14,"D"))*1))/(COUNTA(M14:P14)),"")</f>
        <v/>
      </c>
      <c r="R14" s="181" t="str">
        <f t="shared" si="2"/>
        <v/>
      </c>
      <c r="S14" s="180">
        <f>IF(COUNT(F14,K14,Q14)=0,"",SUM(F14,K14,Q14)/COUNT(F14,K14,Q14))</f>
        <v>4</v>
      </c>
      <c r="T14" s="205" t="str">
        <f t="shared" si="3"/>
        <v>A</v>
      </c>
      <c r="U14" s="122" t="s">
        <v>27</v>
      </c>
      <c r="V14" s="123"/>
      <c r="W14" s="124"/>
      <c r="X14" s="180">
        <f>IFERROR((((COUNTIF('Elève (5ème3)'!U14:W14,"A"))*4)+((COUNTIF('Elève (5ème3)'!U14:W14,"B"))*3)+((COUNTIF('Elève (5ème3)'!U14:W14,"C"))*2)+((COUNTIF('Elève (5ème3)'!U14:W14,"D"))*1))/(COUNTA(U14:W14)),"")</f>
        <v>4</v>
      </c>
      <c r="Y14" s="181" t="str">
        <f t="shared" si="4"/>
        <v>A</v>
      </c>
      <c r="Z14" s="122"/>
      <c r="AA14" s="123"/>
      <c r="AB14" s="124"/>
      <c r="AC14" s="180" t="str">
        <f>IFERROR((((COUNTIF('Elève (5ème3)'!Z14:AB14,"A"))*4)+((COUNTIF('Elève (5ème3)'!Z14:AB14,"B"))*3)+((COUNTIF('Elève (5ème3)'!Z14:AB14,"C"))*2)+((COUNTIF('Elève (5ème3)'!Z14:AB14,"D"))*1))/(COUNTA(Z14:AB14)),"")</f>
        <v/>
      </c>
      <c r="AD14" s="181" t="str">
        <f t="shared" si="5"/>
        <v/>
      </c>
      <c r="AE14" s="122"/>
      <c r="AF14" s="123"/>
      <c r="AG14" s="124"/>
      <c r="AH14" s="128"/>
      <c r="AI14" s="180" t="str">
        <f>IFERROR((((COUNTIF('Elève (5ème3)'!AE14:AH14,"A"))*4)+((COUNTIF('Elève (5ème3)'!AE14:AH14,"B"))*3)+((COUNTIF('Elève (5ème3)'!AE14:AH14,"C"))*2)+((COUNTIF('Elève (5ème3)'!AE14:AH14,"D"))*1))/(COUNTA(AE14:AH14)),"")</f>
        <v/>
      </c>
      <c r="AJ14" s="181" t="str">
        <f t="shared" si="6"/>
        <v/>
      </c>
      <c r="AK14" s="180">
        <f>IF(COUNT(X14,AC14,AI14)=0,"",SUM(X14,AC14,AI14)/COUNT(X14,AC14,AI14))</f>
        <v>4</v>
      </c>
      <c r="AL14" s="205" t="str">
        <f t="shared" si="7"/>
        <v>A</v>
      </c>
      <c r="AM14" s="122" t="s">
        <v>27</v>
      </c>
      <c r="AN14" s="123"/>
      <c r="AO14" s="124"/>
      <c r="AP14" s="180">
        <f>IFERROR((((COUNTIF('Elève (5ème3)'!AM14:AO14,"A"))*4)+((COUNTIF('Elève (5ème3)'!AM14:AO14,"B"))*3)+((COUNTIF('Elève (5ème3)'!AM14:AO14,"C"))*2)+((COUNTIF('Elève (5ème3)'!AM14:AO14,"D"))*1))/(COUNTA(AM14:AO14)),"")</f>
        <v>4</v>
      </c>
      <c r="AQ14" s="181" t="str">
        <f t="shared" si="8"/>
        <v>A</v>
      </c>
      <c r="AR14" s="122"/>
      <c r="AS14" s="123"/>
      <c r="AT14" s="124"/>
      <c r="AU14" s="180" t="str">
        <f>IFERROR((((COUNTIF('Elève (5ème3)'!AR14:AT14,"A"))*4)+((COUNTIF('Elève (5ème3)'!AR14:AT14,"B"))*3)+((COUNTIF('Elève (5ème3)'!AR14:AT14,"C"))*2)+((COUNTIF('Elève (5ème3)'!AR14:AT14,"D"))*1))/(COUNTA(AR14:AT14)),"")</f>
        <v/>
      </c>
      <c r="AV14" s="181" t="str">
        <f t="shared" si="9"/>
        <v/>
      </c>
      <c r="AW14" s="122"/>
      <c r="AX14" s="123"/>
      <c r="AY14" s="124"/>
      <c r="AZ14" s="128"/>
      <c r="BA14" s="180" t="str">
        <f>IFERROR((((COUNTIF('Elève (5ème3)'!AW14:AZ14,"A"))*4)+((COUNTIF('Elève (5ème3)'!AW14:AZ14,"B"))*3)+((COUNTIF('Elève (5ème3)'!AW14:AZ14,"C"))*2)+((COUNTIF('Elève (5ème3)'!AW14:AZ14,"D"))*1))/(COUNTA(AW14:AZ14)),"")</f>
        <v/>
      </c>
      <c r="BB14" s="181" t="str">
        <f t="shared" si="10"/>
        <v/>
      </c>
      <c r="BC14" s="180">
        <f>IF(COUNT(AP14,AU14,BA14)=0,"",SUM(AP14,AU14,BA14)/COUNT(AP14,AU14,BA14))</f>
        <v>4</v>
      </c>
      <c r="BD14" s="205" t="str">
        <f t="shared" si="11"/>
        <v>A</v>
      </c>
      <c r="BE14" s="122" t="s">
        <v>27</v>
      </c>
      <c r="BF14" s="123"/>
      <c r="BG14" s="124"/>
      <c r="BH14" s="180">
        <f>IFERROR((((COUNTIF('Elève (5ème3)'!BE14:BG14,"A"))*4)+((COUNTIF('Elève (5ème3)'!BE14:BG14,"B"))*3)+((COUNTIF('Elève (5ème3)'!BE14:BG14,"C"))*2)+((COUNTIF('Elève (5ème3)'!BE14:BG14,"D"))*1))/(COUNTA(BE14:BG14)),"")</f>
        <v>4</v>
      </c>
      <c r="BI14" s="181" t="str">
        <f t="shared" si="12"/>
        <v>A</v>
      </c>
      <c r="BJ14" s="122"/>
      <c r="BK14" s="123"/>
      <c r="BL14" s="124"/>
      <c r="BM14" s="180" t="str">
        <f>IFERROR((((COUNTIF('Elève (5ème3)'!BJ14:BL14,"A"))*4)+((COUNTIF('Elève (5ème3)'!BJ14:BL14,"B"))*3)+((COUNTIF('Elève (5ème3)'!BJ14:BL14,"C"))*2)+((COUNTIF('Elève (5ème3)'!BJ14:BL14,"D"))*1))/(COUNTA(BJ14:BL14)),"")</f>
        <v/>
      </c>
      <c r="BN14" s="181" t="str">
        <f t="shared" si="13"/>
        <v/>
      </c>
      <c r="BO14" s="122"/>
      <c r="BP14" s="123"/>
      <c r="BQ14" s="124"/>
      <c r="BR14" s="128"/>
      <c r="BS14" s="180" t="str">
        <f>IFERROR((((COUNTIF('Elève (5ème3)'!BO14:BR14,"A"))*4)+((COUNTIF('Elève (5ème3)'!BO14:BR14,"B"))*3)+((COUNTIF('Elève (5ème3)'!BO14:BR14,"C"))*2)+((COUNTIF('Elève (5ème3)'!BO14:BR14,"D"))*1))/(COUNTA(BO14:BR14)),"")</f>
        <v/>
      </c>
      <c r="BT14" s="181" t="str">
        <f t="shared" si="14"/>
        <v/>
      </c>
      <c r="BU14" s="180">
        <f>IF(COUNT(BH14,BM14,BS14)=0,"",SUM(BH14,BM14,BS14)/COUNT(BH14,BM14,BS14))</f>
        <v>4</v>
      </c>
      <c r="BV14" s="205" t="str">
        <f t="shared" si="15"/>
        <v>A</v>
      </c>
      <c r="BW14" s="122" t="s">
        <v>27</v>
      </c>
      <c r="BX14" s="123"/>
      <c r="BY14" s="124"/>
      <c r="BZ14" s="180">
        <f>IFERROR((((COUNTIF('Elève (5ème3)'!BW14:BY14,"A"))*4)+((COUNTIF('Elève (5ème3)'!BW14:BY14,"B"))*3)+((COUNTIF('Elève (5ème3)'!BW14:BY14,"C"))*2)+((COUNTIF('Elève (5ème3)'!BW14:BY14,"D"))*1))/(COUNTA(BW14:BY14)),"")</f>
        <v>4</v>
      </c>
      <c r="CA14" s="181" t="str">
        <f t="shared" si="16"/>
        <v>A</v>
      </c>
      <c r="CB14" s="122"/>
      <c r="CC14" s="123"/>
      <c r="CD14" s="124"/>
      <c r="CE14" s="180" t="str">
        <f>IFERROR((((COUNTIF('Elève (5ème3)'!CB14:CD14,"A"))*4)+((COUNTIF('Elève (5ème3)'!CB14:CD14,"B"))*3)+((COUNTIF('Elève (5ème3)'!CB14:CD14,"C"))*2)+((COUNTIF('Elève (5ème3)'!CB14:CD14,"D"))*1))/(COUNTA(CB14:CD14)),"")</f>
        <v/>
      </c>
      <c r="CF14" s="181" t="str">
        <f t="shared" si="17"/>
        <v/>
      </c>
      <c r="CG14" s="122"/>
      <c r="CH14" s="123"/>
      <c r="CI14" s="124"/>
      <c r="CJ14" s="128"/>
      <c r="CK14" s="180" t="str">
        <f>IFERROR((((COUNTIF('Elève (5ème3)'!CG14:CJ14,"A"))*4)+((COUNTIF('Elève (5ème3)'!CG14:CJ14,"B"))*3)+((COUNTIF('Elève (5ème3)'!CG14:CJ14,"C"))*2)+((COUNTIF('Elève (5ème3)'!CG14:CJ14,"D"))*1))/(COUNTA(CG14:CJ14)),"")</f>
        <v/>
      </c>
      <c r="CL14" s="181" t="str">
        <f t="shared" si="18"/>
        <v/>
      </c>
      <c r="CM14" s="180">
        <f>IF(COUNT(BZ14,CE14,CK14)=0,"",SUM(BZ14,CE14,CK14)/COUNT(BZ14,CE14,CK14))</f>
        <v>4</v>
      </c>
      <c r="CN14" s="205" t="str">
        <f t="shared" si="19"/>
        <v>A</v>
      </c>
      <c r="CO14" s="122" t="s">
        <v>27</v>
      </c>
      <c r="CP14" s="123"/>
      <c r="CQ14" s="124"/>
      <c r="CR14" s="180">
        <f>IFERROR((((COUNTIF('Elève (5ème3)'!CO14:CQ14,"A"))*4)+((COUNTIF('Elève (5ème3)'!CO14:CQ14,"B"))*3)+((COUNTIF('Elève (5ème3)'!CO14:CQ14,"C"))*2)+((COUNTIF('Elève (5ème3)'!CO14:CQ14,"D"))*1))/(COUNTA(CO14:CQ14)),"")</f>
        <v>4</v>
      </c>
      <c r="CS14" s="181" t="str">
        <f t="shared" si="20"/>
        <v>A</v>
      </c>
      <c r="CT14" s="122"/>
      <c r="CU14" s="123"/>
      <c r="CV14" s="124"/>
      <c r="CW14" s="180" t="str">
        <f>IFERROR((((COUNTIF('Elève (5ème3)'!CT14:CV14,"A"))*4)+((COUNTIF('Elève (5ème3)'!CT14:CV14,"B"))*3)+((COUNTIF('Elève (5ème3)'!CT14:CV14,"C"))*2)+((COUNTIF('Elève (5ème3)'!CT14:CV14,"D"))*1))/(COUNTA(CT14:CV14)),"")</f>
        <v/>
      </c>
      <c r="CX14" s="181" t="str">
        <f t="shared" si="21"/>
        <v/>
      </c>
      <c r="CY14" s="122"/>
      <c r="CZ14" s="123"/>
      <c r="DA14" s="124"/>
      <c r="DB14" s="128"/>
      <c r="DC14" s="180" t="str">
        <f>IFERROR((((COUNTIF('Elève (5ème3)'!CY14:DB14,"A"))*4)+((COUNTIF('Elève (5ème3)'!CY14:DB14,"B"))*3)+((COUNTIF('Elève (5ème3)'!CY14:DB14,"C"))*2)+((COUNTIF('Elève (5ème3)'!CY14:DB14,"D"))*1))/(COUNTA(CY14:DB14)),"")</f>
        <v/>
      </c>
      <c r="DD14" s="181" t="str">
        <f t="shared" si="22"/>
        <v/>
      </c>
      <c r="DE14" s="180">
        <f>IF(COUNT(CR14,CW14,DC14)=0,"",SUM(CR14,CW14,DC14)/COUNT(CR14,CW14,DC14))</f>
        <v>4</v>
      </c>
      <c r="DF14" s="205" t="str">
        <f t="shared" si="23"/>
        <v>A</v>
      </c>
      <c r="DG14" s="122" t="s">
        <v>27</v>
      </c>
      <c r="DH14" s="123"/>
      <c r="DI14" s="124"/>
      <c r="DJ14" s="180">
        <f>IFERROR((((COUNTIF('Elève (5ème3)'!DG14:DI14,"A"))*4)+((COUNTIF('Elève (5ème3)'!DG14:DI14,"B"))*3)+((COUNTIF('Elève (5ème3)'!DG14:DI14,"C"))*2)+((COUNTIF('Elève (5ème3)'!DG14:DI14,"D"))*1))/(COUNTA(DG14:DI14)),"")</f>
        <v>4</v>
      </c>
      <c r="DK14" s="181" t="str">
        <f t="shared" si="24"/>
        <v>A</v>
      </c>
      <c r="DL14" s="122"/>
      <c r="DM14" s="123"/>
      <c r="DN14" s="124"/>
      <c r="DO14" s="180" t="str">
        <f>IFERROR((((COUNTIF('Elève (5ème3)'!DL14:DN14,"A"))*4)+((COUNTIF('Elève (5ème3)'!DL14:DN14,"B"))*3)+((COUNTIF('Elève (5ème3)'!DL14:DN14,"C"))*2)+((COUNTIF('Elève (5ème3)'!DL14:DN14,"D"))*1))/(COUNTA(DL14:DN14)),"")</f>
        <v/>
      </c>
      <c r="DP14" s="181" t="str">
        <f t="shared" si="25"/>
        <v/>
      </c>
      <c r="DQ14" s="122"/>
      <c r="DR14" s="123"/>
      <c r="DS14" s="124"/>
      <c r="DT14" s="128"/>
      <c r="DU14" s="180" t="str">
        <f>IFERROR((((COUNTIF('Elève (5ème3)'!DQ14:DT14,"A"))*4)+((COUNTIF('Elève (5ème3)'!DQ14:DT14,"B"))*3)+((COUNTIF('Elève (5ème3)'!DQ14:DT14,"C"))*2)+((COUNTIF('Elève (5ème3)'!DQ14:DT14,"D"))*1))/(COUNTA(DQ14:DT14)),"")</f>
        <v/>
      </c>
      <c r="DV14" s="181" t="str">
        <f t="shared" si="26"/>
        <v/>
      </c>
      <c r="DW14" s="180">
        <f>IF(COUNT(DJ14,DO14,DU14)=0,"",SUM(DJ14,DO14,DU14)/COUNT(DJ14,DO14,DU14))</f>
        <v>4</v>
      </c>
      <c r="DX14" s="205" t="str">
        <f t="shared" si="27"/>
        <v>A</v>
      </c>
      <c r="DY14" s="122" t="s">
        <v>27</v>
      </c>
      <c r="DZ14" s="123"/>
      <c r="EA14" s="124"/>
      <c r="EB14" s="180">
        <f>IFERROR((((COUNTIF('Elève (5ème3)'!DY14:EA14,"A"))*4)+((COUNTIF('Elève (5ème3)'!DY14:EA14,"B"))*3)+((COUNTIF('Elève (5ème3)'!DY14:EA14,"C"))*2)+((COUNTIF('Elève (5ème3)'!DY14:EA14,"D"))*1))/(COUNTA(DY14:EA14)),"")</f>
        <v>4</v>
      </c>
      <c r="EC14" s="181" t="str">
        <f t="shared" si="28"/>
        <v>A</v>
      </c>
      <c r="ED14" s="122"/>
      <c r="EE14" s="123"/>
      <c r="EF14" s="124"/>
      <c r="EG14" s="180" t="str">
        <f>IFERROR((((COUNTIF('Elève (5ème3)'!ED14:EF14,"A"))*4)+((COUNTIF('Elève (5ème3)'!ED14:EF14,"B"))*3)+((COUNTIF('Elève (5ème3)'!ED14:EF14,"C"))*2)+((COUNTIF('Elève (5ème3)'!ED14:EF14,"D"))*1))/(COUNTA(ED14:EF14)),"")</f>
        <v/>
      </c>
      <c r="EH14" s="181" t="str">
        <f t="shared" si="29"/>
        <v/>
      </c>
      <c r="EI14" s="122"/>
      <c r="EJ14" s="123"/>
      <c r="EK14" s="124"/>
      <c r="EL14" s="128"/>
      <c r="EM14" s="180" t="str">
        <f>IFERROR((((COUNTIF('Elève (5ème3)'!EI14:EL14,"A"))*4)+((COUNTIF('Elève (5ème3)'!EI14:EL14,"B"))*3)+((COUNTIF('Elève (5ème3)'!EI14:EL14,"C"))*2)+((COUNTIF('Elève (5ème3)'!EI14:EL14,"D"))*1))/(COUNTA(EI14:EL14)),"")</f>
        <v/>
      </c>
      <c r="EN14" s="181" t="str">
        <f t="shared" si="30"/>
        <v/>
      </c>
      <c r="EO14" s="180">
        <f>IF(COUNT(EB14,EG14,EM14)=0,"",SUM(EB14,EG14,EM14)/COUNT(EB14,EG14,EM14))</f>
        <v>4</v>
      </c>
      <c r="EP14" s="205" t="str">
        <f t="shared" si="31"/>
        <v>A</v>
      </c>
      <c r="EQ14" s="122" t="s">
        <v>27</v>
      </c>
      <c r="ER14" s="123"/>
      <c r="ES14" s="124"/>
      <c r="ET14" s="180">
        <f>IFERROR((((COUNTIF('Elève (5ème3)'!EQ14:ES14,"A"))*4)+((COUNTIF('Elève (5ème3)'!EQ14:ES14,"B"))*3)+((COUNTIF('Elève (5ème3)'!EQ14:ES14,"C"))*2)+((COUNTIF('Elève (5ème3)'!EQ14:ES14,"D"))*1))/(COUNTA(EQ14:ES14)),"")</f>
        <v>4</v>
      </c>
      <c r="EU14" s="181" t="str">
        <f t="shared" si="32"/>
        <v>A</v>
      </c>
      <c r="EV14" s="122"/>
      <c r="EW14" s="123"/>
      <c r="EX14" s="124"/>
      <c r="EY14" s="180" t="str">
        <f>IFERROR((((COUNTIF('Elève (5ème3)'!EV14:EX14,"A"))*4)+((COUNTIF('Elève (5ème3)'!EV14:EX14,"B"))*3)+((COUNTIF('Elève (5ème3)'!EV14:EX14,"C"))*2)+((COUNTIF('Elève (5ème3)'!EV14:EX14,"D"))*1))/(COUNTA(EV14:EX14)),"")</f>
        <v/>
      </c>
      <c r="EZ14" s="181" t="str">
        <f t="shared" si="33"/>
        <v/>
      </c>
      <c r="FA14" s="122"/>
      <c r="FB14" s="123"/>
      <c r="FC14" s="124"/>
      <c r="FD14" s="128"/>
      <c r="FE14" s="180" t="str">
        <f>IFERROR((((COUNTIF('Elève (5ème3)'!FA14:FD14,"A"))*4)+((COUNTIF('Elève (5ème3)'!FA14:FD14,"B"))*3)+((COUNTIF('Elève (5ème3)'!FA14:FD14,"C"))*2)+((COUNTIF('Elève (5ème3)'!FA14:FD14,"D"))*1))/(COUNTA(FA14:FD14)),"")</f>
        <v/>
      </c>
      <c r="FF14" s="181" t="str">
        <f t="shared" si="34"/>
        <v/>
      </c>
      <c r="FG14" s="180">
        <f>IF(COUNT(ET14,EY14,FE14)=0,"",SUM(ET14,EY14,FE14)/COUNT(ET14,EY14,FE14))</f>
        <v>4</v>
      </c>
      <c r="FH14" s="205" t="str">
        <f t="shared" si="35"/>
        <v>A</v>
      </c>
      <c r="FI14" s="122" t="s">
        <v>27</v>
      </c>
      <c r="FJ14" s="123"/>
      <c r="FK14" s="124"/>
      <c r="FL14" s="180">
        <f>IFERROR((((COUNTIF('Elève (5ème3)'!FI14:FK14,"A"))*4)+((COUNTIF('Elève (5ème3)'!FI14:FK14,"B"))*3)+((COUNTIF('Elève (5ème3)'!FI14:FK14,"C"))*2)+((COUNTIF('Elève (5ème3)'!FI14:FK14,"D"))*1))/(COUNTA(FI14:FK14)),"")</f>
        <v>4</v>
      </c>
      <c r="FM14" s="181" t="str">
        <f t="shared" si="36"/>
        <v>A</v>
      </c>
      <c r="FN14" s="122"/>
      <c r="FO14" s="123"/>
      <c r="FP14" s="124"/>
      <c r="FQ14" s="180" t="str">
        <f>IFERROR((((COUNTIF('Elève (5ème3)'!FN14:FP14,"A"))*4)+((COUNTIF('Elève (5ème3)'!FN14:FP14,"B"))*3)+((COUNTIF('Elève (5ème3)'!FN14:FP14,"C"))*2)+((COUNTIF('Elève (5ème3)'!FN14:FP14,"D"))*1))/(COUNTA(FN14:FP14)),"")</f>
        <v/>
      </c>
      <c r="FR14" s="181" t="str">
        <f t="shared" si="37"/>
        <v/>
      </c>
      <c r="FS14" s="122"/>
      <c r="FT14" s="123"/>
      <c r="FU14" s="124"/>
      <c r="FV14" s="128"/>
      <c r="FW14" s="180" t="str">
        <f>IFERROR((((COUNTIF('Elève (5ème3)'!FS14:FV14,"A"))*4)+((COUNTIF('Elève (5ème3)'!FS14:FV14,"B"))*3)+((COUNTIF('Elève (5ème3)'!FS14:FV14,"C"))*2)+((COUNTIF('Elève (5ème3)'!FS14:FV14,"D"))*1))/(COUNTA(FS14:FV14)),"")</f>
        <v/>
      </c>
      <c r="FX14" s="181" t="str">
        <f t="shared" si="38"/>
        <v/>
      </c>
      <c r="FY14" s="180">
        <f>IF(COUNT(FL14,FQ14,FW14)=0,"",SUM(FL14,FQ14,FW14)/COUNT(FL14,FQ14,FW14))</f>
        <v>4</v>
      </c>
      <c r="FZ14" s="205" t="str">
        <f t="shared" si="39"/>
        <v>A</v>
      </c>
      <c r="GA14" s="122" t="s">
        <v>28</v>
      </c>
      <c r="GB14" s="123"/>
      <c r="GC14" s="124"/>
      <c r="GD14" s="180">
        <f>IFERROR((((COUNTIF('Elève (5ème3)'!GA14:GC14,"A"))*4)+((COUNTIF('Elève (5ème3)'!GA14:GC14,"B"))*3)+((COUNTIF('Elève (5ème3)'!GA14:GC14,"C"))*2)+((COUNTIF('Elève (5ème3)'!GA14:GC14,"D"))*1))/(COUNTA(GA14:GC14)),"")</f>
        <v>3</v>
      </c>
      <c r="GE14" s="181" t="str">
        <f t="shared" si="40"/>
        <v>B</v>
      </c>
      <c r="GF14" s="122"/>
      <c r="GG14" s="123"/>
      <c r="GH14" s="124"/>
      <c r="GI14" s="180" t="str">
        <f>IFERROR((((COUNTIF('Elève (5ème3)'!GF14:GH14,"A"))*4)+((COUNTIF('Elève (5ème3)'!GF14:GH14,"B"))*3)+((COUNTIF('Elève (5ème3)'!GF14:GH14,"C"))*2)+((COUNTIF('Elève (5ème3)'!GF14:GH14,"D"))*1))/(COUNTA(GF14:GH14)),"")</f>
        <v/>
      </c>
      <c r="GJ14" s="181" t="str">
        <f t="shared" si="41"/>
        <v/>
      </c>
      <c r="GK14" s="122"/>
      <c r="GL14" s="123"/>
      <c r="GM14" s="124"/>
      <c r="GN14" s="128"/>
      <c r="GO14" s="180" t="str">
        <f>IFERROR((((COUNTIF('Elève (5ème3)'!GK14:GN14,"A"))*4)+((COUNTIF('Elève (5ème3)'!GK14:GN14,"B"))*3)+((COUNTIF('Elève (5ème3)'!GK14:GN14,"C"))*2)+((COUNTIF('Elève (5ème3)'!GK14:GN14,"D"))*1))/(COUNTA(GK14:GN14)),"")</f>
        <v/>
      </c>
      <c r="GP14" s="181" t="str">
        <f t="shared" si="42"/>
        <v/>
      </c>
      <c r="GQ14" s="180">
        <f>IF(COUNT(GD14,GI14,GO14)=0,"",SUM(GD14,GI14,GO14)/COUNT(GD14,GI14,GO14))</f>
        <v>3</v>
      </c>
      <c r="GR14" s="205" t="str">
        <f t="shared" si="43"/>
        <v>B</v>
      </c>
      <c r="GS14" s="122" t="s">
        <v>27</v>
      </c>
      <c r="GT14" s="123"/>
      <c r="GU14" s="124"/>
      <c r="GV14" s="180">
        <f>IFERROR((((COUNTIF('Elève (5ème3)'!GS14:GU14,"A"))*4)+((COUNTIF('Elève (5ème3)'!GS14:GU14,"B"))*3)+((COUNTIF('Elève (5ème3)'!GS14:GU14,"C"))*2)+((COUNTIF('Elève (5ème3)'!GS14:GU14,"D"))*1))/(COUNTA(GS14:GU14)),"")</f>
        <v>4</v>
      </c>
      <c r="GW14" s="181" t="str">
        <f t="shared" si="44"/>
        <v>A</v>
      </c>
      <c r="GX14" s="122"/>
      <c r="GY14" s="123"/>
      <c r="GZ14" s="124"/>
      <c r="HA14" s="180" t="str">
        <f>IFERROR((((COUNTIF('Elève (5ème3)'!GX14:GZ14,"A"))*4)+((COUNTIF('Elève (5ème3)'!GX14:GZ14,"B"))*3)+((COUNTIF('Elève (5ème3)'!GX14:GZ14,"C"))*2)+((COUNTIF('Elève (5ème3)'!GX14:GZ14,"D"))*1))/(COUNTA(GX14:GZ14)),"")</f>
        <v/>
      </c>
      <c r="HB14" s="181" t="str">
        <f t="shared" si="45"/>
        <v/>
      </c>
      <c r="HC14" s="122"/>
      <c r="HD14" s="123"/>
      <c r="HE14" s="124"/>
      <c r="HF14" s="128"/>
      <c r="HG14" s="180" t="str">
        <f>IFERROR((((COUNTIF('Elève (5ème3)'!HC14:HF14,"A"))*4)+((COUNTIF('Elève (5ème3)'!HC14:HF14,"B"))*3)+((COUNTIF('Elève (5ème3)'!HC14:HF14,"C"))*2)+((COUNTIF('Elève (5ème3)'!HC14:HF14,"D"))*1))/(COUNTA(HC14:HF14)),"")</f>
        <v/>
      </c>
      <c r="HH14" s="181" t="str">
        <f t="shared" si="46"/>
        <v/>
      </c>
      <c r="HI14" s="180">
        <f>IF(COUNT(GV14,HA14,HG14)=0,"",SUM(GV14,HA14,HG14)/COUNT(GV14,HA14,HG14))</f>
        <v>4</v>
      </c>
      <c r="HJ14" s="205" t="str">
        <f t="shared" si="47"/>
        <v>A</v>
      </c>
      <c r="HK14" s="122" t="s">
        <v>27</v>
      </c>
      <c r="HL14" s="123"/>
      <c r="HM14" s="124"/>
      <c r="HN14" s="180">
        <f>IFERROR((((COUNTIF('Elève (5ème3)'!HK14:HM14,"A"))*4)+((COUNTIF('Elève (5ème3)'!HK14:HM14,"B"))*3)+((COUNTIF('Elève (5ème3)'!HK14:HM14,"C"))*2)+((COUNTIF('Elève (5ème3)'!HK14:HM14,"D"))*1))/(COUNTA(HK14:HM14)),"")</f>
        <v>4</v>
      </c>
      <c r="HO14" s="181" t="str">
        <f t="shared" si="48"/>
        <v>A</v>
      </c>
      <c r="HP14" s="122"/>
      <c r="HQ14" s="123"/>
      <c r="HR14" s="124"/>
      <c r="HS14" s="180" t="str">
        <f>IFERROR((((COUNTIF('Elève (5ème3)'!HP14:HR14,"A"))*4)+((COUNTIF('Elève (5ème3)'!HP14:HR14,"B"))*3)+((COUNTIF('Elève (5ème3)'!HP14:HR14,"C"))*2)+((COUNTIF('Elève (5ème3)'!HP14:HR14,"D"))*1))/(COUNTA(HP14:HR14)),"")</f>
        <v/>
      </c>
      <c r="HT14" s="181" t="str">
        <f t="shared" si="49"/>
        <v/>
      </c>
      <c r="HU14" s="122"/>
      <c r="HV14" s="123"/>
      <c r="HW14" s="124"/>
      <c r="HX14" s="128"/>
      <c r="HY14" s="180" t="str">
        <f>IFERROR((((COUNTIF('Elève (5ème3)'!HU14:HX14,"A"))*4)+((COUNTIF('Elève (5ème3)'!HU14:HX14,"B"))*3)+((COUNTIF('Elève (5ème3)'!HU14:HX14,"C"))*2)+((COUNTIF('Elève (5ème3)'!HU14:HX14,"D"))*1))/(COUNTA(HU14:HX14)),"")</f>
        <v/>
      </c>
      <c r="HZ14" s="181" t="str">
        <f t="shared" si="50"/>
        <v/>
      </c>
      <c r="IA14" s="180">
        <f>IF(COUNT(HN14,HS14,HY14)=0,"",SUM(HN14,HS14,HY14)/COUNT(HN14,HS14,HY14))</f>
        <v>4</v>
      </c>
      <c r="IB14" s="205" t="str">
        <f t="shared" si="51"/>
        <v>A</v>
      </c>
      <c r="IC14" s="122" t="s">
        <v>27</v>
      </c>
      <c r="ID14" s="123"/>
      <c r="IE14" s="124"/>
      <c r="IF14" s="180">
        <f>IFERROR((((COUNTIF('Elève (5ème3)'!IC14:IE14,"A"))*4)+((COUNTIF('Elève (5ème3)'!IC14:IE14,"B"))*3)+((COUNTIF('Elève (5ème3)'!IC14:IE14,"C"))*2)+((COUNTIF('Elève (5ème3)'!IC14:IE14,"D"))*1))/(COUNTA(IC14:IE14)),"")</f>
        <v>4</v>
      </c>
      <c r="IG14" s="181" t="str">
        <f t="shared" si="52"/>
        <v>A</v>
      </c>
      <c r="IH14" s="122"/>
      <c r="II14" s="123"/>
      <c r="IJ14" s="124"/>
      <c r="IK14" s="180" t="str">
        <f>IFERROR((((COUNTIF('Elève (5ème3)'!IH14:IJ14,"A"))*4)+((COUNTIF('Elève (5ème3)'!IH14:IJ14,"B"))*3)+((COUNTIF('Elève (5ème3)'!IH14:IJ14,"C"))*2)+((COUNTIF('Elève (5ème3)'!IH14:IJ14,"D"))*1))/(COUNTA(IH14:IJ14)),"")</f>
        <v/>
      </c>
      <c r="IL14" s="181" t="str">
        <f t="shared" si="53"/>
        <v/>
      </c>
      <c r="IM14" s="122"/>
      <c r="IN14" s="123"/>
      <c r="IO14" s="124"/>
      <c r="IP14" s="128"/>
      <c r="IQ14" s="180" t="str">
        <f>IFERROR((((COUNTIF('Elève (5ème3)'!IM14:IP14,"A"))*4)+((COUNTIF('Elève (5ème3)'!IM14:IP14,"B"))*3)+((COUNTIF('Elève (5ème3)'!IM14:IP14,"C"))*2)+((COUNTIF('Elève (5ème3)'!IM14:IP14,"D"))*1))/(COUNTA(IM14:IP14)),"")</f>
        <v/>
      </c>
      <c r="IR14" s="181" t="str">
        <f t="shared" si="54"/>
        <v/>
      </c>
      <c r="IS14" s="180">
        <f>IF(COUNT(IF14,IK14,IQ14)=0,"",SUM(IF14,IK14,IQ14)/COUNT(IF14,IK14,IQ14))</f>
        <v>4</v>
      </c>
      <c r="IT14" s="205" t="str">
        <f t="shared" si="55"/>
        <v>A</v>
      </c>
      <c r="IU14" s="122" t="s">
        <v>27</v>
      </c>
      <c r="IV14" s="123"/>
      <c r="IW14" s="124"/>
      <c r="IX14" s="180">
        <f>IFERROR((((COUNTIF('Elève (5ème3)'!IU14:IW14,"A"))*4)+((COUNTIF('Elève (5ème3)'!IU14:IW14,"B"))*3)+((COUNTIF('Elève (5ème3)'!IU14:IW14,"C"))*2)+((COUNTIF('Elève (5ème3)'!IU14:IW14,"D"))*1))/(COUNTA(IU14:IW14)),"")</f>
        <v>4</v>
      </c>
      <c r="IY14" s="181" t="str">
        <f t="shared" si="56"/>
        <v>A</v>
      </c>
      <c r="IZ14" s="122"/>
      <c r="JA14" s="123" t="s">
        <v>27</v>
      </c>
      <c r="JB14" s="124" t="s">
        <v>29</v>
      </c>
      <c r="JC14" s="180">
        <f>IFERROR((((COUNTIF('Elève (5ème3)'!IZ14:JB14,"A"))*4)+((COUNTIF('Elève (5ème3)'!IZ14:JB14,"B"))*3)+((COUNTIF('Elève (5ème3)'!IZ14:JB14,"C"))*2)+((COUNTIF('Elève (5ème3)'!IZ14:JB14,"D"))*1))/(COUNTA(IZ14:JB14)),"")</f>
        <v>3</v>
      </c>
      <c r="JD14" s="181" t="str">
        <f t="shared" si="57"/>
        <v>B</v>
      </c>
      <c r="JE14" s="122"/>
      <c r="JF14" s="123"/>
      <c r="JG14" s="124"/>
      <c r="JH14" s="128"/>
      <c r="JI14" s="180" t="str">
        <f>IFERROR((((COUNTIF('Elève (5ème3)'!JE14:JH14,"A"))*4)+((COUNTIF('Elève (5ème3)'!JE14:JH14,"B"))*3)+((COUNTIF('Elève (5ème3)'!JE14:JH14,"C"))*2)+((COUNTIF('Elève (5ème3)'!JE14:JH14,"D"))*1))/(COUNTA(JE14:JH14)),"")</f>
        <v/>
      </c>
      <c r="JJ14" s="181" t="str">
        <f t="shared" si="58"/>
        <v/>
      </c>
      <c r="JK14" s="180">
        <f>IF(COUNT(IX14,JC14,JI14)=0,"",SUM(IX14,JC14,JI14)/COUNT(IX14,JC14,JI14))</f>
        <v>3.5</v>
      </c>
      <c r="JL14" s="205" t="str">
        <f t="shared" si="59"/>
        <v>B</v>
      </c>
      <c r="JM14" s="122" t="s">
        <v>27</v>
      </c>
      <c r="JN14" s="123"/>
      <c r="JO14" s="124"/>
      <c r="JP14" s="180">
        <f>IFERROR((((COUNTIF('Elève (5ème3)'!JM14:JO14,"A"))*4)+((COUNTIF('Elève (5ème3)'!JM14:JO14,"B"))*3)+((COUNTIF('Elève (5ème3)'!JM14:JO14,"C"))*2)+((COUNTIF('Elève (5ème3)'!JM14:JO14,"D"))*1))/(COUNTA(JM14:JO14)),"")</f>
        <v>4</v>
      </c>
      <c r="JQ14" s="181" t="str">
        <f t="shared" si="60"/>
        <v>A</v>
      </c>
      <c r="JR14" s="122"/>
      <c r="JS14" s="123" t="s">
        <v>27</v>
      </c>
      <c r="JT14" s="124" t="s">
        <v>29</v>
      </c>
      <c r="JU14" s="180">
        <f>IFERROR((((COUNTIF('Elève (5ème3)'!JR14:JT14,"A"))*4)+((COUNTIF('Elève (5ème3)'!JR14:JT14,"B"))*3)+((COUNTIF('Elève (5ème3)'!JR14:JT14,"C"))*2)+((COUNTIF('Elève (5ème3)'!JR14:JT14,"D"))*1))/(COUNTA(JR14:JT14)),"")</f>
        <v>3</v>
      </c>
      <c r="JV14" s="181" t="str">
        <f t="shared" si="61"/>
        <v>B</v>
      </c>
      <c r="JW14" s="122"/>
      <c r="JX14" s="123"/>
      <c r="JY14" s="124"/>
      <c r="JZ14" s="128"/>
      <c r="KA14" s="180" t="str">
        <f>IFERROR((((COUNTIF('Elève (5ème3)'!JW14:JZ14,"A"))*4)+((COUNTIF('Elève (5ème3)'!JW14:JZ14,"B"))*3)+((COUNTIF('Elève (5ème3)'!JW14:JZ14,"C"))*2)+((COUNTIF('Elève (5ème3)'!JW14:JZ14,"D"))*1))/(COUNTA(JW14:JZ14)),"")</f>
        <v/>
      </c>
      <c r="KB14" s="181" t="str">
        <f t="shared" si="62"/>
        <v/>
      </c>
      <c r="KC14" s="180">
        <f>IF(COUNT(JP14,JU14,KA14)=0,"",SUM(JP14,JU14,KA14)/COUNT(JP14,JU14,KA14))</f>
        <v>3.5</v>
      </c>
      <c r="KD14" s="205" t="str">
        <f t="shared" si="63"/>
        <v>B</v>
      </c>
      <c r="KE14" s="122" t="s">
        <v>27</v>
      </c>
      <c r="KF14" s="123"/>
      <c r="KG14" s="124"/>
      <c r="KH14" s="180">
        <f>IFERROR((((COUNTIF('Elève (5ème3)'!KE14:KG14,"A"))*4)+((COUNTIF('Elève (5ème3)'!KE14:KG14,"B"))*3)+((COUNTIF('Elève (5ème3)'!KE14:KG14,"C"))*2)+((COUNTIF('Elève (5ème3)'!KE14:KG14,"D"))*1))/(COUNTA(KE14:KG14)),"")</f>
        <v>4</v>
      </c>
      <c r="KI14" s="181" t="str">
        <f t="shared" si="64"/>
        <v>A</v>
      </c>
      <c r="KJ14" s="122"/>
      <c r="KK14" s="123"/>
      <c r="KL14" s="124"/>
      <c r="KM14" s="180" t="str">
        <f>IFERROR((((COUNTIF('Elève (5ème3)'!KJ14:KL14,"A"))*4)+((COUNTIF('Elève (5ème3)'!KJ14:KL14,"B"))*3)+((COUNTIF('Elève (5ème3)'!KJ14:KL14,"C"))*2)+((COUNTIF('Elève (5ème3)'!KJ14:KL14,"D"))*1))/(COUNTA(KJ14:KL14)),"")</f>
        <v/>
      </c>
      <c r="KN14" s="181" t="str">
        <f t="shared" si="65"/>
        <v/>
      </c>
      <c r="KO14" s="122"/>
      <c r="KP14" s="123"/>
      <c r="KQ14" s="124"/>
      <c r="KR14" s="128"/>
      <c r="KS14" s="180" t="str">
        <f>IFERROR((((COUNTIF('Elève (5ème3)'!KO14:KR14,"A"))*4)+((COUNTIF('Elève (5ème3)'!KO14:KR14,"B"))*3)+((COUNTIF('Elève (5ème3)'!KO14:KR14,"C"))*2)+((COUNTIF('Elève (5ème3)'!KO14:KR14,"D"))*1))/(COUNTA(KO14:KR14)),"")</f>
        <v/>
      </c>
      <c r="KT14" s="181" t="str">
        <f t="shared" si="66"/>
        <v/>
      </c>
      <c r="KU14" s="180">
        <f>IF(COUNT(KH14,KM14,KS14)=0,"",SUM(KH14,KM14,KS14)/COUNT(KH14,KM14,KS14))</f>
        <v>4</v>
      </c>
      <c r="KV14" s="205" t="str">
        <f t="shared" si="67"/>
        <v>A</v>
      </c>
      <c r="KW14" s="122" t="s">
        <v>27</v>
      </c>
      <c r="KX14" s="123"/>
      <c r="KY14" s="124"/>
      <c r="KZ14" s="180">
        <f>IFERROR((((COUNTIF('Elève (5ème3)'!KW14:KY14,"A"))*4)+((COUNTIF('Elève (5ème3)'!KW14:KY14,"B"))*3)+((COUNTIF('Elève (5ème3)'!KW14:KY14,"C"))*2)+((COUNTIF('Elève (5ème3)'!KW14:KY14,"D"))*1))/(COUNTA(KW14:KY14)),"")</f>
        <v>4</v>
      </c>
      <c r="LA14" s="181" t="str">
        <f t="shared" si="68"/>
        <v>A</v>
      </c>
      <c r="LB14" s="122"/>
      <c r="LC14" s="123"/>
      <c r="LD14" s="124"/>
      <c r="LE14" s="180" t="str">
        <f>IFERROR((((COUNTIF('Elève (5ème3)'!LB14:LD14,"A"))*4)+((COUNTIF('Elève (5ème3)'!LB14:LD14,"B"))*3)+((COUNTIF('Elève (5ème3)'!LB14:LD14,"C"))*2)+((COUNTIF('Elève (5ème3)'!LB14:LD14,"D"))*1))/(COUNTA(LB14:LD14)),"")</f>
        <v/>
      </c>
      <c r="LF14" s="181" t="str">
        <f t="shared" si="69"/>
        <v/>
      </c>
      <c r="LG14" s="122"/>
      <c r="LH14" s="123"/>
      <c r="LI14" s="124"/>
      <c r="LJ14" s="128"/>
      <c r="LK14" s="180" t="str">
        <f>IFERROR((((COUNTIF('Elève (5ème3)'!LG14:LJ14,"A"))*4)+((COUNTIF('Elève (5ème3)'!LG14:LJ14,"B"))*3)+((COUNTIF('Elève (5ème3)'!LG14:LJ14,"C"))*2)+((COUNTIF('Elève (5ème3)'!LG14:LJ14,"D"))*1))/(COUNTA(LG14:LJ14)),"")</f>
        <v/>
      </c>
      <c r="LL14" s="181" t="str">
        <f t="shared" si="70"/>
        <v/>
      </c>
      <c r="LM14" s="180">
        <f>IF(COUNT(KZ14,LE14,LK14)=0,"",SUM(KZ14,LE14,LK14)/COUNT(KZ14,LE14,LK14))</f>
        <v>4</v>
      </c>
      <c r="LN14" s="205" t="str">
        <f t="shared" si="71"/>
        <v>A</v>
      </c>
      <c r="LO14" s="122" t="s">
        <v>27</v>
      </c>
      <c r="LP14" s="123"/>
      <c r="LQ14" s="124"/>
      <c r="LR14" s="180">
        <f>IFERROR((((COUNTIF('Elève (5ème3)'!LO14:LQ14,"A"))*4)+((COUNTIF('Elève (5ème3)'!LO14:LQ14,"B"))*3)+((COUNTIF('Elève (5ème3)'!LO14:LQ14,"C"))*2)+((COUNTIF('Elève (5ème3)'!LO14:LQ14,"D"))*1))/(COUNTA(LO14:LQ14)),"")</f>
        <v>4</v>
      </c>
      <c r="LS14" s="181" t="str">
        <f t="shared" si="72"/>
        <v>A</v>
      </c>
      <c r="LT14" s="122"/>
      <c r="LU14" s="123"/>
      <c r="LV14" s="124"/>
      <c r="LW14" s="180" t="str">
        <f>IFERROR((((COUNTIF('Elève (5ème3)'!LT14:LV14,"A"))*4)+((COUNTIF('Elève (5ème3)'!LT14:LV14,"B"))*3)+((COUNTIF('Elève (5ème3)'!LT14:LV14,"C"))*2)+((COUNTIF('Elève (5ème3)'!LT14:LV14,"D"))*1))/(COUNTA(LT14:LV14)),"")</f>
        <v/>
      </c>
      <c r="LX14" s="181" t="str">
        <f t="shared" si="73"/>
        <v/>
      </c>
      <c r="LY14" s="122"/>
      <c r="LZ14" s="123"/>
      <c r="MA14" s="124"/>
      <c r="MB14" s="128"/>
      <c r="MC14" s="180" t="str">
        <f>IFERROR((((COUNTIF('Elève (5ème3)'!LY14:MB14,"A"))*4)+((COUNTIF('Elève (5ème3)'!LY14:MB14,"B"))*3)+((COUNTIF('Elève (5ème3)'!LY14:MB14,"C"))*2)+((COUNTIF('Elève (5ème3)'!LY14:MB14,"D"))*1))/(COUNTA(LY14:MB14)),"")</f>
        <v/>
      </c>
      <c r="MD14" s="181" t="str">
        <f t="shared" si="74"/>
        <v/>
      </c>
      <c r="ME14" s="180">
        <f>IF(COUNT(LR14,LW14,MC14)=0,"",SUM(LR14,LW14,MC14)/COUNT(LR14,LW14,MC14))</f>
        <v>4</v>
      </c>
      <c r="MF14" s="205" t="str">
        <f t="shared" si="75"/>
        <v>A</v>
      </c>
      <c r="MG14" s="122" t="s">
        <v>27</v>
      </c>
      <c r="MH14" s="123"/>
      <c r="MI14" s="124"/>
      <c r="MJ14" s="180">
        <f>IFERROR((((COUNTIF('Elève (5ème3)'!MG14:MI14,"A"))*4)+((COUNTIF('Elève (5ème3)'!MG14:MI14,"B"))*3)+((COUNTIF('Elève (5ème3)'!MG14:MI14,"C"))*2)+((COUNTIF('Elève (5ème3)'!MG14:MI14,"D"))*1))/(COUNTA(MG14:MI14)),"")</f>
        <v>4</v>
      </c>
      <c r="MK14" s="181" t="str">
        <f t="shared" si="76"/>
        <v>A</v>
      </c>
      <c r="ML14" s="122"/>
      <c r="MM14" s="123"/>
      <c r="MN14" s="124"/>
      <c r="MO14" s="180" t="str">
        <f>IFERROR((((COUNTIF('Elève (5ème3)'!ML14:MN14,"A"))*4)+((COUNTIF('Elève (5ème3)'!ML14:MN14,"B"))*3)+((COUNTIF('Elève (5ème3)'!ML14:MN14,"C"))*2)+((COUNTIF('Elève (5ème3)'!ML14:MN14,"D"))*1))/(COUNTA(ML14:MN14)),"")</f>
        <v/>
      </c>
      <c r="MP14" s="181" t="str">
        <f t="shared" si="77"/>
        <v/>
      </c>
      <c r="MQ14" s="122"/>
      <c r="MR14" s="123"/>
      <c r="MS14" s="124"/>
      <c r="MT14" s="128"/>
      <c r="MU14" s="180" t="str">
        <f>IFERROR((((COUNTIF('Elève (5ème3)'!MQ14:MT14,"A"))*4)+((COUNTIF('Elève (5ème3)'!MQ14:MT14,"B"))*3)+((COUNTIF('Elève (5ème3)'!MQ14:MT14,"C"))*2)+((COUNTIF('Elève (5ème3)'!MQ14:MT14,"D"))*1))/(COUNTA(MQ14:MT14)),"")</f>
        <v/>
      </c>
      <c r="MV14" s="181" t="str">
        <f t="shared" si="78"/>
        <v/>
      </c>
      <c r="MW14" s="180">
        <f>IF(COUNT(MJ14,MO14,MU14)=0,"",SUM(MJ14,MO14,MU14)/COUNT(MJ14,MO14,MU14))</f>
        <v>4</v>
      </c>
      <c r="MX14" s="205" t="str">
        <f t="shared" si="79"/>
        <v>A</v>
      </c>
      <c r="MY14" s="122" t="s">
        <v>27</v>
      </c>
      <c r="MZ14" s="123"/>
      <c r="NA14" s="124"/>
      <c r="NB14" s="180">
        <f>IFERROR((((COUNTIF('Elève (5ème3)'!MY14:NA14,"A"))*4)+((COUNTIF('Elève (5ème3)'!MY14:NA14,"B"))*3)+((COUNTIF('Elève (5ème3)'!MY14:NA14,"C"))*2)+((COUNTIF('Elève (5ème3)'!MY14:NA14,"D"))*1))/(COUNTA(MY14:NA14)),"")</f>
        <v>4</v>
      </c>
      <c r="NC14" s="181" t="str">
        <f t="shared" si="80"/>
        <v>A</v>
      </c>
      <c r="ND14" s="122"/>
      <c r="NE14" s="123" t="s">
        <v>27</v>
      </c>
      <c r="NF14" s="124" t="s">
        <v>27</v>
      </c>
      <c r="NG14" s="180">
        <f>IFERROR((((COUNTIF('Elève (5ème3)'!ND14:NF14,"A"))*4)+((COUNTIF('Elève (5ème3)'!ND14:NF14,"B"))*3)+((COUNTIF('Elève (5ème3)'!ND14:NF14,"C"))*2)+((COUNTIF('Elève (5ème3)'!ND14:NF14,"D"))*1))/(COUNTA(ND14:NF14)),"")</f>
        <v>4</v>
      </c>
      <c r="NH14" s="181" t="str">
        <f t="shared" si="81"/>
        <v>A</v>
      </c>
      <c r="NI14" s="122"/>
      <c r="NJ14" s="123"/>
      <c r="NK14" s="124"/>
      <c r="NL14" s="128"/>
      <c r="NM14" s="180" t="str">
        <f>IFERROR((((COUNTIF('Elève (5ème3)'!NI14:NL14,"A"))*4)+((COUNTIF('Elève (5ème3)'!NI14:NL14,"B"))*3)+((COUNTIF('Elève (5ème3)'!NI14:NL14,"C"))*2)+((COUNTIF('Elève (5ème3)'!NI14:NL14,"D"))*1))/(COUNTA(NI14:NL14)),"")</f>
        <v/>
      </c>
      <c r="NN14" s="181" t="str">
        <f t="shared" si="82"/>
        <v/>
      </c>
      <c r="NO14" s="180">
        <f>IF(COUNT(NB14,NG14,NM14)=0,"",SUM(NB14,NG14,NM14)/COUNT(NB14,NG14,NM14))</f>
        <v>4</v>
      </c>
      <c r="NP14" s="205" t="str">
        <f t="shared" si="83"/>
        <v>A</v>
      </c>
      <c r="NQ14" s="122" t="s">
        <v>27</v>
      </c>
      <c r="NR14" s="123"/>
      <c r="NS14" s="124"/>
      <c r="NT14" s="180">
        <f>IFERROR((((COUNTIF('Elève (5ème3)'!NQ14:NS14,"A"))*4)+((COUNTIF('Elève (5ème3)'!NQ14:NS14,"B"))*3)+((COUNTIF('Elève (5ème3)'!NQ14:NS14,"C"))*2)+((COUNTIF('Elève (5ème3)'!NQ14:NS14,"D"))*1))/(COUNTA(NQ14:NS14)),"")</f>
        <v>4</v>
      </c>
      <c r="NU14" s="181" t="str">
        <f t="shared" si="84"/>
        <v>A</v>
      </c>
      <c r="NV14" s="122"/>
      <c r="NW14" s="123" t="s">
        <v>27</v>
      </c>
      <c r="NX14" s="124" t="s">
        <v>30</v>
      </c>
      <c r="NY14" s="180">
        <f>IFERROR((((COUNTIF('Elève (5ème3)'!NV14:NX14,"A"))*4)+((COUNTIF('Elève (5ème3)'!NV14:NX14,"B"))*3)+((COUNTIF('Elève (5ème3)'!NV14:NX14,"C"))*2)+((COUNTIF('Elève (5ème3)'!NV14:NX14,"D"))*1))/(COUNTA(NV14:NX14)),"")</f>
        <v>2.5</v>
      </c>
      <c r="NZ14" s="181" t="str">
        <f t="shared" si="85"/>
        <v>C</v>
      </c>
      <c r="OA14" s="122"/>
      <c r="OB14" s="123"/>
      <c r="OC14" s="124"/>
      <c r="OD14" s="128"/>
      <c r="OE14" s="180" t="str">
        <f>IFERROR((((COUNTIF('Elève (5ème3)'!OA14:OD14,"A"))*4)+((COUNTIF('Elève (5ème3)'!OA14:OD14,"B"))*3)+((COUNTIF('Elève (5ème3)'!OA14:OD14,"C"))*2)+((COUNTIF('Elève (5ème3)'!OA14:OD14,"D"))*1))/(COUNTA(OA14:OD14)),"")</f>
        <v/>
      </c>
      <c r="OF14" s="181" t="str">
        <f t="shared" si="86"/>
        <v/>
      </c>
      <c r="OG14" s="180">
        <f>IF(COUNT(NT14,NY14,OE14)=0,"",SUM(NT14,NY14,OE14)/COUNT(NT14,NY14,OE14))</f>
        <v>3.25</v>
      </c>
      <c r="OH14" s="205" t="str">
        <f t="shared" si="87"/>
        <v>B</v>
      </c>
      <c r="OI14" s="122" t="s">
        <v>27</v>
      </c>
      <c r="OJ14" s="123"/>
      <c r="OK14" s="124"/>
      <c r="OL14" s="180">
        <f>IFERROR((((COUNTIF('Elève (5ème3)'!OI14:OK14,"A"))*4)+((COUNTIF('Elève (5ème3)'!OI14:OK14,"B"))*3)+((COUNTIF('Elève (5ème3)'!OI14:OK14,"C"))*2)+((COUNTIF('Elève (5ème3)'!OI14:OK14,"D"))*1))/(COUNTA(OI14:OK14)),"")</f>
        <v>4</v>
      </c>
      <c r="OM14" s="181" t="str">
        <f t="shared" si="88"/>
        <v>A</v>
      </c>
      <c r="ON14" s="122"/>
      <c r="OO14" s="123"/>
      <c r="OP14" s="124"/>
      <c r="OQ14" s="180" t="str">
        <f>IFERROR((((COUNTIF('Elève (5ème3)'!ON14:OP14,"A"))*4)+((COUNTIF('Elève (5ème3)'!ON14:OP14,"B"))*3)+((COUNTIF('Elève (5ème3)'!ON14:OP14,"C"))*2)+((COUNTIF('Elève (5ème3)'!ON14:OP14,"D"))*1))/(COUNTA(ON14:OP14)),"")</f>
        <v/>
      </c>
      <c r="OR14" s="181" t="str">
        <f t="shared" si="89"/>
        <v/>
      </c>
      <c r="OS14" s="122"/>
      <c r="OT14" s="123"/>
      <c r="OU14" s="124"/>
      <c r="OV14" s="128"/>
      <c r="OW14" s="180" t="str">
        <f>IFERROR((((COUNTIF('Elève (5ème3)'!OS14:OV14,"A"))*4)+((COUNTIF('Elève (5ème3)'!OS14:OV14,"B"))*3)+((COUNTIF('Elève (5ème3)'!OS14:OV14,"C"))*2)+((COUNTIF('Elève (5ème3)'!OS14:OV14,"D"))*1))/(COUNTA(OS14:OV14)),"")</f>
        <v/>
      </c>
      <c r="OX14" s="181" t="str">
        <f t="shared" si="90"/>
        <v/>
      </c>
      <c r="OY14" s="180">
        <f>IF(COUNT(OL14,OQ14,OW14)=0,"",SUM(OL14,OQ14,OW14)/COUNT(OL14,OQ14,OW14))</f>
        <v>4</v>
      </c>
      <c r="OZ14" s="205" t="str">
        <f t="shared" si="91"/>
        <v>A</v>
      </c>
      <c r="PA14" s="122" t="s">
        <v>27</v>
      </c>
      <c r="PB14" s="123"/>
      <c r="PC14" s="124"/>
      <c r="PD14" s="180">
        <f>IFERROR((((COUNTIF('Elève (5ème3)'!PA14:PC14,"A"))*4)+((COUNTIF('Elève (5ème3)'!PA14:PC14,"B"))*3)+((COUNTIF('Elève (5ème3)'!PA14:PC14,"C"))*2)+((COUNTIF('Elève (5ème3)'!PA14:PC14,"D"))*1))/(COUNTA(PA14:PC14)),"")</f>
        <v>4</v>
      </c>
      <c r="PE14" s="181" t="str">
        <f t="shared" si="92"/>
        <v>A</v>
      </c>
      <c r="PF14" s="122"/>
      <c r="PG14" s="123"/>
      <c r="PH14" s="124"/>
      <c r="PI14" s="180" t="str">
        <f>IFERROR((((COUNTIF('Elève (5ème3)'!PF14:PH14,"A"))*4)+((COUNTIF('Elève (5ème3)'!PF14:PH14,"B"))*3)+((COUNTIF('Elève (5ème3)'!PF14:PH14,"C"))*2)+((COUNTIF('Elève (5ème3)'!PF14:PH14,"D"))*1))/(COUNTA(PF14:PH14)),"")</f>
        <v/>
      </c>
      <c r="PJ14" s="181" t="str">
        <f t="shared" si="93"/>
        <v/>
      </c>
      <c r="PK14" s="122"/>
      <c r="PL14" s="123"/>
      <c r="PM14" s="124"/>
      <c r="PN14" s="128"/>
      <c r="PO14" s="180" t="str">
        <f>IFERROR((((COUNTIF('Elève (5ème3)'!PK14:PN14,"A"))*4)+((COUNTIF('Elève (5ème3)'!PK14:PN14,"B"))*3)+((COUNTIF('Elève (5ème3)'!PK14:PN14,"C"))*2)+((COUNTIF('Elève (5ème3)'!PK14:PN14,"D"))*1))/(COUNTA(PK14:PN14)),"")</f>
        <v/>
      </c>
      <c r="PP14" s="181" t="str">
        <f t="shared" si="94"/>
        <v/>
      </c>
      <c r="PQ14" s="180">
        <f>IF(COUNT(PD14,PI14,PO14)=0,"",SUM(PD14,PI14,PO14)/COUNT(PD14,PI14,PO14))</f>
        <v>4</v>
      </c>
      <c r="PR14" s="205" t="str">
        <f t="shared" si="95"/>
        <v>A</v>
      </c>
      <c r="PS14" s="122" t="s">
        <v>27</v>
      </c>
      <c r="PT14" s="123"/>
      <c r="PU14" s="124"/>
      <c r="PV14" s="180">
        <f>IFERROR((((COUNTIF('Elève (5ème3)'!PS14:PU14,"A"))*4)+((COUNTIF('Elève (5ème3)'!PS14:PU14,"B"))*3)+((COUNTIF('Elève (5ème3)'!PS14:PU14,"C"))*2)+((COUNTIF('Elève (5ème3)'!PS14:PU14,"D"))*1))/(COUNTA(PS14:PU14)),"")</f>
        <v>4</v>
      </c>
      <c r="PW14" s="181" t="str">
        <f t="shared" si="96"/>
        <v>A</v>
      </c>
      <c r="PX14" s="122"/>
      <c r="PY14" s="123"/>
      <c r="PZ14" s="124"/>
      <c r="QA14" s="180" t="str">
        <f>IFERROR((((COUNTIF('Elève (5ème3)'!PX14:PZ14,"A"))*4)+((COUNTIF('Elève (5ème3)'!PX14:PZ14,"B"))*3)+((COUNTIF('Elève (5ème3)'!PX14:PZ14,"C"))*2)+((COUNTIF('Elève (5ème3)'!PX14:PZ14,"D"))*1))/(COUNTA(PX14:PZ14)),"")</f>
        <v/>
      </c>
      <c r="QB14" s="181" t="str">
        <f t="shared" si="97"/>
        <v/>
      </c>
      <c r="QC14" s="122"/>
      <c r="QD14" s="123"/>
      <c r="QE14" s="124"/>
      <c r="QF14" s="128"/>
      <c r="QG14" s="180" t="str">
        <f>IFERROR((((COUNTIF('Elève (5ème3)'!QC14:QF14,"A"))*4)+((COUNTIF('Elève (5ème3)'!QC14:QF14,"B"))*3)+((COUNTIF('Elève (5ème3)'!QC14:QF14,"C"))*2)+((COUNTIF('Elève (5ème3)'!QC14:QF14,"D"))*1))/(COUNTA(QC14:QF14)),"")</f>
        <v/>
      </c>
      <c r="QH14" s="181" t="str">
        <f t="shared" si="98"/>
        <v/>
      </c>
      <c r="QI14" s="180">
        <f>IF(COUNT(PV14,QA14,QG14)=0,"",SUM(PV14,QA14,QG14)/COUNT(PV14,QA14,QG14))</f>
        <v>4</v>
      </c>
      <c r="QJ14" s="205" t="str">
        <f t="shared" si="99"/>
        <v>A</v>
      </c>
      <c r="QK14" s="122" t="s">
        <v>27</v>
      </c>
      <c r="QL14" s="123"/>
      <c r="QM14" s="124"/>
      <c r="QN14" s="180">
        <f>IFERROR((((COUNTIF('Elève (5ème3)'!QK14:QM14,"A"))*4)+((COUNTIF('Elève (5ème3)'!QK14:QM14,"B"))*3)+((COUNTIF('Elève (5ème3)'!QK14:QM14,"C"))*2)+((COUNTIF('Elève (5ème3)'!QK14:QM14,"D"))*1))/(COUNTA(QK14:QM14)),"")</f>
        <v>4</v>
      </c>
      <c r="QO14" s="181" t="str">
        <f t="shared" si="100"/>
        <v>A</v>
      </c>
      <c r="QP14" s="122"/>
      <c r="QQ14" s="123"/>
      <c r="QR14" s="124"/>
      <c r="QS14" s="180" t="str">
        <f>IFERROR((((COUNTIF('Elève (5ème3)'!QP14:QR14,"A"))*4)+((COUNTIF('Elève (5ème3)'!QP14:QR14,"B"))*3)+((COUNTIF('Elève (5ème3)'!QP14:QR14,"C"))*2)+((COUNTIF('Elève (5ème3)'!QP14:QR14,"D"))*1))/(COUNTA(QP14:QR14)),"")</f>
        <v/>
      </c>
      <c r="QT14" s="181" t="str">
        <f t="shared" si="101"/>
        <v/>
      </c>
      <c r="QU14" s="122"/>
      <c r="QV14" s="123"/>
      <c r="QW14" s="124"/>
      <c r="QX14" s="128"/>
      <c r="QY14" s="180" t="str">
        <f>IFERROR((((COUNTIF('Elève (5ème3)'!QU14:QX14,"A"))*4)+((COUNTIF('Elève (5ème3)'!QU14:QX14,"B"))*3)+((COUNTIF('Elève (5ème3)'!QU14:QX14,"C"))*2)+((COUNTIF('Elève (5ème3)'!QU14:QX14,"D"))*1))/(COUNTA(QU14:QX14)),"")</f>
        <v/>
      </c>
      <c r="QZ14" s="181" t="str">
        <f t="shared" si="102"/>
        <v/>
      </c>
      <c r="RA14" s="180">
        <f>IF(COUNT(QN14,QS14,QY14)=0,"",SUM(QN14,QS14,QY14)/COUNT(QN14,QS14,QY14))</f>
        <v>4</v>
      </c>
      <c r="RB14" s="205" t="str">
        <f t="shared" si="103"/>
        <v>A</v>
      </c>
      <c r="RC14" s="122" t="s">
        <v>27</v>
      </c>
      <c r="RD14" s="123"/>
      <c r="RE14" s="124"/>
      <c r="RF14" s="180">
        <f>IFERROR((((COUNTIF('Elève (5ème3)'!RC14:RE14,"A"))*4)+((COUNTIF('Elève (5ème3)'!RC14:RE14,"B"))*3)+((COUNTIF('Elève (5ème3)'!RC14:RE14,"C"))*2)+((COUNTIF('Elève (5ème3)'!RC14:RE14,"D"))*1))/(COUNTA(RC14:RE14)),"")</f>
        <v>4</v>
      </c>
      <c r="RG14" s="181" t="str">
        <f t="shared" si="104"/>
        <v>A</v>
      </c>
      <c r="RH14" s="122"/>
      <c r="RI14" s="123"/>
      <c r="RJ14" s="124"/>
      <c r="RK14" s="180" t="str">
        <f>IFERROR((((COUNTIF('Elève (5ème3)'!RH14:RJ14,"A"))*4)+((COUNTIF('Elève (5ème3)'!RH14:RJ14,"B"))*3)+((COUNTIF('Elève (5ème3)'!RH14:RJ14,"C"))*2)+((COUNTIF('Elève (5ème3)'!RH14:RJ14,"D"))*1))/(COUNTA(RH14:RJ14)),"")</f>
        <v/>
      </c>
      <c r="RL14" s="181" t="str">
        <f t="shared" si="105"/>
        <v/>
      </c>
      <c r="RM14" s="122"/>
      <c r="RN14" s="123"/>
      <c r="RO14" s="124"/>
      <c r="RP14" s="128"/>
      <c r="RQ14" s="180" t="str">
        <f>IFERROR((((COUNTIF('Elève (5ème3)'!RM14:RP14,"A"))*4)+((COUNTIF('Elève (5ème3)'!RM14:RP14,"B"))*3)+((COUNTIF('Elève (5ème3)'!RM14:RP14,"C"))*2)+((COUNTIF('Elève (5ème3)'!RM14:RP14,"D"))*1))/(COUNTA(RM14:RP14)),"")</f>
        <v/>
      </c>
      <c r="RR14" s="181" t="str">
        <f t="shared" si="106"/>
        <v/>
      </c>
      <c r="RS14" s="180">
        <f>IF(COUNT(RF14,RK14,RQ14)=0,"",SUM(RF14,RK14,RQ14)/COUNT(RF14,RK14,RQ14))</f>
        <v>4</v>
      </c>
      <c r="RT14" s="205" t="str">
        <f t="shared" si="107"/>
        <v>A</v>
      </c>
      <c r="RU14" s="122"/>
      <c r="RV14" s="123"/>
      <c r="RW14" s="124"/>
      <c r="RX14" s="118" t="str">
        <f>IFERROR((((COUNTIF('Elève (5ème3)'!RU14:RW14,"A"))*4)+((COUNTIF('Elève (5ème3)'!RU14:RW14,"B"))*3)+((COUNTIF('Elève (5ème3)'!RU14:RW14,"C"))*2)+((COUNTIF('Elève (5ème3)'!RU14:RW14,"D"))*1))/(COUNTA(RU14:RW14)),"")</f>
        <v/>
      </c>
      <c r="RY14" s="119" t="str">
        <f t="shared" si="108"/>
        <v/>
      </c>
      <c r="RZ14" s="122"/>
      <c r="SA14" s="123"/>
      <c r="SB14" s="124"/>
      <c r="SC14" s="118" t="str">
        <f>IFERROR((((COUNTIF('Elève (5ème3)'!RZ14:SB14,"A"))*4)+((COUNTIF('Elève (5ème3)'!RZ14:SB14,"B"))*3)+((COUNTIF('Elève (5ème3)'!RZ14:SB14,"C"))*2)+((COUNTIF('Elève (5ème3)'!RZ14:SB14,"D"))*1))/(COUNTA(RZ14:SB14)),"")</f>
        <v/>
      </c>
      <c r="SD14" s="119" t="str">
        <f t="shared" si="109"/>
        <v/>
      </c>
      <c r="SE14" s="122"/>
      <c r="SF14" s="123"/>
      <c r="SG14" s="128"/>
      <c r="SH14" s="118" t="str">
        <f>IFERROR((((COUNTIF('Elève (5ème3)'!SE14:SG14,"A"))*4)+((COUNTIF('Elève (5ème3)'!SE14:SG14,"B"))*3)+((COUNTIF('Elève (5ème3)'!SE14:SG14,"C"))*2)+((COUNTIF('Elève (5ème3)'!SE14:SG14,"D"))*1))/(COUNTA(SE14:SG14)),"")</f>
        <v/>
      </c>
      <c r="SI14" s="119" t="str">
        <f t="shared" si="110"/>
        <v/>
      </c>
      <c r="SJ14" s="118" t="str">
        <f>IF(COUNT(RX14,SC14,SH14)=0,"",SUM(RX14,SC14,SH14)/COUNT(RX14,SC14,SH14))</f>
        <v/>
      </c>
      <c r="SK14" s="120" t="str">
        <f t="shared" si="111"/>
        <v/>
      </c>
      <c r="SL14" s="122"/>
      <c r="SM14" s="123"/>
      <c r="SN14" s="124"/>
      <c r="SO14" s="118" t="str">
        <f>IFERROR((((COUNTIF('Elève (5ème3)'!SL14:SN14,"A"))*4)+((COUNTIF('Elève (5ème3)'!SL14:SN14,"B"))*3)+((COUNTIF('Elève (5ème3)'!SL14:SN14,"C"))*2)+((COUNTIF('Elève (5ème3)'!SL14:SN14,"D"))*1))/(COUNTA(SL14:SN14)),"")</f>
        <v/>
      </c>
      <c r="SP14" s="119" t="str">
        <f t="shared" si="112"/>
        <v/>
      </c>
      <c r="SQ14" s="122"/>
      <c r="SR14" s="123"/>
      <c r="SS14" s="124"/>
      <c r="ST14" s="118" t="str">
        <f>IFERROR((((COUNTIF('Elève (5ème3)'!SQ14:SS14,"A"))*4)+((COUNTIF('Elève (5ème3)'!SQ14:SS14,"B"))*3)+((COUNTIF('Elève (5ème3)'!SQ14:SS14,"C"))*2)+((COUNTIF('Elève (5ème3)'!SQ14:SS14,"D"))*1))/(COUNTA(SQ14:SS14)),"")</f>
        <v/>
      </c>
      <c r="SU14" s="119" t="str">
        <f t="shared" si="113"/>
        <v/>
      </c>
      <c r="SV14" s="122"/>
      <c r="SW14" s="123"/>
      <c r="SX14" s="128"/>
      <c r="SY14" s="118" t="str">
        <f>IFERROR((((COUNTIF('Elève (5ème3)'!SV14:SX14,"A"))*4)+((COUNTIF('Elève (5ème3)'!SV14:SX14,"B"))*3)+((COUNTIF('Elève (5ème3)'!SV14:SX14,"C"))*2)+((COUNTIF('Elève (5ème3)'!SV14:SX14,"D"))*1))/(COUNTA(SV14:SX14)),"")</f>
        <v/>
      </c>
      <c r="SZ14" s="119" t="str">
        <f t="shared" si="114"/>
        <v/>
      </c>
      <c r="TA14" s="118" t="str">
        <f>IF(COUNT(SO14,ST14,SY14)=0,"",SUM(SO14,ST14,SY14)/COUNT(SO14,ST14,SY14))</f>
        <v/>
      </c>
      <c r="TB14" s="120" t="str">
        <f t="shared" si="115"/>
        <v/>
      </c>
      <c r="TC14" s="122"/>
      <c r="TD14" s="123"/>
      <c r="TE14" s="124"/>
      <c r="TF14" s="118" t="str">
        <f>IFERROR((((COUNTIF('Elève (5ème3)'!TC14:TE14,"A"))*4)+((COUNTIF('Elève (5ème3)'!TC14:TE14,"B"))*3)+((COUNTIF('Elève (5ème3)'!TC14:TE14,"C"))*2)+((COUNTIF('Elève (5ème3)'!TC14:TE14,"D"))*1))/(COUNTA(TC14:TE14)),"")</f>
        <v/>
      </c>
      <c r="TG14" s="119" t="str">
        <f t="shared" si="116"/>
        <v/>
      </c>
      <c r="TH14" s="122"/>
      <c r="TI14" s="123"/>
      <c r="TJ14" s="124"/>
      <c r="TK14" s="118" t="str">
        <f>IFERROR((((COUNTIF('Elève (5ème3)'!TH14:TJ14,"A"))*4)+((COUNTIF('Elève (5ème3)'!TH14:TJ14,"B"))*3)+((COUNTIF('Elève (5ème3)'!TH14:TJ14,"C"))*2)+((COUNTIF('Elève (5ème3)'!TH14:TJ14,"D"))*1))/(COUNTA(TH14:TJ14)),"")</f>
        <v/>
      </c>
      <c r="TL14" s="119" t="str">
        <f t="shared" si="117"/>
        <v/>
      </c>
      <c r="TM14" s="122"/>
      <c r="TN14" s="123"/>
      <c r="TO14" s="128"/>
      <c r="TP14" s="118" t="str">
        <f>IFERROR((((COUNTIF('Elève (5ème3)'!TM14:TO14,"A"))*4)+((COUNTIF('Elève (5ème3)'!TM14:TO14,"B"))*3)+((COUNTIF('Elève (5ème3)'!TM14:TO14,"C"))*2)+((COUNTIF('Elève (5ème3)'!TM14:TO14,"D"))*1))/(COUNTA(TM14:TO14)),"")</f>
        <v/>
      </c>
      <c r="TQ14" s="119" t="str">
        <f t="shared" si="118"/>
        <v/>
      </c>
      <c r="TR14" s="118" t="str">
        <f>IF(COUNT(TF14,TK14,TP14)=0,"",SUM(TF14,TK14,TP14)/COUNT(TF14,TK14,TP14))</f>
        <v/>
      </c>
      <c r="TS14" s="120" t="str">
        <f t="shared" si="119"/>
        <v/>
      </c>
    </row>
    <row r="15" spans="1:539" ht="18" customHeight="1" thickBot="1" x14ac:dyDescent="0.3">
      <c r="A15" s="238" t="s">
        <v>37</v>
      </c>
      <c r="B15" s="239"/>
      <c r="C15" s="129"/>
      <c r="D15" s="130"/>
      <c r="E15" s="131"/>
      <c r="F15" s="184" t="str">
        <f>IFERROR((((COUNTIF('Elève (5ème3)'!C15:E15,"A"))*4)+((COUNTIF('Elève (5ème3)'!C15:E15,"B"))*3)+((COUNTIF('Elève (5ème3)'!C15:E15,"C"))*2)+((COUNTIF('Elève (5ème3)'!C15:E15,"D"))*1))/(COUNTA(C15:E15)),"")</f>
        <v/>
      </c>
      <c r="G15" s="185" t="str">
        <f t="shared" si="0"/>
        <v/>
      </c>
      <c r="H15" s="129"/>
      <c r="I15" s="130" t="s">
        <v>27</v>
      </c>
      <c r="J15" s="131" t="s">
        <v>27</v>
      </c>
      <c r="K15" s="184">
        <f>IFERROR((((COUNTIF('Elève (5ème3)'!H15:J15,"A"))*4)+((COUNTIF('Elève (5ème3)'!H15:J15,"B"))*3)+((COUNTIF('Elève (5ème3)'!H15:J15,"C"))*2)+((COUNTIF('Elève (5ème3)'!H15:J15,"D"))*1))/(COUNTA(H15:J15)),"")</f>
        <v>4</v>
      </c>
      <c r="L15" s="185" t="str">
        <f t="shared" si="1"/>
        <v>A</v>
      </c>
      <c r="M15" s="129"/>
      <c r="N15" s="130"/>
      <c r="O15" s="131" t="s">
        <v>28</v>
      </c>
      <c r="P15" s="131"/>
      <c r="Q15" s="184">
        <f>IFERROR((((COUNTIF('Elève (5ème3)'!M15:P15,"A"))*4)+((COUNTIF('Elève (5ème3)'!M15:P15,"B"))*3)+((COUNTIF('Elève (5ème3)'!M15:P15,"C"))*2)+((COUNTIF('Elève (5ème3)'!M15:P15,"D"))*1))/(COUNTA(M15:P15)),"")</f>
        <v>3</v>
      </c>
      <c r="R15" s="185" t="str">
        <f t="shared" si="2"/>
        <v>B</v>
      </c>
      <c r="S15" s="209">
        <f>IF(COUNT(F15,K15,Q15)=0,"",SUM(F15,K15,Q15)/COUNT(F15,K15,Q15))</f>
        <v>3.5</v>
      </c>
      <c r="T15" s="207" t="str">
        <f t="shared" si="3"/>
        <v>B</v>
      </c>
      <c r="U15" s="129"/>
      <c r="V15" s="130"/>
      <c r="W15" s="131"/>
      <c r="X15" s="184" t="str">
        <f>IFERROR((((COUNTIF('Elève (5ème3)'!U15:W15,"A"))*4)+((COUNTIF('Elève (5ème3)'!U15:W15,"B"))*3)+((COUNTIF('Elève (5ème3)'!U15:W15,"C"))*2)+((COUNTIF('Elève (5ème3)'!U15:W15,"D"))*1))/(COUNTA(U15:W15)),"")</f>
        <v/>
      </c>
      <c r="Y15" s="185" t="str">
        <f t="shared" si="4"/>
        <v/>
      </c>
      <c r="Z15" s="129"/>
      <c r="AA15" s="130" t="s">
        <v>27</v>
      </c>
      <c r="AB15" s="131" t="s">
        <v>27</v>
      </c>
      <c r="AC15" s="184">
        <f>IFERROR((((COUNTIF('Elève (5ème3)'!Z15:AB15,"A"))*4)+((COUNTIF('Elève (5ème3)'!Z15:AB15,"B"))*3)+((COUNTIF('Elève (5ème3)'!Z15:AB15,"C"))*2)+((COUNTIF('Elève (5ème3)'!Z15:AB15,"D"))*1))/(COUNTA(Z15:AB15)),"")</f>
        <v>4</v>
      </c>
      <c r="AD15" s="185" t="str">
        <f t="shared" si="5"/>
        <v>A</v>
      </c>
      <c r="AE15" s="129"/>
      <c r="AF15" s="130"/>
      <c r="AG15" s="131" t="s">
        <v>27</v>
      </c>
      <c r="AH15" s="135"/>
      <c r="AI15" s="184">
        <f>IFERROR((((COUNTIF('Elève (5ème3)'!AE15:AH15,"A"))*4)+((COUNTIF('Elève (5ème3)'!AE15:AH15,"B"))*3)+((COUNTIF('Elève (5ème3)'!AE15:AH15,"C"))*2)+((COUNTIF('Elève (5ème3)'!AE15:AH15,"D"))*1))/(COUNTA(AE15:AH15)),"")</f>
        <v>4</v>
      </c>
      <c r="AJ15" s="185" t="str">
        <f t="shared" si="6"/>
        <v>A</v>
      </c>
      <c r="AK15" s="209">
        <f>IF(COUNT(X15,AC15,AI15)=0,"",SUM(X15,AC15,AI15)/COUNT(X15,AC15,AI15))</f>
        <v>4</v>
      </c>
      <c r="AL15" s="207" t="str">
        <f t="shared" si="7"/>
        <v>A</v>
      </c>
      <c r="AM15" s="129"/>
      <c r="AN15" s="130"/>
      <c r="AO15" s="131"/>
      <c r="AP15" s="184" t="str">
        <f>IFERROR((((COUNTIF('Elève (5ème3)'!AM15:AO15,"A"))*4)+((COUNTIF('Elève (5ème3)'!AM15:AO15,"B"))*3)+((COUNTIF('Elève (5ème3)'!AM15:AO15,"C"))*2)+((COUNTIF('Elève (5ème3)'!AM15:AO15,"D"))*1))/(COUNTA(AM15:AO15)),"")</f>
        <v/>
      </c>
      <c r="AQ15" s="185" t="str">
        <f t="shared" si="8"/>
        <v/>
      </c>
      <c r="AR15" s="129"/>
      <c r="AS15" s="130" t="s">
        <v>27</v>
      </c>
      <c r="AT15" s="131" t="s">
        <v>27</v>
      </c>
      <c r="AU15" s="184">
        <f>IFERROR((((COUNTIF('Elève (5ème3)'!AR15:AT15,"A"))*4)+((COUNTIF('Elève (5ème3)'!AR15:AT15,"B"))*3)+((COUNTIF('Elève (5ème3)'!AR15:AT15,"C"))*2)+((COUNTIF('Elève (5ème3)'!AR15:AT15,"D"))*1))/(COUNTA(AR15:AT15)),"")</f>
        <v>4</v>
      </c>
      <c r="AV15" s="185" t="str">
        <f t="shared" si="9"/>
        <v>A</v>
      </c>
      <c r="AW15" s="129"/>
      <c r="AX15" s="130"/>
      <c r="AY15" s="131" t="s">
        <v>28</v>
      </c>
      <c r="AZ15" s="135"/>
      <c r="BA15" s="184">
        <f>IFERROR((((COUNTIF('Elève (5ème3)'!AW15:AZ15,"A"))*4)+((COUNTIF('Elève (5ème3)'!AW15:AZ15,"B"))*3)+((COUNTIF('Elève (5ème3)'!AW15:AZ15,"C"))*2)+((COUNTIF('Elève (5ème3)'!AW15:AZ15,"D"))*1))/(COUNTA(AW15:AZ15)),"")</f>
        <v>3</v>
      </c>
      <c r="BB15" s="185" t="str">
        <f t="shared" si="10"/>
        <v>B</v>
      </c>
      <c r="BC15" s="209">
        <f>IF(COUNT(AP15,AU15,BA15)=0,"",SUM(AP15,AU15,BA15)/COUNT(AP15,AU15,BA15))</f>
        <v>3.5</v>
      </c>
      <c r="BD15" s="207" t="str">
        <f t="shared" si="11"/>
        <v>B</v>
      </c>
      <c r="BE15" s="129"/>
      <c r="BF15" s="130"/>
      <c r="BG15" s="131"/>
      <c r="BH15" s="184" t="str">
        <f>IFERROR((((COUNTIF('Elève (5ème3)'!BE15:BG15,"A"))*4)+((COUNTIF('Elève (5ème3)'!BE15:BG15,"B"))*3)+((COUNTIF('Elève (5ème3)'!BE15:BG15,"C"))*2)+((COUNTIF('Elève (5ème3)'!BE15:BG15,"D"))*1))/(COUNTA(BE15:BG15)),"")</f>
        <v/>
      </c>
      <c r="BI15" s="185" t="str">
        <f t="shared" si="12"/>
        <v/>
      </c>
      <c r="BJ15" s="129"/>
      <c r="BK15" s="130" t="s">
        <v>27</v>
      </c>
      <c r="BL15" s="131" t="s">
        <v>29</v>
      </c>
      <c r="BM15" s="184">
        <f>IFERROR((((COUNTIF('Elève (5ème3)'!BJ15:BL15,"A"))*4)+((COUNTIF('Elève (5ème3)'!BJ15:BL15,"B"))*3)+((COUNTIF('Elève (5ème3)'!BJ15:BL15,"C"))*2)+((COUNTIF('Elève (5ème3)'!BJ15:BL15,"D"))*1))/(COUNTA(BJ15:BL15)),"")</f>
        <v>3</v>
      </c>
      <c r="BN15" s="185" t="str">
        <f t="shared" si="13"/>
        <v>B</v>
      </c>
      <c r="BO15" s="129"/>
      <c r="BP15" s="130"/>
      <c r="BQ15" s="131" t="s">
        <v>28</v>
      </c>
      <c r="BR15" s="135"/>
      <c r="BS15" s="184">
        <f>IFERROR((((COUNTIF('Elève (5ème3)'!BO15:BR15,"A"))*4)+((COUNTIF('Elève (5ème3)'!BO15:BR15,"B"))*3)+((COUNTIF('Elève (5ème3)'!BO15:BR15,"C"))*2)+((COUNTIF('Elève (5ème3)'!BO15:BR15,"D"))*1))/(COUNTA(BO15:BR15)),"")</f>
        <v>3</v>
      </c>
      <c r="BT15" s="185" t="str">
        <f t="shared" si="14"/>
        <v>B</v>
      </c>
      <c r="BU15" s="209">
        <f>IF(COUNT(BH15,BM15,BS15)=0,"",SUM(BH15,BM15,BS15)/COUNT(BH15,BM15,BS15))</f>
        <v>3</v>
      </c>
      <c r="BV15" s="207" t="str">
        <f t="shared" si="15"/>
        <v>B</v>
      </c>
      <c r="BW15" s="129"/>
      <c r="BX15" s="130"/>
      <c r="BY15" s="131"/>
      <c r="BZ15" s="184" t="str">
        <f>IFERROR((((COUNTIF('Elève (5ème3)'!BW15:BY15,"A"))*4)+((COUNTIF('Elève (5ème3)'!BW15:BY15,"B"))*3)+((COUNTIF('Elève (5ème3)'!BW15:BY15,"C"))*2)+((COUNTIF('Elève (5ème3)'!BW15:BY15,"D"))*1))/(COUNTA(BW15:BY15)),"")</f>
        <v/>
      </c>
      <c r="CA15" s="185" t="str">
        <f t="shared" si="16"/>
        <v/>
      </c>
      <c r="CB15" s="129"/>
      <c r="CC15" s="130" t="s">
        <v>27</v>
      </c>
      <c r="CD15" s="131" t="s">
        <v>28</v>
      </c>
      <c r="CE15" s="184">
        <f>IFERROR((((COUNTIF('Elève (5ème3)'!CB15:CD15,"A"))*4)+((COUNTIF('Elève (5ème3)'!CB15:CD15,"B"))*3)+((COUNTIF('Elève (5ème3)'!CB15:CD15,"C"))*2)+((COUNTIF('Elève (5ème3)'!CB15:CD15,"D"))*1))/(COUNTA(CB15:CD15)),"")</f>
        <v>3.5</v>
      </c>
      <c r="CF15" s="185" t="str">
        <f t="shared" si="17"/>
        <v>B</v>
      </c>
      <c r="CG15" s="129"/>
      <c r="CH15" s="130"/>
      <c r="CI15" s="131" t="s">
        <v>28</v>
      </c>
      <c r="CJ15" s="135"/>
      <c r="CK15" s="184">
        <f>IFERROR((((COUNTIF('Elève (5ème3)'!CG15:CJ15,"A"))*4)+((COUNTIF('Elève (5ème3)'!CG15:CJ15,"B"))*3)+((COUNTIF('Elève (5ème3)'!CG15:CJ15,"C"))*2)+((COUNTIF('Elève (5ème3)'!CG15:CJ15,"D"))*1))/(COUNTA(CG15:CJ15)),"")</f>
        <v>3</v>
      </c>
      <c r="CL15" s="185" t="str">
        <f t="shared" si="18"/>
        <v>B</v>
      </c>
      <c r="CM15" s="209">
        <f>IF(COUNT(BZ15,CE15,CK15)=0,"",SUM(BZ15,CE15,CK15)/COUNT(BZ15,CE15,CK15))</f>
        <v>3.25</v>
      </c>
      <c r="CN15" s="207" t="str">
        <f t="shared" si="19"/>
        <v>B</v>
      </c>
      <c r="CO15" s="129"/>
      <c r="CP15" s="130"/>
      <c r="CQ15" s="131"/>
      <c r="CR15" s="184" t="str">
        <f>IFERROR((((COUNTIF('Elève (5ème3)'!CO15:CQ15,"A"))*4)+((COUNTIF('Elève (5ème3)'!CO15:CQ15,"B"))*3)+((COUNTIF('Elève (5ème3)'!CO15:CQ15,"C"))*2)+((COUNTIF('Elève (5ème3)'!CO15:CQ15,"D"))*1))/(COUNTA(CO15:CQ15)),"")</f>
        <v/>
      </c>
      <c r="CS15" s="185" t="str">
        <f t="shared" si="20"/>
        <v/>
      </c>
      <c r="CT15" s="129"/>
      <c r="CU15" s="130" t="s">
        <v>27</v>
      </c>
      <c r="CV15" s="131" t="s">
        <v>29</v>
      </c>
      <c r="CW15" s="184">
        <f>IFERROR((((COUNTIF('Elève (5ème3)'!CT15:CV15,"A"))*4)+((COUNTIF('Elève (5ème3)'!CT15:CV15,"B"))*3)+((COUNTIF('Elève (5ème3)'!CT15:CV15,"C"))*2)+((COUNTIF('Elève (5ème3)'!CT15:CV15,"D"))*1))/(COUNTA(CT15:CV15)),"")</f>
        <v>3</v>
      </c>
      <c r="CX15" s="185" t="str">
        <f t="shared" si="21"/>
        <v>B</v>
      </c>
      <c r="CY15" s="129"/>
      <c r="CZ15" s="130"/>
      <c r="DA15" s="131" t="s">
        <v>27</v>
      </c>
      <c r="DB15" s="135"/>
      <c r="DC15" s="184">
        <f>IFERROR((((COUNTIF('Elève (5ème3)'!CY15:DB15,"A"))*4)+((COUNTIF('Elève (5ème3)'!CY15:DB15,"B"))*3)+((COUNTIF('Elève (5ème3)'!CY15:DB15,"C"))*2)+((COUNTIF('Elève (5ème3)'!CY15:DB15,"D"))*1))/(COUNTA(CY15:DB15)),"")</f>
        <v>4</v>
      </c>
      <c r="DD15" s="185" t="str">
        <f t="shared" si="22"/>
        <v>A</v>
      </c>
      <c r="DE15" s="209">
        <f>IF(COUNT(CR15,CW15,DC15)=0,"",SUM(CR15,CW15,DC15)/COUNT(CR15,CW15,DC15))</f>
        <v>3.5</v>
      </c>
      <c r="DF15" s="207" t="str">
        <f t="shared" si="23"/>
        <v>B</v>
      </c>
      <c r="DG15" s="129"/>
      <c r="DH15" s="130"/>
      <c r="DI15" s="131"/>
      <c r="DJ15" s="184" t="str">
        <f>IFERROR((((COUNTIF('Elève (5ème3)'!DG15:DI15,"A"))*4)+((COUNTIF('Elève (5ème3)'!DG15:DI15,"B"))*3)+((COUNTIF('Elève (5ème3)'!DG15:DI15,"C"))*2)+((COUNTIF('Elève (5ème3)'!DG15:DI15,"D"))*1))/(COUNTA(DG15:DI15)),"")</f>
        <v/>
      </c>
      <c r="DK15" s="185" t="str">
        <f t="shared" si="24"/>
        <v/>
      </c>
      <c r="DL15" s="129"/>
      <c r="DM15" s="130" t="s">
        <v>27</v>
      </c>
      <c r="DN15" s="131" t="s">
        <v>27</v>
      </c>
      <c r="DO15" s="184">
        <f>IFERROR((((COUNTIF('Elève (5ème3)'!DL15:DN15,"A"))*4)+((COUNTIF('Elève (5ème3)'!DL15:DN15,"B"))*3)+((COUNTIF('Elève (5ème3)'!DL15:DN15,"C"))*2)+((COUNTIF('Elève (5ème3)'!DL15:DN15,"D"))*1))/(COUNTA(DL15:DN15)),"")</f>
        <v>4</v>
      </c>
      <c r="DP15" s="185" t="str">
        <f t="shared" si="25"/>
        <v>A</v>
      </c>
      <c r="DQ15" s="129"/>
      <c r="DR15" s="130"/>
      <c r="DS15" s="131" t="s">
        <v>27</v>
      </c>
      <c r="DT15" s="135"/>
      <c r="DU15" s="184">
        <f>IFERROR((((COUNTIF('Elève (5ème3)'!DQ15:DT15,"A"))*4)+((COUNTIF('Elève (5ème3)'!DQ15:DT15,"B"))*3)+((COUNTIF('Elève (5ème3)'!DQ15:DT15,"C"))*2)+((COUNTIF('Elève (5ème3)'!DQ15:DT15,"D"))*1))/(COUNTA(DQ15:DT15)),"")</f>
        <v>4</v>
      </c>
      <c r="DV15" s="185" t="str">
        <f t="shared" si="26"/>
        <v>A</v>
      </c>
      <c r="DW15" s="209">
        <f>IF(COUNT(DJ15,DO15,DU15)=0,"",SUM(DJ15,DO15,DU15)/COUNT(DJ15,DO15,DU15))</f>
        <v>4</v>
      </c>
      <c r="DX15" s="207" t="str">
        <f t="shared" si="27"/>
        <v>A</v>
      </c>
      <c r="DY15" s="129"/>
      <c r="DZ15" s="130"/>
      <c r="EA15" s="131"/>
      <c r="EB15" s="184" t="str">
        <f>IFERROR((((COUNTIF('Elève (5ème3)'!DY15:EA15,"A"))*4)+((COUNTIF('Elève (5ème3)'!DY15:EA15,"B"))*3)+((COUNTIF('Elève (5ème3)'!DY15:EA15,"C"))*2)+((COUNTIF('Elève (5ème3)'!DY15:EA15,"D"))*1))/(COUNTA(DY15:EA15)),"")</f>
        <v/>
      </c>
      <c r="EC15" s="185" t="str">
        <f t="shared" si="28"/>
        <v/>
      </c>
      <c r="ED15" s="129"/>
      <c r="EE15" s="130" t="s">
        <v>27</v>
      </c>
      <c r="EF15" s="131" t="s">
        <v>29</v>
      </c>
      <c r="EG15" s="184">
        <f>IFERROR((((COUNTIF('Elève (5ème3)'!ED15:EF15,"A"))*4)+((COUNTIF('Elève (5ème3)'!ED15:EF15,"B"))*3)+((COUNTIF('Elève (5ème3)'!ED15:EF15,"C"))*2)+((COUNTIF('Elève (5ème3)'!ED15:EF15,"D"))*1))/(COUNTA(ED15:EF15)),"")</f>
        <v>3</v>
      </c>
      <c r="EH15" s="185" t="str">
        <f t="shared" si="29"/>
        <v>B</v>
      </c>
      <c r="EI15" s="129"/>
      <c r="EJ15" s="130"/>
      <c r="EK15" s="131" t="s">
        <v>28</v>
      </c>
      <c r="EL15" s="135"/>
      <c r="EM15" s="184">
        <f>IFERROR((((COUNTIF('Elève (5ème3)'!EI15:EL15,"A"))*4)+((COUNTIF('Elève (5ème3)'!EI15:EL15,"B"))*3)+((COUNTIF('Elève (5ème3)'!EI15:EL15,"C"))*2)+((COUNTIF('Elève (5ème3)'!EI15:EL15,"D"))*1))/(COUNTA(EI15:EL15)),"")</f>
        <v>3</v>
      </c>
      <c r="EN15" s="185" t="str">
        <f t="shared" si="30"/>
        <v>B</v>
      </c>
      <c r="EO15" s="209">
        <f>IF(COUNT(EB15,EG15,EM15)=0,"",SUM(EB15,EG15,EM15)/COUNT(EB15,EG15,EM15))</f>
        <v>3</v>
      </c>
      <c r="EP15" s="207" t="str">
        <f t="shared" si="31"/>
        <v>B</v>
      </c>
      <c r="EQ15" s="129"/>
      <c r="ER15" s="130"/>
      <c r="ES15" s="131"/>
      <c r="ET15" s="184" t="str">
        <f>IFERROR((((COUNTIF('Elève (5ème3)'!EQ15:ES15,"A"))*4)+((COUNTIF('Elève (5ème3)'!EQ15:ES15,"B"))*3)+((COUNTIF('Elève (5ème3)'!EQ15:ES15,"C"))*2)+((COUNTIF('Elève (5ème3)'!EQ15:ES15,"D"))*1))/(COUNTA(EQ15:ES15)),"")</f>
        <v/>
      </c>
      <c r="EU15" s="185" t="str">
        <f t="shared" si="32"/>
        <v/>
      </c>
      <c r="EV15" s="129"/>
      <c r="EW15" s="130" t="s">
        <v>27</v>
      </c>
      <c r="EX15" s="131" t="s">
        <v>29</v>
      </c>
      <c r="EY15" s="184">
        <f>IFERROR((((COUNTIF('Elève (5ème3)'!EV15:EX15,"A"))*4)+((COUNTIF('Elève (5ème3)'!EV15:EX15,"B"))*3)+((COUNTIF('Elève (5ème3)'!EV15:EX15,"C"))*2)+((COUNTIF('Elève (5ème3)'!EV15:EX15,"D"))*1))/(COUNTA(EV15:EX15)),"")</f>
        <v>3</v>
      </c>
      <c r="EZ15" s="185" t="str">
        <f t="shared" si="33"/>
        <v>B</v>
      </c>
      <c r="FA15" s="129"/>
      <c r="FB15" s="130"/>
      <c r="FC15" s="131" t="s">
        <v>28</v>
      </c>
      <c r="FD15" s="135"/>
      <c r="FE15" s="184">
        <f>IFERROR((((COUNTIF('Elève (5ème3)'!FA15:FD15,"A"))*4)+((COUNTIF('Elève (5ème3)'!FA15:FD15,"B"))*3)+((COUNTIF('Elève (5ème3)'!FA15:FD15,"C"))*2)+((COUNTIF('Elève (5ème3)'!FA15:FD15,"D"))*1))/(COUNTA(FA15:FD15)),"")</f>
        <v>3</v>
      </c>
      <c r="FF15" s="185" t="str">
        <f t="shared" si="34"/>
        <v>B</v>
      </c>
      <c r="FG15" s="209">
        <f>IF(COUNT(ET15,EY15,FE15)=0,"",SUM(ET15,EY15,FE15)/COUNT(ET15,EY15,FE15))</f>
        <v>3</v>
      </c>
      <c r="FH15" s="207" t="str">
        <f t="shared" si="35"/>
        <v>B</v>
      </c>
      <c r="FI15" s="129"/>
      <c r="FJ15" s="130"/>
      <c r="FK15" s="131"/>
      <c r="FL15" s="184" t="str">
        <f>IFERROR((((COUNTIF('Elève (5ème3)'!FI15:FK15,"A"))*4)+((COUNTIF('Elève (5ème3)'!FI15:FK15,"B"))*3)+((COUNTIF('Elève (5ème3)'!FI15:FK15,"C"))*2)+((COUNTIF('Elève (5ème3)'!FI15:FK15,"D"))*1))/(COUNTA(FI15:FK15)),"")</f>
        <v/>
      </c>
      <c r="FM15" s="185" t="str">
        <f t="shared" si="36"/>
        <v/>
      </c>
      <c r="FN15" s="129"/>
      <c r="FO15" s="130" t="s">
        <v>27</v>
      </c>
      <c r="FP15" s="131" t="s">
        <v>30</v>
      </c>
      <c r="FQ15" s="184">
        <f>IFERROR((((COUNTIF('Elève (5ème3)'!FN15:FP15,"A"))*4)+((COUNTIF('Elève (5ème3)'!FN15:FP15,"B"))*3)+((COUNTIF('Elève (5ème3)'!FN15:FP15,"C"))*2)+((COUNTIF('Elève (5ème3)'!FN15:FP15,"D"))*1))/(COUNTA(FN15:FP15)),"")</f>
        <v>2.5</v>
      </c>
      <c r="FR15" s="185" t="str">
        <f t="shared" si="37"/>
        <v>C</v>
      </c>
      <c r="FS15" s="129"/>
      <c r="FT15" s="130"/>
      <c r="FU15" s="131" t="s">
        <v>28</v>
      </c>
      <c r="FV15" s="135"/>
      <c r="FW15" s="184">
        <f>IFERROR((((COUNTIF('Elève (5ème3)'!FS15:FV15,"A"))*4)+((COUNTIF('Elève (5ème3)'!FS15:FV15,"B"))*3)+((COUNTIF('Elève (5ème3)'!FS15:FV15,"C"))*2)+((COUNTIF('Elève (5ème3)'!FS15:FV15,"D"))*1))/(COUNTA(FS15:FV15)),"")</f>
        <v>3</v>
      </c>
      <c r="FX15" s="185" t="str">
        <f t="shared" si="38"/>
        <v>B</v>
      </c>
      <c r="FY15" s="209">
        <f>IF(COUNT(FL15,FQ15,FW15)=0,"",SUM(FL15,FQ15,FW15)/COUNT(FL15,FQ15,FW15))</f>
        <v>2.75</v>
      </c>
      <c r="FZ15" s="207" t="str">
        <f t="shared" si="39"/>
        <v>C</v>
      </c>
      <c r="GA15" s="129"/>
      <c r="GB15" s="130"/>
      <c r="GC15" s="131"/>
      <c r="GD15" s="184" t="str">
        <f>IFERROR((((COUNTIF('Elève (5ème3)'!GA15:GC15,"A"))*4)+((COUNTIF('Elève (5ème3)'!GA15:GC15,"B"))*3)+((COUNTIF('Elève (5ème3)'!GA15:GC15,"C"))*2)+((COUNTIF('Elève (5ème3)'!GA15:GC15,"D"))*1))/(COUNTA(GA15:GC15)),"")</f>
        <v/>
      </c>
      <c r="GE15" s="185" t="str">
        <f t="shared" si="40"/>
        <v/>
      </c>
      <c r="GF15" s="129"/>
      <c r="GG15" s="130" t="s">
        <v>27</v>
      </c>
      <c r="GH15" s="131" t="s">
        <v>27</v>
      </c>
      <c r="GI15" s="184">
        <f>IFERROR((((COUNTIF('Elève (5ème3)'!GF15:GH15,"A"))*4)+((COUNTIF('Elève (5ème3)'!GF15:GH15,"B"))*3)+((COUNTIF('Elève (5ème3)'!GF15:GH15,"C"))*2)+((COUNTIF('Elève (5ème3)'!GF15:GH15,"D"))*1))/(COUNTA(GF15:GH15)),"")</f>
        <v>4</v>
      </c>
      <c r="GJ15" s="185" t="str">
        <f t="shared" si="41"/>
        <v>A</v>
      </c>
      <c r="GK15" s="129"/>
      <c r="GL15" s="130"/>
      <c r="GM15" s="131" t="s">
        <v>29</v>
      </c>
      <c r="GN15" s="135"/>
      <c r="GO15" s="184">
        <f>IFERROR((((COUNTIF('Elève (5ème3)'!GK15:GN15,"A"))*4)+((COUNTIF('Elève (5ème3)'!GK15:GN15,"B"))*3)+((COUNTIF('Elève (5ème3)'!GK15:GN15,"C"))*2)+((COUNTIF('Elève (5ème3)'!GK15:GN15,"D"))*1))/(COUNTA(GK15:GN15)),"")</f>
        <v>2</v>
      </c>
      <c r="GP15" s="185" t="str">
        <f t="shared" si="42"/>
        <v>C</v>
      </c>
      <c r="GQ15" s="209">
        <f>IF(COUNT(GD15,GI15,GO15)=0,"",SUM(GD15,GI15,GO15)/COUNT(GD15,GI15,GO15))</f>
        <v>3</v>
      </c>
      <c r="GR15" s="207" t="str">
        <f t="shared" si="43"/>
        <v>B</v>
      </c>
      <c r="GS15" s="129"/>
      <c r="GT15" s="130"/>
      <c r="GU15" s="131"/>
      <c r="GV15" s="184" t="str">
        <f>IFERROR((((COUNTIF('Elève (5ème3)'!GS15:GU15,"A"))*4)+((COUNTIF('Elève (5ème3)'!GS15:GU15,"B"))*3)+((COUNTIF('Elève (5ème3)'!GS15:GU15,"C"))*2)+((COUNTIF('Elève (5ème3)'!GS15:GU15,"D"))*1))/(COUNTA(GS15:GU15)),"")</f>
        <v/>
      </c>
      <c r="GW15" s="185" t="str">
        <f t="shared" si="44"/>
        <v/>
      </c>
      <c r="GX15" s="129"/>
      <c r="GY15" s="130" t="s">
        <v>27</v>
      </c>
      <c r="GZ15" s="131" t="s">
        <v>29</v>
      </c>
      <c r="HA15" s="184">
        <f>IFERROR((((COUNTIF('Elève (5ème3)'!GX15:GZ15,"A"))*4)+((COUNTIF('Elève (5ème3)'!GX15:GZ15,"B"))*3)+((COUNTIF('Elève (5ème3)'!GX15:GZ15,"C"))*2)+((COUNTIF('Elève (5ème3)'!GX15:GZ15,"D"))*1))/(COUNTA(GX15:GZ15)),"")</f>
        <v>3</v>
      </c>
      <c r="HB15" s="185" t="str">
        <f t="shared" si="45"/>
        <v>B</v>
      </c>
      <c r="HC15" s="129"/>
      <c r="HD15" s="130"/>
      <c r="HE15" s="131" t="s">
        <v>27</v>
      </c>
      <c r="HF15" s="135"/>
      <c r="HG15" s="184">
        <f>IFERROR((((COUNTIF('Elève (5ème3)'!HC15:HF15,"A"))*4)+((COUNTIF('Elève (5ème3)'!HC15:HF15,"B"))*3)+((COUNTIF('Elève (5ème3)'!HC15:HF15,"C"))*2)+((COUNTIF('Elève (5ème3)'!HC15:HF15,"D"))*1))/(COUNTA(HC15:HF15)),"")</f>
        <v>4</v>
      </c>
      <c r="HH15" s="185" t="str">
        <f t="shared" si="46"/>
        <v>A</v>
      </c>
      <c r="HI15" s="209">
        <f>IF(COUNT(GV15,HA15,HG15)=0,"",SUM(GV15,HA15,HG15)/COUNT(GV15,HA15,HG15))</f>
        <v>3.5</v>
      </c>
      <c r="HJ15" s="207" t="str">
        <f t="shared" si="47"/>
        <v>B</v>
      </c>
      <c r="HK15" s="129"/>
      <c r="HL15" s="130"/>
      <c r="HM15" s="131"/>
      <c r="HN15" s="184" t="str">
        <f>IFERROR((((COUNTIF('Elève (5ème3)'!HK15:HM15,"A"))*4)+((COUNTIF('Elève (5ème3)'!HK15:HM15,"B"))*3)+((COUNTIF('Elève (5ème3)'!HK15:HM15,"C"))*2)+((COUNTIF('Elève (5ème3)'!HK15:HM15,"D"))*1))/(COUNTA(HK15:HM15)),"")</f>
        <v/>
      </c>
      <c r="HO15" s="185" t="str">
        <f t="shared" si="48"/>
        <v/>
      </c>
      <c r="HP15" s="129"/>
      <c r="HQ15" s="130"/>
      <c r="HR15" s="131" t="s">
        <v>29</v>
      </c>
      <c r="HS15" s="184">
        <f>IFERROR((((COUNTIF('Elève (5ème3)'!HP15:HR15,"A"))*4)+((COUNTIF('Elève (5ème3)'!HP15:HR15,"B"))*3)+((COUNTIF('Elève (5ème3)'!HP15:HR15,"C"))*2)+((COUNTIF('Elève (5ème3)'!HP15:HR15,"D"))*1))/(COUNTA(HP15:HR15)),"")</f>
        <v>2</v>
      </c>
      <c r="HT15" s="185" t="str">
        <f t="shared" si="49"/>
        <v>C</v>
      </c>
      <c r="HU15" s="129"/>
      <c r="HV15" s="130"/>
      <c r="HW15" s="131" t="s">
        <v>27</v>
      </c>
      <c r="HX15" s="135"/>
      <c r="HY15" s="184">
        <f>IFERROR((((COUNTIF('Elève (5ème3)'!HU15:HX15,"A"))*4)+((COUNTIF('Elève (5ème3)'!HU15:HX15,"B"))*3)+((COUNTIF('Elève (5ème3)'!HU15:HX15,"C"))*2)+((COUNTIF('Elève (5ème3)'!HU15:HX15,"D"))*1))/(COUNTA(HU15:HX15)),"")</f>
        <v>4</v>
      </c>
      <c r="HZ15" s="185" t="str">
        <f t="shared" si="50"/>
        <v>A</v>
      </c>
      <c r="IA15" s="209">
        <f>IF(COUNT(HN15,HS15,HY15)=0,"",SUM(HN15,HS15,HY15)/COUNT(HN15,HS15,HY15))</f>
        <v>3</v>
      </c>
      <c r="IB15" s="207" t="str">
        <f t="shared" si="51"/>
        <v>B</v>
      </c>
      <c r="IC15" s="129"/>
      <c r="ID15" s="130"/>
      <c r="IE15" s="131"/>
      <c r="IF15" s="184" t="str">
        <f>IFERROR((((COUNTIF('Elève (5ème3)'!IC15:IE15,"A"))*4)+((COUNTIF('Elève (5ème3)'!IC15:IE15,"B"))*3)+((COUNTIF('Elève (5ème3)'!IC15:IE15,"C"))*2)+((COUNTIF('Elève (5ème3)'!IC15:IE15,"D"))*1))/(COUNTA(IC15:IE15)),"")</f>
        <v/>
      </c>
      <c r="IG15" s="185" t="str">
        <f t="shared" si="52"/>
        <v/>
      </c>
      <c r="IH15" s="129"/>
      <c r="II15" s="130" t="s">
        <v>27</v>
      </c>
      <c r="IJ15" s="131" t="s">
        <v>29</v>
      </c>
      <c r="IK15" s="184">
        <f>IFERROR((((COUNTIF('Elève (5ème3)'!IH15:IJ15,"A"))*4)+((COUNTIF('Elève (5ème3)'!IH15:IJ15,"B"))*3)+((COUNTIF('Elève (5ème3)'!IH15:IJ15,"C"))*2)+((COUNTIF('Elève (5ème3)'!IH15:IJ15,"D"))*1))/(COUNTA(IH15:IJ15)),"")</f>
        <v>3</v>
      </c>
      <c r="IL15" s="185" t="str">
        <f t="shared" si="53"/>
        <v>B</v>
      </c>
      <c r="IM15" s="129"/>
      <c r="IN15" s="130"/>
      <c r="IO15" s="131" t="s">
        <v>28</v>
      </c>
      <c r="IP15" s="135"/>
      <c r="IQ15" s="184">
        <f>IFERROR((((COUNTIF('Elève (5ème3)'!IM15:IP15,"A"))*4)+((COUNTIF('Elève (5ème3)'!IM15:IP15,"B"))*3)+((COUNTIF('Elève (5ème3)'!IM15:IP15,"C"))*2)+((COUNTIF('Elève (5ème3)'!IM15:IP15,"D"))*1))/(COUNTA(IM15:IP15)),"")</f>
        <v>3</v>
      </c>
      <c r="IR15" s="185" t="str">
        <f t="shared" si="54"/>
        <v>B</v>
      </c>
      <c r="IS15" s="209">
        <f>IF(COUNT(IF15,IK15,IQ15)=0,"",SUM(IF15,IK15,IQ15)/COUNT(IF15,IK15,IQ15))</f>
        <v>3</v>
      </c>
      <c r="IT15" s="207" t="str">
        <f t="shared" si="55"/>
        <v>B</v>
      </c>
      <c r="IU15" s="129"/>
      <c r="IV15" s="130"/>
      <c r="IW15" s="131"/>
      <c r="IX15" s="184" t="str">
        <f>IFERROR((((COUNTIF('Elève (5ème3)'!IU15:IW15,"A"))*4)+((COUNTIF('Elève (5ème3)'!IU15:IW15,"B"))*3)+((COUNTIF('Elève (5ème3)'!IU15:IW15,"C"))*2)+((COUNTIF('Elève (5ème3)'!IU15:IW15,"D"))*1))/(COUNTA(IU15:IW15)),"")</f>
        <v/>
      </c>
      <c r="IY15" s="185" t="str">
        <f t="shared" si="56"/>
        <v/>
      </c>
      <c r="IZ15" s="129"/>
      <c r="JA15" s="130"/>
      <c r="JB15" s="131"/>
      <c r="JC15" s="184" t="str">
        <f>IFERROR((((COUNTIF('Elève (5ème3)'!IZ15:JB15,"A"))*4)+((COUNTIF('Elève (5ème3)'!IZ15:JB15,"B"))*3)+((COUNTIF('Elève (5ème3)'!IZ15:JB15,"C"))*2)+((COUNTIF('Elève (5ème3)'!IZ15:JB15,"D"))*1))/(COUNTA(IZ15:JB15)),"")</f>
        <v/>
      </c>
      <c r="JD15" s="185" t="str">
        <f t="shared" si="57"/>
        <v/>
      </c>
      <c r="JE15" s="129"/>
      <c r="JF15" s="130"/>
      <c r="JG15" s="131" t="s">
        <v>29</v>
      </c>
      <c r="JH15" s="135"/>
      <c r="JI15" s="184">
        <f>IFERROR((((COUNTIF('Elève (5ème3)'!JE15:JH15,"A"))*4)+((COUNTIF('Elève (5ème3)'!JE15:JH15,"B"))*3)+((COUNTIF('Elève (5ème3)'!JE15:JH15,"C"))*2)+((COUNTIF('Elève (5ème3)'!JE15:JH15,"D"))*1))/(COUNTA(JE15:JH15)),"")</f>
        <v>2</v>
      </c>
      <c r="JJ15" s="185" t="str">
        <f t="shared" si="58"/>
        <v>C</v>
      </c>
      <c r="JK15" s="209">
        <f>IF(COUNT(IX15,JC15,JI15)=0,"",SUM(IX15,JC15,JI15)/COUNT(IX15,JC15,JI15))</f>
        <v>2</v>
      </c>
      <c r="JL15" s="207" t="str">
        <f t="shared" si="59"/>
        <v>C</v>
      </c>
      <c r="JM15" s="129"/>
      <c r="JN15" s="130"/>
      <c r="JO15" s="131"/>
      <c r="JP15" s="184" t="str">
        <f>IFERROR((((COUNTIF('Elève (5ème3)'!JM15:JO15,"A"))*4)+((COUNTIF('Elève (5ème3)'!JM15:JO15,"B"))*3)+((COUNTIF('Elève (5ème3)'!JM15:JO15,"C"))*2)+((COUNTIF('Elève (5ème3)'!JM15:JO15,"D"))*1))/(COUNTA(JM15:JO15)),"")</f>
        <v/>
      </c>
      <c r="JQ15" s="185" t="str">
        <f t="shared" si="60"/>
        <v/>
      </c>
      <c r="JR15" s="129"/>
      <c r="JS15" s="130"/>
      <c r="JT15" s="131"/>
      <c r="JU15" s="184" t="str">
        <f>IFERROR((((COUNTIF('Elève (5ème3)'!JR15:JT15,"A"))*4)+((COUNTIF('Elève (5ème3)'!JR15:JT15,"B"))*3)+((COUNTIF('Elève (5ème3)'!JR15:JT15,"C"))*2)+((COUNTIF('Elève (5ème3)'!JR15:JT15,"D"))*1))/(COUNTA(JR15:JT15)),"")</f>
        <v/>
      </c>
      <c r="JV15" s="185" t="str">
        <f t="shared" si="61"/>
        <v/>
      </c>
      <c r="JW15" s="129"/>
      <c r="JX15" s="130"/>
      <c r="JY15" s="131"/>
      <c r="JZ15" s="135"/>
      <c r="KA15" s="184" t="str">
        <f>IFERROR((((COUNTIF('Elève (5ème3)'!JW15:JZ15,"A"))*4)+((COUNTIF('Elève (5ème3)'!JW15:JZ15,"B"))*3)+((COUNTIF('Elève (5ème3)'!JW15:JZ15,"C"))*2)+((COUNTIF('Elève (5ème3)'!JW15:JZ15,"D"))*1))/(COUNTA(JW15:JZ15)),"")</f>
        <v/>
      </c>
      <c r="KB15" s="185" t="str">
        <f t="shared" si="62"/>
        <v/>
      </c>
      <c r="KC15" s="209" t="str">
        <f>IF(COUNT(JP15,JU15,KA15)=0,"",SUM(JP15,JU15,KA15)/COUNT(JP15,JU15,KA15))</f>
        <v/>
      </c>
      <c r="KD15" s="207" t="str">
        <f t="shared" si="63"/>
        <v/>
      </c>
      <c r="KE15" s="129"/>
      <c r="KF15" s="130"/>
      <c r="KG15" s="131"/>
      <c r="KH15" s="184" t="str">
        <f>IFERROR((((COUNTIF('Elève (5ème3)'!KE15:KG15,"A"))*4)+((COUNTIF('Elève (5ème3)'!KE15:KG15,"B"))*3)+((COUNTIF('Elève (5ème3)'!KE15:KG15,"C"))*2)+((COUNTIF('Elève (5ème3)'!KE15:KG15,"D"))*1))/(COUNTA(KE15:KG15)),"")</f>
        <v/>
      </c>
      <c r="KI15" s="185" t="str">
        <f t="shared" si="64"/>
        <v/>
      </c>
      <c r="KJ15" s="129"/>
      <c r="KK15" s="130" t="s">
        <v>27</v>
      </c>
      <c r="KL15" s="131" t="s">
        <v>27</v>
      </c>
      <c r="KM15" s="184">
        <f>IFERROR((((COUNTIF('Elève (5ème3)'!KJ15:KL15,"A"))*4)+((COUNTIF('Elève (5ème3)'!KJ15:KL15,"B"))*3)+((COUNTIF('Elève (5ème3)'!KJ15:KL15,"C"))*2)+((COUNTIF('Elève (5ème3)'!KJ15:KL15,"D"))*1))/(COUNTA(KJ15:KL15)),"")</f>
        <v>4</v>
      </c>
      <c r="KN15" s="185" t="str">
        <f t="shared" si="65"/>
        <v>A</v>
      </c>
      <c r="KO15" s="129"/>
      <c r="KP15" s="130"/>
      <c r="KQ15" s="131" t="s">
        <v>28</v>
      </c>
      <c r="KR15" s="135"/>
      <c r="KS15" s="184">
        <f>IFERROR((((COUNTIF('Elève (5ème3)'!KO15:KR15,"A"))*4)+((COUNTIF('Elève (5ème3)'!KO15:KR15,"B"))*3)+((COUNTIF('Elève (5ème3)'!KO15:KR15,"C"))*2)+((COUNTIF('Elève (5ème3)'!KO15:KR15,"D"))*1))/(COUNTA(KO15:KR15)),"")</f>
        <v>3</v>
      </c>
      <c r="KT15" s="185" t="str">
        <f t="shared" si="66"/>
        <v>B</v>
      </c>
      <c r="KU15" s="209">
        <f>IF(COUNT(KH15,KM15,KS15)=0,"",SUM(KH15,KM15,KS15)/COUNT(KH15,KM15,KS15))</f>
        <v>3.5</v>
      </c>
      <c r="KV15" s="207" t="str">
        <f t="shared" si="67"/>
        <v>B</v>
      </c>
      <c r="KW15" s="129"/>
      <c r="KX15" s="130"/>
      <c r="KY15" s="131"/>
      <c r="KZ15" s="184" t="str">
        <f>IFERROR((((COUNTIF('Elève (5ème3)'!KW15:KY15,"A"))*4)+((COUNTIF('Elève (5ème3)'!KW15:KY15,"B"))*3)+((COUNTIF('Elève (5ème3)'!KW15:KY15,"C"))*2)+((COUNTIF('Elève (5ème3)'!KW15:KY15,"D"))*1))/(COUNTA(KW15:KY15)),"")</f>
        <v/>
      </c>
      <c r="LA15" s="185" t="str">
        <f t="shared" si="68"/>
        <v/>
      </c>
      <c r="LB15" s="129"/>
      <c r="LC15" s="130" t="s">
        <v>27</v>
      </c>
      <c r="LD15" s="131" t="s">
        <v>29</v>
      </c>
      <c r="LE15" s="184">
        <f>IFERROR((((COUNTIF('Elève (5ème3)'!LB15:LD15,"A"))*4)+((COUNTIF('Elève (5ème3)'!LB15:LD15,"B"))*3)+((COUNTIF('Elève (5ème3)'!LB15:LD15,"C"))*2)+((COUNTIF('Elève (5ème3)'!LB15:LD15,"D"))*1))/(COUNTA(LB15:LD15)),"")</f>
        <v>3</v>
      </c>
      <c r="LF15" s="185" t="str">
        <f t="shared" si="69"/>
        <v>B</v>
      </c>
      <c r="LG15" s="129"/>
      <c r="LH15" s="130"/>
      <c r="LI15" s="131" t="s">
        <v>28</v>
      </c>
      <c r="LJ15" s="135"/>
      <c r="LK15" s="184">
        <f>IFERROR((((COUNTIF('Elève (5ème3)'!LG15:LJ15,"A"))*4)+((COUNTIF('Elève (5ème3)'!LG15:LJ15,"B"))*3)+((COUNTIF('Elève (5ème3)'!LG15:LJ15,"C"))*2)+((COUNTIF('Elève (5ème3)'!LG15:LJ15,"D"))*1))/(COUNTA(LG15:LJ15)),"")</f>
        <v>3</v>
      </c>
      <c r="LL15" s="185" t="str">
        <f t="shared" si="70"/>
        <v>B</v>
      </c>
      <c r="LM15" s="209">
        <f>IF(COUNT(KZ15,LE15,LK15)=0,"",SUM(KZ15,LE15,LK15)/COUNT(KZ15,LE15,LK15))</f>
        <v>3</v>
      </c>
      <c r="LN15" s="207" t="str">
        <f t="shared" si="71"/>
        <v>B</v>
      </c>
      <c r="LO15" s="129"/>
      <c r="LP15" s="130"/>
      <c r="LQ15" s="131"/>
      <c r="LR15" s="184" t="str">
        <f>IFERROR((((COUNTIF('Elève (5ème3)'!LO15:LQ15,"A"))*4)+((COUNTIF('Elève (5ème3)'!LO15:LQ15,"B"))*3)+((COUNTIF('Elève (5ème3)'!LO15:LQ15,"C"))*2)+((COUNTIF('Elève (5ème3)'!LO15:LQ15,"D"))*1))/(COUNTA(LO15:LQ15)),"")</f>
        <v/>
      </c>
      <c r="LS15" s="185" t="str">
        <f t="shared" si="72"/>
        <v/>
      </c>
      <c r="LT15" s="129"/>
      <c r="LU15" s="130" t="s">
        <v>27</v>
      </c>
      <c r="LV15" s="131" t="s">
        <v>29</v>
      </c>
      <c r="LW15" s="184">
        <f>IFERROR((((COUNTIF('Elève (5ème3)'!LT15:LV15,"A"))*4)+((COUNTIF('Elève (5ème3)'!LT15:LV15,"B"))*3)+((COUNTIF('Elève (5ème3)'!LT15:LV15,"C"))*2)+((COUNTIF('Elève (5ème3)'!LT15:LV15,"D"))*1))/(COUNTA(LT15:LV15)),"")</f>
        <v>3</v>
      </c>
      <c r="LX15" s="185" t="str">
        <f t="shared" si="73"/>
        <v>B</v>
      </c>
      <c r="LY15" s="129"/>
      <c r="LZ15" s="130"/>
      <c r="MA15" s="131" t="s">
        <v>27</v>
      </c>
      <c r="MB15" s="135"/>
      <c r="MC15" s="184">
        <f>IFERROR((((COUNTIF('Elève (5ème3)'!LY15:MB15,"A"))*4)+((COUNTIF('Elève (5ème3)'!LY15:MB15,"B"))*3)+((COUNTIF('Elève (5ème3)'!LY15:MB15,"C"))*2)+((COUNTIF('Elève (5ème3)'!LY15:MB15,"D"))*1))/(COUNTA(LY15:MB15)),"")</f>
        <v>4</v>
      </c>
      <c r="MD15" s="185" t="str">
        <f t="shared" si="74"/>
        <v>A</v>
      </c>
      <c r="ME15" s="209">
        <f>IF(COUNT(LR15,LW15,MC15)=0,"",SUM(LR15,LW15,MC15)/COUNT(LR15,LW15,MC15))</f>
        <v>3.5</v>
      </c>
      <c r="MF15" s="207" t="str">
        <f t="shared" si="75"/>
        <v>B</v>
      </c>
      <c r="MG15" s="129"/>
      <c r="MH15" s="130"/>
      <c r="MI15" s="131"/>
      <c r="MJ15" s="184" t="str">
        <f>IFERROR((((COUNTIF('Elève (5ème3)'!MG15:MI15,"A"))*4)+((COUNTIF('Elève (5ème3)'!MG15:MI15,"B"))*3)+((COUNTIF('Elève (5ème3)'!MG15:MI15,"C"))*2)+((COUNTIF('Elève (5ème3)'!MG15:MI15,"D"))*1))/(COUNTA(MG15:MI15)),"")</f>
        <v/>
      </c>
      <c r="MK15" s="185" t="str">
        <f t="shared" si="76"/>
        <v/>
      </c>
      <c r="ML15" s="129"/>
      <c r="MM15" s="130" t="s">
        <v>27</v>
      </c>
      <c r="MN15" s="131" t="s">
        <v>30</v>
      </c>
      <c r="MO15" s="184">
        <f>IFERROR((((COUNTIF('Elève (5ème3)'!ML15:MN15,"A"))*4)+((COUNTIF('Elève (5ème3)'!ML15:MN15,"B"))*3)+((COUNTIF('Elève (5ème3)'!ML15:MN15,"C"))*2)+((COUNTIF('Elève (5ème3)'!ML15:MN15,"D"))*1))/(COUNTA(ML15:MN15)),"")</f>
        <v>2.5</v>
      </c>
      <c r="MP15" s="185" t="str">
        <f t="shared" si="77"/>
        <v>C</v>
      </c>
      <c r="MQ15" s="129"/>
      <c r="MR15" s="130"/>
      <c r="MS15" s="131" t="s">
        <v>28</v>
      </c>
      <c r="MT15" s="135"/>
      <c r="MU15" s="184">
        <f>IFERROR((((COUNTIF('Elève (5ème3)'!MQ15:MT15,"A"))*4)+((COUNTIF('Elève (5ème3)'!MQ15:MT15,"B"))*3)+((COUNTIF('Elève (5ème3)'!MQ15:MT15,"C"))*2)+((COUNTIF('Elève (5ème3)'!MQ15:MT15,"D"))*1))/(COUNTA(MQ15:MT15)),"")</f>
        <v>3</v>
      </c>
      <c r="MV15" s="185" t="str">
        <f t="shared" si="78"/>
        <v>B</v>
      </c>
      <c r="MW15" s="209">
        <f>IF(COUNT(MJ15,MO15,MU15)=0,"",SUM(MJ15,MO15,MU15)/COUNT(MJ15,MO15,MU15))</f>
        <v>2.75</v>
      </c>
      <c r="MX15" s="207" t="str">
        <f t="shared" si="79"/>
        <v>C</v>
      </c>
      <c r="MY15" s="129"/>
      <c r="MZ15" s="130"/>
      <c r="NA15" s="131"/>
      <c r="NB15" s="184" t="str">
        <f>IFERROR((((COUNTIF('Elève (5ème3)'!MY15:NA15,"A"))*4)+((COUNTIF('Elève (5ème3)'!MY15:NA15,"B"))*3)+((COUNTIF('Elève (5ème3)'!MY15:NA15,"C"))*2)+((COUNTIF('Elève (5ème3)'!MY15:NA15,"D"))*1))/(COUNTA(MY15:NA15)),"")</f>
        <v/>
      </c>
      <c r="NC15" s="185" t="str">
        <f t="shared" si="80"/>
        <v/>
      </c>
      <c r="ND15" s="129"/>
      <c r="NE15" s="130"/>
      <c r="NF15" s="131"/>
      <c r="NG15" s="184" t="str">
        <f>IFERROR((((COUNTIF('Elève (5ème3)'!ND15:NF15,"A"))*4)+((COUNTIF('Elève (5ème3)'!ND15:NF15,"B"))*3)+((COUNTIF('Elève (5ème3)'!ND15:NF15,"C"))*2)+((COUNTIF('Elève (5ème3)'!ND15:NF15,"D"))*1))/(COUNTA(ND15:NF15)),"")</f>
        <v/>
      </c>
      <c r="NH15" s="185" t="str">
        <f t="shared" si="81"/>
        <v/>
      </c>
      <c r="NI15" s="129"/>
      <c r="NJ15" s="130"/>
      <c r="NK15" s="131" t="s">
        <v>29</v>
      </c>
      <c r="NL15" s="135"/>
      <c r="NM15" s="184">
        <f>IFERROR((((COUNTIF('Elève (5ème3)'!NI15:NL15,"A"))*4)+((COUNTIF('Elève (5ème3)'!NI15:NL15,"B"))*3)+((COUNTIF('Elève (5ème3)'!NI15:NL15,"C"))*2)+((COUNTIF('Elève (5ème3)'!NI15:NL15,"D"))*1))/(COUNTA(NI15:NL15)),"")</f>
        <v>2</v>
      </c>
      <c r="NN15" s="185" t="str">
        <f t="shared" si="82"/>
        <v>C</v>
      </c>
      <c r="NO15" s="209">
        <f>IF(COUNT(NB15,NG15,NM15)=0,"",SUM(NB15,NG15,NM15)/COUNT(NB15,NG15,NM15))</f>
        <v>2</v>
      </c>
      <c r="NP15" s="207" t="str">
        <f t="shared" si="83"/>
        <v>C</v>
      </c>
      <c r="NQ15" s="129"/>
      <c r="NR15" s="130"/>
      <c r="NS15" s="131"/>
      <c r="NT15" s="184" t="str">
        <f>IFERROR((((COUNTIF('Elève (5ème3)'!NQ15:NS15,"A"))*4)+((COUNTIF('Elève (5ème3)'!NQ15:NS15,"B"))*3)+((COUNTIF('Elève (5ème3)'!NQ15:NS15,"C"))*2)+((COUNTIF('Elève (5ème3)'!NQ15:NS15,"D"))*1))/(COUNTA(NQ15:NS15)),"")</f>
        <v/>
      </c>
      <c r="NU15" s="185" t="str">
        <f t="shared" si="84"/>
        <v/>
      </c>
      <c r="NV15" s="129"/>
      <c r="NW15" s="130"/>
      <c r="NX15" s="131"/>
      <c r="NY15" s="184" t="str">
        <f>IFERROR((((COUNTIF('Elève (5ème3)'!NV15:NX15,"A"))*4)+((COUNTIF('Elève (5ème3)'!NV15:NX15,"B"))*3)+((COUNTIF('Elève (5ème3)'!NV15:NX15,"C"))*2)+((COUNTIF('Elève (5ème3)'!NV15:NX15,"D"))*1))/(COUNTA(NV15:NX15)),"")</f>
        <v/>
      </c>
      <c r="NZ15" s="185" t="str">
        <f t="shared" si="85"/>
        <v/>
      </c>
      <c r="OA15" s="129"/>
      <c r="OB15" s="130"/>
      <c r="OC15" s="131"/>
      <c r="OD15" s="135"/>
      <c r="OE15" s="184" t="str">
        <f>IFERROR((((COUNTIF('Elève (5ème3)'!OA15:OD15,"A"))*4)+((COUNTIF('Elève (5ème3)'!OA15:OD15,"B"))*3)+((COUNTIF('Elève (5ème3)'!OA15:OD15,"C"))*2)+((COUNTIF('Elève (5ème3)'!OA15:OD15,"D"))*1))/(COUNTA(OA15:OD15)),"")</f>
        <v/>
      </c>
      <c r="OF15" s="185" t="str">
        <f t="shared" si="86"/>
        <v/>
      </c>
      <c r="OG15" s="209" t="str">
        <f>IF(COUNT(NT15,NY15,OE15)=0,"",SUM(NT15,NY15,OE15)/COUNT(NT15,NY15,OE15))</f>
        <v/>
      </c>
      <c r="OH15" s="207" t="str">
        <f t="shared" si="87"/>
        <v/>
      </c>
      <c r="OI15" s="129"/>
      <c r="OJ15" s="130"/>
      <c r="OK15" s="131"/>
      <c r="OL15" s="184" t="str">
        <f>IFERROR((((COUNTIF('Elève (5ème3)'!OI15:OK15,"A"))*4)+((COUNTIF('Elève (5ème3)'!OI15:OK15,"B"))*3)+((COUNTIF('Elève (5ème3)'!OI15:OK15,"C"))*2)+((COUNTIF('Elève (5ème3)'!OI15:OK15,"D"))*1))/(COUNTA(OI15:OK15)),"")</f>
        <v/>
      </c>
      <c r="OM15" s="185" t="str">
        <f t="shared" si="88"/>
        <v/>
      </c>
      <c r="ON15" s="129"/>
      <c r="OO15" s="130" t="s">
        <v>27</v>
      </c>
      <c r="OP15" s="131"/>
      <c r="OQ15" s="184">
        <f>IFERROR((((COUNTIF('Elève (5ème3)'!ON15:OP15,"A"))*4)+((COUNTIF('Elève (5ème3)'!ON15:OP15,"B"))*3)+((COUNTIF('Elève (5ème3)'!ON15:OP15,"C"))*2)+((COUNTIF('Elève (5ème3)'!ON15:OP15,"D"))*1))/(COUNTA(ON15:OP15)),"")</f>
        <v>4</v>
      </c>
      <c r="OR15" s="185" t="str">
        <f t="shared" si="89"/>
        <v>A</v>
      </c>
      <c r="OS15" s="129"/>
      <c r="OT15" s="130"/>
      <c r="OU15" s="131" t="s">
        <v>28</v>
      </c>
      <c r="OV15" s="135"/>
      <c r="OW15" s="184">
        <f>IFERROR((((COUNTIF('Elève (5ème3)'!OS15:OV15,"A"))*4)+((COUNTIF('Elève (5ème3)'!OS15:OV15,"B"))*3)+((COUNTIF('Elève (5ème3)'!OS15:OV15,"C"))*2)+((COUNTIF('Elève (5ème3)'!OS15:OV15,"D"))*1))/(COUNTA(OS15:OV15)),"")</f>
        <v>3</v>
      </c>
      <c r="OX15" s="185" t="str">
        <f t="shared" si="90"/>
        <v>B</v>
      </c>
      <c r="OY15" s="209">
        <f>IF(COUNT(OL15,OQ15,OW15)=0,"",SUM(OL15,OQ15,OW15)/COUNT(OL15,OQ15,OW15))</f>
        <v>3.5</v>
      </c>
      <c r="OZ15" s="207" t="str">
        <f t="shared" si="91"/>
        <v>B</v>
      </c>
      <c r="PA15" s="129"/>
      <c r="PB15" s="130"/>
      <c r="PC15" s="131"/>
      <c r="PD15" s="184" t="str">
        <f>IFERROR((((COUNTIF('Elève (5ème3)'!PA15:PC15,"A"))*4)+((COUNTIF('Elève (5ème3)'!PA15:PC15,"B"))*3)+((COUNTIF('Elève (5ème3)'!PA15:PC15,"C"))*2)+((COUNTIF('Elève (5ème3)'!PA15:PC15,"D"))*1))/(COUNTA(PA15:PC15)),"")</f>
        <v/>
      </c>
      <c r="PE15" s="185" t="str">
        <f t="shared" si="92"/>
        <v/>
      </c>
      <c r="PF15" s="129"/>
      <c r="PG15" s="130" t="s">
        <v>27</v>
      </c>
      <c r="PH15" s="131" t="s">
        <v>29</v>
      </c>
      <c r="PI15" s="184">
        <f>IFERROR((((COUNTIF('Elève (5ème3)'!PF15:PH15,"A"))*4)+((COUNTIF('Elève (5ème3)'!PF15:PH15,"B"))*3)+((COUNTIF('Elève (5ème3)'!PF15:PH15,"C"))*2)+((COUNTIF('Elève (5ème3)'!PF15:PH15,"D"))*1))/(COUNTA(PF15:PH15)),"")</f>
        <v>3</v>
      </c>
      <c r="PJ15" s="185" t="str">
        <f t="shared" si="93"/>
        <v>B</v>
      </c>
      <c r="PK15" s="129"/>
      <c r="PL15" s="130"/>
      <c r="PM15" s="131" t="s">
        <v>28</v>
      </c>
      <c r="PN15" s="135"/>
      <c r="PO15" s="184">
        <f>IFERROR((((COUNTIF('Elève (5ème3)'!PK15:PN15,"A"))*4)+((COUNTIF('Elève (5ème3)'!PK15:PN15,"B"))*3)+((COUNTIF('Elève (5ème3)'!PK15:PN15,"C"))*2)+((COUNTIF('Elève (5ème3)'!PK15:PN15,"D"))*1))/(COUNTA(PK15:PN15)),"")</f>
        <v>3</v>
      </c>
      <c r="PP15" s="185" t="str">
        <f t="shared" si="94"/>
        <v>B</v>
      </c>
      <c r="PQ15" s="209">
        <f>IF(COUNT(PD15,PI15,PO15)=0,"",SUM(PD15,PI15,PO15)/COUNT(PD15,PI15,PO15))</f>
        <v>3</v>
      </c>
      <c r="PR15" s="207" t="str">
        <f t="shared" si="95"/>
        <v>B</v>
      </c>
      <c r="PS15" s="129"/>
      <c r="PT15" s="130"/>
      <c r="PU15" s="131"/>
      <c r="PV15" s="184" t="str">
        <f>IFERROR((((COUNTIF('Elève (5ème3)'!PS15:PU15,"A"))*4)+((COUNTIF('Elève (5ème3)'!PS15:PU15,"B"))*3)+((COUNTIF('Elève (5ème3)'!PS15:PU15,"C"))*2)+((COUNTIF('Elève (5ème3)'!PS15:PU15,"D"))*1))/(COUNTA(PS15:PU15)),"")</f>
        <v/>
      </c>
      <c r="PW15" s="185" t="str">
        <f t="shared" si="96"/>
        <v/>
      </c>
      <c r="PX15" s="129"/>
      <c r="PY15" s="130" t="s">
        <v>27</v>
      </c>
      <c r="PZ15" s="131" t="s">
        <v>27</v>
      </c>
      <c r="QA15" s="184">
        <f>IFERROR((((COUNTIF('Elève (5ème3)'!PX15:PZ15,"A"))*4)+((COUNTIF('Elève (5ème3)'!PX15:PZ15,"B"))*3)+((COUNTIF('Elève (5ème3)'!PX15:PZ15,"C"))*2)+((COUNTIF('Elève (5ème3)'!PX15:PZ15,"D"))*1))/(COUNTA(PX15:PZ15)),"")</f>
        <v>4</v>
      </c>
      <c r="QB15" s="185" t="str">
        <f t="shared" si="97"/>
        <v>A</v>
      </c>
      <c r="QC15" s="129"/>
      <c r="QD15" s="130"/>
      <c r="QE15" s="131" t="s">
        <v>28</v>
      </c>
      <c r="QF15" s="135"/>
      <c r="QG15" s="184">
        <f>IFERROR((((COUNTIF('Elève (5ème3)'!QC15:QF15,"A"))*4)+((COUNTIF('Elève (5ème3)'!QC15:QF15,"B"))*3)+((COUNTIF('Elève (5ème3)'!QC15:QF15,"C"))*2)+((COUNTIF('Elève (5ème3)'!QC15:QF15,"D"))*1))/(COUNTA(QC15:QF15)),"")</f>
        <v>3</v>
      </c>
      <c r="QH15" s="185" t="str">
        <f t="shared" si="98"/>
        <v>B</v>
      </c>
      <c r="QI15" s="209">
        <f>IF(COUNT(PV15,QA15,QG15)=0,"",SUM(PV15,QA15,QG15)/COUNT(PV15,QA15,QG15))</f>
        <v>3.5</v>
      </c>
      <c r="QJ15" s="207" t="str">
        <f t="shared" si="99"/>
        <v>B</v>
      </c>
      <c r="QK15" s="129"/>
      <c r="QL15" s="130"/>
      <c r="QM15" s="131"/>
      <c r="QN15" s="184" t="str">
        <f>IFERROR((((COUNTIF('Elève (5ème3)'!QK15:QM15,"A"))*4)+((COUNTIF('Elève (5ème3)'!QK15:QM15,"B"))*3)+((COUNTIF('Elève (5ème3)'!QK15:QM15,"C"))*2)+((COUNTIF('Elève (5ème3)'!QK15:QM15,"D"))*1))/(COUNTA(QK15:QM15)),"")</f>
        <v/>
      </c>
      <c r="QO15" s="185" t="str">
        <f t="shared" si="100"/>
        <v/>
      </c>
      <c r="QP15" s="129"/>
      <c r="QQ15" s="130" t="s">
        <v>27</v>
      </c>
      <c r="QR15" s="131"/>
      <c r="QS15" s="184">
        <f>IFERROR((((COUNTIF('Elève (5ème3)'!QP15:QR15,"A"))*4)+((COUNTIF('Elève (5ème3)'!QP15:QR15,"B"))*3)+((COUNTIF('Elève (5ème3)'!QP15:QR15,"C"))*2)+((COUNTIF('Elève (5ème3)'!QP15:QR15,"D"))*1))/(COUNTA(QP15:QR15)),"")</f>
        <v>4</v>
      </c>
      <c r="QT15" s="185" t="str">
        <f t="shared" si="101"/>
        <v>A</v>
      </c>
      <c r="QU15" s="129"/>
      <c r="QV15" s="130"/>
      <c r="QW15" s="131" t="s">
        <v>28</v>
      </c>
      <c r="QX15" s="135"/>
      <c r="QY15" s="184">
        <f>IFERROR((((COUNTIF('Elève (5ème3)'!QU15:QX15,"A"))*4)+((COUNTIF('Elève (5ème3)'!QU15:QX15,"B"))*3)+((COUNTIF('Elève (5ème3)'!QU15:QX15,"C"))*2)+((COUNTIF('Elève (5ème3)'!QU15:QX15,"D"))*1))/(COUNTA(QU15:QX15)),"")</f>
        <v>3</v>
      </c>
      <c r="QZ15" s="185" t="str">
        <f t="shared" si="102"/>
        <v>B</v>
      </c>
      <c r="RA15" s="209">
        <f>IF(COUNT(QN15,QS15,QY15)=0,"",SUM(QN15,QS15,QY15)/COUNT(QN15,QS15,QY15))</f>
        <v>3.5</v>
      </c>
      <c r="RB15" s="207" t="str">
        <f t="shared" si="103"/>
        <v>B</v>
      </c>
      <c r="RC15" s="129"/>
      <c r="RD15" s="130"/>
      <c r="RE15" s="131"/>
      <c r="RF15" s="184" t="str">
        <f>IFERROR((((COUNTIF('Elève (5ème3)'!RC15:RE15,"A"))*4)+((COUNTIF('Elève (5ème3)'!RC15:RE15,"B"))*3)+((COUNTIF('Elève (5ème3)'!RC15:RE15,"C"))*2)+((COUNTIF('Elève (5ème3)'!RC15:RE15,"D"))*1))/(COUNTA(RC15:RE15)),"")</f>
        <v/>
      </c>
      <c r="RG15" s="185" t="str">
        <f t="shared" si="104"/>
        <v/>
      </c>
      <c r="RH15" s="129"/>
      <c r="RI15" s="130" t="s">
        <v>27</v>
      </c>
      <c r="RJ15" s="131" t="s">
        <v>30</v>
      </c>
      <c r="RK15" s="184">
        <f>IFERROR((((COUNTIF('Elève (5ème3)'!RH15:RJ15,"A"))*4)+((COUNTIF('Elève (5ème3)'!RH15:RJ15,"B"))*3)+((COUNTIF('Elève (5ème3)'!RH15:RJ15,"C"))*2)+((COUNTIF('Elève (5ème3)'!RH15:RJ15,"D"))*1))/(COUNTA(RH15:RJ15)),"")</f>
        <v>2.5</v>
      </c>
      <c r="RL15" s="185" t="str">
        <f t="shared" si="105"/>
        <v>C</v>
      </c>
      <c r="RM15" s="129"/>
      <c r="RN15" s="130"/>
      <c r="RO15" s="131" t="s">
        <v>27</v>
      </c>
      <c r="RP15" s="135"/>
      <c r="RQ15" s="184">
        <f>IFERROR((((COUNTIF('Elève (5ème3)'!RM15:RP15,"A"))*4)+((COUNTIF('Elève (5ème3)'!RM15:RP15,"B"))*3)+((COUNTIF('Elève (5ème3)'!RM15:RP15,"C"))*2)+((COUNTIF('Elève (5ème3)'!RM15:RP15,"D"))*1))/(COUNTA(RM15:RP15)),"")</f>
        <v>4</v>
      </c>
      <c r="RR15" s="185" t="str">
        <f t="shared" si="106"/>
        <v>A</v>
      </c>
      <c r="RS15" s="209">
        <f>IF(COUNT(RF15,RK15,RQ15)=0,"",SUM(RF15,RK15,RQ15)/COUNT(RF15,RK15,RQ15))</f>
        <v>3.25</v>
      </c>
      <c r="RT15" s="207" t="str">
        <f t="shared" si="107"/>
        <v>B</v>
      </c>
      <c r="RU15" s="129"/>
      <c r="RV15" s="130"/>
      <c r="RW15" s="131"/>
      <c r="RX15" s="132" t="str">
        <f>IFERROR((((COUNTIF('Elève (5ème3)'!RU15:RW15,"A"))*4)+((COUNTIF('Elève (5ème3)'!RU15:RW15,"B"))*3)+((COUNTIF('Elève (5ème3)'!RU15:RW15,"C"))*2)+((COUNTIF('Elève (5ème3)'!RU15:RW15,"D"))*1))/(COUNTA(RU15:RW15)),"")</f>
        <v/>
      </c>
      <c r="RY15" s="133" t="str">
        <f t="shared" si="108"/>
        <v/>
      </c>
      <c r="RZ15" s="129"/>
      <c r="SA15" s="130"/>
      <c r="SB15" s="131"/>
      <c r="SC15" s="132" t="str">
        <f>IFERROR((((COUNTIF('Elève (5ème3)'!RZ15:SB15,"A"))*4)+((COUNTIF('Elève (5ème3)'!RZ15:SB15,"B"))*3)+((COUNTIF('Elève (5ème3)'!RZ15:SB15,"C"))*2)+((COUNTIF('Elève (5ème3)'!RZ15:SB15,"D"))*1))/(COUNTA(RZ15:SB15)),"")</f>
        <v/>
      </c>
      <c r="SD15" s="133" t="str">
        <f t="shared" si="109"/>
        <v/>
      </c>
      <c r="SE15" s="129"/>
      <c r="SF15" s="130"/>
      <c r="SG15" s="135"/>
      <c r="SH15" s="132" t="str">
        <f>IFERROR((((COUNTIF('Elève (5ème3)'!SE15:SG15,"A"))*4)+((COUNTIF('Elève (5ème3)'!SE15:SG15,"B"))*3)+((COUNTIF('Elève (5ème3)'!SE15:SG15,"C"))*2)+((COUNTIF('Elève (5ème3)'!SE15:SG15,"D"))*1))/(COUNTA(SE15:SG15)),"")</f>
        <v/>
      </c>
      <c r="SI15" s="133" t="str">
        <f t="shared" si="110"/>
        <v/>
      </c>
      <c r="SJ15" s="141" t="str">
        <f>IF(COUNT(RX15,SC15,SH15)=0,"",SUM(RX15,SC15,SH15)/COUNT(RX15,SC15,SH15))</f>
        <v/>
      </c>
      <c r="SK15" s="134" t="str">
        <f t="shared" si="111"/>
        <v/>
      </c>
      <c r="SL15" s="129"/>
      <c r="SM15" s="130"/>
      <c r="SN15" s="131"/>
      <c r="SO15" s="132" t="str">
        <f>IFERROR((((COUNTIF('Elève (5ème3)'!SL15:SN15,"A"))*4)+((COUNTIF('Elève (5ème3)'!SL15:SN15,"B"))*3)+((COUNTIF('Elève (5ème3)'!SL15:SN15,"C"))*2)+((COUNTIF('Elève (5ème3)'!SL15:SN15,"D"))*1))/(COUNTA(SL15:SN15)),"")</f>
        <v/>
      </c>
      <c r="SP15" s="133" t="str">
        <f t="shared" si="112"/>
        <v/>
      </c>
      <c r="SQ15" s="129"/>
      <c r="SR15" s="130"/>
      <c r="SS15" s="131"/>
      <c r="ST15" s="132" t="str">
        <f>IFERROR((((COUNTIF('Elève (5ème3)'!SQ15:SS15,"A"))*4)+((COUNTIF('Elève (5ème3)'!SQ15:SS15,"B"))*3)+((COUNTIF('Elève (5ème3)'!SQ15:SS15,"C"))*2)+((COUNTIF('Elève (5ème3)'!SQ15:SS15,"D"))*1))/(COUNTA(SQ15:SS15)),"")</f>
        <v/>
      </c>
      <c r="SU15" s="133" t="str">
        <f t="shared" si="113"/>
        <v/>
      </c>
      <c r="SV15" s="129"/>
      <c r="SW15" s="130"/>
      <c r="SX15" s="135"/>
      <c r="SY15" s="132" t="str">
        <f>IFERROR((((COUNTIF('Elève (5ème3)'!SV15:SX15,"A"))*4)+((COUNTIF('Elève (5ème3)'!SV15:SX15,"B"))*3)+((COUNTIF('Elève (5ème3)'!SV15:SX15,"C"))*2)+((COUNTIF('Elève (5ème3)'!SV15:SX15,"D"))*1))/(COUNTA(SV15:SX15)),"")</f>
        <v/>
      </c>
      <c r="SZ15" s="133" t="str">
        <f t="shared" si="114"/>
        <v/>
      </c>
      <c r="TA15" s="141" t="str">
        <f>IF(COUNT(SO15,ST15,SY15)=0,"",SUM(SO15,ST15,SY15)/COUNT(SO15,ST15,SY15))</f>
        <v/>
      </c>
      <c r="TB15" s="134" t="str">
        <f t="shared" si="115"/>
        <v/>
      </c>
      <c r="TC15" s="129"/>
      <c r="TD15" s="130"/>
      <c r="TE15" s="131"/>
      <c r="TF15" s="132" t="str">
        <f>IFERROR((((COUNTIF('Elève (5ème3)'!TC15:TE15,"A"))*4)+((COUNTIF('Elève (5ème3)'!TC15:TE15,"B"))*3)+((COUNTIF('Elève (5ème3)'!TC15:TE15,"C"))*2)+((COUNTIF('Elève (5ème3)'!TC15:TE15,"D"))*1))/(COUNTA(TC15:TE15)),"")</f>
        <v/>
      </c>
      <c r="TG15" s="133" t="str">
        <f t="shared" si="116"/>
        <v/>
      </c>
      <c r="TH15" s="129"/>
      <c r="TI15" s="130"/>
      <c r="TJ15" s="131"/>
      <c r="TK15" s="132" t="str">
        <f>IFERROR((((COUNTIF('Elève (5ème3)'!TH15:TJ15,"A"))*4)+((COUNTIF('Elève (5ème3)'!TH15:TJ15,"B"))*3)+((COUNTIF('Elève (5ème3)'!TH15:TJ15,"C"))*2)+((COUNTIF('Elève (5ème3)'!TH15:TJ15,"D"))*1))/(COUNTA(TH15:TJ15)),"")</f>
        <v/>
      </c>
      <c r="TL15" s="133" t="str">
        <f t="shared" si="117"/>
        <v/>
      </c>
      <c r="TM15" s="129"/>
      <c r="TN15" s="130"/>
      <c r="TO15" s="135"/>
      <c r="TP15" s="132" t="str">
        <f>IFERROR((((COUNTIF('Elève (5ème3)'!TM15:TO15,"A"))*4)+((COUNTIF('Elève (5ème3)'!TM15:TO15,"B"))*3)+((COUNTIF('Elève (5ème3)'!TM15:TO15,"C"))*2)+((COUNTIF('Elève (5ème3)'!TM15:TO15,"D"))*1))/(COUNTA(TM15:TO15)),"")</f>
        <v/>
      </c>
      <c r="TQ15" s="133" t="str">
        <f t="shared" si="118"/>
        <v/>
      </c>
      <c r="TR15" s="141" t="str">
        <f>IF(COUNT(TF15,TK15,TP15)=0,"",SUM(TF15,TK15,TP15)/COUNT(TF15,TK15,TP15))</f>
        <v/>
      </c>
      <c r="TS15" s="134" t="str">
        <f t="shared" si="119"/>
        <v/>
      </c>
    </row>
    <row r="16" spans="1:539" s="114" customFormat="1" ht="16.5" customHeight="1" thickBot="1" x14ac:dyDescent="0.3">
      <c r="A16" s="164" t="s">
        <v>20</v>
      </c>
      <c r="B16" s="139">
        <v>2</v>
      </c>
      <c r="C16" s="171"/>
      <c r="D16" s="84"/>
      <c r="E16" s="104"/>
      <c r="F16" s="178">
        <f>IF(COUNT(F17:F19)=0,"",SUM(F17:F19)/COUNT(F17:F19))</f>
        <v>2.5</v>
      </c>
      <c r="G16" s="179" t="str">
        <f t="shared" si="0"/>
        <v>C</v>
      </c>
      <c r="H16" s="171"/>
      <c r="I16" s="84"/>
      <c r="J16" s="84"/>
      <c r="K16" s="178">
        <f>IF(COUNT(K17:K19)=0,"",SUM(K17:K19)/COUNT(K17:K19))</f>
        <v>1.9166666666666667</v>
      </c>
      <c r="L16" s="194" t="str">
        <f t="shared" si="1"/>
        <v>C</v>
      </c>
      <c r="M16" s="172"/>
      <c r="N16" s="109"/>
      <c r="O16" s="109"/>
      <c r="P16" s="110"/>
      <c r="Q16" s="178">
        <f>IF(COUNT(Q17:Q19)=0,"",SUM(Q17:Q19)/COUNT(Q17:Q19))</f>
        <v>2.25</v>
      </c>
      <c r="R16" s="202" t="str">
        <f t="shared" si="2"/>
        <v>C</v>
      </c>
      <c r="S16" s="203">
        <f>IF(COUNT(S17:S19)=0,"",SUM(S17:S19)/COUNT(S17:S19))</f>
        <v>2.175925925925926</v>
      </c>
      <c r="T16" s="204" t="str">
        <f t="shared" si="3"/>
        <v>C</v>
      </c>
      <c r="U16" s="215"/>
      <c r="V16" s="84"/>
      <c r="W16" s="104"/>
      <c r="X16" s="178">
        <f>IF(COUNT(X17:X19)=0,"",SUM(X17:X19)/COUNT(X17:X19))</f>
        <v>3</v>
      </c>
      <c r="Y16" s="179" t="str">
        <f t="shared" si="4"/>
        <v>B</v>
      </c>
      <c r="Z16" s="171"/>
      <c r="AA16" s="84"/>
      <c r="AB16" s="84"/>
      <c r="AC16" s="178">
        <f>IF(COUNT(AC17:AC19)=0,"",SUM(AC17:AC19)/COUNT(AC17:AC19))</f>
        <v>2.416666666666667</v>
      </c>
      <c r="AD16" s="194" t="str">
        <f t="shared" si="5"/>
        <v>C</v>
      </c>
      <c r="AE16" s="172"/>
      <c r="AF16" s="109"/>
      <c r="AG16" s="109"/>
      <c r="AH16" s="110"/>
      <c r="AI16" s="178">
        <f>IF(COUNT(AI17:AI19)=0,"",SUM(AI17:AI19)/COUNT(AI17:AI19))</f>
        <v>3.1666666666666665</v>
      </c>
      <c r="AJ16" s="202" t="str">
        <f t="shared" si="6"/>
        <v>B</v>
      </c>
      <c r="AK16" s="203">
        <f>IF(COUNT(AK17:AK19)=0,"",SUM(AK17:AK19)/COUNT(AK17:AK19))</f>
        <v>2.9259259259259256</v>
      </c>
      <c r="AL16" s="204" t="str">
        <f t="shared" si="7"/>
        <v>B</v>
      </c>
      <c r="AM16" s="215"/>
      <c r="AN16" s="84"/>
      <c r="AO16" s="104"/>
      <c r="AP16" s="178">
        <f>IF(COUNT(AP17:AP19)=0,"",SUM(AP17:AP19)/COUNT(AP17:AP19))</f>
        <v>3.5</v>
      </c>
      <c r="AQ16" s="179" t="str">
        <f t="shared" si="8"/>
        <v>B</v>
      </c>
      <c r="AR16" s="171"/>
      <c r="AS16" s="84"/>
      <c r="AT16" s="84"/>
      <c r="AU16" s="178">
        <f>IF(COUNT(AU17:AU19)=0,"",SUM(AU17:AU19)/COUNT(AU17:AU19))</f>
        <v>2.333333333333333</v>
      </c>
      <c r="AV16" s="194" t="str">
        <f t="shared" si="9"/>
        <v>C</v>
      </c>
      <c r="AW16" s="172"/>
      <c r="AX16" s="109"/>
      <c r="AY16" s="109"/>
      <c r="AZ16" s="110"/>
      <c r="BA16" s="178">
        <f>IF(COUNT(BA17:BA19)=0,"",SUM(BA17:BA19)/COUNT(BA17:BA19))</f>
        <v>2.5833333333333335</v>
      </c>
      <c r="BB16" s="202" t="str">
        <f t="shared" si="10"/>
        <v>C</v>
      </c>
      <c r="BC16" s="203">
        <f>IF(COUNT(BC17:BC19)=0,"",SUM(BC17:BC19)/COUNT(BC17:BC19))</f>
        <v>2.8240740740740744</v>
      </c>
      <c r="BD16" s="204" t="str">
        <f t="shared" si="11"/>
        <v>B</v>
      </c>
      <c r="BE16" s="215"/>
      <c r="BF16" s="84"/>
      <c r="BG16" s="104"/>
      <c r="BH16" s="178">
        <f>IF(COUNT(BH17:BH19)=0,"",SUM(BH17:BH19)/COUNT(BH17:BH19))</f>
        <v>3</v>
      </c>
      <c r="BI16" s="179" t="str">
        <f t="shared" si="12"/>
        <v>B</v>
      </c>
      <c r="BJ16" s="171"/>
      <c r="BK16" s="84"/>
      <c r="BL16" s="84"/>
      <c r="BM16" s="178">
        <f>IF(COUNT(BM17:BM19)=0,"",SUM(BM17:BM19)/COUNT(BM17:BM19))</f>
        <v>2.666666666666667</v>
      </c>
      <c r="BN16" s="194" t="str">
        <f t="shared" si="13"/>
        <v>C</v>
      </c>
      <c r="BO16" s="172"/>
      <c r="BP16" s="109"/>
      <c r="BQ16" s="109"/>
      <c r="BR16" s="110"/>
      <c r="BS16" s="178">
        <f>IF(COUNT(BS17:BS19)=0,"",SUM(BS17:BS19)/COUNT(BS17:BS19))</f>
        <v>3.0833333333333335</v>
      </c>
      <c r="BT16" s="202" t="str">
        <f t="shared" si="14"/>
        <v>B</v>
      </c>
      <c r="BU16" s="203">
        <f>IF(COUNT(BU17:BU19)=0,"",SUM(BU17:BU19)/COUNT(BU17:BU19))</f>
        <v>2.9537037037037037</v>
      </c>
      <c r="BV16" s="204" t="str">
        <f t="shared" si="15"/>
        <v>B</v>
      </c>
      <c r="BW16" s="215"/>
      <c r="BX16" s="84"/>
      <c r="BY16" s="104"/>
      <c r="BZ16" s="178">
        <f>IF(COUNT(BZ17:BZ19)=0,"",SUM(BZ17:BZ19)/COUNT(BZ17:BZ19))</f>
        <v>1.75</v>
      </c>
      <c r="CA16" s="179" t="str">
        <f t="shared" si="16"/>
        <v>C</v>
      </c>
      <c r="CB16" s="171"/>
      <c r="CC16" s="84"/>
      <c r="CD16" s="84"/>
      <c r="CE16" s="178">
        <f>IF(COUNT(CE17:CE19)=0,"",SUM(CE17:CE19)/COUNT(CE17:CE19))</f>
        <v>1.75</v>
      </c>
      <c r="CF16" s="194" t="str">
        <f t="shared" si="17"/>
        <v>C</v>
      </c>
      <c r="CG16" s="172"/>
      <c r="CH16" s="109"/>
      <c r="CI16" s="109"/>
      <c r="CJ16" s="110"/>
      <c r="CK16" s="178">
        <f>IF(COUNT(CK17:CK19)=0,"",SUM(CK17:CK19)/COUNT(CK17:CK19))</f>
        <v>2.9166666666666665</v>
      </c>
      <c r="CL16" s="202" t="str">
        <f t="shared" si="18"/>
        <v>B</v>
      </c>
      <c r="CM16" s="203">
        <f>IF(COUNT(CM17:CM19)=0,"",SUM(CM17:CM19)/COUNT(CM17:CM19))</f>
        <v>2.4166666666666665</v>
      </c>
      <c r="CN16" s="204" t="str">
        <f t="shared" si="19"/>
        <v>C</v>
      </c>
      <c r="CO16" s="215"/>
      <c r="CP16" s="84"/>
      <c r="CQ16" s="104"/>
      <c r="CR16" s="178">
        <f>IF(COUNT(CR17:CR19)=0,"",SUM(CR17:CR19)/COUNT(CR17:CR19))</f>
        <v>2.25</v>
      </c>
      <c r="CS16" s="179" t="str">
        <f t="shared" si="20"/>
        <v>C</v>
      </c>
      <c r="CT16" s="171"/>
      <c r="CU16" s="84"/>
      <c r="CV16" s="84"/>
      <c r="CW16" s="178">
        <f>IF(COUNT(CW17:CW19)=0,"",SUM(CW17:CW19)/COUNT(CW17:CW19))</f>
        <v>2</v>
      </c>
      <c r="CX16" s="194" t="str">
        <f t="shared" si="21"/>
        <v>C</v>
      </c>
      <c r="CY16" s="172"/>
      <c r="CZ16" s="109"/>
      <c r="DA16" s="109"/>
      <c r="DB16" s="110"/>
      <c r="DC16" s="178">
        <f>IF(COUNT(DC17:DC19)=0,"",SUM(DC17:DC19)/COUNT(DC17:DC19))</f>
        <v>2.25</v>
      </c>
      <c r="DD16" s="202" t="str">
        <f t="shared" si="22"/>
        <v>C</v>
      </c>
      <c r="DE16" s="203">
        <f>IF(COUNT(DE17:DE19)=0,"",SUM(DE17:DE19)/COUNT(DE17:DE19))</f>
        <v>2.1388888888888888</v>
      </c>
      <c r="DF16" s="204" t="str">
        <f t="shared" si="23"/>
        <v>C</v>
      </c>
      <c r="DG16" s="215"/>
      <c r="DH16" s="84"/>
      <c r="DI16" s="104"/>
      <c r="DJ16" s="178">
        <f>IF(COUNT(DJ17:DJ19)=0,"",SUM(DJ17:DJ19)/COUNT(DJ17:DJ19))</f>
        <v>3</v>
      </c>
      <c r="DK16" s="179" t="str">
        <f t="shared" si="24"/>
        <v>B</v>
      </c>
      <c r="DL16" s="171"/>
      <c r="DM16" s="84"/>
      <c r="DN16" s="84"/>
      <c r="DO16" s="178">
        <f>IF(COUNT(DO17:DO19)=0,"",SUM(DO17:DO19)/COUNT(DO17:DO19))</f>
        <v>2.0833333333333335</v>
      </c>
      <c r="DP16" s="194" t="str">
        <f t="shared" si="25"/>
        <v>C</v>
      </c>
      <c r="DQ16" s="172"/>
      <c r="DR16" s="109"/>
      <c r="DS16" s="109"/>
      <c r="DT16" s="110"/>
      <c r="DU16" s="178">
        <f>IF(COUNT(DU17:DU19)=0,"",SUM(DU17:DU19)/COUNT(DU17:DU19))</f>
        <v>3.0833333333333335</v>
      </c>
      <c r="DV16" s="202" t="str">
        <f t="shared" si="26"/>
        <v>B</v>
      </c>
      <c r="DW16" s="203">
        <f>IF(COUNT(DW17:DW19)=0,"",SUM(DW17:DW19)/COUNT(DW17:DW19))</f>
        <v>2.8240740740740744</v>
      </c>
      <c r="DX16" s="204" t="str">
        <f t="shared" si="27"/>
        <v>B</v>
      </c>
      <c r="DY16" s="215"/>
      <c r="DZ16" s="84"/>
      <c r="EA16" s="104"/>
      <c r="EB16" s="178">
        <f>IF(COUNT(EB17:EB19)=0,"",SUM(EB17:EB19)/COUNT(EB17:EB19))</f>
        <v>2.5</v>
      </c>
      <c r="EC16" s="179" t="str">
        <f t="shared" si="28"/>
        <v>C</v>
      </c>
      <c r="ED16" s="171"/>
      <c r="EE16" s="84"/>
      <c r="EF16" s="84"/>
      <c r="EG16" s="178">
        <f>IF(COUNT(EG17:EG19)=0,"",SUM(EG17:EG19)/COUNT(EG17:EG19))</f>
        <v>1.75</v>
      </c>
      <c r="EH16" s="194" t="str">
        <f t="shared" si="29"/>
        <v>C</v>
      </c>
      <c r="EI16" s="172"/>
      <c r="EJ16" s="109"/>
      <c r="EK16" s="109"/>
      <c r="EL16" s="110"/>
      <c r="EM16" s="178">
        <f>IF(COUNT(EM17:EM19)=0,"",SUM(EM17:EM19)/COUNT(EM17:EM19))</f>
        <v>2.1111111111111112</v>
      </c>
      <c r="EN16" s="202" t="str">
        <f t="shared" si="30"/>
        <v>C</v>
      </c>
      <c r="EO16" s="203">
        <f>IF(COUNT(EO17:EO19)=0,"",SUM(EO17:EO19)/COUNT(EO17:EO19))</f>
        <v>2.3148148148148149</v>
      </c>
      <c r="EP16" s="204" t="str">
        <f t="shared" si="31"/>
        <v>C</v>
      </c>
      <c r="EQ16" s="215"/>
      <c r="ER16" s="84"/>
      <c r="ES16" s="104"/>
      <c r="ET16" s="178">
        <f>IF(COUNT(ET17:ET19)=0,"",SUM(ET17:ET19)/COUNT(ET17:ET19))</f>
        <v>2</v>
      </c>
      <c r="EU16" s="179" t="str">
        <f t="shared" si="32"/>
        <v>C</v>
      </c>
      <c r="EV16" s="171"/>
      <c r="EW16" s="84"/>
      <c r="EX16" s="84"/>
      <c r="EY16" s="178">
        <f>IF(COUNT(EY17:EY19)=0,"",SUM(EY17:EY19)/COUNT(EY17:EY19))</f>
        <v>3.333333333333333</v>
      </c>
      <c r="EZ16" s="194" t="str">
        <f t="shared" si="33"/>
        <v>B</v>
      </c>
      <c r="FA16" s="172"/>
      <c r="FB16" s="109"/>
      <c r="FC16" s="109"/>
      <c r="FD16" s="110"/>
      <c r="FE16" s="178">
        <f>IF(COUNT(FE17:FE19)=0,"",SUM(FE17:FE19)/COUNT(FE17:FE19))</f>
        <v>2.5</v>
      </c>
      <c r="FF16" s="202" t="str">
        <f t="shared" si="34"/>
        <v>C</v>
      </c>
      <c r="FG16" s="203">
        <f>IF(COUNT(FG17:FG19)=0,"",SUM(FG17:FG19)/COUNT(FG17:FG19))</f>
        <v>2.4629629629629632</v>
      </c>
      <c r="FH16" s="204" t="str">
        <f t="shared" si="35"/>
        <v>C</v>
      </c>
      <c r="FI16" s="215"/>
      <c r="FJ16" s="84"/>
      <c r="FK16" s="104"/>
      <c r="FL16" s="178">
        <f>IF(COUNT(FL17:FL19)=0,"",SUM(FL17:FL19)/COUNT(FL17:FL19))</f>
        <v>2.5</v>
      </c>
      <c r="FM16" s="179" t="str">
        <f t="shared" si="36"/>
        <v>C</v>
      </c>
      <c r="FN16" s="171"/>
      <c r="FO16" s="84"/>
      <c r="FP16" s="84"/>
      <c r="FQ16" s="178">
        <f>IF(COUNT(FQ17:FQ19)=0,"",SUM(FQ17:FQ19)/COUNT(FQ17:FQ19))</f>
        <v>2</v>
      </c>
      <c r="FR16" s="194" t="str">
        <f t="shared" si="37"/>
        <v>C</v>
      </c>
      <c r="FS16" s="172"/>
      <c r="FT16" s="109"/>
      <c r="FU16" s="109"/>
      <c r="FV16" s="110"/>
      <c r="FW16" s="178">
        <f>IF(COUNT(FW17:FW19)=0,"",SUM(FW17:FW19)/COUNT(FW17:FW19))</f>
        <v>3.1666666666666665</v>
      </c>
      <c r="FX16" s="202" t="str">
        <f t="shared" si="38"/>
        <v>B</v>
      </c>
      <c r="FY16" s="203">
        <f>IF(COUNT(FY17:FY19)=0,"",SUM(FY17:FY19)/COUNT(FY17:FY19))</f>
        <v>2.7222222222222219</v>
      </c>
      <c r="FZ16" s="204" t="str">
        <f t="shared" si="39"/>
        <v>C</v>
      </c>
      <c r="GA16" s="215"/>
      <c r="GB16" s="84"/>
      <c r="GC16" s="104"/>
      <c r="GD16" s="178">
        <f>IF(COUNT(GD17:GD19)=0,"",SUM(GD17:GD19)/COUNT(GD17:GD19))</f>
        <v>2.75</v>
      </c>
      <c r="GE16" s="179" t="str">
        <f t="shared" si="40"/>
        <v>C</v>
      </c>
      <c r="GF16" s="171"/>
      <c r="GG16" s="84"/>
      <c r="GH16" s="84"/>
      <c r="GI16" s="178">
        <f>IF(COUNT(GI17:GI19)=0,"",SUM(GI17:GI19)/COUNT(GI17:GI19))</f>
        <v>2.833333333333333</v>
      </c>
      <c r="GJ16" s="194" t="str">
        <f t="shared" si="41"/>
        <v>B</v>
      </c>
      <c r="GK16" s="172"/>
      <c r="GL16" s="109"/>
      <c r="GM16" s="109"/>
      <c r="GN16" s="110"/>
      <c r="GO16" s="178">
        <f>IF(COUNT(GO17:GO19)=0,"",SUM(GO17:GO19)/COUNT(GO17:GO19))</f>
        <v>3.1111111111111112</v>
      </c>
      <c r="GP16" s="202" t="str">
        <f t="shared" si="42"/>
        <v>B</v>
      </c>
      <c r="GQ16" s="203">
        <f>IF(COUNT(GQ17:GQ19)=0,"",SUM(GQ17:GQ19)/COUNT(GQ17:GQ19))</f>
        <v>2.9444444444444446</v>
      </c>
      <c r="GR16" s="204" t="str">
        <f t="shared" si="43"/>
        <v>B</v>
      </c>
      <c r="GS16" s="215"/>
      <c r="GT16" s="84"/>
      <c r="GU16" s="104"/>
      <c r="GV16" s="178">
        <f>IF(COUNT(GV17:GV19)=0,"",SUM(GV17:GV19)/COUNT(GV17:GV19))</f>
        <v>3</v>
      </c>
      <c r="GW16" s="179" t="str">
        <f t="shared" si="44"/>
        <v>B</v>
      </c>
      <c r="GX16" s="171"/>
      <c r="GY16" s="84"/>
      <c r="GZ16" s="84"/>
      <c r="HA16" s="178">
        <f>IF(COUNT(HA17:HA19)=0,"",SUM(HA17:HA19)/COUNT(HA17:HA19))</f>
        <v>2.416666666666667</v>
      </c>
      <c r="HB16" s="194" t="str">
        <f t="shared" si="45"/>
        <v>C</v>
      </c>
      <c r="HC16" s="172"/>
      <c r="HD16" s="109"/>
      <c r="HE16" s="109"/>
      <c r="HF16" s="110"/>
      <c r="HG16" s="178">
        <f>IF(COUNT(HG17:HG19)=0,"",SUM(HG17:HG19)/COUNT(HG17:HG19))</f>
        <v>2.8333333333333335</v>
      </c>
      <c r="HH16" s="202" t="str">
        <f t="shared" si="46"/>
        <v>B</v>
      </c>
      <c r="HI16" s="203">
        <f>IF(COUNT(HI17:HI19)=0,"",SUM(HI17:HI19)/COUNT(HI17:HI19))</f>
        <v>2.8148148148148149</v>
      </c>
      <c r="HJ16" s="204" t="str">
        <f t="shared" si="47"/>
        <v>B</v>
      </c>
      <c r="HK16" s="215"/>
      <c r="HL16" s="84"/>
      <c r="HM16" s="104"/>
      <c r="HN16" s="178">
        <f>IF(COUNT(HN17:HN19)=0,"",SUM(HN17:HN19)/COUNT(HN17:HN19))</f>
        <v>1.75</v>
      </c>
      <c r="HO16" s="179" t="str">
        <f t="shared" si="48"/>
        <v>C</v>
      </c>
      <c r="HP16" s="171"/>
      <c r="HQ16" s="84"/>
      <c r="HR16" s="84"/>
      <c r="HS16" s="178">
        <f>IF(COUNT(HS17:HS19)=0,"",SUM(HS17:HS19)/COUNT(HS17:HS19))</f>
        <v>1.75</v>
      </c>
      <c r="HT16" s="194" t="str">
        <f t="shared" si="49"/>
        <v>C</v>
      </c>
      <c r="HU16" s="172"/>
      <c r="HV16" s="109"/>
      <c r="HW16" s="109"/>
      <c r="HX16" s="110"/>
      <c r="HY16" s="178">
        <f>IF(COUNT(HY17:HY19)=0,"",SUM(HY17:HY19)/COUNT(HY17:HY19))</f>
        <v>2.5833333333333335</v>
      </c>
      <c r="HZ16" s="202" t="str">
        <f t="shared" si="50"/>
        <v>C</v>
      </c>
      <c r="IA16" s="203">
        <f>IF(COUNT(IA17:IA19)=0,"",SUM(IA17:IA19)/COUNT(IA17:IA19))</f>
        <v>2.0833333333333335</v>
      </c>
      <c r="IB16" s="204" t="str">
        <f t="shared" si="51"/>
        <v>C</v>
      </c>
      <c r="IC16" s="215"/>
      <c r="ID16" s="84"/>
      <c r="IE16" s="104"/>
      <c r="IF16" s="178">
        <f>IF(COUNT(IF17:IF19)=0,"",SUM(IF17:IF19)/COUNT(IF17:IF19))</f>
        <v>2.5</v>
      </c>
      <c r="IG16" s="179" t="str">
        <f t="shared" si="52"/>
        <v>C</v>
      </c>
      <c r="IH16" s="171"/>
      <c r="II16" s="84"/>
      <c r="IJ16" s="84"/>
      <c r="IK16" s="178">
        <f>IF(COUNT(IK17:IK19)=0,"",SUM(IK17:IK19)/COUNT(IK17:IK19))</f>
        <v>2.666666666666667</v>
      </c>
      <c r="IL16" s="194" t="str">
        <f t="shared" si="53"/>
        <v>C</v>
      </c>
      <c r="IM16" s="172"/>
      <c r="IN16" s="109"/>
      <c r="IO16" s="109"/>
      <c r="IP16" s="110"/>
      <c r="IQ16" s="178">
        <f>IF(COUNT(IQ17:IQ19)=0,"",SUM(IQ17:IQ19)/COUNT(IQ17:IQ19))</f>
        <v>2.7222222222222219</v>
      </c>
      <c r="IR16" s="202" t="str">
        <f t="shared" si="54"/>
        <v>C</v>
      </c>
      <c r="IS16" s="203">
        <f>IF(COUNT(IS17:IS19)=0,"",SUM(IS17:IS19)/COUNT(IS17:IS19))</f>
        <v>2.7222222222222228</v>
      </c>
      <c r="IT16" s="204" t="str">
        <f t="shared" si="55"/>
        <v>C</v>
      </c>
      <c r="IU16" s="215"/>
      <c r="IV16" s="84"/>
      <c r="IW16" s="104"/>
      <c r="IX16" s="178">
        <f>IF(COUNT(IX17:IX19)=0,"",SUM(IX17:IX19)/COUNT(IX17:IX19))</f>
        <v>2</v>
      </c>
      <c r="IY16" s="179" t="str">
        <f t="shared" si="56"/>
        <v>C</v>
      </c>
      <c r="IZ16" s="171"/>
      <c r="JA16" s="84"/>
      <c r="JB16" s="84"/>
      <c r="JC16" s="178">
        <f>IF(COUNT(JC17:JC19)=0,"",SUM(JC17:JC19)/COUNT(JC17:JC19))</f>
        <v>1.5833333333333335</v>
      </c>
      <c r="JD16" s="194" t="str">
        <f t="shared" si="57"/>
        <v>C</v>
      </c>
      <c r="JE16" s="172"/>
      <c r="JF16" s="109"/>
      <c r="JG16" s="109"/>
      <c r="JH16" s="110"/>
      <c r="JI16" s="178">
        <f>IF(COUNT(JI17:JI19)=0,"",SUM(JI17:JI19)/COUNT(JI17:JI19))</f>
        <v>2.1666666666666665</v>
      </c>
      <c r="JJ16" s="202" t="str">
        <f t="shared" si="58"/>
        <v>C</v>
      </c>
      <c r="JK16" s="203">
        <f>IF(COUNT(JK17:JK19)=0,"",SUM(JK17:JK19)/COUNT(JK17:JK19))</f>
        <v>2.1851851851851851</v>
      </c>
      <c r="JL16" s="204" t="str">
        <f t="shared" si="59"/>
        <v>C</v>
      </c>
      <c r="JM16" s="215"/>
      <c r="JN16" s="84"/>
      <c r="JO16" s="104"/>
      <c r="JP16" s="178">
        <f>IF(COUNT(JP17:JP19)=0,"",SUM(JP17:JP19)/COUNT(JP17:JP19))</f>
        <v>2.25</v>
      </c>
      <c r="JQ16" s="179" t="str">
        <f t="shared" si="60"/>
        <v>C</v>
      </c>
      <c r="JR16" s="171"/>
      <c r="JS16" s="84"/>
      <c r="JT16" s="84"/>
      <c r="JU16" s="178">
        <f>IF(COUNT(JU17:JU19)=0,"",SUM(JU17:JU19)/COUNT(JU17:JU19))</f>
        <v>2</v>
      </c>
      <c r="JV16" s="194" t="str">
        <f t="shared" si="61"/>
        <v>C</v>
      </c>
      <c r="JW16" s="172"/>
      <c r="JX16" s="109"/>
      <c r="JY16" s="109"/>
      <c r="JZ16" s="110"/>
      <c r="KA16" s="178">
        <f>IF(COUNT(KA17:KA19)=0,"",SUM(KA17:KA19)/COUNT(KA17:KA19))</f>
        <v>2.75</v>
      </c>
      <c r="KB16" s="202" t="str">
        <f t="shared" si="62"/>
        <v>C</v>
      </c>
      <c r="KC16" s="203">
        <f>IF(COUNT(KC17:KC19)=0,"",SUM(KC17:KC19)/COUNT(KC17:KC19))</f>
        <v>2.333333333333333</v>
      </c>
      <c r="KD16" s="204" t="str">
        <f t="shared" si="63"/>
        <v>C</v>
      </c>
      <c r="KE16" s="215"/>
      <c r="KF16" s="84"/>
      <c r="KG16" s="104"/>
      <c r="KH16" s="178">
        <f>IF(COUNT(KH17:KH19)=0,"",SUM(KH17:KH19)/COUNT(KH17:KH19))</f>
        <v>2.5</v>
      </c>
      <c r="KI16" s="179" t="str">
        <f t="shared" si="64"/>
        <v>C</v>
      </c>
      <c r="KJ16" s="171"/>
      <c r="KK16" s="84"/>
      <c r="KL16" s="84"/>
      <c r="KM16" s="178">
        <f>IF(COUNT(KM17:KM19)=0,"",SUM(KM17:KM19)/COUNT(KM17:KM19))</f>
        <v>2.333333333333333</v>
      </c>
      <c r="KN16" s="194" t="str">
        <f t="shared" si="65"/>
        <v>C</v>
      </c>
      <c r="KO16" s="172"/>
      <c r="KP16" s="109"/>
      <c r="KQ16" s="109"/>
      <c r="KR16" s="110"/>
      <c r="KS16" s="178">
        <f>IF(COUNT(KS17:KS19)=0,"",SUM(KS17:KS19)/COUNT(KS17:KS19))</f>
        <v>3.1666666666666665</v>
      </c>
      <c r="KT16" s="202" t="str">
        <f t="shared" si="66"/>
        <v>B</v>
      </c>
      <c r="KU16" s="203">
        <f>IF(COUNT(KU17:KU19)=0,"",SUM(KU17:KU19)/COUNT(KU17:KU19))</f>
        <v>2.7962962962962958</v>
      </c>
      <c r="KV16" s="204" t="str">
        <f t="shared" si="67"/>
        <v>C</v>
      </c>
      <c r="KW16" s="215"/>
      <c r="KX16" s="84"/>
      <c r="KY16" s="104"/>
      <c r="KZ16" s="178">
        <f>IF(COUNT(KZ17:KZ19)=0,"",SUM(KZ17:KZ19)/COUNT(KZ17:KZ19))</f>
        <v>2.75</v>
      </c>
      <c r="LA16" s="179" t="str">
        <f t="shared" si="68"/>
        <v>C</v>
      </c>
      <c r="LB16" s="171"/>
      <c r="LC16" s="84"/>
      <c r="LD16" s="84"/>
      <c r="LE16" s="178">
        <f>IF(COUNT(LE17:LE19)=0,"",SUM(LE17:LE19)/COUNT(LE17:LE19))</f>
        <v>3.166666666666667</v>
      </c>
      <c r="LF16" s="194" t="str">
        <f t="shared" si="69"/>
        <v>B</v>
      </c>
      <c r="LG16" s="172"/>
      <c r="LH16" s="109"/>
      <c r="LI16" s="109"/>
      <c r="LJ16" s="110"/>
      <c r="LK16" s="178">
        <f>IF(COUNT(LK17:LK19)=0,"",SUM(LK17:LK19)/COUNT(LK17:LK19))</f>
        <v>2.4166666666666665</v>
      </c>
      <c r="LL16" s="202" t="str">
        <f t="shared" si="70"/>
        <v>C</v>
      </c>
      <c r="LM16" s="203">
        <f>IF(COUNT(LM17:LM19)=0,"",SUM(LM17:LM19)/COUNT(LM17:LM19))</f>
        <v>2.5648148148148149</v>
      </c>
      <c r="LN16" s="204" t="str">
        <f t="shared" si="71"/>
        <v>C</v>
      </c>
      <c r="LO16" s="215"/>
      <c r="LP16" s="84"/>
      <c r="LQ16" s="104"/>
      <c r="LR16" s="178">
        <f>IF(COUNT(LR17:LR19)=0,"",SUM(LR17:LR19)/COUNT(LR17:LR19))</f>
        <v>3</v>
      </c>
      <c r="LS16" s="179" t="str">
        <f t="shared" si="72"/>
        <v>B</v>
      </c>
      <c r="LT16" s="171"/>
      <c r="LU16" s="84"/>
      <c r="LV16" s="84"/>
      <c r="LW16" s="178">
        <f>IF(COUNT(LW17:LW19)=0,"",SUM(LW17:LW19)/COUNT(LW17:LW19))</f>
        <v>3.333333333333333</v>
      </c>
      <c r="LX16" s="194" t="str">
        <f t="shared" si="73"/>
        <v>B</v>
      </c>
      <c r="LY16" s="172"/>
      <c r="LZ16" s="109"/>
      <c r="MA16" s="109"/>
      <c r="MB16" s="110"/>
      <c r="MC16" s="178">
        <f>IF(COUNT(MC17:MC19)=0,"",SUM(MC17:MC19)/COUNT(MC17:MC19))</f>
        <v>3.3333333333333335</v>
      </c>
      <c r="MD16" s="202" t="str">
        <f t="shared" si="74"/>
        <v>B</v>
      </c>
      <c r="ME16" s="203">
        <f>IF(COUNT(ME17:ME19)=0,"",SUM(ME17:ME19)/COUNT(ME17:ME19))</f>
        <v>3.1851851851851851</v>
      </c>
      <c r="MF16" s="204" t="str">
        <f t="shared" si="75"/>
        <v>B</v>
      </c>
      <c r="MG16" s="215"/>
      <c r="MH16" s="84"/>
      <c r="MI16" s="104"/>
      <c r="MJ16" s="178">
        <f>IF(COUNT(MJ17:MJ19)=0,"",SUM(MJ17:MJ19)/COUNT(MJ17:MJ19))</f>
        <v>2.25</v>
      </c>
      <c r="MK16" s="179" t="str">
        <f t="shared" si="76"/>
        <v>C</v>
      </c>
      <c r="ML16" s="171"/>
      <c r="MM16" s="84"/>
      <c r="MN16" s="84"/>
      <c r="MO16" s="178">
        <f>IF(COUNT(MO17:MO19)=0,"",SUM(MO17:MO19)/COUNT(MO17:MO19))</f>
        <v>3.333333333333333</v>
      </c>
      <c r="MP16" s="194" t="str">
        <f t="shared" si="77"/>
        <v>B</v>
      </c>
      <c r="MQ16" s="172"/>
      <c r="MR16" s="109"/>
      <c r="MS16" s="109"/>
      <c r="MT16" s="110"/>
      <c r="MU16" s="178">
        <f>IF(COUNT(MU17:MU19)=0,"",SUM(MU17:MU19)/COUNT(MU17:MU19))</f>
        <v>2.6666666666666665</v>
      </c>
      <c r="MV16" s="202" t="str">
        <f t="shared" si="78"/>
        <v>C</v>
      </c>
      <c r="MW16" s="203">
        <f>IF(COUNT(MW17:MW19)=0,"",SUM(MW17:MW19)/COUNT(MW17:MW19))</f>
        <v>2.7962962962962963</v>
      </c>
      <c r="MX16" s="204" t="str">
        <f t="shared" si="79"/>
        <v>C</v>
      </c>
      <c r="MY16" s="215"/>
      <c r="MZ16" s="84"/>
      <c r="NA16" s="104"/>
      <c r="NB16" s="178">
        <f>IF(COUNT(NB17:NB19)=0,"",SUM(NB17:NB19)/COUNT(NB17:NB19))</f>
        <v>2.25</v>
      </c>
      <c r="NC16" s="179" t="str">
        <f t="shared" si="80"/>
        <v>C</v>
      </c>
      <c r="ND16" s="171"/>
      <c r="NE16" s="84"/>
      <c r="NF16" s="84"/>
      <c r="NG16" s="178">
        <f>IF(COUNT(NG17:NG19)=0,"",SUM(NG17:NG19)/COUNT(NG17:NG19))</f>
        <v>2.083333333333333</v>
      </c>
      <c r="NH16" s="194" t="str">
        <f t="shared" si="81"/>
        <v>C</v>
      </c>
      <c r="NI16" s="172"/>
      <c r="NJ16" s="109"/>
      <c r="NK16" s="109"/>
      <c r="NL16" s="110"/>
      <c r="NM16" s="178">
        <f>IF(COUNT(NM17:NM19)=0,"",SUM(NM17:NM19)/COUNT(NM17:NM19))</f>
        <v>2.75</v>
      </c>
      <c r="NN16" s="202" t="str">
        <f t="shared" si="82"/>
        <v>C</v>
      </c>
      <c r="NO16" s="203">
        <f>IF(COUNT(NO17:NO19)=0,"",SUM(NO17:NO19)/COUNT(NO17:NO19))</f>
        <v>2.324074074074074</v>
      </c>
      <c r="NP16" s="204" t="str">
        <f t="shared" si="83"/>
        <v>C</v>
      </c>
      <c r="NQ16" s="215"/>
      <c r="NR16" s="84"/>
      <c r="NS16" s="104"/>
      <c r="NT16" s="178">
        <f>IF(COUNT(NT17:NT19)=0,"",SUM(NT17:NT19)/COUNT(NT17:NT19))</f>
        <v>2.25</v>
      </c>
      <c r="NU16" s="179" t="str">
        <f t="shared" si="84"/>
        <v>C</v>
      </c>
      <c r="NV16" s="171"/>
      <c r="NW16" s="84"/>
      <c r="NX16" s="84"/>
      <c r="NY16" s="178">
        <f>IF(COUNT(NY17:NY19)=0,"",SUM(NY17:NY19)/COUNT(NY17:NY19))</f>
        <v>2.416666666666667</v>
      </c>
      <c r="NZ16" s="194" t="str">
        <f t="shared" si="85"/>
        <v>C</v>
      </c>
      <c r="OA16" s="172"/>
      <c r="OB16" s="109"/>
      <c r="OC16" s="109"/>
      <c r="OD16" s="110"/>
      <c r="OE16" s="178">
        <f>IF(COUNT(OE17:OE19)=0,"",SUM(OE17:OE19)/COUNT(OE17:OE19))</f>
        <v>2.75</v>
      </c>
      <c r="OF16" s="202" t="str">
        <f t="shared" si="86"/>
        <v>C</v>
      </c>
      <c r="OG16" s="203">
        <f>IF(COUNT(OG17:OG19)=0,"",SUM(OG17:OG19)/COUNT(OG17:OG19))</f>
        <v>2.4722222222222223</v>
      </c>
      <c r="OH16" s="204" t="str">
        <f t="shared" si="87"/>
        <v>C</v>
      </c>
      <c r="OI16" s="215"/>
      <c r="OJ16" s="84"/>
      <c r="OK16" s="104"/>
      <c r="OL16" s="178">
        <f>IF(COUNT(OL17:OL19)=0,"",SUM(OL17:OL19)/COUNT(OL17:OL19))</f>
        <v>3</v>
      </c>
      <c r="OM16" s="179" t="str">
        <f t="shared" si="88"/>
        <v>B</v>
      </c>
      <c r="ON16" s="171"/>
      <c r="OO16" s="84"/>
      <c r="OP16" s="84"/>
      <c r="OQ16" s="178">
        <f>IF(COUNT(OQ17:OQ19)=0,"",SUM(OQ17:OQ19)/COUNT(OQ17:OQ19))</f>
        <v>2</v>
      </c>
      <c r="OR16" s="194" t="str">
        <f t="shared" si="89"/>
        <v>C</v>
      </c>
      <c r="OS16" s="172"/>
      <c r="OT16" s="109"/>
      <c r="OU16" s="109"/>
      <c r="OV16" s="110"/>
      <c r="OW16" s="178">
        <f>IF(COUNT(OW17:OW19)=0,"",SUM(OW17:OW19)/COUNT(OW17:OW19))</f>
        <v>2.75</v>
      </c>
      <c r="OX16" s="202" t="str">
        <f t="shared" si="90"/>
        <v>C</v>
      </c>
      <c r="OY16" s="203">
        <f>IF(COUNT(OY17:OY19)=0,"",SUM(OY17:OY19)/COUNT(OY17:OY19))</f>
        <v>2.6944444444444446</v>
      </c>
      <c r="OZ16" s="204" t="str">
        <f t="shared" si="91"/>
        <v>C</v>
      </c>
      <c r="PA16" s="215"/>
      <c r="PB16" s="84"/>
      <c r="PC16" s="104"/>
      <c r="PD16" s="178">
        <f>IF(COUNT(PD17:PD19)=0,"",SUM(PD17:PD19)/COUNT(PD17:PD19))</f>
        <v>2</v>
      </c>
      <c r="PE16" s="179" t="str">
        <f t="shared" si="92"/>
        <v>C</v>
      </c>
      <c r="PF16" s="171"/>
      <c r="PG16" s="84"/>
      <c r="PH16" s="84"/>
      <c r="PI16" s="178">
        <f>IF(COUNT(PI17:PI19)=0,"",SUM(PI17:PI19)/COUNT(PI17:PI19))</f>
        <v>2.416666666666667</v>
      </c>
      <c r="PJ16" s="194" t="str">
        <f t="shared" si="93"/>
        <v>C</v>
      </c>
      <c r="PK16" s="172"/>
      <c r="PL16" s="109"/>
      <c r="PM16" s="109"/>
      <c r="PN16" s="110"/>
      <c r="PO16" s="178">
        <f>IF(COUNT(PO17:PO19)=0,"",SUM(PO17:PO19)/COUNT(PO17:PO19))</f>
        <v>2.5833333333333335</v>
      </c>
      <c r="PP16" s="202" t="str">
        <f t="shared" si="94"/>
        <v>C</v>
      </c>
      <c r="PQ16" s="203">
        <f>IF(COUNT(PQ17:PQ19)=0,"",SUM(PQ17:PQ19)/COUNT(PQ17:PQ19))</f>
        <v>2.5092592592592595</v>
      </c>
      <c r="PR16" s="204" t="str">
        <f t="shared" si="95"/>
        <v>C</v>
      </c>
      <c r="PS16" s="215"/>
      <c r="PT16" s="84"/>
      <c r="PU16" s="104"/>
      <c r="PV16" s="178">
        <f>IF(COUNT(PV17:PV19)=0,"",SUM(PV17:PV19)/COUNT(PV17:PV19))</f>
        <v>2.75</v>
      </c>
      <c r="PW16" s="179" t="str">
        <f t="shared" si="96"/>
        <v>C</v>
      </c>
      <c r="PX16" s="171"/>
      <c r="PY16" s="84"/>
      <c r="PZ16" s="84"/>
      <c r="QA16" s="178">
        <f>IF(COUNT(QA17:QA19)=0,"",SUM(QA17:QA19)/COUNT(QA17:QA19))</f>
        <v>1.9166666666666667</v>
      </c>
      <c r="QB16" s="194" t="str">
        <f t="shared" si="97"/>
        <v>C</v>
      </c>
      <c r="QC16" s="172"/>
      <c r="QD16" s="109"/>
      <c r="QE16" s="109"/>
      <c r="QF16" s="110"/>
      <c r="QG16" s="178">
        <f>IF(COUNT(QG17:QG19)=0,"",SUM(QG17:QG19)/COUNT(QG17:QG19))</f>
        <v>2.5833333333333335</v>
      </c>
      <c r="QH16" s="202" t="str">
        <f t="shared" si="98"/>
        <v>C</v>
      </c>
      <c r="QI16" s="203">
        <f>IF(COUNT(QI17:QI19)=0,"",SUM(QI17:QI19)/COUNT(QI17:QI19))</f>
        <v>2.342592592592593</v>
      </c>
      <c r="QJ16" s="204" t="str">
        <f t="shared" si="99"/>
        <v>C</v>
      </c>
      <c r="QK16" s="215"/>
      <c r="QL16" s="84"/>
      <c r="QM16" s="104"/>
      <c r="QN16" s="178">
        <f>IF(COUNT(QN17:QN19)=0,"",SUM(QN17:QN19)/COUNT(QN17:QN19))</f>
        <v>2</v>
      </c>
      <c r="QO16" s="179" t="str">
        <f t="shared" si="100"/>
        <v>C</v>
      </c>
      <c r="QP16" s="171"/>
      <c r="QQ16" s="84"/>
      <c r="QR16" s="84"/>
      <c r="QS16" s="178">
        <f>IF(COUNT(QS17:QS19)=0,"",SUM(QS17:QS19)/COUNT(QS17:QS19))</f>
        <v>2.5</v>
      </c>
      <c r="QT16" s="194" t="str">
        <f t="shared" si="101"/>
        <v>C</v>
      </c>
      <c r="QU16" s="172"/>
      <c r="QV16" s="109"/>
      <c r="QW16" s="109"/>
      <c r="QX16" s="110"/>
      <c r="QY16" s="178">
        <f>IF(COUNT(QY17:QY19)=0,"",SUM(QY17:QY19)/COUNT(QY17:QY19))</f>
        <v>3.3333333333333335</v>
      </c>
      <c r="QZ16" s="202" t="str">
        <f t="shared" si="102"/>
        <v>B</v>
      </c>
      <c r="RA16" s="203">
        <f>IF(COUNT(RA17:RA19)=0,"",SUM(RA17:RA19)/COUNT(RA17:RA19))</f>
        <v>2.7777777777777772</v>
      </c>
      <c r="RB16" s="204" t="str">
        <f t="shared" si="103"/>
        <v>C</v>
      </c>
      <c r="RC16" s="215"/>
      <c r="RD16" s="84"/>
      <c r="RE16" s="104"/>
      <c r="RF16" s="178">
        <f>IF(COUNT(RF17:RF19)=0,"",SUM(RF17:RF19)/COUNT(RF17:RF19))</f>
        <v>2.75</v>
      </c>
      <c r="RG16" s="179" t="str">
        <f t="shared" si="104"/>
        <v>C</v>
      </c>
      <c r="RH16" s="171"/>
      <c r="RI16" s="84"/>
      <c r="RJ16" s="84"/>
      <c r="RK16" s="178">
        <f>IF(COUNT(RK17:RK19)=0,"",SUM(RK17:RK19)/COUNT(RK17:RK19))</f>
        <v>2.666666666666667</v>
      </c>
      <c r="RL16" s="194" t="str">
        <f t="shared" si="105"/>
        <v>C</v>
      </c>
      <c r="RM16" s="172"/>
      <c r="RN16" s="109"/>
      <c r="RO16" s="109"/>
      <c r="RP16" s="110"/>
      <c r="RQ16" s="178">
        <f>IF(COUNT(RQ17:RQ19)=0,"",SUM(RQ17:RQ19)/COUNT(RQ17:RQ19))</f>
        <v>2.9166666666666665</v>
      </c>
      <c r="RR16" s="202" t="str">
        <f t="shared" si="106"/>
        <v>B</v>
      </c>
      <c r="RS16" s="203">
        <f>IF(COUNT(RS17:RS19)=0,"",SUM(RS17:RS19)/COUNT(RS17:RS19))</f>
        <v>2.842592592592593</v>
      </c>
      <c r="RT16" s="204" t="str">
        <f t="shared" si="107"/>
        <v>B</v>
      </c>
      <c r="RU16" s="140"/>
      <c r="RV16" s="84"/>
      <c r="RW16" s="104"/>
      <c r="RX16" s="105" t="str">
        <f>IF(COUNT(RX17:RX19)=0,"",SUM(RX17:RX19)/COUNT(RX17:RX19))</f>
        <v/>
      </c>
      <c r="RY16" s="106" t="str">
        <f t="shared" si="108"/>
        <v/>
      </c>
      <c r="RZ16" s="103"/>
      <c r="SA16" s="84"/>
      <c r="SB16" s="104"/>
      <c r="SC16" s="105" t="str">
        <f>IF(COUNT(SC17:SC19)=0,"",SUM(SC17:SC19)/COUNT(SC17:SC19))</f>
        <v/>
      </c>
      <c r="SD16" s="107" t="str">
        <f t="shared" si="109"/>
        <v/>
      </c>
      <c r="SE16" s="108"/>
      <c r="SF16" s="109"/>
      <c r="SG16" s="110"/>
      <c r="SH16" s="105" t="str">
        <f>IF(COUNT(SH17:SH19)=0,"",SUM(SH17:SH19)/COUNT(SH17:SH19))</f>
        <v/>
      </c>
      <c r="SI16" s="111" t="str">
        <f t="shared" si="110"/>
        <v/>
      </c>
      <c r="SJ16" s="112" t="str">
        <f>IF(COUNT(SJ17:SJ19)=0,"",SUM(SJ17:SJ19)/COUNT(SJ17:SJ19))</f>
        <v/>
      </c>
      <c r="SK16" s="113" t="str">
        <f t="shared" si="111"/>
        <v/>
      </c>
      <c r="SL16" s="140"/>
      <c r="SM16" s="84"/>
      <c r="SN16" s="104"/>
      <c r="SO16" s="105" t="str">
        <f>IF(COUNT(SO17:SO19)=0,"",SUM(SO17:SO19)/COUNT(SO17:SO19))</f>
        <v/>
      </c>
      <c r="SP16" s="106" t="str">
        <f t="shared" si="112"/>
        <v/>
      </c>
      <c r="SQ16" s="103"/>
      <c r="SR16" s="84"/>
      <c r="SS16" s="104"/>
      <c r="ST16" s="105" t="str">
        <f>IF(COUNT(ST17:ST19)=0,"",SUM(ST17:ST19)/COUNT(ST17:ST19))</f>
        <v/>
      </c>
      <c r="SU16" s="107" t="str">
        <f t="shared" si="113"/>
        <v/>
      </c>
      <c r="SV16" s="108"/>
      <c r="SW16" s="109"/>
      <c r="SX16" s="110"/>
      <c r="SY16" s="105" t="str">
        <f>IF(COUNT(SY17:SY19)=0,"",SUM(SY17:SY19)/COUNT(SY17:SY19))</f>
        <v/>
      </c>
      <c r="SZ16" s="111" t="str">
        <f t="shared" si="114"/>
        <v/>
      </c>
      <c r="TA16" s="112" t="str">
        <f>IF(COUNT(TA17:TA19)=0,"",SUM(TA17:TA19)/COUNT(TA17:TA19))</f>
        <v/>
      </c>
      <c r="TB16" s="113" t="str">
        <f t="shared" si="115"/>
        <v/>
      </c>
      <c r="TC16" s="140"/>
      <c r="TD16" s="84"/>
      <c r="TE16" s="104"/>
      <c r="TF16" s="105" t="str">
        <f>IF(COUNT(TF17:TF19)=0,"",SUM(TF17:TF19)/COUNT(TF17:TF19))</f>
        <v/>
      </c>
      <c r="TG16" s="106" t="str">
        <f t="shared" si="116"/>
        <v/>
      </c>
      <c r="TH16" s="103"/>
      <c r="TI16" s="84"/>
      <c r="TJ16" s="104"/>
      <c r="TK16" s="105" t="str">
        <f>IF(COUNT(TK17:TK19)=0,"",SUM(TK17:TK19)/COUNT(TK17:TK19))</f>
        <v/>
      </c>
      <c r="TL16" s="107" t="str">
        <f t="shared" si="117"/>
        <v/>
      </c>
      <c r="TM16" s="108"/>
      <c r="TN16" s="109"/>
      <c r="TO16" s="110"/>
      <c r="TP16" s="105" t="str">
        <f>IF(COUNT(TP17:TP19)=0,"",SUM(TP17:TP19)/COUNT(TP17:TP19))</f>
        <v/>
      </c>
      <c r="TQ16" s="111" t="str">
        <f t="shared" si="118"/>
        <v/>
      </c>
      <c r="TR16" s="112" t="str">
        <f>IF(COUNT(TR17:TR19)=0,"",SUM(TR17:TR19)/COUNT(TR17:TR19))</f>
        <v/>
      </c>
      <c r="TS16" s="113" t="str">
        <f t="shared" si="119"/>
        <v/>
      </c>
    </row>
    <row r="17" spans="1:539" ht="18" customHeight="1" x14ac:dyDescent="0.25">
      <c r="A17" s="234" t="s">
        <v>21</v>
      </c>
      <c r="B17" s="235"/>
      <c r="C17" s="122" t="s">
        <v>27</v>
      </c>
      <c r="D17" s="123"/>
      <c r="E17" s="124"/>
      <c r="F17" s="180">
        <f>IFERROR((((COUNTIF('Elève (5ème3)'!C17:E17,"A"))*4)+((COUNTIF('Elève (5ème3)'!C17:E17,"B"))*3)+((COUNTIF('Elève (5ème3)'!C17:E17,"C"))*2)+((COUNTIF('Elève (5ème3)'!C17:E17,"D"))*1))/(COUNTA(C17:E17)),"")</f>
        <v>4</v>
      </c>
      <c r="G17" s="181" t="str">
        <f t="shared" si="0"/>
        <v>A</v>
      </c>
      <c r="H17" s="122"/>
      <c r="I17" s="123" t="s">
        <v>29</v>
      </c>
      <c r="J17" s="124" t="s">
        <v>30</v>
      </c>
      <c r="K17" s="180">
        <f>IFERROR((((COUNTIF('Elève (5ème3)'!H17:J17,"A"))*4)+((COUNTIF('Elève (5ème3)'!H17:J17,"B"))*3)+((COUNTIF('Elève (5ème3)'!H17:J17,"C"))*2)+((COUNTIF('Elève (5ème3)'!H17:J17,"D"))*1))/(COUNTA(H17:J17)),"")</f>
        <v>1.5</v>
      </c>
      <c r="L17" s="181" t="str">
        <f t="shared" si="1"/>
        <v>D</v>
      </c>
      <c r="M17" s="122" t="s">
        <v>29</v>
      </c>
      <c r="N17" s="123"/>
      <c r="O17" s="124"/>
      <c r="P17" s="124" t="s">
        <v>28</v>
      </c>
      <c r="Q17" s="180">
        <f>IFERROR((((COUNTIF('Elève (5ème3)'!M17:P17,"A"))*4)+((COUNTIF('Elève (5ème3)'!M17:P17,"B"))*3)+((COUNTIF('Elève (5ème3)'!M17:P17,"C"))*2)+((COUNTIF('Elève (5ème3)'!M17:P17,"D"))*1))/(COUNTA(M17:P17)),"")</f>
        <v>2.5</v>
      </c>
      <c r="R17" s="181" t="str">
        <f t="shared" si="2"/>
        <v>C</v>
      </c>
      <c r="S17" s="180">
        <f>IF(COUNT(F17,K17,Q17)=0,"",SUM(F17,K17,Q17)/COUNT(F17,K17,Q17))</f>
        <v>2.6666666666666665</v>
      </c>
      <c r="T17" s="210" t="str">
        <f t="shared" si="3"/>
        <v>C</v>
      </c>
      <c r="U17" s="122" t="s">
        <v>27</v>
      </c>
      <c r="V17" s="123"/>
      <c r="W17" s="124"/>
      <c r="X17" s="180">
        <f>IFERROR((((COUNTIF('Elève (5ème3)'!U17:W17,"A"))*4)+((COUNTIF('Elève (5ème3)'!U17:W17,"B"))*3)+((COUNTIF('Elève (5ème3)'!U17:W17,"C"))*2)+((COUNTIF('Elève (5ème3)'!U17:W17,"D"))*1))/(COUNTA(U17:W17)),"")</f>
        <v>4</v>
      </c>
      <c r="Y17" s="181" t="str">
        <f t="shared" si="4"/>
        <v>A</v>
      </c>
      <c r="Z17" s="122"/>
      <c r="AA17" s="123" t="s">
        <v>28</v>
      </c>
      <c r="AB17" s="124" t="s">
        <v>29</v>
      </c>
      <c r="AC17" s="180">
        <f>IFERROR((((COUNTIF('Elève (5ème3)'!Z17:AB17,"A"))*4)+((COUNTIF('Elève (5ème3)'!Z17:AB17,"B"))*3)+((COUNTIF('Elève (5ème3)'!Z17:AB17,"C"))*2)+((COUNTIF('Elève (5ème3)'!Z17:AB17,"D"))*1))/(COUNTA(Z17:AB17)),"")</f>
        <v>2.5</v>
      </c>
      <c r="AD17" s="181" t="str">
        <f t="shared" si="5"/>
        <v>C</v>
      </c>
      <c r="AE17" s="122" t="s">
        <v>28</v>
      </c>
      <c r="AF17" s="123"/>
      <c r="AG17" s="124"/>
      <c r="AH17" s="128" t="s">
        <v>28</v>
      </c>
      <c r="AI17" s="180">
        <f>IFERROR((((COUNTIF('Elève (5ème3)'!AE17:AH17,"A"))*4)+((COUNTIF('Elève (5ème3)'!AE17:AH17,"B"))*3)+((COUNTIF('Elève (5ème3)'!AE17:AH17,"C"))*2)+((COUNTIF('Elève (5ème3)'!AE17:AH17,"D"))*1))/(COUNTA(AE17:AH17)),"")</f>
        <v>3</v>
      </c>
      <c r="AJ17" s="181" t="str">
        <f t="shared" si="6"/>
        <v>B</v>
      </c>
      <c r="AK17" s="180">
        <f>IF(COUNT(X17,AC17,AI17)=0,"",SUM(X17,AC17,AI17)/COUNT(X17,AC17,AI17))</f>
        <v>3.1666666666666665</v>
      </c>
      <c r="AL17" s="210" t="str">
        <f t="shared" si="7"/>
        <v>B</v>
      </c>
      <c r="AM17" s="122" t="s">
        <v>27</v>
      </c>
      <c r="AN17" s="123"/>
      <c r="AO17" s="124"/>
      <c r="AP17" s="180">
        <f>IFERROR((((COUNTIF('Elève (5ème3)'!AM17:AO17,"A"))*4)+((COUNTIF('Elève (5ème3)'!AM17:AO17,"B"))*3)+((COUNTIF('Elève (5ème3)'!AM17:AO17,"C"))*2)+((COUNTIF('Elève (5ème3)'!AM17:AO17,"D"))*1))/(COUNTA(AM17:AO17)),"")</f>
        <v>4</v>
      </c>
      <c r="AQ17" s="181" t="str">
        <f t="shared" si="8"/>
        <v>A</v>
      </c>
      <c r="AR17" s="122"/>
      <c r="AS17" s="123" t="s">
        <v>29</v>
      </c>
      <c r="AT17" s="124" t="s">
        <v>29</v>
      </c>
      <c r="AU17" s="180">
        <f>IFERROR((((COUNTIF('Elève (5ème3)'!AR17:AT17,"A"))*4)+((COUNTIF('Elève (5ème3)'!AR17:AT17,"B"))*3)+((COUNTIF('Elève (5ème3)'!AR17:AT17,"C"))*2)+((COUNTIF('Elève (5ème3)'!AR17:AT17,"D"))*1))/(COUNTA(AR17:AT17)),"")</f>
        <v>2</v>
      </c>
      <c r="AV17" s="181" t="str">
        <f t="shared" si="9"/>
        <v>C</v>
      </c>
      <c r="AW17" s="122" t="s">
        <v>29</v>
      </c>
      <c r="AX17" s="123"/>
      <c r="AY17" s="124"/>
      <c r="AZ17" s="128" t="s">
        <v>28</v>
      </c>
      <c r="BA17" s="180">
        <f>IFERROR((((COUNTIF('Elève (5ème3)'!AW17:AZ17,"A"))*4)+((COUNTIF('Elève (5ème3)'!AW17:AZ17,"B"))*3)+((COUNTIF('Elève (5ème3)'!AW17:AZ17,"C"))*2)+((COUNTIF('Elève (5ème3)'!AW17:AZ17,"D"))*1))/(COUNTA(AW17:AZ17)),"")</f>
        <v>2.5</v>
      </c>
      <c r="BB17" s="181" t="str">
        <f t="shared" si="10"/>
        <v>C</v>
      </c>
      <c r="BC17" s="180">
        <f>IF(COUNT(AP17,AU17,BA17)=0,"",SUM(AP17,AU17,BA17)/COUNT(AP17,AU17,BA17))</f>
        <v>2.8333333333333335</v>
      </c>
      <c r="BD17" s="210" t="str">
        <f t="shared" si="11"/>
        <v>B</v>
      </c>
      <c r="BE17" s="122" t="s">
        <v>28</v>
      </c>
      <c r="BF17" s="123"/>
      <c r="BG17" s="124"/>
      <c r="BH17" s="180">
        <f>IFERROR((((COUNTIF('Elève (5ème3)'!BE17:BG17,"A"))*4)+((COUNTIF('Elève (5ème3)'!BE17:BG17,"B"))*3)+((COUNTIF('Elève (5ème3)'!BE17:BG17,"C"))*2)+((COUNTIF('Elève (5ème3)'!BE17:BG17,"D"))*1))/(COUNTA(BE17:BG17)),"")</f>
        <v>3</v>
      </c>
      <c r="BI17" s="181" t="str">
        <f t="shared" si="12"/>
        <v>B</v>
      </c>
      <c r="BJ17" s="122"/>
      <c r="BK17" s="123" t="s">
        <v>29</v>
      </c>
      <c r="BL17" s="124" t="s">
        <v>27</v>
      </c>
      <c r="BM17" s="180">
        <f>IFERROR((((COUNTIF('Elève (5ème3)'!BJ17:BL17,"A"))*4)+((COUNTIF('Elève (5ème3)'!BJ17:BL17,"B"))*3)+((COUNTIF('Elève (5ème3)'!BJ17:BL17,"C"))*2)+((COUNTIF('Elève (5ème3)'!BJ17:BL17,"D"))*1))/(COUNTA(BJ17:BL17)),"")</f>
        <v>3</v>
      </c>
      <c r="BN17" s="181" t="str">
        <f t="shared" si="13"/>
        <v>B</v>
      </c>
      <c r="BO17" s="122" t="s">
        <v>28</v>
      </c>
      <c r="BP17" s="123"/>
      <c r="BQ17" s="124"/>
      <c r="BR17" s="128" t="s">
        <v>28</v>
      </c>
      <c r="BS17" s="180">
        <f>IFERROR((((COUNTIF('Elève (5ème3)'!BO17:BR17,"A"))*4)+((COUNTIF('Elève (5ème3)'!BO17:BR17,"B"))*3)+((COUNTIF('Elève (5ème3)'!BO17:BR17,"C"))*2)+((COUNTIF('Elève (5ème3)'!BO17:BR17,"D"))*1))/(COUNTA(BO17:BR17)),"")</f>
        <v>3</v>
      </c>
      <c r="BT17" s="181" t="str">
        <f t="shared" si="14"/>
        <v>B</v>
      </c>
      <c r="BU17" s="180">
        <f>IF(COUNT(BH17,BM17,BS17)=0,"",SUM(BH17,BM17,BS17)/COUNT(BH17,BM17,BS17))</f>
        <v>3</v>
      </c>
      <c r="BV17" s="210" t="str">
        <f t="shared" si="15"/>
        <v>B</v>
      </c>
      <c r="BW17" s="122" t="s">
        <v>29</v>
      </c>
      <c r="BX17" s="123"/>
      <c r="BY17" s="124"/>
      <c r="BZ17" s="180">
        <f>IFERROR((((COUNTIF('Elève (5ème3)'!BW17:BY17,"A"))*4)+((COUNTIF('Elève (5ème3)'!BW17:BY17,"B"))*3)+((COUNTIF('Elève (5ème3)'!BW17:BY17,"C"))*2)+((COUNTIF('Elève (5ème3)'!BW17:BY17,"D"))*1))/(COUNTA(BW17:BY17)),"")</f>
        <v>2</v>
      </c>
      <c r="CA17" s="181" t="str">
        <f t="shared" si="16"/>
        <v>C</v>
      </c>
      <c r="CB17" s="122"/>
      <c r="CC17" s="123" t="s">
        <v>29</v>
      </c>
      <c r="CD17" s="124" t="s">
        <v>30</v>
      </c>
      <c r="CE17" s="180">
        <f>IFERROR((((COUNTIF('Elève (5ème3)'!CB17:CD17,"A"))*4)+((COUNTIF('Elève (5ème3)'!CB17:CD17,"B"))*3)+((COUNTIF('Elève (5ème3)'!CB17:CD17,"C"))*2)+((COUNTIF('Elève (5ème3)'!CB17:CD17,"D"))*1))/(COUNTA(CB17:CD17)),"")</f>
        <v>1.5</v>
      </c>
      <c r="CF17" s="181" t="str">
        <f t="shared" si="17"/>
        <v>D</v>
      </c>
      <c r="CG17" s="122" t="s">
        <v>28</v>
      </c>
      <c r="CH17" s="123"/>
      <c r="CI17" s="124"/>
      <c r="CJ17" s="128" t="s">
        <v>29</v>
      </c>
      <c r="CK17" s="180">
        <f>IFERROR((((COUNTIF('Elève (5ème3)'!CG17:CJ17,"A"))*4)+((COUNTIF('Elève (5ème3)'!CG17:CJ17,"B"))*3)+((COUNTIF('Elève (5ème3)'!CG17:CJ17,"C"))*2)+((COUNTIF('Elève (5ème3)'!CG17:CJ17,"D"))*1))/(COUNTA(CG17:CJ17)),"")</f>
        <v>2.5</v>
      </c>
      <c r="CL17" s="181" t="str">
        <f t="shared" si="18"/>
        <v>C</v>
      </c>
      <c r="CM17" s="180">
        <f>IF(COUNT(BZ17,CE17,CK17)=0,"",SUM(BZ17,CE17,CK17)/COUNT(BZ17,CE17,CK17))</f>
        <v>2</v>
      </c>
      <c r="CN17" s="210" t="str">
        <f t="shared" si="19"/>
        <v>C</v>
      </c>
      <c r="CO17" s="122" t="s">
        <v>29</v>
      </c>
      <c r="CP17" s="123"/>
      <c r="CQ17" s="124"/>
      <c r="CR17" s="180">
        <f>IFERROR((((COUNTIF('Elève (5ème3)'!CO17:CQ17,"A"))*4)+((COUNTIF('Elève (5ème3)'!CO17:CQ17,"B"))*3)+((COUNTIF('Elève (5ème3)'!CO17:CQ17,"C"))*2)+((COUNTIF('Elève (5ème3)'!CO17:CQ17,"D"))*1))/(COUNTA(CO17:CQ17)),"")</f>
        <v>2</v>
      </c>
      <c r="CS17" s="181" t="str">
        <f t="shared" si="20"/>
        <v>C</v>
      </c>
      <c r="CT17" s="122"/>
      <c r="CU17" s="123" t="s">
        <v>29</v>
      </c>
      <c r="CV17" s="124" t="s">
        <v>29</v>
      </c>
      <c r="CW17" s="180">
        <f>IFERROR((((COUNTIF('Elève (5ème3)'!CT17:CV17,"A"))*4)+((COUNTIF('Elève (5ème3)'!CT17:CV17,"B"))*3)+((COUNTIF('Elève (5ème3)'!CT17:CV17,"C"))*2)+((COUNTIF('Elève (5ème3)'!CT17:CV17,"D"))*1))/(COUNTA(CT17:CV17)),"")</f>
        <v>2</v>
      </c>
      <c r="CX17" s="181" t="str">
        <f t="shared" si="21"/>
        <v>C</v>
      </c>
      <c r="CY17" s="122" t="s">
        <v>29</v>
      </c>
      <c r="CZ17" s="123"/>
      <c r="DA17" s="124"/>
      <c r="DB17" s="128" t="s">
        <v>29</v>
      </c>
      <c r="DC17" s="180">
        <f>IFERROR((((COUNTIF('Elève (5ème3)'!CY17:DB17,"A"))*4)+((COUNTIF('Elève (5ème3)'!CY17:DB17,"B"))*3)+((COUNTIF('Elève (5ème3)'!CY17:DB17,"C"))*2)+((COUNTIF('Elève (5ème3)'!CY17:DB17,"D"))*1))/(COUNTA(CY17:DB17)),"")</f>
        <v>2</v>
      </c>
      <c r="DD17" s="181" t="str">
        <f t="shared" si="22"/>
        <v>C</v>
      </c>
      <c r="DE17" s="180">
        <f>IF(COUNT(CR17,CW17,DC17)=0,"",SUM(CR17,CW17,DC17)/COUNT(CR17,CW17,DC17))</f>
        <v>2</v>
      </c>
      <c r="DF17" s="210" t="str">
        <f t="shared" si="23"/>
        <v>C</v>
      </c>
      <c r="DG17" s="122" t="s">
        <v>28</v>
      </c>
      <c r="DH17" s="123"/>
      <c r="DI17" s="124"/>
      <c r="DJ17" s="180">
        <f>IFERROR((((COUNTIF('Elève (5ème3)'!DG17:DI17,"A"))*4)+((COUNTIF('Elève (5ème3)'!DG17:DI17,"B"))*3)+((COUNTIF('Elève (5ème3)'!DG17:DI17,"C"))*2)+((COUNTIF('Elève (5ème3)'!DG17:DI17,"D"))*1))/(COUNTA(DG17:DI17)),"")</f>
        <v>3</v>
      </c>
      <c r="DK17" s="181" t="str">
        <f t="shared" si="24"/>
        <v>B</v>
      </c>
      <c r="DL17" s="122"/>
      <c r="DM17" s="123" t="s">
        <v>28</v>
      </c>
      <c r="DN17" s="124" t="s">
        <v>29</v>
      </c>
      <c r="DO17" s="180">
        <f>IFERROR((((COUNTIF('Elève (5ème3)'!DL17:DN17,"A"))*4)+((COUNTIF('Elève (5ème3)'!DL17:DN17,"B"))*3)+((COUNTIF('Elève (5ème3)'!DL17:DN17,"C"))*2)+((COUNTIF('Elève (5ème3)'!DL17:DN17,"D"))*1))/(COUNTA(DL17:DN17)),"")</f>
        <v>2.5</v>
      </c>
      <c r="DP17" s="181" t="str">
        <f t="shared" si="25"/>
        <v>C</v>
      </c>
      <c r="DQ17" s="122" t="s">
        <v>28</v>
      </c>
      <c r="DR17" s="123"/>
      <c r="DS17" s="124"/>
      <c r="DT17" s="128" t="s">
        <v>28</v>
      </c>
      <c r="DU17" s="180">
        <f>IFERROR((((COUNTIF('Elève (5ème3)'!DQ17:DT17,"A"))*4)+((COUNTIF('Elève (5ème3)'!DQ17:DT17,"B"))*3)+((COUNTIF('Elève (5ème3)'!DQ17:DT17,"C"))*2)+((COUNTIF('Elève (5ème3)'!DQ17:DT17,"D"))*1))/(COUNTA(DQ17:DT17)),"")</f>
        <v>3</v>
      </c>
      <c r="DV17" s="181" t="str">
        <f t="shared" si="26"/>
        <v>B</v>
      </c>
      <c r="DW17" s="180">
        <f>IF(COUNT(DJ17,DO17,DU17)=0,"",SUM(DJ17,DO17,DU17)/COUNT(DJ17,DO17,DU17))</f>
        <v>2.8333333333333335</v>
      </c>
      <c r="DX17" s="210" t="str">
        <f t="shared" si="27"/>
        <v>B</v>
      </c>
      <c r="DY17" s="122" t="s">
        <v>29</v>
      </c>
      <c r="DZ17" s="123"/>
      <c r="EA17" s="124"/>
      <c r="EB17" s="180">
        <f>IFERROR((((COUNTIF('Elève (5ème3)'!DY17:EA17,"A"))*4)+((COUNTIF('Elève (5ème3)'!DY17:EA17,"B"))*3)+((COUNTIF('Elève (5ème3)'!DY17:EA17,"C"))*2)+((COUNTIF('Elève (5ème3)'!DY17:EA17,"D"))*1))/(COUNTA(DY17:EA17)),"")</f>
        <v>2</v>
      </c>
      <c r="EC17" s="181" t="str">
        <f t="shared" si="28"/>
        <v>C</v>
      </c>
      <c r="ED17" s="122"/>
      <c r="EE17" s="123" t="s">
        <v>29</v>
      </c>
      <c r="EF17" s="124" t="s">
        <v>30</v>
      </c>
      <c r="EG17" s="180">
        <f>IFERROR((((COUNTIF('Elève (5ème3)'!ED17:EF17,"A"))*4)+((COUNTIF('Elève (5ème3)'!ED17:EF17,"B"))*3)+((COUNTIF('Elève (5ème3)'!ED17:EF17,"C"))*2)+((COUNTIF('Elève (5ème3)'!ED17:EF17,"D"))*1))/(COUNTA(ED17:EF17)),"")</f>
        <v>1.5</v>
      </c>
      <c r="EH17" s="181" t="str">
        <f t="shared" si="29"/>
        <v>D</v>
      </c>
      <c r="EI17" s="122" t="s">
        <v>30</v>
      </c>
      <c r="EJ17" s="123"/>
      <c r="EK17" s="124"/>
      <c r="EL17" s="128"/>
      <c r="EM17" s="180">
        <f>IFERROR((((COUNTIF('Elève (5ème3)'!EI17:EL17,"A"))*4)+((COUNTIF('Elève (5ème3)'!EI17:EL17,"B"))*3)+((COUNTIF('Elève (5ème3)'!EI17:EL17,"C"))*2)+((COUNTIF('Elève (5ème3)'!EI17:EL17,"D"))*1))/(COUNTA(EI17:EL17)),"")</f>
        <v>1</v>
      </c>
      <c r="EN17" s="181" t="str">
        <f t="shared" si="30"/>
        <v>D</v>
      </c>
      <c r="EO17" s="180">
        <f>IF(COUNT(EB17,EG17,EM17)=0,"",SUM(EB17,EG17,EM17)/COUNT(EB17,EG17,EM17))</f>
        <v>1.5</v>
      </c>
      <c r="EP17" s="210" t="str">
        <f t="shared" si="31"/>
        <v>D</v>
      </c>
      <c r="EQ17" s="122" t="s">
        <v>29</v>
      </c>
      <c r="ER17" s="123"/>
      <c r="ES17" s="124"/>
      <c r="ET17" s="180">
        <f>IFERROR((((COUNTIF('Elève (5ème3)'!EQ17:ES17,"A"))*4)+((COUNTIF('Elève (5ème3)'!EQ17:ES17,"B"))*3)+((COUNTIF('Elève (5ème3)'!EQ17:ES17,"C"))*2)+((COUNTIF('Elève (5ème3)'!EQ17:ES17,"D"))*1))/(COUNTA(EQ17:ES17)),"")</f>
        <v>2</v>
      </c>
      <c r="EU17" s="181" t="str">
        <f t="shared" si="32"/>
        <v>C</v>
      </c>
      <c r="EV17" s="122"/>
      <c r="EW17" s="123" t="s">
        <v>27</v>
      </c>
      <c r="EX17" s="124" t="s">
        <v>27</v>
      </c>
      <c r="EY17" s="180">
        <f>IFERROR((((COUNTIF('Elève (5ème3)'!EV17:EX17,"A"))*4)+((COUNTIF('Elève (5ème3)'!EV17:EX17,"B"))*3)+((COUNTIF('Elève (5ème3)'!EV17:EX17,"C"))*2)+((COUNTIF('Elève (5ème3)'!EV17:EX17,"D"))*1))/(COUNTA(EV17:EX17)),"")</f>
        <v>4</v>
      </c>
      <c r="EZ17" s="181" t="str">
        <f t="shared" si="33"/>
        <v>A</v>
      </c>
      <c r="FA17" s="122" t="s">
        <v>28</v>
      </c>
      <c r="FB17" s="123"/>
      <c r="FC17" s="124"/>
      <c r="FD17" s="128" t="s">
        <v>28</v>
      </c>
      <c r="FE17" s="180">
        <f>IFERROR((((COUNTIF('Elève (5ème3)'!FA17:FD17,"A"))*4)+((COUNTIF('Elève (5ème3)'!FA17:FD17,"B"))*3)+((COUNTIF('Elève (5ème3)'!FA17:FD17,"C"))*2)+((COUNTIF('Elève (5ème3)'!FA17:FD17,"D"))*1))/(COUNTA(FA17:FD17)),"")</f>
        <v>3</v>
      </c>
      <c r="FF17" s="181" t="str">
        <f t="shared" si="34"/>
        <v>B</v>
      </c>
      <c r="FG17" s="180">
        <f>IF(COUNT(ET17,EY17,FE17)=0,"",SUM(ET17,EY17,FE17)/COUNT(ET17,EY17,FE17))</f>
        <v>3</v>
      </c>
      <c r="FH17" s="210" t="str">
        <f t="shared" si="35"/>
        <v>B</v>
      </c>
      <c r="FI17" s="122" t="s">
        <v>28</v>
      </c>
      <c r="FJ17" s="123"/>
      <c r="FK17" s="124"/>
      <c r="FL17" s="180">
        <f>IFERROR((((COUNTIF('Elève (5ème3)'!FI17:FK17,"A"))*4)+((COUNTIF('Elève (5ème3)'!FI17:FK17,"B"))*3)+((COUNTIF('Elève (5ème3)'!FI17:FK17,"C"))*2)+((COUNTIF('Elève (5ème3)'!FI17:FK17,"D"))*1))/(COUNTA(FI17:FK17)),"")</f>
        <v>3</v>
      </c>
      <c r="FM17" s="181" t="str">
        <f t="shared" si="36"/>
        <v>B</v>
      </c>
      <c r="FN17" s="122"/>
      <c r="FO17" s="123" t="s">
        <v>28</v>
      </c>
      <c r="FP17" s="124" t="s">
        <v>30</v>
      </c>
      <c r="FQ17" s="180">
        <f>IFERROR((((COUNTIF('Elève (5ème3)'!FN17:FP17,"A"))*4)+((COUNTIF('Elève (5ème3)'!FN17:FP17,"B"))*3)+((COUNTIF('Elève (5ème3)'!FN17:FP17,"C"))*2)+((COUNTIF('Elève (5ème3)'!FN17:FP17,"D"))*1))/(COUNTA(FN17:FP17)),"")</f>
        <v>2</v>
      </c>
      <c r="FR17" s="181" t="str">
        <f t="shared" si="37"/>
        <v>C</v>
      </c>
      <c r="FS17" s="122" t="s">
        <v>28</v>
      </c>
      <c r="FT17" s="123"/>
      <c r="FU17" s="124"/>
      <c r="FV17" s="128" t="s">
        <v>28</v>
      </c>
      <c r="FW17" s="180">
        <f>IFERROR((((COUNTIF('Elève (5ème3)'!FS17:FV17,"A"))*4)+((COUNTIF('Elève (5ème3)'!FS17:FV17,"B"))*3)+((COUNTIF('Elève (5ème3)'!FS17:FV17,"C"))*2)+((COUNTIF('Elève (5ème3)'!FS17:FV17,"D"))*1))/(COUNTA(FS17:FV17)),"")</f>
        <v>3</v>
      </c>
      <c r="FX17" s="181" t="str">
        <f t="shared" si="38"/>
        <v>B</v>
      </c>
      <c r="FY17" s="180">
        <f>IF(COUNT(FL17,FQ17,FW17)=0,"",SUM(FL17,FQ17,FW17)/COUNT(FL17,FQ17,FW17))</f>
        <v>2.6666666666666665</v>
      </c>
      <c r="FZ17" s="210" t="str">
        <f t="shared" si="39"/>
        <v>C</v>
      </c>
      <c r="GA17" s="122" t="s">
        <v>28</v>
      </c>
      <c r="GB17" s="123"/>
      <c r="GC17" s="124"/>
      <c r="GD17" s="180">
        <f>IFERROR((((COUNTIF('Elève (5ème3)'!GA17:GC17,"A"))*4)+((COUNTIF('Elève (5ème3)'!GA17:GC17,"B"))*3)+((COUNTIF('Elève (5ème3)'!GA17:GC17,"C"))*2)+((COUNTIF('Elève (5ème3)'!GA17:GC17,"D"))*1))/(COUNTA(GA17:GC17)),"")</f>
        <v>3</v>
      </c>
      <c r="GE17" s="181" t="str">
        <f t="shared" si="40"/>
        <v>B</v>
      </c>
      <c r="GF17" s="122"/>
      <c r="GG17" s="123" t="s">
        <v>29</v>
      </c>
      <c r="GH17" s="124" t="s">
        <v>27</v>
      </c>
      <c r="GI17" s="180">
        <f>IFERROR((((COUNTIF('Elève (5ème3)'!GF17:GH17,"A"))*4)+((COUNTIF('Elève (5ème3)'!GF17:GH17,"B"))*3)+((COUNTIF('Elève (5ème3)'!GF17:GH17,"C"))*2)+((COUNTIF('Elève (5ème3)'!GF17:GH17,"D"))*1))/(COUNTA(GF17:GH17)),"")</f>
        <v>3</v>
      </c>
      <c r="GJ17" s="181" t="str">
        <f t="shared" si="41"/>
        <v>B</v>
      </c>
      <c r="GK17" s="122" t="s">
        <v>28</v>
      </c>
      <c r="GL17" s="123"/>
      <c r="GM17" s="124"/>
      <c r="GN17" s="128"/>
      <c r="GO17" s="180">
        <f>IFERROR((((COUNTIF('Elève (5ème3)'!GK17:GN17,"A"))*4)+((COUNTIF('Elève (5ème3)'!GK17:GN17,"B"))*3)+((COUNTIF('Elève (5ème3)'!GK17:GN17,"C"))*2)+((COUNTIF('Elève (5ème3)'!GK17:GN17,"D"))*1))/(COUNTA(GK17:GN17)),"")</f>
        <v>3</v>
      </c>
      <c r="GP17" s="181" t="str">
        <f t="shared" si="42"/>
        <v>B</v>
      </c>
      <c r="GQ17" s="180">
        <f>IF(COUNT(GD17,GI17,GO17)=0,"",SUM(GD17,GI17,GO17)/COUNT(GD17,GI17,GO17))</f>
        <v>3</v>
      </c>
      <c r="GR17" s="210" t="str">
        <f t="shared" si="43"/>
        <v>B</v>
      </c>
      <c r="GS17" s="122" t="s">
        <v>27</v>
      </c>
      <c r="GT17" s="123"/>
      <c r="GU17" s="124"/>
      <c r="GV17" s="180">
        <f>IFERROR((((COUNTIF('Elève (5ème3)'!GS17:GU17,"A"))*4)+((COUNTIF('Elève (5ème3)'!GS17:GU17,"B"))*3)+((COUNTIF('Elève (5ème3)'!GS17:GU17,"C"))*2)+((COUNTIF('Elève (5ème3)'!GS17:GU17,"D"))*1))/(COUNTA(GS17:GU17)),"")</f>
        <v>4</v>
      </c>
      <c r="GW17" s="181" t="str">
        <f t="shared" si="44"/>
        <v>A</v>
      </c>
      <c r="GX17" s="122"/>
      <c r="GY17" s="123" t="s">
        <v>29</v>
      </c>
      <c r="GZ17" s="124" t="s">
        <v>28</v>
      </c>
      <c r="HA17" s="180">
        <f>IFERROR((((COUNTIF('Elève (5ème3)'!GX17:GZ17,"A"))*4)+((COUNTIF('Elève (5ème3)'!GX17:GZ17,"B"))*3)+((COUNTIF('Elève (5ème3)'!GX17:GZ17,"C"))*2)+((COUNTIF('Elève (5ème3)'!GX17:GZ17,"D"))*1))/(COUNTA(GX17:GZ17)),"")</f>
        <v>2.5</v>
      </c>
      <c r="HB17" s="181" t="str">
        <f t="shared" si="45"/>
        <v>C</v>
      </c>
      <c r="HC17" s="122" t="s">
        <v>28</v>
      </c>
      <c r="HD17" s="123"/>
      <c r="HE17" s="124"/>
      <c r="HF17" s="128" t="s">
        <v>29</v>
      </c>
      <c r="HG17" s="180">
        <f>IFERROR((((COUNTIF('Elève (5ème3)'!HC17:HF17,"A"))*4)+((COUNTIF('Elève (5ème3)'!HC17:HF17,"B"))*3)+((COUNTIF('Elève (5ème3)'!HC17:HF17,"C"))*2)+((COUNTIF('Elève (5ème3)'!HC17:HF17,"D"))*1))/(COUNTA(HC17:HF17)),"")</f>
        <v>2.5</v>
      </c>
      <c r="HH17" s="181" t="str">
        <f t="shared" si="46"/>
        <v>C</v>
      </c>
      <c r="HI17" s="180">
        <f>IF(COUNT(GV17,HA17,HG17)=0,"",SUM(GV17,HA17,HG17)/COUNT(GV17,HA17,HG17))</f>
        <v>3</v>
      </c>
      <c r="HJ17" s="210" t="str">
        <f t="shared" si="47"/>
        <v>B</v>
      </c>
      <c r="HK17" s="122" t="s">
        <v>29</v>
      </c>
      <c r="HL17" s="123"/>
      <c r="HM17" s="124"/>
      <c r="HN17" s="180">
        <f>IFERROR((((COUNTIF('Elève (5ème3)'!HK17:HM17,"A"))*4)+((COUNTIF('Elève (5ème3)'!HK17:HM17,"B"))*3)+((COUNTIF('Elève (5ème3)'!HK17:HM17,"C"))*2)+((COUNTIF('Elève (5ème3)'!HK17:HM17,"D"))*1))/(COUNTA(HK17:HM17)),"")</f>
        <v>2</v>
      </c>
      <c r="HO17" s="181" t="str">
        <f t="shared" si="48"/>
        <v>C</v>
      </c>
      <c r="HP17" s="122"/>
      <c r="HQ17" s="123"/>
      <c r="HR17" s="124" t="s">
        <v>29</v>
      </c>
      <c r="HS17" s="180">
        <f>IFERROR((((COUNTIF('Elève (5ème3)'!HP17:HR17,"A"))*4)+((COUNTIF('Elève (5ème3)'!HP17:HR17,"B"))*3)+((COUNTIF('Elève (5ème3)'!HP17:HR17,"C"))*2)+((COUNTIF('Elève (5ème3)'!HP17:HR17,"D"))*1))/(COUNTA(HP17:HR17)),"")</f>
        <v>2</v>
      </c>
      <c r="HT17" s="181" t="str">
        <f t="shared" si="49"/>
        <v>C</v>
      </c>
      <c r="HU17" s="122" t="s">
        <v>28</v>
      </c>
      <c r="HV17" s="123"/>
      <c r="HW17" s="124"/>
      <c r="HX17" s="128" t="s">
        <v>28</v>
      </c>
      <c r="HY17" s="180">
        <f>IFERROR((((COUNTIF('Elève (5ème3)'!HU17:HX17,"A"))*4)+((COUNTIF('Elève (5ème3)'!HU17:HX17,"B"))*3)+((COUNTIF('Elève (5ème3)'!HU17:HX17,"C"))*2)+((COUNTIF('Elève (5ème3)'!HU17:HX17,"D"))*1))/(COUNTA(HU17:HX17)),"")</f>
        <v>3</v>
      </c>
      <c r="HZ17" s="181" t="str">
        <f t="shared" si="50"/>
        <v>B</v>
      </c>
      <c r="IA17" s="180">
        <f>IF(COUNT(HN17,HS17,HY17)=0,"",SUM(HN17,HS17,HY17)/COUNT(HN17,HS17,HY17))</f>
        <v>2.3333333333333335</v>
      </c>
      <c r="IB17" s="210" t="str">
        <f t="shared" si="51"/>
        <v>C</v>
      </c>
      <c r="IC17" s="122" t="s">
        <v>28</v>
      </c>
      <c r="ID17" s="123"/>
      <c r="IE17" s="124"/>
      <c r="IF17" s="180">
        <f>IFERROR((((COUNTIF('Elève (5ème3)'!IC17:IE17,"A"))*4)+((COUNTIF('Elève (5ème3)'!IC17:IE17,"B"))*3)+((COUNTIF('Elève (5ème3)'!IC17:IE17,"C"))*2)+((COUNTIF('Elève (5ème3)'!IC17:IE17,"D"))*1))/(COUNTA(IC17:IE17)),"")</f>
        <v>3</v>
      </c>
      <c r="IG17" s="181" t="str">
        <f t="shared" si="52"/>
        <v>B</v>
      </c>
      <c r="IH17" s="122"/>
      <c r="II17" s="123" t="s">
        <v>27</v>
      </c>
      <c r="IJ17" s="124" t="s">
        <v>29</v>
      </c>
      <c r="IK17" s="180">
        <f>IFERROR((((COUNTIF('Elève (5ème3)'!IH17:IJ17,"A"))*4)+((COUNTIF('Elève (5ème3)'!IH17:IJ17,"B"))*3)+((COUNTIF('Elève (5ème3)'!IH17:IJ17,"C"))*2)+((COUNTIF('Elève (5ème3)'!IH17:IJ17,"D"))*1))/(COUNTA(IH17:IJ17)),"")</f>
        <v>3</v>
      </c>
      <c r="IL17" s="181" t="str">
        <f t="shared" si="53"/>
        <v>B</v>
      </c>
      <c r="IM17" s="122" t="s">
        <v>29</v>
      </c>
      <c r="IN17" s="123"/>
      <c r="IO17" s="124"/>
      <c r="IP17" s="128" t="s">
        <v>28</v>
      </c>
      <c r="IQ17" s="180">
        <f>IFERROR((((COUNTIF('Elève (5ème3)'!IM17:IP17,"A"))*4)+((COUNTIF('Elève (5ème3)'!IM17:IP17,"B"))*3)+((COUNTIF('Elève (5ème3)'!IM17:IP17,"C"))*2)+((COUNTIF('Elève (5ème3)'!IM17:IP17,"D"))*1))/(COUNTA(IM17:IP17)),"")</f>
        <v>2.5</v>
      </c>
      <c r="IR17" s="181" t="str">
        <f t="shared" si="54"/>
        <v>C</v>
      </c>
      <c r="IS17" s="180">
        <f>IF(COUNT(IF17,IK17,IQ17)=0,"",SUM(IF17,IK17,IQ17)/COUNT(IF17,IK17,IQ17))</f>
        <v>2.8333333333333335</v>
      </c>
      <c r="IT17" s="210" t="str">
        <f t="shared" si="55"/>
        <v>B</v>
      </c>
      <c r="IU17" s="122" t="s">
        <v>28</v>
      </c>
      <c r="IV17" s="123"/>
      <c r="IW17" s="124"/>
      <c r="IX17" s="180">
        <f>IFERROR((((COUNTIF('Elève (5ème3)'!IU17:IW17,"A"))*4)+((COUNTIF('Elève (5ème3)'!IU17:IW17,"B"))*3)+((COUNTIF('Elève (5ème3)'!IU17:IW17,"C"))*2)+((COUNTIF('Elève (5ème3)'!IU17:IW17,"D"))*1))/(COUNTA(IU17:IW17)),"")</f>
        <v>3</v>
      </c>
      <c r="IY17" s="181" t="str">
        <f t="shared" si="56"/>
        <v>B</v>
      </c>
      <c r="IZ17" s="122"/>
      <c r="JA17" s="123" t="s">
        <v>29</v>
      </c>
      <c r="JB17" s="124" t="s">
        <v>30</v>
      </c>
      <c r="JC17" s="180">
        <f>IFERROR((((COUNTIF('Elève (5ème3)'!IZ17:JB17,"A"))*4)+((COUNTIF('Elève (5ème3)'!IZ17:JB17,"B"))*3)+((COUNTIF('Elève (5ème3)'!IZ17:JB17,"C"))*2)+((COUNTIF('Elève (5ème3)'!IZ17:JB17,"D"))*1))/(COUNTA(IZ17:JB17)),"")</f>
        <v>1.5</v>
      </c>
      <c r="JD17" s="181" t="str">
        <f t="shared" si="57"/>
        <v>D</v>
      </c>
      <c r="JE17" s="122" t="s">
        <v>30</v>
      </c>
      <c r="JF17" s="123"/>
      <c r="JG17" s="124"/>
      <c r="JH17" s="128" t="s">
        <v>30</v>
      </c>
      <c r="JI17" s="180">
        <f>IFERROR((((COUNTIF('Elève (5ème3)'!JE17:JH17,"A"))*4)+((COUNTIF('Elève (5ème3)'!JE17:JH17,"B"))*3)+((COUNTIF('Elève (5ème3)'!JE17:JH17,"C"))*2)+((COUNTIF('Elève (5ème3)'!JE17:JH17,"D"))*1))/(COUNTA(JE17:JH17)),"")</f>
        <v>1</v>
      </c>
      <c r="JJ17" s="181" t="str">
        <f t="shared" si="58"/>
        <v>D</v>
      </c>
      <c r="JK17" s="180">
        <f>IF(COUNT(IX17,JC17,JI17)=0,"",SUM(IX17,JC17,JI17)/COUNT(IX17,JC17,JI17))</f>
        <v>1.8333333333333333</v>
      </c>
      <c r="JL17" s="210" t="str">
        <f t="shared" si="59"/>
        <v>C</v>
      </c>
      <c r="JM17" s="122" t="s">
        <v>29</v>
      </c>
      <c r="JN17" s="123"/>
      <c r="JO17" s="124"/>
      <c r="JP17" s="180">
        <f>IFERROR((((COUNTIF('Elève (5ème3)'!JM17:JO17,"A"))*4)+((COUNTIF('Elève (5ème3)'!JM17:JO17,"B"))*3)+((COUNTIF('Elève (5ème3)'!JM17:JO17,"C"))*2)+((COUNTIF('Elève (5ème3)'!JM17:JO17,"D"))*1))/(COUNTA(JM17:JO17)),"")</f>
        <v>2</v>
      </c>
      <c r="JQ17" s="181" t="str">
        <f t="shared" si="60"/>
        <v>C</v>
      </c>
      <c r="JR17" s="122"/>
      <c r="JS17" s="123" t="s">
        <v>28</v>
      </c>
      <c r="JT17" s="124" t="s">
        <v>30</v>
      </c>
      <c r="JU17" s="180">
        <f>IFERROR((((COUNTIF('Elève (5ème3)'!JR17:JT17,"A"))*4)+((COUNTIF('Elève (5ème3)'!JR17:JT17,"B"))*3)+((COUNTIF('Elève (5ème3)'!JR17:JT17,"C"))*2)+((COUNTIF('Elève (5ème3)'!JR17:JT17,"D"))*1))/(COUNTA(JR17:JT17)),"")</f>
        <v>2</v>
      </c>
      <c r="JV17" s="181" t="str">
        <f t="shared" si="61"/>
        <v>C</v>
      </c>
      <c r="JW17" s="122" t="s">
        <v>28</v>
      </c>
      <c r="JX17" s="123"/>
      <c r="JY17" s="124"/>
      <c r="JZ17" s="128" t="s">
        <v>29</v>
      </c>
      <c r="KA17" s="180">
        <f>IFERROR((((COUNTIF('Elève (5ème3)'!JW17:JZ17,"A"))*4)+((COUNTIF('Elève (5ème3)'!JW17:JZ17,"B"))*3)+((COUNTIF('Elève (5ème3)'!JW17:JZ17,"C"))*2)+((COUNTIF('Elève (5ème3)'!JW17:JZ17,"D"))*1))/(COUNTA(JW17:JZ17)),"")</f>
        <v>2.5</v>
      </c>
      <c r="KB17" s="181" t="str">
        <f t="shared" si="62"/>
        <v>C</v>
      </c>
      <c r="KC17" s="180">
        <f>IF(COUNT(JP17,JU17,KA17)=0,"",SUM(JP17,JU17,KA17)/COUNT(JP17,JU17,KA17))</f>
        <v>2.1666666666666665</v>
      </c>
      <c r="KD17" s="210" t="str">
        <f t="shared" si="63"/>
        <v>C</v>
      </c>
      <c r="KE17" s="122" t="s">
        <v>28</v>
      </c>
      <c r="KF17" s="123"/>
      <c r="KG17" s="124"/>
      <c r="KH17" s="180">
        <f>IFERROR((((COUNTIF('Elève (5ème3)'!KE17:KG17,"A"))*4)+((COUNTIF('Elève (5ème3)'!KE17:KG17,"B"))*3)+((COUNTIF('Elève (5ème3)'!KE17:KG17,"C"))*2)+((COUNTIF('Elève (5ème3)'!KE17:KG17,"D"))*1))/(COUNTA(KE17:KG17)),"")</f>
        <v>3</v>
      </c>
      <c r="KI17" s="181" t="str">
        <f t="shared" si="64"/>
        <v>B</v>
      </c>
      <c r="KJ17" s="122"/>
      <c r="KK17" s="123" t="s">
        <v>28</v>
      </c>
      <c r="KL17" s="124" t="s">
        <v>30</v>
      </c>
      <c r="KM17" s="180">
        <f>IFERROR((((COUNTIF('Elève (5ème3)'!KJ17:KL17,"A"))*4)+((COUNTIF('Elève (5ème3)'!KJ17:KL17,"B"))*3)+((COUNTIF('Elève (5ème3)'!KJ17:KL17,"C"))*2)+((COUNTIF('Elève (5ème3)'!KJ17:KL17,"D"))*1))/(COUNTA(KJ17:KL17)),"")</f>
        <v>2</v>
      </c>
      <c r="KN17" s="181" t="str">
        <f t="shared" si="65"/>
        <v>C</v>
      </c>
      <c r="KO17" s="122" t="s">
        <v>28</v>
      </c>
      <c r="KP17" s="123"/>
      <c r="KQ17" s="124"/>
      <c r="KR17" s="128" t="s">
        <v>28</v>
      </c>
      <c r="KS17" s="180">
        <f>IFERROR((((COUNTIF('Elève (5ème3)'!KO17:KR17,"A"))*4)+((COUNTIF('Elève (5ème3)'!KO17:KR17,"B"))*3)+((COUNTIF('Elève (5ème3)'!KO17:KR17,"C"))*2)+((COUNTIF('Elève (5ème3)'!KO17:KR17,"D"))*1))/(COUNTA(KO17:KR17)),"")</f>
        <v>3</v>
      </c>
      <c r="KT17" s="181" t="str">
        <f t="shared" si="66"/>
        <v>B</v>
      </c>
      <c r="KU17" s="180">
        <f>IF(COUNT(KH17,KM17,KS17)=0,"",SUM(KH17,KM17,KS17)/COUNT(KH17,KM17,KS17))</f>
        <v>2.6666666666666665</v>
      </c>
      <c r="KV17" s="210" t="str">
        <f t="shared" si="67"/>
        <v>C</v>
      </c>
      <c r="KW17" s="122" t="s">
        <v>28</v>
      </c>
      <c r="KX17" s="123"/>
      <c r="KY17" s="124"/>
      <c r="KZ17" s="180">
        <f>IFERROR((((COUNTIF('Elève (5ème3)'!KW17:KY17,"A"))*4)+((COUNTIF('Elève (5ème3)'!KW17:KY17,"B"))*3)+((COUNTIF('Elève (5ème3)'!KW17:KY17,"C"))*2)+((COUNTIF('Elève (5ème3)'!KW17:KY17,"D"))*1))/(COUNTA(KW17:KY17)),"")</f>
        <v>3</v>
      </c>
      <c r="LA17" s="181" t="str">
        <f t="shared" si="68"/>
        <v>B</v>
      </c>
      <c r="LB17" s="122"/>
      <c r="LC17" s="123" t="s">
        <v>27</v>
      </c>
      <c r="LD17" s="124" t="s">
        <v>27</v>
      </c>
      <c r="LE17" s="180">
        <f>IFERROR((((COUNTIF('Elève (5ème3)'!LB17:LD17,"A"))*4)+((COUNTIF('Elève (5ème3)'!LB17:LD17,"B"))*3)+((COUNTIF('Elève (5ème3)'!LB17:LD17,"C"))*2)+((COUNTIF('Elève (5ème3)'!LB17:LD17,"D"))*1))/(COUNTA(LB17:LD17)),"")</f>
        <v>4</v>
      </c>
      <c r="LF17" s="181" t="str">
        <f t="shared" si="69"/>
        <v>A</v>
      </c>
      <c r="LG17" s="122" t="s">
        <v>28</v>
      </c>
      <c r="LH17" s="123"/>
      <c r="LI17" s="124"/>
      <c r="LJ17" s="128" t="s">
        <v>29</v>
      </c>
      <c r="LK17" s="180">
        <f>IFERROR((((COUNTIF('Elève (5ème3)'!LG17:LJ17,"A"))*4)+((COUNTIF('Elève (5ème3)'!LG17:LJ17,"B"))*3)+((COUNTIF('Elève (5ème3)'!LG17:LJ17,"C"))*2)+((COUNTIF('Elève (5ème3)'!LG17:LJ17,"D"))*1))/(COUNTA(LG17:LJ17)),"")</f>
        <v>2.5</v>
      </c>
      <c r="LL17" s="181" t="str">
        <f t="shared" si="70"/>
        <v>C</v>
      </c>
      <c r="LM17" s="180">
        <f>IF(COUNT(KZ17,LE17,LK17)=0,"",SUM(KZ17,LE17,LK17)/COUNT(KZ17,LE17,LK17))</f>
        <v>3.1666666666666665</v>
      </c>
      <c r="LN17" s="210" t="str">
        <f t="shared" si="71"/>
        <v>B</v>
      </c>
      <c r="LO17" s="122" t="s">
        <v>28</v>
      </c>
      <c r="LP17" s="123"/>
      <c r="LQ17" s="124"/>
      <c r="LR17" s="180">
        <f>IFERROR((((COUNTIF('Elève (5ème3)'!LO17:LQ17,"A"))*4)+((COUNTIF('Elève (5ème3)'!LO17:LQ17,"B"))*3)+((COUNTIF('Elève (5ème3)'!LO17:LQ17,"C"))*2)+((COUNTIF('Elève (5ème3)'!LO17:LQ17,"D"))*1))/(COUNTA(LO17:LQ17)),"")</f>
        <v>3</v>
      </c>
      <c r="LS17" s="181" t="str">
        <f t="shared" si="72"/>
        <v>B</v>
      </c>
      <c r="LT17" s="122"/>
      <c r="LU17" s="123" t="s">
        <v>27</v>
      </c>
      <c r="LV17" s="124" t="s">
        <v>27</v>
      </c>
      <c r="LW17" s="180">
        <f>IFERROR((((COUNTIF('Elève (5ème3)'!LT17:LV17,"A"))*4)+((COUNTIF('Elève (5ème3)'!LT17:LV17,"B"))*3)+((COUNTIF('Elève (5ème3)'!LT17:LV17,"C"))*2)+((COUNTIF('Elève (5ème3)'!LT17:LV17,"D"))*1))/(COUNTA(LT17:LV17)),"")</f>
        <v>4</v>
      </c>
      <c r="LX17" s="181" t="str">
        <f t="shared" si="73"/>
        <v>A</v>
      </c>
      <c r="LY17" s="122" t="s">
        <v>27</v>
      </c>
      <c r="LZ17" s="123"/>
      <c r="MA17" s="124"/>
      <c r="MB17" s="128" t="s">
        <v>28</v>
      </c>
      <c r="MC17" s="180">
        <f>IFERROR((((COUNTIF('Elève (5ème3)'!LY17:MB17,"A"))*4)+((COUNTIF('Elève (5ème3)'!LY17:MB17,"B"))*3)+((COUNTIF('Elève (5ème3)'!LY17:MB17,"C"))*2)+((COUNTIF('Elève (5ème3)'!LY17:MB17,"D"))*1))/(COUNTA(LY17:MB17)),"")</f>
        <v>3.5</v>
      </c>
      <c r="MD17" s="181" t="str">
        <f t="shared" si="74"/>
        <v>B</v>
      </c>
      <c r="ME17" s="180">
        <f>IF(COUNT(LR17,LW17,MC17)=0,"",SUM(LR17,LW17,MC17)/COUNT(LR17,LW17,MC17))</f>
        <v>3.5</v>
      </c>
      <c r="MF17" s="210" t="str">
        <f t="shared" si="75"/>
        <v>B</v>
      </c>
      <c r="MG17" s="122" t="s">
        <v>29</v>
      </c>
      <c r="MH17" s="123"/>
      <c r="MI17" s="124"/>
      <c r="MJ17" s="180">
        <f>IFERROR((((COUNTIF('Elève (5ème3)'!MG17:MI17,"A"))*4)+((COUNTIF('Elève (5ème3)'!MG17:MI17,"B"))*3)+((COUNTIF('Elève (5ème3)'!MG17:MI17,"C"))*2)+((COUNTIF('Elève (5ème3)'!MG17:MI17,"D"))*1))/(COUNTA(MG17:MI17)),"")</f>
        <v>2</v>
      </c>
      <c r="MK17" s="181" t="str">
        <f t="shared" si="76"/>
        <v>C</v>
      </c>
      <c r="ML17" s="122"/>
      <c r="MM17" s="123" t="s">
        <v>27</v>
      </c>
      <c r="MN17" s="124" t="s">
        <v>27</v>
      </c>
      <c r="MO17" s="180">
        <f>IFERROR((((COUNTIF('Elève (5ème3)'!ML17:MN17,"A"))*4)+((COUNTIF('Elève (5ème3)'!ML17:MN17,"B"))*3)+((COUNTIF('Elève (5ème3)'!ML17:MN17,"C"))*2)+((COUNTIF('Elève (5ème3)'!ML17:MN17,"D"))*1))/(COUNTA(ML17:MN17)),"")</f>
        <v>4</v>
      </c>
      <c r="MP17" s="181" t="str">
        <f t="shared" si="77"/>
        <v>A</v>
      </c>
      <c r="MQ17" s="122" t="s">
        <v>28</v>
      </c>
      <c r="MR17" s="123"/>
      <c r="MS17" s="124"/>
      <c r="MT17" s="128" t="s">
        <v>29</v>
      </c>
      <c r="MU17" s="180">
        <f>IFERROR((((COUNTIF('Elève (5ème3)'!MQ17:MT17,"A"))*4)+((COUNTIF('Elève (5ème3)'!MQ17:MT17,"B"))*3)+((COUNTIF('Elève (5ème3)'!MQ17:MT17,"C"))*2)+((COUNTIF('Elève (5ème3)'!MQ17:MT17,"D"))*1))/(COUNTA(MQ17:MT17)),"")</f>
        <v>2.5</v>
      </c>
      <c r="MV17" s="181" t="str">
        <f t="shared" si="78"/>
        <v>C</v>
      </c>
      <c r="MW17" s="180">
        <f>IF(COUNT(MJ17,MO17,MU17)=0,"",SUM(MJ17,MO17,MU17)/COUNT(MJ17,MO17,MU17))</f>
        <v>2.8333333333333335</v>
      </c>
      <c r="MX17" s="210" t="str">
        <f t="shared" si="79"/>
        <v>B</v>
      </c>
      <c r="MY17" s="122" t="s">
        <v>29</v>
      </c>
      <c r="MZ17" s="123"/>
      <c r="NA17" s="124"/>
      <c r="NB17" s="180">
        <f>IFERROR((((COUNTIF('Elève (5ème3)'!MY17:NA17,"A"))*4)+((COUNTIF('Elève (5ème3)'!MY17:NA17,"B"))*3)+((COUNTIF('Elève (5ème3)'!MY17:NA17,"C"))*2)+((COUNTIF('Elève (5ème3)'!MY17:NA17,"D"))*1))/(COUNTA(MY17:NA17)),"")</f>
        <v>2</v>
      </c>
      <c r="NC17" s="181" t="str">
        <f t="shared" si="80"/>
        <v>C</v>
      </c>
      <c r="ND17" s="122"/>
      <c r="NE17" s="123" t="s">
        <v>29</v>
      </c>
      <c r="NF17" s="124" t="s">
        <v>30</v>
      </c>
      <c r="NG17" s="180">
        <f>IFERROR((((COUNTIF('Elève (5ème3)'!ND17:NF17,"A"))*4)+((COUNTIF('Elève (5ème3)'!ND17:NF17,"B"))*3)+((COUNTIF('Elève (5ème3)'!ND17:NF17,"C"))*2)+((COUNTIF('Elève (5ème3)'!ND17:NF17,"D"))*1))/(COUNTA(ND17:NF17)),"")</f>
        <v>1.5</v>
      </c>
      <c r="NH17" s="181" t="str">
        <f t="shared" si="81"/>
        <v>D</v>
      </c>
      <c r="NI17" s="122" t="s">
        <v>28</v>
      </c>
      <c r="NJ17" s="123"/>
      <c r="NK17" s="124"/>
      <c r="NL17" s="128" t="s">
        <v>28</v>
      </c>
      <c r="NM17" s="180">
        <f>IFERROR((((COUNTIF('Elève (5ème3)'!NI17:NL17,"A"))*4)+((COUNTIF('Elève (5ème3)'!NI17:NL17,"B"))*3)+((COUNTIF('Elève (5ème3)'!NI17:NL17,"C"))*2)+((COUNTIF('Elève (5ème3)'!NI17:NL17,"D"))*1))/(COUNTA(NI17:NL17)),"")</f>
        <v>3</v>
      </c>
      <c r="NN17" s="181" t="str">
        <f t="shared" si="82"/>
        <v>B</v>
      </c>
      <c r="NO17" s="180">
        <f>IF(COUNT(NB17,NG17,NM17)=0,"",SUM(NB17,NG17,NM17)/COUNT(NB17,NG17,NM17))</f>
        <v>2.1666666666666665</v>
      </c>
      <c r="NP17" s="210" t="str">
        <f t="shared" si="83"/>
        <v>C</v>
      </c>
      <c r="NQ17" s="122" t="s">
        <v>28</v>
      </c>
      <c r="NR17" s="123"/>
      <c r="NS17" s="124"/>
      <c r="NT17" s="180">
        <f>IFERROR((((COUNTIF('Elève (5ème3)'!NQ17:NS17,"A"))*4)+((COUNTIF('Elève (5ème3)'!NQ17:NS17,"B"))*3)+((COUNTIF('Elève (5ème3)'!NQ17:NS17,"C"))*2)+((COUNTIF('Elève (5ème3)'!NQ17:NS17,"D"))*1))/(COUNTA(NQ17:NS17)),"")</f>
        <v>3</v>
      </c>
      <c r="NU17" s="181" t="str">
        <f t="shared" si="84"/>
        <v>B</v>
      </c>
      <c r="NV17" s="122"/>
      <c r="NW17" s="123" t="s">
        <v>27</v>
      </c>
      <c r="NX17" s="124" t="s">
        <v>30</v>
      </c>
      <c r="NY17" s="180">
        <f>IFERROR((((COUNTIF('Elève (5ème3)'!NV17:NX17,"A"))*4)+((COUNTIF('Elève (5ème3)'!NV17:NX17,"B"))*3)+((COUNTIF('Elève (5ème3)'!NV17:NX17,"C"))*2)+((COUNTIF('Elève (5ème3)'!NV17:NX17,"D"))*1))/(COUNTA(NV17:NX17)),"")</f>
        <v>2.5</v>
      </c>
      <c r="NZ17" s="181" t="str">
        <f t="shared" si="85"/>
        <v>C</v>
      </c>
      <c r="OA17" s="122" t="s">
        <v>29</v>
      </c>
      <c r="OB17" s="123"/>
      <c r="OC17" s="124"/>
      <c r="OD17" s="128" t="s">
        <v>28</v>
      </c>
      <c r="OE17" s="180">
        <f>IFERROR((((COUNTIF('Elève (5ème3)'!OA17:OD17,"A"))*4)+((COUNTIF('Elève (5ème3)'!OA17:OD17,"B"))*3)+((COUNTIF('Elève (5ème3)'!OA17:OD17,"C"))*2)+((COUNTIF('Elève (5ème3)'!OA17:OD17,"D"))*1))/(COUNTA(OA17:OD17)),"")</f>
        <v>2.5</v>
      </c>
      <c r="OF17" s="181" t="str">
        <f t="shared" si="86"/>
        <v>C</v>
      </c>
      <c r="OG17" s="180">
        <f>IF(COUNT(NT17,NY17,OE17)=0,"",SUM(NT17,NY17,OE17)/COUNT(NT17,NY17,OE17))</f>
        <v>2.6666666666666665</v>
      </c>
      <c r="OH17" s="210" t="str">
        <f t="shared" si="87"/>
        <v>C</v>
      </c>
      <c r="OI17" s="122" t="s">
        <v>28</v>
      </c>
      <c r="OJ17" s="123"/>
      <c r="OK17" s="124"/>
      <c r="OL17" s="180">
        <f>IFERROR((((COUNTIF('Elève (5ème3)'!OI17:OK17,"A"))*4)+((COUNTIF('Elève (5ème3)'!OI17:OK17,"B"))*3)+((COUNTIF('Elève (5ème3)'!OI17:OK17,"C"))*2)+((COUNTIF('Elève (5ème3)'!OI17:OK17,"D"))*1))/(COUNTA(OI17:OK17)),"")</f>
        <v>3</v>
      </c>
      <c r="OM17" s="181" t="str">
        <f t="shared" si="88"/>
        <v>B</v>
      </c>
      <c r="ON17" s="122"/>
      <c r="OO17" s="123" t="s">
        <v>29</v>
      </c>
      <c r="OP17" s="124"/>
      <c r="OQ17" s="180">
        <f>IFERROR((((COUNTIF('Elève (5ème3)'!ON17:OP17,"A"))*4)+((COUNTIF('Elève (5ème3)'!ON17:OP17,"B"))*3)+((COUNTIF('Elève (5ème3)'!ON17:OP17,"C"))*2)+((COUNTIF('Elève (5ème3)'!ON17:OP17,"D"))*1))/(COUNTA(ON17:OP17)),"")</f>
        <v>2</v>
      </c>
      <c r="OR17" s="181" t="str">
        <f t="shared" si="89"/>
        <v>C</v>
      </c>
      <c r="OS17" s="122" t="s">
        <v>28</v>
      </c>
      <c r="OT17" s="123"/>
      <c r="OU17" s="124"/>
      <c r="OV17" s="128" t="s">
        <v>29</v>
      </c>
      <c r="OW17" s="180">
        <f>IFERROR((((COUNTIF('Elève (5ème3)'!OS17:OV17,"A"))*4)+((COUNTIF('Elève (5ème3)'!OS17:OV17,"B"))*3)+((COUNTIF('Elève (5ème3)'!OS17:OV17,"C"))*2)+((COUNTIF('Elève (5ème3)'!OS17:OV17,"D"))*1))/(COUNTA(OS17:OV17)),"")</f>
        <v>2.5</v>
      </c>
      <c r="OX17" s="181" t="str">
        <f t="shared" si="90"/>
        <v>C</v>
      </c>
      <c r="OY17" s="180">
        <f>IF(COUNT(OL17,OQ17,OW17)=0,"",SUM(OL17,OQ17,OW17)/COUNT(OL17,OQ17,OW17))</f>
        <v>2.5</v>
      </c>
      <c r="OZ17" s="210" t="str">
        <f t="shared" si="91"/>
        <v>C</v>
      </c>
      <c r="PA17" s="122" t="s">
        <v>29</v>
      </c>
      <c r="PB17" s="123"/>
      <c r="PC17" s="124"/>
      <c r="PD17" s="180">
        <f>IFERROR((((COUNTIF('Elève (5ème3)'!PA17:PC17,"A"))*4)+((COUNTIF('Elève (5ème3)'!PA17:PC17,"B"))*3)+((COUNTIF('Elève (5ème3)'!PA17:PC17,"C"))*2)+((COUNTIF('Elève (5ème3)'!PA17:PC17,"D"))*1))/(COUNTA(PA17:PC17)),"")</f>
        <v>2</v>
      </c>
      <c r="PE17" s="181" t="str">
        <f t="shared" si="92"/>
        <v>C</v>
      </c>
      <c r="PF17" s="122"/>
      <c r="PG17" s="123" t="s">
        <v>28</v>
      </c>
      <c r="PH17" s="124" t="s">
        <v>29</v>
      </c>
      <c r="PI17" s="180">
        <f>IFERROR((((COUNTIF('Elève (5ème3)'!PF17:PH17,"A"))*4)+((COUNTIF('Elève (5ème3)'!PF17:PH17,"B"))*3)+((COUNTIF('Elève (5ème3)'!PF17:PH17,"C"))*2)+((COUNTIF('Elève (5ème3)'!PF17:PH17,"D"))*1))/(COUNTA(PF17:PH17)),"")</f>
        <v>2.5</v>
      </c>
      <c r="PJ17" s="181" t="str">
        <f t="shared" si="93"/>
        <v>C</v>
      </c>
      <c r="PK17" s="122" t="s">
        <v>28</v>
      </c>
      <c r="PL17" s="123"/>
      <c r="PM17" s="124"/>
      <c r="PN17" s="128" t="s">
        <v>29</v>
      </c>
      <c r="PO17" s="180">
        <f>IFERROR((((COUNTIF('Elève (5ème3)'!PK17:PN17,"A"))*4)+((COUNTIF('Elève (5ème3)'!PK17:PN17,"B"))*3)+((COUNTIF('Elève (5ème3)'!PK17:PN17,"C"))*2)+((COUNTIF('Elève (5ème3)'!PK17:PN17,"D"))*1))/(COUNTA(PK17:PN17)),"")</f>
        <v>2.5</v>
      </c>
      <c r="PP17" s="181" t="str">
        <f t="shared" si="94"/>
        <v>C</v>
      </c>
      <c r="PQ17" s="180">
        <f>IF(COUNT(PD17,PI17,PO17)=0,"",SUM(PD17,PI17,PO17)/COUNT(PD17,PI17,PO17))</f>
        <v>2.3333333333333335</v>
      </c>
      <c r="PR17" s="210" t="str">
        <f t="shared" si="95"/>
        <v>C</v>
      </c>
      <c r="PS17" s="122" t="s">
        <v>28</v>
      </c>
      <c r="PT17" s="123"/>
      <c r="PU17" s="124"/>
      <c r="PV17" s="180">
        <f>IFERROR((((COUNTIF('Elève (5ème3)'!PS17:PU17,"A"))*4)+((COUNTIF('Elève (5ème3)'!PS17:PU17,"B"))*3)+((COUNTIF('Elève (5ème3)'!PS17:PU17,"C"))*2)+((COUNTIF('Elève (5ème3)'!PS17:PU17,"D"))*1))/(COUNTA(PS17:PU17)),"")</f>
        <v>3</v>
      </c>
      <c r="PW17" s="181" t="str">
        <f t="shared" si="96"/>
        <v>B</v>
      </c>
      <c r="PX17" s="122"/>
      <c r="PY17" s="123" t="s">
        <v>29</v>
      </c>
      <c r="PZ17" s="124" t="s">
        <v>30</v>
      </c>
      <c r="QA17" s="180">
        <f>IFERROR((((COUNTIF('Elève (5ème3)'!PX17:PZ17,"A"))*4)+((COUNTIF('Elève (5ème3)'!PX17:PZ17,"B"))*3)+((COUNTIF('Elève (5ème3)'!PX17:PZ17,"C"))*2)+((COUNTIF('Elève (5ème3)'!PX17:PZ17,"D"))*1))/(COUNTA(PX17:PZ17)),"")</f>
        <v>1.5</v>
      </c>
      <c r="QB17" s="181" t="str">
        <f t="shared" si="97"/>
        <v>D</v>
      </c>
      <c r="QC17" s="122" t="s">
        <v>29</v>
      </c>
      <c r="QD17" s="123"/>
      <c r="QE17" s="124"/>
      <c r="QF17" s="128" t="s">
        <v>28</v>
      </c>
      <c r="QG17" s="180">
        <f>IFERROR((((COUNTIF('Elève (5ème3)'!QC17:QF17,"A"))*4)+((COUNTIF('Elève (5ème3)'!QC17:QF17,"B"))*3)+((COUNTIF('Elève (5ème3)'!QC17:QF17,"C"))*2)+((COUNTIF('Elève (5ème3)'!QC17:QF17,"D"))*1))/(COUNTA(QC17:QF17)),"")</f>
        <v>2.5</v>
      </c>
      <c r="QH17" s="181" t="str">
        <f t="shared" si="98"/>
        <v>C</v>
      </c>
      <c r="QI17" s="180">
        <f>IF(COUNT(PV17,QA17,QG17)=0,"",SUM(PV17,QA17,QG17)/COUNT(PV17,QA17,QG17))</f>
        <v>2.3333333333333335</v>
      </c>
      <c r="QJ17" s="210" t="str">
        <f t="shared" si="99"/>
        <v>C</v>
      </c>
      <c r="QK17" s="122" t="s">
        <v>29</v>
      </c>
      <c r="QL17" s="123"/>
      <c r="QM17" s="124"/>
      <c r="QN17" s="180">
        <f>IFERROR((((COUNTIF('Elève (5ème3)'!QK17:QM17,"A"))*4)+((COUNTIF('Elève (5ème3)'!QK17:QM17,"B"))*3)+((COUNTIF('Elève (5ème3)'!QK17:QM17,"C"))*2)+((COUNTIF('Elève (5ème3)'!QK17:QM17,"D"))*1))/(COUNTA(QK17:QM17)),"")</f>
        <v>2</v>
      </c>
      <c r="QO17" s="181" t="str">
        <f t="shared" si="100"/>
        <v>C</v>
      </c>
      <c r="QP17" s="122"/>
      <c r="QQ17" s="123" t="s">
        <v>29</v>
      </c>
      <c r="QR17" s="124"/>
      <c r="QS17" s="180">
        <f>IFERROR((((COUNTIF('Elève (5ème3)'!QP17:QR17,"A"))*4)+((COUNTIF('Elève (5ème3)'!QP17:QR17,"B"))*3)+((COUNTIF('Elève (5ème3)'!QP17:QR17,"C"))*2)+((COUNTIF('Elève (5ème3)'!QP17:QR17,"D"))*1))/(COUNTA(QP17:QR17)),"")</f>
        <v>2</v>
      </c>
      <c r="QT17" s="181" t="str">
        <f t="shared" si="101"/>
        <v>C</v>
      </c>
      <c r="QU17" s="122" t="s">
        <v>27</v>
      </c>
      <c r="QV17" s="123"/>
      <c r="QW17" s="124"/>
      <c r="QX17" s="128"/>
      <c r="QY17" s="180">
        <f>IFERROR((((COUNTIF('Elève (5ème3)'!QU17:QX17,"A"))*4)+((COUNTIF('Elève (5ème3)'!QU17:QX17,"B"))*3)+((COUNTIF('Elève (5ème3)'!QU17:QX17,"C"))*2)+((COUNTIF('Elève (5ème3)'!QU17:QX17,"D"))*1))/(COUNTA(QU17:QX17)),"")</f>
        <v>4</v>
      </c>
      <c r="QZ17" s="181" t="str">
        <f t="shared" si="102"/>
        <v>A</v>
      </c>
      <c r="RA17" s="180">
        <f>IF(COUNT(QN17,QS17,QY17)=0,"",SUM(QN17,QS17,QY17)/COUNT(QN17,QS17,QY17))</f>
        <v>2.6666666666666665</v>
      </c>
      <c r="RB17" s="210" t="str">
        <f t="shared" si="103"/>
        <v>C</v>
      </c>
      <c r="RC17" s="122" t="s">
        <v>28</v>
      </c>
      <c r="RD17" s="123"/>
      <c r="RE17" s="124"/>
      <c r="RF17" s="180">
        <f>IFERROR((((COUNTIF('Elève (5ème3)'!RC17:RE17,"A"))*4)+((COUNTIF('Elève (5ème3)'!RC17:RE17,"B"))*3)+((COUNTIF('Elève (5ème3)'!RC17:RE17,"C"))*2)+((COUNTIF('Elève (5ème3)'!RC17:RE17,"D"))*1))/(COUNTA(RC17:RE17)),"")</f>
        <v>3</v>
      </c>
      <c r="RG17" s="181" t="str">
        <f t="shared" si="104"/>
        <v>B</v>
      </c>
      <c r="RH17" s="122"/>
      <c r="RI17" s="123" t="s">
        <v>29</v>
      </c>
      <c r="RJ17" s="124" t="s">
        <v>27</v>
      </c>
      <c r="RK17" s="180">
        <f>IFERROR((((COUNTIF('Elève (5ème3)'!RH17:RJ17,"A"))*4)+((COUNTIF('Elève (5ème3)'!RH17:RJ17,"B"))*3)+((COUNTIF('Elève (5ème3)'!RH17:RJ17,"C"))*2)+((COUNTIF('Elève (5ème3)'!RH17:RJ17,"D"))*1))/(COUNTA(RH17:RJ17)),"")</f>
        <v>3</v>
      </c>
      <c r="RL17" s="181" t="str">
        <f t="shared" si="105"/>
        <v>B</v>
      </c>
      <c r="RM17" s="122" t="s">
        <v>29</v>
      </c>
      <c r="RN17" s="123"/>
      <c r="RO17" s="124"/>
      <c r="RP17" s="128" t="s">
        <v>28</v>
      </c>
      <c r="RQ17" s="180">
        <f>IFERROR((((COUNTIF('Elève (5ème3)'!RM17:RP17,"A"))*4)+((COUNTIF('Elève (5ème3)'!RM17:RP17,"B"))*3)+((COUNTIF('Elève (5ème3)'!RM17:RP17,"C"))*2)+((COUNTIF('Elève (5ème3)'!RM17:RP17,"D"))*1))/(COUNTA(RM17:RP17)),"")</f>
        <v>2.5</v>
      </c>
      <c r="RR17" s="181" t="str">
        <f t="shared" si="106"/>
        <v>C</v>
      </c>
      <c r="RS17" s="180">
        <f>IF(COUNT(RF17,RK17,RQ17)=0,"",SUM(RF17,RK17,RQ17)/COUNT(RF17,RK17,RQ17))</f>
        <v>2.8333333333333335</v>
      </c>
      <c r="RT17" s="210" t="str">
        <f t="shared" si="107"/>
        <v>B</v>
      </c>
      <c r="RU17" s="122"/>
      <c r="RV17" s="123"/>
      <c r="RW17" s="124"/>
      <c r="RX17" s="118" t="str">
        <f>IFERROR((((COUNTIF('Elève (5ème3)'!RU17:RW17,"A"))*4)+((COUNTIF('Elève (5ème3)'!RU17:RW17,"B"))*3)+((COUNTIF('Elève (5ème3)'!RU17:RW17,"C"))*2)+((COUNTIF('Elève (5ème3)'!RU17:RW17,"D"))*1))/(COUNTA(RU17:RW17)),"")</f>
        <v/>
      </c>
      <c r="RY17" s="119" t="str">
        <f t="shared" si="108"/>
        <v/>
      </c>
      <c r="RZ17" s="122"/>
      <c r="SA17" s="123"/>
      <c r="SB17" s="124"/>
      <c r="SC17" s="118" t="str">
        <f>IFERROR((((COUNTIF('Elève (5ème3)'!RZ17:SB17,"A"))*4)+((COUNTIF('Elève (5ème3)'!RZ17:SB17,"B"))*3)+((COUNTIF('Elève (5ème3)'!RZ17:SB17,"C"))*2)+((COUNTIF('Elève (5ème3)'!RZ17:SB17,"D"))*1))/(COUNTA(RZ17:SB17)),"")</f>
        <v/>
      </c>
      <c r="SD17" s="119" t="str">
        <f t="shared" si="109"/>
        <v/>
      </c>
      <c r="SE17" s="122"/>
      <c r="SF17" s="123"/>
      <c r="SG17" s="128"/>
      <c r="SH17" s="118" t="str">
        <f>IFERROR((((COUNTIF('Elève (5ème3)'!SE17:SG17,"A"))*4)+((COUNTIF('Elève (5ème3)'!SE17:SG17,"B"))*3)+((COUNTIF('Elève (5ème3)'!SE17:SG17,"C"))*2)+((COUNTIF('Elève (5ème3)'!SE17:SG17,"D"))*1))/(COUNTA(SE17:SG17)),"")</f>
        <v/>
      </c>
      <c r="SI17" s="119" t="str">
        <f t="shared" si="110"/>
        <v/>
      </c>
      <c r="SJ17" s="118" t="str">
        <f>IF(COUNT(RX17,SC17,SH17)=0,"",SUM(RX17,SC17,SH17)/COUNT(RX17,SC17,SH17))</f>
        <v/>
      </c>
      <c r="SK17" s="142" t="str">
        <f t="shared" si="111"/>
        <v/>
      </c>
      <c r="SL17" s="122"/>
      <c r="SM17" s="123"/>
      <c r="SN17" s="124"/>
      <c r="SO17" s="118" t="str">
        <f>IFERROR((((COUNTIF('Elève (5ème3)'!SL17:SN17,"A"))*4)+((COUNTIF('Elève (5ème3)'!SL17:SN17,"B"))*3)+((COUNTIF('Elève (5ème3)'!SL17:SN17,"C"))*2)+((COUNTIF('Elève (5ème3)'!SL17:SN17,"D"))*1))/(COUNTA(SL17:SN17)),"")</f>
        <v/>
      </c>
      <c r="SP17" s="119" t="str">
        <f t="shared" si="112"/>
        <v/>
      </c>
      <c r="SQ17" s="122"/>
      <c r="SR17" s="123"/>
      <c r="SS17" s="124"/>
      <c r="ST17" s="118" t="str">
        <f>IFERROR((((COUNTIF('Elève (5ème3)'!SQ17:SS17,"A"))*4)+((COUNTIF('Elève (5ème3)'!SQ17:SS17,"B"))*3)+((COUNTIF('Elève (5ème3)'!SQ17:SS17,"C"))*2)+((COUNTIF('Elève (5ème3)'!SQ17:SS17,"D"))*1))/(COUNTA(SQ17:SS17)),"")</f>
        <v/>
      </c>
      <c r="SU17" s="119" t="str">
        <f t="shared" si="113"/>
        <v/>
      </c>
      <c r="SV17" s="122"/>
      <c r="SW17" s="123"/>
      <c r="SX17" s="128"/>
      <c r="SY17" s="118" t="str">
        <f>IFERROR((((COUNTIF('Elève (5ème3)'!SV17:SX17,"A"))*4)+((COUNTIF('Elève (5ème3)'!SV17:SX17,"B"))*3)+((COUNTIF('Elève (5ème3)'!SV17:SX17,"C"))*2)+((COUNTIF('Elève (5ème3)'!SV17:SX17,"D"))*1))/(COUNTA(SV17:SX17)),"")</f>
        <v/>
      </c>
      <c r="SZ17" s="119" t="str">
        <f t="shared" si="114"/>
        <v/>
      </c>
      <c r="TA17" s="118" t="str">
        <f>IF(COUNT(SO17,ST17,SY17)=0,"",SUM(SO17,ST17,SY17)/COUNT(SO17,ST17,SY17))</f>
        <v/>
      </c>
      <c r="TB17" s="142" t="str">
        <f t="shared" si="115"/>
        <v/>
      </c>
      <c r="TC17" s="122"/>
      <c r="TD17" s="123"/>
      <c r="TE17" s="124"/>
      <c r="TF17" s="118" t="str">
        <f>IFERROR((((COUNTIF('Elève (5ème3)'!TC17:TE17,"A"))*4)+((COUNTIF('Elève (5ème3)'!TC17:TE17,"B"))*3)+((COUNTIF('Elève (5ème3)'!TC17:TE17,"C"))*2)+((COUNTIF('Elève (5ème3)'!TC17:TE17,"D"))*1))/(COUNTA(TC17:TE17)),"")</f>
        <v/>
      </c>
      <c r="TG17" s="119" t="str">
        <f t="shared" si="116"/>
        <v/>
      </c>
      <c r="TH17" s="122"/>
      <c r="TI17" s="123"/>
      <c r="TJ17" s="124"/>
      <c r="TK17" s="118" t="str">
        <f>IFERROR((((COUNTIF('Elève (5ème3)'!TH17:TJ17,"A"))*4)+((COUNTIF('Elève (5ème3)'!TH17:TJ17,"B"))*3)+((COUNTIF('Elève (5ème3)'!TH17:TJ17,"C"))*2)+((COUNTIF('Elève (5ème3)'!TH17:TJ17,"D"))*1))/(COUNTA(TH17:TJ17)),"")</f>
        <v/>
      </c>
      <c r="TL17" s="119" t="str">
        <f t="shared" si="117"/>
        <v/>
      </c>
      <c r="TM17" s="122"/>
      <c r="TN17" s="123"/>
      <c r="TO17" s="128"/>
      <c r="TP17" s="118" t="str">
        <f>IFERROR((((COUNTIF('Elève (5ème3)'!TM17:TO17,"A"))*4)+((COUNTIF('Elève (5ème3)'!TM17:TO17,"B"))*3)+((COUNTIF('Elève (5ème3)'!TM17:TO17,"C"))*2)+((COUNTIF('Elève (5ème3)'!TM17:TO17,"D"))*1))/(COUNTA(TM17:TO17)),"")</f>
        <v/>
      </c>
      <c r="TQ17" s="119" t="str">
        <f t="shared" si="118"/>
        <v/>
      </c>
      <c r="TR17" s="118" t="str">
        <f>IF(COUNT(TF17,TK17,TP17)=0,"",SUM(TF17,TK17,TP17)/COUNT(TF17,TK17,TP17))</f>
        <v/>
      </c>
      <c r="TS17" s="142" t="str">
        <f t="shared" si="119"/>
        <v/>
      </c>
    </row>
    <row r="18" spans="1:539" ht="18" customHeight="1" x14ac:dyDescent="0.25">
      <c r="A18" s="236" t="s">
        <v>22</v>
      </c>
      <c r="B18" s="237"/>
      <c r="C18" s="122"/>
      <c r="D18" s="123"/>
      <c r="E18" s="124"/>
      <c r="F18" s="182" t="str">
        <f>IFERROR((((COUNTIF('Elève (5ème3)'!C18:E18,"A"))*4)+((COUNTIF('Elève (5ème3)'!C18:E18,"B"))*3)+((COUNTIF('Elève (5ème3)'!C18:E18,"C"))*2)+((COUNTIF('Elève (5ème3)'!C18:E18,"D"))*1))/(COUNTA(C18:E18)),"")</f>
        <v/>
      </c>
      <c r="G18" s="183" t="str">
        <f t="shared" si="0"/>
        <v/>
      </c>
      <c r="H18" s="122"/>
      <c r="I18" s="123"/>
      <c r="J18" s="124"/>
      <c r="K18" s="182" t="str">
        <f>IFERROR((((COUNTIF('Elève (5ème3)'!H18:J18,"A"))*4)+((COUNTIF('Elève (5ème3)'!H18:J18,"B"))*3)+((COUNTIF('Elève (5ème3)'!H18:J18,"C"))*2)+((COUNTIF('Elève (5ème3)'!H18:J18,"D"))*1))/(COUNTA(H18:J18)),"")</f>
        <v/>
      </c>
      <c r="L18" s="183" t="str">
        <f t="shared" si="1"/>
        <v/>
      </c>
      <c r="M18" s="122"/>
      <c r="N18" s="123"/>
      <c r="O18" s="124" t="s">
        <v>29</v>
      </c>
      <c r="P18" s="124"/>
      <c r="Q18" s="182">
        <f>IFERROR((((COUNTIF('Elève (5ème3)'!M18:P18,"A"))*4)+((COUNTIF('Elève (5ème3)'!M18:P18,"B"))*3)+((COUNTIF('Elève (5ème3)'!M18:P18,"C"))*2)+((COUNTIF('Elève (5ème3)'!M18:P18,"D"))*1))/(COUNTA(M18:P18)),"")</f>
        <v>2</v>
      </c>
      <c r="R18" s="183" t="str">
        <f t="shared" si="2"/>
        <v>C</v>
      </c>
      <c r="S18" s="182">
        <f>IF(COUNT(F18,K18,Q18)=0,"",SUM(F18,K18,Q18)/COUNT(F18,K18,Q18))</f>
        <v>2</v>
      </c>
      <c r="T18" s="206" t="str">
        <f t="shared" si="3"/>
        <v>C</v>
      </c>
      <c r="U18" s="122"/>
      <c r="V18" s="123"/>
      <c r="W18" s="124"/>
      <c r="X18" s="182" t="str">
        <f>IFERROR((((COUNTIF('Elève (5ème3)'!U18:W18,"A"))*4)+((COUNTIF('Elève (5ème3)'!U18:W18,"B"))*3)+((COUNTIF('Elève (5ème3)'!U18:W18,"C"))*2)+((COUNTIF('Elève (5ème3)'!U18:W18,"D"))*1))/(COUNTA(U18:W18)),"")</f>
        <v/>
      </c>
      <c r="Y18" s="183" t="str">
        <f t="shared" si="4"/>
        <v/>
      </c>
      <c r="Z18" s="122"/>
      <c r="AA18" s="123"/>
      <c r="AB18" s="124"/>
      <c r="AC18" s="182" t="str">
        <f>IFERROR((((COUNTIF('Elève (5ème3)'!Z18:AB18,"A"))*4)+((COUNTIF('Elève (5ème3)'!Z18:AB18,"B"))*3)+((COUNTIF('Elève (5ème3)'!Z18:AB18,"C"))*2)+((COUNTIF('Elève (5ème3)'!Z18:AB18,"D"))*1))/(COUNTA(Z18:AB18)),"")</f>
        <v/>
      </c>
      <c r="AD18" s="183" t="str">
        <f t="shared" si="5"/>
        <v/>
      </c>
      <c r="AE18" s="122"/>
      <c r="AF18" s="123"/>
      <c r="AG18" s="124" t="s">
        <v>28</v>
      </c>
      <c r="AH18" s="128"/>
      <c r="AI18" s="182">
        <f>IFERROR((((COUNTIF('Elève (5ème3)'!AE18:AH18,"A"))*4)+((COUNTIF('Elève (5ème3)'!AE18:AH18,"B"))*3)+((COUNTIF('Elève (5ème3)'!AE18:AH18,"C"))*2)+((COUNTIF('Elève (5ème3)'!AE18:AH18,"D"))*1))/(COUNTA(AE18:AH18)),"")</f>
        <v>3</v>
      </c>
      <c r="AJ18" s="183" t="str">
        <f t="shared" si="6"/>
        <v>B</v>
      </c>
      <c r="AK18" s="182">
        <f>IF(COUNT(X18,AC18,AI18)=0,"",SUM(X18,AC18,AI18)/COUNT(X18,AC18,AI18))</f>
        <v>3</v>
      </c>
      <c r="AL18" s="206" t="str">
        <f t="shared" si="7"/>
        <v>B</v>
      </c>
      <c r="AM18" s="122"/>
      <c r="AN18" s="123"/>
      <c r="AO18" s="124"/>
      <c r="AP18" s="182" t="str">
        <f>IFERROR((((COUNTIF('Elève (5ème3)'!AM18:AO18,"A"))*4)+((COUNTIF('Elève (5ème3)'!AM18:AO18,"B"))*3)+((COUNTIF('Elève (5ème3)'!AM18:AO18,"C"))*2)+((COUNTIF('Elève (5ème3)'!AM18:AO18,"D"))*1))/(COUNTA(AM18:AO18)),"")</f>
        <v/>
      </c>
      <c r="AQ18" s="183" t="str">
        <f t="shared" si="8"/>
        <v/>
      </c>
      <c r="AR18" s="122"/>
      <c r="AS18" s="123"/>
      <c r="AT18" s="124"/>
      <c r="AU18" s="182" t="str">
        <f>IFERROR((((COUNTIF('Elève (5ème3)'!AR18:AT18,"A"))*4)+((COUNTIF('Elève (5ème3)'!AR18:AT18,"B"))*3)+((COUNTIF('Elève (5ème3)'!AR18:AT18,"C"))*2)+((COUNTIF('Elève (5ème3)'!AR18:AT18,"D"))*1))/(COUNTA(AR18:AT18)),"")</f>
        <v/>
      </c>
      <c r="AV18" s="183" t="str">
        <f t="shared" si="9"/>
        <v/>
      </c>
      <c r="AW18" s="122"/>
      <c r="AX18" s="123"/>
      <c r="AY18" s="124" t="s">
        <v>28</v>
      </c>
      <c r="AZ18" s="128"/>
      <c r="BA18" s="182">
        <f>IFERROR((((COUNTIF('Elève (5ème3)'!AW18:AZ18,"A"))*4)+((COUNTIF('Elève (5ème3)'!AW18:AZ18,"B"))*3)+((COUNTIF('Elève (5ème3)'!AW18:AZ18,"C"))*2)+((COUNTIF('Elève (5ème3)'!AW18:AZ18,"D"))*1))/(COUNTA(AW18:AZ18)),"")</f>
        <v>3</v>
      </c>
      <c r="BB18" s="183" t="str">
        <f t="shared" si="10"/>
        <v>B</v>
      </c>
      <c r="BC18" s="182">
        <f>IF(COUNT(AP18,AU18,BA18)=0,"",SUM(AP18,AU18,BA18)/COUNT(AP18,AU18,BA18))</f>
        <v>3</v>
      </c>
      <c r="BD18" s="206" t="str">
        <f t="shared" si="11"/>
        <v>B</v>
      </c>
      <c r="BE18" s="122"/>
      <c r="BF18" s="123"/>
      <c r="BG18" s="124"/>
      <c r="BH18" s="182" t="str">
        <f>IFERROR((((COUNTIF('Elève (5ème3)'!BE18:BG18,"A"))*4)+((COUNTIF('Elève (5ème3)'!BE18:BG18,"B"))*3)+((COUNTIF('Elève (5ème3)'!BE18:BG18,"C"))*2)+((COUNTIF('Elève (5ème3)'!BE18:BG18,"D"))*1))/(COUNTA(BE18:BG18)),"")</f>
        <v/>
      </c>
      <c r="BI18" s="183" t="str">
        <f t="shared" si="12"/>
        <v/>
      </c>
      <c r="BJ18" s="122"/>
      <c r="BK18" s="123"/>
      <c r="BL18" s="124"/>
      <c r="BM18" s="182" t="str">
        <f>IFERROR((((COUNTIF('Elève (5ème3)'!BJ18:BL18,"A"))*4)+((COUNTIF('Elève (5ème3)'!BJ18:BL18,"B"))*3)+((COUNTIF('Elève (5ème3)'!BJ18:BL18,"C"))*2)+((COUNTIF('Elève (5ème3)'!BJ18:BL18,"D"))*1))/(COUNTA(BJ18:BL18)),"")</f>
        <v/>
      </c>
      <c r="BN18" s="183" t="str">
        <f t="shared" si="13"/>
        <v/>
      </c>
      <c r="BO18" s="122"/>
      <c r="BP18" s="123"/>
      <c r="BQ18" s="124" t="s">
        <v>28</v>
      </c>
      <c r="BR18" s="128"/>
      <c r="BS18" s="182">
        <f>IFERROR((((COUNTIF('Elève (5ème3)'!BO18:BR18,"A"))*4)+((COUNTIF('Elève (5ème3)'!BO18:BR18,"B"))*3)+((COUNTIF('Elève (5ème3)'!BO18:BR18,"C"))*2)+((COUNTIF('Elève (5ème3)'!BO18:BR18,"D"))*1))/(COUNTA(BO18:BR18)),"")</f>
        <v>3</v>
      </c>
      <c r="BT18" s="183" t="str">
        <f t="shared" si="14"/>
        <v>B</v>
      </c>
      <c r="BU18" s="182">
        <f>IF(COUNT(BH18,BM18,BS18)=0,"",SUM(BH18,BM18,BS18)/COUNT(BH18,BM18,BS18))</f>
        <v>3</v>
      </c>
      <c r="BV18" s="206" t="str">
        <f t="shared" si="15"/>
        <v>B</v>
      </c>
      <c r="BW18" s="122"/>
      <c r="BX18" s="123"/>
      <c r="BY18" s="124"/>
      <c r="BZ18" s="182" t="str">
        <f>IFERROR((((COUNTIF('Elève (5ème3)'!BW18:BY18,"A"))*4)+((COUNTIF('Elève (5ème3)'!BW18:BY18,"B"))*3)+((COUNTIF('Elève (5ème3)'!BW18:BY18,"C"))*2)+((COUNTIF('Elève (5ème3)'!BW18:BY18,"D"))*1))/(COUNTA(BW18:BY18)),"")</f>
        <v/>
      </c>
      <c r="CA18" s="183" t="str">
        <f t="shared" si="16"/>
        <v/>
      </c>
      <c r="CB18" s="122"/>
      <c r="CC18" s="123"/>
      <c r="CD18" s="124"/>
      <c r="CE18" s="182" t="str">
        <f>IFERROR((((COUNTIF('Elève (5ème3)'!CB18:CD18,"A"))*4)+((COUNTIF('Elève (5ème3)'!CB18:CD18,"B"))*3)+((COUNTIF('Elève (5ème3)'!CB18:CD18,"C"))*2)+((COUNTIF('Elève (5ème3)'!CB18:CD18,"D"))*1))/(COUNTA(CB18:CD18)),"")</f>
        <v/>
      </c>
      <c r="CF18" s="183" t="str">
        <f t="shared" si="17"/>
        <v/>
      </c>
      <c r="CG18" s="122"/>
      <c r="CH18" s="123"/>
      <c r="CI18" s="124" t="s">
        <v>28</v>
      </c>
      <c r="CJ18" s="128"/>
      <c r="CK18" s="182">
        <f>IFERROR((((COUNTIF('Elève (5ème3)'!CG18:CJ18,"A"))*4)+((COUNTIF('Elève (5ème3)'!CG18:CJ18,"B"))*3)+((COUNTIF('Elève (5ème3)'!CG18:CJ18,"C"))*2)+((COUNTIF('Elève (5ème3)'!CG18:CJ18,"D"))*1))/(COUNTA(CG18:CJ18)),"")</f>
        <v>3</v>
      </c>
      <c r="CL18" s="183" t="str">
        <f t="shared" si="18"/>
        <v>B</v>
      </c>
      <c r="CM18" s="182">
        <f>IF(COUNT(BZ18,CE18,CK18)=0,"",SUM(BZ18,CE18,CK18)/COUNT(BZ18,CE18,CK18))</f>
        <v>3</v>
      </c>
      <c r="CN18" s="206" t="str">
        <f t="shared" si="19"/>
        <v>B</v>
      </c>
      <c r="CO18" s="122"/>
      <c r="CP18" s="123"/>
      <c r="CQ18" s="124"/>
      <c r="CR18" s="182" t="str">
        <f>IFERROR((((COUNTIF('Elève (5ème3)'!CO18:CQ18,"A"))*4)+((COUNTIF('Elève (5ème3)'!CO18:CQ18,"B"))*3)+((COUNTIF('Elève (5ème3)'!CO18:CQ18,"C"))*2)+((COUNTIF('Elève (5ème3)'!CO18:CQ18,"D"))*1))/(COUNTA(CO18:CQ18)),"")</f>
        <v/>
      </c>
      <c r="CS18" s="183" t="str">
        <f t="shared" si="20"/>
        <v/>
      </c>
      <c r="CT18" s="122"/>
      <c r="CU18" s="123"/>
      <c r="CV18" s="124"/>
      <c r="CW18" s="182" t="str">
        <f>IFERROR((((COUNTIF('Elève (5ème3)'!CT18:CV18,"A"))*4)+((COUNTIF('Elève (5ème3)'!CT18:CV18,"B"))*3)+((COUNTIF('Elève (5ème3)'!CT18:CV18,"C"))*2)+((COUNTIF('Elève (5ème3)'!CT18:CV18,"D"))*1))/(COUNTA(CT18:CV18)),"")</f>
        <v/>
      </c>
      <c r="CX18" s="183" t="str">
        <f t="shared" si="21"/>
        <v/>
      </c>
      <c r="CY18" s="122"/>
      <c r="CZ18" s="123"/>
      <c r="DA18" s="124" t="s">
        <v>29</v>
      </c>
      <c r="DB18" s="128"/>
      <c r="DC18" s="182">
        <f>IFERROR((((COUNTIF('Elève (5ème3)'!CY18:DB18,"A"))*4)+((COUNTIF('Elève (5ème3)'!CY18:DB18,"B"))*3)+((COUNTIF('Elève (5ème3)'!CY18:DB18,"C"))*2)+((COUNTIF('Elève (5ème3)'!CY18:DB18,"D"))*1))/(COUNTA(CY18:DB18)),"")</f>
        <v>2</v>
      </c>
      <c r="DD18" s="183" t="str">
        <f t="shared" si="22"/>
        <v>C</v>
      </c>
      <c r="DE18" s="182">
        <f>IF(COUNT(CR18,CW18,DC18)=0,"",SUM(CR18,CW18,DC18)/COUNT(CR18,CW18,DC18))</f>
        <v>2</v>
      </c>
      <c r="DF18" s="206" t="str">
        <f t="shared" si="23"/>
        <v>C</v>
      </c>
      <c r="DG18" s="122"/>
      <c r="DH18" s="123"/>
      <c r="DI18" s="124"/>
      <c r="DJ18" s="182" t="str">
        <f>IFERROR((((COUNTIF('Elève (5ème3)'!DG18:DI18,"A"))*4)+((COUNTIF('Elève (5ème3)'!DG18:DI18,"B"))*3)+((COUNTIF('Elève (5ème3)'!DG18:DI18,"C"))*2)+((COUNTIF('Elève (5ème3)'!DG18:DI18,"D"))*1))/(COUNTA(DG18:DI18)),"")</f>
        <v/>
      </c>
      <c r="DK18" s="183" t="str">
        <f t="shared" si="24"/>
        <v/>
      </c>
      <c r="DL18" s="122"/>
      <c r="DM18" s="123"/>
      <c r="DN18" s="124"/>
      <c r="DO18" s="182" t="str">
        <f>IFERROR((((COUNTIF('Elève (5ème3)'!DL18:DN18,"A"))*4)+((COUNTIF('Elève (5ème3)'!DL18:DN18,"B"))*3)+((COUNTIF('Elève (5ème3)'!DL18:DN18,"C"))*2)+((COUNTIF('Elève (5ème3)'!DL18:DN18,"D"))*1))/(COUNTA(DL18:DN18)),"")</f>
        <v/>
      </c>
      <c r="DP18" s="183" t="str">
        <f t="shared" si="25"/>
        <v/>
      </c>
      <c r="DQ18" s="122"/>
      <c r="DR18" s="123"/>
      <c r="DS18" s="124" t="s">
        <v>28</v>
      </c>
      <c r="DT18" s="128"/>
      <c r="DU18" s="182">
        <f>IFERROR((((COUNTIF('Elève (5ème3)'!DQ18:DT18,"A"))*4)+((COUNTIF('Elève (5ème3)'!DQ18:DT18,"B"))*3)+((COUNTIF('Elève (5ème3)'!DQ18:DT18,"C"))*2)+((COUNTIF('Elève (5ème3)'!DQ18:DT18,"D"))*1))/(COUNTA(DQ18:DT18)),"")</f>
        <v>3</v>
      </c>
      <c r="DV18" s="183" t="str">
        <f t="shared" si="26"/>
        <v>B</v>
      </c>
      <c r="DW18" s="182">
        <f>IF(COUNT(DJ18,DO18,DU18)=0,"",SUM(DJ18,DO18,DU18)/COUNT(DJ18,DO18,DU18))</f>
        <v>3</v>
      </c>
      <c r="DX18" s="206" t="str">
        <f t="shared" si="27"/>
        <v>B</v>
      </c>
      <c r="DY18" s="122"/>
      <c r="DZ18" s="123"/>
      <c r="EA18" s="124"/>
      <c r="EB18" s="182" t="str">
        <f>IFERROR((((COUNTIF('Elève (5ème3)'!DY18:EA18,"A"))*4)+((COUNTIF('Elève (5ème3)'!DY18:EA18,"B"))*3)+((COUNTIF('Elève (5ème3)'!DY18:EA18,"C"))*2)+((COUNTIF('Elève (5ème3)'!DY18:EA18,"D"))*1))/(COUNTA(DY18:EA18)),"")</f>
        <v/>
      </c>
      <c r="EC18" s="183" t="str">
        <f t="shared" si="28"/>
        <v/>
      </c>
      <c r="ED18" s="122"/>
      <c r="EE18" s="123"/>
      <c r="EF18" s="124"/>
      <c r="EG18" s="182" t="str">
        <f>IFERROR((((COUNTIF('Elève (5ème3)'!ED18:EF18,"A"))*4)+((COUNTIF('Elève (5ème3)'!ED18:EF18,"B"))*3)+((COUNTIF('Elève (5ème3)'!ED18:EF18,"C"))*2)+((COUNTIF('Elève (5ème3)'!ED18:EF18,"D"))*1))/(COUNTA(ED18:EF18)),"")</f>
        <v/>
      </c>
      <c r="EH18" s="183" t="str">
        <f t="shared" si="29"/>
        <v/>
      </c>
      <c r="EI18" s="122"/>
      <c r="EJ18" s="123"/>
      <c r="EK18" s="124" t="s">
        <v>28</v>
      </c>
      <c r="EL18" s="128"/>
      <c r="EM18" s="182">
        <f>IFERROR((((COUNTIF('Elève (5ème3)'!EI18:EL18,"A"))*4)+((COUNTIF('Elève (5ème3)'!EI18:EL18,"B"))*3)+((COUNTIF('Elève (5ème3)'!EI18:EL18,"C"))*2)+((COUNTIF('Elève (5ème3)'!EI18:EL18,"D"))*1))/(COUNTA(EI18:EL18)),"")</f>
        <v>3</v>
      </c>
      <c r="EN18" s="183" t="str">
        <f t="shared" si="30"/>
        <v>B</v>
      </c>
      <c r="EO18" s="182">
        <f>IF(COUNT(EB18,EG18,EM18)=0,"",SUM(EB18,EG18,EM18)/COUNT(EB18,EG18,EM18))</f>
        <v>3</v>
      </c>
      <c r="EP18" s="206" t="str">
        <f t="shared" si="31"/>
        <v>B</v>
      </c>
      <c r="EQ18" s="122"/>
      <c r="ER18" s="123"/>
      <c r="ES18" s="124"/>
      <c r="ET18" s="182" t="str">
        <f>IFERROR((((COUNTIF('Elève (5ème3)'!EQ18:ES18,"A"))*4)+((COUNTIF('Elève (5ème3)'!EQ18:ES18,"B"))*3)+((COUNTIF('Elève (5ème3)'!EQ18:ES18,"C"))*2)+((COUNTIF('Elève (5ème3)'!EQ18:ES18,"D"))*1))/(COUNTA(EQ18:ES18)),"")</f>
        <v/>
      </c>
      <c r="EU18" s="183" t="str">
        <f t="shared" si="32"/>
        <v/>
      </c>
      <c r="EV18" s="122"/>
      <c r="EW18" s="123"/>
      <c r="EX18" s="124"/>
      <c r="EY18" s="182" t="str">
        <f>IFERROR((((COUNTIF('Elève (5ème3)'!EV18:EX18,"A"))*4)+((COUNTIF('Elève (5ème3)'!EV18:EX18,"B"))*3)+((COUNTIF('Elève (5ème3)'!EV18:EX18,"C"))*2)+((COUNTIF('Elève (5ème3)'!EV18:EX18,"D"))*1))/(COUNTA(EV18:EX18)),"")</f>
        <v/>
      </c>
      <c r="EZ18" s="183" t="str">
        <f t="shared" si="33"/>
        <v/>
      </c>
      <c r="FA18" s="122"/>
      <c r="FB18" s="123"/>
      <c r="FC18" s="124" t="s">
        <v>29</v>
      </c>
      <c r="FD18" s="128"/>
      <c r="FE18" s="182">
        <f>IFERROR((((COUNTIF('Elève (5ème3)'!FA18:FD18,"A"))*4)+((COUNTIF('Elève (5ème3)'!FA18:FD18,"B"))*3)+((COUNTIF('Elève (5ème3)'!FA18:FD18,"C"))*2)+((COUNTIF('Elève (5ème3)'!FA18:FD18,"D"))*1))/(COUNTA(FA18:FD18)),"")</f>
        <v>2</v>
      </c>
      <c r="FF18" s="183" t="str">
        <f t="shared" si="34"/>
        <v>C</v>
      </c>
      <c r="FG18" s="182">
        <f>IF(COUNT(ET18,EY18,FE18)=0,"",SUM(ET18,EY18,FE18)/COUNT(ET18,EY18,FE18))</f>
        <v>2</v>
      </c>
      <c r="FH18" s="206" t="str">
        <f t="shared" si="35"/>
        <v>C</v>
      </c>
      <c r="FI18" s="122"/>
      <c r="FJ18" s="123"/>
      <c r="FK18" s="124"/>
      <c r="FL18" s="182" t="str">
        <f>IFERROR((((COUNTIF('Elève (5ème3)'!FI18:FK18,"A"))*4)+((COUNTIF('Elève (5ème3)'!FI18:FK18,"B"))*3)+((COUNTIF('Elève (5ème3)'!FI18:FK18,"C"))*2)+((COUNTIF('Elève (5ème3)'!FI18:FK18,"D"))*1))/(COUNTA(FI18:FK18)),"")</f>
        <v/>
      </c>
      <c r="FM18" s="183" t="str">
        <f t="shared" si="36"/>
        <v/>
      </c>
      <c r="FN18" s="122"/>
      <c r="FO18" s="123"/>
      <c r="FP18" s="124"/>
      <c r="FQ18" s="182" t="str">
        <f>IFERROR((((COUNTIF('Elève (5ème3)'!FN18:FP18,"A"))*4)+((COUNTIF('Elève (5ème3)'!FN18:FP18,"B"))*3)+((COUNTIF('Elève (5ème3)'!FN18:FP18,"C"))*2)+((COUNTIF('Elève (5ème3)'!FN18:FP18,"D"))*1))/(COUNTA(FN18:FP18)),"")</f>
        <v/>
      </c>
      <c r="FR18" s="183" t="str">
        <f t="shared" si="37"/>
        <v/>
      </c>
      <c r="FS18" s="122"/>
      <c r="FT18" s="123"/>
      <c r="FU18" s="124" t="s">
        <v>28</v>
      </c>
      <c r="FV18" s="128"/>
      <c r="FW18" s="182">
        <f>IFERROR((((COUNTIF('Elève (5ème3)'!FS18:FV18,"A"))*4)+((COUNTIF('Elève (5ème3)'!FS18:FV18,"B"))*3)+((COUNTIF('Elève (5ème3)'!FS18:FV18,"C"))*2)+((COUNTIF('Elève (5ème3)'!FS18:FV18,"D"))*1))/(COUNTA(FS18:FV18)),"")</f>
        <v>3</v>
      </c>
      <c r="FX18" s="183" t="str">
        <f t="shared" si="38"/>
        <v>B</v>
      </c>
      <c r="FY18" s="182">
        <f>IF(COUNT(FL18,FQ18,FW18)=0,"",SUM(FL18,FQ18,FW18)/COUNT(FL18,FQ18,FW18))</f>
        <v>3</v>
      </c>
      <c r="FZ18" s="206" t="str">
        <f t="shared" si="39"/>
        <v>B</v>
      </c>
      <c r="GA18" s="122"/>
      <c r="GB18" s="123"/>
      <c r="GC18" s="124"/>
      <c r="GD18" s="182" t="str">
        <f>IFERROR((((COUNTIF('Elève (5ème3)'!GA18:GC18,"A"))*4)+((COUNTIF('Elève (5ème3)'!GA18:GC18,"B"))*3)+((COUNTIF('Elève (5ème3)'!GA18:GC18,"C"))*2)+((COUNTIF('Elève (5ème3)'!GA18:GC18,"D"))*1))/(COUNTA(GA18:GC18)),"")</f>
        <v/>
      </c>
      <c r="GE18" s="183" t="str">
        <f t="shared" si="40"/>
        <v/>
      </c>
      <c r="GF18" s="122"/>
      <c r="GG18" s="123"/>
      <c r="GH18" s="124"/>
      <c r="GI18" s="182" t="str">
        <f>IFERROR((((COUNTIF('Elève (5ème3)'!GF18:GH18,"A"))*4)+((COUNTIF('Elève (5ème3)'!GF18:GH18,"B"))*3)+((COUNTIF('Elève (5ème3)'!GF18:GH18,"C"))*2)+((COUNTIF('Elève (5ème3)'!GF18:GH18,"D"))*1))/(COUNTA(GF18:GH18)),"")</f>
        <v/>
      </c>
      <c r="GJ18" s="183" t="str">
        <f t="shared" si="41"/>
        <v/>
      </c>
      <c r="GK18" s="122"/>
      <c r="GL18" s="123"/>
      <c r="GM18" s="124" t="s">
        <v>28</v>
      </c>
      <c r="GN18" s="128"/>
      <c r="GO18" s="182">
        <f>IFERROR((((COUNTIF('Elève (5ème3)'!GK18:GN18,"A"))*4)+((COUNTIF('Elève (5ème3)'!GK18:GN18,"B"))*3)+((COUNTIF('Elève (5ème3)'!GK18:GN18,"C"))*2)+((COUNTIF('Elève (5ème3)'!GK18:GN18,"D"))*1))/(COUNTA(GK18:GN18)),"")</f>
        <v>3</v>
      </c>
      <c r="GP18" s="183" t="str">
        <f t="shared" si="42"/>
        <v>B</v>
      </c>
      <c r="GQ18" s="182">
        <f>IF(COUNT(GD18,GI18,GO18)=0,"",SUM(GD18,GI18,GO18)/COUNT(GD18,GI18,GO18))</f>
        <v>3</v>
      </c>
      <c r="GR18" s="206" t="str">
        <f t="shared" si="43"/>
        <v>B</v>
      </c>
      <c r="GS18" s="122"/>
      <c r="GT18" s="123"/>
      <c r="GU18" s="124"/>
      <c r="GV18" s="182" t="str">
        <f>IFERROR((((COUNTIF('Elève (5ème3)'!GS18:GU18,"A"))*4)+((COUNTIF('Elève (5ème3)'!GS18:GU18,"B"))*3)+((COUNTIF('Elève (5ème3)'!GS18:GU18,"C"))*2)+((COUNTIF('Elève (5ème3)'!GS18:GU18,"D"))*1))/(COUNTA(GS18:GU18)),"")</f>
        <v/>
      </c>
      <c r="GW18" s="183" t="str">
        <f t="shared" si="44"/>
        <v/>
      </c>
      <c r="GX18" s="122"/>
      <c r="GY18" s="123"/>
      <c r="GZ18" s="124"/>
      <c r="HA18" s="182" t="str">
        <f>IFERROR((((COUNTIF('Elève (5ème3)'!GX18:GZ18,"A"))*4)+((COUNTIF('Elève (5ème3)'!GX18:GZ18,"B"))*3)+((COUNTIF('Elève (5ème3)'!GX18:GZ18,"C"))*2)+((COUNTIF('Elève (5ème3)'!GX18:GZ18,"D"))*1))/(COUNTA(GX18:GZ18)),"")</f>
        <v/>
      </c>
      <c r="HB18" s="183" t="str">
        <f t="shared" si="45"/>
        <v/>
      </c>
      <c r="HC18" s="122"/>
      <c r="HD18" s="123"/>
      <c r="HE18" s="124" t="s">
        <v>28</v>
      </c>
      <c r="HF18" s="128"/>
      <c r="HG18" s="182">
        <f>IFERROR((((COUNTIF('Elève (5ème3)'!HC18:HF18,"A"))*4)+((COUNTIF('Elève (5ème3)'!HC18:HF18,"B"))*3)+((COUNTIF('Elève (5ème3)'!HC18:HF18,"C"))*2)+((COUNTIF('Elève (5ème3)'!HC18:HF18,"D"))*1))/(COUNTA(HC18:HF18)),"")</f>
        <v>3</v>
      </c>
      <c r="HH18" s="183" t="str">
        <f t="shared" si="46"/>
        <v>B</v>
      </c>
      <c r="HI18" s="182">
        <f>IF(COUNT(GV18,HA18,HG18)=0,"",SUM(GV18,HA18,HG18)/COUNT(GV18,HA18,HG18))</f>
        <v>3</v>
      </c>
      <c r="HJ18" s="206" t="str">
        <f t="shared" si="47"/>
        <v>B</v>
      </c>
      <c r="HK18" s="122"/>
      <c r="HL18" s="123"/>
      <c r="HM18" s="124"/>
      <c r="HN18" s="182" t="str">
        <f>IFERROR((((COUNTIF('Elève (5ème3)'!HK18:HM18,"A"))*4)+((COUNTIF('Elève (5ème3)'!HK18:HM18,"B"))*3)+((COUNTIF('Elève (5ème3)'!HK18:HM18,"C"))*2)+((COUNTIF('Elève (5ème3)'!HK18:HM18,"D"))*1))/(COUNTA(HK18:HM18)),"")</f>
        <v/>
      </c>
      <c r="HO18" s="183" t="str">
        <f t="shared" si="48"/>
        <v/>
      </c>
      <c r="HP18" s="122"/>
      <c r="HQ18" s="123"/>
      <c r="HR18" s="124"/>
      <c r="HS18" s="182" t="str">
        <f>IFERROR((((COUNTIF('Elève (5ème3)'!HP18:HR18,"A"))*4)+((COUNTIF('Elève (5ème3)'!HP18:HR18,"B"))*3)+((COUNTIF('Elève (5ème3)'!HP18:HR18,"C"))*2)+((COUNTIF('Elève (5ème3)'!HP18:HR18,"D"))*1))/(COUNTA(HP18:HR18)),"")</f>
        <v/>
      </c>
      <c r="HT18" s="183" t="str">
        <f t="shared" si="49"/>
        <v/>
      </c>
      <c r="HU18" s="122"/>
      <c r="HV18" s="123"/>
      <c r="HW18" s="124" t="s">
        <v>29</v>
      </c>
      <c r="HX18" s="128"/>
      <c r="HY18" s="182">
        <f>IFERROR((((COUNTIF('Elève (5ème3)'!HU18:HX18,"A"))*4)+((COUNTIF('Elève (5ème3)'!HU18:HX18,"B"))*3)+((COUNTIF('Elève (5ème3)'!HU18:HX18,"C"))*2)+((COUNTIF('Elève (5ème3)'!HU18:HX18,"D"))*1))/(COUNTA(HU18:HX18)),"")</f>
        <v>2</v>
      </c>
      <c r="HZ18" s="183" t="str">
        <f t="shared" si="50"/>
        <v>C</v>
      </c>
      <c r="IA18" s="182">
        <f>IF(COUNT(HN18,HS18,HY18)=0,"",SUM(HN18,HS18,HY18)/COUNT(HN18,HS18,HY18))</f>
        <v>2</v>
      </c>
      <c r="IB18" s="206" t="str">
        <f t="shared" si="51"/>
        <v>C</v>
      </c>
      <c r="IC18" s="122"/>
      <c r="ID18" s="123"/>
      <c r="IE18" s="124"/>
      <c r="IF18" s="182" t="str">
        <f>IFERROR((((COUNTIF('Elève (5ème3)'!IC18:IE18,"A"))*4)+((COUNTIF('Elève (5ème3)'!IC18:IE18,"B"))*3)+((COUNTIF('Elève (5ème3)'!IC18:IE18,"C"))*2)+((COUNTIF('Elève (5ème3)'!IC18:IE18,"D"))*1))/(COUNTA(IC18:IE18)),"")</f>
        <v/>
      </c>
      <c r="IG18" s="183" t="str">
        <f t="shared" si="52"/>
        <v/>
      </c>
      <c r="IH18" s="122"/>
      <c r="II18" s="123"/>
      <c r="IJ18" s="124"/>
      <c r="IK18" s="182" t="str">
        <f>IFERROR((((COUNTIF('Elève (5ème3)'!IH18:IJ18,"A"))*4)+((COUNTIF('Elève (5ème3)'!IH18:IJ18,"B"))*3)+((COUNTIF('Elève (5ème3)'!IH18:IJ18,"C"))*2)+((COUNTIF('Elève (5ème3)'!IH18:IJ18,"D"))*1))/(COUNTA(IH18:IJ18)),"")</f>
        <v/>
      </c>
      <c r="IL18" s="183" t="str">
        <f t="shared" si="53"/>
        <v/>
      </c>
      <c r="IM18" s="122"/>
      <c r="IN18" s="123"/>
      <c r="IO18" s="124" t="s">
        <v>28</v>
      </c>
      <c r="IP18" s="128"/>
      <c r="IQ18" s="182">
        <f>IFERROR((((COUNTIF('Elève (5ème3)'!IM18:IP18,"A"))*4)+((COUNTIF('Elève (5ème3)'!IM18:IP18,"B"))*3)+((COUNTIF('Elève (5ème3)'!IM18:IP18,"C"))*2)+((COUNTIF('Elève (5ème3)'!IM18:IP18,"D"))*1))/(COUNTA(IM18:IP18)),"")</f>
        <v>3</v>
      </c>
      <c r="IR18" s="183" t="str">
        <f t="shared" si="54"/>
        <v>B</v>
      </c>
      <c r="IS18" s="182">
        <f>IF(COUNT(IF18,IK18,IQ18)=0,"",SUM(IF18,IK18,IQ18)/COUNT(IF18,IK18,IQ18))</f>
        <v>3</v>
      </c>
      <c r="IT18" s="206" t="str">
        <f t="shared" si="55"/>
        <v>B</v>
      </c>
      <c r="IU18" s="122"/>
      <c r="IV18" s="123"/>
      <c r="IW18" s="124"/>
      <c r="IX18" s="182" t="str">
        <f>IFERROR((((COUNTIF('Elève (5ème3)'!IU18:IW18,"A"))*4)+((COUNTIF('Elève (5ème3)'!IU18:IW18,"B"))*3)+((COUNTIF('Elève (5ème3)'!IU18:IW18,"C"))*2)+((COUNTIF('Elève (5ème3)'!IU18:IW18,"D"))*1))/(COUNTA(IU18:IW18)),"")</f>
        <v/>
      </c>
      <c r="IY18" s="183" t="str">
        <f t="shared" si="56"/>
        <v/>
      </c>
      <c r="IZ18" s="122"/>
      <c r="JA18" s="123"/>
      <c r="JB18" s="124"/>
      <c r="JC18" s="182" t="str">
        <f>IFERROR((((COUNTIF('Elève (5ème3)'!IZ18:JB18,"A"))*4)+((COUNTIF('Elève (5ème3)'!IZ18:JB18,"B"))*3)+((COUNTIF('Elève (5ème3)'!IZ18:JB18,"C"))*2)+((COUNTIF('Elève (5ème3)'!IZ18:JB18,"D"))*1))/(COUNTA(IZ18:JB18)),"")</f>
        <v/>
      </c>
      <c r="JD18" s="183" t="str">
        <f t="shared" si="57"/>
        <v/>
      </c>
      <c r="JE18" s="122"/>
      <c r="JF18" s="123"/>
      <c r="JG18" s="124" t="s">
        <v>28</v>
      </c>
      <c r="JH18" s="128"/>
      <c r="JI18" s="182">
        <f>IFERROR((((COUNTIF('Elève (5ème3)'!JE18:JH18,"A"))*4)+((COUNTIF('Elève (5ème3)'!JE18:JH18,"B"))*3)+((COUNTIF('Elève (5ème3)'!JE18:JH18,"C"))*2)+((COUNTIF('Elève (5ème3)'!JE18:JH18,"D"))*1))/(COUNTA(JE18:JH18)),"")</f>
        <v>3</v>
      </c>
      <c r="JJ18" s="183" t="str">
        <f t="shared" si="58"/>
        <v>B</v>
      </c>
      <c r="JK18" s="182">
        <f>IF(COUNT(IX18,JC18,JI18)=0,"",SUM(IX18,JC18,JI18)/COUNT(IX18,JC18,JI18))</f>
        <v>3</v>
      </c>
      <c r="JL18" s="206" t="str">
        <f t="shared" si="59"/>
        <v>B</v>
      </c>
      <c r="JM18" s="122"/>
      <c r="JN18" s="123"/>
      <c r="JO18" s="124"/>
      <c r="JP18" s="182" t="str">
        <f>IFERROR((((COUNTIF('Elève (5ème3)'!JM18:JO18,"A"))*4)+((COUNTIF('Elève (5ème3)'!JM18:JO18,"B"))*3)+((COUNTIF('Elève (5ème3)'!JM18:JO18,"C"))*2)+((COUNTIF('Elève (5ème3)'!JM18:JO18,"D"))*1))/(COUNTA(JM18:JO18)),"")</f>
        <v/>
      </c>
      <c r="JQ18" s="183" t="str">
        <f t="shared" si="60"/>
        <v/>
      </c>
      <c r="JR18" s="122"/>
      <c r="JS18" s="123"/>
      <c r="JT18" s="124"/>
      <c r="JU18" s="182" t="str">
        <f>IFERROR((((COUNTIF('Elève (5ème3)'!JR18:JT18,"A"))*4)+((COUNTIF('Elève (5ème3)'!JR18:JT18,"B"))*3)+((COUNTIF('Elève (5ème3)'!JR18:JT18,"C"))*2)+((COUNTIF('Elève (5ème3)'!JR18:JT18,"D"))*1))/(COUNTA(JR18:JT18)),"")</f>
        <v/>
      </c>
      <c r="JV18" s="183" t="str">
        <f t="shared" si="61"/>
        <v/>
      </c>
      <c r="JW18" s="122"/>
      <c r="JX18" s="123"/>
      <c r="JY18" s="124"/>
      <c r="JZ18" s="128"/>
      <c r="KA18" s="182" t="str">
        <f>IFERROR((((COUNTIF('Elève (5ème3)'!JW18:JZ18,"A"))*4)+((COUNTIF('Elève (5ème3)'!JW18:JZ18,"B"))*3)+((COUNTIF('Elève (5ème3)'!JW18:JZ18,"C"))*2)+((COUNTIF('Elève (5ème3)'!JW18:JZ18,"D"))*1))/(COUNTA(JW18:JZ18)),"")</f>
        <v/>
      </c>
      <c r="KB18" s="183" t="str">
        <f t="shared" si="62"/>
        <v/>
      </c>
      <c r="KC18" s="182" t="str">
        <f>IF(COUNT(JP18,JU18,KA18)=0,"",SUM(JP18,JU18,KA18)/COUNT(JP18,JU18,KA18))</f>
        <v/>
      </c>
      <c r="KD18" s="206" t="str">
        <f t="shared" si="63"/>
        <v/>
      </c>
      <c r="KE18" s="122"/>
      <c r="KF18" s="123"/>
      <c r="KG18" s="124"/>
      <c r="KH18" s="182" t="str">
        <f>IFERROR((((COUNTIF('Elève (5ème3)'!KE18:KG18,"A"))*4)+((COUNTIF('Elève (5ème3)'!KE18:KG18,"B"))*3)+((COUNTIF('Elève (5ème3)'!KE18:KG18,"C"))*2)+((COUNTIF('Elève (5ème3)'!KE18:KG18,"D"))*1))/(COUNTA(KE18:KG18)),"")</f>
        <v/>
      </c>
      <c r="KI18" s="183" t="str">
        <f t="shared" si="64"/>
        <v/>
      </c>
      <c r="KJ18" s="122"/>
      <c r="KK18" s="123"/>
      <c r="KL18" s="124"/>
      <c r="KM18" s="182" t="str">
        <f>IFERROR((((COUNTIF('Elève (5ème3)'!KJ18:KL18,"A"))*4)+((COUNTIF('Elève (5ème3)'!KJ18:KL18,"B"))*3)+((COUNTIF('Elève (5ème3)'!KJ18:KL18,"C"))*2)+((COUNTIF('Elève (5ème3)'!KJ18:KL18,"D"))*1))/(COUNTA(KJ18:KL18)),"")</f>
        <v/>
      </c>
      <c r="KN18" s="183" t="str">
        <f t="shared" si="65"/>
        <v/>
      </c>
      <c r="KO18" s="122"/>
      <c r="KP18" s="123"/>
      <c r="KQ18" s="124" t="s">
        <v>28</v>
      </c>
      <c r="KR18" s="128"/>
      <c r="KS18" s="182">
        <f>IFERROR((((COUNTIF('Elève (5ème3)'!KO18:KR18,"A"))*4)+((COUNTIF('Elève (5ème3)'!KO18:KR18,"B"))*3)+((COUNTIF('Elève (5ème3)'!KO18:KR18,"C"))*2)+((COUNTIF('Elève (5ème3)'!KO18:KR18,"D"))*1))/(COUNTA(KO18:KR18)),"")</f>
        <v>3</v>
      </c>
      <c r="KT18" s="183" t="str">
        <f t="shared" si="66"/>
        <v>B</v>
      </c>
      <c r="KU18" s="182">
        <f>IF(COUNT(KH18,KM18,KS18)=0,"",SUM(KH18,KM18,KS18)/COUNT(KH18,KM18,KS18))</f>
        <v>3</v>
      </c>
      <c r="KV18" s="206" t="str">
        <f t="shared" si="67"/>
        <v>B</v>
      </c>
      <c r="KW18" s="122"/>
      <c r="KX18" s="123"/>
      <c r="KY18" s="124"/>
      <c r="KZ18" s="182" t="str">
        <f>IFERROR((((COUNTIF('Elève (5ème3)'!KW18:KY18,"A"))*4)+((COUNTIF('Elève (5ème3)'!KW18:KY18,"B"))*3)+((COUNTIF('Elève (5ème3)'!KW18:KY18,"C"))*2)+((COUNTIF('Elève (5ème3)'!KW18:KY18,"D"))*1))/(COUNTA(KW18:KY18)),"")</f>
        <v/>
      </c>
      <c r="LA18" s="183" t="str">
        <f t="shared" si="68"/>
        <v/>
      </c>
      <c r="LB18" s="122"/>
      <c r="LC18" s="123"/>
      <c r="LD18" s="124"/>
      <c r="LE18" s="182" t="str">
        <f>IFERROR((((COUNTIF('Elève (5ème3)'!LB18:LD18,"A"))*4)+((COUNTIF('Elève (5ème3)'!LB18:LD18,"B"))*3)+((COUNTIF('Elève (5ème3)'!LB18:LD18,"C"))*2)+((COUNTIF('Elève (5ème3)'!LB18:LD18,"D"))*1))/(COUNTA(LB18:LD18)),"")</f>
        <v/>
      </c>
      <c r="LF18" s="183" t="str">
        <f t="shared" si="69"/>
        <v/>
      </c>
      <c r="LG18" s="122"/>
      <c r="LH18" s="123"/>
      <c r="LI18" s="124" t="s">
        <v>29</v>
      </c>
      <c r="LJ18" s="128"/>
      <c r="LK18" s="182">
        <f>IFERROR((((COUNTIF('Elève (5ème3)'!LG18:LJ18,"A"))*4)+((COUNTIF('Elève (5ème3)'!LG18:LJ18,"B"))*3)+((COUNTIF('Elève (5ème3)'!LG18:LJ18,"C"))*2)+((COUNTIF('Elève (5ème3)'!LG18:LJ18,"D"))*1))/(COUNTA(LG18:LJ18)),"")</f>
        <v>2</v>
      </c>
      <c r="LL18" s="183" t="str">
        <f t="shared" si="70"/>
        <v>C</v>
      </c>
      <c r="LM18" s="182">
        <f>IF(COUNT(KZ18,LE18,LK18)=0,"",SUM(KZ18,LE18,LK18)/COUNT(KZ18,LE18,LK18))</f>
        <v>2</v>
      </c>
      <c r="LN18" s="206" t="str">
        <f t="shared" si="71"/>
        <v>C</v>
      </c>
      <c r="LO18" s="122"/>
      <c r="LP18" s="123"/>
      <c r="LQ18" s="124"/>
      <c r="LR18" s="182" t="str">
        <f>IFERROR((((COUNTIF('Elève (5ème3)'!LO18:LQ18,"A"))*4)+((COUNTIF('Elève (5ème3)'!LO18:LQ18,"B"))*3)+((COUNTIF('Elève (5ème3)'!LO18:LQ18,"C"))*2)+((COUNTIF('Elève (5ème3)'!LO18:LQ18,"D"))*1))/(COUNTA(LO18:LQ18)),"")</f>
        <v/>
      </c>
      <c r="LS18" s="183" t="str">
        <f t="shared" si="72"/>
        <v/>
      </c>
      <c r="LT18" s="122"/>
      <c r="LU18" s="123"/>
      <c r="LV18" s="124"/>
      <c r="LW18" s="182" t="str">
        <f>IFERROR((((COUNTIF('Elève (5ème3)'!LT18:LV18,"A"))*4)+((COUNTIF('Elève (5ème3)'!LT18:LV18,"B"))*3)+((COUNTIF('Elève (5ème3)'!LT18:LV18,"C"))*2)+((COUNTIF('Elève (5ème3)'!LT18:LV18,"D"))*1))/(COUNTA(LT18:LV18)),"")</f>
        <v/>
      </c>
      <c r="LX18" s="183" t="str">
        <f t="shared" si="73"/>
        <v/>
      </c>
      <c r="LY18" s="122"/>
      <c r="LZ18" s="123"/>
      <c r="MA18" s="124" t="s">
        <v>28</v>
      </c>
      <c r="MB18" s="128"/>
      <c r="MC18" s="182">
        <f>IFERROR((((COUNTIF('Elève (5ème3)'!LY18:MB18,"A"))*4)+((COUNTIF('Elève (5ème3)'!LY18:MB18,"B"))*3)+((COUNTIF('Elève (5ème3)'!LY18:MB18,"C"))*2)+((COUNTIF('Elève (5ème3)'!LY18:MB18,"D"))*1))/(COUNTA(LY18:MB18)),"")</f>
        <v>3</v>
      </c>
      <c r="MD18" s="183" t="str">
        <f t="shared" si="74"/>
        <v>B</v>
      </c>
      <c r="ME18" s="182">
        <f>IF(COUNT(LR18,LW18,MC18)=0,"",SUM(LR18,LW18,MC18)/COUNT(LR18,LW18,MC18))</f>
        <v>3</v>
      </c>
      <c r="MF18" s="206" t="str">
        <f t="shared" si="75"/>
        <v>B</v>
      </c>
      <c r="MG18" s="122"/>
      <c r="MH18" s="123"/>
      <c r="MI18" s="124"/>
      <c r="MJ18" s="182" t="str">
        <f>IFERROR((((COUNTIF('Elève (5ème3)'!MG18:MI18,"A"))*4)+((COUNTIF('Elève (5ème3)'!MG18:MI18,"B"))*3)+((COUNTIF('Elève (5ème3)'!MG18:MI18,"C"))*2)+((COUNTIF('Elève (5ème3)'!MG18:MI18,"D"))*1))/(COUNTA(MG18:MI18)),"")</f>
        <v/>
      </c>
      <c r="MK18" s="183" t="str">
        <f t="shared" si="76"/>
        <v/>
      </c>
      <c r="ML18" s="122"/>
      <c r="MM18" s="123"/>
      <c r="MN18" s="124"/>
      <c r="MO18" s="182" t="str">
        <f>IFERROR((((COUNTIF('Elève (5ème3)'!ML18:MN18,"A"))*4)+((COUNTIF('Elève (5ème3)'!ML18:MN18,"B"))*3)+((COUNTIF('Elève (5ème3)'!ML18:MN18,"C"))*2)+((COUNTIF('Elève (5ème3)'!ML18:MN18,"D"))*1))/(COUNTA(ML18:MN18)),"")</f>
        <v/>
      </c>
      <c r="MP18" s="183" t="str">
        <f t="shared" si="77"/>
        <v/>
      </c>
      <c r="MQ18" s="122"/>
      <c r="MR18" s="123"/>
      <c r="MS18" s="124" t="s">
        <v>28</v>
      </c>
      <c r="MT18" s="128"/>
      <c r="MU18" s="182">
        <f>IFERROR((((COUNTIF('Elève (5ème3)'!MQ18:MT18,"A"))*4)+((COUNTIF('Elève (5ème3)'!MQ18:MT18,"B"))*3)+((COUNTIF('Elève (5ème3)'!MQ18:MT18,"C"))*2)+((COUNTIF('Elève (5ème3)'!MQ18:MT18,"D"))*1))/(COUNTA(MQ18:MT18)),"")</f>
        <v>3</v>
      </c>
      <c r="MV18" s="183" t="str">
        <f t="shared" si="78"/>
        <v>B</v>
      </c>
      <c r="MW18" s="182">
        <f>IF(COUNT(MJ18,MO18,MU18)=0,"",SUM(MJ18,MO18,MU18)/COUNT(MJ18,MO18,MU18))</f>
        <v>3</v>
      </c>
      <c r="MX18" s="206" t="str">
        <f t="shared" si="79"/>
        <v>B</v>
      </c>
      <c r="MY18" s="122"/>
      <c r="MZ18" s="123"/>
      <c r="NA18" s="124"/>
      <c r="NB18" s="182" t="str">
        <f>IFERROR((((COUNTIF('Elève (5ème3)'!MY18:NA18,"A"))*4)+((COUNTIF('Elève (5ème3)'!MY18:NA18,"B"))*3)+((COUNTIF('Elève (5ème3)'!MY18:NA18,"C"))*2)+((COUNTIF('Elève (5ème3)'!MY18:NA18,"D"))*1))/(COUNTA(MY18:NA18)),"")</f>
        <v/>
      </c>
      <c r="NC18" s="183" t="str">
        <f t="shared" si="80"/>
        <v/>
      </c>
      <c r="ND18" s="122"/>
      <c r="NE18" s="123"/>
      <c r="NF18" s="124"/>
      <c r="NG18" s="182" t="str">
        <f>IFERROR((((COUNTIF('Elève (5ème3)'!ND18:NF18,"A"))*4)+((COUNTIF('Elève (5ème3)'!ND18:NF18,"B"))*3)+((COUNTIF('Elève (5ème3)'!ND18:NF18,"C"))*2)+((COUNTIF('Elève (5ème3)'!ND18:NF18,"D"))*1))/(COUNTA(ND18:NF18)),"")</f>
        <v/>
      </c>
      <c r="NH18" s="183" t="str">
        <f t="shared" si="81"/>
        <v/>
      </c>
      <c r="NI18" s="122"/>
      <c r="NJ18" s="123"/>
      <c r="NK18" s="124" t="s">
        <v>29</v>
      </c>
      <c r="NL18" s="128"/>
      <c r="NM18" s="182">
        <f>IFERROR((((COUNTIF('Elève (5ème3)'!NI18:NL18,"A"))*4)+((COUNTIF('Elève (5ème3)'!NI18:NL18,"B"))*3)+((COUNTIF('Elève (5ème3)'!NI18:NL18,"C"))*2)+((COUNTIF('Elève (5ème3)'!NI18:NL18,"D"))*1))/(COUNTA(NI18:NL18)),"")</f>
        <v>2</v>
      </c>
      <c r="NN18" s="183" t="str">
        <f t="shared" si="82"/>
        <v>C</v>
      </c>
      <c r="NO18" s="182">
        <f>IF(COUNT(NB18,NG18,NM18)=0,"",SUM(NB18,NG18,NM18)/COUNT(NB18,NG18,NM18))</f>
        <v>2</v>
      </c>
      <c r="NP18" s="206" t="str">
        <f t="shared" si="83"/>
        <v>C</v>
      </c>
      <c r="NQ18" s="122"/>
      <c r="NR18" s="123"/>
      <c r="NS18" s="124"/>
      <c r="NT18" s="182" t="str">
        <f>IFERROR((((COUNTIF('Elève (5ème3)'!NQ18:NS18,"A"))*4)+((COUNTIF('Elève (5ème3)'!NQ18:NS18,"B"))*3)+((COUNTIF('Elève (5ème3)'!NQ18:NS18,"C"))*2)+((COUNTIF('Elève (5ème3)'!NQ18:NS18,"D"))*1))/(COUNTA(NQ18:NS18)),"")</f>
        <v/>
      </c>
      <c r="NU18" s="183" t="str">
        <f t="shared" si="84"/>
        <v/>
      </c>
      <c r="NV18" s="122"/>
      <c r="NW18" s="123"/>
      <c r="NX18" s="124"/>
      <c r="NY18" s="182" t="str">
        <f>IFERROR((((COUNTIF('Elève (5ème3)'!NV18:NX18,"A"))*4)+((COUNTIF('Elève (5ème3)'!NV18:NX18,"B"))*3)+((COUNTIF('Elève (5ème3)'!NV18:NX18,"C"))*2)+((COUNTIF('Elève (5ème3)'!NV18:NX18,"D"))*1))/(COUNTA(NV18:NX18)),"")</f>
        <v/>
      </c>
      <c r="NZ18" s="183" t="str">
        <f t="shared" si="85"/>
        <v/>
      </c>
      <c r="OA18" s="122"/>
      <c r="OB18" s="123"/>
      <c r="OC18" s="124"/>
      <c r="OD18" s="128"/>
      <c r="OE18" s="182" t="str">
        <f>IFERROR((((COUNTIF('Elève (5ème3)'!OA18:OD18,"A"))*4)+((COUNTIF('Elève (5ème3)'!OA18:OD18,"B"))*3)+((COUNTIF('Elève (5ème3)'!OA18:OD18,"C"))*2)+((COUNTIF('Elève (5ème3)'!OA18:OD18,"D"))*1))/(COUNTA(OA18:OD18)),"")</f>
        <v/>
      </c>
      <c r="OF18" s="183" t="str">
        <f t="shared" si="86"/>
        <v/>
      </c>
      <c r="OG18" s="182" t="str">
        <f>IF(COUNT(NT18,NY18,OE18)=0,"",SUM(NT18,NY18,OE18)/COUNT(NT18,NY18,OE18))</f>
        <v/>
      </c>
      <c r="OH18" s="206" t="str">
        <f t="shared" si="87"/>
        <v/>
      </c>
      <c r="OI18" s="122"/>
      <c r="OJ18" s="123"/>
      <c r="OK18" s="124"/>
      <c r="OL18" s="182" t="str">
        <f>IFERROR((((COUNTIF('Elève (5ème3)'!OI18:OK18,"A"))*4)+((COUNTIF('Elève (5ème3)'!OI18:OK18,"B"))*3)+((COUNTIF('Elève (5ème3)'!OI18:OK18,"C"))*2)+((COUNTIF('Elève (5ème3)'!OI18:OK18,"D"))*1))/(COUNTA(OI18:OK18)),"")</f>
        <v/>
      </c>
      <c r="OM18" s="183" t="str">
        <f t="shared" si="88"/>
        <v/>
      </c>
      <c r="ON18" s="122"/>
      <c r="OO18" s="123"/>
      <c r="OP18" s="124"/>
      <c r="OQ18" s="182" t="str">
        <f>IFERROR((((COUNTIF('Elève (5ème3)'!ON18:OP18,"A"))*4)+((COUNTIF('Elève (5ème3)'!ON18:OP18,"B"))*3)+((COUNTIF('Elève (5ème3)'!ON18:OP18,"C"))*2)+((COUNTIF('Elève (5ème3)'!ON18:OP18,"D"))*1))/(COUNTA(ON18:OP18)),"")</f>
        <v/>
      </c>
      <c r="OR18" s="183" t="str">
        <f t="shared" si="89"/>
        <v/>
      </c>
      <c r="OS18" s="122"/>
      <c r="OT18" s="123"/>
      <c r="OU18" s="124" t="s">
        <v>28</v>
      </c>
      <c r="OV18" s="128"/>
      <c r="OW18" s="182">
        <f>IFERROR((((COUNTIF('Elève (5ème3)'!OS18:OV18,"A"))*4)+((COUNTIF('Elève (5ème3)'!OS18:OV18,"B"))*3)+((COUNTIF('Elève (5ème3)'!OS18:OV18,"C"))*2)+((COUNTIF('Elève (5ème3)'!OS18:OV18,"D"))*1))/(COUNTA(OS18:OV18)),"")</f>
        <v>3</v>
      </c>
      <c r="OX18" s="183" t="str">
        <f t="shared" si="90"/>
        <v>B</v>
      </c>
      <c r="OY18" s="182">
        <f>IF(COUNT(OL18,OQ18,OW18)=0,"",SUM(OL18,OQ18,OW18)/COUNT(OL18,OQ18,OW18))</f>
        <v>3</v>
      </c>
      <c r="OZ18" s="206" t="str">
        <f t="shared" si="91"/>
        <v>B</v>
      </c>
      <c r="PA18" s="122"/>
      <c r="PB18" s="123"/>
      <c r="PC18" s="124"/>
      <c r="PD18" s="182" t="str">
        <f>IFERROR((((COUNTIF('Elève (5ème3)'!PA18:PC18,"A"))*4)+((COUNTIF('Elève (5ème3)'!PA18:PC18,"B"))*3)+((COUNTIF('Elève (5ème3)'!PA18:PC18,"C"))*2)+((COUNTIF('Elève (5ème3)'!PA18:PC18,"D"))*1))/(COUNTA(PA18:PC18)),"")</f>
        <v/>
      </c>
      <c r="PE18" s="183" t="str">
        <f t="shared" si="92"/>
        <v/>
      </c>
      <c r="PF18" s="122"/>
      <c r="PG18" s="123"/>
      <c r="PH18" s="124"/>
      <c r="PI18" s="182" t="str">
        <f>IFERROR((((COUNTIF('Elève (5ème3)'!PF18:PH18,"A"))*4)+((COUNTIF('Elève (5ème3)'!PF18:PH18,"B"))*3)+((COUNTIF('Elève (5ème3)'!PF18:PH18,"C"))*2)+((COUNTIF('Elève (5ème3)'!PF18:PH18,"D"))*1))/(COUNTA(PF18:PH18)),"")</f>
        <v/>
      </c>
      <c r="PJ18" s="183" t="str">
        <f t="shared" si="93"/>
        <v/>
      </c>
      <c r="PK18" s="122"/>
      <c r="PL18" s="123"/>
      <c r="PM18" s="124" t="s">
        <v>28</v>
      </c>
      <c r="PN18" s="128"/>
      <c r="PO18" s="182">
        <f>IFERROR((((COUNTIF('Elève (5ème3)'!PK18:PN18,"A"))*4)+((COUNTIF('Elève (5ème3)'!PK18:PN18,"B"))*3)+((COUNTIF('Elève (5ème3)'!PK18:PN18,"C"))*2)+((COUNTIF('Elève (5ème3)'!PK18:PN18,"D"))*1))/(COUNTA(PK18:PN18)),"")</f>
        <v>3</v>
      </c>
      <c r="PP18" s="183" t="str">
        <f t="shared" si="94"/>
        <v>B</v>
      </c>
      <c r="PQ18" s="182">
        <f>IF(COUNT(PD18,PI18,PO18)=0,"",SUM(PD18,PI18,PO18)/COUNT(PD18,PI18,PO18))</f>
        <v>3</v>
      </c>
      <c r="PR18" s="206" t="str">
        <f t="shared" si="95"/>
        <v>B</v>
      </c>
      <c r="PS18" s="122"/>
      <c r="PT18" s="123"/>
      <c r="PU18" s="124"/>
      <c r="PV18" s="182" t="str">
        <f>IFERROR((((COUNTIF('Elève (5ème3)'!PS18:PU18,"A"))*4)+((COUNTIF('Elève (5ème3)'!PS18:PU18,"B"))*3)+((COUNTIF('Elève (5ème3)'!PS18:PU18,"C"))*2)+((COUNTIF('Elève (5ème3)'!PS18:PU18,"D"))*1))/(COUNTA(PS18:PU18)),"")</f>
        <v/>
      </c>
      <c r="PW18" s="183" t="str">
        <f t="shared" si="96"/>
        <v/>
      </c>
      <c r="PX18" s="122"/>
      <c r="PY18" s="123"/>
      <c r="PZ18" s="124"/>
      <c r="QA18" s="182" t="str">
        <f>IFERROR((((COUNTIF('Elève (5ème3)'!PX18:PZ18,"A"))*4)+((COUNTIF('Elève (5ème3)'!PX18:PZ18,"B"))*3)+((COUNTIF('Elève (5ème3)'!PX18:PZ18,"C"))*2)+((COUNTIF('Elève (5ème3)'!PX18:PZ18,"D"))*1))/(COUNTA(PX18:PZ18)),"")</f>
        <v/>
      </c>
      <c r="QB18" s="183" t="str">
        <f t="shared" si="97"/>
        <v/>
      </c>
      <c r="QC18" s="122"/>
      <c r="QD18" s="123"/>
      <c r="QE18" s="124" t="s">
        <v>29</v>
      </c>
      <c r="QF18" s="128"/>
      <c r="QG18" s="182">
        <f>IFERROR((((COUNTIF('Elève (5ème3)'!QC18:QF18,"A"))*4)+((COUNTIF('Elève (5ème3)'!QC18:QF18,"B"))*3)+((COUNTIF('Elève (5ème3)'!QC18:QF18,"C"))*2)+((COUNTIF('Elève (5ème3)'!QC18:QF18,"D"))*1))/(COUNTA(QC18:QF18)),"")</f>
        <v>2</v>
      </c>
      <c r="QH18" s="183" t="str">
        <f t="shared" si="98"/>
        <v>C</v>
      </c>
      <c r="QI18" s="182">
        <f>IF(COUNT(PV18,QA18,QG18)=0,"",SUM(PV18,QA18,QG18)/COUNT(PV18,QA18,QG18))</f>
        <v>2</v>
      </c>
      <c r="QJ18" s="206" t="str">
        <f t="shared" si="99"/>
        <v>C</v>
      </c>
      <c r="QK18" s="122"/>
      <c r="QL18" s="123"/>
      <c r="QM18" s="124"/>
      <c r="QN18" s="182" t="str">
        <f>IFERROR((((COUNTIF('Elève (5ème3)'!QK18:QM18,"A"))*4)+((COUNTIF('Elève (5ème3)'!QK18:QM18,"B"))*3)+((COUNTIF('Elève (5ème3)'!QK18:QM18,"C"))*2)+((COUNTIF('Elève (5ème3)'!QK18:QM18,"D"))*1))/(COUNTA(QK18:QM18)),"")</f>
        <v/>
      </c>
      <c r="QO18" s="183" t="str">
        <f t="shared" si="100"/>
        <v/>
      </c>
      <c r="QP18" s="122"/>
      <c r="QQ18" s="123"/>
      <c r="QR18" s="124"/>
      <c r="QS18" s="182" t="str">
        <f>IFERROR((((COUNTIF('Elève (5ème3)'!QP18:QR18,"A"))*4)+((COUNTIF('Elève (5ème3)'!QP18:QR18,"B"))*3)+((COUNTIF('Elève (5ème3)'!QP18:QR18,"C"))*2)+((COUNTIF('Elève (5ème3)'!QP18:QR18,"D"))*1))/(COUNTA(QP18:QR18)),"")</f>
        <v/>
      </c>
      <c r="QT18" s="183" t="str">
        <f t="shared" si="101"/>
        <v/>
      </c>
      <c r="QU18" s="122"/>
      <c r="QV18" s="123"/>
      <c r="QW18" s="124" t="s">
        <v>28</v>
      </c>
      <c r="QX18" s="128"/>
      <c r="QY18" s="182">
        <f>IFERROR((((COUNTIF('Elève (5ème3)'!QU18:QX18,"A"))*4)+((COUNTIF('Elève (5ème3)'!QU18:QX18,"B"))*3)+((COUNTIF('Elève (5ème3)'!QU18:QX18,"C"))*2)+((COUNTIF('Elève (5ème3)'!QU18:QX18,"D"))*1))/(COUNTA(QU18:QX18)),"")</f>
        <v>3</v>
      </c>
      <c r="QZ18" s="183" t="str">
        <f t="shared" si="102"/>
        <v>B</v>
      </c>
      <c r="RA18" s="182">
        <f>IF(COUNT(QN18,QS18,QY18)=0,"",SUM(QN18,QS18,QY18)/COUNT(QN18,QS18,QY18))</f>
        <v>3</v>
      </c>
      <c r="RB18" s="206" t="str">
        <f t="shared" si="103"/>
        <v>B</v>
      </c>
      <c r="RC18" s="122"/>
      <c r="RD18" s="123"/>
      <c r="RE18" s="124"/>
      <c r="RF18" s="182" t="str">
        <f>IFERROR((((COUNTIF('Elève (5ème3)'!RC18:RE18,"A"))*4)+((COUNTIF('Elève (5ème3)'!RC18:RE18,"B"))*3)+((COUNTIF('Elève (5ème3)'!RC18:RE18,"C"))*2)+((COUNTIF('Elève (5ème3)'!RC18:RE18,"D"))*1))/(COUNTA(RC18:RE18)),"")</f>
        <v/>
      </c>
      <c r="RG18" s="183" t="str">
        <f t="shared" si="104"/>
        <v/>
      </c>
      <c r="RH18" s="122"/>
      <c r="RI18" s="123"/>
      <c r="RJ18" s="124"/>
      <c r="RK18" s="182" t="str">
        <f>IFERROR((((COUNTIF('Elève (5ème3)'!RH18:RJ18,"A"))*4)+((COUNTIF('Elève (5ème3)'!RH18:RJ18,"B"))*3)+((COUNTIF('Elève (5ème3)'!RH18:RJ18,"C"))*2)+((COUNTIF('Elève (5ème3)'!RH18:RJ18,"D"))*1))/(COUNTA(RH18:RJ18)),"")</f>
        <v/>
      </c>
      <c r="RL18" s="183" t="str">
        <f t="shared" si="105"/>
        <v/>
      </c>
      <c r="RM18" s="122"/>
      <c r="RN18" s="123"/>
      <c r="RO18" s="124" t="s">
        <v>28</v>
      </c>
      <c r="RP18" s="128"/>
      <c r="RQ18" s="182">
        <f>IFERROR((((COUNTIF('Elève (5ème3)'!RM18:RP18,"A"))*4)+((COUNTIF('Elève (5ème3)'!RM18:RP18,"B"))*3)+((COUNTIF('Elève (5ème3)'!RM18:RP18,"C"))*2)+((COUNTIF('Elève (5ème3)'!RM18:RP18,"D"))*1))/(COUNTA(RM18:RP18)),"")</f>
        <v>3</v>
      </c>
      <c r="RR18" s="183" t="str">
        <f t="shared" si="106"/>
        <v>B</v>
      </c>
      <c r="RS18" s="182">
        <f>IF(COUNT(RF18,RK18,RQ18)=0,"",SUM(RF18,RK18,RQ18)/COUNT(RF18,RK18,RQ18))</f>
        <v>3</v>
      </c>
      <c r="RT18" s="206" t="str">
        <f t="shared" si="107"/>
        <v>B</v>
      </c>
      <c r="RU18" s="122"/>
      <c r="RV18" s="123"/>
      <c r="RW18" s="124"/>
      <c r="RX18" s="125" t="str">
        <f>IFERROR((((COUNTIF('Elève (5ème3)'!RU18:RW18,"A"))*4)+((COUNTIF('Elève (5ème3)'!RU18:RW18,"B"))*3)+((COUNTIF('Elève (5ème3)'!RU18:RW18,"C"))*2)+((COUNTIF('Elève (5ème3)'!RU18:RW18,"D"))*1))/(COUNTA(RU18:RW18)),"")</f>
        <v/>
      </c>
      <c r="RY18" s="126" t="str">
        <f t="shared" si="108"/>
        <v/>
      </c>
      <c r="RZ18" s="122"/>
      <c r="SA18" s="123"/>
      <c r="SB18" s="124"/>
      <c r="SC18" s="125" t="str">
        <f>IFERROR((((COUNTIF('Elève (5ème3)'!RZ18:SB18,"A"))*4)+((COUNTIF('Elève (5ème3)'!RZ18:SB18,"B"))*3)+((COUNTIF('Elève (5ème3)'!RZ18:SB18,"C"))*2)+((COUNTIF('Elève (5ème3)'!RZ18:SB18,"D"))*1))/(COUNTA(RZ18:SB18)),"")</f>
        <v/>
      </c>
      <c r="SD18" s="126" t="str">
        <f t="shared" si="109"/>
        <v/>
      </c>
      <c r="SE18" s="122"/>
      <c r="SF18" s="123"/>
      <c r="SG18" s="128"/>
      <c r="SH18" s="125" t="str">
        <f>IFERROR((((COUNTIF('Elève (5ème3)'!SE18:SG18,"A"))*4)+((COUNTIF('Elève (5ème3)'!SE18:SG18,"B"))*3)+((COUNTIF('Elève (5ème3)'!SE18:SG18,"C"))*2)+((COUNTIF('Elève (5ème3)'!SE18:SG18,"D"))*1))/(COUNTA(SE18:SG18)),"")</f>
        <v/>
      </c>
      <c r="SI18" s="126" t="str">
        <f t="shared" si="110"/>
        <v/>
      </c>
      <c r="SJ18" s="125" t="str">
        <f>IF(COUNT(RX18,SC18,SH18)=0,"",SUM(RX18,SC18,SH18)/COUNT(RX18,SC18,SH18))</f>
        <v/>
      </c>
      <c r="SK18" s="127" t="str">
        <f t="shared" si="111"/>
        <v/>
      </c>
      <c r="SL18" s="122"/>
      <c r="SM18" s="123"/>
      <c r="SN18" s="124"/>
      <c r="SO18" s="125" t="str">
        <f>IFERROR((((COUNTIF('Elève (5ème3)'!SL18:SN18,"A"))*4)+((COUNTIF('Elève (5ème3)'!SL18:SN18,"B"))*3)+((COUNTIF('Elève (5ème3)'!SL18:SN18,"C"))*2)+((COUNTIF('Elève (5ème3)'!SL18:SN18,"D"))*1))/(COUNTA(SL18:SN18)),"")</f>
        <v/>
      </c>
      <c r="SP18" s="126" t="str">
        <f t="shared" si="112"/>
        <v/>
      </c>
      <c r="SQ18" s="122"/>
      <c r="SR18" s="123"/>
      <c r="SS18" s="124"/>
      <c r="ST18" s="125" t="str">
        <f>IFERROR((((COUNTIF('Elève (5ème3)'!SQ18:SS18,"A"))*4)+((COUNTIF('Elève (5ème3)'!SQ18:SS18,"B"))*3)+((COUNTIF('Elève (5ème3)'!SQ18:SS18,"C"))*2)+((COUNTIF('Elève (5ème3)'!SQ18:SS18,"D"))*1))/(COUNTA(SQ18:SS18)),"")</f>
        <v/>
      </c>
      <c r="SU18" s="126" t="str">
        <f t="shared" si="113"/>
        <v/>
      </c>
      <c r="SV18" s="122"/>
      <c r="SW18" s="123"/>
      <c r="SX18" s="128"/>
      <c r="SY18" s="125" t="str">
        <f>IFERROR((((COUNTIF('Elève (5ème3)'!SV18:SX18,"A"))*4)+((COUNTIF('Elève (5ème3)'!SV18:SX18,"B"))*3)+((COUNTIF('Elève (5ème3)'!SV18:SX18,"C"))*2)+((COUNTIF('Elève (5ème3)'!SV18:SX18,"D"))*1))/(COUNTA(SV18:SX18)),"")</f>
        <v/>
      </c>
      <c r="SZ18" s="126" t="str">
        <f t="shared" si="114"/>
        <v/>
      </c>
      <c r="TA18" s="125" t="str">
        <f>IF(COUNT(SO18,ST18,SY18)=0,"",SUM(SO18,ST18,SY18)/COUNT(SO18,ST18,SY18))</f>
        <v/>
      </c>
      <c r="TB18" s="127" t="str">
        <f t="shared" si="115"/>
        <v/>
      </c>
      <c r="TC18" s="122"/>
      <c r="TD18" s="123"/>
      <c r="TE18" s="124"/>
      <c r="TF18" s="125" t="str">
        <f>IFERROR((((COUNTIF('Elève (5ème3)'!TC18:TE18,"A"))*4)+((COUNTIF('Elève (5ème3)'!TC18:TE18,"B"))*3)+((COUNTIF('Elève (5ème3)'!TC18:TE18,"C"))*2)+((COUNTIF('Elève (5ème3)'!TC18:TE18,"D"))*1))/(COUNTA(TC18:TE18)),"")</f>
        <v/>
      </c>
      <c r="TG18" s="126" t="str">
        <f t="shared" si="116"/>
        <v/>
      </c>
      <c r="TH18" s="122"/>
      <c r="TI18" s="123"/>
      <c r="TJ18" s="124"/>
      <c r="TK18" s="125" t="str">
        <f>IFERROR((((COUNTIF('Elève (5ème3)'!TH18:TJ18,"A"))*4)+((COUNTIF('Elève (5ème3)'!TH18:TJ18,"B"))*3)+((COUNTIF('Elève (5ème3)'!TH18:TJ18,"C"))*2)+((COUNTIF('Elève (5ème3)'!TH18:TJ18,"D"))*1))/(COUNTA(TH18:TJ18)),"")</f>
        <v/>
      </c>
      <c r="TL18" s="126" t="str">
        <f t="shared" si="117"/>
        <v/>
      </c>
      <c r="TM18" s="122"/>
      <c r="TN18" s="123"/>
      <c r="TO18" s="128"/>
      <c r="TP18" s="125" t="str">
        <f>IFERROR((((COUNTIF('Elève (5ème3)'!TM18:TO18,"A"))*4)+((COUNTIF('Elève (5ème3)'!TM18:TO18,"B"))*3)+((COUNTIF('Elève (5ème3)'!TM18:TO18,"C"))*2)+((COUNTIF('Elève (5ème3)'!TM18:TO18,"D"))*1))/(COUNTA(TM18:TO18)),"")</f>
        <v/>
      </c>
      <c r="TQ18" s="126" t="str">
        <f t="shared" si="118"/>
        <v/>
      </c>
      <c r="TR18" s="125" t="str">
        <f>IF(COUNT(TF18,TK18,TP18)=0,"",SUM(TF18,TK18,TP18)/COUNT(TF18,TK18,TP18))</f>
        <v/>
      </c>
      <c r="TS18" s="127" t="str">
        <f t="shared" si="119"/>
        <v/>
      </c>
    </row>
    <row r="19" spans="1:539" ht="18" customHeight="1" thickBot="1" x14ac:dyDescent="0.3">
      <c r="A19" s="238" t="s">
        <v>23</v>
      </c>
      <c r="B19" s="239"/>
      <c r="C19" s="129" t="s">
        <v>30</v>
      </c>
      <c r="D19" s="130" t="s">
        <v>30</v>
      </c>
      <c r="E19" s="131"/>
      <c r="F19" s="184">
        <f>IFERROR((((COUNTIF('Elève (5ème3)'!C19:E19,"A"))*4)+((COUNTIF('Elève (5ème3)'!C19:E19,"B"))*3)+((COUNTIF('Elève (5ème3)'!C19:E19,"C"))*2)+((COUNTIF('Elève (5ème3)'!C19:E19,"D"))*1))/(COUNTA(C19:E19)),"")</f>
        <v>1</v>
      </c>
      <c r="G19" s="185" t="str">
        <f t="shared" si="0"/>
        <v>D</v>
      </c>
      <c r="H19" s="129" t="s">
        <v>29</v>
      </c>
      <c r="I19" s="130" t="s">
        <v>28</v>
      </c>
      <c r="J19" s="131" t="s">
        <v>29</v>
      </c>
      <c r="K19" s="184">
        <f>IFERROR((((COUNTIF('Elève (5ème3)'!H19:J19,"A"))*4)+((COUNTIF('Elève (5ème3)'!H19:J19,"B"))*3)+((COUNTIF('Elève (5ème3)'!H19:J19,"C"))*2)+((COUNTIF('Elève (5ème3)'!H19:J19,"D"))*1))/(COUNTA(H19:J19)),"")</f>
        <v>2.3333333333333335</v>
      </c>
      <c r="L19" s="185" t="str">
        <f t="shared" si="1"/>
        <v>C</v>
      </c>
      <c r="M19" s="129" t="s">
        <v>27</v>
      </c>
      <c r="N19" s="130" t="s">
        <v>28</v>
      </c>
      <c r="O19" s="131" t="s">
        <v>30</v>
      </c>
      <c r="P19" s="131" t="s">
        <v>30</v>
      </c>
      <c r="Q19" s="184">
        <f>IFERROR((((COUNTIF('Elève (5ème3)'!M19:P19,"A"))*4)+((COUNTIF('Elève (5ème3)'!M19:P19,"B"))*3)+((COUNTIF('Elève (5ème3)'!M19:P19,"C"))*2)+((COUNTIF('Elève (5ème3)'!M19:P19,"D"))*1))/(COUNTA(M19:P19)),"")</f>
        <v>2.25</v>
      </c>
      <c r="R19" s="185" t="str">
        <f t="shared" si="2"/>
        <v>C</v>
      </c>
      <c r="S19" s="184">
        <f>IF(COUNT(F19,K19,Q19)=0,"",SUM(F19,K19,Q19)/COUNT(F19,K19,Q19))</f>
        <v>1.8611111111111114</v>
      </c>
      <c r="T19" s="207" t="str">
        <f t="shared" si="3"/>
        <v>C</v>
      </c>
      <c r="U19" s="129" t="s">
        <v>29</v>
      </c>
      <c r="V19" s="130" t="s">
        <v>29</v>
      </c>
      <c r="W19" s="131"/>
      <c r="X19" s="184">
        <f>IFERROR((((COUNTIF('Elève (5ème3)'!U19:W19,"A"))*4)+((COUNTIF('Elève (5ème3)'!U19:W19,"B"))*3)+((COUNTIF('Elève (5ème3)'!U19:W19,"C"))*2)+((COUNTIF('Elève (5ème3)'!U19:W19,"D"))*1))/(COUNTA(U19:W19)),"")</f>
        <v>2</v>
      </c>
      <c r="Y19" s="185" t="str">
        <f t="shared" si="4"/>
        <v>C</v>
      </c>
      <c r="Z19" s="129" t="s">
        <v>29</v>
      </c>
      <c r="AA19" s="130" t="s">
        <v>29</v>
      </c>
      <c r="AB19" s="131" t="s">
        <v>28</v>
      </c>
      <c r="AC19" s="184">
        <f>IFERROR((((COUNTIF('Elève (5ème3)'!Z19:AB19,"A"))*4)+((COUNTIF('Elève (5ème3)'!Z19:AB19,"B"))*3)+((COUNTIF('Elève (5ème3)'!Z19:AB19,"C"))*2)+((COUNTIF('Elève (5ème3)'!Z19:AB19,"D"))*1))/(COUNTA(Z19:AB19)),"")</f>
        <v>2.3333333333333335</v>
      </c>
      <c r="AD19" s="185" t="str">
        <f t="shared" si="5"/>
        <v>C</v>
      </c>
      <c r="AE19" s="129" t="s">
        <v>27</v>
      </c>
      <c r="AF19" s="130" t="s">
        <v>28</v>
      </c>
      <c r="AG19" s="131" t="s">
        <v>28</v>
      </c>
      <c r="AH19" s="135" t="s">
        <v>27</v>
      </c>
      <c r="AI19" s="184">
        <f>IFERROR((((COUNTIF('Elève (5ème3)'!AE19:AH19,"A"))*4)+((COUNTIF('Elève (5ème3)'!AE19:AH19,"B"))*3)+((COUNTIF('Elève (5ème3)'!AE19:AH19,"C"))*2)+((COUNTIF('Elève (5ème3)'!AE19:AH19,"D"))*1))/(COUNTA(AE19:AH19)),"")</f>
        <v>3.5</v>
      </c>
      <c r="AJ19" s="185" t="str">
        <f t="shared" si="6"/>
        <v>B</v>
      </c>
      <c r="AK19" s="184">
        <f>IF(COUNT(X19,AC19,AI19)=0,"",SUM(X19,AC19,AI19)/COUNT(X19,AC19,AI19))</f>
        <v>2.6111111111111112</v>
      </c>
      <c r="AL19" s="207" t="str">
        <f t="shared" si="7"/>
        <v>C</v>
      </c>
      <c r="AM19" s="129" t="s">
        <v>28</v>
      </c>
      <c r="AN19" s="130" t="s">
        <v>28</v>
      </c>
      <c r="AO19" s="131"/>
      <c r="AP19" s="184">
        <f>IFERROR((((COUNTIF('Elève (5ème3)'!AM19:AO19,"A"))*4)+((COUNTIF('Elève (5ème3)'!AM19:AO19,"B"))*3)+((COUNTIF('Elève (5ème3)'!AM19:AO19,"C"))*2)+((COUNTIF('Elève (5ème3)'!AM19:AO19,"D"))*1))/(COUNTA(AM19:AO19)),"")</f>
        <v>3</v>
      </c>
      <c r="AQ19" s="185" t="str">
        <f t="shared" si="8"/>
        <v>B</v>
      </c>
      <c r="AR19" s="129" t="s">
        <v>29</v>
      </c>
      <c r="AS19" s="130" t="s">
        <v>28</v>
      </c>
      <c r="AT19" s="131" t="s">
        <v>28</v>
      </c>
      <c r="AU19" s="184">
        <f>IFERROR((((COUNTIF('Elève (5ème3)'!AR19:AT19,"A"))*4)+((COUNTIF('Elève (5ème3)'!AR19:AT19,"B"))*3)+((COUNTIF('Elève (5ème3)'!AR19:AT19,"C"))*2)+((COUNTIF('Elève (5ème3)'!AR19:AT19,"D"))*1))/(COUNTA(AR19:AT19)),"")</f>
        <v>2.6666666666666665</v>
      </c>
      <c r="AV19" s="185" t="str">
        <f t="shared" si="9"/>
        <v>C</v>
      </c>
      <c r="AW19" s="129" t="s">
        <v>27</v>
      </c>
      <c r="AX19" s="130" t="s">
        <v>30</v>
      </c>
      <c r="AY19" s="131" t="s">
        <v>29</v>
      </c>
      <c r="AZ19" s="135" t="s">
        <v>29</v>
      </c>
      <c r="BA19" s="184">
        <f>IFERROR((((COUNTIF('Elève (5ème3)'!AW19:AZ19,"A"))*4)+((COUNTIF('Elève (5ème3)'!AW19:AZ19,"B"))*3)+((COUNTIF('Elève (5ème3)'!AW19:AZ19,"C"))*2)+((COUNTIF('Elève (5ème3)'!AW19:AZ19,"D"))*1))/(COUNTA(AW19:AZ19)),"")</f>
        <v>2.25</v>
      </c>
      <c r="BB19" s="185" t="str">
        <f t="shared" si="10"/>
        <v>C</v>
      </c>
      <c r="BC19" s="184">
        <f>IF(COUNT(AP19,AU19,BA19)=0,"",SUM(AP19,AU19,BA19)/COUNT(AP19,AU19,BA19))</f>
        <v>2.6388888888888888</v>
      </c>
      <c r="BD19" s="207" t="str">
        <f t="shared" si="11"/>
        <v>C</v>
      </c>
      <c r="BE19" s="129" t="s">
        <v>28</v>
      </c>
      <c r="BF19" s="130" t="s">
        <v>28</v>
      </c>
      <c r="BG19" s="131"/>
      <c r="BH19" s="184">
        <f>IFERROR((((COUNTIF('Elève (5ème3)'!BE19:BG19,"A"))*4)+((COUNTIF('Elève (5ème3)'!BE19:BG19,"B"))*3)+((COUNTIF('Elève (5ème3)'!BE19:BG19,"C"))*2)+((COUNTIF('Elève (5ème3)'!BE19:BG19,"D"))*1))/(COUNTA(BE19:BG19)),"")</f>
        <v>3</v>
      </c>
      <c r="BI19" s="185" t="str">
        <f t="shared" si="12"/>
        <v>B</v>
      </c>
      <c r="BJ19" s="129" t="s">
        <v>29</v>
      </c>
      <c r="BK19" s="130" t="s">
        <v>29</v>
      </c>
      <c r="BL19" s="131" t="s">
        <v>28</v>
      </c>
      <c r="BM19" s="184">
        <f>IFERROR((((COUNTIF('Elève (5ème3)'!BJ19:BL19,"A"))*4)+((COUNTIF('Elève (5ème3)'!BJ19:BL19,"B"))*3)+((COUNTIF('Elève (5ème3)'!BJ19:BL19,"C"))*2)+((COUNTIF('Elève (5ème3)'!BJ19:BL19,"D"))*1))/(COUNTA(BJ19:BL19)),"")</f>
        <v>2.3333333333333335</v>
      </c>
      <c r="BN19" s="185" t="str">
        <f t="shared" si="13"/>
        <v>C</v>
      </c>
      <c r="BO19" s="129" t="s">
        <v>27</v>
      </c>
      <c r="BP19" s="130" t="s">
        <v>28</v>
      </c>
      <c r="BQ19" s="131" t="s">
        <v>28</v>
      </c>
      <c r="BR19" s="135" t="s">
        <v>28</v>
      </c>
      <c r="BS19" s="184">
        <f>IFERROR((((COUNTIF('Elève (5ème3)'!BO19:BR19,"A"))*4)+((COUNTIF('Elève (5ème3)'!BO19:BR19,"B"))*3)+((COUNTIF('Elève (5ème3)'!BO19:BR19,"C"))*2)+((COUNTIF('Elève (5ème3)'!BO19:BR19,"D"))*1))/(COUNTA(BO19:BR19)),"")</f>
        <v>3.25</v>
      </c>
      <c r="BT19" s="185" t="str">
        <f t="shared" si="14"/>
        <v>B</v>
      </c>
      <c r="BU19" s="184">
        <f>IF(COUNT(BH19,BM19,BS19)=0,"",SUM(BH19,BM19,BS19)/COUNT(BH19,BM19,BS19))</f>
        <v>2.8611111111111112</v>
      </c>
      <c r="BV19" s="207" t="str">
        <f t="shared" si="15"/>
        <v>B</v>
      </c>
      <c r="BW19" s="129" t="s">
        <v>29</v>
      </c>
      <c r="BX19" s="130" t="s">
        <v>30</v>
      </c>
      <c r="BY19" s="131"/>
      <c r="BZ19" s="184">
        <f>IFERROR((((COUNTIF('Elève (5ème3)'!BW19:BY19,"A"))*4)+((COUNTIF('Elève (5ème3)'!BW19:BY19,"B"))*3)+((COUNTIF('Elève (5ème3)'!BW19:BY19,"C"))*2)+((COUNTIF('Elève (5ème3)'!BW19:BY19,"D"))*1))/(COUNTA(BW19:BY19)),"")</f>
        <v>1.5</v>
      </c>
      <c r="CA19" s="185" t="str">
        <f t="shared" si="16"/>
        <v>D</v>
      </c>
      <c r="CB19" s="129"/>
      <c r="CC19" s="130" t="s">
        <v>29</v>
      </c>
      <c r="CD19" s="131" t="s">
        <v>29</v>
      </c>
      <c r="CE19" s="184">
        <f>IFERROR((((COUNTIF('Elève (5ème3)'!CB19:CD19,"A"))*4)+((COUNTIF('Elève (5ème3)'!CB19:CD19,"B"))*3)+((COUNTIF('Elève (5ème3)'!CB19:CD19,"C"))*2)+((COUNTIF('Elève (5ème3)'!CB19:CD19,"D"))*1))/(COUNTA(CB19:CD19)),"")</f>
        <v>2</v>
      </c>
      <c r="CF19" s="185" t="str">
        <f t="shared" si="17"/>
        <v>C</v>
      </c>
      <c r="CG19" s="129" t="s">
        <v>27</v>
      </c>
      <c r="CH19" s="130" t="s">
        <v>29</v>
      </c>
      <c r="CI19" s="131" t="s">
        <v>28</v>
      </c>
      <c r="CJ19" s="135" t="s">
        <v>27</v>
      </c>
      <c r="CK19" s="184">
        <f>IFERROR((((COUNTIF('Elève (5ème3)'!CG19:CJ19,"A"))*4)+((COUNTIF('Elève (5ème3)'!CG19:CJ19,"B"))*3)+((COUNTIF('Elève (5ème3)'!CG19:CJ19,"C"))*2)+((COUNTIF('Elève (5ème3)'!CG19:CJ19,"D"))*1))/(COUNTA(CG19:CJ19)),"")</f>
        <v>3.25</v>
      </c>
      <c r="CL19" s="185" t="str">
        <f t="shared" si="18"/>
        <v>B</v>
      </c>
      <c r="CM19" s="184">
        <f>IF(COUNT(BZ19,CE19,CK19)=0,"",SUM(BZ19,CE19,CK19)/COUNT(BZ19,CE19,CK19))</f>
        <v>2.25</v>
      </c>
      <c r="CN19" s="207" t="str">
        <f t="shared" si="19"/>
        <v>C</v>
      </c>
      <c r="CO19" s="129" t="s">
        <v>28</v>
      </c>
      <c r="CP19" s="130" t="s">
        <v>29</v>
      </c>
      <c r="CQ19" s="131"/>
      <c r="CR19" s="184">
        <f>IFERROR((((COUNTIF('Elève (5ème3)'!CO19:CQ19,"A"))*4)+((COUNTIF('Elève (5ème3)'!CO19:CQ19,"B"))*3)+((COUNTIF('Elève (5ème3)'!CO19:CQ19,"C"))*2)+((COUNTIF('Elève (5ème3)'!CO19:CQ19,"D"))*1))/(COUNTA(CO19:CQ19)),"")</f>
        <v>2.5</v>
      </c>
      <c r="CS19" s="185" t="str">
        <f t="shared" si="20"/>
        <v>C</v>
      </c>
      <c r="CT19" s="129" t="s">
        <v>29</v>
      </c>
      <c r="CU19" s="130" t="s">
        <v>29</v>
      </c>
      <c r="CV19" s="131" t="s">
        <v>29</v>
      </c>
      <c r="CW19" s="184">
        <f>IFERROR((((COUNTIF('Elève (5ème3)'!CT19:CV19,"A"))*4)+((COUNTIF('Elève (5ème3)'!CT19:CV19,"B"))*3)+((COUNTIF('Elève (5ème3)'!CT19:CV19,"C"))*2)+((COUNTIF('Elève (5ème3)'!CT19:CV19,"D"))*1))/(COUNTA(CT19:CV19)),"")</f>
        <v>2</v>
      </c>
      <c r="CX19" s="185" t="str">
        <f t="shared" si="21"/>
        <v>C</v>
      </c>
      <c r="CY19" s="129" t="s">
        <v>27</v>
      </c>
      <c r="CZ19" s="130" t="s">
        <v>30</v>
      </c>
      <c r="DA19" s="131" t="s">
        <v>29</v>
      </c>
      <c r="DB19" s="135" t="s">
        <v>27</v>
      </c>
      <c r="DC19" s="184">
        <f>IFERROR((((COUNTIF('Elève (5ème3)'!CY19:DB19,"A"))*4)+((COUNTIF('Elève (5ème3)'!CY19:DB19,"B"))*3)+((COUNTIF('Elève (5ème3)'!CY19:DB19,"C"))*2)+((COUNTIF('Elève (5ème3)'!CY19:DB19,"D"))*1))/(COUNTA(CY19:DB19)),"")</f>
        <v>2.75</v>
      </c>
      <c r="DD19" s="185" t="str">
        <f t="shared" si="22"/>
        <v>C</v>
      </c>
      <c r="DE19" s="184">
        <f>IF(COUNT(CR19,CW19,DC19)=0,"",SUM(CR19,CW19,DC19)/COUNT(CR19,CW19,DC19))</f>
        <v>2.4166666666666665</v>
      </c>
      <c r="DF19" s="207" t="str">
        <f t="shared" si="23"/>
        <v>C</v>
      </c>
      <c r="DG19" s="129" t="s">
        <v>28</v>
      </c>
      <c r="DH19" s="130" t="s">
        <v>28</v>
      </c>
      <c r="DI19" s="131"/>
      <c r="DJ19" s="184">
        <f>IFERROR((((COUNTIF('Elève (5ème3)'!DG19:DI19,"A"))*4)+((COUNTIF('Elève (5ème3)'!DG19:DI19,"B"))*3)+((COUNTIF('Elève (5ème3)'!DG19:DI19,"C"))*2)+((COUNTIF('Elève (5ème3)'!DG19:DI19,"D"))*1))/(COUNTA(DG19:DI19)),"")</f>
        <v>3</v>
      </c>
      <c r="DK19" s="185" t="str">
        <f t="shared" si="24"/>
        <v>B</v>
      </c>
      <c r="DL19" s="129" t="s">
        <v>30</v>
      </c>
      <c r="DM19" s="130" t="s">
        <v>29</v>
      </c>
      <c r="DN19" s="131" t="s">
        <v>29</v>
      </c>
      <c r="DO19" s="184">
        <f>IFERROR((((COUNTIF('Elève (5ème3)'!DL19:DN19,"A"))*4)+((COUNTIF('Elève (5ème3)'!DL19:DN19,"B"))*3)+((COUNTIF('Elève (5ème3)'!DL19:DN19,"C"))*2)+((COUNTIF('Elève (5ème3)'!DL19:DN19,"D"))*1))/(COUNTA(DL19:DN19)),"")</f>
        <v>1.6666666666666667</v>
      </c>
      <c r="DP19" s="185" t="str">
        <f t="shared" si="25"/>
        <v>C</v>
      </c>
      <c r="DQ19" s="129" t="s">
        <v>27</v>
      </c>
      <c r="DR19" s="130" t="s">
        <v>28</v>
      </c>
      <c r="DS19" s="131" t="s">
        <v>28</v>
      </c>
      <c r="DT19" s="135" t="s">
        <v>28</v>
      </c>
      <c r="DU19" s="184">
        <f>IFERROR((((COUNTIF('Elève (5ème3)'!DQ19:DT19,"A"))*4)+((COUNTIF('Elève (5ème3)'!DQ19:DT19,"B"))*3)+((COUNTIF('Elève (5ème3)'!DQ19:DT19,"C"))*2)+((COUNTIF('Elève (5ème3)'!DQ19:DT19,"D"))*1))/(COUNTA(DQ19:DT19)),"")</f>
        <v>3.25</v>
      </c>
      <c r="DV19" s="185" t="str">
        <f t="shared" si="26"/>
        <v>B</v>
      </c>
      <c r="DW19" s="184">
        <f>IF(COUNT(DJ19,DO19,DU19)=0,"",SUM(DJ19,DO19,DU19)/COUNT(DJ19,DO19,DU19))</f>
        <v>2.6388888888888888</v>
      </c>
      <c r="DX19" s="207" t="str">
        <f t="shared" si="27"/>
        <v>C</v>
      </c>
      <c r="DY19" s="129" t="s">
        <v>28</v>
      </c>
      <c r="DZ19" s="130"/>
      <c r="EA19" s="131"/>
      <c r="EB19" s="184">
        <f>IFERROR((((COUNTIF('Elève (5ème3)'!DY19:EA19,"A"))*4)+((COUNTIF('Elève (5ème3)'!DY19:EA19,"B"))*3)+((COUNTIF('Elève (5ème3)'!DY19:EA19,"C"))*2)+((COUNTIF('Elève (5ème3)'!DY19:EA19,"D"))*1))/(COUNTA(DY19:EA19)),"")</f>
        <v>3</v>
      </c>
      <c r="EC19" s="185" t="str">
        <f t="shared" si="28"/>
        <v>B</v>
      </c>
      <c r="ED19" s="129"/>
      <c r="EE19" s="130"/>
      <c r="EF19" s="131" t="s">
        <v>29</v>
      </c>
      <c r="EG19" s="184">
        <f>IFERROR((((COUNTIF('Elève (5ème3)'!ED19:EF19,"A"))*4)+((COUNTIF('Elève (5ème3)'!ED19:EF19,"B"))*3)+((COUNTIF('Elève (5ème3)'!ED19:EF19,"C"))*2)+((COUNTIF('Elève (5ème3)'!ED19:EF19,"D"))*1))/(COUNTA(ED19:EF19)),"")</f>
        <v>2</v>
      </c>
      <c r="EH19" s="185" t="str">
        <f t="shared" si="29"/>
        <v>C</v>
      </c>
      <c r="EI19" s="129" t="s">
        <v>27</v>
      </c>
      <c r="EJ19" s="130" t="s">
        <v>30</v>
      </c>
      <c r="EK19" s="131" t="s">
        <v>29</v>
      </c>
      <c r="EL19" s="135"/>
      <c r="EM19" s="184">
        <f>IFERROR((((COUNTIF('Elève (5ème3)'!EI19:EL19,"A"))*4)+((COUNTIF('Elève (5ème3)'!EI19:EL19,"B"))*3)+((COUNTIF('Elève (5ème3)'!EI19:EL19,"C"))*2)+((COUNTIF('Elève (5ème3)'!EI19:EL19,"D"))*1))/(COUNTA(EI19:EL19)),"")</f>
        <v>2.3333333333333335</v>
      </c>
      <c r="EN19" s="185" t="str">
        <f t="shared" si="30"/>
        <v>C</v>
      </c>
      <c r="EO19" s="184">
        <f>IF(COUNT(EB19,EG19,EM19)=0,"",SUM(EB19,EG19,EM19)/COUNT(EB19,EG19,EM19))</f>
        <v>2.4444444444444446</v>
      </c>
      <c r="EP19" s="207" t="str">
        <f t="shared" si="31"/>
        <v>C</v>
      </c>
      <c r="EQ19" s="129" t="s">
        <v>30</v>
      </c>
      <c r="ER19" s="130" t="s">
        <v>28</v>
      </c>
      <c r="ES19" s="131"/>
      <c r="ET19" s="184">
        <f>IFERROR((((COUNTIF('Elève (5ème3)'!EQ19:ES19,"A"))*4)+((COUNTIF('Elève (5ème3)'!EQ19:ES19,"B"))*3)+((COUNTIF('Elève (5ème3)'!EQ19:ES19,"C"))*2)+((COUNTIF('Elève (5ème3)'!EQ19:ES19,"D"))*1))/(COUNTA(EQ19:ES19)),"")</f>
        <v>2</v>
      </c>
      <c r="EU19" s="185" t="str">
        <f t="shared" si="32"/>
        <v>C</v>
      </c>
      <c r="EV19" s="129" t="s">
        <v>28</v>
      </c>
      <c r="EW19" s="130" t="s">
        <v>28</v>
      </c>
      <c r="EX19" s="131" t="s">
        <v>29</v>
      </c>
      <c r="EY19" s="184">
        <f>IFERROR((((COUNTIF('Elève (5ème3)'!EV19:EX19,"A"))*4)+((COUNTIF('Elève (5ème3)'!EV19:EX19,"B"))*3)+((COUNTIF('Elève (5ème3)'!EV19:EX19,"C"))*2)+((COUNTIF('Elève (5ème3)'!EV19:EX19,"D"))*1))/(COUNTA(EV19:EX19)),"")</f>
        <v>2.6666666666666665</v>
      </c>
      <c r="EZ19" s="185" t="str">
        <f t="shared" si="33"/>
        <v>C</v>
      </c>
      <c r="FA19" s="129" t="s">
        <v>29</v>
      </c>
      <c r="FB19" s="130" t="s">
        <v>29</v>
      </c>
      <c r="FC19" s="131" t="s">
        <v>28</v>
      </c>
      <c r="FD19" s="135" t="s">
        <v>28</v>
      </c>
      <c r="FE19" s="184">
        <f>IFERROR((((COUNTIF('Elève (5ème3)'!FA19:FD19,"A"))*4)+((COUNTIF('Elève (5ème3)'!FA19:FD19,"B"))*3)+((COUNTIF('Elève (5ème3)'!FA19:FD19,"C"))*2)+((COUNTIF('Elève (5ème3)'!FA19:FD19,"D"))*1))/(COUNTA(FA19:FD19)),"")</f>
        <v>2.5</v>
      </c>
      <c r="FF19" s="185" t="str">
        <f t="shared" si="34"/>
        <v>C</v>
      </c>
      <c r="FG19" s="184">
        <f>IF(COUNT(ET19,EY19,FE19)=0,"",SUM(ET19,EY19,FE19)/COUNT(ET19,EY19,FE19))</f>
        <v>2.3888888888888888</v>
      </c>
      <c r="FH19" s="207" t="str">
        <f t="shared" si="35"/>
        <v>C</v>
      </c>
      <c r="FI19" s="129" t="s">
        <v>30</v>
      </c>
      <c r="FJ19" s="130" t="s">
        <v>28</v>
      </c>
      <c r="FK19" s="131"/>
      <c r="FL19" s="184">
        <f>IFERROR((((COUNTIF('Elève (5ème3)'!FI19:FK19,"A"))*4)+((COUNTIF('Elève (5ème3)'!FI19:FK19,"B"))*3)+((COUNTIF('Elève (5ème3)'!FI19:FK19,"C"))*2)+((COUNTIF('Elève (5ème3)'!FI19:FK19,"D"))*1))/(COUNTA(FI19:FK19)),"")</f>
        <v>2</v>
      </c>
      <c r="FM19" s="185" t="str">
        <f t="shared" si="36"/>
        <v>C</v>
      </c>
      <c r="FN19" s="129" t="s">
        <v>29</v>
      </c>
      <c r="FO19" s="130" t="s">
        <v>29</v>
      </c>
      <c r="FP19" s="131" t="s">
        <v>29</v>
      </c>
      <c r="FQ19" s="184">
        <f>IFERROR((((COUNTIF('Elève (5ème3)'!FN19:FP19,"A"))*4)+((COUNTIF('Elève (5ème3)'!FN19:FP19,"B"))*3)+((COUNTIF('Elève (5ème3)'!FN19:FP19,"C"))*2)+((COUNTIF('Elève (5ème3)'!FN19:FP19,"D"))*1))/(COUNTA(FN19:FP19)),"")</f>
        <v>2</v>
      </c>
      <c r="FR19" s="185" t="str">
        <f t="shared" si="37"/>
        <v>C</v>
      </c>
      <c r="FS19" s="129" t="s">
        <v>27</v>
      </c>
      <c r="FT19" s="130" t="s">
        <v>28</v>
      </c>
      <c r="FU19" s="131" t="s">
        <v>28</v>
      </c>
      <c r="FV19" s="135" t="s">
        <v>27</v>
      </c>
      <c r="FW19" s="184">
        <f>IFERROR((((COUNTIF('Elève (5ème3)'!FS19:FV19,"A"))*4)+((COUNTIF('Elève (5ème3)'!FS19:FV19,"B"))*3)+((COUNTIF('Elève (5ème3)'!FS19:FV19,"C"))*2)+((COUNTIF('Elève (5ème3)'!FS19:FV19,"D"))*1))/(COUNTA(FS19:FV19)),"")</f>
        <v>3.5</v>
      </c>
      <c r="FX19" s="185" t="str">
        <f t="shared" si="38"/>
        <v>B</v>
      </c>
      <c r="FY19" s="184">
        <f>IF(COUNT(FL19,FQ19,FW19)=0,"",SUM(FL19,FQ19,FW19)/COUNT(FL19,FQ19,FW19))</f>
        <v>2.5</v>
      </c>
      <c r="FZ19" s="207" t="str">
        <f t="shared" si="39"/>
        <v>C</v>
      </c>
      <c r="GA19" s="129" t="s">
        <v>28</v>
      </c>
      <c r="GB19" s="130" t="s">
        <v>29</v>
      </c>
      <c r="GC19" s="131"/>
      <c r="GD19" s="184">
        <f>IFERROR((((COUNTIF('Elève (5ème3)'!GA19:GC19,"A"))*4)+((COUNTIF('Elève (5ème3)'!GA19:GC19,"B"))*3)+((COUNTIF('Elève (5ème3)'!GA19:GC19,"C"))*2)+((COUNTIF('Elève (5ème3)'!GA19:GC19,"D"))*1))/(COUNTA(GA19:GC19)),"")</f>
        <v>2.5</v>
      </c>
      <c r="GE19" s="185" t="str">
        <f t="shared" si="40"/>
        <v>C</v>
      </c>
      <c r="GF19" s="129" t="s">
        <v>29</v>
      </c>
      <c r="GG19" s="130" t="s">
        <v>28</v>
      </c>
      <c r="GH19" s="131" t="s">
        <v>28</v>
      </c>
      <c r="GI19" s="184">
        <f>IFERROR((((COUNTIF('Elève (5ème3)'!GF19:GH19,"A"))*4)+((COUNTIF('Elève (5ème3)'!GF19:GH19,"B"))*3)+((COUNTIF('Elève (5ème3)'!GF19:GH19,"C"))*2)+((COUNTIF('Elève (5ème3)'!GF19:GH19,"D"))*1))/(COUNTA(GF19:GH19)),"")</f>
        <v>2.6666666666666665</v>
      </c>
      <c r="GJ19" s="185" t="str">
        <f t="shared" si="41"/>
        <v>C</v>
      </c>
      <c r="GK19" s="129" t="s">
        <v>27</v>
      </c>
      <c r="GL19" s="130" t="s">
        <v>28</v>
      </c>
      <c r="GM19" s="131" t="s">
        <v>28</v>
      </c>
      <c r="GN19" s="135"/>
      <c r="GO19" s="184">
        <f>IFERROR((((COUNTIF('Elève (5ème3)'!GK19:GN19,"A"))*4)+((COUNTIF('Elève (5ème3)'!GK19:GN19,"B"))*3)+((COUNTIF('Elève (5ème3)'!GK19:GN19,"C"))*2)+((COUNTIF('Elève (5ème3)'!GK19:GN19,"D"))*1))/(COUNTA(GK19:GN19)),"")</f>
        <v>3.3333333333333335</v>
      </c>
      <c r="GP19" s="185" t="str">
        <f t="shared" si="42"/>
        <v>B</v>
      </c>
      <c r="GQ19" s="184">
        <f>IF(COUNT(GD19,GI19,GO19)=0,"",SUM(GD19,GI19,GO19)/COUNT(GD19,GI19,GO19))</f>
        <v>2.8333333333333335</v>
      </c>
      <c r="GR19" s="207" t="str">
        <f t="shared" si="43"/>
        <v>B</v>
      </c>
      <c r="GS19" s="129" t="s">
        <v>28</v>
      </c>
      <c r="GT19" s="130" t="s">
        <v>30</v>
      </c>
      <c r="GU19" s="131"/>
      <c r="GV19" s="184">
        <f>IFERROR((((COUNTIF('Elève (5ème3)'!GS19:GU19,"A"))*4)+((COUNTIF('Elève (5ème3)'!GS19:GU19,"B"))*3)+((COUNTIF('Elève (5ème3)'!GS19:GU19,"C"))*2)+((COUNTIF('Elève (5ème3)'!GS19:GU19,"D"))*1))/(COUNTA(GS19:GU19)),"")</f>
        <v>2</v>
      </c>
      <c r="GW19" s="185" t="str">
        <f t="shared" si="44"/>
        <v>C</v>
      </c>
      <c r="GX19" s="129" t="s">
        <v>29</v>
      </c>
      <c r="GY19" s="130" t="s">
        <v>29</v>
      </c>
      <c r="GZ19" s="131" t="s">
        <v>28</v>
      </c>
      <c r="HA19" s="184">
        <f>IFERROR((((COUNTIF('Elève (5ème3)'!GX19:GZ19,"A"))*4)+((COUNTIF('Elève (5ème3)'!GX19:GZ19,"B"))*3)+((COUNTIF('Elève (5ème3)'!GX19:GZ19,"C"))*2)+((COUNTIF('Elève (5ème3)'!GX19:GZ19,"D"))*1))/(COUNTA(GX19:GZ19)),"")</f>
        <v>2.3333333333333335</v>
      </c>
      <c r="HB19" s="185" t="str">
        <f t="shared" si="45"/>
        <v>C</v>
      </c>
      <c r="HC19" s="129" t="s">
        <v>27</v>
      </c>
      <c r="HD19" s="130" t="s">
        <v>28</v>
      </c>
      <c r="HE19" s="131" t="s">
        <v>29</v>
      </c>
      <c r="HF19" s="135" t="s">
        <v>28</v>
      </c>
      <c r="HG19" s="184">
        <f>IFERROR((((COUNTIF('Elève (5ème3)'!HC19:HF19,"A"))*4)+((COUNTIF('Elève (5ème3)'!HC19:HF19,"B"))*3)+((COUNTIF('Elève (5ème3)'!HC19:HF19,"C"))*2)+((COUNTIF('Elève (5ème3)'!HC19:HF19,"D"))*1))/(COUNTA(HC19:HF19)),"")</f>
        <v>3</v>
      </c>
      <c r="HH19" s="185" t="str">
        <f t="shared" si="46"/>
        <v>B</v>
      </c>
      <c r="HI19" s="184">
        <f>IF(COUNT(GV19,HA19,HG19)=0,"",SUM(GV19,HA19,HG19)/COUNT(GV19,HA19,HG19))</f>
        <v>2.4444444444444446</v>
      </c>
      <c r="HJ19" s="207" t="str">
        <f t="shared" si="47"/>
        <v>C</v>
      </c>
      <c r="HK19" s="129" t="s">
        <v>30</v>
      </c>
      <c r="HL19" s="130" t="s">
        <v>29</v>
      </c>
      <c r="HM19" s="131"/>
      <c r="HN19" s="184">
        <f>IFERROR((((COUNTIF('Elève (5ème3)'!HK19:HM19,"A"))*4)+((COUNTIF('Elève (5ème3)'!HK19:HM19,"B"))*3)+((COUNTIF('Elève (5ème3)'!HK19:HM19,"C"))*2)+((COUNTIF('Elève (5ème3)'!HK19:HM19,"D"))*1))/(COUNTA(HK19:HM19)),"")</f>
        <v>1.5</v>
      </c>
      <c r="HO19" s="185" t="str">
        <f t="shared" si="48"/>
        <v>D</v>
      </c>
      <c r="HP19" s="129" t="s">
        <v>30</v>
      </c>
      <c r="HQ19" s="130"/>
      <c r="HR19" s="131" t="s">
        <v>29</v>
      </c>
      <c r="HS19" s="184">
        <f>IFERROR((((COUNTIF('Elève (5ème3)'!HP19:HR19,"A"))*4)+((COUNTIF('Elève (5ème3)'!HP19:HR19,"B"))*3)+((COUNTIF('Elève (5ème3)'!HP19:HR19,"C"))*2)+((COUNTIF('Elève (5ème3)'!HP19:HR19,"D"))*1))/(COUNTA(HP19:HR19)),"")</f>
        <v>1.5</v>
      </c>
      <c r="HT19" s="185" t="str">
        <f t="shared" si="49"/>
        <v>D</v>
      </c>
      <c r="HU19" s="129" t="s">
        <v>27</v>
      </c>
      <c r="HV19" s="130" t="s">
        <v>29</v>
      </c>
      <c r="HW19" s="131" t="s">
        <v>29</v>
      </c>
      <c r="HX19" s="135" t="s">
        <v>28</v>
      </c>
      <c r="HY19" s="184">
        <f>IFERROR((((COUNTIF('Elève (5ème3)'!HU19:HX19,"A"))*4)+((COUNTIF('Elève (5ème3)'!HU19:HX19,"B"))*3)+((COUNTIF('Elève (5ème3)'!HU19:HX19,"C"))*2)+((COUNTIF('Elève (5ème3)'!HU19:HX19,"D"))*1))/(COUNTA(HU19:HX19)),"")</f>
        <v>2.75</v>
      </c>
      <c r="HZ19" s="185" t="str">
        <f t="shared" si="50"/>
        <v>C</v>
      </c>
      <c r="IA19" s="184">
        <f>IF(COUNT(HN19,HS19,HY19)=0,"",SUM(HN19,HS19,HY19)/COUNT(HN19,HS19,HY19))</f>
        <v>1.9166666666666667</v>
      </c>
      <c r="IB19" s="207" t="str">
        <f t="shared" si="51"/>
        <v>C</v>
      </c>
      <c r="IC19" s="129" t="s">
        <v>30</v>
      </c>
      <c r="ID19" s="130" t="s">
        <v>28</v>
      </c>
      <c r="IE19" s="131"/>
      <c r="IF19" s="184">
        <f>IFERROR((((COUNTIF('Elève (5ème3)'!IC19:IE19,"A"))*4)+((COUNTIF('Elève (5ème3)'!IC19:IE19,"B"))*3)+((COUNTIF('Elève (5ème3)'!IC19:IE19,"C"))*2)+((COUNTIF('Elève (5ème3)'!IC19:IE19,"D"))*1))/(COUNTA(IC19:IE19)),"")</f>
        <v>2</v>
      </c>
      <c r="IG19" s="185" t="str">
        <f t="shared" si="52"/>
        <v>C</v>
      </c>
      <c r="IH19" s="129" t="s">
        <v>29</v>
      </c>
      <c r="II19" s="130" t="s">
        <v>28</v>
      </c>
      <c r="IJ19" s="131" t="s">
        <v>29</v>
      </c>
      <c r="IK19" s="184">
        <f>IFERROR((((COUNTIF('Elève (5ème3)'!IH19:IJ19,"A"))*4)+((COUNTIF('Elève (5ème3)'!IH19:IJ19,"B"))*3)+((COUNTIF('Elève (5ème3)'!IH19:IJ19,"C"))*2)+((COUNTIF('Elève (5ème3)'!IH19:IJ19,"D"))*1))/(COUNTA(IH19:IJ19)),"")</f>
        <v>2.3333333333333335</v>
      </c>
      <c r="IL19" s="185" t="str">
        <f t="shared" si="53"/>
        <v>C</v>
      </c>
      <c r="IM19" s="129" t="s">
        <v>27</v>
      </c>
      <c r="IN19" s="130"/>
      <c r="IO19" s="131" t="s">
        <v>30</v>
      </c>
      <c r="IP19" s="135" t="s">
        <v>28</v>
      </c>
      <c r="IQ19" s="184">
        <f>IFERROR((((COUNTIF('Elève (5ème3)'!IM19:IP19,"A"))*4)+((COUNTIF('Elève (5ème3)'!IM19:IP19,"B"))*3)+((COUNTIF('Elève (5ème3)'!IM19:IP19,"C"))*2)+((COUNTIF('Elève (5ème3)'!IM19:IP19,"D"))*1))/(COUNTA(IM19:IP19)),"")</f>
        <v>2.6666666666666665</v>
      </c>
      <c r="IR19" s="185" t="str">
        <f t="shared" si="54"/>
        <v>C</v>
      </c>
      <c r="IS19" s="184">
        <f>IF(COUNT(IF19,IK19,IQ19)=0,"",SUM(IF19,IK19,IQ19)/COUNT(IF19,IK19,IQ19))</f>
        <v>2.3333333333333335</v>
      </c>
      <c r="IT19" s="207" t="str">
        <f t="shared" si="55"/>
        <v>C</v>
      </c>
      <c r="IU19" s="129" t="s">
        <v>30</v>
      </c>
      <c r="IV19" s="130" t="s">
        <v>30</v>
      </c>
      <c r="IW19" s="131"/>
      <c r="IX19" s="184">
        <f>IFERROR((((COUNTIF('Elève (5ème3)'!IU19:IW19,"A"))*4)+((COUNTIF('Elève (5ème3)'!IU19:IW19,"B"))*3)+((COUNTIF('Elève (5ème3)'!IU19:IW19,"C"))*2)+((COUNTIF('Elève (5ème3)'!IU19:IW19,"D"))*1))/(COUNTA(IU19:IW19)),"")</f>
        <v>1</v>
      </c>
      <c r="IY19" s="185" t="str">
        <f t="shared" si="56"/>
        <v>D</v>
      </c>
      <c r="IZ19" s="129" t="s">
        <v>29</v>
      </c>
      <c r="JA19" s="130" t="s">
        <v>30</v>
      </c>
      <c r="JB19" s="131" t="s">
        <v>29</v>
      </c>
      <c r="JC19" s="184">
        <f>IFERROR((((COUNTIF('Elève (5ème3)'!IZ19:JB19,"A"))*4)+((COUNTIF('Elève (5ème3)'!IZ19:JB19,"B"))*3)+((COUNTIF('Elève (5ème3)'!IZ19:JB19,"C"))*2)+((COUNTIF('Elève (5ème3)'!IZ19:JB19,"D"))*1))/(COUNTA(IZ19:JB19)),"")</f>
        <v>1.6666666666666667</v>
      </c>
      <c r="JD19" s="185" t="str">
        <f t="shared" si="57"/>
        <v>C</v>
      </c>
      <c r="JE19" s="129" t="s">
        <v>27</v>
      </c>
      <c r="JF19" s="130" t="s">
        <v>29</v>
      </c>
      <c r="JG19" s="131" t="s">
        <v>29</v>
      </c>
      <c r="JH19" s="135" t="s">
        <v>29</v>
      </c>
      <c r="JI19" s="184">
        <f>IFERROR((((COUNTIF('Elève (5ème3)'!JE19:JH19,"A"))*4)+((COUNTIF('Elève (5ème3)'!JE19:JH19,"B"))*3)+((COUNTIF('Elève (5ème3)'!JE19:JH19,"C"))*2)+((COUNTIF('Elève (5ème3)'!JE19:JH19,"D"))*1))/(COUNTA(JE19:JH19)),"")</f>
        <v>2.5</v>
      </c>
      <c r="JJ19" s="185" t="str">
        <f t="shared" si="58"/>
        <v>C</v>
      </c>
      <c r="JK19" s="184">
        <f>IF(COUNT(IX19,JC19,JI19)=0,"",SUM(IX19,JC19,JI19)/COUNT(IX19,JC19,JI19))</f>
        <v>1.7222222222222223</v>
      </c>
      <c r="JL19" s="207" t="str">
        <f t="shared" si="59"/>
        <v>C</v>
      </c>
      <c r="JM19" s="129" t="s">
        <v>29</v>
      </c>
      <c r="JN19" s="130" t="s">
        <v>28</v>
      </c>
      <c r="JO19" s="131"/>
      <c r="JP19" s="184">
        <f>IFERROR((((COUNTIF('Elève (5ème3)'!JM19:JO19,"A"))*4)+((COUNTIF('Elève (5ème3)'!JM19:JO19,"B"))*3)+((COUNTIF('Elève (5ème3)'!JM19:JO19,"C"))*2)+((COUNTIF('Elève (5ème3)'!JM19:JO19,"D"))*1))/(COUNTA(JM19:JO19)),"")</f>
        <v>2.5</v>
      </c>
      <c r="JQ19" s="185" t="str">
        <f t="shared" si="60"/>
        <v>C</v>
      </c>
      <c r="JR19" s="129" t="s">
        <v>30</v>
      </c>
      <c r="JS19" s="130" t="s">
        <v>29</v>
      </c>
      <c r="JT19" s="131" t="s">
        <v>28</v>
      </c>
      <c r="JU19" s="184">
        <f>IFERROR((((COUNTIF('Elève (5ème3)'!JR19:JT19,"A"))*4)+((COUNTIF('Elève (5ème3)'!JR19:JT19,"B"))*3)+((COUNTIF('Elève (5ème3)'!JR19:JT19,"C"))*2)+((COUNTIF('Elève (5ème3)'!JR19:JT19,"D"))*1))/(COUNTA(JR19:JT19)),"")</f>
        <v>2</v>
      </c>
      <c r="JV19" s="185" t="str">
        <f t="shared" si="61"/>
        <v>C</v>
      </c>
      <c r="JW19" s="129" t="s">
        <v>27</v>
      </c>
      <c r="JX19" s="130" t="s">
        <v>29</v>
      </c>
      <c r="JY19" s="131"/>
      <c r="JZ19" s="135" t="s">
        <v>28</v>
      </c>
      <c r="KA19" s="184">
        <f>IFERROR((((COUNTIF('Elève (5ème3)'!JW19:JZ19,"A"))*4)+((COUNTIF('Elève (5ème3)'!JW19:JZ19,"B"))*3)+((COUNTIF('Elève (5ème3)'!JW19:JZ19,"C"))*2)+((COUNTIF('Elève (5ème3)'!JW19:JZ19,"D"))*1))/(COUNTA(JW19:JZ19)),"")</f>
        <v>3</v>
      </c>
      <c r="KB19" s="185" t="str">
        <f t="shared" si="62"/>
        <v>B</v>
      </c>
      <c r="KC19" s="184">
        <f>IF(COUNT(JP19,JU19,KA19)=0,"",SUM(JP19,JU19,KA19)/COUNT(JP19,JU19,KA19))</f>
        <v>2.5</v>
      </c>
      <c r="KD19" s="207" t="str">
        <f t="shared" si="63"/>
        <v>C</v>
      </c>
      <c r="KE19" s="129" t="s">
        <v>29</v>
      </c>
      <c r="KF19" s="130" t="s">
        <v>29</v>
      </c>
      <c r="KG19" s="131"/>
      <c r="KH19" s="184">
        <f>IFERROR((((COUNTIF('Elève (5ème3)'!KE19:KG19,"A"))*4)+((COUNTIF('Elève (5ème3)'!KE19:KG19,"B"))*3)+((COUNTIF('Elève (5ème3)'!KE19:KG19,"C"))*2)+((COUNTIF('Elève (5ème3)'!KE19:KG19,"D"))*1))/(COUNTA(KE19:KG19)),"")</f>
        <v>2</v>
      </c>
      <c r="KI19" s="185" t="str">
        <f t="shared" si="64"/>
        <v>C</v>
      </c>
      <c r="KJ19" s="129" t="s">
        <v>27</v>
      </c>
      <c r="KK19" s="130" t="s">
        <v>29</v>
      </c>
      <c r="KL19" s="131" t="s">
        <v>29</v>
      </c>
      <c r="KM19" s="184">
        <f>IFERROR((((COUNTIF('Elève (5ème3)'!KJ19:KL19,"A"))*4)+((COUNTIF('Elève (5ème3)'!KJ19:KL19,"B"))*3)+((COUNTIF('Elève (5ème3)'!KJ19:KL19,"C"))*2)+((COUNTIF('Elève (5ème3)'!KJ19:KL19,"D"))*1))/(COUNTA(KJ19:KL19)),"")</f>
        <v>2.6666666666666665</v>
      </c>
      <c r="KN19" s="185" t="str">
        <f t="shared" si="65"/>
        <v>C</v>
      </c>
      <c r="KO19" s="129" t="s">
        <v>27</v>
      </c>
      <c r="KP19" s="130" t="s">
        <v>28</v>
      </c>
      <c r="KQ19" s="131" t="s">
        <v>28</v>
      </c>
      <c r="KR19" s="135" t="s">
        <v>27</v>
      </c>
      <c r="KS19" s="184">
        <f>IFERROR((((COUNTIF('Elève (5ème3)'!KO19:KR19,"A"))*4)+((COUNTIF('Elève (5ème3)'!KO19:KR19,"B"))*3)+((COUNTIF('Elève (5ème3)'!KO19:KR19,"C"))*2)+((COUNTIF('Elève (5ème3)'!KO19:KR19,"D"))*1))/(COUNTA(KO19:KR19)),"")</f>
        <v>3.5</v>
      </c>
      <c r="KT19" s="185" t="str">
        <f t="shared" si="66"/>
        <v>B</v>
      </c>
      <c r="KU19" s="184">
        <f>IF(COUNT(KH19,KM19,KS19)=0,"",SUM(KH19,KM19,KS19)/COUNT(KH19,KM19,KS19))</f>
        <v>2.7222222222222219</v>
      </c>
      <c r="KV19" s="207" t="str">
        <f t="shared" si="67"/>
        <v>C</v>
      </c>
      <c r="KW19" s="129" t="s">
        <v>29</v>
      </c>
      <c r="KX19" s="130" t="s">
        <v>28</v>
      </c>
      <c r="KY19" s="131"/>
      <c r="KZ19" s="184">
        <f>IFERROR((((COUNTIF('Elève (5ème3)'!KW19:KY19,"A"))*4)+((COUNTIF('Elève (5ème3)'!KW19:KY19,"B"))*3)+((COUNTIF('Elève (5ème3)'!KW19:KY19,"C"))*2)+((COUNTIF('Elève (5ème3)'!KW19:KY19,"D"))*1))/(COUNTA(KW19:KY19)),"")</f>
        <v>2.5</v>
      </c>
      <c r="LA19" s="185" t="str">
        <f t="shared" si="68"/>
        <v>C</v>
      </c>
      <c r="LB19" s="129" t="s">
        <v>29</v>
      </c>
      <c r="LC19" s="130" t="s">
        <v>28</v>
      </c>
      <c r="LD19" s="131" t="s">
        <v>29</v>
      </c>
      <c r="LE19" s="184">
        <f>IFERROR((((COUNTIF('Elève (5ème3)'!LB19:LD19,"A"))*4)+((COUNTIF('Elève (5ème3)'!LB19:LD19,"B"))*3)+((COUNTIF('Elève (5ème3)'!LB19:LD19,"C"))*2)+((COUNTIF('Elève (5ème3)'!LB19:LD19,"D"))*1))/(COUNTA(LB19:LD19)),"")</f>
        <v>2.3333333333333335</v>
      </c>
      <c r="LF19" s="185" t="str">
        <f t="shared" si="69"/>
        <v>C</v>
      </c>
      <c r="LG19" s="129" t="s">
        <v>27</v>
      </c>
      <c r="LH19" s="130" t="s">
        <v>28</v>
      </c>
      <c r="LI19" s="131" t="s">
        <v>29</v>
      </c>
      <c r="LJ19" s="135" t="s">
        <v>29</v>
      </c>
      <c r="LK19" s="184">
        <f>IFERROR((((COUNTIF('Elève (5ème3)'!LG19:LJ19,"A"))*4)+((COUNTIF('Elève (5ème3)'!LG19:LJ19,"B"))*3)+((COUNTIF('Elève (5ème3)'!LG19:LJ19,"C"))*2)+((COUNTIF('Elève (5ème3)'!LG19:LJ19,"D"))*1))/(COUNTA(LG19:LJ19)),"")</f>
        <v>2.75</v>
      </c>
      <c r="LL19" s="185" t="str">
        <f t="shared" si="70"/>
        <v>C</v>
      </c>
      <c r="LM19" s="184">
        <f>IF(COUNT(KZ19,LE19,LK19)=0,"",SUM(KZ19,LE19,LK19)/COUNT(KZ19,LE19,LK19))</f>
        <v>2.5277777777777781</v>
      </c>
      <c r="LN19" s="207" t="str">
        <f t="shared" si="71"/>
        <v>C</v>
      </c>
      <c r="LO19" s="129" t="s">
        <v>27</v>
      </c>
      <c r="LP19" s="130" t="s">
        <v>29</v>
      </c>
      <c r="LQ19" s="131"/>
      <c r="LR19" s="184">
        <f>IFERROR((((COUNTIF('Elève (5ème3)'!LO19:LQ19,"A"))*4)+((COUNTIF('Elève (5ème3)'!LO19:LQ19,"B"))*3)+((COUNTIF('Elève (5ème3)'!LO19:LQ19,"C"))*2)+((COUNTIF('Elève (5ème3)'!LO19:LQ19,"D"))*1))/(COUNTA(LO19:LQ19)),"")</f>
        <v>3</v>
      </c>
      <c r="LS19" s="185" t="str">
        <f t="shared" si="72"/>
        <v>B</v>
      </c>
      <c r="LT19" s="129" t="s">
        <v>29</v>
      </c>
      <c r="LU19" s="130" t="s">
        <v>28</v>
      </c>
      <c r="LV19" s="131" t="s">
        <v>28</v>
      </c>
      <c r="LW19" s="184">
        <f>IFERROR((((COUNTIF('Elève (5ème3)'!LT19:LV19,"A"))*4)+((COUNTIF('Elève (5ème3)'!LT19:LV19,"B"))*3)+((COUNTIF('Elève (5ème3)'!LT19:LV19,"C"))*2)+((COUNTIF('Elève (5ème3)'!LT19:LV19,"D"))*1))/(COUNTA(LT19:LV19)),"")</f>
        <v>2.6666666666666665</v>
      </c>
      <c r="LX19" s="185" t="str">
        <f t="shared" si="73"/>
        <v>C</v>
      </c>
      <c r="LY19" s="129" t="s">
        <v>27</v>
      </c>
      <c r="LZ19" s="130" t="s">
        <v>28</v>
      </c>
      <c r="MA19" s="131" t="s">
        <v>28</v>
      </c>
      <c r="MB19" s="135" t="s">
        <v>27</v>
      </c>
      <c r="MC19" s="184">
        <f>IFERROR((((COUNTIF('Elève (5ème3)'!LY19:MB19,"A"))*4)+((COUNTIF('Elève (5ème3)'!LY19:MB19,"B"))*3)+((COUNTIF('Elève (5ème3)'!LY19:MB19,"C"))*2)+((COUNTIF('Elève (5ème3)'!LY19:MB19,"D"))*1))/(COUNTA(LY19:MB19)),"")</f>
        <v>3.5</v>
      </c>
      <c r="MD19" s="185" t="str">
        <f t="shared" si="74"/>
        <v>B</v>
      </c>
      <c r="ME19" s="184">
        <f>IF(COUNT(LR19,LW19,MC19)=0,"",SUM(LR19,LW19,MC19)/COUNT(LR19,LW19,MC19))</f>
        <v>3.0555555555555554</v>
      </c>
      <c r="MF19" s="207" t="str">
        <f t="shared" si="75"/>
        <v>B</v>
      </c>
      <c r="MG19" s="129" t="s">
        <v>29</v>
      </c>
      <c r="MH19" s="130" t="s">
        <v>28</v>
      </c>
      <c r="MI19" s="131"/>
      <c r="MJ19" s="184">
        <f>IFERROR((((COUNTIF('Elève (5ème3)'!MG19:MI19,"A"))*4)+((COUNTIF('Elève (5ème3)'!MG19:MI19,"B"))*3)+((COUNTIF('Elève (5ème3)'!MG19:MI19,"C"))*2)+((COUNTIF('Elève (5ème3)'!MG19:MI19,"D"))*1))/(COUNTA(MG19:MI19)),"")</f>
        <v>2.5</v>
      </c>
      <c r="MK19" s="185" t="str">
        <f t="shared" si="76"/>
        <v>C</v>
      </c>
      <c r="ML19" s="129" t="s">
        <v>29</v>
      </c>
      <c r="MM19" s="130" t="s">
        <v>28</v>
      </c>
      <c r="MN19" s="131" t="s">
        <v>28</v>
      </c>
      <c r="MO19" s="184">
        <f>IFERROR((((COUNTIF('Elève (5ème3)'!ML19:MN19,"A"))*4)+((COUNTIF('Elève (5ème3)'!ML19:MN19,"B"))*3)+((COUNTIF('Elève (5ème3)'!ML19:MN19,"C"))*2)+((COUNTIF('Elève (5ème3)'!ML19:MN19,"D"))*1))/(COUNTA(ML19:MN19)),"")</f>
        <v>2.6666666666666665</v>
      </c>
      <c r="MP19" s="185" t="str">
        <f t="shared" si="77"/>
        <v>C</v>
      </c>
      <c r="MQ19" s="129" t="s">
        <v>27</v>
      </c>
      <c r="MR19" s="130" t="s">
        <v>30</v>
      </c>
      <c r="MS19" s="131" t="s">
        <v>29</v>
      </c>
      <c r="MT19" s="135" t="s">
        <v>28</v>
      </c>
      <c r="MU19" s="184">
        <f>IFERROR((((COUNTIF('Elève (5ème3)'!MQ19:MT19,"A"))*4)+((COUNTIF('Elève (5ème3)'!MQ19:MT19,"B"))*3)+((COUNTIF('Elève (5ème3)'!MQ19:MT19,"C"))*2)+((COUNTIF('Elève (5ème3)'!MQ19:MT19,"D"))*1))/(COUNTA(MQ19:MT19)),"")</f>
        <v>2.5</v>
      </c>
      <c r="MV19" s="185" t="str">
        <f t="shared" si="78"/>
        <v>C</v>
      </c>
      <c r="MW19" s="184">
        <f>IF(COUNT(MJ19,MO19,MU19)=0,"",SUM(MJ19,MO19,MU19)/COUNT(MJ19,MO19,MU19))</f>
        <v>2.5555555555555554</v>
      </c>
      <c r="MX19" s="207" t="str">
        <f t="shared" si="79"/>
        <v>C</v>
      </c>
      <c r="MY19" s="129" t="s">
        <v>29</v>
      </c>
      <c r="MZ19" s="130" t="s">
        <v>28</v>
      </c>
      <c r="NA19" s="131"/>
      <c r="NB19" s="184">
        <f>IFERROR((((COUNTIF('Elève (5ème3)'!MY19:NA19,"A"))*4)+((COUNTIF('Elève (5ème3)'!MY19:NA19,"B"))*3)+((COUNTIF('Elève (5ème3)'!MY19:NA19,"C"))*2)+((COUNTIF('Elève (5ème3)'!MY19:NA19,"D"))*1))/(COUNTA(MY19:NA19)),"")</f>
        <v>2.5</v>
      </c>
      <c r="NC19" s="185" t="str">
        <f t="shared" si="80"/>
        <v>C</v>
      </c>
      <c r="ND19" s="129" t="s">
        <v>29</v>
      </c>
      <c r="NE19" s="130" t="s">
        <v>28</v>
      </c>
      <c r="NF19" s="131" t="s">
        <v>28</v>
      </c>
      <c r="NG19" s="184">
        <f>IFERROR((((COUNTIF('Elève (5ème3)'!ND19:NF19,"A"))*4)+((COUNTIF('Elève (5ème3)'!ND19:NF19,"B"))*3)+((COUNTIF('Elève (5ème3)'!ND19:NF19,"C"))*2)+((COUNTIF('Elève (5ème3)'!ND19:NF19,"D"))*1))/(COUNTA(ND19:NF19)),"")</f>
        <v>2.6666666666666665</v>
      </c>
      <c r="NH19" s="185" t="str">
        <f t="shared" si="81"/>
        <v>C</v>
      </c>
      <c r="NI19" s="129" t="s">
        <v>27</v>
      </c>
      <c r="NJ19" s="130" t="s">
        <v>28</v>
      </c>
      <c r="NK19" s="131" t="s">
        <v>29</v>
      </c>
      <c r="NL19" s="135" t="s">
        <v>27</v>
      </c>
      <c r="NM19" s="184">
        <f>IFERROR((((COUNTIF('Elève (5ème3)'!NI19:NL19,"A"))*4)+((COUNTIF('Elève (5ème3)'!NI19:NL19,"B"))*3)+((COUNTIF('Elève (5ème3)'!NI19:NL19,"C"))*2)+((COUNTIF('Elève (5ème3)'!NI19:NL19,"D"))*1))/(COUNTA(NI19:NL19)),"")</f>
        <v>3.25</v>
      </c>
      <c r="NN19" s="185" t="str">
        <f t="shared" si="82"/>
        <v>B</v>
      </c>
      <c r="NO19" s="184">
        <f>IF(COUNT(NB19,NG19,NM19)=0,"",SUM(NB19,NG19,NM19)/COUNT(NB19,NG19,NM19))</f>
        <v>2.8055555555555554</v>
      </c>
      <c r="NP19" s="207" t="str">
        <f t="shared" si="83"/>
        <v>B</v>
      </c>
      <c r="NQ19" s="129" t="s">
        <v>30</v>
      </c>
      <c r="NR19" s="130" t="s">
        <v>29</v>
      </c>
      <c r="NS19" s="131"/>
      <c r="NT19" s="184">
        <f>IFERROR((((COUNTIF('Elève (5ème3)'!NQ19:NS19,"A"))*4)+((COUNTIF('Elève (5ème3)'!NQ19:NS19,"B"))*3)+((COUNTIF('Elève (5ème3)'!NQ19:NS19,"C"))*2)+((COUNTIF('Elève (5ème3)'!NQ19:NS19,"D"))*1))/(COUNTA(NQ19:NS19)),"")</f>
        <v>1.5</v>
      </c>
      <c r="NU19" s="185" t="str">
        <f t="shared" si="84"/>
        <v>D</v>
      </c>
      <c r="NV19" s="129" t="s">
        <v>30</v>
      </c>
      <c r="NW19" s="130" t="s">
        <v>27</v>
      </c>
      <c r="NX19" s="131" t="s">
        <v>29</v>
      </c>
      <c r="NY19" s="184">
        <f>IFERROR((((COUNTIF('Elève (5ème3)'!NV19:NX19,"A"))*4)+((COUNTIF('Elève (5ème3)'!NV19:NX19,"B"))*3)+((COUNTIF('Elève (5ème3)'!NV19:NX19,"C"))*2)+((COUNTIF('Elève (5ème3)'!NV19:NX19,"D"))*1))/(COUNTA(NV19:NX19)),"")</f>
        <v>2.3333333333333335</v>
      </c>
      <c r="NZ19" s="185" t="str">
        <f t="shared" si="85"/>
        <v>C</v>
      </c>
      <c r="OA19" s="129" t="s">
        <v>27</v>
      </c>
      <c r="OB19" s="130"/>
      <c r="OC19" s="131"/>
      <c r="OD19" s="135" t="s">
        <v>29</v>
      </c>
      <c r="OE19" s="184">
        <f>IFERROR((((COUNTIF('Elève (5ème3)'!OA19:OD19,"A"))*4)+((COUNTIF('Elève (5ème3)'!OA19:OD19,"B"))*3)+((COUNTIF('Elève (5ème3)'!OA19:OD19,"C"))*2)+((COUNTIF('Elève (5ème3)'!OA19:OD19,"D"))*1))/(COUNTA(OA19:OD19)),"")</f>
        <v>3</v>
      </c>
      <c r="OF19" s="185" t="str">
        <f t="shared" si="86"/>
        <v>B</v>
      </c>
      <c r="OG19" s="184">
        <f>IF(COUNT(NT19,NY19,OE19)=0,"",SUM(NT19,NY19,OE19)/COUNT(NT19,NY19,OE19))</f>
        <v>2.2777777777777781</v>
      </c>
      <c r="OH19" s="207" t="str">
        <f t="shared" si="87"/>
        <v>C</v>
      </c>
      <c r="OI19" s="129" t="s">
        <v>28</v>
      </c>
      <c r="OJ19" s="130" t="s">
        <v>28</v>
      </c>
      <c r="OK19" s="131"/>
      <c r="OL19" s="184">
        <f>IFERROR((((COUNTIF('Elève (5ème3)'!OI19:OK19,"A"))*4)+((COUNTIF('Elève (5ème3)'!OI19:OK19,"B"))*3)+((COUNTIF('Elève (5ème3)'!OI19:OK19,"C"))*2)+((COUNTIF('Elève (5ème3)'!OI19:OK19,"D"))*1))/(COUNTA(OI19:OK19)),"")</f>
        <v>3</v>
      </c>
      <c r="OM19" s="185" t="str">
        <f t="shared" si="88"/>
        <v>B</v>
      </c>
      <c r="ON19" s="129" t="s">
        <v>29</v>
      </c>
      <c r="OO19" s="130" t="s">
        <v>29</v>
      </c>
      <c r="OP19" s="131"/>
      <c r="OQ19" s="184">
        <f>IFERROR((((COUNTIF('Elève (5ème3)'!ON19:OP19,"A"))*4)+((COUNTIF('Elève (5ème3)'!ON19:OP19,"B"))*3)+((COUNTIF('Elève (5ème3)'!ON19:OP19,"C"))*2)+((COUNTIF('Elève (5ème3)'!ON19:OP19,"D"))*1))/(COUNTA(ON19:OP19)),"")</f>
        <v>2</v>
      </c>
      <c r="OR19" s="185" t="str">
        <f t="shared" si="89"/>
        <v>C</v>
      </c>
      <c r="OS19" s="129" t="s">
        <v>27</v>
      </c>
      <c r="OT19" s="130" t="s">
        <v>29</v>
      </c>
      <c r="OU19" s="131" t="s">
        <v>28</v>
      </c>
      <c r="OV19" s="135" t="s">
        <v>29</v>
      </c>
      <c r="OW19" s="184">
        <f>IFERROR((((COUNTIF('Elève (5ème3)'!OS19:OV19,"A"))*4)+((COUNTIF('Elève (5ème3)'!OS19:OV19,"B"))*3)+((COUNTIF('Elève (5ème3)'!OS19:OV19,"C"))*2)+((COUNTIF('Elève (5ème3)'!OS19:OV19,"D"))*1))/(COUNTA(OS19:OV19)),"")</f>
        <v>2.75</v>
      </c>
      <c r="OX19" s="185" t="str">
        <f t="shared" si="90"/>
        <v>C</v>
      </c>
      <c r="OY19" s="184">
        <f>IF(COUNT(OL19,OQ19,OW19)=0,"",SUM(OL19,OQ19,OW19)/COUNT(OL19,OQ19,OW19))</f>
        <v>2.5833333333333335</v>
      </c>
      <c r="OZ19" s="207" t="str">
        <f t="shared" si="91"/>
        <v>C</v>
      </c>
      <c r="PA19" s="129" t="s">
        <v>28</v>
      </c>
      <c r="PB19" s="130" t="s">
        <v>30</v>
      </c>
      <c r="PC19" s="131"/>
      <c r="PD19" s="184">
        <f>IFERROR((((COUNTIF('Elève (5ème3)'!PA19:PC19,"A"))*4)+((COUNTIF('Elève (5ème3)'!PA19:PC19,"B"))*3)+((COUNTIF('Elève (5ème3)'!PA19:PC19,"C"))*2)+((COUNTIF('Elève (5ème3)'!PA19:PC19,"D"))*1))/(COUNTA(PA19:PC19)),"")</f>
        <v>2</v>
      </c>
      <c r="PE19" s="185" t="str">
        <f t="shared" si="92"/>
        <v>C</v>
      </c>
      <c r="PF19" s="129" t="s">
        <v>29</v>
      </c>
      <c r="PG19" s="130" t="s">
        <v>29</v>
      </c>
      <c r="PH19" s="131" t="s">
        <v>28</v>
      </c>
      <c r="PI19" s="184">
        <f>IFERROR((((COUNTIF('Elève (5ème3)'!PF19:PH19,"A"))*4)+((COUNTIF('Elève (5ème3)'!PF19:PH19,"B"))*3)+((COUNTIF('Elève (5ème3)'!PF19:PH19,"C"))*2)+((COUNTIF('Elève (5ème3)'!PF19:PH19,"D"))*1))/(COUNTA(PF19:PH19)),"")</f>
        <v>2.3333333333333335</v>
      </c>
      <c r="PJ19" s="185" t="str">
        <f t="shared" si="93"/>
        <v>C</v>
      </c>
      <c r="PK19" s="129" t="s">
        <v>30</v>
      </c>
      <c r="PL19" s="130" t="s">
        <v>29</v>
      </c>
      <c r="PM19" s="131" t="s">
        <v>29</v>
      </c>
      <c r="PN19" s="135" t="s">
        <v>27</v>
      </c>
      <c r="PO19" s="184">
        <f>IFERROR((((COUNTIF('Elève (5ème3)'!PK19:PN19,"A"))*4)+((COUNTIF('Elève (5ème3)'!PK19:PN19,"B"))*3)+((COUNTIF('Elève (5ème3)'!PK19:PN19,"C"))*2)+((COUNTIF('Elève (5ème3)'!PK19:PN19,"D"))*1))/(COUNTA(PK19:PN19)),"")</f>
        <v>2.25</v>
      </c>
      <c r="PP19" s="185" t="str">
        <f t="shared" si="94"/>
        <v>C</v>
      </c>
      <c r="PQ19" s="184">
        <f>IF(COUNT(PD19,PI19,PO19)=0,"",SUM(PD19,PI19,PO19)/COUNT(PD19,PI19,PO19))</f>
        <v>2.1944444444444446</v>
      </c>
      <c r="PR19" s="207" t="str">
        <f t="shared" si="95"/>
        <v>C</v>
      </c>
      <c r="PS19" s="129" t="s">
        <v>28</v>
      </c>
      <c r="PT19" s="130" t="s">
        <v>29</v>
      </c>
      <c r="PU19" s="131"/>
      <c r="PV19" s="184">
        <f>IFERROR((((COUNTIF('Elève (5ème3)'!PS19:PU19,"A"))*4)+((COUNTIF('Elève (5ème3)'!PS19:PU19,"B"))*3)+((COUNTIF('Elève (5ème3)'!PS19:PU19,"C"))*2)+((COUNTIF('Elève (5ème3)'!PS19:PU19,"D"))*1))/(COUNTA(PS19:PU19)),"")</f>
        <v>2.5</v>
      </c>
      <c r="PW19" s="185" t="str">
        <f t="shared" si="96"/>
        <v>C</v>
      </c>
      <c r="PX19" s="129" t="s">
        <v>28</v>
      </c>
      <c r="PY19" s="130" t="s">
        <v>29</v>
      </c>
      <c r="PZ19" s="131" t="s">
        <v>29</v>
      </c>
      <c r="QA19" s="184">
        <f>IFERROR((((COUNTIF('Elève (5ème3)'!PX19:PZ19,"A"))*4)+((COUNTIF('Elève (5ème3)'!PX19:PZ19,"B"))*3)+((COUNTIF('Elève (5ème3)'!PX19:PZ19,"C"))*2)+((COUNTIF('Elève (5ème3)'!PX19:PZ19,"D"))*1))/(COUNTA(PX19:PZ19)),"")</f>
        <v>2.3333333333333335</v>
      </c>
      <c r="QB19" s="185" t="str">
        <f t="shared" si="97"/>
        <v>C</v>
      </c>
      <c r="QC19" s="129" t="s">
        <v>27</v>
      </c>
      <c r="QD19" s="130" t="s">
        <v>28</v>
      </c>
      <c r="QE19" s="131" t="s">
        <v>29</v>
      </c>
      <c r="QF19" s="135" t="s">
        <v>27</v>
      </c>
      <c r="QG19" s="184">
        <f>IFERROR((((COUNTIF('Elève (5ème3)'!QC19:QF19,"A"))*4)+((COUNTIF('Elève (5ème3)'!QC19:QF19,"B"))*3)+((COUNTIF('Elève (5ème3)'!QC19:QF19,"C"))*2)+((COUNTIF('Elève (5ème3)'!QC19:QF19,"D"))*1))/(COUNTA(QC19:QF19)),"")</f>
        <v>3.25</v>
      </c>
      <c r="QH19" s="185" t="str">
        <f t="shared" si="98"/>
        <v>B</v>
      </c>
      <c r="QI19" s="184">
        <f>IF(COUNT(PV19,QA19,QG19)=0,"",SUM(PV19,QA19,QG19)/COUNT(PV19,QA19,QG19))</f>
        <v>2.6944444444444446</v>
      </c>
      <c r="QJ19" s="207" t="str">
        <f t="shared" si="99"/>
        <v>C</v>
      </c>
      <c r="QK19" s="129" t="s">
        <v>29</v>
      </c>
      <c r="QL19" s="130" t="s">
        <v>29</v>
      </c>
      <c r="QM19" s="131"/>
      <c r="QN19" s="184">
        <f>IFERROR((((COUNTIF('Elève (5ème3)'!QK19:QM19,"A"))*4)+((COUNTIF('Elève (5ème3)'!QK19:QM19,"B"))*3)+((COUNTIF('Elève (5ème3)'!QK19:QM19,"C"))*2)+((COUNTIF('Elève (5ème3)'!QK19:QM19,"D"))*1))/(COUNTA(QK19:QM19)),"")</f>
        <v>2</v>
      </c>
      <c r="QO19" s="185" t="str">
        <f t="shared" si="100"/>
        <v>C</v>
      </c>
      <c r="QP19" s="129"/>
      <c r="QQ19" s="130" t="s">
        <v>28</v>
      </c>
      <c r="QR19" s="131"/>
      <c r="QS19" s="184">
        <f>IFERROR((((COUNTIF('Elève (5ème3)'!QP19:QR19,"A"))*4)+((COUNTIF('Elève (5ème3)'!QP19:QR19,"B"))*3)+((COUNTIF('Elève (5ème3)'!QP19:QR19,"C"))*2)+((COUNTIF('Elève (5ème3)'!QP19:QR19,"D"))*1))/(COUNTA(QP19:QR19)),"")</f>
        <v>3</v>
      </c>
      <c r="QT19" s="185" t="str">
        <f t="shared" si="101"/>
        <v>B</v>
      </c>
      <c r="QU19" s="129" t="s">
        <v>27</v>
      </c>
      <c r="QV19" s="130" t="s">
        <v>28</v>
      </c>
      <c r="QW19" s="131" t="s">
        <v>29</v>
      </c>
      <c r="QX19" s="135"/>
      <c r="QY19" s="184">
        <f>IFERROR((((COUNTIF('Elève (5ème3)'!QU19:QX19,"A"))*4)+((COUNTIF('Elève (5ème3)'!QU19:QX19,"B"))*3)+((COUNTIF('Elève (5ème3)'!QU19:QX19,"C"))*2)+((COUNTIF('Elève (5ème3)'!QU19:QX19,"D"))*1))/(COUNTA(QU19:QX19)),"")</f>
        <v>3</v>
      </c>
      <c r="QZ19" s="185" t="str">
        <f t="shared" si="102"/>
        <v>B</v>
      </c>
      <c r="RA19" s="184">
        <f>IF(COUNT(QN19,QS19,QY19)=0,"",SUM(QN19,QS19,QY19)/COUNT(QN19,QS19,QY19))</f>
        <v>2.6666666666666665</v>
      </c>
      <c r="RB19" s="207" t="str">
        <f t="shared" si="103"/>
        <v>C</v>
      </c>
      <c r="RC19" s="129" t="s">
        <v>29</v>
      </c>
      <c r="RD19" s="130" t="s">
        <v>28</v>
      </c>
      <c r="RE19" s="131"/>
      <c r="RF19" s="184">
        <f>IFERROR((((COUNTIF('Elève (5ème3)'!RC19:RE19,"A"))*4)+((COUNTIF('Elève (5ème3)'!RC19:RE19,"B"))*3)+((COUNTIF('Elève (5ème3)'!RC19:RE19,"C"))*2)+((COUNTIF('Elève (5ème3)'!RC19:RE19,"D"))*1))/(COUNTA(RC19:RE19)),"")</f>
        <v>2.5</v>
      </c>
      <c r="RG19" s="185" t="str">
        <f t="shared" si="104"/>
        <v>C</v>
      </c>
      <c r="RH19" s="129" t="s">
        <v>28</v>
      </c>
      <c r="RI19" s="130" t="s">
        <v>29</v>
      </c>
      <c r="RJ19" s="131" t="s">
        <v>29</v>
      </c>
      <c r="RK19" s="184">
        <f>IFERROR((((COUNTIF('Elève (5ème3)'!RH19:RJ19,"A"))*4)+((COUNTIF('Elève (5ème3)'!RH19:RJ19,"B"))*3)+((COUNTIF('Elève (5ème3)'!RH19:RJ19,"C"))*2)+((COUNTIF('Elève (5ème3)'!RH19:RJ19,"D"))*1))/(COUNTA(RH19:RJ19)),"")</f>
        <v>2.3333333333333335</v>
      </c>
      <c r="RL19" s="185" t="str">
        <f t="shared" si="105"/>
        <v>C</v>
      </c>
      <c r="RM19" s="129" t="s">
        <v>27</v>
      </c>
      <c r="RN19" s="130" t="s">
        <v>28</v>
      </c>
      <c r="RO19" s="131" t="s">
        <v>29</v>
      </c>
      <c r="RP19" s="135" t="s">
        <v>27</v>
      </c>
      <c r="RQ19" s="184">
        <f>IFERROR((((COUNTIF('Elève (5ème3)'!RM19:RP19,"A"))*4)+((COUNTIF('Elève (5ème3)'!RM19:RP19,"B"))*3)+((COUNTIF('Elève (5ème3)'!RM19:RP19,"C"))*2)+((COUNTIF('Elève (5ème3)'!RM19:RP19,"D"))*1))/(COUNTA(RM19:RP19)),"")</f>
        <v>3.25</v>
      </c>
      <c r="RR19" s="185" t="str">
        <f t="shared" si="106"/>
        <v>B</v>
      </c>
      <c r="RS19" s="184">
        <f>IF(COUNT(RF19,RK19,RQ19)=0,"",SUM(RF19,RK19,RQ19)/COUNT(RF19,RK19,RQ19))</f>
        <v>2.6944444444444446</v>
      </c>
      <c r="RT19" s="207" t="str">
        <f t="shared" si="107"/>
        <v>C</v>
      </c>
      <c r="RU19" s="129"/>
      <c r="RV19" s="130"/>
      <c r="RW19" s="131"/>
      <c r="RX19" s="132" t="str">
        <f>IFERROR((((COUNTIF('Elève (5ème3)'!RU19:RW19,"A"))*4)+((COUNTIF('Elève (5ème3)'!RU19:RW19,"B"))*3)+((COUNTIF('Elève (5ème3)'!RU19:RW19,"C"))*2)+((COUNTIF('Elève (5ème3)'!RU19:RW19,"D"))*1))/(COUNTA(RU19:RW19)),"")</f>
        <v/>
      </c>
      <c r="RY19" s="133" t="str">
        <f t="shared" si="108"/>
        <v/>
      </c>
      <c r="RZ19" s="129"/>
      <c r="SA19" s="130"/>
      <c r="SB19" s="131"/>
      <c r="SC19" s="132" t="str">
        <f>IFERROR((((COUNTIF('Elève (5ème3)'!RZ19:SB19,"A"))*4)+((COUNTIF('Elève (5ème3)'!RZ19:SB19,"B"))*3)+((COUNTIF('Elève (5ème3)'!RZ19:SB19,"C"))*2)+((COUNTIF('Elève (5ème3)'!RZ19:SB19,"D"))*1))/(COUNTA(RZ19:SB19)),"")</f>
        <v/>
      </c>
      <c r="SD19" s="133" t="str">
        <f t="shared" si="109"/>
        <v/>
      </c>
      <c r="SE19" s="129"/>
      <c r="SF19" s="130"/>
      <c r="SG19" s="135"/>
      <c r="SH19" s="132" t="str">
        <f>IFERROR((((COUNTIF('Elève (5ème3)'!SE19:SG19,"A"))*4)+((COUNTIF('Elève (5ème3)'!SE19:SG19,"B"))*3)+((COUNTIF('Elève (5ème3)'!SE19:SG19,"C"))*2)+((COUNTIF('Elève (5ème3)'!SE19:SG19,"D"))*1))/(COUNTA(SE19:SG19)),"")</f>
        <v/>
      </c>
      <c r="SI19" s="133" t="str">
        <f t="shared" si="110"/>
        <v/>
      </c>
      <c r="SJ19" s="132" t="str">
        <f>IF(COUNT(RX19,SC19,SH19)=0,"",SUM(RX19,SC19,SH19)/COUNT(RX19,SC19,SH19))</f>
        <v/>
      </c>
      <c r="SK19" s="134" t="str">
        <f t="shared" si="111"/>
        <v/>
      </c>
      <c r="SL19" s="129"/>
      <c r="SM19" s="130"/>
      <c r="SN19" s="131"/>
      <c r="SO19" s="132" t="str">
        <f>IFERROR((((COUNTIF('Elève (5ème3)'!SL19:SN19,"A"))*4)+((COUNTIF('Elève (5ème3)'!SL19:SN19,"B"))*3)+((COUNTIF('Elève (5ème3)'!SL19:SN19,"C"))*2)+((COUNTIF('Elève (5ème3)'!SL19:SN19,"D"))*1))/(COUNTA(SL19:SN19)),"")</f>
        <v/>
      </c>
      <c r="SP19" s="133" t="str">
        <f t="shared" si="112"/>
        <v/>
      </c>
      <c r="SQ19" s="129"/>
      <c r="SR19" s="130"/>
      <c r="SS19" s="131"/>
      <c r="ST19" s="132" t="str">
        <f>IFERROR((((COUNTIF('Elève (5ème3)'!SQ19:SS19,"A"))*4)+((COUNTIF('Elève (5ème3)'!SQ19:SS19,"B"))*3)+((COUNTIF('Elève (5ème3)'!SQ19:SS19,"C"))*2)+((COUNTIF('Elève (5ème3)'!SQ19:SS19,"D"))*1))/(COUNTA(SQ19:SS19)),"")</f>
        <v/>
      </c>
      <c r="SU19" s="133" t="str">
        <f t="shared" si="113"/>
        <v/>
      </c>
      <c r="SV19" s="129"/>
      <c r="SW19" s="130"/>
      <c r="SX19" s="135"/>
      <c r="SY19" s="132" t="str">
        <f>IFERROR((((COUNTIF('Elève (5ème3)'!SV19:SX19,"A"))*4)+((COUNTIF('Elève (5ème3)'!SV19:SX19,"B"))*3)+((COUNTIF('Elève (5ème3)'!SV19:SX19,"C"))*2)+((COUNTIF('Elève (5ème3)'!SV19:SX19,"D"))*1))/(COUNTA(SV19:SX19)),"")</f>
        <v/>
      </c>
      <c r="SZ19" s="133" t="str">
        <f t="shared" si="114"/>
        <v/>
      </c>
      <c r="TA19" s="132" t="str">
        <f>IF(COUNT(SO19,ST19,SY19)=0,"",SUM(SO19,ST19,SY19)/COUNT(SO19,ST19,SY19))</f>
        <v/>
      </c>
      <c r="TB19" s="134" t="str">
        <f t="shared" si="115"/>
        <v/>
      </c>
      <c r="TC19" s="129"/>
      <c r="TD19" s="130"/>
      <c r="TE19" s="131"/>
      <c r="TF19" s="132" t="str">
        <f>IFERROR((((COUNTIF('Elève (5ème3)'!TC19:TE19,"A"))*4)+((COUNTIF('Elève (5ème3)'!TC19:TE19,"B"))*3)+((COUNTIF('Elève (5ème3)'!TC19:TE19,"C"))*2)+((COUNTIF('Elève (5ème3)'!TC19:TE19,"D"))*1))/(COUNTA(TC19:TE19)),"")</f>
        <v/>
      </c>
      <c r="TG19" s="133" t="str">
        <f t="shared" si="116"/>
        <v/>
      </c>
      <c r="TH19" s="129"/>
      <c r="TI19" s="130"/>
      <c r="TJ19" s="131"/>
      <c r="TK19" s="132" t="str">
        <f>IFERROR((((COUNTIF('Elève (5ème3)'!TH19:TJ19,"A"))*4)+((COUNTIF('Elève (5ème3)'!TH19:TJ19,"B"))*3)+((COUNTIF('Elève (5ème3)'!TH19:TJ19,"C"))*2)+((COUNTIF('Elève (5ème3)'!TH19:TJ19,"D"))*1))/(COUNTA(TH19:TJ19)),"")</f>
        <v/>
      </c>
      <c r="TL19" s="133" t="str">
        <f t="shared" si="117"/>
        <v/>
      </c>
      <c r="TM19" s="129"/>
      <c r="TN19" s="130"/>
      <c r="TO19" s="135"/>
      <c r="TP19" s="132" t="str">
        <f>IFERROR((((COUNTIF('Elève (5ème3)'!TM19:TO19,"A"))*4)+((COUNTIF('Elève (5ème3)'!TM19:TO19,"B"))*3)+((COUNTIF('Elève (5ème3)'!TM19:TO19,"C"))*2)+((COUNTIF('Elève (5ème3)'!TM19:TO19,"D"))*1))/(COUNTA(TM19:TO19)),"")</f>
        <v/>
      </c>
      <c r="TQ19" s="133" t="str">
        <f t="shared" si="118"/>
        <v/>
      </c>
      <c r="TR19" s="132" t="str">
        <f>IF(COUNT(TF19,TK19,TP19)=0,"",SUM(TF19,TK19,TP19)/COUNT(TF19,TK19,TP19))</f>
        <v/>
      </c>
      <c r="TS19" s="134" t="str">
        <f t="shared" si="119"/>
        <v/>
      </c>
    </row>
    <row r="20" spans="1:539" s="114" customFormat="1" ht="16.5" customHeight="1" thickBot="1" x14ac:dyDescent="0.3">
      <c r="A20" s="164" t="s">
        <v>24</v>
      </c>
      <c r="B20" s="139">
        <v>1</v>
      </c>
      <c r="C20" s="171"/>
      <c r="D20" s="84"/>
      <c r="E20" s="104"/>
      <c r="F20" s="178">
        <f>IF(COUNT(F21)=0,"",SUM(F21)/COUNT(F21))</f>
        <v>2</v>
      </c>
      <c r="G20" s="179" t="str">
        <f t="shared" si="0"/>
        <v>C</v>
      </c>
      <c r="H20" s="171"/>
      <c r="I20" s="84"/>
      <c r="J20" s="84"/>
      <c r="K20" s="178" t="str">
        <f>IF(COUNT(K21)=0,"",SUM(K21)/COUNT(K21))</f>
        <v/>
      </c>
      <c r="L20" s="194" t="str">
        <f t="shared" si="1"/>
        <v/>
      </c>
      <c r="M20" s="172"/>
      <c r="N20" s="109"/>
      <c r="O20" s="109"/>
      <c r="P20" s="110"/>
      <c r="Q20" s="178" t="str">
        <f>IF(COUNT(Q21)=0,"",SUM(Q21)/COUNT(Q21))</f>
        <v/>
      </c>
      <c r="R20" s="202" t="str">
        <f t="shared" si="2"/>
        <v/>
      </c>
      <c r="S20" s="203">
        <f>IF(COUNT(S21)=0,"",SUM(S21)/COUNT(S21))</f>
        <v>2</v>
      </c>
      <c r="T20" s="204" t="str">
        <f t="shared" si="3"/>
        <v>C</v>
      </c>
      <c r="U20" s="215"/>
      <c r="V20" s="84"/>
      <c r="W20" s="104"/>
      <c r="X20" s="178">
        <f>IF(COUNT(X21)=0,"",SUM(X21)/COUNT(X21))</f>
        <v>3</v>
      </c>
      <c r="Y20" s="179" t="str">
        <f t="shared" si="4"/>
        <v>B</v>
      </c>
      <c r="Z20" s="171"/>
      <c r="AA20" s="84"/>
      <c r="AB20" s="84"/>
      <c r="AC20" s="178" t="str">
        <f>IF(COUNT(AC21)=0,"",SUM(AC21)/COUNT(AC21))</f>
        <v/>
      </c>
      <c r="AD20" s="194" t="str">
        <f t="shared" si="5"/>
        <v/>
      </c>
      <c r="AE20" s="172"/>
      <c r="AF20" s="109"/>
      <c r="AG20" s="109"/>
      <c r="AH20" s="110"/>
      <c r="AI20" s="178" t="str">
        <f>IF(COUNT(AI21)=0,"",SUM(AI21)/COUNT(AI21))</f>
        <v/>
      </c>
      <c r="AJ20" s="202" t="str">
        <f t="shared" si="6"/>
        <v/>
      </c>
      <c r="AK20" s="203">
        <f>IF(COUNT(AK21)=0,"",SUM(AK21)/COUNT(AK21))</f>
        <v>3</v>
      </c>
      <c r="AL20" s="204" t="str">
        <f t="shared" si="7"/>
        <v>B</v>
      </c>
      <c r="AM20" s="215"/>
      <c r="AN20" s="84"/>
      <c r="AO20" s="104"/>
      <c r="AP20" s="178">
        <f>IF(COUNT(AP21)=0,"",SUM(AP21)/COUNT(AP21))</f>
        <v>2</v>
      </c>
      <c r="AQ20" s="179" t="str">
        <f t="shared" si="8"/>
        <v>C</v>
      </c>
      <c r="AR20" s="171"/>
      <c r="AS20" s="84"/>
      <c r="AT20" s="84"/>
      <c r="AU20" s="178" t="str">
        <f>IF(COUNT(AU21)=0,"",SUM(AU21)/COUNT(AU21))</f>
        <v/>
      </c>
      <c r="AV20" s="194" t="str">
        <f t="shared" si="9"/>
        <v/>
      </c>
      <c r="AW20" s="172"/>
      <c r="AX20" s="109"/>
      <c r="AY20" s="109"/>
      <c r="AZ20" s="110"/>
      <c r="BA20" s="178" t="str">
        <f>IF(COUNT(BA21)=0,"",SUM(BA21)/COUNT(BA21))</f>
        <v/>
      </c>
      <c r="BB20" s="202" t="str">
        <f t="shared" si="10"/>
        <v/>
      </c>
      <c r="BC20" s="203">
        <f>IF(COUNT(BC21)=0,"",SUM(BC21)/COUNT(BC21))</f>
        <v>2</v>
      </c>
      <c r="BD20" s="204" t="str">
        <f t="shared" si="11"/>
        <v>C</v>
      </c>
      <c r="BE20" s="215"/>
      <c r="BF20" s="84"/>
      <c r="BG20" s="104"/>
      <c r="BH20" s="178">
        <f>IF(COUNT(BH21)=0,"",SUM(BH21)/COUNT(BH21))</f>
        <v>2</v>
      </c>
      <c r="BI20" s="179" t="str">
        <f t="shared" si="12"/>
        <v>C</v>
      </c>
      <c r="BJ20" s="171"/>
      <c r="BK20" s="84"/>
      <c r="BL20" s="84"/>
      <c r="BM20" s="178" t="str">
        <f>IF(COUNT(BM21)=0,"",SUM(BM21)/COUNT(BM21))</f>
        <v/>
      </c>
      <c r="BN20" s="194" t="str">
        <f t="shared" si="13"/>
        <v/>
      </c>
      <c r="BO20" s="172"/>
      <c r="BP20" s="109"/>
      <c r="BQ20" s="109"/>
      <c r="BR20" s="110"/>
      <c r="BS20" s="178" t="str">
        <f>IF(COUNT(BS21)=0,"",SUM(BS21)/COUNT(BS21))</f>
        <v/>
      </c>
      <c r="BT20" s="202" t="str">
        <f t="shared" si="14"/>
        <v/>
      </c>
      <c r="BU20" s="203">
        <f>IF(COUNT(BU21)=0,"",SUM(BU21)/COUNT(BU21))</f>
        <v>2</v>
      </c>
      <c r="BV20" s="204" t="str">
        <f t="shared" si="15"/>
        <v>C</v>
      </c>
      <c r="BW20" s="215"/>
      <c r="BX20" s="84"/>
      <c r="BY20" s="104"/>
      <c r="BZ20" s="178">
        <f>IF(COUNT(BZ21)=0,"",SUM(BZ21)/COUNT(BZ21))</f>
        <v>2</v>
      </c>
      <c r="CA20" s="179" t="str">
        <f t="shared" si="16"/>
        <v>C</v>
      </c>
      <c r="CB20" s="171"/>
      <c r="CC20" s="84"/>
      <c r="CD20" s="84"/>
      <c r="CE20" s="178" t="str">
        <f>IF(COUNT(CE21)=0,"",SUM(CE21)/COUNT(CE21))</f>
        <v/>
      </c>
      <c r="CF20" s="194" t="str">
        <f t="shared" si="17"/>
        <v/>
      </c>
      <c r="CG20" s="172"/>
      <c r="CH20" s="109"/>
      <c r="CI20" s="109"/>
      <c r="CJ20" s="110"/>
      <c r="CK20" s="178" t="str">
        <f>IF(COUNT(CK21)=0,"",SUM(CK21)/COUNT(CK21))</f>
        <v/>
      </c>
      <c r="CL20" s="202" t="str">
        <f t="shared" si="18"/>
        <v/>
      </c>
      <c r="CM20" s="203">
        <f>IF(COUNT(CM21)=0,"",SUM(CM21)/COUNT(CM21))</f>
        <v>2</v>
      </c>
      <c r="CN20" s="204" t="str">
        <f t="shared" si="19"/>
        <v>C</v>
      </c>
      <c r="CO20" s="215"/>
      <c r="CP20" s="84"/>
      <c r="CQ20" s="104"/>
      <c r="CR20" s="178">
        <f>IF(COUNT(CR21)=0,"",SUM(CR21)/COUNT(CR21))</f>
        <v>2</v>
      </c>
      <c r="CS20" s="179" t="str">
        <f t="shared" si="20"/>
        <v>C</v>
      </c>
      <c r="CT20" s="171"/>
      <c r="CU20" s="84"/>
      <c r="CV20" s="84"/>
      <c r="CW20" s="178" t="str">
        <f>IF(COUNT(CW21)=0,"",SUM(CW21)/COUNT(CW21))</f>
        <v/>
      </c>
      <c r="CX20" s="194" t="str">
        <f t="shared" si="21"/>
        <v/>
      </c>
      <c r="CY20" s="172"/>
      <c r="CZ20" s="109"/>
      <c r="DA20" s="109"/>
      <c r="DB20" s="110"/>
      <c r="DC20" s="178" t="str">
        <f>IF(COUNT(DC21)=0,"",SUM(DC21)/COUNT(DC21))</f>
        <v/>
      </c>
      <c r="DD20" s="202" t="str">
        <f t="shared" si="22"/>
        <v/>
      </c>
      <c r="DE20" s="203">
        <f>IF(COUNT(DE21)=0,"",SUM(DE21)/COUNT(DE21))</f>
        <v>2</v>
      </c>
      <c r="DF20" s="204" t="str">
        <f t="shared" si="23"/>
        <v>C</v>
      </c>
      <c r="DG20" s="215"/>
      <c r="DH20" s="84"/>
      <c r="DI20" s="104"/>
      <c r="DJ20" s="178">
        <f>IF(COUNT(DJ21)=0,"",SUM(DJ21)/COUNT(DJ21))</f>
        <v>2</v>
      </c>
      <c r="DK20" s="179" t="str">
        <f t="shared" si="24"/>
        <v>C</v>
      </c>
      <c r="DL20" s="171"/>
      <c r="DM20" s="84"/>
      <c r="DN20" s="84"/>
      <c r="DO20" s="178" t="str">
        <f>IF(COUNT(DO21)=0,"",SUM(DO21)/COUNT(DO21))</f>
        <v/>
      </c>
      <c r="DP20" s="194" t="str">
        <f t="shared" si="25"/>
        <v/>
      </c>
      <c r="DQ20" s="172"/>
      <c r="DR20" s="109"/>
      <c r="DS20" s="109"/>
      <c r="DT20" s="110"/>
      <c r="DU20" s="178" t="str">
        <f>IF(COUNT(DU21)=0,"",SUM(DU21)/COUNT(DU21))</f>
        <v/>
      </c>
      <c r="DV20" s="202" t="str">
        <f t="shared" si="26"/>
        <v/>
      </c>
      <c r="DW20" s="203">
        <f>IF(COUNT(DW21)=0,"",SUM(DW21)/COUNT(DW21))</f>
        <v>2</v>
      </c>
      <c r="DX20" s="204" t="str">
        <f t="shared" si="27"/>
        <v>C</v>
      </c>
      <c r="DY20" s="215"/>
      <c r="DZ20" s="84"/>
      <c r="EA20" s="104"/>
      <c r="EB20" s="178">
        <f>IF(COUNT(EB21)=0,"",SUM(EB21)/COUNT(EB21))</f>
        <v>2</v>
      </c>
      <c r="EC20" s="179" t="str">
        <f t="shared" si="28"/>
        <v>C</v>
      </c>
      <c r="ED20" s="171"/>
      <c r="EE20" s="84"/>
      <c r="EF20" s="84"/>
      <c r="EG20" s="178" t="str">
        <f>IF(COUNT(EG21)=0,"",SUM(EG21)/COUNT(EG21))</f>
        <v/>
      </c>
      <c r="EH20" s="194" t="str">
        <f t="shared" si="29"/>
        <v/>
      </c>
      <c r="EI20" s="172"/>
      <c r="EJ20" s="109"/>
      <c r="EK20" s="109"/>
      <c r="EL20" s="110"/>
      <c r="EM20" s="178" t="str">
        <f>IF(COUNT(EM21)=0,"",SUM(EM21)/COUNT(EM21))</f>
        <v/>
      </c>
      <c r="EN20" s="202" t="str">
        <f t="shared" si="30"/>
        <v/>
      </c>
      <c r="EO20" s="203">
        <f>IF(COUNT(EO21)=0,"",SUM(EO21)/COUNT(EO21))</f>
        <v>2</v>
      </c>
      <c r="EP20" s="204" t="str">
        <f t="shared" si="31"/>
        <v>C</v>
      </c>
      <c r="EQ20" s="215"/>
      <c r="ER20" s="84"/>
      <c r="ES20" s="104"/>
      <c r="ET20" s="178">
        <f>IF(COUNT(ET21)=0,"",SUM(ET21)/COUNT(ET21))</f>
        <v>2</v>
      </c>
      <c r="EU20" s="179" t="str">
        <f t="shared" si="32"/>
        <v>C</v>
      </c>
      <c r="EV20" s="171"/>
      <c r="EW20" s="84"/>
      <c r="EX20" s="84"/>
      <c r="EY20" s="178" t="str">
        <f>IF(COUNT(EY21)=0,"",SUM(EY21)/COUNT(EY21))</f>
        <v/>
      </c>
      <c r="EZ20" s="194" t="str">
        <f t="shared" si="33"/>
        <v/>
      </c>
      <c r="FA20" s="172"/>
      <c r="FB20" s="109"/>
      <c r="FC20" s="109"/>
      <c r="FD20" s="110"/>
      <c r="FE20" s="178" t="str">
        <f>IF(COUNT(FE21)=0,"",SUM(FE21)/COUNT(FE21))</f>
        <v/>
      </c>
      <c r="FF20" s="202" t="str">
        <f t="shared" si="34"/>
        <v/>
      </c>
      <c r="FG20" s="203">
        <f>IF(COUNT(FG21)=0,"",SUM(FG21)/COUNT(FG21))</f>
        <v>2</v>
      </c>
      <c r="FH20" s="204" t="str">
        <f t="shared" si="35"/>
        <v>C</v>
      </c>
      <c r="FI20" s="215"/>
      <c r="FJ20" s="84"/>
      <c r="FK20" s="104"/>
      <c r="FL20" s="178">
        <f>IF(COUNT(FL21)=0,"",SUM(FL21)/COUNT(FL21))</f>
        <v>3</v>
      </c>
      <c r="FM20" s="179" t="str">
        <f t="shared" si="36"/>
        <v>B</v>
      </c>
      <c r="FN20" s="171"/>
      <c r="FO20" s="84"/>
      <c r="FP20" s="84"/>
      <c r="FQ20" s="178" t="str">
        <f>IF(COUNT(FQ21)=0,"",SUM(FQ21)/COUNT(FQ21))</f>
        <v/>
      </c>
      <c r="FR20" s="194" t="str">
        <f t="shared" si="37"/>
        <v/>
      </c>
      <c r="FS20" s="172"/>
      <c r="FT20" s="109"/>
      <c r="FU20" s="109"/>
      <c r="FV20" s="110"/>
      <c r="FW20" s="178" t="str">
        <f>IF(COUNT(FW21)=0,"",SUM(FW21)/COUNT(FW21))</f>
        <v/>
      </c>
      <c r="FX20" s="202" t="str">
        <f t="shared" si="38"/>
        <v/>
      </c>
      <c r="FY20" s="203">
        <f>IF(COUNT(FY21)=0,"",SUM(FY21)/COUNT(FY21))</f>
        <v>3</v>
      </c>
      <c r="FZ20" s="204" t="str">
        <f t="shared" si="39"/>
        <v>B</v>
      </c>
      <c r="GA20" s="215"/>
      <c r="GB20" s="84"/>
      <c r="GC20" s="104"/>
      <c r="GD20" s="178">
        <f>IF(COUNT(GD21)=0,"",SUM(GD21)/COUNT(GD21))</f>
        <v>2</v>
      </c>
      <c r="GE20" s="179" t="str">
        <f t="shared" si="40"/>
        <v>C</v>
      </c>
      <c r="GF20" s="171"/>
      <c r="GG20" s="84"/>
      <c r="GH20" s="84"/>
      <c r="GI20" s="178" t="str">
        <f>IF(COUNT(GI21)=0,"",SUM(GI21)/COUNT(GI21))</f>
        <v/>
      </c>
      <c r="GJ20" s="194" t="str">
        <f t="shared" si="41"/>
        <v/>
      </c>
      <c r="GK20" s="172"/>
      <c r="GL20" s="109"/>
      <c r="GM20" s="109"/>
      <c r="GN20" s="110"/>
      <c r="GO20" s="178" t="str">
        <f>IF(COUNT(GO21)=0,"",SUM(GO21)/COUNT(GO21))</f>
        <v/>
      </c>
      <c r="GP20" s="202" t="str">
        <f t="shared" si="42"/>
        <v/>
      </c>
      <c r="GQ20" s="203">
        <f>IF(COUNT(GQ21)=0,"",SUM(GQ21)/COUNT(GQ21))</f>
        <v>2</v>
      </c>
      <c r="GR20" s="204" t="str">
        <f t="shared" si="43"/>
        <v>C</v>
      </c>
      <c r="GS20" s="215"/>
      <c r="GT20" s="84"/>
      <c r="GU20" s="104"/>
      <c r="GV20" s="178">
        <f>IF(COUNT(GV21)=0,"",SUM(GV21)/COUNT(GV21))</f>
        <v>2</v>
      </c>
      <c r="GW20" s="179" t="str">
        <f t="shared" si="44"/>
        <v>C</v>
      </c>
      <c r="GX20" s="171"/>
      <c r="GY20" s="84"/>
      <c r="GZ20" s="84"/>
      <c r="HA20" s="178" t="str">
        <f>IF(COUNT(HA21)=0,"",SUM(HA21)/COUNT(HA21))</f>
        <v/>
      </c>
      <c r="HB20" s="194" t="str">
        <f t="shared" si="45"/>
        <v/>
      </c>
      <c r="HC20" s="172"/>
      <c r="HD20" s="109"/>
      <c r="HE20" s="109"/>
      <c r="HF20" s="110"/>
      <c r="HG20" s="178" t="str">
        <f>IF(COUNT(HG21)=0,"",SUM(HG21)/COUNT(HG21))</f>
        <v/>
      </c>
      <c r="HH20" s="202" t="str">
        <f t="shared" si="46"/>
        <v/>
      </c>
      <c r="HI20" s="203">
        <f>IF(COUNT(HI21)=0,"",SUM(HI21)/COUNT(HI21))</f>
        <v>2</v>
      </c>
      <c r="HJ20" s="204" t="str">
        <f t="shared" si="47"/>
        <v>C</v>
      </c>
      <c r="HK20" s="215"/>
      <c r="HL20" s="84"/>
      <c r="HM20" s="104"/>
      <c r="HN20" s="178">
        <f>IF(COUNT(HN21)=0,"",SUM(HN21)/COUNT(HN21))</f>
        <v>1</v>
      </c>
      <c r="HO20" s="179" t="str">
        <f t="shared" si="48"/>
        <v>D</v>
      </c>
      <c r="HP20" s="171"/>
      <c r="HQ20" s="84"/>
      <c r="HR20" s="84"/>
      <c r="HS20" s="178" t="str">
        <f>IF(COUNT(HS21)=0,"",SUM(HS21)/COUNT(HS21))</f>
        <v/>
      </c>
      <c r="HT20" s="194" t="str">
        <f t="shared" si="49"/>
        <v/>
      </c>
      <c r="HU20" s="172"/>
      <c r="HV20" s="109"/>
      <c r="HW20" s="109"/>
      <c r="HX20" s="110"/>
      <c r="HY20" s="178" t="str">
        <f>IF(COUNT(HY21)=0,"",SUM(HY21)/COUNT(HY21))</f>
        <v/>
      </c>
      <c r="HZ20" s="202" t="str">
        <f t="shared" si="50"/>
        <v/>
      </c>
      <c r="IA20" s="203">
        <f>IF(COUNT(IA21)=0,"",SUM(IA21)/COUNT(IA21))</f>
        <v>1</v>
      </c>
      <c r="IB20" s="204" t="str">
        <f t="shared" si="51"/>
        <v>D</v>
      </c>
      <c r="IC20" s="215"/>
      <c r="ID20" s="84"/>
      <c r="IE20" s="104"/>
      <c r="IF20" s="178">
        <f>IF(COUNT(IF21)=0,"",SUM(IF21)/COUNT(IF21))</f>
        <v>2</v>
      </c>
      <c r="IG20" s="179" t="str">
        <f t="shared" si="52"/>
        <v>C</v>
      </c>
      <c r="IH20" s="171"/>
      <c r="II20" s="84"/>
      <c r="IJ20" s="84"/>
      <c r="IK20" s="178" t="str">
        <f>IF(COUNT(IK21)=0,"",SUM(IK21)/COUNT(IK21))</f>
        <v/>
      </c>
      <c r="IL20" s="194" t="str">
        <f t="shared" si="53"/>
        <v/>
      </c>
      <c r="IM20" s="172"/>
      <c r="IN20" s="109"/>
      <c r="IO20" s="109"/>
      <c r="IP20" s="110"/>
      <c r="IQ20" s="178" t="str">
        <f>IF(COUNT(IQ21)=0,"",SUM(IQ21)/COUNT(IQ21))</f>
        <v/>
      </c>
      <c r="IR20" s="202" t="str">
        <f t="shared" si="54"/>
        <v/>
      </c>
      <c r="IS20" s="203">
        <f>IF(COUNT(IS21)=0,"",SUM(IS21)/COUNT(IS21))</f>
        <v>2</v>
      </c>
      <c r="IT20" s="204" t="str">
        <f t="shared" si="55"/>
        <v>C</v>
      </c>
      <c r="IU20" s="215"/>
      <c r="IV20" s="84"/>
      <c r="IW20" s="104"/>
      <c r="IX20" s="178">
        <f>IF(COUNT(IX21)=0,"",SUM(IX21)/COUNT(IX21))</f>
        <v>2</v>
      </c>
      <c r="IY20" s="179" t="str">
        <f t="shared" si="56"/>
        <v>C</v>
      </c>
      <c r="IZ20" s="171"/>
      <c r="JA20" s="84"/>
      <c r="JB20" s="84"/>
      <c r="JC20" s="178" t="str">
        <f>IF(COUNT(JC21)=0,"",SUM(JC21)/COUNT(JC21))</f>
        <v/>
      </c>
      <c r="JD20" s="194" t="str">
        <f t="shared" si="57"/>
        <v/>
      </c>
      <c r="JE20" s="172"/>
      <c r="JF20" s="109"/>
      <c r="JG20" s="109"/>
      <c r="JH20" s="110"/>
      <c r="JI20" s="178" t="str">
        <f>IF(COUNT(JI21)=0,"",SUM(JI21)/COUNT(JI21))</f>
        <v/>
      </c>
      <c r="JJ20" s="202" t="str">
        <f t="shared" si="58"/>
        <v/>
      </c>
      <c r="JK20" s="203">
        <f>IF(COUNT(JK21)=0,"",SUM(JK21)/COUNT(JK21))</f>
        <v>2</v>
      </c>
      <c r="JL20" s="204" t="str">
        <f t="shared" si="59"/>
        <v>C</v>
      </c>
      <c r="JM20" s="215"/>
      <c r="JN20" s="84"/>
      <c r="JO20" s="104"/>
      <c r="JP20" s="178">
        <f>IF(COUNT(JP21)=0,"",SUM(JP21)/COUNT(JP21))</f>
        <v>1</v>
      </c>
      <c r="JQ20" s="179" t="str">
        <f t="shared" si="60"/>
        <v>D</v>
      </c>
      <c r="JR20" s="171"/>
      <c r="JS20" s="84"/>
      <c r="JT20" s="84"/>
      <c r="JU20" s="178" t="str">
        <f>IF(COUNT(JU21)=0,"",SUM(JU21)/COUNT(JU21))</f>
        <v/>
      </c>
      <c r="JV20" s="194" t="str">
        <f t="shared" si="61"/>
        <v/>
      </c>
      <c r="JW20" s="172"/>
      <c r="JX20" s="109"/>
      <c r="JY20" s="109"/>
      <c r="JZ20" s="110"/>
      <c r="KA20" s="178" t="str">
        <f>IF(COUNT(KA21)=0,"",SUM(KA21)/COUNT(KA21))</f>
        <v/>
      </c>
      <c r="KB20" s="202" t="str">
        <f t="shared" si="62"/>
        <v/>
      </c>
      <c r="KC20" s="203">
        <f>IF(COUNT(KC21)=0,"",SUM(KC21)/COUNT(KC21))</f>
        <v>1</v>
      </c>
      <c r="KD20" s="204" t="str">
        <f t="shared" si="63"/>
        <v>D</v>
      </c>
      <c r="KE20" s="215"/>
      <c r="KF20" s="84"/>
      <c r="KG20" s="104"/>
      <c r="KH20" s="178">
        <f>IF(COUNT(KH21)=0,"",SUM(KH21)/COUNT(KH21))</f>
        <v>2</v>
      </c>
      <c r="KI20" s="179" t="str">
        <f t="shared" si="64"/>
        <v>C</v>
      </c>
      <c r="KJ20" s="171"/>
      <c r="KK20" s="84"/>
      <c r="KL20" s="84"/>
      <c r="KM20" s="178" t="str">
        <f>IF(COUNT(KM21)=0,"",SUM(KM21)/COUNT(KM21))</f>
        <v/>
      </c>
      <c r="KN20" s="194" t="str">
        <f t="shared" si="65"/>
        <v/>
      </c>
      <c r="KO20" s="172"/>
      <c r="KP20" s="109"/>
      <c r="KQ20" s="109"/>
      <c r="KR20" s="110"/>
      <c r="KS20" s="178" t="str">
        <f>IF(COUNT(KS21)=0,"",SUM(KS21)/COUNT(KS21))</f>
        <v/>
      </c>
      <c r="KT20" s="202" t="str">
        <f t="shared" si="66"/>
        <v/>
      </c>
      <c r="KU20" s="203">
        <f>IF(COUNT(KU21)=0,"",SUM(KU21)/COUNT(KU21))</f>
        <v>2</v>
      </c>
      <c r="KV20" s="204" t="str">
        <f t="shared" si="67"/>
        <v>C</v>
      </c>
      <c r="KW20" s="215"/>
      <c r="KX20" s="84"/>
      <c r="KY20" s="104"/>
      <c r="KZ20" s="178">
        <f>IF(COUNT(KZ21)=0,"",SUM(KZ21)/COUNT(KZ21))</f>
        <v>2</v>
      </c>
      <c r="LA20" s="179" t="str">
        <f t="shared" si="68"/>
        <v>C</v>
      </c>
      <c r="LB20" s="171"/>
      <c r="LC20" s="84"/>
      <c r="LD20" s="84"/>
      <c r="LE20" s="178" t="str">
        <f>IF(COUNT(LE21)=0,"",SUM(LE21)/COUNT(LE21))</f>
        <v/>
      </c>
      <c r="LF20" s="194" t="str">
        <f t="shared" si="69"/>
        <v/>
      </c>
      <c r="LG20" s="172"/>
      <c r="LH20" s="109"/>
      <c r="LI20" s="109"/>
      <c r="LJ20" s="110"/>
      <c r="LK20" s="178" t="str">
        <f>IF(COUNT(LK21)=0,"",SUM(LK21)/COUNT(LK21))</f>
        <v/>
      </c>
      <c r="LL20" s="202" t="str">
        <f t="shared" si="70"/>
        <v/>
      </c>
      <c r="LM20" s="203">
        <f>IF(COUNT(LM21)=0,"",SUM(LM21)/COUNT(LM21))</f>
        <v>2</v>
      </c>
      <c r="LN20" s="204" t="str">
        <f t="shared" si="71"/>
        <v>C</v>
      </c>
      <c r="LO20" s="215"/>
      <c r="LP20" s="84"/>
      <c r="LQ20" s="104"/>
      <c r="LR20" s="178">
        <f>IF(COUNT(LR21)=0,"",SUM(LR21)/COUNT(LR21))</f>
        <v>2</v>
      </c>
      <c r="LS20" s="179" t="str">
        <f t="shared" si="72"/>
        <v>C</v>
      </c>
      <c r="LT20" s="171"/>
      <c r="LU20" s="84"/>
      <c r="LV20" s="84"/>
      <c r="LW20" s="178" t="str">
        <f>IF(COUNT(LW21)=0,"",SUM(LW21)/COUNT(LW21))</f>
        <v/>
      </c>
      <c r="LX20" s="194" t="str">
        <f t="shared" si="73"/>
        <v/>
      </c>
      <c r="LY20" s="172"/>
      <c r="LZ20" s="109"/>
      <c r="MA20" s="109"/>
      <c r="MB20" s="110"/>
      <c r="MC20" s="178" t="str">
        <f>IF(COUNT(MC21)=0,"",SUM(MC21)/COUNT(MC21))</f>
        <v/>
      </c>
      <c r="MD20" s="202" t="str">
        <f t="shared" si="74"/>
        <v/>
      </c>
      <c r="ME20" s="203">
        <f>IF(COUNT(ME21)=0,"",SUM(ME21)/COUNT(ME21))</f>
        <v>2</v>
      </c>
      <c r="MF20" s="204" t="str">
        <f t="shared" si="75"/>
        <v>C</v>
      </c>
      <c r="MG20" s="215"/>
      <c r="MH20" s="84"/>
      <c r="MI20" s="104"/>
      <c r="MJ20" s="178">
        <f>IF(COUNT(MJ21)=0,"",SUM(MJ21)/COUNT(MJ21))</f>
        <v>3</v>
      </c>
      <c r="MK20" s="179" t="str">
        <f t="shared" si="76"/>
        <v>B</v>
      </c>
      <c r="ML20" s="171"/>
      <c r="MM20" s="84"/>
      <c r="MN20" s="84"/>
      <c r="MO20" s="178" t="str">
        <f>IF(COUNT(MO21)=0,"",SUM(MO21)/COUNT(MO21))</f>
        <v/>
      </c>
      <c r="MP20" s="194" t="str">
        <f t="shared" si="77"/>
        <v/>
      </c>
      <c r="MQ20" s="172"/>
      <c r="MR20" s="109"/>
      <c r="MS20" s="109"/>
      <c r="MT20" s="110"/>
      <c r="MU20" s="178" t="str">
        <f>IF(COUNT(MU21)=0,"",SUM(MU21)/COUNT(MU21))</f>
        <v/>
      </c>
      <c r="MV20" s="202" t="str">
        <f t="shared" si="78"/>
        <v/>
      </c>
      <c r="MW20" s="203">
        <f>IF(COUNT(MW21)=0,"",SUM(MW21)/COUNT(MW21))</f>
        <v>3</v>
      </c>
      <c r="MX20" s="204" t="str">
        <f t="shared" si="79"/>
        <v>B</v>
      </c>
      <c r="MY20" s="215"/>
      <c r="MZ20" s="84"/>
      <c r="NA20" s="104"/>
      <c r="NB20" s="178">
        <f>IF(COUNT(NB21)=0,"",SUM(NB21)/COUNT(NB21))</f>
        <v>3</v>
      </c>
      <c r="NC20" s="179" t="str">
        <f t="shared" si="80"/>
        <v>B</v>
      </c>
      <c r="ND20" s="171"/>
      <c r="NE20" s="84"/>
      <c r="NF20" s="84"/>
      <c r="NG20" s="178" t="str">
        <f>IF(COUNT(NG21)=0,"",SUM(NG21)/COUNT(NG21))</f>
        <v/>
      </c>
      <c r="NH20" s="194" t="str">
        <f t="shared" si="81"/>
        <v/>
      </c>
      <c r="NI20" s="172"/>
      <c r="NJ20" s="109"/>
      <c r="NK20" s="109"/>
      <c r="NL20" s="110"/>
      <c r="NM20" s="178" t="str">
        <f>IF(COUNT(NM21)=0,"",SUM(NM21)/COUNT(NM21))</f>
        <v/>
      </c>
      <c r="NN20" s="202" t="str">
        <f t="shared" si="82"/>
        <v/>
      </c>
      <c r="NO20" s="203">
        <f>IF(COUNT(NO21)=0,"",SUM(NO21)/COUNT(NO21))</f>
        <v>3</v>
      </c>
      <c r="NP20" s="204" t="str">
        <f t="shared" si="83"/>
        <v>B</v>
      </c>
      <c r="NQ20" s="215"/>
      <c r="NR20" s="84"/>
      <c r="NS20" s="104"/>
      <c r="NT20" s="178">
        <f>IF(COUNT(NT21)=0,"",SUM(NT21)/COUNT(NT21))</f>
        <v>2</v>
      </c>
      <c r="NU20" s="179" t="str">
        <f t="shared" si="84"/>
        <v>C</v>
      </c>
      <c r="NV20" s="171"/>
      <c r="NW20" s="84"/>
      <c r="NX20" s="84"/>
      <c r="NY20" s="178" t="str">
        <f>IF(COUNT(NY21)=0,"",SUM(NY21)/COUNT(NY21))</f>
        <v/>
      </c>
      <c r="NZ20" s="194" t="str">
        <f t="shared" si="85"/>
        <v/>
      </c>
      <c r="OA20" s="172"/>
      <c r="OB20" s="109"/>
      <c r="OC20" s="109"/>
      <c r="OD20" s="110"/>
      <c r="OE20" s="178" t="str">
        <f>IF(COUNT(OE21)=0,"",SUM(OE21)/COUNT(OE21))</f>
        <v/>
      </c>
      <c r="OF20" s="202" t="str">
        <f t="shared" si="86"/>
        <v/>
      </c>
      <c r="OG20" s="203">
        <f>IF(COUNT(OG21)=0,"",SUM(OG21)/COUNT(OG21))</f>
        <v>2</v>
      </c>
      <c r="OH20" s="204" t="str">
        <f t="shared" si="87"/>
        <v>C</v>
      </c>
      <c r="OI20" s="215"/>
      <c r="OJ20" s="84"/>
      <c r="OK20" s="104"/>
      <c r="OL20" s="178">
        <f>IF(COUNT(OL21)=0,"",SUM(OL21)/COUNT(OL21))</f>
        <v>2</v>
      </c>
      <c r="OM20" s="179" t="str">
        <f t="shared" si="88"/>
        <v>C</v>
      </c>
      <c r="ON20" s="171"/>
      <c r="OO20" s="84"/>
      <c r="OP20" s="84"/>
      <c r="OQ20" s="178" t="str">
        <f>IF(COUNT(OQ21)=0,"",SUM(OQ21)/COUNT(OQ21))</f>
        <v/>
      </c>
      <c r="OR20" s="194" t="str">
        <f t="shared" si="89"/>
        <v/>
      </c>
      <c r="OS20" s="172"/>
      <c r="OT20" s="109"/>
      <c r="OU20" s="109"/>
      <c r="OV20" s="110"/>
      <c r="OW20" s="178" t="str">
        <f>IF(COUNT(OW21)=0,"",SUM(OW21)/COUNT(OW21))</f>
        <v/>
      </c>
      <c r="OX20" s="202" t="str">
        <f t="shared" si="90"/>
        <v/>
      </c>
      <c r="OY20" s="203">
        <f>IF(COUNT(OY21)=0,"",SUM(OY21)/COUNT(OY21))</f>
        <v>2</v>
      </c>
      <c r="OZ20" s="204" t="str">
        <f t="shared" si="91"/>
        <v>C</v>
      </c>
      <c r="PA20" s="215"/>
      <c r="PB20" s="84"/>
      <c r="PC20" s="104"/>
      <c r="PD20" s="178">
        <f>IF(COUNT(PD21)=0,"",SUM(PD21)/COUNT(PD21))</f>
        <v>2</v>
      </c>
      <c r="PE20" s="179" t="str">
        <f t="shared" si="92"/>
        <v>C</v>
      </c>
      <c r="PF20" s="171"/>
      <c r="PG20" s="84"/>
      <c r="PH20" s="84"/>
      <c r="PI20" s="178" t="str">
        <f>IF(COUNT(PI21)=0,"",SUM(PI21)/COUNT(PI21))</f>
        <v/>
      </c>
      <c r="PJ20" s="194" t="str">
        <f t="shared" si="93"/>
        <v/>
      </c>
      <c r="PK20" s="172"/>
      <c r="PL20" s="109"/>
      <c r="PM20" s="109"/>
      <c r="PN20" s="110"/>
      <c r="PO20" s="178" t="str">
        <f>IF(COUNT(PO21)=0,"",SUM(PO21)/COUNT(PO21))</f>
        <v/>
      </c>
      <c r="PP20" s="202" t="str">
        <f t="shared" si="94"/>
        <v/>
      </c>
      <c r="PQ20" s="203">
        <f>IF(COUNT(PQ21)=0,"",SUM(PQ21)/COUNT(PQ21))</f>
        <v>2</v>
      </c>
      <c r="PR20" s="204" t="str">
        <f t="shared" si="95"/>
        <v>C</v>
      </c>
      <c r="PS20" s="215"/>
      <c r="PT20" s="84"/>
      <c r="PU20" s="104"/>
      <c r="PV20" s="178">
        <f>IF(COUNT(PV21)=0,"",SUM(PV21)/COUNT(PV21))</f>
        <v>2</v>
      </c>
      <c r="PW20" s="179" t="str">
        <f t="shared" si="96"/>
        <v>C</v>
      </c>
      <c r="PX20" s="171"/>
      <c r="PY20" s="84"/>
      <c r="PZ20" s="84"/>
      <c r="QA20" s="178" t="str">
        <f>IF(COUNT(QA21)=0,"",SUM(QA21)/COUNT(QA21))</f>
        <v/>
      </c>
      <c r="QB20" s="194" t="str">
        <f t="shared" si="97"/>
        <v/>
      </c>
      <c r="QC20" s="172"/>
      <c r="QD20" s="109"/>
      <c r="QE20" s="109"/>
      <c r="QF20" s="110"/>
      <c r="QG20" s="178" t="str">
        <f>IF(COUNT(QG21)=0,"",SUM(QG21)/COUNT(QG21))</f>
        <v/>
      </c>
      <c r="QH20" s="202" t="str">
        <f t="shared" si="98"/>
        <v/>
      </c>
      <c r="QI20" s="203">
        <f>IF(COUNT(QI21)=0,"",SUM(QI21)/COUNT(QI21))</f>
        <v>2</v>
      </c>
      <c r="QJ20" s="204" t="str">
        <f t="shared" si="99"/>
        <v>C</v>
      </c>
      <c r="QK20" s="215"/>
      <c r="QL20" s="84"/>
      <c r="QM20" s="104"/>
      <c r="QN20" s="178">
        <f>IF(COUNT(QN21)=0,"",SUM(QN21)/COUNT(QN21))</f>
        <v>2</v>
      </c>
      <c r="QO20" s="179" t="str">
        <f t="shared" si="100"/>
        <v>C</v>
      </c>
      <c r="QP20" s="171"/>
      <c r="QQ20" s="84"/>
      <c r="QR20" s="84"/>
      <c r="QS20" s="178" t="str">
        <f>IF(COUNT(QS21)=0,"",SUM(QS21)/COUNT(QS21))</f>
        <v/>
      </c>
      <c r="QT20" s="194" t="str">
        <f t="shared" si="101"/>
        <v/>
      </c>
      <c r="QU20" s="172"/>
      <c r="QV20" s="109"/>
      <c r="QW20" s="109"/>
      <c r="QX20" s="110"/>
      <c r="QY20" s="178" t="str">
        <f>IF(COUNT(QY21)=0,"",SUM(QY21)/COUNT(QY21))</f>
        <v/>
      </c>
      <c r="QZ20" s="202" t="str">
        <f t="shared" si="102"/>
        <v/>
      </c>
      <c r="RA20" s="203">
        <f>IF(COUNT(RA21)=0,"",SUM(RA21)/COUNT(RA21))</f>
        <v>2</v>
      </c>
      <c r="RB20" s="204" t="str">
        <f t="shared" si="103"/>
        <v>C</v>
      </c>
      <c r="RC20" s="215"/>
      <c r="RD20" s="84"/>
      <c r="RE20" s="104"/>
      <c r="RF20" s="178">
        <f>IF(COUNT(RF21)=0,"",SUM(RF21)/COUNT(RF21))</f>
        <v>2</v>
      </c>
      <c r="RG20" s="179" t="str">
        <f t="shared" si="104"/>
        <v>C</v>
      </c>
      <c r="RH20" s="171"/>
      <c r="RI20" s="84"/>
      <c r="RJ20" s="84"/>
      <c r="RK20" s="178" t="str">
        <f>IF(COUNT(RK21)=0,"",SUM(RK21)/COUNT(RK21))</f>
        <v/>
      </c>
      <c r="RL20" s="194" t="str">
        <f t="shared" si="105"/>
        <v/>
      </c>
      <c r="RM20" s="172"/>
      <c r="RN20" s="109"/>
      <c r="RO20" s="109"/>
      <c r="RP20" s="110"/>
      <c r="RQ20" s="178" t="str">
        <f>IF(COUNT(RQ21)=0,"",SUM(RQ21)/COUNT(RQ21))</f>
        <v/>
      </c>
      <c r="RR20" s="202" t="str">
        <f t="shared" si="106"/>
        <v/>
      </c>
      <c r="RS20" s="203">
        <f>IF(COUNT(RS21)=0,"",SUM(RS21)/COUNT(RS21))</f>
        <v>2</v>
      </c>
      <c r="RT20" s="204" t="str">
        <f t="shared" si="107"/>
        <v>C</v>
      </c>
      <c r="RU20" s="140"/>
      <c r="RV20" s="84"/>
      <c r="RW20" s="104"/>
      <c r="RX20" s="105" t="str">
        <f>IF(COUNT(RX21)=0,"",SUM(RX21)/COUNT(RX21))</f>
        <v/>
      </c>
      <c r="RY20" s="106" t="str">
        <f t="shared" si="108"/>
        <v/>
      </c>
      <c r="RZ20" s="103"/>
      <c r="SA20" s="84"/>
      <c r="SB20" s="104"/>
      <c r="SC20" s="105" t="str">
        <f>IF(COUNT(SC21)=0,"",SUM(SC21)/COUNT(SC21))</f>
        <v/>
      </c>
      <c r="SD20" s="107" t="str">
        <f t="shared" si="109"/>
        <v/>
      </c>
      <c r="SE20" s="108"/>
      <c r="SF20" s="109"/>
      <c r="SG20" s="110"/>
      <c r="SH20" s="105" t="str">
        <f>IF(COUNT(SH21)=0,"",SUM(SH21)/COUNT(SH21))</f>
        <v/>
      </c>
      <c r="SI20" s="111" t="str">
        <f t="shared" si="110"/>
        <v/>
      </c>
      <c r="SJ20" s="112" t="str">
        <f>IF(COUNT(SJ21)=0,"",SUM(SJ21)/COUNT(SJ21))</f>
        <v/>
      </c>
      <c r="SK20" s="113" t="str">
        <f t="shared" si="111"/>
        <v/>
      </c>
      <c r="SL20" s="140"/>
      <c r="SM20" s="84"/>
      <c r="SN20" s="104"/>
      <c r="SO20" s="105" t="str">
        <f>IF(COUNT(SO21)=0,"",SUM(SO21)/COUNT(SO21))</f>
        <v/>
      </c>
      <c r="SP20" s="106" t="str">
        <f t="shared" si="112"/>
        <v/>
      </c>
      <c r="SQ20" s="103"/>
      <c r="SR20" s="84"/>
      <c r="SS20" s="104"/>
      <c r="ST20" s="105" t="str">
        <f>IF(COUNT(ST21)=0,"",SUM(ST21)/COUNT(ST21))</f>
        <v/>
      </c>
      <c r="SU20" s="107" t="str">
        <f t="shared" si="113"/>
        <v/>
      </c>
      <c r="SV20" s="108"/>
      <c r="SW20" s="109"/>
      <c r="SX20" s="110"/>
      <c r="SY20" s="105" t="str">
        <f>IF(COUNT(SY21)=0,"",SUM(SY21)/COUNT(SY21))</f>
        <v/>
      </c>
      <c r="SZ20" s="111" t="str">
        <f t="shared" si="114"/>
        <v/>
      </c>
      <c r="TA20" s="112" t="str">
        <f>IF(COUNT(TA21)=0,"",SUM(TA21)/COUNT(TA21))</f>
        <v/>
      </c>
      <c r="TB20" s="113" t="str">
        <f t="shared" si="115"/>
        <v/>
      </c>
      <c r="TC20" s="140"/>
      <c r="TD20" s="84"/>
      <c r="TE20" s="104"/>
      <c r="TF20" s="105" t="str">
        <f>IF(COUNT(TF21)=0,"",SUM(TF21)/COUNT(TF21))</f>
        <v/>
      </c>
      <c r="TG20" s="106" t="str">
        <f t="shared" si="116"/>
        <v/>
      </c>
      <c r="TH20" s="103"/>
      <c r="TI20" s="84"/>
      <c r="TJ20" s="104"/>
      <c r="TK20" s="105" t="str">
        <f>IF(COUNT(TK21)=0,"",SUM(TK21)/COUNT(TK21))</f>
        <v/>
      </c>
      <c r="TL20" s="107" t="str">
        <f t="shared" si="117"/>
        <v/>
      </c>
      <c r="TM20" s="108"/>
      <c r="TN20" s="109"/>
      <c r="TO20" s="110"/>
      <c r="TP20" s="105" t="str">
        <f>IF(COUNT(TP21)=0,"",SUM(TP21)/COUNT(TP21))</f>
        <v/>
      </c>
      <c r="TQ20" s="111" t="str">
        <f t="shared" si="118"/>
        <v/>
      </c>
      <c r="TR20" s="112" t="str">
        <f>IF(COUNT(TR21)=0,"",SUM(TR21)/COUNT(TR21))</f>
        <v/>
      </c>
      <c r="TS20" s="113" t="str">
        <f t="shared" si="119"/>
        <v/>
      </c>
    </row>
    <row r="21" spans="1:539" ht="18" customHeight="1" thickBot="1" x14ac:dyDescent="0.3">
      <c r="A21" s="240" t="s">
        <v>25</v>
      </c>
      <c r="B21" s="241"/>
      <c r="C21" s="143" t="s">
        <v>29</v>
      </c>
      <c r="D21" s="144"/>
      <c r="E21" s="145"/>
      <c r="F21" s="186">
        <f>IFERROR((((COUNTIF('Elève (5ème3)'!C21:E21,"A"))*4)+((COUNTIF('Elève (5ème3)'!C21:E21,"B"))*3)+((COUNTIF('Elève (5ème3)'!C21:E21,"C"))*2)+((COUNTIF('Elève (5ème3)'!C21:E21,"D"))*1))/(COUNTA(C21:E21)),"")</f>
        <v>2</v>
      </c>
      <c r="G21" s="187" t="str">
        <f t="shared" si="0"/>
        <v>C</v>
      </c>
      <c r="H21" s="143"/>
      <c r="I21" s="144"/>
      <c r="J21" s="145"/>
      <c r="K21" s="186" t="str">
        <f>IFERROR((((COUNTIF('Elève (5ème3)'!H21:J21,"A"))*4)+((COUNTIF('Elève (5ème3)'!H21:J21,"B"))*3)+((COUNTIF('Elève (5ème3)'!H21:J21,"C"))*2)+((COUNTIF('Elève (5ème3)'!H21:J21,"D"))*1))/(COUNTA(H21:J21)),"")</f>
        <v/>
      </c>
      <c r="L21" s="187" t="str">
        <f t="shared" si="1"/>
        <v/>
      </c>
      <c r="M21" s="143"/>
      <c r="N21" s="144"/>
      <c r="O21" s="145"/>
      <c r="P21" s="145"/>
      <c r="Q21" s="186" t="str">
        <f>IFERROR((((COUNTIF('Elève (5ème3)'!M21:P21,"A"))*4)+((COUNTIF('Elève (5ème3)'!M21:P21,"B"))*3)+((COUNTIF('Elève (5ème3)'!M21:P21,"C"))*2)+((COUNTIF('Elève (5ème3)'!M21:P21,"D"))*1))/(COUNTA(M21:P21)),"")</f>
        <v/>
      </c>
      <c r="R21" s="187" t="str">
        <f t="shared" si="2"/>
        <v/>
      </c>
      <c r="S21" s="186">
        <f>IF(COUNT(F21,K21,Q21)=0,"",SUM(F21,K21,Q21)/COUNT(F21,K21,Q21))</f>
        <v>2</v>
      </c>
      <c r="T21" s="211" t="str">
        <f t="shared" si="3"/>
        <v>C</v>
      </c>
      <c r="U21" s="143" t="s">
        <v>28</v>
      </c>
      <c r="V21" s="144"/>
      <c r="W21" s="145"/>
      <c r="X21" s="186">
        <f>IFERROR((((COUNTIF('Elève (5ème3)'!U21:W21,"A"))*4)+((COUNTIF('Elève (5ème3)'!U21:W21,"B"))*3)+((COUNTIF('Elève (5ème3)'!U21:W21,"C"))*2)+((COUNTIF('Elève (5ème3)'!U21:W21,"D"))*1))/(COUNTA(U21:W21)),"")</f>
        <v>3</v>
      </c>
      <c r="Y21" s="187" t="str">
        <f t="shared" si="4"/>
        <v>B</v>
      </c>
      <c r="Z21" s="143"/>
      <c r="AA21" s="144"/>
      <c r="AB21" s="145"/>
      <c r="AC21" s="186" t="str">
        <f>IFERROR((((COUNTIF('Elève (5ème3)'!Z21:AB21,"A"))*4)+((COUNTIF('Elève (5ème3)'!Z21:AB21,"B"))*3)+((COUNTIF('Elève (5ème3)'!Z21:AB21,"C"))*2)+((COUNTIF('Elève (5ème3)'!Z21:AB21,"D"))*1))/(COUNTA(Z21:AB21)),"")</f>
        <v/>
      </c>
      <c r="AD21" s="187" t="str">
        <f t="shared" si="5"/>
        <v/>
      </c>
      <c r="AE21" s="143"/>
      <c r="AF21" s="144"/>
      <c r="AG21" s="145"/>
      <c r="AH21" s="149"/>
      <c r="AI21" s="186" t="str">
        <f>IFERROR((((COUNTIF('Elève (5ème3)'!AE21:AH21,"A"))*4)+((COUNTIF('Elève (5ème3)'!AE21:AH21,"B"))*3)+((COUNTIF('Elève (5ème3)'!AE21:AH21,"C"))*2)+((COUNTIF('Elève (5ème3)'!AE21:AH21,"D"))*1))/(COUNTA(AE21:AH21)),"")</f>
        <v/>
      </c>
      <c r="AJ21" s="187" t="str">
        <f t="shared" si="6"/>
        <v/>
      </c>
      <c r="AK21" s="186">
        <f>IF(COUNT(X21,AC21,AI21)=0,"",SUM(X21,AC21,AI21)/COUNT(X21,AC21,AI21))</f>
        <v>3</v>
      </c>
      <c r="AL21" s="211" t="str">
        <f t="shared" si="7"/>
        <v>B</v>
      </c>
      <c r="AM21" s="143" t="s">
        <v>29</v>
      </c>
      <c r="AN21" s="144"/>
      <c r="AO21" s="145"/>
      <c r="AP21" s="186">
        <f>IFERROR((((COUNTIF('Elève (5ème3)'!AM21:AO21,"A"))*4)+((COUNTIF('Elève (5ème3)'!AM21:AO21,"B"))*3)+((COUNTIF('Elève (5ème3)'!AM21:AO21,"C"))*2)+((COUNTIF('Elève (5ème3)'!AM21:AO21,"D"))*1))/(COUNTA(AM21:AO21)),"")</f>
        <v>2</v>
      </c>
      <c r="AQ21" s="187" t="str">
        <f t="shared" si="8"/>
        <v>C</v>
      </c>
      <c r="AR21" s="143"/>
      <c r="AS21" s="144"/>
      <c r="AT21" s="145"/>
      <c r="AU21" s="186" t="str">
        <f>IFERROR((((COUNTIF('Elève (5ème3)'!AR21:AT21,"A"))*4)+((COUNTIF('Elève (5ème3)'!AR21:AT21,"B"))*3)+((COUNTIF('Elève (5ème3)'!AR21:AT21,"C"))*2)+((COUNTIF('Elève (5ème3)'!AR21:AT21,"D"))*1))/(COUNTA(AR21:AT21)),"")</f>
        <v/>
      </c>
      <c r="AV21" s="187" t="str">
        <f t="shared" si="9"/>
        <v/>
      </c>
      <c r="AW21" s="143"/>
      <c r="AX21" s="144"/>
      <c r="AY21" s="145"/>
      <c r="AZ21" s="149"/>
      <c r="BA21" s="186" t="str">
        <f>IFERROR((((COUNTIF('Elève (5ème3)'!AW21:AZ21,"A"))*4)+((COUNTIF('Elève (5ème3)'!AW21:AZ21,"B"))*3)+((COUNTIF('Elève (5ème3)'!AW21:AZ21,"C"))*2)+((COUNTIF('Elève (5ème3)'!AW21:AZ21,"D"))*1))/(COUNTA(AW21:AZ21)),"")</f>
        <v/>
      </c>
      <c r="BB21" s="187" t="str">
        <f t="shared" si="10"/>
        <v/>
      </c>
      <c r="BC21" s="186">
        <f>IF(COUNT(AP21,AU21,BA21)=0,"",SUM(AP21,AU21,BA21)/COUNT(AP21,AU21,BA21))</f>
        <v>2</v>
      </c>
      <c r="BD21" s="211" t="str">
        <f t="shared" si="11"/>
        <v>C</v>
      </c>
      <c r="BE21" s="143" t="s">
        <v>29</v>
      </c>
      <c r="BF21" s="144"/>
      <c r="BG21" s="145"/>
      <c r="BH21" s="186">
        <f>IFERROR((((COUNTIF('Elève (5ème3)'!BE21:BG21,"A"))*4)+((COUNTIF('Elève (5ème3)'!BE21:BG21,"B"))*3)+((COUNTIF('Elève (5ème3)'!BE21:BG21,"C"))*2)+((COUNTIF('Elève (5ème3)'!BE21:BG21,"D"))*1))/(COUNTA(BE21:BG21)),"")</f>
        <v>2</v>
      </c>
      <c r="BI21" s="187" t="str">
        <f t="shared" si="12"/>
        <v>C</v>
      </c>
      <c r="BJ21" s="143"/>
      <c r="BK21" s="144"/>
      <c r="BL21" s="145"/>
      <c r="BM21" s="186" t="str">
        <f>IFERROR((((COUNTIF('Elève (5ème3)'!BJ21:BL21,"A"))*4)+((COUNTIF('Elève (5ème3)'!BJ21:BL21,"B"))*3)+((COUNTIF('Elève (5ème3)'!BJ21:BL21,"C"))*2)+((COUNTIF('Elève (5ème3)'!BJ21:BL21,"D"))*1))/(COUNTA(BJ21:BL21)),"")</f>
        <v/>
      </c>
      <c r="BN21" s="187" t="str">
        <f t="shared" si="13"/>
        <v/>
      </c>
      <c r="BO21" s="143"/>
      <c r="BP21" s="144"/>
      <c r="BQ21" s="145"/>
      <c r="BR21" s="149"/>
      <c r="BS21" s="186" t="str">
        <f>IFERROR((((COUNTIF('Elève (5ème3)'!BO21:BR21,"A"))*4)+((COUNTIF('Elève (5ème3)'!BO21:BR21,"B"))*3)+((COUNTIF('Elève (5ème3)'!BO21:BR21,"C"))*2)+((COUNTIF('Elève (5ème3)'!BO21:BR21,"D"))*1))/(COUNTA(BO21:BR21)),"")</f>
        <v/>
      </c>
      <c r="BT21" s="187" t="str">
        <f t="shared" si="14"/>
        <v/>
      </c>
      <c r="BU21" s="186">
        <f>IF(COUNT(BH21,BM21,BS21)=0,"",SUM(BH21,BM21,BS21)/COUNT(BH21,BM21,BS21))</f>
        <v>2</v>
      </c>
      <c r="BV21" s="211" t="str">
        <f t="shared" si="15"/>
        <v>C</v>
      </c>
      <c r="BW21" s="143" t="s">
        <v>29</v>
      </c>
      <c r="BX21" s="144"/>
      <c r="BY21" s="145"/>
      <c r="BZ21" s="186">
        <f>IFERROR((((COUNTIF('Elève (5ème3)'!BW21:BY21,"A"))*4)+((COUNTIF('Elève (5ème3)'!BW21:BY21,"B"))*3)+((COUNTIF('Elève (5ème3)'!BW21:BY21,"C"))*2)+((COUNTIF('Elève (5ème3)'!BW21:BY21,"D"))*1))/(COUNTA(BW21:BY21)),"")</f>
        <v>2</v>
      </c>
      <c r="CA21" s="187" t="str">
        <f t="shared" si="16"/>
        <v>C</v>
      </c>
      <c r="CB21" s="143"/>
      <c r="CC21" s="144"/>
      <c r="CD21" s="145"/>
      <c r="CE21" s="186" t="str">
        <f>IFERROR((((COUNTIF('Elève (5ème3)'!CB21:CD21,"A"))*4)+((COUNTIF('Elève (5ème3)'!CB21:CD21,"B"))*3)+((COUNTIF('Elève (5ème3)'!CB21:CD21,"C"))*2)+((COUNTIF('Elève (5ème3)'!CB21:CD21,"D"))*1))/(COUNTA(CB21:CD21)),"")</f>
        <v/>
      </c>
      <c r="CF21" s="187" t="str">
        <f t="shared" si="17"/>
        <v/>
      </c>
      <c r="CG21" s="143"/>
      <c r="CH21" s="144"/>
      <c r="CI21" s="145"/>
      <c r="CJ21" s="149"/>
      <c r="CK21" s="186" t="str">
        <f>IFERROR((((COUNTIF('Elève (5ème3)'!CG21:CJ21,"A"))*4)+((COUNTIF('Elève (5ème3)'!CG21:CJ21,"B"))*3)+((COUNTIF('Elève (5ème3)'!CG21:CJ21,"C"))*2)+((COUNTIF('Elève (5ème3)'!CG21:CJ21,"D"))*1))/(COUNTA(CG21:CJ21)),"")</f>
        <v/>
      </c>
      <c r="CL21" s="187" t="str">
        <f t="shared" si="18"/>
        <v/>
      </c>
      <c r="CM21" s="186">
        <f>IF(COUNT(BZ21,CE21,CK21)=0,"",SUM(BZ21,CE21,CK21)/COUNT(BZ21,CE21,CK21))</f>
        <v>2</v>
      </c>
      <c r="CN21" s="211" t="str">
        <f t="shared" si="19"/>
        <v>C</v>
      </c>
      <c r="CO21" s="143" t="s">
        <v>29</v>
      </c>
      <c r="CP21" s="144"/>
      <c r="CQ21" s="145"/>
      <c r="CR21" s="186">
        <f>IFERROR((((COUNTIF('Elève (5ème3)'!CO21:CQ21,"A"))*4)+((COUNTIF('Elève (5ème3)'!CO21:CQ21,"B"))*3)+((COUNTIF('Elève (5ème3)'!CO21:CQ21,"C"))*2)+((COUNTIF('Elève (5ème3)'!CO21:CQ21,"D"))*1))/(COUNTA(CO21:CQ21)),"")</f>
        <v>2</v>
      </c>
      <c r="CS21" s="187" t="str">
        <f t="shared" si="20"/>
        <v>C</v>
      </c>
      <c r="CT21" s="143"/>
      <c r="CU21" s="144"/>
      <c r="CV21" s="145"/>
      <c r="CW21" s="186" t="str">
        <f>IFERROR((((COUNTIF('Elève (5ème3)'!CT21:CV21,"A"))*4)+((COUNTIF('Elève (5ème3)'!CT21:CV21,"B"))*3)+((COUNTIF('Elève (5ème3)'!CT21:CV21,"C"))*2)+((COUNTIF('Elève (5ème3)'!CT21:CV21,"D"))*1))/(COUNTA(CT21:CV21)),"")</f>
        <v/>
      </c>
      <c r="CX21" s="187" t="str">
        <f t="shared" si="21"/>
        <v/>
      </c>
      <c r="CY21" s="143"/>
      <c r="CZ21" s="144"/>
      <c r="DA21" s="145"/>
      <c r="DB21" s="149"/>
      <c r="DC21" s="186" t="str">
        <f>IFERROR((((COUNTIF('Elève (5ème3)'!CY21:DB21,"A"))*4)+((COUNTIF('Elève (5ème3)'!CY21:DB21,"B"))*3)+((COUNTIF('Elève (5ème3)'!CY21:DB21,"C"))*2)+((COUNTIF('Elève (5ème3)'!CY21:DB21,"D"))*1))/(COUNTA(CY21:DB21)),"")</f>
        <v/>
      </c>
      <c r="DD21" s="187" t="str">
        <f t="shared" si="22"/>
        <v/>
      </c>
      <c r="DE21" s="186">
        <f>IF(COUNT(CR21,CW21,DC21)=0,"",SUM(CR21,CW21,DC21)/COUNT(CR21,CW21,DC21))</f>
        <v>2</v>
      </c>
      <c r="DF21" s="211" t="str">
        <f t="shared" si="23"/>
        <v>C</v>
      </c>
      <c r="DG21" s="143" t="s">
        <v>29</v>
      </c>
      <c r="DH21" s="144"/>
      <c r="DI21" s="145"/>
      <c r="DJ21" s="186">
        <f>IFERROR((((COUNTIF('Elève (5ème3)'!DG21:DI21,"A"))*4)+((COUNTIF('Elève (5ème3)'!DG21:DI21,"B"))*3)+((COUNTIF('Elève (5ème3)'!DG21:DI21,"C"))*2)+((COUNTIF('Elève (5ème3)'!DG21:DI21,"D"))*1))/(COUNTA(DG21:DI21)),"")</f>
        <v>2</v>
      </c>
      <c r="DK21" s="187" t="str">
        <f t="shared" si="24"/>
        <v>C</v>
      </c>
      <c r="DL21" s="143"/>
      <c r="DM21" s="144"/>
      <c r="DN21" s="145"/>
      <c r="DO21" s="186" t="str">
        <f>IFERROR((((COUNTIF('Elève (5ème3)'!DL21:DN21,"A"))*4)+((COUNTIF('Elève (5ème3)'!DL21:DN21,"B"))*3)+((COUNTIF('Elève (5ème3)'!DL21:DN21,"C"))*2)+((COUNTIF('Elève (5ème3)'!DL21:DN21,"D"))*1))/(COUNTA(DL21:DN21)),"")</f>
        <v/>
      </c>
      <c r="DP21" s="187" t="str">
        <f t="shared" si="25"/>
        <v/>
      </c>
      <c r="DQ21" s="143"/>
      <c r="DR21" s="144"/>
      <c r="DS21" s="145"/>
      <c r="DT21" s="149"/>
      <c r="DU21" s="186" t="str">
        <f>IFERROR((((COUNTIF('Elève (5ème3)'!DQ21:DT21,"A"))*4)+((COUNTIF('Elève (5ème3)'!DQ21:DT21,"B"))*3)+((COUNTIF('Elève (5ème3)'!DQ21:DT21,"C"))*2)+((COUNTIF('Elève (5ème3)'!DQ21:DT21,"D"))*1))/(COUNTA(DQ21:DT21)),"")</f>
        <v/>
      </c>
      <c r="DV21" s="187" t="str">
        <f t="shared" si="26"/>
        <v/>
      </c>
      <c r="DW21" s="186">
        <f>IF(COUNT(DJ21,DO21,DU21)=0,"",SUM(DJ21,DO21,DU21)/COUNT(DJ21,DO21,DU21))</f>
        <v>2</v>
      </c>
      <c r="DX21" s="211" t="str">
        <f t="shared" si="27"/>
        <v>C</v>
      </c>
      <c r="DY21" s="143" t="s">
        <v>29</v>
      </c>
      <c r="DZ21" s="144"/>
      <c r="EA21" s="145"/>
      <c r="EB21" s="186">
        <f>IFERROR((((COUNTIF('Elève (5ème3)'!DY21:EA21,"A"))*4)+((COUNTIF('Elève (5ème3)'!DY21:EA21,"B"))*3)+((COUNTIF('Elève (5ème3)'!DY21:EA21,"C"))*2)+((COUNTIF('Elève (5ème3)'!DY21:EA21,"D"))*1))/(COUNTA(DY21:EA21)),"")</f>
        <v>2</v>
      </c>
      <c r="EC21" s="187" t="str">
        <f t="shared" si="28"/>
        <v>C</v>
      </c>
      <c r="ED21" s="143"/>
      <c r="EE21" s="144"/>
      <c r="EF21" s="145"/>
      <c r="EG21" s="186" t="str">
        <f>IFERROR((((COUNTIF('Elève (5ème3)'!ED21:EF21,"A"))*4)+((COUNTIF('Elève (5ème3)'!ED21:EF21,"B"))*3)+((COUNTIF('Elève (5ème3)'!ED21:EF21,"C"))*2)+((COUNTIF('Elève (5ème3)'!ED21:EF21,"D"))*1))/(COUNTA(ED21:EF21)),"")</f>
        <v/>
      </c>
      <c r="EH21" s="187" t="str">
        <f t="shared" si="29"/>
        <v/>
      </c>
      <c r="EI21" s="143"/>
      <c r="EJ21" s="144"/>
      <c r="EK21" s="145"/>
      <c r="EL21" s="149"/>
      <c r="EM21" s="186" t="str">
        <f>IFERROR((((COUNTIF('Elève (5ème3)'!EI21:EL21,"A"))*4)+((COUNTIF('Elève (5ème3)'!EI21:EL21,"B"))*3)+((COUNTIF('Elève (5ème3)'!EI21:EL21,"C"))*2)+((COUNTIF('Elève (5ème3)'!EI21:EL21,"D"))*1))/(COUNTA(EI21:EL21)),"")</f>
        <v/>
      </c>
      <c r="EN21" s="187" t="str">
        <f t="shared" si="30"/>
        <v/>
      </c>
      <c r="EO21" s="186">
        <f>IF(COUNT(EB21,EG21,EM21)=0,"",SUM(EB21,EG21,EM21)/COUNT(EB21,EG21,EM21))</f>
        <v>2</v>
      </c>
      <c r="EP21" s="211" t="str">
        <f t="shared" si="31"/>
        <v>C</v>
      </c>
      <c r="EQ21" s="143" t="s">
        <v>29</v>
      </c>
      <c r="ER21" s="144"/>
      <c r="ES21" s="145"/>
      <c r="ET21" s="186">
        <f>IFERROR((((COUNTIF('Elève (5ème3)'!EQ21:ES21,"A"))*4)+((COUNTIF('Elève (5ème3)'!EQ21:ES21,"B"))*3)+((COUNTIF('Elève (5ème3)'!EQ21:ES21,"C"))*2)+((COUNTIF('Elève (5ème3)'!EQ21:ES21,"D"))*1))/(COUNTA(EQ21:ES21)),"")</f>
        <v>2</v>
      </c>
      <c r="EU21" s="187" t="str">
        <f t="shared" si="32"/>
        <v>C</v>
      </c>
      <c r="EV21" s="143"/>
      <c r="EW21" s="144"/>
      <c r="EX21" s="145"/>
      <c r="EY21" s="186" t="str">
        <f>IFERROR((((COUNTIF('Elève (5ème3)'!EV21:EX21,"A"))*4)+((COUNTIF('Elève (5ème3)'!EV21:EX21,"B"))*3)+((COUNTIF('Elève (5ème3)'!EV21:EX21,"C"))*2)+((COUNTIF('Elève (5ème3)'!EV21:EX21,"D"))*1))/(COUNTA(EV21:EX21)),"")</f>
        <v/>
      </c>
      <c r="EZ21" s="187" t="str">
        <f t="shared" si="33"/>
        <v/>
      </c>
      <c r="FA21" s="143"/>
      <c r="FB21" s="144"/>
      <c r="FC21" s="145"/>
      <c r="FD21" s="149"/>
      <c r="FE21" s="186" t="str">
        <f>IFERROR((((COUNTIF('Elève (5ème3)'!FA21:FD21,"A"))*4)+((COUNTIF('Elève (5ème3)'!FA21:FD21,"B"))*3)+((COUNTIF('Elève (5ème3)'!FA21:FD21,"C"))*2)+((COUNTIF('Elève (5ème3)'!FA21:FD21,"D"))*1))/(COUNTA(FA21:FD21)),"")</f>
        <v/>
      </c>
      <c r="FF21" s="187" t="str">
        <f t="shared" si="34"/>
        <v/>
      </c>
      <c r="FG21" s="186">
        <f>IF(COUNT(ET21,EY21,FE21)=0,"",SUM(ET21,EY21,FE21)/COUNT(ET21,EY21,FE21))</f>
        <v>2</v>
      </c>
      <c r="FH21" s="211" t="str">
        <f t="shared" si="35"/>
        <v>C</v>
      </c>
      <c r="FI21" s="143" t="s">
        <v>28</v>
      </c>
      <c r="FJ21" s="144"/>
      <c r="FK21" s="145"/>
      <c r="FL21" s="186">
        <f>IFERROR((((COUNTIF('Elève (5ème3)'!FI21:FK21,"A"))*4)+((COUNTIF('Elève (5ème3)'!FI21:FK21,"B"))*3)+((COUNTIF('Elève (5ème3)'!FI21:FK21,"C"))*2)+((COUNTIF('Elève (5ème3)'!FI21:FK21,"D"))*1))/(COUNTA(FI21:FK21)),"")</f>
        <v>3</v>
      </c>
      <c r="FM21" s="187" t="str">
        <f t="shared" si="36"/>
        <v>B</v>
      </c>
      <c r="FN21" s="143"/>
      <c r="FO21" s="144"/>
      <c r="FP21" s="145"/>
      <c r="FQ21" s="186" t="str">
        <f>IFERROR((((COUNTIF('Elève (5ème3)'!FN21:FP21,"A"))*4)+((COUNTIF('Elève (5ème3)'!FN21:FP21,"B"))*3)+((COUNTIF('Elève (5ème3)'!FN21:FP21,"C"))*2)+((COUNTIF('Elève (5ème3)'!FN21:FP21,"D"))*1))/(COUNTA(FN21:FP21)),"")</f>
        <v/>
      </c>
      <c r="FR21" s="187" t="str">
        <f t="shared" si="37"/>
        <v/>
      </c>
      <c r="FS21" s="143"/>
      <c r="FT21" s="144"/>
      <c r="FU21" s="145"/>
      <c r="FV21" s="149"/>
      <c r="FW21" s="186" t="str">
        <f>IFERROR((((COUNTIF('Elève (5ème3)'!FS21:FV21,"A"))*4)+((COUNTIF('Elève (5ème3)'!FS21:FV21,"B"))*3)+((COUNTIF('Elève (5ème3)'!FS21:FV21,"C"))*2)+((COUNTIF('Elève (5ème3)'!FS21:FV21,"D"))*1))/(COUNTA(FS21:FV21)),"")</f>
        <v/>
      </c>
      <c r="FX21" s="187" t="str">
        <f t="shared" si="38"/>
        <v/>
      </c>
      <c r="FY21" s="186">
        <f>IF(COUNT(FL21,FQ21,FW21)=0,"",SUM(FL21,FQ21,FW21)/COUNT(FL21,FQ21,FW21))</f>
        <v>3</v>
      </c>
      <c r="FZ21" s="211" t="str">
        <f t="shared" si="39"/>
        <v>B</v>
      </c>
      <c r="GA21" s="143" t="s">
        <v>29</v>
      </c>
      <c r="GB21" s="144"/>
      <c r="GC21" s="145"/>
      <c r="GD21" s="186">
        <f>IFERROR((((COUNTIF('Elève (5ème3)'!GA21:GC21,"A"))*4)+((COUNTIF('Elève (5ème3)'!GA21:GC21,"B"))*3)+((COUNTIF('Elève (5ème3)'!GA21:GC21,"C"))*2)+((COUNTIF('Elève (5ème3)'!GA21:GC21,"D"))*1))/(COUNTA(GA21:GC21)),"")</f>
        <v>2</v>
      </c>
      <c r="GE21" s="187" t="str">
        <f t="shared" si="40"/>
        <v>C</v>
      </c>
      <c r="GF21" s="143"/>
      <c r="GG21" s="144"/>
      <c r="GH21" s="145"/>
      <c r="GI21" s="186" t="str">
        <f>IFERROR((((COUNTIF('Elève (5ème3)'!GF21:GH21,"A"))*4)+((COUNTIF('Elève (5ème3)'!GF21:GH21,"B"))*3)+((COUNTIF('Elève (5ème3)'!GF21:GH21,"C"))*2)+((COUNTIF('Elève (5ème3)'!GF21:GH21,"D"))*1))/(COUNTA(GF21:GH21)),"")</f>
        <v/>
      </c>
      <c r="GJ21" s="187" t="str">
        <f t="shared" si="41"/>
        <v/>
      </c>
      <c r="GK21" s="143"/>
      <c r="GL21" s="144"/>
      <c r="GM21" s="145"/>
      <c r="GN21" s="149"/>
      <c r="GO21" s="186" t="str">
        <f>IFERROR((((COUNTIF('Elève (5ème3)'!GK21:GN21,"A"))*4)+((COUNTIF('Elève (5ème3)'!GK21:GN21,"B"))*3)+((COUNTIF('Elève (5ème3)'!GK21:GN21,"C"))*2)+((COUNTIF('Elève (5ème3)'!GK21:GN21,"D"))*1))/(COUNTA(GK21:GN21)),"")</f>
        <v/>
      </c>
      <c r="GP21" s="187" t="str">
        <f t="shared" si="42"/>
        <v/>
      </c>
      <c r="GQ21" s="186">
        <f>IF(COUNT(GD21,GI21,GO21)=0,"",SUM(GD21,GI21,GO21)/COUNT(GD21,GI21,GO21))</f>
        <v>2</v>
      </c>
      <c r="GR21" s="211" t="str">
        <f t="shared" si="43"/>
        <v>C</v>
      </c>
      <c r="GS21" s="143" t="s">
        <v>29</v>
      </c>
      <c r="GT21" s="144"/>
      <c r="GU21" s="145"/>
      <c r="GV21" s="186">
        <f>IFERROR((((COUNTIF('Elève (5ème3)'!GS21:GU21,"A"))*4)+((COUNTIF('Elève (5ème3)'!GS21:GU21,"B"))*3)+((COUNTIF('Elève (5ème3)'!GS21:GU21,"C"))*2)+((COUNTIF('Elève (5ème3)'!GS21:GU21,"D"))*1))/(COUNTA(GS21:GU21)),"")</f>
        <v>2</v>
      </c>
      <c r="GW21" s="187" t="str">
        <f t="shared" si="44"/>
        <v>C</v>
      </c>
      <c r="GX21" s="143"/>
      <c r="GY21" s="144"/>
      <c r="GZ21" s="145"/>
      <c r="HA21" s="186" t="str">
        <f>IFERROR((((COUNTIF('Elève (5ème3)'!GX21:GZ21,"A"))*4)+((COUNTIF('Elève (5ème3)'!GX21:GZ21,"B"))*3)+((COUNTIF('Elève (5ème3)'!GX21:GZ21,"C"))*2)+((COUNTIF('Elève (5ème3)'!GX21:GZ21,"D"))*1))/(COUNTA(GX21:GZ21)),"")</f>
        <v/>
      </c>
      <c r="HB21" s="187" t="str">
        <f t="shared" si="45"/>
        <v/>
      </c>
      <c r="HC21" s="143"/>
      <c r="HD21" s="144"/>
      <c r="HE21" s="145"/>
      <c r="HF21" s="149"/>
      <c r="HG21" s="186" t="str">
        <f>IFERROR((((COUNTIF('Elève (5ème3)'!HC21:HF21,"A"))*4)+((COUNTIF('Elève (5ème3)'!HC21:HF21,"B"))*3)+((COUNTIF('Elève (5ème3)'!HC21:HF21,"C"))*2)+((COUNTIF('Elève (5ème3)'!HC21:HF21,"D"))*1))/(COUNTA(HC21:HF21)),"")</f>
        <v/>
      </c>
      <c r="HH21" s="187" t="str">
        <f t="shared" si="46"/>
        <v/>
      </c>
      <c r="HI21" s="186">
        <f>IF(COUNT(GV21,HA21,HG21)=0,"",SUM(GV21,HA21,HG21)/COUNT(GV21,HA21,HG21))</f>
        <v>2</v>
      </c>
      <c r="HJ21" s="211" t="str">
        <f t="shared" si="47"/>
        <v>C</v>
      </c>
      <c r="HK21" s="143" t="s">
        <v>30</v>
      </c>
      <c r="HL21" s="144"/>
      <c r="HM21" s="145"/>
      <c r="HN21" s="186">
        <f>IFERROR((((COUNTIF('Elève (5ème3)'!HK21:HM21,"A"))*4)+((COUNTIF('Elève (5ème3)'!HK21:HM21,"B"))*3)+((COUNTIF('Elève (5ème3)'!HK21:HM21,"C"))*2)+((COUNTIF('Elève (5ème3)'!HK21:HM21,"D"))*1))/(COUNTA(HK21:HM21)),"")</f>
        <v>1</v>
      </c>
      <c r="HO21" s="187" t="str">
        <f t="shared" si="48"/>
        <v>D</v>
      </c>
      <c r="HP21" s="143"/>
      <c r="HQ21" s="144"/>
      <c r="HR21" s="145"/>
      <c r="HS21" s="186" t="str">
        <f>IFERROR((((COUNTIF('Elève (5ème3)'!HP21:HR21,"A"))*4)+((COUNTIF('Elève (5ème3)'!HP21:HR21,"B"))*3)+((COUNTIF('Elève (5ème3)'!HP21:HR21,"C"))*2)+((COUNTIF('Elève (5ème3)'!HP21:HR21,"D"))*1))/(COUNTA(HP21:HR21)),"")</f>
        <v/>
      </c>
      <c r="HT21" s="187" t="str">
        <f t="shared" si="49"/>
        <v/>
      </c>
      <c r="HU21" s="143"/>
      <c r="HV21" s="144"/>
      <c r="HW21" s="145"/>
      <c r="HX21" s="149"/>
      <c r="HY21" s="186" t="str">
        <f>IFERROR((((COUNTIF('Elève (5ème3)'!HU21:HX21,"A"))*4)+((COUNTIF('Elève (5ème3)'!HU21:HX21,"B"))*3)+((COUNTIF('Elève (5ème3)'!HU21:HX21,"C"))*2)+((COUNTIF('Elève (5ème3)'!HU21:HX21,"D"))*1))/(COUNTA(HU21:HX21)),"")</f>
        <v/>
      </c>
      <c r="HZ21" s="187" t="str">
        <f t="shared" si="50"/>
        <v/>
      </c>
      <c r="IA21" s="186">
        <f>IF(COUNT(HN21,HS21,HY21)=0,"",SUM(HN21,HS21,HY21)/COUNT(HN21,HS21,HY21))</f>
        <v>1</v>
      </c>
      <c r="IB21" s="211" t="str">
        <f t="shared" si="51"/>
        <v>D</v>
      </c>
      <c r="IC21" s="143" t="s">
        <v>29</v>
      </c>
      <c r="ID21" s="144"/>
      <c r="IE21" s="145"/>
      <c r="IF21" s="186">
        <f>IFERROR((((COUNTIF('Elève (5ème3)'!IC21:IE21,"A"))*4)+((COUNTIF('Elève (5ème3)'!IC21:IE21,"B"))*3)+((COUNTIF('Elève (5ème3)'!IC21:IE21,"C"))*2)+((COUNTIF('Elève (5ème3)'!IC21:IE21,"D"))*1))/(COUNTA(IC21:IE21)),"")</f>
        <v>2</v>
      </c>
      <c r="IG21" s="187" t="str">
        <f t="shared" si="52"/>
        <v>C</v>
      </c>
      <c r="IH21" s="143"/>
      <c r="II21" s="144"/>
      <c r="IJ21" s="145"/>
      <c r="IK21" s="186" t="str">
        <f>IFERROR((((COUNTIF('Elève (5ème3)'!IH21:IJ21,"A"))*4)+((COUNTIF('Elève (5ème3)'!IH21:IJ21,"B"))*3)+((COUNTIF('Elève (5ème3)'!IH21:IJ21,"C"))*2)+((COUNTIF('Elève (5ème3)'!IH21:IJ21,"D"))*1))/(COUNTA(IH21:IJ21)),"")</f>
        <v/>
      </c>
      <c r="IL21" s="187" t="str">
        <f t="shared" si="53"/>
        <v/>
      </c>
      <c r="IM21" s="143"/>
      <c r="IN21" s="144"/>
      <c r="IO21" s="145"/>
      <c r="IP21" s="149"/>
      <c r="IQ21" s="186" t="str">
        <f>IFERROR((((COUNTIF('Elève (5ème3)'!IM21:IP21,"A"))*4)+((COUNTIF('Elève (5ème3)'!IM21:IP21,"B"))*3)+((COUNTIF('Elève (5ème3)'!IM21:IP21,"C"))*2)+((COUNTIF('Elève (5ème3)'!IM21:IP21,"D"))*1))/(COUNTA(IM21:IP21)),"")</f>
        <v/>
      </c>
      <c r="IR21" s="187" t="str">
        <f t="shared" si="54"/>
        <v/>
      </c>
      <c r="IS21" s="186">
        <f>IF(COUNT(IF21,IK21,IQ21)=0,"",SUM(IF21,IK21,IQ21)/COUNT(IF21,IK21,IQ21))</f>
        <v>2</v>
      </c>
      <c r="IT21" s="211" t="str">
        <f t="shared" si="55"/>
        <v>C</v>
      </c>
      <c r="IU21" s="143" t="s">
        <v>29</v>
      </c>
      <c r="IV21" s="144"/>
      <c r="IW21" s="145"/>
      <c r="IX21" s="186">
        <f>IFERROR((((COUNTIF('Elève (5ème3)'!IU21:IW21,"A"))*4)+((COUNTIF('Elève (5ème3)'!IU21:IW21,"B"))*3)+((COUNTIF('Elève (5ème3)'!IU21:IW21,"C"))*2)+((COUNTIF('Elève (5ème3)'!IU21:IW21,"D"))*1))/(COUNTA(IU21:IW21)),"")</f>
        <v>2</v>
      </c>
      <c r="IY21" s="187" t="str">
        <f t="shared" si="56"/>
        <v>C</v>
      </c>
      <c r="IZ21" s="143"/>
      <c r="JA21" s="144"/>
      <c r="JB21" s="145"/>
      <c r="JC21" s="186" t="str">
        <f>IFERROR((((COUNTIF('Elève (5ème3)'!IZ21:JB21,"A"))*4)+((COUNTIF('Elève (5ème3)'!IZ21:JB21,"B"))*3)+((COUNTIF('Elève (5ème3)'!IZ21:JB21,"C"))*2)+((COUNTIF('Elève (5ème3)'!IZ21:JB21,"D"))*1))/(COUNTA(IZ21:JB21)),"")</f>
        <v/>
      </c>
      <c r="JD21" s="187" t="str">
        <f t="shared" si="57"/>
        <v/>
      </c>
      <c r="JE21" s="143"/>
      <c r="JF21" s="144"/>
      <c r="JG21" s="145"/>
      <c r="JH21" s="149"/>
      <c r="JI21" s="186" t="str">
        <f>IFERROR((((COUNTIF('Elève (5ème3)'!JE21:JH21,"A"))*4)+((COUNTIF('Elève (5ème3)'!JE21:JH21,"B"))*3)+((COUNTIF('Elève (5ème3)'!JE21:JH21,"C"))*2)+((COUNTIF('Elève (5ème3)'!JE21:JH21,"D"))*1))/(COUNTA(JE21:JH21)),"")</f>
        <v/>
      </c>
      <c r="JJ21" s="187" t="str">
        <f t="shared" si="58"/>
        <v/>
      </c>
      <c r="JK21" s="186">
        <f>IF(COUNT(IX21,JC21,JI21)=0,"",SUM(IX21,JC21,JI21)/COUNT(IX21,JC21,JI21))</f>
        <v>2</v>
      </c>
      <c r="JL21" s="211" t="str">
        <f t="shared" si="59"/>
        <v>C</v>
      </c>
      <c r="JM21" s="143" t="s">
        <v>30</v>
      </c>
      <c r="JN21" s="144"/>
      <c r="JO21" s="145"/>
      <c r="JP21" s="186">
        <f>IFERROR((((COUNTIF('Elève (5ème3)'!JM21:JO21,"A"))*4)+((COUNTIF('Elève (5ème3)'!JM21:JO21,"B"))*3)+((COUNTIF('Elève (5ème3)'!JM21:JO21,"C"))*2)+((COUNTIF('Elève (5ème3)'!JM21:JO21,"D"))*1))/(COUNTA(JM21:JO21)),"")</f>
        <v>1</v>
      </c>
      <c r="JQ21" s="187" t="str">
        <f t="shared" si="60"/>
        <v>D</v>
      </c>
      <c r="JR21" s="143"/>
      <c r="JS21" s="144"/>
      <c r="JT21" s="145"/>
      <c r="JU21" s="186" t="str">
        <f>IFERROR((((COUNTIF('Elève (5ème3)'!JR21:JT21,"A"))*4)+((COUNTIF('Elève (5ème3)'!JR21:JT21,"B"))*3)+((COUNTIF('Elève (5ème3)'!JR21:JT21,"C"))*2)+((COUNTIF('Elève (5ème3)'!JR21:JT21,"D"))*1))/(COUNTA(JR21:JT21)),"")</f>
        <v/>
      </c>
      <c r="JV21" s="187" t="str">
        <f t="shared" si="61"/>
        <v/>
      </c>
      <c r="JW21" s="143"/>
      <c r="JX21" s="144"/>
      <c r="JY21" s="145"/>
      <c r="JZ21" s="149"/>
      <c r="KA21" s="186" t="str">
        <f>IFERROR((((COUNTIF('Elève (5ème3)'!JW21:JZ21,"A"))*4)+((COUNTIF('Elève (5ème3)'!JW21:JZ21,"B"))*3)+((COUNTIF('Elève (5ème3)'!JW21:JZ21,"C"))*2)+((COUNTIF('Elève (5ème3)'!JW21:JZ21,"D"))*1))/(COUNTA(JW21:JZ21)),"")</f>
        <v/>
      </c>
      <c r="KB21" s="187" t="str">
        <f t="shared" si="62"/>
        <v/>
      </c>
      <c r="KC21" s="186">
        <f>IF(COUNT(JP21,JU21,KA21)=0,"",SUM(JP21,JU21,KA21)/COUNT(JP21,JU21,KA21))</f>
        <v>1</v>
      </c>
      <c r="KD21" s="211" t="str">
        <f t="shared" si="63"/>
        <v>D</v>
      </c>
      <c r="KE21" s="143" t="s">
        <v>29</v>
      </c>
      <c r="KF21" s="144"/>
      <c r="KG21" s="145"/>
      <c r="KH21" s="186">
        <f>IFERROR((((COUNTIF('Elève (5ème3)'!KE21:KG21,"A"))*4)+((COUNTIF('Elève (5ème3)'!KE21:KG21,"B"))*3)+((COUNTIF('Elève (5ème3)'!KE21:KG21,"C"))*2)+((COUNTIF('Elève (5ème3)'!KE21:KG21,"D"))*1))/(COUNTA(KE21:KG21)),"")</f>
        <v>2</v>
      </c>
      <c r="KI21" s="187" t="str">
        <f t="shared" si="64"/>
        <v>C</v>
      </c>
      <c r="KJ21" s="143"/>
      <c r="KK21" s="144"/>
      <c r="KL21" s="145"/>
      <c r="KM21" s="186" t="str">
        <f>IFERROR((((COUNTIF('Elève (5ème3)'!KJ21:KL21,"A"))*4)+((COUNTIF('Elève (5ème3)'!KJ21:KL21,"B"))*3)+((COUNTIF('Elève (5ème3)'!KJ21:KL21,"C"))*2)+((COUNTIF('Elève (5ème3)'!KJ21:KL21,"D"))*1))/(COUNTA(KJ21:KL21)),"")</f>
        <v/>
      </c>
      <c r="KN21" s="187" t="str">
        <f t="shared" si="65"/>
        <v/>
      </c>
      <c r="KO21" s="143"/>
      <c r="KP21" s="144"/>
      <c r="KQ21" s="145"/>
      <c r="KR21" s="149"/>
      <c r="KS21" s="186" t="str">
        <f>IFERROR((((COUNTIF('Elève (5ème3)'!KO21:KR21,"A"))*4)+((COUNTIF('Elève (5ème3)'!KO21:KR21,"B"))*3)+((COUNTIF('Elève (5ème3)'!KO21:KR21,"C"))*2)+((COUNTIF('Elève (5ème3)'!KO21:KR21,"D"))*1))/(COUNTA(KO21:KR21)),"")</f>
        <v/>
      </c>
      <c r="KT21" s="187" t="str">
        <f t="shared" si="66"/>
        <v/>
      </c>
      <c r="KU21" s="186">
        <f>IF(COUNT(KH21,KM21,KS21)=0,"",SUM(KH21,KM21,KS21)/COUNT(KH21,KM21,KS21))</f>
        <v>2</v>
      </c>
      <c r="KV21" s="211" t="str">
        <f t="shared" si="67"/>
        <v>C</v>
      </c>
      <c r="KW21" s="143" t="s">
        <v>29</v>
      </c>
      <c r="KX21" s="144"/>
      <c r="KY21" s="145"/>
      <c r="KZ21" s="186">
        <f>IFERROR((((COUNTIF('Elève (5ème3)'!KW21:KY21,"A"))*4)+((COUNTIF('Elève (5ème3)'!KW21:KY21,"B"))*3)+((COUNTIF('Elève (5ème3)'!KW21:KY21,"C"))*2)+((COUNTIF('Elève (5ème3)'!KW21:KY21,"D"))*1))/(COUNTA(KW21:KY21)),"")</f>
        <v>2</v>
      </c>
      <c r="LA21" s="187" t="str">
        <f t="shared" si="68"/>
        <v>C</v>
      </c>
      <c r="LB21" s="143"/>
      <c r="LC21" s="144"/>
      <c r="LD21" s="145"/>
      <c r="LE21" s="186" t="str">
        <f>IFERROR((((COUNTIF('Elève (5ème3)'!LB21:LD21,"A"))*4)+((COUNTIF('Elève (5ème3)'!LB21:LD21,"B"))*3)+((COUNTIF('Elève (5ème3)'!LB21:LD21,"C"))*2)+((COUNTIF('Elève (5ème3)'!LB21:LD21,"D"))*1))/(COUNTA(LB21:LD21)),"")</f>
        <v/>
      </c>
      <c r="LF21" s="187" t="str">
        <f t="shared" si="69"/>
        <v/>
      </c>
      <c r="LG21" s="143"/>
      <c r="LH21" s="144"/>
      <c r="LI21" s="145"/>
      <c r="LJ21" s="149"/>
      <c r="LK21" s="186" t="str">
        <f>IFERROR((((COUNTIF('Elève (5ème3)'!LG21:LJ21,"A"))*4)+((COUNTIF('Elève (5ème3)'!LG21:LJ21,"B"))*3)+((COUNTIF('Elève (5ème3)'!LG21:LJ21,"C"))*2)+((COUNTIF('Elève (5ème3)'!LG21:LJ21,"D"))*1))/(COUNTA(LG21:LJ21)),"")</f>
        <v/>
      </c>
      <c r="LL21" s="187" t="str">
        <f t="shared" si="70"/>
        <v/>
      </c>
      <c r="LM21" s="186">
        <f>IF(COUNT(KZ21,LE21,LK21)=0,"",SUM(KZ21,LE21,LK21)/COUNT(KZ21,LE21,LK21))</f>
        <v>2</v>
      </c>
      <c r="LN21" s="211" t="str">
        <f t="shared" si="71"/>
        <v>C</v>
      </c>
      <c r="LO21" s="143" t="s">
        <v>29</v>
      </c>
      <c r="LP21" s="144"/>
      <c r="LQ21" s="145"/>
      <c r="LR21" s="186">
        <f>IFERROR((((COUNTIF('Elève (5ème3)'!LO21:LQ21,"A"))*4)+((COUNTIF('Elève (5ème3)'!LO21:LQ21,"B"))*3)+((COUNTIF('Elève (5ème3)'!LO21:LQ21,"C"))*2)+((COUNTIF('Elève (5ème3)'!LO21:LQ21,"D"))*1))/(COUNTA(LO21:LQ21)),"")</f>
        <v>2</v>
      </c>
      <c r="LS21" s="187" t="str">
        <f t="shared" si="72"/>
        <v>C</v>
      </c>
      <c r="LT21" s="143"/>
      <c r="LU21" s="144"/>
      <c r="LV21" s="145"/>
      <c r="LW21" s="186" t="str">
        <f>IFERROR((((COUNTIF('Elève (5ème3)'!LT21:LV21,"A"))*4)+((COUNTIF('Elève (5ème3)'!LT21:LV21,"B"))*3)+((COUNTIF('Elève (5ème3)'!LT21:LV21,"C"))*2)+((COUNTIF('Elève (5ème3)'!LT21:LV21,"D"))*1))/(COUNTA(LT21:LV21)),"")</f>
        <v/>
      </c>
      <c r="LX21" s="187" t="str">
        <f t="shared" si="73"/>
        <v/>
      </c>
      <c r="LY21" s="143"/>
      <c r="LZ21" s="144"/>
      <c r="MA21" s="145"/>
      <c r="MB21" s="149"/>
      <c r="MC21" s="186" t="str">
        <f>IFERROR((((COUNTIF('Elève (5ème3)'!LY21:MB21,"A"))*4)+((COUNTIF('Elève (5ème3)'!LY21:MB21,"B"))*3)+((COUNTIF('Elève (5ème3)'!LY21:MB21,"C"))*2)+((COUNTIF('Elève (5ème3)'!LY21:MB21,"D"))*1))/(COUNTA(LY21:MB21)),"")</f>
        <v/>
      </c>
      <c r="MD21" s="187" t="str">
        <f t="shared" si="74"/>
        <v/>
      </c>
      <c r="ME21" s="186">
        <f>IF(COUNT(LR21,LW21,MC21)=0,"",SUM(LR21,LW21,MC21)/COUNT(LR21,LW21,MC21))</f>
        <v>2</v>
      </c>
      <c r="MF21" s="211" t="str">
        <f t="shared" si="75"/>
        <v>C</v>
      </c>
      <c r="MG21" s="143" t="s">
        <v>28</v>
      </c>
      <c r="MH21" s="144"/>
      <c r="MI21" s="145"/>
      <c r="MJ21" s="186">
        <f>IFERROR((((COUNTIF('Elève (5ème3)'!MG21:MI21,"A"))*4)+((COUNTIF('Elève (5ème3)'!MG21:MI21,"B"))*3)+((COUNTIF('Elève (5ème3)'!MG21:MI21,"C"))*2)+((COUNTIF('Elève (5ème3)'!MG21:MI21,"D"))*1))/(COUNTA(MG21:MI21)),"")</f>
        <v>3</v>
      </c>
      <c r="MK21" s="187" t="str">
        <f t="shared" si="76"/>
        <v>B</v>
      </c>
      <c r="ML21" s="143"/>
      <c r="MM21" s="144"/>
      <c r="MN21" s="145"/>
      <c r="MO21" s="186" t="str">
        <f>IFERROR((((COUNTIF('Elève (5ème3)'!ML21:MN21,"A"))*4)+((COUNTIF('Elève (5ème3)'!ML21:MN21,"B"))*3)+((COUNTIF('Elève (5ème3)'!ML21:MN21,"C"))*2)+((COUNTIF('Elève (5ème3)'!ML21:MN21,"D"))*1))/(COUNTA(ML21:MN21)),"")</f>
        <v/>
      </c>
      <c r="MP21" s="187" t="str">
        <f t="shared" si="77"/>
        <v/>
      </c>
      <c r="MQ21" s="143"/>
      <c r="MR21" s="144"/>
      <c r="MS21" s="145"/>
      <c r="MT21" s="149"/>
      <c r="MU21" s="186" t="str">
        <f>IFERROR((((COUNTIF('Elève (5ème3)'!MQ21:MT21,"A"))*4)+((COUNTIF('Elève (5ème3)'!MQ21:MT21,"B"))*3)+((COUNTIF('Elève (5ème3)'!MQ21:MT21,"C"))*2)+((COUNTIF('Elève (5ème3)'!MQ21:MT21,"D"))*1))/(COUNTA(MQ21:MT21)),"")</f>
        <v/>
      </c>
      <c r="MV21" s="187" t="str">
        <f t="shared" si="78"/>
        <v/>
      </c>
      <c r="MW21" s="186">
        <f>IF(COUNT(MJ21,MO21,MU21)=0,"",SUM(MJ21,MO21,MU21)/COUNT(MJ21,MO21,MU21))</f>
        <v>3</v>
      </c>
      <c r="MX21" s="211" t="str">
        <f t="shared" si="79"/>
        <v>B</v>
      </c>
      <c r="MY21" s="143" t="s">
        <v>28</v>
      </c>
      <c r="MZ21" s="144"/>
      <c r="NA21" s="145"/>
      <c r="NB21" s="186">
        <f>IFERROR((((COUNTIF('Elève (5ème3)'!MY21:NA21,"A"))*4)+((COUNTIF('Elève (5ème3)'!MY21:NA21,"B"))*3)+((COUNTIF('Elève (5ème3)'!MY21:NA21,"C"))*2)+((COUNTIF('Elève (5ème3)'!MY21:NA21,"D"))*1))/(COUNTA(MY21:NA21)),"")</f>
        <v>3</v>
      </c>
      <c r="NC21" s="187" t="str">
        <f t="shared" si="80"/>
        <v>B</v>
      </c>
      <c r="ND21" s="143"/>
      <c r="NE21" s="144"/>
      <c r="NF21" s="145"/>
      <c r="NG21" s="186" t="str">
        <f>IFERROR((((COUNTIF('Elève (5ème3)'!ND21:NF21,"A"))*4)+((COUNTIF('Elève (5ème3)'!ND21:NF21,"B"))*3)+((COUNTIF('Elève (5ème3)'!ND21:NF21,"C"))*2)+((COUNTIF('Elève (5ème3)'!ND21:NF21,"D"))*1))/(COUNTA(ND21:NF21)),"")</f>
        <v/>
      </c>
      <c r="NH21" s="187" t="str">
        <f t="shared" si="81"/>
        <v/>
      </c>
      <c r="NI21" s="143"/>
      <c r="NJ21" s="144"/>
      <c r="NK21" s="145"/>
      <c r="NL21" s="149"/>
      <c r="NM21" s="186" t="str">
        <f>IFERROR((((COUNTIF('Elève (5ème3)'!NI21:NL21,"A"))*4)+((COUNTIF('Elève (5ème3)'!NI21:NL21,"B"))*3)+((COUNTIF('Elève (5ème3)'!NI21:NL21,"C"))*2)+((COUNTIF('Elève (5ème3)'!NI21:NL21,"D"))*1))/(COUNTA(NI21:NL21)),"")</f>
        <v/>
      </c>
      <c r="NN21" s="187" t="str">
        <f t="shared" si="82"/>
        <v/>
      </c>
      <c r="NO21" s="186">
        <f>IF(COUNT(NB21,NG21,NM21)=0,"",SUM(NB21,NG21,NM21)/COUNT(NB21,NG21,NM21))</f>
        <v>3</v>
      </c>
      <c r="NP21" s="211" t="str">
        <f t="shared" si="83"/>
        <v>B</v>
      </c>
      <c r="NQ21" s="143" t="s">
        <v>29</v>
      </c>
      <c r="NR21" s="144"/>
      <c r="NS21" s="145"/>
      <c r="NT21" s="186">
        <f>IFERROR((((COUNTIF('Elève (5ème3)'!NQ21:NS21,"A"))*4)+((COUNTIF('Elève (5ème3)'!NQ21:NS21,"B"))*3)+((COUNTIF('Elève (5ème3)'!NQ21:NS21,"C"))*2)+((COUNTIF('Elève (5ème3)'!NQ21:NS21,"D"))*1))/(COUNTA(NQ21:NS21)),"")</f>
        <v>2</v>
      </c>
      <c r="NU21" s="187" t="str">
        <f t="shared" si="84"/>
        <v>C</v>
      </c>
      <c r="NV21" s="143"/>
      <c r="NW21" s="144"/>
      <c r="NX21" s="145"/>
      <c r="NY21" s="186" t="str">
        <f>IFERROR((((COUNTIF('Elève (5ème3)'!NV21:NX21,"A"))*4)+((COUNTIF('Elève (5ème3)'!NV21:NX21,"B"))*3)+((COUNTIF('Elève (5ème3)'!NV21:NX21,"C"))*2)+((COUNTIF('Elève (5ème3)'!NV21:NX21,"D"))*1))/(COUNTA(NV21:NX21)),"")</f>
        <v/>
      </c>
      <c r="NZ21" s="187" t="str">
        <f t="shared" si="85"/>
        <v/>
      </c>
      <c r="OA21" s="143"/>
      <c r="OB21" s="144"/>
      <c r="OC21" s="145"/>
      <c r="OD21" s="149"/>
      <c r="OE21" s="186" t="str">
        <f>IFERROR((((COUNTIF('Elève (5ème3)'!OA21:OD21,"A"))*4)+((COUNTIF('Elève (5ème3)'!OA21:OD21,"B"))*3)+((COUNTIF('Elève (5ème3)'!OA21:OD21,"C"))*2)+((COUNTIF('Elève (5ème3)'!OA21:OD21,"D"))*1))/(COUNTA(OA21:OD21)),"")</f>
        <v/>
      </c>
      <c r="OF21" s="187" t="str">
        <f t="shared" si="86"/>
        <v/>
      </c>
      <c r="OG21" s="186">
        <f>IF(COUNT(NT21,NY21,OE21)=0,"",SUM(NT21,NY21,OE21)/COUNT(NT21,NY21,OE21))</f>
        <v>2</v>
      </c>
      <c r="OH21" s="211" t="str">
        <f t="shared" si="87"/>
        <v>C</v>
      </c>
      <c r="OI21" s="143" t="s">
        <v>29</v>
      </c>
      <c r="OJ21" s="144"/>
      <c r="OK21" s="145"/>
      <c r="OL21" s="186">
        <f>IFERROR((((COUNTIF('Elève (5ème3)'!OI21:OK21,"A"))*4)+((COUNTIF('Elève (5ème3)'!OI21:OK21,"B"))*3)+((COUNTIF('Elève (5ème3)'!OI21:OK21,"C"))*2)+((COUNTIF('Elève (5ème3)'!OI21:OK21,"D"))*1))/(COUNTA(OI21:OK21)),"")</f>
        <v>2</v>
      </c>
      <c r="OM21" s="187" t="str">
        <f t="shared" si="88"/>
        <v>C</v>
      </c>
      <c r="ON21" s="143"/>
      <c r="OO21" s="144"/>
      <c r="OP21" s="145"/>
      <c r="OQ21" s="186" t="str">
        <f>IFERROR((((COUNTIF('Elève (5ème3)'!ON21:OP21,"A"))*4)+((COUNTIF('Elève (5ème3)'!ON21:OP21,"B"))*3)+((COUNTIF('Elève (5ème3)'!ON21:OP21,"C"))*2)+((COUNTIF('Elève (5ème3)'!ON21:OP21,"D"))*1))/(COUNTA(ON21:OP21)),"")</f>
        <v/>
      </c>
      <c r="OR21" s="187" t="str">
        <f t="shared" si="89"/>
        <v/>
      </c>
      <c r="OS21" s="143"/>
      <c r="OT21" s="144"/>
      <c r="OU21" s="145"/>
      <c r="OV21" s="149"/>
      <c r="OW21" s="186" t="str">
        <f>IFERROR((((COUNTIF('Elève (5ème3)'!OS21:OV21,"A"))*4)+((COUNTIF('Elève (5ème3)'!OS21:OV21,"B"))*3)+((COUNTIF('Elève (5ème3)'!OS21:OV21,"C"))*2)+((COUNTIF('Elève (5ème3)'!OS21:OV21,"D"))*1))/(COUNTA(OS21:OV21)),"")</f>
        <v/>
      </c>
      <c r="OX21" s="187" t="str">
        <f t="shared" si="90"/>
        <v/>
      </c>
      <c r="OY21" s="186">
        <f>IF(COUNT(OL21,OQ21,OW21)=0,"",SUM(OL21,OQ21,OW21)/COUNT(OL21,OQ21,OW21))</f>
        <v>2</v>
      </c>
      <c r="OZ21" s="211" t="str">
        <f t="shared" si="91"/>
        <v>C</v>
      </c>
      <c r="PA21" s="143" t="s">
        <v>29</v>
      </c>
      <c r="PB21" s="144"/>
      <c r="PC21" s="145"/>
      <c r="PD21" s="186">
        <f>IFERROR((((COUNTIF('Elève (5ème3)'!PA21:PC21,"A"))*4)+((COUNTIF('Elève (5ème3)'!PA21:PC21,"B"))*3)+((COUNTIF('Elève (5ème3)'!PA21:PC21,"C"))*2)+((COUNTIF('Elève (5ème3)'!PA21:PC21,"D"))*1))/(COUNTA(PA21:PC21)),"")</f>
        <v>2</v>
      </c>
      <c r="PE21" s="187" t="str">
        <f t="shared" si="92"/>
        <v>C</v>
      </c>
      <c r="PF21" s="143"/>
      <c r="PG21" s="144"/>
      <c r="PH21" s="145"/>
      <c r="PI21" s="186" t="str">
        <f>IFERROR((((COUNTIF('Elève (5ème3)'!PF21:PH21,"A"))*4)+((COUNTIF('Elève (5ème3)'!PF21:PH21,"B"))*3)+((COUNTIF('Elève (5ème3)'!PF21:PH21,"C"))*2)+((COUNTIF('Elève (5ème3)'!PF21:PH21,"D"))*1))/(COUNTA(PF21:PH21)),"")</f>
        <v/>
      </c>
      <c r="PJ21" s="187" t="str">
        <f t="shared" si="93"/>
        <v/>
      </c>
      <c r="PK21" s="143"/>
      <c r="PL21" s="144"/>
      <c r="PM21" s="145"/>
      <c r="PN21" s="149"/>
      <c r="PO21" s="186" t="str">
        <f>IFERROR((((COUNTIF('Elève (5ème3)'!PK21:PN21,"A"))*4)+((COUNTIF('Elève (5ème3)'!PK21:PN21,"B"))*3)+((COUNTIF('Elève (5ème3)'!PK21:PN21,"C"))*2)+((COUNTIF('Elève (5ème3)'!PK21:PN21,"D"))*1))/(COUNTA(PK21:PN21)),"")</f>
        <v/>
      </c>
      <c r="PP21" s="187" t="str">
        <f t="shared" si="94"/>
        <v/>
      </c>
      <c r="PQ21" s="186">
        <f>IF(COUNT(PD21,PI21,PO21)=0,"",SUM(PD21,PI21,PO21)/COUNT(PD21,PI21,PO21))</f>
        <v>2</v>
      </c>
      <c r="PR21" s="211" t="str">
        <f t="shared" si="95"/>
        <v>C</v>
      </c>
      <c r="PS21" s="143" t="s">
        <v>29</v>
      </c>
      <c r="PT21" s="144"/>
      <c r="PU21" s="145"/>
      <c r="PV21" s="186">
        <f>IFERROR((((COUNTIF('Elève (5ème3)'!PS21:PU21,"A"))*4)+((COUNTIF('Elève (5ème3)'!PS21:PU21,"B"))*3)+((COUNTIF('Elève (5ème3)'!PS21:PU21,"C"))*2)+((COUNTIF('Elève (5ème3)'!PS21:PU21,"D"))*1))/(COUNTA(PS21:PU21)),"")</f>
        <v>2</v>
      </c>
      <c r="PW21" s="187" t="str">
        <f t="shared" si="96"/>
        <v>C</v>
      </c>
      <c r="PX21" s="143"/>
      <c r="PY21" s="144"/>
      <c r="PZ21" s="145"/>
      <c r="QA21" s="186" t="str">
        <f>IFERROR((((COUNTIF('Elève (5ème3)'!PX21:PZ21,"A"))*4)+((COUNTIF('Elève (5ème3)'!PX21:PZ21,"B"))*3)+((COUNTIF('Elève (5ème3)'!PX21:PZ21,"C"))*2)+((COUNTIF('Elève (5ème3)'!PX21:PZ21,"D"))*1))/(COUNTA(PX21:PZ21)),"")</f>
        <v/>
      </c>
      <c r="QB21" s="187" t="str">
        <f t="shared" si="97"/>
        <v/>
      </c>
      <c r="QC21" s="143"/>
      <c r="QD21" s="144"/>
      <c r="QE21" s="145"/>
      <c r="QF21" s="149"/>
      <c r="QG21" s="186" t="str">
        <f>IFERROR((((COUNTIF('Elève (5ème3)'!QC21:QF21,"A"))*4)+((COUNTIF('Elève (5ème3)'!QC21:QF21,"B"))*3)+((COUNTIF('Elève (5ème3)'!QC21:QF21,"C"))*2)+((COUNTIF('Elève (5ème3)'!QC21:QF21,"D"))*1))/(COUNTA(QC21:QF21)),"")</f>
        <v/>
      </c>
      <c r="QH21" s="187" t="str">
        <f t="shared" si="98"/>
        <v/>
      </c>
      <c r="QI21" s="186">
        <f>IF(COUNT(PV21,QA21,QG21)=0,"",SUM(PV21,QA21,QG21)/COUNT(PV21,QA21,QG21))</f>
        <v>2</v>
      </c>
      <c r="QJ21" s="211" t="str">
        <f t="shared" si="99"/>
        <v>C</v>
      </c>
      <c r="QK21" s="143" t="s">
        <v>29</v>
      </c>
      <c r="QL21" s="144"/>
      <c r="QM21" s="145"/>
      <c r="QN21" s="186">
        <f>IFERROR((((COUNTIF('Elève (5ème3)'!QK21:QM21,"A"))*4)+((COUNTIF('Elève (5ème3)'!QK21:QM21,"B"))*3)+((COUNTIF('Elève (5ème3)'!QK21:QM21,"C"))*2)+((COUNTIF('Elève (5ème3)'!QK21:QM21,"D"))*1))/(COUNTA(QK21:QM21)),"")</f>
        <v>2</v>
      </c>
      <c r="QO21" s="187" t="str">
        <f t="shared" si="100"/>
        <v>C</v>
      </c>
      <c r="QP21" s="143"/>
      <c r="QQ21" s="144"/>
      <c r="QR21" s="145"/>
      <c r="QS21" s="186" t="str">
        <f>IFERROR((((COUNTIF('Elève (5ème3)'!QP21:QR21,"A"))*4)+((COUNTIF('Elève (5ème3)'!QP21:QR21,"B"))*3)+((COUNTIF('Elève (5ème3)'!QP21:QR21,"C"))*2)+((COUNTIF('Elève (5ème3)'!QP21:QR21,"D"))*1))/(COUNTA(QP21:QR21)),"")</f>
        <v/>
      </c>
      <c r="QT21" s="187" t="str">
        <f t="shared" si="101"/>
        <v/>
      </c>
      <c r="QU21" s="143"/>
      <c r="QV21" s="144"/>
      <c r="QW21" s="145"/>
      <c r="QX21" s="149"/>
      <c r="QY21" s="186" t="str">
        <f>IFERROR((((COUNTIF('Elève (5ème3)'!QU21:QX21,"A"))*4)+((COUNTIF('Elève (5ème3)'!QU21:QX21,"B"))*3)+((COUNTIF('Elève (5ème3)'!QU21:QX21,"C"))*2)+((COUNTIF('Elève (5ème3)'!QU21:QX21,"D"))*1))/(COUNTA(QU21:QX21)),"")</f>
        <v/>
      </c>
      <c r="QZ21" s="187" t="str">
        <f t="shared" si="102"/>
        <v/>
      </c>
      <c r="RA21" s="186">
        <f>IF(COUNT(QN21,QS21,QY21)=0,"",SUM(QN21,QS21,QY21)/COUNT(QN21,QS21,QY21))</f>
        <v>2</v>
      </c>
      <c r="RB21" s="211" t="str">
        <f t="shared" si="103"/>
        <v>C</v>
      </c>
      <c r="RC21" s="143" t="s">
        <v>29</v>
      </c>
      <c r="RD21" s="144"/>
      <c r="RE21" s="145"/>
      <c r="RF21" s="186">
        <f>IFERROR((((COUNTIF('Elève (5ème3)'!RC21:RE21,"A"))*4)+((COUNTIF('Elève (5ème3)'!RC21:RE21,"B"))*3)+((COUNTIF('Elève (5ème3)'!RC21:RE21,"C"))*2)+((COUNTIF('Elève (5ème3)'!RC21:RE21,"D"))*1))/(COUNTA(RC21:RE21)),"")</f>
        <v>2</v>
      </c>
      <c r="RG21" s="187" t="str">
        <f t="shared" si="104"/>
        <v>C</v>
      </c>
      <c r="RH21" s="143"/>
      <c r="RI21" s="144"/>
      <c r="RJ21" s="145"/>
      <c r="RK21" s="186" t="str">
        <f>IFERROR((((COUNTIF('Elève (5ème3)'!RH21:RJ21,"A"))*4)+((COUNTIF('Elève (5ème3)'!RH21:RJ21,"B"))*3)+((COUNTIF('Elève (5ème3)'!RH21:RJ21,"C"))*2)+((COUNTIF('Elève (5ème3)'!RH21:RJ21,"D"))*1))/(COUNTA(RH21:RJ21)),"")</f>
        <v/>
      </c>
      <c r="RL21" s="187" t="str">
        <f t="shared" si="105"/>
        <v/>
      </c>
      <c r="RM21" s="143"/>
      <c r="RN21" s="144"/>
      <c r="RO21" s="145"/>
      <c r="RP21" s="149"/>
      <c r="RQ21" s="186" t="str">
        <f>IFERROR((((COUNTIF('Elève (5ème3)'!RM21:RP21,"A"))*4)+((COUNTIF('Elève (5ème3)'!RM21:RP21,"B"))*3)+((COUNTIF('Elève (5ème3)'!RM21:RP21,"C"))*2)+((COUNTIF('Elève (5ème3)'!RM21:RP21,"D"))*1))/(COUNTA(RM21:RP21)),"")</f>
        <v/>
      </c>
      <c r="RR21" s="187" t="str">
        <f t="shared" si="106"/>
        <v/>
      </c>
      <c r="RS21" s="186">
        <f>IF(COUNT(RF21,RK21,RQ21)=0,"",SUM(RF21,RK21,RQ21)/COUNT(RF21,RK21,RQ21))</f>
        <v>2</v>
      </c>
      <c r="RT21" s="211" t="str">
        <f t="shared" si="107"/>
        <v>C</v>
      </c>
      <c r="RU21" s="143"/>
      <c r="RV21" s="144"/>
      <c r="RW21" s="145"/>
      <c r="RX21" s="146" t="str">
        <f>IFERROR((((COUNTIF('Elève (5ème3)'!RU21:RW21,"A"))*4)+((COUNTIF('Elève (5ème3)'!RU21:RW21,"B"))*3)+((COUNTIF('Elève (5ème3)'!RU21:RW21,"C"))*2)+((COUNTIF('Elève (5ème3)'!RU21:RW21,"D"))*1))/(COUNTA(RU21:RW21)),"")</f>
        <v/>
      </c>
      <c r="RY21" s="147" t="str">
        <f t="shared" si="108"/>
        <v/>
      </c>
      <c r="RZ21" s="143"/>
      <c r="SA21" s="144"/>
      <c r="SB21" s="145"/>
      <c r="SC21" s="146" t="str">
        <f>IFERROR((((COUNTIF('Elève (5ème3)'!RZ21:SB21,"A"))*4)+((COUNTIF('Elève (5ème3)'!RZ21:SB21,"B"))*3)+((COUNTIF('Elève (5ème3)'!RZ21:SB21,"C"))*2)+((COUNTIF('Elève (5ème3)'!RZ21:SB21,"D"))*1))/(COUNTA(RZ21:SB21)),"")</f>
        <v/>
      </c>
      <c r="SD21" s="147" t="str">
        <f t="shared" si="109"/>
        <v/>
      </c>
      <c r="SE21" s="143"/>
      <c r="SF21" s="144"/>
      <c r="SG21" s="149"/>
      <c r="SH21" s="146" t="str">
        <f>IFERROR((((COUNTIF('Elève (5ème3)'!SE21:SG21,"A"))*4)+((COUNTIF('Elève (5ème3)'!SE21:SG21,"B"))*3)+((COUNTIF('Elève (5ème3)'!SE21:SG21,"C"))*2)+((COUNTIF('Elève (5ème3)'!SE21:SG21,"D"))*1))/(COUNTA(SE21:SG21)),"")</f>
        <v/>
      </c>
      <c r="SI21" s="147" t="str">
        <f t="shared" si="110"/>
        <v/>
      </c>
      <c r="SJ21" s="146" t="str">
        <f>IF(COUNT(RX21,SC21,SH21)=0,"",SUM(RX21,SC21,SH21)/COUNT(RX21,SC21,SH21))</f>
        <v/>
      </c>
      <c r="SK21" s="148" t="str">
        <f t="shared" si="111"/>
        <v/>
      </c>
      <c r="SL21" s="143"/>
      <c r="SM21" s="144"/>
      <c r="SN21" s="145"/>
      <c r="SO21" s="146" t="str">
        <f>IFERROR((((COUNTIF('Elève (5ème3)'!SL21:SN21,"A"))*4)+((COUNTIF('Elève (5ème3)'!SL21:SN21,"B"))*3)+((COUNTIF('Elève (5ème3)'!SL21:SN21,"C"))*2)+((COUNTIF('Elève (5ème3)'!SL21:SN21,"D"))*1))/(COUNTA(SL21:SN21)),"")</f>
        <v/>
      </c>
      <c r="SP21" s="147" t="str">
        <f t="shared" si="112"/>
        <v/>
      </c>
      <c r="SQ21" s="143"/>
      <c r="SR21" s="144"/>
      <c r="SS21" s="145"/>
      <c r="ST21" s="146" t="str">
        <f>IFERROR((((COUNTIF('Elève (5ème3)'!SQ21:SS21,"A"))*4)+((COUNTIF('Elève (5ème3)'!SQ21:SS21,"B"))*3)+((COUNTIF('Elève (5ème3)'!SQ21:SS21,"C"))*2)+((COUNTIF('Elève (5ème3)'!SQ21:SS21,"D"))*1))/(COUNTA(SQ21:SS21)),"")</f>
        <v/>
      </c>
      <c r="SU21" s="147" t="str">
        <f t="shared" si="113"/>
        <v/>
      </c>
      <c r="SV21" s="143"/>
      <c r="SW21" s="144"/>
      <c r="SX21" s="149"/>
      <c r="SY21" s="146" t="str">
        <f>IFERROR((((COUNTIF('Elève (5ème3)'!SV21:SX21,"A"))*4)+((COUNTIF('Elève (5ème3)'!SV21:SX21,"B"))*3)+((COUNTIF('Elève (5ème3)'!SV21:SX21,"C"))*2)+((COUNTIF('Elève (5ème3)'!SV21:SX21,"D"))*1))/(COUNTA(SV21:SX21)),"")</f>
        <v/>
      </c>
      <c r="SZ21" s="147" t="str">
        <f t="shared" si="114"/>
        <v/>
      </c>
      <c r="TA21" s="146" t="str">
        <f>IF(COUNT(SO21,ST21,SY21)=0,"",SUM(SO21,ST21,SY21)/COUNT(SO21,ST21,SY21))</f>
        <v/>
      </c>
      <c r="TB21" s="148" t="str">
        <f t="shared" si="115"/>
        <v/>
      </c>
      <c r="TC21" s="143"/>
      <c r="TD21" s="144"/>
      <c r="TE21" s="145"/>
      <c r="TF21" s="146" t="str">
        <f>IFERROR((((COUNTIF('Elève (5ème3)'!TC21:TE21,"A"))*4)+((COUNTIF('Elève (5ème3)'!TC21:TE21,"B"))*3)+((COUNTIF('Elève (5ème3)'!TC21:TE21,"C"))*2)+((COUNTIF('Elève (5ème3)'!TC21:TE21,"D"))*1))/(COUNTA(TC21:TE21)),"")</f>
        <v/>
      </c>
      <c r="TG21" s="147" t="str">
        <f t="shared" si="116"/>
        <v/>
      </c>
      <c r="TH21" s="143"/>
      <c r="TI21" s="144"/>
      <c r="TJ21" s="145"/>
      <c r="TK21" s="146" t="str">
        <f>IFERROR((((COUNTIF('Elève (5ème3)'!TH21:TJ21,"A"))*4)+((COUNTIF('Elève (5ème3)'!TH21:TJ21,"B"))*3)+((COUNTIF('Elève (5ème3)'!TH21:TJ21,"C"))*2)+((COUNTIF('Elève (5ème3)'!TH21:TJ21,"D"))*1))/(COUNTA(TH21:TJ21)),"")</f>
        <v/>
      </c>
      <c r="TL21" s="147" t="str">
        <f t="shared" si="117"/>
        <v/>
      </c>
      <c r="TM21" s="143"/>
      <c r="TN21" s="144"/>
      <c r="TO21" s="149"/>
      <c r="TP21" s="146" t="str">
        <f>IFERROR((((COUNTIF('Elève (5ème3)'!TM21:TO21,"A"))*4)+((COUNTIF('Elève (5ème3)'!TM21:TO21,"B"))*3)+((COUNTIF('Elève (5ème3)'!TM21:TO21,"C"))*2)+((COUNTIF('Elève (5ème3)'!TM21:TO21,"D"))*1))/(COUNTA(TM21:TO21)),"")</f>
        <v/>
      </c>
      <c r="TQ21" s="147" t="str">
        <f t="shared" si="118"/>
        <v/>
      </c>
      <c r="TR21" s="146" t="str">
        <f>IF(COUNT(TF21,TK21,TP21)=0,"",SUM(TF21,TK21,TP21)/COUNT(TF21,TK21,TP21))</f>
        <v/>
      </c>
      <c r="TS21" s="148" t="str">
        <f t="shared" si="119"/>
        <v/>
      </c>
    </row>
    <row r="22" spans="1:539" ht="15.75" thickBot="1" x14ac:dyDescent="0.3">
      <c r="A22" s="242" t="s">
        <v>26</v>
      </c>
      <c r="B22" s="243"/>
      <c r="C22" s="150"/>
      <c r="D22" s="150"/>
      <c r="E22" s="150"/>
      <c r="F22" s="188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>2.6666666666666665</v>
      </c>
      <c r="G22" s="189">
        <f>IF(F22="","",F22*5)</f>
        <v>13.333333333333332</v>
      </c>
      <c r="H22" s="81"/>
      <c r="I22" s="81"/>
      <c r="J22" s="81"/>
      <c r="K22" s="188">
        <f>IF(COUNT(K20,K16,K13,K10,K4)=0,"",SUM($B$4*IF(COUNT(K4)=0,0,K4),$B$10*IF(COUNT(K10)=0,0,K10),$B$13*IF(COUNT(K13)=0,0,K13),$B$16*IF(COUNT(K16)=0,0,K16),$B$20*IF(COUNT(K20)=0,0,K20))/SUM($B$4*COUNT(K4),$B$10*COUNT(K10),$B$13*COUNT(K13),$B$16*COUNT(K16),$B$20*COUNT(K20)))</f>
        <v>2.8333333333333335</v>
      </c>
      <c r="L22" s="195">
        <f>IF(K22="","",K22*5)</f>
        <v>14.166666666666668</v>
      </c>
      <c r="M22" s="81"/>
      <c r="N22" s="81"/>
      <c r="O22" s="81"/>
      <c r="P22" s="81"/>
      <c r="Q22" s="188">
        <f>IF(COUNT(Q20,Q16,Q13,Q10,Q4)=0,"",SUM($B$4*IF(COUNT(Q4)=0,0,Q4),$B$10*IF(COUNT(Q10)=0,0,Q10),$B$13*IF(COUNT(Q13)=0,0,Q13),$B$16*IF(COUNT(Q16)=0,0,Q16),$B$20*IF(COUNT(Q20)=0,0,Q20))/SUM($B$4*COUNT(Q4),$B$10*COUNT(Q10),$B$13*COUNT(Q13),$B$16*COUNT(Q16),$B$20*COUNT(Q20)))</f>
        <v>2.7777777777777772</v>
      </c>
      <c r="R22" s="212">
        <f>IF(Q22="","",Q22*5)</f>
        <v>13.888888888888886</v>
      </c>
      <c r="S22" s="175"/>
      <c r="T22" s="175"/>
      <c r="U22" s="150"/>
      <c r="V22" s="150"/>
      <c r="W22" s="150"/>
      <c r="X22" s="188">
        <f>IF(COUNT(X20,X16,X13,X10,X4)=0,"",SUM($B$4*IF(COUNT(X4)=0,0,X4),$B$10*IF(COUNT(X10)=0,0,X10),$B$13*IF(COUNT(X13)=0,0,X13),$B$16*IF(COUNT(X16)=0,0,X16),$B$20*IF(COUNT(X20)=0,0,X20))/SUM($B$4*COUNT(X4),$B$10*COUNT(X10),$B$13*COUNT(X13),$B$16*COUNT(X16),$B$20*COUNT(X20)))</f>
        <v>3.1666666666666665</v>
      </c>
      <c r="Y22" s="189">
        <f>IF(X22="","",X22*5)</f>
        <v>15.833333333333332</v>
      </c>
      <c r="Z22" s="81"/>
      <c r="AA22" s="81"/>
      <c r="AB22" s="81"/>
      <c r="AC22" s="188">
        <f>IF(COUNT(AC20,AC16,AC13,AC10,AC4)=0,"",SUM($B$4*IF(COUNT(AC4)=0,0,AC4),$B$10*IF(COUNT(AC10)=0,0,AC10),$B$13*IF(COUNT(AC13)=0,0,AC13),$B$16*IF(COUNT(AC16)=0,0,AC16),$B$20*IF(COUNT(AC20)=0,0,AC20))/SUM($B$4*COUNT(AC4),$B$10*COUNT(AC10),$B$13*COUNT(AC13),$B$16*COUNT(AC16),$B$20*COUNT(AC20)))</f>
        <v>3.1805555555555558</v>
      </c>
      <c r="AD22" s="195">
        <f>IF(AC22="","",AC22*5)</f>
        <v>15.902777777777779</v>
      </c>
      <c r="AE22" s="81"/>
      <c r="AF22" s="81"/>
      <c r="AG22" s="81"/>
      <c r="AH22" s="81"/>
      <c r="AI22" s="188">
        <f>IF(COUNT(AI20,AI16,AI13,AI10,AI4)=0,"",SUM($B$4*IF(COUNT(AI4)=0,0,AI4),$B$10*IF(COUNT(AI10)=0,0,AI10),$B$13*IF(COUNT(AI13)=0,0,AI13),$B$16*IF(COUNT(AI16)=0,0,AI16),$B$20*IF(COUNT(AI20)=0,0,AI20))/SUM($B$4*COUNT(AI4),$B$10*COUNT(AI10),$B$13*COUNT(AI13),$B$16*COUNT(AI16),$B$20*COUNT(AI20)))</f>
        <v>3.2777777777777781</v>
      </c>
      <c r="AJ22" s="212">
        <f>IF(AI22="","",AI22*5)</f>
        <v>16.388888888888889</v>
      </c>
      <c r="AK22" s="175"/>
      <c r="AL22" s="175"/>
      <c r="AM22" s="150"/>
      <c r="AN22" s="150"/>
      <c r="AO22" s="150"/>
      <c r="AP22" s="188">
        <f>IF(COUNT(AP20,AP16,AP13,AP10,AP4)=0,"",SUM($B$4*IF(COUNT(AP4)=0,0,AP4),$B$10*IF(COUNT(AP10)=0,0,AP10),$B$13*IF(COUNT(AP13)=0,0,AP13),$B$16*IF(COUNT(AP16)=0,0,AP16),$B$20*IF(COUNT(AP20)=0,0,AP20))/SUM($B$4*COUNT(AP4),$B$10*COUNT(AP10),$B$13*COUNT(AP13),$B$16*COUNT(AP16),$B$20*COUNT(AP20)))</f>
        <v>3</v>
      </c>
      <c r="AQ22" s="189">
        <f>IF(AP22="","",AP22*5)</f>
        <v>15</v>
      </c>
      <c r="AR22" s="81"/>
      <c r="AS22" s="81"/>
      <c r="AT22" s="81"/>
      <c r="AU22" s="188">
        <f>IF(COUNT(AU20,AU16,AU13,AU10,AU4)=0,"",SUM($B$4*IF(COUNT(AU4)=0,0,AU4),$B$10*IF(COUNT(AU10)=0,0,AU10),$B$13*IF(COUNT(AU13)=0,0,AU13),$B$16*IF(COUNT(AU16)=0,0,AU16),$B$20*IF(COUNT(AU20)=0,0,AU20))/SUM($B$4*COUNT(AU4),$B$10*COUNT(AU10),$B$13*COUNT(AU13),$B$16*COUNT(AU16),$B$20*COUNT(AU20)))</f>
        <v>3.1527777777777772</v>
      </c>
      <c r="AV22" s="195">
        <f>IF(AU22="","",AU22*5)</f>
        <v>15.763888888888886</v>
      </c>
      <c r="AW22" s="81"/>
      <c r="AX22" s="81"/>
      <c r="AY22" s="81"/>
      <c r="AZ22" s="81"/>
      <c r="BA22" s="188">
        <f>IF(COUNT(BA20,BA16,BA13,BA10,BA4)=0,"",SUM($B$4*IF(COUNT(BA4)=0,0,BA4),$B$10*IF(COUNT(BA10)=0,0,BA10),$B$13*IF(COUNT(BA13)=0,0,BA13),$B$16*IF(COUNT(BA16)=0,0,BA16),$B$20*IF(COUNT(BA20)=0,0,BA20))/SUM($B$4*COUNT(BA4),$B$10*COUNT(BA10),$B$13*COUNT(BA13),$B$16*COUNT(BA16),$B$20*COUNT(BA20)))</f>
        <v>2.7777777777777781</v>
      </c>
      <c r="BB22" s="212">
        <f>IF(BA22="","",BA22*5)</f>
        <v>13.888888888888891</v>
      </c>
      <c r="BC22" s="175"/>
      <c r="BD22" s="175"/>
      <c r="BE22" s="150"/>
      <c r="BF22" s="150"/>
      <c r="BG22" s="150"/>
      <c r="BH22" s="188">
        <f>IF(COUNT(BH20,BH16,BH13,BH10,BH4)=0,"",SUM($B$4*IF(COUNT(BH4)=0,0,BH4),$B$10*IF(COUNT(BH10)=0,0,BH10),$B$13*IF(COUNT(BH13)=0,0,BH13),$B$16*IF(COUNT(BH16)=0,0,BH16),$B$20*IF(COUNT(BH20)=0,0,BH20))/SUM($B$4*COUNT(BH4),$B$10*COUNT(BH10),$B$13*COUNT(BH13),$B$16*COUNT(BH16),$B$20*COUNT(BH20)))</f>
        <v>3</v>
      </c>
      <c r="BI22" s="189">
        <f>IF(BH22="","",BH22*5)</f>
        <v>15</v>
      </c>
      <c r="BJ22" s="81"/>
      <c r="BK22" s="81"/>
      <c r="BL22" s="81"/>
      <c r="BM22" s="188">
        <f>IF(COUNT(BM20,BM16,BM13,BM10,BM4)=0,"",SUM($B$4*IF(COUNT(BM4)=0,0,BM4),$B$10*IF(COUNT(BM10)=0,0,BM10),$B$13*IF(COUNT(BM13)=0,0,BM13),$B$16*IF(COUNT(BM16)=0,0,BM16),$B$20*IF(COUNT(BM20)=0,0,BM20))/SUM($B$4*COUNT(BM4),$B$10*COUNT(BM10),$B$13*COUNT(BM13),$B$16*COUNT(BM16),$B$20*COUNT(BM20)))</f>
        <v>3.0555555555555558</v>
      </c>
      <c r="BN22" s="195">
        <f>IF(BM22="","",BM22*5)</f>
        <v>15.277777777777779</v>
      </c>
      <c r="BO22" s="81"/>
      <c r="BP22" s="81"/>
      <c r="BQ22" s="81"/>
      <c r="BR22" s="81"/>
      <c r="BS22" s="188">
        <f>IF(COUNT(BS20,BS16,BS13,BS10,BS4)=0,"",SUM($B$4*IF(COUNT(BS4)=0,0,BS4),$B$10*IF(COUNT(BS10)=0,0,BS10),$B$13*IF(COUNT(BS13)=0,0,BS13),$B$16*IF(COUNT(BS16)=0,0,BS16),$B$20*IF(COUNT(BS20)=0,0,BS20))/SUM($B$4*COUNT(BS4),$B$10*COUNT(BS10),$B$13*COUNT(BS13),$B$16*COUNT(BS16),$B$20*COUNT(BS20)))</f>
        <v>2.8888888888888888</v>
      </c>
      <c r="BT22" s="212">
        <f>IF(BS22="","",BS22*5)</f>
        <v>14.444444444444445</v>
      </c>
      <c r="BU22" s="175"/>
      <c r="BV22" s="175"/>
      <c r="BW22" s="150"/>
      <c r="BX22" s="150"/>
      <c r="BY22" s="150"/>
      <c r="BZ22" s="188">
        <f>IF(COUNT(BZ20,BZ16,BZ13,BZ10,BZ4)=0,"",SUM($B$4*IF(COUNT(BZ4)=0,0,BZ4),$B$10*IF(COUNT(BZ10)=0,0,BZ10),$B$13*IF(COUNT(BZ13)=0,0,BZ13),$B$16*IF(COUNT(BZ16)=0,0,BZ16),$B$20*IF(COUNT(BZ20)=0,0,BZ20))/SUM($B$4*COUNT(BZ4),$B$10*COUNT(BZ10),$B$13*COUNT(BZ13),$B$16*COUNT(BZ16),$B$20*COUNT(BZ20)))</f>
        <v>2.4166666666666665</v>
      </c>
      <c r="CA22" s="189">
        <f>IF(BZ22="","",BZ22*5)</f>
        <v>12.083333333333332</v>
      </c>
      <c r="CB22" s="81"/>
      <c r="CC22" s="81"/>
      <c r="CD22" s="81"/>
      <c r="CE22" s="188">
        <f>IF(COUNT(CE20,CE16,CE13,CE10,CE4)=0,"",SUM($B$4*IF(COUNT(CE4)=0,0,CE4),$B$10*IF(COUNT(CE10)=0,0,CE10),$B$13*IF(COUNT(CE13)=0,0,CE13),$B$16*IF(COUNT(CE16)=0,0,CE16),$B$20*IF(COUNT(CE20)=0,0,CE20))/SUM($B$4*COUNT(CE4),$B$10*COUNT(CE10),$B$13*COUNT(CE13),$B$16*COUNT(CE16),$B$20*COUNT(CE20)))</f>
        <v>2.8333333333333335</v>
      </c>
      <c r="CF22" s="195">
        <f>IF(CE22="","",CE22*5)</f>
        <v>14.166666666666668</v>
      </c>
      <c r="CG22" s="81"/>
      <c r="CH22" s="81"/>
      <c r="CI22" s="81"/>
      <c r="CJ22" s="81"/>
      <c r="CK22" s="188">
        <f>IF(COUNT(CK20,CK16,CK13,CK10,CK4)=0,"",SUM($B$4*IF(COUNT(CK4)=0,0,CK4),$B$10*IF(COUNT(CK10)=0,0,CK10),$B$13*IF(COUNT(CK13)=0,0,CK13),$B$16*IF(COUNT(CK16)=0,0,CK16),$B$20*IF(COUNT(CK20)=0,0,CK20))/SUM($B$4*COUNT(CK4),$B$10*COUNT(CK10),$B$13*COUNT(CK13),$B$16*COUNT(CK16),$B$20*COUNT(CK20)))</f>
        <v>2.9166666666666665</v>
      </c>
      <c r="CL22" s="212">
        <f>IF(CK22="","",CK22*5)</f>
        <v>14.583333333333332</v>
      </c>
      <c r="CM22" s="175"/>
      <c r="CN22" s="175"/>
      <c r="CO22" s="150"/>
      <c r="CP22" s="150"/>
      <c r="CQ22" s="150"/>
      <c r="CR22" s="188">
        <f>IF(COUNT(CR20,CR16,CR13,CR10,CR4)=0,"",SUM($B$4*IF(COUNT(CR4)=0,0,CR4),$B$10*IF(COUNT(CR10)=0,0,CR10),$B$13*IF(COUNT(CR13)=0,0,CR13),$B$16*IF(COUNT(CR16)=0,0,CR16),$B$20*IF(COUNT(CR20)=0,0,CR20))/SUM($B$4*COUNT(CR4),$B$10*COUNT(CR10),$B$13*COUNT(CR13),$B$16*COUNT(CR16),$B$20*COUNT(CR20)))</f>
        <v>2.5833333333333335</v>
      </c>
      <c r="CS22" s="189">
        <f>IF(CR22="","",CR22*5)</f>
        <v>12.916666666666668</v>
      </c>
      <c r="CT22" s="81"/>
      <c r="CU22" s="81"/>
      <c r="CV22" s="81"/>
      <c r="CW22" s="188">
        <f>IF(COUNT(CW20,CW16,CW13,CW10,CW4)=0,"",SUM($B$4*IF(COUNT(CW4)=0,0,CW4),$B$10*IF(COUNT(CW10)=0,0,CW10),$B$13*IF(COUNT(CW13)=0,0,CW13),$B$16*IF(COUNT(CW16)=0,0,CW16),$B$20*IF(COUNT(CW20)=0,0,CW20))/SUM($B$4*COUNT(CW4),$B$10*COUNT(CW10),$B$13*COUNT(CW13),$B$16*COUNT(CW16),$B$20*COUNT(CW20)))</f>
        <v>2.6527777777777777</v>
      </c>
      <c r="CX22" s="195">
        <f>IF(CW22="","",CW22*5)</f>
        <v>13.263888888888889</v>
      </c>
      <c r="CY22" s="81"/>
      <c r="CZ22" s="81"/>
      <c r="DA22" s="81"/>
      <c r="DB22" s="81"/>
      <c r="DC22" s="188">
        <f>IF(COUNT(DC20,DC16,DC13,DC10,DC4)=0,"",SUM($B$4*IF(COUNT(DC4)=0,0,DC4),$B$10*IF(COUNT(DC10)=0,0,DC10),$B$13*IF(COUNT(DC13)=0,0,DC13),$B$16*IF(COUNT(DC16)=0,0,DC16),$B$20*IF(COUNT(DC20)=0,0,DC20))/SUM($B$4*COUNT(DC4),$B$10*COUNT(DC10),$B$13*COUNT(DC13),$B$16*COUNT(DC16),$B$20*COUNT(DC20)))</f>
        <v>2.75</v>
      </c>
      <c r="DD22" s="212">
        <f>IF(DC22="","",DC22*5)</f>
        <v>13.75</v>
      </c>
      <c r="DE22" s="175"/>
      <c r="DF22" s="175"/>
      <c r="DG22" s="150"/>
      <c r="DH22" s="150"/>
      <c r="DI22" s="150"/>
      <c r="DJ22" s="188">
        <f>IF(COUNT(DJ20,DJ16,DJ13,DJ10,DJ4)=0,"",SUM($B$4*IF(COUNT(DJ4)=0,0,DJ4),$B$10*IF(COUNT(DJ10)=0,0,DJ10),$B$13*IF(COUNT(DJ13)=0,0,DJ13),$B$16*IF(COUNT(DJ16)=0,0,DJ16),$B$20*IF(COUNT(DJ20)=0,0,DJ20))/SUM($B$4*COUNT(DJ4),$B$10*COUNT(DJ10),$B$13*COUNT(DJ13),$B$16*COUNT(DJ16),$B$20*COUNT(DJ20)))</f>
        <v>2.8333333333333335</v>
      </c>
      <c r="DK22" s="189">
        <f>IF(DJ22="","",DJ22*5)</f>
        <v>14.166666666666668</v>
      </c>
      <c r="DL22" s="81"/>
      <c r="DM22" s="81"/>
      <c r="DN22" s="81"/>
      <c r="DO22" s="188">
        <f>IF(COUNT(DO20,DO16,DO13,DO10,DO4)=0,"",SUM($B$4*IF(COUNT(DO4)=0,0,DO4),$B$10*IF(COUNT(DO10)=0,0,DO10),$B$13*IF(COUNT(DO13)=0,0,DO13),$B$16*IF(COUNT(DO16)=0,0,DO16),$B$20*IF(COUNT(DO20)=0,0,DO20))/SUM($B$4*COUNT(DO4),$B$10*COUNT(DO10),$B$13*COUNT(DO13),$B$16*COUNT(DO16),$B$20*COUNT(DO20)))</f>
        <v>3.0138888888888888</v>
      </c>
      <c r="DP22" s="195">
        <f>IF(DO22="","",DO22*5)</f>
        <v>15.069444444444445</v>
      </c>
      <c r="DQ22" s="81"/>
      <c r="DR22" s="81"/>
      <c r="DS22" s="81"/>
      <c r="DT22" s="81"/>
      <c r="DU22" s="188">
        <f>IF(COUNT(DU20,DU16,DU13,DU10,DU4)=0,"",SUM($B$4*IF(COUNT(DU4)=0,0,DU4),$B$10*IF(COUNT(DU10)=0,0,DU10),$B$13*IF(COUNT(DU13)=0,0,DU13),$B$16*IF(COUNT(DU16)=0,0,DU16),$B$20*IF(COUNT(DU20)=0,0,DU20))/SUM($B$4*COUNT(DU4),$B$10*COUNT(DU10),$B$13*COUNT(DU13),$B$16*COUNT(DU16),$B$20*COUNT(DU20)))</f>
        <v>3.5</v>
      </c>
      <c r="DV22" s="212">
        <f>IF(DU22="","",DU22*5)</f>
        <v>17.5</v>
      </c>
      <c r="DW22" s="175"/>
      <c r="DX22" s="175"/>
      <c r="DY22" s="150"/>
      <c r="DZ22" s="150"/>
      <c r="EA22" s="150"/>
      <c r="EB22" s="188">
        <f>IF(COUNT(EB20,EB16,EB13,EB10,EB4)=0,"",SUM($B$4*IF(COUNT(EB4)=0,0,EB4),$B$10*IF(COUNT(EB10)=0,0,EB10),$B$13*IF(COUNT(EB13)=0,0,EB13),$B$16*IF(COUNT(EB16)=0,0,EB16),$B$20*IF(COUNT(EB20)=0,0,EB20))/SUM($B$4*COUNT(EB4),$B$10*COUNT(EB10),$B$13*COUNT(EB13),$B$16*COUNT(EB16),$B$20*COUNT(EB20)))</f>
        <v>2.6666666666666665</v>
      </c>
      <c r="EC22" s="189">
        <f>IF(EB22="","",EB22*5)</f>
        <v>13.333333333333332</v>
      </c>
      <c r="ED22" s="81"/>
      <c r="EE22" s="81"/>
      <c r="EF22" s="81"/>
      <c r="EG22" s="188">
        <f>IF(COUNT(EG20,EG16,EG13,EG10,EG4)=0,"",SUM($B$4*IF(COUNT(EG4)=0,0,EG4),$B$10*IF(COUNT(EG10)=0,0,EG10),$B$13*IF(COUNT(EG13)=0,0,EG13),$B$16*IF(COUNT(EG16)=0,0,EG16),$B$20*IF(COUNT(EG20)=0,0,EG20))/SUM($B$4*COUNT(EG4),$B$10*COUNT(EG10),$B$13*COUNT(EG13),$B$16*COUNT(EG16),$B$20*COUNT(EG20)))</f>
        <v>2.2222222222222223</v>
      </c>
      <c r="EH22" s="195">
        <f>IF(EG22="","",EG22*5)</f>
        <v>11.111111111111111</v>
      </c>
      <c r="EI22" s="81"/>
      <c r="EJ22" s="81"/>
      <c r="EK22" s="81"/>
      <c r="EL22" s="81"/>
      <c r="EM22" s="188">
        <f>IF(COUNT(EM20,EM16,EM13,EM10,EM4)=0,"",SUM($B$4*IF(COUNT(EM4)=0,0,EM4),$B$10*IF(COUNT(EM10)=0,0,EM10),$B$13*IF(COUNT(EM13)=0,0,EM13),$B$16*IF(COUNT(EM16)=0,0,EM16),$B$20*IF(COUNT(EM20)=0,0,EM20))/SUM($B$4*COUNT(EM4),$B$10*COUNT(EM10),$B$13*COUNT(EM13),$B$16*COUNT(EM16),$B$20*COUNT(EM20)))</f>
        <v>1.9537037037037035</v>
      </c>
      <c r="EN22" s="212">
        <f>IF(EM22="","",EM22*5)</f>
        <v>9.7685185185185173</v>
      </c>
      <c r="EO22" s="175"/>
      <c r="EP22" s="175"/>
      <c r="EQ22" s="150"/>
      <c r="ER22" s="150"/>
      <c r="ES22" s="150"/>
      <c r="ET22" s="188">
        <f>IF(COUNT(ET20,ET16,ET13,ET10,ET4)=0,"",SUM($B$4*IF(COUNT(ET4)=0,0,ET4),$B$10*IF(COUNT(ET10)=0,0,ET10),$B$13*IF(COUNT(ET13)=0,0,ET13),$B$16*IF(COUNT(ET16)=0,0,ET16),$B$20*IF(COUNT(ET20)=0,0,ET20))/SUM($B$4*COUNT(ET4),$B$10*COUNT(ET10),$B$13*COUNT(ET13),$B$16*COUNT(ET16),$B$20*COUNT(ET20)))</f>
        <v>2.5</v>
      </c>
      <c r="EU22" s="189">
        <f>IF(ET22="","",ET22*5)</f>
        <v>12.5</v>
      </c>
      <c r="EV22" s="81"/>
      <c r="EW22" s="81"/>
      <c r="EX22" s="81"/>
      <c r="EY22" s="188">
        <f>IF(COUNT(EY20,EY16,EY13,EY10,EY4)=0,"",SUM($B$4*IF(COUNT(EY4)=0,0,EY4),$B$10*IF(COUNT(EY10)=0,0,EY10),$B$13*IF(COUNT(EY13)=0,0,EY13),$B$16*IF(COUNT(EY16)=0,0,EY16),$B$20*IF(COUNT(EY20)=0,0,EY20))/SUM($B$4*COUNT(EY4),$B$10*COUNT(EY10),$B$13*COUNT(EY13),$B$16*COUNT(EY16),$B$20*COUNT(EY20)))</f>
        <v>3.1944444444444442</v>
      </c>
      <c r="EZ22" s="195">
        <f>IF(EY22="","",EY22*5)</f>
        <v>15.972222222222221</v>
      </c>
      <c r="FA22" s="81"/>
      <c r="FB22" s="81"/>
      <c r="FC22" s="81"/>
      <c r="FD22" s="81"/>
      <c r="FE22" s="188">
        <f>IF(COUNT(FE20,FE16,FE13,FE10,FE4)=0,"",SUM($B$4*IF(COUNT(FE4)=0,0,FE4),$B$10*IF(COUNT(FE10)=0,0,FE10),$B$13*IF(COUNT(FE13)=0,0,FE13),$B$16*IF(COUNT(FE16)=0,0,FE16),$B$20*IF(COUNT(FE20)=0,0,FE20))/SUM($B$4*COUNT(FE4),$B$10*COUNT(FE10),$B$13*COUNT(FE13),$B$16*COUNT(FE16),$B$20*COUNT(FE20)))</f>
        <v>3.0277777777777772</v>
      </c>
      <c r="FF22" s="212">
        <f>IF(FE22="","",FE22*5)</f>
        <v>15.138888888888886</v>
      </c>
      <c r="FG22" s="175"/>
      <c r="FH22" s="175"/>
      <c r="FI22" s="150"/>
      <c r="FJ22" s="150"/>
      <c r="FK22" s="150"/>
      <c r="FL22" s="188">
        <f>IF(COUNT(FL20,FL16,FL13,FL10,FL4)=0,"",SUM($B$4*IF(COUNT(FL4)=0,0,FL4),$B$10*IF(COUNT(FL10)=0,0,FL10),$B$13*IF(COUNT(FL13)=0,0,FL13),$B$16*IF(COUNT(FL16)=0,0,FL16),$B$20*IF(COUNT(FL20)=0,0,FL20))/SUM($B$4*COUNT(FL4),$B$10*COUNT(FL10),$B$13*COUNT(FL13),$B$16*COUNT(FL16),$B$20*COUNT(FL20)))</f>
        <v>2.8333333333333335</v>
      </c>
      <c r="FM22" s="189">
        <f>IF(FL22="","",FL22*5)</f>
        <v>14.166666666666668</v>
      </c>
      <c r="FN22" s="81"/>
      <c r="FO22" s="81"/>
      <c r="FP22" s="81"/>
      <c r="FQ22" s="188">
        <f>IF(COUNT(FQ20,FQ16,FQ13,FQ10,FQ4)=0,"",SUM($B$4*IF(COUNT(FQ4)=0,0,FQ4),$B$10*IF(COUNT(FQ10)=0,0,FQ10),$B$13*IF(COUNT(FQ13)=0,0,FQ13),$B$16*IF(COUNT(FQ16)=0,0,FQ16),$B$20*IF(COUNT(FQ20)=0,0,FQ20))/SUM($B$4*COUNT(FQ4),$B$10*COUNT(FQ10),$B$13*COUNT(FQ13),$B$16*COUNT(FQ16),$B$20*COUNT(FQ20)))</f>
        <v>2.6527777777777777</v>
      </c>
      <c r="FR22" s="195">
        <f>IF(FQ22="","",FQ22*5)</f>
        <v>13.263888888888889</v>
      </c>
      <c r="FS22" s="81"/>
      <c r="FT22" s="81"/>
      <c r="FU22" s="81"/>
      <c r="FV22" s="81"/>
      <c r="FW22" s="188">
        <f>IF(COUNT(FW20,FW16,FW13,FW10,FW4)=0,"",SUM($B$4*IF(COUNT(FW4)=0,0,FW4),$B$10*IF(COUNT(FW10)=0,0,FW10),$B$13*IF(COUNT(FW13)=0,0,FW13),$B$16*IF(COUNT(FW16)=0,0,FW16),$B$20*IF(COUNT(FW20)=0,0,FW20))/SUM($B$4*COUNT(FW4),$B$10*COUNT(FW10),$B$13*COUNT(FW13),$B$16*COUNT(FW16),$B$20*COUNT(FW20)))</f>
        <v>2.9444444444444446</v>
      </c>
      <c r="FX22" s="212">
        <f>IF(FW22="","",FW22*5)</f>
        <v>14.722222222222223</v>
      </c>
      <c r="FY22" s="175"/>
      <c r="FZ22" s="175"/>
      <c r="GA22" s="150"/>
      <c r="GB22" s="150"/>
      <c r="GC22" s="150"/>
      <c r="GD22" s="188">
        <f>IF(COUNT(GD20,GD16,GD13,GD10,GD4)=0,"",SUM($B$4*IF(COUNT(GD4)=0,0,GD4),$B$10*IF(COUNT(GD10)=0,0,GD10),$B$13*IF(COUNT(GD13)=0,0,GD13),$B$16*IF(COUNT(GD16)=0,0,GD16),$B$20*IF(COUNT(GD20)=0,0,GD20))/SUM($B$4*COUNT(GD4),$B$10*COUNT(GD10),$B$13*COUNT(GD13),$B$16*COUNT(GD16),$B$20*COUNT(GD20)))</f>
        <v>2.75</v>
      </c>
      <c r="GE22" s="189">
        <f>IF(GD22="","",GD22*5)</f>
        <v>13.75</v>
      </c>
      <c r="GF22" s="81"/>
      <c r="GG22" s="81"/>
      <c r="GH22" s="81"/>
      <c r="GI22" s="188">
        <f>IF(COUNT(GI20,GI16,GI13,GI10,GI4)=0,"",SUM($B$4*IF(COUNT(GI4)=0,0,GI4),$B$10*IF(COUNT(GI10)=0,0,GI10),$B$13*IF(COUNT(GI13)=0,0,GI13),$B$16*IF(COUNT(GI16)=0,0,GI16),$B$20*IF(COUNT(GI20)=0,0,GI20))/SUM($B$4*COUNT(GI4),$B$10*COUNT(GI10),$B$13*COUNT(GI13),$B$16*COUNT(GI16),$B$20*COUNT(GI20)))</f>
        <v>3.2638888888888888</v>
      </c>
      <c r="GJ22" s="195">
        <f>IF(GI22="","",GI22*5)</f>
        <v>16.319444444444443</v>
      </c>
      <c r="GK22" s="81"/>
      <c r="GL22" s="81"/>
      <c r="GM22" s="81"/>
      <c r="GN22" s="81"/>
      <c r="GO22" s="188">
        <f>IF(COUNT(GO20,GO16,GO13,GO10,GO4)=0,"",SUM($B$4*IF(COUNT(GO4)=0,0,GO4),$B$10*IF(COUNT(GO10)=0,0,GO10),$B$13*IF(COUNT(GO13)=0,0,GO13),$B$16*IF(COUNT(GO16)=0,0,GO16),$B$20*IF(COUNT(GO20)=0,0,GO20))/SUM($B$4*COUNT(GO4),$B$10*COUNT(GO10),$B$13*COUNT(GO13),$B$16*COUNT(GO16),$B$20*COUNT(GO20)))</f>
        <v>2.8703703703703702</v>
      </c>
      <c r="GP22" s="212">
        <f>IF(GO22="","",GO22*5)</f>
        <v>14.351851851851851</v>
      </c>
      <c r="GQ22" s="175"/>
      <c r="GR22" s="175"/>
      <c r="GS22" s="150"/>
      <c r="GT22" s="150"/>
      <c r="GU22" s="150"/>
      <c r="GV22" s="188">
        <f>IF(COUNT(GV20,GV16,GV13,GV10,GV4)=0,"",SUM($B$4*IF(COUNT(GV4)=0,0,GV4),$B$10*IF(COUNT(GV10)=0,0,GV10),$B$13*IF(COUNT(GV13)=0,0,GV13),$B$16*IF(COUNT(GV16)=0,0,GV16),$B$20*IF(COUNT(GV20)=0,0,GV20))/SUM($B$4*COUNT(GV4),$B$10*COUNT(GV10),$B$13*COUNT(GV13),$B$16*COUNT(GV16),$B$20*COUNT(GV20)))</f>
        <v>2.5833333333333335</v>
      </c>
      <c r="GW22" s="189">
        <f>IF(GV22="","",GV22*5)</f>
        <v>12.916666666666668</v>
      </c>
      <c r="GX22" s="81"/>
      <c r="GY22" s="81"/>
      <c r="GZ22" s="81"/>
      <c r="HA22" s="188">
        <f>IF(COUNT(HA20,HA16,HA13,HA10,HA4)=0,"",SUM($B$4*IF(COUNT(HA4)=0,0,HA4),$B$10*IF(COUNT(HA10)=0,0,HA10),$B$13*IF(COUNT(HA13)=0,0,HA13),$B$16*IF(COUNT(HA16)=0,0,HA16),$B$20*IF(COUNT(HA20)=0,0,HA20))/SUM($B$4*COUNT(HA4),$B$10*COUNT(HA10),$B$13*COUNT(HA13),$B$16*COUNT(HA16),$B$20*COUNT(HA20)))</f>
        <v>2.9722222222222228</v>
      </c>
      <c r="HB22" s="195">
        <f>IF(HA22="","",HA22*5)</f>
        <v>14.861111111111114</v>
      </c>
      <c r="HC22" s="81"/>
      <c r="HD22" s="81"/>
      <c r="HE22" s="81"/>
      <c r="HF22" s="81"/>
      <c r="HG22" s="188">
        <f>IF(COUNT(HG20,HG16,HG13,HG10,HG4)=0,"",SUM($B$4*IF(COUNT(HG4)=0,0,HG4),$B$10*IF(COUNT(HG10)=0,0,HG10),$B$13*IF(COUNT(HG13)=0,0,HG13),$B$16*IF(COUNT(HG16)=0,0,HG16),$B$20*IF(COUNT(HG20)=0,0,HG20))/SUM($B$4*COUNT(HG4),$B$10*COUNT(HG10),$B$13*COUNT(HG13),$B$16*COUNT(HG16),$B$20*COUNT(HG20)))</f>
        <v>2.8611111111111112</v>
      </c>
      <c r="HH22" s="212">
        <f>IF(HG22="","",HG22*5)</f>
        <v>14.305555555555555</v>
      </c>
      <c r="HI22" s="175"/>
      <c r="HJ22" s="175"/>
      <c r="HK22" s="150"/>
      <c r="HL22" s="150"/>
      <c r="HM22" s="150"/>
      <c r="HN22" s="188">
        <f>IF(COUNT(HN20,HN16,HN13,HN10,HN4)=0,"",SUM($B$4*IF(COUNT(HN4)=0,0,HN4),$B$10*IF(COUNT(HN10)=0,0,HN10),$B$13*IF(COUNT(HN13)=0,0,HN13),$B$16*IF(COUNT(HN16)=0,0,HN16),$B$20*IF(COUNT(HN20)=0,0,HN20))/SUM($B$4*COUNT(HN4),$B$10*COUNT(HN10),$B$13*COUNT(HN13),$B$16*COUNT(HN16),$B$20*COUNT(HN20)))</f>
        <v>2.25</v>
      </c>
      <c r="HO22" s="189">
        <f>IF(HN22="","",HN22*5)</f>
        <v>11.25</v>
      </c>
      <c r="HP22" s="81"/>
      <c r="HQ22" s="81"/>
      <c r="HR22" s="81"/>
      <c r="HS22" s="188">
        <f>IF(COUNT(HS20,HS16,HS13,HS10,HS4)=0,"",SUM($B$4*IF(COUNT(HS4)=0,0,HS4),$B$10*IF(COUNT(HS10)=0,0,HS10),$B$13*IF(COUNT(HS13)=0,0,HS13),$B$16*IF(COUNT(HS16)=0,0,HS16),$B$20*IF(COUNT(HS20)=0,0,HS20))/SUM($B$4*COUNT(HS4),$B$10*COUNT(HS10),$B$13*COUNT(HS13),$B$16*COUNT(HS16),$B$20*COUNT(HS20)))</f>
        <v>1.9166666666666667</v>
      </c>
      <c r="HT22" s="195">
        <f>IF(HS22="","",HS22*5)</f>
        <v>9.5833333333333339</v>
      </c>
      <c r="HU22" s="81"/>
      <c r="HV22" s="81"/>
      <c r="HW22" s="81"/>
      <c r="HX22" s="81"/>
      <c r="HY22" s="188">
        <f>IF(COUNT(HY20,HY16,HY13,HY10,HY4)=0,"",SUM($B$4*IF(COUNT(HY4)=0,0,HY4),$B$10*IF(COUNT(HY10)=0,0,HY10),$B$13*IF(COUNT(HY13)=0,0,HY13),$B$16*IF(COUNT(HY16)=0,0,HY16),$B$20*IF(COUNT(HY20)=0,0,HY20))/SUM($B$4*COUNT(HY4),$B$10*COUNT(HY10),$B$13*COUNT(HY13),$B$16*COUNT(HY16),$B$20*COUNT(HY20)))</f>
        <v>3.0833333333333335</v>
      </c>
      <c r="HZ22" s="212">
        <f>IF(HY22="","",HY22*5)</f>
        <v>15.416666666666668</v>
      </c>
      <c r="IA22" s="175"/>
      <c r="IB22" s="175"/>
      <c r="IC22" s="150"/>
      <c r="ID22" s="150"/>
      <c r="IE22" s="150"/>
      <c r="IF22" s="188">
        <f>IF(COUNT(IF20,IF16,IF13,IF10,IF4)=0,"",SUM($B$4*IF(COUNT(IF4)=0,0,IF4),$B$10*IF(COUNT(IF10)=0,0,IF10),$B$13*IF(COUNT(IF13)=0,0,IF13),$B$16*IF(COUNT(IF16)=0,0,IF16),$B$20*IF(COUNT(IF20)=0,0,IF20))/SUM($B$4*COUNT(IF4),$B$10*COUNT(IF10),$B$13*COUNT(IF13),$B$16*COUNT(IF16),$B$20*COUNT(IF20)))</f>
        <v>2.8333333333333335</v>
      </c>
      <c r="IG22" s="189">
        <f>IF(IF22="","",IF22*5)</f>
        <v>14.166666666666668</v>
      </c>
      <c r="IH22" s="81"/>
      <c r="II22" s="81"/>
      <c r="IJ22" s="81"/>
      <c r="IK22" s="188">
        <f>IF(COUNT(IK20,IK16,IK13,IK10,IK4)=0,"",SUM($B$4*IF(COUNT(IK4)=0,0,IK4),$B$10*IF(COUNT(IK10)=0,0,IK10),$B$13*IF(COUNT(IK13)=0,0,IK13),$B$16*IF(COUNT(IK16)=0,0,IK16),$B$20*IF(COUNT(IK20)=0,0,IK20))/SUM($B$4*COUNT(IK4),$B$10*COUNT(IK10),$B$13*COUNT(IK13),$B$16*COUNT(IK16),$B$20*COUNT(IK20)))</f>
        <v>3.0972222222222228</v>
      </c>
      <c r="IL22" s="195">
        <f>IF(IK22="","",IK22*5)</f>
        <v>15.486111111111114</v>
      </c>
      <c r="IM22" s="81"/>
      <c r="IN22" s="81"/>
      <c r="IO22" s="81"/>
      <c r="IP22" s="81"/>
      <c r="IQ22" s="188">
        <f>IF(COUNT(IQ20,IQ16,IQ13,IQ10,IQ4)=0,"",SUM($B$4*IF(COUNT(IQ4)=0,0,IQ4),$B$10*IF(COUNT(IQ10)=0,0,IQ10),$B$13*IF(COUNT(IQ13)=0,0,IQ13),$B$16*IF(COUNT(IQ16)=0,0,IQ16),$B$20*IF(COUNT(IQ20)=0,0,IQ20))/SUM($B$4*COUNT(IQ4),$B$10*COUNT(IQ10),$B$13*COUNT(IQ13),$B$16*COUNT(IQ16),$B$20*COUNT(IQ20)))</f>
        <v>2.824074074074074</v>
      </c>
      <c r="IR22" s="212">
        <f>IF(IQ22="","",IQ22*5)</f>
        <v>14.12037037037037</v>
      </c>
      <c r="IS22" s="175"/>
      <c r="IT22" s="175"/>
      <c r="IU22" s="150"/>
      <c r="IV22" s="150"/>
      <c r="IW22" s="150"/>
      <c r="IX22" s="188">
        <f>IF(COUNT(IX20,IX16,IX13,IX10,IX4)=0,"",SUM($B$4*IF(COUNT(IX4)=0,0,IX4),$B$10*IF(COUNT(IX10)=0,0,IX10),$B$13*IF(COUNT(IX13)=0,0,IX13),$B$16*IF(COUNT(IX16)=0,0,IX16),$B$20*IF(COUNT(IX20)=0,0,IX20))/SUM($B$4*COUNT(IX4),$B$10*COUNT(IX10),$B$13*COUNT(IX13),$B$16*COUNT(IX16),$B$20*COUNT(IX20)))</f>
        <v>2.4166666666666665</v>
      </c>
      <c r="IY22" s="189">
        <f>IF(IX22="","",IX22*5)</f>
        <v>12.083333333333332</v>
      </c>
      <c r="IZ22" s="81"/>
      <c r="JA22" s="81"/>
      <c r="JB22" s="81"/>
      <c r="JC22" s="188">
        <f>IF(COUNT(JC20,JC16,JC13,JC10,JC4)=0,"",SUM($B$4*IF(COUNT(JC4)=0,0,JC4),$B$10*IF(COUNT(JC10)=0,0,JC10),$B$13*IF(COUNT(JC13)=0,0,JC13),$B$16*IF(COUNT(JC16)=0,0,JC16),$B$20*IF(COUNT(JC20)=0,0,JC20))/SUM($B$4*COUNT(JC4),$B$10*COUNT(JC10),$B$13*COUNT(JC13),$B$16*COUNT(JC16),$B$20*COUNT(JC20)))</f>
        <v>2.4027777777777781</v>
      </c>
      <c r="JD22" s="195">
        <f>IF(JC22="","",JC22*5)</f>
        <v>12.013888888888891</v>
      </c>
      <c r="JE22" s="81"/>
      <c r="JF22" s="81"/>
      <c r="JG22" s="81"/>
      <c r="JH22" s="81"/>
      <c r="JI22" s="188">
        <f>IF(COUNT(JI20,JI16,JI13,JI10,JI4)=0,"",SUM($B$4*IF(COUNT(JI4)=0,0,JI4),$B$10*IF(COUNT(JI10)=0,0,JI10),$B$13*IF(COUNT(JI13)=0,0,JI13),$B$16*IF(COUNT(JI16)=0,0,JI16),$B$20*IF(COUNT(JI20)=0,0,JI20))/SUM($B$4*COUNT(JI4),$B$10*COUNT(JI10),$B$13*COUNT(JI13),$B$16*COUNT(JI16),$B$20*COUNT(JI20)))</f>
        <v>2.1944444444444446</v>
      </c>
      <c r="JJ22" s="212">
        <f>IF(JI22="","",JI22*5)</f>
        <v>10.972222222222223</v>
      </c>
      <c r="JK22" s="175"/>
      <c r="JL22" s="175"/>
      <c r="JM22" s="150"/>
      <c r="JN22" s="150"/>
      <c r="JO22" s="150"/>
      <c r="JP22" s="188">
        <f>IF(COUNT(JP20,JP16,JP13,JP10,JP4)=0,"",SUM($B$4*IF(COUNT(JP4)=0,0,JP4),$B$10*IF(COUNT(JP10)=0,0,JP10),$B$13*IF(COUNT(JP13)=0,0,JP13),$B$16*IF(COUNT(JP16)=0,0,JP16),$B$20*IF(COUNT(JP20)=0,0,JP20))/SUM($B$4*COUNT(JP4),$B$10*COUNT(JP10),$B$13*COUNT(JP13),$B$16*COUNT(JP16),$B$20*COUNT(JP20)))</f>
        <v>2.6666666666666665</v>
      </c>
      <c r="JQ22" s="189">
        <f>IF(JP22="","",JP22*5)</f>
        <v>13.333333333333332</v>
      </c>
      <c r="JR22" s="81"/>
      <c r="JS22" s="81"/>
      <c r="JT22" s="81"/>
      <c r="JU22" s="188">
        <f>IF(COUNT(JU20,JU16,JU13,JU10,JU4)=0,"",SUM($B$4*IF(COUNT(JU4)=0,0,JU4),$B$10*IF(COUNT(JU10)=0,0,JU10),$B$13*IF(COUNT(JU13)=0,0,JU13),$B$16*IF(COUNT(JU16)=0,0,JU16),$B$20*IF(COUNT(JU20)=0,0,JU20))/SUM($B$4*COUNT(JU4),$B$10*COUNT(JU10),$B$13*COUNT(JU13),$B$16*COUNT(JU16),$B$20*COUNT(JU20)))</f>
        <v>2.3055555555555558</v>
      </c>
      <c r="JV22" s="195">
        <f>IF(JU22="","",JU22*5)</f>
        <v>11.527777777777779</v>
      </c>
      <c r="JW22" s="81"/>
      <c r="JX22" s="81"/>
      <c r="JY22" s="81"/>
      <c r="JZ22" s="81"/>
      <c r="KA22" s="188">
        <f>IF(COUNT(KA20,KA16,KA13,KA10,KA4)=0,"",SUM($B$4*IF(COUNT(KA4)=0,0,KA4),$B$10*IF(COUNT(KA10)=0,0,KA10),$B$13*IF(COUNT(KA13)=0,0,KA13),$B$16*IF(COUNT(KA16)=0,0,KA16),$B$20*IF(COUNT(KA20)=0,0,KA20))/SUM($B$4*COUNT(KA4),$B$10*COUNT(KA10),$B$13*COUNT(KA13),$B$16*COUNT(KA16),$B$20*COUNT(KA20)))</f>
        <v>2.6</v>
      </c>
      <c r="KB22" s="212">
        <f>IF(KA22="","",KA22*5)</f>
        <v>13</v>
      </c>
      <c r="KC22" s="175"/>
      <c r="KD22" s="175"/>
      <c r="KE22" s="150"/>
      <c r="KF22" s="150"/>
      <c r="KG22" s="150"/>
      <c r="KH22" s="188">
        <f>IF(COUNT(KH20,KH16,KH13,KH10,KH4)=0,"",SUM($B$4*IF(COUNT(KH4)=0,0,KH4),$B$10*IF(COUNT(KH10)=0,0,KH10),$B$13*IF(COUNT(KH13)=0,0,KH13),$B$16*IF(COUNT(KH16)=0,0,KH16),$B$20*IF(COUNT(KH20)=0,0,KH20))/SUM($B$4*COUNT(KH4),$B$10*COUNT(KH10),$B$13*COUNT(KH13),$B$16*COUNT(KH16),$B$20*COUNT(KH20)))</f>
        <v>2.6666666666666665</v>
      </c>
      <c r="KI22" s="189">
        <f>IF(KH22="","",KH22*5)</f>
        <v>13.333333333333332</v>
      </c>
      <c r="KJ22" s="81"/>
      <c r="KK22" s="81"/>
      <c r="KL22" s="81"/>
      <c r="KM22" s="188">
        <f>IF(COUNT(KM20,KM16,KM13,KM10,KM4)=0,"",SUM($B$4*IF(COUNT(KM4)=0,0,KM4),$B$10*IF(COUNT(KM10)=0,0,KM10),$B$13*IF(COUNT(KM13)=0,0,KM13),$B$16*IF(COUNT(KM16)=0,0,KM16),$B$20*IF(COUNT(KM20)=0,0,KM20))/SUM($B$4*COUNT(KM4),$B$10*COUNT(KM10),$B$13*COUNT(KM13),$B$16*COUNT(KM16),$B$20*COUNT(KM20)))</f>
        <v>3.1111111111111107</v>
      </c>
      <c r="KN22" s="195">
        <f>IF(KM22="","",KM22*5)</f>
        <v>15.555555555555554</v>
      </c>
      <c r="KO22" s="81"/>
      <c r="KP22" s="81"/>
      <c r="KQ22" s="81"/>
      <c r="KR22" s="81"/>
      <c r="KS22" s="188">
        <f>IF(COUNT(KS20,KS16,KS13,KS10,KS4)=0,"",SUM($B$4*IF(COUNT(KS4)=0,0,KS4),$B$10*IF(COUNT(KS10)=0,0,KS10),$B$13*IF(COUNT(KS13)=0,0,KS13),$B$16*IF(COUNT(KS16)=0,0,KS16),$B$20*IF(COUNT(KS20)=0,0,KS20))/SUM($B$4*COUNT(KS4),$B$10*COUNT(KS10),$B$13*COUNT(KS13),$B$16*COUNT(KS16),$B$20*COUNT(KS20)))</f>
        <v>3.3055555555555554</v>
      </c>
      <c r="KT22" s="212">
        <f>IF(KS22="","",KS22*5)</f>
        <v>16.527777777777779</v>
      </c>
      <c r="KU22" s="175"/>
      <c r="KV22" s="175"/>
      <c r="KW22" s="150"/>
      <c r="KX22" s="150"/>
      <c r="KY22" s="150"/>
      <c r="KZ22" s="188">
        <f>IF(COUNT(KZ20,KZ16,KZ13,KZ10,KZ4)=0,"",SUM($B$4*IF(COUNT(KZ4)=0,0,KZ4),$B$10*IF(COUNT(KZ10)=0,0,KZ10),$B$13*IF(COUNT(KZ13)=0,0,KZ13),$B$16*IF(COUNT(KZ16)=0,0,KZ16),$B$20*IF(COUNT(KZ20)=0,0,KZ20))/SUM($B$4*COUNT(KZ4),$B$10*COUNT(KZ10),$B$13*COUNT(KZ13),$B$16*COUNT(KZ16),$B$20*COUNT(KZ20)))</f>
        <v>2.9166666666666665</v>
      </c>
      <c r="LA22" s="189">
        <f>IF(KZ22="","",KZ22*5)</f>
        <v>14.583333333333332</v>
      </c>
      <c r="LB22" s="81"/>
      <c r="LC22" s="81"/>
      <c r="LD22" s="81"/>
      <c r="LE22" s="188">
        <f>IF(COUNT(LE20,LE16,LE13,LE10,LE4)=0,"",SUM($B$4*IF(COUNT(LE4)=0,0,LE4),$B$10*IF(COUNT(LE10)=0,0,LE10),$B$13*IF(COUNT(LE13)=0,0,LE13),$B$16*IF(COUNT(LE16)=0,0,LE16),$B$20*IF(COUNT(LE20)=0,0,LE20))/SUM($B$4*COUNT(LE4),$B$10*COUNT(LE10),$B$13*COUNT(LE13),$B$16*COUNT(LE16),$B$20*COUNT(LE20)))</f>
        <v>3.2083333333333335</v>
      </c>
      <c r="LF22" s="195">
        <f>IF(LE22="","",LE22*5)</f>
        <v>16.041666666666668</v>
      </c>
      <c r="LG22" s="81"/>
      <c r="LH22" s="81"/>
      <c r="LI22" s="81"/>
      <c r="LJ22" s="81"/>
      <c r="LK22" s="188">
        <f>IF(COUNT(LK20,LK16,LK13,LK10,LK4)=0,"",SUM($B$4*IF(COUNT(LK4)=0,0,LK4),$B$10*IF(COUNT(LK10)=0,0,LK10),$B$13*IF(COUNT(LK13)=0,0,LK13),$B$16*IF(COUNT(LK16)=0,0,LK16),$B$20*IF(COUNT(LK20)=0,0,LK20))/SUM($B$4*COUNT(LK4),$B$10*COUNT(LK10),$B$13*COUNT(LK13),$B$16*COUNT(LK16),$B$20*COUNT(LK20)))</f>
        <v>2.8333333333333335</v>
      </c>
      <c r="LL22" s="212">
        <f>IF(LK22="","",LK22*5)</f>
        <v>14.166666666666668</v>
      </c>
      <c r="LM22" s="175"/>
      <c r="LN22" s="175"/>
      <c r="LO22" s="150"/>
      <c r="LP22" s="150"/>
      <c r="LQ22" s="150"/>
      <c r="LR22" s="188">
        <f>IF(COUNT(LR20,LR16,LR13,LR10,LR4)=0,"",SUM($B$4*IF(COUNT(LR4)=0,0,LR4),$B$10*IF(COUNT(LR10)=0,0,LR10),$B$13*IF(COUNT(LR13)=0,0,LR13),$B$16*IF(COUNT(LR16)=0,0,LR16),$B$20*IF(COUNT(LR20)=0,0,LR20))/SUM($B$4*COUNT(LR4),$B$10*COUNT(LR10),$B$13*COUNT(LR13),$B$16*COUNT(LR16),$B$20*COUNT(LR20)))</f>
        <v>3</v>
      </c>
      <c r="LS22" s="189">
        <f>IF(LR22="","",LR22*5)</f>
        <v>15</v>
      </c>
      <c r="LT22" s="81"/>
      <c r="LU22" s="81"/>
      <c r="LV22" s="81"/>
      <c r="LW22" s="188">
        <f>IF(COUNT(LW20,LW16,LW13,LW10,LW4)=0,"",SUM($B$4*IF(COUNT(LW4)=0,0,LW4),$B$10*IF(COUNT(LW10)=0,0,LW10),$B$13*IF(COUNT(LW13)=0,0,LW13),$B$16*IF(COUNT(LW16)=0,0,LW16),$B$20*IF(COUNT(LW20)=0,0,LW20))/SUM($B$4*COUNT(LW4),$B$10*COUNT(LW10),$B$13*COUNT(LW13),$B$16*COUNT(LW16),$B$20*COUNT(LW20)))</f>
        <v>3.2361111111111107</v>
      </c>
      <c r="LX22" s="195">
        <f>IF(LW22="","",LW22*5)</f>
        <v>16.180555555555554</v>
      </c>
      <c r="LY22" s="81"/>
      <c r="LZ22" s="81"/>
      <c r="MA22" s="81"/>
      <c r="MB22" s="81"/>
      <c r="MC22" s="188">
        <f>IF(COUNT(MC20,MC16,MC13,MC10,MC4)=0,"",SUM($B$4*IF(COUNT(MC4)=0,0,MC4),$B$10*IF(COUNT(MC10)=0,0,MC10),$B$13*IF(COUNT(MC13)=0,0,MC13),$B$16*IF(COUNT(MC16)=0,0,MC16),$B$20*IF(COUNT(MC20)=0,0,MC20))/SUM($B$4*COUNT(MC4),$B$10*COUNT(MC10),$B$13*COUNT(MC13),$B$16*COUNT(MC16),$B$20*COUNT(MC20)))</f>
        <v>3.4444444444444446</v>
      </c>
      <c r="MD22" s="212">
        <f>IF(MC22="","",MC22*5)</f>
        <v>17.222222222222221</v>
      </c>
      <c r="ME22" s="175"/>
      <c r="MF22" s="175"/>
      <c r="MG22" s="150"/>
      <c r="MH22" s="150"/>
      <c r="MI22" s="150"/>
      <c r="MJ22" s="188">
        <f>IF(COUNT(MJ20,MJ16,MJ13,MJ10,MJ4)=0,"",SUM($B$4*IF(COUNT(MJ4)=0,0,MJ4),$B$10*IF(COUNT(MJ10)=0,0,MJ10),$B$13*IF(COUNT(MJ13)=0,0,MJ13),$B$16*IF(COUNT(MJ16)=0,0,MJ16),$B$20*IF(COUNT(MJ20)=0,0,MJ20))/SUM($B$4*COUNT(MJ4),$B$10*COUNT(MJ10),$B$13*COUNT(MJ13),$B$16*COUNT(MJ16),$B$20*COUNT(MJ20)))</f>
        <v>3.0833333333333335</v>
      </c>
      <c r="MK22" s="189">
        <f>IF(MJ22="","",MJ22*5)</f>
        <v>15.416666666666668</v>
      </c>
      <c r="ML22" s="81"/>
      <c r="MM22" s="81"/>
      <c r="MN22" s="81"/>
      <c r="MO22" s="188">
        <f>IF(COUNT(MO20,MO16,MO13,MO10,MO4)=0,"",SUM($B$4*IF(COUNT(MO4)=0,0,MO4),$B$10*IF(COUNT(MO10)=0,0,MO10),$B$13*IF(COUNT(MO13)=0,0,MO13),$B$16*IF(COUNT(MO16)=0,0,MO16),$B$20*IF(COUNT(MO20)=0,0,MO20))/SUM($B$4*COUNT(MO4),$B$10*COUNT(MO10),$B$13*COUNT(MO13),$B$16*COUNT(MO16),$B$20*COUNT(MO20)))</f>
        <v>3.0555555555555554</v>
      </c>
      <c r="MP22" s="195">
        <f>IF(MO22="","",MO22*5)</f>
        <v>15.277777777777777</v>
      </c>
      <c r="MQ22" s="81"/>
      <c r="MR22" s="81"/>
      <c r="MS22" s="81"/>
      <c r="MT22" s="81"/>
      <c r="MU22" s="188">
        <f>IF(COUNT(MU20,MU16,MU13,MU10,MU4)=0,"",SUM($B$4*IF(COUNT(MU4)=0,0,MU4),$B$10*IF(COUNT(MU10)=0,0,MU10),$B$13*IF(COUNT(MU13)=0,0,MU13),$B$16*IF(COUNT(MU16)=0,0,MU16),$B$20*IF(COUNT(MU20)=0,0,MU20))/SUM($B$4*COUNT(MU4),$B$10*COUNT(MU10),$B$13*COUNT(MU13),$B$16*COUNT(MU16),$B$20*COUNT(MU20)))</f>
        <v>2.9722222222222219</v>
      </c>
      <c r="MV22" s="212">
        <f>IF(MU22="","",MU22*5)</f>
        <v>14.861111111111109</v>
      </c>
      <c r="MW22" s="175"/>
      <c r="MX22" s="175"/>
      <c r="MY22" s="150"/>
      <c r="MZ22" s="150"/>
      <c r="NA22" s="150"/>
      <c r="NB22" s="188">
        <f>IF(COUNT(NB20,NB16,NB13,NB10,NB4)=0,"",SUM($B$4*IF(COUNT(NB4)=0,0,NB4),$B$10*IF(COUNT(NB10)=0,0,NB10),$B$13*IF(COUNT(NB13)=0,0,NB13),$B$16*IF(COUNT(NB16)=0,0,NB16),$B$20*IF(COUNT(NB20)=0,0,NB20))/SUM($B$4*COUNT(NB4),$B$10*COUNT(NB10),$B$13*COUNT(NB13),$B$16*COUNT(NB16),$B$20*COUNT(NB20)))</f>
        <v>3</v>
      </c>
      <c r="NC22" s="189">
        <f>IF(NB22="","",NB22*5)</f>
        <v>15</v>
      </c>
      <c r="ND22" s="81"/>
      <c r="NE22" s="81"/>
      <c r="NF22" s="81"/>
      <c r="NG22" s="188">
        <f>IF(COUNT(NG20,NG16,NG13,NG10,NG4)=0,"",SUM($B$4*IF(COUNT(NG4)=0,0,NG4),$B$10*IF(COUNT(NG10)=0,0,NG10),$B$13*IF(COUNT(NG13)=0,0,NG13),$B$16*IF(COUNT(NG16)=0,0,NG16),$B$20*IF(COUNT(NG20)=0,0,NG20))/SUM($B$4*COUNT(NG4),$B$10*COUNT(NG10),$B$13*COUNT(NG13),$B$16*COUNT(NG16),$B$20*COUNT(NG20)))</f>
        <v>2.9861111111111107</v>
      </c>
      <c r="NH22" s="195">
        <f>IF(NG22="","",NG22*5)</f>
        <v>14.930555555555554</v>
      </c>
      <c r="NI22" s="81"/>
      <c r="NJ22" s="81"/>
      <c r="NK22" s="81"/>
      <c r="NL22" s="81"/>
      <c r="NM22" s="188">
        <f>IF(COUNT(NM20,NM16,NM13,NM10,NM4)=0,"",SUM($B$4*IF(COUNT(NM4)=0,0,NM4),$B$10*IF(COUNT(NM10)=0,0,NM10),$B$13*IF(COUNT(NM13)=0,0,NM13),$B$16*IF(COUNT(NM16)=0,0,NM16),$B$20*IF(COUNT(NM20)=0,0,NM20))/SUM($B$4*COUNT(NM4),$B$10*COUNT(NM10),$B$13*COUNT(NM13),$B$16*COUNT(NM16),$B$20*COUNT(NM20)))</f>
        <v>2.8611111111111107</v>
      </c>
      <c r="NN22" s="212">
        <f>IF(NM22="","",NM22*5)</f>
        <v>14.305555555555554</v>
      </c>
      <c r="NO22" s="175"/>
      <c r="NP22" s="175"/>
      <c r="NQ22" s="150"/>
      <c r="NR22" s="150"/>
      <c r="NS22" s="150"/>
      <c r="NT22" s="188">
        <f>IF(COUNT(NT20,NT16,NT13,NT10,NT4)=0,"",SUM($B$4*IF(COUNT(NT4)=0,0,NT4),$B$10*IF(COUNT(NT10)=0,0,NT10),$B$13*IF(COUNT(NT13)=0,0,NT13),$B$16*IF(COUNT(NT16)=0,0,NT16),$B$20*IF(COUNT(NT20)=0,0,NT20))/SUM($B$4*COUNT(NT4),$B$10*COUNT(NT10),$B$13*COUNT(NT13),$B$16*COUNT(NT16),$B$20*COUNT(NT20)))</f>
        <v>2.6666666666666665</v>
      </c>
      <c r="NU22" s="189">
        <f>IF(NT22="","",NT22*5)</f>
        <v>13.333333333333332</v>
      </c>
      <c r="NV22" s="81"/>
      <c r="NW22" s="81"/>
      <c r="NX22" s="81"/>
      <c r="NY22" s="188">
        <f>IF(COUNT(NY20,NY16,NY13,NY10,NY4)=0,"",SUM($B$4*IF(COUNT(NY4)=0,0,NY4),$B$10*IF(COUNT(NY10)=0,0,NY10),$B$13*IF(COUNT(NY13)=0,0,NY13),$B$16*IF(COUNT(NY16)=0,0,NY16),$B$20*IF(COUNT(NY20)=0,0,NY20))/SUM($B$4*COUNT(NY4),$B$10*COUNT(NY10),$B$13*COUNT(NY13),$B$16*COUNT(NY16),$B$20*COUNT(NY20)))</f>
        <v>2.7083333333333335</v>
      </c>
      <c r="NZ22" s="195">
        <f>IF(NY22="","",NY22*5)</f>
        <v>13.541666666666668</v>
      </c>
      <c r="OA22" s="81"/>
      <c r="OB22" s="81"/>
      <c r="OC22" s="81"/>
      <c r="OD22" s="81"/>
      <c r="OE22" s="188">
        <f>IF(COUNT(OE20,OE16,OE13,OE10,OE4)=0,"",SUM($B$4*IF(COUNT(OE4)=0,0,OE4),$B$10*IF(COUNT(OE10)=0,0,OE10),$B$13*IF(COUNT(OE13)=0,0,OE13),$B$16*IF(COUNT(OE16)=0,0,OE16),$B$20*IF(COUNT(OE20)=0,0,OE20))/SUM($B$4*COUNT(OE4),$B$10*COUNT(OE10),$B$13*COUNT(OE13),$B$16*COUNT(OE16),$B$20*COUNT(OE20)))</f>
        <v>2.9</v>
      </c>
      <c r="OF22" s="212">
        <f>IF(OE22="","",OE22*5)</f>
        <v>14.5</v>
      </c>
      <c r="OG22" s="175"/>
      <c r="OH22" s="175"/>
      <c r="OI22" s="150"/>
      <c r="OJ22" s="150"/>
      <c r="OK22" s="150"/>
      <c r="OL22" s="188">
        <f>IF(COUNT(OL20,OL16,OL13,OL10,OL4)=0,"",SUM($B$4*IF(COUNT(OL4)=0,0,OL4),$B$10*IF(COUNT(OL10)=0,0,OL10),$B$13*IF(COUNT(OL13)=0,0,OL13),$B$16*IF(COUNT(OL16)=0,0,OL16),$B$20*IF(COUNT(OL20)=0,0,OL20))/SUM($B$4*COUNT(OL4),$B$10*COUNT(OL10),$B$13*COUNT(OL13),$B$16*COUNT(OL16),$B$20*COUNT(OL20)))</f>
        <v>2.8333333333333335</v>
      </c>
      <c r="OM22" s="189">
        <f>IF(OL22="","",OL22*5)</f>
        <v>14.166666666666668</v>
      </c>
      <c r="ON22" s="81"/>
      <c r="OO22" s="81"/>
      <c r="OP22" s="81"/>
      <c r="OQ22" s="188">
        <f>IF(COUNT(OQ20,OQ16,OQ13,OQ10,OQ4)=0,"",SUM($B$4*IF(COUNT(OQ4)=0,0,OQ4),$B$10*IF(COUNT(OQ10)=0,0,OQ10),$B$13*IF(COUNT(OQ13)=0,0,OQ13),$B$16*IF(COUNT(OQ16)=0,0,OQ16),$B$20*IF(COUNT(OQ20)=0,0,OQ20))/SUM($B$4*COUNT(OQ4),$B$10*COUNT(OQ10),$B$13*COUNT(OQ13),$B$16*COUNT(OQ16),$B$20*COUNT(OQ20)))</f>
        <v>3.1666666666666665</v>
      </c>
      <c r="OR22" s="195">
        <f>IF(OQ22="","",OQ22*5)</f>
        <v>15.833333333333332</v>
      </c>
      <c r="OS22" s="81"/>
      <c r="OT22" s="81"/>
      <c r="OU22" s="81"/>
      <c r="OV22" s="81"/>
      <c r="OW22" s="188">
        <f>IF(COUNT(OW20,OW16,OW13,OW10,OW4)=0,"",SUM($B$4*IF(COUNT(OW4)=0,0,OW4),$B$10*IF(COUNT(OW10)=0,0,OW10),$B$13*IF(COUNT(OW13)=0,0,OW13),$B$16*IF(COUNT(OW16)=0,0,OW16),$B$20*IF(COUNT(OW20)=0,0,OW20))/SUM($B$4*COUNT(OW4),$B$10*COUNT(OW10),$B$13*COUNT(OW13),$B$16*COUNT(OW16),$B$20*COUNT(OW20)))</f>
        <v>2.7777777777777772</v>
      </c>
      <c r="OX22" s="212">
        <f>IF(OW22="","",OW22*5)</f>
        <v>13.888888888888886</v>
      </c>
      <c r="OY22" s="175"/>
      <c r="OZ22" s="175"/>
      <c r="PA22" s="150"/>
      <c r="PB22" s="150"/>
      <c r="PC22" s="150"/>
      <c r="PD22" s="188">
        <f>IF(COUNT(PD20,PD16,PD13,PD10,PD4)=0,"",SUM($B$4*IF(COUNT(PD4)=0,0,PD4),$B$10*IF(COUNT(PD10)=0,0,PD10),$B$13*IF(COUNT(PD13)=0,0,PD13),$B$16*IF(COUNT(PD16)=0,0,PD16),$B$20*IF(COUNT(PD20)=0,0,PD20))/SUM($B$4*COUNT(PD4),$B$10*COUNT(PD10),$B$13*COUNT(PD13),$B$16*COUNT(PD16),$B$20*COUNT(PD20)))</f>
        <v>2.25</v>
      </c>
      <c r="PE22" s="189">
        <f>IF(PD22="","",PD22*5)</f>
        <v>11.25</v>
      </c>
      <c r="PF22" s="81"/>
      <c r="PG22" s="81"/>
      <c r="PH22" s="81"/>
      <c r="PI22" s="188">
        <f>IF(COUNT(PI20,PI16,PI13,PI10,PI4)=0,"",SUM($B$4*IF(COUNT(PI4)=0,0,PI4),$B$10*IF(COUNT(PI10)=0,0,PI10),$B$13*IF(COUNT(PI13)=0,0,PI13),$B$16*IF(COUNT(PI16)=0,0,PI16),$B$20*IF(COUNT(PI20)=0,0,PI20))/SUM($B$4*COUNT(PI4),$B$10*COUNT(PI10),$B$13*COUNT(PI13),$B$16*COUNT(PI16),$B$20*COUNT(PI20)))</f>
        <v>2.9722222222222228</v>
      </c>
      <c r="PJ22" s="195">
        <f>IF(PI22="","",PI22*5)</f>
        <v>14.861111111111114</v>
      </c>
      <c r="PK22" s="81"/>
      <c r="PL22" s="81"/>
      <c r="PM22" s="81"/>
      <c r="PN22" s="81"/>
      <c r="PO22" s="188">
        <f>IF(COUNT(PO20,PO16,PO13,PO10,PO4)=0,"",SUM($B$4*IF(COUNT(PO4)=0,0,PO4),$B$10*IF(COUNT(PO10)=0,0,PO10),$B$13*IF(COUNT(PO13)=0,0,PO13),$B$16*IF(COUNT(PO16)=0,0,PO16),$B$20*IF(COUNT(PO20)=0,0,PO20))/SUM($B$4*COUNT(PO4),$B$10*COUNT(PO10),$B$13*COUNT(PO13),$B$16*COUNT(PO16),$B$20*COUNT(PO20)))</f>
        <v>2.75</v>
      </c>
      <c r="PP22" s="212">
        <f>IF(PO22="","",PO22*5)</f>
        <v>13.75</v>
      </c>
      <c r="PQ22" s="175"/>
      <c r="PR22" s="175"/>
      <c r="PS22" s="150"/>
      <c r="PT22" s="150"/>
      <c r="PU22" s="150"/>
      <c r="PV22" s="188">
        <f>IF(COUNT(PV20,PV16,PV13,PV10,PV4)=0,"",SUM($B$4*IF(COUNT(PV4)=0,0,PV4),$B$10*IF(COUNT(PV10)=0,0,PV10),$B$13*IF(COUNT(PV13)=0,0,PV13),$B$16*IF(COUNT(PV16)=0,0,PV16),$B$20*IF(COUNT(PV20)=0,0,PV20))/SUM($B$4*COUNT(PV4),$B$10*COUNT(PV10),$B$13*COUNT(PV13),$B$16*COUNT(PV16),$B$20*COUNT(PV20)))</f>
        <v>3</v>
      </c>
      <c r="PW22" s="189">
        <f>IF(PV22="","",PV22*5)</f>
        <v>15</v>
      </c>
      <c r="PX22" s="81"/>
      <c r="PY22" s="81"/>
      <c r="PZ22" s="81"/>
      <c r="QA22" s="188">
        <f>IF(COUNT(QA20,QA16,QA13,QA10,QA4)=0,"",SUM($B$4*IF(COUNT(QA4)=0,0,QA4),$B$10*IF(COUNT(QA10)=0,0,QA10),$B$13*IF(COUNT(QA13)=0,0,QA13),$B$16*IF(COUNT(QA16)=0,0,QA16),$B$20*IF(COUNT(QA20)=0,0,QA20))/SUM($B$4*COUNT(QA4),$B$10*COUNT(QA10),$B$13*COUNT(QA13),$B$16*COUNT(QA16),$B$20*COUNT(QA20)))</f>
        <v>3.0972222222222219</v>
      </c>
      <c r="QB22" s="195">
        <f>IF(QA22="","",QA22*5)</f>
        <v>15.486111111111109</v>
      </c>
      <c r="QC22" s="81"/>
      <c r="QD22" s="81"/>
      <c r="QE22" s="81"/>
      <c r="QF22" s="81"/>
      <c r="QG22" s="188">
        <f>IF(COUNT(QG20,QG16,QG13,QG10,QG4)=0,"",SUM($B$4*IF(COUNT(QG4)=0,0,QG4),$B$10*IF(COUNT(QG10)=0,0,QG10),$B$13*IF(COUNT(QG13)=0,0,QG13),$B$16*IF(COUNT(QG16)=0,0,QG16),$B$20*IF(COUNT(QG20)=0,0,QG20))/SUM($B$4*COUNT(QG4),$B$10*COUNT(QG10),$B$13*COUNT(QG13),$B$16*COUNT(QG16),$B$20*COUNT(QG20)))</f>
        <v>2.8888888888888888</v>
      </c>
      <c r="QH22" s="212">
        <f>IF(QG22="","",QG22*5)</f>
        <v>14.444444444444445</v>
      </c>
      <c r="QI22" s="175"/>
      <c r="QJ22" s="175"/>
      <c r="QK22" s="150"/>
      <c r="QL22" s="150"/>
      <c r="QM22" s="150"/>
      <c r="QN22" s="188">
        <f>IF(COUNT(QN20,QN16,QN13,QN10,QN4)=0,"",SUM($B$4*IF(COUNT(QN4)=0,0,QN4),$B$10*IF(COUNT(QN10)=0,0,QN10),$B$13*IF(COUNT(QN13)=0,0,QN13),$B$16*IF(COUNT(QN16)=0,0,QN16),$B$20*IF(COUNT(QN20)=0,0,QN20))/SUM($B$4*COUNT(QN4),$B$10*COUNT(QN10),$B$13*COUNT(QN13),$B$16*COUNT(QN16),$B$20*COUNT(QN20)))</f>
        <v>2.5833333333333335</v>
      </c>
      <c r="QO22" s="189">
        <f>IF(QN22="","",QN22*5)</f>
        <v>12.916666666666668</v>
      </c>
      <c r="QP22" s="81"/>
      <c r="QQ22" s="81"/>
      <c r="QR22" s="81"/>
      <c r="QS22" s="188">
        <f>IF(COUNT(QS20,QS16,QS13,QS10,QS4)=0,"",SUM($B$4*IF(COUNT(QS4)=0,0,QS4),$B$10*IF(COUNT(QS10)=0,0,QS10),$B$13*IF(COUNT(QS13)=0,0,QS13),$B$16*IF(COUNT(QS16)=0,0,QS16),$B$20*IF(COUNT(QS20)=0,0,QS20))/SUM($B$4*COUNT(QS4),$B$10*COUNT(QS10),$B$13*COUNT(QS13),$B$16*COUNT(QS16),$B$20*COUNT(QS20)))</f>
        <v>3.25</v>
      </c>
      <c r="QT22" s="195">
        <f>IF(QS22="","",QS22*5)</f>
        <v>16.25</v>
      </c>
      <c r="QU22" s="81"/>
      <c r="QV22" s="81"/>
      <c r="QW22" s="81"/>
      <c r="QX22" s="81"/>
      <c r="QY22" s="188">
        <f>IF(COUNT(QY20,QY16,QY13,QY10,QY4)=0,"",SUM($B$4*IF(COUNT(QY4)=0,0,QY4),$B$10*IF(COUNT(QY10)=0,0,QY10),$B$13*IF(COUNT(QY13)=0,0,QY13),$B$16*IF(COUNT(QY16)=0,0,QY16),$B$20*IF(COUNT(QY20)=0,0,QY20))/SUM($B$4*COUNT(QY4),$B$10*COUNT(QY10),$B$13*COUNT(QY13),$B$16*COUNT(QY16),$B$20*COUNT(QY20)))</f>
        <v>3.1944444444444446</v>
      </c>
      <c r="QZ22" s="212">
        <f>IF(QY22="","",QY22*5)</f>
        <v>15.972222222222223</v>
      </c>
      <c r="RA22" s="175"/>
      <c r="RB22" s="175"/>
      <c r="RC22" s="150"/>
      <c r="RD22" s="150"/>
      <c r="RE22" s="150"/>
      <c r="RF22" s="188">
        <f>IF(COUNT(RF20,RF16,RF13,RF10,RF4)=0,"",SUM($B$4*IF(COUNT(RF4)=0,0,RF4),$B$10*IF(COUNT(RF10)=0,0,RF10),$B$13*IF(COUNT(RF13)=0,0,RF13),$B$16*IF(COUNT(RF16)=0,0,RF16),$B$20*IF(COUNT(RF20)=0,0,RF20))/SUM($B$4*COUNT(RF4),$B$10*COUNT(RF10),$B$13*COUNT(RF13),$B$16*COUNT(RF16),$B$20*COUNT(RF20)))</f>
        <v>3</v>
      </c>
      <c r="RG22" s="189">
        <f>IF(RF22="","",RF22*5)</f>
        <v>15</v>
      </c>
      <c r="RH22" s="81"/>
      <c r="RI22" s="81"/>
      <c r="RJ22" s="81"/>
      <c r="RK22" s="188">
        <f>IF(COUNT(RK20,RK16,RK13,RK10,RK4)=0,"",SUM($B$4*IF(COUNT(RK4)=0,0,RK4),$B$10*IF(COUNT(RK10)=0,0,RK10),$B$13*IF(COUNT(RK13)=0,0,RK13),$B$16*IF(COUNT(RK16)=0,0,RK16),$B$20*IF(COUNT(RK20)=0,0,RK20))/SUM($B$4*COUNT(RK4),$B$10*COUNT(RK10),$B$13*COUNT(RK13),$B$16*COUNT(RK16),$B$20*COUNT(RK20)))</f>
        <v>3.0138888888888893</v>
      </c>
      <c r="RL22" s="195">
        <f>IF(RK22="","",RK22*5)</f>
        <v>15.069444444444446</v>
      </c>
      <c r="RM22" s="81"/>
      <c r="RN22" s="81"/>
      <c r="RO22" s="81"/>
      <c r="RP22" s="81"/>
      <c r="RQ22" s="188">
        <f>IF(COUNT(RQ20,RQ16,RQ13,RQ10,RQ4)=0,"",SUM($B$4*IF(COUNT(RQ4)=0,0,RQ4),$B$10*IF(COUNT(RQ10)=0,0,RQ10),$B$13*IF(COUNT(RQ13)=0,0,RQ13),$B$16*IF(COUNT(RQ16)=0,0,RQ16),$B$20*IF(COUNT(RQ20)=0,0,RQ20))/SUM($B$4*COUNT(RQ4),$B$10*COUNT(RQ10),$B$13*COUNT(RQ13),$B$16*COUNT(RQ16),$B$20*COUNT(RQ20)))</f>
        <v>3.4166666666666665</v>
      </c>
      <c r="RR22" s="212">
        <f>IF(RQ22="","",RQ22*5)</f>
        <v>17.083333333333332</v>
      </c>
      <c r="RS22" s="175"/>
      <c r="RT22" s="175"/>
      <c r="RU22" s="150"/>
      <c r="RV22" s="150"/>
      <c r="RW22" s="150"/>
      <c r="RX22" s="151" t="str">
        <f>IF(COUNT(RX20,RX16,RX13,RX10,RX4)=0,"",SUM($B$4*IF(COUNT(RX4)=0,0,RX4),$B$10*IF(COUNT(RX10)=0,0,RX10),$B$13*IF(COUNT(RX13)=0,0,RX13),$B$16*IF(COUNT(RX16)=0,0,RX16),$B$20*IF(COUNT(RX20)=0,0,RX20))/SUM($B$4*COUNT(RX4),$B$10*COUNT(RX10),$B$13*COUNT(RX13),$B$16*COUNT(RX16),$B$20*COUNT(RX20)))</f>
        <v/>
      </c>
      <c r="RY22" s="152" t="str">
        <f>IF(RX22="","",RX22*5)</f>
        <v/>
      </c>
      <c r="RZ22" s="81"/>
      <c r="SA22" s="81"/>
      <c r="SB22" s="81"/>
      <c r="SC22" s="151" t="str">
        <f>IF(COUNT(SC20,SC16,SC13,SC10,SC4)=0,"",SUM($B$4*IF(COUNT(SC4)=0,0,SC4),$B$10*IF(COUNT(SC10)=0,0,SC10),$B$13*IF(COUNT(SC13)=0,0,SC13),$B$16*IF(COUNT(SC16)=0,0,SC16),$B$20*IF(COUNT(SC20)=0,0,SC20))/SUM($B$4*COUNT(SC4),$B$10*COUNT(SC10),$B$13*COUNT(SC13),$B$16*COUNT(SC16),$B$20*COUNT(SC20)))</f>
        <v/>
      </c>
      <c r="SD22" s="153" t="str">
        <f>IF(SC22="","",SC22*5)</f>
        <v/>
      </c>
      <c r="SE22" s="81"/>
      <c r="SF22" s="81"/>
      <c r="SG22" s="81"/>
      <c r="SH22" s="151" t="str">
        <f>IF(COUNT(SH20,SH16,SH13,SH10,SH4)=0,"",SUM($B$4*IF(COUNT(SH4)=0,0,SH4),$B$10*IF(COUNT(SH10)=0,0,SH10),$B$13*IF(COUNT(SH13)=0,0,SH13),$B$16*IF(COUNT(SH16)=0,0,SH16),$B$20*IF(COUNT(SH20)=0,0,SH20))/SUM($B$4*COUNT(SH4),$B$10*COUNT(SH10),$B$13*COUNT(SH13),$B$16*COUNT(SH16),$B$20*COUNT(SH20)))</f>
        <v/>
      </c>
      <c r="SI22" s="154" t="str">
        <f>IF(SH22="","",SH22*5)</f>
        <v/>
      </c>
      <c r="SJ22" s="80"/>
      <c r="SK22" s="80"/>
      <c r="SL22" s="150"/>
      <c r="SM22" s="150"/>
      <c r="SN22" s="150"/>
      <c r="SO22" s="151" t="str">
        <f>IF(COUNT(SO20,SO16,SO13,SO10,SO4)=0,"",SUM($B$4*IF(COUNT(SO4)=0,0,SO4),$B$10*IF(COUNT(SO10)=0,0,SO10),$B$13*IF(COUNT(SO13)=0,0,SO13),$B$16*IF(COUNT(SO16)=0,0,SO16),$B$20*IF(COUNT(SO20)=0,0,SO20))/SUM($B$4*COUNT(SO4),$B$10*COUNT(SO10),$B$13*COUNT(SO13),$B$16*COUNT(SO16),$B$20*COUNT(SO20)))</f>
        <v/>
      </c>
      <c r="SP22" s="152" t="str">
        <f>IF(SO22="","",SO22*5)</f>
        <v/>
      </c>
      <c r="SQ22" s="81"/>
      <c r="SR22" s="81"/>
      <c r="SS22" s="81"/>
      <c r="ST22" s="151" t="str">
        <f>IF(COUNT(ST20,ST16,ST13,ST10,ST4)=0,"",SUM($B$4*IF(COUNT(ST4)=0,0,ST4),$B$10*IF(COUNT(ST10)=0,0,ST10),$B$13*IF(COUNT(ST13)=0,0,ST13),$B$16*IF(COUNT(ST16)=0,0,ST16),$B$20*IF(COUNT(ST20)=0,0,ST20))/SUM($B$4*COUNT(ST4),$B$10*COUNT(ST10),$B$13*COUNT(ST13),$B$16*COUNT(ST16),$B$20*COUNT(ST20)))</f>
        <v/>
      </c>
      <c r="SU22" s="153" t="str">
        <f>IF(ST22="","",ST22*5)</f>
        <v/>
      </c>
      <c r="SV22" s="81"/>
      <c r="SW22" s="81"/>
      <c r="SX22" s="81"/>
      <c r="SY22" s="151" t="str">
        <f>IF(COUNT(SY20,SY16,SY13,SY10,SY4)=0,"",SUM($B$4*IF(COUNT(SY4)=0,0,SY4),$B$10*IF(COUNT(SY10)=0,0,SY10),$B$13*IF(COUNT(SY13)=0,0,SY13),$B$16*IF(COUNT(SY16)=0,0,SY16),$B$20*IF(COUNT(SY20)=0,0,SY20))/SUM($B$4*COUNT(SY4),$B$10*COUNT(SY10),$B$13*COUNT(SY13),$B$16*COUNT(SY16),$B$20*COUNT(SY20)))</f>
        <v/>
      </c>
      <c r="SZ22" s="154" t="str">
        <f>IF(SY22="","",SY22*5)</f>
        <v/>
      </c>
      <c r="TA22" s="80"/>
      <c r="TB22" s="80"/>
      <c r="TC22" s="150"/>
      <c r="TD22" s="150"/>
      <c r="TE22" s="150"/>
      <c r="TF22" s="151" t="str">
        <f>IF(COUNT(TF20,TF16,TF13,TF10,TF4)=0,"",SUM($B$4*IF(COUNT(TF4)=0,0,TF4),$B$10*IF(COUNT(TF10)=0,0,TF10),$B$13*IF(COUNT(TF13)=0,0,TF13),$B$16*IF(COUNT(TF16)=0,0,TF16),$B$20*IF(COUNT(TF20)=0,0,TF20))/SUM($B$4*COUNT(TF4),$B$10*COUNT(TF10),$B$13*COUNT(TF13),$B$16*COUNT(TF16),$B$20*COUNT(TF20)))</f>
        <v/>
      </c>
      <c r="TG22" s="152" t="str">
        <f>IF(TF22="","",TF22*5)</f>
        <v/>
      </c>
      <c r="TH22" s="81"/>
      <c r="TI22" s="81"/>
      <c r="TJ22" s="81"/>
      <c r="TK22" s="151" t="str">
        <f>IF(COUNT(TK20,TK16,TK13,TK10,TK4)=0,"",SUM($B$4*IF(COUNT(TK4)=0,0,TK4),$B$10*IF(COUNT(TK10)=0,0,TK10),$B$13*IF(COUNT(TK13)=0,0,TK13),$B$16*IF(COUNT(TK16)=0,0,TK16),$B$20*IF(COUNT(TK20)=0,0,TK20))/SUM($B$4*COUNT(TK4),$B$10*COUNT(TK10),$B$13*COUNT(TK13),$B$16*COUNT(TK16),$B$20*COUNT(TK20)))</f>
        <v/>
      </c>
      <c r="TL22" s="153" t="str">
        <f>IF(TK22="","",TK22*5)</f>
        <v/>
      </c>
      <c r="TM22" s="81"/>
      <c r="TN22" s="81"/>
      <c r="TO22" s="81"/>
      <c r="TP22" s="151" t="str">
        <f>IF(COUNT(TP20,TP16,TP13,TP10,TP4)=0,"",SUM($B$4*IF(COUNT(TP4)=0,0,TP4),$B$10*IF(COUNT(TP10)=0,0,TP10),$B$13*IF(COUNT(TP13)=0,0,TP13),$B$16*IF(COUNT(TP16)=0,0,TP16),$B$20*IF(COUNT(TP20)=0,0,TP20))/SUM($B$4*COUNT(TP4),$B$10*COUNT(TP10),$B$13*COUNT(TP13),$B$16*COUNT(TP16),$B$20*COUNT(TP20)))</f>
        <v/>
      </c>
      <c r="TQ22" s="154" t="str">
        <f>IF(TP22="","",TP22*5)</f>
        <v/>
      </c>
      <c r="TR22" s="80"/>
      <c r="TS22" s="80"/>
    </row>
    <row r="23" spans="1:539" s="155" customFormat="1" ht="18" x14ac:dyDescent="0.35">
      <c r="A23" s="165"/>
      <c r="B23" s="165"/>
      <c r="F23" s="165"/>
      <c r="G23" s="165"/>
      <c r="K23" s="165"/>
      <c r="L23" s="165"/>
      <c r="Q23" s="165"/>
      <c r="R23" s="165"/>
      <c r="S23" s="191"/>
      <c r="T23" s="191"/>
      <c r="X23" s="165"/>
      <c r="Y23" s="165"/>
      <c r="AC23" s="165"/>
      <c r="AD23" s="165"/>
      <c r="AI23" s="165"/>
      <c r="AJ23" s="165"/>
      <c r="AK23" s="191"/>
      <c r="AL23" s="191"/>
      <c r="BC23" s="156"/>
      <c r="BD23" s="156"/>
      <c r="BU23" s="156"/>
      <c r="BV23" s="156"/>
      <c r="CM23" s="156"/>
      <c r="CN23" s="156"/>
      <c r="DE23" s="156"/>
      <c r="DF23" s="156"/>
      <c r="DW23" s="156"/>
      <c r="DX23" s="156"/>
      <c r="EO23" s="156"/>
      <c r="EP23" s="156"/>
      <c r="FG23" s="156"/>
      <c r="FH23" s="156"/>
      <c r="FY23" s="156"/>
      <c r="FZ23" s="156"/>
      <c r="GQ23" s="156"/>
      <c r="GR23" s="156"/>
      <c r="HI23" s="156"/>
      <c r="HJ23" s="156"/>
      <c r="IA23" s="156"/>
      <c r="IB23" s="156"/>
      <c r="IS23" s="156"/>
      <c r="IT23" s="156"/>
      <c r="JK23" s="156"/>
      <c r="JL23" s="156"/>
      <c r="KC23" s="156"/>
      <c r="KD23" s="156"/>
      <c r="KU23" s="156"/>
      <c r="KV23" s="156"/>
      <c r="LM23" s="156"/>
      <c r="LN23" s="156"/>
      <c r="ME23" s="156"/>
      <c r="MF23" s="156"/>
      <c r="MW23" s="156"/>
      <c r="MX23" s="156"/>
      <c r="NO23" s="156"/>
      <c r="NP23" s="156"/>
      <c r="OG23" s="156"/>
      <c r="OH23" s="156"/>
      <c r="OY23" s="156"/>
      <c r="OZ23" s="156"/>
      <c r="PQ23" s="156"/>
      <c r="PR23" s="156"/>
      <c r="QI23" s="156"/>
      <c r="QJ23" s="156"/>
      <c r="RA23" s="156"/>
      <c r="RB23" s="156"/>
      <c r="RS23" s="156"/>
      <c r="RT23" s="156"/>
      <c r="SJ23" s="156"/>
      <c r="SK23" s="156"/>
      <c r="TA23" s="156"/>
      <c r="TB23" s="156"/>
      <c r="TR23" s="156"/>
      <c r="TS23" s="156"/>
    </row>
    <row r="24" spans="1:539" ht="18" x14ac:dyDescent="0.25">
      <c r="A24" s="166"/>
      <c r="B24" s="166"/>
      <c r="C24" s="157"/>
      <c r="D24" s="156"/>
      <c r="E24" s="156"/>
      <c r="F24" s="166"/>
      <c r="G24" s="166"/>
      <c r="I24" s="156"/>
      <c r="J24" s="156"/>
      <c r="M24" s="158"/>
      <c r="N24" s="158"/>
      <c r="O24" s="158"/>
      <c r="P24" s="158"/>
      <c r="Q24" s="190"/>
      <c r="S24" s="166"/>
      <c r="T24" s="166"/>
      <c r="U24" s="157"/>
      <c r="V24" s="156"/>
      <c r="W24" s="156"/>
      <c r="X24" s="166"/>
      <c r="Y24" s="166"/>
      <c r="AA24" s="156"/>
      <c r="AB24" s="156"/>
      <c r="AE24" s="158"/>
      <c r="AF24" s="158"/>
      <c r="AG24" s="158"/>
      <c r="AH24" s="158"/>
      <c r="AI24" s="190"/>
      <c r="AK24" s="166"/>
      <c r="AL24" s="166"/>
      <c r="AM24" s="157"/>
      <c r="AN24" s="156"/>
      <c r="AO24" s="156"/>
      <c r="AP24" s="157"/>
      <c r="AQ24" s="157"/>
      <c r="AS24" s="156"/>
      <c r="AT24" s="156"/>
      <c r="AW24" s="158"/>
      <c r="AX24" s="158"/>
      <c r="AY24" s="158"/>
      <c r="AZ24" s="158"/>
      <c r="BA24" s="158"/>
      <c r="BC24" s="157"/>
      <c r="BD24" s="157"/>
      <c r="BE24" s="157"/>
      <c r="BF24" s="156"/>
      <c r="BG24" s="156"/>
      <c r="BH24" s="157"/>
      <c r="BI24" s="157"/>
      <c r="BK24" s="156"/>
      <c r="BL24" s="156"/>
      <c r="BO24" s="158"/>
      <c r="BP24" s="158"/>
      <c r="BQ24" s="158"/>
      <c r="BR24" s="158"/>
      <c r="BS24" s="158"/>
      <c r="BU24" s="157"/>
      <c r="BV24" s="157"/>
      <c r="BW24" s="157"/>
      <c r="BX24" s="156"/>
      <c r="BY24" s="156"/>
      <c r="BZ24" s="157"/>
      <c r="CA24" s="157"/>
      <c r="CC24" s="156"/>
      <c r="CD24" s="156"/>
      <c r="CG24" s="158"/>
      <c r="CH24" s="158"/>
      <c r="CI24" s="158"/>
      <c r="CJ24" s="158"/>
      <c r="CK24" s="158"/>
      <c r="CM24" s="157"/>
      <c r="CN24" s="157"/>
      <c r="CO24" s="157"/>
      <c r="CP24" s="156"/>
      <c r="CQ24" s="156"/>
      <c r="CR24" s="157"/>
      <c r="CS24" s="157"/>
      <c r="CU24" s="156"/>
      <c r="CV24" s="156"/>
      <c r="CY24" s="158"/>
      <c r="CZ24" s="158"/>
      <c r="DA24" s="158"/>
      <c r="DB24" s="158"/>
      <c r="DC24" s="158"/>
      <c r="DE24" s="157"/>
      <c r="DF24" s="157"/>
      <c r="DG24" s="157"/>
      <c r="DH24" s="156"/>
      <c r="DI24" s="156"/>
      <c r="DJ24" s="157"/>
      <c r="DK24" s="157"/>
      <c r="DM24" s="156"/>
      <c r="DN24" s="156"/>
      <c r="DQ24" s="158"/>
      <c r="DR24" s="158"/>
      <c r="DS24" s="158"/>
      <c r="DT24" s="158"/>
      <c r="DU24" s="158"/>
      <c r="DW24" s="157"/>
      <c r="DX24" s="157"/>
      <c r="DY24" s="157"/>
      <c r="DZ24" s="156"/>
      <c r="EA24" s="156"/>
      <c r="EB24" s="157"/>
      <c r="EC24" s="157"/>
      <c r="EE24" s="156"/>
      <c r="EF24" s="156"/>
      <c r="EI24" s="158"/>
      <c r="EJ24" s="158"/>
      <c r="EK24" s="158"/>
      <c r="EL24" s="158"/>
      <c r="EM24" s="158"/>
      <c r="EO24" s="157"/>
      <c r="EP24" s="157"/>
      <c r="EQ24" s="157"/>
      <c r="ER24" s="156"/>
      <c r="ES24" s="156"/>
      <c r="ET24" s="157"/>
      <c r="EU24" s="157"/>
      <c r="EW24" s="156"/>
      <c r="EX24" s="156"/>
      <c r="FA24" s="158"/>
      <c r="FB24" s="158"/>
      <c r="FC24" s="158"/>
      <c r="FD24" s="158"/>
      <c r="FE24" s="158"/>
      <c r="FG24" s="157"/>
      <c r="FH24" s="157"/>
      <c r="FI24" s="157"/>
      <c r="FJ24" s="156"/>
      <c r="FK24" s="156"/>
      <c r="FL24" s="157"/>
      <c r="FM24" s="157"/>
      <c r="FO24" s="156"/>
      <c r="FP24" s="156"/>
      <c r="FS24" s="158"/>
      <c r="FT24" s="158"/>
      <c r="FU24" s="158"/>
      <c r="FV24" s="158"/>
      <c r="FW24" s="158"/>
      <c r="FY24" s="157"/>
      <c r="FZ24" s="157"/>
      <c r="GA24" s="157"/>
      <c r="GB24" s="156"/>
      <c r="GC24" s="156"/>
      <c r="GD24" s="157"/>
      <c r="GE24" s="157"/>
      <c r="GG24" s="156"/>
      <c r="GH24" s="156"/>
      <c r="GK24" s="158"/>
      <c r="GL24" s="158"/>
      <c r="GM24" s="158"/>
      <c r="GN24" s="158"/>
      <c r="GO24" s="158"/>
      <c r="GQ24" s="157"/>
      <c r="GR24" s="157"/>
      <c r="GS24" s="157"/>
      <c r="GT24" s="156"/>
      <c r="GU24" s="156"/>
      <c r="GV24" s="157"/>
      <c r="GW24" s="157"/>
      <c r="GY24" s="156"/>
      <c r="GZ24" s="156"/>
      <c r="HC24" s="158"/>
      <c r="HD24" s="158"/>
      <c r="HE24" s="158"/>
      <c r="HF24" s="158"/>
      <c r="HG24" s="158"/>
      <c r="HI24" s="157"/>
      <c r="HJ24" s="157"/>
      <c r="HK24" s="157"/>
      <c r="HL24" s="156"/>
      <c r="HM24" s="156"/>
      <c r="HN24" s="157"/>
      <c r="HO24" s="157"/>
      <c r="HQ24" s="156"/>
      <c r="HR24" s="156"/>
      <c r="HU24" s="158"/>
      <c r="HV24" s="158"/>
      <c r="HW24" s="158"/>
      <c r="HX24" s="158"/>
      <c r="HY24" s="158"/>
      <c r="IA24" s="157"/>
      <c r="IB24" s="157"/>
      <c r="IC24" s="157"/>
      <c r="ID24" s="156"/>
      <c r="IE24" s="156"/>
      <c r="IF24" s="157"/>
      <c r="IG24" s="157"/>
      <c r="II24" s="156"/>
      <c r="IJ24" s="156"/>
      <c r="IM24" s="158"/>
      <c r="IN24" s="158"/>
      <c r="IO24" s="158"/>
      <c r="IP24" s="158"/>
      <c r="IQ24" s="158"/>
      <c r="IS24" s="157"/>
      <c r="IT24" s="157"/>
      <c r="IU24" s="157"/>
      <c r="IV24" s="156"/>
      <c r="IW24" s="156"/>
      <c r="IX24" s="157"/>
      <c r="IY24" s="157"/>
      <c r="JA24" s="156"/>
      <c r="JB24" s="156"/>
      <c r="JE24" s="158"/>
      <c r="JF24" s="158"/>
      <c r="JG24" s="158"/>
      <c r="JH24" s="158"/>
      <c r="JI24" s="158"/>
      <c r="JK24" s="157"/>
      <c r="JL24" s="157"/>
      <c r="JM24" s="157"/>
      <c r="JN24" s="156"/>
      <c r="JO24" s="156"/>
      <c r="JP24" s="157"/>
      <c r="JQ24" s="157"/>
      <c r="JS24" s="156"/>
      <c r="JT24" s="156"/>
      <c r="JW24" s="158"/>
      <c r="JX24" s="158"/>
      <c r="JY24" s="158"/>
      <c r="JZ24" s="158"/>
      <c r="KA24" s="158"/>
      <c r="KC24" s="157"/>
      <c r="KD24" s="157"/>
      <c r="KE24" s="157"/>
      <c r="KF24" s="156"/>
      <c r="KG24" s="156"/>
      <c r="KH24" s="157"/>
      <c r="KI24" s="157"/>
      <c r="KK24" s="156"/>
      <c r="KL24" s="156"/>
      <c r="KO24" s="158"/>
      <c r="KP24" s="158"/>
      <c r="KQ24" s="158"/>
      <c r="KR24" s="158"/>
      <c r="KS24" s="158"/>
      <c r="KU24" s="157"/>
      <c r="KV24" s="157"/>
      <c r="KW24" s="157"/>
      <c r="KX24" s="156"/>
      <c r="KY24" s="156"/>
      <c r="KZ24" s="157"/>
      <c r="LA24" s="157"/>
      <c r="LC24" s="156"/>
      <c r="LD24" s="156"/>
      <c r="LG24" s="158"/>
      <c r="LH24" s="158"/>
      <c r="LI24" s="158"/>
      <c r="LJ24" s="158"/>
      <c r="LK24" s="158"/>
      <c r="LM24" s="157"/>
      <c r="LN24" s="157"/>
      <c r="LO24" s="157"/>
      <c r="LP24" s="156"/>
      <c r="LQ24" s="156"/>
      <c r="LR24" s="157"/>
      <c r="LS24" s="157"/>
      <c r="LU24" s="156"/>
      <c r="LV24" s="156"/>
      <c r="LY24" s="158"/>
      <c r="LZ24" s="158"/>
      <c r="MA24" s="158"/>
      <c r="MB24" s="158"/>
      <c r="MC24" s="158"/>
      <c r="ME24" s="157"/>
      <c r="MF24" s="157"/>
      <c r="MG24" s="157"/>
      <c r="MH24" s="156"/>
      <c r="MI24" s="156"/>
      <c r="MJ24" s="157"/>
      <c r="MK24" s="157"/>
      <c r="MM24" s="156"/>
      <c r="MN24" s="156"/>
      <c r="MQ24" s="158"/>
      <c r="MR24" s="158"/>
      <c r="MS24" s="158"/>
      <c r="MT24" s="158"/>
      <c r="MU24" s="158"/>
      <c r="MW24" s="157"/>
      <c r="MX24" s="157"/>
      <c r="MY24" s="157"/>
      <c r="MZ24" s="156"/>
      <c r="NA24" s="156"/>
      <c r="NB24" s="157"/>
      <c r="NC24" s="157"/>
      <c r="NE24" s="156"/>
      <c r="NF24" s="156"/>
      <c r="NI24" s="158"/>
      <c r="NJ24" s="158"/>
      <c r="NK24" s="158"/>
      <c r="NL24" s="158"/>
      <c r="NM24" s="158"/>
      <c r="NO24" s="157"/>
      <c r="NP24" s="157"/>
      <c r="NQ24" s="157"/>
      <c r="NR24" s="156"/>
      <c r="NS24" s="156"/>
      <c r="NT24" s="157"/>
      <c r="NU24" s="157"/>
      <c r="NW24" s="156"/>
      <c r="NX24" s="156"/>
      <c r="OA24" s="158"/>
      <c r="OB24" s="158"/>
      <c r="OC24" s="158"/>
      <c r="OD24" s="158"/>
      <c r="OE24" s="158"/>
      <c r="OG24" s="157"/>
      <c r="OH24" s="157"/>
      <c r="OI24" s="157"/>
      <c r="OJ24" s="156"/>
      <c r="OK24" s="156"/>
      <c r="OL24" s="157"/>
      <c r="OM24" s="157"/>
      <c r="OO24" s="156"/>
      <c r="OP24" s="156"/>
      <c r="OS24" s="158"/>
      <c r="OT24" s="158"/>
      <c r="OU24" s="158"/>
      <c r="OV24" s="158"/>
      <c r="OW24" s="158"/>
      <c r="OY24" s="157"/>
      <c r="OZ24" s="157"/>
      <c r="PA24" s="157"/>
      <c r="PB24" s="156"/>
      <c r="PC24" s="156"/>
      <c r="PD24" s="157"/>
      <c r="PE24" s="157"/>
      <c r="PG24" s="156"/>
      <c r="PH24" s="156"/>
      <c r="PK24" s="158"/>
      <c r="PL24" s="158"/>
      <c r="PM24" s="158"/>
      <c r="PN24" s="158"/>
      <c r="PO24" s="158"/>
      <c r="PQ24" s="157"/>
      <c r="PR24" s="157"/>
      <c r="PS24" s="157"/>
      <c r="PT24" s="156"/>
      <c r="PU24" s="156"/>
      <c r="PV24" s="157"/>
      <c r="PW24" s="157"/>
      <c r="PY24" s="156"/>
      <c r="PZ24" s="156"/>
      <c r="QC24" s="158"/>
      <c r="QD24" s="158"/>
      <c r="QE24" s="158"/>
      <c r="QF24" s="158"/>
      <c r="QG24" s="158"/>
      <c r="QI24" s="157"/>
      <c r="QJ24" s="157"/>
      <c r="QK24" s="157"/>
      <c r="QL24" s="156"/>
      <c r="QM24" s="156"/>
      <c r="QN24" s="157"/>
      <c r="QO24" s="157"/>
      <c r="QQ24" s="156"/>
      <c r="QR24" s="156"/>
      <c r="QU24" s="158"/>
      <c r="QV24" s="158"/>
      <c r="QW24" s="158"/>
      <c r="QX24" s="158"/>
      <c r="QY24" s="158"/>
      <c r="RA24" s="157"/>
      <c r="RB24" s="157"/>
      <c r="RC24" s="157"/>
      <c r="RD24" s="156"/>
      <c r="RE24" s="156"/>
      <c r="RF24" s="157"/>
      <c r="RG24" s="157"/>
      <c r="RI24" s="156"/>
      <c r="RJ24" s="156"/>
      <c r="RM24" s="158"/>
      <c r="RN24" s="158"/>
      <c r="RO24" s="158"/>
      <c r="RP24" s="158"/>
      <c r="RQ24" s="158"/>
      <c r="RS24" s="157"/>
      <c r="RT24" s="157"/>
      <c r="RU24" s="157"/>
      <c r="RV24" s="156"/>
      <c r="RW24" s="156"/>
      <c r="RX24" s="157"/>
      <c r="RY24" s="157"/>
      <c r="SA24" s="156"/>
      <c r="SB24" s="156"/>
      <c r="SE24" s="158"/>
      <c r="SF24" s="158"/>
      <c r="SG24" s="158"/>
      <c r="SH24" s="158"/>
      <c r="SJ24" s="157"/>
      <c r="SK24" s="157"/>
      <c r="SL24" s="157"/>
      <c r="SM24" s="156"/>
      <c r="SN24" s="156"/>
      <c r="SO24" s="157"/>
      <c r="SP24" s="157"/>
      <c r="SR24" s="156"/>
      <c r="SS24" s="156"/>
      <c r="SV24" s="158"/>
      <c r="SW24" s="158"/>
      <c r="SX24" s="158"/>
      <c r="SY24" s="158"/>
      <c r="TA24" s="157"/>
      <c r="TB24" s="157"/>
      <c r="TC24" s="157"/>
      <c r="TD24" s="156"/>
      <c r="TE24" s="156"/>
      <c r="TF24" s="157"/>
      <c r="TG24" s="157"/>
      <c r="TI24" s="156"/>
      <c r="TJ24" s="156"/>
      <c r="TM24" s="83"/>
      <c r="TN24" s="83"/>
      <c r="TO24" s="83"/>
      <c r="TP24" s="83"/>
      <c r="TQ24" s="83"/>
      <c r="TR24" s="83"/>
      <c r="TS24" s="83"/>
    </row>
  </sheetData>
  <sheetProtection algorithmName="SHA-512" hashValue="OUsY1nsSPG8n4qDjxm0Kz0eia4Hu0PNkQc99jNBVPY0u4wPb/oTPbmA+6502cGnh1LDRIjlQWp00/oamiyrgDA==" saltValue="ACGA7Rh1f/M6vY0IXh3nWw==" spinCount="100000" sheet="1" insertColumns="0" deleteColumns="0" selectLockedCells="1"/>
  <dataConsolidate/>
  <mergeCells count="15">
    <mergeCell ref="A17:B17"/>
    <mergeCell ref="A18:B18"/>
    <mergeCell ref="A19:B19"/>
    <mergeCell ref="A21:B21"/>
    <mergeCell ref="A22:B22"/>
    <mergeCell ref="A9:B9"/>
    <mergeCell ref="A11:B11"/>
    <mergeCell ref="A12:B12"/>
    <mergeCell ref="A14:B14"/>
    <mergeCell ref="A15:B15"/>
    <mergeCell ref="A1:B1"/>
    <mergeCell ref="A5:B5"/>
    <mergeCell ref="A6:B6"/>
    <mergeCell ref="A7:B7"/>
    <mergeCell ref="A8:B8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ref!$B$3:$B$6</xm:f>
          </x14:formula1>
          <xm:sqref>H5:J9 C5:E9 M5:P9 U5:W9 Z5:AB9 AE5:AH9 C11:E12 H11:J12 M11:P12 U11:W12 Z11:AB12 AE11:AH12 C14:E15 H14:J15 M14:P15 U14:W15 Z14:AB15 AE14:AH15 C17:E19 H17:J19 M17:P19 U17:W19 Z17:AB19 AE17:AH19 C21:E21 H21:J21 M21:P21 U21:W21 Z21:AB21 AE21:AH21 PA5:PC9 PF5:PH9 PK5:PN9 PA11:PC12 PF11:PH12 PK11:PN12 PA14:PC15 PF14:PH15 PK14:PN15 PA17:PC19 PF17:PH19 PK17:PN19 PA21:PC21 PF21:PH21 PK21:PN21 PS5:PU9 PX5:PZ9 QC5:QF9 PS11:PU12 PX11:PZ12 QC11:QF12 PS14:PU15 PX14:PZ15 QC14:QF15 PS17:PU19 PX17:PZ19 QC17:QF19 PS21:PU21 PX21:PZ21 QC21:QF21 RC5:RE9 RH5:RJ9 RM5:RP9 RC11:RE12 RH11:RJ12 RM11:RP12 RC14:RE15 RH14:RJ15 RM14:RP15 RC17:RE19 RH17:RJ19 RM17:RP19 RC21:RE21 RH21:RJ21 RM21:RP21 QK5:QM9 QP5:QR9 QU5:QX9 QK11:QM12 QP11:QR12 QU11:QX12 QK14:QM15 QP14:QR15 QU14:QX15 QK17:QM19 QP17:QR19 QU17:QX19 QK21:QM21 QP21:QR21 QU21:QX21 RU5:RW9 RZ5:SB9 SE5:SG9 RU11:RW12 RZ11:SB12 SE11:SG12 RU14:RW15 RZ14:SB15 SE14:SG15 RU17:RW19 RZ17:SB19 SE17:SG19 RU21:RW21 RZ21:SB21 SE21:SG21 SL5:SN9 SQ5:SS9 SV5:SX9 SL11:SN12 SQ11:SS12 SV11:SX12 SL14:SN15 SQ14:SS15 SV14:SX15 SL17:SN19 SQ17:SS19 SV17:SX19 SL21:SN21 SQ21:SS21 SV21:SX21 AM5:AO9 AR5:AT9 AW5:AZ9 AM11:AO12 AR11:AT12 AW11:AZ12 AM14:AO15 AR14:AT15 AW14:AZ15 AM17:AO19 AR17:AT19 AW17:AZ19 AM21:AO21 AR21:AT21 AW21:AZ21 BE5:BG9 BJ5:BL9 BO5:BR9 BE11:BG12 BJ11:BL12 BO11:BR12 BE14:BG15 BJ14:BL15 BO14:BR15 BE17:BG19 BJ17:BL19 BO17:BR19 BE21:BG21 BJ21:BL21 BO21:BR21 BW5:BY9 CB5:CD9 CG5:CJ9 BW11:BY12 CB11:CD12 CG11:CJ12 BW14:BY15 CB14:CD15 CG14:CJ15 BW17:BY19 CB17:CD19 CG17:CJ19 BW21:BY21 CB21:CD21 CG21:CJ21 CO5:CQ9 CT5:CV9 CY5:DB9 CO11:CQ12 CT11:CV12 CY11:DB12 CO14:CQ15 CT14:CV15 CY14:DB15 CO17:CQ19 CT17:CV19 CY17:DB19 CO21:CQ21 CT21:CV21 CY21:DB21 DG5:DI9 DL5:DN9 DQ5:DT9 DG11:DI12 DL11:DN12 DQ11:DT12 DG14:DI15 DL14:DN15 DQ14:DT15 DG17:DI19 DL17:DN19 DQ17:DT19 DG21:DI21 DL21:DN21 DQ21:DT21 DY5:EA9 ED5:EF9 EI5:EL9 DY11:EA12 ED11:EF12 EI11:EL12 DY14:EA15 ED14:EF15 EI14:EL15 DY17:EA19 ED17:EF19 EI17:EL19 DY21:EA21 ED21:EF21 EI21:EL21 EQ5:ES9 EV5:EX9 FA5:FD9 EQ11:ES12 EV11:EX12 FA11:FD12 EQ14:ES15 EV14:EX15 FA14:FD15 EQ17:ES19 EV17:EX19 FA17:FD19 EQ21:ES21 EV21:EX21 FA21:FD21 FI5:FK9 FN5:FP9 FS5:FV9 FI11:FK12 FN11:FP12 FS11:FV12 FI14:FK15 FN14:FP15 FS14:FV15 FI17:FK19 FN17:FP19 FS17:FV19 FI21:FK21 FN21:FP21 FS21:FV21 GA5:GC9 GF5:GH9 GK5:GN9 GA11:GC12 GF11:GH12 GK11:GN12 GA14:GC15 GF14:GH15 GK14:GN15 GA17:GC19 GF17:GH19 GK17:GN19 GA21:GC21 GF21:GH21 GK21:GN21 GS5:GU9 GX5:GZ9 HC5:HF9 GS11:GU12 GX11:GZ12 HC11:HF12 GS14:GU15 GX14:GZ15 HC14:HF15 GS17:GU19 GX17:GZ19 HC17:HF19 GS21:GU21 GX21:GZ21 HC21:HF21 HK5:HM9 HP5:HR9 HU5:HX9 HK11:HM12 HP11:HR12 HU11:HX12 HK14:HM15 HP14:HR15 HU14:HX15 HK17:HM19 HP17:HR19 HU17:HX19 HK21:HM21 HP21:HR21 HU21:HX21 IC5:IE9 IH5:IJ9 IM5:IP9 IC11:IE12 IH11:IJ12 IM11:IP12 IC14:IE15 IH14:IJ15 IM14:IP15 IC17:IE19 IH17:IJ19 IM17:IP19 IC21:IE21 IH21:IJ21 IM21:IP21 IU5:IW9 IZ5:JB9 JE5:JH9 IU11:IW12 IZ11:JB12 JE11:JH12 IU14:IW15 IZ14:JB15 JE14:JH15 IU17:IW19 IZ17:JB19 JE17:JH19 IU21:IW21 IZ21:JB21 JE21:JH21 JM5:JO9 JR5:JT9 JW5:JZ9 JM11:JO12 JR11:JT12 JW11:JZ12 JM14:JO15 JR14:JT15 JW14:JZ15 JM17:JO19 JR17:JT19 JW17:JZ19 JM21:JO21 JR21:JT21 JW21:JZ21 KE5:KG9 KJ5:KL9 KO5:KR9 KE11:KG12 KJ11:KL12 KO11:KR12 KE14:KG15 KJ14:KL15 KO14:KR15 KE17:KG19 KJ17:KL19 KO17:KR19 KE21:KG21 KJ21:KL21 KO21:KR21 KW5:KY9 LB5:LD9 LG5:LJ9 KW11:KY12 LB11:LD12 LG11:LJ12 KW14:KY15 LB14:LD15 LG14:LJ15 KW17:KY19 LB17:LD19 LG17:LJ19 KW21:KY21 LB21:LD21 LG21:LJ21 LO5:LQ9 LT5:LV9 LY5:MB9 LO11:LQ12 LT11:LV12 LY11:MB12 LO14:LQ15 LT14:LV15 LY14:MB15 LO17:LQ19 LT17:LV19 LY17:MB19 LO21:LQ21 LT21:LV21 LY21:MB21 MG5:MI9 ML5:MN9 MQ5:MT9 MG11:MI12 ML11:MN12 MQ11:MT12 MG14:MI15 ML14:MN15 MQ14:MT15 MG17:MI19 ML17:MN19 MQ17:MT19 MG21:MI21 ML21:MN21 MQ21:MT21 MY5:NA9 ND5:NF9 NI5:NL9 MY11:NA12 ND11:NF12 NI11:NL12 MY14:NA15 ND14:NF15 NI14:NL15 MY17:NA19 ND17:NF19 NI17:NL19 MY21:NA21 ND21:NF21 NI21:NL21 NQ5:NS9 NV5:NX9 OA5:OD9 NQ11:NS12 NV11:NX12 OA11:OD12 NQ14:NS15 NV14:NX15 OA14:OD15 NQ17:NS19 NV17:NX19 OA17:OD19 NQ21:NS21 NV21:NX21 OA21:OD21 OI5:OK9 ON5:OP9 OS5:OV9 OI11:OK12 ON11:OP12 OS11:OV12 OI14:OK15 ON14:OP15 OS14:OV15 OI17:OK19 ON17:OP19 OS17:OV19 OI21:OK21 ON21:OP21 OS21:OV21 TC5:TE9 TH5:TJ9 TM5:TO9 TC11:TE12 TH11:TJ12 TM11:TO12 TC14:TE15 TH14:TJ15 TM14:TO15 TC17:TE19 TH17:TJ19 TM17:TO19 TC21:TE21 TH21:TJ21 TM21:TO21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AC31"/>
  <sheetViews>
    <sheetView topLeftCell="A2" zoomScale="96" zoomScaleNormal="96" workbookViewId="0">
      <selection activeCell="AC2" sqref="AC2:AC3"/>
    </sheetView>
  </sheetViews>
  <sheetFormatPr baseColWidth="10" defaultRowHeight="15" x14ac:dyDescent="0.25"/>
  <cols>
    <col min="1" max="1" width="30.7109375" style="15" customWidth="1"/>
    <col min="2" max="27" width="6.7109375" style="15" customWidth="1"/>
    <col min="28" max="28" width="3" style="15" customWidth="1"/>
    <col min="29" max="29" width="20.140625" style="15" customWidth="1"/>
    <col min="30" max="16384" width="11.42578125" style="15"/>
  </cols>
  <sheetData>
    <row r="1" spans="1:29" ht="31.5" customHeight="1" thickBot="1" x14ac:dyDescent="0.3">
      <c r="A1" s="62" t="s">
        <v>200</v>
      </c>
      <c r="B1" s="217" t="s">
        <v>0</v>
      </c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7"/>
      <c r="Z1" s="217"/>
      <c r="AA1" s="218"/>
      <c r="AC1" s="63" t="s">
        <v>40</v>
      </c>
    </row>
    <row r="2" spans="1:29" ht="24.95" customHeight="1" thickTop="1" x14ac:dyDescent="0.25">
      <c r="A2" s="219" t="s">
        <v>1</v>
      </c>
      <c r="B2" s="221" t="s">
        <v>2</v>
      </c>
      <c r="C2" s="221"/>
      <c r="D2" s="221"/>
      <c r="E2" s="222"/>
      <c r="F2" s="223" t="s">
        <v>3</v>
      </c>
      <c r="G2" s="224"/>
      <c r="H2" s="224"/>
      <c r="I2" s="225"/>
      <c r="J2" s="223" t="s">
        <v>4</v>
      </c>
      <c r="K2" s="224"/>
      <c r="L2" s="224"/>
      <c r="M2" s="225"/>
      <c r="N2" s="223" t="s">
        <v>5</v>
      </c>
      <c r="O2" s="224"/>
      <c r="P2" s="224"/>
      <c r="Q2" s="225"/>
      <c r="R2" s="223" t="s">
        <v>6</v>
      </c>
      <c r="S2" s="224"/>
      <c r="T2" s="224"/>
      <c r="U2" s="225"/>
      <c r="V2" s="226" t="s">
        <v>38</v>
      </c>
      <c r="W2" s="227"/>
      <c r="X2" s="228"/>
      <c r="Y2" s="229" t="s">
        <v>36</v>
      </c>
      <c r="Z2" s="230"/>
      <c r="AA2" s="231"/>
      <c r="AC2" s="72" t="s">
        <v>199</v>
      </c>
    </row>
    <row r="3" spans="1:29" ht="24.95" customHeight="1" thickBot="1" x14ac:dyDescent="0.3">
      <c r="A3" s="220"/>
      <c r="B3" s="33" t="s">
        <v>31</v>
      </c>
      <c r="C3" s="34" t="s">
        <v>32</v>
      </c>
      <c r="D3" s="33" t="s">
        <v>33</v>
      </c>
      <c r="E3" s="35" t="s">
        <v>10</v>
      </c>
      <c r="F3" s="36" t="s">
        <v>31</v>
      </c>
      <c r="G3" s="37" t="s">
        <v>32</v>
      </c>
      <c r="H3" s="38" t="s">
        <v>33</v>
      </c>
      <c r="I3" s="39" t="s">
        <v>10</v>
      </c>
      <c r="J3" s="40" t="s">
        <v>31</v>
      </c>
      <c r="K3" s="41" t="s">
        <v>32</v>
      </c>
      <c r="L3" s="38" t="s">
        <v>33</v>
      </c>
      <c r="M3" s="39" t="s">
        <v>10</v>
      </c>
      <c r="N3" s="36" t="s">
        <v>31</v>
      </c>
      <c r="O3" s="42" t="s">
        <v>32</v>
      </c>
      <c r="P3" s="38" t="s">
        <v>33</v>
      </c>
      <c r="Q3" s="39" t="s">
        <v>10</v>
      </c>
      <c r="R3" s="36" t="s">
        <v>31</v>
      </c>
      <c r="S3" s="42" t="s">
        <v>32</v>
      </c>
      <c r="T3" s="38" t="s">
        <v>33</v>
      </c>
      <c r="U3" s="39" t="s">
        <v>10</v>
      </c>
      <c r="V3" s="31" t="s">
        <v>31</v>
      </c>
      <c r="W3" s="32" t="s">
        <v>32</v>
      </c>
      <c r="X3" s="32" t="s">
        <v>33</v>
      </c>
      <c r="Y3" s="65"/>
      <c r="Z3" s="66"/>
      <c r="AA3" s="67"/>
      <c r="AB3" s="68"/>
      <c r="AC3" s="64" t="s">
        <v>47</v>
      </c>
    </row>
    <row r="4" spans="1:29" ht="15.75" customHeight="1" thickTop="1" x14ac:dyDescent="0.25">
      <c r="A4" s="70" t="str">
        <f ca="1">CELL("contenu",INDIRECT(ADDRESS(ROW()-2,7,1,,CELL("contenu",$AC$3))))</f>
        <v>AUDOUIN Ines</v>
      </c>
      <c r="B4" s="2" t="str">
        <f ca="1">CELL("contenu",INDIRECT(ADDRESS(ref!$K$3,ref!E3,1,,CELL("contenu",$AC$2))))</f>
        <v>B</v>
      </c>
      <c r="C4" s="3" t="str">
        <f ca="1">CELL("contenu",INDIRECT(ADDRESS(ref!$K$3,ref!F3,1,,CELL("contenu",$AC$2))))</f>
        <v>B</v>
      </c>
      <c r="D4" s="4" t="str">
        <f ca="1">CELL("contenu",INDIRECT(ADDRESS(ref!$K$3,ref!G3,1,,CELL("contenu",$AC$2))))</f>
        <v>C</v>
      </c>
      <c r="E4" s="5" t="str">
        <f ca="1">CELL("contenu",INDIRECT(ADDRESS(ref!$K$3,ref!H3,1,,CELL("contenu",$AC$2))))</f>
        <v>B</v>
      </c>
      <c r="F4" s="6" t="str">
        <f ca="1">CELL("contenu",INDIRECT(ADDRESS(ref!$K$4,ref!E3,1,,CELL("contenu",$AC$2))))</f>
        <v/>
      </c>
      <c r="G4" s="3" t="str">
        <f ca="1">CELL("contenu",INDIRECT(ADDRESS(ref!$K$4,ref!F3,1,,CELL("contenu",$AC$2))))</f>
        <v>A</v>
      </c>
      <c r="H4" s="4" t="str">
        <f ca="1">CELL("contenu",INDIRECT(ADDRESS(ref!$K$4,ref!G3,1,,CELL("contenu",$AC$2))))</f>
        <v>B</v>
      </c>
      <c r="I4" s="5" t="str">
        <f ca="1">CELL("contenu",INDIRECT(ADDRESS(ref!$K$4,ref!H3,1,,CELL("contenu",$AC$2))))</f>
        <v>B</v>
      </c>
      <c r="J4" s="6" t="str">
        <f ca="1">CELL("contenu",INDIRECT(ADDRESS(ref!$K$5,ref!E3,1,,CELL("contenu",$AC$2))))</f>
        <v>B</v>
      </c>
      <c r="K4" s="3" t="str">
        <f ca="1">CELL("contenu",INDIRECT(ADDRESS(ref!$K$5,ref!F3,1,,CELL("contenu",$AC$2))))</f>
        <v>A</v>
      </c>
      <c r="L4" s="4" t="str">
        <f ca="1">CELL("contenu",INDIRECT(ADDRESS(ref!$K$5,ref!G3,1,,CELL("contenu",$AC$2))))</f>
        <v>B</v>
      </c>
      <c r="M4" s="5" t="str">
        <f ca="1">CELL("contenu",INDIRECT(ADDRESS(ref!$K$5,ref!H3,1,,CELL("contenu",$AC$2))))</f>
        <v>B</v>
      </c>
      <c r="N4" s="6" t="str">
        <f ca="1">CELL("contenu",INDIRECT(ADDRESS(ref!$K$6,ref!E3,1,,CELL("contenu",$AC$2))))</f>
        <v>B</v>
      </c>
      <c r="O4" s="3" t="str">
        <f ca="1">CELL("contenu",INDIRECT(ADDRESS(ref!$K$6,ref!F3,1,,CELL("contenu",$AC$2))))</f>
        <v>C</v>
      </c>
      <c r="P4" s="4" t="str">
        <f ca="1">CELL("contenu",INDIRECT(ADDRESS(ref!$K$6,ref!G3,1,,CELL("contenu",$AC$2))))</f>
        <v>C</v>
      </c>
      <c r="Q4" s="5" t="str">
        <f ca="1">CELL("contenu",INDIRECT(ADDRESS(ref!$K$6,ref!H3,1,,CELL("contenu",$AC$2))))</f>
        <v>C</v>
      </c>
      <c r="R4" s="6" t="str">
        <f ca="1">CELL("contenu",INDIRECT(ADDRESS(ref!$K$7,ref!E3,1,,CELL("contenu",$AC$2))))</f>
        <v>D</v>
      </c>
      <c r="S4" s="3" t="str">
        <f ca="1">CELL("contenu",INDIRECT(ADDRESS(ref!$K$7,ref!F3,1,,CELL("contenu",$AC$2))))</f>
        <v/>
      </c>
      <c r="T4" s="4" t="str">
        <f ca="1">CELL("contenu",INDIRECT(ADDRESS(ref!$K$7,ref!G3,1,,CELL("contenu",$AC$2))))</f>
        <v/>
      </c>
      <c r="U4" s="5" t="str">
        <f ca="1">CELL("contenu",INDIRECT(ADDRESS(ref!$K$7,ref!H3,1,,CELL("contenu",$AC$2))))</f>
        <v>D</v>
      </c>
      <c r="V4" s="43">
        <f ca="1">CELL("contenu",INDIRECT(ADDRESS(ref!$K$8,ref!E3,1,,CELL("contenu",$AC$2))))</f>
        <v>13.333333333333332</v>
      </c>
      <c r="W4" s="44">
        <f ca="1">CELL("contenu",INDIRECT(ADDRESS(ref!$K$8,ref!F3,1,,CELL("contenu",$AC$2))))</f>
        <v>16.458333333333332</v>
      </c>
      <c r="X4" s="45">
        <f ca="1">CELL("contenu",INDIRECT(ADDRESS(ref!$K$8,ref!G3,1,,CELL("contenu",$AC$2))))</f>
        <v>13.888888888888891</v>
      </c>
      <c r="Y4" s="7" t="str">
        <f ca="1">CELL("contenu",INDIRECT(ADDRESS(ref!$K$9,ref!H3,1,,CELL("contenu",$AC$2))))</f>
        <v>B</v>
      </c>
      <c r="Z4" s="4" t="str">
        <f ca="1">CELL("contenu",INDIRECT(ADDRESS(ref!$K$10,ref!H3,1,,CELL("contenu",$AC$2))))</f>
        <v/>
      </c>
      <c r="AA4" s="8" t="str">
        <f ca="1">CELL("contenu",INDIRECT(ADDRESS(ref!$K$11,ref!H3,1,,CELL("contenu",$AC$2))))</f>
        <v>B</v>
      </c>
    </row>
    <row r="5" spans="1:29" x14ac:dyDescent="0.25">
      <c r="A5" s="70" t="str">
        <f ca="1">CELL("contenu",INDIRECT(ADDRESS(ROW()-2,7,1,,CELL("contenu",$AC$3))))</f>
        <v>BEAUJARD Soizic</v>
      </c>
      <c r="B5" s="2" t="str">
        <f ca="1">CELL("contenu",INDIRECT(ADDRESS(ref!$K$3,ref!E4,1,,CELL("contenu",$AC$2))))</f>
        <v>B</v>
      </c>
      <c r="C5" s="3" t="str">
        <f ca="1">CELL("contenu",INDIRECT(ADDRESS(ref!$K$3,ref!F4,1,,CELL("contenu",$AC$2))))</f>
        <v>C</v>
      </c>
      <c r="D5" s="4" t="str">
        <f ca="1">CELL("contenu",INDIRECT(ADDRESS(ref!$K$3,ref!G4,1,,CELL("contenu",$AC$2))))</f>
        <v>C</v>
      </c>
      <c r="E5" s="5" t="str">
        <f ca="1">CELL("contenu",INDIRECT(ADDRESS(ref!$K$3,ref!H4,1,,CELL("contenu",$AC$2))))</f>
        <v>C</v>
      </c>
      <c r="F5" s="6" t="str">
        <f ca="1">CELL("contenu",INDIRECT(ADDRESS(ref!$K$4,ref!E4,1,,CELL("contenu",$AC$2))))</f>
        <v/>
      </c>
      <c r="G5" s="3" t="str">
        <f ca="1">CELL("contenu",INDIRECT(ADDRESS(ref!$K$4,ref!F4,1,,CELL("contenu",$AC$2))))</f>
        <v>B</v>
      </c>
      <c r="H5" s="4" t="str">
        <f ca="1">CELL("contenu",INDIRECT(ADDRESS(ref!$K$4,ref!G4,1,,CELL("contenu",$AC$2))))</f>
        <v>B</v>
      </c>
      <c r="I5" s="5" t="str">
        <f ca="1">CELL("contenu",INDIRECT(ADDRESS(ref!$K$4,ref!H4,1,,CELL("contenu",$AC$2))))</f>
        <v>B</v>
      </c>
      <c r="J5" s="6" t="str">
        <f ca="1">CELL("contenu",INDIRECT(ADDRESS(ref!$K$5,ref!E4,1,,CELL("contenu",$AC$2))))</f>
        <v>A</v>
      </c>
      <c r="K5" s="3" t="str">
        <f ca="1">CELL("contenu",INDIRECT(ADDRESS(ref!$K$5,ref!F4,1,,CELL("contenu",$AC$2))))</f>
        <v>A</v>
      </c>
      <c r="L5" s="4" t="str">
        <f ca="1">CELL("contenu",INDIRECT(ADDRESS(ref!$K$5,ref!G4,1,,CELL("contenu",$AC$2))))</f>
        <v>C</v>
      </c>
      <c r="M5" s="5" t="str">
        <f ca="1">CELL("contenu",INDIRECT(ADDRESS(ref!$K$5,ref!H4,1,,CELL("contenu",$AC$2))))</f>
        <v>B</v>
      </c>
      <c r="N5" s="6" t="str">
        <f ca="1">CELL("contenu",INDIRECT(ADDRESS(ref!$K$6,ref!E4,1,,CELL("contenu",$AC$2))))</f>
        <v>C</v>
      </c>
      <c r="O5" s="3" t="str">
        <f ca="1">CELL("contenu",INDIRECT(ADDRESS(ref!$K$6,ref!F4,1,,CELL("contenu",$AC$2))))</f>
        <v>B</v>
      </c>
      <c r="P5" s="4" t="str">
        <f ca="1">CELL("contenu",INDIRECT(ADDRESS(ref!$K$6,ref!G4,1,,CELL("contenu",$AC$2))))</f>
        <v>C</v>
      </c>
      <c r="Q5" s="5" t="str">
        <f ca="1">CELL("contenu",INDIRECT(ADDRESS(ref!$K$6,ref!H4,1,,CELL("contenu",$AC$2))))</f>
        <v>C</v>
      </c>
      <c r="R5" s="6" t="str">
        <f ca="1">CELL("contenu",INDIRECT(ADDRESS(ref!$K$7,ref!E4,1,,CELL("contenu",$AC$2))))</f>
        <v>D</v>
      </c>
      <c r="S5" s="3" t="str">
        <f ca="1">CELL("contenu",INDIRECT(ADDRESS(ref!$K$7,ref!F4,1,,CELL("contenu",$AC$2))))</f>
        <v/>
      </c>
      <c r="T5" s="4" t="str">
        <f ca="1">CELL("contenu",INDIRECT(ADDRESS(ref!$K$7,ref!G4,1,,CELL("contenu",$AC$2))))</f>
        <v/>
      </c>
      <c r="U5" s="5" t="str">
        <f ca="1">CELL("contenu",INDIRECT(ADDRESS(ref!$K$7,ref!H4,1,,CELL("contenu",$AC$2))))</f>
        <v>D</v>
      </c>
      <c r="V5" s="43">
        <f ca="1">CELL("contenu",INDIRECT(ADDRESS(ref!$K$8,ref!E4,1,,CELL("contenu",$AC$2))))</f>
        <v>13.333333333333332</v>
      </c>
      <c r="W5" s="44">
        <f ca="1">CELL("contenu",INDIRECT(ADDRESS(ref!$K$8,ref!F4,1,,CELL("contenu",$AC$2))))</f>
        <v>14.166666666666668</v>
      </c>
      <c r="X5" s="45">
        <f ca="1">CELL("contenu",INDIRECT(ADDRESS(ref!$K$8,ref!G4,1,,CELL("contenu",$AC$2))))</f>
        <v>12.361111111111111</v>
      </c>
      <c r="Y5" s="7" t="str">
        <f ca="1">CELL("contenu",INDIRECT(ADDRESS(ref!$K$9,ref!H4,1,,CELL("contenu",$AC$2))))</f>
        <v>B</v>
      </c>
      <c r="Z5" s="4" t="str">
        <f ca="1">CELL("contenu",INDIRECT(ADDRESS(ref!$K$10,ref!H4,1,,CELL("contenu",$AC$2))))</f>
        <v/>
      </c>
      <c r="AA5" s="8" t="str">
        <f ca="1">CELL("contenu",INDIRECT(ADDRESS(ref!$K$11,ref!H4,1,,CELL("contenu",$AC$2))))</f>
        <v>B</v>
      </c>
    </row>
    <row r="6" spans="1:29" x14ac:dyDescent="0.25">
      <c r="A6" s="70" t="str">
        <f t="shared" ref="A6:A31" ca="1" si="0">CELL("contenu",INDIRECT(ADDRESS(ROW()-2,7,1,,CELL("contenu",$AC$3))))</f>
        <v>BERLINSON Jade</v>
      </c>
      <c r="B6" s="2" t="str">
        <f ca="1">CELL("contenu",INDIRECT(ADDRESS(ref!$K$3,ref!E5,1,,CELL("contenu",$AC$2))))</f>
        <v>C</v>
      </c>
      <c r="C6" s="3" t="str">
        <f ca="1">CELL("contenu",INDIRECT(ADDRESS(ref!$K$3,ref!F5,1,,CELL("contenu",$AC$2))))</f>
        <v>B</v>
      </c>
      <c r="D6" s="4" t="str">
        <f ca="1">CELL("contenu",INDIRECT(ADDRESS(ref!$K$3,ref!G5,1,,CELL("contenu",$AC$2))))</f>
        <v>B</v>
      </c>
      <c r="E6" s="5" t="str">
        <f ca="1">CELL("contenu",INDIRECT(ADDRESS(ref!$K$3,ref!H5,1,,CELL("contenu",$AC$2))))</f>
        <v>B</v>
      </c>
      <c r="F6" s="6" t="str">
        <f ca="1">CELL("contenu",INDIRECT(ADDRESS(ref!$K$4,ref!E5,1,,CELL("contenu",$AC$2))))</f>
        <v/>
      </c>
      <c r="G6" s="3" t="str">
        <f ca="1">CELL("contenu",INDIRECT(ADDRESS(ref!$K$4,ref!F5,1,,CELL("contenu",$AC$2))))</f>
        <v>B</v>
      </c>
      <c r="H6" s="4" t="str">
        <f ca="1">CELL("contenu",INDIRECT(ADDRESS(ref!$K$4,ref!G5,1,,CELL("contenu",$AC$2))))</f>
        <v>C</v>
      </c>
      <c r="I6" s="5" t="str">
        <f ca="1">CELL("contenu",INDIRECT(ADDRESS(ref!$K$4,ref!H5,1,,CELL("contenu",$AC$2))))</f>
        <v>B</v>
      </c>
      <c r="J6" s="6" t="str">
        <f ca="1">CELL("contenu",INDIRECT(ADDRESS(ref!$K$5,ref!E5,1,,CELL("contenu",$AC$2))))</f>
        <v>A</v>
      </c>
      <c r="K6" s="3" t="str">
        <f ca="1">CELL("contenu",INDIRECT(ADDRESS(ref!$K$5,ref!F5,1,,CELL("contenu",$AC$2))))</f>
        <v>A</v>
      </c>
      <c r="L6" s="4" t="str">
        <f ca="1">CELL("contenu",INDIRECT(ADDRESS(ref!$K$5,ref!G5,1,,CELL("contenu",$AC$2))))</f>
        <v>C</v>
      </c>
      <c r="M6" s="5" t="str">
        <f ca="1">CELL("contenu",INDIRECT(ADDRESS(ref!$K$5,ref!H5,1,,CELL("contenu",$AC$2))))</f>
        <v>B</v>
      </c>
      <c r="N6" s="6" t="str">
        <f ca="1">CELL("contenu",INDIRECT(ADDRESS(ref!$K$6,ref!E5,1,,CELL("contenu",$AC$2))))</f>
        <v>B</v>
      </c>
      <c r="O6" s="3" t="str">
        <f ca="1">CELL("contenu",INDIRECT(ADDRESS(ref!$K$6,ref!F5,1,,CELL("contenu",$AC$2))))</f>
        <v>C</v>
      </c>
      <c r="P6" s="4" t="str">
        <f ca="1">CELL("contenu",INDIRECT(ADDRESS(ref!$K$6,ref!G5,1,,CELL("contenu",$AC$2))))</f>
        <v>C</v>
      </c>
      <c r="Q6" s="5" t="str">
        <f ca="1">CELL("contenu",INDIRECT(ADDRESS(ref!$K$6,ref!H5,1,,CELL("contenu",$AC$2))))</f>
        <v>C</v>
      </c>
      <c r="R6" s="6" t="str">
        <f ca="1">CELL("contenu",INDIRECT(ADDRESS(ref!$K$7,ref!E5,1,,CELL("contenu",$AC$2))))</f>
        <v>D</v>
      </c>
      <c r="S6" s="3" t="str">
        <f ca="1">CELL("contenu",INDIRECT(ADDRESS(ref!$K$7,ref!F5,1,,CELL("contenu",$AC$2))))</f>
        <v/>
      </c>
      <c r="T6" s="4" t="str">
        <f ca="1">CELL("contenu",INDIRECT(ADDRESS(ref!$K$7,ref!G5,1,,CELL("contenu",$AC$2))))</f>
        <v/>
      </c>
      <c r="U6" s="5" t="str">
        <f ca="1">CELL("contenu",INDIRECT(ADDRESS(ref!$K$7,ref!H5,1,,CELL("contenu",$AC$2))))</f>
        <v>D</v>
      </c>
      <c r="V6" s="43">
        <f ca="1">CELL("contenu",INDIRECT(ADDRESS(ref!$K$8,ref!E5,1,,CELL("contenu",$AC$2))))</f>
        <v>13.333333333333332</v>
      </c>
      <c r="W6" s="44">
        <f ca="1">CELL("contenu",INDIRECT(ADDRESS(ref!$K$8,ref!F5,1,,CELL("contenu",$AC$2))))</f>
        <v>15.416666666666668</v>
      </c>
      <c r="X6" s="45">
        <f ca="1">CELL("contenu",INDIRECT(ADDRESS(ref!$K$8,ref!G5,1,,CELL("contenu",$AC$2))))</f>
        <v>13.888888888888886</v>
      </c>
      <c r="Y6" s="7" t="str">
        <f ca="1">CELL("contenu",INDIRECT(ADDRESS(ref!$K$9,ref!H5,1,,CELL("contenu",$AC$2))))</f>
        <v>B</v>
      </c>
      <c r="Z6" s="4" t="str">
        <f ca="1">CELL("contenu",INDIRECT(ADDRESS(ref!$K$10,ref!H5,1,,CELL("contenu",$AC$2))))</f>
        <v/>
      </c>
      <c r="AA6" s="8" t="str">
        <f ca="1">CELL("contenu",INDIRECT(ADDRESS(ref!$K$11,ref!H5,1,,CELL("contenu",$AC$2))))</f>
        <v>B</v>
      </c>
    </row>
    <row r="7" spans="1:29" x14ac:dyDescent="0.25">
      <c r="A7" s="70" t="str">
        <f t="shared" ca="1" si="0"/>
        <v>BOUSSION Valentine</v>
      </c>
      <c r="B7" s="2" t="str">
        <f ca="1">CELL("contenu",INDIRECT(ADDRESS(ref!$K$3,ref!E6,1,,CELL("contenu",$AC$2))))</f>
        <v>C</v>
      </c>
      <c r="C7" s="3" t="str">
        <f ca="1">CELL("contenu",INDIRECT(ADDRESS(ref!$K$3,ref!F6,1,,CELL("contenu",$AC$2))))</f>
        <v>C</v>
      </c>
      <c r="D7" s="4" t="str">
        <f ca="1">CELL("contenu",INDIRECT(ADDRESS(ref!$K$3,ref!G6,1,,CELL("contenu",$AC$2))))</f>
        <v>C</v>
      </c>
      <c r="E7" s="5" t="str">
        <f ca="1">CELL("contenu",INDIRECT(ADDRESS(ref!$K$3,ref!H6,1,,CELL("contenu",$AC$2))))</f>
        <v>C</v>
      </c>
      <c r="F7" s="6" t="str">
        <f ca="1">CELL("contenu",INDIRECT(ADDRESS(ref!$K$4,ref!E6,1,,CELL("contenu",$AC$2))))</f>
        <v/>
      </c>
      <c r="G7" s="3" t="str">
        <f ca="1">CELL("contenu",INDIRECT(ADDRESS(ref!$K$4,ref!F6,1,,CELL("contenu",$AC$2))))</f>
        <v>A</v>
      </c>
      <c r="H7" s="4" t="str">
        <f ca="1">CELL("contenu",INDIRECT(ADDRESS(ref!$K$4,ref!G6,1,,CELL("contenu",$AC$2))))</f>
        <v>B</v>
      </c>
      <c r="I7" s="5" t="str">
        <f ca="1">CELL("contenu",INDIRECT(ADDRESS(ref!$K$4,ref!H6,1,,CELL("contenu",$AC$2))))</f>
        <v>B</v>
      </c>
      <c r="J7" s="6" t="str">
        <f ca="1">CELL("contenu",INDIRECT(ADDRESS(ref!$K$5,ref!E6,1,,CELL("contenu",$AC$2))))</f>
        <v>C</v>
      </c>
      <c r="K7" s="3" t="str">
        <f ca="1">CELL("contenu",INDIRECT(ADDRESS(ref!$K$5,ref!F6,1,,CELL("contenu",$AC$2))))</f>
        <v>A</v>
      </c>
      <c r="L7" s="4" t="str">
        <f ca="1">CELL("contenu",INDIRECT(ADDRESS(ref!$K$5,ref!G6,1,,CELL("contenu",$AC$2))))</f>
        <v>C</v>
      </c>
      <c r="M7" s="5" t="str">
        <f ca="1">CELL("contenu",INDIRECT(ADDRESS(ref!$K$5,ref!H6,1,,CELL("contenu",$AC$2))))</f>
        <v>C</v>
      </c>
      <c r="N7" s="6" t="str">
        <f ca="1">CELL("contenu",INDIRECT(ADDRESS(ref!$K$6,ref!E6,1,,CELL("contenu",$AC$2))))</f>
        <v>B</v>
      </c>
      <c r="O7" s="3" t="str">
        <f ca="1">CELL("contenu",INDIRECT(ADDRESS(ref!$K$6,ref!F6,1,,CELL("contenu",$AC$2))))</f>
        <v>C</v>
      </c>
      <c r="P7" s="4" t="str">
        <f ca="1">CELL("contenu",INDIRECT(ADDRESS(ref!$K$6,ref!G6,1,,CELL("contenu",$AC$2))))</f>
        <v>B</v>
      </c>
      <c r="Q7" s="5" t="str">
        <f ca="1">CELL("contenu",INDIRECT(ADDRESS(ref!$K$6,ref!H6,1,,CELL("contenu",$AC$2))))</f>
        <v>B</v>
      </c>
      <c r="R7" s="6" t="str">
        <f ca="1">CELL("contenu",INDIRECT(ADDRESS(ref!$K$7,ref!E6,1,,CELL("contenu",$AC$2))))</f>
        <v>D</v>
      </c>
      <c r="S7" s="3" t="str">
        <f ca="1">CELL("contenu",INDIRECT(ADDRESS(ref!$K$7,ref!F6,1,,CELL("contenu",$AC$2))))</f>
        <v/>
      </c>
      <c r="T7" s="4" t="str">
        <f ca="1">CELL("contenu",INDIRECT(ADDRESS(ref!$K$7,ref!G6,1,,CELL("contenu",$AC$2))))</f>
        <v/>
      </c>
      <c r="U7" s="5" t="str">
        <f ca="1">CELL("contenu",INDIRECT(ADDRESS(ref!$K$7,ref!H6,1,,CELL("contenu",$AC$2))))</f>
        <v>D</v>
      </c>
      <c r="V7" s="43">
        <f ca="1">CELL("contenu",INDIRECT(ADDRESS(ref!$K$8,ref!E6,1,,CELL("contenu",$AC$2))))</f>
        <v>12.5</v>
      </c>
      <c r="W7" s="44">
        <f ca="1">CELL("contenu",INDIRECT(ADDRESS(ref!$K$8,ref!F6,1,,CELL("contenu",$AC$2))))</f>
        <v>14.861111111111114</v>
      </c>
      <c r="X7" s="45">
        <f ca="1">CELL("contenu",INDIRECT(ADDRESS(ref!$K$8,ref!G6,1,,CELL("contenu",$AC$2))))</f>
        <v>13.194444444444445</v>
      </c>
      <c r="Y7" s="7" t="str">
        <f ca="1">CELL("contenu",INDIRECT(ADDRESS(ref!$K$9,ref!H6,1,,CELL("contenu",$AC$2))))</f>
        <v>B</v>
      </c>
      <c r="Z7" s="4" t="str">
        <f ca="1">CELL("contenu",INDIRECT(ADDRESS(ref!$K$10,ref!H6,1,,CELL("contenu",$AC$2))))</f>
        <v/>
      </c>
      <c r="AA7" s="8" t="str">
        <f ca="1">CELL("contenu",INDIRECT(ADDRESS(ref!$K$11,ref!H6,1,,CELL("contenu",$AC$2))))</f>
        <v>B</v>
      </c>
    </row>
    <row r="8" spans="1:29" x14ac:dyDescent="0.25">
      <c r="A8" s="70" t="str">
        <f t="shared" ca="1" si="0"/>
        <v>BRAND Gregoire</v>
      </c>
      <c r="B8" s="2" t="str">
        <f ca="1">CELL("contenu",INDIRECT(ADDRESS(ref!$K$3,ref!E7,1,,CELL("contenu",$AC$2))))</f>
        <v>C</v>
      </c>
      <c r="C8" s="3" t="str">
        <f ca="1">CELL("contenu",INDIRECT(ADDRESS(ref!$K$3,ref!F7,1,,CELL("contenu",$AC$2))))</f>
        <v>B</v>
      </c>
      <c r="D8" s="4" t="str">
        <f ca="1">CELL("contenu",INDIRECT(ADDRESS(ref!$K$3,ref!G7,1,,CELL("contenu",$AC$2))))</f>
        <v>C</v>
      </c>
      <c r="E8" s="5" t="str">
        <f ca="1">CELL("contenu",INDIRECT(ADDRESS(ref!$K$3,ref!H7,1,,CELL("contenu",$AC$2))))</f>
        <v>B</v>
      </c>
      <c r="F8" s="6" t="str">
        <f ca="1">CELL("contenu",INDIRECT(ADDRESS(ref!$K$4,ref!E7,1,,CELL("contenu",$AC$2))))</f>
        <v/>
      </c>
      <c r="G8" s="3" t="str">
        <f ca="1">CELL("contenu",INDIRECT(ADDRESS(ref!$K$4,ref!F7,1,,CELL("contenu",$AC$2))))</f>
        <v>A</v>
      </c>
      <c r="H8" s="4" t="str">
        <f ca="1">CELL("contenu",INDIRECT(ADDRESS(ref!$K$4,ref!G7,1,,CELL("contenu",$AC$2))))</f>
        <v>B</v>
      </c>
      <c r="I8" s="5" t="str">
        <f ca="1">CELL("contenu",INDIRECT(ADDRESS(ref!$K$4,ref!H7,1,,CELL("contenu",$AC$2))))</f>
        <v>A</v>
      </c>
      <c r="J8" s="6" t="str">
        <f ca="1">CELL("contenu",INDIRECT(ADDRESS(ref!$K$5,ref!E7,1,,CELL("contenu",$AC$2))))</f>
        <v>A</v>
      </c>
      <c r="K8" s="3" t="str">
        <f ca="1">CELL("contenu",INDIRECT(ADDRESS(ref!$K$5,ref!F7,1,,CELL("contenu",$AC$2))))</f>
        <v>A</v>
      </c>
      <c r="L8" s="4" t="str">
        <f ca="1">CELL("contenu",INDIRECT(ADDRESS(ref!$K$5,ref!G7,1,,CELL("contenu",$AC$2))))</f>
        <v>C</v>
      </c>
      <c r="M8" s="5" t="str">
        <f ca="1">CELL("contenu",INDIRECT(ADDRESS(ref!$K$5,ref!H7,1,,CELL("contenu",$AC$2))))</f>
        <v>B</v>
      </c>
      <c r="N8" s="6" t="str">
        <f ca="1">CELL("contenu",INDIRECT(ADDRESS(ref!$K$6,ref!E7,1,,CELL("contenu",$AC$2))))</f>
        <v>C</v>
      </c>
      <c r="O8" s="3" t="str">
        <f ca="1">CELL("contenu",INDIRECT(ADDRESS(ref!$K$6,ref!F7,1,,CELL("contenu",$AC$2))))</f>
        <v>C</v>
      </c>
      <c r="P8" s="4" t="str">
        <f ca="1">CELL("contenu",INDIRECT(ADDRESS(ref!$K$6,ref!G7,1,,CELL("contenu",$AC$2))))</f>
        <v>C</v>
      </c>
      <c r="Q8" s="5" t="str">
        <f ca="1">CELL("contenu",INDIRECT(ADDRESS(ref!$K$6,ref!H7,1,,CELL("contenu",$AC$2))))</f>
        <v>C</v>
      </c>
      <c r="R8" s="6" t="str">
        <f ca="1">CELL("contenu",INDIRECT(ADDRESS(ref!$K$7,ref!E7,1,,CELL("contenu",$AC$2))))</f>
        <v>D</v>
      </c>
      <c r="S8" s="3" t="str">
        <f ca="1">CELL("contenu",INDIRECT(ADDRESS(ref!$K$7,ref!F7,1,,CELL("contenu",$AC$2))))</f>
        <v/>
      </c>
      <c r="T8" s="4" t="str">
        <f ca="1">CELL("contenu",INDIRECT(ADDRESS(ref!$K$7,ref!G7,1,,CELL("contenu",$AC$2))))</f>
        <v/>
      </c>
      <c r="U8" s="5" t="str">
        <f ca="1">CELL("contenu",INDIRECT(ADDRESS(ref!$K$7,ref!H7,1,,CELL("contenu",$AC$2))))</f>
        <v>D</v>
      </c>
      <c r="V8" s="43">
        <f ca="1">CELL("contenu",INDIRECT(ADDRESS(ref!$K$8,ref!E7,1,,CELL("contenu",$AC$2))))</f>
        <v>12.916666666666668</v>
      </c>
      <c r="W8" s="44">
        <f ca="1">CELL("contenu",INDIRECT(ADDRESS(ref!$K$8,ref!F7,1,,CELL("contenu",$AC$2))))</f>
        <v>16.736111111111114</v>
      </c>
      <c r="X8" s="45">
        <f ca="1">CELL("contenu",INDIRECT(ADDRESS(ref!$K$8,ref!G7,1,,CELL("contenu",$AC$2))))</f>
        <v>12.361111111111109</v>
      </c>
      <c r="Y8" s="7" t="str">
        <f ca="1">CELL("contenu",INDIRECT(ADDRESS(ref!$K$9,ref!H7,1,,CELL("contenu",$AC$2))))</f>
        <v>A</v>
      </c>
      <c r="Z8" s="4" t="str">
        <f ca="1">CELL("contenu",INDIRECT(ADDRESS(ref!$K$10,ref!H7,1,,CELL("contenu",$AC$2))))</f>
        <v/>
      </c>
      <c r="AA8" s="8" t="str">
        <f ca="1">CELL("contenu",INDIRECT(ADDRESS(ref!$K$11,ref!H7,1,,CELL("contenu",$AC$2))))</f>
        <v>B</v>
      </c>
    </row>
    <row r="9" spans="1:29" x14ac:dyDescent="0.25">
      <c r="A9" s="70" t="str">
        <f t="shared" ca="1" si="0"/>
        <v>CADO Nicolas</v>
      </c>
      <c r="B9" s="2" t="str">
        <f ca="1">CELL("contenu",INDIRECT(ADDRESS(ref!$K$3,ref!E8,1,,CELL("contenu",$AC$2))))</f>
        <v>C</v>
      </c>
      <c r="C9" s="3" t="str">
        <f ca="1">CELL("contenu",INDIRECT(ADDRESS(ref!$K$3,ref!F8,1,,CELL("contenu",$AC$2))))</f>
        <v>C</v>
      </c>
      <c r="D9" s="4" t="str">
        <f ca="1">CELL("contenu",INDIRECT(ADDRESS(ref!$K$3,ref!G8,1,,CELL("contenu",$AC$2))))</f>
        <v>C</v>
      </c>
      <c r="E9" s="5" t="str">
        <f ca="1">CELL("contenu",INDIRECT(ADDRESS(ref!$K$3,ref!H8,1,,CELL("contenu",$AC$2))))</f>
        <v>C</v>
      </c>
      <c r="F9" s="6" t="str">
        <f ca="1">CELL("contenu",INDIRECT(ADDRESS(ref!$K$4,ref!E8,1,,CELL("contenu",$AC$2))))</f>
        <v/>
      </c>
      <c r="G9" s="3" t="str">
        <f ca="1">CELL("contenu",INDIRECT(ADDRESS(ref!$K$4,ref!F8,1,,CELL("contenu",$AC$2))))</f>
        <v>B</v>
      </c>
      <c r="H9" s="4" t="str">
        <f ca="1">CELL("contenu",INDIRECT(ADDRESS(ref!$K$4,ref!G8,1,,CELL("contenu",$AC$2))))</f>
        <v>B</v>
      </c>
      <c r="I9" s="5" t="str">
        <f ca="1">CELL("contenu",INDIRECT(ADDRESS(ref!$K$4,ref!H8,1,,CELL("contenu",$AC$2))))</f>
        <v>B</v>
      </c>
      <c r="J9" s="6" t="str">
        <f ca="1">CELL("contenu",INDIRECT(ADDRESS(ref!$K$5,ref!E8,1,,CELL("contenu",$AC$2))))</f>
        <v>A</v>
      </c>
      <c r="K9" s="3" t="str">
        <f ca="1">CELL("contenu",INDIRECT(ADDRESS(ref!$K$5,ref!F8,1,,CELL("contenu",$AC$2))))</f>
        <v>B</v>
      </c>
      <c r="L9" s="4" t="str">
        <f ca="1">CELL("contenu",INDIRECT(ADDRESS(ref!$K$5,ref!G8,1,,CELL("contenu",$AC$2))))</f>
        <v>C</v>
      </c>
      <c r="M9" s="5" t="str">
        <f ca="1">CELL("contenu",INDIRECT(ADDRESS(ref!$K$5,ref!H8,1,,CELL("contenu",$AC$2))))</f>
        <v>B</v>
      </c>
      <c r="N9" s="6" t="str">
        <f ca="1">CELL("contenu",INDIRECT(ADDRESS(ref!$K$6,ref!E8,1,,CELL("contenu",$AC$2))))</f>
        <v>C</v>
      </c>
      <c r="O9" s="3" t="str">
        <f ca="1">CELL("contenu",INDIRECT(ADDRESS(ref!$K$6,ref!F8,1,,CELL("contenu",$AC$2))))</f>
        <v>B</v>
      </c>
      <c r="P9" s="4" t="str">
        <f ca="1">CELL("contenu",INDIRECT(ADDRESS(ref!$K$6,ref!G8,1,,CELL("contenu",$AC$2))))</f>
        <v>C</v>
      </c>
      <c r="Q9" s="5" t="str">
        <f ca="1">CELL("contenu",INDIRECT(ADDRESS(ref!$K$6,ref!H8,1,,CELL("contenu",$AC$2))))</f>
        <v>C</v>
      </c>
      <c r="R9" s="6" t="str">
        <f ca="1">CELL("contenu",INDIRECT(ADDRESS(ref!$K$7,ref!E8,1,,CELL("contenu",$AC$2))))</f>
        <v>D</v>
      </c>
      <c r="S9" s="3" t="str">
        <f ca="1">CELL("contenu",INDIRECT(ADDRESS(ref!$K$7,ref!F8,1,,CELL("contenu",$AC$2))))</f>
        <v/>
      </c>
      <c r="T9" s="4" t="str">
        <f ca="1">CELL("contenu",INDIRECT(ADDRESS(ref!$K$7,ref!G8,1,,CELL("contenu",$AC$2))))</f>
        <v/>
      </c>
      <c r="U9" s="5" t="str">
        <f ca="1">CELL("contenu",INDIRECT(ADDRESS(ref!$K$7,ref!H8,1,,CELL("contenu",$AC$2))))</f>
        <v>D</v>
      </c>
      <c r="V9" s="43">
        <f ca="1">CELL("contenu",INDIRECT(ADDRESS(ref!$K$8,ref!E8,1,,CELL("contenu",$AC$2))))</f>
        <v>12.916666666666668</v>
      </c>
      <c r="W9" s="44">
        <f ca="1">CELL("contenu",INDIRECT(ADDRESS(ref!$K$8,ref!F8,1,,CELL("contenu",$AC$2))))</f>
        <v>14.513888888888891</v>
      </c>
      <c r="X9" s="45">
        <f ca="1">CELL("contenu",INDIRECT(ADDRESS(ref!$K$8,ref!G8,1,,CELL("contenu",$AC$2))))</f>
        <v>12.5</v>
      </c>
      <c r="Y9" s="7" t="str">
        <f ca="1">CELL("contenu",INDIRECT(ADDRESS(ref!$K$9,ref!H8,1,,CELL("contenu",$AC$2))))</f>
        <v>B</v>
      </c>
      <c r="Z9" s="4" t="str">
        <f ca="1">CELL("contenu",INDIRECT(ADDRESS(ref!$K$10,ref!H8,1,,CELL("contenu",$AC$2))))</f>
        <v/>
      </c>
      <c r="AA9" s="8" t="str">
        <f ca="1">CELL("contenu",INDIRECT(ADDRESS(ref!$K$11,ref!H8,1,,CELL("contenu",$AC$2))))</f>
        <v>C</v>
      </c>
    </row>
    <row r="10" spans="1:29" x14ac:dyDescent="0.25">
      <c r="A10" s="70" t="str">
        <f t="shared" ca="1" si="0"/>
        <v>COELHO Lovena</v>
      </c>
      <c r="B10" s="2" t="str">
        <f ca="1">CELL("contenu",INDIRECT(ADDRESS(ref!$K$3,ref!E9,1,,CELL("contenu",$AC$2))))</f>
        <v>C</v>
      </c>
      <c r="C10" s="3" t="str">
        <f ca="1">CELL("contenu",INDIRECT(ADDRESS(ref!$K$3,ref!F9,1,,CELL("contenu",$AC$2))))</f>
        <v>C</v>
      </c>
      <c r="D10" s="4" t="str">
        <f ca="1">CELL("contenu",INDIRECT(ADDRESS(ref!$K$3,ref!G9,1,,CELL("contenu",$AC$2))))</f>
        <v>C</v>
      </c>
      <c r="E10" s="5" t="str">
        <f ca="1">CELL("contenu",INDIRECT(ADDRESS(ref!$K$3,ref!H9,1,,CELL("contenu",$AC$2))))</f>
        <v>C</v>
      </c>
      <c r="F10" s="6" t="str">
        <f ca="1">CELL("contenu",INDIRECT(ADDRESS(ref!$K$4,ref!E9,1,,CELL("contenu",$AC$2))))</f>
        <v/>
      </c>
      <c r="G10" s="3" t="str">
        <f ca="1">CELL("contenu",INDIRECT(ADDRESS(ref!$K$4,ref!F9,1,,CELL("contenu",$AC$2))))</f>
        <v>B</v>
      </c>
      <c r="H10" s="4" t="str">
        <f ca="1">CELL("contenu",INDIRECT(ADDRESS(ref!$K$4,ref!G9,1,,CELL("contenu",$AC$2))))</f>
        <v>B</v>
      </c>
      <c r="I10" s="5" t="str">
        <f ca="1">CELL("contenu",INDIRECT(ADDRESS(ref!$K$4,ref!H9,1,,CELL("contenu",$AC$2))))</f>
        <v>B</v>
      </c>
      <c r="J10" s="6" t="str">
        <f ca="1">CELL("contenu",INDIRECT(ADDRESS(ref!$K$5,ref!E9,1,,CELL("contenu",$AC$2))))</f>
        <v>A</v>
      </c>
      <c r="K10" s="3" t="str">
        <f ca="1">CELL("contenu",INDIRECT(ADDRESS(ref!$K$5,ref!F9,1,,CELL("contenu",$AC$2))))</f>
        <v>A</v>
      </c>
      <c r="L10" s="4" t="str">
        <f ca="1">CELL("contenu",INDIRECT(ADDRESS(ref!$K$5,ref!G9,1,,CELL("contenu",$AC$2))))</f>
        <v>C</v>
      </c>
      <c r="M10" s="5" t="str">
        <f ca="1">CELL("contenu",INDIRECT(ADDRESS(ref!$K$5,ref!H9,1,,CELL("contenu",$AC$2))))</f>
        <v>B</v>
      </c>
      <c r="N10" s="6" t="str">
        <f ca="1">CELL("contenu",INDIRECT(ADDRESS(ref!$K$6,ref!E9,1,,CELL("contenu",$AC$2))))</f>
        <v>C</v>
      </c>
      <c r="O10" s="3" t="str">
        <f ca="1">CELL("contenu",INDIRECT(ADDRESS(ref!$K$6,ref!F9,1,,CELL("contenu",$AC$2))))</f>
        <v>C</v>
      </c>
      <c r="P10" s="4" t="str">
        <f ca="1">CELL("contenu",INDIRECT(ADDRESS(ref!$K$6,ref!G9,1,,CELL("contenu",$AC$2))))</f>
        <v>C</v>
      </c>
      <c r="Q10" s="5" t="str">
        <f ca="1">CELL("contenu",INDIRECT(ADDRESS(ref!$K$6,ref!H9,1,,CELL("contenu",$AC$2))))</f>
        <v>C</v>
      </c>
      <c r="R10" s="6" t="str">
        <f ca="1">CELL("contenu",INDIRECT(ADDRESS(ref!$K$7,ref!E9,1,,CELL("contenu",$AC$2))))</f>
        <v>C</v>
      </c>
      <c r="S10" s="3" t="str">
        <f ca="1">CELL("contenu",INDIRECT(ADDRESS(ref!$K$7,ref!F9,1,,CELL("contenu",$AC$2))))</f>
        <v/>
      </c>
      <c r="T10" s="4" t="str">
        <f ca="1">CELL("contenu",INDIRECT(ADDRESS(ref!$K$7,ref!G9,1,,CELL("contenu",$AC$2))))</f>
        <v/>
      </c>
      <c r="U10" s="5" t="str">
        <f ca="1">CELL("contenu",INDIRECT(ADDRESS(ref!$K$7,ref!H9,1,,CELL("contenu",$AC$2))))</f>
        <v>C</v>
      </c>
      <c r="V10" s="43">
        <f ca="1">CELL("contenu",INDIRECT(ADDRESS(ref!$K$8,ref!E9,1,,CELL("contenu",$AC$2))))</f>
        <v>12.916666666666668</v>
      </c>
      <c r="W10" s="44">
        <f ca="1">CELL("contenu",INDIRECT(ADDRESS(ref!$K$8,ref!F9,1,,CELL("contenu",$AC$2))))</f>
        <v>14.375</v>
      </c>
      <c r="X10" s="45">
        <f ca="1">CELL("contenu",INDIRECT(ADDRESS(ref!$K$8,ref!G9,1,,CELL("contenu",$AC$2))))</f>
        <v>11.944444444444445</v>
      </c>
      <c r="Y10" s="7" t="str">
        <f ca="1">CELL("contenu",INDIRECT(ADDRESS(ref!$K$9,ref!H9,1,,CELL("contenu",$AC$2))))</f>
        <v>B</v>
      </c>
      <c r="Z10" s="4" t="str">
        <f ca="1">CELL("contenu",INDIRECT(ADDRESS(ref!$K$10,ref!H9,1,,CELL("contenu",$AC$2))))</f>
        <v/>
      </c>
      <c r="AA10" s="8" t="str">
        <f ca="1">CELL("contenu",INDIRECT(ADDRESS(ref!$K$11,ref!H9,1,,CELL("contenu",$AC$2))))</f>
        <v>B</v>
      </c>
    </row>
    <row r="11" spans="1:29" x14ac:dyDescent="0.25">
      <c r="A11" s="70" t="str">
        <f t="shared" ca="1" si="0"/>
        <v>DE SAINT MARTIN Matthieu</v>
      </c>
      <c r="B11" s="2" t="str">
        <f ca="1">CELL("contenu",INDIRECT(ADDRESS(ref!$K$3,ref!E10,1,,CELL("contenu",$AC$2))))</f>
        <v>C</v>
      </c>
      <c r="C11" s="3" t="str">
        <f ca="1">CELL("contenu",INDIRECT(ADDRESS(ref!$K$3,ref!F10,1,,CELL("contenu",$AC$2))))</f>
        <v>C</v>
      </c>
      <c r="D11" s="4" t="str">
        <f ca="1">CELL("contenu",INDIRECT(ADDRESS(ref!$K$3,ref!G10,1,,CELL("contenu",$AC$2))))</f>
        <v>C</v>
      </c>
      <c r="E11" s="5" t="str">
        <f ca="1">CELL("contenu",INDIRECT(ADDRESS(ref!$K$3,ref!H10,1,,CELL("contenu",$AC$2))))</f>
        <v>C</v>
      </c>
      <c r="F11" s="6" t="str">
        <f ca="1">CELL("contenu",INDIRECT(ADDRESS(ref!$K$4,ref!E10,1,,CELL("contenu",$AC$2))))</f>
        <v/>
      </c>
      <c r="G11" s="3" t="str">
        <f ca="1">CELL("contenu",INDIRECT(ADDRESS(ref!$K$4,ref!F10,1,,CELL("contenu",$AC$2))))</f>
        <v>B</v>
      </c>
      <c r="H11" s="4" t="str">
        <f ca="1">CELL("contenu",INDIRECT(ADDRESS(ref!$K$4,ref!G10,1,,CELL("contenu",$AC$2))))</f>
        <v>B</v>
      </c>
      <c r="I11" s="5" t="str">
        <f ca="1">CELL("contenu",INDIRECT(ADDRESS(ref!$K$4,ref!H10,1,,CELL("contenu",$AC$2))))</f>
        <v>B</v>
      </c>
      <c r="J11" s="6" t="str">
        <f ca="1">CELL("contenu",INDIRECT(ADDRESS(ref!$K$5,ref!E10,1,,CELL("contenu",$AC$2))))</f>
        <v>A</v>
      </c>
      <c r="K11" s="3" t="str">
        <f ca="1">CELL("contenu",INDIRECT(ADDRESS(ref!$K$5,ref!F10,1,,CELL("contenu",$AC$2))))</f>
        <v>B</v>
      </c>
      <c r="L11" s="4" t="str">
        <f ca="1">CELL("contenu",INDIRECT(ADDRESS(ref!$K$5,ref!G10,1,,CELL("contenu",$AC$2))))</f>
        <v>C</v>
      </c>
      <c r="M11" s="5" t="str">
        <f ca="1">CELL("contenu",INDIRECT(ADDRESS(ref!$K$5,ref!H10,1,,CELL("contenu",$AC$2))))</f>
        <v>B</v>
      </c>
      <c r="N11" s="6" t="str">
        <f ca="1">CELL("contenu",INDIRECT(ADDRESS(ref!$K$6,ref!E10,1,,CELL("contenu",$AC$2))))</f>
        <v>C</v>
      </c>
      <c r="O11" s="3" t="str">
        <f ca="1">CELL("contenu",INDIRECT(ADDRESS(ref!$K$6,ref!F10,1,,CELL("contenu",$AC$2))))</f>
        <v>C</v>
      </c>
      <c r="P11" s="4" t="str">
        <f ca="1">CELL("contenu",INDIRECT(ADDRESS(ref!$K$6,ref!G10,1,,CELL("contenu",$AC$2))))</f>
        <v>C</v>
      </c>
      <c r="Q11" s="5" t="str">
        <f ca="1">CELL("contenu",INDIRECT(ADDRESS(ref!$K$6,ref!H10,1,,CELL("contenu",$AC$2))))</f>
        <v>C</v>
      </c>
      <c r="R11" s="6" t="str">
        <f ca="1">CELL("contenu",INDIRECT(ADDRESS(ref!$K$7,ref!E10,1,,CELL("contenu",$AC$2))))</f>
        <v>C</v>
      </c>
      <c r="S11" s="3" t="str">
        <f ca="1">CELL("contenu",INDIRECT(ADDRESS(ref!$K$7,ref!F10,1,,CELL("contenu",$AC$2))))</f>
        <v/>
      </c>
      <c r="T11" s="4" t="str">
        <f ca="1">CELL("contenu",INDIRECT(ADDRESS(ref!$K$7,ref!G10,1,,CELL("contenu",$AC$2))))</f>
        <v/>
      </c>
      <c r="U11" s="5" t="str">
        <f ca="1">CELL("contenu",INDIRECT(ADDRESS(ref!$K$7,ref!H10,1,,CELL("contenu",$AC$2))))</f>
        <v>C</v>
      </c>
      <c r="V11" s="43">
        <f ca="1">CELL("contenu",INDIRECT(ADDRESS(ref!$K$8,ref!E10,1,,CELL("contenu",$AC$2))))</f>
        <v>13.75</v>
      </c>
      <c r="W11" s="44">
        <f ca="1">CELL("contenu",INDIRECT(ADDRESS(ref!$K$8,ref!F10,1,,CELL("contenu",$AC$2))))</f>
        <v>13.333333333333332</v>
      </c>
      <c r="X11" s="45">
        <f ca="1">CELL("contenu",INDIRECT(ADDRESS(ref!$K$8,ref!G10,1,,CELL("contenu",$AC$2))))</f>
        <v>11.25</v>
      </c>
      <c r="Y11" s="7" t="str">
        <f ca="1">CELL("contenu",INDIRECT(ADDRESS(ref!$K$9,ref!H10,1,,CELL("contenu",$AC$2))))</f>
        <v>B</v>
      </c>
      <c r="Z11" s="4" t="str">
        <f ca="1">CELL("contenu",INDIRECT(ADDRESS(ref!$K$10,ref!H10,1,,CELL("contenu",$AC$2))))</f>
        <v/>
      </c>
      <c r="AA11" s="8" t="str">
        <f ca="1">CELL("contenu",INDIRECT(ADDRESS(ref!$K$11,ref!H10,1,,CELL("contenu",$AC$2))))</f>
        <v>C</v>
      </c>
    </row>
    <row r="12" spans="1:29" x14ac:dyDescent="0.25">
      <c r="A12" s="70" t="str">
        <f t="shared" ca="1" si="0"/>
        <v>DOULCET Francois</v>
      </c>
      <c r="B12" s="2" t="str">
        <f ca="1">CELL("contenu",INDIRECT(ADDRESS(ref!$K$3,ref!E11,1,,CELL("contenu",$AC$2))))</f>
        <v>C</v>
      </c>
      <c r="C12" s="3" t="str">
        <f ca="1">CELL("contenu",INDIRECT(ADDRESS(ref!$K$3,ref!F11,1,,CELL("contenu",$AC$2))))</f>
        <v>C</v>
      </c>
      <c r="D12" s="4" t="str">
        <f ca="1">CELL("contenu",INDIRECT(ADDRESS(ref!$K$3,ref!G11,1,,CELL("contenu",$AC$2))))</f>
        <v>C</v>
      </c>
      <c r="E12" s="5" t="str">
        <f ca="1">CELL("contenu",INDIRECT(ADDRESS(ref!$K$3,ref!H11,1,,CELL("contenu",$AC$2))))</f>
        <v>C</v>
      </c>
      <c r="F12" s="6" t="str">
        <f ca="1">CELL("contenu",INDIRECT(ADDRESS(ref!$K$4,ref!E11,1,,CELL("contenu",$AC$2))))</f>
        <v/>
      </c>
      <c r="G12" s="3" t="str">
        <f ca="1">CELL("contenu",INDIRECT(ADDRESS(ref!$K$4,ref!F11,1,,CELL("contenu",$AC$2))))</f>
        <v>B</v>
      </c>
      <c r="H12" s="4" t="str">
        <f ca="1">CELL("contenu",INDIRECT(ADDRESS(ref!$K$4,ref!G11,1,,CELL("contenu",$AC$2))))</f>
        <v>C</v>
      </c>
      <c r="I12" s="5" t="str">
        <f ca="1">CELL("contenu",INDIRECT(ADDRESS(ref!$K$4,ref!H11,1,,CELL("contenu",$AC$2))))</f>
        <v>B</v>
      </c>
      <c r="J12" s="6" t="str">
        <f ca="1">CELL("contenu",INDIRECT(ADDRESS(ref!$K$5,ref!E11,1,,CELL("contenu",$AC$2))))</f>
        <v>A</v>
      </c>
      <c r="K12" s="3" t="str">
        <f ca="1">CELL("contenu",INDIRECT(ADDRESS(ref!$K$5,ref!F11,1,,CELL("contenu",$AC$2))))</f>
        <v>A</v>
      </c>
      <c r="L12" s="4" t="str">
        <f ca="1">CELL("contenu",INDIRECT(ADDRESS(ref!$K$5,ref!G11,1,,CELL("contenu",$AC$2))))</f>
        <v>C</v>
      </c>
      <c r="M12" s="5" t="str">
        <f ca="1">CELL("contenu",INDIRECT(ADDRESS(ref!$K$5,ref!H11,1,,CELL("contenu",$AC$2))))</f>
        <v>B</v>
      </c>
      <c r="N12" s="6" t="str">
        <f ca="1">CELL("contenu",INDIRECT(ADDRESS(ref!$K$6,ref!E11,1,,CELL("contenu",$AC$2))))</f>
        <v>D</v>
      </c>
      <c r="O12" s="3" t="str">
        <f ca="1">CELL("contenu",INDIRECT(ADDRESS(ref!$K$6,ref!F11,1,,CELL("contenu",$AC$2))))</f>
        <v>B</v>
      </c>
      <c r="P12" s="4" t="str">
        <f ca="1">CELL("contenu",INDIRECT(ADDRESS(ref!$K$6,ref!G11,1,,CELL("contenu",$AC$2))))</f>
        <v>C</v>
      </c>
      <c r="Q12" s="5" t="str">
        <f ca="1">CELL("contenu",INDIRECT(ADDRESS(ref!$K$6,ref!H11,1,,CELL("contenu",$AC$2))))</f>
        <v>C</v>
      </c>
      <c r="R12" s="6" t="str">
        <f ca="1">CELL("contenu",INDIRECT(ADDRESS(ref!$K$7,ref!E11,1,,CELL("contenu",$AC$2))))</f>
        <v>C</v>
      </c>
      <c r="S12" s="3" t="str">
        <f ca="1">CELL("contenu",INDIRECT(ADDRESS(ref!$K$7,ref!F11,1,,CELL("contenu",$AC$2))))</f>
        <v/>
      </c>
      <c r="T12" s="4" t="str">
        <f ca="1">CELL("contenu",INDIRECT(ADDRESS(ref!$K$7,ref!G11,1,,CELL("contenu",$AC$2))))</f>
        <v/>
      </c>
      <c r="U12" s="5" t="str">
        <f ca="1">CELL("contenu",INDIRECT(ADDRESS(ref!$K$7,ref!H11,1,,CELL("contenu",$AC$2))))</f>
        <v>C</v>
      </c>
      <c r="V12" s="43">
        <f ca="1">CELL("contenu",INDIRECT(ADDRESS(ref!$K$8,ref!E11,1,,CELL("contenu",$AC$2))))</f>
        <v>11.25</v>
      </c>
      <c r="W12" s="44">
        <f ca="1">CELL("contenu",INDIRECT(ADDRESS(ref!$K$8,ref!F11,1,,CELL("contenu",$AC$2))))</f>
        <v>15.277777777777779</v>
      </c>
      <c r="X12" s="45">
        <f ca="1">CELL("contenu",INDIRECT(ADDRESS(ref!$K$8,ref!G11,1,,CELL("contenu",$AC$2))))</f>
        <v>10.694444444444445</v>
      </c>
      <c r="Y12" s="7" t="str">
        <f ca="1">CELL("contenu",INDIRECT(ADDRESS(ref!$K$9,ref!H11,1,,CELL("contenu",$AC$2))))</f>
        <v>B</v>
      </c>
      <c r="Z12" s="4" t="str">
        <f ca="1">CELL("contenu",INDIRECT(ADDRESS(ref!$K$10,ref!H11,1,,CELL("contenu",$AC$2))))</f>
        <v/>
      </c>
      <c r="AA12" s="8" t="str">
        <f ca="1">CELL("contenu",INDIRECT(ADDRESS(ref!$K$11,ref!H11,1,,CELL("contenu",$AC$2))))</f>
        <v>B</v>
      </c>
    </row>
    <row r="13" spans="1:29" x14ac:dyDescent="0.25">
      <c r="A13" s="70" t="str">
        <f t="shared" ca="1" si="0"/>
        <v>GIRAULT--AUDURIER Corentin</v>
      </c>
      <c r="B13" s="2" t="str">
        <f ca="1">CELL("contenu",INDIRECT(ADDRESS(ref!$K$3,ref!E12,1,,CELL("contenu",$AC$2))))</f>
        <v>B</v>
      </c>
      <c r="C13" s="3" t="str">
        <f ca="1">CELL("contenu",INDIRECT(ADDRESS(ref!$K$3,ref!F12,1,,CELL("contenu",$AC$2))))</f>
        <v>B</v>
      </c>
      <c r="D13" s="4" t="str">
        <f ca="1">CELL("contenu",INDIRECT(ADDRESS(ref!$K$3,ref!G12,1,,CELL("contenu",$AC$2))))</f>
        <v>B</v>
      </c>
      <c r="E13" s="5" t="str">
        <f ca="1">CELL("contenu",INDIRECT(ADDRESS(ref!$K$3,ref!H12,1,,CELL("contenu",$AC$2))))</f>
        <v>B</v>
      </c>
      <c r="F13" s="6" t="str">
        <f ca="1">CELL("contenu",INDIRECT(ADDRESS(ref!$K$4,ref!E12,1,,CELL("contenu",$AC$2))))</f>
        <v/>
      </c>
      <c r="G13" s="3" t="str">
        <f ca="1">CELL("contenu",INDIRECT(ADDRESS(ref!$K$4,ref!F12,1,,CELL("contenu",$AC$2))))</f>
        <v>B</v>
      </c>
      <c r="H13" s="4" t="str">
        <f ca="1">CELL("contenu",INDIRECT(ADDRESS(ref!$K$4,ref!G12,1,,CELL("contenu",$AC$2))))</f>
        <v>B</v>
      </c>
      <c r="I13" s="5" t="str">
        <f ca="1">CELL("contenu",INDIRECT(ADDRESS(ref!$K$4,ref!H12,1,,CELL("contenu",$AC$2))))</f>
        <v>B</v>
      </c>
      <c r="J13" s="6" t="str">
        <f ca="1">CELL("contenu",INDIRECT(ADDRESS(ref!$K$5,ref!E12,1,,CELL("contenu",$AC$2))))</f>
        <v>A</v>
      </c>
      <c r="K13" s="3" t="str">
        <f ca="1">CELL("contenu",INDIRECT(ADDRESS(ref!$K$5,ref!F12,1,,CELL("contenu",$AC$2))))</f>
        <v>A</v>
      </c>
      <c r="L13" s="4" t="str">
        <f ca="1">CELL("contenu",INDIRECT(ADDRESS(ref!$K$5,ref!G12,1,,CELL("contenu",$AC$2))))</f>
        <v>C</v>
      </c>
      <c r="M13" s="5" t="str">
        <f ca="1">CELL("contenu",INDIRECT(ADDRESS(ref!$K$5,ref!H12,1,,CELL("contenu",$AC$2))))</f>
        <v>B</v>
      </c>
      <c r="N13" s="6" t="str">
        <f ca="1">CELL("contenu",INDIRECT(ADDRESS(ref!$K$6,ref!E12,1,,CELL("contenu",$AC$2))))</f>
        <v>B</v>
      </c>
      <c r="O13" s="3" t="str">
        <f ca="1">CELL("contenu",INDIRECT(ADDRESS(ref!$K$6,ref!F12,1,,CELL("contenu",$AC$2))))</f>
        <v>B</v>
      </c>
      <c r="P13" s="4" t="str">
        <f ca="1">CELL("contenu",INDIRECT(ADDRESS(ref!$K$6,ref!G12,1,,CELL("contenu",$AC$2))))</f>
        <v>C</v>
      </c>
      <c r="Q13" s="5" t="str">
        <f ca="1">CELL("contenu",INDIRECT(ADDRESS(ref!$K$6,ref!H12,1,,CELL("contenu",$AC$2))))</f>
        <v>B</v>
      </c>
      <c r="R13" s="6" t="str">
        <f ca="1">CELL("contenu",INDIRECT(ADDRESS(ref!$K$7,ref!E12,1,,CELL("contenu",$AC$2))))</f>
        <v>D</v>
      </c>
      <c r="S13" s="3" t="str">
        <f ca="1">CELL("contenu",INDIRECT(ADDRESS(ref!$K$7,ref!F12,1,,CELL("contenu",$AC$2))))</f>
        <v/>
      </c>
      <c r="T13" s="4" t="str">
        <f ca="1">CELL("contenu",INDIRECT(ADDRESS(ref!$K$7,ref!G12,1,,CELL("contenu",$AC$2))))</f>
        <v/>
      </c>
      <c r="U13" s="5" t="str">
        <f ca="1">CELL("contenu",INDIRECT(ADDRESS(ref!$K$7,ref!H12,1,,CELL("contenu",$AC$2))))</f>
        <v>D</v>
      </c>
      <c r="V13" s="43">
        <f ca="1">CELL("contenu",INDIRECT(ADDRESS(ref!$K$8,ref!E12,1,,CELL("contenu",$AC$2))))</f>
        <v>14.583333333333332</v>
      </c>
      <c r="W13" s="44">
        <f ca="1">CELL("contenu",INDIRECT(ADDRESS(ref!$K$8,ref!F12,1,,CELL("contenu",$AC$2))))</f>
        <v>16.041666666666668</v>
      </c>
      <c r="X13" s="45">
        <f ca="1">CELL("contenu",INDIRECT(ADDRESS(ref!$K$8,ref!G12,1,,CELL("contenu",$AC$2))))</f>
        <v>14.583333333333332</v>
      </c>
      <c r="Y13" s="7" t="str">
        <f ca="1">CELL("contenu",INDIRECT(ADDRESS(ref!$K$9,ref!H12,1,,CELL("contenu",$AC$2))))</f>
        <v>B</v>
      </c>
      <c r="Z13" s="4" t="str">
        <f ca="1">CELL("contenu",INDIRECT(ADDRESS(ref!$K$10,ref!H12,1,,CELL("contenu",$AC$2))))</f>
        <v/>
      </c>
      <c r="AA13" s="8" t="str">
        <f ca="1">CELL("contenu",INDIRECT(ADDRESS(ref!$K$11,ref!H12,1,,CELL("contenu",$AC$2))))</f>
        <v>B</v>
      </c>
    </row>
    <row r="14" spans="1:29" x14ac:dyDescent="0.25">
      <c r="A14" s="70" t="str">
        <f t="shared" ca="1" si="0"/>
        <v>GUILLET Elise</v>
      </c>
      <c r="B14" s="2" t="str">
        <f ca="1">CELL("contenu",INDIRECT(ADDRESS(ref!$K$3,ref!E13,1,,CELL("contenu",$AC$2))))</f>
        <v>B</v>
      </c>
      <c r="C14" s="3" t="str">
        <f ca="1">CELL("contenu",INDIRECT(ADDRESS(ref!$K$3,ref!F13,1,,CELL("contenu",$AC$2))))</f>
        <v>B</v>
      </c>
      <c r="D14" s="4" t="str">
        <f ca="1">CELL("contenu",INDIRECT(ADDRESS(ref!$K$3,ref!G13,1,,CELL("contenu",$AC$2))))</f>
        <v>A</v>
      </c>
      <c r="E14" s="5" t="str">
        <f ca="1">CELL("contenu",INDIRECT(ADDRESS(ref!$K$3,ref!H13,1,,CELL("contenu",$AC$2))))</f>
        <v>B</v>
      </c>
      <c r="F14" s="6" t="str">
        <f ca="1">CELL("contenu",INDIRECT(ADDRESS(ref!$K$4,ref!E13,1,,CELL("contenu",$AC$2))))</f>
        <v/>
      </c>
      <c r="G14" s="3" t="str">
        <f ca="1">CELL("contenu",INDIRECT(ADDRESS(ref!$K$4,ref!F13,1,,CELL("contenu",$AC$2))))</f>
        <v>B</v>
      </c>
      <c r="H14" s="4" t="str">
        <f ca="1">CELL("contenu",INDIRECT(ADDRESS(ref!$K$4,ref!G13,1,,CELL("contenu",$AC$2))))</f>
        <v>A</v>
      </c>
      <c r="I14" s="5" t="str">
        <f ca="1">CELL("contenu",INDIRECT(ADDRESS(ref!$K$4,ref!H13,1,,CELL("contenu",$AC$2))))</f>
        <v>A</v>
      </c>
      <c r="J14" s="6" t="str">
        <f ca="1">CELL("contenu",INDIRECT(ADDRESS(ref!$K$5,ref!E13,1,,CELL("contenu",$AC$2))))</f>
        <v>A</v>
      </c>
      <c r="K14" s="3" t="str">
        <f ca="1">CELL("contenu",INDIRECT(ADDRESS(ref!$K$5,ref!F13,1,,CELL("contenu",$AC$2))))</f>
        <v>A</v>
      </c>
      <c r="L14" s="4" t="str">
        <f ca="1">CELL("contenu",INDIRECT(ADDRESS(ref!$K$5,ref!G13,1,,CELL("contenu",$AC$2))))</f>
        <v>C</v>
      </c>
      <c r="M14" s="5" t="str">
        <f ca="1">CELL("contenu",INDIRECT(ADDRESS(ref!$K$5,ref!H13,1,,CELL("contenu",$AC$2))))</f>
        <v>B</v>
      </c>
      <c r="N14" s="6" t="str">
        <f ca="1">CELL("contenu",INDIRECT(ADDRESS(ref!$K$6,ref!E13,1,,CELL("contenu",$AC$2))))</f>
        <v>B</v>
      </c>
      <c r="O14" s="3" t="str">
        <f ca="1">CELL("contenu",INDIRECT(ADDRESS(ref!$K$6,ref!F13,1,,CELL("contenu",$AC$2))))</f>
        <v>B</v>
      </c>
      <c r="P14" s="4" t="str">
        <f ca="1">CELL("contenu",INDIRECT(ADDRESS(ref!$K$6,ref!G13,1,,CELL("contenu",$AC$2))))</f>
        <v>B</v>
      </c>
      <c r="Q14" s="5" t="str">
        <f ca="1">CELL("contenu",INDIRECT(ADDRESS(ref!$K$6,ref!H13,1,,CELL("contenu",$AC$2))))</f>
        <v>B</v>
      </c>
      <c r="R14" s="6" t="str">
        <f ca="1">CELL("contenu",INDIRECT(ADDRESS(ref!$K$7,ref!E13,1,,CELL("contenu",$AC$2))))</f>
        <v>D</v>
      </c>
      <c r="S14" s="3" t="str">
        <f ca="1">CELL("contenu",INDIRECT(ADDRESS(ref!$K$7,ref!F13,1,,CELL("contenu",$AC$2))))</f>
        <v/>
      </c>
      <c r="T14" s="4" t="str">
        <f ca="1">CELL("contenu",INDIRECT(ADDRESS(ref!$K$7,ref!G13,1,,CELL("contenu",$AC$2))))</f>
        <v/>
      </c>
      <c r="U14" s="5" t="str">
        <f ca="1">CELL("contenu",INDIRECT(ADDRESS(ref!$K$7,ref!H13,1,,CELL("contenu",$AC$2))))</f>
        <v>D</v>
      </c>
      <c r="V14" s="43">
        <f ca="1">CELL("contenu",INDIRECT(ADDRESS(ref!$K$8,ref!E13,1,,CELL("contenu",$AC$2))))</f>
        <v>14.583333333333332</v>
      </c>
      <c r="W14" s="44">
        <f ca="1">CELL("contenu",INDIRECT(ADDRESS(ref!$K$8,ref!F13,1,,CELL("contenu",$AC$2))))</f>
        <v>16.805555555555554</v>
      </c>
      <c r="X14" s="45">
        <f ca="1">CELL("contenu",INDIRECT(ADDRESS(ref!$K$8,ref!G13,1,,CELL("contenu",$AC$2))))</f>
        <v>16.25</v>
      </c>
      <c r="Y14" s="7" t="str">
        <f ca="1">CELL("contenu",INDIRECT(ADDRESS(ref!$K$9,ref!H13,1,,CELL("contenu",$AC$2))))</f>
        <v>A</v>
      </c>
      <c r="Z14" s="4" t="str">
        <f ca="1">CELL("contenu",INDIRECT(ADDRESS(ref!$K$10,ref!H13,1,,CELL("contenu",$AC$2))))</f>
        <v/>
      </c>
      <c r="AA14" s="8" t="str">
        <f ca="1">CELL("contenu",INDIRECT(ADDRESS(ref!$K$11,ref!H13,1,,CELL("contenu",$AC$2))))</f>
        <v>B</v>
      </c>
    </row>
    <row r="15" spans="1:29" x14ac:dyDescent="0.25">
      <c r="A15" s="70" t="str">
        <f t="shared" ca="1" si="0"/>
        <v>HARDY Agnes</v>
      </c>
      <c r="B15" s="2" t="str">
        <f ca="1">CELL("contenu",INDIRECT(ADDRESS(ref!$K$3,ref!E14,1,,CELL("contenu",$AC$2))))</f>
        <v>C</v>
      </c>
      <c r="C15" s="3" t="str">
        <f ca="1">CELL("contenu",INDIRECT(ADDRESS(ref!$K$3,ref!F14,1,,CELL("contenu",$AC$2))))</f>
        <v>B</v>
      </c>
      <c r="D15" s="4" t="str">
        <f ca="1">CELL("contenu",INDIRECT(ADDRESS(ref!$K$3,ref!G14,1,,CELL("contenu",$AC$2))))</f>
        <v>C</v>
      </c>
      <c r="E15" s="5" t="str">
        <f ca="1">CELL("contenu",INDIRECT(ADDRESS(ref!$K$3,ref!H14,1,,CELL("contenu",$AC$2))))</f>
        <v>C</v>
      </c>
      <c r="F15" s="6" t="str">
        <f ca="1">CELL("contenu",INDIRECT(ADDRESS(ref!$K$4,ref!E14,1,,CELL("contenu",$AC$2))))</f>
        <v/>
      </c>
      <c r="G15" s="3" t="str">
        <f ca="1">CELL("contenu",INDIRECT(ADDRESS(ref!$K$4,ref!F14,1,,CELL("contenu",$AC$2))))</f>
        <v>B</v>
      </c>
      <c r="H15" s="4" t="str">
        <f ca="1">CELL("contenu",INDIRECT(ADDRESS(ref!$K$4,ref!G14,1,,CELL("contenu",$AC$2))))</f>
        <v>C</v>
      </c>
      <c r="I15" s="5" t="str">
        <f ca="1">CELL("contenu",INDIRECT(ADDRESS(ref!$K$4,ref!H14,1,,CELL("contenu",$AC$2))))</f>
        <v>B</v>
      </c>
      <c r="J15" s="6" t="str">
        <f ca="1">CELL("contenu",INDIRECT(ADDRESS(ref!$K$5,ref!E14,1,,CELL("contenu",$AC$2))))</f>
        <v>A</v>
      </c>
      <c r="K15" s="3" t="str">
        <f ca="1">CELL("contenu",INDIRECT(ADDRESS(ref!$K$5,ref!F14,1,,CELL("contenu",$AC$2))))</f>
        <v>B</v>
      </c>
      <c r="L15" s="4" t="str">
        <f ca="1">CELL("contenu",INDIRECT(ADDRESS(ref!$K$5,ref!G14,1,,CELL("contenu",$AC$2))))</f>
        <v>C</v>
      </c>
      <c r="M15" s="5" t="str">
        <f ca="1">CELL("contenu",INDIRECT(ADDRESS(ref!$K$5,ref!H14,1,,CELL("contenu",$AC$2))))</f>
        <v>B</v>
      </c>
      <c r="N15" s="6" t="str">
        <f ca="1">CELL("contenu",INDIRECT(ADDRESS(ref!$K$6,ref!E14,1,,CELL("contenu",$AC$2))))</f>
        <v>C</v>
      </c>
      <c r="O15" s="3" t="str">
        <f ca="1">CELL("contenu",INDIRECT(ADDRESS(ref!$K$6,ref!F14,1,,CELL("contenu",$AC$2))))</f>
        <v>C</v>
      </c>
      <c r="P15" s="4" t="str">
        <f ca="1">CELL("contenu",INDIRECT(ADDRESS(ref!$K$6,ref!G14,1,,CELL("contenu",$AC$2))))</f>
        <v>C</v>
      </c>
      <c r="Q15" s="5" t="str">
        <f ca="1">CELL("contenu",INDIRECT(ADDRESS(ref!$K$6,ref!H14,1,,CELL("contenu",$AC$2))))</f>
        <v>C</v>
      </c>
      <c r="R15" s="6" t="str">
        <f ca="1">CELL("contenu",INDIRECT(ADDRESS(ref!$K$7,ref!E14,1,,CELL("contenu",$AC$2))))</f>
        <v>C</v>
      </c>
      <c r="S15" s="3" t="str">
        <f ca="1">CELL("contenu",INDIRECT(ADDRESS(ref!$K$7,ref!F14,1,,CELL("contenu",$AC$2))))</f>
        <v/>
      </c>
      <c r="T15" s="4" t="str">
        <f ca="1">CELL("contenu",INDIRECT(ADDRESS(ref!$K$7,ref!G14,1,,CELL("contenu",$AC$2))))</f>
        <v/>
      </c>
      <c r="U15" s="5" t="str">
        <f ca="1">CELL("contenu",INDIRECT(ADDRESS(ref!$K$7,ref!H14,1,,CELL("contenu",$AC$2))))</f>
        <v>C</v>
      </c>
      <c r="V15" s="43">
        <f ca="1">CELL("contenu",INDIRECT(ADDRESS(ref!$K$8,ref!E14,1,,CELL("contenu",$AC$2))))</f>
        <v>13.75</v>
      </c>
      <c r="W15" s="44">
        <f ca="1">CELL("contenu",INDIRECT(ADDRESS(ref!$K$8,ref!F14,1,,CELL("contenu",$AC$2))))</f>
        <v>13.888888888888891</v>
      </c>
      <c r="X15" s="45">
        <f ca="1">CELL("contenu",INDIRECT(ADDRESS(ref!$K$8,ref!G14,1,,CELL("contenu",$AC$2))))</f>
        <v>12.083333333333332</v>
      </c>
      <c r="Y15" s="7" t="str">
        <f ca="1">CELL("contenu",INDIRECT(ADDRESS(ref!$K$9,ref!H14,1,,CELL("contenu",$AC$2))))</f>
        <v>B</v>
      </c>
      <c r="Z15" s="4" t="str">
        <f ca="1">CELL("contenu",INDIRECT(ADDRESS(ref!$K$10,ref!H14,1,,CELL("contenu",$AC$2))))</f>
        <v/>
      </c>
      <c r="AA15" s="8" t="str">
        <f ca="1">CELL("contenu",INDIRECT(ADDRESS(ref!$K$11,ref!H14,1,,CELL("contenu",$AC$2))))</f>
        <v>C</v>
      </c>
    </row>
    <row r="16" spans="1:29" x14ac:dyDescent="0.25">
      <c r="A16" s="70" t="str">
        <f t="shared" ca="1" si="0"/>
        <v>HEDMAN Theo</v>
      </c>
      <c r="B16" s="2" t="str">
        <f ca="1">CELL("contenu",INDIRECT(ADDRESS(ref!$K$3,ref!E15,1,,CELL("contenu",$AC$2))))</f>
        <v>B</v>
      </c>
      <c r="C16" s="3" t="str">
        <f ca="1">CELL("contenu",INDIRECT(ADDRESS(ref!$K$3,ref!F15,1,,CELL("contenu",$AC$2))))</f>
        <v>B</v>
      </c>
      <c r="D16" s="4" t="str">
        <f ca="1">CELL("contenu",INDIRECT(ADDRESS(ref!$K$3,ref!G15,1,,CELL("contenu",$AC$2))))</f>
        <v>A</v>
      </c>
      <c r="E16" s="5" t="str">
        <f ca="1">CELL("contenu",INDIRECT(ADDRESS(ref!$K$3,ref!H15,1,,CELL("contenu",$AC$2))))</f>
        <v>B</v>
      </c>
      <c r="F16" s="6" t="str">
        <f ca="1">CELL("contenu",INDIRECT(ADDRESS(ref!$K$4,ref!E15,1,,CELL("contenu",$AC$2))))</f>
        <v/>
      </c>
      <c r="G16" s="3" t="str">
        <f ca="1">CELL("contenu",INDIRECT(ADDRESS(ref!$K$4,ref!F15,1,,CELL("contenu",$AC$2))))</f>
        <v>A</v>
      </c>
      <c r="H16" s="4" t="str">
        <f ca="1">CELL("contenu",INDIRECT(ADDRESS(ref!$K$4,ref!G15,1,,CELL("contenu",$AC$2))))</f>
        <v>B</v>
      </c>
      <c r="I16" s="5" t="str">
        <f ca="1">CELL("contenu",INDIRECT(ADDRESS(ref!$K$4,ref!H15,1,,CELL("contenu",$AC$2))))</f>
        <v>A</v>
      </c>
      <c r="J16" s="6" t="str">
        <f ca="1">CELL("contenu",INDIRECT(ADDRESS(ref!$K$5,ref!E15,1,,CELL("contenu",$AC$2))))</f>
        <v>A</v>
      </c>
      <c r="K16" s="3" t="str">
        <f ca="1">CELL("contenu",INDIRECT(ADDRESS(ref!$K$5,ref!F15,1,,CELL("contenu",$AC$2))))</f>
        <v>A</v>
      </c>
      <c r="L16" s="4" t="str">
        <f ca="1">CELL("contenu",INDIRECT(ADDRESS(ref!$K$5,ref!G15,1,,CELL("contenu",$AC$2))))</f>
        <v>C</v>
      </c>
      <c r="M16" s="5" t="str">
        <f ca="1">CELL("contenu",INDIRECT(ADDRESS(ref!$K$5,ref!H15,1,,CELL("contenu",$AC$2))))</f>
        <v>B</v>
      </c>
      <c r="N16" s="6" t="str">
        <f ca="1">CELL("contenu",INDIRECT(ADDRESS(ref!$K$6,ref!E15,1,,CELL("contenu",$AC$2))))</f>
        <v>B</v>
      </c>
      <c r="O16" s="3" t="str">
        <f ca="1">CELL("contenu",INDIRECT(ADDRESS(ref!$K$6,ref!F15,1,,CELL("contenu",$AC$2))))</f>
        <v>B</v>
      </c>
      <c r="P16" s="4" t="str">
        <f ca="1">CELL("contenu",INDIRECT(ADDRESS(ref!$K$6,ref!G15,1,,CELL("contenu",$AC$2))))</f>
        <v>B</v>
      </c>
      <c r="Q16" s="5" t="str">
        <f ca="1">CELL("contenu",INDIRECT(ADDRESS(ref!$K$6,ref!H15,1,,CELL("contenu",$AC$2))))</f>
        <v>B</v>
      </c>
      <c r="R16" s="6" t="str">
        <f ca="1">CELL("contenu",INDIRECT(ADDRESS(ref!$K$7,ref!E15,1,,CELL("contenu",$AC$2))))</f>
        <v>A</v>
      </c>
      <c r="S16" s="3" t="str">
        <f ca="1">CELL("contenu",INDIRECT(ADDRESS(ref!$K$7,ref!F15,1,,CELL("contenu",$AC$2))))</f>
        <v/>
      </c>
      <c r="T16" s="4" t="str">
        <f ca="1">CELL("contenu",INDIRECT(ADDRESS(ref!$K$7,ref!G15,1,,CELL("contenu",$AC$2))))</f>
        <v/>
      </c>
      <c r="U16" s="5" t="str">
        <f ca="1">CELL("contenu",INDIRECT(ADDRESS(ref!$K$7,ref!H15,1,,CELL("contenu",$AC$2))))</f>
        <v>A</v>
      </c>
      <c r="V16" s="43">
        <f ca="1">CELL("contenu",INDIRECT(ADDRESS(ref!$K$8,ref!E15,1,,CELL("contenu",$AC$2))))</f>
        <v>16.666666666666668</v>
      </c>
      <c r="W16" s="44">
        <f ca="1">CELL("contenu",INDIRECT(ADDRESS(ref!$K$8,ref!F15,1,,CELL("contenu",$AC$2))))</f>
        <v>17.152777777777779</v>
      </c>
      <c r="X16" s="45">
        <f ca="1">CELL("contenu",INDIRECT(ADDRESS(ref!$K$8,ref!G15,1,,CELL("contenu",$AC$2))))</f>
        <v>16.944444444444443</v>
      </c>
      <c r="Y16" s="7" t="str">
        <f ca="1">CELL("contenu",INDIRECT(ADDRESS(ref!$K$9,ref!H15,1,,CELL("contenu",$AC$2))))</f>
        <v>A</v>
      </c>
      <c r="Z16" s="4" t="str">
        <f ca="1">CELL("contenu",INDIRECT(ADDRESS(ref!$K$10,ref!H15,1,,CELL("contenu",$AC$2))))</f>
        <v/>
      </c>
      <c r="AA16" s="8" t="str">
        <f ca="1">CELL("contenu",INDIRECT(ADDRESS(ref!$K$11,ref!H15,1,,CELL("contenu",$AC$2))))</f>
        <v>B</v>
      </c>
    </row>
    <row r="17" spans="1:27" x14ac:dyDescent="0.25">
      <c r="A17" s="70" t="str">
        <f t="shared" ca="1" si="0"/>
        <v>JOUBERT Gregoire</v>
      </c>
      <c r="B17" s="2" t="str">
        <f ca="1">CELL("contenu",INDIRECT(ADDRESS(ref!$K$3,ref!E16,1,,CELL("contenu",$AC$2))))</f>
        <v>B</v>
      </c>
      <c r="C17" s="3" t="str">
        <f ca="1">CELL("contenu",INDIRECT(ADDRESS(ref!$K$3,ref!F16,1,,CELL("contenu",$AC$2))))</f>
        <v>B</v>
      </c>
      <c r="D17" s="4" t="str">
        <f ca="1">CELL("contenu",INDIRECT(ADDRESS(ref!$K$3,ref!G16,1,,CELL("contenu",$AC$2))))</f>
        <v>B</v>
      </c>
      <c r="E17" s="5" t="str">
        <f ca="1">CELL("contenu",INDIRECT(ADDRESS(ref!$K$3,ref!H16,1,,CELL("contenu",$AC$2))))</f>
        <v>B</v>
      </c>
      <c r="F17" s="6" t="str">
        <f ca="1">CELL("contenu",INDIRECT(ADDRESS(ref!$K$4,ref!E16,1,,CELL("contenu",$AC$2))))</f>
        <v/>
      </c>
      <c r="G17" s="3" t="str">
        <f ca="1">CELL("contenu",INDIRECT(ADDRESS(ref!$K$4,ref!F16,1,,CELL("contenu",$AC$2))))</f>
        <v>A</v>
      </c>
      <c r="H17" s="4" t="str">
        <f ca="1">CELL("contenu",INDIRECT(ADDRESS(ref!$K$4,ref!G16,1,,CELL("contenu",$AC$2))))</f>
        <v>B</v>
      </c>
      <c r="I17" s="5" t="str">
        <f ca="1">CELL("contenu",INDIRECT(ADDRESS(ref!$K$4,ref!H16,1,,CELL("contenu",$AC$2))))</f>
        <v>A</v>
      </c>
      <c r="J17" s="6" t="str">
        <f ca="1">CELL("contenu",INDIRECT(ADDRESS(ref!$K$5,ref!E16,1,,CELL("contenu",$AC$2))))</f>
        <v>A</v>
      </c>
      <c r="K17" s="3" t="str">
        <f ca="1">CELL("contenu",INDIRECT(ADDRESS(ref!$K$5,ref!F16,1,,CELL("contenu",$AC$2))))</f>
        <v>A</v>
      </c>
      <c r="L17" s="4" t="str">
        <f ca="1">CELL("contenu",INDIRECT(ADDRESS(ref!$K$5,ref!G16,1,,CELL("contenu",$AC$2))))</f>
        <v>C</v>
      </c>
      <c r="M17" s="5" t="str">
        <f ca="1">CELL("contenu",INDIRECT(ADDRESS(ref!$K$5,ref!H16,1,,CELL("contenu",$AC$2))))</f>
        <v>B</v>
      </c>
      <c r="N17" s="6" t="str">
        <f ca="1">CELL("contenu",INDIRECT(ADDRESS(ref!$K$6,ref!E16,1,,CELL("contenu",$AC$2))))</f>
        <v>B</v>
      </c>
      <c r="O17" s="3" t="str">
        <f ca="1">CELL("contenu",INDIRECT(ADDRESS(ref!$K$6,ref!F16,1,,CELL("contenu",$AC$2))))</f>
        <v>B</v>
      </c>
      <c r="P17" s="4" t="str">
        <f ca="1">CELL("contenu",INDIRECT(ADDRESS(ref!$K$6,ref!G16,1,,CELL("contenu",$AC$2))))</f>
        <v>B</v>
      </c>
      <c r="Q17" s="5" t="str">
        <f ca="1">CELL("contenu",INDIRECT(ADDRESS(ref!$K$6,ref!H16,1,,CELL("contenu",$AC$2))))</f>
        <v>B</v>
      </c>
      <c r="R17" s="6" t="str">
        <f ca="1">CELL("contenu",INDIRECT(ADDRESS(ref!$K$7,ref!E16,1,,CELL("contenu",$AC$2))))</f>
        <v>B</v>
      </c>
      <c r="S17" s="3" t="str">
        <f ca="1">CELL("contenu",INDIRECT(ADDRESS(ref!$K$7,ref!F16,1,,CELL("contenu",$AC$2))))</f>
        <v/>
      </c>
      <c r="T17" s="4" t="str">
        <f ca="1">CELL("contenu",INDIRECT(ADDRESS(ref!$K$7,ref!G16,1,,CELL("contenu",$AC$2))))</f>
        <v/>
      </c>
      <c r="U17" s="5" t="str">
        <f ca="1">CELL("contenu",INDIRECT(ADDRESS(ref!$K$7,ref!H16,1,,CELL("contenu",$AC$2))))</f>
        <v>B</v>
      </c>
      <c r="V17" s="43">
        <f ca="1">CELL("contenu",INDIRECT(ADDRESS(ref!$K$8,ref!E16,1,,CELL("contenu",$AC$2))))</f>
        <v>17.5</v>
      </c>
      <c r="W17" s="44">
        <f ca="1">CELL("contenu",INDIRECT(ADDRESS(ref!$K$8,ref!F16,1,,CELL("contenu",$AC$2))))</f>
        <v>17.291666666666668</v>
      </c>
      <c r="X17" s="45">
        <f ca="1">CELL("contenu",INDIRECT(ADDRESS(ref!$K$8,ref!G16,1,,CELL("contenu",$AC$2))))</f>
        <v>16.111111111111111</v>
      </c>
      <c r="Y17" s="7" t="str">
        <f ca="1">CELL("contenu",INDIRECT(ADDRESS(ref!$K$9,ref!H16,1,,CELL("contenu",$AC$2))))</f>
        <v>A</v>
      </c>
      <c r="Z17" s="4" t="str">
        <f ca="1">CELL("contenu",INDIRECT(ADDRESS(ref!$K$10,ref!H16,1,,CELL("contenu",$AC$2))))</f>
        <v/>
      </c>
      <c r="AA17" s="8" t="str">
        <f ca="1">CELL("contenu",INDIRECT(ADDRESS(ref!$K$11,ref!H16,1,,CELL("contenu",$AC$2))))</f>
        <v>B</v>
      </c>
    </row>
    <row r="18" spans="1:27" x14ac:dyDescent="0.25">
      <c r="A18" s="70" t="str">
        <f t="shared" ca="1" si="0"/>
        <v>KAISER Aliette</v>
      </c>
      <c r="B18" s="2" t="str">
        <f ca="1">CELL("contenu",INDIRECT(ADDRESS(ref!$K$3,ref!E17,1,,CELL("contenu",$AC$2))))</f>
        <v>B</v>
      </c>
      <c r="C18" s="3" t="str">
        <f ca="1">CELL("contenu",INDIRECT(ADDRESS(ref!$K$3,ref!F17,1,,CELL("contenu",$AC$2))))</f>
        <v>B</v>
      </c>
      <c r="D18" s="4" t="str">
        <f ca="1">CELL("contenu",INDIRECT(ADDRESS(ref!$K$3,ref!G17,1,,CELL("contenu",$AC$2))))</f>
        <v>C</v>
      </c>
      <c r="E18" s="5" t="str">
        <f ca="1">CELL("contenu",INDIRECT(ADDRESS(ref!$K$3,ref!H17,1,,CELL("contenu",$AC$2))))</f>
        <v>B</v>
      </c>
      <c r="F18" s="6" t="str">
        <f ca="1">CELL("contenu",INDIRECT(ADDRESS(ref!$K$4,ref!E17,1,,CELL("contenu",$AC$2))))</f>
        <v/>
      </c>
      <c r="G18" s="3" t="str">
        <f ca="1">CELL("contenu",INDIRECT(ADDRESS(ref!$K$4,ref!F17,1,,CELL("contenu",$AC$2))))</f>
        <v>A</v>
      </c>
      <c r="H18" s="4" t="str">
        <f ca="1">CELL("contenu",INDIRECT(ADDRESS(ref!$K$4,ref!G17,1,,CELL("contenu",$AC$2))))</f>
        <v>B</v>
      </c>
      <c r="I18" s="5" t="str">
        <f ca="1">CELL("contenu",INDIRECT(ADDRESS(ref!$K$4,ref!H17,1,,CELL("contenu",$AC$2))))</f>
        <v>B</v>
      </c>
      <c r="J18" s="6" t="str">
        <f ca="1">CELL("contenu",INDIRECT(ADDRESS(ref!$K$5,ref!E17,1,,CELL("contenu",$AC$2))))</f>
        <v>A</v>
      </c>
      <c r="K18" s="3" t="str">
        <f ca="1">CELL("contenu",INDIRECT(ADDRESS(ref!$K$5,ref!F17,1,,CELL("contenu",$AC$2))))</f>
        <v>A</v>
      </c>
      <c r="L18" s="4" t="str">
        <f ca="1">CELL("contenu",INDIRECT(ADDRESS(ref!$K$5,ref!G17,1,,CELL("contenu",$AC$2))))</f>
        <v>C</v>
      </c>
      <c r="M18" s="5" t="str">
        <f ca="1">CELL("contenu",INDIRECT(ADDRESS(ref!$K$5,ref!H17,1,,CELL("contenu",$AC$2))))</f>
        <v>B</v>
      </c>
      <c r="N18" s="6" t="str">
        <f ca="1">CELL("contenu",INDIRECT(ADDRESS(ref!$K$6,ref!E17,1,,CELL("contenu",$AC$2))))</f>
        <v>B</v>
      </c>
      <c r="O18" s="3" t="str">
        <f ca="1">CELL("contenu",INDIRECT(ADDRESS(ref!$K$6,ref!F17,1,,CELL("contenu",$AC$2))))</f>
        <v>C</v>
      </c>
      <c r="P18" s="4" t="str">
        <f ca="1">CELL("contenu",INDIRECT(ADDRESS(ref!$K$6,ref!G17,1,,CELL("contenu",$AC$2))))</f>
        <v>B</v>
      </c>
      <c r="Q18" s="5" t="str">
        <f ca="1">CELL("contenu",INDIRECT(ADDRESS(ref!$K$6,ref!H17,1,,CELL("contenu",$AC$2))))</f>
        <v>B</v>
      </c>
      <c r="R18" s="6" t="str">
        <f ca="1">CELL("contenu",INDIRECT(ADDRESS(ref!$K$7,ref!E17,1,,CELL("contenu",$AC$2))))</f>
        <v>D</v>
      </c>
      <c r="S18" s="3" t="str">
        <f ca="1">CELL("contenu",INDIRECT(ADDRESS(ref!$K$7,ref!F17,1,,CELL("contenu",$AC$2))))</f>
        <v/>
      </c>
      <c r="T18" s="4" t="str">
        <f ca="1">CELL("contenu",INDIRECT(ADDRESS(ref!$K$7,ref!G17,1,,CELL("contenu",$AC$2))))</f>
        <v/>
      </c>
      <c r="U18" s="5" t="str">
        <f ca="1">CELL("contenu",INDIRECT(ADDRESS(ref!$K$7,ref!H17,1,,CELL("contenu",$AC$2))))</f>
        <v>D</v>
      </c>
      <c r="V18" s="43">
        <f ca="1">CELL("contenu",INDIRECT(ADDRESS(ref!$K$8,ref!E17,1,,CELL("contenu",$AC$2))))</f>
        <v>15</v>
      </c>
      <c r="W18" s="44">
        <f ca="1">CELL("contenu",INDIRECT(ADDRESS(ref!$K$8,ref!F17,1,,CELL("contenu",$AC$2))))</f>
        <v>16.180555555555554</v>
      </c>
      <c r="X18" s="45">
        <f ca="1">CELL("contenu",INDIRECT(ADDRESS(ref!$K$8,ref!G17,1,,CELL("contenu",$AC$2))))</f>
        <v>12.777777777777777</v>
      </c>
      <c r="Y18" s="7" t="str">
        <f ca="1">CELL("contenu",INDIRECT(ADDRESS(ref!$K$9,ref!H17,1,,CELL("contenu",$AC$2))))</f>
        <v>B</v>
      </c>
      <c r="Z18" s="4" t="str">
        <f ca="1">CELL("contenu",INDIRECT(ADDRESS(ref!$K$10,ref!H17,1,,CELL("contenu",$AC$2))))</f>
        <v/>
      </c>
      <c r="AA18" s="8" t="str">
        <f ca="1">CELL("contenu",INDIRECT(ADDRESS(ref!$K$11,ref!H17,1,,CELL("contenu",$AC$2))))</f>
        <v>B</v>
      </c>
    </row>
    <row r="19" spans="1:27" x14ac:dyDescent="0.25">
      <c r="A19" s="70" t="str">
        <f t="shared" ca="1" si="0"/>
        <v>KIBLEUR Evariste</v>
      </c>
      <c r="B19" s="2" t="str">
        <f ca="1">CELL("contenu",INDIRECT(ADDRESS(ref!$K$3,ref!E18,1,,CELL("contenu",$AC$2))))</f>
        <v>C</v>
      </c>
      <c r="C19" s="3" t="str">
        <f ca="1">CELL("contenu",INDIRECT(ADDRESS(ref!$K$3,ref!F18,1,,CELL("contenu",$AC$2))))</f>
        <v>B</v>
      </c>
      <c r="D19" s="4" t="str">
        <f ca="1">CELL("contenu",INDIRECT(ADDRESS(ref!$K$3,ref!G18,1,,CELL("contenu",$AC$2))))</f>
        <v>C</v>
      </c>
      <c r="E19" s="5" t="str">
        <f ca="1">CELL("contenu",INDIRECT(ADDRESS(ref!$K$3,ref!H18,1,,CELL("contenu",$AC$2))))</f>
        <v>B</v>
      </c>
      <c r="F19" s="6" t="str">
        <f ca="1">CELL("contenu",INDIRECT(ADDRESS(ref!$K$4,ref!E18,1,,CELL("contenu",$AC$2))))</f>
        <v/>
      </c>
      <c r="G19" s="3" t="str">
        <f ca="1">CELL("contenu",INDIRECT(ADDRESS(ref!$K$4,ref!F18,1,,CELL("contenu",$AC$2))))</f>
        <v>B</v>
      </c>
      <c r="H19" s="4" t="str">
        <f ca="1">CELL("contenu",INDIRECT(ADDRESS(ref!$K$4,ref!G18,1,,CELL("contenu",$AC$2))))</f>
        <v>B</v>
      </c>
      <c r="I19" s="5" t="str">
        <f ca="1">CELL("contenu",INDIRECT(ADDRESS(ref!$K$4,ref!H18,1,,CELL("contenu",$AC$2))))</f>
        <v>B</v>
      </c>
      <c r="J19" s="6" t="str">
        <f ca="1">CELL("contenu",INDIRECT(ADDRESS(ref!$K$5,ref!E18,1,,CELL("contenu",$AC$2))))</f>
        <v>A</v>
      </c>
      <c r="K19" s="3" t="str">
        <f ca="1">CELL("contenu",INDIRECT(ADDRESS(ref!$K$5,ref!F18,1,,CELL("contenu",$AC$2))))</f>
        <v>B</v>
      </c>
      <c r="L19" s="4" t="str">
        <f ca="1">CELL("contenu",INDIRECT(ADDRESS(ref!$K$5,ref!G18,1,,CELL("contenu",$AC$2))))</f>
        <v>C</v>
      </c>
      <c r="M19" s="5" t="str">
        <f ca="1">CELL("contenu",INDIRECT(ADDRESS(ref!$K$5,ref!H18,1,,CELL("contenu",$AC$2))))</f>
        <v>B</v>
      </c>
      <c r="N19" s="6" t="str">
        <f ca="1">CELL("contenu",INDIRECT(ADDRESS(ref!$K$6,ref!E18,1,,CELL("contenu",$AC$2))))</f>
        <v>C</v>
      </c>
      <c r="O19" s="3" t="str">
        <f ca="1">CELL("contenu",INDIRECT(ADDRESS(ref!$K$6,ref!F18,1,,CELL("contenu",$AC$2))))</f>
        <v>C</v>
      </c>
      <c r="P19" s="4" t="str">
        <f ca="1">CELL("contenu",INDIRECT(ADDRESS(ref!$K$6,ref!G18,1,,CELL("contenu",$AC$2))))</f>
        <v>B</v>
      </c>
      <c r="Q19" s="5" t="str">
        <f ca="1">CELL("contenu",INDIRECT(ADDRESS(ref!$K$6,ref!H18,1,,CELL("contenu",$AC$2))))</f>
        <v>C</v>
      </c>
      <c r="R19" s="6" t="str">
        <f ca="1">CELL("contenu",INDIRECT(ADDRESS(ref!$K$7,ref!E18,1,,CELL("contenu",$AC$2))))</f>
        <v>D</v>
      </c>
      <c r="S19" s="3" t="str">
        <f ca="1">CELL("contenu",INDIRECT(ADDRESS(ref!$K$7,ref!F18,1,,CELL("contenu",$AC$2))))</f>
        <v/>
      </c>
      <c r="T19" s="4" t="str">
        <f ca="1">CELL("contenu",INDIRECT(ADDRESS(ref!$K$7,ref!G18,1,,CELL("contenu",$AC$2))))</f>
        <v/>
      </c>
      <c r="U19" s="5" t="str">
        <f ca="1">CELL("contenu",INDIRECT(ADDRESS(ref!$K$7,ref!H18,1,,CELL("contenu",$AC$2))))</f>
        <v>D</v>
      </c>
      <c r="V19" s="43">
        <f ca="1">CELL("contenu",INDIRECT(ADDRESS(ref!$K$8,ref!E18,1,,CELL("contenu",$AC$2))))</f>
        <v>11.666666666666668</v>
      </c>
      <c r="W19" s="44">
        <f ca="1">CELL("contenu",INDIRECT(ADDRESS(ref!$K$8,ref!F18,1,,CELL("contenu",$AC$2))))</f>
        <v>14.583333333333332</v>
      </c>
      <c r="X19" s="45">
        <f ca="1">CELL("contenu",INDIRECT(ADDRESS(ref!$K$8,ref!G18,1,,CELL("contenu",$AC$2))))</f>
        <v>13.333333333333332</v>
      </c>
      <c r="Y19" s="7" t="str">
        <f ca="1">CELL("contenu",INDIRECT(ADDRESS(ref!$K$9,ref!H18,1,,CELL("contenu",$AC$2))))</f>
        <v>B</v>
      </c>
      <c r="Z19" s="4" t="str">
        <f ca="1">CELL("contenu",INDIRECT(ADDRESS(ref!$K$10,ref!H18,1,,CELL("contenu",$AC$2))))</f>
        <v/>
      </c>
      <c r="AA19" s="8" t="str">
        <f ca="1">CELL("contenu",INDIRECT(ADDRESS(ref!$K$11,ref!H18,1,,CELL("contenu",$AC$2))))</f>
        <v>C</v>
      </c>
    </row>
    <row r="20" spans="1:27" x14ac:dyDescent="0.25">
      <c r="A20" s="70" t="str">
        <f t="shared" ca="1" si="0"/>
        <v>MARMOUSET Airelle</v>
      </c>
      <c r="B20" s="2" t="str">
        <f ca="1">CELL("contenu",INDIRECT(ADDRESS(ref!$K$3,ref!E19,1,,CELL("contenu",$AC$2))))</f>
        <v>C</v>
      </c>
      <c r="C20" s="3" t="str">
        <f ca="1">CELL("contenu",INDIRECT(ADDRESS(ref!$K$3,ref!F19,1,,CELL("contenu",$AC$2))))</f>
        <v>B</v>
      </c>
      <c r="D20" s="4" t="str">
        <f ca="1">CELL("contenu",INDIRECT(ADDRESS(ref!$K$3,ref!G19,1,,CELL("contenu",$AC$2))))</f>
        <v>B</v>
      </c>
      <c r="E20" s="5" t="str">
        <f ca="1">CELL("contenu",INDIRECT(ADDRESS(ref!$K$3,ref!H19,1,,CELL("contenu",$AC$2))))</f>
        <v>B</v>
      </c>
      <c r="F20" s="6" t="str">
        <f ca="1">CELL("contenu",INDIRECT(ADDRESS(ref!$K$4,ref!E19,1,,CELL("contenu",$AC$2))))</f>
        <v/>
      </c>
      <c r="G20" s="3" t="str">
        <f ca="1">CELL("contenu",INDIRECT(ADDRESS(ref!$K$4,ref!F19,1,,CELL("contenu",$AC$2))))</f>
        <v>A</v>
      </c>
      <c r="H20" s="4" t="str">
        <f ca="1">CELL("contenu",INDIRECT(ADDRESS(ref!$K$4,ref!G19,1,,CELL("contenu",$AC$2))))</f>
        <v>A</v>
      </c>
      <c r="I20" s="5" t="str">
        <f ca="1">CELL("contenu",INDIRECT(ADDRESS(ref!$K$4,ref!H19,1,,CELL("contenu",$AC$2))))</f>
        <v>A</v>
      </c>
      <c r="J20" s="6" t="str">
        <f ca="1">CELL("contenu",INDIRECT(ADDRESS(ref!$K$5,ref!E19,1,,CELL("contenu",$AC$2))))</f>
        <v>A</v>
      </c>
      <c r="K20" s="3" t="str">
        <f ca="1">CELL("contenu",INDIRECT(ADDRESS(ref!$K$5,ref!F19,1,,CELL("contenu",$AC$2))))</f>
        <v>A</v>
      </c>
      <c r="L20" s="4" t="str">
        <f ca="1">CELL("contenu",INDIRECT(ADDRESS(ref!$K$5,ref!G19,1,,CELL("contenu",$AC$2))))</f>
        <v>C</v>
      </c>
      <c r="M20" s="5" t="str">
        <f ca="1">CELL("contenu",INDIRECT(ADDRESS(ref!$K$5,ref!H19,1,,CELL("contenu",$AC$2))))</f>
        <v>B</v>
      </c>
      <c r="N20" s="6" t="str">
        <f ca="1">CELL("contenu",INDIRECT(ADDRESS(ref!$K$6,ref!E19,1,,CELL("contenu",$AC$2))))</f>
        <v>B</v>
      </c>
      <c r="O20" s="3" t="str">
        <f ca="1">CELL("contenu",INDIRECT(ADDRESS(ref!$K$6,ref!F19,1,,CELL("contenu",$AC$2))))</f>
        <v>B</v>
      </c>
      <c r="P20" s="4" t="str">
        <f ca="1">CELL("contenu",INDIRECT(ADDRESS(ref!$K$6,ref!G19,1,,CELL("contenu",$AC$2))))</f>
        <v>B</v>
      </c>
      <c r="Q20" s="5" t="str">
        <f ca="1">CELL("contenu",INDIRECT(ADDRESS(ref!$K$6,ref!H19,1,,CELL("contenu",$AC$2))))</f>
        <v>B</v>
      </c>
      <c r="R20" s="6" t="str">
        <f ca="1">CELL("contenu",INDIRECT(ADDRESS(ref!$K$7,ref!E19,1,,CELL("contenu",$AC$2))))</f>
        <v>A</v>
      </c>
      <c r="S20" s="3" t="str">
        <f ca="1">CELL("contenu",INDIRECT(ADDRESS(ref!$K$7,ref!F19,1,,CELL("contenu",$AC$2))))</f>
        <v/>
      </c>
      <c r="T20" s="4" t="str">
        <f ca="1">CELL("contenu",INDIRECT(ADDRESS(ref!$K$7,ref!G19,1,,CELL("contenu",$AC$2))))</f>
        <v/>
      </c>
      <c r="U20" s="5" t="str">
        <f ca="1">CELL("contenu",INDIRECT(ADDRESS(ref!$K$7,ref!H19,1,,CELL("contenu",$AC$2))))</f>
        <v>A</v>
      </c>
      <c r="V20" s="43">
        <f ca="1">CELL("contenu",INDIRECT(ADDRESS(ref!$K$8,ref!E19,1,,CELL("contenu",$AC$2))))</f>
        <v>16.666666666666668</v>
      </c>
      <c r="W20" s="44">
        <f ca="1">CELL("contenu",INDIRECT(ADDRESS(ref!$K$8,ref!F19,1,,CELL("contenu",$AC$2))))</f>
        <v>18.402777777777779</v>
      </c>
      <c r="X20" s="45">
        <f ca="1">CELL("contenu",INDIRECT(ADDRESS(ref!$K$8,ref!G19,1,,CELL("contenu",$AC$2))))</f>
        <v>16.111111111111111</v>
      </c>
      <c r="Y20" s="7" t="str">
        <f ca="1">CELL("contenu",INDIRECT(ADDRESS(ref!$K$9,ref!H19,1,,CELL("contenu",$AC$2))))</f>
        <v>A</v>
      </c>
      <c r="Z20" s="4" t="str">
        <f ca="1">CELL("contenu",INDIRECT(ADDRESS(ref!$K$10,ref!H19,1,,CELL("contenu",$AC$2))))</f>
        <v/>
      </c>
      <c r="AA20" s="8" t="str">
        <f ca="1">CELL("contenu",INDIRECT(ADDRESS(ref!$K$11,ref!H19,1,,CELL("contenu",$AC$2))))</f>
        <v>B</v>
      </c>
    </row>
    <row r="21" spans="1:27" x14ac:dyDescent="0.25">
      <c r="A21" s="70" t="str">
        <f t="shared" ca="1" si="0"/>
        <v>MONTOT Alexis</v>
      </c>
      <c r="B21" s="2" t="str">
        <f ca="1">CELL("contenu",INDIRECT(ADDRESS(ref!$K$3,ref!E20,1,,CELL("contenu",$AC$2))))</f>
        <v>B</v>
      </c>
      <c r="C21" s="3" t="str">
        <f ca="1">CELL("contenu",INDIRECT(ADDRESS(ref!$K$3,ref!F20,1,,CELL("contenu",$AC$2))))</f>
        <v>C</v>
      </c>
      <c r="D21" s="4" t="str">
        <f ca="1">CELL("contenu",INDIRECT(ADDRESS(ref!$K$3,ref!G20,1,,CELL("contenu",$AC$2))))</f>
        <v>C</v>
      </c>
      <c r="E21" s="5" t="str">
        <f ca="1">CELL("contenu",INDIRECT(ADDRESS(ref!$K$3,ref!H20,1,,CELL("contenu",$AC$2))))</f>
        <v>C</v>
      </c>
      <c r="F21" s="6" t="str">
        <f ca="1">CELL("contenu",INDIRECT(ADDRESS(ref!$K$4,ref!E20,1,,CELL("contenu",$AC$2))))</f>
        <v/>
      </c>
      <c r="G21" s="3" t="str">
        <f ca="1">CELL("contenu",INDIRECT(ADDRESS(ref!$K$4,ref!F20,1,,CELL("contenu",$AC$2))))</f>
        <v>A</v>
      </c>
      <c r="H21" s="4" t="str">
        <f ca="1">CELL("contenu",INDIRECT(ADDRESS(ref!$K$4,ref!G20,1,,CELL("contenu",$AC$2))))</f>
        <v>B</v>
      </c>
      <c r="I21" s="5" t="str">
        <f ca="1">CELL("contenu",INDIRECT(ADDRESS(ref!$K$4,ref!H20,1,,CELL("contenu",$AC$2))))</f>
        <v>A</v>
      </c>
      <c r="J21" s="6" t="str">
        <f ca="1">CELL("contenu",INDIRECT(ADDRESS(ref!$K$5,ref!E20,1,,CELL("contenu",$AC$2))))</f>
        <v>B</v>
      </c>
      <c r="K21" s="3" t="str">
        <f ca="1">CELL("contenu",INDIRECT(ADDRESS(ref!$K$5,ref!F20,1,,CELL("contenu",$AC$2))))</f>
        <v>B</v>
      </c>
      <c r="L21" s="4" t="str">
        <f ca="1">CELL("contenu",INDIRECT(ADDRESS(ref!$K$5,ref!G20,1,,CELL("contenu",$AC$2))))</f>
        <v>C</v>
      </c>
      <c r="M21" s="5" t="str">
        <f ca="1">CELL("contenu",INDIRECT(ADDRESS(ref!$K$5,ref!H20,1,,CELL("contenu",$AC$2))))</f>
        <v>C</v>
      </c>
      <c r="N21" s="6" t="str">
        <f ca="1">CELL("contenu",INDIRECT(ADDRESS(ref!$K$6,ref!E20,1,,CELL("contenu",$AC$2))))</f>
        <v>C</v>
      </c>
      <c r="O21" s="3" t="str">
        <f ca="1">CELL("contenu",INDIRECT(ADDRESS(ref!$K$6,ref!F20,1,,CELL("contenu",$AC$2))))</f>
        <v>C</v>
      </c>
      <c r="P21" s="4" t="str">
        <f ca="1">CELL("contenu",INDIRECT(ADDRESS(ref!$K$6,ref!G20,1,,CELL("contenu",$AC$2))))</f>
        <v>C</v>
      </c>
      <c r="Q21" s="5" t="str">
        <f ca="1">CELL("contenu",INDIRECT(ADDRESS(ref!$K$6,ref!H20,1,,CELL("contenu",$AC$2))))</f>
        <v>C</v>
      </c>
      <c r="R21" s="6" t="str">
        <f ca="1">CELL("contenu",INDIRECT(ADDRESS(ref!$K$7,ref!E20,1,,CELL("contenu",$AC$2))))</f>
        <v>D</v>
      </c>
      <c r="S21" s="3" t="str">
        <f ca="1">CELL("contenu",INDIRECT(ADDRESS(ref!$K$7,ref!F20,1,,CELL("contenu",$AC$2))))</f>
        <v/>
      </c>
      <c r="T21" s="4" t="str">
        <f ca="1">CELL("contenu",INDIRECT(ADDRESS(ref!$K$7,ref!G20,1,,CELL("contenu",$AC$2))))</f>
        <v/>
      </c>
      <c r="U21" s="5" t="str">
        <f ca="1">CELL("contenu",INDIRECT(ADDRESS(ref!$K$7,ref!H20,1,,CELL("contenu",$AC$2))))</f>
        <v>D</v>
      </c>
      <c r="V21" s="43">
        <f ca="1">CELL("contenu",INDIRECT(ADDRESS(ref!$K$8,ref!E20,1,,CELL("contenu",$AC$2))))</f>
        <v>12.5</v>
      </c>
      <c r="W21" s="44">
        <f ca="1">CELL("contenu",INDIRECT(ADDRESS(ref!$K$8,ref!F20,1,,CELL("contenu",$AC$2))))</f>
        <v>14.444444444444446</v>
      </c>
      <c r="X21" s="45">
        <f ca="1">CELL("contenu",INDIRECT(ADDRESS(ref!$K$8,ref!G20,1,,CELL("contenu",$AC$2))))</f>
        <v>11.388888888888889</v>
      </c>
      <c r="Y21" s="7" t="str">
        <f ca="1">CELL("contenu",INDIRECT(ADDRESS(ref!$K$9,ref!H20,1,,CELL("contenu",$AC$2))))</f>
        <v>A</v>
      </c>
      <c r="Z21" s="4" t="str">
        <f ca="1">CELL("contenu",INDIRECT(ADDRESS(ref!$K$10,ref!H20,1,,CELL("contenu",$AC$2))))</f>
        <v/>
      </c>
      <c r="AA21" s="8" t="str">
        <f ca="1">CELL("contenu",INDIRECT(ADDRESS(ref!$K$11,ref!H20,1,,CELL("contenu",$AC$2))))</f>
        <v>C</v>
      </c>
    </row>
    <row r="22" spans="1:27" x14ac:dyDescent="0.25">
      <c r="A22" s="70" t="str">
        <f t="shared" ca="1" si="0"/>
        <v>NOUCHET Camille</v>
      </c>
      <c r="B22" s="2" t="str">
        <f ca="1">CELL("contenu",INDIRECT(ADDRESS(ref!$K$3,ref!E21,1,,CELL("contenu",$AC$2))))</f>
        <v>C</v>
      </c>
      <c r="C22" s="3" t="str">
        <f ca="1">CELL("contenu",INDIRECT(ADDRESS(ref!$K$3,ref!F21,1,,CELL("contenu",$AC$2))))</f>
        <v>C</v>
      </c>
      <c r="D22" s="4" t="str">
        <f ca="1">CELL("contenu",INDIRECT(ADDRESS(ref!$K$3,ref!G21,1,,CELL("contenu",$AC$2))))</f>
        <v>C</v>
      </c>
      <c r="E22" s="5" t="str">
        <f ca="1">CELL("contenu",INDIRECT(ADDRESS(ref!$K$3,ref!H21,1,,CELL("contenu",$AC$2))))</f>
        <v>C</v>
      </c>
      <c r="F22" s="6" t="str">
        <f ca="1">CELL("contenu",INDIRECT(ADDRESS(ref!$K$4,ref!E21,1,,CELL("contenu",$AC$2))))</f>
        <v/>
      </c>
      <c r="G22" s="3" t="str">
        <f ca="1">CELL("contenu",INDIRECT(ADDRESS(ref!$K$4,ref!F21,1,,CELL("contenu",$AC$2))))</f>
        <v>B</v>
      </c>
      <c r="H22" s="4" t="str">
        <f ca="1">CELL("contenu",INDIRECT(ADDRESS(ref!$K$4,ref!G21,1,,CELL("contenu",$AC$2))))</f>
        <v>B</v>
      </c>
      <c r="I22" s="5" t="str">
        <f ca="1">CELL("contenu",INDIRECT(ADDRESS(ref!$K$4,ref!H21,1,,CELL("contenu",$AC$2))))</f>
        <v>B</v>
      </c>
      <c r="J22" s="6" t="str">
        <f ca="1">CELL("contenu",INDIRECT(ADDRESS(ref!$K$5,ref!E21,1,,CELL("contenu",$AC$2))))</f>
        <v>B</v>
      </c>
      <c r="K22" s="3" t="str">
        <f ca="1">CELL("contenu",INDIRECT(ADDRESS(ref!$K$5,ref!F21,1,,CELL("contenu",$AC$2))))</f>
        <v>A</v>
      </c>
      <c r="L22" s="4" t="str">
        <f ca="1">CELL("contenu",INDIRECT(ADDRESS(ref!$K$5,ref!G21,1,,CELL("contenu",$AC$2))))</f>
        <v>C</v>
      </c>
      <c r="M22" s="5" t="str">
        <f ca="1">CELL("contenu",INDIRECT(ADDRESS(ref!$K$5,ref!H21,1,,CELL("contenu",$AC$2))))</f>
        <v>B</v>
      </c>
      <c r="N22" s="6" t="str">
        <f ca="1">CELL("contenu",INDIRECT(ADDRESS(ref!$K$6,ref!E21,1,,CELL("contenu",$AC$2))))</f>
        <v>C</v>
      </c>
      <c r="O22" s="3" t="str">
        <f ca="1">CELL("contenu",INDIRECT(ADDRESS(ref!$K$6,ref!F21,1,,CELL("contenu",$AC$2))))</f>
        <v>C</v>
      </c>
      <c r="P22" s="4" t="str">
        <f ca="1">CELL("contenu",INDIRECT(ADDRESS(ref!$K$6,ref!G21,1,,CELL("contenu",$AC$2))))</f>
        <v>C</v>
      </c>
      <c r="Q22" s="5" t="str">
        <f ca="1">CELL("contenu",INDIRECT(ADDRESS(ref!$K$6,ref!H21,1,,CELL("contenu",$AC$2))))</f>
        <v>C</v>
      </c>
      <c r="R22" s="6" t="str">
        <f ca="1">CELL("contenu",INDIRECT(ADDRESS(ref!$K$7,ref!E21,1,,CELL("contenu",$AC$2))))</f>
        <v>D</v>
      </c>
      <c r="S22" s="3" t="str">
        <f ca="1">CELL("contenu",INDIRECT(ADDRESS(ref!$K$7,ref!F21,1,,CELL("contenu",$AC$2))))</f>
        <v/>
      </c>
      <c r="T22" s="4" t="str">
        <f ca="1">CELL("contenu",INDIRECT(ADDRESS(ref!$K$7,ref!G21,1,,CELL("contenu",$AC$2))))</f>
        <v/>
      </c>
      <c r="U22" s="5" t="str">
        <f ca="1">CELL("contenu",INDIRECT(ADDRESS(ref!$K$7,ref!H21,1,,CELL("contenu",$AC$2))))</f>
        <v>D</v>
      </c>
      <c r="V22" s="43">
        <f ca="1">CELL("contenu",INDIRECT(ADDRESS(ref!$K$8,ref!E21,1,,CELL("contenu",$AC$2))))</f>
        <v>12.5</v>
      </c>
      <c r="W22" s="44">
        <f ca="1">CELL("contenu",INDIRECT(ADDRESS(ref!$K$8,ref!F21,1,,CELL("contenu",$AC$2))))</f>
        <v>13.541666666666668</v>
      </c>
      <c r="X22" s="45">
        <f ca="1">CELL("contenu",INDIRECT(ADDRESS(ref!$K$8,ref!G21,1,,CELL("contenu",$AC$2))))</f>
        <v>11.666666666666668</v>
      </c>
      <c r="Y22" s="7" t="str">
        <f ca="1">CELL("contenu",INDIRECT(ADDRESS(ref!$K$9,ref!H21,1,,CELL("contenu",$AC$2))))</f>
        <v>B</v>
      </c>
      <c r="Z22" s="4" t="str">
        <f ca="1">CELL("contenu",INDIRECT(ADDRESS(ref!$K$10,ref!H21,1,,CELL("contenu",$AC$2))))</f>
        <v/>
      </c>
      <c r="AA22" s="8" t="str">
        <f ca="1">CELL("contenu",INDIRECT(ADDRESS(ref!$K$11,ref!H21,1,,CELL("contenu",$AC$2))))</f>
        <v>B</v>
      </c>
    </row>
    <row r="23" spans="1:27" x14ac:dyDescent="0.25">
      <c r="A23" s="70" t="str">
        <f t="shared" ca="1" si="0"/>
        <v>PAVLENKO Jean</v>
      </c>
      <c r="B23" s="2" t="str">
        <f ca="1">CELL("contenu",INDIRECT(ADDRESS(ref!$K$3,ref!E22,1,,CELL("contenu",$AC$2))))</f>
        <v>C</v>
      </c>
      <c r="C23" s="3" t="str">
        <f ca="1">CELL("contenu",INDIRECT(ADDRESS(ref!$K$3,ref!F22,1,,CELL("contenu",$AC$2))))</f>
        <v>C</v>
      </c>
      <c r="D23" s="4" t="str">
        <f ca="1">CELL("contenu",INDIRECT(ADDRESS(ref!$K$3,ref!G22,1,,CELL("contenu",$AC$2))))</f>
        <v>C</v>
      </c>
      <c r="E23" s="5" t="str">
        <f ca="1">CELL("contenu",INDIRECT(ADDRESS(ref!$K$3,ref!H22,1,,CELL("contenu",$AC$2))))</f>
        <v>C</v>
      </c>
      <c r="F23" s="6" t="str">
        <f ca="1">CELL("contenu",INDIRECT(ADDRESS(ref!$K$4,ref!E22,1,,CELL("contenu",$AC$2))))</f>
        <v/>
      </c>
      <c r="G23" s="3" t="str">
        <f ca="1">CELL("contenu",INDIRECT(ADDRESS(ref!$K$4,ref!F22,1,,CELL("contenu",$AC$2))))</f>
        <v>B</v>
      </c>
      <c r="H23" s="4" t="str">
        <f ca="1">CELL("contenu",INDIRECT(ADDRESS(ref!$K$4,ref!G22,1,,CELL("contenu",$AC$2))))</f>
        <v>B</v>
      </c>
      <c r="I23" s="5" t="str">
        <f ca="1">CELL("contenu",INDIRECT(ADDRESS(ref!$K$4,ref!H22,1,,CELL("contenu",$AC$2))))</f>
        <v>B</v>
      </c>
      <c r="J23" s="6" t="str">
        <f ca="1">CELL("contenu",INDIRECT(ADDRESS(ref!$K$5,ref!E22,1,,CELL("contenu",$AC$2))))</f>
        <v>A</v>
      </c>
      <c r="K23" s="3" t="str">
        <f ca="1">CELL("contenu",INDIRECT(ADDRESS(ref!$K$5,ref!F22,1,,CELL("contenu",$AC$2))))</f>
        <v>A</v>
      </c>
      <c r="L23" s="4" t="str">
        <f ca="1">CELL("contenu",INDIRECT(ADDRESS(ref!$K$5,ref!G22,1,,CELL("contenu",$AC$2))))</f>
        <v>C</v>
      </c>
      <c r="M23" s="5" t="str">
        <f ca="1">CELL("contenu",INDIRECT(ADDRESS(ref!$K$5,ref!H22,1,,CELL("contenu",$AC$2))))</f>
        <v>B</v>
      </c>
      <c r="N23" s="6" t="str">
        <f ca="1">CELL("contenu",INDIRECT(ADDRESS(ref!$K$6,ref!E22,1,,CELL("contenu",$AC$2))))</f>
        <v>C</v>
      </c>
      <c r="O23" s="3" t="str">
        <f ca="1">CELL("contenu",INDIRECT(ADDRESS(ref!$K$6,ref!F22,1,,CELL("contenu",$AC$2))))</f>
        <v>B</v>
      </c>
      <c r="P23" s="4" t="str">
        <f ca="1">CELL("contenu",INDIRECT(ADDRESS(ref!$K$6,ref!G22,1,,CELL("contenu",$AC$2))))</f>
        <v>C</v>
      </c>
      <c r="Q23" s="5" t="str">
        <f ca="1">CELL("contenu",INDIRECT(ADDRESS(ref!$K$6,ref!H22,1,,CELL("contenu",$AC$2))))</f>
        <v>C</v>
      </c>
      <c r="R23" s="6" t="str">
        <f ca="1">CELL("contenu",INDIRECT(ADDRESS(ref!$K$7,ref!E22,1,,CELL("contenu",$AC$2))))</f>
        <v>C</v>
      </c>
      <c r="S23" s="3" t="str">
        <f ca="1">CELL("contenu",INDIRECT(ADDRESS(ref!$K$7,ref!F22,1,,CELL("contenu",$AC$2))))</f>
        <v/>
      </c>
      <c r="T23" s="4" t="str">
        <f ca="1">CELL("contenu",INDIRECT(ADDRESS(ref!$K$7,ref!G22,1,,CELL("contenu",$AC$2))))</f>
        <v/>
      </c>
      <c r="U23" s="5" t="str">
        <f ca="1">CELL("contenu",INDIRECT(ADDRESS(ref!$K$7,ref!H22,1,,CELL("contenu",$AC$2))))</f>
        <v>C</v>
      </c>
      <c r="V23" s="43">
        <f ca="1">CELL("contenu",INDIRECT(ADDRESS(ref!$K$8,ref!E22,1,,CELL("contenu",$AC$2))))</f>
        <v>12.5</v>
      </c>
      <c r="W23" s="44">
        <f ca="1">CELL("contenu",INDIRECT(ADDRESS(ref!$K$8,ref!F22,1,,CELL("contenu",$AC$2))))</f>
        <v>15.763888888888886</v>
      </c>
      <c r="X23" s="45">
        <f ca="1">CELL("contenu",INDIRECT(ADDRESS(ref!$K$8,ref!G22,1,,CELL("contenu",$AC$2))))</f>
        <v>13.055555555555555</v>
      </c>
      <c r="Y23" s="7" t="str">
        <f ca="1">CELL("contenu",INDIRECT(ADDRESS(ref!$K$9,ref!H22,1,,CELL("contenu",$AC$2))))</f>
        <v>B</v>
      </c>
      <c r="Z23" s="4" t="str">
        <f ca="1">CELL("contenu",INDIRECT(ADDRESS(ref!$K$10,ref!H22,1,,CELL("contenu",$AC$2))))</f>
        <v/>
      </c>
      <c r="AA23" s="8" t="str">
        <f ca="1">CELL("contenu",INDIRECT(ADDRESS(ref!$K$11,ref!H22,1,,CELL("contenu",$AC$2))))</f>
        <v>B</v>
      </c>
    </row>
    <row r="24" spans="1:27" x14ac:dyDescent="0.25">
      <c r="A24" s="70" t="str">
        <f t="shared" ca="1" si="0"/>
        <v>PERRET Mila</v>
      </c>
      <c r="B24" s="2" t="str">
        <f ca="1">CELL("contenu",INDIRECT(ADDRESS(ref!$K$3,ref!E23,1,,CELL("contenu",$AC$2))))</f>
        <v>C</v>
      </c>
      <c r="C24" s="3" t="str">
        <f ca="1">CELL("contenu",INDIRECT(ADDRESS(ref!$K$3,ref!F23,1,,CELL("contenu",$AC$2))))</f>
        <v>C</v>
      </c>
      <c r="D24" s="4" t="str">
        <f ca="1">CELL("contenu",INDIRECT(ADDRESS(ref!$K$3,ref!G23,1,,CELL("contenu",$AC$2))))</f>
        <v>C</v>
      </c>
      <c r="E24" s="5" t="str">
        <f ca="1">CELL("contenu",INDIRECT(ADDRESS(ref!$K$3,ref!H23,1,,CELL("contenu",$AC$2))))</f>
        <v>C</v>
      </c>
      <c r="F24" s="6" t="str">
        <f ca="1">CELL("contenu",INDIRECT(ADDRESS(ref!$K$4,ref!E23,1,,CELL("contenu",$AC$2))))</f>
        <v/>
      </c>
      <c r="G24" s="3" t="str">
        <f ca="1">CELL("contenu",INDIRECT(ADDRESS(ref!$K$4,ref!F23,1,,CELL("contenu",$AC$2))))</f>
        <v>B</v>
      </c>
      <c r="H24" s="4" t="str">
        <f ca="1">CELL("contenu",INDIRECT(ADDRESS(ref!$K$4,ref!G23,1,,CELL("contenu",$AC$2))))</f>
        <v>B</v>
      </c>
      <c r="I24" s="5" t="str">
        <f ca="1">CELL("contenu",INDIRECT(ADDRESS(ref!$K$4,ref!H23,1,,CELL("contenu",$AC$2))))</f>
        <v>B</v>
      </c>
      <c r="J24" s="6" t="str">
        <f ca="1">CELL("contenu",INDIRECT(ADDRESS(ref!$K$5,ref!E23,1,,CELL("contenu",$AC$2))))</f>
        <v>A</v>
      </c>
      <c r="K24" s="3" t="str">
        <f ca="1">CELL("contenu",INDIRECT(ADDRESS(ref!$K$5,ref!F23,1,,CELL("contenu",$AC$2))))</f>
        <v>A</v>
      </c>
      <c r="L24" s="4" t="str">
        <f ca="1">CELL("contenu",INDIRECT(ADDRESS(ref!$K$5,ref!G23,1,,CELL("contenu",$AC$2))))</f>
        <v>A</v>
      </c>
      <c r="M24" s="5" t="str">
        <f ca="1">CELL("contenu",INDIRECT(ADDRESS(ref!$K$5,ref!H23,1,,CELL("contenu",$AC$2))))</f>
        <v>A</v>
      </c>
      <c r="N24" s="6" t="str">
        <f ca="1">CELL("contenu",INDIRECT(ADDRESS(ref!$K$6,ref!E23,1,,CELL("contenu",$AC$2))))</f>
        <v>C</v>
      </c>
      <c r="O24" s="3" t="str">
        <f ca="1">CELL("contenu",INDIRECT(ADDRESS(ref!$K$6,ref!F23,1,,CELL("contenu",$AC$2))))</f>
        <v>C</v>
      </c>
      <c r="P24" s="4" t="str">
        <f ca="1">CELL("contenu",INDIRECT(ADDRESS(ref!$K$6,ref!G23,1,,CELL("contenu",$AC$2))))</f>
        <v>C</v>
      </c>
      <c r="Q24" s="5" t="str">
        <f ca="1">CELL("contenu",INDIRECT(ADDRESS(ref!$K$6,ref!H23,1,,CELL("contenu",$AC$2))))</f>
        <v>C</v>
      </c>
      <c r="R24" s="6" t="str">
        <f ca="1">CELL("contenu",INDIRECT(ADDRESS(ref!$K$7,ref!E23,1,,CELL("contenu",$AC$2))))</f>
        <v>D</v>
      </c>
      <c r="S24" s="3" t="str">
        <f ca="1">CELL("contenu",INDIRECT(ADDRESS(ref!$K$7,ref!F23,1,,CELL("contenu",$AC$2))))</f>
        <v/>
      </c>
      <c r="T24" s="4" t="str">
        <f ca="1">CELL("contenu",INDIRECT(ADDRESS(ref!$K$7,ref!G23,1,,CELL("contenu",$AC$2))))</f>
        <v/>
      </c>
      <c r="U24" s="5" t="str">
        <f ca="1">CELL("contenu",INDIRECT(ADDRESS(ref!$K$7,ref!H23,1,,CELL("contenu",$AC$2))))</f>
        <v>D</v>
      </c>
      <c r="V24" s="43">
        <f ca="1">CELL("contenu",INDIRECT(ADDRESS(ref!$K$8,ref!E23,1,,CELL("contenu",$AC$2))))</f>
        <v>12.083333333333332</v>
      </c>
      <c r="W24" s="44">
        <f ca="1">CELL("contenu",INDIRECT(ADDRESS(ref!$K$8,ref!F23,1,,CELL("contenu",$AC$2))))</f>
        <v>13.819444444444446</v>
      </c>
      <c r="X24" s="45">
        <f ca="1">CELL("contenu",INDIRECT(ADDRESS(ref!$K$8,ref!G23,1,,CELL("contenu",$AC$2))))</f>
        <v>13.055555555555555</v>
      </c>
      <c r="Y24" s="7" t="str">
        <f ca="1">CELL("contenu",INDIRECT(ADDRESS(ref!$K$9,ref!H23,1,,CELL("contenu",$AC$2))))</f>
        <v>B</v>
      </c>
      <c r="Z24" s="4" t="str">
        <f ca="1">CELL("contenu",INDIRECT(ADDRESS(ref!$K$10,ref!H23,1,,CELL("contenu",$AC$2))))</f>
        <v/>
      </c>
      <c r="AA24" s="8" t="str">
        <f ca="1">CELL("contenu",INDIRECT(ADDRESS(ref!$K$11,ref!H23,1,,CELL("contenu",$AC$2))))</f>
        <v>A</v>
      </c>
    </row>
    <row r="25" spans="1:27" x14ac:dyDescent="0.25">
      <c r="A25" s="70" t="str">
        <f t="shared" ca="1" si="0"/>
        <v>PESCHARD Faustine</v>
      </c>
      <c r="B25" s="2" t="str">
        <f ca="1">CELL("contenu",INDIRECT(ADDRESS(ref!$K$3,ref!E24,1,,CELL("contenu",$AC$2))))</f>
        <v>B</v>
      </c>
      <c r="C25" s="3" t="str">
        <f ca="1">CELL("contenu",INDIRECT(ADDRESS(ref!$K$3,ref!F24,1,,CELL("contenu",$AC$2))))</f>
        <v>B</v>
      </c>
      <c r="D25" s="4" t="str">
        <f ca="1">CELL("contenu",INDIRECT(ADDRESS(ref!$K$3,ref!G24,1,,CELL("contenu",$AC$2))))</f>
        <v>C</v>
      </c>
      <c r="E25" s="5" t="str">
        <f ca="1">CELL("contenu",INDIRECT(ADDRESS(ref!$K$3,ref!H24,1,,CELL("contenu",$AC$2))))</f>
        <v>B</v>
      </c>
      <c r="F25" s="6" t="str">
        <f ca="1">CELL("contenu",INDIRECT(ADDRESS(ref!$K$4,ref!E24,1,,CELL("contenu",$AC$2))))</f>
        <v/>
      </c>
      <c r="G25" s="3" t="str">
        <f ca="1">CELL("contenu",INDIRECT(ADDRESS(ref!$K$4,ref!F24,1,,CELL("contenu",$AC$2))))</f>
        <v>A</v>
      </c>
      <c r="H25" s="4" t="str">
        <f ca="1">CELL("contenu",INDIRECT(ADDRESS(ref!$K$4,ref!G24,1,,CELL("contenu",$AC$2))))</f>
        <v>A</v>
      </c>
      <c r="I25" s="5" t="str">
        <f ca="1">CELL("contenu",INDIRECT(ADDRESS(ref!$K$4,ref!H24,1,,CELL("contenu",$AC$2))))</f>
        <v>A</v>
      </c>
      <c r="J25" s="6" t="str">
        <f ca="1">CELL("contenu",INDIRECT(ADDRESS(ref!$K$5,ref!E24,1,,CELL("contenu",$AC$2))))</f>
        <v>A</v>
      </c>
      <c r="K25" s="3" t="str">
        <f ca="1">CELL("contenu",INDIRECT(ADDRESS(ref!$K$5,ref!F24,1,,CELL("contenu",$AC$2))))</f>
        <v>A</v>
      </c>
      <c r="L25" s="4" t="str">
        <f ca="1">CELL("contenu",INDIRECT(ADDRESS(ref!$K$5,ref!G24,1,,CELL("contenu",$AC$2))))</f>
        <v>C</v>
      </c>
      <c r="M25" s="5" t="str">
        <f ca="1">CELL("contenu",INDIRECT(ADDRESS(ref!$K$5,ref!H24,1,,CELL("contenu",$AC$2))))</f>
        <v>B</v>
      </c>
      <c r="N25" s="6" t="str">
        <f ca="1">CELL("contenu",INDIRECT(ADDRESS(ref!$K$6,ref!E24,1,,CELL("contenu",$AC$2))))</f>
        <v>B</v>
      </c>
      <c r="O25" s="3" t="str">
        <f ca="1">CELL("contenu",INDIRECT(ADDRESS(ref!$K$6,ref!F24,1,,CELL("contenu",$AC$2))))</f>
        <v>B</v>
      </c>
      <c r="P25" s="4" t="str">
        <f ca="1">CELL("contenu",INDIRECT(ADDRESS(ref!$K$6,ref!G24,1,,CELL("contenu",$AC$2))))</f>
        <v>B</v>
      </c>
      <c r="Q25" s="5" t="str">
        <f ca="1">CELL("contenu",INDIRECT(ADDRESS(ref!$K$6,ref!H24,1,,CELL("contenu",$AC$2))))</f>
        <v>B</v>
      </c>
      <c r="R25" s="6" t="str">
        <f ca="1">CELL("contenu",INDIRECT(ADDRESS(ref!$K$7,ref!E24,1,,CELL("contenu",$AC$2))))</f>
        <v>C</v>
      </c>
      <c r="S25" s="3" t="str">
        <f ca="1">CELL("contenu",INDIRECT(ADDRESS(ref!$K$7,ref!F24,1,,CELL("contenu",$AC$2))))</f>
        <v/>
      </c>
      <c r="T25" s="4" t="str">
        <f ca="1">CELL("contenu",INDIRECT(ADDRESS(ref!$K$7,ref!G24,1,,CELL("contenu",$AC$2))))</f>
        <v/>
      </c>
      <c r="U25" s="5" t="str">
        <f ca="1">CELL("contenu",INDIRECT(ADDRESS(ref!$K$7,ref!H24,1,,CELL("contenu",$AC$2))))</f>
        <v>C</v>
      </c>
      <c r="V25" s="43">
        <f ca="1">CELL("contenu",INDIRECT(ADDRESS(ref!$K$8,ref!E24,1,,CELL("contenu",$AC$2))))</f>
        <v>16.25</v>
      </c>
      <c r="W25" s="44">
        <f ca="1">CELL("contenu",INDIRECT(ADDRESS(ref!$K$8,ref!F24,1,,CELL("contenu",$AC$2))))</f>
        <v>17.569444444444446</v>
      </c>
      <c r="X25" s="45">
        <f ca="1">CELL("contenu",INDIRECT(ADDRESS(ref!$K$8,ref!G24,1,,CELL("contenu",$AC$2))))</f>
        <v>14.166666666666668</v>
      </c>
      <c r="Y25" s="7" t="str">
        <f ca="1">CELL("contenu",INDIRECT(ADDRESS(ref!$K$9,ref!H24,1,,CELL("contenu",$AC$2))))</f>
        <v>A</v>
      </c>
      <c r="Z25" s="4" t="str">
        <f ca="1">CELL("contenu",INDIRECT(ADDRESS(ref!$K$10,ref!H24,1,,CELL("contenu",$AC$2))))</f>
        <v/>
      </c>
      <c r="AA25" s="8" t="str">
        <f ca="1">CELL("contenu",INDIRECT(ADDRESS(ref!$K$11,ref!H24,1,,CELL("contenu",$AC$2))))</f>
        <v>B</v>
      </c>
    </row>
    <row r="26" spans="1:27" x14ac:dyDescent="0.25">
      <c r="A26" s="70" t="str">
        <f t="shared" ca="1" si="0"/>
        <v>PHU Adelie</v>
      </c>
      <c r="B26" s="2" t="str">
        <f ca="1">CELL("contenu",INDIRECT(ADDRESS(ref!$K$3,ref!E25,1,,CELL("contenu",$AC$2))))</f>
        <v>C</v>
      </c>
      <c r="C26" s="3" t="str">
        <f ca="1">CELL("contenu",INDIRECT(ADDRESS(ref!$K$3,ref!F25,1,,CELL("contenu",$AC$2))))</f>
        <v>C</v>
      </c>
      <c r="D26" s="4" t="str">
        <f ca="1">CELL("contenu",INDIRECT(ADDRESS(ref!$K$3,ref!G25,1,,CELL("contenu",$AC$2))))</f>
        <v>C</v>
      </c>
      <c r="E26" s="5" t="str">
        <f ca="1">CELL("contenu",INDIRECT(ADDRESS(ref!$K$3,ref!H25,1,,CELL("contenu",$AC$2))))</f>
        <v>C</v>
      </c>
      <c r="F26" s="6" t="str">
        <f ca="1">CELL("contenu",INDIRECT(ADDRESS(ref!$K$4,ref!E25,1,,CELL("contenu",$AC$2))))</f>
        <v/>
      </c>
      <c r="G26" s="3" t="str">
        <f ca="1">CELL("contenu",INDIRECT(ADDRESS(ref!$K$4,ref!F25,1,,CELL("contenu",$AC$2))))</f>
        <v>B</v>
      </c>
      <c r="H26" s="4" t="str">
        <f ca="1">CELL("contenu",INDIRECT(ADDRESS(ref!$K$4,ref!G25,1,,CELL("contenu",$AC$2))))</f>
        <v>C</v>
      </c>
      <c r="I26" s="5" t="str">
        <f ca="1">CELL("contenu",INDIRECT(ADDRESS(ref!$K$4,ref!H25,1,,CELL("contenu",$AC$2))))</f>
        <v>B</v>
      </c>
      <c r="J26" s="6" t="str">
        <f ca="1">CELL("contenu",INDIRECT(ADDRESS(ref!$K$5,ref!E25,1,,CELL("contenu",$AC$2))))</f>
        <v>B</v>
      </c>
      <c r="K26" s="3" t="str">
        <f ca="1">CELL("contenu",INDIRECT(ADDRESS(ref!$K$5,ref!F25,1,,CELL("contenu",$AC$2))))</f>
        <v>A</v>
      </c>
      <c r="L26" s="4" t="str">
        <f ca="1">CELL("contenu",INDIRECT(ADDRESS(ref!$K$5,ref!G25,1,,CELL("contenu",$AC$2))))</f>
        <v>C</v>
      </c>
      <c r="M26" s="5" t="str">
        <f ca="1">CELL("contenu",INDIRECT(ADDRESS(ref!$K$5,ref!H25,1,,CELL("contenu",$AC$2))))</f>
        <v>B</v>
      </c>
      <c r="N26" s="6" t="str">
        <f ca="1">CELL("contenu",INDIRECT(ADDRESS(ref!$K$6,ref!E25,1,,CELL("contenu",$AC$2))))</f>
        <v>C</v>
      </c>
      <c r="O26" s="3" t="str">
        <f ca="1">CELL("contenu",INDIRECT(ADDRESS(ref!$K$6,ref!F25,1,,CELL("contenu",$AC$2))))</f>
        <v>B</v>
      </c>
      <c r="P26" s="4" t="str">
        <f ca="1">CELL("contenu",INDIRECT(ADDRESS(ref!$K$6,ref!G25,1,,CELL("contenu",$AC$2))))</f>
        <v>C</v>
      </c>
      <c r="Q26" s="5" t="str">
        <f ca="1">CELL("contenu",INDIRECT(ADDRESS(ref!$K$6,ref!H25,1,,CELL("contenu",$AC$2))))</f>
        <v>C</v>
      </c>
      <c r="R26" s="6" t="str">
        <f ca="1">CELL("contenu",INDIRECT(ADDRESS(ref!$K$7,ref!E25,1,,CELL("contenu",$AC$2))))</f>
        <v>C</v>
      </c>
      <c r="S26" s="3" t="str">
        <f ca="1">CELL("contenu",INDIRECT(ADDRESS(ref!$K$7,ref!F25,1,,CELL("contenu",$AC$2))))</f>
        <v/>
      </c>
      <c r="T26" s="4" t="str">
        <f ca="1">CELL("contenu",INDIRECT(ADDRESS(ref!$K$7,ref!G25,1,,CELL("contenu",$AC$2))))</f>
        <v/>
      </c>
      <c r="U26" s="5" t="str">
        <f ca="1">CELL("contenu",INDIRECT(ADDRESS(ref!$K$7,ref!H25,1,,CELL("contenu",$AC$2))))</f>
        <v>C</v>
      </c>
      <c r="V26" s="43">
        <f ca="1">CELL("contenu",INDIRECT(ADDRESS(ref!$K$8,ref!E25,1,,CELL("contenu",$AC$2))))</f>
        <v>12.5</v>
      </c>
      <c r="W26" s="44">
        <f ca="1">CELL("contenu",INDIRECT(ADDRESS(ref!$K$8,ref!F25,1,,CELL("contenu",$AC$2))))</f>
        <v>15.972222222222221</v>
      </c>
      <c r="X26" s="45">
        <f ca="1">CELL("contenu",INDIRECT(ADDRESS(ref!$K$8,ref!G25,1,,CELL("contenu",$AC$2))))</f>
        <v>10.972222222222221</v>
      </c>
      <c r="Y26" s="7" t="str">
        <f ca="1">CELL("contenu",INDIRECT(ADDRESS(ref!$K$9,ref!H25,1,,CELL("contenu",$AC$2))))</f>
        <v>B</v>
      </c>
      <c r="Z26" s="4" t="str">
        <f ca="1">CELL("contenu",INDIRECT(ADDRESS(ref!$K$10,ref!H25,1,,CELL("contenu",$AC$2))))</f>
        <v/>
      </c>
      <c r="AA26" s="8" t="str">
        <f ca="1">CELL("contenu",INDIRECT(ADDRESS(ref!$K$11,ref!H25,1,,CELL("contenu",$AC$2))))</f>
        <v>B</v>
      </c>
    </row>
    <row r="27" spans="1:27" x14ac:dyDescent="0.25">
      <c r="A27" s="70" t="str">
        <f t="shared" ca="1" si="0"/>
        <v>PICARD Martin</v>
      </c>
      <c r="B27" s="2" t="str">
        <f ca="1">CELL("contenu",INDIRECT(ADDRESS(ref!$K$3,ref!E26,1,,CELL("contenu",$AC$2))))</f>
        <v>C</v>
      </c>
      <c r="C27" s="3" t="str">
        <f ca="1">CELL("contenu",INDIRECT(ADDRESS(ref!$K$3,ref!F26,1,,CELL("contenu",$AC$2))))</f>
        <v>C</v>
      </c>
      <c r="D27" s="4" t="str">
        <f ca="1">CELL("contenu",INDIRECT(ADDRESS(ref!$K$3,ref!G26,1,,CELL("contenu",$AC$2))))</f>
        <v>C</v>
      </c>
      <c r="E27" s="5" t="str">
        <f ca="1">CELL("contenu",INDIRECT(ADDRESS(ref!$K$3,ref!H26,1,,CELL("contenu",$AC$2))))</f>
        <v>C</v>
      </c>
      <c r="F27" s="6" t="str">
        <f ca="1">CELL("contenu",INDIRECT(ADDRESS(ref!$K$4,ref!E26,1,,CELL("contenu",$AC$2))))</f>
        <v/>
      </c>
      <c r="G27" s="3" t="str">
        <f ca="1">CELL("contenu",INDIRECT(ADDRESS(ref!$K$4,ref!F26,1,,CELL("contenu",$AC$2))))</f>
        <v>B</v>
      </c>
      <c r="H27" s="4" t="str">
        <f ca="1">CELL("contenu",INDIRECT(ADDRESS(ref!$K$4,ref!G26,1,,CELL("contenu",$AC$2))))</f>
        <v>A</v>
      </c>
      <c r="I27" s="5" t="str">
        <f ca="1">CELL("contenu",INDIRECT(ADDRESS(ref!$K$4,ref!H26,1,,CELL("contenu",$AC$2))))</f>
        <v>A</v>
      </c>
      <c r="J27" s="6" t="str">
        <f ca="1">CELL("contenu",INDIRECT(ADDRESS(ref!$K$5,ref!E26,1,,CELL("contenu",$AC$2))))</f>
        <v>A</v>
      </c>
      <c r="K27" s="3" t="str">
        <f ca="1">CELL("contenu",INDIRECT(ADDRESS(ref!$K$5,ref!F26,1,,CELL("contenu",$AC$2))))</f>
        <v>B</v>
      </c>
      <c r="L27" s="4" t="str">
        <f ca="1">CELL("contenu",INDIRECT(ADDRESS(ref!$K$5,ref!G26,1,,CELL("contenu",$AC$2))))</f>
        <v>C</v>
      </c>
      <c r="M27" s="5" t="str">
        <f ca="1">CELL("contenu",INDIRECT(ADDRESS(ref!$K$5,ref!H26,1,,CELL("contenu",$AC$2))))</f>
        <v>B</v>
      </c>
      <c r="N27" s="6" t="str">
        <f ca="1">CELL("contenu",INDIRECT(ADDRESS(ref!$K$6,ref!E26,1,,CELL("contenu",$AC$2))))</f>
        <v>C</v>
      </c>
      <c r="O27" s="3" t="str">
        <f ca="1">CELL("contenu",INDIRECT(ADDRESS(ref!$K$6,ref!F26,1,,CELL("contenu",$AC$2))))</f>
        <v>C</v>
      </c>
      <c r="P27" s="4" t="str">
        <f ca="1">CELL("contenu",INDIRECT(ADDRESS(ref!$K$6,ref!G26,1,,CELL("contenu",$AC$2))))</f>
        <v>C</v>
      </c>
      <c r="Q27" s="5" t="str">
        <f ca="1">CELL("contenu",INDIRECT(ADDRESS(ref!$K$6,ref!H26,1,,CELL("contenu",$AC$2))))</f>
        <v>C</v>
      </c>
      <c r="R27" s="6" t="str">
        <f ca="1">CELL("contenu",INDIRECT(ADDRESS(ref!$K$7,ref!E26,1,,CELL("contenu",$AC$2))))</f>
        <v>B</v>
      </c>
      <c r="S27" s="3" t="str">
        <f ca="1">CELL("contenu",INDIRECT(ADDRESS(ref!$K$7,ref!F26,1,,CELL("contenu",$AC$2))))</f>
        <v/>
      </c>
      <c r="T27" s="4" t="str">
        <f ca="1">CELL("contenu",INDIRECT(ADDRESS(ref!$K$7,ref!G26,1,,CELL("contenu",$AC$2))))</f>
        <v/>
      </c>
      <c r="U27" s="5" t="str">
        <f ca="1">CELL("contenu",INDIRECT(ADDRESS(ref!$K$7,ref!H26,1,,CELL("contenu",$AC$2))))</f>
        <v>B</v>
      </c>
      <c r="V27" s="43">
        <f ca="1">CELL("contenu",INDIRECT(ADDRESS(ref!$K$8,ref!E26,1,,CELL("contenu",$AC$2))))</f>
        <v>14.166666666666668</v>
      </c>
      <c r="W27" s="44">
        <f ca="1">CELL("contenu",INDIRECT(ADDRESS(ref!$K$8,ref!F26,1,,CELL("contenu",$AC$2))))</f>
        <v>13.541666666666668</v>
      </c>
      <c r="X27" s="45">
        <f ca="1">CELL("contenu",INDIRECT(ADDRESS(ref!$K$8,ref!G26,1,,CELL("contenu",$AC$2))))</f>
        <v>13.287037037037035</v>
      </c>
      <c r="Y27" s="7" t="str">
        <f ca="1">CELL("contenu",INDIRECT(ADDRESS(ref!$K$9,ref!H26,1,,CELL("contenu",$AC$2))))</f>
        <v>A</v>
      </c>
      <c r="Z27" s="4" t="str">
        <f ca="1">CELL("contenu",INDIRECT(ADDRESS(ref!$K$10,ref!H26,1,,CELL("contenu",$AC$2))))</f>
        <v/>
      </c>
      <c r="AA27" s="8" t="str">
        <f ca="1">CELL("contenu",INDIRECT(ADDRESS(ref!$K$11,ref!H26,1,,CELL("contenu",$AC$2))))</f>
        <v>C</v>
      </c>
    </row>
    <row r="28" spans="1:27" x14ac:dyDescent="0.25">
      <c r="A28" s="70" t="str">
        <f t="shared" ca="1" si="0"/>
        <v>RENARD Benoit</v>
      </c>
      <c r="B28" s="2" t="str">
        <f ca="1">CELL("contenu",INDIRECT(ADDRESS(ref!$K$3,ref!E27,1,,CELL("contenu",$AC$2))))</f>
        <v>C</v>
      </c>
      <c r="C28" s="3" t="str">
        <f ca="1">CELL("contenu",INDIRECT(ADDRESS(ref!$K$3,ref!F27,1,,CELL("contenu",$AC$2))))</f>
        <v>B</v>
      </c>
      <c r="D28" s="4" t="str">
        <f ca="1">CELL("contenu",INDIRECT(ADDRESS(ref!$K$3,ref!G27,1,,CELL("contenu",$AC$2))))</f>
        <v>C</v>
      </c>
      <c r="E28" s="5" t="str">
        <f ca="1">CELL("contenu",INDIRECT(ADDRESS(ref!$K$3,ref!H27,1,,CELL("contenu",$AC$2))))</f>
        <v>B</v>
      </c>
      <c r="F28" s="6" t="str">
        <f ca="1">CELL("contenu",INDIRECT(ADDRESS(ref!$K$4,ref!E27,1,,CELL("contenu",$AC$2))))</f>
        <v/>
      </c>
      <c r="G28" s="3" t="str">
        <f ca="1">CELL("contenu",INDIRECT(ADDRESS(ref!$K$4,ref!F27,1,,CELL("contenu",$AC$2))))</f>
        <v>A</v>
      </c>
      <c r="H28" s="4" t="str">
        <f ca="1">CELL("contenu",INDIRECT(ADDRESS(ref!$K$4,ref!G27,1,,CELL("contenu",$AC$2))))</f>
        <v>B</v>
      </c>
      <c r="I28" s="5" t="str">
        <f ca="1">CELL("contenu",INDIRECT(ADDRESS(ref!$K$4,ref!H27,1,,CELL("contenu",$AC$2))))</f>
        <v>A</v>
      </c>
      <c r="J28" s="6" t="str">
        <f ca="1">CELL("contenu",INDIRECT(ADDRESS(ref!$K$5,ref!E27,1,,CELL("contenu",$AC$2))))</f>
        <v>A</v>
      </c>
      <c r="K28" s="3" t="str">
        <f ca="1">CELL("contenu",INDIRECT(ADDRESS(ref!$K$5,ref!F27,1,,CELL("contenu",$AC$2))))</f>
        <v>A</v>
      </c>
      <c r="L28" s="4" t="str">
        <f ca="1">CELL("contenu",INDIRECT(ADDRESS(ref!$K$5,ref!G27,1,,CELL("contenu",$AC$2))))</f>
        <v>B</v>
      </c>
      <c r="M28" s="5" t="str">
        <f ca="1">CELL("contenu",INDIRECT(ADDRESS(ref!$K$5,ref!H27,1,,CELL("contenu",$AC$2))))</f>
        <v>A</v>
      </c>
      <c r="N28" s="6" t="str">
        <f ca="1">CELL("contenu",INDIRECT(ADDRESS(ref!$K$6,ref!E27,1,,CELL("contenu",$AC$2))))</f>
        <v>C</v>
      </c>
      <c r="O28" s="3" t="str">
        <f ca="1">CELL("contenu",INDIRECT(ADDRESS(ref!$K$6,ref!F27,1,,CELL("contenu",$AC$2))))</f>
        <v>C</v>
      </c>
      <c r="P28" s="4" t="str">
        <f ca="1">CELL("contenu",INDIRECT(ADDRESS(ref!$K$6,ref!G27,1,,CELL("contenu",$AC$2))))</f>
        <v>B</v>
      </c>
      <c r="Q28" s="5" t="str">
        <f ca="1">CELL("contenu",INDIRECT(ADDRESS(ref!$K$6,ref!H27,1,,CELL("contenu",$AC$2))))</f>
        <v>B</v>
      </c>
      <c r="R28" s="6" t="str">
        <f ca="1">CELL("contenu",INDIRECT(ADDRESS(ref!$K$7,ref!E27,1,,CELL("contenu",$AC$2))))</f>
        <v>D</v>
      </c>
      <c r="S28" s="3" t="str">
        <f ca="1">CELL("contenu",INDIRECT(ADDRESS(ref!$K$7,ref!F27,1,,CELL("contenu",$AC$2))))</f>
        <v/>
      </c>
      <c r="T28" s="4" t="str">
        <f ca="1">CELL("contenu",INDIRECT(ADDRESS(ref!$K$7,ref!G27,1,,CELL("contenu",$AC$2))))</f>
        <v/>
      </c>
      <c r="U28" s="5" t="str">
        <f ca="1">CELL("contenu",INDIRECT(ADDRESS(ref!$K$7,ref!H27,1,,CELL("contenu",$AC$2))))</f>
        <v>D</v>
      </c>
      <c r="V28" s="43">
        <f ca="1">CELL("contenu",INDIRECT(ADDRESS(ref!$K$8,ref!E27,1,,CELL("contenu",$AC$2))))</f>
        <v>13.333333333333332</v>
      </c>
      <c r="W28" s="44">
        <f ca="1">CELL("contenu",INDIRECT(ADDRESS(ref!$K$8,ref!F27,1,,CELL("contenu",$AC$2))))</f>
        <v>17.083333333333332</v>
      </c>
      <c r="X28" s="45">
        <f ca="1">CELL("contenu",INDIRECT(ADDRESS(ref!$K$8,ref!G27,1,,CELL("contenu",$AC$2))))</f>
        <v>13.611111111111109</v>
      </c>
      <c r="Y28" s="7" t="str">
        <f ca="1">CELL("contenu",INDIRECT(ADDRESS(ref!$K$9,ref!H27,1,,CELL("contenu",$AC$2))))</f>
        <v>A</v>
      </c>
      <c r="Z28" s="4" t="str">
        <f ca="1">CELL("contenu",INDIRECT(ADDRESS(ref!$K$10,ref!H27,1,,CELL("contenu",$AC$2))))</f>
        <v/>
      </c>
      <c r="AA28" s="8" t="str">
        <f ca="1">CELL("contenu",INDIRECT(ADDRESS(ref!$K$11,ref!H27,1,,CELL("contenu",$AC$2))))</f>
        <v>B</v>
      </c>
    </row>
    <row r="29" spans="1:27" x14ac:dyDescent="0.25">
      <c r="A29" s="70" t="str">
        <f t="shared" ca="1" si="0"/>
        <v>SOLANO Paul</v>
      </c>
      <c r="B29" s="2" t="str">
        <f ca="1">CELL("contenu",INDIRECT(ADDRESS(ref!$K$3,ref!E28,1,,CELL("contenu",$AC$2))))</f>
        <v>C</v>
      </c>
      <c r="C29" s="3" t="str">
        <f ca="1">CELL("contenu",INDIRECT(ADDRESS(ref!$K$3,ref!F28,1,,CELL("contenu",$AC$2))))</f>
        <v>C</v>
      </c>
      <c r="D29" s="4" t="str">
        <f ca="1">CELL("contenu",INDIRECT(ADDRESS(ref!$K$3,ref!G28,1,,CELL("contenu",$AC$2))))</f>
        <v>C</v>
      </c>
      <c r="E29" s="5" t="str">
        <f ca="1">CELL("contenu",INDIRECT(ADDRESS(ref!$K$3,ref!H28,1,,CELL("contenu",$AC$2))))</f>
        <v>C</v>
      </c>
      <c r="F29" s="6" t="str">
        <f ca="1">CELL("contenu",INDIRECT(ADDRESS(ref!$K$4,ref!E28,1,,CELL("contenu",$AC$2))))</f>
        <v/>
      </c>
      <c r="G29" s="3" t="str">
        <f ca="1">CELL("contenu",INDIRECT(ADDRESS(ref!$K$4,ref!F28,1,,CELL("contenu",$AC$2))))</f>
        <v>B</v>
      </c>
      <c r="H29" s="4" t="str">
        <f ca="1">CELL("contenu",INDIRECT(ADDRESS(ref!$K$4,ref!G28,1,,CELL("contenu",$AC$2))))</f>
        <v>B</v>
      </c>
      <c r="I29" s="5" t="str">
        <f ca="1">CELL("contenu",INDIRECT(ADDRESS(ref!$K$4,ref!H28,1,,CELL("contenu",$AC$2))))</f>
        <v>B</v>
      </c>
      <c r="J29" s="6" t="str">
        <f ca="1">CELL("contenu",INDIRECT(ADDRESS(ref!$K$5,ref!E28,1,,CELL("contenu",$AC$2))))</f>
        <v>B</v>
      </c>
      <c r="K29" s="3" t="str">
        <f ca="1">CELL("contenu",INDIRECT(ADDRESS(ref!$K$5,ref!F28,1,,CELL("contenu",$AC$2))))</f>
        <v>A</v>
      </c>
      <c r="L29" s="4" t="str">
        <f ca="1">CELL("contenu",INDIRECT(ADDRESS(ref!$K$5,ref!G28,1,,CELL("contenu",$AC$2))))</f>
        <v>C</v>
      </c>
      <c r="M29" s="5" t="str">
        <f ca="1">CELL("contenu",INDIRECT(ADDRESS(ref!$K$5,ref!H28,1,,CELL("contenu",$AC$2))))</f>
        <v>B</v>
      </c>
      <c r="N29" s="6" t="str">
        <f ca="1">CELL("contenu",INDIRECT(ADDRESS(ref!$K$6,ref!E28,1,,CELL("contenu",$AC$2))))</f>
        <v>C</v>
      </c>
      <c r="O29" s="3" t="str">
        <f ca="1">CELL("contenu",INDIRECT(ADDRESS(ref!$K$6,ref!F28,1,,CELL("contenu",$AC$2))))</f>
        <v>B</v>
      </c>
      <c r="P29" s="4" t="str">
        <f ca="1">CELL("contenu",INDIRECT(ADDRESS(ref!$K$6,ref!G28,1,,CELL("contenu",$AC$2))))</f>
        <v>C</v>
      </c>
      <c r="Q29" s="5" t="str">
        <f ca="1">CELL("contenu",INDIRECT(ADDRESS(ref!$K$6,ref!H28,1,,CELL("contenu",$AC$2))))</f>
        <v>C</v>
      </c>
      <c r="R29" s="6" t="str">
        <f ca="1">CELL("contenu",INDIRECT(ADDRESS(ref!$K$7,ref!E28,1,,CELL("contenu",$AC$2))))</f>
        <v>D</v>
      </c>
      <c r="S29" s="3" t="str">
        <f ca="1">CELL("contenu",INDIRECT(ADDRESS(ref!$K$7,ref!F28,1,,CELL("contenu",$AC$2))))</f>
        <v/>
      </c>
      <c r="T29" s="4" t="str">
        <f ca="1">CELL("contenu",INDIRECT(ADDRESS(ref!$K$7,ref!G28,1,,CELL("contenu",$AC$2))))</f>
        <v/>
      </c>
      <c r="U29" s="5" t="str">
        <f ca="1">CELL("contenu",INDIRECT(ADDRESS(ref!$K$7,ref!H28,1,,CELL("contenu",$AC$2))))</f>
        <v>D</v>
      </c>
      <c r="V29" s="43">
        <f ca="1">CELL("contenu",INDIRECT(ADDRESS(ref!$K$8,ref!E28,1,,CELL("contenu",$AC$2))))</f>
        <v>11.666666666666668</v>
      </c>
      <c r="W29" s="44">
        <f ca="1">CELL("contenu",INDIRECT(ADDRESS(ref!$K$8,ref!F28,1,,CELL("contenu",$AC$2))))</f>
        <v>14.583333333333332</v>
      </c>
      <c r="X29" s="45">
        <f ca="1">CELL("contenu",INDIRECT(ADDRESS(ref!$K$8,ref!G28,1,,CELL("contenu",$AC$2))))</f>
        <v>13.194444444444445</v>
      </c>
      <c r="Y29" s="7" t="str">
        <f ca="1">CELL("contenu",INDIRECT(ADDRESS(ref!$K$9,ref!H28,1,,CELL("contenu",$AC$2))))</f>
        <v>B</v>
      </c>
      <c r="Z29" s="4" t="str">
        <f ca="1">CELL("contenu",INDIRECT(ADDRESS(ref!$K$10,ref!H28,1,,CELL("contenu",$AC$2))))</f>
        <v/>
      </c>
      <c r="AA29" s="8" t="str">
        <f ca="1">CELL("contenu",INDIRECT(ADDRESS(ref!$K$11,ref!H28,1,,CELL("contenu",$AC$2))))</f>
        <v>B</v>
      </c>
    </row>
    <row r="30" spans="1:27" x14ac:dyDescent="0.25">
      <c r="A30" s="70" t="str">
        <f t="shared" ca="1" si="0"/>
        <v>SONNET Capucine</v>
      </c>
      <c r="B30" s="2" t="str">
        <f ca="1">CELL("contenu",INDIRECT(ADDRESS(ref!$K$3,ref!E29,1,,CELL("contenu",$AC$2))))</f>
        <v>B</v>
      </c>
      <c r="C30" s="3" t="str">
        <f ca="1">CELL("contenu",INDIRECT(ADDRESS(ref!$K$3,ref!F29,1,,CELL("contenu",$AC$2))))</f>
        <v>B</v>
      </c>
      <c r="D30" s="4" t="str">
        <f ca="1">CELL("contenu",INDIRECT(ADDRESS(ref!$K$3,ref!G29,1,,CELL("contenu",$AC$2))))</f>
        <v>B</v>
      </c>
      <c r="E30" s="5" t="str">
        <f ca="1">CELL("contenu",INDIRECT(ADDRESS(ref!$K$3,ref!H29,1,,CELL("contenu",$AC$2))))</f>
        <v>B</v>
      </c>
      <c r="F30" s="6" t="str">
        <f ca="1">CELL("contenu",INDIRECT(ADDRESS(ref!$K$4,ref!E29,1,,CELL("contenu",$AC$2))))</f>
        <v/>
      </c>
      <c r="G30" s="3" t="str">
        <f ca="1">CELL("contenu",INDIRECT(ADDRESS(ref!$K$4,ref!F29,1,,CELL("contenu",$AC$2))))</f>
        <v>B</v>
      </c>
      <c r="H30" s="4" t="str">
        <f ca="1">CELL("contenu",INDIRECT(ADDRESS(ref!$K$4,ref!G29,1,,CELL("contenu",$AC$2))))</f>
        <v>B</v>
      </c>
      <c r="I30" s="5" t="str">
        <f ca="1">CELL("contenu",INDIRECT(ADDRESS(ref!$K$4,ref!H29,1,,CELL("contenu",$AC$2))))</f>
        <v>B</v>
      </c>
      <c r="J30" s="6" t="str">
        <f ca="1">CELL("contenu",INDIRECT(ADDRESS(ref!$K$5,ref!E29,1,,CELL("contenu",$AC$2))))</f>
        <v>A</v>
      </c>
      <c r="K30" s="3" t="str">
        <f ca="1">CELL("contenu",INDIRECT(ADDRESS(ref!$K$5,ref!F29,1,,CELL("contenu",$AC$2))))</f>
        <v>A</v>
      </c>
      <c r="L30" s="4" t="str">
        <f ca="1">CELL("contenu",INDIRECT(ADDRESS(ref!$K$5,ref!G29,1,,CELL("contenu",$AC$2))))</f>
        <v>C</v>
      </c>
      <c r="M30" s="5" t="str">
        <f ca="1">CELL("contenu",INDIRECT(ADDRESS(ref!$K$5,ref!H29,1,,CELL("contenu",$AC$2))))</f>
        <v>B</v>
      </c>
      <c r="N30" s="6" t="str">
        <f ca="1">CELL("contenu",INDIRECT(ADDRESS(ref!$K$6,ref!E29,1,,CELL("contenu",$AC$2))))</f>
        <v>C</v>
      </c>
      <c r="O30" s="3" t="str">
        <f ca="1">CELL("contenu",INDIRECT(ADDRESS(ref!$K$6,ref!F29,1,,CELL("contenu",$AC$2))))</f>
        <v>B</v>
      </c>
      <c r="P30" s="4" t="str">
        <f ca="1">CELL("contenu",INDIRECT(ADDRESS(ref!$K$6,ref!G29,1,,CELL("contenu",$AC$2))))</f>
        <v>B</v>
      </c>
      <c r="Q30" s="5" t="str">
        <f ca="1">CELL("contenu",INDIRECT(ADDRESS(ref!$K$6,ref!H29,1,,CELL("contenu",$AC$2))))</f>
        <v>B</v>
      </c>
      <c r="R30" s="6" t="str">
        <f ca="1">CELL("contenu",INDIRECT(ADDRESS(ref!$K$7,ref!E29,1,,CELL("contenu",$AC$2))))</f>
        <v>D</v>
      </c>
      <c r="S30" s="3" t="str">
        <f ca="1">CELL("contenu",INDIRECT(ADDRESS(ref!$K$7,ref!F29,1,,CELL("contenu",$AC$2))))</f>
        <v/>
      </c>
      <c r="T30" s="4" t="str">
        <f ca="1">CELL("contenu",INDIRECT(ADDRESS(ref!$K$7,ref!G29,1,,CELL("contenu",$AC$2))))</f>
        <v/>
      </c>
      <c r="U30" s="5" t="str">
        <f ca="1">CELL("contenu",INDIRECT(ADDRESS(ref!$K$7,ref!H29,1,,CELL("contenu",$AC$2))))</f>
        <v>D</v>
      </c>
      <c r="V30" s="43">
        <f ca="1">CELL("contenu",INDIRECT(ADDRESS(ref!$K$8,ref!E29,1,,CELL("contenu",$AC$2))))</f>
        <v>13.333333333333332</v>
      </c>
      <c r="W30" s="44">
        <f ca="1">CELL("contenu",INDIRECT(ADDRESS(ref!$K$8,ref!F29,1,,CELL("contenu",$AC$2))))</f>
        <v>16.666666666666668</v>
      </c>
      <c r="X30" s="45">
        <f ca="1">CELL("contenu",INDIRECT(ADDRESS(ref!$K$8,ref!G29,1,,CELL("contenu",$AC$2))))</f>
        <v>15.416666666666668</v>
      </c>
      <c r="Y30" s="7" t="str">
        <f ca="1">CELL("contenu",INDIRECT(ADDRESS(ref!$K$9,ref!H29,1,,CELL("contenu",$AC$2))))</f>
        <v>B</v>
      </c>
      <c r="Z30" s="4" t="str">
        <f ca="1">CELL("contenu",INDIRECT(ADDRESS(ref!$K$10,ref!H29,1,,CELL("contenu",$AC$2))))</f>
        <v/>
      </c>
      <c r="AA30" s="8" t="str">
        <f ca="1">CELL("contenu",INDIRECT(ADDRESS(ref!$K$11,ref!H29,1,,CELL("contenu",$AC$2))))</f>
        <v>B</v>
      </c>
    </row>
    <row r="31" spans="1:27" x14ac:dyDescent="0.25">
      <c r="A31" s="70" t="str">
        <f t="shared" ca="1" si="0"/>
        <v>SOUEF Clementine</v>
      </c>
      <c r="B31" s="2" t="str">
        <f ca="1">CELL("contenu",INDIRECT(ADDRESS(ref!$K$3,ref!E30,1,,CELL("contenu",$AC$2))))</f>
        <v>C</v>
      </c>
      <c r="C31" s="3" t="str">
        <f ca="1">CELL("contenu",INDIRECT(ADDRESS(ref!$K$3,ref!F30,1,,CELL("contenu",$AC$2))))</f>
        <v>B</v>
      </c>
      <c r="D31" s="4" t="str">
        <f ca="1">CELL("contenu",INDIRECT(ADDRESS(ref!$K$3,ref!G30,1,,CELL("contenu",$AC$2))))</f>
        <v>C</v>
      </c>
      <c r="E31" s="5" t="str">
        <f ca="1">CELL("contenu",INDIRECT(ADDRESS(ref!$K$3,ref!H30,1,,CELL("contenu",$AC$2))))</f>
        <v>C</v>
      </c>
      <c r="F31" s="6" t="str">
        <f ca="1">CELL("contenu",INDIRECT(ADDRESS(ref!$K$4,ref!E30,1,,CELL("contenu",$AC$2))))</f>
        <v/>
      </c>
      <c r="G31" s="3" t="str">
        <f ca="1">CELL("contenu",INDIRECT(ADDRESS(ref!$K$4,ref!F30,1,,CELL("contenu",$AC$2))))</f>
        <v>A</v>
      </c>
      <c r="H31" s="4" t="str">
        <f ca="1">CELL("contenu",INDIRECT(ADDRESS(ref!$K$4,ref!G30,1,,CELL("contenu",$AC$2))))</f>
        <v>B</v>
      </c>
      <c r="I31" s="5" t="str">
        <f ca="1">CELL("contenu",INDIRECT(ADDRESS(ref!$K$4,ref!H30,1,,CELL("contenu",$AC$2))))</f>
        <v>A</v>
      </c>
      <c r="J31" s="6" t="str">
        <f ca="1">CELL("contenu",INDIRECT(ADDRESS(ref!$K$5,ref!E30,1,,CELL("contenu",$AC$2))))</f>
        <v>A</v>
      </c>
      <c r="K31" s="3" t="str">
        <f ca="1">CELL("contenu",INDIRECT(ADDRESS(ref!$K$5,ref!F30,1,,CELL("contenu",$AC$2))))</f>
        <v>A</v>
      </c>
      <c r="L31" s="4" t="str">
        <f ca="1">CELL("contenu",INDIRECT(ADDRESS(ref!$K$5,ref!G30,1,,CELL("contenu",$AC$2))))</f>
        <v>C</v>
      </c>
      <c r="M31" s="5" t="str">
        <f ca="1">CELL("contenu",INDIRECT(ADDRESS(ref!$K$5,ref!H30,1,,CELL("contenu",$AC$2))))</f>
        <v>B</v>
      </c>
      <c r="N31" s="6" t="str">
        <f ca="1">CELL("contenu",INDIRECT(ADDRESS(ref!$K$6,ref!E30,1,,CELL("contenu",$AC$2))))</f>
        <v>C</v>
      </c>
      <c r="O31" s="3" t="str">
        <f ca="1">CELL("contenu",INDIRECT(ADDRESS(ref!$K$6,ref!F30,1,,CELL("contenu",$AC$2))))</f>
        <v>C</v>
      </c>
      <c r="P31" s="4" t="str">
        <f ca="1">CELL("contenu",INDIRECT(ADDRESS(ref!$K$6,ref!G30,1,,CELL("contenu",$AC$2))))</f>
        <v>C</v>
      </c>
      <c r="Q31" s="5" t="str">
        <f ca="1">CELL("contenu",INDIRECT(ADDRESS(ref!$K$6,ref!H30,1,,CELL("contenu",$AC$2))))</f>
        <v>C</v>
      </c>
      <c r="R31" s="6" t="str">
        <f ca="1">CELL("contenu",INDIRECT(ADDRESS(ref!$K$7,ref!E30,1,,CELL("contenu",$AC$2))))</f>
        <v>B</v>
      </c>
      <c r="S31" s="3" t="str">
        <f ca="1">CELL("contenu",INDIRECT(ADDRESS(ref!$K$7,ref!F30,1,,CELL("contenu",$AC$2))))</f>
        <v/>
      </c>
      <c r="T31" s="4" t="str">
        <f ca="1">CELL("contenu",INDIRECT(ADDRESS(ref!$K$7,ref!G30,1,,CELL("contenu",$AC$2))))</f>
        <v/>
      </c>
      <c r="U31" s="5" t="str">
        <f ca="1">CELL("contenu",INDIRECT(ADDRESS(ref!$K$7,ref!H30,1,,CELL("contenu",$AC$2))))</f>
        <v>B</v>
      </c>
      <c r="V31" s="43">
        <f ca="1">CELL("contenu",INDIRECT(ADDRESS(ref!$K$8,ref!E30,1,,CELL("contenu",$AC$2))))</f>
        <v>12.916666666666668</v>
      </c>
      <c r="W31" s="44">
        <f ca="1">CELL("contenu",INDIRECT(ADDRESS(ref!$K$8,ref!F30,1,,CELL("contenu",$AC$2))))</f>
        <v>15</v>
      </c>
      <c r="X31" s="45">
        <f ca="1">CELL("contenu",INDIRECT(ADDRESS(ref!$K$8,ref!G30,1,,CELL("contenu",$AC$2))))</f>
        <v>13.37962962962963</v>
      </c>
      <c r="Y31" s="7" t="str">
        <f ca="1">CELL("contenu",INDIRECT(ADDRESS(ref!$K$9,ref!H30,1,,CELL("contenu",$AC$2))))</f>
        <v>A</v>
      </c>
      <c r="Z31" s="4" t="str">
        <f ca="1">CELL("contenu",INDIRECT(ADDRESS(ref!$K$10,ref!H30,1,,CELL("contenu",$AC$2))))</f>
        <v/>
      </c>
      <c r="AA31" s="8" t="str">
        <f ca="1">CELL("contenu",INDIRECT(ADDRESS(ref!$K$11,ref!H30,1,,CELL("contenu",$AC$2))))</f>
        <v>B</v>
      </c>
    </row>
  </sheetData>
  <sheetProtection algorithmName="SHA-512" hashValue="PBVr3s4/4prkQSpSdaC2GadeifM9pxIU1x9wgCRsU6Xs8V5yOnJB40N4ssOtEY8FpvOkHm+V6uY5dRiBzu1W/Q==" saltValue="BsdFWPPpesEfxbCxd4EnCA==" spinCount="100000" sheet="1" deleteColumns="0" select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TT24"/>
  <sheetViews>
    <sheetView zoomScale="70" zoomScaleNormal="70" workbookViewId="0">
      <pane xSplit="2" topLeftCell="RA1" activePane="topRight" state="frozen"/>
      <selection activeCell="Y3" sqref="Y3:AA3"/>
      <selection pane="topRight" activeCell="HF12" sqref="HF12"/>
    </sheetView>
  </sheetViews>
  <sheetFormatPr baseColWidth="10" defaultColWidth="5.7109375" defaultRowHeight="15" x14ac:dyDescent="0.25"/>
  <cols>
    <col min="1" max="1" width="17.7109375" style="167" customWidth="1"/>
    <col min="2" max="2" width="13.7109375" style="167" customWidth="1"/>
    <col min="3" max="5" width="4.7109375" style="158" customWidth="1"/>
    <col min="6" max="6" width="4.7109375" style="190" customWidth="1"/>
    <col min="7" max="7" width="8.7109375" style="191" customWidth="1"/>
    <col min="8" max="10" width="4.7109375" style="157" customWidth="1"/>
    <col min="11" max="11" width="4.7109375" style="191" customWidth="1"/>
    <col min="12" max="12" width="8.7109375" style="191" customWidth="1"/>
    <col min="13" max="16" width="4.7109375" style="157" customWidth="1"/>
    <col min="17" max="17" width="4.7109375" style="191" customWidth="1"/>
    <col min="18" max="18" width="8.7109375" style="191" customWidth="1"/>
    <col min="19" max="19" width="4.7109375" style="191" customWidth="1"/>
    <col min="20" max="20" width="8.7109375" style="191" customWidth="1"/>
    <col min="21" max="23" width="4.7109375" style="158" customWidth="1"/>
    <col min="24" max="24" width="4.7109375" style="190" customWidth="1"/>
    <col min="25" max="25" width="8.7109375" style="191" customWidth="1"/>
    <col min="26" max="28" width="4.7109375" style="157" customWidth="1"/>
    <col min="29" max="29" width="4.7109375" style="191" customWidth="1"/>
    <col min="30" max="30" width="8.7109375" style="191" customWidth="1"/>
    <col min="31" max="34" width="4.7109375" style="157" customWidth="1"/>
    <col min="35" max="35" width="4.7109375" style="191" customWidth="1"/>
    <col min="36" max="36" width="8.7109375" style="191" customWidth="1"/>
    <col min="37" max="37" width="4.7109375" style="191" customWidth="1"/>
    <col min="38" max="38" width="8.7109375" style="191" customWidth="1"/>
    <col min="39" max="42" width="4.7109375" style="158" customWidth="1"/>
    <col min="43" max="43" width="8.7109375" style="156" customWidth="1"/>
    <col min="44" max="46" width="4.7109375" style="157" customWidth="1"/>
    <col min="47" max="47" width="4.7109375" style="156" customWidth="1"/>
    <col min="48" max="48" width="8.7109375" style="156" customWidth="1"/>
    <col min="49" max="52" width="4.7109375" style="157" customWidth="1"/>
    <col min="53" max="53" width="4.7109375" style="156" customWidth="1"/>
    <col min="54" max="54" width="8.7109375" style="156" customWidth="1"/>
    <col min="55" max="55" width="4.7109375" style="156" customWidth="1"/>
    <col min="56" max="56" width="8.7109375" style="156" customWidth="1"/>
    <col min="57" max="60" width="4.7109375" style="158" customWidth="1"/>
    <col min="61" max="61" width="8.7109375" style="156" customWidth="1"/>
    <col min="62" max="64" width="4.7109375" style="157" customWidth="1"/>
    <col min="65" max="65" width="4.7109375" style="156" customWidth="1"/>
    <col min="66" max="66" width="8.7109375" style="156" customWidth="1"/>
    <col min="67" max="70" width="4.7109375" style="157" customWidth="1"/>
    <col min="71" max="71" width="4.7109375" style="156" customWidth="1"/>
    <col min="72" max="72" width="8.7109375" style="156" customWidth="1"/>
    <col min="73" max="73" width="4.7109375" style="156" customWidth="1"/>
    <col min="74" max="74" width="8.7109375" style="156" customWidth="1"/>
    <col min="75" max="78" width="4.7109375" style="158" customWidth="1"/>
    <col min="79" max="79" width="8.7109375" style="156" customWidth="1"/>
    <col min="80" max="82" width="4.7109375" style="157" customWidth="1"/>
    <col min="83" max="83" width="4.7109375" style="156" customWidth="1"/>
    <col min="84" max="84" width="8.7109375" style="156" customWidth="1"/>
    <col min="85" max="88" width="4.7109375" style="157" customWidth="1"/>
    <col min="89" max="89" width="4.7109375" style="156" customWidth="1"/>
    <col min="90" max="90" width="8.7109375" style="156" customWidth="1"/>
    <col min="91" max="91" width="4.7109375" style="156" customWidth="1"/>
    <col min="92" max="92" width="8.7109375" style="156" customWidth="1"/>
    <col min="93" max="96" width="4.7109375" style="158" customWidth="1"/>
    <col min="97" max="97" width="8.7109375" style="156" customWidth="1"/>
    <col min="98" max="100" width="4.7109375" style="157" customWidth="1"/>
    <col min="101" max="101" width="4.7109375" style="156" customWidth="1"/>
    <col min="102" max="102" width="8.7109375" style="156" customWidth="1"/>
    <col min="103" max="106" width="4.7109375" style="157" customWidth="1"/>
    <col min="107" max="107" width="4.7109375" style="156" customWidth="1"/>
    <col min="108" max="108" width="8.7109375" style="156" customWidth="1"/>
    <col min="109" max="109" width="4.7109375" style="156" customWidth="1"/>
    <col min="110" max="110" width="8.7109375" style="156" customWidth="1"/>
    <col min="111" max="114" width="4.7109375" style="158" customWidth="1"/>
    <col min="115" max="115" width="8.7109375" style="156" customWidth="1"/>
    <col min="116" max="118" width="4.7109375" style="157" customWidth="1"/>
    <col min="119" max="119" width="4.7109375" style="156" customWidth="1"/>
    <col min="120" max="120" width="8.7109375" style="156" customWidth="1"/>
    <col min="121" max="124" width="4.7109375" style="157" customWidth="1"/>
    <col min="125" max="125" width="4.7109375" style="156" customWidth="1"/>
    <col min="126" max="126" width="8.7109375" style="156" customWidth="1"/>
    <col min="127" max="127" width="4.7109375" style="156" customWidth="1"/>
    <col min="128" max="128" width="8.7109375" style="156" customWidth="1"/>
    <col min="129" max="132" width="4.7109375" style="158" customWidth="1"/>
    <col min="133" max="133" width="8.7109375" style="156" customWidth="1"/>
    <col min="134" max="136" width="4.7109375" style="157" customWidth="1"/>
    <col min="137" max="137" width="4.7109375" style="156" customWidth="1"/>
    <col min="138" max="138" width="8.7109375" style="156" customWidth="1"/>
    <col min="139" max="142" width="4.7109375" style="157" customWidth="1"/>
    <col min="143" max="143" width="4.7109375" style="156" customWidth="1"/>
    <col min="144" max="144" width="8.7109375" style="156" customWidth="1"/>
    <col min="145" max="145" width="4.7109375" style="156" customWidth="1"/>
    <col min="146" max="146" width="8.7109375" style="156" customWidth="1"/>
    <col min="147" max="150" width="4.7109375" style="158" customWidth="1"/>
    <col min="151" max="151" width="8.7109375" style="156" customWidth="1"/>
    <col min="152" max="154" width="4.7109375" style="157" customWidth="1"/>
    <col min="155" max="155" width="4.7109375" style="156" customWidth="1"/>
    <col min="156" max="156" width="8.7109375" style="156" customWidth="1"/>
    <col min="157" max="160" width="4.7109375" style="157" customWidth="1"/>
    <col min="161" max="161" width="4.7109375" style="156" customWidth="1"/>
    <col min="162" max="162" width="8.7109375" style="156" customWidth="1"/>
    <col min="163" max="163" width="4.7109375" style="156" customWidth="1"/>
    <col min="164" max="164" width="8.7109375" style="156" customWidth="1"/>
    <col min="165" max="168" width="4.7109375" style="158" customWidth="1"/>
    <col min="169" max="169" width="8.7109375" style="156" customWidth="1"/>
    <col min="170" max="172" width="4.7109375" style="157" customWidth="1"/>
    <col min="173" max="173" width="4.7109375" style="156" customWidth="1"/>
    <col min="174" max="174" width="8.7109375" style="156" customWidth="1"/>
    <col min="175" max="178" width="4.7109375" style="157" customWidth="1"/>
    <col min="179" max="179" width="4.7109375" style="156" customWidth="1"/>
    <col min="180" max="180" width="8.7109375" style="156" customWidth="1"/>
    <col min="181" max="181" width="4.7109375" style="156" customWidth="1"/>
    <col min="182" max="182" width="8.7109375" style="156" customWidth="1"/>
    <col min="183" max="186" width="4.7109375" style="158" customWidth="1"/>
    <col min="187" max="187" width="8.7109375" style="156" customWidth="1"/>
    <col min="188" max="190" width="4.7109375" style="157" customWidth="1"/>
    <col min="191" max="191" width="4.7109375" style="156" customWidth="1"/>
    <col min="192" max="192" width="8.7109375" style="156" customWidth="1"/>
    <col min="193" max="196" width="4.7109375" style="157" customWidth="1"/>
    <col min="197" max="197" width="4.7109375" style="156" customWidth="1"/>
    <col min="198" max="198" width="8.7109375" style="156" customWidth="1"/>
    <col min="199" max="199" width="4.7109375" style="156" customWidth="1"/>
    <col min="200" max="200" width="8.7109375" style="156" customWidth="1"/>
    <col min="201" max="204" width="4.7109375" style="158" customWidth="1"/>
    <col min="205" max="205" width="8.7109375" style="156" customWidth="1"/>
    <col min="206" max="208" width="4.7109375" style="157" customWidth="1"/>
    <col min="209" max="209" width="4.7109375" style="156" customWidth="1"/>
    <col min="210" max="210" width="8.7109375" style="156" customWidth="1"/>
    <col min="211" max="214" width="4.7109375" style="157" customWidth="1"/>
    <col min="215" max="215" width="4.7109375" style="156" customWidth="1"/>
    <col min="216" max="216" width="8.7109375" style="156" customWidth="1"/>
    <col min="217" max="217" width="4.7109375" style="156" customWidth="1"/>
    <col min="218" max="218" width="8.7109375" style="156" customWidth="1"/>
    <col min="219" max="222" width="4.7109375" style="158" customWidth="1"/>
    <col min="223" max="223" width="8.7109375" style="156" customWidth="1"/>
    <col min="224" max="226" width="4.7109375" style="157" customWidth="1"/>
    <col min="227" max="227" width="4.7109375" style="156" customWidth="1"/>
    <col min="228" max="228" width="8.7109375" style="156" customWidth="1"/>
    <col min="229" max="232" width="4.7109375" style="157" customWidth="1"/>
    <col min="233" max="233" width="4.7109375" style="156" customWidth="1"/>
    <col min="234" max="234" width="8.7109375" style="156" customWidth="1"/>
    <col min="235" max="235" width="4.7109375" style="156" customWidth="1"/>
    <col min="236" max="236" width="8.7109375" style="156" customWidth="1"/>
    <col min="237" max="240" width="4.7109375" style="158" customWidth="1"/>
    <col min="241" max="241" width="8.7109375" style="156" customWidth="1"/>
    <col min="242" max="244" width="4.7109375" style="157" customWidth="1"/>
    <col min="245" max="245" width="4.7109375" style="156" customWidth="1"/>
    <col min="246" max="246" width="8.7109375" style="156" customWidth="1"/>
    <col min="247" max="250" width="4.7109375" style="157" customWidth="1"/>
    <col min="251" max="251" width="4.7109375" style="156" customWidth="1"/>
    <col min="252" max="252" width="8.7109375" style="156" customWidth="1"/>
    <col min="253" max="253" width="4.7109375" style="156" customWidth="1"/>
    <col min="254" max="254" width="8.7109375" style="156" customWidth="1"/>
    <col min="255" max="258" width="4.7109375" style="158" customWidth="1"/>
    <col min="259" max="259" width="8.7109375" style="156" customWidth="1"/>
    <col min="260" max="262" width="4.7109375" style="157" customWidth="1"/>
    <col min="263" max="263" width="4.7109375" style="156" customWidth="1"/>
    <col min="264" max="264" width="8.7109375" style="156" customWidth="1"/>
    <col min="265" max="268" width="4.7109375" style="157" customWidth="1"/>
    <col min="269" max="269" width="4.7109375" style="156" customWidth="1"/>
    <col min="270" max="270" width="8.7109375" style="156" customWidth="1"/>
    <col min="271" max="271" width="4.7109375" style="156" customWidth="1"/>
    <col min="272" max="272" width="8.7109375" style="156" customWidth="1"/>
    <col min="273" max="276" width="4.7109375" style="158" customWidth="1"/>
    <col min="277" max="277" width="8.7109375" style="156" customWidth="1"/>
    <col min="278" max="280" width="4.7109375" style="157" customWidth="1"/>
    <col min="281" max="281" width="4.7109375" style="156" customWidth="1"/>
    <col min="282" max="282" width="8.7109375" style="156" customWidth="1"/>
    <col min="283" max="286" width="4.7109375" style="157" customWidth="1"/>
    <col min="287" max="287" width="4.7109375" style="156" customWidth="1"/>
    <col min="288" max="288" width="8.7109375" style="156" customWidth="1"/>
    <col min="289" max="289" width="4.7109375" style="156" customWidth="1"/>
    <col min="290" max="290" width="8.7109375" style="156" customWidth="1"/>
    <col min="291" max="294" width="4.7109375" style="158" customWidth="1"/>
    <col min="295" max="295" width="8.7109375" style="156" customWidth="1"/>
    <col min="296" max="298" width="4.7109375" style="157" customWidth="1"/>
    <col min="299" max="299" width="4.7109375" style="156" customWidth="1"/>
    <col min="300" max="300" width="8.7109375" style="156" customWidth="1"/>
    <col min="301" max="304" width="4.7109375" style="157" customWidth="1"/>
    <col min="305" max="305" width="4.7109375" style="156" customWidth="1"/>
    <col min="306" max="306" width="8.7109375" style="156" customWidth="1"/>
    <col min="307" max="307" width="4.7109375" style="156" customWidth="1"/>
    <col min="308" max="308" width="8.7109375" style="156" customWidth="1"/>
    <col min="309" max="312" width="4.7109375" style="158" customWidth="1"/>
    <col min="313" max="313" width="8.7109375" style="156" customWidth="1"/>
    <col min="314" max="316" width="4.7109375" style="157" customWidth="1"/>
    <col min="317" max="317" width="4.7109375" style="156" customWidth="1"/>
    <col min="318" max="318" width="8.7109375" style="156" customWidth="1"/>
    <col min="319" max="322" width="4.7109375" style="157" customWidth="1"/>
    <col min="323" max="323" width="4.7109375" style="156" customWidth="1"/>
    <col min="324" max="324" width="8.7109375" style="156" customWidth="1"/>
    <col min="325" max="325" width="4.7109375" style="156" customWidth="1"/>
    <col min="326" max="326" width="8.7109375" style="156" customWidth="1"/>
    <col min="327" max="330" width="4.7109375" style="158" customWidth="1"/>
    <col min="331" max="331" width="8.7109375" style="156" customWidth="1"/>
    <col min="332" max="334" width="4.7109375" style="157" customWidth="1"/>
    <col min="335" max="335" width="4.7109375" style="156" customWidth="1"/>
    <col min="336" max="336" width="8.7109375" style="156" customWidth="1"/>
    <col min="337" max="340" width="4.7109375" style="157" customWidth="1"/>
    <col min="341" max="341" width="4.7109375" style="156" customWidth="1"/>
    <col min="342" max="342" width="8.7109375" style="156" customWidth="1"/>
    <col min="343" max="343" width="4.7109375" style="156" customWidth="1"/>
    <col min="344" max="344" width="8.7109375" style="156" customWidth="1"/>
    <col min="345" max="348" width="4.7109375" style="158" customWidth="1"/>
    <col min="349" max="349" width="8.7109375" style="156" customWidth="1"/>
    <col min="350" max="352" width="4.7109375" style="157" customWidth="1"/>
    <col min="353" max="353" width="4.7109375" style="156" customWidth="1"/>
    <col min="354" max="354" width="8.7109375" style="156" customWidth="1"/>
    <col min="355" max="358" width="4.7109375" style="157" customWidth="1"/>
    <col min="359" max="359" width="4.7109375" style="156" customWidth="1"/>
    <col min="360" max="360" width="8.7109375" style="156" customWidth="1"/>
    <col min="361" max="361" width="4.7109375" style="156" customWidth="1"/>
    <col min="362" max="362" width="8.7109375" style="156" customWidth="1"/>
    <col min="363" max="366" width="4.7109375" style="158" customWidth="1"/>
    <col min="367" max="367" width="8.7109375" style="156" customWidth="1"/>
    <col min="368" max="370" width="4.7109375" style="157" customWidth="1"/>
    <col min="371" max="371" width="4.7109375" style="156" customWidth="1"/>
    <col min="372" max="372" width="8.7109375" style="156" customWidth="1"/>
    <col min="373" max="376" width="4.7109375" style="157" customWidth="1"/>
    <col min="377" max="377" width="4.7109375" style="156" customWidth="1"/>
    <col min="378" max="378" width="8.7109375" style="156" customWidth="1"/>
    <col min="379" max="379" width="4.7109375" style="156" customWidth="1"/>
    <col min="380" max="380" width="8.7109375" style="156" customWidth="1"/>
    <col min="381" max="384" width="4.7109375" style="158" customWidth="1"/>
    <col min="385" max="385" width="8.7109375" style="156" customWidth="1"/>
    <col min="386" max="388" width="4.7109375" style="157" customWidth="1"/>
    <col min="389" max="389" width="4.7109375" style="156" customWidth="1"/>
    <col min="390" max="390" width="8.7109375" style="156" customWidth="1"/>
    <col min="391" max="394" width="4.7109375" style="157" customWidth="1"/>
    <col min="395" max="395" width="4.7109375" style="156" customWidth="1"/>
    <col min="396" max="396" width="8.7109375" style="156" customWidth="1"/>
    <col min="397" max="397" width="4.7109375" style="156" customWidth="1"/>
    <col min="398" max="398" width="8.7109375" style="156" customWidth="1"/>
    <col min="399" max="402" width="4.7109375" style="158" customWidth="1"/>
    <col min="403" max="403" width="8.7109375" style="156" customWidth="1"/>
    <col min="404" max="406" width="4.7109375" style="157" customWidth="1"/>
    <col min="407" max="407" width="4.7109375" style="156" customWidth="1"/>
    <col min="408" max="408" width="8.7109375" style="156" customWidth="1"/>
    <col min="409" max="412" width="4.7109375" style="157" customWidth="1"/>
    <col min="413" max="413" width="4.7109375" style="156" customWidth="1"/>
    <col min="414" max="414" width="8.7109375" style="156" customWidth="1"/>
    <col min="415" max="415" width="4.7109375" style="156" customWidth="1"/>
    <col min="416" max="416" width="8.7109375" style="156" customWidth="1"/>
    <col min="417" max="420" width="4.7109375" style="158" customWidth="1"/>
    <col min="421" max="421" width="8.7109375" style="156" customWidth="1"/>
    <col min="422" max="424" width="4.7109375" style="157" customWidth="1"/>
    <col min="425" max="425" width="4.7109375" style="156" customWidth="1"/>
    <col min="426" max="426" width="8.7109375" style="156" customWidth="1"/>
    <col min="427" max="430" width="4.7109375" style="157" customWidth="1"/>
    <col min="431" max="431" width="4.7109375" style="156" customWidth="1"/>
    <col min="432" max="432" width="8.7109375" style="156" customWidth="1"/>
    <col min="433" max="433" width="4.7109375" style="156" customWidth="1"/>
    <col min="434" max="434" width="8.7109375" style="156" customWidth="1"/>
    <col min="435" max="438" width="4.7109375" style="158" customWidth="1"/>
    <col min="439" max="439" width="8.7109375" style="156" customWidth="1"/>
    <col min="440" max="442" width="4.7109375" style="157" customWidth="1"/>
    <col min="443" max="443" width="4.7109375" style="156" customWidth="1"/>
    <col min="444" max="444" width="8.7109375" style="156" customWidth="1"/>
    <col min="445" max="448" width="4.7109375" style="157" customWidth="1"/>
    <col min="449" max="449" width="4.7109375" style="156" customWidth="1"/>
    <col min="450" max="450" width="8.7109375" style="156" customWidth="1"/>
    <col min="451" max="451" width="4.7109375" style="156" customWidth="1"/>
    <col min="452" max="452" width="8.7109375" style="156" customWidth="1"/>
    <col min="453" max="456" width="4.7109375" style="158" customWidth="1"/>
    <col min="457" max="457" width="8.7109375" style="156" customWidth="1"/>
    <col min="458" max="460" width="4.7109375" style="157" customWidth="1"/>
    <col min="461" max="461" width="4.7109375" style="156" customWidth="1"/>
    <col min="462" max="462" width="8.7109375" style="156" customWidth="1"/>
    <col min="463" max="466" width="4.7109375" style="157" customWidth="1"/>
    <col min="467" max="467" width="4.7109375" style="156" customWidth="1"/>
    <col min="468" max="468" width="8.7109375" style="156" customWidth="1"/>
    <col min="469" max="469" width="4.7109375" style="156" customWidth="1"/>
    <col min="470" max="470" width="8.7109375" style="156" customWidth="1"/>
    <col min="471" max="474" width="4.7109375" style="158" customWidth="1"/>
    <col min="475" max="475" width="8.7109375" style="156" customWidth="1"/>
    <col min="476" max="478" width="4.7109375" style="157" customWidth="1"/>
    <col min="479" max="479" width="4.7109375" style="156" customWidth="1"/>
    <col min="480" max="480" width="8.7109375" style="156" customWidth="1"/>
    <col min="481" max="484" width="4.7109375" style="157" customWidth="1"/>
    <col min="485" max="485" width="4.7109375" style="156" customWidth="1"/>
    <col min="486" max="486" width="8.7109375" style="156" customWidth="1"/>
    <col min="487" max="487" width="4.7109375" style="156" customWidth="1"/>
    <col min="488" max="488" width="8.7109375" style="156" customWidth="1"/>
    <col min="489" max="492" width="4.7109375" style="158" customWidth="1"/>
    <col min="493" max="493" width="8.7109375" style="156" customWidth="1"/>
    <col min="494" max="496" width="4.7109375" style="157" customWidth="1"/>
    <col min="497" max="497" width="4.7109375" style="156" customWidth="1"/>
    <col min="498" max="498" width="8.7109375" style="156" customWidth="1"/>
    <col min="499" max="502" width="4.7109375" style="157" customWidth="1"/>
    <col min="503" max="503" width="4.7109375" style="156" customWidth="1"/>
    <col min="504" max="504" width="8.7109375" style="156" customWidth="1"/>
    <col min="505" max="505" width="4.7109375" style="156" customWidth="1"/>
    <col min="506" max="506" width="8.7109375" style="156" customWidth="1"/>
    <col min="507" max="510" width="4.7109375" style="158" customWidth="1"/>
    <col min="511" max="511" width="8.7109375" style="156" customWidth="1"/>
    <col min="512" max="514" width="4.7109375" style="157" customWidth="1"/>
    <col min="515" max="515" width="4.7109375" style="156" customWidth="1"/>
    <col min="516" max="516" width="8.7109375" style="156" customWidth="1"/>
    <col min="517" max="519" width="4.7109375" style="157" customWidth="1"/>
    <col min="520" max="520" width="4.7109375" style="156" customWidth="1"/>
    <col min="521" max="521" width="8.7109375" style="156" customWidth="1"/>
    <col min="522" max="522" width="4.7109375" style="156" customWidth="1"/>
    <col min="523" max="523" width="8.7109375" style="156" customWidth="1"/>
    <col min="524" max="527" width="4.7109375" style="158" customWidth="1"/>
    <col min="528" max="528" width="8.7109375" style="156" customWidth="1"/>
    <col min="529" max="531" width="4.7109375" style="157" customWidth="1"/>
    <col min="532" max="532" width="4.7109375" style="156" customWidth="1"/>
    <col min="533" max="533" width="8.7109375" style="156" customWidth="1"/>
    <col min="534" max="536" width="4.7109375" style="157" customWidth="1"/>
    <col min="537" max="537" width="4.7109375" style="156" customWidth="1"/>
    <col min="538" max="538" width="8.7109375" style="156" customWidth="1"/>
    <col min="539" max="539" width="4.7109375" style="156" customWidth="1"/>
    <col min="540" max="540" width="8.7109375" style="156" customWidth="1"/>
    <col min="541" max="16384" width="5.7109375" style="83"/>
  </cols>
  <sheetData>
    <row r="1" spans="1:540" ht="18" customHeight="1" thickBot="1" x14ac:dyDescent="0.3">
      <c r="A1" s="232" t="s">
        <v>41</v>
      </c>
      <c r="B1" s="233"/>
      <c r="C1" s="169">
        <v>4</v>
      </c>
      <c r="D1" s="79"/>
      <c r="E1" s="79"/>
      <c r="F1" s="174"/>
      <c r="G1" s="175"/>
      <c r="H1" s="173"/>
      <c r="I1" s="81"/>
      <c r="J1" s="81"/>
      <c r="K1" s="175"/>
      <c r="L1" s="175"/>
      <c r="M1" s="173"/>
      <c r="N1" s="81"/>
      <c r="O1" s="81"/>
      <c r="P1" s="81"/>
      <c r="Q1" s="175"/>
      <c r="R1" s="175"/>
      <c r="S1" s="175"/>
      <c r="T1" s="196"/>
      <c r="U1" s="213">
        <f>C1+1</f>
        <v>5</v>
      </c>
      <c r="V1" s="79"/>
      <c r="W1" s="79"/>
      <c r="X1" s="174"/>
      <c r="Y1" s="175"/>
      <c r="Z1" s="173"/>
      <c r="AA1" s="81"/>
      <c r="AB1" s="81"/>
      <c r="AC1" s="175"/>
      <c r="AD1" s="175"/>
      <c r="AE1" s="173"/>
      <c r="AF1" s="81"/>
      <c r="AG1" s="81"/>
      <c r="AH1" s="81"/>
      <c r="AI1" s="175"/>
      <c r="AJ1" s="175"/>
      <c r="AK1" s="175"/>
      <c r="AL1" s="175"/>
      <c r="AM1" s="213">
        <f>U1+1</f>
        <v>6</v>
      </c>
      <c r="AN1" s="79"/>
      <c r="AO1" s="79"/>
      <c r="AP1" s="174"/>
      <c r="AQ1" s="175"/>
      <c r="AR1" s="173"/>
      <c r="AS1" s="81"/>
      <c r="AT1" s="81"/>
      <c r="AU1" s="175"/>
      <c r="AV1" s="175"/>
      <c r="AW1" s="173"/>
      <c r="AX1" s="81"/>
      <c r="AY1" s="81"/>
      <c r="AZ1" s="81"/>
      <c r="BA1" s="175"/>
      <c r="BB1" s="175"/>
      <c r="BC1" s="175"/>
      <c r="BD1" s="175"/>
      <c r="BE1" s="213">
        <f>AM1+1</f>
        <v>7</v>
      </c>
      <c r="BF1" s="79"/>
      <c r="BG1" s="79"/>
      <c r="BH1" s="174"/>
      <c r="BI1" s="175"/>
      <c r="BJ1" s="173"/>
      <c r="BK1" s="81"/>
      <c r="BL1" s="81"/>
      <c r="BM1" s="175"/>
      <c r="BN1" s="175"/>
      <c r="BO1" s="173"/>
      <c r="BP1" s="81"/>
      <c r="BQ1" s="81"/>
      <c r="BR1" s="81"/>
      <c r="BS1" s="175"/>
      <c r="BT1" s="175"/>
      <c r="BU1" s="175"/>
      <c r="BV1" s="175"/>
      <c r="BW1" s="213">
        <f>BE1+1</f>
        <v>8</v>
      </c>
      <c r="BX1" s="79"/>
      <c r="BY1" s="79"/>
      <c r="BZ1" s="174"/>
      <c r="CA1" s="175"/>
      <c r="CB1" s="173"/>
      <c r="CC1" s="81"/>
      <c r="CD1" s="81"/>
      <c r="CE1" s="175"/>
      <c r="CF1" s="175"/>
      <c r="CG1" s="173"/>
      <c r="CH1" s="81"/>
      <c r="CI1" s="81"/>
      <c r="CJ1" s="81"/>
      <c r="CK1" s="175"/>
      <c r="CL1" s="175"/>
      <c r="CM1" s="175"/>
      <c r="CN1" s="175"/>
      <c r="CO1" s="213">
        <f>BW1+1</f>
        <v>9</v>
      </c>
      <c r="CP1" s="79"/>
      <c r="CQ1" s="79"/>
      <c r="CR1" s="174"/>
      <c r="CS1" s="175"/>
      <c r="CT1" s="173"/>
      <c r="CU1" s="81"/>
      <c r="CV1" s="81"/>
      <c r="CW1" s="175"/>
      <c r="CX1" s="175"/>
      <c r="CY1" s="173"/>
      <c r="CZ1" s="81"/>
      <c r="DA1" s="81"/>
      <c r="DB1" s="81"/>
      <c r="DC1" s="175"/>
      <c r="DD1" s="175"/>
      <c r="DE1" s="175"/>
      <c r="DF1" s="175"/>
      <c r="DG1" s="213">
        <f>CO1+1</f>
        <v>10</v>
      </c>
      <c r="DH1" s="79"/>
      <c r="DI1" s="79"/>
      <c r="DJ1" s="174"/>
      <c r="DK1" s="175"/>
      <c r="DL1" s="173"/>
      <c r="DM1" s="81"/>
      <c r="DN1" s="81"/>
      <c r="DO1" s="175"/>
      <c r="DP1" s="175"/>
      <c r="DQ1" s="173"/>
      <c r="DR1" s="81"/>
      <c r="DS1" s="81"/>
      <c r="DT1" s="81"/>
      <c r="DU1" s="175"/>
      <c r="DV1" s="175"/>
      <c r="DW1" s="175"/>
      <c r="DX1" s="175"/>
      <c r="DY1" s="213">
        <f>DG1+1</f>
        <v>11</v>
      </c>
      <c r="DZ1" s="79"/>
      <c r="EA1" s="79"/>
      <c r="EB1" s="174"/>
      <c r="EC1" s="175"/>
      <c r="ED1" s="173"/>
      <c r="EE1" s="81"/>
      <c r="EF1" s="81"/>
      <c r="EG1" s="175"/>
      <c r="EH1" s="175"/>
      <c r="EI1" s="173"/>
      <c r="EJ1" s="81"/>
      <c r="EK1" s="81"/>
      <c r="EL1" s="81"/>
      <c r="EM1" s="175"/>
      <c r="EN1" s="175"/>
      <c r="EO1" s="175"/>
      <c r="EP1" s="175"/>
      <c r="EQ1" s="213">
        <f>DY1+1</f>
        <v>12</v>
      </c>
      <c r="ER1" s="79"/>
      <c r="ES1" s="79"/>
      <c r="ET1" s="174"/>
      <c r="EU1" s="175"/>
      <c r="EV1" s="173"/>
      <c r="EW1" s="81"/>
      <c r="EX1" s="81"/>
      <c r="EY1" s="175"/>
      <c r="EZ1" s="175"/>
      <c r="FA1" s="173"/>
      <c r="FB1" s="81"/>
      <c r="FC1" s="81"/>
      <c r="FD1" s="81"/>
      <c r="FE1" s="175"/>
      <c r="FF1" s="175"/>
      <c r="FG1" s="175"/>
      <c r="FH1" s="175"/>
      <c r="FI1" s="213">
        <f>EQ1+1</f>
        <v>13</v>
      </c>
      <c r="FJ1" s="79"/>
      <c r="FK1" s="79"/>
      <c r="FL1" s="174"/>
      <c r="FM1" s="175"/>
      <c r="FN1" s="173"/>
      <c r="FO1" s="81"/>
      <c r="FP1" s="81"/>
      <c r="FQ1" s="175"/>
      <c r="FR1" s="175"/>
      <c r="FS1" s="173"/>
      <c r="FT1" s="81"/>
      <c r="FU1" s="81"/>
      <c r="FV1" s="81"/>
      <c r="FW1" s="175"/>
      <c r="FX1" s="175"/>
      <c r="FY1" s="175"/>
      <c r="FZ1" s="175"/>
      <c r="GA1" s="213">
        <f>FI1+1</f>
        <v>14</v>
      </c>
      <c r="GB1" s="79"/>
      <c r="GC1" s="79"/>
      <c r="GD1" s="174"/>
      <c r="GE1" s="175"/>
      <c r="GF1" s="173"/>
      <c r="GG1" s="81"/>
      <c r="GH1" s="81"/>
      <c r="GI1" s="175"/>
      <c r="GJ1" s="175"/>
      <c r="GK1" s="173"/>
      <c r="GL1" s="81"/>
      <c r="GM1" s="81"/>
      <c r="GN1" s="81"/>
      <c r="GO1" s="175"/>
      <c r="GP1" s="175"/>
      <c r="GQ1" s="175"/>
      <c r="GR1" s="175"/>
      <c r="GS1" s="213">
        <f>GA1+1</f>
        <v>15</v>
      </c>
      <c r="GT1" s="79"/>
      <c r="GU1" s="79"/>
      <c r="GV1" s="174"/>
      <c r="GW1" s="175"/>
      <c r="GX1" s="173"/>
      <c r="GY1" s="81"/>
      <c r="GZ1" s="81"/>
      <c r="HA1" s="175"/>
      <c r="HB1" s="175"/>
      <c r="HC1" s="173"/>
      <c r="HD1" s="81"/>
      <c r="HE1" s="81"/>
      <c r="HF1" s="81"/>
      <c r="HG1" s="175"/>
      <c r="HH1" s="175"/>
      <c r="HI1" s="175"/>
      <c r="HJ1" s="175"/>
      <c r="HK1" s="213">
        <f>GS1+1</f>
        <v>16</v>
      </c>
      <c r="HL1" s="79"/>
      <c r="HM1" s="79"/>
      <c r="HN1" s="174"/>
      <c r="HO1" s="175"/>
      <c r="HP1" s="173"/>
      <c r="HQ1" s="81"/>
      <c r="HR1" s="81"/>
      <c r="HS1" s="175"/>
      <c r="HT1" s="175"/>
      <c r="HU1" s="173"/>
      <c r="HV1" s="81"/>
      <c r="HW1" s="81"/>
      <c r="HX1" s="81"/>
      <c r="HY1" s="175"/>
      <c r="HZ1" s="175"/>
      <c r="IA1" s="175"/>
      <c r="IB1" s="175"/>
      <c r="IC1" s="213">
        <f>HK1+1</f>
        <v>17</v>
      </c>
      <c r="ID1" s="79"/>
      <c r="IE1" s="79"/>
      <c r="IF1" s="174"/>
      <c r="IG1" s="175"/>
      <c r="IH1" s="173"/>
      <c r="II1" s="81"/>
      <c r="IJ1" s="81"/>
      <c r="IK1" s="175"/>
      <c r="IL1" s="175"/>
      <c r="IM1" s="173"/>
      <c r="IN1" s="81"/>
      <c r="IO1" s="81"/>
      <c r="IP1" s="81"/>
      <c r="IQ1" s="175"/>
      <c r="IR1" s="175"/>
      <c r="IS1" s="175"/>
      <c r="IT1" s="175"/>
      <c r="IU1" s="213">
        <f>IC1+1</f>
        <v>18</v>
      </c>
      <c r="IV1" s="79"/>
      <c r="IW1" s="79"/>
      <c r="IX1" s="174"/>
      <c r="IY1" s="175"/>
      <c r="IZ1" s="173"/>
      <c r="JA1" s="81"/>
      <c r="JB1" s="81"/>
      <c r="JC1" s="175"/>
      <c r="JD1" s="175"/>
      <c r="JE1" s="173"/>
      <c r="JF1" s="81"/>
      <c r="JG1" s="81"/>
      <c r="JH1" s="81"/>
      <c r="JI1" s="175"/>
      <c r="JJ1" s="175"/>
      <c r="JK1" s="175"/>
      <c r="JL1" s="175"/>
      <c r="JM1" s="213">
        <f>IU1+1</f>
        <v>19</v>
      </c>
      <c r="JN1" s="79"/>
      <c r="JO1" s="79"/>
      <c r="JP1" s="174"/>
      <c r="JQ1" s="175"/>
      <c r="JR1" s="173"/>
      <c r="JS1" s="81"/>
      <c r="JT1" s="81"/>
      <c r="JU1" s="175"/>
      <c r="JV1" s="175"/>
      <c r="JW1" s="173"/>
      <c r="JX1" s="81"/>
      <c r="JY1" s="81"/>
      <c r="JZ1" s="81"/>
      <c r="KA1" s="175"/>
      <c r="KB1" s="175"/>
      <c r="KC1" s="175"/>
      <c r="KD1" s="175"/>
      <c r="KE1" s="213">
        <f>JM1+1</f>
        <v>20</v>
      </c>
      <c r="KF1" s="79"/>
      <c r="KG1" s="79"/>
      <c r="KH1" s="174"/>
      <c r="KI1" s="175"/>
      <c r="KJ1" s="173"/>
      <c r="KK1" s="81"/>
      <c r="KL1" s="81"/>
      <c r="KM1" s="175"/>
      <c r="KN1" s="175"/>
      <c r="KO1" s="173"/>
      <c r="KP1" s="81"/>
      <c r="KQ1" s="81"/>
      <c r="KR1" s="81"/>
      <c r="KS1" s="175"/>
      <c r="KT1" s="175"/>
      <c r="KU1" s="175"/>
      <c r="KV1" s="175"/>
      <c r="KW1" s="213">
        <f>KE1+1</f>
        <v>21</v>
      </c>
      <c r="KX1" s="79"/>
      <c r="KY1" s="79"/>
      <c r="KZ1" s="174"/>
      <c r="LA1" s="175"/>
      <c r="LB1" s="173"/>
      <c r="LC1" s="81"/>
      <c r="LD1" s="81"/>
      <c r="LE1" s="175"/>
      <c r="LF1" s="175"/>
      <c r="LG1" s="173"/>
      <c r="LH1" s="81"/>
      <c r="LI1" s="81"/>
      <c r="LJ1" s="81"/>
      <c r="LK1" s="175"/>
      <c r="LL1" s="175"/>
      <c r="LM1" s="175"/>
      <c r="LN1" s="175"/>
      <c r="LO1" s="213">
        <f>KW1+1</f>
        <v>22</v>
      </c>
      <c r="LP1" s="79"/>
      <c r="LQ1" s="79"/>
      <c r="LR1" s="174"/>
      <c r="LS1" s="175"/>
      <c r="LT1" s="173"/>
      <c r="LU1" s="81"/>
      <c r="LV1" s="81"/>
      <c r="LW1" s="175"/>
      <c r="LX1" s="175"/>
      <c r="LY1" s="173"/>
      <c r="LZ1" s="81"/>
      <c r="MA1" s="81"/>
      <c r="MB1" s="81"/>
      <c r="MC1" s="175"/>
      <c r="MD1" s="175"/>
      <c r="ME1" s="175"/>
      <c r="MF1" s="175"/>
      <c r="MG1" s="213">
        <f>LO1+1</f>
        <v>23</v>
      </c>
      <c r="MH1" s="79"/>
      <c r="MI1" s="79"/>
      <c r="MJ1" s="174"/>
      <c r="MK1" s="175"/>
      <c r="ML1" s="173"/>
      <c r="MM1" s="81"/>
      <c r="MN1" s="81"/>
      <c r="MO1" s="175"/>
      <c r="MP1" s="175"/>
      <c r="MQ1" s="173"/>
      <c r="MR1" s="81"/>
      <c r="MS1" s="81"/>
      <c r="MT1" s="81"/>
      <c r="MU1" s="175"/>
      <c r="MV1" s="175"/>
      <c r="MW1" s="175"/>
      <c r="MX1" s="175"/>
      <c r="MY1" s="213">
        <f>MG1+1</f>
        <v>24</v>
      </c>
      <c r="MZ1" s="79"/>
      <c r="NA1" s="79"/>
      <c r="NB1" s="174"/>
      <c r="NC1" s="175"/>
      <c r="ND1" s="173"/>
      <c r="NE1" s="81"/>
      <c r="NF1" s="81"/>
      <c r="NG1" s="175"/>
      <c r="NH1" s="175"/>
      <c r="NI1" s="173"/>
      <c r="NJ1" s="81"/>
      <c r="NK1" s="81"/>
      <c r="NL1" s="81"/>
      <c r="NM1" s="175"/>
      <c r="NN1" s="175"/>
      <c r="NO1" s="175"/>
      <c r="NP1" s="175"/>
      <c r="NQ1" s="213">
        <f>MY1+1</f>
        <v>25</v>
      </c>
      <c r="NR1" s="79"/>
      <c r="NS1" s="79"/>
      <c r="NT1" s="174"/>
      <c r="NU1" s="175"/>
      <c r="NV1" s="173"/>
      <c r="NW1" s="81"/>
      <c r="NX1" s="81"/>
      <c r="NY1" s="175"/>
      <c r="NZ1" s="175"/>
      <c r="OA1" s="173"/>
      <c r="OB1" s="81"/>
      <c r="OC1" s="81"/>
      <c r="OD1" s="81"/>
      <c r="OE1" s="175"/>
      <c r="OF1" s="175"/>
      <c r="OG1" s="175"/>
      <c r="OH1" s="175"/>
      <c r="OI1" s="213">
        <f>NQ1+1</f>
        <v>26</v>
      </c>
      <c r="OJ1" s="79"/>
      <c r="OK1" s="79"/>
      <c r="OL1" s="174"/>
      <c r="OM1" s="175"/>
      <c r="ON1" s="173"/>
      <c r="OO1" s="81"/>
      <c r="OP1" s="81"/>
      <c r="OQ1" s="175"/>
      <c r="OR1" s="175"/>
      <c r="OS1" s="173"/>
      <c r="OT1" s="81"/>
      <c r="OU1" s="81"/>
      <c r="OV1" s="81"/>
      <c r="OW1" s="175"/>
      <c r="OX1" s="175"/>
      <c r="OY1" s="175"/>
      <c r="OZ1" s="175"/>
      <c r="PA1" s="213">
        <f>OI1+1</f>
        <v>27</v>
      </c>
      <c r="PB1" s="79"/>
      <c r="PC1" s="79"/>
      <c r="PD1" s="174"/>
      <c r="PE1" s="175"/>
      <c r="PF1" s="173"/>
      <c r="PG1" s="81"/>
      <c r="PH1" s="81"/>
      <c r="PI1" s="175"/>
      <c r="PJ1" s="175"/>
      <c r="PK1" s="173"/>
      <c r="PL1" s="81"/>
      <c r="PM1" s="81"/>
      <c r="PN1" s="81"/>
      <c r="PO1" s="175"/>
      <c r="PP1" s="175"/>
      <c r="PQ1" s="175"/>
      <c r="PR1" s="175"/>
      <c r="PS1" s="213">
        <f>PA1+1</f>
        <v>28</v>
      </c>
      <c r="PT1" s="79"/>
      <c r="PU1" s="79"/>
      <c r="PV1" s="174"/>
      <c r="PW1" s="175"/>
      <c r="PX1" s="173"/>
      <c r="PY1" s="81"/>
      <c r="PZ1" s="81"/>
      <c r="QA1" s="175"/>
      <c r="QB1" s="175"/>
      <c r="QC1" s="173"/>
      <c r="QD1" s="81"/>
      <c r="QE1" s="81"/>
      <c r="QF1" s="81"/>
      <c r="QG1" s="175"/>
      <c r="QH1" s="175"/>
      <c r="QI1" s="175"/>
      <c r="QJ1" s="175"/>
      <c r="QK1" s="213">
        <f>PS1+1</f>
        <v>29</v>
      </c>
      <c r="QL1" s="79"/>
      <c r="QM1" s="79"/>
      <c r="QN1" s="174"/>
      <c r="QO1" s="175"/>
      <c r="QP1" s="173"/>
      <c r="QQ1" s="81"/>
      <c r="QR1" s="81"/>
      <c r="QS1" s="175"/>
      <c r="QT1" s="175"/>
      <c r="QU1" s="173"/>
      <c r="QV1" s="81"/>
      <c r="QW1" s="81"/>
      <c r="QX1" s="81"/>
      <c r="QY1" s="175"/>
      <c r="QZ1" s="175"/>
      <c r="RA1" s="175"/>
      <c r="RB1" s="175"/>
      <c r="RC1" s="213">
        <f>QK1+1</f>
        <v>30</v>
      </c>
      <c r="RD1" s="79"/>
      <c r="RE1" s="79"/>
      <c r="RF1" s="174"/>
      <c r="RG1" s="175"/>
      <c r="RH1" s="173"/>
      <c r="RI1" s="81"/>
      <c r="RJ1" s="81"/>
      <c r="RK1" s="175"/>
      <c r="RL1" s="175"/>
      <c r="RM1" s="173"/>
      <c r="RN1" s="81"/>
      <c r="RO1" s="81"/>
      <c r="RP1" s="81"/>
      <c r="RQ1" s="175"/>
      <c r="RR1" s="175"/>
      <c r="RS1" s="175"/>
      <c r="RT1" s="175"/>
      <c r="RU1" s="213">
        <f>RC1+1</f>
        <v>31</v>
      </c>
      <c r="RV1" s="79"/>
      <c r="RW1" s="79"/>
      <c r="RX1" s="174"/>
      <c r="RY1" s="175"/>
      <c r="RZ1" s="173"/>
      <c r="SA1" s="81"/>
      <c r="SB1" s="81"/>
      <c r="SC1" s="175"/>
      <c r="SD1" s="175"/>
      <c r="SE1" s="173"/>
      <c r="SF1" s="81"/>
      <c r="SG1" s="81"/>
      <c r="SH1" s="81"/>
      <c r="SI1" s="175"/>
      <c r="SJ1" s="175"/>
      <c r="SK1" s="175"/>
      <c r="SL1" s="175"/>
      <c r="SM1" s="82">
        <f>RU1+1</f>
        <v>32</v>
      </c>
      <c r="SN1" s="79"/>
      <c r="SO1" s="79"/>
      <c r="SP1" s="79"/>
      <c r="SQ1" s="80"/>
      <c r="SR1" s="81"/>
      <c r="SS1" s="81"/>
      <c r="ST1" s="81"/>
      <c r="SU1" s="80"/>
      <c r="SV1" s="80"/>
      <c r="SW1" s="81"/>
      <c r="SX1" s="81"/>
      <c r="SY1" s="81"/>
      <c r="SZ1" s="80"/>
      <c r="TA1" s="80"/>
      <c r="TB1" s="80"/>
      <c r="TC1" s="80"/>
      <c r="TD1" s="82">
        <f>SM1+1</f>
        <v>33</v>
      </c>
      <c r="TE1" s="79"/>
      <c r="TF1" s="79"/>
      <c r="TG1" s="79"/>
      <c r="TH1" s="80"/>
      <c r="TI1" s="81"/>
      <c r="TJ1" s="81"/>
      <c r="TK1" s="81"/>
      <c r="TL1" s="80"/>
      <c r="TM1" s="80"/>
      <c r="TN1" s="81"/>
      <c r="TO1" s="81"/>
      <c r="TP1" s="81"/>
      <c r="TQ1" s="80"/>
      <c r="TR1" s="80"/>
      <c r="TS1" s="80"/>
      <c r="TT1" s="80"/>
    </row>
    <row r="2" spans="1:540" ht="60" customHeight="1" thickBot="1" x14ac:dyDescent="0.3">
      <c r="A2" s="159" t="s">
        <v>40</v>
      </c>
      <c r="B2" s="160" t="s">
        <v>202</v>
      </c>
      <c r="C2" s="170" t="str">
        <f ca="1">IF(CELL("contenu",INDIRECT(ADDRESS(C1,1,1,1,CELL("contenu",$B$2))))="","----",CELL("contenu",INDIRECT(ADDRESS(C1,1,1,1,CELL("contenu",$B$2)))))</f>
        <v>AUDOUIN Ines</v>
      </c>
      <c r="D2" s="168"/>
      <c r="E2" s="168"/>
      <c r="F2" s="170"/>
      <c r="G2" s="170"/>
      <c r="H2" s="170"/>
      <c r="I2" s="168"/>
      <c r="J2" s="168"/>
      <c r="K2" s="170"/>
      <c r="L2" s="170"/>
      <c r="M2" s="170"/>
      <c r="N2" s="168"/>
      <c r="O2" s="168"/>
      <c r="P2" s="168"/>
      <c r="Q2" s="170"/>
      <c r="R2" s="170"/>
      <c r="S2" s="170"/>
      <c r="T2" s="197"/>
      <c r="U2" s="170" t="str">
        <f ca="1">IF(CELL("contenu",INDIRECT(ADDRESS(U1,1,1,1,CELL("contenu",$B$2))))="","----",CELL("contenu",INDIRECT(ADDRESS(U1,1,1,1,CELL("contenu",$B$2)))))</f>
        <v>BEAUJARD Soizic</v>
      </c>
      <c r="V2" s="168"/>
      <c r="W2" s="168"/>
      <c r="X2" s="170"/>
      <c r="Y2" s="170"/>
      <c r="Z2" s="170"/>
      <c r="AA2" s="168"/>
      <c r="AB2" s="168"/>
      <c r="AC2" s="170"/>
      <c r="AD2" s="170"/>
      <c r="AE2" s="170"/>
      <c r="AF2" s="168"/>
      <c r="AG2" s="168"/>
      <c r="AH2" s="168"/>
      <c r="AI2" s="170"/>
      <c r="AJ2" s="170"/>
      <c r="AK2" s="170"/>
      <c r="AL2" s="197"/>
      <c r="AM2" s="170" t="str">
        <f ca="1">IF(CELL("contenu",INDIRECT(ADDRESS(AM1,1,1,1,CELL("contenu",$B$2))))="","----",CELL("contenu",INDIRECT(ADDRESS(AM1,1,1,1,CELL("contenu",$B$2)))))</f>
        <v>BERLINSON Jade</v>
      </c>
      <c r="AN2" s="168"/>
      <c r="AO2" s="168"/>
      <c r="AP2" s="170"/>
      <c r="AQ2" s="170"/>
      <c r="AR2" s="170"/>
      <c r="AS2" s="168"/>
      <c r="AT2" s="168"/>
      <c r="AU2" s="170"/>
      <c r="AV2" s="170"/>
      <c r="AW2" s="170"/>
      <c r="AX2" s="168"/>
      <c r="AY2" s="168"/>
      <c r="AZ2" s="168"/>
      <c r="BA2" s="170"/>
      <c r="BB2" s="170"/>
      <c r="BC2" s="170"/>
      <c r="BD2" s="197"/>
      <c r="BE2" s="170" t="str">
        <f ca="1">IF(CELL("contenu",INDIRECT(ADDRESS(BE1,1,1,1,CELL("contenu",$B$2))))="","----",CELL("contenu",INDIRECT(ADDRESS(BE1,1,1,1,CELL("contenu",$B$2)))))</f>
        <v>BOUSSION Valentine</v>
      </c>
      <c r="BF2" s="168"/>
      <c r="BG2" s="168"/>
      <c r="BH2" s="170"/>
      <c r="BI2" s="170"/>
      <c r="BJ2" s="170"/>
      <c r="BK2" s="168"/>
      <c r="BL2" s="168"/>
      <c r="BM2" s="170"/>
      <c r="BN2" s="170"/>
      <c r="BO2" s="170"/>
      <c r="BP2" s="168"/>
      <c r="BQ2" s="168"/>
      <c r="BR2" s="168"/>
      <c r="BS2" s="170"/>
      <c r="BT2" s="170"/>
      <c r="BU2" s="170"/>
      <c r="BV2" s="197"/>
      <c r="BW2" s="170" t="str">
        <f ca="1">IF(CELL("contenu",INDIRECT(ADDRESS(BW1,1,1,1,CELL("contenu",$B$2))))="","----",CELL("contenu",INDIRECT(ADDRESS(BW1,1,1,1,CELL("contenu",$B$2)))))</f>
        <v>BRAND Gregoire</v>
      </c>
      <c r="BX2" s="168"/>
      <c r="BY2" s="168"/>
      <c r="BZ2" s="170"/>
      <c r="CA2" s="170"/>
      <c r="CB2" s="170"/>
      <c r="CC2" s="168"/>
      <c r="CD2" s="168"/>
      <c r="CE2" s="170"/>
      <c r="CF2" s="170"/>
      <c r="CG2" s="170"/>
      <c r="CH2" s="168"/>
      <c r="CI2" s="168"/>
      <c r="CJ2" s="168"/>
      <c r="CK2" s="170"/>
      <c r="CL2" s="170"/>
      <c r="CM2" s="170"/>
      <c r="CN2" s="197"/>
      <c r="CO2" s="170" t="str">
        <f ca="1">IF(CELL("contenu",INDIRECT(ADDRESS(CO1,1,1,1,CELL("contenu",$B$2))))="","----",CELL("contenu",INDIRECT(ADDRESS(CO1,1,1,1,CELL("contenu",$B$2)))))</f>
        <v>CADO Nicolas</v>
      </c>
      <c r="CP2" s="168"/>
      <c r="CQ2" s="168"/>
      <c r="CR2" s="170"/>
      <c r="CS2" s="170"/>
      <c r="CT2" s="170"/>
      <c r="CU2" s="168"/>
      <c r="CV2" s="168"/>
      <c r="CW2" s="170"/>
      <c r="CX2" s="170"/>
      <c r="CY2" s="170"/>
      <c r="CZ2" s="168"/>
      <c r="DA2" s="168"/>
      <c r="DB2" s="168"/>
      <c r="DC2" s="170"/>
      <c r="DD2" s="170"/>
      <c r="DE2" s="170"/>
      <c r="DF2" s="197"/>
      <c r="DG2" s="170" t="str">
        <f ca="1">IF(CELL("contenu",INDIRECT(ADDRESS(DG1,1,1,1,CELL("contenu",$B$2))))="","----",CELL("contenu",INDIRECT(ADDRESS(DG1,1,1,1,CELL("contenu",$B$2)))))</f>
        <v>COELHO Lovena</v>
      </c>
      <c r="DH2" s="168"/>
      <c r="DI2" s="168"/>
      <c r="DJ2" s="170"/>
      <c r="DK2" s="170"/>
      <c r="DL2" s="170"/>
      <c r="DM2" s="168"/>
      <c r="DN2" s="168"/>
      <c r="DO2" s="170"/>
      <c r="DP2" s="170"/>
      <c r="DQ2" s="170"/>
      <c r="DR2" s="168"/>
      <c r="DS2" s="168"/>
      <c r="DT2" s="168"/>
      <c r="DU2" s="170"/>
      <c r="DV2" s="170"/>
      <c r="DW2" s="170"/>
      <c r="DX2" s="197"/>
      <c r="DY2" s="170" t="str">
        <f ca="1">IF(CELL("contenu",INDIRECT(ADDRESS(DY1,1,1,1,CELL("contenu",$B$2))))="","----",CELL("contenu",INDIRECT(ADDRESS(DY1,1,1,1,CELL("contenu",$B$2)))))</f>
        <v>DE SAINT MARTIN Matthieu</v>
      </c>
      <c r="DZ2" s="168"/>
      <c r="EA2" s="168"/>
      <c r="EB2" s="170"/>
      <c r="EC2" s="170"/>
      <c r="ED2" s="170"/>
      <c r="EE2" s="168"/>
      <c r="EF2" s="168"/>
      <c r="EG2" s="170"/>
      <c r="EH2" s="170"/>
      <c r="EI2" s="170"/>
      <c r="EJ2" s="168"/>
      <c r="EK2" s="168"/>
      <c r="EL2" s="168"/>
      <c r="EM2" s="170"/>
      <c r="EN2" s="170"/>
      <c r="EO2" s="170"/>
      <c r="EP2" s="197"/>
      <c r="EQ2" s="170" t="str">
        <f ca="1">IF(CELL("contenu",INDIRECT(ADDRESS(EQ1,1,1,1,CELL("contenu",$B$2))))="","----",CELL("contenu",INDIRECT(ADDRESS(EQ1,1,1,1,CELL("contenu",$B$2)))))</f>
        <v>DOULCET Francois</v>
      </c>
      <c r="ER2" s="168"/>
      <c r="ES2" s="168"/>
      <c r="ET2" s="170"/>
      <c r="EU2" s="170"/>
      <c r="EV2" s="170"/>
      <c r="EW2" s="168"/>
      <c r="EX2" s="168"/>
      <c r="EY2" s="170"/>
      <c r="EZ2" s="170"/>
      <c r="FA2" s="170"/>
      <c r="FB2" s="168"/>
      <c r="FC2" s="168"/>
      <c r="FD2" s="168"/>
      <c r="FE2" s="170"/>
      <c r="FF2" s="170"/>
      <c r="FG2" s="170"/>
      <c r="FH2" s="197"/>
      <c r="FI2" s="170" t="str">
        <f ca="1">IF(CELL("contenu",INDIRECT(ADDRESS(FI1,1,1,1,CELL("contenu",$B$2))))="","----",CELL("contenu",INDIRECT(ADDRESS(FI1,1,1,1,CELL("contenu",$B$2)))))</f>
        <v>GIRAULT--AUDURIER Corentin</v>
      </c>
      <c r="FJ2" s="168"/>
      <c r="FK2" s="168"/>
      <c r="FL2" s="170"/>
      <c r="FM2" s="170"/>
      <c r="FN2" s="170"/>
      <c r="FO2" s="168"/>
      <c r="FP2" s="168"/>
      <c r="FQ2" s="170"/>
      <c r="FR2" s="170"/>
      <c r="FS2" s="170"/>
      <c r="FT2" s="168"/>
      <c r="FU2" s="168"/>
      <c r="FV2" s="168"/>
      <c r="FW2" s="170"/>
      <c r="FX2" s="170"/>
      <c r="FY2" s="170"/>
      <c r="FZ2" s="197"/>
      <c r="GA2" s="170" t="str">
        <f ca="1">IF(CELL("contenu",INDIRECT(ADDRESS(GA1,1,1,1,CELL("contenu",$B$2))))="","----",CELL("contenu",INDIRECT(ADDRESS(GA1,1,1,1,CELL("contenu",$B$2)))))</f>
        <v>GUILLET Elise</v>
      </c>
      <c r="GB2" s="168"/>
      <c r="GC2" s="168"/>
      <c r="GD2" s="170"/>
      <c r="GE2" s="170"/>
      <c r="GF2" s="170"/>
      <c r="GG2" s="168"/>
      <c r="GH2" s="168"/>
      <c r="GI2" s="170"/>
      <c r="GJ2" s="170"/>
      <c r="GK2" s="170"/>
      <c r="GL2" s="168"/>
      <c r="GM2" s="168"/>
      <c r="GN2" s="168"/>
      <c r="GO2" s="170"/>
      <c r="GP2" s="170"/>
      <c r="GQ2" s="170"/>
      <c r="GR2" s="197"/>
      <c r="GS2" s="170" t="str">
        <f ca="1">IF(CELL("contenu",INDIRECT(ADDRESS(GS1,1,1,1,CELL("contenu",$B$2))))="","----",CELL("contenu",INDIRECT(ADDRESS(GS1,1,1,1,CELL("contenu",$B$2)))))</f>
        <v>HARDY Agnes</v>
      </c>
      <c r="GT2" s="168"/>
      <c r="GU2" s="168"/>
      <c r="GV2" s="170"/>
      <c r="GW2" s="170"/>
      <c r="GX2" s="170"/>
      <c r="GY2" s="168"/>
      <c r="GZ2" s="168"/>
      <c r="HA2" s="170"/>
      <c r="HB2" s="170"/>
      <c r="HC2" s="170"/>
      <c r="HD2" s="168"/>
      <c r="HE2" s="168"/>
      <c r="HF2" s="168"/>
      <c r="HG2" s="170"/>
      <c r="HH2" s="170"/>
      <c r="HI2" s="170"/>
      <c r="HJ2" s="197"/>
      <c r="HK2" s="170" t="str">
        <f ca="1">IF(CELL("contenu",INDIRECT(ADDRESS(HK1,1,1,1,CELL("contenu",$B$2))))="","----",CELL("contenu",INDIRECT(ADDRESS(HK1,1,1,1,CELL("contenu",$B$2)))))</f>
        <v>HEDMAN Theo</v>
      </c>
      <c r="HL2" s="168"/>
      <c r="HM2" s="168"/>
      <c r="HN2" s="170"/>
      <c r="HO2" s="170"/>
      <c r="HP2" s="170"/>
      <c r="HQ2" s="168"/>
      <c r="HR2" s="168"/>
      <c r="HS2" s="170"/>
      <c r="HT2" s="170"/>
      <c r="HU2" s="170"/>
      <c r="HV2" s="168"/>
      <c r="HW2" s="168"/>
      <c r="HX2" s="168"/>
      <c r="HY2" s="170"/>
      <c r="HZ2" s="170"/>
      <c r="IA2" s="170"/>
      <c r="IB2" s="197"/>
      <c r="IC2" s="170" t="str">
        <f ca="1">IF(CELL("contenu",INDIRECT(ADDRESS(IC1,1,1,1,CELL("contenu",$B$2))))="","----",CELL("contenu",INDIRECT(ADDRESS(IC1,1,1,1,CELL("contenu",$B$2)))))</f>
        <v>JOUBERT Gregoire</v>
      </c>
      <c r="ID2" s="168"/>
      <c r="IE2" s="168"/>
      <c r="IF2" s="170"/>
      <c r="IG2" s="170"/>
      <c r="IH2" s="170"/>
      <c r="II2" s="168"/>
      <c r="IJ2" s="168"/>
      <c r="IK2" s="170"/>
      <c r="IL2" s="170"/>
      <c r="IM2" s="170"/>
      <c r="IN2" s="168"/>
      <c r="IO2" s="168"/>
      <c r="IP2" s="168"/>
      <c r="IQ2" s="170"/>
      <c r="IR2" s="170"/>
      <c r="IS2" s="170"/>
      <c r="IT2" s="197"/>
      <c r="IU2" s="170" t="str">
        <f ca="1">IF(CELL("contenu",INDIRECT(ADDRESS(IU1,1,1,1,CELL("contenu",$B$2))))="","----",CELL("contenu",INDIRECT(ADDRESS(IU1,1,1,1,CELL("contenu",$B$2)))))</f>
        <v>KAISER Aliette</v>
      </c>
      <c r="IV2" s="168"/>
      <c r="IW2" s="168"/>
      <c r="IX2" s="170"/>
      <c r="IY2" s="170"/>
      <c r="IZ2" s="170"/>
      <c r="JA2" s="168"/>
      <c r="JB2" s="168"/>
      <c r="JC2" s="170"/>
      <c r="JD2" s="170"/>
      <c r="JE2" s="170"/>
      <c r="JF2" s="168"/>
      <c r="JG2" s="168"/>
      <c r="JH2" s="168"/>
      <c r="JI2" s="170"/>
      <c r="JJ2" s="170"/>
      <c r="JK2" s="170"/>
      <c r="JL2" s="197"/>
      <c r="JM2" s="170" t="str">
        <f ca="1">IF(CELL("contenu",INDIRECT(ADDRESS(JM1,1,1,1,CELL("contenu",$B$2))))="","----",CELL("contenu",INDIRECT(ADDRESS(JM1,1,1,1,CELL("contenu",$B$2)))))</f>
        <v>KIBLEUR Evariste</v>
      </c>
      <c r="JN2" s="168"/>
      <c r="JO2" s="168"/>
      <c r="JP2" s="170"/>
      <c r="JQ2" s="170"/>
      <c r="JR2" s="170"/>
      <c r="JS2" s="168"/>
      <c r="JT2" s="168"/>
      <c r="JU2" s="170"/>
      <c r="JV2" s="170"/>
      <c r="JW2" s="170"/>
      <c r="JX2" s="168"/>
      <c r="JY2" s="168"/>
      <c r="JZ2" s="168"/>
      <c r="KA2" s="170"/>
      <c r="KB2" s="170"/>
      <c r="KC2" s="170"/>
      <c r="KD2" s="197"/>
      <c r="KE2" s="170" t="str">
        <f ca="1">IF(CELL("contenu",INDIRECT(ADDRESS(KE1,1,1,1,CELL("contenu",$B$2))))="","----",CELL("contenu",INDIRECT(ADDRESS(KE1,1,1,1,CELL("contenu",$B$2)))))</f>
        <v>MARMOUSET Airelle</v>
      </c>
      <c r="KF2" s="168"/>
      <c r="KG2" s="168"/>
      <c r="KH2" s="170"/>
      <c r="KI2" s="170"/>
      <c r="KJ2" s="170"/>
      <c r="KK2" s="168"/>
      <c r="KL2" s="168"/>
      <c r="KM2" s="170"/>
      <c r="KN2" s="170"/>
      <c r="KO2" s="170"/>
      <c r="KP2" s="168"/>
      <c r="KQ2" s="168"/>
      <c r="KR2" s="168"/>
      <c r="KS2" s="170"/>
      <c r="KT2" s="170"/>
      <c r="KU2" s="170"/>
      <c r="KV2" s="197"/>
      <c r="KW2" s="170" t="str">
        <f ca="1">IF(CELL("contenu",INDIRECT(ADDRESS(KW1,1,1,1,CELL("contenu",$B$2))))="","----",CELL("contenu",INDIRECT(ADDRESS(KW1,1,1,1,CELL("contenu",$B$2)))))</f>
        <v>MONTOT Alexis</v>
      </c>
      <c r="KX2" s="168"/>
      <c r="KY2" s="168"/>
      <c r="KZ2" s="170"/>
      <c r="LA2" s="170"/>
      <c r="LB2" s="170"/>
      <c r="LC2" s="168"/>
      <c r="LD2" s="168"/>
      <c r="LE2" s="170"/>
      <c r="LF2" s="170"/>
      <c r="LG2" s="170"/>
      <c r="LH2" s="168"/>
      <c r="LI2" s="168"/>
      <c r="LJ2" s="168"/>
      <c r="LK2" s="170"/>
      <c r="LL2" s="170"/>
      <c r="LM2" s="170"/>
      <c r="LN2" s="197"/>
      <c r="LO2" s="170" t="str">
        <f ca="1">IF(CELL("contenu",INDIRECT(ADDRESS(LO1,1,1,1,CELL("contenu",$B$2))))="","----",CELL("contenu",INDIRECT(ADDRESS(LO1,1,1,1,CELL("contenu",$B$2)))))</f>
        <v>NOUCHET Camille</v>
      </c>
      <c r="LP2" s="168"/>
      <c r="LQ2" s="168"/>
      <c r="LR2" s="170"/>
      <c r="LS2" s="170"/>
      <c r="LT2" s="170"/>
      <c r="LU2" s="168"/>
      <c r="LV2" s="168"/>
      <c r="LW2" s="170"/>
      <c r="LX2" s="170"/>
      <c r="LY2" s="170"/>
      <c r="LZ2" s="168"/>
      <c r="MA2" s="168"/>
      <c r="MB2" s="168"/>
      <c r="MC2" s="170"/>
      <c r="MD2" s="170"/>
      <c r="ME2" s="170"/>
      <c r="MF2" s="197"/>
      <c r="MG2" s="170" t="str">
        <f ca="1">IF(CELL("contenu",INDIRECT(ADDRESS(MG1,1,1,1,CELL("contenu",$B$2))))="","----",CELL("contenu",INDIRECT(ADDRESS(MG1,1,1,1,CELL("contenu",$B$2)))))</f>
        <v>PAVLENKO Jean</v>
      </c>
      <c r="MH2" s="168"/>
      <c r="MI2" s="168"/>
      <c r="MJ2" s="170"/>
      <c r="MK2" s="170"/>
      <c r="ML2" s="170"/>
      <c r="MM2" s="168"/>
      <c r="MN2" s="168"/>
      <c r="MO2" s="170"/>
      <c r="MP2" s="170"/>
      <c r="MQ2" s="170"/>
      <c r="MR2" s="168"/>
      <c r="MS2" s="168"/>
      <c r="MT2" s="168"/>
      <c r="MU2" s="170"/>
      <c r="MV2" s="170"/>
      <c r="MW2" s="170"/>
      <c r="MX2" s="197"/>
      <c r="MY2" s="170" t="str">
        <f ca="1">IF(CELL("contenu",INDIRECT(ADDRESS(MY1,1,1,1,CELL("contenu",$B$2))))="","----",CELL("contenu",INDIRECT(ADDRESS(MY1,1,1,1,CELL("contenu",$B$2)))))</f>
        <v>PERRET Mila</v>
      </c>
      <c r="MZ2" s="168"/>
      <c r="NA2" s="168"/>
      <c r="NB2" s="170"/>
      <c r="NC2" s="170"/>
      <c r="ND2" s="170"/>
      <c r="NE2" s="168"/>
      <c r="NF2" s="168"/>
      <c r="NG2" s="170"/>
      <c r="NH2" s="170"/>
      <c r="NI2" s="170"/>
      <c r="NJ2" s="168"/>
      <c r="NK2" s="168"/>
      <c r="NL2" s="168"/>
      <c r="NM2" s="170"/>
      <c r="NN2" s="170"/>
      <c r="NO2" s="170"/>
      <c r="NP2" s="197"/>
      <c r="NQ2" s="170" t="str">
        <f ca="1">IF(CELL("contenu",INDIRECT(ADDRESS(NQ1,1,1,1,CELL("contenu",$B$2))))="","----",CELL("contenu",INDIRECT(ADDRESS(NQ1,1,1,1,CELL("contenu",$B$2)))))</f>
        <v>PESCHARD Faustine</v>
      </c>
      <c r="NR2" s="168"/>
      <c r="NS2" s="168"/>
      <c r="NT2" s="170"/>
      <c r="NU2" s="170"/>
      <c r="NV2" s="170"/>
      <c r="NW2" s="168"/>
      <c r="NX2" s="168"/>
      <c r="NY2" s="170"/>
      <c r="NZ2" s="170"/>
      <c r="OA2" s="170"/>
      <c r="OB2" s="168"/>
      <c r="OC2" s="168"/>
      <c r="OD2" s="168"/>
      <c r="OE2" s="170"/>
      <c r="OF2" s="170"/>
      <c r="OG2" s="170"/>
      <c r="OH2" s="197"/>
      <c r="OI2" s="170" t="str">
        <f ca="1">IF(CELL("contenu",INDIRECT(ADDRESS(OI1,1,1,1,CELL("contenu",$B$2))))="","----",CELL("contenu",INDIRECT(ADDRESS(OI1,1,1,1,CELL("contenu",$B$2)))))</f>
        <v>PHU Adelie</v>
      </c>
      <c r="OJ2" s="168"/>
      <c r="OK2" s="168"/>
      <c r="OL2" s="170"/>
      <c r="OM2" s="170"/>
      <c r="ON2" s="170"/>
      <c r="OO2" s="168"/>
      <c r="OP2" s="168"/>
      <c r="OQ2" s="170"/>
      <c r="OR2" s="170"/>
      <c r="OS2" s="170"/>
      <c r="OT2" s="168"/>
      <c r="OU2" s="168"/>
      <c r="OV2" s="168"/>
      <c r="OW2" s="170"/>
      <c r="OX2" s="170"/>
      <c r="OY2" s="170"/>
      <c r="OZ2" s="197"/>
      <c r="PA2" s="170" t="str">
        <f ca="1">IF(CELL("contenu",INDIRECT(ADDRESS(PA1,1,1,1,CELL("contenu",$B$2))))="","----",CELL("contenu",INDIRECT(ADDRESS(PA1,1,1,1,CELL("contenu",$B$2)))))</f>
        <v>PICARD Martin</v>
      </c>
      <c r="PB2" s="168"/>
      <c r="PC2" s="168"/>
      <c r="PD2" s="170"/>
      <c r="PE2" s="170"/>
      <c r="PF2" s="170"/>
      <c r="PG2" s="168"/>
      <c r="PH2" s="168"/>
      <c r="PI2" s="170"/>
      <c r="PJ2" s="170"/>
      <c r="PK2" s="170"/>
      <c r="PL2" s="168"/>
      <c r="PM2" s="168"/>
      <c r="PN2" s="168"/>
      <c r="PO2" s="170"/>
      <c r="PP2" s="170"/>
      <c r="PQ2" s="170"/>
      <c r="PR2" s="197"/>
      <c r="PS2" s="170" t="str">
        <f ca="1">IF(CELL("contenu",INDIRECT(ADDRESS(PS1,1,1,1,CELL("contenu",$B$2))))="","----",CELL("contenu",INDIRECT(ADDRESS(PS1,1,1,1,CELL("contenu",$B$2)))))</f>
        <v>RENARD Benoit</v>
      </c>
      <c r="PT2" s="168"/>
      <c r="PU2" s="168"/>
      <c r="PV2" s="170"/>
      <c r="PW2" s="170"/>
      <c r="PX2" s="170"/>
      <c r="PY2" s="168"/>
      <c r="PZ2" s="168"/>
      <c r="QA2" s="170"/>
      <c r="QB2" s="170"/>
      <c r="QC2" s="170"/>
      <c r="QD2" s="168"/>
      <c r="QE2" s="168"/>
      <c r="QF2" s="168"/>
      <c r="QG2" s="170"/>
      <c r="QH2" s="170"/>
      <c r="QI2" s="170"/>
      <c r="QJ2" s="197"/>
      <c r="QK2" s="170" t="str">
        <f ca="1">IF(CELL("contenu",INDIRECT(ADDRESS(QK1,1,1,1,CELL("contenu",$B$2))))="","----",CELL("contenu",INDIRECT(ADDRESS(QK1,1,1,1,CELL("contenu",$B$2)))))</f>
        <v>SOLANO Paul</v>
      </c>
      <c r="QL2" s="168"/>
      <c r="QM2" s="168"/>
      <c r="QN2" s="170"/>
      <c r="QO2" s="170"/>
      <c r="QP2" s="170"/>
      <c r="QQ2" s="168"/>
      <c r="QR2" s="168"/>
      <c r="QS2" s="170"/>
      <c r="QT2" s="170"/>
      <c r="QU2" s="170"/>
      <c r="QV2" s="168"/>
      <c r="QW2" s="168"/>
      <c r="QX2" s="168"/>
      <c r="QY2" s="170"/>
      <c r="QZ2" s="170"/>
      <c r="RA2" s="170"/>
      <c r="RB2" s="197"/>
      <c r="RC2" s="170" t="str">
        <f ca="1">IF(CELL("contenu",INDIRECT(ADDRESS(RC1,1,1,1,CELL("contenu",$B$2))))="","----",CELL("contenu",INDIRECT(ADDRESS(RC1,1,1,1,CELL("contenu",$B$2)))))</f>
        <v>SONNET Capucine</v>
      </c>
      <c r="RD2" s="168"/>
      <c r="RE2" s="168"/>
      <c r="RF2" s="170"/>
      <c r="RG2" s="170"/>
      <c r="RH2" s="170"/>
      <c r="RI2" s="168"/>
      <c r="RJ2" s="168"/>
      <c r="RK2" s="170"/>
      <c r="RL2" s="170"/>
      <c r="RM2" s="170"/>
      <c r="RN2" s="168"/>
      <c r="RO2" s="168"/>
      <c r="RP2" s="168"/>
      <c r="RQ2" s="170"/>
      <c r="RR2" s="170"/>
      <c r="RS2" s="170"/>
      <c r="RT2" s="197"/>
      <c r="RU2" s="170" t="str">
        <f ca="1">IF(CELL("contenu",INDIRECT(ADDRESS(RU1,1,1,1,CELL("contenu",$B$2))))="","----",CELL("contenu",INDIRECT(ADDRESS(RU1,1,1,1,CELL("contenu",$B$2)))))</f>
        <v>SOUEF Clementine</v>
      </c>
      <c r="RV2" s="168"/>
      <c r="RW2" s="168"/>
      <c r="RX2" s="170"/>
      <c r="RY2" s="170"/>
      <c r="RZ2" s="170"/>
      <c r="SA2" s="168"/>
      <c r="SB2" s="168"/>
      <c r="SC2" s="170"/>
      <c r="SD2" s="170"/>
      <c r="SE2" s="170"/>
      <c r="SF2" s="168"/>
      <c r="SG2" s="168"/>
      <c r="SH2" s="168"/>
      <c r="SI2" s="170"/>
      <c r="SJ2" s="170"/>
      <c r="SK2" s="170"/>
      <c r="SL2" s="197"/>
      <c r="SM2" s="84" t="str">
        <f ca="1">IF(CELL("contenu",INDIRECT(ADDRESS(SM1,1,1,1,CELL("contenu",$B$2))))="","----",CELL("contenu",INDIRECT(ADDRESS(SM1,1,1,1,CELL("contenu",$B$2)))))</f>
        <v>----</v>
      </c>
      <c r="SN2" s="84"/>
      <c r="SO2" s="84"/>
      <c r="SP2" s="84"/>
      <c r="SQ2" s="84"/>
      <c r="SR2" s="84"/>
      <c r="SS2" s="84"/>
      <c r="ST2" s="84"/>
      <c r="SU2" s="84"/>
      <c r="SV2" s="84"/>
      <c r="SW2" s="84"/>
      <c r="SX2" s="84"/>
      <c r="SY2" s="84"/>
      <c r="SZ2" s="84"/>
      <c r="TA2" s="84"/>
      <c r="TB2" s="84"/>
      <c r="TC2" s="85"/>
      <c r="TD2" s="84" t="str">
        <f ca="1">IF(CELL("contenu",INDIRECT(ADDRESS(TD1,1,1,1,CELL("contenu",$B$2))))="","----",CELL("contenu",INDIRECT(ADDRESS(TD1,1,1,1,CELL("contenu",$B$2)))))</f>
        <v>----</v>
      </c>
      <c r="TE2" s="84"/>
      <c r="TF2" s="84"/>
      <c r="TG2" s="84"/>
      <c r="TH2" s="84"/>
      <c r="TI2" s="84"/>
      <c r="TJ2" s="84"/>
      <c r="TK2" s="84"/>
      <c r="TL2" s="84"/>
      <c r="TM2" s="84"/>
      <c r="TN2" s="84"/>
      <c r="TO2" s="84"/>
      <c r="TP2" s="84"/>
      <c r="TQ2" s="84"/>
      <c r="TR2" s="84"/>
      <c r="TS2" s="84"/>
      <c r="TT2" s="85"/>
    </row>
    <row r="3" spans="1:540" ht="60" customHeight="1" thickBot="1" x14ac:dyDescent="0.3">
      <c r="A3" s="161"/>
      <c r="B3" s="162" t="s">
        <v>34</v>
      </c>
      <c r="C3" s="86" t="s">
        <v>203</v>
      </c>
      <c r="D3" s="87" t="s">
        <v>205</v>
      </c>
      <c r="E3" s="88"/>
      <c r="F3" s="176" t="s">
        <v>7</v>
      </c>
      <c r="G3" s="177"/>
      <c r="H3" s="86" t="s">
        <v>206</v>
      </c>
      <c r="I3" s="91" t="s">
        <v>210</v>
      </c>
      <c r="J3" s="88" t="s">
        <v>212</v>
      </c>
      <c r="K3" s="192" t="s">
        <v>8</v>
      </c>
      <c r="L3" s="193"/>
      <c r="M3" s="86" t="s">
        <v>215</v>
      </c>
      <c r="N3" s="91" t="s">
        <v>216</v>
      </c>
      <c r="O3" s="88" t="s">
        <v>218</v>
      </c>
      <c r="P3" s="88" t="s">
        <v>219</v>
      </c>
      <c r="Q3" s="198" t="s">
        <v>9</v>
      </c>
      <c r="R3" s="199"/>
      <c r="S3" s="200" t="s">
        <v>10</v>
      </c>
      <c r="T3" s="201"/>
      <c r="U3" s="98" t="str">
        <f>IF(C3="","",C3)</f>
        <v>EVAL CH4</v>
      </c>
      <c r="V3" s="99" t="str">
        <f>IF(D3="","",D3)</f>
        <v>CH4/4</v>
      </c>
      <c r="W3" s="100" t="str">
        <f>IF(E3="","",E3)</f>
        <v/>
      </c>
      <c r="X3" s="176" t="s">
        <v>7</v>
      </c>
      <c r="Y3" s="177"/>
      <c r="Z3" s="101" t="str">
        <f>IF(H3="","",H3)</f>
        <v>CH5/1</v>
      </c>
      <c r="AA3" s="99" t="str">
        <f>IF(I3="","",I3)</f>
        <v>Fiiche CH5/3</v>
      </c>
      <c r="AB3" s="216" t="str">
        <f>IF(J3="","",J3)</f>
        <v>Eval CH5</v>
      </c>
      <c r="AC3" s="192" t="s">
        <v>8</v>
      </c>
      <c r="AD3" s="193"/>
      <c r="AE3" s="101" t="str">
        <f>IF(M3="","",M3)</f>
        <v>Eval O1 O2</v>
      </c>
      <c r="AF3" s="99" t="str">
        <f>IF(N3="","",N3)</f>
        <v>Fiche CH6/1</v>
      </c>
      <c r="AG3" s="216" t="str">
        <f>IF(O3="","",O3)</f>
        <v>Fiche CH6/2</v>
      </c>
      <c r="AH3" s="100" t="str">
        <f>IF(P3="","",P3)</f>
        <v>Eval CH6 CH7</v>
      </c>
      <c r="AI3" s="198" t="s">
        <v>9</v>
      </c>
      <c r="AJ3" s="199"/>
      <c r="AK3" s="200" t="s">
        <v>10</v>
      </c>
      <c r="AL3" s="201"/>
      <c r="AM3" s="98" t="str">
        <f>IF(U3="","",U3)</f>
        <v>EVAL CH4</v>
      </c>
      <c r="AN3" s="99" t="str">
        <f>IF(V3="","",V3)</f>
        <v>CH4/4</v>
      </c>
      <c r="AO3" s="100" t="str">
        <f>IF(W3="","",W3)</f>
        <v/>
      </c>
      <c r="AP3" s="176" t="s">
        <v>7</v>
      </c>
      <c r="AQ3" s="177"/>
      <c r="AR3" s="101" t="str">
        <f>IF(Z3="","",Z3)</f>
        <v>CH5/1</v>
      </c>
      <c r="AS3" s="99" t="str">
        <f>IF(AA3="","",AA3)</f>
        <v>Fiiche CH5/3</v>
      </c>
      <c r="AT3" s="216" t="str">
        <f>IF(AB3="","",AB3)</f>
        <v>Eval CH5</v>
      </c>
      <c r="AU3" s="192" t="s">
        <v>8</v>
      </c>
      <c r="AV3" s="193"/>
      <c r="AW3" s="101" t="str">
        <f>IF(AE3="","",AE3)</f>
        <v>Eval O1 O2</v>
      </c>
      <c r="AX3" s="99" t="str">
        <f>IF(AF3="","",AF3)</f>
        <v>Fiche CH6/1</v>
      </c>
      <c r="AY3" s="216" t="str">
        <f>IF(AG3="","",AG3)</f>
        <v>Fiche CH6/2</v>
      </c>
      <c r="AZ3" s="100" t="str">
        <f>IF(AH3="","",AH3)</f>
        <v>Eval CH6 CH7</v>
      </c>
      <c r="BA3" s="198" t="s">
        <v>9</v>
      </c>
      <c r="BB3" s="199"/>
      <c r="BC3" s="200" t="s">
        <v>10</v>
      </c>
      <c r="BD3" s="201"/>
      <c r="BE3" s="98" t="str">
        <f>IF(AM3="","",AM3)</f>
        <v>EVAL CH4</v>
      </c>
      <c r="BF3" s="99" t="str">
        <f>IF(AN3="","",AN3)</f>
        <v>CH4/4</v>
      </c>
      <c r="BG3" s="100" t="str">
        <f>IF(AO3="","",AO3)</f>
        <v/>
      </c>
      <c r="BH3" s="176" t="s">
        <v>7</v>
      </c>
      <c r="BI3" s="177"/>
      <c r="BJ3" s="101" t="str">
        <f>IF(AR3="","",AR3)</f>
        <v>CH5/1</v>
      </c>
      <c r="BK3" s="99" t="str">
        <f>IF(AS3="","",AS3)</f>
        <v>Fiiche CH5/3</v>
      </c>
      <c r="BL3" s="216" t="str">
        <f>IF(AT3="","",AT3)</f>
        <v>Eval CH5</v>
      </c>
      <c r="BM3" s="192" t="s">
        <v>8</v>
      </c>
      <c r="BN3" s="193"/>
      <c r="BO3" s="101" t="str">
        <f>IF(AW3="","",AW3)</f>
        <v>Eval O1 O2</v>
      </c>
      <c r="BP3" s="99" t="str">
        <f>IF(AX3="","",AX3)</f>
        <v>Fiche CH6/1</v>
      </c>
      <c r="BQ3" s="216" t="str">
        <f>IF(AY3="","",AY3)</f>
        <v>Fiche CH6/2</v>
      </c>
      <c r="BR3" s="100" t="str">
        <f>IF(AZ3="","",AZ3)</f>
        <v>Eval CH6 CH7</v>
      </c>
      <c r="BS3" s="198" t="s">
        <v>9</v>
      </c>
      <c r="BT3" s="199"/>
      <c r="BU3" s="200" t="s">
        <v>10</v>
      </c>
      <c r="BV3" s="201"/>
      <c r="BW3" s="98" t="str">
        <f>IF(BE3="","",BE3)</f>
        <v>EVAL CH4</v>
      </c>
      <c r="BX3" s="99" t="str">
        <f>IF(BF3="","",BF3)</f>
        <v>CH4/4</v>
      </c>
      <c r="BY3" s="100" t="str">
        <f>IF(BG3="","",BG3)</f>
        <v/>
      </c>
      <c r="BZ3" s="176" t="s">
        <v>7</v>
      </c>
      <c r="CA3" s="177"/>
      <c r="CB3" s="101" t="str">
        <f>IF(BJ3="","",BJ3)</f>
        <v>CH5/1</v>
      </c>
      <c r="CC3" s="99" t="str">
        <f>IF(BK3="","",BK3)</f>
        <v>Fiiche CH5/3</v>
      </c>
      <c r="CD3" s="216" t="str">
        <f>IF(BL3="","",BL3)</f>
        <v>Eval CH5</v>
      </c>
      <c r="CE3" s="192" t="s">
        <v>8</v>
      </c>
      <c r="CF3" s="193"/>
      <c r="CG3" s="101" t="str">
        <f>IF(BO3="","",BO3)</f>
        <v>Eval O1 O2</v>
      </c>
      <c r="CH3" s="99" t="str">
        <f>IF(BP3="","",BP3)</f>
        <v>Fiche CH6/1</v>
      </c>
      <c r="CI3" s="216" t="str">
        <f>IF(BQ3="","",BQ3)</f>
        <v>Fiche CH6/2</v>
      </c>
      <c r="CJ3" s="100" t="str">
        <f>IF(BR3="","",BR3)</f>
        <v>Eval CH6 CH7</v>
      </c>
      <c r="CK3" s="198" t="s">
        <v>9</v>
      </c>
      <c r="CL3" s="199"/>
      <c r="CM3" s="200" t="s">
        <v>10</v>
      </c>
      <c r="CN3" s="201"/>
      <c r="CO3" s="98" t="str">
        <f>IF(BW3="","",BW3)</f>
        <v>EVAL CH4</v>
      </c>
      <c r="CP3" s="99" t="str">
        <f>IF(BX3="","",BX3)</f>
        <v>CH4/4</v>
      </c>
      <c r="CQ3" s="100" t="str">
        <f>IF(BY3="","",BY3)</f>
        <v/>
      </c>
      <c r="CR3" s="176" t="s">
        <v>7</v>
      </c>
      <c r="CS3" s="177"/>
      <c r="CT3" s="101" t="str">
        <f>IF(CB3="","",CB3)</f>
        <v>CH5/1</v>
      </c>
      <c r="CU3" s="99" t="str">
        <f>IF(CC3="","",CC3)</f>
        <v>Fiiche CH5/3</v>
      </c>
      <c r="CV3" s="216" t="str">
        <f>IF(CD3="","",CD3)</f>
        <v>Eval CH5</v>
      </c>
      <c r="CW3" s="192" t="s">
        <v>8</v>
      </c>
      <c r="CX3" s="193"/>
      <c r="CY3" s="101" t="str">
        <f>IF(CG3="","",CG3)</f>
        <v>Eval O1 O2</v>
      </c>
      <c r="CZ3" s="99" t="str">
        <f>IF(CH3="","",CH3)</f>
        <v>Fiche CH6/1</v>
      </c>
      <c r="DA3" s="216" t="str">
        <f>IF(CI3="","",CI3)</f>
        <v>Fiche CH6/2</v>
      </c>
      <c r="DB3" s="100" t="str">
        <f>IF(CJ3="","",CJ3)</f>
        <v>Eval CH6 CH7</v>
      </c>
      <c r="DC3" s="198" t="s">
        <v>9</v>
      </c>
      <c r="DD3" s="199"/>
      <c r="DE3" s="200" t="s">
        <v>10</v>
      </c>
      <c r="DF3" s="201"/>
      <c r="DG3" s="98" t="str">
        <f>IF(CO3="","",CO3)</f>
        <v>EVAL CH4</v>
      </c>
      <c r="DH3" s="99" t="str">
        <f>IF(CP3="","",CP3)</f>
        <v>CH4/4</v>
      </c>
      <c r="DI3" s="100" t="str">
        <f>IF(CQ3="","",CQ3)</f>
        <v/>
      </c>
      <c r="DJ3" s="176" t="s">
        <v>7</v>
      </c>
      <c r="DK3" s="177"/>
      <c r="DL3" s="101" t="str">
        <f>IF(CT3="","",CT3)</f>
        <v>CH5/1</v>
      </c>
      <c r="DM3" s="99" t="str">
        <f>IF(CU3="","",CU3)</f>
        <v>Fiiche CH5/3</v>
      </c>
      <c r="DN3" s="216" t="str">
        <f>IF(CV3="","",CV3)</f>
        <v>Eval CH5</v>
      </c>
      <c r="DO3" s="192" t="s">
        <v>8</v>
      </c>
      <c r="DP3" s="193"/>
      <c r="DQ3" s="101" t="str">
        <f>IF(CY3="","",CY3)</f>
        <v>Eval O1 O2</v>
      </c>
      <c r="DR3" s="99" t="str">
        <f>IF(CZ3="","",CZ3)</f>
        <v>Fiche CH6/1</v>
      </c>
      <c r="DS3" s="216" t="str">
        <f>IF(DA3="","",DA3)</f>
        <v>Fiche CH6/2</v>
      </c>
      <c r="DT3" s="100" t="str">
        <f>IF(DB3="","",DB3)</f>
        <v>Eval CH6 CH7</v>
      </c>
      <c r="DU3" s="198" t="s">
        <v>9</v>
      </c>
      <c r="DV3" s="199"/>
      <c r="DW3" s="200" t="s">
        <v>10</v>
      </c>
      <c r="DX3" s="201"/>
      <c r="DY3" s="98" t="str">
        <f>IF(DG3="","",DG3)</f>
        <v>EVAL CH4</v>
      </c>
      <c r="DZ3" s="99" t="str">
        <f>IF(DH3="","",DH3)</f>
        <v>CH4/4</v>
      </c>
      <c r="EA3" s="100" t="str">
        <f>IF(DI3="","",DI3)</f>
        <v/>
      </c>
      <c r="EB3" s="176" t="s">
        <v>7</v>
      </c>
      <c r="EC3" s="177"/>
      <c r="ED3" s="101" t="str">
        <f>IF(DL3="","",DL3)</f>
        <v>CH5/1</v>
      </c>
      <c r="EE3" s="99" t="str">
        <f>IF(DM3="","",DM3)</f>
        <v>Fiiche CH5/3</v>
      </c>
      <c r="EF3" s="216" t="str">
        <f>IF(DN3="","",DN3)</f>
        <v>Eval CH5</v>
      </c>
      <c r="EG3" s="192" t="s">
        <v>8</v>
      </c>
      <c r="EH3" s="193"/>
      <c r="EI3" s="101" t="str">
        <f>IF(DQ3="","",DQ3)</f>
        <v>Eval O1 O2</v>
      </c>
      <c r="EJ3" s="99" t="str">
        <f>IF(DR3="","",DR3)</f>
        <v>Fiche CH6/1</v>
      </c>
      <c r="EK3" s="216" t="str">
        <f>IF(DS3="","",DS3)</f>
        <v>Fiche CH6/2</v>
      </c>
      <c r="EL3" s="100" t="str">
        <f>IF(DT3="","",DT3)</f>
        <v>Eval CH6 CH7</v>
      </c>
      <c r="EM3" s="198" t="s">
        <v>9</v>
      </c>
      <c r="EN3" s="199"/>
      <c r="EO3" s="200" t="s">
        <v>10</v>
      </c>
      <c r="EP3" s="201"/>
      <c r="EQ3" s="98" t="str">
        <f>IF(DY3="","",DY3)</f>
        <v>EVAL CH4</v>
      </c>
      <c r="ER3" s="99" t="str">
        <f>IF(DZ3="","",DZ3)</f>
        <v>CH4/4</v>
      </c>
      <c r="ES3" s="100" t="str">
        <f>IF(EA3="","",EA3)</f>
        <v/>
      </c>
      <c r="ET3" s="176" t="s">
        <v>7</v>
      </c>
      <c r="EU3" s="177"/>
      <c r="EV3" s="101" t="str">
        <f>IF(ED3="","",ED3)</f>
        <v>CH5/1</v>
      </c>
      <c r="EW3" s="99" t="str">
        <f>IF(EE3="","",EE3)</f>
        <v>Fiiche CH5/3</v>
      </c>
      <c r="EX3" s="216" t="str">
        <f>IF(EF3="","",EF3)</f>
        <v>Eval CH5</v>
      </c>
      <c r="EY3" s="192" t="s">
        <v>8</v>
      </c>
      <c r="EZ3" s="193"/>
      <c r="FA3" s="101" t="str">
        <f>IF(EI3="","",EI3)</f>
        <v>Eval O1 O2</v>
      </c>
      <c r="FB3" s="99" t="str">
        <f>IF(EJ3="","",EJ3)</f>
        <v>Fiche CH6/1</v>
      </c>
      <c r="FC3" s="216" t="str">
        <f>IF(EK3="","",EK3)</f>
        <v>Fiche CH6/2</v>
      </c>
      <c r="FD3" s="100" t="str">
        <f>IF(EL3="","",EL3)</f>
        <v>Eval CH6 CH7</v>
      </c>
      <c r="FE3" s="198" t="s">
        <v>9</v>
      </c>
      <c r="FF3" s="199"/>
      <c r="FG3" s="200" t="s">
        <v>10</v>
      </c>
      <c r="FH3" s="201"/>
      <c r="FI3" s="98" t="str">
        <f>IF(EQ3="","",EQ3)</f>
        <v>EVAL CH4</v>
      </c>
      <c r="FJ3" s="99" t="str">
        <f>IF(ER3="","",ER3)</f>
        <v>CH4/4</v>
      </c>
      <c r="FK3" s="100" t="str">
        <f>IF(ES3="","",ES3)</f>
        <v/>
      </c>
      <c r="FL3" s="176" t="s">
        <v>7</v>
      </c>
      <c r="FM3" s="177"/>
      <c r="FN3" s="101" t="str">
        <f>IF(EV3="","",EV3)</f>
        <v>CH5/1</v>
      </c>
      <c r="FO3" s="99" t="str">
        <f>IF(EW3="","",EW3)</f>
        <v>Fiiche CH5/3</v>
      </c>
      <c r="FP3" s="216" t="str">
        <f>IF(EX3="","",EX3)</f>
        <v>Eval CH5</v>
      </c>
      <c r="FQ3" s="192" t="s">
        <v>8</v>
      </c>
      <c r="FR3" s="193"/>
      <c r="FS3" s="101" t="str">
        <f>IF(FA3="","",FA3)</f>
        <v>Eval O1 O2</v>
      </c>
      <c r="FT3" s="99" t="str">
        <f>IF(FB3="","",FB3)</f>
        <v>Fiche CH6/1</v>
      </c>
      <c r="FU3" s="216" t="str">
        <f>IF(FC3="","",FC3)</f>
        <v>Fiche CH6/2</v>
      </c>
      <c r="FV3" s="100" t="str">
        <f>IF(FD3="","",FD3)</f>
        <v>Eval CH6 CH7</v>
      </c>
      <c r="FW3" s="198" t="s">
        <v>9</v>
      </c>
      <c r="FX3" s="199"/>
      <c r="FY3" s="200" t="s">
        <v>10</v>
      </c>
      <c r="FZ3" s="201"/>
      <c r="GA3" s="98" t="str">
        <f>IF(FI3="","",FI3)</f>
        <v>EVAL CH4</v>
      </c>
      <c r="GB3" s="99" t="str">
        <f>IF(FJ3="","",FJ3)</f>
        <v>CH4/4</v>
      </c>
      <c r="GC3" s="100" t="str">
        <f>IF(FK3="","",FK3)</f>
        <v/>
      </c>
      <c r="GD3" s="176" t="s">
        <v>7</v>
      </c>
      <c r="GE3" s="177"/>
      <c r="GF3" s="101" t="str">
        <f>IF(FN3="","",FN3)</f>
        <v>CH5/1</v>
      </c>
      <c r="GG3" s="99" t="str">
        <f>IF(FO3="","",FO3)</f>
        <v>Fiiche CH5/3</v>
      </c>
      <c r="GH3" s="216" t="str">
        <f>IF(FP3="","",FP3)</f>
        <v>Eval CH5</v>
      </c>
      <c r="GI3" s="192" t="s">
        <v>8</v>
      </c>
      <c r="GJ3" s="193"/>
      <c r="GK3" s="101" t="str">
        <f>IF(FS3="","",FS3)</f>
        <v>Eval O1 O2</v>
      </c>
      <c r="GL3" s="99" t="str">
        <f>IF(FT3="","",FT3)</f>
        <v>Fiche CH6/1</v>
      </c>
      <c r="GM3" s="216" t="str">
        <f>IF(FU3="","",FU3)</f>
        <v>Fiche CH6/2</v>
      </c>
      <c r="GN3" s="100" t="str">
        <f>IF(FV3="","",FV3)</f>
        <v>Eval CH6 CH7</v>
      </c>
      <c r="GO3" s="198" t="s">
        <v>9</v>
      </c>
      <c r="GP3" s="199"/>
      <c r="GQ3" s="200" t="s">
        <v>10</v>
      </c>
      <c r="GR3" s="201"/>
      <c r="GS3" s="98" t="str">
        <f>IF(GA3="","",GA3)</f>
        <v>EVAL CH4</v>
      </c>
      <c r="GT3" s="99" t="str">
        <f>IF(GB3="","",GB3)</f>
        <v>CH4/4</v>
      </c>
      <c r="GU3" s="100" t="str">
        <f>IF(GC3="","",GC3)</f>
        <v/>
      </c>
      <c r="GV3" s="176" t="s">
        <v>7</v>
      </c>
      <c r="GW3" s="177"/>
      <c r="GX3" s="101" t="str">
        <f>IF(GF3="","",GF3)</f>
        <v>CH5/1</v>
      </c>
      <c r="GY3" s="99" t="str">
        <f>IF(GG3="","",GG3)</f>
        <v>Fiiche CH5/3</v>
      </c>
      <c r="GZ3" s="216" t="str">
        <f>IF(GH3="","",GH3)</f>
        <v>Eval CH5</v>
      </c>
      <c r="HA3" s="192" t="s">
        <v>8</v>
      </c>
      <c r="HB3" s="193"/>
      <c r="HC3" s="101" t="str">
        <f>IF(GK3="","",GK3)</f>
        <v>Eval O1 O2</v>
      </c>
      <c r="HD3" s="99" t="str">
        <f>IF(GL3="","",GL3)</f>
        <v>Fiche CH6/1</v>
      </c>
      <c r="HE3" s="216" t="str">
        <f>IF(GM3="","",GM3)</f>
        <v>Fiche CH6/2</v>
      </c>
      <c r="HF3" s="100" t="str">
        <f>IF(GN3="","",GN3)</f>
        <v>Eval CH6 CH7</v>
      </c>
      <c r="HG3" s="198" t="s">
        <v>9</v>
      </c>
      <c r="HH3" s="199"/>
      <c r="HI3" s="200" t="s">
        <v>10</v>
      </c>
      <c r="HJ3" s="201"/>
      <c r="HK3" s="98" t="str">
        <f>IF(GS3="","",GS3)</f>
        <v>EVAL CH4</v>
      </c>
      <c r="HL3" s="99" t="str">
        <f>IF(GT3="","",GT3)</f>
        <v>CH4/4</v>
      </c>
      <c r="HM3" s="100" t="str">
        <f>IF(GU3="","",GU3)</f>
        <v/>
      </c>
      <c r="HN3" s="176" t="s">
        <v>7</v>
      </c>
      <c r="HO3" s="177"/>
      <c r="HP3" s="101" t="str">
        <f>IF(GX3="","",GX3)</f>
        <v>CH5/1</v>
      </c>
      <c r="HQ3" s="99" t="str">
        <f>IF(GY3="","",GY3)</f>
        <v>Fiiche CH5/3</v>
      </c>
      <c r="HR3" s="216" t="str">
        <f>IF(GZ3="","",GZ3)</f>
        <v>Eval CH5</v>
      </c>
      <c r="HS3" s="192" t="s">
        <v>8</v>
      </c>
      <c r="HT3" s="193"/>
      <c r="HU3" s="101" t="str">
        <f>IF(HC3="","",HC3)</f>
        <v>Eval O1 O2</v>
      </c>
      <c r="HV3" s="99" t="str">
        <f>IF(HD3="","",HD3)</f>
        <v>Fiche CH6/1</v>
      </c>
      <c r="HW3" s="216" t="str">
        <f>IF(HE3="","",HE3)</f>
        <v>Fiche CH6/2</v>
      </c>
      <c r="HX3" s="100" t="str">
        <f>IF(HF3="","",HF3)</f>
        <v>Eval CH6 CH7</v>
      </c>
      <c r="HY3" s="198" t="s">
        <v>9</v>
      </c>
      <c r="HZ3" s="199"/>
      <c r="IA3" s="200" t="s">
        <v>10</v>
      </c>
      <c r="IB3" s="201"/>
      <c r="IC3" s="98" t="str">
        <f>IF(HK3="","",HK3)</f>
        <v>EVAL CH4</v>
      </c>
      <c r="ID3" s="99" t="str">
        <f>IF(HL3="","",HL3)</f>
        <v>CH4/4</v>
      </c>
      <c r="IE3" s="100" t="str">
        <f>IF(HM3="","",HM3)</f>
        <v/>
      </c>
      <c r="IF3" s="176" t="s">
        <v>7</v>
      </c>
      <c r="IG3" s="177"/>
      <c r="IH3" s="101" t="str">
        <f>IF(HP3="","",HP3)</f>
        <v>CH5/1</v>
      </c>
      <c r="II3" s="99" t="str">
        <f>IF(HQ3="","",HQ3)</f>
        <v>Fiiche CH5/3</v>
      </c>
      <c r="IJ3" s="216" t="str">
        <f>IF(HR3="","",HR3)</f>
        <v>Eval CH5</v>
      </c>
      <c r="IK3" s="192" t="s">
        <v>8</v>
      </c>
      <c r="IL3" s="193"/>
      <c r="IM3" s="101" t="str">
        <f>IF(HU3="","",HU3)</f>
        <v>Eval O1 O2</v>
      </c>
      <c r="IN3" s="99" t="str">
        <f>IF(HV3="","",HV3)</f>
        <v>Fiche CH6/1</v>
      </c>
      <c r="IO3" s="216" t="str">
        <f>IF(HW3="","",HW3)</f>
        <v>Fiche CH6/2</v>
      </c>
      <c r="IP3" s="100" t="str">
        <f>IF(HX3="","",HX3)</f>
        <v>Eval CH6 CH7</v>
      </c>
      <c r="IQ3" s="198" t="s">
        <v>9</v>
      </c>
      <c r="IR3" s="199"/>
      <c r="IS3" s="200" t="s">
        <v>10</v>
      </c>
      <c r="IT3" s="201"/>
      <c r="IU3" s="98" t="str">
        <f>IF(IC3="","",IC3)</f>
        <v>EVAL CH4</v>
      </c>
      <c r="IV3" s="99" t="str">
        <f>IF(ID3="","",ID3)</f>
        <v>CH4/4</v>
      </c>
      <c r="IW3" s="100" t="str">
        <f>IF(IE3="","",IE3)</f>
        <v/>
      </c>
      <c r="IX3" s="176" t="s">
        <v>7</v>
      </c>
      <c r="IY3" s="177"/>
      <c r="IZ3" s="101" t="str">
        <f>IF(IH3="","",IH3)</f>
        <v>CH5/1</v>
      </c>
      <c r="JA3" s="99" t="str">
        <f>IF(II3="","",II3)</f>
        <v>Fiiche CH5/3</v>
      </c>
      <c r="JB3" s="216" t="str">
        <f>IF(IJ3="","",IJ3)</f>
        <v>Eval CH5</v>
      </c>
      <c r="JC3" s="192" t="s">
        <v>8</v>
      </c>
      <c r="JD3" s="193"/>
      <c r="JE3" s="101" t="str">
        <f>IF(IM3="","",IM3)</f>
        <v>Eval O1 O2</v>
      </c>
      <c r="JF3" s="99" t="str">
        <f>IF(IN3="","",IN3)</f>
        <v>Fiche CH6/1</v>
      </c>
      <c r="JG3" s="216" t="str">
        <f>IF(IO3="","",IO3)</f>
        <v>Fiche CH6/2</v>
      </c>
      <c r="JH3" s="100" t="str">
        <f>IF(IP3="","",IP3)</f>
        <v>Eval CH6 CH7</v>
      </c>
      <c r="JI3" s="198" t="s">
        <v>9</v>
      </c>
      <c r="JJ3" s="199"/>
      <c r="JK3" s="200" t="s">
        <v>10</v>
      </c>
      <c r="JL3" s="201"/>
      <c r="JM3" s="98" t="str">
        <f>IF(IU3="","",IU3)</f>
        <v>EVAL CH4</v>
      </c>
      <c r="JN3" s="99" t="str">
        <f>IF(IV3="","",IV3)</f>
        <v>CH4/4</v>
      </c>
      <c r="JO3" s="100" t="str">
        <f>IF(IW3="","",IW3)</f>
        <v/>
      </c>
      <c r="JP3" s="176" t="s">
        <v>7</v>
      </c>
      <c r="JQ3" s="177"/>
      <c r="JR3" s="101" t="str">
        <f>IF(IZ3="","",IZ3)</f>
        <v>CH5/1</v>
      </c>
      <c r="JS3" s="99" t="str">
        <f>IF(JA3="","",JA3)</f>
        <v>Fiiche CH5/3</v>
      </c>
      <c r="JT3" s="216" t="str">
        <f>IF(JB3="","",JB3)</f>
        <v>Eval CH5</v>
      </c>
      <c r="JU3" s="192" t="s">
        <v>8</v>
      </c>
      <c r="JV3" s="193"/>
      <c r="JW3" s="101" t="str">
        <f>IF(JE3="","",JE3)</f>
        <v>Eval O1 O2</v>
      </c>
      <c r="JX3" s="99" t="str">
        <f>IF(JF3="","",JF3)</f>
        <v>Fiche CH6/1</v>
      </c>
      <c r="JY3" s="216" t="str">
        <f>IF(JG3="","",JG3)</f>
        <v>Fiche CH6/2</v>
      </c>
      <c r="JZ3" s="100" t="str">
        <f>IF(JH3="","",JH3)</f>
        <v>Eval CH6 CH7</v>
      </c>
      <c r="KA3" s="198" t="s">
        <v>9</v>
      </c>
      <c r="KB3" s="199"/>
      <c r="KC3" s="200" t="s">
        <v>10</v>
      </c>
      <c r="KD3" s="201"/>
      <c r="KE3" s="98" t="str">
        <f>IF(JM3="","",JM3)</f>
        <v>EVAL CH4</v>
      </c>
      <c r="KF3" s="99" t="str">
        <f>IF(JN3="","",JN3)</f>
        <v>CH4/4</v>
      </c>
      <c r="KG3" s="100" t="str">
        <f>IF(JO3="","",JO3)</f>
        <v/>
      </c>
      <c r="KH3" s="176" t="s">
        <v>7</v>
      </c>
      <c r="KI3" s="177"/>
      <c r="KJ3" s="101" t="str">
        <f>IF(JR3="","",JR3)</f>
        <v>CH5/1</v>
      </c>
      <c r="KK3" s="99" t="str">
        <f>IF(JS3="","",JS3)</f>
        <v>Fiiche CH5/3</v>
      </c>
      <c r="KL3" s="216" t="str">
        <f>IF(JT3="","",JT3)</f>
        <v>Eval CH5</v>
      </c>
      <c r="KM3" s="192" t="s">
        <v>8</v>
      </c>
      <c r="KN3" s="193"/>
      <c r="KO3" s="101" t="str">
        <f>IF(JW3="","",JW3)</f>
        <v>Eval O1 O2</v>
      </c>
      <c r="KP3" s="99" t="str">
        <f>IF(JX3="","",JX3)</f>
        <v>Fiche CH6/1</v>
      </c>
      <c r="KQ3" s="216" t="str">
        <f>IF(JY3="","",JY3)</f>
        <v>Fiche CH6/2</v>
      </c>
      <c r="KR3" s="100" t="str">
        <f>IF(JZ3="","",JZ3)</f>
        <v>Eval CH6 CH7</v>
      </c>
      <c r="KS3" s="198" t="s">
        <v>9</v>
      </c>
      <c r="KT3" s="199"/>
      <c r="KU3" s="200" t="s">
        <v>10</v>
      </c>
      <c r="KV3" s="201"/>
      <c r="KW3" s="98" t="str">
        <f>IF(KE3="","",KE3)</f>
        <v>EVAL CH4</v>
      </c>
      <c r="KX3" s="99" t="str">
        <f>IF(KF3="","",KF3)</f>
        <v>CH4/4</v>
      </c>
      <c r="KY3" s="100" t="str">
        <f>IF(KG3="","",KG3)</f>
        <v/>
      </c>
      <c r="KZ3" s="176" t="s">
        <v>7</v>
      </c>
      <c r="LA3" s="177"/>
      <c r="LB3" s="101" t="str">
        <f>IF(KJ3="","",KJ3)</f>
        <v>CH5/1</v>
      </c>
      <c r="LC3" s="99" t="str">
        <f>IF(KK3="","",KK3)</f>
        <v>Fiiche CH5/3</v>
      </c>
      <c r="LD3" s="216" t="str">
        <f>IF(KL3="","",KL3)</f>
        <v>Eval CH5</v>
      </c>
      <c r="LE3" s="192" t="s">
        <v>8</v>
      </c>
      <c r="LF3" s="193"/>
      <c r="LG3" s="101" t="str">
        <f>IF(KO3="","",KO3)</f>
        <v>Eval O1 O2</v>
      </c>
      <c r="LH3" s="99" t="str">
        <f>IF(KP3="","",KP3)</f>
        <v>Fiche CH6/1</v>
      </c>
      <c r="LI3" s="216" t="str">
        <f>IF(KQ3="","",KQ3)</f>
        <v>Fiche CH6/2</v>
      </c>
      <c r="LJ3" s="100" t="str">
        <f>IF(KR3="","",KR3)</f>
        <v>Eval CH6 CH7</v>
      </c>
      <c r="LK3" s="198" t="s">
        <v>9</v>
      </c>
      <c r="LL3" s="199"/>
      <c r="LM3" s="200" t="s">
        <v>10</v>
      </c>
      <c r="LN3" s="201"/>
      <c r="LO3" s="98" t="str">
        <f>IF(KW3="","",KW3)</f>
        <v>EVAL CH4</v>
      </c>
      <c r="LP3" s="99" t="str">
        <f>IF(KX3="","",KX3)</f>
        <v>CH4/4</v>
      </c>
      <c r="LQ3" s="100" t="str">
        <f>IF(KY3="","",KY3)</f>
        <v/>
      </c>
      <c r="LR3" s="176" t="s">
        <v>7</v>
      </c>
      <c r="LS3" s="177"/>
      <c r="LT3" s="101" t="str">
        <f>IF(LB3="","",LB3)</f>
        <v>CH5/1</v>
      </c>
      <c r="LU3" s="99" t="str">
        <f>IF(LC3="","",LC3)</f>
        <v>Fiiche CH5/3</v>
      </c>
      <c r="LV3" s="216" t="str">
        <f>IF(LD3="","",LD3)</f>
        <v>Eval CH5</v>
      </c>
      <c r="LW3" s="192" t="s">
        <v>8</v>
      </c>
      <c r="LX3" s="193"/>
      <c r="LY3" s="101" t="str">
        <f>IF(LG3="","",LG3)</f>
        <v>Eval O1 O2</v>
      </c>
      <c r="LZ3" s="99" t="str">
        <f>IF(LH3="","",LH3)</f>
        <v>Fiche CH6/1</v>
      </c>
      <c r="MA3" s="216" t="str">
        <f>IF(LI3="","",LI3)</f>
        <v>Fiche CH6/2</v>
      </c>
      <c r="MB3" s="100" t="str">
        <f>IF(LJ3="","",LJ3)</f>
        <v>Eval CH6 CH7</v>
      </c>
      <c r="MC3" s="198" t="s">
        <v>9</v>
      </c>
      <c r="MD3" s="199"/>
      <c r="ME3" s="200" t="s">
        <v>10</v>
      </c>
      <c r="MF3" s="201"/>
      <c r="MG3" s="98" t="str">
        <f>IF(LO3="","",LO3)</f>
        <v>EVAL CH4</v>
      </c>
      <c r="MH3" s="99" t="str">
        <f>IF(LP3="","",LP3)</f>
        <v>CH4/4</v>
      </c>
      <c r="MI3" s="100" t="str">
        <f>IF(LQ3="","",LQ3)</f>
        <v/>
      </c>
      <c r="MJ3" s="176" t="s">
        <v>7</v>
      </c>
      <c r="MK3" s="177"/>
      <c r="ML3" s="101" t="str">
        <f>IF(LT3="","",LT3)</f>
        <v>CH5/1</v>
      </c>
      <c r="MM3" s="99" t="str">
        <f>IF(LU3="","",LU3)</f>
        <v>Fiiche CH5/3</v>
      </c>
      <c r="MN3" s="216" t="str">
        <f>IF(LV3="","",LV3)</f>
        <v>Eval CH5</v>
      </c>
      <c r="MO3" s="192" t="s">
        <v>8</v>
      </c>
      <c r="MP3" s="193"/>
      <c r="MQ3" s="101" t="str">
        <f>IF(LY3="","",LY3)</f>
        <v>Eval O1 O2</v>
      </c>
      <c r="MR3" s="99" t="str">
        <f>IF(LZ3="","",LZ3)</f>
        <v>Fiche CH6/1</v>
      </c>
      <c r="MS3" s="216" t="str">
        <f>IF(MA3="","",MA3)</f>
        <v>Fiche CH6/2</v>
      </c>
      <c r="MT3" s="100" t="str">
        <f>IF(MB3="","",MB3)</f>
        <v>Eval CH6 CH7</v>
      </c>
      <c r="MU3" s="198" t="s">
        <v>9</v>
      </c>
      <c r="MV3" s="199"/>
      <c r="MW3" s="200" t="s">
        <v>10</v>
      </c>
      <c r="MX3" s="201"/>
      <c r="MY3" s="98" t="str">
        <f>IF(MG3="","",MG3)</f>
        <v>EVAL CH4</v>
      </c>
      <c r="MZ3" s="99" t="str">
        <f>IF(MH3="","",MH3)</f>
        <v>CH4/4</v>
      </c>
      <c r="NA3" s="100" t="str">
        <f>IF(MI3="","",MI3)</f>
        <v/>
      </c>
      <c r="NB3" s="176" t="s">
        <v>7</v>
      </c>
      <c r="NC3" s="177"/>
      <c r="ND3" s="101" t="str">
        <f>IF(ML3="","",ML3)</f>
        <v>CH5/1</v>
      </c>
      <c r="NE3" s="99" t="str">
        <f>IF(MM3="","",MM3)</f>
        <v>Fiiche CH5/3</v>
      </c>
      <c r="NF3" s="216" t="str">
        <f>IF(MN3="","",MN3)</f>
        <v>Eval CH5</v>
      </c>
      <c r="NG3" s="192" t="s">
        <v>8</v>
      </c>
      <c r="NH3" s="193"/>
      <c r="NI3" s="101" t="str">
        <f>IF(MQ3="","",MQ3)</f>
        <v>Eval O1 O2</v>
      </c>
      <c r="NJ3" s="99" t="str">
        <f>IF(MR3="","",MR3)</f>
        <v>Fiche CH6/1</v>
      </c>
      <c r="NK3" s="216" t="str">
        <f>IF(MS3="","",MS3)</f>
        <v>Fiche CH6/2</v>
      </c>
      <c r="NL3" s="100" t="str">
        <f>IF(MT3="","",MT3)</f>
        <v>Eval CH6 CH7</v>
      </c>
      <c r="NM3" s="198" t="s">
        <v>9</v>
      </c>
      <c r="NN3" s="199"/>
      <c r="NO3" s="200" t="s">
        <v>10</v>
      </c>
      <c r="NP3" s="201"/>
      <c r="NQ3" s="98" t="str">
        <f>IF(MY3="","",MY3)</f>
        <v>EVAL CH4</v>
      </c>
      <c r="NR3" s="99" t="str">
        <f>IF(MZ3="","",MZ3)</f>
        <v>CH4/4</v>
      </c>
      <c r="NS3" s="100" t="str">
        <f>IF(NA3="","",NA3)</f>
        <v/>
      </c>
      <c r="NT3" s="176" t="s">
        <v>7</v>
      </c>
      <c r="NU3" s="177"/>
      <c r="NV3" s="101" t="str">
        <f>IF(ND3="","",ND3)</f>
        <v>CH5/1</v>
      </c>
      <c r="NW3" s="99" t="str">
        <f>IF(NE3="","",NE3)</f>
        <v>Fiiche CH5/3</v>
      </c>
      <c r="NX3" s="216" t="str">
        <f>IF(NF3="","",NF3)</f>
        <v>Eval CH5</v>
      </c>
      <c r="NY3" s="192" t="s">
        <v>8</v>
      </c>
      <c r="NZ3" s="193"/>
      <c r="OA3" s="101" t="str">
        <f>IF(NI3="","",NI3)</f>
        <v>Eval O1 O2</v>
      </c>
      <c r="OB3" s="99" t="str">
        <f>IF(NJ3="","",NJ3)</f>
        <v>Fiche CH6/1</v>
      </c>
      <c r="OC3" s="216" t="str">
        <f>IF(NK3="","",NK3)</f>
        <v>Fiche CH6/2</v>
      </c>
      <c r="OD3" s="100" t="str">
        <f>IF(NL3="","",NL3)</f>
        <v>Eval CH6 CH7</v>
      </c>
      <c r="OE3" s="198" t="s">
        <v>9</v>
      </c>
      <c r="OF3" s="199"/>
      <c r="OG3" s="200" t="s">
        <v>10</v>
      </c>
      <c r="OH3" s="201"/>
      <c r="OI3" s="98" t="str">
        <f>IF(NQ3="","",NQ3)</f>
        <v>EVAL CH4</v>
      </c>
      <c r="OJ3" s="99" t="str">
        <f>IF(NR3="","",NR3)</f>
        <v>CH4/4</v>
      </c>
      <c r="OK3" s="100" t="str">
        <f>IF(NS3="","",NS3)</f>
        <v/>
      </c>
      <c r="OL3" s="176" t="s">
        <v>7</v>
      </c>
      <c r="OM3" s="177"/>
      <c r="ON3" s="101" t="str">
        <f>IF(NV3="","",NV3)</f>
        <v>CH5/1</v>
      </c>
      <c r="OO3" s="99" t="str">
        <f>IF(NW3="","",NW3)</f>
        <v>Fiiche CH5/3</v>
      </c>
      <c r="OP3" s="216" t="str">
        <f>IF(NX3="","",NX3)</f>
        <v>Eval CH5</v>
      </c>
      <c r="OQ3" s="192" t="s">
        <v>8</v>
      </c>
      <c r="OR3" s="193"/>
      <c r="OS3" s="101" t="str">
        <f>IF(OA3="","",OA3)</f>
        <v>Eval O1 O2</v>
      </c>
      <c r="OT3" s="99" t="str">
        <f>IF(OB3="","",OB3)</f>
        <v>Fiche CH6/1</v>
      </c>
      <c r="OU3" s="216" t="str">
        <f>IF(OC3="","",OC3)</f>
        <v>Fiche CH6/2</v>
      </c>
      <c r="OV3" s="100" t="str">
        <f>IF(OD3="","",OD3)</f>
        <v>Eval CH6 CH7</v>
      </c>
      <c r="OW3" s="198" t="s">
        <v>9</v>
      </c>
      <c r="OX3" s="199"/>
      <c r="OY3" s="200" t="s">
        <v>10</v>
      </c>
      <c r="OZ3" s="201"/>
      <c r="PA3" s="98" t="str">
        <f>IF(OI3="","",OI3)</f>
        <v>EVAL CH4</v>
      </c>
      <c r="PB3" s="99" t="str">
        <f>IF(OJ3="","",OJ3)</f>
        <v>CH4/4</v>
      </c>
      <c r="PC3" s="100" t="str">
        <f>IF(OK3="","",OK3)</f>
        <v/>
      </c>
      <c r="PD3" s="176" t="s">
        <v>7</v>
      </c>
      <c r="PE3" s="177"/>
      <c r="PF3" s="101" t="str">
        <f>IF(ON3="","",ON3)</f>
        <v>CH5/1</v>
      </c>
      <c r="PG3" s="99" t="str">
        <f>IF(OO3="","",OO3)</f>
        <v>Fiiche CH5/3</v>
      </c>
      <c r="PH3" s="216" t="str">
        <f>IF(OP3="","",OP3)</f>
        <v>Eval CH5</v>
      </c>
      <c r="PI3" s="192" t="s">
        <v>8</v>
      </c>
      <c r="PJ3" s="193"/>
      <c r="PK3" s="101" t="str">
        <f>IF(OS3="","",OS3)</f>
        <v>Eval O1 O2</v>
      </c>
      <c r="PL3" s="99" t="str">
        <f>IF(OT3="","",OT3)</f>
        <v>Fiche CH6/1</v>
      </c>
      <c r="PM3" s="216" t="str">
        <f>IF(OU3="","",OU3)</f>
        <v>Fiche CH6/2</v>
      </c>
      <c r="PN3" s="100" t="str">
        <f>IF(OV3="","",OV3)</f>
        <v>Eval CH6 CH7</v>
      </c>
      <c r="PO3" s="198" t="s">
        <v>9</v>
      </c>
      <c r="PP3" s="199"/>
      <c r="PQ3" s="200" t="s">
        <v>10</v>
      </c>
      <c r="PR3" s="201"/>
      <c r="PS3" s="98" t="str">
        <f>IF(PA3="","",PA3)</f>
        <v>EVAL CH4</v>
      </c>
      <c r="PT3" s="99" t="str">
        <f>IF(PB3="","",PB3)</f>
        <v>CH4/4</v>
      </c>
      <c r="PU3" s="100" t="str">
        <f>IF(PC3="","",PC3)</f>
        <v/>
      </c>
      <c r="PV3" s="176" t="s">
        <v>7</v>
      </c>
      <c r="PW3" s="177"/>
      <c r="PX3" s="101" t="str">
        <f>IF(PF3="","",PF3)</f>
        <v>CH5/1</v>
      </c>
      <c r="PY3" s="99" t="str">
        <f>IF(PG3="","",PG3)</f>
        <v>Fiiche CH5/3</v>
      </c>
      <c r="PZ3" s="216" t="str">
        <f>IF(PH3="","",PH3)</f>
        <v>Eval CH5</v>
      </c>
      <c r="QA3" s="192" t="s">
        <v>8</v>
      </c>
      <c r="QB3" s="193"/>
      <c r="QC3" s="101" t="str">
        <f>IF(PK3="","",PK3)</f>
        <v>Eval O1 O2</v>
      </c>
      <c r="QD3" s="99" t="str">
        <f>IF(PL3="","",PL3)</f>
        <v>Fiche CH6/1</v>
      </c>
      <c r="QE3" s="216" t="str">
        <f>IF(PM3="","",PM3)</f>
        <v>Fiche CH6/2</v>
      </c>
      <c r="QF3" s="100" t="str">
        <f>IF(PN3="","",PN3)</f>
        <v>Eval CH6 CH7</v>
      </c>
      <c r="QG3" s="198" t="s">
        <v>9</v>
      </c>
      <c r="QH3" s="199"/>
      <c r="QI3" s="200" t="s">
        <v>10</v>
      </c>
      <c r="QJ3" s="201"/>
      <c r="QK3" s="98" t="str">
        <f>IF(PS3="","",PS3)</f>
        <v>EVAL CH4</v>
      </c>
      <c r="QL3" s="99" t="str">
        <f>IF(PT3="","",PT3)</f>
        <v>CH4/4</v>
      </c>
      <c r="QM3" s="100" t="str">
        <f>IF(PU3="","",PU3)</f>
        <v/>
      </c>
      <c r="QN3" s="176" t="s">
        <v>7</v>
      </c>
      <c r="QO3" s="177"/>
      <c r="QP3" s="101" t="str">
        <f>IF(PX3="","",PX3)</f>
        <v>CH5/1</v>
      </c>
      <c r="QQ3" s="99" t="str">
        <f>IF(PY3="","",PY3)</f>
        <v>Fiiche CH5/3</v>
      </c>
      <c r="QR3" s="216" t="str">
        <f>IF(PZ3="","",PZ3)</f>
        <v>Eval CH5</v>
      </c>
      <c r="QS3" s="192" t="s">
        <v>8</v>
      </c>
      <c r="QT3" s="193"/>
      <c r="QU3" s="101" t="str">
        <f>IF(QC3="","",QC3)</f>
        <v>Eval O1 O2</v>
      </c>
      <c r="QV3" s="99" t="str">
        <f>IF(QD3="","",QD3)</f>
        <v>Fiche CH6/1</v>
      </c>
      <c r="QW3" s="216" t="str">
        <f>IF(QE3="","",QE3)</f>
        <v>Fiche CH6/2</v>
      </c>
      <c r="QX3" s="100" t="str">
        <f>IF(QF3="","",QF3)</f>
        <v>Eval CH6 CH7</v>
      </c>
      <c r="QY3" s="198" t="s">
        <v>9</v>
      </c>
      <c r="QZ3" s="199"/>
      <c r="RA3" s="200" t="s">
        <v>10</v>
      </c>
      <c r="RB3" s="201"/>
      <c r="RC3" s="98" t="str">
        <f>IF(QK3="","",QK3)</f>
        <v>EVAL CH4</v>
      </c>
      <c r="RD3" s="99" t="str">
        <f>IF(QL3="","",QL3)</f>
        <v>CH4/4</v>
      </c>
      <c r="RE3" s="100" t="str">
        <f>IF(QM3="","",QM3)</f>
        <v/>
      </c>
      <c r="RF3" s="176" t="s">
        <v>7</v>
      </c>
      <c r="RG3" s="177"/>
      <c r="RH3" s="101" t="str">
        <f>IF(QP3="","",QP3)</f>
        <v>CH5/1</v>
      </c>
      <c r="RI3" s="99" t="str">
        <f>IF(QQ3="","",QQ3)</f>
        <v>Fiiche CH5/3</v>
      </c>
      <c r="RJ3" s="216" t="str">
        <f>IF(QR3="","",QR3)</f>
        <v>Eval CH5</v>
      </c>
      <c r="RK3" s="192" t="s">
        <v>8</v>
      </c>
      <c r="RL3" s="193"/>
      <c r="RM3" s="101" t="str">
        <f>IF(QU3="","",QU3)</f>
        <v>Eval O1 O2</v>
      </c>
      <c r="RN3" s="99" t="str">
        <f>IF(QV3="","",QV3)</f>
        <v>Fiche CH6/1</v>
      </c>
      <c r="RO3" s="216" t="str">
        <f>IF(QW3="","",QW3)</f>
        <v>Fiche CH6/2</v>
      </c>
      <c r="RP3" s="100" t="str">
        <f>IF(QX3="","",QX3)</f>
        <v>Eval CH6 CH7</v>
      </c>
      <c r="RQ3" s="198" t="s">
        <v>9</v>
      </c>
      <c r="RR3" s="199"/>
      <c r="RS3" s="200" t="s">
        <v>10</v>
      </c>
      <c r="RT3" s="201"/>
      <c r="RU3" s="98" t="str">
        <f>IF(RC3="","",RC3)</f>
        <v>EVAL CH4</v>
      </c>
      <c r="RV3" s="99" t="str">
        <f>IF(RD3="","",RD3)</f>
        <v>CH4/4</v>
      </c>
      <c r="RW3" s="100" t="str">
        <f>IF(RE3="","",RE3)</f>
        <v/>
      </c>
      <c r="RX3" s="176" t="s">
        <v>7</v>
      </c>
      <c r="RY3" s="177"/>
      <c r="RZ3" s="101" t="str">
        <f>IF(RH3="","",RH3)</f>
        <v>CH5/1</v>
      </c>
      <c r="SA3" s="99" t="str">
        <f>IF(RI3="","",RI3)</f>
        <v>Fiiche CH5/3</v>
      </c>
      <c r="SB3" s="216" t="str">
        <f>IF(RJ3="","",RJ3)</f>
        <v>Eval CH5</v>
      </c>
      <c r="SC3" s="192" t="s">
        <v>8</v>
      </c>
      <c r="SD3" s="193"/>
      <c r="SE3" s="101" t="str">
        <f>IF(RM3="","",RM3)</f>
        <v>Eval O1 O2</v>
      </c>
      <c r="SF3" s="99" t="str">
        <f>IF(RN3="","",RN3)</f>
        <v>Fiche CH6/1</v>
      </c>
      <c r="SG3" s="216" t="str">
        <f>IF(RO3="","",RO3)</f>
        <v>Fiche CH6/2</v>
      </c>
      <c r="SH3" s="100" t="str">
        <f>IF(RP3="","",RP3)</f>
        <v>Eval CH6 CH7</v>
      </c>
      <c r="SI3" s="198" t="s">
        <v>9</v>
      </c>
      <c r="SJ3" s="199"/>
      <c r="SK3" s="200" t="s">
        <v>10</v>
      </c>
      <c r="SL3" s="201"/>
      <c r="SM3" s="98" t="str">
        <f>IF(RU3="","",RU3)</f>
        <v>EVAL CH4</v>
      </c>
      <c r="SN3" s="99" t="str">
        <f>IF(RV3="","",RV3)</f>
        <v>CH4/4</v>
      </c>
      <c r="SO3" s="100" t="str">
        <f>IF(RW3="","",RW3)</f>
        <v/>
      </c>
      <c r="SP3" s="89" t="s">
        <v>7</v>
      </c>
      <c r="SQ3" s="90"/>
      <c r="SR3" s="101" t="str">
        <f>IF(RZ3="","",RZ3)</f>
        <v>CH5/1</v>
      </c>
      <c r="SS3" s="99" t="str">
        <f>IF(SA3="","",SA3)</f>
        <v>Fiiche CH5/3</v>
      </c>
      <c r="ST3" s="100" t="e">
        <f>IF(#REF!="","",#REF!)</f>
        <v>#REF!</v>
      </c>
      <c r="SU3" s="92" t="s">
        <v>8</v>
      </c>
      <c r="SV3" s="93"/>
      <c r="SW3" s="101" t="str">
        <f>IF(SE3="","",SE3)</f>
        <v>Eval O1 O2</v>
      </c>
      <c r="SX3" s="99" t="str">
        <f>IF(SF3="","",SF3)</f>
        <v>Fiche CH6/1</v>
      </c>
      <c r="SY3" s="100" t="str">
        <f>IF(SH3="","",SH3)</f>
        <v>Eval CH6 CH7</v>
      </c>
      <c r="SZ3" s="94" t="s">
        <v>9</v>
      </c>
      <c r="TA3" s="95"/>
      <c r="TB3" s="96" t="s">
        <v>10</v>
      </c>
      <c r="TC3" s="97"/>
      <c r="TD3" s="98" t="str">
        <f>IF(SM3="","",SM3)</f>
        <v>EVAL CH4</v>
      </c>
      <c r="TE3" s="99" t="str">
        <f>IF(SN3="","",SN3)</f>
        <v>CH4/4</v>
      </c>
      <c r="TF3" s="100" t="str">
        <f>IF(SO3="","",SO3)</f>
        <v/>
      </c>
      <c r="TG3" s="89" t="s">
        <v>7</v>
      </c>
      <c r="TH3" s="90"/>
      <c r="TI3" s="101" t="str">
        <f>IF(SR3="","",SR3)</f>
        <v>CH5/1</v>
      </c>
      <c r="TJ3" s="99" t="str">
        <f>IF(SS3="","",SS3)</f>
        <v>Fiiche CH5/3</v>
      </c>
      <c r="TK3" s="100" t="e">
        <f>IF(ST3="","",ST3)</f>
        <v>#REF!</v>
      </c>
      <c r="TL3" s="92" t="s">
        <v>8</v>
      </c>
      <c r="TM3" s="93"/>
      <c r="TN3" s="101" t="str">
        <f>IF(SW3="","",SW3)</f>
        <v>Eval O1 O2</v>
      </c>
      <c r="TO3" s="99" t="str">
        <f>IF(SX3="","",SX3)</f>
        <v>Fiche CH6/1</v>
      </c>
      <c r="TP3" s="100" t="str">
        <f>IF(SY3="","",SY3)</f>
        <v>Eval CH6 CH7</v>
      </c>
      <c r="TQ3" s="94" t="s">
        <v>9</v>
      </c>
      <c r="TR3" s="95"/>
      <c r="TS3" s="96" t="s">
        <v>10</v>
      </c>
      <c r="TT3" s="97"/>
    </row>
    <row r="4" spans="1:540" s="114" customFormat="1" ht="30" customHeight="1" thickBot="1" x14ac:dyDescent="0.3">
      <c r="A4" s="163" t="s">
        <v>11</v>
      </c>
      <c r="B4" s="102">
        <v>2</v>
      </c>
      <c r="C4" s="171"/>
      <c r="D4" s="84"/>
      <c r="E4" s="104"/>
      <c r="F4" s="178">
        <f>IF(COUNT(F5:F9)=0,"",SUM(F5:F9)/COUNT(F5:F9))</f>
        <v>3</v>
      </c>
      <c r="G4" s="179" t="str">
        <f t="shared" ref="G4:G21" si="0">IF(F4="","",IF(F4&gt;3.7,"A",IF(F4&gt;2.8,"B",IF(F4&gt;1.5,"C",IF(F4&gt;0,"D",IF(F4=0,""))))))</f>
        <v>B</v>
      </c>
      <c r="H4" s="171"/>
      <c r="I4" s="84"/>
      <c r="J4" s="84"/>
      <c r="K4" s="178">
        <f>IF(COUNT(K5:K9)=0,"",SUM(K5:K9)/COUNT(K5:K9))</f>
        <v>3.375</v>
      </c>
      <c r="L4" s="194" t="str">
        <f t="shared" ref="L4:L21" si="1">IF(K4="","",IF(K4&gt;3.7,"A",IF(K4&gt;2.8,"B",IF(K4&gt;1.5,"C",IF(K4&gt;0,"D",IF(K4=0,""))))))</f>
        <v>B</v>
      </c>
      <c r="M4" s="172"/>
      <c r="N4" s="109"/>
      <c r="O4" s="109"/>
      <c r="P4" s="110"/>
      <c r="Q4" s="178">
        <f>IF(COUNT(Q5:Q9)=0,"",SUM(Q5:Q9)/COUNT(Q5:Q9))</f>
        <v>2.5</v>
      </c>
      <c r="R4" s="202" t="str">
        <f t="shared" ref="R4:R21" si="2">IF(Q4="","",IF(Q4&gt;3.7,"A",IF(Q4&gt;2.8,"B",IF(Q4&gt;1.5,"C",IF(Q4&gt;0,"D",IF(Q4=0,""))))))</f>
        <v>C</v>
      </c>
      <c r="S4" s="203">
        <f>IF(COUNT(S5:S9)=0,"",SUM(S5:S9)/COUNT(S5:S9))</f>
        <v>2.9583333333333335</v>
      </c>
      <c r="T4" s="204" t="str">
        <f t="shared" ref="T4:T21" si="3">IF(S4="","",IF(S4&gt;3.7,"A",IF(S4&gt;2.8,"B",IF(S4&gt;1.5,"C",IF(S4&gt;0,"D",IF(S4=0,""))))))</f>
        <v>B</v>
      </c>
      <c r="U4" s="171"/>
      <c r="V4" s="84"/>
      <c r="W4" s="104"/>
      <c r="X4" s="178">
        <f>IF(COUNT(X5:X9)=0,"",SUM(X5:X9)/COUNT(X5:X9))</f>
        <v>3</v>
      </c>
      <c r="Y4" s="179" t="str">
        <f t="shared" ref="Y4:Y21" si="4">IF(X4="","",IF(X4&gt;3.7,"A",IF(X4&gt;2.8,"B",IF(X4&gt;1.5,"C",IF(X4&gt;0,"D",IF(X4=0,""))))))</f>
        <v>B</v>
      </c>
      <c r="Z4" s="171"/>
      <c r="AA4" s="84"/>
      <c r="AB4" s="84"/>
      <c r="AC4" s="178">
        <f>IF(COUNT(AC5:AC9)=0,"",SUM(AC5:AC9)/COUNT(AC5:AC9))</f>
        <v>2</v>
      </c>
      <c r="AD4" s="194" t="str">
        <f t="shared" ref="AD4:AD21" si="5">IF(AC4="","",IF(AC4&gt;3.7,"A",IF(AC4&gt;2.8,"B",IF(AC4&gt;1.5,"C",IF(AC4&gt;0,"D",IF(AC4=0,""))))))</f>
        <v>C</v>
      </c>
      <c r="AE4" s="172"/>
      <c r="AF4" s="109"/>
      <c r="AG4" s="109"/>
      <c r="AH4" s="110"/>
      <c r="AI4" s="178">
        <f>IF(COUNT(AI5:AI9)=0,"",SUM(AI5:AI9)/COUNT(AI5:AI9))</f>
        <v>2.5</v>
      </c>
      <c r="AJ4" s="202" t="str">
        <f t="shared" ref="AJ4:AJ21" si="6">IF(AI4="","",IF(AI4&gt;3.7,"A",IF(AI4&gt;2.8,"B",IF(AI4&gt;1.5,"C",IF(AI4&gt;0,"D",IF(AI4=0,""))))))</f>
        <v>C</v>
      </c>
      <c r="AK4" s="203">
        <f>IF(COUNT(AK5:AK9)=0,"",SUM(AK5:AK9)/COUNT(AK5:AK9))</f>
        <v>2.375</v>
      </c>
      <c r="AL4" s="204" t="str">
        <f t="shared" ref="AL4:AL21" si="7">IF(AK4="","",IF(AK4&gt;3.7,"A",IF(AK4&gt;2.8,"B",IF(AK4&gt;1.5,"C",IF(AK4&gt;0,"D",IF(AK4=0,""))))))</f>
        <v>C</v>
      </c>
      <c r="AM4" s="171"/>
      <c r="AN4" s="84"/>
      <c r="AO4" s="104"/>
      <c r="AP4" s="178">
        <f>IF(COUNT(AP5:AP9)=0,"",SUM(AP5:AP9)/COUNT(AP5:AP9))</f>
        <v>2.5</v>
      </c>
      <c r="AQ4" s="179" t="str">
        <f t="shared" ref="AQ4:AQ21" si="8">IF(AP4="","",IF(AP4&gt;3.7,"A",IF(AP4&gt;2.8,"B",IF(AP4&gt;1.5,"C",IF(AP4&gt;0,"D",IF(AP4=0,""))))))</f>
        <v>C</v>
      </c>
      <c r="AR4" s="171"/>
      <c r="AS4" s="84"/>
      <c r="AT4" s="84"/>
      <c r="AU4" s="178">
        <f>IF(COUNT(AU5:AU9)=0,"",SUM(AU5:AU9)/COUNT(AU5:AU9))</f>
        <v>3.25</v>
      </c>
      <c r="AV4" s="194" t="str">
        <f t="shared" ref="AV4:AV21" si="9">IF(AU4="","",IF(AU4&gt;3.7,"A",IF(AU4&gt;2.8,"B",IF(AU4&gt;1.5,"C",IF(AU4&gt;0,"D",IF(AU4=0,""))))))</f>
        <v>B</v>
      </c>
      <c r="AW4" s="172"/>
      <c r="AX4" s="109"/>
      <c r="AY4" s="109"/>
      <c r="AZ4" s="110"/>
      <c r="BA4" s="178">
        <f>IF(COUNT(BA5:BA9)=0,"",SUM(BA5:BA9)/COUNT(BA5:BA9))</f>
        <v>3.25</v>
      </c>
      <c r="BB4" s="202" t="str">
        <f t="shared" ref="BB4:BB21" si="10">IF(BA4="","",IF(BA4&gt;3.7,"A",IF(BA4&gt;2.8,"B",IF(BA4&gt;1.5,"C",IF(BA4&gt;0,"D",IF(BA4=0,""))))))</f>
        <v>B</v>
      </c>
      <c r="BC4" s="203">
        <f>IF(COUNT(BC5:BC9)=0,"",SUM(BC5:BC9)/COUNT(BC5:BC9))</f>
        <v>3.0416666666666665</v>
      </c>
      <c r="BD4" s="204" t="str">
        <f t="shared" ref="BD4:BD21" si="11">IF(BC4="","",IF(BC4&gt;3.7,"A",IF(BC4&gt;2.8,"B",IF(BC4&gt;1.5,"C",IF(BC4&gt;0,"D",IF(BC4=0,""))))))</f>
        <v>B</v>
      </c>
      <c r="BE4" s="171"/>
      <c r="BF4" s="84"/>
      <c r="BG4" s="104"/>
      <c r="BH4" s="178">
        <f>IF(COUNT(BH5:BH9)=0,"",SUM(BH5:BH9)/COUNT(BH5:BH9))</f>
        <v>2.75</v>
      </c>
      <c r="BI4" s="179" t="str">
        <f t="shared" ref="BI4:BI21" si="12">IF(BH4="","",IF(BH4&gt;3.7,"A",IF(BH4&gt;2.8,"B",IF(BH4&gt;1.5,"C",IF(BH4&gt;0,"D",IF(BH4=0,""))))))</f>
        <v>C</v>
      </c>
      <c r="BJ4" s="171"/>
      <c r="BK4" s="84"/>
      <c r="BL4" s="84"/>
      <c r="BM4" s="178">
        <f>IF(COUNT(BM5:BM9)=0,"",SUM(BM5:BM9)/COUNT(BM5:BM9))</f>
        <v>2.5</v>
      </c>
      <c r="BN4" s="194" t="str">
        <f t="shared" ref="BN4:BN21" si="13">IF(BM4="","",IF(BM4&gt;3.7,"A",IF(BM4&gt;2.8,"B",IF(BM4&gt;1.5,"C",IF(BM4&gt;0,"D",IF(BM4=0,""))))))</f>
        <v>C</v>
      </c>
      <c r="BO4" s="172"/>
      <c r="BP4" s="109"/>
      <c r="BQ4" s="109"/>
      <c r="BR4" s="110"/>
      <c r="BS4" s="178">
        <f>IF(COUNT(BS5:BS9)=0,"",SUM(BS5:BS9)/COUNT(BS5:BS9))</f>
        <v>2.25</v>
      </c>
      <c r="BT4" s="202" t="str">
        <f t="shared" ref="BT4:BT21" si="14">IF(BS4="","",IF(BS4&gt;3.7,"A",IF(BS4&gt;2.8,"B",IF(BS4&gt;1.5,"C",IF(BS4&gt;0,"D",IF(BS4=0,""))))))</f>
        <v>C</v>
      </c>
      <c r="BU4" s="203">
        <f>IF(COUNT(BU5:BU9)=0,"",SUM(BU5:BU9)/COUNT(BU5:BU9))</f>
        <v>2.375</v>
      </c>
      <c r="BV4" s="204" t="str">
        <f t="shared" ref="BV4:BV21" si="15">IF(BU4="","",IF(BU4&gt;3.7,"A",IF(BU4&gt;2.8,"B",IF(BU4&gt;1.5,"C",IF(BU4&gt;0,"D",IF(BU4=0,""))))))</f>
        <v>C</v>
      </c>
      <c r="BW4" s="171"/>
      <c r="BX4" s="84"/>
      <c r="BY4" s="104"/>
      <c r="BZ4" s="178">
        <f>IF(COUNT(BZ5:BZ9)=0,"",SUM(BZ5:BZ9)/COUNT(BZ5:BZ9))</f>
        <v>2.75</v>
      </c>
      <c r="CA4" s="179" t="str">
        <f t="shared" ref="CA4:CA21" si="16">IF(BZ4="","",IF(BZ4&gt;3.7,"A",IF(BZ4&gt;2.8,"B",IF(BZ4&gt;1.5,"C",IF(BZ4&gt;0,"D",IF(BZ4=0,""))))))</f>
        <v>C</v>
      </c>
      <c r="CB4" s="171"/>
      <c r="CC4" s="84"/>
      <c r="CD4" s="84"/>
      <c r="CE4" s="178">
        <f>IF(COUNT(CE5:CE9)=0,"",SUM(CE5:CE9)/COUNT(CE5:CE9))</f>
        <v>3.375</v>
      </c>
      <c r="CF4" s="194" t="str">
        <f t="shared" ref="CF4:CF21" si="17">IF(CE4="","",IF(CE4&gt;3.7,"A",IF(CE4&gt;2.8,"B",IF(CE4&gt;1.5,"C",IF(CE4&gt;0,"D",IF(CE4=0,""))))))</f>
        <v>B</v>
      </c>
      <c r="CG4" s="172"/>
      <c r="CH4" s="109"/>
      <c r="CI4" s="109"/>
      <c r="CJ4" s="110"/>
      <c r="CK4" s="178">
        <f>IF(COUNT(CK5:CK9)=0,"",SUM(CK5:CK9)/COUNT(CK5:CK9))</f>
        <v>2.25</v>
      </c>
      <c r="CL4" s="202" t="str">
        <f t="shared" ref="CL4:CL21" si="18">IF(CK4="","",IF(CK4&gt;3.7,"A",IF(CK4&gt;2.8,"B",IF(CK4&gt;1.5,"C",IF(CK4&gt;0,"D",IF(CK4=0,""))))))</f>
        <v>C</v>
      </c>
      <c r="CM4" s="203">
        <f>IF(COUNT(CM5:CM9)=0,"",SUM(CM5:CM9)/COUNT(CM5:CM9))</f>
        <v>2.9583333333333335</v>
      </c>
      <c r="CN4" s="204" t="str">
        <f t="shared" ref="CN4:CN21" si="19">IF(CM4="","",IF(CM4&gt;3.7,"A",IF(CM4&gt;2.8,"B",IF(CM4&gt;1.5,"C",IF(CM4&gt;0,"D",IF(CM4=0,""))))))</f>
        <v>B</v>
      </c>
      <c r="CO4" s="171"/>
      <c r="CP4" s="84"/>
      <c r="CQ4" s="104"/>
      <c r="CR4" s="178">
        <f>IF(COUNT(CR5:CR9)=0,"",SUM(CR5:CR9)/COUNT(CR5:CR9))</f>
        <v>2.75</v>
      </c>
      <c r="CS4" s="179" t="str">
        <f t="shared" ref="CS4:CS21" si="20">IF(CR4="","",IF(CR4&gt;3.7,"A",IF(CR4&gt;2.8,"B",IF(CR4&gt;1.5,"C",IF(CR4&gt;0,"D",IF(CR4=0,""))))))</f>
        <v>C</v>
      </c>
      <c r="CT4" s="171"/>
      <c r="CU4" s="84"/>
      <c r="CV4" s="84"/>
      <c r="CW4" s="178">
        <f>IF(COUNT(CW5:CW9)=0,"",SUM(CW5:CW9)/COUNT(CW5:CW9))</f>
        <v>2.625</v>
      </c>
      <c r="CX4" s="194" t="str">
        <f t="shared" ref="CX4:CX21" si="21">IF(CW4="","",IF(CW4&gt;3.7,"A",IF(CW4&gt;2.8,"B",IF(CW4&gt;1.5,"C",IF(CW4&gt;0,"D",IF(CW4=0,""))))))</f>
        <v>C</v>
      </c>
      <c r="CY4" s="172"/>
      <c r="CZ4" s="109"/>
      <c r="DA4" s="109"/>
      <c r="DB4" s="110"/>
      <c r="DC4" s="178">
        <f>IF(COUNT(DC5:DC9)=0,"",SUM(DC5:DC9)/COUNT(DC5:DC9))</f>
        <v>2.25</v>
      </c>
      <c r="DD4" s="202" t="str">
        <f t="shared" ref="DD4:DD21" si="22">IF(DC4="","",IF(DC4&gt;3.7,"A",IF(DC4&gt;2.8,"B",IF(DC4&gt;1.5,"C",IF(DC4&gt;0,"D",IF(DC4=0,""))))))</f>
        <v>C</v>
      </c>
      <c r="DE4" s="203">
        <f>IF(COUNT(DE5:DE9)=0,"",SUM(DE5:DE9)/COUNT(DE5:DE9))</f>
        <v>2.5208333333333335</v>
      </c>
      <c r="DF4" s="204" t="str">
        <f t="shared" ref="DF4:DF21" si="23">IF(DE4="","",IF(DE4&gt;3.7,"A",IF(DE4&gt;2.8,"B",IF(DE4&gt;1.5,"C",IF(DE4&gt;0,"D",IF(DE4=0,""))))))</f>
        <v>C</v>
      </c>
      <c r="DG4" s="171"/>
      <c r="DH4" s="84"/>
      <c r="DI4" s="104"/>
      <c r="DJ4" s="178">
        <f>IF(COUNT(DJ5:DJ9)=0,"",SUM(DJ5:DJ9)/COUNT(DJ5:DJ9))</f>
        <v>2.75</v>
      </c>
      <c r="DK4" s="179" t="str">
        <f t="shared" ref="DK4:DK21" si="24">IF(DJ4="","",IF(DJ4&gt;3.7,"A",IF(DJ4&gt;2.8,"B",IF(DJ4&gt;1.5,"C",IF(DJ4&gt;0,"D",IF(DJ4=0,""))))))</f>
        <v>C</v>
      </c>
      <c r="DL4" s="171"/>
      <c r="DM4" s="84"/>
      <c r="DN4" s="84"/>
      <c r="DO4" s="178">
        <f>IF(COUNT(DO5:DO9)=0,"",SUM(DO5:DO9)/COUNT(DO5:DO9))</f>
        <v>2.625</v>
      </c>
      <c r="DP4" s="194" t="str">
        <f t="shared" ref="DP4:DP21" si="25">IF(DO4="","",IF(DO4&gt;3.7,"A",IF(DO4&gt;2.8,"B",IF(DO4&gt;1.5,"C",IF(DO4&gt;0,"D",IF(DO4=0,""))))))</f>
        <v>C</v>
      </c>
      <c r="DQ4" s="172"/>
      <c r="DR4" s="109"/>
      <c r="DS4" s="109"/>
      <c r="DT4" s="110"/>
      <c r="DU4" s="178">
        <f>IF(COUNT(DU5:DU9)=0,"",SUM(DU5:DU9)/COUNT(DU5:DU9))</f>
        <v>2</v>
      </c>
      <c r="DV4" s="202" t="str">
        <f t="shared" ref="DV4:DV21" si="26">IF(DU4="","",IF(DU4&gt;3.7,"A",IF(DU4&gt;2.8,"B",IF(DU4&gt;1.5,"C",IF(DU4&gt;0,"D",IF(DU4=0,""))))))</f>
        <v>C</v>
      </c>
      <c r="DW4" s="203">
        <f>IF(COUNT(DW5:DW9)=0,"",SUM(DW5:DW9)/COUNT(DW5:DW9))</f>
        <v>2.4583333333333335</v>
      </c>
      <c r="DX4" s="204" t="str">
        <f t="shared" ref="DX4:DX21" si="27">IF(DW4="","",IF(DW4&gt;3.7,"A",IF(DW4&gt;2.8,"B",IF(DW4&gt;1.5,"C",IF(DW4&gt;0,"D",IF(DW4=0,""))))))</f>
        <v>C</v>
      </c>
      <c r="DY4" s="171"/>
      <c r="DZ4" s="84"/>
      <c r="EA4" s="104"/>
      <c r="EB4" s="178">
        <f>IF(COUNT(EB5:EB9)=0,"",SUM(EB5:EB9)/COUNT(EB5:EB9))</f>
        <v>2.5</v>
      </c>
      <c r="EC4" s="179" t="str">
        <f t="shared" ref="EC4:EC21" si="28">IF(EB4="","",IF(EB4&gt;3.7,"A",IF(EB4&gt;2.8,"B",IF(EB4&gt;1.5,"C",IF(EB4&gt;0,"D",IF(EB4=0,""))))))</f>
        <v>C</v>
      </c>
      <c r="ED4" s="171"/>
      <c r="EE4" s="84"/>
      <c r="EF4" s="84"/>
      <c r="EG4" s="178">
        <f>IF(COUNT(EG5:EG9)=0,"",SUM(EG5:EG9)/COUNT(EG5:EG9))</f>
        <v>2.5</v>
      </c>
      <c r="EH4" s="194" t="str">
        <f t="shared" ref="EH4:EH21" si="29">IF(EG4="","",IF(EG4&gt;3.7,"A",IF(EG4&gt;2.8,"B",IF(EG4&gt;1.5,"C",IF(EG4&gt;0,"D",IF(EG4=0,""))))))</f>
        <v>C</v>
      </c>
      <c r="EI4" s="172"/>
      <c r="EJ4" s="109"/>
      <c r="EK4" s="109"/>
      <c r="EL4" s="110"/>
      <c r="EM4" s="178">
        <f>IF(COUNT(EM5:EM9)=0,"",SUM(EM5:EM9)/COUNT(EM5:EM9))</f>
        <v>2</v>
      </c>
      <c r="EN4" s="202" t="str">
        <f t="shared" ref="EN4:EN21" si="30">IF(EM4="","",IF(EM4&gt;3.7,"A",IF(EM4&gt;2.8,"B",IF(EM4&gt;1.5,"C",IF(EM4&gt;0,"D",IF(EM4=0,""))))))</f>
        <v>C</v>
      </c>
      <c r="EO4" s="203">
        <f>IF(COUNT(EO5:EO9)=0,"",SUM(EO5:EO9)/COUNT(EO5:EO9))</f>
        <v>2.4791666666666665</v>
      </c>
      <c r="EP4" s="204" t="str">
        <f t="shared" ref="EP4:EP21" si="31">IF(EO4="","",IF(EO4&gt;3.7,"A",IF(EO4&gt;2.8,"B",IF(EO4&gt;1.5,"C",IF(EO4&gt;0,"D",IF(EO4=0,""))))))</f>
        <v>C</v>
      </c>
      <c r="EQ4" s="171"/>
      <c r="ER4" s="84"/>
      <c r="ES4" s="104"/>
      <c r="ET4" s="178">
        <f>IF(COUNT(ET5:ET9)=0,"",SUM(ET5:ET9)/COUNT(ET5:ET9))</f>
        <v>2.25</v>
      </c>
      <c r="EU4" s="179" t="str">
        <f t="shared" ref="EU4:EU21" si="32">IF(ET4="","",IF(ET4&gt;3.7,"A",IF(ET4&gt;2.8,"B",IF(ET4&gt;1.5,"C",IF(ET4&gt;0,"D",IF(ET4=0,""))))))</f>
        <v>C</v>
      </c>
      <c r="EV4" s="171"/>
      <c r="EW4" s="84"/>
      <c r="EX4" s="84"/>
      <c r="EY4" s="178">
        <f>IF(COUNT(EY5:EY9)=0,"",SUM(EY5:EY9)/COUNT(EY5:EY9))</f>
        <v>2.75</v>
      </c>
      <c r="EZ4" s="194" t="str">
        <f t="shared" ref="EZ4:EZ21" si="33">IF(EY4="","",IF(EY4&gt;3.7,"A",IF(EY4&gt;2.8,"B",IF(EY4&gt;1.5,"C",IF(EY4&gt;0,"D",IF(EY4=0,""))))))</f>
        <v>C</v>
      </c>
      <c r="FA4" s="172"/>
      <c r="FB4" s="109"/>
      <c r="FC4" s="109"/>
      <c r="FD4" s="110"/>
      <c r="FE4" s="178">
        <f>IF(COUNT(FE5:FE9)=0,"",SUM(FE5:FE9)/COUNT(FE5:FE9))</f>
        <v>2.5</v>
      </c>
      <c r="FF4" s="202" t="str">
        <f t="shared" ref="FF4:FF21" si="34">IF(FE4="","",IF(FE4&gt;3.7,"A",IF(FE4&gt;2.8,"B",IF(FE4&gt;1.5,"C",IF(FE4&gt;0,"D",IF(FE4=0,""))))))</f>
        <v>C</v>
      </c>
      <c r="FG4" s="203">
        <f>IF(COUNT(FG5:FG9)=0,"",SUM(FG5:FG9)/COUNT(FG5:FG9))</f>
        <v>2.4583333333333335</v>
      </c>
      <c r="FH4" s="204" t="str">
        <f t="shared" ref="FH4:FH21" si="35">IF(FG4="","",IF(FG4&gt;3.7,"A",IF(FG4&gt;2.8,"B",IF(FG4&gt;1.5,"C",IF(FG4&gt;0,"D",IF(FG4=0,""))))))</f>
        <v>C</v>
      </c>
      <c r="FI4" s="171"/>
      <c r="FJ4" s="84"/>
      <c r="FK4" s="104"/>
      <c r="FL4" s="178">
        <f>IF(COUNT(FL5:FL9)=0,"",SUM(FL5:FL9)/COUNT(FL5:FL9))</f>
        <v>3</v>
      </c>
      <c r="FM4" s="179" t="str">
        <f t="shared" ref="FM4:FM21" si="36">IF(FL4="","",IF(FL4&gt;3.7,"A",IF(FL4&gt;2.8,"B",IF(FL4&gt;1.5,"C",IF(FL4&gt;0,"D",IF(FL4=0,""))))))</f>
        <v>B</v>
      </c>
      <c r="FN4" s="171"/>
      <c r="FO4" s="84"/>
      <c r="FP4" s="84"/>
      <c r="FQ4" s="178">
        <f>IF(COUNT(FQ5:FQ9)=0,"",SUM(FQ5:FQ9)/COUNT(FQ5:FQ9))</f>
        <v>2.875</v>
      </c>
      <c r="FR4" s="194" t="str">
        <f t="shared" ref="FR4:FR21" si="37">IF(FQ4="","",IF(FQ4&gt;3.7,"A",IF(FQ4&gt;2.8,"B",IF(FQ4&gt;1.5,"C",IF(FQ4&gt;0,"D",IF(FQ4=0,""))))))</f>
        <v>B</v>
      </c>
      <c r="FS4" s="172"/>
      <c r="FT4" s="109"/>
      <c r="FU4" s="109"/>
      <c r="FV4" s="110"/>
      <c r="FW4" s="178">
        <f>IF(COUNT(FW5:FW9)=0,"",SUM(FW5:FW9)/COUNT(FW5:FW9))</f>
        <v>3.25</v>
      </c>
      <c r="FX4" s="202" t="str">
        <f t="shared" ref="FX4:FX21" si="38">IF(FW4="","",IF(FW4&gt;3.7,"A",IF(FW4&gt;2.8,"B",IF(FW4&gt;1.5,"C",IF(FW4&gt;0,"D",IF(FW4=0,""))))))</f>
        <v>B</v>
      </c>
      <c r="FY4" s="203">
        <f>IF(COUNT(FY5:FY9)=0,"",SUM(FY5:FY9)/COUNT(FY5:FY9))</f>
        <v>3.0208333333333335</v>
      </c>
      <c r="FZ4" s="204" t="str">
        <f t="shared" ref="FZ4:FZ21" si="39">IF(FY4="","",IF(FY4&gt;3.7,"A",IF(FY4&gt;2.8,"B",IF(FY4&gt;1.5,"C",IF(FY4&gt;0,"D",IF(FY4=0,""))))))</f>
        <v>B</v>
      </c>
      <c r="GA4" s="171"/>
      <c r="GB4" s="84"/>
      <c r="GC4" s="104"/>
      <c r="GD4" s="178">
        <f>IF(COUNT(GD5:GD9)=0,"",SUM(GD5:GD9)/COUNT(GD5:GD9))</f>
        <v>3.25</v>
      </c>
      <c r="GE4" s="179" t="str">
        <f t="shared" ref="GE4:GE21" si="40">IF(GD4="","",IF(GD4&gt;3.7,"A",IF(GD4&gt;2.8,"B",IF(GD4&gt;1.5,"C",IF(GD4&gt;0,"D",IF(GD4=0,""))))))</f>
        <v>B</v>
      </c>
      <c r="GF4" s="171"/>
      <c r="GG4" s="84"/>
      <c r="GH4" s="84"/>
      <c r="GI4" s="178">
        <f>IF(COUNT(GI5:GI9)=0,"",SUM(GI5:GI9)/COUNT(GI5:GI9))</f>
        <v>3</v>
      </c>
      <c r="GJ4" s="194" t="str">
        <f t="shared" ref="GJ4:GJ21" si="41">IF(GI4="","",IF(GI4&gt;3.7,"A",IF(GI4&gt;2.8,"B",IF(GI4&gt;1.5,"C",IF(GI4&gt;0,"D",IF(GI4=0,""))))))</f>
        <v>B</v>
      </c>
      <c r="GK4" s="172"/>
      <c r="GL4" s="109"/>
      <c r="GM4" s="109"/>
      <c r="GN4" s="110"/>
      <c r="GO4" s="178">
        <f>IF(COUNT(GO5:GO9)=0,"",SUM(GO5:GO9)/COUNT(GO5:GO9))</f>
        <v>3.75</v>
      </c>
      <c r="GP4" s="202" t="str">
        <f t="shared" ref="GP4:GP21" si="42">IF(GO4="","",IF(GO4&gt;3.7,"A",IF(GO4&gt;2.8,"B",IF(GO4&gt;1.5,"C",IF(GO4&gt;0,"D",IF(GO4=0,""))))))</f>
        <v>A</v>
      </c>
      <c r="GQ4" s="203">
        <f>IF(COUNT(GQ5:GQ9)=0,"",SUM(GQ5:GQ9)/COUNT(GQ5:GQ9))</f>
        <v>3.2083333333333335</v>
      </c>
      <c r="GR4" s="204" t="str">
        <f t="shared" ref="GR4:GR21" si="43">IF(GQ4="","",IF(GQ4&gt;3.7,"A",IF(GQ4&gt;2.8,"B",IF(GQ4&gt;1.5,"C",IF(GQ4&gt;0,"D",IF(GQ4=0,""))))))</f>
        <v>B</v>
      </c>
      <c r="GS4" s="171"/>
      <c r="GT4" s="84"/>
      <c r="GU4" s="104"/>
      <c r="GV4" s="178">
        <f>IF(COUNT(GV5:GV9)=0,"",SUM(GV5:GV9)/COUNT(GV5:GV9))</f>
        <v>2.75</v>
      </c>
      <c r="GW4" s="179" t="str">
        <f t="shared" ref="GW4:GW21" si="44">IF(GV4="","",IF(GV4&gt;3.7,"A",IF(GV4&gt;2.8,"B",IF(GV4&gt;1.5,"C",IF(GV4&gt;0,"D",IF(GV4=0,""))))))</f>
        <v>C</v>
      </c>
      <c r="GX4" s="171"/>
      <c r="GY4" s="84"/>
      <c r="GZ4" s="84"/>
      <c r="HA4" s="178">
        <f>IF(COUNT(HA5:HA9)=0,"",SUM(HA5:HA9)/COUNT(HA5:HA9))</f>
        <v>3</v>
      </c>
      <c r="HB4" s="194" t="str">
        <f t="shared" ref="HB4:HB21" si="45">IF(HA4="","",IF(HA4&gt;3.7,"A",IF(HA4&gt;2.8,"B",IF(HA4&gt;1.5,"C",IF(HA4&gt;0,"D",IF(HA4=0,""))))))</f>
        <v>B</v>
      </c>
      <c r="HC4" s="172"/>
      <c r="HD4" s="109"/>
      <c r="HE4" s="109"/>
      <c r="HF4" s="110"/>
      <c r="HG4" s="178">
        <f>IF(COUNT(HG5:HG9)=0,"",SUM(HG5:HG9)/COUNT(HG5:HG9))</f>
        <v>2.25</v>
      </c>
      <c r="HH4" s="202" t="str">
        <f t="shared" ref="HH4:HH21" si="46">IF(HG4="","",IF(HG4&gt;3.7,"A",IF(HG4&gt;2.8,"B",IF(HG4&gt;1.5,"C",IF(HG4&gt;0,"D",IF(HG4=0,""))))))</f>
        <v>C</v>
      </c>
      <c r="HI4" s="203">
        <f>IF(COUNT(HI5:HI9)=0,"",SUM(HI5:HI9)/COUNT(HI5:HI9))</f>
        <v>2.75</v>
      </c>
      <c r="HJ4" s="204" t="str">
        <f t="shared" ref="HJ4:HJ21" si="47">IF(HI4="","",IF(HI4&gt;3.7,"A",IF(HI4&gt;2.8,"B",IF(HI4&gt;1.5,"C",IF(HI4&gt;0,"D",IF(HI4=0,""))))))</f>
        <v>C</v>
      </c>
      <c r="HK4" s="171"/>
      <c r="HL4" s="84"/>
      <c r="HM4" s="104"/>
      <c r="HN4" s="178">
        <f>IF(COUNT(HN5:HN9)=0,"",SUM(HN5:HN9)/COUNT(HN5:HN9))</f>
        <v>3</v>
      </c>
      <c r="HO4" s="179" t="str">
        <f t="shared" ref="HO4:HO21" si="48">IF(HN4="","",IF(HN4&gt;3.7,"A",IF(HN4&gt;2.8,"B",IF(HN4&gt;1.5,"C",IF(HN4&gt;0,"D",IF(HN4=0,""))))))</f>
        <v>B</v>
      </c>
      <c r="HP4" s="171"/>
      <c r="HQ4" s="84"/>
      <c r="HR4" s="84"/>
      <c r="HS4" s="178">
        <f>IF(COUNT(HS5:HS9)=0,"",SUM(HS5:HS9)/COUNT(HS5:HS9))</f>
        <v>3.375</v>
      </c>
      <c r="HT4" s="194" t="str">
        <f t="shared" ref="HT4:HT21" si="49">IF(HS4="","",IF(HS4&gt;3.7,"A",IF(HS4&gt;2.8,"B",IF(HS4&gt;1.5,"C",IF(HS4&gt;0,"D",IF(HS4=0,""))))))</f>
        <v>B</v>
      </c>
      <c r="HU4" s="172"/>
      <c r="HV4" s="109"/>
      <c r="HW4" s="109"/>
      <c r="HX4" s="110"/>
      <c r="HY4" s="178">
        <f>IF(COUNT(HY5:HY9)=0,"",SUM(HY5:HY9)/COUNT(HY5:HY9))</f>
        <v>4</v>
      </c>
      <c r="HZ4" s="202" t="str">
        <f t="shared" ref="HZ4:HZ21" si="50">IF(HY4="","",IF(HY4&gt;3.7,"A",IF(HY4&gt;2.8,"B",IF(HY4&gt;1.5,"C",IF(HY4&gt;0,"D",IF(HY4=0,""))))))</f>
        <v>A</v>
      </c>
      <c r="IA4" s="203">
        <f>IF(COUNT(IA5:IA9)=0,"",SUM(IA5:IA9)/COUNT(IA5:IA9))</f>
        <v>3.3958333333333335</v>
      </c>
      <c r="IB4" s="204" t="str">
        <f t="shared" ref="IB4:IB21" si="51">IF(IA4="","",IF(IA4&gt;3.7,"A",IF(IA4&gt;2.8,"B",IF(IA4&gt;1.5,"C",IF(IA4&gt;0,"D",IF(IA4=0,""))))))</f>
        <v>B</v>
      </c>
      <c r="IC4" s="171"/>
      <c r="ID4" s="84"/>
      <c r="IE4" s="104"/>
      <c r="IF4" s="178">
        <f>IF(COUNT(IF5:IF9)=0,"",SUM(IF5:IF9)/COUNT(IF5:IF9))</f>
        <v>3.5</v>
      </c>
      <c r="IG4" s="179" t="str">
        <f t="shared" ref="IG4:IG21" si="52">IF(IF4="","",IF(IF4&gt;3.7,"A",IF(IF4&gt;2.8,"B",IF(IF4&gt;1.5,"C",IF(IF4&gt;0,"D",IF(IF4=0,""))))))</f>
        <v>B</v>
      </c>
      <c r="IH4" s="171"/>
      <c r="II4" s="84"/>
      <c r="IJ4" s="84"/>
      <c r="IK4" s="178">
        <f>IF(COUNT(IK5:IK9)=0,"",SUM(IK5:IK9)/COUNT(IK5:IK9))</f>
        <v>3.125</v>
      </c>
      <c r="IL4" s="194" t="str">
        <f t="shared" ref="IL4:IL21" si="53">IF(IK4="","",IF(IK4&gt;3.7,"A",IF(IK4&gt;2.8,"B",IF(IK4&gt;1.5,"C",IF(IK4&gt;0,"D",IF(IK4=0,""))))))</f>
        <v>B</v>
      </c>
      <c r="IM4" s="172"/>
      <c r="IN4" s="109"/>
      <c r="IO4" s="109"/>
      <c r="IP4" s="110"/>
      <c r="IQ4" s="178">
        <f>IF(COUNT(IQ5:IQ9)=0,"",SUM(IQ5:IQ9)/COUNT(IQ5:IQ9))</f>
        <v>3.5</v>
      </c>
      <c r="IR4" s="202" t="str">
        <f t="shared" ref="IR4:IR21" si="54">IF(IQ4="","",IF(IQ4&gt;3.7,"A",IF(IQ4&gt;2.8,"B",IF(IQ4&gt;1.5,"C",IF(IQ4&gt;0,"D",IF(IQ4=0,""))))))</f>
        <v>B</v>
      </c>
      <c r="IS4" s="203">
        <f>IF(COUNT(IS5:IS9)=0,"",SUM(IS5:IS9)/COUNT(IS5:IS9))</f>
        <v>3.3541666666666665</v>
      </c>
      <c r="IT4" s="204" t="str">
        <f t="shared" ref="IT4:IT21" si="55">IF(IS4="","",IF(IS4&gt;3.7,"A",IF(IS4&gt;2.8,"B",IF(IS4&gt;1.5,"C",IF(IS4&gt;0,"D",IF(IS4=0,""))))))</f>
        <v>B</v>
      </c>
      <c r="IU4" s="171"/>
      <c r="IV4" s="84"/>
      <c r="IW4" s="104"/>
      <c r="IX4" s="178">
        <f>IF(COUNT(IX5:IX9)=0,"",SUM(IX5:IX9)/COUNT(IX5:IX9))</f>
        <v>3</v>
      </c>
      <c r="IY4" s="179" t="str">
        <f t="shared" ref="IY4:IY21" si="56">IF(IX4="","",IF(IX4&gt;3.7,"A",IF(IX4&gt;2.8,"B",IF(IX4&gt;1.5,"C",IF(IX4&gt;0,"D",IF(IX4=0,""))))))</f>
        <v>B</v>
      </c>
      <c r="IZ4" s="171"/>
      <c r="JA4" s="84"/>
      <c r="JB4" s="84"/>
      <c r="JC4" s="178">
        <f>IF(COUNT(JC5:JC9)=0,"",SUM(JC5:JC9)/COUNT(JC5:JC9))</f>
        <v>3.125</v>
      </c>
      <c r="JD4" s="194" t="str">
        <f t="shared" ref="JD4:JD21" si="57">IF(JC4="","",IF(JC4&gt;3.7,"A",IF(JC4&gt;2.8,"B",IF(JC4&gt;1.5,"C",IF(JC4&gt;0,"D",IF(JC4=0,""))))))</f>
        <v>B</v>
      </c>
      <c r="JE4" s="172"/>
      <c r="JF4" s="109"/>
      <c r="JG4" s="109"/>
      <c r="JH4" s="110"/>
      <c r="JI4" s="178">
        <f>IF(COUNT(JI5:JI9)=0,"",SUM(JI5:JI9)/COUNT(JI5:JI9))</f>
        <v>2.25</v>
      </c>
      <c r="JJ4" s="202" t="str">
        <f t="shared" ref="JJ4:JJ21" si="58">IF(JI4="","",IF(JI4&gt;3.7,"A",IF(JI4&gt;2.8,"B",IF(JI4&gt;1.5,"C",IF(JI4&gt;0,"D",IF(JI4=0,""))))))</f>
        <v>C</v>
      </c>
      <c r="JK4" s="203">
        <f>IF(COUNT(JK5:JK9)=0,"",SUM(JK5:JK9)/COUNT(JK5:JK9))</f>
        <v>2.9375</v>
      </c>
      <c r="JL4" s="204" t="str">
        <f t="shared" ref="JL4:JL21" si="59">IF(JK4="","",IF(JK4&gt;3.7,"A",IF(JK4&gt;2.8,"B",IF(JK4&gt;1.5,"C",IF(JK4&gt;0,"D",IF(JK4=0,""))))))</f>
        <v>B</v>
      </c>
      <c r="JM4" s="171"/>
      <c r="JN4" s="84"/>
      <c r="JO4" s="104"/>
      <c r="JP4" s="178">
        <f>IF(COUNT(JP5:JP9)=0,"",SUM(JP5:JP9)/COUNT(JP5:JP9))</f>
        <v>2.75</v>
      </c>
      <c r="JQ4" s="179" t="str">
        <f t="shared" ref="JQ4:JQ21" si="60">IF(JP4="","",IF(JP4&gt;3.7,"A",IF(JP4&gt;2.8,"B",IF(JP4&gt;1.5,"C",IF(JP4&gt;0,"D",IF(JP4=0,""))))))</f>
        <v>C</v>
      </c>
      <c r="JR4" s="171"/>
      <c r="JS4" s="84"/>
      <c r="JT4" s="84"/>
      <c r="JU4" s="178">
        <f>IF(COUNT(JU5:JU9)=0,"",SUM(JU5:JU9)/COUNT(JU5:JU9))</f>
        <v>3</v>
      </c>
      <c r="JV4" s="194" t="str">
        <f t="shared" ref="JV4:JV21" si="61">IF(JU4="","",IF(JU4&gt;3.7,"A",IF(JU4&gt;2.8,"B",IF(JU4&gt;1.5,"C",IF(JU4&gt;0,"D",IF(JU4=0,""))))))</f>
        <v>B</v>
      </c>
      <c r="JW4" s="172"/>
      <c r="JX4" s="109"/>
      <c r="JY4" s="109"/>
      <c r="JZ4" s="110"/>
      <c r="KA4" s="178">
        <f>IF(COUNT(KA5:KA9)=0,"",SUM(KA5:KA9)/COUNT(KA5:KA9))</f>
        <v>2.5</v>
      </c>
      <c r="KB4" s="202" t="str">
        <f t="shared" ref="KB4:KB21" si="62">IF(KA4="","",IF(KA4&gt;3.7,"A",IF(KA4&gt;2.8,"B",IF(KA4&gt;1.5,"C",IF(KA4&gt;0,"D",IF(KA4=0,""))))))</f>
        <v>C</v>
      </c>
      <c r="KC4" s="203">
        <f>IF(COUNT(KC5:KC9)=0,"",SUM(KC5:KC9)/COUNT(KC5:KC9))</f>
        <v>2.8333333333333335</v>
      </c>
      <c r="KD4" s="204" t="str">
        <f t="shared" ref="KD4:KD21" si="63">IF(KC4="","",IF(KC4&gt;3.7,"A",IF(KC4&gt;2.8,"B",IF(KC4&gt;1.5,"C",IF(KC4&gt;0,"D",IF(KC4=0,""))))))</f>
        <v>B</v>
      </c>
      <c r="KE4" s="171"/>
      <c r="KF4" s="84"/>
      <c r="KG4" s="104"/>
      <c r="KH4" s="178">
        <f>IF(COUNT(KH5:KH9)=0,"",SUM(KH5:KH9)/COUNT(KH5:KH9))</f>
        <v>2.75</v>
      </c>
      <c r="KI4" s="179" t="str">
        <f t="shared" ref="KI4:KI21" si="64">IF(KH4="","",IF(KH4&gt;3.7,"A",IF(KH4&gt;2.8,"B",IF(KH4&gt;1.5,"C",IF(KH4&gt;0,"D",IF(KH4=0,""))))))</f>
        <v>C</v>
      </c>
      <c r="KJ4" s="171"/>
      <c r="KK4" s="84"/>
      <c r="KL4" s="84"/>
      <c r="KM4" s="178">
        <f>IF(COUNT(KM5:KM9)=0,"",SUM(KM5:KM9)/COUNT(KM5:KM9))</f>
        <v>3.375</v>
      </c>
      <c r="KN4" s="194" t="str">
        <f t="shared" ref="KN4:KN21" si="65">IF(KM4="","",IF(KM4&gt;3.7,"A",IF(KM4&gt;2.8,"B",IF(KM4&gt;1.5,"C",IF(KM4&gt;0,"D",IF(KM4=0,""))))))</f>
        <v>B</v>
      </c>
      <c r="KO4" s="172"/>
      <c r="KP4" s="109"/>
      <c r="KQ4" s="109"/>
      <c r="KR4" s="110"/>
      <c r="KS4" s="178">
        <f>IF(COUNT(KS5:KS9)=0,"",SUM(KS5:KS9)/COUNT(KS5:KS9))</f>
        <v>3.5</v>
      </c>
      <c r="KT4" s="202" t="str">
        <f t="shared" ref="KT4:KT21" si="66">IF(KS4="","",IF(KS4&gt;3.7,"A",IF(KS4&gt;2.8,"B",IF(KS4&gt;1.5,"C",IF(KS4&gt;0,"D",IF(KS4=0,""))))))</f>
        <v>B</v>
      </c>
      <c r="KU4" s="203">
        <f>IF(COUNT(KU5:KU9)=0,"",SUM(KU5:KU9)/COUNT(KU5:KU9))</f>
        <v>3.3125</v>
      </c>
      <c r="KV4" s="204" t="str">
        <f t="shared" ref="KV4:KV21" si="67">IF(KU4="","",IF(KU4&gt;3.7,"A",IF(KU4&gt;2.8,"B",IF(KU4&gt;1.5,"C",IF(KU4&gt;0,"D",IF(KU4=0,""))))))</f>
        <v>B</v>
      </c>
      <c r="KW4" s="171"/>
      <c r="KX4" s="84"/>
      <c r="KY4" s="104"/>
      <c r="KZ4" s="178">
        <f>IF(COUNT(KZ5:KZ9)=0,"",SUM(KZ5:KZ9)/COUNT(KZ5:KZ9))</f>
        <v>3</v>
      </c>
      <c r="LA4" s="179" t="str">
        <f t="shared" ref="LA4:LA21" si="68">IF(KZ4="","",IF(KZ4&gt;3.7,"A",IF(KZ4&gt;2.8,"B",IF(KZ4&gt;1.5,"C",IF(KZ4&gt;0,"D",IF(KZ4=0,""))))))</f>
        <v>B</v>
      </c>
      <c r="LB4" s="171"/>
      <c r="LC4" s="84"/>
      <c r="LD4" s="84"/>
      <c r="LE4" s="178">
        <f>IF(COUNT(LE5:LE9)=0,"",SUM(LE5:LE9)/COUNT(LE5:LE9))</f>
        <v>2.75</v>
      </c>
      <c r="LF4" s="194" t="str">
        <f t="shared" ref="LF4:LF21" si="69">IF(LE4="","",IF(LE4&gt;3.7,"A",IF(LE4&gt;2.8,"B",IF(LE4&gt;1.5,"C",IF(LE4&gt;0,"D",IF(LE4=0,""))))))</f>
        <v>C</v>
      </c>
      <c r="LG4" s="172"/>
      <c r="LH4" s="109"/>
      <c r="LI4" s="109"/>
      <c r="LJ4" s="110"/>
      <c r="LK4" s="178">
        <f>IF(COUNT(LK5:LK9)=0,"",SUM(LK5:LK9)/COUNT(LK5:LK9))</f>
        <v>2</v>
      </c>
      <c r="LL4" s="202" t="str">
        <f t="shared" ref="LL4:LL21" si="70">IF(LK4="","",IF(LK4&gt;3.7,"A",IF(LK4&gt;2.8,"B",IF(LK4&gt;1.5,"C",IF(LK4&gt;0,"D",IF(LK4=0,""))))))</f>
        <v>C</v>
      </c>
      <c r="LM4" s="203">
        <f>IF(COUNT(LM5:LM9)=0,"",SUM(LM5:LM9)/COUNT(LM5:LM9))</f>
        <v>2.625</v>
      </c>
      <c r="LN4" s="204" t="str">
        <f t="shared" ref="LN4:LN21" si="71">IF(LM4="","",IF(LM4&gt;3.7,"A",IF(LM4&gt;2.8,"B",IF(LM4&gt;1.5,"C",IF(LM4&gt;0,"D",IF(LM4=0,""))))))</f>
        <v>C</v>
      </c>
      <c r="LO4" s="171"/>
      <c r="LP4" s="84"/>
      <c r="LQ4" s="104"/>
      <c r="LR4" s="178">
        <f>IF(COUNT(LR5:LR9)=0,"",SUM(LR5:LR9)/COUNT(LR5:LR9))</f>
        <v>2.75</v>
      </c>
      <c r="LS4" s="179" t="str">
        <f t="shared" ref="LS4:LS21" si="72">IF(LR4="","",IF(LR4&gt;3.7,"A",IF(LR4&gt;2.8,"B",IF(LR4&gt;1.5,"C",IF(LR4&gt;0,"D",IF(LR4=0,""))))))</f>
        <v>C</v>
      </c>
      <c r="LT4" s="171"/>
      <c r="LU4" s="84"/>
      <c r="LV4" s="84"/>
      <c r="LW4" s="178">
        <f>IF(COUNT(LW5:LW9)=0,"",SUM(LW5:LW9)/COUNT(LW5:LW9))</f>
        <v>1.875</v>
      </c>
      <c r="LX4" s="194" t="str">
        <f t="shared" ref="LX4:LX21" si="73">IF(LW4="","",IF(LW4&gt;3.7,"A",IF(LW4&gt;2.8,"B",IF(LW4&gt;1.5,"C",IF(LW4&gt;0,"D",IF(LW4=0,""))))))</f>
        <v>C</v>
      </c>
      <c r="LY4" s="172"/>
      <c r="LZ4" s="109"/>
      <c r="MA4" s="109"/>
      <c r="MB4" s="110"/>
      <c r="MC4" s="178">
        <f>IF(COUNT(MC5:MC9)=0,"",SUM(MC5:MC9)/COUNT(MC5:MC9))</f>
        <v>2</v>
      </c>
      <c r="MD4" s="202" t="str">
        <f t="shared" ref="MD4:MD21" si="74">IF(MC4="","",IF(MC4&gt;3.7,"A",IF(MC4&gt;2.8,"B",IF(MC4&gt;1.5,"C",IF(MC4&gt;0,"D",IF(MC4=0,""))))))</f>
        <v>C</v>
      </c>
      <c r="ME4" s="203">
        <f>IF(COUNT(ME5:ME9)=0,"",SUM(ME5:ME9)/COUNT(ME5:ME9))</f>
        <v>2.1666666666666665</v>
      </c>
      <c r="MF4" s="204" t="str">
        <f t="shared" ref="MF4:MF21" si="75">IF(ME4="","",IF(ME4&gt;3.7,"A",IF(ME4&gt;2.8,"B",IF(ME4&gt;1.5,"C",IF(ME4&gt;0,"D",IF(ME4=0,""))))))</f>
        <v>C</v>
      </c>
      <c r="MG4" s="171"/>
      <c r="MH4" s="84"/>
      <c r="MI4" s="104"/>
      <c r="MJ4" s="178">
        <f>IF(COUNT(MJ5:MJ9)=0,"",SUM(MJ5:MJ9)/COUNT(MJ5:MJ9))</f>
        <v>2.25</v>
      </c>
      <c r="MK4" s="179" t="str">
        <f t="shared" ref="MK4:MK21" si="76">IF(MJ4="","",IF(MJ4&gt;3.7,"A",IF(MJ4&gt;2.8,"B",IF(MJ4&gt;1.5,"C",IF(MJ4&gt;0,"D",IF(MJ4=0,""))))))</f>
        <v>C</v>
      </c>
      <c r="ML4" s="171"/>
      <c r="MM4" s="84"/>
      <c r="MN4" s="84"/>
      <c r="MO4" s="178">
        <f>IF(COUNT(MO5:MO9)=0,"",SUM(MO5:MO9)/COUNT(MO5:MO9))</f>
        <v>2.625</v>
      </c>
      <c r="MP4" s="194" t="str">
        <f t="shared" ref="MP4:MP21" si="77">IF(MO4="","",IF(MO4&gt;3.7,"A",IF(MO4&gt;2.8,"B",IF(MO4&gt;1.5,"C",IF(MO4&gt;0,"D",IF(MO4=0,""))))))</f>
        <v>C</v>
      </c>
      <c r="MQ4" s="172"/>
      <c r="MR4" s="109"/>
      <c r="MS4" s="109"/>
      <c r="MT4" s="110"/>
      <c r="MU4" s="178">
        <f>IF(COUNT(MU5:MU9)=0,"",SUM(MU5:MU9)/COUNT(MU5:MU9))</f>
        <v>2.5</v>
      </c>
      <c r="MV4" s="202" t="str">
        <f t="shared" ref="MV4:MV21" si="78">IF(MU4="","",IF(MU4&gt;3.7,"A",IF(MU4&gt;2.8,"B",IF(MU4&gt;1.5,"C",IF(MU4&gt;0,"D",IF(MU4=0,""))))))</f>
        <v>C</v>
      </c>
      <c r="MW4" s="203">
        <f>IF(COUNT(MW5:MW9)=0,"",SUM(MW5:MW9)/COUNT(MW5:MW9))</f>
        <v>2.4166666666666665</v>
      </c>
      <c r="MX4" s="204" t="str">
        <f t="shared" ref="MX4:MX21" si="79">IF(MW4="","",IF(MW4&gt;3.7,"A",IF(MW4&gt;2.8,"B",IF(MW4&gt;1.5,"C",IF(MW4&gt;0,"D",IF(MW4=0,""))))))</f>
        <v>C</v>
      </c>
      <c r="MY4" s="171"/>
      <c r="MZ4" s="84"/>
      <c r="NA4" s="104"/>
      <c r="NB4" s="178">
        <f>IF(COUNT(NB5:NB9)=0,"",SUM(NB5:NB9)/COUNT(NB5:NB9))</f>
        <v>2.5</v>
      </c>
      <c r="NC4" s="179" t="str">
        <f t="shared" ref="NC4:NC21" si="80">IF(NB4="","",IF(NB4&gt;3.7,"A",IF(NB4&gt;2.8,"B",IF(NB4&gt;1.5,"C",IF(NB4&gt;0,"D",IF(NB4=0,""))))))</f>
        <v>C</v>
      </c>
      <c r="ND4" s="171"/>
      <c r="NE4" s="84"/>
      <c r="NF4" s="84"/>
      <c r="NG4" s="178">
        <f>IF(COUNT(NG5:NG9)=0,"",SUM(NG5:NG9)/COUNT(NG5:NG9))</f>
        <v>2.625</v>
      </c>
      <c r="NH4" s="194" t="str">
        <f t="shared" ref="NH4:NH21" si="81">IF(NG4="","",IF(NG4&gt;3.7,"A",IF(NG4&gt;2.8,"B",IF(NG4&gt;1.5,"C",IF(NG4&gt;0,"D",IF(NG4=0,""))))))</f>
        <v>C</v>
      </c>
      <c r="NI4" s="172"/>
      <c r="NJ4" s="109"/>
      <c r="NK4" s="109"/>
      <c r="NL4" s="110"/>
      <c r="NM4" s="178">
        <f>IF(COUNT(NM5:NM9)=0,"",SUM(NM5:NM9)/COUNT(NM5:NM9))</f>
        <v>2.25</v>
      </c>
      <c r="NN4" s="202" t="str">
        <f t="shared" ref="NN4:NN21" si="82">IF(NM4="","",IF(NM4&gt;3.7,"A",IF(NM4&gt;2.8,"B",IF(NM4&gt;1.5,"C",IF(NM4&gt;0,"D",IF(NM4=0,""))))))</f>
        <v>C</v>
      </c>
      <c r="NO4" s="203">
        <f>IF(COUNT(NO5:NO9)=0,"",SUM(NO5:NO9)/COUNT(NO5:NO9))</f>
        <v>2.4583333333333335</v>
      </c>
      <c r="NP4" s="204" t="str">
        <f t="shared" ref="NP4:NP21" si="83">IF(NO4="","",IF(NO4&gt;3.7,"A",IF(NO4&gt;2.8,"B",IF(NO4&gt;1.5,"C",IF(NO4&gt;0,"D",IF(NO4=0,""))))))</f>
        <v>C</v>
      </c>
      <c r="NQ4" s="171"/>
      <c r="NR4" s="84"/>
      <c r="NS4" s="104"/>
      <c r="NT4" s="178">
        <f>IF(COUNT(NT5:NT9)=0,"",SUM(NT5:NT9)/COUNT(NT5:NT9))</f>
        <v>3.25</v>
      </c>
      <c r="NU4" s="179" t="str">
        <f t="shared" ref="NU4:NU21" si="84">IF(NT4="","",IF(NT4&gt;3.7,"A",IF(NT4&gt;2.8,"B",IF(NT4&gt;1.5,"C",IF(NT4&gt;0,"D",IF(NT4=0,""))))))</f>
        <v>B</v>
      </c>
      <c r="NV4" s="171"/>
      <c r="NW4" s="84"/>
      <c r="NX4" s="84"/>
      <c r="NY4" s="178">
        <f>IF(COUNT(NY5:NY9)=0,"",SUM(NY5:NY9)/COUNT(NY5:NY9))</f>
        <v>3.125</v>
      </c>
      <c r="NZ4" s="194" t="str">
        <f t="shared" ref="NZ4:NZ21" si="85">IF(NY4="","",IF(NY4&gt;3.7,"A",IF(NY4&gt;2.8,"B",IF(NY4&gt;1.5,"C",IF(NY4&gt;0,"D",IF(NY4=0,""))))))</f>
        <v>B</v>
      </c>
      <c r="OA4" s="172"/>
      <c r="OB4" s="109"/>
      <c r="OC4" s="109"/>
      <c r="OD4" s="110"/>
      <c r="OE4" s="178">
        <f>IF(COUNT(OE5:OE9)=0,"",SUM(OE5:OE9)/COUNT(OE5:OE9))</f>
        <v>2.25</v>
      </c>
      <c r="OF4" s="202" t="str">
        <f t="shared" ref="OF4:OF21" si="86">IF(OE4="","",IF(OE4&gt;3.7,"A",IF(OE4&gt;2.8,"B",IF(OE4&gt;1.5,"C",IF(OE4&gt;0,"D",IF(OE4=0,""))))))</f>
        <v>C</v>
      </c>
      <c r="OG4" s="203">
        <f>IF(COUNT(OG5:OG9)=0,"",SUM(OG5:OG9)/COUNT(OG5:OG9))</f>
        <v>3.0208333333333335</v>
      </c>
      <c r="OH4" s="204" t="str">
        <f t="shared" ref="OH4:OH21" si="87">IF(OG4="","",IF(OG4&gt;3.7,"A",IF(OG4&gt;2.8,"B",IF(OG4&gt;1.5,"C",IF(OG4&gt;0,"D",IF(OG4=0,""))))))</f>
        <v>B</v>
      </c>
      <c r="OI4" s="171"/>
      <c r="OJ4" s="84"/>
      <c r="OK4" s="104"/>
      <c r="OL4" s="178">
        <f>IF(COUNT(OL5:OL9)=0,"",SUM(OL5:OL9)/COUNT(OL5:OL9))</f>
        <v>2.25</v>
      </c>
      <c r="OM4" s="179" t="str">
        <f t="shared" ref="OM4:OM21" si="88">IF(OL4="","",IF(OL4&gt;3.7,"A",IF(OL4&gt;2.8,"B",IF(OL4&gt;1.5,"C",IF(OL4&gt;0,"D",IF(OL4=0,""))))))</f>
        <v>C</v>
      </c>
      <c r="ON4" s="171"/>
      <c r="OO4" s="84"/>
      <c r="OP4" s="84"/>
      <c r="OQ4" s="178">
        <f>IF(COUNT(OQ5:OQ9)=0,"",SUM(OQ5:OQ9)/COUNT(OQ5:OQ9))</f>
        <v>2.75</v>
      </c>
      <c r="OR4" s="194" t="str">
        <f t="shared" ref="OR4:OR21" si="89">IF(OQ4="","",IF(OQ4&gt;3.7,"A",IF(OQ4&gt;2.8,"B",IF(OQ4&gt;1.5,"C",IF(OQ4&gt;0,"D",IF(OQ4=0,""))))))</f>
        <v>C</v>
      </c>
      <c r="OS4" s="172"/>
      <c r="OT4" s="109"/>
      <c r="OU4" s="109"/>
      <c r="OV4" s="110"/>
      <c r="OW4" s="178">
        <f>IF(COUNT(OW5:OW9)=0,"",SUM(OW5:OW9)/COUNT(OW5:OW9))</f>
        <v>2</v>
      </c>
      <c r="OX4" s="202" t="str">
        <f t="shared" ref="OX4:OX21" si="90">IF(OW4="","",IF(OW4&gt;3.7,"A",IF(OW4&gt;2.8,"B",IF(OW4&gt;1.5,"C",IF(OW4&gt;0,"D",IF(OW4=0,""))))))</f>
        <v>C</v>
      </c>
      <c r="OY4" s="203">
        <f>IF(COUNT(OY5:OY9)=0,"",SUM(OY5:OY9)/COUNT(OY5:OY9))</f>
        <v>2.5</v>
      </c>
      <c r="OZ4" s="204" t="str">
        <f t="shared" ref="OZ4:OZ21" si="91">IF(OY4="","",IF(OY4&gt;3.7,"A",IF(OY4&gt;2.8,"B",IF(OY4&gt;1.5,"C",IF(OY4&gt;0,"D",IF(OY4=0,""))))))</f>
        <v>C</v>
      </c>
      <c r="PA4" s="171"/>
      <c r="PB4" s="84"/>
      <c r="PC4" s="104"/>
      <c r="PD4" s="178">
        <f>IF(COUNT(PD5:PD9)=0,"",SUM(PD5:PD9)/COUNT(PD5:PD9))</f>
        <v>2.75</v>
      </c>
      <c r="PE4" s="179" t="str">
        <f t="shared" ref="PE4:PE21" si="92">IF(PD4="","",IF(PD4&gt;3.7,"A",IF(PD4&gt;2.8,"B",IF(PD4&gt;1.5,"C",IF(PD4&gt;0,"D",IF(PD4=0,""))))))</f>
        <v>C</v>
      </c>
      <c r="PF4" s="171"/>
      <c r="PG4" s="84"/>
      <c r="PH4" s="84"/>
      <c r="PI4" s="178">
        <f>IF(COUNT(PI5:PI9)=0,"",SUM(PI5:PI9)/COUNT(PI5:PI9))</f>
        <v>2.625</v>
      </c>
      <c r="PJ4" s="194" t="str">
        <f t="shared" ref="PJ4:PJ21" si="93">IF(PI4="","",IF(PI4&gt;3.7,"A",IF(PI4&gt;2.8,"B",IF(PI4&gt;1.5,"C",IF(PI4&gt;0,"D",IF(PI4=0,""))))))</f>
        <v>C</v>
      </c>
      <c r="PK4" s="172"/>
      <c r="PL4" s="109"/>
      <c r="PM4" s="109"/>
      <c r="PN4" s="110"/>
      <c r="PO4" s="178">
        <f>IF(COUNT(PO5:PO9)=0,"",SUM(PO5:PO9)/COUNT(PO5:PO9))</f>
        <v>2.25</v>
      </c>
      <c r="PP4" s="202" t="str">
        <f t="shared" ref="PP4:PP21" si="94">IF(PO4="","",IF(PO4&gt;3.7,"A",IF(PO4&gt;2.8,"B",IF(PO4&gt;1.5,"C",IF(PO4&gt;0,"D",IF(PO4=0,""))))))</f>
        <v>C</v>
      </c>
      <c r="PQ4" s="203">
        <f>IF(COUNT(PQ5:PQ9)=0,"",SUM(PQ5:PQ9)/COUNT(PQ5:PQ9))</f>
        <v>2.6458333333333335</v>
      </c>
      <c r="PR4" s="204" t="str">
        <f t="shared" ref="PR4:PR21" si="95">IF(PQ4="","",IF(PQ4&gt;3.7,"A",IF(PQ4&gt;2.8,"B",IF(PQ4&gt;1.5,"C",IF(PQ4&gt;0,"D",IF(PQ4=0,""))))))</f>
        <v>C</v>
      </c>
      <c r="PS4" s="171"/>
      <c r="PT4" s="84"/>
      <c r="PU4" s="104"/>
      <c r="PV4" s="178">
        <f>IF(COUNT(PV5:PV9)=0,"",SUM(PV5:PV9)/COUNT(PV5:PV9))</f>
        <v>2.75</v>
      </c>
      <c r="PW4" s="179" t="str">
        <f t="shared" ref="PW4:PW21" si="96">IF(PV4="","",IF(PV4&gt;3.7,"A",IF(PV4&gt;2.8,"B",IF(PV4&gt;1.5,"C",IF(PV4&gt;0,"D",IF(PV4=0,""))))))</f>
        <v>C</v>
      </c>
      <c r="PX4" s="171"/>
      <c r="PY4" s="84"/>
      <c r="PZ4" s="84"/>
      <c r="QA4" s="178">
        <f>IF(COUNT(QA5:QA9)=0,"",SUM(QA5:QA9)/COUNT(QA5:QA9))</f>
        <v>3.5</v>
      </c>
      <c r="QB4" s="194" t="str">
        <f t="shared" ref="QB4:QB21" si="97">IF(QA4="","",IF(QA4&gt;3.7,"A",IF(QA4&gt;2.8,"B",IF(QA4&gt;1.5,"C",IF(QA4&gt;0,"D",IF(QA4=0,""))))))</f>
        <v>B</v>
      </c>
      <c r="QC4" s="172"/>
      <c r="QD4" s="109"/>
      <c r="QE4" s="109"/>
      <c r="QF4" s="110"/>
      <c r="QG4" s="178">
        <f>IF(COUNT(QG5:QG9)=0,"",SUM(QG5:QG9)/COUNT(QG5:QG9))</f>
        <v>2</v>
      </c>
      <c r="QH4" s="202" t="str">
        <f t="shared" ref="QH4:QH21" si="98">IF(QG4="","",IF(QG4&gt;3.7,"A",IF(QG4&gt;2.8,"B",IF(QG4&gt;1.5,"C",IF(QG4&gt;0,"D",IF(QG4=0,""))))))</f>
        <v>C</v>
      </c>
      <c r="QI4" s="203">
        <f>IF(COUNT(QI5:QI9)=0,"",SUM(QI5:QI9)/COUNT(QI5:QI9))</f>
        <v>2.8125</v>
      </c>
      <c r="QJ4" s="204" t="str">
        <f t="shared" ref="QJ4:QJ21" si="99">IF(QI4="","",IF(QI4&gt;3.7,"A",IF(QI4&gt;2.8,"B",IF(QI4&gt;1.5,"C",IF(QI4&gt;0,"D",IF(QI4=0,""))))))</f>
        <v>B</v>
      </c>
      <c r="QK4" s="171"/>
      <c r="QL4" s="84"/>
      <c r="QM4" s="104"/>
      <c r="QN4" s="178">
        <f>IF(COUNT(QN5:QN9)=0,"",SUM(QN5:QN9)/COUNT(QN5:QN9))</f>
        <v>2.25</v>
      </c>
      <c r="QO4" s="179" t="str">
        <f t="shared" ref="QO4:QO21" si="100">IF(QN4="","",IF(QN4&gt;3.7,"A",IF(QN4&gt;2.8,"B",IF(QN4&gt;1.5,"C",IF(QN4&gt;0,"D",IF(QN4=0,""))))))</f>
        <v>C</v>
      </c>
      <c r="QP4" s="171"/>
      <c r="QQ4" s="84"/>
      <c r="QR4" s="84"/>
      <c r="QS4" s="178">
        <f>IF(COUNT(QS5:QS9)=0,"",SUM(QS5:QS9)/COUNT(QS5:QS9))</f>
        <v>2</v>
      </c>
      <c r="QT4" s="194" t="str">
        <f t="shared" ref="QT4:QT21" si="101">IF(QS4="","",IF(QS4&gt;3.7,"A",IF(QS4&gt;2.8,"B",IF(QS4&gt;1.5,"C",IF(QS4&gt;0,"D",IF(QS4=0,""))))))</f>
        <v>C</v>
      </c>
      <c r="QU4" s="172"/>
      <c r="QV4" s="109"/>
      <c r="QW4" s="109"/>
      <c r="QX4" s="110"/>
      <c r="QY4" s="178">
        <f>IF(COUNT(QY5:QY9)=0,"",SUM(QY5:QY9)/COUNT(QY5:QY9))</f>
        <v>2.75</v>
      </c>
      <c r="QZ4" s="202" t="str">
        <f t="shared" ref="QZ4:QZ21" si="102">IF(QY4="","",IF(QY4&gt;3.7,"A",IF(QY4&gt;2.8,"B",IF(QY4&gt;1.5,"C",IF(QY4&gt;0,"D",IF(QY4=0,""))))))</f>
        <v>C</v>
      </c>
      <c r="RA4" s="203">
        <f>IF(COUNT(RA5:RA9)=0,"",SUM(RA5:RA9)/COUNT(RA5:RA9))</f>
        <v>2.375</v>
      </c>
      <c r="RB4" s="204" t="str">
        <f t="shared" ref="RB4:RB21" si="103">IF(RA4="","",IF(RA4&gt;3.7,"A",IF(RA4&gt;2.8,"B",IF(RA4&gt;1.5,"C",IF(RA4&gt;0,"D",IF(RA4=0,""))))))</f>
        <v>C</v>
      </c>
      <c r="RC4" s="171"/>
      <c r="RD4" s="84"/>
      <c r="RE4" s="104"/>
      <c r="RF4" s="178">
        <f>IF(COUNT(RF5:RF9)=0,"",SUM(RF5:RF9)/COUNT(RF5:RF9))</f>
        <v>3</v>
      </c>
      <c r="RG4" s="179" t="str">
        <f t="shared" ref="RG4:RG21" si="104">IF(RF4="","",IF(RF4&gt;3.7,"A",IF(RF4&gt;2.8,"B",IF(RF4&gt;1.5,"C",IF(RF4&gt;0,"D",IF(RF4=0,""))))))</f>
        <v>B</v>
      </c>
      <c r="RH4" s="171"/>
      <c r="RI4" s="84"/>
      <c r="RJ4" s="84"/>
      <c r="RK4" s="178">
        <f>IF(COUNT(RK5:RK9)=0,"",SUM(RK5:RK9)/COUNT(RK5:RK9))</f>
        <v>3</v>
      </c>
      <c r="RL4" s="194" t="str">
        <f t="shared" ref="RL4:RL21" si="105">IF(RK4="","",IF(RK4&gt;3.7,"A",IF(RK4&gt;2.8,"B",IF(RK4&gt;1.5,"C",IF(RK4&gt;0,"D",IF(RK4=0,""))))))</f>
        <v>B</v>
      </c>
      <c r="RM4" s="172"/>
      <c r="RN4" s="109"/>
      <c r="RO4" s="109"/>
      <c r="RP4" s="110"/>
      <c r="RQ4" s="178">
        <f>IF(COUNT(RQ5:RQ9)=0,"",SUM(RQ5:RQ9)/COUNT(RQ5:RQ9))</f>
        <v>3.25</v>
      </c>
      <c r="RR4" s="202" t="str">
        <f t="shared" ref="RR4:RR21" si="106">IF(RQ4="","",IF(RQ4&gt;3.7,"A",IF(RQ4&gt;2.8,"B",IF(RQ4&gt;1.5,"C",IF(RQ4&gt;0,"D",IF(RQ4=0,""))))))</f>
        <v>B</v>
      </c>
      <c r="RS4" s="203">
        <f>IF(COUNT(RS5:RS9)=0,"",SUM(RS5:RS9)/COUNT(RS5:RS9))</f>
        <v>3.0416666666666665</v>
      </c>
      <c r="RT4" s="204" t="str">
        <f t="shared" ref="RT4:RT21" si="107">IF(RS4="","",IF(RS4&gt;3.7,"A",IF(RS4&gt;2.8,"B",IF(RS4&gt;1.5,"C",IF(RS4&gt;0,"D",IF(RS4=0,""))))))</f>
        <v>B</v>
      </c>
      <c r="RU4" s="171"/>
      <c r="RV4" s="84"/>
      <c r="RW4" s="104"/>
      <c r="RX4" s="178">
        <f>IF(COUNT(RX5:RX9)=0,"",SUM(RX5:RX9)/COUNT(RX5:RX9))</f>
        <v>2.25</v>
      </c>
      <c r="RY4" s="179" t="str">
        <f t="shared" ref="RY4:RY21" si="108">IF(RX4="","",IF(RX4&gt;3.7,"A",IF(RX4&gt;2.8,"B",IF(RX4&gt;1.5,"C",IF(RX4&gt;0,"D",IF(RX4=0,""))))))</f>
        <v>C</v>
      </c>
      <c r="RZ4" s="171"/>
      <c r="SA4" s="84"/>
      <c r="SB4" s="84"/>
      <c r="SC4" s="178">
        <f>IF(COUNT(SC5:SC9)=0,"",SUM(SC5:SC9)/COUNT(SC5:SC9))</f>
        <v>3</v>
      </c>
      <c r="SD4" s="194" t="str">
        <f t="shared" ref="SD4:SD21" si="109">IF(SC4="","",IF(SC4&gt;3.7,"A",IF(SC4&gt;2.8,"B",IF(SC4&gt;1.5,"C",IF(SC4&gt;0,"D",IF(SC4=0,""))))))</f>
        <v>B</v>
      </c>
      <c r="SE4" s="172"/>
      <c r="SF4" s="109"/>
      <c r="SG4" s="109"/>
      <c r="SH4" s="110"/>
      <c r="SI4" s="178">
        <f>IF(COUNT(SI5:SI9)=0,"",SUM(SI5:SI9)/COUNT(SI5:SI9))</f>
        <v>2.5</v>
      </c>
      <c r="SJ4" s="202" t="str">
        <f t="shared" ref="SJ4:SJ21" si="110">IF(SI4="","",IF(SI4&gt;3.7,"A",IF(SI4&gt;2.8,"B",IF(SI4&gt;1.5,"C",IF(SI4&gt;0,"D",IF(SI4=0,""))))))</f>
        <v>C</v>
      </c>
      <c r="SK4" s="203">
        <f>IF(COUNT(SK5:SK9)=0,"",SUM(SK5:SK9)/COUNT(SK5:SK9))</f>
        <v>2.7916666666666665</v>
      </c>
      <c r="SL4" s="204" t="str">
        <f t="shared" ref="SL4:SL21" si="111">IF(SK4="","",IF(SK4&gt;3.7,"A",IF(SK4&gt;2.8,"B",IF(SK4&gt;1.5,"C",IF(SK4&gt;0,"D",IF(SK4=0,""))))))</f>
        <v>C</v>
      </c>
      <c r="SM4" s="103"/>
      <c r="SN4" s="84"/>
      <c r="SO4" s="104"/>
      <c r="SP4" s="105" t="str">
        <f>IF(COUNT(SP5:SP9)=0,"",SUM(SP5:SP9)/COUNT(SP5:SP9))</f>
        <v/>
      </c>
      <c r="SQ4" s="106" t="str">
        <f t="shared" ref="SQ4:SQ21" si="112">IF(SP4="","",IF(SP4&gt;3.7,"A",IF(SP4&gt;2.8,"B",IF(SP4&gt;1.5,"C",IF(SP4&gt;0,"D",IF(SP4=0,""))))))</f>
        <v/>
      </c>
      <c r="SR4" s="103"/>
      <c r="SS4" s="84"/>
      <c r="ST4" s="104"/>
      <c r="SU4" s="105" t="str">
        <f>IF(COUNT(SU5:SU9)=0,"",SUM(SU5:SU9)/COUNT(SU5:SU9))</f>
        <v/>
      </c>
      <c r="SV4" s="107" t="str">
        <f t="shared" ref="SV4:SV21" si="113">IF(SU4="","",IF(SU4&gt;3.7,"A",IF(SU4&gt;2.8,"B",IF(SU4&gt;1.5,"C",IF(SU4&gt;0,"D",IF(SU4=0,""))))))</f>
        <v/>
      </c>
      <c r="SW4" s="108"/>
      <c r="SX4" s="109"/>
      <c r="SY4" s="110"/>
      <c r="SZ4" s="105" t="str">
        <f>IF(COUNT(SZ5:SZ9)=0,"",SUM(SZ5:SZ9)/COUNT(SZ5:SZ9))</f>
        <v/>
      </c>
      <c r="TA4" s="111" t="str">
        <f t="shared" ref="TA4:TA21" si="114">IF(SZ4="","",IF(SZ4&gt;3.7,"A",IF(SZ4&gt;2.8,"B",IF(SZ4&gt;1.5,"C",IF(SZ4&gt;0,"D",IF(SZ4=0,""))))))</f>
        <v/>
      </c>
      <c r="TB4" s="112" t="str">
        <f>IF(COUNT(TB5:TB9)=0,"",SUM(TB5:TB9)/COUNT(TB5:TB9))</f>
        <v/>
      </c>
      <c r="TC4" s="113" t="str">
        <f t="shared" ref="TC4:TC21" si="115">IF(TB4="","",IF(TB4&gt;3.7,"A",IF(TB4&gt;2.8,"B",IF(TB4&gt;1.5,"C",IF(TB4&gt;0,"D",IF(TB4=0,""))))))</f>
        <v/>
      </c>
      <c r="TD4" s="103"/>
      <c r="TE4" s="84"/>
      <c r="TF4" s="104"/>
      <c r="TG4" s="105" t="str">
        <f>IF(COUNT(TG5:TG9)=0,"",SUM(TG5:TG9)/COUNT(TG5:TG9))</f>
        <v/>
      </c>
      <c r="TH4" s="106" t="str">
        <f t="shared" ref="TH4:TH21" si="116">IF(TG4="","",IF(TG4&gt;3.7,"A",IF(TG4&gt;2.8,"B",IF(TG4&gt;1.5,"C",IF(TG4&gt;0,"D",IF(TG4=0,""))))))</f>
        <v/>
      </c>
      <c r="TI4" s="103"/>
      <c r="TJ4" s="84"/>
      <c r="TK4" s="104"/>
      <c r="TL4" s="105" t="str">
        <f>IF(COUNT(TL5:TL9)=0,"",SUM(TL5:TL9)/COUNT(TL5:TL9))</f>
        <v/>
      </c>
      <c r="TM4" s="107" t="str">
        <f t="shared" ref="TM4:TM21" si="117">IF(TL4="","",IF(TL4&gt;3.7,"A",IF(TL4&gt;2.8,"B",IF(TL4&gt;1.5,"C",IF(TL4&gt;0,"D",IF(TL4=0,""))))))</f>
        <v/>
      </c>
      <c r="TN4" s="108"/>
      <c r="TO4" s="109"/>
      <c r="TP4" s="110"/>
      <c r="TQ4" s="105" t="str">
        <f>IF(COUNT(TQ5:TQ9)=0,"",SUM(TQ5:TQ9)/COUNT(TQ5:TQ9))</f>
        <v/>
      </c>
      <c r="TR4" s="111" t="str">
        <f t="shared" ref="TR4:TR21" si="118">IF(TQ4="","",IF(TQ4&gt;3.7,"A",IF(TQ4&gt;2.8,"B",IF(TQ4&gt;1.5,"C",IF(TQ4&gt;0,"D",IF(TQ4=0,""))))))</f>
        <v/>
      </c>
      <c r="TS4" s="112" t="str">
        <f>IF(COUNT(TS5:TS9)=0,"",SUM(TS5:TS9)/COUNT(TS5:TS9))</f>
        <v/>
      </c>
      <c r="TT4" s="113" t="str">
        <f t="shared" ref="TT4:TT21" si="119">IF(TS4="","",IF(TS4&gt;3.7,"A",IF(TS4&gt;2.8,"B",IF(TS4&gt;1.5,"C",IF(TS4&gt;0,"D",IF(TS4=0,""))))))</f>
        <v/>
      </c>
    </row>
    <row r="5" spans="1:540" ht="18" customHeight="1" x14ac:dyDescent="0.25">
      <c r="A5" s="234" t="s">
        <v>12</v>
      </c>
      <c r="B5" s="235"/>
      <c r="C5" s="115" t="s">
        <v>28</v>
      </c>
      <c r="D5" s="116"/>
      <c r="E5" s="117"/>
      <c r="F5" s="180">
        <f>IFERROR((((COUNTIF('Elève (5ème4)'!C5:E5,"A"))*4)+((COUNTIF('Elève (5ème4)'!C5:E5,"B"))*3)+((COUNTIF('Elève (5ème4)'!C5:E5,"C"))*2)+((COUNTIF('Elève (5ème4)'!C5:E5,"D"))*1))/(COUNTA(C5:E5)),"")</f>
        <v>3</v>
      </c>
      <c r="G5" s="181" t="str">
        <f t="shared" si="0"/>
        <v>B</v>
      </c>
      <c r="H5" s="115" t="s">
        <v>28</v>
      </c>
      <c r="I5" s="116"/>
      <c r="J5" s="117"/>
      <c r="K5" s="180">
        <f>IFERROR((((COUNTIF('Elève (5ème4)'!H5:J5,"A"))*4)+((COUNTIF('Elève (5ème4)'!H5:J5,"B"))*3)+((COUNTIF('Elève (5ème4)'!H5:J5,"C"))*2)+((COUNTIF('Elève (5ème4)'!H5:J5,"D"))*1))/(COUNTA(H5:J5)),"")</f>
        <v>3</v>
      </c>
      <c r="L5" s="181" t="str">
        <f t="shared" si="1"/>
        <v>B</v>
      </c>
      <c r="M5" s="115"/>
      <c r="N5" s="116"/>
      <c r="O5" s="117"/>
      <c r="P5" s="117"/>
      <c r="Q5" s="180" t="str">
        <f>IFERROR((((COUNTIF('Elève (5ème4)'!M5:P5,"A"))*4)+((COUNTIF('Elève (5ème4)'!M5:P5,"B"))*3)+((COUNTIF('Elève (5ème4)'!M5:P5,"C"))*2)+((COUNTIF('Elève (5ème4)'!M5:P5,"D"))*1))/(COUNTA(M5:P5)),"")</f>
        <v/>
      </c>
      <c r="R5" s="181" t="str">
        <f t="shared" si="2"/>
        <v/>
      </c>
      <c r="S5" s="180">
        <f>IF(COUNT(F5,K5,Q5)=0,"",SUM(F5,K5,Q5)/COUNT(F5,K5,Q5))</f>
        <v>3</v>
      </c>
      <c r="T5" s="205" t="str">
        <f t="shared" si="3"/>
        <v>B</v>
      </c>
      <c r="U5" s="115" t="s">
        <v>28</v>
      </c>
      <c r="V5" s="116" t="s">
        <v>29</v>
      </c>
      <c r="W5" s="117"/>
      <c r="X5" s="180">
        <f>IFERROR((((COUNTIF('Elève (5ème4)'!U5:W5,"A"))*4)+((COUNTIF('Elève (5ème4)'!U5:W5,"B"))*3)+((COUNTIF('Elève (5ème4)'!U5:W5,"C"))*2)+((COUNTIF('Elève (5ème4)'!U5:W5,"D"))*1))/(COUNTA(U5:W5)),"")</f>
        <v>2.5</v>
      </c>
      <c r="Y5" s="181" t="str">
        <f t="shared" si="4"/>
        <v>C</v>
      </c>
      <c r="Z5" s="115" t="s">
        <v>29</v>
      </c>
      <c r="AA5" s="116"/>
      <c r="AB5" s="117"/>
      <c r="AC5" s="180">
        <f>IFERROR((((COUNTIF('Elève (5ème4)'!Z5:AB5,"A"))*4)+((COUNTIF('Elève (5ème4)'!Z5:AB5,"B"))*3)+((COUNTIF('Elève (5ème4)'!Z5:AB5,"C"))*2)+((COUNTIF('Elève (5ème4)'!Z5:AB5,"D"))*1))/(COUNTA(Z5:AB5)),"")</f>
        <v>2</v>
      </c>
      <c r="AD5" s="181" t="str">
        <f t="shared" si="5"/>
        <v>C</v>
      </c>
      <c r="AE5" s="115"/>
      <c r="AF5" s="116"/>
      <c r="AG5" s="117"/>
      <c r="AH5" s="121"/>
      <c r="AI5" s="180" t="str">
        <f>IFERROR((((COUNTIF('Elève (5ème4)'!AE5:AH5,"A"))*4)+((COUNTIF('Elève (5ème4)'!AE5:AH5,"B"))*3)+((COUNTIF('Elève (5ème4)'!AE5:AH5,"C"))*2)+((COUNTIF('Elève (5ème4)'!AE5:AH5,"D"))*1))/(COUNTA(AE5:AH5)),"")</f>
        <v/>
      </c>
      <c r="AJ5" s="181" t="str">
        <f t="shared" si="6"/>
        <v/>
      </c>
      <c r="AK5" s="180">
        <f>IF(COUNT(X5,AC5,AI5)=0,"",SUM(X5,AC5,AI5)/COUNT(X5,AC5,AI5))</f>
        <v>2.25</v>
      </c>
      <c r="AL5" s="205" t="str">
        <f t="shared" si="7"/>
        <v>C</v>
      </c>
      <c r="AM5" s="115" t="s">
        <v>29</v>
      </c>
      <c r="AN5" s="116" t="s">
        <v>29</v>
      </c>
      <c r="AO5" s="117"/>
      <c r="AP5" s="180">
        <f>IFERROR((((COUNTIF('Elève (5ème4)'!AM5:AO5,"A"))*4)+((COUNTIF('Elève (5ème4)'!AM5:AO5,"B"))*3)+((COUNTIF('Elève (5ème4)'!AM5:AO5,"C"))*2)+((COUNTIF('Elève (5ème4)'!AM5:AO5,"D"))*1))/(COUNTA(AM5:AO5)),"")</f>
        <v>2</v>
      </c>
      <c r="AQ5" s="181" t="str">
        <f t="shared" si="8"/>
        <v>C</v>
      </c>
      <c r="AR5" s="115" t="s">
        <v>28</v>
      </c>
      <c r="AS5" s="116"/>
      <c r="AT5" s="117"/>
      <c r="AU5" s="180">
        <f>IFERROR((((COUNTIF('Elève (5ème4)'!AR5:AT5,"A"))*4)+((COUNTIF('Elève (5ème4)'!AR5:AT5,"B"))*3)+((COUNTIF('Elève (5ème4)'!AR5:AT5,"C"))*2)+((COUNTIF('Elève (5ème4)'!AR5:AT5,"D"))*1))/(COUNTA(AR5:AT5)),"")</f>
        <v>3</v>
      </c>
      <c r="AV5" s="181" t="str">
        <f t="shared" si="9"/>
        <v>B</v>
      </c>
      <c r="AW5" s="115"/>
      <c r="AX5" s="116"/>
      <c r="AY5" s="117"/>
      <c r="AZ5" s="121"/>
      <c r="BA5" s="180" t="str">
        <f>IFERROR((((COUNTIF('Elève (5ème4)'!AW5:AZ5,"A"))*4)+((COUNTIF('Elève (5ème4)'!AW5:AZ5,"B"))*3)+((COUNTIF('Elève (5ème4)'!AW5:AZ5,"C"))*2)+((COUNTIF('Elève (5ème4)'!AW5:AZ5,"D"))*1))/(COUNTA(AW5:AZ5)),"")</f>
        <v/>
      </c>
      <c r="BB5" s="181" t="str">
        <f t="shared" si="10"/>
        <v/>
      </c>
      <c r="BC5" s="180">
        <f>IF(COUNT(AP5,AU5,BA5)=0,"",SUM(AP5,AU5,BA5)/COUNT(AP5,AU5,BA5))</f>
        <v>2.5</v>
      </c>
      <c r="BD5" s="205" t="str">
        <f t="shared" si="11"/>
        <v>C</v>
      </c>
      <c r="BE5" s="115" t="s">
        <v>29</v>
      </c>
      <c r="BF5" s="116" t="s">
        <v>29</v>
      </c>
      <c r="BG5" s="117"/>
      <c r="BH5" s="180">
        <f>IFERROR((((COUNTIF('Elève (5ème4)'!BE5:BG5,"A"))*4)+((COUNTIF('Elève (5ème4)'!BE5:BG5,"B"))*3)+((COUNTIF('Elève (5ème4)'!BE5:BG5,"C"))*2)+((COUNTIF('Elève (5ème4)'!BE5:BG5,"D"))*1))/(COUNTA(BE5:BG5)),"")</f>
        <v>2</v>
      </c>
      <c r="BI5" s="181" t="str">
        <f t="shared" si="12"/>
        <v>C</v>
      </c>
      <c r="BJ5" s="115" t="s">
        <v>29</v>
      </c>
      <c r="BK5" s="116"/>
      <c r="BL5" s="117"/>
      <c r="BM5" s="180">
        <f>IFERROR((((COUNTIF('Elève (5ème4)'!BJ5:BL5,"A"))*4)+((COUNTIF('Elève (5ème4)'!BJ5:BL5,"B"))*3)+((COUNTIF('Elève (5ème4)'!BJ5:BL5,"C"))*2)+((COUNTIF('Elève (5ème4)'!BJ5:BL5,"D"))*1))/(COUNTA(BJ5:BL5)),"")</f>
        <v>2</v>
      </c>
      <c r="BN5" s="181" t="str">
        <f t="shared" si="13"/>
        <v>C</v>
      </c>
      <c r="BO5" s="115"/>
      <c r="BP5" s="116"/>
      <c r="BQ5" s="117"/>
      <c r="BR5" s="121"/>
      <c r="BS5" s="180" t="str">
        <f>IFERROR((((COUNTIF('Elève (5ème4)'!BO5:BR5,"A"))*4)+((COUNTIF('Elève (5ème4)'!BO5:BR5,"B"))*3)+((COUNTIF('Elève (5ème4)'!BO5:BR5,"C"))*2)+((COUNTIF('Elève (5ème4)'!BO5:BR5,"D"))*1))/(COUNTA(BO5:BR5)),"")</f>
        <v/>
      </c>
      <c r="BT5" s="181" t="str">
        <f t="shared" si="14"/>
        <v/>
      </c>
      <c r="BU5" s="180">
        <f>IF(COUNT(BH5,BM5,BS5)=0,"",SUM(BH5,BM5,BS5)/COUNT(BH5,BM5,BS5))</f>
        <v>2</v>
      </c>
      <c r="BV5" s="205" t="str">
        <f t="shared" si="15"/>
        <v>C</v>
      </c>
      <c r="BW5" s="115" t="s">
        <v>29</v>
      </c>
      <c r="BX5" s="116" t="s">
        <v>29</v>
      </c>
      <c r="BY5" s="117"/>
      <c r="BZ5" s="180">
        <f>IFERROR((((COUNTIF('Elève (5ème4)'!BW5:BY5,"A"))*4)+((COUNTIF('Elève (5ème4)'!BW5:BY5,"B"))*3)+((COUNTIF('Elève (5ème4)'!BW5:BY5,"C"))*2)+((COUNTIF('Elève (5ème4)'!BW5:BY5,"D"))*1))/(COUNTA(BW5:BY5)),"")</f>
        <v>2</v>
      </c>
      <c r="CA5" s="181" t="str">
        <f t="shared" si="16"/>
        <v>C</v>
      </c>
      <c r="CB5" s="115" t="s">
        <v>28</v>
      </c>
      <c r="CC5" s="116"/>
      <c r="CD5" s="117"/>
      <c r="CE5" s="180">
        <f>IFERROR((((COUNTIF('Elève (5ème4)'!CB5:CD5,"A"))*4)+((COUNTIF('Elève (5ème4)'!CB5:CD5,"B"))*3)+((COUNTIF('Elève (5ème4)'!CB5:CD5,"C"))*2)+((COUNTIF('Elève (5ème4)'!CB5:CD5,"D"))*1))/(COUNTA(CB5:CD5)),"")</f>
        <v>3</v>
      </c>
      <c r="CF5" s="181" t="str">
        <f t="shared" si="17"/>
        <v>B</v>
      </c>
      <c r="CG5" s="115"/>
      <c r="CH5" s="116"/>
      <c r="CI5" s="117"/>
      <c r="CJ5" s="121"/>
      <c r="CK5" s="180" t="str">
        <f>IFERROR((((COUNTIF('Elève (5ème4)'!CG5:CJ5,"A"))*4)+((COUNTIF('Elève (5ème4)'!CG5:CJ5,"B"))*3)+((COUNTIF('Elève (5ème4)'!CG5:CJ5,"C"))*2)+((COUNTIF('Elève (5ème4)'!CG5:CJ5,"D"))*1))/(COUNTA(CG5:CJ5)),"")</f>
        <v/>
      </c>
      <c r="CL5" s="181" t="str">
        <f t="shared" si="18"/>
        <v/>
      </c>
      <c r="CM5" s="180">
        <f>IF(COUNT(BZ5,CE5,CK5)=0,"",SUM(BZ5,CE5,CK5)/COUNT(BZ5,CE5,CK5))</f>
        <v>2.5</v>
      </c>
      <c r="CN5" s="205" t="str">
        <f t="shared" si="19"/>
        <v>C</v>
      </c>
      <c r="CO5" s="115" t="s">
        <v>28</v>
      </c>
      <c r="CP5" s="116" t="s">
        <v>29</v>
      </c>
      <c r="CQ5" s="117"/>
      <c r="CR5" s="180">
        <f>IFERROR((((COUNTIF('Elève (5ème4)'!CO5:CQ5,"A"))*4)+((COUNTIF('Elève (5ème4)'!CO5:CQ5,"B"))*3)+((COUNTIF('Elève (5ème4)'!CO5:CQ5,"C"))*2)+((COUNTIF('Elève (5ème4)'!CO5:CQ5,"D"))*1))/(COUNTA(CO5:CQ5)),"")</f>
        <v>2.5</v>
      </c>
      <c r="CS5" s="181" t="str">
        <f t="shared" si="20"/>
        <v>C</v>
      </c>
      <c r="CT5" s="115" t="s">
        <v>28</v>
      </c>
      <c r="CU5" s="116"/>
      <c r="CV5" s="117"/>
      <c r="CW5" s="180">
        <f>IFERROR((((COUNTIF('Elève (5ème4)'!CT5:CV5,"A"))*4)+((COUNTIF('Elève (5ème4)'!CT5:CV5,"B"))*3)+((COUNTIF('Elève (5ème4)'!CT5:CV5,"C"))*2)+((COUNTIF('Elève (5ème4)'!CT5:CV5,"D"))*1))/(COUNTA(CT5:CV5)),"")</f>
        <v>3</v>
      </c>
      <c r="CX5" s="181" t="str">
        <f t="shared" si="21"/>
        <v>B</v>
      </c>
      <c r="CY5" s="115"/>
      <c r="CZ5" s="116"/>
      <c r="DA5" s="117"/>
      <c r="DB5" s="121"/>
      <c r="DC5" s="180" t="str">
        <f>IFERROR((((COUNTIF('Elève (5ème4)'!CY5:DB5,"A"))*4)+((COUNTIF('Elève (5ème4)'!CY5:DB5,"B"))*3)+((COUNTIF('Elève (5ème4)'!CY5:DB5,"C"))*2)+((COUNTIF('Elève (5ème4)'!CY5:DB5,"D"))*1))/(COUNTA(CY5:DB5)),"")</f>
        <v/>
      </c>
      <c r="DD5" s="181" t="str">
        <f t="shared" si="22"/>
        <v/>
      </c>
      <c r="DE5" s="180">
        <f>IF(COUNT(CR5,CW5,DC5)=0,"",SUM(CR5,CW5,DC5)/COUNT(CR5,CW5,DC5))</f>
        <v>2.75</v>
      </c>
      <c r="DF5" s="205" t="str">
        <f t="shared" si="23"/>
        <v>C</v>
      </c>
      <c r="DG5" s="115" t="s">
        <v>27</v>
      </c>
      <c r="DH5" s="116" t="s">
        <v>29</v>
      </c>
      <c r="DI5" s="117"/>
      <c r="DJ5" s="180">
        <f>IFERROR((((COUNTIF('Elève (5ème4)'!DG5:DI5,"A"))*4)+((COUNTIF('Elève (5ème4)'!DG5:DI5,"B"))*3)+((COUNTIF('Elève (5ème4)'!DG5:DI5,"C"))*2)+((COUNTIF('Elève (5ème4)'!DG5:DI5,"D"))*1))/(COUNTA(DG5:DI5)),"")</f>
        <v>3</v>
      </c>
      <c r="DK5" s="181" t="str">
        <f t="shared" si="24"/>
        <v>B</v>
      </c>
      <c r="DL5" s="115" t="s">
        <v>28</v>
      </c>
      <c r="DM5" s="116"/>
      <c r="DN5" s="117"/>
      <c r="DO5" s="180">
        <f>IFERROR((((COUNTIF('Elève (5ème4)'!DL5:DN5,"A"))*4)+((COUNTIF('Elève (5ème4)'!DL5:DN5,"B"))*3)+((COUNTIF('Elève (5ème4)'!DL5:DN5,"C"))*2)+((COUNTIF('Elève (5ème4)'!DL5:DN5,"D"))*1))/(COUNTA(DL5:DN5)),"")</f>
        <v>3</v>
      </c>
      <c r="DP5" s="181" t="str">
        <f t="shared" si="25"/>
        <v>B</v>
      </c>
      <c r="DQ5" s="115"/>
      <c r="DR5" s="116"/>
      <c r="DS5" s="117"/>
      <c r="DT5" s="121"/>
      <c r="DU5" s="180" t="str">
        <f>IFERROR((((COUNTIF('Elève (5ème4)'!DQ5:DT5,"A"))*4)+((COUNTIF('Elève (5ème4)'!DQ5:DT5,"B"))*3)+((COUNTIF('Elève (5ème4)'!DQ5:DT5,"C"))*2)+((COUNTIF('Elève (5ème4)'!DQ5:DT5,"D"))*1))/(COUNTA(DQ5:DT5)),"")</f>
        <v/>
      </c>
      <c r="DV5" s="181" t="str">
        <f t="shared" si="26"/>
        <v/>
      </c>
      <c r="DW5" s="180">
        <f>IF(COUNT(DJ5,DO5,DU5)=0,"",SUM(DJ5,DO5,DU5)/COUNT(DJ5,DO5,DU5))</f>
        <v>3</v>
      </c>
      <c r="DX5" s="205" t="str">
        <f t="shared" si="27"/>
        <v>B</v>
      </c>
      <c r="DY5" s="115" t="s">
        <v>28</v>
      </c>
      <c r="DZ5" s="116" t="s">
        <v>29</v>
      </c>
      <c r="EA5" s="117"/>
      <c r="EB5" s="180">
        <f>IFERROR((((COUNTIF('Elève (5ème4)'!DY5:EA5,"A"))*4)+((COUNTIF('Elève (5ème4)'!DY5:EA5,"B"))*3)+((COUNTIF('Elève (5ème4)'!DY5:EA5,"C"))*2)+((COUNTIF('Elève (5ème4)'!DY5:EA5,"D"))*1))/(COUNTA(DY5:EA5)),"")</f>
        <v>2.5</v>
      </c>
      <c r="EC5" s="181" t="str">
        <f t="shared" si="28"/>
        <v>C</v>
      </c>
      <c r="ED5" s="115" t="s">
        <v>28</v>
      </c>
      <c r="EE5" s="116"/>
      <c r="EF5" s="117"/>
      <c r="EG5" s="180">
        <f>IFERROR((((COUNTIF('Elève (5ème4)'!ED5:EF5,"A"))*4)+((COUNTIF('Elève (5ème4)'!ED5:EF5,"B"))*3)+((COUNTIF('Elève (5ème4)'!ED5:EF5,"C"))*2)+((COUNTIF('Elève (5ème4)'!ED5:EF5,"D"))*1))/(COUNTA(ED5:EF5)),"")</f>
        <v>3</v>
      </c>
      <c r="EH5" s="181" t="str">
        <f t="shared" si="29"/>
        <v>B</v>
      </c>
      <c r="EI5" s="115"/>
      <c r="EJ5" s="116"/>
      <c r="EK5" s="117"/>
      <c r="EL5" s="121"/>
      <c r="EM5" s="180" t="str">
        <f>IFERROR((((COUNTIF('Elève (5ème4)'!EI5:EL5,"A"))*4)+((COUNTIF('Elève (5ème4)'!EI5:EL5,"B"))*3)+((COUNTIF('Elève (5ème4)'!EI5:EL5,"C"))*2)+((COUNTIF('Elève (5ème4)'!EI5:EL5,"D"))*1))/(COUNTA(EI5:EL5)),"")</f>
        <v/>
      </c>
      <c r="EN5" s="181" t="str">
        <f t="shared" si="30"/>
        <v/>
      </c>
      <c r="EO5" s="180">
        <f>IF(COUNT(EB5,EG5,EM5)=0,"",SUM(EB5,EG5,EM5)/COUNT(EB5,EG5,EM5))</f>
        <v>2.75</v>
      </c>
      <c r="EP5" s="205" t="str">
        <f t="shared" si="31"/>
        <v>C</v>
      </c>
      <c r="EQ5" s="115" t="s">
        <v>29</v>
      </c>
      <c r="ER5" s="116"/>
      <c r="ES5" s="117"/>
      <c r="ET5" s="180">
        <f>IFERROR((((COUNTIF('Elève (5ème4)'!EQ5:ES5,"A"))*4)+((COUNTIF('Elève (5ème4)'!EQ5:ES5,"B"))*3)+((COUNTIF('Elève (5ème4)'!EQ5:ES5,"C"))*2)+((COUNTIF('Elève (5ème4)'!EQ5:ES5,"D"))*1))/(COUNTA(EQ5:ES5)),"")</f>
        <v>2</v>
      </c>
      <c r="EU5" s="181" t="str">
        <f t="shared" si="32"/>
        <v>C</v>
      </c>
      <c r="EV5" s="115" t="s">
        <v>28</v>
      </c>
      <c r="EW5" s="116"/>
      <c r="EX5" s="117"/>
      <c r="EY5" s="180">
        <f>IFERROR((((COUNTIF('Elève (5ème4)'!EV5:EX5,"A"))*4)+((COUNTIF('Elève (5ème4)'!EV5:EX5,"B"))*3)+((COUNTIF('Elève (5ème4)'!EV5:EX5,"C"))*2)+((COUNTIF('Elève (5ème4)'!EV5:EX5,"D"))*1))/(COUNTA(EV5:EX5)),"")</f>
        <v>3</v>
      </c>
      <c r="EZ5" s="181" t="str">
        <f t="shared" si="33"/>
        <v>B</v>
      </c>
      <c r="FA5" s="115"/>
      <c r="FB5" s="116"/>
      <c r="FC5" s="117"/>
      <c r="FD5" s="121"/>
      <c r="FE5" s="180" t="str">
        <f>IFERROR((((COUNTIF('Elève (5ème4)'!FA5:FD5,"A"))*4)+((COUNTIF('Elève (5ème4)'!FA5:FD5,"B"))*3)+((COUNTIF('Elève (5ème4)'!FA5:FD5,"C"))*2)+((COUNTIF('Elève (5ème4)'!FA5:FD5,"D"))*1))/(COUNTA(FA5:FD5)),"")</f>
        <v/>
      </c>
      <c r="FF5" s="181" t="str">
        <f t="shared" si="34"/>
        <v/>
      </c>
      <c r="FG5" s="180">
        <f>IF(COUNT(ET5,EY5,FE5)=0,"",SUM(ET5,EY5,FE5)/COUNT(ET5,EY5,FE5))</f>
        <v>2.5</v>
      </c>
      <c r="FH5" s="205" t="str">
        <f t="shared" si="35"/>
        <v>C</v>
      </c>
      <c r="FI5" s="115" t="s">
        <v>28</v>
      </c>
      <c r="FJ5" s="116" t="s">
        <v>29</v>
      </c>
      <c r="FK5" s="117"/>
      <c r="FL5" s="180">
        <f>IFERROR((((COUNTIF('Elève (5ème4)'!FI5:FK5,"A"))*4)+((COUNTIF('Elève (5ème4)'!FI5:FK5,"B"))*3)+((COUNTIF('Elève (5ème4)'!FI5:FK5,"C"))*2)+((COUNTIF('Elève (5ème4)'!FI5:FK5,"D"))*1))/(COUNTA(FI5:FK5)),"")</f>
        <v>2.5</v>
      </c>
      <c r="FM5" s="181" t="str">
        <f t="shared" si="36"/>
        <v>C</v>
      </c>
      <c r="FN5" s="115" t="s">
        <v>28</v>
      </c>
      <c r="FO5" s="116"/>
      <c r="FP5" s="117"/>
      <c r="FQ5" s="180">
        <f>IFERROR((((COUNTIF('Elève (5ème4)'!FN5:FP5,"A"))*4)+((COUNTIF('Elève (5ème4)'!FN5:FP5,"B"))*3)+((COUNTIF('Elève (5ème4)'!FN5:FP5,"C"))*2)+((COUNTIF('Elève (5ème4)'!FN5:FP5,"D"))*1))/(COUNTA(FN5:FP5)),"")</f>
        <v>3</v>
      </c>
      <c r="FR5" s="181" t="str">
        <f t="shared" si="37"/>
        <v>B</v>
      </c>
      <c r="FS5" s="115"/>
      <c r="FT5" s="116"/>
      <c r="FU5" s="117"/>
      <c r="FV5" s="121"/>
      <c r="FW5" s="180" t="str">
        <f>IFERROR((((COUNTIF('Elève (5ème4)'!FS5:FV5,"A"))*4)+((COUNTIF('Elève (5ème4)'!FS5:FV5,"B"))*3)+((COUNTIF('Elève (5ème4)'!FS5:FV5,"C"))*2)+((COUNTIF('Elève (5ème4)'!FS5:FV5,"D"))*1))/(COUNTA(FS5:FV5)),"")</f>
        <v/>
      </c>
      <c r="FX5" s="181" t="str">
        <f t="shared" si="38"/>
        <v/>
      </c>
      <c r="FY5" s="180">
        <f>IF(COUNT(FL5,FQ5,FW5)=0,"",SUM(FL5,FQ5,FW5)/COUNT(FL5,FQ5,FW5))</f>
        <v>2.75</v>
      </c>
      <c r="FZ5" s="205" t="str">
        <f t="shared" si="39"/>
        <v>C</v>
      </c>
      <c r="GA5" s="115" t="s">
        <v>27</v>
      </c>
      <c r="GB5" s="116" t="s">
        <v>29</v>
      </c>
      <c r="GC5" s="117"/>
      <c r="GD5" s="180">
        <f>IFERROR((((COUNTIF('Elève (5ème4)'!GA5:GC5,"A"))*4)+((COUNTIF('Elève (5ème4)'!GA5:GC5,"B"))*3)+((COUNTIF('Elève (5ème4)'!GA5:GC5,"C"))*2)+((COUNTIF('Elève (5ème4)'!GA5:GC5,"D"))*1))/(COUNTA(GA5:GC5)),"")</f>
        <v>3</v>
      </c>
      <c r="GE5" s="181" t="str">
        <f t="shared" si="40"/>
        <v>B</v>
      </c>
      <c r="GF5" s="115" t="s">
        <v>28</v>
      </c>
      <c r="GG5" s="116"/>
      <c r="GH5" s="117"/>
      <c r="GI5" s="180">
        <f>IFERROR((((COUNTIF('Elève (5ème4)'!GF5:GH5,"A"))*4)+((COUNTIF('Elève (5ème4)'!GF5:GH5,"B"))*3)+((COUNTIF('Elève (5ème4)'!GF5:GH5,"C"))*2)+((COUNTIF('Elève (5ème4)'!GF5:GH5,"D"))*1))/(COUNTA(GF5:GH5)),"")</f>
        <v>3</v>
      </c>
      <c r="GJ5" s="181" t="str">
        <f t="shared" si="41"/>
        <v>B</v>
      </c>
      <c r="GK5" s="115"/>
      <c r="GL5" s="116"/>
      <c r="GM5" s="117"/>
      <c r="GN5" s="121"/>
      <c r="GO5" s="180" t="str">
        <f>IFERROR((((COUNTIF('Elève (5ème4)'!GK5:GN5,"A"))*4)+((COUNTIF('Elève (5ème4)'!GK5:GN5,"B"))*3)+((COUNTIF('Elève (5ème4)'!GK5:GN5,"C"))*2)+((COUNTIF('Elève (5ème4)'!GK5:GN5,"D"))*1))/(COUNTA(GK5:GN5)),"")</f>
        <v/>
      </c>
      <c r="GP5" s="181" t="str">
        <f t="shared" si="42"/>
        <v/>
      </c>
      <c r="GQ5" s="180">
        <f>IF(COUNT(GD5,GI5,GO5)=0,"",SUM(GD5,GI5,GO5)/COUNT(GD5,GI5,GO5))</f>
        <v>3</v>
      </c>
      <c r="GR5" s="205" t="str">
        <f t="shared" si="43"/>
        <v>B</v>
      </c>
      <c r="GS5" s="115" t="s">
        <v>27</v>
      </c>
      <c r="GT5" s="116" t="s">
        <v>29</v>
      </c>
      <c r="GU5" s="117"/>
      <c r="GV5" s="180">
        <f>IFERROR((((COUNTIF('Elève (5ème4)'!GS5:GU5,"A"))*4)+((COUNTIF('Elève (5ème4)'!GS5:GU5,"B"))*3)+((COUNTIF('Elève (5ème4)'!GS5:GU5,"C"))*2)+((COUNTIF('Elève (5ème4)'!GS5:GU5,"D"))*1))/(COUNTA(GS5:GU5)),"")</f>
        <v>3</v>
      </c>
      <c r="GW5" s="181" t="str">
        <f t="shared" si="44"/>
        <v>B</v>
      </c>
      <c r="GX5" s="115" t="s">
        <v>29</v>
      </c>
      <c r="GY5" s="116"/>
      <c r="GZ5" s="117"/>
      <c r="HA5" s="180">
        <f>IFERROR((((COUNTIF('Elève (5ème4)'!GX5:GZ5,"A"))*4)+((COUNTIF('Elève (5ème4)'!GX5:GZ5,"B"))*3)+((COUNTIF('Elève (5ème4)'!GX5:GZ5,"C"))*2)+((COUNTIF('Elève (5ème4)'!GX5:GZ5,"D"))*1))/(COUNTA(GX5:GZ5)),"")</f>
        <v>2</v>
      </c>
      <c r="HB5" s="181" t="str">
        <f t="shared" si="45"/>
        <v>C</v>
      </c>
      <c r="HC5" s="115"/>
      <c r="HD5" s="116"/>
      <c r="HE5" s="117"/>
      <c r="HF5" s="121"/>
      <c r="HG5" s="180" t="str">
        <f>IFERROR((((COUNTIF('Elève (5ème4)'!HC5:HF5,"A"))*4)+((COUNTIF('Elève (5ème4)'!HC5:HF5,"B"))*3)+((COUNTIF('Elève (5ème4)'!HC5:HF5,"C"))*2)+((COUNTIF('Elève (5ème4)'!HC5:HF5,"D"))*1))/(COUNTA(HC5:HF5)),"")</f>
        <v/>
      </c>
      <c r="HH5" s="181" t="str">
        <f t="shared" si="46"/>
        <v/>
      </c>
      <c r="HI5" s="180">
        <f>IF(COUNT(GV5,HA5,HG5)=0,"",SUM(GV5,HA5,HG5)/COUNT(GV5,HA5,HG5))</f>
        <v>2.5</v>
      </c>
      <c r="HJ5" s="205" t="str">
        <f t="shared" si="47"/>
        <v>C</v>
      </c>
      <c r="HK5" s="115" t="s">
        <v>28</v>
      </c>
      <c r="HL5" s="116" t="s">
        <v>29</v>
      </c>
      <c r="HM5" s="117"/>
      <c r="HN5" s="180">
        <f>IFERROR((((COUNTIF('Elève (5ème4)'!HK5:HM5,"A"))*4)+((COUNTIF('Elève (5ème4)'!HK5:HM5,"B"))*3)+((COUNTIF('Elève (5ème4)'!HK5:HM5,"C"))*2)+((COUNTIF('Elève (5ème4)'!HK5:HM5,"D"))*1))/(COUNTA(HK5:HM5)),"")</f>
        <v>2.5</v>
      </c>
      <c r="HO5" s="181" t="str">
        <f t="shared" si="48"/>
        <v>C</v>
      </c>
      <c r="HP5" s="115" t="s">
        <v>28</v>
      </c>
      <c r="HQ5" s="116"/>
      <c r="HR5" s="117"/>
      <c r="HS5" s="180">
        <f>IFERROR((((COUNTIF('Elève (5ème4)'!HP5:HR5,"A"))*4)+((COUNTIF('Elève (5ème4)'!HP5:HR5,"B"))*3)+((COUNTIF('Elève (5ème4)'!HP5:HR5,"C"))*2)+((COUNTIF('Elève (5ème4)'!HP5:HR5,"D"))*1))/(COUNTA(HP5:HR5)),"")</f>
        <v>3</v>
      </c>
      <c r="HT5" s="181" t="str">
        <f t="shared" si="49"/>
        <v>B</v>
      </c>
      <c r="HU5" s="115"/>
      <c r="HV5" s="116"/>
      <c r="HW5" s="117"/>
      <c r="HX5" s="121"/>
      <c r="HY5" s="180" t="str">
        <f>IFERROR((((COUNTIF('Elève (5ème4)'!HU5:HX5,"A"))*4)+((COUNTIF('Elève (5ème4)'!HU5:HX5,"B"))*3)+((COUNTIF('Elève (5ème4)'!HU5:HX5,"C"))*2)+((COUNTIF('Elève (5ème4)'!HU5:HX5,"D"))*1))/(COUNTA(HU5:HX5)),"")</f>
        <v/>
      </c>
      <c r="HZ5" s="181" t="str">
        <f t="shared" si="50"/>
        <v/>
      </c>
      <c r="IA5" s="180">
        <f>IF(COUNT(HN5,HS5,HY5)=0,"",SUM(HN5,HS5,HY5)/COUNT(HN5,HS5,HY5))</f>
        <v>2.75</v>
      </c>
      <c r="IB5" s="205" t="str">
        <f t="shared" si="51"/>
        <v>C</v>
      </c>
      <c r="IC5" s="115" t="s">
        <v>27</v>
      </c>
      <c r="ID5" s="116" t="s">
        <v>28</v>
      </c>
      <c r="IE5" s="117"/>
      <c r="IF5" s="180">
        <f>IFERROR((((COUNTIF('Elève (5ème4)'!IC5:IE5,"A"))*4)+((COUNTIF('Elève (5ème4)'!IC5:IE5,"B"))*3)+((COUNTIF('Elève (5ème4)'!IC5:IE5,"C"))*2)+((COUNTIF('Elève (5ème4)'!IC5:IE5,"D"))*1))/(COUNTA(IC5:IE5)),"")</f>
        <v>3.5</v>
      </c>
      <c r="IG5" s="181" t="str">
        <f t="shared" si="52"/>
        <v>B</v>
      </c>
      <c r="IH5" s="115" t="s">
        <v>28</v>
      </c>
      <c r="II5" s="116"/>
      <c r="IJ5" s="117"/>
      <c r="IK5" s="180">
        <f>IFERROR((((COUNTIF('Elève (5ème4)'!IH5:IJ5,"A"))*4)+((COUNTIF('Elève (5ème4)'!IH5:IJ5,"B"))*3)+((COUNTIF('Elève (5ème4)'!IH5:IJ5,"C"))*2)+((COUNTIF('Elève (5ème4)'!IH5:IJ5,"D"))*1))/(COUNTA(IH5:IJ5)),"")</f>
        <v>3</v>
      </c>
      <c r="IL5" s="181" t="str">
        <f t="shared" si="53"/>
        <v>B</v>
      </c>
      <c r="IM5" s="115"/>
      <c r="IN5" s="116"/>
      <c r="IO5" s="117"/>
      <c r="IP5" s="121"/>
      <c r="IQ5" s="180" t="str">
        <f>IFERROR((((COUNTIF('Elève (5ème4)'!IM5:IP5,"A"))*4)+((COUNTIF('Elève (5ème4)'!IM5:IP5,"B"))*3)+((COUNTIF('Elève (5ème4)'!IM5:IP5,"C"))*2)+((COUNTIF('Elève (5ème4)'!IM5:IP5,"D"))*1))/(COUNTA(IM5:IP5)),"")</f>
        <v/>
      </c>
      <c r="IR5" s="181" t="str">
        <f t="shared" si="54"/>
        <v/>
      </c>
      <c r="IS5" s="180">
        <f>IF(COUNT(IF5,IK5,IQ5)=0,"",SUM(IF5,IK5,IQ5)/COUNT(IF5,IK5,IQ5))</f>
        <v>3.25</v>
      </c>
      <c r="IT5" s="205" t="str">
        <f t="shared" si="55"/>
        <v>B</v>
      </c>
      <c r="IU5" s="115" t="s">
        <v>28</v>
      </c>
      <c r="IV5" s="116" t="s">
        <v>29</v>
      </c>
      <c r="IW5" s="117"/>
      <c r="IX5" s="180">
        <f>IFERROR((((COUNTIF('Elève (5ème4)'!IU5:IW5,"A"))*4)+((COUNTIF('Elève (5ème4)'!IU5:IW5,"B"))*3)+((COUNTIF('Elève (5ème4)'!IU5:IW5,"C"))*2)+((COUNTIF('Elève (5ème4)'!IU5:IW5,"D"))*1))/(COUNTA(IU5:IW5)),"")</f>
        <v>2.5</v>
      </c>
      <c r="IY5" s="181" t="str">
        <f t="shared" si="56"/>
        <v>C</v>
      </c>
      <c r="IZ5" s="115" t="s">
        <v>28</v>
      </c>
      <c r="JA5" s="116"/>
      <c r="JB5" s="117"/>
      <c r="JC5" s="180">
        <f>IFERROR((((COUNTIF('Elève (5ème4)'!IZ5:JB5,"A"))*4)+((COUNTIF('Elève (5ème4)'!IZ5:JB5,"B"))*3)+((COUNTIF('Elève (5ème4)'!IZ5:JB5,"C"))*2)+((COUNTIF('Elève (5ème4)'!IZ5:JB5,"D"))*1))/(COUNTA(IZ5:JB5)),"")</f>
        <v>3</v>
      </c>
      <c r="JD5" s="181" t="str">
        <f t="shared" si="57"/>
        <v>B</v>
      </c>
      <c r="JE5" s="115"/>
      <c r="JF5" s="116"/>
      <c r="JG5" s="117"/>
      <c r="JH5" s="121"/>
      <c r="JI5" s="180" t="str">
        <f>IFERROR((((COUNTIF('Elève (5ème4)'!JE5:JH5,"A"))*4)+((COUNTIF('Elève (5ème4)'!JE5:JH5,"B"))*3)+((COUNTIF('Elève (5ème4)'!JE5:JH5,"C"))*2)+((COUNTIF('Elève (5ème4)'!JE5:JH5,"D"))*1))/(COUNTA(JE5:JH5)),"")</f>
        <v/>
      </c>
      <c r="JJ5" s="181" t="str">
        <f t="shared" si="58"/>
        <v/>
      </c>
      <c r="JK5" s="180">
        <f>IF(COUNT(IX5,JC5,JI5)=0,"",SUM(IX5,JC5,JI5)/COUNT(IX5,JC5,JI5))</f>
        <v>2.75</v>
      </c>
      <c r="JL5" s="205" t="str">
        <f t="shared" si="59"/>
        <v>C</v>
      </c>
      <c r="JM5" s="115" t="s">
        <v>27</v>
      </c>
      <c r="JN5" s="116" t="s">
        <v>29</v>
      </c>
      <c r="JO5" s="117"/>
      <c r="JP5" s="180">
        <f>IFERROR((((COUNTIF('Elève (5ème4)'!JM5:JO5,"A"))*4)+((COUNTIF('Elève (5ème4)'!JM5:JO5,"B"))*3)+((COUNTIF('Elève (5ème4)'!JM5:JO5,"C"))*2)+((COUNTIF('Elève (5ème4)'!JM5:JO5,"D"))*1))/(COUNTA(JM5:JO5)),"")</f>
        <v>3</v>
      </c>
      <c r="JQ5" s="181" t="str">
        <f t="shared" si="60"/>
        <v>B</v>
      </c>
      <c r="JR5" s="115" t="s">
        <v>29</v>
      </c>
      <c r="JS5" s="116"/>
      <c r="JT5" s="117"/>
      <c r="JU5" s="180">
        <f>IFERROR((((COUNTIF('Elève (5ème4)'!JR5:JT5,"A"))*4)+((COUNTIF('Elève (5ème4)'!JR5:JT5,"B"))*3)+((COUNTIF('Elève (5ème4)'!JR5:JT5,"C"))*2)+((COUNTIF('Elève (5ème4)'!JR5:JT5,"D"))*1))/(COUNTA(JR5:JT5)),"")</f>
        <v>2</v>
      </c>
      <c r="JV5" s="181" t="str">
        <f t="shared" si="61"/>
        <v>C</v>
      </c>
      <c r="JW5" s="115"/>
      <c r="JX5" s="116"/>
      <c r="JY5" s="117"/>
      <c r="JZ5" s="121"/>
      <c r="KA5" s="180" t="str">
        <f>IFERROR((((COUNTIF('Elève (5ème4)'!JW5:JZ5,"A"))*4)+((COUNTIF('Elève (5ème4)'!JW5:JZ5,"B"))*3)+((COUNTIF('Elève (5ème4)'!JW5:JZ5,"C"))*2)+((COUNTIF('Elève (5ème4)'!JW5:JZ5,"D"))*1))/(COUNTA(JW5:JZ5)),"")</f>
        <v/>
      </c>
      <c r="KB5" s="181" t="str">
        <f t="shared" si="62"/>
        <v/>
      </c>
      <c r="KC5" s="180">
        <f>IF(COUNT(JP5,JU5,KA5)=0,"",SUM(JP5,JU5,KA5)/COUNT(JP5,JU5,KA5))</f>
        <v>2.5</v>
      </c>
      <c r="KD5" s="205" t="str">
        <f t="shared" si="63"/>
        <v>C</v>
      </c>
      <c r="KE5" s="115" t="s">
        <v>28</v>
      </c>
      <c r="KF5" s="116" t="s">
        <v>29</v>
      </c>
      <c r="KG5" s="117"/>
      <c r="KH5" s="180">
        <f>IFERROR((((COUNTIF('Elève (5ème4)'!KE5:KG5,"A"))*4)+((COUNTIF('Elève (5ème4)'!KE5:KG5,"B"))*3)+((COUNTIF('Elève (5ème4)'!KE5:KG5,"C"))*2)+((COUNTIF('Elève (5ème4)'!KE5:KG5,"D"))*1))/(COUNTA(KE5:KG5)),"")</f>
        <v>2.5</v>
      </c>
      <c r="KI5" s="181" t="str">
        <f t="shared" si="64"/>
        <v>C</v>
      </c>
      <c r="KJ5" s="115" t="s">
        <v>28</v>
      </c>
      <c r="KK5" s="116"/>
      <c r="KL5" s="117"/>
      <c r="KM5" s="180">
        <f>IFERROR((((COUNTIF('Elève (5ème4)'!KJ5:KL5,"A"))*4)+((COUNTIF('Elève (5ème4)'!KJ5:KL5,"B"))*3)+((COUNTIF('Elève (5ème4)'!KJ5:KL5,"C"))*2)+((COUNTIF('Elève (5ème4)'!KJ5:KL5,"D"))*1))/(COUNTA(KJ5:KL5)),"")</f>
        <v>3</v>
      </c>
      <c r="KN5" s="181" t="str">
        <f t="shared" si="65"/>
        <v>B</v>
      </c>
      <c r="KO5" s="115"/>
      <c r="KP5" s="116"/>
      <c r="KQ5" s="117"/>
      <c r="KR5" s="121"/>
      <c r="KS5" s="180" t="str">
        <f>IFERROR((((COUNTIF('Elève (5ème4)'!KO5:KR5,"A"))*4)+((COUNTIF('Elève (5ème4)'!KO5:KR5,"B"))*3)+((COUNTIF('Elève (5ème4)'!KO5:KR5,"C"))*2)+((COUNTIF('Elève (5ème4)'!KO5:KR5,"D"))*1))/(COUNTA(KO5:KR5)),"")</f>
        <v/>
      </c>
      <c r="KT5" s="181" t="str">
        <f t="shared" si="66"/>
        <v/>
      </c>
      <c r="KU5" s="180">
        <f>IF(COUNT(KH5,KM5,KS5)=0,"",SUM(KH5,KM5,KS5)/COUNT(KH5,KM5,KS5))</f>
        <v>2.75</v>
      </c>
      <c r="KV5" s="205" t="str">
        <f t="shared" si="67"/>
        <v>C</v>
      </c>
      <c r="KW5" s="115" t="s">
        <v>29</v>
      </c>
      <c r="KX5" s="116" t="s">
        <v>29</v>
      </c>
      <c r="KY5" s="117"/>
      <c r="KZ5" s="180">
        <f>IFERROR((((COUNTIF('Elève (5ème4)'!KW5:KY5,"A"))*4)+((COUNTIF('Elève (5ème4)'!KW5:KY5,"B"))*3)+((COUNTIF('Elève (5ème4)'!KW5:KY5,"C"))*2)+((COUNTIF('Elève (5ème4)'!KW5:KY5,"D"))*1))/(COUNTA(KW5:KY5)),"")</f>
        <v>2</v>
      </c>
      <c r="LA5" s="181" t="str">
        <f t="shared" si="68"/>
        <v>C</v>
      </c>
      <c r="LB5" s="115" t="s">
        <v>29</v>
      </c>
      <c r="LC5" s="116"/>
      <c r="LD5" s="117"/>
      <c r="LE5" s="180">
        <f>IFERROR((((COUNTIF('Elève (5ème4)'!LB5:LD5,"A"))*4)+((COUNTIF('Elève (5ème4)'!LB5:LD5,"B"))*3)+((COUNTIF('Elève (5ème4)'!LB5:LD5,"C"))*2)+((COUNTIF('Elève (5ème4)'!LB5:LD5,"D"))*1))/(COUNTA(LB5:LD5)),"")</f>
        <v>2</v>
      </c>
      <c r="LF5" s="181" t="str">
        <f t="shared" si="69"/>
        <v>C</v>
      </c>
      <c r="LG5" s="115"/>
      <c r="LH5" s="116"/>
      <c r="LI5" s="117"/>
      <c r="LJ5" s="121"/>
      <c r="LK5" s="180" t="str">
        <f>IFERROR((((COUNTIF('Elève (5ème4)'!LG5:LJ5,"A"))*4)+((COUNTIF('Elève (5ème4)'!LG5:LJ5,"B"))*3)+((COUNTIF('Elève (5ème4)'!LG5:LJ5,"C"))*2)+((COUNTIF('Elève (5ème4)'!LG5:LJ5,"D"))*1))/(COUNTA(LG5:LJ5)),"")</f>
        <v/>
      </c>
      <c r="LL5" s="181" t="str">
        <f t="shared" si="70"/>
        <v/>
      </c>
      <c r="LM5" s="180">
        <f>IF(COUNT(KZ5,LE5,LK5)=0,"",SUM(KZ5,LE5,LK5)/COUNT(KZ5,LE5,LK5))</f>
        <v>2</v>
      </c>
      <c r="LN5" s="205" t="str">
        <f t="shared" si="71"/>
        <v>C</v>
      </c>
      <c r="LO5" s="115" t="s">
        <v>27</v>
      </c>
      <c r="LP5" s="116" t="s">
        <v>29</v>
      </c>
      <c r="LQ5" s="117"/>
      <c r="LR5" s="180">
        <f>IFERROR((((COUNTIF('Elève (5ème4)'!LO5:LQ5,"A"))*4)+((COUNTIF('Elève (5ème4)'!LO5:LQ5,"B"))*3)+((COUNTIF('Elève (5ème4)'!LO5:LQ5,"C"))*2)+((COUNTIF('Elève (5ème4)'!LO5:LQ5,"D"))*1))/(COUNTA(LO5:LQ5)),"")</f>
        <v>3</v>
      </c>
      <c r="LS5" s="181" t="str">
        <f t="shared" si="72"/>
        <v>B</v>
      </c>
      <c r="LT5" s="115" t="s">
        <v>29</v>
      </c>
      <c r="LU5" s="116"/>
      <c r="LV5" s="117"/>
      <c r="LW5" s="180">
        <f>IFERROR((((COUNTIF('Elève (5ème4)'!LT5:LV5,"A"))*4)+((COUNTIF('Elève (5ème4)'!LT5:LV5,"B"))*3)+((COUNTIF('Elève (5ème4)'!LT5:LV5,"C"))*2)+((COUNTIF('Elève (5ème4)'!LT5:LV5,"D"))*1))/(COUNTA(LT5:LV5)),"")</f>
        <v>2</v>
      </c>
      <c r="LX5" s="181" t="str">
        <f t="shared" si="73"/>
        <v>C</v>
      </c>
      <c r="LY5" s="115"/>
      <c r="LZ5" s="116"/>
      <c r="MA5" s="117"/>
      <c r="MB5" s="121"/>
      <c r="MC5" s="180" t="str">
        <f>IFERROR((((COUNTIF('Elève (5ème4)'!LY5:MB5,"A"))*4)+((COUNTIF('Elève (5ème4)'!LY5:MB5,"B"))*3)+((COUNTIF('Elève (5ème4)'!LY5:MB5,"C"))*2)+((COUNTIF('Elève (5ème4)'!LY5:MB5,"D"))*1))/(COUNTA(LY5:MB5)),"")</f>
        <v/>
      </c>
      <c r="MD5" s="181" t="str">
        <f t="shared" si="74"/>
        <v/>
      </c>
      <c r="ME5" s="180">
        <f>IF(COUNT(LR5,LW5,MC5)=0,"",SUM(LR5,LW5,MC5)/COUNT(LR5,LW5,MC5))</f>
        <v>2.5</v>
      </c>
      <c r="MF5" s="205" t="str">
        <f t="shared" si="75"/>
        <v>C</v>
      </c>
      <c r="MG5" s="115" t="s">
        <v>29</v>
      </c>
      <c r="MH5" s="116" t="s">
        <v>29</v>
      </c>
      <c r="MI5" s="117"/>
      <c r="MJ5" s="180">
        <f>IFERROR((((COUNTIF('Elève (5ème4)'!MG5:MI5,"A"))*4)+((COUNTIF('Elève (5ème4)'!MG5:MI5,"B"))*3)+((COUNTIF('Elève (5ème4)'!MG5:MI5,"C"))*2)+((COUNTIF('Elève (5ème4)'!MG5:MI5,"D"))*1))/(COUNTA(MG5:MI5)),"")</f>
        <v>2</v>
      </c>
      <c r="MK5" s="181" t="str">
        <f t="shared" si="76"/>
        <v>C</v>
      </c>
      <c r="ML5" s="115" t="s">
        <v>29</v>
      </c>
      <c r="MM5" s="116"/>
      <c r="MN5" s="117"/>
      <c r="MO5" s="180">
        <f>IFERROR((((COUNTIF('Elève (5ème4)'!ML5:MN5,"A"))*4)+((COUNTIF('Elève (5ème4)'!ML5:MN5,"B"))*3)+((COUNTIF('Elève (5ème4)'!ML5:MN5,"C"))*2)+((COUNTIF('Elève (5ème4)'!ML5:MN5,"D"))*1))/(COUNTA(ML5:MN5)),"")</f>
        <v>2</v>
      </c>
      <c r="MP5" s="181" t="str">
        <f t="shared" si="77"/>
        <v>C</v>
      </c>
      <c r="MQ5" s="115"/>
      <c r="MR5" s="116"/>
      <c r="MS5" s="117"/>
      <c r="MT5" s="121"/>
      <c r="MU5" s="180" t="str">
        <f>IFERROR((((COUNTIF('Elève (5ème4)'!MQ5:MT5,"A"))*4)+((COUNTIF('Elève (5ème4)'!MQ5:MT5,"B"))*3)+((COUNTIF('Elève (5ème4)'!MQ5:MT5,"C"))*2)+((COUNTIF('Elève (5ème4)'!MQ5:MT5,"D"))*1))/(COUNTA(MQ5:MT5)),"")</f>
        <v/>
      </c>
      <c r="MV5" s="181" t="str">
        <f t="shared" si="78"/>
        <v/>
      </c>
      <c r="MW5" s="180">
        <f>IF(COUNT(MJ5,MO5,MU5)=0,"",SUM(MJ5,MO5,MU5)/COUNT(MJ5,MO5,MU5))</f>
        <v>2</v>
      </c>
      <c r="MX5" s="205" t="str">
        <f t="shared" si="79"/>
        <v>C</v>
      </c>
      <c r="MY5" s="115" t="s">
        <v>29</v>
      </c>
      <c r="MZ5" s="116" t="s">
        <v>29</v>
      </c>
      <c r="NA5" s="117"/>
      <c r="NB5" s="180">
        <f>IFERROR((((COUNTIF('Elève (5ème4)'!MY5:NA5,"A"))*4)+((COUNTIF('Elève (5ème4)'!MY5:NA5,"B"))*3)+((COUNTIF('Elève (5ème4)'!MY5:NA5,"C"))*2)+((COUNTIF('Elève (5ème4)'!MY5:NA5,"D"))*1))/(COUNTA(MY5:NA5)),"")</f>
        <v>2</v>
      </c>
      <c r="NC5" s="181" t="str">
        <f t="shared" si="80"/>
        <v>C</v>
      </c>
      <c r="ND5" s="115" t="s">
        <v>28</v>
      </c>
      <c r="NE5" s="116"/>
      <c r="NF5" s="117"/>
      <c r="NG5" s="180">
        <f>IFERROR((((COUNTIF('Elève (5ème4)'!ND5:NF5,"A"))*4)+((COUNTIF('Elève (5ème4)'!ND5:NF5,"B"))*3)+((COUNTIF('Elève (5ème4)'!ND5:NF5,"C"))*2)+((COUNTIF('Elève (5ème4)'!ND5:NF5,"D"))*1))/(COUNTA(ND5:NF5)),"")</f>
        <v>3</v>
      </c>
      <c r="NH5" s="181" t="str">
        <f t="shared" si="81"/>
        <v>B</v>
      </c>
      <c r="NI5" s="115"/>
      <c r="NJ5" s="116"/>
      <c r="NK5" s="117"/>
      <c r="NL5" s="121"/>
      <c r="NM5" s="180" t="str">
        <f>IFERROR((((COUNTIF('Elève (5ème4)'!NI5:NL5,"A"))*4)+((COUNTIF('Elève (5ème4)'!NI5:NL5,"B"))*3)+((COUNTIF('Elève (5ème4)'!NI5:NL5,"C"))*2)+((COUNTIF('Elève (5ème4)'!NI5:NL5,"D"))*1))/(COUNTA(NI5:NL5)),"")</f>
        <v/>
      </c>
      <c r="NN5" s="181" t="str">
        <f t="shared" si="82"/>
        <v/>
      </c>
      <c r="NO5" s="180">
        <f>IF(COUNT(NB5,NG5,NM5)=0,"",SUM(NB5,NG5,NM5)/COUNT(NB5,NG5,NM5))</f>
        <v>2.5</v>
      </c>
      <c r="NP5" s="205" t="str">
        <f t="shared" si="83"/>
        <v>C</v>
      </c>
      <c r="NQ5" s="115" t="s">
        <v>27</v>
      </c>
      <c r="NR5" s="116" t="s">
        <v>28</v>
      </c>
      <c r="NS5" s="117"/>
      <c r="NT5" s="180">
        <f>IFERROR((((COUNTIF('Elève (5ème4)'!NQ5:NS5,"A"))*4)+((COUNTIF('Elève (5ème4)'!NQ5:NS5,"B"))*3)+((COUNTIF('Elève (5ème4)'!NQ5:NS5,"C"))*2)+((COUNTIF('Elève (5ème4)'!NQ5:NS5,"D"))*1))/(COUNTA(NQ5:NS5)),"")</f>
        <v>3.5</v>
      </c>
      <c r="NU5" s="181" t="str">
        <f t="shared" si="84"/>
        <v>B</v>
      </c>
      <c r="NV5" s="115" t="s">
        <v>28</v>
      </c>
      <c r="NW5" s="116"/>
      <c r="NX5" s="117"/>
      <c r="NY5" s="180">
        <f>IFERROR((((COUNTIF('Elève (5ème4)'!NV5:NX5,"A"))*4)+((COUNTIF('Elève (5ème4)'!NV5:NX5,"B"))*3)+((COUNTIF('Elève (5ème4)'!NV5:NX5,"C"))*2)+((COUNTIF('Elève (5ème4)'!NV5:NX5,"D"))*1))/(COUNTA(NV5:NX5)),"")</f>
        <v>3</v>
      </c>
      <c r="NZ5" s="181" t="str">
        <f t="shared" si="85"/>
        <v>B</v>
      </c>
      <c r="OA5" s="115"/>
      <c r="OB5" s="116"/>
      <c r="OC5" s="117"/>
      <c r="OD5" s="121"/>
      <c r="OE5" s="180" t="str">
        <f>IFERROR((((COUNTIF('Elève (5ème4)'!OA5:OD5,"A"))*4)+((COUNTIF('Elève (5ème4)'!OA5:OD5,"B"))*3)+((COUNTIF('Elève (5ème4)'!OA5:OD5,"C"))*2)+((COUNTIF('Elève (5ème4)'!OA5:OD5,"D"))*1))/(COUNTA(OA5:OD5)),"")</f>
        <v/>
      </c>
      <c r="OF5" s="181" t="str">
        <f t="shared" si="86"/>
        <v/>
      </c>
      <c r="OG5" s="180">
        <f>IF(COUNT(NT5,NY5,OE5)=0,"",SUM(NT5,NY5,OE5)/COUNT(NT5,NY5,OE5))</f>
        <v>3.25</v>
      </c>
      <c r="OH5" s="205" t="str">
        <f t="shared" si="87"/>
        <v>B</v>
      </c>
      <c r="OI5" s="115" t="s">
        <v>29</v>
      </c>
      <c r="OJ5" s="116" t="s">
        <v>29</v>
      </c>
      <c r="OK5" s="117"/>
      <c r="OL5" s="180">
        <f>IFERROR((((COUNTIF('Elève (5ème4)'!OI5:OK5,"A"))*4)+((COUNTIF('Elève (5ème4)'!OI5:OK5,"B"))*3)+((COUNTIF('Elève (5ème4)'!OI5:OK5,"C"))*2)+((COUNTIF('Elève (5ème4)'!OI5:OK5,"D"))*1))/(COUNTA(OI5:OK5)),"")</f>
        <v>2</v>
      </c>
      <c r="OM5" s="181" t="str">
        <f t="shared" si="88"/>
        <v>C</v>
      </c>
      <c r="ON5" s="115" t="s">
        <v>28</v>
      </c>
      <c r="OO5" s="116"/>
      <c r="OP5" s="117"/>
      <c r="OQ5" s="180">
        <f>IFERROR((((COUNTIF('Elève (5ème4)'!ON5:OP5,"A"))*4)+((COUNTIF('Elève (5ème4)'!ON5:OP5,"B"))*3)+((COUNTIF('Elève (5ème4)'!ON5:OP5,"C"))*2)+((COUNTIF('Elève (5ème4)'!ON5:OP5,"D"))*1))/(COUNTA(ON5:OP5)),"")</f>
        <v>3</v>
      </c>
      <c r="OR5" s="181" t="str">
        <f t="shared" si="89"/>
        <v>B</v>
      </c>
      <c r="OS5" s="115"/>
      <c r="OT5" s="116"/>
      <c r="OU5" s="117"/>
      <c r="OV5" s="121"/>
      <c r="OW5" s="180" t="str">
        <f>IFERROR((((COUNTIF('Elève (5ème4)'!OS5:OV5,"A"))*4)+((COUNTIF('Elève (5ème4)'!OS5:OV5,"B"))*3)+((COUNTIF('Elève (5ème4)'!OS5:OV5,"C"))*2)+((COUNTIF('Elève (5ème4)'!OS5:OV5,"D"))*1))/(COUNTA(OS5:OV5)),"")</f>
        <v/>
      </c>
      <c r="OX5" s="181" t="str">
        <f t="shared" si="90"/>
        <v/>
      </c>
      <c r="OY5" s="180">
        <f>IF(COUNT(OL5,OQ5,OW5)=0,"",SUM(OL5,OQ5,OW5)/COUNT(OL5,OQ5,OW5))</f>
        <v>2.5</v>
      </c>
      <c r="OZ5" s="205" t="str">
        <f t="shared" si="91"/>
        <v>C</v>
      </c>
      <c r="PA5" s="115" t="s">
        <v>28</v>
      </c>
      <c r="PB5" s="116" t="s">
        <v>29</v>
      </c>
      <c r="PC5" s="117"/>
      <c r="PD5" s="180">
        <f>IFERROR((((COUNTIF('Elève (5ème4)'!PA5:PC5,"A"))*4)+((COUNTIF('Elève (5ème4)'!PA5:PC5,"B"))*3)+((COUNTIF('Elève (5ème4)'!PA5:PC5,"C"))*2)+((COUNTIF('Elève (5ème4)'!PA5:PC5,"D"))*1))/(COUNTA(PA5:PC5)),"")</f>
        <v>2.5</v>
      </c>
      <c r="PE5" s="181" t="str">
        <f t="shared" si="92"/>
        <v>C</v>
      </c>
      <c r="PF5" s="115" t="s">
        <v>28</v>
      </c>
      <c r="PG5" s="116"/>
      <c r="PH5" s="117"/>
      <c r="PI5" s="180">
        <f>IFERROR((((COUNTIF('Elève (5ème4)'!PF5:PH5,"A"))*4)+((COUNTIF('Elève (5ème4)'!PF5:PH5,"B"))*3)+((COUNTIF('Elève (5ème4)'!PF5:PH5,"C"))*2)+((COUNTIF('Elève (5ème4)'!PF5:PH5,"D"))*1))/(COUNTA(PF5:PH5)),"")</f>
        <v>3</v>
      </c>
      <c r="PJ5" s="181" t="str">
        <f t="shared" si="93"/>
        <v>B</v>
      </c>
      <c r="PK5" s="115"/>
      <c r="PL5" s="116"/>
      <c r="PM5" s="117"/>
      <c r="PN5" s="121"/>
      <c r="PO5" s="180" t="str">
        <f>IFERROR((((COUNTIF('Elève (5ème4)'!PK5:PN5,"A"))*4)+((COUNTIF('Elève (5ème4)'!PK5:PN5,"B"))*3)+((COUNTIF('Elève (5ème4)'!PK5:PN5,"C"))*2)+((COUNTIF('Elève (5ème4)'!PK5:PN5,"D"))*1))/(COUNTA(PK5:PN5)),"")</f>
        <v/>
      </c>
      <c r="PP5" s="181" t="str">
        <f t="shared" si="94"/>
        <v/>
      </c>
      <c r="PQ5" s="180">
        <f>IF(COUNT(PD5,PI5,PO5)=0,"",SUM(PD5,PI5,PO5)/COUNT(PD5,PI5,PO5))</f>
        <v>2.75</v>
      </c>
      <c r="PR5" s="205" t="str">
        <f t="shared" si="95"/>
        <v>C</v>
      </c>
      <c r="PS5" s="115" t="s">
        <v>27</v>
      </c>
      <c r="PT5" s="116" t="s">
        <v>29</v>
      </c>
      <c r="PU5" s="117"/>
      <c r="PV5" s="180">
        <f>IFERROR((((COUNTIF('Elève (5ème4)'!PS5:PU5,"A"))*4)+((COUNTIF('Elève (5ème4)'!PS5:PU5,"B"))*3)+((COUNTIF('Elève (5ème4)'!PS5:PU5,"C"))*2)+((COUNTIF('Elève (5ème4)'!PS5:PU5,"D"))*1))/(COUNTA(PS5:PU5)),"")</f>
        <v>3</v>
      </c>
      <c r="PW5" s="181" t="str">
        <f t="shared" si="96"/>
        <v>B</v>
      </c>
      <c r="PX5" s="115" t="s">
        <v>28</v>
      </c>
      <c r="PY5" s="116"/>
      <c r="PZ5" s="117"/>
      <c r="QA5" s="180">
        <f>IFERROR((((COUNTIF('Elève (5ème4)'!PX5:PZ5,"A"))*4)+((COUNTIF('Elève (5ème4)'!PX5:PZ5,"B"))*3)+((COUNTIF('Elève (5ème4)'!PX5:PZ5,"C"))*2)+((COUNTIF('Elève (5ème4)'!PX5:PZ5,"D"))*1))/(COUNTA(PX5:PZ5)),"")</f>
        <v>3</v>
      </c>
      <c r="QB5" s="181" t="str">
        <f t="shared" si="97"/>
        <v>B</v>
      </c>
      <c r="QC5" s="115"/>
      <c r="QD5" s="116"/>
      <c r="QE5" s="117"/>
      <c r="QF5" s="121"/>
      <c r="QG5" s="180" t="str">
        <f>IFERROR((((COUNTIF('Elève (5ème4)'!QC5:QF5,"A"))*4)+((COUNTIF('Elève (5ème4)'!QC5:QF5,"B"))*3)+((COUNTIF('Elève (5ème4)'!QC5:QF5,"C"))*2)+((COUNTIF('Elève (5ème4)'!QC5:QF5,"D"))*1))/(COUNTA(QC5:QF5)),"")</f>
        <v/>
      </c>
      <c r="QH5" s="181" t="str">
        <f t="shared" si="98"/>
        <v/>
      </c>
      <c r="QI5" s="180">
        <f>IF(COUNT(PV5,QA5,QG5)=0,"",SUM(PV5,QA5,QG5)/COUNT(PV5,QA5,QG5))</f>
        <v>3</v>
      </c>
      <c r="QJ5" s="205" t="str">
        <f t="shared" si="99"/>
        <v>B</v>
      </c>
      <c r="QK5" s="115" t="s">
        <v>29</v>
      </c>
      <c r="QL5" s="116" t="s">
        <v>29</v>
      </c>
      <c r="QM5" s="117"/>
      <c r="QN5" s="180">
        <f>IFERROR((((COUNTIF('Elève (5ème4)'!QK5:QM5,"A"))*4)+((COUNTIF('Elève (5ème4)'!QK5:QM5,"B"))*3)+((COUNTIF('Elève (5ème4)'!QK5:QM5,"C"))*2)+((COUNTIF('Elève (5ème4)'!QK5:QM5,"D"))*1))/(COUNTA(QK5:QM5)),"")</f>
        <v>2</v>
      </c>
      <c r="QO5" s="181" t="str">
        <f t="shared" si="100"/>
        <v>C</v>
      </c>
      <c r="QP5" s="115" t="s">
        <v>29</v>
      </c>
      <c r="QQ5" s="116"/>
      <c r="QR5" s="117"/>
      <c r="QS5" s="180">
        <f>IFERROR((((COUNTIF('Elève (5ème4)'!QP5:QR5,"A"))*4)+((COUNTIF('Elève (5ème4)'!QP5:QR5,"B"))*3)+((COUNTIF('Elève (5ème4)'!QP5:QR5,"C"))*2)+((COUNTIF('Elève (5ème4)'!QP5:QR5,"D"))*1))/(COUNTA(QP5:QR5)),"")</f>
        <v>2</v>
      </c>
      <c r="QT5" s="181" t="str">
        <f t="shared" si="101"/>
        <v>C</v>
      </c>
      <c r="QU5" s="115"/>
      <c r="QV5" s="116"/>
      <c r="QW5" s="117"/>
      <c r="QX5" s="121"/>
      <c r="QY5" s="180" t="str">
        <f>IFERROR((((COUNTIF('Elève (5ème4)'!QU5:QX5,"A"))*4)+((COUNTIF('Elève (5ème4)'!QU5:QX5,"B"))*3)+((COUNTIF('Elève (5ème4)'!QU5:QX5,"C"))*2)+((COUNTIF('Elève (5ème4)'!QU5:QX5,"D"))*1))/(COUNTA(QU5:QX5)),"")</f>
        <v/>
      </c>
      <c r="QZ5" s="181" t="str">
        <f t="shared" si="102"/>
        <v/>
      </c>
      <c r="RA5" s="180">
        <f>IF(COUNT(QN5,QS5,QY5)=0,"",SUM(QN5,QS5,QY5)/COUNT(QN5,QS5,QY5))</f>
        <v>2</v>
      </c>
      <c r="RB5" s="205" t="str">
        <f t="shared" si="103"/>
        <v>C</v>
      </c>
      <c r="RC5" s="115" t="s">
        <v>27</v>
      </c>
      <c r="RD5" s="116" t="s">
        <v>29</v>
      </c>
      <c r="RE5" s="117"/>
      <c r="RF5" s="180">
        <f>IFERROR((((COUNTIF('Elève (5ème4)'!RC5:RE5,"A"))*4)+((COUNTIF('Elève (5ème4)'!RC5:RE5,"B"))*3)+((COUNTIF('Elève (5ème4)'!RC5:RE5,"C"))*2)+((COUNTIF('Elève (5ème4)'!RC5:RE5,"D"))*1))/(COUNTA(RC5:RE5)),"")</f>
        <v>3</v>
      </c>
      <c r="RG5" s="181" t="str">
        <f t="shared" si="104"/>
        <v>B</v>
      </c>
      <c r="RH5" s="115" t="s">
        <v>28</v>
      </c>
      <c r="RI5" s="116"/>
      <c r="RJ5" s="117"/>
      <c r="RK5" s="180">
        <f>IFERROR((((COUNTIF('Elève (5ème4)'!RH5:RJ5,"A"))*4)+((COUNTIF('Elève (5ème4)'!RH5:RJ5,"B"))*3)+((COUNTIF('Elève (5ème4)'!RH5:RJ5,"C"))*2)+((COUNTIF('Elève (5ème4)'!RH5:RJ5,"D"))*1))/(COUNTA(RH5:RJ5)),"")</f>
        <v>3</v>
      </c>
      <c r="RL5" s="181" t="str">
        <f t="shared" si="105"/>
        <v>B</v>
      </c>
      <c r="RM5" s="115"/>
      <c r="RN5" s="116"/>
      <c r="RO5" s="117"/>
      <c r="RP5" s="121"/>
      <c r="RQ5" s="180" t="str">
        <f>IFERROR((((COUNTIF('Elève (5ème4)'!RM5:RP5,"A"))*4)+((COUNTIF('Elève (5ème4)'!RM5:RP5,"B"))*3)+((COUNTIF('Elève (5ème4)'!RM5:RP5,"C"))*2)+((COUNTIF('Elève (5ème4)'!RM5:RP5,"D"))*1))/(COUNTA(RM5:RP5)),"")</f>
        <v/>
      </c>
      <c r="RR5" s="181" t="str">
        <f t="shared" si="106"/>
        <v/>
      </c>
      <c r="RS5" s="180">
        <f>IF(COUNT(RF5,RK5,RQ5)=0,"",SUM(RF5,RK5,RQ5)/COUNT(RF5,RK5,RQ5))</f>
        <v>3</v>
      </c>
      <c r="RT5" s="205" t="str">
        <f t="shared" si="107"/>
        <v>B</v>
      </c>
      <c r="RU5" s="115" t="s">
        <v>29</v>
      </c>
      <c r="RV5" s="116" t="s">
        <v>29</v>
      </c>
      <c r="RW5" s="117"/>
      <c r="RX5" s="180">
        <f>IFERROR((((COUNTIF('Elève (5ème4)'!RU5:RW5,"A"))*4)+((COUNTIF('Elève (5ème4)'!RU5:RW5,"B"))*3)+((COUNTIF('Elève (5ème4)'!RU5:RW5,"C"))*2)+((COUNTIF('Elève (5ème4)'!RU5:RW5,"D"))*1))/(COUNTA(RU5:RW5)),"")</f>
        <v>2</v>
      </c>
      <c r="RY5" s="181" t="str">
        <f t="shared" si="108"/>
        <v>C</v>
      </c>
      <c r="RZ5" s="115" t="s">
        <v>28</v>
      </c>
      <c r="SA5" s="116"/>
      <c r="SB5" s="117"/>
      <c r="SC5" s="180">
        <f>IFERROR((((COUNTIF('Elève (5ème4)'!RZ5:SB5,"A"))*4)+((COUNTIF('Elève (5ème4)'!RZ5:SB5,"B"))*3)+((COUNTIF('Elève (5ème4)'!RZ5:SB5,"C"))*2)+((COUNTIF('Elève (5ème4)'!RZ5:SB5,"D"))*1))/(COUNTA(RZ5:SB5)),"")</f>
        <v>3</v>
      </c>
      <c r="SD5" s="181" t="str">
        <f t="shared" si="109"/>
        <v>B</v>
      </c>
      <c r="SE5" s="115"/>
      <c r="SF5" s="116"/>
      <c r="SG5" s="117"/>
      <c r="SH5" s="121"/>
      <c r="SI5" s="180" t="str">
        <f>IFERROR((((COUNTIF('Elève (5ème4)'!SE5:SH5,"A"))*4)+((COUNTIF('Elève (5ème4)'!SE5:SH5,"B"))*3)+((COUNTIF('Elève (5ème4)'!SE5:SH5,"C"))*2)+((COUNTIF('Elève (5ème4)'!SE5:SH5,"D"))*1))/(COUNTA(SE5:SH5)),"")</f>
        <v/>
      </c>
      <c r="SJ5" s="181" t="str">
        <f t="shared" si="110"/>
        <v/>
      </c>
      <c r="SK5" s="180">
        <f>IF(COUNT(RX5,SC5,SI5)=0,"",SUM(RX5,SC5,SI5)/COUNT(RX5,SC5,SI5))</f>
        <v>2.5</v>
      </c>
      <c r="SL5" s="205" t="str">
        <f t="shared" si="111"/>
        <v>C</v>
      </c>
      <c r="SM5" s="115"/>
      <c r="SN5" s="116"/>
      <c r="SO5" s="117"/>
      <c r="SP5" s="118" t="str">
        <f>IFERROR((((COUNTIF('Elève (5ème4)'!SM5:SO5,"A"))*4)+((COUNTIF('Elève (5ème4)'!SM5:SO5,"B"))*3)+((COUNTIF('Elève (5ème4)'!SM5:SO5,"C"))*2)+((COUNTIF('Elève (5ème4)'!SM5:SO5,"D"))*1))/(COUNTA(SM5:SO5)),"")</f>
        <v/>
      </c>
      <c r="SQ5" s="119" t="str">
        <f t="shared" si="112"/>
        <v/>
      </c>
      <c r="SR5" s="115"/>
      <c r="SS5" s="116"/>
      <c r="ST5" s="117"/>
      <c r="SU5" s="118" t="str">
        <f>IFERROR((((COUNTIF('Elève (5ème4)'!SR5:ST5,"A"))*4)+((COUNTIF('Elève (5ème4)'!SR5:ST5,"B"))*3)+((COUNTIF('Elève (5ème4)'!SR5:ST5,"C"))*2)+((COUNTIF('Elève (5ème4)'!SR5:ST5,"D"))*1))/(COUNTA(SR5:ST5)),"")</f>
        <v/>
      </c>
      <c r="SV5" s="119" t="str">
        <f t="shared" si="113"/>
        <v/>
      </c>
      <c r="SW5" s="115"/>
      <c r="SX5" s="116"/>
      <c r="SY5" s="121"/>
      <c r="SZ5" s="118" t="str">
        <f>IFERROR((((COUNTIF('Elève (5ème4)'!SW5:SY5,"A"))*4)+((COUNTIF('Elève (5ème4)'!SW5:SY5,"B"))*3)+((COUNTIF('Elève (5ème4)'!SW5:SY5,"C"))*2)+((COUNTIF('Elève (5ème4)'!SW5:SY5,"D"))*1))/(COUNTA(SW5:SY5)),"")</f>
        <v/>
      </c>
      <c r="TA5" s="119" t="str">
        <f t="shared" si="114"/>
        <v/>
      </c>
      <c r="TB5" s="118" t="str">
        <f>IF(COUNT(SP5,SU5,SZ5)=0,"",SUM(SP5,SU5,SZ5)/COUNT(SP5,SU5,SZ5))</f>
        <v/>
      </c>
      <c r="TC5" s="120" t="str">
        <f t="shared" si="115"/>
        <v/>
      </c>
      <c r="TD5" s="115"/>
      <c r="TE5" s="116"/>
      <c r="TF5" s="117"/>
      <c r="TG5" s="118" t="str">
        <f>IFERROR((((COUNTIF('Elève (5ème4)'!TD5:TF5,"A"))*4)+((COUNTIF('Elève (5ème4)'!TD5:TF5,"B"))*3)+((COUNTIF('Elève (5ème4)'!TD5:TF5,"C"))*2)+((COUNTIF('Elève (5ème4)'!TD5:TF5,"D"))*1))/(COUNTA(TD5:TF5)),"")</f>
        <v/>
      </c>
      <c r="TH5" s="119" t="str">
        <f t="shared" si="116"/>
        <v/>
      </c>
      <c r="TI5" s="115"/>
      <c r="TJ5" s="116"/>
      <c r="TK5" s="117"/>
      <c r="TL5" s="118" t="str">
        <f>IFERROR((((COUNTIF('Elève (5ème4)'!TI5:TK5,"A"))*4)+((COUNTIF('Elève (5ème4)'!TI5:TK5,"B"))*3)+((COUNTIF('Elève (5ème4)'!TI5:TK5,"C"))*2)+((COUNTIF('Elève (5ème4)'!TI5:TK5,"D"))*1))/(COUNTA(TI5:TK5)),"")</f>
        <v/>
      </c>
      <c r="TM5" s="119" t="str">
        <f t="shared" si="117"/>
        <v/>
      </c>
      <c r="TN5" s="115"/>
      <c r="TO5" s="116"/>
      <c r="TP5" s="121"/>
      <c r="TQ5" s="118" t="str">
        <f>IFERROR((((COUNTIF('Elève (5ème4)'!TN5:TP5,"A"))*4)+((COUNTIF('Elève (5ème4)'!TN5:TP5,"B"))*3)+((COUNTIF('Elève (5ème4)'!TN5:TP5,"C"))*2)+((COUNTIF('Elève (5ème4)'!TN5:TP5,"D"))*1))/(COUNTA(TN5:TP5)),"")</f>
        <v/>
      </c>
      <c r="TR5" s="119" t="str">
        <f t="shared" si="118"/>
        <v/>
      </c>
      <c r="TS5" s="118" t="str">
        <f>IF(COUNT(TG5,TL5,TQ5)=0,"",SUM(TG5,TL5,TQ5)/COUNT(TG5,TL5,TQ5))</f>
        <v/>
      </c>
      <c r="TT5" s="120" t="str">
        <f t="shared" si="119"/>
        <v/>
      </c>
    </row>
    <row r="6" spans="1:540" ht="18" customHeight="1" x14ac:dyDescent="0.25">
      <c r="A6" s="236" t="s">
        <v>13</v>
      </c>
      <c r="B6" s="237"/>
      <c r="C6" s="122"/>
      <c r="D6" s="123"/>
      <c r="E6" s="124"/>
      <c r="F6" s="182" t="str">
        <f>IFERROR((((COUNTIF('Elève (5ème4)'!C6:E6,"A"))*4)+((COUNTIF('Elève (5ème4)'!C6:E6,"B"))*3)+((COUNTIF('Elève (5ème4)'!C6:E6,"C"))*2)+((COUNTIF('Elève (5ème4)'!C6:E6,"D"))*1))/(COUNTA(C6:E6)),"")</f>
        <v/>
      </c>
      <c r="G6" s="183" t="str">
        <f t="shared" si="0"/>
        <v/>
      </c>
      <c r="H6" s="122" t="s">
        <v>29</v>
      </c>
      <c r="I6" s="123"/>
      <c r="J6" s="124" t="s">
        <v>28</v>
      </c>
      <c r="K6" s="182">
        <f>IFERROR((((COUNTIF('Elève (5ème4)'!H6:J6,"A"))*4)+((COUNTIF('Elève (5ème4)'!H6:J6,"B"))*3)+((COUNTIF('Elève (5ème4)'!H6:J6,"C"))*2)+((COUNTIF('Elève (5ème4)'!H6:J6,"D"))*1))/(COUNTA(H6:J6)),"")</f>
        <v>2.5</v>
      </c>
      <c r="L6" s="183" t="str">
        <f t="shared" si="1"/>
        <v>C</v>
      </c>
      <c r="M6" s="122"/>
      <c r="N6" s="123"/>
      <c r="O6" s="124"/>
      <c r="P6" s="124"/>
      <c r="Q6" s="182" t="str">
        <f>IFERROR((((COUNTIF('Elève (5ème4)'!M6:P6,"A"))*4)+((COUNTIF('Elève (5ème4)'!M6:P6,"B"))*3)+((COUNTIF('Elève (5ème4)'!M6:P6,"C"))*2)+((COUNTIF('Elève (5ème4)'!M6:P6,"D"))*1))/(COUNTA(M6:P6)),"")</f>
        <v/>
      </c>
      <c r="R6" s="183" t="str">
        <f t="shared" si="2"/>
        <v/>
      </c>
      <c r="S6" s="182">
        <f>IF(COUNT(F6,K6,Q6)=0,"",SUM(F6,K6,Q6)/COUNT(F6,K6,Q6))</f>
        <v>2.5</v>
      </c>
      <c r="T6" s="206" t="str">
        <f t="shared" si="3"/>
        <v>C</v>
      </c>
      <c r="U6" s="122"/>
      <c r="V6" s="123"/>
      <c r="W6" s="124"/>
      <c r="X6" s="182" t="str">
        <f>IFERROR((((COUNTIF('Elève (5ème4)'!U6:W6,"A"))*4)+((COUNTIF('Elève (5ème4)'!U6:W6,"B"))*3)+((COUNTIF('Elève (5ème4)'!U6:W6,"C"))*2)+((COUNTIF('Elève (5ème4)'!U6:W6,"D"))*1))/(COUNTA(U6:W6)),"")</f>
        <v/>
      </c>
      <c r="Y6" s="183" t="str">
        <f t="shared" si="4"/>
        <v/>
      </c>
      <c r="Z6" s="122" t="s">
        <v>29</v>
      </c>
      <c r="AA6" s="123"/>
      <c r="AB6" s="124"/>
      <c r="AC6" s="182">
        <f>IFERROR((((COUNTIF('Elève (5ème4)'!Z6:AB6,"A"))*4)+((COUNTIF('Elève (5ème4)'!Z6:AB6,"B"))*3)+((COUNTIF('Elève (5ème4)'!Z6:AB6,"C"))*2)+((COUNTIF('Elève (5ème4)'!Z6:AB6,"D"))*1))/(COUNTA(Z6:AB6)),"")</f>
        <v>2</v>
      </c>
      <c r="AD6" s="183" t="str">
        <f t="shared" si="5"/>
        <v>C</v>
      </c>
      <c r="AE6" s="122"/>
      <c r="AF6" s="123"/>
      <c r="AG6" s="124"/>
      <c r="AH6" s="128"/>
      <c r="AI6" s="182" t="str">
        <f>IFERROR((((COUNTIF('Elève (5ème4)'!AE6:AH6,"A"))*4)+((COUNTIF('Elève (5ème4)'!AE6:AH6,"B"))*3)+((COUNTIF('Elève (5ème4)'!AE6:AH6,"C"))*2)+((COUNTIF('Elève (5ème4)'!AE6:AH6,"D"))*1))/(COUNTA(AE6:AH6)),"")</f>
        <v/>
      </c>
      <c r="AJ6" s="183" t="str">
        <f t="shared" si="6"/>
        <v/>
      </c>
      <c r="AK6" s="182">
        <f>IF(COUNT(X6,AC6,AI6)=0,"",SUM(X6,AC6,AI6)/COUNT(X6,AC6,AI6))</f>
        <v>2</v>
      </c>
      <c r="AL6" s="206" t="str">
        <f t="shared" si="7"/>
        <v>C</v>
      </c>
      <c r="AM6" s="122"/>
      <c r="AN6" s="123"/>
      <c r="AO6" s="124"/>
      <c r="AP6" s="182" t="str">
        <f>IFERROR((((COUNTIF('Elève (5ème4)'!AM6:AO6,"A"))*4)+((COUNTIF('Elève (5ème4)'!AM6:AO6,"B"))*3)+((COUNTIF('Elève (5ème4)'!AM6:AO6,"C"))*2)+((COUNTIF('Elève (5ème4)'!AM6:AO6,"D"))*1))/(COUNTA(AM6:AO6)),"")</f>
        <v/>
      </c>
      <c r="AQ6" s="183" t="str">
        <f t="shared" si="8"/>
        <v/>
      </c>
      <c r="AR6" s="122" t="s">
        <v>27</v>
      </c>
      <c r="AS6" s="123"/>
      <c r="AT6" s="124" t="s">
        <v>29</v>
      </c>
      <c r="AU6" s="182">
        <f>IFERROR((((COUNTIF('Elève (5ème4)'!AR6:AT6,"A"))*4)+((COUNTIF('Elève (5ème4)'!AR6:AT6,"B"))*3)+((COUNTIF('Elève (5ème4)'!AR6:AT6,"C"))*2)+((COUNTIF('Elève (5ème4)'!AR6:AT6,"D"))*1))/(COUNTA(AR6:AT6)),"")</f>
        <v>3</v>
      </c>
      <c r="AV6" s="183" t="str">
        <f t="shared" si="9"/>
        <v>B</v>
      </c>
      <c r="AW6" s="122"/>
      <c r="AX6" s="123"/>
      <c r="AY6" s="124"/>
      <c r="AZ6" s="128"/>
      <c r="BA6" s="182" t="str">
        <f>IFERROR((((COUNTIF('Elève (5ème4)'!AW6:AZ6,"A"))*4)+((COUNTIF('Elève (5ème4)'!AW6:AZ6,"B"))*3)+((COUNTIF('Elève (5ème4)'!AW6:AZ6,"C"))*2)+((COUNTIF('Elève (5ème4)'!AW6:AZ6,"D"))*1))/(COUNTA(AW6:AZ6)),"")</f>
        <v/>
      </c>
      <c r="BB6" s="183" t="str">
        <f t="shared" si="10"/>
        <v/>
      </c>
      <c r="BC6" s="182">
        <f>IF(COUNT(AP6,AU6,BA6)=0,"",SUM(AP6,AU6,BA6)/COUNT(AP6,AU6,BA6))</f>
        <v>3</v>
      </c>
      <c r="BD6" s="206" t="str">
        <f t="shared" si="11"/>
        <v>B</v>
      </c>
      <c r="BE6" s="122"/>
      <c r="BF6" s="123"/>
      <c r="BG6" s="124"/>
      <c r="BH6" s="182" t="str">
        <f>IFERROR((((COUNTIF('Elève (5ème4)'!BE6:BG6,"A"))*4)+((COUNTIF('Elève (5ème4)'!BE6:BG6,"B"))*3)+((COUNTIF('Elève (5ème4)'!BE6:BG6,"C"))*2)+((COUNTIF('Elève (5ème4)'!BE6:BG6,"D"))*1))/(COUNTA(BE6:BG6)),"")</f>
        <v/>
      </c>
      <c r="BI6" s="183" t="str">
        <f t="shared" si="12"/>
        <v/>
      </c>
      <c r="BJ6" s="122" t="s">
        <v>30</v>
      </c>
      <c r="BK6" s="123"/>
      <c r="BL6" s="124" t="s">
        <v>28</v>
      </c>
      <c r="BM6" s="182">
        <f>IFERROR((((COUNTIF('Elève (5ème4)'!BJ6:BL6,"A"))*4)+((COUNTIF('Elève (5ème4)'!BJ6:BL6,"B"))*3)+((COUNTIF('Elève (5ème4)'!BJ6:BL6,"C"))*2)+((COUNTIF('Elève (5ème4)'!BJ6:BL6,"D"))*1))/(COUNTA(BJ6:BL6)),"")</f>
        <v>2</v>
      </c>
      <c r="BN6" s="183" t="str">
        <f t="shared" si="13"/>
        <v>C</v>
      </c>
      <c r="BO6" s="122"/>
      <c r="BP6" s="123"/>
      <c r="BQ6" s="124"/>
      <c r="BR6" s="128"/>
      <c r="BS6" s="182" t="str">
        <f>IFERROR((((COUNTIF('Elève (5ème4)'!BO6:BR6,"A"))*4)+((COUNTIF('Elève (5ème4)'!BO6:BR6,"B"))*3)+((COUNTIF('Elève (5ème4)'!BO6:BR6,"C"))*2)+((COUNTIF('Elève (5ème4)'!BO6:BR6,"D"))*1))/(COUNTA(BO6:BR6)),"")</f>
        <v/>
      </c>
      <c r="BT6" s="183" t="str">
        <f t="shared" si="14"/>
        <v/>
      </c>
      <c r="BU6" s="182">
        <f>IF(COUNT(BH6,BM6,BS6)=0,"",SUM(BH6,BM6,BS6)/COUNT(BH6,BM6,BS6))</f>
        <v>2</v>
      </c>
      <c r="BV6" s="206" t="str">
        <f t="shared" si="15"/>
        <v>C</v>
      </c>
      <c r="BW6" s="122"/>
      <c r="BX6" s="123"/>
      <c r="BY6" s="124"/>
      <c r="BZ6" s="182" t="str">
        <f>IFERROR((((COUNTIF('Elève (5ème4)'!BW6:BY6,"A"))*4)+((COUNTIF('Elève (5ème4)'!BW6:BY6,"B"))*3)+((COUNTIF('Elève (5ème4)'!BW6:BY6,"C"))*2)+((COUNTIF('Elève (5ème4)'!BW6:BY6,"D"))*1))/(COUNTA(BW6:BY6)),"")</f>
        <v/>
      </c>
      <c r="CA6" s="183" t="str">
        <f t="shared" si="16"/>
        <v/>
      </c>
      <c r="CB6" s="122" t="s">
        <v>28</v>
      </c>
      <c r="CC6" s="123"/>
      <c r="CD6" s="124" t="s">
        <v>27</v>
      </c>
      <c r="CE6" s="182">
        <f>IFERROR((((COUNTIF('Elève (5ème4)'!CB6:CD6,"A"))*4)+((COUNTIF('Elève (5ème4)'!CB6:CD6,"B"))*3)+((COUNTIF('Elève (5ème4)'!CB6:CD6,"C"))*2)+((COUNTIF('Elève (5ème4)'!CB6:CD6,"D"))*1))/(COUNTA(CB6:CD6)),"")</f>
        <v>3.5</v>
      </c>
      <c r="CF6" s="183" t="str">
        <f t="shared" si="17"/>
        <v>B</v>
      </c>
      <c r="CG6" s="122"/>
      <c r="CH6" s="123"/>
      <c r="CI6" s="124"/>
      <c r="CJ6" s="128"/>
      <c r="CK6" s="182" t="str">
        <f>IFERROR((((COUNTIF('Elève (5ème4)'!CG6:CJ6,"A"))*4)+((COUNTIF('Elève (5ème4)'!CG6:CJ6,"B"))*3)+((COUNTIF('Elève (5ème4)'!CG6:CJ6,"C"))*2)+((COUNTIF('Elève (5ème4)'!CG6:CJ6,"D"))*1))/(COUNTA(CG6:CJ6)),"")</f>
        <v/>
      </c>
      <c r="CL6" s="183" t="str">
        <f t="shared" si="18"/>
        <v/>
      </c>
      <c r="CM6" s="182">
        <f>IF(COUNT(BZ6,CE6,CK6)=0,"",SUM(BZ6,CE6,CK6)/COUNT(BZ6,CE6,CK6))</f>
        <v>3.5</v>
      </c>
      <c r="CN6" s="206" t="str">
        <f t="shared" si="19"/>
        <v>B</v>
      </c>
      <c r="CO6" s="122"/>
      <c r="CP6" s="123"/>
      <c r="CQ6" s="124"/>
      <c r="CR6" s="182" t="str">
        <f>IFERROR((((COUNTIF('Elève (5ème4)'!CO6:CQ6,"A"))*4)+((COUNTIF('Elève (5ème4)'!CO6:CQ6,"B"))*3)+((COUNTIF('Elève (5ème4)'!CO6:CQ6,"C"))*2)+((COUNTIF('Elève (5ème4)'!CO6:CQ6,"D"))*1))/(COUNTA(CO6:CQ6)),"")</f>
        <v/>
      </c>
      <c r="CS6" s="183" t="str">
        <f t="shared" si="20"/>
        <v/>
      </c>
      <c r="CT6" s="122" t="s">
        <v>28</v>
      </c>
      <c r="CU6" s="123"/>
      <c r="CV6" s="124" t="s">
        <v>29</v>
      </c>
      <c r="CW6" s="182">
        <f>IFERROR((((COUNTIF('Elève (5ème4)'!CT6:CV6,"A"))*4)+((COUNTIF('Elève (5ème4)'!CT6:CV6,"B"))*3)+((COUNTIF('Elève (5ème4)'!CT6:CV6,"C"))*2)+((COUNTIF('Elève (5ème4)'!CT6:CV6,"D"))*1))/(COUNTA(CT6:CV6)),"")</f>
        <v>2.5</v>
      </c>
      <c r="CX6" s="183" t="str">
        <f t="shared" si="21"/>
        <v>C</v>
      </c>
      <c r="CY6" s="122"/>
      <c r="CZ6" s="123"/>
      <c r="DA6" s="124"/>
      <c r="DB6" s="128"/>
      <c r="DC6" s="182" t="str">
        <f>IFERROR((((COUNTIF('Elève (5ème4)'!CY6:DB6,"A"))*4)+((COUNTIF('Elève (5ème4)'!CY6:DB6,"B"))*3)+((COUNTIF('Elève (5ème4)'!CY6:DB6,"C"))*2)+((COUNTIF('Elève (5ème4)'!CY6:DB6,"D"))*1))/(COUNTA(CY6:DB6)),"")</f>
        <v/>
      </c>
      <c r="DD6" s="183" t="str">
        <f t="shared" si="22"/>
        <v/>
      </c>
      <c r="DE6" s="182">
        <f>IF(COUNT(CR6,CW6,DC6)=0,"",SUM(CR6,CW6,DC6)/COUNT(CR6,CW6,DC6))</f>
        <v>2.5</v>
      </c>
      <c r="DF6" s="206" t="str">
        <f t="shared" si="23"/>
        <v>C</v>
      </c>
      <c r="DG6" s="122"/>
      <c r="DH6" s="123"/>
      <c r="DI6" s="124"/>
      <c r="DJ6" s="182" t="str">
        <f>IFERROR((((COUNTIF('Elève (5ème4)'!DG6:DI6,"A"))*4)+((COUNTIF('Elève (5ème4)'!DG6:DI6,"B"))*3)+((COUNTIF('Elève (5ème4)'!DG6:DI6,"C"))*2)+((COUNTIF('Elève (5ème4)'!DG6:DI6,"D"))*1))/(COUNTA(DG6:DI6)),"")</f>
        <v/>
      </c>
      <c r="DK6" s="183" t="str">
        <f t="shared" si="24"/>
        <v/>
      </c>
      <c r="DL6" s="122" t="s">
        <v>28</v>
      </c>
      <c r="DM6" s="123"/>
      <c r="DN6" s="124" t="s">
        <v>29</v>
      </c>
      <c r="DO6" s="182">
        <f>IFERROR((((COUNTIF('Elève (5ème4)'!DL6:DN6,"A"))*4)+((COUNTIF('Elève (5ème4)'!DL6:DN6,"B"))*3)+((COUNTIF('Elève (5ème4)'!DL6:DN6,"C"))*2)+((COUNTIF('Elève (5ème4)'!DL6:DN6,"D"))*1))/(COUNTA(DL6:DN6)),"")</f>
        <v>2.5</v>
      </c>
      <c r="DP6" s="183" t="str">
        <f t="shared" si="25"/>
        <v>C</v>
      </c>
      <c r="DQ6" s="122"/>
      <c r="DR6" s="123"/>
      <c r="DS6" s="124"/>
      <c r="DT6" s="128"/>
      <c r="DU6" s="182" t="str">
        <f>IFERROR((((COUNTIF('Elève (5ème4)'!DQ6:DT6,"A"))*4)+((COUNTIF('Elève (5ème4)'!DQ6:DT6,"B"))*3)+((COUNTIF('Elève (5ème4)'!DQ6:DT6,"C"))*2)+((COUNTIF('Elève (5ème4)'!DQ6:DT6,"D"))*1))/(COUNTA(DQ6:DT6)),"")</f>
        <v/>
      </c>
      <c r="DV6" s="183" t="str">
        <f t="shared" si="26"/>
        <v/>
      </c>
      <c r="DW6" s="182">
        <f>IF(COUNT(DJ6,DO6,DU6)=0,"",SUM(DJ6,DO6,DU6)/COUNT(DJ6,DO6,DU6))</f>
        <v>2.5</v>
      </c>
      <c r="DX6" s="206" t="str">
        <f t="shared" si="27"/>
        <v>C</v>
      </c>
      <c r="DY6" s="122"/>
      <c r="DZ6" s="123"/>
      <c r="EA6" s="124"/>
      <c r="EB6" s="182" t="str">
        <f>IFERROR((((COUNTIF('Elève (5ème4)'!DY6:EA6,"A"))*4)+((COUNTIF('Elève (5ème4)'!DY6:EA6,"B"))*3)+((COUNTIF('Elève (5ème4)'!DY6:EA6,"C"))*2)+((COUNTIF('Elève (5ème4)'!DY6:EA6,"D"))*1))/(COUNTA(DY6:EA6)),"")</f>
        <v/>
      </c>
      <c r="EC6" s="183" t="str">
        <f t="shared" si="28"/>
        <v/>
      </c>
      <c r="ED6" s="122" t="s">
        <v>28</v>
      </c>
      <c r="EE6" s="123"/>
      <c r="EF6" s="124" t="s">
        <v>28</v>
      </c>
      <c r="EG6" s="182">
        <f>IFERROR((((COUNTIF('Elève (5ème4)'!ED6:EF6,"A"))*4)+((COUNTIF('Elève (5ème4)'!ED6:EF6,"B"))*3)+((COUNTIF('Elève (5ème4)'!ED6:EF6,"C"))*2)+((COUNTIF('Elève (5ème4)'!ED6:EF6,"D"))*1))/(COUNTA(ED6:EF6)),"")</f>
        <v>3</v>
      </c>
      <c r="EH6" s="183" t="str">
        <f t="shared" si="29"/>
        <v>B</v>
      </c>
      <c r="EI6" s="122"/>
      <c r="EJ6" s="123"/>
      <c r="EK6" s="124"/>
      <c r="EL6" s="128"/>
      <c r="EM6" s="182" t="str">
        <f>IFERROR((((COUNTIF('Elève (5ème4)'!EI6:EL6,"A"))*4)+((COUNTIF('Elève (5ème4)'!EI6:EL6,"B"))*3)+((COUNTIF('Elève (5ème4)'!EI6:EL6,"C"))*2)+((COUNTIF('Elève (5ème4)'!EI6:EL6,"D"))*1))/(COUNTA(EI6:EL6)),"")</f>
        <v/>
      </c>
      <c r="EN6" s="183" t="str">
        <f t="shared" si="30"/>
        <v/>
      </c>
      <c r="EO6" s="182">
        <f>IF(COUNT(EB6,EG6,EM6)=0,"",SUM(EB6,EG6,EM6)/COUNT(EB6,EG6,EM6))</f>
        <v>3</v>
      </c>
      <c r="EP6" s="206" t="str">
        <f t="shared" si="31"/>
        <v>B</v>
      </c>
      <c r="EQ6" s="122"/>
      <c r="ER6" s="123"/>
      <c r="ES6" s="124"/>
      <c r="ET6" s="182" t="str">
        <f>IFERROR((((COUNTIF('Elève (5ème4)'!EQ6:ES6,"A"))*4)+((COUNTIF('Elève (5ème4)'!EQ6:ES6,"B"))*3)+((COUNTIF('Elève (5ème4)'!EQ6:ES6,"C"))*2)+((COUNTIF('Elève (5ème4)'!EQ6:ES6,"D"))*1))/(COUNTA(EQ6:ES6)),"")</f>
        <v/>
      </c>
      <c r="EU6" s="183" t="str">
        <f t="shared" si="32"/>
        <v/>
      </c>
      <c r="EV6" s="122" t="s">
        <v>30</v>
      </c>
      <c r="EW6" s="123"/>
      <c r="EX6" s="124" t="s">
        <v>28</v>
      </c>
      <c r="EY6" s="182">
        <f>IFERROR((((COUNTIF('Elève (5ème4)'!EV6:EX6,"A"))*4)+((COUNTIF('Elève (5ème4)'!EV6:EX6,"B"))*3)+((COUNTIF('Elève (5ème4)'!EV6:EX6,"C"))*2)+((COUNTIF('Elève (5ème4)'!EV6:EX6,"D"))*1))/(COUNTA(EV6:EX6)),"")</f>
        <v>2</v>
      </c>
      <c r="EZ6" s="183" t="str">
        <f t="shared" si="33"/>
        <v>C</v>
      </c>
      <c r="FA6" s="122"/>
      <c r="FB6" s="123"/>
      <c r="FC6" s="124"/>
      <c r="FD6" s="128"/>
      <c r="FE6" s="182" t="str">
        <f>IFERROR((((COUNTIF('Elève (5ème4)'!FA6:FD6,"A"))*4)+((COUNTIF('Elève (5ème4)'!FA6:FD6,"B"))*3)+((COUNTIF('Elève (5ème4)'!FA6:FD6,"C"))*2)+((COUNTIF('Elève (5ème4)'!FA6:FD6,"D"))*1))/(COUNTA(FA6:FD6)),"")</f>
        <v/>
      </c>
      <c r="FF6" s="183" t="str">
        <f t="shared" si="34"/>
        <v/>
      </c>
      <c r="FG6" s="182">
        <f>IF(COUNT(ET6,EY6,FE6)=0,"",SUM(ET6,EY6,FE6)/COUNT(ET6,EY6,FE6))</f>
        <v>2</v>
      </c>
      <c r="FH6" s="206" t="str">
        <f t="shared" si="35"/>
        <v>C</v>
      </c>
      <c r="FI6" s="122"/>
      <c r="FJ6" s="123"/>
      <c r="FK6" s="124"/>
      <c r="FL6" s="182" t="str">
        <f>IFERROR((((COUNTIF('Elève (5ème4)'!FI6:FK6,"A"))*4)+((COUNTIF('Elève (5ème4)'!FI6:FK6,"B"))*3)+((COUNTIF('Elève (5ème4)'!FI6:FK6,"C"))*2)+((COUNTIF('Elève (5ème4)'!FI6:FK6,"D"))*1))/(COUNTA(FI6:FK6)),"")</f>
        <v/>
      </c>
      <c r="FM6" s="183" t="str">
        <f t="shared" si="36"/>
        <v/>
      </c>
      <c r="FN6" s="122" t="s">
        <v>28</v>
      </c>
      <c r="FO6" s="123"/>
      <c r="FP6" s="124" t="s">
        <v>27</v>
      </c>
      <c r="FQ6" s="182">
        <f>IFERROR((((COUNTIF('Elève (5ème4)'!FN6:FP6,"A"))*4)+((COUNTIF('Elève (5ème4)'!FN6:FP6,"B"))*3)+((COUNTIF('Elève (5ème4)'!FN6:FP6,"C"))*2)+((COUNTIF('Elève (5ème4)'!FN6:FP6,"D"))*1))/(COUNTA(FN6:FP6)),"")</f>
        <v>3.5</v>
      </c>
      <c r="FR6" s="183" t="str">
        <f t="shared" si="37"/>
        <v>B</v>
      </c>
      <c r="FS6" s="122"/>
      <c r="FT6" s="123"/>
      <c r="FU6" s="124"/>
      <c r="FV6" s="128"/>
      <c r="FW6" s="182" t="str">
        <f>IFERROR((((COUNTIF('Elève (5ème4)'!FS6:FV6,"A"))*4)+((COUNTIF('Elève (5ème4)'!FS6:FV6,"B"))*3)+((COUNTIF('Elève (5ème4)'!FS6:FV6,"C"))*2)+((COUNTIF('Elève (5ème4)'!FS6:FV6,"D"))*1))/(COUNTA(FS6:FV6)),"")</f>
        <v/>
      </c>
      <c r="FX6" s="183" t="str">
        <f t="shared" si="38"/>
        <v/>
      </c>
      <c r="FY6" s="182">
        <f>IF(COUNT(FL6,FQ6,FW6)=0,"",SUM(FL6,FQ6,FW6)/COUNT(FL6,FQ6,FW6))</f>
        <v>3.5</v>
      </c>
      <c r="FZ6" s="206" t="str">
        <f t="shared" si="39"/>
        <v>B</v>
      </c>
      <c r="GA6" s="122"/>
      <c r="GB6" s="123"/>
      <c r="GC6" s="124"/>
      <c r="GD6" s="182" t="str">
        <f>IFERROR((((COUNTIF('Elève (5ème4)'!GA6:GC6,"A"))*4)+((COUNTIF('Elève (5ème4)'!GA6:GC6,"B"))*3)+((COUNTIF('Elève (5ème4)'!GA6:GC6,"C"))*2)+((COUNTIF('Elève (5ème4)'!GA6:GC6,"D"))*1))/(COUNTA(GA6:GC6)),"")</f>
        <v/>
      </c>
      <c r="GE6" s="183" t="str">
        <f t="shared" si="40"/>
        <v/>
      </c>
      <c r="GF6" s="122" t="s">
        <v>28</v>
      </c>
      <c r="GG6" s="123"/>
      <c r="GH6" s="124" t="s">
        <v>28</v>
      </c>
      <c r="GI6" s="182">
        <f>IFERROR((((COUNTIF('Elève (5ème4)'!GF6:GH6,"A"))*4)+((COUNTIF('Elève (5ème4)'!GF6:GH6,"B"))*3)+((COUNTIF('Elève (5ème4)'!GF6:GH6,"C"))*2)+((COUNTIF('Elève (5ème4)'!GF6:GH6,"D"))*1))/(COUNTA(GF6:GH6)),"")</f>
        <v>3</v>
      </c>
      <c r="GJ6" s="183" t="str">
        <f t="shared" si="41"/>
        <v>B</v>
      </c>
      <c r="GK6" s="122"/>
      <c r="GL6" s="123"/>
      <c r="GM6" s="124"/>
      <c r="GN6" s="128"/>
      <c r="GO6" s="182" t="str">
        <f>IFERROR((((COUNTIF('Elève (5ème4)'!GK6:GN6,"A"))*4)+((COUNTIF('Elève (5ème4)'!GK6:GN6,"B"))*3)+((COUNTIF('Elève (5ème4)'!GK6:GN6,"C"))*2)+((COUNTIF('Elève (5ème4)'!GK6:GN6,"D"))*1))/(COUNTA(GK6:GN6)),"")</f>
        <v/>
      </c>
      <c r="GP6" s="183" t="str">
        <f t="shared" si="42"/>
        <v/>
      </c>
      <c r="GQ6" s="182">
        <f>IF(COUNT(GD6,GI6,GO6)=0,"",SUM(GD6,GI6,GO6)/COUNT(GD6,GI6,GO6))</f>
        <v>3</v>
      </c>
      <c r="GR6" s="206" t="str">
        <f t="shared" si="43"/>
        <v>B</v>
      </c>
      <c r="GS6" s="122"/>
      <c r="GT6" s="123"/>
      <c r="GU6" s="124"/>
      <c r="GV6" s="182" t="str">
        <f>IFERROR((((COUNTIF('Elève (5ème4)'!GS6:GU6,"A"))*4)+((COUNTIF('Elève (5ème4)'!GS6:GU6,"B"))*3)+((COUNTIF('Elève (5ème4)'!GS6:GU6,"C"))*2)+((COUNTIF('Elève (5ème4)'!GS6:GU6,"D"))*1))/(COUNTA(GS6:GU6)),"")</f>
        <v/>
      </c>
      <c r="GW6" s="183" t="str">
        <f t="shared" si="44"/>
        <v/>
      </c>
      <c r="GX6" s="122" t="s">
        <v>29</v>
      </c>
      <c r="GY6" s="123"/>
      <c r="GZ6" s="124" t="s">
        <v>27</v>
      </c>
      <c r="HA6" s="182">
        <f>IFERROR((((COUNTIF('Elève (5ème4)'!GX6:GZ6,"A"))*4)+((COUNTIF('Elève (5ème4)'!GX6:GZ6,"B"))*3)+((COUNTIF('Elève (5ème4)'!GX6:GZ6,"C"))*2)+((COUNTIF('Elève (5ème4)'!GX6:GZ6,"D"))*1))/(COUNTA(GX6:GZ6)),"")</f>
        <v>3</v>
      </c>
      <c r="HB6" s="183" t="str">
        <f t="shared" si="45"/>
        <v>B</v>
      </c>
      <c r="HC6" s="122"/>
      <c r="HD6" s="123"/>
      <c r="HE6" s="124"/>
      <c r="HF6" s="128"/>
      <c r="HG6" s="182" t="str">
        <f>IFERROR((((COUNTIF('Elève (5ème4)'!HC6:HF6,"A"))*4)+((COUNTIF('Elève (5ème4)'!HC6:HF6,"B"))*3)+((COUNTIF('Elève (5ème4)'!HC6:HF6,"C"))*2)+((COUNTIF('Elève (5ème4)'!HC6:HF6,"D"))*1))/(COUNTA(HC6:HF6)),"")</f>
        <v/>
      </c>
      <c r="HH6" s="183" t="str">
        <f t="shared" si="46"/>
        <v/>
      </c>
      <c r="HI6" s="182">
        <f>IF(COUNT(GV6,HA6,HG6)=0,"",SUM(GV6,HA6,HG6)/COUNT(GV6,HA6,HG6))</f>
        <v>3</v>
      </c>
      <c r="HJ6" s="206" t="str">
        <f t="shared" si="47"/>
        <v>B</v>
      </c>
      <c r="HK6" s="122"/>
      <c r="HL6" s="123"/>
      <c r="HM6" s="124"/>
      <c r="HN6" s="182" t="str">
        <f>IFERROR((((COUNTIF('Elève (5ème4)'!HK6:HM6,"A"))*4)+((COUNTIF('Elève (5ème4)'!HK6:HM6,"B"))*3)+((COUNTIF('Elève (5ème4)'!HK6:HM6,"C"))*2)+((COUNTIF('Elève (5ème4)'!HK6:HM6,"D"))*1))/(COUNTA(HK6:HM6)),"")</f>
        <v/>
      </c>
      <c r="HO6" s="183" t="str">
        <f t="shared" si="48"/>
        <v/>
      </c>
      <c r="HP6" s="122" t="s">
        <v>28</v>
      </c>
      <c r="HQ6" s="123"/>
      <c r="HR6" s="124" t="s">
        <v>27</v>
      </c>
      <c r="HS6" s="182">
        <f>IFERROR((((COUNTIF('Elève (5ème4)'!HP6:HR6,"A"))*4)+((COUNTIF('Elève (5ème4)'!HP6:HR6,"B"))*3)+((COUNTIF('Elève (5ème4)'!HP6:HR6,"C"))*2)+((COUNTIF('Elève (5ème4)'!HP6:HR6,"D"))*1))/(COUNTA(HP6:HR6)),"")</f>
        <v>3.5</v>
      </c>
      <c r="HT6" s="183" t="str">
        <f t="shared" si="49"/>
        <v>B</v>
      </c>
      <c r="HU6" s="122"/>
      <c r="HV6" s="123"/>
      <c r="HW6" s="124"/>
      <c r="HX6" s="128"/>
      <c r="HY6" s="182" t="str">
        <f>IFERROR((((COUNTIF('Elève (5ème4)'!HU6:HX6,"A"))*4)+((COUNTIF('Elève (5ème4)'!HU6:HX6,"B"))*3)+((COUNTIF('Elève (5ème4)'!HU6:HX6,"C"))*2)+((COUNTIF('Elève (5ème4)'!HU6:HX6,"D"))*1))/(COUNTA(HU6:HX6)),"")</f>
        <v/>
      </c>
      <c r="HZ6" s="183" t="str">
        <f t="shared" si="50"/>
        <v/>
      </c>
      <c r="IA6" s="182">
        <f>IF(COUNT(HN6,HS6,HY6)=0,"",SUM(HN6,HS6,HY6)/COUNT(HN6,HS6,HY6))</f>
        <v>3.5</v>
      </c>
      <c r="IB6" s="206" t="str">
        <f t="shared" si="51"/>
        <v>B</v>
      </c>
      <c r="IC6" s="122"/>
      <c r="ID6" s="123"/>
      <c r="IE6" s="124"/>
      <c r="IF6" s="182" t="str">
        <f>IFERROR((((COUNTIF('Elève (5ème4)'!IC6:IE6,"A"))*4)+((COUNTIF('Elève (5ème4)'!IC6:IE6,"B"))*3)+((COUNTIF('Elève (5ème4)'!IC6:IE6,"C"))*2)+((COUNTIF('Elève (5ème4)'!IC6:IE6,"D"))*1))/(COUNTA(IC6:IE6)),"")</f>
        <v/>
      </c>
      <c r="IG6" s="183" t="str">
        <f t="shared" si="52"/>
        <v/>
      </c>
      <c r="IH6" s="122" t="s">
        <v>27</v>
      </c>
      <c r="II6" s="123"/>
      <c r="IJ6" s="124" t="s">
        <v>28</v>
      </c>
      <c r="IK6" s="182">
        <f>IFERROR((((COUNTIF('Elève (5ème4)'!IH6:IJ6,"A"))*4)+((COUNTIF('Elève (5ème4)'!IH6:IJ6,"B"))*3)+((COUNTIF('Elève (5ème4)'!IH6:IJ6,"C"))*2)+((COUNTIF('Elève (5ème4)'!IH6:IJ6,"D"))*1))/(COUNTA(IH6:IJ6)),"")</f>
        <v>3.5</v>
      </c>
      <c r="IL6" s="183" t="str">
        <f t="shared" si="53"/>
        <v>B</v>
      </c>
      <c r="IM6" s="122"/>
      <c r="IN6" s="123"/>
      <c r="IO6" s="124"/>
      <c r="IP6" s="128"/>
      <c r="IQ6" s="182" t="str">
        <f>IFERROR((((COUNTIF('Elève (5ème4)'!IM6:IP6,"A"))*4)+((COUNTIF('Elève (5ème4)'!IM6:IP6,"B"))*3)+((COUNTIF('Elève (5ème4)'!IM6:IP6,"C"))*2)+((COUNTIF('Elève (5ème4)'!IM6:IP6,"D"))*1))/(COUNTA(IM6:IP6)),"")</f>
        <v/>
      </c>
      <c r="IR6" s="183" t="str">
        <f t="shared" si="54"/>
        <v/>
      </c>
      <c r="IS6" s="182">
        <f>IF(COUNT(IF6,IK6,IQ6)=0,"",SUM(IF6,IK6,IQ6)/COUNT(IF6,IK6,IQ6))</f>
        <v>3.5</v>
      </c>
      <c r="IT6" s="206" t="str">
        <f t="shared" si="55"/>
        <v>B</v>
      </c>
      <c r="IU6" s="122"/>
      <c r="IV6" s="123"/>
      <c r="IW6" s="124"/>
      <c r="IX6" s="182" t="str">
        <f>IFERROR((((COUNTIF('Elève (5ème4)'!IU6:IW6,"A"))*4)+((COUNTIF('Elève (5ème4)'!IU6:IW6,"B"))*3)+((COUNTIF('Elève (5ème4)'!IU6:IW6,"C"))*2)+((COUNTIF('Elève (5ème4)'!IU6:IW6,"D"))*1))/(COUNTA(IU6:IW6)),"")</f>
        <v/>
      </c>
      <c r="IY6" s="183" t="str">
        <f t="shared" si="56"/>
        <v/>
      </c>
      <c r="IZ6" s="122" t="s">
        <v>27</v>
      </c>
      <c r="JA6" s="123"/>
      <c r="JB6" s="124" t="s">
        <v>28</v>
      </c>
      <c r="JC6" s="182">
        <f>IFERROR((((COUNTIF('Elève (5ème4)'!IZ6:JB6,"A"))*4)+((COUNTIF('Elève (5ème4)'!IZ6:JB6,"B"))*3)+((COUNTIF('Elève (5ème4)'!IZ6:JB6,"C"))*2)+((COUNTIF('Elève (5ème4)'!IZ6:JB6,"D"))*1))/(COUNTA(IZ6:JB6)),"")</f>
        <v>3.5</v>
      </c>
      <c r="JD6" s="183" t="str">
        <f t="shared" si="57"/>
        <v>B</v>
      </c>
      <c r="JE6" s="122"/>
      <c r="JF6" s="123"/>
      <c r="JG6" s="124"/>
      <c r="JH6" s="128"/>
      <c r="JI6" s="182" t="str">
        <f>IFERROR((((COUNTIF('Elève (5ème4)'!JE6:JH6,"A"))*4)+((COUNTIF('Elève (5ème4)'!JE6:JH6,"B"))*3)+((COUNTIF('Elève (5ème4)'!JE6:JH6,"C"))*2)+((COUNTIF('Elève (5ème4)'!JE6:JH6,"D"))*1))/(COUNTA(JE6:JH6)),"")</f>
        <v/>
      </c>
      <c r="JJ6" s="183" t="str">
        <f t="shared" si="58"/>
        <v/>
      </c>
      <c r="JK6" s="182">
        <f>IF(COUNT(IX6,JC6,JI6)=0,"",SUM(IX6,JC6,JI6)/COUNT(IX6,JC6,JI6))</f>
        <v>3.5</v>
      </c>
      <c r="JL6" s="206" t="str">
        <f t="shared" si="59"/>
        <v>B</v>
      </c>
      <c r="JM6" s="122"/>
      <c r="JN6" s="123"/>
      <c r="JO6" s="124"/>
      <c r="JP6" s="182" t="str">
        <f>IFERROR((((COUNTIF('Elève (5ème4)'!JM6:JO6,"A"))*4)+((COUNTIF('Elève (5ème4)'!JM6:JO6,"B"))*3)+((COUNTIF('Elève (5ème4)'!JM6:JO6,"C"))*2)+((COUNTIF('Elève (5ème4)'!JM6:JO6,"D"))*1))/(COUNTA(JM6:JO6)),"")</f>
        <v/>
      </c>
      <c r="JQ6" s="183" t="str">
        <f t="shared" si="60"/>
        <v/>
      </c>
      <c r="JR6" s="122" t="s">
        <v>28</v>
      </c>
      <c r="JS6" s="123"/>
      <c r="JT6" s="124" t="s">
        <v>28</v>
      </c>
      <c r="JU6" s="182">
        <f>IFERROR((((COUNTIF('Elève (5ème4)'!JR6:JT6,"A"))*4)+((COUNTIF('Elève (5ème4)'!JR6:JT6,"B"))*3)+((COUNTIF('Elève (5ème4)'!JR6:JT6,"C"))*2)+((COUNTIF('Elève (5ème4)'!JR6:JT6,"D"))*1))/(COUNTA(JR6:JT6)),"")</f>
        <v>3</v>
      </c>
      <c r="JV6" s="183" t="str">
        <f t="shared" si="61"/>
        <v>B</v>
      </c>
      <c r="JW6" s="122"/>
      <c r="JX6" s="123"/>
      <c r="JY6" s="124"/>
      <c r="JZ6" s="128"/>
      <c r="KA6" s="182" t="str">
        <f>IFERROR((((COUNTIF('Elève (5ème4)'!JW6:JZ6,"A"))*4)+((COUNTIF('Elève (5ème4)'!JW6:JZ6,"B"))*3)+((COUNTIF('Elève (5ème4)'!JW6:JZ6,"C"))*2)+((COUNTIF('Elève (5ème4)'!JW6:JZ6,"D"))*1))/(COUNTA(JW6:JZ6)),"")</f>
        <v/>
      </c>
      <c r="KB6" s="183" t="str">
        <f t="shared" si="62"/>
        <v/>
      </c>
      <c r="KC6" s="182">
        <f>IF(COUNT(JP6,JU6,KA6)=0,"",SUM(JP6,JU6,KA6)/COUNT(JP6,JU6,KA6))</f>
        <v>3</v>
      </c>
      <c r="KD6" s="206" t="str">
        <f t="shared" si="63"/>
        <v>B</v>
      </c>
      <c r="KE6" s="122"/>
      <c r="KF6" s="123"/>
      <c r="KG6" s="124"/>
      <c r="KH6" s="182" t="str">
        <f>IFERROR((((COUNTIF('Elève (5ème4)'!KE6:KG6,"A"))*4)+((COUNTIF('Elève (5ème4)'!KE6:KG6,"B"))*3)+((COUNTIF('Elève (5ème4)'!KE6:KG6,"C"))*2)+((COUNTIF('Elève (5ème4)'!KE6:KG6,"D"))*1))/(COUNTA(KE6:KG6)),"")</f>
        <v/>
      </c>
      <c r="KI6" s="183" t="str">
        <f t="shared" si="64"/>
        <v/>
      </c>
      <c r="KJ6" s="122" t="s">
        <v>27</v>
      </c>
      <c r="KK6" s="123"/>
      <c r="KL6" s="124" t="s">
        <v>28</v>
      </c>
      <c r="KM6" s="182">
        <f>IFERROR((((COUNTIF('Elève (5ème4)'!KJ6:KL6,"A"))*4)+((COUNTIF('Elève (5ème4)'!KJ6:KL6,"B"))*3)+((COUNTIF('Elève (5ème4)'!KJ6:KL6,"C"))*2)+((COUNTIF('Elève (5ème4)'!KJ6:KL6,"D"))*1))/(COUNTA(KJ6:KL6)),"")</f>
        <v>3.5</v>
      </c>
      <c r="KN6" s="183" t="str">
        <f t="shared" si="65"/>
        <v>B</v>
      </c>
      <c r="KO6" s="122"/>
      <c r="KP6" s="123"/>
      <c r="KQ6" s="124"/>
      <c r="KR6" s="128"/>
      <c r="KS6" s="182" t="str">
        <f>IFERROR((((COUNTIF('Elève (5ème4)'!KO6:KR6,"A"))*4)+((COUNTIF('Elève (5ème4)'!KO6:KR6,"B"))*3)+((COUNTIF('Elève (5ème4)'!KO6:KR6,"C"))*2)+((COUNTIF('Elève (5ème4)'!KO6:KR6,"D"))*1))/(COUNTA(KO6:KR6)),"")</f>
        <v/>
      </c>
      <c r="KT6" s="183" t="str">
        <f t="shared" si="66"/>
        <v/>
      </c>
      <c r="KU6" s="182">
        <f>IF(COUNT(KH6,KM6,KS6)=0,"",SUM(KH6,KM6,KS6)/COUNT(KH6,KM6,KS6))</f>
        <v>3.5</v>
      </c>
      <c r="KV6" s="206" t="str">
        <f t="shared" si="67"/>
        <v>B</v>
      </c>
      <c r="KW6" s="122"/>
      <c r="KX6" s="123"/>
      <c r="KY6" s="124"/>
      <c r="KZ6" s="182" t="str">
        <f>IFERROR((((COUNTIF('Elève (5ème4)'!KW6:KY6,"A"))*4)+((COUNTIF('Elève (5ème4)'!KW6:KY6,"B"))*3)+((COUNTIF('Elève (5ème4)'!KW6:KY6,"C"))*2)+((COUNTIF('Elève (5ème4)'!KW6:KY6,"D"))*1))/(COUNTA(KW6:KY6)),"")</f>
        <v/>
      </c>
      <c r="LA6" s="183" t="str">
        <f t="shared" si="68"/>
        <v/>
      </c>
      <c r="LB6" s="122" t="s">
        <v>28</v>
      </c>
      <c r="LC6" s="123"/>
      <c r="LD6" s="124" t="s">
        <v>28</v>
      </c>
      <c r="LE6" s="182">
        <f>IFERROR((((COUNTIF('Elève (5ème4)'!LB6:LD6,"A"))*4)+((COUNTIF('Elève (5ème4)'!LB6:LD6,"B"))*3)+((COUNTIF('Elève (5ème4)'!LB6:LD6,"C"))*2)+((COUNTIF('Elève (5ème4)'!LB6:LD6,"D"))*1))/(COUNTA(LB6:LD6)),"")</f>
        <v>3</v>
      </c>
      <c r="LF6" s="183" t="str">
        <f t="shared" si="69"/>
        <v>B</v>
      </c>
      <c r="LG6" s="122"/>
      <c r="LH6" s="123"/>
      <c r="LI6" s="124"/>
      <c r="LJ6" s="128"/>
      <c r="LK6" s="182" t="str">
        <f>IFERROR((((COUNTIF('Elève (5ème4)'!LG6:LJ6,"A"))*4)+((COUNTIF('Elève (5ème4)'!LG6:LJ6,"B"))*3)+((COUNTIF('Elève (5ème4)'!LG6:LJ6,"C"))*2)+((COUNTIF('Elève (5ème4)'!LG6:LJ6,"D"))*1))/(COUNTA(LG6:LJ6)),"")</f>
        <v/>
      </c>
      <c r="LL6" s="183" t="str">
        <f t="shared" si="70"/>
        <v/>
      </c>
      <c r="LM6" s="182">
        <f>IF(COUNT(KZ6,LE6,LK6)=0,"",SUM(KZ6,LE6,LK6)/COUNT(KZ6,LE6,LK6))</f>
        <v>3</v>
      </c>
      <c r="LN6" s="206" t="str">
        <f t="shared" si="71"/>
        <v>B</v>
      </c>
      <c r="LO6" s="122"/>
      <c r="LP6" s="123"/>
      <c r="LQ6" s="124"/>
      <c r="LR6" s="182" t="str">
        <f>IFERROR((((COUNTIF('Elève (5ème4)'!LO6:LQ6,"A"))*4)+((COUNTIF('Elève (5ème4)'!LO6:LQ6,"B"))*3)+((COUNTIF('Elève (5ème4)'!LO6:LQ6,"C"))*2)+((COUNTIF('Elève (5ème4)'!LO6:LQ6,"D"))*1))/(COUNTA(LO6:LQ6)),"")</f>
        <v/>
      </c>
      <c r="LS6" s="183" t="str">
        <f t="shared" si="72"/>
        <v/>
      </c>
      <c r="LT6" s="122" t="s">
        <v>29</v>
      </c>
      <c r="LU6" s="123"/>
      <c r="LV6" s="124" t="s">
        <v>28</v>
      </c>
      <c r="LW6" s="182">
        <f>IFERROR((((COUNTIF('Elève (5ème4)'!LT6:LV6,"A"))*4)+((COUNTIF('Elève (5ème4)'!LT6:LV6,"B"))*3)+((COUNTIF('Elève (5ème4)'!LT6:LV6,"C"))*2)+((COUNTIF('Elève (5ème4)'!LT6:LV6,"D"))*1))/(COUNTA(LT6:LV6)),"")</f>
        <v>2.5</v>
      </c>
      <c r="LX6" s="183" t="str">
        <f t="shared" si="73"/>
        <v>C</v>
      </c>
      <c r="LY6" s="122"/>
      <c r="LZ6" s="123"/>
      <c r="MA6" s="124"/>
      <c r="MB6" s="128"/>
      <c r="MC6" s="182" t="str">
        <f>IFERROR((((COUNTIF('Elève (5ème4)'!LY6:MB6,"A"))*4)+((COUNTIF('Elève (5ème4)'!LY6:MB6,"B"))*3)+((COUNTIF('Elève (5ème4)'!LY6:MB6,"C"))*2)+((COUNTIF('Elève (5ème4)'!LY6:MB6,"D"))*1))/(COUNTA(LY6:MB6)),"")</f>
        <v/>
      </c>
      <c r="MD6" s="183" t="str">
        <f t="shared" si="74"/>
        <v/>
      </c>
      <c r="ME6" s="182">
        <f>IF(COUNT(LR6,LW6,MC6)=0,"",SUM(LR6,LW6,MC6)/COUNT(LR6,LW6,MC6))</f>
        <v>2.5</v>
      </c>
      <c r="MF6" s="206" t="str">
        <f t="shared" si="75"/>
        <v>C</v>
      </c>
      <c r="MG6" s="122"/>
      <c r="MH6" s="123"/>
      <c r="MI6" s="124"/>
      <c r="MJ6" s="182" t="str">
        <f>IFERROR((((COUNTIF('Elève (5ème4)'!MG6:MI6,"A"))*4)+((COUNTIF('Elève (5ème4)'!MG6:MI6,"B"))*3)+((COUNTIF('Elève (5ème4)'!MG6:MI6,"C"))*2)+((COUNTIF('Elève (5ème4)'!MG6:MI6,"D"))*1))/(COUNTA(MG6:MI6)),"")</f>
        <v/>
      </c>
      <c r="MK6" s="183" t="str">
        <f t="shared" si="76"/>
        <v/>
      </c>
      <c r="ML6" s="122" t="s">
        <v>29</v>
      </c>
      <c r="MM6" s="123"/>
      <c r="MN6" s="124" t="s">
        <v>28</v>
      </c>
      <c r="MO6" s="182">
        <f>IFERROR((((COUNTIF('Elève (5ème4)'!ML6:MN6,"A"))*4)+((COUNTIF('Elève (5ème4)'!ML6:MN6,"B"))*3)+((COUNTIF('Elève (5ème4)'!ML6:MN6,"C"))*2)+((COUNTIF('Elève (5ème4)'!ML6:MN6,"D"))*1))/(COUNTA(ML6:MN6)),"")</f>
        <v>2.5</v>
      </c>
      <c r="MP6" s="183" t="str">
        <f t="shared" si="77"/>
        <v>C</v>
      </c>
      <c r="MQ6" s="122"/>
      <c r="MR6" s="123"/>
      <c r="MS6" s="124"/>
      <c r="MT6" s="128"/>
      <c r="MU6" s="182" t="str">
        <f>IFERROR((((COUNTIF('Elève (5ème4)'!MQ6:MT6,"A"))*4)+((COUNTIF('Elève (5ème4)'!MQ6:MT6,"B"))*3)+((COUNTIF('Elève (5ème4)'!MQ6:MT6,"C"))*2)+((COUNTIF('Elève (5ème4)'!MQ6:MT6,"D"))*1))/(COUNTA(MQ6:MT6)),"")</f>
        <v/>
      </c>
      <c r="MV6" s="183" t="str">
        <f t="shared" si="78"/>
        <v/>
      </c>
      <c r="MW6" s="182">
        <f>IF(COUNT(MJ6,MO6,MU6)=0,"",SUM(MJ6,MO6,MU6)/COUNT(MJ6,MO6,MU6))</f>
        <v>2.5</v>
      </c>
      <c r="MX6" s="206" t="str">
        <f t="shared" si="79"/>
        <v>C</v>
      </c>
      <c r="MY6" s="122"/>
      <c r="MZ6" s="123"/>
      <c r="NA6" s="124"/>
      <c r="NB6" s="182" t="str">
        <f>IFERROR((((COUNTIF('Elève (5ème4)'!MY6:NA6,"A"))*4)+((COUNTIF('Elève (5ème4)'!MY6:NA6,"B"))*3)+((COUNTIF('Elève (5ème4)'!MY6:NA6,"C"))*2)+((COUNTIF('Elève (5ème4)'!MY6:NA6,"D"))*1))/(COUNTA(MY6:NA6)),"")</f>
        <v/>
      </c>
      <c r="NC6" s="183" t="str">
        <f t="shared" si="80"/>
        <v/>
      </c>
      <c r="ND6" s="122" t="s">
        <v>28</v>
      </c>
      <c r="NE6" s="123"/>
      <c r="NF6" s="124" t="s">
        <v>29</v>
      </c>
      <c r="NG6" s="182">
        <f>IFERROR((((COUNTIF('Elève (5ème4)'!ND6:NF6,"A"))*4)+((COUNTIF('Elève (5ème4)'!ND6:NF6,"B"))*3)+((COUNTIF('Elève (5ème4)'!ND6:NF6,"C"))*2)+((COUNTIF('Elève (5ème4)'!ND6:NF6,"D"))*1))/(COUNTA(ND6:NF6)),"")</f>
        <v>2.5</v>
      </c>
      <c r="NH6" s="183" t="str">
        <f t="shared" si="81"/>
        <v>C</v>
      </c>
      <c r="NI6" s="122"/>
      <c r="NJ6" s="123"/>
      <c r="NK6" s="124"/>
      <c r="NL6" s="128"/>
      <c r="NM6" s="182" t="str">
        <f>IFERROR((((COUNTIF('Elève (5ème4)'!NI6:NL6,"A"))*4)+((COUNTIF('Elève (5ème4)'!NI6:NL6,"B"))*3)+((COUNTIF('Elève (5ème4)'!NI6:NL6,"C"))*2)+((COUNTIF('Elève (5ème4)'!NI6:NL6,"D"))*1))/(COUNTA(NI6:NL6)),"")</f>
        <v/>
      </c>
      <c r="NN6" s="183" t="str">
        <f t="shared" si="82"/>
        <v/>
      </c>
      <c r="NO6" s="182">
        <f>IF(COUNT(NB6,NG6,NM6)=0,"",SUM(NB6,NG6,NM6)/COUNT(NB6,NG6,NM6))</f>
        <v>2.5</v>
      </c>
      <c r="NP6" s="206" t="str">
        <f t="shared" si="83"/>
        <v>C</v>
      </c>
      <c r="NQ6" s="122"/>
      <c r="NR6" s="123"/>
      <c r="NS6" s="124"/>
      <c r="NT6" s="182" t="str">
        <f>IFERROR((((COUNTIF('Elève (5ème4)'!NQ6:NS6,"A"))*4)+((COUNTIF('Elève (5ème4)'!NQ6:NS6,"B"))*3)+((COUNTIF('Elève (5ème4)'!NQ6:NS6,"C"))*2)+((COUNTIF('Elève (5ème4)'!NQ6:NS6,"D"))*1))/(COUNTA(NQ6:NS6)),"")</f>
        <v/>
      </c>
      <c r="NU6" s="183" t="str">
        <f t="shared" si="84"/>
        <v/>
      </c>
      <c r="NV6" s="122" t="s">
        <v>27</v>
      </c>
      <c r="NW6" s="123"/>
      <c r="NX6" s="124" t="s">
        <v>28</v>
      </c>
      <c r="NY6" s="182">
        <f>IFERROR((((COUNTIF('Elève (5ème4)'!NV6:NX6,"A"))*4)+((COUNTIF('Elève (5ème4)'!NV6:NX6,"B"))*3)+((COUNTIF('Elève (5ème4)'!NV6:NX6,"C"))*2)+((COUNTIF('Elève (5ème4)'!NV6:NX6,"D"))*1))/(COUNTA(NV6:NX6)),"")</f>
        <v>3.5</v>
      </c>
      <c r="NZ6" s="183" t="str">
        <f t="shared" si="85"/>
        <v>B</v>
      </c>
      <c r="OA6" s="122"/>
      <c r="OB6" s="123"/>
      <c r="OC6" s="124"/>
      <c r="OD6" s="128"/>
      <c r="OE6" s="182" t="str">
        <f>IFERROR((((COUNTIF('Elève (5ème4)'!OA6:OD6,"A"))*4)+((COUNTIF('Elève (5ème4)'!OA6:OD6,"B"))*3)+((COUNTIF('Elève (5ème4)'!OA6:OD6,"C"))*2)+((COUNTIF('Elève (5ème4)'!OA6:OD6,"D"))*1))/(COUNTA(OA6:OD6)),"")</f>
        <v/>
      </c>
      <c r="OF6" s="183" t="str">
        <f t="shared" si="86"/>
        <v/>
      </c>
      <c r="OG6" s="182">
        <f>IF(COUNT(NT6,NY6,OE6)=0,"",SUM(NT6,NY6,OE6)/COUNT(NT6,NY6,OE6))</f>
        <v>3.5</v>
      </c>
      <c r="OH6" s="206" t="str">
        <f t="shared" si="87"/>
        <v>B</v>
      </c>
      <c r="OI6" s="122"/>
      <c r="OJ6" s="123"/>
      <c r="OK6" s="124"/>
      <c r="OL6" s="182" t="str">
        <f>IFERROR((((COUNTIF('Elève (5ème4)'!OI6:OK6,"A"))*4)+((COUNTIF('Elève (5ème4)'!OI6:OK6,"B"))*3)+((COUNTIF('Elève (5ème4)'!OI6:OK6,"C"))*2)+((COUNTIF('Elève (5ème4)'!OI6:OK6,"D"))*1))/(COUNTA(OI6:OK6)),"")</f>
        <v/>
      </c>
      <c r="OM6" s="183" t="str">
        <f t="shared" si="88"/>
        <v/>
      </c>
      <c r="ON6" s="122" t="s">
        <v>28</v>
      </c>
      <c r="OO6" s="123"/>
      <c r="OP6" s="124" t="s">
        <v>28</v>
      </c>
      <c r="OQ6" s="182">
        <f>IFERROR((((COUNTIF('Elève (5ème4)'!ON6:OP6,"A"))*4)+((COUNTIF('Elève (5ème4)'!ON6:OP6,"B"))*3)+((COUNTIF('Elève (5ème4)'!ON6:OP6,"C"))*2)+((COUNTIF('Elève (5ème4)'!ON6:OP6,"D"))*1))/(COUNTA(ON6:OP6)),"")</f>
        <v>3</v>
      </c>
      <c r="OR6" s="183" t="str">
        <f t="shared" si="89"/>
        <v>B</v>
      </c>
      <c r="OS6" s="122"/>
      <c r="OT6" s="123"/>
      <c r="OU6" s="124"/>
      <c r="OV6" s="128"/>
      <c r="OW6" s="182" t="str">
        <f>IFERROR((((COUNTIF('Elève (5ème4)'!OS6:OV6,"A"))*4)+((COUNTIF('Elève (5ème4)'!OS6:OV6,"B"))*3)+((COUNTIF('Elève (5ème4)'!OS6:OV6,"C"))*2)+((COUNTIF('Elève (5ème4)'!OS6:OV6,"D"))*1))/(COUNTA(OS6:OV6)),"")</f>
        <v/>
      </c>
      <c r="OX6" s="183" t="str">
        <f t="shared" si="90"/>
        <v/>
      </c>
      <c r="OY6" s="182">
        <f>IF(COUNT(OL6,OQ6,OW6)=0,"",SUM(OL6,OQ6,OW6)/COUNT(OL6,OQ6,OW6))</f>
        <v>3</v>
      </c>
      <c r="OZ6" s="206" t="str">
        <f t="shared" si="91"/>
        <v>B</v>
      </c>
      <c r="PA6" s="122"/>
      <c r="PB6" s="123"/>
      <c r="PC6" s="124"/>
      <c r="PD6" s="182" t="str">
        <f>IFERROR((((COUNTIF('Elève (5ème4)'!PA6:PC6,"A"))*4)+((COUNTIF('Elève (5ème4)'!PA6:PC6,"B"))*3)+((COUNTIF('Elève (5ème4)'!PA6:PC6,"C"))*2)+((COUNTIF('Elève (5ème4)'!PA6:PC6,"D"))*1))/(COUNTA(PA6:PC6)),"")</f>
        <v/>
      </c>
      <c r="PE6" s="183" t="str">
        <f t="shared" si="92"/>
        <v/>
      </c>
      <c r="PF6" s="122" t="s">
        <v>27</v>
      </c>
      <c r="PG6" s="123"/>
      <c r="PH6" s="124" t="s">
        <v>28</v>
      </c>
      <c r="PI6" s="182">
        <f>IFERROR((((COUNTIF('Elève (5ème4)'!PF6:PH6,"A"))*4)+((COUNTIF('Elève (5ème4)'!PF6:PH6,"B"))*3)+((COUNTIF('Elève (5ème4)'!PF6:PH6,"C"))*2)+((COUNTIF('Elève (5ème4)'!PF6:PH6,"D"))*1))/(COUNTA(PF6:PH6)),"")</f>
        <v>3.5</v>
      </c>
      <c r="PJ6" s="183" t="str">
        <f t="shared" si="93"/>
        <v>B</v>
      </c>
      <c r="PK6" s="122"/>
      <c r="PL6" s="123"/>
      <c r="PM6" s="124"/>
      <c r="PN6" s="128"/>
      <c r="PO6" s="182" t="str">
        <f>IFERROR((((COUNTIF('Elève (5ème4)'!PK6:PN6,"A"))*4)+((COUNTIF('Elève (5ème4)'!PK6:PN6,"B"))*3)+((COUNTIF('Elève (5ème4)'!PK6:PN6,"C"))*2)+((COUNTIF('Elève (5ème4)'!PK6:PN6,"D"))*1))/(COUNTA(PK6:PN6)),"")</f>
        <v/>
      </c>
      <c r="PP6" s="183" t="str">
        <f t="shared" si="94"/>
        <v/>
      </c>
      <c r="PQ6" s="182">
        <f>IF(COUNT(PD6,PI6,PO6)=0,"",SUM(PD6,PI6,PO6)/COUNT(PD6,PI6,PO6))</f>
        <v>3.5</v>
      </c>
      <c r="PR6" s="206" t="str">
        <f t="shared" si="95"/>
        <v>B</v>
      </c>
      <c r="PS6" s="122"/>
      <c r="PT6" s="123"/>
      <c r="PU6" s="124"/>
      <c r="PV6" s="182" t="str">
        <f>IFERROR((((COUNTIF('Elève (5ème4)'!PS6:PU6,"A"))*4)+((COUNTIF('Elève (5ème4)'!PS6:PU6,"B"))*3)+((COUNTIF('Elève (5ème4)'!PS6:PU6,"C"))*2)+((COUNTIF('Elève (5ème4)'!PS6:PU6,"D"))*1))/(COUNTA(PS6:PU6)),"")</f>
        <v/>
      </c>
      <c r="PW6" s="183" t="str">
        <f t="shared" si="96"/>
        <v/>
      </c>
      <c r="PX6" s="122" t="s">
        <v>27</v>
      </c>
      <c r="PY6" s="123"/>
      <c r="PZ6" s="124"/>
      <c r="QA6" s="182">
        <f>IFERROR((((COUNTIF('Elève (5ème4)'!PX6:PZ6,"A"))*4)+((COUNTIF('Elève (5ème4)'!PX6:PZ6,"B"))*3)+((COUNTIF('Elève (5ème4)'!PX6:PZ6,"C"))*2)+((COUNTIF('Elève (5ème4)'!PX6:PZ6,"D"))*1))/(COUNTA(PX6:PZ6)),"")</f>
        <v>4</v>
      </c>
      <c r="QB6" s="183" t="str">
        <f t="shared" si="97"/>
        <v>A</v>
      </c>
      <c r="QC6" s="122"/>
      <c r="QD6" s="123"/>
      <c r="QE6" s="124"/>
      <c r="QF6" s="128"/>
      <c r="QG6" s="182" t="str">
        <f>IFERROR((((COUNTIF('Elève (5ème4)'!QC6:QF6,"A"))*4)+((COUNTIF('Elève (5ème4)'!QC6:QF6,"B"))*3)+((COUNTIF('Elève (5ème4)'!QC6:QF6,"C"))*2)+((COUNTIF('Elève (5ème4)'!QC6:QF6,"D"))*1))/(COUNTA(QC6:QF6)),"")</f>
        <v/>
      </c>
      <c r="QH6" s="183" t="str">
        <f t="shared" si="98"/>
        <v/>
      </c>
      <c r="QI6" s="182">
        <f>IF(COUNT(PV6,QA6,QG6)=0,"",SUM(PV6,QA6,QG6)/COUNT(PV6,QA6,QG6))</f>
        <v>4</v>
      </c>
      <c r="QJ6" s="206" t="str">
        <f t="shared" si="99"/>
        <v>A</v>
      </c>
      <c r="QK6" s="122"/>
      <c r="QL6" s="123"/>
      <c r="QM6" s="124"/>
      <c r="QN6" s="182" t="str">
        <f>IFERROR((((COUNTIF('Elève (5ème4)'!QK6:QM6,"A"))*4)+((COUNTIF('Elève (5ème4)'!QK6:QM6,"B"))*3)+((COUNTIF('Elève (5ème4)'!QK6:QM6,"C"))*2)+((COUNTIF('Elève (5ème4)'!QK6:QM6,"D"))*1))/(COUNTA(QK6:QM6)),"")</f>
        <v/>
      </c>
      <c r="QO6" s="183" t="str">
        <f t="shared" si="100"/>
        <v/>
      </c>
      <c r="QP6" s="122" t="s">
        <v>29</v>
      </c>
      <c r="QQ6" s="123"/>
      <c r="QR6" s="124"/>
      <c r="QS6" s="182">
        <f>IFERROR((((COUNTIF('Elève (5ème4)'!QP6:QR6,"A"))*4)+((COUNTIF('Elève (5ème4)'!QP6:QR6,"B"))*3)+((COUNTIF('Elève (5ème4)'!QP6:QR6,"C"))*2)+((COUNTIF('Elève (5ème4)'!QP6:QR6,"D"))*1))/(COUNTA(QP6:QR6)),"")</f>
        <v>2</v>
      </c>
      <c r="QT6" s="183" t="str">
        <f t="shared" si="101"/>
        <v>C</v>
      </c>
      <c r="QU6" s="122"/>
      <c r="QV6" s="123"/>
      <c r="QW6" s="124"/>
      <c r="QX6" s="128"/>
      <c r="QY6" s="182" t="str">
        <f>IFERROR((((COUNTIF('Elève (5ème4)'!QU6:QX6,"A"))*4)+((COUNTIF('Elève (5ème4)'!QU6:QX6,"B"))*3)+((COUNTIF('Elève (5ème4)'!QU6:QX6,"C"))*2)+((COUNTIF('Elève (5ème4)'!QU6:QX6,"D"))*1))/(COUNTA(QU6:QX6)),"")</f>
        <v/>
      </c>
      <c r="QZ6" s="183" t="str">
        <f t="shared" si="102"/>
        <v/>
      </c>
      <c r="RA6" s="182">
        <f>IF(COUNT(QN6,QS6,QY6)=0,"",SUM(QN6,QS6,QY6)/COUNT(QN6,QS6,QY6))</f>
        <v>2</v>
      </c>
      <c r="RB6" s="206" t="str">
        <f t="shared" si="103"/>
        <v>C</v>
      </c>
      <c r="RC6" s="122"/>
      <c r="RD6" s="123"/>
      <c r="RE6" s="124"/>
      <c r="RF6" s="182" t="str">
        <f>IFERROR((((COUNTIF('Elève (5ème4)'!RC6:RE6,"A"))*4)+((COUNTIF('Elève (5ème4)'!RC6:RE6,"B"))*3)+((COUNTIF('Elève (5ème4)'!RC6:RE6,"C"))*2)+((COUNTIF('Elève (5ème4)'!RC6:RE6,"D"))*1))/(COUNTA(RC6:RE6)),"")</f>
        <v/>
      </c>
      <c r="RG6" s="183" t="str">
        <f t="shared" si="104"/>
        <v/>
      </c>
      <c r="RH6" s="122" t="s">
        <v>28</v>
      </c>
      <c r="RI6" s="123"/>
      <c r="RJ6" s="124" t="s">
        <v>28</v>
      </c>
      <c r="RK6" s="182">
        <f>IFERROR((((COUNTIF('Elève (5ème4)'!RH6:RJ6,"A"))*4)+((COUNTIF('Elève (5ème4)'!RH6:RJ6,"B"))*3)+((COUNTIF('Elève (5ème4)'!RH6:RJ6,"C"))*2)+((COUNTIF('Elève (5ème4)'!RH6:RJ6,"D"))*1))/(COUNTA(RH6:RJ6)),"")</f>
        <v>3</v>
      </c>
      <c r="RL6" s="183" t="str">
        <f t="shared" si="105"/>
        <v>B</v>
      </c>
      <c r="RM6" s="122"/>
      <c r="RN6" s="123"/>
      <c r="RO6" s="124"/>
      <c r="RP6" s="128"/>
      <c r="RQ6" s="182" t="str">
        <f>IFERROR((((COUNTIF('Elève (5ème4)'!RM6:RP6,"A"))*4)+((COUNTIF('Elève (5ème4)'!RM6:RP6,"B"))*3)+((COUNTIF('Elève (5ème4)'!RM6:RP6,"C"))*2)+((COUNTIF('Elève (5ème4)'!RM6:RP6,"D"))*1))/(COUNTA(RM6:RP6)),"")</f>
        <v/>
      </c>
      <c r="RR6" s="183" t="str">
        <f t="shared" si="106"/>
        <v/>
      </c>
      <c r="RS6" s="182">
        <f>IF(COUNT(RF6,RK6,RQ6)=0,"",SUM(RF6,RK6,RQ6)/COUNT(RF6,RK6,RQ6))</f>
        <v>3</v>
      </c>
      <c r="RT6" s="206" t="str">
        <f t="shared" si="107"/>
        <v>B</v>
      </c>
      <c r="RU6" s="122"/>
      <c r="RV6" s="123"/>
      <c r="RW6" s="124"/>
      <c r="RX6" s="182" t="str">
        <f>IFERROR((((COUNTIF('Elève (5ème4)'!RU6:RW6,"A"))*4)+((COUNTIF('Elève (5ème4)'!RU6:RW6,"B"))*3)+((COUNTIF('Elève (5ème4)'!RU6:RW6,"C"))*2)+((COUNTIF('Elève (5ème4)'!RU6:RW6,"D"))*1))/(COUNTA(RU6:RW6)),"")</f>
        <v/>
      </c>
      <c r="RY6" s="183" t="str">
        <f t="shared" si="108"/>
        <v/>
      </c>
      <c r="RZ6" s="122" t="s">
        <v>27</v>
      </c>
      <c r="SA6" s="123"/>
      <c r="SB6" s="124" t="s">
        <v>29</v>
      </c>
      <c r="SC6" s="182">
        <f>IFERROR((((COUNTIF('Elève (5ème4)'!RZ6:SB6,"A"))*4)+((COUNTIF('Elève (5ème4)'!RZ6:SB6,"B"))*3)+((COUNTIF('Elève (5ème4)'!RZ6:SB6,"C"))*2)+((COUNTIF('Elève (5ème4)'!RZ6:SB6,"D"))*1))/(COUNTA(RZ6:SB6)),"")</f>
        <v>3</v>
      </c>
      <c r="SD6" s="183" t="str">
        <f t="shared" si="109"/>
        <v>B</v>
      </c>
      <c r="SE6" s="122"/>
      <c r="SF6" s="123"/>
      <c r="SG6" s="124"/>
      <c r="SH6" s="128"/>
      <c r="SI6" s="182" t="str">
        <f>IFERROR((((COUNTIF('Elève (5ème4)'!SE6:SH6,"A"))*4)+((COUNTIF('Elève (5ème4)'!SE6:SH6,"B"))*3)+((COUNTIF('Elève (5ème4)'!SE6:SH6,"C"))*2)+((COUNTIF('Elève (5ème4)'!SE6:SH6,"D"))*1))/(COUNTA(SE6:SH6)),"")</f>
        <v/>
      </c>
      <c r="SJ6" s="183" t="str">
        <f t="shared" si="110"/>
        <v/>
      </c>
      <c r="SK6" s="182">
        <f>IF(COUNT(RX6,SC6,SI6)=0,"",SUM(RX6,SC6,SI6)/COUNT(RX6,SC6,SI6))</f>
        <v>3</v>
      </c>
      <c r="SL6" s="206" t="str">
        <f t="shared" si="111"/>
        <v>B</v>
      </c>
      <c r="SM6" s="122"/>
      <c r="SN6" s="123"/>
      <c r="SO6" s="124"/>
      <c r="SP6" s="125" t="str">
        <f>IFERROR((((COUNTIF('Elève (5ème4)'!SM6:SO6,"A"))*4)+((COUNTIF('Elève (5ème4)'!SM6:SO6,"B"))*3)+((COUNTIF('Elève (5ème4)'!SM6:SO6,"C"))*2)+((COUNTIF('Elève (5ème4)'!SM6:SO6,"D"))*1))/(COUNTA(SM6:SO6)),"")</f>
        <v/>
      </c>
      <c r="SQ6" s="126" t="str">
        <f t="shared" si="112"/>
        <v/>
      </c>
      <c r="SR6" s="122"/>
      <c r="SS6" s="123"/>
      <c r="ST6" s="124"/>
      <c r="SU6" s="125" t="str">
        <f>IFERROR((((COUNTIF('Elève (5ème4)'!SR6:ST6,"A"))*4)+((COUNTIF('Elève (5ème4)'!SR6:ST6,"B"))*3)+((COUNTIF('Elève (5ème4)'!SR6:ST6,"C"))*2)+((COUNTIF('Elève (5ème4)'!SR6:ST6,"D"))*1))/(COUNTA(SR6:ST6)),"")</f>
        <v/>
      </c>
      <c r="SV6" s="126" t="str">
        <f t="shared" si="113"/>
        <v/>
      </c>
      <c r="SW6" s="122"/>
      <c r="SX6" s="123"/>
      <c r="SY6" s="128"/>
      <c r="SZ6" s="125" t="str">
        <f>IFERROR((((COUNTIF('Elève (5ème4)'!SW6:SY6,"A"))*4)+((COUNTIF('Elève (5ème4)'!SW6:SY6,"B"))*3)+((COUNTIF('Elève (5ème4)'!SW6:SY6,"C"))*2)+((COUNTIF('Elève (5ème4)'!SW6:SY6,"D"))*1))/(COUNTA(SW6:SY6)),"")</f>
        <v/>
      </c>
      <c r="TA6" s="126" t="str">
        <f t="shared" si="114"/>
        <v/>
      </c>
      <c r="TB6" s="125" t="str">
        <f>IF(COUNT(SP6,SU6,SZ6)=0,"",SUM(SP6,SU6,SZ6)/COUNT(SP6,SU6,SZ6))</f>
        <v/>
      </c>
      <c r="TC6" s="127" t="str">
        <f t="shared" si="115"/>
        <v/>
      </c>
      <c r="TD6" s="122"/>
      <c r="TE6" s="123"/>
      <c r="TF6" s="124"/>
      <c r="TG6" s="125" t="str">
        <f>IFERROR((((COUNTIF('Elève (5ème4)'!TD6:TF6,"A"))*4)+((COUNTIF('Elève (5ème4)'!TD6:TF6,"B"))*3)+((COUNTIF('Elève (5ème4)'!TD6:TF6,"C"))*2)+((COUNTIF('Elève (5ème4)'!TD6:TF6,"D"))*1))/(COUNTA(TD6:TF6)),"")</f>
        <v/>
      </c>
      <c r="TH6" s="126" t="str">
        <f t="shared" si="116"/>
        <v/>
      </c>
      <c r="TI6" s="122"/>
      <c r="TJ6" s="123"/>
      <c r="TK6" s="124"/>
      <c r="TL6" s="125" t="str">
        <f>IFERROR((((COUNTIF('Elève (5ème4)'!TI6:TK6,"A"))*4)+((COUNTIF('Elève (5ème4)'!TI6:TK6,"B"))*3)+((COUNTIF('Elève (5ème4)'!TI6:TK6,"C"))*2)+((COUNTIF('Elève (5ème4)'!TI6:TK6,"D"))*1))/(COUNTA(TI6:TK6)),"")</f>
        <v/>
      </c>
      <c r="TM6" s="126" t="str">
        <f t="shared" si="117"/>
        <v/>
      </c>
      <c r="TN6" s="122"/>
      <c r="TO6" s="123"/>
      <c r="TP6" s="128"/>
      <c r="TQ6" s="125" t="str">
        <f>IFERROR((((COUNTIF('Elève (5ème4)'!TN6:TP6,"A"))*4)+((COUNTIF('Elève (5ème4)'!TN6:TP6,"B"))*3)+((COUNTIF('Elève (5ème4)'!TN6:TP6,"C"))*2)+((COUNTIF('Elève (5ème4)'!TN6:TP6,"D"))*1))/(COUNTA(TN6:TP6)),"")</f>
        <v/>
      </c>
      <c r="TR6" s="126" t="str">
        <f t="shared" si="118"/>
        <v/>
      </c>
      <c r="TS6" s="125" t="str">
        <f>IF(COUNT(TG6,TL6,TQ6)=0,"",SUM(TG6,TL6,TQ6)/COUNT(TG6,TL6,TQ6))</f>
        <v/>
      </c>
      <c r="TT6" s="127" t="str">
        <f t="shared" si="119"/>
        <v/>
      </c>
    </row>
    <row r="7" spans="1:540" ht="18" customHeight="1" x14ac:dyDescent="0.25">
      <c r="A7" s="236" t="s">
        <v>14</v>
      </c>
      <c r="B7" s="237"/>
      <c r="C7" s="122"/>
      <c r="D7" s="123"/>
      <c r="E7" s="124"/>
      <c r="F7" s="182" t="str">
        <f>IFERROR((((COUNTIF('Elève (5ème4)'!C7:E7,"A"))*4)+((COUNTIF('Elève (5ème4)'!C7:E7,"B"))*3)+((COUNTIF('Elève (5ème4)'!C7:E7,"C"))*2)+((COUNTIF('Elève (5ème4)'!C7:E7,"D"))*1))/(COUNTA(C7:E7)),"")</f>
        <v/>
      </c>
      <c r="G7" s="183" t="str">
        <f t="shared" si="0"/>
        <v/>
      </c>
      <c r="H7" s="122"/>
      <c r="I7" s="123"/>
      <c r="J7" s="124"/>
      <c r="K7" s="182" t="str">
        <f>IFERROR((((COUNTIF('Elève (5ème4)'!H7:J7,"A"))*4)+((COUNTIF('Elève (5ème4)'!H7:J7,"B"))*3)+((COUNTIF('Elève (5ème4)'!H7:J7,"C"))*2)+((COUNTIF('Elève (5ème4)'!H7:J7,"D"))*1))/(COUNTA(H7:J7)),"")</f>
        <v/>
      </c>
      <c r="L7" s="183" t="str">
        <f t="shared" si="1"/>
        <v/>
      </c>
      <c r="M7" s="122"/>
      <c r="N7" s="123"/>
      <c r="O7" s="124"/>
      <c r="P7" s="124"/>
      <c r="Q7" s="182" t="str">
        <f>IFERROR((((COUNTIF('Elève (5ème4)'!M7:P7,"A"))*4)+((COUNTIF('Elève (5ème4)'!M7:P7,"B"))*3)+((COUNTIF('Elève (5ème4)'!M7:P7,"C"))*2)+((COUNTIF('Elève (5ème4)'!M7:P7,"D"))*1))/(COUNTA(M7:P7)),"")</f>
        <v/>
      </c>
      <c r="R7" s="183" t="str">
        <f t="shared" si="2"/>
        <v/>
      </c>
      <c r="S7" s="182" t="str">
        <f>IF(COUNT(F7,K7,Q7)=0,"",SUM(F7,K7,Q7)/COUNT(F7,K7,Q7))</f>
        <v/>
      </c>
      <c r="T7" s="206" t="str">
        <f t="shared" si="3"/>
        <v/>
      </c>
      <c r="U7" s="122"/>
      <c r="V7" s="123"/>
      <c r="W7" s="124"/>
      <c r="X7" s="182" t="str">
        <f>IFERROR((((COUNTIF('Elève (5ème4)'!U7:W7,"A"))*4)+((COUNTIF('Elève (5ème4)'!U7:W7,"B"))*3)+((COUNTIF('Elève (5ème4)'!U7:W7,"C"))*2)+((COUNTIF('Elève (5ème4)'!U7:W7,"D"))*1))/(COUNTA(U7:W7)),"")</f>
        <v/>
      </c>
      <c r="Y7" s="183" t="str">
        <f t="shared" si="4"/>
        <v/>
      </c>
      <c r="Z7" s="122"/>
      <c r="AA7" s="123"/>
      <c r="AB7" s="124"/>
      <c r="AC7" s="182" t="str">
        <f>IFERROR((((COUNTIF('Elève (5ème4)'!Z7:AB7,"A"))*4)+((COUNTIF('Elève (5ème4)'!Z7:AB7,"B"))*3)+((COUNTIF('Elève (5ème4)'!Z7:AB7,"C"))*2)+((COUNTIF('Elève (5ème4)'!Z7:AB7,"D"))*1))/(COUNTA(Z7:AB7)),"")</f>
        <v/>
      </c>
      <c r="AD7" s="183" t="str">
        <f t="shared" si="5"/>
        <v/>
      </c>
      <c r="AE7" s="122"/>
      <c r="AF7" s="123"/>
      <c r="AG7" s="124"/>
      <c r="AH7" s="128"/>
      <c r="AI7" s="182" t="str">
        <f>IFERROR((((COUNTIF('Elève (5ème4)'!AE7:AH7,"A"))*4)+((COUNTIF('Elève (5ème4)'!AE7:AH7,"B"))*3)+((COUNTIF('Elève (5ème4)'!AE7:AH7,"C"))*2)+((COUNTIF('Elève (5ème4)'!AE7:AH7,"D"))*1))/(COUNTA(AE7:AH7)),"")</f>
        <v/>
      </c>
      <c r="AJ7" s="183" t="str">
        <f t="shared" si="6"/>
        <v/>
      </c>
      <c r="AK7" s="182" t="str">
        <f>IF(COUNT(X7,AC7,AI7)=0,"",SUM(X7,AC7,AI7)/COUNT(X7,AC7,AI7))</f>
        <v/>
      </c>
      <c r="AL7" s="206" t="str">
        <f t="shared" si="7"/>
        <v/>
      </c>
      <c r="AM7" s="122"/>
      <c r="AN7" s="123"/>
      <c r="AO7" s="124"/>
      <c r="AP7" s="182" t="str">
        <f>IFERROR((((COUNTIF('Elève (5ème4)'!AM7:AO7,"A"))*4)+((COUNTIF('Elève (5ème4)'!AM7:AO7,"B"))*3)+((COUNTIF('Elève (5ème4)'!AM7:AO7,"C"))*2)+((COUNTIF('Elève (5ème4)'!AM7:AO7,"D"))*1))/(COUNTA(AM7:AO7)),"")</f>
        <v/>
      </c>
      <c r="AQ7" s="183" t="str">
        <f t="shared" si="8"/>
        <v/>
      </c>
      <c r="AR7" s="122"/>
      <c r="AS7" s="123"/>
      <c r="AT7" s="124"/>
      <c r="AU7" s="182" t="str">
        <f>IFERROR((((COUNTIF('Elève (5ème4)'!AR7:AT7,"A"))*4)+((COUNTIF('Elève (5ème4)'!AR7:AT7,"B"))*3)+((COUNTIF('Elève (5ème4)'!AR7:AT7,"C"))*2)+((COUNTIF('Elève (5ème4)'!AR7:AT7,"D"))*1))/(COUNTA(AR7:AT7)),"")</f>
        <v/>
      </c>
      <c r="AV7" s="183" t="str">
        <f t="shared" si="9"/>
        <v/>
      </c>
      <c r="AW7" s="122"/>
      <c r="AX7" s="123"/>
      <c r="AY7" s="124"/>
      <c r="AZ7" s="128"/>
      <c r="BA7" s="182" t="str">
        <f>IFERROR((((COUNTIF('Elève (5ème4)'!AW7:AZ7,"A"))*4)+((COUNTIF('Elève (5ème4)'!AW7:AZ7,"B"))*3)+((COUNTIF('Elève (5ème4)'!AW7:AZ7,"C"))*2)+((COUNTIF('Elève (5ème4)'!AW7:AZ7,"D"))*1))/(COUNTA(AW7:AZ7)),"")</f>
        <v/>
      </c>
      <c r="BB7" s="183" t="str">
        <f t="shared" si="10"/>
        <v/>
      </c>
      <c r="BC7" s="182" t="str">
        <f>IF(COUNT(AP7,AU7,BA7)=0,"",SUM(AP7,AU7,BA7)/COUNT(AP7,AU7,BA7))</f>
        <v/>
      </c>
      <c r="BD7" s="206" t="str">
        <f t="shared" si="11"/>
        <v/>
      </c>
      <c r="BE7" s="122"/>
      <c r="BF7" s="123"/>
      <c r="BG7" s="124"/>
      <c r="BH7" s="182" t="str">
        <f>IFERROR((((COUNTIF('Elève (5ème4)'!BE7:BG7,"A"))*4)+((COUNTIF('Elève (5ème4)'!BE7:BG7,"B"))*3)+((COUNTIF('Elève (5ème4)'!BE7:BG7,"C"))*2)+((COUNTIF('Elève (5ème4)'!BE7:BG7,"D"))*1))/(COUNTA(BE7:BG7)),"")</f>
        <v/>
      </c>
      <c r="BI7" s="183" t="str">
        <f t="shared" si="12"/>
        <v/>
      </c>
      <c r="BJ7" s="122"/>
      <c r="BK7" s="123"/>
      <c r="BL7" s="124"/>
      <c r="BM7" s="182" t="str">
        <f>IFERROR((((COUNTIF('Elève (5ème4)'!BJ7:BL7,"A"))*4)+((COUNTIF('Elève (5ème4)'!BJ7:BL7,"B"))*3)+((COUNTIF('Elève (5ème4)'!BJ7:BL7,"C"))*2)+((COUNTIF('Elève (5ème4)'!BJ7:BL7,"D"))*1))/(COUNTA(BJ7:BL7)),"")</f>
        <v/>
      </c>
      <c r="BN7" s="183" t="str">
        <f t="shared" si="13"/>
        <v/>
      </c>
      <c r="BO7" s="122"/>
      <c r="BP7" s="123"/>
      <c r="BQ7" s="124"/>
      <c r="BR7" s="128"/>
      <c r="BS7" s="182" t="str">
        <f>IFERROR((((COUNTIF('Elève (5ème4)'!BO7:BR7,"A"))*4)+((COUNTIF('Elève (5ème4)'!BO7:BR7,"B"))*3)+((COUNTIF('Elève (5ème4)'!BO7:BR7,"C"))*2)+((COUNTIF('Elève (5ème4)'!BO7:BR7,"D"))*1))/(COUNTA(BO7:BR7)),"")</f>
        <v/>
      </c>
      <c r="BT7" s="183" t="str">
        <f t="shared" si="14"/>
        <v/>
      </c>
      <c r="BU7" s="182" t="str">
        <f>IF(COUNT(BH7,BM7,BS7)=0,"",SUM(BH7,BM7,BS7)/COUNT(BH7,BM7,BS7))</f>
        <v/>
      </c>
      <c r="BV7" s="206" t="str">
        <f t="shared" si="15"/>
        <v/>
      </c>
      <c r="BW7" s="122"/>
      <c r="BX7" s="123"/>
      <c r="BY7" s="124"/>
      <c r="BZ7" s="182" t="str">
        <f>IFERROR((((COUNTIF('Elève (5ème4)'!BW7:BY7,"A"))*4)+((COUNTIF('Elève (5ème4)'!BW7:BY7,"B"))*3)+((COUNTIF('Elève (5ème4)'!BW7:BY7,"C"))*2)+((COUNTIF('Elève (5ème4)'!BW7:BY7,"D"))*1))/(COUNTA(BW7:BY7)),"")</f>
        <v/>
      </c>
      <c r="CA7" s="183" t="str">
        <f t="shared" si="16"/>
        <v/>
      </c>
      <c r="CB7" s="122"/>
      <c r="CC7" s="123"/>
      <c r="CD7" s="124"/>
      <c r="CE7" s="182" t="str">
        <f>IFERROR((((COUNTIF('Elève (5ème4)'!CB7:CD7,"A"))*4)+((COUNTIF('Elève (5ème4)'!CB7:CD7,"B"))*3)+((COUNTIF('Elève (5ème4)'!CB7:CD7,"C"))*2)+((COUNTIF('Elève (5ème4)'!CB7:CD7,"D"))*1))/(COUNTA(CB7:CD7)),"")</f>
        <v/>
      </c>
      <c r="CF7" s="183" t="str">
        <f t="shared" si="17"/>
        <v/>
      </c>
      <c r="CG7" s="122"/>
      <c r="CH7" s="123"/>
      <c r="CI7" s="124"/>
      <c r="CJ7" s="128"/>
      <c r="CK7" s="182" t="str">
        <f>IFERROR((((COUNTIF('Elève (5ème4)'!CG7:CJ7,"A"))*4)+((COUNTIF('Elève (5ème4)'!CG7:CJ7,"B"))*3)+((COUNTIF('Elève (5ème4)'!CG7:CJ7,"C"))*2)+((COUNTIF('Elève (5ème4)'!CG7:CJ7,"D"))*1))/(COUNTA(CG7:CJ7)),"")</f>
        <v/>
      </c>
      <c r="CL7" s="183" t="str">
        <f t="shared" si="18"/>
        <v/>
      </c>
      <c r="CM7" s="182" t="str">
        <f>IF(COUNT(BZ7,CE7,CK7)=0,"",SUM(BZ7,CE7,CK7)/COUNT(BZ7,CE7,CK7))</f>
        <v/>
      </c>
      <c r="CN7" s="206" t="str">
        <f t="shared" si="19"/>
        <v/>
      </c>
      <c r="CO7" s="122"/>
      <c r="CP7" s="123"/>
      <c r="CQ7" s="124"/>
      <c r="CR7" s="182" t="str">
        <f>IFERROR((((COUNTIF('Elève (5ème4)'!CO7:CQ7,"A"))*4)+((COUNTIF('Elève (5ème4)'!CO7:CQ7,"B"))*3)+((COUNTIF('Elève (5ème4)'!CO7:CQ7,"C"))*2)+((COUNTIF('Elève (5ème4)'!CO7:CQ7,"D"))*1))/(COUNTA(CO7:CQ7)),"")</f>
        <v/>
      </c>
      <c r="CS7" s="183" t="str">
        <f t="shared" si="20"/>
        <v/>
      </c>
      <c r="CT7" s="122"/>
      <c r="CU7" s="123"/>
      <c r="CV7" s="124"/>
      <c r="CW7" s="182" t="str">
        <f>IFERROR((((COUNTIF('Elève (5ème4)'!CT7:CV7,"A"))*4)+((COUNTIF('Elève (5ème4)'!CT7:CV7,"B"))*3)+((COUNTIF('Elève (5ème4)'!CT7:CV7,"C"))*2)+((COUNTIF('Elève (5ème4)'!CT7:CV7,"D"))*1))/(COUNTA(CT7:CV7)),"")</f>
        <v/>
      </c>
      <c r="CX7" s="183" t="str">
        <f t="shared" si="21"/>
        <v/>
      </c>
      <c r="CY7" s="122"/>
      <c r="CZ7" s="123"/>
      <c r="DA7" s="124"/>
      <c r="DB7" s="128"/>
      <c r="DC7" s="182" t="str">
        <f>IFERROR((((COUNTIF('Elève (5ème4)'!CY7:DB7,"A"))*4)+((COUNTIF('Elève (5ème4)'!CY7:DB7,"B"))*3)+((COUNTIF('Elève (5ème4)'!CY7:DB7,"C"))*2)+((COUNTIF('Elève (5ème4)'!CY7:DB7,"D"))*1))/(COUNTA(CY7:DB7)),"")</f>
        <v/>
      </c>
      <c r="DD7" s="183" t="str">
        <f t="shared" si="22"/>
        <v/>
      </c>
      <c r="DE7" s="182" t="str">
        <f>IF(COUNT(CR7,CW7,DC7)=0,"",SUM(CR7,CW7,DC7)/COUNT(CR7,CW7,DC7))</f>
        <v/>
      </c>
      <c r="DF7" s="206" t="str">
        <f t="shared" si="23"/>
        <v/>
      </c>
      <c r="DG7" s="122"/>
      <c r="DH7" s="123"/>
      <c r="DI7" s="124"/>
      <c r="DJ7" s="182" t="str">
        <f>IFERROR((((COUNTIF('Elève (5ème4)'!DG7:DI7,"A"))*4)+((COUNTIF('Elève (5ème4)'!DG7:DI7,"B"))*3)+((COUNTIF('Elève (5ème4)'!DG7:DI7,"C"))*2)+((COUNTIF('Elève (5ème4)'!DG7:DI7,"D"))*1))/(COUNTA(DG7:DI7)),"")</f>
        <v/>
      </c>
      <c r="DK7" s="183" t="str">
        <f t="shared" si="24"/>
        <v/>
      </c>
      <c r="DL7" s="122"/>
      <c r="DM7" s="123"/>
      <c r="DN7" s="124"/>
      <c r="DO7" s="182" t="str">
        <f>IFERROR((((COUNTIF('Elève (5ème4)'!DL7:DN7,"A"))*4)+((COUNTIF('Elève (5ème4)'!DL7:DN7,"B"))*3)+((COUNTIF('Elève (5ème4)'!DL7:DN7,"C"))*2)+((COUNTIF('Elève (5ème4)'!DL7:DN7,"D"))*1))/(COUNTA(DL7:DN7)),"")</f>
        <v/>
      </c>
      <c r="DP7" s="183" t="str">
        <f t="shared" si="25"/>
        <v/>
      </c>
      <c r="DQ7" s="122"/>
      <c r="DR7" s="123"/>
      <c r="DS7" s="124"/>
      <c r="DT7" s="128"/>
      <c r="DU7" s="182" t="str">
        <f>IFERROR((((COUNTIF('Elève (5ème4)'!DQ7:DT7,"A"))*4)+((COUNTIF('Elève (5ème4)'!DQ7:DT7,"B"))*3)+((COUNTIF('Elève (5ème4)'!DQ7:DT7,"C"))*2)+((COUNTIF('Elève (5ème4)'!DQ7:DT7,"D"))*1))/(COUNTA(DQ7:DT7)),"")</f>
        <v/>
      </c>
      <c r="DV7" s="183" t="str">
        <f t="shared" si="26"/>
        <v/>
      </c>
      <c r="DW7" s="182" t="str">
        <f>IF(COUNT(DJ7,DO7,DU7)=0,"",SUM(DJ7,DO7,DU7)/COUNT(DJ7,DO7,DU7))</f>
        <v/>
      </c>
      <c r="DX7" s="206" t="str">
        <f t="shared" si="27"/>
        <v/>
      </c>
      <c r="DY7" s="122"/>
      <c r="DZ7" s="123"/>
      <c r="EA7" s="124"/>
      <c r="EB7" s="182" t="str">
        <f>IFERROR((((COUNTIF('Elève (5ème4)'!DY7:EA7,"A"))*4)+((COUNTIF('Elève (5ème4)'!DY7:EA7,"B"))*3)+((COUNTIF('Elève (5ème4)'!DY7:EA7,"C"))*2)+((COUNTIF('Elève (5ème4)'!DY7:EA7,"D"))*1))/(COUNTA(DY7:EA7)),"")</f>
        <v/>
      </c>
      <c r="EC7" s="183" t="str">
        <f t="shared" si="28"/>
        <v/>
      </c>
      <c r="ED7" s="122"/>
      <c r="EE7" s="123"/>
      <c r="EF7" s="124"/>
      <c r="EG7" s="182" t="str">
        <f>IFERROR((((COUNTIF('Elève (5ème4)'!ED7:EF7,"A"))*4)+((COUNTIF('Elève (5ème4)'!ED7:EF7,"B"))*3)+((COUNTIF('Elève (5ème4)'!ED7:EF7,"C"))*2)+((COUNTIF('Elève (5ème4)'!ED7:EF7,"D"))*1))/(COUNTA(ED7:EF7)),"")</f>
        <v/>
      </c>
      <c r="EH7" s="183" t="str">
        <f t="shared" si="29"/>
        <v/>
      </c>
      <c r="EI7" s="122"/>
      <c r="EJ7" s="123"/>
      <c r="EK7" s="124"/>
      <c r="EL7" s="128"/>
      <c r="EM7" s="182" t="str">
        <f>IFERROR((((COUNTIF('Elève (5ème4)'!EI7:EL7,"A"))*4)+((COUNTIF('Elève (5ème4)'!EI7:EL7,"B"))*3)+((COUNTIF('Elève (5ème4)'!EI7:EL7,"C"))*2)+((COUNTIF('Elève (5ème4)'!EI7:EL7,"D"))*1))/(COUNTA(EI7:EL7)),"")</f>
        <v/>
      </c>
      <c r="EN7" s="183" t="str">
        <f t="shared" si="30"/>
        <v/>
      </c>
      <c r="EO7" s="182" t="str">
        <f>IF(COUNT(EB7,EG7,EM7)=0,"",SUM(EB7,EG7,EM7)/COUNT(EB7,EG7,EM7))</f>
        <v/>
      </c>
      <c r="EP7" s="206" t="str">
        <f t="shared" si="31"/>
        <v/>
      </c>
      <c r="EQ7" s="122"/>
      <c r="ER7" s="123"/>
      <c r="ES7" s="124"/>
      <c r="ET7" s="182" t="str">
        <f>IFERROR((((COUNTIF('Elève (5ème4)'!EQ7:ES7,"A"))*4)+((COUNTIF('Elève (5ème4)'!EQ7:ES7,"B"))*3)+((COUNTIF('Elève (5ème4)'!EQ7:ES7,"C"))*2)+((COUNTIF('Elève (5ème4)'!EQ7:ES7,"D"))*1))/(COUNTA(EQ7:ES7)),"")</f>
        <v/>
      </c>
      <c r="EU7" s="183" t="str">
        <f t="shared" si="32"/>
        <v/>
      </c>
      <c r="EV7" s="122"/>
      <c r="EW7" s="123"/>
      <c r="EX7" s="124"/>
      <c r="EY7" s="182" t="str">
        <f>IFERROR((((COUNTIF('Elève (5ème4)'!EV7:EX7,"A"))*4)+((COUNTIF('Elève (5ème4)'!EV7:EX7,"B"))*3)+((COUNTIF('Elève (5ème4)'!EV7:EX7,"C"))*2)+((COUNTIF('Elève (5ème4)'!EV7:EX7,"D"))*1))/(COUNTA(EV7:EX7)),"")</f>
        <v/>
      </c>
      <c r="EZ7" s="183" t="str">
        <f t="shared" si="33"/>
        <v/>
      </c>
      <c r="FA7" s="122"/>
      <c r="FB7" s="123"/>
      <c r="FC7" s="124"/>
      <c r="FD7" s="128"/>
      <c r="FE7" s="182" t="str">
        <f>IFERROR((((COUNTIF('Elève (5ème4)'!FA7:FD7,"A"))*4)+((COUNTIF('Elève (5ème4)'!FA7:FD7,"B"))*3)+((COUNTIF('Elève (5ème4)'!FA7:FD7,"C"))*2)+((COUNTIF('Elève (5ème4)'!FA7:FD7,"D"))*1))/(COUNTA(FA7:FD7)),"")</f>
        <v/>
      </c>
      <c r="FF7" s="183" t="str">
        <f t="shared" si="34"/>
        <v/>
      </c>
      <c r="FG7" s="182" t="str">
        <f>IF(COUNT(ET7,EY7,FE7)=0,"",SUM(ET7,EY7,FE7)/COUNT(ET7,EY7,FE7))</f>
        <v/>
      </c>
      <c r="FH7" s="206" t="str">
        <f t="shared" si="35"/>
        <v/>
      </c>
      <c r="FI7" s="122"/>
      <c r="FJ7" s="123"/>
      <c r="FK7" s="124"/>
      <c r="FL7" s="182" t="str">
        <f>IFERROR((((COUNTIF('Elève (5ème4)'!FI7:FK7,"A"))*4)+((COUNTIF('Elève (5ème4)'!FI7:FK7,"B"))*3)+((COUNTIF('Elève (5ème4)'!FI7:FK7,"C"))*2)+((COUNTIF('Elève (5ème4)'!FI7:FK7,"D"))*1))/(COUNTA(FI7:FK7)),"")</f>
        <v/>
      </c>
      <c r="FM7" s="183" t="str">
        <f t="shared" si="36"/>
        <v/>
      </c>
      <c r="FN7" s="122"/>
      <c r="FO7" s="123"/>
      <c r="FP7" s="124"/>
      <c r="FQ7" s="182" t="str">
        <f>IFERROR((((COUNTIF('Elève (5ème4)'!FN7:FP7,"A"))*4)+((COUNTIF('Elève (5ème4)'!FN7:FP7,"B"))*3)+((COUNTIF('Elève (5ème4)'!FN7:FP7,"C"))*2)+((COUNTIF('Elève (5ème4)'!FN7:FP7,"D"))*1))/(COUNTA(FN7:FP7)),"")</f>
        <v/>
      </c>
      <c r="FR7" s="183" t="str">
        <f t="shared" si="37"/>
        <v/>
      </c>
      <c r="FS7" s="122"/>
      <c r="FT7" s="123"/>
      <c r="FU7" s="124"/>
      <c r="FV7" s="128"/>
      <c r="FW7" s="182" t="str">
        <f>IFERROR((((COUNTIF('Elève (5ème4)'!FS7:FV7,"A"))*4)+((COUNTIF('Elève (5ème4)'!FS7:FV7,"B"))*3)+((COUNTIF('Elève (5ème4)'!FS7:FV7,"C"))*2)+((COUNTIF('Elève (5ème4)'!FS7:FV7,"D"))*1))/(COUNTA(FS7:FV7)),"")</f>
        <v/>
      </c>
      <c r="FX7" s="183" t="str">
        <f t="shared" si="38"/>
        <v/>
      </c>
      <c r="FY7" s="182" t="str">
        <f>IF(COUNT(FL7,FQ7,FW7)=0,"",SUM(FL7,FQ7,FW7)/COUNT(FL7,FQ7,FW7))</f>
        <v/>
      </c>
      <c r="FZ7" s="206" t="str">
        <f t="shared" si="39"/>
        <v/>
      </c>
      <c r="GA7" s="122"/>
      <c r="GB7" s="123"/>
      <c r="GC7" s="124"/>
      <c r="GD7" s="182" t="str">
        <f>IFERROR((((COUNTIF('Elève (5ème4)'!GA7:GC7,"A"))*4)+((COUNTIF('Elève (5ème4)'!GA7:GC7,"B"))*3)+((COUNTIF('Elève (5ème4)'!GA7:GC7,"C"))*2)+((COUNTIF('Elève (5ème4)'!GA7:GC7,"D"))*1))/(COUNTA(GA7:GC7)),"")</f>
        <v/>
      </c>
      <c r="GE7" s="183" t="str">
        <f t="shared" si="40"/>
        <v/>
      </c>
      <c r="GF7" s="122"/>
      <c r="GG7" s="123"/>
      <c r="GH7" s="124"/>
      <c r="GI7" s="182" t="str">
        <f>IFERROR((((COUNTIF('Elève (5ème4)'!GF7:GH7,"A"))*4)+((COUNTIF('Elève (5ème4)'!GF7:GH7,"B"))*3)+((COUNTIF('Elève (5ème4)'!GF7:GH7,"C"))*2)+((COUNTIF('Elève (5ème4)'!GF7:GH7,"D"))*1))/(COUNTA(GF7:GH7)),"")</f>
        <v/>
      </c>
      <c r="GJ7" s="183" t="str">
        <f t="shared" si="41"/>
        <v/>
      </c>
      <c r="GK7" s="122"/>
      <c r="GL7" s="123"/>
      <c r="GM7" s="124"/>
      <c r="GN7" s="128"/>
      <c r="GO7" s="182" t="str">
        <f>IFERROR((((COUNTIF('Elève (5ème4)'!GK7:GN7,"A"))*4)+((COUNTIF('Elève (5ème4)'!GK7:GN7,"B"))*3)+((COUNTIF('Elève (5ème4)'!GK7:GN7,"C"))*2)+((COUNTIF('Elève (5ème4)'!GK7:GN7,"D"))*1))/(COUNTA(GK7:GN7)),"")</f>
        <v/>
      </c>
      <c r="GP7" s="183" t="str">
        <f t="shared" si="42"/>
        <v/>
      </c>
      <c r="GQ7" s="182" t="str">
        <f>IF(COUNT(GD7,GI7,GO7)=0,"",SUM(GD7,GI7,GO7)/COUNT(GD7,GI7,GO7))</f>
        <v/>
      </c>
      <c r="GR7" s="206" t="str">
        <f t="shared" si="43"/>
        <v/>
      </c>
      <c r="GS7" s="122"/>
      <c r="GT7" s="123"/>
      <c r="GU7" s="124"/>
      <c r="GV7" s="182" t="str">
        <f>IFERROR((((COUNTIF('Elève (5ème4)'!GS7:GU7,"A"))*4)+((COUNTIF('Elève (5ème4)'!GS7:GU7,"B"))*3)+((COUNTIF('Elève (5ème4)'!GS7:GU7,"C"))*2)+((COUNTIF('Elève (5ème4)'!GS7:GU7,"D"))*1))/(COUNTA(GS7:GU7)),"")</f>
        <v/>
      </c>
      <c r="GW7" s="183" t="str">
        <f t="shared" si="44"/>
        <v/>
      </c>
      <c r="GX7" s="122"/>
      <c r="GY7" s="123"/>
      <c r="GZ7" s="124"/>
      <c r="HA7" s="182" t="str">
        <f>IFERROR((((COUNTIF('Elève (5ème4)'!GX7:GZ7,"A"))*4)+((COUNTIF('Elève (5ème4)'!GX7:GZ7,"B"))*3)+((COUNTIF('Elève (5ème4)'!GX7:GZ7,"C"))*2)+((COUNTIF('Elève (5ème4)'!GX7:GZ7,"D"))*1))/(COUNTA(GX7:GZ7)),"")</f>
        <v/>
      </c>
      <c r="HB7" s="183" t="str">
        <f t="shared" si="45"/>
        <v/>
      </c>
      <c r="HC7" s="122"/>
      <c r="HD7" s="123"/>
      <c r="HE7" s="124"/>
      <c r="HF7" s="128"/>
      <c r="HG7" s="182" t="str">
        <f>IFERROR((((COUNTIF('Elève (5ème4)'!HC7:HF7,"A"))*4)+((COUNTIF('Elève (5ème4)'!HC7:HF7,"B"))*3)+((COUNTIF('Elève (5ème4)'!HC7:HF7,"C"))*2)+((COUNTIF('Elève (5ème4)'!HC7:HF7,"D"))*1))/(COUNTA(HC7:HF7)),"")</f>
        <v/>
      </c>
      <c r="HH7" s="183" t="str">
        <f t="shared" si="46"/>
        <v/>
      </c>
      <c r="HI7" s="182" t="str">
        <f>IF(COUNT(GV7,HA7,HG7)=0,"",SUM(GV7,HA7,HG7)/COUNT(GV7,HA7,HG7))</f>
        <v/>
      </c>
      <c r="HJ7" s="206" t="str">
        <f t="shared" si="47"/>
        <v/>
      </c>
      <c r="HK7" s="122"/>
      <c r="HL7" s="123"/>
      <c r="HM7" s="124"/>
      <c r="HN7" s="182" t="str">
        <f>IFERROR((((COUNTIF('Elève (5ème4)'!HK7:HM7,"A"))*4)+((COUNTIF('Elève (5ème4)'!HK7:HM7,"B"))*3)+((COUNTIF('Elève (5ème4)'!HK7:HM7,"C"))*2)+((COUNTIF('Elève (5ème4)'!HK7:HM7,"D"))*1))/(COUNTA(HK7:HM7)),"")</f>
        <v/>
      </c>
      <c r="HO7" s="183" t="str">
        <f t="shared" si="48"/>
        <v/>
      </c>
      <c r="HP7" s="122"/>
      <c r="HQ7" s="123"/>
      <c r="HR7" s="124"/>
      <c r="HS7" s="182" t="str">
        <f>IFERROR((((COUNTIF('Elève (5ème4)'!HP7:HR7,"A"))*4)+((COUNTIF('Elève (5ème4)'!HP7:HR7,"B"))*3)+((COUNTIF('Elève (5ème4)'!HP7:HR7,"C"))*2)+((COUNTIF('Elève (5ème4)'!HP7:HR7,"D"))*1))/(COUNTA(HP7:HR7)),"")</f>
        <v/>
      </c>
      <c r="HT7" s="183" t="str">
        <f t="shared" si="49"/>
        <v/>
      </c>
      <c r="HU7" s="122"/>
      <c r="HV7" s="123"/>
      <c r="HW7" s="124"/>
      <c r="HX7" s="128"/>
      <c r="HY7" s="182" t="str">
        <f>IFERROR((((COUNTIF('Elève (5ème4)'!HU7:HX7,"A"))*4)+((COUNTIF('Elève (5ème4)'!HU7:HX7,"B"))*3)+((COUNTIF('Elève (5ème4)'!HU7:HX7,"C"))*2)+((COUNTIF('Elève (5ème4)'!HU7:HX7,"D"))*1))/(COUNTA(HU7:HX7)),"")</f>
        <v/>
      </c>
      <c r="HZ7" s="183" t="str">
        <f t="shared" si="50"/>
        <v/>
      </c>
      <c r="IA7" s="182" t="str">
        <f>IF(COUNT(HN7,HS7,HY7)=0,"",SUM(HN7,HS7,HY7)/COUNT(HN7,HS7,HY7))</f>
        <v/>
      </c>
      <c r="IB7" s="206" t="str">
        <f t="shared" si="51"/>
        <v/>
      </c>
      <c r="IC7" s="122"/>
      <c r="ID7" s="123"/>
      <c r="IE7" s="124"/>
      <c r="IF7" s="182" t="str">
        <f>IFERROR((((COUNTIF('Elève (5ème4)'!IC7:IE7,"A"))*4)+((COUNTIF('Elève (5ème4)'!IC7:IE7,"B"))*3)+((COUNTIF('Elève (5ème4)'!IC7:IE7,"C"))*2)+((COUNTIF('Elève (5ème4)'!IC7:IE7,"D"))*1))/(COUNTA(IC7:IE7)),"")</f>
        <v/>
      </c>
      <c r="IG7" s="183" t="str">
        <f t="shared" si="52"/>
        <v/>
      </c>
      <c r="IH7" s="122"/>
      <c r="II7" s="123"/>
      <c r="IJ7" s="124"/>
      <c r="IK7" s="182" t="str">
        <f>IFERROR((((COUNTIF('Elève (5ème4)'!IH7:IJ7,"A"))*4)+((COUNTIF('Elève (5ème4)'!IH7:IJ7,"B"))*3)+((COUNTIF('Elève (5ème4)'!IH7:IJ7,"C"))*2)+((COUNTIF('Elève (5ème4)'!IH7:IJ7,"D"))*1))/(COUNTA(IH7:IJ7)),"")</f>
        <v/>
      </c>
      <c r="IL7" s="183" t="str">
        <f t="shared" si="53"/>
        <v/>
      </c>
      <c r="IM7" s="122"/>
      <c r="IN7" s="123"/>
      <c r="IO7" s="124"/>
      <c r="IP7" s="128"/>
      <c r="IQ7" s="182" t="str">
        <f>IFERROR((((COUNTIF('Elève (5ème4)'!IM7:IP7,"A"))*4)+((COUNTIF('Elève (5ème4)'!IM7:IP7,"B"))*3)+((COUNTIF('Elève (5ème4)'!IM7:IP7,"C"))*2)+((COUNTIF('Elève (5ème4)'!IM7:IP7,"D"))*1))/(COUNTA(IM7:IP7)),"")</f>
        <v/>
      </c>
      <c r="IR7" s="183" t="str">
        <f t="shared" si="54"/>
        <v/>
      </c>
      <c r="IS7" s="182" t="str">
        <f>IF(COUNT(IF7,IK7,IQ7)=0,"",SUM(IF7,IK7,IQ7)/COUNT(IF7,IK7,IQ7))</f>
        <v/>
      </c>
      <c r="IT7" s="206" t="str">
        <f t="shared" si="55"/>
        <v/>
      </c>
      <c r="IU7" s="122"/>
      <c r="IV7" s="123"/>
      <c r="IW7" s="124"/>
      <c r="IX7" s="182" t="str">
        <f>IFERROR((((COUNTIF('Elève (5ème4)'!IU7:IW7,"A"))*4)+((COUNTIF('Elève (5ème4)'!IU7:IW7,"B"))*3)+((COUNTIF('Elève (5ème4)'!IU7:IW7,"C"))*2)+((COUNTIF('Elève (5ème4)'!IU7:IW7,"D"))*1))/(COUNTA(IU7:IW7)),"")</f>
        <v/>
      </c>
      <c r="IY7" s="183" t="str">
        <f t="shared" si="56"/>
        <v/>
      </c>
      <c r="IZ7" s="122"/>
      <c r="JA7" s="123"/>
      <c r="JB7" s="124"/>
      <c r="JC7" s="182" t="str">
        <f>IFERROR((((COUNTIF('Elève (5ème4)'!IZ7:JB7,"A"))*4)+((COUNTIF('Elève (5ème4)'!IZ7:JB7,"B"))*3)+((COUNTIF('Elève (5ème4)'!IZ7:JB7,"C"))*2)+((COUNTIF('Elève (5ème4)'!IZ7:JB7,"D"))*1))/(COUNTA(IZ7:JB7)),"")</f>
        <v/>
      </c>
      <c r="JD7" s="183" t="str">
        <f t="shared" si="57"/>
        <v/>
      </c>
      <c r="JE7" s="122"/>
      <c r="JF7" s="123"/>
      <c r="JG7" s="124"/>
      <c r="JH7" s="128"/>
      <c r="JI7" s="182" t="str">
        <f>IFERROR((((COUNTIF('Elève (5ème4)'!JE7:JH7,"A"))*4)+((COUNTIF('Elève (5ème4)'!JE7:JH7,"B"))*3)+((COUNTIF('Elève (5ème4)'!JE7:JH7,"C"))*2)+((COUNTIF('Elève (5ème4)'!JE7:JH7,"D"))*1))/(COUNTA(JE7:JH7)),"")</f>
        <v/>
      </c>
      <c r="JJ7" s="183" t="str">
        <f t="shared" si="58"/>
        <v/>
      </c>
      <c r="JK7" s="182" t="str">
        <f>IF(COUNT(IX7,JC7,JI7)=0,"",SUM(IX7,JC7,JI7)/COUNT(IX7,JC7,JI7))</f>
        <v/>
      </c>
      <c r="JL7" s="206" t="str">
        <f t="shared" si="59"/>
        <v/>
      </c>
      <c r="JM7" s="122"/>
      <c r="JN7" s="123"/>
      <c r="JO7" s="124"/>
      <c r="JP7" s="182" t="str">
        <f>IFERROR((((COUNTIF('Elève (5ème4)'!JM7:JO7,"A"))*4)+((COUNTIF('Elève (5ème4)'!JM7:JO7,"B"))*3)+((COUNTIF('Elève (5ème4)'!JM7:JO7,"C"))*2)+((COUNTIF('Elève (5ème4)'!JM7:JO7,"D"))*1))/(COUNTA(JM7:JO7)),"")</f>
        <v/>
      </c>
      <c r="JQ7" s="183" t="str">
        <f t="shared" si="60"/>
        <v/>
      </c>
      <c r="JR7" s="122"/>
      <c r="JS7" s="123"/>
      <c r="JT7" s="124"/>
      <c r="JU7" s="182" t="str">
        <f>IFERROR((((COUNTIF('Elève (5ème4)'!JR7:JT7,"A"))*4)+((COUNTIF('Elève (5ème4)'!JR7:JT7,"B"))*3)+((COUNTIF('Elève (5ème4)'!JR7:JT7,"C"))*2)+((COUNTIF('Elève (5ème4)'!JR7:JT7,"D"))*1))/(COUNTA(JR7:JT7)),"")</f>
        <v/>
      </c>
      <c r="JV7" s="183" t="str">
        <f t="shared" si="61"/>
        <v/>
      </c>
      <c r="JW7" s="122"/>
      <c r="JX7" s="123"/>
      <c r="JY7" s="124"/>
      <c r="JZ7" s="128"/>
      <c r="KA7" s="182" t="str">
        <f>IFERROR((((COUNTIF('Elève (5ème4)'!JW7:JZ7,"A"))*4)+((COUNTIF('Elève (5ème4)'!JW7:JZ7,"B"))*3)+((COUNTIF('Elève (5ème4)'!JW7:JZ7,"C"))*2)+((COUNTIF('Elève (5ème4)'!JW7:JZ7,"D"))*1))/(COUNTA(JW7:JZ7)),"")</f>
        <v/>
      </c>
      <c r="KB7" s="183" t="str">
        <f t="shared" si="62"/>
        <v/>
      </c>
      <c r="KC7" s="182" t="str">
        <f>IF(COUNT(JP7,JU7,KA7)=0,"",SUM(JP7,JU7,KA7)/COUNT(JP7,JU7,KA7))</f>
        <v/>
      </c>
      <c r="KD7" s="206" t="str">
        <f t="shared" si="63"/>
        <v/>
      </c>
      <c r="KE7" s="122"/>
      <c r="KF7" s="123"/>
      <c r="KG7" s="124"/>
      <c r="KH7" s="182" t="str">
        <f>IFERROR((((COUNTIF('Elève (5ème4)'!KE7:KG7,"A"))*4)+((COUNTIF('Elève (5ème4)'!KE7:KG7,"B"))*3)+((COUNTIF('Elève (5ème4)'!KE7:KG7,"C"))*2)+((COUNTIF('Elève (5ème4)'!KE7:KG7,"D"))*1))/(COUNTA(KE7:KG7)),"")</f>
        <v/>
      </c>
      <c r="KI7" s="183" t="str">
        <f t="shared" si="64"/>
        <v/>
      </c>
      <c r="KJ7" s="122"/>
      <c r="KK7" s="123"/>
      <c r="KL7" s="124"/>
      <c r="KM7" s="182" t="str">
        <f>IFERROR((((COUNTIF('Elève (5ème4)'!KJ7:KL7,"A"))*4)+((COUNTIF('Elève (5ème4)'!KJ7:KL7,"B"))*3)+((COUNTIF('Elève (5ème4)'!KJ7:KL7,"C"))*2)+((COUNTIF('Elève (5ème4)'!KJ7:KL7,"D"))*1))/(COUNTA(KJ7:KL7)),"")</f>
        <v/>
      </c>
      <c r="KN7" s="183" t="str">
        <f t="shared" si="65"/>
        <v/>
      </c>
      <c r="KO7" s="122"/>
      <c r="KP7" s="123"/>
      <c r="KQ7" s="124"/>
      <c r="KR7" s="128"/>
      <c r="KS7" s="182" t="str">
        <f>IFERROR((((COUNTIF('Elève (5ème4)'!KO7:KR7,"A"))*4)+((COUNTIF('Elève (5ème4)'!KO7:KR7,"B"))*3)+((COUNTIF('Elève (5ème4)'!KO7:KR7,"C"))*2)+((COUNTIF('Elève (5ème4)'!KO7:KR7,"D"))*1))/(COUNTA(KO7:KR7)),"")</f>
        <v/>
      </c>
      <c r="KT7" s="183" t="str">
        <f t="shared" si="66"/>
        <v/>
      </c>
      <c r="KU7" s="182" t="str">
        <f>IF(COUNT(KH7,KM7,KS7)=0,"",SUM(KH7,KM7,KS7)/COUNT(KH7,KM7,KS7))</f>
        <v/>
      </c>
      <c r="KV7" s="206" t="str">
        <f t="shared" si="67"/>
        <v/>
      </c>
      <c r="KW7" s="122"/>
      <c r="KX7" s="123"/>
      <c r="KY7" s="124"/>
      <c r="KZ7" s="182" t="str">
        <f>IFERROR((((COUNTIF('Elève (5ème4)'!KW7:KY7,"A"))*4)+((COUNTIF('Elève (5ème4)'!KW7:KY7,"B"))*3)+((COUNTIF('Elève (5ème4)'!KW7:KY7,"C"))*2)+((COUNTIF('Elève (5ème4)'!KW7:KY7,"D"))*1))/(COUNTA(KW7:KY7)),"")</f>
        <v/>
      </c>
      <c r="LA7" s="183" t="str">
        <f t="shared" si="68"/>
        <v/>
      </c>
      <c r="LB7" s="122"/>
      <c r="LC7" s="123"/>
      <c r="LD7" s="124"/>
      <c r="LE7" s="182" t="str">
        <f>IFERROR((((COUNTIF('Elève (5ème4)'!LB7:LD7,"A"))*4)+((COUNTIF('Elève (5ème4)'!LB7:LD7,"B"))*3)+((COUNTIF('Elève (5ème4)'!LB7:LD7,"C"))*2)+((COUNTIF('Elève (5ème4)'!LB7:LD7,"D"))*1))/(COUNTA(LB7:LD7)),"")</f>
        <v/>
      </c>
      <c r="LF7" s="183" t="str">
        <f t="shared" si="69"/>
        <v/>
      </c>
      <c r="LG7" s="122"/>
      <c r="LH7" s="123"/>
      <c r="LI7" s="124"/>
      <c r="LJ7" s="128"/>
      <c r="LK7" s="182" t="str">
        <f>IFERROR((((COUNTIF('Elève (5ème4)'!LG7:LJ7,"A"))*4)+((COUNTIF('Elève (5ème4)'!LG7:LJ7,"B"))*3)+((COUNTIF('Elève (5ème4)'!LG7:LJ7,"C"))*2)+((COUNTIF('Elève (5ème4)'!LG7:LJ7,"D"))*1))/(COUNTA(LG7:LJ7)),"")</f>
        <v/>
      </c>
      <c r="LL7" s="183" t="str">
        <f t="shared" si="70"/>
        <v/>
      </c>
      <c r="LM7" s="182" t="str">
        <f>IF(COUNT(KZ7,LE7,LK7)=0,"",SUM(KZ7,LE7,LK7)/COUNT(KZ7,LE7,LK7))</f>
        <v/>
      </c>
      <c r="LN7" s="206" t="str">
        <f t="shared" si="71"/>
        <v/>
      </c>
      <c r="LO7" s="122"/>
      <c r="LP7" s="123"/>
      <c r="LQ7" s="124"/>
      <c r="LR7" s="182" t="str">
        <f>IFERROR((((COUNTIF('Elève (5ème4)'!LO7:LQ7,"A"))*4)+((COUNTIF('Elève (5ème4)'!LO7:LQ7,"B"))*3)+((COUNTIF('Elève (5ème4)'!LO7:LQ7,"C"))*2)+((COUNTIF('Elève (5ème4)'!LO7:LQ7,"D"))*1))/(COUNTA(LO7:LQ7)),"")</f>
        <v/>
      </c>
      <c r="LS7" s="183" t="str">
        <f t="shared" si="72"/>
        <v/>
      </c>
      <c r="LT7" s="122"/>
      <c r="LU7" s="123"/>
      <c r="LV7" s="124"/>
      <c r="LW7" s="182" t="str">
        <f>IFERROR((((COUNTIF('Elève (5ème4)'!LT7:LV7,"A"))*4)+((COUNTIF('Elève (5ème4)'!LT7:LV7,"B"))*3)+((COUNTIF('Elève (5ème4)'!LT7:LV7,"C"))*2)+((COUNTIF('Elève (5ème4)'!LT7:LV7,"D"))*1))/(COUNTA(LT7:LV7)),"")</f>
        <v/>
      </c>
      <c r="LX7" s="183" t="str">
        <f t="shared" si="73"/>
        <v/>
      </c>
      <c r="LY7" s="122"/>
      <c r="LZ7" s="123"/>
      <c r="MA7" s="124"/>
      <c r="MB7" s="128"/>
      <c r="MC7" s="182" t="str">
        <f>IFERROR((((COUNTIF('Elève (5ème4)'!LY7:MB7,"A"))*4)+((COUNTIF('Elève (5ème4)'!LY7:MB7,"B"))*3)+((COUNTIF('Elève (5ème4)'!LY7:MB7,"C"))*2)+((COUNTIF('Elève (5ème4)'!LY7:MB7,"D"))*1))/(COUNTA(LY7:MB7)),"")</f>
        <v/>
      </c>
      <c r="MD7" s="183" t="str">
        <f t="shared" si="74"/>
        <v/>
      </c>
      <c r="ME7" s="182" t="str">
        <f>IF(COUNT(LR7,LW7,MC7)=0,"",SUM(LR7,LW7,MC7)/COUNT(LR7,LW7,MC7))</f>
        <v/>
      </c>
      <c r="MF7" s="206" t="str">
        <f t="shared" si="75"/>
        <v/>
      </c>
      <c r="MG7" s="122"/>
      <c r="MH7" s="123"/>
      <c r="MI7" s="124"/>
      <c r="MJ7" s="182" t="str">
        <f>IFERROR((((COUNTIF('Elève (5ème4)'!MG7:MI7,"A"))*4)+((COUNTIF('Elève (5ème4)'!MG7:MI7,"B"))*3)+((COUNTIF('Elève (5ème4)'!MG7:MI7,"C"))*2)+((COUNTIF('Elève (5ème4)'!MG7:MI7,"D"))*1))/(COUNTA(MG7:MI7)),"")</f>
        <v/>
      </c>
      <c r="MK7" s="183" t="str">
        <f t="shared" si="76"/>
        <v/>
      </c>
      <c r="ML7" s="122"/>
      <c r="MM7" s="123"/>
      <c r="MN7" s="124"/>
      <c r="MO7" s="182" t="str">
        <f>IFERROR((((COUNTIF('Elève (5ème4)'!ML7:MN7,"A"))*4)+((COUNTIF('Elève (5ème4)'!ML7:MN7,"B"))*3)+((COUNTIF('Elève (5ème4)'!ML7:MN7,"C"))*2)+((COUNTIF('Elève (5ème4)'!ML7:MN7,"D"))*1))/(COUNTA(ML7:MN7)),"")</f>
        <v/>
      </c>
      <c r="MP7" s="183" t="str">
        <f t="shared" si="77"/>
        <v/>
      </c>
      <c r="MQ7" s="122"/>
      <c r="MR7" s="123"/>
      <c r="MS7" s="124"/>
      <c r="MT7" s="128"/>
      <c r="MU7" s="182" t="str">
        <f>IFERROR((((COUNTIF('Elève (5ème4)'!MQ7:MT7,"A"))*4)+((COUNTIF('Elève (5ème4)'!MQ7:MT7,"B"))*3)+((COUNTIF('Elève (5ème4)'!MQ7:MT7,"C"))*2)+((COUNTIF('Elève (5ème4)'!MQ7:MT7,"D"))*1))/(COUNTA(MQ7:MT7)),"")</f>
        <v/>
      </c>
      <c r="MV7" s="183" t="str">
        <f t="shared" si="78"/>
        <v/>
      </c>
      <c r="MW7" s="182" t="str">
        <f>IF(COUNT(MJ7,MO7,MU7)=0,"",SUM(MJ7,MO7,MU7)/COUNT(MJ7,MO7,MU7))</f>
        <v/>
      </c>
      <c r="MX7" s="206" t="str">
        <f t="shared" si="79"/>
        <v/>
      </c>
      <c r="MY7" s="122"/>
      <c r="MZ7" s="123"/>
      <c r="NA7" s="124"/>
      <c r="NB7" s="182" t="str">
        <f>IFERROR((((COUNTIF('Elève (5ème4)'!MY7:NA7,"A"))*4)+((COUNTIF('Elève (5ème4)'!MY7:NA7,"B"))*3)+((COUNTIF('Elève (5ème4)'!MY7:NA7,"C"))*2)+((COUNTIF('Elève (5ème4)'!MY7:NA7,"D"))*1))/(COUNTA(MY7:NA7)),"")</f>
        <v/>
      </c>
      <c r="NC7" s="183" t="str">
        <f t="shared" si="80"/>
        <v/>
      </c>
      <c r="ND7" s="122"/>
      <c r="NE7" s="123"/>
      <c r="NF7" s="124"/>
      <c r="NG7" s="182" t="str">
        <f>IFERROR((((COUNTIF('Elève (5ème4)'!ND7:NF7,"A"))*4)+((COUNTIF('Elève (5ème4)'!ND7:NF7,"B"))*3)+((COUNTIF('Elève (5ème4)'!ND7:NF7,"C"))*2)+((COUNTIF('Elève (5ème4)'!ND7:NF7,"D"))*1))/(COUNTA(ND7:NF7)),"")</f>
        <v/>
      </c>
      <c r="NH7" s="183" t="str">
        <f t="shared" si="81"/>
        <v/>
      </c>
      <c r="NI7" s="122"/>
      <c r="NJ7" s="123"/>
      <c r="NK7" s="124"/>
      <c r="NL7" s="128"/>
      <c r="NM7" s="182" t="str">
        <f>IFERROR((((COUNTIF('Elève (5ème4)'!NI7:NL7,"A"))*4)+((COUNTIF('Elève (5ème4)'!NI7:NL7,"B"))*3)+((COUNTIF('Elève (5ème4)'!NI7:NL7,"C"))*2)+((COUNTIF('Elève (5ème4)'!NI7:NL7,"D"))*1))/(COUNTA(NI7:NL7)),"")</f>
        <v/>
      </c>
      <c r="NN7" s="183" t="str">
        <f t="shared" si="82"/>
        <v/>
      </c>
      <c r="NO7" s="182" t="str">
        <f>IF(COUNT(NB7,NG7,NM7)=0,"",SUM(NB7,NG7,NM7)/COUNT(NB7,NG7,NM7))</f>
        <v/>
      </c>
      <c r="NP7" s="206" t="str">
        <f t="shared" si="83"/>
        <v/>
      </c>
      <c r="NQ7" s="122"/>
      <c r="NR7" s="123"/>
      <c r="NS7" s="124"/>
      <c r="NT7" s="182" t="str">
        <f>IFERROR((((COUNTIF('Elève (5ème4)'!NQ7:NS7,"A"))*4)+((COUNTIF('Elève (5ème4)'!NQ7:NS7,"B"))*3)+((COUNTIF('Elève (5ème4)'!NQ7:NS7,"C"))*2)+((COUNTIF('Elève (5ème4)'!NQ7:NS7,"D"))*1))/(COUNTA(NQ7:NS7)),"")</f>
        <v/>
      </c>
      <c r="NU7" s="183" t="str">
        <f t="shared" si="84"/>
        <v/>
      </c>
      <c r="NV7" s="122"/>
      <c r="NW7" s="123"/>
      <c r="NX7" s="124"/>
      <c r="NY7" s="182" t="str">
        <f>IFERROR((((COUNTIF('Elève (5ème4)'!NV7:NX7,"A"))*4)+((COUNTIF('Elève (5ème4)'!NV7:NX7,"B"))*3)+((COUNTIF('Elève (5ème4)'!NV7:NX7,"C"))*2)+((COUNTIF('Elève (5ème4)'!NV7:NX7,"D"))*1))/(COUNTA(NV7:NX7)),"")</f>
        <v/>
      </c>
      <c r="NZ7" s="183" t="str">
        <f t="shared" si="85"/>
        <v/>
      </c>
      <c r="OA7" s="122"/>
      <c r="OB7" s="123"/>
      <c r="OC7" s="124"/>
      <c r="OD7" s="128"/>
      <c r="OE7" s="182" t="str">
        <f>IFERROR((((COUNTIF('Elève (5ème4)'!OA7:OD7,"A"))*4)+((COUNTIF('Elève (5ème4)'!OA7:OD7,"B"))*3)+((COUNTIF('Elève (5ème4)'!OA7:OD7,"C"))*2)+((COUNTIF('Elève (5ème4)'!OA7:OD7,"D"))*1))/(COUNTA(OA7:OD7)),"")</f>
        <v/>
      </c>
      <c r="OF7" s="183" t="str">
        <f t="shared" si="86"/>
        <v/>
      </c>
      <c r="OG7" s="182" t="str">
        <f>IF(COUNT(NT7,NY7,OE7)=0,"",SUM(NT7,NY7,OE7)/COUNT(NT7,NY7,OE7))</f>
        <v/>
      </c>
      <c r="OH7" s="206" t="str">
        <f t="shared" si="87"/>
        <v/>
      </c>
      <c r="OI7" s="122"/>
      <c r="OJ7" s="123"/>
      <c r="OK7" s="124"/>
      <c r="OL7" s="182" t="str">
        <f>IFERROR((((COUNTIF('Elève (5ème4)'!OI7:OK7,"A"))*4)+((COUNTIF('Elève (5ème4)'!OI7:OK7,"B"))*3)+((COUNTIF('Elève (5ème4)'!OI7:OK7,"C"))*2)+((COUNTIF('Elève (5ème4)'!OI7:OK7,"D"))*1))/(COUNTA(OI7:OK7)),"")</f>
        <v/>
      </c>
      <c r="OM7" s="183" t="str">
        <f t="shared" si="88"/>
        <v/>
      </c>
      <c r="ON7" s="122"/>
      <c r="OO7" s="123"/>
      <c r="OP7" s="124"/>
      <c r="OQ7" s="182" t="str">
        <f>IFERROR((((COUNTIF('Elève (5ème4)'!ON7:OP7,"A"))*4)+((COUNTIF('Elève (5ème4)'!ON7:OP7,"B"))*3)+((COUNTIF('Elève (5ème4)'!ON7:OP7,"C"))*2)+((COUNTIF('Elève (5ème4)'!ON7:OP7,"D"))*1))/(COUNTA(ON7:OP7)),"")</f>
        <v/>
      </c>
      <c r="OR7" s="183" t="str">
        <f t="shared" si="89"/>
        <v/>
      </c>
      <c r="OS7" s="122"/>
      <c r="OT7" s="123"/>
      <c r="OU7" s="124"/>
      <c r="OV7" s="128"/>
      <c r="OW7" s="182" t="str">
        <f>IFERROR((((COUNTIF('Elève (5ème4)'!OS7:OV7,"A"))*4)+((COUNTIF('Elève (5ème4)'!OS7:OV7,"B"))*3)+((COUNTIF('Elève (5ème4)'!OS7:OV7,"C"))*2)+((COUNTIF('Elève (5ème4)'!OS7:OV7,"D"))*1))/(COUNTA(OS7:OV7)),"")</f>
        <v/>
      </c>
      <c r="OX7" s="183" t="str">
        <f t="shared" si="90"/>
        <v/>
      </c>
      <c r="OY7" s="182" t="str">
        <f>IF(COUNT(OL7,OQ7,OW7)=0,"",SUM(OL7,OQ7,OW7)/COUNT(OL7,OQ7,OW7))</f>
        <v/>
      </c>
      <c r="OZ7" s="206" t="str">
        <f t="shared" si="91"/>
        <v/>
      </c>
      <c r="PA7" s="122"/>
      <c r="PB7" s="123"/>
      <c r="PC7" s="124"/>
      <c r="PD7" s="182" t="str">
        <f>IFERROR((((COUNTIF('Elève (5ème4)'!PA7:PC7,"A"))*4)+((COUNTIF('Elève (5ème4)'!PA7:PC7,"B"))*3)+((COUNTIF('Elève (5ème4)'!PA7:PC7,"C"))*2)+((COUNTIF('Elève (5ème4)'!PA7:PC7,"D"))*1))/(COUNTA(PA7:PC7)),"")</f>
        <v/>
      </c>
      <c r="PE7" s="183" t="str">
        <f t="shared" si="92"/>
        <v/>
      </c>
      <c r="PF7" s="122"/>
      <c r="PG7" s="123"/>
      <c r="PH7" s="124"/>
      <c r="PI7" s="182" t="str">
        <f>IFERROR((((COUNTIF('Elève (5ème4)'!PF7:PH7,"A"))*4)+((COUNTIF('Elève (5ème4)'!PF7:PH7,"B"))*3)+((COUNTIF('Elève (5ème4)'!PF7:PH7,"C"))*2)+((COUNTIF('Elève (5ème4)'!PF7:PH7,"D"))*1))/(COUNTA(PF7:PH7)),"")</f>
        <v/>
      </c>
      <c r="PJ7" s="183" t="str">
        <f t="shared" si="93"/>
        <v/>
      </c>
      <c r="PK7" s="122"/>
      <c r="PL7" s="123"/>
      <c r="PM7" s="124"/>
      <c r="PN7" s="128"/>
      <c r="PO7" s="182" t="str">
        <f>IFERROR((((COUNTIF('Elève (5ème4)'!PK7:PN7,"A"))*4)+((COUNTIF('Elève (5ème4)'!PK7:PN7,"B"))*3)+((COUNTIF('Elève (5ème4)'!PK7:PN7,"C"))*2)+((COUNTIF('Elève (5ème4)'!PK7:PN7,"D"))*1))/(COUNTA(PK7:PN7)),"")</f>
        <v/>
      </c>
      <c r="PP7" s="183" t="str">
        <f t="shared" si="94"/>
        <v/>
      </c>
      <c r="PQ7" s="182" t="str">
        <f>IF(COUNT(PD7,PI7,PO7)=0,"",SUM(PD7,PI7,PO7)/COUNT(PD7,PI7,PO7))</f>
        <v/>
      </c>
      <c r="PR7" s="206" t="str">
        <f t="shared" si="95"/>
        <v/>
      </c>
      <c r="PS7" s="122"/>
      <c r="PT7" s="123"/>
      <c r="PU7" s="124"/>
      <c r="PV7" s="182" t="str">
        <f>IFERROR((((COUNTIF('Elève (5ème4)'!PS7:PU7,"A"))*4)+((COUNTIF('Elève (5ème4)'!PS7:PU7,"B"))*3)+((COUNTIF('Elève (5ème4)'!PS7:PU7,"C"))*2)+((COUNTIF('Elève (5ème4)'!PS7:PU7,"D"))*1))/(COUNTA(PS7:PU7)),"")</f>
        <v/>
      </c>
      <c r="PW7" s="183" t="str">
        <f t="shared" si="96"/>
        <v/>
      </c>
      <c r="PX7" s="122"/>
      <c r="PY7" s="123"/>
      <c r="PZ7" s="124"/>
      <c r="QA7" s="182" t="str">
        <f>IFERROR((((COUNTIF('Elève (5ème4)'!PX7:PZ7,"A"))*4)+((COUNTIF('Elève (5ème4)'!PX7:PZ7,"B"))*3)+((COUNTIF('Elève (5ème4)'!PX7:PZ7,"C"))*2)+((COUNTIF('Elève (5ème4)'!PX7:PZ7,"D"))*1))/(COUNTA(PX7:PZ7)),"")</f>
        <v/>
      </c>
      <c r="QB7" s="183" t="str">
        <f t="shared" si="97"/>
        <v/>
      </c>
      <c r="QC7" s="122"/>
      <c r="QD7" s="123"/>
      <c r="QE7" s="124"/>
      <c r="QF7" s="128"/>
      <c r="QG7" s="182" t="str">
        <f>IFERROR((((COUNTIF('Elève (5ème4)'!QC7:QF7,"A"))*4)+((COUNTIF('Elève (5ème4)'!QC7:QF7,"B"))*3)+((COUNTIF('Elève (5ème4)'!QC7:QF7,"C"))*2)+((COUNTIF('Elève (5ème4)'!QC7:QF7,"D"))*1))/(COUNTA(QC7:QF7)),"")</f>
        <v/>
      </c>
      <c r="QH7" s="183" t="str">
        <f t="shared" si="98"/>
        <v/>
      </c>
      <c r="QI7" s="182" t="str">
        <f>IF(COUNT(PV7,QA7,QG7)=0,"",SUM(PV7,QA7,QG7)/COUNT(PV7,QA7,QG7))</f>
        <v/>
      </c>
      <c r="QJ7" s="206" t="str">
        <f t="shared" si="99"/>
        <v/>
      </c>
      <c r="QK7" s="122"/>
      <c r="QL7" s="123"/>
      <c r="QM7" s="124"/>
      <c r="QN7" s="182" t="str">
        <f>IFERROR((((COUNTIF('Elève (5ème4)'!QK7:QM7,"A"))*4)+((COUNTIF('Elève (5ème4)'!QK7:QM7,"B"))*3)+((COUNTIF('Elève (5ème4)'!QK7:QM7,"C"))*2)+((COUNTIF('Elève (5ème4)'!QK7:QM7,"D"))*1))/(COUNTA(QK7:QM7)),"")</f>
        <v/>
      </c>
      <c r="QO7" s="183" t="str">
        <f t="shared" si="100"/>
        <v/>
      </c>
      <c r="QP7" s="122"/>
      <c r="QQ7" s="123"/>
      <c r="QR7" s="124"/>
      <c r="QS7" s="182" t="str">
        <f>IFERROR((((COUNTIF('Elève (5ème4)'!QP7:QR7,"A"))*4)+((COUNTIF('Elève (5ème4)'!QP7:QR7,"B"))*3)+((COUNTIF('Elève (5ème4)'!QP7:QR7,"C"))*2)+((COUNTIF('Elève (5ème4)'!QP7:QR7,"D"))*1))/(COUNTA(QP7:QR7)),"")</f>
        <v/>
      </c>
      <c r="QT7" s="183" t="str">
        <f t="shared" si="101"/>
        <v/>
      </c>
      <c r="QU7" s="122"/>
      <c r="QV7" s="123"/>
      <c r="QW7" s="124"/>
      <c r="QX7" s="128"/>
      <c r="QY7" s="182" t="str">
        <f>IFERROR((((COUNTIF('Elève (5ème4)'!QU7:QX7,"A"))*4)+((COUNTIF('Elève (5ème4)'!QU7:QX7,"B"))*3)+((COUNTIF('Elève (5ème4)'!QU7:QX7,"C"))*2)+((COUNTIF('Elève (5ème4)'!QU7:QX7,"D"))*1))/(COUNTA(QU7:QX7)),"")</f>
        <v/>
      </c>
      <c r="QZ7" s="183" t="str">
        <f t="shared" si="102"/>
        <v/>
      </c>
      <c r="RA7" s="182" t="str">
        <f>IF(COUNT(QN7,QS7,QY7)=0,"",SUM(QN7,QS7,QY7)/COUNT(QN7,QS7,QY7))</f>
        <v/>
      </c>
      <c r="RB7" s="206" t="str">
        <f t="shared" si="103"/>
        <v/>
      </c>
      <c r="RC7" s="122"/>
      <c r="RD7" s="123"/>
      <c r="RE7" s="124"/>
      <c r="RF7" s="182" t="str">
        <f>IFERROR((((COUNTIF('Elève (5ème4)'!RC7:RE7,"A"))*4)+((COUNTIF('Elève (5ème4)'!RC7:RE7,"B"))*3)+((COUNTIF('Elève (5ème4)'!RC7:RE7,"C"))*2)+((COUNTIF('Elève (5ème4)'!RC7:RE7,"D"))*1))/(COUNTA(RC7:RE7)),"")</f>
        <v/>
      </c>
      <c r="RG7" s="183" t="str">
        <f t="shared" si="104"/>
        <v/>
      </c>
      <c r="RH7" s="122"/>
      <c r="RI7" s="123"/>
      <c r="RJ7" s="124"/>
      <c r="RK7" s="182" t="str">
        <f>IFERROR((((COUNTIF('Elève (5ème4)'!RH7:RJ7,"A"))*4)+((COUNTIF('Elève (5ème4)'!RH7:RJ7,"B"))*3)+((COUNTIF('Elève (5ème4)'!RH7:RJ7,"C"))*2)+((COUNTIF('Elève (5ème4)'!RH7:RJ7,"D"))*1))/(COUNTA(RH7:RJ7)),"")</f>
        <v/>
      </c>
      <c r="RL7" s="183" t="str">
        <f t="shared" si="105"/>
        <v/>
      </c>
      <c r="RM7" s="122"/>
      <c r="RN7" s="123"/>
      <c r="RO7" s="124"/>
      <c r="RP7" s="128"/>
      <c r="RQ7" s="182" t="str">
        <f>IFERROR((((COUNTIF('Elève (5ème4)'!RM7:RP7,"A"))*4)+((COUNTIF('Elève (5ème4)'!RM7:RP7,"B"))*3)+((COUNTIF('Elève (5ème4)'!RM7:RP7,"C"))*2)+((COUNTIF('Elève (5ème4)'!RM7:RP7,"D"))*1))/(COUNTA(RM7:RP7)),"")</f>
        <v/>
      </c>
      <c r="RR7" s="183" t="str">
        <f t="shared" si="106"/>
        <v/>
      </c>
      <c r="RS7" s="182" t="str">
        <f>IF(COUNT(RF7,RK7,RQ7)=0,"",SUM(RF7,RK7,RQ7)/COUNT(RF7,RK7,RQ7))</f>
        <v/>
      </c>
      <c r="RT7" s="206" t="str">
        <f t="shared" si="107"/>
        <v/>
      </c>
      <c r="RU7" s="122"/>
      <c r="RV7" s="123"/>
      <c r="RW7" s="124"/>
      <c r="RX7" s="182" t="str">
        <f>IFERROR((((COUNTIF('Elève (5ème4)'!RU7:RW7,"A"))*4)+((COUNTIF('Elève (5ème4)'!RU7:RW7,"B"))*3)+((COUNTIF('Elève (5ème4)'!RU7:RW7,"C"))*2)+((COUNTIF('Elève (5ème4)'!RU7:RW7,"D"))*1))/(COUNTA(RU7:RW7)),"")</f>
        <v/>
      </c>
      <c r="RY7" s="183" t="str">
        <f t="shared" si="108"/>
        <v/>
      </c>
      <c r="RZ7" s="122"/>
      <c r="SA7" s="123"/>
      <c r="SB7" s="124"/>
      <c r="SC7" s="182" t="str">
        <f>IFERROR((((COUNTIF('Elève (5ème4)'!RZ7:SB7,"A"))*4)+((COUNTIF('Elève (5ème4)'!RZ7:SB7,"B"))*3)+((COUNTIF('Elève (5ème4)'!RZ7:SB7,"C"))*2)+((COUNTIF('Elève (5ème4)'!RZ7:SB7,"D"))*1))/(COUNTA(RZ7:SB7)),"")</f>
        <v/>
      </c>
      <c r="SD7" s="183" t="str">
        <f t="shared" si="109"/>
        <v/>
      </c>
      <c r="SE7" s="122"/>
      <c r="SF7" s="123"/>
      <c r="SG7" s="124"/>
      <c r="SH7" s="128"/>
      <c r="SI7" s="182" t="str">
        <f>IFERROR((((COUNTIF('Elève (5ème4)'!SE7:SH7,"A"))*4)+((COUNTIF('Elève (5ème4)'!SE7:SH7,"B"))*3)+((COUNTIF('Elève (5ème4)'!SE7:SH7,"C"))*2)+((COUNTIF('Elève (5ème4)'!SE7:SH7,"D"))*1))/(COUNTA(SE7:SH7)),"")</f>
        <v/>
      </c>
      <c r="SJ7" s="183" t="str">
        <f t="shared" si="110"/>
        <v/>
      </c>
      <c r="SK7" s="182" t="str">
        <f>IF(COUNT(RX7,SC7,SI7)=0,"",SUM(RX7,SC7,SI7)/COUNT(RX7,SC7,SI7))</f>
        <v/>
      </c>
      <c r="SL7" s="206" t="str">
        <f t="shared" si="111"/>
        <v/>
      </c>
      <c r="SM7" s="122"/>
      <c r="SN7" s="123"/>
      <c r="SO7" s="124"/>
      <c r="SP7" s="125" t="str">
        <f>IFERROR((((COUNTIF('Elève (5ème4)'!SM7:SO7,"A"))*4)+((COUNTIF('Elève (5ème4)'!SM7:SO7,"B"))*3)+((COUNTIF('Elève (5ème4)'!SM7:SO7,"C"))*2)+((COUNTIF('Elève (5ème4)'!SM7:SO7,"D"))*1))/(COUNTA(SM7:SO7)),"")</f>
        <v/>
      </c>
      <c r="SQ7" s="126" t="str">
        <f t="shared" si="112"/>
        <v/>
      </c>
      <c r="SR7" s="122"/>
      <c r="SS7" s="123"/>
      <c r="ST7" s="124"/>
      <c r="SU7" s="125" t="str">
        <f>IFERROR((((COUNTIF('Elève (5ème4)'!SR7:ST7,"A"))*4)+((COUNTIF('Elève (5ème4)'!SR7:ST7,"B"))*3)+((COUNTIF('Elève (5ème4)'!SR7:ST7,"C"))*2)+((COUNTIF('Elève (5ème4)'!SR7:ST7,"D"))*1))/(COUNTA(SR7:ST7)),"")</f>
        <v/>
      </c>
      <c r="SV7" s="126" t="str">
        <f t="shared" si="113"/>
        <v/>
      </c>
      <c r="SW7" s="122"/>
      <c r="SX7" s="123"/>
      <c r="SY7" s="128"/>
      <c r="SZ7" s="125" t="str">
        <f>IFERROR((((COUNTIF('Elève (5ème4)'!SW7:SY7,"A"))*4)+((COUNTIF('Elève (5ème4)'!SW7:SY7,"B"))*3)+((COUNTIF('Elève (5ème4)'!SW7:SY7,"C"))*2)+((COUNTIF('Elève (5ème4)'!SW7:SY7,"D"))*1))/(COUNTA(SW7:SY7)),"")</f>
        <v/>
      </c>
      <c r="TA7" s="126" t="str">
        <f t="shared" si="114"/>
        <v/>
      </c>
      <c r="TB7" s="125" t="str">
        <f>IF(COUNT(SP7,SU7,SZ7)=0,"",SUM(SP7,SU7,SZ7)/COUNT(SP7,SU7,SZ7))</f>
        <v/>
      </c>
      <c r="TC7" s="127" t="str">
        <f t="shared" si="115"/>
        <v/>
      </c>
      <c r="TD7" s="122"/>
      <c r="TE7" s="123"/>
      <c r="TF7" s="124"/>
      <c r="TG7" s="125" t="str">
        <f>IFERROR((((COUNTIF('Elève (5ème4)'!TD7:TF7,"A"))*4)+((COUNTIF('Elève (5ème4)'!TD7:TF7,"B"))*3)+((COUNTIF('Elève (5ème4)'!TD7:TF7,"C"))*2)+((COUNTIF('Elève (5ème4)'!TD7:TF7,"D"))*1))/(COUNTA(TD7:TF7)),"")</f>
        <v/>
      </c>
      <c r="TH7" s="126" t="str">
        <f t="shared" si="116"/>
        <v/>
      </c>
      <c r="TI7" s="122"/>
      <c r="TJ7" s="123"/>
      <c r="TK7" s="124"/>
      <c r="TL7" s="125" t="str">
        <f>IFERROR((((COUNTIF('Elève (5ème4)'!TI7:TK7,"A"))*4)+((COUNTIF('Elève (5ème4)'!TI7:TK7,"B"))*3)+((COUNTIF('Elève (5ème4)'!TI7:TK7,"C"))*2)+((COUNTIF('Elève (5ème4)'!TI7:TK7,"D"))*1))/(COUNTA(TI7:TK7)),"")</f>
        <v/>
      </c>
      <c r="TM7" s="126" t="str">
        <f t="shared" si="117"/>
        <v/>
      </c>
      <c r="TN7" s="122"/>
      <c r="TO7" s="123"/>
      <c r="TP7" s="128"/>
      <c r="TQ7" s="125" t="str">
        <f>IFERROR((((COUNTIF('Elève (5ème4)'!TN7:TP7,"A"))*4)+((COUNTIF('Elève (5ème4)'!TN7:TP7,"B"))*3)+((COUNTIF('Elève (5ème4)'!TN7:TP7,"C"))*2)+((COUNTIF('Elève (5ème4)'!TN7:TP7,"D"))*1))/(COUNTA(TN7:TP7)),"")</f>
        <v/>
      </c>
      <c r="TR7" s="126" t="str">
        <f t="shared" si="118"/>
        <v/>
      </c>
      <c r="TS7" s="125" t="str">
        <f>IF(COUNT(TG7,TL7,TQ7)=0,"",SUM(TG7,TL7,TQ7)/COUNT(TG7,TL7,TQ7))</f>
        <v/>
      </c>
      <c r="TT7" s="127" t="str">
        <f t="shared" si="119"/>
        <v/>
      </c>
    </row>
    <row r="8" spans="1:540" ht="18" customHeight="1" x14ac:dyDescent="0.25">
      <c r="A8" s="236" t="s">
        <v>15</v>
      </c>
      <c r="B8" s="237"/>
      <c r="C8" s="122" t="s">
        <v>27</v>
      </c>
      <c r="D8" s="123" t="s">
        <v>29</v>
      </c>
      <c r="E8" s="124"/>
      <c r="F8" s="182">
        <f>IFERROR((((COUNTIF('Elève (5ème4)'!C8:E8,"A"))*4)+((COUNTIF('Elève (5ème4)'!C8:E8,"B"))*3)+((COUNTIF('Elève (5ème4)'!C8:E8,"C"))*2)+((COUNTIF('Elève (5ème4)'!C8:E8,"D"))*1))/(COUNTA(C8:E8)),"")</f>
        <v>3</v>
      </c>
      <c r="G8" s="183" t="str">
        <f t="shared" si="0"/>
        <v>B</v>
      </c>
      <c r="H8" s="122"/>
      <c r="I8" s="123"/>
      <c r="J8" s="124" t="s">
        <v>27</v>
      </c>
      <c r="K8" s="182">
        <f>IFERROR((((COUNTIF('Elève (5ème4)'!H8:J8,"A"))*4)+((COUNTIF('Elève (5ème4)'!H8:J8,"B"))*3)+((COUNTIF('Elève (5ème4)'!H8:J8,"C"))*2)+((COUNTIF('Elève (5ème4)'!H8:J8,"D"))*1))/(COUNTA(H8:J8)),"")</f>
        <v>4</v>
      </c>
      <c r="L8" s="183" t="str">
        <f t="shared" si="1"/>
        <v>A</v>
      </c>
      <c r="M8" s="122" t="s">
        <v>28</v>
      </c>
      <c r="N8" s="123"/>
      <c r="O8" s="124" t="s">
        <v>28</v>
      </c>
      <c r="P8" s="124"/>
      <c r="Q8" s="182">
        <f>IFERROR((((COUNTIF('Elève (5ème4)'!M8:P8,"A"))*4)+((COUNTIF('Elève (5ème4)'!M8:P8,"B"))*3)+((COUNTIF('Elève (5ème4)'!M8:P8,"C"))*2)+((COUNTIF('Elève (5ème4)'!M8:P8,"D"))*1))/(COUNTA(M8:P8)),"")</f>
        <v>3</v>
      </c>
      <c r="R8" s="183" t="str">
        <f t="shared" si="2"/>
        <v>B</v>
      </c>
      <c r="S8" s="182">
        <f>IF(COUNT(F8,K8,Q8)=0,"",SUM(F8,K8,Q8)/COUNT(F8,K8,Q8))</f>
        <v>3.3333333333333335</v>
      </c>
      <c r="T8" s="206" t="str">
        <f t="shared" si="3"/>
        <v>B</v>
      </c>
      <c r="U8" s="122" t="s">
        <v>27</v>
      </c>
      <c r="V8" s="123" t="s">
        <v>28</v>
      </c>
      <c r="W8" s="124"/>
      <c r="X8" s="182">
        <f>IFERROR((((COUNTIF('Elève (5ème4)'!U8:W8,"A"))*4)+((COUNTIF('Elève (5ème4)'!U8:W8,"B"))*3)+((COUNTIF('Elève (5ème4)'!U8:W8,"C"))*2)+((COUNTIF('Elève (5ème4)'!U8:W8,"D"))*1))/(COUNTA(U8:W8)),"")</f>
        <v>3.5</v>
      </c>
      <c r="Y8" s="183" t="str">
        <f t="shared" si="4"/>
        <v>B</v>
      </c>
      <c r="Z8" s="122"/>
      <c r="AA8" s="123"/>
      <c r="AB8" s="124"/>
      <c r="AC8" s="182" t="str">
        <f>IFERROR((((COUNTIF('Elève (5ème4)'!Z8:AB8,"A"))*4)+((COUNTIF('Elève (5ème4)'!Z8:AB8,"B"))*3)+((COUNTIF('Elève (5ème4)'!Z8:AB8,"C"))*2)+((COUNTIF('Elève (5ème4)'!Z8:AB8,"D"))*1))/(COUNTA(Z8:AB8)),"")</f>
        <v/>
      </c>
      <c r="AD8" s="183" t="str">
        <f t="shared" si="5"/>
        <v/>
      </c>
      <c r="AE8" s="122" t="s">
        <v>28</v>
      </c>
      <c r="AF8" s="123"/>
      <c r="AG8" s="124" t="s">
        <v>28</v>
      </c>
      <c r="AH8" s="128"/>
      <c r="AI8" s="182">
        <f>IFERROR((((COUNTIF('Elève (5ème4)'!AE8:AH8,"A"))*4)+((COUNTIF('Elève (5ème4)'!AE8:AH8,"B"))*3)+((COUNTIF('Elève (5ème4)'!AE8:AH8,"C"))*2)+((COUNTIF('Elève (5ème4)'!AE8:AH8,"D"))*1))/(COUNTA(AE8:AH8)),"")</f>
        <v>3</v>
      </c>
      <c r="AJ8" s="183" t="str">
        <f t="shared" si="6"/>
        <v>B</v>
      </c>
      <c r="AK8" s="182">
        <f>IF(COUNT(X8,AC8,AI8)=0,"",SUM(X8,AC8,AI8)/COUNT(X8,AC8,AI8))</f>
        <v>3.25</v>
      </c>
      <c r="AL8" s="206" t="str">
        <f t="shared" si="7"/>
        <v>B</v>
      </c>
      <c r="AM8" s="122" t="s">
        <v>28</v>
      </c>
      <c r="AN8" s="123" t="s">
        <v>28</v>
      </c>
      <c r="AO8" s="124"/>
      <c r="AP8" s="182">
        <f>IFERROR((((COUNTIF('Elève (5ème4)'!AM8:AO8,"A"))*4)+((COUNTIF('Elève (5ème4)'!AM8:AO8,"B"))*3)+((COUNTIF('Elève (5ème4)'!AM8:AO8,"C"))*2)+((COUNTIF('Elève (5ème4)'!AM8:AO8,"D"))*1))/(COUNTA(AM8:AO8)),"")</f>
        <v>3</v>
      </c>
      <c r="AQ8" s="183" t="str">
        <f t="shared" si="8"/>
        <v>B</v>
      </c>
      <c r="AR8" s="122"/>
      <c r="AS8" s="123"/>
      <c r="AT8" s="124" t="s">
        <v>28</v>
      </c>
      <c r="AU8" s="182">
        <f>IFERROR((((COUNTIF('Elève (5ème4)'!AR8:AT8,"A"))*4)+((COUNTIF('Elève (5ème4)'!AR8:AT8,"B"))*3)+((COUNTIF('Elève (5ème4)'!AR8:AT8,"C"))*2)+((COUNTIF('Elève (5ème4)'!AR8:AT8,"D"))*1))/(COUNTA(AR8:AT8)),"")</f>
        <v>3</v>
      </c>
      <c r="AV8" s="183" t="str">
        <f t="shared" si="9"/>
        <v>B</v>
      </c>
      <c r="AW8" s="122" t="s">
        <v>28</v>
      </c>
      <c r="AX8" s="123"/>
      <c r="AY8" s="124" t="s">
        <v>27</v>
      </c>
      <c r="AZ8" s="128"/>
      <c r="BA8" s="182">
        <f>IFERROR((((COUNTIF('Elève (5ème4)'!AW8:AZ8,"A"))*4)+((COUNTIF('Elève (5ème4)'!AW8:AZ8,"B"))*3)+((COUNTIF('Elève (5ème4)'!AW8:AZ8,"C"))*2)+((COUNTIF('Elève (5ème4)'!AW8:AZ8,"D"))*1))/(COUNTA(AW8:AZ8)),"")</f>
        <v>3.5</v>
      </c>
      <c r="BB8" s="183" t="str">
        <f t="shared" si="10"/>
        <v>B</v>
      </c>
      <c r="BC8" s="182">
        <f>IF(COUNT(AP8,AU8,BA8)=0,"",SUM(AP8,AU8,BA8)/COUNT(AP8,AU8,BA8))</f>
        <v>3.1666666666666665</v>
      </c>
      <c r="BD8" s="206" t="str">
        <f t="shared" si="11"/>
        <v>B</v>
      </c>
      <c r="BE8" s="122" t="s">
        <v>27</v>
      </c>
      <c r="BF8" s="123" t="s">
        <v>28</v>
      </c>
      <c r="BG8" s="124"/>
      <c r="BH8" s="182">
        <f>IFERROR((((COUNTIF('Elève (5ème4)'!BE8:BG8,"A"))*4)+((COUNTIF('Elève (5ème4)'!BE8:BG8,"B"))*3)+((COUNTIF('Elève (5ème4)'!BE8:BG8,"C"))*2)+((COUNTIF('Elève (5ème4)'!BE8:BG8,"D"))*1))/(COUNTA(BE8:BG8)),"")</f>
        <v>3.5</v>
      </c>
      <c r="BI8" s="183" t="str">
        <f t="shared" si="12"/>
        <v>B</v>
      </c>
      <c r="BJ8" s="122"/>
      <c r="BK8" s="123"/>
      <c r="BL8" s="124" t="s">
        <v>28</v>
      </c>
      <c r="BM8" s="182">
        <f>IFERROR((((COUNTIF('Elève (5ème4)'!BJ8:BL8,"A"))*4)+((COUNTIF('Elève (5ème4)'!BJ8:BL8,"B"))*3)+((COUNTIF('Elève (5ème4)'!BJ8:BL8,"C"))*2)+((COUNTIF('Elève (5ème4)'!BJ8:BL8,"D"))*1))/(COUNTA(BJ8:BL8)),"")</f>
        <v>3</v>
      </c>
      <c r="BN8" s="183" t="str">
        <f t="shared" si="13"/>
        <v>B</v>
      </c>
      <c r="BO8" s="122" t="s">
        <v>28</v>
      </c>
      <c r="BP8" s="123"/>
      <c r="BQ8" s="124" t="s">
        <v>29</v>
      </c>
      <c r="BR8" s="128"/>
      <c r="BS8" s="182">
        <f>IFERROR((((COUNTIF('Elève (5ème4)'!BO8:BR8,"A"))*4)+((COUNTIF('Elève (5ème4)'!BO8:BR8,"B"))*3)+((COUNTIF('Elève (5ème4)'!BO8:BR8,"C"))*2)+((COUNTIF('Elève (5ème4)'!BO8:BR8,"D"))*1))/(COUNTA(BO8:BR8)),"")</f>
        <v>2.5</v>
      </c>
      <c r="BT8" s="183" t="str">
        <f t="shared" si="14"/>
        <v>C</v>
      </c>
      <c r="BU8" s="182">
        <f>IF(COUNT(BH8,BM8,BS8)=0,"",SUM(BH8,BM8,BS8)/COUNT(BH8,BM8,BS8))</f>
        <v>3</v>
      </c>
      <c r="BV8" s="206" t="str">
        <f t="shared" si="15"/>
        <v>B</v>
      </c>
      <c r="BW8" s="122" t="s">
        <v>27</v>
      </c>
      <c r="BX8" s="123" t="s">
        <v>28</v>
      </c>
      <c r="BY8" s="124"/>
      <c r="BZ8" s="182">
        <f>IFERROR((((COUNTIF('Elève (5ème4)'!BW8:BY8,"A"))*4)+((COUNTIF('Elève (5ème4)'!BW8:BY8,"B"))*3)+((COUNTIF('Elève (5ème4)'!BW8:BY8,"C"))*2)+((COUNTIF('Elève (5ème4)'!BW8:BY8,"D"))*1))/(COUNTA(BW8:BY8)),"")</f>
        <v>3.5</v>
      </c>
      <c r="CA8" s="183" t="str">
        <f t="shared" si="16"/>
        <v>B</v>
      </c>
      <c r="CB8" s="122"/>
      <c r="CC8" s="123"/>
      <c r="CD8" s="124" t="s">
        <v>27</v>
      </c>
      <c r="CE8" s="182">
        <f>IFERROR((((COUNTIF('Elève (5ème4)'!CB8:CD8,"A"))*4)+((COUNTIF('Elève (5ème4)'!CB8:CD8,"B"))*3)+((COUNTIF('Elève (5ème4)'!CB8:CD8,"C"))*2)+((COUNTIF('Elève (5ème4)'!CB8:CD8,"D"))*1))/(COUNTA(CB8:CD8)),"")</f>
        <v>4</v>
      </c>
      <c r="CF8" s="183" t="str">
        <f t="shared" si="17"/>
        <v>A</v>
      </c>
      <c r="CG8" s="122" t="s">
        <v>28</v>
      </c>
      <c r="CH8" s="123"/>
      <c r="CI8" s="124" t="s">
        <v>29</v>
      </c>
      <c r="CJ8" s="128"/>
      <c r="CK8" s="182">
        <f>IFERROR((((COUNTIF('Elève (5ème4)'!CG8:CJ8,"A"))*4)+((COUNTIF('Elève (5ème4)'!CG8:CJ8,"B"))*3)+((COUNTIF('Elève (5ème4)'!CG8:CJ8,"C"))*2)+((COUNTIF('Elève (5ème4)'!CG8:CJ8,"D"))*1))/(COUNTA(CG8:CJ8)),"")</f>
        <v>2.5</v>
      </c>
      <c r="CL8" s="183" t="str">
        <f t="shared" si="18"/>
        <v>C</v>
      </c>
      <c r="CM8" s="182">
        <f>IF(COUNT(BZ8,CE8,CK8)=0,"",SUM(BZ8,CE8,CK8)/COUNT(BZ8,CE8,CK8))</f>
        <v>3.3333333333333335</v>
      </c>
      <c r="CN8" s="206" t="str">
        <f t="shared" si="19"/>
        <v>B</v>
      </c>
      <c r="CO8" s="122" t="s">
        <v>28</v>
      </c>
      <c r="CP8" s="123" t="s">
        <v>28</v>
      </c>
      <c r="CQ8" s="124"/>
      <c r="CR8" s="182">
        <f>IFERROR((((COUNTIF('Elève (5ème4)'!CO8:CQ8,"A"))*4)+((COUNTIF('Elève (5ème4)'!CO8:CQ8,"B"))*3)+((COUNTIF('Elève (5ème4)'!CO8:CQ8,"C"))*2)+((COUNTIF('Elève (5ème4)'!CO8:CQ8,"D"))*1))/(COUNTA(CO8:CQ8)),"")</f>
        <v>3</v>
      </c>
      <c r="CS8" s="183" t="str">
        <f t="shared" si="20"/>
        <v>B</v>
      </c>
      <c r="CT8" s="122"/>
      <c r="CU8" s="123"/>
      <c r="CV8" s="124" t="s">
        <v>28</v>
      </c>
      <c r="CW8" s="182">
        <f>IFERROR((((COUNTIF('Elève (5ème4)'!CT8:CV8,"A"))*4)+((COUNTIF('Elève (5ème4)'!CT8:CV8,"B"))*3)+((COUNTIF('Elève (5ème4)'!CT8:CV8,"C"))*2)+((COUNTIF('Elève (5ème4)'!CT8:CV8,"D"))*1))/(COUNTA(CT8:CV8)),"")</f>
        <v>3</v>
      </c>
      <c r="CX8" s="183" t="str">
        <f t="shared" si="21"/>
        <v>B</v>
      </c>
      <c r="CY8" s="122" t="s">
        <v>29</v>
      </c>
      <c r="CZ8" s="123"/>
      <c r="DA8" s="124" t="s">
        <v>28</v>
      </c>
      <c r="DB8" s="128"/>
      <c r="DC8" s="182">
        <f>IFERROR((((COUNTIF('Elève (5ème4)'!CY8:DB8,"A"))*4)+((COUNTIF('Elève (5ème4)'!CY8:DB8,"B"))*3)+((COUNTIF('Elève (5ème4)'!CY8:DB8,"C"))*2)+((COUNTIF('Elève (5ème4)'!CY8:DB8,"D"))*1))/(COUNTA(CY8:DB8)),"")</f>
        <v>2.5</v>
      </c>
      <c r="DD8" s="183" t="str">
        <f t="shared" si="22"/>
        <v>C</v>
      </c>
      <c r="DE8" s="182">
        <f>IF(COUNT(CR8,CW8,DC8)=0,"",SUM(CR8,CW8,DC8)/COUNT(CR8,CW8,DC8))</f>
        <v>2.8333333333333335</v>
      </c>
      <c r="DF8" s="206" t="str">
        <f t="shared" si="23"/>
        <v>B</v>
      </c>
      <c r="DG8" s="122" t="s">
        <v>28</v>
      </c>
      <c r="DH8" s="123" t="s">
        <v>29</v>
      </c>
      <c r="DI8" s="124"/>
      <c r="DJ8" s="182">
        <f>IFERROR((((COUNTIF('Elève (5ème4)'!DG8:DI8,"A"))*4)+((COUNTIF('Elève (5ème4)'!DG8:DI8,"B"))*3)+((COUNTIF('Elève (5ème4)'!DG8:DI8,"C"))*2)+((COUNTIF('Elève (5ème4)'!DG8:DI8,"D"))*1))/(COUNTA(DG8:DI8)),"")</f>
        <v>2.5</v>
      </c>
      <c r="DK8" s="183" t="str">
        <f t="shared" si="24"/>
        <v>C</v>
      </c>
      <c r="DL8" s="122"/>
      <c r="DM8" s="123"/>
      <c r="DN8" s="124" t="s">
        <v>28</v>
      </c>
      <c r="DO8" s="182">
        <f>IFERROR((((COUNTIF('Elève (5ème4)'!DL8:DN8,"A"))*4)+((COUNTIF('Elève (5ème4)'!DL8:DN8,"B"))*3)+((COUNTIF('Elève (5ème4)'!DL8:DN8,"C"))*2)+((COUNTIF('Elève (5ème4)'!DL8:DN8,"D"))*1))/(COUNTA(DL8:DN8)),"")</f>
        <v>3</v>
      </c>
      <c r="DP8" s="183" t="str">
        <f t="shared" si="25"/>
        <v>B</v>
      </c>
      <c r="DQ8" s="122" t="s">
        <v>28</v>
      </c>
      <c r="DR8" s="123"/>
      <c r="DS8" s="124" t="s">
        <v>28</v>
      </c>
      <c r="DT8" s="128"/>
      <c r="DU8" s="182">
        <f>IFERROR((((COUNTIF('Elève (5ème4)'!DQ8:DT8,"A"))*4)+((COUNTIF('Elève (5ème4)'!DQ8:DT8,"B"))*3)+((COUNTIF('Elève (5ème4)'!DQ8:DT8,"C"))*2)+((COUNTIF('Elève (5ème4)'!DQ8:DT8,"D"))*1))/(COUNTA(DQ8:DT8)),"")</f>
        <v>3</v>
      </c>
      <c r="DV8" s="183" t="str">
        <f t="shared" si="26"/>
        <v>B</v>
      </c>
      <c r="DW8" s="182">
        <f>IF(COUNT(DJ8,DO8,DU8)=0,"",SUM(DJ8,DO8,DU8)/COUNT(DJ8,DO8,DU8))</f>
        <v>2.8333333333333335</v>
      </c>
      <c r="DX8" s="206" t="str">
        <f t="shared" si="27"/>
        <v>B</v>
      </c>
      <c r="DY8" s="122" t="s">
        <v>28</v>
      </c>
      <c r="DZ8" s="123" t="s">
        <v>29</v>
      </c>
      <c r="EA8" s="124"/>
      <c r="EB8" s="182">
        <f>IFERROR((((COUNTIF('Elève (5ème4)'!DY8:EA8,"A"))*4)+((COUNTIF('Elève (5ème4)'!DY8:EA8,"B"))*3)+((COUNTIF('Elève (5ème4)'!DY8:EA8,"C"))*2)+((COUNTIF('Elève (5ème4)'!DY8:EA8,"D"))*1))/(COUNTA(DY8:EA8)),"")</f>
        <v>2.5</v>
      </c>
      <c r="EC8" s="183" t="str">
        <f t="shared" si="28"/>
        <v>C</v>
      </c>
      <c r="ED8" s="122"/>
      <c r="EE8" s="123"/>
      <c r="EF8" s="124" t="s">
        <v>29</v>
      </c>
      <c r="EG8" s="182">
        <f>IFERROR((((COUNTIF('Elève (5ème4)'!ED8:EF8,"A"))*4)+((COUNTIF('Elève (5ème4)'!ED8:EF8,"B"))*3)+((COUNTIF('Elève (5ème4)'!ED8:EF8,"C"))*2)+((COUNTIF('Elève (5ème4)'!ED8:EF8,"D"))*1))/(COUNTA(ED8:EF8)),"")</f>
        <v>2</v>
      </c>
      <c r="EH8" s="183" t="str">
        <f t="shared" si="29"/>
        <v>C</v>
      </c>
      <c r="EI8" s="122" t="s">
        <v>29</v>
      </c>
      <c r="EJ8" s="123"/>
      <c r="EK8" s="124" t="s">
        <v>29</v>
      </c>
      <c r="EL8" s="128"/>
      <c r="EM8" s="182">
        <f>IFERROR((((COUNTIF('Elève (5ème4)'!EI8:EL8,"A"))*4)+((COUNTIF('Elève (5ème4)'!EI8:EL8,"B"))*3)+((COUNTIF('Elève (5ème4)'!EI8:EL8,"C"))*2)+((COUNTIF('Elève (5ème4)'!EI8:EL8,"D"))*1))/(COUNTA(EI8:EL8)),"")</f>
        <v>2</v>
      </c>
      <c r="EN8" s="183" t="str">
        <f t="shared" si="30"/>
        <v>C</v>
      </c>
      <c r="EO8" s="182">
        <f>IF(COUNT(EB8,EG8,EM8)=0,"",SUM(EB8,EG8,EM8)/COUNT(EB8,EG8,EM8))</f>
        <v>2.1666666666666665</v>
      </c>
      <c r="EP8" s="206" t="str">
        <f t="shared" si="31"/>
        <v>C</v>
      </c>
      <c r="EQ8" s="122" t="s">
        <v>28</v>
      </c>
      <c r="ER8" s="123" t="s">
        <v>29</v>
      </c>
      <c r="ES8" s="124"/>
      <c r="ET8" s="182">
        <f>IFERROR((((COUNTIF('Elève (5ème4)'!EQ8:ES8,"A"))*4)+((COUNTIF('Elève (5ème4)'!EQ8:ES8,"B"))*3)+((COUNTIF('Elève (5ème4)'!EQ8:ES8,"C"))*2)+((COUNTIF('Elève (5ème4)'!EQ8:ES8,"D"))*1))/(COUNTA(EQ8:ES8)),"")</f>
        <v>2.5</v>
      </c>
      <c r="EU8" s="183" t="str">
        <f t="shared" si="32"/>
        <v>C</v>
      </c>
      <c r="EV8" s="122"/>
      <c r="EW8" s="123"/>
      <c r="EX8" s="124" t="s">
        <v>28</v>
      </c>
      <c r="EY8" s="182">
        <f>IFERROR((((COUNTIF('Elève (5ème4)'!EV8:EX8,"A"))*4)+((COUNTIF('Elève (5ème4)'!EV8:EX8,"B"))*3)+((COUNTIF('Elève (5ème4)'!EV8:EX8,"C"))*2)+((COUNTIF('Elève (5ème4)'!EV8:EX8,"D"))*1))/(COUNTA(EV8:EX8)),"")</f>
        <v>3</v>
      </c>
      <c r="EZ8" s="183" t="str">
        <f t="shared" si="33"/>
        <v>B</v>
      </c>
      <c r="FA8" s="122" t="s">
        <v>28</v>
      </c>
      <c r="FB8" s="123"/>
      <c r="FC8" s="124" t="s">
        <v>28</v>
      </c>
      <c r="FD8" s="128"/>
      <c r="FE8" s="182">
        <f>IFERROR((((COUNTIF('Elève (5ème4)'!FA8:FD8,"A"))*4)+((COUNTIF('Elève (5ème4)'!FA8:FD8,"B"))*3)+((COUNTIF('Elève (5ème4)'!FA8:FD8,"C"))*2)+((COUNTIF('Elève (5ème4)'!FA8:FD8,"D"))*1))/(COUNTA(FA8:FD8)),"")</f>
        <v>3</v>
      </c>
      <c r="FF8" s="183" t="str">
        <f t="shared" si="34"/>
        <v>B</v>
      </c>
      <c r="FG8" s="182">
        <f>IF(COUNT(ET8,EY8,FE8)=0,"",SUM(ET8,EY8,FE8)/COUNT(ET8,EY8,FE8))</f>
        <v>2.8333333333333335</v>
      </c>
      <c r="FH8" s="206" t="str">
        <f t="shared" si="35"/>
        <v>B</v>
      </c>
      <c r="FI8" s="122" t="s">
        <v>28</v>
      </c>
      <c r="FJ8" s="123" t="s">
        <v>27</v>
      </c>
      <c r="FK8" s="124"/>
      <c r="FL8" s="182">
        <f>IFERROR((((COUNTIF('Elève (5ème4)'!FI8:FK8,"A"))*4)+((COUNTIF('Elève (5ème4)'!FI8:FK8,"B"))*3)+((COUNTIF('Elève (5ème4)'!FI8:FK8,"C"))*2)+((COUNTIF('Elève (5ème4)'!FI8:FK8,"D"))*1))/(COUNTA(FI8:FK8)),"")</f>
        <v>3.5</v>
      </c>
      <c r="FM8" s="183" t="str">
        <f t="shared" si="36"/>
        <v>B</v>
      </c>
      <c r="FN8" s="122"/>
      <c r="FO8" s="123"/>
      <c r="FP8" s="124" t="s">
        <v>28</v>
      </c>
      <c r="FQ8" s="182">
        <f>IFERROR((((COUNTIF('Elève (5ème4)'!FN8:FP8,"A"))*4)+((COUNTIF('Elève (5ème4)'!FN8:FP8,"B"))*3)+((COUNTIF('Elève (5ème4)'!FN8:FP8,"C"))*2)+((COUNTIF('Elève (5ème4)'!FN8:FP8,"D"))*1))/(COUNTA(FN8:FP8)),"")</f>
        <v>3</v>
      </c>
      <c r="FR8" s="183" t="str">
        <f t="shared" si="37"/>
        <v>B</v>
      </c>
      <c r="FS8" s="122" t="s">
        <v>28</v>
      </c>
      <c r="FT8" s="123"/>
      <c r="FU8" s="124" t="s">
        <v>27</v>
      </c>
      <c r="FV8" s="128"/>
      <c r="FW8" s="182">
        <f>IFERROR((((COUNTIF('Elève (5ème4)'!FS8:FV8,"A"))*4)+((COUNTIF('Elève (5ème4)'!FS8:FV8,"B"))*3)+((COUNTIF('Elève (5ème4)'!FS8:FV8,"C"))*2)+((COUNTIF('Elève (5ème4)'!FS8:FV8,"D"))*1))/(COUNTA(FS8:FV8)),"")</f>
        <v>3.5</v>
      </c>
      <c r="FX8" s="183" t="str">
        <f t="shared" si="38"/>
        <v>B</v>
      </c>
      <c r="FY8" s="182">
        <f>IF(COUNT(FL8,FQ8,FW8)=0,"",SUM(FL8,FQ8,FW8)/COUNT(FL8,FQ8,FW8))</f>
        <v>3.3333333333333335</v>
      </c>
      <c r="FZ8" s="206" t="str">
        <f t="shared" si="39"/>
        <v>B</v>
      </c>
      <c r="GA8" s="122" t="s">
        <v>27</v>
      </c>
      <c r="GB8" s="123" t="s">
        <v>28</v>
      </c>
      <c r="GC8" s="124"/>
      <c r="GD8" s="182">
        <f>IFERROR((((COUNTIF('Elève (5ème4)'!GA8:GC8,"A"))*4)+((COUNTIF('Elève (5ème4)'!GA8:GC8,"B"))*3)+((COUNTIF('Elève (5ème4)'!GA8:GC8,"C"))*2)+((COUNTIF('Elève (5ème4)'!GA8:GC8,"D"))*1))/(COUNTA(GA8:GC8)),"")</f>
        <v>3.5</v>
      </c>
      <c r="GE8" s="183" t="str">
        <f t="shared" si="40"/>
        <v>B</v>
      </c>
      <c r="GF8" s="122"/>
      <c r="GG8" s="123"/>
      <c r="GH8" s="124" t="s">
        <v>28</v>
      </c>
      <c r="GI8" s="182">
        <f>IFERROR((((COUNTIF('Elève (5ème4)'!GF8:GH8,"A"))*4)+((COUNTIF('Elève (5ème4)'!GF8:GH8,"B"))*3)+((COUNTIF('Elève (5ème4)'!GF8:GH8,"C"))*2)+((COUNTIF('Elève (5ème4)'!GF8:GH8,"D"))*1))/(COUNTA(GF8:GH8)),"")</f>
        <v>3</v>
      </c>
      <c r="GJ8" s="183" t="str">
        <f t="shared" si="41"/>
        <v>B</v>
      </c>
      <c r="GK8" s="122" t="s">
        <v>28</v>
      </c>
      <c r="GL8" s="123"/>
      <c r="GM8" s="124" t="s">
        <v>27</v>
      </c>
      <c r="GN8" s="128"/>
      <c r="GO8" s="182">
        <f>IFERROR((((COUNTIF('Elève (5ème4)'!GK8:GN8,"A"))*4)+((COUNTIF('Elève (5ème4)'!GK8:GN8,"B"))*3)+((COUNTIF('Elève (5ème4)'!GK8:GN8,"C"))*2)+((COUNTIF('Elève (5ème4)'!GK8:GN8,"D"))*1))/(COUNTA(GK8:GN8)),"")</f>
        <v>3.5</v>
      </c>
      <c r="GP8" s="183" t="str">
        <f t="shared" si="42"/>
        <v>B</v>
      </c>
      <c r="GQ8" s="182">
        <f>IF(COUNT(GD8,GI8,GO8)=0,"",SUM(GD8,GI8,GO8)/COUNT(GD8,GI8,GO8))</f>
        <v>3.3333333333333335</v>
      </c>
      <c r="GR8" s="206" t="str">
        <f t="shared" si="43"/>
        <v>B</v>
      </c>
      <c r="GS8" s="122" t="s">
        <v>28</v>
      </c>
      <c r="GT8" s="123" t="s">
        <v>29</v>
      </c>
      <c r="GU8" s="124"/>
      <c r="GV8" s="182">
        <f>IFERROR((((COUNTIF('Elève (5ème4)'!GS8:GU8,"A"))*4)+((COUNTIF('Elève (5ème4)'!GS8:GU8,"B"))*3)+((COUNTIF('Elève (5ème4)'!GS8:GU8,"C"))*2)+((COUNTIF('Elève (5ème4)'!GS8:GU8,"D"))*1))/(COUNTA(GS8:GU8)),"")</f>
        <v>2.5</v>
      </c>
      <c r="GW8" s="183" t="str">
        <f t="shared" si="44"/>
        <v>C</v>
      </c>
      <c r="GX8" s="122"/>
      <c r="GY8" s="123"/>
      <c r="GZ8" s="124" t="s">
        <v>27</v>
      </c>
      <c r="HA8" s="182">
        <f>IFERROR((((COUNTIF('Elève (5ème4)'!GX8:GZ8,"A"))*4)+((COUNTIF('Elève (5ème4)'!GX8:GZ8,"B"))*3)+((COUNTIF('Elève (5ème4)'!GX8:GZ8,"C"))*2)+((COUNTIF('Elève (5ème4)'!GX8:GZ8,"D"))*1))/(COUNTA(GX8:GZ8)),"")</f>
        <v>4</v>
      </c>
      <c r="HB8" s="183" t="str">
        <f t="shared" si="45"/>
        <v>A</v>
      </c>
      <c r="HC8" s="122" t="s">
        <v>28</v>
      </c>
      <c r="HD8" s="123"/>
      <c r="HE8" s="124" t="s">
        <v>29</v>
      </c>
      <c r="HF8" s="128"/>
      <c r="HG8" s="182">
        <f>IFERROR((((COUNTIF('Elève (5ème4)'!HC8:HF8,"A"))*4)+((COUNTIF('Elève (5ème4)'!HC8:HF8,"B"))*3)+((COUNTIF('Elève (5ème4)'!HC8:HF8,"C"))*2)+((COUNTIF('Elève (5ème4)'!HC8:HF8,"D"))*1))/(COUNTA(HC8:HF8)),"")</f>
        <v>2.5</v>
      </c>
      <c r="HH8" s="183" t="str">
        <f t="shared" si="46"/>
        <v>C</v>
      </c>
      <c r="HI8" s="182">
        <f>IF(COUNT(GV8,HA8,HG8)=0,"",SUM(GV8,HA8,HG8)/COUNT(GV8,HA8,HG8))</f>
        <v>3</v>
      </c>
      <c r="HJ8" s="206" t="str">
        <f t="shared" si="47"/>
        <v>B</v>
      </c>
      <c r="HK8" s="122" t="s">
        <v>27</v>
      </c>
      <c r="HL8" s="123" t="s">
        <v>28</v>
      </c>
      <c r="HM8" s="124"/>
      <c r="HN8" s="182">
        <f>IFERROR((((COUNTIF('Elève (5ème4)'!HK8:HM8,"A"))*4)+((COUNTIF('Elève (5ème4)'!HK8:HM8,"B"))*3)+((COUNTIF('Elève (5ème4)'!HK8:HM8,"C"))*2)+((COUNTIF('Elève (5ème4)'!HK8:HM8,"D"))*1))/(COUNTA(HK8:HM8)),"")</f>
        <v>3.5</v>
      </c>
      <c r="HO8" s="183" t="str">
        <f t="shared" si="48"/>
        <v>B</v>
      </c>
      <c r="HP8" s="122"/>
      <c r="HQ8" s="123"/>
      <c r="HR8" s="124" t="s">
        <v>27</v>
      </c>
      <c r="HS8" s="182">
        <f>IFERROR((((COUNTIF('Elève (5ème4)'!HP8:HR8,"A"))*4)+((COUNTIF('Elève (5ème4)'!HP8:HR8,"B"))*3)+((COUNTIF('Elève (5ème4)'!HP8:HR8,"C"))*2)+((COUNTIF('Elève (5ème4)'!HP8:HR8,"D"))*1))/(COUNTA(HP8:HR8)),"")</f>
        <v>4</v>
      </c>
      <c r="HT8" s="183" t="str">
        <f t="shared" si="49"/>
        <v>A</v>
      </c>
      <c r="HU8" s="122" t="s">
        <v>27</v>
      </c>
      <c r="HV8" s="123"/>
      <c r="HW8" s="124" t="s">
        <v>27</v>
      </c>
      <c r="HX8" s="128"/>
      <c r="HY8" s="182">
        <f>IFERROR((((COUNTIF('Elève (5ème4)'!HU8:HX8,"A"))*4)+((COUNTIF('Elève (5ème4)'!HU8:HX8,"B"))*3)+((COUNTIF('Elève (5ème4)'!HU8:HX8,"C"))*2)+((COUNTIF('Elève (5ème4)'!HU8:HX8,"D"))*1))/(COUNTA(HU8:HX8)),"")</f>
        <v>4</v>
      </c>
      <c r="HZ8" s="183" t="str">
        <f t="shared" si="50"/>
        <v>A</v>
      </c>
      <c r="IA8" s="182">
        <f>IF(COUNT(HN8,HS8,HY8)=0,"",SUM(HN8,HS8,HY8)/COUNT(HN8,HS8,HY8))</f>
        <v>3.8333333333333335</v>
      </c>
      <c r="IB8" s="206" t="str">
        <f t="shared" si="51"/>
        <v>A</v>
      </c>
      <c r="IC8" s="122" t="s">
        <v>27</v>
      </c>
      <c r="ID8" s="123" t="s">
        <v>28</v>
      </c>
      <c r="IE8" s="124"/>
      <c r="IF8" s="182">
        <f>IFERROR((((COUNTIF('Elève (5ème4)'!IC8:IE8,"A"))*4)+((COUNTIF('Elève (5ème4)'!IC8:IE8,"B"))*3)+((COUNTIF('Elève (5ème4)'!IC8:IE8,"C"))*2)+((COUNTIF('Elève (5ème4)'!IC8:IE8,"D"))*1))/(COUNTA(IC8:IE8)),"")</f>
        <v>3.5</v>
      </c>
      <c r="IG8" s="183" t="str">
        <f t="shared" si="52"/>
        <v>B</v>
      </c>
      <c r="IH8" s="122"/>
      <c r="II8" s="123"/>
      <c r="IJ8" s="124" t="s">
        <v>28</v>
      </c>
      <c r="IK8" s="182">
        <f>IFERROR((((COUNTIF('Elève (5ème4)'!IH8:IJ8,"A"))*4)+((COUNTIF('Elève (5ème4)'!IH8:IJ8,"B"))*3)+((COUNTIF('Elève (5ème4)'!IH8:IJ8,"C"))*2)+((COUNTIF('Elève (5ème4)'!IH8:IJ8,"D"))*1))/(COUNTA(IH8:IJ8)),"")</f>
        <v>3</v>
      </c>
      <c r="IL8" s="183" t="str">
        <f t="shared" si="53"/>
        <v>B</v>
      </c>
      <c r="IM8" s="122" t="s">
        <v>28</v>
      </c>
      <c r="IN8" s="123"/>
      <c r="IO8" s="124" t="s">
        <v>28</v>
      </c>
      <c r="IP8" s="128"/>
      <c r="IQ8" s="182">
        <f>IFERROR((((COUNTIF('Elève (5ème4)'!IM8:IP8,"A"))*4)+((COUNTIF('Elève (5ème4)'!IM8:IP8,"B"))*3)+((COUNTIF('Elève (5ème4)'!IM8:IP8,"C"))*2)+((COUNTIF('Elève (5ème4)'!IM8:IP8,"D"))*1))/(COUNTA(IM8:IP8)),"")</f>
        <v>3</v>
      </c>
      <c r="IR8" s="183" t="str">
        <f t="shared" si="54"/>
        <v>B</v>
      </c>
      <c r="IS8" s="182">
        <f>IF(COUNT(IF8,IK8,IQ8)=0,"",SUM(IF8,IK8,IQ8)/COUNT(IF8,IK8,IQ8))</f>
        <v>3.1666666666666665</v>
      </c>
      <c r="IT8" s="206" t="str">
        <f t="shared" si="55"/>
        <v>B</v>
      </c>
      <c r="IU8" s="122" t="s">
        <v>27</v>
      </c>
      <c r="IV8" s="123" t="s">
        <v>28</v>
      </c>
      <c r="IW8" s="124"/>
      <c r="IX8" s="182">
        <f>IFERROR((((COUNTIF('Elève (5ème4)'!IU8:IW8,"A"))*4)+((COUNTIF('Elève (5ème4)'!IU8:IW8,"B"))*3)+((COUNTIF('Elève (5ème4)'!IU8:IW8,"C"))*2)+((COUNTIF('Elève (5ème4)'!IU8:IW8,"D"))*1))/(COUNTA(IU8:IW8)),"")</f>
        <v>3.5</v>
      </c>
      <c r="IY8" s="183" t="str">
        <f t="shared" si="56"/>
        <v>B</v>
      </c>
      <c r="IZ8" s="122"/>
      <c r="JA8" s="123"/>
      <c r="JB8" s="124" t="s">
        <v>28</v>
      </c>
      <c r="JC8" s="182">
        <f>IFERROR((((COUNTIF('Elève (5ème4)'!IZ8:JB8,"A"))*4)+((COUNTIF('Elève (5ème4)'!IZ8:JB8,"B"))*3)+((COUNTIF('Elève (5ème4)'!IZ8:JB8,"C"))*2)+((COUNTIF('Elève (5ème4)'!IZ8:JB8,"D"))*1))/(COUNTA(IZ8:JB8)),"")</f>
        <v>3</v>
      </c>
      <c r="JD8" s="183" t="str">
        <f t="shared" si="57"/>
        <v>B</v>
      </c>
      <c r="JE8" s="122" t="s">
        <v>29</v>
      </c>
      <c r="JF8" s="123"/>
      <c r="JG8" s="124" t="s">
        <v>28</v>
      </c>
      <c r="JH8" s="128"/>
      <c r="JI8" s="182">
        <f>IFERROR((((COUNTIF('Elève (5ème4)'!JE8:JH8,"A"))*4)+((COUNTIF('Elève (5ème4)'!JE8:JH8,"B"))*3)+((COUNTIF('Elève (5ème4)'!JE8:JH8,"C"))*2)+((COUNTIF('Elève (5ème4)'!JE8:JH8,"D"))*1))/(COUNTA(JE8:JH8)),"")</f>
        <v>2.5</v>
      </c>
      <c r="JJ8" s="183" t="str">
        <f t="shared" si="58"/>
        <v>C</v>
      </c>
      <c r="JK8" s="182">
        <f>IF(COUNT(IX8,JC8,JI8)=0,"",SUM(IX8,JC8,JI8)/COUNT(IX8,JC8,JI8))</f>
        <v>3</v>
      </c>
      <c r="JL8" s="206" t="str">
        <f t="shared" si="59"/>
        <v>B</v>
      </c>
      <c r="JM8" s="122" t="s">
        <v>29</v>
      </c>
      <c r="JN8" s="123" t="s">
        <v>28</v>
      </c>
      <c r="JO8" s="124"/>
      <c r="JP8" s="182">
        <f>IFERROR((((COUNTIF('Elève (5ème4)'!JM8:JO8,"A"))*4)+((COUNTIF('Elève (5ème4)'!JM8:JO8,"B"))*3)+((COUNTIF('Elève (5ème4)'!JM8:JO8,"C"))*2)+((COUNTIF('Elève (5ème4)'!JM8:JO8,"D"))*1))/(COUNTA(JM8:JO8)),"")</f>
        <v>2.5</v>
      </c>
      <c r="JQ8" s="183" t="str">
        <f t="shared" si="60"/>
        <v>C</v>
      </c>
      <c r="JR8" s="122"/>
      <c r="JS8" s="123"/>
      <c r="JT8" s="124" t="s">
        <v>28</v>
      </c>
      <c r="JU8" s="182">
        <f>IFERROR((((COUNTIF('Elève (5ème4)'!JR8:JT8,"A"))*4)+((COUNTIF('Elève (5ème4)'!JR8:JT8,"B"))*3)+((COUNTIF('Elève (5ème4)'!JR8:JT8,"C"))*2)+((COUNTIF('Elève (5ème4)'!JR8:JT8,"D"))*1))/(COUNTA(JR8:JT8)),"")</f>
        <v>3</v>
      </c>
      <c r="JV8" s="183" t="str">
        <f t="shared" si="61"/>
        <v>B</v>
      </c>
      <c r="JW8" s="122" t="s">
        <v>28</v>
      </c>
      <c r="JX8" s="123"/>
      <c r="JY8" s="124" t="s">
        <v>28</v>
      </c>
      <c r="JZ8" s="128"/>
      <c r="KA8" s="182">
        <f>IFERROR((((COUNTIF('Elève (5ème4)'!JW8:JZ8,"A"))*4)+((COUNTIF('Elève (5ème4)'!JW8:JZ8,"B"))*3)+((COUNTIF('Elève (5ème4)'!JW8:JZ8,"C"))*2)+((COUNTIF('Elève (5ème4)'!JW8:JZ8,"D"))*1))/(COUNTA(JW8:JZ8)),"")</f>
        <v>3</v>
      </c>
      <c r="KB8" s="183" t="str">
        <f t="shared" si="62"/>
        <v>B</v>
      </c>
      <c r="KC8" s="182">
        <f>IF(COUNT(JP8,JU8,KA8)=0,"",SUM(JP8,JU8,KA8)/COUNT(JP8,JU8,KA8))</f>
        <v>2.8333333333333335</v>
      </c>
      <c r="KD8" s="206" t="str">
        <f t="shared" si="63"/>
        <v>B</v>
      </c>
      <c r="KE8" s="122" t="s">
        <v>28</v>
      </c>
      <c r="KF8" s="123" t="s">
        <v>28</v>
      </c>
      <c r="KG8" s="124"/>
      <c r="KH8" s="182">
        <f>IFERROR((((COUNTIF('Elève (5ème4)'!KE8:KG8,"A"))*4)+((COUNTIF('Elève (5ème4)'!KE8:KG8,"B"))*3)+((COUNTIF('Elève (5ème4)'!KE8:KG8,"C"))*2)+((COUNTIF('Elève (5ème4)'!KE8:KG8,"D"))*1))/(COUNTA(KE8:KG8)),"")</f>
        <v>3</v>
      </c>
      <c r="KI8" s="183" t="str">
        <f t="shared" si="64"/>
        <v>B</v>
      </c>
      <c r="KJ8" s="122"/>
      <c r="KK8" s="123"/>
      <c r="KL8" s="124" t="s">
        <v>28</v>
      </c>
      <c r="KM8" s="182">
        <f>IFERROR((((COUNTIF('Elève (5ème4)'!KJ8:KL8,"A"))*4)+((COUNTIF('Elève (5ème4)'!KJ8:KL8,"B"))*3)+((COUNTIF('Elève (5ème4)'!KJ8:KL8,"C"))*2)+((COUNTIF('Elève (5ème4)'!KJ8:KL8,"D"))*1))/(COUNTA(KJ8:KL8)),"")</f>
        <v>3</v>
      </c>
      <c r="KN8" s="183" t="str">
        <f t="shared" si="65"/>
        <v>B</v>
      </c>
      <c r="KO8" s="122" t="s">
        <v>28</v>
      </c>
      <c r="KP8" s="123"/>
      <c r="KQ8" s="124" t="s">
        <v>28</v>
      </c>
      <c r="KR8" s="128"/>
      <c r="KS8" s="182">
        <f>IFERROR((((COUNTIF('Elève (5ème4)'!KO8:KR8,"A"))*4)+((COUNTIF('Elève (5ème4)'!KO8:KR8,"B"))*3)+((COUNTIF('Elève (5ème4)'!KO8:KR8,"C"))*2)+((COUNTIF('Elève (5ème4)'!KO8:KR8,"D"))*1))/(COUNTA(KO8:KR8)),"")</f>
        <v>3</v>
      </c>
      <c r="KT8" s="183" t="str">
        <f t="shared" si="66"/>
        <v>B</v>
      </c>
      <c r="KU8" s="182">
        <f>IF(COUNT(KH8,KM8,KS8)=0,"",SUM(KH8,KM8,KS8)/COUNT(KH8,KM8,KS8))</f>
        <v>3</v>
      </c>
      <c r="KV8" s="206" t="str">
        <f t="shared" si="67"/>
        <v>B</v>
      </c>
      <c r="KW8" s="122" t="s">
        <v>27</v>
      </c>
      <c r="KX8" s="123" t="s">
        <v>27</v>
      </c>
      <c r="KY8" s="124"/>
      <c r="KZ8" s="182">
        <f>IFERROR((((COUNTIF('Elève (5ème4)'!KW8:KY8,"A"))*4)+((COUNTIF('Elève (5ème4)'!KW8:KY8,"B"))*3)+((COUNTIF('Elève (5ème4)'!KW8:KY8,"C"))*2)+((COUNTIF('Elève (5ème4)'!KW8:KY8,"D"))*1))/(COUNTA(KW8:KY8)),"")</f>
        <v>4</v>
      </c>
      <c r="LA8" s="183" t="str">
        <f t="shared" si="68"/>
        <v>A</v>
      </c>
      <c r="LB8" s="122"/>
      <c r="LC8" s="123"/>
      <c r="LD8" s="124" t="s">
        <v>28</v>
      </c>
      <c r="LE8" s="182">
        <f>IFERROR((((COUNTIF('Elève (5ème4)'!LB8:LD8,"A"))*4)+((COUNTIF('Elève (5ème4)'!LB8:LD8,"B"))*3)+((COUNTIF('Elève (5ème4)'!LB8:LD8,"C"))*2)+((COUNTIF('Elève (5ème4)'!LB8:LD8,"D"))*1))/(COUNTA(LB8:LD8)),"")</f>
        <v>3</v>
      </c>
      <c r="LF8" s="183" t="str">
        <f t="shared" si="69"/>
        <v>B</v>
      </c>
      <c r="LG8" s="122" t="s">
        <v>29</v>
      </c>
      <c r="LH8" s="123"/>
      <c r="LI8" s="124" t="s">
        <v>29</v>
      </c>
      <c r="LJ8" s="128"/>
      <c r="LK8" s="182">
        <f>IFERROR((((COUNTIF('Elève (5ème4)'!LG8:LJ8,"A"))*4)+((COUNTIF('Elève (5ème4)'!LG8:LJ8,"B"))*3)+((COUNTIF('Elève (5ème4)'!LG8:LJ8,"C"))*2)+((COUNTIF('Elève (5ème4)'!LG8:LJ8,"D"))*1))/(COUNTA(LG8:LJ8)),"")</f>
        <v>2</v>
      </c>
      <c r="LL8" s="183" t="str">
        <f t="shared" si="70"/>
        <v>C</v>
      </c>
      <c r="LM8" s="182">
        <f>IF(COUNT(KZ8,LE8,LK8)=0,"",SUM(KZ8,LE8,LK8)/COUNT(KZ8,LE8,LK8))</f>
        <v>3</v>
      </c>
      <c r="LN8" s="206" t="str">
        <f t="shared" si="71"/>
        <v>B</v>
      </c>
      <c r="LO8" s="122" t="s">
        <v>28</v>
      </c>
      <c r="LP8" s="123" t="s">
        <v>29</v>
      </c>
      <c r="LQ8" s="124"/>
      <c r="LR8" s="182">
        <f>IFERROR((((COUNTIF('Elève (5ème4)'!LO8:LQ8,"A"))*4)+((COUNTIF('Elève (5ème4)'!LO8:LQ8,"B"))*3)+((COUNTIF('Elève (5ème4)'!LO8:LQ8,"C"))*2)+((COUNTIF('Elève (5ème4)'!LO8:LQ8,"D"))*1))/(COUNTA(LO8:LQ8)),"")</f>
        <v>2.5</v>
      </c>
      <c r="LS8" s="183" t="str">
        <f t="shared" si="72"/>
        <v>C</v>
      </c>
      <c r="LT8" s="122"/>
      <c r="LU8" s="123"/>
      <c r="LV8" s="124" t="s">
        <v>29</v>
      </c>
      <c r="LW8" s="182">
        <f>IFERROR((((COUNTIF('Elève (5ème4)'!LT8:LV8,"A"))*4)+((COUNTIF('Elève (5ème4)'!LT8:LV8,"B"))*3)+((COUNTIF('Elève (5ème4)'!LT8:LV8,"C"))*2)+((COUNTIF('Elève (5ème4)'!LT8:LV8,"D"))*1))/(COUNTA(LT8:LV8)),"")</f>
        <v>2</v>
      </c>
      <c r="LX8" s="183" t="str">
        <f t="shared" si="73"/>
        <v>C</v>
      </c>
      <c r="LY8" s="122" t="s">
        <v>29</v>
      </c>
      <c r="LZ8" s="123"/>
      <c r="MA8" s="124" t="s">
        <v>29</v>
      </c>
      <c r="MB8" s="128"/>
      <c r="MC8" s="182">
        <f>IFERROR((((COUNTIF('Elève (5ème4)'!LY8:MB8,"A"))*4)+((COUNTIF('Elève (5ème4)'!LY8:MB8,"B"))*3)+((COUNTIF('Elève (5ème4)'!LY8:MB8,"C"))*2)+((COUNTIF('Elève (5ème4)'!LY8:MB8,"D"))*1))/(COUNTA(LY8:MB8)),"")</f>
        <v>2</v>
      </c>
      <c r="MD8" s="183" t="str">
        <f t="shared" si="74"/>
        <v>C</v>
      </c>
      <c r="ME8" s="182">
        <f>IF(COUNT(LR8,LW8,MC8)=0,"",SUM(LR8,LW8,MC8)/COUNT(LR8,LW8,MC8))</f>
        <v>2.1666666666666665</v>
      </c>
      <c r="MF8" s="206" t="str">
        <f t="shared" si="75"/>
        <v>C</v>
      </c>
      <c r="MG8" s="122" t="s">
        <v>28</v>
      </c>
      <c r="MH8" s="123" t="s">
        <v>29</v>
      </c>
      <c r="MI8" s="124"/>
      <c r="MJ8" s="182">
        <f>IFERROR((((COUNTIF('Elève (5ème4)'!MG8:MI8,"A"))*4)+((COUNTIF('Elève (5ème4)'!MG8:MI8,"B"))*3)+((COUNTIF('Elève (5ème4)'!MG8:MI8,"C"))*2)+((COUNTIF('Elève (5ème4)'!MG8:MI8,"D"))*1))/(COUNTA(MG8:MI8)),"")</f>
        <v>2.5</v>
      </c>
      <c r="MK8" s="183" t="str">
        <f t="shared" si="76"/>
        <v>C</v>
      </c>
      <c r="ML8" s="122"/>
      <c r="MM8" s="123"/>
      <c r="MN8" s="124" t="s">
        <v>27</v>
      </c>
      <c r="MO8" s="182">
        <f>IFERROR((((COUNTIF('Elève (5ème4)'!ML8:MN8,"A"))*4)+((COUNTIF('Elève (5ème4)'!ML8:MN8,"B"))*3)+((COUNTIF('Elève (5ème4)'!ML8:MN8,"C"))*2)+((COUNTIF('Elève (5ème4)'!ML8:MN8,"D"))*1))/(COUNTA(ML8:MN8)),"")</f>
        <v>4</v>
      </c>
      <c r="MP8" s="183" t="str">
        <f t="shared" si="77"/>
        <v>A</v>
      </c>
      <c r="MQ8" s="122" t="s">
        <v>28</v>
      </c>
      <c r="MR8" s="123"/>
      <c r="MS8" s="124" t="s">
        <v>28</v>
      </c>
      <c r="MT8" s="128"/>
      <c r="MU8" s="182">
        <f>IFERROR((((COUNTIF('Elève (5ème4)'!MQ8:MT8,"A"))*4)+((COUNTIF('Elève (5ème4)'!MQ8:MT8,"B"))*3)+((COUNTIF('Elève (5ème4)'!MQ8:MT8,"C"))*2)+((COUNTIF('Elève (5ème4)'!MQ8:MT8,"D"))*1))/(COUNTA(MQ8:MT8)),"")</f>
        <v>3</v>
      </c>
      <c r="MV8" s="183" t="str">
        <f t="shared" si="78"/>
        <v>B</v>
      </c>
      <c r="MW8" s="182">
        <f>IF(COUNT(MJ8,MO8,MU8)=0,"",SUM(MJ8,MO8,MU8)/COUNT(MJ8,MO8,MU8))</f>
        <v>3.1666666666666665</v>
      </c>
      <c r="MX8" s="206" t="str">
        <f t="shared" si="79"/>
        <v>B</v>
      </c>
      <c r="MY8" s="122" t="s">
        <v>27</v>
      </c>
      <c r="MZ8" s="123" t="s">
        <v>29</v>
      </c>
      <c r="NA8" s="124"/>
      <c r="NB8" s="182">
        <f>IFERROR((((COUNTIF('Elève (5ème4)'!MY8:NA8,"A"))*4)+((COUNTIF('Elève (5ème4)'!MY8:NA8,"B"))*3)+((COUNTIF('Elève (5ème4)'!MY8:NA8,"C"))*2)+((COUNTIF('Elève (5ème4)'!MY8:NA8,"D"))*1))/(COUNTA(MY8:NA8)),"")</f>
        <v>3</v>
      </c>
      <c r="NC8" s="183" t="str">
        <f t="shared" si="80"/>
        <v>B</v>
      </c>
      <c r="ND8" s="122"/>
      <c r="NE8" s="123"/>
      <c r="NF8" s="124" t="s">
        <v>28</v>
      </c>
      <c r="NG8" s="182">
        <f>IFERROR((((COUNTIF('Elève (5ème4)'!ND8:NF8,"A"))*4)+((COUNTIF('Elève (5ème4)'!ND8:NF8,"B"))*3)+((COUNTIF('Elève (5ème4)'!ND8:NF8,"C"))*2)+((COUNTIF('Elève (5ème4)'!ND8:NF8,"D"))*1))/(COUNTA(ND8:NF8)),"")</f>
        <v>3</v>
      </c>
      <c r="NH8" s="183" t="str">
        <f t="shared" si="81"/>
        <v>B</v>
      </c>
      <c r="NI8" s="122" t="s">
        <v>28</v>
      </c>
      <c r="NJ8" s="123"/>
      <c r="NK8" s="124" t="s">
        <v>29</v>
      </c>
      <c r="NL8" s="128"/>
      <c r="NM8" s="182">
        <f>IFERROR((((COUNTIF('Elève (5ème4)'!NI8:NL8,"A"))*4)+((COUNTIF('Elève (5ème4)'!NI8:NL8,"B"))*3)+((COUNTIF('Elève (5ème4)'!NI8:NL8,"C"))*2)+((COUNTIF('Elève (5ème4)'!NI8:NL8,"D"))*1))/(COUNTA(NI8:NL8)),"")</f>
        <v>2.5</v>
      </c>
      <c r="NN8" s="183" t="str">
        <f t="shared" si="82"/>
        <v>C</v>
      </c>
      <c r="NO8" s="182">
        <f>IF(COUNT(NB8,NG8,NM8)=0,"",SUM(NB8,NG8,NM8)/COUNT(NB8,NG8,NM8))</f>
        <v>2.8333333333333335</v>
      </c>
      <c r="NP8" s="206" t="str">
        <f t="shared" si="83"/>
        <v>B</v>
      </c>
      <c r="NQ8" s="122" t="s">
        <v>28</v>
      </c>
      <c r="NR8" s="123" t="s">
        <v>28</v>
      </c>
      <c r="NS8" s="124"/>
      <c r="NT8" s="182">
        <f>IFERROR((((COUNTIF('Elève (5ème4)'!NQ8:NS8,"A"))*4)+((COUNTIF('Elève (5ème4)'!NQ8:NS8,"B"))*3)+((COUNTIF('Elève (5ème4)'!NQ8:NS8,"C"))*2)+((COUNTIF('Elève (5ème4)'!NQ8:NS8,"D"))*1))/(COUNTA(NQ8:NS8)),"")</f>
        <v>3</v>
      </c>
      <c r="NU8" s="183" t="str">
        <f t="shared" si="84"/>
        <v>B</v>
      </c>
      <c r="NV8" s="122"/>
      <c r="NW8" s="123"/>
      <c r="NX8" s="124" t="s">
        <v>28</v>
      </c>
      <c r="NY8" s="182">
        <f>IFERROR((((COUNTIF('Elève (5ème4)'!NV8:NX8,"A"))*4)+((COUNTIF('Elève (5ème4)'!NV8:NX8,"B"))*3)+((COUNTIF('Elève (5ème4)'!NV8:NX8,"C"))*2)+((COUNTIF('Elève (5ème4)'!NV8:NX8,"D"))*1))/(COUNTA(NV8:NX8)),"")</f>
        <v>3</v>
      </c>
      <c r="NZ8" s="183" t="str">
        <f t="shared" si="85"/>
        <v>B</v>
      </c>
      <c r="OA8" s="122" t="s">
        <v>29</v>
      </c>
      <c r="OB8" s="123"/>
      <c r="OC8" s="124" t="s">
        <v>28</v>
      </c>
      <c r="OD8" s="128"/>
      <c r="OE8" s="182">
        <f>IFERROR((((COUNTIF('Elève (5ème4)'!OA8:OD8,"A"))*4)+((COUNTIF('Elève (5ème4)'!OA8:OD8,"B"))*3)+((COUNTIF('Elève (5ème4)'!OA8:OD8,"C"))*2)+((COUNTIF('Elève (5ème4)'!OA8:OD8,"D"))*1))/(COUNTA(OA8:OD8)),"")</f>
        <v>2.5</v>
      </c>
      <c r="OF8" s="183" t="str">
        <f t="shared" si="86"/>
        <v>C</v>
      </c>
      <c r="OG8" s="182">
        <f>IF(COUNT(NT8,NY8,OE8)=0,"",SUM(NT8,NY8,OE8)/COUNT(NT8,NY8,OE8))</f>
        <v>2.8333333333333335</v>
      </c>
      <c r="OH8" s="206" t="str">
        <f t="shared" si="87"/>
        <v>B</v>
      </c>
      <c r="OI8" s="122" t="s">
        <v>28</v>
      </c>
      <c r="OJ8" s="123" t="s">
        <v>29</v>
      </c>
      <c r="OK8" s="124"/>
      <c r="OL8" s="182">
        <f>IFERROR((((COUNTIF('Elève (5ème4)'!OI8:OK8,"A"))*4)+((COUNTIF('Elève (5ème4)'!OI8:OK8,"B"))*3)+((COUNTIF('Elève (5ème4)'!OI8:OK8,"C"))*2)+((COUNTIF('Elève (5ème4)'!OI8:OK8,"D"))*1))/(COUNTA(OI8:OK8)),"")</f>
        <v>2.5</v>
      </c>
      <c r="OM8" s="183" t="str">
        <f t="shared" si="88"/>
        <v>C</v>
      </c>
      <c r="ON8" s="122"/>
      <c r="OO8" s="123"/>
      <c r="OP8" s="124" t="s">
        <v>29</v>
      </c>
      <c r="OQ8" s="182">
        <f>IFERROR((((COUNTIF('Elève (5ème4)'!ON8:OP8,"A"))*4)+((COUNTIF('Elève (5ème4)'!ON8:OP8,"B"))*3)+((COUNTIF('Elève (5ème4)'!ON8:OP8,"C"))*2)+((COUNTIF('Elève (5ème4)'!ON8:OP8,"D"))*1))/(COUNTA(ON8:OP8)),"")</f>
        <v>2</v>
      </c>
      <c r="OR8" s="183" t="str">
        <f t="shared" si="89"/>
        <v>C</v>
      </c>
      <c r="OS8" s="122" t="s">
        <v>29</v>
      </c>
      <c r="OT8" s="123"/>
      <c r="OU8" s="124" t="s">
        <v>27</v>
      </c>
      <c r="OV8" s="128"/>
      <c r="OW8" s="182">
        <f>IFERROR((((COUNTIF('Elève (5ème4)'!OS8:OV8,"A"))*4)+((COUNTIF('Elève (5ème4)'!OS8:OV8,"B"))*3)+((COUNTIF('Elève (5ème4)'!OS8:OV8,"C"))*2)+((COUNTIF('Elève (5ème4)'!OS8:OV8,"D"))*1))/(COUNTA(OS8:OV8)),"")</f>
        <v>3</v>
      </c>
      <c r="OX8" s="183" t="str">
        <f t="shared" si="90"/>
        <v>B</v>
      </c>
      <c r="OY8" s="182">
        <f>IF(COUNT(OL8,OQ8,OW8)=0,"",SUM(OL8,OQ8,OW8)/COUNT(OL8,OQ8,OW8))</f>
        <v>2.5</v>
      </c>
      <c r="OZ8" s="206" t="str">
        <f t="shared" si="91"/>
        <v>C</v>
      </c>
      <c r="PA8" s="122" t="s">
        <v>27</v>
      </c>
      <c r="PB8" s="123" t="s">
        <v>29</v>
      </c>
      <c r="PC8" s="124"/>
      <c r="PD8" s="182">
        <f>IFERROR((((COUNTIF('Elève (5ème4)'!PA8:PC8,"A"))*4)+((COUNTIF('Elève (5ème4)'!PA8:PC8,"B"))*3)+((COUNTIF('Elève (5ème4)'!PA8:PC8,"C"))*2)+((COUNTIF('Elève (5ème4)'!PA8:PC8,"D"))*1))/(COUNTA(PA8:PC8)),"")</f>
        <v>3</v>
      </c>
      <c r="PE8" s="183" t="str">
        <f t="shared" si="92"/>
        <v>B</v>
      </c>
      <c r="PF8" s="122"/>
      <c r="PG8" s="123"/>
      <c r="PH8" s="124" t="s">
        <v>28</v>
      </c>
      <c r="PI8" s="182">
        <f>IFERROR((((COUNTIF('Elève (5ème4)'!PF8:PH8,"A"))*4)+((COUNTIF('Elève (5ème4)'!PF8:PH8,"B"))*3)+((COUNTIF('Elève (5ème4)'!PF8:PH8,"C"))*2)+((COUNTIF('Elève (5ème4)'!PF8:PH8,"D"))*1))/(COUNTA(PF8:PH8)),"")</f>
        <v>3</v>
      </c>
      <c r="PJ8" s="183" t="str">
        <f t="shared" si="93"/>
        <v>B</v>
      </c>
      <c r="PK8" s="122" t="s">
        <v>28</v>
      </c>
      <c r="PL8" s="123"/>
      <c r="PM8" s="124" t="s">
        <v>29</v>
      </c>
      <c r="PN8" s="128"/>
      <c r="PO8" s="182">
        <f>IFERROR((((COUNTIF('Elève (5ème4)'!PK8:PN8,"A"))*4)+((COUNTIF('Elève (5ème4)'!PK8:PN8,"B"))*3)+((COUNTIF('Elève (5ème4)'!PK8:PN8,"C"))*2)+((COUNTIF('Elève (5ème4)'!PK8:PN8,"D"))*1))/(COUNTA(PK8:PN8)),"")</f>
        <v>2.5</v>
      </c>
      <c r="PP8" s="183" t="str">
        <f t="shared" si="94"/>
        <v>C</v>
      </c>
      <c r="PQ8" s="182">
        <f>IF(COUNT(PD8,PI8,PO8)=0,"",SUM(PD8,PI8,PO8)/COUNT(PD8,PI8,PO8))</f>
        <v>2.8333333333333335</v>
      </c>
      <c r="PR8" s="206" t="str">
        <f t="shared" si="95"/>
        <v>B</v>
      </c>
      <c r="PS8" s="122" t="s">
        <v>29</v>
      </c>
      <c r="PT8" s="123" t="s">
        <v>28</v>
      </c>
      <c r="PU8" s="124"/>
      <c r="PV8" s="182">
        <f>IFERROR((((COUNTIF('Elève (5ème4)'!PS8:PU8,"A"))*4)+((COUNTIF('Elève (5ème4)'!PS8:PU8,"B"))*3)+((COUNTIF('Elève (5ème4)'!PS8:PU8,"C"))*2)+((COUNTIF('Elève (5ème4)'!PS8:PU8,"D"))*1))/(COUNTA(PS8:PU8)),"")</f>
        <v>2.5</v>
      </c>
      <c r="PW8" s="183" t="str">
        <f t="shared" si="96"/>
        <v>C</v>
      </c>
      <c r="PX8" s="122"/>
      <c r="PY8" s="123"/>
      <c r="PZ8" s="124"/>
      <c r="QA8" s="182" t="str">
        <f>IFERROR((((COUNTIF('Elève (5ème4)'!PX8:PZ8,"A"))*4)+((COUNTIF('Elève (5ème4)'!PX8:PZ8,"B"))*3)+((COUNTIF('Elève (5ème4)'!PX8:PZ8,"C"))*2)+((COUNTIF('Elève (5ème4)'!PX8:PZ8,"D"))*1))/(COUNTA(PX8:PZ8)),"")</f>
        <v/>
      </c>
      <c r="QB8" s="183" t="str">
        <f t="shared" si="97"/>
        <v/>
      </c>
      <c r="QC8" s="122" t="s">
        <v>29</v>
      </c>
      <c r="QD8" s="123"/>
      <c r="QE8" s="124" t="s">
        <v>29</v>
      </c>
      <c r="QF8" s="128"/>
      <c r="QG8" s="182">
        <f>IFERROR((((COUNTIF('Elève (5ème4)'!QC8:QF8,"A"))*4)+((COUNTIF('Elève (5ème4)'!QC8:QF8,"B"))*3)+((COUNTIF('Elève (5ème4)'!QC8:QF8,"C"))*2)+((COUNTIF('Elève (5ème4)'!QC8:QF8,"D"))*1))/(COUNTA(QC8:QF8)),"")</f>
        <v>2</v>
      </c>
      <c r="QH8" s="183" t="str">
        <f t="shared" si="98"/>
        <v>C</v>
      </c>
      <c r="QI8" s="182">
        <f>IF(COUNT(PV8,QA8,QG8)=0,"",SUM(PV8,QA8,QG8)/COUNT(PV8,QA8,QG8))</f>
        <v>2.25</v>
      </c>
      <c r="QJ8" s="206" t="str">
        <f t="shared" si="99"/>
        <v>C</v>
      </c>
      <c r="QK8" s="122" t="s">
        <v>28</v>
      </c>
      <c r="QL8" s="123" t="s">
        <v>29</v>
      </c>
      <c r="QM8" s="124"/>
      <c r="QN8" s="182">
        <f>IFERROR((((COUNTIF('Elève (5ème4)'!QK8:QM8,"A"))*4)+((COUNTIF('Elève (5ème4)'!QK8:QM8,"B"))*3)+((COUNTIF('Elève (5ème4)'!QK8:QM8,"C"))*2)+((COUNTIF('Elève (5ème4)'!QK8:QM8,"D"))*1))/(COUNTA(QK8:QM8)),"")</f>
        <v>2.5</v>
      </c>
      <c r="QO8" s="183" t="str">
        <f t="shared" si="100"/>
        <v>C</v>
      </c>
      <c r="QP8" s="122"/>
      <c r="QQ8" s="123"/>
      <c r="QR8" s="124"/>
      <c r="QS8" s="182" t="str">
        <f>IFERROR((((COUNTIF('Elève (5ème4)'!QP8:QR8,"A"))*4)+((COUNTIF('Elève (5ème4)'!QP8:QR8,"B"))*3)+((COUNTIF('Elève (5ème4)'!QP8:QR8,"C"))*2)+((COUNTIF('Elève (5ème4)'!QP8:QR8,"D"))*1))/(COUNTA(QP8:QR8)),"")</f>
        <v/>
      </c>
      <c r="QT8" s="183" t="str">
        <f t="shared" si="101"/>
        <v/>
      </c>
      <c r="QU8" s="122" t="s">
        <v>28</v>
      </c>
      <c r="QV8" s="123"/>
      <c r="QW8" s="124" t="s">
        <v>29</v>
      </c>
      <c r="QX8" s="128"/>
      <c r="QY8" s="182">
        <f>IFERROR((((COUNTIF('Elève (5ème4)'!QU8:QX8,"A"))*4)+((COUNTIF('Elève (5ème4)'!QU8:QX8,"B"))*3)+((COUNTIF('Elève (5ème4)'!QU8:QX8,"C"))*2)+((COUNTIF('Elève (5ème4)'!QU8:QX8,"D"))*1))/(COUNTA(QU8:QX8)),"")</f>
        <v>2.5</v>
      </c>
      <c r="QZ8" s="183" t="str">
        <f t="shared" si="102"/>
        <v>C</v>
      </c>
      <c r="RA8" s="182">
        <f>IF(COUNT(QN8,QS8,QY8)=0,"",SUM(QN8,QS8,QY8)/COUNT(QN8,QS8,QY8))</f>
        <v>2.5</v>
      </c>
      <c r="RB8" s="206" t="str">
        <f t="shared" si="103"/>
        <v>C</v>
      </c>
      <c r="RC8" s="122" t="s">
        <v>28</v>
      </c>
      <c r="RD8" s="123" t="s">
        <v>28</v>
      </c>
      <c r="RE8" s="124"/>
      <c r="RF8" s="182">
        <f>IFERROR((((COUNTIF('Elève (5ème4)'!RC8:RE8,"A"))*4)+((COUNTIF('Elève (5ème4)'!RC8:RE8,"B"))*3)+((COUNTIF('Elève (5ème4)'!RC8:RE8,"C"))*2)+((COUNTIF('Elève (5ème4)'!RC8:RE8,"D"))*1))/(COUNTA(RC8:RE8)),"")</f>
        <v>3</v>
      </c>
      <c r="RG8" s="183" t="str">
        <f t="shared" si="104"/>
        <v>B</v>
      </c>
      <c r="RH8" s="122"/>
      <c r="RI8" s="123"/>
      <c r="RJ8" s="124" t="s">
        <v>28</v>
      </c>
      <c r="RK8" s="182">
        <f>IFERROR((((COUNTIF('Elève (5ème4)'!RH8:RJ8,"A"))*4)+((COUNTIF('Elève (5ème4)'!RH8:RJ8,"B"))*3)+((COUNTIF('Elève (5ème4)'!RH8:RJ8,"C"))*2)+((COUNTIF('Elève (5ème4)'!RH8:RJ8,"D"))*1))/(COUNTA(RH8:RJ8)),"")</f>
        <v>3</v>
      </c>
      <c r="RL8" s="183" t="str">
        <f t="shared" si="105"/>
        <v>B</v>
      </c>
      <c r="RM8" s="122" t="s">
        <v>27</v>
      </c>
      <c r="RN8" s="123"/>
      <c r="RO8" s="124" t="s">
        <v>28</v>
      </c>
      <c r="RP8" s="128"/>
      <c r="RQ8" s="182">
        <f>IFERROR((((COUNTIF('Elève (5ème4)'!RM8:RP8,"A"))*4)+((COUNTIF('Elève (5ème4)'!RM8:RP8,"B"))*3)+((COUNTIF('Elève (5ème4)'!RM8:RP8,"C"))*2)+((COUNTIF('Elève (5ème4)'!RM8:RP8,"D"))*1))/(COUNTA(RM8:RP8)),"")</f>
        <v>3.5</v>
      </c>
      <c r="RR8" s="183" t="str">
        <f t="shared" si="106"/>
        <v>B</v>
      </c>
      <c r="RS8" s="182">
        <f>IF(COUNT(RF8,RK8,RQ8)=0,"",SUM(RF8,RK8,RQ8)/COUNT(RF8,RK8,RQ8))</f>
        <v>3.1666666666666665</v>
      </c>
      <c r="RT8" s="206" t="str">
        <f t="shared" si="107"/>
        <v>B</v>
      </c>
      <c r="RU8" s="122" t="s">
        <v>29</v>
      </c>
      <c r="RV8" s="123" t="s">
        <v>28</v>
      </c>
      <c r="RW8" s="124"/>
      <c r="RX8" s="182">
        <f>IFERROR((((COUNTIF('Elève (5ème4)'!RU8:RW8,"A"))*4)+((COUNTIF('Elève (5ème4)'!RU8:RW8,"B"))*3)+((COUNTIF('Elève (5ème4)'!RU8:RW8,"C"))*2)+((COUNTIF('Elève (5ème4)'!RU8:RW8,"D"))*1))/(COUNTA(RU8:RW8)),"")</f>
        <v>2.5</v>
      </c>
      <c r="RY8" s="183" t="str">
        <f t="shared" si="108"/>
        <v>C</v>
      </c>
      <c r="RZ8" s="122"/>
      <c r="SA8" s="123"/>
      <c r="SB8" s="124" t="s">
        <v>28</v>
      </c>
      <c r="SC8" s="182">
        <f>IFERROR((((COUNTIF('Elève (5ème4)'!RZ8:SB8,"A"))*4)+((COUNTIF('Elève (5ème4)'!RZ8:SB8,"B"))*3)+((COUNTIF('Elève (5ème4)'!RZ8:SB8,"C"))*2)+((COUNTIF('Elève (5ème4)'!RZ8:SB8,"D"))*1))/(COUNTA(RZ8:SB8)),"")</f>
        <v>3</v>
      </c>
      <c r="SD8" s="183" t="str">
        <f t="shared" si="109"/>
        <v>B</v>
      </c>
      <c r="SE8" s="122" t="s">
        <v>28</v>
      </c>
      <c r="SF8" s="123"/>
      <c r="SG8" s="124" t="s">
        <v>29</v>
      </c>
      <c r="SH8" s="128"/>
      <c r="SI8" s="182">
        <f>IFERROR((((COUNTIF('Elève (5ème4)'!SE8:SH8,"A"))*4)+((COUNTIF('Elève (5ème4)'!SE8:SH8,"B"))*3)+((COUNTIF('Elève (5ème4)'!SE8:SH8,"C"))*2)+((COUNTIF('Elève (5ème4)'!SE8:SH8,"D"))*1))/(COUNTA(SE8:SH8)),"")</f>
        <v>2.5</v>
      </c>
      <c r="SJ8" s="183" t="str">
        <f t="shared" si="110"/>
        <v>C</v>
      </c>
      <c r="SK8" s="182">
        <f>IF(COUNT(RX8,SC8,SI8)=0,"",SUM(RX8,SC8,SI8)/COUNT(RX8,SC8,SI8))</f>
        <v>2.6666666666666665</v>
      </c>
      <c r="SL8" s="206" t="str">
        <f t="shared" si="111"/>
        <v>C</v>
      </c>
      <c r="SM8" s="122"/>
      <c r="SN8" s="123"/>
      <c r="SO8" s="124"/>
      <c r="SP8" s="125" t="str">
        <f>IFERROR((((COUNTIF('Elève (5ème4)'!SM8:SO8,"A"))*4)+((COUNTIF('Elève (5ème4)'!SM8:SO8,"B"))*3)+((COUNTIF('Elève (5ème4)'!SM8:SO8,"C"))*2)+((COUNTIF('Elève (5ème4)'!SM8:SO8,"D"))*1))/(COUNTA(SM8:SO8)),"")</f>
        <v/>
      </c>
      <c r="SQ8" s="126" t="str">
        <f t="shared" si="112"/>
        <v/>
      </c>
      <c r="SR8" s="122"/>
      <c r="SS8" s="123"/>
      <c r="ST8" s="124"/>
      <c r="SU8" s="125" t="str">
        <f>IFERROR((((COUNTIF('Elève (5ème4)'!SR8:ST8,"A"))*4)+((COUNTIF('Elève (5ème4)'!SR8:ST8,"B"))*3)+((COUNTIF('Elève (5ème4)'!SR8:ST8,"C"))*2)+((COUNTIF('Elève (5ème4)'!SR8:ST8,"D"))*1))/(COUNTA(SR8:ST8)),"")</f>
        <v/>
      </c>
      <c r="SV8" s="126" t="str">
        <f t="shared" si="113"/>
        <v/>
      </c>
      <c r="SW8" s="122"/>
      <c r="SX8" s="123"/>
      <c r="SY8" s="128"/>
      <c r="SZ8" s="125" t="str">
        <f>IFERROR((((COUNTIF('Elève (5ème4)'!SW8:SY8,"A"))*4)+((COUNTIF('Elève (5ème4)'!SW8:SY8,"B"))*3)+((COUNTIF('Elève (5ème4)'!SW8:SY8,"C"))*2)+((COUNTIF('Elève (5ème4)'!SW8:SY8,"D"))*1))/(COUNTA(SW8:SY8)),"")</f>
        <v/>
      </c>
      <c r="TA8" s="126" t="str">
        <f t="shared" si="114"/>
        <v/>
      </c>
      <c r="TB8" s="125" t="str">
        <f>IF(COUNT(SP8,SU8,SZ8)=0,"",SUM(SP8,SU8,SZ8)/COUNT(SP8,SU8,SZ8))</f>
        <v/>
      </c>
      <c r="TC8" s="127" t="str">
        <f t="shared" si="115"/>
        <v/>
      </c>
      <c r="TD8" s="122"/>
      <c r="TE8" s="123"/>
      <c r="TF8" s="124"/>
      <c r="TG8" s="125" t="str">
        <f>IFERROR((((COUNTIF('Elève (5ème4)'!TD8:TF8,"A"))*4)+((COUNTIF('Elève (5ème4)'!TD8:TF8,"B"))*3)+((COUNTIF('Elève (5ème4)'!TD8:TF8,"C"))*2)+((COUNTIF('Elève (5ème4)'!TD8:TF8,"D"))*1))/(COUNTA(TD8:TF8)),"")</f>
        <v/>
      </c>
      <c r="TH8" s="126" t="str">
        <f t="shared" si="116"/>
        <v/>
      </c>
      <c r="TI8" s="122"/>
      <c r="TJ8" s="123"/>
      <c r="TK8" s="124"/>
      <c r="TL8" s="125" t="str">
        <f>IFERROR((((COUNTIF('Elève (5ème4)'!TI8:TK8,"A"))*4)+((COUNTIF('Elève (5ème4)'!TI8:TK8,"B"))*3)+((COUNTIF('Elève (5ème4)'!TI8:TK8,"C"))*2)+((COUNTIF('Elève (5ème4)'!TI8:TK8,"D"))*1))/(COUNTA(TI8:TK8)),"")</f>
        <v/>
      </c>
      <c r="TM8" s="126" t="str">
        <f t="shared" si="117"/>
        <v/>
      </c>
      <c r="TN8" s="122"/>
      <c r="TO8" s="123"/>
      <c r="TP8" s="128"/>
      <c r="TQ8" s="125" t="str">
        <f>IFERROR((((COUNTIF('Elève (5ème4)'!TN8:TP8,"A"))*4)+((COUNTIF('Elève (5ème4)'!TN8:TP8,"B"))*3)+((COUNTIF('Elève (5ème4)'!TN8:TP8,"C"))*2)+((COUNTIF('Elève (5ème4)'!TN8:TP8,"D"))*1))/(COUNTA(TN8:TP8)),"")</f>
        <v/>
      </c>
      <c r="TR8" s="126" t="str">
        <f t="shared" si="118"/>
        <v/>
      </c>
      <c r="TS8" s="125" t="str">
        <f>IF(COUNT(TG8,TL8,TQ8)=0,"",SUM(TG8,TL8,TQ8)/COUNT(TG8,TL8,TQ8))</f>
        <v/>
      </c>
      <c r="TT8" s="127" t="str">
        <f t="shared" si="119"/>
        <v/>
      </c>
    </row>
    <row r="9" spans="1:540" ht="18" customHeight="1" thickBot="1" x14ac:dyDescent="0.3">
      <c r="A9" s="238" t="s">
        <v>16</v>
      </c>
      <c r="B9" s="239"/>
      <c r="C9" s="129"/>
      <c r="D9" s="130"/>
      <c r="E9" s="131"/>
      <c r="F9" s="184" t="str">
        <f>IFERROR((((COUNTIF('Elève (5ème4)'!C9:E9,"A"))*4)+((COUNTIF('Elève (5ème4)'!C9:E9,"B"))*3)+((COUNTIF('Elève (5ème4)'!C9:E9,"C"))*2)+((COUNTIF('Elève (5ème4)'!C9:E9,"D"))*1))/(COUNTA(C9:E9)),"")</f>
        <v/>
      </c>
      <c r="G9" s="185" t="str">
        <f t="shared" si="0"/>
        <v/>
      </c>
      <c r="H9" s="129"/>
      <c r="I9" s="130"/>
      <c r="J9" s="131" t="s">
        <v>27</v>
      </c>
      <c r="K9" s="184">
        <f>IFERROR((((COUNTIF('Elève (5ème4)'!H9:J9,"A"))*4)+((COUNTIF('Elève (5ème4)'!H9:J9,"B"))*3)+((COUNTIF('Elève (5ème4)'!H9:J9,"C"))*2)+((COUNTIF('Elève (5ème4)'!H9:J9,"D"))*1))/(COUNTA(H9:J9)),"")</f>
        <v>4</v>
      </c>
      <c r="L9" s="185" t="str">
        <f t="shared" si="1"/>
        <v>A</v>
      </c>
      <c r="M9" s="129"/>
      <c r="N9" s="130"/>
      <c r="O9" s="131"/>
      <c r="P9" s="131" t="s">
        <v>29</v>
      </c>
      <c r="Q9" s="184">
        <f>IFERROR((((COUNTIF('Elève (5ème4)'!M9:P9,"A"))*4)+((COUNTIF('Elève (5ème4)'!M9:P9,"B"))*3)+((COUNTIF('Elève (5ème4)'!M9:P9,"C"))*2)+((COUNTIF('Elève (5ème4)'!M9:P9,"D"))*1))/(COUNTA(M9:P9)),"")</f>
        <v>2</v>
      </c>
      <c r="R9" s="185" t="str">
        <f t="shared" si="2"/>
        <v>C</v>
      </c>
      <c r="S9" s="184">
        <f>IF(COUNT(F9,K9,Q9)=0,"",SUM(F9,K9,Q9)/COUNT(F9,K9,Q9))</f>
        <v>3</v>
      </c>
      <c r="T9" s="207" t="str">
        <f t="shared" si="3"/>
        <v>B</v>
      </c>
      <c r="U9" s="129"/>
      <c r="V9" s="130"/>
      <c r="W9" s="131"/>
      <c r="X9" s="184" t="str">
        <f>IFERROR((((COUNTIF('Elève (5ème4)'!U9:W9,"A"))*4)+((COUNTIF('Elève (5ème4)'!U9:W9,"B"))*3)+((COUNTIF('Elève (5ème4)'!U9:W9,"C"))*2)+((COUNTIF('Elève (5ème4)'!U9:W9,"D"))*1))/(COUNTA(U9:W9)),"")</f>
        <v/>
      </c>
      <c r="Y9" s="185" t="str">
        <f t="shared" si="4"/>
        <v/>
      </c>
      <c r="Z9" s="129"/>
      <c r="AA9" s="130"/>
      <c r="AB9" s="131"/>
      <c r="AC9" s="184" t="str">
        <f>IFERROR((((COUNTIF('Elève (5ème4)'!Z9:AB9,"A"))*4)+((COUNTIF('Elève (5ème4)'!Z9:AB9,"B"))*3)+((COUNTIF('Elève (5ème4)'!Z9:AB9,"C"))*2)+((COUNTIF('Elève (5ème4)'!Z9:AB9,"D"))*1))/(COUNTA(Z9:AB9)),"")</f>
        <v/>
      </c>
      <c r="AD9" s="185" t="str">
        <f t="shared" si="5"/>
        <v/>
      </c>
      <c r="AE9" s="129"/>
      <c r="AF9" s="130"/>
      <c r="AG9" s="131"/>
      <c r="AH9" s="135" t="s">
        <v>29</v>
      </c>
      <c r="AI9" s="184">
        <f>IFERROR((((COUNTIF('Elève (5ème4)'!AE9:AH9,"A"))*4)+((COUNTIF('Elève (5ème4)'!AE9:AH9,"B"))*3)+((COUNTIF('Elève (5ème4)'!AE9:AH9,"C"))*2)+((COUNTIF('Elève (5ème4)'!AE9:AH9,"D"))*1))/(COUNTA(AE9:AH9)),"")</f>
        <v>2</v>
      </c>
      <c r="AJ9" s="185" t="str">
        <f t="shared" si="6"/>
        <v>C</v>
      </c>
      <c r="AK9" s="184">
        <f>IF(COUNT(X9,AC9,AI9)=0,"",SUM(X9,AC9,AI9)/COUNT(X9,AC9,AI9))</f>
        <v>2</v>
      </c>
      <c r="AL9" s="207" t="str">
        <f t="shared" si="7"/>
        <v>C</v>
      </c>
      <c r="AM9" s="129"/>
      <c r="AN9" s="130"/>
      <c r="AO9" s="131"/>
      <c r="AP9" s="184" t="str">
        <f>IFERROR((((COUNTIF('Elève (5ème4)'!AM9:AO9,"A"))*4)+((COUNTIF('Elève (5ème4)'!AM9:AO9,"B"))*3)+((COUNTIF('Elève (5ème4)'!AM9:AO9,"C"))*2)+((COUNTIF('Elève (5ème4)'!AM9:AO9,"D"))*1))/(COUNTA(AM9:AO9)),"")</f>
        <v/>
      </c>
      <c r="AQ9" s="185" t="str">
        <f t="shared" si="8"/>
        <v/>
      </c>
      <c r="AR9" s="129"/>
      <c r="AS9" s="130"/>
      <c r="AT9" s="131" t="s">
        <v>27</v>
      </c>
      <c r="AU9" s="184">
        <f>IFERROR((((COUNTIF('Elève (5ème4)'!AR9:AT9,"A"))*4)+((COUNTIF('Elève (5ème4)'!AR9:AT9,"B"))*3)+((COUNTIF('Elève (5ème4)'!AR9:AT9,"C"))*2)+((COUNTIF('Elève (5ème4)'!AR9:AT9,"D"))*1))/(COUNTA(AR9:AT9)),"")</f>
        <v>4</v>
      </c>
      <c r="AV9" s="185" t="str">
        <f t="shared" si="9"/>
        <v>A</v>
      </c>
      <c r="AW9" s="129"/>
      <c r="AX9" s="130"/>
      <c r="AY9" s="131"/>
      <c r="AZ9" s="135" t="s">
        <v>28</v>
      </c>
      <c r="BA9" s="184">
        <f>IFERROR((((COUNTIF('Elève (5ème4)'!AW9:AZ9,"A"))*4)+((COUNTIF('Elève (5ème4)'!AW9:AZ9,"B"))*3)+((COUNTIF('Elève (5ème4)'!AW9:AZ9,"C"))*2)+((COUNTIF('Elève (5ème4)'!AW9:AZ9,"D"))*1))/(COUNTA(AW9:AZ9)),"")</f>
        <v>3</v>
      </c>
      <c r="BB9" s="185" t="str">
        <f t="shared" si="10"/>
        <v>B</v>
      </c>
      <c r="BC9" s="184">
        <f>IF(COUNT(AP9,AU9,BA9)=0,"",SUM(AP9,AU9,BA9)/COUNT(AP9,AU9,BA9))</f>
        <v>3.5</v>
      </c>
      <c r="BD9" s="207" t="str">
        <f t="shared" si="11"/>
        <v>B</v>
      </c>
      <c r="BE9" s="129"/>
      <c r="BF9" s="130"/>
      <c r="BG9" s="131"/>
      <c r="BH9" s="184" t="str">
        <f>IFERROR((((COUNTIF('Elève (5ème4)'!BE9:BG9,"A"))*4)+((COUNTIF('Elève (5ème4)'!BE9:BG9,"B"))*3)+((COUNTIF('Elève (5ème4)'!BE9:BG9,"C"))*2)+((COUNTIF('Elève (5ème4)'!BE9:BG9,"D"))*1))/(COUNTA(BE9:BG9)),"")</f>
        <v/>
      </c>
      <c r="BI9" s="185" t="str">
        <f t="shared" si="12"/>
        <v/>
      </c>
      <c r="BJ9" s="129"/>
      <c r="BK9" s="130"/>
      <c r="BL9" s="131" t="s">
        <v>28</v>
      </c>
      <c r="BM9" s="184">
        <f>IFERROR((((COUNTIF('Elève (5ème4)'!BJ9:BL9,"A"))*4)+((COUNTIF('Elève (5ème4)'!BJ9:BL9,"B"))*3)+((COUNTIF('Elève (5ème4)'!BJ9:BL9,"C"))*2)+((COUNTIF('Elève (5ème4)'!BJ9:BL9,"D"))*1))/(COUNTA(BJ9:BL9)),"")</f>
        <v>3</v>
      </c>
      <c r="BN9" s="185" t="str">
        <f t="shared" si="13"/>
        <v>B</v>
      </c>
      <c r="BO9" s="129"/>
      <c r="BP9" s="130"/>
      <c r="BQ9" s="131"/>
      <c r="BR9" s="135" t="s">
        <v>29</v>
      </c>
      <c r="BS9" s="184">
        <f>IFERROR((((COUNTIF('Elève (5ème4)'!BO9:BR9,"A"))*4)+((COUNTIF('Elève (5ème4)'!BO9:BR9,"B"))*3)+((COUNTIF('Elève (5ème4)'!BO9:BR9,"C"))*2)+((COUNTIF('Elève (5ème4)'!BO9:BR9,"D"))*1))/(COUNTA(BO9:BR9)),"")</f>
        <v>2</v>
      </c>
      <c r="BT9" s="185" t="str">
        <f t="shared" si="14"/>
        <v>C</v>
      </c>
      <c r="BU9" s="184">
        <f>IF(COUNT(BH9,BM9,BS9)=0,"",SUM(BH9,BM9,BS9)/COUNT(BH9,BM9,BS9))</f>
        <v>2.5</v>
      </c>
      <c r="BV9" s="207" t="str">
        <f t="shared" si="15"/>
        <v>C</v>
      </c>
      <c r="BW9" s="129"/>
      <c r="BX9" s="130"/>
      <c r="BY9" s="131"/>
      <c r="BZ9" s="184" t="str">
        <f>IFERROR((((COUNTIF('Elève (5ème4)'!BW9:BY9,"A"))*4)+((COUNTIF('Elève (5ème4)'!BW9:BY9,"B"))*3)+((COUNTIF('Elève (5ème4)'!BW9:BY9,"C"))*2)+((COUNTIF('Elève (5ème4)'!BW9:BY9,"D"))*1))/(COUNTA(BW9:BY9)),"")</f>
        <v/>
      </c>
      <c r="CA9" s="185" t="str">
        <f t="shared" si="16"/>
        <v/>
      </c>
      <c r="CB9" s="129"/>
      <c r="CC9" s="130"/>
      <c r="CD9" s="131" t="s">
        <v>28</v>
      </c>
      <c r="CE9" s="184">
        <f>IFERROR((((COUNTIF('Elève (5ème4)'!CB9:CD9,"A"))*4)+((COUNTIF('Elève (5ème4)'!CB9:CD9,"B"))*3)+((COUNTIF('Elève (5ème4)'!CB9:CD9,"C"))*2)+((COUNTIF('Elève (5ème4)'!CB9:CD9,"D"))*1))/(COUNTA(CB9:CD9)),"")</f>
        <v>3</v>
      </c>
      <c r="CF9" s="185" t="str">
        <f t="shared" si="17"/>
        <v>B</v>
      </c>
      <c r="CG9" s="129"/>
      <c r="CH9" s="130"/>
      <c r="CI9" s="131"/>
      <c r="CJ9" s="135" t="s">
        <v>29</v>
      </c>
      <c r="CK9" s="184">
        <f>IFERROR((((COUNTIF('Elève (5ème4)'!CG9:CJ9,"A"))*4)+((COUNTIF('Elève (5ème4)'!CG9:CJ9,"B"))*3)+((COUNTIF('Elève (5ème4)'!CG9:CJ9,"C"))*2)+((COUNTIF('Elève (5ème4)'!CG9:CJ9,"D"))*1))/(COUNTA(CG9:CJ9)),"")</f>
        <v>2</v>
      </c>
      <c r="CL9" s="185" t="str">
        <f t="shared" si="18"/>
        <v>C</v>
      </c>
      <c r="CM9" s="184">
        <f>IF(COUNT(BZ9,CE9,CK9)=0,"",SUM(BZ9,CE9,CK9)/COUNT(BZ9,CE9,CK9))</f>
        <v>2.5</v>
      </c>
      <c r="CN9" s="207" t="str">
        <f t="shared" si="19"/>
        <v>C</v>
      </c>
      <c r="CO9" s="129"/>
      <c r="CP9" s="130"/>
      <c r="CQ9" s="131"/>
      <c r="CR9" s="184" t="str">
        <f>IFERROR((((COUNTIF('Elève (5ème4)'!CO9:CQ9,"A"))*4)+((COUNTIF('Elève (5ème4)'!CO9:CQ9,"B"))*3)+((COUNTIF('Elève (5ème4)'!CO9:CQ9,"C"))*2)+((COUNTIF('Elève (5ème4)'!CO9:CQ9,"D"))*1))/(COUNTA(CO9:CQ9)),"")</f>
        <v/>
      </c>
      <c r="CS9" s="185" t="str">
        <f t="shared" si="20"/>
        <v/>
      </c>
      <c r="CT9" s="129"/>
      <c r="CU9" s="130"/>
      <c r="CV9" s="131" t="s">
        <v>29</v>
      </c>
      <c r="CW9" s="184">
        <f>IFERROR((((COUNTIF('Elève (5ème4)'!CT9:CV9,"A"))*4)+((COUNTIF('Elève (5ème4)'!CT9:CV9,"B"))*3)+((COUNTIF('Elève (5ème4)'!CT9:CV9,"C"))*2)+((COUNTIF('Elève (5ème4)'!CT9:CV9,"D"))*1))/(COUNTA(CT9:CV9)),"")</f>
        <v>2</v>
      </c>
      <c r="CX9" s="185" t="str">
        <f t="shared" si="21"/>
        <v>C</v>
      </c>
      <c r="CY9" s="129"/>
      <c r="CZ9" s="130"/>
      <c r="DA9" s="131"/>
      <c r="DB9" s="135" t="s">
        <v>29</v>
      </c>
      <c r="DC9" s="184">
        <f>IFERROR((((COUNTIF('Elève (5ème4)'!CY9:DB9,"A"))*4)+((COUNTIF('Elève (5ème4)'!CY9:DB9,"B"))*3)+((COUNTIF('Elève (5ème4)'!CY9:DB9,"C"))*2)+((COUNTIF('Elève (5ème4)'!CY9:DB9,"D"))*1))/(COUNTA(CY9:DB9)),"")</f>
        <v>2</v>
      </c>
      <c r="DD9" s="185" t="str">
        <f t="shared" si="22"/>
        <v>C</v>
      </c>
      <c r="DE9" s="184">
        <f>IF(COUNT(CR9,CW9,DC9)=0,"",SUM(CR9,CW9,DC9)/COUNT(CR9,CW9,DC9))</f>
        <v>2</v>
      </c>
      <c r="DF9" s="207" t="str">
        <f t="shared" si="23"/>
        <v>C</v>
      </c>
      <c r="DG9" s="129"/>
      <c r="DH9" s="130"/>
      <c r="DI9" s="131"/>
      <c r="DJ9" s="184" t="str">
        <f>IFERROR((((COUNTIF('Elève (5ème4)'!DG9:DI9,"A"))*4)+((COUNTIF('Elève (5ème4)'!DG9:DI9,"B"))*3)+((COUNTIF('Elève (5ème4)'!DG9:DI9,"C"))*2)+((COUNTIF('Elève (5ème4)'!DG9:DI9,"D"))*1))/(COUNTA(DG9:DI9)),"")</f>
        <v/>
      </c>
      <c r="DK9" s="185" t="str">
        <f t="shared" si="24"/>
        <v/>
      </c>
      <c r="DL9" s="129"/>
      <c r="DM9" s="130"/>
      <c r="DN9" s="131" t="s">
        <v>29</v>
      </c>
      <c r="DO9" s="184">
        <f>IFERROR((((COUNTIF('Elève (5ème4)'!DL9:DN9,"A"))*4)+((COUNTIF('Elève (5ème4)'!DL9:DN9,"B"))*3)+((COUNTIF('Elève (5ème4)'!DL9:DN9,"C"))*2)+((COUNTIF('Elève (5ème4)'!DL9:DN9,"D"))*1))/(COUNTA(DL9:DN9)),"")</f>
        <v>2</v>
      </c>
      <c r="DP9" s="185" t="str">
        <f t="shared" si="25"/>
        <v>C</v>
      </c>
      <c r="DQ9" s="129"/>
      <c r="DR9" s="130"/>
      <c r="DS9" s="131"/>
      <c r="DT9" s="135" t="s">
        <v>30</v>
      </c>
      <c r="DU9" s="184">
        <f>IFERROR((((COUNTIF('Elève (5ème4)'!DQ9:DT9,"A"))*4)+((COUNTIF('Elève (5ème4)'!DQ9:DT9,"B"))*3)+((COUNTIF('Elève (5ème4)'!DQ9:DT9,"C"))*2)+((COUNTIF('Elève (5ème4)'!DQ9:DT9,"D"))*1))/(COUNTA(DQ9:DT9)),"")</f>
        <v>1</v>
      </c>
      <c r="DV9" s="185" t="str">
        <f t="shared" si="26"/>
        <v>D</v>
      </c>
      <c r="DW9" s="184">
        <f>IF(COUNT(DJ9,DO9,DU9)=0,"",SUM(DJ9,DO9,DU9)/COUNT(DJ9,DO9,DU9))</f>
        <v>1.5</v>
      </c>
      <c r="DX9" s="207" t="str">
        <f t="shared" si="27"/>
        <v>D</v>
      </c>
      <c r="DY9" s="129"/>
      <c r="DZ9" s="130"/>
      <c r="EA9" s="131"/>
      <c r="EB9" s="184" t="str">
        <f>IFERROR((((COUNTIF('Elève (5ème4)'!DY9:EA9,"A"))*4)+((COUNTIF('Elève (5ème4)'!DY9:EA9,"B"))*3)+((COUNTIF('Elève (5ème4)'!DY9:EA9,"C"))*2)+((COUNTIF('Elève (5ème4)'!DY9:EA9,"D"))*1))/(COUNTA(DY9:EA9)),"")</f>
        <v/>
      </c>
      <c r="EC9" s="185" t="str">
        <f t="shared" si="28"/>
        <v/>
      </c>
      <c r="ED9" s="129"/>
      <c r="EE9" s="130"/>
      <c r="EF9" s="131" t="s">
        <v>29</v>
      </c>
      <c r="EG9" s="184">
        <f>IFERROR((((COUNTIF('Elève (5ème4)'!ED9:EF9,"A"))*4)+((COUNTIF('Elève (5ème4)'!ED9:EF9,"B"))*3)+((COUNTIF('Elève (5ème4)'!ED9:EF9,"C"))*2)+((COUNTIF('Elève (5ème4)'!ED9:EF9,"D"))*1))/(COUNTA(ED9:EF9)),"")</f>
        <v>2</v>
      </c>
      <c r="EH9" s="185" t="str">
        <f t="shared" si="29"/>
        <v>C</v>
      </c>
      <c r="EI9" s="129"/>
      <c r="EJ9" s="130"/>
      <c r="EK9" s="131"/>
      <c r="EL9" s="135" t="s">
        <v>29</v>
      </c>
      <c r="EM9" s="184">
        <f>IFERROR((((COUNTIF('Elève (5ème4)'!EI9:EL9,"A"))*4)+((COUNTIF('Elève (5ème4)'!EI9:EL9,"B"))*3)+((COUNTIF('Elève (5ème4)'!EI9:EL9,"C"))*2)+((COUNTIF('Elève (5ème4)'!EI9:EL9,"D"))*1))/(COUNTA(EI9:EL9)),"")</f>
        <v>2</v>
      </c>
      <c r="EN9" s="185" t="str">
        <f t="shared" si="30"/>
        <v>C</v>
      </c>
      <c r="EO9" s="184">
        <f>IF(COUNT(EB9,EG9,EM9)=0,"",SUM(EB9,EG9,EM9)/COUNT(EB9,EG9,EM9))</f>
        <v>2</v>
      </c>
      <c r="EP9" s="207" t="str">
        <f t="shared" si="31"/>
        <v>C</v>
      </c>
      <c r="EQ9" s="129"/>
      <c r="ER9" s="130"/>
      <c r="ES9" s="131"/>
      <c r="ET9" s="184" t="str">
        <f>IFERROR((((COUNTIF('Elève (5ème4)'!EQ9:ES9,"A"))*4)+((COUNTIF('Elève (5ème4)'!EQ9:ES9,"B"))*3)+((COUNTIF('Elève (5ème4)'!EQ9:ES9,"C"))*2)+((COUNTIF('Elève (5ème4)'!EQ9:ES9,"D"))*1))/(COUNTA(EQ9:ES9)),"")</f>
        <v/>
      </c>
      <c r="EU9" s="185" t="str">
        <f t="shared" si="32"/>
        <v/>
      </c>
      <c r="EV9" s="129"/>
      <c r="EW9" s="130"/>
      <c r="EX9" s="131" t="s">
        <v>28</v>
      </c>
      <c r="EY9" s="184">
        <f>IFERROR((((COUNTIF('Elève (5ème4)'!EV9:EX9,"A"))*4)+((COUNTIF('Elève (5ème4)'!EV9:EX9,"B"))*3)+((COUNTIF('Elève (5ème4)'!EV9:EX9,"C"))*2)+((COUNTIF('Elève (5ème4)'!EV9:EX9,"D"))*1))/(COUNTA(EV9:EX9)),"")</f>
        <v>3</v>
      </c>
      <c r="EZ9" s="185" t="str">
        <f t="shared" si="33"/>
        <v>B</v>
      </c>
      <c r="FA9" s="129"/>
      <c r="FB9" s="130"/>
      <c r="FC9" s="131"/>
      <c r="FD9" s="135" t="s">
        <v>29</v>
      </c>
      <c r="FE9" s="184">
        <f>IFERROR((((COUNTIF('Elève (5ème4)'!FA9:FD9,"A"))*4)+((COUNTIF('Elève (5ème4)'!FA9:FD9,"B"))*3)+((COUNTIF('Elève (5ème4)'!FA9:FD9,"C"))*2)+((COUNTIF('Elève (5ème4)'!FA9:FD9,"D"))*1))/(COUNTA(FA9:FD9)),"")</f>
        <v>2</v>
      </c>
      <c r="FF9" s="185" t="str">
        <f t="shared" si="34"/>
        <v>C</v>
      </c>
      <c r="FG9" s="184">
        <f>IF(COUNT(ET9,EY9,FE9)=0,"",SUM(ET9,EY9,FE9)/COUNT(ET9,EY9,FE9))</f>
        <v>2.5</v>
      </c>
      <c r="FH9" s="207" t="str">
        <f t="shared" si="35"/>
        <v>C</v>
      </c>
      <c r="FI9" s="129"/>
      <c r="FJ9" s="130"/>
      <c r="FK9" s="131"/>
      <c r="FL9" s="184" t="str">
        <f>IFERROR((((COUNTIF('Elève (5ème4)'!FI9:FK9,"A"))*4)+((COUNTIF('Elève (5ème4)'!FI9:FK9,"B"))*3)+((COUNTIF('Elève (5ème4)'!FI9:FK9,"C"))*2)+((COUNTIF('Elève (5ème4)'!FI9:FK9,"D"))*1))/(COUNTA(FI9:FK9)),"")</f>
        <v/>
      </c>
      <c r="FM9" s="185" t="str">
        <f t="shared" si="36"/>
        <v/>
      </c>
      <c r="FN9" s="129"/>
      <c r="FO9" s="130"/>
      <c r="FP9" s="131" t="s">
        <v>29</v>
      </c>
      <c r="FQ9" s="184">
        <f>IFERROR((((COUNTIF('Elève (5ème4)'!FN9:FP9,"A"))*4)+((COUNTIF('Elève (5ème4)'!FN9:FP9,"B"))*3)+((COUNTIF('Elève (5ème4)'!FN9:FP9,"C"))*2)+((COUNTIF('Elève (5ème4)'!FN9:FP9,"D"))*1))/(COUNTA(FN9:FP9)),"")</f>
        <v>2</v>
      </c>
      <c r="FR9" s="185" t="str">
        <f t="shared" si="37"/>
        <v>C</v>
      </c>
      <c r="FS9" s="129"/>
      <c r="FT9" s="130"/>
      <c r="FU9" s="131"/>
      <c r="FV9" s="135" t="s">
        <v>28</v>
      </c>
      <c r="FW9" s="184">
        <f>IFERROR((((COUNTIF('Elève (5ème4)'!FS9:FV9,"A"))*4)+((COUNTIF('Elève (5ème4)'!FS9:FV9,"B"))*3)+((COUNTIF('Elève (5ème4)'!FS9:FV9,"C"))*2)+((COUNTIF('Elève (5ème4)'!FS9:FV9,"D"))*1))/(COUNTA(FS9:FV9)),"")</f>
        <v>3</v>
      </c>
      <c r="FX9" s="185" t="str">
        <f t="shared" si="38"/>
        <v>B</v>
      </c>
      <c r="FY9" s="184">
        <f>IF(COUNT(FL9,FQ9,FW9)=0,"",SUM(FL9,FQ9,FW9)/COUNT(FL9,FQ9,FW9))</f>
        <v>2.5</v>
      </c>
      <c r="FZ9" s="207" t="str">
        <f t="shared" si="39"/>
        <v>C</v>
      </c>
      <c r="GA9" s="129"/>
      <c r="GB9" s="130"/>
      <c r="GC9" s="131"/>
      <c r="GD9" s="184" t="str">
        <f>IFERROR((((COUNTIF('Elève (5ème4)'!GA9:GC9,"A"))*4)+((COUNTIF('Elève (5ème4)'!GA9:GC9,"B"))*3)+((COUNTIF('Elève (5ème4)'!GA9:GC9,"C"))*2)+((COUNTIF('Elève (5ème4)'!GA9:GC9,"D"))*1))/(COUNTA(GA9:GC9)),"")</f>
        <v/>
      </c>
      <c r="GE9" s="185" t="str">
        <f t="shared" si="40"/>
        <v/>
      </c>
      <c r="GF9" s="129"/>
      <c r="GG9" s="130"/>
      <c r="GH9" s="131" t="s">
        <v>28</v>
      </c>
      <c r="GI9" s="184">
        <f>IFERROR((((COUNTIF('Elève (5ème4)'!GF9:GH9,"A"))*4)+((COUNTIF('Elève (5ème4)'!GF9:GH9,"B"))*3)+((COUNTIF('Elève (5ème4)'!GF9:GH9,"C"))*2)+((COUNTIF('Elève (5ème4)'!GF9:GH9,"D"))*1))/(COUNTA(GF9:GH9)),"")</f>
        <v>3</v>
      </c>
      <c r="GJ9" s="185" t="str">
        <f t="shared" si="41"/>
        <v>B</v>
      </c>
      <c r="GK9" s="129"/>
      <c r="GL9" s="130"/>
      <c r="GM9" s="131"/>
      <c r="GN9" s="135" t="s">
        <v>27</v>
      </c>
      <c r="GO9" s="184">
        <f>IFERROR((((COUNTIF('Elève (5ème4)'!GK9:GN9,"A"))*4)+((COUNTIF('Elève (5ème4)'!GK9:GN9,"B"))*3)+((COUNTIF('Elève (5ème4)'!GK9:GN9,"C"))*2)+((COUNTIF('Elève (5ème4)'!GK9:GN9,"D"))*1))/(COUNTA(GK9:GN9)),"")</f>
        <v>4</v>
      </c>
      <c r="GP9" s="185" t="str">
        <f t="shared" si="42"/>
        <v>A</v>
      </c>
      <c r="GQ9" s="184">
        <f>IF(COUNT(GD9,GI9,GO9)=0,"",SUM(GD9,GI9,GO9)/COUNT(GD9,GI9,GO9))</f>
        <v>3.5</v>
      </c>
      <c r="GR9" s="207" t="str">
        <f t="shared" si="43"/>
        <v>B</v>
      </c>
      <c r="GS9" s="129"/>
      <c r="GT9" s="130"/>
      <c r="GU9" s="131"/>
      <c r="GV9" s="184" t="str">
        <f>IFERROR((((COUNTIF('Elève (5ème4)'!GS9:GU9,"A"))*4)+((COUNTIF('Elève (5ème4)'!GS9:GU9,"B"))*3)+((COUNTIF('Elève (5ème4)'!GS9:GU9,"C"))*2)+((COUNTIF('Elève (5ème4)'!GS9:GU9,"D"))*1))/(COUNTA(GS9:GU9)),"")</f>
        <v/>
      </c>
      <c r="GW9" s="185" t="str">
        <f t="shared" si="44"/>
        <v/>
      </c>
      <c r="GX9" s="129"/>
      <c r="GY9" s="130"/>
      <c r="GZ9" s="131" t="s">
        <v>28</v>
      </c>
      <c r="HA9" s="184">
        <f>IFERROR((((COUNTIF('Elève (5ème4)'!GX9:GZ9,"A"))*4)+((COUNTIF('Elève (5ème4)'!GX9:GZ9,"B"))*3)+((COUNTIF('Elève (5ème4)'!GX9:GZ9,"C"))*2)+((COUNTIF('Elève (5ème4)'!GX9:GZ9,"D"))*1))/(COUNTA(GX9:GZ9)),"")</f>
        <v>3</v>
      </c>
      <c r="HB9" s="185" t="str">
        <f t="shared" si="45"/>
        <v>B</v>
      </c>
      <c r="HC9" s="129"/>
      <c r="HD9" s="130"/>
      <c r="HE9" s="131"/>
      <c r="HF9" s="135" t="s">
        <v>29</v>
      </c>
      <c r="HG9" s="184">
        <f>IFERROR((((COUNTIF('Elève (5ème4)'!HC9:HF9,"A"))*4)+((COUNTIF('Elève (5ème4)'!HC9:HF9,"B"))*3)+((COUNTIF('Elève (5ème4)'!HC9:HF9,"C"))*2)+((COUNTIF('Elève (5ème4)'!HC9:HF9,"D"))*1))/(COUNTA(HC9:HF9)),"")</f>
        <v>2</v>
      </c>
      <c r="HH9" s="185" t="str">
        <f t="shared" si="46"/>
        <v>C</v>
      </c>
      <c r="HI9" s="184">
        <f>IF(COUNT(GV9,HA9,HG9)=0,"",SUM(GV9,HA9,HG9)/COUNT(GV9,HA9,HG9))</f>
        <v>2.5</v>
      </c>
      <c r="HJ9" s="207" t="str">
        <f t="shared" si="47"/>
        <v>C</v>
      </c>
      <c r="HK9" s="129"/>
      <c r="HL9" s="130"/>
      <c r="HM9" s="131"/>
      <c r="HN9" s="184" t="str">
        <f>IFERROR((((COUNTIF('Elève (5ème4)'!HK9:HM9,"A"))*4)+((COUNTIF('Elève (5ème4)'!HK9:HM9,"B"))*3)+((COUNTIF('Elève (5ème4)'!HK9:HM9,"C"))*2)+((COUNTIF('Elève (5ème4)'!HK9:HM9,"D"))*1))/(COUNTA(HK9:HM9)),"")</f>
        <v/>
      </c>
      <c r="HO9" s="185" t="str">
        <f t="shared" si="48"/>
        <v/>
      </c>
      <c r="HP9" s="129"/>
      <c r="HQ9" s="130"/>
      <c r="HR9" s="131" t="s">
        <v>28</v>
      </c>
      <c r="HS9" s="184">
        <f>IFERROR((((COUNTIF('Elève (5ème4)'!HP9:HR9,"A"))*4)+((COUNTIF('Elève (5ème4)'!HP9:HR9,"B"))*3)+((COUNTIF('Elève (5ème4)'!HP9:HR9,"C"))*2)+((COUNTIF('Elève (5ème4)'!HP9:HR9,"D"))*1))/(COUNTA(HP9:HR9)),"")</f>
        <v>3</v>
      </c>
      <c r="HT9" s="185" t="str">
        <f t="shared" si="49"/>
        <v>B</v>
      </c>
      <c r="HU9" s="129"/>
      <c r="HV9" s="130"/>
      <c r="HW9" s="131"/>
      <c r="HX9" s="135" t="s">
        <v>27</v>
      </c>
      <c r="HY9" s="184">
        <f>IFERROR((((COUNTIF('Elève (5ème4)'!HU9:HX9,"A"))*4)+((COUNTIF('Elève (5ème4)'!HU9:HX9,"B"))*3)+((COUNTIF('Elève (5ème4)'!HU9:HX9,"C"))*2)+((COUNTIF('Elève (5ème4)'!HU9:HX9,"D"))*1))/(COUNTA(HU9:HX9)),"")</f>
        <v>4</v>
      </c>
      <c r="HZ9" s="185" t="str">
        <f t="shared" si="50"/>
        <v>A</v>
      </c>
      <c r="IA9" s="184">
        <f>IF(COUNT(HN9,HS9,HY9)=0,"",SUM(HN9,HS9,HY9)/COUNT(HN9,HS9,HY9))</f>
        <v>3.5</v>
      </c>
      <c r="IB9" s="207" t="str">
        <f t="shared" si="51"/>
        <v>B</v>
      </c>
      <c r="IC9" s="129"/>
      <c r="ID9" s="130"/>
      <c r="IE9" s="131"/>
      <c r="IF9" s="184" t="str">
        <f>IFERROR((((COUNTIF('Elève (5ème4)'!IC9:IE9,"A"))*4)+((COUNTIF('Elève (5ème4)'!IC9:IE9,"B"))*3)+((COUNTIF('Elève (5ème4)'!IC9:IE9,"C"))*2)+((COUNTIF('Elève (5ème4)'!IC9:IE9,"D"))*1))/(COUNTA(IC9:IE9)),"")</f>
        <v/>
      </c>
      <c r="IG9" s="185" t="str">
        <f t="shared" si="52"/>
        <v/>
      </c>
      <c r="IH9" s="129"/>
      <c r="II9" s="130"/>
      <c r="IJ9" s="131" t="s">
        <v>28</v>
      </c>
      <c r="IK9" s="184">
        <f>IFERROR((((COUNTIF('Elève (5ème4)'!IH9:IJ9,"A"))*4)+((COUNTIF('Elève (5ème4)'!IH9:IJ9,"B"))*3)+((COUNTIF('Elève (5ème4)'!IH9:IJ9,"C"))*2)+((COUNTIF('Elève (5ème4)'!IH9:IJ9,"D"))*1))/(COUNTA(IH9:IJ9)),"")</f>
        <v>3</v>
      </c>
      <c r="IL9" s="185" t="str">
        <f t="shared" si="53"/>
        <v>B</v>
      </c>
      <c r="IM9" s="129"/>
      <c r="IN9" s="130"/>
      <c r="IO9" s="131"/>
      <c r="IP9" s="135" t="s">
        <v>27</v>
      </c>
      <c r="IQ9" s="184">
        <f>IFERROR((((COUNTIF('Elève (5ème4)'!IM9:IP9,"A"))*4)+((COUNTIF('Elève (5ème4)'!IM9:IP9,"B"))*3)+((COUNTIF('Elève (5ème4)'!IM9:IP9,"C"))*2)+((COUNTIF('Elève (5ème4)'!IM9:IP9,"D"))*1))/(COUNTA(IM9:IP9)),"")</f>
        <v>4</v>
      </c>
      <c r="IR9" s="185" t="str">
        <f t="shared" si="54"/>
        <v>A</v>
      </c>
      <c r="IS9" s="184">
        <f>IF(COUNT(IF9,IK9,IQ9)=0,"",SUM(IF9,IK9,IQ9)/COUNT(IF9,IK9,IQ9))</f>
        <v>3.5</v>
      </c>
      <c r="IT9" s="207" t="str">
        <f t="shared" si="55"/>
        <v>B</v>
      </c>
      <c r="IU9" s="129"/>
      <c r="IV9" s="130"/>
      <c r="IW9" s="131"/>
      <c r="IX9" s="184" t="str">
        <f>IFERROR((((COUNTIF('Elève (5ème4)'!IU9:IW9,"A"))*4)+((COUNTIF('Elève (5ème4)'!IU9:IW9,"B"))*3)+((COUNTIF('Elève (5ème4)'!IU9:IW9,"C"))*2)+((COUNTIF('Elève (5ème4)'!IU9:IW9,"D"))*1))/(COUNTA(IU9:IW9)),"")</f>
        <v/>
      </c>
      <c r="IY9" s="185" t="str">
        <f t="shared" si="56"/>
        <v/>
      </c>
      <c r="IZ9" s="129"/>
      <c r="JA9" s="130"/>
      <c r="JB9" s="131" t="s">
        <v>28</v>
      </c>
      <c r="JC9" s="184">
        <f>IFERROR((((COUNTIF('Elève (5ème4)'!IZ9:JB9,"A"))*4)+((COUNTIF('Elève (5ème4)'!IZ9:JB9,"B"))*3)+((COUNTIF('Elève (5ème4)'!IZ9:JB9,"C"))*2)+((COUNTIF('Elève (5ème4)'!IZ9:JB9,"D"))*1))/(COUNTA(IZ9:JB9)),"")</f>
        <v>3</v>
      </c>
      <c r="JD9" s="185" t="str">
        <f t="shared" si="57"/>
        <v>B</v>
      </c>
      <c r="JE9" s="129"/>
      <c r="JF9" s="130"/>
      <c r="JG9" s="131"/>
      <c r="JH9" s="135" t="s">
        <v>29</v>
      </c>
      <c r="JI9" s="184">
        <f>IFERROR((((COUNTIF('Elève (5ème4)'!JE9:JH9,"A"))*4)+((COUNTIF('Elève (5ème4)'!JE9:JH9,"B"))*3)+((COUNTIF('Elève (5ème4)'!JE9:JH9,"C"))*2)+((COUNTIF('Elève (5ème4)'!JE9:JH9,"D"))*1))/(COUNTA(JE9:JH9)),"")</f>
        <v>2</v>
      </c>
      <c r="JJ9" s="185" t="str">
        <f t="shared" si="58"/>
        <v>C</v>
      </c>
      <c r="JK9" s="184">
        <f>IF(COUNT(IX9,JC9,JI9)=0,"",SUM(IX9,JC9,JI9)/COUNT(IX9,JC9,JI9))</f>
        <v>2.5</v>
      </c>
      <c r="JL9" s="207" t="str">
        <f t="shared" si="59"/>
        <v>C</v>
      </c>
      <c r="JM9" s="129"/>
      <c r="JN9" s="130"/>
      <c r="JO9" s="131"/>
      <c r="JP9" s="184" t="str">
        <f>IFERROR((((COUNTIF('Elève (5ème4)'!JM9:JO9,"A"))*4)+((COUNTIF('Elève (5ème4)'!JM9:JO9,"B"))*3)+((COUNTIF('Elève (5ème4)'!JM9:JO9,"C"))*2)+((COUNTIF('Elève (5ème4)'!JM9:JO9,"D"))*1))/(COUNTA(JM9:JO9)),"")</f>
        <v/>
      </c>
      <c r="JQ9" s="185" t="str">
        <f t="shared" si="60"/>
        <v/>
      </c>
      <c r="JR9" s="129"/>
      <c r="JS9" s="130"/>
      <c r="JT9" s="131" t="s">
        <v>27</v>
      </c>
      <c r="JU9" s="184">
        <f>IFERROR((((COUNTIF('Elève (5ème4)'!JR9:JT9,"A"))*4)+((COUNTIF('Elève (5ème4)'!JR9:JT9,"B"))*3)+((COUNTIF('Elève (5ème4)'!JR9:JT9,"C"))*2)+((COUNTIF('Elève (5ème4)'!JR9:JT9,"D"))*1))/(COUNTA(JR9:JT9)),"")</f>
        <v>4</v>
      </c>
      <c r="JV9" s="185" t="str">
        <f t="shared" si="61"/>
        <v>A</v>
      </c>
      <c r="JW9" s="129"/>
      <c r="JX9" s="130"/>
      <c r="JY9" s="131"/>
      <c r="JZ9" s="135" t="s">
        <v>29</v>
      </c>
      <c r="KA9" s="184">
        <f>IFERROR((((COUNTIF('Elève (5ème4)'!JW9:JZ9,"A"))*4)+((COUNTIF('Elève (5ème4)'!JW9:JZ9,"B"))*3)+((COUNTIF('Elève (5ème4)'!JW9:JZ9,"C"))*2)+((COUNTIF('Elève (5ème4)'!JW9:JZ9,"D"))*1))/(COUNTA(JW9:JZ9)),"")</f>
        <v>2</v>
      </c>
      <c r="KB9" s="185" t="str">
        <f t="shared" si="62"/>
        <v>C</v>
      </c>
      <c r="KC9" s="184">
        <f>IF(COUNT(JP9,JU9,KA9)=0,"",SUM(JP9,JU9,KA9)/COUNT(JP9,JU9,KA9))</f>
        <v>3</v>
      </c>
      <c r="KD9" s="207" t="str">
        <f t="shared" si="63"/>
        <v>B</v>
      </c>
      <c r="KE9" s="129"/>
      <c r="KF9" s="130"/>
      <c r="KG9" s="131"/>
      <c r="KH9" s="184" t="str">
        <f>IFERROR((((COUNTIF('Elève (5ème4)'!KE9:KG9,"A"))*4)+((COUNTIF('Elève (5ème4)'!KE9:KG9,"B"))*3)+((COUNTIF('Elève (5ème4)'!KE9:KG9,"C"))*2)+((COUNTIF('Elève (5ème4)'!KE9:KG9,"D"))*1))/(COUNTA(KE9:KG9)),"")</f>
        <v/>
      </c>
      <c r="KI9" s="185" t="str">
        <f t="shared" si="64"/>
        <v/>
      </c>
      <c r="KJ9" s="129"/>
      <c r="KK9" s="130"/>
      <c r="KL9" s="131" t="s">
        <v>27</v>
      </c>
      <c r="KM9" s="184">
        <f>IFERROR((((COUNTIF('Elève (5ème4)'!KJ9:KL9,"A"))*4)+((COUNTIF('Elève (5ème4)'!KJ9:KL9,"B"))*3)+((COUNTIF('Elève (5ème4)'!KJ9:KL9,"C"))*2)+((COUNTIF('Elève (5ème4)'!KJ9:KL9,"D"))*1))/(COUNTA(KJ9:KL9)),"")</f>
        <v>4</v>
      </c>
      <c r="KN9" s="185" t="str">
        <f t="shared" si="65"/>
        <v>A</v>
      </c>
      <c r="KO9" s="129"/>
      <c r="KP9" s="130"/>
      <c r="KQ9" s="131"/>
      <c r="KR9" s="135" t="s">
        <v>27</v>
      </c>
      <c r="KS9" s="184">
        <f>IFERROR((((COUNTIF('Elève (5ème4)'!KO9:KR9,"A"))*4)+((COUNTIF('Elève (5ème4)'!KO9:KR9,"B"))*3)+((COUNTIF('Elève (5ème4)'!KO9:KR9,"C"))*2)+((COUNTIF('Elève (5ème4)'!KO9:KR9,"D"))*1))/(COUNTA(KO9:KR9)),"")</f>
        <v>4</v>
      </c>
      <c r="KT9" s="185" t="str">
        <f t="shared" si="66"/>
        <v>A</v>
      </c>
      <c r="KU9" s="184">
        <f>IF(COUNT(KH9,KM9,KS9)=0,"",SUM(KH9,KM9,KS9)/COUNT(KH9,KM9,KS9))</f>
        <v>4</v>
      </c>
      <c r="KV9" s="207" t="str">
        <f t="shared" si="67"/>
        <v>A</v>
      </c>
      <c r="KW9" s="129"/>
      <c r="KX9" s="130"/>
      <c r="KY9" s="131"/>
      <c r="KZ9" s="184" t="str">
        <f>IFERROR((((COUNTIF('Elève (5ème4)'!KW9:KY9,"A"))*4)+((COUNTIF('Elève (5ème4)'!KW9:KY9,"B"))*3)+((COUNTIF('Elève (5ème4)'!KW9:KY9,"C"))*2)+((COUNTIF('Elève (5ème4)'!KW9:KY9,"D"))*1))/(COUNTA(KW9:KY9)),"")</f>
        <v/>
      </c>
      <c r="LA9" s="185" t="str">
        <f t="shared" si="68"/>
        <v/>
      </c>
      <c r="LB9" s="129"/>
      <c r="LC9" s="130"/>
      <c r="LD9" s="131" t="s">
        <v>28</v>
      </c>
      <c r="LE9" s="184">
        <f>IFERROR((((COUNTIF('Elève (5ème4)'!LB9:LD9,"A"))*4)+((COUNTIF('Elève (5ème4)'!LB9:LD9,"B"))*3)+((COUNTIF('Elève (5ème4)'!LB9:LD9,"C"))*2)+((COUNTIF('Elève (5ème4)'!LB9:LD9,"D"))*1))/(COUNTA(LB9:LD9)),"")</f>
        <v>3</v>
      </c>
      <c r="LF9" s="185" t="str">
        <f t="shared" si="69"/>
        <v>B</v>
      </c>
      <c r="LG9" s="129"/>
      <c r="LH9" s="130"/>
      <c r="LI9" s="131"/>
      <c r="LJ9" s="135" t="s">
        <v>29</v>
      </c>
      <c r="LK9" s="184">
        <f>IFERROR((((COUNTIF('Elève (5ème4)'!LG9:LJ9,"A"))*4)+((COUNTIF('Elève (5ème4)'!LG9:LJ9,"B"))*3)+((COUNTIF('Elève (5ème4)'!LG9:LJ9,"C"))*2)+((COUNTIF('Elève (5ème4)'!LG9:LJ9,"D"))*1))/(COUNTA(LG9:LJ9)),"")</f>
        <v>2</v>
      </c>
      <c r="LL9" s="185" t="str">
        <f t="shared" si="70"/>
        <v>C</v>
      </c>
      <c r="LM9" s="184">
        <f>IF(COUNT(KZ9,LE9,LK9)=0,"",SUM(KZ9,LE9,LK9)/COUNT(KZ9,LE9,LK9))</f>
        <v>2.5</v>
      </c>
      <c r="LN9" s="207" t="str">
        <f t="shared" si="71"/>
        <v>C</v>
      </c>
      <c r="LO9" s="129"/>
      <c r="LP9" s="130"/>
      <c r="LQ9" s="131"/>
      <c r="LR9" s="184" t="str">
        <f>IFERROR((((COUNTIF('Elève (5ème4)'!LO9:LQ9,"A"))*4)+((COUNTIF('Elève (5ème4)'!LO9:LQ9,"B"))*3)+((COUNTIF('Elève (5ème4)'!LO9:LQ9,"C"))*2)+((COUNTIF('Elève (5ème4)'!LO9:LQ9,"D"))*1))/(COUNTA(LO9:LQ9)),"")</f>
        <v/>
      </c>
      <c r="LS9" s="185" t="str">
        <f t="shared" si="72"/>
        <v/>
      </c>
      <c r="LT9" s="129"/>
      <c r="LU9" s="130"/>
      <c r="LV9" s="131" t="s">
        <v>30</v>
      </c>
      <c r="LW9" s="184">
        <f>IFERROR((((COUNTIF('Elève (5ème4)'!LT9:LV9,"A"))*4)+((COUNTIF('Elève (5ème4)'!LT9:LV9,"B"))*3)+((COUNTIF('Elève (5ème4)'!LT9:LV9,"C"))*2)+((COUNTIF('Elève (5ème4)'!LT9:LV9,"D"))*1))/(COUNTA(LT9:LV9)),"")</f>
        <v>1</v>
      </c>
      <c r="LX9" s="185" t="str">
        <f t="shared" si="73"/>
        <v>D</v>
      </c>
      <c r="LY9" s="129"/>
      <c r="LZ9" s="130"/>
      <c r="MA9" s="131"/>
      <c r="MB9" s="135" t="s">
        <v>29</v>
      </c>
      <c r="MC9" s="184">
        <f>IFERROR((((COUNTIF('Elève (5ème4)'!LY9:MB9,"A"))*4)+((COUNTIF('Elève (5ème4)'!LY9:MB9,"B"))*3)+((COUNTIF('Elève (5ème4)'!LY9:MB9,"C"))*2)+((COUNTIF('Elève (5ème4)'!LY9:MB9,"D"))*1))/(COUNTA(LY9:MB9)),"")</f>
        <v>2</v>
      </c>
      <c r="MD9" s="185" t="str">
        <f t="shared" si="74"/>
        <v>C</v>
      </c>
      <c r="ME9" s="184">
        <f>IF(COUNT(LR9,LW9,MC9)=0,"",SUM(LR9,LW9,MC9)/COUNT(LR9,LW9,MC9))</f>
        <v>1.5</v>
      </c>
      <c r="MF9" s="207" t="str">
        <f t="shared" si="75"/>
        <v>D</v>
      </c>
      <c r="MG9" s="129"/>
      <c r="MH9" s="130"/>
      <c r="MI9" s="131"/>
      <c r="MJ9" s="184" t="str">
        <f>IFERROR((((COUNTIF('Elève (5ème4)'!MG9:MI9,"A"))*4)+((COUNTIF('Elève (5ème4)'!MG9:MI9,"B"))*3)+((COUNTIF('Elève (5ème4)'!MG9:MI9,"C"))*2)+((COUNTIF('Elève (5ème4)'!MG9:MI9,"D"))*1))/(COUNTA(MG9:MI9)),"")</f>
        <v/>
      </c>
      <c r="MK9" s="185" t="str">
        <f t="shared" si="76"/>
        <v/>
      </c>
      <c r="ML9" s="129"/>
      <c r="MM9" s="130"/>
      <c r="MN9" s="131" t="s">
        <v>29</v>
      </c>
      <c r="MO9" s="184">
        <f>IFERROR((((COUNTIF('Elève (5ème4)'!ML9:MN9,"A"))*4)+((COUNTIF('Elève (5ème4)'!ML9:MN9,"B"))*3)+((COUNTIF('Elève (5ème4)'!ML9:MN9,"C"))*2)+((COUNTIF('Elève (5ème4)'!ML9:MN9,"D"))*1))/(COUNTA(ML9:MN9)),"")</f>
        <v>2</v>
      </c>
      <c r="MP9" s="185" t="str">
        <f t="shared" si="77"/>
        <v>C</v>
      </c>
      <c r="MQ9" s="129"/>
      <c r="MR9" s="130"/>
      <c r="MS9" s="131"/>
      <c r="MT9" s="135" t="s">
        <v>29</v>
      </c>
      <c r="MU9" s="184">
        <f>IFERROR((((COUNTIF('Elève (5ème4)'!MQ9:MT9,"A"))*4)+((COUNTIF('Elève (5ème4)'!MQ9:MT9,"B"))*3)+((COUNTIF('Elève (5ème4)'!MQ9:MT9,"C"))*2)+((COUNTIF('Elève (5ème4)'!MQ9:MT9,"D"))*1))/(COUNTA(MQ9:MT9)),"")</f>
        <v>2</v>
      </c>
      <c r="MV9" s="185" t="str">
        <f t="shared" si="78"/>
        <v>C</v>
      </c>
      <c r="MW9" s="184">
        <f>IF(COUNT(MJ9,MO9,MU9)=0,"",SUM(MJ9,MO9,MU9)/COUNT(MJ9,MO9,MU9))</f>
        <v>2</v>
      </c>
      <c r="MX9" s="207" t="str">
        <f t="shared" si="79"/>
        <v>C</v>
      </c>
      <c r="MY9" s="129"/>
      <c r="MZ9" s="130"/>
      <c r="NA9" s="131"/>
      <c r="NB9" s="184" t="str">
        <f>IFERROR((((COUNTIF('Elève (5ème4)'!MY9:NA9,"A"))*4)+((COUNTIF('Elève (5ème4)'!MY9:NA9,"B"))*3)+((COUNTIF('Elève (5ème4)'!MY9:NA9,"C"))*2)+((COUNTIF('Elève (5ème4)'!MY9:NA9,"D"))*1))/(COUNTA(MY9:NA9)),"")</f>
        <v/>
      </c>
      <c r="NC9" s="185" t="str">
        <f t="shared" si="80"/>
        <v/>
      </c>
      <c r="ND9" s="129"/>
      <c r="NE9" s="130"/>
      <c r="NF9" s="131" t="s">
        <v>29</v>
      </c>
      <c r="NG9" s="184">
        <f>IFERROR((((COUNTIF('Elève (5ème4)'!ND9:NF9,"A"))*4)+((COUNTIF('Elève (5ème4)'!ND9:NF9,"B"))*3)+((COUNTIF('Elève (5ème4)'!ND9:NF9,"C"))*2)+((COUNTIF('Elève (5ème4)'!ND9:NF9,"D"))*1))/(COUNTA(ND9:NF9)),"")</f>
        <v>2</v>
      </c>
      <c r="NH9" s="185" t="str">
        <f t="shared" si="81"/>
        <v>C</v>
      </c>
      <c r="NI9" s="129"/>
      <c r="NJ9" s="130"/>
      <c r="NK9" s="131"/>
      <c r="NL9" s="135" t="s">
        <v>29</v>
      </c>
      <c r="NM9" s="184">
        <f>IFERROR((((COUNTIF('Elève (5ème4)'!NI9:NL9,"A"))*4)+((COUNTIF('Elève (5ème4)'!NI9:NL9,"B"))*3)+((COUNTIF('Elève (5ème4)'!NI9:NL9,"C"))*2)+((COUNTIF('Elève (5ème4)'!NI9:NL9,"D"))*1))/(COUNTA(NI9:NL9)),"")</f>
        <v>2</v>
      </c>
      <c r="NN9" s="185" t="str">
        <f t="shared" si="82"/>
        <v>C</v>
      </c>
      <c r="NO9" s="184">
        <f>IF(COUNT(NB9,NG9,NM9)=0,"",SUM(NB9,NG9,NM9)/COUNT(NB9,NG9,NM9))</f>
        <v>2</v>
      </c>
      <c r="NP9" s="207" t="str">
        <f t="shared" si="83"/>
        <v>C</v>
      </c>
      <c r="NQ9" s="129"/>
      <c r="NR9" s="130"/>
      <c r="NS9" s="131"/>
      <c r="NT9" s="184" t="str">
        <f>IFERROR((((COUNTIF('Elève (5ème4)'!NQ9:NS9,"A"))*4)+((COUNTIF('Elève (5ème4)'!NQ9:NS9,"B"))*3)+((COUNTIF('Elève (5ème4)'!NQ9:NS9,"C"))*2)+((COUNTIF('Elève (5ème4)'!NQ9:NS9,"D"))*1))/(COUNTA(NQ9:NS9)),"")</f>
        <v/>
      </c>
      <c r="NU9" s="185" t="str">
        <f t="shared" si="84"/>
        <v/>
      </c>
      <c r="NV9" s="129"/>
      <c r="NW9" s="130"/>
      <c r="NX9" s="131" t="s">
        <v>28</v>
      </c>
      <c r="NY9" s="184">
        <f>IFERROR((((COUNTIF('Elève (5ème4)'!NV9:NX9,"A"))*4)+((COUNTIF('Elève (5ème4)'!NV9:NX9,"B"))*3)+((COUNTIF('Elève (5ème4)'!NV9:NX9,"C"))*2)+((COUNTIF('Elève (5ème4)'!NV9:NX9,"D"))*1))/(COUNTA(NV9:NX9)),"")</f>
        <v>3</v>
      </c>
      <c r="NZ9" s="185" t="str">
        <f t="shared" si="85"/>
        <v>B</v>
      </c>
      <c r="OA9" s="129"/>
      <c r="OB9" s="130"/>
      <c r="OC9" s="131"/>
      <c r="OD9" s="135" t="s">
        <v>29</v>
      </c>
      <c r="OE9" s="184">
        <f>IFERROR((((COUNTIF('Elève (5ème4)'!OA9:OD9,"A"))*4)+((COUNTIF('Elève (5ème4)'!OA9:OD9,"B"))*3)+((COUNTIF('Elève (5ème4)'!OA9:OD9,"C"))*2)+((COUNTIF('Elève (5ème4)'!OA9:OD9,"D"))*1))/(COUNTA(OA9:OD9)),"")</f>
        <v>2</v>
      </c>
      <c r="OF9" s="185" t="str">
        <f t="shared" si="86"/>
        <v>C</v>
      </c>
      <c r="OG9" s="184">
        <f>IF(COUNT(NT9,NY9,OE9)=0,"",SUM(NT9,NY9,OE9)/COUNT(NT9,NY9,OE9))</f>
        <v>2.5</v>
      </c>
      <c r="OH9" s="207" t="str">
        <f t="shared" si="87"/>
        <v>C</v>
      </c>
      <c r="OI9" s="129"/>
      <c r="OJ9" s="130"/>
      <c r="OK9" s="131"/>
      <c r="OL9" s="184" t="str">
        <f>IFERROR((((COUNTIF('Elève (5ème4)'!OI9:OK9,"A"))*4)+((COUNTIF('Elève (5ème4)'!OI9:OK9,"B"))*3)+((COUNTIF('Elève (5ème4)'!OI9:OK9,"C"))*2)+((COUNTIF('Elève (5ème4)'!OI9:OK9,"D"))*1))/(COUNTA(OI9:OK9)),"")</f>
        <v/>
      </c>
      <c r="OM9" s="185" t="str">
        <f t="shared" si="88"/>
        <v/>
      </c>
      <c r="ON9" s="129"/>
      <c r="OO9" s="130"/>
      <c r="OP9" s="131" t="s">
        <v>28</v>
      </c>
      <c r="OQ9" s="184">
        <f>IFERROR((((COUNTIF('Elève (5ème4)'!ON9:OP9,"A"))*4)+((COUNTIF('Elève (5ème4)'!ON9:OP9,"B"))*3)+((COUNTIF('Elève (5ème4)'!ON9:OP9,"C"))*2)+((COUNTIF('Elève (5ème4)'!ON9:OP9,"D"))*1))/(COUNTA(ON9:OP9)),"")</f>
        <v>3</v>
      </c>
      <c r="OR9" s="185" t="str">
        <f t="shared" si="89"/>
        <v>B</v>
      </c>
      <c r="OS9" s="129"/>
      <c r="OT9" s="130"/>
      <c r="OU9" s="131"/>
      <c r="OV9" s="135" t="s">
        <v>30</v>
      </c>
      <c r="OW9" s="184">
        <f>IFERROR((((COUNTIF('Elève (5ème4)'!OS9:OV9,"A"))*4)+((COUNTIF('Elève (5ème4)'!OS9:OV9,"B"))*3)+((COUNTIF('Elève (5ème4)'!OS9:OV9,"C"))*2)+((COUNTIF('Elève (5ème4)'!OS9:OV9,"D"))*1))/(COUNTA(OS9:OV9)),"")</f>
        <v>1</v>
      </c>
      <c r="OX9" s="185" t="str">
        <f t="shared" si="90"/>
        <v>D</v>
      </c>
      <c r="OY9" s="184">
        <f>IF(COUNT(OL9,OQ9,OW9)=0,"",SUM(OL9,OQ9,OW9)/COUNT(OL9,OQ9,OW9))</f>
        <v>2</v>
      </c>
      <c r="OZ9" s="207" t="str">
        <f t="shared" si="91"/>
        <v>C</v>
      </c>
      <c r="PA9" s="129"/>
      <c r="PB9" s="130"/>
      <c r="PC9" s="131"/>
      <c r="PD9" s="184" t="str">
        <f>IFERROR((((COUNTIF('Elève (5ème4)'!PA9:PC9,"A"))*4)+((COUNTIF('Elève (5ème4)'!PA9:PC9,"B"))*3)+((COUNTIF('Elève (5ème4)'!PA9:PC9,"C"))*2)+((COUNTIF('Elève (5ème4)'!PA9:PC9,"D"))*1))/(COUNTA(PA9:PC9)),"")</f>
        <v/>
      </c>
      <c r="PE9" s="185" t="str">
        <f t="shared" si="92"/>
        <v/>
      </c>
      <c r="PF9" s="129"/>
      <c r="PG9" s="130"/>
      <c r="PH9" s="131" t="s">
        <v>30</v>
      </c>
      <c r="PI9" s="184">
        <f>IFERROR((((COUNTIF('Elève (5ème4)'!PF9:PH9,"A"))*4)+((COUNTIF('Elève (5ème4)'!PF9:PH9,"B"))*3)+((COUNTIF('Elève (5ème4)'!PF9:PH9,"C"))*2)+((COUNTIF('Elève (5ème4)'!PF9:PH9,"D"))*1))/(COUNTA(PF9:PH9)),"")</f>
        <v>1</v>
      </c>
      <c r="PJ9" s="185" t="str">
        <f t="shared" si="93"/>
        <v>D</v>
      </c>
      <c r="PK9" s="129"/>
      <c r="PL9" s="130"/>
      <c r="PM9" s="131"/>
      <c r="PN9" s="135" t="s">
        <v>29</v>
      </c>
      <c r="PO9" s="184">
        <f>IFERROR((((COUNTIF('Elève (5ème4)'!PK9:PN9,"A"))*4)+((COUNTIF('Elève (5ème4)'!PK9:PN9,"B"))*3)+((COUNTIF('Elève (5ème4)'!PK9:PN9,"C"))*2)+((COUNTIF('Elève (5ème4)'!PK9:PN9,"D"))*1))/(COUNTA(PK9:PN9)),"")</f>
        <v>2</v>
      </c>
      <c r="PP9" s="185" t="str">
        <f t="shared" si="94"/>
        <v>C</v>
      </c>
      <c r="PQ9" s="184">
        <f>IF(COUNT(PD9,PI9,PO9)=0,"",SUM(PD9,PI9,PO9)/COUNT(PD9,PI9,PO9))</f>
        <v>1.5</v>
      </c>
      <c r="PR9" s="207" t="str">
        <f t="shared" si="95"/>
        <v>D</v>
      </c>
      <c r="PS9" s="129"/>
      <c r="PT9" s="130"/>
      <c r="PU9" s="131"/>
      <c r="PV9" s="184" t="str">
        <f>IFERROR((((COUNTIF('Elève (5ème4)'!PS9:PU9,"A"))*4)+((COUNTIF('Elève (5ème4)'!PS9:PU9,"B"))*3)+((COUNTIF('Elève (5ème4)'!PS9:PU9,"C"))*2)+((COUNTIF('Elève (5ème4)'!PS9:PU9,"D"))*1))/(COUNTA(PS9:PU9)),"")</f>
        <v/>
      </c>
      <c r="PW9" s="185" t="str">
        <f t="shared" si="96"/>
        <v/>
      </c>
      <c r="PX9" s="129"/>
      <c r="PY9" s="130"/>
      <c r="PZ9" s="131"/>
      <c r="QA9" s="184" t="str">
        <f>IFERROR((((COUNTIF('Elève (5ème4)'!PX9:PZ9,"A"))*4)+((COUNTIF('Elève (5ème4)'!PX9:PZ9,"B"))*3)+((COUNTIF('Elève (5ème4)'!PX9:PZ9,"C"))*2)+((COUNTIF('Elève (5ème4)'!PX9:PZ9,"D"))*1))/(COUNTA(PX9:PZ9)),"")</f>
        <v/>
      </c>
      <c r="QB9" s="185" t="str">
        <f t="shared" si="97"/>
        <v/>
      </c>
      <c r="QC9" s="129"/>
      <c r="QD9" s="130"/>
      <c r="QE9" s="131"/>
      <c r="QF9" s="135" t="s">
        <v>29</v>
      </c>
      <c r="QG9" s="184">
        <f>IFERROR((((COUNTIF('Elève (5ème4)'!QC9:QF9,"A"))*4)+((COUNTIF('Elève (5ème4)'!QC9:QF9,"B"))*3)+((COUNTIF('Elève (5ème4)'!QC9:QF9,"C"))*2)+((COUNTIF('Elève (5ème4)'!QC9:QF9,"D"))*1))/(COUNTA(QC9:QF9)),"")</f>
        <v>2</v>
      </c>
      <c r="QH9" s="185" t="str">
        <f t="shared" si="98"/>
        <v>C</v>
      </c>
      <c r="QI9" s="184">
        <f>IF(COUNT(PV9,QA9,QG9)=0,"",SUM(PV9,QA9,QG9)/COUNT(PV9,QA9,QG9))</f>
        <v>2</v>
      </c>
      <c r="QJ9" s="207" t="str">
        <f t="shared" si="99"/>
        <v>C</v>
      </c>
      <c r="QK9" s="129"/>
      <c r="QL9" s="130"/>
      <c r="QM9" s="131"/>
      <c r="QN9" s="184" t="str">
        <f>IFERROR((((COUNTIF('Elève (5ème4)'!QK9:QM9,"A"))*4)+((COUNTIF('Elève (5ème4)'!QK9:QM9,"B"))*3)+((COUNTIF('Elève (5ème4)'!QK9:QM9,"C"))*2)+((COUNTIF('Elève (5ème4)'!QK9:QM9,"D"))*1))/(COUNTA(QK9:QM9)),"")</f>
        <v/>
      </c>
      <c r="QO9" s="185" t="str">
        <f t="shared" si="100"/>
        <v/>
      </c>
      <c r="QP9" s="129"/>
      <c r="QQ9" s="130"/>
      <c r="QR9" s="131"/>
      <c r="QS9" s="184" t="str">
        <f>IFERROR((((COUNTIF('Elève (5ème4)'!QP9:QR9,"A"))*4)+((COUNTIF('Elève (5ème4)'!QP9:QR9,"B"))*3)+((COUNTIF('Elève (5ème4)'!QP9:QR9,"C"))*2)+((COUNTIF('Elève (5ème4)'!QP9:QR9,"D"))*1))/(COUNTA(QP9:QR9)),"")</f>
        <v/>
      </c>
      <c r="QT9" s="185" t="str">
        <f t="shared" si="101"/>
        <v/>
      </c>
      <c r="QU9" s="129"/>
      <c r="QV9" s="130"/>
      <c r="QW9" s="131"/>
      <c r="QX9" s="135" t="s">
        <v>28</v>
      </c>
      <c r="QY9" s="184">
        <f>IFERROR((((COUNTIF('Elève (5ème4)'!QU9:QX9,"A"))*4)+((COUNTIF('Elève (5ème4)'!QU9:QX9,"B"))*3)+((COUNTIF('Elève (5ème4)'!QU9:QX9,"C"))*2)+((COUNTIF('Elève (5ème4)'!QU9:QX9,"D"))*1))/(COUNTA(QU9:QX9)),"")</f>
        <v>3</v>
      </c>
      <c r="QZ9" s="185" t="str">
        <f t="shared" si="102"/>
        <v>B</v>
      </c>
      <c r="RA9" s="184">
        <f>IF(COUNT(QN9,QS9,QY9)=0,"",SUM(QN9,QS9,QY9)/COUNT(QN9,QS9,QY9))</f>
        <v>3</v>
      </c>
      <c r="RB9" s="207" t="str">
        <f t="shared" si="103"/>
        <v>B</v>
      </c>
      <c r="RC9" s="129"/>
      <c r="RD9" s="130"/>
      <c r="RE9" s="131"/>
      <c r="RF9" s="184" t="str">
        <f>IFERROR((((COUNTIF('Elève (5ème4)'!RC9:RE9,"A"))*4)+((COUNTIF('Elève (5ème4)'!RC9:RE9,"B"))*3)+((COUNTIF('Elève (5ème4)'!RC9:RE9,"C"))*2)+((COUNTIF('Elève (5ème4)'!RC9:RE9,"D"))*1))/(COUNTA(RC9:RE9)),"")</f>
        <v/>
      </c>
      <c r="RG9" s="185" t="str">
        <f t="shared" si="104"/>
        <v/>
      </c>
      <c r="RH9" s="129"/>
      <c r="RI9" s="130"/>
      <c r="RJ9" s="131" t="s">
        <v>28</v>
      </c>
      <c r="RK9" s="184">
        <f>IFERROR((((COUNTIF('Elève (5ème4)'!RH9:RJ9,"A"))*4)+((COUNTIF('Elève (5ème4)'!RH9:RJ9,"B"))*3)+((COUNTIF('Elève (5ème4)'!RH9:RJ9,"C"))*2)+((COUNTIF('Elève (5ème4)'!RH9:RJ9,"D"))*1))/(COUNTA(RH9:RJ9)),"")</f>
        <v>3</v>
      </c>
      <c r="RL9" s="185" t="str">
        <f t="shared" si="105"/>
        <v>B</v>
      </c>
      <c r="RM9" s="129"/>
      <c r="RN9" s="130"/>
      <c r="RO9" s="131"/>
      <c r="RP9" s="135" t="s">
        <v>28</v>
      </c>
      <c r="RQ9" s="184">
        <f>IFERROR((((COUNTIF('Elève (5ème4)'!RM9:RP9,"A"))*4)+((COUNTIF('Elève (5ème4)'!RM9:RP9,"B"))*3)+((COUNTIF('Elève (5ème4)'!RM9:RP9,"C"))*2)+((COUNTIF('Elève (5ème4)'!RM9:RP9,"D"))*1))/(COUNTA(RM9:RP9)),"")</f>
        <v>3</v>
      </c>
      <c r="RR9" s="185" t="str">
        <f t="shared" si="106"/>
        <v>B</v>
      </c>
      <c r="RS9" s="184">
        <f>IF(COUNT(RF9,RK9,RQ9)=0,"",SUM(RF9,RK9,RQ9)/COUNT(RF9,RK9,RQ9))</f>
        <v>3</v>
      </c>
      <c r="RT9" s="207" t="str">
        <f t="shared" si="107"/>
        <v>B</v>
      </c>
      <c r="RU9" s="129"/>
      <c r="RV9" s="130"/>
      <c r="RW9" s="131"/>
      <c r="RX9" s="184" t="str">
        <f>IFERROR((((COUNTIF('Elève (5ème4)'!RU9:RW9,"A"))*4)+((COUNTIF('Elève (5ème4)'!RU9:RW9,"B"))*3)+((COUNTIF('Elève (5ème4)'!RU9:RW9,"C"))*2)+((COUNTIF('Elève (5ème4)'!RU9:RW9,"D"))*1))/(COUNTA(RU9:RW9)),"")</f>
        <v/>
      </c>
      <c r="RY9" s="185" t="str">
        <f t="shared" si="108"/>
        <v/>
      </c>
      <c r="RZ9" s="129"/>
      <c r="SA9" s="130"/>
      <c r="SB9" s="131" t="s">
        <v>28</v>
      </c>
      <c r="SC9" s="184">
        <f>IFERROR((((COUNTIF('Elève (5ème4)'!RZ9:SB9,"A"))*4)+((COUNTIF('Elève (5ème4)'!RZ9:SB9,"B"))*3)+((COUNTIF('Elève (5ème4)'!RZ9:SB9,"C"))*2)+((COUNTIF('Elève (5ème4)'!RZ9:SB9,"D"))*1))/(COUNTA(RZ9:SB9)),"")</f>
        <v>3</v>
      </c>
      <c r="SD9" s="185" t="str">
        <f t="shared" si="109"/>
        <v>B</v>
      </c>
      <c r="SE9" s="129"/>
      <c r="SF9" s="130"/>
      <c r="SG9" s="131"/>
      <c r="SH9" s="135"/>
      <c r="SI9" s="184" t="str">
        <f>IFERROR((((COUNTIF('Elève (5ème4)'!SE9:SH9,"A"))*4)+((COUNTIF('Elève (5ème4)'!SE9:SH9,"B"))*3)+((COUNTIF('Elève (5ème4)'!SE9:SH9,"C"))*2)+((COUNTIF('Elève (5ème4)'!SE9:SH9,"D"))*1))/(COUNTA(SE9:SH9)),"")</f>
        <v/>
      </c>
      <c r="SJ9" s="185" t="str">
        <f t="shared" si="110"/>
        <v/>
      </c>
      <c r="SK9" s="184">
        <f>IF(COUNT(RX9,SC9,SI9)=0,"",SUM(RX9,SC9,SI9)/COUNT(RX9,SC9,SI9))</f>
        <v>3</v>
      </c>
      <c r="SL9" s="207" t="str">
        <f t="shared" si="111"/>
        <v>B</v>
      </c>
      <c r="SM9" s="129"/>
      <c r="SN9" s="130"/>
      <c r="SO9" s="131"/>
      <c r="SP9" s="132" t="str">
        <f>IFERROR((((COUNTIF('Elève (5ème4)'!SM9:SO9,"A"))*4)+((COUNTIF('Elève (5ème4)'!SM9:SO9,"B"))*3)+((COUNTIF('Elève (5ème4)'!SM9:SO9,"C"))*2)+((COUNTIF('Elève (5ème4)'!SM9:SO9,"D"))*1))/(COUNTA(SM9:SO9)),"")</f>
        <v/>
      </c>
      <c r="SQ9" s="133" t="str">
        <f t="shared" si="112"/>
        <v/>
      </c>
      <c r="SR9" s="129"/>
      <c r="SS9" s="130"/>
      <c r="ST9" s="131"/>
      <c r="SU9" s="132" t="str">
        <f>IFERROR((((COUNTIF('Elève (5ème4)'!SR9:ST9,"A"))*4)+((COUNTIF('Elève (5ème4)'!SR9:ST9,"B"))*3)+((COUNTIF('Elève (5ème4)'!SR9:ST9,"C"))*2)+((COUNTIF('Elève (5ème4)'!SR9:ST9,"D"))*1))/(COUNTA(SR9:ST9)),"")</f>
        <v/>
      </c>
      <c r="SV9" s="133" t="str">
        <f t="shared" si="113"/>
        <v/>
      </c>
      <c r="SW9" s="129"/>
      <c r="SX9" s="130"/>
      <c r="SY9" s="135"/>
      <c r="SZ9" s="132" t="str">
        <f>IFERROR((((COUNTIF('Elève (5ème4)'!SW9:SY9,"A"))*4)+((COUNTIF('Elève (5ème4)'!SW9:SY9,"B"))*3)+((COUNTIF('Elève (5ème4)'!SW9:SY9,"C"))*2)+((COUNTIF('Elève (5ème4)'!SW9:SY9,"D"))*1))/(COUNTA(SW9:SY9)),"")</f>
        <v/>
      </c>
      <c r="TA9" s="133" t="str">
        <f t="shared" si="114"/>
        <v/>
      </c>
      <c r="TB9" s="132" t="str">
        <f>IF(COUNT(SP9,SU9,SZ9)=0,"",SUM(SP9,SU9,SZ9)/COUNT(SP9,SU9,SZ9))</f>
        <v/>
      </c>
      <c r="TC9" s="134" t="str">
        <f t="shared" si="115"/>
        <v/>
      </c>
      <c r="TD9" s="129"/>
      <c r="TE9" s="130"/>
      <c r="TF9" s="131"/>
      <c r="TG9" s="132" t="str">
        <f>IFERROR((((COUNTIF('Elève (5ème4)'!TD9:TF9,"A"))*4)+((COUNTIF('Elève (5ème4)'!TD9:TF9,"B"))*3)+((COUNTIF('Elève (5ème4)'!TD9:TF9,"C"))*2)+((COUNTIF('Elève (5ème4)'!TD9:TF9,"D"))*1))/(COUNTA(TD9:TF9)),"")</f>
        <v/>
      </c>
      <c r="TH9" s="133" t="str">
        <f t="shared" si="116"/>
        <v/>
      </c>
      <c r="TI9" s="129"/>
      <c r="TJ9" s="130"/>
      <c r="TK9" s="131"/>
      <c r="TL9" s="132" t="str">
        <f>IFERROR((((COUNTIF('Elève (5ème4)'!TI9:TK9,"A"))*4)+((COUNTIF('Elève (5ème4)'!TI9:TK9,"B"))*3)+((COUNTIF('Elève (5ème4)'!TI9:TK9,"C"))*2)+((COUNTIF('Elève (5ème4)'!TI9:TK9,"D"))*1))/(COUNTA(TI9:TK9)),"")</f>
        <v/>
      </c>
      <c r="TM9" s="133" t="str">
        <f t="shared" si="117"/>
        <v/>
      </c>
      <c r="TN9" s="129"/>
      <c r="TO9" s="130"/>
      <c r="TP9" s="135"/>
      <c r="TQ9" s="132" t="str">
        <f>IFERROR((((COUNTIF('Elève (5ème4)'!TN9:TP9,"A"))*4)+((COUNTIF('Elève (5ème4)'!TN9:TP9,"B"))*3)+((COUNTIF('Elève (5ème4)'!TN9:TP9,"C"))*2)+((COUNTIF('Elève (5ème4)'!TN9:TP9,"D"))*1))/(COUNTA(TN9:TP9)),"")</f>
        <v/>
      </c>
      <c r="TR9" s="133" t="str">
        <f t="shared" si="118"/>
        <v/>
      </c>
      <c r="TS9" s="132" t="str">
        <f>IF(COUNT(TG9,TL9,TQ9)=0,"",SUM(TG9,TL9,TQ9)/COUNT(TG9,TL9,TQ9))</f>
        <v/>
      </c>
      <c r="TT9" s="134" t="str">
        <f t="shared" si="119"/>
        <v/>
      </c>
    </row>
    <row r="10" spans="1:540" s="137" customFormat="1" ht="17.25" customHeight="1" thickBot="1" x14ac:dyDescent="0.3">
      <c r="A10" s="163" t="s">
        <v>17</v>
      </c>
      <c r="B10" s="102">
        <v>1</v>
      </c>
      <c r="C10" s="172"/>
      <c r="D10" s="109"/>
      <c r="E10" s="110"/>
      <c r="F10" s="178" t="str">
        <f>IF(COUNT(F11:F12)=0,"",SUM(F11:F12)/COUNT(F11:F12))</f>
        <v/>
      </c>
      <c r="G10" s="179" t="str">
        <f t="shared" si="0"/>
        <v/>
      </c>
      <c r="H10" s="172"/>
      <c r="I10" s="109"/>
      <c r="J10" s="109"/>
      <c r="K10" s="178">
        <f>IF(COUNT(K11,K12)=0,"",SUM(K11:K12)/COUNT(K11,K12))</f>
        <v>4</v>
      </c>
      <c r="L10" s="194" t="str">
        <f t="shared" si="1"/>
        <v>A</v>
      </c>
      <c r="M10" s="172"/>
      <c r="N10" s="109"/>
      <c r="O10" s="109"/>
      <c r="P10" s="110"/>
      <c r="Q10" s="178">
        <f>IF(COUNT(Q11,Q12)=0,"",SUM(Q11:Q12)/COUNT(Q11,Q12))</f>
        <v>3.3333333333333335</v>
      </c>
      <c r="R10" s="202" t="str">
        <f t="shared" si="2"/>
        <v>B</v>
      </c>
      <c r="S10" s="203">
        <f>IF(COUNT(S11:S12)=0,"",SUM(S11:S12)/COUNT(S11:S12))</f>
        <v>3.666666666666667</v>
      </c>
      <c r="T10" s="204" t="str">
        <f t="shared" si="3"/>
        <v>B</v>
      </c>
      <c r="U10" s="214"/>
      <c r="V10" s="109"/>
      <c r="W10" s="110"/>
      <c r="X10" s="178" t="str">
        <f>IF(COUNT(X11:X12)=0,"",SUM(X11:X12)/COUNT(X11:X12))</f>
        <v/>
      </c>
      <c r="Y10" s="179" t="str">
        <f t="shared" si="4"/>
        <v/>
      </c>
      <c r="Z10" s="172"/>
      <c r="AA10" s="109"/>
      <c r="AB10" s="109"/>
      <c r="AC10" s="178">
        <f>IF(COUNT(AC11,AC12)=0,"",SUM(AC11:AC12)/COUNT(AC11,AC12))</f>
        <v>3</v>
      </c>
      <c r="AD10" s="194" t="str">
        <f t="shared" si="5"/>
        <v>B</v>
      </c>
      <c r="AE10" s="172"/>
      <c r="AF10" s="109"/>
      <c r="AG10" s="109"/>
      <c r="AH10" s="110"/>
      <c r="AI10" s="178">
        <f>IF(COUNT(AI11,AI12)=0,"",SUM(AI11:AI12)/COUNT(AI11,AI12))</f>
        <v>3.3333333333333335</v>
      </c>
      <c r="AJ10" s="202" t="str">
        <f t="shared" si="6"/>
        <v>B</v>
      </c>
      <c r="AK10" s="203">
        <f>IF(COUNT(AK11:AK12)=0,"",SUM(AK11:AK12)/COUNT(AK11:AK12))</f>
        <v>3.166666666666667</v>
      </c>
      <c r="AL10" s="204" t="str">
        <f t="shared" si="7"/>
        <v>B</v>
      </c>
      <c r="AM10" s="214"/>
      <c r="AN10" s="109"/>
      <c r="AO10" s="110"/>
      <c r="AP10" s="178" t="str">
        <f>IF(COUNT(AP11:AP12)=0,"",SUM(AP11:AP12)/COUNT(AP11:AP12))</f>
        <v/>
      </c>
      <c r="AQ10" s="179" t="str">
        <f t="shared" si="8"/>
        <v/>
      </c>
      <c r="AR10" s="172"/>
      <c r="AS10" s="109"/>
      <c r="AT10" s="109"/>
      <c r="AU10" s="178">
        <f>IF(COUNT(AU11,AU12)=0,"",SUM(AU11:AU12)/COUNT(AU11,AU12))</f>
        <v>3.6666666666666665</v>
      </c>
      <c r="AV10" s="194" t="str">
        <f t="shared" si="9"/>
        <v>B</v>
      </c>
      <c r="AW10" s="172"/>
      <c r="AX10" s="109"/>
      <c r="AY10" s="109"/>
      <c r="AZ10" s="110"/>
      <c r="BA10" s="178">
        <f>IF(COUNT(BA11,BA12)=0,"",SUM(BA11:BA12)/COUNT(BA11,BA12))</f>
        <v>2.6666666666666665</v>
      </c>
      <c r="BB10" s="202" t="str">
        <f t="shared" si="10"/>
        <v>C</v>
      </c>
      <c r="BC10" s="203">
        <f>IF(COUNT(BC11:BC12)=0,"",SUM(BC11:BC12)/COUNT(BC11:BC12))</f>
        <v>3.1666666666666665</v>
      </c>
      <c r="BD10" s="204" t="str">
        <f t="shared" si="11"/>
        <v>B</v>
      </c>
      <c r="BE10" s="214"/>
      <c r="BF10" s="109"/>
      <c r="BG10" s="110"/>
      <c r="BH10" s="178" t="str">
        <f>IF(COUNT(BH11:BH12)=0,"",SUM(BH11:BH12)/COUNT(BH11:BH12))</f>
        <v/>
      </c>
      <c r="BI10" s="179" t="str">
        <f t="shared" si="12"/>
        <v/>
      </c>
      <c r="BJ10" s="172"/>
      <c r="BK10" s="109"/>
      <c r="BL10" s="109"/>
      <c r="BM10" s="178">
        <f>IF(COUNT(BM11,BM12)=0,"",SUM(BM11:BM12)/COUNT(BM11,BM12))</f>
        <v>4</v>
      </c>
      <c r="BN10" s="194" t="str">
        <f t="shared" si="13"/>
        <v>A</v>
      </c>
      <c r="BO10" s="172"/>
      <c r="BP10" s="109"/>
      <c r="BQ10" s="109"/>
      <c r="BR10" s="110"/>
      <c r="BS10" s="178">
        <f>IF(COUNT(BS11,BS12)=0,"",SUM(BS11:BS12)/COUNT(BS11,BS12))</f>
        <v>3</v>
      </c>
      <c r="BT10" s="202" t="str">
        <f t="shared" si="14"/>
        <v>B</v>
      </c>
      <c r="BU10" s="203">
        <f>IF(COUNT(BU11:BU12)=0,"",SUM(BU11:BU12)/COUNT(BU11:BU12))</f>
        <v>3.5</v>
      </c>
      <c r="BV10" s="204" t="str">
        <f t="shared" si="15"/>
        <v>B</v>
      </c>
      <c r="BW10" s="214"/>
      <c r="BX10" s="109"/>
      <c r="BY10" s="110"/>
      <c r="BZ10" s="178" t="str">
        <f>IF(COUNT(BZ11:BZ12)=0,"",SUM(BZ11:BZ12)/COUNT(BZ11:BZ12))</f>
        <v/>
      </c>
      <c r="CA10" s="179" t="str">
        <f t="shared" si="16"/>
        <v/>
      </c>
      <c r="CB10" s="172"/>
      <c r="CC10" s="109"/>
      <c r="CD10" s="109"/>
      <c r="CE10" s="178">
        <f>IF(COUNT(CE11,CE12)=0,"",SUM(CE11:CE12)/COUNT(CE11,CE12))</f>
        <v>4</v>
      </c>
      <c r="CF10" s="194" t="str">
        <f t="shared" si="17"/>
        <v>A</v>
      </c>
      <c r="CG10" s="172"/>
      <c r="CH10" s="109"/>
      <c r="CI10" s="109"/>
      <c r="CJ10" s="110"/>
      <c r="CK10" s="178">
        <f>IF(COUNT(CK11,CK12)=0,"",SUM(CK11:CK12)/COUNT(CK11,CK12))</f>
        <v>3.6666666666666665</v>
      </c>
      <c r="CL10" s="202" t="str">
        <f t="shared" si="18"/>
        <v>B</v>
      </c>
      <c r="CM10" s="203">
        <f>IF(COUNT(CM11:CM12)=0,"",SUM(CM11:CM12)/COUNT(CM11:CM12))</f>
        <v>3.833333333333333</v>
      </c>
      <c r="CN10" s="204" t="str">
        <f t="shared" si="19"/>
        <v>A</v>
      </c>
      <c r="CO10" s="214"/>
      <c r="CP10" s="109"/>
      <c r="CQ10" s="110"/>
      <c r="CR10" s="178" t="str">
        <f>IF(COUNT(CR11:CR12)=0,"",SUM(CR11:CR12)/COUNT(CR11:CR12))</f>
        <v/>
      </c>
      <c r="CS10" s="179" t="str">
        <f t="shared" si="20"/>
        <v/>
      </c>
      <c r="CT10" s="172"/>
      <c r="CU10" s="109"/>
      <c r="CV10" s="109"/>
      <c r="CW10" s="178">
        <f>IF(COUNT(CW11,CW12)=0,"",SUM(CW11:CW12)/COUNT(CW11,CW12))</f>
        <v>3.3333333333333335</v>
      </c>
      <c r="CX10" s="194" t="str">
        <f t="shared" si="21"/>
        <v>B</v>
      </c>
      <c r="CY10" s="172"/>
      <c r="CZ10" s="109"/>
      <c r="DA10" s="109"/>
      <c r="DB10" s="110"/>
      <c r="DC10" s="178">
        <f>IF(COUNT(DC11,DC12)=0,"",SUM(DC11:DC12)/COUNT(DC11,DC12))</f>
        <v>3.3333333333333335</v>
      </c>
      <c r="DD10" s="202" t="str">
        <f t="shared" si="22"/>
        <v>B</v>
      </c>
      <c r="DE10" s="203">
        <f>IF(COUNT(DE11:DE12)=0,"",SUM(DE11:DE12)/COUNT(DE11:DE12))</f>
        <v>3.3333333333333335</v>
      </c>
      <c r="DF10" s="204" t="str">
        <f t="shared" si="23"/>
        <v>B</v>
      </c>
      <c r="DG10" s="214"/>
      <c r="DH10" s="109"/>
      <c r="DI10" s="110"/>
      <c r="DJ10" s="178" t="str">
        <f>IF(COUNT(DJ11:DJ12)=0,"",SUM(DJ11:DJ12)/COUNT(DJ11:DJ12))</f>
        <v/>
      </c>
      <c r="DK10" s="179" t="str">
        <f t="shared" si="24"/>
        <v/>
      </c>
      <c r="DL10" s="172"/>
      <c r="DM10" s="109"/>
      <c r="DN10" s="109"/>
      <c r="DO10" s="178">
        <f>IF(COUNT(DO11,DO12)=0,"",SUM(DO11:DO12)/COUNT(DO11,DO12))</f>
        <v>3.6666666666666665</v>
      </c>
      <c r="DP10" s="194" t="str">
        <f t="shared" si="25"/>
        <v>B</v>
      </c>
      <c r="DQ10" s="172"/>
      <c r="DR10" s="109"/>
      <c r="DS10" s="109"/>
      <c r="DT10" s="110"/>
      <c r="DU10" s="178">
        <f>IF(COUNT(DU11,DU12)=0,"",SUM(DU11:DU12)/COUNT(DU11,DU12))</f>
        <v>3</v>
      </c>
      <c r="DV10" s="202" t="str">
        <f t="shared" si="26"/>
        <v>B</v>
      </c>
      <c r="DW10" s="203">
        <f>IF(COUNT(DW11:DW12)=0,"",SUM(DW11:DW12)/COUNT(DW11:DW12))</f>
        <v>3.333333333333333</v>
      </c>
      <c r="DX10" s="204" t="str">
        <f t="shared" si="27"/>
        <v>B</v>
      </c>
      <c r="DY10" s="214"/>
      <c r="DZ10" s="109"/>
      <c r="EA10" s="110"/>
      <c r="EB10" s="178" t="str">
        <f>IF(COUNT(EB11:EB12)=0,"",SUM(EB11:EB12)/COUNT(EB11:EB12))</f>
        <v/>
      </c>
      <c r="EC10" s="179" t="str">
        <f t="shared" si="28"/>
        <v/>
      </c>
      <c r="ED10" s="172"/>
      <c r="EE10" s="109"/>
      <c r="EF10" s="109"/>
      <c r="EG10" s="178">
        <f>IF(COUNT(EG11,EG12)=0,"",SUM(EG11:EG12)/COUNT(EG11,EG12))</f>
        <v>3.6666666666666665</v>
      </c>
      <c r="EH10" s="194" t="str">
        <f t="shared" si="29"/>
        <v>B</v>
      </c>
      <c r="EI10" s="172"/>
      <c r="EJ10" s="109"/>
      <c r="EK10" s="109"/>
      <c r="EL10" s="110"/>
      <c r="EM10" s="178">
        <f>IF(COUNT(EM11,EM12)=0,"",SUM(EM11:EM12)/COUNT(EM11,EM12))</f>
        <v>3.3333333333333335</v>
      </c>
      <c r="EN10" s="202" t="str">
        <f t="shared" si="30"/>
        <v>B</v>
      </c>
      <c r="EO10" s="203">
        <f>IF(COUNT(EO11:EO12)=0,"",SUM(EO11:EO12)/COUNT(EO11:EO12))</f>
        <v>3.5</v>
      </c>
      <c r="EP10" s="204" t="str">
        <f t="shared" si="31"/>
        <v>B</v>
      </c>
      <c r="EQ10" s="214"/>
      <c r="ER10" s="109"/>
      <c r="ES10" s="110"/>
      <c r="ET10" s="178" t="str">
        <f>IF(COUNT(ET11:ET12)=0,"",SUM(ET11:ET12)/COUNT(ET11:ET12))</f>
        <v/>
      </c>
      <c r="EU10" s="179" t="str">
        <f t="shared" si="32"/>
        <v/>
      </c>
      <c r="EV10" s="172"/>
      <c r="EW10" s="109"/>
      <c r="EX10" s="109"/>
      <c r="EY10" s="178">
        <f>IF(COUNT(EY11,EY12)=0,"",SUM(EY11:EY12)/COUNT(EY11,EY12))</f>
        <v>3</v>
      </c>
      <c r="EZ10" s="194" t="str">
        <f t="shared" si="33"/>
        <v>B</v>
      </c>
      <c r="FA10" s="172"/>
      <c r="FB10" s="109"/>
      <c r="FC10" s="109"/>
      <c r="FD10" s="110"/>
      <c r="FE10" s="178">
        <f>IF(COUNT(FE11,FE12)=0,"",SUM(FE11:FE12)/COUNT(FE11,FE12))</f>
        <v>2.6666666666666665</v>
      </c>
      <c r="FF10" s="202" t="str">
        <f t="shared" si="34"/>
        <v>C</v>
      </c>
      <c r="FG10" s="203">
        <f>IF(COUNT(FG11:FG12)=0,"",SUM(FG11:FG12)/COUNT(FG11:FG12))</f>
        <v>2.833333333333333</v>
      </c>
      <c r="FH10" s="204" t="str">
        <f t="shared" si="35"/>
        <v>B</v>
      </c>
      <c r="FI10" s="214"/>
      <c r="FJ10" s="109"/>
      <c r="FK10" s="110"/>
      <c r="FL10" s="178" t="str">
        <f>IF(COUNT(FL11:FL12)=0,"",SUM(FL11:FL12)/COUNT(FL11:FL12))</f>
        <v/>
      </c>
      <c r="FM10" s="179" t="str">
        <f t="shared" si="36"/>
        <v/>
      </c>
      <c r="FN10" s="172"/>
      <c r="FO10" s="109"/>
      <c r="FP10" s="109"/>
      <c r="FQ10" s="178">
        <f>IF(COUNT(FQ11,FQ12)=0,"",SUM(FQ11:FQ12)/COUNT(FQ11,FQ12))</f>
        <v>3.6666666666666665</v>
      </c>
      <c r="FR10" s="194" t="str">
        <f t="shared" si="37"/>
        <v>B</v>
      </c>
      <c r="FS10" s="172"/>
      <c r="FT10" s="109"/>
      <c r="FU10" s="109"/>
      <c r="FV10" s="110"/>
      <c r="FW10" s="178">
        <f>IF(COUNT(FW11,FW12)=0,"",SUM(FW11:FW12)/COUNT(FW11,FW12))</f>
        <v>3.6666666666666665</v>
      </c>
      <c r="FX10" s="202" t="str">
        <f t="shared" si="38"/>
        <v>B</v>
      </c>
      <c r="FY10" s="203">
        <f>IF(COUNT(FY11:FY12)=0,"",SUM(FY11:FY12)/COUNT(FY11:FY12))</f>
        <v>3.6666666666666665</v>
      </c>
      <c r="FZ10" s="204" t="str">
        <f t="shared" si="39"/>
        <v>B</v>
      </c>
      <c r="GA10" s="214"/>
      <c r="GB10" s="109"/>
      <c r="GC10" s="110"/>
      <c r="GD10" s="178" t="str">
        <f>IF(COUNT(GD11:GD12)=0,"",SUM(GD11:GD12)/COUNT(GD11:GD12))</f>
        <v/>
      </c>
      <c r="GE10" s="179" t="str">
        <f t="shared" si="40"/>
        <v/>
      </c>
      <c r="GF10" s="172"/>
      <c r="GG10" s="109"/>
      <c r="GH10" s="109"/>
      <c r="GI10" s="178">
        <f>IF(COUNT(GI11,GI12)=0,"",SUM(GI11:GI12)/COUNT(GI11,GI12))</f>
        <v>3.6666666666666665</v>
      </c>
      <c r="GJ10" s="194" t="str">
        <f t="shared" si="41"/>
        <v>B</v>
      </c>
      <c r="GK10" s="172"/>
      <c r="GL10" s="109"/>
      <c r="GM10" s="109"/>
      <c r="GN10" s="110"/>
      <c r="GO10" s="178">
        <f>IF(COUNT(GO11,GO12)=0,"",SUM(GO11:GO12)/COUNT(GO11,GO12))</f>
        <v>4</v>
      </c>
      <c r="GP10" s="202" t="str">
        <f t="shared" si="42"/>
        <v>A</v>
      </c>
      <c r="GQ10" s="203">
        <f>IF(COUNT(GQ11:GQ12)=0,"",SUM(GQ11:GQ12)/COUNT(GQ11:GQ12))</f>
        <v>3.833333333333333</v>
      </c>
      <c r="GR10" s="204" t="str">
        <f t="shared" si="43"/>
        <v>A</v>
      </c>
      <c r="GS10" s="214"/>
      <c r="GT10" s="109"/>
      <c r="GU10" s="110"/>
      <c r="GV10" s="178" t="str">
        <f>IF(COUNT(GV11:GV12)=0,"",SUM(GV11:GV12)/COUNT(GV11:GV12))</f>
        <v/>
      </c>
      <c r="GW10" s="179" t="str">
        <f t="shared" si="44"/>
        <v/>
      </c>
      <c r="GX10" s="172"/>
      <c r="GY10" s="109"/>
      <c r="GZ10" s="109"/>
      <c r="HA10" s="178">
        <f>IF(COUNT(HA11,HA12)=0,"",SUM(HA11:HA12)/COUNT(HA11,HA12))</f>
        <v>3.3333333333333335</v>
      </c>
      <c r="HB10" s="194" t="str">
        <f t="shared" si="45"/>
        <v>B</v>
      </c>
      <c r="HC10" s="172"/>
      <c r="HD10" s="109"/>
      <c r="HE10" s="109"/>
      <c r="HF10" s="110"/>
      <c r="HG10" s="178">
        <f>IF(COUNT(HG11,HG12)=0,"",SUM(HG11:HG12)/COUNT(HG11,HG12))</f>
        <v>2.6666666666666665</v>
      </c>
      <c r="HH10" s="202" t="str">
        <f t="shared" si="46"/>
        <v>C</v>
      </c>
      <c r="HI10" s="203">
        <f>IF(COUNT(HI11:HI12)=0,"",SUM(HI11:HI12)/COUNT(HI11:HI12))</f>
        <v>3</v>
      </c>
      <c r="HJ10" s="204" t="str">
        <f t="shared" si="47"/>
        <v>B</v>
      </c>
      <c r="HK10" s="214"/>
      <c r="HL10" s="109"/>
      <c r="HM10" s="110"/>
      <c r="HN10" s="178" t="str">
        <f>IF(COUNT(HN11:HN12)=0,"",SUM(HN11:HN12)/COUNT(HN11:HN12))</f>
        <v/>
      </c>
      <c r="HO10" s="179" t="str">
        <f t="shared" si="48"/>
        <v/>
      </c>
      <c r="HP10" s="172"/>
      <c r="HQ10" s="109"/>
      <c r="HR10" s="109"/>
      <c r="HS10" s="178">
        <f>IF(COUNT(HS11,HS12)=0,"",SUM(HS11:HS12)/COUNT(HS11,HS12))</f>
        <v>4</v>
      </c>
      <c r="HT10" s="194" t="str">
        <f t="shared" si="49"/>
        <v>A</v>
      </c>
      <c r="HU10" s="172"/>
      <c r="HV10" s="109"/>
      <c r="HW10" s="109"/>
      <c r="HX10" s="110"/>
      <c r="HY10" s="178">
        <f>IF(COUNT(HY11,HY12)=0,"",SUM(HY11:HY12)/COUNT(HY11,HY12))</f>
        <v>3.6666666666666665</v>
      </c>
      <c r="HZ10" s="202" t="str">
        <f t="shared" si="50"/>
        <v>B</v>
      </c>
      <c r="IA10" s="203">
        <f>IF(COUNT(IA11:IA12)=0,"",SUM(IA11:IA12)/COUNT(IA11:IA12))</f>
        <v>3.833333333333333</v>
      </c>
      <c r="IB10" s="204" t="str">
        <f t="shared" si="51"/>
        <v>A</v>
      </c>
      <c r="IC10" s="214"/>
      <c r="ID10" s="109"/>
      <c r="IE10" s="110"/>
      <c r="IF10" s="178" t="str">
        <f>IF(COUNT(IF11:IF12)=0,"",SUM(IF11:IF12)/COUNT(IF11:IF12))</f>
        <v/>
      </c>
      <c r="IG10" s="179" t="str">
        <f t="shared" si="52"/>
        <v/>
      </c>
      <c r="IH10" s="172"/>
      <c r="II10" s="109"/>
      <c r="IJ10" s="109"/>
      <c r="IK10" s="178">
        <f>IF(COUNT(IK11,IK12)=0,"",SUM(IK11:IK12)/COUNT(IK11,IK12))</f>
        <v>4</v>
      </c>
      <c r="IL10" s="194" t="str">
        <f t="shared" si="53"/>
        <v>A</v>
      </c>
      <c r="IM10" s="172"/>
      <c r="IN10" s="109"/>
      <c r="IO10" s="109"/>
      <c r="IP10" s="110"/>
      <c r="IQ10" s="178">
        <f>IF(COUNT(IQ11,IQ12)=0,"",SUM(IQ11:IQ12)/COUNT(IQ11,IQ12))</f>
        <v>3.6666666666666665</v>
      </c>
      <c r="IR10" s="202" t="str">
        <f t="shared" si="54"/>
        <v>B</v>
      </c>
      <c r="IS10" s="203">
        <f>IF(COUNT(IS11:IS12)=0,"",SUM(IS11:IS12)/COUNT(IS11:IS12))</f>
        <v>3.833333333333333</v>
      </c>
      <c r="IT10" s="204" t="str">
        <f t="shared" si="55"/>
        <v>A</v>
      </c>
      <c r="IU10" s="214"/>
      <c r="IV10" s="109"/>
      <c r="IW10" s="110"/>
      <c r="IX10" s="178" t="str">
        <f>IF(COUNT(IX11:IX12)=0,"",SUM(IX11:IX12)/COUNT(IX11:IX12))</f>
        <v/>
      </c>
      <c r="IY10" s="179" t="str">
        <f t="shared" si="56"/>
        <v/>
      </c>
      <c r="IZ10" s="172"/>
      <c r="JA10" s="109"/>
      <c r="JB10" s="109"/>
      <c r="JC10" s="178">
        <f>IF(COUNT(JC11,JC12)=0,"",SUM(JC11:JC12)/COUNT(JC11,JC12))</f>
        <v>4</v>
      </c>
      <c r="JD10" s="194" t="str">
        <f t="shared" si="57"/>
        <v>A</v>
      </c>
      <c r="JE10" s="172"/>
      <c r="JF10" s="109"/>
      <c r="JG10" s="109"/>
      <c r="JH10" s="110"/>
      <c r="JI10" s="178">
        <f>IF(COUNT(JI11,JI12)=0,"",SUM(JI11:JI12)/COUNT(JI11,JI12))</f>
        <v>3</v>
      </c>
      <c r="JJ10" s="202" t="str">
        <f t="shared" si="58"/>
        <v>B</v>
      </c>
      <c r="JK10" s="203">
        <f>IF(COUNT(JK11:JK12)=0,"",SUM(JK11:JK12)/COUNT(JK11:JK12))</f>
        <v>3.5</v>
      </c>
      <c r="JL10" s="204" t="str">
        <f t="shared" si="59"/>
        <v>B</v>
      </c>
      <c r="JM10" s="214"/>
      <c r="JN10" s="109"/>
      <c r="JO10" s="110"/>
      <c r="JP10" s="178" t="str">
        <f>IF(COUNT(JP11:JP12)=0,"",SUM(JP11:JP12)/COUNT(JP11:JP12))</f>
        <v/>
      </c>
      <c r="JQ10" s="179" t="str">
        <f t="shared" si="60"/>
        <v/>
      </c>
      <c r="JR10" s="172"/>
      <c r="JS10" s="109"/>
      <c r="JT10" s="109"/>
      <c r="JU10" s="178">
        <f>IF(COUNT(JU11,JU12)=0,"",SUM(JU11:JU12)/COUNT(JU11,JU12))</f>
        <v>3.6666666666666665</v>
      </c>
      <c r="JV10" s="194" t="str">
        <f t="shared" si="61"/>
        <v>B</v>
      </c>
      <c r="JW10" s="172"/>
      <c r="JX10" s="109"/>
      <c r="JY10" s="109"/>
      <c r="JZ10" s="110"/>
      <c r="KA10" s="178">
        <f>IF(COUNT(KA11,KA12)=0,"",SUM(KA11:KA12)/COUNT(KA11,KA12))</f>
        <v>3.3333333333333335</v>
      </c>
      <c r="KB10" s="202" t="str">
        <f t="shared" si="62"/>
        <v>B</v>
      </c>
      <c r="KC10" s="203">
        <f>IF(COUNT(KC11:KC12)=0,"",SUM(KC11:KC12)/COUNT(KC11:KC12))</f>
        <v>3.5</v>
      </c>
      <c r="KD10" s="204" t="str">
        <f t="shared" si="63"/>
        <v>B</v>
      </c>
      <c r="KE10" s="214"/>
      <c r="KF10" s="109"/>
      <c r="KG10" s="110"/>
      <c r="KH10" s="178" t="str">
        <f>IF(COUNT(KH11:KH12)=0,"",SUM(KH11:KH12)/COUNT(KH11:KH12))</f>
        <v/>
      </c>
      <c r="KI10" s="179" t="str">
        <f t="shared" si="64"/>
        <v/>
      </c>
      <c r="KJ10" s="172"/>
      <c r="KK10" s="109"/>
      <c r="KL10" s="109"/>
      <c r="KM10" s="178">
        <f>IF(COUNT(KM11,KM12)=0,"",SUM(KM11:KM12)/COUNT(KM11,KM12))</f>
        <v>4</v>
      </c>
      <c r="KN10" s="194" t="str">
        <f t="shared" si="65"/>
        <v>A</v>
      </c>
      <c r="KO10" s="172"/>
      <c r="KP10" s="109"/>
      <c r="KQ10" s="109"/>
      <c r="KR10" s="110"/>
      <c r="KS10" s="178">
        <f>IF(COUNT(KS11,KS12)=0,"",SUM(KS11:KS12)/COUNT(KS11,KS12))</f>
        <v>4</v>
      </c>
      <c r="KT10" s="202" t="str">
        <f t="shared" si="66"/>
        <v>A</v>
      </c>
      <c r="KU10" s="203">
        <f>IF(COUNT(KU11:KU12)=0,"",SUM(KU11:KU12)/COUNT(KU11:KU12))</f>
        <v>4</v>
      </c>
      <c r="KV10" s="204" t="str">
        <f t="shared" si="67"/>
        <v>A</v>
      </c>
      <c r="KW10" s="214"/>
      <c r="KX10" s="109"/>
      <c r="KY10" s="110"/>
      <c r="KZ10" s="178" t="str">
        <f>IF(COUNT(KZ11:KZ12)=0,"",SUM(KZ11:KZ12)/COUNT(KZ11:KZ12))</f>
        <v/>
      </c>
      <c r="LA10" s="179" t="str">
        <f t="shared" si="68"/>
        <v/>
      </c>
      <c r="LB10" s="172"/>
      <c r="LC10" s="109"/>
      <c r="LD10" s="109"/>
      <c r="LE10" s="178">
        <f>IF(COUNT(LE11,LE12)=0,"",SUM(LE11:LE12)/COUNT(LE11,LE12))</f>
        <v>4</v>
      </c>
      <c r="LF10" s="194" t="str">
        <f t="shared" si="69"/>
        <v>A</v>
      </c>
      <c r="LG10" s="172"/>
      <c r="LH10" s="109"/>
      <c r="LI10" s="109"/>
      <c r="LJ10" s="110"/>
      <c r="LK10" s="178">
        <f>IF(COUNT(LK11,LK12)=0,"",SUM(LK11:LK12)/COUNT(LK11,LK12))</f>
        <v>3.6666666666666665</v>
      </c>
      <c r="LL10" s="202" t="str">
        <f t="shared" si="70"/>
        <v>B</v>
      </c>
      <c r="LM10" s="203">
        <f>IF(COUNT(LM11:LM12)=0,"",SUM(LM11:LM12)/COUNT(LM11:LM12))</f>
        <v>3.833333333333333</v>
      </c>
      <c r="LN10" s="204" t="str">
        <f t="shared" si="71"/>
        <v>A</v>
      </c>
      <c r="LO10" s="214"/>
      <c r="LP10" s="109"/>
      <c r="LQ10" s="110"/>
      <c r="LR10" s="178" t="str">
        <f>IF(COUNT(LR11:LR12)=0,"",SUM(LR11:LR12)/COUNT(LR11:LR12))</f>
        <v/>
      </c>
      <c r="LS10" s="179" t="str">
        <f t="shared" si="72"/>
        <v/>
      </c>
      <c r="LT10" s="172"/>
      <c r="LU10" s="109"/>
      <c r="LV10" s="109"/>
      <c r="LW10" s="178">
        <f>IF(COUNT(LW11,LW12)=0,"",SUM(LW11:LW12)/COUNT(LW11,LW12))</f>
        <v>3.6666666666666665</v>
      </c>
      <c r="LX10" s="194" t="str">
        <f t="shared" si="73"/>
        <v>B</v>
      </c>
      <c r="LY10" s="172"/>
      <c r="LZ10" s="109"/>
      <c r="MA10" s="109"/>
      <c r="MB10" s="110"/>
      <c r="MC10" s="178">
        <f>IF(COUNT(MC11,MC12)=0,"",SUM(MC11:MC12)/COUNT(MC11,MC12))</f>
        <v>3.6666666666666665</v>
      </c>
      <c r="MD10" s="202" t="str">
        <f t="shared" si="74"/>
        <v>B</v>
      </c>
      <c r="ME10" s="203">
        <f>IF(COUNT(ME11:ME12)=0,"",SUM(ME11:ME12)/COUNT(ME11:ME12))</f>
        <v>3.6666666666666665</v>
      </c>
      <c r="MF10" s="204" t="str">
        <f t="shared" si="75"/>
        <v>B</v>
      </c>
      <c r="MG10" s="214"/>
      <c r="MH10" s="109"/>
      <c r="MI10" s="110"/>
      <c r="MJ10" s="178" t="str">
        <f>IF(COUNT(MJ11:MJ12)=0,"",SUM(MJ11:MJ12)/COUNT(MJ11:MJ12))</f>
        <v/>
      </c>
      <c r="MK10" s="179" t="str">
        <f t="shared" si="76"/>
        <v/>
      </c>
      <c r="ML10" s="172"/>
      <c r="MM10" s="109"/>
      <c r="MN10" s="109"/>
      <c r="MO10" s="178">
        <f>IF(COUNT(MO11,MO12)=0,"",SUM(MO11:MO12)/COUNT(MO11,MO12))</f>
        <v>3.6666666666666665</v>
      </c>
      <c r="MP10" s="194" t="str">
        <f t="shared" si="77"/>
        <v>B</v>
      </c>
      <c r="MQ10" s="172"/>
      <c r="MR10" s="109"/>
      <c r="MS10" s="109"/>
      <c r="MT10" s="110"/>
      <c r="MU10" s="178">
        <f>IF(COUNT(MU11,MU12)=0,"",SUM(MU11:MU12)/COUNT(MU11,MU12))</f>
        <v>3.3333333333333335</v>
      </c>
      <c r="MV10" s="202" t="str">
        <f t="shared" si="78"/>
        <v>B</v>
      </c>
      <c r="MW10" s="203">
        <f>IF(COUNT(MW11:MW12)=0,"",SUM(MW11:MW12)/COUNT(MW11:MW12))</f>
        <v>3.5</v>
      </c>
      <c r="MX10" s="204" t="str">
        <f t="shared" si="79"/>
        <v>B</v>
      </c>
      <c r="MY10" s="214"/>
      <c r="MZ10" s="109"/>
      <c r="NA10" s="110"/>
      <c r="NB10" s="178" t="str">
        <f>IF(COUNT(NB11:NB12)=0,"",SUM(NB11:NB12)/COUNT(NB11:NB12))</f>
        <v/>
      </c>
      <c r="NC10" s="179" t="str">
        <f t="shared" si="80"/>
        <v/>
      </c>
      <c r="ND10" s="172"/>
      <c r="NE10" s="109"/>
      <c r="NF10" s="109"/>
      <c r="NG10" s="178">
        <f>IF(COUNT(NG11,NG12)=0,"",SUM(NG11:NG12)/COUNT(NG11,NG12))</f>
        <v>3.3333333333333335</v>
      </c>
      <c r="NH10" s="194" t="str">
        <f t="shared" si="81"/>
        <v>B</v>
      </c>
      <c r="NI10" s="172"/>
      <c r="NJ10" s="109"/>
      <c r="NK10" s="109"/>
      <c r="NL10" s="110"/>
      <c r="NM10" s="178">
        <f>IF(COUNT(NM11,NM12)=0,"",SUM(NM11:NM12)/COUNT(NM11,NM12))</f>
        <v>3</v>
      </c>
      <c r="NN10" s="202" t="str">
        <f t="shared" si="82"/>
        <v>B</v>
      </c>
      <c r="NO10" s="203">
        <f>IF(COUNT(NO11:NO12)=0,"",SUM(NO11:NO12)/COUNT(NO11:NO12))</f>
        <v>3.166666666666667</v>
      </c>
      <c r="NP10" s="204" t="str">
        <f t="shared" si="83"/>
        <v>B</v>
      </c>
      <c r="NQ10" s="214"/>
      <c r="NR10" s="109"/>
      <c r="NS10" s="110"/>
      <c r="NT10" s="178" t="str">
        <f>IF(COUNT(NT11:NT12)=0,"",SUM(NT11:NT12)/COUNT(NT11:NT12))</f>
        <v/>
      </c>
      <c r="NU10" s="179" t="str">
        <f t="shared" si="84"/>
        <v/>
      </c>
      <c r="NV10" s="172"/>
      <c r="NW10" s="109"/>
      <c r="NX10" s="109"/>
      <c r="NY10" s="178">
        <f>IF(COUNT(NY11,NY12)=0,"",SUM(NY11:NY12)/COUNT(NY11,NY12))</f>
        <v>4</v>
      </c>
      <c r="NZ10" s="194" t="str">
        <f t="shared" si="85"/>
        <v>A</v>
      </c>
      <c r="OA10" s="172"/>
      <c r="OB10" s="109"/>
      <c r="OC10" s="109"/>
      <c r="OD10" s="110"/>
      <c r="OE10" s="178">
        <f>IF(COUNT(OE11,OE12)=0,"",SUM(OE11:OE12)/COUNT(OE11,OE12))</f>
        <v>4</v>
      </c>
      <c r="OF10" s="202" t="str">
        <f t="shared" si="86"/>
        <v>A</v>
      </c>
      <c r="OG10" s="203">
        <f>IF(COUNT(OG11:OG12)=0,"",SUM(OG11:OG12)/COUNT(OG11:OG12))</f>
        <v>4</v>
      </c>
      <c r="OH10" s="204" t="str">
        <f t="shared" si="87"/>
        <v>A</v>
      </c>
      <c r="OI10" s="214"/>
      <c r="OJ10" s="109"/>
      <c r="OK10" s="110"/>
      <c r="OL10" s="178" t="str">
        <f>IF(COUNT(OL11:OL12)=0,"",SUM(OL11:OL12)/COUNT(OL11:OL12))</f>
        <v/>
      </c>
      <c r="OM10" s="179" t="str">
        <f t="shared" si="88"/>
        <v/>
      </c>
      <c r="ON10" s="172"/>
      <c r="OO10" s="109"/>
      <c r="OP10" s="109"/>
      <c r="OQ10" s="178">
        <f>IF(COUNT(OQ11,OQ12)=0,"",SUM(OQ11:OQ12)/COUNT(OQ11,OQ12))</f>
        <v>3.6666666666666665</v>
      </c>
      <c r="OR10" s="194" t="str">
        <f t="shared" si="89"/>
        <v>B</v>
      </c>
      <c r="OS10" s="172"/>
      <c r="OT10" s="109"/>
      <c r="OU10" s="109"/>
      <c r="OV10" s="110"/>
      <c r="OW10" s="178">
        <f>IF(COUNT(OW11,OW12)=0,"",SUM(OW11:OW12)/COUNT(OW11,OW12))</f>
        <v>2.6666666666666665</v>
      </c>
      <c r="OX10" s="202" t="str">
        <f t="shared" si="90"/>
        <v>C</v>
      </c>
      <c r="OY10" s="203">
        <f>IF(COUNT(OY11:OY12)=0,"",SUM(OY11:OY12)/COUNT(OY11:OY12))</f>
        <v>3.1666666666666665</v>
      </c>
      <c r="OZ10" s="204" t="str">
        <f t="shared" si="91"/>
        <v>B</v>
      </c>
      <c r="PA10" s="214"/>
      <c r="PB10" s="109"/>
      <c r="PC10" s="110"/>
      <c r="PD10" s="178" t="str">
        <f>IF(COUNT(PD11:PD12)=0,"",SUM(PD11:PD12)/COUNT(PD11:PD12))</f>
        <v/>
      </c>
      <c r="PE10" s="179" t="str">
        <f t="shared" si="92"/>
        <v/>
      </c>
      <c r="PF10" s="172"/>
      <c r="PG10" s="109"/>
      <c r="PH10" s="109"/>
      <c r="PI10" s="178">
        <f>IF(COUNT(PI11,PI12)=0,"",SUM(PI11:PI12)/COUNT(PI11,PI12))</f>
        <v>3.6666666666666665</v>
      </c>
      <c r="PJ10" s="194" t="str">
        <f t="shared" si="93"/>
        <v>B</v>
      </c>
      <c r="PK10" s="172"/>
      <c r="PL10" s="109"/>
      <c r="PM10" s="109"/>
      <c r="PN10" s="110"/>
      <c r="PO10" s="178">
        <f>IF(COUNT(PO11,PO12)=0,"",SUM(PO11:PO12)/COUNT(PO11,PO12))</f>
        <v>4</v>
      </c>
      <c r="PP10" s="202" t="str">
        <f t="shared" si="94"/>
        <v>A</v>
      </c>
      <c r="PQ10" s="203">
        <f>IF(COUNT(PQ11:PQ12)=0,"",SUM(PQ11:PQ12)/COUNT(PQ11:PQ12))</f>
        <v>3.833333333333333</v>
      </c>
      <c r="PR10" s="204" t="str">
        <f t="shared" si="95"/>
        <v>A</v>
      </c>
      <c r="PS10" s="214"/>
      <c r="PT10" s="109"/>
      <c r="PU10" s="110"/>
      <c r="PV10" s="178" t="str">
        <f>IF(COUNT(PV11:PV12)=0,"",SUM(PV11:PV12)/COUNT(PV11:PV12))</f>
        <v/>
      </c>
      <c r="PW10" s="179" t="str">
        <f t="shared" si="96"/>
        <v/>
      </c>
      <c r="PX10" s="172"/>
      <c r="PY10" s="109"/>
      <c r="PZ10" s="109"/>
      <c r="QA10" s="178">
        <f>IF(COUNT(QA11,QA12)=0,"",SUM(QA11:QA12)/COUNT(QA11,QA12))</f>
        <v>4</v>
      </c>
      <c r="QB10" s="194" t="str">
        <f t="shared" si="97"/>
        <v>A</v>
      </c>
      <c r="QC10" s="172"/>
      <c r="QD10" s="109"/>
      <c r="QE10" s="109"/>
      <c r="QF10" s="110"/>
      <c r="QG10" s="178">
        <f>IF(COUNT(QG11,QG12)=0,"",SUM(QG11:QG12)/COUNT(QG11,QG12))</f>
        <v>3.6666666666666665</v>
      </c>
      <c r="QH10" s="202" t="str">
        <f t="shared" si="98"/>
        <v>B</v>
      </c>
      <c r="QI10" s="203">
        <f>IF(COUNT(QI11:QI12)=0,"",SUM(QI11:QI12)/COUNT(QI11:QI12))</f>
        <v>3.833333333333333</v>
      </c>
      <c r="QJ10" s="204" t="str">
        <f t="shared" si="99"/>
        <v>A</v>
      </c>
      <c r="QK10" s="214"/>
      <c r="QL10" s="109"/>
      <c r="QM10" s="110"/>
      <c r="QN10" s="178" t="str">
        <f>IF(COUNT(QN11:QN12)=0,"",SUM(QN11:QN12)/COUNT(QN11:QN12))</f>
        <v/>
      </c>
      <c r="QO10" s="179" t="str">
        <f t="shared" si="100"/>
        <v/>
      </c>
      <c r="QP10" s="172"/>
      <c r="QQ10" s="109"/>
      <c r="QR10" s="109"/>
      <c r="QS10" s="178">
        <f>IF(COUNT(QS11,QS12)=0,"",SUM(QS11:QS12)/COUNT(QS11,QS12))</f>
        <v>3.5</v>
      </c>
      <c r="QT10" s="194" t="str">
        <f t="shared" si="101"/>
        <v>B</v>
      </c>
      <c r="QU10" s="172"/>
      <c r="QV10" s="109"/>
      <c r="QW10" s="109"/>
      <c r="QX10" s="110"/>
      <c r="QY10" s="178">
        <f>IF(COUNT(QY11,QY12)=0,"",SUM(QY11:QY12)/COUNT(QY11,QY12))</f>
        <v>3.3333333333333335</v>
      </c>
      <c r="QZ10" s="202" t="str">
        <f t="shared" si="102"/>
        <v>B</v>
      </c>
      <c r="RA10" s="203">
        <f>IF(COUNT(RA11:RA12)=0,"",SUM(RA11:RA12)/COUNT(RA11:RA12))</f>
        <v>3.416666666666667</v>
      </c>
      <c r="RB10" s="204" t="str">
        <f t="shared" si="103"/>
        <v>B</v>
      </c>
      <c r="RC10" s="214"/>
      <c r="RD10" s="109"/>
      <c r="RE10" s="110"/>
      <c r="RF10" s="178" t="str">
        <f>IF(COUNT(RF11:RF12)=0,"",SUM(RF11:RF12)/COUNT(RF11:RF12))</f>
        <v/>
      </c>
      <c r="RG10" s="179" t="str">
        <f t="shared" si="104"/>
        <v/>
      </c>
      <c r="RH10" s="172"/>
      <c r="RI10" s="109"/>
      <c r="RJ10" s="109"/>
      <c r="RK10" s="178">
        <f>IF(COUNT(RK11,RK12)=0,"",SUM(RK11:RK12)/COUNT(RK11,RK12))</f>
        <v>3.6666666666666665</v>
      </c>
      <c r="RL10" s="194" t="str">
        <f t="shared" si="105"/>
        <v>B</v>
      </c>
      <c r="RM10" s="172"/>
      <c r="RN10" s="109"/>
      <c r="RO10" s="109"/>
      <c r="RP10" s="110"/>
      <c r="RQ10" s="178">
        <f>IF(COUNT(RQ11,RQ12)=0,"",SUM(RQ11:RQ12)/COUNT(RQ11,RQ12))</f>
        <v>3.6666666666666665</v>
      </c>
      <c r="RR10" s="202" t="str">
        <f t="shared" si="106"/>
        <v>B</v>
      </c>
      <c r="RS10" s="203">
        <f>IF(COUNT(RS11:RS12)=0,"",SUM(RS11:RS12)/COUNT(RS11:RS12))</f>
        <v>3.6666666666666665</v>
      </c>
      <c r="RT10" s="204" t="str">
        <f t="shared" si="107"/>
        <v>B</v>
      </c>
      <c r="RU10" s="214"/>
      <c r="RV10" s="109"/>
      <c r="RW10" s="110"/>
      <c r="RX10" s="178" t="str">
        <f>IF(COUNT(RX11:RX12)=0,"",SUM(RX11:RX12)/COUNT(RX11:RX12))</f>
        <v/>
      </c>
      <c r="RY10" s="179" t="str">
        <f t="shared" si="108"/>
        <v/>
      </c>
      <c r="RZ10" s="172"/>
      <c r="SA10" s="109"/>
      <c r="SB10" s="109"/>
      <c r="SC10" s="178">
        <f>IF(COUNT(SC11,SC12)=0,"",SUM(SC11:SC12)/COUNT(SC11,SC12))</f>
        <v>4</v>
      </c>
      <c r="SD10" s="194" t="str">
        <f t="shared" si="109"/>
        <v>A</v>
      </c>
      <c r="SE10" s="172"/>
      <c r="SF10" s="109"/>
      <c r="SG10" s="109"/>
      <c r="SH10" s="110"/>
      <c r="SI10" s="178">
        <f>IF(COUNT(SI11,SI12)=0,"",SUM(SI11:SI12)/COUNT(SI11,SI12))</f>
        <v>3.5</v>
      </c>
      <c r="SJ10" s="202" t="str">
        <f t="shared" si="110"/>
        <v>B</v>
      </c>
      <c r="SK10" s="203">
        <f>IF(COUNT(SK11:SK12)=0,"",SUM(SK11:SK12)/COUNT(SK11:SK12))</f>
        <v>3.75</v>
      </c>
      <c r="SL10" s="204" t="str">
        <f t="shared" si="111"/>
        <v>A</v>
      </c>
      <c r="SM10" s="136"/>
      <c r="SN10" s="109"/>
      <c r="SO10" s="110"/>
      <c r="SP10" s="105" t="str">
        <f>IF(COUNT(SP11:SP12)=0,"",SUM(SP11:SP12)/COUNT(SP11:SP12))</f>
        <v/>
      </c>
      <c r="SQ10" s="106" t="str">
        <f t="shared" si="112"/>
        <v/>
      </c>
      <c r="SR10" s="108"/>
      <c r="SS10" s="109"/>
      <c r="ST10" s="110"/>
      <c r="SU10" s="105" t="str">
        <f>IF(COUNT(SU11,SU12)=0,"",SUM(SU11:SU12)/COUNT(SU11,SU12))</f>
        <v/>
      </c>
      <c r="SV10" s="107" t="str">
        <f t="shared" si="113"/>
        <v/>
      </c>
      <c r="SW10" s="108"/>
      <c r="SX10" s="109"/>
      <c r="SY10" s="110"/>
      <c r="SZ10" s="105" t="str">
        <f>IF(COUNT(SZ11,SZ12)=0,"",SUM(SZ11:SZ12)/COUNT(SZ11,SZ12))</f>
        <v/>
      </c>
      <c r="TA10" s="111" t="str">
        <f t="shared" si="114"/>
        <v/>
      </c>
      <c r="TB10" s="112" t="str">
        <f>IF(COUNT(TB11:TB12)=0,"",SUM(TB11:TB12)/COUNT(TB11:TB12))</f>
        <v/>
      </c>
      <c r="TC10" s="113" t="str">
        <f t="shared" si="115"/>
        <v/>
      </c>
      <c r="TD10" s="136"/>
      <c r="TE10" s="109"/>
      <c r="TF10" s="110"/>
      <c r="TG10" s="105" t="str">
        <f>IF(COUNT(TG11:TG12)=0,"",SUM(TG11:TG12)/COUNT(TG11:TG12))</f>
        <v/>
      </c>
      <c r="TH10" s="106" t="str">
        <f t="shared" si="116"/>
        <v/>
      </c>
      <c r="TI10" s="108"/>
      <c r="TJ10" s="109"/>
      <c r="TK10" s="110"/>
      <c r="TL10" s="105" t="str">
        <f>IF(COUNT(TL11,TL12)=0,"",SUM(TL11:TL12)/COUNT(TL11,TL12))</f>
        <v/>
      </c>
      <c r="TM10" s="107" t="str">
        <f t="shared" si="117"/>
        <v/>
      </c>
      <c r="TN10" s="108"/>
      <c r="TO10" s="109"/>
      <c r="TP10" s="110"/>
      <c r="TQ10" s="105" t="str">
        <f>IF(COUNT(TQ11,TQ12)=0,"",SUM(TQ11:TQ12)/COUNT(TQ11,TQ12))</f>
        <v/>
      </c>
      <c r="TR10" s="111" t="str">
        <f t="shared" si="118"/>
        <v/>
      </c>
      <c r="TS10" s="112" t="str">
        <f>IF(COUNT(TS11:TS12)=0,"",SUM(TS11:TS12)/COUNT(TS11:TS12))</f>
        <v/>
      </c>
      <c r="TT10" s="113" t="str">
        <f t="shared" si="119"/>
        <v/>
      </c>
    </row>
    <row r="11" spans="1:540" ht="18" customHeight="1" x14ac:dyDescent="0.25">
      <c r="A11" s="234" t="s">
        <v>44</v>
      </c>
      <c r="B11" s="235"/>
      <c r="C11" s="122"/>
      <c r="D11" s="123"/>
      <c r="E11" s="124"/>
      <c r="F11" s="180" t="str">
        <f>IFERROR((((COUNTIF('Elève (5ème4)'!C11:E11,"A"))*4)+((COUNTIF('Elève (5ème4)'!C11:E11,"B"))*3)+((COUNTIF('Elève (5ème4)'!C11:E11,"C"))*2)+((COUNTIF('Elève (5ème4)'!C11:E11,"D"))*1))/(COUNTA(C11:E11)),"")</f>
        <v/>
      </c>
      <c r="G11" s="181" t="str">
        <f t="shared" si="0"/>
        <v/>
      </c>
      <c r="H11" s="122" t="s">
        <v>27</v>
      </c>
      <c r="I11" s="123" t="s">
        <v>27</v>
      </c>
      <c r="J11" s="124" t="s">
        <v>27</v>
      </c>
      <c r="K11" s="180">
        <f>IFERROR((((COUNTIF('Elève (5ème4)'!H11:J11,"A"))*4)+((COUNTIF('Elève (5ème4)'!H11:J11,"B"))*3)+((COUNTIF('Elève (5ème4)'!H11:J11,"C"))*2)+((COUNTIF('Elève (5ème4)'!H11:J11,"D"))*1))/(COUNTA(H11:J11)),"")</f>
        <v>4</v>
      </c>
      <c r="L11" s="181" t="str">
        <f t="shared" si="1"/>
        <v>A</v>
      </c>
      <c r="M11" s="122"/>
      <c r="N11" s="123" t="s">
        <v>28</v>
      </c>
      <c r="O11" s="124" t="s">
        <v>28</v>
      </c>
      <c r="P11" s="124" t="s">
        <v>27</v>
      </c>
      <c r="Q11" s="180">
        <f>IFERROR((((COUNTIF('Elève (5ème4)'!M11:P11,"A"))*4)+((COUNTIF('Elève (5ème4)'!M11:P11,"B"))*3)+((COUNTIF('Elève (5ème4)'!M11:P11,"C"))*2)+((COUNTIF('Elève (5ème4)'!M11:P11,"D"))*1))/(COUNTA(M11:P11)),"")</f>
        <v>3.3333333333333335</v>
      </c>
      <c r="R11" s="181" t="str">
        <f t="shared" si="2"/>
        <v>B</v>
      </c>
      <c r="S11" s="208">
        <f>IF(COUNT(F11,K11,Q11)=0,"",SUM(F11,K11,Q11)/COUNT(F11,K11,Q11))</f>
        <v>3.666666666666667</v>
      </c>
      <c r="T11" s="205" t="str">
        <f t="shared" si="3"/>
        <v>B</v>
      </c>
      <c r="U11" s="122"/>
      <c r="V11" s="123"/>
      <c r="W11" s="124"/>
      <c r="X11" s="180" t="str">
        <f>IFERROR((((COUNTIF('Elève (5ème4)'!U11:W11,"A"))*4)+((COUNTIF('Elève (5ème4)'!U11:W11,"B"))*3)+((COUNTIF('Elève (5ème4)'!U11:W11,"C"))*2)+((COUNTIF('Elève (5ème4)'!U11:W11,"D"))*1))/(COUNTA(U11:W11)),"")</f>
        <v/>
      </c>
      <c r="Y11" s="181" t="str">
        <f t="shared" si="4"/>
        <v/>
      </c>
      <c r="Z11" s="122" t="s">
        <v>29</v>
      </c>
      <c r="AA11" s="123" t="s">
        <v>27</v>
      </c>
      <c r="AB11" s="124"/>
      <c r="AC11" s="180">
        <f>IFERROR((((COUNTIF('Elève (5ème4)'!Z11:AB11,"A"))*4)+((COUNTIF('Elève (5ème4)'!Z11:AB11,"B"))*3)+((COUNTIF('Elève (5ème4)'!Z11:AB11,"C"))*2)+((COUNTIF('Elève (5ème4)'!Z11:AB11,"D"))*1))/(COUNTA(Z11:AB11)),"")</f>
        <v>3</v>
      </c>
      <c r="AD11" s="181" t="str">
        <f t="shared" si="5"/>
        <v>B</v>
      </c>
      <c r="AE11" s="122"/>
      <c r="AF11" s="123" t="s">
        <v>28</v>
      </c>
      <c r="AG11" s="124" t="s">
        <v>28</v>
      </c>
      <c r="AH11" s="128" t="s">
        <v>27</v>
      </c>
      <c r="AI11" s="180">
        <f>IFERROR((((COUNTIF('Elève (5ème4)'!AE11:AH11,"A"))*4)+((COUNTIF('Elève (5ème4)'!AE11:AH11,"B"))*3)+((COUNTIF('Elève (5ème4)'!AE11:AH11,"C"))*2)+((COUNTIF('Elève (5ème4)'!AE11:AH11,"D"))*1))/(COUNTA(AE11:AH11)),"")</f>
        <v>3.3333333333333335</v>
      </c>
      <c r="AJ11" s="181" t="str">
        <f t="shared" si="6"/>
        <v>B</v>
      </c>
      <c r="AK11" s="208">
        <f>IF(COUNT(X11,AC11,AI11)=0,"",SUM(X11,AC11,AI11)/COUNT(X11,AC11,AI11))</f>
        <v>3.166666666666667</v>
      </c>
      <c r="AL11" s="205" t="str">
        <f t="shared" si="7"/>
        <v>B</v>
      </c>
      <c r="AM11" s="122"/>
      <c r="AN11" s="123"/>
      <c r="AO11" s="124"/>
      <c r="AP11" s="180" t="str">
        <f>IFERROR((((COUNTIF('Elève (5ème4)'!AM11:AO11,"A"))*4)+((COUNTIF('Elève (5ème4)'!AM11:AO11,"B"))*3)+((COUNTIF('Elève (5ème4)'!AM11:AO11,"C"))*2)+((COUNTIF('Elève (5ème4)'!AM11:AO11,"D"))*1))/(COUNTA(AM11:AO11)),"")</f>
        <v/>
      </c>
      <c r="AQ11" s="181" t="str">
        <f t="shared" si="8"/>
        <v/>
      </c>
      <c r="AR11" s="122" t="s">
        <v>27</v>
      </c>
      <c r="AS11" s="123" t="s">
        <v>27</v>
      </c>
      <c r="AT11" s="124" t="s">
        <v>28</v>
      </c>
      <c r="AU11" s="180">
        <f>IFERROR((((COUNTIF('Elève (5ème4)'!AR11:AT11,"A"))*4)+((COUNTIF('Elève (5ème4)'!AR11:AT11,"B"))*3)+((COUNTIF('Elève (5ème4)'!AR11:AT11,"C"))*2)+((COUNTIF('Elève (5ème4)'!AR11:AT11,"D"))*1))/(COUNTA(AR11:AT11)),"")</f>
        <v>3.6666666666666665</v>
      </c>
      <c r="AV11" s="181" t="str">
        <f t="shared" si="9"/>
        <v>B</v>
      </c>
      <c r="AW11" s="122"/>
      <c r="AX11" s="123" t="s">
        <v>29</v>
      </c>
      <c r="AY11" s="124" t="s">
        <v>29</v>
      </c>
      <c r="AZ11" s="128" t="s">
        <v>27</v>
      </c>
      <c r="BA11" s="180">
        <f>IFERROR((((COUNTIF('Elève (5ème4)'!AW11:AZ11,"A"))*4)+((COUNTIF('Elève (5ème4)'!AW11:AZ11,"B"))*3)+((COUNTIF('Elève (5ème4)'!AW11:AZ11,"C"))*2)+((COUNTIF('Elève (5ème4)'!AW11:AZ11,"D"))*1))/(COUNTA(AW11:AZ11)),"")</f>
        <v>2.6666666666666665</v>
      </c>
      <c r="BB11" s="181" t="str">
        <f t="shared" si="10"/>
        <v>C</v>
      </c>
      <c r="BC11" s="208">
        <f>IF(COUNT(AP11,AU11,BA11)=0,"",SUM(AP11,AU11,BA11)/COUNT(AP11,AU11,BA11))</f>
        <v>3.1666666666666665</v>
      </c>
      <c r="BD11" s="205" t="str">
        <f t="shared" si="11"/>
        <v>B</v>
      </c>
      <c r="BE11" s="122"/>
      <c r="BF11" s="123"/>
      <c r="BG11" s="124"/>
      <c r="BH11" s="180" t="str">
        <f>IFERROR((((COUNTIF('Elève (5ème4)'!BE11:BG11,"A"))*4)+((COUNTIF('Elève (5ème4)'!BE11:BG11,"B"))*3)+((COUNTIF('Elève (5ème4)'!BE11:BG11,"C"))*2)+((COUNTIF('Elève (5ème4)'!BE11:BG11,"D"))*1))/(COUNTA(BE11:BG11)),"")</f>
        <v/>
      </c>
      <c r="BI11" s="181" t="str">
        <f t="shared" si="12"/>
        <v/>
      </c>
      <c r="BJ11" s="122" t="s">
        <v>27</v>
      </c>
      <c r="BK11" s="123" t="s">
        <v>27</v>
      </c>
      <c r="BL11" s="124" t="s">
        <v>27</v>
      </c>
      <c r="BM11" s="180">
        <f>IFERROR((((COUNTIF('Elève (5ème4)'!BJ11:BL11,"A"))*4)+((COUNTIF('Elève (5ème4)'!BJ11:BL11,"B"))*3)+((COUNTIF('Elève (5ème4)'!BJ11:BL11,"C"))*2)+((COUNTIF('Elève (5ème4)'!BJ11:BL11,"D"))*1))/(COUNTA(BJ11:BL11)),"")</f>
        <v>4</v>
      </c>
      <c r="BN11" s="181" t="str">
        <f t="shared" si="13"/>
        <v>A</v>
      </c>
      <c r="BO11" s="122"/>
      <c r="BP11" s="123" t="s">
        <v>29</v>
      </c>
      <c r="BQ11" s="124" t="s">
        <v>28</v>
      </c>
      <c r="BR11" s="128" t="s">
        <v>27</v>
      </c>
      <c r="BS11" s="180">
        <f>IFERROR((((COUNTIF('Elève (5ème4)'!BO11:BR11,"A"))*4)+((COUNTIF('Elève (5ème4)'!BO11:BR11,"B"))*3)+((COUNTIF('Elève (5ème4)'!BO11:BR11,"C"))*2)+((COUNTIF('Elève (5ème4)'!BO11:BR11,"D"))*1))/(COUNTA(BO11:BR11)),"")</f>
        <v>3</v>
      </c>
      <c r="BT11" s="181" t="str">
        <f t="shared" si="14"/>
        <v>B</v>
      </c>
      <c r="BU11" s="208">
        <f>IF(COUNT(BH11,BM11,BS11)=0,"",SUM(BH11,BM11,BS11)/COUNT(BH11,BM11,BS11))</f>
        <v>3.5</v>
      </c>
      <c r="BV11" s="205" t="str">
        <f t="shared" si="15"/>
        <v>B</v>
      </c>
      <c r="BW11" s="122"/>
      <c r="BX11" s="123"/>
      <c r="BY11" s="124"/>
      <c r="BZ11" s="180" t="str">
        <f>IFERROR((((COUNTIF('Elève (5ème4)'!BW11:BY11,"A"))*4)+((COUNTIF('Elève (5ème4)'!BW11:BY11,"B"))*3)+((COUNTIF('Elève (5ème4)'!BW11:BY11,"C"))*2)+((COUNTIF('Elève (5ème4)'!BW11:BY11,"D"))*1))/(COUNTA(BW11:BY11)),"")</f>
        <v/>
      </c>
      <c r="CA11" s="181" t="str">
        <f t="shared" si="16"/>
        <v/>
      </c>
      <c r="CB11" s="122" t="s">
        <v>27</v>
      </c>
      <c r="CC11" s="123" t="s">
        <v>27</v>
      </c>
      <c r="CD11" s="124" t="s">
        <v>27</v>
      </c>
      <c r="CE11" s="180">
        <f>IFERROR((((COUNTIF('Elève (5ème4)'!CB11:CD11,"A"))*4)+((COUNTIF('Elève (5ème4)'!CB11:CD11,"B"))*3)+((COUNTIF('Elève (5ème4)'!CB11:CD11,"C"))*2)+((COUNTIF('Elève (5ème4)'!CB11:CD11,"D"))*1))/(COUNTA(CB11:CD11)),"")</f>
        <v>4</v>
      </c>
      <c r="CF11" s="181" t="str">
        <f t="shared" si="17"/>
        <v>A</v>
      </c>
      <c r="CG11" s="122"/>
      <c r="CH11" s="123" t="s">
        <v>28</v>
      </c>
      <c r="CI11" s="124" t="s">
        <v>27</v>
      </c>
      <c r="CJ11" s="128" t="s">
        <v>27</v>
      </c>
      <c r="CK11" s="180">
        <f>IFERROR((((COUNTIF('Elève (5ème4)'!CG11:CJ11,"A"))*4)+((COUNTIF('Elève (5ème4)'!CG11:CJ11,"B"))*3)+((COUNTIF('Elève (5ème4)'!CG11:CJ11,"C"))*2)+((COUNTIF('Elève (5ème4)'!CG11:CJ11,"D"))*1))/(COUNTA(CG11:CJ11)),"")</f>
        <v>3.6666666666666665</v>
      </c>
      <c r="CL11" s="181" t="str">
        <f t="shared" si="18"/>
        <v>B</v>
      </c>
      <c r="CM11" s="208">
        <f>IF(COUNT(BZ11,CE11,CK11)=0,"",SUM(BZ11,CE11,CK11)/COUNT(BZ11,CE11,CK11))</f>
        <v>3.833333333333333</v>
      </c>
      <c r="CN11" s="205" t="str">
        <f t="shared" si="19"/>
        <v>A</v>
      </c>
      <c r="CO11" s="122"/>
      <c r="CP11" s="123"/>
      <c r="CQ11" s="124"/>
      <c r="CR11" s="180" t="str">
        <f>IFERROR((((COUNTIF('Elève (5ème4)'!CO11:CQ11,"A"))*4)+((COUNTIF('Elève (5ème4)'!CO11:CQ11,"B"))*3)+((COUNTIF('Elève (5ème4)'!CO11:CQ11,"C"))*2)+((COUNTIF('Elève (5ème4)'!CO11:CQ11,"D"))*1))/(COUNTA(CO11:CQ11)),"")</f>
        <v/>
      </c>
      <c r="CS11" s="181" t="str">
        <f t="shared" si="20"/>
        <v/>
      </c>
      <c r="CT11" s="122" t="s">
        <v>28</v>
      </c>
      <c r="CU11" s="123" t="s">
        <v>27</v>
      </c>
      <c r="CV11" s="124" t="s">
        <v>28</v>
      </c>
      <c r="CW11" s="180">
        <f>IFERROR((((COUNTIF('Elève (5ème4)'!CT11:CV11,"A"))*4)+((COUNTIF('Elève (5ème4)'!CT11:CV11,"B"))*3)+((COUNTIF('Elève (5ème4)'!CT11:CV11,"C"))*2)+((COUNTIF('Elève (5ème4)'!CT11:CV11,"D"))*1))/(COUNTA(CT11:CV11)),"")</f>
        <v>3.3333333333333335</v>
      </c>
      <c r="CX11" s="181" t="str">
        <f t="shared" si="21"/>
        <v>B</v>
      </c>
      <c r="CY11" s="122"/>
      <c r="CZ11" s="123" t="s">
        <v>28</v>
      </c>
      <c r="DA11" s="124" t="s">
        <v>28</v>
      </c>
      <c r="DB11" s="128" t="s">
        <v>27</v>
      </c>
      <c r="DC11" s="180">
        <f>IFERROR((((COUNTIF('Elève (5ème4)'!CY11:DB11,"A"))*4)+((COUNTIF('Elève (5ème4)'!CY11:DB11,"B"))*3)+((COUNTIF('Elève (5ème4)'!CY11:DB11,"C"))*2)+((COUNTIF('Elève (5ème4)'!CY11:DB11,"D"))*1))/(COUNTA(CY11:DB11)),"")</f>
        <v>3.3333333333333335</v>
      </c>
      <c r="DD11" s="181" t="str">
        <f t="shared" si="22"/>
        <v>B</v>
      </c>
      <c r="DE11" s="208">
        <f>IF(COUNT(CR11,CW11,DC11)=0,"",SUM(CR11,CW11,DC11)/COUNT(CR11,CW11,DC11))</f>
        <v>3.3333333333333335</v>
      </c>
      <c r="DF11" s="205" t="str">
        <f t="shared" si="23"/>
        <v>B</v>
      </c>
      <c r="DG11" s="122"/>
      <c r="DH11" s="123"/>
      <c r="DI11" s="124"/>
      <c r="DJ11" s="180" t="str">
        <f>IFERROR((((COUNTIF('Elève (5ème4)'!DG11:DI11,"A"))*4)+((COUNTIF('Elève (5ème4)'!DG11:DI11,"B"))*3)+((COUNTIF('Elève (5ème4)'!DG11:DI11,"C"))*2)+((COUNTIF('Elève (5ème4)'!DG11:DI11,"D"))*1))/(COUNTA(DG11:DI11)),"")</f>
        <v/>
      </c>
      <c r="DK11" s="181" t="str">
        <f t="shared" si="24"/>
        <v/>
      </c>
      <c r="DL11" s="122" t="s">
        <v>27</v>
      </c>
      <c r="DM11" s="123" t="s">
        <v>27</v>
      </c>
      <c r="DN11" s="124" t="s">
        <v>28</v>
      </c>
      <c r="DO11" s="180">
        <f>IFERROR((((COUNTIF('Elève (5ème4)'!DL11:DN11,"A"))*4)+((COUNTIF('Elève (5ème4)'!DL11:DN11,"B"))*3)+((COUNTIF('Elève (5ème4)'!DL11:DN11,"C"))*2)+((COUNTIF('Elève (5ème4)'!DL11:DN11,"D"))*1))/(COUNTA(DL11:DN11)),"")</f>
        <v>3.6666666666666665</v>
      </c>
      <c r="DP11" s="181" t="str">
        <f t="shared" si="25"/>
        <v>B</v>
      </c>
      <c r="DQ11" s="122"/>
      <c r="DR11" s="123" t="s">
        <v>29</v>
      </c>
      <c r="DS11" s="124" t="s">
        <v>27</v>
      </c>
      <c r="DT11" s="128" t="s">
        <v>28</v>
      </c>
      <c r="DU11" s="180">
        <f>IFERROR((((COUNTIF('Elève (5ème4)'!DQ11:DT11,"A"))*4)+((COUNTIF('Elève (5ème4)'!DQ11:DT11,"B"))*3)+((COUNTIF('Elève (5ème4)'!DQ11:DT11,"C"))*2)+((COUNTIF('Elève (5ème4)'!DQ11:DT11,"D"))*1))/(COUNTA(DQ11:DT11)),"")</f>
        <v>3</v>
      </c>
      <c r="DV11" s="181" t="str">
        <f t="shared" si="26"/>
        <v>B</v>
      </c>
      <c r="DW11" s="208">
        <f>IF(COUNT(DJ11,DO11,DU11)=0,"",SUM(DJ11,DO11,DU11)/COUNT(DJ11,DO11,DU11))</f>
        <v>3.333333333333333</v>
      </c>
      <c r="DX11" s="205" t="str">
        <f t="shared" si="27"/>
        <v>B</v>
      </c>
      <c r="DY11" s="122"/>
      <c r="DZ11" s="123"/>
      <c r="EA11" s="124"/>
      <c r="EB11" s="180" t="str">
        <f>IFERROR((((COUNTIF('Elève (5ème4)'!DY11:EA11,"A"))*4)+((COUNTIF('Elève (5ème4)'!DY11:EA11,"B"))*3)+((COUNTIF('Elève (5ème4)'!DY11:EA11,"C"))*2)+((COUNTIF('Elève (5ème4)'!DY11:EA11,"D"))*1))/(COUNTA(DY11:EA11)),"")</f>
        <v/>
      </c>
      <c r="EC11" s="181" t="str">
        <f t="shared" si="28"/>
        <v/>
      </c>
      <c r="ED11" s="122" t="s">
        <v>28</v>
      </c>
      <c r="EE11" s="123" t="s">
        <v>27</v>
      </c>
      <c r="EF11" s="124" t="s">
        <v>27</v>
      </c>
      <c r="EG11" s="180">
        <f>IFERROR((((COUNTIF('Elève (5ème4)'!ED11:EF11,"A"))*4)+((COUNTIF('Elève (5ème4)'!ED11:EF11,"B"))*3)+((COUNTIF('Elève (5ème4)'!ED11:EF11,"C"))*2)+((COUNTIF('Elève (5ème4)'!ED11:EF11,"D"))*1))/(COUNTA(ED11:EF11)),"")</f>
        <v>3.6666666666666665</v>
      </c>
      <c r="EH11" s="181" t="str">
        <f t="shared" si="29"/>
        <v>B</v>
      </c>
      <c r="EI11" s="122"/>
      <c r="EJ11" s="123" t="s">
        <v>28</v>
      </c>
      <c r="EK11" s="124" t="s">
        <v>28</v>
      </c>
      <c r="EL11" s="128" t="s">
        <v>27</v>
      </c>
      <c r="EM11" s="180">
        <f>IFERROR((((COUNTIF('Elève (5ème4)'!EI11:EL11,"A"))*4)+((COUNTIF('Elève (5ème4)'!EI11:EL11,"B"))*3)+((COUNTIF('Elève (5ème4)'!EI11:EL11,"C"))*2)+((COUNTIF('Elève (5ème4)'!EI11:EL11,"D"))*1))/(COUNTA(EI11:EL11)),"")</f>
        <v>3.3333333333333335</v>
      </c>
      <c r="EN11" s="181" t="str">
        <f t="shared" si="30"/>
        <v>B</v>
      </c>
      <c r="EO11" s="208">
        <f>IF(COUNT(EB11,EG11,EM11)=0,"",SUM(EB11,EG11,EM11)/COUNT(EB11,EG11,EM11))</f>
        <v>3.5</v>
      </c>
      <c r="EP11" s="205" t="str">
        <f t="shared" si="31"/>
        <v>B</v>
      </c>
      <c r="EQ11" s="122"/>
      <c r="ER11" s="123"/>
      <c r="ES11" s="124"/>
      <c r="ET11" s="180" t="str">
        <f>IFERROR((((COUNTIF('Elève (5ème4)'!EQ11:ES11,"A"))*4)+((COUNTIF('Elève (5ème4)'!EQ11:ES11,"B"))*3)+((COUNTIF('Elève (5ème4)'!EQ11:ES11,"C"))*2)+((COUNTIF('Elève (5ème4)'!EQ11:ES11,"D"))*1))/(COUNTA(EQ11:ES11)),"")</f>
        <v/>
      </c>
      <c r="EU11" s="181" t="str">
        <f t="shared" si="32"/>
        <v/>
      </c>
      <c r="EV11" s="122" t="s">
        <v>29</v>
      </c>
      <c r="EW11" s="123" t="s">
        <v>27</v>
      </c>
      <c r="EX11" s="124" t="s">
        <v>28</v>
      </c>
      <c r="EY11" s="180">
        <f>IFERROR((((COUNTIF('Elève (5ème4)'!EV11:EX11,"A"))*4)+((COUNTIF('Elève (5ème4)'!EV11:EX11,"B"))*3)+((COUNTIF('Elève (5ème4)'!EV11:EX11,"C"))*2)+((COUNTIF('Elève (5ème4)'!EV11:EX11,"D"))*1))/(COUNTA(EV11:EX11)),"")</f>
        <v>3</v>
      </c>
      <c r="EZ11" s="181" t="str">
        <f t="shared" si="33"/>
        <v>B</v>
      </c>
      <c r="FA11" s="122"/>
      <c r="FB11" s="123" t="s">
        <v>29</v>
      </c>
      <c r="FC11" s="124" t="s">
        <v>29</v>
      </c>
      <c r="FD11" s="128" t="s">
        <v>27</v>
      </c>
      <c r="FE11" s="180">
        <f>IFERROR((((COUNTIF('Elève (5ème4)'!FA11:FD11,"A"))*4)+((COUNTIF('Elève (5ème4)'!FA11:FD11,"B"))*3)+((COUNTIF('Elève (5ème4)'!FA11:FD11,"C"))*2)+((COUNTIF('Elève (5ème4)'!FA11:FD11,"D"))*1))/(COUNTA(FA11:FD11)),"")</f>
        <v>2.6666666666666665</v>
      </c>
      <c r="FF11" s="181" t="str">
        <f t="shared" si="34"/>
        <v>C</v>
      </c>
      <c r="FG11" s="208">
        <f>IF(COUNT(ET11,EY11,FE11)=0,"",SUM(ET11,EY11,FE11)/COUNT(ET11,EY11,FE11))</f>
        <v>2.833333333333333</v>
      </c>
      <c r="FH11" s="205" t="str">
        <f t="shared" si="35"/>
        <v>B</v>
      </c>
      <c r="FI11" s="122"/>
      <c r="FJ11" s="123"/>
      <c r="FK11" s="124"/>
      <c r="FL11" s="180" t="str">
        <f>IFERROR((((COUNTIF('Elève (5ème4)'!FI11:FK11,"A"))*4)+((COUNTIF('Elève (5ème4)'!FI11:FK11,"B"))*3)+((COUNTIF('Elève (5ème4)'!FI11:FK11,"C"))*2)+((COUNTIF('Elève (5ème4)'!FI11:FK11,"D"))*1))/(COUNTA(FI11:FK11)),"")</f>
        <v/>
      </c>
      <c r="FM11" s="181" t="str">
        <f t="shared" si="36"/>
        <v/>
      </c>
      <c r="FN11" s="122" t="s">
        <v>28</v>
      </c>
      <c r="FO11" s="123" t="s">
        <v>27</v>
      </c>
      <c r="FP11" s="124" t="s">
        <v>27</v>
      </c>
      <c r="FQ11" s="180">
        <f>IFERROR((((COUNTIF('Elève (5ème4)'!FN11:FP11,"A"))*4)+((COUNTIF('Elève (5ème4)'!FN11:FP11,"B"))*3)+((COUNTIF('Elève (5ème4)'!FN11:FP11,"C"))*2)+((COUNTIF('Elève (5ème4)'!FN11:FP11,"D"))*1))/(COUNTA(FN11:FP11)),"")</f>
        <v>3.6666666666666665</v>
      </c>
      <c r="FR11" s="181" t="str">
        <f t="shared" si="37"/>
        <v>B</v>
      </c>
      <c r="FS11" s="122"/>
      <c r="FT11" s="123" t="s">
        <v>28</v>
      </c>
      <c r="FU11" s="124" t="s">
        <v>27</v>
      </c>
      <c r="FV11" s="128" t="s">
        <v>27</v>
      </c>
      <c r="FW11" s="180">
        <f>IFERROR((((COUNTIF('Elève (5ème4)'!FS11:FV11,"A"))*4)+((COUNTIF('Elève (5ème4)'!FS11:FV11,"B"))*3)+((COUNTIF('Elève (5ème4)'!FS11:FV11,"C"))*2)+((COUNTIF('Elève (5ème4)'!FS11:FV11,"D"))*1))/(COUNTA(FS11:FV11)),"")</f>
        <v>3.6666666666666665</v>
      </c>
      <c r="FX11" s="181" t="str">
        <f t="shared" si="38"/>
        <v>B</v>
      </c>
      <c r="FY11" s="208">
        <f>IF(COUNT(FL11,FQ11,FW11)=0,"",SUM(FL11,FQ11,FW11)/COUNT(FL11,FQ11,FW11))</f>
        <v>3.6666666666666665</v>
      </c>
      <c r="FZ11" s="205" t="str">
        <f t="shared" si="39"/>
        <v>B</v>
      </c>
      <c r="GA11" s="122"/>
      <c r="GB11" s="123"/>
      <c r="GC11" s="124"/>
      <c r="GD11" s="180" t="str">
        <f>IFERROR((((COUNTIF('Elève (5ème4)'!GA11:GC11,"A"))*4)+((COUNTIF('Elève (5ème4)'!GA11:GC11,"B"))*3)+((COUNTIF('Elève (5ème4)'!GA11:GC11,"C"))*2)+((COUNTIF('Elève (5ème4)'!GA11:GC11,"D"))*1))/(COUNTA(GA11:GC11)),"")</f>
        <v/>
      </c>
      <c r="GE11" s="181" t="str">
        <f t="shared" si="40"/>
        <v/>
      </c>
      <c r="GF11" s="122" t="s">
        <v>27</v>
      </c>
      <c r="GG11" s="123" t="s">
        <v>28</v>
      </c>
      <c r="GH11" s="124" t="s">
        <v>27</v>
      </c>
      <c r="GI11" s="180">
        <f>IFERROR((((COUNTIF('Elève (5ème4)'!GF11:GH11,"A"))*4)+((COUNTIF('Elève (5ème4)'!GF11:GH11,"B"))*3)+((COUNTIF('Elève (5ème4)'!GF11:GH11,"C"))*2)+((COUNTIF('Elève (5ème4)'!GF11:GH11,"D"))*1))/(COUNTA(GF11:GH11)),"")</f>
        <v>3.6666666666666665</v>
      </c>
      <c r="GJ11" s="181" t="str">
        <f t="shared" si="41"/>
        <v>B</v>
      </c>
      <c r="GK11" s="122"/>
      <c r="GL11" s="123" t="s">
        <v>27</v>
      </c>
      <c r="GM11" s="124" t="s">
        <v>27</v>
      </c>
      <c r="GN11" s="128" t="s">
        <v>27</v>
      </c>
      <c r="GO11" s="180">
        <f>IFERROR((((COUNTIF('Elève (5ème4)'!GK11:GN11,"A"))*4)+((COUNTIF('Elève (5ème4)'!GK11:GN11,"B"))*3)+((COUNTIF('Elève (5ème4)'!GK11:GN11,"C"))*2)+((COUNTIF('Elève (5ème4)'!GK11:GN11,"D"))*1))/(COUNTA(GK11:GN11)),"")</f>
        <v>4</v>
      </c>
      <c r="GP11" s="181" t="str">
        <f t="shared" si="42"/>
        <v>A</v>
      </c>
      <c r="GQ11" s="208">
        <f>IF(COUNT(GD11,GI11,GO11)=0,"",SUM(GD11,GI11,GO11)/COUNT(GD11,GI11,GO11))</f>
        <v>3.833333333333333</v>
      </c>
      <c r="GR11" s="205" t="str">
        <f t="shared" si="43"/>
        <v>A</v>
      </c>
      <c r="GS11" s="122"/>
      <c r="GT11" s="123"/>
      <c r="GU11" s="124"/>
      <c r="GV11" s="180" t="str">
        <f>IFERROR((((COUNTIF('Elève (5ème4)'!GS11:GU11,"A"))*4)+((COUNTIF('Elève (5ème4)'!GS11:GU11,"B"))*3)+((COUNTIF('Elève (5ème4)'!GS11:GU11,"C"))*2)+((COUNTIF('Elève (5ème4)'!GS11:GU11,"D"))*1))/(COUNTA(GS11:GU11)),"")</f>
        <v/>
      </c>
      <c r="GW11" s="181" t="str">
        <f t="shared" si="44"/>
        <v/>
      </c>
      <c r="GX11" s="122" t="s">
        <v>29</v>
      </c>
      <c r="GY11" s="123" t="s">
        <v>27</v>
      </c>
      <c r="GZ11" s="124" t="s">
        <v>27</v>
      </c>
      <c r="HA11" s="180">
        <f>IFERROR((((COUNTIF('Elève (5ème4)'!GX11:GZ11,"A"))*4)+((COUNTIF('Elève (5ème4)'!GX11:GZ11,"B"))*3)+((COUNTIF('Elève (5ème4)'!GX11:GZ11,"C"))*2)+((COUNTIF('Elève (5ème4)'!GX11:GZ11,"D"))*1))/(COUNTA(GX11:GZ11)),"")</f>
        <v>3.3333333333333335</v>
      </c>
      <c r="HB11" s="181" t="str">
        <f t="shared" si="45"/>
        <v>B</v>
      </c>
      <c r="HC11" s="122"/>
      <c r="HD11" s="123" t="s">
        <v>29</v>
      </c>
      <c r="HE11" s="124" t="s">
        <v>28</v>
      </c>
      <c r="HF11" s="128" t="s">
        <v>28</v>
      </c>
      <c r="HG11" s="180">
        <f>IFERROR((((COUNTIF('Elève (5ème4)'!HC11:HF11,"A"))*4)+((COUNTIF('Elève (5ème4)'!HC11:HF11,"B"))*3)+((COUNTIF('Elève (5ème4)'!HC11:HF11,"C"))*2)+((COUNTIF('Elève (5ème4)'!HC11:HF11,"D"))*1))/(COUNTA(HC11:HF11)),"")</f>
        <v>2.6666666666666665</v>
      </c>
      <c r="HH11" s="181" t="str">
        <f t="shared" si="46"/>
        <v>C</v>
      </c>
      <c r="HI11" s="208">
        <f>IF(COUNT(GV11,HA11,HG11)=0,"",SUM(GV11,HA11,HG11)/COUNT(GV11,HA11,HG11))</f>
        <v>3</v>
      </c>
      <c r="HJ11" s="205" t="str">
        <f t="shared" si="47"/>
        <v>B</v>
      </c>
      <c r="HK11" s="122"/>
      <c r="HL11" s="123"/>
      <c r="HM11" s="124"/>
      <c r="HN11" s="180" t="str">
        <f>IFERROR((((COUNTIF('Elève (5ème4)'!HK11:HM11,"A"))*4)+((COUNTIF('Elève (5ème4)'!HK11:HM11,"B"))*3)+((COUNTIF('Elève (5ème4)'!HK11:HM11,"C"))*2)+((COUNTIF('Elève (5ème4)'!HK11:HM11,"D"))*1))/(COUNTA(HK11:HM11)),"")</f>
        <v/>
      </c>
      <c r="HO11" s="181" t="str">
        <f t="shared" si="48"/>
        <v/>
      </c>
      <c r="HP11" s="122" t="s">
        <v>27</v>
      </c>
      <c r="HQ11" s="123" t="s">
        <v>27</v>
      </c>
      <c r="HR11" s="124" t="s">
        <v>27</v>
      </c>
      <c r="HS11" s="180">
        <f>IFERROR((((COUNTIF('Elève (5ème4)'!HP11:HR11,"A"))*4)+((COUNTIF('Elève (5ème4)'!HP11:HR11,"B"))*3)+((COUNTIF('Elève (5ème4)'!HP11:HR11,"C"))*2)+((COUNTIF('Elève (5ème4)'!HP11:HR11,"D"))*1))/(COUNTA(HP11:HR11)),"")</f>
        <v>4</v>
      </c>
      <c r="HT11" s="181" t="str">
        <f t="shared" si="49"/>
        <v>A</v>
      </c>
      <c r="HU11" s="122"/>
      <c r="HV11" s="123" t="s">
        <v>28</v>
      </c>
      <c r="HW11" s="124" t="s">
        <v>27</v>
      </c>
      <c r="HX11" s="128" t="s">
        <v>27</v>
      </c>
      <c r="HY11" s="180">
        <f>IFERROR((((COUNTIF('Elève (5ème4)'!HU11:HX11,"A"))*4)+((COUNTIF('Elève (5ème4)'!HU11:HX11,"B"))*3)+((COUNTIF('Elève (5ème4)'!HU11:HX11,"C"))*2)+((COUNTIF('Elève (5ème4)'!HU11:HX11,"D"))*1))/(COUNTA(HU11:HX11)),"")</f>
        <v>3.6666666666666665</v>
      </c>
      <c r="HZ11" s="181" t="str">
        <f t="shared" si="50"/>
        <v>B</v>
      </c>
      <c r="IA11" s="208">
        <f>IF(COUNT(HN11,HS11,HY11)=0,"",SUM(HN11,HS11,HY11)/COUNT(HN11,HS11,HY11))</f>
        <v>3.833333333333333</v>
      </c>
      <c r="IB11" s="205" t="str">
        <f t="shared" si="51"/>
        <v>A</v>
      </c>
      <c r="IC11" s="122"/>
      <c r="ID11" s="123"/>
      <c r="IE11" s="124"/>
      <c r="IF11" s="180" t="str">
        <f>IFERROR((((COUNTIF('Elève (5ème4)'!IC11:IE11,"A"))*4)+((COUNTIF('Elève (5ème4)'!IC11:IE11,"B"))*3)+((COUNTIF('Elève (5ème4)'!IC11:IE11,"C"))*2)+((COUNTIF('Elève (5ème4)'!IC11:IE11,"D"))*1))/(COUNTA(IC11:IE11)),"")</f>
        <v/>
      </c>
      <c r="IG11" s="181" t="str">
        <f t="shared" si="52"/>
        <v/>
      </c>
      <c r="IH11" s="122" t="s">
        <v>27</v>
      </c>
      <c r="II11" s="123" t="s">
        <v>27</v>
      </c>
      <c r="IJ11" s="124" t="s">
        <v>27</v>
      </c>
      <c r="IK11" s="180">
        <f>IFERROR((((COUNTIF('Elève (5ème4)'!IH11:IJ11,"A"))*4)+((COUNTIF('Elève (5ème4)'!IH11:IJ11,"B"))*3)+((COUNTIF('Elève (5ème4)'!IH11:IJ11,"C"))*2)+((COUNTIF('Elève (5ème4)'!IH11:IJ11,"D"))*1))/(COUNTA(IH11:IJ11)),"")</f>
        <v>4</v>
      </c>
      <c r="IL11" s="181" t="str">
        <f t="shared" si="53"/>
        <v>A</v>
      </c>
      <c r="IM11" s="122"/>
      <c r="IN11" s="123" t="s">
        <v>27</v>
      </c>
      <c r="IO11" s="124" t="s">
        <v>28</v>
      </c>
      <c r="IP11" s="128" t="s">
        <v>27</v>
      </c>
      <c r="IQ11" s="180">
        <f>IFERROR((((COUNTIF('Elève (5ème4)'!IM11:IP11,"A"))*4)+((COUNTIF('Elève (5ème4)'!IM11:IP11,"B"))*3)+((COUNTIF('Elève (5ème4)'!IM11:IP11,"C"))*2)+((COUNTIF('Elève (5ème4)'!IM11:IP11,"D"))*1))/(COUNTA(IM11:IP11)),"")</f>
        <v>3.6666666666666665</v>
      </c>
      <c r="IR11" s="181" t="str">
        <f t="shared" si="54"/>
        <v>B</v>
      </c>
      <c r="IS11" s="208">
        <f>IF(COUNT(IF11,IK11,IQ11)=0,"",SUM(IF11,IK11,IQ11)/COUNT(IF11,IK11,IQ11))</f>
        <v>3.833333333333333</v>
      </c>
      <c r="IT11" s="205" t="str">
        <f t="shared" si="55"/>
        <v>A</v>
      </c>
      <c r="IU11" s="122"/>
      <c r="IV11" s="123"/>
      <c r="IW11" s="124"/>
      <c r="IX11" s="180" t="str">
        <f>IFERROR((((COUNTIF('Elève (5ème4)'!IU11:IW11,"A"))*4)+((COUNTIF('Elève (5ème4)'!IU11:IW11,"B"))*3)+((COUNTIF('Elève (5ème4)'!IU11:IW11,"C"))*2)+((COUNTIF('Elève (5ème4)'!IU11:IW11,"D"))*1))/(COUNTA(IU11:IW11)),"")</f>
        <v/>
      </c>
      <c r="IY11" s="181" t="str">
        <f t="shared" si="56"/>
        <v/>
      </c>
      <c r="IZ11" s="122" t="s">
        <v>27</v>
      </c>
      <c r="JA11" s="123" t="s">
        <v>27</v>
      </c>
      <c r="JB11" s="124" t="s">
        <v>27</v>
      </c>
      <c r="JC11" s="180">
        <f>IFERROR((((COUNTIF('Elève (5ème4)'!IZ11:JB11,"A"))*4)+((COUNTIF('Elève (5ème4)'!IZ11:JB11,"B"))*3)+((COUNTIF('Elève (5ème4)'!IZ11:JB11,"C"))*2)+((COUNTIF('Elève (5ème4)'!IZ11:JB11,"D"))*1))/(COUNTA(IZ11:JB11)),"")</f>
        <v>4</v>
      </c>
      <c r="JD11" s="181" t="str">
        <f t="shared" si="57"/>
        <v>A</v>
      </c>
      <c r="JE11" s="122"/>
      <c r="JF11" s="123" t="s">
        <v>29</v>
      </c>
      <c r="JG11" s="124" t="s">
        <v>28</v>
      </c>
      <c r="JH11" s="128" t="s">
        <v>27</v>
      </c>
      <c r="JI11" s="180">
        <f>IFERROR((((COUNTIF('Elève (5ème4)'!JE11:JH11,"A"))*4)+((COUNTIF('Elève (5ème4)'!JE11:JH11,"B"))*3)+((COUNTIF('Elève (5ème4)'!JE11:JH11,"C"))*2)+((COUNTIF('Elève (5ème4)'!JE11:JH11,"D"))*1))/(COUNTA(JE11:JH11)),"")</f>
        <v>3</v>
      </c>
      <c r="JJ11" s="181" t="str">
        <f t="shared" si="58"/>
        <v>B</v>
      </c>
      <c r="JK11" s="208">
        <f>IF(COUNT(IX11,JC11,JI11)=0,"",SUM(IX11,JC11,JI11)/COUNT(IX11,JC11,JI11))</f>
        <v>3.5</v>
      </c>
      <c r="JL11" s="205" t="str">
        <f t="shared" si="59"/>
        <v>B</v>
      </c>
      <c r="JM11" s="122"/>
      <c r="JN11" s="123"/>
      <c r="JO11" s="124"/>
      <c r="JP11" s="180" t="str">
        <f>IFERROR((((COUNTIF('Elève (5ème4)'!JM11:JO11,"A"))*4)+((COUNTIF('Elève (5ème4)'!JM11:JO11,"B"))*3)+((COUNTIF('Elève (5ème4)'!JM11:JO11,"C"))*2)+((COUNTIF('Elève (5ème4)'!JM11:JO11,"D"))*1))/(COUNTA(JM11:JO11)),"")</f>
        <v/>
      </c>
      <c r="JQ11" s="181" t="str">
        <f t="shared" si="60"/>
        <v/>
      </c>
      <c r="JR11" s="122" t="s">
        <v>28</v>
      </c>
      <c r="JS11" s="123" t="s">
        <v>27</v>
      </c>
      <c r="JT11" s="124" t="s">
        <v>27</v>
      </c>
      <c r="JU11" s="180">
        <f>IFERROR((((COUNTIF('Elève (5ème4)'!JR11:JT11,"A"))*4)+((COUNTIF('Elève (5ème4)'!JR11:JT11,"B"))*3)+((COUNTIF('Elève (5ème4)'!JR11:JT11,"C"))*2)+((COUNTIF('Elève (5ème4)'!JR11:JT11,"D"))*1))/(COUNTA(JR11:JT11)),"")</f>
        <v>3.6666666666666665</v>
      </c>
      <c r="JV11" s="181" t="str">
        <f t="shared" si="61"/>
        <v>B</v>
      </c>
      <c r="JW11" s="122"/>
      <c r="JX11" s="123" t="s">
        <v>29</v>
      </c>
      <c r="JY11" s="124" t="s">
        <v>27</v>
      </c>
      <c r="JZ11" s="128" t="s">
        <v>27</v>
      </c>
      <c r="KA11" s="180">
        <f>IFERROR((((COUNTIF('Elève (5ème4)'!JW11:JZ11,"A"))*4)+((COUNTIF('Elève (5ème4)'!JW11:JZ11,"B"))*3)+((COUNTIF('Elève (5ème4)'!JW11:JZ11,"C"))*2)+((COUNTIF('Elève (5ème4)'!JW11:JZ11,"D"))*1))/(COUNTA(JW11:JZ11)),"")</f>
        <v>3.3333333333333335</v>
      </c>
      <c r="KB11" s="181" t="str">
        <f t="shared" si="62"/>
        <v>B</v>
      </c>
      <c r="KC11" s="208">
        <f>IF(COUNT(JP11,JU11,KA11)=0,"",SUM(JP11,JU11,KA11)/COUNT(JP11,JU11,KA11))</f>
        <v>3.5</v>
      </c>
      <c r="KD11" s="205" t="str">
        <f t="shared" si="63"/>
        <v>B</v>
      </c>
      <c r="KE11" s="122"/>
      <c r="KF11" s="123"/>
      <c r="KG11" s="124"/>
      <c r="KH11" s="180" t="str">
        <f>IFERROR((((COUNTIF('Elève (5ème4)'!KE11:KG11,"A"))*4)+((COUNTIF('Elève (5ème4)'!KE11:KG11,"B"))*3)+((COUNTIF('Elève (5ème4)'!KE11:KG11,"C"))*2)+((COUNTIF('Elève (5ème4)'!KE11:KG11,"D"))*1))/(COUNTA(KE11:KG11)),"")</f>
        <v/>
      </c>
      <c r="KI11" s="181" t="str">
        <f t="shared" si="64"/>
        <v/>
      </c>
      <c r="KJ11" s="122" t="s">
        <v>27</v>
      </c>
      <c r="KK11" s="123" t="s">
        <v>27</v>
      </c>
      <c r="KL11" s="124" t="s">
        <v>27</v>
      </c>
      <c r="KM11" s="180">
        <f>IFERROR((((COUNTIF('Elève (5ème4)'!KJ11:KL11,"A"))*4)+((COUNTIF('Elève (5ème4)'!KJ11:KL11,"B"))*3)+((COUNTIF('Elève (5ème4)'!KJ11:KL11,"C"))*2)+((COUNTIF('Elève (5ème4)'!KJ11:KL11,"D"))*1))/(COUNTA(KJ11:KL11)),"")</f>
        <v>4</v>
      </c>
      <c r="KN11" s="181" t="str">
        <f t="shared" si="65"/>
        <v>A</v>
      </c>
      <c r="KO11" s="122"/>
      <c r="KP11" s="123" t="s">
        <v>27</v>
      </c>
      <c r="KQ11" s="124" t="s">
        <v>27</v>
      </c>
      <c r="KR11" s="128" t="s">
        <v>27</v>
      </c>
      <c r="KS11" s="180">
        <f>IFERROR((((COUNTIF('Elève (5ème4)'!KO11:KR11,"A"))*4)+((COUNTIF('Elève (5ème4)'!KO11:KR11,"B"))*3)+((COUNTIF('Elève (5ème4)'!KO11:KR11,"C"))*2)+((COUNTIF('Elève (5ème4)'!KO11:KR11,"D"))*1))/(COUNTA(KO11:KR11)),"")</f>
        <v>4</v>
      </c>
      <c r="KT11" s="181" t="str">
        <f t="shared" si="66"/>
        <v>A</v>
      </c>
      <c r="KU11" s="208">
        <f>IF(COUNT(KH11,KM11,KS11)=0,"",SUM(KH11,KM11,KS11)/COUNT(KH11,KM11,KS11))</f>
        <v>4</v>
      </c>
      <c r="KV11" s="205" t="str">
        <f t="shared" si="67"/>
        <v>A</v>
      </c>
      <c r="KW11" s="122"/>
      <c r="KX11" s="123"/>
      <c r="KY11" s="124"/>
      <c r="KZ11" s="180" t="str">
        <f>IFERROR((((COUNTIF('Elève (5ème4)'!KW11:KY11,"A"))*4)+((COUNTIF('Elève (5ème4)'!KW11:KY11,"B"))*3)+((COUNTIF('Elève (5ème4)'!KW11:KY11,"C"))*2)+((COUNTIF('Elève (5ème4)'!KW11:KY11,"D"))*1))/(COUNTA(KW11:KY11)),"")</f>
        <v/>
      </c>
      <c r="LA11" s="181" t="str">
        <f t="shared" si="68"/>
        <v/>
      </c>
      <c r="LB11" s="122" t="s">
        <v>27</v>
      </c>
      <c r="LC11" s="123" t="s">
        <v>27</v>
      </c>
      <c r="LD11" s="124" t="s">
        <v>27</v>
      </c>
      <c r="LE11" s="180">
        <f>IFERROR((((COUNTIF('Elève (5ème4)'!LB11:LD11,"A"))*4)+((COUNTIF('Elève (5ème4)'!LB11:LD11,"B"))*3)+((COUNTIF('Elève (5ème4)'!LB11:LD11,"C"))*2)+((COUNTIF('Elève (5ème4)'!LB11:LD11,"D"))*1))/(COUNTA(LB11:LD11)),"")</f>
        <v>4</v>
      </c>
      <c r="LF11" s="181" t="str">
        <f t="shared" si="69"/>
        <v>A</v>
      </c>
      <c r="LG11" s="122"/>
      <c r="LH11" s="123" t="s">
        <v>28</v>
      </c>
      <c r="LI11" s="124" t="s">
        <v>27</v>
      </c>
      <c r="LJ11" s="128" t="s">
        <v>27</v>
      </c>
      <c r="LK11" s="180">
        <f>IFERROR((((COUNTIF('Elève (5ème4)'!LG11:LJ11,"A"))*4)+((COUNTIF('Elève (5ème4)'!LG11:LJ11,"B"))*3)+((COUNTIF('Elève (5ème4)'!LG11:LJ11,"C"))*2)+((COUNTIF('Elève (5ème4)'!LG11:LJ11,"D"))*1))/(COUNTA(LG11:LJ11)),"")</f>
        <v>3.6666666666666665</v>
      </c>
      <c r="LL11" s="181" t="str">
        <f t="shared" si="70"/>
        <v>B</v>
      </c>
      <c r="LM11" s="208">
        <f>IF(COUNT(KZ11,LE11,LK11)=0,"",SUM(KZ11,LE11,LK11)/COUNT(KZ11,LE11,LK11))</f>
        <v>3.833333333333333</v>
      </c>
      <c r="LN11" s="205" t="str">
        <f t="shared" si="71"/>
        <v>A</v>
      </c>
      <c r="LO11" s="122"/>
      <c r="LP11" s="123"/>
      <c r="LQ11" s="124"/>
      <c r="LR11" s="180" t="str">
        <f>IFERROR((((COUNTIF('Elève (5ème4)'!LO11:LQ11,"A"))*4)+((COUNTIF('Elève (5ème4)'!LO11:LQ11,"B"))*3)+((COUNTIF('Elève (5ème4)'!LO11:LQ11,"C"))*2)+((COUNTIF('Elève (5ème4)'!LO11:LQ11,"D"))*1))/(COUNTA(LO11:LQ11)),"")</f>
        <v/>
      </c>
      <c r="LS11" s="181" t="str">
        <f t="shared" si="72"/>
        <v/>
      </c>
      <c r="LT11" s="122" t="s">
        <v>28</v>
      </c>
      <c r="LU11" s="123" t="s">
        <v>27</v>
      </c>
      <c r="LV11" s="124" t="s">
        <v>27</v>
      </c>
      <c r="LW11" s="180">
        <f>IFERROR((((COUNTIF('Elève (5ème4)'!LT11:LV11,"A"))*4)+((COUNTIF('Elève (5ème4)'!LT11:LV11,"B"))*3)+((COUNTIF('Elève (5ème4)'!LT11:LV11,"C"))*2)+((COUNTIF('Elève (5ème4)'!LT11:LV11,"D"))*1))/(COUNTA(LT11:LV11)),"")</f>
        <v>3.6666666666666665</v>
      </c>
      <c r="LX11" s="181" t="str">
        <f t="shared" si="73"/>
        <v>B</v>
      </c>
      <c r="LY11" s="122"/>
      <c r="LZ11" s="123" t="s">
        <v>28</v>
      </c>
      <c r="MA11" s="124" t="s">
        <v>27</v>
      </c>
      <c r="MB11" s="128" t="s">
        <v>27</v>
      </c>
      <c r="MC11" s="180">
        <f>IFERROR((((COUNTIF('Elève (5ème4)'!LY11:MB11,"A"))*4)+((COUNTIF('Elève (5ème4)'!LY11:MB11,"B"))*3)+((COUNTIF('Elève (5ème4)'!LY11:MB11,"C"))*2)+((COUNTIF('Elève (5ème4)'!LY11:MB11,"D"))*1))/(COUNTA(LY11:MB11)),"")</f>
        <v>3.6666666666666665</v>
      </c>
      <c r="MD11" s="181" t="str">
        <f t="shared" si="74"/>
        <v>B</v>
      </c>
      <c r="ME11" s="208">
        <f>IF(COUNT(LR11,LW11,MC11)=0,"",SUM(LR11,LW11,MC11)/COUNT(LR11,LW11,MC11))</f>
        <v>3.6666666666666665</v>
      </c>
      <c r="MF11" s="205" t="str">
        <f t="shared" si="75"/>
        <v>B</v>
      </c>
      <c r="MG11" s="122"/>
      <c r="MH11" s="123"/>
      <c r="MI11" s="124"/>
      <c r="MJ11" s="180" t="str">
        <f>IFERROR((((COUNTIF('Elève (5ème4)'!MG11:MI11,"A"))*4)+((COUNTIF('Elève (5ème4)'!MG11:MI11,"B"))*3)+((COUNTIF('Elève (5ème4)'!MG11:MI11,"C"))*2)+((COUNTIF('Elève (5ème4)'!MG11:MI11,"D"))*1))/(COUNTA(MG11:MI11)),"")</f>
        <v/>
      </c>
      <c r="MK11" s="181" t="str">
        <f t="shared" si="76"/>
        <v/>
      </c>
      <c r="ML11" s="122" t="s">
        <v>27</v>
      </c>
      <c r="MM11" s="123" t="s">
        <v>28</v>
      </c>
      <c r="MN11" s="124" t="s">
        <v>27</v>
      </c>
      <c r="MO11" s="180">
        <f>IFERROR((((COUNTIF('Elève (5ème4)'!ML11:MN11,"A"))*4)+((COUNTIF('Elève (5ème4)'!ML11:MN11,"B"))*3)+((COUNTIF('Elève (5ème4)'!ML11:MN11,"C"))*2)+((COUNTIF('Elève (5ème4)'!ML11:MN11,"D"))*1))/(COUNTA(ML11:MN11)),"")</f>
        <v>3.6666666666666665</v>
      </c>
      <c r="MP11" s="181" t="str">
        <f t="shared" si="77"/>
        <v>B</v>
      </c>
      <c r="MQ11" s="122"/>
      <c r="MR11" s="123" t="s">
        <v>28</v>
      </c>
      <c r="MS11" s="124" t="s">
        <v>28</v>
      </c>
      <c r="MT11" s="128" t="s">
        <v>27</v>
      </c>
      <c r="MU11" s="180">
        <f>IFERROR((((COUNTIF('Elève (5ème4)'!MQ11:MT11,"A"))*4)+((COUNTIF('Elève (5ème4)'!MQ11:MT11,"B"))*3)+((COUNTIF('Elève (5ème4)'!MQ11:MT11,"C"))*2)+((COUNTIF('Elève (5ème4)'!MQ11:MT11,"D"))*1))/(COUNTA(MQ11:MT11)),"")</f>
        <v>3.3333333333333335</v>
      </c>
      <c r="MV11" s="181" t="str">
        <f t="shared" si="78"/>
        <v>B</v>
      </c>
      <c r="MW11" s="208">
        <f>IF(COUNT(MJ11,MO11,MU11)=0,"",SUM(MJ11,MO11,MU11)/COUNT(MJ11,MO11,MU11))</f>
        <v>3.5</v>
      </c>
      <c r="MX11" s="205" t="str">
        <f t="shared" si="79"/>
        <v>B</v>
      </c>
      <c r="MY11" s="122"/>
      <c r="MZ11" s="123"/>
      <c r="NA11" s="124"/>
      <c r="NB11" s="180" t="str">
        <f>IFERROR((((COUNTIF('Elève (5ème4)'!MY11:NA11,"A"))*4)+((COUNTIF('Elève (5ème4)'!MY11:NA11,"B"))*3)+((COUNTIF('Elève (5ème4)'!MY11:NA11,"C"))*2)+((COUNTIF('Elève (5ème4)'!MY11:NA11,"D"))*1))/(COUNTA(MY11:NA11)),"")</f>
        <v/>
      </c>
      <c r="NC11" s="181" t="str">
        <f t="shared" si="80"/>
        <v/>
      </c>
      <c r="ND11" s="122" t="s">
        <v>27</v>
      </c>
      <c r="NE11" s="123" t="s">
        <v>27</v>
      </c>
      <c r="NF11" s="124" t="s">
        <v>29</v>
      </c>
      <c r="NG11" s="180">
        <f>IFERROR((((COUNTIF('Elève (5ème4)'!ND11:NF11,"A"))*4)+((COUNTIF('Elève (5ème4)'!ND11:NF11,"B"))*3)+((COUNTIF('Elève (5ème4)'!ND11:NF11,"C"))*2)+((COUNTIF('Elève (5ème4)'!ND11:NF11,"D"))*1))/(COUNTA(ND11:NF11)),"")</f>
        <v>3.3333333333333335</v>
      </c>
      <c r="NH11" s="181" t="str">
        <f t="shared" si="81"/>
        <v>B</v>
      </c>
      <c r="NI11" s="122"/>
      <c r="NJ11" s="123" t="s">
        <v>29</v>
      </c>
      <c r="NK11" s="124" t="s">
        <v>28</v>
      </c>
      <c r="NL11" s="128" t="s">
        <v>27</v>
      </c>
      <c r="NM11" s="180">
        <f>IFERROR((((COUNTIF('Elève (5ème4)'!NI11:NL11,"A"))*4)+((COUNTIF('Elève (5ème4)'!NI11:NL11,"B"))*3)+((COUNTIF('Elève (5ème4)'!NI11:NL11,"C"))*2)+((COUNTIF('Elève (5ème4)'!NI11:NL11,"D"))*1))/(COUNTA(NI11:NL11)),"")</f>
        <v>3</v>
      </c>
      <c r="NN11" s="181" t="str">
        <f t="shared" si="82"/>
        <v>B</v>
      </c>
      <c r="NO11" s="208">
        <f>IF(COUNT(NB11,NG11,NM11)=0,"",SUM(NB11,NG11,NM11)/COUNT(NB11,NG11,NM11))</f>
        <v>3.166666666666667</v>
      </c>
      <c r="NP11" s="205" t="str">
        <f t="shared" si="83"/>
        <v>B</v>
      </c>
      <c r="NQ11" s="122"/>
      <c r="NR11" s="123"/>
      <c r="NS11" s="124"/>
      <c r="NT11" s="180" t="str">
        <f>IFERROR((((COUNTIF('Elève (5ème4)'!NQ11:NS11,"A"))*4)+((COUNTIF('Elève (5ème4)'!NQ11:NS11,"B"))*3)+((COUNTIF('Elève (5ème4)'!NQ11:NS11,"C"))*2)+((COUNTIF('Elève (5ème4)'!NQ11:NS11,"D"))*1))/(COUNTA(NQ11:NS11)),"")</f>
        <v/>
      </c>
      <c r="NU11" s="181" t="str">
        <f t="shared" si="84"/>
        <v/>
      </c>
      <c r="NV11" s="122" t="s">
        <v>27</v>
      </c>
      <c r="NW11" s="123" t="s">
        <v>27</v>
      </c>
      <c r="NX11" s="124" t="s">
        <v>27</v>
      </c>
      <c r="NY11" s="180">
        <f>IFERROR((((COUNTIF('Elève (5ème4)'!NV11:NX11,"A"))*4)+((COUNTIF('Elève (5ème4)'!NV11:NX11,"B"))*3)+((COUNTIF('Elève (5ème4)'!NV11:NX11,"C"))*2)+((COUNTIF('Elève (5ème4)'!NV11:NX11,"D"))*1))/(COUNTA(NV11:NX11)),"")</f>
        <v>4</v>
      </c>
      <c r="NZ11" s="181" t="str">
        <f t="shared" si="85"/>
        <v>A</v>
      </c>
      <c r="OA11" s="122"/>
      <c r="OB11" s="123" t="s">
        <v>27</v>
      </c>
      <c r="OC11" s="124" t="s">
        <v>27</v>
      </c>
      <c r="OD11" s="128" t="s">
        <v>27</v>
      </c>
      <c r="OE11" s="180">
        <f>IFERROR((((COUNTIF('Elève (5ème4)'!OA11:OD11,"A"))*4)+((COUNTIF('Elève (5ème4)'!OA11:OD11,"B"))*3)+((COUNTIF('Elève (5ème4)'!OA11:OD11,"C"))*2)+((COUNTIF('Elève (5ème4)'!OA11:OD11,"D"))*1))/(COUNTA(OA11:OD11)),"")</f>
        <v>4</v>
      </c>
      <c r="OF11" s="181" t="str">
        <f t="shared" si="86"/>
        <v>A</v>
      </c>
      <c r="OG11" s="208">
        <f>IF(COUNT(NT11,NY11,OE11)=0,"",SUM(NT11,NY11,OE11)/COUNT(NT11,NY11,OE11))</f>
        <v>4</v>
      </c>
      <c r="OH11" s="205" t="str">
        <f t="shared" si="87"/>
        <v>A</v>
      </c>
      <c r="OI11" s="122"/>
      <c r="OJ11" s="123"/>
      <c r="OK11" s="124"/>
      <c r="OL11" s="180" t="str">
        <f>IFERROR((((COUNTIF('Elève (5ème4)'!OI11:OK11,"A"))*4)+((COUNTIF('Elève (5ème4)'!OI11:OK11,"B"))*3)+((COUNTIF('Elève (5ème4)'!OI11:OK11,"C"))*2)+((COUNTIF('Elève (5ème4)'!OI11:OK11,"D"))*1))/(COUNTA(OI11:OK11)),"")</f>
        <v/>
      </c>
      <c r="OM11" s="181" t="str">
        <f t="shared" si="88"/>
        <v/>
      </c>
      <c r="ON11" s="122" t="s">
        <v>28</v>
      </c>
      <c r="OO11" s="123" t="s">
        <v>27</v>
      </c>
      <c r="OP11" s="124" t="s">
        <v>27</v>
      </c>
      <c r="OQ11" s="180">
        <f>IFERROR((((COUNTIF('Elève (5ème4)'!ON11:OP11,"A"))*4)+((COUNTIF('Elève (5ème4)'!ON11:OP11,"B"))*3)+((COUNTIF('Elève (5ème4)'!ON11:OP11,"C"))*2)+((COUNTIF('Elève (5ème4)'!ON11:OP11,"D"))*1))/(COUNTA(ON11:OP11)),"")</f>
        <v>3.6666666666666665</v>
      </c>
      <c r="OR11" s="181" t="str">
        <f t="shared" si="89"/>
        <v>B</v>
      </c>
      <c r="OS11" s="122"/>
      <c r="OT11" s="123" t="s">
        <v>29</v>
      </c>
      <c r="OU11" s="124" t="s">
        <v>29</v>
      </c>
      <c r="OV11" s="128" t="s">
        <v>27</v>
      </c>
      <c r="OW11" s="180">
        <f>IFERROR((((COUNTIF('Elève (5ème4)'!OS11:OV11,"A"))*4)+((COUNTIF('Elève (5ème4)'!OS11:OV11,"B"))*3)+((COUNTIF('Elève (5ème4)'!OS11:OV11,"C"))*2)+((COUNTIF('Elève (5ème4)'!OS11:OV11,"D"))*1))/(COUNTA(OS11:OV11)),"")</f>
        <v>2.6666666666666665</v>
      </c>
      <c r="OX11" s="181" t="str">
        <f t="shared" si="90"/>
        <v>C</v>
      </c>
      <c r="OY11" s="208">
        <f>IF(COUNT(OL11,OQ11,OW11)=0,"",SUM(OL11,OQ11,OW11)/COUNT(OL11,OQ11,OW11))</f>
        <v>3.1666666666666665</v>
      </c>
      <c r="OZ11" s="205" t="str">
        <f t="shared" si="91"/>
        <v>B</v>
      </c>
      <c r="PA11" s="122"/>
      <c r="PB11" s="123"/>
      <c r="PC11" s="124"/>
      <c r="PD11" s="180" t="str">
        <f>IFERROR((((COUNTIF('Elève (5ème4)'!PA11:PC11,"A"))*4)+((COUNTIF('Elève (5ème4)'!PA11:PC11,"B"))*3)+((COUNTIF('Elève (5ème4)'!PA11:PC11,"C"))*2)+((COUNTIF('Elève (5ème4)'!PA11:PC11,"D"))*1))/(COUNTA(PA11:PC11)),"")</f>
        <v/>
      </c>
      <c r="PE11" s="181" t="str">
        <f t="shared" si="92"/>
        <v/>
      </c>
      <c r="PF11" s="122" t="s">
        <v>27</v>
      </c>
      <c r="PG11" s="123" t="s">
        <v>27</v>
      </c>
      <c r="PH11" s="124" t="s">
        <v>28</v>
      </c>
      <c r="PI11" s="180">
        <f>IFERROR((((COUNTIF('Elève (5ème4)'!PF11:PH11,"A"))*4)+((COUNTIF('Elève (5ème4)'!PF11:PH11,"B"))*3)+((COUNTIF('Elève (5ème4)'!PF11:PH11,"C"))*2)+((COUNTIF('Elève (5ème4)'!PF11:PH11,"D"))*1))/(COUNTA(PF11:PH11)),"")</f>
        <v>3.6666666666666665</v>
      </c>
      <c r="PJ11" s="181" t="str">
        <f t="shared" si="93"/>
        <v>B</v>
      </c>
      <c r="PK11" s="122"/>
      <c r="PL11" s="123"/>
      <c r="PM11" s="124" t="s">
        <v>27</v>
      </c>
      <c r="PN11" s="128" t="s">
        <v>27</v>
      </c>
      <c r="PO11" s="180">
        <f>IFERROR((((COUNTIF('Elève (5ème4)'!PK11:PN11,"A"))*4)+((COUNTIF('Elève (5ème4)'!PK11:PN11,"B"))*3)+((COUNTIF('Elève (5ème4)'!PK11:PN11,"C"))*2)+((COUNTIF('Elève (5ème4)'!PK11:PN11,"D"))*1))/(COUNTA(PK11:PN11)),"")</f>
        <v>4</v>
      </c>
      <c r="PP11" s="181" t="str">
        <f t="shared" si="94"/>
        <v>A</v>
      </c>
      <c r="PQ11" s="208">
        <f>IF(COUNT(PD11,PI11,PO11)=0,"",SUM(PD11,PI11,PO11)/COUNT(PD11,PI11,PO11))</f>
        <v>3.833333333333333</v>
      </c>
      <c r="PR11" s="205" t="str">
        <f t="shared" si="95"/>
        <v>A</v>
      </c>
      <c r="PS11" s="122"/>
      <c r="PT11" s="123"/>
      <c r="PU11" s="124"/>
      <c r="PV11" s="180" t="str">
        <f>IFERROR((((COUNTIF('Elève (5ème4)'!PS11:PU11,"A"))*4)+((COUNTIF('Elève (5ème4)'!PS11:PU11,"B"))*3)+((COUNTIF('Elève (5ème4)'!PS11:PU11,"C"))*2)+((COUNTIF('Elève (5ème4)'!PS11:PU11,"D"))*1))/(COUNTA(PS11:PU11)),"")</f>
        <v/>
      </c>
      <c r="PW11" s="181" t="str">
        <f t="shared" si="96"/>
        <v/>
      </c>
      <c r="PX11" s="122" t="s">
        <v>27</v>
      </c>
      <c r="PY11" s="123" t="s">
        <v>27</v>
      </c>
      <c r="PZ11" s="124"/>
      <c r="QA11" s="180">
        <f>IFERROR((((COUNTIF('Elève (5ème4)'!PX11:PZ11,"A"))*4)+((COUNTIF('Elève (5ème4)'!PX11:PZ11,"B"))*3)+((COUNTIF('Elève (5ème4)'!PX11:PZ11,"C"))*2)+((COUNTIF('Elève (5ème4)'!PX11:PZ11,"D"))*1))/(COUNTA(PX11:PZ11)),"")</f>
        <v>4</v>
      </c>
      <c r="QB11" s="181" t="str">
        <f t="shared" si="97"/>
        <v>A</v>
      </c>
      <c r="QC11" s="122"/>
      <c r="QD11" s="123" t="s">
        <v>27</v>
      </c>
      <c r="QE11" s="124" t="s">
        <v>28</v>
      </c>
      <c r="QF11" s="128" t="s">
        <v>27</v>
      </c>
      <c r="QG11" s="180">
        <f>IFERROR((((COUNTIF('Elève (5ème4)'!QC11:QF11,"A"))*4)+((COUNTIF('Elève (5ème4)'!QC11:QF11,"B"))*3)+((COUNTIF('Elève (5ème4)'!QC11:QF11,"C"))*2)+((COUNTIF('Elève (5ème4)'!QC11:QF11,"D"))*1))/(COUNTA(QC11:QF11)),"")</f>
        <v>3.6666666666666665</v>
      </c>
      <c r="QH11" s="181" t="str">
        <f t="shared" si="98"/>
        <v>B</v>
      </c>
      <c r="QI11" s="208">
        <f>IF(COUNT(PV11,QA11,QG11)=0,"",SUM(PV11,QA11,QG11)/COUNT(PV11,QA11,QG11))</f>
        <v>3.833333333333333</v>
      </c>
      <c r="QJ11" s="205" t="str">
        <f t="shared" si="99"/>
        <v>A</v>
      </c>
      <c r="QK11" s="122"/>
      <c r="QL11" s="123"/>
      <c r="QM11" s="124"/>
      <c r="QN11" s="180" t="str">
        <f>IFERROR((((COUNTIF('Elève (5ème4)'!QK11:QM11,"A"))*4)+((COUNTIF('Elève (5ème4)'!QK11:QM11,"B"))*3)+((COUNTIF('Elève (5ème4)'!QK11:QM11,"C"))*2)+((COUNTIF('Elève (5ème4)'!QK11:QM11,"D"))*1))/(COUNTA(QK11:QM11)),"")</f>
        <v/>
      </c>
      <c r="QO11" s="181" t="str">
        <f t="shared" si="100"/>
        <v/>
      </c>
      <c r="QP11" s="122" t="s">
        <v>28</v>
      </c>
      <c r="QQ11" s="123" t="s">
        <v>27</v>
      </c>
      <c r="QR11" s="124"/>
      <c r="QS11" s="180">
        <f>IFERROR((((COUNTIF('Elève (5ème4)'!QP11:QR11,"A"))*4)+((COUNTIF('Elève (5ème4)'!QP11:QR11,"B"))*3)+((COUNTIF('Elève (5ème4)'!QP11:QR11,"C"))*2)+((COUNTIF('Elève (5ème4)'!QP11:QR11,"D"))*1))/(COUNTA(QP11:QR11)),"")</f>
        <v>3.5</v>
      </c>
      <c r="QT11" s="181" t="str">
        <f t="shared" si="101"/>
        <v>B</v>
      </c>
      <c r="QU11" s="122"/>
      <c r="QV11" s="123" t="s">
        <v>29</v>
      </c>
      <c r="QW11" s="124" t="s">
        <v>27</v>
      </c>
      <c r="QX11" s="128" t="s">
        <v>27</v>
      </c>
      <c r="QY11" s="180">
        <f>IFERROR((((COUNTIF('Elève (5ème4)'!QU11:QX11,"A"))*4)+((COUNTIF('Elève (5ème4)'!QU11:QX11,"B"))*3)+((COUNTIF('Elève (5ème4)'!QU11:QX11,"C"))*2)+((COUNTIF('Elève (5ème4)'!QU11:QX11,"D"))*1))/(COUNTA(QU11:QX11)),"")</f>
        <v>3.3333333333333335</v>
      </c>
      <c r="QZ11" s="181" t="str">
        <f t="shared" si="102"/>
        <v>B</v>
      </c>
      <c r="RA11" s="208">
        <f>IF(COUNT(QN11,QS11,QY11)=0,"",SUM(QN11,QS11,QY11)/COUNT(QN11,QS11,QY11))</f>
        <v>3.416666666666667</v>
      </c>
      <c r="RB11" s="205" t="str">
        <f t="shared" si="103"/>
        <v>B</v>
      </c>
      <c r="RC11" s="122"/>
      <c r="RD11" s="123"/>
      <c r="RE11" s="124"/>
      <c r="RF11" s="180" t="str">
        <f>IFERROR((((COUNTIF('Elève (5ème4)'!RC11:RE11,"A"))*4)+((COUNTIF('Elève (5ème4)'!RC11:RE11,"B"))*3)+((COUNTIF('Elève (5ème4)'!RC11:RE11,"C"))*2)+((COUNTIF('Elève (5ème4)'!RC11:RE11,"D"))*1))/(COUNTA(RC11:RE11)),"")</f>
        <v/>
      </c>
      <c r="RG11" s="181" t="str">
        <f t="shared" si="104"/>
        <v/>
      </c>
      <c r="RH11" s="122" t="s">
        <v>27</v>
      </c>
      <c r="RI11" s="123" t="s">
        <v>27</v>
      </c>
      <c r="RJ11" s="124" t="s">
        <v>28</v>
      </c>
      <c r="RK11" s="180">
        <f>IFERROR((((COUNTIF('Elève (5ème4)'!RH11:RJ11,"A"))*4)+((COUNTIF('Elève (5ème4)'!RH11:RJ11,"B"))*3)+((COUNTIF('Elève (5ème4)'!RH11:RJ11,"C"))*2)+((COUNTIF('Elève (5ème4)'!RH11:RJ11,"D"))*1))/(COUNTA(RH11:RJ11)),"")</f>
        <v>3.6666666666666665</v>
      </c>
      <c r="RL11" s="181" t="str">
        <f t="shared" si="105"/>
        <v>B</v>
      </c>
      <c r="RM11" s="122"/>
      <c r="RN11" s="123" t="s">
        <v>28</v>
      </c>
      <c r="RO11" s="124" t="s">
        <v>27</v>
      </c>
      <c r="RP11" s="128" t="s">
        <v>27</v>
      </c>
      <c r="RQ11" s="180">
        <f>IFERROR((((COUNTIF('Elève (5ème4)'!RM11:RP11,"A"))*4)+((COUNTIF('Elève (5ème4)'!RM11:RP11,"B"))*3)+((COUNTIF('Elève (5ème4)'!RM11:RP11,"C"))*2)+((COUNTIF('Elève (5ème4)'!RM11:RP11,"D"))*1))/(COUNTA(RM11:RP11)),"")</f>
        <v>3.6666666666666665</v>
      </c>
      <c r="RR11" s="181" t="str">
        <f t="shared" si="106"/>
        <v>B</v>
      </c>
      <c r="RS11" s="208">
        <f>IF(COUNT(RF11,RK11,RQ11)=0,"",SUM(RF11,RK11,RQ11)/COUNT(RF11,RK11,RQ11))</f>
        <v>3.6666666666666665</v>
      </c>
      <c r="RT11" s="205" t="str">
        <f t="shared" si="107"/>
        <v>B</v>
      </c>
      <c r="RU11" s="122"/>
      <c r="RV11" s="123"/>
      <c r="RW11" s="124"/>
      <c r="RX11" s="180" t="str">
        <f>IFERROR((((COUNTIF('Elève (5ème4)'!RU11:RW11,"A"))*4)+((COUNTIF('Elève (5ème4)'!RU11:RW11,"B"))*3)+((COUNTIF('Elève (5ème4)'!RU11:RW11,"C"))*2)+((COUNTIF('Elève (5ème4)'!RU11:RW11,"D"))*1))/(COUNTA(RU11:RW11)),"")</f>
        <v/>
      </c>
      <c r="RY11" s="181" t="str">
        <f t="shared" si="108"/>
        <v/>
      </c>
      <c r="RZ11" s="122" t="s">
        <v>27</v>
      </c>
      <c r="SA11" s="123" t="s">
        <v>27</v>
      </c>
      <c r="SB11" s="124" t="s">
        <v>27</v>
      </c>
      <c r="SC11" s="180">
        <f>IFERROR((((COUNTIF('Elève (5ème4)'!RZ11:SB11,"A"))*4)+((COUNTIF('Elève (5ème4)'!RZ11:SB11,"B"))*3)+((COUNTIF('Elève (5ème4)'!RZ11:SB11,"C"))*2)+((COUNTIF('Elève (5ème4)'!RZ11:SB11,"D"))*1))/(COUNTA(RZ11:SB11)),"")</f>
        <v>4</v>
      </c>
      <c r="SD11" s="181" t="str">
        <f t="shared" si="109"/>
        <v>A</v>
      </c>
      <c r="SE11" s="122"/>
      <c r="SF11" s="123" t="s">
        <v>28</v>
      </c>
      <c r="SG11" s="124" t="s">
        <v>27</v>
      </c>
      <c r="SH11" s="128"/>
      <c r="SI11" s="180">
        <f>IFERROR((((COUNTIF('Elève (5ème4)'!SE11:SH11,"A"))*4)+((COUNTIF('Elève (5ème4)'!SE11:SH11,"B"))*3)+((COUNTIF('Elève (5ème4)'!SE11:SH11,"C"))*2)+((COUNTIF('Elève (5ème4)'!SE11:SH11,"D"))*1))/(COUNTA(SE11:SH11)),"")</f>
        <v>3.5</v>
      </c>
      <c r="SJ11" s="181" t="str">
        <f t="shared" si="110"/>
        <v>B</v>
      </c>
      <c r="SK11" s="208">
        <f>IF(COUNT(RX11,SC11,SI11)=0,"",SUM(RX11,SC11,SI11)/COUNT(RX11,SC11,SI11))</f>
        <v>3.75</v>
      </c>
      <c r="SL11" s="205" t="str">
        <f t="shared" si="111"/>
        <v>A</v>
      </c>
      <c r="SM11" s="122"/>
      <c r="SN11" s="123"/>
      <c r="SO11" s="124"/>
      <c r="SP11" s="118" t="str">
        <f>IFERROR((((COUNTIF('Elève (5ème4)'!SM11:SO11,"A"))*4)+((COUNTIF('Elève (5ème4)'!SM11:SO11,"B"))*3)+((COUNTIF('Elève (5ème4)'!SM11:SO11,"C"))*2)+((COUNTIF('Elève (5ème4)'!SM11:SO11,"D"))*1))/(COUNTA(SM11:SO11)),"")</f>
        <v/>
      </c>
      <c r="SQ11" s="119" t="str">
        <f t="shared" si="112"/>
        <v/>
      </c>
      <c r="SR11" s="122"/>
      <c r="SS11" s="123"/>
      <c r="ST11" s="124"/>
      <c r="SU11" s="118" t="str">
        <f>IFERROR((((COUNTIF('Elève (5ème4)'!SR11:ST11,"A"))*4)+((COUNTIF('Elève (5ème4)'!SR11:ST11,"B"))*3)+((COUNTIF('Elève (5ème4)'!SR11:ST11,"C"))*2)+((COUNTIF('Elève (5ème4)'!SR11:ST11,"D"))*1))/(COUNTA(SR11:ST11)),"")</f>
        <v/>
      </c>
      <c r="SV11" s="119" t="str">
        <f t="shared" si="113"/>
        <v/>
      </c>
      <c r="SW11" s="122"/>
      <c r="SX11" s="123"/>
      <c r="SY11" s="128"/>
      <c r="SZ11" s="118" t="str">
        <f>IFERROR((((COUNTIF('Elève (5ème4)'!SW11:SY11,"A"))*4)+((COUNTIF('Elève (5ème4)'!SW11:SY11,"B"))*3)+((COUNTIF('Elève (5ème4)'!SW11:SY11,"C"))*2)+((COUNTIF('Elève (5ème4)'!SW11:SY11,"D"))*1))/(COUNTA(SW11:SY11)),"")</f>
        <v/>
      </c>
      <c r="TA11" s="119" t="str">
        <f t="shared" si="114"/>
        <v/>
      </c>
      <c r="TB11" s="138" t="str">
        <f>IF(COUNT(SP11,SU11,SZ11)=0,"",SUM(SP11,SU11,SZ11)/COUNT(SP11,SU11,SZ11))</f>
        <v/>
      </c>
      <c r="TC11" s="120" t="str">
        <f t="shared" si="115"/>
        <v/>
      </c>
      <c r="TD11" s="122"/>
      <c r="TE11" s="123"/>
      <c r="TF11" s="124"/>
      <c r="TG11" s="118" t="str">
        <f>IFERROR((((COUNTIF('Elève (5ème4)'!TD11:TF11,"A"))*4)+((COUNTIF('Elève (5ème4)'!TD11:TF11,"B"))*3)+((COUNTIF('Elève (5ème4)'!TD11:TF11,"C"))*2)+((COUNTIF('Elève (5ème4)'!TD11:TF11,"D"))*1))/(COUNTA(TD11:TF11)),"")</f>
        <v/>
      </c>
      <c r="TH11" s="119" t="str">
        <f t="shared" si="116"/>
        <v/>
      </c>
      <c r="TI11" s="122"/>
      <c r="TJ11" s="123"/>
      <c r="TK11" s="124"/>
      <c r="TL11" s="118" t="str">
        <f>IFERROR((((COUNTIF('Elève (5ème4)'!TI11:TK11,"A"))*4)+((COUNTIF('Elève (5ème4)'!TI11:TK11,"B"))*3)+((COUNTIF('Elève (5ème4)'!TI11:TK11,"C"))*2)+((COUNTIF('Elève (5ème4)'!TI11:TK11,"D"))*1))/(COUNTA(TI11:TK11)),"")</f>
        <v/>
      </c>
      <c r="TM11" s="119" t="str">
        <f t="shared" si="117"/>
        <v/>
      </c>
      <c r="TN11" s="122"/>
      <c r="TO11" s="123"/>
      <c r="TP11" s="128"/>
      <c r="TQ11" s="118" t="str">
        <f>IFERROR((((COUNTIF('Elève (5ème4)'!TN11:TP11,"A"))*4)+((COUNTIF('Elève (5ème4)'!TN11:TP11,"B"))*3)+((COUNTIF('Elève (5ème4)'!TN11:TP11,"C"))*2)+((COUNTIF('Elève (5ème4)'!TN11:TP11,"D"))*1))/(COUNTA(TN11:TP11)),"")</f>
        <v/>
      </c>
      <c r="TR11" s="119" t="str">
        <f t="shared" si="118"/>
        <v/>
      </c>
      <c r="TS11" s="138" t="str">
        <f>IF(COUNT(TG11,TL11,TQ11)=0,"",SUM(TG11,TL11,TQ11)/COUNT(TG11,TL11,TQ11))</f>
        <v/>
      </c>
      <c r="TT11" s="120" t="str">
        <f t="shared" si="119"/>
        <v/>
      </c>
    </row>
    <row r="12" spans="1:540" ht="18" customHeight="1" thickBot="1" x14ac:dyDescent="0.3">
      <c r="A12" s="238" t="s">
        <v>45</v>
      </c>
      <c r="B12" s="239"/>
      <c r="C12" s="129"/>
      <c r="D12" s="130"/>
      <c r="E12" s="131"/>
      <c r="F12" s="184" t="str">
        <f>IFERROR((((COUNTIF('Elève (5ème4)'!C12:E12,"A"))*4)+((COUNTIF('Elève (5ème4)'!C12:E12,"B"))*3)+((COUNTIF('Elève (5ème4)'!C12:E12,"C"))*2)+((COUNTIF('Elève (5ème4)'!C12:E12,"D"))*1))/(COUNTA(C12:E12)),"")</f>
        <v/>
      </c>
      <c r="G12" s="185" t="str">
        <f t="shared" si="0"/>
        <v/>
      </c>
      <c r="H12" s="129"/>
      <c r="I12" s="130"/>
      <c r="J12" s="131"/>
      <c r="K12" s="184" t="str">
        <f>IFERROR((((COUNTIF('Elève (5ème4)'!H12:J12,"A"))*4)+((COUNTIF('Elève (5ème4)'!H12:J12,"B"))*3)+((COUNTIF('Elève (5ème4)'!H12:J12,"C"))*2)+((COUNTIF('Elève (5ème4)'!H12:J12,"D"))*1))/(COUNTA(H12:J12)),"")</f>
        <v/>
      </c>
      <c r="L12" s="185" t="str">
        <f t="shared" si="1"/>
        <v/>
      </c>
      <c r="M12" s="129"/>
      <c r="N12" s="130"/>
      <c r="O12" s="131"/>
      <c r="P12" s="131"/>
      <c r="Q12" s="184" t="str">
        <f>IFERROR((((COUNTIF('Elève (5ème4)'!M12:P12,"A"))*4)+((COUNTIF('Elève (5ème4)'!M12:P12,"B"))*3)+((COUNTIF('Elève (5ème4)'!M12:P12,"C"))*2)+((COUNTIF('Elève (5ème4)'!M12:P12,"D"))*1))/(COUNTA(M12:P12)),"")</f>
        <v/>
      </c>
      <c r="R12" s="185" t="str">
        <f t="shared" si="2"/>
        <v/>
      </c>
      <c r="S12" s="184" t="str">
        <f>IF(COUNT(F12,K12,Q12)=0,"",SUM(F12,K12,Q12)/COUNT(F12,K12,Q12))</f>
        <v/>
      </c>
      <c r="T12" s="207" t="str">
        <f t="shared" si="3"/>
        <v/>
      </c>
      <c r="U12" s="129"/>
      <c r="V12" s="130"/>
      <c r="W12" s="131"/>
      <c r="X12" s="184" t="str">
        <f>IFERROR((((COUNTIF('Elève (5ème4)'!U12:W12,"A"))*4)+((COUNTIF('Elève (5ème4)'!U12:W12,"B"))*3)+((COUNTIF('Elève (5ème4)'!U12:W12,"C"))*2)+((COUNTIF('Elève (5ème4)'!U12:W12,"D"))*1))/(COUNTA(U12:W12)),"")</f>
        <v/>
      </c>
      <c r="Y12" s="185" t="str">
        <f t="shared" si="4"/>
        <v/>
      </c>
      <c r="Z12" s="129"/>
      <c r="AA12" s="130"/>
      <c r="AB12" s="131"/>
      <c r="AC12" s="184" t="str">
        <f>IFERROR((((COUNTIF('Elève (5ème4)'!Z12:AB12,"A"))*4)+((COUNTIF('Elève (5ème4)'!Z12:AB12,"B"))*3)+((COUNTIF('Elève (5ème4)'!Z12:AB12,"C"))*2)+((COUNTIF('Elève (5ème4)'!Z12:AB12,"D"))*1))/(COUNTA(Z12:AB12)),"")</f>
        <v/>
      </c>
      <c r="AD12" s="185" t="str">
        <f t="shared" si="5"/>
        <v/>
      </c>
      <c r="AE12" s="129"/>
      <c r="AF12" s="130"/>
      <c r="AG12" s="131"/>
      <c r="AH12" s="135"/>
      <c r="AI12" s="184" t="str">
        <f>IFERROR((((COUNTIF('Elève (5ème4)'!AE12:AH12,"A"))*4)+((COUNTIF('Elève (5ème4)'!AE12:AH12,"B"))*3)+((COUNTIF('Elève (5ème4)'!AE12:AH12,"C"))*2)+((COUNTIF('Elève (5ème4)'!AE12:AH12,"D"))*1))/(COUNTA(AE12:AH12)),"")</f>
        <v/>
      </c>
      <c r="AJ12" s="185" t="str">
        <f t="shared" si="6"/>
        <v/>
      </c>
      <c r="AK12" s="184" t="str">
        <f>IF(COUNT(X12,AC12,AI12)=0,"",SUM(X12,AC12,AI12)/COUNT(X12,AC12,AI12))</f>
        <v/>
      </c>
      <c r="AL12" s="207" t="str">
        <f t="shared" si="7"/>
        <v/>
      </c>
      <c r="AM12" s="129"/>
      <c r="AN12" s="130"/>
      <c r="AO12" s="131"/>
      <c r="AP12" s="184" t="str">
        <f>IFERROR((((COUNTIF('Elève (5ème4)'!AM12:AO12,"A"))*4)+((COUNTIF('Elève (5ème4)'!AM12:AO12,"B"))*3)+((COUNTIF('Elève (5ème4)'!AM12:AO12,"C"))*2)+((COUNTIF('Elève (5ème4)'!AM12:AO12,"D"))*1))/(COUNTA(AM12:AO12)),"")</f>
        <v/>
      </c>
      <c r="AQ12" s="185" t="str">
        <f t="shared" si="8"/>
        <v/>
      </c>
      <c r="AR12" s="129"/>
      <c r="AS12" s="130"/>
      <c r="AT12" s="131"/>
      <c r="AU12" s="184" t="str">
        <f>IFERROR((((COUNTIF('Elève (5ème4)'!AR12:AT12,"A"))*4)+((COUNTIF('Elève (5ème4)'!AR12:AT12,"B"))*3)+((COUNTIF('Elève (5ème4)'!AR12:AT12,"C"))*2)+((COUNTIF('Elève (5ème4)'!AR12:AT12,"D"))*1))/(COUNTA(AR12:AT12)),"")</f>
        <v/>
      </c>
      <c r="AV12" s="185" t="str">
        <f t="shared" si="9"/>
        <v/>
      </c>
      <c r="AW12" s="129"/>
      <c r="AX12" s="130"/>
      <c r="AY12" s="131"/>
      <c r="AZ12" s="135"/>
      <c r="BA12" s="184" t="str">
        <f>IFERROR((((COUNTIF('Elève (5ème4)'!AW12:AZ12,"A"))*4)+((COUNTIF('Elève (5ème4)'!AW12:AZ12,"B"))*3)+((COUNTIF('Elève (5ème4)'!AW12:AZ12,"C"))*2)+((COUNTIF('Elève (5ème4)'!AW12:AZ12,"D"))*1))/(COUNTA(AW12:AZ12)),"")</f>
        <v/>
      </c>
      <c r="BB12" s="185" t="str">
        <f t="shared" si="10"/>
        <v/>
      </c>
      <c r="BC12" s="184" t="str">
        <f>IF(COUNT(AP12,AU12,BA12)=0,"",SUM(AP12,AU12,BA12)/COUNT(AP12,AU12,BA12))</f>
        <v/>
      </c>
      <c r="BD12" s="207" t="str">
        <f t="shared" si="11"/>
        <v/>
      </c>
      <c r="BE12" s="129"/>
      <c r="BF12" s="130"/>
      <c r="BG12" s="131"/>
      <c r="BH12" s="184" t="str">
        <f>IFERROR((((COUNTIF('Elève (5ème4)'!BE12:BG12,"A"))*4)+((COUNTIF('Elève (5ème4)'!BE12:BG12,"B"))*3)+((COUNTIF('Elève (5ème4)'!BE12:BG12,"C"))*2)+((COUNTIF('Elève (5ème4)'!BE12:BG12,"D"))*1))/(COUNTA(BE12:BG12)),"")</f>
        <v/>
      </c>
      <c r="BI12" s="185" t="str">
        <f t="shared" si="12"/>
        <v/>
      </c>
      <c r="BJ12" s="129"/>
      <c r="BK12" s="130"/>
      <c r="BL12" s="131"/>
      <c r="BM12" s="184" t="str">
        <f>IFERROR((((COUNTIF('Elève (5ème4)'!BJ12:BL12,"A"))*4)+((COUNTIF('Elève (5ème4)'!BJ12:BL12,"B"))*3)+((COUNTIF('Elève (5ème4)'!BJ12:BL12,"C"))*2)+((COUNTIF('Elève (5ème4)'!BJ12:BL12,"D"))*1))/(COUNTA(BJ12:BL12)),"")</f>
        <v/>
      </c>
      <c r="BN12" s="185" t="str">
        <f t="shared" si="13"/>
        <v/>
      </c>
      <c r="BO12" s="129"/>
      <c r="BP12" s="130"/>
      <c r="BQ12" s="131"/>
      <c r="BR12" s="135"/>
      <c r="BS12" s="184" t="str">
        <f>IFERROR((((COUNTIF('Elève (5ème4)'!BO12:BR12,"A"))*4)+((COUNTIF('Elève (5ème4)'!BO12:BR12,"B"))*3)+((COUNTIF('Elève (5ème4)'!BO12:BR12,"C"))*2)+((COUNTIF('Elève (5ème4)'!BO12:BR12,"D"))*1))/(COUNTA(BO12:BR12)),"")</f>
        <v/>
      </c>
      <c r="BT12" s="185" t="str">
        <f t="shared" si="14"/>
        <v/>
      </c>
      <c r="BU12" s="184" t="str">
        <f>IF(COUNT(BH12,BM12,BS12)=0,"",SUM(BH12,BM12,BS12)/COUNT(BH12,BM12,BS12))</f>
        <v/>
      </c>
      <c r="BV12" s="207" t="str">
        <f t="shared" si="15"/>
        <v/>
      </c>
      <c r="BW12" s="129"/>
      <c r="BX12" s="130"/>
      <c r="BY12" s="131"/>
      <c r="BZ12" s="184" t="str">
        <f>IFERROR((((COUNTIF('Elève (5ème4)'!BW12:BY12,"A"))*4)+((COUNTIF('Elève (5ème4)'!BW12:BY12,"B"))*3)+((COUNTIF('Elève (5ème4)'!BW12:BY12,"C"))*2)+((COUNTIF('Elève (5ème4)'!BW12:BY12,"D"))*1))/(COUNTA(BW12:BY12)),"")</f>
        <v/>
      </c>
      <c r="CA12" s="185" t="str">
        <f t="shared" si="16"/>
        <v/>
      </c>
      <c r="CB12" s="129"/>
      <c r="CC12" s="130"/>
      <c r="CD12" s="131"/>
      <c r="CE12" s="184" t="str">
        <f>IFERROR((((COUNTIF('Elève (5ème4)'!CB12:CD12,"A"))*4)+((COUNTIF('Elève (5ème4)'!CB12:CD12,"B"))*3)+((COUNTIF('Elève (5ème4)'!CB12:CD12,"C"))*2)+((COUNTIF('Elève (5ème4)'!CB12:CD12,"D"))*1))/(COUNTA(CB12:CD12)),"")</f>
        <v/>
      </c>
      <c r="CF12" s="185" t="str">
        <f t="shared" si="17"/>
        <v/>
      </c>
      <c r="CG12" s="129"/>
      <c r="CH12" s="130"/>
      <c r="CI12" s="131"/>
      <c r="CJ12" s="135"/>
      <c r="CK12" s="184" t="str">
        <f>IFERROR((((COUNTIF('Elève (5ème4)'!CG12:CJ12,"A"))*4)+((COUNTIF('Elève (5ème4)'!CG12:CJ12,"B"))*3)+((COUNTIF('Elève (5ème4)'!CG12:CJ12,"C"))*2)+((COUNTIF('Elève (5ème4)'!CG12:CJ12,"D"))*1))/(COUNTA(CG12:CJ12)),"")</f>
        <v/>
      </c>
      <c r="CL12" s="185" t="str">
        <f t="shared" si="18"/>
        <v/>
      </c>
      <c r="CM12" s="184" t="str">
        <f>IF(COUNT(BZ12,CE12,CK12)=0,"",SUM(BZ12,CE12,CK12)/COUNT(BZ12,CE12,CK12))</f>
        <v/>
      </c>
      <c r="CN12" s="207" t="str">
        <f t="shared" si="19"/>
        <v/>
      </c>
      <c r="CO12" s="129"/>
      <c r="CP12" s="130"/>
      <c r="CQ12" s="131"/>
      <c r="CR12" s="184" t="str">
        <f>IFERROR((((COUNTIF('Elève (5ème4)'!CO12:CQ12,"A"))*4)+((COUNTIF('Elève (5ème4)'!CO12:CQ12,"B"))*3)+((COUNTIF('Elève (5ème4)'!CO12:CQ12,"C"))*2)+((COUNTIF('Elève (5ème4)'!CO12:CQ12,"D"))*1))/(COUNTA(CO12:CQ12)),"")</f>
        <v/>
      </c>
      <c r="CS12" s="185" t="str">
        <f t="shared" si="20"/>
        <v/>
      </c>
      <c r="CT12" s="129"/>
      <c r="CU12" s="130"/>
      <c r="CV12" s="131"/>
      <c r="CW12" s="184" t="str">
        <f>IFERROR((((COUNTIF('Elève (5ème4)'!CT12:CV12,"A"))*4)+((COUNTIF('Elève (5ème4)'!CT12:CV12,"B"))*3)+((COUNTIF('Elève (5ème4)'!CT12:CV12,"C"))*2)+((COUNTIF('Elève (5ème4)'!CT12:CV12,"D"))*1))/(COUNTA(CT12:CV12)),"")</f>
        <v/>
      </c>
      <c r="CX12" s="185" t="str">
        <f t="shared" si="21"/>
        <v/>
      </c>
      <c r="CY12" s="129"/>
      <c r="CZ12" s="130"/>
      <c r="DA12" s="131"/>
      <c r="DB12" s="135"/>
      <c r="DC12" s="184" t="str">
        <f>IFERROR((((COUNTIF('Elève (5ème4)'!CY12:DB12,"A"))*4)+((COUNTIF('Elève (5ème4)'!CY12:DB12,"B"))*3)+((COUNTIF('Elève (5ème4)'!CY12:DB12,"C"))*2)+((COUNTIF('Elève (5ème4)'!CY12:DB12,"D"))*1))/(COUNTA(CY12:DB12)),"")</f>
        <v/>
      </c>
      <c r="DD12" s="185" t="str">
        <f t="shared" si="22"/>
        <v/>
      </c>
      <c r="DE12" s="184" t="str">
        <f>IF(COUNT(CR12,CW12,DC12)=0,"",SUM(CR12,CW12,DC12)/COUNT(CR12,CW12,DC12))</f>
        <v/>
      </c>
      <c r="DF12" s="207" t="str">
        <f t="shared" si="23"/>
        <v/>
      </c>
      <c r="DG12" s="129"/>
      <c r="DH12" s="130"/>
      <c r="DI12" s="131"/>
      <c r="DJ12" s="184" t="str">
        <f>IFERROR((((COUNTIF('Elève (5ème4)'!DG12:DI12,"A"))*4)+((COUNTIF('Elève (5ème4)'!DG12:DI12,"B"))*3)+((COUNTIF('Elève (5ème4)'!DG12:DI12,"C"))*2)+((COUNTIF('Elève (5ème4)'!DG12:DI12,"D"))*1))/(COUNTA(DG12:DI12)),"")</f>
        <v/>
      </c>
      <c r="DK12" s="185" t="str">
        <f t="shared" si="24"/>
        <v/>
      </c>
      <c r="DL12" s="129"/>
      <c r="DM12" s="130"/>
      <c r="DN12" s="131"/>
      <c r="DO12" s="184" t="str">
        <f>IFERROR((((COUNTIF('Elève (5ème4)'!DL12:DN12,"A"))*4)+((COUNTIF('Elève (5ème4)'!DL12:DN12,"B"))*3)+((COUNTIF('Elève (5ème4)'!DL12:DN12,"C"))*2)+((COUNTIF('Elève (5ème4)'!DL12:DN12,"D"))*1))/(COUNTA(DL12:DN12)),"")</f>
        <v/>
      </c>
      <c r="DP12" s="185" t="str">
        <f t="shared" si="25"/>
        <v/>
      </c>
      <c r="DQ12" s="129"/>
      <c r="DR12" s="130"/>
      <c r="DS12" s="131"/>
      <c r="DT12" s="135"/>
      <c r="DU12" s="184" t="str">
        <f>IFERROR((((COUNTIF('Elève (5ème4)'!DQ12:DT12,"A"))*4)+((COUNTIF('Elève (5ème4)'!DQ12:DT12,"B"))*3)+((COUNTIF('Elève (5ème4)'!DQ12:DT12,"C"))*2)+((COUNTIF('Elève (5ème4)'!DQ12:DT12,"D"))*1))/(COUNTA(DQ12:DT12)),"")</f>
        <v/>
      </c>
      <c r="DV12" s="185" t="str">
        <f t="shared" si="26"/>
        <v/>
      </c>
      <c r="DW12" s="184" t="str">
        <f>IF(COUNT(DJ12,DO12,DU12)=0,"",SUM(DJ12,DO12,DU12)/COUNT(DJ12,DO12,DU12))</f>
        <v/>
      </c>
      <c r="DX12" s="207" t="str">
        <f t="shared" si="27"/>
        <v/>
      </c>
      <c r="DY12" s="129"/>
      <c r="DZ12" s="130"/>
      <c r="EA12" s="131"/>
      <c r="EB12" s="184" t="str">
        <f>IFERROR((((COUNTIF('Elève (5ème4)'!DY12:EA12,"A"))*4)+((COUNTIF('Elève (5ème4)'!DY12:EA12,"B"))*3)+((COUNTIF('Elève (5ème4)'!DY12:EA12,"C"))*2)+((COUNTIF('Elève (5ème4)'!DY12:EA12,"D"))*1))/(COUNTA(DY12:EA12)),"")</f>
        <v/>
      </c>
      <c r="EC12" s="185" t="str">
        <f t="shared" si="28"/>
        <v/>
      </c>
      <c r="ED12" s="129"/>
      <c r="EE12" s="130"/>
      <c r="EF12" s="131"/>
      <c r="EG12" s="184" t="str">
        <f>IFERROR((((COUNTIF('Elève (5ème4)'!ED12:EF12,"A"))*4)+((COUNTIF('Elève (5ème4)'!ED12:EF12,"B"))*3)+((COUNTIF('Elève (5ème4)'!ED12:EF12,"C"))*2)+((COUNTIF('Elève (5ème4)'!ED12:EF12,"D"))*1))/(COUNTA(ED12:EF12)),"")</f>
        <v/>
      </c>
      <c r="EH12" s="185" t="str">
        <f t="shared" si="29"/>
        <v/>
      </c>
      <c r="EI12" s="129"/>
      <c r="EJ12" s="130"/>
      <c r="EK12" s="131"/>
      <c r="EL12" s="135"/>
      <c r="EM12" s="184" t="str">
        <f>IFERROR((((COUNTIF('Elève (5ème4)'!EI12:EL12,"A"))*4)+((COUNTIF('Elève (5ème4)'!EI12:EL12,"B"))*3)+((COUNTIF('Elève (5ème4)'!EI12:EL12,"C"))*2)+((COUNTIF('Elève (5ème4)'!EI12:EL12,"D"))*1))/(COUNTA(EI12:EL12)),"")</f>
        <v/>
      </c>
      <c r="EN12" s="185" t="str">
        <f t="shared" si="30"/>
        <v/>
      </c>
      <c r="EO12" s="184" t="str">
        <f>IF(COUNT(EB12,EG12,EM12)=0,"",SUM(EB12,EG12,EM12)/COUNT(EB12,EG12,EM12))</f>
        <v/>
      </c>
      <c r="EP12" s="207" t="str">
        <f t="shared" si="31"/>
        <v/>
      </c>
      <c r="EQ12" s="129"/>
      <c r="ER12" s="130"/>
      <c r="ES12" s="131"/>
      <c r="ET12" s="184" t="str">
        <f>IFERROR((((COUNTIF('Elève (5ème4)'!EQ12:ES12,"A"))*4)+((COUNTIF('Elève (5ème4)'!EQ12:ES12,"B"))*3)+((COUNTIF('Elève (5ème4)'!EQ12:ES12,"C"))*2)+((COUNTIF('Elève (5ème4)'!EQ12:ES12,"D"))*1))/(COUNTA(EQ12:ES12)),"")</f>
        <v/>
      </c>
      <c r="EU12" s="185" t="str">
        <f t="shared" si="32"/>
        <v/>
      </c>
      <c r="EV12" s="129"/>
      <c r="EW12" s="130"/>
      <c r="EX12" s="131"/>
      <c r="EY12" s="184" t="str">
        <f>IFERROR((((COUNTIF('Elève (5ème4)'!EV12:EX12,"A"))*4)+((COUNTIF('Elève (5ème4)'!EV12:EX12,"B"))*3)+((COUNTIF('Elève (5ème4)'!EV12:EX12,"C"))*2)+((COUNTIF('Elève (5ème4)'!EV12:EX12,"D"))*1))/(COUNTA(EV12:EX12)),"")</f>
        <v/>
      </c>
      <c r="EZ12" s="185" t="str">
        <f t="shared" si="33"/>
        <v/>
      </c>
      <c r="FA12" s="129"/>
      <c r="FB12" s="130"/>
      <c r="FC12" s="131"/>
      <c r="FD12" s="135"/>
      <c r="FE12" s="184" t="str">
        <f>IFERROR((((COUNTIF('Elève (5ème4)'!FA12:FD12,"A"))*4)+((COUNTIF('Elève (5ème4)'!FA12:FD12,"B"))*3)+((COUNTIF('Elève (5ème4)'!FA12:FD12,"C"))*2)+((COUNTIF('Elève (5ème4)'!FA12:FD12,"D"))*1))/(COUNTA(FA12:FD12)),"")</f>
        <v/>
      </c>
      <c r="FF12" s="185" t="str">
        <f t="shared" si="34"/>
        <v/>
      </c>
      <c r="FG12" s="184" t="str">
        <f>IF(COUNT(ET12,EY12,FE12)=0,"",SUM(ET12,EY12,FE12)/COUNT(ET12,EY12,FE12))</f>
        <v/>
      </c>
      <c r="FH12" s="207" t="str">
        <f t="shared" si="35"/>
        <v/>
      </c>
      <c r="FI12" s="129"/>
      <c r="FJ12" s="130"/>
      <c r="FK12" s="131"/>
      <c r="FL12" s="184" t="str">
        <f>IFERROR((((COUNTIF('Elève (5ème4)'!FI12:FK12,"A"))*4)+((COUNTIF('Elève (5ème4)'!FI12:FK12,"B"))*3)+((COUNTIF('Elève (5ème4)'!FI12:FK12,"C"))*2)+((COUNTIF('Elève (5ème4)'!FI12:FK12,"D"))*1))/(COUNTA(FI12:FK12)),"")</f>
        <v/>
      </c>
      <c r="FM12" s="185" t="str">
        <f t="shared" si="36"/>
        <v/>
      </c>
      <c r="FN12" s="129"/>
      <c r="FO12" s="130"/>
      <c r="FP12" s="131"/>
      <c r="FQ12" s="184" t="str">
        <f>IFERROR((((COUNTIF('Elève (5ème4)'!FN12:FP12,"A"))*4)+((COUNTIF('Elève (5ème4)'!FN12:FP12,"B"))*3)+((COUNTIF('Elève (5ème4)'!FN12:FP12,"C"))*2)+((COUNTIF('Elève (5ème4)'!FN12:FP12,"D"))*1))/(COUNTA(FN12:FP12)),"")</f>
        <v/>
      </c>
      <c r="FR12" s="185" t="str">
        <f t="shared" si="37"/>
        <v/>
      </c>
      <c r="FS12" s="129"/>
      <c r="FT12" s="130"/>
      <c r="FU12" s="131"/>
      <c r="FV12" s="135"/>
      <c r="FW12" s="184" t="str">
        <f>IFERROR((((COUNTIF('Elève (5ème4)'!FS12:FV12,"A"))*4)+((COUNTIF('Elève (5ème4)'!FS12:FV12,"B"))*3)+((COUNTIF('Elève (5ème4)'!FS12:FV12,"C"))*2)+((COUNTIF('Elève (5ème4)'!FS12:FV12,"D"))*1))/(COUNTA(FS12:FV12)),"")</f>
        <v/>
      </c>
      <c r="FX12" s="185" t="str">
        <f t="shared" si="38"/>
        <v/>
      </c>
      <c r="FY12" s="184" t="str">
        <f>IF(COUNT(FL12,FQ12,FW12)=0,"",SUM(FL12,FQ12,FW12)/COUNT(FL12,FQ12,FW12))</f>
        <v/>
      </c>
      <c r="FZ12" s="207" t="str">
        <f t="shared" si="39"/>
        <v/>
      </c>
      <c r="GA12" s="129"/>
      <c r="GB12" s="130"/>
      <c r="GC12" s="131"/>
      <c r="GD12" s="184" t="str">
        <f>IFERROR((((COUNTIF('Elève (5ème4)'!GA12:GC12,"A"))*4)+((COUNTIF('Elève (5ème4)'!GA12:GC12,"B"))*3)+((COUNTIF('Elève (5ème4)'!GA12:GC12,"C"))*2)+((COUNTIF('Elève (5ème4)'!GA12:GC12,"D"))*1))/(COUNTA(GA12:GC12)),"")</f>
        <v/>
      </c>
      <c r="GE12" s="185" t="str">
        <f t="shared" si="40"/>
        <v/>
      </c>
      <c r="GF12" s="129"/>
      <c r="GG12" s="130"/>
      <c r="GH12" s="131"/>
      <c r="GI12" s="184" t="str">
        <f>IFERROR((((COUNTIF('Elève (5ème4)'!GF12:GH12,"A"))*4)+((COUNTIF('Elève (5ème4)'!GF12:GH12,"B"))*3)+((COUNTIF('Elève (5ème4)'!GF12:GH12,"C"))*2)+((COUNTIF('Elève (5ème4)'!GF12:GH12,"D"))*1))/(COUNTA(GF12:GH12)),"")</f>
        <v/>
      </c>
      <c r="GJ12" s="185" t="str">
        <f t="shared" si="41"/>
        <v/>
      </c>
      <c r="GK12" s="129"/>
      <c r="GL12" s="130"/>
      <c r="GM12" s="131"/>
      <c r="GN12" s="135"/>
      <c r="GO12" s="184" t="str">
        <f>IFERROR((((COUNTIF('Elève (5ème4)'!GK12:GN12,"A"))*4)+((COUNTIF('Elève (5ème4)'!GK12:GN12,"B"))*3)+((COUNTIF('Elève (5ème4)'!GK12:GN12,"C"))*2)+((COUNTIF('Elève (5ème4)'!GK12:GN12,"D"))*1))/(COUNTA(GK12:GN12)),"")</f>
        <v/>
      </c>
      <c r="GP12" s="185" t="str">
        <f t="shared" si="42"/>
        <v/>
      </c>
      <c r="GQ12" s="184" t="str">
        <f>IF(COUNT(GD12,GI12,GO12)=0,"",SUM(GD12,GI12,GO12)/COUNT(GD12,GI12,GO12))</f>
        <v/>
      </c>
      <c r="GR12" s="207" t="str">
        <f t="shared" si="43"/>
        <v/>
      </c>
      <c r="GS12" s="129"/>
      <c r="GT12" s="130"/>
      <c r="GU12" s="131"/>
      <c r="GV12" s="184" t="str">
        <f>IFERROR((((COUNTIF('Elève (5ème4)'!GS12:GU12,"A"))*4)+((COUNTIF('Elève (5ème4)'!GS12:GU12,"B"))*3)+((COUNTIF('Elève (5ème4)'!GS12:GU12,"C"))*2)+((COUNTIF('Elève (5ème4)'!GS12:GU12,"D"))*1))/(COUNTA(GS12:GU12)),"")</f>
        <v/>
      </c>
      <c r="GW12" s="185" t="str">
        <f t="shared" si="44"/>
        <v/>
      </c>
      <c r="GX12" s="129"/>
      <c r="GY12" s="130"/>
      <c r="GZ12" s="131"/>
      <c r="HA12" s="184" t="str">
        <f>IFERROR((((COUNTIF('Elève (5ème4)'!GX12:GZ12,"A"))*4)+((COUNTIF('Elève (5ème4)'!GX12:GZ12,"B"))*3)+((COUNTIF('Elève (5ème4)'!GX12:GZ12,"C"))*2)+((COUNTIF('Elève (5ème4)'!GX12:GZ12,"D"))*1))/(COUNTA(GX12:GZ12)),"")</f>
        <v/>
      </c>
      <c r="HB12" s="185" t="str">
        <f t="shared" si="45"/>
        <v/>
      </c>
      <c r="HC12" s="129"/>
      <c r="HD12" s="130"/>
      <c r="HE12" s="131"/>
      <c r="HF12" s="135"/>
      <c r="HG12" s="184" t="str">
        <f>IFERROR((((COUNTIF('Elève (5ème4)'!HC12:HF12,"A"))*4)+((COUNTIF('Elève (5ème4)'!HC12:HF12,"B"))*3)+((COUNTIF('Elève (5ème4)'!HC12:HF12,"C"))*2)+((COUNTIF('Elève (5ème4)'!HC12:HF12,"D"))*1))/(COUNTA(HC12:HF12)),"")</f>
        <v/>
      </c>
      <c r="HH12" s="185" t="str">
        <f t="shared" si="46"/>
        <v/>
      </c>
      <c r="HI12" s="184" t="str">
        <f>IF(COUNT(GV12,HA12,HG12)=0,"",SUM(GV12,HA12,HG12)/COUNT(GV12,HA12,HG12))</f>
        <v/>
      </c>
      <c r="HJ12" s="207" t="str">
        <f t="shared" si="47"/>
        <v/>
      </c>
      <c r="HK12" s="129"/>
      <c r="HL12" s="130"/>
      <c r="HM12" s="131"/>
      <c r="HN12" s="184" t="str">
        <f>IFERROR((((COUNTIF('Elève (5ème4)'!HK12:HM12,"A"))*4)+((COUNTIF('Elève (5ème4)'!HK12:HM12,"B"))*3)+((COUNTIF('Elève (5ème4)'!HK12:HM12,"C"))*2)+((COUNTIF('Elève (5ème4)'!HK12:HM12,"D"))*1))/(COUNTA(HK12:HM12)),"")</f>
        <v/>
      </c>
      <c r="HO12" s="185" t="str">
        <f t="shared" si="48"/>
        <v/>
      </c>
      <c r="HP12" s="129"/>
      <c r="HQ12" s="130"/>
      <c r="HR12" s="131"/>
      <c r="HS12" s="184" t="str">
        <f>IFERROR((((COUNTIF('Elève (5ème4)'!HP12:HR12,"A"))*4)+((COUNTIF('Elève (5ème4)'!HP12:HR12,"B"))*3)+((COUNTIF('Elève (5ème4)'!HP12:HR12,"C"))*2)+((COUNTIF('Elève (5ème4)'!HP12:HR12,"D"))*1))/(COUNTA(HP12:HR12)),"")</f>
        <v/>
      </c>
      <c r="HT12" s="185" t="str">
        <f t="shared" si="49"/>
        <v/>
      </c>
      <c r="HU12" s="129"/>
      <c r="HV12" s="130"/>
      <c r="HW12" s="131"/>
      <c r="HX12" s="135"/>
      <c r="HY12" s="184" t="str">
        <f>IFERROR((((COUNTIF('Elève (5ème4)'!HU12:HX12,"A"))*4)+((COUNTIF('Elève (5ème4)'!HU12:HX12,"B"))*3)+((COUNTIF('Elève (5ème4)'!HU12:HX12,"C"))*2)+((COUNTIF('Elève (5ème4)'!HU12:HX12,"D"))*1))/(COUNTA(HU12:HX12)),"")</f>
        <v/>
      </c>
      <c r="HZ12" s="185" t="str">
        <f t="shared" si="50"/>
        <v/>
      </c>
      <c r="IA12" s="184" t="str">
        <f>IF(COUNT(HN12,HS12,HY12)=0,"",SUM(HN12,HS12,HY12)/COUNT(HN12,HS12,HY12))</f>
        <v/>
      </c>
      <c r="IB12" s="207" t="str">
        <f t="shared" si="51"/>
        <v/>
      </c>
      <c r="IC12" s="129"/>
      <c r="ID12" s="130"/>
      <c r="IE12" s="131"/>
      <c r="IF12" s="184" t="str">
        <f>IFERROR((((COUNTIF('Elève (5ème4)'!IC12:IE12,"A"))*4)+((COUNTIF('Elève (5ème4)'!IC12:IE12,"B"))*3)+((COUNTIF('Elève (5ème4)'!IC12:IE12,"C"))*2)+((COUNTIF('Elève (5ème4)'!IC12:IE12,"D"))*1))/(COUNTA(IC12:IE12)),"")</f>
        <v/>
      </c>
      <c r="IG12" s="185" t="str">
        <f t="shared" si="52"/>
        <v/>
      </c>
      <c r="IH12" s="129"/>
      <c r="II12" s="130"/>
      <c r="IJ12" s="131"/>
      <c r="IK12" s="184" t="str">
        <f>IFERROR((((COUNTIF('Elève (5ème4)'!IH12:IJ12,"A"))*4)+((COUNTIF('Elève (5ème4)'!IH12:IJ12,"B"))*3)+((COUNTIF('Elève (5ème4)'!IH12:IJ12,"C"))*2)+((COUNTIF('Elève (5ème4)'!IH12:IJ12,"D"))*1))/(COUNTA(IH12:IJ12)),"")</f>
        <v/>
      </c>
      <c r="IL12" s="185" t="str">
        <f t="shared" si="53"/>
        <v/>
      </c>
      <c r="IM12" s="129"/>
      <c r="IN12" s="130"/>
      <c r="IO12" s="131"/>
      <c r="IP12" s="135"/>
      <c r="IQ12" s="184" t="str">
        <f>IFERROR((((COUNTIF('Elève (5ème4)'!IM12:IP12,"A"))*4)+((COUNTIF('Elève (5ème4)'!IM12:IP12,"B"))*3)+((COUNTIF('Elève (5ème4)'!IM12:IP12,"C"))*2)+((COUNTIF('Elève (5ème4)'!IM12:IP12,"D"))*1))/(COUNTA(IM12:IP12)),"")</f>
        <v/>
      </c>
      <c r="IR12" s="185" t="str">
        <f t="shared" si="54"/>
        <v/>
      </c>
      <c r="IS12" s="184" t="str">
        <f>IF(COUNT(IF12,IK12,IQ12)=0,"",SUM(IF12,IK12,IQ12)/COUNT(IF12,IK12,IQ12))</f>
        <v/>
      </c>
      <c r="IT12" s="207" t="str">
        <f t="shared" si="55"/>
        <v/>
      </c>
      <c r="IU12" s="129"/>
      <c r="IV12" s="130"/>
      <c r="IW12" s="131"/>
      <c r="IX12" s="184" t="str">
        <f>IFERROR((((COUNTIF('Elève (5ème4)'!IU12:IW12,"A"))*4)+((COUNTIF('Elève (5ème4)'!IU12:IW12,"B"))*3)+((COUNTIF('Elève (5ème4)'!IU12:IW12,"C"))*2)+((COUNTIF('Elève (5ème4)'!IU12:IW12,"D"))*1))/(COUNTA(IU12:IW12)),"")</f>
        <v/>
      </c>
      <c r="IY12" s="185" t="str">
        <f t="shared" si="56"/>
        <v/>
      </c>
      <c r="IZ12" s="129"/>
      <c r="JA12" s="130"/>
      <c r="JB12" s="131"/>
      <c r="JC12" s="184" t="str">
        <f>IFERROR((((COUNTIF('Elève (5ème4)'!IZ12:JB12,"A"))*4)+((COUNTIF('Elève (5ème4)'!IZ12:JB12,"B"))*3)+((COUNTIF('Elève (5ème4)'!IZ12:JB12,"C"))*2)+((COUNTIF('Elève (5ème4)'!IZ12:JB12,"D"))*1))/(COUNTA(IZ12:JB12)),"")</f>
        <v/>
      </c>
      <c r="JD12" s="185" t="str">
        <f t="shared" si="57"/>
        <v/>
      </c>
      <c r="JE12" s="129"/>
      <c r="JF12" s="130"/>
      <c r="JG12" s="131"/>
      <c r="JH12" s="135"/>
      <c r="JI12" s="184" t="str">
        <f>IFERROR((((COUNTIF('Elève (5ème4)'!JE12:JH12,"A"))*4)+((COUNTIF('Elève (5ème4)'!JE12:JH12,"B"))*3)+((COUNTIF('Elève (5ème4)'!JE12:JH12,"C"))*2)+((COUNTIF('Elève (5ème4)'!JE12:JH12,"D"))*1))/(COUNTA(JE12:JH12)),"")</f>
        <v/>
      </c>
      <c r="JJ12" s="185" t="str">
        <f t="shared" si="58"/>
        <v/>
      </c>
      <c r="JK12" s="184" t="str">
        <f>IF(COUNT(IX12,JC12,JI12)=0,"",SUM(IX12,JC12,JI12)/COUNT(IX12,JC12,JI12))</f>
        <v/>
      </c>
      <c r="JL12" s="207" t="str">
        <f t="shared" si="59"/>
        <v/>
      </c>
      <c r="JM12" s="129"/>
      <c r="JN12" s="130"/>
      <c r="JO12" s="131"/>
      <c r="JP12" s="184" t="str">
        <f>IFERROR((((COUNTIF('Elève (5ème4)'!JM12:JO12,"A"))*4)+((COUNTIF('Elève (5ème4)'!JM12:JO12,"B"))*3)+((COUNTIF('Elève (5ème4)'!JM12:JO12,"C"))*2)+((COUNTIF('Elève (5ème4)'!JM12:JO12,"D"))*1))/(COUNTA(JM12:JO12)),"")</f>
        <v/>
      </c>
      <c r="JQ12" s="185" t="str">
        <f t="shared" si="60"/>
        <v/>
      </c>
      <c r="JR12" s="129"/>
      <c r="JS12" s="130"/>
      <c r="JT12" s="131"/>
      <c r="JU12" s="184" t="str">
        <f>IFERROR((((COUNTIF('Elève (5ème4)'!JR12:JT12,"A"))*4)+((COUNTIF('Elève (5ème4)'!JR12:JT12,"B"))*3)+((COUNTIF('Elève (5ème4)'!JR12:JT12,"C"))*2)+((COUNTIF('Elève (5ème4)'!JR12:JT12,"D"))*1))/(COUNTA(JR12:JT12)),"")</f>
        <v/>
      </c>
      <c r="JV12" s="185" t="str">
        <f t="shared" si="61"/>
        <v/>
      </c>
      <c r="JW12" s="129"/>
      <c r="JX12" s="130"/>
      <c r="JY12" s="131"/>
      <c r="JZ12" s="135"/>
      <c r="KA12" s="184" t="str">
        <f>IFERROR((((COUNTIF('Elève (5ème4)'!JW12:JZ12,"A"))*4)+((COUNTIF('Elève (5ème4)'!JW12:JZ12,"B"))*3)+((COUNTIF('Elève (5ème4)'!JW12:JZ12,"C"))*2)+((COUNTIF('Elève (5ème4)'!JW12:JZ12,"D"))*1))/(COUNTA(JW12:JZ12)),"")</f>
        <v/>
      </c>
      <c r="KB12" s="185" t="str">
        <f t="shared" si="62"/>
        <v/>
      </c>
      <c r="KC12" s="184" t="str">
        <f>IF(COUNT(JP12,JU12,KA12)=0,"",SUM(JP12,JU12,KA12)/COUNT(JP12,JU12,KA12))</f>
        <v/>
      </c>
      <c r="KD12" s="207" t="str">
        <f t="shared" si="63"/>
        <v/>
      </c>
      <c r="KE12" s="129"/>
      <c r="KF12" s="130"/>
      <c r="KG12" s="131"/>
      <c r="KH12" s="184" t="str">
        <f>IFERROR((((COUNTIF('Elève (5ème4)'!KE12:KG12,"A"))*4)+((COUNTIF('Elève (5ème4)'!KE12:KG12,"B"))*3)+((COUNTIF('Elève (5ème4)'!KE12:KG12,"C"))*2)+((COUNTIF('Elève (5ème4)'!KE12:KG12,"D"))*1))/(COUNTA(KE12:KG12)),"")</f>
        <v/>
      </c>
      <c r="KI12" s="185" t="str">
        <f t="shared" si="64"/>
        <v/>
      </c>
      <c r="KJ12" s="129"/>
      <c r="KK12" s="130"/>
      <c r="KL12" s="131"/>
      <c r="KM12" s="184" t="str">
        <f>IFERROR((((COUNTIF('Elève (5ème4)'!KJ12:KL12,"A"))*4)+((COUNTIF('Elève (5ème4)'!KJ12:KL12,"B"))*3)+((COUNTIF('Elève (5ème4)'!KJ12:KL12,"C"))*2)+((COUNTIF('Elève (5ème4)'!KJ12:KL12,"D"))*1))/(COUNTA(KJ12:KL12)),"")</f>
        <v/>
      </c>
      <c r="KN12" s="185" t="str">
        <f t="shared" si="65"/>
        <v/>
      </c>
      <c r="KO12" s="129"/>
      <c r="KP12" s="130"/>
      <c r="KQ12" s="131"/>
      <c r="KR12" s="135"/>
      <c r="KS12" s="184" t="str">
        <f>IFERROR((((COUNTIF('Elève (5ème4)'!KO12:KR12,"A"))*4)+((COUNTIF('Elève (5ème4)'!KO12:KR12,"B"))*3)+((COUNTIF('Elève (5ème4)'!KO12:KR12,"C"))*2)+((COUNTIF('Elève (5ème4)'!KO12:KR12,"D"))*1))/(COUNTA(KO12:KR12)),"")</f>
        <v/>
      </c>
      <c r="KT12" s="185" t="str">
        <f t="shared" si="66"/>
        <v/>
      </c>
      <c r="KU12" s="184" t="str">
        <f>IF(COUNT(KH12,KM12,KS12)=0,"",SUM(KH12,KM12,KS12)/COUNT(KH12,KM12,KS12))</f>
        <v/>
      </c>
      <c r="KV12" s="207" t="str">
        <f t="shared" si="67"/>
        <v/>
      </c>
      <c r="KW12" s="129"/>
      <c r="KX12" s="130"/>
      <c r="KY12" s="131"/>
      <c r="KZ12" s="184" t="str">
        <f>IFERROR((((COUNTIF('Elève (5ème4)'!KW12:KY12,"A"))*4)+((COUNTIF('Elève (5ème4)'!KW12:KY12,"B"))*3)+((COUNTIF('Elève (5ème4)'!KW12:KY12,"C"))*2)+((COUNTIF('Elève (5ème4)'!KW12:KY12,"D"))*1))/(COUNTA(KW12:KY12)),"")</f>
        <v/>
      </c>
      <c r="LA12" s="185" t="str">
        <f t="shared" si="68"/>
        <v/>
      </c>
      <c r="LB12" s="129"/>
      <c r="LC12" s="130"/>
      <c r="LD12" s="131"/>
      <c r="LE12" s="184" t="str">
        <f>IFERROR((((COUNTIF('Elève (5ème4)'!LB12:LD12,"A"))*4)+((COUNTIF('Elève (5ème4)'!LB12:LD12,"B"))*3)+((COUNTIF('Elève (5ème4)'!LB12:LD12,"C"))*2)+((COUNTIF('Elève (5ème4)'!LB12:LD12,"D"))*1))/(COUNTA(LB12:LD12)),"")</f>
        <v/>
      </c>
      <c r="LF12" s="185" t="str">
        <f t="shared" si="69"/>
        <v/>
      </c>
      <c r="LG12" s="129"/>
      <c r="LH12" s="130"/>
      <c r="LI12" s="131"/>
      <c r="LJ12" s="135"/>
      <c r="LK12" s="184" t="str">
        <f>IFERROR((((COUNTIF('Elève (5ème4)'!LG12:LJ12,"A"))*4)+((COUNTIF('Elève (5ème4)'!LG12:LJ12,"B"))*3)+((COUNTIF('Elève (5ème4)'!LG12:LJ12,"C"))*2)+((COUNTIF('Elève (5ème4)'!LG12:LJ12,"D"))*1))/(COUNTA(LG12:LJ12)),"")</f>
        <v/>
      </c>
      <c r="LL12" s="185" t="str">
        <f t="shared" si="70"/>
        <v/>
      </c>
      <c r="LM12" s="184" t="str">
        <f>IF(COUNT(KZ12,LE12,LK12)=0,"",SUM(KZ12,LE12,LK12)/COUNT(KZ12,LE12,LK12))</f>
        <v/>
      </c>
      <c r="LN12" s="207" t="str">
        <f t="shared" si="71"/>
        <v/>
      </c>
      <c r="LO12" s="129"/>
      <c r="LP12" s="130"/>
      <c r="LQ12" s="131"/>
      <c r="LR12" s="184" t="str">
        <f>IFERROR((((COUNTIF('Elève (5ème4)'!LO12:LQ12,"A"))*4)+((COUNTIF('Elève (5ème4)'!LO12:LQ12,"B"))*3)+((COUNTIF('Elève (5ème4)'!LO12:LQ12,"C"))*2)+((COUNTIF('Elève (5ème4)'!LO12:LQ12,"D"))*1))/(COUNTA(LO12:LQ12)),"")</f>
        <v/>
      </c>
      <c r="LS12" s="185" t="str">
        <f t="shared" si="72"/>
        <v/>
      </c>
      <c r="LT12" s="129"/>
      <c r="LU12" s="130"/>
      <c r="LV12" s="131"/>
      <c r="LW12" s="184" t="str">
        <f>IFERROR((((COUNTIF('Elève (5ème4)'!LT12:LV12,"A"))*4)+((COUNTIF('Elève (5ème4)'!LT12:LV12,"B"))*3)+((COUNTIF('Elève (5ème4)'!LT12:LV12,"C"))*2)+((COUNTIF('Elève (5ème4)'!LT12:LV12,"D"))*1))/(COUNTA(LT12:LV12)),"")</f>
        <v/>
      </c>
      <c r="LX12" s="185" t="str">
        <f t="shared" si="73"/>
        <v/>
      </c>
      <c r="LY12" s="129"/>
      <c r="LZ12" s="130"/>
      <c r="MA12" s="131"/>
      <c r="MB12" s="135"/>
      <c r="MC12" s="184" t="str">
        <f>IFERROR((((COUNTIF('Elève (5ème4)'!LY12:MB12,"A"))*4)+((COUNTIF('Elève (5ème4)'!LY12:MB12,"B"))*3)+((COUNTIF('Elève (5ème4)'!LY12:MB12,"C"))*2)+((COUNTIF('Elève (5ème4)'!LY12:MB12,"D"))*1))/(COUNTA(LY12:MB12)),"")</f>
        <v/>
      </c>
      <c r="MD12" s="185" t="str">
        <f t="shared" si="74"/>
        <v/>
      </c>
      <c r="ME12" s="184" t="str">
        <f>IF(COUNT(LR12,LW12,MC12)=0,"",SUM(LR12,LW12,MC12)/COUNT(LR12,LW12,MC12))</f>
        <v/>
      </c>
      <c r="MF12" s="207" t="str">
        <f t="shared" si="75"/>
        <v/>
      </c>
      <c r="MG12" s="129"/>
      <c r="MH12" s="130"/>
      <c r="MI12" s="131"/>
      <c r="MJ12" s="184" t="str">
        <f>IFERROR((((COUNTIF('Elève (5ème4)'!MG12:MI12,"A"))*4)+((COUNTIF('Elève (5ème4)'!MG12:MI12,"B"))*3)+((COUNTIF('Elève (5ème4)'!MG12:MI12,"C"))*2)+((COUNTIF('Elève (5ème4)'!MG12:MI12,"D"))*1))/(COUNTA(MG12:MI12)),"")</f>
        <v/>
      </c>
      <c r="MK12" s="185" t="str">
        <f t="shared" si="76"/>
        <v/>
      </c>
      <c r="ML12" s="129"/>
      <c r="MM12" s="130"/>
      <c r="MN12" s="131"/>
      <c r="MO12" s="184" t="str">
        <f>IFERROR((((COUNTIF('Elève (5ème4)'!ML12:MN12,"A"))*4)+((COUNTIF('Elève (5ème4)'!ML12:MN12,"B"))*3)+((COUNTIF('Elève (5ème4)'!ML12:MN12,"C"))*2)+((COUNTIF('Elève (5ème4)'!ML12:MN12,"D"))*1))/(COUNTA(ML12:MN12)),"")</f>
        <v/>
      </c>
      <c r="MP12" s="185" t="str">
        <f t="shared" si="77"/>
        <v/>
      </c>
      <c r="MQ12" s="129"/>
      <c r="MR12" s="130"/>
      <c r="MS12" s="131"/>
      <c r="MT12" s="135"/>
      <c r="MU12" s="184" t="str">
        <f>IFERROR((((COUNTIF('Elève (5ème4)'!MQ12:MT12,"A"))*4)+((COUNTIF('Elève (5ème4)'!MQ12:MT12,"B"))*3)+((COUNTIF('Elève (5ème4)'!MQ12:MT12,"C"))*2)+((COUNTIF('Elève (5ème4)'!MQ12:MT12,"D"))*1))/(COUNTA(MQ12:MT12)),"")</f>
        <v/>
      </c>
      <c r="MV12" s="185" t="str">
        <f t="shared" si="78"/>
        <v/>
      </c>
      <c r="MW12" s="184" t="str">
        <f>IF(COUNT(MJ12,MO12,MU12)=0,"",SUM(MJ12,MO12,MU12)/COUNT(MJ12,MO12,MU12))</f>
        <v/>
      </c>
      <c r="MX12" s="207" t="str">
        <f t="shared" si="79"/>
        <v/>
      </c>
      <c r="MY12" s="129"/>
      <c r="MZ12" s="130"/>
      <c r="NA12" s="131"/>
      <c r="NB12" s="184" t="str">
        <f>IFERROR((((COUNTIF('Elève (5ème4)'!MY12:NA12,"A"))*4)+((COUNTIF('Elève (5ème4)'!MY12:NA12,"B"))*3)+((COUNTIF('Elève (5ème4)'!MY12:NA12,"C"))*2)+((COUNTIF('Elève (5ème4)'!MY12:NA12,"D"))*1))/(COUNTA(MY12:NA12)),"")</f>
        <v/>
      </c>
      <c r="NC12" s="185" t="str">
        <f t="shared" si="80"/>
        <v/>
      </c>
      <c r="ND12" s="129"/>
      <c r="NE12" s="130"/>
      <c r="NF12" s="131"/>
      <c r="NG12" s="184" t="str">
        <f>IFERROR((((COUNTIF('Elève (5ème4)'!ND12:NF12,"A"))*4)+((COUNTIF('Elève (5ème4)'!ND12:NF12,"B"))*3)+((COUNTIF('Elève (5ème4)'!ND12:NF12,"C"))*2)+((COUNTIF('Elève (5ème4)'!ND12:NF12,"D"))*1))/(COUNTA(ND12:NF12)),"")</f>
        <v/>
      </c>
      <c r="NH12" s="185" t="str">
        <f t="shared" si="81"/>
        <v/>
      </c>
      <c r="NI12" s="129"/>
      <c r="NJ12" s="130"/>
      <c r="NK12" s="131"/>
      <c r="NL12" s="135"/>
      <c r="NM12" s="184" t="str">
        <f>IFERROR((((COUNTIF('Elève (5ème4)'!NI12:NL12,"A"))*4)+((COUNTIF('Elève (5ème4)'!NI12:NL12,"B"))*3)+((COUNTIF('Elève (5ème4)'!NI12:NL12,"C"))*2)+((COUNTIF('Elève (5ème4)'!NI12:NL12,"D"))*1))/(COUNTA(NI12:NL12)),"")</f>
        <v/>
      </c>
      <c r="NN12" s="185" t="str">
        <f t="shared" si="82"/>
        <v/>
      </c>
      <c r="NO12" s="184" t="str">
        <f>IF(COUNT(NB12,NG12,NM12)=0,"",SUM(NB12,NG12,NM12)/COUNT(NB12,NG12,NM12))</f>
        <v/>
      </c>
      <c r="NP12" s="207" t="str">
        <f t="shared" si="83"/>
        <v/>
      </c>
      <c r="NQ12" s="129"/>
      <c r="NR12" s="130"/>
      <c r="NS12" s="131"/>
      <c r="NT12" s="184" t="str">
        <f>IFERROR((((COUNTIF('Elève (5ème4)'!NQ12:NS12,"A"))*4)+((COUNTIF('Elève (5ème4)'!NQ12:NS12,"B"))*3)+((COUNTIF('Elève (5ème4)'!NQ12:NS12,"C"))*2)+((COUNTIF('Elève (5ème4)'!NQ12:NS12,"D"))*1))/(COUNTA(NQ12:NS12)),"")</f>
        <v/>
      </c>
      <c r="NU12" s="185" t="str">
        <f t="shared" si="84"/>
        <v/>
      </c>
      <c r="NV12" s="129"/>
      <c r="NW12" s="130"/>
      <c r="NX12" s="131"/>
      <c r="NY12" s="184" t="str">
        <f>IFERROR((((COUNTIF('Elève (5ème4)'!NV12:NX12,"A"))*4)+((COUNTIF('Elève (5ème4)'!NV12:NX12,"B"))*3)+((COUNTIF('Elève (5ème4)'!NV12:NX12,"C"))*2)+((COUNTIF('Elève (5ème4)'!NV12:NX12,"D"))*1))/(COUNTA(NV12:NX12)),"")</f>
        <v/>
      </c>
      <c r="NZ12" s="185" t="str">
        <f t="shared" si="85"/>
        <v/>
      </c>
      <c r="OA12" s="129"/>
      <c r="OB12" s="130"/>
      <c r="OC12" s="131"/>
      <c r="OD12" s="135"/>
      <c r="OE12" s="184" t="str">
        <f>IFERROR((((COUNTIF('Elève (5ème4)'!OA12:OD12,"A"))*4)+((COUNTIF('Elève (5ème4)'!OA12:OD12,"B"))*3)+((COUNTIF('Elève (5ème4)'!OA12:OD12,"C"))*2)+((COUNTIF('Elève (5ème4)'!OA12:OD12,"D"))*1))/(COUNTA(OA12:OD12)),"")</f>
        <v/>
      </c>
      <c r="OF12" s="185" t="str">
        <f t="shared" si="86"/>
        <v/>
      </c>
      <c r="OG12" s="184" t="str">
        <f>IF(COUNT(NT12,NY12,OE12)=0,"",SUM(NT12,NY12,OE12)/COUNT(NT12,NY12,OE12))</f>
        <v/>
      </c>
      <c r="OH12" s="207" t="str">
        <f t="shared" si="87"/>
        <v/>
      </c>
      <c r="OI12" s="129"/>
      <c r="OJ12" s="130"/>
      <c r="OK12" s="131"/>
      <c r="OL12" s="184" t="str">
        <f>IFERROR((((COUNTIF('Elève (5ème4)'!OI12:OK12,"A"))*4)+((COUNTIF('Elève (5ème4)'!OI12:OK12,"B"))*3)+((COUNTIF('Elève (5ème4)'!OI12:OK12,"C"))*2)+((COUNTIF('Elève (5ème4)'!OI12:OK12,"D"))*1))/(COUNTA(OI12:OK12)),"")</f>
        <v/>
      </c>
      <c r="OM12" s="185" t="str">
        <f t="shared" si="88"/>
        <v/>
      </c>
      <c r="ON12" s="129"/>
      <c r="OO12" s="130"/>
      <c r="OP12" s="131"/>
      <c r="OQ12" s="184" t="str">
        <f>IFERROR((((COUNTIF('Elève (5ème4)'!ON12:OP12,"A"))*4)+((COUNTIF('Elève (5ème4)'!ON12:OP12,"B"))*3)+((COUNTIF('Elève (5ème4)'!ON12:OP12,"C"))*2)+((COUNTIF('Elève (5ème4)'!ON12:OP12,"D"))*1))/(COUNTA(ON12:OP12)),"")</f>
        <v/>
      </c>
      <c r="OR12" s="185" t="str">
        <f t="shared" si="89"/>
        <v/>
      </c>
      <c r="OS12" s="129"/>
      <c r="OT12" s="130"/>
      <c r="OU12" s="131"/>
      <c r="OV12" s="135"/>
      <c r="OW12" s="184" t="str">
        <f>IFERROR((((COUNTIF('Elève (5ème4)'!OS12:OV12,"A"))*4)+((COUNTIF('Elève (5ème4)'!OS12:OV12,"B"))*3)+((COUNTIF('Elève (5ème4)'!OS12:OV12,"C"))*2)+((COUNTIF('Elève (5ème4)'!OS12:OV12,"D"))*1))/(COUNTA(OS12:OV12)),"")</f>
        <v/>
      </c>
      <c r="OX12" s="185" t="str">
        <f t="shared" si="90"/>
        <v/>
      </c>
      <c r="OY12" s="184" t="str">
        <f>IF(COUNT(OL12,OQ12,OW12)=0,"",SUM(OL12,OQ12,OW12)/COUNT(OL12,OQ12,OW12))</f>
        <v/>
      </c>
      <c r="OZ12" s="207" t="str">
        <f t="shared" si="91"/>
        <v/>
      </c>
      <c r="PA12" s="129"/>
      <c r="PB12" s="130"/>
      <c r="PC12" s="131"/>
      <c r="PD12" s="184" t="str">
        <f>IFERROR((((COUNTIF('Elève (5ème4)'!PA12:PC12,"A"))*4)+((COUNTIF('Elève (5ème4)'!PA12:PC12,"B"))*3)+((COUNTIF('Elève (5ème4)'!PA12:PC12,"C"))*2)+((COUNTIF('Elève (5ème4)'!PA12:PC12,"D"))*1))/(COUNTA(PA12:PC12)),"")</f>
        <v/>
      </c>
      <c r="PE12" s="185" t="str">
        <f t="shared" si="92"/>
        <v/>
      </c>
      <c r="PF12" s="129"/>
      <c r="PG12" s="130"/>
      <c r="PH12" s="131"/>
      <c r="PI12" s="184" t="str">
        <f>IFERROR((((COUNTIF('Elève (5ème4)'!PF12:PH12,"A"))*4)+((COUNTIF('Elève (5ème4)'!PF12:PH12,"B"))*3)+((COUNTIF('Elève (5ème4)'!PF12:PH12,"C"))*2)+((COUNTIF('Elève (5ème4)'!PF12:PH12,"D"))*1))/(COUNTA(PF12:PH12)),"")</f>
        <v/>
      </c>
      <c r="PJ12" s="185" t="str">
        <f t="shared" si="93"/>
        <v/>
      </c>
      <c r="PK12" s="129"/>
      <c r="PL12" s="130"/>
      <c r="PM12" s="131"/>
      <c r="PN12" s="135"/>
      <c r="PO12" s="184" t="str">
        <f>IFERROR((((COUNTIF('Elève (5ème4)'!PK12:PN12,"A"))*4)+((COUNTIF('Elève (5ème4)'!PK12:PN12,"B"))*3)+((COUNTIF('Elève (5ème4)'!PK12:PN12,"C"))*2)+((COUNTIF('Elève (5ème4)'!PK12:PN12,"D"))*1))/(COUNTA(PK12:PN12)),"")</f>
        <v/>
      </c>
      <c r="PP12" s="185" t="str">
        <f t="shared" si="94"/>
        <v/>
      </c>
      <c r="PQ12" s="184" t="str">
        <f>IF(COUNT(PD12,PI12,PO12)=0,"",SUM(PD12,PI12,PO12)/COUNT(PD12,PI12,PO12))</f>
        <v/>
      </c>
      <c r="PR12" s="207" t="str">
        <f t="shared" si="95"/>
        <v/>
      </c>
      <c r="PS12" s="129"/>
      <c r="PT12" s="130"/>
      <c r="PU12" s="131"/>
      <c r="PV12" s="184" t="str">
        <f>IFERROR((((COUNTIF('Elève (5ème4)'!PS12:PU12,"A"))*4)+((COUNTIF('Elève (5ème4)'!PS12:PU12,"B"))*3)+((COUNTIF('Elève (5ème4)'!PS12:PU12,"C"))*2)+((COUNTIF('Elève (5ème4)'!PS12:PU12,"D"))*1))/(COUNTA(PS12:PU12)),"")</f>
        <v/>
      </c>
      <c r="PW12" s="185" t="str">
        <f t="shared" si="96"/>
        <v/>
      </c>
      <c r="PX12" s="129"/>
      <c r="PY12" s="130"/>
      <c r="PZ12" s="131"/>
      <c r="QA12" s="184" t="str">
        <f>IFERROR((((COUNTIF('Elève (5ème4)'!PX12:PZ12,"A"))*4)+((COUNTIF('Elève (5ème4)'!PX12:PZ12,"B"))*3)+((COUNTIF('Elève (5ème4)'!PX12:PZ12,"C"))*2)+((COUNTIF('Elève (5ème4)'!PX12:PZ12,"D"))*1))/(COUNTA(PX12:PZ12)),"")</f>
        <v/>
      </c>
      <c r="QB12" s="185" t="str">
        <f t="shared" si="97"/>
        <v/>
      </c>
      <c r="QC12" s="129"/>
      <c r="QD12" s="130"/>
      <c r="QE12" s="131"/>
      <c r="QF12" s="135"/>
      <c r="QG12" s="184" t="str">
        <f>IFERROR((((COUNTIF('Elève (5ème4)'!QC12:QF12,"A"))*4)+((COUNTIF('Elève (5ème4)'!QC12:QF12,"B"))*3)+((COUNTIF('Elève (5ème4)'!QC12:QF12,"C"))*2)+((COUNTIF('Elève (5ème4)'!QC12:QF12,"D"))*1))/(COUNTA(QC12:QF12)),"")</f>
        <v/>
      </c>
      <c r="QH12" s="185" t="str">
        <f t="shared" si="98"/>
        <v/>
      </c>
      <c r="QI12" s="184" t="str">
        <f>IF(COUNT(PV12,QA12,QG12)=0,"",SUM(PV12,QA12,QG12)/COUNT(PV12,QA12,QG12))</f>
        <v/>
      </c>
      <c r="QJ12" s="207" t="str">
        <f t="shared" si="99"/>
        <v/>
      </c>
      <c r="QK12" s="129"/>
      <c r="QL12" s="130"/>
      <c r="QM12" s="131"/>
      <c r="QN12" s="184" t="str">
        <f>IFERROR((((COUNTIF('Elève (5ème4)'!QK12:QM12,"A"))*4)+((COUNTIF('Elève (5ème4)'!QK12:QM12,"B"))*3)+((COUNTIF('Elève (5ème4)'!QK12:QM12,"C"))*2)+((COUNTIF('Elève (5ème4)'!QK12:QM12,"D"))*1))/(COUNTA(QK12:QM12)),"")</f>
        <v/>
      </c>
      <c r="QO12" s="185" t="str">
        <f t="shared" si="100"/>
        <v/>
      </c>
      <c r="QP12" s="129"/>
      <c r="QQ12" s="130"/>
      <c r="QR12" s="131"/>
      <c r="QS12" s="184" t="str">
        <f>IFERROR((((COUNTIF('Elève (5ème4)'!QP12:QR12,"A"))*4)+((COUNTIF('Elève (5ème4)'!QP12:QR12,"B"))*3)+((COUNTIF('Elève (5ème4)'!QP12:QR12,"C"))*2)+((COUNTIF('Elève (5ème4)'!QP12:QR12,"D"))*1))/(COUNTA(QP12:QR12)),"")</f>
        <v/>
      </c>
      <c r="QT12" s="185" t="str">
        <f t="shared" si="101"/>
        <v/>
      </c>
      <c r="QU12" s="129"/>
      <c r="QV12" s="130"/>
      <c r="QW12" s="131"/>
      <c r="QX12" s="135"/>
      <c r="QY12" s="184" t="str">
        <f>IFERROR((((COUNTIF('Elève (5ème4)'!QU12:QX12,"A"))*4)+((COUNTIF('Elève (5ème4)'!QU12:QX12,"B"))*3)+((COUNTIF('Elève (5ème4)'!QU12:QX12,"C"))*2)+((COUNTIF('Elève (5ème4)'!QU12:QX12,"D"))*1))/(COUNTA(QU12:QX12)),"")</f>
        <v/>
      </c>
      <c r="QZ12" s="185" t="str">
        <f t="shared" si="102"/>
        <v/>
      </c>
      <c r="RA12" s="184" t="str">
        <f>IF(COUNT(QN12,QS12,QY12)=0,"",SUM(QN12,QS12,QY12)/COUNT(QN12,QS12,QY12))</f>
        <v/>
      </c>
      <c r="RB12" s="207" t="str">
        <f t="shared" si="103"/>
        <v/>
      </c>
      <c r="RC12" s="129"/>
      <c r="RD12" s="130"/>
      <c r="RE12" s="131"/>
      <c r="RF12" s="184" t="str">
        <f>IFERROR((((COUNTIF('Elève (5ème4)'!RC12:RE12,"A"))*4)+((COUNTIF('Elève (5ème4)'!RC12:RE12,"B"))*3)+((COUNTIF('Elève (5ème4)'!RC12:RE12,"C"))*2)+((COUNTIF('Elève (5ème4)'!RC12:RE12,"D"))*1))/(COUNTA(RC12:RE12)),"")</f>
        <v/>
      </c>
      <c r="RG12" s="185" t="str">
        <f t="shared" si="104"/>
        <v/>
      </c>
      <c r="RH12" s="129"/>
      <c r="RI12" s="130"/>
      <c r="RJ12" s="131"/>
      <c r="RK12" s="184" t="str">
        <f>IFERROR((((COUNTIF('Elève (5ème4)'!RH12:RJ12,"A"))*4)+((COUNTIF('Elève (5ème4)'!RH12:RJ12,"B"))*3)+((COUNTIF('Elève (5ème4)'!RH12:RJ12,"C"))*2)+((COUNTIF('Elève (5ème4)'!RH12:RJ12,"D"))*1))/(COUNTA(RH12:RJ12)),"")</f>
        <v/>
      </c>
      <c r="RL12" s="185" t="str">
        <f t="shared" si="105"/>
        <v/>
      </c>
      <c r="RM12" s="129"/>
      <c r="RN12" s="130"/>
      <c r="RO12" s="131"/>
      <c r="RP12" s="135"/>
      <c r="RQ12" s="184" t="str">
        <f>IFERROR((((COUNTIF('Elève (5ème4)'!RM12:RP12,"A"))*4)+((COUNTIF('Elève (5ème4)'!RM12:RP12,"B"))*3)+((COUNTIF('Elève (5ème4)'!RM12:RP12,"C"))*2)+((COUNTIF('Elève (5ème4)'!RM12:RP12,"D"))*1))/(COUNTA(RM12:RP12)),"")</f>
        <v/>
      </c>
      <c r="RR12" s="185" t="str">
        <f t="shared" si="106"/>
        <v/>
      </c>
      <c r="RS12" s="184" t="str">
        <f>IF(COUNT(RF12,RK12,RQ12)=0,"",SUM(RF12,RK12,RQ12)/COUNT(RF12,RK12,RQ12))</f>
        <v/>
      </c>
      <c r="RT12" s="207" t="str">
        <f t="shared" si="107"/>
        <v/>
      </c>
      <c r="RU12" s="129"/>
      <c r="RV12" s="130"/>
      <c r="RW12" s="131"/>
      <c r="RX12" s="184" t="str">
        <f>IFERROR((((COUNTIF('Elève (5ème4)'!RU12:RW12,"A"))*4)+((COUNTIF('Elève (5ème4)'!RU12:RW12,"B"))*3)+((COUNTIF('Elève (5ème4)'!RU12:RW12,"C"))*2)+((COUNTIF('Elève (5ème4)'!RU12:RW12,"D"))*1))/(COUNTA(RU12:RW12)),"")</f>
        <v/>
      </c>
      <c r="RY12" s="185" t="str">
        <f t="shared" si="108"/>
        <v/>
      </c>
      <c r="RZ12" s="129"/>
      <c r="SA12" s="130"/>
      <c r="SB12" s="131"/>
      <c r="SC12" s="184" t="str">
        <f>IFERROR((((COUNTIF('Elève (5ème4)'!RZ12:SB12,"A"))*4)+((COUNTIF('Elève (5ème4)'!RZ12:SB12,"B"))*3)+((COUNTIF('Elève (5ème4)'!RZ12:SB12,"C"))*2)+((COUNTIF('Elève (5ème4)'!RZ12:SB12,"D"))*1))/(COUNTA(RZ12:SB12)),"")</f>
        <v/>
      </c>
      <c r="SD12" s="185" t="str">
        <f t="shared" si="109"/>
        <v/>
      </c>
      <c r="SE12" s="129"/>
      <c r="SF12" s="130"/>
      <c r="SG12" s="131"/>
      <c r="SH12" s="135"/>
      <c r="SI12" s="184" t="str">
        <f>IFERROR((((COUNTIF('Elève (5ème4)'!SE12:SH12,"A"))*4)+((COUNTIF('Elève (5ème4)'!SE12:SH12,"B"))*3)+((COUNTIF('Elève (5ème4)'!SE12:SH12,"C"))*2)+((COUNTIF('Elève (5ème4)'!SE12:SH12,"D"))*1))/(COUNTA(SE12:SH12)),"")</f>
        <v/>
      </c>
      <c r="SJ12" s="185" t="str">
        <f t="shared" si="110"/>
        <v/>
      </c>
      <c r="SK12" s="184" t="str">
        <f>IF(COUNT(RX12,SC12,SI12)=0,"",SUM(RX12,SC12,SI12)/COUNT(RX12,SC12,SI12))</f>
        <v/>
      </c>
      <c r="SL12" s="207" t="str">
        <f t="shared" si="111"/>
        <v/>
      </c>
      <c r="SM12" s="129"/>
      <c r="SN12" s="130"/>
      <c r="SO12" s="131"/>
      <c r="SP12" s="132" t="str">
        <f>IFERROR((((COUNTIF('Elève (5ème4)'!SM12:SO12,"A"))*4)+((COUNTIF('Elève (5ème4)'!SM12:SO12,"B"))*3)+((COUNTIF('Elève (5ème4)'!SM12:SO12,"C"))*2)+((COUNTIF('Elève (5ème4)'!SM12:SO12,"D"))*1))/(COUNTA(SM12:SO12)),"")</f>
        <v/>
      </c>
      <c r="SQ12" s="133" t="str">
        <f t="shared" si="112"/>
        <v/>
      </c>
      <c r="SR12" s="129"/>
      <c r="SS12" s="130"/>
      <c r="ST12" s="131"/>
      <c r="SU12" s="132" t="str">
        <f>IFERROR((((COUNTIF('Elève (5ème4)'!SR12:ST12,"A"))*4)+((COUNTIF('Elève (5ème4)'!SR12:ST12,"B"))*3)+((COUNTIF('Elève (5ème4)'!SR12:ST12,"C"))*2)+((COUNTIF('Elève (5ème4)'!SR12:ST12,"D"))*1))/(COUNTA(SR12:ST12)),"")</f>
        <v/>
      </c>
      <c r="SV12" s="133" t="str">
        <f t="shared" si="113"/>
        <v/>
      </c>
      <c r="SW12" s="129"/>
      <c r="SX12" s="130"/>
      <c r="SY12" s="135"/>
      <c r="SZ12" s="132" t="str">
        <f>IFERROR((((COUNTIF('Elève (5ème4)'!SW12:SY12,"A"))*4)+((COUNTIF('Elève (5ème4)'!SW12:SY12,"B"))*3)+((COUNTIF('Elève (5ème4)'!SW12:SY12,"C"))*2)+((COUNTIF('Elève (5ème4)'!SW12:SY12,"D"))*1))/(COUNTA(SW12:SY12)),"")</f>
        <v/>
      </c>
      <c r="TA12" s="133" t="str">
        <f t="shared" si="114"/>
        <v/>
      </c>
      <c r="TB12" s="132" t="str">
        <f>IF(COUNT(SP12,SU12,SZ12)=0,"",SUM(SP12,SU12,SZ12)/COUNT(SP12,SU12,SZ12))</f>
        <v/>
      </c>
      <c r="TC12" s="134" t="str">
        <f t="shared" si="115"/>
        <v/>
      </c>
      <c r="TD12" s="129"/>
      <c r="TE12" s="130"/>
      <c r="TF12" s="131"/>
      <c r="TG12" s="132" t="str">
        <f>IFERROR((((COUNTIF('Elève (5ème4)'!TD12:TF12,"A"))*4)+((COUNTIF('Elève (5ème4)'!TD12:TF12,"B"))*3)+((COUNTIF('Elève (5ème4)'!TD12:TF12,"C"))*2)+((COUNTIF('Elève (5ème4)'!TD12:TF12,"D"))*1))/(COUNTA(TD12:TF12)),"")</f>
        <v/>
      </c>
      <c r="TH12" s="133" t="str">
        <f t="shared" si="116"/>
        <v/>
      </c>
      <c r="TI12" s="129"/>
      <c r="TJ12" s="130"/>
      <c r="TK12" s="131"/>
      <c r="TL12" s="132" t="str">
        <f>IFERROR((((COUNTIF('Elève (5ème4)'!TI12:TK12,"A"))*4)+((COUNTIF('Elève (5ème4)'!TI12:TK12,"B"))*3)+((COUNTIF('Elève (5ème4)'!TI12:TK12,"C"))*2)+((COUNTIF('Elève (5ème4)'!TI12:TK12,"D"))*1))/(COUNTA(TI12:TK12)),"")</f>
        <v/>
      </c>
      <c r="TM12" s="133" t="str">
        <f t="shared" si="117"/>
        <v/>
      </c>
      <c r="TN12" s="129"/>
      <c r="TO12" s="130"/>
      <c r="TP12" s="135"/>
      <c r="TQ12" s="132" t="str">
        <f>IFERROR((((COUNTIF('Elève (5ème4)'!TN12:TP12,"A"))*4)+((COUNTIF('Elève (5ème4)'!TN12:TP12,"B"))*3)+((COUNTIF('Elève (5ème4)'!TN12:TP12,"C"))*2)+((COUNTIF('Elève (5ème4)'!TN12:TP12,"D"))*1))/(COUNTA(TN12:TP12)),"")</f>
        <v/>
      </c>
      <c r="TR12" s="133" t="str">
        <f t="shared" si="118"/>
        <v/>
      </c>
      <c r="TS12" s="132" t="str">
        <f>IF(COUNT(TG12,TL12,TQ12)=0,"",SUM(TG12,TL12,TQ12)/COUNT(TG12,TL12,TQ12))</f>
        <v/>
      </c>
      <c r="TT12" s="134" t="str">
        <f t="shared" si="119"/>
        <v/>
      </c>
    </row>
    <row r="13" spans="1:540" s="114" customFormat="1" ht="16.5" customHeight="1" thickBot="1" x14ac:dyDescent="0.3">
      <c r="A13" s="164" t="s">
        <v>18</v>
      </c>
      <c r="B13" s="139">
        <v>1</v>
      </c>
      <c r="C13" s="171"/>
      <c r="D13" s="84"/>
      <c r="E13" s="104"/>
      <c r="F13" s="178">
        <f>IF(COUNT(F14:F15)=0,"",SUM(F14:F15)/COUNT(F14:F15))</f>
        <v>3</v>
      </c>
      <c r="G13" s="179" t="str">
        <f t="shared" si="0"/>
        <v>B</v>
      </c>
      <c r="H13" s="171"/>
      <c r="I13" s="84"/>
      <c r="J13" s="84"/>
      <c r="K13" s="178">
        <f>IF(COUNT(K14,K15)=0,"",SUM(K14:K15)/COUNT(K14,K15))</f>
        <v>4</v>
      </c>
      <c r="L13" s="194" t="str">
        <f t="shared" si="1"/>
        <v>A</v>
      </c>
      <c r="M13" s="172"/>
      <c r="N13" s="109"/>
      <c r="O13" s="109"/>
      <c r="P13" s="110"/>
      <c r="Q13" s="178">
        <f>IF(COUNT(Q14,Q15)=0,"",SUM(Q14:Q15)/COUNT(Q14,Q15))</f>
        <v>3</v>
      </c>
      <c r="R13" s="202" t="str">
        <f t="shared" si="2"/>
        <v>B</v>
      </c>
      <c r="S13" s="203">
        <f>IF(COUNT(S14:S15)=0,"",SUM(S14:S15)/COUNT(S14:S15))</f>
        <v>3.25</v>
      </c>
      <c r="T13" s="204" t="str">
        <f t="shared" si="3"/>
        <v>B</v>
      </c>
      <c r="U13" s="215"/>
      <c r="V13" s="84"/>
      <c r="W13" s="104"/>
      <c r="X13" s="178">
        <f>IF(COUNT(X14:X15)=0,"",SUM(X14:X15)/COUNT(X14:X15))</f>
        <v>4</v>
      </c>
      <c r="Y13" s="179" t="str">
        <f t="shared" si="4"/>
        <v>A</v>
      </c>
      <c r="Z13" s="171"/>
      <c r="AA13" s="84"/>
      <c r="AB13" s="84"/>
      <c r="AC13" s="178">
        <f>IF(COUNT(AC14,AC15)=0,"",SUM(AC14:AC15)/COUNT(AC14,AC15))</f>
        <v>4</v>
      </c>
      <c r="AD13" s="194" t="str">
        <f t="shared" si="5"/>
        <v>A</v>
      </c>
      <c r="AE13" s="172"/>
      <c r="AF13" s="109"/>
      <c r="AG13" s="109"/>
      <c r="AH13" s="110"/>
      <c r="AI13" s="178">
        <f>IF(COUNT(AI14,AI15)=0,"",SUM(AI14:AI15)/COUNT(AI14,AI15))</f>
        <v>2</v>
      </c>
      <c r="AJ13" s="202" t="str">
        <f t="shared" si="6"/>
        <v>C</v>
      </c>
      <c r="AK13" s="203">
        <f>IF(COUNT(AK14:AK15)=0,"",SUM(AK14:AK15)/COUNT(AK14:AK15))</f>
        <v>3.5</v>
      </c>
      <c r="AL13" s="204" t="str">
        <f t="shared" si="7"/>
        <v>B</v>
      </c>
      <c r="AM13" s="215"/>
      <c r="AN13" s="84"/>
      <c r="AO13" s="104"/>
      <c r="AP13" s="178">
        <f>IF(COUNT(AP14:AP15)=0,"",SUM(AP14:AP15)/COUNT(AP14:AP15))</f>
        <v>4</v>
      </c>
      <c r="AQ13" s="179" t="str">
        <f t="shared" si="8"/>
        <v>A</v>
      </c>
      <c r="AR13" s="171"/>
      <c r="AS13" s="84"/>
      <c r="AT13" s="84"/>
      <c r="AU13" s="178">
        <f>IF(COUNT(AU14,AU15)=0,"",SUM(AU14:AU15)/COUNT(AU14,AU15))</f>
        <v>4</v>
      </c>
      <c r="AV13" s="194" t="str">
        <f t="shared" si="9"/>
        <v>A</v>
      </c>
      <c r="AW13" s="172"/>
      <c r="AX13" s="109"/>
      <c r="AY13" s="109"/>
      <c r="AZ13" s="110"/>
      <c r="BA13" s="178">
        <f>IF(COUNT(BA14,BA15)=0,"",SUM(BA14:BA15)/COUNT(BA14,BA15))</f>
        <v>2</v>
      </c>
      <c r="BB13" s="202" t="str">
        <f t="shared" si="10"/>
        <v>C</v>
      </c>
      <c r="BC13" s="203">
        <f>IF(COUNT(BC14:BC15)=0,"",SUM(BC14:BC15)/COUNT(BC14:BC15))</f>
        <v>3.5</v>
      </c>
      <c r="BD13" s="204" t="str">
        <f t="shared" si="11"/>
        <v>B</v>
      </c>
      <c r="BE13" s="215"/>
      <c r="BF13" s="84"/>
      <c r="BG13" s="104"/>
      <c r="BH13" s="178">
        <f>IF(COUNT(BH14:BH15)=0,"",SUM(BH14:BH15)/COUNT(BH14:BH15))</f>
        <v>2</v>
      </c>
      <c r="BI13" s="179" t="str">
        <f t="shared" si="12"/>
        <v>C</v>
      </c>
      <c r="BJ13" s="171"/>
      <c r="BK13" s="84"/>
      <c r="BL13" s="84"/>
      <c r="BM13" s="178">
        <f>IF(COUNT(BM14,BM15)=0,"",SUM(BM14:BM15)/COUNT(BM14,BM15))</f>
        <v>4</v>
      </c>
      <c r="BN13" s="194" t="str">
        <f t="shared" si="13"/>
        <v>A</v>
      </c>
      <c r="BO13" s="172"/>
      <c r="BP13" s="109"/>
      <c r="BQ13" s="109"/>
      <c r="BR13" s="110"/>
      <c r="BS13" s="178">
        <f>IF(COUNT(BS14,BS15)=0,"",SUM(BS14:BS15)/COUNT(BS14,BS15))</f>
        <v>2</v>
      </c>
      <c r="BT13" s="202" t="str">
        <f t="shared" si="14"/>
        <v>C</v>
      </c>
      <c r="BU13" s="203">
        <f>IF(COUNT(BU14:BU15)=0,"",SUM(BU14:BU15)/COUNT(BU14:BU15))</f>
        <v>2.5</v>
      </c>
      <c r="BV13" s="204" t="str">
        <f t="shared" si="15"/>
        <v>C</v>
      </c>
      <c r="BW13" s="215"/>
      <c r="BX13" s="84"/>
      <c r="BY13" s="104"/>
      <c r="BZ13" s="178">
        <f>IF(COUNT(BZ14:BZ15)=0,"",SUM(BZ14:BZ15)/COUNT(BZ14:BZ15))</f>
        <v>4</v>
      </c>
      <c r="CA13" s="179" t="str">
        <f t="shared" si="16"/>
        <v>A</v>
      </c>
      <c r="CB13" s="171"/>
      <c r="CC13" s="84"/>
      <c r="CD13" s="84"/>
      <c r="CE13" s="178">
        <f>IF(COUNT(CE14,CE15)=0,"",SUM(CE14:CE15)/COUNT(CE14,CE15))</f>
        <v>4</v>
      </c>
      <c r="CF13" s="194" t="str">
        <f t="shared" si="17"/>
        <v>A</v>
      </c>
      <c r="CG13" s="172"/>
      <c r="CH13" s="109"/>
      <c r="CI13" s="109"/>
      <c r="CJ13" s="110"/>
      <c r="CK13" s="178">
        <f>IF(COUNT(CK14,CK15)=0,"",SUM(CK14:CK15)/COUNT(CK14,CK15))</f>
        <v>2</v>
      </c>
      <c r="CL13" s="202" t="str">
        <f t="shared" si="18"/>
        <v>C</v>
      </c>
      <c r="CM13" s="203">
        <f>IF(COUNT(CM14:CM15)=0,"",SUM(CM14:CM15)/COUNT(CM14:CM15))</f>
        <v>3.5</v>
      </c>
      <c r="CN13" s="204" t="str">
        <f t="shared" si="19"/>
        <v>B</v>
      </c>
      <c r="CO13" s="215"/>
      <c r="CP13" s="84"/>
      <c r="CQ13" s="104"/>
      <c r="CR13" s="178">
        <f>IF(COUNT(CR14:CR15)=0,"",SUM(CR14:CR15)/COUNT(CR14:CR15))</f>
        <v>4</v>
      </c>
      <c r="CS13" s="179" t="str">
        <f t="shared" si="20"/>
        <v>A</v>
      </c>
      <c r="CT13" s="171"/>
      <c r="CU13" s="84"/>
      <c r="CV13" s="84"/>
      <c r="CW13" s="178">
        <f>IF(COUNT(CW14,CW15)=0,"",SUM(CW14:CW15)/COUNT(CW14,CW15))</f>
        <v>3</v>
      </c>
      <c r="CX13" s="194" t="str">
        <f t="shared" si="21"/>
        <v>B</v>
      </c>
      <c r="CY13" s="172"/>
      <c r="CZ13" s="109"/>
      <c r="DA13" s="109"/>
      <c r="DB13" s="110"/>
      <c r="DC13" s="178">
        <f>IF(COUNT(DC14,DC15)=0,"",SUM(DC14:DC15)/COUNT(DC14,DC15))</f>
        <v>2</v>
      </c>
      <c r="DD13" s="202" t="str">
        <f t="shared" si="22"/>
        <v>C</v>
      </c>
      <c r="DE13" s="203">
        <f>IF(COUNT(DE14:DE15)=0,"",SUM(DE14:DE15)/COUNT(DE14:DE15))</f>
        <v>3.25</v>
      </c>
      <c r="DF13" s="204" t="str">
        <f t="shared" si="23"/>
        <v>B</v>
      </c>
      <c r="DG13" s="215"/>
      <c r="DH13" s="84"/>
      <c r="DI13" s="104"/>
      <c r="DJ13" s="178">
        <f>IF(COUNT(DJ14:DJ15)=0,"",SUM(DJ14:DJ15)/COUNT(DJ14:DJ15))</f>
        <v>4</v>
      </c>
      <c r="DK13" s="179" t="str">
        <f t="shared" si="24"/>
        <v>A</v>
      </c>
      <c r="DL13" s="171"/>
      <c r="DM13" s="84"/>
      <c r="DN13" s="84"/>
      <c r="DO13" s="178">
        <f>IF(COUNT(DO14,DO15)=0,"",SUM(DO14:DO15)/COUNT(DO14,DO15))</f>
        <v>4</v>
      </c>
      <c r="DP13" s="194" t="str">
        <f t="shared" si="25"/>
        <v>A</v>
      </c>
      <c r="DQ13" s="172"/>
      <c r="DR13" s="109"/>
      <c r="DS13" s="109"/>
      <c r="DT13" s="110"/>
      <c r="DU13" s="178">
        <f>IF(COUNT(DU14,DU15)=0,"",SUM(DU14:DU15)/COUNT(DU14,DU15))</f>
        <v>2</v>
      </c>
      <c r="DV13" s="202" t="str">
        <f t="shared" si="26"/>
        <v>C</v>
      </c>
      <c r="DW13" s="203">
        <f>IF(COUNT(DW14:DW15)=0,"",SUM(DW14:DW15)/COUNT(DW14:DW15))</f>
        <v>3.5</v>
      </c>
      <c r="DX13" s="204" t="str">
        <f t="shared" si="27"/>
        <v>B</v>
      </c>
      <c r="DY13" s="215"/>
      <c r="DZ13" s="84"/>
      <c r="EA13" s="104"/>
      <c r="EB13" s="178">
        <f>IF(COUNT(EB14:EB15)=0,"",SUM(EB14:EB15)/COUNT(EB14:EB15))</f>
        <v>4</v>
      </c>
      <c r="EC13" s="179" t="str">
        <f t="shared" si="28"/>
        <v>A</v>
      </c>
      <c r="ED13" s="171"/>
      <c r="EE13" s="84"/>
      <c r="EF13" s="84"/>
      <c r="EG13" s="178">
        <f>IF(COUNT(EG14,EG15)=0,"",SUM(EG14:EG15)/COUNT(EG14,EG15))</f>
        <v>3</v>
      </c>
      <c r="EH13" s="194" t="str">
        <f t="shared" si="29"/>
        <v>B</v>
      </c>
      <c r="EI13" s="172"/>
      <c r="EJ13" s="109"/>
      <c r="EK13" s="109"/>
      <c r="EL13" s="110"/>
      <c r="EM13" s="178">
        <f>IF(COUNT(EM14,EM15)=0,"",SUM(EM14:EM15)/COUNT(EM14,EM15))</f>
        <v>2</v>
      </c>
      <c r="EN13" s="202" t="str">
        <f t="shared" si="30"/>
        <v>C</v>
      </c>
      <c r="EO13" s="203">
        <f>IF(COUNT(EO14:EO15)=0,"",SUM(EO14:EO15)/COUNT(EO14:EO15))</f>
        <v>3.25</v>
      </c>
      <c r="EP13" s="204" t="str">
        <f t="shared" si="31"/>
        <v>B</v>
      </c>
      <c r="EQ13" s="215"/>
      <c r="ER13" s="84"/>
      <c r="ES13" s="104"/>
      <c r="ET13" s="178">
        <f>IF(COUNT(ET14:ET15)=0,"",SUM(ET14:ET15)/COUNT(ET14:ET15))</f>
        <v>4</v>
      </c>
      <c r="EU13" s="179" t="str">
        <f t="shared" si="32"/>
        <v>A</v>
      </c>
      <c r="EV13" s="171"/>
      <c r="EW13" s="84"/>
      <c r="EX13" s="84"/>
      <c r="EY13" s="178">
        <f>IF(COUNT(EY14,EY15)=0,"",SUM(EY14:EY15)/COUNT(EY14,EY15))</f>
        <v>4</v>
      </c>
      <c r="EZ13" s="194" t="str">
        <f t="shared" si="33"/>
        <v>A</v>
      </c>
      <c r="FA13" s="172"/>
      <c r="FB13" s="109"/>
      <c r="FC13" s="109"/>
      <c r="FD13" s="110"/>
      <c r="FE13" s="178">
        <f>IF(COUNT(FE14,FE15)=0,"",SUM(FE14:FE15)/COUNT(FE14,FE15))</f>
        <v>2</v>
      </c>
      <c r="FF13" s="202" t="str">
        <f t="shared" si="34"/>
        <v>C</v>
      </c>
      <c r="FG13" s="203">
        <f>IF(COUNT(FG14:FG15)=0,"",SUM(FG14:FG15)/COUNT(FG14:FG15))</f>
        <v>3.5</v>
      </c>
      <c r="FH13" s="204" t="str">
        <f t="shared" si="35"/>
        <v>B</v>
      </c>
      <c r="FI13" s="215"/>
      <c r="FJ13" s="84"/>
      <c r="FK13" s="104"/>
      <c r="FL13" s="178">
        <f>IF(COUNT(FL14:FL15)=0,"",SUM(FL14:FL15)/COUNT(FL14:FL15))</f>
        <v>4</v>
      </c>
      <c r="FM13" s="179" t="str">
        <f t="shared" si="36"/>
        <v>A</v>
      </c>
      <c r="FN13" s="171"/>
      <c r="FO13" s="84"/>
      <c r="FP13" s="84"/>
      <c r="FQ13" s="178">
        <f>IF(COUNT(FQ14,FQ15)=0,"",SUM(FQ14:FQ15)/COUNT(FQ14,FQ15))</f>
        <v>4</v>
      </c>
      <c r="FR13" s="194" t="str">
        <f t="shared" si="37"/>
        <v>A</v>
      </c>
      <c r="FS13" s="172"/>
      <c r="FT13" s="109"/>
      <c r="FU13" s="109"/>
      <c r="FV13" s="110"/>
      <c r="FW13" s="178">
        <f>IF(COUNT(FW14,FW15)=0,"",SUM(FW14:FW15)/COUNT(FW14,FW15))</f>
        <v>2</v>
      </c>
      <c r="FX13" s="202" t="str">
        <f t="shared" si="38"/>
        <v>C</v>
      </c>
      <c r="FY13" s="203">
        <f>IF(COUNT(FY14:FY15)=0,"",SUM(FY14:FY15)/COUNT(FY14:FY15))</f>
        <v>3.5</v>
      </c>
      <c r="FZ13" s="204" t="str">
        <f t="shared" si="39"/>
        <v>B</v>
      </c>
      <c r="GA13" s="215"/>
      <c r="GB13" s="84"/>
      <c r="GC13" s="104"/>
      <c r="GD13" s="178">
        <f>IF(COUNT(GD14:GD15)=0,"",SUM(GD14:GD15)/COUNT(GD14:GD15))</f>
        <v>4</v>
      </c>
      <c r="GE13" s="179" t="str">
        <f t="shared" si="40"/>
        <v>A</v>
      </c>
      <c r="GF13" s="171"/>
      <c r="GG13" s="84"/>
      <c r="GH13" s="84"/>
      <c r="GI13" s="178">
        <f>IF(COUNT(GI14,GI15)=0,"",SUM(GI14:GI15)/COUNT(GI14,GI15))</f>
        <v>4</v>
      </c>
      <c r="GJ13" s="194" t="str">
        <f t="shared" si="41"/>
        <v>A</v>
      </c>
      <c r="GK13" s="172"/>
      <c r="GL13" s="109"/>
      <c r="GM13" s="109"/>
      <c r="GN13" s="110"/>
      <c r="GO13" s="178">
        <f>IF(COUNT(GO14,GO15)=0,"",SUM(GO14:GO15)/COUNT(GO14,GO15))</f>
        <v>2</v>
      </c>
      <c r="GP13" s="202" t="str">
        <f t="shared" si="42"/>
        <v>C</v>
      </c>
      <c r="GQ13" s="203">
        <f>IF(COUNT(GQ14:GQ15)=0,"",SUM(GQ14:GQ15)/COUNT(GQ14:GQ15))</f>
        <v>3.5</v>
      </c>
      <c r="GR13" s="204" t="str">
        <f t="shared" si="43"/>
        <v>B</v>
      </c>
      <c r="GS13" s="215"/>
      <c r="GT13" s="84"/>
      <c r="GU13" s="104"/>
      <c r="GV13" s="178">
        <f>IF(COUNT(GV14:GV15)=0,"",SUM(GV14:GV15)/COUNT(GV14:GV15))</f>
        <v>4</v>
      </c>
      <c r="GW13" s="179" t="str">
        <f t="shared" si="44"/>
        <v>A</v>
      </c>
      <c r="GX13" s="171"/>
      <c r="GY13" s="84"/>
      <c r="GZ13" s="84"/>
      <c r="HA13" s="178">
        <f>IF(COUNT(HA14,HA15)=0,"",SUM(HA14:HA15)/COUNT(HA14,HA15))</f>
        <v>3</v>
      </c>
      <c r="HB13" s="194" t="str">
        <f t="shared" si="45"/>
        <v>B</v>
      </c>
      <c r="HC13" s="172"/>
      <c r="HD13" s="109"/>
      <c r="HE13" s="109"/>
      <c r="HF13" s="110"/>
      <c r="HG13" s="178">
        <f>IF(COUNT(HG14,HG15)=0,"",SUM(HG14:HG15)/COUNT(HG14,HG15))</f>
        <v>2</v>
      </c>
      <c r="HH13" s="202" t="str">
        <f t="shared" si="46"/>
        <v>C</v>
      </c>
      <c r="HI13" s="203">
        <f>IF(COUNT(HI14:HI15)=0,"",SUM(HI14:HI15)/COUNT(HI14:HI15))</f>
        <v>3.25</v>
      </c>
      <c r="HJ13" s="204" t="str">
        <f t="shared" si="47"/>
        <v>B</v>
      </c>
      <c r="HK13" s="215"/>
      <c r="HL13" s="84"/>
      <c r="HM13" s="104"/>
      <c r="HN13" s="178">
        <f>IF(COUNT(HN14:HN15)=0,"",SUM(HN14:HN15)/COUNT(HN14:HN15))</f>
        <v>4</v>
      </c>
      <c r="HO13" s="179" t="str">
        <f t="shared" si="48"/>
        <v>A</v>
      </c>
      <c r="HP13" s="171"/>
      <c r="HQ13" s="84"/>
      <c r="HR13" s="84"/>
      <c r="HS13" s="178">
        <f>IF(COUNT(HS14,HS15)=0,"",SUM(HS14:HS15)/COUNT(HS14,HS15))</f>
        <v>4</v>
      </c>
      <c r="HT13" s="194" t="str">
        <f t="shared" si="49"/>
        <v>A</v>
      </c>
      <c r="HU13" s="172"/>
      <c r="HV13" s="109"/>
      <c r="HW13" s="109"/>
      <c r="HX13" s="110"/>
      <c r="HY13" s="178">
        <f>IF(COUNT(HY14,HY15)=0,"",SUM(HY14:HY15)/COUNT(HY14,HY15))</f>
        <v>2</v>
      </c>
      <c r="HZ13" s="202" t="str">
        <f t="shared" si="50"/>
        <v>C</v>
      </c>
      <c r="IA13" s="203">
        <f>IF(COUNT(IA14:IA15)=0,"",SUM(IA14:IA15)/COUNT(IA14:IA15))</f>
        <v>3.5</v>
      </c>
      <c r="IB13" s="204" t="str">
        <f t="shared" si="51"/>
        <v>B</v>
      </c>
      <c r="IC13" s="215"/>
      <c r="ID13" s="84"/>
      <c r="IE13" s="104"/>
      <c r="IF13" s="178">
        <f>IF(COUNT(IF14:IF15)=0,"",SUM(IF14:IF15)/COUNT(IF14:IF15))</f>
        <v>4</v>
      </c>
      <c r="IG13" s="179" t="str">
        <f t="shared" si="52"/>
        <v>A</v>
      </c>
      <c r="IH13" s="171"/>
      <c r="II13" s="84"/>
      <c r="IJ13" s="84"/>
      <c r="IK13" s="178">
        <f>IF(COUNT(IK14,IK15)=0,"",SUM(IK14:IK15)/COUNT(IK14,IK15))</f>
        <v>4</v>
      </c>
      <c r="IL13" s="194" t="str">
        <f t="shared" si="53"/>
        <v>A</v>
      </c>
      <c r="IM13" s="172"/>
      <c r="IN13" s="109"/>
      <c r="IO13" s="109"/>
      <c r="IP13" s="110"/>
      <c r="IQ13" s="178">
        <f>IF(COUNT(IQ14,IQ15)=0,"",SUM(IQ14:IQ15)/COUNT(IQ14,IQ15))</f>
        <v>2</v>
      </c>
      <c r="IR13" s="202" t="str">
        <f t="shared" si="54"/>
        <v>C</v>
      </c>
      <c r="IS13" s="203">
        <f>IF(COUNT(IS14:IS15)=0,"",SUM(IS14:IS15)/COUNT(IS14:IS15))</f>
        <v>3.5</v>
      </c>
      <c r="IT13" s="204" t="str">
        <f t="shared" si="55"/>
        <v>B</v>
      </c>
      <c r="IU13" s="215"/>
      <c r="IV13" s="84"/>
      <c r="IW13" s="104"/>
      <c r="IX13" s="178">
        <f>IF(COUNT(IX14:IX15)=0,"",SUM(IX14:IX15)/COUNT(IX14:IX15))</f>
        <v>4</v>
      </c>
      <c r="IY13" s="179" t="str">
        <f t="shared" si="56"/>
        <v>A</v>
      </c>
      <c r="IZ13" s="171"/>
      <c r="JA13" s="84"/>
      <c r="JB13" s="84"/>
      <c r="JC13" s="178">
        <f>IF(COUNT(JC14,JC15)=0,"",SUM(JC14:JC15)/COUNT(JC14,JC15))</f>
        <v>4</v>
      </c>
      <c r="JD13" s="194" t="str">
        <f t="shared" si="57"/>
        <v>A</v>
      </c>
      <c r="JE13" s="172"/>
      <c r="JF13" s="109"/>
      <c r="JG13" s="109"/>
      <c r="JH13" s="110"/>
      <c r="JI13" s="178">
        <f>IF(COUNT(JI14,JI15)=0,"",SUM(JI14:JI15)/COUNT(JI14,JI15))</f>
        <v>2</v>
      </c>
      <c r="JJ13" s="202" t="str">
        <f t="shared" si="58"/>
        <v>C</v>
      </c>
      <c r="JK13" s="203">
        <f>IF(COUNT(JK14:JK15)=0,"",SUM(JK14:JK15)/COUNT(JK14:JK15))</f>
        <v>3.5</v>
      </c>
      <c r="JL13" s="204" t="str">
        <f t="shared" si="59"/>
        <v>B</v>
      </c>
      <c r="JM13" s="215"/>
      <c r="JN13" s="84"/>
      <c r="JO13" s="104"/>
      <c r="JP13" s="178">
        <f>IF(COUNT(JP14:JP15)=0,"",SUM(JP14:JP15)/COUNT(JP14:JP15))</f>
        <v>4</v>
      </c>
      <c r="JQ13" s="179" t="str">
        <f t="shared" si="60"/>
        <v>A</v>
      </c>
      <c r="JR13" s="171"/>
      <c r="JS13" s="84"/>
      <c r="JT13" s="84"/>
      <c r="JU13" s="178">
        <f>IF(COUNT(JU14,JU15)=0,"",SUM(JU14:JU15)/COUNT(JU14,JU15))</f>
        <v>3</v>
      </c>
      <c r="JV13" s="194" t="str">
        <f t="shared" si="61"/>
        <v>B</v>
      </c>
      <c r="JW13" s="172"/>
      <c r="JX13" s="109"/>
      <c r="JY13" s="109"/>
      <c r="JZ13" s="110"/>
      <c r="KA13" s="178">
        <f>IF(COUNT(KA14,KA15)=0,"",SUM(KA14:KA15)/COUNT(KA14,KA15))</f>
        <v>2</v>
      </c>
      <c r="KB13" s="202" t="str">
        <f t="shared" si="62"/>
        <v>C</v>
      </c>
      <c r="KC13" s="203">
        <f>IF(COUNT(KC14:KC15)=0,"",SUM(KC14:KC15)/COUNT(KC14:KC15))</f>
        <v>3.25</v>
      </c>
      <c r="KD13" s="204" t="str">
        <f t="shared" si="63"/>
        <v>B</v>
      </c>
      <c r="KE13" s="215"/>
      <c r="KF13" s="84"/>
      <c r="KG13" s="104"/>
      <c r="KH13" s="178">
        <f>IF(COUNT(KH14:KH15)=0,"",SUM(KH14:KH15)/COUNT(KH14:KH15))</f>
        <v>4</v>
      </c>
      <c r="KI13" s="179" t="str">
        <f t="shared" si="64"/>
        <v>A</v>
      </c>
      <c r="KJ13" s="171"/>
      <c r="KK13" s="84"/>
      <c r="KL13" s="84"/>
      <c r="KM13" s="178">
        <f>IF(COUNT(KM14,KM15)=0,"",SUM(KM14:KM15)/COUNT(KM14,KM15))</f>
        <v>4</v>
      </c>
      <c r="KN13" s="194" t="str">
        <f t="shared" si="65"/>
        <v>A</v>
      </c>
      <c r="KO13" s="172"/>
      <c r="KP13" s="109"/>
      <c r="KQ13" s="109"/>
      <c r="KR13" s="110"/>
      <c r="KS13" s="178">
        <f>IF(COUNT(KS14,KS15)=0,"",SUM(KS14:KS15)/COUNT(KS14,KS15))</f>
        <v>2</v>
      </c>
      <c r="KT13" s="202" t="str">
        <f t="shared" si="66"/>
        <v>C</v>
      </c>
      <c r="KU13" s="203">
        <f>IF(COUNT(KU14:KU15)=0,"",SUM(KU14:KU15)/COUNT(KU14:KU15))</f>
        <v>3.5</v>
      </c>
      <c r="KV13" s="204" t="str">
        <f t="shared" si="67"/>
        <v>B</v>
      </c>
      <c r="KW13" s="215"/>
      <c r="KX13" s="84"/>
      <c r="KY13" s="104"/>
      <c r="KZ13" s="178">
        <f>IF(COUNT(KZ14:KZ15)=0,"",SUM(KZ14:KZ15)/COUNT(KZ14:KZ15))</f>
        <v>3</v>
      </c>
      <c r="LA13" s="179" t="str">
        <f t="shared" si="68"/>
        <v>B</v>
      </c>
      <c r="LB13" s="171"/>
      <c r="LC13" s="84"/>
      <c r="LD13" s="84"/>
      <c r="LE13" s="178">
        <f>IF(COUNT(LE14,LE15)=0,"",SUM(LE14:LE15)/COUNT(LE14,LE15))</f>
        <v>3</v>
      </c>
      <c r="LF13" s="194" t="str">
        <f t="shared" si="69"/>
        <v>B</v>
      </c>
      <c r="LG13" s="172"/>
      <c r="LH13" s="109"/>
      <c r="LI13" s="109"/>
      <c r="LJ13" s="110"/>
      <c r="LK13" s="178">
        <f>IF(COUNT(LK14,LK15)=0,"",SUM(LK14:LK15)/COUNT(LK14,LK15))</f>
        <v>2</v>
      </c>
      <c r="LL13" s="202" t="str">
        <f t="shared" si="70"/>
        <v>C</v>
      </c>
      <c r="LM13" s="203">
        <f>IF(COUNT(LM14:LM15)=0,"",SUM(LM14:LM15)/COUNT(LM14:LM15))</f>
        <v>2.75</v>
      </c>
      <c r="LN13" s="204" t="str">
        <f t="shared" si="71"/>
        <v>C</v>
      </c>
      <c r="LO13" s="215"/>
      <c r="LP13" s="84"/>
      <c r="LQ13" s="104"/>
      <c r="LR13" s="178">
        <f>IF(COUNT(LR14:LR15)=0,"",SUM(LR14:LR15)/COUNT(LR14:LR15))</f>
        <v>3</v>
      </c>
      <c r="LS13" s="179" t="str">
        <f t="shared" si="72"/>
        <v>B</v>
      </c>
      <c r="LT13" s="171"/>
      <c r="LU13" s="84"/>
      <c r="LV13" s="84"/>
      <c r="LW13" s="178">
        <f>IF(COUNT(LW14,LW15)=0,"",SUM(LW14:LW15)/COUNT(LW14,LW15))</f>
        <v>4</v>
      </c>
      <c r="LX13" s="194" t="str">
        <f t="shared" si="73"/>
        <v>A</v>
      </c>
      <c r="LY13" s="172"/>
      <c r="LZ13" s="109"/>
      <c r="MA13" s="109"/>
      <c r="MB13" s="110"/>
      <c r="MC13" s="178">
        <f>IF(COUNT(MC14,MC15)=0,"",SUM(MC14:MC15)/COUNT(MC14,MC15))</f>
        <v>2</v>
      </c>
      <c r="MD13" s="202" t="str">
        <f t="shared" si="74"/>
        <v>C</v>
      </c>
      <c r="ME13" s="203">
        <f>IF(COUNT(ME14:ME15)=0,"",SUM(ME14:ME15)/COUNT(ME14:ME15))</f>
        <v>3</v>
      </c>
      <c r="MF13" s="204" t="str">
        <f t="shared" si="75"/>
        <v>B</v>
      </c>
      <c r="MG13" s="215"/>
      <c r="MH13" s="84"/>
      <c r="MI13" s="104"/>
      <c r="MJ13" s="178">
        <f>IF(COUNT(MJ14:MJ15)=0,"",SUM(MJ14:MJ15)/COUNT(MJ14:MJ15))</f>
        <v>4</v>
      </c>
      <c r="MK13" s="179" t="str">
        <f t="shared" si="76"/>
        <v>A</v>
      </c>
      <c r="ML13" s="171"/>
      <c r="MM13" s="84"/>
      <c r="MN13" s="84"/>
      <c r="MO13" s="178">
        <f>IF(COUNT(MO14,MO15)=0,"",SUM(MO14:MO15)/COUNT(MO14,MO15))</f>
        <v>4</v>
      </c>
      <c r="MP13" s="194" t="str">
        <f t="shared" si="77"/>
        <v>A</v>
      </c>
      <c r="MQ13" s="172"/>
      <c r="MR13" s="109"/>
      <c r="MS13" s="109"/>
      <c r="MT13" s="110"/>
      <c r="MU13" s="178">
        <f>IF(COUNT(MU14,MU15)=0,"",SUM(MU14:MU15)/COUNT(MU14,MU15))</f>
        <v>2</v>
      </c>
      <c r="MV13" s="202" t="str">
        <f t="shared" si="78"/>
        <v>C</v>
      </c>
      <c r="MW13" s="203">
        <f>IF(COUNT(MW14:MW15)=0,"",SUM(MW14:MW15)/COUNT(MW14:MW15))</f>
        <v>3.5</v>
      </c>
      <c r="MX13" s="204" t="str">
        <f t="shared" si="79"/>
        <v>B</v>
      </c>
      <c r="MY13" s="215"/>
      <c r="MZ13" s="84"/>
      <c r="NA13" s="104"/>
      <c r="NB13" s="178">
        <f>IF(COUNT(NB14:NB15)=0,"",SUM(NB14:NB15)/COUNT(NB14:NB15))</f>
        <v>4</v>
      </c>
      <c r="NC13" s="179" t="str">
        <f t="shared" si="80"/>
        <v>A</v>
      </c>
      <c r="ND13" s="171"/>
      <c r="NE13" s="84"/>
      <c r="NF13" s="84"/>
      <c r="NG13" s="178">
        <f>IF(COUNT(NG14,NG15)=0,"",SUM(NG14:NG15)/COUNT(NG14,NG15))</f>
        <v>4</v>
      </c>
      <c r="NH13" s="194" t="str">
        <f t="shared" si="81"/>
        <v>A</v>
      </c>
      <c r="NI13" s="172"/>
      <c r="NJ13" s="109"/>
      <c r="NK13" s="109"/>
      <c r="NL13" s="110"/>
      <c r="NM13" s="178">
        <f>IF(COUNT(NM14,NM15)=0,"",SUM(NM14:NM15)/COUNT(NM14,NM15))</f>
        <v>4</v>
      </c>
      <c r="NN13" s="202" t="str">
        <f t="shared" si="82"/>
        <v>A</v>
      </c>
      <c r="NO13" s="203">
        <f>IF(COUNT(NO14:NO15)=0,"",SUM(NO14:NO15)/COUNT(NO14:NO15))</f>
        <v>4</v>
      </c>
      <c r="NP13" s="204" t="str">
        <f t="shared" si="83"/>
        <v>A</v>
      </c>
      <c r="NQ13" s="215"/>
      <c r="NR13" s="84"/>
      <c r="NS13" s="104"/>
      <c r="NT13" s="178">
        <f>IF(COUNT(NT14:NT15)=0,"",SUM(NT14:NT15)/COUNT(NT14:NT15))</f>
        <v>4</v>
      </c>
      <c r="NU13" s="179" t="str">
        <f t="shared" si="84"/>
        <v>A</v>
      </c>
      <c r="NV13" s="171"/>
      <c r="NW13" s="84"/>
      <c r="NX13" s="84"/>
      <c r="NY13" s="178">
        <f>IF(COUNT(NY14,NY15)=0,"",SUM(NY14:NY15)/COUNT(NY14,NY15))</f>
        <v>4</v>
      </c>
      <c r="NZ13" s="194" t="str">
        <f t="shared" si="85"/>
        <v>A</v>
      </c>
      <c r="OA13" s="172"/>
      <c r="OB13" s="109"/>
      <c r="OC13" s="109"/>
      <c r="OD13" s="110"/>
      <c r="OE13" s="178">
        <f>IF(COUNT(OE14,OE15)=0,"",SUM(OE14:OE15)/COUNT(OE14,OE15))</f>
        <v>2</v>
      </c>
      <c r="OF13" s="202" t="str">
        <f t="shared" si="86"/>
        <v>C</v>
      </c>
      <c r="OG13" s="203">
        <f>IF(COUNT(OG14:OG15)=0,"",SUM(OG14:OG15)/COUNT(OG14:OG15))</f>
        <v>3.5</v>
      </c>
      <c r="OH13" s="204" t="str">
        <f t="shared" si="87"/>
        <v>B</v>
      </c>
      <c r="OI13" s="215"/>
      <c r="OJ13" s="84"/>
      <c r="OK13" s="104"/>
      <c r="OL13" s="178">
        <f>IF(COUNT(OL14:OL15)=0,"",SUM(OL14:OL15)/COUNT(OL14:OL15))</f>
        <v>3</v>
      </c>
      <c r="OM13" s="179" t="str">
        <f t="shared" si="88"/>
        <v>B</v>
      </c>
      <c r="ON13" s="171"/>
      <c r="OO13" s="84"/>
      <c r="OP13" s="84"/>
      <c r="OQ13" s="178">
        <f>IF(COUNT(OQ14,OQ15)=0,"",SUM(OQ14:OQ15)/COUNT(OQ14,OQ15))</f>
        <v>4</v>
      </c>
      <c r="OR13" s="194" t="str">
        <f t="shared" si="89"/>
        <v>A</v>
      </c>
      <c r="OS13" s="172"/>
      <c r="OT13" s="109"/>
      <c r="OU13" s="109"/>
      <c r="OV13" s="110"/>
      <c r="OW13" s="178">
        <f>IF(COUNT(OW14,OW15)=0,"",SUM(OW14:OW15)/COUNT(OW14,OW15))</f>
        <v>2</v>
      </c>
      <c r="OX13" s="202" t="str">
        <f t="shared" si="90"/>
        <v>C</v>
      </c>
      <c r="OY13" s="203">
        <f>IF(COUNT(OY14:OY15)=0,"",SUM(OY14:OY15)/COUNT(OY14:OY15))</f>
        <v>3</v>
      </c>
      <c r="OZ13" s="204" t="str">
        <f t="shared" si="91"/>
        <v>B</v>
      </c>
      <c r="PA13" s="215"/>
      <c r="PB13" s="84"/>
      <c r="PC13" s="104"/>
      <c r="PD13" s="178">
        <f>IF(COUNT(PD14:PD15)=0,"",SUM(PD14:PD15)/COUNT(PD14:PD15))</f>
        <v>4</v>
      </c>
      <c r="PE13" s="179" t="str">
        <f t="shared" si="92"/>
        <v>A</v>
      </c>
      <c r="PF13" s="171"/>
      <c r="PG13" s="84"/>
      <c r="PH13" s="84"/>
      <c r="PI13" s="178">
        <f>IF(COUNT(PI14,PI15)=0,"",SUM(PI14:PI15)/COUNT(PI14,PI15))</f>
        <v>3</v>
      </c>
      <c r="PJ13" s="194" t="str">
        <f t="shared" si="93"/>
        <v>B</v>
      </c>
      <c r="PK13" s="172"/>
      <c r="PL13" s="109"/>
      <c r="PM13" s="109"/>
      <c r="PN13" s="110"/>
      <c r="PO13" s="178">
        <f>IF(COUNT(PO14,PO15)=0,"",SUM(PO14:PO15)/COUNT(PO14,PO15))</f>
        <v>2</v>
      </c>
      <c r="PP13" s="202" t="str">
        <f t="shared" si="94"/>
        <v>C</v>
      </c>
      <c r="PQ13" s="203">
        <f>IF(COUNT(PQ14:PQ15)=0,"",SUM(PQ14:PQ15)/COUNT(PQ14:PQ15))</f>
        <v>3.25</v>
      </c>
      <c r="PR13" s="204" t="str">
        <f t="shared" si="95"/>
        <v>B</v>
      </c>
      <c r="PS13" s="215"/>
      <c r="PT13" s="84"/>
      <c r="PU13" s="104"/>
      <c r="PV13" s="178">
        <f>IF(COUNT(PV14:PV15)=0,"",SUM(PV14:PV15)/COUNT(PV14:PV15))</f>
        <v>4</v>
      </c>
      <c r="PW13" s="179" t="str">
        <f t="shared" si="96"/>
        <v>A</v>
      </c>
      <c r="PX13" s="171"/>
      <c r="PY13" s="84"/>
      <c r="PZ13" s="84"/>
      <c r="QA13" s="178">
        <f>IF(COUNT(QA14,QA15)=0,"",SUM(QA14:QA15)/COUNT(QA14,QA15))</f>
        <v>4</v>
      </c>
      <c r="QB13" s="194" t="str">
        <f t="shared" si="97"/>
        <v>A</v>
      </c>
      <c r="QC13" s="172"/>
      <c r="QD13" s="109"/>
      <c r="QE13" s="109"/>
      <c r="QF13" s="110"/>
      <c r="QG13" s="178">
        <f>IF(COUNT(QG14,QG15)=0,"",SUM(QG14:QG15)/COUNT(QG14,QG15))</f>
        <v>3</v>
      </c>
      <c r="QH13" s="202" t="str">
        <f t="shared" si="98"/>
        <v>B</v>
      </c>
      <c r="QI13" s="203">
        <f>IF(COUNT(QI14:QI15)=0,"",SUM(QI14:QI15)/COUNT(QI14:QI15))</f>
        <v>3.75</v>
      </c>
      <c r="QJ13" s="204" t="str">
        <f t="shared" si="99"/>
        <v>A</v>
      </c>
      <c r="QK13" s="215"/>
      <c r="QL13" s="84"/>
      <c r="QM13" s="104"/>
      <c r="QN13" s="178">
        <f>IF(COUNT(QN14:QN15)=0,"",SUM(QN14:QN15)/COUNT(QN14:QN15))</f>
        <v>3</v>
      </c>
      <c r="QO13" s="179" t="str">
        <f t="shared" si="100"/>
        <v>B</v>
      </c>
      <c r="QP13" s="171"/>
      <c r="QQ13" s="84"/>
      <c r="QR13" s="84"/>
      <c r="QS13" s="178">
        <f>IF(COUNT(QS14,QS15)=0,"",SUM(QS14:QS15)/COUNT(QS14,QS15))</f>
        <v>4</v>
      </c>
      <c r="QT13" s="194" t="str">
        <f t="shared" si="101"/>
        <v>A</v>
      </c>
      <c r="QU13" s="172"/>
      <c r="QV13" s="109"/>
      <c r="QW13" s="109"/>
      <c r="QX13" s="110"/>
      <c r="QY13" s="178">
        <f>IF(COUNT(QY14,QY15)=0,"",SUM(QY14:QY15)/COUNT(QY14,QY15))</f>
        <v>2</v>
      </c>
      <c r="QZ13" s="202" t="str">
        <f t="shared" si="102"/>
        <v>C</v>
      </c>
      <c r="RA13" s="203">
        <f>IF(COUNT(RA14:RA15)=0,"",SUM(RA14:RA15)/COUNT(RA14:RA15))</f>
        <v>3</v>
      </c>
      <c r="RB13" s="204" t="str">
        <f t="shared" si="103"/>
        <v>B</v>
      </c>
      <c r="RC13" s="215"/>
      <c r="RD13" s="84"/>
      <c r="RE13" s="104"/>
      <c r="RF13" s="178">
        <f>IF(COUNT(RF14:RF15)=0,"",SUM(RF14:RF15)/COUNT(RF14:RF15))</f>
        <v>4</v>
      </c>
      <c r="RG13" s="179" t="str">
        <f t="shared" si="104"/>
        <v>A</v>
      </c>
      <c r="RH13" s="171"/>
      <c r="RI13" s="84"/>
      <c r="RJ13" s="84"/>
      <c r="RK13" s="178">
        <f>IF(COUNT(RK14,RK15)=0,"",SUM(RK14:RK15)/COUNT(RK14,RK15))</f>
        <v>4</v>
      </c>
      <c r="RL13" s="194" t="str">
        <f t="shared" si="105"/>
        <v>A</v>
      </c>
      <c r="RM13" s="172"/>
      <c r="RN13" s="109"/>
      <c r="RO13" s="109"/>
      <c r="RP13" s="110"/>
      <c r="RQ13" s="178">
        <f>IF(COUNT(RQ14,RQ15)=0,"",SUM(RQ14:RQ15)/COUNT(RQ14,RQ15))</f>
        <v>2</v>
      </c>
      <c r="RR13" s="202" t="str">
        <f t="shared" si="106"/>
        <v>C</v>
      </c>
      <c r="RS13" s="203">
        <f>IF(COUNT(RS14:RS15)=0,"",SUM(RS14:RS15)/COUNT(RS14:RS15))</f>
        <v>3.5</v>
      </c>
      <c r="RT13" s="204" t="str">
        <f t="shared" si="107"/>
        <v>B</v>
      </c>
      <c r="RU13" s="215"/>
      <c r="RV13" s="84"/>
      <c r="RW13" s="104"/>
      <c r="RX13" s="178">
        <f>IF(COUNT(RX14:RX15)=0,"",SUM(RX14:RX15)/COUNT(RX14:RX15))</f>
        <v>4</v>
      </c>
      <c r="RY13" s="179" t="str">
        <f t="shared" si="108"/>
        <v>A</v>
      </c>
      <c r="RZ13" s="171"/>
      <c r="SA13" s="84"/>
      <c r="SB13" s="84"/>
      <c r="SC13" s="178">
        <f>IF(COUNT(SC14,SC15)=0,"",SUM(SC14:SC15)/COUNT(SC14,SC15))</f>
        <v>4</v>
      </c>
      <c r="SD13" s="194" t="str">
        <f t="shared" si="109"/>
        <v>A</v>
      </c>
      <c r="SE13" s="172"/>
      <c r="SF13" s="109"/>
      <c r="SG13" s="109"/>
      <c r="SH13" s="110"/>
      <c r="SI13" s="178">
        <f>IF(COUNT(SI14,SI15)=0,"",SUM(SI14:SI15)/COUNT(SI14,SI15))</f>
        <v>2</v>
      </c>
      <c r="SJ13" s="202" t="str">
        <f t="shared" si="110"/>
        <v>C</v>
      </c>
      <c r="SK13" s="203">
        <f>IF(COUNT(SK14:SK15)=0,"",SUM(SK14:SK15)/COUNT(SK14:SK15))</f>
        <v>3.5</v>
      </c>
      <c r="SL13" s="204" t="str">
        <f t="shared" si="111"/>
        <v>B</v>
      </c>
      <c r="SM13" s="140"/>
      <c r="SN13" s="84"/>
      <c r="SO13" s="104"/>
      <c r="SP13" s="105" t="str">
        <f>IF(COUNT(SP14:SP15)=0,"",SUM(SP14:SP15)/COUNT(SP14:SP15))</f>
        <v/>
      </c>
      <c r="SQ13" s="106" t="str">
        <f t="shared" si="112"/>
        <v/>
      </c>
      <c r="SR13" s="103"/>
      <c r="SS13" s="84"/>
      <c r="ST13" s="104"/>
      <c r="SU13" s="105" t="str">
        <f>IF(COUNT(SU14,SU15)=0,"",SUM(SU14:SU15)/COUNT(SU14,SU15))</f>
        <v/>
      </c>
      <c r="SV13" s="107" t="str">
        <f t="shared" si="113"/>
        <v/>
      </c>
      <c r="SW13" s="108"/>
      <c r="SX13" s="109"/>
      <c r="SY13" s="110"/>
      <c r="SZ13" s="105" t="str">
        <f>IF(COUNT(SZ14,SZ15)=0,"",SUM(SZ14:SZ15)/COUNT(SZ14,SZ15))</f>
        <v/>
      </c>
      <c r="TA13" s="111" t="str">
        <f t="shared" si="114"/>
        <v/>
      </c>
      <c r="TB13" s="112" t="str">
        <f>IF(COUNT(TB14:TB15)=0,"",SUM(TB14:TB15)/COUNT(TB14:TB15))</f>
        <v/>
      </c>
      <c r="TC13" s="113" t="str">
        <f t="shared" si="115"/>
        <v/>
      </c>
      <c r="TD13" s="140"/>
      <c r="TE13" s="84"/>
      <c r="TF13" s="104"/>
      <c r="TG13" s="105" t="str">
        <f>IF(COUNT(TG14:TG15)=0,"",SUM(TG14:TG15)/COUNT(TG14:TG15))</f>
        <v/>
      </c>
      <c r="TH13" s="106" t="str">
        <f t="shared" si="116"/>
        <v/>
      </c>
      <c r="TI13" s="103"/>
      <c r="TJ13" s="84"/>
      <c r="TK13" s="104"/>
      <c r="TL13" s="105" t="str">
        <f>IF(COUNT(TL14,TL15)=0,"",SUM(TL14:TL15)/COUNT(TL14,TL15))</f>
        <v/>
      </c>
      <c r="TM13" s="107" t="str">
        <f t="shared" si="117"/>
        <v/>
      </c>
      <c r="TN13" s="108"/>
      <c r="TO13" s="109"/>
      <c r="TP13" s="110"/>
      <c r="TQ13" s="105" t="str">
        <f>IF(COUNT(TQ14,TQ15)=0,"",SUM(TQ14:TQ15)/COUNT(TQ14,TQ15))</f>
        <v/>
      </c>
      <c r="TR13" s="111" t="str">
        <f t="shared" si="118"/>
        <v/>
      </c>
      <c r="TS13" s="112" t="str">
        <f>IF(COUNT(TS14:TS15)=0,"",SUM(TS14:TS15)/COUNT(TS14:TS15))</f>
        <v/>
      </c>
      <c r="TT13" s="113" t="str">
        <f t="shared" si="119"/>
        <v/>
      </c>
    </row>
    <row r="14" spans="1:540" ht="18" customHeight="1" x14ac:dyDescent="0.25">
      <c r="A14" s="234" t="s">
        <v>19</v>
      </c>
      <c r="B14" s="235"/>
      <c r="C14" s="122" t="s">
        <v>28</v>
      </c>
      <c r="D14" s="123"/>
      <c r="E14" s="124"/>
      <c r="F14" s="180">
        <f>IFERROR((((COUNTIF('Elève (5ème4)'!C14:E14,"A"))*4)+((COUNTIF('Elève (5ème4)'!C14:E14,"B"))*3)+((COUNTIF('Elève (5ème4)'!C14:E14,"C"))*2)+((COUNTIF('Elève (5ème4)'!C14:E14,"D"))*1))/(COUNTA(C14:E14)),"")</f>
        <v>3</v>
      </c>
      <c r="G14" s="181" t="str">
        <f t="shared" si="0"/>
        <v>B</v>
      </c>
      <c r="H14" s="122"/>
      <c r="I14" s="123"/>
      <c r="J14" s="124"/>
      <c r="K14" s="180" t="str">
        <f>IFERROR((((COUNTIF('Elève (5ème4)'!H14:J14,"A"))*4)+((COUNTIF('Elève (5ème4)'!H14:J14,"B"))*3)+((COUNTIF('Elève (5ème4)'!H14:J14,"C"))*2)+((COUNTIF('Elève (5ème4)'!H14:J14,"D"))*1))/(COUNTA(H14:J14)),"")</f>
        <v/>
      </c>
      <c r="L14" s="181" t="str">
        <f t="shared" si="1"/>
        <v/>
      </c>
      <c r="M14" s="122"/>
      <c r="N14" s="123"/>
      <c r="O14" s="124"/>
      <c r="P14" s="124"/>
      <c r="Q14" s="180" t="str">
        <f>IFERROR((((COUNTIF('Elève (5ème4)'!M14:P14,"A"))*4)+((COUNTIF('Elève (5ème4)'!M14:P14,"B"))*3)+((COUNTIF('Elève (5ème4)'!M14:P14,"C"))*2)+((COUNTIF('Elève (5ème4)'!M14:P14,"D"))*1))/(COUNTA(M14:P14)),"")</f>
        <v/>
      </c>
      <c r="R14" s="181" t="str">
        <f t="shared" si="2"/>
        <v/>
      </c>
      <c r="S14" s="180">
        <f>IF(COUNT(F14,K14,Q14)=0,"",SUM(F14,K14,Q14)/COUNT(F14,K14,Q14))</f>
        <v>3</v>
      </c>
      <c r="T14" s="205" t="str">
        <f t="shared" si="3"/>
        <v>B</v>
      </c>
      <c r="U14" s="122" t="s">
        <v>27</v>
      </c>
      <c r="V14" s="123"/>
      <c r="W14" s="124"/>
      <c r="X14" s="180">
        <f>IFERROR((((COUNTIF('Elève (5ème4)'!U14:W14,"A"))*4)+((COUNTIF('Elève (5ème4)'!U14:W14,"B"))*3)+((COUNTIF('Elève (5ème4)'!U14:W14,"C"))*2)+((COUNTIF('Elève (5ème4)'!U14:W14,"D"))*1))/(COUNTA(U14:W14)),"")</f>
        <v>4</v>
      </c>
      <c r="Y14" s="181" t="str">
        <f t="shared" si="4"/>
        <v>A</v>
      </c>
      <c r="Z14" s="122"/>
      <c r="AA14" s="123"/>
      <c r="AB14" s="124"/>
      <c r="AC14" s="180" t="str">
        <f>IFERROR((((COUNTIF('Elève (5ème4)'!Z14:AB14,"A"))*4)+((COUNTIF('Elève (5ème4)'!Z14:AB14,"B"))*3)+((COUNTIF('Elève (5ème4)'!Z14:AB14,"C"))*2)+((COUNTIF('Elève (5ème4)'!Z14:AB14,"D"))*1))/(COUNTA(Z14:AB14)),"")</f>
        <v/>
      </c>
      <c r="AD14" s="181" t="str">
        <f t="shared" si="5"/>
        <v/>
      </c>
      <c r="AE14" s="122"/>
      <c r="AF14" s="123"/>
      <c r="AG14" s="124"/>
      <c r="AH14" s="128"/>
      <c r="AI14" s="180" t="str">
        <f>IFERROR((((COUNTIF('Elève (5ème4)'!AE14:AH14,"A"))*4)+((COUNTIF('Elève (5ème4)'!AE14:AH14,"B"))*3)+((COUNTIF('Elève (5ème4)'!AE14:AH14,"C"))*2)+((COUNTIF('Elève (5ème4)'!AE14:AH14,"D"))*1))/(COUNTA(AE14:AH14)),"")</f>
        <v/>
      </c>
      <c r="AJ14" s="181" t="str">
        <f t="shared" si="6"/>
        <v/>
      </c>
      <c r="AK14" s="180">
        <f>IF(COUNT(X14,AC14,AI14)=0,"",SUM(X14,AC14,AI14)/COUNT(X14,AC14,AI14))</f>
        <v>4</v>
      </c>
      <c r="AL14" s="205" t="str">
        <f t="shared" si="7"/>
        <v>A</v>
      </c>
      <c r="AM14" s="122" t="s">
        <v>27</v>
      </c>
      <c r="AN14" s="123"/>
      <c r="AO14" s="124"/>
      <c r="AP14" s="180">
        <f>IFERROR((((COUNTIF('Elève (5ème4)'!AM14:AO14,"A"))*4)+((COUNTIF('Elève (5ème4)'!AM14:AO14,"B"))*3)+((COUNTIF('Elève (5ème4)'!AM14:AO14,"C"))*2)+((COUNTIF('Elève (5ème4)'!AM14:AO14,"D"))*1))/(COUNTA(AM14:AO14)),"")</f>
        <v>4</v>
      </c>
      <c r="AQ14" s="181" t="str">
        <f t="shared" si="8"/>
        <v>A</v>
      </c>
      <c r="AR14" s="122"/>
      <c r="AS14" s="123"/>
      <c r="AT14" s="124"/>
      <c r="AU14" s="180" t="str">
        <f>IFERROR((((COUNTIF('Elève (5ème4)'!AR14:AT14,"A"))*4)+((COUNTIF('Elève (5ème4)'!AR14:AT14,"B"))*3)+((COUNTIF('Elève (5ème4)'!AR14:AT14,"C"))*2)+((COUNTIF('Elève (5ème4)'!AR14:AT14,"D"))*1))/(COUNTA(AR14:AT14)),"")</f>
        <v/>
      </c>
      <c r="AV14" s="181" t="str">
        <f t="shared" si="9"/>
        <v/>
      </c>
      <c r="AW14" s="122"/>
      <c r="AX14" s="123"/>
      <c r="AY14" s="124"/>
      <c r="AZ14" s="128"/>
      <c r="BA14" s="180" t="str">
        <f>IFERROR((((COUNTIF('Elève (5ème4)'!AW14:AZ14,"A"))*4)+((COUNTIF('Elève (5ème4)'!AW14:AZ14,"B"))*3)+((COUNTIF('Elève (5ème4)'!AW14:AZ14,"C"))*2)+((COUNTIF('Elève (5ème4)'!AW14:AZ14,"D"))*1))/(COUNTA(AW14:AZ14)),"")</f>
        <v/>
      </c>
      <c r="BB14" s="181" t="str">
        <f t="shared" si="10"/>
        <v/>
      </c>
      <c r="BC14" s="180">
        <f>IF(COUNT(AP14,AU14,BA14)=0,"",SUM(AP14,AU14,BA14)/COUNT(AP14,AU14,BA14))</f>
        <v>4</v>
      </c>
      <c r="BD14" s="205" t="str">
        <f t="shared" si="11"/>
        <v>A</v>
      </c>
      <c r="BE14" s="122" t="s">
        <v>29</v>
      </c>
      <c r="BF14" s="123"/>
      <c r="BG14" s="124"/>
      <c r="BH14" s="180">
        <f>IFERROR((((COUNTIF('Elève (5ème4)'!BE14:BG14,"A"))*4)+((COUNTIF('Elève (5ème4)'!BE14:BG14,"B"))*3)+((COUNTIF('Elève (5ème4)'!BE14:BG14,"C"))*2)+((COUNTIF('Elève (5ème4)'!BE14:BG14,"D"))*1))/(COUNTA(BE14:BG14)),"")</f>
        <v>2</v>
      </c>
      <c r="BI14" s="181" t="str">
        <f t="shared" si="12"/>
        <v>C</v>
      </c>
      <c r="BJ14" s="122"/>
      <c r="BK14" s="123"/>
      <c r="BL14" s="124"/>
      <c r="BM14" s="180" t="str">
        <f>IFERROR((((COUNTIF('Elève (5ème4)'!BJ14:BL14,"A"))*4)+((COUNTIF('Elève (5ème4)'!BJ14:BL14,"B"))*3)+((COUNTIF('Elève (5ème4)'!BJ14:BL14,"C"))*2)+((COUNTIF('Elève (5ème4)'!BJ14:BL14,"D"))*1))/(COUNTA(BJ14:BL14)),"")</f>
        <v/>
      </c>
      <c r="BN14" s="181" t="str">
        <f t="shared" si="13"/>
        <v/>
      </c>
      <c r="BO14" s="122"/>
      <c r="BP14" s="123"/>
      <c r="BQ14" s="124"/>
      <c r="BR14" s="128"/>
      <c r="BS14" s="180" t="str">
        <f>IFERROR((((COUNTIF('Elève (5ème4)'!BO14:BR14,"A"))*4)+((COUNTIF('Elève (5ème4)'!BO14:BR14,"B"))*3)+((COUNTIF('Elève (5ème4)'!BO14:BR14,"C"))*2)+((COUNTIF('Elève (5ème4)'!BO14:BR14,"D"))*1))/(COUNTA(BO14:BR14)),"")</f>
        <v/>
      </c>
      <c r="BT14" s="181" t="str">
        <f t="shared" si="14"/>
        <v/>
      </c>
      <c r="BU14" s="180">
        <f>IF(COUNT(BH14,BM14,BS14)=0,"",SUM(BH14,BM14,BS14)/COUNT(BH14,BM14,BS14))</f>
        <v>2</v>
      </c>
      <c r="BV14" s="205" t="str">
        <f t="shared" si="15"/>
        <v>C</v>
      </c>
      <c r="BW14" s="122" t="s">
        <v>27</v>
      </c>
      <c r="BX14" s="123"/>
      <c r="BY14" s="124"/>
      <c r="BZ14" s="180">
        <f>IFERROR((((COUNTIF('Elève (5ème4)'!BW14:BY14,"A"))*4)+((COUNTIF('Elève (5ème4)'!BW14:BY14,"B"))*3)+((COUNTIF('Elève (5ème4)'!BW14:BY14,"C"))*2)+((COUNTIF('Elève (5ème4)'!BW14:BY14,"D"))*1))/(COUNTA(BW14:BY14)),"")</f>
        <v>4</v>
      </c>
      <c r="CA14" s="181" t="str">
        <f t="shared" si="16"/>
        <v>A</v>
      </c>
      <c r="CB14" s="122"/>
      <c r="CC14" s="123"/>
      <c r="CD14" s="124"/>
      <c r="CE14" s="180" t="str">
        <f>IFERROR((((COUNTIF('Elève (5ème4)'!CB14:CD14,"A"))*4)+((COUNTIF('Elève (5ème4)'!CB14:CD14,"B"))*3)+((COUNTIF('Elève (5ème4)'!CB14:CD14,"C"))*2)+((COUNTIF('Elève (5ème4)'!CB14:CD14,"D"))*1))/(COUNTA(CB14:CD14)),"")</f>
        <v/>
      </c>
      <c r="CF14" s="181" t="str">
        <f t="shared" si="17"/>
        <v/>
      </c>
      <c r="CG14" s="122"/>
      <c r="CH14" s="123"/>
      <c r="CI14" s="124"/>
      <c r="CJ14" s="128"/>
      <c r="CK14" s="180" t="str">
        <f>IFERROR((((COUNTIF('Elève (5ème4)'!CG14:CJ14,"A"))*4)+((COUNTIF('Elève (5ème4)'!CG14:CJ14,"B"))*3)+((COUNTIF('Elève (5ème4)'!CG14:CJ14,"C"))*2)+((COUNTIF('Elève (5ème4)'!CG14:CJ14,"D"))*1))/(COUNTA(CG14:CJ14)),"")</f>
        <v/>
      </c>
      <c r="CL14" s="181" t="str">
        <f t="shared" si="18"/>
        <v/>
      </c>
      <c r="CM14" s="180">
        <f>IF(COUNT(BZ14,CE14,CK14)=0,"",SUM(BZ14,CE14,CK14)/COUNT(BZ14,CE14,CK14))</f>
        <v>4</v>
      </c>
      <c r="CN14" s="205" t="str">
        <f t="shared" si="19"/>
        <v>A</v>
      </c>
      <c r="CO14" s="122" t="s">
        <v>27</v>
      </c>
      <c r="CP14" s="123"/>
      <c r="CQ14" s="124"/>
      <c r="CR14" s="180">
        <f>IFERROR((((COUNTIF('Elève (5ème4)'!CO14:CQ14,"A"))*4)+((COUNTIF('Elève (5ème4)'!CO14:CQ14,"B"))*3)+((COUNTIF('Elève (5ème4)'!CO14:CQ14,"C"))*2)+((COUNTIF('Elève (5ème4)'!CO14:CQ14,"D"))*1))/(COUNTA(CO14:CQ14)),"")</f>
        <v>4</v>
      </c>
      <c r="CS14" s="181" t="str">
        <f t="shared" si="20"/>
        <v>A</v>
      </c>
      <c r="CT14" s="122"/>
      <c r="CU14" s="123"/>
      <c r="CV14" s="124"/>
      <c r="CW14" s="180" t="str">
        <f>IFERROR((((COUNTIF('Elève (5ème4)'!CT14:CV14,"A"))*4)+((COUNTIF('Elève (5ème4)'!CT14:CV14,"B"))*3)+((COUNTIF('Elève (5ème4)'!CT14:CV14,"C"))*2)+((COUNTIF('Elève (5ème4)'!CT14:CV14,"D"))*1))/(COUNTA(CT14:CV14)),"")</f>
        <v/>
      </c>
      <c r="CX14" s="181" t="str">
        <f t="shared" si="21"/>
        <v/>
      </c>
      <c r="CY14" s="122"/>
      <c r="CZ14" s="123"/>
      <c r="DA14" s="124"/>
      <c r="DB14" s="128"/>
      <c r="DC14" s="180" t="str">
        <f>IFERROR((((COUNTIF('Elève (5ème4)'!CY14:DB14,"A"))*4)+((COUNTIF('Elève (5ème4)'!CY14:DB14,"B"))*3)+((COUNTIF('Elève (5ème4)'!CY14:DB14,"C"))*2)+((COUNTIF('Elève (5ème4)'!CY14:DB14,"D"))*1))/(COUNTA(CY14:DB14)),"")</f>
        <v/>
      </c>
      <c r="DD14" s="181" t="str">
        <f t="shared" si="22"/>
        <v/>
      </c>
      <c r="DE14" s="180">
        <f>IF(COUNT(CR14,CW14,DC14)=0,"",SUM(CR14,CW14,DC14)/COUNT(CR14,CW14,DC14))</f>
        <v>4</v>
      </c>
      <c r="DF14" s="205" t="str">
        <f t="shared" si="23"/>
        <v>A</v>
      </c>
      <c r="DG14" s="122" t="s">
        <v>27</v>
      </c>
      <c r="DH14" s="123"/>
      <c r="DI14" s="124"/>
      <c r="DJ14" s="180">
        <f>IFERROR((((COUNTIF('Elève (5ème4)'!DG14:DI14,"A"))*4)+((COUNTIF('Elève (5ème4)'!DG14:DI14,"B"))*3)+((COUNTIF('Elève (5ème4)'!DG14:DI14,"C"))*2)+((COUNTIF('Elève (5ème4)'!DG14:DI14,"D"))*1))/(COUNTA(DG14:DI14)),"")</f>
        <v>4</v>
      </c>
      <c r="DK14" s="181" t="str">
        <f t="shared" si="24"/>
        <v>A</v>
      </c>
      <c r="DL14" s="122"/>
      <c r="DM14" s="123"/>
      <c r="DN14" s="124"/>
      <c r="DO14" s="180" t="str">
        <f>IFERROR((((COUNTIF('Elève (5ème4)'!DL14:DN14,"A"))*4)+((COUNTIF('Elève (5ème4)'!DL14:DN14,"B"))*3)+((COUNTIF('Elève (5ème4)'!DL14:DN14,"C"))*2)+((COUNTIF('Elève (5ème4)'!DL14:DN14,"D"))*1))/(COUNTA(DL14:DN14)),"")</f>
        <v/>
      </c>
      <c r="DP14" s="181" t="str">
        <f t="shared" si="25"/>
        <v/>
      </c>
      <c r="DQ14" s="122"/>
      <c r="DR14" s="123"/>
      <c r="DS14" s="124"/>
      <c r="DT14" s="128"/>
      <c r="DU14" s="180" t="str">
        <f>IFERROR((((COUNTIF('Elève (5ème4)'!DQ14:DT14,"A"))*4)+((COUNTIF('Elève (5ème4)'!DQ14:DT14,"B"))*3)+((COUNTIF('Elève (5ème4)'!DQ14:DT14,"C"))*2)+((COUNTIF('Elève (5ème4)'!DQ14:DT14,"D"))*1))/(COUNTA(DQ14:DT14)),"")</f>
        <v/>
      </c>
      <c r="DV14" s="181" t="str">
        <f t="shared" si="26"/>
        <v/>
      </c>
      <c r="DW14" s="180">
        <f>IF(COUNT(DJ14,DO14,DU14)=0,"",SUM(DJ14,DO14,DU14)/COUNT(DJ14,DO14,DU14))</f>
        <v>4</v>
      </c>
      <c r="DX14" s="205" t="str">
        <f t="shared" si="27"/>
        <v>A</v>
      </c>
      <c r="DY14" s="122" t="s">
        <v>27</v>
      </c>
      <c r="DZ14" s="123"/>
      <c r="EA14" s="124"/>
      <c r="EB14" s="180">
        <f>IFERROR((((COUNTIF('Elève (5ème4)'!DY14:EA14,"A"))*4)+((COUNTIF('Elève (5ème4)'!DY14:EA14,"B"))*3)+((COUNTIF('Elève (5ème4)'!DY14:EA14,"C"))*2)+((COUNTIF('Elève (5ème4)'!DY14:EA14,"D"))*1))/(COUNTA(DY14:EA14)),"")</f>
        <v>4</v>
      </c>
      <c r="EC14" s="181" t="str">
        <f t="shared" si="28"/>
        <v>A</v>
      </c>
      <c r="ED14" s="122"/>
      <c r="EE14" s="123"/>
      <c r="EF14" s="124"/>
      <c r="EG14" s="180" t="str">
        <f>IFERROR((((COUNTIF('Elève (5ème4)'!ED14:EF14,"A"))*4)+((COUNTIF('Elève (5ème4)'!ED14:EF14,"B"))*3)+((COUNTIF('Elève (5ème4)'!ED14:EF14,"C"))*2)+((COUNTIF('Elève (5ème4)'!ED14:EF14,"D"))*1))/(COUNTA(ED14:EF14)),"")</f>
        <v/>
      </c>
      <c r="EH14" s="181" t="str">
        <f t="shared" si="29"/>
        <v/>
      </c>
      <c r="EI14" s="122"/>
      <c r="EJ14" s="123"/>
      <c r="EK14" s="124"/>
      <c r="EL14" s="128"/>
      <c r="EM14" s="180" t="str">
        <f>IFERROR((((COUNTIF('Elève (5ème4)'!EI14:EL14,"A"))*4)+((COUNTIF('Elève (5ème4)'!EI14:EL14,"B"))*3)+((COUNTIF('Elève (5ème4)'!EI14:EL14,"C"))*2)+((COUNTIF('Elève (5ème4)'!EI14:EL14,"D"))*1))/(COUNTA(EI14:EL14)),"")</f>
        <v/>
      </c>
      <c r="EN14" s="181" t="str">
        <f t="shared" si="30"/>
        <v/>
      </c>
      <c r="EO14" s="180">
        <f>IF(COUNT(EB14,EG14,EM14)=0,"",SUM(EB14,EG14,EM14)/COUNT(EB14,EG14,EM14))</f>
        <v>4</v>
      </c>
      <c r="EP14" s="205" t="str">
        <f t="shared" si="31"/>
        <v>A</v>
      </c>
      <c r="EQ14" s="122" t="s">
        <v>27</v>
      </c>
      <c r="ER14" s="123"/>
      <c r="ES14" s="124"/>
      <c r="ET14" s="180">
        <f>IFERROR((((COUNTIF('Elève (5ème4)'!EQ14:ES14,"A"))*4)+((COUNTIF('Elève (5ème4)'!EQ14:ES14,"B"))*3)+((COUNTIF('Elève (5ème4)'!EQ14:ES14,"C"))*2)+((COUNTIF('Elève (5ème4)'!EQ14:ES14,"D"))*1))/(COUNTA(EQ14:ES14)),"")</f>
        <v>4</v>
      </c>
      <c r="EU14" s="181" t="str">
        <f t="shared" si="32"/>
        <v>A</v>
      </c>
      <c r="EV14" s="122"/>
      <c r="EW14" s="123"/>
      <c r="EX14" s="124"/>
      <c r="EY14" s="180" t="str">
        <f>IFERROR((((COUNTIF('Elève (5ème4)'!EV14:EX14,"A"))*4)+((COUNTIF('Elève (5ème4)'!EV14:EX14,"B"))*3)+((COUNTIF('Elève (5ème4)'!EV14:EX14,"C"))*2)+((COUNTIF('Elève (5ème4)'!EV14:EX14,"D"))*1))/(COUNTA(EV14:EX14)),"")</f>
        <v/>
      </c>
      <c r="EZ14" s="181" t="str">
        <f t="shared" si="33"/>
        <v/>
      </c>
      <c r="FA14" s="122"/>
      <c r="FB14" s="123"/>
      <c r="FC14" s="124"/>
      <c r="FD14" s="128"/>
      <c r="FE14" s="180" t="str">
        <f>IFERROR((((COUNTIF('Elève (5ème4)'!FA14:FD14,"A"))*4)+((COUNTIF('Elève (5ème4)'!FA14:FD14,"B"))*3)+((COUNTIF('Elève (5ème4)'!FA14:FD14,"C"))*2)+((COUNTIF('Elève (5ème4)'!FA14:FD14,"D"))*1))/(COUNTA(FA14:FD14)),"")</f>
        <v/>
      </c>
      <c r="FF14" s="181" t="str">
        <f t="shared" si="34"/>
        <v/>
      </c>
      <c r="FG14" s="180">
        <f>IF(COUNT(ET14,EY14,FE14)=0,"",SUM(ET14,EY14,FE14)/COUNT(ET14,EY14,FE14))</f>
        <v>4</v>
      </c>
      <c r="FH14" s="205" t="str">
        <f t="shared" si="35"/>
        <v>A</v>
      </c>
      <c r="FI14" s="122" t="s">
        <v>27</v>
      </c>
      <c r="FJ14" s="123"/>
      <c r="FK14" s="124"/>
      <c r="FL14" s="180">
        <f>IFERROR((((COUNTIF('Elève (5ème4)'!FI14:FK14,"A"))*4)+((COUNTIF('Elève (5ème4)'!FI14:FK14,"B"))*3)+((COUNTIF('Elève (5ème4)'!FI14:FK14,"C"))*2)+((COUNTIF('Elève (5ème4)'!FI14:FK14,"D"))*1))/(COUNTA(FI14:FK14)),"")</f>
        <v>4</v>
      </c>
      <c r="FM14" s="181" t="str">
        <f t="shared" si="36"/>
        <v>A</v>
      </c>
      <c r="FN14" s="122"/>
      <c r="FO14" s="123"/>
      <c r="FP14" s="124"/>
      <c r="FQ14" s="180" t="str">
        <f>IFERROR((((COUNTIF('Elève (5ème4)'!FN14:FP14,"A"))*4)+((COUNTIF('Elève (5ème4)'!FN14:FP14,"B"))*3)+((COUNTIF('Elève (5ème4)'!FN14:FP14,"C"))*2)+((COUNTIF('Elève (5ème4)'!FN14:FP14,"D"))*1))/(COUNTA(FN14:FP14)),"")</f>
        <v/>
      </c>
      <c r="FR14" s="181" t="str">
        <f t="shared" si="37"/>
        <v/>
      </c>
      <c r="FS14" s="122"/>
      <c r="FT14" s="123"/>
      <c r="FU14" s="124"/>
      <c r="FV14" s="128"/>
      <c r="FW14" s="180" t="str">
        <f>IFERROR((((COUNTIF('Elève (5ème4)'!FS14:FV14,"A"))*4)+((COUNTIF('Elève (5ème4)'!FS14:FV14,"B"))*3)+((COUNTIF('Elève (5ème4)'!FS14:FV14,"C"))*2)+((COUNTIF('Elève (5ème4)'!FS14:FV14,"D"))*1))/(COUNTA(FS14:FV14)),"")</f>
        <v/>
      </c>
      <c r="FX14" s="181" t="str">
        <f t="shared" si="38"/>
        <v/>
      </c>
      <c r="FY14" s="180">
        <f>IF(COUNT(FL14,FQ14,FW14)=0,"",SUM(FL14,FQ14,FW14)/COUNT(FL14,FQ14,FW14))</f>
        <v>4</v>
      </c>
      <c r="FZ14" s="205" t="str">
        <f t="shared" si="39"/>
        <v>A</v>
      </c>
      <c r="GA14" s="122" t="s">
        <v>27</v>
      </c>
      <c r="GB14" s="123"/>
      <c r="GC14" s="124"/>
      <c r="GD14" s="180">
        <f>IFERROR((((COUNTIF('Elève (5ème4)'!GA14:GC14,"A"))*4)+((COUNTIF('Elève (5ème4)'!GA14:GC14,"B"))*3)+((COUNTIF('Elève (5ème4)'!GA14:GC14,"C"))*2)+((COUNTIF('Elève (5ème4)'!GA14:GC14,"D"))*1))/(COUNTA(GA14:GC14)),"")</f>
        <v>4</v>
      </c>
      <c r="GE14" s="181" t="str">
        <f t="shared" si="40"/>
        <v>A</v>
      </c>
      <c r="GF14" s="122"/>
      <c r="GG14" s="123"/>
      <c r="GH14" s="124"/>
      <c r="GI14" s="180" t="str">
        <f>IFERROR((((COUNTIF('Elève (5ème4)'!GF14:GH14,"A"))*4)+((COUNTIF('Elève (5ème4)'!GF14:GH14,"B"))*3)+((COUNTIF('Elève (5ème4)'!GF14:GH14,"C"))*2)+((COUNTIF('Elève (5ème4)'!GF14:GH14,"D"))*1))/(COUNTA(GF14:GH14)),"")</f>
        <v/>
      </c>
      <c r="GJ14" s="181" t="str">
        <f t="shared" si="41"/>
        <v/>
      </c>
      <c r="GK14" s="122"/>
      <c r="GL14" s="123"/>
      <c r="GM14" s="124"/>
      <c r="GN14" s="128"/>
      <c r="GO14" s="180" t="str">
        <f>IFERROR((((COUNTIF('Elève (5ème4)'!GK14:GN14,"A"))*4)+((COUNTIF('Elève (5ème4)'!GK14:GN14,"B"))*3)+((COUNTIF('Elève (5ème4)'!GK14:GN14,"C"))*2)+((COUNTIF('Elève (5ème4)'!GK14:GN14,"D"))*1))/(COUNTA(GK14:GN14)),"")</f>
        <v/>
      </c>
      <c r="GP14" s="181" t="str">
        <f t="shared" si="42"/>
        <v/>
      </c>
      <c r="GQ14" s="180">
        <f>IF(COUNT(GD14,GI14,GO14)=0,"",SUM(GD14,GI14,GO14)/COUNT(GD14,GI14,GO14))</f>
        <v>4</v>
      </c>
      <c r="GR14" s="205" t="str">
        <f t="shared" si="43"/>
        <v>A</v>
      </c>
      <c r="GS14" s="122" t="s">
        <v>27</v>
      </c>
      <c r="GT14" s="123"/>
      <c r="GU14" s="124"/>
      <c r="GV14" s="180">
        <f>IFERROR((((COUNTIF('Elève (5ème4)'!GS14:GU14,"A"))*4)+((COUNTIF('Elève (5ème4)'!GS14:GU14,"B"))*3)+((COUNTIF('Elève (5ème4)'!GS14:GU14,"C"))*2)+((COUNTIF('Elève (5ème4)'!GS14:GU14,"D"))*1))/(COUNTA(GS14:GU14)),"")</f>
        <v>4</v>
      </c>
      <c r="GW14" s="181" t="str">
        <f t="shared" si="44"/>
        <v>A</v>
      </c>
      <c r="GX14" s="122"/>
      <c r="GY14" s="123"/>
      <c r="GZ14" s="124"/>
      <c r="HA14" s="180" t="str">
        <f>IFERROR((((COUNTIF('Elève (5ème4)'!GX14:GZ14,"A"))*4)+((COUNTIF('Elève (5ème4)'!GX14:GZ14,"B"))*3)+((COUNTIF('Elève (5ème4)'!GX14:GZ14,"C"))*2)+((COUNTIF('Elève (5ème4)'!GX14:GZ14,"D"))*1))/(COUNTA(GX14:GZ14)),"")</f>
        <v/>
      </c>
      <c r="HB14" s="181" t="str">
        <f t="shared" si="45"/>
        <v/>
      </c>
      <c r="HC14" s="122"/>
      <c r="HD14" s="123"/>
      <c r="HE14" s="124"/>
      <c r="HF14" s="128"/>
      <c r="HG14" s="180" t="str">
        <f>IFERROR((((COUNTIF('Elève (5ème4)'!HC14:HF14,"A"))*4)+((COUNTIF('Elève (5ème4)'!HC14:HF14,"B"))*3)+((COUNTIF('Elève (5ème4)'!HC14:HF14,"C"))*2)+((COUNTIF('Elève (5ème4)'!HC14:HF14,"D"))*1))/(COUNTA(HC14:HF14)),"")</f>
        <v/>
      </c>
      <c r="HH14" s="181" t="str">
        <f t="shared" si="46"/>
        <v/>
      </c>
      <c r="HI14" s="180">
        <f>IF(COUNT(GV14,HA14,HG14)=0,"",SUM(GV14,HA14,HG14)/COUNT(GV14,HA14,HG14))</f>
        <v>4</v>
      </c>
      <c r="HJ14" s="205" t="str">
        <f t="shared" si="47"/>
        <v>A</v>
      </c>
      <c r="HK14" s="122" t="s">
        <v>27</v>
      </c>
      <c r="HL14" s="123"/>
      <c r="HM14" s="124"/>
      <c r="HN14" s="180">
        <f>IFERROR((((COUNTIF('Elève (5ème4)'!HK14:HM14,"A"))*4)+((COUNTIF('Elève (5ème4)'!HK14:HM14,"B"))*3)+((COUNTIF('Elève (5ème4)'!HK14:HM14,"C"))*2)+((COUNTIF('Elève (5ème4)'!HK14:HM14,"D"))*1))/(COUNTA(HK14:HM14)),"")</f>
        <v>4</v>
      </c>
      <c r="HO14" s="181" t="str">
        <f t="shared" si="48"/>
        <v>A</v>
      </c>
      <c r="HP14" s="122"/>
      <c r="HQ14" s="123"/>
      <c r="HR14" s="124"/>
      <c r="HS14" s="180" t="str">
        <f>IFERROR((((COUNTIF('Elève (5ème4)'!HP14:HR14,"A"))*4)+((COUNTIF('Elève (5ème4)'!HP14:HR14,"B"))*3)+((COUNTIF('Elève (5ème4)'!HP14:HR14,"C"))*2)+((COUNTIF('Elève (5ème4)'!HP14:HR14,"D"))*1))/(COUNTA(HP14:HR14)),"")</f>
        <v/>
      </c>
      <c r="HT14" s="181" t="str">
        <f t="shared" si="49"/>
        <v/>
      </c>
      <c r="HU14" s="122"/>
      <c r="HV14" s="123"/>
      <c r="HW14" s="124"/>
      <c r="HX14" s="128"/>
      <c r="HY14" s="180" t="str">
        <f>IFERROR((((COUNTIF('Elève (5ème4)'!HU14:HX14,"A"))*4)+((COUNTIF('Elève (5ème4)'!HU14:HX14,"B"))*3)+((COUNTIF('Elève (5ème4)'!HU14:HX14,"C"))*2)+((COUNTIF('Elève (5ème4)'!HU14:HX14,"D"))*1))/(COUNTA(HU14:HX14)),"")</f>
        <v/>
      </c>
      <c r="HZ14" s="181" t="str">
        <f t="shared" si="50"/>
        <v/>
      </c>
      <c r="IA14" s="180">
        <f>IF(COUNT(HN14,HS14,HY14)=0,"",SUM(HN14,HS14,HY14)/COUNT(HN14,HS14,HY14))</f>
        <v>4</v>
      </c>
      <c r="IB14" s="205" t="str">
        <f t="shared" si="51"/>
        <v>A</v>
      </c>
      <c r="IC14" s="122" t="s">
        <v>27</v>
      </c>
      <c r="ID14" s="123"/>
      <c r="IE14" s="124"/>
      <c r="IF14" s="180">
        <f>IFERROR((((COUNTIF('Elève (5ème4)'!IC14:IE14,"A"))*4)+((COUNTIF('Elève (5ème4)'!IC14:IE14,"B"))*3)+((COUNTIF('Elève (5ème4)'!IC14:IE14,"C"))*2)+((COUNTIF('Elève (5ème4)'!IC14:IE14,"D"))*1))/(COUNTA(IC14:IE14)),"")</f>
        <v>4</v>
      </c>
      <c r="IG14" s="181" t="str">
        <f t="shared" si="52"/>
        <v>A</v>
      </c>
      <c r="IH14" s="122"/>
      <c r="II14" s="123"/>
      <c r="IJ14" s="124"/>
      <c r="IK14" s="180" t="str">
        <f>IFERROR((((COUNTIF('Elève (5ème4)'!IH14:IJ14,"A"))*4)+((COUNTIF('Elève (5ème4)'!IH14:IJ14,"B"))*3)+((COUNTIF('Elève (5ème4)'!IH14:IJ14,"C"))*2)+((COUNTIF('Elève (5ème4)'!IH14:IJ14,"D"))*1))/(COUNTA(IH14:IJ14)),"")</f>
        <v/>
      </c>
      <c r="IL14" s="181" t="str">
        <f t="shared" si="53"/>
        <v/>
      </c>
      <c r="IM14" s="122"/>
      <c r="IN14" s="123"/>
      <c r="IO14" s="124"/>
      <c r="IP14" s="128"/>
      <c r="IQ14" s="180" t="str">
        <f>IFERROR((((COUNTIF('Elève (5ème4)'!IM14:IP14,"A"))*4)+((COUNTIF('Elève (5ème4)'!IM14:IP14,"B"))*3)+((COUNTIF('Elève (5ème4)'!IM14:IP14,"C"))*2)+((COUNTIF('Elève (5ème4)'!IM14:IP14,"D"))*1))/(COUNTA(IM14:IP14)),"")</f>
        <v/>
      </c>
      <c r="IR14" s="181" t="str">
        <f t="shared" si="54"/>
        <v/>
      </c>
      <c r="IS14" s="180">
        <f>IF(COUNT(IF14,IK14,IQ14)=0,"",SUM(IF14,IK14,IQ14)/COUNT(IF14,IK14,IQ14))</f>
        <v>4</v>
      </c>
      <c r="IT14" s="205" t="str">
        <f t="shared" si="55"/>
        <v>A</v>
      </c>
      <c r="IU14" s="122" t="s">
        <v>27</v>
      </c>
      <c r="IV14" s="123"/>
      <c r="IW14" s="124"/>
      <c r="IX14" s="180">
        <f>IFERROR((((COUNTIF('Elève (5ème4)'!IU14:IW14,"A"))*4)+((COUNTIF('Elève (5ème4)'!IU14:IW14,"B"))*3)+((COUNTIF('Elève (5ème4)'!IU14:IW14,"C"))*2)+((COUNTIF('Elève (5ème4)'!IU14:IW14,"D"))*1))/(COUNTA(IU14:IW14)),"")</f>
        <v>4</v>
      </c>
      <c r="IY14" s="181" t="str">
        <f t="shared" si="56"/>
        <v>A</v>
      </c>
      <c r="IZ14" s="122"/>
      <c r="JA14" s="123"/>
      <c r="JB14" s="124"/>
      <c r="JC14" s="180" t="str">
        <f>IFERROR((((COUNTIF('Elève (5ème4)'!IZ14:JB14,"A"))*4)+((COUNTIF('Elève (5ème4)'!IZ14:JB14,"B"))*3)+((COUNTIF('Elève (5ème4)'!IZ14:JB14,"C"))*2)+((COUNTIF('Elève (5ème4)'!IZ14:JB14,"D"))*1))/(COUNTA(IZ14:JB14)),"")</f>
        <v/>
      </c>
      <c r="JD14" s="181" t="str">
        <f t="shared" si="57"/>
        <v/>
      </c>
      <c r="JE14" s="122"/>
      <c r="JF14" s="123"/>
      <c r="JG14" s="124"/>
      <c r="JH14" s="128"/>
      <c r="JI14" s="180" t="str">
        <f>IFERROR((((COUNTIF('Elève (5ème4)'!JE14:JH14,"A"))*4)+((COUNTIF('Elève (5ème4)'!JE14:JH14,"B"))*3)+((COUNTIF('Elève (5ème4)'!JE14:JH14,"C"))*2)+((COUNTIF('Elève (5ème4)'!JE14:JH14,"D"))*1))/(COUNTA(JE14:JH14)),"")</f>
        <v/>
      </c>
      <c r="JJ14" s="181" t="str">
        <f t="shared" si="58"/>
        <v/>
      </c>
      <c r="JK14" s="180">
        <f>IF(COUNT(IX14,JC14,JI14)=0,"",SUM(IX14,JC14,JI14)/COUNT(IX14,JC14,JI14))</f>
        <v>4</v>
      </c>
      <c r="JL14" s="205" t="str">
        <f t="shared" si="59"/>
        <v>A</v>
      </c>
      <c r="JM14" s="122" t="s">
        <v>27</v>
      </c>
      <c r="JN14" s="123"/>
      <c r="JO14" s="124"/>
      <c r="JP14" s="180">
        <f>IFERROR((((COUNTIF('Elève (5ème4)'!JM14:JO14,"A"))*4)+((COUNTIF('Elève (5ème4)'!JM14:JO14,"B"))*3)+((COUNTIF('Elève (5ème4)'!JM14:JO14,"C"))*2)+((COUNTIF('Elève (5ème4)'!JM14:JO14,"D"))*1))/(COUNTA(JM14:JO14)),"")</f>
        <v>4</v>
      </c>
      <c r="JQ14" s="181" t="str">
        <f t="shared" si="60"/>
        <v>A</v>
      </c>
      <c r="JR14" s="122"/>
      <c r="JS14" s="123"/>
      <c r="JT14" s="124"/>
      <c r="JU14" s="180" t="str">
        <f>IFERROR((((COUNTIF('Elève (5ème4)'!JR14:JT14,"A"))*4)+((COUNTIF('Elève (5ème4)'!JR14:JT14,"B"))*3)+((COUNTIF('Elève (5ème4)'!JR14:JT14,"C"))*2)+((COUNTIF('Elève (5ème4)'!JR14:JT14,"D"))*1))/(COUNTA(JR14:JT14)),"")</f>
        <v/>
      </c>
      <c r="JV14" s="181" t="str">
        <f t="shared" si="61"/>
        <v/>
      </c>
      <c r="JW14" s="122"/>
      <c r="JX14" s="123"/>
      <c r="JY14" s="124"/>
      <c r="JZ14" s="128"/>
      <c r="KA14" s="180" t="str">
        <f>IFERROR((((COUNTIF('Elève (5ème4)'!JW14:JZ14,"A"))*4)+((COUNTIF('Elève (5ème4)'!JW14:JZ14,"B"))*3)+((COUNTIF('Elève (5ème4)'!JW14:JZ14,"C"))*2)+((COUNTIF('Elève (5ème4)'!JW14:JZ14,"D"))*1))/(COUNTA(JW14:JZ14)),"")</f>
        <v/>
      </c>
      <c r="KB14" s="181" t="str">
        <f t="shared" si="62"/>
        <v/>
      </c>
      <c r="KC14" s="180">
        <f>IF(COUNT(JP14,JU14,KA14)=0,"",SUM(JP14,JU14,KA14)/COUNT(JP14,JU14,KA14))</f>
        <v>4</v>
      </c>
      <c r="KD14" s="205" t="str">
        <f t="shared" si="63"/>
        <v>A</v>
      </c>
      <c r="KE14" s="122" t="s">
        <v>27</v>
      </c>
      <c r="KF14" s="123"/>
      <c r="KG14" s="124"/>
      <c r="KH14" s="180">
        <f>IFERROR((((COUNTIF('Elève (5ème4)'!KE14:KG14,"A"))*4)+((COUNTIF('Elève (5ème4)'!KE14:KG14,"B"))*3)+((COUNTIF('Elève (5ème4)'!KE14:KG14,"C"))*2)+((COUNTIF('Elève (5ème4)'!KE14:KG14,"D"))*1))/(COUNTA(KE14:KG14)),"")</f>
        <v>4</v>
      </c>
      <c r="KI14" s="181" t="str">
        <f t="shared" si="64"/>
        <v>A</v>
      </c>
      <c r="KJ14" s="122"/>
      <c r="KK14" s="123"/>
      <c r="KL14" s="124"/>
      <c r="KM14" s="180" t="str">
        <f>IFERROR((((COUNTIF('Elève (5ème4)'!KJ14:KL14,"A"))*4)+((COUNTIF('Elève (5ème4)'!KJ14:KL14,"B"))*3)+((COUNTIF('Elève (5ème4)'!KJ14:KL14,"C"))*2)+((COUNTIF('Elève (5ème4)'!KJ14:KL14,"D"))*1))/(COUNTA(KJ14:KL14)),"")</f>
        <v/>
      </c>
      <c r="KN14" s="181" t="str">
        <f t="shared" si="65"/>
        <v/>
      </c>
      <c r="KO14" s="122"/>
      <c r="KP14" s="123"/>
      <c r="KQ14" s="124"/>
      <c r="KR14" s="128"/>
      <c r="KS14" s="180" t="str">
        <f>IFERROR((((COUNTIF('Elève (5ème4)'!KO14:KR14,"A"))*4)+((COUNTIF('Elève (5ème4)'!KO14:KR14,"B"))*3)+((COUNTIF('Elève (5ème4)'!KO14:KR14,"C"))*2)+((COUNTIF('Elève (5ème4)'!KO14:KR14,"D"))*1))/(COUNTA(KO14:KR14)),"")</f>
        <v/>
      </c>
      <c r="KT14" s="181" t="str">
        <f t="shared" si="66"/>
        <v/>
      </c>
      <c r="KU14" s="180">
        <f>IF(COUNT(KH14,KM14,KS14)=0,"",SUM(KH14,KM14,KS14)/COUNT(KH14,KM14,KS14))</f>
        <v>4</v>
      </c>
      <c r="KV14" s="205" t="str">
        <f t="shared" si="67"/>
        <v>A</v>
      </c>
      <c r="KW14" s="122" t="s">
        <v>28</v>
      </c>
      <c r="KX14" s="123"/>
      <c r="KY14" s="124"/>
      <c r="KZ14" s="180">
        <f>IFERROR((((COUNTIF('Elève (5ème4)'!KW14:KY14,"A"))*4)+((COUNTIF('Elève (5ème4)'!KW14:KY14,"B"))*3)+((COUNTIF('Elève (5ème4)'!KW14:KY14,"C"))*2)+((COUNTIF('Elève (5ème4)'!KW14:KY14,"D"))*1))/(COUNTA(KW14:KY14)),"")</f>
        <v>3</v>
      </c>
      <c r="LA14" s="181" t="str">
        <f t="shared" si="68"/>
        <v>B</v>
      </c>
      <c r="LB14" s="122"/>
      <c r="LC14" s="123"/>
      <c r="LD14" s="124"/>
      <c r="LE14" s="180" t="str">
        <f>IFERROR((((COUNTIF('Elève (5ème4)'!LB14:LD14,"A"))*4)+((COUNTIF('Elève (5ème4)'!LB14:LD14,"B"))*3)+((COUNTIF('Elève (5ème4)'!LB14:LD14,"C"))*2)+((COUNTIF('Elève (5ème4)'!LB14:LD14,"D"))*1))/(COUNTA(LB14:LD14)),"")</f>
        <v/>
      </c>
      <c r="LF14" s="181" t="str">
        <f t="shared" si="69"/>
        <v/>
      </c>
      <c r="LG14" s="122"/>
      <c r="LH14" s="123"/>
      <c r="LI14" s="124"/>
      <c r="LJ14" s="128"/>
      <c r="LK14" s="180" t="str">
        <f>IFERROR((((COUNTIF('Elève (5ème4)'!LG14:LJ14,"A"))*4)+((COUNTIF('Elève (5ème4)'!LG14:LJ14,"B"))*3)+((COUNTIF('Elève (5ème4)'!LG14:LJ14,"C"))*2)+((COUNTIF('Elève (5ème4)'!LG14:LJ14,"D"))*1))/(COUNTA(LG14:LJ14)),"")</f>
        <v/>
      </c>
      <c r="LL14" s="181" t="str">
        <f t="shared" si="70"/>
        <v/>
      </c>
      <c r="LM14" s="180">
        <f>IF(COUNT(KZ14,LE14,LK14)=0,"",SUM(KZ14,LE14,LK14)/COUNT(KZ14,LE14,LK14))</f>
        <v>3</v>
      </c>
      <c r="LN14" s="205" t="str">
        <f t="shared" si="71"/>
        <v>B</v>
      </c>
      <c r="LO14" s="122" t="s">
        <v>28</v>
      </c>
      <c r="LP14" s="123"/>
      <c r="LQ14" s="124"/>
      <c r="LR14" s="180">
        <f>IFERROR((((COUNTIF('Elève (5ème4)'!LO14:LQ14,"A"))*4)+((COUNTIF('Elève (5ème4)'!LO14:LQ14,"B"))*3)+((COUNTIF('Elève (5ème4)'!LO14:LQ14,"C"))*2)+((COUNTIF('Elève (5ème4)'!LO14:LQ14,"D"))*1))/(COUNTA(LO14:LQ14)),"")</f>
        <v>3</v>
      </c>
      <c r="LS14" s="181" t="str">
        <f t="shared" si="72"/>
        <v>B</v>
      </c>
      <c r="LT14" s="122"/>
      <c r="LU14" s="123"/>
      <c r="LV14" s="124"/>
      <c r="LW14" s="180" t="str">
        <f>IFERROR((((COUNTIF('Elève (5ème4)'!LT14:LV14,"A"))*4)+((COUNTIF('Elève (5ème4)'!LT14:LV14,"B"))*3)+((COUNTIF('Elève (5ème4)'!LT14:LV14,"C"))*2)+((COUNTIF('Elève (5ème4)'!LT14:LV14,"D"))*1))/(COUNTA(LT14:LV14)),"")</f>
        <v/>
      </c>
      <c r="LX14" s="181" t="str">
        <f t="shared" si="73"/>
        <v/>
      </c>
      <c r="LY14" s="122"/>
      <c r="LZ14" s="123"/>
      <c r="MA14" s="124"/>
      <c r="MB14" s="128"/>
      <c r="MC14" s="180" t="str">
        <f>IFERROR((((COUNTIF('Elève (5ème4)'!LY14:MB14,"A"))*4)+((COUNTIF('Elève (5ème4)'!LY14:MB14,"B"))*3)+((COUNTIF('Elève (5ème4)'!LY14:MB14,"C"))*2)+((COUNTIF('Elève (5ème4)'!LY14:MB14,"D"))*1))/(COUNTA(LY14:MB14)),"")</f>
        <v/>
      </c>
      <c r="MD14" s="181" t="str">
        <f t="shared" si="74"/>
        <v/>
      </c>
      <c r="ME14" s="180">
        <f>IF(COUNT(LR14,LW14,MC14)=0,"",SUM(LR14,LW14,MC14)/COUNT(LR14,LW14,MC14))</f>
        <v>3</v>
      </c>
      <c r="MF14" s="205" t="str">
        <f t="shared" si="75"/>
        <v>B</v>
      </c>
      <c r="MG14" s="122" t="s">
        <v>27</v>
      </c>
      <c r="MH14" s="123"/>
      <c r="MI14" s="124"/>
      <c r="MJ14" s="180">
        <f>IFERROR((((COUNTIF('Elève (5ème4)'!MG14:MI14,"A"))*4)+((COUNTIF('Elève (5ème4)'!MG14:MI14,"B"))*3)+((COUNTIF('Elève (5ème4)'!MG14:MI14,"C"))*2)+((COUNTIF('Elève (5ème4)'!MG14:MI14,"D"))*1))/(COUNTA(MG14:MI14)),"")</f>
        <v>4</v>
      </c>
      <c r="MK14" s="181" t="str">
        <f t="shared" si="76"/>
        <v>A</v>
      </c>
      <c r="ML14" s="122"/>
      <c r="MM14" s="123"/>
      <c r="MN14" s="124"/>
      <c r="MO14" s="180" t="str">
        <f>IFERROR((((COUNTIF('Elève (5ème4)'!ML14:MN14,"A"))*4)+((COUNTIF('Elève (5ème4)'!ML14:MN14,"B"))*3)+((COUNTIF('Elève (5ème4)'!ML14:MN14,"C"))*2)+((COUNTIF('Elève (5ème4)'!ML14:MN14,"D"))*1))/(COUNTA(ML14:MN14)),"")</f>
        <v/>
      </c>
      <c r="MP14" s="181" t="str">
        <f t="shared" si="77"/>
        <v/>
      </c>
      <c r="MQ14" s="122"/>
      <c r="MR14" s="123"/>
      <c r="MS14" s="124"/>
      <c r="MT14" s="128"/>
      <c r="MU14" s="180" t="str">
        <f>IFERROR((((COUNTIF('Elève (5ème4)'!MQ14:MT14,"A"))*4)+((COUNTIF('Elève (5ème4)'!MQ14:MT14,"B"))*3)+((COUNTIF('Elève (5ème4)'!MQ14:MT14,"C"))*2)+((COUNTIF('Elève (5ème4)'!MQ14:MT14,"D"))*1))/(COUNTA(MQ14:MT14)),"")</f>
        <v/>
      </c>
      <c r="MV14" s="181" t="str">
        <f t="shared" si="78"/>
        <v/>
      </c>
      <c r="MW14" s="180">
        <f>IF(COUNT(MJ14,MO14,MU14)=0,"",SUM(MJ14,MO14,MU14)/COUNT(MJ14,MO14,MU14))</f>
        <v>4</v>
      </c>
      <c r="MX14" s="205" t="str">
        <f t="shared" si="79"/>
        <v>A</v>
      </c>
      <c r="MY14" s="122" t="s">
        <v>27</v>
      </c>
      <c r="MZ14" s="123"/>
      <c r="NA14" s="124"/>
      <c r="NB14" s="180">
        <f>IFERROR((((COUNTIF('Elève (5ème4)'!MY14:NA14,"A"))*4)+((COUNTIF('Elève (5ème4)'!MY14:NA14,"B"))*3)+((COUNTIF('Elève (5ème4)'!MY14:NA14,"C"))*2)+((COUNTIF('Elève (5ème4)'!MY14:NA14,"D"))*1))/(COUNTA(MY14:NA14)),"")</f>
        <v>4</v>
      </c>
      <c r="NC14" s="181" t="str">
        <f t="shared" si="80"/>
        <v>A</v>
      </c>
      <c r="ND14" s="122"/>
      <c r="NE14" s="123"/>
      <c r="NF14" s="124"/>
      <c r="NG14" s="180" t="str">
        <f>IFERROR((((COUNTIF('Elève (5ème4)'!ND14:NF14,"A"))*4)+((COUNTIF('Elève (5ème4)'!ND14:NF14,"B"))*3)+((COUNTIF('Elève (5ème4)'!ND14:NF14,"C"))*2)+((COUNTIF('Elève (5ème4)'!ND14:NF14,"D"))*1))/(COUNTA(ND14:NF14)),"")</f>
        <v/>
      </c>
      <c r="NH14" s="181" t="str">
        <f t="shared" si="81"/>
        <v/>
      </c>
      <c r="NI14" s="122"/>
      <c r="NJ14" s="123"/>
      <c r="NK14" s="124"/>
      <c r="NL14" s="128"/>
      <c r="NM14" s="180" t="str">
        <f>IFERROR((((COUNTIF('Elève (5ème4)'!NI14:NL14,"A"))*4)+((COUNTIF('Elève (5ème4)'!NI14:NL14,"B"))*3)+((COUNTIF('Elève (5ème4)'!NI14:NL14,"C"))*2)+((COUNTIF('Elève (5ème4)'!NI14:NL14,"D"))*1))/(COUNTA(NI14:NL14)),"")</f>
        <v/>
      </c>
      <c r="NN14" s="181" t="str">
        <f t="shared" si="82"/>
        <v/>
      </c>
      <c r="NO14" s="180">
        <f>IF(COUNT(NB14,NG14,NM14)=0,"",SUM(NB14,NG14,NM14)/COUNT(NB14,NG14,NM14))</f>
        <v>4</v>
      </c>
      <c r="NP14" s="205" t="str">
        <f t="shared" si="83"/>
        <v>A</v>
      </c>
      <c r="NQ14" s="122" t="s">
        <v>27</v>
      </c>
      <c r="NR14" s="123"/>
      <c r="NS14" s="124"/>
      <c r="NT14" s="180">
        <f>IFERROR((((COUNTIF('Elève (5ème4)'!NQ14:NS14,"A"))*4)+((COUNTIF('Elève (5ème4)'!NQ14:NS14,"B"))*3)+((COUNTIF('Elève (5ème4)'!NQ14:NS14,"C"))*2)+((COUNTIF('Elève (5ème4)'!NQ14:NS14,"D"))*1))/(COUNTA(NQ14:NS14)),"")</f>
        <v>4</v>
      </c>
      <c r="NU14" s="181" t="str">
        <f t="shared" si="84"/>
        <v>A</v>
      </c>
      <c r="NV14" s="122"/>
      <c r="NW14" s="123"/>
      <c r="NX14" s="124"/>
      <c r="NY14" s="180" t="str">
        <f>IFERROR((((COUNTIF('Elève (5ème4)'!NV14:NX14,"A"))*4)+((COUNTIF('Elève (5ème4)'!NV14:NX14,"B"))*3)+((COUNTIF('Elève (5ème4)'!NV14:NX14,"C"))*2)+((COUNTIF('Elève (5ème4)'!NV14:NX14,"D"))*1))/(COUNTA(NV14:NX14)),"")</f>
        <v/>
      </c>
      <c r="NZ14" s="181" t="str">
        <f t="shared" si="85"/>
        <v/>
      </c>
      <c r="OA14" s="122"/>
      <c r="OB14" s="123"/>
      <c r="OC14" s="124"/>
      <c r="OD14" s="128"/>
      <c r="OE14" s="180" t="str">
        <f>IFERROR((((COUNTIF('Elève (5ème4)'!OA14:OD14,"A"))*4)+((COUNTIF('Elève (5ème4)'!OA14:OD14,"B"))*3)+((COUNTIF('Elève (5ème4)'!OA14:OD14,"C"))*2)+((COUNTIF('Elève (5ème4)'!OA14:OD14,"D"))*1))/(COUNTA(OA14:OD14)),"")</f>
        <v/>
      </c>
      <c r="OF14" s="181" t="str">
        <f t="shared" si="86"/>
        <v/>
      </c>
      <c r="OG14" s="180">
        <f>IF(COUNT(NT14,NY14,OE14)=0,"",SUM(NT14,NY14,OE14)/COUNT(NT14,NY14,OE14))</f>
        <v>4</v>
      </c>
      <c r="OH14" s="205" t="str">
        <f t="shared" si="87"/>
        <v>A</v>
      </c>
      <c r="OI14" s="122" t="s">
        <v>28</v>
      </c>
      <c r="OJ14" s="123"/>
      <c r="OK14" s="124"/>
      <c r="OL14" s="180">
        <f>IFERROR((((COUNTIF('Elève (5ème4)'!OI14:OK14,"A"))*4)+((COUNTIF('Elève (5ème4)'!OI14:OK14,"B"))*3)+((COUNTIF('Elève (5ème4)'!OI14:OK14,"C"))*2)+((COUNTIF('Elève (5ème4)'!OI14:OK14,"D"))*1))/(COUNTA(OI14:OK14)),"")</f>
        <v>3</v>
      </c>
      <c r="OM14" s="181" t="str">
        <f t="shared" si="88"/>
        <v>B</v>
      </c>
      <c r="ON14" s="122"/>
      <c r="OO14" s="123"/>
      <c r="OP14" s="124"/>
      <c r="OQ14" s="180" t="str">
        <f>IFERROR((((COUNTIF('Elève (5ème4)'!ON14:OP14,"A"))*4)+((COUNTIF('Elève (5ème4)'!ON14:OP14,"B"))*3)+((COUNTIF('Elève (5ème4)'!ON14:OP14,"C"))*2)+((COUNTIF('Elève (5ème4)'!ON14:OP14,"D"))*1))/(COUNTA(ON14:OP14)),"")</f>
        <v/>
      </c>
      <c r="OR14" s="181" t="str">
        <f t="shared" si="89"/>
        <v/>
      </c>
      <c r="OS14" s="122"/>
      <c r="OT14" s="123"/>
      <c r="OU14" s="124"/>
      <c r="OV14" s="128"/>
      <c r="OW14" s="180" t="str">
        <f>IFERROR((((COUNTIF('Elève (5ème4)'!OS14:OV14,"A"))*4)+((COUNTIF('Elève (5ème4)'!OS14:OV14,"B"))*3)+((COUNTIF('Elève (5ème4)'!OS14:OV14,"C"))*2)+((COUNTIF('Elève (5ème4)'!OS14:OV14,"D"))*1))/(COUNTA(OS14:OV14)),"")</f>
        <v/>
      </c>
      <c r="OX14" s="181" t="str">
        <f t="shared" si="90"/>
        <v/>
      </c>
      <c r="OY14" s="180">
        <f>IF(COUNT(OL14,OQ14,OW14)=0,"",SUM(OL14,OQ14,OW14)/COUNT(OL14,OQ14,OW14))</f>
        <v>3</v>
      </c>
      <c r="OZ14" s="205" t="str">
        <f t="shared" si="91"/>
        <v>B</v>
      </c>
      <c r="PA14" s="122" t="s">
        <v>27</v>
      </c>
      <c r="PB14" s="123"/>
      <c r="PC14" s="124"/>
      <c r="PD14" s="180">
        <f>IFERROR((((COUNTIF('Elève (5ème4)'!PA14:PC14,"A"))*4)+((COUNTIF('Elève (5ème4)'!PA14:PC14,"B"))*3)+((COUNTIF('Elève (5ème4)'!PA14:PC14,"C"))*2)+((COUNTIF('Elève (5ème4)'!PA14:PC14,"D"))*1))/(COUNTA(PA14:PC14)),"")</f>
        <v>4</v>
      </c>
      <c r="PE14" s="181" t="str">
        <f t="shared" si="92"/>
        <v>A</v>
      </c>
      <c r="PF14" s="122"/>
      <c r="PG14" s="123"/>
      <c r="PH14" s="124"/>
      <c r="PI14" s="180" t="str">
        <f>IFERROR((((COUNTIF('Elève (5ème4)'!PF14:PH14,"A"))*4)+((COUNTIF('Elève (5ème4)'!PF14:PH14,"B"))*3)+((COUNTIF('Elève (5ème4)'!PF14:PH14,"C"))*2)+((COUNTIF('Elève (5ème4)'!PF14:PH14,"D"))*1))/(COUNTA(PF14:PH14)),"")</f>
        <v/>
      </c>
      <c r="PJ14" s="181" t="str">
        <f t="shared" si="93"/>
        <v/>
      </c>
      <c r="PK14" s="122"/>
      <c r="PL14" s="123"/>
      <c r="PM14" s="124"/>
      <c r="PN14" s="128"/>
      <c r="PO14" s="180" t="str">
        <f>IFERROR((((COUNTIF('Elève (5ème4)'!PK14:PN14,"A"))*4)+((COUNTIF('Elève (5ème4)'!PK14:PN14,"B"))*3)+((COUNTIF('Elève (5ème4)'!PK14:PN14,"C"))*2)+((COUNTIF('Elève (5ème4)'!PK14:PN14,"D"))*1))/(COUNTA(PK14:PN14)),"")</f>
        <v/>
      </c>
      <c r="PP14" s="181" t="str">
        <f t="shared" si="94"/>
        <v/>
      </c>
      <c r="PQ14" s="180">
        <f>IF(COUNT(PD14,PI14,PO14)=0,"",SUM(PD14,PI14,PO14)/COUNT(PD14,PI14,PO14))</f>
        <v>4</v>
      </c>
      <c r="PR14" s="205" t="str">
        <f t="shared" si="95"/>
        <v>A</v>
      </c>
      <c r="PS14" s="122" t="s">
        <v>27</v>
      </c>
      <c r="PT14" s="123"/>
      <c r="PU14" s="124"/>
      <c r="PV14" s="180">
        <f>IFERROR((((COUNTIF('Elève (5ème4)'!PS14:PU14,"A"))*4)+((COUNTIF('Elève (5ème4)'!PS14:PU14,"B"))*3)+((COUNTIF('Elève (5ème4)'!PS14:PU14,"C"))*2)+((COUNTIF('Elève (5ème4)'!PS14:PU14,"D"))*1))/(COUNTA(PS14:PU14)),"")</f>
        <v>4</v>
      </c>
      <c r="PW14" s="181" t="str">
        <f t="shared" si="96"/>
        <v>A</v>
      </c>
      <c r="PX14" s="122"/>
      <c r="PY14" s="123"/>
      <c r="PZ14" s="124"/>
      <c r="QA14" s="180" t="str">
        <f>IFERROR((((COUNTIF('Elève (5ème4)'!PX14:PZ14,"A"))*4)+((COUNTIF('Elève (5ème4)'!PX14:PZ14,"B"))*3)+((COUNTIF('Elève (5ème4)'!PX14:PZ14,"C"))*2)+((COUNTIF('Elève (5ème4)'!PX14:PZ14,"D"))*1))/(COUNTA(PX14:PZ14)),"")</f>
        <v/>
      </c>
      <c r="QB14" s="181" t="str">
        <f t="shared" si="97"/>
        <v/>
      </c>
      <c r="QC14" s="122"/>
      <c r="QD14" s="123"/>
      <c r="QE14" s="124"/>
      <c r="QF14" s="128"/>
      <c r="QG14" s="180" t="str">
        <f>IFERROR((((COUNTIF('Elève (5ème4)'!QC14:QF14,"A"))*4)+((COUNTIF('Elève (5ème4)'!QC14:QF14,"B"))*3)+((COUNTIF('Elève (5ème4)'!QC14:QF14,"C"))*2)+((COUNTIF('Elève (5ème4)'!QC14:QF14,"D"))*1))/(COUNTA(QC14:QF14)),"")</f>
        <v/>
      </c>
      <c r="QH14" s="181" t="str">
        <f t="shared" si="98"/>
        <v/>
      </c>
      <c r="QI14" s="180">
        <f>IF(COUNT(PV14,QA14,QG14)=0,"",SUM(PV14,QA14,QG14)/COUNT(PV14,QA14,QG14))</f>
        <v>4</v>
      </c>
      <c r="QJ14" s="205" t="str">
        <f t="shared" si="99"/>
        <v>A</v>
      </c>
      <c r="QK14" s="122" t="s">
        <v>28</v>
      </c>
      <c r="QL14" s="123"/>
      <c r="QM14" s="124"/>
      <c r="QN14" s="180">
        <f>IFERROR((((COUNTIF('Elève (5ème4)'!QK14:QM14,"A"))*4)+((COUNTIF('Elève (5ème4)'!QK14:QM14,"B"))*3)+((COUNTIF('Elève (5ème4)'!QK14:QM14,"C"))*2)+((COUNTIF('Elève (5ème4)'!QK14:QM14,"D"))*1))/(COUNTA(QK14:QM14)),"")</f>
        <v>3</v>
      </c>
      <c r="QO14" s="181" t="str">
        <f t="shared" si="100"/>
        <v>B</v>
      </c>
      <c r="QP14" s="122"/>
      <c r="QQ14" s="123"/>
      <c r="QR14" s="124"/>
      <c r="QS14" s="180" t="str">
        <f>IFERROR((((COUNTIF('Elève (5ème4)'!QP14:QR14,"A"))*4)+((COUNTIF('Elève (5ème4)'!QP14:QR14,"B"))*3)+((COUNTIF('Elève (5ème4)'!QP14:QR14,"C"))*2)+((COUNTIF('Elève (5ème4)'!QP14:QR14,"D"))*1))/(COUNTA(QP14:QR14)),"")</f>
        <v/>
      </c>
      <c r="QT14" s="181" t="str">
        <f t="shared" si="101"/>
        <v/>
      </c>
      <c r="QU14" s="122"/>
      <c r="QV14" s="123"/>
      <c r="QW14" s="124"/>
      <c r="QX14" s="128"/>
      <c r="QY14" s="180" t="str">
        <f>IFERROR((((COUNTIF('Elève (5ème4)'!QU14:QX14,"A"))*4)+((COUNTIF('Elève (5ème4)'!QU14:QX14,"B"))*3)+((COUNTIF('Elève (5ème4)'!QU14:QX14,"C"))*2)+((COUNTIF('Elève (5ème4)'!QU14:QX14,"D"))*1))/(COUNTA(QU14:QX14)),"")</f>
        <v/>
      </c>
      <c r="QZ14" s="181" t="str">
        <f t="shared" si="102"/>
        <v/>
      </c>
      <c r="RA14" s="180">
        <f>IF(COUNT(QN14,QS14,QY14)=0,"",SUM(QN14,QS14,QY14)/COUNT(QN14,QS14,QY14))</f>
        <v>3</v>
      </c>
      <c r="RB14" s="205" t="str">
        <f t="shared" si="103"/>
        <v>B</v>
      </c>
      <c r="RC14" s="122" t="s">
        <v>27</v>
      </c>
      <c r="RD14" s="123"/>
      <c r="RE14" s="124"/>
      <c r="RF14" s="180">
        <f>IFERROR((((COUNTIF('Elève (5ème4)'!RC14:RE14,"A"))*4)+((COUNTIF('Elève (5ème4)'!RC14:RE14,"B"))*3)+((COUNTIF('Elève (5ème4)'!RC14:RE14,"C"))*2)+((COUNTIF('Elève (5ème4)'!RC14:RE14,"D"))*1))/(COUNTA(RC14:RE14)),"")</f>
        <v>4</v>
      </c>
      <c r="RG14" s="181" t="str">
        <f t="shared" si="104"/>
        <v>A</v>
      </c>
      <c r="RH14" s="122"/>
      <c r="RI14" s="123"/>
      <c r="RJ14" s="124"/>
      <c r="RK14" s="180" t="str">
        <f>IFERROR((((COUNTIF('Elève (5ème4)'!RH14:RJ14,"A"))*4)+((COUNTIF('Elève (5ème4)'!RH14:RJ14,"B"))*3)+((COUNTIF('Elève (5ème4)'!RH14:RJ14,"C"))*2)+((COUNTIF('Elève (5ème4)'!RH14:RJ14,"D"))*1))/(COUNTA(RH14:RJ14)),"")</f>
        <v/>
      </c>
      <c r="RL14" s="181" t="str">
        <f t="shared" si="105"/>
        <v/>
      </c>
      <c r="RM14" s="122"/>
      <c r="RN14" s="123"/>
      <c r="RO14" s="124"/>
      <c r="RP14" s="128"/>
      <c r="RQ14" s="180" t="str">
        <f>IFERROR((((COUNTIF('Elève (5ème4)'!RM14:RP14,"A"))*4)+((COUNTIF('Elève (5ème4)'!RM14:RP14,"B"))*3)+((COUNTIF('Elève (5ème4)'!RM14:RP14,"C"))*2)+((COUNTIF('Elève (5ème4)'!RM14:RP14,"D"))*1))/(COUNTA(RM14:RP14)),"")</f>
        <v/>
      </c>
      <c r="RR14" s="181" t="str">
        <f t="shared" si="106"/>
        <v/>
      </c>
      <c r="RS14" s="180">
        <f>IF(COUNT(RF14,RK14,RQ14)=0,"",SUM(RF14,RK14,RQ14)/COUNT(RF14,RK14,RQ14))</f>
        <v>4</v>
      </c>
      <c r="RT14" s="205" t="str">
        <f t="shared" si="107"/>
        <v>A</v>
      </c>
      <c r="RU14" s="122" t="s">
        <v>27</v>
      </c>
      <c r="RV14" s="123"/>
      <c r="RW14" s="124"/>
      <c r="RX14" s="180">
        <f>IFERROR((((COUNTIF('Elève (5ème4)'!RU14:RW14,"A"))*4)+((COUNTIF('Elève (5ème4)'!RU14:RW14,"B"))*3)+((COUNTIF('Elève (5ème4)'!RU14:RW14,"C"))*2)+((COUNTIF('Elève (5ème4)'!RU14:RW14,"D"))*1))/(COUNTA(RU14:RW14)),"")</f>
        <v>4</v>
      </c>
      <c r="RY14" s="181" t="str">
        <f t="shared" si="108"/>
        <v>A</v>
      </c>
      <c r="RZ14" s="122"/>
      <c r="SA14" s="123"/>
      <c r="SB14" s="124"/>
      <c r="SC14" s="180" t="str">
        <f>IFERROR((((COUNTIF('Elève (5ème4)'!RZ14:SB14,"A"))*4)+((COUNTIF('Elève (5ème4)'!RZ14:SB14,"B"))*3)+((COUNTIF('Elève (5ème4)'!RZ14:SB14,"C"))*2)+((COUNTIF('Elève (5ème4)'!RZ14:SB14,"D"))*1))/(COUNTA(RZ14:SB14)),"")</f>
        <v/>
      </c>
      <c r="SD14" s="181" t="str">
        <f t="shared" si="109"/>
        <v/>
      </c>
      <c r="SE14" s="122"/>
      <c r="SF14" s="123"/>
      <c r="SG14" s="124"/>
      <c r="SH14" s="128"/>
      <c r="SI14" s="180" t="str">
        <f>IFERROR((((COUNTIF('Elève (5ème4)'!SE14:SH14,"A"))*4)+((COUNTIF('Elève (5ème4)'!SE14:SH14,"B"))*3)+((COUNTIF('Elève (5ème4)'!SE14:SH14,"C"))*2)+((COUNTIF('Elève (5ème4)'!SE14:SH14,"D"))*1))/(COUNTA(SE14:SH14)),"")</f>
        <v/>
      </c>
      <c r="SJ14" s="181" t="str">
        <f t="shared" si="110"/>
        <v/>
      </c>
      <c r="SK14" s="180">
        <f>IF(COUNT(RX14,SC14,SI14)=0,"",SUM(RX14,SC14,SI14)/COUNT(RX14,SC14,SI14))</f>
        <v>4</v>
      </c>
      <c r="SL14" s="205" t="str">
        <f t="shared" si="111"/>
        <v>A</v>
      </c>
      <c r="SM14" s="122"/>
      <c r="SN14" s="123"/>
      <c r="SO14" s="124"/>
      <c r="SP14" s="118" t="str">
        <f>IFERROR((((COUNTIF('Elève (5ème4)'!SM14:SO14,"A"))*4)+((COUNTIF('Elève (5ème4)'!SM14:SO14,"B"))*3)+((COUNTIF('Elève (5ème4)'!SM14:SO14,"C"))*2)+((COUNTIF('Elève (5ème4)'!SM14:SO14,"D"))*1))/(COUNTA(SM14:SO14)),"")</f>
        <v/>
      </c>
      <c r="SQ14" s="119" t="str">
        <f t="shared" si="112"/>
        <v/>
      </c>
      <c r="SR14" s="122"/>
      <c r="SS14" s="123"/>
      <c r="ST14" s="124"/>
      <c r="SU14" s="118" t="str">
        <f>IFERROR((((COUNTIF('Elève (5ème4)'!SR14:ST14,"A"))*4)+((COUNTIF('Elève (5ème4)'!SR14:ST14,"B"))*3)+((COUNTIF('Elève (5ème4)'!SR14:ST14,"C"))*2)+((COUNTIF('Elève (5ème4)'!SR14:ST14,"D"))*1))/(COUNTA(SR14:ST14)),"")</f>
        <v/>
      </c>
      <c r="SV14" s="119" t="str">
        <f t="shared" si="113"/>
        <v/>
      </c>
      <c r="SW14" s="122"/>
      <c r="SX14" s="123"/>
      <c r="SY14" s="128"/>
      <c r="SZ14" s="118" t="str">
        <f>IFERROR((((COUNTIF('Elève (5ème4)'!SW14:SY14,"A"))*4)+((COUNTIF('Elève (5ème4)'!SW14:SY14,"B"))*3)+((COUNTIF('Elève (5ème4)'!SW14:SY14,"C"))*2)+((COUNTIF('Elève (5ème4)'!SW14:SY14,"D"))*1))/(COUNTA(SW14:SY14)),"")</f>
        <v/>
      </c>
      <c r="TA14" s="119" t="str">
        <f t="shared" si="114"/>
        <v/>
      </c>
      <c r="TB14" s="118" t="str">
        <f>IF(COUNT(SP14,SU14,SZ14)=0,"",SUM(SP14,SU14,SZ14)/COUNT(SP14,SU14,SZ14))</f>
        <v/>
      </c>
      <c r="TC14" s="120" t="str">
        <f t="shared" si="115"/>
        <v/>
      </c>
      <c r="TD14" s="122"/>
      <c r="TE14" s="123"/>
      <c r="TF14" s="124"/>
      <c r="TG14" s="118" t="str">
        <f>IFERROR((((COUNTIF('Elève (5ème4)'!TD14:TF14,"A"))*4)+((COUNTIF('Elève (5ème4)'!TD14:TF14,"B"))*3)+((COUNTIF('Elève (5ème4)'!TD14:TF14,"C"))*2)+((COUNTIF('Elève (5ème4)'!TD14:TF14,"D"))*1))/(COUNTA(TD14:TF14)),"")</f>
        <v/>
      </c>
      <c r="TH14" s="119" t="str">
        <f t="shared" si="116"/>
        <v/>
      </c>
      <c r="TI14" s="122"/>
      <c r="TJ14" s="123"/>
      <c r="TK14" s="124"/>
      <c r="TL14" s="118" t="str">
        <f>IFERROR((((COUNTIF('Elève (5ème4)'!TI14:TK14,"A"))*4)+((COUNTIF('Elève (5ème4)'!TI14:TK14,"B"))*3)+((COUNTIF('Elève (5ème4)'!TI14:TK14,"C"))*2)+((COUNTIF('Elève (5ème4)'!TI14:TK14,"D"))*1))/(COUNTA(TI14:TK14)),"")</f>
        <v/>
      </c>
      <c r="TM14" s="119" t="str">
        <f t="shared" si="117"/>
        <v/>
      </c>
      <c r="TN14" s="122"/>
      <c r="TO14" s="123"/>
      <c r="TP14" s="128"/>
      <c r="TQ14" s="118" t="str">
        <f>IFERROR((((COUNTIF('Elève (5ème4)'!TN14:TP14,"A"))*4)+((COUNTIF('Elève (5ème4)'!TN14:TP14,"B"))*3)+((COUNTIF('Elève (5ème4)'!TN14:TP14,"C"))*2)+((COUNTIF('Elève (5ème4)'!TN14:TP14,"D"))*1))/(COUNTA(TN14:TP14)),"")</f>
        <v/>
      </c>
      <c r="TR14" s="119" t="str">
        <f t="shared" si="118"/>
        <v/>
      </c>
      <c r="TS14" s="118" t="str">
        <f>IF(COUNT(TG14,TL14,TQ14)=0,"",SUM(TG14,TL14,TQ14)/COUNT(TG14,TL14,TQ14))</f>
        <v/>
      </c>
      <c r="TT14" s="120" t="str">
        <f t="shared" si="119"/>
        <v/>
      </c>
    </row>
    <row r="15" spans="1:540" ht="18" customHeight="1" thickBot="1" x14ac:dyDescent="0.3">
      <c r="A15" s="238" t="s">
        <v>37</v>
      </c>
      <c r="B15" s="239"/>
      <c r="C15" s="129"/>
      <c r="D15" s="130"/>
      <c r="E15" s="131"/>
      <c r="F15" s="184" t="str">
        <f>IFERROR((((COUNTIF('Elève (5ème4)'!C15:E15,"A"))*4)+((COUNTIF('Elève (5ème4)'!C15:E15,"B"))*3)+((COUNTIF('Elève (5ème4)'!C15:E15,"C"))*2)+((COUNTIF('Elève (5ème4)'!C15:E15,"D"))*1))/(COUNTA(C15:E15)),"")</f>
        <v/>
      </c>
      <c r="G15" s="185" t="str">
        <f t="shared" si="0"/>
        <v/>
      </c>
      <c r="H15" s="129"/>
      <c r="I15" s="130" t="s">
        <v>27</v>
      </c>
      <c r="J15" s="131" t="s">
        <v>27</v>
      </c>
      <c r="K15" s="184">
        <f>IFERROR((((COUNTIF('Elève (5ème4)'!H15:J15,"A"))*4)+((COUNTIF('Elève (5ème4)'!H15:J15,"B"))*3)+((COUNTIF('Elève (5ème4)'!H15:J15,"C"))*2)+((COUNTIF('Elève (5ème4)'!H15:J15,"D"))*1))/(COUNTA(H15:J15)),"")</f>
        <v>4</v>
      </c>
      <c r="L15" s="185" t="str">
        <f t="shared" si="1"/>
        <v>A</v>
      </c>
      <c r="M15" s="129"/>
      <c r="N15" s="130"/>
      <c r="O15" s="131" t="s">
        <v>28</v>
      </c>
      <c r="P15" s="131"/>
      <c r="Q15" s="184">
        <f>IFERROR((((COUNTIF('Elève (5ème4)'!M15:P15,"A"))*4)+((COUNTIF('Elève (5ème4)'!M15:P15,"B"))*3)+((COUNTIF('Elève (5ème4)'!M15:P15,"C"))*2)+((COUNTIF('Elève (5ème4)'!M15:P15,"D"))*1))/(COUNTA(M15:P15)),"")</f>
        <v>3</v>
      </c>
      <c r="R15" s="185" t="str">
        <f t="shared" si="2"/>
        <v>B</v>
      </c>
      <c r="S15" s="209">
        <f>IF(COUNT(F15,K15,Q15)=0,"",SUM(F15,K15,Q15)/COUNT(F15,K15,Q15))</f>
        <v>3.5</v>
      </c>
      <c r="T15" s="207" t="str">
        <f t="shared" si="3"/>
        <v>B</v>
      </c>
      <c r="U15" s="129"/>
      <c r="V15" s="130"/>
      <c r="W15" s="131"/>
      <c r="X15" s="184" t="str">
        <f>IFERROR((((COUNTIF('Elève (5ème4)'!U15:W15,"A"))*4)+((COUNTIF('Elève (5ème4)'!U15:W15,"B"))*3)+((COUNTIF('Elève (5ème4)'!U15:W15,"C"))*2)+((COUNTIF('Elève (5ème4)'!U15:W15,"D"))*1))/(COUNTA(U15:W15)),"")</f>
        <v/>
      </c>
      <c r="Y15" s="185" t="str">
        <f t="shared" si="4"/>
        <v/>
      </c>
      <c r="Z15" s="129"/>
      <c r="AA15" s="130" t="s">
        <v>27</v>
      </c>
      <c r="AB15" s="131"/>
      <c r="AC15" s="184">
        <f>IFERROR((((COUNTIF('Elève (5ème4)'!Z15:AB15,"A"))*4)+((COUNTIF('Elève (5ème4)'!Z15:AB15,"B"))*3)+((COUNTIF('Elève (5ème4)'!Z15:AB15,"C"))*2)+((COUNTIF('Elève (5ème4)'!Z15:AB15,"D"))*1))/(COUNTA(Z15:AB15)),"")</f>
        <v>4</v>
      </c>
      <c r="AD15" s="185" t="str">
        <f t="shared" si="5"/>
        <v>A</v>
      </c>
      <c r="AE15" s="129"/>
      <c r="AF15" s="130"/>
      <c r="AG15" s="131" t="s">
        <v>29</v>
      </c>
      <c r="AH15" s="135"/>
      <c r="AI15" s="184">
        <f>IFERROR((((COUNTIF('Elève (5ème4)'!AE15:AH15,"A"))*4)+((COUNTIF('Elève (5ème4)'!AE15:AH15,"B"))*3)+((COUNTIF('Elève (5ème4)'!AE15:AH15,"C"))*2)+((COUNTIF('Elève (5ème4)'!AE15:AH15,"D"))*1))/(COUNTA(AE15:AH15)),"")</f>
        <v>2</v>
      </c>
      <c r="AJ15" s="185" t="str">
        <f t="shared" si="6"/>
        <v>C</v>
      </c>
      <c r="AK15" s="209">
        <f>IF(COUNT(X15,AC15,AI15)=0,"",SUM(X15,AC15,AI15)/COUNT(X15,AC15,AI15))</f>
        <v>3</v>
      </c>
      <c r="AL15" s="207" t="str">
        <f t="shared" si="7"/>
        <v>B</v>
      </c>
      <c r="AM15" s="129"/>
      <c r="AN15" s="130"/>
      <c r="AO15" s="131"/>
      <c r="AP15" s="184" t="str">
        <f>IFERROR((((COUNTIF('Elève (5ème4)'!AM15:AO15,"A"))*4)+((COUNTIF('Elève (5ème4)'!AM15:AO15,"B"))*3)+((COUNTIF('Elève (5ème4)'!AM15:AO15,"C"))*2)+((COUNTIF('Elève (5ème4)'!AM15:AO15,"D"))*1))/(COUNTA(AM15:AO15)),"")</f>
        <v/>
      </c>
      <c r="AQ15" s="185" t="str">
        <f t="shared" si="8"/>
        <v/>
      </c>
      <c r="AR15" s="129"/>
      <c r="AS15" s="130" t="s">
        <v>27</v>
      </c>
      <c r="AT15" s="131" t="s">
        <v>27</v>
      </c>
      <c r="AU15" s="184">
        <f>IFERROR((((COUNTIF('Elève (5ème4)'!AR15:AT15,"A"))*4)+((COUNTIF('Elève (5ème4)'!AR15:AT15,"B"))*3)+((COUNTIF('Elève (5ème4)'!AR15:AT15,"C"))*2)+((COUNTIF('Elève (5ème4)'!AR15:AT15,"D"))*1))/(COUNTA(AR15:AT15)),"")</f>
        <v>4</v>
      </c>
      <c r="AV15" s="185" t="str">
        <f t="shared" si="9"/>
        <v>A</v>
      </c>
      <c r="AW15" s="129"/>
      <c r="AX15" s="130"/>
      <c r="AY15" s="131" t="s">
        <v>29</v>
      </c>
      <c r="AZ15" s="135"/>
      <c r="BA15" s="184">
        <f>IFERROR((((COUNTIF('Elève (5ème4)'!AW15:AZ15,"A"))*4)+((COUNTIF('Elève (5ème4)'!AW15:AZ15,"B"))*3)+((COUNTIF('Elève (5ème4)'!AW15:AZ15,"C"))*2)+((COUNTIF('Elève (5ème4)'!AW15:AZ15,"D"))*1))/(COUNTA(AW15:AZ15)),"")</f>
        <v>2</v>
      </c>
      <c r="BB15" s="185" t="str">
        <f t="shared" si="10"/>
        <v>C</v>
      </c>
      <c r="BC15" s="209">
        <f>IF(COUNT(AP15,AU15,BA15)=0,"",SUM(AP15,AU15,BA15)/COUNT(AP15,AU15,BA15))</f>
        <v>3</v>
      </c>
      <c r="BD15" s="207" t="str">
        <f t="shared" si="11"/>
        <v>B</v>
      </c>
      <c r="BE15" s="129"/>
      <c r="BF15" s="130"/>
      <c r="BG15" s="131"/>
      <c r="BH15" s="184" t="str">
        <f>IFERROR((((COUNTIF('Elève (5ème4)'!BE15:BG15,"A"))*4)+((COUNTIF('Elève (5ème4)'!BE15:BG15,"B"))*3)+((COUNTIF('Elève (5ème4)'!BE15:BG15,"C"))*2)+((COUNTIF('Elève (5ème4)'!BE15:BG15,"D"))*1))/(COUNTA(BE15:BG15)),"")</f>
        <v/>
      </c>
      <c r="BI15" s="185" t="str">
        <f t="shared" si="12"/>
        <v/>
      </c>
      <c r="BJ15" s="129"/>
      <c r="BK15" s="130" t="s">
        <v>27</v>
      </c>
      <c r="BL15" s="131" t="s">
        <v>27</v>
      </c>
      <c r="BM15" s="184">
        <f>IFERROR((((COUNTIF('Elève (5ème4)'!BJ15:BL15,"A"))*4)+((COUNTIF('Elève (5ème4)'!BJ15:BL15,"B"))*3)+((COUNTIF('Elève (5ème4)'!BJ15:BL15,"C"))*2)+((COUNTIF('Elève (5ème4)'!BJ15:BL15,"D"))*1))/(COUNTA(BJ15:BL15)),"")</f>
        <v>4</v>
      </c>
      <c r="BN15" s="185" t="str">
        <f t="shared" si="13"/>
        <v>A</v>
      </c>
      <c r="BO15" s="129"/>
      <c r="BP15" s="130"/>
      <c r="BQ15" s="131" t="s">
        <v>29</v>
      </c>
      <c r="BR15" s="135"/>
      <c r="BS15" s="184">
        <f>IFERROR((((COUNTIF('Elève (5ème4)'!BO15:BR15,"A"))*4)+((COUNTIF('Elève (5ème4)'!BO15:BR15,"B"))*3)+((COUNTIF('Elève (5ème4)'!BO15:BR15,"C"))*2)+((COUNTIF('Elève (5ème4)'!BO15:BR15,"D"))*1))/(COUNTA(BO15:BR15)),"")</f>
        <v>2</v>
      </c>
      <c r="BT15" s="185" t="str">
        <f t="shared" si="14"/>
        <v>C</v>
      </c>
      <c r="BU15" s="209">
        <f>IF(COUNT(BH15,BM15,BS15)=0,"",SUM(BH15,BM15,BS15)/COUNT(BH15,BM15,BS15))</f>
        <v>3</v>
      </c>
      <c r="BV15" s="207" t="str">
        <f t="shared" si="15"/>
        <v>B</v>
      </c>
      <c r="BW15" s="129"/>
      <c r="BX15" s="130"/>
      <c r="BY15" s="131"/>
      <c r="BZ15" s="184" t="str">
        <f>IFERROR((((COUNTIF('Elève (5ème4)'!BW15:BY15,"A"))*4)+((COUNTIF('Elève (5ème4)'!BW15:BY15,"B"))*3)+((COUNTIF('Elève (5ème4)'!BW15:BY15,"C"))*2)+((COUNTIF('Elève (5ème4)'!BW15:BY15,"D"))*1))/(COUNTA(BW15:BY15)),"")</f>
        <v/>
      </c>
      <c r="CA15" s="185" t="str">
        <f t="shared" si="16"/>
        <v/>
      </c>
      <c r="CB15" s="129"/>
      <c r="CC15" s="130" t="s">
        <v>27</v>
      </c>
      <c r="CD15" s="131" t="s">
        <v>27</v>
      </c>
      <c r="CE15" s="184">
        <f>IFERROR((((COUNTIF('Elève (5ème4)'!CB15:CD15,"A"))*4)+((COUNTIF('Elève (5ème4)'!CB15:CD15,"B"))*3)+((COUNTIF('Elève (5ème4)'!CB15:CD15,"C"))*2)+((COUNTIF('Elève (5ème4)'!CB15:CD15,"D"))*1))/(COUNTA(CB15:CD15)),"")</f>
        <v>4</v>
      </c>
      <c r="CF15" s="185" t="str">
        <f t="shared" si="17"/>
        <v>A</v>
      </c>
      <c r="CG15" s="129"/>
      <c r="CH15" s="130"/>
      <c r="CI15" s="131" t="s">
        <v>29</v>
      </c>
      <c r="CJ15" s="135"/>
      <c r="CK15" s="184">
        <f>IFERROR((((COUNTIF('Elève (5ème4)'!CG15:CJ15,"A"))*4)+((COUNTIF('Elève (5ème4)'!CG15:CJ15,"B"))*3)+((COUNTIF('Elève (5ème4)'!CG15:CJ15,"C"))*2)+((COUNTIF('Elève (5ème4)'!CG15:CJ15,"D"))*1))/(COUNTA(CG15:CJ15)),"")</f>
        <v>2</v>
      </c>
      <c r="CL15" s="185" t="str">
        <f t="shared" si="18"/>
        <v>C</v>
      </c>
      <c r="CM15" s="209">
        <f>IF(COUNT(BZ15,CE15,CK15)=0,"",SUM(BZ15,CE15,CK15)/COUNT(BZ15,CE15,CK15))</f>
        <v>3</v>
      </c>
      <c r="CN15" s="207" t="str">
        <f t="shared" si="19"/>
        <v>B</v>
      </c>
      <c r="CO15" s="129"/>
      <c r="CP15" s="130"/>
      <c r="CQ15" s="131"/>
      <c r="CR15" s="184" t="str">
        <f>IFERROR((((COUNTIF('Elève (5ème4)'!CO15:CQ15,"A"))*4)+((COUNTIF('Elève (5ème4)'!CO15:CQ15,"B"))*3)+((COUNTIF('Elève (5ème4)'!CO15:CQ15,"C"))*2)+((COUNTIF('Elève (5ème4)'!CO15:CQ15,"D"))*1))/(COUNTA(CO15:CQ15)),"")</f>
        <v/>
      </c>
      <c r="CS15" s="185" t="str">
        <f t="shared" si="20"/>
        <v/>
      </c>
      <c r="CT15" s="129"/>
      <c r="CU15" s="130" t="s">
        <v>27</v>
      </c>
      <c r="CV15" s="131" t="s">
        <v>29</v>
      </c>
      <c r="CW15" s="184">
        <f>IFERROR((((COUNTIF('Elève (5ème4)'!CT15:CV15,"A"))*4)+((COUNTIF('Elève (5ème4)'!CT15:CV15,"B"))*3)+((COUNTIF('Elève (5ème4)'!CT15:CV15,"C"))*2)+((COUNTIF('Elève (5ème4)'!CT15:CV15,"D"))*1))/(COUNTA(CT15:CV15)),"")</f>
        <v>3</v>
      </c>
      <c r="CX15" s="185" t="str">
        <f t="shared" si="21"/>
        <v>B</v>
      </c>
      <c r="CY15" s="129"/>
      <c r="CZ15" s="130"/>
      <c r="DA15" s="131" t="s">
        <v>29</v>
      </c>
      <c r="DB15" s="135"/>
      <c r="DC15" s="184">
        <f>IFERROR((((COUNTIF('Elève (5ème4)'!CY15:DB15,"A"))*4)+((COUNTIF('Elève (5ème4)'!CY15:DB15,"B"))*3)+((COUNTIF('Elève (5ème4)'!CY15:DB15,"C"))*2)+((COUNTIF('Elève (5ème4)'!CY15:DB15,"D"))*1))/(COUNTA(CY15:DB15)),"")</f>
        <v>2</v>
      </c>
      <c r="DD15" s="185" t="str">
        <f t="shared" si="22"/>
        <v>C</v>
      </c>
      <c r="DE15" s="209">
        <f>IF(COUNT(CR15,CW15,DC15)=0,"",SUM(CR15,CW15,DC15)/COUNT(CR15,CW15,DC15))</f>
        <v>2.5</v>
      </c>
      <c r="DF15" s="207" t="str">
        <f t="shared" si="23"/>
        <v>C</v>
      </c>
      <c r="DG15" s="129"/>
      <c r="DH15" s="130"/>
      <c r="DI15" s="131"/>
      <c r="DJ15" s="184" t="str">
        <f>IFERROR((((COUNTIF('Elève (5ème4)'!DG15:DI15,"A"))*4)+((COUNTIF('Elève (5ème4)'!DG15:DI15,"B"))*3)+((COUNTIF('Elève (5ème4)'!DG15:DI15,"C"))*2)+((COUNTIF('Elève (5ème4)'!DG15:DI15,"D"))*1))/(COUNTA(DG15:DI15)),"")</f>
        <v/>
      </c>
      <c r="DK15" s="185" t="str">
        <f t="shared" si="24"/>
        <v/>
      </c>
      <c r="DL15" s="129"/>
      <c r="DM15" s="130" t="s">
        <v>27</v>
      </c>
      <c r="DN15" s="131" t="s">
        <v>27</v>
      </c>
      <c r="DO15" s="184">
        <f>IFERROR((((COUNTIF('Elève (5ème4)'!DL15:DN15,"A"))*4)+((COUNTIF('Elève (5ème4)'!DL15:DN15,"B"))*3)+((COUNTIF('Elève (5ème4)'!DL15:DN15,"C"))*2)+((COUNTIF('Elève (5ème4)'!DL15:DN15,"D"))*1))/(COUNTA(DL15:DN15)),"")</f>
        <v>4</v>
      </c>
      <c r="DP15" s="185" t="str">
        <f t="shared" si="25"/>
        <v>A</v>
      </c>
      <c r="DQ15" s="129"/>
      <c r="DR15" s="130"/>
      <c r="DS15" s="131" t="s">
        <v>29</v>
      </c>
      <c r="DT15" s="135"/>
      <c r="DU15" s="184">
        <f>IFERROR((((COUNTIF('Elève (5ème4)'!DQ15:DT15,"A"))*4)+((COUNTIF('Elève (5ème4)'!DQ15:DT15,"B"))*3)+((COUNTIF('Elève (5ème4)'!DQ15:DT15,"C"))*2)+((COUNTIF('Elève (5ème4)'!DQ15:DT15,"D"))*1))/(COUNTA(DQ15:DT15)),"")</f>
        <v>2</v>
      </c>
      <c r="DV15" s="185" t="str">
        <f t="shared" si="26"/>
        <v>C</v>
      </c>
      <c r="DW15" s="209">
        <f>IF(COUNT(DJ15,DO15,DU15)=0,"",SUM(DJ15,DO15,DU15)/COUNT(DJ15,DO15,DU15))</f>
        <v>3</v>
      </c>
      <c r="DX15" s="207" t="str">
        <f t="shared" si="27"/>
        <v>B</v>
      </c>
      <c r="DY15" s="129"/>
      <c r="DZ15" s="130"/>
      <c r="EA15" s="131"/>
      <c r="EB15" s="184" t="str">
        <f>IFERROR((((COUNTIF('Elève (5ème4)'!DY15:EA15,"A"))*4)+((COUNTIF('Elève (5ème4)'!DY15:EA15,"B"))*3)+((COUNTIF('Elève (5ème4)'!DY15:EA15,"C"))*2)+((COUNTIF('Elève (5ème4)'!DY15:EA15,"D"))*1))/(COUNTA(DY15:EA15)),"")</f>
        <v/>
      </c>
      <c r="EC15" s="185" t="str">
        <f t="shared" si="28"/>
        <v/>
      </c>
      <c r="ED15" s="129"/>
      <c r="EE15" s="130" t="s">
        <v>27</v>
      </c>
      <c r="EF15" s="131" t="s">
        <v>29</v>
      </c>
      <c r="EG15" s="184">
        <f>IFERROR((((COUNTIF('Elève (5ème4)'!ED15:EF15,"A"))*4)+((COUNTIF('Elève (5ème4)'!ED15:EF15,"B"))*3)+((COUNTIF('Elève (5ème4)'!ED15:EF15,"C"))*2)+((COUNTIF('Elève (5ème4)'!ED15:EF15,"D"))*1))/(COUNTA(ED15:EF15)),"")</f>
        <v>3</v>
      </c>
      <c r="EH15" s="185" t="str">
        <f t="shared" si="29"/>
        <v>B</v>
      </c>
      <c r="EI15" s="129"/>
      <c r="EJ15" s="130"/>
      <c r="EK15" s="131" t="s">
        <v>29</v>
      </c>
      <c r="EL15" s="135"/>
      <c r="EM15" s="184">
        <f>IFERROR((((COUNTIF('Elève (5ème4)'!EI15:EL15,"A"))*4)+((COUNTIF('Elève (5ème4)'!EI15:EL15,"B"))*3)+((COUNTIF('Elève (5ème4)'!EI15:EL15,"C"))*2)+((COUNTIF('Elève (5ème4)'!EI15:EL15,"D"))*1))/(COUNTA(EI15:EL15)),"")</f>
        <v>2</v>
      </c>
      <c r="EN15" s="185" t="str">
        <f t="shared" si="30"/>
        <v>C</v>
      </c>
      <c r="EO15" s="209">
        <f>IF(COUNT(EB15,EG15,EM15)=0,"",SUM(EB15,EG15,EM15)/COUNT(EB15,EG15,EM15))</f>
        <v>2.5</v>
      </c>
      <c r="EP15" s="207" t="str">
        <f t="shared" si="31"/>
        <v>C</v>
      </c>
      <c r="EQ15" s="129"/>
      <c r="ER15" s="130"/>
      <c r="ES15" s="131"/>
      <c r="ET15" s="184" t="str">
        <f>IFERROR((((COUNTIF('Elève (5ème4)'!EQ15:ES15,"A"))*4)+((COUNTIF('Elève (5ème4)'!EQ15:ES15,"B"))*3)+((COUNTIF('Elève (5ème4)'!EQ15:ES15,"C"))*2)+((COUNTIF('Elève (5ème4)'!EQ15:ES15,"D"))*1))/(COUNTA(EQ15:ES15)),"")</f>
        <v/>
      </c>
      <c r="EU15" s="185" t="str">
        <f t="shared" si="32"/>
        <v/>
      </c>
      <c r="EV15" s="129"/>
      <c r="EW15" s="130" t="s">
        <v>27</v>
      </c>
      <c r="EX15" s="131" t="s">
        <v>27</v>
      </c>
      <c r="EY15" s="184">
        <f>IFERROR((((COUNTIF('Elève (5ème4)'!EV15:EX15,"A"))*4)+((COUNTIF('Elève (5ème4)'!EV15:EX15,"B"))*3)+((COUNTIF('Elève (5ème4)'!EV15:EX15,"C"))*2)+((COUNTIF('Elève (5ème4)'!EV15:EX15,"D"))*1))/(COUNTA(EV15:EX15)),"")</f>
        <v>4</v>
      </c>
      <c r="EZ15" s="185" t="str">
        <f t="shared" si="33"/>
        <v>A</v>
      </c>
      <c r="FA15" s="129"/>
      <c r="FB15" s="130"/>
      <c r="FC15" s="131" t="s">
        <v>29</v>
      </c>
      <c r="FD15" s="135"/>
      <c r="FE15" s="184">
        <f>IFERROR((((COUNTIF('Elève (5ème4)'!FA15:FD15,"A"))*4)+((COUNTIF('Elève (5ème4)'!FA15:FD15,"B"))*3)+((COUNTIF('Elève (5ème4)'!FA15:FD15,"C"))*2)+((COUNTIF('Elève (5ème4)'!FA15:FD15,"D"))*1))/(COUNTA(FA15:FD15)),"")</f>
        <v>2</v>
      </c>
      <c r="FF15" s="185" t="str">
        <f t="shared" si="34"/>
        <v>C</v>
      </c>
      <c r="FG15" s="209">
        <f>IF(COUNT(ET15,EY15,FE15)=0,"",SUM(ET15,EY15,FE15)/COUNT(ET15,EY15,FE15))</f>
        <v>3</v>
      </c>
      <c r="FH15" s="207" t="str">
        <f t="shared" si="35"/>
        <v>B</v>
      </c>
      <c r="FI15" s="129"/>
      <c r="FJ15" s="130"/>
      <c r="FK15" s="131"/>
      <c r="FL15" s="184" t="str">
        <f>IFERROR((((COUNTIF('Elève (5ème4)'!FI15:FK15,"A"))*4)+((COUNTIF('Elève (5ème4)'!FI15:FK15,"B"))*3)+((COUNTIF('Elève (5ème4)'!FI15:FK15,"C"))*2)+((COUNTIF('Elève (5ème4)'!FI15:FK15,"D"))*1))/(COUNTA(FI15:FK15)),"")</f>
        <v/>
      </c>
      <c r="FM15" s="185" t="str">
        <f t="shared" si="36"/>
        <v/>
      </c>
      <c r="FN15" s="129"/>
      <c r="FO15" s="130" t="s">
        <v>27</v>
      </c>
      <c r="FP15" s="131" t="s">
        <v>27</v>
      </c>
      <c r="FQ15" s="184">
        <f>IFERROR((((COUNTIF('Elève (5ème4)'!FN15:FP15,"A"))*4)+((COUNTIF('Elève (5ème4)'!FN15:FP15,"B"))*3)+((COUNTIF('Elève (5ème4)'!FN15:FP15,"C"))*2)+((COUNTIF('Elève (5ème4)'!FN15:FP15,"D"))*1))/(COUNTA(FN15:FP15)),"")</f>
        <v>4</v>
      </c>
      <c r="FR15" s="185" t="str">
        <f t="shared" si="37"/>
        <v>A</v>
      </c>
      <c r="FS15" s="129"/>
      <c r="FT15" s="130"/>
      <c r="FU15" s="131" t="s">
        <v>29</v>
      </c>
      <c r="FV15" s="135"/>
      <c r="FW15" s="184">
        <f>IFERROR((((COUNTIF('Elève (5ème4)'!FS15:FV15,"A"))*4)+((COUNTIF('Elève (5ème4)'!FS15:FV15,"B"))*3)+((COUNTIF('Elève (5ème4)'!FS15:FV15,"C"))*2)+((COUNTIF('Elève (5ème4)'!FS15:FV15,"D"))*1))/(COUNTA(FS15:FV15)),"")</f>
        <v>2</v>
      </c>
      <c r="FX15" s="185" t="str">
        <f t="shared" si="38"/>
        <v>C</v>
      </c>
      <c r="FY15" s="209">
        <f>IF(COUNT(FL15,FQ15,FW15)=0,"",SUM(FL15,FQ15,FW15)/COUNT(FL15,FQ15,FW15))</f>
        <v>3</v>
      </c>
      <c r="FZ15" s="207" t="str">
        <f t="shared" si="39"/>
        <v>B</v>
      </c>
      <c r="GA15" s="129"/>
      <c r="GB15" s="130"/>
      <c r="GC15" s="131"/>
      <c r="GD15" s="184" t="str">
        <f>IFERROR((((COUNTIF('Elève (5ème4)'!GA15:GC15,"A"))*4)+((COUNTIF('Elève (5ème4)'!GA15:GC15,"B"))*3)+((COUNTIF('Elève (5ème4)'!GA15:GC15,"C"))*2)+((COUNTIF('Elève (5ème4)'!GA15:GC15,"D"))*1))/(COUNTA(GA15:GC15)),"")</f>
        <v/>
      </c>
      <c r="GE15" s="185" t="str">
        <f t="shared" si="40"/>
        <v/>
      </c>
      <c r="GF15" s="129"/>
      <c r="GG15" s="130" t="s">
        <v>27</v>
      </c>
      <c r="GH15" s="131" t="s">
        <v>27</v>
      </c>
      <c r="GI15" s="184">
        <f>IFERROR((((COUNTIF('Elève (5ème4)'!GF15:GH15,"A"))*4)+((COUNTIF('Elève (5ème4)'!GF15:GH15,"B"))*3)+((COUNTIF('Elève (5ème4)'!GF15:GH15,"C"))*2)+((COUNTIF('Elève (5ème4)'!GF15:GH15,"D"))*1))/(COUNTA(GF15:GH15)),"")</f>
        <v>4</v>
      </c>
      <c r="GJ15" s="185" t="str">
        <f t="shared" si="41"/>
        <v>A</v>
      </c>
      <c r="GK15" s="129"/>
      <c r="GL15" s="130"/>
      <c r="GM15" s="131" t="s">
        <v>29</v>
      </c>
      <c r="GN15" s="135"/>
      <c r="GO15" s="184">
        <f>IFERROR((((COUNTIF('Elève (5ème4)'!GK15:GN15,"A"))*4)+((COUNTIF('Elève (5ème4)'!GK15:GN15,"B"))*3)+((COUNTIF('Elève (5ème4)'!GK15:GN15,"C"))*2)+((COUNTIF('Elève (5ème4)'!GK15:GN15,"D"))*1))/(COUNTA(GK15:GN15)),"")</f>
        <v>2</v>
      </c>
      <c r="GP15" s="185" t="str">
        <f t="shared" si="42"/>
        <v>C</v>
      </c>
      <c r="GQ15" s="209">
        <f>IF(COUNT(GD15,GI15,GO15)=0,"",SUM(GD15,GI15,GO15)/COUNT(GD15,GI15,GO15))</f>
        <v>3</v>
      </c>
      <c r="GR15" s="207" t="str">
        <f t="shared" si="43"/>
        <v>B</v>
      </c>
      <c r="GS15" s="129"/>
      <c r="GT15" s="130"/>
      <c r="GU15" s="131"/>
      <c r="GV15" s="184" t="str">
        <f>IFERROR((((COUNTIF('Elève (5ème4)'!GS15:GU15,"A"))*4)+((COUNTIF('Elève (5ème4)'!GS15:GU15,"B"))*3)+((COUNTIF('Elève (5ème4)'!GS15:GU15,"C"))*2)+((COUNTIF('Elève (5ème4)'!GS15:GU15,"D"))*1))/(COUNTA(GS15:GU15)),"")</f>
        <v/>
      </c>
      <c r="GW15" s="185" t="str">
        <f t="shared" si="44"/>
        <v/>
      </c>
      <c r="GX15" s="129"/>
      <c r="GY15" s="130" t="s">
        <v>27</v>
      </c>
      <c r="GZ15" s="131" t="s">
        <v>29</v>
      </c>
      <c r="HA15" s="184">
        <f>IFERROR((((COUNTIF('Elève (5ème4)'!GX15:GZ15,"A"))*4)+((COUNTIF('Elève (5ème4)'!GX15:GZ15,"B"))*3)+((COUNTIF('Elève (5ème4)'!GX15:GZ15,"C"))*2)+((COUNTIF('Elève (5ème4)'!GX15:GZ15,"D"))*1))/(COUNTA(GX15:GZ15)),"")</f>
        <v>3</v>
      </c>
      <c r="HB15" s="185" t="str">
        <f t="shared" si="45"/>
        <v>B</v>
      </c>
      <c r="HC15" s="129"/>
      <c r="HD15" s="130"/>
      <c r="HE15" s="131" t="s">
        <v>29</v>
      </c>
      <c r="HF15" s="135"/>
      <c r="HG15" s="184">
        <f>IFERROR((((COUNTIF('Elève (5ème4)'!HC15:HF15,"A"))*4)+((COUNTIF('Elève (5ème4)'!HC15:HF15,"B"))*3)+((COUNTIF('Elève (5ème4)'!HC15:HF15,"C"))*2)+((COUNTIF('Elève (5ème4)'!HC15:HF15,"D"))*1))/(COUNTA(HC15:HF15)),"")</f>
        <v>2</v>
      </c>
      <c r="HH15" s="185" t="str">
        <f t="shared" si="46"/>
        <v>C</v>
      </c>
      <c r="HI15" s="209">
        <f>IF(COUNT(GV15,HA15,HG15)=0,"",SUM(GV15,HA15,HG15)/COUNT(GV15,HA15,HG15))</f>
        <v>2.5</v>
      </c>
      <c r="HJ15" s="207" t="str">
        <f t="shared" si="47"/>
        <v>C</v>
      </c>
      <c r="HK15" s="129"/>
      <c r="HL15" s="130"/>
      <c r="HM15" s="131"/>
      <c r="HN15" s="184" t="str">
        <f>IFERROR((((COUNTIF('Elève (5ème4)'!HK15:HM15,"A"))*4)+((COUNTIF('Elève (5ème4)'!HK15:HM15,"B"))*3)+((COUNTIF('Elève (5ème4)'!HK15:HM15,"C"))*2)+((COUNTIF('Elève (5ème4)'!HK15:HM15,"D"))*1))/(COUNTA(HK15:HM15)),"")</f>
        <v/>
      </c>
      <c r="HO15" s="185" t="str">
        <f t="shared" si="48"/>
        <v/>
      </c>
      <c r="HP15" s="129"/>
      <c r="HQ15" s="130" t="s">
        <v>27</v>
      </c>
      <c r="HR15" s="131" t="s">
        <v>27</v>
      </c>
      <c r="HS15" s="184">
        <f>IFERROR((((COUNTIF('Elève (5ème4)'!HP15:HR15,"A"))*4)+((COUNTIF('Elève (5ème4)'!HP15:HR15,"B"))*3)+((COUNTIF('Elève (5ème4)'!HP15:HR15,"C"))*2)+((COUNTIF('Elève (5ème4)'!HP15:HR15,"D"))*1))/(COUNTA(HP15:HR15)),"")</f>
        <v>4</v>
      </c>
      <c r="HT15" s="185" t="str">
        <f t="shared" si="49"/>
        <v>A</v>
      </c>
      <c r="HU15" s="129"/>
      <c r="HV15" s="130"/>
      <c r="HW15" s="131" t="s">
        <v>29</v>
      </c>
      <c r="HX15" s="135"/>
      <c r="HY15" s="184">
        <f>IFERROR((((COUNTIF('Elève (5ème4)'!HU15:HX15,"A"))*4)+((COUNTIF('Elève (5ème4)'!HU15:HX15,"B"))*3)+((COUNTIF('Elève (5ème4)'!HU15:HX15,"C"))*2)+((COUNTIF('Elève (5ème4)'!HU15:HX15,"D"))*1))/(COUNTA(HU15:HX15)),"")</f>
        <v>2</v>
      </c>
      <c r="HZ15" s="185" t="str">
        <f t="shared" si="50"/>
        <v>C</v>
      </c>
      <c r="IA15" s="209">
        <f>IF(COUNT(HN15,HS15,HY15)=0,"",SUM(HN15,HS15,HY15)/COUNT(HN15,HS15,HY15))</f>
        <v>3</v>
      </c>
      <c r="IB15" s="207" t="str">
        <f t="shared" si="51"/>
        <v>B</v>
      </c>
      <c r="IC15" s="129"/>
      <c r="ID15" s="130"/>
      <c r="IE15" s="131"/>
      <c r="IF15" s="184" t="str">
        <f>IFERROR((((COUNTIF('Elève (5ème4)'!IC15:IE15,"A"))*4)+((COUNTIF('Elève (5ème4)'!IC15:IE15,"B"))*3)+((COUNTIF('Elève (5ème4)'!IC15:IE15,"C"))*2)+((COUNTIF('Elève (5ème4)'!IC15:IE15,"D"))*1))/(COUNTA(IC15:IE15)),"")</f>
        <v/>
      </c>
      <c r="IG15" s="185" t="str">
        <f t="shared" si="52"/>
        <v/>
      </c>
      <c r="IH15" s="129"/>
      <c r="II15" s="130" t="s">
        <v>27</v>
      </c>
      <c r="IJ15" s="131" t="s">
        <v>27</v>
      </c>
      <c r="IK15" s="184">
        <f>IFERROR((((COUNTIF('Elève (5ème4)'!IH15:IJ15,"A"))*4)+((COUNTIF('Elève (5ème4)'!IH15:IJ15,"B"))*3)+((COUNTIF('Elève (5ème4)'!IH15:IJ15,"C"))*2)+((COUNTIF('Elève (5ème4)'!IH15:IJ15,"D"))*1))/(COUNTA(IH15:IJ15)),"")</f>
        <v>4</v>
      </c>
      <c r="IL15" s="185" t="str">
        <f t="shared" si="53"/>
        <v>A</v>
      </c>
      <c r="IM15" s="129"/>
      <c r="IN15" s="130"/>
      <c r="IO15" s="131" t="s">
        <v>29</v>
      </c>
      <c r="IP15" s="135"/>
      <c r="IQ15" s="184">
        <f>IFERROR((((COUNTIF('Elève (5ème4)'!IM15:IP15,"A"))*4)+((COUNTIF('Elève (5ème4)'!IM15:IP15,"B"))*3)+((COUNTIF('Elève (5ème4)'!IM15:IP15,"C"))*2)+((COUNTIF('Elève (5ème4)'!IM15:IP15,"D"))*1))/(COUNTA(IM15:IP15)),"")</f>
        <v>2</v>
      </c>
      <c r="IR15" s="185" t="str">
        <f t="shared" si="54"/>
        <v>C</v>
      </c>
      <c r="IS15" s="209">
        <f>IF(COUNT(IF15,IK15,IQ15)=0,"",SUM(IF15,IK15,IQ15)/COUNT(IF15,IK15,IQ15))</f>
        <v>3</v>
      </c>
      <c r="IT15" s="207" t="str">
        <f t="shared" si="55"/>
        <v>B</v>
      </c>
      <c r="IU15" s="129"/>
      <c r="IV15" s="130"/>
      <c r="IW15" s="131"/>
      <c r="IX15" s="184" t="str">
        <f>IFERROR((((COUNTIF('Elève (5ème4)'!IU15:IW15,"A"))*4)+((COUNTIF('Elève (5ème4)'!IU15:IW15,"B"))*3)+((COUNTIF('Elève (5ème4)'!IU15:IW15,"C"))*2)+((COUNTIF('Elève (5ème4)'!IU15:IW15,"D"))*1))/(COUNTA(IU15:IW15)),"")</f>
        <v/>
      </c>
      <c r="IY15" s="185" t="str">
        <f t="shared" si="56"/>
        <v/>
      </c>
      <c r="IZ15" s="129"/>
      <c r="JA15" s="130" t="s">
        <v>27</v>
      </c>
      <c r="JB15" s="131" t="s">
        <v>27</v>
      </c>
      <c r="JC15" s="184">
        <f>IFERROR((((COUNTIF('Elève (5ème4)'!IZ15:JB15,"A"))*4)+((COUNTIF('Elève (5ème4)'!IZ15:JB15,"B"))*3)+((COUNTIF('Elève (5ème4)'!IZ15:JB15,"C"))*2)+((COUNTIF('Elève (5ème4)'!IZ15:JB15,"D"))*1))/(COUNTA(IZ15:JB15)),"")</f>
        <v>4</v>
      </c>
      <c r="JD15" s="185" t="str">
        <f t="shared" si="57"/>
        <v>A</v>
      </c>
      <c r="JE15" s="129"/>
      <c r="JF15" s="130"/>
      <c r="JG15" s="131" t="s">
        <v>29</v>
      </c>
      <c r="JH15" s="135"/>
      <c r="JI15" s="184">
        <f>IFERROR((((COUNTIF('Elève (5ème4)'!JE15:JH15,"A"))*4)+((COUNTIF('Elève (5ème4)'!JE15:JH15,"B"))*3)+((COUNTIF('Elève (5ème4)'!JE15:JH15,"C"))*2)+((COUNTIF('Elève (5ème4)'!JE15:JH15,"D"))*1))/(COUNTA(JE15:JH15)),"")</f>
        <v>2</v>
      </c>
      <c r="JJ15" s="185" t="str">
        <f t="shared" si="58"/>
        <v>C</v>
      </c>
      <c r="JK15" s="209">
        <f>IF(COUNT(IX15,JC15,JI15)=0,"",SUM(IX15,JC15,JI15)/COUNT(IX15,JC15,JI15))</f>
        <v>3</v>
      </c>
      <c r="JL15" s="207" t="str">
        <f t="shared" si="59"/>
        <v>B</v>
      </c>
      <c r="JM15" s="129"/>
      <c r="JN15" s="130"/>
      <c r="JO15" s="131"/>
      <c r="JP15" s="184" t="str">
        <f>IFERROR((((COUNTIF('Elève (5ème4)'!JM15:JO15,"A"))*4)+((COUNTIF('Elève (5ème4)'!JM15:JO15,"B"))*3)+((COUNTIF('Elève (5ème4)'!JM15:JO15,"C"))*2)+((COUNTIF('Elève (5ème4)'!JM15:JO15,"D"))*1))/(COUNTA(JM15:JO15)),"")</f>
        <v/>
      </c>
      <c r="JQ15" s="185" t="str">
        <f t="shared" si="60"/>
        <v/>
      </c>
      <c r="JR15" s="129"/>
      <c r="JS15" s="130" t="s">
        <v>27</v>
      </c>
      <c r="JT15" s="131" t="s">
        <v>29</v>
      </c>
      <c r="JU15" s="184">
        <f>IFERROR((((COUNTIF('Elève (5ème4)'!JR15:JT15,"A"))*4)+((COUNTIF('Elève (5ème4)'!JR15:JT15,"B"))*3)+((COUNTIF('Elève (5ème4)'!JR15:JT15,"C"))*2)+((COUNTIF('Elève (5ème4)'!JR15:JT15,"D"))*1))/(COUNTA(JR15:JT15)),"")</f>
        <v>3</v>
      </c>
      <c r="JV15" s="185" t="str">
        <f t="shared" si="61"/>
        <v>B</v>
      </c>
      <c r="JW15" s="129"/>
      <c r="JX15" s="130"/>
      <c r="JY15" s="131" t="s">
        <v>29</v>
      </c>
      <c r="JZ15" s="135"/>
      <c r="KA15" s="184">
        <f>IFERROR((((COUNTIF('Elève (5ème4)'!JW15:JZ15,"A"))*4)+((COUNTIF('Elève (5ème4)'!JW15:JZ15,"B"))*3)+((COUNTIF('Elève (5ème4)'!JW15:JZ15,"C"))*2)+((COUNTIF('Elève (5ème4)'!JW15:JZ15,"D"))*1))/(COUNTA(JW15:JZ15)),"")</f>
        <v>2</v>
      </c>
      <c r="KB15" s="185" t="str">
        <f t="shared" si="62"/>
        <v>C</v>
      </c>
      <c r="KC15" s="209">
        <f>IF(COUNT(JP15,JU15,KA15)=0,"",SUM(JP15,JU15,KA15)/COUNT(JP15,JU15,KA15))</f>
        <v>2.5</v>
      </c>
      <c r="KD15" s="207" t="str">
        <f t="shared" si="63"/>
        <v>C</v>
      </c>
      <c r="KE15" s="129"/>
      <c r="KF15" s="130"/>
      <c r="KG15" s="131"/>
      <c r="KH15" s="184" t="str">
        <f>IFERROR((((COUNTIF('Elève (5ème4)'!KE15:KG15,"A"))*4)+((COUNTIF('Elève (5ème4)'!KE15:KG15,"B"))*3)+((COUNTIF('Elève (5ème4)'!KE15:KG15,"C"))*2)+((COUNTIF('Elève (5ème4)'!KE15:KG15,"D"))*1))/(COUNTA(KE15:KG15)),"")</f>
        <v/>
      </c>
      <c r="KI15" s="185" t="str">
        <f t="shared" si="64"/>
        <v/>
      </c>
      <c r="KJ15" s="129"/>
      <c r="KK15" s="130" t="s">
        <v>27</v>
      </c>
      <c r="KL15" s="131" t="s">
        <v>27</v>
      </c>
      <c r="KM15" s="184">
        <f>IFERROR((((COUNTIF('Elève (5ème4)'!KJ15:KL15,"A"))*4)+((COUNTIF('Elève (5ème4)'!KJ15:KL15,"B"))*3)+((COUNTIF('Elève (5ème4)'!KJ15:KL15,"C"))*2)+((COUNTIF('Elève (5ème4)'!KJ15:KL15,"D"))*1))/(COUNTA(KJ15:KL15)),"")</f>
        <v>4</v>
      </c>
      <c r="KN15" s="185" t="str">
        <f t="shared" si="65"/>
        <v>A</v>
      </c>
      <c r="KO15" s="129"/>
      <c r="KP15" s="130"/>
      <c r="KQ15" s="131" t="s">
        <v>29</v>
      </c>
      <c r="KR15" s="135"/>
      <c r="KS15" s="184">
        <f>IFERROR((((COUNTIF('Elève (5ème4)'!KO15:KR15,"A"))*4)+((COUNTIF('Elève (5ème4)'!KO15:KR15,"B"))*3)+((COUNTIF('Elève (5ème4)'!KO15:KR15,"C"))*2)+((COUNTIF('Elève (5ème4)'!KO15:KR15,"D"))*1))/(COUNTA(KO15:KR15)),"")</f>
        <v>2</v>
      </c>
      <c r="KT15" s="185" t="str">
        <f t="shared" si="66"/>
        <v>C</v>
      </c>
      <c r="KU15" s="209">
        <f>IF(COUNT(KH15,KM15,KS15)=0,"",SUM(KH15,KM15,KS15)/COUNT(KH15,KM15,KS15))</f>
        <v>3</v>
      </c>
      <c r="KV15" s="207" t="str">
        <f t="shared" si="67"/>
        <v>B</v>
      </c>
      <c r="KW15" s="129"/>
      <c r="KX15" s="130"/>
      <c r="KY15" s="131"/>
      <c r="KZ15" s="184" t="str">
        <f>IFERROR((((COUNTIF('Elève (5ème4)'!KW15:KY15,"A"))*4)+((COUNTIF('Elève (5ème4)'!KW15:KY15,"B"))*3)+((COUNTIF('Elève (5ème4)'!KW15:KY15,"C"))*2)+((COUNTIF('Elève (5ème4)'!KW15:KY15,"D"))*1))/(COUNTA(KW15:KY15)),"")</f>
        <v/>
      </c>
      <c r="LA15" s="185" t="str">
        <f t="shared" si="68"/>
        <v/>
      </c>
      <c r="LB15" s="129"/>
      <c r="LC15" s="130" t="s">
        <v>27</v>
      </c>
      <c r="LD15" s="131" t="s">
        <v>29</v>
      </c>
      <c r="LE15" s="184">
        <f>IFERROR((((COUNTIF('Elève (5ème4)'!LB15:LD15,"A"))*4)+((COUNTIF('Elève (5ème4)'!LB15:LD15,"B"))*3)+((COUNTIF('Elève (5ème4)'!LB15:LD15,"C"))*2)+((COUNTIF('Elève (5ème4)'!LB15:LD15,"D"))*1))/(COUNTA(LB15:LD15)),"")</f>
        <v>3</v>
      </c>
      <c r="LF15" s="185" t="str">
        <f t="shared" si="69"/>
        <v>B</v>
      </c>
      <c r="LG15" s="129"/>
      <c r="LH15" s="130"/>
      <c r="LI15" s="131" t="s">
        <v>29</v>
      </c>
      <c r="LJ15" s="135"/>
      <c r="LK15" s="184">
        <f>IFERROR((((COUNTIF('Elève (5ème4)'!LG15:LJ15,"A"))*4)+((COUNTIF('Elève (5ème4)'!LG15:LJ15,"B"))*3)+((COUNTIF('Elève (5ème4)'!LG15:LJ15,"C"))*2)+((COUNTIF('Elève (5ème4)'!LG15:LJ15,"D"))*1))/(COUNTA(LG15:LJ15)),"")</f>
        <v>2</v>
      </c>
      <c r="LL15" s="185" t="str">
        <f t="shared" si="70"/>
        <v>C</v>
      </c>
      <c r="LM15" s="209">
        <f>IF(COUNT(KZ15,LE15,LK15)=0,"",SUM(KZ15,LE15,LK15)/COUNT(KZ15,LE15,LK15))</f>
        <v>2.5</v>
      </c>
      <c r="LN15" s="207" t="str">
        <f t="shared" si="71"/>
        <v>C</v>
      </c>
      <c r="LO15" s="129"/>
      <c r="LP15" s="130"/>
      <c r="LQ15" s="131"/>
      <c r="LR15" s="184" t="str">
        <f>IFERROR((((COUNTIF('Elève (5ème4)'!LO15:LQ15,"A"))*4)+((COUNTIF('Elève (5ème4)'!LO15:LQ15,"B"))*3)+((COUNTIF('Elève (5ème4)'!LO15:LQ15,"C"))*2)+((COUNTIF('Elève (5ème4)'!LO15:LQ15,"D"))*1))/(COUNTA(LO15:LQ15)),"")</f>
        <v/>
      </c>
      <c r="LS15" s="185" t="str">
        <f t="shared" si="72"/>
        <v/>
      </c>
      <c r="LT15" s="129"/>
      <c r="LU15" s="130" t="s">
        <v>27</v>
      </c>
      <c r="LV15" s="131" t="s">
        <v>27</v>
      </c>
      <c r="LW15" s="184">
        <f>IFERROR((((COUNTIF('Elève (5ème4)'!LT15:LV15,"A"))*4)+((COUNTIF('Elève (5ème4)'!LT15:LV15,"B"))*3)+((COUNTIF('Elève (5ème4)'!LT15:LV15,"C"))*2)+((COUNTIF('Elève (5ème4)'!LT15:LV15,"D"))*1))/(COUNTA(LT15:LV15)),"")</f>
        <v>4</v>
      </c>
      <c r="LX15" s="185" t="str">
        <f t="shared" si="73"/>
        <v>A</v>
      </c>
      <c r="LY15" s="129"/>
      <c r="LZ15" s="130"/>
      <c r="MA15" s="131" t="s">
        <v>29</v>
      </c>
      <c r="MB15" s="135"/>
      <c r="MC15" s="184">
        <f>IFERROR((((COUNTIF('Elève (5ème4)'!LY15:MB15,"A"))*4)+((COUNTIF('Elève (5ème4)'!LY15:MB15,"B"))*3)+((COUNTIF('Elève (5ème4)'!LY15:MB15,"C"))*2)+((COUNTIF('Elève (5ème4)'!LY15:MB15,"D"))*1))/(COUNTA(LY15:MB15)),"")</f>
        <v>2</v>
      </c>
      <c r="MD15" s="185" t="str">
        <f t="shared" si="74"/>
        <v>C</v>
      </c>
      <c r="ME15" s="209">
        <f>IF(COUNT(LR15,LW15,MC15)=0,"",SUM(LR15,LW15,MC15)/COUNT(LR15,LW15,MC15))</f>
        <v>3</v>
      </c>
      <c r="MF15" s="207" t="str">
        <f t="shared" si="75"/>
        <v>B</v>
      </c>
      <c r="MG15" s="129"/>
      <c r="MH15" s="130"/>
      <c r="MI15" s="131"/>
      <c r="MJ15" s="184" t="str">
        <f>IFERROR((((COUNTIF('Elève (5ème4)'!MG15:MI15,"A"))*4)+((COUNTIF('Elève (5ème4)'!MG15:MI15,"B"))*3)+((COUNTIF('Elève (5ème4)'!MG15:MI15,"C"))*2)+((COUNTIF('Elève (5ème4)'!MG15:MI15,"D"))*1))/(COUNTA(MG15:MI15)),"")</f>
        <v/>
      </c>
      <c r="MK15" s="185" t="str">
        <f t="shared" si="76"/>
        <v/>
      </c>
      <c r="ML15" s="129"/>
      <c r="MM15" s="130" t="s">
        <v>27</v>
      </c>
      <c r="MN15" s="131" t="s">
        <v>27</v>
      </c>
      <c r="MO15" s="184">
        <f>IFERROR((((COUNTIF('Elève (5ème4)'!ML15:MN15,"A"))*4)+((COUNTIF('Elève (5ème4)'!ML15:MN15,"B"))*3)+((COUNTIF('Elève (5ème4)'!ML15:MN15,"C"))*2)+((COUNTIF('Elève (5ème4)'!ML15:MN15,"D"))*1))/(COUNTA(ML15:MN15)),"")</f>
        <v>4</v>
      </c>
      <c r="MP15" s="185" t="str">
        <f t="shared" si="77"/>
        <v>A</v>
      </c>
      <c r="MQ15" s="129"/>
      <c r="MR15" s="130"/>
      <c r="MS15" s="131" t="s">
        <v>29</v>
      </c>
      <c r="MT15" s="135"/>
      <c r="MU15" s="184">
        <f>IFERROR((((COUNTIF('Elève (5ème4)'!MQ15:MT15,"A"))*4)+((COUNTIF('Elève (5ème4)'!MQ15:MT15,"B"))*3)+((COUNTIF('Elève (5ème4)'!MQ15:MT15,"C"))*2)+((COUNTIF('Elève (5ème4)'!MQ15:MT15,"D"))*1))/(COUNTA(MQ15:MT15)),"")</f>
        <v>2</v>
      </c>
      <c r="MV15" s="185" t="str">
        <f t="shared" si="78"/>
        <v>C</v>
      </c>
      <c r="MW15" s="209">
        <f>IF(COUNT(MJ15,MO15,MU15)=0,"",SUM(MJ15,MO15,MU15)/COUNT(MJ15,MO15,MU15))</f>
        <v>3</v>
      </c>
      <c r="MX15" s="207" t="str">
        <f t="shared" si="79"/>
        <v>B</v>
      </c>
      <c r="MY15" s="129"/>
      <c r="MZ15" s="130"/>
      <c r="NA15" s="131"/>
      <c r="NB15" s="184" t="str">
        <f>IFERROR((((COUNTIF('Elève (5ème4)'!MY15:NA15,"A"))*4)+((COUNTIF('Elève (5ème4)'!MY15:NA15,"B"))*3)+((COUNTIF('Elève (5ème4)'!MY15:NA15,"C"))*2)+((COUNTIF('Elève (5ème4)'!MY15:NA15,"D"))*1))/(COUNTA(MY15:NA15)),"")</f>
        <v/>
      </c>
      <c r="NC15" s="185" t="str">
        <f t="shared" si="80"/>
        <v/>
      </c>
      <c r="ND15" s="129"/>
      <c r="NE15" s="130" t="s">
        <v>27</v>
      </c>
      <c r="NF15" s="131" t="s">
        <v>27</v>
      </c>
      <c r="NG15" s="184">
        <f>IFERROR((((COUNTIF('Elève (5ème4)'!ND15:NF15,"A"))*4)+((COUNTIF('Elève (5ème4)'!ND15:NF15,"B"))*3)+((COUNTIF('Elève (5ème4)'!ND15:NF15,"C"))*2)+((COUNTIF('Elève (5ème4)'!ND15:NF15,"D"))*1))/(COUNTA(ND15:NF15)),"")</f>
        <v>4</v>
      </c>
      <c r="NH15" s="185" t="str">
        <f t="shared" si="81"/>
        <v>A</v>
      </c>
      <c r="NI15" s="129"/>
      <c r="NJ15" s="130"/>
      <c r="NK15" s="131" t="s">
        <v>27</v>
      </c>
      <c r="NL15" s="135"/>
      <c r="NM15" s="184">
        <f>IFERROR((((COUNTIF('Elève (5ème4)'!NI15:NL15,"A"))*4)+((COUNTIF('Elève (5ème4)'!NI15:NL15,"B"))*3)+((COUNTIF('Elève (5ème4)'!NI15:NL15,"C"))*2)+((COUNTIF('Elève (5ème4)'!NI15:NL15,"D"))*1))/(COUNTA(NI15:NL15)),"")</f>
        <v>4</v>
      </c>
      <c r="NN15" s="185" t="str">
        <f t="shared" si="82"/>
        <v>A</v>
      </c>
      <c r="NO15" s="209">
        <f>IF(COUNT(NB15,NG15,NM15)=0,"",SUM(NB15,NG15,NM15)/COUNT(NB15,NG15,NM15))</f>
        <v>4</v>
      </c>
      <c r="NP15" s="207" t="str">
        <f t="shared" si="83"/>
        <v>A</v>
      </c>
      <c r="NQ15" s="129"/>
      <c r="NR15" s="130"/>
      <c r="NS15" s="131"/>
      <c r="NT15" s="184" t="str">
        <f>IFERROR((((COUNTIF('Elève (5ème4)'!NQ15:NS15,"A"))*4)+((COUNTIF('Elève (5ème4)'!NQ15:NS15,"B"))*3)+((COUNTIF('Elève (5ème4)'!NQ15:NS15,"C"))*2)+((COUNTIF('Elève (5ème4)'!NQ15:NS15,"D"))*1))/(COUNTA(NQ15:NS15)),"")</f>
        <v/>
      </c>
      <c r="NU15" s="185" t="str">
        <f t="shared" si="84"/>
        <v/>
      </c>
      <c r="NV15" s="129"/>
      <c r="NW15" s="130" t="s">
        <v>27</v>
      </c>
      <c r="NX15" s="131" t="s">
        <v>27</v>
      </c>
      <c r="NY15" s="184">
        <f>IFERROR((((COUNTIF('Elève (5ème4)'!NV15:NX15,"A"))*4)+((COUNTIF('Elève (5ème4)'!NV15:NX15,"B"))*3)+((COUNTIF('Elève (5ème4)'!NV15:NX15,"C"))*2)+((COUNTIF('Elève (5ème4)'!NV15:NX15,"D"))*1))/(COUNTA(NV15:NX15)),"")</f>
        <v>4</v>
      </c>
      <c r="NZ15" s="185" t="str">
        <f t="shared" si="85"/>
        <v>A</v>
      </c>
      <c r="OA15" s="129"/>
      <c r="OB15" s="130"/>
      <c r="OC15" s="131" t="s">
        <v>29</v>
      </c>
      <c r="OD15" s="135"/>
      <c r="OE15" s="184">
        <f>IFERROR((((COUNTIF('Elève (5ème4)'!OA15:OD15,"A"))*4)+((COUNTIF('Elève (5ème4)'!OA15:OD15,"B"))*3)+((COUNTIF('Elève (5ème4)'!OA15:OD15,"C"))*2)+((COUNTIF('Elève (5ème4)'!OA15:OD15,"D"))*1))/(COUNTA(OA15:OD15)),"")</f>
        <v>2</v>
      </c>
      <c r="OF15" s="185" t="str">
        <f t="shared" si="86"/>
        <v>C</v>
      </c>
      <c r="OG15" s="209">
        <f>IF(COUNT(NT15,NY15,OE15)=0,"",SUM(NT15,NY15,OE15)/COUNT(NT15,NY15,OE15))</f>
        <v>3</v>
      </c>
      <c r="OH15" s="207" t="str">
        <f t="shared" si="87"/>
        <v>B</v>
      </c>
      <c r="OI15" s="129"/>
      <c r="OJ15" s="130"/>
      <c r="OK15" s="131"/>
      <c r="OL15" s="184" t="str">
        <f>IFERROR((((COUNTIF('Elève (5ème4)'!OI15:OK15,"A"))*4)+((COUNTIF('Elève (5ème4)'!OI15:OK15,"B"))*3)+((COUNTIF('Elève (5ème4)'!OI15:OK15,"C"))*2)+((COUNTIF('Elève (5ème4)'!OI15:OK15,"D"))*1))/(COUNTA(OI15:OK15)),"")</f>
        <v/>
      </c>
      <c r="OM15" s="185" t="str">
        <f t="shared" si="88"/>
        <v/>
      </c>
      <c r="ON15" s="129"/>
      <c r="OO15" s="130" t="s">
        <v>27</v>
      </c>
      <c r="OP15" s="131" t="s">
        <v>27</v>
      </c>
      <c r="OQ15" s="184">
        <f>IFERROR((((COUNTIF('Elève (5ème4)'!ON15:OP15,"A"))*4)+((COUNTIF('Elève (5ème4)'!ON15:OP15,"B"))*3)+((COUNTIF('Elève (5ème4)'!ON15:OP15,"C"))*2)+((COUNTIF('Elève (5ème4)'!ON15:OP15,"D"))*1))/(COUNTA(ON15:OP15)),"")</f>
        <v>4</v>
      </c>
      <c r="OR15" s="185" t="str">
        <f t="shared" si="89"/>
        <v>A</v>
      </c>
      <c r="OS15" s="129"/>
      <c r="OT15" s="130"/>
      <c r="OU15" s="131" t="s">
        <v>29</v>
      </c>
      <c r="OV15" s="135"/>
      <c r="OW15" s="184">
        <f>IFERROR((((COUNTIF('Elève (5ème4)'!OS15:OV15,"A"))*4)+((COUNTIF('Elève (5ème4)'!OS15:OV15,"B"))*3)+((COUNTIF('Elève (5ème4)'!OS15:OV15,"C"))*2)+((COUNTIF('Elève (5ème4)'!OS15:OV15,"D"))*1))/(COUNTA(OS15:OV15)),"")</f>
        <v>2</v>
      </c>
      <c r="OX15" s="185" t="str">
        <f t="shared" si="90"/>
        <v>C</v>
      </c>
      <c r="OY15" s="209">
        <f>IF(COUNT(OL15,OQ15,OW15)=0,"",SUM(OL15,OQ15,OW15)/COUNT(OL15,OQ15,OW15))</f>
        <v>3</v>
      </c>
      <c r="OZ15" s="207" t="str">
        <f t="shared" si="91"/>
        <v>B</v>
      </c>
      <c r="PA15" s="129"/>
      <c r="PB15" s="130"/>
      <c r="PC15" s="131"/>
      <c r="PD15" s="184" t="str">
        <f>IFERROR((((COUNTIF('Elève (5ème4)'!PA15:PC15,"A"))*4)+((COUNTIF('Elève (5ème4)'!PA15:PC15,"B"))*3)+((COUNTIF('Elève (5ème4)'!PA15:PC15,"C"))*2)+((COUNTIF('Elève (5ème4)'!PA15:PC15,"D"))*1))/(COUNTA(PA15:PC15)),"")</f>
        <v/>
      </c>
      <c r="PE15" s="185" t="str">
        <f t="shared" si="92"/>
        <v/>
      </c>
      <c r="PF15" s="129"/>
      <c r="PG15" s="130" t="s">
        <v>27</v>
      </c>
      <c r="PH15" s="131" t="s">
        <v>29</v>
      </c>
      <c r="PI15" s="184">
        <f>IFERROR((((COUNTIF('Elève (5ème4)'!PF15:PH15,"A"))*4)+((COUNTIF('Elève (5ème4)'!PF15:PH15,"B"))*3)+((COUNTIF('Elève (5ème4)'!PF15:PH15,"C"))*2)+((COUNTIF('Elève (5ème4)'!PF15:PH15,"D"))*1))/(COUNTA(PF15:PH15)),"")</f>
        <v>3</v>
      </c>
      <c r="PJ15" s="185" t="str">
        <f t="shared" si="93"/>
        <v>B</v>
      </c>
      <c r="PK15" s="129"/>
      <c r="PL15" s="130"/>
      <c r="PM15" s="131" t="s">
        <v>29</v>
      </c>
      <c r="PN15" s="135"/>
      <c r="PO15" s="184">
        <f>IFERROR((((COUNTIF('Elève (5ème4)'!PK15:PN15,"A"))*4)+((COUNTIF('Elève (5ème4)'!PK15:PN15,"B"))*3)+((COUNTIF('Elève (5ème4)'!PK15:PN15,"C"))*2)+((COUNTIF('Elève (5ème4)'!PK15:PN15,"D"))*1))/(COUNTA(PK15:PN15)),"")</f>
        <v>2</v>
      </c>
      <c r="PP15" s="185" t="str">
        <f t="shared" si="94"/>
        <v>C</v>
      </c>
      <c r="PQ15" s="209">
        <f>IF(COUNT(PD15,PI15,PO15)=0,"",SUM(PD15,PI15,PO15)/COUNT(PD15,PI15,PO15))</f>
        <v>2.5</v>
      </c>
      <c r="PR15" s="207" t="str">
        <f t="shared" si="95"/>
        <v>C</v>
      </c>
      <c r="PS15" s="129"/>
      <c r="PT15" s="130"/>
      <c r="PU15" s="131"/>
      <c r="PV15" s="184" t="str">
        <f>IFERROR((((COUNTIF('Elève (5ème4)'!PS15:PU15,"A"))*4)+((COUNTIF('Elève (5ème4)'!PS15:PU15,"B"))*3)+((COUNTIF('Elève (5ème4)'!PS15:PU15,"C"))*2)+((COUNTIF('Elève (5ème4)'!PS15:PU15,"D"))*1))/(COUNTA(PS15:PU15)),"")</f>
        <v/>
      </c>
      <c r="PW15" s="185" t="str">
        <f t="shared" si="96"/>
        <v/>
      </c>
      <c r="PX15" s="129"/>
      <c r="PY15" s="130" t="s">
        <v>27</v>
      </c>
      <c r="PZ15" s="131"/>
      <c r="QA15" s="184">
        <f>IFERROR((((COUNTIF('Elève (5ème4)'!PX15:PZ15,"A"))*4)+((COUNTIF('Elève (5ème4)'!PX15:PZ15,"B"))*3)+((COUNTIF('Elève (5ème4)'!PX15:PZ15,"C"))*2)+((COUNTIF('Elève (5ème4)'!PX15:PZ15,"D"))*1))/(COUNTA(PX15:PZ15)),"")</f>
        <v>4</v>
      </c>
      <c r="QB15" s="185" t="str">
        <f t="shared" si="97"/>
        <v>A</v>
      </c>
      <c r="QC15" s="129"/>
      <c r="QD15" s="130"/>
      <c r="QE15" s="131" t="s">
        <v>28</v>
      </c>
      <c r="QF15" s="135"/>
      <c r="QG15" s="184">
        <f>IFERROR((((COUNTIF('Elève (5ème4)'!QC15:QF15,"A"))*4)+((COUNTIF('Elève (5ème4)'!QC15:QF15,"B"))*3)+((COUNTIF('Elève (5ème4)'!QC15:QF15,"C"))*2)+((COUNTIF('Elève (5ème4)'!QC15:QF15,"D"))*1))/(COUNTA(QC15:QF15)),"")</f>
        <v>3</v>
      </c>
      <c r="QH15" s="185" t="str">
        <f t="shared" si="98"/>
        <v>B</v>
      </c>
      <c r="QI15" s="209">
        <f>IF(COUNT(PV15,QA15,QG15)=0,"",SUM(PV15,QA15,QG15)/COUNT(PV15,QA15,QG15))</f>
        <v>3.5</v>
      </c>
      <c r="QJ15" s="207" t="str">
        <f t="shared" si="99"/>
        <v>B</v>
      </c>
      <c r="QK15" s="129"/>
      <c r="QL15" s="130"/>
      <c r="QM15" s="131"/>
      <c r="QN15" s="184" t="str">
        <f>IFERROR((((COUNTIF('Elève (5ème4)'!QK15:QM15,"A"))*4)+((COUNTIF('Elève (5ème4)'!QK15:QM15,"B"))*3)+((COUNTIF('Elève (5ème4)'!QK15:QM15,"C"))*2)+((COUNTIF('Elève (5ème4)'!QK15:QM15,"D"))*1))/(COUNTA(QK15:QM15)),"")</f>
        <v/>
      </c>
      <c r="QO15" s="185" t="str">
        <f t="shared" si="100"/>
        <v/>
      </c>
      <c r="QP15" s="129"/>
      <c r="QQ15" s="130" t="s">
        <v>27</v>
      </c>
      <c r="QR15" s="131"/>
      <c r="QS15" s="184">
        <f>IFERROR((((COUNTIF('Elève (5ème4)'!QP15:QR15,"A"))*4)+((COUNTIF('Elève (5ème4)'!QP15:QR15,"B"))*3)+((COUNTIF('Elève (5ème4)'!QP15:QR15,"C"))*2)+((COUNTIF('Elève (5ème4)'!QP15:QR15,"D"))*1))/(COUNTA(QP15:QR15)),"")</f>
        <v>4</v>
      </c>
      <c r="QT15" s="185" t="str">
        <f t="shared" si="101"/>
        <v>A</v>
      </c>
      <c r="QU15" s="129"/>
      <c r="QV15" s="130"/>
      <c r="QW15" s="131" t="s">
        <v>29</v>
      </c>
      <c r="QX15" s="135"/>
      <c r="QY15" s="184">
        <f>IFERROR((((COUNTIF('Elève (5ème4)'!QU15:QX15,"A"))*4)+((COUNTIF('Elève (5ème4)'!QU15:QX15,"B"))*3)+((COUNTIF('Elève (5ème4)'!QU15:QX15,"C"))*2)+((COUNTIF('Elève (5ème4)'!QU15:QX15,"D"))*1))/(COUNTA(QU15:QX15)),"")</f>
        <v>2</v>
      </c>
      <c r="QZ15" s="185" t="str">
        <f t="shared" si="102"/>
        <v>C</v>
      </c>
      <c r="RA15" s="209">
        <f>IF(COUNT(QN15,QS15,QY15)=0,"",SUM(QN15,QS15,QY15)/COUNT(QN15,QS15,QY15))</f>
        <v>3</v>
      </c>
      <c r="RB15" s="207" t="str">
        <f t="shared" si="103"/>
        <v>B</v>
      </c>
      <c r="RC15" s="129"/>
      <c r="RD15" s="130"/>
      <c r="RE15" s="131"/>
      <c r="RF15" s="184" t="str">
        <f>IFERROR((((COUNTIF('Elève (5ème4)'!RC15:RE15,"A"))*4)+((COUNTIF('Elève (5ème4)'!RC15:RE15,"B"))*3)+((COUNTIF('Elève (5ème4)'!RC15:RE15,"C"))*2)+((COUNTIF('Elève (5ème4)'!RC15:RE15,"D"))*1))/(COUNTA(RC15:RE15)),"")</f>
        <v/>
      </c>
      <c r="RG15" s="185" t="str">
        <f t="shared" si="104"/>
        <v/>
      </c>
      <c r="RH15" s="129"/>
      <c r="RI15" s="130" t="s">
        <v>27</v>
      </c>
      <c r="RJ15" s="131" t="s">
        <v>27</v>
      </c>
      <c r="RK15" s="184">
        <f>IFERROR((((COUNTIF('Elève (5ème4)'!RH15:RJ15,"A"))*4)+((COUNTIF('Elève (5ème4)'!RH15:RJ15,"B"))*3)+((COUNTIF('Elève (5ème4)'!RH15:RJ15,"C"))*2)+((COUNTIF('Elève (5ème4)'!RH15:RJ15,"D"))*1))/(COUNTA(RH15:RJ15)),"")</f>
        <v>4</v>
      </c>
      <c r="RL15" s="185" t="str">
        <f t="shared" si="105"/>
        <v>A</v>
      </c>
      <c r="RM15" s="129"/>
      <c r="RN15" s="130"/>
      <c r="RO15" s="131" t="s">
        <v>29</v>
      </c>
      <c r="RP15" s="135"/>
      <c r="RQ15" s="184">
        <f>IFERROR((((COUNTIF('Elève (5ème4)'!RM15:RP15,"A"))*4)+((COUNTIF('Elève (5ème4)'!RM15:RP15,"B"))*3)+((COUNTIF('Elève (5ème4)'!RM15:RP15,"C"))*2)+((COUNTIF('Elève (5ème4)'!RM15:RP15,"D"))*1))/(COUNTA(RM15:RP15)),"")</f>
        <v>2</v>
      </c>
      <c r="RR15" s="185" t="str">
        <f t="shared" si="106"/>
        <v>C</v>
      </c>
      <c r="RS15" s="209">
        <f>IF(COUNT(RF15,RK15,RQ15)=0,"",SUM(RF15,RK15,RQ15)/COUNT(RF15,RK15,RQ15))</f>
        <v>3</v>
      </c>
      <c r="RT15" s="207" t="str">
        <f t="shared" si="107"/>
        <v>B</v>
      </c>
      <c r="RU15" s="129"/>
      <c r="RV15" s="130"/>
      <c r="RW15" s="131"/>
      <c r="RX15" s="184" t="str">
        <f>IFERROR((((COUNTIF('Elève (5ème4)'!RU15:RW15,"A"))*4)+((COUNTIF('Elève (5ème4)'!RU15:RW15,"B"))*3)+((COUNTIF('Elève (5ème4)'!RU15:RW15,"C"))*2)+((COUNTIF('Elève (5ème4)'!RU15:RW15,"D"))*1))/(COUNTA(RU15:RW15)),"")</f>
        <v/>
      </c>
      <c r="RY15" s="185" t="str">
        <f t="shared" si="108"/>
        <v/>
      </c>
      <c r="RZ15" s="129"/>
      <c r="SA15" s="130" t="s">
        <v>27</v>
      </c>
      <c r="SB15" s="131" t="s">
        <v>27</v>
      </c>
      <c r="SC15" s="184">
        <f>IFERROR((((COUNTIF('Elève (5ème4)'!RZ15:SB15,"A"))*4)+((COUNTIF('Elève (5ème4)'!RZ15:SB15,"B"))*3)+((COUNTIF('Elève (5ème4)'!RZ15:SB15,"C"))*2)+((COUNTIF('Elève (5ème4)'!RZ15:SB15,"D"))*1))/(COUNTA(RZ15:SB15)),"")</f>
        <v>4</v>
      </c>
      <c r="SD15" s="185" t="str">
        <f t="shared" si="109"/>
        <v>A</v>
      </c>
      <c r="SE15" s="129"/>
      <c r="SF15" s="130"/>
      <c r="SG15" s="131" t="s">
        <v>29</v>
      </c>
      <c r="SH15" s="135"/>
      <c r="SI15" s="184">
        <f>IFERROR((((COUNTIF('Elève (5ème4)'!SE15:SH15,"A"))*4)+((COUNTIF('Elève (5ème4)'!SE15:SH15,"B"))*3)+((COUNTIF('Elève (5ème4)'!SE15:SH15,"C"))*2)+((COUNTIF('Elève (5ème4)'!SE15:SH15,"D"))*1))/(COUNTA(SE15:SH15)),"")</f>
        <v>2</v>
      </c>
      <c r="SJ15" s="185" t="str">
        <f t="shared" si="110"/>
        <v>C</v>
      </c>
      <c r="SK15" s="209">
        <f>IF(COUNT(RX15,SC15,SI15)=0,"",SUM(RX15,SC15,SI15)/COUNT(RX15,SC15,SI15))</f>
        <v>3</v>
      </c>
      <c r="SL15" s="207" t="str">
        <f t="shared" si="111"/>
        <v>B</v>
      </c>
      <c r="SM15" s="129"/>
      <c r="SN15" s="130"/>
      <c r="SO15" s="131"/>
      <c r="SP15" s="132" t="str">
        <f>IFERROR((((COUNTIF('Elève (5ème4)'!SM15:SO15,"A"))*4)+((COUNTIF('Elève (5ème4)'!SM15:SO15,"B"))*3)+((COUNTIF('Elève (5ème4)'!SM15:SO15,"C"))*2)+((COUNTIF('Elève (5ème4)'!SM15:SO15,"D"))*1))/(COUNTA(SM15:SO15)),"")</f>
        <v/>
      </c>
      <c r="SQ15" s="133" t="str">
        <f t="shared" si="112"/>
        <v/>
      </c>
      <c r="SR15" s="129"/>
      <c r="SS15" s="130"/>
      <c r="ST15" s="131"/>
      <c r="SU15" s="132" t="str">
        <f>IFERROR((((COUNTIF('Elève (5ème4)'!SR15:ST15,"A"))*4)+((COUNTIF('Elève (5ème4)'!SR15:ST15,"B"))*3)+((COUNTIF('Elève (5ème4)'!SR15:ST15,"C"))*2)+((COUNTIF('Elève (5ème4)'!SR15:ST15,"D"))*1))/(COUNTA(SR15:ST15)),"")</f>
        <v/>
      </c>
      <c r="SV15" s="133" t="str">
        <f t="shared" si="113"/>
        <v/>
      </c>
      <c r="SW15" s="129"/>
      <c r="SX15" s="130"/>
      <c r="SY15" s="135"/>
      <c r="SZ15" s="132" t="str">
        <f>IFERROR((((COUNTIF('Elève (5ème4)'!SW15:SY15,"A"))*4)+((COUNTIF('Elève (5ème4)'!SW15:SY15,"B"))*3)+((COUNTIF('Elève (5ème4)'!SW15:SY15,"C"))*2)+((COUNTIF('Elève (5ème4)'!SW15:SY15,"D"))*1))/(COUNTA(SW15:SY15)),"")</f>
        <v/>
      </c>
      <c r="TA15" s="133" t="str">
        <f t="shared" si="114"/>
        <v/>
      </c>
      <c r="TB15" s="141" t="str">
        <f>IF(COUNT(SP15,SU15,SZ15)=0,"",SUM(SP15,SU15,SZ15)/COUNT(SP15,SU15,SZ15))</f>
        <v/>
      </c>
      <c r="TC15" s="134" t="str">
        <f t="shared" si="115"/>
        <v/>
      </c>
      <c r="TD15" s="129"/>
      <c r="TE15" s="130"/>
      <c r="TF15" s="131"/>
      <c r="TG15" s="132" t="str">
        <f>IFERROR((((COUNTIF('Elève (5ème4)'!TD15:TF15,"A"))*4)+((COUNTIF('Elève (5ème4)'!TD15:TF15,"B"))*3)+((COUNTIF('Elève (5ème4)'!TD15:TF15,"C"))*2)+((COUNTIF('Elève (5ème4)'!TD15:TF15,"D"))*1))/(COUNTA(TD15:TF15)),"")</f>
        <v/>
      </c>
      <c r="TH15" s="133" t="str">
        <f t="shared" si="116"/>
        <v/>
      </c>
      <c r="TI15" s="129"/>
      <c r="TJ15" s="130"/>
      <c r="TK15" s="131"/>
      <c r="TL15" s="132" t="str">
        <f>IFERROR((((COUNTIF('Elève (5ème4)'!TI15:TK15,"A"))*4)+((COUNTIF('Elève (5ème4)'!TI15:TK15,"B"))*3)+((COUNTIF('Elève (5ème4)'!TI15:TK15,"C"))*2)+((COUNTIF('Elève (5ème4)'!TI15:TK15,"D"))*1))/(COUNTA(TI15:TK15)),"")</f>
        <v/>
      </c>
      <c r="TM15" s="133" t="str">
        <f t="shared" si="117"/>
        <v/>
      </c>
      <c r="TN15" s="129"/>
      <c r="TO15" s="130"/>
      <c r="TP15" s="135"/>
      <c r="TQ15" s="132" t="str">
        <f>IFERROR((((COUNTIF('Elève (5ème4)'!TN15:TP15,"A"))*4)+((COUNTIF('Elève (5ème4)'!TN15:TP15,"B"))*3)+((COUNTIF('Elève (5ème4)'!TN15:TP15,"C"))*2)+((COUNTIF('Elève (5ème4)'!TN15:TP15,"D"))*1))/(COUNTA(TN15:TP15)),"")</f>
        <v/>
      </c>
      <c r="TR15" s="133" t="str">
        <f t="shared" si="118"/>
        <v/>
      </c>
      <c r="TS15" s="141" t="str">
        <f>IF(COUNT(TG15,TL15,TQ15)=0,"",SUM(TG15,TL15,TQ15)/COUNT(TG15,TL15,TQ15))</f>
        <v/>
      </c>
      <c r="TT15" s="134" t="str">
        <f t="shared" si="119"/>
        <v/>
      </c>
    </row>
    <row r="16" spans="1:540" s="114" customFormat="1" ht="16.5" customHeight="1" thickBot="1" x14ac:dyDescent="0.3">
      <c r="A16" s="164" t="s">
        <v>20</v>
      </c>
      <c r="B16" s="139">
        <v>2</v>
      </c>
      <c r="C16" s="171"/>
      <c r="D16" s="84"/>
      <c r="E16" s="104"/>
      <c r="F16" s="178">
        <f>IF(COUNT(F17:F19)=0,"",SUM(F17:F19)/COUNT(F17:F19))</f>
        <v>3</v>
      </c>
      <c r="G16" s="179" t="str">
        <f t="shared" si="0"/>
        <v>B</v>
      </c>
      <c r="H16" s="171"/>
      <c r="I16" s="84"/>
      <c r="J16" s="84"/>
      <c r="K16" s="178">
        <f>IF(COUNT(K17:K19)=0,"",SUM(K17:K19)/COUNT(K17:K19))</f>
        <v>2.5</v>
      </c>
      <c r="L16" s="194" t="str">
        <f t="shared" si="1"/>
        <v>C</v>
      </c>
      <c r="M16" s="172"/>
      <c r="N16" s="109"/>
      <c r="O16" s="109"/>
      <c r="P16" s="110"/>
      <c r="Q16" s="178">
        <f>IF(COUNT(Q17:Q19)=0,"",SUM(Q17:Q19)/COUNT(Q17:Q19))</f>
        <v>2.6666666666666665</v>
      </c>
      <c r="R16" s="202" t="str">
        <f t="shared" si="2"/>
        <v>C</v>
      </c>
      <c r="S16" s="203">
        <f>IF(COUNT(S17:S19)=0,"",SUM(S17:S19)/COUNT(S17:S19))</f>
        <v>2.7777777777777781</v>
      </c>
      <c r="T16" s="204" t="str">
        <f t="shared" si="3"/>
        <v>C</v>
      </c>
      <c r="U16" s="215"/>
      <c r="V16" s="84"/>
      <c r="W16" s="104"/>
      <c r="X16" s="178">
        <f>IF(COUNT(X17:X19)=0,"",SUM(X17:X19)/COUNT(X17:X19))</f>
        <v>2.5</v>
      </c>
      <c r="Y16" s="179" t="str">
        <f t="shared" si="4"/>
        <v>C</v>
      </c>
      <c r="Z16" s="171"/>
      <c r="AA16" s="84"/>
      <c r="AB16" s="84"/>
      <c r="AC16" s="178">
        <f>IF(COUNT(AC17:AC19)=0,"",SUM(AC17:AC19)/COUNT(AC17:AC19))</f>
        <v>3</v>
      </c>
      <c r="AD16" s="194" t="str">
        <f t="shared" si="5"/>
        <v>B</v>
      </c>
      <c r="AE16" s="172"/>
      <c r="AF16" s="109"/>
      <c r="AG16" s="109"/>
      <c r="AH16" s="110"/>
      <c r="AI16" s="178">
        <f>IF(COUNT(AI17:AI19)=0,"",SUM(AI17:AI19)/COUNT(AI17:AI19))</f>
        <v>2.25</v>
      </c>
      <c r="AJ16" s="202" t="str">
        <f t="shared" si="6"/>
        <v>C</v>
      </c>
      <c r="AK16" s="203">
        <f>IF(COUNT(AK17:AK19)=0,"",SUM(AK17:AK19)/COUNT(AK17:AK19))</f>
        <v>2.1944444444444446</v>
      </c>
      <c r="AL16" s="204" t="str">
        <f t="shared" si="7"/>
        <v>C</v>
      </c>
      <c r="AM16" s="215"/>
      <c r="AN16" s="84"/>
      <c r="AO16" s="104"/>
      <c r="AP16" s="178">
        <f>IF(COUNT(AP17:AP19)=0,"",SUM(AP17:AP19)/COUNT(AP17:AP19))</f>
        <v>3</v>
      </c>
      <c r="AQ16" s="179" t="str">
        <f t="shared" si="8"/>
        <v>B</v>
      </c>
      <c r="AR16" s="171"/>
      <c r="AS16" s="84"/>
      <c r="AT16" s="84"/>
      <c r="AU16" s="178">
        <f>IF(COUNT(AU17:AU19)=0,"",SUM(AU17:AU19)/COUNT(AU17:AU19))</f>
        <v>2.166666666666667</v>
      </c>
      <c r="AV16" s="194" t="str">
        <f t="shared" si="9"/>
        <v>C</v>
      </c>
      <c r="AW16" s="172"/>
      <c r="AX16" s="109"/>
      <c r="AY16" s="109"/>
      <c r="AZ16" s="110"/>
      <c r="BA16" s="178">
        <f>IF(COUNT(BA17:BA19)=0,"",SUM(BA17:BA19)/COUNT(BA17:BA19))</f>
        <v>2.75</v>
      </c>
      <c r="BB16" s="202" t="str">
        <f t="shared" si="10"/>
        <v>C</v>
      </c>
      <c r="BC16" s="203">
        <f>IF(COUNT(BC17:BC19)=0,"",SUM(BC17:BC19)/COUNT(BC17:BC19))</f>
        <v>2.7314814814814814</v>
      </c>
      <c r="BD16" s="204" t="str">
        <f t="shared" si="11"/>
        <v>C</v>
      </c>
      <c r="BE16" s="215"/>
      <c r="BF16" s="84"/>
      <c r="BG16" s="104"/>
      <c r="BH16" s="178">
        <f>IF(COUNT(BH17:BH19)=0,"",SUM(BH17:BH19)/COUNT(BH17:BH19))</f>
        <v>3.25</v>
      </c>
      <c r="BI16" s="179" t="str">
        <f t="shared" si="12"/>
        <v>B</v>
      </c>
      <c r="BJ16" s="171"/>
      <c r="BK16" s="84"/>
      <c r="BL16" s="84"/>
      <c r="BM16" s="178">
        <f>IF(COUNT(BM17:BM19)=0,"",SUM(BM17:BM19)/COUNT(BM17:BM19))</f>
        <v>2.416666666666667</v>
      </c>
      <c r="BN16" s="194" t="str">
        <f t="shared" si="13"/>
        <v>C</v>
      </c>
      <c r="BO16" s="172"/>
      <c r="BP16" s="109"/>
      <c r="BQ16" s="109"/>
      <c r="BR16" s="110"/>
      <c r="BS16" s="178">
        <f>IF(COUNT(BS17:BS19)=0,"",SUM(BS17:BS19)/COUNT(BS17:BS19))</f>
        <v>3.1666666666666665</v>
      </c>
      <c r="BT16" s="202" t="str">
        <f t="shared" si="14"/>
        <v>B</v>
      </c>
      <c r="BU16" s="203">
        <f>IF(COUNT(BU17:BU19)=0,"",SUM(BU17:BU19)/COUNT(BU17:BU19))</f>
        <v>2.9814814814814814</v>
      </c>
      <c r="BV16" s="204" t="str">
        <f t="shared" si="15"/>
        <v>B</v>
      </c>
      <c r="BW16" s="215"/>
      <c r="BX16" s="84"/>
      <c r="BY16" s="104"/>
      <c r="BZ16" s="178">
        <f>IF(COUNT(BZ17:BZ19)=0,"",SUM(BZ17:BZ19)/COUNT(BZ17:BZ19))</f>
        <v>2.5</v>
      </c>
      <c r="CA16" s="179" t="str">
        <f t="shared" si="16"/>
        <v>C</v>
      </c>
      <c r="CB16" s="171"/>
      <c r="CC16" s="84"/>
      <c r="CD16" s="84"/>
      <c r="CE16" s="178">
        <f>IF(COUNT(CE17:CE19)=0,"",SUM(CE17:CE19)/COUNT(CE17:CE19))</f>
        <v>2.666666666666667</v>
      </c>
      <c r="CF16" s="194" t="str">
        <f t="shared" si="17"/>
        <v>C</v>
      </c>
      <c r="CG16" s="172"/>
      <c r="CH16" s="109"/>
      <c r="CI16" s="109"/>
      <c r="CJ16" s="110"/>
      <c r="CK16" s="178">
        <f>IF(COUNT(CK17:CK19)=0,"",SUM(CK17:CK19)/COUNT(CK17:CK19))</f>
        <v>2.3333333333333335</v>
      </c>
      <c r="CL16" s="202" t="str">
        <f t="shared" si="18"/>
        <v>C</v>
      </c>
      <c r="CM16" s="203">
        <f>IF(COUNT(CM17:CM19)=0,"",SUM(CM17:CM19)/COUNT(CM17:CM19))</f>
        <v>2.3703703703703702</v>
      </c>
      <c r="CN16" s="204" t="str">
        <f t="shared" si="19"/>
        <v>C</v>
      </c>
      <c r="CO16" s="215"/>
      <c r="CP16" s="84"/>
      <c r="CQ16" s="104"/>
      <c r="CR16" s="178">
        <f>IF(COUNT(CR17:CR19)=0,"",SUM(CR17:CR19)/COUNT(CR17:CR19))</f>
        <v>2.5</v>
      </c>
      <c r="CS16" s="179" t="str">
        <f t="shared" si="20"/>
        <v>C</v>
      </c>
      <c r="CT16" s="171"/>
      <c r="CU16" s="84"/>
      <c r="CV16" s="84"/>
      <c r="CW16" s="178">
        <f>IF(COUNT(CW17:CW19)=0,"",SUM(CW17:CW19)/COUNT(CW17:CW19))</f>
        <v>2.916666666666667</v>
      </c>
      <c r="CX16" s="194" t="str">
        <f t="shared" si="21"/>
        <v>B</v>
      </c>
      <c r="CY16" s="172"/>
      <c r="CZ16" s="109"/>
      <c r="DA16" s="109"/>
      <c r="DB16" s="110"/>
      <c r="DC16" s="178">
        <f>IF(COUNT(DC17:DC19)=0,"",SUM(DC17:DC19)/COUNT(DC17:DC19))</f>
        <v>2.5833333333333335</v>
      </c>
      <c r="DD16" s="202" t="str">
        <f t="shared" si="22"/>
        <v>C</v>
      </c>
      <c r="DE16" s="203">
        <f>IF(COUNT(DE17:DE19)=0,"",SUM(DE17:DE19)/COUNT(DE17:DE19))</f>
        <v>2.7314814814814814</v>
      </c>
      <c r="DF16" s="204" t="str">
        <f t="shared" si="23"/>
        <v>C</v>
      </c>
      <c r="DG16" s="215"/>
      <c r="DH16" s="84"/>
      <c r="DI16" s="104"/>
      <c r="DJ16" s="178">
        <f>IF(COUNT(DJ17:DJ19)=0,"",SUM(DJ17:DJ19)/COUNT(DJ17:DJ19))</f>
        <v>2</v>
      </c>
      <c r="DK16" s="179" t="str">
        <f t="shared" si="24"/>
        <v>C</v>
      </c>
      <c r="DL16" s="171"/>
      <c r="DM16" s="84"/>
      <c r="DN16" s="84"/>
      <c r="DO16" s="178">
        <f>IF(COUNT(DO17:DO19)=0,"",SUM(DO17:DO19)/COUNT(DO17:DO19))</f>
        <v>2.166666666666667</v>
      </c>
      <c r="DP16" s="194" t="str">
        <f t="shared" si="25"/>
        <v>C</v>
      </c>
      <c r="DQ16" s="172"/>
      <c r="DR16" s="109"/>
      <c r="DS16" s="109"/>
      <c r="DT16" s="110"/>
      <c r="DU16" s="178">
        <f>IF(COUNT(DU17:DU19)=0,"",SUM(DU17:DU19)/COUNT(DU17:DU19))</f>
        <v>2.6666666666666665</v>
      </c>
      <c r="DV16" s="202" t="str">
        <f t="shared" si="26"/>
        <v>C</v>
      </c>
      <c r="DW16" s="203">
        <f>IF(COUNT(DW17:DW19)=0,"",SUM(DW17:DW19)/COUNT(DW17:DW19))</f>
        <v>2.4814814814814814</v>
      </c>
      <c r="DX16" s="204" t="str">
        <f t="shared" si="27"/>
        <v>C</v>
      </c>
      <c r="DY16" s="215"/>
      <c r="DZ16" s="84"/>
      <c r="EA16" s="104"/>
      <c r="EB16" s="178">
        <f>IF(COUNT(EB17:EB19)=0,"",SUM(EB17:EB19)/COUNT(EB17:EB19))</f>
        <v>2.75</v>
      </c>
      <c r="EC16" s="179" t="str">
        <f t="shared" si="28"/>
        <v>C</v>
      </c>
      <c r="ED16" s="171"/>
      <c r="EE16" s="84"/>
      <c r="EF16" s="84"/>
      <c r="EG16" s="178">
        <f>IF(COUNT(EG17:EG19)=0,"",SUM(EG17:EG19)/COUNT(EG17:EG19))</f>
        <v>2.166666666666667</v>
      </c>
      <c r="EH16" s="194" t="str">
        <f t="shared" si="29"/>
        <v>C</v>
      </c>
      <c r="EI16" s="172"/>
      <c r="EJ16" s="109"/>
      <c r="EK16" s="109"/>
      <c r="EL16" s="110"/>
      <c r="EM16" s="178">
        <f>IF(COUNT(EM17:EM19)=0,"",SUM(EM17:EM19)/COUNT(EM17:EM19))</f>
        <v>2.0833333333333335</v>
      </c>
      <c r="EN16" s="202" t="str">
        <f t="shared" si="30"/>
        <v>C</v>
      </c>
      <c r="EO16" s="203">
        <f>IF(COUNT(EO17:EO19)=0,"",SUM(EO17:EO19)/COUNT(EO17:EO19))</f>
        <v>2.0092592592592595</v>
      </c>
      <c r="EP16" s="204" t="str">
        <f t="shared" si="31"/>
        <v>C</v>
      </c>
      <c r="EQ16" s="215"/>
      <c r="ER16" s="84"/>
      <c r="ES16" s="104"/>
      <c r="ET16" s="178">
        <f>IF(COUNT(ET17:ET19)=0,"",SUM(ET17:ET19)/COUNT(ET17:ET19))</f>
        <v>1.5</v>
      </c>
      <c r="EU16" s="179" t="str">
        <f t="shared" si="32"/>
        <v>D</v>
      </c>
      <c r="EV16" s="171"/>
      <c r="EW16" s="84"/>
      <c r="EX16" s="84"/>
      <c r="EY16" s="178">
        <f>IF(COUNT(EY17:EY19)=0,"",SUM(EY17:EY19)/COUNT(EY17:EY19))</f>
        <v>2.916666666666667</v>
      </c>
      <c r="EZ16" s="194" t="str">
        <f t="shared" si="33"/>
        <v>B</v>
      </c>
      <c r="FA16" s="172"/>
      <c r="FB16" s="109"/>
      <c r="FC16" s="109"/>
      <c r="FD16" s="110"/>
      <c r="FE16" s="178">
        <f>IF(COUNT(FE17:FE19)=0,"",SUM(FE17:FE19)/COUNT(FE17:FE19))</f>
        <v>1.5833333333333333</v>
      </c>
      <c r="FF16" s="202" t="str">
        <f t="shared" si="34"/>
        <v>C</v>
      </c>
      <c r="FG16" s="203">
        <f>IF(COUNT(FG17:FG19)=0,"",SUM(FG17:FG19)/COUNT(FG17:FG19))</f>
        <v>1.7314814814814816</v>
      </c>
      <c r="FH16" s="204" t="str">
        <f t="shared" si="35"/>
        <v>C</v>
      </c>
      <c r="FI16" s="215"/>
      <c r="FJ16" s="84"/>
      <c r="FK16" s="104"/>
      <c r="FL16" s="178">
        <f>IF(COUNT(FL17:FL19)=0,"",SUM(FL17:FL19)/COUNT(FL17:FL19))</f>
        <v>3.25</v>
      </c>
      <c r="FM16" s="179" t="str">
        <f t="shared" si="36"/>
        <v>B</v>
      </c>
      <c r="FN16" s="171"/>
      <c r="FO16" s="84"/>
      <c r="FP16" s="84"/>
      <c r="FQ16" s="178">
        <f>IF(COUNT(FQ17:FQ19)=0,"",SUM(FQ17:FQ19)/COUNT(FQ17:FQ19))</f>
        <v>2.916666666666667</v>
      </c>
      <c r="FR16" s="194" t="str">
        <f t="shared" si="37"/>
        <v>B</v>
      </c>
      <c r="FS16" s="172"/>
      <c r="FT16" s="109"/>
      <c r="FU16" s="109"/>
      <c r="FV16" s="110"/>
      <c r="FW16" s="178">
        <f>IF(COUNT(FW17:FW19)=0,"",SUM(FW17:FW19)/COUNT(FW17:FW19))</f>
        <v>2.6666666666666665</v>
      </c>
      <c r="FX16" s="202" t="str">
        <f t="shared" si="38"/>
        <v>C</v>
      </c>
      <c r="FY16" s="203">
        <f>IF(COUNT(FY17:FY19)=0,"",SUM(FY17:FY19)/COUNT(FY17:FY19))</f>
        <v>2.9259259259259256</v>
      </c>
      <c r="FZ16" s="204" t="str">
        <f t="shared" si="39"/>
        <v>B</v>
      </c>
      <c r="GA16" s="215"/>
      <c r="GB16" s="84"/>
      <c r="GC16" s="104"/>
      <c r="GD16" s="178">
        <f>IF(COUNT(GD17:GD19)=0,"",SUM(GD17:GD19)/COUNT(GD17:GD19))</f>
        <v>3</v>
      </c>
      <c r="GE16" s="179" t="str">
        <f t="shared" si="40"/>
        <v>B</v>
      </c>
      <c r="GF16" s="171"/>
      <c r="GG16" s="84"/>
      <c r="GH16" s="84"/>
      <c r="GI16" s="178">
        <f>IF(COUNT(GI17:GI19)=0,"",SUM(GI17:GI19)/COUNT(GI17:GI19))</f>
        <v>3.25</v>
      </c>
      <c r="GJ16" s="194" t="str">
        <f t="shared" si="41"/>
        <v>B</v>
      </c>
      <c r="GK16" s="172"/>
      <c r="GL16" s="109"/>
      <c r="GM16" s="109"/>
      <c r="GN16" s="110"/>
      <c r="GO16" s="178">
        <f>IF(COUNT(GO17:GO19)=0,"",SUM(GO17:GO19)/COUNT(GO17:GO19))</f>
        <v>3</v>
      </c>
      <c r="GP16" s="202" t="str">
        <f t="shared" si="42"/>
        <v>B</v>
      </c>
      <c r="GQ16" s="203">
        <f>IF(COUNT(GQ17:GQ19)=0,"",SUM(GQ17:GQ19)/COUNT(GQ17:GQ19))</f>
        <v>3.0555555555555554</v>
      </c>
      <c r="GR16" s="204" t="str">
        <f t="shared" si="43"/>
        <v>B</v>
      </c>
      <c r="GS16" s="215"/>
      <c r="GT16" s="84"/>
      <c r="GU16" s="104"/>
      <c r="GV16" s="178">
        <f>IF(COUNT(GV17:GV19)=0,"",SUM(GV17:GV19)/COUNT(GV17:GV19))</f>
        <v>2.5</v>
      </c>
      <c r="GW16" s="179" t="str">
        <f t="shared" si="44"/>
        <v>C</v>
      </c>
      <c r="GX16" s="171"/>
      <c r="GY16" s="84"/>
      <c r="GZ16" s="84"/>
      <c r="HA16" s="178">
        <f>IF(COUNT(HA17:HA19)=0,"",SUM(HA17:HA19)/COUNT(HA17:HA19))</f>
        <v>2.166666666666667</v>
      </c>
      <c r="HB16" s="194" t="str">
        <f t="shared" si="45"/>
        <v>C</v>
      </c>
      <c r="HC16" s="172"/>
      <c r="HD16" s="109"/>
      <c r="HE16" s="109"/>
      <c r="HF16" s="110"/>
      <c r="HG16" s="178">
        <f>IF(COUNT(HG17:HG19)=0,"",SUM(HG17:HG19)/COUNT(HG17:HG19))</f>
        <v>2.6666666666666665</v>
      </c>
      <c r="HH16" s="202" t="str">
        <f t="shared" si="46"/>
        <v>C</v>
      </c>
      <c r="HI16" s="203">
        <f>IF(COUNT(HI17:HI19)=0,"",SUM(HI17:HI19)/COUNT(HI17:HI19))</f>
        <v>2.592592592592593</v>
      </c>
      <c r="HJ16" s="204" t="str">
        <f t="shared" si="47"/>
        <v>C</v>
      </c>
      <c r="HK16" s="215"/>
      <c r="HL16" s="84"/>
      <c r="HM16" s="104"/>
      <c r="HN16" s="178">
        <f>IF(COUNT(HN17:HN19)=0,"",SUM(HN17:HN19)/COUNT(HN17:HN19))</f>
        <v>3</v>
      </c>
      <c r="HO16" s="179" t="str">
        <f t="shared" si="48"/>
        <v>B</v>
      </c>
      <c r="HP16" s="171"/>
      <c r="HQ16" s="84"/>
      <c r="HR16" s="84"/>
      <c r="HS16" s="178">
        <f>IF(COUNT(HS17:HS19)=0,"",SUM(HS17:HS19)/COUNT(HS17:HS19))</f>
        <v>2.916666666666667</v>
      </c>
      <c r="HT16" s="194" t="str">
        <f t="shared" si="49"/>
        <v>B</v>
      </c>
      <c r="HU16" s="172"/>
      <c r="HV16" s="109"/>
      <c r="HW16" s="109"/>
      <c r="HX16" s="110"/>
      <c r="HY16" s="178">
        <f>IF(COUNT(HY17:HY19)=0,"",SUM(HY17:HY19)/COUNT(HY17:HY19))</f>
        <v>3.3333333333333335</v>
      </c>
      <c r="HZ16" s="202" t="str">
        <f t="shared" si="50"/>
        <v>B</v>
      </c>
      <c r="IA16" s="203">
        <f>IF(COUNT(IA17:IA19)=0,"",SUM(IA17:IA19)/COUNT(IA17:IA19))</f>
        <v>3.092592592592593</v>
      </c>
      <c r="IB16" s="204" t="str">
        <f t="shared" si="51"/>
        <v>B</v>
      </c>
      <c r="IC16" s="215"/>
      <c r="ID16" s="84"/>
      <c r="IE16" s="104"/>
      <c r="IF16" s="178">
        <f>IF(COUNT(IF17:IF19)=0,"",SUM(IF17:IF19)/COUNT(IF17:IF19))</f>
        <v>3.5</v>
      </c>
      <c r="IG16" s="179" t="str">
        <f t="shared" si="52"/>
        <v>B</v>
      </c>
      <c r="IH16" s="171"/>
      <c r="II16" s="84"/>
      <c r="IJ16" s="84"/>
      <c r="IK16" s="178">
        <f>IF(COUNT(IK17:IK19)=0,"",SUM(IK17:IK19)/COUNT(IK17:IK19))</f>
        <v>3.25</v>
      </c>
      <c r="IL16" s="194" t="str">
        <f t="shared" si="53"/>
        <v>B</v>
      </c>
      <c r="IM16" s="172"/>
      <c r="IN16" s="109"/>
      <c r="IO16" s="109"/>
      <c r="IP16" s="110"/>
      <c r="IQ16" s="178">
        <f>IF(COUNT(IQ17:IQ19)=0,"",SUM(IQ17:IQ19)/COUNT(IQ17:IQ19))</f>
        <v>3.3333333333333335</v>
      </c>
      <c r="IR16" s="202" t="str">
        <f t="shared" si="54"/>
        <v>B</v>
      </c>
      <c r="IS16" s="203">
        <f>IF(COUNT(IS17:IS19)=0,"",SUM(IS17:IS19)/COUNT(IS17:IS19))</f>
        <v>3.2777777777777772</v>
      </c>
      <c r="IT16" s="204" t="str">
        <f t="shared" si="55"/>
        <v>B</v>
      </c>
      <c r="IU16" s="215"/>
      <c r="IV16" s="84"/>
      <c r="IW16" s="104"/>
      <c r="IX16" s="178">
        <f>IF(COUNT(IX17:IX19)=0,"",SUM(IX17:IX19)/COUNT(IX17:IX19))</f>
        <v>3.5</v>
      </c>
      <c r="IY16" s="179" t="str">
        <f t="shared" si="56"/>
        <v>B</v>
      </c>
      <c r="IZ16" s="171"/>
      <c r="JA16" s="84"/>
      <c r="JB16" s="84"/>
      <c r="JC16" s="178">
        <f>IF(COUNT(JC17:JC19)=0,"",SUM(JC17:JC19)/COUNT(JC17:JC19))</f>
        <v>2.583333333333333</v>
      </c>
      <c r="JD16" s="194" t="str">
        <f t="shared" si="57"/>
        <v>C</v>
      </c>
      <c r="JE16" s="172"/>
      <c r="JF16" s="109"/>
      <c r="JG16" s="109"/>
      <c r="JH16" s="110"/>
      <c r="JI16" s="178">
        <f>IF(COUNT(JI17:JI19)=0,"",SUM(JI17:JI19)/COUNT(JI17:JI19))</f>
        <v>2.9166666666666665</v>
      </c>
      <c r="JJ16" s="202" t="str">
        <f t="shared" si="58"/>
        <v>B</v>
      </c>
      <c r="JK16" s="203">
        <f>IF(COUNT(JK17:JK19)=0,"",SUM(JK17:JK19)/COUNT(JK17:JK19))</f>
        <v>2.9907407407407405</v>
      </c>
      <c r="JL16" s="204" t="str">
        <f t="shared" si="59"/>
        <v>B</v>
      </c>
      <c r="JM16" s="215"/>
      <c r="JN16" s="84"/>
      <c r="JO16" s="104"/>
      <c r="JP16" s="178">
        <f>IF(COUNT(JP17:JP19)=0,"",SUM(JP17:JP19)/COUNT(JP17:JP19))</f>
        <v>1.75</v>
      </c>
      <c r="JQ16" s="179" t="str">
        <f t="shared" si="60"/>
        <v>C</v>
      </c>
      <c r="JR16" s="171"/>
      <c r="JS16" s="84"/>
      <c r="JT16" s="84"/>
      <c r="JU16" s="178">
        <f>IF(COUNT(JU17:JU19)=0,"",SUM(JU17:JU19)/COUNT(JU17:JU19))</f>
        <v>2.416666666666667</v>
      </c>
      <c r="JV16" s="194" t="str">
        <f t="shared" si="61"/>
        <v>C</v>
      </c>
      <c r="JW16" s="172"/>
      <c r="JX16" s="109"/>
      <c r="JY16" s="109"/>
      <c r="JZ16" s="110"/>
      <c r="KA16" s="178">
        <f>IF(COUNT(KA17:KA19)=0,"",SUM(KA17:KA19)/COUNT(KA17:KA19))</f>
        <v>2.8333333333333335</v>
      </c>
      <c r="KB16" s="202" t="str">
        <f t="shared" si="62"/>
        <v>B</v>
      </c>
      <c r="KC16" s="203">
        <f>IF(COUNT(KC17:KC19)=0,"",SUM(KC17:KC19)/COUNT(KC17:KC19))</f>
        <v>2.5370370370370368</v>
      </c>
      <c r="KD16" s="204" t="str">
        <f t="shared" si="63"/>
        <v>C</v>
      </c>
      <c r="KE16" s="215"/>
      <c r="KF16" s="84"/>
      <c r="KG16" s="104"/>
      <c r="KH16" s="178">
        <f>IF(COUNT(KH17:KH19)=0,"",SUM(KH17:KH19)/COUNT(KH17:KH19))</f>
        <v>3.25</v>
      </c>
      <c r="KI16" s="179" t="str">
        <f t="shared" si="64"/>
        <v>B</v>
      </c>
      <c r="KJ16" s="171"/>
      <c r="KK16" s="84"/>
      <c r="KL16" s="84"/>
      <c r="KM16" s="178">
        <f>IF(COUNT(KM17:KM19)=0,"",SUM(KM17:KM19)/COUNT(KM17:KM19))</f>
        <v>3.666666666666667</v>
      </c>
      <c r="KN16" s="194" t="str">
        <f t="shared" si="65"/>
        <v>B</v>
      </c>
      <c r="KO16" s="172"/>
      <c r="KP16" s="109"/>
      <c r="KQ16" s="109"/>
      <c r="KR16" s="110"/>
      <c r="KS16" s="178">
        <f>IF(COUNT(KS17:KS19)=0,"",SUM(KS17:KS19)/COUNT(KS17:KS19))</f>
        <v>3.1666666666666665</v>
      </c>
      <c r="KT16" s="202" t="str">
        <f t="shared" si="66"/>
        <v>B</v>
      </c>
      <c r="KU16" s="203">
        <f>IF(COUNT(KU17:KU19)=0,"",SUM(KU17:KU19)/COUNT(KU17:KU19))</f>
        <v>3.2592592592592595</v>
      </c>
      <c r="KV16" s="204" t="str">
        <f t="shared" si="67"/>
        <v>B</v>
      </c>
      <c r="KW16" s="215"/>
      <c r="KX16" s="84"/>
      <c r="KY16" s="104"/>
      <c r="KZ16" s="178">
        <f>IF(COUNT(KZ17:KZ19)=0,"",SUM(KZ17:KZ19)/COUNT(KZ17:KZ19))</f>
        <v>2.5</v>
      </c>
      <c r="LA16" s="179" t="str">
        <f t="shared" si="68"/>
        <v>C</v>
      </c>
      <c r="LB16" s="171"/>
      <c r="LC16" s="84"/>
      <c r="LD16" s="84"/>
      <c r="LE16" s="178">
        <f>IF(COUNT(LE17:LE19)=0,"",SUM(LE17:LE19)/COUNT(LE17:LE19))</f>
        <v>2.416666666666667</v>
      </c>
      <c r="LF16" s="194" t="str">
        <f t="shared" si="69"/>
        <v>C</v>
      </c>
      <c r="LG16" s="172"/>
      <c r="LH16" s="109"/>
      <c r="LI16" s="109"/>
      <c r="LJ16" s="110"/>
      <c r="LK16" s="178">
        <f>IF(COUNT(LK17:LK19)=0,"",SUM(LK17:LK19)/COUNT(LK17:LK19))</f>
        <v>2</v>
      </c>
      <c r="LL16" s="202" t="str">
        <f t="shared" si="70"/>
        <v>C</v>
      </c>
      <c r="LM16" s="203">
        <f>IF(COUNT(LM17:LM19)=0,"",SUM(LM17:LM19)/COUNT(LM17:LM19))</f>
        <v>2.2037037037037037</v>
      </c>
      <c r="LN16" s="204" t="str">
        <f t="shared" si="71"/>
        <v>C</v>
      </c>
      <c r="LO16" s="215"/>
      <c r="LP16" s="84"/>
      <c r="LQ16" s="104"/>
      <c r="LR16" s="178">
        <f>IF(COUNT(LR17:LR19)=0,"",SUM(LR17:LR19)/COUNT(LR17:LR19))</f>
        <v>2.75</v>
      </c>
      <c r="LS16" s="179" t="str">
        <f t="shared" si="72"/>
        <v>C</v>
      </c>
      <c r="LT16" s="171"/>
      <c r="LU16" s="84"/>
      <c r="LV16" s="84"/>
      <c r="LW16" s="178">
        <f>IF(COUNT(LW17:LW19)=0,"",SUM(LW17:LW19)/COUNT(LW17:LW19))</f>
        <v>2.416666666666667</v>
      </c>
      <c r="LX16" s="194" t="str">
        <f t="shared" si="73"/>
        <v>C</v>
      </c>
      <c r="LY16" s="172"/>
      <c r="LZ16" s="109"/>
      <c r="MA16" s="109"/>
      <c r="MB16" s="110"/>
      <c r="MC16" s="178">
        <f>IF(COUNT(MC17:MC19)=0,"",SUM(MC17:MC19)/COUNT(MC17:MC19))</f>
        <v>2.1666666666666665</v>
      </c>
      <c r="MD16" s="202" t="str">
        <f t="shared" si="74"/>
        <v>C</v>
      </c>
      <c r="ME16" s="203">
        <f>IF(COUNT(ME17:ME19)=0,"",SUM(ME17:ME19)/COUNT(ME17:ME19))</f>
        <v>2.0925925925925926</v>
      </c>
      <c r="MF16" s="204" t="str">
        <f t="shared" si="75"/>
        <v>C</v>
      </c>
      <c r="MG16" s="215"/>
      <c r="MH16" s="84"/>
      <c r="MI16" s="104"/>
      <c r="MJ16" s="178">
        <f>IF(COUNT(MJ17:MJ19)=0,"",SUM(MJ17:MJ19)/COUNT(MJ17:MJ19))</f>
        <v>2.25</v>
      </c>
      <c r="MK16" s="179" t="str">
        <f t="shared" si="76"/>
        <v>C</v>
      </c>
      <c r="ML16" s="171"/>
      <c r="MM16" s="84"/>
      <c r="MN16" s="84"/>
      <c r="MO16" s="178">
        <f>IF(COUNT(MO17:MO19)=0,"",SUM(MO17:MO19)/COUNT(MO17:MO19))</f>
        <v>3</v>
      </c>
      <c r="MP16" s="194" t="str">
        <f t="shared" si="77"/>
        <v>B</v>
      </c>
      <c r="MQ16" s="172"/>
      <c r="MR16" s="109"/>
      <c r="MS16" s="109"/>
      <c r="MT16" s="110"/>
      <c r="MU16" s="178">
        <f>IF(COUNT(MU17:MU19)=0,"",SUM(MU17:MU19)/COUNT(MU17:MU19))</f>
        <v>2.6666666666666665</v>
      </c>
      <c r="MV16" s="202" t="str">
        <f t="shared" si="78"/>
        <v>C</v>
      </c>
      <c r="MW16" s="203">
        <f>IF(COUNT(MW17:MW19)=0,"",SUM(MW17:MW19)/COUNT(MW17:MW19))</f>
        <v>2.5</v>
      </c>
      <c r="MX16" s="204" t="str">
        <f t="shared" si="79"/>
        <v>C</v>
      </c>
      <c r="MY16" s="215"/>
      <c r="MZ16" s="84"/>
      <c r="NA16" s="104"/>
      <c r="NB16" s="178">
        <f>IF(COUNT(NB17:NB19)=0,"",SUM(NB17:NB19)/COUNT(NB17:NB19))</f>
        <v>2.25</v>
      </c>
      <c r="NC16" s="179" t="str">
        <f t="shared" si="80"/>
        <v>C</v>
      </c>
      <c r="ND16" s="171"/>
      <c r="NE16" s="84"/>
      <c r="NF16" s="84"/>
      <c r="NG16" s="178">
        <f>IF(COUNT(NG17:NG19)=0,"",SUM(NG17:NG19)/COUNT(NG17:NG19))</f>
        <v>2</v>
      </c>
      <c r="NH16" s="194" t="str">
        <f t="shared" si="81"/>
        <v>C</v>
      </c>
      <c r="NI16" s="172"/>
      <c r="NJ16" s="109"/>
      <c r="NK16" s="109"/>
      <c r="NL16" s="110"/>
      <c r="NM16" s="178">
        <f>IF(COUNT(NM17:NM19)=0,"",SUM(NM17:NM19)/COUNT(NM17:NM19))</f>
        <v>2.0833333333333335</v>
      </c>
      <c r="NN16" s="202" t="str">
        <f t="shared" si="82"/>
        <v>C</v>
      </c>
      <c r="NO16" s="203">
        <f>IF(COUNT(NO17:NO19)=0,"",SUM(NO17:NO19)/COUNT(NO17:NO19))</f>
        <v>2.3055555555555554</v>
      </c>
      <c r="NP16" s="204" t="str">
        <f t="shared" si="83"/>
        <v>C</v>
      </c>
      <c r="NQ16" s="215"/>
      <c r="NR16" s="84"/>
      <c r="NS16" s="104"/>
      <c r="NT16" s="178">
        <f>IF(COUNT(NT17:NT19)=0,"",SUM(NT17:NT19)/COUNT(NT17:NT19))</f>
        <v>3.5</v>
      </c>
      <c r="NU16" s="179" t="str">
        <f t="shared" si="84"/>
        <v>B</v>
      </c>
      <c r="NV16" s="171"/>
      <c r="NW16" s="84"/>
      <c r="NX16" s="84"/>
      <c r="NY16" s="178">
        <f>IF(COUNT(NY17:NY19)=0,"",SUM(NY17:NY19)/COUNT(NY17:NY19))</f>
        <v>3.416666666666667</v>
      </c>
      <c r="NZ16" s="194" t="str">
        <f t="shared" si="85"/>
        <v>B</v>
      </c>
      <c r="OA16" s="172"/>
      <c r="OB16" s="109"/>
      <c r="OC16" s="109"/>
      <c r="OD16" s="110"/>
      <c r="OE16" s="178">
        <f>IF(COUNT(OE17:OE19)=0,"",SUM(OE17:OE19)/COUNT(OE17:OE19))</f>
        <v>3.25</v>
      </c>
      <c r="OF16" s="202" t="str">
        <f t="shared" si="86"/>
        <v>B</v>
      </c>
      <c r="OG16" s="203">
        <f>IF(COUNT(OG17:OG19)=0,"",SUM(OG17:OG19)/COUNT(OG17:OG19))</f>
        <v>3.2870370370370368</v>
      </c>
      <c r="OH16" s="204" t="str">
        <f t="shared" si="87"/>
        <v>B</v>
      </c>
      <c r="OI16" s="215"/>
      <c r="OJ16" s="84"/>
      <c r="OK16" s="104"/>
      <c r="OL16" s="178">
        <f>IF(COUNT(OL17:OL19)=0,"",SUM(OL17:OL19)/COUNT(OL17:OL19))</f>
        <v>2.75</v>
      </c>
      <c r="OM16" s="179" t="str">
        <f t="shared" si="88"/>
        <v>C</v>
      </c>
      <c r="ON16" s="171"/>
      <c r="OO16" s="84"/>
      <c r="OP16" s="84"/>
      <c r="OQ16" s="178">
        <f>IF(COUNT(OQ17:OQ19)=0,"",SUM(OQ17:OQ19)/COUNT(OQ17:OQ19))</f>
        <v>3</v>
      </c>
      <c r="OR16" s="194" t="str">
        <f t="shared" si="89"/>
        <v>B</v>
      </c>
      <c r="OS16" s="172"/>
      <c r="OT16" s="109"/>
      <c r="OU16" s="109"/>
      <c r="OV16" s="110"/>
      <c r="OW16" s="178">
        <f>IF(COUNT(OW17:OW19)=0,"",SUM(OW17:OW19)/COUNT(OW17:OW19))</f>
        <v>2.25</v>
      </c>
      <c r="OX16" s="202" t="str">
        <f t="shared" si="90"/>
        <v>C</v>
      </c>
      <c r="OY16" s="203">
        <f>IF(COUNT(OY17:OY19)=0,"",SUM(OY17:OY19)/COUNT(OY17:OY19))</f>
        <v>2.6944444444444446</v>
      </c>
      <c r="OZ16" s="204" t="str">
        <f t="shared" si="91"/>
        <v>C</v>
      </c>
      <c r="PA16" s="215"/>
      <c r="PB16" s="84"/>
      <c r="PC16" s="104"/>
      <c r="PD16" s="178">
        <f>IF(COUNT(PD17:PD19)=0,"",SUM(PD17:PD19)/COUNT(PD17:PD19))</f>
        <v>2.25</v>
      </c>
      <c r="PE16" s="179" t="str">
        <f t="shared" si="92"/>
        <v>C</v>
      </c>
      <c r="PF16" s="171"/>
      <c r="PG16" s="84"/>
      <c r="PH16" s="84"/>
      <c r="PI16" s="178">
        <f>IF(COUNT(PI17:PI19)=0,"",SUM(PI17:PI19)/COUNT(PI17:PI19))</f>
        <v>2.166666666666667</v>
      </c>
      <c r="PJ16" s="194" t="str">
        <f t="shared" si="93"/>
        <v>C</v>
      </c>
      <c r="PK16" s="172"/>
      <c r="PL16" s="109"/>
      <c r="PM16" s="109"/>
      <c r="PN16" s="110"/>
      <c r="PO16" s="178">
        <f>IF(COUNT(PO17:PO19)=0,"",SUM(PO17:PO19)/COUNT(PO17:PO19))</f>
        <v>2.7222222222222219</v>
      </c>
      <c r="PP16" s="202" t="str">
        <f t="shared" si="94"/>
        <v>C</v>
      </c>
      <c r="PQ16" s="203">
        <f>IF(COUNT(PQ17:PQ19)=0,"",SUM(PQ17:PQ19)/COUNT(PQ17:PQ19))</f>
        <v>2.5555555555555554</v>
      </c>
      <c r="PR16" s="204" t="str">
        <f t="shared" si="95"/>
        <v>C</v>
      </c>
      <c r="PS16" s="215"/>
      <c r="PT16" s="84"/>
      <c r="PU16" s="104"/>
      <c r="PV16" s="178">
        <f>IF(COUNT(PV17:PV19)=0,"",SUM(PV17:PV19)/COUNT(PV17:PV19))</f>
        <v>2.75</v>
      </c>
      <c r="PW16" s="179" t="str">
        <f t="shared" si="96"/>
        <v>C</v>
      </c>
      <c r="PX16" s="171"/>
      <c r="PY16" s="84"/>
      <c r="PZ16" s="84"/>
      <c r="QA16" s="178">
        <f>IF(COUNT(QA17:QA19)=0,"",SUM(QA17:QA19)/COUNT(QA17:QA19))</f>
        <v>2.75</v>
      </c>
      <c r="QB16" s="194" t="str">
        <f t="shared" si="97"/>
        <v>C</v>
      </c>
      <c r="QC16" s="172"/>
      <c r="QD16" s="109"/>
      <c r="QE16" s="109"/>
      <c r="QF16" s="110"/>
      <c r="QG16" s="178">
        <f>IF(COUNT(QG17:QG19)=0,"",SUM(QG17:QG19)/COUNT(QG17:QG19))</f>
        <v>2.8333333333333335</v>
      </c>
      <c r="QH16" s="202" t="str">
        <f t="shared" si="98"/>
        <v>B</v>
      </c>
      <c r="QI16" s="203">
        <f>IF(COUNT(QI17:QI19)=0,"",SUM(QI17:QI19)/COUNT(QI17:QI19))</f>
        <v>2.8333333333333335</v>
      </c>
      <c r="QJ16" s="204" t="str">
        <f t="shared" si="99"/>
        <v>B</v>
      </c>
      <c r="QK16" s="215"/>
      <c r="QL16" s="84"/>
      <c r="QM16" s="104"/>
      <c r="QN16" s="178">
        <f>IF(COUNT(QN17:QN19)=0,"",SUM(QN17:QN19)/COUNT(QN17:QN19))</f>
        <v>2.75</v>
      </c>
      <c r="QO16" s="179" t="str">
        <f t="shared" si="100"/>
        <v>C</v>
      </c>
      <c r="QP16" s="171"/>
      <c r="QQ16" s="84"/>
      <c r="QR16" s="84"/>
      <c r="QS16" s="178">
        <f>IF(COUNT(QS17:QS19)=0,"",SUM(QS17:QS19)/COUNT(QS17:QS19))</f>
        <v>3</v>
      </c>
      <c r="QT16" s="194" t="str">
        <f t="shared" si="101"/>
        <v>B</v>
      </c>
      <c r="QU16" s="172"/>
      <c r="QV16" s="109"/>
      <c r="QW16" s="109"/>
      <c r="QX16" s="110"/>
      <c r="QY16" s="178">
        <f>IF(COUNT(QY17:QY19)=0,"",SUM(QY17:QY19)/COUNT(QY17:QY19))</f>
        <v>2.5</v>
      </c>
      <c r="QZ16" s="202" t="str">
        <f t="shared" si="102"/>
        <v>C</v>
      </c>
      <c r="RA16" s="203">
        <f>IF(COUNT(RA17:RA19)=0,"",SUM(RA17:RA19)/COUNT(RA17:RA19))</f>
        <v>2.7777777777777781</v>
      </c>
      <c r="RB16" s="204" t="str">
        <f t="shared" si="103"/>
        <v>C</v>
      </c>
      <c r="RC16" s="215"/>
      <c r="RD16" s="84"/>
      <c r="RE16" s="104"/>
      <c r="RF16" s="178">
        <f>IF(COUNT(RF17:RF19)=0,"",SUM(RF17:RF19)/COUNT(RF17:RF19))</f>
        <v>2.5</v>
      </c>
      <c r="RG16" s="179" t="str">
        <f t="shared" si="104"/>
        <v>C</v>
      </c>
      <c r="RH16" s="171"/>
      <c r="RI16" s="84"/>
      <c r="RJ16" s="84"/>
      <c r="RK16" s="178">
        <f>IF(COUNT(RK17:RK19)=0,"",SUM(RK17:RK19)/COUNT(RK17:RK19))</f>
        <v>3.166666666666667</v>
      </c>
      <c r="RL16" s="194" t="str">
        <f t="shared" si="105"/>
        <v>B</v>
      </c>
      <c r="RM16" s="172"/>
      <c r="RN16" s="109"/>
      <c r="RO16" s="109"/>
      <c r="RP16" s="110"/>
      <c r="RQ16" s="178">
        <f>IF(COUNT(RQ17:RQ19)=0,"",SUM(RQ17:RQ19)/COUNT(RQ17:RQ19))</f>
        <v>3.1666666666666665</v>
      </c>
      <c r="RR16" s="202" t="str">
        <f t="shared" si="106"/>
        <v>B</v>
      </c>
      <c r="RS16" s="203">
        <f>IF(COUNT(RS17:RS19)=0,"",SUM(RS17:RS19)/COUNT(RS17:RS19))</f>
        <v>2.9814814814814814</v>
      </c>
      <c r="RT16" s="204" t="str">
        <f t="shared" si="107"/>
        <v>B</v>
      </c>
      <c r="RU16" s="215"/>
      <c r="RV16" s="84"/>
      <c r="RW16" s="104"/>
      <c r="RX16" s="178">
        <f>IF(COUNT(RX17:RX19)=0,"",SUM(RX17:RX19)/COUNT(RX17:RX19))</f>
        <v>2</v>
      </c>
      <c r="RY16" s="179" t="str">
        <f t="shared" si="108"/>
        <v>C</v>
      </c>
      <c r="RZ16" s="171"/>
      <c r="SA16" s="84"/>
      <c r="SB16" s="84"/>
      <c r="SC16" s="178">
        <f>IF(COUNT(SC17:SC19)=0,"",SUM(SC17:SC19)/COUNT(SC17:SC19))</f>
        <v>2</v>
      </c>
      <c r="SD16" s="194" t="str">
        <f t="shared" si="109"/>
        <v>C</v>
      </c>
      <c r="SE16" s="172"/>
      <c r="SF16" s="109"/>
      <c r="SG16" s="109"/>
      <c r="SH16" s="110"/>
      <c r="SI16" s="178">
        <f>IF(COUNT(SI17:SI19)=0,"",SUM(SI17:SI19)/COUNT(SI17:SI19))</f>
        <v>2.7777777777777781</v>
      </c>
      <c r="SJ16" s="202" t="str">
        <f t="shared" si="110"/>
        <v>C</v>
      </c>
      <c r="SK16" s="203">
        <f>IF(COUNT(SK17:SK19)=0,"",SUM(SK17:SK19)/COUNT(SK17:SK19))</f>
        <v>2.2592592592592595</v>
      </c>
      <c r="SL16" s="204" t="str">
        <f t="shared" si="111"/>
        <v>C</v>
      </c>
      <c r="SM16" s="140"/>
      <c r="SN16" s="84"/>
      <c r="SO16" s="104"/>
      <c r="SP16" s="105" t="str">
        <f>IF(COUNT(SP17:SP19)=0,"",SUM(SP17:SP19)/COUNT(SP17:SP19))</f>
        <v/>
      </c>
      <c r="SQ16" s="106" t="str">
        <f t="shared" si="112"/>
        <v/>
      </c>
      <c r="SR16" s="103"/>
      <c r="SS16" s="84"/>
      <c r="ST16" s="104"/>
      <c r="SU16" s="105" t="str">
        <f>IF(COUNT(SU17:SU19)=0,"",SUM(SU17:SU19)/COUNT(SU17:SU19))</f>
        <v/>
      </c>
      <c r="SV16" s="107" t="str">
        <f t="shared" si="113"/>
        <v/>
      </c>
      <c r="SW16" s="108"/>
      <c r="SX16" s="109"/>
      <c r="SY16" s="110"/>
      <c r="SZ16" s="105" t="str">
        <f>IF(COUNT(SZ17:SZ19)=0,"",SUM(SZ17:SZ19)/COUNT(SZ17:SZ19))</f>
        <v/>
      </c>
      <c r="TA16" s="111" t="str">
        <f t="shared" si="114"/>
        <v/>
      </c>
      <c r="TB16" s="112" t="str">
        <f>IF(COUNT(TB17:TB19)=0,"",SUM(TB17:TB19)/COUNT(TB17:TB19))</f>
        <v/>
      </c>
      <c r="TC16" s="113" t="str">
        <f t="shared" si="115"/>
        <v/>
      </c>
      <c r="TD16" s="140"/>
      <c r="TE16" s="84"/>
      <c r="TF16" s="104"/>
      <c r="TG16" s="105" t="str">
        <f>IF(COUNT(TG17:TG19)=0,"",SUM(TG17:TG19)/COUNT(TG17:TG19))</f>
        <v/>
      </c>
      <c r="TH16" s="106" t="str">
        <f t="shared" si="116"/>
        <v/>
      </c>
      <c r="TI16" s="103"/>
      <c r="TJ16" s="84"/>
      <c r="TK16" s="104"/>
      <c r="TL16" s="105" t="str">
        <f>IF(COUNT(TL17:TL19)=0,"",SUM(TL17:TL19)/COUNT(TL17:TL19))</f>
        <v/>
      </c>
      <c r="TM16" s="107" t="str">
        <f t="shared" si="117"/>
        <v/>
      </c>
      <c r="TN16" s="108"/>
      <c r="TO16" s="109"/>
      <c r="TP16" s="110"/>
      <c r="TQ16" s="105" t="str">
        <f>IF(COUNT(TQ17:TQ19)=0,"",SUM(TQ17:TQ19)/COUNT(TQ17:TQ19))</f>
        <v/>
      </c>
      <c r="TR16" s="111" t="str">
        <f t="shared" si="118"/>
        <v/>
      </c>
      <c r="TS16" s="112" t="str">
        <f>IF(COUNT(TS17:TS19)=0,"",SUM(TS17:TS19)/COUNT(TS17:TS19))</f>
        <v/>
      </c>
      <c r="TT16" s="113" t="str">
        <f t="shared" si="119"/>
        <v/>
      </c>
    </row>
    <row r="17" spans="1:540" ht="18" customHeight="1" x14ac:dyDescent="0.25">
      <c r="A17" s="234" t="s">
        <v>21</v>
      </c>
      <c r="B17" s="235"/>
      <c r="C17" s="122" t="s">
        <v>28</v>
      </c>
      <c r="D17" s="123"/>
      <c r="E17" s="124"/>
      <c r="F17" s="180">
        <f>IFERROR((((COUNTIF('Elève (5ème4)'!C17:E17,"A"))*4)+((COUNTIF('Elève (5ème4)'!C17:E17,"B"))*3)+((COUNTIF('Elève (5ème4)'!C17:E17,"C"))*2)+((COUNTIF('Elève (5ème4)'!C17:E17,"D"))*1))/(COUNTA(C17:E17)),"")</f>
        <v>3</v>
      </c>
      <c r="G17" s="181" t="str">
        <f t="shared" si="0"/>
        <v>B</v>
      </c>
      <c r="H17" s="122"/>
      <c r="I17" s="123" t="s">
        <v>28</v>
      </c>
      <c r="J17" s="124" t="s">
        <v>30</v>
      </c>
      <c r="K17" s="180">
        <f>IFERROR((((COUNTIF('Elève (5ème4)'!H17:J17,"A"))*4)+((COUNTIF('Elève (5ème4)'!H17:J17,"B"))*3)+((COUNTIF('Elève (5ème4)'!H17:J17,"C"))*2)+((COUNTIF('Elève (5ème4)'!H17:J17,"D"))*1))/(COUNTA(H17:J17)),"")</f>
        <v>2</v>
      </c>
      <c r="L17" s="181" t="str">
        <f t="shared" si="1"/>
        <v>C</v>
      </c>
      <c r="M17" s="122" t="s">
        <v>29</v>
      </c>
      <c r="N17" s="123"/>
      <c r="O17" s="124"/>
      <c r="P17" s="124" t="s">
        <v>29</v>
      </c>
      <c r="Q17" s="180">
        <f>IFERROR((((COUNTIF('Elève (5ème4)'!M17:P17,"A"))*4)+((COUNTIF('Elève (5ème4)'!M17:P17,"B"))*3)+((COUNTIF('Elève (5ème4)'!M17:P17,"C"))*2)+((COUNTIF('Elève (5ème4)'!M17:P17,"D"))*1))/(COUNTA(M17:P17)),"")</f>
        <v>2</v>
      </c>
      <c r="R17" s="181" t="str">
        <f t="shared" si="2"/>
        <v>C</v>
      </c>
      <c r="S17" s="180">
        <f>IF(COUNT(F17,K17,Q17)=0,"",SUM(F17,K17,Q17)/COUNT(F17,K17,Q17))</f>
        <v>2.3333333333333335</v>
      </c>
      <c r="T17" s="210" t="str">
        <f t="shared" si="3"/>
        <v>C</v>
      </c>
      <c r="U17" s="122" t="s">
        <v>29</v>
      </c>
      <c r="V17" s="123"/>
      <c r="W17" s="124"/>
      <c r="X17" s="180">
        <f>IFERROR((((COUNTIF('Elève (5ème4)'!U17:W17,"A"))*4)+((COUNTIF('Elève (5ème4)'!U17:W17,"B"))*3)+((COUNTIF('Elève (5ème4)'!U17:W17,"C"))*2)+((COUNTIF('Elève (5ème4)'!U17:W17,"D"))*1))/(COUNTA(U17:W17)),"")</f>
        <v>2</v>
      </c>
      <c r="Y17" s="181" t="str">
        <f t="shared" si="4"/>
        <v>C</v>
      </c>
      <c r="Z17" s="122"/>
      <c r="AA17" s="123" t="s">
        <v>28</v>
      </c>
      <c r="AB17" s="124"/>
      <c r="AC17" s="180">
        <f>IFERROR((((COUNTIF('Elève (5ème4)'!Z17:AB17,"A"))*4)+((COUNTIF('Elève (5ème4)'!Z17:AB17,"B"))*3)+((COUNTIF('Elève (5ème4)'!Z17:AB17,"C"))*2)+((COUNTIF('Elève (5ème4)'!Z17:AB17,"D"))*1))/(COUNTA(Z17:AB17)),"")</f>
        <v>3</v>
      </c>
      <c r="AD17" s="181" t="str">
        <f t="shared" si="5"/>
        <v>B</v>
      </c>
      <c r="AE17" s="122" t="s">
        <v>28</v>
      </c>
      <c r="AF17" s="123"/>
      <c r="AG17" s="124"/>
      <c r="AH17" s="128" t="s">
        <v>29</v>
      </c>
      <c r="AI17" s="180">
        <f>IFERROR((((COUNTIF('Elève (5ème4)'!AE17:AH17,"A"))*4)+((COUNTIF('Elève (5ème4)'!AE17:AH17,"B"))*3)+((COUNTIF('Elève (5ème4)'!AE17:AH17,"C"))*2)+((COUNTIF('Elève (5ème4)'!AE17:AH17,"D"))*1))/(COUNTA(AE17:AH17)),"")</f>
        <v>2.5</v>
      </c>
      <c r="AJ17" s="181" t="str">
        <f t="shared" si="6"/>
        <v>C</v>
      </c>
      <c r="AK17" s="180">
        <f>IF(COUNT(X17,AC17,AI17)=0,"",SUM(X17,AC17,AI17)/COUNT(X17,AC17,AI17))</f>
        <v>2.5</v>
      </c>
      <c r="AL17" s="210" t="str">
        <f t="shared" si="7"/>
        <v>C</v>
      </c>
      <c r="AM17" s="122" t="s">
        <v>27</v>
      </c>
      <c r="AN17" s="123"/>
      <c r="AO17" s="124"/>
      <c r="AP17" s="180">
        <f>IFERROR((((COUNTIF('Elève (5ème4)'!AM17:AO17,"A"))*4)+((COUNTIF('Elève (5ème4)'!AM17:AO17,"B"))*3)+((COUNTIF('Elève (5ème4)'!AM17:AO17,"C"))*2)+((COUNTIF('Elève (5ème4)'!AM17:AO17,"D"))*1))/(COUNTA(AM17:AO17)),"")</f>
        <v>4</v>
      </c>
      <c r="AQ17" s="181" t="str">
        <f t="shared" si="8"/>
        <v>A</v>
      </c>
      <c r="AR17" s="122"/>
      <c r="AS17" s="123" t="s">
        <v>28</v>
      </c>
      <c r="AT17" s="124" t="s">
        <v>30</v>
      </c>
      <c r="AU17" s="180">
        <f>IFERROR((((COUNTIF('Elève (5ème4)'!AR17:AT17,"A"))*4)+((COUNTIF('Elève (5ème4)'!AR17:AT17,"B"))*3)+((COUNTIF('Elève (5ème4)'!AR17:AT17,"C"))*2)+((COUNTIF('Elève (5ème4)'!AR17:AT17,"D"))*1))/(COUNTA(AR17:AT17)),"")</f>
        <v>2</v>
      </c>
      <c r="AV17" s="181" t="str">
        <f t="shared" si="9"/>
        <v>C</v>
      </c>
      <c r="AW17" s="122" t="s">
        <v>28</v>
      </c>
      <c r="AX17" s="123"/>
      <c r="AY17" s="124"/>
      <c r="AZ17" s="128" t="s">
        <v>28</v>
      </c>
      <c r="BA17" s="180">
        <f>IFERROR((((COUNTIF('Elève (5ème4)'!AW17:AZ17,"A"))*4)+((COUNTIF('Elève (5ème4)'!AW17:AZ17,"B"))*3)+((COUNTIF('Elève (5ème4)'!AW17:AZ17,"C"))*2)+((COUNTIF('Elève (5ème4)'!AW17:AZ17,"D"))*1))/(COUNTA(AW17:AZ17)),"")</f>
        <v>3</v>
      </c>
      <c r="BB17" s="181" t="str">
        <f t="shared" si="10"/>
        <v>B</v>
      </c>
      <c r="BC17" s="180">
        <f>IF(COUNT(AP17,AU17,BA17)=0,"",SUM(AP17,AU17,BA17)/COUNT(AP17,AU17,BA17))</f>
        <v>3</v>
      </c>
      <c r="BD17" s="210" t="str">
        <f t="shared" si="11"/>
        <v>B</v>
      </c>
      <c r="BE17" s="122" t="s">
        <v>27</v>
      </c>
      <c r="BF17" s="123"/>
      <c r="BG17" s="124"/>
      <c r="BH17" s="180">
        <f>IFERROR((((COUNTIF('Elève (5ème4)'!BE17:BG17,"A"))*4)+((COUNTIF('Elève (5ème4)'!BE17:BG17,"B"))*3)+((COUNTIF('Elève (5ème4)'!BE17:BG17,"C"))*2)+((COUNTIF('Elève (5ème4)'!BE17:BG17,"D"))*1))/(COUNTA(BE17:BG17)),"")</f>
        <v>4</v>
      </c>
      <c r="BI17" s="181" t="str">
        <f t="shared" si="12"/>
        <v>A</v>
      </c>
      <c r="BJ17" s="122"/>
      <c r="BK17" s="123" t="s">
        <v>28</v>
      </c>
      <c r="BL17" s="124" t="s">
        <v>29</v>
      </c>
      <c r="BM17" s="180">
        <f>IFERROR((((COUNTIF('Elève (5ème4)'!BJ17:BL17,"A"))*4)+((COUNTIF('Elève (5ème4)'!BJ17:BL17,"B"))*3)+((COUNTIF('Elève (5ème4)'!BJ17:BL17,"C"))*2)+((COUNTIF('Elève (5ème4)'!BJ17:BL17,"D"))*1))/(COUNTA(BJ17:BL17)),"")</f>
        <v>2.5</v>
      </c>
      <c r="BN17" s="181" t="str">
        <f t="shared" si="13"/>
        <v>C</v>
      </c>
      <c r="BO17" s="122" t="s">
        <v>27</v>
      </c>
      <c r="BP17" s="123"/>
      <c r="BQ17" s="124"/>
      <c r="BR17" s="128" t="s">
        <v>28</v>
      </c>
      <c r="BS17" s="180">
        <f>IFERROR((((COUNTIF('Elève (5ème4)'!BO17:BR17,"A"))*4)+((COUNTIF('Elève (5ème4)'!BO17:BR17,"B"))*3)+((COUNTIF('Elève (5ème4)'!BO17:BR17,"C"))*2)+((COUNTIF('Elève (5ème4)'!BO17:BR17,"D"))*1))/(COUNTA(BO17:BR17)),"")</f>
        <v>3.5</v>
      </c>
      <c r="BT17" s="181" t="str">
        <f t="shared" si="14"/>
        <v>B</v>
      </c>
      <c r="BU17" s="180">
        <f>IF(COUNT(BH17,BM17,BS17)=0,"",SUM(BH17,BM17,BS17)/COUNT(BH17,BM17,BS17))</f>
        <v>3.3333333333333335</v>
      </c>
      <c r="BV17" s="210" t="str">
        <f t="shared" si="15"/>
        <v>B</v>
      </c>
      <c r="BW17" s="122" t="s">
        <v>28</v>
      </c>
      <c r="BX17" s="123"/>
      <c r="BY17" s="124"/>
      <c r="BZ17" s="180">
        <f>IFERROR((((COUNTIF('Elève (5ème4)'!BW17:BY17,"A"))*4)+((COUNTIF('Elève (5ème4)'!BW17:BY17,"B"))*3)+((COUNTIF('Elève (5ème4)'!BW17:BY17,"C"))*2)+((COUNTIF('Elève (5ème4)'!BW17:BY17,"D"))*1))/(COUNTA(BW17:BY17)),"")</f>
        <v>3</v>
      </c>
      <c r="CA17" s="181" t="str">
        <f t="shared" si="16"/>
        <v>B</v>
      </c>
      <c r="CB17" s="122"/>
      <c r="CC17" s="123" t="s">
        <v>29</v>
      </c>
      <c r="CD17" s="124" t="s">
        <v>27</v>
      </c>
      <c r="CE17" s="180">
        <f>IFERROR((((COUNTIF('Elève (5ème4)'!CB17:CD17,"A"))*4)+((COUNTIF('Elève (5ème4)'!CB17:CD17,"B"))*3)+((COUNTIF('Elève (5ème4)'!CB17:CD17,"C"))*2)+((COUNTIF('Elève (5ème4)'!CB17:CD17,"D"))*1))/(COUNTA(CB17:CD17)),"")</f>
        <v>3</v>
      </c>
      <c r="CF17" s="181" t="str">
        <f t="shared" si="17"/>
        <v>B</v>
      </c>
      <c r="CG17" s="122" t="s">
        <v>29</v>
      </c>
      <c r="CH17" s="123"/>
      <c r="CI17" s="124"/>
      <c r="CJ17" s="128" t="s">
        <v>29</v>
      </c>
      <c r="CK17" s="180">
        <f>IFERROR((((COUNTIF('Elève (5ème4)'!CG17:CJ17,"A"))*4)+((COUNTIF('Elève (5ème4)'!CG17:CJ17,"B"))*3)+((COUNTIF('Elève (5ème4)'!CG17:CJ17,"C"))*2)+((COUNTIF('Elève (5ème4)'!CG17:CJ17,"D"))*1))/(COUNTA(CG17:CJ17)),"")</f>
        <v>2</v>
      </c>
      <c r="CL17" s="181" t="str">
        <f t="shared" si="18"/>
        <v>C</v>
      </c>
      <c r="CM17" s="180">
        <f>IF(COUNT(BZ17,CE17,CK17)=0,"",SUM(BZ17,CE17,CK17)/COUNT(BZ17,CE17,CK17))</f>
        <v>2.6666666666666665</v>
      </c>
      <c r="CN17" s="210" t="str">
        <f t="shared" si="19"/>
        <v>C</v>
      </c>
      <c r="CO17" s="122" t="s">
        <v>29</v>
      </c>
      <c r="CP17" s="123"/>
      <c r="CQ17" s="124"/>
      <c r="CR17" s="180">
        <f>IFERROR((((COUNTIF('Elève (5ème4)'!CO17:CQ17,"A"))*4)+((COUNTIF('Elève (5ème4)'!CO17:CQ17,"B"))*3)+((COUNTIF('Elève (5ème4)'!CO17:CQ17,"C"))*2)+((COUNTIF('Elève (5ème4)'!CO17:CQ17,"D"))*1))/(COUNTA(CO17:CQ17)),"")</f>
        <v>2</v>
      </c>
      <c r="CS17" s="181" t="str">
        <f t="shared" si="20"/>
        <v>C</v>
      </c>
      <c r="CT17" s="122"/>
      <c r="CU17" s="123" t="s">
        <v>27</v>
      </c>
      <c r="CV17" s="124" t="s">
        <v>28</v>
      </c>
      <c r="CW17" s="180">
        <f>IFERROR((((COUNTIF('Elève (5ème4)'!CT17:CV17,"A"))*4)+((COUNTIF('Elève (5ème4)'!CT17:CV17,"B"))*3)+((COUNTIF('Elève (5ème4)'!CT17:CV17,"C"))*2)+((COUNTIF('Elève (5ème4)'!CT17:CV17,"D"))*1))/(COUNTA(CT17:CV17)),"")</f>
        <v>3.5</v>
      </c>
      <c r="CX17" s="181" t="str">
        <f t="shared" si="21"/>
        <v>B</v>
      </c>
      <c r="CY17" s="122" t="s">
        <v>30</v>
      </c>
      <c r="CZ17" s="123"/>
      <c r="DA17" s="124"/>
      <c r="DB17" s="128" t="s">
        <v>29</v>
      </c>
      <c r="DC17" s="180">
        <f>IFERROR((((COUNTIF('Elève (5ème4)'!CY17:DB17,"A"))*4)+((COUNTIF('Elève (5ème4)'!CY17:DB17,"B"))*3)+((COUNTIF('Elève (5ème4)'!CY17:DB17,"C"))*2)+((COUNTIF('Elève (5ème4)'!CY17:DB17,"D"))*1))/(COUNTA(CY17:DB17)),"")</f>
        <v>1.5</v>
      </c>
      <c r="DD17" s="181" t="str">
        <f t="shared" si="22"/>
        <v>D</v>
      </c>
      <c r="DE17" s="180">
        <f>IF(COUNT(CR17,CW17,DC17)=0,"",SUM(CR17,CW17,DC17)/COUNT(CR17,CW17,DC17))</f>
        <v>2.3333333333333335</v>
      </c>
      <c r="DF17" s="210" t="str">
        <f t="shared" si="23"/>
        <v>C</v>
      </c>
      <c r="DG17" s="122" t="s">
        <v>29</v>
      </c>
      <c r="DH17" s="123"/>
      <c r="DI17" s="124"/>
      <c r="DJ17" s="180">
        <f>IFERROR((((COUNTIF('Elève (5ème4)'!DG17:DI17,"A"))*4)+((COUNTIF('Elève (5ème4)'!DG17:DI17,"B"))*3)+((COUNTIF('Elève (5ème4)'!DG17:DI17,"C"))*2)+((COUNTIF('Elève (5ème4)'!DG17:DI17,"D"))*1))/(COUNTA(DG17:DI17)),"")</f>
        <v>2</v>
      </c>
      <c r="DK17" s="181" t="str">
        <f t="shared" si="24"/>
        <v>C</v>
      </c>
      <c r="DL17" s="122"/>
      <c r="DM17" s="123" t="s">
        <v>28</v>
      </c>
      <c r="DN17" s="124" t="s">
        <v>30</v>
      </c>
      <c r="DO17" s="180">
        <f>IFERROR((((COUNTIF('Elève (5ème4)'!DL17:DN17,"A"))*4)+((COUNTIF('Elève (5ème4)'!DL17:DN17,"B"))*3)+((COUNTIF('Elève (5ème4)'!DL17:DN17,"C"))*2)+((COUNTIF('Elève (5ème4)'!DL17:DN17,"D"))*1))/(COUNTA(DL17:DN17)),"")</f>
        <v>2</v>
      </c>
      <c r="DP17" s="181" t="str">
        <f t="shared" si="25"/>
        <v>C</v>
      </c>
      <c r="DQ17" s="122" t="s">
        <v>29</v>
      </c>
      <c r="DR17" s="123"/>
      <c r="DS17" s="124"/>
      <c r="DT17" s="128" t="s">
        <v>29</v>
      </c>
      <c r="DU17" s="180">
        <f>IFERROR((((COUNTIF('Elève (5ème4)'!DQ17:DT17,"A"))*4)+((COUNTIF('Elève (5ème4)'!DQ17:DT17,"B"))*3)+((COUNTIF('Elève (5ème4)'!DQ17:DT17,"C"))*2)+((COUNTIF('Elève (5ème4)'!DQ17:DT17,"D"))*1))/(COUNTA(DQ17:DT17)),"")</f>
        <v>2</v>
      </c>
      <c r="DV17" s="181" t="str">
        <f t="shared" si="26"/>
        <v>C</v>
      </c>
      <c r="DW17" s="180">
        <f>IF(COUNT(DJ17,DO17,DU17)=0,"",SUM(DJ17,DO17,DU17)/COUNT(DJ17,DO17,DU17))</f>
        <v>2</v>
      </c>
      <c r="DX17" s="210" t="str">
        <f t="shared" si="27"/>
        <v>C</v>
      </c>
      <c r="DY17" s="122" t="s">
        <v>28</v>
      </c>
      <c r="DZ17" s="123"/>
      <c r="EA17" s="124"/>
      <c r="EB17" s="180">
        <f>IFERROR((((COUNTIF('Elève (5ème4)'!DY17:EA17,"A"))*4)+((COUNTIF('Elève (5ème4)'!DY17:EA17,"B"))*3)+((COUNTIF('Elève (5ème4)'!DY17:EA17,"C"))*2)+((COUNTIF('Elève (5ème4)'!DY17:EA17,"D"))*1))/(COUNTA(DY17:EA17)),"")</f>
        <v>3</v>
      </c>
      <c r="EC17" s="181" t="str">
        <f t="shared" si="28"/>
        <v>B</v>
      </c>
      <c r="ED17" s="122"/>
      <c r="EE17" s="123" t="s">
        <v>28</v>
      </c>
      <c r="EF17" s="124" t="s">
        <v>30</v>
      </c>
      <c r="EG17" s="180">
        <f>IFERROR((((COUNTIF('Elève (5ème4)'!ED17:EF17,"A"))*4)+((COUNTIF('Elève (5ème4)'!ED17:EF17,"B"))*3)+((COUNTIF('Elève (5ème4)'!ED17:EF17,"C"))*2)+((COUNTIF('Elève (5ème4)'!ED17:EF17,"D"))*1))/(COUNTA(ED17:EF17)),"")</f>
        <v>2</v>
      </c>
      <c r="EH17" s="181" t="str">
        <f t="shared" si="29"/>
        <v>C</v>
      </c>
      <c r="EI17" s="122" t="s">
        <v>29</v>
      </c>
      <c r="EJ17" s="123"/>
      <c r="EK17" s="124"/>
      <c r="EL17" s="128" t="s">
        <v>29</v>
      </c>
      <c r="EM17" s="180">
        <f>IFERROR((((COUNTIF('Elève (5ème4)'!EI17:EL17,"A"))*4)+((COUNTIF('Elève (5ème4)'!EI17:EL17,"B"))*3)+((COUNTIF('Elève (5ème4)'!EI17:EL17,"C"))*2)+((COUNTIF('Elève (5ème4)'!EI17:EL17,"D"))*1))/(COUNTA(EI17:EL17)),"")</f>
        <v>2</v>
      </c>
      <c r="EN17" s="181" t="str">
        <f t="shared" si="30"/>
        <v>C</v>
      </c>
      <c r="EO17" s="180">
        <f>IF(COUNT(EB17,EG17,EM17)=0,"",SUM(EB17,EG17,EM17)/COUNT(EB17,EG17,EM17))</f>
        <v>2.3333333333333335</v>
      </c>
      <c r="EP17" s="210" t="str">
        <f t="shared" si="31"/>
        <v>C</v>
      </c>
      <c r="EQ17" s="122" t="s">
        <v>29</v>
      </c>
      <c r="ER17" s="123"/>
      <c r="ES17" s="124"/>
      <c r="ET17" s="180">
        <f>IFERROR((((COUNTIF('Elève (5ème4)'!EQ17:ES17,"A"))*4)+((COUNTIF('Elève (5ème4)'!EQ17:ES17,"B"))*3)+((COUNTIF('Elève (5ème4)'!EQ17:ES17,"C"))*2)+((COUNTIF('Elève (5ème4)'!EQ17:ES17,"D"))*1))/(COUNTA(EQ17:ES17)),"")</f>
        <v>2</v>
      </c>
      <c r="EU17" s="181" t="str">
        <f t="shared" si="32"/>
        <v>C</v>
      </c>
      <c r="EV17" s="122"/>
      <c r="EW17" s="123" t="s">
        <v>28</v>
      </c>
      <c r="EX17" s="124" t="s">
        <v>27</v>
      </c>
      <c r="EY17" s="180">
        <f>IFERROR((((COUNTIF('Elève (5ème4)'!EV17:EX17,"A"))*4)+((COUNTIF('Elève (5ème4)'!EV17:EX17,"B"))*3)+((COUNTIF('Elève (5ème4)'!EV17:EX17,"C"))*2)+((COUNTIF('Elève (5ème4)'!EV17:EX17,"D"))*1))/(COUNTA(EV17:EX17)),"")</f>
        <v>3.5</v>
      </c>
      <c r="EZ17" s="181" t="str">
        <f t="shared" si="33"/>
        <v>B</v>
      </c>
      <c r="FA17" s="122" t="s">
        <v>30</v>
      </c>
      <c r="FB17" s="123"/>
      <c r="FC17" s="124"/>
      <c r="FD17" s="128" t="s">
        <v>29</v>
      </c>
      <c r="FE17" s="180">
        <f>IFERROR((((COUNTIF('Elève (5ème4)'!FA17:FD17,"A"))*4)+((COUNTIF('Elève (5ème4)'!FA17:FD17,"B"))*3)+((COUNTIF('Elève (5ème4)'!FA17:FD17,"C"))*2)+((COUNTIF('Elève (5ème4)'!FA17:FD17,"D"))*1))/(COUNTA(FA17:FD17)),"")</f>
        <v>1.5</v>
      </c>
      <c r="FF17" s="181" t="str">
        <f t="shared" si="34"/>
        <v>D</v>
      </c>
      <c r="FG17" s="180">
        <f>IF(COUNT(ET17,EY17,FE17)=0,"",SUM(ET17,EY17,FE17)/COUNT(ET17,EY17,FE17))</f>
        <v>2.3333333333333335</v>
      </c>
      <c r="FH17" s="210" t="str">
        <f t="shared" si="35"/>
        <v>C</v>
      </c>
      <c r="FI17" s="122" t="s">
        <v>27</v>
      </c>
      <c r="FJ17" s="123"/>
      <c r="FK17" s="124"/>
      <c r="FL17" s="180">
        <f>IFERROR((((COUNTIF('Elève (5ème4)'!FI17:FK17,"A"))*4)+((COUNTIF('Elève (5ème4)'!FI17:FK17,"B"))*3)+((COUNTIF('Elève (5ème4)'!FI17:FK17,"C"))*2)+((COUNTIF('Elève (5ème4)'!FI17:FK17,"D"))*1))/(COUNTA(FI17:FK17)),"")</f>
        <v>4</v>
      </c>
      <c r="FM17" s="181" t="str">
        <f t="shared" si="36"/>
        <v>A</v>
      </c>
      <c r="FN17" s="122"/>
      <c r="FO17" s="123" t="s">
        <v>28</v>
      </c>
      <c r="FP17" s="124" t="s">
        <v>27</v>
      </c>
      <c r="FQ17" s="180">
        <f>IFERROR((((COUNTIF('Elève (5ème4)'!FN17:FP17,"A"))*4)+((COUNTIF('Elève (5ème4)'!FN17:FP17,"B"))*3)+((COUNTIF('Elève (5ème4)'!FN17:FP17,"C"))*2)+((COUNTIF('Elève (5ème4)'!FN17:FP17,"D"))*1))/(COUNTA(FN17:FP17)),"")</f>
        <v>3.5</v>
      </c>
      <c r="FR17" s="181" t="str">
        <f t="shared" si="37"/>
        <v>B</v>
      </c>
      <c r="FS17" s="122" t="s">
        <v>29</v>
      </c>
      <c r="FT17" s="123"/>
      <c r="FU17" s="124"/>
      <c r="FV17" s="128" t="s">
        <v>29</v>
      </c>
      <c r="FW17" s="180">
        <f>IFERROR((((COUNTIF('Elève (5ème4)'!FS17:FV17,"A"))*4)+((COUNTIF('Elève (5ème4)'!FS17:FV17,"B"))*3)+((COUNTIF('Elève (5ème4)'!FS17:FV17,"C"))*2)+((COUNTIF('Elève (5ème4)'!FS17:FV17,"D"))*1))/(COUNTA(FS17:FV17)),"")</f>
        <v>2</v>
      </c>
      <c r="FX17" s="181" t="str">
        <f t="shared" si="38"/>
        <v>C</v>
      </c>
      <c r="FY17" s="180">
        <f>IF(COUNT(FL17,FQ17,FW17)=0,"",SUM(FL17,FQ17,FW17)/COUNT(FL17,FQ17,FW17))</f>
        <v>3.1666666666666665</v>
      </c>
      <c r="FZ17" s="210" t="str">
        <f t="shared" si="39"/>
        <v>B</v>
      </c>
      <c r="GA17" s="122" t="s">
        <v>28</v>
      </c>
      <c r="GB17" s="123"/>
      <c r="GC17" s="124"/>
      <c r="GD17" s="180">
        <f>IFERROR((((COUNTIF('Elève (5ème4)'!GA17:GC17,"A"))*4)+((COUNTIF('Elève (5ème4)'!GA17:GC17,"B"))*3)+((COUNTIF('Elève (5ème4)'!GA17:GC17,"C"))*2)+((COUNTIF('Elève (5ème4)'!GA17:GC17,"D"))*1))/(COUNTA(GA17:GC17)),"")</f>
        <v>3</v>
      </c>
      <c r="GE17" s="181" t="str">
        <f t="shared" si="40"/>
        <v>B</v>
      </c>
      <c r="GF17" s="122"/>
      <c r="GG17" s="123" t="s">
        <v>28</v>
      </c>
      <c r="GH17" s="124" t="s">
        <v>27</v>
      </c>
      <c r="GI17" s="180">
        <f>IFERROR((((COUNTIF('Elève (5ème4)'!GF17:GH17,"A"))*4)+((COUNTIF('Elève (5ème4)'!GF17:GH17,"B"))*3)+((COUNTIF('Elève (5ème4)'!GF17:GH17,"C"))*2)+((COUNTIF('Elève (5ème4)'!GF17:GH17,"D"))*1))/(COUNTA(GF17:GH17)),"")</f>
        <v>3.5</v>
      </c>
      <c r="GJ17" s="181" t="str">
        <f t="shared" si="41"/>
        <v>B</v>
      </c>
      <c r="GK17" s="122" t="s">
        <v>29</v>
      </c>
      <c r="GL17" s="123"/>
      <c r="GM17" s="124"/>
      <c r="GN17" s="128" t="s">
        <v>28</v>
      </c>
      <c r="GO17" s="180">
        <f>IFERROR((((COUNTIF('Elève (5ème4)'!GK17:GN17,"A"))*4)+((COUNTIF('Elève (5ème4)'!GK17:GN17,"B"))*3)+((COUNTIF('Elève (5ème4)'!GK17:GN17,"C"))*2)+((COUNTIF('Elève (5ème4)'!GK17:GN17,"D"))*1))/(COUNTA(GK17:GN17)),"")</f>
        <v>2.5</v>
      </c>
      <c r="GP17" s="181" t="str">
        <f t="shared" si="42"/>
        <v>C</v>
      </c>
      <c r="GQ17" s="180">
        <f>IF(COUNT(GD17,GI17,GO17)=0,"",SUM(GD17,GI17,GO17)/COUNT(GD17,GI17,GO17))</f>
        <v>3</v>
      </c>
      <c r="GR17" s="210" t="str">
        <f t="shared" si="43"/>
        <v>B</v>
      </c>
      <c r="GS17" s="122" t="s">
        <v>28</v>
      </c>
      <c r="GT17" s="123"/>
      <c r="GU17" s="124"/>
      <c r="GV17" s="180">
        <f>IFERROR((((COUNTIF('Elève (5ème4)'!GS17:GU17,"A"))*4)+((COUNTIF('Elève (5ème4)'!GS17:GU17,"B"))*3)+((COUNTIF('Elève (5ème4)'!GS17:GU17,"C"))*2)+((COUNTIF('Elève (5ème4)'!GS17:GU17,"D"))*1))/(COUNTA(GS17:GU17)),"")</f>
        <v>3</v>
      </c>
      <c r="GW17" s="181" t="str">
        <f t="shared" si="44"/>
        <v>B</v>
      </c>
      <c r="GX17" s="122"/>
      <c r="GY17" s="123" t="s">
        <v>28</v>
      </c>
      <c r="GZ17" s="124" t="s">
        <v>30</v>
      </c>
      <c r="HA17" s="180">
        <f>IFERROR((((COUNTIF('Elève (5ème4)'!GX17:GZ17,"A"))*4)+((COUNTIF('Elève (5ème4)'!GX17:GZ17,"B"))*3)+((COUNTIF('Elève (5ème4)'!GX17:GZ17,"C"))*2)+((COUNTIF('Elève (5ème4)'!GX17:GZ17,"D"))*1))/(COUNTA(GX17:GZ17)),"")</f>
        <v>2</v>
      </c>
      <c r="HB17" s="181" t="str">
        <f t="shared" si="45"/>
        <v>C</v>
      </c>
      <c r="HC17" s="122" t="s">
        <v>29</v>
      </c>
      <c r="HD17" s="123"/>
      <c r="HE17" s="124"/>
      <c r="HF17" s="128" t="s">
        <v>28</v>
      </c>
      <c r="HG17" s="180">
        <f>IFERROR((((COUNTIF('Elève (5ème4)'!HC17:HF17,"A"))*4)+((COUNTIF('Elève (5ème4)'!HC17:HF17,"B"))*3)+((COUNTIF('Elève (5ème4)'!HC17:HF17,"C"))*2)+((COUNTIF('Elève (5ème4)'!HC17:HF17,"D"))*1))/(COUNTA(HC17:HF17)),"")</f>
        <v>2.5</v>
      </c>
      <c r="HH17" s="181" t="str">
        <f t="shared" si="46"/>
        <v>C</v>
      </c>
      <c r="HI17" s="180">
        <f>IF(COUNT(GV17,HA17,HG17)=0,"",SUM(GV17,HA17,HG17)/COUNT(GV17,HA17,HG17))</f>
        <v>2.5</v>
      </c>
      <c r="HJ17" s="210" t="str">
        <f t="shared" si="47"/>
        <v>C</v>
      </c>
      <c r="HK17" s="122" t="s">
        <v>28</v>
      </c>
      <c r="HL17" s="123"/>
      <c r="HM17" s="124"/>
      <c r="HN17" s="180">
        <f>IFERROR((((COUNTIF('Elève (5ème4)'!HK17:HM17,"A"))*4)+((COUNTIF('Elève (5ème4)'!HK17:HM17,"B"))*3)+((COUNTIF('Elève (5ème4)'!HK17:HM17,"C"))*2)+((COUNTIF('Elève (5ème4)'!HK17:HM17,"D"))*1))/(COUNTA(HK17:HM17)),"")</f>
        <v>3</v>
      </c>
      <c r="HO17" s="181" t="str">
        <f t="shared" si="48"/>
        <v>B</v>
      </c>
      <c r="HP17" s="122"/>
      <c r="HQ17" s="123" t="s">
        <v>27</v>
      </c>
      <c r="HR17" s="124" t="s">
        <v>30</v>
      </c>
      <c r="HS17" s="180">
        <f>IFERROR((((COUNTIF('Elève (5ème4)'!HP17:HR17,"A"))*4)+((COUNTIF('Elève (5ème4)'!HP17:HR17,"B"))*3)+((COUNTIF('Elève (5ème4)'!HP17:HR17,"C"))*2)+((COUNTIF('Elève (5ème4)'!HP17:HR17,"D"))*1))/(COUNTA(HP17:HR17)),"")</f>
        <v>2.5</v>
      </c>
      <c r="HT17" s="181" t="str">
        <f t="shared" si="49"/>
        <v>C</v>
      </c>
      <c r="HU17" s="122" t="s">
        <v>28</v>
      </c>
      <c r="HV17" s="123"/>
      <c r="HW17" s="124"/>
      <c r="HX17" s="128" t="s">
        <v>27</v>
      </c>
      <c r="HY17" s="180">
        <f>IFERROR((((COUNTIF('Elève (5ème4)'!HU17:HX17,"A"))*4)+((COUNTIF('Elève (5ème4)'!HU17:HX17,"B"))*3)+((COUNTIF('Elève (5ème4)'!HU17:HX17,"C"))*2)+((COUNTIF('Elève (5ème4)'!HU17:HX17,"D"))*1))/(COUNTA(HU17:HX17)),"")</f>
        <v>3.5</v>
      </c>
      <c r="HZ17" s="181" t="str">
        <f t="shared" si="50"/>
        <v>B</v>
      </c>
      <c r="IA17" s="180">
        <f>IF(COUNT(HN17,HS17,HY17)=0,"",SUM(HN17,HS17,HY17)/COUNT(HN17,HS17,HY17))</f>
        <v>3</v>
      </c>
      <c r="IB17" s="210" t="str">
        <f t="shared" si="51"/>
        <v>B</v>
      </c>
      <c r="IC17" s="122" t="s">
        <v>27</v>
      </c>
      <c r="ID17" s="123"/>
      <c r="IE17" s="124"/>
      <c r="IF17" s="180">
        <f>IFERROR((((COUNTIF('Elève (5ème4)'!IC17:IE17,"A"))*4)+((COUNTIF('Elève (5ème4)'!IC17:IE17,"B"))*3)+((COUNTIF('Elève (5ème4)'!IC17:IE17,"C"))*2)+((COUNTIF('Elève (5ème4)'!IC17:IE17,"D"))*1))/(COUNTA(IC17:IE17)),"")</f>
        <v>4</v>
      </c>
      <c r="IG17" s="181" t="str">
        <f t="shared" si="52"/>
        <v>A</v>
      </c>
      <c r="IH17" s="122"/>
      <c r="II17" s="123" t="s">
        <v>28</v>
      </c>
      <c r="IJ17" s="124" t="s">
        <v>27</v>
      </c>
      <c r="IK17" s="180">
        <f>IFERROR((((COUNTIF('Elève (5ème4)'!IH17:IJ17,"A"))*4)+((COUNTIF('Elève (5ème4)'!IH17:IJ17,"B"))*3)+((COUNTIF('Elève (5ème4)'!IH17:IJ17,"C"))*2)+((COUNTIF('Elève (5ème4)'!IH17:IJ17,"D"))*1))/(COUNTA(IH17:IJ17)),"")</f>
        <v>3.5</v>
      </c>
      <c r="IL17" s="181" t="str">
        <f t="shared" si="53"/>
        <v>B</v>
      </c>
      <c r="IM17" s="122" t="s">
        <v>28</v>
      </c>
      <c r="IN17" s="123"/>
      <c r="IO17" s="124"/>
      <c r="IP17" s="128" t="s">
        <v>27</v>
      </c>
      <c r="IQ17" s="180">
        <f>IFERROR((((COUNTIF('Elève (5ème4)'!IM17:IP17,"A"))*4)+((COUNTIF('Elève (5ème4)'!IM17:IP17,"B"))*3)+((COUNTIF('Elève (5ème4)'!IM17:IP17,"C"))*2)+((COUNTIF('Elève (5ème4)'!IM17:IP17,"D"))*1))/(COUNTA(IM17:IP17)),"")</f>
        <v>3.5</v>
      </c>
      <c r="IR17" s="181" t="str">
        <f t="shared" si="54"/>
        <v>B</v>
      </c>
      <c r="IS17" s="180">
        <f>IF(COUNT(IF17,IK17,IQ17)=0,"",SUM(IF17,IK17,IQ17)/COUNT(IF17,IK17,IQ17))</f>
        <v>3.6666666666666665</v>
      </c>
      <c r="IT17" s="210" t="str">
        <f t="shared" si="55"/>
        <v>B</v>
      </c>
      <c r="IU17" s="122" t="s">
        <v>27</v>
      </c>
      <c r="IV17" s="123"/>
      <c r="IW17" s="124"/>
      <c r="IX17" s="180">
        <f>IFERROR((((COUNTIF('Elève (5ème4)'!IU17:IW17,"A"))*4)+((COUNTIF('Elève (5ème4)'!IU17:IW17,"B"))*3)+((COUNTIF('Elève (5ème4)'!IU17:IW17,"C"))*2)+((COUNTIF('Elève (5ème4)'!IU17:IW17,"D"))*1))/(COUNTA(IU17:IW17)),"")</f>
        <v>4</v>
      </c>
      <c r="IY17" s="181" t="str">
        <f t="shared" si="56"/>
        <v>A</v>
      </c>
      <c r="IZ17" s="122"/>
      <c r="JA17" s="123" t="s">
        <v>29</v>
      </c>
      <c r="JB17" s="124" t="s">
        <v>28</v>
      </c>
      <c r="JC17" s="180">
        <f>IFERROR((((COUNTIF('Elève (5ème4)'!IZ17:JB17,"A"))*4)+((COUNTIF('Elève (5ème4)'!IZ17:JB17,"B"))*3)+((COUNTIF('Elève (5ème4)'!IZ17:JB17,"C"))*2)+((COUNTIF('Elève (5ème4)'!IZ17:JB17,"D"))*1))/(COUNTA(IZ17:JB17)),"")</f>
        <v>2.5</v>
      </c>
      <c r="JD17" s="181" t="str">
        <f t="shared" si="57"/>
        <v>C</v>
      </c>
      <c r="JE17" s="122" t="s">
        <v>29</v>
      </c>
      <c r="JF17" s="123"/>
      <c r="JG17" s="124"/>
      <c r="JH17" s="128" t="s">
        <v>28</v>
      </c>
      <c r="JI17" s="180">
        <f>IFERROR((((COUNTIF('Elève (5ème4)'!JE17:JH17,"A"))*4)+((COUNTIF('Elève (5ème4)'!JE17:JH17,"B"))*3)+((COUNTIF('Elève (5ème4)'!JE17:JH17,"C"))*2)+((COUNTIF('Elève (5ème4)'!JE17:JH17,"D"))*1))/(COUNTA(JE17:JH17)),"")</f>
        <v>2.5</v>
      </c>
      <c r="JJ17" s="181" t="str">
        <f t="shared" si="58"/>
        <v>C</v>
      </c>
      <c r="JK17" s="180">
        <f>IF(COUNT(IX17,JC17,JI17)=0,"",SUM(IX17,JC17,JI17)/COUNT(IX17,JC17,JI17))</f>
        <v>3</v>
      </c>
      <c r="JL17" s="210" t="str">
        <f t="shared" si="59"/>
        <v>B</v>
      </c>
      <c r="JM17" s="122" t="s">
        <v>30</v>
      </c>
      <c r="JN17" s="123"/>
      <c r="JO17" s="124"/>
      <c r="JP17" s="180">
        <f>IFERROR((((COUNTIF('Elève (5ème4)'!JM17:JO17,"A"))*4)+((COUNTIF('Elève (5ème4)'!JM17:JO17,"B"))*3)+((COUNTIF('Elève (5ème4)'!JM17:JO17,"C"))*2)+((COUNTIF('Elève (5ème4)'!JM17:JO17,"D"))*1))/(COUNTA(JM17:JO17)),"")</f>
        <v>1</v>
      </c>
      <c r="JQ17" s="181" t="str">
        <f t="shared" si="60"/>
        <v>D</v>
      </c>
      <c r="JR17" s="122"/>
      <c r="JS17" s="123" t="s">
        <v>27</v>
      </c>
      <c r="JT17" s="124" t="s">
        <v>30</v>
      </c>
      <c r="JU17" s="180">
        <f>IFERROR((((COUNTIF('Elève (5ème4)'!JR17:JT17,"A"))*4)+((COUNTIF('Elève (5ème4)'!JR17:JT17,"B"))*3)+((COUNTIF('Elève (5ème4)'!JR17:JT17,"C"))*2)+((COUNTIF('Elève (5ème4)'!JR17:JT17,"D"))*1))/(COUNTA(JR17:JT17)),"")</f>
        <v>2.5</v>
      </c>
      <c r="JV17" s="181" t="str">
        <f t="shared" si="61"/>
        <v>C</v>
      </c>
      <c r="JW17" s="122" t="s">
        <v>29</v>
      </c>
      <c r="JX17" s="123"/>
      <c r="JY17" s="124"/>
      <c r="JZ17" s="128" t="s">
        <v>29</v>
      </c>
      <c r="KA17" s="180">
        <f>IFERROR((((COUNTIF('Elève (5ème4)'!JW17:JZ17,"A"))*4)+((COUNTIF('Elève (5ème4)'!JW17:JZ17,"B"))*3)+((COUNTIF('Elève (5ème4)'!JW17:JZ17,"C"))*2)+((COUNTIF('Elève (5ème4)'!JW17:JZ17,"D"))*1))/(COUNTA(JW17:JZ17)),"")</f>
        <v>2</v>
      </c>
      <c r="KB17" s="181" t="str">
        <f t="shared" si="62"/>
        <v>C</v>
      </c>
      <c r="KC17" s="180">
        <f>IF(COUNT(JP17,JU17,KA17)=0,"",SUM(JP17,JU17,KA17)/COUNT(JP17,JU17,KA17))</f>
        <v>1.8333333333333333</v>
      </c>
      <c r="KD17" s="210" t="str">
        <f t="shared" si="63"/>
        <v>C</v>
      </c>
      <c r="KE17" s="122" t="s">
        <v>28</v>
      </c>
      <c r="KF17" s="123"/>
      <c r="KG17" s="124"/>
      <c r="KH17" s="180">
        <f>IFERROR((((COUNTIF('Elève (5ème4)'!KE17:KG17,"A"))*4)+((COUNTIF('Elève (5ème4)'!KE17:KG17,"B"))*3)+((COUNTIF('Elève (5ème4)'!KE17:KG17,"C"))*2)+((COUNTIF('Elève (5ème4)'!KE17:KG17,"D"))*1))/(COUNTA(KE17:KG17)),"")</f>
        <v>3</v>
      </c>
      <c r="KI17" s="181" t="str">
        <f t="shared" si="64"/>
        <v>B</v>
      </c>
      <c r="KJ17" s="122"/>
      <c r="KK17" s="123" t="s">
        <v>27</v>
      </c>
      <c r="KL17" s="124" t="s">
        <v>27</v>
      </c>
      <c r="KM17" s="180">
        <f>IFERROR((((COUNTIF('Elève (5ème4)'!KJ17:KL17,"A"))*4)+((COUNTIF('Elève (5ème4)'!KJ17:KL17,"B"))*3)+((COUNTIF('Elève (5ème4)'!KJ17:KL17,"C"))*2)+((COUNTIF('Elève (5ème4)'!KJ17:KL17,"D"))*1))/(COUNTA(KJ17:KL17)),"")</f>
        <v>4</v>
      </c>
      <c r="KN17" s="181" t="str">
        <f t="shared" si="65"/>
        <v>A</v>
      </c>
      <c r="KO17" s="122" t="s">
        <v>28</v>
      </c>
      <c r="KP17" s="123"/>
      <c r="KQ17" s="124"/>
      <c r="KR17" s="128" t="s">
        <v>28</v>
      </c>
      <c r="KS17" s="180">
        <f>IFERROR((((COUNTIF('Elève (5ème4)'!KO17:KR17,"A"))*4)+((COUNTIF('Elève (5ème4)'!KO17:KR17,"B"))*3)+((COUNTIF('Elève (5ème4)'!KO17:KR17,"C"))*2)+((COUNTIF('Elève (5ème4)'!KO17:KR17,"D"))*1))/(COUNTA(KO17:KR17)),"")</f>
        <v>3</v>
      </c>
      <c r="KT17" s="181" t="str">
        <f t="shared" si="66"/>
        <v>B</v>
      </c>
      <c r="KU17" s="180">
        <f>IF(COUNT(KH17,KM17,KS17)=0,"",SUM(KH17,KM17,KS17)/COUNT(KH17,KM17,KS17))</f>
        <v>3.3333333333333335</v>
      </c>
      <c r="KV17" s="210" t="str">
        <f t="shared" si="67"/>
        <v>B</v>
      </c>
      <c r="KW17" s="122" t="s">
        <v>28</v>
      </c>
      <c r="KX17" s="123"/>
      <c r="KY17" s="124"/>
      <c r="KZ17" s="180">
        <f>IFERROR((((COUNTIF('Elève (5ème4)'!KW17:KY17,"A"))*4)+((COUNTIF('Elève (5ème4)'!KW17:KY17,"B"))*3)+((COUNTIF('Elève (5ème4)'!KW17:KY17,"C"))*2)+((COUNTIF('Elève (5ème4)'!KW17:KY17,"D"))*1))/(COUNTA(KW17:KY17)),"")</f>
        <v>3</v>
      </c>
      <c r="LA17" s="181" t="str">
        <f t="shared" si="68"/>
        <v>B</v>
      </c>
      <c r="LB17" s="122"/>
      <c r="LC17" s="123" t="s">
        <v>29</v>
      </c>
      <c r="LD17" s="124" t="s">
        <v>28</v>
      </c>
      <c r="LE17" s="180">
        <f>IFERROR((((COUNTIF('Elève (5ème4)'!LB17:LD17,"A"))*4)+((COUNTIF('Elève (5ème4)'!LB17:LD17,"B"))*3)+((COUNTIF('Elève (5ème4)'!LB17:LD17,"C"))*2)+((COUNTIF('Elève (5ème4)'!LB17:LD17,"D"))*1))/(COUNTA(LB17:LD17)),"")</f>
        <v>2.5</v>
      </c>
      <c r="LF17" s="181" t="str">
        <f t="shared" si="69"/>
        <v>C</v>
      </c>
      <c r="LG17" s="122" t="s">
        <v>29</v>
      </c>
      <c r="LH17" s="123"/>
      <c r="LI17" s="124"/>
      <c r="LJ17" s="128" t="s">
        <v>29</v>
      </c>
      <c r="LK17" s="180">
        <f>IFERROR((((COUNTIF('Elève (5ème4)'!LG17:LJ17,"A"))*4)+((COUNTIF('Elève (5ème4)'!LG17:LJ17,"B"))*3)+((COUNTIF('Elève (5ème4)'!LG17:LJ17,"C"))*2)+((COUNTIF('Elève (5ème4)'!LG17:LJ17,"D"))*1))/(COUNTA(LG17:LJ17)),"")</f>
        <v>2</v>
      </c>
      <c r="LL17" s="181" t="str">
        <f t="shared" si="70"/>
        <v>C</v>
      </c>
      <c r="LM17" s="180">
        <f>IF(COUNT(KZ17,LE17,LK17)=0,"",SUM(KZ17,LE17,LK17)/COUNT(KZ17,LE17,LK17))</f>
        <v>2.5</v>
      </c>
      <c r="LN17" s="210" t="str">
        <f t="shared" si="71"/>
        <v>C</v>
      </c>
      <c r="LO17" s="122" t="s">
        <v>28</v>
      </c>
      <c r="LP17" s="123"/>
      <c r="LQ17" s="124"/>
      <c r="LR17" s="180">
        <f>IFERROR((((COUNTIF('Elève (5ème4)'!LO17:LQ17,"A"))*4)+((COUNTIF('Elève (5ème4)'!LO17:LQ17,"B"))*3)+((COUNTIF('Elève (5ème4)'!LO17:LQ17,"C"))*2)+((COUNTIF('Elève (5ème4)'!LO17:LQ17,"D"))*1))/(COUNTA(LO17:LQ17)),"")</f>
        <v>3</v>
      </c>
      <c r="LS17" s="181" t="str">
        <f t="shared" si="72"/>
        <v>B</v>
      </c>
      <c r="LT17" s="122"/>
      <c r="LU17" s="123" t="s">
        <v>27</v>
      </c>
      <c r="LV17" s="124" t="s">
        <v>30</v>
      </c>
      <c r="LW17" s="180">
        <f>IFERROR((((COUNTIF('Elève (5ème4)'!LT17:LV17,"A"))*4)+((COUNTIF('Elève (5ème4)'!LT17:LV17,"B"))*3)+((COUNTIF('Elève (5ème4)'!LT17:LV17,"C"))*2)+((COUNTIF('Elève (5ème4)'!LT17:LV17,"D"))*1))/(COUNTA(LT17:LV17)),"")</f>
        <v>2.5</v>
      </c>
      <c r="LX17" s="181" t="str">
        <f t="shared" si="73"/>
        <v>C</v>
      </c>
      <c r="LY17" s="122" t="s">
        <v>28</v>
      </c>
      <c r="LZ17" s="123"/>
      <c r="MA17" s="124"/>
      <c r="MB17" s="128" t="s">
        <v>29</v>
      </c>
      <c r="MC17" s="180">
        <f>IFERROR((((COUNTIF('Elève (5ème4)'!LY17:MB17,"A"))*4)+((COUNTIF('Elève (5ème4)'!LY17:MB17,"B"))*3)+((COUNTIF('Elève (5ème4)'!LY17:MB17,"C"))*2)+((COUNTIF('Elève (5ème4)'!LY17:MB17,"D"))*1))/(COUNTA(LY17:MB17)),"")</f>
        <v>2.5</v>
      </c>
      <c r="MD17" s="181" t="str">
        <f t="shared" si="74"/>
        <v>C</v>
      </c>
      <c r="ME17" s="180">
        <f>IF(COUNT(LR17,LW17,MC17)=0,"",SUM(LR17,LW17,MC17)/COUNT(LR17,LW17,MC17))</f>
        <v>2.6666666666666665</v>
      </c>
      <c r="MF17" s="210" t="str">
        <f t="shared" si="75"/>
        <v>C</v>
      </c>
      <c r="MG17" s="122" t="s">
        <v>29</v>
      </c>
      <c r="MH17" s="123"/>
      <c r="MI17" s="124"/>
      <c r="MJ17" s="180">
        <f>IFERROR((((COUNTIF('Elève (5ème4)'!MG17:MI17,"A"))*4)+((COUNTIF('Elève (5ème4)'!MG17:MI17,"B"))*3)+((COUNTIF('Elève (5ème4)'!MG17:MI17,"C"))*2)+((COUNTIF('Elève (5ème4)'!MG17:MI17,"D"))*1))/(COUNTA(MG17:MI17)),"")</f>
        <v>2</v>
      </c>
      <c r="MK17" s="181" t="str">
        <f t="shared" si="76"/>
        <v>C</v>
      </c>
      <c r="ML17" s="122"/>
      <c r="MM17" s="123" t="s">
        <v>28</v>
      </c>
      <c r="MN17" s="124" t="s">
        <v>28</v>
      </c>
      <c r="MO17" s="180">
        <f>IFERROR((((COUNTIF('Elève (5ème4)'!ML17:MN17,"A"))*4)+((COUNTIF('Elève (5ème4)'!ML17:MN17,"B"))*3)+((COUNTIF('Elève (5ème4)'!ML17:MN17,"C"))*2)+((COUNTIF('Elève (5ème4)'!ML17:MN17,"D"))*1))/(COUNTA(ML17:MN17)),"")</f>
        <v>3</v>
      </c>
      <c r="MP17" s="181" t="str">
        <f t="shared" si="77"/>
        <v>B</v>
      </c>
      <c r="MQ17" s="122" t="s">
        <v>28</v>
      </c>
      <c r="MR17" s="123"/>
      <c r="MS17" s="124"/>
      <c r="MT17" s="128" t="s">
        <v>28</v>
      </c>
      <c r="MU17" s="180">
        <f>IFERROR((((COUNTIF('Elève (5ème4)'!MQ17:MT17,"A"))*4)+((COUNTIF('Elève (5ème4)'!MQ17:MT17,"B"))*3)+((COUNTIF('Elève (5ème4)'!MQ17:MT17,"C"))*2)+((COUNTIF('Elève (5ème4)'!MQ17:MT17,"D"))*1))/(COUNTA(MQ17:MT17)),"")</f>
        <v>3</v>
      </c>
      <c r="MV17" s="181" t="str">
        <f t="shared" si="78"/>
        <v>B</v>
      </c>
      <c r="MW17" s="180">
        <f>IF(COUNT(MJ17,MO17,MU17)=0,"",SUM(MJ17,MO17,MU17)/COUNT(MJ17,MO17,MU17))</f>
        <v>2.6666666666666665</v>
      </c>
      <c r="MX17" s="210" t="str">
        <f t="shared" si="79"/>
        <v>C</v>
      </c>
      <c r="MY17" s="122" t="s">
        <v>29</v>
      </c>
      <c r="MZ17" s="123"/>
      <c r="NA17" s="124"/>
      <c r="NB17" s="180">
        <f>IFERROR((((COUNTIF('Elève (5ème4)'!MY17:NA17,"A"))*4)+((COUNTIF('Elève (5ème4)'!MY17:NA17,"B"))*3)+((COUNTIF('Elève (5ème4)'!MY17:NA17,"C"))*2)+((COUNTIF('Elève (5ème4)'!MY17:NA17,"D"))*1))/(COUNTA(MY17:NA17)),"")</f>
        <v>2</v>
      </c>
      <c r="NC17" s="181" t="str">
        <f t="shared" si="80"/>
        <v>C</v>
      </c>
      <c r="ND17" s="122"/>
      <c r="NE17" s="123" t="s">
        <v>28</v>
      </c>
      <c r="NF17" s="124" t="s">
        <v>30</v>
      </c>
      <c r="NG17" s="180">
        <f>IFERROR((((COUNTIF('Elève (5ème4)'!ND17:NF17,"A"))*4)+((COUNTIF('Elève (5ème4)'!ND17:NF17,"B"))*3)+((COUNTIF('Elève (5ème4)'!ND17:NF17,"C"))*2)+((COUNTIF('Elève (5ème4)'!ND17:NF17,"D"))*1))/(COUNTA(ND17:NF17)),"")</f>
        <v>2</v>
      </c>
      <c r="NH17" s="181" t="str">
        <f t="shared" si="81"/>
        <v>C</v>
      </c>
      <c r="NI17" s="122" t="s">
        <v>30</v>
      </c>
      <c r="NJ17" s="123"/>
      <c r="NK17" s="124"/>
      <c r="NL17" s="128" t="s">
        <v>29</v>
      </c>
      <c r="NM17" s="180">
        <f>IFERROR((((COUNTIF('Elève (5ème4)'!NI17:NL17,"A"))*4)+((COUNTIF('Elève (5ème4)'!NI17:NL17,"B"))*3)+((COUNTIF('Elève (5ème4)'!NI17:NL17,"C"))*2)+((COUNTIF('Elève (5ème4)'!NI17:NL17,"D"))*1))/(COUNTA(NI17:NL17)),"")</f>
        <v>1.5</v>
      </c>
      <c r="NN17" s="181" t="str">
        <f t="shared" si="82"/>
        <v>D</v>
      </c>
      <c r="NO17" s="180">
        <f>IF(COUNT(NB17,NG17,NM17)=0,"",SUM(NB17,NG17,NM17)/COUNT(NB17,NG17,NM17))</f>
        <v>1.8333333333333333</v>
      </c>
      <c r="NP17" s="210" t="str">
        <f t="shared" si="83"/>
        <v>C</v>
      </c>
      <c r="NQ17" s="122" t="s">
        <v>27</v>
      </c>
      <c r="NR17" s="123"/>
      <c r="NS17" s="124"/>
      <c r="NT17" s="180">
        <f>IFERROR((((COUNTIF('Elève (5ème4)'!NQ17:NS17,"A"))*4)+((COUNTIF('Elève (5ème4)'!NQ17:NS17,"B"))*3)+((COUNTIF('Elève (5ème4)'!NQ17:NS17,"C"))*2)+((COUNTIF('Elève (5ème4)'!NQ17:NS17,"D"))*1))/(COUNTA(NQ17:NS17)),"")</f>
        <v>4</v>
      </c>
      <c r="NU17" s="181" t="str">
        <f t="shared" si="84"/>
        <v>A</v>
      </c>
      <c r="NV17" s="122"/>
      <c r="NW17" s="123" t="s">
        <v>28</v>
      </c>
      <c r="NX17" s="124" t="s">
        <v>27</v>
      </c>
      <c r="NY17" s="180">
        <f>IFERROR((((COUNTIF('Elève (5ème4)'!NV17:NX17,"A"))*4)+((COUNTIF('Elève (5ème4)'!NV17:NX17,"B"))*3)+((COUNTIF('Elève (5ème4)'!NV17:NX17,"C"))*2)+((COUNTIF('Elève (5ème4)'!NV17:NX17,"D"))*1))/(COUNTA(NV17:NX17)),"")</f>
        <v>3.5</v>
      </c>
      <c r="NZ17" s="181" t="str">
        <f t="shared" si="85"/>
        <v>B</v>
      </c>
      <c r="OA17" s="122" t="s">
        <v>28</v>
      </c>
      <c r="OB17" s="123"/>
      <c r="OC17" s="124"/>
      <c r="OD17" s="128" t="s">
        <v>28</v>
      </c>
      <c r="OE17" s="180">
        <f>IFERROR((((COUNTIF('Elève (5ème4)'!OA17:OD17,"A"))*4)+((COUNTIF('Elève (5ème4)'!OA17:OD17,"B"))*3)+((COUNTIF('Elève (5ème4)'!OA17:OD17,"C"))*2)+((COUNTIF('Elève (5ème4)'!OA17:OD17,"D"))*1))/(COUNTA(OA17:OD17)),"")</f>
        <v>3</v>
      </c>
      <c r="OF17" s="181" t="str">
        <f t="shared" si="86"/>
        <v>B</v>
      </c>
      <c r="OG17" s="180">
        <f>IF(COUNT(NT17,NY17,OE17)=0,"",SUM(NT17,NY17,OE17)/COUNT(NT17,NY17,OE17))</f>
        <v>3.5</v>
      </c>
      <c r="OH17" s="210" t="str">
        <f t="shared" si="87"/>
        <v>B</v>
      </c>
      <c r="OI17" s="122" t="s">
        <v>29</v>
      </c>
      <c r="OJ17" s="123"/>
      <c r="OK17" s="124"/>
      <c r="OL17" s="180">
        <f>IFERROR((((COUNTIF('Elève (5ème4)'!OI17:OK17,"A"))*4)+((COUNTIF('Elève (5ème4)'!OI17:OK17,"B"))*3)+((COUNTIF('Elève (5ème4)'!OI17:OK17,"C"))*2)+((COUNTIF('Elève (5ème4)'!OI17:OK17,"D"))*1))/(COUNTA(OI17:OK17)),"")</f>
        <v>2</v>
      </c>
      <c r="OM17" s="181" t="str">
        <f t="shared" si="88"/>
        <v>C</v>
      </c>
      <c r="ON17" s="122"/>
      <c r="OO17" s="123" t="s">
        <v>28</v>
      </c>
      <c r="OP17" s="124" t="s">
        <v>28</v>
      </c>
      <c r="OQ17" s="180">
        <f>IFERROR((((COUNTIF('Elève (5ème4)'!ON17:OP17,"A"))*4)+((COUNTIF('Elève (5ème4)'!ON17:OP17,"B"))*3)+((COUNTIF('Elève (5ème4)'!ON17:OP17,"C"))*2)+((COUNTIF('Elève (5ème4)'!ON17:OP17,"D"))*1))/(COUNTA(ON17:OP17)),"")</f>
        <v>3</v>
      </c>
      <c r="OR17" s="181" t="str">
        <f t="shared" si="89"/>
        <v>B</v>
      </c>
      <c r="OS17" s="122" t="s">
        <v>29</v>
      </c>
      <c r="OT17" s="123"/>
      <c r="OU17" s="124"/>
      <c r="OV17" s="128" t="s">
        <v>29</v>
      </c>
      <c r="OW17" s="180">
        <f>IFERROR((((COUNTIF('Elève (5ème4)'!OS17:OV17,"A"))*4)+((COUNTIF('Elève (5ème4)'!OS17:OV17,"B"))*3)+((COUNTIF('Elève (5ème4)'!OS17:OV17,"C"))*2)+((COUNTIF('Elève (5ème4)'!OS17:OV17,"D"))*1))/(COUNTA(OS17:OV17)),"")</f>
        <v>2</v>
      </c>
      <c r="OX17" s="181" t="str">
        <f t="shared" si="90"/>
        <v>C</v>
      </c>
      <c r="OY17" s="180">
        <f>IF(COUNT(OL17,OQ17,OW17)=0,"",SUM(OL17,OQ17,OW17)/COUNT(OL17,OQ17,OW17))</f>
        <v>2.3333333333333335</v>
      </c>
      <c r="OZ17" s="210" t="str">
        <f t="shared" si="91"/>
        <v>C</v>
      </c>
      <c r="PA17" s="122" t="s">
        <v>29</v>
      </c>
      <c r="PB17" s="123"/>
      <c r="PC17" s="124"/>
      <c r="PD17" s="180">
        <f>IFERROR((((COUNTIF('Elève (5ème4)'!PA17:PC17,"A"))*4)+((COUNTIF('Elève (5ème4)'!PA17:PC17,"B"))*3)+((COUNTIF('Elève (5ème4)'!PA17:PC17,"C"))*2)+((COUNTIF('Elève (5ème4)'!PA17:PC17,"D"))*1))/(COUNTA(PA17:PC17)),"")</f>
        <v>2</v>
      </c>
      <c r="PE17" s="181" t="str">
        <f t="shared" si="92"/>
        <v>C</v>
      </c>
      <c r="PF17" s="122"/>
      <c r="PG17" s="123" t="s">
        <v>28</v>
      </c>
      <c r="PH17" s="124" t="s">
        <v>30</v>
      </c>
      <c r="PI17" s="180">
        <f>IFERROR((((COUNTIF('Elève (5ème4)'!PF17:PH17,"A"))*4)+((COUNTIF('Elève (5ème4)'!PF17:PH17,"B"))*3)+((COUNTIF('Elève (5ème4)'!PF17:PH17,"C"))*2)+((COUNTIF('Elève (5ème4)'!PF17:PH17,"D"))*1))/(COUNTA(PF17:PH17)),"")</f>
        <v>2</v>
      </c>
      <c r="PJ17" s="181" t="str">
        <f t="shared" si="93"/>
        <v>C</v>
      </c>
      <c r="PK17" s="122" t="s">
        <v>28</v>
      </c>
      <c r="PL17" s="123"/>
      <c r="PM17" s="124"/>
      <c r="PN17" s="128" t="s">
        <v>29</v>
      </c>
      <c r="PO17" s="180">
        <f>IFERROR((((COUNTIF('Elève (5ème4)'!PK17:PN17,"A"))*4)+((COUNTIF('Elève (5ème4)'!PK17:PN17,"B"))*3)+((COUNTIF('Elève (5ème4)'!PK17:PN17,"C"))*2)+((COUNTIF('Elève (5ème4)'!PK17:PN17,"D"))*1))/(COUNTA(PK17:PN17)),"")</f>
        <v>2.5</v>
      </c>
      <c r="PP17" s="181" t="str">
        <f t="shared" si="94"/>
        <v>C</v>
      </c>
      <c r="PQ17" s="180">
        <f>IF(COUNT(PD17,PI17,PO17)=0,"",SUM(PD17,PI17,PO17)/COUNT(PD17,PI17,PO17))</f>
        <v>2.1666666666666665</v>
      </c>
      <c r="PR17" s="210" t="str">
        <f t="shared" si="95"/>
        <v>C</v>
      </c>
      <c r="PS17" s="122" t="s">
        <v>28</v>
      </c>
      <c r="PT17" s="123"/>
      <c r="PU17" s="124"/>
      <c r="PV17" s="180">
        <f>IFERROR((((COUNTIF('Elève (5ème4)'!PS17:PU17,"A"))*4)+((COUNTIF('Elève (5ème4)'!PS17:PU17,"B"))*3)+((COUNTIF('Elève (5ème4)'!PS17:PU17,"C"))*2)+((COUNTIF('Elève (5ème4)'!PS17:PU17,"D"))*1))/(COUNTA(PS17:PU17)),"")</f>
        <v>3</v>
      </c>
      <c r="PW17" s="181" t="str">
        <f t="shared" si="96"/>
        <v>B</v>
      </c>
      <c r="PX17" s="122"/>
      <c r="PY17" s="123" t="s">
        <v>28</v>
      </c>
      <c r="PZ17" s="124"/>
      <c r="QA17" s="180">
        <f>IFERROR((((COUNTIF('Elève (5ème4)'!PX17:PZ17,"A"))*4)+((COUNTIF('Elève (5ème4)'!PX17:PZ17,"B"))*3)+((COUNTIF('Elève (5ème4)'!PX17:PZ17,"C"))*2)+((COUNTIF('Elève (5ème4)'!PX17:PZ17,"D"))*1))/(COUNTA(PX17:PZ17)),"")</f>
        <v>3</v>
      </c>
      <c r="QB17" s="181" t="str">
        <f t="shared" si="97"/>
        <v>B</v>
      </c>
      <c r="QC17" s="122" t="s">
        <v>29</v>
      </c>
      <c r="QD17" s="123"/>
      <c r="QE17" s="124"/>
      <c r="QF17" s="128" t="s">
        <v>29</v>
      </c>
      <c r="QG17" s="180">
        <f>IFERROR((((COUNTIF('Elève (5ème4)'!QC17:QF17,"A"))*4)+((COUNTIF('Elève (5ème4)'!QC17:QF17,"B"))*3)+((COUNTIF('Elève (5ème4)'!QC17:QF17,"C"))*2)+((COUNTIF('Elève (5ème4)'!QC17:QF17,"D"))*1))/(COUNTA(QC17:QF17)),"")</f>
        <v>2</v>
      </c>
      <c r="QH17" s="181" t="str">
        <f t="shared" si="98"/>
        <v>C</v>
      </c>
      <c r="QI17" s="180">
        <f>IF(COUNT(PV17,QA17,QG17)=0,"",SUM(PV17,QA17,QG17)/COUNT(PV17,QA17,QG17))</f>
        <v>2.6666666666666665</v>
      </c>
      <c r="QJ17" s="210" t="str">
        <f t="shared" si="99"/>
        <v>C</v>
      </c>
      <c r="QK17" s="122" t="s">
        <v>28</v>
      </c>
      <c r="QL17" s="123"/>
      <c r="QM17" s="124"/>
      <c r="QN17" s="180">
        <f>IFERROR((((COUNTIF('Elève (5ème4)'!QK17:QM17,"A"))*4)+((COUNTIF('Elève (5ème4)'!QK17:QM17,"B"))*3)+((COUNTIF('Elève (5ème4)'!QK17:QM17,"C"))*2)+((COUNTIF('Elève (5ème4)'!QK17:QM17,"D"))*1))/(COUNTA(QK17:QM17)),"")</f>
        <v>3</v>
      </c>
      <c r="QO17" s="181" t="str">
        <f t="shared" si="100"/>
        <v>B</v>
      </c>
      <c r="QP17" s="122"/>
      <c r="QQ17" s="123" t="s">
        <v>27</v>
      </c>
      <c r="QR17" s="124"/>
      <c r="QS17" s="180">
        <f>IFERROR((((COUNTIF('Elève (5ème4)'!QP17:QR17,"A"))*4)+((COUNTIF('Elève (5ème4)'!QP17:QR17,"B"))*3)+((COUNTIF('Elève (5ème4)'!QP17:QR17,"C"))*2)+((COUNTIF('Elève (5ème4)'!QP17:QR17,"D"))*1))/(COUNTA(QP17:QR17)),"")</f>
        <v>4</v>
      </c>
      <c r="QT17" s="181" t="str">
        <f t="shared" si="101"/>
        <v>A</v>
      </c>
      <c r="QU17" s="122" t="s">
        <v>30</v>
      </c>
      <c r="QV17" s="123"/>
      <c r="QW17" s="124"/>
      <c r="QX17" s="128" t="s">
        <v>28</v>
      </c>
      <c r="QY17" s="180">
        <f>IFERROR((((COUNTIF('Elève (5ème4)'!QU17:QX17,"A"))*4)+((COUNTIF('Elève (5ème4)'!QU17:QX17,"B"))*3)+((COUNTIF('Elève (5ème4)'!QU17:QX17,"C"))*2)+((COUNTIF('Elève (5ème4)'!QU17:QX17,"D"))*1))/(COUNTA(QU17:QX17)),"")</f>
        <v>2</v>
      </c>
      <c r="QZ17" s="181" t="str">
        <f t="shared" si="102"/>
        <v>C</v>
      </c>
      <c r="RA17" s="180">
        <f>IF(COUNT(QN17,QS17,QY17)=0,"",SUM(QN17,QS17,QY17)/COUNT(QN17,QS17,QY17))</f>
        <v>3</v>
      </c>
      <c r="RB17" s="210" t="str">
        <f t="shared" si="103"/>
        <v>B</v>
      </c>
      <c r="RC17" s="122" t="s">
        <v>29</v>
      </c>
      <c r="RD17" s="123"/>
      <c r="RE17" s="124"/>
      <c r="RF17" s="180">
        <f>IFERROR((((COUNTIF('Elève (5ème4)'!RC17:RE17,"A"))*4)+((COUNTIF('Elève (5ème4)'!RC17:RE17,"B"))*3)+((COUNTIF('Elève (5ème4)'!RC17:RE17,"C"))*2)+((COUNTIF('Elève (5ème4)'!RC17:RE17,"D"))*1))/(COUNTA(RC17:RE17)),"")</f>
        <v>2</v>
      </c>
      <c r="RG17" s="181" t="str">
        <f t="shared" si="104"/>
        <v>C</v>
      </c>
      <c r="RH17" s="122"/>
      <c r="RI17" s="123" t="s">
        <v>27</v>
      </c>
      <c r="RJ17" s="124" t="s">
        <v>27</v>
      </c>
      <c r="RK17" s="180">
        <f>IFERROR((((COUNTIF('Elève (5ème4)'!RH17:RJ17,"A"))*4)+((COUNTIF('Elève (5ème4)'!RH17:RJ17,"B"))*3)+((COUNTIF('Elève (5ème4)'!RH17:RJ17,"C"))*2)+((COUNTIF('Elève (5ème4)'!RH17:RJ17,"D"))*1))/(COUNTA(RH17:RJ17)),"")</f>
        <v>4</v>
      </c>
      <c r="RL17" s="181" t="str">
        <f t="shared" si="105"/>
        <v>A</v>
      </c>
      <c r="RM17" s="122" t="s">
        <v>27</v>
      </c>
      <c r="RN17" s="123"/>
      <c r="RO17" s="124"/>
      <c r="RP17" s="128" t="s">
        <v>28</v>
      </c>
      <c r="RQ17" s="180">
        <f>IFERROR((((COUNTIF('Elève (5ème4)'!RM17:RP17,"A"))*4)+((COUNTIF('Elève (5ème4)'!RM17:RP17,"B"))*3)+((COUNTIF('Elève (5ème4)'!RM17:RP17,"C"))*2)+((COUNTIF('Elève (5ème4)'!RM17:RP17,"D"))*1))/(COUNTA(RM17:RP17)),"")</f>
        <v>3.5</v>
      </c>
      <c r="RR17" s="181" t="str">
        <f t="shared" si="106"/>
        <v>B</v>
      </c>
      <c r="RS17" s="180">
        <f>IF(COUNT(RF17,RK17,RQ17)=0,"",SUM(RF17,RK17,RQ17)/COUNT(RF17,RK17,RQ17))</f>
        <v>3.1666666666666665</v>
      </c>
      <c r="RT17" s="210" t="str">
        <f t="shared" si="107"/>
        <v>B</v>
      </c>
      <c r="RU17" s="122" t="s">
        <v>29</v>
      </c>
      <c r="RV17" s="123"/>
      <c r="RW17" s="124"/>
      <c r="RX17" s="180">
        <f>IFERROR((((COUNTIF('Elève (5ème4)'!RU17:RW17,"A"))*4)+((COUNTIF('Elève (5ème4)'!RU17:RW17,"B"))*3)+((COUNTIF('Elève (5ème4)'!RU17:RW17,"C"))*2)+((COUNTIF('Elève (5ème4)'!RU17:RW17,"D"))*1))/(COUNTA(RU17:RW17)),"")</f>
        <v>2</v>
      </c>
      <c r="RY17" s="181" t="str">
        <f t="shared" si="108"/>
        <v>C</v>
      </c>
      <c r="RZ17" s="122"/>
      <c r="SA17" s="123" t="s">
        <v>28</v>
      </c>
      <c r="SB17" s="124" t="s">
        <v>30</v>
      </c>
      <c r="SC17" s="180">
        <f>IFERROR((((COUNTIF('Elève (5ème4)'!RZ17:SB17,"A"))*4)+((COUNTIF('Elève (5ème4)'!RZ17:SB17,"B"))*3)+((COUNTIF('Elève (5ème4)'!RZ17:SB17,"C"))*2)+((COUNTIF('Elève (5ème4)'!RZ17:SB17,"D"))*1))/(COUNTA(RZ17:SB17)),"")</f>
        <v>2</v>
      </c>
      <c r="SD17" s="181" t="str">
        <f t="shared" si="109"/>
        <v>C</v>
      </c>
      <c r="SE17" s="122" t="s">
        <v>28</v>
      </c>
      <c r="SF17" s="123"/>
      <c r="SG17" s="124"/>
      <c r="SH17" s="128"/>
      <c r="SI17" s="180">
        <f>IFERROR((((COUNTIF('Elève (5ème4)'!SE17:SH17,"A"))*4)+((COUNTIF('Elève (5ème4)'!SE17:SH17,"B"))*3)+((COUNTIF('Elève (5ème4)'!SE17:SH17,"C"))*2)+((COUNTIF('Elève (5ème4)'!SE17:SH17,"D"))*1))/(COUNTA(SE17:SH17)),"")</f>
        <v>3</v>
      </c>
      <c r="SJ17" s="181" t="str">
        <f t="shared" si="110"/>
        <v>B</v>
      </c>
      <c r="SK17" s="180">
        <f>IF(COUNT(RX17,SC17,SI17)=0,"",SUM(RX17,SC17,SI17)/COUNT(RX17,SC17,SI17))</f>
        <v>2.3333333333333335</v>
      </c>
      <c r="SL17" s="210" t="str">
        <f t="shared" si="111"/>
        <v>C</v>
      </c>
      <c r="SM17" s="122"/>
      <c r="SN17" s="123"/>
      <c r="SO17" s="124"/>
      <c r="SP17" s="118" t="str">
        <f>IFERROR((((COUNTIF('Elève (5ème4)'!SM17:SO17,"A"))*4)+((COUNTIF('Elève (5ème4)'!SM17:SO17,"B"))*3)+((COUNTIF('Elève (5ème4)'!SM17:SO17,"C"))*2)+((COUNTIF('Elève (5ème4)'!SM17:SO17,"D"))*1))/(COUNTA(SM17:SO17)),"")</f>
        <v/>
      </c>
      <c r="SQ17" s="119" t="str">
        <f t="shared" si="112"/>
        <v/>
      </c>
      <c r="SR17" s="122"/>
      <c r="SS17" s="123"/>
      <c r="ST17" s="124"/>
      <c r="SU17" s="118" t="str">
        <f>IFERROR((((COUNTIF('Elève (5ème4)'!SR17:ST17,"A"))*4)+((COUNTIF('Elève (5ème4)'!SR17:ST17,"B"))*3)+((COUNTIF('Elève (5ème4)'!SR17:ST17,"C"))*2)+((COUNTIF('Elève (5ème4)'!SR17:ST17,"D"))*1))/(COUNTA(SR17:ST17)),"")</f>
        <v/>
      </c>
      <c r="SV17" s="119" t="str">
        <f t="shared" si="113"/>
        <v/>
      </c>
      <c r="SW17" s="122"/>
      <c r="SX17" s="123"/>
      <c r="SY17" s="128"/>
      <c r="SZ17" s="118" t="str">
        <f>IFERROR((((COUNTIF('Elève (5ème4)'!SW17:SY17,"A"))*4)+((COUNTIF('Elève (5ème4)'!SW17:SY17,"B"))*3)+((COUNTIF('Elève (5ème4)'!SW17:SY17,"C"))*2)+((COUNTIF('Elève (5ème4)'!SW17:SY17,"D"))*1))/(COUNTA(SW17:SY17)),"")</f>
        <v/>
      </c>
      <c r="TA17" s="119" t="str">
        <f t="shared" si="114"/>
        <v/>
      </c>
      <c r="TB17" s="118" t="str">
        <f>IF(COUNT(SP17,SU17,SZ17)=0,"",SUM(SP17,SU17,SZ17)/COUNT(SP17,SU17,SZ17))</f>
        <v/>
      </c>
      <c r="TC17" s="142" t="str">
        <f t="shared" si="115"/>
        <v/>
      </c>
      <c r="TD17" s="122"/>
      <c r="TE17" s="123"/>
      <c r="TF17" s="124"/>
      <c r="TG17" s="118" t="str">
        <f>IFERROR((((COUNTIF('Elève (5ème4)'!TD17:TF17,"A"))*4)+((COUNTIF('Elève (5ème4)'!TD17:TF17,"B"))*3)+((COUNTIF('Elève (5ème4)'!TD17:TF17,"C"))*2)+((COUNTIF('Elève (5ème4)'!TD17:TF17,"D"))*1))/(COUNTA(TD17:TF17)),"")</f>
        <v/>
      </c>
      <c r="TH17" s="119" t="str">
        <f t="shared" si="116"/>
        <v/>
      </c>
      <c r="TI17" s="122"/>
      <c r="TJ17" s="123"/>
      <c r="TK17" s="124"/>
      <c r="TL17" s="118" t="str">
        <f>IFERROR((((COUNTIF('Elève (5ème4)'!TI17:TK17,"A"))*4)+((COUNTIF('Elève (5ème4)'!TI17:TK17,"B"))*3)+((COUNTIF('Elève (5ème4)'!TI17:TK17,"C"))*2)+((COUNTIF('Elève (5ème4)'!TI17:TK17,"D"))*1))/(COUNTA(TI17:TK17)),"")</f>
        <v/>
      </c>
      <c r="TM17" s="119" t="str">
        <f t="shared" si="117"/>
        <v/>
      </c>
      <c r="TN17" s="122"/>
      <c r="TO17" s="123"/>
      <c r="TP17" s="128"/>
      <c r="TQ17" s="118" t="str">
        <f>IFERROR((((COUNTIF('Elève (5ème4)'!TN17:TP17,"A"))*4)+((COUNTIF('Elève (5ème4)'!TN17:TP17,"B"))*3)+((COUNTIF('Elève (5ème4)'!TN17:TP17,"C"))*2)+((COUNTIF('Elève (5ème4)'!TN17:TP17,"D"))*1))/(COUNTA(TN17:TP17)),"")</f>
        <v/>
      </c>
      <c r="TR17" s="119" t="str">
        <f t="shared" si="118"/>
        <v/>
      </c>
      <c r="TS17" s="118" t="str">
        <f>IF(COUNT(TG17,TL17,TQ17)=0,"",SUM(TG17,TL17,TQ17)/COUNT(TG17,TL17,TQ17))</f>
        <v/>
      </c>
      <c r="TT17" s="142" t="str">
        <f t="shared" si="119"/>
        <v/>
      </c>
    </row>
    <row r="18" spans="1:540" ht="18" customHeight="1" x14ac:dyDescent="0.25">
      <c r="A18" s="236" t="s">
        <v>22</v>
      </c>
      <c r="B18" s="237"/>
      <c r="C18" s="122"/>
      <c r="D18" s="123"/>
      <c r="E18" s="124"/>
      <c r="F18" s="182" t="str">
        <f>IFERROR((((COUNTIF('Elève (5ème4)'!C18:E18,"A"))*4)+((COUNTIF('Elève (5ème4)'!C18:E18,"B"))*3)+((COUNTIF('Elève (5ème4)'!C18:E18,"C"))*2)+((COUNTIF('Elève (5ème4)'!C18:E18,"D"))*1))/(COUNTA(C18:E18)),"")</f>
        <v/>
      </c>
      <c r="G18" s="183" t="str">
        <f t="shared" si="0"/>
        <v/>
      </c>
      <c r="H18" s="122"/>
      <c r="I18" s="123"/>
      <c r="J18" s="124"/>
      <c r="K18" s="182" t="str">
        <f>IFERROR((((COUNTIF('Elève (5ème4)'!H18:J18,"A"))*4)+((COUNTIF('Elève (5ème4)'!H18:J18,"B"))*3)+((COUNTIF('Elève (5ème4)'!H18:J18,"C"))*2)+((COUNTIF('Elève (5ème4)'!H18:J18,"D"))*1))/(COUNTA(H18:J18)),"")</f>
        <v/>
      </c>
      <c r="L18" s="183" t="str">
        <f t="shared" si="1"/>
        <v/>
      </c>
      <c r="M18" s="122"/>
      <c r="N18" s="123"/>
      <c r="O18" s="124" t="s">
        <v>28</v>
      </c>
      <c r="P18" s="124"/>
      <c r="Q18" s="182">
        <f>IFERROR((((COUNTIF('Elève (5ème4)'!M18:P18,"A"))*4)+((COUNTIF('Elève (5ème4)'!M18:P18,"B"))*3)+((COUNTIF('Elève (5ème4)'!M18:P18,"C"))*2)+((COUNTIF('Elève (5ème4)'!M18:P18,"D"))*1))/(COUNTA(M18:P18)),"")</f>
        <v>3</v>
      </c>
      <c r="R18" s="183" t="str">
        <f t="shared" si="2"/>
        <v>B</v>
      </c>
      <c r="S18" s="182">
        <f>IF(COUNT(F18,K18,Q18)=0,"",SUM(F18,K18,Q18)/COUNT(F18,K18,Q18))</f>
        <v>3</v>
      </c>
      <c r="T18" s="206" t="str">
        <f t="shared" si="3"/>
        <v>B</v>
      </c>
      <c r="U18" s="122"/>
      <c r="V18" s="123"/>
      <c r="W18" s="124"/>
      <c r="X18" s="182" t="str">
        <f>IFERROR((((COUNTIF('Elève (5ème4)'!U18:W18,"A"))*4)+((COUNTIF('Elève (5ème4)'!U18:W18,"B"))*3)+((COUNTIF('Elève (5ème4)'!U18:W18,"C"))*2)+((COUNTIF('Elève (5ème4)'!U18:W18,"D"))*1))/(COUNTA(U18:W18)),"")</f>
        <v/>
      </c>
      <c r="Y18" s="183" t="str">
        <f t="shared" si="4"/>
        <v/>
      </c>
      <c r="Z18" s="122"/>
      <c r="AA18" s="123"/>
      <c r="AB18" s="124"/>
      <c r="AC18" s="182" t="str">
        <f>IFERROR((((COUNTIF('Elève (5ème4)'!Z18:AB18,"A"))*4)+((COUNTIF('Elève (5ème4)'!Z18:AB18,"B"))*3)+((COUNTIF('Elève (5ème4)'!Z18:AB18,"C"))*2)+((COUNTIF('Elève (5ème4)'!Z18:AB18,"D"))*1))/(COUNTA(Z18:AB18)),"")</f>
        <v/>
      </c>
      <c r="AD18" s="183" t="str">
        <f t="shared" si="5"/>
        <v/>
      </c>
      <c r="AE18" s="122"/>
      <c r="AF18" s="123"/>
      <c r="AG18" s="124" t="s">
        <v>30</v>
      </c>
      <c r="AH18" s="128"/>
      <c r="AI18" s="182">
        <f>IFERROR((((COUNTIF('Elève (5ème4)'!AE18:AH18,"A"))*4)+((COUNTIF('Elève (5ème4)'!AE18:AH18,"B"))*3)+((COUNTIF('Elève (5ème4)'!AE18:AH18,"C"))*2)+((COUNTIF('Elève (5ème4)'!AE18:AH18,"D"))*1))/(COUNTA(AE18:AH18)),"")</f>
        <v>1</v>
      </c>
      <c r="AJ18" s="183" t="str">
        <f t="shared" si="6"/>
        <v>D</v>
      </c>
      <c r="AK18" s="182">
        <f>IF(COUNT(X18,AC18,AI18)=0,"",SUM(X18,AC18,AI18)/COUNT(X18,AC18,AI18))</f>
        <v>1</v>
      </c>
      <c r="AL18" s="206" t="str">
        <f t="shared" si="7"/>
        <v>D</v>
      </c>
      <c r="AM18" s="122"/>
      <c r="AN18" s="123"/>
      <c r="AO18" s="124"/>
      <c r="AP18" s="182" t="str">
        <f>IFERROR((((COUNTIF('Elève (5ème4)'!AM18:AO18,"A"))*4)+((COUNTIF('Elève (5ème4)'!AM18:AO18,"B"))*3)+((COUNTIF('Elève (5ème4)'!AM18:AO18,"C"))*2)+((COUNTIF('Elève (5ème4)'!AM18:AO18,"D"))*1))/(COUNTA(AM18:AO18)),"")</f>
        <v/>
      </c>
      <c r="AQ18" s="183" t="str">
        <f t="shared" si="8"/>
        <v/>
      </c>
      <c r="AR18" s="122"/>
      <c r="AS18" s="123"/>
      <c r="AT18" s="124"/>
      <c r="AU18" s="182" t="str">
        <f>IFERROR((((COUNTIF('Elève (5ème4)'!AR18:AT18,"A"))*4)+((COUNTIF('Elève (5ème4)'!AR18:AT18,"B"))*3)+((COUNTIF('Elève (5ème4)'!AR18:AT18,"C"))*2)+((COUNTIF('Elève (5ème4)'!AR18:AT18,"D"))*1))/(COUNTA(AR18:AT18)),"")</f>
        <v/>
      </c>
      <c r="AV18" s="183" t="str">
        <f t="shared" si="9"/>
        <v/>
      </c>
      <c r="AW18" s="122"/>
      <c r="AX18" s="123"/>
      <c r="AY18" s="124" t="s">
        <v>28</v>
      </c>
      <c r="AZ18" s="128"/>
      <c r="BA18" s="182">
        <f>IFERROR((((COUNTIF('Elève (5ème4)'!AW18:AZ18,"A"))*4)+((COUNTIF('Elève (5ème4)'!AW18:AZ18,"B"))*3)+((COUNTIF('Elève (5ème4)'!AW18:AZ18,"C"))*2)+((COUNTIF('Elève (5ème4)'!AW18:AZ18,"D"))*1))/(COUNTA(AW18:AZ18)),"")</f>
        <v>3</v>
      </c>
      <c r="BB18" s="183" t="str">
        <f t="shared" si="10"/>
        <v>B</v>
      </c>
      <c r="BC18" s="182">
        <f>IF(COUNT(AP18,AU18,BA18)=0,"",SUM(AP18,AU18,BA18)/COUNT(AP18,AU18,BA18))</f>
        <v>3</v>
      </c>
      <c r="BD18" s="206" t="str">
        <f t="shared" si="11"/>
        <v>B</v>
      </c>
      <c r="BE18" s="122"/>
      <c r="BF18" s="123"/>
      <c r="BG18" s="124"/>
      <c r="BH18" s="182" t="str">
        <f>IFERROR((((COUNTIF('Elève (5ème4)'!BE18:BG18,"A"))*4)+((COUNTIF('Elève (5ème4)'!BE18:BG18,"B"))*3)+((COUNTIF('Elève (5ème4)'!BE18:BG18,"C"))*2)+((COUNTIF('Elève (5ème4)'!BE18:BG18,"D"))*1))/(COUNTA(BE18:BG18)),"")</f>
        <v/>
      </c>
      <c r="BI18" s="183" t="str">
        <f t="shared" si="12"/>
        <v/>
      </c>
      <c r="BJ18" s="122"/>
      <c r="BK18" s="123"/>
      <c r="BL18" s="124"/>
      <c r="BM18" s="182" t="str">
        <f>IFERROR((((COUNTIF('Elève (5ème4)'!BJ18:BL18,"A"))*4)+((COUNTIF('Elève (5ème4)'!BJ18:BL18,"B"))*3)+((COUNTIF('Elève (5ème4)'!BJ18:BL18,"C"))*2)+((COUNTIF('Elève (5ème4)'!BJ18:BL18,"D"))*1))/(COUNTA(BJ18:BL18)),"")</f>
        <v/>
      </c>
      <c r="BN18" s="183" t="str">
        <f t="shared" si="13"/>
        <v/>
      </c>
      <c r="BO18" s="122"/>
      <c r="BP18" s="123"/>
      <c r="BQ18" s="124" t="s">
        <v>28</v>
      </c>
      <c r="BR18" s="128"/>
      <c r="BS18" s="182">
        <f>IFERROR((((COUNTIF('Elève (5ème4)'!BO18:BR18,"A"))*4)+((COUNTIF('Elève (5ème4)'!BO18:BR18,"B"))*3)+((COUNTIF('Elève (5ème4)'!BO18:BR18,"C"))*2)+((COUNTIF('Elève (5ème4)'!BO18:BR18,"D"))*1))/(COUNTA(BO18:BR18)),"")</f>
        <v>3</v>
      </c>
      <c r="BT18" s="183" t="str">
        <f t="shared" si="14"/>
        <v>B</v>
      </c>
      <c r="BU18" s="182">
        <f>IF(COUNT(BH18,BM18,BS18)=0,"",SUM(BH18,BM18,BS18)/COUNT(BH18,BM18,BS18))</f>
        <v>3</v>
      </c>
      <c r="BV18" s="206" t="str">
        <f t="shared" si="15"/>
        <v>B</v>
      </c>
      <c r="BW18" s="122"/>
      <c r="BX18" s="123"/>
      <c r="BY18" s="124"/>
      <c r="BZ18" s="182" t="str">
        <f>IFERROR((((COUNTIF('Elève (5ème4)'!BW18:BY18,"A"))*4)+((COUNTIF('Elève (5ème4)'!BW18:BY18,"B"))*3)+((COUNTIF('Elève (5ème4)'!BW18:BY18,"C"))*2)+((COUNTIF('Elève (5ème4)'!BW18:BY18,"D"))*1))/(COUNTA(BW18:BY18)),"")</f>
        <v/>
      </c>
      <c r="CA18" s="183" t="str">
        <f t="shared" si="16"/>
        <v/>
      </c>
      <c r="CB18" s="122"/>
      <c r="CC18" s="123"/>
      <c r="CD18" s="124"/>
      <c r="CE18" s="182" t="str">
        <f>IFERROR((((COUNTIF('Elève (5ème4)'!CB18:CD18,"A"))*4)+((COUNTIF('Elève (5ème4)'!CB18:CD18,"B"))*3)+((COUNTIF('Elève (5ème4)'!CB18:CD18,"C"))*2)+((COUNTIF('Elève (5ème4)'!CB18:CD18,"D"))*1))/(COUNTA(CB18:CD18)),"")</f>
        <v/>
      </c>
      <c r="CF18" s="183" t="str">
        <f t="shared" si="17"/>
        <v/>
      </c>
      <c r="CG18" s="122"/>
      <c r="CH18" s="123"/>
      <c r="CI18" s="124" t="s">
        <v>29</v>
      </c>
      <c r="CJ18" s="128"/>
      <c r="CK18" s="182">
        <f>IFERROR((((COUNTIF('Elève (5ème4)'!CG18:CJ18,"A"))*4)+((COUNTIF('Elève (5ème4)'!CG18:CJ18,"B"))*3)+((COUNTIF('Elève (5ème4)'!CG18:CJ18,"C"))*2)+((COUNTIF('Elève (5ème4)'!CG18:CJ18,"D"))*1))/(COUNTA(CG18:CJ18)),"")</f>
        <v>2</v>
      </c>
      <c r="CL18" s="183" t="str">
        <f t="shared" si="18"/>
        <v>C</v>
      </c>
      <c r="CM18" s="182">
        <f>IF(COUNT(BZ18,CE18,CK18)=0,"",SUM(BZ18,CE18,CK18)/COUNT(BZ18,CE18,CK18))</f>
        <v>2</v>
      </c>
      <c r="CN18" s="206" t="str">
        <f t="shared" si="19"/>
        <v>C</v>
      </c>
      <c r="CO18" s="122"/>
      <c r="CP18" s="123"/>
      <c r="CQ18" s="124"/>
      <c r="CR18" s="182" t="str">
        <f>IFERROR((((COUNTIF('Elève (5ème4)'!CO18:CQ18,"A"))*4)+((COUNTIF('Elève (5ème4)'!CO18:CQ18,"B"))*3)+((COUNTIF('Elève (5ème4)'!CO18:CQ18,"C"))*2)+((COUNTIF('Elève (5ème4)'!CO18:CQ18,"D"))*1))/(COUNTA(CO18:CQ18)),"")</f>
        <v/>
      </c>
      <c r="CS18" s="183" t="str">
        <f t="shared" si="20"/>
        <v/>
      </c>
      <c r="CT18" s="122"/>
      <c r="CU18" s="123"/>
      <c r="CV18" s="124"/>
      <c r="CW18" s="182" t="str">
        <f>IFERROR((((COUNTIF('Elève (5ème4)'!CT18:CV18,"A"))*4)+((COUNTIF('Elève (5ème4)'!CT18:CV18,"B"))*3)+((COUNTIF('Elève (5ème4)'!CT18:CV18,"C"))*2)+((COUNTIF('Elève (5ème4)'!CT18:CV18,"D"))*1))/(COUNTA(CT18:CV18)),"")</f>
        <v/>
      </c>
      <c r="CX18" s="183" t="str">
        <f t="shared" si="21"/>
        <v/>
      </c>
      <c r="CY18" s="122"/>
      <c r="CZ18" s="123"/>
      <c r="DA18" s="124" t="s">
        <v>28</v>
      </c>
      <c r="DB18" s="128"/>
      <c r="DC18" s="182">
        <f>IFERROR((((COUNTIF('Elève (5ème4)'!CY18:DB18,"A"))*4)+((COUNTIF('Elève (5ème4)'!CY18:DB18,"B"))*3)+((COUNTIF('Elève (5ème4)'!CY18:DB18,"C"))*2)+((COUNTIF('Elève (5ème4)'!CY18:DB18,"D"))*1))/(COUNTA(CY18:DB18)),"")</f>
        <v>3</v>
      </c>
      <c r="DD18" s="183" t="str">
        <f t="shared" si="22"/>
        <v>B</v>
      </c>
      <c r="DE18" s="182">
        <f>IF(COUNT(CR18,CW18,DC18)=0,"",SUM(CR18,CW18,DC18)/COUNT(CR18,CW18,DC18))</f>
        <v>3</v>
      </c>
      <c r="DF18" s="206" t="str">
        <f t="shared" si="23"/>
        <v>B</v>
      </c>
      <c r="DG18" s="122"/>
      <c r="DH18" s="123"/>
      <c r="DI18" s="124"/>
      <c r="DJ18" s="182" t="str">
        <f>IFERROR((((COUNTIF('Elève (5ème4)'!DG18:DI18,"A"))*4)+((COUNTIF('Elève (5ème4)'!DG18:DI18,"B"))*3)+((COUNTIF('Elève (5ème4)'!DG18:DI18,"C"))*2)+((COUNTIF('Elève (5ème4)'!DG18:DI18,"D"))*1))/(COUNTA(DG18:DI18)),"")</f>
        <v/>
      </c>
      <c r="DK18" s="183" t="str">
        <f t="shared" si="24"/>
        <v/>
      </c>
      <c r="DL18" s="122"/>
      <c r="DM18" s="123"/>
      <c r="DN18" s="124"/>
      <c r="DO18" s="182" t="str">
        <f>IFERROR((((COUNTIF('Elève (5ème4)'!DL18:DN18,"A"))*4)+((COUNTIF('Elève (5ème4)'!DL18:DN18,"B"))*3)+((COUNTIF('Elève (5ème4)'!DL18:DN18,"C"))*2)+((COUNTIF('Elève (5ème4)'!DL18:DN18,"D"))*1))/(COUNTA(DL18:DN18)),"")</f>
        <v/>
      </c>
      <c r="DP18" s="183" t="str">
        <f t="shared" si="25"/>
        <v/>
      </c>
      <c r="DQ18" s="122"/>
      <c r="DR18" s="123"/>
      <c r="DS18" s="124" t="s">
        <v>28</v>
      </c>
      <c r="DT18" s="128"/>
      <c r="DU18" s="182">
        <f>IFERROR((((COUNTIF('Elève (5ème4)'!DQ18:DT18,"A"))*4)+((COUNTIF('Elève (5ème4)'!DQ18:DT18,"B"))*3)+((COUNTIF('Elève (5ème4)'!DQ18:DT18,"C"))*2)+((COUNTIF('Elève (5ème4)'!DQ18:DT18,"D"))*1))/(COUNTA(DQ18:DT18)),"")</f>
        <v>3</v>
      </c>
      <c r="DV18" s="183" t="str">
        <f t="shared" si="26"/>
        <v>B</v>
      </c>
      <c r="DW18" s="182">
        <f>IF(COUNT(DJ18,DO18,DU18)=0,"",SUM(DJ18,DO18,DU18)/COUNT(DJ18,DO18,DU18))</f>
        <v>3</v>
      </c>
      <c r="DX18" s="206" t="str">
        <f t="shared" si="27"/>
        <v>B</v>
      </c>
      <c r="DY18" s="122"/>
      <c r="DZ18" s="123"/>
      <c r="EA18" s="124"/>
      <c r="EB18" s="182" t="str">
        <f>IFERROR((((COUNTIF('Elève (5ème4)'!DY18:EA18,"A"))*4)+((COUNTIF('Elève (5ème4)'!DY18:EA18,"B"))*3)+((COUNTIF('Elève (5ème4)'!DY18:EA18,"C"))*2)+((COUNTIF('Elève (5ème4)'!DY18:EA18,"D"))*1))/(COUNTA(DY18:EA18)),"")</f>
        <v/>
      </c>
      <c r="EC18" s="183" t="str">
        <f t="shared" si="28"/>
        <v/>
      </c>
      <c r="ED18" s="122"/>
      <c r="EE18" s="123"/>
      <c r="EF18" s="124"/>
      <c r="EG18" s="182" t="str">
        <f>IFERROR((((COUNTIF('Elève (5ème4)'!ED18:EF18,"A"))*4)+((COUNTIF('Elève (5ème4)'!ED18:EF18,"B"))*3)+((COUNTIF('Elève (5ème4)'!ED18:EF18,"C"))*2)+((COUNTIF('Elève (5ème4)'!ED18:EF18,"D"))*1))/(COUNTA(ED18:EF18)),"")</f>
        <v/>
      </c>
      <c r="EH18" s="183" t="str">
        <f t="shared" si="29"/>
        <v/>
      </c>
      <c r="EI18" s="122"/>
      <c r="EJ18" s="123"/>
      <c r="EK18" s="124" t="s">
        <v>30</v>
      </c>
      <c r="EL18" s="128"/>
      <c r="EM18" s="182">
        <f>IFERROR((((COUNTIF('Elève (5ème4)'!EI18:EL18,"A"))*4)+((COUNTIF('Elève (5ème4)'!EI18:EL18,"B"))*3)+((COUNTIF('Elève (5ème4)'!EI18:EL18,"C"))*2)+((COUNTIF('Elève (5ème4)'!EI18:EL18,"D"))*1))/(COUNTA(EI18:EL18)),"")</f>
        <v>1</v>
      </c>
      <c r="EN18" s="183" t="str">
        <f t="shared" si="30"/>
        <v>D</v>
      </c>
      <c r="EO18" s="182">
        <f>IF(COUNT(EB18,EG18,EM18)=0,"",SUM(EB18,EG18,EM18)/COUNT(EB18,EG18,EM18))</f>
        <v>1</v>
      </c>
      <c r="EP18" s="206" t="str">
        <f t="shared" si="31"/>
        <v>D</v>
      </c>
      <c r="EQ18" s="122"/>
      <c r="ER18" s="123"/>
      <c r="ES18" s="124"/>
      <c r="ET18" s="182" t="str">
        <f>IFERROR((((COUNTIF('Elève (5ème4)'!EQ18:ES18,"A"))*4)+((COUNTIF('Elève (5ème4)'!EQ18:ES18,"B"))*3)+((COUNTIF('Elève (5ème4)'!EQ18:ES18,"C"))*2)+((COUNTIF('Elève (5ème4)'!EQ18:ES18,"D"))*1))/(COUNTA(EQ18:ES18)),"")</f>
        <v/>
      </c>
      <c r="EU18" s="183" t="str">
        <f t="shared" si="32"/>
        <v/>
      </c>
      <c r="EV18" s="122"/>
      <c r="EW18" s="123"/>
      <c r="EX18" s="124"/>
      <c r="EY18" s="182" t="str">
        <f>IFERROR((((COUNTIF('Elève (5ème4)'!EV18:EX18,"A"))*4)+((COUNTIF('Elève (5ème4)'!EV18:EX18,"B"))*3)+((COUNTIF('Elève (5ème4)'!EV18:EX18,"C"))*2)+((COUNTIF('Elève (5ème4)'!EV18:EX18,"D"))*1))/(COUNTA(EV18:EX18)),"")</f>
        <v/>
      </c>
      <c r="EZ18" s="183" t="str">
        <f t="shared" si="33"/>
        <v/>
      </c>
      <c r="FA18" s="122"/>
      <c r="FB18" s="123"/>
      <c r="FC18" s="124" t="s">
        <v>30</v>
      </c>
      <c r="FD18" s="128"/>
      <c r="FE18" s="182">
        <f>IFERROR((((COUNTIF('Elève (5ème4)'!FA18:FD18,"A"))*4)+((COUNTIF('Elève (5ème4)'!FA18:FD18,"B"))*3)+((COUNTIF('Elève (5ème4)'!FA18:FD18,"C"))*2)+((COUNTIF('Elève (5ème4)'!FA18:FD18,"D"))*1))/(COUNTA(FA18:FD18)),"")</f>
        <v>1</v>
      </c>
      <c r="FF18" s="183" t="str">
        <f t="shared" si="34"/>
        <v>D</v>
      </c>
      <c r="FG18" s="182">
        <f>IF(COUNT(ET18,EY18,FE18)=0,"",SUM(ET18,EY18,FE18)/COUNT(ET18,EY18,FE18))</f>
        <v>1</v>
      </c>
      <c r="FH18" s="206" t="str">
        <f t="shared" si="35"/>
        <v>D</v>
      </c>
      <c r="FI18" s="122"/>
      <c r="FJ18" s="123"/>
      <c r="FK18" s="124"/>
      <c r="FL18" s="182" t="str">
        <f>IFERROR((((COUNTIF('Elève (5ème4)'!FI18:FK18,"A"))*4)+((COUNTIF('Elève (5ème4)'!FI18:FK18,"B"))*3)+((COUNTIF('Elève (5ème4)'!FI18:FK18,"C"))*2)+((COUNTIF('Elève (5ème4)'!FI18:FK18,"D"))*1))/(COUNTA(FI18:FK18)),"")</f>
        <v/>
      </c>
      <c r="FM18" s="183" t="str">
        <f t="shared" si="36"/>
        <v/>
      </c>
      <c r="FN18" s="122"/>
      <c r="FO18" s="123"/>
      <c r="FP18" s="124"/>
      <c r="FQ18" s="182" t="str">
        <f>IFERROR((((COUNTIF('Elève (5ème4)'!FN18:FP18,"A"))*4)+((COUNTIF('Elève (5ème4)'!FN18:FP18,"B"))*3)+((COUNTIF('Elève (5ème4)'!FN18:FP18,"C"))*2)+((COUNTIF('Elève (5ème4)'!FN18:FP18,"D"))*1))/(COUNTA(FN18:FP18)),"")</f>
        <v/>
      </c>
      <c r="FR18" s="183" t="str">
        <f t="shared" si="37"/>
        <v/>
      </c>
      <c r="FS18" s="122"/>
      <c r="FT18" s="123"/>
      <c r="FU18" s="124" t="s">
        <v>28</v>
      </c>
      <c r="FV18" s="128"/>
      <c r="FW18" s="182">
        <f>IFERROR((((COUNTIF('Elève (5ème4)'!FS18:FV18,"A"))*4)+((COUNTIF('Elève (5ème4)'!FS18:FV18,"B"))*3)+((COUNTIF('Elève (5ème4)'!FS18:FV18,"C"))*2)+((COUNTIF('Elève (5ème4)'!FS18:FV18,"D"))*1))/(COUNTA(FS18:FV18)),"")</f>
        <v>3</v>
      </c>
      <c r="FX18" s="183" t="str">
        <f t="shared" si="38"/>
        <v>B</v>
      </c>
      <c r="FY18" s="182">
        <f>IF(COUNT(FL18,FQ18,FW18)=0,"",SUM(FL18,FQ18,FW18)/COUNT(FL18,FQ18,FW18))</f>
        <v>3</v>
      </c>
      <c r="FZ18" s="206" t="str">
        <f t="shared" si="39"/>
        <v>B</v>
      </c>
      <c r="GA18" s="122"/>
      <c r="GB18" s="123"/>
      <c r="GC18" s="124"/>
      <c r="GD18" s="182" t="str">
        <f>IFERROR((((COUNTIF('Elève (5ème4)'!GA18:GC18,"A"))*4)+((COUNTIF('Elève (5ème4)'!GA18:GC18,"B"))*3)+((COUNTIF('Elève (5ème4)'!GA18:GC18,"C"))*2)+((COUNTIF('Elève (5ème4)'!GA18:GC18,"D"))*1))/(COUNTA(GA18:GC18)),"")</f>
        <v/>
      </c>
      <c r="GE18" s="183" t="str">
        <f t="shared" si="40"/>
        <v/>
      </c>
      <c r="GF18" s="122"/>
      <c r="GG18" s="123"/>
      <c r="GH18" s="124"/>
      <c r="GI18" s="182" t="str">
        <f>IFERROR((((COUNTIF('Elève (5ème4)'!GF18:GH18,"A"))*4)+((COUNTIF('Elève (5ème4)'!GF18:GH18,"B"))*3)+((COUNTIF('Elève (5ème4)'!GF18:GH18,"C"))*2)+((COUNTIF('Elève (5ème4)'!GF18:GH18,"D"))*1))/(COUNTA(GF18:GH18)),"")</f>
        <v/>
      </c>
      <c r="GJ18" s="183" t="str">
        <f t="shared" si="41"/>
        <v/>
      </c>
      <c r="GK18" s="122"/>
      <c r="GL18" s="123"/>
      <c r="GM18" s="124" t="s">
        <v>28</v>
      </c>
      <c r="GN18" s="128"/>
      <c r="GO18" s="182">
        <f>IFERROR((((COUNTIF('Elève (5ème4)'!GK18:GN18,"A"))*4)+((COUNTIF('Elève (5ème4)'!GK18:GN18,"B"))*3)+((COUNTIF('Elève (5ème4)'!GK18:GN18,"C"))*2)+((COUNTIF('Elève (5ème4)'!GK18:GN18,"D"))*1))/(COUNTA(GK18:GN18)),"")</f>
        <v>3</v>
      </c>
      <c r="GP18" s="183" t="str">
        <f t="shared" si="42"/>
        <v>B</v>
      </c>
      <c r="GQ18" s="182">
        <f>IF(COUNT(GD18,GI18,GO18)=0,"",SUM(GD18,GI18,GO18)/COUNT(GD18,GI18,GO18))</f>
        <v>3</v>
      </c>
      <c r="GR18" s="206" t="str">
        <f t="shared" si="43"/>
        <v>B</v>
      </c>
      <c r="GS18" s="122"/>
      <c r="GT18" s="123"/>
      <c r="GU18" s="124"/>
      <c r="GV18" s="182" t="str">
        <f>IFERROR((((COUNTIF('Elève (5ème4)'!GS18:GU18,"A"))*4)+((COUNTIF('Elève (5ème4)'!GS18:GU18,"B"))*3)+((COUNTIF('Elève (5ème4)'!GS18:GU18,"C"))*2)+((COUNTIF('Elève (5ème4)'!GS18:GU18,"D"))*1))/(COUNTA(GS18:GU18)),"")</f>
        <v/>
      </c>
      <c r="GW18" s="183" t="str">
        <f t="shared" si="44"/>
        <v/>
      </c>
      <c r="GX18" s="122"/>
      <c r="GY18" s="123"/>
      <c r="GZ18" s="124"/>
      <c r="HA18" s="182" t="str">
        <f>IFERROR((((COUNTIF('Elève (5ème4)'!GX18:GZ18,"A"))*4)+((COUNTIF('Elève (5ème4)'!GX18:GZ18,"B"))*3)+((COUNTIF('Elève (5ème4)'!GX18:GZ18,"C"))*2)+((COUNTIF('Elève (5ème4)'!GX18:GZ18,"D"))*1))/(COUNTA(GX18:GZ18)),"")</f>
        <v/>
      </c>
      <c r="HB18" s="183" t="str">
        <f t="shared" si="45"/>
        <v/>
      </c>
      <c r="HC18" s="122"/>
      <c r="HD18" s="123"/>
      <c r="HE18" s="124" t="s">
        <v>28</v>
      </c>
      <c r="HF18" s="128"/>
      <c r="HG18" s="182">
        <f>IFERROR((((COUNTIF('Elève (5ème4)'!HC18:HF18,"A"))*4)+((COUNTIF('Elève (5ème4)'!HC18:HF18,"B"))*3)+((COUNTIF('Elève (5ème4)'!HC18:HF18,"C"))*2)+((COUNTIF('Elève (5ème4)'!HC18:HF18,"D"))*1))/(COUNTA(HC18:HF18)),"")</f>
        <v>3</v>
      </c>
      <c r="HH18" s="183" t="str">
        <f t="shared" si="46"/>
        <v>B</v>
      </c>
      <c r="HI18" s="182">
        <f>IF(COUNT(GV18,HA18,HG18)=0,"",SUM(GV18,HA18,HG18)/COUNT(GV18,HA18,HG18))</f>
        <v>3</v>
      </c>
      <c r="HJ18" s="206" t="str">
        <f t="shared" si="47"/>
        <v>B</v>
      </c>
      <c r="HK18" s="122"/>
      <c r="HL18" s="123"/>
      <c r="HM18" s="124"/>
      <c r="HN18" s="182" t="str">
        <f>IFERROR((((COUNTIF('Elève (5ème4)'!HK18:HM18,"A"))*4)+((COUNTIF('Elève (5ème4)'!HK18:HM18,"B"))*3)+((COUNTIF('Elève (5ème4)'!HK18:HM18,"C"))*2)+((COUNTIF('Elève (5ème4)'!HK18:HM18,"D"))*1))/(COUNTA(HK18:HM18)),"")</f>
        <v/>
      </c>
      <c r="HO18" s="183" t="str">
        <f t="shared" si="48"/>
        <v/>
      </c>
      <c r="HP18" s="122"/>
      <c r="HQ18" s="123"/>
      <c r="HR18" s="124"/>
      <c r="HS18" s="182" t="str">
        <f>IFERROR((((COUNTIF('Elève (5ème4)'!HP18:HR18,"A"))*4)+((COUNTIF('Elève (5ème4)'!HP18:HR18,"B"))*3)+((COUNTIF('Elève (5ème4)'!HP18:HR18,"C"))*2)+((COUNTIF('Elève (5ème4)'!HP18:HR18,"D"))*1))/(COUNTA(HP18:HR18)),"")</f>
        <v/>
      </c>
      <c r="HT18" s="183" t="str">
        <f t="shared" si="49"/>
        <v/>
      </c>
      <c r="HU18" s="122"/>
      <c r="HV18" s="123"/>
      <c r="HW18" s="124" t="s">
        <v>28</v>
      </c>
      <c r="HX18" s="128"/>
      <c r="HY18" s="182">
        <f>IFERROR((((COUNTIF('Elève (5ème4)'!HU18:HX18,"A"))*4)+((COUNTIF('Elève (5ème4)'!HU18:HX18,"B"))*3)+((COUNTIF('Elève (5ème4)'!HU18:HX18,"C"))*2)+((COUNTIF('Elève (5ème4)'!HU18:HX18,"D"))*1))/(COUNTA(HU18:HX18)),"")</f>
        <v>3</v>
      </c>
      <c r="HZ18" s="183" t="str">
        <f t="shared" si="50"/>
        <v>B</v>
      </c>
      <c r="IA18" s="182">
        <f>IF(COUNT(HN18,HS18,HY18)=0,"",SUM(HN18,HS18,HY18)/COUNT(HN18,HS18,HY18))</f>
        <v>3</v>
      </c>
      <c r="IB18" s="206" t="str">
        <f t="shared" si="51"/>
        <v>B</v>
      </c>
      <c r="IC18" s="122"/>
      <c r="ID18" s="123"/>
      <c r="IE18" s="124"/>
      <c r="IF18" s="182" t="str">
        <f>IFERROR((((COUNTIF('Elève (5ème4)'!IC18:IE18,"A"))*4)+((COUNTIF('Elève (5ème4)'!IC18:IE18,"B"))*3)+((COUNTIF('Elève (5ème4)'!IC18:IE18,"C"))*2)+((COUNTIF('Elève (5ème4)'!IC18:IE18,"D"))*1))/(COUNTA(IC18:IE18)),"")</f>
        <v/>
      </c>
      <c r="IG18" s="183" t="str">
        <f t="shared" si="52"/>
        <v/>
      </c>
      <c r="IH18" s="122"/>
      <c r="II18" s="123"/>
      <c r="IJ18" s="124"/>
      <c r="IK18" s="182" t="str">
        <f>IFERROR((((COUNTIF('Elève (5ème4)'!IH18:IJ18,"A"))*4)+((COUNTIF('Elève (5ème4)'!IH18:IJ18,"B"))*3)+((COUNTIF('Elève (5ème4)'!IH18:IJ18,"C"))*2)+((COUNTIF('Elève (5ème4)'!IH18:IJ18,"D"))*1))/(COUNTA(IH18:IJ18)),"")</f>
        <v/>
      </c>
      <c r="IL18" s="183" t="str">
        <f t="shared" si="53"/>
        <v/>
      </c>
      <c r="IM18" s="122"/>
      <c r="IN18" s="123"/>
      <c r="IO18" s="124" t="s">
        <v>28</v>
      </c>
      <c r="IP18" s="128"/>
      <c r="IQ18" s="182">
        <f>IFERROR((((COUNTIF('Elève (5ème4)'!IM18:IP18,"A"))*4)+((COUNTIF('Elève (5ème4)'!IM18:IP18,"B"))*3)+((COUNTIF('Elève (5ème4)'!IM18:IP18,"C"))*2)+((COUNTIF('Elève (5ème4)'!IM18:IP18,"D"))*1))/(COUNTA(IM18:IP18)),"")</f>
        <v>3</v>
      </c>
      <c r="IR18" s="183" t="str">
        <f t="shared" si="54"/>
        <v>B</v>
      </c>
      <c r="IS18" s="182">
        <f>IF(COUNT(IF18,IK18,IQ18)=0,"",SUM(IF18,IK18,IQ18)/COUNT(IF18,IK18,IQ18))</f>
        <v>3</v>
      </c>
      <c r="IT18" s="206" t="str">
        <f t="shared" si="55"/>
        <v>B</v>
      </c>
      <c r="IU18" s="122"/>
      <c r="IV18" s="123"/>
      <c r="IW18" s="124"/>
      <c r="IX18" s="182" t="str">
        <f>IFERROR((((COUNTIF('Elève (5ème4)'!IU18:IW18,"A"))*4)+((COUNTIF('Elève (5ème4)'!IU18:IW18,"B"))*3)+((COUNTIF('Elève (5ème4)'!IU18:IW18,"C"))*2)+((COUNTIF('Elève (5ème4)'!IU18:IW18,"D"))*1))/(COUNTA(IU18:IW18)),"")</f>
        <v/>
      </c>
      <c r="IY18" s="183" t="str">
        <f t="shared" si="56"/>
        <v/>
      </c>
      <c r="IZ18" s="122"/>
      <c r="JA18" s="123"/>
      <c r="JB18" s="124"/>
      <c r="JC18" s="182" t="str">
        <f>IFERROR((((COUNTIF('Elève (5ème4)'!IZ18:JB18,"A"))*4)+((COUNTIF('Elève (5ème4)'!IZ18:JB18,"B"))*3)+((COUNTIF('Elève (5ème4)'!IZ18:JB18,"C"))*2)+((COUNTIF('Elève (5ème4)'!IZ18:JB18,"D"))*1))/(COUNTA(IZ18:JB18)),"")</f>
        <v/>
      </c>
      <c r="JD18" s="183" t="str">
        <f t="shared" si="57"/>
        <v/>
      </c>
      <c r="JE18" s="122"/>
      <c r="JF18" s="123"/>
      <c r="JG18" s="124" t="s">
        <v>28</v>
      </c>
      <c r="JH18" s="128"/>
      <c r="JI18" s="182">
        <f>IFERROR((((COUNTIF('Elève (5ème4)'!JE18:JH18,"A"))*4)+((COUNTIF('Elève (5ème4)'!JE18:JH18,"B"))*3)+((COUNTIF('Elève (5ème4)'!JE18:JH18,"C"))*2)+((COUNTIF('Elève (5ème4)'!JE18:JH18,"D"))*1))/(COUNTA(JE18:JH18)),"")</f>
        <v>3</v>
      </c>
      <c r="JJ18" s="183" t="str">
        <f t="shared" si="58"/>
        <v>B</v>
      </c>
      <c r="JK18" s="182">
        <f>IF(COUNT(IX18,JC18,JI18)=0,"",SUM(IX18,JC18,JI18)/COUNT(IX18,JC18,JI18))</f>
        <v>3</v>
      </c>
      <c r="JL18" s="206" t="str">
        <f t="shared" si="59"/>
        <v>B</v>
      </c>
      <c r="JM18" s="122"/>
      <c r="JN18" s="123"/>
      <c r="JO18" s="124"/>
      <c r="JP18" s="182" t="str">
        <f>IFERROR((((COUNTIF('Elève (5ème4)'!JM18:JO18,"A"))*4)+((COUNTIF('Elève (5ème4)'!JM18:JO18,"B"))*3)+((COUNTIF('Elève (5ème4)'!JM18:JO18,"C"))*2)+((COUNTIF('Elève (5ème4)'!JM18:JO18,"D"))*1))/(COUNTA(JM18:JO18)),"")</f>
        <v/>
      </c>
      <c r="JQ18" s="183" t="str">
        <f t="shared" si="60"/>
        <v/>
      </c>
      <c r="JR18" s="122"/>
      <c r="JS18" s="123"/>
      <c r="JT18" s="124"/>
      <c r="JU18" s="182" t="str">
        <f>IFERROR((((COUNTIF('Elève (5ème4)'!JR18:JT18,"A"))*4)+((COUNTIF('Elève (5ème4)'!JR18:JT18,"B"))*3)+((COUNTIF('Elève (5ème4)'!JR18:JT18,"C"))*2)+((COUNTIF('Elève (5ème4)'!JR18:JT18,"D"))*1))/(COUNTA(JR18:JT18)),"")</f>
        <v/>
      </c>
      <c r="JV18" s="183" t="str">
        <f t="shared" si="61"/>
        <v/>
      </c>
      <c r="JW18" s="122"/>
      <c r="JX18" s="123"/>
      <c r="JY18" s="124" t="s">
        <v>28</v>
      </c>
      <c r="JZ18" s="128"/>
      <c r="KA18" s="182">
        <f>IFERROR((((COUNTIF('Elève (5ème4)'!JW18:JZ18,"A"))*4)+((COUNTIF('Elève (5ème4)'!JW18:JZ18,"B"))*3)+((COUNTIF('Elève (5ème4)'!JW18:JZ18,"C"))*2)+((COUNTIF('Elève (5ème4)'!JW18:JZ18,"D"))*1))/(COUNTA(JW18:JZ18)),"")</f>
        <v>3</v>
      </c>
      <c r="KB18" s="183" t="str">
        <f t="shared" si="62"/>
        <v>B</v>
      </c>
      <c r="KC18" s="182">
        <f>IF(COUNT(JP18,JU18,KA18)=0,"",SUM(JP18,JU18,KA18)/COUNT(JP18,JU18,KA18))</f>
        <v>3</v>
      </c>
      <c r="KD18" s="206" t="str">
        <f t="shared" si="63"/>
        <v>B</v>
      </c>
      <c r="KE18" s="122"/>
      <c r="KF18" s="123"/>
      <c r="KG18" s="124"/>
      <c r="KH18" s="182" t="str">
        <f>IFERROR((((COUNTIF('Elève (5ème4)'!KE18:KG18,"A"))*4)+((COUNTIF('Elève (5ème4)'!KE18:KG18,"B"))*3)+((COUNTIF('Elève (5ème4)'!KE18:KG18,"C"))*2)+((COUNTIF('Elève (5ème4)'!KE18:KG18,"D"))*1))/(COUNTA(KE18:KG18)),"")</f>
        <v/>
      </c>
      <c r="KI18" s="183" t="str">
        <f t="shared" si="64"/>
        <v/>
      </c>
      <c r="KJ18" s="122"/>
      <c r="KK18" s="123"/>
      <c r="KL18" s="124"/>
      <c r="KM18" s="182" t="str">
        <f>IFERROR((((COUNTIF('Elève (5ème4)'!KJ18:KL18,"A"))*4)+((COUNTIF('Elève (5ème4)'!KJ18:KL18,"B"))*3)+((COUNTIF('Elève (5ème4)'!KJ18:KL18,"C"))*2)+((COUNTIF('Elève (5ème4)'!KJ18:KL18,"D"))*1))/(COUNTA(KJ18:KL18)),"")</f>
        <v/>
      </c>
      <c r="KN18" s="183" t="str">
        <f t="shared" si="65"/>
        <v/>
      </c>
      <c r="KO18" s="122"/>
      <c r="KP18" s="123"/>
      <c r="KQ18" s="124" t="s">
        <v>28</v>
      </c>
      <c r="KR18" s="128"/>
      <c r="KS18" s="182">
        <f>IFERROR((((COUNTIF('Elève (5ème4)'!KO18:KR18,"A"))*4)+((COUNTIF('Elève (5ème4)'!KO18:KR18,"B"))*3)+((COUNTIF('Elève (5ème4)'!KO18:KR18,"C"))*2)+((COUNTIF('Elève (5ème4)'!KO18:KR18,"D"))*1))/(COUNTA(KO18:KR18)),"")</f>
        <v>3</v>
      </c>
      <c r="KT18" s="183" t="str">
        <f t="shared" si="66"/>
        <v>B</v>
      </c>
      <c r="KU18" s="182">
        <f>IF(COUNT(KH18,KM18,KS18)=0,"",SUM(KH18,KM18,KS18)/COUNT(KH18,KM18,KS18))</f>
        <v>3</v>
      </c>
      <c r="KV18" s="206" t="str">
        <f t="shared" si="67"/>
        <v>B</v>
      </c>
      <c r="KW18" s="122"/>
      <c r="KX18" s="123"/>
      <c r="KY18" s="124"/>
      <c r="KZ18" s="182" t="str">
        <f>IFERROR((((COUNTIF('Elève (5ème4)'!KW18:KY18,"A"))*4)+((COUNTIF('Elève (5ème4)'!KW18:KY18,"B"))*3)+((COUNTIF('Elève (5ème4)'!KW18:KY18,"C"))*2)+((COUNTIF('Elève (5ème4)'!KW18:KY18,"D"))*1))/(COUNTA(KW18:KY18)),"")</f>
        <v/>
      </c>
      <c r="LA18" s="183" t="str">
        <f t="shared" si="68"/>
        <v/>
      </c>
      <c r="LB18" s="122"/>
      <c r="LC18" s="123"/>
      <c r="LD18" s="124"/>
      <c r="LE18" s="182" t="str">
        <f>IFERROR((((COUNTIF('Elève (5ème4)'!LB18:LD18,"A"))*4)+((COUNTIF('Elève (5ème4)'!LB18:LD18,"B"))*3)+((COUNTIF('Elève (5ème4)'!LB18:LD18,"C"))*2)+((COUNTIF('Elève (5ème4)'!LB18:LD18,"D"))*1))/(COUNTA(LB18:LD18)),"")</f>
        <v/>
      </c>
      <c r="LF18" s="183" t="str">
        <f t="shared" si="69"/>
        <v/>
      </c>
      <c r="LG18" s="122"/>
      <c r="LH18" s="123"/>
      <c r="LI18" s="124" t="s">
        <v>29</v>
      </c>
      <c r="LJ18" s="128"/>
      <c r="LK18" s="182">
        <f>IFERROR((((COUNTIF('Elève (5ème4)'!LG18:LJ18,"A"))*4)+((COUNTIF('Elève (5ème4)'!LG18:LJ18,"B"))*3)+((COUNTIF('Elève (5ème4)'!LG18:LJ18,"C"))*2)+((COUNTIF('Elève (5ème4)'!LG18:LJ18,"D"))*1))/(COUNTA(LG18:LJ18)),"")</f>
        <v>2</v>
      </c>
      <c r="LL18" s="183" t="str">
        <f t="shared" si="70"/>
        <v>C</v>
      </c>
      <c r="LM18" s="182">
        <f>IF(COUNT(KZ18,LE18,LK18)=0,"",SUM(KZ18,LE18,LK18)/COUNT(KZ18,LE18,LK18))</f>
        <v>2</v>
      </c>
      <c r="LN18" s="206" t="str">
        <f t="shared" si="71"/>
        <v>C</v>
      </c>
      <c r="LO18" s="122"/>
      <c r="LP18" s="123"/>
      <c r="LQ18" s="124"/>
      <c r="LR18" s="182" t="str">
        <f>IFERROR((((COUNTIF('Elève (5ème4)'!LO18:LQ18,"A"))*4)+((COUNTIF('Elève (5ème4)'!LO18:LQ18,"B"))*3)+((COUNTIF('Elève (5ème4)'!LO18:LQ18,"C"))*2)+((COUNTIF('Elève (5ème4)'!LO18:LQ18,"D"))*1))/(COUNTA(LO18:LQ18)),"")</f>
        <v/>
      </c>
      <c r="LS18" s="183" t="str">
        <f t="shared" si="72"/>
        <v/>
      </c>
      <c r="LT18" s="122"/>
      <c r="LU18" s="123"/>
      <c r="LV18" s="124"/>
      <c r="LW18" s="182" t="str">
        <f>IFERROR((((COUNTIF('Elève (5ème4)'!LT18:LV18,"A"))*4)+((COUNTIF('Elève (5ème4)'!LT18:LV18,"B"))*3)+((COUNTIF('Elève (5ème4)'!LT18:LV18,"C"))*2)+((COUNTIF('Elève (5ème4)'!LT18:LV18,"D"))*1))/(COUNTA(LT18:LV18)),"")</f>
        <v/>
      </c>
      <c r="LX18" s="183" t="str">
        <f t="shared" si="73"/>
        <v/>
      </c>
      <c r="LY18" s="122"/>
      <c r="LZ18" s="123"/>
      <c r="MA18" s="124" t="s">
        <v>30</v>
      </c>
      <c r="MB18" s="128"/>
      <c r="MC18" s="182">
        <f>IFERROR((((COUNTIF('Elève (5ème4)'!LY18:MB18,"A"))*4)+((COUNTIF('Elève (5ème4)'!LY18:MB18,"B"))*3)+((COUNTIF('Elève (5ème4)'!LY18:MB18,"C"))*2)+((COUNTIF('Elève (5ème4)'!LY18:MB18,"D"))*1))/(COUNTA(LY18:MB18)),"")</f>
        <v>1</v>
      </c>
      <c r="MD18" s="183" t="str">
        <f t="shared" si="74"/>
        <v>D</v>
      </c>
      <c r="ME18" s="182">
        <f>IF(COUNT(LR18,LW18,MC18)=0,"",SUM(LR18,LW18,MC18)/COUNT(LR18,LW18,MC18))</f>
        <v>1</v>
      </c>
      <c r="MF18" s="206" t="str">
        <f t="shared" si="75"/>
        <v>D</v>
      </c>
      <c r="MG18" s="122"/>
      <c r="MH18" s="123"/>
      <c r="MI18" s="124"/>
      <c r="MJ18" s="182" t="str">
        <f>IFERROR((((COUNTIF('Elève (5ème4)'!MG18:MI18,"A"))*4)+((COUNTIF('Elève (5ème4)'!MG18:MI18,"B"))*3)+((COUNTIF('Elève (5ème4)'!MG18:MI18,"C"))*2)+((COUNTIF('Elève (5ème4)'!MG18:MI18,"D"))*1))/(COUNTA(MG18:MI18)),"")</f>
        <v/>
      </c>
      <c r="MK18" s="183" t="str">
        <f t="shared" si="76"/>
        <v/>
      </c>
      <c r="ML18" s="122"/>
      <c r="MM18" s="123"/>
      <c r="MN18" s="124"/>
      <c r="MO18" s="182" t="str">
        <f>IFERROR((((COUNTIF('Elève (5ème4)'!ML18:MN18,"A"))*4)+((COUNTIF('Elève (5ème4)'!ML18:MN18,"B"))*3)+((COUNTIF('Elève (5ème4)'!ML18:MN18,"C"))*2)+((COUNTIF('Elève (5ème4)'!ML18:MN18,"D"))*1))/(COUNTA(ML18:MN18)),"")</f>
        <v/>
      </c>
      <c r="MP18" s="183" t="str">
        <f t="shared" si="77"/>
        <v/>
      </c>
      <c r="MQ18" s="122"/>
      <c r="MR18" s="123"/>
      <c r="MS18" s="124" t="s">
        <v>29</v>
      </c>
      <c r="MT18" s="128"/>
      <c r="MU18" s="182">
        <f>IFERROR((((COUNTIF('Elève (5ème4)'!MQ18:MT18,"A"))*4)+((COUNTIF('Elève (5ème4)'!MQ18:MT18,"B"))*3)+((COUNTIF('Elève (5ème4)'!MQ18:MT18,"C"))*2)+((COUNTIF('Elève (5ème4)'!MQ18:MT18,"D"))*1))/(COUNTA(MQ18:MT18)),"")</f>
        <v>2</v>
      </c>
      <c r="MV18" s="183" t="str">
        <f t="shared" si="78"/>
        <v>C</v>
      </c>
      <c r="MW18" s="182">
        <f>IF(COUNT(MJ18,MO18,MU18)=0,"",SUM(MJ18,MO18,MU18)/COUNT(MJ18,MO18,MU18))</f>
        <v>2</v>
      </c>
      <c r="MX18" s="206" t="str">
        <f t="shared" si="79"/>
        <v>C</v>
      </c>
      <c r="MY18" s="122"/>
      <c r="MZ18" s="123"/>
      <c r="NA18" s="124"/>
      <c r="NB18" s="182" t="str">
        <f>IFERROR((((COUNTIF('Elève (5ème4)'!MY18:NA18,"A"))*4)+((COUNTIF('Elève (5ème4)'!MY18:NA18,"B"))*3)+((COUNTIF('Elève (5ème4)'!MY18:NA18,"C"))*2)+((COUNTIF('Elève (5ème4)'!MY18:NA18,"D"))*1))/(COUNTA(MY18:NA18)),"")</f>
        <v/>
      </c>
      <c r="NC18" s="183" t="str">
        <f t="shared" si="80"/>
        <v/>
      </c>
      <c r="ND18" s="122"/>
      <c r="NE18" s="123"/>
      <c r="NF18" s="124"/>
      <c r="NG18" s="182" t="str">
        <f>IFERROR((((COUNTIF('Elève (5ème4)'!ND18:NF18,"A"))*4)+((COUNTIF('Elève (5ème4)'!ND18:NF18,"B"))*3)+((COUNTIF('Elève (5ème4)'!ND18:NF18,"C"))*2)+((COUNTIF('Elève (5ème4)'!ND18:NF18,"D"))*1))/(COUNTA(ND18:NF18)),"")</f>
        <v/>
      </c>
      <c r="NH18" s="183" t="str">
        <f t="shared" si="81"/>
        <v/>
      </c>
      <c r="NI18" s="122"/>
      <c r="NJ18" s="123"/>
      <c r="NK18" s="124" t="s">
        <v>28</v>
      </c>
      <c r="NL18" s="128"/>
      <c r="NM18" s="182">
        <f>IFERROR((((COUNTIF('Elève (5ème4)'!NI18:NL18,"A"))*4)+((COUNTIF('Elève (5ème4)'!NI18:NL18,"B"))*3)+((COUNTIF('Elève (5ème4)'!NI18:NL18,"C"))*2)+((COUNTIF('Elève (5ème4)'!NI18:NL18,"D"))*1))/(COUNTA(NI18:NL18)),"")</f>
        <v>3</v>
      </c>
      <c r="NN18" s="183" t="str">
        <f t="shared" si="82"/>
        <v>B</v>
      </c>
      <c r="NO18" s="182">
        <f>IF(COUNT(NB18,NG18,NM18)=0,"",SUM(NB18,NG18,NM18)/COUNT(NB18,NG18,NM18))</f>
        <v>3</v>
      </c>
      <c r="NP18" s="206" t="str">
        <f t="shared" si="83"/>
        <v>B</v>
      </c>
      <c r="NQ18" s="122"/>
      <c r="NR18" s="123"/>
      <c r="NS18" s="124"/>
      <c r="NT18" s="182" t="str">
        <f>IFERROR((((COUNTIF('Elève (5ème4)'!NQ18:NS18,"A"))*4)+((COUNTIF('Elève (5ème4)'!NQ18:NS18,"B"))*3)+((COUNTIF('Elève (5ème4)'!NQ18:NS18,"C"))*2)+((COUNTIF('Elève (5ème4)'!NQ18:NS18,"D"))*1))/(COUNTA(NQ18:NS18)),"")</f>
        <v/>
      </c>
      <c r="NU18" s="183" t="str">
        <f t="shared" si="84"/>
        <v/>
      </c>
      <c r="NV18" s="122"/>
      <c r="NW18" s="123"/>
      <c r="NX18" s="124"/>
      <c r="NY18" s="182" t="str">
        <f>IFERROR((((COUNTIF('Elève (5ème4)'!NV18:NX18,"A"))*4)+((COUNTIF('Elève (5ème4)'!NV18:NX18,"B"))*3)+((COUNTIF('Elève (5ème4)'!NV18:NX18,"C"))*2)+((COUNTIF('Elève (5ème4)'!NV18:NX18,"D"))*1))/(COUNTA(NV18:NX18)),"")</f>
        <v/>
      </c>
      <c r="NZ18" s="183" t="str">
        <f t="shared" si="85"/>
        <v/>
      </c>
      <c r="OA18" s="122"/>
      <c r="OB18" s="123"/>
      <c r="OC18" s="124" t="s">
        <v>28</v>
      </c>
      <c r="OD18" s="128"/>
      <c r="OE18" s="182">
        <f>IFERROR((((COUNTIF('Elève (5ème4)'!OA18:OD18,"A"))*4)+((COUNTIF('Elève (5ème4)'!OA18:OD18,"B"))*3)+((COUNTIF('Elève (5ème4)'!OA18:OD18,"C"))*2)+((COUNTIF('Elève (5ème4)'!OA18:OD18,"D"))*1))/(COUNTA(OA18:OD18)),"")</f>
        <v>3</v>
      </c>
      <c r="OF18" s="183" t="str">
        <f t="shared" si="86"/>
        <v>B</v>
      </c>
      <c r="OG18" s="182">
        <f>IF(COUNT(NT18,NY18,OE18)=0,"",SUM(NT18,NY18,OE18)/COUNT(NT18,NY18,OE18))</f>
        <v>3</v>
      </c>
      <c r="OH18" s="206" t="str">
        <f t="shared" si="87"/>
        <v>B</v>
      </c>
      <c r="OI18" s="122"/>
      <c r="OJ18" s="123"/>
      <c r="OK18" s="124"/>
      <c r="OL18" s="182" t="str">
        <f>IFERROR((((COUNTIF('Elève (5ème4)'!OI18:OK18,"A"))*4)+((COUNTIF('Elève (5ème4)'!OI18:OK18,"B"))*3)+((COUNTIF('Elève (5ème4)'!OI18:OK18,"C"))*2)+((COUNTIF('Elève (5ème4)'!OI18:OK18,"D"))*1))/(COUNTA(OI18:OK18)),"")</f>
        <v/>
      </c>
      <c r="OM18" s="183" t="str">
        <f t="shared" si="88"/>
        <v/>
      </c>
      <c r="ON18" s="122"/>
      <c r="OO18" s="123"/>
      <c r="OP18" s="124"/>
      <c r="OQ18" s="182" t="str">
        <f>IFERROR((((COUNTIF('Elève (5ème4)'!ON18:OP18,"A"))*4)+((COUNTIF('Elève (5ème4)'!ON18:OP18,"B"))*3)+((COUNTIF('Elève (5ème4)'!ON18:OP18,"C"))*2)+((COUNTIF('Elève (5ème4)'!ON18:OP18,"D"))*1))/(COUNTA(ON18:OP18)),"")</f>
        <v/>
      </c>
      <c r="OR18" s="183" t="str">
        <f t="shared" si="89"/>
        <v/>
      </c>
      <c r="OS18" s="122"/>
      <c r="OT18" s="123"/>
      <c r="OU18" s="124" t="s">
        <v>28</v>
      </c>
      <c r="OV18" s="128"/>
      <c r="OW18" s="182">
        <f>IFERROR((((COUNTIF('Elève (5ème4)'!OS18:OV18,"A"))*4)+((COUNTIF('Elève (5ème4)'!OS18:OV18,"B"))*3)+((COUNTIF('Elève (5ème4)'!OS18:OV18,"C"))*2)+((COUNTIF('Elève (5ème4)'!OS18:OV18,"D"))*1))/(COUNTA(OS18:OV18)),"")</f>
        <v>3</v>
      </c>
      <c r="OX18" s="183" t="str">
        <f t="shared" si="90"/>
        <v>B</v>
      </c>
      <c r="OY18" s="182">
        <f>IF(COUNT(OL18,OQ18,OW18)=0,"",SUM(OL18,OQ18,OW18)/COUNT(OL18,OQ18,OW18))</f>
        <v>3</v>
      </c>
      <c r="OZ18" s="206" t="str">
        <f t="shared" si="91"/>
        <v>B</v>
      </c>
      <c r="PA18" s="122"/>
      <c r="PB18" s="123"/>
      <c r="PC18" s="124"/>
      <c r="PD18" s="182" t="str">
        <f>IFERROR((((COUNTIF('Elève (5ème4)'!PA18:PC18,"A"))*4)+((COUNTIF('Elève (5ème4)'!PA18:PC18,"B"))*3)+((COUNTIF('Elève (5ème4)'!PA18:PC18,"C"))*2)+((COUNTIF('Elève (5ème4)'!PA18:PC18,"D"))*1))/(COUNTA(PA18:PC18)),"")</f>
        <v/>
      </c>
      <c r="PE18" s="183" t="str">
        <f t="shared" si="92"/>
        <v/>
      </c>
      <c r="PF18" s="122"/>
      <c r="PG18" s="123"/>
      <c r="PH18" s="124"/>
      <c r="PI18" s="182" t="str">
        <f>IFERROR((((COUNTIF('Elève (5ème4)'!PF18:PH18,"A"))*4)+((COUNTIF('Elève (5ème4)'!PF18:PH18,"B"))*3)+((COUNTIF('Elève (5ème4)'!PF18:PH18,"C"))*2)+((COUNTIF('Elève (5ème4)'!PF18:PH18,"D"))*1))/(COUNTA(PF18:PH18)),"")</f>
        <v/>
      </c>
      <c r="PJ18" s="183" t="str">
        <f t="shared" si="93"/>
        <v/>
      </c>
      <c r="PK18" s="122"/>
      <c r="PL18" s="123"/>
      <c r="PM18" s="124" t="s">
        <v>28</v>
      </c>
      <c r="PN18" s="128"/>
      <c r="PO18" s="182">
        <f>IFERROR((((COUNTIF('Elève (5ème4)'!PK18:PN18,"A"))*4)+((COUNTIF('Elève (5ème4)'!PK18:PN18,"B"))*3)+((COUNTIF('Elève (5ème4)'!PK18:PN18,"C"))*2)+((COUNTIF('Elève (5ème4)'!PK18:PN18,"D"))*1))/(COUNTA(PK18:PN18)),"")</f>
        <v>3</v>
      </c>
      <c r="PP18" s="183" t="str">
        <f t="shared" si="94"/>
        <v>B</v>
      </c>
      <c r="PQ18" s="182">
        <f>IF(COUNT(PD18,PI18,PO18)=0,"",SUM(PD18,PI18,PO18)/COUNT(PD18,PI18,PO18))</f>
        <v>3</v>
      </c>
      <c r="PR18" s="206" t="str">
        <f t="shared" si="95"/>
        <v>B</v>
      </c>
      <c r="PS18" s="122"/>
      <c r="PT18" s="123"/>
      <c r="PU18" s="124"/>
      <c r="PV18" s="182" t="str">
        <f>IFERROR((((COUNTIF('Elève (5ème4)'!PS18:PU18,"A"))*4)+((COUNTIF('Elève (5ème4)'!PS18:PU18,"B"))*3)+((COUNTIF('Elève (5ème4)'!PS18:PU18,"C"))*2)+((COUNTIF('Elève (5ème4)'!PS18:PU18,"D"))*1))/(COUNTA(PS18:PU18)),"")</f>
        <v/>
      </c>
      <c r="PW18" s="183" t="str">
        <f t="shared" si="96"/>
        <v/>
      </c>
      <c r="PX18" s="122"/>
      <c r="PY18" s="123"/>
      <c r="PZ18" s="124"/>
      <c r="QA18" s="182" t="str">
        <f>IFERROR((((COUNTIF('Elève (5ème4)'!PX18:PZ18,"A"))*4)+((COUNTIF('Elève (5ème4)'!PX18:PZ18,"B"))*3)+((COUNTIF('Elève (5ème4)'!PX18:PZ18,"C"))*2)+((COUNTIF('Elève (5ème4)'!PX18:PZ18,"D"))*1))/(COUNTA(PX18:PZ18)),"")</f>
        <v/>
      </c>
      <c r="QB18" s="183" t="str">
        <f t="shared" si="97"/>
        <v/>
      </c>
      <c r="QC18" s="122"/>
      <c r="QD18" s="123"/>
      <c r="QE18" s="124" t="s">
        <v>28</v>
      </c>
      <c r="QF18" s="128"/>
      <c r="QG18" s="182">
        <f>IFERROR((((COUNTIF('Elève (5ème4)'!QC18:QF18,"A"))*4)+((COUNTIF('Elève (5ème4)'!QC18:QF18,"B"))*3)+((COUNTIF('Elève (5ème4)'!QC18:QF18,"C"))*2)+((COUNTIF('Elève (5ème4)'!QC18:QF18,"D"))*1))/(COUNTA(QC18:QF18)),"")</f>
        <v>3</v>
      </c>
      <c r="QH18" s="183" t="str">
        <f t="shared" si="98"/>
        <v>B</v>
      </c>
      <c r="QI18" s="182">
        <f>IF(COUNT(PV18,QA18,QG18)=0,"",SUM(PV18,QA18,QG18)/COUNT(PV18,QA18,QG18))</f>
        <v>3</v>
      </c>
      <c r="QJ18" s="206" t="str">
        <f t="shared" si="99"/>
        <v>B</v>
      </c>
      <c r="QK18" s="122"/>
      <c r="QL18" s="123"/>
      <c r="QM18" s="124"/>
      <c r="QN18" s="182" t="str">
        <f>IFERROR((((COUNTIF('Elève (5ème4)'!QK18:QM18,"A"))*4)+((COUNTIF('Elève (5ème4)'!QK18:QM18,"B"))*3)+((COUNTIF('Elève (5ème4)'!QK18:QM18,"C"))*2)+((COUNTIF('Elève (5ème4)'!QK18:QM18,"D"))*1))/(COUNTA(QK18:QM18)),"")</f>
        <v/>
      </c>
      <c r="QO18" s="183" t="str">
        <f t="shared" si="100"/>
        <v/>
      </c>
      <c r="QP18" s="122"/>
      <c r="QQ18" s="123"/>
      <c r="QR18" s="124"/>
      <c r="QS18" s="182" t="str">
        <f>IFERROR((((COUNTIF('Elève (5ème4)'!QP18:QR18,"A"))*4)+((COUNTIF('Elève (5ème4)'!QP18:QR18,"B"))*3)+((COUNTIF('Elève (5ème4)'!QP18:QR18,"C"))*2)+((COUNTIF('Elève (5ème4)'!QP18:QR18,"D"))*1))/(COUNTA(QP18:QR18)),"")</f>
        <v/>
      </c>
      <c r="QT18" s="183" t="str">
        <f t="shared" si="101"/>
        <v/>
      </c>
      <c r="QU18" s="122"/>
      <c r="QV18" s="123"/>
      <c r="QW18" s="124" t="s">
        <v>28</v>
      </c>
      <c r="QX18" s="128"/>
      <c r="QY18" s="182">
        <f>IFERROR((((COUNTIF('Elève (5ème4)'!QU18:QX18,"A"))*4)+((COUNTIF('Elève (5ème4)'!QU18:QX18,"B"))*3)+((COUNTIF('Elève (5ème4)'!QU18:QX18,"C"))*2)+((COUNTIF('Elève (5ème4)'!QU18:QX18,"D"))*1))/(COUNTA(QU18:QX18)),"")</f>
        <v>3</v>
      </c>
      <c r="QZ18" s="183" t="str">
        <f t="shared" si="102"/>
        <v>B</v>
      </c>
      <c r="RA18" s="182">
        <f>IF(COUNT(QN18,QS18,QY18)=0,"",SUM(QN18,QS18,QY18)/COUNT(QN18,QS18,QY18))</f>
        <v>3</v>
      </c>
      <c r="RB18" s="206" t="str">
        <f t="shared" si="103"/>
        <v>B</v>
      </c>
      <c r="RC18" s="122"/>
      <c r="RD18" s="123"/>
      <c r="RE18" s="124"/>
      <c r="RF18" s="182" t="str">
        <f>IFERROR((((COUNTIF('Elève (5ème4)'!RC18:RE18,"A"))*4)+((COUNTIF('Elève (5ème4)'!RC18:RE18,"B"))*3)+((COUNTIF('Elève (5ème4)'!RC18:RE18,"C"))*2)+((COUNTIF('Elève (5ème4)'!RC18:RE18,"D"))*1))/(COUNTA(RC18:RE18)),"")</f>
        <v/>
      </c>
      <c r="RG18" s="183" t="str">
        <f t="shared" si="104"/>
        <v/>
      </c>
      <c r="RH18" s="122"/>
      <c r="RI18" s="123"/>
      <c r="RJ18" s="124"/>
      <c r="RK18" s="182" t="str">
        <f>IFERROR((((COUNTIF('Elève (5ème4)'!RH18:RJ18,"A"))*4)+((COUNTIF('Elève (5ème4)'!RH18:RJ18,"B"))*3)+((COUNTIF('Elève (5ème4)'!RH18:RJ18,"C"))*2)+((COUNTIF('Elève (5ème4)'!RH18:RJ18,"D"))*1))/(COUNTA(RH18:RJ18)),"")</f>
        <v/>
      </c>
      <c r="RL18" s="183" t="str">
        <f t="shared" si="105"/>
        <v/>
      </c>
      <c r="RM18" s="122"/>
      <c r="RN18" s="123"/>
      <c r="RO18" s="124" t="s">
        <v>28</v>
      </c>
      <c r="RP18" s="128"/>
      <c r="RQ18" s="182">
        <f>IFERROR((((COUNTIF('Elève (5ème4)'!RM18:RP18,"A"))*4)+((COUNTIF('Elève (5ème4)'!RM18:RP18,"B"))*3)+((COUNTIF('Elève (5ème4)'!RM18:RP18,"C"))*2)+((COUNTIF('Elève (5ème4)'!RM18:RP18,"D"))*1))/(COUNTA(RM18:RP18)),"")</f>
        <v>3</v>
      </c>
      <c r="RR18" s="183" t="str">
        <f t="shared" si="106"/>
        <v>B</v>
      </c>
      <c r="RS18" s="182">
        <f>IF(COUNT(RF18,RK18,RQ18)=0,"",SUM(RF18,RK18,RQ18)/COUNT(RF18,RK18,RQ18))</f>
        <v>3</v>
      </c>
      <c r="RT18" s="206" t="str">
        <f t="shared" si="107"/>
        <v>B</v>
      </c>
      <c r="RU18" s="122"/>
      <c r="RV18" s="123"/>
      <c r="RW18" s="124"/>
      <c r="RX18" s="182" t="str">
        <f>IFERROR((((COUNTIF('Elève (5ème4)'!RU18:RW18,"A"))*4)+((COUNTIF('Elève (5ème4)'!RU18:RW18,"B"))*3)+((COUNTIF('Elève (5ème4)'!RU18:RW18,"C"))*2)+((COUNTIF('Elève (5ème4)'!RU18:RW18,"D"))*1))/(COUNTA(RU18:RW18)),"")</f>
        <v/>
      </c>
      <c r="RY18" s="183" t="str">
        <f t="shared" si="108"/>
        <v/>
      </c>
      <c r="RZ18" s="122"/>
      <c r="SA18" s="123"/>
      <c r="SB18" s="124"/>
      <c r="SC18" s="182" t="str">
        <f>IFERROR((((COUNTIF('Elève (5ème4)'!RZ18:SB18,"A"))*4)+((COUNTIF('Elève (5ème4)'!RZ18:SB18,"B"))*3)+((COUNTIF('Elève (5ème4)'!RZ18:SB18,"C"))*2)+((COUNTIF('Elève (5ème4)'!RZ18:SB18,"D"))*1))/(COUNTA(RZ18:SB18)),"")</f>
        <v/>
      </c>
      <c r="SD18" s="183" t="str">
        <f t="shared" si="109"/>
        <v/>
      </c>
      <c r="SE18" s="122"/>
      <c r="SF18" s="123"/>
      <c r="SG18" s="124" t="s">
        <v>29</v>
      </c>
      <c r="SH18" s="128"/>
      <c r="SI18" s="182">
        <f>IFERROR((((COUNTIF('Elève (5ème4)'!SE18:SH18,"A"))*4)+((COUNTIF('Elève (5ème4)'!SE18:SH18,"B"))*3)+((COUNTIF('Elève (5ème4)'!SE18:SH18,"C"))*2)+((COUNTIF('Elève (5ème4)'!SE18:SH18,"D"))*1))/(COUNTA(SE18:SH18)),"")</f>
        <v>2</v>
      </c>
      <c r="SJ18" s="183" t="str">
        <f t="shared" si="110"/>
        <v>C</v>
      </c>
      <c r="SK18" s="182">
        <f>IF(COUNT(RX18,SC18,SI18)=0,"",SUM(RX18,SC18,SI18)/COUNT(RX18,SC18,SI18))</f>
        <v>2</v>
      </c>
      <c r="SL18" s="206" t="str">
        <f t="shared" si="111"/>
        <v>C</v>
      </c>
      <c r="SM18" s="122"/>
      <c r="SN18" s="123"/>
      <c r="SO18" s="124"/>
      <c r="SP18" s="125" t="str">
        <f>IFERROR((((COUNTIF('Elève (5ème4)'!SM18:SO18,"A"))*4)+((COUNTIF('Elève (5ème4)'!SM18:SO18,"B"))*3)+((COUNTIF('Elève (5ème4)'!SM18:SO18,"C"))*2)+((COUNTIF('Elève (5ème4)'!SM18:SO18,"D"))*1))/(COUNTA(SM18:SO18)),"")</f>
        <v/>
      </c>
      <c r="SQ18" s="126" t="str">
        <f t="shared" si="112"/>
        <v/>
      </c>
      <c r="SR18" s="122"/>
      <c r="SS18" s="123"/>
      <c r="ST18" s="124"/>
      <c r="SU18" s="125" t="str">
        <f>IFERROR((((COUNTIF('Elève (5ème4)'!SR18:ST18,"A"))*4)+((COUNTIF('Elève (5ème4)'!SR18:ST18,"B"))*3)+((COUNTIF('Elève (5ème4)'!SR18:ST18,"C"))*2)+((COUNTIF('Elève (5ème4)'!SR18:ST18,"D"))*1))/(COUNTA(SR18:ST18)),"")</f>
        <v/>
      </c>
      <c r="SV18" s="126" t="str">
        <f t="shared" si="113"/>
        <v/>
      </c>
      <c r="SW18" s="122"/>
      <c r="SX18" s="123"/>
      <c r="SY18" s="128"/>
      <c r="SZ18" s="125" t="str">
        <f>IFERROR((((COUNTIF('Elève (5ème4)'!SW18:SY18,"A"))*4)+((COUNTIF('Elève (5ème4)'!SW18:SY18,"B"))*3)+((COUNTIF('Elève (5ème4)'!SW18:SY18,"C"))*2)+((COUNTIF('Elève (5ème4)'!SW18:SY18,"D"))*1))/(COUNTA(SW18:SY18)),"")</f>
        <v/>
      </c>
      <c r="TA18" s="126" t="str">
        <f t="shared" si="114"/>
        <v/>
      </c>
      <c r="TB18" s="125" t="str">
        <f>IF(COUNT(SP18,SU18,SZ18)=0,"",SUM(SP18,SU18,SZ18)/COUNT(SP18,SU18,SZ18))</f>
        <v/>
      </c>
      <c r="TC18" s="127" t="str">
        <f t="shared" si="115"/>
        <v/>
      </c>
      <c r="TD18" s="122"/>
      <c r="TE18" s="123"/>
      <c r="TF18" s="124"/>
      <c r="TG18" s="125" t="str">
        <f>IFERROR((((COUNTIF('Elève (5ème4)'!TD18:TF18,"A"))*4)+((COUNTIF('Elève (5ème4)'!TD18:TF18,"B"))*3)+((COUNTIF('Elève (5ème4)'!TD18:TF18,"C"))*2)+((COUNTIF('Elève (5ème4)'!TD18:TF18,"D"))*1))/(COUNTA(TD18:TF18)),"")</f>
        <v/>
      </c>
      <c r="TH18" s="126" t="str">
        <f t="shared" si="116"/>
        <v/>
      </c>
      <c r="TI18" s="122"/>
      <c r="TJ18" s="123"/>
      <c r="TK18" s="124"/>
      <c r="TL18" s="125" t="str">
        <f>IFERROR((((COUNTIF('Elève (5ème4)'!TI18:TK18,"A"))*4)+((COUNTIF('Elève (5ème4)'!TI18:TK18,"B"))*3)+((COUNTIF('Elève (5ème4)'!TI18:TK18,"C"))*2)+((COUNTIF('Elève (5ème4)'!TI18:TK18,"D"))*1))/(COUNTA(TI18:TK18)),"")</f>
        <v/>
      </c>
      <c r="TM18" s="126" t="str">
        <f t="shared" si="117"/>
        <v/>
      </c>
      <c r="TN18" s="122"/>
      <c r="TO18" s="123"/>
      <c r="TP18" s="128"/>
      <c r="TQ18" s="125" t="str">
        <f>IFERROR((((COUNTIF('Elève (5ème4)'!TN18:TP18,"A"))*4)+((COUNTIF('Elève (5ème4)'!TN18:TP18,"B"))*3)+((COUNTIF('Elève (5ème4)'!TN18:TP18,"C"))*2)+((COUNTIF('Elève (5ème4)'!TN18:TP18,"D"))*1))/(COUNTA(TN18:TP18)),"")</f>
        <v/>
      </c>
      <c r="TR18" s="126" t="str">
        <f t="shared" si="118"/>
        <v/>
      </c>
      <c r="TS18" s="125" t="str">
        <f>IF(COUNT(TG18,TL18,TQ18)=0,"",SUM(TG18,TL18,TQ18)/COUNT(TG18,TL18,TQ18))</f>
        <v/>
      </c>
      <c r="TT18" s="127" t="str">
        <f t="shared" si="119"/>
        <v/>
      </c>
    </row>
    <row r="19" spans="1:540" ht="18" customHeight="1" thickBot="1" x14ac:dyDescent="0.3">
      <c r="A19" s="238" t="s">
        <v>23</v>
      </c>
      <c r="B19" s="239"/>
      <c r="C19" s="129"/>
      <c r="D19" s="130"/>
      <c r="E19" s="131"/>
      <c r="F19" s="184" t="str">
        <f>IFERROR((((COUNTIF('Elève (5ème4)'!C19:E19,"A"))*4)+((COUNTIF('Elève (5ème4)'!C19:E19,"B"))*3)+((COUNTIF('Elève (5ème4)'!C19:E19,"C"))*2)+((COUNTIF('Elève (5ème4)'!C19:E19,"D"))*1))/(COUNTA(C19:E19)),"")</f>
        <v/>
      </c>
      <c r="G19" s="185" t="str">
        <f t="shared" si="0"/>
        <v/>
      </c>
      <c r="H19" s="129" t="s">
        <v>28</v>
      </c>
      <c r="I19" s="130" t="s">
        <v>28</v>
      </c>
      <c r="J19" s="131" t="s">
        <v>28</v>
      </c>
      <c r="K19" s="184">
        <f>IFERROR((((COUNTIF('Elève (5ème4)'!H19:J19,"A"))*4)+((COUNTIF('Elève (5ème4)'!H19:J19,"B"))*3)+((COUNTIF('Elève (5ème4)'!H19:J19,"C"))*2)+((COUNTIF('Elève (5ème4)'!H19:J19,"D"))*1))/(COUNTA(H19:J19)),"")</f>
        <v>3</v>
      </c>
      <c r="L19" s="185" t="str">
        <f t="shared" si="1"/>
        <v>B</v>
      </c>
      <c r="M19" s="129" t="s">
        <v>27</v>
      </c>
      <c r="N19" s="130" t="s">
        <v>28</v>
      </c>
      <c r="O19" s="131" t="s">
        <v>29</v>
      </c>
      <c r="P19" s="131" t="s">
        <v>28</v>
      </c>
      <c r="Q19" s="184">
        <f>IFERROR((((COUNTIF('Elève (5ème4)'!M19:P19,"A"))*4)+((COUNTIF('Elève (5ème4)'!M19:P19,"B"))*3)+((COUNTIF('Elève (5ème4)'!M19:P19,"C"))*2)+((COUNTIF('Elève (5ème4)'!M19:P19,"D"))*1))/(COUNTA(M19:P19)),"")</f>
        <v>3</v>
      </c>
      <c r="R19" s="185" t="str">
        <f t="shared" si="2"/>
        <v>B</v>
      </c>
      <c r="S19" s="184">
        <f>IF(COUNT(F19,K19,Q19)=0,"",SUM(F19,K19,Q19)/COUNT(F19,K19,Q19))</f>
        <v>3</v>
      </c>
      <c r="T19" s="207" t="str">
        <f t="shared" si="3"/>
        <v>B</v>
      </c>
      <c r="U19" s="129" t="s">
        <v>28</v>
      </c>
      <c r="V19" s="130" t="s">
        <v>28</v>
      </c>
      <c r="W19" s="131"/>
      <c r="X19" s="184">
        <f>IFERROR((((COUNTIF('Elève (5ème4)'!U19:W19,"A"))*4)+((COUNTIF('Elève (5ème4)'!U19:W19,"B"))*3)+((COUNTIF('Elève (5ème4)'!U19:W19,"C"))*2)+((COUNTIF('Elève (5ème4)'!U19:W19,"D"))*1))/(COUNTA(U19:W19)),"")</f>
        <v>3</v>
      </c>
      <c r="Y19" s="185" t="str">
        <f t="shared" si="4"/>
        <v>B</v>
      </c>
      <c r="Z19" s="129" t="s">
        <v>28</v>
      </c>
      <c r="AA19" s="130" t="s">
        <v>28</v>
      </c>
      <c r="AB19" s="131"/>
      <c r="AC19" s="184">
        <f>IFERROR((((COUNTIF('Elève (5ème4)'!Z19:AB19,"A"))*4)+((COUNTIF('Elève (5ème4)'!Z19:AB19,"B"))*3)+((COUNTIF('Elève (5ème4)'!Z19:AB19,"C"))*2)+((COUNTIF('Elève (5ème4)'!Z19:AB19,"D"))*1))/(COUNTA(Z19:AB19)),"")</f>
        <v>3</v>
      </c>
      <c r="AD19" s="185" t="str">
        <f t="shared" si="5"/>
        <v>B</v>
      </c>
      <c r="AE19" s="129" t="s">
        <v>27</v>
      </c>
      <c r="AF19" s="130" t="s">
        <v>28</v>
      </c>
      <c r="AG19" s="131" t="s">
        <v>28</v>
      </c>
      <c r="AH19" s="135" t="s">
        <v>28</v>
      </c>
      <c r="AI19" s="184">
        <f>IFERROR((((COUNTIF('Elève (5ème4)'!AE19:AH19,"A"))*4)+((COUNTIF('Elève (5ème4)'!AE19:AH19,"B"))*3)+((COUNTIF('Elève (5ème4)'!AE19:AH19,"C"))*2)+((COUNTIF('Elève (5ème4)'!AE19:AH19,"D"))*1))/(COUNTA(AE19:AH19)),"")</f>
        <v>3.25</v>
      </c>
      <c r="AJ19" s="185" t="str">
        <f t="shared" si="6"/>
        <v>B</v>
      </c>
      <c r="AK19" s="184">
        <f>IF(COUNT(X19,AC19,AI19)=0,"",SUM(X19,AC19,AI19)/COUNT(X19,AC19,AI19))</f>
        <v>3.0833333333333335</v>
      </c>
      <c r="AL19" s="207" t="str">
        <f t="shared" si="7"/>
        <v>B</v>
      </c>
      <c r="AM19" s="129" t="s">
        <v>29</v>
      </c>
      <c r="AN19" s="130" t="s">
        <v>29</v>
      </c>
      <c r="AO19" s="131"/>
      <c r="AP19" s="184">
        <f>IFERROR((((COUNTIF('Elève (5ème4)'!AM19:AO19,"A"))*4)+((COUNTIF('Elève (5ème4)'!AM19:AO19,"B"))*3)+((COUNTIF('Elève (5ème4)'!AM19:AO19,"C"))*2)+((COUNTIF('Elève (5ème4)'!AM19:AO19,"D"))*1))/(COUNTA(AM19:AO19)),"")</f>
        <v>2</v>
      </c>
      <c r="AQ19" s="185" t="str">
        <f t="shared" si="8"/>
        <v>C</v>
      </c>
      <c r="AR19" s="129" t="s">
        <v>29</v>
      </c>
      <c r="AS19" s="130" t="s">
        <v>28</v>
      </c>
      <c r="AT19" s="131" t="s">
        <v>29</v>
      </c>
      <c r="AU19" s="184">
        <f>IFERROR((((COUNTIF('Elève (5ème4)'!AR19:AT19,"A"))*4)+((COUNTIF('Elève (5ème4)'!AR19:AT19,"B"))*3)+((COUNTIF('Elève (5ème4)'!AR19:AT19,"C"))*2)+((COUNTIF('Elève (5ème4)'!AR19:AT19,"D"))*1))/(COUNTA(AR19:AT19)),"")</f>
        <v>2.3333333333333335</v>
      </c>
      <c r="AV19" s="185" t="str">
        <f t="shared" si="9"/>
        <v>C</v>
      </c>
      <c r="AW19" s="129" t="s">
        <v>27</v>
      </c>
      <c r="AX19" s="130" t="s">
        <v>30</v>
      </c>
      <c r="AY19" s="131" t="s">
        <v>29</v>
      </c>
      <c r="AZ19" s="135" t="s">
        <v>29</v>
      </c>
      <c r="BA19" s="184">
        <f>IFERROR((((COUNTIF('Elève (5ème4)'!AW19:AZ19,"A"))*4)+((COUNTIF('Elève (5ème4)'!AW19:AZ19,"B"))*3)+((COUNTIF('Elève (5ème4)'!AW19:AZ19,"C"))*2)+((COUNTIF('Elève (5ème4)'!AW19:AZ19,"D"))*1))/(COUNTA(AW19:AZ19)),"")</f>
        <v>2.25</v>
      </c>
      <c r="BB19" s="185" t="str">
        <f t="shared" si="10"/>
        <v>C</v>
      </c>
      <c r="BC19" s="184">
        <f>IF(COUNT(AP19,AU19,BA19)=0,"",SUM(AP19,AU19,BA19)/COUNT(AP19,AU19,BA19))</f>
        <v>2.1944444444444446</v>
      </c>
      <c r="BD19" s="207" t="str">
        <f t="shared" si="11"/>
        <v>C</v>
      </c>
      <c r="BE19" s="129" t="s">
        <v>29</v>
      </c>
      <c r="BF19" s="130" t="s">
        <v>28</v>
      </c>
      <c r="BG19" s="131"/>
      <c r="BH19" s="184">
        <f>IFERROR((((COUNTIF('Elève (5ème4)'!BE19:BG19,"A"))*4)+((COUNTIF('Elève (5ème4)'!BE19:BG19,"B"))*3)+((COUNTIF('Elève (5ème4)'!BE19:BG19,"C"))*2)+((COUNTIF('Elève (5ème4)'!BE19:BG19,"D"))*1))/(COUNTA(BE19:BG19)),"")</f>
        <v>2.5</v>
      </c>
      <c r="BI19" s="185" t="str">
        <f t="shared" si="12"/>
        <v>C</v>
      </c>
      <c r="BJ19" s="129" t="s">
        <v>29</v>
      </c>
      <c r="BK19" s="130" t="s">
        <v>28</v>
      </c>
      <c r="BL19" s="131" t="s">
        <v>29</v>
      </c>
      <c r="BM19" s="184">
        <f>IFERROR((((COUNTIF('Elève (5ème4)'!BJ19:BL19,"A"))*4)+((COUNTIF('Elève (5ème4)'!BJ19:BL19,"B"))*3)+((COUNTIF('Elève (5ème4)'!BJ19:BL19,"C"))*2)+((COUNTIF('Elève (5ème4)'!BJ19:BL19,"D"))*1))/(COUNTA(BJ19:BL19)),"")</f>
        <v>2.3333333333333335</v>
      </c>
      <c r="BN19" s="185" t="str">
        <f t="shared" si="13"/>
        <v>C</v>
      </c>
      <c r="BO19" s="129" t="s">
        <v>27</v>
      </c>
      <c r="BP19" s="130" t="s">
        <v>29</v>
      </c>
      <c r="BQ19" s="131" t="s">
        <v>28</v>
      </c>
      <c r="BR19" s="135" t="s">
        <v>28</v>
      </c>
      <c r="BS19" s="184">
        <f>IFERROR((((COUNTIF('Elève (5ème4)'!BO19:BR19,"A"))*4)+((COUNTIF('Elève (5ème4)'!BO19:BR19,"B"))*3)+((COUNTIF('Elève (5ème4)'!BO19:BR19,"C"))*2)+((COUNTIF('Elève (5ème4)'!BO19:BR19,"D"))*1))/(COUNTA(BO19:BR19)),"")</f>
        <v>3</v>
      </c>
      <c r="BT19" s="185" t="str">
        <f t="shared" si="14"/>
        <v>B</v>
      </c>
      <c r="BU19" s="184">
        <f>IF(COUNT(BH19,BM19,BS19)=0,"",SUM(BH19,BM19,BS19)/COUNT(BH19,BM19,BS19))</f>
        <v>2.6111111111111112</v>
      </c>
      <c r="BV19" s="207" t="str">
        <f t="shared" si="15"/>
        <v>C</v>
      </c>
      <c r="BW19" s="129" t="s">
        <v>29</v>
      </c>
      <c r="BX19" s="130" t="s">
        <v>29</v>
      </c>
      <c r="BY19" s="131"/>
      <c r="BZ19" s="184">
        <f>IFERROR((((COUNTIF('Elève (5ème4)'!BW19:BY19,"A"))*4)+((COUNTIF('Elève (5ème4)'!BW19:BY19,"B"))*3)+((COUNTIF('Elève (5ème4)'!BW19:BY19,"C"))*2)+((COUNTIF('Elève (5ème4)'!BW19:BY19,"D"))*1))/(COUNTA(BW19:BY19)),"")</f>
        <v>2</v>
      </c>
      <c r="CA19" s="185" t="str">
        <f t="shared" si="16"/>
        <v>C</v>
      </c>
      <c r="CB19" s="129" t="s">
        <v>29</v>
      </c>
      <c r="CC19" s="130" t="s">
        <v>28</v>
      </c>
      <c r="CD19" s="131" t="s">
        <v>29</v>
      </c>
      <c r="CE19" s="184">
        <f>IFERROR((((COUNTIF('Elève (5ème4)'!CB19:CD19,"A"))*4)+((COUNTIF('Elève (5ème4)'!CB19:CD19,"B"))*3)+((COUNTIF('Elève (5ème4)'!CB19:CD19,"C"))*2)+((COUNTIF('Elève (5ème4)'!CB19:CD19,"D"))*1))/(COUNTA(CB19:CD19)),"")</f>
        <v>2.3333333333333335</v>
      </c>
      <c r="CF19" s="185" t="str">
        <f t="shared" si="17"/>
        <v>C</v>
      </c>
      <c r="CG19" s="129" t="s">
        <v>27</v>
      </c>
      <c r="CH19" s="130" t="s">
        <v>28</v>
      </c>
      <c r="CI19" s="131" t="s">
        <v>28</v>
      </c>
      <c r="CJ19" s="135" t="s">
        <v>29</v>
      </c>
      <c r="CK19" s="184">
        <f>IFERROR((((COUNTIF('Elève (5ème4)'!CG19:CJ19,"A"))*4)+((COUNTIF('Elève (5ème4)'!CG19:CJ19,"B"))*3)+((COUNTIF('Elève (5ème4)'!CG19:CJ19,"C"))*2)+((COUNTIF('Elève (5ème4)'!CG19:CJ19,"D"))*1))/(COUNTA(CG19:CJ19)),"")</f>
        <v>3</v>
      </c>
      <c r="CL19" s="185" t="str">
        <f t="shared" si="18"/>
        <v>B</v>
      </c>
      <c r="CM19" s="184">
        <f>IF(COUNT(BZ19,CE19,CK19)=0,"",SUM(BZ19,CE19,CK19)/COUNT(BZ19,CE19,CK19))</f>
        <v>2.4444444444444446</v>
      </c>
      <c r="CN19" s="207" t="str">
        <f t="shared" si="19"/>
        <v>C</v>
      </c>
      <c r="CO19" s="129" t="s">
        <v>28</v>
      </c>
      <c r="CP19" s="130" t="s">
        <v>28</v>
      </c>
      <c r="CQ19" s="131"/>
      <c r="CR19" s="184">
        <f>IFERROR((((COUNTIF('Elève (5ème4)'!CO19:CQ19,"A"))*4)+((COUNTIF('Elève (5ème4)'!CO19:CQ19,"B"))*3)+((COUNTIF('Elève (5ème4)'!CO19:CQ19,"C"))*2)+((COUNTIF('Elève (5ème4)'!CO19:CQ19,"D"))*1))/(COUNTA(CO19:CQ19)),"")</f>
        <v>3</v>
      </c>
      <c r="CS19" s="185" t="str">
        <f t="shared" si="20"/>
        <v>B</v>
      </c>
      <c r="CT19" s="129" t="s">
        <v>29</v>
      </c>
      <c r="CU19" s="130" t="s">
        <v>28</v>
      </c>
      <c r="CV19" s="131" t="s">
        <v>29</v>
      </c>
      <c r="CW19" s="184">
        <f>IFERROR((((COUNTIF('Elève (5ème4)'!CT19:CV19,"A"))*4)+((COUNTIF('Elève (5ème4)'!CT19:CV19,"B"))*3)+((COUNTIF('Elève (5ème4)'!CT19:CV19,"C"))*2)+((COUNTIF('Elève (5ème4)'!CT19:CV19,"D"))*1))/(COUNTA(CT19:CV19)),"")</f>
        <v>2.3333333333333335</v>
      </c>
      <c r="CX19" s="185" t="str">
        <f t="shared" si="21"/>
        <v>C</v>
      </c>
      <c r="CY19" s="129" t="s">
        <v>27</v>
      </c>
      <c r="CZ19" s="130" t="s">
        <v>28</v>
      </c>
      <c r="DA19" s="131" t="s">
        <v>29</v>
      </c>
      <c r="DB19" s="135" t="s">
        <v>27</v>
      </c>
      <c r="DC19" s="184">
        <f>IFERROR((((COUNTIF('Elève (5ème4)'!CY19:DB19,"A"))*4)+((COUNTIF('Elève (5ème4)'!CY19:DB19,"B"))*3)+((COUNTIF('Elève (5ème4)'!CY19:DB19,"C"))*2)+((COUNTIF('Elève (5ème4)'!CY19:DB19,"D"))*1))/(COUNTA(CY19:DB19)),"")</f>
        <v>3.25</v>
      </c>
      <c r="DD19" s="185" t="str">
        <f t="shared" si="22"/>
        <v>B</v>
      </c>
      <c r="DE19" s="184">
        <f>IF(COUNT(CR19,CW19,DC19)=0,"",SUM(CR19,CW19,DC19)/COUNT(CR19,CW19,DC19))</f>
        <v>2.8611111111111112</v>
      </c>
      <c r="DF19" s="207" t="str">
        <f t="shared" si="23"/>
        <v>B</v>
      </c>
      <c r="DG19" s="129"/>
      <c r="DH19" s="130" t="s">
        <v>29</v>
      </c>
      <c r="DI19" s="131"/>
      <c r="DJ19" s="184">
        <f>IFERROR((((COUNTIF('Elève (5ème4)'!DG19:DI19,"A"))*4)+((COUNTIF('Elève (5ème4)'!DG19:DI19,"B"))*3)+((COUNTIF('Elève (5ème4)'!DG19:DI19,"C"))*2)+((COUNTIF('Elève (5ème4)'!DG19:DI19,"D"))*1))/(COUNTA(DG19:DI19)),"")</f>
        <v>2</v>
      </c>
      <c r="DK19" s="185" t="str">
        <f t="shared" si="24"/>
        <v>C</v>
      </c>
      <c r="DL19" s="129" t="s">
        <v>27</v>
      </c>
      <c r="DM19" s="130" t="s">
        <v>29</v>
      </c>
      <c r="DN19" s="131" t="s">
        <v>30</v>
      </c>
      <c r="DO19" s="184">
        <f>IFERROR((((COUNTIF('Elève (5ème4)'!DL19:DN19,"A"))*4)+((COUNTIF('Elève (5ème4)'!DL19:DN19,"B"))*3)+((COUNTIF('Elève (5ème4)'!DL19:DN19,"C"))*2)+((COUNTIF('Elève (5ème4)'!DL19:DN19,"D"))*1))/(COUNTA(DL19:DN19)),"")</f>
        <v>2.3333333333333335</v>
      </c>
      <c r="DP19" s="185" t="str">
        <f t="shared" si="25"/>
        <v>C</v>
      </c>
      <c r="DQ19" s="129" t="s">
        <v>27</v>
      </c>
      <c r="DR19" s="130" t="s">
        <v>29</v>
      </c>
      <c r="DS19" s="131" t="s">
        <v>28</v>
      </c>
      <c r="DT19" s="135" t="s">
        <v>28</v>
      </c>
      <c r="DU19" s="184">
        <f>IFERROR((((COUNTIF('Elève (5ème4)'!DQ19:DT19,"A"))*4)+((COUNTIF('Elève (5ème4)'!DQ19:DT19,"B"))*3)+((COUNTIF('Elève (5ème4)'!DQ19:DT19,"C"))*2)+((COUNTIF('Elève (5ème4)'!DQ19:DT19,"D"))*1))/(COUNTA(DQ19:DT19)),"")</f>
        <v>3</v>
      </c>
      <c r="DV19" s="185" t="str">
        <f t="shared" si="26"/>
        <v>B</v>
      </c>
      <c r="DW19" s="184">
        <f>IF(COUNT(DJ19,DO19,DU19)=0,"",SUM(DJ19,DO19,DU19)/COUNT(DJ19,DO19,DU19))</f>
        <v>2.4444444444444446</v>
      </c>
      <c r="DX19" s="207" t="str">
        <f t="shared" si="27"/>
        <v>C</v>
      </c>
      <c r="DY19" s="129" t="s">
        <v>29</v>
      </c>
      <c r="DZ19" s="130" t="s">
        <v>28</v>
      </c>
      <c r="EA19" s="131"/>
      <c r="EB19" s="184">
        <f>IFERROR((((COUNTIF('Elève (5ème4)'!DY19:EA19,"A"))*4)+((COUNTIF('Elève (5ème4)'!DY19:EA19,"B"))*3)+((COUNTIF('Elève (5ème4)'!DY19:EA19,"C"))*2)+((COUNTIF('Elève (5ème4)'!DY19:EA19,"D"))*1))/(COUNTA(DY19:EA19)),"")</f>
        <v>2.5</v>
      </c>
      <c r="EC19" s="185" t="str">
        <f t="shared" si="28"/>
        <v>C</v>
      </c>
      <c r="ED19" s="129" t="s">
        <v>29</v>
      </c>
      <c r="EE19" s="130" t="s">
        <v>28</v>
      </c>
      <c r="EF19" s="131" t="s">
        <v>29</v>
      </c>
      <c r="EG19" s="184">
        <f>IFERROR((((COUNTIF('Elève (5ème4)'!ED19:EF19,"A"))*4)+((COUNTIF('Elève (5ème4)'!ED19:EF19,"B"))*3)+((COUNTIF('Elève (5ème4)'!ED19:EF19,"C"))*2)+((COUNTIF('Elève (5ème4)'!ED19:EF19,"D"))*1))/(COUNTA(ED19:EF19)),"")</f>
        <v>2.3333333333333335</v>
      </c>
      <c r="EH19" s="185" t="str">
        <f t="shared" si="29"/>
        <v>C</v>
      </c>
      <c r="EI19" s="129" t="s">
        <v>27</v>
      </c>
      <c r="EJ19" s="130" t="s">
        <v>28</v>
      </c>
      <c r="EK19" s="131" t="s">
        <v>28</v>
      </c>
      <c r="EL19" s="135" t="s">
        <v>28</v>
      </c>
      <c r="EM19" s="184">
        <f>IFERROR((((COUNTIF('Elève (5ème4)'!EI19:EL19,"A"))*4)+((COUNTIF('Elève (5ème4)'!EI19:EL19,"B"))*3)+((COUNTIF('Elève (5ème4)'!EI19:EL19,"C"))*2)+((COUNTIF('Elève (5ème4)'!EI19:EL19,"D"))*1))/(COUNTA(EI19:EL19)),"")</f>
        <v>3.25</v>
      </c>
      <c r="EN19" s="185" t="str">
        <f t="shared" si="30"/>
        <v>B</v>
      </c>
      <c r="EO19" s="184">
        <f>IF(COUNT(EB19,EG19,EM19)=0,"",SUM(EB19,EG19,EM19)/COUNT(EB19,EG19,EM19))</f>
        <v>2.6944444444444446</v>
      </c>
      <c r="EP19" s="207" t="str">
        <f t="shared" si="31"/>
        <v>C</v>
      </c>
      <c r="EQ19" s="129" t="s">
        <v>30</v>
      </c>
      <c r="ER19" s="130"/>
      <c r="ES19" s="131"/>
      <c r="ET19" s="184">
        <f>IFERROR((((COUNTIF('Elève (5ème4)'!EQ19:ES19,"A"))*4)+((COUNTIF('Elève (5ème4)'!EQ19:ES19,"B"))*3)+((COUNTIF('Elève (5ème4)'!EQ19:ES19,"C"))*2)+((COUNTIF('Elève (5ème4)'!EQ19:ES19,"D"))*1))/(COUNTA(EQ19:ES19)),"")</f>
        <v>1</v>
      </c>
      <c r="EU19" s="185" t="str">
        <f t="shared" si="32"/>
        <v>D</v>
      </c>
      <c r="EV19" s="129" t="s">
        <v>29</v>
      </c>
      <c r="EW19" s="130" t="s">
        <v>28</v>
      </c>
      <c r="EX19" s="131" t="s">
        <v>29</v>
      </c>
      <c r="EY19" s="184">
        <f>IFERROR((((COUNTIF('Elève (5ème4)'!EV19:EX19,"A"))*4)+((COUNTIF('Elève (5ème4)'!EV19:EX19,"B"))*3)+((COUNTIF('Elève (5ème4)'!EV19:EX19,"C"))*2)+((COUNTIF('Elève (5ème4)'!EV19:EX19,"D"))*1))/(COUNTA(EV19:EX19)),"")</f>
        <v>2.3333333333333335</v>
      </c>
      <c r="EZ19" s="185" t="str">
        <f t="shared" si="33"/>
        <v>C</v>
      </c>
      <c r="FA19" s="129" t="s">
        <v>30</v>
      </c>
      <c r="FB19" s="130" t="s">
        <v>29</v>
      </c>
      <c r="FC19" s="131" t="s">
        <v>29</v>
      </c>
      <c r="FD19" s="135" t="s">
        <v>27</v>
      </c>
      <c r="FE19" s="184">
        <f>IFERROR((((COUNTIF('Elève (5ème4)'!FA19:FD19,"A"))*4)+((COUNTIF('Elève (5ème4)'!FA19:FD19,"B"))*3)+((COUNTIF('Elève (5ème4)'!FA19:FD19,"C"))*2)+((COUNTIF('Elève (5ème4)'!FA19:FD19,"D"))*1))/(COUNTA(FA19:FD19)),"")</f>
        <v>2.25</v>
      </c>
      <c r="FF19" s="185" t="str">
        <f t="shared" si="34"/>
        <v>C</v>
      </c>
      <c r="FG19" s="184">
        <f>IF(COUNT(ET19,EY19,FE19)=0,"",SUM(ET19,EY19,FE19)/COUNT(ET19,EY19,FE19))</f>
        <v>1.8611111111111114</v>
      </c>
      <c r="FH19" s="207" t="str">
        <f t="shared" si="35"/>
        <v>C</v>
      </c>
      <c r="FI19" s="129" t="s">
        <v>29</v>
      </c>
      <c r="FJ19" s="130" t="s">
        <v>28</v>
      </c>
      <c r="FK19" s="131"/>
      <c r="FL19" s="184">
        <f>IFERROR((((COUNTIF('Elève (5ème4)'!FI19:FK19,"A"))*4)+((COUNTIF('Elève (5ème4)'!FI19:FK19,"B"))*3)+((COUNTIF('Elève (5ème4)'!FI19:FK19,"C"))*2)+((COUNTIF('Elève (5ème4)'!FI19:FK19,"D"))*1))/(COUNTA(FI19:FK19)),"")</f>
        <v>2.5</v>
      </c>
      <c r="FM19" s="185" t="str">
        <f t="shared" si="36"/>
        <v>C</v>
      </c>
      <c r="FN19" s="129" t="s">
        <v>29</v>
      </c>
      <c r="FO19" s="130" t="s">
        <v>28</v>
      </c>
      <c r="FP19" s="131" t="s">
        <v>29</v>
      </c>
      <c r="FQ19" s="184">
        <f>IFERROR((((COUNTIF('Elève (5ème4)'!FN19:FP19,"A"))*4)+((COUNTIF('Elève (5ème4)'!FN19:FP19,"B"))*3)+((COUNTIF('Elève (5ème4)'!FN19:FP19,"C"))*2)+((COUNTIF('Elève (5ème4)'!FN19:FP19,"D"))*1))/(COUNTA(FN19:FP19)),"")</f>
        <v>2.3333333333333335</v>
      </c>
      <c r="FR19" s="185" t="str">
        <f t="shared" si="37"/>
        <v>C</v>
      </c>
      <c r="FS19" s="129" t="s">
        <v>27</v>
      </c>
      <c r="FT19" s="130" t="s">
        <v>28</v>
      </c>
      <c r="FU19" s="131" t="s">
        <v>28</v>
      </c>
      <c r="FV19" s="135" t="s">
        <v>29</v>
      </c>
      <c r="FW19" s="184">
        <f>IFERROR((((COUNTIF('Elève (5ème4)'!FS19:FV19,"A"))*4)+((COUNTIF('Elève (5ème4)'!FS19:FV19,"B"))*3)+((COUNTIF('Elève (5ème4)'!FS19:FV19,"C"))*2)+((COUNTIF('Elève (5ème4)'!FS19:FV19,"D"))*1))/(COUNTA(FS19:FV19)),"")</f>
        <v>3</v>
      </c>
      <c r="FX19" s="185" t="str">
        <f t="shared" si="38"/>
        <v>B</v>
      </c>
      <c r="FY19" s="184">
        <f>IF(COUNT(FL19,FQ19,FW19)=0,"",SUM(FL19,FQ19,FW19)/COUNT(FL19,FQ19,FW19))</f>
        <v>2.6111111111111112</v>
      </c>
      <c r="FZ19" s="207" t="str">
        <f t="shared" si="39"/>
        <v>C</v>
      </c>
      <c r="GA19" s="129" t="s">
        <v>28</v>
      </c>
      <c r="GB19" s="130" t="s">
        <v>28</v>
      </c>
      <c r="GC19" s="131"/>
      <c r="GD19" s="184">
        <f>IFERROR((((COUNTIF('Elève (5ème4)'!GA19:GC19,"A"))*4)+((COUNTIF('Elève (5ème4)'!GA19:GC19,"B"))*3)+((COUNTIF('Elève (5ème4)'!GA19:GC19,"C"))*2)+((COUNTIF('Elève (5ème4)'!GA19:GC19,"D"))*1))/(COUNTA(GA19:GC19)),"")</f>
        <v>3</v>
      </c>
      <c r="GE19" s="185" t="str">
        <f t="shared" si="40"/>
        <v>B</v>
      </c>
      <c r="GF19" s="129" t="s">
        <v>27</v>
      </c>
      <c r="GG19" s="130" t="s">
        <v>28</v>
      </c>
      <c r="GH19" s="131" t="s">
        <v>29</v>
      </c>
      <c r="GI19" s="184">
        <f>IFERROR((((COUNTIF('Elève (5ème4)'!GF19:GH19,"A"))*4)+((COUNTIF('Elève (5ème4)'!GF19:GH19,"B"))*3)+((COUNTIF('Elève (5ème4)'!GF19:GH19,"C"))*2)+((COUNTIF('Elève (5ème4)'!GF19:GH19,"D"))*1))/(COUNTA(GF19:GH19)),"")</f>
        <v>3</v>
      </c>
      <c r="GJ19" s="185" t="str">
        <f t="shared" si="41"/>
        <v>B</v>
      </c>
      <c r="GK19" s="129" t="s">
        <v>27</v>
      </c>
      <c r="GL19" s="130" t="s">
        <v>28</v>
      </c>
      <c r="GM19" s="131" t="s">
        <v>28</v>
      </c>
      <c r="GN19" s="135" t="s">
        <v>27</v>
      </c>
      <c r="GO19" s="184">
        <f>IFERROR((((COUNTIF('Elève (5ème4)'!GK19:GN19,"A"))*4)+((COUNTIF('Elève (5ème4)'!GK19:GN19,"B"))*3)+((COUNTIF('Elève (5ème4)'!GK19:GN19,"C"))*2)+((COUNTIF('Elève (5ème4)'!GK19:GN19,"D"))*1))/(COUNTA(GK19:GN19)),"")</f>
        <v>3.5</v>
      </c>
      <c r="GP19" s="185" t="str">
        <f t="shared" si="42"/>
        <v>B</v>
      </c>
      <c r="GQ19" s="184">
        <f>IF(COUNT(GD19,GI19,GO19)=0,"",SUM(GD19,GI19,GO19)/COUNT(GD19,GI19,GO19))</f>
        <v>3.1666666666666665</v>
      </c>
      <c r="GR19" s="207" t="str">
        <f t="shared" si="43"/>
        <v>B</v>
      </c>
      <c r="GS19" s="129" t="s">
        <v>30</v>
      </c>
      <c r="GT19" s="130" t="s">
        <v>28</v>
      </c>
      <c r="GU19" s="131"/>
      <c r="GV19" s="184">
        <f>IFERROR((((COUNTIF('Elève (5ème4)'!GS19:GU19,"A"))*4)+((COUNTIF('Elève (5ème4)'!GS19:GU19,"B"))*3)+((COUNTIF('Elève (5ème4)'!GS19:GU19,"C"))*2)+((COUNTIF('Elève (5ème4)'!GS19:GU19,"D"))*1))/(COUNTA(GS19:GU19)),"")</f>
        <v>2</v>
      </c>
      <c r="GW19" s="185" t="str">
        <f t="shared" si="44"/>
        <v>C</v>
      </c>
      <c r="GX19" s="129" t="s">
        <v>28</v>
      </c>
      <c r="GY19" s="130" t="s">
        <v>29</v>
      </c>
      <c r="GZ19" s="131" t="s">
        <v>29</v>
      </c>
      <c r="HA19" s="184">
        <f>IFERROR((((COUNTIF('Elève (5ème4)'!GX19:GZ19,"A"))*4)+((COUNTIF('Elève (5ème4)'!GX19:GZ19,"B"))*3)+((COUNTIF('Elève (5ème4)'!GX19:GZ19,"C"))*2)+((COUNTIF('Elève (5ème4)'!GX19:GZ19,"D"))*1))/(COUNTA(GX19:GZ19)),"")</f>
        <v>2.3333333333333335</v>
      </c>
      <c r="HB19" s="185" t="str">
        <f t="shared" si="45"/>
        <v>C</v>
      </c>
      <c r="HC19" s="129" t="s">
        <v>27</v>
      </c>
      <c r="HD19" s="130" t="s">
        <v>30</v>
      </c>
      <c r="HE19" s="131" t="s">
        <v>29</v>
      </c>
      <c r="HF19" s="135" t="s">
        <v>28</v>
      </c>
      <c r="HG19" s="184">
        <f>IFERROR((((COUNTIF('Elève (5ème4)'!HC19:HF19,"A"))*4)+((COUNTIF('Elève (5ème4)'!HC19:HF19,"B"))*3)+((COUNTIF('Elève (5ème4)'!HC19:HF19,"C"))*2)+((COUNTIF('Elève (5ème4)'!HC19:HF19,"D"))*1))/(COUNTA(HC19:HF19)),"")</f>
        <v>2.5</v>
      </c>
      <c r="HH19" s="185" t="str">
        <f t="shared" si="46"/>
        <v>C</v>
      </c>
      <c r="HI19" s="184">
        <f>IF(COUNT(GV19,HA19,HG19)=0,"",SUM(GV19,HA19,HG19)/COUNT(GV19,HA19,HG19))</f>
        <v>2.2777777777777781</v>
      </c>
      <c r="HJ19" s="207" t="str">
        <f t="shared" si="47"/>
        <v>C</v>
      </c>
      <c r="HK19" s="129" t="s">
        <v>28</v>
      </c>
      <c r="HL19" s="130" t="s">
        <v>28</v>
      </c>
      <c r="HM19" s="131"/>
      <c r="HN19" s="184">
        <f>IFERROR((((COUNTIF('Elève (5ème4)'!HK19:HM19,"A"))*4)+((COUNTIF('Elève (5ème4)'!HK19:HM19,"B"))*3)+((COUNTIF('Elève (5ème4)'!HK19:HM19,"C"))*2)+((COUNTIF('Elève (5ème4)'!HK19:HM19,"D"))*1))/(COUNTA(HK19:HM19)),"")</f>
        <v>3</v>
      </c>
      <c r="HO19" s="185" t="str">
        <f t="shared" si="48"/>
        <v>B</v>
      </c>
      <c r="HP19" s="129" t="s">
        <v>27</v>
      </c>
      <c r="HQ19" s="130" t="s">
        <v>28</v>
      </c>
      <c r="HR19" s="131" t="s">
        <v>28</v>
      </c>
      <c r="HS19" s="184">
        <f>IFERROR((((COUNTIF('Elève (5ème4)'!HP19:HR19,"A"))*4)+((COUNTIF('Elève (5ème4)'!HP19:HR19,"B"))*3)+((COUNTIF('Elève (5ème4)'!HP19:HR19,"C"))*2)+((COUNTIF('Elève (5ème4)'!HP19:HR19,"D"))*1))/(COUNTA(HP19:HR19)),"")</f>
        <v>3.3333333333333335</v>
      </c>
      <c r="HT19" s="185" t="str">
        <f t="shared" si="49"/>
        <v>B</v>
      </c>
      <c r="HU19" s="129" t="s">
        <v>27</v>
      </c>
      <c r="HV19" s="130" t="s">
        <v>28</v>
      </c>
      <c r="HW19" s="131" t="s">
        <v>28</v>
      </c>
      <c r="HX19" s="135" t="s">
        <v>27</v>
      </c>
      <c r="HY19" s="184">
        <f>IFERROR((((COUNTIF('Elève (5ème4)'!HU19:HX19,"A"))*4)+((COUNTIF('Elève (5ème4)'!HU19:HX19,"B"))*3)+((COUNTIF('Elève (5ème4)'!HU19:HX19,"C"))*2)+((COUNTIF('Elève (5ème4)'!HU19:HX19,"D"))*1))/(COUNTA(HU19:HX19)),"")</f>
        <v>3.5</v>
      </c>
      <c r="HZ19" s="185" t="str">
        <f t="shared" si="50"/>
        <v>B</v>
      </c>
      <c r="IA19" s="184">
        <f>IF(COUNT(HN19,HS19,HY19)=0,"",SUM(HN19,HS19,HY19)/COUNT(HN19,HS19,HY19))</f>
        <v>3.2777777777777781</v>
      </c>
      <c r="IB19" s="207" t="str">
        <f t="shared" si="51"/>
        <v>B</v>
      </c>
      <c r="IC19" s="129" t="s">
        <v>28</v>
      </c>
      <c r="ID19" s="130" t="s">
        <v>28</v>
      </c>
      <c r="IE19" s="131"/>
      <c r="IF19" s="184">
        <f>IFERROR((((COUNTIF('Elève (5ème4)'!IC19:IE19,"A"))*4)+((COUNTIF('Elève (5ème4)'!IC19:IE19,"B"))*3)+((COUNTIF('Elève (5ème4)'!IC19:IE19,"C"))*2)+((COUNTIF('Elève (5ème4)'!IC19:IE19,"D"))*1))/(COUNTA(IC19:IE19)),"")</f>
        <v>3</v>
      </c>
      <c r="IG19" s="185" t="str">
        <f t="shared" si="52"/>
        <v>B</v>
      </c>
      <c r="IH19" s="129" t="s">
        <v>29</v>
      </c>
      <c r="II19" s="130" t="s">
        <v>27</v>
      </c>
      <c r="IJ19" s="131" t="s">
        <v>28</v>
      </c>
      <c r="IK19" s="184">
        <f>IFERROR((((COUNTIF('Elève (5ème4)'!IH19:IJ19,"A"))*4)+((COUNTIF('Elève (5ème4)'!IH19:IJ19,"B"))*3)+((COUNTIF('Elève (5ème4)'!IH19:IJ19,"C"))*2)+((COUNTIF('Elève (5ème4)'!IH19:IJ19,"D"))*1))/(COUNTA(IH19:IJ19)),"")</f>
        <v>3</v>
      </c>
      <c r="IL19" s="185" t="str">
        <f t="shared" si="53"/>
        <v>B</v>
      </c>
      <c r="IM19" s="129" t="s">
        <v>27</v>
      </c>
      <c r="IN19" s="130" t="s">
        <v>28</v>
      </c>
      <c r="IO19" s="131" t="s">
        <v>28</v>
      </c>
      <c r="IP19" s="135" t="s">
        <v>27</v>
      </c>
      <c r="IQ19" s="184">
        <f>IFERROR((((COUNTIF('Elève (5ème4)'!IM19:IP19,"A"))*4)+((COUNTIF('Elève (5ème4)'!IM19:IP19,"B"))*3)+((COUNTIF('Elève (5ème4)'!IM19:IP19,"C"))*2)+((COUNTIF('Elève (5ème4)'!IM19:IP19,"D"))*1))/(COUNTA(IM19:IP19)),"")</f>
        <v>3.5</v>
      </c>
      <c r="IR19" s="185" t="str">
        <f t="shared" si="54"/>
        <v>B</v>
      </c>
      <c r="IS19" s="184">
        <f>IF(COUNT(IF19,IK19,IQ19)=0,"",SUM(IF19,IK19,IQ19)/COUNT(IF19,IK19,IQ19))</f>
        <v>3.1666666666666665</v>
      </c>
      <c r="IT19" s="207" t="str">
        <f t="shared" si="55"/>
        <v>B</v>
      </c>
      <c r="IU19" s="129" t="s">
        <v>28</v>
      </c>
      <c r="IV19" s="130" t="s">
        <v>28</v>
      </c>
      <c r="IW19" s="131"/>
      <c r="IX19" s="184">
        <f>IFERROR((((COUNTIF('Elève (5ème4)'!IU19:IW19,"A"))*4)+((COUNTIF('Elève (5ème4)'!IU19:IW19,"B"))*3)+((COUNTIF('Elève (5ème4)'!IU19:IW19,"C"))*2)+((COUNTIF('Elève (5ème4)'!IU19:IW19,"D"))*1))/(COUNTA(IU19:IW19)),"")</f>
        <v>3</v>
      </c>
      <c r="IY19" s="185" t="str">
        <f t="shared" si="56"/>
        <v>B</v>
      </c>
      <c r="IZ19" s="129" t="s">
        <v>28</v>
      </c>
      <c r="JA19" s="130" t="s">
        <v>28</v>
      </c>
      <c r="JB19" s="131" t="s">
        <v>29</v>
      </c>
      <c r="JC19" s="184">
        <f>IFERROR((((COUNTIF('Elève (5ème4)'!IZ19:JB19,"A"))*4)+((COUNTIF('Elève (5ème4)'!IZ19:JB19,"B"))*3)+((COUNTIF('Elève (5ème4)'!IZ19:JB19,"C"))*2)+((COUNTIF('Elève (5ème4)'!IZ19:JB19,"D"))*1))/(COUNTA(IZ19:JB19)),"")</f>
        <v>2.6666666666666665</v>
      </c>
      <c r="JD19" s="185" t="str">
        <f t="shared" si="57"/>
        <v>C</v>
      </c>
      <c r="JE19" s="129" t="s">
        <v>27</v>
      </c>
      <c r="JF19" s="130" t="s">
        <v>29</v>
      </c>
      <c r="JG19" s="131" t="s">
        <v>28</v>
      </c>
      <c r="JH19" s="135" t="s">
        <v>27</v>
      </c>
      <c r="JI19" s="184">
        <f>IFERROR((((COUNTIF('Elève (5ème4)'!JE19:JH19,"A"))*4)+((COUNTIF('Elève (5ème4)'!JE19:JH19,"B"))*3)+((COUNTIF('Elève (5ème4)'!JE19:JH19,"C"))*2)+((COUNTIF('Elève (5ème4)'!JE19:JH19,"D"))*1))/(COUNTA(JE19:JH19)),"")</f>
        <v>3.25</v>
      </c>
      <c r="JJ19" s="185" t="str">
        <f t="shared" si="58"/>
        <v>B</v>
      </c>
      <c r="JK19" s="184">
        <f>IF(COUNT(IX19,JC19,JI19)=0,"",SUM(IX19,JC19,JI19)/COUNT(IX19,JC19,JI19))</f>
        <v>2.9722222222222219</v>
      </c>
      <c r="JL19" s="207" t="str">
        <f t="shared" si="59"/>
        <v>B</v>
      </c>
      <c r="JM19" s="129" t="s">
        <v>29</v>
      </c>
      <c r="JN19" s="130" t="s">
        <v>28</v>
      </c>
      <c r="JO19" s="131"/>
      <c r="JP19" s="184">
        <f>IFERROR((((COUNTIF('Elève (5ème4)'!JM19:JO19,"A"))*4)+((COUNTIF('Elève (5ème4)'!JM19:JO19,"B"))*3)+((COUNTIF('Elève (5ème4)'!JM19:JO19,"C"))*2)+((COUNTIF('Elève (5ème4)'!JM19:JO19,"D"))*1))/(COUNTA(JM19:JO19)),"")</f>
        <v>2.5</v>
      </c>
      <c r="JQ19" s="185" t="str">
        <f t="shared" si="60"/>
        <v>C</v>
      </c>
      <c r="JR19" s="129" t="s">
        <v>29</v>
      </c>
      <c r="JS19" s="130" t="s">
        <v>28</v>
      </c>
      <c r="JT19" s="131" t="s">
        <v>29</v>
      </c>
      <c r="JU19" s="184">
        <f>IFERROR((((COUNTIF('Elève (5ème4)'!JR19:JT19,"A"))*4)+((COUNTIF('Elève (5ème4)'!JR19:JT19,"B"))*3)+((COUNTIF('Elève (5ème4)'!JR19:JT19,"C"))*2)+((COUNTIF('Elève (5ème4)'!JR19:JT19,"D"))*1))/(COUNTA(JR19:JT19)),"")</f>
        <v>2.3333333333333335</v>
      </c>
      <c r="JV19" s="185" t="str">
        <f t="shared" si="61"/>
        <v>C</v>
      </c>
      <c r="JW19" s="129" t="s">
        <v>27</v>
      </c>
      <c r="JX19" s="130" t="s">
        <v>28</v>
      </c>
      <c r="JY19" s="131" t="s">
        <v>28</v>
      </c>
      <c r="JZ19" s="135" t="s">
        <v>27</v>
      </c>
      <c r="KA19" s="184">
        <f>IFERROR((((COUNTIF('Elève (5ème4)'!JW19:JZ19,"A"))*4)+((COUNTIF('Elève (5ème4)'!JW19:JZ19,"B"))*3)+((COUNTIF('Elève (5ème4)'!JW19:JZ19,"C"))*2)+((COUNTIF('Elève (5ème4)'!JW19:JZ19,"D"))*1))/(COUNTA(JW19:JZ19)),"")</f>
        <v>3.5</v>
      </c>
      <c r="KB19" s="185" t="str">
        <f t="shared" si="62"/>
        <v>B</v>
      </c>
      <c r="KC19" s="184">
        <f>IF(COUNT(JP19,JU19,KA19)=0,"",SUM(JP19,JU19,KA19)/COUNT(JP19,JU19,KA19))</f>
        <v>2.7777777777777781</v>
      </c>
      <c r="KD19" s="207" t="str">
        <f t="shared" si="63"/>
        <v>C</v>
      </c>
      <c r="KE19" s="129" t="s">
        <v>27</v>
      </c>
      <c r="KF19" s="130" t="s">
        <v>28</v>
      </c>
      <c r="KG19" s="131"/>
      <c r="KH19" s="184">
        <f>IFERROR((((COUNTIF('Elève (5ème4)'!KE19:KG19,"A"))*4)+((COUNTIF('Elève (5ème4)'!KE19:KG19,"B"))*3)+((COUNTIF('Elève (5ème4)'!KE19:KG19,"C"))*2)+((COUNTIF('Elève (5ème4)'!KE19:KG19,"D"))*1))/(COUNTA(KE19:KG19)),"")</f>
        <v>3.5</v>
      </c>
      <c r="KI19" s="185" t="str">
        <f t="shared" si="64"/>
        <v>B</v>
      </c>
      <c r="KJ19" s="129" t="s">
        <v>27</v>
      </c>
      <c r="KK19" s="130" t="s">
        <v>28</v>
      </c>
      <c r="KL19" s="131" t="s">
        <v>28</v>
      </c>
      <c r="KM19" s="184">
        <f>IFERROR((((COUNTIF('Elève (5ème4)'!KJ19:KL19,"A"))*4)+((COUNTIF('Elève (5ème4)'!KJ19:KL19,"B"))*3)+((COUNTIF('Elève (5ème4)'!KJ19:KL19,"C"))*2)+((COUNTIF('Elève (5ème4)'!KJ19:KL19,"D"))*1))/(COUNTA(KJ19:KL19)),"")</f>
        <v>3.3333333333333335</v>
      </c>
      <c r="KN19" s="185" t="str">
        <f t="shared" si="65"/>
        <v>B</v>
      </c>
      <c r="KO19" s="129" t="s">
        <v>27</v>
      </c>
      <c r="KP19" s="130" t="s">
        <v>28</v>
      </c>
      <c r="KQ19" s="131" t="s">
        <v>28</v>
      </c>
      <c r="KR19" s="135" t="s">
        <v>27</v>
      </c>
      <c r="KS19" s="184">
        <f>IFERROR((((COUNTIF('Elève (5ème4)'!KO19:KR19,"A"))*4)+((COUNTIF('Elève (5ème4)'!KO19:KR19,"B"))*3)+((COUNTIF('Elève (5ème4)'!KO19:KR19,"C"))*2)+((COUNTIF('Elève (5ème4)'!KO19:KR19,"D"))*1))/(COUNTA(KO19:KR19)),"")</f>
        <v>3.5</v>
      </c>
      <c r="KT19" s="185" t="str">
        <f t="shared" si="66"/>
        <v>B</v>
      </c>
      <c r="KU19" s="184">
        <f>IF(COUNT(KH19,KM19,KS19)=0,"",SUM(KH19,KM19,KS19)/COUNT(KH19,KM19,KS19))</f>
        <v>3.4444444444444446</v>
      </c>
      <c r="KV19" s="207" t="str">
        <f t="shared" si="67"/>
        <v>B</v>
      </c>
      <c r="KW19" s="129" t="s">
        <v>29</v>
      </c>
      <c r="KX19" s="130" t="s">
        <v>29</v>
      </c>
      <c r="KY19" s="131"/>
      <c r="KZ19" s="184">
        <f>IFERROR((((COUNTIF('Elève (5ème4)'!KW19:KY19,"A"))*4)+((COUNTIF('Elève (5ème4)'!KW19:KY19,"B"))*3)+((COUNTIF('Elève (5ème4)'!KW19:KY19,"C"))*2)+((COUNTIF('Elève (5ème4)'!KW19:KY19,"D"))*1))/(COUNTA(KW19:KY19)),"")</f>
        <v>2</v>
      </c>
      <c r="LA19" s="185" t="str">
        <f t="shared" si="68"/>
        <v>C</v>
      </c>
      <c r="LB19" s="129" t="s">
        <v>29</v>
      </c>
      <c r="LC19" s="130" t="s">
        <v>28</v>
      </c>
      <c r="LD19" s="131" t="s">
        <v>29</v>
      </c>
      <c r="LE19" s="184">
        <f>IFERROR((((COUNTIF('Elève (5ème4)'!LB19:LD19,"A"))*4)+((COUNTIF('Elève (5ème4)'!LB19:LD19,"B"))*3)+((COUNTIF('Elève (5ème4)'!LB19:LD19,"C"))*2)+((COUNTIF('Elève (5ème4)'!LB19:LD19,"D"))*1))/(COUNTA(LB19:LD19)),"")</f>
        <v>2.3333333333333335</v>
      </c>
      <c r="LF19" s="185" t="str">
        <f t="shared" si="69"/>
        <v>C</v>
      </c>
      <c r="LG19" s="129" t="s">
        <v>30</v>
      </c>
      <c r="LH19" s="130" t="s">
        <v>28</v>
      </c>
      <c r="LI19" s="131" t="s">
        <v>29</v>
      </c>
      <c r="LJ19" s="135" t="s">
        <v>29</v>
      </c>
      <c r="LK19" s="184">
        <f>IFERROR((((COUNTIF('Elève (5ème4)'!LG19:LJ19,"A"))*4)+((COUNTIF('Elève (5ème4)'!LG19:LJ19,"B"))*3)+((COUNTIF('Elève (5ème4)'!LG19:LJ19,"C"))*2)+((COUNTIF('Elève (5ème4)'!LG19:LJ19,"D"))*1))/(COUNTA(LG19:LJ19)),"")</f>
        <v>2</v>
      </c>
      <c r="LL19" s="185" t="str">
        <f t="shared" si="70"/>
        <v>C</v>
      </c>
      <c r="LM19" s="184">
        <f>IF(COUNT(KZ19,LE19,LK19)=0,"",SUM(KZ19,LE19,LK19)/COUNT(KZ19,LE19,LK19))</f>
        <v>2.1111111111111112</v>
      </c>
      <c r="LN19" s="207" t="str">
        <f t="shared" si="71"/>
        <v>C</v>
      </c>
      <c r="LO19" s="129" t="s">
        <v>29</v>
      </c>
      <c r="LP19" s="130" t="s">
        <v>28</v>
      </c>
      <c r="LQ19" s="131"/>
      <c r="LR19" s="184">
        <f>IFERROR((((COUNTIF('Elève (5ème4)'!LO19:LQ19,"A"))*4)+((COUNTIF('Elève (5ème4)'!LO19:LQ19,"B"))*3)+((COUNTIF('Elève (5ème4)'!LO19:LQ19,"C"))*2)+((COUNTIF('Elève (5ème4)'!LO19:LQ19,"D"))*1))/(COUNTA(LO19:LQ19)),"")</f>
        <v>2.5</v>
      </c>
      <c r="LS19" s="185" t="str">
        <f t="shared" si="72"/>
        <v>C</v>
      </c>
      <c r="LT19" s="129" t="s">
        <v>29</v>
      </c>
      <c r="LU19" s="130" t="s">
        <v>28</v>
      </c>
      <c r="LV19" s="131" t="s">
        <v>29</v>
      </c>
      <c r="LW19" s="184">
        <f>IFERROR((((COUNTIF('Elève (5ème4)'!LT19:LV19,"A"))*4)+((COUNTIF('Elève (5ème4)'!LT19:LV19,"B"))*3)+((COUNTIF('Elève (5ème4)'!LT19:LV19,"C"))*2)+((COUNTIF('Elève (5ème4)'!LT19:LV19,"D"))*1))/(COUNTA(LT19:LV19)),"")</f>
        <v>2.3333333333333335</v>
      </c>
      <c r="LX19" s="185" t="str">
        <f t="shared" si="73"/>
        <v>C</v>
      </c>
      <c r="LY19" s="129" t="s">
        <v>27</v>
      </c>
      <c r="LZ19" s="130" t="s">
        <v>28</v>
      </c>
      <c r="MA19" s="131" t="s">
        <v>28</v>
      </c>
      <c r="MB19" s="135" t="s">
        <v>29</v>
      </c>
      <c r="MC19" s="184">
        <f>IFERROR((((COUNTIF('Elève (5ème4)'!LY19:MB19,"A"))*4)+((COUNTIF('Elève (5ème4)'!LY19:MB19,"B"))*3)+((COUNTIF('Elève (5ème4)'!LY19:MB19,"C"))*2)+((COUNTIF('Elève (5ème4)'!LY19:MB19,"D"))*1))/(COUNTA(LY19:MB19)),"")</f>
        <v>3</v>
      </c>
      <c r="MD19" s="185" t="str">
        <f t="shared" si="74"/>
        <v>B</v>
      </c>
      <c r="ME19" s="184">
        <f>IF(COUNT(LR19,LW19,MC19)=0,"",SUM(LR19,LW19,MC19)/COUNT(LR19,LW19,MC19))</f>
        <v>2.6111111111111112</v>
      </c>
      <c r="MF19" s="207" t="str">
        <f t="shared" si="75"/>
        <v>C</v>
      </c>
      <c r="MG19" s="129" t="s">
        <v>29</v>
      </c>
      <c r="MH19" s="130" t="s">
        <v>28</v>
      </c>
      <c r="MI19" s="131"/>
      <c r="MJ19" s="184">
        <f>IFERROR((((COUNTIF('Elève (5ème4)'!MG19:MI19,"A"))*4)+((COUNTIF('Elève (5ème4)'!MG19:MI19,"B"))*3)+((COUNTIF('Elève (5ème4)'!MG19:MI19,"C"))*2)+((COUNTIF('Elève (5ème4)'!MG19:MI19,"D"))*1))/(COUNTA(MG19:MI19)),"")</f>
        <v>2.5</v>
      </c>
      <c r="MK19" s="185" t="str">
        <f t="shared" si="76"/>
        <v>C</v>
      </c>
      <c r="ML19" s="129" t="s">
        <v>28</v>
      </c>
      <c r="MM19" s="130" t="s">
        <v>28</v>
      </c>
      <c r="MN19" s="131" t="s">
        <v>28</v>
      </c>
      <c r="MO19" s="184">
        <f>IFERROR((((COUNTIF('Elève (5ème4)'!ML19:MN19,"A"))*4)+((COUNTIF('Elève (5ème4)'!ML19:MN19,"B"))*3)+((COUNTIF('Elève (5ème4)'!ML19:MN19,"C"))*2)+((COUNTIF('Elève (5ème4)'!ML19:MN19,"D"))*1))/(COUNTA(ML19:MN19)),"")</f>
        <v>3</v>
      </c>
      <c r="MP19" s="185" t="str">
        <f t="shared" si="77"/>
        <v>B</v>
      </c>
      <c r="MQ19" s="129" t="s">
        <v>29</v>
      </c>
      <c r="MR19" s="130" t="s">
        <v>28</v>
      </c>
      <c r="MS19" s="131" t="s">
        <v>28</v>
      </c>
      <c r="MT19" s="135" t="s">
        <v>27</v>
      </c>
      <c r="MU19" s="184">
        <f>IFERROR((((COUNTIF('Elève (5ème4)'!MQ19:MT19,"A"))*4)+((COUNTIF('Elève (5ème4)'!MQ19:MT19,"B"))*3)+((COUNTIF('Elève (5ème4)'!MQ19:MT19,"C"))*2)+((COUNTIF('Elève (5ème4)'!MQ19:MT19,"D"))*1))/(COUNTA(MQ19:MT19)),"")</f>
        <v>3</v>
      </c>
      <c r="MV19" s="185" t="str">
        <f t="shared" si="78"/>
        <v>B</v>
      </c>
      <c r="MW19" s="184">
        <f>IF(COUNT(MJ19,MO19,MU19)=0,"",SUM(MJ19,MO19,MU19)/COUNT(MJ19,MO19,MU19))</f>
        <v>2.8333333333333335</v>
      </c>
      <c r="MX19" s="207" t="str">
        <f t="shared" si="79"/>
        <v>B</v>
      </c>
      <c r="MY19" s="129" t="s">
        <v>29</v>
      </c>
      <c r="MZ19" s="130" t="s">
        <v>28</v>
      </c>
      <c r="NA19" s="131"/>
      <c r="NB19" s="184">
        <f>IFERROR((((COUNTIF('Elève (5ème4)'!MY19:NA19,"A"))*4)+((COUNTIF('Elève (5ème4)'!MY19:NA19,"B"))*3)+((COUNTIF('Elève (5ème4)'!MY19:NA19,"C"))*2)+((COUNTIF('Elève (5ème4)'!MY19:NA19,"D"))*1))/(COUNTA(MY19:NA19)),"")</f>
        <v>2.5</v>
      </c>
      <c r="NC19" s="185" t="str">
        <f t="shared" si="80"/>
        <v>C</v>
      </c>
      <c r="ND19" s="129" t="s">
        <v>29</v>
      </c>
      <c r="NE19" s="130" t="s">
        <v>29</v>
      </c>
      <c r="NF19" s="131" t="s">
        <v>29</v>
      </c>
      <c r="NG19" s="184">
        <f>IFERROR((((COUNTIF('Elève (5ème4)'!ND19:NF19,"A"))*4)+((COUNTIF('Elève (5ème4)'!ND19:NF19,"B"))*3)+((COUNTIF('Elève (5ème4)'!ND19:NF19,"C"))*2)+((COUNTIF('Elève (5ème4)'!ND19:NF19,"D"))*1))/(COUNTA(ND19:NF19)),"")</f>
        <v>2</v>
      </c>
      <c r="NH19" s="185" t="str">
        <f t="shared" si="81"/>
        <v>C</v>
      </c>
      <c r="NI19" s="129" t="s">
        <v>29</v>
      </c>
      <c r="NJ19" s="130" t="s">
        <v>29</v>
      </c>
      <c r="NK19" s="131" t="s">
        <v>29</v>
      </c>
      <c r="NL19" s="135" t="s">
        <v>30</v>
      </c>
      <c r="NM19" s="184">
        <f>IFERROR((((COUNTIF('Elève (5ème4)'!NI19:NL19,"A"))*4)+((COUNTIF('Elève (5ème4)'!NI19:NL19,"B"))*3)+((COUNTIF('Elève (5ème4)'!NI19:NL19,"C"))*2)+((COUNTIF('Elève (5ème4)'!NI19:NL19,"D"))*1))/(COUNTA(NI19:NL19)),"")</f>
        <v>1.75</v>
      </c>
      <c r="NN19" s="185" t="str">
        <f t="shared" si="82"/>
        <v>C</v>
      </c>
      <c r="NO19" s="184">
        <f>IF(COUNT(NB19,NG19,NM19)=0,"",SUM(NB19,NG19,NM19)/COUNT(NB19,NG19,NM19))</f>
        <v>2.0833333333333335</v>
      </c>
      <c r="NP19" s="207" t="str">
        <f t="shared" si="83"/>
        <v>C</v>
      </c>
      <c r="NQ19" s="129" t="s">
        <v>27</v>
      </c>
      <c r="NR19" s="130" t="s">
        <v>29</v>
      </c>
      <c r="NS19" s="131"/>
      <c r="NT19" s="184">
        <f>IFERROR((((COUNTIF('Elève (5ème4)'!NQ19:NS19,"A"))*4)+((COUNTIF('Elève (5ème4)'!NQ19:NS19,"B"))*3)+((COUNTIF('Elève (5ème4)'!NQ19:NS19,"C"))*2)+((COUNTIF('Elève (5ème4)'!NQ19:NS19,"D"))*1))/(COUNTA(NQ19:NS19)),"")</f>
        <v>3</v>
      </c>
      <c r="NU19" s="185" t="str">
        <f t="shared" si="84"/>
        <v>B</v>
      </c>
      <c r="NV19" s="129" t="s">
        <v>27</v>
      </c>
      <c r="NW19" s="130" t="s">
        <v>28</v>
      </c>
      <c r="NX19" s="131" t="s">
        <v>28</v>
      </c>
      <c r="NY19" s="184">
        <f>IFERROR((((COUNTIF('Elève (5ème4)'!NV19:NX19,"A"))*4)+((COUNTIF('Elève (5ème4)'!NV19:NX19,"B"))*3)+((COUNTIF('Elève (5ème4)'!NV19:NX19,"C"))*2)+((COUNTIF('Elève (5ème4)'!NV19:NX19,"D"))*1))/(COUNTA(NV19:NX19)),"")</f>
        <v>3.3333333333333335</v>
      </c>
      <c r="NZ19" s="185" t="str">
        <f t="shared" si="85"/>
        <v>B</v>
      </c>
      <c r="OA19" s="129" t="s">
        <v>27</v>
      </c>
      <c r="OB19" s="130" t="s">
        <v>27</v>
      </c>
      <c r="OC19" s="131" t="s">
        <v>28</v>
      </c>
      <c r="OD19" s="135" t="s">
        <v>27</v>
      </c>
      <c r="OE19" s="184">
        <f>IFERROR((((COUNTIF('Elève (5ème4)'!OA19:OD19,"A"))*4)+((COUNTIF('Elève (5ème4)'!OA19:OD19,"B"))*3)+((COUNTIF('Elève (5ème4)'!OA19:OD19,"C"))*2)+((COUNTIF('Elève (5ème4)'!OA19:OD19,"D"))*1))/(COUNTA(OA19:OD19)),"")</f>
        <v>3.75</v>
      </c>
      <c r="OF19" s="185" t="str">
        <f t="shared" si="86"/>
        <v>A</v>
      </c>
      <c r="OG19" s="184">
        <f>IF(COUNT(NT19,NY19,OE19)=0,"",SUM(NT19,NY19,OE19)/COUNT(NT19,NY19,OE19))</f>
        <v>3.3611111111111112</v>
      </c>
      <c r="OH19" s="207" t="str">
        <f t="shared" si="87"/>
        <v>B</v>
      </c>
      <c r="OI19" s="129" t="s">
        <v>27</v>
      </c>
      <c r="OJ19" s="130" t="s">
        <v>28</v>
      </c>
      <c r="OK19" s="131"/>
      <c r="OL19" s="184">
        <f>IFERROR((((COUNTIF('Elève (5ème4)'!OI19:OK19,"A"))*4)+((COUNTIF('Elève (5ème4)'!OI19:OK19,"B"))*3)+((COUNTIF('Elève (5ème4)'!OI19:OK19,"C"))*2)+((COUNTIF('Elève (5ème4)'!OI19:OK19,"D"))*1))/(COUNTA(OI19:OK19)),"")</f>
        <v>3.5</v>
      </c>
      <c r="OM19" s="185" t="str">
        <f t="shared" si="88"/>
        <v>B</v>
      </c>
      <c r="ON19" s="129" t="s">
        <v>29</v>
      </c>
      <c r="OO19" s="130" t="s">
        <v>27</v>
      </c>
      <c r="OP19" s="131" t="s">
        <v>28</v>
      </c>
      <c r="OQ19" s="184">
        <f>IFERROR((((COUNTIF('Elève (5ème4)'!ON19:OP19,"A"))*4)+((COUNTIF('Elève (5ème4)'!ON19:OP19,"B"))*3)+((COUNTIF('Elève (5ème4)'!ON19:OP19,"C"))*2)+((COUNTIF('Elève (5ème4)'!ON19:OP19,"D"))*1))/(COUNTA(ON19:OP19)),"")</f>
        <v>3</v>
      </c>
      <c r="OR19" s="185" t="str">
        <f t="shared" si="89"/>
        <v>B</v>
      </c>
      <c r="OS19" s="129" t="s">
        <v>29</v>
      </c>
      <c r="OT19" s="130" t="s">
        <v>30</v>
      </c>
      <c r="OU19" s="131" t="s">
        <v>29</v>
      </c>
      <c r="OV19" s="135" t="s">
        <v>29</v>
      </c>
      <c r="OW19" s="184">
        <f>IFERROR((((COUNTIF('Elève (5ème4)'!OS19:OV19,"A"))*4)+((COUNTIF('Elève (5ème4)'!OS19:OV19,"B"))*3)+((COUNTIF('Elève (5ème4)'!OS19:OV19,"C"))*2)+((COUNTIF('Elève (5ème4)'!OS19:OV19,"D"))*1))/(COUNTA(OS19:OV19)),"")</f>
        <v>1.75</v>
      </c>
      <c r="OX19" s="185" t="str">
        <f t="shared" si="90"/>
        <v>C</v>
      </c>
      <c r="OY19" s="184">
        <f>IF(COUNT(OL19,OQ19,OW19)=0,"",SUM(OL19,OQ19,OW19)/COUNT(OL19,OQ19,OW19))</f>
        <v>2.75</v>
      </c>
      <c r="OZ19" s="207" t="str">
        <f t="shared" si="91"/>
        <v>C</v>
      </c>
      <c r="PA19" s="129" t="s">
        <v>29</v>
      </c>
      <c r="PB19" s="130" t="s">
        <v>28</v>
      </c>
      <c r="PC19" s="131"/>
      <c r="PD19" s="184">
        <f>IFERROR((((COUNTIF('Elève (5ème4)'!PA19:PC19,"A"))*4)+((COUNTIF('Elève (5ème4)'!PA19:PC19,"B"))*3)+((COUNTIF('Elève (5ème4)'!PA19:PC19,"C"))*2)+((COUNTIF('Elève (5ème4)'!PA19:PC19,"D"))*1))/(COUNTA(PA19:PC19)),"")</f>
        <v>2.5</v>
      </c>
      <c r="PE19" s="185" t="str">
        <f t="shared" si="92"/>
        <v>C</v>
      </c>
      <c r="PF19" s="129" t="s">
        <v>29</v>
      </c>
      <c r="PG19" s="130" t="s">
        <v>28</v>
      </c>
      <c r="PH19" s="131" t="s">
        <v>29</v>
      </c>
      <c r="PI19" s="184">
        <f>IFERROR((((COUNTIF('Elève (5ème4)'!PF19:PH19,"A"))*4)+((COUNTIF('Elève (5ème4)'!PF19:PH19,"B"))*3)+((COUNTIF('Elève (5ème4)'!PF19:PH19,"C"))*2)+((COUNTIF('Elève (5ème4)'!PF19:PH19,"D"))*1))/(COUNTA(PF19:PH19)),"")</f>
        <v>2.3333333333333335</v>
      </c>
      <c r="PJ19" s="185" t="str">
        <f t="shared" si="93"/>
        <v>C</v>
      </c>
      <c r="PK19" s="129" t="s">
        <v>27</v>
      </c>
      <c r="PL19" s="130"/>
      <c r="PM19" s="131" t="s">
        <v>29</v>
      </c>
      <c r="PN19" s="135" t="s">
        <v>29</v>
      </c>
      <c r="PO19" s="184">
        <f>IFERROR((((COUNTIF('Elève (5ème4)'!PK19:PN19,"A"))*4)+((COUNTIF('Elève (5ème4)'!PK19:PN19,"B"))*3)+((COUNTIF('Elève (5ème4)'!PK19:PN19,"C"))*2)+((COUNTIF('Elève (5ème4)'!PK19:PN19,"D"))*1))/(COUNTA(PK19:PN19)),"")</f>
        <v>2.6666666666666665</v>
      </c>
      <c r="PP19" s="185" t="str">
        <f t="shared" si="94"/>
        <v>C</v>
      </c>
      <c r="PQ19" s="184">
        <f>IF(COUNT(PD19,PI19,PO19)=0,"",SUM(PD19,PI19,PO19)/COUNT(PD19,PI19,PO19))</f>
        <v>2.5</v>
      </c>
      <c r="PR19" s="207" t="str">
        <f t="shared" si="95"/>
        <v>C</v>
      </c>
      <c r="PS19" s="129" t="s">
        <v>29</v>
      </c>
      <c r="PT19" s="130" t="s">
        <v>28</v>
      </c>
      <c r="PU19" s="131"/>
      <c r="PV19" s="184">
        <f>IFERROR((((COUNTIF('Elève (5ème4)'!PS19:PU19,"A"))*4)+((COUNTIF('Elève (5ème4)'!PS19:PU19,"B"))*3)+((COUNTIF('Elève (5ème4)'!PS19:PU19,"C"))*2)+((COUNTIF('Elève (5ème4)'!PS19:PU19,"D"))*1))/(COUNTA(PS19:PU19)),"")</f>
        <v>2.5</v>
      </c>
      <c r="PW19" s="185" t="str">
        <f t="shared" si="96"/>
        <v>C</v>
      </c>
      <c r="PX19" s="129" t="s">
        <v>29</v>
      </c>
      <c r="PY19" s="130" t="s">
        <v>28</v>
      </c>
      <c r="PZ19" s="131"/>
      <c r="QA19" s="184">
        <f>IFERROR((((COUNTIF('Elève (5ème4)'!PX19:PZ19,"A"))*4)+((COUNTIF('Elève (5ème4)'!PX19:PZ19,"B"))*3)+((COUNTIF('Elève (5ème4)'!PX19:PZ19,"C"))*2)+((COUNTIF('Elève (5ème4)'!PX19:PZ19,"D"))*1))/(COUNTA(PX19:PZ19)),"")</f>
        <v>2.5</v>
      </c>
      <c r="QB19" s="185" t="str">
        <f t="shared" si="97"/>
        <v>C</v>
      </c>
      <c r="QC19" s="129" t="s">
        <v>27</v>
      </c>
      <c r="QD19" s="130" t="s">
        <v>28</v>
      </c>
      <c r="QE19" s="131" t="s">
        <v>28</v>
      </c>
      <c r="QF19" s="135" t="s">
        <v>27</v>
      </c>
      <c r="QG19" s="184">
        <f>IFERROR((((COUNTIF('Elève (5ème4)'!QC19:QF19,"A"))*4)+((COUNTIF('Elève (5ème4)'!QC19:QF19,"B"))*3)+((COUNTIF('Elève (5ème4)'!QC19:QF19,"C"))*2)+((COUNTIF('Elève (5ème4)'!QC19:QF19,"D"))*1))/(COUNTA(QC19:QF19)),"")</f>
        <v>3.5</v>
      </c>
      <c r="QH19" s="185" t="str">
        <f t="shared" si="98"/>
        <v>B</v>
      </c>
      <c r="QI19" s="184">
        <f>IF(COUNT(PV19,QA19,QG19)=0,"",SUM(PV19,QA19,QG19)/COUNT(PV19,QA19,QG19))</f>
        <v>2.8333333333333335</v>
      </c>
      <c r="QJ19" s="207" t="str">
        <f t="shared" si="99"/>
        <v>B</v>
      </c>
      <c r="QK19" s="129" t="s">
        <v>28</v>
      </c>
      <c r="QL19" s="130" t="s">
        <v>29</v>
      </c>
      <c r="QM19" s="131"/>
      <c r="QN19" s="184">
        <f>IFERROR((((COUNTIF('Elève (5ème4)'!QK19:QM19,"A"))*4)+((COUNTIF('Elève (5ème4)'!QK19:QM19,"B"))*3)+((COUNTIF('Elève (5ème4)'!QK19:QM19,"C"))*2)+((COUNTIF('Elève (5ème4)'!QK19:QM19,"D"))*1))/(COUNTA(QK19:QM19)),"")</f>
        <v>2.5</v>
      </c>
      <c r="QO19" s="185" t="str">
        <f t="shared" si="100"/>
        <v>C</v>
      </c>
      <c r="QP19" s="129" t="s">
        <v>30</v>
      </c>
      <c r="QQ19" s="130" t="s">
        <v>28</v>
      </c>
      <c r="QR19" s="131"/>
      <c r="QS19" s="184">
        <f>IFERROR((((COUNTIF('Elève (5ème4)'!QP19:QR19,"A"))*4)+((COUNTIF('Elève (5ème4)'!QP19:QR19,"B"))*3)+((COUNTIF('Elève (5ème4)'!QP19:QR19,"C"))*2)+((COUNTIF('Elève (5ème4)'!QP19:QR19,"D"))*1))/(COUNTA(QP19:QR19)),"")</f>
        <v>2</v>
      </c>
      <c r="QT19" s="185" t="str">
        <f t="shared" si="101"/>
        <v>C</v>
      </c>
      <c r="QU19" s="129" t="s">
        <v>29</v>
      </c>
      <c r="QV19" s="130" t="s">
        <v>30</v>
      </c>
      <c r="QW19" s="131" t="s">
        <v>28</v>
      </c>
      <c r="QX19" s="135" t="s">
        <v>27</v>
      </c>
      <c r="QY19" s="184">
        <f>IFERROR((((COUNTIF('Elève (5ème4)'!QU19:QX19,"A"))*4)+((COUNTIF('Elève (5ème4)'!QU19:QX19,"B"))*3)+((COUNTIF('Elève (5ème4)'!QU19:QX19,"C"))*2)+((COUNTIF('Elève (5ème4)'!QU19:QX19,"D"))*1))/(COUNTA(QU19:QX19)),"")</f>
        <v>2.5</v>
      </c>
      <c r="QZ19" s="185" t="str">
        <f t="shared" si="102"/>
        <v>C</v>
      </c>
      <c r="RA19" s="184">
        <f>IF(COUNT(QN19,QS19,QY19)=0,"",SUM(QN19,QS19,QY19)/COUNT(QN19,QS19,QY19))</f>
        <v>2.3333333333333335</v>
      </c>
      <c r="RB19" s="207" t="str">
        <f t="shared" si="103"/>
        <v>C</v>
      </c>
      <c r="RC19" s="129" t="s">
        <v>28</v>
      </c>
      <c r="RD19" s="130" t="s">
        <v>28</v>
      </c>
      <c r="RE19" s="131"/>
      <c r="RF19" s="184">
        <f>IFERROR((((COUNTIF('Elève (5ème4)'!RC19:RE19,"A"))*4)+((COUNTIF('Elève (5ème4)'!RC19:RE19,"B"))*3)+((COUNTIF('Elève (5ème4)'!RC19:RE19,"C"))*2)+((COUNTIF('Elève (5ème4)'!RC19:RE19,"D"))*1))/(COUNTA(RC19:RE19)),"")</f>
        <v>3</v>
      </c>
      <c r="RG19" s="185" t="str">
        <f t="shared" si="104"/>
        <v>B</v>
      </c>
      <c r="RH19" s="129" t="s">
        <v>29</v>
      </c>
      <c r="RI19" s="130" t="s">
        <v>28</v>
      </c>
      <c r="RJ19" s="131" t="s">
        <v>29</v>
      </c>
      <c r="RK19" s="184">
        <f>IFERROR((((COUNTIF('Elève (5ème4)'!RH19:RJ19,"A"))*4)+((COUNTIF('Elève (5ème4)'!RH19:RJ19,"B"))*3)+((COUNTIF('Elève (5ème4)'!RH19:RJ19,"C"))*2)+((COUNTIF('Elève (5ème4)'!RH19:RJ19,"D"))*1))/(COUNTA(RH19:RJ19)),"")</f>
        <v>2.3333333333333335</v>
      </c>
      <c r="RL19" s="185" t="str">
        <f t="shared" si="105"/>
        <v>C</v>
      </c>
      <c r="RM19" s="129" t="s">
        <v>27</v>
      </c>
      <c r="RN19" s="130" t="s">
        <v>28</v>
      </c>
      <c r="RO19" s="131" t="s">
        <v>29</v>
      </c>
      <c r="RP19" s="135" t="s">
        <v>28</v>
      </c>
      <c r="RQ19" s="184">
        <f>IFERROR((((COUNTIF('Elève (5ème4)'!RM19:RP19,"A"))*4)+((COUNTIF('Elève (5ème4)'!RM19:RP19,"B"))*3)+((COUNTIF('Elève (5ème4)'!RM19:RP19,"C"))*2)+((COUNTIF('Elève (5ème4)'!RM19:RP19,"D"))*1))/(COUNTA(RM19:RP19)),"")</f>
        <v>3</v>
      </c>
      <c r="RR19" s="185" t="str">
        <f t="shared" si="106"/>
        <v>B</v>
      </c>
      <c r="RS19" s="184">
        <f>IF(COUNT(RF19,RK19,RQ19)=0,"",SUM(RF19,RK19,RQ19)/COUNT(RF19,RK19,RQ19))</f>
        <v>2.7777777777777781</v>
      </c>
      <c r="RT19" s="207" t="str">
        <f t="shared" si="107"/>
        <v>C</v>
      </c>
      <c r="RU19" s="129" t="s">
        <v>29</v>
      </c>
      <c r="RV19" s="130" t="s">
        <v>29</v>
      </c>
      <c r="RW19" s="131"/>
      <c r="RX19" s="184">
        <f>IFERROR((((COUNTIF('Elève (5ème4)'!RU19:RW19,"A"))*4)+((COUNTIF('Elève (5ème4)'!RU19:RW19,"B"))*3)+((COUNTIF('Elève (5ème4)'!RU19:RW19,"C"))*2)+((COUNTIF('Elève (5ème4)'!RU19:RW19,"D"))*1))/(COUNTA(RU19:RW19)),"")</f>
        <v>2</v>
      </c>
      <c r="RY19" s="185" t="str">
        <f t="shared" si="108"/>
        <v>C</v>
      </c>
      <c r="RZ19" s="129" t="s">
        <v>29</v>
      </c>
      <c r="SA19" s="130" t="s">
        <v>29</v>
      </c>
      <c r="SB19" s="131" t="s">
        <v>29</v>
      </c>
      <c r="SC19" s="184">
        <f>IFERROR((((COUNTIF('Elève (5ème4)'!RZ19:SB19,"A"))*4)+((COUNTIF('Elève (5ème4)'!RZ19:SB19,"B"))*3)+((COUNTIF('Elève (5ème4)'!RZ19:SB19,"C"))*2)+((COUNTIF('Elève (5ème4)'!RZ19:SB19,"D"))*1))/(COUNTA(RZ19:SB19)),"")</f>
        <v>2</v>
      </c>
      <c r="SD19" s="185" t="str">
        <f t="shared" si="109"/>
        <v>C</v>
      </c>
      <c r="SE19" s="129" t="s">
        <v>27</v>
      </c>
      <c r="SF19" s="130" t="s">
        <v>28</v>
      </c>
      <c r="SG19" s="131" t="s">
        <v>28</v>
      </c>
      <c r="SH19" s="135"/>
      <c r="SI19" s="184">
        <f>IFERROR((((COUNTIF('Elève (5ème4)'!SE19:SH19,"A"))*4)+((COUNTIF('Elève (5ème4)'!SE19:SH19,"B"))*3)+((COUNTIF('Elève (5ème4)'!SE19:SH19,"C"))*2)+((COUNTIF('Elève (5ème4)'!SE19:SH19,"D"))*1))/(COUNTA(SE19:SH19)),"")</f>
        <v>3.3333333333333335</v>
      </c>
      <c r="SJ19" s="185" t="str">
        <f t="shared" si="110"/>
        <v>B</v>
      </c>
      <c r="SK19" s="184">
        <f>IF(COUNT(RX19,SC19,SI19)=0,"",SUM(RX19,SC19,SI19)/COUNT(RX19,SC19,SI19))</f>
        <v>2.4444444444444446</v>
      </c>
      <c r="SL19" s="207" t="str">
        <f t="shared" si="111"/>
        <v>C</v>
      </c>
      <c r="SM19" s="129"/>
      <c r="SN19" s="130"/>
      <c r="SO19" s="131"/>
      <c r="SP19" s="132" t="str">
        <f>IFERROR((((COUNTIF('Elève (5ème4)'!SM19:SO19,"A"))*4)+((COUNTIF('Elève (5ème4)'!SM19:SO19,"B"))*3)+((COUNTIF('Elève (5ème4)'!SM19:SO19,"C"))*2)+((COUNTIF('Elève (5ème4)'!SM19:SO19,"D"))*1))/(COUNTA(SM19:SO19)),"")</f>
        <v/>
      </c>
      <c r="SQ19" s="133" t="str">
        <f t="shared" si="112"/>
        <v/>
      </c>
      <c r="SR19" s="129"/>
      <c r="SS19" s="130"/>
      <c r="ST19" s="131"/>
      <c r="SU19" s="132" t="str">
        <f>IFERROR((((COUNTIF('Elève (5ème4)'!SR19:ST19,"A"))*4)+((COUNTIF('Elève (5ème4)'!SR19:ST19,"B"))*3)+((COUNTIF('Elève (5ème4)'!SR19:ST19,"C"))*2)+((COUNTIF('Elève (5ème4)'!SR19:ST19,"D"))*1))/(COUNTA(SR19:ST19)),"")</f>
        <v/>
      </c>
      <c r="SV19" s="133" t="str">
        <f t="shared" si="113"/>
        <v/>
      </c>
      <c r="SW19" s="129"/>
      <c r="SX19" s="130"/>
      <c r="SY19" s="135"/>
      <c r="SZ19" s="132" t="str">
        <f>IFERROR((((COUNTIF('Elève (5ème4)'!SW19:SY19,"A"))*4)+((COUNTIF('Elève (5ème4)'!SW19:SY19,"B"))*3)+((COUNTIF('Elève (5ème4)'!SW19:SY19,"C"))*2)+((COUNTIF('Elève (5ème4)'!SW19:SY19,"D"))*1))/(COUNTA(SW19:SY19)),"")</f>
        <v/>
      </c>
      <c r="TA19" s="133" t="str">
        <f t="shared" si="114"/>
        <v/>
      </c>
      <c r="TB19" s="132" t="str">
        <f>IF(COUNT(SP19,SU19,SZ19)=0,"",SUM(SP19,SU19,SZ19)/COUNT(SP19,SU19,SZ19))</f>
        <v/>
      </c>
      <c r="TC19" s="134" t="str">
        <f t="shared" si="115"/>
        <v/>
      </c>
      <c r="TD19" s="129"/>
      <c r="TE19" s="130"/>
      <c r="TF19" s="131"/>
      <c r="TG19" s="132" t="str">
        <f>IFERROR((((COUNTIF('Elève (5ème4)'!TD19:TF19,"A"))*4)+((COUNTIF('Elève (5ème4)'!TD19:TF19,"B"))*3)+((COUNTIF('Elève (5ème4)'!TD19:TF19,"C"))*2)+((COUNTIF('Elève (5ème4)'!TD19:TF19,"D"))*1))/(COUNTA(TD19:TF19)),"")</f>
        <v/>
      </c>
      <c r="TH19" s="133" t="str">
        <f t="shared" si="116"/>
        <v/>
      </c>
      <c r="TI19" s="129"/>
      <c r="TJ19" s="130"/>
      <c r="TK19" s="131"/>
      <c r="TL19" s="132" t="str">
        <f>IFERROR((((COUNTIF('Elève (5ème4)'!TI19:TK19,"A"))*4)+((COUNTIF('Elève (5ème4)'!TI19:TK19,"B"))*3)+((COUNTIF('Elève (5ème4)'!TI19:TK19,"C"))*2)+((COUNTIF('Elève (5ème4)'!TI19:TK19,"D"))*1))/(COUNTA(TI19:TK19)),"")</f>
        <v/>
      </c>
      <c r="TM19" s="133" t="str">
        <f t="shared" si="117"/>
        <v/>
      </c>
      <c r="TN19" s="129"/>
      <c r="TO19" s="130"/>
      <c r="TP19" s="135"/>
      <c r="TQ19" s="132" t="str">
        <f>IFERROR((((COUNTIF('Elève (5ème4)'!TN19:TP19,"A"))*4)+((COUNTIF('Elève (5ème4)'!TN19:TP19,"B"))*3)+((COUNTIF('Elève (5ème4)'!TN19:TP19,"C"))*2)+((COUNTIF('Elève (5ème4)'!TN19:TP19,"D"))*1))/(COUNTA(TN19:TP19)),"")</f>
        <v/>
      </c>
      <c r="TR19" s="133" t="str">
        <f t="shared" si="118"/>
        <v/>
      </c>
      <c r="TS19" s="132" t="str">
        <f>IF(COUNT(TG19,TL19,TQ19)=0,"",SUM(TG19,TL19,TQ19)/COUNT(TG19,TL19,TQ19))</f>
        <v/>
      </c>
      <c r="TT19" s="134" t="str">
        <f t="shared" si="119"/>
        <v/>
      </c>
    </row>
    <row r="20" spans="1:540" s="114" customFormat="1" ht="16.5" customHeight="1" thickBot="1" x14ac:dyDescent="0.3">
      <c r="A20" s="164" t="s">
        <v>24</v>
      </c>
      <c r="B20" s="139">
        <v>1</v>
      </c>
      <c r="C20" s="171"/>
      <c r="D20" s="84"/>
      <c r="E20" s="104"/>
      <c r="F20" s="178">
        <f>IF(COUNT(F21)=0,"",SUM(F21)/COUNT(F21))</f>
        <v>1</v>
      </c>
      <c r="G20" s="179" t="str">
        <f t="shared" si="0"/>
        <v>D</v>
      </c>
      <c r="H20" s="171"/>
      <c r="I20" s="84"/>
      <c r="J20" s="84"/>
      <c r="K20" s="178" t="str">
        <f>IF(COUNT(K21)=0,"",SUM(K21)/COUNT(K21))</f>
        <v/>
      </c>
      <c r="L20" s="194" t="str">
        <f t="shared" si="1"/>
        <v/>
      </c>
      <c r="M20" s="172"/>
      <c r="N20" s="109"/>
      <c r="O20" s="109"/>
      <c r="P20" s="110"/>
      <c r="Q20" s="178" t="str">
        <f>IF(COUNT(Q21)=0,"",SUM(Q21)/COUNT(Q21))</f>
        <v/>
      </c>
      <c r="R20" s="202" t="str">
        <f t="shared" si="2"/>
        <v/>
      </c>
      <c r="S20" s="203">
        <f>IF(COUNT(S21)=0,"",SUM(S21)/COUNT(S21))</f>
        <v>1</v>
      </c>
      <c r="T20" s="204" t="str">
        <f t="shared" si="3"/>
        <v>D</v>
      </c>
      <c r="U20" s="215"/>
      <c r="V20" s="84"/>
      <c r="W20" s="104"/>
      <c r="X20" s="178">
        <f>IF(COUNT(X21)=0,"",SUM(X21)/COUNT(X21))</f>
        <v>1</v>
      </c>
      <c r="Y20" s="179" t="str">
        <f t="shared" si="4"/>
        <v>D</v>
      </c>
      <c r="Z20" s="171"/>
      <c r="AA20" s="84"/>
      <c r="AB20" s="84"/>
      <c r="AC20" s="178" t="str">
        <f>IF(COUNT(AC21)=0,"",SUM(AC21)/COUNT(AC21))</f>
        <v/>
      </c>
      <c r="AD20" s="194" t="str">
        <f t="shared" si="5"/>
        <v/>
      </c>
      <c r="AE20" s="172"/>
      <c r="AF20" s="109"/>
      <c r="AG20" s="109"/>
      <c r="AH20" s="110"/>
      <c r="AI20" s="178" t="str">
        <f>IF(COUNT(AI21)=0,"",SUM(AI21)/COUNT(AI21))</f>
        <v/>
      </c>
      <c r="AJ20" s="202" t="str">
        <f t="shared" si="6"/>
        <v/>
      </c>
      <c r="AK20" s="203">
        <f>IF(COUNT(AK21)=0,"",SUM(AK21)/COUNT(AK21))</f>
        <v>1</v>
      </c>
      <c r="AL20" s="204" t="str">
        <f t="shared" si="7"/>
        <v>D</v>
      </c>
      <c r="AM20" s="215"/>
      <c r="AN20" s="84"/>
      <c r="AO20" s="104"/>
      <c r="AP20" s="178">
        <f>IF(COUNT(AP21)=0,"",SUM(AP21)/COUNT(AP21))</f>
        <v>1</v>
      </c>
      <c r="AQ20" s="179" t="str">
        <f t="shared" si="8"/>
        <v>D</v>
      </c>
      <c r="AR20" s="171"/>
      <c r="AS20" s="84"/>
      <c r="AT20" s="84"/>
      <c r="AU20" s="178" t="str">
        <f>IF(COUNT(AU21)=0,"",SUM(AU21)/COUNT(AU21))</f>
        <v/>
      </c>
      <c r="AV20" s="194" t="str">
        <f t="shared" si="9"/>
        <v/>
      </c>
      <c r="AW20" s="172"/>
      <c r="AX20" s="109"/>
      <c r="AY20" s="109"/>
      <c r="AZ20" s="110"/>
      <c r="BA20" s="178" t="str">
        <f>IF(COUNT(BA21)=0,"",SUM(BA21)/COUNT(BA21))</f>
        <v/>
      </c>
      <c r="BB20" s="202" t="str">
        <f t="shared" si="10"/>
        <v/>
      </c>
      <c r="BC20" s="203">
        <f>IF(COUNT(BC21)=0,"",SUM(BC21)/COUNT(BC21))</f>
        <v>1</v>
      </c>
      <c r="BD20" s="204" t="str">
        <f t="shared" si="11"/>
        <v>D</v>
      </c>
      <c r="BE20" s="215"/>
      <c r="BF20" s="84"/>
      <c r="BG20" s="104"/>
      <c r="BH20" s="178">
        <f>IF(COUNT(BH21)=0,"",SUM(BH21)/COUNT(BH21))</f>
        <v>1</v>
      </c>
      <c r="BI20" s="179" t="str">
        <f t="shared" si="12"/>
        <v>D</v>
      </c>
      <c r="BJ20" s="171"/>
      <c r="BK20" s="84"/>
      <c r="BL20" s="84"/>
      <c r="BM20" s="178" t="str">
        <f>IF(COUNT(BM21)=0,"",SUM(BM21)/COUNT(BM21))</f>
        <v/>
      </c>
      <c r="BN20" s="194" t="str">
        <f t="shared" si="13"/>
        <v/>
      </c>
      <c r="BO20" s="172"/>
      <c r="BP20" s="109"/>
      <c r="BQ20" s="109"/>
      <c r="BR20" s="110"/>
      <c r="BS20" s="178" t="str">
        <f>IF(COUNT(BS21)=0,"",SUM(BS21)/COUNT(BS21))</f>
        <v/>
      </c>
      <c r="BT20" s="202" t="str">
        <f t="shared" si="14"/>
        <v/>
      </c>
      <c r="BU20" s="203">
        <f>IF(COUNT(BU21)=0,"",SUM(BU21)/COUNT(BU21))</f>
        <v>1</v>
      </c>
      <c r="BV20" s="204" t="str">
        <f t="shared" si="15"/>
        <v>D</v>
      </c>
      <c r="BW20" s="215"/>
      <c r="BX20" s="84"/>
      <c r="BY20" s="104"/>
      <c r="BZ20" s="178">
        <f>IF(COUNT(BZ21)=0,"",SUM(BZ21)/COUNT(BZ21))</f>
        <v>1</v>
      </c>
      <c r="CA20" s="179" t="str">
        <f t="shared" si="16"/>
        <v>D</v>
      </c>
      <c r="CB20" s="171"/>
      <c r="CC20" s="84"/>
      <c r="CD20" s="84"/>
      <c r="CE20" s="178" t="str">
        <f>IF(COUNT(CE21)=0,"",SUM(CE21)/COUNT(CE21))</f>
        <v/>
      </c>
      <c r="CF20" s="194" t="str">
        <f t="shared" si="17"/>
        <v/>
      </c>
      <c r="CG20" s="172"/>
      <c r="CH20" s="109"/>
      <c r="CI20" s="109"/>
      <c r="CJ20" s="110"/>
      <c r="CK20" s="178" t="str">
        <f>IF(COUNT(CK21)=0,"",SUM(CK21)/COUNT(CK21))</f>
        <v/>
      </c>
      <c r="CL20" s="202" t="str">
        <f t="shared" si="18"/>
        <v/>
      </c>
      <c r="CM20" s="203">
        <f>IF(COUNT(CM21)=0,"",SUM(CM21)/COUNT(CM21))</f>
        <v>1</v>
      </c>
      <c r="CN20" s="204" t="str">
        <f t="shared" si="19"/>
        <v>D</v>
      </c>
      <c r="CO20" s="215"/>
      <c r="CP20" s="84"/>
      <c r="CQ20" s="104"/>
      <c r="CR20" s="178">
        <f>IF(COUNT(CR21)=0,"",SUM(CR21)/COUNT(CR21))</f>
        <v>1</v>
      </c>
      <c r="CS20" s="179" t="str">
        <f t="shared" si="20"/>
        <v>D</v>
      </c>
      <c r="CT20" s="171"/>
      <c r="CU20" s="84"/>
      <c r="CV20" s="84"/>
      <c r="CW20" s="178" t="str">
        <f>IF(COUNT(CW21)=0,"",SUM(CW21)/COUNT(CW21))</f>
        <v/>
      </c>
      <c r="CX20" s="194" t="str">
        <f t="shared" si="21"/>
        <v/>
      </c>
      <c r="CY20" s="172"/>
      <c r="CZ20" s="109"/>
      <c r="DA20" s="109"/>
      <c r="DB20" s="110"/>
      <c r="DC20" s="178" t="str">
        <f>IF(COUNT(DC21)=0,"",SUM(DC21)/COUNT(DC21))</f>
        <v/>
      </c>
      <c r="DD20" s="202" t="str">
        <f t="shared" si="22"/>
        <v/>
      </c>
      <c r="DE20" s="203">
        <f>IF(COUNT(DE21)=0,"",SUM(DE21)/COUNT(DE21))</f>
        <v>1</v>
      </c>
      <c r="DF20" s="204" t="str">
        <f t="shared" si="23"/>
        <v>D</v>
      </c>
      <c r="DG20" s="215"/>
      <c r="DH20" s="84"/>
      <c r="DI20" s="104"/>
      <c r="DJ20" s="178">
        <f>IF(COUNT(DJ21)=0,"",SUM(DJ21)/COUNT(DJ21))</f>
        <v>2</v>
      </c>
      <c r="DK20" s="179" t="str">
        <f t="shared" si="24"/>
        <v>C</v>
      </c>
      <c r="DL20" s="171"/>
      <c r="DM20" s="84"/>
      <c r="DN20" s="84"/>
      <c r="DO20" s="178" t="str">
        <f>IF(COUNT(DO21)=0,"",SUM(DO21)/COUNT(DO21))</f>
        <v/>
      </c>
      <c r="DP20" s="194" t="str">
        <f t="shared" si="25"/>
        <v/>
      </c>
      <c r="DQ20" s="172"/>
      <c r="DR20" s="109"/>
      <c r="DS20" s="109"/>
      <c r="DT20" s="110"/>
      <c r="DU20" s="178" t="str">
        <f>IF(COUNT(DU21)=0,"",SUM(DU21)/COUNT(DU21))</f>
        <v/>
      </c>
      <c r="DV20" s="202" t="str">
        <f t="shared" si="26"/>
        <v/>
      </c>
      <c r="DW20" s="203">
        <f>IF(COUNT(DW21)=0,"",SUM(DW21)/COUNT(DW21))</f>
        <v>2</v>
      </c>
      <c r="DX20" s="204" t="str">
        <f t="shared" si="27"/>
        <v>C</v>
      </c>
      <c r="DY20" s="215"/>
      <c r="DZ20" s="84"/>
      <c r="EA20" s="104"/>
      <c r="EB20" s="178">
        <f>IF(COUNT(EB21)=0,"",SUM(EB21)/COUNT(EB21))</f>
        <v>2</v>
      </c>
      <c r="EC20" s="179" t="str">
        <f t="shared" si="28"/>
        <v>C</v>
      </c>
      <c r="ED20" s="171"/>
      <c r="EE20" s="84"/>
      <c r="EF20" s="84"/>
      <c r="EG20" s="178" t="str">
        <f>IF(COUNT(EG21)=0,"",SUM(EG21)/COUNT(EG21))</f>
        <v/>
      </c>
      <c r="EH20" s="194" t="str">
        <f t="shared" si="29"/>
        <v/>
      </c>
      <c r="EI20" s="172"/>
      <c r="EJ20" s="109"/>
      <c r="EK20" s="109"/>
      <c r="EL20" s="110"/>
      <c r="EM20" s="178" t="str">
        <f>IF(COUNT(EM21)=0,"",SUM(EM21)/COUNT(EM21))</f>
        <v/>
      </c>
      <c r="EN20" s="202" t="str">
        <f t="shared" si="30"/>
        <v/>
      </c>
      <c r="EO20" s="203">
        <f>IF(COUNT(EO21)=0,"",SUM(EO21)/COUNT(EO21))</f>
        <v>2</v>
      </c>
      <c r="EP20" s="204" t="str">
        <f t="shared" si="31"/>
        <v>C</v>
      </c>
      <c r="EQ20" s="215"/>
      <c r="ER20" s="84"/>
      <c r="ES20" s="104"/>
      <c r="ET20" s="178">
        <f>IF(COUNT(ET21)=0,"",SUM(ET21)/COUNT(ET21))</f>
        <v>2</v>
      </c>
      <c r="EU20" s="179" t="str">
        <f t="shared" si="32"/>
        <v>C</v>
      </c>
      <c r="EV20" s="171"/>
      <c r="EW20" s="84"/>
      <c r="EX20" s="84"/>
      <c r="EY20" s="178" t="str">
        <f>IF(COUNT(EY21)=0,"",SUM(EY21)/COUNT(EY21))</f>
        <v/>
      </c>
      <c r="EZ20" s="194" t="str">
        <f t="shared" si="33"/>
        <v/>
      </c>
      <c r="FA20" s="172"/>
      <c r="FB20" s="109"/>
      <c r="FC20" s="109"/>
      <c r="FD20" s="110"/>
      <c r="FE20" s="178" t="str">
        <f>IF(COUNT(FE21)=0,"",SUM(FE21)/COUNT(FE21))</f>
        <v/>
      </c>
      <c r="FF20" s="202" t="str">
        <f t="shared" si="34"/>
        <v/>
      </c>
      <c r="FG20" s="203">
        <f>IF(COUNT(FG21)=0,"",SUM(FG21)/COUNT(FG21))</f>
        <v>2</v>
      </c>
      <c r="FH20" s="204" t="str">
        <f t="shared" si="35"/>
        <v>C</v>
      </c>
      <c r="FI20" s="215"/>
      <c r="FJ20" s="84"/>
      <c r="FK20" s="104"/>
      <c r="FL20" s="178">
        <f>IF(COUNT(FL21)=0,"",SUM(FL21)/COUNT(FL21))</f>
        <v>1</v>
      </c>
      <c r="FM20" s="179" t="str">
        <f t="shared" si="36"/>
        <v>D</v>
      </c>
      <c r="FN20" s="171"/>
      <c r="FO20" s="84"/>
      <c r="FP20" s="84"/>
      <c r="FQ20" s="178" t="str">
        <f>IF(COUNT(FQ21)=0,"",SUM(FQ21)/COUNT(FQ21))</f>
        <v/>
      </c>
      <c r="FR20" s="194" t="str">
        <f t="shared" si="37"/>
        <v/>
      </c>
      <c r="FS20" s="172"/>
      <c r="FT20" s="109"/>
      <c r="FU20" s="109"/>
      <c r="FV20" s="110"/>
      <c r="FW20" s="178" t="str">
        <f>IF(COUNT(FW21)=0,"",SUM(FW21)/COUNT(FW21))</f>
        <v/>
      </c>
      <c r="FX20" s="202" t="str">
        <f t="shared" si="38"/>
        <v/>
      </c>
      <c r="FY20" s="203">
        <f>IF(COUNT(FY21)=0,"",SUM(FY21)/COUNT(FY21))</f>
        <v>1</v>
      </c>
      <c r="FZ20" s="204" t="str">
        <f t="shared" si="39"/>
        <v>D</v>
      </c>
      <c r="GA20" s="215"/>
      <c r="GB20" s="84"/>
      <c r="GC20" s="104"/>
      <c r="GD20" s="178">
        <f>IF(COUNT(GD21)=0,"",SUM(GD21)/COUNT(GD21))</f>
        <v>1</v>
      </c>
      <c r="GE20" s="179" t="str">
        <f t="shared" si="40"/>
        <v>D</v>
      </c>
      <c r="GF20" s="171"/>
      <c r="GG20" s="84"/>
      <c r="GH20" s="84"/>
      <c r="GI20" s="178" t="str">
        <f>IF(COUNT(GI21)=0,"",SUM(GI21)/COUNT(GI21))</f>
        <v/>
      </c>
      <c r="GJ20" s="194" t="str">
        <f t="shared" si="41"/>
        <v/>
      </c>
      <c r="GK20" s="172"/>
      <c r="GL20" s="109"/>
      <c r="GM20" s="109"/>
      <c r="GN20" s="110"/>
      <c r="GO20" s="178" t="str">
        <f>IF(COUNT(GO21)=0,"",SUM(GO21)/COUNT(GO21))</f>
        <v/>
      </c>
      <c r="GP20" s="202" t="str">
        <f t="shared" si="42"/>
        <v/>
      </c>
      <c r="GQ20" s="203">
        <f>IF(COUNT(GQ21)=0,"",SUM(GQ21)/COUNT(GQ21))</f>
        <v>1</v>
      </c>
      <c r="GR20" s="204" t="str">
        <f t="shared" si="43"/>
        <v>D</v>
      </c>
      <c r="GS20" s="215"/>
      <c r="GT20" s="84"/>
      <c r="GU20" s="104"/>
      <c r="GV20" s="178">
        <f>IF(COUNT(GV21)=0,"",SUM(GV21)/COUNT(GV21))</f>
        <v>2</v>
      </c>
      <c r="GW20" s="179" t="str">
        <f t="shared" si="44"/>
        <v>C</v>
      </c>
      <c r="GX20" s="171"/>
      <c r="GY20" s="84"/>
      <c r="GZ20" s="84"/>
      <c r="HA20" s="178" t="str">
        <f>IF(COUNT(HA21)=0,"",SUM(HA21)/COUNT(HA21))</f>
        <v/>
      </c>
      <c r="HB20" s="194" t="str">
        <f t="shared" si="45"/>
        <v/>
      </c>
      <c r="HC20" s="172"/>
      <c r="HD20" s="109"/>
      <c r="HE20" s="109"/>
      <c r="HF20" s="110"/>
      <c r="HG20" s="178" t="str">
        <f>IF(COUNT(HG21)=0,"",SUM(HG21)/COUNT(HG21))</f>
        <v/>
      </c>
      <c r="HH20" s="202" t="str">
        <f t="shared" si="46"/>
        <v/>
      </c>
      <c r="HI20" s="203">
        <f>IF(COUNT(HI21)=0,"",SUM(HI21)/COUNT(HI21))</f>
        <v>2</v>
      </c>
      <c r="HJ20" s="204" t="str">
        <f t="shared" si="47"/>
        <v>C</v>
      </c>
      <c r="HK20" s="215"/>
      <c r="HL20" s="84"/>
      <c r="HM20" s="104"/>
      <c r="HN20" s="178">
        <f>IF(COUNT(HN21)=0,"",SUM(HN21)/COUNT(HN21))</f>
        <v>4</v>
      </c>
      <c r="HO20" s="179" t="str">
        <f t="shared" si="48"/>
        <v>A</v>
      </c>
      <c r="HP20" s="171"/>
      <c r="HQ20" s="84"/>
      <c r="HR20" s="84"/>
      <c r="HS20" s="178" t="str">
        <f>IF(COUNT(HS21)=0,"",SUM(HS21)/COUNT(HS21))</f>
        <v/>
      </c>
      <c r="HT20" s="194" t="str">
        <f t="shared" si="49"/>
        <v/>
      </c>
      <c r="HU20" s="172"/>
      <c r="HV20" s="109"/>
      <c r="HW20" s="109"/>
      <c r="HX20" s="110"/>
      <c r="HY20" s="178" t="str">
        <f>IF(COUNT(HY21)=0,"",SUM(HY21)/COUNT(HY21))</f>
        <v/>
      </c>
      <c r="HZ20" s="202" t="str">
        <f t="shared" si="50"/>
        <v/>
      </c>
      <c r="IA20" s="203">
        <f>IF(COUNT(IA21)=0,"",SUM(IA21)/COUNT(IA21))</f>
        <v>4</v>
      </c>
      <c r="IB20" s="204" t="str">
        <f t="shared" si="51"/>
        <v>A</v>
      </c>
      <c r="IC20" s="215"/>
      <c r="ID20" s="84"/>
      <c r="IE20" s="104"/>
      <c r="IF20" s="178">
        <f>IF(COUNT(IF21)=0,"",SUM(IF21)/COUNT(IF21))</f>
        <v>3</v>
      </c>
      <c r="IG20" s="179" t="str">
        <f t="shared" si="52"/>
        <v>B</v>
      </c>
      <c r="IH20" s="171"/>
      <c r="II20" s="84"/>
      <c r="IJ20" s="84"/>
      <c r="IK20" s="178" t="str">
        <f>IF(COUNT(IK21)=0,"",SUM(IK21)/COUNT(IK21))</f>
        <v/>
      </c>
      <c r="IL20" s="194" t="str">
        <f t="shared" si="53"/>
        <v/>
      </c>
      <c r="IM20" s="172"/>
      <c r="IN20" s="109"/>
      <c r="IO20" s="109"/>
      <c r="IP20" s="110"/>
      <c r="IQ20" s="178" t="str">
        <f>IF(COUNT(IQ21)=0,"",SUM(IQ21)/COUNT(IQ21))</f>
        <v/>
      </c>
      <c r="IR20" s="202" t="str">
        <f t="shared" si="54"/>
        <v/>
      </c>
      <c r="IS20" s="203">
        <f>IF(COUNT(IS21)=0,"",SUM(IS21)/COUNT(IS21))</f>
        <v>3</v>
      </c>
      <c r="IT20" s="204" t="str">
        <f t="shared" si="55"/>
        <v>B</v>
      </c>
      <c r="IU20" s="215"/>
      <c r="IV20" s="84"/>
      <c r="IW20" s="104"/>
      <c r="IX20" s="178">
        <f>IF(COUNT(IX21)=0,"",SUM(IX21)/COUNT(IX21))</f>
        <v>1</v>
      </c>
      <c r="IY20" s="179" t="str">
        <f t="shared" si="56"/>
        <v>D</v>
      </c>
      <c r="IZ20" s="171"/>
      <c r="JA20" s="84"/>
      <c r="JB20" s="84"/>
      <c r="JC20" s="178" t="str">
        <f>IF(COUNT(JC21)=0,"",SUM(JC21)/COUNT(JC21))</f>
        <v/>
      </c>
      <c r="JD20" s="194" t="str">
        <f t="shared" si="57"/>
        <v/>
      </c>
      <c r="JE20" s="172"/>
      <c r="JF20" s="109"/>
      <c r="JG20" s="109"/>
      <c r="JH20" s="110"/>
      <c r="JI20" s="178" t="str">
        <f>IF(COUNT(JI21)=0,"",SUM(JI21)/COUNT(JI21))</f>
        <v/>
      </c>
      <c r="JJ20" s="202" t="str">
        <f t="shared" si="58"/>
        <v/>
      </c>
      <c r="JK20" s="203">
        <f>IF(COUNT(JK21)=0,"",SUM(JK21)/COUNT(JK21))</f>
        <v>1</v>
      </c>
      <c r="JL20" s="204" t="str">
        <f t="shared" si="59"/>
        <v>D</v>
      </c>
      <c r="JM20" s="215"/>
      <c r="JN20" s="84"/>
      <c r="JO20" s="104"/>
      <c r="JP20" s="178">
        <f>IF(COUNT(JP21)=0,"",SUM(JP21)/COUNT(JP21))</f>
        <v>1</v>
      </c>
      <c r="JQ20" s="179" t="str">
        <f t="shared" si="60"/>
        <v>D</v>
      </c>
      <c r="JR20" s="171"/>
      <c r="JS20" s="84"/>
      <c r="JT20" s="84"/>
      <c r="JU20" s="178" t="str">
        <f>IF(COUNT(JU21)=0,"",SUM(JU21)/COUNT(JU21))</f>
        <v/>
      </c>
      <c r="JV20" s="194" t="str">
        <f t="shared" si="61"/>
        <v/>
      </c>
      <c r="JW20" s="172"/>
      <c r="JX20" s="109"/>
      <c r="JY20" s="109"/>
      <c r="JZ20" s="110"/>
      <c r="KA20" s="178" t="str">
        <f>IF(COUNT(KA21)=0,"",SUM(KA21)/COUNT(KA21))</f>
        <v/>
      </c>
      <c r="KB20" s="202" t="str">
        <f t="shared" si="62"/>
        <v/>
      </c>
      <c r="KC20" s="203">
        <f>IF(COUNT(KC21)=0,"",SUM(KC21)/COUNT(KC21))</f>
        <v>1</v>
      </c>
      <c r="KD20" s="204" t="str">
        <f t="shared" si="63"/>
        <v>D</v>
      </c>
      <c r="KE20" s="215"/>
      <c r="KF20" s="84"/>
      <c r="KG20" s="104"/>
      <c r="KH20" s="178">
        <f>IF(COUNT(KH21)=0,"",SUM(KH21)/COUNT(KH21))</f>
        <v>4</v>
      </c>
      <c r="KI20" s="179" t="str">
        <f t="shared" si="64"/>
        <v>A</v>
      </c>
      <c r="KJ20" s="171"/>
      <c r="KK20" s="84"/>
      <c r="KL20" s="84"/>
      <c r="KM20" s="178" t="str">
        <f>IF(COUNT(KM21)=0,"",SUM(KM21)/COUNT(KM21))</f>
        <v/>
      </c>
      <c r="KN20" s="194" t="str">
        <f t="shared" si="65"/>
        <v/>
      </c>
      <c r="KO20" s="172"/>
      <c r="KP20" s="109"/>
      <c r="KQ20" s="109"/>
      <c r="KR20" s="110"/>
      <c r="KS20" s="178" t="str">
        <f>IF(COUNT(KS21)=0,"",SUM(KS21)/COUNT(KS21))</f>
        <v/>
      </c>
      <c r="KT20" s="202" t="str">
        <f t="shared" si="66"/>
        <v/>
      </c>
      <c r="KU20" s="203">
        <f>IF(COUNT(KU21)=0,"",SUM(KU21)/COUNT(KU21))</f>
        <v>4</v>
      </c>
      <c r="KV20" s="204" t="str">
        <f t="shared" si="67"/>
        <v>A</v>
      </c>
      <c r="KW20" s="215"/>
      <c r="KX20" s="84"/>
      <c r="KY20" s="104"/>
      <c r="KZ20" s="178">
        <f>IF(COUNT(KZ21)=0,"",SUM(KZ21)/COUNT(KZ21))</f>
        <v>1</v>
      </c>
      <c r="LA20" s="179" t="str">
        <f t="shared" si="68"/>
        <v>D</v>
      </c>
      <c r="LB20" s="171"/>
      <c r="LC20" s="84"/>
      <c r="LD20" s="84"/>
      <c r="LE20" s="178" t="str">
        <f>IF(COUNT(LE21)=0,"",SUM(LE21)/COUNT(LE21))</f>
        <v/>
      </c>
      <c r="LF20" s="194" t="str">
        <f t="shared" si="69"/>
        <v/>
      </c>
      <c r="LG20" s="172"/>
      <c r="LH20" s="109"/>
      <c r="LI20" s="109"/>
      <c r="LJ20" s="110"/>
      <c r="LK20" s="178" t="str">
        <f>IF(COUNT(LK21)=0,"",SUM(LK21)/COUNT(LK21))</f>
        <v/>
      </c>
      <c r="LL20" s="202" t="str">
        <f t="shared" si="70"/>
        <v/>
      </c>
      <c r="LM20" s="203">
        <f>IF(COUNT(LM21)=0,"",SUM(LM21)/COUNT(LM21))</f>
        <v>1</v>
      </c>
      <c r="LN20" s="204" t="str">
        <f t="shared" si="71"/>
        <v>D</v>
      </c>
      <c r="LO20" s="215"/>
      <c r="LP20" s="84"/>
      <c r="LQ20" s="104"/>
      <c r="LR20" s="178">
        <f>IF(COUNT(LR21)=0,"",SUM(LR21)/COUNT(LR21))</f>
        <v>1</v>
      </c>
      <c r="LS20" s="179" t="str">
        <f t="shared" si="72"/>
        <v>D</v>
      </c>
      <c r="LT20" s="171"/>
      <c r="LU20" s="84"/>
      <c r="LV20" s="84"/>
      <c r="LW20" s="178" t="str">
        <f>IF(COUNT(LW21)=0,"",SUM(LW21)/COUNT(LW21))</f>
        <v/>
      </c>
      <c r="LX20" s="194" t="str">
        <f t="shared" si="73"/>
        <v/>
      </c>
      <c r="LY20" s="172"/>
      <c r="LZ20" s="109"/>
      <c r="MA20" s="109"/>
      <c r="MB20" s="110"/>
      <c r="MC20" s="178" t="str">
        <f>IF(COUNT(MC21)=0,"",SUM(MC21)/COUNT(MC21))</f>
        <v/>
      </c>
      <c r="MD20" s="202" t="str">
        <f t="shared" si="74"/>
        <v/>
      </c>
      <c r="ME20" s="203">
        <f>IF(COUNT(ME21)=0,"",SUM(ME21)/COUNT(ME21))</f>
        <v>1</v>
      </c>
      <c r="MF20" s="204" t="str">
        <f t="shared" si="75"/>
        <v>D</v>
      </c>
      <c r="MG20" s="215"/>
      <c r="MH20" s="84"/>
      <c r="MI20" s="104"/>
      <c r="MJ20" s="178">
        <f>IF(COUNT(MJ21)=0,"",SUM(MJ21)/COUNT(MJ21))</f>
        <v>2</v>
      </c>
      <c r="MK20" s="179" t="str">
        <f t="shared" si="76"/>
        <v>C</v>
      </c>
      <c r="ML20" s="171"/>
      <c r="MM20" s="84"/>
      <c r="MN20" s="84"/>
      <c r="MO20" s="178" t="str">
        <f>IF(COUNT(MO21)=0,"",SUM(MO21)/COUNT(MO21))</f>
        <v/>
      </c>
      <c r="MP20" s="194" t="str">
        <f t="shared" si="77"/>
        <v/>
      </c>
      <c r="MQ20" s="172"/>
      <c r="MR20" s="109"/>
      <c r="MS20" s="109"/>
      <c r="MT20" s="110"/>
      <c r="MU20" s="178" t="str">
        <f>IF(COUNT(MU21)=0,"",SUM(MU21)/COUNT(MU21))</f>
        <v/>
      </c>
      <c r="MV20" s="202" t="str">
        <f t="shared" si="78"/>
        <v/>
      </c>
      <c r="MW20" s="203">
        <f>IF(COUNT(MW21)=0,"",SUM(MW21)/COUNT(MW21))</f>
        <v>2</v>
      </c>
      <c r="MX20" s="204" t="str">
        <f t="shared" si="79"/>
        <v>C</v>
      </c>
      <c r="MY20" s="215"/>
      <c r="MZ20" s="84"/>
      <c r="NA20" s="104"/>
      <c r="NB20" s="178">
        <f>IF(COUNT(NB21)=0,"",SUM(NB21)/COUNT(NB21))</f>
        <v>1</v>
      </c>
      <c r="NC20" s="179" t="str">
        <f t="shared" si="80"/>
        <v>D</v>
      </c>
      <c r="ND20" s="171"/>
      <c r="NE20" s="84"/>
      <c r="NF20" s="84"/>
      <c r="NG20" s="178" t="str">
        <f>IF(COUNT(NG21)=0,"",SUM(NG21)/COUNT(NG21))</f>
        <v/>
      </c>
      <c r="NH20" s="194" t="str">
        <f t="shared" si="81"/>
        <v/>
      </c>
      <c r="NI20" s="172"/>
      <c r="NJ20" s="109"/>
      <c r="NK20" s="109"/>
      <c r="NL20" s="110"/>
      <c r="NM20" s="178" t="str">
        <f>IF(COUNT(NM21)=0,"",SUM(NM21)/COUNT(NM21))</f>
        <v/>
      </c>
      <c r="NN20" s="202" t="str">
        <f t="shared" si="82"/>
        <v/>
      </c>
      <c r="NO20" s="203">
        <f>IF(COUNT(NO21)=0,"",SUM(NO21)/COUNT(NO21))</f>
        <v>1</v>
      </c>
      <c r="NP20" s="204" t="str">
        <f t="shared" si="83"/>
        <v>D</v>
      </c>
      <c r="NQ20" s="215"/>
      <c r="NR20" s="84"/>
      <c r="NS20" s="104"/>
      <c r="NT20" s="178">
        <f>IF(COUNT(NT21)=0,"",SUM(NT21)/COUNT(NT21))</f>
        <v>2</v>
      </c>
      <c r="NU20" s="179" t="str">
        <f t="shared" si="84"/>
        <v>C</v>
      </c>
      <c r="NV20" s="171"/>
      <c r="NW20" s="84"/>
      <c r="NX20" s="84"/>
      <c r="NY20" s="178" t="str">
        <f>IF(COUNT(NY21)=0,"",SUM(NY21)/COUNT(NY21))</f>
        <v/>
      </c>
      <c r="NZ20" s="194" t="str">
        <f t="shared" si="85"/>
        <v/>
      </c>
      <c r="OA20" s="172"/>
      <c r="OB20" s="109"/>
      <c r="OC20" s="109"/>
      <c r="OD20" s="110"/>
      <c r="OE20" s="178" t="str">
        <f>IF(COUNT(OE21)=0,"",SUM(OE21)/COUNT(OE21))</f>
        <v/>
      </c>
      <c r="OF20" s="202" t="str">
        <f t="shared" si="86"/>
        <v/>
      </c>
      <c r="OG20" s="203">
        <f>IF(COUNT(OG21)=0,"",SUM(OG21)/COUNT(OG21))</f>
        <v>2</v>
      </c>
      <c r="OH20" s="204" t="str">
        <f t="shared" si="87"/>
        <v>C</v>
      </c>
      <c r="OI20" s="215"/>
      <c r="OJ20" s="84"/>
      <c r="OK20" s="104"/>
      <c r="OL20" s="178">
        <f>IF(COUNT(OL21)=0,"",SUM(OL21)/COUNT(OL21))</f>
        <v>2</v>
      </c>
      <c r="OM20" s="179" t="str">
        <f t="shared" si="88"/>
        <v>C</v>
      </c>
      <c r="ON20" s="171"/>
      <c r="OO20" s="84"/>
      <c r="OP20" s="84"/>
      <c r="OQ20" s="178" t="str">
        <f>IF(COUNT(OQ21)=0,"",SUM(OQ21)/COUNT(OQ21))</f>
        <v/>
      </c>
      <c r="OR20" s="194" t="str">
        <f t="shared" si="89"/>
        <v/>
      </c>
      <c r="OS20" s="172"/>
      <c r="OT20" s="109"/>
      <c r="OU20" s="109"/>
      <c r="OV20" s="110"/>
      <c r="OW20" s="178" t="str">
        <f>IF(COUNT(OW21)=0,"",SUM(OW21)/COUNT(OW21))</f>
        <v/>
      </c>
      <c r="OX20" s="202" t="str">
        <f t="shared" si="90"/>
        <v/>
      </c>
      <c r="OY20" s="203">
        <f>IF(COUNT(OY21)=0,"",SUM(OY21)/COUNT(OY21))</f>
        <v>2</v>
      </c>
      <c r="OZ20" s="204" t="str">
        <f t="shared" si="91"/>
        <v>C</v>
      </c>
      <c r="PA20" s="215"/>
      <c r="PB20" s="84"/>
      <c r="PC20" s="104"/>
      <c r="PD20" s="178">
        <f>IF(COUNT(PD21)=0,"",SUM(PD21)/COUNT(PD21))</f>
        <v>3</v>
      </c>
      <c r="PE20" s="179" t="str">
        <f t="shared" si="92"/>
        <v>B</v>
      </c>
      <c r="PF20" s="171"/>
      <c r="PG20" s="84"/>
      <c r="PH20" s="84"/>
      <c r="PI20" s="178" t="str">
        <f>IF(COUNT(PI21)=0,"",SUM(PI21)/COUNT(PI21))</f>
        <v/>
      </c>
      <c r="PJ20" s="194" t="str">
        <f t="shared" si="93"/>
        <v/>
      </c>
      <c r="PK20" s="172"/>
      <c r="PL20" s="109"/>
      <c r="PM20" s="109"/>
      <c r="PN20" s="110"/>
      <c r="PO20" s="178" t="str">
        <f>IF(COUNT(PO21)=0,"",SUM(PO21)/COUNT(PO21))</f>
        <v/>
      </c>
      <c r="PP20" s="202" t="str">
        <f t="shared" si="94"/>
        <v/>
      </c>
      <c r="PQ20" s="203">
        <f>IF(COUNT(PQ21)=0,"",SUM(PQ21)/COUNT(PQ21))</f>
        <v>3</v>
      </c>
      <c r="PR20" s="204" t="str">
        <f t="shared" si="95"/>
        <v>B</v>
      </c>
      <c r="PS20" s="215"/>
      <c r="PT20" s="84"/>
      <c r="PU20" s="104"/>
      <c r="PV20" s="178">
        <f>IF(COUNT(PV21)=0,"",SUM(PV21)/COUNT(PV21))</f>
        <v>1</v>
      </c>
      <c r="PW20" s="179" t="str">
        <f t="shared" si="96"/>
        <v>D</v>
      </c>
      <c r="PX20" s="171"/>
      <c r="PY20" s="84"/>
      <c r="PZ20" s="84"/>
      <c r="QA20" s="178" t="str">
        <f>IF(COUNT(QA21)=0,"",SUM(QA21)/COUNT(QA21))</f>
        <v/>
      </c>
      <c r="QB20" s="194" t="str">
        <f t="shared" si="97"/>
        <v/>
      </c>
      <c r="QC20" s="172"/>
      <c r="QD20" s="109"/>
      <c r="QE20" s="109"/>
      <c r="QF20" s="110"/>
      <c r="QG20" s="178" t="str">
        <f>IF(COUNT(QG21)=0,"",SUM(QG21)/COUNT(QG21))</f>
        <v/>
      </c>
      <c r="QH20" s="202" t="str">
        <f t="shared" si="98"/>
        <v/>
      </c>
      <c r="QI20" s="203">
        <f>IF(COUNT(QI21)=0,"",SUM(QI21)/COUNT(QI21))</f>
        <v>1</v>
      </c>
      <c r="QJ20" s="204" t="str">
        <f t="shared" si="99"/>
        <v>D</v>
      </c>
      <c r="QK20" s="215"/>
      <c r="QL20" s="84"/>
      <c r="QM20" s="104"/>
      <c r="QN20" s="178">
        <f>IF(COUNT(QN21)=0,"",SUM(QN21)/COUNT(QN21))</f>
        <v>1</v>
      </c>
      <c r="QO20" s="179" t="str">
        <f t="shared" si="100"/>
        <v>D</v>
      </c>
      <c r="QP20" s="171"/>
      <c r="QQ20" s="84"/>
      <c r="QR20" s="84"/>
      <c r="QS20" s="178" t="str">
        <f>IF(COUNT(QS21)=0,"",SUM(QS21)/COUNT(QS21))</f>
        <v/>
      </c>
      <c r="QT20" s="194" t="str">
        <f t="shared" si="101"/>
        <v/>
      </c>
      <c r="QU20" s="172"/>
      <c r="QV20" s="109"/>
      <c r="QW20" s="109"/>
      <c r="QX20" s="110"/>
      <c r="QY20" s="178" t="str">
        <f>IF(COUNT(QY21)=0,"",SUM(QY21)/COUNT(QY21))</f>
        <v/>
      </c>
      <c r="QZ20" s="202" t="str">
        <f t="shared" si="102"/>
        <v/>
      </c>
      <c r="RA20" s="203">
        <f>IF(COUNT(RA21)=0,"",SUM(RA21)/COUNT(RA21))</f>
        <v>1</v>
      </c>
      <c r="RB20" s="204" t="str">
        <f t="shared" si="103"/>
        <v>D</v>
      </c>
      <c r="RC20" s="215"/>
      <c r="RD20" s="84"/>
      <c r="RE20" s="104"/>
      <c r="RF20" s="178">
        <f>IF(COUNT(RF21)=0,"",SUM(RF21)/COUNT(RF21))</f>
        <v>1</v>
      </c>
      <c r="RG20" s="179" t="str">
        <f t="shared" si="104"/>
        <v>D</v>
      </c>
      <c r="RH20" s="171"/>
      <c r="RI20" s="84"/>
      <c r="RJ20" s="84"/>
      <c r="RK20" s="178" t="str">
        <f>IF(COUNT(RK21)=0,"",SUM(RK21)/COUNT(RK21))</f>
        <v/>
      </c>
      <c r="RL20" s="194" t="str">
        <f t="shared" si="105"/>
        <v/>
      </c>
      <c r="RM20" s="172"/>
      <c r="RN20" s="109"/>
      <c r="RO20" s="109"/>
      <c r="RP20" s="110"/>
      <c r="RQ20" s="178" t="str">
        <f>IF(COUNT(RQ21)=0,"",SUM(RQ21)/COUNT(RQ21))</f>
        <v/>
      </c>
      <c r="RR20" s="202" t="str">
        <f t="shared" si="106"/>
        <v/>
      </c>
      <c r="RS20" s="203">
        <f>IF(COUNT(RS21)=0,"",SUM(RS21)/COUNT(RS21))</f>
        <v>1</v>
      </c>
      <c r="RT20" s="204" t="str">
        <f t="shared" si="107"/>
        <v>D</v>
      </c>
      <c r="RU20" s="215"/>
      <c r="RV20" s="84"/>
      <c r="RW20" s="104"/>
      <c r="RX20" s="178">
        <f>IF(COUNT(RX21)=0,"",SUM(RX21)/COUNT(RX21))</f>
        <v>3</v>
      </c>
      <c r="RY20" s="179" t="str">
        <f t="shared" si="108"/>
        <v>B</v>
      </c>
      <c r="RZ20" s="171"/>
      <c r="SA20" s="84"/>
      <c r="SB20" s="84"/>
      <c r="SC20" s="178" t="str">
        <f>IF(COUNT(SC21)=0,"",SUM(SC21)/COUNT(SC21))</f>
        <v/>
      </c>
      <c r="SD20" s="194" t="str">
        <f t="shared" si="109"/>
        <v/>
      </c>
      <c r="SE20" s="172"/>
      <c r="SF20" s="109"/>
      <c r="SG20" s="109"/>
      <c r="SH20" s="110"/>
      <c r="SI20" s="178" t="str">
        <f>IF(COUNT(SI21)=0,"",SUM(SI21)/COUNT(SI21))</f>
        <v/>
      </c>
      <c r="SJ20" s="202" t="str">
        <f t="shared" si="110"/>
        <v/>
      </c>
      <c r="SK20" s="203">
        <f>IF(COUNT(SK21)=0,"",SUM(SK21)/COUNT(SK21))</f>
        <v>3</v>
      </c>
      <c r="SL20" s="204" t="str">
        <f t="shared" si="111"/>
        <v>B</v>
      </c>
      <c r="SM20" s="140"/>
      <c r="SN20" s="84"/>
      <c r="SO20" s="104"/>
      <c r="SP20" s="105" t="str">
        <f>IF(COUNT(SP21)=0,"",SUM(SP21)/COUNT(SP21))</f>
        <v/>
      </c>
      <c r="SQ20" s="106" t="str">
        <f t="shared" si="112"/>
        <v/>
      </c>
      <c r="SR20" s="103"/>
      <c r="SS20" s="84"/>
      <c r="ST20" s="104"/>
      <c r="SU20" s="105" t="str">
        <f>IF(COUNT(SU21)=0,"",SUM(SU21)/COUNT(SU21))</f>
        <v/>
      </c>
      <c r="SV20" s="107" t="str">
        <f t="shared" si="113"/>
        <v/>
      </c>
      <c r="SW20" s="108"/>
      <c r="SX20" s="109"/>
      <c r="SY20" s="110"/>
      <c r="SZ20" s="105" t="str">
        <f>IF(COUNT(SZ21)=0,"",SUM(SZ21)/COUNT(SZ21))</f>
        <v/>
      </c>
      <c r="TA20" s="111" t="str">
        <f t="shared" si="114"/>
        <v/>
      </c>
      <c r="TB20" s="112" t="str">
        <f>IF(COUNT(TB21)=0,"",SUM(TB21)/COUNT(TB21))</f>
        <v/>
      </c>
      <c r="TC20" s="113" t="str">
        <f t="shared" si="115"/>
        <v/>
      </c>
      <c r="TD20" s="140"/>
      <c r="TE20" s="84"/>
      <c r="TF20" s="104"/>
      <c r="TG20" s="105" t="str">
        <f>IF(COUNT(TG21)=0,"",SUM(TG21)/COUNT(TG21))</f>
        <v/>
      </c>
      <c r="TH20" s="106" t="str">
        <f t="shared" si="116"/>
        <v/>
      </c>
      <c r="TI20" s="103"/>
      <c r="TJ20" s="84"/>
      <c r="TK20" s="104"/>
      <c r="TL20" s="105" t="str">
        <f>IF(COUNT(TL21)=0,"",SUM(TL21)/COUNT(TL21))</f>
        <v/>
      </c>
      <c r="TM20" s="107" t="str">
        <f t="shared" si="117"/>
        <v/>
      </c>
      <c r="TN20" s="108"/>
      <c r="TO20" s="109"/>
      <c r="TP20" s="110"/>
      <c r="TQ20" s="105" t="str">
        <f>IF(COUNT(TQ21)=0,"",SUM(TQ21)/COUNT(TQ21))</f>
        <v/>
      </c>
      <c r="TR20" s="111" t="str">
        <f t="shared" si="118"/>
        <v/>
      </c>
      <c r="TS20" s="112" t="str">
        <f>IF(COUNT(TS21)=0,"",SUM(TS21)/COUNT(TS21))</f>
        <v/>
      </c>
      <c r="TT20" s="113" t="str">
        <f t="shared" si="119"/>
        <v/>
      </c>
    </row>
    <row r="21" spans="1:540" ht="18" customHeight="1" thickBot="1" x14ac:dyDescent="0.3">
      <c r="A21" s="240" t="s">
        <v>25</v>
      </c>
      <c r="B21" s="241"/>
      <c r="C21" s="143" t="s">
        <v>30</v>
      </c>
      <c r="D21" s="144"/>
      <c r="E21" s="145"/>
      <c r="F21" s="186">
        <f>IFERROR((((COUNTIF('Elève (5ème4)'!C21:E21,"A"))*4)+((COUNTIF('Elève (5ème4)'!C21:E21,"B"))*3)+((COUNTIF('Elève (5ème4)'!C21:E21,"C"))*2)+((COUNTIF('Elève (5ème4)'!C21:E21,"D"))*1))/(COUNTA(C21:E21)),"")</f>
        <v>1</v>
      </c>
      <c r="G21" s="187" t="str">
        <f t="shared" si="0"/>
        <v>D</v>
      </c>
      <c r="H21" s="143"/>
      <c r="I21" s="144"/>
      <c r="J21" s="145"/>
      <c r="K21" s="186" t="str">
        <f>IFERROR((((COUNTIF('Elève (5ème4)'!H21:J21,"A"))*4)+((COUNTIF('Elève (5ème4)'!H21:J21,"B"))*3)+((COUNTIF('Elève (5ème4)'!H21:J21,"C"))*2)+((COUNTIF('Elève (5ème4)'!H21:J21,"D"))*1))/(COUNTA(H21:J21)),"")</f>
        <v/>
      </c>
      <c r="L21" s="187" t="str">
        <f t="shared" si="1"/>
        <v/>
      </c>
      <c r="M21" s="143"/>
      <c r="N21" s="144"/>
      <c r="O21" s="145"/>
      <c r="P21" s="145"/>
      <c r="Q21" s="186" t="str">
        <f>IFERROR((((COUNTIF('Elève (5ème4)'!M21:P21,"A"))*4)+((COUNTIF('Elève (5ème4)'!M21:P21,"B"))*3)+((COUNTIF('Elève (5ème4)'!M21:P21,"C"))*2)+((COUNTIF('Elève (5ème4)'!M21:P21,"D"))*1))/(COUNTA(M21:P21)),"")</f>
        <v/>
      </c>
      <c r="R21" s="187" t="str">
        <f t="shared" si="2"/>
        <v/>
      </c>
      <c r="S21" s="186">
        <f>IF(COUNT(F21,K21,Q21)=0,"",SUM(F21,K21,Q21)/COUNT(F21,K21,Q21))</f>
        <v>1</v>
      </c>
      <c r="T21" s="211" t="str">
        <f t="shared" si="3"/>
        <v>D</v>
      </c>
      <c r="U21" s="143" t="s">
        <v>30</v>
      </c>
      <c r="V21" s="144"/>
      <c r="W21" s="145"/>
      <c r="X21" s="186">
        <f>IFERROR((((COUNTIF('Elève (5ème4)'!U21:W21,"A"))*4)+((COUNTIF('Elève (5ème4)'!U21:W21,"B"))*3)+((COUNTIF('Elève (5ème4)'!U21:W21,"C"))*2)+((COUNTIF('Elève (5ème4)'!U21:W21,"D"))*1))/(COUNTA(U21:W21)),"")</f>
        <v>1</v>
      </c>
      <c r="Y21" s="187" t="str">
        <f t="shared" si="4"/>
        <v>D</v>
      </c>
      <c r="Z21" s="143"/>
      <c r="AA21" s="144"/>
      <c r="AB21" s="145"/>
      <c r="AC21" s="186" t="str">
        <f>IFERROR((((COUNTIF('Elève (5ème4)'!Z21:AB21,"A"))*4)+((COUNTIF('Elève (5ème4)'!Z21:AB21,"B"))*3)+((COUNTIF('Elève (5ème4)'!Z21:AB21,"C"))*2)+((COUNTIF('Elève (5ème4)'!Z21:AB21,"D"))*1))/(COUNTA(Z21:AB21)),"")</f>
        <v/>
      </c>
      <c r="AD21" s="187" t="str">
        <f t="shared" si="5"/>
        <v/>
      </c>
      <c r="AE21" s="143"/>
      <c r="AF21" s="144"/>
      <c r="AG21" s="145"/>
      <c r="AH21" s="149"/>
      <c r="AI21" s="186" t="str">
        <f>IFERROR((((COUNTIF('Elève (5ème4)'!AE21:AH21,"A"))*4)+((COUNTIF('Elève (5ème4)'!AE21:AH21,"B"))*3)+((COUNTIF('Elève (5ème4)'!AE21:AH21,"C"))*2)+((COUNTIF('Elève (5ème4)'!AE21:AH21,"D"))*1))/(COUNTA(AE21:AH21)),"")</f>
        <v/>
      </c>
      <c r="AJ21" s="187" t="str">
        <f t="shared" si="6"/>
        <v/>
      </c>
      <c r="AK21" s="186">
        <f>IF(COUNT(X21,AC21,AI21)=0,"",SUM(X21,AC21,AI21)/COUNT(X21,AC21,AI21))</f>
        <v>1</v>
      </c>
      <c r="AL21" s="211" t="str">
        <f t="shared" si="7"/>
        <v>D</v>
      </c>
      <c r="AM21" s="143" t="s">
        <v>30</v>
      </c>
      <c r="AN21" s="144"/>
      <c r="AO21" s="145"/>
      <c r="AP21" s="186">
        <f>IFERROR((((COUNTIF('Elève (5ème4)'!AM21:AO21,"A"))*4)+((COUNTIF('Elève (5ème4)'!AM21:AO21,"B"))*3)+((COUNTIF('Elève (5ème4)'!AM21:AO21,"C"))*2)+((COUNTIF('Elève (5ème4)'!AM21:AO21,"D"))*1))/(COUNTA(AM21:AO21)),"")</f>
        <v>1</v>
      </c>
      <c r="AQ21" s="187" t="str">
        <f t="shared" si="8"/>
        <v>D</v>
      </c>
      <c r="AR21" s="143"/>
      <c r="AS21" s="144"/>
      <c r="AT21" s="145"/>
      <c r="AU21" s="186" t="str">
        <f>IFERROR((((COUNTIF('Elève (5ème4)'!AR21:AT21,"A"))*4)+((COUNTIF('Elève (5ème4)'!AR21:AT21,"B"))*3)+((COUNTIF('Elève (5ème4)'!AR21:AT21,"C"))*2)+((COUNTIF('Elève (5ème4)'!AR21:AT21,"D"))*1))/(COUNTA(AR21:AT21)),"")</f>
        <v/>
      </c>
      <c r="AV21" s="187" t="str">
        <f t="shared" si="9"/>
        <v/>
      </c>
      <c r="AW21" s="143"/>
      <c r="AX21" s="144"/>
      <c r="AY21" s="145"/>
      <c r="AZ21" s="149"/>
      <c r="BA21" s="186" t="str">
        <f>IFERROR((((COUNTIF('Elève (5ème4)'!AW21:AZ21,"A"))*4)+((COUNTIF('Elève (5ème4)'!AW21:AZ21,"B"))*3)+((COUNTIF('Elève (5ème4)'!AW21:AZ21,"C"))*2)+((COUNTIF('Elève (5ème4)'!AW21:AZ21,"D"))*1))/(COUNTA(AW21:AZ21)),"")</f>
        <v/>
      </c>
      <c r="BB21" s="187" t="str">
        <f t="shared" si="10"/>
        <v/>
      </c>
      <c r="BC21" s="186">
        <f>IF(COUNT(AP21,AU21,BA21)=0,"",SUM(AP21,AU21,BA21)/COUNT(AP21,AU21,BA21))</f>
        <v>1</v>
      </c>
      <c r="BD21" s="211" t="str">
        <f t="shared" si="11"/>
        <v>D</v>
      </c>
      <c r="BE21" s="143" t="s">
        <v>30</v>
      </c>
      <c r="BF21" s="144"/>
      <c r="BG21" s="145"/>
      <c r="BH21" s="186">
        <f>IFERROR((((COUNTIF('Elève (5ème4)'!BE21:BG21,"A"))*4)+((COUNTIF('Elève (5ème4)'!BE21:BG21,"B"))*3)+((COUNTIF('Elève (5ème4)'!BE21:BG21,"C"))*2)+((COUNTIF('Elève (5ème4)'!BE21:BG21,"D"))*1))/(COUNTA(BE21:BG21)),"")</f>
        <v>1</v>
      </c>
      <c r="BI21" s="187" t="str">
        <f t="shared" si="12"/>
        <v>D</v>
      </c>
      <c r="BJ21" s="143"/>
      <c r="BK21" s="144"/>
      <c r="BL21" s="145"/>
      <c r="BM21" s="186" t="str">
        <f>IFERROR((((COUNTIF('Elève (5ème4)'!BJ21:BL21,"A"))*4)+((COUNTIF('Elève (5ème4)'!BJ21:BL21,"B"))*3)+((COUNTIF('Elève (5ème4)'!BJ21:BL21,"C"))*2)+((COUNTIF('Elève (5ème4)'!BJ21:BL21,"D"))*1))/(COUNTA(BJ21:BL21)),"")</f>
        <v/>
      </c>
      <c r="BN21" s="187" t="str">
        <f t="shared" si="13"/>
        <v/>
      </c>
      <c r="BO21" s="143"/>
      <c r="BP21" s="144"/>
      <c r="BQ21" s="145"/>
      <c r="BR21" s="149"/>
      <c r="BS21" s="186" t="str">
        <f>IFERROR((((COUNTIF('Elève (5ème4)'!BO21:BR21,"A"))*4)+((COUNTIF('Elève (5ème4)'!BO21:BR21,"B"))*3)+((COUNTIF('Elève (5ème4)'!BO21:BR21,"C"))*2)+((COUNTIF('Elève (5ème4)'!BO21:BR21,"D"))*1))/(COUNTA(BO21:BR21)),"")</f>
        <v/>
      </c>
      <c r="BT21" s="187" t="str">
        <f t="shared" si="14"/>
        <v/>
      </c>
      <c r="BU21" s="186">
        <f>IF(COUNT(BH21,BM21,BS21)=0,"",SUM(BH21,BM21,BS21)/COUNT(BH21,BM21,BS21))</f>
        <v>1</v>
      </c>
      <c r="BV21" s="211" t="str">
        <f t="shared" si="15"/>
        <v>D</v>
      </c>
      <c r="BW21" s="143" t="s">
        <v>30</v>
      </c>
      <c r="BX21" s="144"/>
      <c r="BY21" s="145"/>
      <c r="BZ21" s="186">
        <f>IFERROR((((COUNTIF('Elève (5ème4)'!BW21:BY21,"A"))*4)+((COUNTIF('Elève (5ème4)'!BW21:BY21,"B"))*3)+((COUNTIF('Elève (5ème4)'!BW21:BY21,"C"))*2)+((COUNTIF('Elève (5ème4)'!BW21:BY21,"D"))*1))/(COUNTA(BW21:BY21)),"")</f>
        <v>1</v>
      </c>
      <c r="CA21" s="187" t="str">
        <f t="shared" si="16"/>
        <v>D</v>
      </c>
      <c r="CB21" s="143"/>
      <c r="CC21" s="144"/>
      <c r="CD21" s="145"/>
      <c r="CE21" s="186" t="str">
        <f>IFERROR((((COUNTIF('Elève (5ème4)'!CB21:CD21,"A"))*4)+((COUNTIF('Elève (5ème4)'!CB21:CD21,"B"))*3)+((COUNTIF('Elève (5ème4)'!CB21:CD21,"C"))*2)+((COUNTIF('Elève (5ème4)'!CB21:CD21,"D"))*1))/(COUNTA(CB21:CD21)),"")</f>
        <v/>
      </c>
      <c r="CF21" s="187" t="str">
        <f t="shared" si="17"/>
        <v/>
      </c>
      <c r="CG21" s="143"/>
      <c r="CH21" s="144"/>
      <c r="CI21" s="145"/>
      <c r="CJ21" s="149"/>
      <c r="CK21" s="186" t="str">
        <f>IFERROR((((COUNTIF('Elève (5ème4)'!CG21:CJ21,"A"))*4)+((COUNTIF('Elève (5ème4)'!CG21:CJ21,"B"))*3)+((COUNTIF('Elève (5ème4)'!CG21:CJ21,"C"))*2)+((COUNTIF('Elève (5ème4)'!CG21:CJ21,"D"))*1))/(COUNTA(CG21:CJ21)),"")</f>
        <v/>
      </c>
      <c r="CL21" s="187" t="str">
        <f t="shared" si="18"/>
        <v/>
      </c>
      <c r="CM21" s="186">
        <f>IF(COUNT(BZ21,CE21,CK21)=0,"",SUM(BZ21,CE21,CK21)/COUNT(BZ21,CE21,CK21))</f>
        <v>1</v>
      </c>
      <c r="CN21" s="211" t="str">
        <f t="shared" si="19"/>
        <v>D</v>
      </c>
      <c r="CO21" s="143" t="s">
        <v>30</v>
      </c>
      <c r="CP21" s="144"/>
      <c r="CQ21" s="145"/>
      <c r="CR21" s="186">
        <f>IFERROR((((COUNTIF('Elève (5ème4)'!CO21:CQ21,"A"))*4)+((COUNTIF('Elève (5ème4)'!CO21:CQ21,"B"))*3)+((COUNTIF('Elève (5ème4)'!CO21:CQ21,"C"))*2)+((COUNTIF('Elève (5ème4)'!CO21:CQ21,"D"))*1))/(COUNTA(CO21:CQ21)),"")</f>
        <v>1</v>
      </c>
      <c r="CS21" s="187" t="str">
        <f t="shared" si="20"/>
        <v>D</v>
      </c>
      <c r="CT21" s="143"/>
      <c r="CU21" s="144"/>
      <c r="CV21" s="145"/>
      <c r="CW21" s="186" t="str">
        <f>IFERROR((((COUNTIF('Elève (5ème4)'!CT21:CV21,"A"))*4)+((COUNTIF('Elève (5ème4)'!CT21:CV21,"B"))*3)+((COUNTIF('Elève (5ème4)'!CT21:CV21,"C"))*2)+((COUNTIF('Elève (5ème4)'!CT21:CV21,"D"))*1))/(COUNTA(CT21:CV21)),"")</f>
        <v/>
      </c>
      <c r="CX21" s="187" t="str">
        <f t="shared" si="21"/>
        <v/>
      </c>
      <c r="CY21" s="143"/>
      <c r="CZ21" s="144"/>
      <c r="DA21" s="145"/>
      <c r="DB21" s="149"/>
      <c r="DC21" s="186" t="str">
        <f>IFERROR((((COUNTIF('Elève (5ème4)'!CY21:DB21,"A"))*4)+((COUNTIF('Elève (5ème4)'!CY21:DB21,"B"))*3)+((COUNTIF('Elève (5ème4)'!CY21:DB21,"C"))*2)+((COUNTIF('Elève (5ème4)'!CY21:DB21,"D"))*1))/(COUNTA(CY21:DB21)),"")</f>
        <v/>
      </c>
      <c r="DD21" s="187" t="str">
        <f t="shared" si="22"/>
        <v/>
      </c>
      <c r="DE21" s="186">
        <f>IF(COUNT(CR21,CW21,DC21)=0,"",SUM(CR21,CW21,DC21)/COUNT(CR21,CW21,DC21))</f>
        <v>1</v>
      </c>
      <c r="DF21" s="211" t="str">
        <f t="shared" si="23"/>
        <v>D</v>
      </c>
      <c r="DG21" s="143" t="s">
        <v>29</v>
      </c>
      <c r="DH21" s="144"/>
      <c r="DI21" s="145"/>
      <c r="DJ21" s="186">
        <f>IFERROR((((COUNTIF('Elève (5ème4)'!DG21:DI21,"A"))*4)+((COUNTIF('Elève (5ème4)'!DG21:DI21,"B"))*3)+((COUNTIF('Elève (5ème4)'!DG21:DI21,"C"))*2)+((COUNTIF('Elève (5ème4)'!DG21:DI21,"D"))*1))/(COUNTA(DG21:DI21)),"")</f>
        <v>2</v>
      </c>
      <c r="DK21" s="187" t="str">
        <f t="shared" si="24"/>
        <v>C</v>
      </c>
      <c r="DL21" s="143"/>
      <c r="DM21" s="144"/>
      <c r="DN21" s="145"/>
      <c r="DO21" s="186" t="str">
        <f>IFERROR((((COUNTIF('Elève (5ème4)'!DL21:DN21,"A"))*4)+((COUNTIF('Elève (5ème4)'!DL21:DN21,"B"))*3)+((COUNTIF('Elève (5ème4)'!DL21:DN21,"C"))*2)+((COUNTIF('Elève (5ème4)'!DL21:DN21,"D"))*1))/(COUNTA(DL21:DN21)),"")</f>
        <v/>
      </c>
      <c r="DP21" s="187" t="str">
        <f t="shared" si="25"/>
        <v/>
      </c>
      <c r="DQ21" s="143"/>
      <c r="DR21" s="144"/>
      <c r="DS21" s="145"/>
      <c r="DT21" s="149"/>
      <c r="DU21" s="186" t="str">
        <f>IFERROR((((COUNTIF('Elève (5ème4)'!DQ21:DT21,"A"))*4)+((COUNTIF('Elève (5ème4)'!DQ21:DT21,"B"))*3)+((COUNTIF('Elève (5ème4)'!DQ21:DT21,"C"))*2)+((COUNTIF('Elève (5ème4)'!DQ21:DT21,"D"))*1))/(COUNTA(DQ21:DT21)),"")</f>
        <v/>
      </c>
      <c r="DV21" s="187" t="str">
        <f t="shared" si="26"/>
        <v/>
      </c>
      <c r="DW21" s="186">
        <f>IF(COUNT(DJ21,DO21,DU21)=0,"",SUM(DJ21,DO21,DU21)/COUNT(DJ21,DO21,DU21))</f>
        <v>2</v>
      </c>
      <c r="DX21" s="211" t="str">
        <f t="shared" si="27"/>
        <v>C</v>
      </c>
      <c r="DY21" s="143" t="s">
        <v>29</v>
      </c>
      <c r="DZ21" s="144"/>
      <c r="EA21" s="145"/>
      <c r="EB21" s="186">
        <f>IFERROR((((COUNTIF('Elève (5ème4)'!DY21:EA21,"A"))*4)+((COUNTIF('Elève (5ème4)'!DY21:EA21,"B"))*3)+((COUNTIF('Elève (5ème4)'!DY21:EA21,"C"))*2)+((COUNTIF('Elève (5ème4)'!DY21:EA21,"D"))*1))/(COUNTA(DY21:EA21)),"")</f>
        <v>2</v>
      </c>
      <c r="EC21" s="187" t="str">
        <f t="shared" si="28"/>
        <v>C</v>
      </c>
      <c r="ED21" s="143"/>
      <c r="EE21" s="144"/>
      <c r="EF21" s="145"/>
      <c r="EG21" s="186" t="str">
        <f>IFERROR((((COUNTIF('Elève (5ème4)'!ED21:EF21,"A"))*4)+((COUNTIF('Elève (5ème4)'!ED21:EF21,"B"))*3)+((COUNTIF('Elève (5ème4)'!ED21:EF21,"C"))*2)+((COUNTIF('Elève (5ème4)'!ED21:EF21,"D"))*1))/(COUNTA(ED21:EF21)),"")</f>
        <v/>
      </c>
      <c r="EH21" s="187" t="str">
        <f t="shared" si="29"/>
        <v/>
      </c>
      <c r="EI21" s="143"/>
      <c r="EJ21" s="144"/>
      <c r="EK21" s="145"/>
      <c r="EL21" s="149"/>
      <c r="EM21" s="186" t="str">
        <f>IFERROR((((COUNTIF('Elève (5ème4)'!EI21:EL21,"A"))*4)+((COUNTIF('Elève (5ème4)'!EI21:EL21,"B"))*3)+((COUNTIF('Elève (5ème4)'!EI21:EL21,"C"))*2)+((COUNTIF('Elève (5ème4)'!EI21:EL21,"D"))*1))/(COUNTA(EI21:EL21)),"")</f>
        <v/>
      </c>
      <c r="EN21" s="187" t="str">
        <f t="shared" si="30"/>
        <v/>
      </c>
      <c r="EO21" s="186">
        <f>IF(COUNT(EB21,EG21,EM21)=0,"",SUM(EB21,EG21,EM21)/COUNT(EB21,EG21,EM21))</f>
        <v>2</v>
      </c>
      <c r="EP21" s="211" t="str">
        <f t="shared" si="31"/>
        <v>C</v>
      </c>
      <c r="EQ21" s="143" t="s">
        <v>29</v>
      </c>
      <c r="ER21" s="144"/>
      <c r="ES21" s="145"/>
      <c r="ET21" s="186">
        <f>IFERROR((((COUNTIF('Elève (5ème4)'!EQ21:ES21,"A"))*4)+((COUNTIF('Elève (5ème4)'!EQ21:ES21,"B"))*3)+((COUNTIF('Elève (5ème4)'!EQ21:ES21,"C"))*2)+((COUNTIF('Elève (5ème4)'!EQ21:ES21,"D"))*1))/(COUNTA(EQ21:ES21)),"")</f>
        <v>2</v>
      </c>
      <c r="EU21" s="187" t="str">
        <f t="shared" si="32"/>
        <v>C</v>
      </c>
      <c r="EV21" s="143"/>
      <c r="EW21" s="144"/>
      <c r="EX21" s="145"/>
      <c r="EY21" s="186" t="str">
        <f>IFERROR((((COUNTIF('Elève (5ème4)'!EV21:EX21,"A"))*4)+((COUNTIF('Elève (5ème4)'!EV21:EX21,"B"))*3)+((COUNTIF('Elève (5ème4)'!EV21:EX21,"C"))*2)+((COUNTIF('Elève (5ème4)'!EV21:EX21,"D"))*1))/(COUNTA(EV21:EX21)),"")</f>
        <v/>
      </c>
      <c r="EZ21" s="187" t="str">
        <f t="shared" si="33"/>
        <v/>
      </c>
      <c r="FA21" s="143"/>
      <c r="FB21" s="144"/>
      <c r="FC21" s="145"/>
      <c r="FD21" s="149"/>
      <c r="FE21" s="186" t="str">
        <f>IFERROR((((COUNTIF('Elève (5ème4)'!FA21:FD21,"A"))*4)+((COUNTIF('Elève (5ème4)'!FA21:FD21,"B"))*3)+((COUNTIF('Elève (5ème4)'!FA21:FD21,"C"))*2)+((COUNTIF('Elève (5ème4)'!FA21:FD21,"D"))*1))/(COUNTA(FA21:FD21)),"")</f>
        <v/>
      </c>
      <c r="FF21" s="187" t="str">
        <f t="shared" si="34"/>
        <v/>
      </c>
      <c r="FG21" s="186">
        <f>IF(COUNT(ET21,EY21,FE21)=0,"",SUM(ET21,EY21,FE21)/COUNT(ET21,EY21,FE21))</f>
        <v>2</v>
      </c>
      <c r="FH21" s="211" t="str">
        <f t="shared" si="35"/>
        <v>C</v>
      </c>
      <c r="FI21" s="143" t="s">
        <v>30</v>
      </c>
      <c r="FJ21" s="144"/>
      <c r="FK21" s="145"/>
      <c r="FL21" s="186">
        <f>IFERROR((((COUNTIF('Elève (5ème4)'!FI21:FK21,"A"))*4)+((COUNTIF('Elève (5ème4)'!FI21:FK21,"B"))*3)+((COUNTIF('Elève (5ème4)'!FI21:FK21,"C"))*2)+((COUNTIF('Elève (5ème4)'!FI21:FK21,"D"))*1))/(COUNTA(FI21:FK21)),"")</f>
        <v>1</v>
      </c>
      <c r="FM21" s="187" t="str">
        <f t="shared" si="36"/>
        <v>D</v>
      </c>
      <c r="FN21" s="143"/>
      <c r="FO21" s="144"/>
      <c r="FP21" s="145"/>
      <c r="FQ21" s="186" t="str">
        <f>IFERROR((((COUNTIF('Elève (5ème4)'!FN21:FP21,"A"))*4)+((COUNTIF('Elève (5ème4)'!FN21:FP21,"B"))*3)+((COUNTIF('Elève (5ème4)'!FN21:FP21,"C"))*2)+((COUNTIF('Elève (5ème4)'!FN21:FP21,"D"))*1))/(COUNTA(FN21:FP21)),"")</f>
        <v/>
      </c>
      <c r="FR21" s="187" t="str">
        <f t="shared" si="37"/>
        <v/>
      </c>
      <c r="FS21" s="143"/>
      <c r="FT21" s="144"/>
      <c r="FU21" s="145"/>
      <c r="FV21" s="149"/>
      <c r="FW21" s="186" t="str">
        <f>IFERROR((((COUNTIF('Elève (5ème4)'!FS21:FV21,"A"))*4)+((COUNTIF('Elève (5ème4)'!FS21:FV21,"B"))*3)+((COUNTIF('Elève (5ème4)'!FS21:FV21,"C"))*2)+((COUNTIF('Elève (5ème4)'!FS21:FV21,"D"))*1))/(COUNTA(FS21:FV21)),"")</f>
        <v/>
      </c>
      <c r="FX21" s="187" t="str">
        <f t="shared" si="38"/>
        <v/>
      </c>
      <c r="FY21" s="186">
        <f>IF(COUNT(FL21,FQ21,FW21)=0,"",SUM(FL21,FQ21,FW21)/COUNT(FL21,FQ21,FW21))</f>
        <v>1</v>
      </c>
      <c r="FZ21" s="211" t="str">
        <f t="shared" si="39"/>
        <v>D</v>
      </c>
      <c r="GA21" s="143" t="s">
        <v>30</v>
      </c>
      <c r="GB21" s="144"/>
      <c r="GC21" s="145"/>
      <c r="GD21" s="186">
        <f>IFERROR((((COUNTIF('Elève (5ème4)'!GA21:GC21,"A"))*4)+((COUNTIF('Elève (5ème4)'!GA21:GC21,"B"))*3)+((COUNTIF('Elève (5ème4)'!GA21:GC21,"C"))*2)+((COUNTIF('Elève (5ème4)'!GA21:GC21,"D"))*1))/(COUNTA(GA21:GC21)),"")</f>
        <v>1</v>
      </c>
      <c r="GE21" s="187" t="str">
        <f t="shared" si="40"/>
        <v>D</v>
      </c>
      <c r="GF21" s="143"/>
      <c r="GG21" s="144"/>
      <c r="GH21" s="145"/>
      <c r="GI21" s="186" t="str">
        <f>IFERROR((((COUNTIF('Elève (5ème4)'!GF21:GH21,"A"))*4)+((COUNTIF('Elève (5ème4)'!GF21:GH21,"B"))*3)+((COUNTIF('Elève (5ème4)'!GF21:GH21,"C"))*2)+((COUNTIF('Elève (5ème4)'!GF21:GH21,"D"))*1))/(COUNTA(GF21:GH21)),"")</f>
        <v/>
      </c>
      <c r="GJ21" s="187" t="str">
        <f t="shared" si="41"/>
        <v/>
      </c>
      <c r="GK21" s="143"/>
      <c r="GL21" s="144"/>
      <c r="GM21" s="145"/>
      <c r="GN21" s="149"/>
      <c r="GO21" s="186" t="str">
        <f>IFERROR((((COUNTIF('Elève (5ème4)'!GK21:GN21,"A"))*4)+((COUNTIF('Elève (5ème4)'!GK21:GN21,"B"))*3)+((COUNTIF('Elève (5ème4)'!GK21:GN21,"C"))*2)+((COUNTIF('Elève (5ème4)'!GK21:GN21,"D"))*1))/(COUNTA(GK21:GN21)),"")</f>
        <v/>
      </c>
      <c r="GP21" s="187" t="str">
        <f t="shared" si="42"/>
        <v/>
      </c>
      <c r="GQ21" s="186">
        <f>IF(COUNT(GD21,GI21,GO21)=0,"",SUM(GD21,GI21,GO21)/COUNT(GD21,GI21,GO21))</f>
        <v>1</v>
      </c>
      <c r="GR21" s="211" t="str">
        <f t="shared" si="43"/>
        <v>D</v>
      </c>
      <c r="GS21" s="143" t="s">
        <v>29</v>
      </c>
      <c r="GT21" s="144"/>
      <c r="GU21" s="145"/>
      <c r="GV21" s="186">
        <f>IFERROR((((COUNTIF('Elève (5ème4)'!GS21:GU21,"A"))*4)+((COUNTIF('Elève (5ème4)'!GS21:GU21,"B"))*3)+((COUNTIF('Elève (5ème4)'!GS21:GU21,"C"))*2)+((COUNTIF('Elève (5ème4)'!GS21:GU21,"D"))*1))/(COUNTA(GS21:GU21)),"")</f>
        <v>2</v>
      </c>
      <c r="GW21" s="187" t="str">
        <f t="shared" si="44"/>
        <v>C</v>
      </c>
      <c r="GX21" s="143"/>
      <c r="GY21" s="144"/>
      <c r="GZ21" s="145"/>
      <c r="HA21" s="186" t="str">
        <f>IFERROR((((COUNTIF('Elève (5ème4)'!GX21:GZ21,"A"))*4)+((COUNTIF('Elève (5ème4)'!GX21:GZ21,"B"))*3)+((COUNTIF('Elève (5ème4)'!GX21:GZ21,"C"))*2)+((COUNTIF('Elève (5ème4)'!GX21:GZ21,"D"))*1))/(COUNTA(GX21:GZ21)),"")</f>
        <v/>
      </c>
      <c r="HB21" s="187" t="str">
        <f t="shared" si="45"/>
        <v/>
      </c>
      <c r="HC21" s="143"/>
      <c r="HD21" s="144"/>
      <c r="HE21" s="145"/>
      <c r="HF21" s="149"/>
      <c r="HG21" s="186" t="str">
        <f>IFERROR((((COUNTIF('Elève (5ème4)'!HC21:HF21,"A"))*4)+((COUNTIF('Elève (5ème4)'!HC21:HF21,"B"))*3)+((COUNTIF('Elève (5ème4)'!HC21:HF21,"C"))*2)+((COUNTIF('Elève (5ème4)'!HC21:HF21,"D"))*1))/(COUNTA(HC21:HF21)),"")</f>
        <v/>
      </c>
      <c r="HH21" s="187" t="str">
        <f t="shared" si="46"/>
        <v/>
      </c>
      <c r="HI21" s="186">
        <f>IF(COUNT(GV21,HA21,HG21)=0,"",SUM(GV21,HA21,HG21)/COUNT(GV21,HA21,HG21))</f>
        <v>2</v>
      </c>
      <c r="HJ21" s="211" t="str">
        <f t="shared" si="47"/>
        <v>C</v>
      </c>
      <c r="HK21" s="143" t="s">
        <v>27</v>
      </c>
      <c r="HL21" s="144"/>
      <c r="HM21" s="145"/>
      <c r="HN21" s="186">
        <f>IFERROR((((COUNTIF('Elève (5ème4)'!HK21:HM21,"A"))*4)+((COUNTIF('Elève (5ème4)'!HK21:HM21,"B"))*3)+((COUNTIF('Elève (5ème4)'!HK21:HM21,"C"))*2)+((COUNTIF('Elève (5ème4)'!HK21:HM21,"D"))*1))/(COUNTA(HK21:HM21)),"")</f>
        <v>4</v>
      </c>
      <c r="HO21" s="187" t="str">
        <f t="shared" si="48"/>
        <v>A</v>
      </c>
      <c r="HP21" s="143"/>
      <c r="HQ21" s="144"/>
      <c r="HR21" s="145"/>
      <c r="HS21" s="186" t="str">
        <f>IFERROR((((COUNTIF('Elève (5ème4)'!HP21:HR21,"A"))*4)+((COUNTIF('Elève (5ème4)'!HP21:HR21,"B"))*3)+((COUNTIF('Elève (5ème4)'!HP21:HR21,"C"))*2)+((COUNTIF('Elève (5ème4)'!HP21:HR21,"D"))*1))/(COUNTA(HP21:HR21)),"")</f>
        <v/>
      </c>
      <c r="HT21" s="187" t="str">
        <f t="shared" si="49"/>
        <v/>
      </c>
      <c r="HU21" s="143"/>
      <c r="HV21" s="144"/>
      <c r="HW21" s="145"/>
      <c r="HX21" s="149"/>
      <c r="HY21" s="186" t="str">
        <f>IFERROR((((COUNTIF('Elève (5ème4)'!HU21:HX21,"A"))*4)+((COUNTIF('Elève (5ème4)'!HU21:HX21,"B"))*3)+((COUNTIF('Elève (5ème4)'!HU21:HX21,"C"))*2)+((COUNTIF('Elève (5ème4)'!HU21:HX21,"D"))*1))/(COUNTA(HU21:HX21)),"")</f>
        <v/>
      </c>
      <c r="HZ21" s="187" t="str">
        <f t="shared" si="50"/>
        <v/>
      </c>
      <c r="IA21" s="186">
        <f>IF(COUNT(HN21,HS21,HY21)=0,"",SUM(HN21,HS21,HY21)/COUNT(HN21,HS21,HY21))</f>
        <v>4</v>
      </c>
      <c r="IB21" s="211" t="str">
        <f t="shared" si="51"/>
        <v>A</v>
      </c>
      <c r="IC21" s="143" t="s">
        <v>28</v>
      </c>
      <c r="ID21" s="144"/>
      <c r="IE21" s="145"/>
      <c r="IF21" s="186">
        <f>IFERROR((((COUNTIF('Elève (5ème4)'!IC21:IE21,"A"))*4)+((COUNTIF('Elève (5ème4)'!IC21:IE21,"B"))*3)+((COUNTIF('Elève (5ème4)'!IC21:IE21,"C"))*2)+((COUNTIF('Elève (5ème4)'!IC21:IE21,"D"))*1))/(COUNTA(IC21:IE21)),"")</f>
        <v>3</v>
      </c>
      <c r="IG21" s="187" t="str">
        <f t="shared" si="52"/>
        <v>B</v>
      </c>
      <c r="IH21" s="143"/>
      <c r="II21" s="144"/>
      <c r="IJ21" s="145"/>
      <c r="IK21" s="186" t="str">
        <f>IFERROR((((COUNTIF('Elève (5ème4)'!IH21:IJ21,"A"))*4)+((COUNTIF('Elève (5ème4)'!IH21:IJ21,"B"))*3)+((COUNTIF('Elève (5ème4)'!IH21:IJ21,"C"))*2)+((COUNTIF('Elève (5ème4)'!IH21:IJ21,"D"))*1))/(COUNTA(IH21:IJ21)),"")</f>
        <v/>
      </c>
      <c r="IL21" s="187" t="str">
        <f t="shared" si="53"/>
        <v/>
      </c>
      <c r="IM21" s="143"/>
      <c r="IN21" s="144"/>
      <c r="IO21" s="145"/>
      <c r="IP21" s="149"/>
      <c r="IQ21" s="186" t="str">
        <f>IFERROR((((COUNTIF('Elève (5ème4)'!IM21:IP21,"A"))*4)+((COUNTIF('Elève (5ème4)'!IM21:IP21,"B"))*3)+((COUNTIF('Elève (5ème4)'!IM21:IP21,"C"))*2)+((COUNTIF('Elève (5ème4)'!IM21:IP21,"D"))*1))/(COUNTA(IM21:IP21)),"")</f>
        <v/>
      </c>
      <c r="IR21" s="187" t="str">
        <f t="shared" si="54"/>
        <v/>
      </c>
      <c r="IS21" s="186">
        <f>IF(COUNT(IF21,IK21,IQ21)=0,"",SUM(IF21,IK21,IQ21)/COUNT(IF21,IK21,IQ21))</f>
        <v>3</v>
      </c>
      <c r="IT21" s="211" t="str">
        <f t="shared" si="55"/>
        <v>B</v>
      </c>
      <c r="IU21" s="143" t="s">
        <v>30</v>
      </c>
      <c r="IV21" s="144"/>
      <c r="IW21" s="145"/>
      <c r="IX21" s="186">
        <f>IFERROR((((COUNTIF('Elève (5ème4)'!IU21:IW21,"A"))*4)+((COUNTIF('Elève (5ème4)'!IU21:IW21,"B"))*3)+((COUNTIF('Elève (5ème4)'!IU21:IW21,"C"))*2)+((COUNTIF('Elève (5ème4)'!IU21:IW21,"D"))*1))/(COUNTA(IU21:IW21)),"")</f>
        <v>1</v>
      </c>
      <c r="IY21" s="187" t="str">
        <f t="shared" si="56"/>
        <v>D</v>
      </c>
      <c r="IZ21" s="143"/>
      <c r="JA21" s="144"/>
      <c r="JB21" s="145"/>
      <c r="JC21" s="186" t="str">
        <f>IFERROR((((COUNTIF('Elève (5ème4)'!IZ21:JB21,"A"))*4)+((COUNTIF('Elève (5ème4)'!IZ21:JB21,"B"))*3)+((COUNTIF('Elève (5ème4)'!IZ21:JB21,"C"))*2)+((COUNTIF('Elève (5ème4)'!IZ21:JB21,"D"))*1))/(COUNTA(IZ21:JB21)),"")</f>
        <v/>
      </c>
      <c r="JD21" s="187" t="str">
        <f t="shared" si="57"/>
        <v/>
      </c>
      <c r="JE21" s="143"/>
      <c r="JF21" s="144"/>
      <c r="JG21" s="145"/>
      <c r="JH21" s="149"/>
      <c r="JI21" s="186" t="str">
        <f>IFERROR((((COUNTIF('Elève (5ème4)'!JE21:JH21,"A"))*4)+((COUNTIF('Elève (5ème4)'!JE21:JH21,"B"))*3)+((COUNTIF('Elève (5ème4)'!JE21:JH21,"C"))*2)+((COUNTIF('Elève (5ème4)'!JE21:JH21,"D"))*1))/(COUNTA(JE21:JH21)),"")</f>
        <v/>
      </c>
      <c r="JJ21" s="187" t="str">
        <f t="shared" si="58"/>
        <v/>
      </c>
      <c r="JK21" s="186">
        <f>IF(COUNT(IX21,JC21,JI21)=0,"",SUM(IX21,JC21,JI21)/COUNT(IX21,JC21,JI21))</f>
        <v>1</v>
      </c>
      <c r="JL21" s="211" t="str">
        <f t="shared" si="59"/>
        <v>D</v>
      </c>
      <c r="JM21" s="143" t="s">
        <v>30</v>
      </c>
      <c r="JN21" s="144"/>
      <c r="JO21" s="145"/>
      <c r="JP21" s="186">
        <f>IFERROR((((COUNTIF('Elève (5ème4)'!JM21:JO21,"A"))*4)+((COUNTIF('Elève (5ème4)'!JM21:JO21,"B"))*3)+((COUNTIF('Elève (5ème4)'!JM21:JO21,"C"))*2)+((COUNTIF('Elève (5ème4)'!JM21:JO21,"D"))*1))/(COUNTA(JM21:JO21)),"")</f>
        <v>1</v>
      </c>
      <c r="JQ21" s="187" t="str">
        <f t="shared" si="60"/>
        <v>D</v>
      </c>
      <c r="JR21" s="143"/>
      <c r="JS21" s="144"/>
      <c r="JT21" s="145"/>
      <c r="JU21" s="186" t="str">
        <f>IFERROR((((COUNTIF('Elève (5ème4)'!JR21:JT21,"A"))*4)+((COUNTIF('Elève (5ème4)'!JR21:JT21,"B"))*3)+((COUNTIF('Elève (5ème4)'!JR21:JT21,"C"))*2)+((COUNTIF('Elève (5ème4)'!JR21:JT21,"D"))*1))/(COUNTA(JR21:JT21)),"")</f>
        <v/>
      </c>
      <c r="JV21" s="187" t="str">
        <f t="shared" si="61"/>
        <v/>
      </c>
      <c r="JW21" s="143"/>
      <c r="JX21" s="144"/>
      <c r="JY21" s="145"/>
      <c r="JZ21" s="149"/>
      <c r="KA21" s="186" t="str">
        <f>IFERROR((((COUNTIF('Elève (5ème4)'!JW21:JZ21,"A"))*4)+((COUNTIF('Elève (5ème4)'!JW21:JZ21,"B"))*3)+((COUNTIF('Elève (5ème4)'!JW21:JZ21,"C"))*2)+((COUNTIF('Elève (5ème4)'!JW21:JZ21,"D"))*1))/(COUNTA(JW21:JZ21)),"")</f>
        <v/>
      </c>
      <c r="KB21" s="187" t="str">
        <f t="shared" si="62"/>
        <v/>
      </c>
      <c r="KC21" s="186">
        <f>IF(COUNT(JP21,JU21,KA21)=0,"",SUM(JP21,JU21,KA21)/COUNT(JP21,JU21,KA21))</f>
        <v>1</v>
      </c>
      <c r="KD21" s="211" t="str">
        <f t="shared" si="63"/>
        <v>D</v>
      </c>
      <c r="KE21" s="143" t="s">
        <v>27</v>
      </c>
      <c r="KF21" s="144"/>
      <c r="KG21" s="145"/>
      <c r="KH21" s="186">
        <f>IFERROR((((COUNTIF('Elève (5ème4)'!KE21:KG21,"A"))*4)+((COUNTIF('Elève (5ème4)'!KE21:KG21,"B"))*3)+((COUNTIF('Elève (5ème4)'!KE21:KG21,"C"))*2)+((COUNTIF('Elève (5ème4)'!KE21:KG21,"D"))*1))/(COUNTA(KE21:KG21)),"")</f>
        <v>4</v>
      </c>
      <c r="KI21" s="187" t="str">
        <f t="shared" si="64"/>
        <v>A</v>
      </c>
      <c r="KJ21" s="143"/>
      <c r="KK21" s="144"/>
      <c r="KL21" s="145"/>
      <c r="KM21" s="186" t="str">
        <f>IFERROR((((COUNTIF('Elève (5ème4)'!KJ21:KL21,"A"))*4)+((COUNTIF('Elève (5ème4)'!KJ21:KL21,"B"))*3)+((COUNTIF('Elève (5ème4)'!KJ21:KL21,"C"))*2)+((COUNTIF('Elève (5ème4)'!KJ21:KL21,"D"))*1))/(COUNTA(KJ21:KL21)),"")</f>
        <v/>
      </c>
      <c r="KN21" s="187" t="str">
        <f t="shared" si="65"/>
        <v/>
      </c>
      <c r="KO21" s="143"/>
      <c r="KP21" s="144"/>
      <c r="KQ21" s="145"/>
      <c r="KR21" s="149"/>
      <c r="KS21" s="186" t="str">
        <f>IFERROR((((COUNTIF('Elève (5ème4)'!KO21:KR21,"A"))*4)+((COUNTIF('Elève (5ème4)'!KO21:KR21,"B"))*3)+((COUNTIF('Elève (5ème4)'!KO21:KR21,"C"))*2)+((COUNTIF('Elève (5ème4)'!KO21:KR21,"D"))*1))/(COUNTA(KO21:KR21)),"")</f>
        <v/>
      </c>
      <c r="KT21" s="187" t="str">
        <f t="shared" si="66"/>
        <v/>
      </c>
      <c r="KU21" s="186">
        <f>IF(COUNT(KH21,KM21,KS21)=0,"",SUM(KH21,KM21,KS21)/COUNT(KH21,KM21,KS21))</f>
        <v>4</v>
      </c>
      <c r="KV21" s="211" t="str">
        <f t="shared" si="67"/>
        <v>A</v>
      </c>
      <c r="KW21" s="143" t="s">
        <v>30</v>
      </c>
      <c r="KX21" s="144"/>
      <c r="KY21" s="145"/>
      <c r="KZ21" s="186">
        <f>IFERROR((((COUNTIF('Elève (5ème4)'!KW21:KY21,"A"))*4)+((COUNTIF('Elève (5ème4)'!KW21:KY21,"B"))*3)+((COUNTIF('Elève (5ème4)'!KW21:KY21,"C"))*2)+((COUNTIF('Elève (5ème4)'!KW21:KY21,"D"))*1))/(COUNTA(KW21:KY21)),"")</f>
        <v>1</v>
      </c>
      <c r="LA21" s="187" t="str">
        <f t="shared" si="68"/>
        <v>D</v>
      </c>
      <c r="LB21" s="143"/>
      <c r="LC21" s="144"/>
      <c r="LD21" s="145"/>
      <c r="LE21" s="186" t="str">
        <f>IFERROR((((COUNTIF('Elève (5ème4)'!LB21:LD21,"A"))*4)+((COUNTIF('Elève (5ème4)'!LB21:LD21,"B"))*3)+((COUNTIF('Elève (5ème4)'!LB21:LD21,"C"))*2)+((COUNTIF('Elève (5ème4)'!LB21:LD21,"D"))*1))/(COUNTA(LB21:LD21)),"")</f>
        <v/>
      </c>
      <c r="LF21" s="187" t="str">
        <f t="shared" si="69"/>
        <v/>
      </c>
      <c r="LG21" s="143"/>
      <c r="LH21" s="144"/>
      <c r="LI21" s="145"/>
      <c r="LJ21" s="149"/>
      <c r="LK21" s="186" t="str">
        <f>IFERROR((((COUNTIF('Elève (5ème4)'!LG21:LJ21,"A"))*4)+((COUNTIF('Elève (5ème4)'!LG21:LJ21,"B"))*3)+((COUNTIF('Elève (5ème4)'!LG21:LJ21,"C"))*2)+((COUNTIF('Elève (5ème4)'!LG21:LJ21,"D"))*1))/(COUNTA(LG21:LJ21)),"")</f>
        <v/>
      </c>
      <c r="LL21" s="187" t="str">
        <f t="shared" si="70"/>
        <v/>
      </c>
      <c r="LM21" s="186">
        <f>IF(COUNT(KZ21,LE21,LK21)=0,"",SUM(KZ21,LE21,LK21)/COUNT(KZ21,LE21,LK21))</f>
        <v>1</v>
      </c>
      <c r="LN21" s="211" t="str">
        <f t="shared" si="71"/>
        <v>D</v>
      </c>
      <c r="LO21" s="143" t="s">
        <v>30</v>
      </c>
      <c r="LP21" s="144"/>
      <c r="LQ21" s="145"/>
      <c r="LR21" s="186">
        <f>IFERROR((((COUNTIF('Elève (5ème4)'!LO21:LQ21,"A"))*4)+((COUNTIF('Elève (5ème4)'!LO21:LQ21,"B"))*3)+((COUNTIF('Elève (5ème4)'!LO21:LQ21,"C"))*2)+((COUNTIF('Elève (5ème4)'!LO21:LQ21,"D"))*1))/(COUNTA(LO21:LQ21)),"")</f>
        <v>1</v>
      </c>
      <c r="LS21" s="187" t="str">
        <f t="shared" si="72"/>
        <v>D</v>
      </c>
      <c r="LT21" s="143"/>
      <c r="LU21" s="144"/>
      <c r="LV21" s="145"/>
      <c r="LW21" s="186" t="str">
        <f>IFERROR((((COUNTIF('Elève (5ème4)'!LT21:LV21,"A"))*4)+((COUNTIF('Elève (5ème4)'!LT21:LV21,"B"))*3)+((COUNTIF('Elève (5ème4)'!LT21:LV21,"C"))*2)+((COUNTIF('Elève (5ème4)'!LT21:LV21,"D"))*1))/(COUNTA(LT21:LV21)),"")</f>
        <v/>
      </c>
      <c r="LX21" s="187" t="str">
        <f t="shared" si="73"/>
        <v/>
      </c>
      <c r="LY21" s="143"/>
      <c r="LZ21" s="144"/>
      <c r="MA21" s="145"/>
      <c r="MB21" s="149"/>
      <c r="MC21" s="186" t="str">
        <f>IFERROR((((COUNTIF('Elève (5ème4)'!LY21:MB21,"A"))*4)+((COUNTIF('Elève (5ème4)'!LY21:MB21,"B"))*3)+((COUNTIF('Elève (5ème4)'!LY21:MB21,"C"))*2)+((COUNTIF('Elève (5ème4)'!LY21:MB21,"D"))*1))/(COUNTA(LY21:MB21)),"")</f>
        <v/>
      </c>
      <c r="MD21" s="187" t="str">
        <f t="shared" si="74"/>
        <v/>
      </c>
      <c r="ME21" s="186">
        <f>IF(COUNT(LR21,LW21,MC21)=0,"",SUM(LR21,LW21,MC21)/COUNT(LR21,LW21,MC21))</f>
        <v>1</v>
      </c>
      <c r="MF21" s="211" t="str">
        <f t="shared" si="75"/>
        <v>D</v>
      </c>
      <c r="MG21" s="143" t="s">
        <v>29</v>
      </c>
      <c r="MH21" s="144"/>
      <c r="MI21" s="145"/>
      <c r="MJ21" s="186">
        <f>IFERROR((((COUNTIF('Elève (5ème4)'!MG21:MI21,"A"))*4)+((COUNTIF('Elève (5ème4)'!MG21:MI21,"B"))*3)+((COUNTIF('Elève (5ème4)'!MG21:MI21,"C"))*2)+((COUNTIF('Elève (5ème4)'!MG21:MI21,"D"))*1))/(COUNTA(MG21:MI21)),"")</f>
        <v>2</v>
      </c>
      <c r="MK21" s="187" t="str">
        <f t="shared" si="76"/>
        <v>C</v>
      </c>
      <c r="ML21" s="143"/>
      <c r="MM21" s="144"/>
      <c r="MN21" s="145"/>
      <c r="MO21" s="186" t="str">
        <f>IFERROR((((COUNTIF('Elève (5ème4)'!ML21:MN21,"A"))*4)+((COUNTIF('Elève (5ème4)'!ML21:MN21,"B"))*3)+((COUNTIF('Elève (5ème4)'!ML21:MN21,"C"))*2)+((COUNTIF('Elève (5ème4)'!ML21:MN21,"D"))*1))/(COUNTA(ML21:MN21)),"")</f>
        <v/>
      </c>
      <c r="MP21" s="187" t="str">
        <f t="shared" si="77"/>
        <v/>
      </c>
      <c r="MQ21" s="143"/>
      <c r="MR21" s="144"/>
      <c r="MS21" s="145"/>
      <c r="MT21" s="149"/>
      <c r="MU21" s="186" t="str">
        <f>IFERROR((((COUNTIF('Elève (5ème4)'!MQ21:MT21,"A"))*4)+((COUNTIF('Elève (5ème4)'!MQ21:MT21,"B"))*3)+((COUNTIF('Elève (5ème4)'!MQ21:MT21,"C"))*2)+((COUNTIF('Elève (5ème4)'!MQ21:MT21,"D"))*1))/(COUNTA(MQ21:MT21)),"")</f>
        <v/>
      </c>
      <c r="MV21" s="187" t="str">
        <f t="shared" si="78"/>
        <v/>
      </c>
      <c r="MW21" s="186">
        <f>IF(COUNT(MJ21,MO21,MU21)=0,"",SUM(MJ21,MO21,MU21)/COUNT(MJ21,MO21,MU21))</f>
        <v>2</v>
      </c>
      <c r="MX21" s="211" t="str">
        <f t="shared" si="79"/>
        <v>C</v>
      </c>
      <c r="MY21" s="143" t="s">
        <v>30</v>
      </c>
      <c r="MZ21" s="144"/>
      <c r="NA21" s="145"/>
      <c r="NB21" s="186">
        <f>IFERROR((((COUNTIF('Elève (5ème4)'!MY21:NA21,"A"))*4)+((COUNTIF('Elève (5ème4)'!MY21:NA21,"B"))*3)+((COUNTIF('Elève (5ème4)'!MY21:NA21,"C"))*2)+((COUNTIF('Elève (5ème4)'!MY21:NA21,"D"))*1))/(COUNTA(MY21:NA21)),"")</f>
        <v>1</v>
      </c>
      <c r="NC21" s="187" t="str">
        <f t="shared" si="80"/>
        <v>D</v>
      </c>
      <c r="ND21" s="143"/>
      <c r="NE21" s="144"/>
      <c r="NF21" s="145"/>
      <c r="NG21" s="186" t="str">
        <f>IFERROR((((COUNTIF('Elève (5ème4)'!ND21:NF21,"A"))*4)+((COUNTIF('Elève (5ème4)'!ND21:NF21,"B"))*3)+((COUNTIF('Elève (5ème4)'!ND21:NF21,"C"))*2)+((COUNTIF('Elève (5ème4)'!ND21:NF21,"D"))*1))/(COUNTA(ND21:NF21)),"")</f>
        <v/>
      </c>
      <c r="NH21" s="187" t="str">
        <f t="shared" si="81"/>
        <v/>
      </c>
      <c r="NI21" s="143"/>
      <c r="NJ21" s="144"/>
      <c r="NK21" s="145"/>
      <c r="NL21" s="149"/>
      <c r="NM21" s="186" t="str">
        <f>IFERROR((((COUNTIF('Elève (5ème4)'!NI21:NL21,"A"))*4)+((COUNTIF('Elève (5ème4)'!NI21:NL21,"B"))*3)+((COUNTIF('Elève (5ème4)'!NI21:NL21,"C"))*2)+((COUNTIF('Elève (5ème4)'!NI21:NL21,"D"))*1))/(COUNTA(NI21:NL21)),"")</f>
        <v/>
      </c>
      <c r="NN21" s="187" t="str">
        <f t="shared" si="82"/>
        <v/>
      </c>
      <c r="NO21" s="186">
        <f>IF(COUNT(NB21,NG21,NM21)=0,"",SUM(NB21,NG21,NM21)/COUNT(NB21,NG21,NM21))</f>
        <v>1</v>
      </c>
      <c r="NP21" s="211" t="str">
        <f t="shared" si="83"/>
        <v>D</v>
      </c>
      <c r="NQ21" s="143" t="s">
        <v>29</v>
      </c>
      <c r="NR21" s="144"/>
      <c r="NS21" s="145"/>
      <c r="NT21" s="186">
        <f>IFERROR((((COUNTIF('Elève (5ème4)'!NQ21:NS21,"A"))*4)+((COUNTIF('Elève (5ème4)'!NQ21:NS21,"B"))*3)+((COUNTIF('Elève (5ème4)'!NQ21:NS21,"C"))*2)+((COUNTIF('Elève (5ème4)'!NQ21:NS21,"D"))*1))/(COUNTA(NQ21:NS21)),"")</f>
        <v>2</v>
      </c>
      <c r="NU21" s="187" t="str">
        <f t="shared" si="84"/>
        <v>C</v>
      </c>
      <c r="NV21" s="143"/>
      <c r="NW21" s="144"/>
      <c r="NX21" s="145"/>
      <c r="NY21" s="186" t="str">
        <f>IFERROR((((COUNTIF('Elève (5ème4)'!NV21:NX21,"A"))*4)+((COUNTIF('Elève (5ème4)'!NV21:NX21,"B"))*3)+((COUNTIF('Elève (5ème4)'!NV21:NX21,"C"))*2)+((COUNTIF('Elève (5ème4)'!NV21:NX21,"D"))*1))/(COUNTA(NV21:NX21)),"")</f>
        <v/>
      </c>
      <c r="NZ21" s="187" t="str">
        <f t="shared" si="85"/>
        <v/>
      </c>
      <c r="OA21" s="143"/>
      <c r="OB21" s="144"/>
      <c r="OC21" s="145"/>
      <c r="OD21" s="149"/>
      <c r="OE21" s="186" t="str">
        <f>IFERROR((((COUNTIF('Elève (5ème4)'!OA21:OD21,"A"))*4)+((COUNTIF('Elève (5ème4)'!OA21:OD21,"B"))*3)+((COUNTIF('Elève (5ème4)'!OA21:OD21,"C"))*2)+((COUNTIF('Elève (5ème4)'!OA21:OD21,"D"))*1))/(COUNTA(OA21:OD21)),"")</f>
        <v/>
      </c>
      <c r="OF21" s="187" t="str">
        <f t="shared" si="86"/>
        <v/>
      </c>
      <c r="OG21" s="186">
        <f>IF(COUNT(NT21,NY21,OE21)=0,"",SUM(NT21,NY21,OE21)/COUNT(NT21,NY21,OE21))</f>
        <v>2</v>
      </c>
      <c r="OH21" s="211" t="str">
        <f t="shared" si="87"/>
        <v>C</v>
      </c>
      <c r="OI21" s="143" t="s">
        <v>29</v>
      </c>
      <c r="OJ21" s="144"/>
      <c r="OK21" s="145"/>
      <c r="OL21" s="186">
        <f>IFERROR((((COUNTIF('Elève (5ème4)'!OI21:OK21,"A"))*4)+((COUNTIF('Elève (5ème4)'!OI21:OK21,"B"))*3)+((COUNTIF('Elève (5ème4)'!OI21:OK21,"C"))*2)+((COUNTIF('Elève (5ème4)'!OI21:OK21,"D"))*1))/(COUNTA(OI21:OK21)),"")</f>
        <v>2</v>
      </c>
      <c r="OM21" s="187" t="str">
        <f t="shared" si="88"/>
        <v>C</v>
      </c>
      <c r="ON21" s="143"/>
      <c r="OO21" s="144"/>
      <c r="OP21" s="145"/>
      <c r="OQ21" s="186" t="str">
        <f>IFERROR((((COUNTIF('Elève (5ème4)'!ON21:OP21,"A"))*4)+((COUNTIF('Elève (5ème4)'!ON21:OP21,"B"))*3)+((COUNTIF('Elève (5ème4)'!ON21:OP21,"C"))*2)+((COUNTIF('Elève (5ème4)'!ON21:OP21,"D"))*1))/(COUNTA(ON21:OP21)),"")</f>
        <v/>
      </c>
      <c r="OR21" s="187" t="str">
        <f t="shared" si="89"/>
        <v/>
      </c>
      <c r="OS21" s="143"/>
      <c r="OT21" s="144"/>
      <c r="OU21" s="145"/>
      <c r="OV21" s="149"/>
      <c r="OW21" s="186" t="str">
        <f>IFERROR((((COUNTIF('Elève (5ème4)'!OS21:OV21,"A"))*4)+((COUNTIF('Elève (5ème4)'!OS21:OV21,"B"))*3)+((COUNTIF('Elève (5ème4)'!OS21:OV21,"C"))*2)+((COUNTIF('Elève (5ème4)'!OS21:OV21,"D"))*1))/(COUNTA(OS21:OV21)),"")</f>
        <v/>
      </c>
      <c r="OX21" s="187" t="str">
        <f t="shared" si="90"/>
        <v/>
      </c>
      <c r="OY21" s="186">
        <f>IF(COUNT(OL21,OQ21,OW21)=0,"",SUM(OL21,OQ21,OW21)/COUNT(OL21,OQ21,OW21))</f>
        <v>2</v>
      </c>
      <c r="OZ21" s="211" t="str">
        <f t="shared" si="91"/>
        <v>C</v>
      </c>
      <c r="PA21" s="143" t="s">
        <v>28</v>
      </c>
      <c r="PB21" s="144"/>
      <c r="PC21" s="145"/>
      <c r="PD21" s="186">
        <f>IFERROR((((COUNTIF('Elève (5ème4)'!PA21:PC21,"A"))*4)+((COUNTIF('Elève (5ème4)'!PA21:PC21,"B"))*3)+((COUNTIF('Elève (5ème4)'!PA21:PC21,"C"))*2)+((COUNTIF('Elève (5ème4)'!PA21:PC21,"D"))*1))/(COUNTA(PA21:PC21)),"")</f>
        <v>3</v>
      </c>
      <c r="PE21" s="187" t="str">
        <f t="shared" si="92"/>
        <v>B</v>
      </c>
      <c r="PF21" s="143"/>
      <c r="PG21" s="144"/>
      <c r="PH21" s="145"/>
      <c r="PI21" s="186" t="str">
        <f>IFERROR((((COUNTIF('Elève (5ème4)'!PF21:PH21,"A"))*4)+((COUNTIF('Elève (5ème4)'!PF21:PH21,"B"))*3)+((COUNTIF('Elève (5ème4)'!PF21:PH21,"C"))*2)+((COUNTIF('Elève (5ème4)'!PF21:PH21,"D"))*1))/(COUNTA(PF21:PH21)),"")</f>
        <v/>
      </c>
      <c r="PJ21" s="187" t="str">
        <f t="shared" si="93"/>
        <v/>
      </c>
      <c r="PK21" s="143"/>
      <c r="PL21" s="144"/>
      <c r="PM21" s="145"/>
      <c r="PN21" s="149"/>
      <c r="PO21" s="186" t="str">
        <f>IFERROR((((COUNTIF('Elève (5ème4)'!PK21:PN21,"A"))*4)+((COUNTIF('Elève (5ème4)'!PK21:PN21,"B"))*3)+((COUNTIF('Elève (5ème4)'!PK21:PN21,"C"))*2)+((COUNTIF('Elève (5ème4)'!PK21:PN21,"D"))*1))/(COUNTA(PK21:PN21)),"")</f>
        <v/>
      </c>
      <c r="PP21" s="187" t="str">
        <f t="shared" si="94"/>
        <v/>
      </c>
      <c r="PQ21" s="186">
        <f>IF(COUNT(PD21,PI21,PO21)=0,"",SUM(PD21,PI21,PO21)/COUNT(PD21,PI21,PO21))</f>
        <v>3</v>
      </c>
      <c r="PR21" s="211" t="str">
        <f t="shared" si="95"/>
        <v>B</v>
      </c>
      <c r="PS21" s="143" t="s">
        <v>30</v>
      </c>
      <c r="PT21" s="144"/>
      <c r="PU21" s="145"/>
      <c r="PV21" s="186">
        <f>IFERROR((((COUNTIF('Elève (5ème4)'!PS21:PU21,"A"))*4)+((COUNTIF('Elève (5ème4)'!PS21:PU21,"B"))*3)+((COUNTIF('Elève (5ème4)'!PS21:PU21,"C"))*2)+((COUNTIF('Elève (5ème4)'!PS21:PU21,"D"))*1))/(COUNTA(PS21:PU21)),"")</f>
        <v>1</v>
      </c>
      <c r="PW21" s="187" t="str">
        <f t="shared" si="96"/>
        <v>D</v>
      </c>
      <c r="PX21" s="143"/>
      <c r="PY21" s="144"/>
      <c r="PZ21" s="145"/>
      <c r="QA21" s="186" t="str">
        <f>IFERROR((((COUNTIF('Elève (5ème4)'!PX21:PZ21,"A"))*4)+((COUNTIF('Elève (5ème4)'!PX21:PZ21,"B"))*3)+((COUNTIF('Elève (5ème4)'!PX21:PZ21,"C"))*2)+((COUNTIF('Elève (5ème4)'!PX21:PZ21,"D"))*1))/(COUNTA(PX21:PZ21)),"")</f>
        <v/>
      </c>
      <c r="QB21" s="187" t="str">
        <f t="shared" si="97"/>
        <v/>
      </c>
      <c r="QC21" s="143"/>
      <c r="QD21" s="144"/>
      <c r="QE21" s="145"/>
      <c r="QF21" s="149"/>
      <c r="QG21" s="186" t="str">
        <f>IFERROR((((COUNTIF('Elève (5ème4)'!QC21:QF21,"A"))*4)+((COUNTIF('Elève (5ème4)'!QC21:QF21,"B"))*3)+((COUNTIF('Elève (5ème4)'!QC21:QF21,"C"))*2)+((COUNTIF('Elève (5ème4)'!QC21:QF21,"D"))*1))/(COUNTA(QC21:QF21)),"")</f>
        <v/>
      </c>
      <c r="QH21" s="187" t="str">
        <f t="shared" si="98"/>
        <v/>
      </c>
      <c r="QI21" s="186">
        <f>IF(COUNT(PV21,QA21,QG21)=0,"",SUM(PV21,QA21,QG21)/COUNT(PV21,QA21,QG21))</f>
        <v>1</v>
      </c>
      <c r="QJ21" s="211" t="str">
        <f t="shared" si="99"/>
        <v>D</v>
      </c>
      <c r="QK21" s="143" t="s">
        <v>30</v>
      </c>
      <c r="QL21" s="144"/>
      <c r="QM21" s="145"/>
      <c r="QN21" s="186">
        <f>IFERROR((((COUNTIF('Elève (5ème4)'!QK21:QM21,"A"))*4)+((COUNTIF('Elève (5ème4)'!QK21:QM21,"B"))*3)+((COUNTIF('Elève (5ème4)'!QK21:QM21,"C"))*2)+((COUNTIF('Elève (5ème4)'!QK21:QM21,"D"))*1))/(COUNTA(QK21:QM21)),"")</f>
        <v>1</v>
      </c>
      <c r="QO21" s="187" t="str">
        <f t="shared" si="100"/>
        <v>D</v>
      </c>
      <c r="QP21" s="143"/>
      <c r="QQ21" s="144"/>
      <c r="QR21" s="145"/>
      <c r="QS21" s="186" t="str">
        <f>IFERROR((((COUNTIF('Elève (5ème4)'!QP21:QR21,"A"))*4)+((COUNTIF('Elève (5ème4)'!QP21:QR21,"B"))*3)+((COUNTIF('Elève (5ème4)'!QP21:QR21,"C"))*2)+((COUNTIF('Elève (5ème4)'!QP21:QR21,"D"))*1))/(COUNTA(QP21:QR21)),"")</f>
        <v/>
      </c>
      <c r="QT21" s="187" t="str">
        <f t="shared" si="101"/>
        <v/>
      </c>
      <c r="QU21" s="143"/>
      <c r="QV21" s="144"/>
      <c r="QW21" s="145"/>
      <c r="QX21" s="149"/>
      <c r="QY21" s="186" t="str">
        <f>IFERROR((((COUNTIF('Elève (5ème4)'!QU21:QX21,"A"))*4)+((COUNTIF('Elève (5ème4)'!QU21:QX21,"B"))*3)+((COUNTIF('Elève (5ème4)'!QU21:QX21,"C"))*2)+((COUNTIF('Elève (5ème4)'!QU21:QX21,"D"))*1))/(COUNTA(QU21:QX21)),"")</f>
        <v/>
      </c>
      <c r="QZ21" s="187" t="str">
        <f t="shared" si="102"/>
        <v/>
      </c>
      <c r="RA21" s="186">
        <f>IF(COUNT(QN21,QS21,QY21)=0,"",SUM(QN21,QS21,QY21)/COUNT(QN21,QS21,QY21))</f>
        <v>1</v>
      </c>
      <c r="RB21" s="211" t="str">
        <f t="shared" si="103"/>
        <v>D</v>
      </c>
      <c r="RC21" s="143" t="s">
        <v>30</v>
      </c>
      <c r="RD21" s="144"/>
      <c r="RE21" s="145"/>
      <c r="RF21" s="186">
        <f>IFERROR((((COUNTIF('Elève (5ème4)'!RC21:RE21,"A"))*4)+((COUNTIF('Elève (5ème4)'!RC21:RE21,"B"))*3)+((COUNTIF('Elève (5ème4)'!RC21:RE21,"C"))*2)+((COUNTIF('Elève (5ème4)'!RC21:RE21,"D"))*1))/(COUNTA(RC21:RE21)),"")</f>
        <v>1</v>
      </c>
      <c r="RG21" s="187" t="str">
        <f t="shared" si="104"/>
        <v>D</v>
      </c>
      <c r="RH21" s="143"/>
      <c r="RI21" s="144"/>
      <c r="RJ21" s="145"/>
      <c r="RK21" s="186" t="str">
        <f>IFERROR((((COUNTIF('Elève (5ème4)'!RH21:RJ21,"A"))*4)+((COUNTIF('Elève (5ème4)'!RH21:RJ21,"B"))*3)+((COUNTIF('Elève (5ème4)'!RH21:RJ21,"C"))*2)+((COUNTIF('Elève (5ème4)'!RH21:RJ21,"D"))*1))/(COUNTA(RH21:RJ21)),"")</f>
        <v/>
      </c>
      <c r="RL21" s="187" t="str">
        <f t="shared" si="105"/>
        <v/>
      </c>
      <c r="RM21" s="143"/>
      <c r="RN21" s="144"/>
      <c r="RO21" s="145"/>
      <c r="RP21" s="149"/>
      <c r="RQ21" s="186" t="str">
        <f>IFERROR((((COUNTIF('Elève (5ème4)'!RM21:RP21,"A"))*4)+((COUNTIF('Elève (5ème4)'!RM21:RP21,"B"))*3)+((COUNTIF('Elève (5ème4)'!RM21:RP21,"C"))*2)+((COUNTIF('Elève (5ème4)'!RM21:RP21,"D"))*1))/(COUNTA(RM21:RP21)),"")</f>
        <v/>
      </c>
      <c r="RR21" s="187" t="str">
        <f t="shared" si="106"/>
        <v/>
      </c>
      <c r="RS21" s="186">
        <f>IF(COUNT(RF21,RK21,RQ21)=0,"",SUM(RF21,RK21,RQ21)/COUNT(RF21,RK21,RQ21))</f>
        <v>1</v>
      </c>
      <c r="RT21" s="211" t="str">
        <f t="shared" si="107"/>
        <v>D</v>
      </c>
      <c r="RU21" s="143" t="s">
        <v>28</v>
      </c>
      <c r="RV21" s="144"/>
      <c r="RW21" s="145"/>
      <c r="RX21" s="186">
        <f>IFERROR((((COUNTIF('Elève (5ème4)'!RU21:RW21,"A"))*4)+((COUNTIF('Elève (5ème4)'!RU21:RW21,"B"))*3)+((COUNTIF('Elève (5ème4)'!RU21:RW21,"C"))*2)+((COUNTIF('Elève (5ème4)'!RU21:RW21,"D"))*1))/(COUNTA(RU21:RW21)),"")</f>
        <v>3</v>
      </c>
      <c r="RY21" s="187" t="str">
        <f t="shared" si="108"/>
        <v>B</v>
      </c>
      <c r="RZ21" s="143"/>
      <c r="SA21" s="144"/>
      <c r="SB21" s="145"/>
      <c r="SC21" s="186" t="str">
        <f>IFERROR((((COUNTIF('Elève (5ème4)'!RZ21:SB21,"A"))*4)+((COUNTIF('Elève (5ème4)'!RZ21:SB21,"B"))*3)+((COUNTIF('Elève (5ème4)'!RZ21:SB21,"C"))*2)+((COUNTIF('Elève (5ème4)'!RZ21:SB21,"D"))*1))/(COUNTA(RZ21:SB21)),"")</f>
        <v/>
      </c>
      <c r="SD21" s="187" t="str">
        <f t="shared" si="109"/>
        <v/>
      </c>
      <c r="SE21" s="143"/>
      <c r="SF21" s="144"/>
      <c r="SG21" s="145"/>
      <c r="SH21" s="149"/>
      <c r="SI21" s="186" t="str">
        <f>IFERROR((((COUNTIF('Elève (5ème4)'!SE21:SH21,"A"))*4)+((COUNTIF('Elève (5ème4)'!SE21:SH21,"B"))*3)+((COUNTIF('Elève (5ème4)'!SE21:SH21,"C"))*2)+((COUNTIF('Elève (5ème4)'!SE21:SH21,"D"))*1))/(COUNTA(SE21:SH21)),"")</f>
        <v/>
      </c>
      <c r="SJ21" s="187" t="str">
        <f t="shared" si="110"/>
        <v/>
      </c>
      <c r="SK21" s="186">
        <f>IF(COUNT(RX21,SC21,SI21)=0,"",SUM(RX21,SC21,SI21)/COUNT(RX21,SC21,SI21))</f>
        <v>3</v>
      </c>
      <c r="SL21" s="211" t="str">
        <f t="shared" si="111"/>
        <v>B</v>
      </c>
      <c r="SM21" s="143"/>
      <c r="SN21" s="144"/>
      <c r="SO21" s="145"/>
      <c r="SP21" s="146" t="str">
        <f>IFERROR((((COUNTIF('Elève (5ème4)'!SM21:SO21,"A"))*4)+((COUNTIF('Elève (5ème4)'!SM21:SO21,"B"))*3)+((COUNTIF('Elève (5ème4)'!SM21:SO21,"C"))*2)+((COUNTIF('Elève (5ème4)'!SM21:SO21,"D"))*1))/(COUNTA(SM21:SO21)),"")</f>
        <v/>
      </c>
      <c r="SQ21" s="147" t="str">
        <f t="shared" si="112"/>
        <v/>
      </c>
      <c r="SR21" s="143"/>
      <c r="SS21" s="144"/>
      <c r="ST21" s="145"/>
      <c r="SU21" s="146" t="str">
        <f>IFERROR((((COUNTIF('Elève (5ème4)'!SR21:ST21,"A"))*4)+((COUNTIF('Elève (5ème4)'!SR21:ST21,"B"))*3)+((COUNTIF('Elève (5ème4)'!SR21:ST21,"C"))*2)+((COUNTIF('Elève (5ème4)'!SR21:ST21,"D"))*1))/(COUNTA(SR21:ST21)),"")</f>
        <v/>
      </c>
      <c r="SV21" s="147" t="str">
        <f t="shared" si="113"/>
        <v/>
      </c>
      <c r="SW21" s="143"/>
      <c r="SX21" s="144"/>
      <c r="SY21" s="149"/>
      <c r="SZ21" s="146" t="str">
        <f>IFERROR((((COUNTIF('Elève (5ème4)'!SW21:SY21,"A"))*4)+((COUNTIF('Elève (5ème4)'!SW21:SY21,"B"))*3)+((COUNTIF('Elève (5ème4)'!SW21:SY21,"C"))*2)+((COUNTIF('Elève (5ème4)'!SW21:SY21,"D"))*1))/(COUNTA(SW21:SY21)),"")</f>
        <v/>
      </c>
      <c r="TA21" s="147" t="str">
        <f t="shared" si="114"/>
        <v/>
      </c>
      <c r="TB21" s="146" t="str">
        <f>IF(COUNT(SP21,SU21,SZ21)=0,"",SUM(SP21,SU21,SZ21)/COUNT(SP21,SU21,SZ21))</f>
        <v/>
      </c>
      <c r="TC21" s="148" t="str">
        <f t="shared" si="115"/>
        <v/>
      </c>
      <c r="TD21" s="143"/>
      <c r="TE21" s="144"/>
      <c r="TF21" s="145"/>
      <c r="TG21" s="146" t="str">
        <f>IFERROR((((COUNTIF('Elève (5ème4)'!TD21:TF21,"A"))*4)+((COUNTIF('Elève (5ème4)'!TD21:TF21,"B"))*3)+((COUNTIF('Elève (5ème4)'!TD21:TF21,"C"))*2)+((COUNTIF('Elève (5ème4)'!TD21:TF21,"D"))*1))/(COUNTA(TD21:TF21)),"")</f>
        <v/>
      </c>
      <c r="TH21" s="147" t="str">
        <f t="shared" si="116"/>
        <v/>
      </c>
      <c r="TI21" s="143"/>
      <c r="TJ21" s="144"/>
      <c r="TK21" s="145"/>
      <c r="TL21" s="146" t="str">
        <f>IFERROR((((COUNTIF('Elève (5ème4)'!TI21:TK21,"A"))*4)+((COUNTIF('Elève (5ème4)'!TI21:TK21,"B"))*3)+((COUNTIF('Elève (5ème4)'!TI21:TK21,"C"))*2)+((COUNTIF('Elève (5ème4)'!TI21:TK21,"D"))*1))/(COUNTA(TI21:TK21)),"")</f>
        <v/>
      </c>
      <c r="TM21" s="147" t="str">
        <f t="shared" si="117"/>
        <v/>
      </c>
      <c r="TN21" s="143"/>
      <c r="TO21" s="144"/>
      <c r="TP21" s="149"/>
      <c r="TQ21" s="146" t="str">
        <f>IFERROR((((COUNTIF('Elève (5ème4)'!TN21:TP21,"A"))*4)+((COUNTIF('Elève (5ème4)'!TN21:TP21,"B"))*3)+((COUNTIF('Elève (5ème4)'!TN21:TP21,"C"))*2)+((COUNTIF('Elève (5ème4)'!TN21:TP21,"D"))*1))/(COUNTA(TN21:TP21)),"")</f>
        <v/>
      </c>
      <c r="TR21" s="147" t="str">
        <f t="shared" si="118"/>
        <v/>
      </c>
      <c r="TS21" s="146" t="str">
        <f>IF(COUNT(TG21,TL21,TQ21)=0,"",SUM(TG21,TL21,TQ21)/COUNT(TG21,TL21,TQ21))</f>
        <v/>
      </c>
      <c r="TT21" s="148" t="str">
        <f t="shared" si="119"/>
        <v/>
      </c>
    </row>
    <row r="22" spans="1:540" ht="15.75" thickBot="1" x14ac:dyDescent="0.3">
      <c r="A22" s="242" t="s">
        <v>26</v>
      </c>
      <c r="B22" s="243"/>
      <c r="C22" s="150"/>
      <c r="D22" s="150"/>
      <c r="E22" s="150"/>
      <c r="F22" s="188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>2.6666666666666665</v>
      </c>
      <c r="G22" s="189">
        <f>IF(F22="","",F22*5)</f>
        <v>13.333333333333332</v>
      </c>
      <c r="H22" s="81"/>
      <c r="I22" s="81"/>
      <c r="J22" s="81"/>
      <c r="K22" s="188">
        <f>IF(COUNT(K20,K16,K13,K10,K4)=0,"",SUM($B$4*IF(COUNT(K4)=0,0,K4),$B$10*IF(COUNT(K10)=0,0,K10),$B$13*IF(COUNT(K13)=0,0,K13),$B$16*IF(COUNT(K16)=0,0,K16),$B$20*IF(COUNT(K20)=0,0,K20))/SUM($B$4*COUNT(K4),$B$10*COUNT(K10),$B$13*COUNT(K13),$B$16*COUNT(K16),$B$20*COUNT(K20)))</f>
        <v>3.2916666666666665</v>
      </c>
      <c r="L22" s="195">
        <f>IF(K22="","",K22*5)</f>
        <v>16.458333333333332</v>
      </c>
      <c r="M22" s="81"/>
      <c r="N22" s="81"/>
      <c r="O22" s="81"/>
      <c r="P22" s="81"/>
      <c r="Q22" s="188">
        <f>IF(COUNT(Q20,Q16,Q13,Q10,Q4)=0,"",SUM($B$4*IF(COUNT(Q4)=0,0,Q4),$B$10*IF(COUNT(Q10)=0,0,Q10),$B$13*IF(COUNT(Q13)=0,0,Q13),$B$16*IF(COUNT(Q16)=0,0,Q16),$B$20*IF(COUNT(Q20)=0,0,Q20))/SUM($B$4*COUNT(Q4),$B$10*COUNT(Q10),$B$13*COUNT(Q13),$B$16*COUNT(Q16),$B$20*COUNT(Q20)))</f>
        <v>2.7777777777777781</v>
      </c>
      <c r="R22" s="212">
        <f>IF(Q22="","",Q22*5)</f>
        <v>13.888888888888891</v>
      </c>
      <c r="S22" s="175"/>
      <c r="T22" s="175"/>
      <c r="U22" s="150"/>
      <c r="V22" s="150"/>
      <c r="W22" s="150"/>
      <c r="X22" s="188">
        <f>IF(COUNT(X20,X16,X13,X10,X4)=0,"",SUM($B$4*IF(COUNT(X4)=0,0,X4),$B$10*IF(COUNT(X10)=0,0,X10),$B$13*IF(COUNT(X13)=0,0,X13),$B$16*IF(COUNT(X16)=0,0,X16),$B$20*IF(COUNT(X20)=0,0,X20))/SUM($B$4*COUNT(X4),$B$10*COUNT(X10),$B$13*COUNT(X13),$B$16*COUNT(X16),$B$20*COUNT(X20)))</f>
        <v>2.6666666666666665</v>
      </c>
      <c r="Y22" s="189">
        <f>IF(X22="","",X22*5)</f>
        <v>13.333333333333332</v>
      </c>
      <c r="Z22" s="81"/>
      <c r="AA22" s="81"/>
      <c r="AB22" s="81"/>
      <c r="AC22" s="188">
        <f>IF(COUNT(AC20,AC16,AC13,AC10,AC4)=0,"",SUM($B$4*IF(COUNT(AC4)=0,0,AC4),$B$10*IF(COUNT(AC10)=0,0,AC10),$B$13*IF(COUNT(AC13)=0,0,AC13),$B$16*IF(COUNT(AC16)=0,0,AC16),$B$20*IF(COUNT(AC20)=0,0,AC20))/SUM($B$4*COUNT(AC4),$B$10*COUNT(AC10),$B$13*COUNT(AC13),$B$16*COUNT(AC16),$B$20*COUNT(AC20)))</f>
        <v>2.8333333333333335</v>
      </c>
      <c r="AD22" s="195">
        <f>IF(AC22="","",AC22*5)</f>
        <v>14.166666666666668</v>
      </c>
      <c r="AE22" s="81"/>
      <c r="AF22" s="81"/>
      <c r="AG22" s="81"/>
      <c r="AH22" s="81"/>
      <c r="AI22" s="188">
        <f>IF(COUNT(AI20,AI16,AI13,AI10,AI4)=0,"",SUM($B$4*IF(COUNT(AI4)=0,0,AI4),$B$10*IF(COUNT(AI10)=0,0,AI10),$B$13*IF(COUNT(AI13)=0,0,AI13),$B$16*IF(COUNT(AI16)=0,0,AI16),$B$20*IF(COUNT(AI20)=0,0,AI20))/SUM($B$4*COUNT(AI4),$B$10*COUNT(AI10),$B$13*COUNT(AI13),$B$16*COUNT(AI16),$B$20*COUNT(AI20)))</f>
        <v>2.4722222222222223</v>
      </c>
      <c r="AJ22" s="212">
        <f>IF(AI22="","",AI22*5)</f>
        <v>12.361111111111111</v>
      </c>
      <c r="AK22" s="175"/>
      <c r="AL22" s="175"/>
      <c r="AM22" s="150"/>
      <c r="AN22" s="150"/>
      <c r="AO22" s="150"/>
      <c r="AP22" s="188">
        <f>IF(COUNT(AP20,AP16,AP13,AP10,AP4)=0,"",SUM($B$4*IF(COUNT(AP4)=0,0,AP4),$B$10*IF(COUNT(AP10)=0,0,AP10),$B$13*IF(COUNT(AP13)=0,0,AP13),$B$16*IF(COUNT(AP16)=0,0,AP16),$B$20*IF(COUNT(AP20)=0,0,AP20))/SUM($B$4*COUNT(AP4),$B$10*COUNT(AP10),$B$13*COUNT(AP13),$B$16*COUNT(AP16),$B$20*COUNT(AP20)))</f>
        <v>2.6666666666666665</v>
      </c>
      <c r="AQ22" s="189">
        <f>IF(AP22="","",AP22*5)</f>
        <v>13.333333333333332</v>
      </c>
      <c r="AR22" s="81"/>
      <c r="AS22" s="81"/>
      <c r="AT22" s="81"/>
      <c r="AU22" s="188">
        <f>IF(COUNT(AU20,AU16,AU13,AU10,AU4)=0,"",SUM($B$4*IF(COUNT(AU4)=0,0,AU4),$B$10*IF(COUNT(AU10)=0,0,AU10),$B$13*IF(COUNT(AU13)=0,0,AU13),$B$16*IF(COUNT(AU16)=0,0,AU16),$B$20*IF(COUNT(AU20)=0,0,AU20))/SUM($B$4*COUNT(AU4),$B$10*COUNT(AU10),$B$13*COUNT(AU13),$B$16*COUNT(AU16),$B$20*COUNT(AU20)))</f>
        <v>3.0833333333333335</v>
      </c>
      <c r="AV22" s="195">
        <f>IF(AU22="","",AU22*5)</f>
        <v>15.416666666666668</v>
      </c>
      <c r="AW22" s="81"/>
      <c r="AX22" s="81"/>
      <c r="AY22" s="81"/>
      <c r="AZ22" s="81"/>
      <c r="BA22" s="188">
        <f>IF(COUNT(BA20,BA16,BA13,BA10,BA4)=0,"",SUM($B$4*IF(COUNT(BA4)=0,0,BA4),$B$10*IF(COUNT(BA10)=0,0,BA10),$B$13*IF(COUNT(BA13)=0,0,BA13),$B$16*IF(COUNT(BA16)=0,0,BA16),$B$20*IF(COUNT(BA20)=0,0,BA20))/SUM($B$4*COUNT(BA4),$B$10*COUNT(BA10),$B$13*COUNT(BA13),$B$16*COUNT(BA16),$B$20*COUNT(BA20)))</f>
        <v>2.7777777777777772</v>
      </c>
      <c r="BB22" s="212">
        <f>IF(BA22="","",BA22*5)</f>
        <v>13.888888888888886</v>
      </c>
      <c r="BC22" s="175"/>
      <c r="BD22" s="175"/>
      <c r="BE22" s="150"/>
      <c r="BF22" s="150"/>
      <c r="BG22" s="150"/>
      <c r="BH22" s="188">
        <f>IF(COUNT(BH20,BH16,BH13,BH10,BH4)=0,"",SUM($B$4*IF(COUNT(BH4)=0,0,BH4),$B$10*IF(COUNT(BH10)=0,0,BH10),$B$13*IF(COUNT(BH13)=0,0,BH13),$B$16*IF(COUNT(BH16)=0,0,BH16),$B$20*IF(COUNT(BH20)=0,0,BH20))/SUM($B$4*COUNT(BH4),$B$10*COUNT(BH10),$B$13*COUNT(BH13),$B$16*COUNT(BH16),$B$20*COUNT(BH20)))</f>
        <v>2.5</v>
      </c>
      <c r="BI22" s="189">
        <f>IF(BH22="","",BH22*5)</f>
        <v>12.5</v>
      </c>
      <c r="BJ22" s="81"/>
      <c r="BK22" s="81"/>
      <c r="BL22" s="81"/>
      <c r="BM22" s="188">
        <f>IF(COUNT(BM20,BM16,BM13,BM10,BM4)=0,"",SUM($B$4*IF(COUNT(BM4)=0,0,BM4),$B$10*IF(COUNT(BM10)=0,0,BM10),$B$13*IF(COUNT(BM13)=0,0,BM13),$B$16*IF(COUNT(BM16)=0,0,BM16),$B$20*IF(COUNT(BM20)=0,0,BM20))/SUM($B$4*COUNT(BM4),$B$10*COUNT(BM10),$B$13*COUNT(BM13),$B$16*COUNT(BM16),$B$20*COUNT(BM20)))</f>
        <v>2.9722222222222228</v>
      </c>
      <c r="BN22" s="195">
        <f>IF(BM22="","",BM22*5)</f>
        <v>14.861111111111114</v>
      </c>
      <c r="BO22" s="81"/>
      <c r="BP22" s="81"/>
      <c r="BQ22" s="81"/>
      <c r="BR22" s="81"/>
      <c r="BS22" s="188">
        <f>IF(COUNT(BS20,BS16,BS13,BS10,BS4)=0,"",SUM($B$4*IF(COUNT(BS4)=0,0,BS4),$B$10*IF(COUNT(BS10)=0,0,BS10),$B$13*IF(COUNT(BS13)=0,0,BS13),$B$16*IF(COUNT(BS16)=0,0,BS16),$B$20*IF(COUNT(BS20)=0,0,BS20))/SUM($B$4*COUNT(BS4),$B$10*COUNT(BS10),$B$13*COUNT(BS13),$B$16*COUNT(BS16),$B$20*COUNT(BS20)))</f>
        <v>2.6388888888888888</v>
      </c>
      <c r="BT22" s="212">
        <f>IF(BS22="","",BS22*5)</f>
        <v>13.194444444444445</v>
      </c>
      <c r="BU22" s="175"/>
      <c r="BV22" s="175"/>
      <c r="BW22" s="150"/>
      <c r="BX22" s="150"/>
      <c r="BY22" s="150"/>
      <c r="BZ22" s="188">
        <f>IF(COUNT(BZ20,BZ16,BZ13,BZ10,BZ4)=0,"",SUM($B$4*IF(COUNT(BZ4)=0,0,BZ4),$B$10*IF(COUNT(BZ10)=0,0,BZ10),$B$13*IF(COUNT(BZ13)=0,0,BZ13),$B$16*IF(COUNT(BZ16)=0,0,BZ16),$B$20*IF(COUNT(BZ20)=0,0,BZ20))/SUM($B$4*COUNT(BZ4),$B$10*COUNT(BZ10),$B$13*COUNT(BZ13),$B$16*COUNT(BZ16),$B$20*COUNT(BZ20)))</f>
        <v>2.5833333333333335</v>
      </c>
      <c r="CA22" s="189">
        <f>IF(BZ22="","",BZ22*5)</f>
        <v>12.916666666666668</v>
      </c>
      <c r="CB22" s="81"/>
      <c r="CC22" s="81"/>
      <c r="CD22" s="81"/>
      <c r="CE22" s="188">
        <f>IF(COUNT(CE20,CE16,CE13,CE10,CE4)=0,"",SUM($B$4*IF(COUNT(CE4)=0,0,CE4),$B$10*IF(COUNT(CE10)=0,0,CE10),$B$13*IF(COUNT(CE13)=0,0,CE13),$B$16*IF(COUNT(CE16)=0,0,CE16),$B$20*IF(COUNT(CE20)=0,0,CE20))/SUM($B$4*COUNT(CE4),$B$10*COUNT(CE10),$B$13*COUNT(CE13),$B$16*COUNT(CE16),$B$20*COUNT(CE20)))</f>
        <v>3.3472222222222228</v>
      </c>
      <c r="CF22" s="195">
        <f>IF(CE22="","",CE22*5)</f>
        <v>16.736111111111114</v>
      </c>
      <c r="CG22" s="81"/>
      <c r="CH22" s="81"/>
      <c r="CI22" s="81"/>
      <c r="CJ22" s="81"/>
      <c r="CK22" s="188">
        <f>IF(COUNT(CK20,CK16,CK13,CK10,CK4)=0,"",SUM($B$4*IF(COUNT(CK4)=0,0,CK4),$B$10*IF(COUNT(CK10)=0,0,CK10),$B$13*IF(COUNT(CK13)=0,0,CK13),$B$16*IF(COUNT(CK16)=0,0,CK16),$B$20*IF(COUNT(CK20)=0,0,CK20))/SUM($B$4*COUNT(CK4),$B$10*COUNT(CK10),$B$13*COUNT(CK13),$B$16*COUNT(CK16),$B$20*COUNT(CK20)))</f>
        <v>2.4722222222222219</v>
      </c>
      <c r="CL22" s="212">
        <f>IF(CK22="","",CK22*5)</f>
        <v>12.361111111111109</v>
      </c>
      <c r="CM22" s="175"/>
      <c r="CN22" s="175"/>
      <c r="CO22" s="150"/>
      <c r="CP22" s="150"/>
      <c r="CQ22" s="150"/>
      <c r="CR22" s="188">
        <f>IF(COUNT(CR20,CR16,CR13,CR10,CR4)=0,"",SUM($B$4*IF(COUNT(CR4)=0,0,CR4),$B$10*IF(COUNT(CR10)=0,0,CR10),$B$13*IF(COUNT(CR13)=0,0,CR13),$B$16*IF(COUNT(CR16)=0,0,CR16),$B$20*IF(COUNT(CR20)=0,0,CR20))/SUM($B$4*COUNT(CR4),$B$10*COUNT(CR10),$B$13*COUNT(CR13),$B$16*COUNT(CR16),$B$20*COUNT(CR20)))</f>
        <v>2.5833333333333335</v>
      </c>
      <c r="CS22" s="189">
        <f>IF(CR22="","",CR22*5)</f>
        <v>12.916666666666668</v>
      </c>
      <c r="CT22" s="81"/>
      <c r="CU22" s="81"/>
      <c r="CV22" s="81"/>
      <c r="CW22" s="188">
        <f>IF(COUNT(CW20,CW16,CW13,CW10,CW4)=0,"",SUM($B$4*IF(COUNT(CW4)=0,0,CW4),$B$10*IF(COUNT(CW10)=0,0,CW10),$B$13*IF(COUNT(CW13)=0,0,CW13),$B$16*IF(COUNT(CW16)=0,0,CW16),$B$20*IF(COUNT(CW20)=0,0,CW20))/SUM($B$4*COUNT(CW4),$B$10*COUNT(CW10),$B$13*COUNT(CW13),$B$16*COUNT(CW16),$B$20*COUNT(CW20)))</f>
        <v>2.9027777777777781</v>
      </c>
      <c r="CX22" s="195">
        <f>IF(CW22="","",CW22*5)</f>
        <v>14.513888888888891</v>
      </c>
      <c r="CY22" s="81"/>
      <c r="CZ22" s="81"/>
      <c r="DA22" s="81"/>
      <c r="DB22" s="81"/>
      <c r="DC22" s="188">
        <f>IF(COUNT(DC20,DC16,DC13,DC10,DC4)=0,"",SUM($B$4*IF(COUNT(DC4)=0,0,DC4),$B$10*IF(COUNT(DC10)=0,0,DC10),$B$13*IF(COUNT(DC13)=0,0,DC13),$B$16*IF(COUNT(DC16)=0,0,DC16),$B$20*IF(COUNT(DC20)=0,0,DC20))/SUM($B$4*COUNT(DC4),$B$10*COUNT(DC10),$B$13*COUNT(DC13),$B$16*COUNT(DC16),$B$20*COUNT(DC20)))</f>
        <v>2.5</v>
      </c>
      <c r="DD22" s="212">
        <f>IF(DC22="","",DC22*5)</f>
        <v>12.5</v>
      </c>
      <c r="DE22" s="175"/>
      <c r="DF22" s="175"/>
      <c r="DG22" s="150"/>
      <c r="DH22" s="150"/>
      <c r="DI22" s="150"/>
      <c r="DJ22" s="188">
        <f>IF(COUNT(DJ20,DJ16,DJ13,DJ10,DJ4)=0,"",SUM($B$4*IF(COUNT(DJ4)=0,0,DJ4),$B$10*IF(COUNT(DJ10)=0,0,DJ10),$B$13*IF(COUNT(DJ13)=0,0,DJ13),$B$16*IF(COUNT(DJ16)=0,0,DJ16),$B$20*IF(COUNT(DJ20)=0,0,DJ20))/SUM($B$4*COUNT(DJ4),$B$10*COUNT(DJ10),$B$13*COUNT(DJ13),$B$16*COUNT(DJ16),$B$20*COUNT(DJ20)))</f>
        <v>2.5833333333333335</v>
      </c>
      <c r="DK22" s="189">
        <f>IF(DJ22="","",DJ22*5)</f>
        <v>12.916666666666668</v>
      </c>
      <c r="DL22" s="81"/>
      <c r="DM22" s="81"/>
      <c r="DN22" s="81"/>
      <c r="DO22" s="188">
        <f>IF(COUNT(DO20,DO16,DO13,DO10,DO4)=0,"",SUM($B$4*IF(COUNT(DO4)=0,0,DO4),$B$10*IF(COUNT(DO10)=0,0,DO10),$B$13*IF(COUNT(DO13)=0,0,DO13),$B$16*IF(COUNT(DO16)=0,0,DO16),$B$20*IF(COUNT(DO20)=0,0,DO20))/SUM($B$4*COUNT(DO4),$B$10*COUNT(DO10),$B$13*COUNT(DO13),$B$16*COUNT(DO16),$B$20*COUNT(DO20)))</f>
        <v>2.875</v>
      </c>
      <c r="DP22" s="195">
        <f>IF(DO22="","",DO22*5)</f>
        <v>14.375</v>
      </c>
      <c r="DQ22" s="81"/>
      <c r="DR22" s="81"/>
      <c r="DS22" s="81"/>
      <c r="DT22" s="81"/>
      <c r="DU22" s="188">
        <f>IF(COUNT(DU20,DU16,DU13,DU10,DU4)=0,"",SUM($B$4*IF(COUNT(DU4)=0,0,DU4),$B$10*IF(COUNT(DU10)=0,0,DU10),$B$13*IF(COUNT(DU13)=0,0,DU13),$B$16*IF(COUNT(DU16)=0,0,DU16),$B$20*IF(COUNT(DU20)=0,0,DU20))/SUM($B$4*COUNT(DU4),$B$10*COUNT(DU10),$B$13*COUNT(DU13),$B$16*COUNT(DU16),$B$20*COUNT(DU20)))</f>
        <v>2.3888888888888888</v>
      </c>
      <c r="DV22" s="212">
        <f>IF(DU22="","",DU22*5)</f>
        <v>11.944444444444445</v>
      </c>
      <c r="DW22" s="175"/>
      <c r="DX22" s="175"/>
      <c r="DY22" s="150"/>
      <c r="DZ22" s="150"/>
      <c r="EA22" s="150"/>
      <c r="EB22" s="188">
        <f>IF(COUNT(EB20,EB16,EB13,EB10,EB4)=0,"",SUM($B$4*IF(COUNT(EB4)=0,0,EB4),$B$10*IF(COUNT(EB10)=0,0,EB10),$B$13*IF(COUNT(EB13)=0,0,EB13),$B$16*IF(COUNT(EB16)=0,0,EB16),$B$20*IF(COUNT(EB20)=0,0,EB20))/SUM($B$4*COUNT(EB4),$B$10*COUNT(EB10),$B$13*COUNT(EB13),$B$16*COUNT(EB16),$B$20*COUNT(EB20)))</f>
        <v>2.75</v>
      </c>
      <c r="EC22" s="189">
        <f>IF(EB22="","",EB22*5)</f>
        <v>13.75</v>
      </c>
      <c r="ED22" s="81"/>
      <c r="EE22" s="81"/>
      <c r="EF22" s="81"/>
      <c r="EG22" s="188">
        <f>IF(COUNT(EG20,EG16,EG13,EG10,EG4)=0,"",SUM($B$4*IF(COUNT(EG4)=0,0,EG4),$B$10*IF(COUNT(EG10)=0,0,EG10),$B$13*IF(COUNT(EG13)=0,0,EG13),$B$16*IF(COUNT(EG16)=0,0,EG16),$B$20*IF(COUNT(EG20)=0,0,EG20))/SUM($B$4*COUNT(EG4),$B$10*COUNT(EG10),$B$13*COUNT(EG13),$B$16*COUNT(EG16),$B$20*COUNT(EG20)))</f>
        <v>2.6666666666666665</v>
      </c>
      <c r="EH22" s="195">
        <f>IF(EG22="","",EG22*5)</f>
        <v>13.333333333333332</v>
      </c>
      <c r="EI22" s="81"/>
      <c r="EJ22" s="81"/>
      <c r="EK22" s="81"/>
      <c r="EL22" s="81"/>
      <c r="EM22" s="188">
        <f>IF(COUNT(EM20,EM16,EM13,EM10,EM4)=0,"",SUM($B$4*IF(COUNT(EM4)=0,0,EM4),$B$10*IF(COUNT(EM10)=0,0,EM10),$B$13*IF(COUNT(EM13)=0,0,EM13),$B$16*IF(COUNT(EM16)=0,0,EM16),$B$20*IF(COUNT(EM20)=0,0,EM20))/SUM($B$4*COUNT(EM4),$B$10*COUNT(EM10),$B$13*COUNT(EM13),$B$16*COUNT(EM16),$B$20*COUNT(EM20)))</f>
        <v>2.25</v>
      </c>
      <c r="EN22" s="212">
        <f>IF(EM22="","",EM22*5)</f>
        <v>11.25</v>
      </c>
      <c r="EO22" s="175"/>
      <c r="EP22" s="175"/>
      <c r="EQ22" s="150"/>
      <c r="ER22" s="150"/>
      <c r="ES22" s="150"/>
      <c r="ET22" s="188">
        <f>IF(COUNT(ET20,ET16,ET13,ET10,ET4)=0,"",SUM($B$4*IF(COUNT(ET4)=0,0,ET4),$B$10*IF(COUNT(ET10)=0,0,ET10),$B$13*IF(COUNT(ET13)=0,0,ET13),$B$16*IF(COUNT(ET16)=0,0,ET16),$B$20*IF(COUNT(ET20)=0,0,ET20))/SUM($B$4*COUNT(ET4),$B$10*COUNT(ET10),$B$13*COUNT(ET13),$B$16*COUNT(ET16),$B$20*COUNT(ET20)))</f>
        <v>2.25</v>
      </c>
      <c r="EU22" s="189">
        <f>IF(ET22="","",ET22*5)</f>
        <v>11.25</v>
      </c>
      <c r="EV22" s="81"/>
      <c r="EW22" s="81"/>
      <c r="EX22" s="81"/>
      <c r="EY22" s="188">
        <f>IF(COUNT(EY20,EY16,EY13,EY10,EY4)=0,"",SUM($B$4*IF(COUNT(EY4)=0,0,EY4),$B$10*IF(COUNT(EY10)=0,0,EY10),$B$13*IF(COUNT(EY13)=0,0,EY13),$B$16*IF(COUNT(EY16)=0,0,EY16),$B$20*IF(COUNT(EY20)=0,0,EY20))/SUM($B$4*COUNT(EY4),$B$10*COUNT(EY10),$B$13*COUNT(EY13),$B$16*COUNT(EY16),$B$20*COUNT(EY20)))</f>
        <v>3.0555555555555558</v>
      </c>
      <c r="EZ22" s="195">
        <f>IF(EY22="","",EY22*5)</f>
        <v>15.277777777777779</v>
      </c>
      <c r="FA22" s="81"/>
      <c r="FB22" s="81"/>
      <c r="FC22" s="81"/>
      <c r="FD22" s="81"/>
      <c r="FE22" s="188">
        <f>IF(COUNT(FE20,FE16,FE13,FE10,FE4)=0,"",SUM($B$4*IF(COUNT(FE4)=0,0,FE4),$B$10*IF(COUNT(FE10)=0,0,FE10),$B$13*IF(COUNT(FE13)=0,0,FE13),$B$16*IF(COUNT(FE16)=0,0,FE16),$B$20*IF(COUNT(FE20)=0,0,FE20))/SUM($B$4*COUNT(FE4),$B$10*COUNT(FE10),$B$13*COUNT(FE13),$B$16*COUNT(FE16),$B$20*COUNT(FE20)))</f>
        <v>2.1388888888888888</v>
      </c>
      <c r="FF22" s="212">
        <f>IF(FE22="","",FE22*5)</f>
        <v>10.694444444444445</v>
      </c>
      <c r="FG22" s="175"/>
      <c r="FH22" s="175"/>
      <c r="FI22" s="150"/>
      <c r="FJ22" s="150"/>
      <c r="FK22" s="150"/>
      <c r="FL22" s="188">
        <f>IF(COUNT(FL20,FL16,FL13,FL10,FL4)=0,"",SUM($B$4*IF(COUNT(FL4)=0,0,FL4),$B$10*IF(COUNT(FL10)=0,0,FL10),$B$13*IF(COUNT(FL13)=0,0,FL13),$B$16*IF(COUNT(FL16)=0,0,FL16),$B$20*IF(COUNT(FL20)=0,0,FL20))/SUM($B$4*COUNT(FL4),$B$10*COUNT(FL10),$B$13*COUNT(FL13),$B$16*COUNT(FL16),$B$20*COUNT(FL20)))</f>
        <v>2.9166666666666665</v>
      </c>
      <c r="FM22" s="189">
        <f>IF(FL22="","",FL22*5)</f>
        <v>14.583333333333332</v>
      </c>
      <c r="FN22" s="81"/>
      <c r="FO22" s="81"/>
      <c r="FP22" s="81"/>
      <c r="FQ22" s="188">
        <f>IF(COUNT(FQ20,FQ16,FQ13,FQ10,FQ4)=0,"",SUM($B$4*IF(COUNT(FQ4)=0,0,FQ4),$B$10*IF(COUNT(FQ10)=0,0,FQ10),$B$13*IF(COUNT(FQ13)=0,0,FQ13),$B$16*IF(COUNT(FQ16)=0,0,FQ16),$B$20*IF(COUNT(FQ20)=0,0,FQ20))/SUM($B$4*COUNT(FQ4),$B$10*COUNT(FQ10),$B$13*COUNT(FQ13),$B$16*COUNT(FQ16),$B$20*COUNT(FQ20)))</f>
        <v>3.2083333333333335</v>
      </c>
      <c r="FR22" s="195">
        <f>IF(FQ22="","",FQ22*5)</f>
        <v>16.041666666666668</v>
      </c>
      <c r="FS22" s="81"/>
      <c r="FT22" s="81"/>
      <c r="FU22" s="81"/>
      <c r="FV22" s="81"/>
      <c r="FW22" s="188">
        <f>IF(COUNT(FW20,FW16,FW13,FW10,FW4)=0,"",SUM($B$4*IF(COUNT(FW4)=0,0,FW4),$B$10*IF(COUNT(FW10)=0,0,FW10),$B$13*IF(COUNT(FW13)=0,0,FW13),$B$16*IF(COUNT(FW16)=0,0,FW16),$B$20*IF(COUNT(FW20)=0,0,FW20))/SUM($B$4*COUNT(FW4),$B$10*COUNT(FW10),$B$13*COUNT(FW13),$B$16*COUNT(FW16),$B$20*COUNT(FW20)))</f>
        <v>2.9166666666666665</v>
      </c>
      <c r="FX22" s="212">
        <f>IF(FW22="","",FW22*5)</f>
        <v>14.583333333333332</v>
      </c>
      <c r="FY22" s="175"/>
      <c r="FZ22" s="175"/>
      <c r="GA22" s="150"/>
      <c r="GB22" s="150"/>
      <c r="GC22" s="150"/>
      <c r="GD22" s="188">
        <f>IF(COUNT(GD20,GD16,GD13,GD10,GD4)=0,"",SUM($B$4*IF(COUNT(GD4)=0,0,GD4),$B$10*IF(COUNT(GD10)=0,0,GD10),$B$13*IF(COUNT(GD13)=0,0,GD13),$B$16*IF(COUNT(GD16)=0,0,GD16),$B$20*IF(COUNT(GD20)=0,0,GD20))/SUM($B$4*COUNT(GD4),$B$10*COUNT(GD10),$B$13*COUNT(GD13),$B$16*COUNT(GD16),$B$20*COUNT(GD20)))</f>
        <v>2.9166666666666665</v>
      </c>
      <c r="GE22" s="189">
        <f>IF(GD22="","",GD22*5)</f>
        <v>14.583333333333332</v>
      </c>
      <c r="GF22" s="81"/>
      <c r="GG22" s="81"/>
      <c r="GH22" s="81"/>
      <c r="GI22" s="188">
        <f>IF(COUNT(GI20,GI16,GI13,GI10,GI4)=0,"",SUM($B$4*IF(COUNT(GI4)=0,0,GI4),$B$10*IF(COUNT(GI10)=0,0,GI10),$B$13*IF(COUNT(GI13)=0,0,GI13),$B$16*IF(COUNT(GI16)=0,0,GI16),$B$20*IF(COUNT(GI20)=0,0,GI20))/SUM($B$4*COUNT(GI4),$B$10*COUNT(GI10),$B$13*COUNT(GI13),$B$16*COUNT(GI16),$B$20*COUNT(GI20)))</f>
        <v>3.3611111111111107</v>
      </c>
      <c r="GJ22" s="195">
        <f>IF(GI22="","",GI22*5)</f>
        <v>16.805555555555554</v>
      </c>
      <c r="GK22" s="81"/>
      <c r="GL22" s="81"/>
      <c r="GM22" s="81"/>
      <c r="GN22" s="81"/>
      <c r="GO22" s="188">
        <f>IF(COUNT(GO20,GO16,GO13,GO10,GO4)=0,"",SUM($B$4*IF(COUNT(GO4)=0,0,GO4),$B$10*IF(COUNT(GO10)=0,0,GO10),$B$13*IF(COUNT(GO13)=0,0,GO13),$B$16*IF(COUNT(GO16)=0,0,GO16),$B$20*IF(COUNT(GO20)=0,0,GO20))/SUM($B$4*COUNT(GO4),$B$10*COUNT(GO10),$B$13*COUNT(GO13),$B$16*COUNT(GO16),$B$20*COUNT(GO20)))</f>
        <v>3.25</v>
      </c>
      <c r="GP22" s="212">
        <f>IF(GO22="","",GO22*5)</f>
        <v>16.25</v>
      </c>
      <c r="GQ22" s="175"/>
      <c r="GR22" s="175"/>
      <c r="GS22" s="150"/>
      <c r="GT22" s="150"/>
      <c r="GU22" s="150"/>
      <c r="GV22" s="188">
        <f>IF(COUNT(GV20,GV16,GV13,GV10,GV4)=0,"",SUM($B$4*IF(COUNT(GV4)=0,0,GV4),$B$10*IF(COUNT(GV10)=0,0,GV10),$B$13*IF(COUNT(GV13)=0,0,GV13),$B$16*IF(COUNT(GV16)=0,0,GV16),$B$20*IF(COUNT(GV20)=0,0,GV20))/SUM($B$4*COUNT(GV4),$B$10*COUNT(GV10),$B$13*COUNT(GV13),$B$16*COUNT(GV16),$B$20*COUNT(GV20)))</f>
        <v>2.75</v>
      </c>
      <c r="GW22" s="189">
        <f>IF(GV22="","",GV22*5)</f>
        <v>13.75</v>
      </c>
      <c r="GX22" s="81"/>
      <c r="GY22" s="81"/>
      <c r="GZ22" s="81"/>
      <c r="HA22" s="188">
        <f>IF(COUNT(HA20,HA16,HA13,HA10,HA4)=0,"",SUM($B$4*IF(COUNT(HA4)=0,0,HA4),$B$10*IF(COUNT(HA10)=0,0,HA10),$B$13*IF(COUNT(HA13)=0,0,HA13),$B$16*IF(COUNT(HA16)=0,0,HA16),$B$20*IF(COUNT(HA20)=0,0,HA20))/SUM($B$4*COUNT(HA4),$B$10*COUNT(HA10),$B$13*COUNT(HA13),$B$16*COUNT(HA16),$B$20*COUNT(HA20)))</f>
        <v>2.7777777777777781</v>
      </c>
      <c r="HB22" s="195">
        <f>IF(HA22="","",HA22*5)</f>
        <v>13.888888888888891</v>
      </c>
      <c r="HC22" s="81"/>
      <c r="HD22" s="81"/>
      <c r="HE22" s="81"/>
      <c r="HF22" s="81"/>
      <c r="HG22" s="188">
        <f>IF(COUNT(HG20,HG16,HG13,HG10,HG4)=0,"",SUM($B$4*IF(COUNT(HG4)=0,0,HG4),$B$10*IF(COUNT(HG10)=0,0,HG10),$B$13*IF(COUNT(HG13)=0,0,HG13),$B$16*IF(COUNT(HG16)=0,0,HG16),$B$20*IF(COUNT(HG20)=0,0,HG20))/SUM($B$4*COUNT(HG4),$B$10*COUNT(HG10),$B$13*COUNT(HG13),$B$16*COUNT(HG16),$B$20*COUNT(HG20)))</f>
        <v>2.4166666666666665</v>
      </c>
      <c r="HH22" s="212">
        <f>IF(HG22="","",HG22*5)</f>
        <v>12.083333333333332</v>
      </c>
      <c r="HI22" s="175"/>
      <c r="HJ22" s="175"/>
      <c r="HK22" s="150"/>
      <c r="HL22" s="150"/>
      <c r="HM22" s="150"/>
      <c r="HN22" s="188">
        <f>IF(COUNT(HN20,HN16,HN13,HN10,HN4)=0,"",SUM($B$4*IF(COUNT(HN4)=0,0,HN4),$B$10*IF(COUNT(HN10)=0,0,HN10),$B$13*IF(COUNT(HN13)=0,0,HN13),$B$16*IF(COUNT(HN16)=0,0,HN16),$B$20*IF(COUNT(HN20)=0,0,HN20))/SUM($B$4*COUNT(HN4),$B$10*COUNT(HN10),$B$13*COUNT(HN13),$B$16*COUNT(HN16),$B$20*COUNT(HN20)))</f>
        <v>3.3333333333333335</v>
      </c>
      <c r="HO22" s="189">
        <f>IF(HN22="","",HN22*5)</f>
        <v>16.666666666666668</v>
      </c>
      <c r="HP22" s="81"/>
      <c r="HQ22" s="81"/>
      <c r="HR22" s="81"/>
      <c r="HS22" s="188">
        <f>IF(COUNT(HS20,HS16,HS13,HS10,HS4)=0,"",SUM($B$4*IF(COUNT(HS4)=0,0,HS4),$B$10*IF(COUNT(HS10)=0,0,HS10),$B$13*IF(COUNT(HS13)=0,0,HS13),$B$16*IF(COUNT(HS16)=0,0,HS16),$B$20*IF(COUNT(HS20)=0,0,HS20))/SUM($B$4*COUNT(HS4),$B$10*COUNT(HS10),$B$13*COUNT(HS13),$B$16*COUNT(HS16),$B$20*COUNT(HS20)))</f>
        <v>3.4305555555555558</v>
      </c>
      <c r="HT22" s="195">
        <f>IF(HS22="","",HS22*5)</f>
        <v>17.152777777777779</v>
      </c>
      <c r="HU22" s="81"/>
      <c r="HV22" s="81"/>
      <c r="HW22" s="81"/>
      <c r="HX22" s="81"/>
      <c r="HY22" s="188">
        <f>IF(COUNT(HY20,HY16,HY13,HY10,HY4)=0,"",SUM($B$4*IF(COUNT(HY4)=0,0,HY4),$B$10*IF(COUNT(HY10)=0,0,HY10),$B$13*IF(COUNT(HY13)=0,0,HY13),$B$16*IF(COUNT(HY16)=0,0,HY16),$B$20*IF(COUNT(HY20)=0,0,HY20))/SUM($B$4*COUNT(HY4),$B$10*COUNT(HY10),$B$13*COUNT(HY13),$B$16*COUNT(HY16),$B$20*COUNT(HY20)))</f>
        <v>3.3888888888888888</v>
      </c>
      <c r="HZ22" s="212">
        <f>IF(HY22="","",HY22*5)</f>
        <v>16.944444444444443</v>
      </c>
      <c r="IA22" s="175"/>
      <c r="IB22" s="175"/>
      <c r="IC22" s="150"/>
      <c r="ID22" s="150"/>
      <c r="IE22" s="150"/>
      <c r="IF22" s="188">
        <f>IF(COUNT(IF20,IF16,IF13,IF10,IF4)=0,"",SUM($B$4*IF(COUNT(IF4)=0,0,IF4),$B$10*IF(COUNT(IF10)=0,0,IF10),$B$13*IF(COUNT(IF13)=0,0,IF13),$B$16*IF(COUNT(IF16)=0,0,IF16),$B$20*IF(COUNT(IF20)=0,0,IF20))/SUM($B$4*COUNT(IF4),$B$10*COUNT(IF10),$B$13*COUNT(IF13),$B$16*COUNT(IF16),$B$20*COUNT(IF20)))</f>
        <v>3.5</v>
      </c>
      <c r="IG22" s="189">
        <f>IF(IF22="","",IF22*5)</f>
        <v>17.5</v>
      </c>
      <c r="IH22" s="81"/>
      <c r="II22" s="81"/>
      <c r="IJ22" s="81"/>
      <c r="IK22" s="188">
        <f>IF(COUNT(IK20,IK16,IK13,IK10,IK4)=0,"",SUM($B$4*IF(COUNT(IK4)=0,0,IK4),$B$10*IF(COUNT(IK10)=0,0,IK10),$B$13*IF(COUNT(IK13)=0,0,IK13),$B$16*IF(COUNT(IK16)=0,0,IK16),$B$20*IF(COUNT(IK20)=0,0,IK20))/SUM($B$4*COUNT(IK4),$B$10*COUNT(IK10),$B$13*COUNT(IK13),$B$16*COUNT(IK16),$B$20*COUNT(IK20)))</f>
        <v>3.4583333333333335</v>
      </c>
      <c r="IL22" s="195">
        <f>IF(IK22="","",IK22*5)</f>
        <v>17.291666666666668</v>
      </c>
      <c r="IM22" s="81"/>
      <c r="IN22" s="81"/>
      <c r="IO22" s="81"/>
      <c r="IP22" s="81"/>
      <c r="IQ22" s="188">
        <f>IF(COUNT(IQ20,IQ16,IQ13,IQ10,IQ4)=0,"",SUM($B$4*IF(COUNT(IQ4)=0,0,IQ4),$B$10*IF(COUNT(IQ10)=0,0,IQ10),$B$13*IF(COUNT(IQ13)=0,0,IQ13),$B$16*IF(COUNT(IQ16)=0,0,IQ16),$B$20*IF(COUNT(IQ20)=0,0,IQ20))/SUM($B$4*COUNT(IQ4),$B$10*COUNT(IQ10),$B$13*COUNT(IQ13),$B$16*COUNT(IQ16),$B$20*COUNT(IQ20)))</f>
        <v>3.2222222222222219</v>
      </c>
      <c r="IR22" s="212">
        <f>IF(IQ22="","",IQ22*5)</f>
        <v>16.111111111111111</v>
      </c>
      <c r="IS22" s="175"/>
      <c r="IT22" s="175"/>
      <c r="IU22" s="150"/>
      <c r="IV22" s="150"/>
      <c r="IW22" s="150"/>
      <c r="IX22" s="188">
        <f>IF(COUNT(IX20,IX16,IX13,IX10,IX4)=0,"",SUM($B$4*IF(COUNT(IX4)=0,0,IX4),$B$10*IF(COUNT(IX10)=0,0,IX10),$B$13*IF(COUNT(IX13)=0,0,IX13),$B$16*IF(COUNT(IX16)=0,0,IX16),$B$20*IF(COUNT(IX20)=0,0,IX20))/SUM($B$4*COUNT(IX4),$B$10*COUNT(IX10),$B$13*COUNT(IX13),$B$16*COUNT(IX16),$B$20*COUNT(IX20)))</f>
        <v>3</v>
      </c>
      <c r="IY22" s="189">
        <f>IF(IX22="","",IX22*5)</f>
        <v>15</v>
      </c>
      <c r="IZ22" s="81"/>
      <c r="JA22" s="81"/>
      <c r="JB22" s="81"/>
      <c r="JC22" s="188">
        <f>IF(COUNT(JC20,JC16,JC13,JC10,JC4)=0,"",SUM($B$4*IF(COUNT(JC4)=0,0,JC4),$B$10*IF(COUNT(JC10)=0,0,JC10),$B$13*IF(COUNT(JC13)=0,0,JC13),$B$16*IF(COUNT(JC16)=0,0,JC16),$B$20*IF(COUNT(JC20)=0,0,JC20))/SUM($B$4*COUNT(JC4),$B$10*COUNT(JC10),$B$13*COUNT(JC13),$B$16*COUNT(JC16),$B$20*COUNT(JC20)))</f>
        <v>3.2361111111111107</v>
      </c>
      <c r="JD22" s="195">
        <f>IF(JC22="","",JC22*5)</f>
        <v>16.180555555555554</v>
      </c>
      <c r="JE22" s="81"/>
      <c r="JF22" s="81"/>
      <c r="JG22" s="81"/>
      <c r="JH22" s="81"/>
      <c r="JI22" s="188">
        <f>IF(COUNT(JI20,JI16,JI13,JI10,JI4)=0,"",SUM($B$4*IF(COUNT(JI4)=0,0,JI4),$B$10*IF(COUNT(JI10)=0,0,JI10),$B$13*IF(COUNT(JI13)=0,0,JI13),$B$16*IF(COUNT(JI16)=0,0,JI16),$B$20*IF(COUNT(JI20)=0,0,JI20))/SUM($B$4*COUNT(JI4),$B$10*COUNT(JI10),$B$13*COUNT(JI13),$B$16*COUNT(JI16),$B$20*COUNT(JI20)))</f>
        <v>2.5555555555555554</v>
      </c>
      <c r="JJ22" s="212">
        <f>IF(JI22="","",JI22*5)</f>
        <v>12.777777777777777</v>
      </c>
      <c r="JK22" s="175"/>
      <c r="JL22" s="175"/>
      <c r="JM22" s="150"/>
      <c r="JN22" s="150"/>
      <c r="JO22" s="150"/>
      <c r="JP22" s="188">
        <f>IF(COUNT(JP20,JP16,JP13,JP10,JP4)=0,"",SUM($B$4*IF(COUNT(JP4)=0,0,JP4),$B$10*IF(COUNT(JP10)=0,0,JP10),$B$13*IF(COUNT(JP13)=0,0,JP13),$B$16*IF(COUNT(JP16)=0,0,JP16),$B$20*IF(COUNT(JP20)=0,0,JP20))/SUM($B$4*COUNT(JP4),$B$10*COUNT(JP10),$B$13*COUNT(JP13),$B$16*COUNT(JP16),$B$20*COUNT(JP20)))</f>
        <v>2.3333333333333335</v>
      </c>
      <c r="JQ22" s="189">
        <f>IF(JP22="","",JP22*5)</f>
        <v>11.666666666666668</v>
      </c>
      <c r="JR22" s="81"/>
      <c r="JS22" s="81"/>
      <c r="JT22" s="81"/>
      <c r="JU22" s="188">
        <f>IF(COUNT(JU20,JU16,JU13,JU10,JU4)=0,"",SUM($B$4*IF(COUNT(JU4)=0,0,JU4),$B$10*IF(COUNT(JU10)=0,0,JU10),$B$13*IF(COUNT(JU13)=0,0,JU13),$B$16*IF(COUNT(JU16)=0,0,JU16),$B$20*IF(COUNT(JU20)=0,0,JU20))/SUM($B$4*COUNT(JU4),$B$10*COUNT(JU10),$B$13*COUNT(JU13),$B$16*COUNT(JU16),$B$20*COUNT(JU20)))</f>
        <v>2.9166666666666665</v>
      </c>
      <c r="JV22" s="195">
        <f>IF(JU22="","",JU22*5)</f>
        <v>14.583333333333332</v>
      </c>
      <c r="JW22" s="81"/>
      <c r="JX22" s="81"/>
      <c r="JY22" s="81"/>
      <c r="JZ22" s="81"/>
      <c r="KA22" s="188">
        <f>IF(COUNT(KA20,KA16,KA13,KA10,KA4)=0,"",SUM($B$4*IF(COUNT(KA4)=0,0,KA4),$B$10*IF(COUNT(KA10)=0,0,KA10),$B$13*IF(COUNT(KA13)=0,0,KA13),$B$16*IF(COUNT(KA16)=0,0,KA16),$B$20*IF(COUNT(KA20)=0,0,KA20))/SUM($B$4*COUNT(KA4),$B$10*COUNT(KA10),$B$13*COUNT(KA13),$B$16*COUNT(KA16),$B$20*COUNT(KA20)))</f>
        <v>2.6666666666666665</v>
      </c>
      <c r="KB22" s="212">
        <f>IF(KA22="","",KA22*5)</f>
        <v>13.333333333333332</v>
      </c>
      <c r="KC22" s="175"/>
      <c r="KD22" s="175"/>
      <c r="KE22" s="150"/>
      <c r="KF22" s="150"/>
      <c r="KG22" s="150"/>
      <c r="KH22" s="188">
        <f>IF(COUNT(KH20,KH16,KH13,KH10,KH4)=0,"",SUM($B$4*IF(COUNT(KH4)=0,0,KH4),$B$10*IF(COUNT(KH10)=0,0,KH10),$B$13*IF(COUNT(KH13)=0,0,KH13),$B$16*IF(COUNT(KH16)=0,0,KH16),$B$20*IF(COUNT(KH20)=0,0,KH20))/SUM($B$4*COUNT(KH4),$B$10*COUNT(KH10),$B$13*COUNT(KH13),$B$16*COUNT(KH16),$B$20*COUNT(KH20)))</f>
        <v>3.3333333333333335</v>
      </c>
      <c r="KI22" s="189">
        <f>IF(KH22="","",KH22*5)</f>
        <v>16.666666666666668</v>
      </c>
      <c r="KJ22" s="81"/>
      <c r="KK22" s="81"/>
      <c r="KL22" s="81"/>
      <c r="KM22" s="188">
        <f>IF(COUNT(KM20,KM16,KM13,KM10,KM4)=0,"",SUM($B$4*IF(COUNT(KM4)=0,0,KM4),$B$10*IF(COUNT(KM10)=0,0,KM10),$B$13*IF(COUNT(KM13)=0,0,KM13),$B$16*IF(COUNT(KM16)=0,0,KM16),$B$20*IF(COUNT(KM20)=0,0,KM20))/SUM($B$4*COUNT(KM4),$B$10*COUNT(KM10),$B$13*COUNT(KM13),$B$16*COUNT(KM16),$B$20*COUNT(KM20)))</f>
        <v>3.6805555555555558</v>
      </c>
      <c r="KN22" s="195">
        <f>IF(KM22="","",KM22*5)</f>
        <v>18.402777777777779</v>
      </c>
      <c r="KO22" s="81"/>
      <c r="KP22" s="81"/>
      <c r="KQ22" s="81"/>
      <c r="KR22" s="81"/>
      <c r="KS22" s="188">
        <f>IF(COUNT(KS20,KS16,KS13,KS10,KS4)=0,"",SUM($B$4*IF(COUNT(KS4)=0,0,KS4),$B$10*IF(COUNT(KS10)=0,0,KS10),$B$13*IF(COUNT(KS13)=0,0,KS13),$B$16*IF(COUNT(KS16)=0,0,KS16),$B$20*IF(COUNT(KS20)=0,0,KS20))/SUM($B$4*COUNT(KS4),$B$10*COUNT(KS10),$B$13*COUNT(KS13),$B$16*COUNT(KS16),$B$20*COUNT(KS20)))</f>
        <v>3.2222222222222219</v>
      </c>
      <c r="KT22" s="212">
        <f>IF(KS22="","",KS22*5)</f>
        <v>16.111111111111111</v>
      </c>
      <c r="KU22" s="175"/>
      <c r="KV22" s="175"/>
      <c r="KW22" s="150"/>
      <c r="KX22" s="150"/>
      <c r="KY22" s="150"/>
      <c r="KZ22" s="188">
        <f>IF(COUNT(KZ20,KZ16,KZ13,KZ10,KZ4)=0,"",SUM($B$4*IF(COUNT(KZ4)=0,0,KZ4),$B$10*IF(COUNT(KZ10)=0,0,KZ10),$B$13*IF(COUNT(KZ13)=0,0,KZ13),$B$16*IF(COUNT(KZ16)=0,0,KZ16),$B$20*IF(COUNT(KZ20)=0,0,KZ20))/SUM($B$4*COUNT(KZ4),$B$10*COUNT(KZ10),$B$13*COUNT(KZ13),$B$16*COUNT(KZ16),$B$20*COUNT(KZ20)))</f>
        <v>2.5</v>
      </c>
      <c r="LA22" s="189">
        <f>IF(KZ22="","",KZ22*5)</f>
        <v>12.5</v>
      </c>
      <c r="LB22" s="81"/>
      <c r="LC22" s="81"/>
      <c r="LD22" s="81"/>
      <c r="LE22" s="188">
        <f>IF(COUNT(LE20,LE16,LE13,LE10,LE4)=0,"",SUM($B$4*IF(COUNT(LE4)=0,0,LE4),$B$10*IF(COUNT(LE10)=0,0,LE10),$B$13*IF(COUNT(LE13)=0,0,LE13),$B$16*IF(COUNT(LE16)=0,0,LE16),$B$20*IF(COUNT(LE20)=0,0,LE20))/SUM($B$4*COUNT(LE4),$B$10*COUNT(LE10),$B$13*COUNT(LE13),$B$16*COUNT(LE16),$B$20*COUNT(LE20)))</f>
        <v>2.8888888888888893</v>
      </c>
      <c r="LF22" s="195">
        <f>IF(LE22="","",LE22*5)</f>
        <v>14.444444444444446</v>
      </c>
      <c r="LG22" s="81"/>
      <c r="LH22" s="81"/>
      <c r="LI22" s="81"/>
      <c r="LJ22" s="81"/>
      <c r="LK22" s="188">
        <f>IF(COUNT(LK20,LK16,LK13,LK10,LK4)=0,"",SUM($B$4*IF(COUNT(LK4)=0,0,LK4),$B$10*IF(COUNT(LK10)=0,0,LK10),$B$13*IF(COUNT(LK13)=0,0,LK13),$B$16*IF(COUNT(LK16)=0,0,LK16),$B$20*IF(COUNT(LK20)=0,0,LK20))/SUM($B$4*COUNT(LK4),$B$10*COUNT(LK10),$B$13*COUNT(LK13),$B$16*COUNT(LK16),$B$20*COUNT(LK20)))</f>
        <v>2.2777777777777777</v>
      </c>
      <c r="LL22" s="212">
        <f>IF(LK22="","",LK22*5)</f>
        <v>11.388888888888889</v>
      </c>
      <c r="LM22" s="175"/>
      <c r="LN22" s="175"/>
      <c r="LO22" s="150"/>
      <c r="LP22" s="150"/>
      <c r="LQ22" s="150"/>
      <c r="LR22" s="188">
        <f>IF(COUNT(LR20,LR16,LR13,LR10,LR4)=0,"",SUM($B$4*IF(COUNT(LR4)=0,0,LR4),$B$10*IF(COUNT(LR10)=0,0,LR10),$B$13*IF(COUNT(LR13)=0,0,LR13),$B$16*IF(COUNT(LR16)=0,0,LR16),$B$20*IF(COUNT(LR20)=0,0,LR20))/SUM($B$4*COUNT(LR4),$B$10*COUNT(LR10),$B$13*COUNT(LR13),$B$16*COUNT(LR16),$B$20*COUNT(LR20)))</f>
        <v>2.5</v>
      </c>
      <c r="LS22" s="189">
        <f>IF(LR22="","",LR22*5)</f>
        <v>12.5</v>
      </c>
      <c r="LT22" s="81"/>
      <c r="LU22" s="81"/>
      <c r="LV22" s="81"/>
      <c r="LW22" s="188">
        <f>IF(COUNT(LW20,LW16,LW13,LW10,LW4)=0,"",SUM($B$4*IF(COUNT(LW4)=0,0,LW4),$B$10*IF(COUNT(LW10)=0,0,LW10),$B$13*IF(COUNT(LW13)=0,0,LW13),$B$16*IF(COUNT(LW16)=0,0,LW16),$B$20*IF(COUNT(LW20)=0,0,LW20))/SUM($B$4*COUNT(LW4),$B$10*COUNT(LW10),$B$13*COUNT(LW13),$B$16*COUNT(LW16),$B$20*COUNT(LW20)))</f>
        <v>2.7083333333333335</v>
      </c>
      <c r="LX22" s="195">
        <f>IF(LW22="","",LW22*5)</f>
        <v>13.541666666666668</v>
      </c>
      <c r="LY22" s="81"/>
      <c r="LZ22" s="81"/>
      <c r="MA22" s="81"/>
      <c r="MB22" s="81"/>
      <c r="MC22" s="188">
        <f>IF(COUNT(MC20,MC16,MC13,MC10,MC4)=0,"",SUM($B$4*IF(COUNT(MC4)=0,0,MC4),$B$10*IF(COUNT(MC10)=0,0,MC10),$B$13*IF(COUNT(MC13)=0,0,MC13),$B$16*IF(COUNT(MC16)=0,0,MC16),$B$20*IF(COUNT(MC20)=0,0,MC20))/SUM($B$4*COUNT(MC4),$B$10*COUNT(MC10),$B$13*COUNT(MC13),$B$16*COUNT(MC16),$B$20*COUNT(MC20)))</f>
        <v>2.3333333333333335</v>
      </c>
      <c r="MD22" s="212">
        <f>IF(MC22="","",MC22*5)</f>
        <v>11.666666666666668</v>
      </c>
      <c r="ME22" s="175"/>
      <c r="MF22" s="175"/>
      <c r="MG22" s="150"/>
      <c r="MH22" s="150"/>
      <c r="MI22" s="150"/>
      <c r="MJ22" s="188">
        <f>IF(COUNT(MJ20,MJ16,MJ13,MJ10,MJ4)=0,"",SUM($B$4*IF(COUNT(MJ4)=0,0,MJ4),$B$10*IF(COUNT(MJ10)=0,0,MJ10),$B$13*IF(COUNT(MJ13)=0,0,MJ13),$B$16*IF(COUNT(MJ16)=0,0,MJ16),$B$20*IF(COUNT(MJ20)=0,0,MJ20))/SUM($B$4*COUNT(MJ4),$B$10*COUNT(MJ10),$B$13*COUNT(MJ13),$B$16*COUNT(MJ16),$B$20*COUNT(MJ20)))</f>
        <v>2.5</v>
      </c>
      <c r="MK22" s="189">
        <f>IF(MJ22="","",MJ22*5)</f>
        <v>12.5</v>
      </c>
      <c r="ML22" s="81"/>
      <c r="MM22" s="81"/>
      <c r="MN22" s="81"/>
      <c r="MO22" s="188">
        <f>IF(COUNT(MO20,MO16,MO13,MO10,MO4)=0,"",SUM($B$4*IF(COUNT(MO4)=0,0,MO4),$B$10*IF(COUNT(MO10)=0,0,MO10),$B$13*IF(COUNT(MO13)=0,0,MO13),$B$16*IF(COUNT(MO16)=0,0,MO16),$B$20*IF(COUNT(MO20)=0,0,MO20))/SUM($B$4*COUNT(MO4),$B$10*COUNT(MO10),$B$13*COUNT(MO13),$B$16*COUNT(MO16),$B$20*COUNT(MO20)))</f>
        <v>3.1527777777777772</v>
      </c>
      <c r="MP22" s="195">
        <f>IF(MO22="","",MO22*5)</f>
        <v>15.763888888888886</v>
      </c>
      <c r="MQ22" s="81"/>
      <c r="MR22" s="81"/>
      <c r="MS22" s="81"/>
      <c r="MT22" s="81"/>
      <c r="MU22" s="188">
        <f>IF(COUNT(MU20,MU16,MU13,MU10,MU4)=0,"",SUM($B$4*IF(COUNT(MU4)=0,0,MU4),$B$10*IF(COUNT(MU10)=0,0,MU10),$B$13*IF(COUNT(MU13)=0,0,MU13),$B$16*IF(COUNT(MU16)=0,0,MU16),$B$20*IF(COUNT(MU20)=0,0,MU20))/SUM($B$4*COUNT(MU4),$B$10*COUNT(MU10),$B$13*COUNT(MU13),$B$16*COUNT(MU16),$B$20*COUNT(MU20)))</f>
        <v>2.6111111111111112</v>
      </c>
      <c r="MV22" s="212">
        <f>IF(MU22="","",MU22*5)</f>
        <v>13.055555555555555</v>
      </c>
      <c r="MW22" s="175"/>
      <c r="MX22" s="175"/>
      <c r="MY22" s="150"/>
      <c r="MZ22" s="150"/>
      <c r="NA22" s="150"/>
      <c r="NB22" s="188">
        <f>IF(COUNT(NB20,NB16,NB13,NB10,NB4)=0,"",SUM($B$4*IF(COUNT(NB4)=0,0,NB4),$B$10*IF(COUNT(NB10)=0,0,NB10),$B$13*IF(COUNT(NB13)=0,0,NB13),$B$16*IF(COUNT(NB16)=0,0,NB16),$B$20*IF(COUNT(NB20)=0,0,NB20))/SUM($B$4*COUNT(NB4),$B$10*COUNT(NB10),$B$13*COUNT(NB13),$B$16*COUNT(NB16),$B$20*COUNT(NB20)))</f>
        <v>2.4166666666666665</v>
      </c>
      <c r="NC22" s="189">
        <f>IF(NB22="","",NB22*5)</f>
        <v>12.083333333333332</v>
      </c>
      <c r="ND22" s="81"/>
      <c r="NE22" s="81"/>
      <c r="NF22" s="81"/>
      <c r="NG22" s="188">
        <f>IF(COUNT(NG20,NG16,NG13,NG10,NG4)=0,"",SUM($B$4*IF(COUNT(NG4)=0,0,NG4),$B$10*IF(COUNT(NG10)=0,0,NG10),$B$13*IF(COUNT(NG13)=0,0,NG13),$B$16*IF(COUNT(NG16)=0,0,NG16),$B$20*IF(COUNT(NG20)=0,0,NG20))/SUM($B$4*COUNT(NG4),$B$10*COUNT(NG10),$B$13*COUNT(NG13),$B$16*COUNT(NG16),$B$20*COUNT(NG20)))</f>
        <v>2.7638888888888893</v>
      </c>
      <c r="NH22" s="195">
        <f>IF(NG22="","",NG22*5)</f>
        <v>13.819444444444446</v>
      </c>
      <c r="NI22" s="81"/>
      <c r="NJ22" s="81"/>
      <c r="NK22" s="81"/>
      <c r="NL22" s="81"/>
      <c r="NM22" s="188">
        <f>IF(COUNT(NM20,NM16,NM13,NM10,NM4)=0,"",SUM($B$4*IF(COUNT(NM4)=0,0,NM4),$B$10*IF(COUNT(NM10)=0,0,NM10),$B$13*IF(COUNT(NM13)=0,0,NM13),$B$16*IF(COUNT(NM16)=0,0,NM16),$B$20*IF(COUNT(NM20)=0,0,NM20))/SUM($B$4*COUNT(NM4),$B$10*COUNT(NM10),$B$13*COUNT(NM13),$B$16*COUNT(NM16),$B$20*COUNT(NM20)))</f>
        <v>2.6111111111111112</v>
      </c>
      <c r="NN22" s="212">
        <f>IF(NM22="","",NM22*5)</f>
        <v>13.055555555555555</v>
      </c>
      <c r="NO22" s="175"/>
      <c r="NP22" s="175"/>
      <c r="NQ22" s="150"/>
      <c r="NR22" s="150"/>
      <c r="NS22" s="150"/>
      <c r="NT22" s="188">
        <f>IF(COUNT(NT20,NT16,NT13,NT10,NT4)=0,"",SUM($B$4*IF(COUNT(NT4)=0,0,NT4),$B$10*IF(COUNT(NT10)=0,0,NT10),$B$13*IF(COUNT(NT13)=0,0,NT13),$B$16*IF(COUNT(NT16)=0,0,NT16),$B$20*IF(COUNT(NT20)=0,0,NT20))/SUM($B$4*COUNT(NT4),$B$10*COUNT(NT10),$B$13*COUNT(NT13),$B$16*COUNT(NT16),$B$20*COUNT(NT20)))</f>
        <v>3.25</v>
      </c>
      <c r="NU22" s="189">
        <f>IF(NT22="","",NT22*5)</f>
        <v>16.25</v>
      </c>
      <c r="NV22" s="81"/>
      <c r="NW22" s="81"/>
      <c r="NX22" s="81"/>
      <c r="NY22" s="188">
        <f>IF(COUNT(NY20,NY16,NY13,NY10,NY4)=0,"",SUM($B$4*IF(COUNT(NY4)=0,0,NY4),$B$10*IF(COUNT(NY10)=0,0,NY10),$B$13*IF(COUNT(NY13)=0,0,NY13),$B$16*IF(COUNT(NY16)=0,0,NY16),$B$20*IF(COUNT(NY20)=0,0,NY20))/SUM($B$4*COUNT(NY4),$B$10*COUNT(NY10),$B$13*COUNT(NY13),$B$16*COUNT(NY16),$B$20*COUNT(NY20)))</f>
        <v>3.5138888888888893</v>
      </c>
      <c r="NZ22" s="195">
        <f>IF(NY22="","",NY22*5)</f>
        <v>17.569444444444446</v>
      </c>
      <c r="OA22" s="81"/>
      <c r="OB22" s="81"/>
      <c r="OC22" s="81"/>
      <c r="OD22" s="81"/>
      <c r="OE22" s="188">
        <f>IF(COUNT(OE20,OE16,OE13,OE10,OE4)=0,"",SUM($B$4*IF(COUNT(OE4)=0,0,OE4),$B$10*IF(COUNT(OE10)=0,0,OE10),$B$13*IF(COUNT(OE13)=0,0,OE13),$B$16*IF(COUNT(OE16)=0,0,OE16),$B$20*IF(COUNT(OE20)=0,0,OE20))/SUM($B$4*COUNT(OE4),$B$10*COUNT(OE10),$B$13*COUNT(OE13),$B$16*COUNT(OE16),$B$20*COUNT(OE20)))</f>
        <v>2.8333333333333335</v>
      </c>
      <c r="OF22" s="212">
        <f>IF(OE22="","",OE22*5)</f>
        <v>14.166666666666668</v>
      </c>
      <c r="OG22" s="175"/>
      <c r="OH22" s="175"/>
      <c r="OI22" s="150"/>
      <c r="OJ22" s="150"/>
      <c r="OK22" s="150"/>
      <c r="OL22" s="188">
        <f>IF(COUNT(OL20,OL16,OL13,OL10,OL4)=0,"",SUM($B$4*IF(COUNT(OL4)=0,0,OL4),$B$10*IF(COUNT(OL10)=0,0,OL10),$B$13*IF(COUNT(OL13)=0,0,OL13),$B$16*IF(COUNT(OL16)=0,0,OL16),$B$20*IF(COUNT(OL20)=0,0,OL20))/SUM($B$4*COUNT(OL4),$B$10*COUNT(OL10),$B$13*COUNT(OL13),$B$16*COUNT(OL16),$B$20*COUNT(OL20)))</f>
        <v>2.5</v>
      </c>
      <c r="OM22" s="189">
        <f>IF(OL22="","",OL22*5)</f>
        <v>12.5</v>
      </c>
      <c r="ON22" s="81"/>
      <c r="OO22" s="81"/>
      <c r="OP22" s="81"/>
      <c r="OQ22" s="188">
        <f>IF(COUNT(OQ20,OQ16,OQ13,OQ10,OQ4)=0,"",SUM($B$4*IF(COUNT(OQ4)=0,0,OQ4),$B$10*IF(COUNT(OQ10)=0,0,OQ10),$B$13*IF(COUNT(OQ13)=0,0,OQ13),$B$16*IF(COUNT(OQ16)=0,0,OQ16),$B$20*IF(COUNT(OQ20)=0,0,OQ20))/SUM($B$4*COUNT(OQ4),$B$10*COUNT(OQ10),$B$13*COUNT(OQ13),$B$16*COUNT(OQ16),$B$20*COUNT(OQ20)))</f>
        <v>3.1944444444444442</v>
      </c>
      <c r="OR22" s="195">
        <f>IF(OQ22="","",OQ22*5)</f>
        <v>15.972222222222221</v>
      </c>
      <c r="OS22" s="81"/>
      <c r="OT22" s="81"/>
      <c r="OU22" s="81"/>
      <c r="OV22" s="81"/>
      <c r="OW22" s="188">
        <f>IF(COUNT(OW20,OW16,OW13,OW10,OW4)=0,"",SUM($B$4*IF(COUNT(OW4)=0,0,OW4),$B$10*IF(COUNT(OW10)=0,0,OW10),$B$13*IF(COUNT(OW13)=0,0,OW13),$B$16*IF(COUNT(OW16)=0,0,OW16),$B$20*IF(COUNT(OW20)=0,0,OW20))/SUM($B$4*COUNT(OW4),$B$10*COUNT(OW10),$B$13*COUNT(OW13),$B$16*COUNT(OW16),$B$20*COUNT(OW20)))</f>
        <v>2.1944444444444442</v>
      </c>
      <c r="OX22" s="212">
        <f>IF(OW22="","",OW22*5)</f>
        <v>10.972222222222221</v>
      </c>
      <c r="OY22" s="175"/>
      <c r="OZ22" s="175"/>
      <c r="PA22" s="150"/>
      <c r="PB22" s="150"/>
      <c r="PC22" s="150"/>
      <c r="PD22" s="188">
        <f>IF(COUNT(PD20,PD16,PD13,PD10,PD4)=0,"",SUM($B$4*IF(COUNT(PD4)=0,0,PD4),$B$10*IF(COUNT(PD10)=0,0,PD10),$B$13*IF(COUNT(PD13)=0,0,PD13),$B$16*IF(COUNT(PD16)=0,0,PD16),$B$20*IF(COUNT(PD20)=0,0,PD20))/SUM($B$4*COUNT(PD4),$B$10*COUNT(PD10),$B$13*COUNT(PD13),$B$16*COUNT(PD16),$B$20*COUNT(PD20)))</f>
        <v>2.8333333333333335</v>
      </c>
      <c r="PE22" s="189">
        <f>IF(PD22="","",PD22*5)</f>
        <v>14.166666666666668</v>
      </c>
      <c r="PF22" s="81"/>
      <c r="PG22" s="81"/>
      <c r="PH22" s="81"/>
      <c r="PI22" s="188">
        <f>IF(COUNT(PI20,PI16,PI13,PI10,PI4)=0,"",SUM($B$4*IF(COUNT(PI4)=0,0,PI4),$B$10*IF(COUNT(PI10)=0,0,PI10),$B$13*IF(COUNT(PI13)=0,0,PI13),$B$16*IF(COUNT(PI16)=0,0,PI16),$B$20*IF(COUNT(PI20)=0,0,PI20))/SUM($B$4*COUNT(PI4),$B$10*COUNT(PI10),$B$13*COUNT(PI13),$B$16*COUNT(PI16),$B$20*COUNT(PI20)))</f>
        <v>2.7083333333333335</v>
      </c>
      <c r="PJ22" s="195">
        <f>IF(PI22="","",PI22*5)</f>
        <v>13.541666666666668</v>
      </c>
      <c r="PK22" s="81"/>
      <c r="PL22" s="81"/>
      <c r="PM22" s="81"/>
      <c r="PN22" s="81"/>
      <c r="PO22" s="188">
        <f>IF(COUNT(PO20,PO16,PO13,PO10,PO4)=0,"",SUM($B$4*IF(COUNT(PO4)=0,0,PO4),$B$10*IF(COUNT(PO10)=0,0,PO10),$B$13*IF(COUNT(PO13)=0,0,PO13),$B$16*IF(COUNT(PO16)=0,0,PO16),$B$20*IF(COUNT(PO20)=0,0,PO20))/SUM($B$4*COUNT(PO4),$B$10*COUNT(PO10),$B$13*COUNT(PO13),$B$16*COUNT(PO16),$B$20*COUNT(PO20)))</f>
        <v>2.657407407407407</v>
      </c>
      <c r="PP22" s="212">
        <f>IF(PO22="","",PO22*5)</f>
        <v>13.287037037037035</v>
      </c>
      <c r="PQ22" s="175"/>
      <c r="PR22" s="175"/>
      <c r="PS22" s="150"/>
      <c r="PT22" s="150"/>
      <c r="PU22" s="150"/>
      <c r="PV22" s="188">
        <f>IF(COUNT(PV20,PV16,PV13,PV10,PV4)=0,"",SUM($B$4*IF(COUNT(PV4)=0,0,PV4),$B$10*IF(COUNT(PV10)=0,0,PV10),$B$13*IF(COUNT(PV13)=0,0,PV13),$B$16*IF(COUNT(PV16)=0,0,PV16),$B$20*IF(COUNT(PV20)=0,0,PV20))/SUM($B$4*COUNT(PV4),$B$10*COUNT(PV10),$B$13*COUNT(PV13),$B$16*COUNT(PV16),$B$20*COUNT(PV20)))</f>
        <v>2.6666666666666665</v>
      </c>
      <c r="PW22" s="189">
        <f>IF(PV22="","",PV22*5)</f>
        <v>13.333333333333332</v>
      </c>
      <c r="PX22" s="81"/>
      <c r="PY22" s="81"/>
      <c r="PZ22" s="81"/>
      <c r="QA22" s="188">
        <f>IF(COUNT(QA20,QA16,QA13,QA10,QA4)=0,"",SUM($B$4*IF(COUNT(QA4)=0,0,QA4),$B$10*IF(COUNT(QA10)=0,0,QA10),$B$13*IF(COUNT(QA13)=0,0,QA13),$B$16*IF(COUNT(QA16)=0,0,QA16),$B$20*IF(COUNT(QA20)=0,0,QA20))/SUM($B$4*COUNT(QA4),$B$10*COUNT(QA10),$B$13*COUNT(QA13),$B$16*COUNT(QA16),$B$20*COUNT(QA20)))</f>
        <v>3.4166666666666665</v>
      </c>
      <c r="QB22" s="195">
        <f>IF(QA22="","",QA22*5)</f>
        <v>17.083333333333332</v>
      </c>
      <c r="QC22" s="81"/>
      <c r="QD22" s="81"/>
      <c r="QE22" s="81"/>
      <c r="QF22" s="81"/>
      <c r="QG22" s="188">
        <f>IF(COUNT(QG20,QG16,QG13,QG10,QG4)=0,"",SUM($B$4*IF(COUNT(QG4)=0,0,QG4),$B$10*IF(COUNT(QG10)=0,0,QG10),$B$13*IF(COUNT(QG13)=0,0,QG13),$B$16*IF(COUNT(QG16)=0,0,QG16),$B$20*IF(COUNT(QG20)=0,0,QG20))/SUM($B$4*COUNT(QG4),$B$10*COUNT(QG10),$B$13*COUNT(QG13),$B$16*COUNT(QG16),$B$20*COUNT(QG20)))</f>
        <v>2.7222222222222219</v>
      </c>
      <c r="QH22" s="212">
        <f>IF(QG22="","",QG22*5)</f>
        <v>13.611111111111109</v>
      </c>
      <c r="QI22" s="175"/>
      <c r="QJ22" s="175"/>
      <c r="QK22" s="150"/>
      <c r="QL22" s="150"/>
      <c r="QM22" s="150"/>
      <c r="QN22" s="188">
        <f>IF(COUNT(QN20,QN16,QN13,QN10,QN4)=0,"",SUM($B$4*IF(COUNT(QN4)=0,0,QN4),$B$10*IF(COUNT(QN10)=0,0,QN10),$B$13*IF(COUNT(QN13)=0,0,QN13),$B$16*IF(COUNT(QN16)=0,0,QN16),$B$20*IF(COUNT(QN20)=0,0,QN20))/SUM($B$4*COUNT(QN4),$B$10*COUNT(QN10),$B$13*COUNT(QN13),$B$16*COUNT(QN16),$B$20*COUNT(QN20)))</f>
        <v>2.3333333333333335</v>
      </c>
      <c r="QO22" s="189">
        <f>IF(QN22="","",QN22*5)</f>
        <v>11.666666666666668</v>
      </c>
      <c r="QP22" s="81"/>
      <c r="QQ22" s="81"/>
      <c r="QR22" s="81"/>
      <c r="QS22" s="188">
        <f>IF(COUNT(QS20,QS16,QS13,QS10,QS4)=0,"",SUM($B$4*IF(COUNT(QS4)=0,0,QS4),$B$10*IF(COUNT(QS10)=0,0,QS10),$B$13*IF(COUNT(QS13)=0,0,QS13),$B$16*IF(COUNT(QS16)=0,0,QS16),$B$20*IF(COUNT(QS20)=0,0,QS20))/SUM($B$4*COUNT(QS4),$B$10*COUNT(QS10),$B$13*COUNT(QS13),$B$16*COUNT(QS16),$B$20*COUNT(QS20)))</f>
        <v>2.9166666666666665</v>
      </c>
      <c r="QT22" s="195">
        <f>IF(QS22="","",QS22*5)</f>
        <v>14.583333333333332</v>
      </c>
      <c r="QU22" s="81"/>
      <c r="QV22" s="81"/>
      <c r="QW22" s="81"/>
      <c r="QX22" s="81"/>
      <c r="QY22" s="188">
        <f>IF(COUNT(QY20,QY16,QY13,QY10,QY4)=0,"",SUM($B$4*IF(COUNT(QY4)=0,0,QY4),$B$10*IF(COUNT(QY10)=0,0,QY10),$B$13*IF(COUNT(QY13)=0,0,QY13),$B$16*IF(COUNT(QY16)=0,0,QY16),$B$20*IF(COUNT(QY20)=0,0,QY20))/SUM($B$4*COUNT(QY4),$B$10*COUNT(QY10),$B$13*COUNT(QY13),$B$16*COUNT(QY16),$B$20*COUNT(QY20)))</f>
        <v>2.6388888888888888</v>
      </c>
      <c r="QZ22" s="212">
        <f>IF(QY22="","",QY22*5)</f>
        <v>13.194444444444445</v>
      </c>
      <c r="RA22" s="175"/>
      <c r="RB22" s="175"/>
      <c r="RC22" s="150"/>
      <c r="RD22" s="150"/>
      <c r="RE22" s="150"/>
      <c r="RF22" s="188">
        <f>IF(COUNT(RF20,RF16,RF13,RF10,RF4)=0,"",SUM($B$4*IF(COUNT(RF4)=0,0,RF4),$B$10*IF(COUNT(RF10)=0,0,RF10),$B$13*IF(COUNT(RF13)=0,0,RF13),$B$16*IF(COUNT(RF16)=0,0,RF16),$B$20*IF(COUNT(RF20)=0,0,RF20))/SUM($B$4*COUNT(RF4),$B$10*COUNT(RF10),$B$13*COUNT(RF13),$B$16*COUNT(RF16),$B$20*COUNT(RF20)))</f>
        <v>2.6666666666666665</v>
      </c>
      <c r="RG22" s="189">
        <f>IF(RF22="","",RF22*5)</f>
        <v>13.333333333333332</v>
      </c>
      <c r="RH22" s="81"/>
      <c r="RI22" s="81"/>
      <c r="RJ22" s="81"/>
      <c r="RK22" s="188">
        <f>IF(COUNT(RK20,RK16,RK13,RK10,RK4)=0,"",SUM($B$4*IF(COUNT(RK4)=0,0,RK4),$B$10*IF(COUNT(RK10)=0,0,RK10),$B$13*IF(COUNT(RK13)=0,0,RK13),$B$16*IF(COUNT(RK16)=0,0,RK16),$B$20*IF(COUNT(RK20)=0,0,RK20))/SUM($B$4*COUNT(RK4),$B$10*COUNT(RK10),$B$13*COUNT(RK13),$B$16*COUNT(RK16),$B$20*COUNT(RK20)))</f>
        <v>3.3333333333333335</v>
      </c>
      <c r="RL22" s="195">
        <f>IF(RK22="","",RK22*5)</f>
        <v>16.666666666666668</v>
      </c>
      <c r="RM22" s="81"/>
      <c r="RN22" s="81"/>
      <c r="RO22" s="81"/>
      <c r="RP22" s="81"/>
      <c r="RQ22" s="188">
        <f>IF(COUNT(RQ20,RQ16,RQ13,RQ10,RQ4)=0,"",SUM($B$4*IF(COUNT(RQ4)=0,0,RQ4),$B$10*IF(COUNT(RQ10)=0,0,RQ10),$B$13*IF(COUNT(RQ13)=0,0,RQ13),$B$16*IF(COUNT(RQ16)=0,0,RQ16),$B$20*IF(COUNT(RQ20)=0,0,RQ20))/SUM($B$4*COUNT(RQ4),$B$10*COUNT(RQ10),$B$13*COUNT(RQ13),$B$16*COUNT(RQ16),$B$20*COUNT(RQ20)))</f>
        <v>3.0833333333333335</v>
      </c>
      <c r="RR22" s="212">
        <f>IF(RQ22="","",RQ22*5)</f>
        <v>15.416666666666668</v>
      </c>
      <c r="RS22" s="175"/>
      <c r="RT22" s="175"/>
      <c r="RU22" s="150"/>
      <c r="RV22" s="150"/>
      <c r="RW22" s="150"/>
      <c r="RX22" s="188">
        <f>IF(COUNT(RX20,RX16,RX13,RX10,RX4)=0,"",SUM($B$4*IF(COUNT(RX4)=0,0,RX4),$B$10*IF(COUNT(RX10)=0,0,RX10),$B$13*IF(COUNT(RX13)=0,0,RX13),$B$16*IF(COUNT(RX16)=0,0,RX16),$B$20*IF(COUNT(RX20)=0,0,RX20))/SUM($B$4*COUNT(RX4),$B$10*COUNT(RX10),$B$13*COUNT(RX13),$B$16*COUNT(RX16),$B$20*COUNT(RX20)))</f>
        <v>2.5833333333333335</v>
      </c>
      <c r="RY22" s="189">
        <f>IF(RX22="","",RX22*5)</f>
        <v>12.916666666666668</v>
      </c>
      <c r="RZ22" s="81"/>
      <c r="SA22" s="81"/>
      <c r="SB22" s="81"/>
      <c r="SC22" s="188">
        <f>IF(COUNT(SC20,SC16,SC13,SC10,SC4)=0,"",SUM($B$4*IF(COUNT(SC4)=0,0,SC4),$B$10*IF(COUNT(SC10)=0,0,SC10),$B$13*IF(COUNT(SC13)=0,0,SC13),$B$16*IF(COUNT(SC16)=0,0,SC16),$B$20*IF(COUNT(SC20)=0,0,SC20))/SUM($B$4*COUNT(SC4),$B$10*COUNT(SC10),$B$13*COUNT(SC13),$B$16*COUNT(SC16),$B$20*COUNT(SC20)))</f>
        <v>3</v>
      </c>
      <c r="SD22" s="195">
        <f>IF(SC22="","",SC22*5)</f>
        <v>15</v>
      </c>
      <c r="SE22" s="81"/>
      <c r="SF22" s="81"/>
      <c r="SG22" s="81"/>
      <c r="SH22" s="81"/>
      <c r="SI22" s="188">
        <f>IF(COUNT(SI20,SI16,SI13,SI10,SI4)=0,"",SUM($B$4*IF(COUNT(SI4)=0,0,SI4),$B$10*IF(COUNT(SI10)=0,0,SI10),$B$13*IF(COUNT(SI13)=0,0,SI13),$B$16*IF(COUNT(SI16)=0,0,SI16),$B$20*IF(COUNT(SI20)=0,0,SI20))/SUM($B$4*COUNT(SI4),$B$10*COUNT(SI10),$B$13*COUNT(SI13),$B$16*COUNT(SI16),$B$20*COUNT(SI20)))</f>
        <v>2.675925925925926</v>
      </c>
      <c r="SJ22" s="212">
        <f>IF(SI22="","",SI22*5)</f>
        <v>13.37962962962963</v>
      </c>
      <c r="SK22" s="175"/>
      <c r="SL22" s="175"/>
      <c r="SM22" s="150"/>
      <c r="SN22" s="150"/>
      <c r="SO22" s="150"/>
      <c r="SP22" s="151" t="str">
        <f>IF(COUNT(SP20,SP16,SP13,SP10,SP4)=0,"",SUM($B$4*IF(COUNT(SP4)=0,0,SP4),$B$10*IF(COUNT(SP10)=0,0,SP10),$B$13*IF(COUNT(SP13)=0,0,SP13),$B$16*IF(COUNT(SP16)=0,0,SP16),$B$20*IF(COUNT(SP20)=0,0,SP20))/SUM($B$4*COUNT(SP4),$B$10*COUNT(SP10),$B$13*COUNT(SP13),$B$16*COUNT(SP16),$B$20*COUNT(SP20)))</f>
        <v/>
      </c>
      <c r="SQ22" s="152" t="str">
        <f>IF(SP22="","",SP22*5)</f>
        <v/>
      </c>
      <c r="SR22" s="81"/>
      <c r="SS22" s="81"/>
      <c r="ST22" s="81"/>
      <c r="SU22" s="151" t="str">
        <f>IF(COUNT(SU20,SU16,SU13,SU10,SU4)=0,"",SUM($B$4*IF(COUNT(SU4)=0,0,SU4),$B$10*IF(COUNT(SU10)=0,0,SU10),$B$13*IF(COUNT(SU13)=0,0,SU13),$B$16*IF(COUNT(SU16)=0,0,SU16),$B$20*IF(COUNT(SU20)=0,0,SU20))/SUM($B$4*COUNT(SU4),$B$10*COUNT(SU10),$B$13*COUNT(SU13),$B$16*COUNT(SU16),$B$20*COUNT(SU20)))</f>
        <v/>
      </c>
      <c r="SV22" s="153" t="str">
        <f>IF(SU22="","",SU22*5)</f>
        <v/>
      </c>
      <c r="SW22" s="81"/>
      <c r="SX22" s="81"/>
      <c r="SY22" s="81"/>
      <c r="SZ22" s="151" t="str">
        <f>IF(COUNT(SZ20,SZ16,SZ13,SZ10,SZ4)=0,"",SUM($B$4*IF(COUNT(SZ4)=0,0,SZ4),$B$10*IF(COUNT(SZ10)=0,0,SZ10),$B$13*IF(COUNT(SZ13)=0,0,SZ13),$B$16*IF(COUNT(SZ16)=0,0,SZ16),$B$20*IF(COUNT(SZ20)=0,0,SZ20))/SUM($B$4*COUNT(SZ4),$B$10*COUNT(SZ10),$B$13*COUNT(SZ13),$B$16*COUNT(SZ16),$B$20*COUNT(SZ20)))</f>
        <v/>
      </c>
      <c r="TA22" s="154" t="str">
        <f>IF(SZ22="","",SZ22*5)</f>
        <v/>
      </c>
      <c r="TB22" s="80"/>
      <c r="TC22" s="80"/>
      <c r="TD22" s="150"/>
      <c r="TE22" s="150"/>
      <c r="TF22" s="150"/>
      <c r="TG22" s="151" t="str">
        <f>IF(COUNT(TG20,TG16,TG13,TG10,TG4)=0,"",SUM($B$4*IF(COUNT(TG4)=0,0,TG4),$B$10*IF(COUNT(TG10)=0,0,TG10),$B$13*IF(COUNT(TG13)=0,0,TG13),$B$16*IF(COUNT(TG16)=0,0,TG16),$B$20*IF(COUNT(TG20)=0,0,TG20))/SUM($B$4*COUNT(TG4),$B$10*COUNT(TG10),$B$13*COUNT(TG13),$B$16*COUNT(TG16),$B$20*COUNT(TG20)))</f>
        <v/>
      </c>
      <c r="TH22" s="152" t="str">
        <f>IF(TG22="","",TG22*5)</f>
        <v/>
      </c>
      <c r="TI22" s="81"/>
      <c r="TJ22" s="81"/>
      <c r="TK22" s="81"/>
      <c r="TL22" s="151" t="str">
        <f>IF(COUNT(TL20,TL16,TL13,TL10,TL4)=0,"",SUM($B$4*IF(COUNT(TL4)=0,0,TL4),$B$10*IF(COUNT(TL10)=0,0,TL10),$B$13*IF(COUNT(TL13)=0,0,TL13),$B$16*IF(COUNT(TL16)=0,0,TL16),$B$20*IF(COUNT(TL20)=0,0,TL20))/SUM($B$4*COUNT(TL4),$B$10*COUNT(TL10),$B$13*COUNT(TL13),$B$16*COUNT(TL16),$B$20*COUNT(TL20)))</f>
        <v/>
      </c>
      <c r="TM22" s="153" t="str">
        <f>IF(TL22="","",TL22*5)</f>
        <v/>
      </c>
      <c r="TN22" s="81"/>
      <c r="TO22" s="81"/>
      <c r="TP22" s="81"/>
      <c r="TQ22" s="151" t="str">
        <f>IF(COUNT(TQ20,TQ16,TQ13,TQ10,TQ4)=0,"",SUM($B$4*IF(COUNT(TQ4)=0,0,TQ4),$B$10*IF(COUNT(TQ10)=0,0,TQ10),$B$13*IF(COUNT(TQ13)=0,0,TQ13),$B$16*IF(COUNT(TQ16)=0,0,TQ16),$B$20*IF(COUNT(TQ20)=0,0,TQ20))/SUM($B$4*COUNT(TQ4),$B$10*COUNT(TQ10),$B$13*COUNT(TQ13),$B$16*COUNT(TQ16),$B$20*COUNT(TQ20)))</f>
        <v/>
      </c>
      <c r="TR22" s="154" t="str">
        <f>IF(TQ22="","",TQ22*5)</f>
        <v/>
      </c>
      <c r="TS22" s="80"/>
      <c r="TT22" s="80"/>
    </row>
    <row r="23" spans="1:540" s="155" customFormat="1" ht="18" x14ac:dyDescent="0.35">
      <c r="A23" s="165"/>
      <c r="B23" s="165"/>
      <c r="F23" s="165"/>
      <c r="G23" s="165"/>
      <c r="K23" s="165"/>
      <c r="L23" s="165"/>
      <c r="Q23" s="165"/>
      <c r="R23" s="165"/>
      <c r="S23" s="191"/>
      <c r="T23" s="191"/>
      <c r="X23" s="165"/>
      <c r="Y23" s="165"/>
      <c r="AC23" s="165"/>
      <c r="AD23" s="165"/>
      <c r="AI23" s="165"/>
      <c r="AJ23" s="165"/>
      <c r="AK23" s="191"/>
      <c r="AL23" s="191"/>
      <c r="BC23" s="156"/>
      <c r="BD23" s="156"/>
      <c r="BU23" s="156"/>
      <c r="BV23" s="156"/>
      <c r="CM23" s="156"/>
      <c r="CN23" s="156"/>
      <c r="DE23" s="156"/>
      <c r="DF23" s="156"/>
      <c r="DW23" s="156"/>
      <c r="DX23" s="156"/>
      <c r="EO23" s="156"/>
      <c r="EP23" s="156"/>
      <c r="FG23" s="156"/>
      <c r="FH23" s="156"/>
      <c r="FY23" s="156"/>
      <c r="FZ23" s="156"/>
      <c r="GQ23" s="156"/>
      <c r="GR23" s="156"/>
      <c r="HI23" s="156"/>
      <c r="HJ23" s="156"/>
      <c r="IA23" s="156"/>
      <c r="IB23" s="156"/>
      <c r="IS23" s="156"/>
      <c r="IT23" s="156"/>
      <c r="JK23" s="156"/>
      <c r="JL23" s="156"/>
      <c r="KC23" s="156"/>
      <c r="KD23" s="156"/>
      <c r="KU23" s="156"/>
      <c r="KV23" s="156"/>
      <c r="LM23" s="156"/>
      <c r="LN23" s="156"/>
      <c r="ME23" s="156"/>
      <c r="MF23" s="156"/>
      <c r="MW23" s="156"/>
      <c r="MX23" s="156"/>
      <c r="NO23" s="156"/>
      <c r="NP23" s="156"/>
      <c r="OG23" s="156"/>
      <c r="OH23" s="156"/>
      <c r="OY23" s="156"/>
      <c r="OZ23" s="156"/>
      <c r="PQ23" s="156"/>
      <c r="PR23" s="156"/>
      <c r="QI23" s="156"/>
      <c r="QJ23" s="156"/>
      <c r="RA23" s="156"/>
      <c r="RB23" s="156"/>
      <c r="RS23" s="156"/>
      <c r="RT23" s="156"/>
      <c r="SK23" s="156"/>
      <c r="SL23" s="156"/>
      <c r="TB23" s="156"/>
      <c r="TC23" s="156"/>
      <c r="TS23" s="156"/>
      <c r="TT23" s="156"/>
    </row>
    <row r="24" spans="1:540" ht="18" x14ac:dyDescent="0.25">
      <c r="A24" s="166"/>
      <c r="B24" s="166"/>
      <c r="C24" s="157"/>
      <c r="D24" s="156"/>
      <c r="E24" s="156"/>
      <c r="F24" s="166"/>
      <c r="G24" s="166"/>
      <c r="I24" s="156"/>
      <c r="J24" s="156"/>
      <c r="M24" s="158"/>
      <c r="N24" s="158"/>
      <c r="O24" s="158"/>
      <c r="P24" s="158"/>
      <c r="Q24" s="190"/>
      <c r="S24" s="166"/>
      <c r="T24" s="166"/>
      <c r="U24" s="157"/>
      <c r="V24" s="156"/>
      <c r="W24" s="156"/>
      <c r="X24" s="166"/>
      <c r="Y24" s="166"/>
      <c r="AA24" s="156"/>
      <c r="AB24" s="156"/>
      <c r="AE24" s="158"/>
      <c r="AF24" s="158"/>
      <c r="AG24" s="158"/>
      <c r="AH24" s="158"/>
      <c r="AI24" s="190"/>
      <c r="AK24" s="166"/>
      <c r="AL24" s="166"/>
      <c r="AM24" s="157"/>
      <c r="AN24" s="156"/>
      <c r="AO24" s="156"/>
      <c r="AP24" s="157"/>
      <c r="AQ24" s="157"/>
      <c r="AS24" s="156"/>
      <c r="AT24" s="156"/>
      <c r="AW24" s="158"/>
      <c r="AX24" s="158"/>
      <c r="AY24" s="158"/>
      <c r="AZ24" s="158"/>
      <c r="BA24" s="158"/>
      <c r="BC24" s="157"/>
      <c r="BD24" s="157"/>
      <c r="BE24" s="157"/>
      <c r="BF24" s="156"/>
      <c r="BG24" s="156"/>
      <c r="BH24" s="157"/>
      <c r="BI24" s="157"/>
      <c r="BK24" s="156"/>
      <c r="BL24" s="156"/>
      <c r="BO24" s="158"/>
      <c r="BP24" s="158"/>
      <c r="BQ24" s="158"/>
      <c r="BR24" s="158"/>
      <c r="BS24" s="158"/>
      <c r="BU24" s="157"/>
      <c r="BV24" s="157"/>
      <c r="BW24" s="157"/>
      <c r="BX24" s="156"/>
      <c r="BY24" s="156"/>
      <c r="BZ24" s="157"/>
      <c r="CA24" s="157"/>
      <c r="CC24" s="156"/>
      <c r="CD24" s="156"/>
      <c r="CG24" s="158"/>
      <c r="CH24" s="158"/>
      <c r="CI24" s="158"/>
      <c r="CJ24" s="158"/>
      <c r="CK24" s="158"/>
      <c r="CM24" s="157"/>
      <c r="CN24" s="157"/>
      <c r="CO24" s="157"/>
      <c r="CP24" s="156"/>
      <c r="CQ24" s="156"/>
      <c r="CR24" s="157"/>
      <c r="CS24" s="157"/>
      <c r="CU24" s="156"/>
      <c r="CV24" s="156"/>
      <c r="CY24" s="158"/>
      <c r="CZ24" s="158"/>
      <c r="DA24" s="158"/>
      <c r="DB24" s="158"/>
      <c r="DC24" s="158"/>
      <c r="DE24" s="157"/>
      <c r="DF24" s="157"/>
      <c r="DG24" s="157"/>
      <c r="DH24" s="156"/>
      <c r="DI24" s="156"/>
      <c r="DJ24" s="157"/>
      <c r="DK24" s="157"/>
      <c r="DM24" s="156"/>
      <c r="DN24" s="156"/>
      <c r="DQ24" s="158"/>
      <c r="DR24" s="158"/>
      <c r="DS24" s="158"/>
      <c r="DT24" s="158"/>
      <c r="DU24" s="158"/>
      <c r="DW24" s="157"/>
      <c r="DX24" s="157"/>
      <c r="DY24" s="157"/>
      <c r="DZ24" s="156"/>
      <c r="EA24" s="156"/>
      <c r="EB24" s="157"/>
      <c r="EC24" s="157"/>
      <c r="EE24" s="156"/>
      <c r="EF24" s="156"/>
      <c r="EI24" s="158"/>
      <c r="EJ24" s="158"/>
      <c r="EK24" s="158"/>
      <c r="EL24" s="158"/>
      <c r="EM24" s="158"/>
      <c r="EO24" s="157"/>
      <c r="EP24" s="157"/>
      <c r="EQ24" s="157"/>
      <c r="ER24" s="156"/>
      <c r="ES24" s="156"/>
      <c r="ET24" s="157"/>
      <c r="EU24" s="157"/>
      <c r="EW24" s="156"/>
      <c r="EX24" s="156"/>
      <c r="FA24" s="158"/>
      <c r="FB24" s="158"/>
      <c r="FC24" s="158"/>
      <c r="FD24" s="158"/>
      <c r="FE24" s="158"/>
      <c r="FG24" s="157"/>
      <c r="FH24" s="157"/>
      <c r="FI24" s="157"/>
      <c r="FJ24" s="156"/>
      <c r="FK24" s="156"/>
      <c r="FL24" s="157"/>
      <c r="FM24" s="157"/>
      <c r="FO24" s="156"/>
      <c r="FP24" s="156"/>
      <c r="FS24" s="158"/>
      <c r="FT24" s="158"/>
      <c r="FU24" s="158"/>
      <c r="FV24" s="158"/>
      <c r="FW24" s="158"/>
      <c r="FY24" s="157"/>
      <c r="FZ24" s="157"/>
      <c r="GA24" s="157"/>
      <c r="GB24" s="156"/>
      <c r="GC24" s="156"/>
      <c r="GD24" s="157"/>
      <c r="GE24" s="157"/>
      <c r="GG24" s="156"/>
      <c r="GH24" s="156"/>
      <c r="GK24" s="158"/>
      <c r="GL24" s="158"/>
      <c r="GM24" s="158"/>
      <c r="GN24" s="158"/>
      <c r="GO24" s="158"/>
      <c r="GQ24" s="157"/>
      <c r="GR24" s="157"/>
      <c r="GS24" s="157"/>
      <c r="GT24" s="156"/>
      <c r="GU24" s="156"/>
      <c r="GV24" s="157"/>
      <c r="GW24" s="157"/>
      <c r="GY24" s="156"/>
      <c r="GZ24" s="156"/>
      <c r="HC24" s="158"/>
      <c r="HD24" s="158"/>
      <c r="HE24" s="158"/>
      <c r="HF24" s="158"/>
      <c r="HG24" s="158"/>
      <c r="HI24" s="157"/>
      <c r="HJ24" s="157"/>
      <c r="HK24" s="157"/>
      <c r="HL24" s="156"/>
      <c r="HM24" s="156"/>
      <c r="HN24" s="157"/>
      <c r="HO24" s="157"/>
      <c r="HQ24" s="156"/>
      <c r="HR24" s="156"/>
      <c r="HU24" s="158"/>
      <c r="HV24" s="158"/>
      <c r="HW24" s="158"/>
      <c r="HX24" s="158"/>
      <c r="HY24" s="158"/>
      <c r="IA24" s="157"/>
      <c r="IB24" s="157"/>
      <c r="IC24" s="157"/>
      <c r="ID24" s="156"/>
      <c r="IE24" s="156"/>
      <c r="IF24" s="157"/>
      <c r="IG24" s="157"/>
      <c r="II24" s="156"/>
      <c r="IJ24" s="156"/>
      <c r="IM24" s="158"/>
      <c r="IN24" s="158"/>
      <c r="IO24" s="158"/>
      <c r="IP24" s="158"/>
      <c r="IQ24" s="158"/>
      <c r="IS24" s="157"/>
      <c r="IT24" s="157"/>
      <c r="IU24" s="157"/>
      <c r="IV24" s="156"/>
      <c r="IW24" s="156"/>
      <c r="IX24" s="157"/>
      <c r="IY24" s="157"/>
      <c r="JA24" s="156"/>
      <c r="JB24" s="156"/>
      <c r="JE24" s="158"/>
      <c r="JF24" s="158"/>
      <c r="JG24" s="158"/>
      <c r="JH24" s="158"/>
      <c r="JI24" s="158"/>
      <c r="JK24" s="157"/>
      <c r="JL24" s="157"/>
      <c r="JM24" s="157"/>
      <c r="JN24" s="156"/>
      <c r="JO24" s="156"/>
      <c r="JP24" s="157"/>
      <c r="JQ24" s="157"/>
      <c r="JS24" s="156"/>
      <c r="JT24" s="156"/>
      <c r="JW24" s="158"/>
      <c r="JX24" s="158"/>
      <c r="JY24" s="158"/>
      <c r="JZ24" s="158"/>
      <c r="KA24" s="158"/>
      <c r="KC24" s="157"/>
      <c r="KD24" s="157"/>
      <c r="KE24" s="157"/>
      <c r="KF24" s="156"/>
      <c r="KG24" s="156"/>
      <c r="KH24" s="157"/>
      <c r="KI24" s="157"/>
      <c r="KK24" s="156"/>
      <c r="KL24" s="156"/>
      <c r="KO24" s="158"/>
      <c r="KP24" s="158"/>
      <c r="KQ24" s="158"/>
      <c r="KR24" s="158"/>
      <c r="KS24" s="158"/>
      <c r="KU24" s="157"/>
      <c r="KV24" s="157"/>
      <c r="KW24" s="157"/>
      <c r="KX24" s="156"/>
      <c r="KY24" s="156"/>
      <c r="KZ24" s="157"/>
      <c r="LA24" s="157"/>
      <c r="LC24" s="156"/>
      <c r="LD24" s="156"/>
      <c r="LG24" s="158"/>
      <c r="LH24" s="158"/>
      <c r="LI24" s="158"/>
      <c r="LJ24" s="158"/>
      <c r="LK24" s="158"/>
      <c r="LM24" s="157"/>
      <c r="LN24" s="157"/>
      <c r="LO24" s="157"/>
      <c r="LP24" s="156"/>
      <c r="LQ24" s="156"/>
      <c r="LR24" s="157"/>
      <c r="LS24" s="157"/>
      <c r="LU24" s="156"/>
      <c r="LV24" s="156"/>
      <c r="LY24" s="158"/>
      <c r="LZ24" s="158"/>
      <c r="MA24" s="158"/>
      <c r="MB24" s="158"/>
      <c r="MC24" s="158"/>
      <c r="ME24" s="157"/>
      <c r="MF24" s="157"/>
      <c r="MG24" s="157"/>
      <c r="MH24" s="156"/>
      <c r="MI24" s="156"/>
      <c r="MJ24" s="157"/>
      <c r="MK24" s="157"/>
      <c r="MM24" s="156"/>
      <c r="MN24" s="156"/>
      <c r="MQ24" s="158"/>
      <c r="MR24" s="158"/>
      <c r="MS24" s="158"/>
      <c r="MT24" s="158"/>
      <c r="MU24" s="158"/>
      <c r="MW24" s="157"/>
      <c r="MX24" s="157"/>
      <c r="MY24" s="157"/>
      <c r="MZ24" s="156"/>
      <c r="NA24" s="156"/>
      <c r="NB24" s="157"/>
      <c r="NC24" s="157"/>
      <c r="NE24" s="156"/>
      <c r="NF24" s="156"/>
      <c r="NI24" s="158"/>
      <c r="NJ24" s="158"/>
      <c r="NK24" s="158"/>
      <c r="NL24" s="158"/>
      <c r="NM24" s="158"/>
      <c r="NO24" s="157"/>
      <c r="NP24" s="157"/>
      <c r="NQ24" s="157"/>
      <c r="NR24" s="156"/>
      <c r="NS24" s="156"/>
      <c r="NT24" s="157"/>
      <c r="NU24" s="157"/>
      <c r="NW24" s="156"/>
      <c r="NX24" s="156"/>
      <c r="OA24" s="158"/>
      <c r="OB24" s="158"/>
      <c r="OC24" s="158"/>
      <c r="OD24" s="158"/>
      <c r="OE24" s="158"/>
      <c r="OG24" s="157"/>
      <c r="OH24" s="157"/>
      <c r="OI24" s="157"/>
      <c r="OJ24" s="156"/>
      <c r="OK24" s="156"/>
      <c r="OL24" s="157"/>
      <c r="OM24" s="157"/>
      <c r="OO24" s="156"/>
      <c r="OP24" s="156"/>
      <c r="OS24" s="158"/>
      <c r="OT24" s="158"/>
      <c r="OU24" s="158"/>
      <c r="OV24" s="158"/>
      <c r="OW24" s="158"/>
      <c r="OY24" s="157"/>
      <c r="OZ24" s="157"/>
      <c r="PA24" s="157"/>
      <c r="PB24" s="156"/>
      <c r="PC24" s="156"/>
      <c r="PD24" s="157"/>
      <c r="PE24" s="157"/>
      <c r="PG24" s="156"/>
      <c r="PH24" s="156"/>
      <c r="PK24" s="158"/>
      <c r="PL24" s="158"/>
      <c r="PM24" s="158"/>
      <c r="PN24" s="158"/>
      <c r="PO24" s="158"/>
      <c r="PQ24" s="157"/>
      <c r="PR24" s="157"/>
      <c r="PS24" s="157"/>
      <c r="PT24" s="156"/>
      <c r="PU24" s="156"/>
      <c r="PV24" s="157"/>
      <c r="PW24" s="157"/>
      <c r="PY24" s="156"/>
      <c r="PZ24" s="156"/>
      <c r="QC24" s="158"/>
      <c r="QD24" s="158"/>
      <c r="QE24" s="158"/>
      <c r="QF24" s="158"/>
      <c r="QG24" s="158"/>
      <c r="QI24" s="157"/>
      <c r="QJ24" s="157"/>
      <c r="QK24" s="157"/>
      <c r="QL24" s="156"/>
      <c r="QM24" s="156"/>
      <c r="QN24" s="157"/>
      <c r="QO24" s="157"/>
      <c r="QQ24" s="156"/>
      <c r="QR24" s="156"/>
      <c r="QU24" s="158"/>
      <c r="QV24" s="158"/>
      <c r="QW24" s="158"/>
      <c r="QX24" s="158"/>
      <c r="QY24" s="158"/>
      <c r="RA24" s="157"/>
      <c r="RB24" s="157"/>
      <c r="RC24" s="157"/>
      <c r="RD24" s="156"/>
      <c r="RE24" s="156"/>
      <c r="RF24" s="157"/>
      <c r="RG24" s="157"/>
      <c r="RI24" s="156"/>
      <c r="RJ24" s="156"/>
      <c r="RM24" s="158"/>
      <c r="RN24" s="158"/>
      <c r="RO24" s="158"/>
      <c r="RP24" s="158"/>
      <c r="RQ24" s="158"/>
      <c r="RS24" s="157"/>
      <c r="RT24" s="157"/>
      <c r="RU24" s="157"/>
      <c r="RV24" s="156"/>
      <c r="RW24" s="156"/>
      <c r="RX24" s="157"/>
      <c r="RY24" s="157"/>
      <c r="SA24" s="156"/>
      <c r="SB24" s="156"/>
      <c r="SE24" s="158"/>
      <c r="SF24" s="158"/>
      <c r="SG24" s="158"/>
      <c r="SH24" s="158"/>
      <c r="SI24" s="158"/>
      <c r="SK24" s="157"/>
      <c r="SL24" s="157"/>
      <c r="SM24" s="157"/>
      <c r="SN24" s="156"/>
      <c r="SO24" s="156"/>
      <c r="SP24" s="157"/>
      <c r="SQ24" s="157"/>
      <c r="SS24" s="156"/>
      <c r="ST24" s="156"/>
      <c r="SW24" s="158"/>
      <c r="SX24" s="158"/>
      <c r="SY24" s="158"/>
      <c r="SZ24" s="158"/>
      <c r="TB24" s="157"/>
      <c r="TC24" s="157"/>
      <c r="TD24" s="157"/>
      <c r="TE24" s="156"/>
      <c r="TF24" s="156"/>
      <c r="TG24" s="157"/>
      <c r="TH24" s="157"/>
      <c r="TJ24" s="156"/>
      <c r="TK24" s="156"/>
      <c r="TN24" s="83"/>
      <c r="TO24" s="83"/>
      <c r="TP24" s="83"/>
      <c r="TQ24" s="83"/>
      <c r="TR24" s="83"/>
      <c r="TS24" s="83"/>
      <c r="TT24" s="83"/>
    </row>
  </sheetData>
  <sheetProtection algorithmName="SHA-512" hashValue="dktJ5NjqMH8HsuiXj5osFy6tVBkROe+38qDb8dgGLZthfiX+SExPEU6fh2g/0L025vs6fdeJUzfEern0lLTcvQ==" saltValue="R+gZnNbeLdeXNJnmeifEiw==" spinCount="100000" sheet="1" insertColumns="0" deleteColumns="0" selectLockedCells="1"/>
  <dataConsolidate/>
  <mergeCells count="15">
    <mergeCell ref="A17:B17"/>
    <mergeCell ref="A18:B18"/>
    <mergeCell ref="A19:B19"/>
    <mergeCell ref="A21:B21"/>
    <mergeCell ref="A22:B22"/>
    <mergeCell ref="A9:B9"/>
    <mergeCell ref="A11:B11"/>
    <mergeCell ref="A12:B12"/>
    <mergeCell ref="A14:B14"/>
    <mergeCell ref="A15:B15"/>
    <mergeCell ref="A1:B1"/>
    <mergeCell ref="A5:B5"/>
    <mergeCell ref="A6:B6"/>
    <mergeCell ref="A7:B7"/>
    <mergeCell ref="A8:B8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ref!$B$3:$B$6</xm:f>
          </x14:formula1>
          <xm:sqref>H5:J9 C5:E9 M5:P9 U5:W9 Z5:AB9 AE5:AH9 C11:E12 H11:J12 M11:P12 U11:W12 Z11:AB12 AE11:AH12 C14:E15 H14:J15 M14:P15 U14:W15 Z14:AB15 AE14:AH15 C17:E19 H17:J19 M17:P19 U17:W19 Z17:AB19 AE17:AH19 C21:E21 H21:J21 M21:P21 U21:W21 Z21:AB21 AE21:AH21 PA5:PC9 PF5:PH9 PK5:PN9 PA11:PC12 PF11:PH12 PK11:PN12 PA14:PC15 PF14:PH15 PK14:PN15 PA17:PC19 PF17:PH19 PK17:PN19 PA21:PC21 PF21:PH21 PK21:PN21 PS5:PU9 PX5:PZ9 QC5:QF9 PS11:PU12 PX11:PZ12 QC11:QF12 PS14:PU15 PX14:PZ15 QC14:QF15 PS17:PU19 PX17:PZ19 QC17:QF19 PS21:PU21 PX21:PZ21 QC21:QF21 RC5:RE9 RH5:RJ9 RM5:RP9 RC11:RE12 RH11:RJ12 RM11:RP12 RC14:RE15 RH14:RJ15 RM14:RP15 RC17:RE19 RH17:RJ19 RM17:RP19 RC21:RE21 RH21:RJ21 RM21:RP21 QK5:QM9 QP5:QR9 QU5:QX9 QK11:QM12 QP11:QR12 QU11:QX12 QK14:QM15 QP14:QR15 QU14:QX15 QK17:QM19 QP17:QR19 QU17:QX19 QK21:QM21 QP21:QR21 QU21:QX21 RU5:RW9 RZ5:SB9 SE5:SH9 RU11:RW12 RZ11:SB12 SE11:SH12 RU14:RW15 RZ14:SB15 SE14:SH15 RU17:RW19 RZ17:SB19 SE17:SH19 RU21:RW21 RZ21:SB21 SE21:SH21 SM5:SO9 SR5:ST9 SW5:SY9 SM11:SO12 SR11:ST12 SW11:SY12 SM14:SO15 SR14:ST15 SW14:SY15 SM17:SO19 SR17:ST19 SW17:SY19 SM21:SO21 SR21:ST21 SW21:SY21 AM5:AO9 AR5:AT9 AW5:AZ9 AM11:AO12 AR11:AT12 AW11:AZ12 AM14:AO15 AR14:AT15 AW14:AZ15 AM17:AO19 AR17:AT19 AW17:AZ19 AM21:AO21 AR21:AT21 AW21:AZ21 BE5:BG9 BJ5:BL9 BO5:BR9 BE11:BG12 BJ11:BL12 BO11:BR12 BE14:BG15 BJ14:BL15 BO14:BR15 BE17:BG19 BJ17:BL19 BO17:BR19 BE21:BG21 BJ21:BL21 BO21:BR21 BW5:BY9 CB5:CD9 CG5:CJ9 BW11:BY12 CB11:CD12 CG11:CJ12 BW14:BY15 CB14:CD15 CG14:CJ15 BW17:BY19 CB17:CD19 CG17:CJ19 BW21:BY21 CB21:CD21 CG21:CJ21 CO5:CQ9 CT5:CV9 CY5:DB9 CO11:CQ12 CT11:CV12 CY11:DB12 CO14:CQ15 CT14:CV15 CY14:DB15 CO17:CQ19 CT17:CV19 CY17:DB19 CO21:CQ21 CT21:CV21 CY21:DB21 DG5:DI9 DL5:DN9 DQ5:DT9 DG11:DI12 DL11:DN12 DQ11:DT12 DG14:DI15 DL14:DN15 DQ14:DT15 DG17:DI19 DL17:DN19 DQ17:DT19 DG21:DI21 DL21:DN21 DQ21:DT21 DY5:EA9 ED5:EF9 EI5:EL9 DY11:EA12 ED11:EF12 EI11:EL12 DY14:EA15 ED14:EF15 EI14:EL15 DY17:EA19 ED17:EF19 EI17:EL19 DY21:EA21 ED21:EF21 EI21:EL21 EQ5:ES9 EV5:EX9 FA5:FD9 EQ11:ES12 EV11:EX12 FA11:FD12 EQ14:ES15 EV14:EX15 FA14:FD15 EQ17:ES19 EV17:EX19 FA17:FD19 EQ21:ES21 EV21:EX21 FA21:FD21 FI5:FK9 FN5:FP9 FS5:FV9 FI11:FK12 FN11:FP12 FS11:FV12 FI14:FK15 FN14:FP15 FS14:FV15 FI17:FK19 FN17:FP19 FS17:FV19 FI21:FK21 FN21:FP21 FS21:FV21 GA5:GC9 GF5:GH9 GK5:GN9 GA11:GC12 GF11:GH12 GK11:GN12 GA14:GC15 GF14:GH15 GK14:GN15 GA17:GC19 GF17:GH19 GK17:GN19 GA21:GC21 GF21:GH21 GK21:GN21 GS5:GU9 GX5:GZ9 HC5:HF9 GS11:GU12 GX11:GZ12 HC11:HF12 GS14:GU15 GX14:GZ15 HC14:HF15 GS17:GU19 GX17:GZ19 HC17:HF19 GS21:GU21 GX21:GZ21 HC21:HF21 HK5:HM9 HP5:HR9 HU5:HX9 HK11:HM12 HP11:HR12 HU11:HX12 HK14:HM15 HP14:HR15 HU14:HX15 HK17:HM19 HP17:HR19 HU17:HX19 HK21:HM21 HP21:HR21 HU21:HX21 IC5:IE9 IH5:IJ9 IM5:IP9 IC11:IE12 IH11:IJ12 IM11:IP12 IC14:IE15 IH14:IJ15 IM14:IP15 IC17:IE19 IH17:IJ19 IM17:IP19 IC21:IE21 IH21:IJ21 IM21:IP21 IU5:IW9 IZ5:JB9 JE5:JH9 IU11:IW12 IZ11:JB12 JE11:JH12 IU14:IW15 IZ14:JB15 JE14:JH15 IU17:IW19 IZ17:JB19 JE17:JH19 IU21:IW21 IZ21:JB21 JE21:JH21 JM5:JO9 JR5:JT9 JW5:JZ9 JM11:JO12 JR11:JT12 JW11:JZ12 JM14:JO15 JR14:JT15 JW14:JZ15 JM17:JO19 JR17:JT19 JW17:JZ19 JM21:JO21 JR21:JT21 JW21:JZ21 KE5:KG9 KJ5:KL9 KO5:KR9 KE11:KG12 KJ11:KL12 KO11:KR12 KE14:KG15 KJ14:KL15 KO14:KR15 KE17:KG19 KJ17:KL19 KO17:KR19 KE21:KG21 KJ21:KL21 KO21:KR21 KW5:KY9 LB5:LD9 LG5:LJ9 KW11:KY12 LB11:LD12 LG11:LJ12 KW14:KY15 LB14:LD15 LG14:LJ15 KW17:KY19 LB17:LD19 LG17:LJ19 KW21:KY21 LB21:LD21 LG21:LJ21 LO5:LQ9 LT5:LV9 LY5:MB9 LO11:LQ12 LT11:LV12 LY11:MB12 LO14:LQ15 LT14:LV15 LY14:MB15 LO17:LQ19 LT17:LV19 LY17:MB19 LO21:LQ21 LT21:LV21 LY21:MB21 MG5:MI9 ML5:MN9 MQ5:MT9 MG11:MI12 ML11:MN12 MQ11:MT12 MG14:MI15 ML14:MN15 MQ14:MT15 MG17:MI19 ML17:MN19 MQ17:MT19 MG21:MI21 ML21:MN21 MQ21:MT21 MY5:NA9 ND5:NF9 NI5:NL9 MY11:NA12 ND11:NF12 NI11:NL12 MY14:NA15 ND14:NF15 NI14:NL15 MY17:NA19 ND17:NF19 NI17:NL19 MY21:NA21 ND21:NF21 NI21:NL21 NQ5:NS9 NV5:NX9 OA5:OD9 NQ11:NS12 NV11:NX12 OA11:OD12 NQ14:NS15 NV14:NX15 OA14:OD15 NQ17:NS19 NV17:NX19 OA17:OD19 NQ21:NS21 NV21:NX21 OA21:OD21 OI5:OK9 ON5:OP9 OS5:OV9 OI11:OK12 ON11:OP12 OS11:OV12 OI14:OK15 ON14:OP15 OS14:OV15 OI17:OK19 ON17:OP19 OS17:OV19 OI21:OK21 ON21:OP21 OS21:OV21 TD5:TF9 TI5:TK9 TN5:TP9 TD11:TF12 TI11:TK12 TN11:TP12 TD14:TF15 TI14:TK15 TN14:TP15 TD17:TF19 TI17:TK19 TN17:TP19 TD21:TF21 TI21:TK21 TN21:TP21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I31"/>
  <sheetViews>
    <sheetView workbookViewId="0">
      <selection activeCell="C14" sqref="C14"/>
    </sheetView>
  </sheetViews>
  <sheetFormatPr baseColWidth="10" defaultRowHeight="15" x14ac:dyDescent="0.25"/>
  <cols>
    <col min="1" max="1" width="33.7109375" customWidth="1"/>
    <col min="2" max="2" width="4.7109375" customWidth="1"/>
    <col min="3" max="3" width="33.7109375" customWidth="1"/>
    <col min="4" max="4" width="4.7109375" customWidth="1"/>
    <col min="5" max="5" width="33.7109375" customWidth="1"/>
    <col min="6" max="6" width="4.7109375" customWidth="1"/>
    <col min="7" max="7" width="33.7109375" customWidth="1"/>
    <col min="8" max="8" width="4.7109375" customWidth="1"/>
    <col min="9" max="9" width="33.7109375" customWidth="1"/>
    <col min="10" max="10" width="11" customWidth="1"/>
  </cols>
  <sheetData>
    <row r="1" spans="1:9" s="51" customFormat="1" ht="15.75" thickBot="1" x14ac:dyDescent="0.3">
      <c r="A1" s="55" t="s">
        <v>51</v>
      </c>
      <c r="C1" s="55" t="s">
        <v>52</v>
      </c>
      <c r="E1" s="55" t="s">
        <v>53</v>
      </c>
      <c r="G1" s="55" t="s">
        <v>54</v>
      </c>
      <c r="I1" s="55" t="s">
        <v>55</v>
      </c>
    </row>
    <row r="2" spans="1:9" x14ac:dyDescent="0.25">
      <c r="A2" s="52" t="s">
        <v>56</v>
      </c>
      <c r="C2" s="56" t="s">
        <v>57</v>
      </c>
      <c r="E2" s="58" t="s">
        <v>58</v>
      </c>
      <c r="G2" s="52" t="s">
        <v>59</v>
      </c>
      <c r="I2" s="54" t="s">
        <v>60</v>
      </c>
    </row>
    <row r="3" spans="1:9" x14ac:dyDescent="0.25">
      <c r="A3" s="52" t="s">
        <v>61</v>
      </c>
      <c r="C3" s="57" t="s">
        <v>62</v>
      </c>
      <c r="E3" s="59" t="s">
        <v>63</v>
      </c>
      <c r="G3" s="52" t="s">
        <v>64</v>
      </c>
      <c r="I3" s="54" t="s">
        <v>65</v>
      </c>
    </row>
    <row r="4" spans="1:9" x14ac:dyDescent="0.25">
      <c r="A4" s="52" t="s">
        <v>66</v>
      </c>
      <c r="C4" s="57" t="s">
        <v>67</v>
      </c>
      <c r="E4" s="59" t="s">
        <v>68</v>
      </c>
      <c r="G4" s="52" t="s">
        <v>69</v>
      </c>
      <c r="I4" s="54" t="s">
        <v>70</v>
      </c>
    </row>
    <row r="5" spans="1:9" x14ac:dyDescent="0.25">
      <c r="A5" s="52" t="s">
        <v>71</v>
      </c>
      <c r="C5" s="57" t="s">
        <v>72</v>
      </c>
      <c r="E5" s="59" t="s">
        <v>73</v>
      </c>
      <c r="G5" s="52" t="s">
        <v>74</v>
      </c>
      <c r="I5" s="54" t="s">
        <v>75</v>
      </c>
    </row>
    <row r="6" spans="1:9" x14ac:dyDescent="0.25">
      <c r="A6" s="52" t="s">
        <v>76</v>
      </c>
      <c r="C6" s="57" t="s">
        <v>77</v>
      </c>
      <c r="E6" s="59" t="s">
        <v>78</v>
      </c>
      <c r="G6" s="52" t="s">
        <v>79</v>
      </c>
      <c r="I6" s="54" t="s">
        <v>80</v>
      </c>
    </row>
    <row r="7" spans="1:9" x14ac:dyDescent="0.25">
      <c r="A7" s="52" t="s">
        <v>81</v>
      </c>
      <c r="C7" s="57" t="s">
        <v>82</v>
      </c>
      <c r="E7" s="59" t="s">
        <v>83</v>
      </c>
      <c r="G7" s="52" t="s">
        <v>84</v>
      </c>
      <c r="I7" s="54" t="s">
        <v>85</v>
      </c>
    </row>
    <row r="8" spans="1:9" x14ac:dyDescent="0.25">
      <c r="A8" s="52" t="s">
        <v>86</v>
      </c>
      <c r="C8" s="57" t="s">
        <v>87</v>
      </c>
      <c r="E8" s="59" t="s">
        <v>88</v>
      </c>
      <c r="G8" s="52" t="s">
        <v>89</v>
      </c>
      <c r="I8" s="54" t="s">
        <v>90</v>
      </c>
    </row>
    <row r="9" spans="1:9" x14ac:dyDescent="0.25">
      <c r="A9" s="52" t="s">
        <v>91</v>
      </c>
      <c r="C9" s="57" t="s">
        <v>92</v>
      </c>
      <c r="E9" s="59" t="s">
        <v>93</v>
      </c>
      <c r="G9" s="52" t="s">
        <v>94</v>
      </c>
      <c r="I9" s="54" t="s">
        <v>95</v>
      </c>
    </row>
    <row r="10" spans="1:9" x14ac:dyDescent="0.25">
      <c r="A10" s="52" t="s">
        <v>96</v>
      </c>
      <c r="C10" s="57" t="s">
        <v>97</v>
      </c>
      <c r="E10" s="59" t="s">
        <v>98</v>
      </c>
      <c r="G10" s="52" t="s">
        <v>99</v>
      </c>
      <c r="I10" s="54" t="s">
        <v>100</v>
      </c>
    </row>
    <row r="11" spans="1:9" x14ac:dyDescent="0.25">
      <c r="A11" s="52" t="s">
        <v>101</v>
      </c>
      <c r="C11" s="57" t="s">
        <v>102</v>
      </c>
      <c r="E11" s="59" t="s">
        <v>103</v>
      </c>
      <c r="G11" s="52" t="s">
        <v>104</v>
      </c>
      <c r="I11" s="54" t="s">
        <v>105</v>
      </c>
    </row>
    <row r="12" spans="1:9" x14ac:dyDescent="0.25">
      <c r="A12" s="52" t="s">
        <v>106</v>
      </c>
      <c r="C12" s="57" t="s">
        <v>107</v>
      </c>
      <c r="E12" s="59" t="s">
        <v>108</v>
      </c>
      <c r="G12" s="52" t="s">
        <v>109</v>
      </c>
      <c r="I12" s="54" t="s">
        <v>110</v>
      </c>
    </row>
    <row r="13" spans="1:9" x14ac:dyDescent="0.25">
      <c r="A13" s="52" t="s">
        <v>111</v>
      </c>
      <c r="C13" s="57" t="s">
        <v>112</v>
      </c>
      <c r="E13" s="59" t="s">
        <v>113</v>
      </c>
      <c r="G13" s="52" t="s">
        <v>114</v>
      </c>
      <c r="I13" s="54" t="s">
        <v>115</v>
      </c>
    </row>
    <row r="14" spans="1:9" x14ac:dyDescent="0.25">
      <c r="A14" s="52" t="s">
        <v>116</v>
      </c>
      <c r="C14" s="57" t="s">
        <v>117</v>
      </c>
      <c r="E14" s="59" t="s">
        <v>118</v>
      </c>
      <c r="G14" s="52" t="s">
        <v>119</v>
      </c>
      <c r="I14" s="54" t="s">
        <v>120</v>
      </c>
    </row>
    <row r="15" spans="1:9" x14ac:dyDescent="0.25">
      <c r="A15" s="52" t="s">
        <v>121</v>
      </c>
      <c r="C15" s="57" t="s">
        <v>122</v>
      </c>
      <c r="E15" s="59" t="s">
        <v>123</v>
      </c>
      <c r="G15" s="52" t="s">
        <v>124</v>
      </c>
      <c r="I15" s="54" t="s">
        <v>125</v>
      </c>
    </row>
    <row r="16" spans="1:9" x14ac:dyDescent="0.25">
      <c r="A16" s="52" t="s">
        <v>126</v>
      </c>
      <c r="C16" s="57" t="s">
        <v>127</v>
      </c>
      <c r="E16" s="59" t="s">
        <v>128</v>
      </c>
      <c r="G16" s="52" t="s">
        <v>129</v>
      </c>
      <c r="I16" s="54" t="s">
        <v>130</v>
      </c>
    </row>
    <row r="17" spans="1:9" x14ac:dyDescent="0.25">
      <c r="A17" s="52" t="s">
        <v>131</v>
      </c>
      <c r="C17" s="57" t="s">
        <v>132</v>
      </c>
      <c r="E17" s="59" t="s">
        <v>133</v>
      </c>
      <c r="G17" s="52" t="s">
        <v>134</v>
      </c>
      <c r="I17" s="54" t="s">
        <v>135</v>
      </c>
    </row>
    <row r="18" spans="1:9" x14ac:dyDescent="0.25">
      <c r="A18" s="52" t="s">
        <v>136</v>
      </c>
      <c r="C18" s="57" t="s">
        <v>137</v>
      </c>
      <c r="E18" s="59" t="s">
        <v>138</v>
      </c>
      <c r="G18" s="52" t="s">
        <v>139</v>
      </c>
      <c r="I18" s="54" t="s">
        <v>140</v>
      </c>
    </row>
    <row r="19" spans="1:9" x14ac:dyDescent="0.25">
      <c r="A19" s="52" t="s">
        <v>141</v>
      </c>
      <c r="C19" s="57" t="s">
        <v>142</v>
      </c>
      <c r="E19" s="59" t="s">
        <v>143</v>
      </c>
      <c r="G19" s="52" t="s">
        <v>144</v>
      </c>
      <c r="I19" s="54" t="s">
        <v>145</v>
      </c>
    </row>
    <row r="20" spans="1:9" x14ac:dyDescent="0.25">
      <c r="A20" s="52" t="s">
        <v>146</v>
      </c>
      <c r="C20" s="57" t="s">
        <v>147</v>
      </c>
      <c r="E20" s="59" t="s">
        <v>148</v>
      </c>
      <c r="G20" s="52" t="s">
        <v>149</v>
      </c>
      <c r="I20" s="54" t="s">
        <v>150</v>
      </c>
    </row>
    <row r="21" spans="1:9" x14ac:dyDescent="0.25">
      <c r="A21" s="52" t="s">
        <v>151</v>
      </c>
      <c r="C21" s="57" t="s">
        <v>152</v>
      </c>
      <c r="E21" s="59" t="s">
        <v>153</v>
      </c>
      <c r="G21" s="52" t="s">
        <v>154</v>
      </c>
      <c r="I21" s="54" t="s">
        <v>155</v>
      </c>
    </row>
    <row r="22" spans="1:9" x14ac:dyDescent="0.25">
      <c r="A22" s="52" t="s">
        <v>156</v>
      </c>
      <c r="C22" s="57" t="s">
        <v>157</v>
      </c>
      <c r="E22" s="59" t="s">
        <v>158</v>
      </c>
      <c r="G22" s="52" t="s">
        <v>159</v>
      </c>
      <c r="I22" s="54" t="s">
        <v>160</v>
      </c>
    </row>
    <row r="23" spans="1:9" x14ac:dyDescent="0.25">
      <c r="A23" s="52" t="s">
        <v>161</v>
      </c>
      <c r="C23" s="57" t="s">
        <v>162</v>
      </c>
      <c r="E23" s="59" t="s">
        <v>163</v>
      </c>
      <c r="G23" s="52" t="s">
        <v>164</v>
      </c>
      <c r="I23" s="54" t="s">
        <v>165</v>
      </c>
    </row>
    <row r="24" spans="1:9" x14ac:dyDescent="0.25">
      <c r="A24" s="52" t="s">
        <v>166</v>
      </c>
      <c r="C24" s="57" t="s">
        <v>167</v>
      </c>
      <c r="E24" s="59" t="s">
        <v>168</v>
      </c>
      <c r="G24" s="52" t="s">
        <v>169</v>
      </c>
      <c r="I24" s="54" t="s">
        <v>170</v>
      </c>
    </row>
    <row r="25" spans="1:9" x14ac:dyDescent="0.25">
      <c r="A25" s="52" t="s">
        <v>171</v>
      </c>
      <c r="C25" s="57" t="s">
        <v>172</v>
      </c>
      <c r="E25" s="59" t="s">
        <v>173</v>
      </c>
      <c r="G25" s="52" t="s">
        <v>174</v>
      </c>
      <c r="I25" s="60" t="s">
        <v>175</v>
      </c>
    </row>
    <row r="26" spans="1:9" x14ac:dyDescent="0.25">
      <c r="A26" s="52" t="s">
        <v>176</v>
      </c>
      <c r="C26" s="57" t="s">
        <v>177</v>
      </c>
      <c r="E26" s="59" t="s">
        <v>178</v>
      </c>
      <c r="G26" s="52" t="s">
        <v>179</v>
      </c>
      <c r="I26" s="53" t="s">
        <v>180</v>
      </c>
    </row>
    <row r="27" spans="1:9" x14ac:dyDescent="0.25">
      <c r="A27" s="52" t="s">
        <v>181</v>
      </c>
      <c r="C27" s="57" t="s">
        <v>182</v>
      </c>
      <c r="E27" s="59" t="s">
        <v>183</v>
      </c>
      <c r="G27" s="52" t="s">
        <v>184</v>
      </c>
      <c r="I27" s="53" t="s">
        <v>185</v>
      </c>
    </row>
    <row r="28" spans="1:9" x14ac:dyDescent="0.25">
      <c r="A28" s="52" t="s">
        <v>186</v>
      </c>
      <c r="C28" s="57" t="s">
        <v>187</v>
      </c>
      <c r="E28" s="59" t="s">
        <v>188</v>
      </c>
      <c r="G28" s="52" t="s">
        <v>189</v>
      </c>
      <c r="I28" s="53" t="s">
        <v>190</v>
      </c>
    </row>
    <row r="29" spans="1:9" x14ac:dyDescent="0.25">
      <c r="A29" s="52" t="s">
        <v>191</v>
      </c>
      <c r="C29" s="57" t="s">
        <v>192</v>
      </c>
      <c r="G29" s="52" t="s">
        <v>193</v>
      </c>
      <c r="I29" s="61" t="s">
        <v>197</v>
      </c>
    </row>
    <row r="30" spans="1:9" x14ac:dyDescent="0.25">
      <c r="A30" s="52" t="s">
        <v>194</v>
      </c>
      <c r="C30" s="57" t="s">
        <v>195</v>
      </c>
    </row>
    <row r="31" spans="1:9" x14ac:dyDescent="0.25">
      <c r="A31" s="52" t="s">
        <v>196</v>
      </c>
    </row>
  </sheetData>
  <sheetProtection algorithmName="SHA-512" hashValue="HIhT0WQ3dwJZYijFL1B+hOUgSGNBW1tx/b/waiazOoJWb2aUZdLh0VpFP4tTejc1AVdxXjwMPMaCdenotbUPHg==" saltValue="kFDzugkfpBEKbLvqwRJcDw==" spinCount="100000" sheet="1" objects="1" scenarios="1"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Q35"/>
  <sheetViews>
    <sheetView workbookViewId="0">
      <selection activeCell="P3" sqref="P3"/>
    </sheetView>
  </sheetViews>
  <sheetFormatPr baseColWidth="10" defaultRowHeight="15" x14ac:dyDescent="0.25"/>
  <cols>
    <col min="1" max="1" width="4.7109375" customWidth="1"/>
    <col min="2" max="2" width="12.7109375" customWidth="1"/>
    <col min="3" max="3" width="4.7109375" customWidth="1"/>
    <col min="4" max="8" width="12.7109375" customWidth="1"/>
    <col min="9" max="9" width="4.7109375" customWidth="1"/>
    <col min="10" max="11" width="12.7109375" customWidth="1"/>
    <col min="12" max="12" width="4.7109375" customWidth="1"/>
    <col min="13" max="14" width="12.7109375" customWidth="1"/>
    <col min="15" max="15" width="4.7109375" customWidth="1"/>
    <col min="16" max="16" width="12.7109375" customWidth="1"/>
  </cols>
  <sheetData>
    <row r="1" spans="1:17" ht="15" customHeight="1" thickBot="1" x14ac:dyDescent="0.3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15"/>
      <c r="M1" s="15"/>
      <c r="N1" s="15"/>
      <c r="O1" s="15"/>
      <c r="P1" s="15"/>
      <c r="Q1" s="15"/>
    </row>
    <row r="2" spans="1:17" ht="24.95" customHeight="1" thickBot="1" x14ac:dyDescent="0.3">
      <c r="A2" s="24"/>
      <c r="B2" s="27" t="s">
        <v>39</v>
      </c>
      <c r="C2" s="24"/>
      <c r="D2" s="28" t="s">
        <v>35</v>
      </c>
      <c r="E2" s="29" t="s">
        <v>31</v>
      </c>
      <c r="F2" s="29" t="s">
        <v>32</v>
      </c>
      <c r="G2" s="29" t="s">
        <v>33</v>
      </c>
      <c r="H2" s="30" t="s">
        <v>10</v>
      </c>
      <c r="I2" s="24"/>
      <c r="J2" s="244" t="s">
        <v>42</v>
      </c>
      <c r="K2" s="245"/>
      <c r="L2" s="15"/>
      <c r="M2" s="246" t="s">
        <v>211</v>
      </c>
      <c r="N2" s="247"/>
      <c r="O2" s="15"/>
      <c r="P2" s="78" t="s">
        <v>43</v>
      </c>
      <c r="Q2" s="15"/>
    </row>
    <row r="3" spans="1:17" ht="15" customHeight="1" thickBot="1" x14ac:dyDescent="0.3">
      <c r="A3" s="24"/>
      <c r="B3" s="25" t="s">
        <v>27</v>
      </c>
      <c r="C3" s="24"/>
      <c r="D3" s="16">
        <v>1</v>
      </c>
      <c r="E3" s="17">
        <f>N3+4</f>
        <v>7</v>
      </c>
      <c r="F3" s="17">
        <f>E3+N4+2</f>
        <v>12</v>
      </c>
      <c r="G3" s="17">
        <f>F3+N5+2</f>
        <v>18</v>
      </c>
      <c r="H3" s="18">
        <f>G3+2</f>
        <v>20</v>
      </c>
      <c r="I3" s="24"/>
      <c r="J3" s="16" t="s">
        <v>2</v>
      </c>
      <c r="K3" s="18">
        <v>4</v>
      </c>
      <c r="L3" s="15"/>
      <c r="M3" s="16" t="s">
        <v>214</v>
      </c>
      <c r="N3" s="75">
        <v>3</v>
      </c>
      <c r="O3" s="15"/>
      <c r="P3" s="76">
        <f>N3+N4+N5+8</f>
        <v>18</v>
      </c>
      <c r="Q3" s="15"/>
    </row>
    <row r="4" spans="1:17" ht="15" customHeight="1" x14ac:dyDescent="0.25">
      <c r="A4" s="24"/>
      <c r="B4" s="25" t="s">
        <v>28</v>
      </c>
      <c r="C4" s="24"/>
      <c r="D4" s="19">
        <v>2</v>
      </c>
      <c r="E4" s="20">
        <f t="shared" ref="E4:E34" si="0">E3+ $P$3</f>
        <v>25</v>
      </c>
      <c r="F4" s="20">
        <f t="shared" ref="F4:F34" si="1">F3+ $P$3</f>
        <v>30</v>
      </c>
      <c r="G4" s="20">
        <f t="shared" ref="G4:G34" si="2">G3+ $P$3</f>
        <v>36</v>
      </c>
      <c r="H4" s="21">
        <f t="shared" ref="H4:H34" si="3">H3+ $P$3</f>
        <v>38</v>
      </c>
      <c r="I4" s="24"/>
      <c r="J4" s="19" t="s">
        <v>3</v>
      </c>
      <c r="K4" s="21">
        <v>10</v>
      </c>
      <c r="L4" s="15"/>
      <c r="M4" s="19" t="s">
        <v>32</v>
      </c>
      <c r="N4" s="49">
        <v>3</v>
      </c>
      <c r="O4" s="15"/>
      <c r="P4" s="15"/>
      <c r="Q4" s="15"/>
    </row>
    <row r="5" spans="1:17" ht="15" customHeight="1" thickBot="1" x14ac:dyDescent="0.3">
      <c r="A5" s="24"/>
      <c r="B5" s="25" t="s">
        <v>29</v>
      </c>
      <c r="C5" s="24"/>
      <c r="D5" s="19">
        <v>3</v>
      </c>
      <c r="E5" s="20">
        <f t="shared" si="0"/>
        <v>43</v>
      </c>
      <c r="F5" s="20">
        <f t="shared" si="1"/>
        <v>48</v>
      </c>
      <c r="G5" s="20">
        <f t="shared" si="2"/>
        <v>54</v>
      </c>
      <c r="H5" s="21">
        <f t="shared" si="3"/>
        <v>56</v>
      </c>
      <c r="I5" s="24"/>
      <c r="J5" s="19" t="s">
        <v>4</v>
      </c>
      <c r="K5" s="21">
        <v>13</v>
      </c>
      <c r="L5" s="15"/>
      <c r="M5" s="22" t="s">
        <v>33</v>
      </c>
      <c r="N5" s="50">
        <v>4</v>
      </c>
      <c r="O5" s="15"/>
      <c r="P5" s="15"/>
      <c r="Q5" s="15"/>
    </row>
    <row r="6" spans="1:17" ht="15" customHeight="1" thickBot="1" x14ac:dyDescent="0.3">
      <c r="A6" s="24"/>
      <c r="B6" s="26" t="s">
        <v>30</v>
      </c>
      <c r="C6" s="24"/>
      <c r="D6" s="19">
        <v>4</v>
      </c>
      <c r="E6" s="20">
        <f t="shared" si="0"/>
        <v>61</v>
      </c>
      <c r="F6" s="20">
        <f t="shared" si="1"/>
        <v>66</v>
      </c>
      <c r="G6" s="20">
        <f t="shared" si="2"/>
        <v>72</v>
      </c>
      <c r="H6" s="21">
        <f t="shared" si="3"/>
        <v>74</v>
      </c>
      <c r="I6" s="24"/>
      <c r="J6" s="19" t="s">
        <v>5</v>
      </c>
      <c r="K6" s="21">
        <v>16</v>
      </c>
      <c r="L6" s="15"/>
      <c r="M6" s="15"/>
      <c r="N6" s="15"/>
      <c r="O6" s="15"/>
      <c r="P6" s="15"/>
      <c r="Q6" s="15"/>
    </row>
    <row r="7" spans="1:17" ht="15" customHeight="1" x14ac:dyDescent="0.25">
      <c r="A7" s="24"/>
      <c r="B7" s="24"/>
      <c r="C7" s="24"/>
      <c r="D7" s="19">
        <v>5</v>
      </c>
      <c r="E7" s="20">
        <f t="shared" si="0"/>
        <v>79</v>
      </c>
      <c r="F7" s="20">
        <f t="shared" si="1"/>
        <v>84</v>
      </c>
      <c r="G7" s="20">
        <f t="shared" si="2"/>
        <v>90</v>
      </c>
      <c r="H7" s="21">
        <f t="shared" si="3"/>
        <v>92</v>
      </c>
      <c r="I7" s="24"/>
      <c r="J7" s="19" t="s">
        <v>6</v>
      </c>
      <c r="K7" s="21">
        <v>20</v>
      </c>
      <c r="L7" s="15"/>
      <c r="M7" s="15"/>
      <c r="N7" s="15"/>
      <c r="O7" s="15"/>
      <c r="P7" s="15"/>
      <c r="Q7" s="15"/>
    </row>
    <row r="8" spans="1:17" ht="15" customHeight="1" x14ac:dyDescent="0.25">
      <c r="A8" s="24"/>
      <c r="B8" s="24"/>
      <c r="C8" s="24"/>
      <c r="D8" s="19">
        <v>6</v>
      </c>
      <c r="E8" s="20">
        <f t="shared" si="0"/>
        <v>97</v>
      </c>
      <c r="F8" s="20">
        <f t="shared" si="1"/>
        <v>102</v>
      </c>
      <c r="G8" s="20">
        <f t="shared" si="2"/>
        <v>108</v>
      </c>
      <c r="H8" s="21">
        <f t="shared" si="3"/>
        <v>110</v>
      </c>
      <c r="I8" s="24"/>
      <c r="J8" s="19" t="s">
        <v>38</v>
      </c>
      <c r="K8" s="21">
        <v>22</v>
      </c>
      <c r="L8" s="15"/>
      <c r="M8" s="15"/>
      <c r="N8" s="15"/>
      <c r="O8" s="15"/>
      <c r="P8" s="15"/>
      <c r="Q8" s="15"/>
    </row>
    <row r="9" spans="1:17" ht="15" customHeight="1" x14ac:dyDescent="0.25">
      <c r="A9" s="24"/>
      <c r="B9" s="24"/>
      <c r="C9" s="24"/>
      <c r="D9" s="19">
        <v>7</v>
      </c>
      <c r="E9" s="20">
        <f t="shared" si="0"/>
        <v>115</v>
      </c>
      <c r="F9" s="20">
        <f t="shared" si="1"/>
        <v>120</v>
      </c>
      <c r="G9" s="20">
        <f t="shared" si="2"/>
        <v>126</v>
      </c>
      <c r="H9" s="21">
        <f t="shared" si="3"/>
        <v>128</v>
      </c>
      <c r="I9" s="24"/>
      <c r="J9" s="19"/>
      <c r="K9" s="21">
        <v>11</v>
      </c>
      <c r="L9" s="15"/>
      <c r="M9" s="15"/>
      <c r="N9" s="15"/>
      <c r="O9" s="15"/>
      <c r="P9" s="15"/>
      <c r="Q9" s="15"/>
    </row>
    <row r="10" spans="1:17" ht="15" customHeight="1" x14ac:dyDescent="0.25">
      <c r="A10" s="24"/>
      <c r="B10" s="24"/>
      <c r="C10" s="24"/>
      <c r="D10" s="19">
        <v>8</v>
      </c>
      <c r="E10" s="20">
        <f t="shared" si="0"/>
        <v>133</v>
      </c>
      <c r="F10" s="20">
        <f t="shared" si="1"/>
        <v>138</v>
      </c>
      <c r="G10" s="20">
        <f t="shared" si="2"/>
        <v>144</v>
      </c>
      <c r="H10" s="21">
        <f t="shared" si="3"/>
        <v>146</v>
      </c>
      <c r="I10" s="24"/>
      <c r="J10" s="19"/>
      <c r="K10" s="21">
        <v>12</v>
      </c>
      <c r="L10" s="15"/>
      <c r="M10" s="15"/>
      <c r="N10" s="15"/>
      <c r="O10" s="15"/>
      <c r="P10" s="15"/>
      <c r="Q10" s="15"/>
    </row>
    <row r="11" spans="1:17" ht="15" customHeight="1" thickBot="1" x14ac:dyDescent="0.3">
      <c r="A11" s="24"/>
      <c r="B11" s="24"/>
      <c r="C11" s="24"/>
      <c r="D11" s="19">
        <v>9</v>
      </c>
      <c r="E11" s="20">
        <f t="shared" si="0"/>
        <v>151</v>
      </c>
      <c r="F11" s="20">
        <f t="shared" si="1"/>
        <v>156</v>
      </c>
      <c r="G11" s="20">
        <f t="shared" si="2"/>
        <v>162</v>
      </c>
      <c r="H11" s="21">
        <f t="shared" si="3"/>
        <v>164</v>
      </c>
      <c r="I11" s="24"/>
      <c r="J11" s="22"/>
      <c r="K11" s="74">
        <v>15</v>
      </c>
      <c r="L11" s="15"/>
      <c r="M11" s="15"/>
      <c r="N11" s="15"/>
      <c r="O11" s="15"/>
      <c r="P11" s="15"/>
      <c r="Q11" s="15"/>
    </row>
    <row r="12" spans="1:17" ht="15" customHeight="1" x14ac:dyDescent="0.25">
      <c r="A12" s="24"/>
      <c r="B12" s="24"/>
      <c r="C12" s="24"/>
      <c r="D12" s="19">
        <v>10</v>
      </c>
      <c r="E12" s="20">
        <f t="shared" si="0"/>
        <v>169</v>
      </c>
      <c r="F12" s="20">
        <f t="shared" si="1"/>
        <v>174</v>
      </c>
      <c r="G12" s="20">
        <f t="shared" si="2"/>
        <v>180</v>
      </c>
      <c r="H12" s="21">
        <f t="shared" si="3"/>
        <v>182</v>
      </c>
      <c r="I12" s="24"/>
      <c r="J12" s="24"/>
      <c r="K12" s="24"/>
      <c r="L12" s="15"/>
      <c r="M12" s="15"/>
      <c r="N12" s="15"/>
      <c r="O12" s="15"/>
      <c r="P12" s="15"/>
      <c r="Q12" s="15"/>
    </row>
    <row r="13" spans="1:17" ht="15" customHeight="1" x14ac:dyDescent="0.25">
      <c r="A13" s="24"/>
      <c r="B13" s="24"/>
      <c r="C13" s="24"/>
      <c r="D13" s="19">
        <v>11</v>
      </c>
      <c r="E13" s="20">
        <f t="shared" si="0"/>
        <v>187</v>
      </c>
      <c r="F13" s="20">
        <f t="shared" si="1"/>
        <v>192</v>
      </c>
      <c r="G13" s="20">
        <f t="shared" si="2"/>
        <v>198</v>
      </c>
      <c r="H13" s="21">
        <f t="shared" si="3"/>
        <v>200</v>
      </c>
      <c r="I13" s="24"/>
      <c r="J13" s="77"/>
      <c r="K13" s="24"/>
      <c r="L13" s="15"/>
      <c r="M13" s="15"/>
      <c r="N13" s="15"/>
      <c r="O13" s="15"/>
      <c r="P13" s="15"/>
      <c r="Q13" s="15"/>
    </row>
    <row r="14" spans="1:17" ht="15" customHeight="1" x14ac:dyDescent="0.25">
      <c r="A14" s="24"/>
      <c r="B14" s="24"/>
      <c r="C14" s="24"/>
      <c r="D14" s="19">
        <v>12</v>
      </c>
      <c r="E14" s="20">
        <f t="shared" si="0"/>
        <v>205</v>
      </c>
      <c r="F14" s="20">
        <f t="shared" si="1"/>
        <v>210</v>
      </c>
      <c r="G14" s="20">
        <f t="shared" si="2"/>
        <v>216</v>
      </c>
      <c r="H14" s="21">
        <f t="shared" si="3"/>
        <v>218</v>
      </c>
      <c r="I14" s="24"/>
      <c r="J14" s="77"/>
      <c r="K14" s="24"/>
      <c r="L14" s="15"/>
      <c r="M14" s="15"/>
      <c r="N14" s="15"/>
      <c r="O14" s="15"/>
      <c r="P14" s="15"/>
      <c r="Q14" s="15"/>
    </row>
    <row r="15" spans="1:17" ht="15" customHeight="1" x14ac:dyDescent="0.25">
      <c r="A15" s="24"/>
      <c r="B15" s="24"/>
      <c r="C15" s="24"/>
      <c r="D15" s="19">
        <v>13</v>
      </c>
      <c r="E15" s="20">
        <f t="shared" si="0"/>
        <v>223</v>
      </c>
      <c r="F15" s="20">
        <f t="shared" si="1"/>
        <v>228</v>
      </c>
      <c r="G15" s="20">
        <f t="shared" si="2"/>
        <v>234</v>
      </c>
      <c r="H15" s="21">
        <f t="shared" si="3"/>
        <v>236</v>
      </c>
      <c r="I15" s="24"/>
      <c r="J15" s="24"/>
      <c r="K15" s="24"/>
      <c r="L15" s="15"/>
      <c r="M15" s="15"/>
      <c r="N15" s="15"/>
      <c r="O15" s="15"/>
      <c r="P15" s="15"/>
      <c r="Q15" s="15"/>
    </row>
    <row r="16" spans="1:17" ht="15" customHeight="1" x14ac:dyDescent="0.25">
      <c r="A16" s="24"/>
      <c r="B16" s="24"/>
      <c r="C16" s="24"/>
      <c r="D16" s="19">
        <v>14</v>
      </c>
      <c r="E16" s="20">
        <f t="shared" si="0"/>
        <v>241</v>
      </c>
      <c r="F16" s="20">
        <f t="shared" si="1"/>
        <v>246</v>
      </c>
      <c r="G16" s="20">
        <f t="shared" si="2"/>
        <v>252</v>
      </c>
      <c r="H16" s="21">
        <f t="shared" si="3"/>
        <v>254</v>
      </c>
      <c r="I16" s="24"/>
      <c r="J16" s="24"/>
      <c r="K16" s="24"/>
      <c r="L16" s="15"/>
      <c r="M16" s="15"/>
      <c r="N16" s="15"/>
      <c r="O16" s="15"/>
      <c r="P16" s="15"/>
      <c r="Q16" s="15"/>
    </row>
    <row r="17" spans="1:17" ht="15" customHeight="1" x14ac:dyDescent="0.25">
      <c r="A17" s="24"/>
      <c r="B17" s="24"/>
      <c r="C17" s="24"/>
      <c r="D17" s="19">
        <v>15</v>
      </c>
      <c r="E17" s="20">
        <f t="shared" si="0"/>
        <v>259</v>
      </c>
      <c r="F17" s="20">
        <f t="shared" si="1"/>
        <v>264</v>
      </c>
      <c r="G17" s="20">
        <f t="shared" si="2"/>
        <v>270</v>
      </c>
      <c r="H17" s="21">
        <f t="shared" si="3"/>
        <v>272</v>
      </c>
      <c r="I17" s="24"/>
      <c r="J17" s="24"/>
      <c r="K17" s="24"/>
      <c r="L17" s="15"/>
      <c r="M17" s="15"/>
      <c r="N17" s="15"/>
      <c r="O17" s="15"/>
      <c r="P17" s="15"/>
      <c r="Q17" s="15"/>
    </row>
    <row r="18" spans="1:17" ht="15" customHeight="1" x14ac:dyDescent="0.25">
      <c r="A18" s="24"/>
      <c r="B18" s="24"/>
      <c r="C18" s="24"/>
      <c r="D18" s="19">
        <v>16</v>
      </c>
      <c r="E18" s="20">
        <f t="shared" si="0"/>
        <v>277</v>
      </c>
      <c r="F18" s="20">
        <f t="shared" si="1"/>
        <v>282</v>
      </c>
      <c r="G18" s="20">
        <f t="shared" si="2"/>
        <v>288</v>
      </c>
      <c r="H18" s="21">
        <f t="shared" si="3"/>
        <v>290</v>
      </c>
      <c r="I18" s="24"/>
      <c r="J18" s="24"/>
      <c r="K18" s="24"/>
      <c r="L18" s="15"/>
      <c r="M18" s="15"/>
      <c r="N18" s="15"/>
      <c r="O18" s="15"/>
      <c r="P18" s="15"/>
      <c r="Q18" s="15"/>
    </row>
    <row r="19" spans="1:17" ht="15" customHeight="1" x14ac:dyDescent="0.25">
      <c r="A19" s="24"/>
      <c r="B19" s="24"/>
      <c r="C19" s="24"/>
      <c r="D19" s="19">
        <v>17</v>
      </c>
      <c r="E19" s="20">
        <f t="shared" si="0"/>
        <v>295</v>
      </c>
      <c r="F19" s="20">
        <f t="shared" si="1"/>
        <v>300</v>
      </c>
      <c r="G19" s="20">
        <f t="shared" si="2"/>
        <v>306</v>
      </c>
      <c r="H19" s="21">
        <f t="shared" si="3"/>
        <v>308</v>
      </c>
      <c r="I19" s="24"/>
      <c r="J19" s="24"/>
      <c r="K19" s="24"/>
      <c r="L19" s="15"/>
      <c r="M19" s="15"/>
      <c r="N19" s="15"/>
      <c r="O19" s="15"/>
      <c r="P19" s="15"/>
      <c r="Q19" s="15"/>
    </row>
    <row r="20" spans="1:17" ht="15" customHeight="1" x14ac:dyDescent="0.25">
      <c r="A20" s="24"/>
      <c r="B20" s="24"/>
      <c r="C20" s="24"/>
      <c r="D20" s="19">
        <v>18</v>
      </c>
      <c r="E20" s="20">
        <f t="shared" si="0"/>
        <v>313</v>
      </c>
      <c r="F20" s="20">
        <f t="shared" si="1"/>
        <v>318</v>
      </c>
      <c r="G20" s="20">
        <f t="shared" si="2"/>
        <v>324</v>
      </c>
      <c r="H20" s="21">
        <f t="shared" si="3"/>
        <v>326</v>
      </c>
      <c r="I20" s="24"/>
      <c r="J20" s="24"/>
      <c r="K20" s="24"/>
      <c r="L20" s="15"/>
      <c r="M20" s="15"/>
      <c r="N20" s="15"/>
      <c r="O20" s="15"/>
      <c r="P20" s="15"/>
      <c r="Q20" s="15"/>
    </row>
    <row r="21" spans="1:17" ht="15" customHeight="1" x14ac:dyDescent="0.25">
      <c r="A21" s="24"/>
      <c r="B21" s="24"/>
      <c r="C21" s="24"/>
      <c r="D21" s="19">
        <v>19</v>
      </c>
      <c r="E21" s="20">
        <f t="shared" si="0"/>
        <v>331</v>
      </c>
      <c r="F21" s="20">
        <f t="shared" si="1"/>
        <v>336</v>
      </c>
      <c r="G21" s="20">
        <f t="shared" si="2"/>
        <v>342</v>
      </c>
      <c r="H21" s="21">
        <f t="shared" si="3"/>
        <v>344</v>
      </c>
      <c r="I21" s="24"/>
      <c r="J21" s="24"/>
      <c r="K21" s="24"/>
      <c r="L21" s="15"/>
      <c r="M21" s="15"/>
      <c r="N21" s="15"/>
      <c r="O21" s="15"/>
      <c r="P21" s="15"/>
      <c r="Q21" s="15"/>
    </row>
    <row r="22" spans="1:17" ht="15" customHeight="1" x14ac:dyDescent="0.25">
      <c r="A22" s="24"/>
      <c r="B22" s="24"/>
      <c r="C22" s="24"/>
      <c r="D22" s="19">
        <v>20</v>
      </c>
      <c r="E22" s="20">
        <f t="shared" si="0"/>
        <v>349</v>
      </c>
      <c r="F22" s="20">
        <f t="shared" si="1"/>
        <v>354</v>
      </c>
      <c r="G22" s="20">
        <f t="shared" si="2"/>
        <v>360</v>
      </c>
      <c r="H22" s="21">
        <f t="shared" si="3"/>
        <v>362</v>
      </c>
      <c r="I22" s="24"/>
      <c r="J22" s="24"/>
      <c r="K22" s="24"/>
      <c r="L22" s="15"/>
      <c r="M22" s="15"/>
      <c r="N22" s="15"/>
      <c r="O22" s="15"/>
      <c r="P22" s="15"/>
      <c r="Q22" s="15"/>
    </row>
    <row r="23" spans="1:17" ht="15" customHeight="1" x14ac:dyDescent="0.25">
      <c r="A23" s="24"/>
      <c r="B23" s="24"/>
      <c r="C23" s="24"/>
      <c r="D23" s="19">
        <v>21</v>
      </c>
      <c r="E23" s="20">
        <f t="shared" si="0"/>
        <v>367</v>
      </c>
      <c r="F23" s="20">
        <f t="shared" si="1"/>
        <v>372</v>
      </c>
      <c r="G23" s="20">
        <f t="shared" si="2"/>
        <v>378</v>
      </c>
      <c r="H23" s="21">
        <f t="shared" si="3"/>
        <v>380</v>
      </c>
      <c r="I23" s="24"/>
      <c r="J23" s="24"/>
      <c r="K23" s="24"/>
      <c r="L23" s="15"/>
      <c r="M23" s="15"/>
      <c r="N23" s="15"/>
      <c r="O23" s="15"/>
      <c r="P23" s="15"/>
      <c r="Q23" s="15"/>
    </row>
    <row r="24" spans="1:17" ht="15" customHeight="1" x14ac:dyDescent="0.25">
      <c r="A24" s="24"/>
      <c r="B24" s="24"/>
      <c r="C24" s="24"/>
      <c r="D24" s="19">
        <v>22</v>
      </c>
      <c r="E24" s="20">
        <f t="shared" si="0"/>
        <v>385</v>
      </c>
      <c r="F24" s="20">
        <f t="shared" si="1"/>
        <v>390</v>
      </c>
      <c r="G24" s="20">
        <f t="shared" si="2"/>
        <v>396</v>
      </c>
      <c r="H24" s="21">
        <f t="shared" si="3"/>
        <v>398</v>
      </c>
      <c r="I24" s="24"/>
      <c r="J24" s="24"/>
      <c r="K24" s="24"/>
      <c r="L24" s="15"/>
      <c r="M24" s="15"/>
      <c r="N24" s="15"/>
      <c r="O24" s="15"/>
      <c r="P24" s="15"/>
      <c r="Q24" s="15"/>
    </row>
    <row r="25" spans="1:17" ht="15" customHeight="1" x14ac:dyDescent="0.25">
      <c r="A25" s="24"/>
      <c r="B25" s="24"/>
      <c r="C25" s="24"/>
      <c r="D25" s="19">
        <v>23</v>
      </c>
      <c r="E25" s="20">
        <f t="shared" si="0"/>
        <v>403</v>
      </c>
      <c r="F25" s="20">
        <f t="shared" si="1"/>
        <v>408</v>
      </c>
      <c r="G25" s="20">
        <f t="shared" si="2"/>
        <v>414</v>
      </c>
      <c r="H25" s="21">
        <f t="shared" si="3"/>
        <v>416</v>
      </c>
      <c r="I25" s="24"/>
      <c r="J25" s="24"/>
      <c r="K25" s="24"/>
      <c r="L25" s="15"/>
      <c r="M25" s="15"/>
      <c r="N25" s="15"/>
      <c r="O25" s="15"/>
      <c r="P25" s="15"/>
      <c r="Q25" s="15"/>
    </row>
    <row r="26" spans="1:17" ht="15" customHeight="1" x14ac:dyDescent="0.25">
      <c r="A26" s="24"/>
      <c r="B26" s="24"/>
      <c r="C26" s="24"/>
      <c r="D26" s="19">
        <v>24</v>
      </c>
      <c r="E26" s="20">
        <f t="shared" si="0"/>
        <v>421</v>
      </c>
      <c r="F26" s="20">
        <f t="shared" si="1"/>
        <v>426</v>
      </c>
      <c r="G26" s="20">
        <f t="shared" si="2"/>
        <v>432</v>
      </c>
      <c r="H26" s="21">
        <f t="shared" si="3"/>
        <v>434</v>
      </c>
      <c r="I26" s="24"/>
      <c r="J26" s="24"/>
      <c r="K26" s="24"/>
      <c r="L26" s="15"/>
      <c r="M26" s="15"/>
      <c r="N26" s="15"/>
      <c r="O26" s="15"/>
      <c r="P26" s="15"/>
      <c r="Q26" s="15"/>
    </row>
    <row r="27" spans="1:17" ht="15" customHeight="1" x14ac:dyDescent="0.25">
      <c r="A27" s="24"/>
      <c r="B27" s="24"/>
      <c r="C27" s="24"/>
      <c r="D27" s="19">
        <v>25</v>
      </c>
      <c r="E27" s="20">
        <f t="shared" si="0"/>
        <v>439</v>
      </c>
      <c r="F27" s="20">
        <f t="shared" si="1"/>
        <v>444</v>
      </c>
      <c r="G27" s="20">
        <f t="shared" si="2"/>
        <v>450</v>
      </c>
      <c r="H27" s="21">
        <f t="shared" si="3"/>
        <v>452</v>
      </c>
      <c r="I27" s="24"/>
      <c r="J27" s="24"/>
      <c r="K27" s="24"/>
      <c r="L27" s="15"/>
      <c r="M27" s="15"/>
      <c r="N27" s="15"/>
      <c r="O27" s="15"/>
      <c r="P27" s="15"/>
      <c r="Q27" s="15"/>
    </row>
    <row r="28" spans="1:17" ht="15" customHeight="1" x14ac:dyDescent="0.25">
      <c r="A28" s="24"/>
      <c r="B28" s="24"/>
      <c r="C28" s="24"/>
      <c r="D28" s="19">
        <v>26</v>
      </c>
      <c r="E28" s="20">
        <f t="shared" si="0"/>
        <v>457</v>
      </c>
      <c r="F28" s="20">
        <f t="shared" si="1"/>
        <v>462</v>
      </c>
      <c r="G28" s="20">
        <f t="shared" si="2"/>
        <v>468</v>
      </c>
      <c r="H28" s="21">
        <f t="shared" si="3"/>
        <v>470</v>
      </c>
      <c r="I28" s="24"/>
      <c r="J28" s="24"/>
      <c r="K28" s="24"/>
      <c r="L28" s="15"/>
      <c r="M28" s="15"/>
      <c r="N28" s="15"/>
      <c r="O28" s="15"/>
      <c r="P28" s="15"/>
      <c r="Q28" s="15"/>
    </row>
    <row r="29" spans="1:17" ht="15" customHeight="1" x14ac:dyDescent="0.25">
      <c r="A29" s="24"/>
      <c r="B29" s="24"/>
      <c r="C29" s="24"/>
      <c r="D29" s="19">
        <v>27</v>
      </c>
      <c r="E29" s="20">
        <f t="shared" si="0"/>
        <v>475</v>
      </c>
      <c r="F29" s="20">
        <f t="shared" si="1"/>
        <v>480</v>
      </c>
      <c r="G29" s="20">
        <f t="shared" si="2"/>
        <v>486</v>
      </c>
      <c r="H29" s="21">
        <f t="shared" si="3"/>
        <v>488</v>
      </c>
      <c r="I29" s="24"/>
      <c r="J29" s="24"/>
      <c r="K29" s="24"/>
      <c r="L29" s="15"/>
      <c r="M29" s="15"/>
      <c r="N29" s="15"/>
      <c r="O29" s="15"/>
      <c r="P29" s="15"/>
      <c r="Q29" s="15"/>
    </row>
    <row r="30" spans="1:17" ht="15" customHeight="1" x14ac:dyDescent="0.25">
      <c r="A30" s="24"/>
      <c r="B30" s="24"/>
      <c r="C30" s="24"/>
      <c r="D30" s="19">
        <v>28</v>
      </c>
      <c r="E30" s="20">
        <f t="shared" si="0"/>
        <v>493</v>
      </c>
      <c r="F30" s="20">
        <f t="shared" si="1"/>
        <v>498</v>
      </c>
      <c r="G30" s="20">
        <f t="shared" si="2"/>
        <v>504</v>
      </c>
      <c r="H30" s="21">
        <f t="shared" si="3"/>
        <v>506</v>
      </c>
      <c r="I30" s="24"/>
      <c r="J30" s="24"/>
      <c r="K30" s="24"/>
      <c r="L30" s="15"/>
      <c r="M30" s="15"/>
      <c r="N30" s="15"/>
      <c r="O30" s="15"/>
      <c r="P30" s="15"/>
      <c r="Q30" s="15"/>
    </row>
    <row r="31" spans="1:17" ht="15" customHeight="1" x14ac:dyDescent="0.25">
      <c r="A31" s="24"/>
      <c r="B31" s="24"/>
      <c r="C31" s="24"/>
      <c r="D31" s="19">
        <v>29</v>
      </c>
      <c r="E31" s="20">
        <f t="shared" si="0"/>
        <v>511</v>
      </c>
      <c r="F31" s="20">
        <f t="shared" si="1"/>
        <v>516</v>
      </c>
      <c r="G31" s="20">
        <f t="shared" si="2"/>
        <v>522</v>
      </c>
      <c r="H31" s="21">
        <f t="shared" si="3"/>
        <v>524</v>
      </c>
      <c r="I31" s="24"/>
      <c r="J31" s="24"/>
      <c r="K31" s="24"/>
      <c r="L31" s="15"/>
      <c r="M31" s="15"/>
      <c r="N31" s="15"/>
      <c r="O31" s="15"/>
      <c r="P31" s="15"/>
      <c r="Q31" s="15"/>
    </row>
    <row r="32" spans="1:17" ht="15" customHeight="1" x14ac:dyDescent="0.25">
      <c r="A32" s="24"/>
      <c r="B32" s="24"/>
      <c r="C32" s="24"/>
      <c r="D32" s="19">
        <v>30</v>
      </c>
      <c r="E32" s="20">
        <f t="shared" si="0"/>
        <v>529</v>
      </c>
      <c r="F32" s="20">
        <f t="shared" si="1"/>
        <v>534</v>
      </c>
      <c r="G32" s="20">
        <f t="shared" si="2"/>
        <v>540</v>
      </c>
      <c r="H32" s="21">
        <f t="shared" si="3"/>
        <v>542</v>
      </c>
      <c r="I32" s="24"/>
      <c r="J32" s="24"/>
      <c r="K32" s="24"/>
      <c r="L32" s="15"/>
      <c r="M32" s="15"/>
      <c r="N32" s="15"/>
      <c r="O32" s="15"/>
      <c r="P32" s="15"/>
      <c r="Q32" s="15"/>
    </row>
    <row r="33" spans="1:17" ht="15" customHeight="1" x14ac:dyDescent="0.25">
      <c r="A33" s="24"/>
      <c r="B33" s="24"/>
      <c r="C33" s="24"/>
      <c r="D33" s="19">
        <v>31</v>
      </c>
      <c r="E33" s="20">
        <f t="shared" si="0"/>
        <v>547</v>
      </c>
      <c r="F33" s="20">
        <f t="shared" si="1"/>
        <v>552</v>
      </c>
      <c r="G33" s="20">
        <f t="shared" si="2"/>
        <v>558</v>
      </c>
      <c r="H33" s="21">
        <f t="shared" si="3"/>
        <v>560</v>
      </c>
      <c r="I33" s="24"/>
      <c r="J33" s="24"/>
      <c r="K33" s="24"/>
      <c r="L33" s="15"/>
      <c r="M33" s="15"/>
      <c r="N33" s="15"/>
      <c r="O33" s="15"/>
      <c r="P33" s="15"/>
      <c r="Q33" s="15"/>
    </row>
    <row r="34" spans="1:17" ht="15" customHeight="1" thickBot="1" x14ac:dyDescent="0.3">
      <c r="A34" s="24"/>
      <c r="B34" s="24"/>
      <c r="C34" s="24"/>
      <c r="D34" s="22">
        <v>32</v>
      </c>
      <c r="E34" s="73">
        <f t="shared" si="0"/>
        <v>565</v>
      </c>
      <c r="F34" s="73">
        <f t="shared" si="1"/>
        <v>570</v>
      </c>
      <c r="G34" s="73">
        <f t="shared" si="2"/>
        <v>576</v>
      </c>
      <c r="H34" s="74">
        <f t="shared" si="3"/>
        <v>578</v>
      </c>
      <c r="I34" s="24"/>
      <c r="J34" s="24"/>
      <c r="K34" s="24"/>
      <c r="L34" s="15"/>
      <c r="M34" s="15"/>
      <c r="N34" s="15"/>
      <c r="O34" s="15"/>
      <c r="P34" s="15"/>
      <c r="Q34" s="15"/>
    </row>
    <row r="35" spans="1:17" x14ac:dyDescent="0.25">
      <c r="A35" s="24"/>
      <c r="B35" s="24"/>
      <c r="C35" s="24"/>
      <c r="D35" s="24"/>
      <c r="E35" s="24"/>
      <c r="F35" s="24"/>
      <c r="G35" s="24"/>
      <c r="H35" s="1"/>
      <c r="I35" s="1"/>
      <c r="J35" s="1"/>
      <c r="K35" s="1"/>
    </row>
  </sheetData>
  <sheetProtection algorithmName="SHA-512" hashValue="Ux3qUc5h8QoGQTYsrrpl0wkF1DSfSNmhasGiBW77FdhyGkNHOsHkfcFmJKFImDxGRjBbi5dC693WZM9Nm0p19g==" saltValue="/mUWP/xFWU/usmJJHf4R+g==" spinCount="100000" sheet="1" objects="1" scenarios="1" selectLockedCells="1" selectUnlockedCells="1"/>
  <mergeCells count="2">
    <mergeCell ref="J2:K2"/>
    <mergeCell ref="M2:N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Classe (5ème1)</vt:lpstr>
      <vt:lpstr>Elève (5ème1)</vt:lpstr>
      <vt:lpstr>Classe (5ème3)</vt:lpstr>
      <vt:lpstr>Elève (5ème3)</vt:lpstr>
      <vt:lpstr>Classe (5ème4)</vt:lpstr>
      <vt:lpstr>Elève (5ème4)</vt:lpstr>
      <vt:lpstr>Liste 5ème</vt:lpstr>
      <vt:lpstr>ref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chatelain celine</dc:creator>
  <cp:lastModifiedBy>Franck CHATELAIN</cp:lastModifiedBy>
  <cp:lastPrinted>2017-12-11T13:50:45Z</cp:lastPrinted>
  <dcterms:created xsi:type="dcterms:W3CDTF">2017-10-30T16:06:34Z</dcterms:created>
  <dcterms:modified xsi:type="dcterms:W3CDTF">2018-08-20T16:23:33Z</dcterms:modified>
</cp:coreProperties>
</file>